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la dinámica 1" sheetId="1" r:id="rId5"/>
    <sheet state="visible" name="Revisión cuaderno" sheetId="2" r:id="rId6"/>
    <sheet state="visible" name="Enc. Familias" sheetId="3" r:id="rId7"/>
    <sheet state="visible" name="🅱️Enc. Familias" sheetId="4" r:id="rId8"/>
    <sheet state="visible" name="Eva. Estudiantes" sheetId="5" r:id="rId9"/>
    <sheet state="visible" name="🅱️Eva. Estudiantes" sheetId="6" r:id="rId10"/>
    <sheet state="hidden" name="Asistencias" sheetId="7" r:id="rId11"/>
    <sheet state="visible" name="Enc. Docentes" sheetId="8" r:id="rId12"/>
    <sheet state="visible" name="🅱️Enc. Docentes" sheetId="9" r:id="rId13"/>
    <sheet state="visible" name="Evaluación IIEE" sheetId="10" r:id="rId14"/>
    <sheet state="visible" name="Ficha obs aula" sheetId="11" r:id="rId15"/>
    <sheet state="visible" name="Programación" sheetId="12" r:id="rId16"/>
    <sheet state="hidden" name="BBDD" sheetId="13" r:id="rId17"/>
  </sheets>
  <definedNames>
    <definedName hidden="1" localSheetId="1" name="_xlnm._FilterDatabase">'Revisión cuaderno'!$A$1:$S$20</definedName>
    <definedName hidden="1" localSheetId="4" name="_xlnm._FilterDatabase">'Eva. Estudiantes'!$B$1:$AE$958</definedName>
    <definedName hidden="1" localSheetId="9" name="_xlnm._FilterDatabase">'Evaluación IIEE'!$A$1:$O$316</definedName>
    <definedName hidden="1" localSheetId="12" name="_xlnm._FilterDatabase">BBDD!$A$1:$I$32</definedName>
  </definedNames>
  <calcPr/>
  <pivotCaches>
    <pivotCache cacheId="0" r:id="rId18"/>
    <pivotCache cacheId="1" r:id="rId19"/>
    <pivotCache cacheId="2" r:id="rId20"/>
  </pivotCaches>
</workbook>
</file>

<file path=xl/sharedStrings.xml><?xml version="1.0" encoding="utf-8"?>
<sst xmlns="http://schemas.openxmlformats.org/spreadsheetml/2006/main" count="91042" uniqueCount="4873">
  <si>
    <t>UGT</t>
  </si>
  <si>
    <t>Provincia</t>
  </si>
  <si>
    <t>Distrito</t>
  </si>
  <si>
    <t>Centro Poblado</t>
  </si>
  <si>
    <t>Institución educativa</t>
  </si>
  <si>
    <t>COUNTA de Apellidos y nombres</t>
  </si>
  <si>
    <t>COUNTA de Relación con estudiante</t>
  </si>
  <si>
    <t>VALLE FORTALEZA</t>
  </si>
  <si>
    <t>BOLOGNESI</t>
  </si>
  <si>
    <t>ANTONIO RAYMONDI</t>
  </si>
  <si>
    <t>RAQUIA</t>
  </si>
  <si>
    <t>451</t>
  </si>
  <si>
    <t xml:space="preserve"> </t>
  </si>
  <si>
    <t>Asistente</t>
  </si>
  <si>
    <t>COUNTUNIQUE de Apellidos y nombres</t>
  </si>
  <si>
    <t>CAJACAY</t>
  </si>
  <si>
    <t>048 ELVA BARBA TRINIDAD</t>
  </si>
  <si>
    <t>COLCA</t>
  </si>
  <si>
    <t>616</t>
  </si>
  <si>
    <t>1649</t>
  </si>
  <si>
    <t xml:space="preserve">Total </t>
  </si>
  <si>
    <t>SANTA ROSA</t>
  </si>
  <si>
    <t>HUARMEY</t>
  </si>
  <si>
    <t>Docente</t>
  </si>
  <si>
    <t>COLQUIOC</t>
  </si>
  <si>
    <t>CHASQUITAMBO</t>
  </si>
  <si>
    <t>357</t>
  </si>
  <si>
    <t>028</t>
  </si>
  <si>
    <t>Familia</t>
  </si>
  <si>
    <t>HORNILLOS</t>
  </si>
  <si>
    <t>030</t>
  </si>
  <si>
    <t>Total HUARMEY</t>
  </si>
  <si>
    <t>LLAMA RUMI</t>
  </si>
  <si>
    <t>1646</t>
  </si>
  <si>
    <t>MINA</t>
  </si>
  <si>
    <t>LLAMPA</t>
  </si>
  <si>
    <t>Total BOLOGNESI</t>
  </si>
  <si>
    <t>RECUAY</t>
  </si>
  <si>
    <t>PARARIN</t>
  </si>
  <si>
    <t>2626</t>
  </si>
  <si>
    <t>Total MINA</t>
  </si>
  <si>
    <t>MARAVIA</t>
  </si>
  <si>
    <t>394</t>
  </si>
  <si>
    <t>SAN MARCOS</t>
  </si>
  <si>
    <t>416 - Rinconada</t>
  </si>
  <si>
    <t>RINCONADA</t>
  </si>
  <si>
    <t>Suma total</t>
  </si>
  <si>
    <t>Total SAN MARCOS</t>
  </si>
  <si>
    <t>Total RECUAY</t>
  </si>
  <si>
    <t>Total VALLE FORTALEZA</t>
  </si>
  <si>
    <t>LOS PALILLOS</t>
  </si>
  <si>
    <t>n°</t>
  </si>
  <si>
    <t>Nivel modular</t>
  </si>
  <si>
    <t>Cod modular</t>
  </si>
  <si>
    <t>Cod local</t>
  </si>
  <si>
    <t>Fecha de revisión</t>
  </si>
  <si>
    <t>Apellidos y nombres</t>
  </si>
  <si>
    <t>DNI</t>
  </si>
  <si>
    <t>Apellidos y nombre del niño/a</t>
  </si>
  <si>
    <t>Grado</t>
  </si>
  <si>
    <t>Aula/Sección</t>
  </si>
  <si>
    <t>Núcleo familiar</t>
  </si>
  <si>
    <t>% Avance</t>
  </si>
  <si>
    <t>Comentarios</t>
  </si>
  <si>
    <t>Facilitador/a</t>
  </si>
  <si>
    <t>HUARI</t>
  </si>
  <si>
    <t>OPAYACO/OPAYACU</t>
  </si>
  <si>
    <t>099</t>
  </si>
  <si>
    <t>Inicial - Jardín</t>
  </si>
  <si>
    <t>1551738</t>
  </si>
  <si>
    <t>631640</t>
  </si>
  <si>
    <t>Rocia Mosquera Vega</t>
  </si>
  <si>
    <t>Leyva Mosquera Naim Owen</t>
  </si>
  <si>
    <t>Ini-3ero</t>
  </si>
  <si>
    <t>3 años</t>
  </si>
  <si>
    <t>Leyva Mosquera Naim Owen/Ini-3ero/3 años</t>
  </si>
  <si>
    <t>Stephany Decheco Vera</t>
  </si>
  <si>
    <t>Andria Durán Flores</t>
  </si>
  <si>
    <t>Garay Durán Jahir Leandro</t>
  </si>
  <si>
    <t>Garay Durán Jahir Leandro/Ini-3ero/3 años</t>
  </si>
  <si>
    <t>Edith Castro Veramendi</t>
  </si>
  <si>
    <t>Ortiz Castro Evelin Victoria Valentina</t>
  </si>
  <si>
    <t>Ortiz Castro Evelin Victoria Valentina/Ini-3ero/3 años</t>
  </si>
  <si>
    <t>HUACHIS</t>
  </si>
  <si>
    <t>CAMBIO 90</t>
  </si>
  <si>
    <t>LAS TRUCHAS</t>
  </si>
  <si>
    <t>Inicial No Escolarizado</t>
  </si>
  <si>
    <t>0783226</t>
  </si>
  <si>
    <t>Felix León Guisella</t>
  </si>
  <si>
    <t>Aquino Felix Samara Damaris</t>
  </si>
  <si>
    <t>única</t>
  </si>
  <si>
    <t>Aquino Felix Samara Damaris/única</t>
  </si>
  <si>
    <t>Jackelyn Juro Dueñas</t>
  </si>
  <si>
    <t>Gomez Alvarado Emma</t>
  </si>
  <si>
    <t>Aquino Gomez Zohemy Skarlet</t>
  </si>
  <si>
    <t>Aquino Gomez Zohemy Skarlet/única</t>
  </si>
  <si>
    <t>Alva Prada Isabela</t>
  </si>
  <si>
    <t>Garay Alva Adriel Dyam</t>
  </si>
  <si>
    <t>Garay Alva Adriel Dyam/única</t>
  </si>
  <si>
    <t>Fernandez Flores Janet</t>
  </si>
  <si>
    <t>Castro Fernandez Ghinna Mileth</t>
  </si>
  <si>
    <t>Castro Fernandez Ghinna Mileth/única</t>
  </si>
  <si>
    <t>SAN PEDRO DE CHANA</t>
  </si>
  <si>
    <t>WISHLLAC</t>
  </si>
  <si>
    <t>690</t>
  </si>
  <si>
    <t>1675040</t>
  </si>
  <si>
    <t>759493</t>
  </si>
  <si>
    <t>Evangelista Caqui Clerinda</t>
  </si>
  <si>
    <t>Ini-5nto</t>
  </si>
  <si>
    <t>5 años</t>
  </si>
  <si>
    <t>Castro Evangelista, Jafed</t>
  </si>
  <si>
    <t>Trujillo Guerra Marlene</t>
  </si>
  <si>
    <t>Ini-4rto</t>
  </si>
  <si>
    <t>4 años</t>
  </si>
  <si>
    <t>Obregón Trujillo, Afret</t>
  </si>
  <si>
    <t>Nuñez Silva Antonia</t>
  </si>
  <si>
    <t>Aquino Ramirez, Viviana</t>
  </si>
  <si>
    <t>Aquino Ramirez, Viviana/Ini-4rto/4 años</t>
  </si>
  <si>
    <t>Evangelista Caqui Clerinda/Ini-5nto/5 años</t>
  </si>
  <si>
    <t>Trujillo Guerra Marlene/Ini-4rto/4 años</t>
  </si>
  <si>
    <t>SAN CRISTOBAL DE TAMBO</t>
  </si>
  <si>
    <t>688</t>
  </si>
  <si>
    <t>1675024</t>
  </si>
  <si>
    <t>759474</t>
  </si>
  <si>
    <t>Jemina Gadea Principe</t>
  </si>
  <si>
    <t>Obregon Gadea Mia Isabella</t>
  </si>
  <si>
    <t>Obregon Gadea Mia Isabella/única</t>
  </si>
  <si>
    <t>Ebilia Aquino Loarte</t>
  </si>
  <si>
    <t>Melgarejo Aquino Liam Jayden</t>
  </si>
  <si>
    <t>Melgarejo Aquino Liam Jayden/única</t>
  </si>
  <si>
    <t>Flor Rosales Carhuapoma</t>
  </si>
  <si>
    <t>Aquino Rosales Danna Alisson</t>
  </si>
  <si>
    <t>Aquino Rosales Danna Alisson/única</t>
  </si>
  <si>
    <t>Yolanda Suarez Huerta</t>
  </si>
  <si>
    <t>Aquino Suarez Gael Loan</t>
  </si>
  <si>
    <t>Aquino Suarez Gael Loan/única</t>
  </si>
  <si>
    <t>Rosaida Francisco Arquiñigo</t>
  </si>
  <si>
    <t>Melgarejo Francisco Yamilet Kaida</t>
  </si>
  <si>
    <t>Melgarejo Francisco Yamilet Kaida/única</t>
  </si>
  <si>
    <t>Ayde Aquino Loarte</t>
  </si>
  <si>
    <t>Garay Aquino Eriksen Oliver</t>
  </si>
  <si>
    <t>Garay Aquino Eriksen Oliver/única</t>
  </si>
  <si>
    <t>VISTOSO</t>
  </si>
  <si>
    <t>112</t>
  </si>
  <si>
    <t>1558782</t>
  </si>
  <si>
    <t>536228</t>
  </si>
  <si>
    <t>Castro Diaz Ines</t>
  </si>
  <si>
    <t>Aquino Castro Samara</t>
  </si>
  <si>
    <t>Aquino Castro Samara/Ini-5nto/5 años</t>
  </si>
  <si>
    <t>Aquino Castro Zarela</t>
  </si>
  <si>
    <t>Aquino Chavez Emely</t>
  </si>
  <si>
    <t>Aquino Chavez Emely/Ini-3ero/3 años</t>
  </si>
  <si>
    <t>HUANCAYOC</t>
  </si>
  <si>
    <t>470</t>
  </si>
  <si>
    <t>1607118</t>
  </si>
  <si>
    <t>671730</t>
  </si>
  <si>
    <t>Ramirez Rivera Diana</t>
  </si>
  <si>
    <t>Espinoza Ramirez Khaleesi</t>
  </si>
  <si>
    <t>Espinoza Ramirez Khaleesi/Ini-4rto/4 años</t>
  </si>
  <si>
    <t>Castro Obregón Noemi</t>
  </si>
  <si>
    <t>Cindi</t>
  </si>
  <si>
    <t>Cindi/Ini-5nto/5 años</t>
  </si>
  <si>
    <t>Trujillo Guerra Elena</t>
  </si>
  <si>
    <t>Brisaida Aguirre Trujillo</t>
  </si>
  <si>
    <t>Brisaida Aguirre Trujillo/Ini-5nto/5 años</t>
  </si>
  <si>
    <r>
      <rPr>
        <rFont val="Arial, sans-serif"/>
        <b/>
        <color rgb="FF000000"/>
        <sz val="19.0"/>
      </rPr>
      <t xml:space="preserve">🅱️
</t>
    </r>
    <r>
      <rPr>
        <rFont val="Arial, sans-serif"/>
        <b/>
        <color rgb="FF000000"/>
      </rPr>
      <t>Normaliza nombres</t>
    </r>
  </si>
  <si>
    <t>Relación con estudiante</t>
  </si>
  <si>
    <t>Edad</t>
  </si>
  <si>
    <t>Fecha de aplicación</t>
  </si>
  <si>
    <t>Corte de evaluación</t>
  </si>
  <si>
    <t>TRUE - Cuando me enojo con mis hijos/as, me doy cuenta de cómo me siento.</t>
  </si>
  <si>
    <t>FALSE - A veces me pregunto si lo que hago como mamá o papá está bien para mis hijos/as.</t>
  </si>
  <si>
    <t>FALSE - Cuando estoy cansado/a o de mal humor, me cuesta tener paciencia con mis hijos/as.Cuando estoy cansado/a o de mal humor, me cuesta tener paciencia con mis hijos/as.</t>
  </si>
  <si>
    <t>TRUE - Cuando algo está difícil, trato de estar tranquilo/a antes de corregir a mis hijos/as.</t>
  </si>
  <si>
    <t>TRUE - Me doy cuenta cuando mi hijo/a está triste, aunque no lo diga.</t>
  </si>
  <si>
    <t>TRUE - En casa hablamos sobre cómo se siente cada uno.</t>
  </si>
  <si>
    <t>TRUE - En casa decimos lo que hacemos bien y también lo que podemos mejorar.</t>
  </si>
  <si>
    <t>TRUE - Cuando mi hijo/a se equivoca, le explico qué pasó y cómo puede hacerlo mejor.</t>
  </si>
  <si>
    <t>TRUE - Cuando hay decisiones importantes, las conversamos entre adultos en la casa.</t>
  </si>
  <si>
    <t>TRUE - En mi casa, hombres y mujeres compartimos tareas como limpiar o cuidar a los niños/as.</t>
  </si>
  <si>
    <t>FALSE - En mi comunidad, se espera que las niñas ayuden más en la casa que los niños.</t>
  </si>
  <si>
    <t>FALSE - A veces pienso que los hombres no deben llorar ni mostrar tristeza.</t>
  </si>
  <si>
    <t>TRUE - En mi familia, no siempre hablamos sobre cómo nos sentimos, pero lo estamos intentando.</t>
  </si>
  <si>
    <t>FALSE - Cuando hay reunión en la escuela, casi siempre va la mamá, aunque también hay papás interesados.</t>
  </si>
  <si>
    <r>
      <rPr>
        <rFont val="Arial, sans-serif"/>
        <b/>
        <color rgb="FF000000"/>
        <sz val="19.0"/>
      </rPr>
      <t>🅱️</t>
    </r>
    <r>
      <rPr>
        <rFont val="Arial, sans-serif"/>
        <b/>
        <color rgb="FF000000"/>
      </rPr>
      <t xml:space="preserve"> Autoconciencia y Autorregulación Emocional</t>
    </r>
  </si>
  <si>
    <r>
      <rPr>
        <rFont val="Arial, sans-serif"/>
        <b/>
        <color rgb="FF000000"/>
        <sz val="19.0"/>
      </rPr>
      <t xml:space="preserve">🅱️
</t>
    </r>
    <r>
      <rPr>
        <rFont val="Arial, sans-serif"/>
        <b/>
        <color rgb="FF000000"/>
      </rPr>
      <t>Toma de Decisiones Responsables</t>
    </r>
  </si>
  <si>
    <r>
      <rPr>
        <rFont val="Arial, sans-serif"/>
        <b/>
        <color rgb="FF000000"/>
        <sz val="19.0"/>
      </rPr>
      <t>🅱️</t>
    </r>
    <r>
      <rPr>
        <rFont val="Arial, sans-serif"/>
        <b/>
        <color rgb="FF000000"/>
      </rPr>
      <t xml:space="preserve"> Habilidades Relacionales</t>
    </r>
  </si>
  <si>
    <t>¿Qué te ayuda a ti, como mamá/papá, a estar bien?</t>
  </si>
  <si>
    <t>SANTA CRUZ DE MOSNA</t>
  </si>
  <si>
    <t>435</t>
  </si>
  <si>
    <t>1515246</t>
  </si>
  <si>
    <t>608381</t>
  </si>
  <si>
    <t>PAOLA VICTORIA TOLENTITNO</t>
  </si>
  <si>
    <t>Madre</t>
  </si>
  <si>
    <t>Pre test (diagnóstico)</t>
  </si>
  <si>
    <t>SONIA RIMAC BALABARCA</t>
  </si>
  <si>
    <t>Tener tiempo de descanso y de juego con mis hijos</t>
  </si>
  <si>
    <t>GLORIA CERPA POMA</t>
  </si>
  <si>
    <t>YENI MINAYA MIRANDA</t>
  </si>
  <si>
    <t>Tomar decisiones con mi familia e hijos</t>
  </si>
  <si>
    <t/>
  </si>
  <si>
    <t>Estar atento de mis hijos</t>
  </si>
  <si>
    <t>NARCIZA CUEVA TREJO</t>
  </si>
  <si>
    <t>PUJUN</t>
  </si>
  <si>
    <t>109</t>
  </si>
  <si>
    <t>1551753</t>
  </si>
  <si>
    <t>631664</t>
  </si>
  <si>
    <t>HILARIA ESPINOZA SALVADOR</t>
  </si>
  <si>
    <t>Explicar a mi hijo sobre las normas</t>
  </si>
  <si>
    <t>PAOLA GARCIA VERGARA</t>
  </si>
  <si>
    <t>Ver crecer feliz a mi hijo</t>
  </si>
  <si>
    <t>KELY MERCEDES VARGAS SOLIS</t>
  </si>
  <si>
    <t>Ver que mi hijo esta creciendo bien integralmente</t>
  </si>
  <si>
    <t>LETICIA FRIDA SOLORZANO SIFUENTES</t>
  </si>
  <si>
    <t>Ver que mi hijo se encuentra bien integralmente</t>
  </si>
  <si>
    <t>ELENA SIGUEÑAS ABARCA</t>
  </si>
  <si>
    <t>Tomar acuerdos para el bien de mi hijo</t>
  </si>
  <si>
    <t>ANAYELI ABARCA DAMIAN</t>
  </si>
  <si>
    <t>Compartir tiempo en familia</t>
  </si>
  <si>
    <t>MARÍA PAUCAR DAMIAN</t>
  </si>
  <si>
    <t>Tener respeto y establecer acuerdos en familia</t>
  </si>
  <si>
    <t>RODOLFO AMADO CADILLO</t>
  </si>
  <si>
    <t>Padre</t>
  </si>
  <si>
    <t>AIDA FLOR RIVERA VALENZUELA</t>
  </si>
  <si>
    <t>CARHUAYOC</t>
  </si>
  <si>
    <t>248</t>
  </si>
  <si>
    <t>0509711</t>
  </si>
  <si>
    <t>025227</t>
  </si>
  <si>
    <t>MAXIMO CUYA NARRO</t>
  </si>
  <si>
    <t>DELIA SALVADOR VALENCIA</t>
  </si>
  <si>
    <t>Dialogar y salir en familia a despejar la mente, además de orar a Dios</t>
  </si>
  <si>
    <t>MARIBEL HARO SALAZAR</t>
  </si>
  <si>
    <t>BRAYAN CARHUAPOMA TARAZONA</t>
  </si>
  <si>
    <t>SARA LOPEZ VARGAS</t>
  </si>
  <si>
    <t>HILARIA SANTA ESPINOZA GUERRA</t>
  </si>
  <si>
    <t>Hablar con mis hijos para tomar buenas decisiones</t>
  </si>
  <si>
    <t>MARICRUZ ROMERO CASTRO</t>
  </si>
  <si>
    <t>Me ayuda que mis hijos vean que yo estoy bien</t>
  </si>
  <si>
    <t>NANCY GUERRA RAMIREZ</t>
  </si>
  <si>
    <t>Me ayuda reflexionar y conversar con mis hijos</t>
  </si>
  <si>
    <t>ELENA EDITA DAVILA LOARTE</t>
  </si>
  <si>
    <t>LIDIA ZORRILA FONSECA</t>
  </si>
  <si>
    <t>Me ayuda estar feliz y conversar con mis hijos</t>
  </si>
  <si>
    <t>JUAN DAVID QUISPE VARGAS</t>
  </si>
  <si>
    <t>Saber que mis hijos estan sanos, tener un trabajo seguro y estar bien con mi familia</t>
  </si>
  <si>
    <t>SANDRA GOMEZ HILARIO</t>
  </si>
  <si>
    <t>La unión de mi familia con buenos tratos</t>
  </si>
  <si>
    <t>OLINDA RAMOS GARGATE</t>
  </si>
  <si>
    <t>paciencia y hablarles con amor para que puedan entender</t>
  </si>
  <si>
    <t>TEODORA ARAUJO SOLIS</t>
  </si>
  <si>
    <t>Otro</t>
  </si>
  <si>
    <t>Jugar, explicar y preguntar cómo le esta yendo</t>
  </si>
  <si>
    <t>JAKELINE GUERRA ALFARO</t>
  </si>
  <si>
    <t xml:space="preserve">Tratar de comprender cada situación </t>
  </si>
  <si>
    <t>YANIRA RAMOS GUERRA</t>
  </si>
  <si>
    <t>ELISA GUERRA LAGUNA</t>
  </si>
  <si>
    <t>Estar bien con mi hijo, tratar de ayudar en sus emociones, la buena comunicación y confianza</t>
  </si>
  <si>
    <t>ROMELIA DIAZ ARQUINIZO</t>
  </si>
  <si>
    <t>Que mis hijos crezcan con valores y educados</t>
  </si>
  <si>
    <t>YISSELA TICLO GUERRA</t>
  </si>
  <si>
    <t>Ser más responsable como mamá</t>
  </si>
  <si>
    <t>DIONY YLLARY MARQUEZ CHAVEZ</t>
  </si>
  <si>
    <t>Como hermana me gusta hablar con él, saber cómo esta</t>
  </si>
  <si>
    <t>VIOLETA AMADO SALAZAR</t>
  </si>
  <si>
    <t>Conversar</t>
  </si>
  <si>
    <t>FELENA MALLQUI ARAUJO</t>
  </si>
  <si>
    <t>Tratar de calmarme y corregirle</t>
  </si>
  <si>
    <t>ARAUJO GUERRA LUCINDA</t>
  </si>
  <si>
    <t>Tratar bien y jugar con mis hijos</t>
  </si>
  <si>
    <t>DEYSI SALAZAR VALVERDE</t>
  </si>
  <si>
    <t>Contar con el apoyo de mi familiar, y frente a cualquier problema resolverlo conversando con mi hija</t>
  </si>
  <si>
    <t>FELICITAS ACEVEDO TRUJILLO</t>
  </si>
  <si>
    <t>Manejar con calma cualquier situación</t>
  </si>
  <si>
    <t>SANDRA CLAUDIO FERNANDEZ</t>
  </si>
  <si>
    <t>Como mamá que mis hjos esten bien es lo que me hace sentir bien</t>
  </si>
  <si>
    <t>JASMINA PALACIOS GAMARRA</t>
  </si>
  <si>
    <t>Que mis hijos estén bien, y que practiquen los valores y el respeto entre nosotros como familia</t>
  </si>
  <si>
    <t>ESTHER RAMIREZ PRUDENCIO</t>
  </si>
  <si>
    <t>Que mi hijo esté bien y practique los valores que le enseñamos</t>
  </si>
  <si>
    <t>HILDA GUERRA RAMIREZ</t>
  </si>
  <si>
    <t>Ver a mi hijo bien, que sea feliz jugando</t>
  </si>
  <si>
    <t>KELY ENRIQUE GOMEZ</t>
  </si>
  <si>
    <t>Dialogar en familia y salir de la casa</t>
  </si>
  <si>
    <t>YANET DIAZ CASTRO</t>
  </si>
  <si>
    <t>Me ayuda que mis hijos esten bien, y que nos encontremos unidos como familia</t>
  </si>
  <si>
    <t>SARITA GARAY ESPINOZA</t>
  </si>
  <si>
    <t>Dialogar ante cualquier situación que ocurra y pensar en una solución que no perjudique a los niños</t>
  </si>
  <si>
    <t>NANCY CADILLO PAREDA</t>
  </si>
  <si>
    <t>VICTOR ADRIANO LEÓN</t>
  </si>
  <si>
    <t>Conversar con mis hijos y familia</t>
  </si>
  <si>
    <t>WAGNER FERNANDEZ AIRA</t>
  </si>
  <si>
    <t>BELINDA GARAY LEYVA</t>
  </si>
  <si>
    <t>Que me informen los comportamientos de mi hijo en el colegio</t>
  </si>
  <si>
    <t>NAUN YESMER QUISPE UGARTE</t>
  </si>
  <si>
    <t xml:space="preserve">Comunicación en familia </t>
  </si>
  <si>
    <t>ELMER ZORRILLA GUERRA</t>
  </si>
  <si>
    <t>Estar feliz con mi hijo y enseñarle a ser responsable en sus actos</t>
  </si>
  <si>
    <t>SUSA GARAY FERNANDEZ</t>
  </si>
  <si>
    <t>Que mi hija este bien y que tenga buenas notas, me hace sentir orgullosa</t>
  </si>
  <si>
    <t>VIONE CATIRE ENRIQUE</t>
  </si>
  <si>
    <t>Que mis hijos se sientan bien</t>
  </si>
  <si>
    <t>MILAGRITOS EUDALIA VILLANUEVA MARIÑO</t>
  </si>
  <si>
    <t>Me ayuda a estar tranquila sin estrés, siento que podría ser mejor mamá y me ayudaria contar con apoyo psicológico</t>
  </si>
  <si>
    <t>DAVILA LOARTE</t>
  </si>
  <si>
    <t>Ver a mi hijo feliz en su día a día</t>
  </si>
  <si>
    <t>MIGUEL CHAVEZ DAVILA</t>
  </si>
  <si>
    <t>Controlar mis emociones, analizar antes de actuar ya que considero que somos el reflejo ante niños/as</t>
  </si>
  <si>
    <t>MARUJA GUERRA HUERTA</t>
  </si>
  <si>
    <t xml:space="preserve">El bienestar de mis hijos </t>
  </si>
  <si>
    <t>WILMER RIOS DIANES</t>
  </si>
  <si>
    <t>Practicar los valores en casa e incluclar la responsabilidad poco a poco según la edad del niño</t>
  </si>
  <si>
    <t>SANDRA CHAVEZ LIÑAN</t>
  </si>
  <si>
    <t>Dialogo en familia</t>
  </si>
  <si>
    <t>CARMEN GARAY ZERPA</t>
  </si>
  <si>
    <t>Sentir que mis hijos son felices, estar bien con ellos y conversar en familia</t>
  </si>
  <si>
    <t>EMIL SALAZAR MORY</t>
  </si>
  <si>
    <t>La felicidad y el bienestar de mi familia</t>
  </si>
  <si>
    <t>LUCILA FERNANDEZ AGURTO</t>
  </si>
  <si>
    <t xml:space="preserve">Que mis hijos y yo estemos comunicados </t>
  </si>
  <si>
    <t>NAYBETH ZUMAYDA BAR ROJAS</t>
  </si>
  <si>
    <t>Ver como mi hijo crece día a día</t>
  </si>
  <si>
    <t>CHAVIN DE HUANTAR</t>
  </si>
  <si>
    <t>124</t>
  </si>
  <si>
    <t>0415745</t>
  </si>
  <si>
    <t>717417</t>
  </si>
  <si>
    <t>JULY HERMELINDA GARRO SANCHEZ</t>
  </si>
  <si>
    <t>Sentir y saber que mis hijos estan bien y tener a mi familia unida</t>
  </si>
  <si>
    <t>SUSANA NORMA MELGAREJO RIVERA</t>
  </si>
  <si>
    <t>Me ayuda ver a mis hijos felices y tranquilos</t>
  </si>
  <si>
    <t>EUSEBIO CRISTOBAL MENDOZA GARCIA</t>
  </si>
  <si>
    <t>Conversar con mi pareja sobre cómo debemos educar a nuestros hijos en aspectos como el respeto y empatía</t>
  </si>
  <si>
    <t>SOLANIA VANESA RIMAC SAENZ</t>
  </si>
  <si>
    <t>Estar junto a mis hijos</t>
  </si>
  <si>
    <t>RONALD CADILLO RODRIGUEZ</t>
  </si>
  <si>
    <t>Estar en familia, compartir ideas y hablar del día con mi esposa</t>
  </si>
  <si>
    <t>EDITH ORTIZ BALTAZAR</t>
  </si>
  <si>
    <t>Conversar mucho en nuestro hogar en pareja, también con mis hijos. Además de salir de paseo en familia</t>
  </si>
  <si>
    <t>MARY LUZ SALAS SIGUEÑAS</t>
  </si>
  <si>
    <t>A mi me ayuda que mi familia este unida y hablarle mi pareja y yo a mi hijo sobre diferentes valores</t>
  </si>
  <si>
    <t>DANIEL JOEL MONTES FLORES</t>
  </si>
  <si>
    <t>Me ayuda controlar sus emociones, conversar y corregir para que haga las cosas bien. También tratar de estar bien con mi pareja.</t>
  </si>
  <si>
    <t>VERONICA SILVIA JARA ZEVALLOS</t>
  </si>
  <si>
    <t>Me ayuda cuando veo a mi familia unida y veo feliz a mis hijos</t>
  </si>
  <si>
    <t>LUCY PEREZ RAMIREZ</t>
  </si>
  <si>
    <t>Ir a una charla psicológica, el amor que siento por mis niñas, la bendición de que ellas estan bien</t>
  </si>
  <si>
    <t>LIZZETH MARIBEL RAMIREZ MELGAREJO</t>
  </si>
  <si>
    <t>Me siento bien cuandos mis niños estan bien</t>
  </si>
  <si>
    <t>KATIANA AMANDA RAMIREZ BAÑEZ</t>
  </si>
  <si>
    <t>Es estar junto a mi hija y familia y saber sus emociones o tristezas</t>
  </si>
  <si>
    <t>YULISA ESTACIO SALCEDO</t>
  </si>
  <si>
    <t>Me ayuda a estar bien que mis hijos esten bien integralmente</t>
  </si>
  <si>
    <t>CLEOFÉ MARÍA SOTO ASENCIOS</t>
  </si>
  <si>
    <t>Actividad física, recreación y con familia</t>
  </si>
  <si>
    <t>FERNANDO TORRES CHAVEZ</t>
  </si>
  <si>
    <t>Me ayuda salir a caminar, viajar o ver una película en familia</t>
  </si>
  <si>
    <t>OVETH SALAS ESPINOZA</t>
  </si>
  <si>
    <t>Dialogar con mis hijos y compartir sus proyectos y experiencias</t>
  </si>
  <si>
    <t>GLORIA PADILLA MORENO</t>
  </si>
  <si>
    <t>A mi me ayuda como mamá, ver crecer a mi hija y tener a mi familia unida</t>
  </si>
  <si>
    <t>MAYELA TERESA SALAS AYALA</t>
  </si>
  <si>
    <t>Hablar, dialogar con mi hijo sobre como le va en la escuela, y además de estar pendiente de su estado emocional</t>
  </si>
  <si>
    <t>LOIDA BELINDA RAMIREZ COURINO</t>
  </si>
  <si>
    <t>Tomar decisiones adecuadas</t>
  </si>
  <si>
    <t>MILCA RAMOS SANCHEZ</t>
  </si>
  <si>
    <t>Salir a distraerme</t>
  </si>
  <si>
    <t>BENYAMIN ARTURO CASTILLO CAQUI</t>
  </si>
  <si>
    <t>Vivir felices en la casa con toda la familia</t>
  </si>
  <si>
    <t>DELIA VIVIANA ESPINOZA LAGUNA</t>
  </si>
  <si>
    <t xml:space="preserve">Me ayuda expresarme bien y aprender cosas nuevas para mejorar como mamá </t>
  </si>
  <si>
    <t>SOLIS RIVERA</t>
  </si>
  <si>
    <t>Jugar con mi nieto</t>
  </si>
  <si>
    <t>RRIMOLDA ESPINOZA MALQUI</t>
  </si>
  <si>
    <t>ELIZABETH ARAUJO COTRINA</t>
  </si>
  <si>
    <t>Comunicarnos toda la familia y respirar profundamente</t>
  </si>
  <si>
    <t>MENDIETA GUIZABALO GUADALUPE</t>
  </si>
  <si>
    <t>Tomar decisiones entre ambos para estar bien</t>
  </si>
  <si>
    <t>MELISA SALAZAR LAGUNA</t>
  </si>
  <si>
    <t>Tranquilizarme cuando estoy enojada con mi hijo y luego hablarle a mi hijo lo que hizo está mal</t>
  </si>
  <si>
    <t>MARCELINA DOMINGUEZ PALACIOS</t>
  </si>
  <si>
    <t>Que mis hijos sean felices y ayudarlos con las tareas que le dejan en el colegio</t>
  </si>
  <si>
    <t>JUSTINA OBREGON FLORES</t>
  </si>
  <si>
    <t>Ser una madre compensiva, entendiendo a los niños y a la familia</t>
  </si>
  <si>
    <t>YANETH MILAGROS ALVARO CHAVEZ</t>
  </si>
  <si>
    <t>Como mamá me ayuda conversar con mis hijos, tener confianza y ser como una amiga para ellos</t>
  </si>
  <si>
    <t>GUISELA SAYDA ALVARO CHAVEZ</t>
  </si>
  <si>
    <t>Llevarme bien con los hijos para estar bien</t>
  </si>
  <si>
    <t>YOMIRA HUAYTA VARGAS</t>
  </si>
  <si>
    <t>Cuando mi hija me obedece me hace sentir aliviada y tranquila</t>
  </si>
  <si>
    <t>SANTA NIEVES RIVAS RAMIREZ</t>
  </si>
  <si>
    <t>El dialogo con todos los integrantes de mi familia</t>
  </si>
  <si>
    <t>YENY ROJAS BAZAM</t>
  </si>
  <si>
    <t>Me ayuda ser una madre comprensiva, no alterarme con mis hijos</t>
  </si>
  <si>
    <t>ROSA BLAS VILLANUEVA</t>
  </si>
  <si>
    <t>VICTORIA OBREGON FLORES</t>
  </si>
  <si>
    <t>Ser una madre comprensiva</t>
  </si>
  <si>
    <t>EDITA GARAY FERNANDEZ</t>
  </si>
  <si>
    <t>Cuando estoy con mis hijos me siento feliz</t>
  </si>
  <si>
    <t>ROCIO MOSQUERA VEGA</t>
  </si>
  <si>
    <t>La confianza de mi hija con nosotros su familia y que aprenda los valores</t>
  </si>
  <si>
    <t>ZAIDA MELISSA CABRERA LOARTE</t>
  </si>
  <si>
    <t>Me ayuda estar bien con mi hija</t>
  </si>
  <si>
    <t>ZOIDA HIDALGO POSTOR</t>
  </si>
  <si>
    <t>Ser muy calmada y tolerante</t>
  </si>
  <si>
    <t>SANTA ANAYA</t>
  </si>
  <si>
    <t>Estar con mi nieta Yarelis</t>
  </si>
  <si>
    <t>EDITH CASTRO VERAMENDI</t>
  </si>
  <si>
    <t xml:space="preserve">Me ayuda como mamá conversar con mis hijas y esposo de lo que pasa en mi familia </t>
  </si>
  <si>
    <t>VALENTINA ROJAS LOARTE</t>
  </si>
  <si>
    <t>Tener bastante comunicación entre mi hijo y pareja y así dar solución a cualquier cosa</t>
  </si>
  <si>
    <t>YANETH AGUIRRE VEGA</t>
  </si>
  <si>
    <t>Yo mesiento orgullosa porque con mi hijo yo juego diario hacemos bromas</t>
  </si>
  <si>
    <t>EUGENIO CASTRO OBREGÓN</t>
  </si>
  <si>
    <t>Conversa con la familia, hace jugar al niño</t>
  </si>
  <si>
    <t>GUISELA FERNANDEZ FLORES</t>
  </si>
  <si>
    <t>ZONIA MARGOT RIVERA CALDERÓN</t>
  </si>
  <si>
    <t>CLERINDA EVANGELISTA CAQUI</t>
  </si>
  <si>
    <t>Hablar con mis hijos ponernos de acuerdo de todo.</t>
  </si>
  <si>
    <t>YULI VANEZA HERRADA EULOGIO</t>
  </si>
  <si>
    <t xml:space="preserve">Hablar con mis familiares porque se encuentran lejos, escuchar música </t>
  </si>
  <si>
    <t>YANET LUZ RAMIREZ ANAYA</t>
  </si>
  <si>
    <t>A mi me ayuda a estar bien, escuchar música, estar con mi familia y mi hijo, etc.</t>
  </si>
  <si>
    <t>FERIOL CASTRO GARAY</t>
  </si>
  <si>
    <t>GUILLERMO QUISPE</t>
  </si>
  <si>
    <t>Relacionado con mi familia a dar consejos claros y precisos con mis hijos, escuchar música, hacer deporte y conversar con mi hijo.</t>
  </si>
  <si>
    <t>YOLINO OBREGÓN RENTERA</t>
  </si>
  <si>
    <t>Conversar siempre con los hijos, darle consejos y cariño.</t>
  </si>
  <si>
    <t>MANESCO GARGATE OBREGÓN</t>
  </si>
  <si>
    <t>A mi como papá me ayuda darle consejos y hacer chiste con mi hija, conversar siempre para que te entienda más o hacerle caso.</t>
  </si>
  <si>
    <t>Post test (cierre)</t>
  </si>
  <si>
    <t>ANTONIA</t>
  </si>
  <si>
    <t>GUISELA FELIX LEÓN</t>
  </si>
  <si>
    <t>Tomar un descanso</t>
  </si>
  <si>
    <t>MARCO PIMENTEL ASENCIOS</t>
  </si>
  <si>
    <t>La comunicación en familia, Los fines de semana salir al campo, ver televisión en familia.</t>
  </si>
  <si>
    <t>EMMA GOMEZ ALVARADO</t>
  </si>
  <si>
    <t>Comunicación con la familia, estar bien, salir a caminar, tomar aire libre, escuchar música, tomar mi café y conversar.</t>
  </si>
  <si>
    <t>JHON GARAY RIOS</t>
  </si>
  <si>
    <t>El diálogo con bastante tranqulidad, en unión de mi familia y tambien comer en la mesa, es un bonito compartir.</t>
  </si>
  <si>
    <t>JANETH FERNANDEZ</t>
  </si>
  <si>
    <t>La comunicación con la familia.</t>
  </si>
  <si>
    <t>FERNANDEZ FLORES ARTEMIO</t>
  </si>
  <si>
    <t>ALVA PRADA ISABELA</t>
  </si>
  <si>
    <t>FAUSTO UGARTE OLIVOS</t>
  </si>
  <si>
    <t>Ayudar a las mamas y a los niños en cualquier cosa</t>
  </si>
  <si>
    <t>KENZO CERNA VERA</t>
  </si>
  <si>
    <t>Escuchar música</t>
  </si>
  <si>
    <t>VICTORIO AYDE AQUINO LOARTE</t>
  </si>
  <si>
    <t>Tener buena comunicación con los hijos, tener buena autoestima, escuchar música, salir a pasear.</t>
  </si>
  <si>
    <t>VALENTIN MELGAREJO OBREGÓN</t>
  </si>
  <si>
    <t>Escuchar música y ser alegre.</t>
  </si>
  <si>
    <t>MARTIN MELGAREJO OBREGÓN</t>
  </si>
  <si>
    <t>Escuchar música, dialogar y jugar con mis hijos.</t>
  </si>
  <si>
    <t>FLOR ROSALES CARHUAPOMA</t>
  </si>
  <si>
    <t>YOLANDA SUAREZ HUERTA</t>
  </si>
  <si>
    <t>JEMINA GADEA PRINCIPE</t>
  </si>
  <si>
    <t>SANTA CRUZ DE PICHIU</t>
  </si>
  <si>
    <t>661</t>
  </si>
  <si>
    <t>1645506</t>
  </si>
  <si>
    <t>728010</t>
  </si>
  <si>
    <t>MARIBEL PEREZ VILLAR</t>
  </si>
  <si>
    <t>FLOR CALDERÓN UGARTE</t>
  </si>
  <si>
    <t>Alcanza algunas cosas.</t>
  </si>
  <si>
    <t>JUANA RIMAC UGARTE</t>
  </si>
  <si>
    <t>ELIA GARAY MAUTINO</t>
  </si>
  <si>
    <t>AUREA CUQUI REYES</t>
  </si>
  <si>
    <t>DIANA LEUST TRUJILLO GARAY</t>
  </si>
  <si>
    <t>ILDA UGARTE FERNANDEZ</t>
  </si>
  <si>
    <t>FAYA GARGATE RENTERA</t>
  </si>
  <si>
    <t>YOVANA RAMIREZ ROSALES</t>
  </si>
  <si>
    <t>IRCELIA PEÑA FERNANDEZ</t>
  </si>
  <si>
    <t>Me ayuda con mi hijo como criar</t>
  </si>
  <si>
    <t>RAMIREZ GARGATE</t>
  </si>
  <si>
    <t>Que mi hija se sienta bien.</t>
  </si>
  <si>
    <t>OLINDA CASTRO MELGAREJO</t>
  </si>
  <si>
    <t>IDA AQUINO GARAY</t>
  </si>
  <si>
    <t>BETSABE OBREGÓN CABRERA</t>
  </si>
  <si>
    <t>LUZMILA GUERRA GARAY</t>
  </si>
  <si>
    <t>VICTORIA GARAY CABALLERO</t>
  </si>
  <si>
    <t>DALIA GUERRA GARAY</t>
  </si>
  <si>
    <t>URSULA JOSIFINA REYNA MATOS</t>
  </si>
  <si>
    <t>MELISSA CHAVEZ PADILLA</t>
  </si>
  <si>
    <t>HILDA CHAVEZ CASTRO</t>
  </si>
  <si>
    <t>GUERRA CARHUAPOMA, JOY</t>
  </si>
  <si>
    <t>A estar en comunicación con todos y entendernos, la comprensión, el amor, la paz.</t>
  </si>
  <si>
    <t>Me ayuda a recoger juguetes, cuando hace el desorden y consus tareas.</t>
  </si>
  <si>
    <t>Me hace sentir bien el saber que mis hijos e hijas entan bien.</t>
  </si>
  <si>
    <t>Conversar con mis hijos, jugar con mis hijos, estar de acuerdo con mi familia, ayudar a mis hijos en sus tareas</t>
  </si>
  <si>
    <t>CASTRO UGARTE, OTMEL</t>
  </si>
  <si>
    <t>Como mamá yo me siento bien estar con mis hijos y siempre le ayudo en todo a mis hijos aunque no tengo fuerza siempre le sonrio</t>
  </si>
  <si>
    <t>Me hace bien cuando mis hijos e hijas están muy bien</t>
  </si>
  <si>
    <t>Estar con mi hijo y mi familia, ayudar, darle tiempo y jugar</t>
  </si>
  <si>
    <t>JAVIER SALVIO, NOIMA RODILA</t>
  </si>
  <si>
    <t>CHAVEZ PADILLA MELISSA</t>
  </si>
  <si>
    <t>Hablar sobre responsabilidades</t>
  </si>
  <si>
    <t>SOTO ALVARADO, FLORA</t>
  </si>
  <si>
    <t>Ayudar con sus tareas a mis hijos hablar con mis hijos como comportarse</t>
  </si>
  <si>
    <t xml:space="preserve">Ayudar con sus tareas </t>
  </si>
  <si>
    <t>GARGATE RENTERA FARA</t>
  </si>
  <si>
    <t>MARLON DIAZ CULLA</t>
  </si>
  <si>
    <t>OFELIA GARGATE RENTERA</t>
  </si>
  <si>
    <t>KEVIN AQUINO CAMILOAGA</t>
  </si>
  <si>
    <t>MARY MIRAVAL PUSAY</t>
  </si>
  <si>
    <t>Comer con mis hijos, viajar</t>
  </si>
  <si>
    <t>RUT NOEMI TARAZONA GUERRA</t>
  </si>
  <si>
    <t>Me gustaría mejorar como persona y ser mas conciente con mis propias emociones para poder guiar a mi hija con todo lo necesario.</t>
  </si>
  <si>
    <t>JOSUE NEVIN FLORES</t>
  </si>
  <si>
    <t>Estar en comunicación con mi hija en todo momento</t>
  </si>
  <si>
    <t>ELIA CALDERÓN GUERRA</t>
  </si>
  <si>
    <t>Que mi hija que este feliz con su mamá</t>
  </si>
  <si>
    <t>GISSELA OBREGÓN CHAVEZ</t>
  </si>
  <si>
    <t>Que mi hija se sienta feliz y que viva en un lugar lleno de felicidad</t>
  </si>
  <si>
    <t>DAYSI GARAY GUILLEN</t>
  </si>
  <si>
    <t>A que mi hijo esté feliz</t>
  </si>
  <si>
    <t>KENIA CASTRO ESPINOZA</t>
  </si>
  <si>
    <t>Mis emociones, porque soy muy alegre</t>
  </si>
  <si>
    <t>HERMELINDA UGARTE VALENZUELA</t>
  </si>
  <si>
    <t>HEMERSON LAGUNA GUERRA</t>
  </si>
  <si>
    <t>RAMIREZ RIVERA DIANA</t>
  </si>
  <si>
    <t>CASTRO OBREGÓN NOEMI</t>
  </si>
  <si>
    <t>TRUJILLO GUERRA LUSMILA</t>
  </si>
  <si>
    <t>GUERRA HUANCA LINO</t>
  </si>
  <si>
    <t>ELVA MARGARITA CAQUI</t>
  </si>
  <si>
    <t>MELCHOR PINEDA OCOÑA</t>
  </si>
  <si>
    <t>Siempre estoy bien con mis hijos dialogando cualquier cosa</t>
  </si>
  <si>
    <t>ANAYA RAMIREZ LUZ MERY</t>
  </si>
  <si>
    <t>Estar bien de salud</t>
  </si>
  <si>
    <t>CARHUAPOMA RAMIREZ MAGALY</t>
  </si>
  <si>
    <t>Bien de salud con toda mi familia</t>
  </si>
  <si>
    <t>OBREGÓN DIAZ MIHAY</t>
  </si>
  <si>
    <t>Bienestar de mi familia</t>
  </si>
  <si>
    <t>OBREGÓN RAMIREZ JAIME EDWIN</t>
  </si>
  <si>
    <t>Estar de acuerdo con mis hijos</t>
  </si>
  <si>
    <t>OBREGÓN ESPINOZA GERSON ELIAZAR</t>
  </si>
  <si>
    <t>Estar de acuerdo en todo respecto a mi familia</t>
  </si>
  <si>
    <t>ZACARIAS PINEDA OCAÑA</t>
  </si>
  <si>
    <t>Ayudar en todas las tareas</t>
  </si>
  <si>
    <t>CABALLERO GARAY HERLINDA</t>
  </si>
  <si>
    <t>Salir con mi hijo</t>
  </si>
  <si>
    <t>GARGATE OBREGÓNDORILA</t>
  </si>
  <si>
    <t>Mi hija me ayuda a lavar los platos</t>
  </si>
  <si>
    <t>CABRERA SANCHEZ MELANIA</t>
  </si>
  <si>
    <t>ESPINOZA LAGUNA ELIZABETH</t>
  </si>
  <si>
    <t>OBREGÓN RAMIREZ LUANA</t>
  </si>
  <si>
    <t>Comunicacion con mi familia</t>
  </si>
  <si>
    <t>VILLASUAN SOTO ESTEFANY</t>
  </si>
  <si>
    <t>Cuidar a mi hijo, quererlo, enseñarle cosas</t>
  </si>
  <si>
    <t>PAULINO VALERIO ROYER</t>
  </si>
  <si>
    <t>Gracias a Dios por guiar a mi hijo por un buen camino</t>
  </si>
  <si>
    <t>OBREGON CABRERA SARA</t>
  </si>
  <si>
    <t>CHAVEZ CASTRO FIDENCIO</t>
  </si>
  <si>
    <t>CASTRO ANAYA MARGARITA</t>
  </si>
  <si>
    <t>RAMIREZ TRUJILLO LURDES</t>
  </si>
  <si>
    <t>RAMIREZ ROJAS YESENIA</t>
  </si>
  <si>
    <t>GARGATE RENTERA EDELINDA</t>
  </si>
  <si>
    <t>AQUINO RIVERS VILA</t>
  </si>
  <si>
    <t>TEOFILA OBREGÓN CASTRO</t>
  </si>
  <si>
    <t>FRETEL ROJAS YELY LUZ</t>
  </si>
  <si>
    <t>OBREGÓN RAMIREZ RAMÓN</t>
  </si>
  <si>
    <t>FRANCISCO AQUINO NURIA</t>
  </si>
  <si>
    <t>CASTRO GARAY ROSA</t>
  </si>
  <si>
    <t>HUANCA HUANCA CARMEN</t>
  </si>
  <si>
    <t>AGUIRRE CASTRO MARLENE JULIA</t>
  </si>
  <si>
    <t>OBREGÓN RAMIREZ MARCO</t>
  </si>
  <si>
    <t>YUPA FONSECA ANA</t>
  </si>
  <si>
    <t>RIOS TRUJILLO ERLINDA</t>
  </si>
  <si>
    <t>AGUIRRE CASTRO BETZAIDA</t>
  </si>
  <si>
    <t>AQUINO CASTRO ZARELA</t>
  </si>
  <si>
    <t>AQUINO AGUIRRE MANUEL</t>
  </si>
  <si>
    <t>JAVIER RUBINA ESTHER</t>
  </si>
  <si>
    <t>CASTRO DIAZ INES</t>
  </si>
  <si>
    <t>Cuando mis hijos me obedecen, estudian bien, me gustaría que me ayude mi pareja con mis hijos.</t>
  </si>
  <si>
    <t>Como madre me ayuda el respirar un poco cada que trato de hbalar con mi hija lo que es bueno o malo</t>
  </si>
  <si>
    <t>Estar bien en la familia para bienestar de nuestros hijos sin urgencias, vivir en paz y alegria.</t>
  </si>
  <si>
    <t>1551555</t>
  </si>
  <si>
    <t>631452</t>
  </si>
  <si>
    <t>ROJAS TURPO, MARICRUZ</t>
  </si>
  <si>
    <t>Mi estabilidad emocional, factor económico, ver a mis hijos felices, sanos, el amor de pareja, de mis hijos y familiares.</t>
  </si>
  <si>
    <t>Arely Rojas Beraun</t>
  </si>
  <si>
    <t>ESPADA FALERO, EDITH</t>
  </si>
  <si>
    <t>Conversar siempre en fam</t>
  </si>
  <si>
    <t>ROQUE GONSALES, SARAI</t>
  </si>
  <si>
    <t>Que mi hija este bien todos los días, alegre, feliz y contenta.</t>
  </si>
  <si>
    <t>VALVERDE ASIS, YANINA</t>
  </si>
  <si>
    <t xml:space="preserve">Entender lo que siente mi hija y saber explicarle y ver que me entiende me hace estar bien. </t>
  </si>
  <si>
    <t>1043934</t>
  </si>
  <si>
    <t>033524</t>
  </si>
  <si>
    <t>POMIANO YTA ROSARINDA</t>
  </si>
  <si>
    <t>Ver felices a mis hijos</t>
  </si>
  <si>
    <t>Andrea Cabellos</t>
  </si>
  <si>
    <t>DOLORES DOLORES KARLA</t>
  </si>
  <si>
    <t>Cocinar y compartir con sus hijos</t>
  </si>
  <si>
    <t>BLAZ HUERTA VILMA NANCY</t>
  </si>
  <si>
    <t>Bailar, caminar, cantar</t>
  </si>
  <si>
    <t>PUERTO HUARMEY</t>
  </si>
  <si>
    <t>1609 ESTRELLITAS DE MAR</t>
  </si>
  <si>
    <t>0360305</t>
  </si>
  <si>
    <t>025840</t>
  </si>
  <si>
    <t>SOLIS RAYMUNDO KATHERINE</t>
  </si>
  <si>
    <t>Tener una red de soporte</t>
  </si>
  <si>
    <t>MORA MADRID ANGIE</t>
  </si>
  <si>
    <t>Trabajar, salir con mi hija</t>
  </si>
  <si>
    <t>TIPIANI RIVERA OSCAR OLIVER</t>
  </si>
  <si>
    <t>Jugar con mi hijo</t>
  </si>
  <si>
    <t>ESCOBAR CARRANZA BRIGITTE FRANCIS</t>
  </si>
  <si>
    <t>Tener tiempo a solas</t>
  </si>
  <si>
    <t>FARROMEQUE SUYO MELANIE NICOLE</t>
  </si>
  <si>
    <t>Aplicar rutinas- descansar bien</t>
  </si>
  <si>
    <t>VICENCIO CARBAJAL BELHIÑA</t>
  </si>
  <si>
    <t>Salir a pasear</t>
  </si>
  <si>
    <t>ZUÑIGA FLORES ANDREA</t>
  </si>
  <si>
    <t>VARA MEJÍA YASMELY</t>
  </si>
  <si>
    <t>Estar feliz</t>
  </si>
  <si>
    <t>CASTILLO DIAZ JOSE LUIS</t>
  </si>
  <si>
    <t>Conversar con mi esposa</t>
  </si>
  <si>
    <t>ROSALES MORANTE VIVIAN</t>
  </si>
  <si>
    <t>Bailar, cantar y sentirme bonita</t>
  </si>
  <si>
    <t>BEILOR PAUCAR DELI ALINA</t>
  </si>
  <si>
    <t>Estar con mis hijos</t>
  </si>
  <si>
    <t>REQUES MENDOZA CAROLINA</t>
  </si>
  <si>
    <t>Ser mejor padre</t>
  </si>
  <si>
    <t>DEXTU ZULUNYU KARLA STEFANY</t>
  </si>
  <si>
    <t>Jugar con mis hijos</t>
  </si>
  <si>
    <t>HURTADO CABRERA LILIANA</t>
  </si>
  <si>
    <t>No se</t>
  </si>
  <si>
    <t>9 DE OCTUBRE</t>
  </si>
  <si>
    <t>480</t>
  </si>
  <si>
    <t>1603620</t>
  </si>
  <si>
    <t>668902</t>
  </si>
  <si>
    <t>MORALES CAPESTRANO JANET</t>
  </si>
  <si>
    <t>No tengo</t>
  </si>
  <si>
    <t>ROSALES JULCA LOURDES PILAR</t>
  </si>
  <si>
    <t>Pensar cosas positivas y con calma</t>
  </si>
  <si>
    <t>AYASH PICHIU</t>
  </si>
  <si>
    <t>475</t>
  </si>
  <si>
    <t>1597608</t>
  </si>
  <si>
    <t>665178</t>
  </si>
  <si>
    <t>GARAY ROJAS LILIANA</t>
  </si>
  <si>
    <t>Ver estudiar a mis hijas</t>
  </si>
  <si>
    <t>Antonella Espinoza Ramos</t>
  </si>
  <si>
    <t>RIVERA RAMIREZ RUT DEYSI</t>
  </si>
  <si>
    <t>Poder comprarles con mi trabajo ropa a mis hijos.</t>
  </si>
  <si>
    <t>FLORES RAMIREZ MERY</t>
  </si>
  <si>
    <t>Como mamá dar los buenos valores y ser un ejemplo para la vida cotidiana.</t>
  </si>
  <si>
    <t>VERAMENDI CASTRO GLORIA</t>
  </si>
  <si>
    <t>-</t>
  </si>
  <si>
    <t>Venir a cocinar, lavar su ropa, hacerlo por mis hijos.</t>
  </si>
  <si>
    <t>TICLIO BLAS DORA DELNA</t>
  </si>
  <si>
    <t>Cocinar para mi hijo.</t>
  </si>
  <si>
    <t>VERAMENDI CASTRO JULIA</t>
  </si>
  <si>
    <t>Que esté bien mi hijta</t>
  </si>
  <si>
    <t>AMARO VALDIVIA KATHERINE</t>
  </si>
  <si>
    <t>Me ayuda a salir a pasear con mis hijos, comprarlo.</t>
  </si>
  <si>
    <t>VILCA PEÑA CARLOS</t>
  </si>
  <si>
    <t>Mis hijos</t>
  </si>
  <si>
    <t>CAMILOAGA AMAYA FELIPE</t>
  </si>
  <si>
    <t>Yo amo mucho a mis hijos</t>
  </si>
  <si>
    <t>CAMILOAGA RAMIREZ KATY LUZ</t>
  </si>
  <si>
    <t>Su salud de mi hijo y apoyar en su estudio y verle feliz</t>
  </si>
  <si>
    <t>PINEDA FERNANDEZ LACIDA TEOFILA</t>
  </si>
  <si>
    <t>Mis hijos, todos los días con sus ocurrencias y chistes, sus bailes, cuando estoy triste me hace reír y son importante mi familia.</t>
  </si>
  <si>
    <t>ALVAREZ AQUINO YULY</t>
  </si>
  <si>
    <t>A salir adelante junto con mi hija.</t>
  </si>
  <si>
    <t>RAMIREZ MARQUEZ ENOCK</t>
  </si>
  <si>
    <t>Me ayuda salir adelante y soy muy feliz al tenerlos, hacer las cosas bien por ellos, salir todos juntos con la familia.</t>
  </si>
  <si>
    <t>GARAY RIOS MAVILA LILIANA</t>
  </si>
  <si>
    <t>Mis hijos cuando sacan buenas notas o aprenden a escribir o leer las vocales, con eso me siento feliz.</t>
  </si>
  <si>
    <t>AYASH</t>
  </si>
  <si>
    <t>471</t>
  </si>
  <si>
    <t>1597566</t>
  </si>
  <si>
    <t>665135</t>
  </si>
  <si>
    <t>RAMIREZ CALANCHO BRIGIDA JUANA</t>
  </si>
  <si>
    <t>Mis hijos, que hagan sus tareas.</t>
  </si>
  <si>
    <t>UGARTE GOMEZ YESICA</t>
  </si>
  <si>
    <t>Tener un trabajo estable para poder brindar una mayor estabilidad económica y que mi madre los cuide bien a mis hijos con amor y cariño.</t>
  </si>
  <si>
    <t>ZORRILLA BAZAN BEATRIZ</t>
  </si>
  <si>
    <t xml:space="preserve">Me ayuda el diálogo con mi pareja para tomar decisiones que hacer con mis hijos de la mejor manera, esperar que mis hijos estén bien </t>
  </si>
  <si>
    <t>APONTE PARDO AUGUSTO</t>
  </si>
  <si>
    <t xml:space="preserve">Estar en familia </t>
  </si>
  <si>
    <t>RIMAC VASQUEZ DIANA</t>
  </si>
  <si>
    <t>A mí me gustaría que mi hijo llegue siempre feliz, convencido</t>
  </si>
  <si>
    <t>JULCA CRUZ RINA MARIBEL</t>
  </si>
  <si>
    <t xml:space="preserve">Estar tranquila, calmada, y estar en familia siempre comunicados </t>
  </si>
  <si>
    <t>GONZALES NORENA CARMEN YOLANDA</t>
  </si>
  <si>
    <t xml:space="preserve">Me motiva mi hijito a salir adelante como una familia llena de valores y respeto </t>
  </si>
  <si>
    <t>VERAMENDI TRUJILLO ANTONIA</t>
  </si>
  <si>
    <t xml:space="preserve">Como mamá me gustaría ver feliz a mis hijos </t>
  </si>
  <si>
    <t>SANTILLAN RIMAC JUSTINA</t>
  </si>
  <si>
    <t xml:space="preserve">Ver crecer bien a mis hijos y que haga sus tareas </t>
  </si>
  <si>
    <t>GOMEZ CAMILOAGA EUSEBIA</t>
  </si>
  <si>
    <t>Mis hijos, que aprendan a ser profesionales.</t>
  </si>
  <si>
    <t>UGARTE SALAZAR HIPOLITO</t>
  </si>
  <si>
    <t>HUARIPAMPA BAJO</t>
  </si>
  <si>
    <t>416 - Huaripampa Bajo</t>
  </si>
  <si>
    <t>1100635</t>
  </si>
  <si>
    <t>025251</t>
  </si>
  <si>
    <t>CALDERON MALLQUI EDUARDO</t>
  </si>
  <si>
    <t xml:space="preserve">Que mis hijos gocen de buena salud y sentirse felices en sus clases con armonía con sus compañeros y decir que quiere ser ingeniero </t>
  </si>
  <si>
    <t>ROJAS VASQUEZ NILBER</t>
  </si>
  <si>
    <t xml:space="preserve">Mis hijos me hace sentir feliz </t>
  </si>
  <si>
    <t>BLAS SOLIS JULIO</t>
  </si>
  <si>
    <t xml:space="preserve">Ser una persona buena para sí mismo y también para mí familia, bien organizados, con mis hijos y un ejemplo a seguir para el resto de mis familiares </t>
  </si>
  <si>
    <t>SANTA CRUZ JULIA</t>
  </si>
  <si>
    <t xml:space="preserve">Conversar con la profesora de mis hijos y ayudar en casa </t>
  </si>
  <si>
    <t>DAVILA ROJAS ORLANDO</t>
  </si>
  <si>
    <t xml:space="preserve">Escuchar sus emociones, ideas y preocupaciones </t>
  </si>
  <si>
    <t>CALANCHO RODRIGUEZ CELIA</t>
  </si>
  <si>
    <t xml:space="preserve">A mí me ayuda como mamá sentir bien que mi hijo llega alegre del colegio </t>
  </si>
  <si>
    <t>YUPA PADILLA ELVA</t>
  </si>
  <si>
    <t xml:space="preserve">Mi hijo ayuda en casa, le encanta hacer su tarea, estoy contento con mi hijo nos trae buenas enseñanzas </t>
  </si>
  <si>
    <t>SIFUENTES TRUJILLO HILDA</t>
  </si>
  <si>
    <t xml:space="preserve">Me hace sentir contenta que mis hijos estén bien </t>
  </si>
  <si>
    <t>UGARTE GOMERO ESTHER</t>
  </si>
  <si>
    <t>El cariño hacia mi nieto Julian</t>
  </si>
  <si>
    <t>OLIVAS LLAVES MAGDALENA</t>
  </si>
  <si>
    <t>Cuando hablamos, cuando escuchan, obedecen, es por su bien</t>
  </si>
  <si>
    <t>CUEVA SALVADOR NELLY</t>
  </si>
  <si>
    <t>Cuando mi hija llega con buenas notas</t>
  </si>
  <si>
    <t>HUARIPAMPA ALTO</t>
  </si>
  <si>
    <t>098</t>
  </si>
  <si>
    <t>1551720</t>
  </si>
  <si>
    <t>631635</t>
  </si>
  <si>
    <t>UBALDO DIONICIO FLOR JANETH</t>
  </si>
  <si>
    <t xml:space="preserve">A mí me encanta cuando llega mi hijo feliz y me cuenta lo que hizo en la escuela </t>
  </si>
  <si>
    <t>ANAYA AQUINO JUAN IVAN</t>
  </si>
  <si>
    <t xml:space="preserve">A mí me ayuda a estar bien cuando mi hijo llega contento y feliz, contándome lo que ha aprendido en el colegio </t>
  </si>
  <si>
    <t>FIERRO CHAVEZ VANESA</t>
  </si>
  <si>
    <t>A mí me ayuda mi hija, que se sienta feliz tanto en mi casa y con sus compañeros, y me encanta las cosas que aprende</t>
  </si>
  <si>
    <t>CASTRO VERAMENDI SANTA</t>
  </si>
  <si>
    <t xml:space="preserve">Que se encuentren bien mis hijos y mi familia </t>
  </si>
  <si>
    <t>ANAYA LOARTE CELIA</t>
  </si>
  <si>
    <t xml:space="preserve">Me hace feliz mi hijo cuando llega feliz y es juguetón </t>
  </si>
  <si>
    <t>SOLORZANO MALLQUI ERICKA</t>
  </si>
  <si>
    <t xml:space="preserve">Le pregunto si están bien en la escuela y con los trabajos </t>
  </si>
  <si>
    <t>BLAS HUATA MACARIA</t>
  </si>
  <si>
    <t xml:space="preserve">Me ayuda a estar bien con mis hijos, estar en familia, sentirme feliz cuando llegan de la escuela y hacerle su comida </t>
  </si>
  <si>
    <t>ALBORNOZ GOMEZ DELCI</t>
  </si>
  <si>
    <t xml:space="preserve">Me ayuda estar bien con mis hijos, sentirme feliz cuando llegan de su colegio, y estar en familia </t>
  </si>
  <si>
    <t>MEJIA HUAYTA LUZ DALILA</t>
  </si>
  <si>
    <t xml:space="preserve">Yo me siento feliz cuando mi hijo llega feliz de su inicial, me cuenta cómo estudió, como jugaron con sus compañeros </t>
  </si>
  <si>
    <t>TARAZONA PLATINO THANIA</t>
  </si>
  <si>
    <t xml:space="preserve">Me hace feliz cuando nos sentamos en familia y compartimos del día como nos fue </t>
  </si>
  <si>
    <t>BETTY LOARTE DENICIO</t>
  </si>
  <si>
    <t xml:space="preserve">Como mamá me siento feliz cuando mi hija llega a casa muy feliz saludando con un abrazo </t>
  </si>
  <si>
    <t>ROJAS FELICITAS</t>
  </si>
  <si>
    <t>VERAMENDI FRANCISCO ROXANA YAQUI</t>
  </si>
  <si>
    <t xml:space="preserve">Me ayuda cuando mi hijo ya habla más que antes, y me cuenta que es lo que aprende en su escuela </t>
  </si>
  <si>
    <t>OSORIO BRIOSO ALICIA EDITHA</t>
  </si>
  <si>
    <t xml:space="preserve">Estar bien en unión familiar, que mis hijos estén saludables, que mis hijos adquieran conocimientos junto a sus padres </t>
  </si>
  <si>
    <t>PALACIOS HIDALGO GUIDO AMBROCIO</t>
  </si>
  <si>
    <t xml:space="preserve">A mí me gustaría estar siempre que mi hijo necesite estar bien, y que este bien también mi familia tanto en salud y económicamente </t>
  </si>
  <si>
    <t>MARZANO OBREGON EVA PAULINA</t>
  </si>
  <si>
    <t xml:space="preserve">A mí me ayuda que mis hijos ayuden en casa y trabajar en equipo </t>
  </si>
  <si>
    <t>BRIOSO PALACIOS NISSAN JOSSEP</t>
  </si>
  <si>
    <t xml:space="preserve">Me hace feliz cuando mi hermanita llega feliz y me cuenta todo lo que hizo en el inicial </t>
  </si>
  <si>
    <t>CASTRO SALVADOR JULIANA</t>
  </si>
  <si>
    <t xml:space="preserve">Mis hijos y mis nietos obedientes </t>
  </si>
  <si>
    <t>CASTRO ALBORNOZ ELVA</t>
  </si>
  <si>
    <t>A mí me ayuda que mi hijita no llore en su escuela, lo malo es que a veces sus compañeros le sacan sangre a mi hijita y luego me dicen que está enferma.</t>
  </si>
  <si>
    <t>ANAYA CRUZ LILA</t>
  </si>
  <si>
    <t xml:space="preserve">Me hace feliz cuando mi hijo llega de su escuela y me cuenta las cosas que aprendió </t>
  </si>
  <si>
    <t>ANAYA LOARTE ELVA</t>
  </si>
  <si>
    <t xml:space="preserve">Me gusta bailar, que mi hija este feliz y participar en el inicial </t>
  </si>
  <si>
    <t>AGUIRRE CASTRO NAZARIO</t>
  </si>
  <si>
    <t>Como mamá me gusta revisar las tareas con mi hijito</t>
  </si>
  <si>
    <t>ANAYA OLIVAS MARITZA</t>
  </si>
  <si>
    <t xml:space="preserve">A mí me ayuda que mi hija llegue contenta a la casa y sea feliz </t>
  </si>
  <si>
    <t>ROBLES REYES CARMEN</t>
  </si>
  <si>
    <t xml:space="preserve">Mis hijos llegan a contarnos del inicial, llegan cantando lo que han hecho en clase </t>
  </si>
  <si>
    <t>ANAYA BRIOSO DALIA</t>
  </si>
  <si>
    <t xml:space="preserve">A mí me gusta cuando mi hijo me cuenta lo que hizo en el colegio </t>
  </si>
  <si>
    <t>HUERTA ROJAS VICTORIA</t>
  </si>
  <si>
    <t>BRIOSO ANAYA LILI</t>
  </si>
  <si>
    <t>Me hace feliz cuando mi hijo me cuenta lo que hizo en su colegio con la miss, lo que cantan y lo que pintan</t>
  </si>
  <si>
    <t>HUARIPAMPA CENTRAL</t>
  </si>
  <si>
    <t>689</t>
  </si>
  <si>
    <t>1675032</t>
  </si>
  <si>
    <t>759488</t>
  </si>
  <si>
    <t>UGARTE REYNOSO ELIZABETH</t>
  </si>
  <si>
    <t xml:space="preserve">Que estén bien mis hijos, sanos y alimentados </t>
  </si>
  <si>
    <t>FONSECA RUBINA EUSTAQUIO</t>
  </si>
  <si>
    <t xml:space="preserve">Como papá me siento feliz porque mi hija avanza en su estudio </t>
  </si>
  <si>
    <t>DIAZ ZORRILLA LESLY</t>
  </si>
  <si>
    <t xml:space="preserve">Me motiva que mi hija quiera ser profesional y todos sus logros a corta edad </t>
  </si>
  <si>
    <t>HUERTA OBREGON MELVA VALERIANA</t>
  </si>
  <si>
    <t>A mí me ayuda a estar bien ver a mi hijo feliz y que esté avanzando en su estudio sacando buenas notas</t>
  </si>
  <si>
    <t>ALMERCON VERAMENDI BETY</t>
  </si>
  <si>
    <t xml:space="preserve">Me siento feliz con mi hija </t>
  </si>
  <si>
    <t>CASTILLO AGUIRRE CELIA</t>
  </si>
  <si>
    <t xml:space="preserve">Yo soy muy feliz con mi hijo </t>
  </si>
  <si>
    <t>GOMEZ HUAYTAN ANITA</t>
  </si>
  <si>
    <t>Ver a mi hijo muy feliz</t>
  </si>
  <si>
    <t>GOMEZ HUAYTAN YANET ABENCIA</t>
  </si>
  <si>
    <t xml:space="preserve">Yo como mamá me siento muy feliz para mis hijos </t>
  </si>
  <si>
    <t>ANAYA UGARTE SANTA ANA</t>
  </si>
  <si>
    <t xml:space="preserve">Me siento muy feliz que mi hija llegue alegre, que me cuente que aprendió en las clases y que me diga mamá estoy muy feliz </t>
  </si>
  <si>
    <t>SALVADOR CAMPOS DELIA</t>
  </si>
  <si>
    <t xml:space="preserve">Me siento feliz al ver a mi hijo feliz </t>
  </si>
  <si>
    <t>CIPRIAN HUAMAN MILAGROS</t>
  </si>
  <si>
    <t xml:space="preserve">A mí me motiva a estar feliz que mis hijas estén haciendo sus tareas y tenerles lista sus comidas </t>
  </si>
  <si>
    <t>GARAY RAMIREZ ROSMERY</t>
  </si>
  <si>
    <t xml:space="preserve">Ver crecer a mi hija con salud y llegar bien de su colegio y feliz </t>
  </si>
  <si>
    <t>1551548</t>
  </si>
  <si>
    <t>631447</t>
  </si>
  <si>
    <t>PAICO TRUJILLO, JESSICA</t>
  </si>
  <si>
    <t>Reunirme con mis amigas.</t>
  </si>
  <si>
    <t>ISNEROS MIRANDA, AUGURIO</t>
  </si>
  <si>
    <t>Hacer deporte y compartir con mi familia.</t>
  </si>
  <si>
    <t>CUEVA DIAZ, NELIDA ROXANA</t>
  </si>
  <si>
    <t>Me ayuda a reljarme  el ir a jugar voley , hacer deporte.</t>
  </si>
  <si>
    <t>BACA ESPINOZA, MARIBEL</t>
  </si>
  <si>
    <t>Prender música a todo volumen.</t>
  </si>
  <si>
    <t>PORTILLA RODRIGUEZ, LUZ DEYSI</t>
  </si>
  <si>
    <t>Escuchar música cristiana y hacer mis labores.</t>
  </si>
  <si>
    <t>0750026</t>
  </si>
  <si>
    <t>509734</t>
  </si>
  <si>
    <t>PALOMINO VILCA, ANA</t>
  </si>
  <si>
    <t>Sentirme tranquila, feliz.</t>
  </si>
  <si>
    <t>No contesto a la  competencia Autoconocimiento.</t>
  </si>
  <si>
    <t>DIAZ SALINAS, CELY FLOR</t>
  </si>
  <si>
    <t>El dialogo en familia, para tomar cualquier decision como padres.</t>
  </si>
  <si>
    <t>FLORES DÍAZ, ISELA</t>
  </si>
  <si>
    <t xml:space="preserve">Estar calmada para así dar una buena crianza a mi hijo y sobre todo tener mucha paciencia, aunque aveces me cuesta. </t>
  </si>
  <si>
    <t>CASTILLO TORRES, ISABEL</t>
  </si>
  <si>
    <t>Me ayuda a como corregir a mi hijo y como actuar con mi hijo.</t>
  </si>
  <si>
    <t>CUEVA ZAMBRANO, LUZ</t>
  </si>
  <si>
    <t>Cuando mi hija esta feliz yo soy feliz.</t>
  </si>
  <si>
    <t>REYES SOTELO, ALISSON</t>
  </si>
  <si>
    <t xml:space="preserve">Que mi hijo me obedezca cuando le digo que se porte bien, que coma, estudie. </t>
  </si>
  <si>
    <t>CASTROMONTE ZAMBRANO, CLARA SUSANA</t>
  </si>
  <si>
    <t>Cuando mis hijos se encuentran alegres y bien de salud.</t>
  </si>
  <si>
    <t>1043652</t>
  </si>
  <si>
    <t>033519</t>
  </si>
  <si>
    <t>CABRERA LAGUNA, RAISA</t>
  </si>
  <si>
    <t>Cuando mis hijos se sienten tranquilos, felices. Cuando logran lo que se proponen.</t>
  </si>
  <si>
    <t>FALERO SANCHEZ, LUZ MARIA</t>
  </si>
  <si>
    <t>Cuando mis hijos estan bien, yo estoy bien.</t>
  </si>
  <si>
    <t>REQUENA CASTILLO, FLOR</t>
  </si>
  <si>
    <t>Que mi hija este bien, sano, alimentado, nada mejor que mi hija se sienta feliz. La felicidad de mi hija me alegra muchísimo.</t>
  </si>
  <si>
    <t>PARDO FELIX, CARMEN</t>
  </si>
  <si>
    <t xml:space="preserve">Hablar, conversar para estar bien. </t>
  </si>
  <si>
    <t>Apoyo de la docente para el llenado de la encuenta.</t>
  </si>
  <si>
    <t>CELESTINO VILLAREAL, MATILDE</t>
  </si>
  <si>
    <t>Saliendo, conversando.</t>
  </si>
  <si>
    <t>ORTIZ MONTALVO, MARIA</t>
  </si>
  <si>
    <t>Me ayuda a estar bien con mi familia conversando.</t>
  </si>
  <si>
    <t>Solo dió respuesta a la competencia de habilidades relacionales y toma de decisones.</t>
  </si>
  <si>
    <t>MAGUIÑA COSME, YANET</t>
  </si>
  <si>
    <t>Que mis hijos se sientan bien, que cualquier problema tiene una solución.</t>
  </si>
  <si>
    <t>SOLANO CHINCHAY, MERCEDES YULIANA</t>
  </si>
  <si>
    <t>Cuando mi hijo esta alegre.</t>
  </si>
  <si>
    <t>VENTURO SILVA, CARMEN</t>
  </si>
  <si>
    <t>PASHANASTE, CLARA</t>
  </si>
  <si>
    <t>Sentirme tranquila conmigo misma, no estar renegando mucho, vivir en armonía con mi familia.</t>
  </si>
  <si>
    <t>RODRIGUEZ IPARRAGUIRRE, DOMINGA GIOVANA</t>
  </si>
  <si>
    <t>Que mis hijos sean obedientes.</t>
  </si>
  <si>
    <t>No contesto a la competencia conciencia social y habilidades relacionales.</t>
  </si>
  <si>
    <t>JIMENEZ JESÚS, MIRIAM</t>
  </si>
  <si>
    <t>El diálogo en familia.</t>
  </si>
  <si>
    <t>DEPAZ SALOME, LUZ</t>
  </si>
  <si>
    <t>Estar bien de salud.</t>
  </si>
  <si>
    <t>JARA MILLO, ERIKA</t>
  </si>
  <si>
    <t>Que me escuchen.</t>
  </si>
  <si>
    <t>DEPAZ SILVA, EDIT</t>
  </si>
  <si>
    <t>Cuando mis hijos estan felices, dialogan, se expresan.</t>
  </si>
  <si>
    <t>SALCEDO OROPEZA, NAYDU</t>
  </si>
  <si>
    <t>Ver a mi hijo siempre alegre.</t>
  </si>
  <si>
    <t>BELLO ZORRILLA, NELY</t>
  </si>
  <si>
    <t>Conversar con los niños y cuidarlos para que esten bien.</t>
  </si>
  <si>
    <t>BUSTOS SALCEDO, ZADITH STEPHANIE</t>
  </si>
  <si>
    <t>Conversar con mi hijo, que todo vaya bien eso es lo primordial.</t>
  </si>
  <si>
    <t>ROCA ESPINOZA, STEPHANY EMILIA</t>
  </si>
  <si>
    <t>Controlar mi ira, mi cólera.</t>
  </si>
  <si>
    <t>MORENO DOLORES, ROMELY NOIMÍ</t>
  </si>
  <si>
    <t>Salir a un espacio, conversar.</t>
  </si>
  <si>
    <t>BUSTOS SALCEDO, JUVI MIRELLA</t>
  </si>
  <si>
    <t>Dialogar ante cualquier problema.</t>
  </si>
  <si>
    <t>SANCHEZ, EVELINA</t>
  </si>
  <si>
    <t>Cuando mi nieto esta alegre, yo me siento feliz.</t>
  </si>
  <si>
    <t>VILLAFUERTE PAJUELO, KELY MARINA</t>
  </si>
  <si>
    <t>Atender sus emociones de mis hijos de como se sienten.</t>
  </si>
  <si>
    <t>LEYVA BAYLON ANTONIA</t>
  </si>
  <si>
    <t>La organización</t>
  </si>
  <si>
    <t>HUAMAN ESPINOZA ELIZABETH</t>
  </si>
  <si>
    <t>Conversa y salir con mi familia</t>
  </si>
  <si>
    <t>HUAMAN MONTES DEYSI</t>
  </si>
  <si>
    <t>Cuando me arreglo y tengo tiempo para mi</t>
  </si>
  <si>
    <t>MENDEZ ROJAS JESSICA</t>
  </si>
  <si>
    <t>Ser mamá</t>
  </si>
  <si>
    <t>GAMBOA MORALES LAURA ROSA</t>
  </si>
  <si>
    <t>Ver que mis hijos son felices</t>
  </si>
  <si>
    <t>TIPIANI BAZALAR KARLA ZULEYMA</t>
  </si>
  <si>
    <t>Crecer como persona</t>
  </si>
  <si>
    <t>CADILLO PALACIOS ESTHER</t>
  </si>
  <si>
    <t>Salir a caminar</t>
  </si>
  <si>
    <t>Requiere apoyo para escribir</t>
  </si>
  <si>
    <t>LEON MENDOZA AYME JULIANNY</t>
  </si>
  <si>
    <t>Que mis hijos estén bien y tener tiempo para mi</t>
  </si>
  <si>
    <t>SANCHEZ GONZALES ESMERALDA</t>
  </si>
  <si>
    <t>Bailar</t>
  </si>
  <si>
    <t>MARRAROS FLORES LILY MARLEY</t>
  </si>
  <si>
    <t>Hacer cosas del hogar con musica</t>
  </si>
  <si>
    <t>GONZALES FLORES MERGIE INYOANA</t>
  </si>
  <si>
    <t>1708239</t>
  </si>
  <si>
    <t>789744</t>
  </si>
  <si>
    <t>GUERRERO NICASIO LENIN</t>
  </si>
  <si>
    <t>Musica y deporte</t>
  </si>
  <si>
    <t>GOMERO VICENCIO SONIA</t>
  </si>
  <si>
    <t>RODRIGUEZ COSME LILIANA</t>
  </si>
  <si>
    <t>Salir al campo con mi familia</t>
  </si>
  <si>
    <t>CADILLO ELENA</t>
  </si>
  <si>
    <t>Tejer</t>
  </si>
  <si>
    <t>1042829</t>
  </si>
  <si>
    <t>019387</t>
  </si>
  <si>
    <t>BELEN FLORMARIA BALAREZO DOLORES</t>
  </si>
  <si>
    <t>Comunicarme con los miembros de mi familia para coordinar las actividades que vamos a realizar y que todos debemos ayudar en casa.</t>
  </si>
  <si>
    <t>Natalya Davila</t>
  </si>
  <si>
    <t>AMELIA LUCY ESPINOZA LEÓN</t>
  </si>
  <si>
    <t>Cuando mi hijo me da un abrazo y me dices que todo estara bien y que no me ponga triste</t>
  </si>
  <si>
    <t>MARLENY ESPERANZA RAFAEL ESPINOZA</t>
  </si>
  <si>
    <t>No tener nada de problemas, estar ocupada, cuando mis hijos estan bien de salud laeconomia</t>
  </si>
  <si>
    <t>NILDA ALOR BAÑON</t>
  </si>
  <si>
    <t xml:space="preserve">Que mi hijo se sienta bien, que sea un niño feliz, que sea un niño sano </t>
  </si>
  <si>
    <t>MILAGROS MADELEINE COCHACHIN</t>
  </si>
  <si>
    <t xml:space="preserve">Siempre comunicaremos de una forma explicita con nuestros hijos siempre orientarte en cada paso que da </t>
  </si>
  <si>
    <t>YOUI TADEO GAMARRA</t>
  </si>
  <si>
    <t>Orientaciones psicológicas, charlas motivacionales etc</t>
  </si>
  <si>
    <t>ELENA TRINIDAD</t>
  </si>
  <si>
    <t>Me gusta ir a la chacra</t>
  </si>
  <si>
    <t>0415869</t>
  </si>
  <si>
    <t>019556</t>
  </si>
  <si>
    <t>ZAROLITA SOLANO ESPIRITU</t>
  </si>
  <si>
    <t>Estar en familia compartir ideas</t>
  </si>
  <si>
    <t>IRMA SOLEDAD ABARCA</t>
  </si>
  <si>
    <t>Que mi hijo pequeño se sienta protegido, en confianza, etc</t>
  </si>
  <si>
    <t>DIANA SUSANA AZAÑA</t>
  </si>
  <si>
    <t xml:space="preserve">Me ayuda a estar bien cuando veo a mi hijo feliz, bien de salud, que tenga un buen comportamiento, que aprenda. BUenos valores y sobretodo verlo crecer cada dia y aprender cosas nuevas </t>
  </si>
  <si>
    <t>JEYSI VALVERDE GREGORIO</t>
  </si>
  <si>
    <t xml:space="preserve">Me ayuda ir a jugar voley con la familia y amistades </t>
  </si>
  <si>
    <t>JULISSA PIZANGO</t>
  </si>
  <si>
    <t xml:space="preserve">A mi me gusta escuchar musica y hablar con mis amigas </t>
  </si>
  <si>
    <t>ENITH MORALES CACHA</t>
  </si>
  <si>
    <t xml:space="preserve">Me gusta escuchar musica para sentirme mas alegre </t>
  </si>
  <si>
    <t>SUSANA RONDON GRANADOS</t>
  </si>
  <si>
    <t xml:space="preserve">A mi me ayuda como mama a estar bien cuando mis hijos estan bien de salud y me los tratan bien en el jardin </t>
  </si>
  <si>
    <t>REGINA MORI PADILLA</t>
  </si>
  <si>
    <t xml:space="preserve">Ser buenas personas con nuestros hijos, aconsejarlos desde pequeños para que en el futuro sean buenos con otras personas y ayudar a las personas con dificultades </t>
  </si>
  <si>
    <t>ELENA GONZALE JARA</t>
  </si>
  <si>
    <t xml:space="preserve">Converssar con mi familia y otras personas confiables que me puedan aconsejar como puedo ayudar a mis hijos y que ellos esten bien </t>
  </si>
  <si>
    <t>JUDITH HERRERA</t>
  </si>
  <si>
    <t xml:space="preserve">A atender a mis hijos y poder ayudarlos y calmarlos cuando esten haciendo sus berrinches </t>
  </si>
  <si>
    <t>HELLAN LAVERIO LAZARO</t>
  </si>
  <si>
    <t xml:space="preserve">Poder platicar con mis niños para que puedan ser obedientes, jugar con ellos y enseñarles a poder ordenar sus cosas, mucha comunicacion con ellos </t>
  </si>
  <si>
    <t>GABRIELA LIZBETH MORALES</t>
  </si>
  <si>
    <t xml:space="preserve">A queme hija se sienta felis y tranquila todos los dias </t>
  </si>
  <si>
    <t>1645373</t>
  </si>
  <si>
    <t>727925</t>
  </si>
  <si>
    <t>BLANCA ISIDRO TOSCANO</t>
  </si>
  <si>
    <t>El bienestar de mis hijos, que tengan lo necesario para su supervivencia y este sano para que pueda tener un desarrollo adecuado y sea feliz. Tambien me gusta jugar voley, ir a reuniones donde me divierto, salir de viaje, pasear</t>
  </si>
  <si>
    <t>VIVIANA NOEMI PALOMARES</t>
  </si>
  <si>
    <t xml:space="preserve">Tratar de entender a mi hija, apoyarla en lo que necesite, asi saber en que puedo ayudarla y saberla entender me hace sentir tranquila y feliz. Tambien me hace sentir tranquila jugar voley el deporte me ayuda </t>
  </si>
  <si>
    <t>GLORIA ESPINOZA FRANCISCO</t>
  </si>
  <si>
    <t xml:space="preserve">De sentirme bien como estoy yo y mis hijos osea mi familia, el apoyar el que mis hijos esten bien y pueda apoyarlos. A mi me hace sentir bien apoyar a los demas </t>
  </si>
  <si>
    <t>LIMBER GAMARRA PADILLA</t>
  </si>
  <si>
    <t xml:space="preserve">Trabajar y hacer deporte en familia </t>
  </si>
  <si>
    <t>ERIKA PAOLA MONTESINOS ISIDRO</t>
  </si>
  <si>
    <t xml:space="preserve">El dialogo y la autocritica conmigo misma, por otro lado estar en familia me hace sentir bien como mamá. Me hace sentir bien salir a pasear en familia y pasar un dia muy relajante </t>
  </si>
  <si>
    <t>SOLEDAD DE PAZ GONZALES</t>
  </si>
  <si>
    <t xml:space="preserve">Saber regular mis emociones, sobrellevar los problemas y entender mejor a mi hija. Estar sola un momento, hacer deporte distraerme en alguna cosa para despejarme de todo </t>
  </si>
  <si>
    <t>1505023</t>
  </si>
  <si>
    <t>606891</t>
  </si>
  <si>
    <t>YUDITH IRMA DAMIAN VALVERDE</t>
  </si>
  <si>
    <t xml:space="preserve">A mi me gusta lavar cocinar, jugar y escuchar musica </t>
  </si>
  <si>
    <t>ZORAIDA JESUS TRINIDAD</t>
  </si>
  <si>
    <t xml:space="preserve">Ir a la chacra escuchar musica </t>
  </si>
  <si>
    <t>CRISTINA DAMIAN VALVERDE</t>
  </si>
  <si>
    <t xml:space="preserve">Cocinar, escuchar musica y salir al campo a distraerme </t>
  </si>
  <si>
    <t>JULIA DAMIAN VALVERDE</t>
  </si>
  <si>
    <t xml:space="preserve">Cocinar, escuchar musica, lavar, salir al campo </t>
  </si>
  <si>
    <t>JESSICA DE LA CRUS GAMARRA</t>
  </si>
  <si>
    <t xml:space="preserve">Escuchar musica, hacer mis cosas salir a la calle a pasear y respirar un poco de aire </t>
  </si>
  <si>
    <t>LISSETH DAMIAN RAIMUNDO</t>
  </si>
  <si>
    <t xml:space="preserve">Ir a la chacra escuchando musica y tambien me siento bien si mi hija esta bien y feliz </t>
  </si>
  <si>
    <t>LILIANA ANDREA SANCHEZ</t>
  </si>
  <si>
    <t xml:space="preserve">Como mamá me ayuda a calmar a mi hija, sobrellevar lo que me hace entenderla porque es pequeña y dia a dia hablarle bien </t>
  </si>
  <si>
    <t>ALDAVE JESUS MADELI</t>
  </si>
  <si>
    <t>Como mamá me ayuda a estar bien conversar sobre lo que está pasando en la familia, salir a distraerme un rato</t>
  </si>
  <si>
    <t>ELSA ISIDRO DE PAZ</t>
  </si>
  <si>
    <t xml:space="preserve">Salir a caminar por las chacras y ver tv </t>
  </si>
  <si>
    <t>MARY VILLAR RAYMUNDO</t>
  </si>
  <si>
    <t xml:space="preserve">Estar con mis hijos, irme a la chacra, escuchar musica y cocinar </t>
  </si>
  <si>
    <t>EDITH MEJIA FLORES</t>
  </si>
  <si>
    <t xml:space="preserve">Estar con mis hijos jugando, escuchando musica porque ellos se ponen a bailar y te hacen reir </t>
  </si>
  <si>
    <t>DALILA PAREDES VALENZUELA</t>
  </si>
  <si>
    <t xml:space="preserve">Cuando me voy a la chacra con mis hijos y se distraen y se sienten muy feliz </t>
  </si>
  <si>
    <t>0469999</t>
  </si>
  <si>
    <t>019636</t>
  </si>
  <si>
    <t>HUARANCCA VASQUEZ, MARILYN</t>
  </si>
  <si>
    <t xml:space="preserve">Que la familia esté contenta. </t>
  </si>
  <si>
    <t>BENITO RIVERA, EVA MARÍA</t>
  </si>
  <si>
    <t>Sentirme bien para atender las nesecidades de mi hijo y cuidar de si misma.</t>
  </si>
  <si>
    <t>ORDOÑEZ QUIJANO, JESSICA</t>
  </si>
  <si>
    <t>Que mis hijos sientan confianza.</t>
  </si>
  <si>
    <t>HERRERA SIPAN, AISSA</t>
  </si>
  <si>
    <t>Ver a mi hijo feliz.</t>
  </si>
  <si>
    <t>HUAMAN DEXTRE,YESSICA</t>
  </si>
  <si>
    <t>Que mis hijos tengan salud eso es muy importante.</t>
  </si>
  <si>
    <t>MARGELY</t>
  </si>
  <si>
    <t>Llevar siempre las cosas bien y corregir a mi hija en cada aspecto.</t>
  </si>
  <si>
    <t>LOPEZ VEGA, YOSI MIRALISA</t>
  </si>
  <si>
    <t>Conversar en familia.</t>
  </si>
  <si>
    <t>RAMIREZ FLORIAN SUSANA CARMEN</t>
  </si>
  <si>
    <t>La comunicación.</t>
  </si>
  <si>
    <t>YAURI ESPINOZA, KELLY</t>
  </si>
  <si>
    <t xml:space="preserve">Cuidar a mi hija. </t>
  </si>
  <si>
    <t>FLORES CANTI, ERIKA</t>
  </si>
  <si>
    <t xml:space="preserve">Cuidandolos y supervisandolos yo misma a ellos. </t>
  </si>
  <si>
    <t>DÍAZ ZAMBRANO, ANAI STEFANY</t>
  </si>
  <si>
    <t>Tranquilidad.</t>
  </si>
  <si>
    <t>DIAZ ALDAVE, KATTY RAQUEL</t>
  </si>
  <si>
    <t>Que mi hijo se encuentre bien de salud,se sienta bien psicológica y emocionalmente</t>
  </si>
  <si>
    <t>RETUERTO RAMOS, CARLA</t>
  </si>
  <si>
    <t>Ver a mis hijos felices.</t>
  </si>
  <si>
    <t>PANTOJA GARAY, STEFANY</t>
  </si>
  <si>
    <t>Estar bien emocionalmente, físicamente y mentalmente.</t>
  </si>
  <si>
    <t>ROJAS LOZANO, ASTRID</t>
  </si>
  <si>
    <t>Que mis hijos estén bien.</t>
  </si>
  <si>
    <t>REQUELME MÉNDEZ, FIORELLA</t>
  </si>
  <si>
    <t>La felicidad de mi hijo.</t>
  </si>
  <si>
    <t>ALARCÓN SOLÍS, MARÍA DEL CARMEN</t>
  </si>
  <si>
    <t>Tener mejores criterios.</t>
  </si>
  <si>
    <t>DÍAZ CASTRO, ALISON</t>
  </si>
  <si>
    <t>La compañía de la familia y su apoyo.</t>
  </si>
  <si>
    <t>SÁNCHEZ MONTES,MARCELINA ERLINDA</t>
  </si>
  <si>
    <t>Que mi hija este bien.</t>
  </si>
  <si>
    <t>ELMER JULIAN RUFINO JULCA</t>
  </si>
  <si>
    <t>Control de mis impulsos emocionales como temperamento, carácter, práctica de un buen pensamiento, actuar con principios, valores, apoyarse con la fe espiritual. Tambien realizar viajes constantes.</t>
  </si>
  <si>
    <t>ROSMERY YOSELIN TICLER RAFAEL</t>
  </si>
  <si>
    <t>Lavando mi ropa, escuchando música la que me gusta, me distraigo con mis bebes cuando converso con mi mamá y mis hijitas.</t>
  </si>
  <si>
    <t>EMILIA DIAZ</t>
  </si>
  <si>
    <t>Me gusta ir a mi chacra, dar de comer a mis animales y atender a mi niña</t>
  </si>
  <si>
    <t>KATERIN GONZALES BENITES</t>
  </si>
  <si>
    <t>Dormir bien y no estar muy estresados y asi no pasar la mala vibra a los niños, la comunicacion es importante en la convivencia con nuestros niños la confianza criar con amor a los niños.</t>
  </si>
  <si>
    <t>FAUSTA CUEVA FLORIAN</t>
  </si>
  <si>
    <t>Me gusta viajar, leer, jugar voley, futbol, escuchar música o ver dibujos animados</t>
  </si>
  <si>
    <t>CARMEN ELENA GUILLERMO DIAZ</t>
  </si>
  <si>
    <t>Escuchar musica relajante, pasear, limpiar, hacer limpieza</t>
  </si>
  <si>
    <t>JUAN ERICK SOTELO ESPINOZA</t>
  </si>
  <si>
    <t>Estar en familia, hablar, dialogar con mi esposa e hijos por el buen camino a futuro</t>
  </si>
  <si>
    <t>PAULINA MOLINA POLINAR</t>
  </si>
  <si>
    <t xml:space="preserve">Que mis hijos esten bien tranquilos, sanos emocionalmente, vivir en armonia en comunicacion </t>
  </si>
  <si>
    <t>NURIA RUTH MINAYA PADILLA</t>
  </si>
  <si>
    <t xml:space="preserve">Tener una buena comunicación con mi familia </t>
  </si>
  <si>
    <t>GLADYS LEON SALINAS</t>
  </si>
  <si>
    <t>Ir a la chacra</t>
  </si>
  <si>
    <t>ENA CASTILLO BAUTISTA</t>
  </si>
  <si>
    <t xml:space="preserve">Salir a jugar con la familia </t>
  </si>
  <si>
    <t>Conversar con los niños antes de castigarla, tratarlo con cariño y con amor, calmarnos antes de castigarlos.</t>
  </si>
  <si>
    <t>Que mi hija que este bien de salud y tambien que aprende respeto y de valores en la casa y sus estudios.</t>
  </si>
  <si>
    <t>Hablar con mis hijos</t>
  </si>
  <si>
    <t>Me ayuda que mi hijo este tranquilo.</t>
  </si>
  <si>
    <t>Que mi hijo este bien de salud, estar bien en sus estudios y que este alegre y feliz siempre, que no le pase nada.</t>
  </si>
  <si>
    <t>Conversar con mi familia y compartir.</t>
  </si>
  <si>
    <t>PINTO ESPINOZA, MILA</t>
  </si>
  <si>
    <t>Ayudarle en sus tareas y que sea respetuosa.</t>
  </si>
  <si>
    <t>RONALDIÑO PERFECTO PAICO</t>
  </si>
  <si>
    <t>Que mis hijos esten bien de salud.</t>
  </si>
  <si>
    <t>MARÍA PAUCAR DAMIAN | NESTOR ELFRIN ARCE MEDINA</t>
  </si>
  <si>
    <t>Me ayuda la emoción tranquilidad.</t>
  </si>
  <si>
    <t>RODOLFO AMADO CADILLO | JANETH BAÑEZ NAVARRO</t>
  </si>
  <si>
    <t>Que mi hija se comporte bien y salga bien en sus estudios.</t>
  </si>
  <si>
    <t>Trato de conversar con mi pareja y tratamos de solucionar los problemas que tenemos.</t>
  </si>
  <si>
    <t>MAXIMO CUYA NARRO | | ABEL ESPINOZA LEIVA</t>
  </si>
  <si>
    <t>Me ayuda hablar y dialogar.</t>
  </si>
  <si>
    <t>DELIOSA SALVADOR VALENCIA</t>
  </si>
  <si>
    <t>Me ayuda que mis hijos esten bien.</t>
  </si>
  <si>
    <t>Apoyar a hacer su tarea.</t>
  </si>
  <si>
    <t>BRAYAN CARHUAPOMA TARAZONA | MILAGROS GUERRA RAMIREZ</t>
  </si>
  <si>
    <t>A mi me ayuda a estar bien los abrazos de mi hijo y cuando mi hijo es obediente y caballero con el resto.</t>
  </si>
  <si>
    <t>Como mamá me ayuda a estar bien con mis hijos, tranquila, calmada, escuchar música y apoyar a mis hijos en lo que necesita.</t>
  </si>
  <si>
    <t>Disfrutar cada momento en mis hijos.</t>
  </si>
  <si>
    <t>Conversar con su pareja sobre sus hijos cómo se comportan</t>
  </si>
  <si>
    <t>JUAN DAVID QUISPE VARGAS | CLARA RIOS CHAVEZ</t>
  </si>
  <si>
    <t>Sacar adelante a mis hijos para que sean profesionales en el futuro.</t>
  </si>
  <si>
    <t>MAVILON CHAVEZ SALAZAR</t>
  </si>
  <si>
    <t>Conversar con la familia y explicarle a mi hija, así estoy bien.</t>
  </si>
  <si>
    <t>MELECIANA LUCINDA VALLE GAYTAN</t>
  </si>
  <si>
    <t xml:space="preserve">Estar bien con mi familia y mis hijos </t>
  </si>
  <si>
    <t>RAUL ASCENCIOS ALEGRE</t>
  </si>
  <si>
    <t>Me ayuda estar tranquila emocionalmente.</t>
  </si>
  <si>
    <t>HILDA HERRERA FRANCSICO</t>
  </si>
  <si>
    <t>Cuando mi hijo me obedece cuando le hablo.</t>
  </si>
  <si>
    <t>Estar con mis nietos.</t>
  </si>
  <si>
    <t>Conversar con mi familia sobre lo que pasa en mi hogar y sobre mis hijos</t>
  </si>
  <si>
    <t>YANINA RAMOS GUERRA</t>
  </si>
  <si>
    <t>Estar muy bien con ellos dar una buena educación y que se han responsables con sus cosas</t>
  </si>
  <si>
    <t>ALICIA AQUINO GAYTA</t>
  </si>
  <si>
    <t>Me ayuda mis hermanos y mi mamá siempre cuando le pido a mi hija también.</t>
  </si>
  <si>
    <t>Ser más responsable, estar orgullosa como mamá, hablar con mis hijos y escuchar a él también. Apoyar en su momento, en sus cosas enseñar en casa</t>
  </si>
  <si>
    <t>DIONY YLLARY MARQUEZ CHAVEZ | SILVIA CHAVEZ DAVILA</t>
  </si>
  <si>
    <t>Estar tranquila con mi hija y enseñarle a leer sus libros.</t>
  </si>
  <si>
    <t>Tranquilizarme y tener paciencia para poder sobrellevar en todas las situaciones</t>
  </si>
  <si>
    <t>LUCINDA ARAUJO GUERRA</t>
  </si>
  <si>
    <t>Me ayuda mis hijos que esten todo bien de salud</t>
  </si>
  <si>
    <t>Conversar y dialogar en familia cualquier problema.</t>
  </si>
  <si>
    <t>Su tranquilidad de mis hijos</t>
  </si>
  <si>
    <t>A mi me ayuda a estar bien que mis hijos esten bien</t>
  </si>
  <si>
    <t>El hecho de estar juntos y verlos feliz me fortalece para seguir adelante.</t>
  </si>
  <si>
    <t>Me ayuda mejorar como mamá a controlar mis emociones a dialogar en familia.</t>
  </si>
  <si>
    <t>A mi lo que me ayuda a estar bien como mamá es im hijo que es mi mayor motivación y felciidad entre tristezas y llantos. El es mi mayor regalo que tengo.</t>
  </si>
  <si>
    <t>Mejorar en cada errores que tengamos</t>
  </si>
  <si>
    <t>Primero estar bien para poder hablar con mis hijos y así estar bien.</t>
  </si>
  <si>
    <t>En el amor que nos da nuestros hijos. Por nuestros hijos debemos estar bien.</t>
  </si>
  <si>
    <t>VICTOR ADRIANO LEÓN | DELINA GUERRA VEGA</t>
  </si>
  <si>
    <t>Nos ayuda estar en comunicación entre familias.</t>
  </si>
  <si>
    <t>WAGNER FERNANDEZ AIRA | FLOR HUERTA MALLQUI</t>
  </si>
  <si>
    <t>Me ayuda a hablar con mis hijas para entenderme y comprendernos y tener mucha paciencia.</t>
  </si>
  <si>
    <t>Ayudar hacer con sus tareas mi hija y enseñar quehaceres en la casa, ordenar sus cosas</t>
  </si>
  <si>
    <t>NAUN YESMER QUISPE UGARTE | LESLIE LISSELY VARGAS RAMIREZ</t>
  </si>
  <si>
    <t>Que mis hijos se sientan contentos, alegres y estar unida en familia ayuda a que mi hija de sienta muy contenta. Me ayuda a ser mamá para mejorar cada día.</t>
  </si>
  <si>
    <t>ELMER ZORRILLA GUERRA | VANESSA ESPINOZA QUEDO</t>
  </si>
  <si>
    <t>Tener comunicación en familia, ayudar a mi hijo en sus tareas.</t>
  </si>
  <si>
    <t>SUSA GARAY FERNANDEZ | FRANKLYN GARAY ESPINOZA</t>
  </si>
  <si>
    <t>Salir con mi familia a pasear me hace sentir bien.</t>
  </si>
  <si>
    <t>Conversar hablar y comunicar con mi familia sobre las cosas que esta pasando en mi hogar.</t>
  </si>
  <si>
    <t>Me ayuda tener una red de apoyo, es red es mi madre. Me ayuda mucho a reconocer mis emociones y así poder regularlas. Estar bien para así estar bien con el resto.</t>
  </si>
  <si>
    <t>VICTORIA DAVILA LOARTE</t>
  </si>
  <si>
    <t>Me gusta ayudar a mi niños en sus trabajos</t>
  </si>
  <si>
    <t>MIGUEL CHAVEZ DAVILA | LIDIA MALLQUI ARAUJO</t>
  </si>
  <si>
    <t>Reflexionando sobre como comunicarme con mis hijos.</t>
  </si>
  <si>
    <t>Comunicar con mi familia las cosas que pasa en mi entorno.</t>
  </si>
  <si>
    <t>WILMER RIOS CHAVEZ | ANGELICA DIAZ LLIUYA</t>
  </si>
  <si>
    <t>Estar camlmada nos ayuda a todos para no lastimarnos y no decir palabras hirientes.</t>
  </si>
  <si>
    <t>Conversar antes que nada y escuchar a mis hijos</t>
  </si>
  <si>
    <t>Tener comunicación con mis hijos. Ayudar con sus tareas, aconsejar cuando estan tristes.</t>
  </si>
  <si>
    <t>Sentirme motivado</t>
  </si>
  <si>
    <t>Conversar con mis hijos y estar todos juntos con mi familia</t>
  </si>
  <si>
    <t>Saber que mi hijo tiene la estabilidad que merece.</t>
  </si>
  <si>
    <t>Cuando mi hijo está tranquilo</t>
  </si>
  <si>
    <t>VARGAS MIRANDA, JHOSMEL</t>
  </si>
  <si>
    <t>solo hizo post test</t>
  </si>
  <si>
    <t>Mi hija ayuda porque tiene muchas ideas de hacer sus bromas y hacer reir todo</t>
  </si>
  <si>
    <t>Me ayuda mis hijos</t>
  </si>
  <si>
    <t>CLELIA POMA MURGA</t>
  </si>
  <si>
    <t>Que se sientan en familia mis hijas</t>
  </si>
  <si>
    <t>ORFELINDA ROJAS CHAVEZ</t>
  </si>
  <si>
    <t>Estar bien de salud y que mi hijo este en un ambiente bueno y que ese tranquilo y feliz</t>
  </si>
  <si>
    <t>YOLANDA CHAVEZ DOMINGUEZ</t>
  </si>
  <si>
    <t>Ver crecer a mis hijas bien de salud y su alimentación.</t>
  </si>
  <si>
    <t>TANIA LOARTE CHAVEZ</t>
  </si>
  <si>
    <t>CIRILA MALLQUI GARAY</t>
  </si>
  <si>
    <t>Me ayuda respirar y reflexionar cuando hace desorden y conversamos en familia y entendemos sus emociones.</t>
  </si>
  <si>
    <t>solo hizo post tet</t>
  </si>
  <si>
    <t>Me ayuda a mi que mi hijo me enseñe a como calmarse y también que sea un niño obediente</t>
  </si>
  <si>
    <t>EUGENIA ESPINOZA CASTILLO</t>
  </si>
  <si>
    <t>A mi me ayuda conversar con mi hijo y ser empatica, ayudar las cosas que puede hacerle feliz, siempre estar con el ayudando en lo que necesite.</t>
  </si>
  <si>
    <t>Mi hijos estes bien de salud y que no les pase nada.</t>
  </si>
  <si>
    <t>Es una responsabilidad muy sería y una experiencia muy hermosa en mi vida diaria.</t>
  </si>
  <si>
    <t>Estar con mis hijos y ayudarles en su tarea.</t>
  </si>
  <si>
    <t>Relajarme y calmarme con tranquilidad.</t>
  </si>
  <si>
    <t>Estar relajada o calmada</t>
  </si>
  <si>
    <t>Me ayuda a reflexionar de como educar e incullcar a mis hijas sin maltratos físico o emocional</t>
  </si>
  <si>
    <t>ROSA BLAS VILLANUEVA | FELICIANO ROJAS SANCHEZ</t>
  </si>
  <si>
    <t xml:space="preserve">Solucionar el motivo de lo que pasa y resguardar en mi corazon todo lo que puedo sentir. </t>
  </si>
  <si>
    <t>Tranquilizarme y tejer en casa</t>
  </si>
  <si>
    <t>Estar junto con mis hijos.</t>
  </si>
  <si>
    <t>ROCIA MOSQUERA VEGA</t>
  </si>
  <si>
    <t>Me ayuda a sentirme feliz y contento con mi familia, conversar y compartir.</t>
  </si>
  <si>
    <t>SANTA ANAYA PEÑA</t>
  </si>
  <si>
    <t>Ayudar en las tareas.</t>
  </si>
  <si>
    <t>ANDRIA DURÁN FLORES</t>
  </si>
  <si>
    <t>Salir al campo, escuchar música, hablar con alguien más y viajar.</t>
  </si>
  <si>
    <t>no hizo pretest</t>
  </si>
  <si>
    <t>Conversar en casa con toda mi familia en hora de cenar o almorzar o en horas después de la cena.</t>
  </si>
  <si>
    <t xml:space="preserve">Armonía con los integrantes de casa, confianza con mis hijos, pareja y familia, escuchar música fuerte, el orden y la limpieza. </t>
  </si>
  <si>
    <t xml:space="preserve">Que mi hija este bien de salud, que me vaya bien en las cosas que haga, que estemos bien en mi familia. </t>
  </si>
  <si>
    <t>ZUBIETA CERRATE, CAROLINA</t>
  </si>
  <si>
    <t>Tener un tiempo a solas.</t>
  </si>
  <si>
    <t>CARRIÓN MALLQUI, MAYRA MERCEDES</t>
  </si>
  <si>
    <t>Hablar con mi hija cómo se siente, si esta triste o feliz y estar feliz con mi familia.</t>
  </si>
  <si>
    <t>HUAMAN VILLAVICENCIO, VICTORIA</t>
  </si>
  <si>
    <t>A enseñarle que tengo paciencia y manejar las emociones.</t>
  </si>
  <si>
    <t>FLORES CANTO, ERIKA</t>
  </si>
  <si>
    <t>Me ayuda, en tener un niño y niña alegre y feliz.</t>
  </si>
  <si>
    <t>ALARCÓN SOLIS, MARÍA DEL CARMEN</t>
  </si>
  <si>
    <t>Respirar y soplar para calmarme. Ver lasonrisa de mis hijos.</t>
  </si>
  <si>
    <t>SANCHEZ TORRES, VALENTÍN</t>
  </si>
  <si>
    <t>Respirar me ayuda a controlar mi temperamento cuando algo sucede.</t>
  </si>
  <si>
    <t>QUIÑONES TRUJILLO, MARTHA</t>
  </si>
  <si>
    <t>No completo.</t>
  </si>
  <si>
    <t>Estar bien.</t>
  </si>
  <si>
    <t>AYALA SALINAS, EVELIN</t>
  </si>
  <si>
    <t>Conversar sobre el tema con mi esposo y contarle lo que sucedio y ver que podemos hacer sobre el tema.</t>
  </si>
  <si>
    <t>HERRERA SIPAN, AISSA NAYSHA</t>
  </si>
  <si>
    <t>A respirar y tratar bien a mi hijo.</t>
  </si>
  <si>
    <t>MANRIQUE HIZO, SULEMA</t>
  </si>
  <si>
    <t>Primero saber que siento lo mismo que ellos. Ser paciente y tomar decisiones asertivas.</t>
  </si>
  <si>
    <t>CONCEPCIÓN VASQUEZ, LADY</t>
  </si>
  <si>
    <t xml:space="preserve">Me ayuda los mensajes de cada sesión realizada a saber manejar mis emociones, porque su corazón y sentimientos de mi niño es como la hoja de papel, si lo destruyo queda dañado. </t>
  </si>
  <si>
    <t>RAMIRES FLORIAN, SUSANA</t>
  </si>
  <si>
    <t>Compartir con mis hijos de todo lo que uno consigue para ellos y hacer deporte con mis hijos.</t>
  </si>
  <si>
    <t>CHAVEZ CUZCANO, VIDAL JULIO</t>
  </si>
  <si>
    <t>Me ayuda a que mi hijo crezca bien con valores, responsabilidad y disciplina. Que mi familia crezca con amor.</t>
  </si>
  <si>
    <t>CAMONES RIVERA, JAMES</t>
  </si>
  <si>
    <t>observar a mis hijos y preguntarles que les pas, que problemas tienen y yo les brindo consejos y todo lo necesario para que esten bien.</t>
  </si>
  <si>
    <t>SANCHEZ MONTES, MARCELINA</t>
  </si>
  <si>
    <t>ALHUAY QUISPE, JANET</t>
  </si>
  <si>
    <t>No hubo respuesta.</t>
  </si>
  <si>
    <t>A estar bien con mi familia y tomar buenas decisiones.</t>
  </si>
  <si>
    <t>JUMPA SALINAS, SANDY</t>
  </si>
  <si>
    <t>En tener mucha paciencia.</t>
  </si>
  <si>
    <t>A mí me ayuda bastante conversar, platicar en familia sobre nuestros hijos como estan o se encuentran.</t>
  </si>
  <si>
    <t>En casa hablamos sobre como nos sentimos, tomar decisiones juntos sobre los niños.</t>
  </si>
  <si>
    <t>Me ayuda a fortalecer y estar más unidos con toda mi familia y a la vez estar contentos con uno mismo.</t>
  </si>
  <si>
    <t>A mí me gusta estar bien con mi familia, estar bien conmigo misma, me ayuda a dialogar con mi hijo y saber tratarlo bien y vivir en paz y con amor.</t>
  </si>
  <si>
    <t xml:space="preserve">No completo </t>
  </si>
  <si>
    <t>Me ayuda mucho la unión de mi esposo a mantener una familia sólida y mi fortaleza y ganas de salir adelante mi hija.</t>
  </si>
  <si>
    <t>Para estar bien converso en familia y también con los hijos y eso me hace sentir que estoy bien.</t>
  </si>
  <si>
    <t>Tomar decisiones con buenos valores a nuestro hijo. Continuar con las enseñanzas del programa.</t>
  </si>
  <si>
    <t>Nos ayuda a entender y como actuar con nuestros hijos antes de hablar o tomar decisiones.</t>
  </si>
  <si>
    <t>CELESTINO VILLARREAL, MATILDE</t>
  </si>
  <si>
    <t>Me gusta conversar con mis hijos.</t>
  </si>
  <si>
    <t>MORENO REQUENA, ANAHI</t>
  </si>
  <si>
    <t>Estar orientada para poder afrontar cada emoción que se nos atraviesa en nuestro hogar y también gracias a crecemos con amor por apoyarnos con mas orientaciones.</t>
  </si>
  <si>
    <t>HUAMANI MENDOZA, RUSSIAN</t>
  </si>
  <si>
    <t>La comunicación en la familia. Salir de la monotonía en todo sentido.</t>
  </si>
  <si>
    <t>CALDERÓN PEREZ, ROCIO JANETH</t>
  </si>
  <si>
    <t>Descansar, saber que mi hija esta bien en el jardin o en la casa, distraerme con mi familia.</t>
  </si>
  <si>
    <t>Como mamá me ayuda a estar bien establecer comunicación con mis hijos y esposo, tomar decisiones juntos, cuando es necesario buscar apoyo.</t>
  </si>
  <si>
    <t>PASHANASTE AGUILAR, CLARA</t>
  </si>
  <si>
    <t>Sentirme bien conmigo misma, saber corregir a mi hija, estar calmada en todo momento porque si me altero puedo afectar a mi hija y a mi como mamá, conversando y sobre todo a vivir tranquila en familia.</t>
  </si>
  <si>
    <t>Ver feliz y sano a mi hijo y verlo aprendiendo cosas nuevas en el colegio.</t>
  </si>
  <si>
    <t>PAREDES SANCHEZ, GREGORIA</t>
  </si>
  <si>
    <t>Conversar con una persona que realmente me entienda y me de consejos.</t>
  </si>
  <si>
    <t>Si estan bien los hijos.</t>
  </si>
  <si>
    <t>Me ayuda a sentirme bien emocionalmente y estar mas relajada y tomar mis decisiones con calma, luego tratar con mucho amor a nuestros hijos.</t>
  </si>
  <si>
    <t>Conversar padre y madre para estar bien.</t>
  </si>
  <si>
    <t xml:space="preserve">Me gusta tener mucha confianza con mi niño, con la enseñanza de crecemos con amor me ha ayudado muchísimo. </t>
  </si>
  <si>
    <t>Conversar en familia ante cualquier problema.</t>
  </si>
  <si>
    <t>Que a mi hijo no le falte nada y siempre dialogar con mi pareja por el futuro de mi hijito.</t>
  </si>
  <si>
    <t>Que me tengan confianza, que no solamente soy su mamá sino una amiga.</t>
  </si>
  <si>
    <t xml:space="preserve">Ponerme a orar y cantar música cristiana. </t>
  </si>
  <si>
    <t>ROMERO SOTEL, VICTOR</t>
  </si>
  <si>
    <t>En tener una conversación antes de tomar algún acuerdo, para que podamos tener un cambio para bien en familia.</t>
  </si>
  <si>
    <t>A mí me ayuda la comunicación constante de como nos sentimos, así tomar decisiones las más correctas en la educación de mis hijas.</t>
  </si>
  <si>
    <t>Me ayuda a estar bien cuando mi niño entiende y obedece cuando le explico el porqué de las cosas y cumple con los valores que le inculcamos día a día.</t>
  </si>
  <si>
    <t>Me ayuda a como corregir a mi hijo y como debo de expresarme.</t>
  </si>
  <si>
    <t>Estar bien me ayuda bastante porque las emociones tenemos que saber controlarla para así estar bien.</t>
  </si>
  <si>
    <t>ZAMBRANO SILVERIO, EDITH</t>
  </si>
  <si>
    <t>A mí me ayuda cuando mi hijo es obediente, que le guste el estudio y que sea puntual en su estudio.</t>
  </si>
  <si>
    <t>Hablar con mis hijas, entendernos para estar bien.</t>
  </si>
  <si>
    <t>Me ayuda a estar bien cuando mi hijo se porta bien, cuado es responsable, respetuoso.</t>
  </si>
  <si>
    <t>A estar bien y a ser feliz.</t>
  </si>
  <si>
    <t>El diálogo en familia para tomar decisiones.</t>
  </si>
  <si>
    <t>ZAMBRANO VERAMENDI, HUGO</t>
  </si>
  <si>
    <t>Que mis hijos se sientan bien en todo aspecto.</t>
  </si>
  <si>
    <t>ZAMBRANO SALINAS, BONNY</t>
  </si>
  <si>
    <t>La tranquilidad de mi familia, que mi hijo este sano, la paz y el amor que reine en mi hogar.</t>
  </si>
  <si>
    <t xml:space="preserve">Salir en familia, viajar. Sentirme muy feliz con mis hijos y mi esposo. Siempre estar en familia </t>
  </si>
  <si>
    <t xml:space="preserve">Controlar mis emociones </t>
  </si>
  <si>
    <t xml:space="preserve">Que mis hijos estén bien en todo los sentidos y asi yo tambien me siento bien </t>
  </si>
  <si>
    <t>Que mi familia esté presente y sobretodo contentos.</t>
  </si>
  <si>
    <t>FRANCISCO DAVID RODRIGUEZ ESPINOZA</t>
  </si>
  <si>
    <t>Me ayuda a pensar y reflexionar mejor. Me ayuda a tomar mas interés en mi hijo, me ayuda a darle mas amor y comprensión, me ayuda a corregir y comprender mejor.</t>
  </si>
  <si>
    <t>Salir a jugar con mis hijos en familia.</t>
  </si>
  <si>
    <t>MILAGROS MADELEY COCHACHIN ESPINOZA</t>
  </si>
  <si>
    <t xml:space="preserve">Escuchar musica haciendo mis cosas tranquila. Dormir y comer bien </t>
  </si>
  <si>
    <t>La comunicacion con mis hijos, conversar lo que hacemos todos los dias, que es bueno y malo para llevar bien la convivencia con amor, respeto y confianza.</t>
  </si>
  <si>
    <t>NURIA MINAYA PADILLA</t>
  </si>
  <si>
    <t xml:space="preserve">Que tus hijos crezcan bien en familia y que no tengan problemas </t>
  </si>
  <si>
    <t xml:space="preserve">Que mis hijos estén bien fisicamente, emocionalmente tambien, la respiracion cuando se necesite. psicologicamente </t>
  </si>
  <si>
    <t xml:space="preserve">No repsondió nada </t>
  </si>
  <si>
    <t>JEANETTE ROJAR MAURICIO</t>
  </si>
  <si>
    <t xml:space="preserve">Ver buena salud en mi hijo, verlo feliz e inquieto, cuando se relaciona con otros niños de su edad, cuando hace preguntas y cuando opina </t>
  </si>
  <si>
    <t xml:space="preserve">Dialogar en familia, dar consejos a nuestros hijos para que sean ciudadanos buenos en la sociedad y buenos profesionales </t>
  </si>
  <si>
    <t>OLINDA VALVERDE</t>
  </si>
  <si>
    <t>Salir de casa e ir en mi vaca</t>
  </si>
  <si>
    <t>PAREDES VALENZUELA</t>
  </si>
  <si>
    <t xml:space="preserve">Dormir todo el dia </t>
  </si>
  <si>
    <t xml:space="preserve">Como mamá me ayudó a estar bien cuando mis hijos estan bien de salud y salir en las tardes a los juegos </t>
  </si>
  <si>
    <t xml:space="preserve">Conversar con mi familia </t>
  </si>
  <si>
    <t>CESILIA GRASIELA DAMIAN RIVERA</t>
  </si>
  <si>
    <t xml:space="preserve">A mi me gusta estar bien con mi mamá y reirme </t>
  </si>
  <si>
    <t>MADELI ALDAVE JESÚS</t>
  </si>
  <si>
    <t>A conversar con mi familia, jugar con mis hijas y salir a distraerme al campo.</t>
  </si>
  <si>
    <t>NILDA REQUENA MONTAÑEZ</t>
  </si>
  <si>
    <t xml:space="preserve">A mi como mi mamá me ayudó a escuchar musica a acomodar mis cosas, ver un poco de tv y jugar con mi hija y mi pareja </t>
  </si>
  <si>
    <t>YUDITH DAMIAN VALVERDE</t>
  </si>
  <si>
    <t xml:space="preserve">Yo me siento bien con mis hijos a jugar </t>
  </si>
  <si>
    <t>EVELIZA DAMIAN VALVERDE</t>
  </si>
  <si>
    <t xml:space="preserve">Que en mi familia todos estemos bien de salud y que haya bonita amistad como pareja y padres hacer los quiaseres en familia para tener mas tiempo juntos disfrutando </t>
  </si>
  <si>
    <t>ESTHER DAMIAN VALVERDE</t>
  </si>
  <si>
    <t xml:space="preserve">Yo como mamá me ayuda a estar bien hacer limpieza en mi casa escuchando música </t>
  </si>
  <si>
    <t xml:space="preserve">Yo me siento bien cuando salgo de paseo con mis hijos </t>
  </si>
  <si>
    <t>GIMENA DE LA CRUZ GAMARRA</t>
  </si>
  <si>
    <t xml:space="preserve">Yo me siento bien cuando hablo con mi familia y en hacer deporte </t>
  </si>
  <si>
    <t>ELVIA DAMIAN VALVERDE</t>
  </si>
  <si>
    <t xml:space="preserve">Yo como mamá me siento feliz cuando jugamos con mi hija todas las tardes </t>
  </si>
  <si>
    <t>EDITH YOLANDA MEJIA FLORES</t>
  </si>
  <si>
    <t xml:space="preserve">Conversar con mis hijos y mi pareja </t>
  </si>
  <si>
    <t>ABELINA RAYMUNDO GAVINO</t>
  </si>
  <si>
    <t>En el momento que me siento mal o enojada me pongo a pensar o reflexionar en las charlas que he tenido con psicologos y las enseñanzas como tratar a mi familia o criar a mis hijos</t>
  </si>
  <si>
    <t>ENITH NELLY MORALES CACHA</t>
  </si>
  <si>
    <t xml:space="preserve">A mi me ayuda como mamá que mi hijo tenga sus emociones y sus sentimientos que seas compartidos </t>
  </si>
  <si>
    <t>ELENYS MORALES</t>
  </si>
  <si>
    <t>Me ayuda como mamá que mi hijo sea alegre, contento</t>
  </si>
  <si>
    <t xml:space="preserve">Dar ejemplo a mis hijos, darle amor y confianza </t>
  </si>
  <si>
    <t>MARIA LÁZARO PADILLA</t>
  </si>
  <si>
    <t xml:space="preserve">Corregir de la mejor manera a mis hijos aconsejando y guiandolos siempre </t>
  </si>
  <si>
    <t>LILIANA VILLA LAVERIO</t>
  </si>
  <si>
    <t>A mi me ayuda a que mi hijo esté protegido y feliz y se sienta que mamá está con él</t>
  </si>
  <si>
    <t>YULISSA MAJIPO PIZANGO</t>
  </si>
  <si>
    <t xml:space="preserve">Como madre de doy cuenta cuando mi niña esta mal o estaba bien y me hace sentir bien hablando con ella y que ella esté bien </t>
  </si>
  <si>
    <t>GINA MEREDITH OCHOA BELTRAN</t>
  </si>
  <si>
    <t xml:space="preserve">Me ayuda a estar sola un momento y pensar bien las cosas para podr actuar bien </t>
  </si>
  <si>
    <t>GABRIELA MORALES LAVERIO</t>
  </si>
  <si>
    <t xml:space="preserve">A mi como madre de ayuda a estar bien que mi hija se encuentre bien emocionalmente, fisicamente y psicológicamente </t>
  </si>
  <si>
    <t>ALICIA AZAÑA JARA</t>
  </si>
  <si>
    <t xml:space="preserve">Que mi hijo se comporte bien y que practique nuevos valores, como madre me comprometo a darle buena crianza </t>
  </si>
  <si>
    <t>ZORAIDA PADILLA JARA</t>
  </si>
  <si>
    <t>A estar de acuerdo mutuamente ambos como pareja y que nuestros hijos crezcas respetuosos y sanitos y felices</t>
  </si>
  <si>
    <t>JEYDI VALVERDE GREGORIO</t>
  </si>
  <si>
    <t>Que mis hijos estés bien, sanitos es lo mas importante, y saber como tratarlo asi lograr entenderlo</t>
  </si>
  <si>
    <t>KATTY DE LA CRUS ESPIRITU</t>
  </si>
  <si>
    <t xml:space="preserve">Me ayuda a estar bien cuando empiezo a reconocer mis emociones y tener mas paciencia con mi hijo darle mucho cariño </t>
  </si>
  <si>
    <t>JUDITH HERRERA PADILLA</t>
  </si>
  <si>
    <t xml:space="preserve">Conversar con mis hijos y con mi esposo y tratar siempre de dar buenos ejemplos </t>
  </si>
  <si>
    <t>DIANA AZAÑA JARA</t>
  </si>
  <si>
    <t xml:space="preserve">Que mi niña se comporte bien y practique buenos valores, para todo ello inclucar una buena crianza </t>
  </si>
  <si>
    <t>IRMA ABARCA RODRIGUEZ</t>
  </si>
  <si>
    <t xml:space="preserve">De que mis hijos estes protegidos y felices, que siempre esten seguros, que esten sanos, de que la estabilidad de mis hijos esté bien </t>
  </si>
  <si>
    <t>CECILIA VILLAR JARA</t>
  </si>
  <si>
    <t xml:space="preserve">Dando el ejemplo a mi niña para que asi entienda todos los ejemplos buenos </t>
  </si>
  <si>
    <t>Estar alegre</t>
  </si>
  <si>
    <t>Compartir con mis hijos y cocinar</t>
  </si>
  <si>
    <t>Caminar y cantar</t>
  </si>
  <si>
    <t>FABIAN DE LA CRUZ VILMA MERCEDES</t>
  </si>
  <si>
    <t>Jugar con ella</t>
  </si>
  <si>
    <t>Me ayuda a esta bien, estar en casa feliz, cuidar a mi hijo, hablar con mi familia</t>
  </si>
  <si>
    <t>Ayuda terminar las tareas de casa rapido</t>
  </si>
  <si>
    <t>Cocinar, trabajar</t>
  </si>
  <si>
    <t>Tener una buena comunicación en casa, darme tiempo para mi</t>
  </si>
  <si>
    <t>RODRIGYEZ HURTADO, CARLA</t>
  </si>
  <si>
    <t>Poner musica y ponernos a bailar con mi hija</t>
  </si>
  <si>
    <t>INCHINAQUE, VIOLETA</t>
  </si>
  <si>
    <t>Descansar lo posible para estar bien para mis hijos</t>
  </si>
  <si>
    <t>Madres con niños TEA</t>
  </si>
  <si>
    <t>Cuando hago mis postres y vendo o trabajo en reflexología</t>
  </si>
  <si>
    <t>YULY PAMELA MUÑOZ VALENZUELA</t>
  </si>
  <si>
    <t>Orar, hablar con alguien y salir a algun lugar tranquila.</t>
  </si>
  <si>
    <t>no participo en el pretest</t>
  </si>
  <si>
    <t>ROCIO DEL PILAR HUAYANEY ARANDA</t>
  </si>
  <si>
    <t>Conversar con mi esposo sobre las situaciones que pasan con mi hijo.</t>
  </si>
  <si>
    <t>No participo en el pretest.</t>
  </si>
  <si>
    <t>DANIEL JOEL MONTES FLORES | LUCY PAUCAR</t>
  </si>
  <si>
    <t>Que mis hijos esten felices y aseados</t>
  </si>
  <si>
    <t>Me siento bien cuando mis hijos estan bien de salud, cuando comen toda su comida y frutas. Sobre todo cuando son obedientes.</t>
  </si>
  <si>
    <t>las niñas obedezcan y cumplan sus deberes</t>
  </si>
  <si>
    <t>ROSSY MONTERO LACHO</t>
  </si>
  <si>
    <t>Me ayuda estar bien cuando con mi esposo estamos de acuerdo en las decisiones que tenementos tanto en al disciplina de nuestros hijos.</t>
  </si>
  <si>
    <t>NERY AGRIPINA CÓNDOR SALVADOR</t>
  </si>
  <si>
    <t>CHAVEZ MELGAREJO ADELINA</t>
  </si>
  <si>
    <t>Que mis hijos van creciendo y los veo bien estudiando</t>
  </si>
  <si>
    <t>INGA FRETEL DELI</t>
  </si>
  <si>
    <t>Ayudar a mi hija, cuidando a mis niños y o discutir al lado del niño.</t>
  </si>
  <si>
    <t>VASQUEZ OLIVAS BEINA</t>
  </si>
  <si>
    <t>Me gustaria que mis hijos estudien que tengan salud y vida y que esten muy felices</t>
  </si>
  <si>
    <t>ANAYA DAVILA LIZETH</t>
  </si>
  <si>
    <t>Bueno como mamá a mí me gusta que mi hijo este bien de salud , que este bien en su salon, donde estudia y que sea un niño sano y fuerte.</t>
  </si>
  <si>
    <t>CALDERON ZEVALLOS PAULA</t>
  </si>
  <si>
    <t>Que mi hija estudie, que sea responsable y profesional.</t>
  </si>
  <si>
    <t>BAZAN OCAÑA FLOR ERIKA</t>
  </si>
  <si>
    <t>A mí me ayuda, como mamá que mi hijo crezca feliz, sano de salud, y ayudar en su crecimiento y en su educación y vivir felices juntos en armonía en familia.</t>
  </si>
  <si>
    <t>RAMOS SALAZAR KENNI</t>
  </si>
  <si>
    <t>Tener a mis hijos que estén bien de salud para ue puedan ir al colegio y alimentarles bien, así para que puedan estar bien de salud.</t>
  </si>
  <si>
    <t>MEDINA ILLATOPA ROXANA</t>
  </si>
  <si>
    <t>Que mis hijos estan creciendo con sus padres y que algún día puedan ser mejor que los padres.</t>
  </si>
  <si>
    <t>SANTIAGO GOMEZ VERONICA</t>
  </si>
  <si>
    <t>Ver a mi hijo crecer y desarrollarse por si misma desenvolverse emocionalmente en todo aspecto y eso me hace feliz como mamá de mi hija ya como mamá doy todo por mi niña y eso me ayuda.</t>
  </si>
  <si>
    <t>PINEDA RAMIREZ LAURA</t>
  </si>
  <si>
    <t>La seguridad que mi hija se encuentre bien</t>
  </si>
  <si>
    <t>ANAYA DAVILA LISBETH SABINA</t>
  </si>
  <si>
    <t>Me ayuda a estar bien con mis hijos cuando hace mal las cosas y yo le explico lo que el está haciendo esta mal y lo entiende.</t>
  </si>
  <si>
    <t>ARIAS CADILLO MARIBEL</t>
  </si>
  <si>
    <t>Conversar con mis hijos y tomar decisiones familiares y no vivir en conflictos</t>
  </si>
  <si>
    <t>Me ayuda los diálogos en familia que tenemos para que todo marche bien. Siempre mantener el diálogo, ahí me doy cuenta en que estoy fallando y puedo mejorar cada día como mamá, mujer, hija y hermana. Por eso siempre es bueno el diálogo en cualquier ámbito.</t>
  </si>
  <si>
    <t>TOLENTINO GANTU ANTONIO</t>
  </si>
  <si>
    <t>Me ayuda mi hijo a estar bien</t>
  </si>
  <si>
    <t>MEJIA ACEVEDO ALEJANDRO</t>
  </si>
  <si>
    <t>Estoy feliz cuando mi hija se va feliz a su inicial</t>
  </si>
  <si>
    <t>RIVERA FLORES JESSICA</t>
  </si>
  <si>
    <t>Que mi hija este bien de salud, verla feliz y que cuente todo lo que le pasa</t>
  </si>
  <si>
    <t>ARIVILCA VALENZUELA MARLENI</t>
  </si>
  <si>
    <t>Cuando mis hijos logran aprender o salir adelante en sus estudios</t>
  </si>
  <si>
    <t>Estar bien en la casa, junto con mis hijos y siguiendo con ellos</t>
  </si>
  <si>
    <t>VASQUEZ GOMEZ DAISY</t>
  </si>
  <si>
    <t>Educar a mi hija como madre, a respetar, mandar limpio a su escuela, yo como mamá tiene que estudiar, ser profesional en la vida.</t>
  </si>
  <si>
    <t>REYES RUBINA JOAQUIN</t>
  </si>
  <si>
    <t>La educación y su salud psicológica de mi pequeña</t>
  </si>
  <si>
    <t>SANTACRUZ GUILLERMO SOFIA ELENA</t>
  </si>
  <si>
    <t xml:space="preserve"> A conversar con mi hija, preguntar como se siente</t>
  </si>
  <si>
    <t>UGARTE DAMASO KATHERIN TATIANA</t>
  </si>
  <si>
    <t>Aprender más sobre mi hijo para poder entenderle y ponerme en su lugar de él. Comprender más a mi niño. A veces nuestros hijos son más diferentes. Yo quiero ayudar a mi hijo, Jaziel. Lo amo mucho, y quiero entenderlo mucho más.</t>
  </si>
  <si>
    <t>Que mi hijo sea mejor que su papá y su mamá para la sociedad.</t>
  </si>
  <si>
    <t>GUERRA LAGUNA ISABEL</t>
  </si>
  <si>
    <t>Quiero que estudien más que yo</t>
  </si>
  <si>
    <t>GUILLERMO VERAMENDI JULIA</t>
  </si>
  <si>
    <t>Dar explicaciones para que estudien y que sean mejor que nosotros</t>
  </si>
  <si>
    <t>ANAYA OLIVAS MARITZA ROXANA</t>
  </si>
  <si>
    <t>Educar, saber que van al colegio</t>
  </si>
  <si>
    <t>Tengo que enseñar a mi hijo a pintar y colorear</t>
  </si>
  <si>
    <t>Me ayuda estae más con mis hjos</t>
  </si>
  <si>
    <t>CALDERON GUERRA AMELIA</t>
  </si>
  <si>
    <t>Me ayuda estar mas pendiente de mi hijo y tener mas comunicacion</t>
  </si>
  <si>
    <t>SALAZAR BRIOSO NANCY</t>
  </si>
  <si>
    <t>Estar feliz en el hogar con mis hijos</t>
  </si>
  <si>
    <t>GUERRA ROJAS EDITH</t>
  </si>
  <si>
    <t>Yo ayudo a mi hija con sus habitos</t>
  </si>
  <si>
    <t>Quiero que mi hijo sea un buen profesional</t>
  </si>
  <si>
    <t>FAJARDO GARAY YULISA</t>
  </si>
  <si>
    <t>Me gusta cuidar mucho de mi hijo para que salga adelante</t>
  </si>
  <si>
    <t>ROJAS HUERTA REYNA</t>
  </si>
  <si>
    <t>SALVADOR GOMEZ REIDA</t>
  </si>
  <si>
    <t>BAUTISTA PACPAC ANGELICA</t>
  </si>
  <si>
    <t>Hablar con mi hijo</t>
  </si>
  <si>
    <t>OSORIO BRIOSO ALICIA</t>
  </si>
  <si>
    <t>Cuando estoy bien emocionalmente feliz en casa con mi esposo de manera que me siento bien para todo</t>
  </si>
  <si>
    <t>DIAZ HUERTA ROSA</t>
  </si>
  <si>
    <t>Me siento contenta al estar junto con mi hijo en las buenas y malas</t>
  </si>
  <si>
    <t>Me ayuda hacer bien las cosas como mamá de mis hijos</t>
  </si>
  <si>
    <t>Que mi hijo este bien</t>
  </si>
  <si>
    <t>Me ayuda corregir a mi hijo cuando no hace algo bien, pero es para que aprenda.</t>
  </si>
  <si>
    <t>COLONIA DEPAZ NANCY</t>
  </si>
  <si>
    <t>PALACIOS RUBINA ELENA</t>
  </si>
  <si>
    <t>CULLA CULLA DEYSI MELINA</t>
  </si>
  <si>
    <t>La psicologa me explica y yo entiendo, pero creo que puedo seguir mejorando para no olvidar sus enseñanzas</t>
  </si>
  <si>
    <t>LOARTE DEONICIO BETTY</t>
  </si>
  <si>
    <t>Me ayuda ver  crecer a mi hijo bien</t>
  </si>
  <si>
    <t>CAMPOS PRÍNCIPE JOSELIN</t>
  </si>
  <si>
    <t>Cuando mis hijos están alegres y bien de salud y nos comunicamos en familia</t>
  </si>
  <si>
    <t>AGURTO ESPINOZA ESTHER</t>
  </si>
  <si>
    <t>Cuando mis hijos estan bien de salud nos comunicamos en familia</t>
  </si>
  <si>
    <t>Cuando mi familia esta bien en casa o en la calle, o en cualquier lugar que se encuentren yo me siento bien y feliz al saber ello</t>
  </si>
  <si>
    <t>Como mamá me siento bien en apoyar con sus actividades a mis hijos, en sus tareas, cuando juega, es una niña encantadora</t>
  </si>
  <si>
    <t>ANAYA OBREGON NECERATA</t>
  </si>
  <si>
    <t>Tratar de calmarme y comprender a mi hijo</t>
  </si>
  <si>
    <t>ALMERCON VERAMENDI BETY MAGDALENA</t>
  </si>
  <si>
    <t>Me motiva ver crecer feliz y contenta a mi hija</t>
  </si>
  <si>
    <t>El estar siempre presente me ayuda a no rendirme</t>
  </si>
  <si>
    <t>Que crezcan sanos y fuertes</t>
  </si>
  <si>
    <t>Yo siento que mi hija esta avanzando y eso me hace feliz, que llegue más lejos que yo</t>
  </si>
  <si>
    <t>CASTRO RAMIREZ LUZ ASBELITA</t>
  </si>
  <si>
    <t>Me motiva que mi hija quiera ser una profesional</t>
  </si>
  <si>
    <t>DIAZ ZORRILLA LESLY DENISSA</t>
  </si>
  <si>
    <t>Verlo reír, jugar con salud, gracias a las charlas de la psicologa entiendo que mi hijo no es malcriado</t>
  </si>
  <si>
    <t>Verle crecer con salud, sin tristezas ni penas</t>
  </si>
  <si>
    <t>GOMEZ HUAYTAN ANITA FLORCITA</t>
  </si>
  <si>
    <t>Que llegue del colegio y me cuente lo que aprendió</t>
  </si>
  <si>
    <t>GOMEZ HUAYTAN YANET</t>
  </si>
  <si>
    <t>Cuando llega alegre y me dice que jugo con sus amiguitos</t>
  </si>
  <si>
    <t>HUERTA OBREGON MELVA</t>
  </si>
  <si>
    <t>Reunirme con mi familia, una comida juntos y sin pelear</t>
  </si>
  <si>
    <t>Saber que soy apoyo para mi hija, la psicológa me enseñó que soy importante para la vida de mi hija.</t>
  </si>
  <si>
    <t>Ser su apoyo en todo momento, que cuando esté triate acuda a mí y me tenga confianza</t>
  </si>
  <si>
    <t>VERAMENDI BAJOMERO ESTHER</t>
  </si>
  <si>
    <t>Me ayuda saber que si estoy bien y aprendo cosas nuevas, puedo ser más fuerte para mi hija</t>
  </si>
  <si>
    <t>Me gusta que mi hijo coma bien para que esté bien de salud. También que estudie y ver crecer sano y feliz, que en la casa no sufra maltratos psicológicos, físicos, y que vea a su mamá feliz, criando un hijo feliz.</t>
  </si>
  <si>
    <t>Me ayuda a hacerlos felices, que siempre estén bien, que no se enfermen y que no estén tristes.</t>
  </si>
  <si>
    <t>ALBORNOZ RAMIREZ NATALY</t>
  </si>
  <si>
    <t>Que esté bien de salud para que pueda estudiar feliz.</t>
  </si>
  <si>
    <t>Sus estudios de mis hijos</t>
  </si>
  <si>
    <t>REYES SANTILLAN ANDREA</t>
  </si>
  <si>
    <t>Que este bien de salud y tener mi trabajo</t>
  </si>
  <si>
    <t>Ver a mis hijos felices y bien emocionalmente</t>
  </si>
  <si>
    <t>Me ayuda a estar bien como madre que mi hijo esté bien de salud y emocionalmente verlo crecer feliz y contento.</t>
  </si>
  <si>
    <t>ESPINOZA TICRA AMABELIA</t>
  </si>
  <si>
    <t>Me ayuda como mamá ver crecer y sano a mis hijos</t>
  </si>
  <si>
    <t>Como madre, para sentirme bien, me ayuda a ver a mis hijos que estén bien de salud, luego ver su educación para salir adelante en el futuro.</t>
  </si>
  <si>
    <t>Me gusta estar bien en la familia unido y bien de salud</t>
  </si>
  <si>
    <t>Ver a mi hijita estudiar</t>
  </si>
  <si>
    <t>CHAVEZ GARAY KATERIN</t>
  </si>
  <si>
    <t>Que mi hijo me esucche y que me obedezca</t>
  </si>
  <si>
    <t>CARRILLO JAVIER STEFANY</t>
  </si>
  <si>
    <t>Ver como mis hijos estan creciendo llenos de salud y también con alegría</t>
  </si>
  <si>
    <t>Me ayuda ser feliz porque mi hijo va aprendiendo en su estudio y estan sanos de salud</t>
  </si>
  <si>
    <t>Ver feliz a mi hijo y que aprenda más en su estudio</t>
  </si>
  <si>
    <t>Ver a mi hija que aprende y mis hijos que estén bien de salud,también estén bien alimentados</t>
  </si>
  <si>
    <t>TOLENTINO PEÑA YESSICA</t>
  </si>
  <si>
    <t>Yo como madre soy motivada y feliz en tratar de seguir apoyando sus pasos de mi hijo, apoyar sus aspiraciones emocionales y su felicidad</t>
  </si>
  <si>
    <t>Me ayuda el cocinar temprano y darle su desayuno</t>
  </si>
  <si>
    <t>REYES LIVIAS CLEMENCIA</t>
  </si>
  <si>
    <t>Me ayuda a no rendirme que se alimenten y que no se enfermen</t>
  </si>
  <si>
    <t>PADRES CON NOMBRE ESCRITO IGUAL</t>
  </si>
  <si>
    <t>ID</t>
  </si>
  <si>
    <t>MISMO TEST?</t>
  </si>
  <si>
    <t>LISTAR COINCIDENCIAS</t>
  </si>
  <si>
    <t>PUEDEN SER IGUALES? (MISMO COLEGIO, EDAD, DIFERENTE TEST, COINCIDENCIAS EN NOMBRE)</t>
  </si>
  <si>
    <t>ID NUEVO BASED ON NAME</t>
  </si>
  <si>
    <t>PROCESA NOMBRE</t>
  </si>
  <si>
    <t>🅱️ Autoconciencia y Autorregulación Emocional</t>
  </si>
  <si>
    <t>🅱️
Toma de Decisiones Responsables</t>
  </si>
  <si>
    <t>🅱️ Habilidades Relacionales</t>
  </si>
  <si>
    <t xml:space="preserve">PADILLA </t>
  </si>
  <si>
    <t xml:space="preserve">ELVA </t>
  </si>
  <si>
    <t>Identifica al menos 3 emociones básicas al observar imágenes</t>
  </si>
  <si>
    <t>Representa gráficamente dos emociones con rasgos diferenciados</t>
  </si>
  <si>
    <t>Relaciona una emoción con una experiencia personal</t>
  </si>
  <si>
    <t>Reconoce una emoción incómoda en sí mismo.</t>
  </si>
  <si>
    <t>Participa en una estrategia de autorregulación (ej. respiración)</t>
  </si>
  <si>
    <t>Identifica una situación en la que podría usar la estrategia</t>
  </si>
  <si>
    <t>Identifica correctamente la emoción de otra persona</t>
  </si>
  <si>
    <t>Justifica su respuesta con base en la imagen</t>
  </si>
  <si>
    <t>Relaciona la emoción ajena con una experiencia propia</t>
  </si>
  <si>
    <t>Escucha y responde a las acciones/palabras del otro</t>
  </si>
  <si>
    <t>Respeta turnos o espera con paciencia</t>
  </si>
  <si>
    <t>Coopera para lograr un objetivo común</t>
  </si>
  <si>
    <t>Reconoce que las acciones tienen consecuencias</t>
  </si>
  <si>
    <t>Propone una acción positiva o prosocial</t>
  </si>
  <si>
    <t>Justifica su elección de forma comprensible</t>
  </si>
  <si>
    <t>Aparicio Garay Keira Yatziry</t>
  </si>
  <si>
    <t>Evidencia suficiente: el niño/a lo realiza o verbaliza con claridad y de forma autónoma</t>
  </si>
  <si>
    <t>Evidencia parcial: el niño/a lo realiza con ayuda, duda o lo menciona sin claridad</t>
  </si>
  <si>
    <t>No hay evidencia observable</t>
  </si>
  <si>
    <t>Carhuapoma Guerra Edward</t>
  </si>
  <si>
    <t>Culla Espinoza Heidi Zuleyka</t>
  </si>
  <si>
    <t xml:space="preserve">Flores Ticlo Jair Eithan </t>
  </si>
  <si>
    <t>Garay Amado Granyelina Favela</t>
  </si>
  <si>
    <t>Guerra Acevedo Sterling Yemil</t>
  </si>
  <si>
    <t>Guerra Enrique Sebastián Liam</t>
  </si>
  <si>
    <t>Huanca Valle Sahmir Said</t>
  </si>
  <si>
    <t>Mendoza Mallqui Juan David</t>
  </si>
  <si>
    <t>Obregon Guerra Yareli Corina</t>
  </si>
  <si>
    <t>Osorio Lopez Victor Marino</t>
  </si>
  <si>
    <t>Ramirez Nonlaya Thais Kahori</t>
  </si>
  <si>
    <t>Rentera Gomez Felipe David</t>
  </si>
  <si>
    <t>Rios Diaz Anyelina Yangmi</t>
  </si>
  <si>
    <t>Valencia Salvador Kate Salome</t>
  </si>
  <si>
    <t>Zorrila Davila Kayla Kaylita</t>
  </si>
  <si>
    <t>5 años celeste</t>
  </si>
  <si>
    <t>Peña Cordova Yelina Valery</t>
  </si>
  <si>
    <t>Pinto Montes Liam Yahir</t>
  </si>
  <si>
    <t>Solis Muñoz Heyden Darnell</t>
  </si>
  <si>
    <t>Solis Ramirez, Arriel Eythan</t>
  </si>
  <si>
    <t>Fonseca Valenzuela Dylan Jeynner</t>
  </si>
  <si>
    <t>Espinoza Tolentino Jaylin Aitana</t>
  </si>
  <si>
    <t>3 años amarillo</t>
  </si>
  <si>
    <t>Villanueva Mendoza Alhia Luana</t>
  </si>
  <si>
    <t>Ramirez Montes Camila Briana</t>
  </si>
  <si>
    <t>Poma Cutipa Yareli Yaslin</t>
  </si>
  <si>
    <t>4 años verde</t>
  </si>
  <si>
    <t>Cadilla Soto Alessia Rocio</t>
  </si>
  <si>
    <t>Montes Paucar Dylan</t>
  </si>
  <si>
    <t>3 años azul</t>
  </si>
  <si>
    <t>Espinoza Ramirez Ayleen Esmeralda</t>
  </si>
  <si>
    <t>Salas Montero Diederick Oveth</t>
  </si>
  <si>
    <t>5 años rojo</t>
  </si>
  <si>
    <t>Pineda Sigueñas Roy</t>
  </si>
  <si>
    <t>Espinoza Ramirez Arely</t>
  </si>
  <si>
    <t>Solis Cigueñas Carlos</t>
  </si>
  <si>
    <t>Caqui Chavez Dailyn Yameli</t>
  </si>
  <si>
    <t>Castillo Ramos Frank Adriel</t>
  </si>
  <si>
    <t>Chavez Vega Mayda Elynda</t>
  </si>
  <si>
    <t xml:space="preserve">Loarte Blas Romina Jimena </t>
  </si>
  <si>
    <t>Mogollon Solis Liam Andree</t>
  </si>
  <si>
    <t>Pineda Espinoza Yassneth Naomy</t>
  </si>
  <si>
    <t xml:space="preserve">Reyes Leiva Yarely Milena </t>
  </si>
  <si>
    <t>Rojas Llashac Gael Jesús</t>
  </si>
  <si>
    <t>Vargas Espinoza Jeremih Gael</t>
  </si>
  <si>
    <t>Reyes Leiva Yajaira Mileydi</t>
  </si>
  <si>
    <t>Difcicultades en el lenguaje expresivo</t>
  </si>
  <si>
    <t>Anaya Hidalgo Clarisa Andrea</t>
  </si>
  <si>
    <t>Anaya Solis Itzayana Maileh Leah</t>
  </si>
  <si>
    <t>Diaz Dominguez Adaña Yashury</t>
  </si>
  <si>
    <t>Ortega Leyva Medaly Angelina</t>
  </si>
  <si>
    <t>Rubina Zorrilla Gareth Asiel</t>
  </si>
  <si>
    <t>Asensios Rojas Dayhana Génesis</t>
  </si>
  <si>
    <t xml:space="preserve">Felix Obregon Yesel Sofia </t>
  </si>
  <si>
    <t>Herrera Obregón Abigael Antonella</t>
  </si>
  <si>
    <t>Rojas Blas Ioneli Yosmel</t>
  </si>
  <si>
    <t>Sánchez Álvaro Hans Christian Andersen</t>
  </si>
  <si>
    <t>Sánchez Huayta Melanny Venhel</t>
  </si>
  <si>
    <t>Cabrera Cabrera Axel Ciani</t>
  </si>
  <si>
    <t>Campos Garay Yadira Yatziry</t>
  </si>
  <si>
    <t>Garay Rojas Yulieth Alexia</t>
  </si>
  <si>
    <t>Garay Solis Yareliz Daleska</t>
  </si>
  <si>
    <t>Mauricio Fajardo Adiel Thiago</t>
  </si>
  <si>
    <t>Quito Rivas Gretha Abathika</t>
  </si>
  <si>
    <t>Sánchez Alvaro Liam Alexander</t>
  </si>
  <si>
    <t>Amado Bañez Joseph Jeremiah</t>
  </si>
  <si>
    <t>Enrique Melgarejo Zhen Sulin</t>
  </si>
  <si>
    <t xml:space="preserve">3 años </t>
  </si>
  <si>
    <t>Gomero Vargas Adryen Yerick</t>
  </si>
  <si>
    <t>Sanchez Flores Danna Anyely</t>
  </si>
  <si>
    <t>Vega montes Gael Jhovani</t>
  </si>
  <si>
    <t>Quispe Rivera Vecman Ibrahim</t>
  </si>
  <si>
    <t>Chavez Rivera Yelina Idalis</t>
  </si>
  <si>
    <t>Rios Ramirez Angel Gabriel</t>
  </si>
  <si>
    <t>Chavez Rivera Yuri Yasuri</t>
  </si>
  <si>
    <t>Aquino Herrada Dylan Gabrie</t>
  </si>
  <si>
    <t>Obregón Trujillo Afret Andry</t>
  </si>
  <si>
    <t>Castro Raymundo Sari Alitza</t>
  </si>
  <si>
    <t>Espinoza Aguirre Jayden Luay</t>
  </si>
  <si>
    <t>CASTRO CAQUI, Neymar Junior</t>
  </si>
  <si>
    <t>AQUINO RAMIREZ, Viviana Shomara</t>
  </si>
  <si>
    <t>CASTRO EVANGELISTA, Jafed Shalem</t>
  </si>
  <si>
    <t>CASTRO CAQUI, Andrea Valery</t>
  </si>
  <si>
    <t>GARGATE OBREGON, Shana Tatiana</t>
  </si>
  <si>
    <t>OBREGON FERNANDEZ, Yarely Diomira</t>
  </si>
  <si>
    <t>Multinivel</t>
  </si>
  <si>
    <t>Fernandez Aquino Jassiel Elohim</t>
  </si>
  <si>
    <t>Gomez Melgarejo Yuliyat</t>
  </si>
  <si>
    <t>Pimental Garay Estrella Sherlyn</t>
  </si>
  <si>
    <t>Pimental Garay Cielo Andrea</t>
  </si>
  <si>
    <t>Cerna Obregón Gina Berenice</t>
  </si>
  <si>
    <t>Ugarte Garay Roberson Efrain Fausto</t>
  </si>
  <si>
    <t>Fernandez Chavez,Mikel Paolo</t>
  </si>
  <si>
    <t>Gargate Obregon,Addiel Rooney</t>
  </si>
  <si>
    <t>Vega Chavez,Zinri Hanani</t>
  </si>
  <si>
    <t>Ugarte Perez,Juan David</t>
  </si>
  <si>
    <t>Garay Caqui,Disann Abat</t>
  </si>
  <si>
    <t>Zevallos Peña,John Benjamin</t>
  </si>
  <si>
    <t>Roque Rimac,Juan Ghael</t>
  </si>
  <si>
    <t>Aquino Garay,Mikkel Yefri</t>
  </si>
  <si>
    <t>Castro Soto,Luan Patrick</t>
  </si>
  <si>
    <t>Gargate Marcos,Lia Adriana</t>
  </si>
  <si>
    <t>Anaya Gargate,Ashira Yurena</t>
  </si>
  <si>
    <t>Andrade Guerra,Alba Alisse</t>
  </si>
  <si>
    <t>Castro Aquino,Jazzlyn Giana</t>
  </si>
  <si>
    <t>Chavez Garay,Fabricio River</t>
  </si>
  <si>
    <t>Garay Calderon,Kasumi Valentina</t>
  </si>
  <si>
    <t>Ugarte Ramirez,Yarely Carol</t>
  </si>
  <si>
    <t>Anaya Gargate,Ashley Shayna</t>
  </si>
  <si>
    <t>Camiliaga Castro,Helsing Ggael</t>
  </si>
  <si>
    <t>Garay Guerra, Andrea Abigail</t>
  </si>
  <si>
    <t>Illanes Castro,Arlenys Alejandra</t>
  </si>
  <si>
    <t>Nina Ugarte,Sigrid Dayana</t>
  </si>
  <si>
    <t>Pablo Rayna,Sarahi Valentina</t>
  </si>
  <si>
    <t>Ramirez Gargate, Ivet Triana</t>
  </si>
  <si>
    <t>Sanchez Trujillo, Lyan Benjamin</t>
  </si>
  <si>
    <t>Yanac Guerra, Yareth Abigail</t>
  </si>
  <si>
    <t>Garay Guerra, Alonso Esteban</t>
  </si>
  <si>
    <t>DIAZ CHAVEZ, Mheraf Danahy</t>
  </si>
  <si>
    <t>Sanchez Trujillo, Lyams Benjamin</t>
  </si>
  <si>
    <t>Dificultad en el lenguaje expresivo</t>
  </si>
  <si>
    <t>Mauricio Javier, Kathy Sarai</t>
  </si>
  <si>
    <t>Anaya Fernandez Luciana Mariluz</t>
  </si>
  <si>
    <t>Anaya Obregon, Yeifer Asael</t>
  </si>
  <si>
    <t>Obregon Espinoza, Merithsell Sthella</t>
  </si>
  <si>
    <t>Pineda Rosales Gabriela</t>
  </si>
  <si>
    <t>Trujillo Javier, Jhedin</t>
  </si>
  <si>
    <t>Ramirez Villajuan, Yuliana</t>
  </si>
  <si>
    <t>Peña Gargate Jimena Mayuri</t>
  </si>
  <si>
    <t>GIL OBREGON, Emily</t>
  </si>
  <si>
    <t>PIMENTEL CASTRO, Nijan Giana</t>
  </si>
  <si>
    <t>PINEDA GOMEZ, Gadiel Eidhan</t>
  </si>
  <si>
    <t>ZARZOSA FRANCISCO, Rothni</t>
  </si>
  <si>
    <t>OBREGON SANCHEZ, Nesaret</t>
  </si>
  <si>
    <t>CONDOR CASTRO, Belen</t>
  </si>
  <si>
    <t>CAMPOS FERNANDEZ, Sumer Joseth</t>
  </si>
  <si>
    <t>Suni</t>
  </si>
  <si>
    <t>Daguberto</t>
  </si>
  <si>
    <t>Arlet</t>
  </si>
  <si>
    <t>Caleb</t>
  </si>
  <si>
    <t>Sofia</t>
  </si>
  <si>
    <t>Edric</t>
  </si>
  <si>
    <t>Yamila</t>
  </si>
  <si>
    <t>Yaretzi</t>
  </si>
  <si>
    <t>Betzabe</t>
  </si>
  <si>
    <t>Elieber</t>
  </si>
  <si>
    <t>Esperanza</t>
  </si>
  <si>
    <t>Nazli</t>
  </si>
  <si>
    <t>Aysel</t>
  </si>
  <si>
    <t>Ausbelt</t>
  </si>
  <si>
    <t>Mateo</t>
  </si>
  <si>
    <t>Esmelin</t>
  </si>
  <si>
    <t>Emeli</t>
  </si>
  <si>
    <t>Camila</t>
  </si>
  <si>
    <t>Yadiel</t>
  </si>
  <si>
    <t>Yesly</t>
  </si>
  <si>
    <t>CIENFUEGOS AGUIRRE, Naeli Yenni</t>
  </si>
  <si>
    <t xml:space="preserve">Velasquez Mariño, Alexis </t>
  </si>
  <si>
    <t>AQUINO CASTRO, Keity Samara</t>
  </si>
  <si>
    <t>Vela Aguirre, Mateo Santiago</t>
  </si>
  <si>
    <t>CASTRO RIOS, Sandra Sunilda</t>
  </si>
  <si>
    <t>Adriel</t>
  </si>
  <si>
    <t>Arleth</t>
  </si>
  <si>
    <t>Edrick</t>
  </si>
  <si>
    <t>Yamsum</t>
  </si>
  <si>
    <t>Sali</t>
  </si>
  <si>
    <t>OBREGON CIENFUEGOS, Dhara Aylen</t>
  </si>
  <si>
    <t>OBREGON CIENFUEGOS, Aylen Dhara</t>
  </si>
  <si>
    <t>Chavez Aquino, Emely Sahori</t>
  </si>
  <si>
    <t>TRUJILLO HUANUCO, Zeyneth Yamileth</t>
  </si>
  <si>
    <t>ANAYA OBREGON, Raziel</t>
  </si>
  <si>
    <t>CAMILOAGA OBREGON, Yarly Jimena</t>
  </si>
  <si>
    <t>OBREGON ALBORNOZ, Josue Santiago</t>
  </si>
  <si>
    <t>OBREGON ANAYA, Kamila Alexa</t>
  </si>
  <si>
    <t>Vargas Garay, Benzema Jesus</t>
  </si>
  <si>
    <t xml:space="preserve"> Trujillo Gargate, Thiago Gael</t>
  </si>
  <si>
    <t>Canares Camilhuada, Pamela Nohemi</t>
  </si>
  <si>
    <t>Sanchez Calderón Génesis Josleny</t>
  </si>
  <si>
    <t>Leyva Rosario, Ethan Jaziel</t>
  </si>
  <si>
    <t>Aquino Gargate, Zoe Cora</t>
  </si>
  <si>
    <t>Garay Castro, Darien Aron</t>
  </si>
  <si>
    <t>Guerra Carhuapoma, Ureil Usias</t>
  </si>
  <si>
    <t>Castro Espinoza, Bricelly Mayte</t>
  </si>
  <si>
    <t>Nevin Ramirez, Dayra Yamilé</t>
  </si>
  <si>
    <t>Espinoza Ramirez, Khaleesi Daenerys</t>
  </si>
  <si>
    <t>Santamaria Espinoza, Kael Klinton</t>
  </si>
  <si>
    <t>Utrilla Obregon, Yeremy Jonatan</t>
  </si>
  <si>
    <t>CHAVEZ AQUINO, Santiago Salay</t>
  </si>
  <si>
    <t>ARAUJO UGARTE, Yinder Hilmer</t>
  </si>
  <si>
    <t>BLAS TARAZONA, Seynep Merlia</t>
  </si>
  <si>
    <t xml:space="preserve">LIVIAS GUERRA, Ghina Ceyneph </t>
  </si>
  <si>
    <t>LAGUNA MORENO, Ipman Erick</t>
  </si>
  <si>
    <t>RODRIGUEZ GODOY, Yeraldin Helen</t>
  </si>
  <si>
    <t>GUERRA MIRAVAL, Valery Alexandra</t>
  </si>
  <si>
    <t>Quiñones Trujillo, Génesis</t>
  </si>
  <si>
    <t>QUISPE LAGUNA, Sayury Estrella</t>
  </si>
  <si>
    <t>LAGUNA CAQUI, Jacob Eugenio</t>
  </si>
  <si>
    <t>GARAY CASTRO, Alexa Cindi</t>
  </si>
  <si>
    <t>AGUIRRE TRUJILLO, Briseida Eyleen</t>
  </si>
  <si>
    <t>Rodriguez Caqui, Nicolás Romario</t>
  </si>
  <si>
    <t>ESPINOZA OBREGON, Xiana Arley</t>
  </si>
  <si>
    <t>Cosme Tripiani Nazareth</t>
  </si>
  <si>
    <t>Mendoza Leyva Shany</t>
  </si>
  <si>
    <t>Moreno León Margarita</t>
  </si>
  <si>
    <t>Castillo Huaman Euz</t>
  </si>
  <si>
    <t>TEA - No deseó participar</t>
  </si>
  <si>
    <t>Barreto Mendez Mayzer</t>
  </si>
  <si>
    <t>TEA</t>
  </si>
  <si>
    <t>Romero Codillo Alessandro</t>
  </si>
  <si>
    <t>Quesada Sanchez Alexa</t>
  </si>
  <si>
    <t>Mota Huavan Nijam</t>
  </si>
  <si>
    <t>Garcia Gamboa Luz</t>
  </si>
  <si>
    <t>Castillo Castillo Derek</t>
  </si>
  <si>
    <t>Cordoba Quiroz Dayla</t>
  </si>
  <si>
    <t>Castillo Vasquez Zoe</t>
  </si>
  <si>
    <t>Cueva Vasquez Sergio</t>
  </si>
  <si>
    <t>Manrique Macalupu Abel</t>
  </si>
  <si>
    <t>Mejia Quiroz Frida</t>
  </si>
  <si>
    <t>Ramirez Flores Elva</t>
  </si>
  <si>
    <t>Vega Gonzalez Noah</t>
  </si>
  <si>
    <t>Amaya Emir</t>
  </si>
  <si>
    <t>Gularte Noah</t>
  </si>
  <si>
    <t>Olivares Geraldine</t>
  </si>
  <si>
    <t>Peña Danna</t>
  </si>
  <si>
    <t>Rasga Dylan</t>
  </si>
  <si>
    <t>Salinas Danica</t>
  </si>
  <si>
    <t>Armas Angel</t>
  </si>
  <si>
    <t>Chauca Thiago</t>
  </si>
  <si>
    <t>Condor Hostin</t>
  </si>
  <si>
    <t>Cruz Emilya</t>
  </si>
  <si>
    <t>Flores Ivanna</t>
  </si>
  <si>
    <t>Flores Shessira</t>
  </si>
  <si>
    <t>Gonzales Khalessi</t>
  </si>
  <si>
    <t>llasquiso Maatthew</t>
  </si>
  <si>
    <t>Melgarejo Mely</t>
  </si>
  <si>
    <t>Niño Mateo</t>
  </si>
  <si>
    <t>Pulido Luna</t>
  </si>
  <si>
    <t>Reyes Moises</t>
  </si>
  <si>
    <t>Tipiani Tobias</t>
  </si>
  <si>
    <t>Toledo Omar</t>
  </si>
  <si>
    <t>Zata Antonella</t>
  </si>
  <si>
    <t>Leon Fabianna</t>
  </si>
  <si>
    <t>Cenepo Olivares Carlos</t>
  </si>
  <si>
    <t>Camones Leon Salvador</t>
  </si>
  <si>
    <t>Leon Valentin</t>
  </si>
  <si>
    <t>Salasar Kalessi</t>
  </si>
  <si>
    <t>Farromeque Flores Sebastian</t>
  </si>
  <si>
    <t>Abad Dolores Yusef Zamir</t>
  </si>
  <si>
    <t>Abad Dolores Zeynep Melek</t>
  </si>
  <si>
    <t>Cosme Cadillo Elder Ethson</t>
  </si>
  <si>
    <t>Guerrero Burga Dereck Yadiel</t>
  </si>
  <si>
    <t>Sigueñas Gomez Stefany Leydy</t>
  </si>
  <si>
    <t>Mejia Rodriguez Maryori Lisandra</t>
  </si>
  <si>
    <t>4 y 5 años</t>
  </si>
  <si>
    <t>Guerrero Fabian Naomi</t>
  </si>
  <si>
    <t>Doroteo Blas Brenda Victoria</t>
  </si>
  <si>
    <t>De la Cruz Pomano Yasuri</t>
  </si>
  <si>
    <t>1551553</t>
  </si>
  <si>
    <t>631450</t>
  </si>
  <si>
    <t>3,4,5 años</t>
  </si>
  <si>
    <t>Ramirez Rojas, Ismael</t>
  </si>
  <si>
    <t>1551554</t>
  </si>
  <si>
    <t>631451</t>
  </si>
  <si>
    <t>Jara Roque, Melani</t>
  </si>
  <si>
    <t>Requena Valverde, Nahara</t>
  </si>
  <si>
    <t>1551556</t>
  </si>
  <si>
    <t>Rodriguez Espada, Jhana</t>
  </si>
  <si>
    <t>3,4,y 5 años</t>
  </si>
  <si>
    <t>Cruz Cueva, Valeska</t>
  </si>
  <si>
    <t>Isneros Matos, Celeste</t>
  </si>
  <si>
    <t>Perez Baca, Rodrigo</t>
  </si>
  <si>
    <t>Rosales Paico, Yuleysi</t>
  </si>
  <si>
    <t>Romero Portilla, Isabel</t>
  </si>
  <si>
    <t>Espiritu Flores, Fabricio</t>
  </si>
  <si>
    <t>Flores Castromonte, Stéfano</t>
  </si>
  <si>
    <t>3 y 4 años</t>
  </si>
  <si>
    <t>Asencios Reyes, Edrick</t>
  </si>
  <si>
    <t>Asencios Cueva, Alessia</t>
  </si>
  <si>
    <t>Villalobos Zambrano, Lisbeth</t>
  </si>
  <si>
    <t>Curi Palomino, Iker</t>
  </si>
  <si>
    <t>Permanece en silencio, no se comunica oralmente, conducta retraída. Sin embargo, mantiene la atención a las actividades que se realizan. Las docentes refieren que es tímido y que no suele expresarse.</t>
  </si>
  <si>
    <t>Zambrano Diaz, Nicolas</t>
  </si>
  <si>
    <t>Bello Bustos, Grace</t>
  </si>
  <si>
    <t xml:space="preserve">Patricio Bustos, Selim </t>
  </si>
  <si>
    <t>Chang Torres, Leyla</t>
  </si>
  <si>
    <t>1043653</t>
  </si>
  <si>
    <t>033520</t>
  </si>
  <si>
    <t xml:space="preserve">Doroteo Villafuerte, Adriana </t>
  </si>
  <si>
    <t>1043654</t>
  </si>
  <si>
    <t>033521</t>
  </si>
  <si>
    <t>Paico Jimenez, Azumi</t>
  </si>
  <si>
    <t>1043655</t>
  </si>
  <si>
    <t>033522</t>
  </si>
  <si>
    <t xml:space="preserve">Favian Venturo, Liam </t>
  </si>
  <si>
    <t>1043656</t>
  </si>
  <si>
    <t>033523</t>
  </si>
  <si>
    <t xml:space="preserve">Pantoja Cabrera, Sandro </t>
  </si>
  <si>
    <t>Contreraz Huaman, Juaquin Andres</t>
  </si>
  <si>
    <t>Tamayo Rodriguez, Matusalén</t>
  </si>
  <si>
    <t>Maguiña Moreno, Dariel</t>
  </si>
  <si>
    <t>Moreno Celestino, Percy</t>
  </si>
  <si>
    <t>Fabian Depaz, Josep</t>
  </si>
  <si>
    <t>Bustos Huaman, Neytan</t>
  </si>
  <si>
    <t>Romero Roca, Adrián</t>
  </si>
  <si>
    <t>Flores Maguiña, Victor</t>
  </si>
  <si>
    <t>Galvez Bello, Alondra</t>
  </si>
  <si>
    <t>Bello Salcedo, Sherelyn</t>
  </si>
  <si>
    <t>Fabian Pardo, Yonel</t>
  </si>
  <si>
    <t>Gomez Requena, Nihan</t>
  </si>
  <si>
    <t>CRUZ RAMÍREZ NAYDA MEDALI</t>
  </si>
  <si>
    <t>RAMÍREZ AMARO CIARA</t>
  </si>
  <si>
    <t>TACO VERAMENDI LUCIO</t>
  </si>
  <si>
    <t>ESPINOZA FLORES SAMIRA</t>
  </si>
  <si>
    <t>ALVAREZ CARRILLO, Nicolas Styben</t>
  </si>
  <si>
    <t>ALVAREZ CHAVEZ, Thiago Liam</t>
  </si>
  <si>
    <t>ALVAREZ TACO, Dariel Brismar Dael</t>
  </si>
  <si>
    <t>AQUINO ARAUJO, Everton Tiago</t>
  </si>
  <si>
    <t>CAMILOAGA AQUINO, Moises Lecerio</t>
  </si>
  <si>
    <t>CAMPOS CAMILOAGA, Eric Dilan</t>
  </si>
  <si>
    <t>CANARES RIVERA, Zeynep Aysel</t>
  </si>
  <si>
    <t>GOMEZ TICLO, Kazuma Sato</t>
  </si>
  <si>
    <t>PINEDA ALVAREZ, Anabel Aneyra</t>
  </si>
  <si>
    <t>RAMIREZ GARAY, Camila Sofia</t>
  </si>
  <si>
    <t>RAMIREZ VERAMENDI, Heydy Meriyem</t>
  </si>
  <si>
    <t>TRUJILLO PINEDA, Waly Favinho</t>
  </si>
  <si>
    <t>UGARTE RAMIREZ, Caylin Zoe</t>
  </si>
  <si>
    <t>VEGA GARAY, Beba Sarilu</t>
  </si>
  <si>
    <t>FERNANDEZ REYES, Jackson Guzmán</t>
  </si>
  <si>
    <t>PINEDA ARAUJO, Sunmi Anyeli</t>
  </si>
  <si>
    <t>RAMIREZ TOLENTINO, Beckham Griezmann</t>
  </si>
  <si>
    <t>VILCA FERNANDEZ, Flormira</t>
  </si>
  <si>
    <t>AGUIRRE LOARTE, Linseyó Eloy</t>
  </si>
  <si>
    <t>ALVARADO ANAYA, Eydan Yahir</t>
  </si>
  <si>
    <t>ANAYA ALBORNOZ, Guisell Anahi</t>
  </si>
  <si>
    <t>ANAYA BLAS, Yeilin Madaith</t>
  </si>
  <si>
    <t>ANAYA ESPINOZA, Abby Yomira</t>
  </si>
  <si>
    <t>ANAYA ROBLES, Milan Eriksen</t>
  </si>
  <si>
    <t>ANAYA SALAZAR, Zayn Jorge Gabriel</t>
  </si>
  <si>
    <t>ARIZA OSORIO, Rozalice Kataleya</t>
  </si>
  <si>
    <t>BRIOSO BLAS, Danna Alessandra</t>
  </si>
  <si>
    <t>CAMILOAGA ANAYA, Danna Aitana</t>
  </si>
  <si>
    <t>CHAVEZ ANAYA, Dylan Fernando</t>
  </si>
  <si>
    <t>CHAVEZ MEJIA, Yahir Aaron</t>
  </si>
  <si>
    <t>DIAZ VERAMENDI, Jakob Paul</t>
  </si>
  <si>
    <t>ESPINOZA BAUTISTA, Akiro Kenai</t>
  </si>
  <si>
    <t>HUAYTA SOLORZANO, Kaylina Mikaela</t>
  </si>
  <si>
    <t>PALACIOS COLONIA, Yandel Abel</t>
  </si>
  <si>
    <t>SURCCO BRIOSO, Zaid Anthony</t>
  </si>
  <si>
    <t>AMADO FIERRO, Khalessy Valentina</t>
  </si>
  <si>
    <t>BRIOSO PALACIOS, Shonaly Yajhaira</t>
  </si>
  <si>
    <t>CABANILLAS VERAMENDI, Yaiza Yetzaly</t>
  </si>
  <si>
    <t>GARAY CALDERON, Geral Adriel</t>
  </si>
  <si>
    <t>GARAY RUBINA, Iker Lionel</t>
  </si>
  <si>
    <t>LOARTE DIAZ, Maite Zoe</t>
  </si>
  <si>
    <t>LOARTE MORALES, Yerik Aldair</t>
  </si>
  <si>
    <t>MAURICIO ANAYA, Zendaya Harleth</t>
  </si>
  <si>
    <t>MEJIA CASTRO, Brisney Briana</t>
  </si>
  <si>
    <t>MEJIA OLIVAS, Yuneth Yatziri</t>
  </si>
  <si>
    <t>PALACIOS DIAZ, Yamil Dylan</t>
  </si>
  <si>
    <t>RAMIREZ LOARTE, Yamileth Keylin</t>
  </si>
  <si>
    <t>ROBLES GUERRA, Yordan Alexis</t>
  </si>
  <si>
    <t>VALLE TARAZONA, Lian Fernando</t>
  </si>
  <si>
    <t>VARILLAS ANAYA, lan Zaid</t>
  </si>
  <si>
    <t>AGUIRRE SALVADOR, Leonel Fabricio</t>
  </si>
  <si>
    <t>ANAYA AGURTO, Jenesiz Daniza Esmeralda</t>
  </si>
  <si>
    <t>ANAYA CAMPOS, Youssef Hazan</t>
  </si>
  <si>
    <t>BLAS ANAYA, Paulo Henderson</t>
  </si>
  <si>
    <t>CALDERON CULLA, Xareni Zulema</t>
  </si>
  <si>
    <t>CARHUAPOMA MARZANO, Kael Eliceo</t>
  </si>
  <si>
    <t>CHAVEZ SOLORZANO, Jhamilton Matias</t>
  </si>
  <si>
    <t>DIONICIO ROJAS, Josabet Cristel</t>
  </si>
  <si>
    <t>LOARTE ALBORNOZ, Joshua Zahir</t>
  </si>
  <si>
    <t>LOARTE CASTRO, Yildiz Estrella</t>
  </si>
  <si>
    <t>LOARTE FAJARDO, Estiben Karim</t>
  </si>
  <si>
    <t>MEJIA SALVADOR, Ada Adaly</t>
  </si>
  <si>
    <t>PALACIOS RIMAC, Russell Jhonatan</t>
  </si>
  <si>
    <t>RAMIREZ AQUINO, Brihana Zuley</t>
  </si>
  <si>
    <t>REYES UBALDO, Jeik Yamir</t>
  </si>
  <si>
    <t>VALLE MAURICIO, Kylian Keylor</t>
  </si>
  <si>
    <t>CABRERA YUPA, Maite Kiara</t>
  </si>
  <si>
    <t>CALANCHO SANTA CRUZ, Yashira Ivana</t>
  </si>
  <si>
    <t>DAVILA SOLIS, Milan Gael</t>
  </si>
  <si>
    <t>GUERRA UGARTE, Jaziel Elmer</t>
  </si>
  <si>
    <t>LOARTE VASQUEZ, Mirella Yissel</t>
  </si>
  <si>
    <t>MARZANO GUILLERMO, Anahi Anyileth</t>
  </si>
  <si>
    <t>MEDINA VASQUEZ, Jharlyn Allison</t>
  </si>
  <si>
    <t>REYES CALANCHO YANNIS</t>
  </si>
  <si>
    <t>REYES SANTA CRUZ, Mariafernanda</t>
  </si>
  <si>
    <t>RIVERA GUERRA, Iker Derek</t>
  </si>
  <si>
    <t>ROJAS GUILLEN, Iker Zaid</t>
  </si>
  <si>
    <t>UGARTE ARIVILCA YERICK</t>
  </si>
  <si>
    <t>ALFARO INGA, Jesslyn Adelit</t>
  </si>
  <si>
    <t>BLAS CALDERON, Yhasmin Yhakira</t>
  </si>
  <si>
    <t>BLAS RIVERA, Gianna Danira</t>
  </si>
  <si>
    <t>GOMEZ VASQUEZ, Eliam Sebastian</t>
  </si>
  <si>
    <t>LOARTE SIFUENTES, Julieth Medali</t>
  </si>
  <si>
    <t>MEJIA BRIOSO, Dayra Yaretzi</t>
  </si>
  <si>
    <t>RAMIREZ CHÁVEZ, Valentina Rocío</t>
  </si>
  <si>
    <t>RAMOS CASTILLO, Kiara Valeria</t>
  </si>
  <si>
    <t>SALAZAR NOLBERTO, Kendra Maylen</t>
  </si>
  <si>
    <t>SIFUENTES ANAYA, Dylan Mateo</t>
  </si>
  <si>
    <t>VALENZUELA MEDINA, Jaziel Gael</t>
  </si>
  <si>
    <t>VERAMENDI BAZAN, Donald Yandel</t>
  </si>
  <si>
    <t>ALBORNOZ SANTIAGO, Mayra Briana</t>
  </si>
  <si>
    <t>ARAUJO LOZADA, Abigail Zhuimy</t>
  </si>
  <si>
    <t>CALDERON AQUINO, Jeremy Alexandro</t>
  </si>
  <si>
    <t>CALDERON TOLENTINO, lyan Eriksen</t>
  </si>
  <si>
    <t>CHAVEZ ANAYA, Aylan Jassiel</t>
  </si>
  <si>
    <t>GOMEZ VASQUEZ, Jhuniel Isan</t>
  </si>
  <si>
    <t>MEJIA ARIAS, Danna Arlet</t>
  </si>
  <si>
    <t>NAVARRO UGARTE, Eythan Adrián</t>
  </si>
  <si>
    <t>PAJUELO CALANCHO, Piero Antony</t>
  </si>
  <si>
    <t>RODRIGUEZ GARAY, Gael Alessandro</t>
  </si>
  <si>
    <t>SALAZAR OBREGON, Amira Dayan Arely</t>
  </si>
  <si>
    <t>VASQUEZ PINEDA, Daymy Giselle</t>
  </si>
  <si>
    <t>VERAMENDI ALBORNOZ, Jhosef Debrahan</t>
  </si>
  <si>
    <t>OLIVAS CASTILLO JOSUE ELIAQUIN</t>
  </si>
  <si>
    <t xml:space="preserve">4 años </t>
  </si>
  <si>
    <t>SALAZAR SALVADOR YOSFRAN LINDER</t>
  </si>
  <si>
    <t>TREJO CASTRO LUZ ADIRA</t>
  </si>
  <si>
    <t>VASQUEZ HUERTA DAYMAR BAHIR</t>
  </si>
  <si>
    <t>VARGAS GOMEZ YACELI JANA</t>
  </si>
  <si>
    <t>MEDINA GOMEZ ANDREA ESTEFANY</t>
  </si>
  <si>
    <t>BRIOSO ANAYA SAORI VALENTINA</t>
  </si>
  <si>
    <t>FONSECA VERAMENDI DAFNE ENGELL</t>
  </si>
  <si>
    <t>RIVERA ALMERCON ANGELICA VALENTINA</t>
  </si>
  <si>
    <t>ALMERCON DIAZ DAYARA JEYSI</t>
  </si>
  <si>
    <t>BRIOSO ANAYA, Heydi Brunella</t>
  </si>
  <si>
    <t>BRIOSO CIPRIAN, Catalina Yamilet</t>
  </si>
  <si>
    <t>HUERTA GARAY, Alessia Cristel</t>
  </si>
  <si>
    <t>MEDINA GOMEZ, Adelina Esmeralda</t>
  </si>
  <si>
    <t>VALENZUELA UGARTE, Jahiel Yereli</t>
  </si>
  <si>
    <t xml:space="preserve">DAVID </t>
  </si>
  <si>
    <t>ALONSO 1</t>
  </si>
  <si>
    <t>DANIELA</t>
  </si>
  <si>
    <t>SELIM</t>
  </si>
  <si>
    <t>DALESHKA</t>
  </si>
  <si>
    <t>ALEXIA</t>
  </si>
  <si>
    <t>ADIEL</t>
  </si>
  <si>
    <t>GAEL</t>
  </si>
  <si>
    <t>ALONSO</t>
  </si>
  <si>
    <t>EDERSON</t>
  </si>
  <si>
    <t>EDRIK</t>
  </si>
  <si>
    <t>ELIASAR</t>
  </si>
  <si>
    <t>ZEINEP</t>
  </si>
  <si>
    <t>ARTHUR</t>
  </si>
  <si>
    <t>CATALINA</t>
  </si>
  <si>
    <t>KAELY</t>
  </si>
  <si>
    <t>JEREMY</t>
  </si>
  <si>
    <t>JULEN</t>
  </si>
  <si>
    <t>BIANCA</t>
  </si>
  <si>
    <t>CHELSSI</t>
  </si>
  <si>
    <t xml:space="preserve">YAMIR </t>
  </si>
  <si>
    <t>LUANA</t>
  </si>
  <si>
    <t>LIAM</t>
  </si>
  <si>
    <t>SAORI</t>
  </si>
  <si>
    <t xml:space="preserve">THIAGO </t>
  </si>
  <si>
    <t xml:space="preserve">MAYLEN </t>
  </si>
  <si>
    <t xml:space="preserve">CAMILA </t>
  </si>
  <si>
    <t>EMILY</t>
  </si>
  <si>
    <t>DAVE</t>
  </si>
  <si>
    <t xml:space="preserve">AYLIN </t>
  </si>
  <si>
    <t>LHIAM</t>
  </si>
  <si>
    <t>MILAN</t>
  </si>
  <si>
    <t>AXEL</t>
  </si>
  <si>
    <t>DAILA</t>
  </si>
  <si>
    <t>ETHAN</t>
  </si>
  <si>
    <t>ALEXIS</t>
  </si>
  <si>
    <t>HANSEL</t>
  </si>
  <si>
    <t>YEILON</t>
  </si>
  <si>
    <t>JOSE</t>
  </si>
  <si>
    <t>ANGELLY</t>
  </si>
  <si>
    <t>JHEREMY</t>
  </si>
  <si>
    <t>ABIGAIL</t>
  </si>
  <si>
    <t>IVANA</t>
  </si>
  <si>
    <t>EDRICK</t>
  </si>
  <si>
    <t>YARITZA</t>
  </si>
  <si>
    <t>XIANA</t>
  </si>
  <si>
    <t>EMANUEL</t>
  </si>
  <si>
    <t>ROSSEL</t>
  </si>
  <si>
    <t>YOSANDER</t>
  </si>
  <si>
    <t>DAILYN</t>
  </si>
  <si>
    <t>Manzana</t>
  </si>
  <si>
    <t>Pacheco Quiñones, Johan</t>
  </si>
  <si>
    <t>1//7/2025</t>
  </si>
  <si>
    <t>Alarcon Sifuentes, Lirio</t>
  </si>
  <si>
    <t>Huaranga Benito, Yasiel</t>
  </si>
  <si>
    <t>Aguirre Huertas, Dherian</t>
  </si>
  <si>
    <t>Diaz Lopez, Harold</t>
  </si>
  <si>
    <t>Quijano Doroteo, Leizhy</t>
  </si>
  <si>
    <t>|</t>
  </si>
  <si>
    <t>Camones Broncano, Dominik</t>
  </si>
  <si>
    <t>Romero Diaz, Alessandra</t>
  </si>
  <si>
    <t>Sanchez Huarancca, Sebastian</t>
  </si>
  <si>
    <t>Naranja</t>
  </si>
  <si>
    <t>Vasquez Doroteo, Dafhne</t>
  </si>
  <si>
    <t>Arteaga Rojas, Eithan</t>
  </si>
  <si>
    <t>Julca Vergara, Luis</t>
  </si>
  <si>
    <t>Jaramillo Diaz, Briana</t>
  </si>
  <si>
    <t>Salcedo Bottoni, Solange</t>
  </si>
  <si>
    <t>Manihuari Parana, Caely</t>
  </si>
  <si>
    <t>Tello-Mena Jumpa, Kendra</t>
  </si>
  <si>
    <t>Hidalgo Pantoja, Alondra</t>
  </si>
  <si>
    <t>Rivera Requelme, Alexio</t>
  </si>
  <si>
    <t>Camones Broncano, Price</t>
  </si>
  <si>
    <t>Gonzales Arustegui, Missael</t>
  </si>
  <si>
    <t>Fresa</t>
  </si>
  <si>
    <t>Requena Diaz, Jayden</t>
  </si>
  <si>
    <t>Varela Sanchez, Aylin</t>
  </si>
  <si>
    <t>Mayta Salina, Frank</t>
  </si>
  <si>
    <t>Pisco Retuerto, Lucas</t>
  </si>
  <si>
    <t>Rosales Manrique, Vania</t>
  </si>
  <si>
    <t>Mendoza Huaman, Arav</t>
  </si>
  <si>
    <t>Velasquez Gerrero, Valentina</t>
  </si>
  <si>
    <t>Flores Diaz, Darell</t>
  </si>
  <si>
    <t>Pomiano De La Cruz, Stiven</t>
  </si>
  <si>
    <t>Sanchez Alarcon, Stephen</t>
  </si>
  <si>
    <t>Huaman Espinoza, Auba</t>
  </si>
  <si>
    <t>Fernandez Sales, Miguel</t>
  </si>
  <si>
    <t>Diaz Lopez, Heiton</t>
  </si>
  <si>
    <t>Villadeza Albornoz, Alexis Jahir</t>
  </si>
  <si>
    <t>Ugarte Reyes, Thiago Dahizuke</t>
  </si>
  <si>
    <t>Carrillo Calixto, Yerik Enzo</t>
  </si>
  <si>
    <t>Espinoza Rimac, Joshua Jhoshimar</t>
  </si>
  <si>
    <t>Fernandez Albornoz, Ashly Aliso</t>
  </si>
  <si>
    <t>Obregon Veramendi, Dylan Wagner</t>
  </si>
  <si>
    <t xml:space="preserve">Albornos Julca, Yareli Maribel </t>
  </si>
  <si>
    <t>Ramirez Espinoza, Thiago Alexsis</t>
  </si>
  <si>
    <t>Rojas Ugarte, Liam Valentino</t>
  </si>
  <si>
    <t>Ugarte Santillan, Ibeth Yaslyn</t>
  </si>
  <si>
    <t>Reyes Huayta, Yamilet Emelin</t>
  </si>
  <si>
    <t>Garay Amado Franyelina Favela</t>
  </si>
  <si>
    <t>Dificultades en lenguaje expresivo</t>
  </si>
  <si>
    <t>3, 4 y 5 años</t>
  </si>
  <si>
    <t>Victorio Mora, Areztiel</t>
  </si>
  <si>
    <t>Cadenas Carrión, Keith</t>
  </si>
  <si>
    <t>Padilla Solano, Dylan</t>
  </si>
  <si>
    <t>Miranda Pashanaste, Catalina</t>
  </si>
  <si>
    <t>Menacho Paredes, Samara Abigail</t>
  </si>
  <si>
    <t>Loayza Calderon, Antonella Adisson</t>
  </si>
  <si>
    <t>Uzuriaga Salcedo, Maykel</t>
  </si>
  <si>
    <t>Rodriguez Moreno, Adib Yoner</t>
  </si>
  <si>
    <t>Dificultad para la expresión oral (timidez). Se observo su comunicación no verbal (gestos) para la evaluación.</t>
  </si>
  <si>
    <t>Chavez Silva, Lia</t>
  </si>
  <si>
    <t>Chipiana Ramos, Antonella</t>
  </si>
  <si>
    <t>Romero Ordoñez, Cataleya</t>
  </si>
  <si>
    <t>Sanchez Ramirez, Sebastian Fernando</t>
  </si>
  <si>
    <t>Abarca Alhuay, Adriel</t>
  </si>
  <si>
    <t>Alvarado Concepcion, Stefano</t>
  </si>
  <si>
    <t>Gonzales Flores, Sander</t>
  </si>
  <si>
    <t>Gonzales Flores, Seyli</t>
  </si>
  <si>
    <t>Herrera Sipan, Helouis</t>
  </si>
  <si>
    <t>Velasquez Yauri, Valeska</t>
  </si>
  <si>
    <t>Cordova Campos, Paul Gael</t>
  </si>
  <si>
    <t>Sotelo Zambrano, Paloma</t>
  </si>
  <si>
    <t xml:space="preserve">David Rodriguez Espinoza </t>
  </si>
  <si>
    <t xml:space="preserve">Daleshka Torres Palomares </t>
  </si>
  <si>
    <t>Selim Balabarca Montesinos</t>
  </si>
  <si>
    <t xml:space="preserve">Daniela Montesinos de Paz </t>
  </si>
  <si>
    <t>Alonso Aldave Isidro</t>
  </si>
  <si>
    <t>Yamir</t>
  </si>
  <si>
    <t>Luana</t>
  </si>
  <si>
    <t xml:space="preserve">Liam </t>
  </si>
  <si>
    <t xml:space="preserve">Saori </t>
  </si>
  <si>
    <t xml:space="preserve">Thiago </t>
  </si>
  <si>
    <t xml:space="preserve">Maylen </t>
  </si>
  <si>
    <t xml:space="preserve">Camila </t>
  </si>
  <si>
    <t xml:space="preserve">Emely </t>
  </si>
  <si>
    <t>Dave</t>
  </si>
  <si>
    <t xml:space="preserve">Aylin </t>
  </si>
  <si>
    <t xml:space="preserve">Lhiam </t>
  </si>
  <si>
    <t xml:space="preserve">Milan </t>
  </si>
  <si>
    <t xml:space="preserve">Axel </t>
  </si>
  <si>
    <t xml:space="preserve">Daila </t>
  </si>
  <si>
    <t xml:space="preserve">Ethan </t>
  </si>
  <si>
    <t xml:space="preserve">Alexis </t>
  </si>
  <si>
    <t>Alexia Ochoa  Majipo</t>
  </si>
  <si>
    <t xml:space="preserve">Gadiel Laverio Rondon </t>
  </si>
  <si>
    <t xml:space="preserve">Gael Laverio Rondon </t>
  </si>
  <si>
    <t>Alonso Pizango Azaña</t>
  </si>
  <si>
    <t xml:space="preserve">Ederson Robles Valverde </t>
  </si>
  <si>
    <t xml:space="preserve">Edrick Talledo Laverio </t>
  </si>
  <si>
    <t xml:space="preserve">Eleazar Talledo Laverio </t>
  </si>
  <si>
    <t xml:space="preserve">Zeynep Villacorta de la Cruz </t>
  </si>
  <si>
    <t xml:space="preserve">Arthur Rodriguez Abarca </t>
  </si>
  <si>
    <t xml:space="preserve">Catalina Salinas Gonzales </t>
  </si>
  <si>
    <t xml:space="preserve">Kaely Moran Azaña </t>
  </si>
  <si>
    <t xml:space="preserve">Jeremy Fabian Herrera </t>
  </si>
  <si>
    <t xml:space="preserve">Julen Trinidad Lozano </t>
  </si>
  <si>
    <t xml:space="preserve">Bianca Leon Mori </t>
  </si>
  <si>
    <t xml:space="preserve">Chelssi de Paz Morales </t>
  </si>
  <si>
    <t xml:space="preserve">Crystel Poma Villar </t>
  </si>
  <si>
    <t xml:space="preserve">Hansel </t>
  </si>
  <si>
    <t xml:space="preserve">Yeithon </t>
  </si>
  <si>
    <t xml:space="preserve">Jose </t>
  </si>
  <si>
    <t xml:space="preserve">Angelly </t>
  </si>
  <si>
    <t xml:space="preserve">Jheremy </t>
  </si>
  <si>
    <t xml:space="preserve">Abigail </t>
  </si>
  <si>
    <t xml:space="preserve">Ivana </t>
  </si>
  <si>
    <t xml:space="preserve">Edrick </t>
  </si>
  <si>
    <t xml:space="preserve">Yaritza </t>
  </si>
  <si>
    <t xml:space="preserve">Xiana </t>
  </si>
  <si>
    <t xml:space="preserve">Emanuel </t>
  </si>
  <si>
    <t>Rossel</t>
  </si>
  <si>
    <t>Yosander</t>
  </si>
  <si>
    <t xml:space="preserve">Dailyn </t>
  </si>
  <si>
    <t>Dolores Dolores Danna</t>
  </si>
  <si>
    <t>Condición de TEA</t>
  </si>
  <si>
    <t>Vega Gonzales Sebastian</t>
  </si>
  <si>
    <t>Problemas de conducta</t>
  </si>
  <si>
    <t>Vilca Garcia Ethan</t>
  </si>
  <si>
    <t>Castillo Castillo Dereck</t>
  </si>
  <si>
    <t>Cordoba Quiroz Dayle</t>
  </si>
  <si>
    <t>Mejia Quiroz Cataleya</t>
  </si>
  <si>
    <t>Cotillo Vasquez Zoe</t>
  </si>
  <si>
    <t>Cegarra Zaid</t>
  </si>
  <si>
    <t>Cotillo Antonella</t>
  </si>
  <si>
    <t>Cenepo Geraldine</t>
  </si>
  <si>
    <t>Ilaquijo Mora Matthew</t>
  </si>
  <si>
    <t>Niño Solis Mateo</t>
  </si>
  <si>
    <t>Pulido Chunacero Luna</t>
  </si>
  <si>
    <t>Guerrero Marreros Ivana</t>
  </si>
  <si>
    <t>Flores Alvarez Ivana</t>
  </si>
  <si>
    <t>Garrido Apeña Yamilet</t>
  </si>
  <si>
    <t>Reyes Bailon Moises</t>
  </si>
  <si>
    <t>Armas Capistrano Angel</t>
  </si>
  <si>
    <t>Toledo Rosales Omar</t>
  </si>
  <si>
    <t>Obregon Moreno Austin</t>
  </si>
  <si>
    <t>Hurtado Asencio Thaira</t>
  </si>
  <si>
    <t>Zata Reques Antonella</t>
  </si>
  <si>
    <t>Condor Gutierrez Hostin</t>
  </si>
  <si>
    <t>Alvarez Medina Liana</t>
  </si>
  <si>
    <t>Cotillo Vega Jonas</t>
  </si>
  <si>
    <t>celeste</t>
  </si>
  <si>
    <t xml:space="preserve">5 años rojo </t>
  </si>
  <si>
    <t>1 No hay evidencia observable</t>
  </si>
  <si>
    <t>2 Evidencia parcial: el niño/a lo realiza con ayuda, duda o lo menciona sin claridad</t>
  </si>
  <si>
    <t>3 Evidencia suficiente: el niño/a lo realiza o verbaliza con claridad y de forma autónoma</t>
  </si>
  <si>
    <t>4 Evidencia sobresaliente: Lo hace por iniciativa propia, lo explica a sus pares y lo aplica en situaciones reales sin que nadie se lo pida.</t>
  </si>
  <si>
    <t>}</t>
  </si>
  <si>
    <t>Sesión/taller</t>
  </si>
  <si>
    <t>Número de sesión/taller</t>
  </si>
  <si>
    <t>Fecha</t>
  </si>
  <si>
    <t>Apellido y nombre del niño/a</t>
  </si>
  <si>
    <t>% Indicador de logro</t>
  </si>
  <si>
    <t>Celulares</t>
  </si>
  <si>
    <t>Comenarios</t>
  </si>
  <si>
    <t>Autoconciencia</t>
  </si>
  <si>
    <t>1 y 2</t>
  </si>
  <si>
    <t>Roque Gonzales, Sarai</t>
  </si>
  <si>
    <t>3,4, y 5 años</t>
  </si>
  <si>
    <t>Jara Roque, Melani/Ini-4rto/3,4, y 5 años</t>
  </si>
  <si>
    <t>Zubieta Cerrate, Carolina</t>
  </si>
  <si>
    <t>Huamán Zubieta, Sophia</t>
  </si>
  <si>
    <t>Huamán Zubieta, Sophia/Ini-3ero/3,4, y 5 años</t>
  </si>
  <si>
    <t>Ini-3ero/3,4, y 5 años</t>
  </si>
  <si>
    <t>Ferromeque Suyo, Melanie</t>
  </si>
  <si>
    <t>Flores Farromeque Sebastian</t>
  </si>
  <si>
    <t>Flores Farromeque Sebastian/Ini-5nto/5 años</t>
  </si>
  <si>
    <t>Gonzales Flores, Mergie Inyoana</t>
  </si>
  <si>
    <t>Vega Gonzalez Noah/Ini-3ero/3 años</t>
  </si>
  <si>
    <t>Sanchez Gonzales Esmeralda</t>
  </si>
  <si>
    <t>Bularte Sanchez, Noah</t>
  </si>
  <si>
    <t>Bularte Sanchez, Noah/Ini-3ero/3 años</t>
  </si>
  <si>
    <t>Tipiani Rivera, Oscar Oliver</t>
  </si>
  <si>
    <t>Tobias Tipiani</t>
  </si>
  <si>
    <t>Tobias Tipiani/Ini-4rto/4 años</t>
  </si>
  <si>
    <t>Marreros Flores, Lily</t>
  </si>
  <si>
    <t>Guerrero Marrenos, Ivana Valeria</t>
  </si>
  <si>
    <t>Guerrero Marrenos, Ivana Valeria/Ini-4rto/4 años</t>
  </si>
  <si>
    <t>Reques Mendoza, Carolina</t>
  </si>
  <si>
    <t>Zata Reques, Lina Antonella</t>
  </si>
  <si>
    <t>Zata Reques, Lina Antonella/Ini-4rto/4 años</t>
  </si>
  <si>
    <t>Vasquez Burgos, Flor</t>
  </si>
  <si>
    <t>Castillo Vasquez Zoe/Ini-4rto/4 años</t>
  </si>
  <si>
    <t>Jesus Macedo, Lesly</t>
  </si>
  <si>
    <t>Ini-5nto/5 años</t>
  </si>
  <si>
    <t>Solis Raymundo, Katherine Janet</t>
  </si>
  <si>
    <t>Niño Mateo/Ini-4rto/4 años</t>
  </si>
  <si>
    <t>Cotillo Flores, Silvia Evelyn</t>
  </si>
  <si>
    <t>Ini-3ero/3 años</t>
  </si>
  <si>
    <t>Vasquez Burgos, Isabel</t>
  </si>
  <si>
    <t>Castillo Vasquez Zoe/Ini-3ero/3 años</t>
  </si>
  <si>
    <t>Niño, Alexande Jesus</t>
  </si>
  <si>
    <t xml:space="preserve">Rodriguez Cosme, Liliana </t>
  </si>
  <si>
    <t>Mejia Rodriguez, Maryori Lisandra</t>
  </si>
  <si>
    <t>Mejia Rodriguez, Maryori Lisandra/Ini-5nto/5 años</t>
  </si>
  <si>
    <t>Gomero Visencio, Sonia</t>
  </si>
  <si>
    <t>Sigueñas Gomero, Stefany Leydy</t>
  </si>
  <si>
    <t>Sigueñas Gomero, Stefany Leydy/Ini-4rto/4 años</t>
  </si>
  <si>
    <t>Cadillo Resurrección, Elena</t>
  </si>
  <si>
    <t xml:space="preserve">Cosme Cadillo, Elder Ethson </t>
  </si>
  <si>
    <t>Cosme Cadillo, Elder Ethson/Ini-4rto/4 años</t>
  </si>
  <si>
    <t>Guerrero Nicasio, Lenin</t>
  </si>
  <si>
    <t>Guerrero Burga, Dereck Yadiel</t>
  </si>
  <si>
    <t>Guerrero Burga, Dereck Yadiel/Ini-4rto/4 años</t>
  </si>
  <si>
    <t>Gamarra Sanchez, Gladys</t>
  </si>
  <si>
    <t>Castillo Gamarra, Silvia</t>
  </si>
  <si>
    <t>Ini-4rto/4 años</t>
  </si>
  <si>
    <t>Dolores Dolores, Karla</t>
  </si>
  <si>
    <t>Dolores Dolores, Danna Shophia</t>
  </si>
  <si>
    <t>Dolores Dolores, Danna Shophia/Ini-5nto/5 años</t>
  </si>
  <si>
    <t>Blaz Huerta, Vilma Nancy</t>
  </si>
  <si>
    <t>Doroteo Blaz, Brenda Victoria</t>
  </si>
  <si>
    <t>Doroteo Blaz, Brenda Victoria/Ini-5nto/5 años</t>
  </si>
  <si>
    <t>Pomiano Yta, Rosalinda</t>
  </si>
  <si>
    <t>De la Cruz Pomiano, Yasuri</t>
  </si>
  <si>
    <t>De la Cruz Pomiano, Yasuri/Ini-5nto/5 años</t>
  </si>
  <si>
    <t>Fabian de la Cruz, Vilma Mercedes</t>
  </si>
  <si>
    <t>Leyva Baylon, Antonia</t>
  </si>
  <si>
    <t>Mendoza Leyva, Aysel</t>
  </si>
  <si>
    <t>Pequeños exploradores</t>
  </si>
  <si>
    <t>Mendoza Leyva, Aysel/Ini-3ero/Pequeños exploradores</t>
  </si>
  <si>
    <t>Tipiani Bazalar, Karla</t>
  </si>
  <si>
    <t>Cosme Tripiani, Nazareth</t>
  </si>
  <si>
    <t>Cosme Tripiani, Nazareth/Ini-3ero/Pequeños exploradores</t>
  </si>
  <si>
    <t>Leon Mendoza, Ayme</t>
  </si>
  <si>
    <t>Moreno León, Margarita</t>
  </si>
  <si>
    <t>Moreno León, Margarita/Ini-3ero/Pequeños exploradores</t>
  </si>
  <si>
    <t>Rosales Julca, Lourdes Pilar</t>
  </si>
  <si>
    <t>Tipiani Rosales, Lucas</t>
  </si>
  <si>
    <t>Tipiani Rosales, Lucas/Ini-3ero/Pequeños exploradores</t>
  </si>
  <si>
    <t>Castillo Palacio, Esther</t>
  </si>
  <si>
    <t>Romero Cadillo, Alexandro</t>
  </si>
  <si>
    <t>Pequeños creativos</t>
  </si>
  <si>
    <t>Romero Cadillo, Alexandro/Ini-5nto/Pequeños creativos</t>
  </si>
  <si>
    <t>Mendez Rojas, Jessica</t>
  </si>
  <si>
    <t>Barruto Mendez, Mayse</t>
  </si>
  <si>
    <t>Barruto Mendez, Mayse/Ini-5nto/Pequeños creativos</t>
  </si>
  <si>
    <t>Quiroz Tapia, Eva</t>
  </si>
  <si>
    <t>Gonzales Quiroz, Adriel</t>
  </si>
  <si>
    <t>Gonzales Quiroz, Adriel/Ini-5nto/Pequeños creativos</t>
  </si>
  <si>
    <t>Ojeda Puycon, Janny</t>
  </si>
  <si>
    <t>Chahuar Ojeda, Mateo</t>
  </si>
  <si>
    <t>Chahuar Ojeda, Mateo/Ini-5nto/Pequeños creativos</t>
  </si>
  <si>
    <t>Rodriguez Hurtado, Carla</t>
  </si>
  <si>
    <t>Palacios Rodriguez, Eliel</t>
  </si>
  <si>
    <t>Palacios Rodriguez, Eliel/Ini-3ero/Pequeños exploradores</t>
  </si>
  <si>
    <t>Huaman Espinoza, Elizabeth</t>
  </si>
  <si>
    <t>Castillo Huaman, Euz</t>
  </si>
  <si>
    <t>Ini-3ero/Pequeños exploradores</t>
  </si>
  <si>
    <t>Cabrera Guevaro, Sindy</t>
  </si>
  <si>
    <t>Huaman Cabrera, Yeiko</t>
  </si>
  <si>
    <t>Huaman Cabrera, Yeiko/Ini-5nto/Pequeños creativos</t>
  </si>
  <si>
    <t>Montes Acha, Julia Marcela</t>
  </si>
  <si>
    <t>Ini-5nto/Pequeños creativos</t>
  </si>
  <si>
    <t>Navarro Huerta, Julissa</t>
  </si>
  <si>
    <t>Ini-4rto/Pequeños exploradores</t>
  </si>
  <si>
    <t xml:space="preserve">1 y 2 </t>
  </si>
  <si>
    <t xml:space="preserve">Odalit Asuncion Canaza Minaya </t>
  </si>
  <si>
    <t xml:space="preserve">3,4 y 5 años </t>
  </si>
  <si>
    <t>Ini-5nto/3,4 y 5 años</t>
  </si>
  <si>
    <t xml:space="preserve">Blanca Isidro Toscano </t>
  </si>
  <si>
    <t>Erika Paola MONTESINOS</t>
  </si>
  <si>
    <t xml:space="preserve"> 1 y 2</t>
  </si>
  <si>
    <t>Gladys Soledad Depas Gonzales</t>
  </si>
  <si>
    <t>1y 2</t>
  </si>
  <si>
    <t xml:space="preserve">Gloria Isabel Espinoza </t>
  </si>
  <si>
    <t xml:space="preserve">Viviana Noemi Palomares Enciso </t>
  </si>
  <si>
    <t xml:space="preserve">Juan Manuel </t>
  </si>
  <si>
    <t xml:space="preserve">Eva Cecilia Diaz Tuesta </t>
  </si>
  <si>
    <t>Gaby Cerila Garro Carmen</t>
  </si>
  <si>
    <t xml:space="preserve">Julia Raymundo Jara </t>
  </si>
  <si>
    <t xml:space="preserve">Judith Damian Valverde </t>
  </si>
  <si>
    <t xml:space="preserve">Mari Luz Villar Raymundo </t>
  </si>
  <si>
    <t xml:space="preserve">Elvia Damian Valverde </t>
  </si>
  <si>
    <t xml:space="preserve">Nilda Requena </t>
  </si>
  <si>
    <t xml:space="preserve">Esther Damian Valverde </t>
  </si>
  <si>
    <t xml:space="preserve">Edith Mejia Flores </t>
  </si>
  <si>
    <t xml:space="preserve">Gimena de la Crus Gamarra </t>
  </si>
  <si>
    <t xml:space="preserve">Olinda Valverde </t>
  </si>
  <si>
    <t xml:space="preserve">Abelina Raymundo </t>
  </si>
  <si>
    <t xml:space="preserve">Eveliza Damian Raymundo </t>
  </si>
  <si>
    <t xml:space="preserve">Madeli Aldave Jesus </t>
  </si>
  <si>
    <t xml:space="preserve">Zoraida Jesus Trinidad </t>
  </si>
  <si>
    <t xml:space="preserve">Elsa Isidro de paz </t>
  </si>
  <si>
    <t xml:space="preserve">Maritza Lopez Pinedo </t>
  </si>
  <si>
    <t xml:space="preserve">Milagros Cochachin Espinoza </t>
  </si>
  <si>
    <t xml:space="preserve">Nancy Lourdes Panizo </t>
  </si>
  <si>
    <t xml:space="preserve">Belen Balarezo Dolores </t>
  </si>
  <si>
    <t xml:space="preserve">Nuria Minaya Padilla </t>
  </si>
  <si>
    <t>Barroso Flores, Flormira</t>
  </si>
  <si>
    <t>Benito Yanac, Eugenia Matilde</t>
  </si>
  <si>
    <t>Saénz Guevara, Nancy Violeta</t>
  </si>
  <si>
    <t>Cabrera Laguna, Raisa</t>
  </si>
  <si>
    <t>Pantoja Cabrera, Sandro</t>
  </si>
  <si>
    <t>Pantoja Cabrera, Sandro/Ini-4rto/4 años</t>
  </si>
  <si>
    <t>Falero Sanchez, Luz Maria</t>
  </si>
  <si>
    <t>Guerrero Falero, Merlia y Paolo</t>
  </si>
  <si>
    <t>3 y 5 años</t>
  </si>
  <si>
    <t>Guerrero Falero, Merlia y Paolo/Ini-3ero/3 y 5 años</t>
  </si>
  <si>
    <t>Requena Castillo, Flor</t>
  </si>
  <si>
    <t>Gomez Requena, Nihan/Ini-5nto/5 años</t>
  </si>
  <si>
    <t>Pardo Felix, Carmen</t>
  </si>
  <si>
    <t>Fabian Pardo, Yonel/Ini-5nto/5 años</t>
  </si>
  <si>
    <t>Celestino Villarreal, Matilde</t>
  </si>
  <si>
    <t>Moreno Celestino, Percy/Ini-5nto/5 años</t>
  </si>
  <si>
    <t>Ortiz Montalvo, Maria</t>
  </si>
  <si>
    <t>Vargas Ortiz, Analyne y Johann</t>
  </si>
  <si>
    <t>Vargas Ortiz, Analyne y Johann/Ini-5nto/5 años</t>
  </si>
  <si>
    <t>Maguiña Cosme, Yanet</t>
  </si>
  <si>
    <t>Flores Maguiña, Victor/Ini-5nto/5 años</t>
  </si>
  <si>
    <t>Solano Chinchay, Mercedes Yuliana</t>
  </si>
  <si>
    <t>Padilla Solano, Dylan/Ini-3ero/3 años</t>
  </si>
  <si>
    <t>Venturo Silva, Carmen</t>
  </si>
  <si>
    <t>Favian Venturo, Liam</t>
  </si>
  <si>
    <t>Favian Venturo, Liam/Ini-3ero/3 años</t>
  </si>
  <si>
    <t>Pashanaste Aguilar, Clara</t>
  </si>
  <si>
    <t>Miranda Pashanaste, Catalina/Ini-3ero/3 años</t>
  </si>
  <si>
    <t>Rodriguez Iparraguirre, Dominga Giovana</t>
  </si>
  <si>
    <t>Tamayo Rodriguez, Matusalén/Ini-4rto/4 años</t>
  </si>
  <si>
    <t>Jimenez Jesús, Miriam</t>
  </si>
  <si>
    <t>Paico Jimenez, Azumi/Ini-3ero/3 años</t>
  </si>
  <si>
    <t>Depaz Salome, Luz</t>
  </si>
  <si>
    <t>Doroteo Depaz, Paul</t>
  </si>
  <si>
    <t>Doroteo Depaz, Paul/Ini-3ero/3 años</t>
  </si>
  <si>
    <t>Jara Millo, Erika</t>
  </si>
  <si>
    <t>Bustos Jara, Xianna</t>
  </si>
  <si>
    <t>Bustos Jara, Xianna/Ini-4rto/4 años</t>
  </si>
  <si>
    <t>Depaz Silva, Edit</t>
  </si>
  <si>
    <t>Fabian Depaz, Josep/Ini-5nto/5 años</t>
  </si>
  <si>
    <t>Salcedo Oropeza, Naydu</t>
  </si>
  <si>
    <t>Uzuriaga Salcedo, Maykel/Ini-4rto/4 años</t>
  </si>
  <si>
    <t>Bello Zorrilla, Nely</t>
  </si>
  <si>
    <t>Galvez Bello, Alondra/Ini-5nto/5 años</t>
  </si>
  <si>
    <t>Bustos Salcedo, Zadith Stephanie</t>
  </si>
  <si>
    <t>Patricio Bustos Selim Dario</t>
  </si>
  <si>
    <t>Patricio Bustos Selim Dario/Ini-3ero/3 años</t>
  </si>
  <si>
    <t>Roca Espinoza, Stephany Emilia</t>
  </si>
  <si>
    <t>Romero Roca, Adrián/Ini-5nto/5 años</t>
  </si>
  <si>
    <t>Moreno Dolores, Romely Noimí</t>
  </si>
  <si>
    <t>Rodriguez Moreno, Adib Yoner/Ini-5nto/5 años</t>
  </si>
  <si>
    <t>Bustos Salcedo, Juvi Mirella</t>
  </si>
  <si>
    <t>Bello Bustos, Grace Ivana</t>
  </si>
  <si>
    <t>Bello Bustos, Grace Ivana/Ini-3ero/3 años</t>
  </si>
  <si>
    <t>Sanchez, Evelina</t>
  </si>
  <si>
    <t>Villafuerte Pajuelo, Kely Marina</t>
  </si>
  <si>
    <t>Doroteo Villafuerte, Adriana</t>
  </si>
  <si>
    <t>Doroteo Villafuerte, Adriana/Ini-3ero/3 años</t>
  </si>
  <si>
    <t>Paico Trujillo, Jessica</t>
  </si>
  <si>
    <t>Rosales Paico, Yuleysi/Ini-5nto/3, 4 y 5 años</t>
  </si>
  <si>
    <t>Isneros Miranda, Augurio</t>
  </si>
  <si>
    <t>Isneros Matos, Celeste/Ini-5nto/3, 4 y 5 años</t>
  </si>
  <si>
    <t>Baca Espinoza, Maribel</t>
  </si>
  <si>
    <t>Perez Baca, Rodrigo/Ini-5nto/3, 4 y 5 años</t>
  </si>
  <si>
    <t>Portilla Rodriguez, Luz Deysi</t>
  </si>
  <si>
    <t>Romero Portilla, Isabel/Ini-4rto/3, 4 y 5 años</t>
  </si>
  <si>
    <t>Parra Romero, Ana María</t>
  </si>
  <si>
    <t>Ini-3ero/3, 4 y 5 años</t>
  </si>
  <si>
    <t>Palomino Vilca, Ana</t>
  </si>
  <si>
    <t>Curi Palomino, Iker/Ini-4rto/3 y 4 años</t>
  </si>
  <si>
    <t>Diaz Salinas, Cely Flor</t>
  </si>
  <si>
    <t>Zambrano Diaz, Nicolas/Ini-5nto/5 años</t>
  </si>
  <si>
    <t>Flores Díaz, Isela</t>
  </si>
  <si>
    <t>Espiritu Flores, Fabrizio</t>
  </si>
  <si>
    <t>Espiritu Flores, Fabrizio/Ini-5nto/5 años</t>
  </si>
  <si>
    <t>Castillo Torres, Isabel</t>
  </si>
  <si>
    <t>Diaz Castillo, Said</t>
  </si>
  <si>
    <t>Diaz Castillo, Said/Ini-4rto/3 y 4 años</t>
  </si>
  <si>
    <t>Cueva Zambrano, Luz</t>
  </si>
  <si>
    <t>Asencios Cueva, Alessia/Ini-4rto/3 y 4 años</t>
  </si>
  <si>
    <t>Reyes Sotelo, Alisson</t>
  </si>
  <si>
    <t>Asencios Reyes, Edrick/Ini-4rto/3 y 4 años</t>
  </si>
  <si>
    <t>Castromonte Zambrano, Clara Susana</t>
  </si>
  <si>
    <t>Flores Castromonte, Stéfano/Ini-5nto/5 años</t>
  </si>
  <si>
    <t>Zambrano Silverio, Edith</t>
  </si>
  <si>
    <t>Villalobos Zambrano, Lisbeth/Ini-4rto/3 y 4 años</t>
  </si>
  <si>
    <t>Sánchez Sánchez, Maria Magdalena</t>
  </si>
  <si>
    <t>Castro Osorio, Elian Beatriz</t>
  </si>
  <si>
    <t>Ini-3ero/3 y 4 años</t>
  </si>
  <si>
    <t>Garay Rojas Liliana</t>
  </si>
  <si>
    <t>Vega Garay Beba Sarilu</t>
  </si>
  <si>
    <t>4 años/Patitos</t>
  </si>
  <si>
    <t>Vega Garay Beba Sarilu/Ini-4rto/4 años/Patitos</t>
  </si>
  <si>
    <t>Rivera Ramirez Feliciana</t>
  </si>
  <si>
    <t>Ini-4rto/4 años/Patitos</t>
  </si>
  <si>
    <t>Reyes Livias Clemencia</t>
  </si>
  <si>
    <t xml:space="preserve">Fernandez Reyes Jackson Guzman </t>
  </si>
  <si>
    <t>5 años/Conejitos</t>
  </si>
  <si>
    <t>Fernandez Reyes Jackson Guzman/Ini-5nto/5 años/Conejitos</t>
  </si>
  <si>
    <t>Rivera Ramirez Rut Deysi</t>
  </si>
  <si>
    <t>Canares Rivera Zeynep Aysel</t>
  </si>
  <si>
    <t>Canares Rivera Zeynep Aysel/Ini-4rto/4 años/Patitos</t>
  </si>
  <si>
    <t>Flores Ramirez Mery</t>
  </si>
  <si>
    <t>Espinoza Flores Samira</t>
  </si>
  <si>
    <t>3 años/Mariposas</t>
  </si>
  <si>
    <t>Espinoza Flores Samira/Ini-3ero/3 años/Mariposas</t>
  </si>
  <si>
    <t>Araujo Laguna Fausta</t>
  </si>
  <si>
    <t>Pineda Araujo Sunmi Anyeli</t>
  </si>
  <si>
    <t>Pineda Araujo Sunmi Anyeli/Ini-5nto/5 años/Conejitos</t>
  </si>
  <si>
    <t>Veramendi Castro Gloria</t>
  </si>
  <si>
    <t>Taco Veramendi Lucio Adrian</t>
  </si>
  <si>
    <t>Taco Veramendi Lucio Adrian/Ini-3ero/3 años/Mariposas</t>
  </si>
  <si>
    <t>Ticlo Blas Dora Delma</t>
  </si>
  <si>
    <t>Gomez Ticlo Kazuma Sato</t>
  </si>
  <si>
    <t>Gomez Ticlo Kazuma Sato/Ini-4rto/4 años/Patitos</t>
  </si>
  <si>
    <t>Veramendi Castro Julia</t>
  </si>
  <si>
    <t>Ramirez Veramendi Heydy Meriyem</t>
  </si>
  <si>
    <t>Ramirez Veramendi Heydy Meriyem/Ini-4rto/4 años/Patitos</t>
  </si>
  <si>
    <t>Amaro Valdivia Katherine</t>
  </si>
  <si>
    <t>Ramirez Amaro Ciara Itsayela</t>
  </si>
  <si>
    <t>Ramirez Amaro Ciara Itsayela/Ini-3ero/3 años/Mariposas</t>
  </si>
  <si>
    <t>Vilca Peña Carlos</t>
  </si>
  <si>
    <t>Vilca Fernandez Flormira</t>
  </si>
  <si>
    <t>Vilca Fernandez Flormira/Ini-5nto/5 años/Conejitos</t>
  </si>
  <si>
    <t>Camiloaga Amaya Felipe</t>
  </si>
  <si>
    <t>Camiloaga Aquino Moises Lecerio</t>
  </si>
  <si>
    <t>Camiloaga Aquino Moises Lecerio/Ini-4rto/4 años/Patitos</t>
  </si>
  <si>
    <t>Camiloaga Ramirez Katy Luz</t>
  </si>
  <si>
    <t>Campos Camiloaga Eric Dilan</t>
  </si>
  <si>
    <t>Campos Camiloaga Eric Dilan/Ini-4rto/4 años/Patitos</t>
  </si>
  <si>
    <t>Pineda Fernandez Lacida Teofila</t>
  </si>
  <si>
    <t>Trujillo Pineda Waly Favinho</t>
  </si>
  <si>
    <t>Trujillo Pineda Waly Favinho/Ini-4rto/4 años/Patitos</t>
  </si>
  <si>
    <t>Alvarez Aquino Yuly</t>
  </si>
  <si>
    <t>Pineda Alvarez Anabel Aneyra</t>
  </si>
  <si>
    <t>Pineda Alvarez Anabel Aneyra/Ini-4rto/4 años/Patitos</t>
  </si>
  <si>
    <t>Carrillo Javier Sthefany</t>
  </si>
  <si>
    <t>Alvarez Carrillo Nicolas Styben</t>
  </si>
  <si>
    <t>Alvarez Carrillo Nicolas Styben/Ini-4rto/4 años/Patitos</t>
  </si>
  <si>
    <t>Ramirez Marquez Enock</t>
  </si>
  <si>
    <t>Ramirez Tolentino Beckham Griezmann</t>
  </si>
  <si>
    <t>Ramirez Tolentino Beckham Griezmann/Ini-5nto/5 años/Conejitos</t>
  </si>
  <si>
    <t>Araujo Ugarte Noshka</t>
  </si>
  <si>
    <t>Aquino Araujo Everton Tiago</t>
  </si>
  <si>
    <t>Aquino Araujo Everton Tiago/Ini-4rto/4 años/Patitos</t>
  </si>
  <si>
    <t>Garay Rios Mavila Liliana</t>
  </si>
  <si>
    <t>Ramirez Garay Camila Sofia</t>
  </si>
  <si>
    <t>Ramirez Garay Camila Sofia/Ini-4rto/4 años/Patitos</t>
  </si>
  <si>
    <t>AYASH HUARIPAMPA</t>
  </si>
  <si>
    <t>Ramirez Calancho Brigida Juana</t>
  </si>
  <si>
    <t>Villadeza Albornoz Alexis Jahir</t>
  </si>
  <si>
    <t>Villadeza Albornoz Alexis Jahir/Ini-5nto/5 años</t>
  </si>
  <si>
    <t>Ugarte Gomez Yesica</t>
  </si>
  <si>
    <t>Rojas Ugarte Liam Valentino</t>
  </si>
  <si>
    <t>Rojas Ugarte Liam Valentino/Ini-3ero/3 años</t>
  </si>
  <si>
    <t xml:space="preserve">Zorrilla Bazan Beatriz </t>
  </si>
  <si>
    <t>Sebastian Zorrilla</t>
  </si>
  <si>
    <t>Sebastian Zorrilla/Ini-5nto/5 años</t>
  </si>
  <si>
    <t>Aponte Pardo Augusto</t>
  </si>
  <si>
    <t>Carrillo Calixto Yerik Enzo</t>
  </si>
  <si>
    <t>Carrillo Calixto Yerik Enzo/Ini-4rto/4 años</t>
  </si>
  <si>
    <t>Rimac Vasquez Diana</t>
  </si>
  <si>
    <t>Espinoza Rimac Joshua Joshimar</t>
  </si>
  <si>
    <t>Espinoza Rimac Joshua Joshimar/Ini-4rto/4 años</t>
  </si>
  <si>
    <t>Julca Cruz Rina Maribel</t>
  </si>
  <si>
    <t xml:space="preserve">Albornos Julca Yareli  Maribel </t>
  </si>
  <si>
    <t>Albornos Julca Yareli  Maribel/Ini-3ero/3 años</t>
  </si>
  <si>
    <t>Gonzales Norena Carmen Yolanda</t>
  </si>
  <si>
    <t>Jostin Gonzales</t>
  </si>
  <si>
    <t>Jostin Gonzales/Ini-5nto/5 años</t>
  </si>
  <si>
    <t>Veramendi Trujillo Antonia</t>
  </si>
  <si>
    <t>Obregon Veramendi Dylan Wagner</t>
  </si>
  <si>
    <t>Obregon Veramendi Dylan Wagner/Ini-4rto/4 años</t>
  </si>
  <si>
    <t>Santillan Rimac Justina</t>
  </si>
  <si>
    <t>Ugarte Santillan Ibeth Yaslyn</t>
  </si>
  <si>
    <t>Ugarte Santillan Ibeth Yaslyn/Ini-3ero/3 años</t>
  </si>
  <si>
    <t xml:space="preserve">Gómez Paredes Margarita </t>
  </si>
  <si>
    <t>Araujo Gomez Jimena Valeri</t>
  </si>
  <si>
    <t>Araujo Gomez Jimena Valeri/Ini-4rto/4 años</t>
  </si>
  <si>
    <t>Ugarte Reyes Erika</t>
  </si>
  <si>
    <t>Calderon Mallqui Eduardo</t>
  </si>
  <si>
    <t>Calderon Tolentino Iyan Erisen</t>
  </si>
  <si>
    <t>5 años/Ositos</t>
  </si>
  <si>
    <t>Calderon Tolentino Iyan Erisen/Ini-5nto/5 años/Ositos</t>
  </si>
  <si>
    <t>Rojas Vasquez Nilber</t>
  </si>
  <si>
    <t>Rojas Guillen Iker Zaid</t>
  </si>
  <si>
    <t>3 años/Hormiguitas</t>
  </si>
  <si>
    <t>Rojas Guillen Iker Zaid/Ini-3ero/3 años/Hormiguitas</t>
  </si>
  <si>
    <t>Blas Solis Walter</t>
  </si>
  <si>
    <t>Blas Calderon Yhasmin Yhakira</t>
  </si>
  <si>
    <t>4 años/Abejitas</t>
  </si>
  <si>
    <t>Blas Calderon Yhasmin Yhakira/Ini-4rto/4 años/Abejitas</t>
  </si>
  <si>
    <t>Santa Cruz Julia</t>
  </si>
  <si>
    <t>Reyes Santa Cruz Maria Fernanda</t>
  </si>
  <si>
    <t>Reyes Santa Cruz Maria Fernanda/Ini-3ero/3 años/Hormiguitas</t>
  </si>
  <si>
    <t>Davila Rojas Orlando</t>
  </si>
  <si>
    <t>Davila Solis Milan</t>
  </si>
  <si>
    <t>Davila Solis Milan/Ini-3ero/3 años/Hormiguitas</t>
  </si>
  <si>
    <t>Calancho Rodriguez Celia</t>
  </si>
  <si>
    <t>Pajuelo Calancho Piero Antony/Reyes Calancho Yannis Yalethsi Haicé</t>
  </si>
  <si>
    <t>Pajuelo Calancho Piero Antony/Reyes Calancho Yannis Yalethsi Haicé/Ini-3ero/3 años/Hormiguitas</t>
  </si>
  <si>
    <t>Yupa Padilla Elva</t>
  </si>
  <si>
    <t>Cabrera Yupa Maite Kiara</t>
  </si>
  <si>
    <t>Cabrera Yupa Maite Kiara/Ini-3ero/3 años/Hormiguitas</t>
  </si>
  <si>
    <t>Sifuentes Trujillo Hilda</t>
  </si>
  <si>
    <t>Loarte Sifuentes Julieth Medali</t>
  </si>
  <si>
    <t>Loarte Sifuentes Julieth Medali/Ini-4rto/4 años/Abejitas</t>
  </si>
  <si>
    <t>Ugarte Gomero Esther</t>
  </si>
  <si>
    <t>Navarro Ugarte Eythan Adrian</t>
  </si>
  <si>
    <t>Navarro Ugarte Eythan Adrian/Ini-5nto/5 años/Ositos</t>
  </si>
  <si>
    <t>Olivas Chaves Magdalena</t>
  </si>
  <si>
    <t>Gomez Vasquez Jhuniel/Gomez Vasquez Eliam Sebastian</t>
  </si>
  <si>
    <t>Gomez Vasquez Jhuniel/Gomez Vasquez Eliam Sebastian/Ini-4rto/4 años/Abejitas</t>
  </si>
  <si>
    <t>Cueva Salvador Nelly</t>
  </si>
  <si>
    <t>Blas Rivera Gianna Danira</t>
  </si>
  <si>
    <t>Blas Rivera Gianna Danira/Ini-4rto/4 años/Abejitas</t>
  </si>
  <si>
    <t>Ubaldo Dionicio Flor Janeth</t>
  </si>
  <si>
    <t>Reyes Ubaldo Jeik Yamir</t>
  </si>
  <si>
    <t>5 años/Verde</t>
  </si>
  <si>
    <t>Reyes Ubaldo Jeik Yamir/Ini-5nto/5 años/Verde</t>
  </si>
  <si>
    <t>Anaya Aquino Juan Ivan</t>
  </si>
  <si>
    <t>Fierro Chavez Vanesa</t>
  </si>
  <si>
    <t>Amado Fierro Khalessy Valentina</t>
  </si>
  <si>
    <t>4 años/Rojo</t>
  </si>
  <si>
    <t>Amado Fierro Khalessy Valentina/Ini-4rto/4 años/Rojo</t>
  </si>
  <si>
    <t>Castro Veramendi Santa</t>
  </si>
  <si>
    <t>Loarte Castro Yildiz Estrella</t>
  </si>
  <si>
    <t>Loarte Castro Yildiz Estrella/Ini-5nto/5 años/Verde</t>
  </si>
  <si>
    <t>Anaya Loarte Celia</t>
  </si>
  <si>
    <t>Blas Anaya Paulo Henderson</t>
  </si>
  <si>
    <t>Blas Anaya Paulo Henderson/Ini-5nto/5 años/Verde</t>
  </si>
  <si>
    <t>Solorzano Mallqui Ericka</t>
  </si>
  <si>
    <t>Chavez Solorzano Matias 5a/Huayta Solorzano Kaylina Mikaela 3a</t>
  </si>
  <si>
    <t>3 años/Amarillo</t>
  </si>
  <si>
    <t>Chavez Solorzano Matias 5a/Huayta Solorzano Kaylina Mikaela 3a/Ini-3ero/3 años/Amarillo</t>
  </si>
  <si>
    <t>Blas Huata Macaria</t>
  </si>
  <si>
    <t>Anaya Blas Yeilin Madaith</t>
  </si>
  <si>
    <t>Anaya Blas Yeilin Madaith/Ini-3ero/3 años/Amarillo</t>
  </si>
  <si>
    <t>Albornoz Gomez Delci</t>
  </si>
  <si>
    <t>Anaya Albornoz Guisell Anahi</t>
  </si>
  <si>
    <t>Anaya Albornoz Guisell Anahi/Ini-3ero/3 años/Amarillo</t>
  </si>
  <si>
    <t>Mejia Huayta Luz Dalila</t>
  </si>
  <si>
    <t>Chavez Mejia Yahir Aaron</t>
  </si>
  <si>
    <t>Chavez Mejia Yahir Aaron/Ini-3ero/3 años/Amarillo</t>
  </si>
  <si>
    <t>Tarazona Platino Thania</t>
  </si>
  <si>
    <t>Valle Tarazona Lian Fernando</t>
  </si>
  <si>
    <t>Valle Tarazona Lian Fernando/Ini-4rto/4 años/Rojo</t>
  </si>
  <si>
    <t>Loarte Deonicio Bethy</t>
  </si>
  <si>
    <t>Rojas Brioso Felicitas</t>
  </si>
  <si>
    <t>Anaya Espinoza Abby Yomira</t>
  </si>
  <si>
    <t>Anaya Espinoza Abby Yomira/Ini-5nto/5 años/Verde</t>
  </si>
  <si>
    <t>Veramendi Francisco Roxana Yaqui</t>
  </si>
  <si>
    <t>Diaz Veramendi Jakob</t>
  </si>
  <si>
    <t>Diaz Veramendi Jakob/Ini-3ero/3 años/Amarillo</t>
  </si>
  <si>
    <t>Osorio Brioso Alicia Editha</t>
  </si>
  <si>
    <t>Ariza Osorio Rozalice Kataleya</t>
  </si>
  <si>
    <t>Ariza Osorio Rozalice Kataleya/Ini-3ero/3 años/Amarillo</t>
  </si>
  <si>
    <t>Palacios Hidalgo Guido Ambrocio</t>
  </si>
  <si>
    <t>Palacios Diaz Yamil Dylan</t>
  </si>
  <si>
    <t>Palacios Diaz Yamil Dylan/Ini-4rto/4 años/Rojo</t>
  </si>
  <si>
    <t>Marzano Obregon Eva Paulina</t>
  </si>
  <si>
    <t>Carhuapoma Marzano Kael Eliceo</t>
  </si>
  <si>
    <t>Carhuapoma Marzano Kael Eliceo/Ini-5nto/5 años/Verde</t>
  </si>
  <si>
    <t>Brioso Palacios Nissan Jossep</t>
  </si>
  <si>
    <t>Brioso Palacios Shonaly Yajhaira</t>
  </si>
  <si>
    <t>Brioso Palacios Shonaly Yajhaira/Ini-4rto/4 años/Rojo</t>
  </si>
  <si>
    <t>Castro Salvador Juliana</t>
  </si>
  <si>
    <t>Cabanillas Veramendi Yaiza Yetzali</t>
  </si>
  <si>
    <t>Cabanillas Veramendi Yaiza Yetzali/Ini-4rto/4 años/Rojo</t>
  </si>
  <si>
    <t>Castro Albornoz Elva</t>
  </si>
  <si>
    <t>Mejia Castro Brisney</t>
  </si>
  <si>
    <t>Mejia Castro Brisney/Ini-4rto/4 años/Rojo</t>
  </si>
  <si>
    <t>Anaya Cruz Lila</t>
  </si>
  <si>
    <t>Alvarado Anaya Eydan</t>
  </si>
  <si>
    <t>Alvarado Anaya Eydan/Ini-3ero/3 años/Amarillo</t>
  </si>
  <si>
    <t>Anaya Loarte Elva</t>
  </si>
  <si>
    <t>Mauricio Anaya Zendaya</t>
  </si>
  <si>
    <t>Mauricio Anaya Zendaya/Ini-4rto/4 años/Rojo</t>
  </si>
  <si>
    <t>Aguirre Castro Nazario</t>
  </si>
  <si>
    <t>Aguirre Loarte Linseyó Eloy</t>
  </si>
  <si>
    <t>Aguirre Loarte Linseyó Eloy/Ini-5nto/5 años/Verde</t>
  </si>
  <si>
    <t>Anaya Olivas Maritza</t>
  </si>
  <si>
    <t>Camiloaga Anaya Danna Aitana</t>
  </si>
  <si>
    <t>Camiloaga Anaya Danna Aitana/Ini-3ero/3 años/Amarillo</t>
  </si>
  <si>
    <t>Robles Reyes Carmen</t>
  </si>
  <si>
    <t>Anaya Robles Milan Eriksen</t>
  </si>
  <si>
    <t>Anaya Robles Milan Eriksen/Ini-3ero/3 años/Amarillo</t>
  </si>
  <si>
    <t>Anaya Brioso Dalia</t>
  </si>
  <si>
    <t>Chavez Anaya Dylan</t>
  </si>
  <si>
    <t>Chavez Anaya Dylan/Ini-3ero/3 años</t>
  </si>
  <si>
    <t>Huerta Rojas Victoria</t>
  </si>
  <si>
    <t>Dionicio Rojas Josabet Cristel</t>
  </si>
  <si>
    <t>Dionicio Rojas Josabet Cristel/Ini-5nto/5 años/Verde</t>
  </si>
  <si>
    <t>Brioso Anaya Lili</t>
  </si>
  <si>
    <t>Surcco Brioso Zaid</t>
  </si>
  <si>
    <t>Surcco Brioso Zaid/Ini-3ero/3 años/Amarillo</t>
  </si>
  <si>
    <t>Ugarte Reynoso Elizabeth</t>
  </si>
  <si>
    <t>Valenzuela Ugarte Janiel</t>
  </si>
  <si>
    <t>Valenzuela Ugarte Janiel/Ini-3ero/3 años</t>
  </si>
  <si>
    <t>Fonseca Rubina Eustaquio</t>
  </si>
  <si>
    <t>Fonseca Veramendi Dafne Engell</t>
  </si>
  <si>
    <t>6 años</t>
  </si>
  <si>
    <t>Fonseca Veramendi Dafne Engell/Ini-5nto/6 años</t>
  </si>
  <si>
    <t>Diaz Zorrilla Lesly</t>
  </si>
  <si>
    <t>Almercon Diaz Dayana Jeysi</t>
  </si>
  <si>
    <t>Almercon Diaz Dayana Jeysi/Ini-5nto/6 años</t>
  </si>
  <si>
    <t>Huerta Obregon Melva</t>
  </si>
  <si>
    <t>Vasquez Huerta Daymar Bahir</t>
  </si>
  <si>
    <t>Vasquez Huerta Daymar Bahir/Ini-5nto/6 años</t>
  </si>
  <si>
    <t>Almercon Veramendi Bety</t>
  </si>
  <si>
    <t>Rivera Almercon Valentina</t>
  </si>
  <si>
    <t>Rivera Almercon Valentina/Ini-3ero</t>
  </si>
  <si>
    <t>Castillo Aguirre Celia</t>
  </si>
  <si>
    <t>Olivas Castillo Josue Eliaquin</t>
  </si>
  <si>
    <t>Olivas Castillo Josue Eliaquin/Ini-4rto/5 años</t>
  </si>
  <si>
    <t>Gomez Huaytan Anita</t>
  </si>
  <si>
    <t>Vargas Gomez Yaceli</t>
  </si>
  <si>
    <t>Vargas Gomez Yaceli/Ini-5nto/5 años</t>
  </si>
  <si>
    <t>Gomez Huaytan Yanet Abencia</t>
  </si>
  <si>
    <t>Medina Gomez Andrea 5a/Medina Gomez Adelina 3a</t>
  </si>
  <si>
    <t>5/3 años</t>
  </si>
  <si>
    <t>Medina Gomez Andrea 5a/Medina Gomez Adelina 3a/Ini-5nto/5/3 años</t>
  </si>
  <si>
    <t>Anaya Ugarte Santa Ana</t>
  </si>
  <si>
    <t>Brioso Anaya Heydi 4a/Brioso Anaya 5a</t>
  </si>
  <si>
    <t>4/5 años</t>
  </si>
  <si>
    <t>Brioso Anaya Heydi 4a/Brioso Anaya 5a/Ini-4rto/4/5 años</t>
  </si>
  <si>
    <t>Salvador Campos Delia</t>
  </si>
  <si>
    <t>Salazar Salvador Yosfran Linder</t>
  </si>
  <si>
    <t>Salazar Salvador Yosfran Linder/Ini-5nto/4 años</t>
  </si>
  <si>
    <t>Ciprian Huaman Milagros</t>
  </si>
  <si>
    <t>Brioso Ciprian Catalina</t>
  </si>
  <si>
    <t>Brioso Ciprian Catalina/Ini-3ero/3 años</t>
  </si>
  <si>
    <t>Garay Ramirez Rosmery</t>
  </si>
  <si>
    <t>Huerta Garay Alessia Cristel</t>
  </si>
  <si>
    <t>Huerta Garay Alessia Cristel/Ini-3ero/3 años</t>
  </si>
  <si>
    <t>Perez Villar, Maribel</t>
  </si>
  <si>
    <t xml:space="preserve">Villar Perez, Juan David </t>
  </si>
  <si>
    <t>Villar Perez, Juan David/Ini-5nto/5 años</t>
  </si>
  <si>
    <t>Juana Rimac Ugarte</t>
  </si>
  <si>
    <t>Juan G./Ini-5nto/5 años</t>
  </si>
  <si>
    <t>Caqui Reyes, Aurea</t>
  </si>
  <si>
    <t>Garay Caqui, Disan Nabat</t>
  </si>
  <si>
    <t>Garay Caqui, Disan Nabat/Ini-5nto/5 años</t>
  </si>
  <si>
    <t>Gargate Rentera, Fara</t>
  </si>
  <si>
    <t>Anaya Gargate, Ashira Yurena</t>
  </si>
  <si>
    <t>Anaya Gargate, Ashira Yurena/Ini-4rto/4 años</t>
  </si>
  <si>
    <t>Marcos Caqui, Marleni</t>
  </si>
  <si>
    <t>Gargate Marcos, Lia Adriana</t>
  </si>
  <si>
    <t>Gargate Marcos, Lia Adriana/Ini-5nto/5 años</t>
  </si>
  <si>
    <t>Chavez Padilla Melissa</t>
  </si>
  <si>
    <t>Vega Chavez, Zimri Hanani</t>
  </si>
  <si>
    <t>Vega Chavez, Zimri Hanani/Ini-5nto/5 años</t>
  </si>
  <si>
    <t>Garay Caballero, Victoria</t>
  </si>
  <si>
    <t>Aquino Garay Mikkel</t>
  </si>
  <si>
    <t>Aquino Garay Mikkel/Ini-5nto/5 años</t>
  </si>
  <si>
    <t>Guerra Garay Luzmila</t>
  </si>
  <si>
    <t>Andrade Guerra Alba</t>
  </si>
  <si>
    <t>Andrade Guerra Alba/Ini-4rto/4 años</t>
  </si>
  <si>
    <t>Castro Melagrejo, Olinda</t>
  </si>
  <si>
    <t>Illanes Castro, Alejandra</t>
  </si>
  <si>
    <t>Illanes Castro, Alejandra/Ini-3ero/3 años</t>
  </si>
  <si>
    <t>Aquino Garay, Ida</t>
  </si>
  <si>
    <t>Castro Aquino Yarlyn</t>
  </si>
  <si>
    <t>Castro Aquino Yarlyn/Ini-4rto/4 años</t>
  </si>
  <si>
    <t>Guerra Garay , Dalia</t>
  </si>
  <si>
    <t>Garay Guerra, Andrea Abigail/Ini-3ero/3 años</t>
  </si>
  <si>
    <t>Soto Alvarado, Flora</t>
  </si>
  <si>
    <t>Castro Soto,Luan Patrick/Ini-4rto/4 años</t>
  </si>
  <si>
    <t>Guerra Carhuapoma, Joy</t>
  </si>
  <si>
    <t>Andrea Garay Guerra y Garay Guerra Alonso</t>
  </si>
  <si>
    <t>Andrea Garay Guerra y Garay Guerra Alonso/Ini-4rto/3 y 4 años</t>
  </si>
  <si>
    <t>Castro Ugarte, Otmel</t>
  </si>
  <si>
    <t>Camiloaga Castro, Elsing Gael</t>
  </si>
  <si>
    <t>Camiloaga Castro, Elsing Gael/Ini-3ero/3 años</t>
  </si>
  <si>
    <t>Chavez Castro, Hilda</t>
  </si>
  <si>
    <t>Fernandez Chavez,Mikel Paolo/Ini-3ero/3 años</t>
  </si>
  <si>
    <t xml:space="preserve">Rayna Matos, Ursula </t>
  </si>
  <si>
    <t>Pablo Rayna, Sarahi Valentina</t>
  </si>
  <si>
    <t>Pablo Rayna, Sarahi Valentina/Ini-3ero/3 años</t>
  </si>
  <si>
    <t xml:space="preserve">Phocco Cáceres Lisseth </t>
  </si>
  <si>
    <t>5 año</t>
  </si>
  <si>
    <t>Ini-5nto/5 año</t>
  </si>
  <si>
    <t>Rojas Espinoza Olinda</t>
  </si>
  <si>
    <t xml:space="preserve">Herrera Albujar Edelmira Jacqueline </t>
  </si>
  <si>
    <t>Taller con docentes</t>
  </si>
  <si>
    <t xml:space="preserve">Obregón Ramirez Marco </t>
  </si>
  <si>
    <t xml:space="preserve">Obregón Adiel </t>
  </si>
  <si>
    <t>Obregón Adiel/Ini-4rto</t>
  </si>
  <si>
    <t xml:space="preserve">Obregón Ramirez Ramón </t>
  </si>
  <si>
    <t xml:space="preserve">Obregón Caleb </t>
  </si>
  <si>
    <t>Obregón Caleb/Ini-4rto</t>
  </si>
  <si>
    <t>Caballero Garay Herlinda</t>
  </si>
  <si>
    <t>Taype Caballero Yadiel</t>
  </si>
  <si>
    <t>Taype Caballero Yadiel/Ini-3ero</t>
  </si>
  <si>
    <t>Aquino Chavez Emely/Ini-3ero</t>
  </si>
  <si>
    <t>Aquino Castro Samara/Ini-5nto</t>
  </si>
  <si>
    <t>Yupa Fonseca Ana</t>
  </si>
  <si>
    <t>Mautino Yupa Sofía</t>
  </si>
  <si>
    <t>Mautino Yupa Sofía/Ini-4rto</t>
  </si>
  <si>
    <t>Aguirre Castro Betsaida</t>
  </si>
  <si>
    <t>Cienfuegos Naeli</t>
  </si>
  <si>
    <t>Cienfuegos Naeli/Ini-5nto</t>
  </si>
  <si>
    <t>Javier Rubina Esther</t>
  </si>
  <si>
    <t>Trujillo S. Jhedin</t>
  </si>
  <si>
    <t>Trujillo S. Jhedin/Ini-5nto</t>
  </si>
  <si>
    <t>Anaya Ramirez Luz</t>
  </si>
  <si>
    <t>Obregón A. Kamila</t>
  </si>
  <si>
    <t>Obregón A. Kamila/Ini-3ero</t>
  </si>
  <si>
    <t>Carhuapoma Ramirez Magaly</t>
  </si>
  <si>
    <t>Castro C. Edric</t>
  </si>
  <si>
    <t>Castro C. Edric/Ini-4rto</t>
  </si>
  <si>
    <t>Aguirre Castro Marlene</t>
  </si>
  <si>
    <t>Vela Aguirre Santiago</t>
  </si>
  <si>
    <t>Vela Aguirre Santiago/Ini-4rto</t>
  </si>
  <si>
    <t>Gargate Obregón Dorila</t>
  </si>
  <si>
    <t>Obregón Gargate Yessly</t>
  </si>
  <si>
    <t>Obregón Gargate Yessly/Ini-3ero</t>
  </si>
  <si>
    <t>Obregón Espinoza Gerson</t>
  </si>
  <si>
    <t>Obregón Cierto Norly</t>
  </si>
  <si>
    <t>Obregón Cierto Norly/Ini-3ero</t>
  </si>
  <si>
    <t>Castro Anaya Margarita</t>
  </si>
  <si>
    <t>Belen Luciana Condor</t>
  </si>
  <si>
    <t>Belen Luciana Condor/Ini-5nto</t>
  </si>
  <si>
    <t>Villajuan Soto Estefany</t>
  </si>
  <si>
    <t>Ramirez V. Yuliana</t>
  </si>
  <si>
    <t>Ramirez V. Yuliana/Ini-5nto</t>
  </si>
  <si>
    <t>Obregón Ramirez Lucha</t>
  </si>
  <si>
    <t>Gil Obregón Emily</t>
  </si>
  <si>
    <t>Gil Obregón Emily/Ini-5nto</t>
  </si>
  <si>
    <t>Ramirez Trujillo Lurdes</t>
  </si>
  <si>
    <t>Obregón Ramirez Aysel</t>
  </si>
  <si>
    <t>Obregón Ramirez Aysel/Ini-3ero</t>
  </si>
  <si>
    <t>Espinoza Laguna Elizabeth</t>
  </si>
  <si>
    <t>Obregón Ramirez Merithsell</t>
  </si>
  <si>
    <t>Obregón Ramirez Merithsell/Ini-5nto</t>
  </si>
  <si>
    <t>Rios Trujillo Erlinda</t>
  </si>
  <si>
    <t>Castro Rios Sandra</t>
  </si>
  <si>
    <t>Castro Rios Sandra/Ini-5nto</t>
  </si>
  <si>
    <t>Cabrera Sanchez Melania</t>
  </si>
  <si>
    <t>Obregón Arisbeth</t>
  </si>
  <si>
    <t>Obregón Arisbeth/Ini-5nto</t>
  </si>
  <si>
    <t>Obregón Cabrera Sara</t>
  </si>
  <si>
    <t>Anaya Yeifer</t>
  </si>
  <si>
    <t>Anaya Yeifer/Ini-5nto</t>
  </si>
  <si>
    <t>Ramirez Rojas Yesenia</t>
  </si>
  <si>
    <t>Diaz Yamila</t>
  </si>
  <si>
    <t>Diaz Yamila/Ini-4rto</t>
  </si>
  <si>
    <t>Gargate Rentera Edelinda</t>
  </si>
  <si>
    <t>Peña Gargate Jimena</t>
  </si>
  <si>
    <t>Peña Gargate Jimena/Ini-5nto</t>
  </si>
  <si>
    <t>Obregón Castro Teofila</t>
  </si>
  <si>
    <t>Garay Gael</t>
  </si>
  <si>
    <t>Garay Gael/Ini-4rto</t>
  </si>
  <si>
    <t>Gomez Francisco Gloria</t>
  </si>
  <si>
    <t>Pineda Gomez Gadiel</t>
  </si>
  <si>
    <t>Pineda Gomez Gadiel/Ini-5nto</t>
  </si>
  <si>
    <t>Aquino Rivera Vila</t>
  </si>
  <si>
    <t>Arley</t>
  </si>
  <si>
    <t>Arley/Ini-4rto</t>
  </si>
  <si>
    <t>Huanuco Huanca Carmen</t>
  </si>
  <si>
    <t>Zeyneth Trujillo Huanuco</t>
  </si>
  <si>
    <t>Zeyneth Trujillo Huanuco/Ini-3ero</t>
  </si>
  <si>
    <t>Fretel Rojas Yely</t>
  </si>
  <si>
    <t>Emely</t>
  </si>
  <si>
    <t>Emely/Ini-3ero</t>
  </si>
  <si>
    <t>Obregón Diaz Mihay</t>
  </si>
  <si>
    <t>Dara /Arley</t>
  </si>
  <si>
    <t>Dara /Arley/Ini-3ero</t>
  </si>
  <si>
    <t>Paulino Valerio Roger</t>
  </si>
  <si>
    <t>Obregón Ramirez Jaime</t>
  </si>
  <si>
    <t>Obregon Sanchez, Nesaret</t>
  </si>
  <si>
    <t>Obregon Sanchez, Nesaret/Ini-5nto</t>
  </si>
  <si>
    <t>Rossio Karla Avelino Marcelo</t>
  </si>
  <si>
    <t>Nori Eliana Requena Ramos</t>
  </si>
  <si>
    <t>Merina Rodriguez Gaona</t>
  </si>
  <si>
    <t>Asunciona Trujillo Obregón</t>
  </si>
  <si>
    <t>Autorregulación</t>
  </si>
  <si>
    <t>3 y 4</t>
  </si>
  <si>
    <t>Trujillo Javier Jhedin</t>
  </si>
  <si>
    <t>Trujillo Javier Jhedin/Ini-5nto</t>
  </si>
  <si>
    <t>Conciencia social</t>
  </si>
  <si>
    <t>5 y 6</t>
  </si>
  <si>
    <t xml:space="preserve">Cienfuegos Vega Mily </t>
  </si>
  <si>
    <t xml:space="preserve">Cierto Diaz Nancy </t>
  </si>
  <si>
    <t>Yrma Sanchez Huerta</t>
  </si>
  <si>
    <t xml:space="preserve">Mariño Guillermo Yuriko </t>
  </si>
  <si>
    <t>Ygnacia Rosales Flores</t>
  </si>
  <si>
    <t>Nuria Francisco Aquino</t>
  </si>
  <si>
    <t>Rothni Zarzosa</t>
  </si>
  <si>
    <t>Rothni Zarzosa/Ini-5nto</t>
  </si>
  <si>
    <t>Erlinda Rios Trujillo</t>
  </si>
  <si>
    <t>Fernandez Garay Lidia Carmen</t>
  </si>
  <si>
    <t xml:space="preserve">Castro Anaya Margarita Raina </t>
  </si>
  <si>
    <t>Habilidades relacionales</t>
  </si>
  <si>
    <t>7 y 8</t>
  </si>
  <si>
    <t>Virginia Trujillo Garay</t>
  </si>
  <si>
    <t>Daguberto/Ini-4rto</t>
  </si>
  <si>
    <t>Toma de decisiones responsables</t>
  </si>
  <si>
    <t>9 y 10</t>
  </si>
  <si>
    <t>Rivera Calderón Silvia Avicarda</t>
  </si>
  <si>
    <t xml:space="preserve">Quispe Rivera Vecman </t>
  </si>
  <si>
    <t>Quispe Rivera Vecman/Ini-3ero/3 años</t>
  </si>
  <si>
    <t>Caqui Olga</t>
  </si>
  <si>
    <t>Castro Caqui Andrea</t>
  </si>
  <si>
    <t>Castro Caqui Andrea/Ini-5nto/5 años</t>
  </si>
  <si>
    <t>Aguirre Vega Yanet</t>
  </si>
  <si>
    <t>Espinoza Aguirre, Jayden</t>
  </si>
  <si>
    <t>Espinoza Aguirre, Jayden/Ini-4rto/4 años</t>
  </si>
  <si>
    <t>Herrada Eulogio Yuli Vanessa</t>
  </si>
  <si>
    <t>Aquino Herrada Dylan Gabriel</t>
  </si>
  <si>
    <t>Aquino Herrada Dylan Gabriel/Ini-4rto/4 años</t>
  </si>
  <si>
    <t>Rivera Calderón Zonia</t>
  </si>
  <si>
    <t>Chavez Rivera Idalis</t>
  </si>
  <si>
    <t>Chavez Rivera Idalis/Ini-3ero/3 años</t>
  </si>
  <si>
    <t>Ramirez Anaya Yanet</t>
  </si>
  <si>
    <t>Rios Ramirez Angel</t>
  </si>
  <si>
    <t>Rios Ramirez Angel/Ini-3ero/3 años</t>
  </si>
  <si>
    <t>Aquino Ramirez, Viviana/Ini-5nto/5 años</t>
  </si>
  <si>
    <t>Paloma Elsa Pomachahua Pariona</t>
  </si>
  <si>
    <t>Rossy Rondon Mosquera</t>
  </si>
  <si>
    <t>Ini-5nto/4 y 5 años</t>
  </si>
  <si>
    <t>Rosmery Raymundo Narro</t>
  </si>
  <si>
    <t>Castro Raymundo, Sari</t>
  </si>
  <si>
    <t>Castro Raymundo, Sari/Ini-4rto/4 años</t>
  </si>
  <si>
    <t>Castro Evangelista, Jafed/Ini-5nto/5 años</t>
  </si>
  <si>
    <t>Obregón Trujillo, Afret/Ini-4rto/4 años</t>
  </si>
  <si>
    <t>Fernandez Flores Gissela</t>
  </si>
  <si>
    <t>Obregón Fernandez, Yarely Diomira</t>
  </si>
  <si>
    <t>Obregón Fernandez, Yarely Diomira/Ini-4rto/4 años</t>
  </si>
  <si>
    <t>Caqui Olga/Castro Garay Frejol</t>
  </si>
  <si>
    <t>Castro Caqui, Andrea</t>
  </si>
  <si>
    <t>Castro Caqui, Andrea/Ini-5nto/5 años</t>
  </si>
  <si>
    <t>Chavez Rivera Yuri</t>
  </si>
  <si>
    <t>Chavez Rivera Yuri/Ini-4rto/4 años</t>
  </si>
  <si>
    <t>Manesco Gargate Obregón</t>
  </si>
  <si>
    <t>Gargate Obregón Shana</t>
  </si>
  <si>
    <t>Gargate Obregón Shana/Ini-4rto/4 años</t>
  </si>
  <si>
    <t>Aquino Felix Samara Damaris/Ini-4rto/Multinivel</t>
  </si>
  <si>
    <t>Marco Pimentel Asencios</t>
  </si>
  <si>
    <t>Pimental Garay Cielo Andrea/Estrella</t>
  </si>
  <si>
    <t>Pimental Garay Cielo Andrea/Estrella/Ini-4rto/Multinivel</t>
  </si>
  <si>
    <t>Aquino Gomez Zohemy Skarlet/Ini-4rto/Multinivel</t>
  </si>
  <si>
    <t>Garay Rios Jhon</t>
  </si>
  <si>
    <t>Gomez Melgarejo Yuliyat/Ini-4rto/Multinivel</t>
  </si>
  <si>
    <t>Fernandez Flores Artemio</t>
  </si>
  <si>
    <t>Fernandez Aquino Jassiel Elohim/Ini-4rto/Multinivel</t>
  </si>
  <si>
    <t>Castro Fernandez Ghinna Mileth/Ini-3ero/Multinivel</t>
  </si>
  <si>
    <t>Garay Alva Adriel Dyam/Ini-3ero/Multinivel</t>
  </si>
  <si>
    <t>Laury Tatiana Puma Martel</t>
  </si>
  <si>
    <t>Garay Alva Adriel Dyam/Ini-4rto/Multinivel</t>
  </si>
  <si>
    <t>Aquino Felix Samara Damaris/Ini-3ero/Multinivel</t>
  </si>
  <si>
    <t>Laury Tatiana Puma</t>
  </si>
  <si>
    <t>Miraval Pujay Mary</t>
  </si>
  <si>
    <t>Calderón Miraval Gael</t>
  </si>
  <si>
    <t>Calderón Miraval Gael/Ini-3ero/3 años</t>
  </si>
  <si>
    <t>Guerra Leiva Santa</t>
  </si>
  <si>
    <t>Livias Guerra, Ghina</t>
  </si>
  <si>
    <t>Livias Guerra, Ghina/Ini-5nto/5 años</t>
  </si>
  <si>
    <t>Trujillo Guerra Lusmila</t>
  </si>
  <si>
    <t>Quiñones Trujillo Genesis</t>
  </si>
  <si>
    <t>Quiñones Trujillo Genesis/Ini-5nto/5 años</t>
  </si>
  <si>
    <t>Obregón Chavez Gissela</t>
  </si>
  <si>
    <t>Espinoza Obregón Xiana</t>
  </si>
  <si>
    <t>Espinoza Obregón Xiana/Ini-4rto/4 años</t>
  </si>
  <si>
    <t>Calderón Guerra Elia</t>
  </si>
  <si>
    <t>Sanchez Calderon Genesis</t>
  </si>
  <si>
    <t>Sanchez Calderon Genesis/Ini-3ero/3 años</t>
  </si>
  <si>
    <t>Castro Espinoza Kenia</t>
  </si>
  <si>
    <t>Castro Espinoza, Bricelly</t>
  </si>
  <si>
    <t>Castro Espinoza, Bricelly/Ini-4rto/4 años</t>
  </si>
  <si>
    <t>Garay Guillen Daysi</t>
  </si>
  <si>
    <t>Vargas Garay Benzema</t>
  </si>
  <si>
    <t>Vargas Garay Benzema/Ini-3ero/3 años</t>
  </si>
  <si>
    <t>Cindi/Ini-3ero/3 años</t>
  </si>
  <si>
    <t>Aguirre Trujillo, Briseida Eyleen</t>
  </si>
  <si>
    <t>Aguirre Trujillo, Briseida Eyleen/Ini-5nto/5 años</t>
  </si>
  <si>
    <t>Nevin Flores Josue</t>
  </si>
  <si>
    <t>Nevin Ramirez Dayra</t>
  </si>
  <si>
    <t>Nevin Ramirez Dayra/Ini-4rto/4 años</t>
  </si>
  <si>
    <t>Aquino Camiloaga Kevin</t>
  </si>
  <si>
    <t>Aquino Gargate Zoe</t>
  </si>
  <si>
    <t>Aquino Gargate Zoe/Ini-3ero/3 años</t>
  </si>
  <si>
    <t>Aquino Ramirez Esther</t>
  </si>
  <si>
    <t>Chavez Aquino, Santiago</t>
  </si>
  <si>
    <t>Chavez Aquino, Santiago/Ini-5nto/5 años</t>
  </si>
  <si>
    <t>Moreno Castro Clenda</t>
  </si>
  <si>
    <t>Laguna Moreno, Ipman</t>
  </si>
  <si>
    <t>Laguna Moreno, Ipman/Ini-5nto/5 años</t>
  </si>
  <si>
    <t xml:space="preserve">Tarazona Guerra Rut </t>
  </si>
  <si>
    <t>Blas Tarazona Ceyneph</t>
  </si>
  <si>
    <t>Blas Tarazona Ceyneph/Ini-5nto/5 años</t>
  </si>
  <si>
    <t>Garay Espinoza Gaby</t>
  </si>
  <si>
    <t>Santamaria Espinoza, Kael Klinton/Ini-4rto/4 años</t>
  </si>
  <si>
    <t>Godoy Obregón Aurora</t>
  </si>
  <si>
    <t>Rodriguez Godoy, Yeraldin Helen</t>
  </si>
  <si>
    <t>Rodriguez Godoy, Yeraldin Helen/Ini-5nto/5 años</t>
  </si>
  <si>
    <t>Guerra Huanca Lino</t>
  </si>
  <si>
    <t>Guerra Miraval Valery</t>
  </si>
  <si>
    <t>Guerra Valiri/Ini-5nto/5 años</t>
  </si>
  <si>
    <t>Guerra Tocto Lorenzo</t>
  </si>
  <si>
    <t>Guerra Carhuapoma Ureil</t>
  </si>
  <si>
    <t>Guerra Carhuapoma Ureil/Ini-4rto/4 años</t>
  </si>
  <si>
    <t>Camilhuada Rayo Domis</t>
  </si>
  <si>
    <t>Canares Camilhuada, Pamela</t>
  </si>
  <si>
    <t>Canares Camilhuada, Pamela/Ini-3ero/3 años</t>
  </si>
  <si>
    <t>Ugarte Valenzuela Hermelinda</t>
  </si>
  <si>
    <t>Araujo Ugarte Yinder</t>
  </si>
  <si>
    <t>Araujo Ugarte Yinder/Ini-5nto/5 años</t>
  </si>
  <si>
    <t>Caqui Alejandro Leidy</t>
  </si>
  <si>
    <t>Rodriguez Caqui Nicolas</t>
  </si>
  <si>
    <t>Rodriguez Caqui Nicolas/Ini-3ero/3 años</t>
  </si>
  <si>
    <t>Delina Fernandez Campos</t>
  </si>
  <si>
    <t>Benancia Herlinda Salazar Cotrina</t>
  </si>
  <si>
    <t>Rios Campos Karin Geraldine</t>
  </si>
  <si>
    <t>Laguna Guerra Lila</t>
  </si>
  <si>
    <t>Quispe Laguna, Sayuri Estrella</t>
  </si>
  <si>
    <t>Quispe Laguna, Sayuri Estrella/Ini-5nto/5 años</t>
  </si>
  <si>
    <t>Guerra Miraval Valery/Ini-5nto/5 años</t>
  </si>
  <si>
    <t>Obregón Ramirez Flor Rormere</t>
  </si>
  <si>
    <t>Utrilla Obregon, Yeremy Jonatan/Ini-4rto/4 años</t>
  </si>
  <si>
    <t>Garay Fernandez Nataria</t>
  </si>
  <si>
    <t>Aron</t>
  </si>
  <si>
    <t>Izaguirre Pari Rosmery</t>
  </si>
  <si>
    <t>Santiago</t>
  </si>
  <si>
    <t>Aquino Ramirez Orfilinda</t>
  </si>
  <si>
    <t>Thiago</t>
  </si>
  <si>
    <t>Brisaida</t>
  </si>
  <si>
    <t>Canares Ramirez Robinzon</t>
  </si>
  <si>
    <t>Elva Margarita Caqui</t>
  </si>
  <si>
    <t>Jacob Laguna Caqui</t>
  </si>
  <si>
    <t>Jacob Laguna Caqui/Ini-5nto/5 años</t>
  </si>
  <si>
    <t>Multigrado</t>
  </si>
  <si>
    <t>Aquino Rosales Danna Alisson/Multigrado</t>
  </si>
  <si>
    <t>Aquino Suarez Gael Loan/Multigrado</t>
  </si>
  <si>
    <t>Melgarejo Francisco Yamilet Kaida/Multigrado</t>
  </si>
  <si>
    <t>Garay Aquino Eriksen Oliver/Multigrado</t>
  </si>
  <si>
    <t>Diana Garay Laguna</t>
  </si>
  <si>
    <t>Ugarte Garay Roberson Efrain Fausto/Multigrado</t>
  </si>
  <si>
    <t>Obregon Gadea Mia Isabella/Multigrado</t>
  </si>
  <si>
    <t>Melgarejo Aquino Liam Jayden/Multigrado</t>
  </si>
  <si>
    <t>Norca Yolanda Rojas Baylon</t>
  </si>
  <si>
    <t>Alarcon Vasquez, Rene</t>
  </si>
  <si>
    <t>Alarcon Sifuentes, Lirio/Ini-3ero/Manzana</t>
  </si>
  <si>
    <t>Huaman Villavicencio, Victoria</t>
  </si>
  <si>
    <t>Chipiana Ramos, Antonella/Ini-3ero/Manzana</t>
  </si>
  <si>
    <t>Mendoza, Raymundo</t>
  </si>
  <si>
    <t>Mendoza Huaman, Arav/Ini-4rto/Fresa</t>
  </si>
  <si>
    <t>Ita Padilla, Laura</t>
  </si>
  <si>
    <t>Ini-5nto/Naranja</t>
  </si>
  <si>
    <t>Vergara Zaragoza, Marisol</t>
  </si>
  <si>
    <t>Julca Vergara, Luis Abdel</t>
  </si>
  <si>
    <t>Julca Vergara, Luis Abdel/Ini-5nto/Naranja</t>
  </si>
  <si>
    <t>Diaz Loarte, Rosalinda</t>
  </si>
  <si>
    <t>Romero Diaz, Alessandra/Ini-3ero/Manzana</t>
  </si>
  <si>
    <t>Noreña Gimenes, Rossmeri</t>
  </si>
  <si>
    <t>Requelme Noreña, Kylian</t>
  </si>
  <si>
    <t>Requelme Noreña, Kylian/Ini-4rto/Fresa</t>
  </si>
  <si>
    <t>Diaz Aldave, Katty</t>
  </si>
  <si>
    <t>Requena Diaz, Jayden Adriano</t>
  </si>
  <si>
    <t>Requena Diaz, Jayden Adriano/Ini-4rto/Fresa</t>
  </si>
  <si>
    <t>Alarcón Solis, María del Carmen</t>
  </si>
  <si>
    <t>Sanchez Alarcon, Stephen/Ini-4rto/Fresa</t>
  </si>
  <si>
    <t>Bottoni Rivera, Ivana</t>
  </si>
  <si>
    <t>Salcedo Bottoni, Solange/Ini-5nto/Naranja</t>
  </si>
  <si>
    <t>Quiñones Trujillo, Martha</t>
  </si>
  <si>
    <t>Pacheco Quiñones, Johan/Ini-3ero/Manzana</t>
  </si>
  <si>
    <t>Huarancca Vasquez, Marilyn</t>
  </si>
  <si>
    <t>Sanchez Huarancca, Sebastian/Ini-3ero/Manzana</t>
  </si>
  <si>
    <t>Yauri Espinoza, Kelly</t>
  </si>
  <si>
    <t>Velasquez Yauri, Valeska/Ini-4rto/Fresa</t>
  </si>
  <si>
    <t>Huamán Dextre, Yessica</t>
  </si>
  <si>
    <t>Nuñez Huaman, Ian Daniel</t>
  </si>
  <si>
    <t>Nuñez Huaman, Ian Daniel/Ini-3ero/Manzana</t>
  </si>
  <si>
    <t>Ayala Salinas, Evelin</t>
  </si>
  <si>
    <t>Varillas Ayala, Ian Gael</t>
  </si>
  <si>
    <t>Varillas Ayala, Ian Gael/Ini-3ero/Manzana</t>
  </si>
  <si>
    <t>Sanchez Montes, Marcelina</t>
  </si>
  <si>
    <t>Varela Sanchez, Aylin/Ini-4rto/Fresa</t>
  </si>
  <si>
    <t>Ordoñez Quijano, Jessica</t>
  </si>
  <si>
    <t>Romero Ordoñez, Cataleya/Ini-3ero/Manzana</t>
  </si>
  <si>
    <t>Jumpa Salinas, Sandy</t>
  </si>
  <si>
    <t>Tello-Mena Jumpa, Kendra/Ini-5nto/Naranja</t>
  </si>
  <si>
    <t>Lopez Vega, Yosi</t>
  </si>
  <si>
    <t>Diaz Lopez, Heiton/Ini-4rto/Fresa</t>
  </si>
  <si>
    <t>Espinoza Leiva, Keli</t>
  </si>
  <si>
    <t>Culla Espinoza Heidi Zuleyka/Ini-4rto</t>
  </si>
  <si>
    <t>Garay Leyva Mezarina, Belinda</t>
  </si>
  <si>
    <t>Garay Amado Granyelina Favela/Ini-4rto</t>
  </si>
  <si>
    <t>Araujo Guerra, Lucinda</t>
  </si>
  <si>
    <t>Garay Araujo, Zhain Yoseph</t>
  </si>
  <si>
    <t>Garay Araujo, Zhain Yoseph/Ini-3ero</t>
  </si>
  <si>
    <t>Ramos Guerra, Yanina</t>
  </si>
  <si>
    <t>Fernandez Ramos, Denis Said</t>
  </si>
  <si>
    <t>Fernandez Ramos, Denis Said/Ini-5nto</t>
  </si>
  <si>
    <t>Garay Fernandez, Susa</t>
  </si>
  <si>
    <t>Brihana Garay Garay</t>
  </si>
  <si>
    <t>Brihana Garay Garay/Ini-5nto</t>
  </si>
  <si>
    <t>Claudio Fernandez, Sandra</t>
  </si>
  <si>
    <t>Marcela Rentero Claudio</t>
  </si>
  <si>
    <t>Marcela Rentero Claudio/Ini-5nto</t>
  </si>
  <si>
    <t>Diaz Arquinigo, Romelia</t>
  </si>
  <si>
    <t>Garay Diaz, Emily Ariana</t>
  </si>
  <si>
    <t>Garay Diaz, Emily Ariana/Ini-5nto</t>
  </si>
  <si>
    <t>Romero Castro, Maricruz</t>
  </si>
  <si>
    <t>Ramirez Romero, Abigail Micaela</t>
  </si>
  <si>
    <t>Ramirez Romero, Abigail Micaela/Ini-3ero</t>
  </si>
  <si>
    <t>Guerra Vega, Violeta</t>
  </si>
  <si>
    <t>Salazar Valverde, Deysi</t>
  </si>
  <si>
    <t>Fernandez Salazar, Keyra Antonella</t>
  </si>
  <si>
    <t>Fernandez Salazar, Keyra Antonella/Ini-3ero</t>
  </si>
  <si>
    <t>Enrique Gomez, Kely</t>
  </si>
  <si>
    <t>Guerra Enrique Sebastián Liam/Ini-4rto</t>
  </si>
  <si>
    <t>Palacios Gamarra, Jasmina</t>
  </si>
  <si>
    <t>Alizee Trejo Palacios</t>
  </si>
  <si>
    <t>Alizee Trejo Palacios/Ini-3ero</t>
  </si>
  <si>
    <t>Ticlo Guerra, Yissela</t>
  </si>
  <si>
    <t>Flores Ticlo, Jahir Eithan</t>
  </si>
  <si>
    <t>Flores Ticlo, Jahir Eithan/Ini-4rto</t>
  </si>
  <si>
    <t>Espinoza Quedo, Vanessa</t>
  </si>
  <si>
    <t>Joziel Zorrilla Espinoza</t>
  </si>
  <si>
    <t>Joziel Zorrilla Espinoza/Ini-3ero</t>
  </si>
  <si>
    <t>Guerra Ramirez, Hilda</t>
  </si>
  <si>
    <t>Lucas Guerra, Jhurcel Yefrem</t>
  </si>
  <si>
    <t>Lucas Guerra, Jhurcel Yefrem/Ini-5nto</t>
  </si>
  <si>
    <t>Chavez Liñan, Sandra</t>
  </si>
  <si>
    <t>Rayli Rojos Yltarisson</t>
  </si>
  <si>
    <t>Rayli Rojos Yltarisson/Ini-5nto</t>
  </si>
  <si>
    <t>Zorrilla Fonseca Teolinda</t>
  </si>
  <si>
    <t>Villadeza Zorrilla, Yarely Ivanana</t>
  </si>
  <si>
    <t>Villadeza Zorrilla, Yarely Ivanana/Ini-3ero</t>
  </si>
  <si>
    <t>Ramos Gargate, Olinda</t>
  </si>
  <si>
    <t>Rios Chavez, Clara</t>
  </si>
  <si>
    <t>Quispe Rios, Gabriel David</t>
  </si>
  <si>
    <t>Quispe Rios, Gabriel David/Ini-3ero</t>
  </si>
  <si>
    <t>Diaz Lliuya, Angelica</t>
  </si>
  <si>
    <t>Rios Diaz, Anyelina Yangmi</t>
  </si>
  <si>
    <t>Rios Diaz, Anyelina Yangmi/Ini-4rto</t>
  </si>
  <si>
    <t>Espinoza Guerra Hilaria</t>
  </si>
  <si>
    <t>Paucar Espinoza, Camila Bianca</t>
  </si>
  <si>
    <t>Paucar Espinoza, Camila Bianca/Ini-4rto</t>
  </si>
  <si>
    <t>Gomez Hilario, Sandra</t>
  </si>
  <si>
    <t>Rentera Gomez, Felipe David</t>
  </si>
  <si>
    <t>Rentera Gomez, Felipe David/Ini-4rto</t>
  </si>
  <si>
    <t>Davila Loarte, Elena</t>
  </si>
  <si>
    <t>Zorrilla Davila, Kayla Kaylita</t>
  </si>
  <si>
    <t>Zorrilla Davila, Kayla Kaylita/Ini-4rto</t>
  </si>
  <si>
    <t>Valle Gaylan, Lucinda</t>
  </si>
  <si>
    <t>Huanca Valle, Shamir Said</t>
  </si>
  <si>
    <t>Huanca Valle, Shamir Said/Ini-4rto</t>
  </si>
  <si>
    <t>Guerra Ramirez, Nancy</t>
  </si>
  <si>
    <t>Obregon Guerra, Yarely Corina</t>
  </si>
  <si>
    <t>Obregon Guerra, Yarely Corina/Ini-4rto</t>
  </si>
  <si>
    <t>Amado Salazar, Violeta</t>
  </si>
  <si>
    <t>Garay Amado, Franyelina Favela</t>
  </si>
  <si>
    <t>Garay Amado, Franyelina Favela/Ini-4rto</t>
  </si>
  <si>
    <t>Mallqui Araujo, Felena</t>
  </si>
  <si>
    <t>Juan David Mendoza Mallqui</t>
  </si>
  <si>
    <t>Juan David Mendoza Mallqui/Ini-4rto</t>
  </si>
  <si>
    <t>Chavez Dávila, Silvia</t>
  </si>
  <si>
    <t>Marquez Chavez, Ansu</t>
  </si>
  <si>
    <t>Marquez Chavez, Ansu/Ini-5nto</t>
  </si>
  <si>
    <t>Mallqui Araujo, Lidia</t>
  </si>
  <si>
    <t>Chavez Mallqui, María Angela</t>
  </si>
  <si>
    <t>Chavez Mallqui, María Angela/Ini-3ero</t>
  </si>
  <si>
    <t>Fernandez Agurto, Lucila</t>
  </si>
  <si>
    <t>Salazar Fernandez, Alex Benjamin</t>
  </si>
  <si>
    <t>Salazar Fernandez, Alex Benjamin/Ini-5nto</t>
  </si>
  <si>
    <t>Catire Enrique, Vaine</t>
  </si>
  <si>
    <t>Aquino Catire, Jheyson Marco</t>
  </si>
  <si>
    <t>Aquino Catire, Jheyson Marco/Ini-5nto</t>
  </si>
  <si>
    <t>Villanueva Rivera, Savina</t>
  </si>
  <si>
    <t>Ascencios Villanueva, Zabdiel</t>
  </si>
  <si>
    <t>Ascencios Villanueva, Zabdiel/Ini-3ero</t>
  </si>
  <si>
    <t>Diaz Castro, Yanet</t>
  </si>
  <si>
    <t>Aquino Diaz, Azael Naim</t>
  </si>
  <si>
    <t>Aquino Diaz, Azael Naim/Ini-3ero</t>
  </si>
  <si>
    <t>Huerta Mallqui, Flor</t>
  </si>
  <si>
    <t>Thalia Taisa Fernandez</t>
  </si>
  <si>
    <t>Thalia Taisa Fernandez/Ini-5nto</t>
  </si>
  <si>
    <t>Ramirez Prudencio, Esther</t>
  </si>
  <si>
    <t>Guerra Ramirez, Nicole Dayana</t>
  </si>
  <si>
    <t>Guerra Ramirez, Nicole Dayana/Ini-5nto</t>
  </si>
  <si>
    <t>Carhuapoma Tarazona, Brayan</t>
  </si>
  <si>
    <t xml:space="preserve">Carhuapoma Guerra, Edward </t>
  </si>
  <si>
    <t>Carhuapoma Guerra, Edward/Ini-4rto</t>
  </si>
  <si>
    <t>Bar Rojas Naybeth</t>
  </si>
  <si>
    <t>Adriel Espinoza Bar</t>
  </si>
  <si>
    <t>Adriel Espinoza Bar/Ini-4rto</t>
  </si>
  <si>
    <t xml:space="preserve">Guerra Huerta, Maruja </t>
  </si>
  <si>
    <t>Lucas Guerra, Jhurcel Yefrem/Ini-3ero</t>
  </si>
  <si>
    <t>Salvador Valencia, Delia</t>
  </si>
  <si>
    <t>Valencia Salvador, Kate Salome</t>
  </si>
  <si>
    <t>Valencia Salvador, Kate Salome/Ini-4rto</t>
  </si>
  <si>
    <t>Marquez Chavez, Ansu Icardi</t>
  </si>
  <si>
    <t>Marquez Chavez, Ansu Icardi/Ini-5nto</t>
  </si>
  <si>
    <t>Garay Zerpa, Carmen</t>
  </si>
  <si>
    <t>Diaz Garay, Henderson</t>
  </si>
  <si>
    <t>Diaz Garay, Henderson/Ini-5nto</t>
  </si>
  <si>
    <t>Salazar Gomez, Bely</t>
  </si>
  <si>
    <t>Salazar Salazar, Brehicy Nivia</t>
  </si>
  <si>
    <t>Salazar Salazar, Brehicy Nivia/Ini-5nto</t>
  </si>
  <si>
    <t>Aparicio Garay, Keira Yatziry</t>
  </si>
  <si>
    <t>Aparicio Garay, Keira Yatziry/Ini-4rto</t>
  </si>
  <si>
    <t>Espinoza Yajaira, Keli</t>
  </si>
  <si>
    <t>Culla Espinoza, Heidi Zuleyca</t>
  </si>
  <si>
    <t>Culla Espinoza, Heidi Zuleyca/Ini-4rto</t>
  </si>
  <si>
    <t>Aquino Gaytan, Alicia</t>
  </si>
  <si>
    <t>Garay Aquino, Suhaila Amira</t>
  </si>
  <si>
    <t>Garay Aquino, Suhaila Amira/Ini-3ero</t>
  </si>
  <si>
    <t>Guerra Ramirez, Milagros</t>
  </si>
  <si>
    <t>Chavez Salazar, Mavila</t>
  </si>
  <si>
    <t>Chavez Montes, Guadalupe</t>
  </si>
  <si>
    <t>Chavez Montes, Guadalupe/Ini-4rto</t>
  </si>
  <si>
    <t>Ramos Tagarte Olinda</t>
  </si>
  <si>
    <t>Anaya Ramos, Shania Avril</t>
  </si>
  <si>
    <t>Anaya Ramos, Shania Avril/Ini-5nto</t>
  </si>
  <si>
    <t>Davila Loarte, Victoria</t>
  </si>
  <si>
    <t>Espinoza Davila, Gareth Keylor</t>
  </si>
  <si>
    <t>Espinoza Davila, Gareth Keylor/Ini-5nto</t>
  </si>
  <si>
    <t>Fernandez Aira, Wagner</t>
  </si>
  <si>
    <t>Lucas Guerra, Jhurcel  Yefrem</t>
  </si>
  <si>
    <t>Lucas Guerra, Jhurcel  Yefrem/Ini-3ero</t>
  </si>
  <si>
    <t>Herrera Francisco, Hilda</t>
  </si>
  <si>
    <t>Johanna Huayta Ugarte</t>
  </si>
  <si>
    <t>Johanna Huayta Ugarte/Ini-3ero</t>
  </si>
  <si>
    <t>Shania Anaya Ramos</t>
  </si>
  <si>
    <t>Shania Anaya Ramos/Ini-5nto</t>
  </si>
  <si>
    <t>Garay Espinoza, Sarita</t>
  </si>
  <si>
    <t>Yaritza Guerra Garay</t>
  </si>
  <si>
    <t>Yaritza Guerra Garay/Ini-5nto</t>
  </si>
  <si>
    <t>Chimbe Cruz, Irma Carmen</t>
  </si>
  <si>
    <t>Gonzales Chimbe, Sebastian Vidal</t>
  </si>
  <si>
    <t>Gonzales Chimbe, Sebastian Vidal/Ini-3ero</t>
  </si>
  <si>
    <t>Chavez Davila, Silvia</t>
  </si>
  <si>
    <t>Vargas Ramirez, Leslie</t>
  </si>
  <si>
    <t>Quispe Vargas, Ariana Lissely</t>
  </si>
  <si>
    <t>Quispe Vargas, Ariana Lissely/Ini-5nto</t>
  </si>
  <si>
    <t>Mendoza Mallqui, Juan David</t>
  </si>
  <si>
    <t>Mendoza Mallqui, Juan David/Ini-4rto</t>
  </si>
  <si>
    <t>Lopez Vargas, Sara</t>
  </si>
  <si>
    <t>Osorio Lopez, Victor Marino</t>
  </si>
  <si>
    <t>Osorio Lopez, Victor Marino/Ini-4rto</t>
  </si>
  <si>
    <t>Mendoza Mallqui Juan David/Ini-4rto</t>
  </si>
  <si>
    <t>Enrique Gomez, Magaly</t>
  </si>
  <si>
    <t>Rojas Bazan, Yeni</t>
  </si>
  <si>
    <t xml:space="preserve">Garay Rojas Yulieth Alexia
</t>
  </si>
  <si>
    <t>Garay Rojas Yulieth Alexia/Ini-4rto</t>
  </si>
  <si>
    <t>Garay Fernandez, Edita</t>
  </si>
  <si>
    <t>Campos Garay Yadira Yatziry/Ini-4rto</t>
  </si>
  <si>
    <t>Castro Veramendi, Edith</t>
  </si>
  <si>
    <t>Ortiz Castro Evelin Victoria Valentina/Ini-3ero</t>
  </si>
  <si>
    <t>Huayta Vargas, Yomira</t>
  </si>
  <si>
    <t>Sánchez Huayta Melanny Venhel/Ini-3ero</t>
  </si>
  <si>
    <t>Alvaro Chavez, Yaneth</t>
  </si>
  <si>
    <t>Sánchez Álvaro Hans Christian Andersen/Ini-3ero</t>
  </si>
  <si>
    <t>Alvaro Chavez, Guisela</t>
  </si>
  <si>
    <t>Sánchez Alvaro Liam Alexander/Ini-4rto</t>
  </si>
  <si>
    <t>Mosquera Vega, Rocio</t>
  </si>
  <si>
    <t>Yoany Palomino</t>
  </si>
  <si>
    <t>Paucar, Lucy</t>
  </si>
  <si>
    <t>Ramirez Melgarejo, Lizzeth Maribel</t>
  </si>
  <si>
    <t>Muñoz García, Guadalupe</t>
  </si>
  <si>
    <t>Ramirez Courino, Loida Belinda</t>
  </si>
  <si>
    <t>Gomero Vicencio, Sonia</t>
  </si>
  <si>
    <t>Rodriguez Cosme, Liliana</t>
  </si>
  <si>
    <t>Dolores Rodrigue, Jessica</t>
  </si>
  <si>
    <t>Abad Dolores Yusef Zamir/Ini-4rto/4 años</t>
  </si>
  <si>
    <t>Abad Dolores Zeynep Melek/Ini-4rto/4 años</t>
  </si>
  <si>
    <t>Pinto Espinoza, Mila</t>
  </si>
  <si>
    <t>Joel Mendoza Pinto</t>
  </si>
  <si>
    <t>Joel Mendoza Pinto/Ini-5nto</t>
  </si>
  <si>
    <t>Ramirez Vargas, Elsa</t>
  </si>
  <si>
    <t>Valeri Aylen Abarca Ramirez</t>
  </si>
  <si>
    <t>Valeri Aylen Abarca Ramirez/Ini-3ero</t>
  </si>
  <si>
    <t>Cueva Trejo, Narcisa</t>
  </si>
  <si>
    <t>Belinda Gonzales Cueva</t>
  </si>
  <si>
    <t>Belinda Gonzales Cueva/Ini-4rto</t>
  </si>
  <si>
    <t>Idania Medina</t>
  </si>
  <si>
    <t>Sebastian Damian Medina</t>
  </si>
  <si>
    <t>Sebastian Damian Medina/Ini-4rto</t>
  </si>
  <si>
    <t>Montes Vanes, Nelly</t>
  </si>
  <si>
    <t>Vega Montes, Gael</t>
  </si>
  <si>
    <t>Vega Montes, Gael/Ini-3ero</t>
  </si>
  <si>
    <t>Chavez, Vega Eva</t>
  </si>
  <si>
    <t>Belen Flores Chavez</t>
  </si>
  <si>
    <t>Belen Flores Chavez/Ini-5nto</t>
  </si>
  <si>
    <t>Balles Navarro, Janet Elizabeth</t>
  </si>
  <si>
    <t>Joseph Amado Bañez</t>
  </si>
  <si>
    <t>Joseph Amado Bañez/Ini-5nto</t>
  </si>
  <si>
    <t>Rivera Valenzuela, Aida</t>
  </si>
  <si>
    <t>Nayli Genero Rivera</t>
  </si>
  <si>
    <t>Nayli Genero Rivera/Ini-5nto</t>
  </si>
  <si>
    <t>Rimac Balabarca, Sonia</t>
  </si>
  <si>
    <t>Sofia Villafuerte Rimac</t>
  </si>
  <si>
    <t>Sofia Villafuerte Rimac/Ini-5nto</t>
  </si>
  <si>
    <t>Solorzano Sifuentes, Leticia</t>
  </si>
  <si>
    <t>Hamsu Blas Solorzano</t>
  </si>
  <si>
    <t>Melgarejo Chavez, Yolanda</t>
  </si>
  <si>
    <t xml:space="preserve">Enrique Melgarejo </t>
  </si>
  <si>
    <t>Enrique Melgarejo/Ini-3ero</t>
  </si>
  <si>
    <t>Vega Chavez, César</t>
  </si>
  <si>
    <t>Enrique Melgarejo Zhen Sulin/Ini-3ero</t>
  </si>
  <si>
    <t>Abarca, Luzmila</t>
  </si>
  <si>
    <t>Tolentino Chavez</t>
  </si>
  <si>
    <t>Abarca Tolentino Gianluca Erwin</t>
  </si>
  <si>
    <t>Sigueñas Abarca, Elena</t>
  </si>
  <si>
    <t>Flores Sigueñas Abigail</t>
  </si>
  <si>
    <t>Flores Sigueñas Abigail/Ini-3ero</t>
  </si>
  <si>
    <t>Gomero Merina, Mauro</t>
  </si>
  <si>
    <t>Gomero Vargas Adryen Yerick/Ini-3ero</t>
  </si>
  <si>
    <t>Anayeli Abarca Damian</t>
  </si>
  <si>
    <t>Quiroz Yapias, Eva Magaly</t>
  </si>
  <si>
    <t>Gonsales Quiroz, Adriel Martin</t>
  </si>
  <si>
    <t>Gonsales Quiroz, Adriel Martin/Ini-4rto/Pequeños exploradores</t>
  </si>
  <si>
    <t>Cadillo Palacios, Esther</t>
  </si>
  <si>
    <t>Gamboa Morales, Laura</t>
  </si>
  <si>
    <t>Garcia Gamboa, Luz Alessia Yaline</t>
  </si>
  <si>
    <t>Garcia Gamboa, Luz Alessia Yaline/Ini-4rto/Pequeños exploradores</t>
  </si>
  <si>
    <t>Tipiani Bazalar, Karla Zuleyma</t>
  </si>
  <si>
    <t>Cosme Tripiani, Nazareth/Ini-4rto/Pequeños exploradores</t>
  </si>
  <si>
    <t>Ojeda Puycón, Jenny Araceli</t>
  </si>
  <si>
    <t>Chahuar Ojeda, Mateo/Ini-3ero/Pequeños exploradores</t>
  </si>
  <si>
    <t>Guerrero Inchicaque, Yoselin Katerine</t>
  </si>
  <si>
    <t xml:space="preserve">Atoche Guerrero, Damaris Sungyi </t>
  </si>
  <si>
    <t>Atoche Guerrero, Damaris Sungyi/Ini-3ero/Pequeños exploradores</t>
  </si>
  <si>
    <t>Mendoza Leyva Shany Kenia</t>
  </si>
  <si>
    <t>Mendoza Leyva Shany Kenia/Ini-5nto/Pequeños creativos</t>
  </si>
  <si>
    <t>Leon Mendoza, Ayme Julianny</t>
  </si>
  <si>
    <t>Mendez Rojas, Jessica Vanessa</t>
  </si>
  <si>
    <t>Barreto Méndez Mayser Joan</t>
  </si>
  <si>
    <t>Barreto Méndez Mayser Joan/Ini-5nto/Pequeños creativos</t>
  </si>
  <si>
    <t>Morales Capistrano, Janet</t>
  </si>
  <si>
    <t xml:space="preserve">Dextre Morales Luis Gustavo Ismael </t>
  </si>
  <si>
    <t>Dextre Morales Luis Gustavo Ismael/Ini-4rto/Pequeños exploradores</t>
  </si>
  <si>
    <t>Navarro Huerta, Julissa Paulina</t>
  </si>
  <si>
    <t xml:space="preserve">Huaman Espinoza, Elizabeth </t>
  </si>
  <si>
    <t>Castillo Huaman, Euz/Ini-3ero/Pequeños exploradores</t>
  </si>
  <si>
    <t>Huaroma Montes, Deisy Gabriela</t>
  </si>
  <si>
    <t xml:space="preserve">Mota Huaroma Nijan Aysel </t>
  </si>
  <si>
    <t>Mota Huaroma Nijan Aysel/Ini-4rto/Pequeños exploradores</t>
  </si>
  <si>
    <t>Flor Calderón Ugarte</t>
  </si>
  <si>
    <t>Garay Calderon,Kasumi Valentina/Ini-4rto/4 años</t>
  </si>
  <si>
    <t>Yovana Ramirez Rosales</t>
  </si>
  <si>
    <t>Ugarte Ramirez,Yarely Carol/Ini-4rto/4 años</t>
  </si>
  <si>
    <t>Elia Garay Mautino</t>
  </si>
  <si>
    <t>Chavez Garay,Fabricio River/Ini-4rto/4 años</t>
  </si>
  <si>
    <t>Ilda Ugarte Fernandez</t>
  </si>
  <si>
    <t>Nina Ugarte,Sigrid Dayana/Ini-3ero/3 años</t>
  </si>
  <si>
    <t>Javier Salvio, Noima Rodila</t>
  </si>
  <si>
    <t>Mauricio Javier Kathy</t>
  </si>
  <si>
    <t>Mauricio Javier Kathy/Ini-3ero/3 años</t>
  </si>
  <si>
    <t>Ircelia Peña Fernandez</t>
  </si>
  <si>
    <t>Zevallos Peña,John Benjamin/Ini-5nto/5 años</t>
  </si>
  <si>
    <t>Roque Rimac,Juan Ghael/Ini-5nto/5 años</t>
  </si>
  <si>
    <t>Maribel Perez Villar</t>
  </si>
  <si>
    <t>Ugarte Perez,Juan David/Ini-5nto/5 años</t>
  </si>
  <si>
    <t>Marlon Diaz Culla</t>
  </si>
  <si>
    <t>Diaz Chavez, Mheraf Danahy</t>
  </si>
  <si>
    <t>Diaz Chavez, Mheraf Danahy/Ini-3ero/3 años</t>
  </si>
  <si>
    <t>Fernandez Chavez,Mikel Paolo/Ini-5nto/5 años</t>
  </si>
  <si>
    <t>Gloria Fernandez Flores</t>
  </si>
  <si>
    <t>Anaya Fernandez Luciana</t>
  </si>
  <si>
    <t>Anaya Fernandez Luciana/Ini-3ero/3 años</t>
  </si>
  <si>
    <t>Obregon Cabrera Bestsabet</t>
  </si>
  <si>
    <t>Addiel Gargate</t>
  </si>
  <si>
    <t>Addiel Gargate/Ini-5nto/5 años</t>
  </si>
  <si>
    <t>Diana Leust Trujillo Garay</t>
  </si>
  <si>
    <t>Lyams</t>
  </si>
  <si>
    <t>Ayala Fernandez, Eugenia</t>
  </si>
  <si>
    <t>Navel Samit Gomez Ayala</t>
  </si>
  <si>
    <t>Navel Samit Gomez Ayala/Ini-4rto</t>
  </si>
  <si>
    <t>Vega Garay, Florinda</t>
  </si>
  <si>
    <t>Mayda Chavez Vega</t>
  </si>
  <si>
    <t>Mayda Chavez Vega/Ini-5nto</t>
  </si>
  <si>
    <t>Chavez Dominguez, Yolanda</t>
  </si>
  <si>
    <t>Nayla Leyva Chavez</t>
  </si>
  <si>
    <t>Nayla Leyva Chavez/Ini-4rto</t>
  </si>
  <si>
    <t>Vargas Miranda, Jhosmel</t>
  </si>
  <si>
    <t>Vargas Espinoza, Jeremih</t>
  </si>
  <si>
    <t>Vargas Espinoza, Jeremih/Ini-5nto</t>
  </si>
  <si>
    <t>Rafaela</t>
  </si>
  <si>
    <t>Dextre Guerrero, Melissa</t>
  </si>
  <si>
    <t>Moreno Dextre, Zoe Nahomi</t>
  </si>
  <si>
    <t>Moreno Dextre, Zoe Nahomi/Ini-5nto/5 años</t>
  </si>
  <si>
    <t>Yta Pomiano, Rosalinda</t>
  </si>
  <si>
    <t>Fabian de la Cruz, Vilma</t>
  </si>
  <si>
    <t>Guerrero Fabian, Naomi Ivett</t>
  </si>
  <si>
    <t>Guerrero Fabian, Naomi Ivett/Ini-5nto/5 años</t>
  </si>
  <si>
    <t>Jara Roque, Melani/Ini-4rto/3, 4 y 5 años</t>
  </si>
  <si>
    <t>Rojas Turpo, Maricruz</t>
  </si>
  <si>
    <t>Ramirez Rojas, Ismael/Ini-5nto/3, 4 y 5 años</t>
  </si>
  <si>
    <t>Valverde Asis, Yanina</t>
  </si>
  <si>
    <t>Requena Valverde, Nahara/Ini-3ero/3, 4 y 5 años</t>
  </si>
  <si>
    <t>Mora Beltrán, Frecia</t>
  </si>
  <si>
    <t>Victorio Mora, Areztiel/Ini-4rto/3, 4 y 5 años</t>
  </si>
  <si>
    <t>Fabián Antaurco, Dina Ester</t>
  </si>
  <si>
    <t>Ini-3ero/Manzana</t>
  </si>
  <si>
    <t>Corpus Velasquez, Reveca Luz</t>
  </si>
  <si>
    <t>Ini-4rto/Fresa</t>
  </si>
  <si>
    <t>Cáceres Molina, Carmen</t>
  </si>
  <si>
    <t>Callupe Obregón, Rocio</t>
  </si>
  <si>
    <t>Auxiliar 3,4,5</t>
  </si>
  <si>
    <t>Ini-3ero/Auxiliar 3,4,5</t>
  </si>
  <si>
    <t>Auxiliar de la I.E.I</t>
  </si>
  <si>
    <t>3877654</t>
  </si>
  <si>
    <t>Flores Cueva, Apolonia Elizabet</t>
  </si>
  <si>
    <t>PRONOEI</t>
  </si>
  <si>
    <t>Ini-3ero/PRONOEI</t>
  </si>
  <si>
    <t>PRONOEI "LOS PALILLOS"</t>
  </si>
  <si>
    <t>Alarcón Solis, Maria del Carmen</t>
  </si>
  <si>
    <t>Huertas Doroteo, Wendy</t>
  </si>
  <si>
    <t>Aguirre Huertas, Dherian/Ini-3ero/Manzana</t>
  </si>
  <si>
    <t>Herrera Sipan, Aissa Naysha</t>
  </si>
  <si>
    <t>Herrera Sipan, Yeico</t>
  </si>
  <si>
    <t>Herrera Sipan, Yeico/Ini-4rto/Fresa</t>
  </si>
  <si>
    <t>Benito Yanac, Eugenia</t>
  </si>
  <si>
    <t>Saenz Guevara, Nancy</t>
  </si>
  <si>
    <t>Moreno Requena, Anahi</t>
  </si>
  <si>
    <t>Maguiña Moreno, Dariel/Ini-4rto/4 años</t>
  </si>
  <si>
    <t>Zambrano Salinas, Bonny</t>
  </si>
  <si>
    <t>Caqui Zambrano, Piero</t>
  </si>
  <si>
    <t>Caqui Zambrano, Piero/Ini-4rto/3 y 4 años</t>
  </si>
  <si>
    <t>Diaz Alarcon, Julia</t>
  </si>
  <si>
    <t>Fierro Chávez Vanesa</t>
  </si>
  <si>
    <t>Marzano Obregón Eva</t>
  </si>
  <si>
    <t>Castro Albornoz Elva Maria</t>
  </si>
  <si>
    <t>Mejia Castro Brisney Ariana</t>
  </si>
  <si>
    <t>Mejia Castro Brisney Ariana/Ini-4rto/4 años/Rojo</t>
  </si>
  <si>
    <t>Calderón Guerra Amelia</t>
  </si>
  <si>
    <t>Garay Calderon Geral Adriel</t>
  </si>
  <si>
    <t>Garay Calderon Geral Adriel/Ini-4rto/4 años/Rojo</t>
  </si>
  <si>
    <t>Chavez Anaya Dylan Fernando</t>
  </si>
  <si>
    <t>Chavez Anaya Dylan Fernando/Ini-3ero/3 años/Amarillo</t>
  </si>
  <si>
    <t>Loarte Camiloaga Florencia</t>
  </si>
  <si>
    <t>Díaz Huerta Milagros</t>
  </si>
  <si>
    <t>Loarte Diaz Maite Zoe</t>
  </si>
  <si>
    <t>Loarte Diaz Maite Zoe/Ini-4rto/4 años/Rojo</t>
  </si>
  <si>
    <t>Díaz Huerta Carlos</t>
  </si>
  <si>
    <t>Diaz Veramendi Jakob Paul</t>
  </si>
  <si>
    <t>Diaz Veramendi Jakob Paul/Ini-3ero/3 años/Amarillo</t>
  </si>
  <si>
    <t>Anaya Obregón Necerata</t>
  </si>
  <si>
    <t>Garay Rubina Iker Lionel</t>
  </si>
  <si>
    <t>Garay Rubina Iker Lionel/Ini-4rto/4 años/Rojo</t>
  </si>
  <si>
    <t>Ubaldo Dionicio Flor Yaneth</t>
  </si>
  <si>
    <t>Díaz Huerta Cindy Lourdes</t>
  </si>
  <si>
    <t>Almercon Veramendi Bety Magdalena</t>
  </si>
  <si>
    <t>Rivera Almercon Valentina/Ini-5nto/5 años</t>
  </si>
  <si>
    <t>Olivas Castillo Josue Eliaquin/Ini-4rto/4 años</t>
  </si>
  <si>
    <t>Brioso Chavez Orlando Victor</t>
  </si>
  <si>
    <t>Vasquez Huerta Daymar Bahir/Ini-5nto/5 años</t>
  </si>
  <si>
    <t>Castro Ramirez Luz Asbelita</t>
  </si>
  <si>
    <t>Trejo Castro Luz Adira</t>
  </si>
  <si>
    <t>Trejo Castro Luz Adira/Ini-4rto/4 años</t>
  </si>
  <si>
    <t>Salazar Salvador Yosfran Linder/Ini-4rto/4 años</t>
  </si>
  <si>
    <t>Veramendi Bajomero Esther</t>
  </si>
  <si>
    <t>Fonseca Veramendi Dafne Engell/Ini-5nto/5 años</t>
  </si>
  <si>
    <t xml:space="preserve">Huerta Garay Alessia </t>
  </si>
  <si>
    <t>Huerta Garay Alessia/Ini-3ero/3 años</t>
  </si>
  <si>
    <t>Gomez Huaytan Yanet</t>
  </si>
  <si>
    <t>Medina Gomez Andrea 5a/Medina Gomez Adelina 3a/Ini-5nto/5 años</t>
  </si>
  <si>
    <t>Diaz Zorrilla Lesly Denissa</t>
  </si>
  <si>
    <t>Almercon Diaz Dayara Jeysi</t>
  </si>
  <si>
    <t>Almercon Diaz Dayara Jeysi/Ini-5nto/5 años</t>
  </si>
  <si>
    <t>Brioso Anaya Heydi 4a/Brioso Anaya 5a/Ini-4rto/4 años</t>
  </si>
  <si>
    <t>Gomez Huaytan Anita Florcita</t>
  </si>
  <si>
    <t>Vargas Gomez Yaceli Jana</t>
  </si>
  <si>
    <t>Vargas Gomez Yaceli Jana/Ini-5nto/5 años</t>
  </si>
  <si>
    <t>Medina Illatopa Roxana</t>
  </si>
  <si>
    <t>Valenzuela Medina Jaziel Gael</t>
  </si>
  <si>
    <t>Valenzuela Medina Jaziel Gael/Ini-4rto/4 años/Abejitas</t>
  </si>
  <si>
    <t>Tolentino Gantu Antonia</t>
  </si>
  <si>
    <t>Calderon Tolentino Iyan Eriksen</t>
  </si>
  <si>
    <t>Calderon Tolentino Iyan Eriksen/Ini-5nto/5 años/Ositos</t>
  </si>
  <si>
    <t>Vasquez Olivas Belina</t>
  </si>
  <si>
    <t>Gomez Vasquez Jhuniel Isan</t>
  </si>
  <si>
    <t>Gomez Vasquez Jhuniel Isan/Ini-5nto/5 años/Ositos</t>
  </si>
  <si>
    <t>Aquino Camiloaga Maritza</t>
  </si>
  <si>
    <t>Calderon Aquino Jeremy Alexandre</t>
  </si>
  <si>
    <t>Calderon Aquino Jeremy Alexandre/Ini-5nto/5 años/Ositos</t>
  </si>
  <si>
    <t>Pineda Ramirez Laura</t>
  </si>
  <si>
    <t>Vasquez Pineda Daymy Giselle</t>
  </si>
  <si>
    <t>Vasquez Pineda Daymy Giselle/Ini-5nto/5 años/Ositos</t>
  </si>
  <si>
    <t>Anaya Davila Lisbeth</t>
  </si>
  <si>
    <t>Chavez Anaya Aylan Jassiel</t>
  </si>
  <si>
    <t>Chavez Anaya Aylan Jassiel/Ini-5nto/5 años/Ositos</t>
  </si>
  <si>
    <t>Calancho Rodriguez Clever</t>
  </si>
  <si>
    <t>Calancho Santa Cruz Yashira Ivana</t>
  </si>
  <si>
    <t>Calancho Santa Cruz Yashira Ivana/Ini-3ero</t>
  </si>
  <si>
    <t>Sifuentes Solis Enoc Abel</t>
  </si>
  <si>
    <t>Sifuentes Anaya Dylan Mateo</t>
  </si>
  <si>
    <t>Sifuentes Anaya Dylan Mateo/Ini-4rto/4 años/Abejitas</t>
  </si>
  <si>
    <t>Vasquez Portella Yoselyn</t>
  </si>
  <si>
    <t>Loarte Vasquez Mirella Yissel</t>
  </si>
  <si>
    <t>Loarte Vasquez Mirella Yissel/Ini-3ero/3 años/Hormiguitas</t>
  </si>
  <si>
    <t>Arias Cadillo Maribel</t>
  </si>
  <si>
    <t>Mejia Arias Danna Arlet</t>
  </si>
  <si>
    <t>Mejia Arias Danna Arlet/Ini-5nto/5 años/Ositos</t>
  </si>
  <si>
    <t>Castillo Valenzuela Luzmila</t>
  </si>
  <si>
    <t>Ramos Castillo Kiara Valeria</t>
  </si>
  <si>
    <t>Ramos Castillo Kiara Valeria/Ini-4rto/4 años/Abejitas</t>
  </si>
  <si>
    <t>Valencia Espinoza Sandra</t>
  </si>
  <si>
    <t>Ini-5nto/5 años/Ositos</t>
  </si>
  <si>
    <t>Huaman Rivera Lila</t>
  </si>
  <si>
    <t>Acuña Paredes Elizabeth</t>
  </si>
  <si>
    <t xml:space="preserve">Julia Edith Sáenz Diestra </t>
  </si>
  <si>
    <t>Rosita Diana Portella Moreno</t>
  </si>
  <si>
    <t>Jackeline Lizeth</t>
  </si>
  <si>
    <t>Hermelinda Espinoza Pinedo</t>
  </si>
  <si>
    <t>Andria Duran Flores</t>
  </si>
  <si>
    <t>Garay Duran Jahir Leandro</t>
  </si>
  <si>
    <t>Garay Duran Jahir Leandro/Ini-3ero/3 años</t>
  </si>
  <si>
    <t>Marcelina Dominguez Palacios</t>
  </si>
  <si>
    <t xml:space="preserve">Diaz Dominguez, Yashuri </t>
  </si>
  <si>
    <t>Diaz Dominguez, Yashuri/Ini-5nto/5 años</t>
  </si>
  <si>
    <t>Yaneth Alvaro Chavez</t>
  </si>
  <si>
    <t>Sanchez Alvaro, Liam Alexander</t>
  </si>
  <si>
    <t>Sanchez Alvaro, Liam Alexander/Ini-4rto/4 años</t>
  </si>
  <si>
    <t>Guisela Alvaro Chavez</t>
  </si>
  <si>
    <t>Sanchez Alvaro, Hans Christian</t>
  </si>
  <si>
    <t>Sanchez Alvaro, Hans Christian/Ini-3ero/3 años</t>
  </si>
  <si>
    <t>Rocia Mosquera Vera</t>
  </si>
  <si>
    <t>Leiva Mosquera Naim Owen</t>
  </si>
  <si>
    <t>Leiva Mosquera Naim Owen/Ini-3ero/3 años</t>
  </si>
  <si>
    <t>Rosa Blas Villanueva</t>
  </si>
  <si>
    <t>Rojas Blas Ioneli Yosmel/Ini-3ero/3 años</t>
  </si>
  <si>
    <t xml:space="preserve">Yeny Rojas Bazan </t>
  </si>
  <si>
    <t>Garay Rojas, Yulieth Alexia</t>
  </si>
  <si>
    <t>Garay Rojas, Yulieth Alexia/Ini-4rto/4 años</t>
  </si>
  <si>
    <t>Sanchez Huayta Melanny Venhel</t>
  </si>
  <si>
    <t>Sanchez Huayta Melanny Venhel/Ini-3ero/3 años</t>
  </si>
  <si>
    <t>Rojas Loarte, Valentina</t>
  </si>
  <si>
    <t>Asencio Rojas, Dayahana Génesis</t>
  </si>
  <si>
    <t>Asencio Rojas, Dayahana Génesis/Ini-3ero/3 años</t>
  </si>
  <si>
    <t>Rivas Ramirez, Nieves</t>
  </si>
  <si>
    <t>Quito Rivas, Gretha Abathika</t>
  </si>
  <si>
    <t>Quito Rivas, Gretha Abathika/Ini-4rto/4 años</t>
  </si>
  <si>
    <t>Olinda Solis Cruz</t>
  </si>
  <si>
    <t>Anaya Solis, Itzayana Mailen Leah</t>
  </si>
  <si>
    <t>Anaya Solis, Itzayana Mailen Leah/Ini-5nto/5 años</t>
  </si>
  <si>
    <t>Herrera Pantoja Luz</t>
  </si>
  <si>
    <t>Anaya Hildalgo, Clarisa Andrea</t>
  </si>
  <si>
    <t>Anaya Hildalgo, Clarisa Andrea/Ini-5nto/5 años</t>
  </si>
  <si>
    <t xml:space="preserve">Yoany Luciana Palomino Pineda </t>
  </si>
  <si>
    <t>Chumacero Zate, Rocio Isabel</t>
  </si>
  <si>
    <t>Pulido Chumacero, Luna Victoria</t>
  </si>
  <si>
    <t>Pulido Chumacero, Luna Victoria/Ini-4rto/4 años</t>
  </si>
  <si>
    <t>Chauca Hurtado, Thiago Dylan</t>
  </si>
  <si>
    <t>Chauca Hurtado, Thiago Dylan/Ini-4rto/4 años</t>
  </si>
  <si>
    <t>Tipiani Rivera, Oscar oliver</t>
  </si>
  <si>
    <t>Tipiani Felix, Tobias Enmanuel</t>
  </si>
  <si>
    <t>Tipiani Felix, Tobias Enmanuel/Ini-4rto/4 años</t>
  </si>
  <si>
    <t>Zuñiga Flores, Rosa Andrea</t>
  </si>
  <si>
    <t>Gonzales Zuñiga, Kistell del Rosario Khaleesi</t>
  </si>
  <si>
    <t>Gonzales Zuñiga, Kistell del Rosario Khaleesi/Ini-4rto</t>
  </si>
  <si>
    <t>Zata Reques, Lina Antonella/Ini-4rto</t>
  </si>
  <si>
    <t>Rosales Morante, Vivian</t>
  </si>
  <si>
    <t>Toledo Rosales, Omar Ediel</t>
  </si>
  <si>
    <t>Toledo Rosales, Omar Ediel/Ini-4rto</t>
  </si>
  <si>
    <t>Cenepo Panduro, Greysy</t>
  </si>
  <si>
    <t>Olivares Cenepo, Carlos</t>
  </si>
  <si>
    <t>Olivares Cenepo, Carlos/Ini-5nto</t>
  </si>
  <si>
    <t>Olivares Cenepo, Geraldine Jimena</t>
  </si>
  <si>
    <t>Olivares Cenepo, Geraldine Jimena/Ini-3ero</t>
  </si>
  <si>
    <t>León Vasquez, Luis Williams</t>
  </si>
  <si>
    <t>Niño Solis, Matteo</t>
  </si>
  <si>
    <t>Niño Solis, Matteo/Ini-4rto</t>
  </si>
  <si>
    <t>Niño Egoavil, Alexander</t>
  </si>
  <si>
    <t>Niño Solis, Matteo/Ini-3ero</t>
  </si>
  <si>
    <t>Ramos Perez, Margarita</t>
  </si>
  <si>
    <t>Melgarejo Montalvo, Mely Lya</t>
  </si>
  <si>
    <t>Melgarejo Montalvo, Mely Lya/Ini-4rto</t>
  </si>
  <si>
    <t>Montalvo Durand, Elizabeth</t>
  </si>
  <si>
    <t xml:space="preserve">Mora Madrid, Angie </t>
  </si>
  <si>
    <t>Ilaquijo Mora, Matthew Eithan</t>
  </si>
  <si>
    <t>Ilaquijo Mora, Matthew Eithan/Ini-4rto</t>
  </si>
  <si>
    <t>Bailón Paucar, Dina Alina</t>
  </si>
  <si>
    <t>Reyes Bailon, Moises Simut</t>
  </si>
  <si>
    <t>Reyes Bailon, Moises Simut/Ini-4rto</t>
  </si>
  <si>
    <t>Diaz de Diaz, Gliceria</t>
  </si>
  <si>
    <t>Escobar Carranza, Brigitte</t>
  </si>
  <si>
    <t>Salinas Escobar, Danica</t>
  </si>
  <si>
    <t>Salinas Escobar, Danica/Ini-3ero</t>
  </si>
  <si>
    <t>Vara Mejía, Yasmely</t>
  </si>
  <si>
    <t>Rasga Vara, Dylan Matias</t>
  </si>
  <si>
    <t>Rasga Vara, Dylan Matias/Ini-3ero</t>
  </si>
  <si>
    <t>Vega Gonzales, Noah Sebastián</t>
  </si>
  <si>
    <t>Vega Gonzales, Noah Sebastián/Ini-3ero</t>
  </si>
  <si>
    <t>Flores Crespo, Rosa</t>
  </si>
  <si>
    <t>Ramirez Flores,Elva Antonela</t>
  </si>
  <si>
    <t>Ramirez Flores,Elva Antonela/Ini-3ero</t>
  </si>
  <si>
    <t>Garcia, Rossy</t>
  </si>
  <si>
    <t>Jesus Macedo, Jesly Mariela</t>
  </si>
  <si>
    <t>Vasquéz Burgos, Flor</t>
  </si>
  <si>
    <t>Huayaney Aranda, Rocio Del Pilar</t>
  </si>
  <si>
    <t>Ellel Abdias Livias Huayaney</t>
  </si>
  <si>
    <t>Ellel Abdias Livias Huayaney/Ini-3ero/3 años azul</t>
  </si>
  <si>
    <t>Espinoza Cipriano, Narcizo</t>
  </si>
  <si>
    <t>Eydam Matteo Espinoza Zevallos</t>
  </si>
  <si>
    <t>Eydam Matteo Espinoza Zevallos/Ini-5nto/5 años rojo</t>
  </si>
  <si>
    <t>Muñoz Tolentino, Claudia</t>
  </si>
  <si>
    <t>Jailyn Espinoza Tolentino</t>
  </si>
  <si>
    <t>Jailyn Espinoza Tolentino/Ini-5nto/5 años celeste</t>
  </si>
  <si>
    <t>Mendoza Solis, Kelly</t>
  </si>
  <si>
    <t>Alhia Luana Villanueva Mendoza</t>
  </si>
  <si>
    <t>3 años amarrillo</t>
  </si>
  <si>
    <t>Alhia Luana Villanueva Mendoza/Ini-3ero/3 años amarrillo</t>
  </si>
  <si>
    <t>Blas Solorzano, Flor Guadalupe</t>
  </si>
  <si>
    <t>Sebastian Dionico Blas</t>
  </si>
  <si>
    <t>4 años amarrillo</t>
  </si>
  <si>
    <t>Sebastian Dionico Blas/Ini-4rto/4 años amarrillo</t>
  </si>
  <si>
    <t>Amiely Rachel Solis Ramirez</t>
  </si>
  <si>
    <t>3 años amarillo y 5 años celeste</t>
  </si>
  <si>
    <t>Amiely Rachel Solis Ramirez/Ini-3ero/3 años amarillo y 5 años celeste</t>
  </si>
  <si>
    <t>Tristan Gonzales, Corina</t>
  </si>
  <si>
    <t>Ayelen Tristan</t>
  </si>
  <si>
    <t>Ayelen Tristan/Ini-3ero/3 años azul</t>
  </si>
  <si>
    <t>Ramirez Paucar, Nilda María</t>
  </si>
  <si>
    <t>Gael James Cochachin Ramirez</t>
  </si>
  <si>
    <t>Gael James Cochachin Ramirez/Ini-3ero/3 años azul</t>
  </si>
  <si>
    <t>Muñoz Valenzuela, Yuly Pamela</t>
  </si>
  <si>
    <t>Jeanelle Samara espinoza blas</t>
  </si>
  <si>
    <t>Jeanelle Samara espinoza blas/Ini-3ero/3 años azul</t>
  </si>
  <si>
    <t>Diana Lourdes Virhuez Rodríguez</t>
  </si>
  <si>
    <t>Gina Meredith Ochoa Beltrán</t>
  </si>
  <si>
    <t xml:space="preserve">Julissa Majipo Pizango </t>
  </si>
  <si>
    <t xml:space="preserve">Enith Nelly Morales </t>
  </si>
  <si>
    <t xml:space="preserve">Eleny Morales Coche </t>
  </si>
  <si>
    <t>Maria Lázaro Padilla</t>
  </si>
  <si>
    <t>Susan Yuliana Rondon Granados</t>
  </si>
  <si>
    <t>Jeydi Valverde Gregorio</t>
  </si>
  <si>
    <t xml:space="preserve">Nelly Inocente Laverio </t>
  </si>
  <si>
    <t xml:space="preserve">5 años </t>
  </si>
  <si>
    <t>Zarelita Solano Espiritu</t>
  </si>
  <si>
    <t xml:space="preserve">Wagner Pizango Asipali </t>
  </si>
  <si>
    <t>Rossmeri Paucar Gamarra</t>
  </si>
  <si>
    <t>Margot Umpire Puma</t>
  </si>
  <si>
    <t xml:space="preserve">Regina Mori Padilla </t>
  </si>
  <si>
    <t xml:space="preserve">Gabriela Morales Laverio </t>
  </si>
  <si>
    <t>Diana Azara Jara</t>
  </si>
  <si>
    <t>Judith Herrera Padilla</t>
  </si>
  <si>
    <t>Katty de la cruz Espiritu</t>
  </si>
  <si>
    <t>Irma Soledad Abarca Rodriguez</t>
  </si>
  <si>
    <t>Fabian Huerta</t>
  </si>
  <si>
    <t>Thaisa Fernandez Huerta</t>
  </si>
  <si>
    <t>Thaisa Fernandez Huerta/Ini-5nto/5 años</t>
  </si>
  <si>
    <t>Garay Araujo, Zhain Yoseph/Ini-3ero/3 años</t>
  </si>
  <si>
    <t>Garay Araujo, Zhain Yoseph/Ini-4rto/4 años</t>
  </si>
  <si>
    <t>Culla Espinoza Heidi Zuleyka/Ini-4rto/4 años</t>
  </si>
  <si>
    <t>Maribel Haro</t>
  </si>
  <si>
    <t>Hellen Salazar Haro</t>
  </si>
  <si>
    <t>Hellen Salazar Haro/Ini-3ero/3 años</t>
  </si>
  <si>
    <t>Adriel/Ini-3ero/3 años</t>
  </si>
  <si>
    <t>Aquino Diaz, Azael Naim/Ini-3ero/3 años</t>
  </si>
  <si>
    <t>Ramirez Romero, Abigail Micaela/Ini-3ero/3 años</t>
  </si>
  <si>
    <t>Harisson</t>
  </si>
  <si>
    <t>Harisson/Ini-5nto/5 años</t>
  </si>
  <si>
    <t>Jaziel Zorrilla Espinoza</t>
  </si>
  <si>
    <t>Jaziel Zorrilla Espinoza/Ini-3ero/3 años</t>
  </si>
  <si>
    <t>Guerra Alfaro, Jakeline</t>
  </si>
  <si>
    <t>Caballero Guerra, Alessia</t>
  </si>
  <si>
    <t>Caballero Guerra, Alessia/Ini-5nto/5 años</t>
  </si>
  <si>
    <t>Garay Aquino, Suhaila Amira/Ini-3ero/3 años</t>
  </si>
  <si>
    <t>Quispe Rios, Gabriel David/Ini-3ero/3 años</t>
  </si>
  <si>
    <t>Fernandez Salazar, Keyra Antonella/Ini-3ero/3 años</t>
  </si>
  <si>
    <t>Fernandez Ramos, Denis Said/Ini-5nto/5 años</t>
  </si>
  <si>
    <t>Delina Guerra Vega</t>
  </si>
  <si>
    <t>Habran</t>
  </si>
  <si>
    <t>Habran/Ini-3ero/3 años</t>
  </si>
  <si>
    <t>Chavez Montes, Guadalupe/Ini-4rto/4 años</t>
  </si>
  <si>
    <t>Johanna</t>
  </si>
  <si>
    <t>Johanna/Ini-3ero/3 años</t>
  </si>
  <si>
    <t>Espinoza Davila, Gareth Keylor/Ini-5nto/5 años</t>
  </si>
  <si>
    <t>Salazar Fernandez, Alex Benjamin/Ini-5nto/5 años</t>
  </si>
  <si>
    <t>Liseth Guerra Ramirez</t>
  </si>
  <si>
    <t>Carhuapoma Guerra, Edward/Ini-4rto/4 años</t>
  </si>
  <si>
    <t>Guerra Ramirez, Nicole Dayana/Ini-5nto/5 años</t>
  </si>
  <si>
    <t>Solis Guerra, Gael Jeyco</t>
  </si>
  <si>
    <t>Solis Guerra, Gael Jeyco/Ini-5nto/5 años</t>
  </si>
  <si>
    <t>Quispe Vargas, Ariana Lissely/Ini-5nto/5 años</t>
  </si>
  <si>
    <t>Ascencios Villanueva, Zabdiel/Ini-3ero/3 años</t>
  </si>
  <si>
    <t>Shania Anaya Ramos/Ini-5nto/5 años</t>
  </si>
  <si>
    <t>Garay Amado, Franyelina Favela/Ini-4rto/4 años</t>
  </si>
  <si>
    <t>Villadeza Zorrilla, Yarely Ivanana/Ini-3ero/3 años</t>
  </si>
  <si>
    <t>Rentera Gomez, Felipe David/Ini-4rto/4 años</t>
  </si>
  <si>
    <t>Garay Diaz, Emily Ariana/Ini-5nto/5 años</t>
  </si>
  <si>
    <t>Araujo Solis, Teodora</t>
  </si>
  <si>
    <t>Garay Gaytan David</t>
  </si>
  <si>
    <t>Garay Gaytan David/Ini-5nto</t>
  </si>
  <si>
    <t>Zorrilla Davila, Kayla Kaylita/Ini-4rto/4 años</t>
  </si>
  <si>
    <t>Salazar Salazar, Brehicy Nivia/Ini-5nto/5 años</t>
  </si>
  <si>
    <t>Obregon Guerra, Yarely Corina/Ini-4rto/4 años</t>
  </si>
  <si>
    <t>Paucar Espinoza, Camila Bianca/Ini-4rto/4 años</t>
  </si>
  <si>
    <t>Diaz Garay, Henderson/Ini-5nto/5 años</t>
  </si>
  <si>
    <t>Aquino Catire, Jheyson Marco/Ini-5nto/5 años</t>
  </si>
  <si>
    <t>Marquez Chavez, Ansu/Ini-5nto/5 años</t>
  </si>
  <si>
    <t>Mendoza Mallqui, Juan David/Ini-4rto/4 años</t>
  </si>
  <si>
    <t xml:space="preserve">Judith Getzabel coral Caurino </t>
  </si>
  <si>
    <t xml:space="preserve">Soledad Cuizano Berrospi </t>
  </si>
  <si>
    <t xml:space="preserve">Ashnate Tolentino Abigail Gercelita </t>
  </si>
  <si>
    <t>Shamanta Gabino</t>
  </si>
  <si>
    <t xml:space="preserve">Maria Elena saavedra Navarro </t>
  </si>
  <si>
    <t xml:space="preserve">Violeta Trujillo Trejo </t>
  </si>
  <si>
    <t>Guadalupe Mendieta Guizabelo</t>
  </si>
  <si>
    <t>Alek Emir Araujo Mendieta</t>
  </si>
  <si>
    <t>Alek Emir Araujo Mendieta/Ini-3ero/3 años</t>
  </si>
  <si>
    <t>Clelia Poma Murga</t>
  </si>
  <si>
    <t>Wenda Vega Poma</t>
  </si>
  <si>
    <t>Wenda Vega Poma/Ini-5nto/5 años</t>
  </si>
  <si>
    <t>Sonia Meliza Salazar Lagona</t>
  </si>
  <si>
    <t>Yanfranco Jayden Blas Salazar</t>
  </si>
  <si>
    <t>Yanfranco Jayden Blas Salazar/Ini-3ero/3 años</t>
  </si>
  <si>
    <t>Patricia Leiva Chavez</t>
  </si>
  <si>
    <t>Patty Vega Lancha</t>
  </si>
  <si>
    <t>Patty Vega Lancha/Ini-4rto/4 años</t>
  </si>
  <si>
    <t>Orfelinda Rojas Chavez</t>
  </si>
  <si>
    <t>Cirila Mallqui Garay</t>
  </si>
  <si>
    <t>Jenifer Janelle Narro Mallqui</t>
  </si>
  <si>
    <t>Jenifer Janelle Narro Mallqui/Ini-3ero/3 años</t>
  </si>
  <si>
    <t>Milca Ramos Sanchez</t>
  </si>
  <si>
    <t>Frank Castillo Ramos</t>
  </si>
  <si>
    <t>Frank Castillo Ramos/Ini-5nto/5 años</t>
  </si>
  <si>
    <t>Requena Valverde, Nahara/Ini-3ero/3,4, y 5 años</t>
  </si>
  <si>
    <t>Victorio Mora, Areztiel/Ini-4rto/3,4, y 5 años</t>
  </si>
  <si>
    <t>Carrión Mallqui, Mayra</t>
  </si>
  <si>
    <t>Cadenas Carrión, Keith/Ini-5nto/3,4, y 5 años</t>
  </si>
  <si>
    <t>Incorporación reciente a la IEI.</t>
  </si>
  <si>
    <t>Romero Sotel, Victor</t>
  </si>
  <si>
    <t>Cueva Díaz, Roxana</t>
  </si>
  <si>
    <t>Cruz Cueva, Valeska/Ini-5nto/3, 4 y 5 años</t>
  </si>
  <si>
    <t>Primera participación en CCA.</t>
  </si>
  <si>
    <t>Manrique Dextre, Domitila Nelly</t>
  </si>
  <si>
    <t>PRONOEI - SHINQUIPAMPA</t>
  </si>
  <si>
    <t>Ini-3ero/PRONOEI - SHINQUIPAMPA</t>
  </si>
  <si>
    <t>Manrique Hizo, Sulema</t>
  </si>
  <si>
    <t>Rosales Manrique, Vania Kalessy</t>
  </si>
  <si>
    <t>Rosales Manrique, Vania Kalessy/Ini-4rto/Fresa</t>
  </si>
  <si>
    <t>Sifuentes Ahuanari, Liz</t>
  </si>
  <si>
    <t>Huamani Mendoza, Russian</t>
  </si>
  <si>
    <t>Contreraz Huaman, Juaquin Andres/Ini-4rto/4 años</t>
  </si>
  <si>
    <t xml:space="preserve">3 y 4 </t>
  </si>
  <si>
    <t>Gina Meredit Ochoa Beltran</t>
  </si>
  <si>
    <t>Enith Nelly Morales</t>
  </si>
  <si>
    <t>Eleny Morales Cacha</t>
  </si>
  <si>
    <t>Regina Mori Padilla</t>
  </si>
  <si>
    <t>Katty de la Cruz Espiritu</t>
  </si>
  <si>
    <t>Blanca Giovana Isidro Toscano</t>
  </si>
  <si>
    <t>Erika Paola Montesinos Isidro</t>
  </si>
  <si>
    <t>Gloria Isabel Espinoza Francisco</t>
  </si>
  <si>
    <t>Gisela Requena</t>
  </si>
  <si>
    <t>Odalit Asuncion Canza</t>
  </si>
  <si>
    <t xml:space="preserve">3, 4 y 5 años </t>
  </si>
  <si>
    <t>Ini-5nto/3, 4 y 5 años</t>
  </si>
  <si>
    <t>Mari Luz Villar Raymundo</t>
  </si>
  <si>
    <t>Elvia Damian Valverde</t>
  </si>
  <si>
    <t>Esther Damian Valverde</t>
  </si>
  <si>
    <t>Gimena de la Cruz Gamarra</t>
  </si>
  <si>
    <t>Abelina Raymundo Gavino</t>
  </si>
  <si>
    <t xml:space="preserve"> 4 años </t>
  </si>
  <si>
    <t>Eveliza Damian Raymundo</t>
  </si>
  <si>
    <t xml:space="preserve"> 5 años </t>
  </si>
  <si>
    <t>Madeli Aldave Jesus</t>
  </si>
  <si>
    <t>Zoraida Jesus Trinidad</t>
  </si>
  <si>
    <t xml:space="preserve">Elsa Isidro de Paz </t>
  </si>
  <si>
    <t>Judith Damian Valverde</t>
  </si>
  <si>
    <t>Liliana Sanchez Camacho</t>
  </si>
  <si>
    <t>Dalila Paredes Valenzuela</t>
  </si>
  <si>
    <t xml:space="preserve">Cecilia Damian Rivera </t>
  </si>
  <si>
    <t xml:space="preserve">Gaby Cerila Garro Carmen </t>
  </si>
  <si>
    <t>Maritza Lopez Pinedo</t>
  </si>
  <si>
    <t>Ini-5nto/3 y 4</t>
  </si>
  <si>
    <t>Aylin Lorena Caceres Cochachin</t>
  </si>
  <si>
    <t>Aylin Lorena Caceres Cochachin/Ini-4rto/4</t>
  </si>
  <si>
    <t>Thiago Leonel de la Cruz Minaya</t>
  </si>
  <si>
    <t>Thiago Leonel de la Cruz Minaya/Ini-5nto</t>
  </si>
  <si>
    <t>Nancy Lourdes Panizo</t>
  </si>
  <si>
    <t xml:space="preserve">3, 4 y 5 </t>
  </si>
  <si>
    <t>Ini-5nto/3, 4 y 5</t>
  </si>
  <si>
    <t>Belen Balarezo Dolores</t>
  </si>
  <si>
    <t xml:space="preserve">Katerin Gonzalez Benites </t>
  </si>
  <si>
    <t>Milan Emil Huaratazo Gonzales</t>
  </si>
  <si>
    <t>Milan Emil Huaratazo Gonzales/Ini-3ero/3 años</t>
  </si>
  <si>
    <t>Ena Castillo Bautista</t>
  </si>
  <si>
    <t xml:space="preserve">Daila Karen Tadeo Castillo </t>
  </si>
  <si>
    <t>Daila Karen Tadeo Castillo/Ini-3ero/3 años</t>
  </si>
  <si>
    <t xml:space="preserve">Amelia Lucy Espinoza Leon </t>
  </si>
  <si>
    <t xml:space="preserve">Paulina Molina Polinar </t>
  </si>
  <si>
    <t>Mathius Spence Diaz Molina</t>
  </si>
  <si>
    <t>Mathius Spence Diaz Molina/Ini-3ero/3 años</t>
  </si>
  <si>
    <t>Gladys Leons Salinas</t>
  </si>
  <si>
    <t xml:space="preserve">Amilcar Guillermo Leon Silva </t>
  </si>
  <si>
    <t>Amilcar Guillermo Leon Silva/Ini-3ero/3 años</t>
  </si>
  <si>
    <t xml:space="preserve">Juan Erick Sotelo Espinoza </t>
  </si>
  <si>
    <t>Axel Yoseth Sotelo Trinidad</t>
  </si>
  <si>
    <t>Axel Yoseth Sotelo Trinidad/Ini-4rto/3 y 4</t>
  </si>
  <si>
    <t>Emilia Diaz Urbano</t>
  </si>
  <si>
    <t xml:space="preserve">Liam Tadeo Respicio </t>
  </si>
  <si>
    <t>Liam Tadeo Respicio/Ini-5nto/5 años</t>
  </si>
  <si>
    <t xml:space="preserve">Carmen Guillermo Diaz </t>
  </si>
  <si>
    <t xml:space="preserve">Camila Eliza Lázaro Guillermo </t>
  </si>
  <si>
    <t>Camila Eliza Lázaro Guillermo/Ini-5nto/5 años</t>
  </si>
  <si>
    <t xml:space="preserve">Fausta Cueva Florian </t>
  </si>
  <si>
    <t xml:space="preserve">Dave Gabriel Alejandro Rufino Cueva </t>
  </si>
  <si>
    <t>Dave Gabriel Alejandro Rufino Cueva/Ini-5nto/5 años</t>
  </si>
  <si>
    <t xml:space="preserve">Elmer Julian Rufino Julca </t>
  </si>
  <si>
    <t>Rosmery Ticler Rafael</t>
  </si>
  <si>
    <t xml:space="preserve">Maylen Itzayana Lopez Ticler </t>
  </si>
  <si>
    <t>Maylen Itzayana Lopez Ticler/Ini-5nto/5 años</t>
  </si>
  <si>
    <t xml:space="preserve">5 y 6 </t>
  </si>
  <si>
    <t>3, 4 y 5</t>
  </si>
  <si>
    <t>Jessica Karin Lopez Castro</t>
  </si>
  <si>
    <t>Aurea Abarca Rodriguez</t>
  </si>
  <si>
    <t xml:space="preserve">Margot Maria Umpire Puma </t>
  </si>
  <si>
    <t>Juan Manuel Nautina</t>
  </si>
  <si>
    <t>Aida Flor Rivera Valenzuela</t>
  </si>
  <si>
    <t>Gontero Rivera, Naily</t>
  </si>
  <si>
    <t>Gontero Rivera, Naily/Ini-5nto/5 años</t>
  </si>
  <si>
    <t>Vargas Solis, Kely</t>
  </si>
  <si>
    <t>Gomero Vargas Yerick</t>
  </si>
  <si>
    <t>Gomero Vargas Yerick/Ini-3ero/3 años</t>
  </si>
  <si>
    <t>Albornoz Dionicio, Flor</t>
  </si>
  <si>
    <t>Vega Albornoz Maylen</t>
  </si>
  <si>
    <t>Bañez Navarro, Jane Elizabeth</t>
  </si>
  <si>
    <t>Amado Bañez Jak | Joseph Amado Bañez</t>
  </si>
  <si>
    <t>5 y 3 años</t>
  </si>
  <si>
    <t>Amado Bañez Jak | Joseph Amado Bañez/Ini-5nto/5 y 3 años</t>
  </si>
  <si>
    <t>Cerpa Poma, Gloria</t>
  </si>
  <si>
    <t>Rodriguez Cerpa, Yamila</t>
  </si>
  <si>
    <t>Rodriguez Cerpa, Yamila/Ini-4rto/4 años</t>
  </si>
  <si>
    <t>Abarca Damian</t>
  </si>
  <si>
    <t>Abarca  Tolentino Gianluca</t>
  </si>
  <si>
    <t>Abarca  Tolentino Gianluca/Ini-4rto/4 años</t>
  </si>
  <si>
    <t>Montes Nely</t>
  </si>
  <si>
    <t>Vega Montes, Gael/Ini-3ero/3 años</t>
  </si>
  <si>
    <t>Chavez Vega, Eva</t>
  </si>
  <si>
    <t>Mila Pinto Espinoza</t>
  </si>
  <si>
    <t>Jael Mendoza</t>
  </si>
  <si>
    <t>Jael Mendoza/Ini-5nto/5 años</t>
  </si>
  <si>
    <t>Jhansu Blas Solorzano</t>
  </si>
  <si>
    <t>Jhansu Blas Solorzano/Ini-4rto/4 años</t>
  </si>
  <si>
    <t>Flores Trinidad, Luis</t>
  </si>
  <si>
    <t>Abigail Flores Sigueñas</t>
  </si>
  <si>
    <t>Yolanda</t>
  </si>
  <si>
    <t>Zhen Enrique Melgarejo</t>
  </si>
  <si>
    <t>Zhen Enrique Melgarejo/Ini-3ero/3 años</t>
  </si>
  <si>
    <t>Elsa Ramirez</t>
  </si>
  <si>
    <t xml:space="preserve">Ailen Abarca </t>
  </si>
  <si>
    <t>Ailen Abarca/Ini-3ero</t>
  </si>
  <si>
    <t>Narciza Cueva</t>
  </si>
  <si>
    <t>Belinda Gonzales</t>
  </si>
  <si>
    <t>Belinda Gonzales/Ini-4rto/4 años</t>
  </si>
  <si>
    <t>Maria Paucar</t>
  </si>
  <si>
    <t>Saynet Arce Paucar</t>
  </si>
  <si>
    <t>Saynet Arce Paucar/Ini-4rto/4 años</t>
  </si>
  <si>
    <t>Sonia Rimac</t>
  </si>
  <si>
    <t>Sofia Villafuerte</t>
  </si>
  <si>
    <t>Sofia Villafuerte/Ini-5nto</t>
  </si>
  <si>
    <t>Yakilin Tunoque</t>
  </si>
  <si>
    <t>Andrea Duran Flores</t>
  </si>
  <si>
    <t>Garay Duran, Jahir Leandro</t>
  </si>
  <si>
    <t>Garay Duran, Jahir Leandro/Ini-3ero/3 años</t>
  </si>
  <si>
    <t>Yomira Huayta Vargas</t>
  </si>
  <si>
    <t>Melanny Venhel Sánchez Huayta</t>
  </si>
  <si>
    <t>Melanny Venhel Sánchez Huayta/Ini-3ero/3 años</t>
  </si>
  <si>
    <t>Naim Leyva Mosquera</t>
  </si>
  <si>
    <t>Naim Leyva Mosquera/Ini-3ero/3 años</t>
  </si>
  <si>
    <t>Edita Garay Fernandez</t>
  </si>
  <si>
    <t>Yadira Campos Garay</t>
  </si>
  <si>
    <t>Yadira Campos Garay/Ini-4rto/4 años</t>
  </si>
  <si>
    <t>Rosalia Pastor Ascencos</t>
  </si>
  <si>
    <t>Clarisa Anaya Hidalgo</t>
  </si>
  <si>
    <t>Clarisa Anaya Hidalgo/Ini-5nto/5 años</t>
  </si>
  <si>
    <t>Balbino Anaya Astete</t>
  </si>
  <si>
    <t>Itzayana Mailen Leah Anaya Solis</t>
  </si>
  <si>
    <t>Itzayana Mailen Leah Anaya Solis/Ini-5nto/5 años</t>
  </si>
  <si>
    <t>Maximilina Anaya</t>
  </si>
  <si>
    <t>Aparicio Garay, Keira Yatziry/Ini-4rto/4 años</t>
  </si>
  <si>
    <t>Milagros Guerra Ramirez</t>
  </si>
  <si>
    <t>Gael Solis Guerra</t>
  </si>
  <si>
    <t>Gael Solis Guerra/Ini-5nto/5 años</t>
  </si>
  <si>
    <t>Lucas Guerra, Jhurcel Yefrem/Ini-3ero/3 años</t>
  </si>
  <si>
    <t>Adriel Espinoza Bar/Ini-4rto/4 años</t>
  </si>
  <si>
    <t>Huanca Valle, Shamir Said/Ini-4rto/4 años</t>
  </si>
  <si>
    <t>Chavez Mallqui, María Angela/Ini-3ero/3 años</t>
  </si>
  <si>
    <t>Rios Diaz, Anyelina Yangmi/Ini-4rto/4 años</t>
  </si>
  <si>
    <t>Juan Mendoza Mallqui</t>
  </si>
  <si>
    <t>Juan Mendoza Mallqui/Ini-4rto/4 años</t>
  </si>
  <si>
    <t>Salazar Fernandez, Alex Benjamin/Ini-3ero/3 años</t>
  </si>
  <si>
    <t>Flores Ticlo, Jahir Eithan/Ini-4rto/4 años</t>
  </si>
  <si>
    <t>Brihana Garay Garay/Ini-5nto/5 años</t>
  </si>
  <si>
    <t>Thalia Taisa Fernandez/Ini-5nto/5 años</t>
  </si>
  <si>
    <t>Palacios Gamarra Jasmin</t>
  </si>
  <si>
    <t>Rayli Rojos Yltarisson/Ini-5nto/5 años</t>
  </si>
  <si>
    <t>Romelia Diaz Arquinigo</t>
  </si>
  <si>
    <t>Emily Garay Diaz</t>
  </si>
  <si>
    <t>Emily Garay Diaz/Ini-5nto/5 años</t>
  </si>
  <si>
    <t>Guerra Enrique Sebastián Liam/Ini-4rto/4 años</t>
  </si>
  <si>
    <t>Valencia Salvador, Kate Salome/Ini-4rto/4 años</t>
  </si>
  <si>
    <t>Acevedo Trujillo Rosa</t>
  </si>
  <si>
    <t>Sterling Guerra Acevedo</t>
  </si>
  <si>
    <t>Sterling Guerra Acevedo/Ini-4rto/4 años</t>
  </si>
  <si>
    <t xml:space="preserve">Gina Meredith Ochoa Beltrán </t>
  </si>
  <si>
    <t xml:space="preserve">Maria Lázaro Padilla </t>
  </si>
  <si>
    <t xml:space="preserve">Regina Mory Padilla </t>
  </si>
  <si>
    <t>Gabriela Morales Laverio</t>
  </si>
  <si>
    <t xml:space="preserve">Judith Herrera Padilla </t>
  </si>
  <si>
    <t>Irma Soledad Abarca</t>
  </si>
  <si>
    <t xml:space="preserve">Diana Azaña Jara </t>
  </si>
  <si>
    <t xml:space="preserve">Alicia Azaña Jara </t>
  </si>
  <si>
    <t xml:space="preserve">Zarelita Solano Espiritu </t>
  </si>
  <si>
    <t>Jeidy Valverde Gregorio</t>
  </si>
  <si>
    <t xml:space="preserve">Jhecely Gonzales Jara </t>
  </si>
  <si>
    <t xml:space="preserve">Rossmeri Paucar </t>
  </si>
  <si>
    <t>Jessica Lopez Castro</t>
  </si>
  <si>
    <t xml:space="preserve">Dalila Paredes Valenzuela </t>
  </si>
  <si>
    <t xml:space="preserve">Gimena de la cruz Gamarra </t>
  </si>
  <si>
    <t xml:space="preserve">Olinda Valverde Rosales </t>
  </si>
  <si>
    <t>Carmen Elena Guillermo Diaz</t>
  </si>
  <si>
    <t>Sanchez Gonzales, Esmeralda</t>
  </si>
  <si>
    <t xml:space="preserve">Vega Zapata, Angie Jhuliana </t>
  </si>
  <si>
    <t>Cotillo Vega, Antonella</t>
  </si>
  <si>
    <t>Cotillo Vega, Antonella/Ini-3ero/3 años</t>
  </si>
  <si>
    <t>Cotillo Vega, Jonas</t>
  </si>
  <si>
    <t>Cotillo Vega, Jonas/Ini-5nto/5 años</t>
  </si>
  <si>
    <t>Tipiani Felix, Tobias Emmanuel</t>
  </si>
  <si>
    <t>Tipiani Felix, Tobias Emmanuel/Ini-4rto/4 años</t>
  </si>
  <si>
    <t>Gularte Ramirez, Sarita</t>
  </si>
  <si>
    <t>Soberon Vasquez, Daylis</t>
  </si>
  <si>
    <t>Hurtado Caberes, Liliana Margot</t>
  </si>
  <si>
    <t>Guerrero Marreros, Ivana Valeria</t>
  </si>
  <si>
    <t>Guerrero Marreros, Ivana Valeria/Ini-4rto/4 años</t>
  </si>
  <si>
    <t>Olivares Cenepo, Carlos/Ini-3ero/3 años</t>
  </si>
  <si>
    <t>Cenedo Panduro, Greysy</t>
  </si>
  <si>
    <t>Olivares Cenepo, Geraldine Jimena/Ini-5nto/5 años</t>
  </si>
  <si>
    <t>Bailon Paucar, Dina Alina</t>
  </si>
  <si>
    <t>Reyes Bailon, Moises Simut Amenhotep</t>
  </si>
  <si>
    <t>Reyes Bailon, Moises Simut Amenhotep/Ini-4rto/4 años</t>
  </si>
  <si>
    <t>Gomez Flores, Maria</t>
  </si>
  <si>
    <t>Dextre Zuloaga, Karla</t>
  </si>
  <si>
    <t>Flores Dextre, Josenit Shessira</t>
  </si>
  <si>
    <t>Flores Dextre, Josenit Shessira/Ini-4rto/4 años</t>
  </si>
  <si>
    <t>Salinas Escobar, Danica/Ini-3ero/3 años</t>
  </si>
  <si>
    <t>Melgarejo Montalvo, Mely Lya/Ini-4rto/4 años</t>
  </si>
  <si>
    <t>Hurtado Flores, Juana</t>
  </si>
  <si>
    <t>Diaz Torre, Glecerio</t>
  </si>
  <si>
    <t>Flores Durand, Epifanio</t>
  </si>
  <si>
    <t>Toledo Rosales, Omar Ediel/Ini-4rto/4 años</t>
  </si>
  <si>
    <t>Niño, Mateo</t>
  </si>
  <si>
    <t>Niño, Mateo/Ini-4rto/4 años</t>
  </si>
  <si>
    <t>Niño, Mateo/Ini-5nto/5 años</t>
  </si>
  <si>
    <t>Jesus Macedo, Lesly Mariela</t>
  </si>
  <si>
    <t>Vasquez Burgos, Maria Isabel</t>
  </si>
  <si>
    <t>Cueva Vasquez, Sergio Valentino</t>
  </si>
  <si>
    <t>Cueva Vasquez, Sergio Valentino/Ini-3ero/3 años</t>
  </si>
  <si>
    <t>Rodriguez Saldaña, Pamela</t>
  </si>
  <si>
    <t>Castillo Gamarra, Silvia Estela</t>
  </si>
  <si>
    <t>Gamarra Sanchez, Gladys Elena</t>
  </si>
  <si>
    <t>Dolores de Paz, Raul</t>
  </si>
  <si>
    <t>Espinoza Rojas Olimpia</t>
  </si>
  <si>
    <t>Calderon Guerra Amelia</t>
  </si>
  <si>
    <t>Chavez Solorzano Matias 5a/Huayta Solorzano Kaylina Mikaela 3a/Ini-5nto</t>
  </si>
  <si>
    <t>Anaya Olivas Maritza Roxana</t>
  </si>
  <si>
    <t>Loarte Camiloaga Florencia Micaela</t>
  </si>
  <si>
    <t>Bautista Akiro Angelica</t>
  </si>
  <si>
    <t>Espinoza Bautista Akiro Kenai</t>
  </si>
  <si>
    <t>Espinoza Bautista Akiro Kenai/Ini-3ero/3 años/Amarillo</t>
  </si>
  <si>
    <t>Guerra Rojas Edith</t>
  </si>
  <si>
    <t>Robles Guerra Yordan Alexis</t>
  </si>
  <si>
    <t>Robles Guerra Yordan Alexis/Ini-4rto/4 años/Rojo</t>
  </si>
  <si>
    <t>Blas Gomez Liz Clarita</t>
  </si>
  <si>
    <t>Brioso Blas Danna Alessandra</t>
  </si>
  <si>
    <t>Brioso Blas Danna Alessandra/Ini-3ero/3 años/Amarillo</t>
  </si>
  <si>
    <t>Salazar Brioso Nancy</t>
  </si>
  <si>
    <t>Anaya Salazar Zayn Jorge Gabriel</t>
  </si>
  <si>
    <t>Anaya Salazar Zayn Jorge Gabriel/Ini-3ero/3 años/Amarillo</t>
  </si>
  <si>
    <t>Colonia Depaz Nancy</t>
  </si>
  <si>
    <t>Palacios Colonia Yandel Abel</t>
  </si>
  <si>
    <t>Palacios Colonia Yandel Abel/Ini-3ero/3 años/Amarillo</t>
  </si>
  <si>
    <t>Surcco Brioso Zaid/Ini-3ero</t>
  </si>
  <si>
    <t>Anaya Obregon Necerata</t>
  </si>
  <si>
    <t>Garay Rubina Iker Lionel/Ini-4rto/3 años/Amarillo</t>
  </si>
  <si>
    <t>Olivas Obregon Viviana</t>
  </si>
  <si>
    <t>x</t>
  </si>
  <si>
    <t>x/Ini-4rto/4 años/Rojo</t>
  </si>
  <si>
    <t>Anaya Chavez Nory</t>
  </si>
  <si>
    <t>Varillas Anaya Ian Zaid</t>
  </si>
  <si>
    <t>Varillas Anaya Ian Zaid/Ini-4rto/4 años/Rojo</t>
  </si>
  <si>
    <t>Veramendi Castro Yuli</t>
  </si>
  <si>
    <t>Cabanillas Veramendi Yaiza Yetzaly</t>
  </si>
  <si>
    <t>Cabanillas Veramendi Yaiza Yetzaly/Ini-4rto/4 años/Rojo</t>
  </si>
  <si>
    <t>Ramírez Dionicio Manuel</t>
  </si>
  <si>
    <t>Ramirez Loarte Yamileth Keylin</t>
  </si>
  <si>
    <t>Ramirez Loarte Yamileth Keylin/Ini-4rto/4 años/Rojo</t>
  </si>
  <si>
    <t>Ramirez Veramendi Heydy Meriyem/Ini-4rto</t>
  </si>
  <si>
    <t>Calancho Fernandini Olimpia</t>
  </si>
  <si>
    <t>Ramirez Calancho Marcos</t>
  </si>
  <si>
    <t>Chavez Garay Katerin</t>
  </si>
  <si>
    <t>Alvarez Chavez Thiago Liam</t>
  </si>
  <si>
    <t>Alvarez Chavez Thiago Liam/Ini-4rto/4 años/Patitos</t>
  </si>
  <si>
    <t>Fernandez Calancho Eucebia</t>
  </si>
  <si>
    <t>Gomez Camiloaga Eusebia</t>
  </si>
  <si>
    <t>Espinoza Ticra Amabelia</t>
  </si>
  <si>
    <t>Ramirez Espinoza Thiago Alexis</t>
  </si>
  <si>
    <t>Ramirez Espinoza Thiago Alexis/Ini-3ero/3 años</t>
  </si>
  <si>
    <t>Albornos Julca Yareli  Maribel</t>
  </si>
  <si>
    <t>Espinoza Valverde Rubiños</t>
  </si>
  <si>
    <t>Albornoz Ramirez Nataly</t>
  </si>
  <si>
    <t>Fernandez Albornoz Alison</t>
  </si>
  <si>
    <t>Fernandez Albornoz Alison/Ini-4rto/4 años</t>
  </si>
  <si>
    <t>Guerra Ramirez Gustavo</t>
  </si>
  <si>
    <t>Ugarte Reyes Thiago Dahizuke</t>
  </si>
  <si>
    <t>Ugarte Reyes Thiago Dahizuke/Ini-5nto/5 años</t>
  </si>
  <si>
    <t xml:space="preserve">Rodríguez Rosales Vilma </t>
  </si>
  <si>
    <t xml:space="preserve">Chinchon Goifra Maryuri </t>
  </si>
  <si>
    <t>Medina Gomez Andrea 5a/Medina Gomez Adelina 3a/Ini-3ero/3 años</t>
  </si>
  <si>
    <t>Almercon Diaz Dayana Jeysi/Ini-5nto/5 años</t>
  </si>
  <si>
    <t>Rivera Almercon Valentina/Ini-3ero/3 años</t>
  </si>
  <si>
    <t>Vega Gaspar Lila</t>
  </si>
  <si>
    <t>Anaya Varillas Mirtha Miriam</t>
  </si>
  <si>
    <t>Vizcarra Campos Victoria Cecilia</t>
  </si>
  <si>
    <t>Auxiliar</t>
  </si>
  <si>
    <t>Ini-3ero/Auxiliar</t>
  </si>
  <si>
    <t>Lucas Asencios Yesenia</t>
  </si>
  <si>
    <t>Hidalgo Zorrilla  Guilda</t>
  </si>
  <si>
    <t>Ini-5nto/Auxiliar</t>
  </si>
  <si>
    <t xml:space="preserve">Ayala Condor Marialuisa </t>
  </si>
  <si>
    <t>Valencia Espinoza Sandra Fiorella</t>
  </si>
  <si>
    <t>Dirección</t>
  </si>
  <si>
    <t>Ini-3ero/Dirección</t>
  </si>
  <si>
    <t>Dominguez Oropeza Angelica Marilyn</t>
  </si>
  <si>
    <t>4 años/5 años</t>
  </si>
  <si>
    <t>Ini-4rto/4 años/5 años</t>
  </si>
  <si>
    <t>Villajuan Bravo Loida</t>
  </si>
  <si>
    <t xml:space="preserve">Rosario Lazaro Sheyla </t>
  </si>
  <si>
    <t xml:space="preserve">Vásquez Díaz Diana </t>
  </si>
  <si>
    <t xml:space="preserve">Medina Moreno Thania </t>
  </si>
  <si>
    <t>Rosario Lazaro Melisa Susana</t>
  </si>
  <si>
    <t>Rosa Blas</t>
  </si>
  <si>
    <t>Santa Anaya Peña</t>
  </si>
  <si>
    <t>Yareliz Daleska Garay Solis</t>
  </si>
  <si>
    <t>Yareliz Daleska Garay Solis/Ini-4rto/4 años</t>
  </si>
  <si>
    <t>Nieves Rivas Ramirez</t>
  </si>
  <si>
    <t>Rocio Mosquera Vega</t>
  </si>
  <si>
    <t>Victori Obregon Flores</t>
  </si>
  <si>
    <t>Sofia Felix Obregon</t>
  </si>
  <si>
    <t>Sofia Felix Obregon/Ini-3ero/3 años</t>
  </si>
  <si>
    <t>Rojas Bazan Yeni</t>
  </si>
  <si>
    <t>Diosdada Trejo</t>
  </si>
  <si>
    <t>Hamsu Blas Solorzano/Ini-4rto</t>
  </si>
  <si>
    <t>Minaya Miranda Yeni</t>
  </si>
  <si>
    <t>Aldair Abarca Minaya</t>
  </si>
  <si>
    <t>Aldair Abarca Minaya/Ini-3ero</t>
  </si>
  <si>
    <t>Medina Vega Edit</t>
  </si>
  <si>
    <t>Paucar Damian, María</t>
  </si>
  <si>
    <t>Saynet Arce</t>
  </si>
  <si>
    <t>Saynet Arce/Ini-4rto</t>
  </si>
  <si>
    <t>Abarca Damian Yolanda</t>
  </si>
  <si>
    <t xml:space="preserve">Andrick </t>
  </si>
  <si>
    <t>Andrick/Ini-4rto</t>
  </si>
  <si>
    <t>Wenda Vega Poma/Ini-5nto</t>
  </si>
  <si>
    <t>Garay Cristian</t>
  </si>
  <si>
    <t>Quilia Garay</t>
  </si>
  <si>
    <t>Quilia Garay/Ini-3ero</t>
  </si>
  <si>
    <t>Palacios Lopez, Jarid</t>
  </si>
  <si>
    <t>Eliel</t>
  </si>
  <si>
    <t>Eliel/Ini-4rto</t>
  </si>
  <si>
    <t>Inchicaque Maguiña, Violeta Jovit</t>
  </si>
  <si>
    <t>Dueñas Inchicaque, Eliel Falcao</t>
  </si>
  <si>
    <t>Dueñas Inchicaque, Eliel Falcao/Ini-4rto</t>
  </si>
  <si>
    <t>Rosales Jurca, Lourdes</t>
  </si>
  <si>
    <t>León Mendoza, Ayme</t>
  </si>
  <si>
    <t>Rengrifo Ruiz, Leidy</t>
  </si>
  <si>
    <t>Rosales Jucca, Lourdes</t>
  </si>
  <si>
    <t>Vara Mejia, Yasmely</t>
  </si>
  <si>
    <t>Niño, Alexander</t>
  </si>
  <si>
    <t>Vega Zapata, Angie</t>
  </si>
  <si>
    <t>Campos Camiloaga Eric Dilan/Ini-4rto</t>
  </si>
  <si>
    <t>Pineda Alvarez Anabel Aneyra/Ini-4rto</t>
  </si>
  <si>
    <t>Ramirez Amaro Ciara Itsayela/Ini-3ero</t>
  </si>
  <si>
    <t>Pineda Araujo Sunmi Anyeli/Ini-5nto</t>
  </si>
  <si>
    <t>Aquino Araujo Everton Tiago/Ini-4rto</t>
  </si>
  <si>
    <t>Alvarez Carrillo Nicolas Styben/Ini-4rto</t>
  </si>
  <si>
    <t>Alvarez Chavez Thiago Liam/Ini-4rto</t>
  </si>
  <si>
    <t>Vilca Fernandez Flormira/Ini-5nto</t>
  </si>
  <si>
    <t>Ramirez Garay Camila Sofia/Ini-4rto</t>
  </si>
  <si>
    <t>Vega Garay Beba Sarilu/Ini-4rto</t>
  </si>
  <si>
    <t>Trujillo Pineda Waly Favinho/Ini-4rto</t>
  </si>
  <si>
    <t>Fernandez Reyes Jackson Guzman</t>
  </si>
  <si>
    <t>Fernandez Reyes Jackson Guzman/Ini-5nto</t>
  </si>
  <si>
    <t>Canares Rivera Zeynep Aysel/Ini-4rto</t>
  </si>
  <si>
    <t>Gomez Ticlo Kazuma Sato/Ini-4rto</t>
  </si>
  <si>
    <t>Brioso Anaya Heydi 4a/Brioso Anaya 5a/Ini-4rto</t>
  </si>
  <si>
    <t>Brioso Ciprian Catalina/Ini-3ero</t>
  </si>
  <si>
    <t>Olivas Castillo Josue Eliaquin/Ini-4rto</t>
  </si>
  <si>
    <t>Trejo Castro Luz Adira/Ini-4rto</t>
  </si>
  <si>
    <t>Almercon Diaz Dayara Jeysi/Ini-5nto</t>
  </si>
  <si>
    <t>Huerta Garay Alessia</t>
  </si>
  <si>
    <t>Huerta Garay Alessia/Ini-3ero</t>
  </si>
  <si>
    <t>Vargas Gomez Yaceli Jana/Ini-5nto</t>
  </si>
  <si>
    <t>Medina Gomez Andrea 5a/Medina Gomez Adelina 3a/Ini-5nto</t>
  </si>
  <si>
    <t>Vasquez Huerta Daymar Bahir/Ini-5nto</t>
  </si>
  <si>
    <t>Salazar Salvador Yosfran Linder/Ini-4rto</t>
  </si>
  <si>
    <t>Valenzuela Ugarte Janiel/Ini-4rto</t>
  </si>
  <si>
    <t>Fonseca Veramendi Dafne Engell/Ini-5nto</t>
  </si>
  <si>
    <t>Torres Montes, Melisa</t>
  </si>
  <si>
    <t>Chang Torres, Leyla Liliana</t>
  </si>
  <si>
    <t>Chang Torres, Leyla Liliana/Ini-3ero/3 años</t>
  </si>
  <si>
    <t>Menacho Romero, Yoni</t>
  </si>
  <si>
    <t>Menacho Paredes, Samara Abigail/Ini-4rto/4 años</t>
  </si>
  <si>
    <t>Calderón Perez, Rocio Janeth</t>
  </si>
  <si>
    <t>Loayza Calderon, Antonella Adisson/Ini-4rto/4 años</t>
  </si>
  <si>
    <t>3,4 y 5 años</t>
  </si>
  <si>
    <t>Ini-3ero/3,4 y 5 años</t>
  </si>
  <si>
    <t>Varela Castillo, Patty</t>
  </si>
  <si>
    <t>Practicante</t>
  </si>
  <si>
    <t>Huamán Zubieta, Sophia/Ini-3ero/3,4 y 5 años</t>
  </si>
  <si>
    <t>Victorio Mora, Areztiel/Ini-4rto/3,4 y 5 años</t>
  </si>
  <si>
    <t>Cadenas Carrión, Keith/Ini-5nto/3,4 y 5 años</t>
  </si>
  <si>
    <t>Ramirez Rojas, Ismael/Ini-5nto/3,4 y 5 años</t>
  </si>
  <si>
    <t>Flores Armijo, Josefa</t>
  </si>
  <si>
    <t>Especialista UGEL Bolognesi</t>
  </si>
  <si>
    <t>Gamarra Palacios, Nataly</t>
  </si>
  <si>
    <t>Concepción Vasquez, Lady</t>
  </si>
  <si>
    <t>Alvarado Concepción, Stefano Aldair</t>
  </si>
  <si>
    <t>Alvarado Concepción, Stefano Aldair/Ini-4rto/Fresa</t>
  </si>
  <si>
    <t>Ramires Florian, Susana</t>
  </si>
  <si>
    <t>Sanchez Ramirez, Sebastian Fernando/Ini-3ero/Manzana</t>
  </si>
  <si>
    <t>Chavez Cuzcano, Vidal Julio</t>
  </si>
  <si>
    <t>Chavez Silva, Lia Isabell</t>
  </si>
  <si>
    <t>Chavez Silva, Lia Isabell/Ini-3ero/Manzana</t>
  </si>
  <si>
    <t>Camones Rivera, James</t>
  </si>
  <si>
    <t>Camones Broncano, Dimink</t>
  </si>
  <si>
    <t>Camones Broncano, Dimink/Ini-3ero/Manzana</t>
  </si>
  <si>
    <t>Camones Broncano, Price Iken</t>
  </si>
  <si>
    <t>Camones Broncano, Price Iken/Ini-5nto/Naranja</t>
  </si>
  <si>
    <t>Diaz Castillo, Said/Ini-4rto/4 años</t>
  </si>
  <si>
    <t>Villalobos Zambrano, Lisbeth/Ini-4rto/4 años</t>
  </si>
  <si>
    <t xml:space="preserve">Gina Meredith Ochoa Beltran </t>
  </si>
  <si>
    <t xml:space="preserve">7 y 8 </t>
  </si>
  <si>
    <t xml:space="preserve">Maria lázaro Padilla </t>
  </si>
  <si>
    <t xml:space="preserve">Zarelita Solano Espíritu </t>
  </si>
  <si>
    <t xml:space="preserve">Irma Abarca Rodriguez </t>
  </si>
  <si>
    <t xml:space="preserve">Liliana Villar Laverio </t>
  </si>
  <si>
    <t xml:space="preserve">Susan Rondon Granda </t>
  </si>
  <si>
    <t xml:space="preserve">Cecilia Villar Jara </t>
  </si>
  <si>
    <t xml:space="preserve">Jessely Gonzalez Jara </t>
  </si>
  <si>
    <t xml:space="preserve">Soledad de Paz Gonzales </t>
  </si>
  <si>
    <t>Daniela Andrea Montesinos</t>
  </si>
  <si>
    <t>Daniela Andrea Montesinos/Ini-4rto</t>
  </si>
  <si>
    <t xml:space="preserve">Alonso Aldave Isidro </t>
  </si>
  <si>
    <t>Alonso Aldave Isidro/Ini-4rto</t>
  </si>
  <si>
    <t xml:space="preserve">Gloria Espinoza Francisco </t>
  </si>
  <si>
    <t>David Rodriguez Espinoza/Ini-5nto</t>
  </si>
  <si>
    <t xml:space="preserve">Francisco Rodriguez Campos </t>
  </si>
  <si>
    <t xml:space="preserve">Katerin Gonzales Benites </t>
  </si>
  <si>
    <t xml:space="preserve">Milan Emil Huaratazo Gonzales </t>
  </si>
  <si>
    <t>Milan Emil Huaratazo Gonzales/Ini-3ero</t>
  </si>
  <si>
    <t xml:space="preserve">Gladis Leon Salinas </t>
  </si>
  <si>
    <t xml:space="preserve">Amilkar Leon Silva </t>
  </si>
  <si>
    <t>Amilkar Leon Silva/Ini-3ero</t>
  </si>
  <si>
    <t xml:space="preserve">Ena Castillo Bautista </t>
  </si>
  <si>
    <t xml:space="preserve">Daila Tadeo Castillo </t>
  </si>
  <si>
    <t>Daila Tadeo Castillo/Ini-3ero</t>
  </si>
  <si>
    <t xml:space="preserve">Rosmery Ticler Rafael </t>
  </si>
  <si>
    <t xml:space="preserve">Maylen Itzayana lopez Ticler </t>
  </si>
  <si>
    <t>Maylen Itzayana lopez Ticler/Ini-5nto</t>
  </si>
  <si>
    <t xml:space="preserve">Amelia Espinoza Leon </t>
  </si>
  <si>
    <t>Yaretzi Saori Palacios Espinoza</t>
  </si>
  <si>
    <t>Yaretzi Saori Palacios Espinoza/Ini-5nto</t>
  </si>
  <si>
    <t xml:space="preserve">Camila Lázaro Guillermo </t>
  </si>
  <si>
    <t>Camila Lázaro Guillermo/Ini-5nto</t>
  </si>
  <si>
    <t xml:space="preserve">Emilia Diaz </t>
  </si>
  <si>
    <t>Liam Tadeo Respicio/Ini-5nto</t>
  </si>
  <si>
    <t xml:space="preserve">Thiago de la Cruz Minaya </t>
  </si>
  <si>
    <t>Thiago de la Cruz Minaya/Ini-5nto</t>
  </si>
  <si>
    <t xml:space="preserve">Dave Julian Fufino Cueva </t>
  </si>
  <si>
    <t>Dave Julian Fufino Cueva/Ini-5nto</t>
  </si>
  <si>
    <t xml:space="preserve">Guisela Padilla Castillo </t>
  </si>
  <si>
    <t xml:space="preserve">Ainara Chavez Padilla </t>
  </si>
  <si>
    <t>Ainara Chavez Padilla/Ini-4rto</t>
  </si>
  <si>
    <t xml:space="preserve">Magali Llumi Saldaña </t>
  </si>
  <si>
    <t>Keila Luana Florian Llumi</t>
  </si>
  <si>
    <t>Keila Luana Florian Llumi/Ini-4rto</t>
  </si>
  <si>
    <t xml:space="preserve">Mathias Diaz Molina </t>
  </si>
  <si>
    <t>Mathias Diaz Molina/Ini-3ero</t>
  </si>
  <si>
    <t>Aylin Lorena Caceres Cochachin/Ini-4rto</t>
  </si>
  <si>
    <t xml:space="preserve">Jeanette Rojas Mauricio </t>
  </si>
  <si>
    <t xml:space="preserve">Alexandro Dante Rosas Rojas </t>
  </si>
  <si>
    <t>Alexandro Dante Rosas Rojas/Ini-4rto</t>
  </si>
  <si>
    <t>Belen Balarezo</t>
  </si>
  <si>
    <t xml:space="preserve">Abelina Gavino Raymundo </t>
  </si>
  <si>
    <t>Emanuel Noe Javel Raymundo</t>
  </si>
  <si>
    <t xml:space="preserve">Jasel Bastian Alva Billar </t>
  </si>
  <si>
    <t>Jasel Bastian Alva Billar</t>
  </si>
  <si>
    <t xml:space="preserve">Yalith Aldave Raymundo </t>
  </si>
  <si>
    <t>Yalith Aldave Raymundo</t>
  </si>
  <si>
    <t xml:space="preserve">Jharem Damian Moran </t>
  </si>
  <si>
    <t>Jharem Damian Moran</t>
  </si>
  <si>
    <t xml:space="preserve">Liliana Sanchez Camacho </t>
  </si>
  <si>
    <t xml:space="preserve">Yaritza Aldave Sanchez </t>
  </si>
  <si>
    <t>Yaritza Aldave Sanchez</t>
  </si>
  <si>
    <t xml:space="preserve">Jose Antonio Jara Paredes </t>
  </si>
  <si>
    <t>Jose Antonio Jara Paredes</t>
  </si>
  <si>
    <t xml:space="preserve">Ivana Raymundo Damian </t>
  </si>
  <si>
    <t>Ivana Raymundo Damian</t>
  </si>
  <si>
    <t xml:space="preserve">Yosandre Axel Raymundo Damian </t>
  </si>
  <si>
    <t>Yosandre Axel Raymundo Damian</t>
  </si>
  <si>
    <t xml:space="preserve">Angelly Alexia Paucar Mejia </t>
  </si>
  <si>
    <t>Angelly Alexia Paucar Mejia</t>
  </si>
  <si>
    <t xml:space="preserve">Jheremy Damian de la cruz </t>
  </si>
  <si>
    <t>Jheremy Damian de la cruz</t>
  </si>
  <si>
    <t>Abigail Viviana Damian Valverde</t>
  </si>
  <si>
    <t xml:space="preserve">Briannaa Espiritu Damian </t>
  </si>
  <si>
    <t>Briannaa Espiritu Damian</t>
  </si>
  <si>
    <t xml:space="preserve">Xiana Mileydi Damian Aldave </t>
  </si>
  <si>
    <t>Xiana Mileydi Damian Aldave</t>
  </si>
  <si>
    <t xml:space="preserve">Yeek Yeython Paucar Isidro </t>
  </si>
  <si>
    <t>Yeek Yeython Paucar Isidro</t>
  </si>
  <si>
    <t xml:space="preserve">Darlyne Valverde </t>
  </si>
  <si>
    <t>Darlyne Valverde</t>
  </si>
  <si>
    <t>Eudalia Mariño Pinedo</t>
  </si>
  <si>
    <t>09940578</t>
  </si>
  <si>
    <t>Abner Meza</t>
  </si>
  <si>
    <t>Abner Meza/Ini-3ero/3 años</t>
  </si>
  <si>
    <t>Joziel Zorrilla Espinoza/Ini-3ero/3 años</t>
  </si>
  <si>
    <t>Belia Nonalaya Amado</t>
  </si>
  <si>
    <t>Thais Kahori Ramirez Nonalaya</t>
  </si>
  <si>
    <t>Thais Kahori Ramirez Nonalaya/Ini-4rto/4 años</t>
  </si>
  <si>
    <t>Emil Salazar Mauri</t>
  </si>
  <si>
    <t>Espinoza Leiva, Abel</t>
  </si>
  <si>
    <t>Violeta Gaytan Araujo</t>
  </si>
  <si>
    <t>Garay Gaytan David/Ini-5nto/5 años</t>
  </si>
  <si>
    <t>Jeyco Solis Guerra</t>
  </si>
  <si>
    <t>Jeyco Solis Guerra/Ini-5nto</t>
  </si>
  <si>
    <t>Guerra Ramirez, Nicole Dayana/Ini-3ero</t>
  </si>
  <si>
    <t>Wilmer Paucar Tadeo</t>
  </si>
  <si>
    <t>Elisa Guerra Laguna</t>
  </si>
  <si>
    <t>Jael Mendoza Guerra</t>
  </si>
  <si>
    <t>Garay Diaz, Emily Ariana/Ini-4rto</t>
  </si>
  <si>
    <t>Wilson Rojas Huayta</t>
  </si>
  <si>
    <t>Harisson Rojas Chavez</t>
  </si>
  <si>
    <t>Augusto Huaman Tito</t>
  </si>
  <si>
    <t>Auxiliar de la institución</t>
  </si>
  <si>
    <t xml:space="preserve">Auxiliar de la institución </t>
  </si>
  <si>
    <t>Rodriguez Cerpa, Yamila/Ini-4rto</t>
  </si>
  <si>
    <t>Bañez Navarro, Janet Elizabeth</t>
  </si>
  <si>
    <t>Andrick Perfecto Damian</t>
  </si>
  <si>
    <t>Andrick Perfecto Damian/Ini-4rto</t>
  </si>
  <si>
    <t xml:space="preserve">Melgarejo Chavez, Yolanda </t>
  </si>
  <si>
    <t>Naim Leyva Mosquera/Ini-3ero</t>
  </si>
  <si>
    <t>Asencio Rojas, Dayahana Génesis/Ini-3ero</t>
  </si>
  <si>
    <t>Garay Duran, Jahir Leandro/Ini-3ero</t>
  </si>
  <si>
    <t>Anaya Hildalgo, Clarisa Andrea/Ini-5nto</t>
  </si>
  <si>
    <t>Victoria Obregon Flores</t>
  </si>
  <si>
    <t>Sofia Felix Obregon/Ini-3ero</t>
  </si>
  <si>
    <t>Susy Fajardo</t>
  </si>
  <si>
    <t>Adiel Mauricio Fajardo</t>
  </si>
  <si>
    <t>Adiel Mauricio Fajardo/Ini-4rto</t>
  </si>
  <si>
    <t>Justina Obregon</t>
  </si>
  <si>
    <t>Abigail Herrera Obregon</t>
  </si>
  <si>
    <t>Abigail Herrera Obregon/Ini-3ero</t>
  </si>
  <si>
    <t>Casimira Laguna Espinoza</t>
  </si>
  <si>
    <t>Gian Franco</t>
  </si>
  <si>
    <t>Gian Franco/Ini-3ero</t>
  </si>
  <si>
    <t>Eugenia Espinoza Castillo</t>
  </si>
  <si>
    <t>Joseph</t>
  </si>
  <si>
    <t>Joseph/Ini-3ero</t>
  </si>
  <si>
    <t>Tania Loarte Chavez</t>
  </si>
  <si>
    <t>Kiliam Garay Loarte</t>
  </si>
  <si>
    <t>Kiliam Garay Loarte/Ini-3ero</t>
  </si>
  <si>
    <t>Abraham Amado Rojas</t>
  </si>
  <si>
    <t>Abraham Amado Rojas/Ini-3ero</t>
  </si>
  <si>
    <t xml:space="preserve">LIZBETH ZULAYMA  PRÍNCIPE RODRÍGUEZ </t>
  </si>
  <si>
    <t>Aula Azul</t>
  </si>
  <si>
    <t>Ini-3ero/Aula Azul</t>
  </si>
  <si>
    <t>Libertad Milagritos Pantoja Guillen</t>
  </si>
  <si>
    <t xml:space="preserve">Gryss Stefany Nouchi Pariamachi </t>
  </si>
  <si>
    <t>Aula Amarillo</t>
  </si>
  <si>
    <t>Ini-3ero/Aula Amarillo</t>
  </si>
  <si>
    <t>Aula Celeste</t>
  </si>
  <si>
    <t>Ini-5nto/Aula Celeste</t>
  </si>
  <si>
    <t xml:space="preserve">CRISTINA CHUQUIHUACCHA MINAYA </t>
  </si>
  <si>
    <t>Aula Verde</t>
  </si>
  <si>
    <t>Ini-4rto/Aula Verde</t>
  </si>
  <si>
    <t>Asucena Sosa Hidalgo</t>
  </si>
  <si>
    <t>Norma Laguna Obregón</t>
  </si>
  <si>
    <t>Magali Cano Toro</t>
  </si>
  <si>
    <t>Aula Rojo</t>
  </si>
  <si>
    <t>Ini-5nto/Aula Rojo</t>
  </si>
  <si>
    <t>Jeanelle Samara espinoza blas/Ini-3ero/Aula Azul</t>
  </si>
  <si>
    <t>Ellel Abdias Livias Huayaney/Ini-3ero/Aula Azul</t>
  </si>
  <si>
    <t xml:space="preserve">Erika Paola Montesinos Isidro </t>
  </si>
  <si>
    <t xml:space="preserve">Selim Balabarca </t>
  </si>
  <si>
    <t>Selim Balabarca/Ini-4rto</t>
  </si>
  <si>
    <t xml:space="preserve">Soledad de paz Gonzales </t>
  </si>
  <si>
    <t xml:space="preserve">Daniela Andrea Montesinos </t>
  </si>
  <si>
    <t>Daniela Andrea Montesinos/Ini-3ero</t>
  </si>
  <si>
    <t>Blanca Isidro Toscano</t>
  </si>
  <si>
    <t>Alonso Aldave Isidro/Ini-3ero</t>
  </si>
  <si>
    <t xml:space="preserve">Odalit Canaza </t>
  </si>
  <si>
    <t xml:space="preserve">Abelina Raymundo Gavino </t>
  </si>
  <si>
    <t xml:space="preserve">Emanuel Jovel Raymundo </t>
  </si>
  <si>
    <t>Emanuel Jovel Raymundo/Ini-4rto</t>
  </si>
  <si>
    <t xml:space="preserve">Mary Luz Villar Raymundo </t>
  </si>
  <si>
    <t xml:space="preserve">Hansel Bastian Alva Villar </t>
  </si>
  <si>
    <t>Hansel Bastian Alva Villar/Ini-4rto</t>
  </si>
  <si>
    <t>Jose Antonio Jara Paredes/Ini-4rto</t>
  </si>
  <si>
    <t xml:space="preserve">Abigail Damian Valverde </t>
  </si>
  <si>
    <t>Abigail Damian Valverde/Ini-5nto</t>
  </si>
  <si>
    <t xml:space="preserve">Cesilia Damian </t>
  </si>
  <si>
    <t xml:space="preserve">Briana Trujillo </t>
  </si>
  <si>
    <t>Briana Trujillo/Ini-5nto</t>
  </si>
  <si>
    <t xml:space="preserve">Xiana Damian Aldave </t>
  </si>
  <si>
    <t>Xiana Damian Aldave/Ini-3ero</t>
  </si>
  <si>
    <t xml:space="preserve">Angelly Paucar Mejia </t>
  </si>
  <si>
    <t>Angelly Paucar Mejia/Ini-4rto</t>
  </si>
  <si>
    <t xml:space="preserve">Gimena de la crus Gamarra </t>
  </si>
  <si>
    <t xml:space="preserve">Jheremy Damian de la Cruz </t>
  </si>
  <si>
    <t>Jheremy Damian de la Cruz/Ini-3ero</t>
  </si>
  <si>
    <t xml:space="preserve">Zorayda Jesus Trinidad </t>
  </si>
  <si>
    <t xml:space="preserve">Daylin Aldave Jesus </t>
  </si>
  <si>
    <t>Daylin Aldave Jesus/Ini-5nto</t>
  </si>
  <si>
    <t xml:space="preserve">Bryanna Espiritu Damian </t>
  </si>
  <si>
    <t>Bryanna Espiritu Damian/Ini-3ero</t>
  </si>
  <si>
    <t xml:space="preserve">Nilda Requena Montañez </t>
  </si>
  <si>
    <t xml:space="preserve">Darlyne Valverde Requena </t>
  </si>
  <si>
    <t>Darlyne Valverde Requena/Ini-3ero</t>
  </si>
  <si>
    <t xml:space="preserve">Yudith Damian Valverde </t>
  </si>
  <si>
    <t xml:space="preserve">Jharem Moran Damian </t>
  </si>
  <si>
    <t>Jharem Moran Damian/Ini-5nto</t>
  </si>
  <si>
    <t xml:space="preserve">Yeek Paucar Isidro </t>
  </si>
  <si>
    <t>Yeek Paucar Isidro/Ini-5nto</t>
  </si>
  <si>
    <t>Ivana Raymundo Damian/Ini-5nto</t>
  </si>
  <si>
    <t xml:space="preserve">Yosender Raymundo Damian </t>
  </si>
  <si>
    <t>Yosender Raymundo Damian/Ini-4rto</t>
  </si>
  <si>
    <t>Gloria Padilla Moreno</t>
  </si>
  <si>
    <t>Aracely Padilla</t>
  </si>
  <si>
    <t>Aracely Padilla/Ini-4rto</t>
  </si>
  <si>
    <t>Anahi Valenzuela Samar</t>
  </si>
  <si>
    <t>Edyany Valenzuela</t>
  </si>
  <si>
    <t>Edyany Valenzuela/Ini-3ero</t>
  </si>
  <si>
    <t>Vanessa Rimac Saenz</t>
  </si>
  <si>
    <t>Tiara Rimac</t>
  </si>
  <si>
    <t>Tiara Rimac/Ini-3ero</t>
  </si>
  <si>
    <t>Lizbeth Huaman Andres</t>
  </si>
  <si>
    <t>Yuleisy Huaman</t>
  </si>
  <si>
    <t>Yuleisy Huaman/Ini-3ero</t>
  </si>
  <si>
    <t>Silvia Araucano Ramirez</t>
  </si>
  <si>
    <t>Emiliano Busto Araucano</t>
  </si>
  <si>
    <t>Virginia Mogollon Bañez</t>
  </si>
  <si>
    <t>Brayan Sigueñas Mogollon</t>
  </si>
  <si>
    <t>Rosales Huertas, Doris Rebeca</t>
  </si>
  <si>
    <t>Alvarado Aguirre, Deysi</t>
  </si>
  <si>
    <t>Psicóloga UGEL Bolognesi</t>
  </si>
  <si>
    <t xml:space="preserve">Espada Falero, Edith </t>
  </si>
  <si>
    <t>Rodriguez Espada, Jhana/Ini-5nto/3, 4 y 5 años</t>
  </si>
  <si>
    <t>La docente recibió los talleres 1 y 2 de manera individual por azones personales que le impidieron participar en las sesiones grupales.</t>
  </si>
  <si>
    <t xml:space="preserve">Auxiliar de la I.E.I </t>
  </si>
  <si>
    <t>Chipiana Ramos, Antonella/Ini-3ero</t>
  </si>
  <si>
    <t>Flores  Canto, Erika</t>
  </si>
  <si>
    <t>Gonzales Flores, Sander Erik y Seyli Susel</t>
  </si>
  <si>
    <t>Gonzales Flores, Sander Erik y Seyli Susel/Ini-4rto/Fresa</t>
  </si>
  <si>
    <t>Sanchez Torres, Valentín</t>
  </si>
  <si>
    <t>Alhuay Quispe, Janet</t>
  </si>
  <si>
    <t>Abarca Alhuay, Adriel Mathias</t>
  </si>
  <si>
    <t>Abarca Alhuay, Adriel Mathias/Ini-4rto/Fresa</t>
  </si>
  <si>
    <t>Paredes Sanchez, Gregoria</t>
  </si>
  <si>
    <t>Zambrano Veramendi, Hugo</t>
  </si>
  <si>
    <t>Ini-3ero/PRONOEI CHASQUITAMBO</t>
  </si>
  <si>
    <t>PRONOEI SHINQUIPAMPA</t>
  </si>
  <si>
    <t>Ini-3ero/PRONOEI SHINQUIPAMPA</t>
  </si>
  <si>
    <t xml:space="preserve">Axel Yoseth </t>
  </si>
  <si>
    <t>Axel Yoseth/Ini-4rto</t>
  </si>
  <si>
    <t xml:space="preserve">Aylin Caceres </t>
  </si>
  <si>
    <t>Aylin Caceres/Ini-3ero/3 años</t>
  </si>
  <si>
    <t xml:space="preserve">Paulina Roxana Molina Polinar </t>
  </si>
  <si>
    <t xml:space="preserve">Mathius Diaz Molina </t>
  </si>
  <si>
    <t>Mathius Diaz Molina/Ini-4rto/4 años</t>
  </si>
  <si>
    <t xml:space="preserve">Liam Tadeo </t>
  </si>
  <si>
    <t>Liam Tadeo/Ini-5nto/5 años</t>
  </si>
  <si>
    <t xml:space="preserve">Nuria Ruth Minaya </t>
  </si>
  <si>
    <t xml:space="preserve">Thiago Leonel De la cruz </t>
  </si>
  <si>
    <t>Thiago Leonel De la cruz/Ini-3ero/3 años</t>
  </si>
  <si>
    <t xml:space="preserve">Milan Huaratazo Gonzales </t>
  </si>
  <si>
    <t>Milan Huaratazo Gonzales/Ini-3ero/3 años</t>
  </si>
  <si>
    <t xml:space="preserve">Alexandro Rosas Rojas </t>
  </si>
  <si>
    <t>Alexandro Rosas Rojas/Ini-4rto/4 años</t>
  </si>
  <si>
    <t>Daila Tadeo Castillo/Ini-3ero/3 años</t>
  </si>
  <si>
    <t>Teresa Palma Tupiño</t>
  </si>
  <si>
    <t xml:space="preserve">Belen Balarezo </t>
  </si>
  <si>
    <t xml:space="preserve">Lhiam Cristobal Balarezo </t>
  </si>
  <si>
    <t>Lhiam Cristobal Balarezo/Ini-3ero/3 años</t>
  </si>
  <si>
    <t xml:space="preserve">3 y 4 años </t>
  </si>
  <si>
    <t>Ini-4rto/3 y 4 años</t>
  </si>
  <si>
    <t xml:space="preserve">Rossmeri Paucar Gamarra </t>
  </si>
  <si>
    <t>Margot Maria Umpire Puma</t>
  </si>
  <si>
    <t xml:space="preserve">Gabriel Morales Rios </t>
  </si>
  <si>
    <t xml:space="preserve">Liam Ariza Morales </t>
  </si>
  <si>
    <t>Liam Ariza Morales/Ini-5nto</t>
  </si>
  <si>
    <t>Enith Nelly Morales Cacha</t>
  </si>
  <si>
    <t xml:space="preserve">Kimberly Villar </t>
  </si>
  <si>
    <t>Kimberly Villar/Ini-4rto</t>
  </si>
  <si>
    <t xml:space="preserve">Yulissa Majipo Pizango </t>
  </si>
  <si>
    <t>Adaled ALexia Ochoa</t>
  </si>
  <si>
    <t>Adaled ALexia Ochoa/Ini-3ero</t>
  </si>
  <si>
    <t xml:space="preserve">Margot Azaña Jara </t>
  </si>
  <si>
    <t xml:space="preserve">Joel Alonso Pizango Azaña </t>
  </si>
  <si>
    <t>Joel Alonso Pizango Azaña/Ini-3ero</t>
  </si>
  <si>
    <t xml:space="preserve">Diana Susana Azaña Jara </t>
  </si>
  <si>
    <t xml:space="preserve">Kaely Amira Moran Azaña </t>
  </si>
  <si>
    <t>Kaely Amira Moran Azaña/Ini-4rto</t>
  </si>
  <si>
    <t xml:space="preserve">Chellsy Anxelina De paz Morales </t>
  </si>
  <si>
    <t>Chellsy Anxelina De paz Morales/Ini-4rto</t>
  </si>
  <si>
    <t xml:space="preserve">Gael Adrian Rubiños Ochoa </t>
  </si>
  <si>
    <t>Gael Adrian Rubiños Ochoa/Ini-4rto</t>
  </si>
  <si>
    <t>Liliana Villar Laverio</t>
  </si>
  <si>
    <t xml:space="preserve">Cryste Poma Villar </t>
  </si>
  <si>
    <t>Cryste Poma Villar/Ini-3ero</t>
  </si>
  <si>
    <t xml:space="preserve">Jeydi Valverde Gregorio </t>
  </si>
  <si>
    <t xml:space="preserve">Ederson Robles </t>
  </si>
  <si>
    <t>Ederson Robles/Ini-4rto</t>
  </si>
  <si>
    <t xml:space="preserve">Zoraida Jara Padilla </t>
  </si>
  <si>
    <t xml:space="preserve">Emmanuel Alzamora </t>
  </si>
  <si>
    <t>Emmanuel Alzamora/Ini-5nto</t>
  </si>
  <si>
    <t xml:space="preserve">Katty de la cruz Espiritu </t>
  </si>
  <si>
    <t xml:space="preserve">Zeynep Villacorta </t>
  </si>
  <si>
    <t>Zeynep Villacorta/Ini-5nto</t>
  </si>
  <si>
    <t>Aleia Solano</t>
  </si>
  <si>
    <t>Aleia Solano/Ini-3ero</t>
  </si>
  <si>
    <t>Jeremy Fabian Herrera</t>
  </si>
  <si>
    <t>Jeremy Fabian Herrera/Ini-5nto</t>
  </si>
  <si>
    <t xml:space="preserve">Julen Trinidad Solano </t>
  </si>
  <si>
    <t>Julen Trinidad Solano/Ini-5nto</t>
  </si>
  <si>
    <t xml:space="preserve">Gael Talledo </t>
  </si>
  <si>
    <t>Gael Talledo/Ini-4rto</t>
  </si>
  <si>
    <t xml:space="preserve">Irma Soledad Abarca </t>
  </si>
  <si>
    <t>Arthur Rodriguez Abarca</t>
  </si>
  <si>
    <t>Arthur Rodriguez Abarca/Ini-5nto</t>
  </si>
  <si>
    <t xml:space="preserve">Aurea Melida Aparca Rodriguez </t>
  </si>
  <si>
    <t xml:space="preserve">Juan Manuel Mautino </t>
  </si>
  <si>
    <t>Fernando Torres Chávez</t>
  </si>
  <si>
    <t>Jireth Torres Romero</t>
  </si>
  <si>
    <t>Jireth Torres Romero/Ini-5nto</t>
  </si>
  <si>
    <t>Corina Tristan Gonzales</t>
  </si>
  <si>
    <t>Ayelen Cruz Tristan</t>
  </si>
  <si>
    <t>Ayelen Cruz Tristan/Ini-4rto</t>
  </si>
  <si>
    <t>Lizzeth Ramirez Melgarejo</t>
  </si>
  <si>
    <t>Amiel Solis Ramirez</t>
  </si>
  <si>
    <t>Amiel Solis Ramirez/Ini-5nto</t>
  </si>
  <si>
    <t xml:space="preserve">Yuly Pamela Muñoz </t>
  </si>
  <si>
    <t>Janelle Espinoza Muñoz</t>
  </si>
  <si>
    <t>Janelle Espinoza Muñoz/Ini-5nto</t>
  </si>
  <si>
    <t>Dolores Dolores, Danna Shophia/Ini-4rto/4 años</t>
  </si>
  <si>
    <t>Rasga Vara, Dylan Matias/Ini-3ero/3 años</t>
  </si>
  <si>
    <t>Castillo Huaman, Euz/Ini-3ero/3 años</t>
  </si>
  <si>
    <t>Barruto Mendez, Mayse/Ini-5nto/5 años</t>
  </si>
  <si>
    <t>Tipiani Rosales, Lucas/Ini-5nto/5 años</t>
  </si>
  <si>
    <t>Palacios Rodriguez, Eliel/Ini-4rto/4 años</t>
  </si>
  <si>
    <t>Cosme Tripiani, Nazareth/Ini-4rto/4 años</t>
  </si>
  <si>
    <t>Dueñas Inchicaque, Eliel Falcao/Ini-4rto/4 años</t>
  </si>
  <si>
    <t>Romero Cadillo, Alexandro/Ini-5nto/5 años</t>
  </si>
  <si>
    <t xml:space="preserve">2 y 3 </t>
  </si>
  <si>
    <t>Montes Acha, Julia</t>
  </si>
  <si>
    <t>Vasques Burgos, Flor</t>
  </si>
  <si>
    <t>Rodriguez, Alejandra Pamela</t>
  </si>
  <si>
    <t>Jireh Torres Romero</t>
  </si>
  <si>
    <t>Jireh Torres Romero/Ini-5nto</t>
  </si>
  <si>
    <t>Amiel Solis Ramirez | Rachel Solis Ramirez</t>
  </si>
  <si>
    <t>Amiel Solis Ramirez | Rachel Solis Ramirez/Ini-5nto/3 y 5 años</t>
  </si>
  <si>
    <t>Yuly Pamela Muñoz Valenzuela</t>
  </si>
  <si>
    <t>Janelle Espinoza Muñoz/Ini-4rto</t>
  </si>
  <si>
    <t>Chavez Adelina</t>
  </si>
  <si>
    <t>Inga Fretel Deli</t>
  </si>
  <si>
    <t>Vasquez Olivas Beina</t>
  </si>
  <si>
    <t>Anaya Davila Lizeth</t>
  </si>
  <si>
    <t>Calderon Zevallos Paula</t>
  </si>
  <si>
    <t>Bazan Ocaña Flor Erika</t>
  </si>
  <si>
    <t>Ramos Salazar Kenni</t>
  </si>
  <si>
    <t>Santiago Gomez Veronica</t>
  </si>
  <si>
    <t>Anaya Davila Lisbeth Sabina</t>
  </si>
  <si>
    <t>Tolentino Gantu Antonio</t>
  </si>
  <si>
    <t>Rojas Huerta Reyna</t>
  </si>
  <si>
    <t>Mejía Huayta Luz</t>
  </si>
  <si>
    <t>Veramendi Francisco Roxana</t>
  </si>
  <si>
    <t>Solorzano Ericka</t>
  </si>
  <si>
    <t>Marzano Obregon Eva</t>
  </si>
  <si>
    <t>Yera Rojas Edita</t>
  </si>
  <si>
    <t>Anaya Chavez Nori</t>
  </si>
  <si>
    <t>Osorio Brioso Alicia</t>
  </si>
  <si>
    <t>Blas Gomez Liz</t>
  </si>
  <si>
    <t>Fajardo Garay Yulisa</t>
  </si>
  <si>
    <t>Albornoz Rojas Hermelinda</t>
  </si>
  <si>
    <t>Ubaldo Dionicio Flor</t>
  </si>
  <si>
    <t>Diaz Huerta Cindy</t>
  </si>
  <si>
    <t>Diaz Huerta Rosa</t>
  </si>
  <si>
    <t>Agurto Espinoza Esther</t>
  </si>
  <si>
    <t>Salvador Reida</t>
  </si>
  <si>
    <t>Campos Príncipe Joselin</t>
  </si>
  <si>
    <t>Salvador Gomez Reida</t>
  </si>
  <si>
    <t xml:space="preserve">Sonia Meliza Salazar </t>
  </si>
  <si>
    <t>Elizabeth Araujo Cotrina</t>
  </si>
  <si>
    <t>Dayana Araujo</t>
  </si>
  <si>
    <t>Dayana Araujo/Ini-4rto</t>
  </si>
  <si>
    <t>Hilaria Espinoza Salvador</t>
  </si>
  <si>
    <t>Enoc Espinoza</t>
  </si>
  <si>
    <t>Enoc Espinoza/Ini-3ero</t>
  </si>
  <si>
    <t>21/100/2025</t>
  </si>
  <si>
    <t>Auxiliar de la institución educativa.</t>
  </si>
  <si>
    <t>Me doy cuenta rápidamente cuando una situación en el aula me genera frustración o estrés.</t>
  </si>
  <si>
    <t>En momentos tensos, intento hacer una pausa antes de responder</t>
  </si>
  <si>
    <t>A veces me guío por los gestos de los niños/as para saber cómo se sienten.</t>
  </si>
  <si>
    <t>Cuando hay conflictos, pienso en cómo se siente cada niño/a antes de actuar.</t>
  </si>
  <si>
    <t>Hablo con mis estudiantes sobre lo que hacen bien o cuando se esfuerzan en algo.</t>
  </si>
  <si>
    <t>Cuando hay un conflicto, a veces les ayudo a entender lo que sintió el otro y pensar qué hacer.</t>
  </si>
  <si>
    <t>Algunas veces usamos juegos o actividades para hablar sobre lo que sienten los niños/as.</t>
  </si>
  <si>
    <t>Cuando tomo decisiones en el aula, pienso en lo que es justo para todos/as.</t>
  </si>
  <si>
    <t>Uso dibujos, frases o recordatorios para apoyar la convivencia en el aula.</t>
  </si>
  <si>
    <t>Reflexiono sobre lo que siento y cómo eso puede afectar cómo trato a los niños y niñas.</t>
  </si>
  <si>
    <t>Cuando me siento sobrecargado/a, me doy cuenta y trato de manejarlo o pedir apoyo.</t>
  </si>
  <si>
    <t>He notado que algunos niños/as eligen libremente los juegos, sin importar si son de niña o niño.</t>
  </si>
  <si>
    <t>Me doy cuenta de que repito frases que escuché de otros adultos sobre cómo deben comportarse niños o niñas.</t>
  </si>
  <si>
    <t>En tu experiencia docente, ¿qué tipo de situaciones emocionales te desafían más y cómo sueles abordarlas?</t>
  </si>
  <si>
    <t>De acuerdo</t>
  </si>
  <si>
    <t>Ni de acuerdo ni en desacuerdo</t>
  </si>
  <si>
    <t>En desacuerdo</t>
  </si>
  <si>
    <t>El no manejar bien el estrés, lo que hago es tomarme un tiempo a solas y sin hablar con nadie (carga laboral)</t>
  </si>
  <si>
    <t>Totalmente de acuerdo</t>
  </si>
  <si>
    <t>Son las emociones, los niños las observan de cada niño y las mencionan.</t>
  </si>
  <si>
    <t>3,4 y5 años</t>
  </si>
  <si>
    <t>Cuando los niños ante un conflicto o discrepancia se golpean siempre les menciono que las manos son para abrazar y no para golpear.</t>
  </si>
  <si>
    <t>La situación que abord es la preocupación por los niños y niñas, que hay siempre pelea entre sus compañeros y primos.</t>
  </si>
  <si>
    <t>Cuando los niños empiezan a quejarse, por ejemplo cuando ayudo un niño, el otro me dice a mi no me quiere ayudar y se pone a gritar o romper su hoja.</t>
  </si>
  <si>
    <t>Algunas veces me siento mal o triste cuando veo que alguno de mis niños no han aprendido como yo quería que aprendan o capten y para mejorar vuelvo a reforzarlos.</t>
  </si>
  <si>
    <t>Conflicto físico y palabras de agresión a sus comprensión para mejorar, implemento normas de convivencia.</t>
  </si>
  <si>
    <t>Los conflictos en el aula entre niños/as, apoyar con diferentes estrategias uno de ellos haciendo recordar las normas del aula.</t>
  </si>
  <si>
    <t>Totalmente en desacuerdo</t>
  </si>
  <si>
    <t>La pregunta no es claro para mí porque en mi experiencia hay situaciones emocionales que desafían: como con los niños, padres, colegas. Cada situación es diferente según las circunstancias las abordo.</t>
  </si>
  <si>
    <t>El estrés laboral , Trato de establecer horarios para no recargarme de trabajos.</t>
  </si>
  <si>
    <t>En los niños de 3 años experimentan la separación de la madre pueden enfrentar desafíos emocionales significativos. Para abordarlos, ofreceremos seguridad y consuelo, validar sus emociones y establecer rutinas que fomenten la comunicación. También se trabaja en colaboración con la madre y crear un ambiente cálido y seguro, podemos ayudar al niño a superar estos desafíos y desarrollar habilidades emocionales saludables. La paciencia, empatía y comprensión son clave en este proceso.</t>
  </si>
  <si>
    <t>Olinda Rojas Espinoza</t>
  </si>
  <si>
    <t>Miedo al reflexionar anticipadamente ante los conflictos. Estrés al percibir amenazas.</t>
  </si>
  <si>
    <t>Lisseth Phocco Cáceres</t>
  </si>
  <si>
    <t>Me siento desafiada cuando los niños no toman atención a lo que estamos realizando. A veces me frustro pero también pienso en que algo debe estar o no funcionando.</t>
  </si>
  <si>
    <t>el llanto o la poca tolerancia a la frustración de los niños, trato de darles su espacio, cuando se calman converso con ellos y llegamos a un acuerdo en común (ganar-ganar)</t>
  </si>
  <si>
    <t>Las situaciones emocionales me desafian con los siguientes cuando los niños se comportan mal cuando le hablas, no te escuchan tener un espacio para conversar con los niños recordarles los acuerdos del aula.</t>
  </si>
  <si>
    <t>Cuando un niño presenta conductas agresivas hacia otros compañeros lo abordo primero conversando con el niño preguntando como se siente y el porque de su actuar, lo segundo manejarlo mediante cuentos y normas de convivencia. Por último conversar con su apoderado para poder saber el contexto en casa.</t>
  </si>
  <si>
    <t>Emociones de conflicto abordo mediante el diálogo.</t>
  </si>
  <si>
    <t>Cuando hya varios niños con frustración lo que realizo es una dinámica o nos ponemos a bailar.</t>
  </si>
  <si>
    <t>Agresión física con sus pares, cuelo conversar con cada uno de ellos pero veo que no tengo apoyo en casapor los padres.</t>
  </si>
  <si>
    <t>Los conflictos, explicando</t>
  </si>
  <si>
    <t>Con los padres de familia, el padre o madre no acepta la conducta de su hijo culpa al docente.</t>
  </si>
  <si>
    <t>Como manejar las conductas de los niños en el aula.</t>
  </si>
  <si>
    <t>La alegria, la tristeza, aceptando las cosas que pasan y comprender y respirar profundamente.</t>
  </si>
  <si>
    <t>Cuando todos los niños estan alborotados, sobreestimulados y no basta con una estrategia básica como cantar para calmarlos. Eso es un poco difícil de sobrellevar porue a veces me genera frustración, pero trato de respirar y analizar bien que estrategias usar para llamar su atención y bajar todas sys eociones descontroladas.</t>
  </si>
  <si>
    <t>Hay niños que tieden a tener conflictos y actúan de manera violenta con los demás ( empuja, se pelean entre ellos)</t>
  </si>
  <si>
    <t>La frustación, busco tutoriales</t>
  </si>
  <si>
    <t>Los berrinche, espero que tome su tiempo, luego conversamos</t>
  </si>
  <si>
    <t>Muchas de las veces se me termina la paciencia , trato de controlarlos tomando la calma .</t>
  </si>
  <si>
    <t>Cuando hay conflictos trató de combersar siempre</t>
  </si>
  <si>
    <t>Cuando observo abandono de padres hacia sus hijos e hijas, los invito a los padres de familia a mi Dirección para dialogar, orientar, sugerir para que atienden a sus hijos e hijas con respeto y amor.</t>
  </si>
  <si>
    <t>Las situaciones de ira de algunos niños q traen desde la casa</t>
  </si>
  <si>
    <t>Todavía me cuesta el hecho de resolver conflictos, tengo pequeñxs a los que le cuesta pedir disculpas o darse cuenta de lo que han hecho a sus compañerxs.</t>
  </si>
  <si>
    <t>Cuando una niña trata mal verbalmente siempre a otra niña y trato de conversar con la niña si le gustaría que le tratarán así a ella hacerle entender tanto a ella como a otros niños a través de diálogos cuentos y juegos, entre otros</t>
  </si>
  <si>
    <t xml:space="preserve">Hermelinda Esther Espinoza Pineda </t>
  </si>
  <si>
    <t>Bueno yo tengo un niño muy conflictivo,pero trato conversar mucho con el</t>
  </si>
  <si>
    <t>La tristeza, la alegría, los conflictos. Aceptando la realidad con paciencia y tranquilidad.</t>
  </si>
  <si>
    <t>Aún no logro empatizar sobre su conducta que es más fuerte en cuanto a la agresividad y el cómo calmarlos se me dificulta. Pero trato de hablar directamente con ellos, sentarme y ponerme a su nivel sentandome a su lado y le pregunto si está bien lo que está diciendo y actuando.</t>
  </si>
  <si>
    <t xml:space="preserve">Inicial - Jardín </t>
  </si>
  <si>
    <t>020010</t>
  </si>
  <si>
    <t>Hasta el momento no he tenido dificultades, pero tengo un estudiante que suele ser agresivo con sus demás compañeras.</t>
  </si>
  <si>
    <t>Las situaciones que me desafían mayormente son cuando los estudiantes suelen ser inquietos, no siguen órdenes o indicaciones, o cuando suelen agredir a sus compañeros. Frente a esas situaciones suelo hablar con el niño y explicarle como es que sus acciones repercuten en los demás o cómo puede afectar el desarrollo de la clase.</t>
  </si>
  <si>
    <t>La situación emocional que me desafía es que hay niños que no se expresan sobre sus emociones o de cómo se sienten.</t>
  </si>
  <si>
    <t>En mi experiencia laboral como docente tuve distintos casos emocionales, una de ellas que fue más violento es cuando un niño era impulsivo que se aferraba de todas las cosas y no quería compartir cuando se le solicitaba para que comparta se ponía ha revolcarse, gritar, tirar las cosas, etc.
 Eso fue lo que me desafiaba, pero al separarle a un espacio solo para él, me funcionaba, porque empezaba a trabajar tranquilo.</t>
  </si>
  <si>
    <t>Los conflictos entre niños y siempre trato de conversar con los niños primero y luego con los padres de familia.</t>
  </si>
  <si>
    <t>Control de emociones por los estudiantes (ira, tristeza), suelo abordarlo conversando con los niños y niñas, vemos reflexiones y sobre todo videos que muestran el comportamiento de los estudiantes.</t>
  </si>
  <si>
    <t>Como auxiliar de educacion que observo en el recreo en los niños de la IEI 416 Huaripampa Bajo, es la agresividad entre niños pero a eso los padres no lo asimilan lo que son sus niños, y no quieren apoyar en casa.</t>
  </si>
  <si>
    <t>El estrés: En ocasiones se presentan conflictos entre estudiantes y ello origina que la sesion se desvie o tenga que hacer una pausa obligatoria. Suelo abrodarlo manteniendo la calma, respiro profundo e intervengo. En caso tenga estres acumulado, opto por hacer o practicar actividades que son de mi agrado: escuchar musica y bailar.</t>
  </si>
  <si>
    <t>1. Conflictos entre estudiantes: discusiones, peleas. 2. Ansiedad o estres. 3. Problemas personales.</t>
  </si>
  <si>
    <t>Los tipos de situaciones emocionales que observo en los niños son: agresividad con sus compañeros, intolerantes y la falta de habitos de higiene.</t>
  </si>
  <si>
    <t>Las situaciones que se presentan muchas veces es que tienen baja autoestima, niños toscos y agresivos por momentos.</t>
  </si>
  <si>
    <t>En algunos casos entender a los padres de familia en algunas conductas inadecuadas. Bueno, como docente, siempre darles un buen trato. Trato de regular mis emociones frente a la situacion y el contexto.</t>
  </si>
  <si>
    <t>En mi experiencia como docente siempre tuve emociones cuando mis niños llegan con diferentes ocurrencias y siempre les hablaba para que sean asi.</t>
  </si>
  <si>
    <t>Bueno, que los niños y niñas son muy agresivos, juegan muy violentos y que les dificulta bastante escuchar. Aunque todos en la institucion, todos los docentes tratamos de manejar de la mejor manera las cosas.</t>
  </si>
  <si>
    <t>Las limitaciones de no tener materiales educativos en el aula, suficientes como para lograr las competencias en los niños, trato de buscar soluciones elaborando los materiales con ayuda de los padres con materiales de la zona.</t>
  </si>
  <si>
    <t>La actitud sobre como les cuestiono sobre su comportamiento impulsivo, ya sea físicos o verbales de manera tosca, siento que la violencia es a su día a día y poder poner límites o corregir ese tipo de actitudes es un desafío.</t>
  </si>
  <si>
    <t>Manejo de emociones.</t>
  </si>
  <si>
    <t>En algunas actitudes y comportamientos de los niños, trato de indagar con las mamás lo que esta pasando en casa.</t>
  </si>
  <si>
    <t>Cuando noto a niños engreídos que tienen padres muy permisivos, pues considero que los niños deben tener algunos límites. Frente a ello, los dejo que reflexionen y dialogamos sobre las consecuencias.</t>
  </si>
  <si>
    <t>Cuando los niños no hacen caso y pelean. Trato de calmarlos y hacer juegos de como respirar y exhalar varias veces.</t>
  </si>
  <si>
    <t>La situacion de Said, cuando tira las cosas constantemente y también cuando escupe. Con dinámicas y juegos que les distrae y también lo trato con mucho cariño y amor, cuando esta en constante movimiento.</t>
  </si>
  <si>
    <t>Cuando los niños y niñas se enojan y reaccionan de diferentes formas, tiran las cosas, golpean, se tiran al suelo, gritan. Yo como docente hago que el niño o niña gestione sus emociones y luego reflexionamos de sus actitudes.</t>
  </si>
  <si>
    <t>En momentos de estres trato de conducir lo mejor mis emociones con mis estudiantes para que haya amor en mi aula.</t>
  </si>
  <si>
    <t>Cuando un niño viene triste o llora de la nada o me cuenta que sus papás pelean. En ese tipo de situaciones los abordo con empatía, respeto, tratando de brindar el soporte necesario para poder calmar y ayudar. No solo estar presente en el plano académico, sino también en el plano emocional.</t>
  </si>
  <si>
    <t>Cotilllo Flores, Silvia Evelyn</t>
  </si>
  <si>
    <t>Cuando los padres de familia no valoran el empeño que le pongo al trabajo de los niños, siento que siempre buscan una falla.</t>
  </si>
  <si>
    <t>Rodriguez Saldaña, Alejandra Pamela</t>
  </si>
  <si>
    <t>Manejar mal el aula, a veces hay cosas que desconozco pero pido apoyo para mejorar.</t>
  </si>
  <si>
    <t>Son los niños hiperactivos, es un reto pero siempre me ha tocado al menos 1 en aula y con el trabajo y apoyo de los padres vamos mejorando.</t>
  </si>
  <si>
    <t>El trabajo con niños TEA, trato de mirarlos a los ojos y darles contención, respirar con ellos, reflexionar sobre la acción realizada y mostrar lo que causó con su actuar.</t>
  </si>
  <si>
    <t>Solis Raymundo, Katherine</t>
  </si>
  <si>
    <t>Cuando no se cómo manejar la crisis de un estudiante.</t>
  </si>
  <si>
    <t>El tema de lograr que los niños logren compartir y jugar en equipo, intento que hablen y entiendan para que puedan jugar sin pelear</t>
  </si>
  <si>
    <t>Navarro Huerta Julissa</t>
  </si>
  <si>
    <t>Me genera estrés la documentación pero intento manejarlo</t>
  </si>
  <si>
    <t>Si hay problema, aprender a manejar tus emociones, respirar 5 minutos y solucionar el problema.</t>
  </si>
  <si>
    <t>Son más con los PPFF pero trato de abordarlo hablando con ellos en reuniones</t>
  </si>
  <si>
    <t>En otro centro laboral tenia una situación dificil con los niños, tuve que hablar con los padres y solicitar apoyo del directo para poder solucionarlo.</t>
  </si>
  <si>
    <t>Odalit Asuncion Canaza MInaya</t>
  </si>
  <si>
    <t>Los niño mayormente expresan frustracion y enojo cuando algo les sale mal. Los invitamos a la calma, respirar profundamente y lo consolamos escuchandolo y abrazándolo.</t>
  </si>
  <si>
    <t>Belen Flormaria Balarezo Dolores</t>
  </si>
  <si>
    <t>Conflictos entre estudiantes como fomentar el dialogo, escuchando ambas partes y proponiendo soluciones a traves de la autoreflexion de los estudiantes. Tambien estableciendo acuerdos formulado por los estudiantes y que ellos lo pongan en práctica para mejorar la convivencia en el jardín.</t>
  </si>
  <si>
    <t>No hubo respuesta</t>
  </si>
  <si>
    <t>La sobrecarga laboral me genera una situacion de estres, teniendo que organizar de manera constante mi horario y he optado por desconectarme algunas horas por la tarde, asimismo, cuando se presentan algunas situaciones en el hogar que afectan a los niños me genera tristeza, logrando conversar con las madres de familia, niños y niñas.</t>
  </si>
  <si>
    <t xml:space="preserve">Rossmeri Diana Paucar Gamarra </t>
  </si>
  <si>
    <t>Cuando los niños cuentan que hay problemas en su casa y los transmiten en el aula con sus compañeros. Hablar con sus padres lo que transmite tanto emocionalmente y comportamiento.</t>
  </si>
  <si>
    <t>Las de tristeza y frustracion, ya que son poco controlables y se dan cuando uno planifica o acuerdo con los niños y ellos no cumplen y genera un clima incomodo de peleas entre ellos, en este trato de reflexionar junto con ellos para que mencionen si estos actos estan bien o mal, y se den cuenta de sus acciones buscando mejorar.</t>
  </si>
  <si>
    <t>En mi aula tengo una niña que pega a sus compañeros y cuanod quiero llamarle la atencion me dice cállate no quiero hablar contigo. En mi aula tengo un niño que cuando lo dejas solo por un momento se desespera y empieza a abotar las cosas y tirar con una colera a sus compañeros y profesora estos dos casos son casos que se me hace dificil pero no imposible para cambiar la actitud del niño</t>
  </si>
  <si>
    <t>Elva Cecilia Diaz Tuesta</t>
  </si>
  <si>
    <t>Cuando surgen situaciones de descontrol en el aula (conflictos, desorden, desisnteres). Lo sueloabordar pensando siempre en los alumnos ( como se siente en ese momento, que quieren hacer)</t>
  </si>
  <si>
    <t xml:space="preserve">Juan Manuel Martino Blacido </t>
  </si>
  <si>
    <t>Sobrecargo de trabajo que podrian producir estres laboral. El cual suelo abordar haciendo unas pausas para tratar de controlarlos.</t>
  </si>
  <si>
    <t>Cuando algunos padres pierden el control en sus actitudes, no controlan sus emociones, ellos tienen la razón. Lo abordo con bastante tino, no suelo perder el control, pienso que esa madre tiene algún problema en casa.</t>
  </si>
  <si>
    <t>Cuando mis estudiantes suelen venir al aula cuando papá o mamá les pegó, el niño toda las actividades suele estar agresivo, frustado, no puedo controlar su conducta.</t>
  </si>
  <si>
    <t>Cuando un niño se muestra triste o frustado no logra expresarse y adaptarse al grupo. Hago un esfuerzo para que se adapte al grupo y siempre son atendidos.</t>
  </si>
  <si>
    <t>Cuando los niños y niñas no comparten los juegos o juguetes y se ponen a llorar, se me hace un trabajo a largo plazo para poder lograr que compartan, pero con ejemplos vivenciales se logra.</t>
  </si>
  <si>
    <t>El enojo, luego reflexiono y pienso antes de hablar para no dañar sus emociones de mis niños.</t>
  </si>
  <si>
    <t>Cuando presentan conductas disruptivas asociado a la autoregulación, me pongo en el lugar de ellos antes de actuar, hablo con ellos de lo que esta pasando y les ayudo a entender y reflexionar, enseño autoregularse a través de juegos, sesiones de relajamiento y otros métodos acorde a su edad.</t>
  </si>
  <si>
    <t>A veces los padres tienen conductas no adecuadas, quieren faltar el respeto a otros niños, lo abordo con mucha tranquilidad esperando que se calme la persona para luego conversar.</t>
  </si>
  <si>
    <t>La agresividad de los niños y niñas, ya que al golpearse, morderse, empujarse algunas veces salen lastimados, luego los padres se quejan eso me desespera, me frusta mucho, solo limito escucharlos y decirles que voy a tener cuidado.</t>
  </si>
  <si>
    <t>En mi labor docente observo cuando un niño esta triste, miedoso al momento de llegar al jardin. Luego observo el enojo y los conflictos que se presenta durante la permanencia.</t>
  </si>
  <si>
    <t>Que los niños se comporten mal y que no atiendan a las clases con muchas estrategias trato de abordarlo y con reuniones con padres de familia y de Crecemos con Amor ayuda bastante.</t>
  </si>
  <si>
    <t>Conflictos en la hora del recreo por los juegos sólidos que tenemos. Como docente trarto de hacer que todos compartan los juegos y recordando siempre que se debe compartir los juguetes, recordando los acuerdos en la hora del juego.</t>
  </si>
  <si>
    <t>Situaciones donde los niños requieren más atención o son engreídos en casa y lo demuestran en el aula y desean que el adulto haga o realice todo lo que ellos quieran. Yo les doy un poco de tiempo, los busco de a ratos, les doy espacio para que cambien sus emociones. Poco a poco me voy acercando más.</t>
  </si>
  <si>
    <t>Cuando los niños ingresan y noto su semblante diferente. Trato de conversar por qué esta así, luego converso con los padres.</t>
  </si>
  <si>
    <t>Las situaciones de desafío es mediante el diálogo con los padres de familia.</t>
  </si>
  <si>
    <t>Ser comprensiva con los niños y hacerles entender para sobresalir de situaciones incómodas.</t>
  </si>
  <si>
    <t>Yoany Luciana Palomino Pineda</t>
  </si>
  <si>
    <t>Las situaciones más desafiantes fueron: Cuando los estudiantes empezaron a contarme situaciones que los hacían sentir alguna emoción (tristeza, sobre todo) y que eran muy fuertes incluso para mí porque estaban relacionadas a violencia en el hogar; en ese momento, fue primordial poder regularme casi al instante, ya que me tocó una fibra sensible puesto que son situaciones que no deberían ver niños de una edad tan temprana, lo que hice además fue buscar palabras fáciles de entender y que no puedan entenderse de otra forma para ellos porque pueden hablarlo con sus padres, el decirles que estoy ahí, abrazarlos si querían o decirles qué querían hacer para sentirse calmados o felices.</t>
  </si>
  <si>
    <t>Hermelinda Esther Espinoza Pineda</t>
  </si>
  <si>
    <t>Soy una persona que soy muy atenta lo que pasa con mis niños y así para poder ayudarla</t>
  </si>
  <si>
    <t>La agresividad entre estudiantes, dialogando y haciéndoles entender</t>
  </si>
  <si>
    <t xml:space="preserve">Rosita Diana Portella Moreno </t>
  </si>
  <si>
    <t>Bueno suele ser cuando un niño o niña muestra frustración o desinterés ante el aprendizaje para ello es importante escuchar sin juzgar, tratar de comprenderlo ofrecerle apoyo entre otros.</t>
  </si>
  <si>
    <t>Las situaciones que más me desafían son las relacionadas con la frustración, especialmente en niños que no saben aún canalizar lo que sienten. Para acompañarlos, valido sus emociones, los ayudo a respirar y reflexionar, y trabajo la empatía para que comprendan lo que viven ellos y sus compañeros. Además, apoyo con recursos como lenguaje emocional simple, juegos de autocontrol y un espacio de calma para favorecer su autorregulación</t>
  </si>
  <si>
    <t>Conductuales con acuerdos</t>
  </si>
  <si>
    <t>Las malas conductas de los niños , conversando con los padres de familia y hablando con los mismos niños en el aula sobre el tema.</t>
  </si>
  <si>
    <t>Hay estudiantes en descuido de parte de sus padres, para próximo año voy a reunir a los ppff. Cada bimestre para sensibilizar.</t>
  </si>
  <si>
    <t>Los conflictos entre los niños, yo suelo llamarlos para tratar de conversar y saber cómo se sienten, también les pregunto cómo creen que se sienten sus compañeros.</t>
  </si>
  <si>
    <t>Cuando se genera conflictos en el aula entre niños. Permito a los niños que reflexionen sobre su actuar para que ellos mismos puedan dar solucion al problema.</t>
  </si>
  <si>
    <t>El temor a que mis estudiantes se pueden caer y lastirmarse. Trato que los niños sean autonomos y darles confianza.</t>
  </si>
  <si>
    <t>En las de frustracion, ya que en este momento no se como actuar, dandome un momento quizas para respirar y reflexionar en lo que puedo hacer para que la decision que vaya a tomar sea lo mejor.</t>
  </si>
  <si>
    <t>La sobrecarga laboral, en ocasiones me genero estrés, sin embargo trato de organizar mejor mi horario para tener actividades de ocio. Asimismo, al estar lejos de mi familia, en ocasiones me genera nostalgia, tristeza, para lo cual me mantengo en constante comunicacion con ellos. Del mismo modo, al escuchar como los niños se sienten al ser castigados en casa, trato de darles soporte y contencion emocional.</t>
  </si>
  <si>
    <t>Cuando observo la agresividad antes sus compañeros. Hablo con sus padres para saber que está pasando en casa. Hablar con el niño o niña que debe respetar los acuerdos.</t>
  </si>
  <si>
    <t>Cuando a pesar de las estrategias que use, no veo algun cambio en el niño, situacion que me frustra porque no se que más hacer. Suelo detenerme un momento para descansar, y cuando esté mas tranquila puedo pensar con mas claridad</t>
  </si>
  <si>
    <t>Tengo una niña que pelea con sus compañeros, antes los niños no reaccionaban pero ahora si lo hacen. Frente a esta situacion hablo con los niños y pregunto que pasó y si no quieren contarme, espero hasta que se tranquilice y luego conversamos cuando están tranquilos y pongo un compromiso.</t>
  </si>
  <si>
    <t xml:space="preserve">Juan Manuel Mautino Blacido </t>
  </si>
  <si>
    <t>Generalmente la hiperactividad y trato de realizar la calma, paulatinamente a traves de la sugerencia de los juegos tranquilos.</t>
  </si>
  <si>
    <t>Los estados emocionales de mis niños cuando vienen al jardin hablo con ellos, como se sienten, por qué muestran esa carita de tristeza o precoupado o asustado y le damos abrazos diciendoles que todo esta bien.</t>
  </si>
  <si>
    <t>Ayudar a regular las emociones de los estudiantes neurodiversos, el descuido de los padres con sus hijos. Siento cansancio, salgo a tomar aire y a dar las recomendaciones precisas</t>
  </si>
  <si>
    <t>Participación activa con las madres de familia con las actividades programadas de la institución.</t>
  </si>
  <si>
    <t>El trabajo con los padres de familia muchas veces no respetan acuerdos y trato de sensibilizarlos para que se integren y trabajen en equipo</t>
  </si>
  <si>
    <t>La falta de responsabilidad de los padres de familia por no traer sus materiales completos para sus hijos, y como docente tengo que hacer lo posible para trabajar con mis niños para asi lograr su aprendizaje</t>
  </si>
  <si>
    <t>Los padres no tienen manejo de emociones y se exaltan cuando hay alguna incomodidad o le pasa lafun incidente pero como docente trato de explicar con tranquilidad</t>
  </si>
  <si>
    <t>Conflicto con los materiales y juegos. Promuevo que hablen entre ellos, aplico estrategias de respiración. Luego converso para que entienda como se siente la otra persona.</t>
  </si>
  <si>
    <t>Hay ocasiones donde los niños tienen mucha energia y eso me agota fisica y mentalmente. Trato de tener actividades tranquilas por la tarde. Con las docentes trato de dat mi opinión y llegar a un punto medio</t>
  </si>
  <si>
    <t>Busco apoyar a todos mis estudiantes por igual, es complicado pero hago el intento</t>
  </si>
  <si>
    <t>El poco apoyo de los padres hacia sus hijos, no hay compromiso. Trato de ponerme en el lugar de cada niño-a. tambien les doy confianza y cariño para que se sientan seguros de si mismos y amados.</t>
  </si>
  <si>
    <t>Una madre de familia y su abuela de la niña no entendieron que la actividad programada era solo para los niños y sentí frustración por como se llevó la conversación.</t>
  </si>
  <si>
    <t>Hasta ahora no he tenido mayores dificultades; sin embargo, tengo un estudiante que en ocasiones muestra conductas agresivas hacia sus compañeras. Ya ha recibido acompañamiento de la psicóloga y, gracias a ello, estamos viendo avances en su comportamiento y en la convivencia con los demás.</t>
  </si>
  <si>
    <t>Aquellas situaciones donde los niños incitan a hablar temas no adecuados para su edad. Siempre me siento a conversar con ellos y explicar la situación de forma clara.</t>
  </si>
  <si>
    <t>La situación que más me desafía es que una niña no participa y llora por todo y la suelo abordar, tratando de que se comunique y saber que es lo que esta pasando en su hogar.</t>
  </si>
  <si>
    <t>El vocabulario de los niños al escuchar a sus padres , tíos u otro familiar o en la calle cuando hablan jergas, para ellos es un chiste y al hablarlo son más de uno. Lo cual lo abordaría hablando en escuelas para padres, para que ayuden a sus niños de como debe ser un niño y no hablar esas palabras delante de ellos, si es que sus hijos hablan corregirlos que esas palabras no se hablan.</t>
  </si>
  <si>
    <t>En mi experencia las situaciones emocionales que me desafían son: que tengo niñas muy consentidas por los padres, que sus padres acepten todo lo malo que hacen y eso es lo que me frustra.</t>
  </si>
  <si>
    <t>El desafío que más tengo en mi aula es la falta de regulación de emociones (Frustración, ira y rabia), lo que hago es ayudarlo a tranquilizarse llevandole a un espacio seguro donde pueda conversar con los estudiantes y enseñarles la emoción que está sintiendo y las consecuencias que esta puede generar para los demás.</t>
  </si>
  <si>
    <t>Como auxiliar de educación, he observado durante el recreo que algunos niños de la IEI 416 Huaripampa Bajo presentan conductas agresivas entre ellos. Sin embargo, algunos padres aún no reconocen estas situaciones en sus hijos y muestran poca disposición para reforzar el acompañamiento desde casa.</t>
  </si>
  <si>
    <t>Ultimamente procuro mantener la calma: respiro profundo e intervengo con serenidad. Si siento que he acumulado estrés, recurro a actividades que disfruto.</t>
  </si>
  <si>
    <t>En algunos casos he identificado que ciertos estudiantes atraviesan dificultades personales, lo que influye en su estado emocional y en su desempeño diario.</t>
  </si>
  <si>
    <t>Las principales situaciones emocionales que observo en los niños son la agresividad hacia sus compañeros y la poca tolerancia. A algunos padres aún les resulta difícil tomar conciencia de la importancia de reforzar estos aspectos desde casa.</t>
  </si>
  <si>
    <t>Con frecuencia se presentan situaciones relacionadas con baja autoestima, así como comportamientos toscos o agresivos en algunos niños.</t>
  </si>
  <si>
    <t>En algunos casos resulta retador comprender ciertas conductas inadecuadas de algunos padres de familia. Sin embargo, como docente, a lo largo del año he procurado mantener un trato respetuoso y cordial. También busco regular mis emociones según la situación y el contexto para responder de manera adecuada.</t>
  </si>
  <si>
    <t>En mi experiencia como docente, siempre procuro acompañar a mis niños cuando llegan con distintas ocurrencias. Les hablo con naturalidad para que se sientan en confianza y puedan expresarse de la misma manera.</t>
  </si>
  <si>
    <t>Lo más retador de este año ha sido que varios niños y niñas presentan comportamientos muy agresivos y tienen dificultades para escuchar. Aun así, en la institución todos los docentes hacemos nuestro mejor esfuerzo por manejar estas situaciones de manera adecuada y brindar un buen acompañamiento.</t>
  </si>
  <si>
    <t>Hemos tenido algunas limitaciones, como la escasez de materiales educativos suficientes para trabajar adecuadamente las competencias en los niños. Sin embargo, he logrado elaborar recursos con apoyo de los padres de familia, utilizando materiales de la zona y llegando a acuerdos con ellos, explicándoles que este trabajo es en beneficio de sus hijos</t>
  </si>
  <si>
    <t>He percibido que muchos de mis estudiantes conviven con situaciones de violencia en su día a día, por lo que establecer límites y corregir estas conductas representa un verdadero desafío.</t>
  </si>
  <si>
    <t>El manejo de las emociones en mis estudiantes es un aspecto importante, pues son niños pequeños y requieren del acompañamiento constante de sus padres para desarrollarlo adecuadamente</t>
  </si>
  <si>
    <t>Sección</t>
  </si>
  <si>
    <t>Indicador</t>
  </si>
  <si>
    <t>Nivel</t>
  </si>
  <si>
    <t>Observaciones</t>
  </si>
  <si>
    <t>Prácticas en aula</t>
  </si>
  <si>
    <t>Rutinas SEL visibles</t>
  </si>
  <si>
    <t>Nivel 3</t>
  </si>
  <si>
    <t>Modelado del lenguaje emocional</t>
  </si>
  <si>
    <t>Estrategias de regulación emocional</t>
  </si>
  <si>
    <t>Promoción de la voz estudiantil</t>
  </si>
  <si>
    <t>Sistemas escolares</t>
  </si>
  <si>
    <t>Visión institucional de SEL</t>
  </si>
  <si>
    <t>Nivel 2</t>
  </si>
  <si>
    <t>Liderazgo en SEL</t>
  </si>
  <si>
    <t>Formación del personal</t>
  </si>
  <si>
    <t>Participación familiar</t>
  </si>
  <si>
    <t>Evaluación y uso de datos</t>
  </si>
  <si>
    <t>Nivel 4</t>
  </si>
  <si>
    <t>Nivel 1</t>
  </si>
  <si>
    <t>No hay recursos</t>
  </si>
  <si>
    <t xml:space="preserve">Escaso abordaje por la UGEL </t>
  </si>
  <si>
    <t xml:space="preserve">Reuniones de aula </t>
  </si>
  <si>
    <t>HUARIPAMPA MEDIO</t>
  </si>
  <si>
    <t>Frecuencia (Autoconciencia)</t>
  </si>
  <si>
    <t>Acciones observables (Autoconciencia)</t>
  </si>
  <si>
    <t>Frecuencia (Autorregulación)</t>
  </si>
  <si>
    <t>Acciones observables (Autorregulación)</t>
  </si>
  <si>
    <t>Frecuencia (Conciencia social)</t>
  </si>
  <si>
    <t>Acciones observables (Conciencia social)</t>
  </si>
  <si>
    <t>Frecuencia (Habilidades relacionales)</t>
  </si>
  <si>
    <t>Acciones observables (Habilidades relacionales)</t>
  </si>
  <si>
    <t>Frecuencia (Toma de decisiones responsables)</t>
  </si>
  <si>
    <t>Acciones observables (Toma de decisiones responsables)</t>
  </si>
  <si>
    <t>Sí</t>
  </si>
  <si>
    <t>Regularmente</t>
  </si>
  <si>
    <t>Explora los gustos de los niños/as, recogiendo sus opiniones y ejecutando actividades de acuerdo a ello.</t>
  </si>
  <si>
    <t>Siempre</t>
  </si>
  <si>
    <t>Invita a los niños/a a hacer uso de la respiración para conectar con la calma en momentos de transición de juegos de movimiento al aula.</t>
  </si>
  <si>
    <t>Invita a reconocer a los niños/as cuando un compañero no quiere hacer algo</t>
  </si>
  <si>
    <t>Fomenta actividades de juego grupales y las acompaña.</t>
  </si>
  <si>
    <t>Algunas veces</t>
  </si>
  <si>
    <t>Establece consecuencias tales como retirar un objeto si el niño/a se esta distrayendo con ello y hace que los niños/as reflexionen sobre ello.</t>
  </si>
  <si>
    <t>Cuenta con un espacio del aula para el reconocimiento de emociones e invita a los niños/as a utilizarlo.</t>
  </si>
  <si>
    <t>Cuenta con un espacio para que los niños puedan colocar cómo se sienten y en qué nivel</t>
  </si>
  <si>
    <t xml:space="preserve">Propone casos en los cuales los niños/as imaginan cómo se sentiría el personaje </t>
  </si>
  <si>
    <t>Establece actividades grupales y hace recordatorios sobre los acuerdos de conviencia.</t>
  </si>
  <si>
    <t>Invita a los niños a guardar las cosas de forma ordenada y por turnos.</t>
  </si>
  <si>
    <t>Explora los gustos de los niños/as y los invita a participar compartiendo con los demás compañeros.</t>
  </si>
  <si>
    <t>Hace una pausa cuando los niños/as estan interrumpiendo la participación de otros niños/as y les indica que en otro momento participaran</t>
  </si>
  <si>
    <t>Invita a los niños/as a escuchar a sus compañeros y esperar su turno.</t>
  </si>
  <si>
    <t>Cuenta con un cuadro de responsabilidades el cual utiliza durante las clases y los niños/as identifican y ejecutan las tareas.</t>
  </si>
  <si>
    <t>Promueve las voces de los niños/as buscando que construyan sus propios intereses sobre  los temas planteados a través de preguntas.</t>
  </si>
  <si>
    <t xml:space="preserve">Acompaña a un niño cuando le cuesta separarse de su familiar en el momento de ingreso a la escuela. Se agacha a su nivel, y lo invita a participar en otras actividades. </t>
  </si>
  <si>
    <t>Reconoce las diferencias de los niños/as y da espacio a ello, en ciertas situaciones, por ejemplo, respeta que un niño no quiera jugar si es que siente mal.</t>
  </si>
  <si>
    <t>Fomenta los juegos grupales y acompaña en el proceso, alentando interacciones positivas entre los mismos niños/as.</t>
  </si>
  <si>
    <t>Invita a los  niños/as a guardar los juguetes para dar inicio a las actividades dentro de clase.</t>
  </si>
  <si>
    <t>Acompaña a los niños/as en momentos de dificultad y los ayuda a poner en palabras sus emociones.</t>
  </si>
  <si>
    <t>Acompaña a los niños/as en momentos de dificultad preguntándole cómo se sienten</t>
  </si>
  <si>
    <t>Invita a los niños/as a pensar como se siente la otra persona con sus acciones.</t>
  </si>
  <si>
    <t>Invita a los niños/as a observar las consecuencias de sus acciones.</t>
  </si>
  <si>
    <t>Habla de las emociones con sus estudiantes y se apoya de recursos lúdicos tales como peluches que favorecen la asociación entre los niños/as.</t>
  </si>
  <si>
    <t>Acompaña a los niños/as en momentos de dificultad de forma respetuosa.</t>
  </si>
  <si>
    <t>Enfatiza en cómo se sienten los demás cuando ocurre una situación de dificultad para fomentar acciones amables hacía el otro.</t>
  </si>
  <si>
    <t>Invita a los niños/as a  observar las consecuencias de sus acciones.</t>
  </si>
  <si>
    <t>Explora las emociones de sus estudiantes al inicio de la clase.</t>
  </si>
  <si>
    <t>En momentos de transición acompaña a los niños/as con canciones.</t>
  </si>
  <si>
    <t>Cuenta con material visual para que las niñas sepan que emoción estan sintiendo y ante algún incidente utiliza ese recurso</t>
  </si>
  <si>
    <t>Usa la botella de la calma para manejar situaciones de conflicto en aula, así como otras estrategias de regulación emocional.</t>
  </si>
  <si>
    <t>Durante el desarrollo de su sesión consulta a las niñas sobre las emociones que sienten los personajes trabajados, asimismo, ante algún incidente fortalece la empatía en las estudiantes.</t>
  </si>
  <si>
    <t>Genera espacios de juego con las niñas brindando una supervisión, al ser la unica maestra y directora tambien aprovecha para realizar otras gestiones.</t>
  </si>
  <si>
    <t>Cuenta con apoyo visual para los acuerdos de la clase e indica antes del inicio de una actividad de juego que se deben respetar sino se suspenderá</t>
  </si>
  <si>
    <t>En ocasiones consulta a su niña cómo ha estado o la emoción que siente.</t>
  </si>
  <si>
    <t>No</t>
  </si>
  <si>
    <t>Rara vez</t>
  </si>
  <si>
    <t>No cuenta con materiales visuales o genera alguna estrategia en concreto que promueva la autorregulación con su niña.</t>
  </si>
  <si>
    <t>Pocas veces pone ejemplos con otros niños para que pueda reconocer las emociones de los demás.</t>
  </si>
  <si>
    <t>Brinda un espacio de juego con otros compañeros pero no acompaña al proceso. Sin embargo durante el desarrollo de la sesión si fomenta las normas de convivencia</t>
  </si>
  <si>
    <t>Da indicaciones de las actividades e invita a que se realicen de manera ordenada.</t>
  </si>
  <si>
    <t>Consulta a los niños al principio de la clase cómo han estado y cuenta con un apoyo visual</t>
  </si>
  <si>
    <t>En caso sea necesario hace una pausa en clase para poder hacer ejercicios de respiración.</t>
  </si>
  <si>
    <t>Invita a los niños a la reflexión sobre cómo se puede sentir un compañero cuando hacce algo mal</t>
  </si>
  <si>
    <t>Invita al juego grupal y al orden al momento de solicitar la participación de los estudiantes.</t>
  </si>
  <si>
    <t>Da indicaciones de las consecuencias cuando ocurre un incidente en el aula al mommento del juego</t>
  </si>
  <si>
    <t xml:space="preserve">Brinda acompañamiento a los niños cuando se da una situacion de diferencias entre ellos, incitandolos a reconocer sus emociones </t>
  </si>
  <si>
    <t xml:space="preserve">Cuenta con mas de dos herramientas en el aula para la autorregulación </t>
  </si>
  <si>
    <t xml:space="preserve">Invita a reflexionar bajo una relacion de conflicto </t>
  </si>
  <si>
    <t xml:space="preserve">Propone juegos y los acompaña, fomentando la interaccion entre ellos </t>
  </si>
  <si>
    <t xml:space="preserve">Guia y ayuda a que los niños tomen sus propias decisiones dentro del aula </t>
  </si>
  <si>
    <t>Acompaña y pregunta durante la clase cómo se sienten</t>
  </si>
  <si>
    <t xml:space="preserve">Cuenta con herramientas en el aula para la autorregulacion de los niños </t>
  </si>
  <si>
    <t xml:space="preserve">Invita a ponerse en el lugar del otro mediante un cuento </t>
  </si>
  <si>
    <t xml:space="preserve">Acompaña y guia a los niños a ser independientes </t>
  </si>
  <si>
    <t xml:space="preserve">Juan Mautino </t>
  </si>
  <si>
    <t xml:space="preserve">Refuerza la importancia de reconocer y preguntar al compañero cómo se ha sentido dentro de una discusion </t>
  </si>
  <si>
    <t xml:space="preserve">Cuanta con herramientas en el aula para la autorregulacion </t>
  </si>
  <si>
    <t xml:space="preserve">Con un caso que se presentó en el aula, invitó a todos a reflexionar sobre como se podria sentir cada uno de ellos </t>
  </si>
  <si>
    <t xml:space="preserve">Genera espacios donde se relacionen y compartan ideas entre ellos </t>
  </si>
  <si>
    <t>Odalit Canaza</t>
  </si>
  <si>
    <t xml:space="preserve">Cuenta con el espacio de la calma, usando materiales didácticos y creativos para ayudar a la autorregulacion </t>
  </si>
  <si>
    <t xml:space="preserve">Invita a los niños a reflexionar bajo una situacion emocional de un niño </t>
  </si>
  <si>
    <t xml:space="preserve">Observa, guia y acompaña mediante el juego y las propuestas del aula </t>
  </si>
  <si>
    <t xml:space="preserve">Invita a los niños a organizar y guardar sus loncheras </t>
  </si>
  <si>
    <t xml:space="preserve">Acompaña y conversa a los niños de manera amable y con paciencia </t>
  </si>
  <si>
    <t xml:space="preserve">El aula cuenta con el rincon de la calma y otros materiales que ayudar a regular a los niños </t>
  </si>
  <si>
    <t xml:space="preserve">Invita a reconocer a los demás como se sentiria el personaje </t>
  </si>
  <si>
    <t xml:space="preserve">Propone juegos cooperativos y los acompaña </t>
  </si>
  <si>
    <t>Invita a los niños a realizar actividades independientes de higiene</t>
  </si>
  <si>
    <t xml:space="preserve">Se presencia que no hay mucho refuerzo de las emociones durante el desarrollo de las clases </t>
  </si>
  <si>
    <t xml:space="preserve">Durante el desarrollo de la clase invita a reflexionar como se podria sentir cada uno de ellos si no siguen las instrucciones como tal </t>
  </si>
  <si>
    <t xml:space="preserve">Propone opciones e invita a elegir a cada uno de los estudiantes </t>
  </si>
  <si>
    <t xml:space="preserve">Margot Umpire Puma </t>
  </si>
  <si>
    <t xml:space="preserve">Se observa herramientas dentro del aula que hace uso en cada situacion de problematica que se presente en elos niños, acompañándolos con paciencia y amabilidad, ayudándolos a reconocer sus emociones </t>
  </si>
  <si>
    <t xml:space="preserve">Cuenta con una herramienta en el aula para la autorregulacion </t>
  </si>
  <si>
    <t xml:space="preserve">Mediante el juego invita a conectar con las emociones que puede sentir el otro </t>
  </si>
  <si>
    <t xml:space="preserve">Hace uso de trabajos en equipo para relacionarlos y compartir ideas </t>
  </si>
  <si>
    <t>Acompaña y conversa a los niños de manera amable y con mucha paciencia en cuanto a situaciones de posible estres dentro del aula</t>
  </si>
  <si>
    <t>Usa la comunicacion constante como herramienta para la autorregulacion, tambien el tiempo fuera.</t>
  </si>
  <si>
    <t xml:space="preserve">Acompaña y señala que emociones puede estar sintiendo un niño para que puedan acompañarlo y entenderlo </t>
  </si>
  <si>
    <t xml:space="preserve">Acompaña y propone ideas a los niños dentro del juego para que trabajen en conjunto </t>
  </si>
  <si>
    <t xml:space="preserve">Acompaña a los niños en su toma de decisiones dentro de las actividades del aula </t>
  </si>
  <si>
    <t xml:space="preserve">Jessica Karin Lopez Castro </t>
  </si>
  <si>
    <t xml:space="preserve">El aula cuenta con un espacio para reconociemiento de emociones </t>
  </si>
  <si>
    <t xml:space="preserve">Propone y explica juegos cooperativos </t>
  </si>
  <si>
    <t>Cuenta con estrategias visuales en el aula para promover la autonciencia</t>
  </si>
  <si>
    <t>Cuenta con estrategias en el aula como peluche de apego o estrategias de respiración para manejar situaciones de desregulación emocional</t>
  </si>
  <si>
    <t>Ante una situación de conflicto, llama a la reflexión por ambas partes de los involucrados</t>
  </si>
  <si>
    <t xml:space="preserve">Fomenta la interacción entre pares por medio del desarrollo de estaciones en clase </t>
  </si>
  <si>
    <t>Por medio de canciones fomenta habitos saludables en los niños como lavarse las manos, guardar los juguetes, etc</t>
  </si>
  <si>
    <t>Invita a los niños a identificar sus emociones mediante actividades lúdicas en el aula.</t>
  </si>
  <si>
    <t xml:space="preserve">Invita a los NN a respirar u otras estrategias para manejar la impulsividad e hiperactividad que presentan </t>
  </si>
  <si>
    <t>A traves del juego colectivo busca la integración de todos y fomentar la conciencia social</t>
  </si>
  <si>
    <t>Promueve el respeto entre compañeros a traves de los acuerdos de convivencia que se encuentran visibles en el aula</t>
  </si>
  <si>
    <t>A través del cuento invita a los niños a identificar emociones.</t>
  </si>
  <si>
    <t>Maneja estrategias en el aula para fortalecer la regulación emocional</t>
  </si>
  <si>
    <t>Invita a la integración de sus alumnos con NEE con el resto de sus compañeros</t>
  </si>
  <si>
    <t>Brinda acompañamiento a niños con NEE para fortalecer la autoconciencia</t>
  </si>
  <si>
    <t>Mediante el cuento, invita a los niños a la reflexión de las emociones</t>
  </si>
  <si>
    <t>Maneja estrategias de regulación emocional, sin embargo, hay niños que requieren mayor atención y la estrategia no tiene efecto</t>
  </si>
  <si>
    <t>Fortalece la conciencia social por medio del cuento y el juego</t>
  </si>
  <si>
    <t>Hace incapié en los acuerdos de convivencia para promover el respeto mutuo.</t>
  </si>
  <si>
    <t>Brinda soporte guiado a los niños en caso de una situación de desregulación emocional</t>
  </si>
  <si>
    <t>Fomenta el juego colectivo y las actividades en el aula son en base a la colaboración de materiales, resalta palabras de afirmación</t>
  </si>
  <si>
    <t>Promueve el respeto entre compañeros a traves de las ayudas visuales con las que cuenta en aula de "Por favor" "Gracias" "Perdón"</t>
  </si>
  <si>
    <t>Promociona habitos de higiene y cuidado personal a través de canciones o dinámicas lúdicas</t>
  </si>
  <si>
    <t>Fomenta en clases metodos de regulación emocional de acuerdo a las necesidades</t>
  </si>
  <si>
    <t>Genera espacios con sus alumnos para conversar de algún incidente que ha pasado en aula y busca que se generen acuerdos de convivencia</t>
  </si>
  <si>
    <t>Trabaja con los niños el trabajo colectivo por medio de las actividades propuestas en clase</t>
  </si>
  <si>
    <t>Pregunta cómo se sienten después de correr o jugar.</t>
  </si>
  <si>
    <t>Modela calma al organizar mochilas y filas.</t>
  </si>
  <si>
    <t>Saluda a cada niño por su nombre, mirándolo a los ojos.</t>
  </si>
  <si>
    <t>Promueve que se ayuden a colgar las mochilas.</t>
  </si>
  <si>
    <t>Revisa normas cumplidas durante el día (“Hoy caminamos en el aula, eso nos mantuvo seguros”).</t>
  </si>
  <si>
    <t>Acompaña con un espejo y guía a los niños a describir su expresión facial.</t>
  </si>
  <si>
    <t>Refuerza a los niños cuando esperan turnos o cumplen acuerdos (“Vi que esperaste para hablar</t>
  </si>
  <si>
    <t>Observa y comenta: “Veo que tu amiga llegó, ¿quieres saludarla?”</t>
  </si>
  <si>
    <t>Observa y guía resolución de conflictos (“Podemos turnarnos”, “Hagamos un equipo”).</t>
  </si>
  <si>
    <t>Invita a resolver conflictos analizando opciones (turnos, compartir materiales, cambiar de juego).</t>
  </si>
  <si>
    <t>Conecta su emoción con la actividad</t>
  </si>
  <si>
    <t>Acompaña a quienes están tristes por la despedida.</t>
  </si>
  <si>
    <t>Escucha con atención a cada niño</t>
  </si>
  <si>
    <t>Modela cómo pedir materiales: “¿Me prestas, por favor?”</t>
  </si>
  <si>
    <t>Explica por qué ciertas acciones importan (“Si dejamos la tijera en la mesa, nadie se lastima”).</t>
  </si>
  <si>
    <t xml:space="preserve">Rodríguez Rosales Vilma y Chinchon Goifra Maryuri </t>
  </si>
  <si>
    <t>Modela cómo identificar emociones en diferentes situaciones</t>
  </si>
  <si>
    <t>Guía respiraciones para recuperar la calma.</t>
  </si>
  <si>
    <t>Escucha con atención a cada niño y modela respeto al turno.</t>
  </si>
  <si>
    <t>Organiza trabajo de a dos para resolver retos cooperativos.</t>
  </si>
  <si>
    <t>Propone alternativas cuando un rincón está lleno: “¿Esperamos o buscamos otro juego?”</t>
  </si>
  <si>
    <t>Refuerza verbalmente cualidades individuales</t>
  </si>
  <si>
    <t>Modela paciencia ante errores (“A mí también me puede salir mal, lo vuelvo a intentar”).</t>
  </si>
  <si>
    <t>Promueve que agradezcan a sus compañeros (“Gracias por jugar conmigo”).</t>
  </si>
  <si>
    <t>Motiva a explicar pasos a un compañero (“Enséñale cómo lo hiciste”).</t>
  </si>
  <si>
    <t>Da opciones: “¿Quieres empezar coloreando o recortando?”</t>
  </si>
  <si>
    <t>Pide que los niños expresen si necesitan ayuda o si quieren intentar solos.</t>
  </si>
  <si>
    <t>Realiza ejercicios breves de respiración o pausas activas cuando se observa tensión.</t>
  </si>
  <si>
    <t>Agradece en voz alta a quienes comparten materiales.</t>
  </si>
  <si>
    <t>Facilita juegos cooperativos donde todos deban participar (armar una torre juntos, mover una tela, etc.).</t>
  </si>
  <si>
    <t>Invita a pensar antes de actuar (“¿Es seguro trepar ahí?”, “¿Este material va aquí o allá?”).</t>
  </si>
  <si>
    <t>Nombra emociones que surgen: “Pareces concentrado”, “Eso te hizo reír”.</t>
  </si>
  <si>
    <t>Promueve el autocontrol ante situaciones de conflicto (“Voy a respirar antes de responder”)</t>
  </si>
  <si>
    <t>Modela empatía: “Tu compañero quiere usar ese bloque, ¿cómo podrían compartirlo?”.</t>
  </si>
  <si>
    <t>Fomenta despedidas respetuosas (“Chócales las manos”, “Hasta mañana”).</t>
  </si>
  <si>
    <t>Analiza opciones con los niños (“Tenemos dos cuentos, ¿cuál elegimos primero?”).</t>
  </si>
  <si>
    <t>Da estrategias cuando surge alguna frustración con sus estudiantes (“Intenta de nuevo, o prueba con otra pieza”).</t>
  </si>
  <si>
    <t>Organiza actividades donde se comparta el trabajo de los niños y se admire el esfuerzo de todos.</t>
  </si>
  <si>
    <t>Modela frases para resolver conflictos (“Podemos turnarnos”, “Vamos a conversar para encontrar una solución”).</t>
  </si>
  <si>
    <t>Antes de actuar, guía a los niños con preguntas como: “¿Es seguro? ¿Es amable? ¿Ayuda a todos?”.</t>
  </si>
  <si>
    <t>4 años y 5 años</t>
  </si>
  <si>
    <t>Señala y nombra sus propias emociones frente a los niños</t>
  </si>
  <si>
    <t>Ofrece estrategias alternativas (“Si estás molesto, puedes apretar la almohadita o contar hasta cinco”)</t>
  </si>
  <si>
    <t>Destaca empatía: “Tu amiga está hablando, vamos a escucharla”.</t>
  </si>
  <si>
    <t>Promueve participaciones compartidas, “a la cuenta de tres todos saludamos al compañero de al lado”.</t>
  </si>
  <si>
    <t>Invita a reflexionar después de un conflicto (“¿Qué podríamos hacer diferente la próxima vez?”).</t>
  </si>
  <si>
    <t>Reconoce logros individuales</t>
  </si>
  <si>
    <t>Propone una breve respiración antes de empezar el día.</t>
  </si>
  <si>
    <t>Promueve que observen el trabajo de otros con respeto (“Mira cómo tu amigo resolvió esto”).</t>
  </si>
  <si>
    <t>Facilita que los niños se acerquen entre sí (“¿Quieres darle un abrazo o un saludo con la mano a tu amigo?”).</t>
  </si>
  <si>
    <t>Recuerda amablemente normas como: “Caminamos dentro del aula para estar seguros”.</t>
  </si>
  <si>
    <t>Muestra cómo guardar la mochila con calma y sin apuros.</t>
  </si>
  <si>
    <t>Refuerza empatía cuando alguien cae o se lastima.</t>
  </si>
  <si>
    <t>Refuerza frases útiles: “¿Quieres jugar conmigo?”, “Te toca después”.</t>
  </si>
  <si>
    <t>Recuerda normas de seguridad (“Deslizamos sentados para cuidar nuestro cuerpo”).</t>
  </si>
  <si>
    <t>Hace pausas activas si nota inquietud en el grupo, suele realizarlo con música y los estudiantes responde muy bien ante ello.</t>
  </si>
  <si>
    <t>Nombra situaciones de cuidado: “Mira, tu amiga necesita ayuda con la torre”.</t>
  </si>
  <si>
    <t>Pide que los niños aporten ideas juntos (qué quieren aprender hoy).</t>
  </si>
  <si>
    <t>Explica claramente las consecuencias de las decisiones (“Si corremos dentro del aula, podemos tropezar”).</t>
  </si>
  <si>
    <t>Pregunta a los niños cómo se sienten y utiliza recursos visuales para identificar emociones.</t>
  </si>
  <si>
    <t>Utiliza recursos de calma y actividades de respiración para regular emociones.</t>
  </si>
  <si>
    <t>Fomenta la reflexión sobre emociones de compañeros e inclusión en el juego.</t>
  </si>
  <si>
    <t>Favorece la participación de todos y media conflictos entre los niños.</t>
  </si>
  <si>
    <t>Ayuda a los niños a elegir actividades y recuerda rutinas como lavado de manos.</t>
  </si>
  <si>
    <t>Ayuda a los niños a identificar sus emociones usando un espejo.</t>
  </si>
  <si>
    <t>Gestiona emociones de los niños mediante cuentos y conversación.</t>
  </si>
  <si>
    <t>Promueve que los niños reconozcan emociones de otros y cooperen en el juego.</t>
  </si>
  <si>
    <t>Favorece la participación de todos los niños en juegos y actividades.</t>
  </si>
  <si>
    <t>Permite que los niños elijan espacios y actividades que desean realizar.</t>
  </si>
  <si>
    <t>Utiliza recursos visuales y gestos para ayudar a los niños a identificar sus emociones.</t>
  </si>
  <si>
    <t>Ayuda a los niños a calmarse mediante conversación y ejercicios de respiración profunda.</t>
  </si>
  <si>
    <t>Favorece que los niños compartan y reconozcan emociones de otros durante las actividades.</t>
  </si>
  <si>
    <t>Elogia y conversa con los niños para fortalecer la interacción y cooperación.</t>
  </si>
  <si>
    <t>Invita a los niños a elegir actividades y espacios de juego según sus preferencias.</t>
  </si>
  <si>
    <t>Invita a los niños a identificar y reflejar sus emociones al llegar mediante dibujos y recursos visuales.</t>
  </si>
  <si>
    <t>Utiliza recursos y estrategias para acompañar a los niños en la gestión de sus emociones y reflexiones.</t>
  </si>
  <si>
    <t>Promueve que los niños respeten y cuiden a sus compañeros y recuerda los acuerdos del aula.</t>
  </si>
  <si>
    <t>Favorece que los niños compartan, cooperen y participen en actividades de juego y recreo.</t>
  </si>
  <si>
    <t>Favorece que los niños elijan actividades, materiales y formas de participar.</t>
  </si>
  <si>
    <t>Utiliza el espacio de la calma y estrategias de conversación para acompañar la regulación emocional de los niños.</t>
  </si>
  <si>
    <t>Promueve la reflexión sobre cómo se sienten los compañeros y fomenta el respeto mutuo.</t>
  </si>
  <si>
    <t>Medía conflictos e integra a los niños en actividades de juego.</t>
  </si>
  <si>
    <t>Permite que los niños elijan en qué áreas jugar y cómo participar en actividades.</t>
  </si>
  <si>
    <t>Invita a los niños a usar el espacio de la calma y conversa para regular emociones.</t>
  </si>
  <si>
    <t>Favorece que los niños reconozcan emociones de otros y reflexionen sobre sus acciones.</t>
  </si>
  <si>
    <t>Integra a los niños en juegos y media conflictos.</t>
  </si>
  <si>
    <t>Permite que los niños elijan actividades y utiliza los acuerdos del aula cuando es necesario.</t>
  </si>
  <si>
    <t>Pregunta a los niños cómo se sienten mediante el diálogo.</t>
  </si>
  <si>
    <t>Dialoga con los niños para calmarlos cuando se presenta una dificultad.</t>
  </si>
  <si>
    <t>Recuerda a los niños los acuerdos y conversa sobre el respeto entre compañeros.</t>
  </si>
  <si>
    <t>Orienta a los niños en sus relaciones mediante el diálogo.</t>
  </si>
  <si>
    <t>Permite que los niños elijan a qué jugar durante los espacios libres.</t>
  </si>
  <si>
    <t>Pregunta a los niños cómo se sienten y los ayuda a comprender sus emociones con apoyo de recursos.</t>
  </si>
  <si>
    <t>Invita a los niños a usar estrategias de calma, respeta sus tiempos y los acompaña emocionalmente.</t>
  </si>
  <si>
    <t>Promueve que los niños reconozcan emociones propias y de otros mediante diálogo y cuentos.</t>
  </si>
  <si>
    <t>Felicita los logros, recuerda los acuerdos, integra a los niños y participa en el juego.</t>
  </si>
  <si>
    <t>Favorece que los niños elijan actividades, materiales y formas de participación, respetando sus decisiones.</t>
  </si>
  <si>
    <t>Explora las emociones de los niños/as cuando observa que presentan comportamientos diferentes a lo cotidiano, y los acompaña.</t>
  </si>
  <si>
    <t>Acompaña a los niños/as en momentos de dificultad, ofreciendo otras alternativas para redirigir su atención.</t>
  </si>
  <si>
    <t>Pregunta a los niños/as como creen que se habrá sentido el compañero/as si es que han tenido un trato poco amable.</t>
  </si>
  <si>
    <t xml:space="preserve">Los acuerdos del aula han sido desarrollados con el aporte de los niños/as, contando con representaciones gráficas referentes a una buena convivencia. </t>
  </si>
  <si>
    <t>Cuenta con un cuadro de responsabilidades el cual los niños/as conocen y hacen uso.</t>
  </si>
  <si>
    <t xml:space="preserve">Pregunta a los niños/as cómo se sienten y fomenta el dialogo de sus emociones. </t>
  </si>
  <si>
    <t>Cuenta con un espacio orientado a conectar con la calma</t>
  </si>
  <si>
    <t>Fomenta el juego colectivo en los contextos de su clase, y se mantiene lo suficientemente cerca para observar las interacciones.</t>
  </si>
  <si>
    <t xml:space="preserve">Invita a los niños a conectar con la calma con música </t>
  </si>
  <si>
    <t xml:space="preserve">Hace un recordatorio sobre los acuerdos </t>
  </si>
  <si>
    <t>Acompaña las emociones de los niños/as en momentos de dificultad.</t>
  </si>
  <si>
    <t>Ayuda a los niños/as a poner en palabras sus emociones, a través de preguntas.</t>
  </si>
  <si>
    <t>Acompaña a los niños/as en momentos de dificultas, se pone a su nivel y los contiene. No obstante se observo el aula, ciertamente desbordado lo cual complicaba la contención de los niños/as.</t>
  </si>
  <si>
    <t>Invita a los niños/as a pensar sus tratos hacía los demás, y brinda opciones amables para que puedan aplicarlas.</t>
  </si>
  <si>
    <t xml:space="preserve">Invita a los niños/as a reflexionar luego de que han tenido una interacción poco amable con algun otro niño/a. </t>
  </si>
  <si>
    <t>Escucha a los niños/as en momentos de dificultad y atiende sus emociones</t>
  </si>
  <si>
    <t>Da cuenta de los gustos o deseos de los demás, sobre todo cuando estos pueden llamar la atención de otros niños/as, invitando a la aceptación del grupo.</t>
  </si>
  <si>
    <t>Los acuerdos de la clase estan construidos con participación de los niños/as.</t>
  </si>
  <si>
    <t>Al iniciar su rutina de clase, pregunta su emoción del día</t>
  </si>
  <si>
    <t>Acompaña a los niños en momentos de enojo o tristeza y les ayuda a regularse</t>
  </si>
  <si>
    <t>Fomenta dinámicas de ayuda mutua, cooperación y solidaridad en actividades grupales.</t>
  </si>
  <si>
    <t>La docente guía la resolución de conflictos y favorece la participación equitativa.</t>
  </si>
  <si>
    <t>Mantiene normas claras, consistentes y explicadas.</t>
  </si>
  <si>
    <t>Acompaña verbalmente a los niños para nombrar emociones durante situaciones cotidianas.</t>
  </si>
  <si>
    <t>Anticipa cambios o transiciones para reducir frustración</t>
  </si>
  <si>
    <t>Interviene ante conflictos evitando juicios y promoviendo comprensión del otro.</t>
  </si>
  <si>
    <t>La docente guía la resolución de conflictos, ofreciendo lenguaje alternativo</t>
  </si>
  <si>
    <t>Refuerza la autonomía en rutinas</t>
  </si>
  <si>
    <t>Edelmira Jacqueline Herrera</t>
  </si>
  <si>
    <t>La docente modela el reconocimiento emocional, expresando cómo se siente y por qué</t>
  </si>
  <si>
    <t>Acompaña en momentos de desregulación con tono calmado y contención</t>
  </si>
  <si>
    <t>Refuerza el respeto por turnos, normas sociales y expresiones de cortesía.</t>
  </si>
  <si>
    <t>Organiza actividades que requieren trabajo en equipo, roles, turnos o acuerdos.</t>
  </si>
  <si>
    <t>La docente permite que los niños tomen decisiones simples</t>
  </si>
  <si>
    <t>Cantidad de sesión/taller</t>
  </si>
  <si>
    <t>4 y 5</t>
  </si>
  <si>
    <t>2 y 3</t>
  </si>
  <si>
    <t>Columna 9</t>
  </si>
  <si>
    <t>1650</t>
  </si>
  <si>
    <t>MALLAO</t>
  </si>
  <si>
    <t>1505031</t>
  </si>
  <si>
    <t>607268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</si>
</sst>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yy"/>
  </numFmts>
  <fonts count="16">
    <font>
      <sz val="10.0"/>
      <color rgb="FF000000"/>
      <name val="Arial"/>
      <scheme val="minor"/>
    </font>
    <font>
      <color theme="1"/>
      <name val="Arial"/>
      <scheme val="minor"/>
    </font>
    <font>
      <b/>
      <color theme="1"/>
      <name val="Arial"/>
    </font>
    <font>
      <b/>
      <color theme="1"/>
      <name val="Arial"/>
      <scheme val="minor"/>
    </font>
    <font>
      <color theme="1"/>
      <name val="Arial"/>
    </font>
    <font>
      <b/>
      <color rgb="FF000000"/>
      <name val="Arial"/>
    </font>
    <font>
      <color rgb="FF000000"/>
      <name val="Roboto"/>
    </font>
    <font>
      <color rgb="FF000000"/>
      <name val="Arial"/>
      <scheme val="minor"/>
    </font>
    <font>
      <color theme="1"/>
      <name val="Roboto"/>
    </font>
    <font>
      <color rgb="FF000000"/>
      <name val="Arial"/>
    </font>
    <font>
      <sz val="11.0"/>
      <color rgb="FF000000"/>
      <name val="Arial"/>
    </font>
    <font>
      <b/>
      <i/>
      <color theme="1"/>
      <name val="Arial"/>
      <scheme val="minor"/>
    </font>
    <font>
      <color theme="1"/>
      <name val="&quot;Arial&quot;"/>
    </font>
    <font>
      <sz val="10.0"/>
      <color rgb="FF202124"/>
      <name val="Arial"/>
      <scheme val="minor"/>
    </font>
    <font>
      <color rgb="FF434343"/>
      <name val="Roboto"/>
    </font>
    <font>
      <color theme="1"/>
      <name val="Aptos Narrow"/>
    </font>
  </fonts>
  <fills count="17">
    <fill>
      <patternFill patternType="none"/>
    </fill>
    <fill>
      <patternFill patternType="lightGray"/>
    </fill>
    <fill>
      <patternFill patternType="solid">
        <fgColor rgb="FFB7B7B7"/>
        <bgColor rgb="FFB7B7B7"/>
      </patternFill>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9FC5E8"/>
        <bgColor rgb="FF9FC5E8"/>
      </patternFill>
    </fill>
    <fill>
      <patternFill patternType="solid">
        <fgColor rgb="FFE69138"/>
        <bgColor rgb="FFE69138"/>
      </patternFill>
    </fill>
    <fill>
      <patternFill patternType="solid">
        <fgColor rgb="FFB4A7D6"/>
        <bgColor rgb="FFB4A7D6"/>
      </patternFill>
    </fill>
    <fill>
      <patternFill patternType="solid">
        <fgColor rgb="FFCCCCCC"/>
        <bgColor rgb="FFCCCCCC"/>
      </patternFill>
    </fill>
    <fill>
      <patternFill patternType="solid">
        <fgColor rgb="FFCFE2F3"/>
        <bgColor rgb="FFCFE2F3"/>
      </patternFill>
    </fill>
    <fill>
      <patternFill patternType="solid">
        <fgColor theme="0"/>
        <bgColor theme="0"/>
      </patternFill>
    </fill>
    <fill>
      <patternFill patternType="solid">
        <fgColor rgb="FFF8F9FA"/>
        <bgColor rgb="FFF8F9FA"/>
      </patternFill>
    </fill>
    <fill>
      <patternFill patternType="solid">
        <fgColor rgb="FFF3F3F3"/>
        <bgColor rgb="FFF3F3F3"/>
      </patternFill>
    </fill>
    <fill>
      <patternFill patternType="solid">
        <fgColor rgb="FF00FF00"/>
        <bgColor rgb="FF00FF00"/>
      </patternFill>
    </fill>
    <fill>
      <patternFill patternType="solid">
        <fgColor rgb="FFFF9900"/>
        <bgColor rgb="FFFF9900"/>
      </patternFill>
    </fill>
  </fills>
  <borders count="35">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top style="thin">
        <color rgb="FFF8F9FA"/>
      </top>
      <bottom style="thin">
        <color rgb="FFF8F9FA"/>
      </bottom>
    </border>
    <border>
      <right style="thin">
        <color rgb="FF442F65"/>
      </right>
      <top style="thin">
        <color rgb="FFF8F9FA"/>
      </top>
      <bottom style="thin">
        <color rgb="FFF8F9FA"/>
      </bottom>
    </border>
    <border>
      <left style="thin">
        <color rgb="FFFFFFFF"/>
      </left>
      <right style="thin">
        <color rgb="FFFFFFFF"/>
      </right>
      <top style="thin">
        <color rgb="FFFFFFFF"/>
      </top>
      <bottom style="thin">
        <color rgb="FFFFFFFF"/>
      </bottom>
    </border>
    <border>
      <bottom style="thin">
        <color rgb="FFFFFFFF"/>
      </bottom>
    </border>
    <border>
      <right style="thin">
        <color rgb="FF442F65"/>
      </right>
      <bottom style="thin">
        <color rgb="FFFFFFFF"/>
      </bottom>
    </border>
    <border>
      <right style="thin">
        <color rgb="FF442F65"/>
      </right>
      <top style="thin">
        <color rgb="FFFFFFFF"/>
      </top>
      <bottom style="thin">
        <color rgb="FFFFFFFF"/>
      </bottom>
    </border>
    <border>
      <left style="thin">
        <color rgb="FFFFFFFF"/>
      </left>
      <right style="thin">
        <color rgb="FFFFFFFF"/>
      </right>
    </border>
    <border>
      <right style="thin">
        <color rgb="FFFFFFFF"/>
      </right>
    </border>
    <border>
      <right style="thin">
        <color rgb="FF442F65"/>
      </right>
    </border>
    <border>
      <left style="thin">
        <color rgb="FFFFFFFF"/>
      </left>
      <right style="thin">
        <color rgb="FF442F65"/>
      </right>
      <top style="thin">
        <color rgb="FFFFFFFF"/>
      </top>
    </border>
    <border>
      <left style="thin">
        <color rgb="FFFFFFFF"/>
      </left>
      <right style="thin">
        <color rgb="FFFFFFFF"/>
      </right>
      <top style="thin">
        <color rgb="FFFFFFFF"/>
      </top>
    </border>
    <border>
      <right style="thin">
        <color rgb="FFFFFFFF"/>
      </right>
      <top style="thin">
        <color rgb="FFFFFFFF"/>
      </top>
    </border>
    <border>
      <right style="thin">
        <color rgb="FF442F65"/>
      </right>
      <top style="thin">
        <color rgb="FFFFFFFF"/>
      </top>
    </border>
    <border>
      <bottom style="thin">
        <color rgb="FF442F65"/>
      </bottom>
    </border>
    <border>
      <right style="thin">
        <color rgb="FF442F65"/>
      </right>
      <bottom style="thin">
        <color rgb="FF442F65"/>
      </bottom>
    </border>
    <border>
      <left style="thin">
        <color rgb="FFFFFFFF"/>
      </left>
      <right style="thin">
        <color rgb="FFFFFFFF"/>
      </right>
      <top style="thin">
        <color rgb="FFFFFFFF"/>
      </top>
      <bottom style="thin">
        <color rgb="FF442F65"/>
      </bottom>
    </border>
    <border>
      <right style="thin">
        <color rgb="FFFFFFFF"/>
      </right>
      <top style="thin">
        <color rgb="FFFFFFFF"/>
      </top>
      <bottom style="thin">
        <color rgb="FF442F65"/>
      </bottom>
    </border>
    <border>
      <right style="thin">
        <color rgb="FF442F65"/>
      </right>
      <top style="thin">
        <color rgb="FFFFFFFF"/>
      </top>
      <bottom style="thin">
        <color rgb="FF442F65"/>
      </bottom>
    </border>
    <border>
      <left style="thin">
        <color rgb="FFFFFFFF"/>
      </left>
      <right style="thin">
        <color rgb="FFFFFFFF"/>
      </right>
      <bottom style="thin">
        <color rgb="FF442F65"/>
      </bottom>
    </border>
    <border>
      <right style="thin">
        <color rgb="FFFFFFFF"/>
      </right>
      <bottom style="thin">
        <color rgb="FF442F65"/>
      </bottom>
    </border>
    <border>
      <bottom style="thin">
        <color rgb="FFF8F9FA"/>
      </bottom>
    </border>
    <border>
      <right style="thin">
        <color rgb="FF442F65"/>
      </right>
      <top style="thin">
        <color rgb="FFF8F9FA"/>
      </top>
    </border>
    <border>
      <right style="thin">
        <color rgb="FF442F65"/>
      </right>
      <bottom style="thin">
        <color rgb="FFF8F9FA"/>
      </bottom>
    </border>
    <border>
      <left style="thin">
        <color rgb="FFF8F9FA"/>
      </left>
      <right style="thin">
        <color rgb="FFF8F9FA"/>
      </right>
      <bottom style="thin">
        <color rgb="FF442F65"/>
      </bottom>
    </border>
    <border>
      <right style="thin">
        <color rgb="FFF8F9FA"/>
      </right>
      <bottom style="thin">
        <color rgb="FF442F65"/>
      </bottom>
    </border>
    <border>
      <left style="thin">
        <color rgb="FFF8F9FA"/>
      </left>
      <right style="thin">
        <color rgb="FFF8F9FA"/>
      </right>
      <top style="thin">
        <color rgb="FFF8F9FA"/>
      </top>
      <bottom style="thin">
        <color rgb="FF442F65"/>
      </bottom>
    </border>
    <border>
      <right style="thin">
        <color rgb="FFF8F9FA"/>
      </right>
      <top style="thin">
        <color rgb="FFF8F9FA"/>
      </top>
      <bottom style="thin">
        <color rgb="FF442F65"/>
      </bottom>
    </border>
    <border>
      <right style="thin">
        <color rgb="FF442F65"/>
      </right>
      <top style="thin">
        <color rgb="FFF8F9FA"/>
      </top>
      <bottom style="thin">
        <color rgb="FF442F65"/>
      </bottom>
    </border>
    <border>
      <left style="thin">
        <color rgb="FFF8F9FA"/>
      </left>
      <right style="thin">
        <color rgb="FF442F65"/>
      </right>
      <top style="thin">
        <color rgb="FFF8F9FA"/>
      </top>
      <bottom style="thin">
        <color rgb="FFF8F9FA"/>
      </bottom>
    </border>
    <border>
      <left style="thin">
        <color rgb="FFFFFFFF"/>
      </left>
      <right style="thin">
        <color rgb="FF442F65"/>
      </right>
      <top style="thin">
        <color rgb="FFFFFFFF"/>
      </top>
      <bottom style="thin">
        <color rgb="FF442F65"/>
      </bottom>
    </border>
    <border>
      <left style="thin">
        <color rgb="FFF8F9FA"/>
      </left>
      <right style="thin">
        <color rgb="FF442F65"/>
      </right>
      <top style="thin">
        <color rgb="FFF8F9FA"/>
      </top>
      <bottom style="thin">
        <color rgb="FF442F65"/>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1" fillId="2" fontId="2" numFmtId="0" xfId="0" applyAlignment="1" applyBorder="1" applyFill="1" applyFont="1">
      <alignment horizontal="center" vertical="center"/>
    </xf>
    <xf borderId="1" fillId="2" fontId="2" numFmtId="49" xfId="0" applyAlignment="1" applyBorder="1" applyFont="1" applyNumberFormat="1">
      <alignment horizontal="center" vertical="center"/>
    </xf>
    <xf borderId="1" fillId="0" fontId="2" numFmtId="49" xfId="0" applyAlignment="1" applyBorder="1" applyFont="1" applyNumberForma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0" fillId="0" fontId="3" numFmtId="0" xfId="0" applyAlignment="1" applyFont="1">
      <alignment horizontal="center" readingOrder="0"/>
    </xf>
    <xf borderId="0" fillId="0" fontId="3" numFmtId="0" xfId="0" applyAlignment="1" applyFont="1">
      <alignment readingOrder="0"/>
    </xf>
    <xf borderId="1" fillId="0" fontId="3" numFmtId="0" xfId="0" applyAlignment="1" applyBorder="1" applyFont="1">
      <alignment horizontal="center" readingOrder="0" vertical="center"/>
    </xf>
    <xf borderId="0" fillId="3" fontId="1" numFmtId="0" xfId="0" applyFill="1" applyFont="1"/>
    <xf borderId="0" fillId="3" fontId="1" numFmtId="49" xfId="0" applyAlignment="1" applyFont="1" applyNumberFormat="1">
      <alignment readingOrder="0"/>
    </xf>
    <xf borderId="0" fillId="0" fontId="1" numFmtId="49" xfId="0" applyAlignment="1" applyFont="1" applyNumberFormat="1">
      <alignment readingOrder="0"/>
    </xf>
    <xf borderId="0" fillId="0" fontId="1" numFmtId="165" xfId="0" applyAlignment="1" applyFont="1" applyNumberForma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center" readingOrder="0"/>
    </xf>
    <xf borderId="0" fillId="0" fontId="1" numFmtId="166" xfId="0" applyAlignment="1" applyFont="1" applyNumberFormat="1">
      <alignment readingOrder="0"/>
    </xf>
    <xf borderId="0" fillId="0" fontId="1" numFmtId="164" xfId="0" applyAlignment="1" applyFont="1" applyNumberFormat="1">
      <alignment readingOrder="0"/>
    </xf>
    <xf borderId="0" fillId="0" fontId="4" numFmtId="0" xfId="0" applyAlignment="1" applyFont="1">
      <alignment vertical="bottom"/>
    </xf>
    <xf borderId="0" fillId="0" fontId="4" numFmtId="164" xfId="0" applyAlignment="1" applyFont="1" applyNumberFormat="1">
      <alignment horizontal="right" readingOrder="0" vertical="bottom"/>
    </xf>
    <xf borderId="0" fillId="3" fontId="1" numFmtId="49" xfId="0" applyFont="1" applyNumberFormat="1"/>
    <xf borderId="0" fillId="0" fontId="1" numFmtId="0" xfId="0" applyAlignment="1" applyFont="1">
      <alignment horizontal="center"/>
    </xf>
    <xf borderId="1" fillId="2" fontId="2"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5" fontId="5" numFmtId="0" xfId="0" applyAlignment="1" applyBorder="1" applyFill="1" applyFont="1">
      <alignment horizontal="center" readingOrder="0" shrinkToFit="0" wrapText="1"/>
    </xf>
    <xf borderId="1" fillId="6" fontId="5" numFmtId="0" xfId="0" applyAlignment="1" applyBorder="1" applyFill="1" applyFont="1">
      <alignment horizontal="center" readingOrder="0" shrinkToFit="0" wrapText="1"/>
    </xf>
    <xf borderId="1" fillId="7" fontId="5" numFmtId="0" xfId="0" applyAlignment="1" applyBorder="1" applyFill="1" applyFont="1">
      <alignment horizontal="center" readingOrder="0" shrinkToFit="0" wrapText="1"/>
    </xf>
    <xf borderId="1" fillId="8" fontId="5" numFmtId="0" xfId="0" applyAlignment="1" applyBorder="1" applyFill="1" applyFont="1">
      <alignment horizontal="center" readingOrder="0" shrinkToFit="0" wrapText="1"/>
    </xf>
    <xf borderId="1" fillId="9" fontId="5" numFmtId="0" xfId="0" applyAlignment="1" applyBorder="1" applyFill="1" applyFont="1">
      <alignment horizontal="center" readingOrder="0" shrinkToFit="0" wrapText="1"/>
    </xf>
    <xf borderId="1" fillId="0" fontId="5" numFmtId="0" xfId="0" applyAlignment="1" applyBorder="1" applyFont="1">
      <alignment horizontal="center" readingOrder="0" shrinkToFit="0" wrapText="1"/>
    </xf>
    <xf borderId="0" fillId="0" fontId="4" numFmtId="49" xfId="0" applyAlignment="1" applyFont="1" applyNumberFormat="1">
      <alignment readingOrder="0" vertical="bottom"/>
    </xf>
    <xf borderId="0" fillId="10" fontId="1" numFmtId="0" xfId="0" applyAlignment="1" applyFill="1" applyFont="1">
      <alignment readingOrder="0" shrinkToFit="0" wrapText="1"/>
    </xf>
    <xf borderId="0" fillId="11" fontId="1" numFmtId="0" xfId="0" applyAlignment="1" applyFill="1" applyFont="1">
      <alignment readingOrder="0" shrinkToFit="0" wrapText="1"/>
    </xf>
    <xf borderId="0" fillId="2" fontId="1" numFmtId="0" xfId="0" applyAlignment="1" applyFont="1">
      <alignment readingOrder="0" shrinkToFit="0" wrapText="1"/>
    </xf>
    <xf borderId="0" fillId="0" fontId="1" numFmtId="0" xfId="0" applyAlignment="1" applyFont="1">
      <alignment shrinkToFit="0" wrapText="0"/>
    </xf>
    <xf borderId="0" fillId="0" fontId="1" numFmtId="0" xfId="0" applyAlignment="1" applyFont="1">
      <alignment readingOrder="0" shrinkToFit="0" wrapText="0"/>
    </xf>
    <xf borderId="0" fillId="11" fontId="4" numFmtId="0" xfId="0" applyAlignment="1" applyFont="1">
      <alignment horizontal="right" readingOrder="0" shrinkToFit="0" vertical="bottom" wrapText="1"/>
    </xf>
    <xf borderId="0" fillId="0" fontId="1" numFmtId="164" xfId="0" applyFont="1" applyNumberFormat="1"/>
    <xf borderId="0" fillId="0" fontId="4" numFmtId="0" xfId="0" applyAlignment="1" applyFont="1">
      <alignment horizontal="right" readingOrder="0" shrinkToFit="0" vertical="bottom" wrapText="1"/>
    </xf>
    <xf borderId="0" fillId="0" fontId="1" numFmtId="0" xfId="0" applyAlignment="1" applyFont="1">
      <alignment shrinkToFit="0" wrapText="1"/>
    </xf>
    <xf borderId="0" fillId="3" fontId="4" numFmtId="0" xfId="0" applyAlignment="1" applyFont="1">
      <alignment vertical="bottom"/>
    </xf>
    <xf borderId="0" fillId="3" fontId="4" numFmtId="49" xfId="0" applyAlignment="1" applyFont="1" applyNumberFormat="1">
      <alignment vertical="bottom"/>
    </xf>
    <xf borderId="0" fillId="0" fontId="4" numFmtId="49" xfId="0" applyAlignment="1" applyFont="1" applyNumberFormat="1">
      <alignment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readingOrder="0" vertical="bottom"/>
    </xf>
    <xf borderId="0" fillId="0" fontId="4" numFmtId="0" xfId="0" applyAlignment="1" applyFont="1">
      <alignment horizontal="right" shrinkToFit="0" vertical="bottom" wrapText="1"/>
    </xf>
    <xf borderId="0" fillId="0" fontId="4" numFmtId="0" xfId="0" applyAlignment="1" applyFont="1">
      <alignment shrinkToFit="0" vertical="bottom" wrapText="0"/>
    </xf>
    <xf borderId="0" fillId="0" fontId="4" numFmtId="0" xfId="0" applyAlignment="1" applyFont="1">
      <alignment horizontal="center" vertical="bottom"/>
    </xf>
    <xf borderId="0" fillId="0" fontId="4" numFmtId="0" xfId="0" applyAlignment="1" applyFont="1">
      <alignment horizontal="right" readingOrder="0" vertical="bottom"/>
    </xf>
    <xf borderId="0" fillId="4" fontId="6" numFmtId="0" xfId="0" applyAlignment="1" applyFont="1">
      <alignment readingOrder="0" shrinkToFit="0" wrapText="0"/>
    </xf>
    <xf borderId="0" fillId="4" fontId="6" numFmtId="0" xfId="0" applyAlignment="1" applyFont="1">
      <alignment horizontal="right" readingOrder="0" shrinkToFit="0" wrapText="0"/>
    </xf>
    <xf borderId="0" fillId="12" fontId="6" numFmtId="165" xfId="0" applyAlignment="1" applyFill="1" applyFont="1" applyNumberFormat="1">
      <alignment horizontal="right" readingOrder="0" shrinkToFit="0" wrapText="0"/>
    </xf>
    <xf borderId="0" fillId="0" fontId="7" numFmtId="0" xfId="0" applyAlignment="1" applyFont="1">
      <alignment readingOrder="0" shrinkToFit="0" wrapText="1"/>
    </xf>
    <xf borderId="0" fillId="4" fontId="7" numFmtId="0" xfId="0" applyAlignment="1" applyFont="1">
      <alignment readingOrder="0" shrinkToFit="0" wrapText="0"/>
    </xf>
    <xf borderId="0" fillId="4" fontId="6" numFmtId="0" xfId="0" applyAlignment="1" applyFont="1">
      <alignment shrinkToFit="0" wrapText="0"/>
    </xf>
    <xf borderId="0" fillId="4" fontId="8" numFmtId="0" xfId="0" applyAlignment="1" applyFont="1">
      <alignment shrinkToFit="0" vertical="bottom" wrapText="0"/>
    </xf>
    <xf borderId="0" fillId="0" fontId="4" numFmtId="164" xfId="0" applyAlignment="1" applyFont="1" applyNumberFormat="1">
      <alignment vertical="bottom"/>
    </xf>
    <xf borderId="0" fillId="4" fontId="8" numFmtId="0" xfId="0" applyAlignment="1" applyFont="1">
      <alignment horizontal="right" shrinkToFit="0" vertical="bottom" wrapText="0"/>
    </xf>
    <xf borderId="0" fillId="4" fontId="8" numFmtId="164" xfId="0" applyAlignment="1" applyFont="1" applyNumberFormat="1">
      <alignment horizontal="right" shrinkToFit="0" vertical="bottom" wrapText="0"/>
    </xf>
    <xf borderId="0" fillId="0" fontId="4" numFmtId="0" xfId="0" applyAlignment="1" applyFont="1">
      <alignment horizontal="right" shrinkToFit="0" vertical="bottom" wrapText="1"/>
    </xf>
    <xf borderId="0" fillId="4" fontId="4" numFmtId="0" xfId="0" applyAlignment="1" applyFont="1">
      <alignment shrinkToFit="0" vertical="bottom" wrapText="0"/>
    </xf>
    <xf borderId="0" fillId="0" fontId="4" numFmtId="0" xfId="0" applyAlignment="1" applyFont="1">
      <alignment horizontal="center" vertical="bottom"/>
    </xf>
    <xf borderId="0" fillId="4" fontId="8" numFmtId="0" xfId="0" applyAlignment="1" applyFont="1">
      <alignment horizontal="right" readingOrder="0" shrinkToFit="0" vertical="bottom" wrapText="0"/>
    </xf>
    <xf borderId="0" fillId="13" fontId="4" numFmtId="0" xfId="0" applyAlignment="1" applyFill="1" applyFont="1">
      <alignment shrinkToFit="0" vertical="bottom" wrapText="0"/>
    </xf>
    <xf borderId="0" fillId="4" fontId="8" numFmtId="0" xfId="0" applyAlignment="1" applyFont="1">
      <alignment readingOrder="0" shrinkToFit="0" vertical="bottom" wrapText="0"/>
    </xf>
    <xf borderId="0" fillId="4" fontId="8" numFmtId="164" xfId="0" applyAlignment="1" applyFont="1" applyNumberFormat="1">
      <alignment horizontal="right" readingOrder="0" shrinkToFit="0" vertical="bottom" wrapText="0"/>
    </xf>
    <xf borderId="0" fillId="4" fontId="4" numFmtId="0" xfId="0" applyAlignment="1" applyFont="1">
      <alignment readingOrder="0" shrinkToFit="0" vertical="bottom" wrapText="0"/>
    </xf>
    <xf borderId="0" fillId="0" fontId="3" numFmtId="0" xfId="0" applyAlignment="1" applyFont="1">
      <alignment readingOrder="0" shrinkToFit="0" wrapText="1"/>
    </xf>
    <xf borderId="0" fillId="0" fontId="9" numFmtId="0" xfId="0" applyAlignment="1" applyFont="1">
      <alignment readingOrder="0" shrinkToFit="0" wrapText="0"/>
    </xf>
    <xf borderId="0" fillId="4" fontId="1" numFmtId="0" xfId="0" applyAlignment="1" applyFont="1">
      <alignment readingOrder="0" shrinkToFit="0" wrapText="1"/>
    </xf>
    <xf borderId="0" fillId="4" fontId="3" numFmtId="0" xfId="0" applyAlignment="1" applyFont="1">
      <alignment readingOrder="0" shrinkToFit="0" wrapText="1"/>
    </xf>
    <xf borderId="0" fillId="14" fontId="1" numFmtId="0" xfId="0" applyAlignment="1" applyFill="1" applyFont="1">
      <alignment readingOrder="0"/>
    </xf>
    <xf borderId="0" fillId="0" fontId="1" numFmtId="164" xfId="0" applyAlignment="1" applyFont="1" applyNumberFormat="1">
      <alignment readingOrder="0"/>
    </xf>
    <xf borderId="0" fillId="4" fontId="4" numFmtId="0" xfId="0" applyAlignment="1" applyFont="1">
      <alignment vertical="bottom"/>
    </xf>
    <xf borderId="0" fillId="15" fontId="1" numFmtId="0" xfId="0" applyAlignment="1" applyFill="1" applyFont="1">
      <alignment readingOrder="0" shrinkToFit="0" wrapText="0"/>
    </xf>
    <xf borderId="0" fillId="4" fontId="1" numFmtId="164" xfId="0" applyAlignment="1" applyFont="1" applyNumberFormat="1">
      <alignment readingOrder="0"/>
    </xf>
    <xf borderId="0" fillId="4" fontId="4" numFmtId="0" xfId="0" applyAlignment="1" applyFont="1">
      <alignment readingOrder="0" vertical="bottom"/>
    </xf>
    <xf borderId="0" fillId="4" fontId="4" numFmtId="0" xfId="0" applyAlignment="1" applyFont="1">
      <alignment vertical="bottom"/>
    </xf>
    <xf borderId="0" fillId="4" fontId="4" numFmtId="0" xfId="0" applyAlignment="1" applyFont="1">
      <alignment vertical="bottom"/>
    </xf>
    <xf borderId="0" fillId="4" fontId="1" numFmtId="0" xfId="0" applyAlignment="1" applyFont="1">
      <alignment readingOrder="0"/>
    </xf>
    <xf borderId="0" fillId="4" fontId="1" numFmtId="164" xfId="0" applyAlignment="1" applyFont="1" applyNumberFormat="1">
      <alignment readingOrder="0"/>
    </xf>
    <xf borderId="0" fillId="0" fontId="10" numFmtId="0" xfId="0" applyAlignment="1" applyFont="1">
      <alignment readingOrder="0" shrinkToFit="0" vertical="bottom" wrapText="0"/>
    </xf>
    <xf borderId="1" fillId="0" fontId="5" numFmtId="0" xfId="0" applyAlignment="1" applyBorder="1" applyFont="1">
      <alignment horizontal="center" readingOrder="0" shrinkToFit="0" wrapText="0"/>
    </xf>
    <xf borderId="0" fillId="0" fontId="3" numFmtId="0" xfId="0" applyAlignment="1" applyFont="1">
      <alignment horizontal="center" readingOrder="0" vertical="center"/>
    </xf>
    <xf borderId="0" fillId="0" fontId="9" numFmtId="0" xfId="0" applyAlignment="1" applyFont="1">
      <alignment horizontal="center" readingOrder="0" shrinkToFit="0" vertical="bottom" wrapText="0"/>
    </xf>
    <xf borderId="0" fillId="0" fontId="9" numFmtId="0" xfId="0" applyAlignment="1" applyFont="1">
      <alignment shrinkToFit="0" vertical="bottom" wrapText="0"/>
    </xf>
    <xf borderId="0" fillId="0" fontId="9" numFmtId="0" xfId="0" applyAlignment="1" applyFont="1">
      <alignment horizontal="center" shrinkToFit="0" vertical="bottom" wrapText="0"/>
    </xf>
    <xf borderId="0" fillId="0" fontId="9" numFmtId="0" xfId="0" applyAlignment="1" applyFont="1">
      <alignment readingOrder="0" vertical="bottom"/>
    </xf>
    <xf borderId="0" fillId="0" fontId="9" numFmtId="0" xfId="0" applyAlignment="1" applyFont="1">
      <alignment vertical="bottom"/>
    </xf>
    <xf borderId="0" fillId="0" fontId="9" numFmtId="0" xfId="0" applyAlignment="1" applyFont="1">
      <alignment readingOrder="0" shrinkToFit="0" vertical="bottom" wrapText="0"/>
    </xf>
    <xf borderId="0" fillId="4" fontId="1" numFmtId="49" xfId="0" applyAlignment="1" applyFont="1" applyNumberFormat="1">
      <alignment readingOrder="0"/>
    </xf>
    <xf borderId="0" fillId="4" fontId="9" numFmtId="0" xfId="0" applyAlignment="1" applyFont="1">
      <alignment horizontal="center" readingOrder="0" shrinkToFit="0" vertical="bottom" wrapText="0"/>
    </xf>
    <xf borderId="0" fillId="4" fontId="9" numFmtId="0" xfId="0" applyAlignment="1" applyFont="1">
      <alignment shrinkToFit="0" vertical="bottom" wrapText="0"/>
    </xf>
    <xf borderId="0" fillId="4" fontId="1" numFmtId="0" xfId="0" applyAlignment="1" applyFont="1">
      <alignment horizontal="center" readingOrder="0"/>
    </xf>
    <xf borderId="0" fillId="4" fontId="1" numFmtId="0" xfId="0" applyFont="1"/>
    <xf borderId="0" fillId="3" fontId="1" numFmtId="49" xfId="0" applyAlignment="1" applyFont="1" applyNumberFormat="1">
      <alignment readingOrder="0"/>
    </xf>
    <xf borderId="0" fillId="0" fontId="1" numFmtId="0" xfId="0" applyAlignment="1" applyFont="1">
      <alignment readingOrder="0" shrinkToFit="0" wrapText="0"/>
    </xf>
    <xf borderId="0" fillId="0" fontId="1" numFmtId="0" xfId="0" applyAlignment="1" applyFont="1">
      <alignment horizontal="right" readingOrder="0"/>
    </xf>
    <xf borderId="0" fillId="0" fontId="1" numFmtId="0" xfId="0" applyAlignment="1" applyFont="1">
      <alignment horizontal="center" readingOrder="0"/>
    </xf>
    <xf borderId="0" fillId="4" fontId="4" numFmtId="0" xfId="0" applyAlignment="1" applyFont="1">
      <alignment shrinkToFit="0" vertical="bottom" wrapText="1"/>
    </xf>
    <xf borderId="0" fillId="0" fontId="4" numFmtId="0" xfId="0" applyAlignment="1" applyFont="1">
      <alignment shrinkToFit="0" vertical="bottom" wrapText="1"/>
    </xf>
    <xf borderId="0" fillId="0" fontId="9" numFmtId="0" xfId="0" applyAlignment="1" applyFont="1">
      <alignment horizontal="center" shrinkToFit="0" vertical="bottom" wrapText="0"/>
    </xf>
    <xf borderId="0" fillId="3" fontId="1" numFmtId="0" xfId="0" applyAlignment="1" applyFont="1">
      <alignment readingOrder="0"/>
    </xf>
    <xf borderId="0" fillId="0" fontId="9" numFmtId="0" xfId="0" applyAlignment="1" applyFont="1">
      <alignment shrinkToFit="0" vertical="bottom" wrapText="0"/>
    </xf>
    <xf borderId="0" fillId="0" fontId="11" numFmtId="0" xfId="0" applyAlignment="1" applyFont="1">
      <alignment readingOrder="0"/>
    </xf>
    <xf borderId="1" fillId="2" fontId="2" numFmtId="49" xfId="0" applyAlignment="1" applyBorder="1" applyFont="1" applyNumberFormat="1">
      <alignment horizontal="center" readingOrder="0" vertical="center"/>
    </xf>
    <xf borderId="0" fillId="0" fontId="1" numFmtId="9" xfId="0" applyAlignment="1" applyFont="1" applyNumberFormat="1">
      <alignment readingOrder="0"/>
    </xf>
    <xf borderId="0" fillId="0" fontId="0" numFmtId="0" xfId="0" applyAlignment="1" applyFont="1">
      <alignment readingOrder="0"/>
    </xf>
    <xf borderId="0" fillId="12" fontId="1" numFmtId="0" xfId="0" applyAlignment="1" applyFont="1">
      <alignment readingOrder="0"/>
    </xf>
    <xf borderId="0" fillId="0" fontId="1" numFmtId="0" xfId="0" applyAlignment="1" applyFont="1">
      <alignment readingOrder="0"/>
    </xf>
    <xf borderId="0" fillId="0" fontId="1" numFmtId="0" xfId="0" applyAlignment="1" applyFont="1">
      <alignment horizontal="left"/>
    </xf>
    <xf borderId="0" fillId="0" fontId="12" numFmtId="0" xfId="0" applyAlignment="1" applyFont="1">
      <alignment horizontal="center" readingOrder="0"/>
    </xf>
    <xf borderId="0" fillId="0" fontId="1" numFmtId="0" xfId="0" applyAlignment="1" applyFont="1">
      <alignment readingOrder="0" shrinkToFit="0" wrapText="1"/>
    </xf>
    <xf borderId="0" fillId="0" fontId="4" numFmtId="0" xfId="0" applyAlignment="1" applyFont="1">
      <alignment horizontal="center" readingOrder="0" vertical="bottom"/>
    </xf>
    <xf borderId="0" fillId="0" fontId="4" numFmtId="164" xfId="0" applyAlignment="1" applyFont="1" applyNumberFormat="1">
      <alignment horizontal="right" vertical="bottom"/>
    </xf>
    <xf borderId="0" fillId="16" fontId="1" numFmtId="0" xfId="0" applyAlignment="1" applyFill="1" applyFont="1">
      <alignment readingOrder="0"/>
    </xf>
    <xf borderId="0" fillId="16" fontId="1"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horizontal="right" vertical="bottom"/>
    </xf>
    <xf borderId="0" fillId="13" fontId="13"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vertical="center"/>
    </xf>
    <xf borderId="0" fillId="3" fontId="1" numFmtId="0" xfId="0" applyAlignment="1" applyFont="1">
      <alignment vertical="center"/>
    </xf>
    <xf borderId="0" fillId="3" fontId="1" numFmtId="49" xfId="0" applyAlignment="1" applyFont="1" applyNumberFormat="1">
      <alignment readingOrder="0" vertical="center"/>
    </xf>
    <xf borderId="0" fillId="0" fontId="1" numFmtId="49" xfId="0" applyAlignment="1" applyFont="1" applyNumberFormat="1">
      <alignment readingOrder="0" vertical="center"/>
    </xf>
    <xf borderId="0" fillId="0" fontId="1" numFmtId="0" xfId="0" applyAlignment="1" applyFont="1">
      <alignment readingOrder="0" vertical="center"/>
    </xf>
    <xf borderId="0" fillId="0" fontId="1" numFmtId="164" xfId="0" applyAlignment="1" applyFont="1" applyNumberFormat="1">
      <alignment readingOrder="0" vertical="center"/>
    </xf>
    <xf borderId="0" fillId="0" fontId="4"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horizontal="center" vertical="center"/>
    </xf>
    <xf borderId="0" fillId="0" fontId="3" numFmtId="0" xfId="0" applyAlignment="1" applyFont="1">
      <alignment readingOrder="0" shrinkToFit="0" wrapText="1"/>
    </xf>
    <xf borderId="0" fillId="0" fontId="1" numFmtId="49" xfId="0" applyAlignment="1" applyFont="1" applyNumberFormat="1">
      <alignment horizontal="center" readingOrder="0"/>
    </xf>
    <xf borderId="0" fillId="0" fontId="4" numFmtId="0" xfId="0" applyAlignment="1" applyFont="1">
      <alignment vertical="bottom"/>
    </xf>
    <xf borderId="1" fillId="4" fontId="4" numFmtId="0" xfId="0" applyAlignment="1" applyBorder="1" applyFont="1">
      <alignment readingOrder="0"/>
    </xf>
    <xf borderId="1" fillId="2" fontId="4" numFmtId="0" xfId="0" applyAlignment="1" applyBorder="1" applyFont="1">
      <alignment vertical="bottom"/>
    </xf>
    <xf borderId="0" fillId="0" fontId="1" numFmtId="0" xfId="0" applyAlignment="1" applyFont="1">
      <alignment horizontal="left" readingOrder="0"/>
    </xf>
    <xf borderId="0" fillId="0" fontId="9" numFmtId="0" xfId="0" applyAlignment="1" applyFont="1">
      <alignment horizontal="right" readingOrder="0" shrinkToFit="0" vertical="bottom" wrapText="0"/>
    </xf>
    <xf borderId="2" fillId="13" fontId="14" numFmtId="0" xfId="0" applyAlignment="1" applyBorder="1" applyFont="1">
      <alignment horizontal="right" readingOrder="0" shrinkToFit="0" vertical="bottom" wrapText="0"/>
    </xf>
    <xf borderId="3" fillId="13" fontId="14" numFmtId="0" xfId="0" applyAlignment="1" applyBorder="1" applyFont="1">
      <alignment readingOrder="0" shrinkToFit="0" vertical="bottom" wrapText="0"/>
    </xf>
    <xf borderId="4" fillId="13" fontId="14" numFmtId="0" xfId="0" applyAlignment="1" applyBorder="1" applyFont="1">
      <alignment shrinkToFit="0" wrapText="0"/>
    </xf>
    <xf borderId="5" fillId="4" fontId="14" numFmtId="0" xfId="0" applyAlignment="1" applyBorder="1" applyFont="1">
      <alignment horizontal="right" readingOrder="0" shrinkToFit="0" vertical="bottom" wrapText="0"/>
    </xf>
    <xf borderId="6" fillId="4" fontId="14" numFmtId="0" xfId="0" applyAlignment="1" applyBorder="1" applyFont="1">
      <alignment readingOrder="0" shrinkToFit="0" vertical="bottom" wrapText="0"/>
    </xf>
    <xf borderId="7" fillId="4" fontId="14" numFmtId="0" xfId="0" applyAlignment="1" applyBorder="1" applyFont="1">
      <alignment shrinkToFit="0" wrapText="0"/>
    </xf>
    <xf borderId="5" fillId="13" fontId="14" numFmtId="0" xfId="0" applyAlignment="1" applyBorder="1" applyFont="1">
      <alignment horizontal="right" readingOrder="0" shrinkToFit="0" vertical="bottom" wrapText="0"/>
    </xf>
    <xf borderId="6" fillId="13" fontId="14" numFmtId="0" xfId="0" applyAlignment="1" applyBorder="1" applyFont="1">
      <alignment readingOrder="0" shrinkToFit="0" vertical="bottom" wrapText="0"/>
    </xf>
    <xf borderId="8" fillId="4" fontId="14" numFmtId="0" xfId="0" applyAlignment="1" applyBorder="1" applyFont="1">
      <alignment shrinkToFit="0" wrapText="0"/>
    </xf>
    <xf borderId="9" fillId="4" fontId="14" numFmtId="0" xfId="0" applyAlignment="1" applyBorder="1" applyFont="1">
      <alignment horizontal="right" readingOrder="0" shrinkToFit="0" vertical="bottom" wrapText="0"/>
    </xf>
    <xf borderId="10" fillId="4" fontId="14" numFmtId="0" xfId="0" applyAlignment="1" applyBorder="1" applyFont="1">
      <alignment horizontal="right" readingOrder="0" shrinkToFit="0" vertical="bottom" wrapText="0"/>
    </xf>
    <xf borderId="11" fillId="4" fontId="14" numFmtId="0" xfId="0" applyAlignment="1" applyBorder="1" applyFont="1">
      <alignment readingOrder="0" shrinkToFit="0" vertical="bottom" wrapText="0"/>
    </xf>
    <xf borderId="12" fillId="4" fontId="14" numFmtId="0" xfId="0" applyAlignment="1" applyBorder="1" applyFont="1">
      <alignment shrinkToFit="0" wrapText="0"/>
    </xf>
    <xf borderId="13" fillId="13" fontId="14" numFmtId="0" xfId="0" applyAlignment="1" applyBorder="1" applyFont="1">
      <alignment horizontal="right" readingOrder="0" shrinkToFit="0" vertical="bottom" wrapText="0"/>
    </xf>
    <xf borderId="14" fillId="13" fontId="14" numFmtId="0" xfId="0" applyAlignment="1" applyBorder="1" applyFont="1">
      <alignment horizontal="right" readingOrder="0" shrinkToFit="0" vertical="bottom" wrapText="0"/>
    </xf>
    <xf borderId="15" fillId="13" fontId="14" numFmtId="0" xfId="0" applyAlignment="1" applyBorder="1" applyFont="1">
      <alignment shrinkToFit="0" vertical="bottom" wrapText="0"/>
    </xf>
    <xf borderId="13" fillId="4" fontId="14" numFmtId="0" xfId="0" applyAlignment="1" applyBorder="1" applyFont="1">
      <alignment horizontal="right" readingOrder="0" shrinkToFit="0" vertical="bottom" wrapText="0"/>
    </xf>
    <xf borderId="14" fillId="4" fontId="14" numFmtId="0" xfId="0" applyAlignment="1" applyBorder="1" applyFont="1">
      <alignment horizontal="right" readingOrder="0" shrinkToFit="0" vertical="bottom" wrapText="0"/>
    </xf>
    <xf borderId="15" fillId="4" fontId="14" numFmtId="0" xfId="0" applyAlignment="1" applyBorder="1" applyFont="1">
      <alignment readingOrder="0" shrinkToFit="0" vertical="bottom" wrapText="0"/>
    </xf>
    <xf borderId="0" fillId="13" fontId="9" numFmtId="0" xfId="0" applyAlignment="1" applyFont="1">
      <alignment readingOrder="0" shrinkToFit="0" vertical="bottom" wrapText="0"/>
    </xf>
    <xf borderId="0" fillId="4" fontId="9" numFmtId="0" xfId="0" applyAlignment="1" applyFont="1">
      <alignment readingOrder="0" shrinkToFit="0" vertical="bottom" wrapText="0"/>
    </xf>
    <xf borderId="0" fillId="13" fontId="9" numFmtId="0" xfId="0" applyAlignment="1" applyFont="1">
      <alignment horizontal="right" readingOrder="0" shrinkToFit="0" vertical="bottom" wrapText="0"/>
    </xf>
    <xf borderId="0" fillId="4" fontId="9" numFmtId="0" xfId="0" applyAlignment="1" applyFont="1">
      <alignment horizontal="right" readingOrder="0" shrinkToFit="0" vertical="bottom" wrapText="0"/>
    </xf>
    <xf borderId="15" fillId="13" fontId="14" numFmtId="0" xfId="0" applyAlignment="1" applyBorder="1" applyFont="1">
      <alignment readingOrder="0" shrinkToFit="0" vertical="bottom" wrapText="0"/>
    </xf>
    <xf borderId="15" fillId="13" fontId="14" numFmtId="0" xfId="0" applyAlignment="1" applyBorder="1" applyFont="1">
      <alignment shrinkToFit="0" vertical="bottom" wrapText="0"/>
    </xf>
    <xf borderId="16" fillId="4" fontId="14" numFmtId="0" xfId="0" applyAlignment="1" applyBorder="1" applyFont="1">
      <alignment horizontal="right" readingOrder="0" shrinkToFit="0" vertical="bottom" wrapText="0"/>
    </xf>
    <xf borderId="17" fillId="4" fontId="14" numFmtId="0" xfId="0" applyAlignment="1" applyBorder="1" applyFont="1">
      <alignment readingOrder="0" shrinkToFit="0" vertical="bottom" wrapText="0"/>
    </xf>
    <xf borderId="0" fillId="4" fontId="14" numFmtId="0" xfId="0" applyAlignment="1" applyFont="1">
      <alignment readingOrder="0" shrinkToFit="0" wrapText="0"/>
    </xf>
    <xf borderId="16" fillId="13" fontId="14" numFmtId="0" xfId="0" applyAlignment="1" applyBorder="1" applyFont="1">
      <alignment horizontal="right" readingOrder="0" shrinkToFit="0" vertical="bottom" wrapText="0"/>
    </xf>
    <xf borderId="17" fillId="13" fontId="14" numFmtId="0" xfId="0" applyAlignment="1" applyBorder="1" applyFont="1">
      <alignment shrinkToFit="0" vertical="bottom" wrapText="0"/>
    </xf>
    <xf borderId="18" fillId="13" fontId="14" numFmtId="0" xfId="0" applyAlignment="1" applyBorder="1" applyFont="1">
      <alignment horizontal="right" readingOrder="0" shrinkToFit="0" vertical="bottom" wrapText="0"/>
    </xf>
    <xf borderId="19" fillId="13" fontId="14" numFmtId="0" xfId="0" applyAlignment="1" applyBorder="1" applyFont="1">
      <alignment horizontal="right" readingOrder="0" shrinkToFit="0" vertical="bottom" wrapText="0"/>
    </xf>
    <xf borderId="16" fillId="13" fontId="14" numFmtId="0" xfId="0" applyAlignment="1" applyBorder="1" applyFont="1">
      <alignment readingOrder="0" shrinkToFit="0" vertical="bottom" wrapText="0"/>
    </xf>
    <xf borderId="20" fillId="4" fontId="14" numFmtId="0" xfId="0" applyAlignment="1" applyBorder="1" applyFont="1">
      <alignment shrinkToFit="0" wrapText="0"/>
    </xf>
    <xf borderId="21" fillId="13" fontId="14" numFmtId="0" xfId="0" applyAlignment="1" applyBorder="1" applyFont="1">
      <alignment horizontal="right" readingOrder="0" shrinkToFit="0" vertical="bottom" wrapText="0"/>
    </xf>
    <xf borderId="22" fillId="13" fontId="14" numFmtId="0" xfId="0" applyAlignment="1" applyBorder="1" applyFont="1">
      <alignment horizontal="right" readingOrder="0" shrinkToFit="0" vertical="bottom" wrapText="0"/>
    </xf>
    <xf borderId="11" fillId="13" fontId="14" numFmtId="0" xfId="0" applyAlignment="1" applyBorder="1" applyFont="1">
      <alignment shrinkToFit="0" vertical="bottom" wrapText="0"/>
    </xf>
    <xf borderId="11" fillId="4" fontId="14" numFmtId="0" xfId="0" applyAlignment="1" applyBorder="1" applyFont="1">
      <alignment shrinkToFit="0" wrapText="0"/>
    </xf>
    <xf borderId="2" fillId="4" fontId="14" numFmtId="0" xfId="0" applyAlignment="1" applyBorder="1" applyFont="1">
      <alignment horizontal="right" readingOrder="0" shrinkToFit="0" vertical="bottom" wrapText="0"/>
    </xf>
    <xf borderId="4" fillId="4" fontId="14" numFmtId="0" xfId="0" applyAlignment="1" applyBorder="1" applyFont="1">
      <alignment readingOrder="0" shrinkToFit="0" vertical="bottom" wrapText="0"/>
    </xf>
    <xf borderId="8" fillId="13" fontId="14" numFmtId="0" xfId="0" applyAlignment="1" applyBorder="1" applyFont="1">
      <alignment readingOrder="0" shrinkToFit="0" vertical="bottom" wrapText="0"/>
    </xf>
    <xf borderId="3" fillId="4" fontId="14" numFmtId="0" xfId="0" applyAlignment="1" applyBorder="1" applyFont="1">
      <alignment readingOrder="0" shrinkToFit="0" vertical="bottom" wrapText="0"/>
    </xf>
    <xf borderId="23" fillId="13" fontId="14" numFmtId="0" xfId="0" applyAlignment="1" applyBorder="1" applyFont="1">
      <alignment readingOrder="0" shrinkToFit="0" vertical="bottom" wrapText="0"/>
    </xf>
    <xf borderId="24" fillId="13" fontId="14" numFmtId="0" xfId="0" applyAlignment="1" applyBorder="1" applyFont="1">
      <alignment shrinkToFit="0" wrapText="0"/>
    </xf>
    <xf borderId="23" fillId="4" fontId="14" numFmtId="0" xfId="0" applyAlignment="1" applyBorder="1" applyFont="1">
      <alignment readingOrder="0" shrinkToFit="0" vertical="bottom" wrapText="0"/>
    </xf>
    <xf borderId="25" fillId="13" fontId="14" numFmtId="0" xfId="0" applyAlignment="1" applyBorder="1" applyFont="1">
      <alignment shrinkToFit="0" wrapText="0"/>
    </xf>
    <xf borderId="26" fillId="4" fontId="14" numFmtId="0" xfId="0" applyAlignment="1" applyBorder="1" applyFont="1">
      <alignment horizontal="right" readingOrder="0" shrinkToFit="0" vertical="bottom" wrapText="0"/>
    </xf>
    <xf borderId="27" fillId="4" fontId="14" numFmtId="0" xfId="0" applyAlignment="1" applyBorder="1" applyFont="1">
      <alignment horizontal="right" readingOrder="0" shrinkToFit="0" vertical="bottom" wrapText="0"/>
    </xf>
    <xf borderId="0" fillId="13" fontId="14" numFmtId="0" xfId="0" applyAlignment="1" applyFont="1">
      <alignment shrinkToFit="0" wrapText="0"/>
    </xf>
    <xf borderId="20" fillId="13" fontId="14" numFmtId="0" xfId="0" applyAlignment="1" applyBorder="1" applyFont="1">
      <alignment readingOrder="0" shrinkToFit="0" vertical="bottom" wrapText="0"/>
    </xf>
    <xf borderId="0" fillId="4" fontId="14" numFmtId="0" xfId="0" applyAlignment="1" applyFont="1">
      <alignment shrinkToFit="0" wrapText="0"/>
    </xf>
    <xf borderId="17" fillId="13" fontId="14" numFmtId="0" xfId="0" applyAlignment="1" applyBorder="1" applyFont="1">
      <alignment readingOrder="0" shrinkToFit="0" vertical="bottom" wrapText="0"/>
    </xf>
    <xf borderId="28" fillId="13" fontId="14" numFmtId="0" xfId="0" applyAlignment="1" applyBorder="1" applyFont="1">
      <alignment horizontal="right" readingOrder="0" shrinkToFit="0" vertical="bottom" wrapText="0"/>
    </xf>
    <xf borderId="29" fillId="13" fontId="14" numFmtId="0" xfId="0" applyAlignment="1" applyBorder="1" applyFont="1">
      <alignment horizontal="right" readingOrder="0" shrinkToFit="0" vertical="bottom" wrapText="0"/>
    </xf>
    <xf borderId="30" fillId="13" fontId="14" numFmtId="0" xfId="0" applyAlignment="1" applyBorder="1" applyFont="1">
      <alignment readingOrder="0" shrinkToFit="0" vertical="bottom" wrapText="0"/>
    </xf>
    <xf borderId="0" fillId="4" fontId="14" numFmtId="0" xfId="0" applyAlignment="1" applyFont="1">
      <alignment horizontal="right" readingOrder="0" shrinkToFit="0" vertical="bottom" wrapText="0"/>
    </xf>
    <xf borderId="0" fillId="4" fontId="14" numFmtId="0" xfId="0" applyAlignment="1" applyFont="1">
      <alignment readingOrder="0" shrinkToFit="0" vertical="bottom" wrapText="0"/>
    </xf>
    <xf borderId="0" fillId="13" fontId="14" numFmtId="0" xfId="0" applyAlignment="1" applyFont="1">
      <alignment horizontal="right" readingOrder="0" shrinkToFit="0" vertical="bottom" wrapText="0"/>
    </xf>
    <xf borderId="0" fillId="13" fontId="14" numFmtId="0" xfId="0" applyAlignment="1" applyFont="1">
      <alignment readingOrder="0" shrinkToFit="0" vertical="bottom" wrapText="0"/>
    </xf>
    <xf borderId="0" fillId="13" fontId="14" numFmtId="0" xfId="0" applyAlignment="1" applyFont="1">
      <alignment horizontal="right" shrinkToFit="0" vertical="bottom" wrapText="0"/>
    </xf>
    <xf borderId="0" fillId="4" fontId="14" numFmtId="0" xfId="0" applyAlignment="1" applyFont="1">
      <alignment horizontal="right" shrinkToFit="0" vertical="bottom" wrapText="0"/>
    </xf>
    <xf borderId="0" fillId="0" fontId="4" numFmtId="166" xfId="0" applyAlignment="1" applyFont="1" applyNumberFormat="1">
      <alignment horizontal="right" readingOrder="0" vertical="bottom"/>
    </xf>
    <xf borderId="0" fillId="13" fontId="13" numFmtId="0" xfId="0" applyAlignment="1" applyFont="1">
      <alignment readingOrder="0" shrinkToFit="0" wrapText="1"/>
    </xf>
    <xf borderId="0" fillId="0" fontId="1" numFmtId="0" xfId="0" applyAlignment="1" applyFont="1">
      <alignment readingOrder="0"/>
    </xf>
    <xf borderId="0" fillId="4" fontId="13" numFmtId="0" xfId="0" applyAlignment="1" applyFont="1">
      <alignment readingOrder="0" shrinkToFit="0" wrapText="1"/>
    </xf>
    <xf borderId="21" fillId="4" fontId="14" numFmtId="0" xfId="0" applyAlignment="1" applyBorder="1" applyFont="1">
      <alignment horizontal="right" readingOrder="0" shrinkToFit="0" vertical="bottom" wrapText="0"/>
    </xf>
    <xf borderId="22" fillId="4" fontId="14" numFmtId="0" xfId="0" applyAlignment="1" applyBorder="1" applyFont="1">
      <alignment horizontal="right" readingOrder="0" shrinkToFit="0" vertical="bottom" wrapText="0"/>
    </xf>
    <xf borderId="31" fillId="13" fontId="14" numFmtId="0" xfId="0" applyAlignment="1" applyBorder="1" applyFont="1">
      <alignment readingOrder="0" shrinkToFit="0" vertical="bottom" wrapText="0"/>
    </xf>
    <xf borderId="18" fillId="4" fontId="14" numFmtId="0" xfId="0" applyAlignment="1" applyBorder="1" applyFont="1">
      <alignment horizontal="right" readingOrder="0" shrinkToFit="0" vertical="bottom" wrapText="0"/>
    </xf>
    <xf borderId="32" fillId="4" fontId="14" numFmtId="0" xfId="0" applyAlignment="1" applyBorder="1" applyFont="1">
      <alignment readingOrder="0" shrinkToFit="0" vertical="bottom" wrapText="0"/>
    </xf>
    <xf borderId="33" fillId="13" fontId="14" numFmtId="0" xfId="0" applyAlignment="1" applyBorder="1" applyFont="1">
      <alignment readingOrder="0" shrinkToFit="0" vertical="bottom" wrapText="0"/>
    </xf>
    <xf borderId="34" fillId="4" fontId="14" numFmtId="0" xfId="0" applyAlignment="1" applyBorder="1" applyFont="1">
      <alignment readingOrder="0" shrinkToFit="0" vertical="bottom" wrapText="0"/>
    </xf>
    <xf borderId="0" fillId="0" fontId="2" numFmtId="0" xfId="0" applyAlignment="1" applyFont="1">
      <alignment horizontal="left"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4" numFmtId="49" xfId="0" applyAlignment="1" applyFont="1" applyNumberFormat="1">
      <alignment readingOrder="0" shrinkToFit="0" vertical="bottom" wrapText="0"/>
    </xf>
    <xf borderId="0" fillId="0" fontId="4" numFmtId="49" xfId="0" applyAlignment="1" applyFont="1" applyNumberFormat="1">
      <alignment shrinkToFit="0" vertical="bottom" wrapText="0"/>
    </xf>
    <xf borderId="0" fillId="0" fontId="4" numFmtId="49" xfId="0" applyAlignment="1" applyFont="1" applyNumberFormat="1">
      <alignment readingOrder="0" shrinkToFit="0" vertical="bottom" wrapText="0"/>
    </xf>
    <xf borderId="0" fillId="0" fontId="4" numFmtId="49" xfId="0" applyAlignment="1" applyFont="1" applyNumberFormat="1">
      <alignment horizontal="center" readingOrder="0" shrinkToFit="0" vertical="bottom" wrapText="0"/>
    </xf>
    <xf borderId="0" fillId="0" fontId="4" numFmtId="0" xfId="0" applyAlignment="1" applyFont="1">
      <alignment horizontal="center" readingOrder="0" shrinkToFit="0" vertical="bottom" wrapText="0"/>
    </xf>
    <xf borderId="0" fillId="0" fontId="1" numFmtId="0" xfId="0" applyAlignment="1" applyFont="1">
      <alignment readingOrder="0" shrinkToFit="0" vertical="center" wrapText="0"/>
    </xf>
    <xf borderId="0" fillId="0" fontId="15" numFmtId="49" xfId="0" applyAlignment="1" applyFont="1" applyNumberFormat="1">
      <alignment readingOrder="0" shrinkToFit="0" vertical="bottom"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horizontal="center" readingOrder="0" shrinkToFit="0" vertical="center" wrapText="0"/>
    </xf>
    <xf borderId="0" fillId="0" fontId="4" numFmtId="0" xfId="0" applyAlignment="1" applyFont="1">
      <alignment readingOrder="0" shrinkToFit="0" vertical="bottom" wrapText="0"/>
    </xf>
    <xf borderId="0" fillId="0" fontId="1" numFmtId="49" xfId="0" applyAlignment="1" applyFont="1" applyNumberFormat="1">
      <alignment horizontal="center"/>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7">
    <tableStyle count="2" pivot="0" name="Enc. Familias-style">
      <tableStyleElement dxfId="1" type="firstRowStripe"/>
      <tableStyleElement dxfId="2" type="secondRowStripe"/>
    </tableStyle>
    <tableStyle count="2" pivot="0" name="Enc. Familias-style 2">
      <tableStyleElement dxfId="1" type="firstRowStripe"/>
      <tableStyleElement dxfId="2" type="secondRowStripe"/>
    </tableStyle>
    <tableStyle count="2" pivot="0" name="Enc. Familias-style 3">
      <tableStyleElement dxfId="1" type="firstRowStripe"/>
      <tableStyleElement dxfId="2" type="secondRowStripe"/>
    </tableStyle>
    <tableStyle count="2" pivot="0" name="Enc. Familias-style 4">
      <tableStyleElement dxfId="2" type="firstRowStripe"/>
      <tableStyleElement dxfId="1" type="secondRowStripe"/>
    </tableStyle>
    <tableStyle count="2" pivot="0" name="Enc. Familias-style 5">
      <tableStyleElement dxfId="2" type="firstRowStripe"/>
      <tableStyleElement dxfId="1" type="secondRowStripe"/>
    </tableStyle>
    <tableStyle count="2" pivot="0" name="Enc. Familias-style 6">
      <tableStyleElement dxfId="2" type="firstRowStripe"/>
      <tableStyleElement dxfId="1" type="secondRowStripe"/>
    </tableStyle>
    <tableStyle count="2" pivot="0" name="Enc. Familias-style 7">
      <tableStyleElement dxfId="1" type="firstRowStripe"/>
      <tableStyleElement dxfId="2" type="secondRowStripe"/>
    </tableStyle>
    <tableStyle count="2" pivot="0" name="Enc. Familias-style 8">
      <tableStyleElement dxfId="2" type="firstRowStripe"/>
      <tableStyleElement dxfId="1" type="secondRowStripe"/>
    </tableStyle>
    <tableStyle count="2" pivot="0" name="Enc. Docentes-style">
      <tableStyleElement dxfId="2" type="firstRowStripe"/>
      <tableStyleElement dxfId="1" type="secondRowStripe"/>
    </tableStyle>
    <tableStyle count="2" pivot="0" name="Enc. Docentes-style 2">
      <tableStyleElement dxfId="1" type="firstRowStripe"/>
      <tableStyleElement dxfId="2" type="secondRowStripe"/>
    </tableStyle>
    <tableStyle count="2" pivot="0" name="Enc. Docentes-style 3">
      <tableStyleElement dxfId="2" type="firstRowStripe"/>
      <tableStyleElement dxfId="1" type="secondRowStripe"/>
    </tableStyle>
    <tableStyle count="2" pivot="0" name="Enc. Docentes-style 4">
      <tableStyleElement dxfId="2" type="firstRowStripe"/>
      <tableStyleElement dxfId="1" type="secondRowStripe"/>
    </tableStyle>
    <tableStyle count="2" pivot="0" name="Enc. Docentes-style 5">
      <tableStyleElement dxfId="2" type="firstRowStripe"/>
      <tableStyleElement dxfId="1" type="secondRowStripe"/>
    </tableStyle>
    <tableStyle count="2" pivot="0" name="Enc. Docentes-style 6">
      <tableStyleElement dxfId="1" type="firstRowStripe"/>
      <tableStyleElement dxfId="2" type="secondRowStripe"/>
    </tableStyle>
    <tableStyle count="2" pivot="0" name="Enc. Docentes-style 7">
      <tableStyleElement dxfId="2" type="firstRowStripe"/>
      <tableStyleElement dxfId="1" type="secondRowStripe"/>
    </tableStyle>
    <tableStyle count="4" pivot="0" name="BBDD-style">
      <tableStyleElement dxfId="3" type="headerRow"/>
      <tableStyleElement dxfId="1" type="firstRowStripe"/>
      <tableStyleElement dxfId="4" type="secondRowStripe"/>
      <tableStyleElement dxfId="5" size="0" type="wholeTable"/>
    </tableStyle>
    <tableStyle count="4" pivot="0" name="BBDD-style 2">
      <tableStyleElement dxfId="3" type="headerRow"/>
      <tableStyleElement dxfId="1"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E592" sheet="Eva. Estudiantes"/>
  </cacheSource>
  <cacheFields>
    <cacheField name="UGT" numFmtId="49">
      <sharedItems>
        <s v="MINA"/>
        <s v="SAN MARCOS"/>
        <s v="HUARMEY"/>
        <s v="VALLE FORTALEZA"/>
      </sharedItems>
    </cacheField>
    <cacheField name="Provincia" numFmtId="49">
      <sharedItems>
        <s v="HUARI"/>
        <s v="HUARMEY"/>
        <s v="RECUAY"/>
        <s v="BOLOGNESI"/>
      </sharedItems>
    </cacheField>
    <cacheField name="Distrito" numFmtId="49">
      <sharedItems>
        <s v="SAN MARCOS"/>
        <s v="CHAVIN DE HUANTAR"/>
        <s v="SAN PEDRO DE CHANA"/>
        <s v="HUACHIS"/>
        <s v="HUARMEY"/>
        <s v="PARARIN"/>
        <s v="COLQUIOC"/>
        <s v="CAJACAY"/>
        <s v="ANTONIO RAYMONDI"/>
      </sharedItems>
    </cacheField>
    <cacheField name="Centro Poblado" numFmtId="49">
      <sharedItems>
        <s v="CARHUAYOC"/>
        <s v="CHAVIN DE HUANTAR"/>
        <s v="PUJUN"/>
        <s v="OPAYACO/OPAYACU"/>
        <s v="SANTA CRUZ DE MOSNA"/>
        <s v="WISHLLAC"/>
        <s v="CAMBIO 90"/>
        <s v="SAN CRISTOBAL DE TAMBO"/>
        <s v="SANTA CRUZ DE PICHIU"/>
        <s v="VISTOSO"/>
        <s v="HUANCAYOC"/>
        <s v="9 DE OCTUBRE"/>
        <s v="PUERTO HUARMEY"/>
        <s v="MARAVIA"/>
        <s v="PARARIN"/>
        <s v="LLAMA RUMI"/>
        <s v="HORNILLOS"/>
        <s v="LLAMPA"/>
        <s v="RINCONADA"/>
        <s v="AYASH PICHIU"/>
        <s v="HUARIPAMPA ALTO"/>
        <s v="HUARIPAMPA BAJO"/>
        <s v="HUARIPAMPA CENTRAL"/>
        <s v="COLCA"/>
        <s v="CAJACAY"/>
        <s v="RAQUIA"/>
        <s v="SANTA ROSA"/>
        <s v="CHASQUITAMBO"/>
        <s v="AYASH"/>
      </sharedItems>
    </cacheField>
    <cacheField name="Institución educativa" numFmtId="49">
      <sharedItems>
        <s v="248"/>
        <s v="124"/>
        <s v="109"/>
        <s v="099"/>
        <s v="435"/>
        <s v="690"/>
        <s v="LAS TRUCHAS"/>
        <s v="688"/>
        <s v="661"/>
        <s v="112"/>
        <s v="470"/>
        <s v="480"/>
        <s v="1609 ESTRELLITAS DE MAR"/>
        <s v="2626"/>
        <s v="394"/>
        <s v="030"/>
        <s v="028"/>
        <s v="1646"/>
        <s v="416 - Rinconada"/>
        <s v="475"/>
        <s v="098"/>
        <s v="416 - Huaripampa Bajo"/>
        <s v="689"/>
        <s v="616"/>
        <s v="048 ELVA BARBA TRINIDAD"/>
        <s v="451"/>
        <s v="1649"/>
        <s v="357"/>
        <s v="471"/>
      </sharedItems>
    </cacheField>
    <cacheField name="Nivel modular" numFmtId="49">
      <sharedItems>
        <s v="Inicial - Jardín"/>
        <s v="Inicial No Escolarizado"/>
      </sharedItems>
    </cacheField>
    <cacheField name="Cod modular" numFmtId="49">
      <sharedItems>
        <s v="0509711"/>
        <s v="0415745"/>
        <s v="1551753"/>
        <s v="1551738"/>
        <s v="1515246"/>
        <s v="1675040"/>
        <s v="0783226"/>
        <s v="1675024"/>
        <s v="1645506"/>
        <s v="1558782"/>
        <s v="1607118"/>
        <s v="1603620"/>
        <s v="0360305"/>
        <s v="1708239"/>
        <s v="1043934"/>
        <s v="1551553"/>
        <s v="1551554"/>
        <s v="1551555"/>
        <s v="1551556"/>
        <s v="1551548"/>
        <s v="0750026"/>
        <s v="1043652"/>
        <s v="1043653"/>
        <s v="1043654"/>
        <s v="1043655"/>
        <s v="1043656"/>
        <s v="1597608"/>
        <s v="1551720"/>
        <s v="1100635"/>
        <s v="1675032"/>
        <s v="1645373"/>
        <s v="0415869"/>
        <s v="1042829"/>
        <s v="1505023"/>
        <s v="0469999"/>
        <s v="1597566"/>
      </sharedItems>
    </cacheField>
    <cacheField name="Cod local" numFmtId="49">
      <sharedItems containsBlank="1">
        <s v="025227"/>
        <s v="717417"/>
        <s v="631664"/>
        <s v="631640"/>
        <s v="608381"/>
        <s v="759493"/>
        <m/>
        <s v="759474"/>
        <s v="728010"/>
        <s v="536228"/>
        <s v="671730"/>
        <s v="668902"/>
        <s v="025840"/>
        <s v="789744"/>
        <s v="033524"/>
        <s v="631450"/>
        <s v="631451"/>
        <s v="631452"/>
        <s v="631447"/>
        <s v="509734"/>
        <s v="033519"/>
        <s v="033520"/>
        <s v="033521"/>
        <s v="033522"/>
        <s v="033523"/>
        <s v="665178"/>
        <s v="631635"/>
        <s v="025251"/>
        <s v="759488"/>
        <s v="727925"/>
        <s v="019556"/>
        <s v="019387"/>
        <s v="606891"/>
        <s v="019636"/>
        <s v="665135"/>
      </sharedItems>
    </cacheField>
    <cacheField name="Grado" numFmtId="0">
      <sharedItems>
        <s v="Ini-4rto"/>
        <s v="Ini-5nto"/>
        <s v="Ini-3ero"/>
      </sharedItems>
    </cacheField>
    <cacheField name="Aula/Sección" numFmtId="0">
      <sharedItems containsBlank="1">
        <s v="4 años"/>
        <s v="5 años celeste"/>
        <s v="3 años amarillo"/>
        <s v="4 años verde"/>
        <s v="3 años azul"/>
        <s v="5 años rojo"/>
        <s v="5 años"/>
        <s v="3 años"/>
        <s v="3 años "/>
        <s v="Multinivel"/>
        <s v="4 y 5 años"/>
        <s v="3,4,5 años"/>
        <s v="3,4,y 5 años"/>
        <s v="3 y 4 años"/>
        <s v="4 años "/>
        <s v="Manzana"/>
        <s v="Naranja"/>
        <s v="Fresa"/>
        <m/>
      </sharedItems>
    </cacheField>
    <cacheField name="Apellidos y nombres" numFmtId="0">
      <sharedItems>
        <s v="Aparicio Garay Keira Yatziry"/>
        <s v="Carhuapoma Guerra Edward"/>
        <s v="Culla Espinoza Heidi Zuleyka"/>
        <s v="Flores Ticlo Jair Eithan "/>
        <s v="Garay Amado Granyelina Favela"/>
        <s v="Guerra Acevedo Sterling Yemil"/>
        <s v="Guerra Enrique Sebastián Liam"/>
        <s v="Huanca Valle Sahmir Said"/>
        <s v="Mendoza Mallqui Juan David"/>
        <s v="Obregon Guerra Yareli Corina"/>
        <s v="Osorio Lopez Victor Marino"/>
        <s v="Ramirez Nonlaya Thais Kahori"/>
        <s v="Rentera Gomez Felipe David"/>
        <s v="Rios Diaz Anyelina Yangmi"/>
        <s v="Valencia Salvador Kate Salome"/>
        <s v="Zorrila Davila Kayla Kaylita"/>
        <s v="Peña Cordova Yelina Valery"/>
        <s v="Pinto Montes Liam Yahir"/>
        <s v="Solis Muñoz Heyden Darnell"/>
        <s v="Solis Ramirez, Arriel Eythan"/>
        <s v="Fonseca Valenzuela Dylan Jeynner"/>
        <s v="Espinoza Tolentino Jaylin Aitana"/>
        <s v="Villanueva Mendoza Alhia Luana"/>
        <s v="Ramirez Montes Camila Briana"/>
        <s v="Poma Cutipa Yareli Yaslin"/>
        <s v="Cadilla Soto Alessia Rocio"/>
        <s v="Montes Paucar Dylan"/>
        <s v="Espinoza Ramirez Ayleen Esmeralda"/>
        <s v="Salas Montero Diederick Oveth"/>
        <s v="Pineda Sigueñas Roy"/>
        <s v="Espinoza Ramirez Arely"/>
        <s v="Solis Cigueñas Carlos"/>
        <s v="Caqui Chavez Dailyn Yameli"/>
        <s v="Castillo Ramos Frank Adriel"/>
        <s v="Chavez Vega Mayda Elynda"/>
        <s v="Loarte Blas Romina Jimena "/>
        <s v="Mogollon Solis Liam Andree"/>
        <s v="Pineda Espinoza Yassneth Naomy"/>
        <s v="Reyes Leiva Yarely Milena "/>
        <s v="Rojas Llashac Gael Jesús"/>
        <s v="Vargas Espinoza Jeremih Gael"/>
        <s v="Reyes Leiva Yajaira Mileydi"/>
        <s v="Anaya Hidalgo Clarisa Andrea"/>
        <s v="Anaya Solis Itzayana Maileh Leah"/>
        <s v="Diaz Dominguez Adaña Yashury"/>
        <s v="Ortega Leyva Medaly Angelina"/>
        <s v="Rubina Zorrilla Gareth Asiel"/>
        <s v="Asensios Rojas Dayhana Génesis"/>
        <s v="Felix Obregon Yesel Sofia "/>
        <s v="Garay Durán Jahir Leandro"/>
        <s v="Herrera Obregón Abigael Antonella"/>
        <s v="Leyva Mosquera Naim Owen"/>
        <s v="Ortiz Castro Evelin Victoria Valentina"/>
        <s v="Rojas Blas Ioneli Yosmel"/>
        <s v="Sánchez Álvaro Hans Christian Andersen"/>
        <s v="Sánchez Huayta Melanny Venhel"/>
        <s v="Cabrera Cabrera Axel Ciani"/>
        <s v="Campos Garay Yadira Yatziry"/>
        <s v="Garay Rojas Yulieth Alexia"/>
        <s v="Garay Solis Yareliz Daleska"/>
        <s v="Mauricio Fajardo Adiel Thiago"/>
        <s v="Quito Rivas Gretha Abathika"/>
        <s v="Sánchez Alvaro Liam Alexander"/>
        <s v="Amado Bañez Joseph Jeremiah"/>
        <s v="Enrique Melgarejo Zhen Sulin"/>
        <s v="Gomero Vargas Adryen Yerick"/>
        <s v="Sanchez Flores Danna Anyely"/>
        <s v="Vega montes Gael Jhovani"/>
        <s v="Quispe Rivera Vecman Ibrahim"/>
        <s v="Chavez Rivera Yelina Idalis"/>
        <s v="Rios Ramirez Angel Gabriel"/>
        <s v="Chavez Rivera Yuri Yasuri"/>
        <s v="Aquino Herrada Dylan Gabrie"/>
        <s v="Obregón Trujillo Afret Andry"/>
        <s v="Castro Raymundo Sari Alitza"/>
        <s v="Espinoza Aguirre Jayden Luay"/>
        <s v="CASTRO CAQUI, Neymar Junior"/>
        <s v="AQUINO RAMIREZ, Viviana Shomara"/>
        <s v="CASTRO EVANGELISTA, Jafed Shalem"/>
        <s v="CASTRO CAQUI, Andrea Valery"/>
        <s v="GARGATE OBREGON, Shana Tatiana"/>
        <s v="OBREGON FERNANDEZ, Yarely Diomira"/>
        <s v="Fernandez Aquino Jassiel Elohim"/>
        <s v="Aquino Gomez Zohemy Skarlet"/>
        <s v="Garay Alva Adriel Dyam"/>
        <s v="Castro Fernandez Ghinna Mileth"/>
        <s v="Gomez Melgarejo Yuliyat"/>
        <s v="Pimental Garay Estrella Sherlyn"/>
        <s v="Pimental Garay Cielo Andrea"/>
        <s v="Aquino Felix Samara Damaris"/>
        <s v="Cerna Obregón Gina Berenice"/>
        <s v="Garay Aquino Eriksen Oliver"/>
        <s v="Aquino Rosales Danna Alisson"/>
        <s v="Melgarejo Aquino Liam Jayden"/>
        <s v="Obregon Gadea Mia Isabella"/>
        <s v="Aquino Suarez Gael Loan"/>
        <s v="Melgarejo Francisco Yamilet Kaida"/>
        <s v="Ugarte Garay Roberson Efrain Fausto"/>
        <s v="Fernandez Chavez,Mikel Paolo"/>
        <s v="Gargate Obregon,Addiel Rooney"/>
        <s v="Vega Chavez,Zinri Hanani"/>
        <s v="Ugarte Perez,Juan David"/>
        <s v="Garay Caqui,Disann Abat"/>
        <s v="Zevallos Peña,John Benjamin"/>
        <s v="Roque Rimac,Juan Ghael"/>
        <s v="Aquino Garay,Mikkel Yefri"/>
        <s v="Castro Soto,Luan Patrick"/>
        <s v="Gargate Marcos,Lia Adriana"/>
        <s v="Anaya Gargate,Ashira Yurena"/>
        <s v="Andrade Guerra,Alba Alisse"/>
        <s v="Castro Aquino,Jazzlyn Giana"/>
        <s v="Chavez Garay,Fabricio River"/>
        <s v="Garay Calderon,Kasumi Valentina"/>
        <s v="Ugarte Ramirez,Yarely Carol"/>
        <s v="Anaya Gargate,Ashley Shayna"/>
        <s v="Camiliaga Castro,Helsing Ggael"/>
        <s v="Garay Guerra, Andrea Abigail"/>
        <s v="Illanes Castro,Arlenys Alejandra"/>
        <s v="Nina Ugarte,Sigrid Dayana"/>
        <s v="Pablo Rayna,Sarahi Valentina"/>
        <s v="Ramirez Gargate, Ivet Triana"/>
        <s v="Sanchez Trujillo, Lyan Benjamin"/>
        <s v="Yanac Guerra, Yareth Abigail"/>
        <s v="Garay Guerra, Alonso Esteban"/>
        <s v="DIAZ CHAVEZ, Mheraf Danahy"/>
        <s v="Sanchez Trujillo, Lyams Benjamin"/>
        <s v="Mauricio Javier, Kathy Sarai"/>
        <s v="Anaya Fernandez Luciana Mariluz"/>
        <s v="Anaya Obregon, Yeifer Asael"/>
        <s v="Obregon Espinoza, Merithsell Sthella"/>
        <s v="Pineda Rosales Gabriela"/>
        <s v="Trujillo Javier, Jhedin"/>
        <s v="Ramirez Villajuan, Yuliana"/>
        <s v="Peña Gargate Jimena Mayuri"/>
        <s v="GIL OBREGON, Emily"/>
        <s v="PIMENTEL CASTRO, Nijan Giana"/>
        <s v="PINEDA GOMEZ, Gadiel Eidhan"/>
        <s v="ZARZOSA FRANCISCO, Rothni"/>
        <s v="OBREGON SANCHEZ, Nesaret"/>
        <s v="CONDOR CASTRO, Belen"/>
        <s v="CAMPOS FERNANDEZ, Sumer Joseth"/>
        <s v="Suni"/>
        <s v="Daguberto"/>
        <s v="Arlet"/>
        <s v="Caleb"/>
        <s v="Sofia"/>
        <s v="Edric"/>
        <s v="Yamila"/>
        <s v="Yaretzi"/>
        <s v="Betzabe"/>
        <s v="Elieber"/>
        <s v="Esperanza"/>
        <s v="Nazli"/>
        <s v="Aysel"/>
        <s v="Ausbelt"/>
        <s v="Mateo"/>
        <s v="Esmelin"/>
        <s v="Emeli"/>
        <s v="Camila"/>
        <s v="Yadiel"/>
        <s v="Yesly"/>
        <s v="CIENFUEGOS AGUIRRE, Naeli Yenni"/>
        <s v="Velasquez Mariño, Alexis "/>
        <s v="AQUINO CASTRO, Keity Samara"/>
        <s v="Vela Aguirre, Mateo Santiago"/>
        <s v="CASTRO RIOS, Sandra Sunilda"/>
        <s v="Adriel"/>
        <s v="Arleth"/>
        <s v="Edrick"/>
        <s v="Yamsum"/>
        <s v="Sali"/>
        <s v="OBREGON CIENFUEGOS, Dhara Aylen"/>
        <s v="OBREGON CIENFUEGOS, Aylen Dhara"/>
        <s v="Chavez Aquino, Emely Sahori"/>
        <s v="TRUJILLO HUANUCO, Zeyneth Yamileth"/>
        <s v="ANAYA OBREGON, Raziel"/>
        <s v="CAMILOAGA OBREGON, Yarly Jimena"/>
        <s v="OBREGON ALBORNOZ, Josue Santiago"/>
        <s v="OBREGON ANAYA, Kamila Alexa"/>
        <s v="Vargas Garay, Benzema Jesus"/>
        <s v=" Trujillo Gargate, Thiago Gael"/>
        <s v="Canares Camilhuada, Pamela Nohemi"/>
        <s v="Sanchez Calderón Génesis Josleny"/>
        <s v="Leyva Rosario, Ethan Jaziel"/>
        <s v="Aquino Gargate, Zoe Cora"/>
        <s v="Garay Castro, Darien Aron"/>
        <s v="Guerra Carhuapoma, Ureil Usias"/>
        <s v="Castro Espinoza, Bricelly Mayte"/>
        <s v="Nevin Ramirez, Dayra Yamilé"/>
        <s v="Espinoza Ramirez, Khaleesi Daenerys"/>
        <s v="Santamaria Espinoza, Kael Klinton"/>
        <s v="Utrilla Obregon, Yeremy Jonatan"/>
        <s v="CHAVEZ AQUINO, Santiago Salay"/>
        <s v="ARAUJO UGARTE, Yinder Hilmer"/>
        <s v="BLAS TARAZONA, Seynep Merlia"/>
        <s v="LIVIAS GUERRA, Ghina Ceyneph "/>
        <s v="LAGUNA MORENO, Ipman Erick"/>
        <s v="RODRIGUEZ GODOY, Yeraldin Helen"/>
        <s v="GUERRA MIRAVAL, Valery Alexandra"/>
        <s v="Quiñones Trujillo, Génesis"/>
        <s v="QUISPE LAGUNA, Sayury Estrella"/>
        <s v="LAGUNA CAQUI, Jacob Eugenio"/>
        <s v="GARAY CASTRO, Alexa Cindi"/>
        <s v="AGUIRRE TRUJILLO, Briseida Eyleen"/>
        <s v="Rodriguez Caqui, Nicolás Romario"/>
        <s v="ESPINOZA OBREGON, Xiana Arley"/>
        <s v="Cosme Tripiani Nazareth"/>
        <s v="Mendoza Leyva Shany"/>
        <s v="Moreno León Margarita"/>
        <s v="Castillo Huaman Euz"/>
        <s v="Barreto Mendez Mayzer"/>
        <s v="Romero Codillo Alessandro"/>
        <s v="Quesada Sanchez Alexa"/>
        <s v="Mota Huavan Nijam"/>
        <s v="Garcia Gamboa Luz"/>
        <s v="Castillo Castillo Derek"/>
        <s v="Cordoba Quiroz Dayla"/>
        <s v="Castillo Vasquez Zoe"/>
        <s v="Cueva Vasquez Sergio"/>
        <s v="Manrique Macalupu Abel"/>
        <s v="Mejia Quiroz Frida"/>
        <s v="Ramirez Flores Elva"/>
        <s v="Vega Gonzalez Noah"/>
        <s v="Amaya Emir"/>
        <s v="Gularte Noah"/>
        <s v="Olivares Geraldine"/>
        <s v="Peña Danna"/>
        <s v="Rasga Dylan"/>
        <s v="Salinas Danica"/>
        <s v="Armas Angel"/>
        <s v="Chauca Thiago"/>
        <s v="Condor Hostin"/>
        <s v="Cruz Emilya"/>
        <s v="Flores Ivanna"/>
        <s v="Flores Shessira"/>
        <s v="Gonzales Khalessi"/>
        <s v="llasquiso Maatthew"/>
        <s v="Melgarejo Mely"/>
        <s v="Niño Mateo"/>
        <s v="Pulido Luna"/>
        <s v="Reyes Moises"/>
        <s v="Tipiani Tobias"/>
        <s v="Toledo Omar"/>
        <s v="Zata Antonella"/>
        <s v="Leon Fabianna"/>
        <s v="Cenepo Olivares Carlos"/>
        <s v="Camones Leon Salvador"/>
        <s v="Leon Valentin"/>
        <s v="Salasar Kalessi"/>
        <s v="Farromeque Flores Sebastian"/>
        <s v="Abad Dolores Yusef Zamir"/>
        <s v="Abad Dolores Zeynep Melek"/>
        <s v="Cosme Cadillo Elder Ethson"/>
        <s v="Guerrero Burga Dereck Yadiel"/>
        <s v="Sigueñas Gomez Stefany Leydy"/>
        <s v="Mejia Rodriguez Maryori Lisandra"/>
        <s v="Guerrero Fabian Naomi"/>
        <s v="Doroteo Blas Brenda Victoria"/>
        <s v="De la Cruz Pomano Yasuri"/>
        <s v="Ramirez Rojas, Ismael"/>
        <s v="Jara Roque, Melani"/>
        <s v="Requena Valverde, Nahara"/>
        <s v="Rodriguez Espada, Jhana"/>
        <s v="Cruz Cueva, Valeska"/>
        <s v="Isneros Matos, Celeste"/>
        <s v="Perez Baca, Rodrigo"/>
        <s v="Rosales Paico, Yuleysi"/>
        <s v="Romero Portilla, Isabel"/>
        <s v="Espiritu Flores, Fabricio"/>
        <s v="Flores Castromonte, Stéfano"/>
        <s v="Asencios Reyes, Edrick"/>
        <s v="Asencios Cueva, Alessia"/>
        <s v="Villalobos Zambrano, Lisbeth"/>
        <s v="Curi Palomino, Iker"/>
        <s v="Zambrano Diaz, Nicolas"/>
        <s v="Bello Bustos, Grace"/>
        <s v="Patricio Bustos, Selim "/>
        <s v="Chang Torres, Leyla"/>
        <s v="Doroteo Villafuerte, Adriana "/>
        <s v="Paico Jimenez, Azumi"/>
        <s v="Favian Venturo, Liam "/>
        <s v="Pantoja Cabrera, Sandro "/>
        <s v="Contreraz Huaman, Juaquin Andres"/>
        <s v="Tamayo Rodriguez, Matusalén"/>
        <s v="Maguiña Moreno, Dariel"/>
        <s v="Moreno Celestino, Percy"/>
        <s v="Fabian Depaz, Josep"/>
        <s v="Bustos Huaman, Neytan"/>
        <s v="Romero Roca, Adrián"/>
        <s v="Flores Maguiña, Victor"/>
        <s v="Galvez Bello, Alondra"/>
        <s v="Bello Salcedo, Sherelyn"/>
        <s v="Fabian Pardo, Yonel"/>
        <s v="Gomez Requena, Nihan"/>
        <s v="CRUZ RAMÍREZ NAYDA MEDALI"/>
        <s v="RAMÍREZ AMARO CIARA"/>
        <s v="TACO VERAMENDI LUCIO"/>
        <s v="ESPINOZA FLORES SAMIRA"/>
        <s v="ALVAREZ CARRILLO, Nicolas Styben"/>
        <s v="ALVAREZ CHAVEZ, Thiago Liam"/>
        <s v="ALVAREZ TACO, Dariel Brismar Dael"/>
        <s v="AQUINO ARAUJO, Everton Tiago"/>
        <s v="CAMILOAGA AQUINO, Moises Lecerio"/>
        <s v="CAMPOS CAMILOAGA, Eric Dilan"/>
        <s v="CANARES RIVERA, Zeynep Aysel"/>
        <s v="GOMEZ TICLO, Kazuma Sato"/>
        <s v="PINEDA ALVAREZ, Anabel Aneyra"/>
        <s v="RAMIREZ GARAY, Camila Sofia"/>
        <s v="RAMIREZ VERAMENDI, Heydy Meriyem"/>
        <s v="TRUJILLO PINEDA, Waly Favinho"/>
        <s v="UGARTE RAMIREZ, Caylin Zoe"/>
        <s v="VEGA GARAY, Beba Sarilu"/>
        <s v="FERNANDEZ REYES, Jackson Guzmán"/>
        <s v="PINEDA ARAUJO, Sunmi Anyeli"/>
        <s v="RAMIREZ TOLENTINO, Beckham Griezmann"/>
        <s v="VILCA FERNANDEZ, Flormira"/>
        <s v="AGUIRRE LOARTE, Linseyó Eloy"/>
        <s v="ALVARADO ANAYA, Eydan Yahir"/>
        <s v="ANAYA ALBORNOZ, Guisell Anahi"/>
        <s v="ANAYA BLAS, Yeilin Madaith"/>
        <s v="ANAYA ESPINOZA, Abby Yomira"/>
        <s v="ANAYA ROBLES, Milan Eriksen"/>
        <s v="ANAYA SALAZAR, Zayn Jorge Gabriel"/>
        <s v="ARIZA OSORIO, Rozalice Kataleya"/>
        <s v="BRIOSO BLAS, Danna Alessandra"/>
        <s v="CAMILOAGA ANAYA, Danna Aitana"/>
        <s v="CHAVEZ ANAYA, Dylan Fernando"/>
        <s v="CHAVEZ MEJIA, Yahir Aaron"/>
        <s v="DIAZ VERAMENDI, Jakob Paul"/>
        <s v="ESPINOZA BAUTISTA, Akiro Kenai"/>
        <s v="HUAYTA SOLORZANO, Kaylina Mikaela"/>
        <s v="PALACIOS COLONIA, Yandel Abel"/>
        <s v="SURCCO BRIOSO, Zaid Anthony"/>
        <s v="AMADO FIERRO, Khalessy Valentina"/>
        <s v="BRIOSO PALACIOS, Shonaly Yajhaira"/>
        <s v="CABANILLAS VERAMENDI, Yaiza Yetzaly"/>
        <s v="GARAY CALDERON, Geral Adriel"/>
        <s v="GARAY RUBINA, Iker Lionel"/>
        <s v="LOARTE DIAZ, Maite Zoe"/>
        <s v="LOARTE MORALES, Yerik Aldair"/>
        <s v="MAURICIO ANAYA, Zendaya Harleth"/>
        <s v="MEJIA CASTRO, Brisney Briana"/>
        <s v="MEJIA OLIVAS, Yuneth Yatziri"/>
        <s v="PALACIOS DIAZ, Yamil Dylan"/>
        <s v="RAMIREZ LOARTE, Yamileth Keylin"/>
        <s v="ROBLES GUERRA, Yordan Alexis"/>
        <s v="VALLE TARAZONA, Lian Fernando"/>
        <s v="VARILLAS ANAYA, lan Zaid"/>
        <s v="AGUIRRE SALVADOR, Leonel Fabricio"/>
        <s v="ANAYA AGURTO, Jenesiz Daniza Esmeralda"/>
        <s v="ANAYA CAMPOS, Youssef Hazan"/>
        <s v="BLAS ANAYA, Paulo Henderson"/>
        <s v="CALDERON CULLA, Xareni Zulema"/>
        <s v="CARHUAPOMA MARZANO, Kael Eliceo"/>
        <s v="CHAVEZ SOLORZANO, Jhamilton Matias"/>
        <s v="DIONICIO ROJAS, Josabet Cristel"/>
        <s v="LOARTE ALBORNOZ, Joshua Zahir"/>
        <s v="LOARTE CASTRO, Yildiz Estrella"/>
        <s v="LOARTE FAJARDO, Estiben Karim"/>
        <s v="MEJIA SALVADOR, Ada Adaly"/>
        <s v="PALACIOS RIMAC, Russell Jhonatan"/>
        <s v="RAMIREZ AQUINO, Brihana Zuley"/>
        <s v="REYES UBALDO, Jeik Yamir"/>
        <s v="VALLE MAURICIO, Kylian Keylor"/>
        <s v="CABRERA YUPA, Maite Kiara"/>
        <s v="CALANCHO SANTA CRUZ, Yashira Ivana"/>
        <s v="DAVILA SOLIS, Milan Gael"/>
        <s v="GUERRA UGARTE, Jaziel Elmer"/>
        <s v="LOARTE VASQUEZ, Mirella Yissel"/>
        <s v="MARZANO GUILLERMO, Anahi Anyileth"/>
        <s v="MEDINA VASQUEZ, Jharlyn Allison"/>
        <s v="REYES CALANCHO YANNIS"/>
        <s v="REYES SANTA CRUZ, Mariafernanda"/>
        <s v="RIVERA GUERRA, Iker Derek"/>
        <s v="ROJAS GUILLEN, Iker Zaid"/>
        <s v="UGARTE ARIVILCA YERICK"/>
        <s v="ALFARO INGA, Jesslyn Adelit"/>
        <s v="BLAS CALDERON, Yhasmin Yhakira"/>
        <s v="BLAS RIVERA, Gianna Danira"/>
        <s v="GOMEZ VASQUEZ, Eliam Sebastian"/>
        <s v="LOARTE SIFUENTES, Julieth Medali"/>
        <s v="MEJIA BRIOSO, Dayra Yaretzi"/>
        <s v="RAMIREZ CHÁVEZ, Valentina Rocío"/>
        <s v="RAMOS CASTILLO, Kiara Valeria"/>
        <s v="SALAZAR NOLBERTO, Kendra Maylen"/>
        <s v="SIFUENTES ANAYA, Dylan Mateo"/>
        <s v="VALENZUELA MEDINA, Jaziel Gael"/>
        <s v="VERAMENDI BAZAN, Donald Yandel"/>
        <s v="ALBORNOZ SANTIAGO, Mayra Briana"/>
        <s v="ARAUJO LOZADA, Abigail Zhuimy"/>
        <s v="CALDERON AQUINO, Jeremy Alexandro"/>
        <s v="CALDERON TOLENTINO, lyan Eriksen"/>
        <s v="CHAVEZ ANAYA, Aylan Jassiel"/>
        <s v="GOMEZ VASQUEZ, Jhuniel Isan"/>
        <s v="MEJIA ARIAS, Danna Arlet"/>
        <s v="NAVARRO UGARTE, Eythan Adrián"/>
        <s v="PAJUELO CALANCHO, Piero Antony"/>
        <s v="RODRIGUEZ GARAY, Gael Alessandro"/>
        <s v="SALAZAR OBREGON, Amira Dayan Arely"/>
        <s v="VASQUEZ PINEDA, Daymy Giselle"/>
        <s v="VERAMENDI ALBORNOZ, Jhosef Debrahan"/>
        <s v="OLIVAS CASTILLO JOSUE ELIAQUIN"/>
        <s v="SALAZAR SALVADOR YOSFRAN LINDER"/>
        <s v="TREJO CASTRO LUZ ADIRA"/>
        <s v="VASQUEZ HUERTA DAYMAR BAHIR"/>
        <s v="VARGAS GOMEZ YACELI JANA"/>
        <s v="MEDINA GOMEZ ANDREA ESTEFANY"/>
        <s v="BRIOSO ANAYA SAORI VALENTINA"/>
        <s v="FONSECA VERAMENDI DAFNE ENGELL"/>
        <s v="RIVERA ALMERCON ANGELICA VALENTINA"/>
        <s v="ALMERCON DIAZ DAYARA JEYSI"/>
        <s v="BRIOSO ANAYA, Heydi Brunella"/>
        <s v="BRIOSO CIPRIAN, Catalina Yamilet"/>
        <s v="HUERTA GARAY, Alessia Cristel"/>
        <s v="MEDINA GOMEZ, Adelina Esmeralda"/>
        <s v="VALENZUELA UGARTE, Jahiel Yereli"/>
        <s v="DAVID "/>
        <s v="ALONSO 1"/>
        <s v="DANIELA"/>
        <s v="SELIM"/>
        <s v="DALESHKA"/>
        <s v="ALEXIA"/>
        <s v="ADIEL"/>
        <s v="GAEL"/>
        <s v="ALONSO"/>
        <s v="EDERSON"/>
        <s v="EDRIK"/>
        <s v="ELIASAR"/>
        <s v="ZEINEP"/>
        <s v="ARTHUR"/>
        <s v="CATALINA"/>
        <s v="KAELY"/>
        <s v="JEREMY"/>
        <s v="JULEN"/>
        <s v="BIANCA"/>
        <s v="CHELSSI"/>
        <s v="YAMIR "/>
        <s v="LUANA"/>
        <s v="LIAM"/>
        <s v="SAORI"/>
        <s v="THIAGO "/>
        <s v="MAYLEN "/>
        <s v="CAMILA "/>
        <s v="EMILY"/>
        <s v="DAVE"/>
        <s v="AYLIN "/>
        <s v="LHIAM"/>
        <s v="MILAN"/>
        <s v="AXEL"/>
        <s v="DAILA"/>
        <s v="ETHAN"/>
        <s v="ALEXIS"/>
        <s v="HANSEL"/>
        <s v="YEILON"/>
        <s v="JOSE"/>
        <s v="ANGELLY"/>
        <s v="JHEREMY"/>
        <s v="ABIGAIL"/>
        <s v="IVANA"/>
        <s v="YARITZA"/>
        <s v="XIANA"/>
        <s v="EMANUEL"/>
        <s v="ROSSEL"/>
        <s v="YOSANDER"/>
        <s v="DAILYN"/>
        <s v="Pacheco Quiñones, Johan"/>
        <s v="Alarcon Sifuentes, Lirio"/>
        <s v="Huaranga Benito, Yasiel"/>
        <s v="Aguirre Huertas, Dherian"/>
        <s v="Diaz Lopez, Harold"/>
        <s v="Quijano Doroteo, Leizhy"/>
        <s v="Camones Broncano, Dominik"/>
        <s v="Romero Diaz, Alessandra"/>
        <s v="Sanchez Huarancca, Sebastian"/>
        <s v="Vasquez Doroteo, Dafhne"/>
        <s v="Arteaga Rojas, Eithan"/>
        <s v="Julca Vergara, Luis"/>
        <s v="Jaramillo Diaz, Briana"/>
        <s v="Salcedo Bottoni, Solange"/>
        <s v="Manihuari Parana, Caely"/>
        <s v="Tello-Mena Jumpa, Kendra"/>
        <s v="Hidalgo Pantoja, Alondra"/>
        <s v="Rivera Requelme, Alexio"/>
        <s v="Camones Broncano, Price"/>
        <s v="Gonzales Arustegui, Missael"/>
        <s v="Requena Diaz, Jayden"/>
        <s v="Varela Sanchez, Aylin"/>
        <s v="Mayta Salina, Frank"/>
        <s v="Pisco Retuerto, Lucas"/>
        <s v="Rosales Manrique, Vania"/>
        <s v="Mendoza Huaman, Arav"/>
        <s v="Velasquez Gerrero, Valentina"/>
        <s v="Flores Diaz, Darell"/>
        <s v="Pomiano De La Cruz, Stiven"/>
        <s v="Sanchez Alarcon, Stephen"/>
        <s v="Huaman Espinoza, Auba"/>
        <s v="Fernandez Sales, Miguel"/>
        <s v="Diaz Lopez, Heiton"/>
        <s v="Villadeza Albornoz, Alexis Jahir"/>
        <s v="Ugarte Reyes, Thiago Dahizuke"/>
        <s v="Carrillo Calixto, Yerik Enzo"/>
        <s v="Espinoza Rimac, Joshua Jhoshimar"/>
        <s v="Fernandez Albornoz, Ashly Aliso"/>
        <s v="Obregon Veramendi, Dylan Wagner"/>
        <s v="Albornos Julca, Yareli Maribel "/>
        <s v="Ramirez Espinoza, Thiago Alexsis"/>
        <s v="Rojas Ugarte, Liam Valentino"/>
        <s v="Ugarte Santillan, Ibeth Yaslyn"/>
        <s v="Reyes Huayta, Yamilet Emelin"/>
      </sharedItems>
    </cacheField>
    <cacheField name="Fecha de aplicación">
      <sharedItems containsDate="1" containsMixedTypes="1">
        <d v="2025-07-14T00:00:00Z"/>
        <d v="2025-07-11T00:00:00Z"/>
        <d v="2025-07-05T00:00:00Z"/>
        <d v="2025-07-15T00:00:00Z"/>
        <d v="2025-07-03T00:00:00Z"/>
        <d v="2025-07-02T00:00:00Z"/>
        <d v="2025-07-04T00:00:00Z"/>
        <d v="2025-11-04T00:00:00Z"/>
        <d v="2025-11-05T00:00:00Z"/>
        <d v="2025-06-23T00:00:00Z"/>
        <d v="2025-11-07T00:00:00Z"/>
        <d v="2025-11-11T00:00:00Z"/>
        <d v="2025-11-12T00:00:00Z"/>
        <d v="2025-08-19T00:00:00Z"/>
        <d v="2025-11-19T00:00:00Z"/>
        <d v="2025-06-25T00:00:00Z"/>
        <d v="2025-06-18T00:00:00Z"/>
        <d v="2025-06-20T00:00:00Z"/>
        <d v="2025-06-19T00:00:00Z"/>
        <d v="2025-06-26T00:00:00Z"/>
        <d v="2025-06-24T00:00:00Z"/>
        <d v="2025-07-09T00:00:00Z"/>
        <d v="2025-07-10T00:00:00Z"/>
        <d v="2025-06-30T00:00:00Z"/>
        <s v="1//7/2025"/>
        <d v="2025-07-22T00:00:00Z"/>
      </sharedItems>
    </cacheField>
    <cacheField name="Corte de evaluación" numFmtId="0">
      <sharedItems>
        <s v="Pre test (diagnóstico)"/>
        <s v="Post test (cierre)"/>
      </sharedItems>
    </cacheField>
    <cacheField name="Identifica al menos 3 emociones básicas al observar imágenes" numFmtId="0">
      <sharedItems>
        <s v="Evidencia suficiente: el niño/a lo realiza o verbaliza con claridad y de forma autónoma"/>
        <s v="Evidencia parcial: el niño/a lo realiza con ayuda, duda o lo menciona sin claridad"/>
        <s v="No hay evidencia observable"/>
      </sharedItems>
    </cacheField>
    <cacheField name="Representa gráficamente dos emociones con rasgos diferenciados" numFmtId="0">
      <sharedItems>
        <s v="Evidencia parcial: el niño/a lo realiza con ayuda, duda o lo menciona sin claridad"/>
        <s v="Evidencia suficiente: el niño/a lo realiza o verbaliza con claridad y de forma autónoma"/>
        <s v="No hay evidencia observable"/>
      </sharedItems>
    </cacheField>
    <cacheField name="Relaciona una emoción con una experiencia personal" numFmtId="0">
      <sharedItems>
        <s v="Evidencia suficiente: el niño/a lo realiza o verbaliza con claridad y de forma autónoma"/>
        <s v="Evidencia parcial: el niño/a lo realiza con ayuda, duda o lo menciona sin claridad"/>
        <s v="No hay evidencia observable"/>
      </sharedItems>
    </cacheField>
    <cacheField name="Reconoce una emoción incómoda en sí mismo.">
      <sharedItems containsMixedTypes="1" containsNumber="1" containsInteger="1">
        <s v="Evidencia suficiente: el niño/a lo realiza o verbaliza con claridad y de forma autónoma"/>
        <s v="Evidencia parcial: el niño/a lo realiza con ayuda, duda o lo menciona sin claridad"/>
        <s v="No hay evidencia observable"/>
        <n v="3.0"/>
      </sharedItems>
    </cacheField>
    <cacheField name="Participa en una estrategia de autorregulación (ej. respiración)" numFmtId="0">
      <sharedItems>
        <s v="Evidencia suficiente: el niño/a lo realiza o verbaliza con claridad y de forma autónoma"/>
        <s v="Evidencia parcial: el niño/a lo realiza con ayuda, duda o lo menciona sin claridad"/>
        <s v="No hay evidencia observable"/>
      </sharedItems>
    </cacheField>
    <cacheField name="Identifica una situación en la que podría usar la estrategia" numFmtId="0">
      <sharedItems>
        <s v="Evidencia parcial: el niño/a lo realiza con ayuda, duda o lo menciona sin claridad"/>
        <s v="Evidencia suficiente: el niño/a lo realiza o verbaliza con claridad y de forma autónoma"/>
        <s v="No hay evidencia observable"/>
      </sharedItems>
    </cacheField>
    <cacheField name="Identifica correctamente la emoción de otra persona" numFmtId="0">
      <sharedItems>
        <s v="Evidencia suficiente: el niño/a lo realiza o verbaliza con claridad y de forma autónoma"/>
        <s v="No hay evidencia observable"/>
        <s v="Evidencia parcial: el niño/a lo realiza con ayuda, duda o lo menciona sin claridad"/>
      </sharedItems>
    </cacheField>
    <cacheField name="Justifica su respuesta con base en la imagen">
      <sharedItems containsMixedTypes="1" containsNumber="1" containsInteger="1">
        <s v="Evidencia suficiente: el niño/a lo realiza o verbaliza con claridad y de forma autónoma"/>
        <s v="Evidencia parcial: el niño/a lo realiza con ayuda, duda o lo menciona sin claridad"/>
        <s v="No hay evidencia observable"/>
        <n v="4.0"/>
      </sharedItems>
    </cacheField>
    <cacheField name="Relaciona la emoción ajena con una experiencia propia">
      <sharedItems containsMixedTypes="1" containsNumber="1" containsInteger="1">
        <s v="Evidencia parcial: el niño/a lo realiza con ayuda, duda o lo menciona sin claridad"/>
        <s v="Evidencia suficiente: el niño/a lo realiza o verbaliza con claridad y de forma autónoma"/>
        <s v="No hay evidencia observable"/>
        <n v="4.0"/>
      </sharedItems>
    </cacheField>
    <cacheField name="Escucha y responde a las acciones/palabras del otro" numFmtId="0">
      <sharedItems>
        <s v="Evidencia parcial: el niño/a lo realiza con ayuda, duda o lo menciona sin claridad"/>
        <s v="Evidencia suficiente: el niño/a lo realiza o verbaliza con claridad y de forma autónoma"/>
        <s v="No hay evidencia observable"/>
        <s v="|"/>
      </sharedItems>
    </cacheField>
    <cacheField name="Respeta turnos o espera con paciencia" numFmtId="0">
      <sharedItems>
        <s v="Evidencia parcial: el niño/a lo realiza con ayuda, duda o lo menciona sin claridad"/>
        <s v="Evidencia suficiente: el niño/a lo realiza o verbaliza con claridad y de forma autónoma"/>
        <s v="No hay evidencia observable"/>
      </sharedItems>
    </cacheField>
    <cacheField name="Coopera para lograr un objetivo común" numFmtId="0">
      <sharedItems>
        <s v="No hay evidencia observable"/>
        <s v="Evidencia parcial: el niño/a lo realiza con ayuda, duda o lo menciona sin claridad"/>
        <s v="Evidencia suficiente: el niño/a lo realiza o verbaliza con claridad y de forma autónoma"/>
      </sharedItems>
    </cacheField>
    <cacheField name="Reconoce que las acciones tienen consecuencias" numFmtId="0">
      <sharedItems>
        <s v="Evidencia suficiente: el niño/a lo realiza o verbaliza con claridad y de forma autónoma"/>
        <s v="No hay evidencia observable"/>
        <s v="Evidencia parcial: el niño/a lo realiza con ayuda, duda o lo menciona sin claridad"/>
      </sharedItems>
    </cacheField>
    <cacheField name="Propone una acción positiva o prosocial" numFmtId="0">
      <sharedItems>
        <s v="Evidencia parcial: el niño/a lo realiza con ayuda, duda o lo menciona sin claridad"/>
        <s v="Evidencia suficiente: el niño/a lo realiza o verbaliza con claridad y de forma autónoma"/>
        <s v="No hay evidencia observable"/>
      </sharedItems>
    </cacheField>
    <cacheField name="Justifica su elección de forma comprensible">
      <sharedItems containsMixedTypes="1" containsNumber="1" containsInteger="1">
        <s v="Evidencia parcial: el niño/a lo realiza con ayuda, duda o lo menciona sin claridad"/>
        <s v="Evidencia suficiente: el niño/a lo realiza o verbaliza con claridad y de forma autónoma"/>
        <s v="No hay evidencia observable"/>
        <n v="3.0"/>
      </sharedItems>
    </cacheField>
    <cacheField name="Comentarios" numFmtId="0">
      <sharedItems containsBlank="1">
        <m/>
        <s v="Difcicultades en el lenguaje expresivo"/>
        <s v="Dificultad en el lenguaje expresivo"/>
        <s v="TEA - No deseó participar"/>
        <s v="TEA"/>
        <s v="Permanece en silencio, no se comunica oralmente, conducta retraída. Sin embargo, mantiene la atención a las actividades que se realizan. Las docentes refieren que es tímido y que no suele expresarse."/>
      </sharedItems>
    </cacheField>
    <cacheField name="Facilitador/a" numFmtId="0">
      <sharedItems containsBlank="1">
        <s v="Stephany Decheco Vera"/>
        <s v="Jackelyn Juro Dueñas"/>
        <m/>
        <s v="Andrea Cabellos"/>
        <s v="Arely Rojas Beraun"/>
        <s v="Antonella Espinoza Ramos"/>
        <s v="Natalya Davil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1144" sheet="Asistencias"/>
  </cacheSource>
  <cacheFields>
    <cacheField name="}" numFmtId="0">
      <sharedItems containsString="0" containsBlank="1">
        <m/>
      </sharedItems>
    </cacheField>
    <cacheField name=" " numFmtId="49">
      <sharedItems containsBlank="1">
        <s v="VALLE FORTALEZA"/>
        <s v="HUARMEY"/>
        <s v="MINA"/>
        <s v="SAN MARCOS"/>
        <m/>
      </sharedItems>
    </cacheField>
    <cacheField name="Provincia" numFmtId="49">
      <sharedItems containsBlank="1">
        <s v="BOLOGNESI"/>
        <s v="HUARMEY"/>
        <s v="RECUAY"/>
        <s v="HUARI"/>
        <m/>
      </sharedItems>
    </cacheField>
    <cacheField name=" 2" numFmtId="49">
      <sharedItems containsBlank="1">
        <s v="COLQUIOC"/>
        <s v="HUARMEY"/>
        <s v="PARARIN"/>
        <s v="CAJACAY"/>
        <s v="ANTONIO RAYMONDI"/>
        <s v="HUACHIS"/>
        <s v="SAN MARCOS"/>
        <s v="SAN PEDRO DE CHANA"/>
        <s v="CHAVIN DE HUANTAR"/>
        <m/>
      </sharedItems>
    </cacheField>
    <cacheField name="Centro Poblado" numFmtId="49">
      <sharedItems containsBlank="1">
        <s v="LLAMA RUMI"/>
        <s v="PUERTO HUARMEY"/>
        <s v="MARAVIA"/>
        <s v="PARARIN"/>
        <s v="9 DE OCTUBRE"/>
        <s v="COLCA"/>
        <s v="SANTA ROSA"/>
        <s v="RAQUIA"/>
        <s v="RINCONADA"/>
        <s v="HORNILLOS"/>
        <s v="LLAMPA"/>
        <s v="AYASH PICHIU"/>
        <s v="AYASH HUARIPAMPA"/>
        <s v="HUARIPAMPA BAJO"/>
        <s v="HUARIPAMPA ALTO"/>
        <s v="HUARIPAMPA CENTRAL"/>
        <s v="SANTA CRUZ DE PICHIU"/>
        <s v="VISTOSO"/>
        <s v="WISHLLAC"/>
        <s v="CAMBIO 90"/>
        <s v="HUANCAYOC"/>
        <s v="SAN CRISTOBAL DE TAMBO"/>
        <s v="CHASQUITAMBO"/>
        <s v="CARHUAYOC"/>
        <s v="OPAYACO/OPAYACU"/>
        <s v="CHAVIN DE HUANTAR"/>
        <s v="SANTA CRUZ DE MOSNA"/>
        <s v="PUJUN"/>
        <s v="CAJACAY"/>
        <m/>
      </sharedItems>
    </cacheField>
    <cacheField name="Institución educativa" numFmtId="49">
      <sharedItems containsBlank="1">
        <s v="030"/>
        <s v="1609 ESTRELLITAS DE MAR"/>
        <s v="2626"/>
        <s v="394"/>
        <s v="480"/>
        <s v="616"/>
        <s v="1649"/>
        <s v="451"/>
        <s v="416 - Rinconada"/>
        <s v="028"/>
        <s v="1646"/>
        <s v="475"/>
        <s v="471"/>
        <s v="416 - Huaripampa Bajo"/>
        <s v="098"/>
        <s v="689"/>
        <s v="661"/>
        <s v="112"/>
        <s v="690"/>
        <s v="LAS TRUCHAS"/>
        <s v="470"/>
        <s v="688"/>
        <s v="357"/>
        <s v="248"/>
        <s v="099"/>
        <s v="124"/>
        <s v="435"/>
        <s v="109"/>
        <s v="LOS PALILLOS"/>
        <s v="048 ELVA BARBA TRINIDAD"/>
        <m/>
      </sharedItems>
    </cacheField>
    <cacheField name="Nivel modular" numFmtId="49">
      <sharedItems containsBlank="1">
        <s v="Inicial - Jardín"/>
        <s v="Inicial No Escolarizado"/>
        <m/>
      </sharedItems>
    </cacheField>
    <cacheField name="Cod modular" numFmtId="49">
      <sharedItems containsBlank="1">
        <s v="1551555"/>
        <s v="0360305"/>
        <s v="1708239"/>
        <s v="1043934"/>
        <s v="1603620"/>
        <s v="1645373"/>
        <s v="1505023"/>
        <s v="1042829"/>
        <s v="1043652"/>
        <s v="1551548"/>
        <s v="0750026"/>
        <s v="1597608"/>
        <s v="1597566"/>
        <s v="1100635"/>
        <s v="1551720"/>
        <s v="1675032"/>
        <s v="1645506"/>
        <s v="1558782"/>
        <s v="1675040"/>
        <s v="0783226"/>
        <s v="1607118"/>
        <s v="1675024"/>
        <s v="0469999"/>
        <s v="0509711"/>
        <s v="1551738"/>
        <s v="0415745"/>
        <s v="1515246"/>
        <s v="1551753"/>
        <s v="3877654"/>
        <s v="0415869"/>
        <m/>
      </sharedItems>
    </cacheField>
    <cacheField name="Cod local" numFmtId="49">
      <sharedItems containsBlank="1">
        <s v="631452"/>
        <s v="025840"/>
        <s v="789744"/>
        <s v="033524"/>
        <s v="668902"/>
        <s v="727925"/>
        <s v="606891"/>
        <s v="019387"/>
        <s v="033519"/>
        <s v="631447"/>
        <s v="509734"/>
        <s v="665178"/>
        <s v="665135"/>
        <s v="025251"/>
        <s v="631635"/>
        <s v="759488"/>
        <s v="728010"/>
        <s v="536228"/>
        <s v="759493"/>
        <m/>
        <s v="671730"/>
        <s v="759474"/>
        <s v="019636"/>
        <s v="025227"/>
        <s v="631640"/>
        <s v="717417"/>
        <s v="608381"/>
        <s v="631664"/>
        <s v="019556"/>
      </sharedItems>
    </cacheField>
    <cacheField name="Sesión/taller" numFmtId="0">
      <sharedItems containsBlank="1">
        <s v="Autoconciencia"/>
        <s v="Taller con docentes"/>
        <s v="Autorregulación"/>
        <s v="Conciencia social"/>
        <s v="Habilidades relacionales"/>
        <s v="Toma de decisiones responsables"/>
        <m/>
      </sharedItems>
    </cacheField>
    <cacheField name="Número de sesión/taller">
      <sharedItems containsBlank="1" containsMixedTypes="1" containsNumber="1" containsInteger="1">
        <s v="1 y 2"/>
        <n v="1.0"/>
        <n v="2.0"/>
        <s v="1 y 2 "/>
        <s v=" 1 y 2"/>
        <s v="1y 2"/>
        <s v="3 y 4"/>
        <s v="5 y 6"/>
        <s v="7 y 8"/>
        <s v="9 y 10"/>
        <n v="3.0"/>
        <m/>
        <s v="3 y 4 "/>
        <s v="5 y 6 "/>
      </sharedItems>
    </cacheField>
    <cacheField name="Fecha" numFmtId="164">
      <sharedItems containsDate="1" containsString="0" containsBlank="1">
        <d v="2025-07-15T00:00:00Z"/>
        <d v="2025-07-02T00:00:00Z"/>
        <d v="2025-07-08T00:00:00Z"/>
        <d v="2025-07-09T00:00:00Z"/>
        <d v="2025-07-10T00:00:00Z"/>
        <d v="2025-07-17T00:00:00Z"/>
        <d v="2025-07-14T00:00:00Z"/>
        <d v="2025-07-16T00:00:00Z"/>
        <d v="2025-07-18T00:00:00Z"/>
        <d v="2025-07-22T00:00:00Z"/>
        <d v="2025-08-28T00:00:00Z"/>
        <d v="2025-08-20T00:00:00Z"/>
        <d v="2025-10-02T00:00:00Z"/>
        <d v="2025-10-28T00:00:00Z"/>
        <d v="2025-11-12T00:00:00Z"/>
        <d v="2025-09-02T00:00:00Z"/>
        <d v="2025-10-01T00:00:00Z"/>
        <d v="2025-11-18T00:00:00Z"/>
        <d v="2025-08-26T00:00:00Z"/>
        <d v="2025-09-10T00:00:00Z"/>
        <d v="2025-08-29T00:00:00Z"/>
        <d v="2025-10-08T00:00:00Z"/>
        <d v="2025-10-29T00:00:00Z"/>
        <d v="2025-07-11T00:00:00Z"/>
        <d v="2025-09-16T00:00:00Z"/>
        <d v="2025-09-15T00:00:00Z"/>
        <d v="2025-10-31T00:00:00Z"/>
        <d v="2025-11-05T00:00:00Z"/>
        <d v="2025-08-04T00:00:00Z"/>
        <d v="2025-09-30T00:00:00Z"/>
        <d v="2025-10-30T00:00:00Z"/>
        <d v="2025-11-19T00:00:00Z"/>
        <d v="2025-09-26T00:00:00Z"/>
        <d v="2025-10-07T00:00:00Z"/>
        <d v="2025-10-24T00:00:00Z"/>
        <d v="2025-11-07T00:00:00Z"/>
        <d v="2025-08-27T00:00:00Z"/>
        <d v="2025-08-11T00:00:00Z"/>
        <d v="2025-08-12T00:00:00Z"/>
        <d v="2025-08-13T00:00:00Z"/>
        <d v="2025-08-14T00:00:00Z"/>
        <d v="2025-08-19T00:00:00Z"/>
        <d v="2025-09-25T00:00:00Z"/>
        <d v="2025-10-22T00:00:00Z"/>
        <d v="2025-11-13T00:00:00Z"/>
        <d v="2025-10-23T00:00:00Z"/>
        <d v="2025-08-22T00:00:00Z"/>
        <d v="2025-08-25T00:00:00Z"/>
        <d v="2025-08-18T00:00:00Z"/>
        <d v="2025-09-03T00:00:00Z"/>
        <d v="2025-09-04T00:00:00Z"/>
        <d v="2025-09-11T00:00:00Z"/>
        <m/>
        <d v="2025-09-09T00:00:00Z"/>
        <d v="2025-09-17T00:00:00Z"/>
        <d v="2025-09-19T00:00:00Z"/>
        <d v="2025-09-18T00:00:00Z"/>
        <d v="2025-08-21T00:00:00Z"/>
        <d v="2025-09-08T00:00:00Z"/>
      </sharedItems>
    </cacheField>
    <cacheField name="Asistente" numFmtId="0">
      <sharedItems containsBlank="1">
        <s v="Familia"/>
        <s v="Docente"/>
        <m/>
      </sharedItems>
    </cacheField>
    <cacheField name="Apellidos y nombres" numFmtId="0">
      <sharedItems containsBlank="1">
        <s v="Roque Gonzales, Sarai"/>
        <s v="Zubieta Cerrate, Carolina"/>
        <s v="Ferromeque Suyo, Melanie"/>
        <s v="Gonzales Flores, Mergie Inyoana"/>
        <s v="Sanchez Gonzales Esmeralda"/>
        <s v="Tipiani Rivera, Oscar Oliver"/>
        <s v="Marreros Flores, Lily"/>
        <s v="Reques Mendoza, Carolina"/>
        <s v="Vasquez Burgos, Flor"/>
        <s v="Jesus Macedo, Lesly"/>
        <s v="Solis Raymundo, Katherine Janet"/>
        <s v="Cotillo Flores, Silvia Evelyn"/>
        <s v="Vasquez Burgos, Isabel"/>
        <s v="Niño, Alexande Jesus"/>
        <s v="Rodriguez Cosme, Liliana "/>
        <s v="Gomero Visencio, Sonia"/>
        <s v="Cadillo Resurrección, Elena"/>
        <s v="Guerrero Nicasio, Lenin"/>
        <s v="Gamarra Sanchez, Gladys"/>
        <s v="Castillo Gamarra, Silvia"/>
        <s v="Dolores Dolores, Karla"/>
        <s v="Blaz Huerta, Vilma Nancy"/>
        <s v="Pomiano Yta, Rosalinda"/>
        <s v="Fabian de la Cruz, Vilma Mercedes"/>
        <s v="Leyva Baylon, Antonia"/>
        <s v="Tipiani Bazalar, Karla"/>
        <s v="Leon Mendoza, Ayme"/>
        <s v="Rosales Julca, Lourdes Pilar"/>
        <s v="Castillo Palacio, Esther"/>
        <s v="Mendez Rojas, Jessica"/>
        <s v="Quiroz Tapia, Eva"/>
        <s v="Ojeda Puycon, Janny"/>
        <s v="Rodriguez Hurtado, Carla"/>
        <s v="Huaman Espinoza, Elizabeth"/>
        <s v="Cabrera Guevaro, Sindy"/>
        <s v="Montes Acha, Julia Marcela"/>
        <s v="Navarro Huerta, Julissa"/>
        <s v="Odalit Asuncion Canaza Minaya "/>
        <s v="Blanca Isidro Toscano "/>
        <s v="Erika Paola MONTESINOS"/>
        <s v="Gladys Soledad Depas Gonzales"/>
        <s v="Gloria Isabel Espinoza "/>
        <s v="Viviana Noemi Palomares Enciso "/>
        <s v="Juan Manuel "/>
        <s v="Eva Cecilia Diaz Tuesta "/>
        <s v="Gaby Cerila Garro Carmen"/>
        <s v="Julia Raymundo Jara "/>
        <s v="Judith Damian Valverde "/>
        <s v="Mari Luz Villar Raymundo "/>
        <s v="Elvia Damian Valverde "/>
        <s v="Nilda Requena "/>
        <s v="Esther Damian Valverde "/>
        <s v="Edith Mejia Flores "/>
        <s v="Gimena de la Crus Gamarra "/>
        <s v="Olinda Valverde "/>
        <s v="Abelina Raymundo "/>
        <s v="Eveliza Damian Raymundo "/>
        <s v="Madeli Aldave Jesus "/>
        <s v="Zoraida Jesus Trinidad "/>
        <s v="Elsa Isidro de paz "/>
        <s v="Maritza Lopez Pinedo "/>
        <s v="Milagros Cochachin Espinoza "/>
        <s v="Nancy Lourdes Panizo "/>
        <s v="Belen Balarezo Dolores "/>
        <s v="Nuria Minaya Padilla "/>
        <s v="Barroso Flores, Flormira"/>
        <s v="Benito Yanac, Eugenia Matilde"/>
        <s v="Saénz Guevara, Nancy Violeta"/>
        <s v="Cabrera Laguna, Raisa"/>
        <s v="Falero Sanchez, Luz Maria"/>
        <s v="Requena Castillo, Flor"/>
        <s v="Pardo Felix, Carmen"/>
        <s v="Celestino Villarreal, Matilde"/>
        <s v="Ortiz Montalvo, Maria"/>
        <s v="Maguiña Cosme, Yanet"/>
        <s v="Solano Chinchay, Mercedes Yuliana"/>
        <s v="Venturo Silva, Carmen"/>
        <s v="Pashanaste Aguilar, Clara"/>
        <s v="Rodriguez Iparraguirre, Dominga Giovana"/>
        <s v="Jimenez Jesús, Miriam"/>
        <s v="Depaz Salome, Luz"/>
        <s v="Jara Millo, Erika"/>
        <s v="Depaz Silva, Edit"/>
        <s v="Salcedo Oropeza, Naydu"/>
        <s v="Bello Zorrilla, Nely"/>
        <s v="Bustos Salcedo, Zadith Stephanie"/>
        <s v="Roca Espinoza, Stephany Emilia"/>
        <s v="Moreno Dolores, Romely Noimí"/>
        <s v="Bustos Salcedo, Juvi Mirella"/>
        <s v="Sanchez, Evelina"/>
        <s v="Villafuerte Pajuelo, Kely Marina"/>
        <s v="Paico Trujillo, Jessica"/>
        <s v="Isneros Miranda, Augurio"/>
        <s v="Baca Espinoza, Maribel"/>
        <s v="Portilla Rodriguez, Luz Deysi"/>
        <s v="Parra Romero, Ana María"/>
        <s v="Palomino Vilca, Ana"/>
        <s v="Diaz Salinas, Cely Flor"/>
        <s v="Flores Díaz, Isela"/>
        <s v="Castillo Torres, Isabel"/>
        <s v="Cueva Zambrano, Luz"/>
        <s v="Reyes Sotelo, Alisson"/>
        <s v="Castromonte Zambrano, Clara Susana"/>
        <s v="Zambrano Silverio, Edith"/>
        <s v="Sánchez Sánchez, Maria Magdalena"/>
        <s v="Castro Osorio, Elian Beatriz"/>
        <s v="Garay Rojas Liliana"/>
        <s v="Rivera Ramirez Feliciana"/>
        <s v="Reyes Livias Clemencia"/>
        <s v="Rivera Ramirez Rut Deysi"/>
        <s v="Flores Ramirez Mery"/>
        <s v="Araujo Laguna Fausta"/>
        <s v="Veramendi Castro Gloria"/>
        <s v="Ticlo Blas Dora Delma"/>
        <s v="Veramendi Castro Julia"/>
        <s v="Amaro Valdivia Katherine"/>
        <s v="Vilca Peña Carlos"/>
        <s v="Camiloaga Amaya Felipe"/>
        <s v="Camiloaga Ramirez Katy Luz"/>
        <s v="Pineda Fernandez Lacida Teofila"/>
        <s v="Alvarez Aquino Yuly"/>
        <s v="Carrillo Javier Sthefany"/>
        <s v="Ramirez Marquez Enock"/>
        <s v="Araujo Ugarte Noshka"/>
        <s v="Garay Rios Mavila Liliana"/>
        <s v="Ramirez Calancho Brigida Juana"/>
        <s v="Ugarte Gomez Yesica"/>
        <s v="Zorrilla Bazan Beatriz "/>
        <s v="Aponte Pardo Augusto"/>
        <s v="Rimac Vasquez Diana"/>
        <s v="Julca Cruz Rina Maribel"/>
        <s v="Gonzales Norena Carmen Yolanda"/>
        <s v="Veramendi Trujillo Antonia"/>
        <s v="Santillan Rimac Justina"/>
        <s v="Gómez Paredes Margarita "/>
        <s v="Ugarte Reyes Erika"/>
        <s v="Calderon Mallqui Eduardo"/>
        <s v="Rojas Vasquez Nilber"/>
        <s v="Blas Solis Walter"/>
        <s v="Santa Cruz Julia"/>
        <s v="Davila Rojas Orlando"/>
        <s v="Calancho Rodriguez Celia"/>
        <s v="Yupa Padilla Elva"/>
        <s v="Sifuentes Trujillo Hilda"/>
        <s v="Ugarte Gomero Esther"/>
        <s v="Olivas Chaves Magdalena"/>
        <s v="Cueva Salvador Nelly"/>
        <s v="Ubaldo Dionicio Flor Janeth"/>
        <s v="Anaya Aquino Juan Ivan"/>
        <s v="Fierro Chavez Vanesa"/>
        <s v="Castro Veramendi Santa"/>
        <s v="Anaya Loarte Celia"/>
        <s v="Solorzano Mallqui Ericka"/>
        <s v="Blas Huata Macaria"/>
        <s v="Albornoz Gomez Delci"/>
        <s v="Mejia Huayta Luz Dalila"/>
        <s v="Tarazona Platino Thania"/>
        <s v="Loarte Deonicio Bethy"/>
        <s v="Rojas Brioso Felicitas"/>
        <s v="Veramendi Francisco Roxana Yaqui"/>
        <s v="Osorio Brioso Alicia Editha"/>
        <s v="Palacios Hidalgo Guido Ambrocio"/>
        <s v="Marzano Obregon Eva Paulina"/>
        <s v="Brioso Palacios Nissan Jossep"/>
        <s v="Castro Salvador Juliana"/>
        <s v="Castro Albornoz Elva"/>
        <s v="Anaya Cruz Lila"/>
        <s v="Anaya Loarte Elva"/>
        <s v="Aguirre Castro Nazario"/>
        <s v="Anaya Olivas Maritza"/>
        <s v="Robles Reyes Carmen"/>
        <s v="Anaya Brioso Dalia"/>
        <s v="Huerta Rojas Victoria"/>
        <s v="Brioso Anaya Lili"/>
        <s v="Ugarte Reynoso Elizabeth"/>
        <s v="Fonseca Rubina Eustaquio"/>
        <s v="Diaz Zorrilla Lesly"/>
        <s v="Huerta Obregon Melva"/>
        <s v="Almercon Veramendi Bety"/>
        <s v="Castillo Aguirre Celia"/>
        <s v="Gomez Huaytan Anita"/>
        <s v="Gomez Huaytan Yanet Abencia"/>
        <s v="Anaya Ugarte Santa Ana"/>
        <s v="Salvador Campos Delia"/>
        <s v="Ciprian Huaman Milagros"/>
        <s v="Garay Ramirez Rosmery"/>
        <s v="Perez Villar, Maribel"/>
        <s v="Juana Rimac Ugarte"/>
        <s v="Caqui Reyes, Aurea"/>
        <s v="Gargate Rentera, Fara"/>
        <s v="Marcos Caqui, Marleni"/>
        <s v="Chavez Padilla Melissa"/>
        <s v="Garay Caballero, Victoria"/>
        <s v="Guerra Garay Luzmila"/>
        <s v="Castro Melagrejo, Olinda"/>
        <s v="Aquino Garay, Ida"/>
        <s v="Guerra Garay , Dalia"/>
        <s v="Soto Alvarado, Flora"/>
        <s v="Guerra Carhuapoma, Joy"/>
        <s v="Castro Ugarte, Otmel"/>
        <s v="Chavez Castro, Hilda"/>
        <s v="Rayna Matos, Ursula "/>
        <s v="Phocco Cáceres Lisseth "/>
        <s v="Rojas Espinoza Olinda"/>
        <s v="Herrera Albujar Edelmira Jacqueline "/>
        <s v="Obregón Ramirez Marco "/>
        <s v="Obregón Ramirez Ramón "/>
        <s v="Caballero Garay Herlinda"/>
        <s v="Aquino Castro Zarela"/>
        <s v="Castro Diaz Ines"/>
        <s v="Yupa Fonseca Ana"/>
        <s v="Aguirre Castro Betsaida"/>
        <s v="Javier Rubina Esther"/>
        <s v="Anaya Ramirez Luz"/>
        <s v="Carhuapoma Ramirez Magaly"/>
        <s v="Aguirre Castro Marlene"/>
        <s v="Gargate Obregón Dorila"/>
        <s v="Obregón Espinoza Gerson"/>
        <s v="Castro Anaya Margarita"/>
        <s v="Villajuan Soto Estefany"/>
        <s v="Obregón Ramirez Lucha"/>
        <s v="Ramirez Trujillo Lurdes"/>
        <s v="Espinoza Laguna Elizabeth"/>
        <s v="Rios Trujillo Erlinda"/>
        <s v="Cabrera Sanchez Melania"/>
        <s v="Obregón Cabrera Sara"/>
        <s v="Ramirez Rojas Yesenia"/>
        <s v="Gargate Rentera Edelinda"/>
        <s v="Obregón Castro Teofila"/>
        <s v="Gomez Francisco Gloria"/>
        <s v="Aquino Rivera Vila"/>
        <s v="Huanuco Huanca Carmen"/>
        <s v="Fretel Rojas Yely"/>
        <s v="Obregón Diaz Mihay"/>
        <s v="Paulino Valerio Roger"/>
        <s v="Obregón Ramirez Jaime"/>
        <s v="Rossio Karla Avelino Marcelo"/>
        <s v="Nori Eliana Requena Ramos"/>
        <s v="Merina Rodriguez Gaona"/>
        <s v="Asunciona Trujillo Obregón"/>
        <s v="Cienfuegos Vega Mily "/>
        <s v="Cierto Diaz Nancy "/>
        <s v="Yrma Sanchez Huerta"/>
        <s v="Mariño Guillermo Yuriko "/>
        <s v="Ygnacia Rosales Flores"/>
        <s v="Nuria Francisco Aquino"/>
        <s v="Erlinda Rios Trujillo"/>
        <s v="Fernandez Garay Lidia Carmen"/>
        <s v="Castro Anaya Margarita Raina "/>
        <s v="Virginia Trujillo Garay"/>
        <s v="Rivera Calderón Silvia Avicarda"/>
        <s v="Caqui Olga"/>
        <s v="Aguirre Vega Yanet"/>
        <s v="Herrada Eulogio Yuli Vanessa"/>
        <s v="Rivera Calderón Zonia"/>
        <s v="Ramirez Anaya Yanet"/>
        <s v="Nuñez Silva Antonia"/>
        <s v="Paloma Elsa Pomachahua Pariona"/>
        <s v="Rossy Rondon Mosquera"/>
        <s v="Rosmery Raymundo Narro"/>
        <s v="Evangelista Caqui Clerinda"/>
        <s v="Trujillo Guerra Marlene"/>
        <s v="Fernandez Flores Gissela"/>
        <s v="Caqui Olga/Castro Garay Frejol"/>
        <s v="Manesco Gargate Obregón"/>
        <s v="Felix León Guisella"/>
        <s v="Marco Pimentel Asencios"/>
        <s v="Gomez Alvarado Emma"/>
        <s v="Garay Rios Jhon"/>
        <s v="Fernandez Flores Artemio"/>
        <s v="Fernandez Flores Janet"/>
        <s v="Alva Prada Isabela"/>
        <s v="Laury Tatiana Puma Martel"/>
        <s v="Laury Tatiana Puma"/>
        <s v="Miraval Pujay Mary"/>
        <s v="Guerra Leiva Santa"/>
        <s v="Trujillo Guerra Lusmila"/>
        <s v="Obregón Chavez Gissela"/>
        <s v="Calderón Guerra Elia"/>
        <s v="Castro Espinoza Kenia"/>
        <s v="Garay Guillen Daysi"/>
        <s v="Castro Obregón Noemi"/>
        <s v="Trujillo Guerra Elena"/>
        <s v="Nevin Flores Josue"/>
        <s v="Aquino Camiloaga Kevin"/>
        <s v="Aquino Ramirez Esther"/>
        <s v="Moreno Castro Clenda"/>
        <s v="Tarazona Guerra Rut "/>
        <s v="Garay Espinoza Gaby"/>
        <s v="Godoy Obregón Aurora"/>
        <s v="Ramirez Rivera Diana"/>
        <s v="Guerra Huanca Lino"/>
        <s v="Guerra Tocto Lorenzo"/>
        <s v="Camilhuada Rayo Domis"/>
        <s v="Ugarte Valenzuela Hermelinda"/>
        <s v="Caqui Alejandro Leidy"/>
        <s v="Delina Fernandez Campos"/>
        <s v="Benancia Herlinda Salazar Cotrina"/>
        <s v="Rios Campos Karin Geraldine"/>
        <s v="Laguna Guerra Lila"/>
        <s v="Obregón Ramirez Flor Rormere"/>
        <s v="Garay Fernandez Nataria"/>
        <s v="Izaguirre Pari Rosmery"/>
        <s v="Aquino Ramirez Orfilinda"/>
        <s v="Canares Ramirez Robinzon"/>
        <s v="Elva Margarita Caqui"/>
        <s v="Flor Rosales Carhuapoma"/>
        <s v="Yolanda Suarez Huerta"/>
        <s v="Rosaida Francisco Arquiñigo"/>
        <s v="Ayde Aquino Loarte"/>
        <s v="Diana Garay Laguna"/>
        <s v="Jemina Gadea Principe"/>
        <s v="Ebilia Aquino Loarte"/>
        <s v="Norca Yolanda Rojas Baylon"/>
        <s v="Alarcon Vasquez, Rene"/>
        <s v="Huaman Villavicencio, Victoria"/>
        <s v="Mendoza, Raymundo"/>
        <s v="Ita Padilla, Laura"/>
        <s v="Vergara Zaragoza, Marisol"/>
        <s v="Diaz Loarte, Rosalinda"/>
        <s v="Noreña Gimenes, Rossmeri"/>
        <s v="Diaz Aldave, Katty"/>
        <s v="Alarcón Solis, María del Carmen"/>
        <s v="Bottoni Rivera, Ivana"/>
        <s v="Quiñones Trujillo, Martha"/>
        <s v="Huarancca Vasquez, Marilyn"/>
        <s v="Yauri Espinoza, Kelly"/>
        <s v="Huamán Dextre, Yessica"/>
        <s v="Ayala Salinas, Evelin"/>
        <s v="Sanchez Montes, Marcelina"/>
        <s v="Ordoñez Quijano, Jessica"/>
        <s v="Jumpa Salinas, Sandy"/>
        <s v="Lopez Vega, Yosi"/>
        <s v="Espinoza Leiva, Keli"/>
        <s v="Garay Leyva Mezarina, Belinda"/>
        <s v="Araujo Guerra, Lucinda"/>
        <s v="Ramos Guerra, Yanina"/>
        <s v="Garay Fernandez, Susa"/>
        <s v="Claudio Fernandez, Sandra"/>
        <s v="Diaz Arquinigo, Romelia"/>
        <s v="Romero Castro, Maricruz"/>
        <s v="Guerra Vega, Violeta"/>
        <s v="Salazar Valverde, Deysi"/>
        <s v="Enrique Gomez, Kely"/>
        <s v="Palacios Gamarra, Jasmina"/>
        <s v="Ticlo Guerra, Yissela"/>
        <s v="Espinoza Quedo, Vanessa"/>
        <s v="Guerra Ramirez, Hilda"/>
        <s v="Chavez Liñan, Sandra"/>
        <s v="Zorrilla Fonseca Teolinda"/>
        <s v="Ramos Gargate, Olinda"/>
        <s v="Rios Chavez, Clara"/>
        <s v="Diaz Lliuya, Angelica"/>
        <s v="Espinoza Guerra Hilaria"/>
        <s v="Gomez Hilario, Sandra"/>
        <s v="Davila Loarte, Elena"/>
        <s v="Valle Gaylan, Lucinda"/>
        <s v="Guerra Ramirez, Nancy"/>
        <s v="Amado Salazar, Violeta"/>
        <s v="Mallqui Araujo, Felena"/>
        <s v="Chavez Dávila, Silvia"/>
        <s v="Mallqui Araujo, Lidia"/>
        <s v="Fernandez Agurto, Lucila"/>
        <s v="Catire Enrique, Vaine"/>
        <s v="Villanueva Rivera, Savina"/>
        <s v="Diaz Castro, Yanet"/>
        <s v="Huerta Mallqui, Flor"/>
        <s v="Ramirez Prudencio, Esther"/>
        <s v="Carhuapoma Tarazona, Brayan"/>
        <s v="Bar Rojas Naybeth"/>
        <s v="Guerra Huerta, Maruja "/>
        <s v="Salvador Valencia, Delia"/>
        <s v="Garay Zerpa, Carmen"/>
        <s v="Salazar Gomez, Bely"/>
        <s v="Espinoza Yajaira, Keli"/>
        <s v="Aquino Gaytan, Alicia"/>
        <s v="Guerra Ramirez, Milagros"/>
        <s v="Chavez Salazar, Mavila"/>
        <s v="Ramos Tagarte Olinda"/>
        <s v="Davila Loarte, Victoria"/>
        <s v="Fernandez Aira, Wagner"/>
        <s v="Herrera Francisco, Hilda"/>
        <s v="Garay Espinoza, Sarita"/>
        <s v="Chimbe Cruz, Irma Carmen"/>
        <s v="Chavez Davila, Silvia"/>
        <s v="Vargas Ramirez, Leslie"/>
        <s v="Lopez Vargas, Sara"/>
        <s v="Enrique Gomez, Magaly"/>
        <s v="Rojas Bazan, Yeni"/>
        <s v="Garay Fernandez, Edita"/>
        <s v="Castro Veramendi, Edith"/>
        <s v="Huayta Vargas, Yomira"/>
        <s v="Alvaro Chavez, Yaneth"/>
        <s v="Alvaro Chavez, Guisela"/>
        <s v="Mosquera Vega, Rocio"/>
        <s v="Yoany Palomino"/>
        <s v="Paucar, Lucy"/>
        <s v="Ramirez Melgarejo, Lizzeth Maribel"/>
        <s v="Muñoz García, Guadalupe"/>
        <s v="Ramirez Courino, Loida Belinda"/>
        <s v="Gomero Vicencio, Sonia"/>
        <s v="Rodriguez Cosme, Liliana"/>
        <s v="Dolores Rodrigue, Jessica"/>
        <s v="Pinto Espinoza, Mila"/>
        <s v="Ramirez Vargas, Elsa"/>
        <s v="Cueva Trejo, Narcisa"/>
        <s v="Idania Medina"/>
        <s v="Montes Vanes, Nelly"/>
        <s v="Chavez, Vega Eva"/>
        <s v="Balles Navarro, Janet Elizabeth"/>
        <s v="Rivera Valenzuela, Aida"/>
        <s v="Rimac Balabarca, Sonia"/>
        <s v="Solorzano Sifuentes, Leticia"/>
        <s v="Melgarejo Chavez, Yolanda"/>
        <s v="Vega Chavez, César"/>
        <s v="Abarca, Luzmila"/>
        <s v="Tolentino Chavez"/>
        <s v="Sigueñas Abarca, Elena"/>
        <s v="Gomero Merina, Mauro"/>
        <s v="Anayeli Abarca Damian"/>
        <s v="Quiroz Yapias, Eva Magaly"/>
        <s v="Cadillo Palacios, Esther"/>
        <s v="Gamboa Morales, Laura"/>
        <s v="Tipiani Bazalar, Karla Zuleyma"/>
        <s v="Ojeda Puycón, Jenny Araceli"/>
        <s v="Guerrero Inchicaque, Yoselin Katerine"/>
        <s v="Leon Mendoza, Ayme Julianny"/>
        <s v="Mendez Rojas, Jessica Vanessa"/>
        <s v="Morales Capistrano, Janet"/>
        <s v="Navarro Huerta, Julissa Paulina"/>
        <s v="Huaman Espinoza, Elizabeth "/>
        <s v="Huaroma Montes, Deisy Gabriela"/>
        <s v="Flor Calderón Ugarte"/>
        <s v="Yovana Ramirez Rosales"/>
        <s v="Elia Garay Mautino"/>
        <s v="Ilda Ugarte Fernandez"/>
        <s v="Javier Salvio, Noima Rodila"/>
        <s v="Ircelia Peña Fernandez"/>
        <s v="Maribel Perez Villar"/>
        <s v="Marlon Diaz Culla"/>
        <s v="Gloria Fernandez Flores"/>
        <s v="Obregon Cabrera Bestsabet"/>
        <s v="Diana Leust Trujillo Garay"/>
        <s v="Ayala Fernandez, Eugenia"/>
        <s v="Vega Garay, Florinda"/>
        <s v="Chavez Dominguez, Yolanda"/>
        <s v="Vargas Miranda, Jhosmel"/>
        <s v="Rafaela"/>
        <s v="Dextre Guerrero, Melissa"/>
        <s v="Yta Pomiano, Rosalinda"/>
        <s v="Fabian de la Cruz, Vilma"/>
        <s v="Rojas Turpo, Maricruz"/>
        <s v="Valverde Asis, Yanina"/>
        <s v="Mora Beltrán, Frecia"/>
        <s v="Fabián Antaurco, Dina Ester"/>
        <s v="Corpus Velasquez, Reveca Luz"/>
        <s v="Cáceres Molina, Carmen"/>
        <s v="Callupe Obregón, Rocio"/>
        <s v="Flores Cueva, Apolonia Elizabet"/>
        <s v="Alarcón Solis, Maria del Carmen"/>
        <s v="Huertas Doroteo, Wendy"/>
        <s v="Herrera Sipan, Aissa Naysha"/>
        <s v="Benito Yanac, Eugenia"/>
        <s v="Saenz Guevara, Nancy"/>
        <s v="Moreno Requena, Anahi"/>
        <s v="Zambrano Salinas, Bonny"/>
        <s v="Diaz Alarcon, Julia"/>
        <s v="Fierro Chávez Vanesa"/>
        <s v="Marzano Obregón Eva"/>
        <s v="Castro Albornoz Elva Maria"/>
        <s v="Calderón Guerra Amelia"/>
        <s v="Loarte Camiloaga Florencia"/>
        <s v="Díaz Huerta Milagros"/>
        <s v="Díaz Huerta Carlos"/>
        <s v="Anaya Obregón Necerata"/>
        <s v="Ubaldo Dionicio Flor Yaneth"/>
        <s v="Díaz Huerta Cindy Lourdes"/>
        <s v="Almercon Veramendi Bety Magdalena"/>
        <s v="Brioso Chavez Orlando Victor"/>
        <s v="Castro Ramirez Luz Asbelita"/>
        <s v="Veramendi Bajomero Esther"/>
        <s v="Gomez Huaytan Yanet"/>
        <s v="Diaz Zorrilla Lesly Denissa"/>
        <s v="Gomez Huaytan Anita Florcita"/>
        <s v="Medina Illatopa Roxana"/>
        <s v="Tolentino Gantu Antonia"/>
        <s v="Vasquez Olivas Belina"/>
        <s v="Aquino Camiloaga Maritza"/>
        <s v="Pineda Ramirez Laura"/>
        <s v="Anaya Davila Lisbeth"/>
        <s v="Calancho Rodriguez Clever"/>
        <s v="Sifuentes Solis Enoc Abel"/>
        <s v="Vasquez Portella Yoselyn"/>
        <s v="Arias Cadillo Maribel"/>
        <s v="Castillo Valenzuela Luzmila"/>
        <s v="Valencia Espinoza Sandra"/>
        <s v="Huaman Rivera Lila"/>
        <s v="Acuña Paredes Elizabeth"/>
        <s v="Julia Edith Sáenz Diestra "/>
        <s v="Rosita Diana Portella Moreno"/>
        <s v="Jackeline Lizeth"/>
        <s v="Hermelinda Espinoza Pinedo"/>
        <s v="Andria Duran Flores"/>
        <s v="Marcelina Dominguez Palacios"/>
        <s v="Yaneth Alvaro Chavez"/>
        <s v="Guisela Alvaro Chavez"/>
        <s v="Rocia Mosquera Vera"/>
        <s v="Rosa Blas Villanueva"/>
        <s v="Yeny Rojas Bazan "/>
        <s v="Rojas Loarte, Valentina"/>
        <s v="Rivas Ramirez, Nieves"/>
        <s v="Olinda Solis Cruz"/>
        <s v="Herrera Pantoja Luz"/>
        <s v="Yoany Luciana Palomino Pineda "/>
        <s v="Chumacero Zate, Rocio Isabel"/>
        <s v="Rojas Ugarte Liam Valentino"/>
        <s v="Zuñiga Flores, Rosa Andrea"/>
        <s v="Rosales Morante, Vivian"/>
        <s v="Cenepo Panduro, Greysy"/>
        <s v="León Vasquez, Luis Williams"/>
        <s v="Niño Egoavil, Alexander"/>
        <s v="Ramos Perez, Margarita"/>
        <s v="Montalvo Durand, Elizabeth"/>
        <s v="Mora Madrid, Angie "/>
        <s v="Bailón Paucar, Dina Alina"/>
        <s v="Diaz de Diaz, Gliceria"/>
        <s v="Escobar Carranza, Brigitte"/>
        <s v="Vara Mejía, Yasmely"/>
        <s v="Flores Crespo, Rosa"/>
        <s v="Garcia, Rossy"/>
        <s v="Jesus Macedo, Jesly Mariela"/>
        <s v="Vasquéz Burgos, Flor"/>
        <s v="Huayaney Aranda, Rocio Del Pilar"/>
        <s v="Espinoza Cipriano, Narcizo"/>
        <s v="Muñoz Tolentino, Claudia"/>
        <s v="Mendoza Solis, Kelly"/>
        <s v="Blas Solorzano, Flor Guadalupe"/>
        <s v="Tristan Gonzales, Corina"/>
        <s v="Ramirez Paucar, Nilda María"/>
        <s v="Muñoz Valenzuela, Yuly Pamela"/>
        <s v="Diana Lourdes Virhuez Rodríguez"/>
        <s v="Gina Meredith Ochoa Beltrán"/>
        <s v="Julissa Majipo Pizango "/>
        <s v="Enith Nelly Morales "/>
        <s v="Eleny Morales Coche "/>
        <s v="Maria Lázaro Padilla"/>
        <s v="Susan Yuliana Rondon Granados"/>
        <s v="Jeydi Valverde Gregorio"/>
        <s v="Nelly Inocente Laverio "/>
        <s v="Zarelita Solano Espiritu"/>
        <s v="Wagner Pizango Asipali "/>
        <s v="Rossmeri Paucar Gamarra"/>
        <s v="Margot Umpire Puma"/>
        <s v="Regina Mori Padilla "/>
        <s v="Gabriela Morales Laverio "/>
        <s v="Diana Azara Jara"/>
        <s v="Judith Herrera Padilla"/>
        <s v="Katty de la cruz Espiritu"/>
        <s v="Irma Soledad Abarca Rodriguez"/>
        <s v="Fabian Huerta"/>
        <s v="Maribel Haro"/>
        <s v="Guerra Alfaro, Jakeline"/>
        <s v="Delina Guerra Vega"/>
        <s v="Liseth Guerra Ramirez"/>
        <s v="Araujo Solis, Teodora"/>
        <s v="Judith Getzabel coral Caurino "/>
        <s v="Soledad Cuizano Berrospi "/>
        <s v="Ashnate Tolentino Abigail Gercelita "/>
        <s v="Shamanta Gabino"/>
        <s v="Maria Elena saavedra Navarro "/>
        <s v="Violeta Trujillo Trejo "/>
        <s v="Guadalupe Mendieta Guizabelo"/>
        <s v="Clelia Poma Murga"/>
        <s v="Sonia Meliza Salazar Lagona"/>
        <s v="Patricia Leiva Chavez"/>
        <s v="Orfelinda Rojas Chavez"/>
        <s v="Cirila Mallqui Garay"/>
        <s v="Milca Ramos Sanchez"/>
        <m/>
        <s v="Carrión Mallqui, Mayra"/>
        <s v="Romero Sotel, Victor"/>
        <s v="Cueva Díaz, Roxana"/>
        <s v="Manrique Dextre, Domitila Nelly"/>
        <s v="Manrique Hizo, Sulema"/>
        <s v="Sifuentes Ahuanari, Liz"/>
        <s v="Huamani Mendoza, Russian"/>
        <s v="Gina Meredit Ochoa Beltran"/>
        <s v="Enith Nelly Morales"/>
        <s v="Eleny Morales Cacha"/>
        <s v="Regina Mori Padilla"/>
        <s v="Blanca Giovana Isidro Toscano"/>
        <s v="Erika Paola Montesinos Isidro"/>
        <s v="Gloria Isabel Espinoza Francisco"/>
        <s v="Gisela Requena"/>
        <s v="Odalit Asuncion Canza"/>
        <s v="Mari Luz Villar Raymundo"/>
        <s v="Elvia Damian Valverde"/>
        <s v="Esther Damian Valverde"/>
        <s v="Gimena de la Cruz Gamarra"/>
        <s v="Abelina Raymundo Gavino"/>
        <s v="Eveliza Damian Raymundo"/>
        <s v="Madeli Aldave Jesus"/>
        <s v="Zoraida Jesus Trinidad"/>
        <s v="Judith Damian Valverde"/>
        <s v="Liliana Sanchez Camacho"/>
        <s v="Dalila Paredes Valenzuela"/>
        <s v="Cecilia Damian Rivera "/>
        <s v="Gaby Cerila Garro Carmen "/>
        <s v="Maritza Lopez Pinedo"/>
        <s v="Nancy Lourdes Panizo"/>
        <s v="Belen Balarezo Dolores"/>
        <s v="Katerin Gonzalez Benites "/>
        <s v="Ena Castillo Bautista"/>
        <s v="Amelia Lucy Espinoza Leon "/>
        <s v="Paulina Molina Polinar "/>
        <s v="Gladys Leons Salinas"/>
        <s v="Juan Erick Sotelo Espinoza "/>
        <s v="Emilia Diaz Urbano"/>
        <s v="Carmen Guillermo Diaz "/>
        <s v="Fausta Cueva Florian "/>
        <s v="Elmer Julian Rufino Julca "/>
        <s v="Rosmery Ticler Rafael"/>
        <s v="Jessica Karin Lopez Castro"/>
        <s v="Aurea Abarca Rodriguez"/>
        <s v="Margot Maria Umpire Puma "/>
        <s v="Juan Manuel Nautina"/>
      </sharedItems>
    </cacheField>
    <cacheField name="DNI" numFmtId="0">
      <sharedItems containsString="0" containsBlank="1" containsNumber="1" containsInteger="1">
        <n v="7.3014611E7"/>
        <n v="4.3532615E7"/>
        <n v="7.5573845E7"/>
        <n v="4.8392497E7"/>
        <n v="7.7807181E7"/>
        <n v="4.0991197E7"/>
        <n v="7.1774918E7"/>
        <n v="7.2620267E7"/>
        <n v="3.2948075E7"/>
        <n v="7.2159413E7"/>
        <n v="7.0083156E7"/>
        <n v="4.110177E7"/>
        <n v="3.2905209E7"/>
        <n v="7.6246913E7"/>
        <n v="7.2358695E7"/>
        <n v="4.3484532E7"/>
        <n v="4.7562942E7"/>
        <n v="4.7171078E7"/>
        <n v="3.2647526E7"/>
        <n v="4.1068782E7"/>
        <n v="4.8572692E7"/>
        <n v="4.4073423E7"/>
        <n v="7.6636299E7"/>
        <n v="3.1925876E7"/>
        <n v="7.0998076E7"/>
        <n v="4.1263195E7"/>
        <n v="4.6285527E7"/>
        <n v="4.4328573E7"/>
        <n v="4.7052597E7"/>
        <n v="4.4917221E7"/>
        <n v="4.8733069E7"/>
        <n v="4.4633546E7"/>
        <n v="7.6548195E7"/>
        <n v="7.6175434E7"/>
        <n v="4.6518306E7"/>
        <n v="4.5618178E7"/>
        <n v="7.5461891E7"/>
        <n v="4.5987279E7"/>
        <n v="4.0377537E7"/>
        <n v="7.4297835E7"/>
        <n v="7.6646031E7"/>
        <n v="4.3321862E7"/>
        <n v="7.6580695E7"/>
        <n v="4.0148783E7"/>
        <n v="7.1092345E7"/>
        <n v="7.1652366E7"/>
        <n v="4.1945018E7"/>
        <n v="7.1933696E7"/>
        <n v="4.4308537E7"/>
        <n v="7.1933694E7"/>
        <n v="7.6447489E7"/>
        <n v="7.6452769E7"/>
        <n v="7.6844742E7"/>
        <n v="7.5268779E7"/>
        <n v="4.1420205E7"/>
        <n v="4.6962682E7"/>
        <n v="7.0827437E7"/>
        <n v="7.203794E7"/>
        <n v="4.0508884E7"/>
        <n v="7.080889E7"/>
        <n v="4.5010912E7"/>
        <n v="7.1397433E7"/>
        <m/>
        <n v="4.6444871E7"/>
        <n v="4.5960059E7"/>
        <n v="4.0135418E7"/>
        <n v="3.3335394E7"/>
        <n v="4.6033972E7"/>
        <n v="4.6307538E7"/>
        <n v="7.0814794E7"/>
        <n v="4.558911E7"/>
        <n v="4.857957E7"/>
        <n v="3.1679891E7"/>
        <n v="4.5439712E7"/>
        <n v="7.1988406E7"/>
        <n v="4.5458285E7"/>
        <n v="7.6618048E7"/>
        <n v="7.7696147E7"/>
        <n v="4.1078093E7"/>
        <n v="7.651461E7"/>
        <n v="4.2262686E7"/>
        <n v="4.6985169E7"/>
        <n v="4.6646388E7"/>
        <n v="7.5240694E7"/>
        <n v="4.4921013E7"/>
        <n v="7.6056878E7"/>
        <n v="4.8210825E7"/>
        <n v="4.5436196E7"/>
        <n v="7.6056958E7"/>
        <n v="4.492657E7"/>
        <n v="4.6371978E7"/>
        <n v="4.5083577E7"/>
        <n v="4.3128963E7"/>
        <n v="4.8090717E7"/>
        <n v="4.6024435E7"/>
        <n v="4.7102534E7"/>
        <n v="6.2210552E7"/>
        <n v="4.3179451E7"/>
        <n v="4.7154372E7"/>
        <n v="7.0945989E7"/>
        <n v="4.5987431E7"/>
        <n v="7.6625817E7"/>
        <n v="4.6807974E7"/>
        <n v="4.1150084E7"/>
        <n v="3.1629591E7"/>
        <n v="7.3863258E7"/>
        <n v="4.346857E7"/>
        <n v="7.1964894E7"/>
        <n v="7.2125061E7"/>
        <n v="4.6467472E7"/>
        <n v="7.2106666E7"/>
        <n v="7.5839065E7"/>
        <n v="7.2114988E7"/>
        <n v="7.3515438E7"/>
        <n v="3.2303863E7"/>
        <n v="4.3468589E7"/>
        <n v="7.74218E7"/>
        <n v="4.8215795E7"/>
        <n v="4.7328558E7"/>
        <n v="4.6444885E7"/>
        <n v="7.2568623E7"/>
        <n v="8.0172397E7"/>
        <n v="7.3244474E7"/>
        <n v="4.4548794E7"/>
        <n v="4.4408398E7"/>
        <n v="4.2064755E7"/>
        <n v="7.2118792E7"/>
        <n v="4.8761984E7"/>
        <n v="4.6989799E7"/>
        <n v="7.3507318E7"/>
        <n v="7.2088868E7"/>
        <n v="4.155927E7"/>
        <n v="7.2506444E7"/>
        <n v="7.2276633E7"/>
        <n v="4.3573282E7"/>
        <n v="4.3089788E7"/>
        <n v="7.097128E7"/>
        <n v="4.5566017E7"/>
        <n v="7.211251E7"/>
        <n v="7.2108896E7"/>
        <n v="7.7075089E7"/>
        <n v="4.2872395E7"/>
        <n v="4.8010027E7"/>
        <n v="7.4398753E7"/>
        <n v="7.1000156E7"/>
        <n v="7.1016949E7"/>
        <n v="4.2868544E7"/>
        <n v="7.6731148E7"/>
        <n v="7.3392781E7"/>
        <n v="7.2959698E7"/>
        <n v="4.7473337E7"/>
        <n v="7.6378338E7"/>
        <n v="6.0392387E7"/>
        <n v="4.7513467E7"/>
        <n v="4.6593719E7"/>
        <n v="4.5281911E7"/>
        <n v="7.6744207E7"/>
        <n v="4.7126321E7"/>
        <n v="7.3322788E7"/>
        <n v="4.4060491E7"/>
        <n v="7.34164E7"/>
        <n v="4.372149E7"/>
        <n v="7.3864223E7"/>
        <n v="7.389032E7"/>
        <n v="4.5773532E7"/>
        <n v="7.339272E7"/>
        <n v="7.3341785E7"/>
        <n v="4.2110466E7"/>
        <n v="7.2568924E7"/>
        <n v="7.4249465E7"/>
        <n v="9477522.0"/>
        <n v="8669973.0"/>
        <n v="4.2902674E7"/>
        <n v="4.699327E7"/>
        <n v="7.3413917E7"/>
        <n v="7.3413898E7"/>
        <n v="9656050.0"/>
        <n v="7.7483194E7"/>
        <n v="7.1780966E7"/>
        <n v="6.0026222E7"/>
        <n v="7.346893E7"/>
        <n v="7.3430689E7"/>
        <n v="7.3862151E7"/>
        <n v="4.673746E7"/>
        <n v="7.3862162E7"/>
        <n v="7.2692882E7"/>
        <n v="1.0469766E7"/>
        <n v="7.3862103E7"/>
        <n v="9087146.0"/>
        <n v="7.2108978E7"/>
        <n v="7.3416405E7"/>
        <n v="1.584812E7"/>
        <n v="4.8656565E7"/>
        <n v="9183326.0"/>
        <n v="7.3234467E7"/>
        <n v="6.2069678E7"/>
        <n v="6.0088194E7"/>
        <n v="4.8219328E7"/>
        <n v="7.3799219E7"/>
        <n v="9501925.0"/>
        <n v="7.0996013E7"/>
        <n v="4.6948875E7"/>
        <n v="4.0767874E7"/>
        <n v="1.5721393E7"/>
        <n v="4.7096445E7"/>
        <n v="7.334178E7"/>
        <n v="4.4535457E7"/>
        <n v="4.5453208E7"/>
        <n v="4.588909E7"/>
        <n v="7.3392689E7"/>
        <n v="7.4019185E7"/>
        <n v="7.2862162E7"/>
        <n v="7.2031922E7"/>
        <n v="1.0241123E7"/>
        <n v="7.3429307E7"/>
        <n v="4.6221928E7"/>
        <n v="4.507527E7"/>
        <n v="7.3392681E7"/>
        <n v="7.5511933E7"/>
        <n v="6.0273979E7"/>
        <n v="7.2558901E7"/>
        <n v="7.1935349E7"/>
        <n v="7.6175423E7"/>
        <n v="7.3234469E7"/>
        <n v="7.2109107E7"/>
        <n v="7.2109011E7"/>
        <n v="7.5221279E7"/>
        <n v="4.5013268E7"/>
        <n v="1.0138468E7"/>
        <n v="7.4065631E7"/>
        <n v="4.0377056E7"/>
        <n v="4.5570873E7"/>
        <n v="7.7332588E7"/>
        <n v="7.3142282E7"/>
        <n v="7.3392753E7"/>
        <n v="6.0086859E7"/>
        <n v="7.3392735E7"/>
        <n v="4.430032E7"/>
        <n v="2.242034E7"/>
        <n v="7.4089744E7"/>
        <n v="7.2125048E7"/>
        <n v="2.1079629E7"/>
        <n v="7.2569965E7"/>
        <n v="7.4853878E7"/>
        <n v="4.4390261E7"/>
        <n v="6.0089131E7"/>
        <n v="7.2125097E7"/>
        <n v="4.5368098E7"/>
        <n v="2.2894778E7"/>
        <n v="7.1935328E7"/>
        <n v="4.1053875E7"/>
        <n v="4.1175143E7"/>
        <n v="7.644451E7"/>
        <n v="7.3392767E7"/>
        <n v="6.1577492E7"/>
        <n v="8.057775E7"/>
        <n v="7.3306341E7"/>
        <n v="4.4133227E7"/>
        <n v="7.3863257E7"/>
        <n v="4.7319804E7"/>
        <n v="4.6514681E7"/>
        <n v="4.7151224E7"/>
        <n v="7.1944773E7"/>
        <n v="7.3468926E7"/>
        <n v="7.3392727E7"/>
        <n v="7.6366959E7"/>
        <n v="7.2118797E7"/>
        <n v="4.1830179E7"/>
        <n v="3.192394E7"/>
        <n v="6.1288747E7"/>
        <n v="3.193194E7"/>
        <n v="7.0300516E7"/>
        <n v="4.6939179E7"/>
        <n v="4.5299486E7"/>
        <n v="7.3976827E7"/>
        <n v="7.3976831E7"/>
        <n v="4.6957081E7"/>
        <n v="4.5221309E7"/>
        <n v="4.6527678E7"/>
        <n v="4.8783496E7"/>
        <n v="4.1859962E7"/>
        <n v="4.4360153E7"/>
        <n v="4.3412647E7"/>
        <n v="4.4415821E7"/>
        <n v="7.7325208E7"/>
        <n v="6.2288204E7"/>
        <n v="7.3489266E7"/>
        <n v="4.5241127E7"/>
        <n v="7.2108997E7"/>
        <n v="4.3949075E7"/>
        <n v="7.0199166E7"/>
        <n v="7.413385E7"/>
        <n v="7.6951316E7"/>
        <n v="4.7602211E7"/>
        <n v="7.2276634E7"/>
        <n v="7.6744264E7"/>
        <n v="7.0512494E7"/>
        <n v="7.1096768E7"/>
        <n v="4.8762263E7"/>
        <n v="7.4397931E7"/>
        <n v="4.5853653E7"/>
        <n v="4.5766368E7"/>
        <n v="7.5841362E7"/>
        <n v="4.719226E7"/>
        <n v="7.6836651E7"/>
        <n v="4.1985115E7"/>
        <n v="4.7664575E7"/>
        <n v="4.589156E7"/>
        <n v="7.2043462E7"/>
        <n v="4.5960182E7"/>
        <n v="4.5078833E7"/>
        <n v="4.5888958E7"/>
        <n v="4.544537E7"/>
        <n v="4.463827E7"/>
        <n v="7.6665754E7"/>
        <n v="4.8354688E7"/>
        <n v="7.2569811E7"/>
        <n v="4.6455121E7"/>
        <n v="4.4754591E7"/>
        <n v="7.4986709E7"/>
        <n v="7.7669114E7"/>
        <n v="7.3468947E7"/>
        <n v="4.7696352E7"/>
        <n v="4.1705861E7"/>
        <n v="4.7867908E7"/>
        <n v="4.4716015E7"/>
        <n v="4.70984E7"/>
        <n v="3.2303652E7"/>
        <n v="7.1099166E7"/>
        <n v="7.2568635E7"/>
        <n v="8.0172432E7"/>
        <n v="7.5777002E7"/>
        <n v="4.87622263E8"/>
        <n v="7.077413E7"/>
        <n v="4.57888958E8"/>
        <n v="7.6744204E7"/>
        <n v="7.9358695E7"/>
        <n v="4.0654479E7"/>
        <n v="4.5037249E7"/>
        <n v="4.5308287E7"/>
        <n v="4.8321573E7"/>
        <n v="7.2568669E7"/>
        <n v="7.6740605E7"/>
        <n v="7.4426417E7"/>
        <n v="4.377674E7"/>
        <n v="7.2551321E7"/>
        <n v="7.2603507E7"/>
        <n v="4.3893169E7"/>
        <n v="4.5471832E7"/>
        <n v="4.5266464E7"/>
        <n v="4.4396965E7"/>
        <n v="4.2410734E7"/>
        <n v="6.206607E7"/>
        <n v="6.2497549E7"/>
        <n v="7.3532877E7"/>
        <n v="4.181096E7"/>
        <n v="4.2347204E7"/>
        <n v="4.6512968E7"/>
        <n v="4.564733E7"/>
        <n v="4.4058889E7"/>
        <n v="4.5242303E7"/>
        <n v="7.1913178E7"/>
        <n v="4.3080318E7"/>
        <n v="7.2568322E7"/>
        <n v="4.7084975E7"/>
        <n v="3.2729561E7"/>
        <n v="7.2558909E7"/>
        <n v="7.3586525E7"/>
        <n v="7.6912718E7"/>
        <n v="7.715107E7"/>
        <n v="4.5219188E7"/>
        <n v="7.6539015E7"/>
        <n v="7.5667634E7"/>
        <n v="3.1923023E7"/>
        <n v="4.5803595E7"/>
        <n v="3.2657886E7"/>
        <n v="4.4229718E7"/>
        <n v="7262255.0"/>
        <n v="7.5895296E7"/>
        <n v="7.5518734E7"/>
        <n v="7.0807705E7"/>
        <n v="4.8181558E7"/>
        <n v="1.5852271E7"/>
        <n v="4.3080788E7"/>
        <n v="7.3392752E7"/>
        <n v="4.5503627E7"/>
        <n v="7.2576769E7"/>
        <n v="7.2576771E7"/>
        <n v="7.2108898E7"/>
        <n v="3.2303679E7"/>
        <n v="7.2576772E7"/>
        <n v="4.2195094E7"/>
        <n v="7.1213948E7"/>
        <n v="4.0572029E7"/>
        <n v="7.2939698E7"/>
        <n v="4.6073434E7"/>
        <n v="7.4081121E7"/>
        <n v="7.2663569E7"/>
        <n v="7.3201921E7"/>
        <n v="7.2095142E7"/>
        <n v="7.0989408E7"/>
        <n v="6.0120906E7"/>
        <n v="7.100011E7"/>
        <n v="7.6196519E7"/>
        <n v="4.4300615E7"/>
        <n v="4.4408403E7"/>
        <n v="3.2299165E7"/>
        <n v="3.2262416E7"/>
        <n v="4.6534994E7"/>
        <n v="4.3251528E7"/>
        <n v="4.7187138E7"/>
        <n v="4.7878808E7"/>
        <n v="7.1278187E7"/>
        <n v="7.2109064E7"/>
        <n v="4.8760216E7"/>
        <n v="4.1808044E7"/>
        <n v="7.6418425E7"/>
        <n v="4.0246765E7"/>
        <n v="7.4533716E7"/>
        <n v="7.6398749E7"/>
        <n v="4.5349445E7"/>
        <n v="7.3197696E7"/>
        <n v="7.2620266E7"/>
        <n v="7.5561811E7"/>
        <n v="7.0235567E7"/>
        <n v="7.5782406E7"/>
        <n v="3.212458E7"/>
        <n v="4.3723835E7"/>
        <n v="7.3118722E7"/>
        <n v="4.1144605E7"/>
        <n v="3.2119783E7"/>
        <n v="7.0167177E7"/>
        <n v="7.1118884E7"/>
        <n v="4.8470052E7"/>
        <n v="4.2459563E7"/>
        <n v="8.0512614E7"/>
        <n v="7.2581746E7"/>
        <n v="4.7527243E7"/>
        <n v="7.3507297E7"/>
        <n v="4.5823846E7"/>
        <n v="4.1284811E7"/>
        <n v="7.2576524E7"/>
        <n v="7.6088826E7"/>
        <n v="7.6664315E7"/>
        <n v="7.0610296E7"/>
        <n v="7.0610292E7"/>
        <n v="3.1655185E7"/>
        <n v="4.185287E7"/>
        <n v="7.3591581E7"/>
        <n v="4.292167E7"/>
        <n v="7.230569E7"/>
        <n v="4.8064623E7"/>
        <n v="4.4662441E7"/>
        <n v="7.2029599E7"/>
        <n v="4.1510125E7"/>
        <n v="7.166571E7"/>
        <n v="7.0115449E7"/>
        <n v="7.0115453E7"/>
        <n v="7.6753561E7"/>
        <n v="4.4663709E7"/>
        <n v="1.0539111E7"/>
        <n v="4.8264395E7"/>
        <n v="4.7239072E7"/>
        <n v="3.2298855E7"/>
        <n v="7.5723727E7"/>
        <n v="4.767867E7"/>
        <n v="7.256852E7"/>
        <n v="3.229857E7"/>
        <n v="7.3992117E7"/>
        <n v="4.1112838E7"/>
        <n v="4.3893167E7"/>
        <n v="7.6168709E7"/>
        <n v="4.2864641E7"/>
        <n v="4.8150454E7"/>
        <n v="1.5860456E7"/>
        <n v="4.1512875E7"/>
        <n v="4.7708472E7"/>
        <n v="7.0776733E7"/>
        <n v="4.6767679E7"/>
        <n v="719336.0"/>
        <n v="7.0827937E7"/>
        <n v="7.2037949E7"/>
        <n v="4.4474801E7"/>
        <n v="4.7046375E7"/>
        <n v="454233.0"/>
        <n v="7.34682E7"/>
        <n v="6.1626565E7"/>
        <n v="7.2150266E7"/>
        <n v="4.227157E7"/>
        <n v="4.6963088E7"/>
        <n v="3.1925853E7"/>
        <n v="1.0691904E7"/>
        <n v="7.5107889E7"/>
        <n v="4.3650962E7"/>
        <n v="7.2239784E7"/>
        <n v="7.3302101E7"/>
        <n v="3.1928376E7"/>
      </sharedItems>
    </cacheField>
    <cacheField name="Apellido y nombre del niño/a" numFmtId="0">
      <sharedItems containsBlank="1">
        <s v="Jara Roque, Melani"/>
        <s v="Huamán Zubieta, Sophia"/>
        <m/>
        <s v="Flores Farromeque Sebastian"/>
        <s v="Vega Gonzalez Noah"/>
        <s v="Bularte Sanchez, Noah"/>
        <s v="Tobias Tipiani"/>
        <s v="Guerrero Marrenos, Ivana Valeria"/>
        <s v="Zata Reques, Lina Antonella"/>
        <s v="Niño Mateo"/>
        <s v="Castillo Vasquez Zoe"/>
        <s v="Mejia Rodriguez, Maryori Lisandra"/>
        <s v="Sigueñas Gomero, Stefany Leydy"/>
        <s v="Cosme Cadillo, Elder Ethson "/>
        <s v="Guerrero Burga, Dereck Yadiel"/>
        <s v="Dolores Dolores, Danna Shophia"/>
        <s v="Doroteo Blaz, Brenda Victoria"/>
        <s v="De la Cruz Pomiano, Yasuri"/>
        <s v="Mendoza Leyva, Aysel"/>
        <s v="Cosme Tripiani, Nazareth"/>
        <s v="Moreno León, Margarita"/>
        <s v="Tipiani Rosales, Lucas"/>
        <s v="Romero Cadillo, Alexandro"/>
        <s v="Barruto Mendez, Mayse"/>
        <s v="Gonzales Quiroz, Adriel"/>
        <s v="Chahuar Ojeda, Mateo"/>
        <s v="Palacios Rodriguez, Eliel"/>
        <s v="Castillo Huaman, Euz"/>
        <s v="Huaman Cabrera, Yeiko"/>
        <s v="Pantoja Cabrera, Sandro"/>
        <s v="Guerrero Falero, Merlia y Paolo"/>
        <s v="Gomez Requena, Nihan"/>
        <s v="Fabian Pardo, Yonel"/>
        <s v="Moreno Celestino, Percy"/>
        <s v="Vargas Ortiz, Analyne y Johann"/>
        <s v="Flores Maguiña, Victor"/>
        <s v="Padilla Solano, Dylan"/>
        <s v="Favian Venturo, Liam"/>
        <s v="Miranda Pashanaste, Catalina"/>
        <s v="Tamayo Rodriguez, Matusalén"/>
        <s v="Paico Jimenez, Azumi"/>
        <s v="Doroteo Depaz, Paul"/>
        <s v="Bustos Jara, Xianna"/>
        <s v="Fabian Depaz, Josep"/>
        <s v="Uzuriaga Salcedo, Maykel"/>
        <s v="Galvez Bello, Alondra"/>
        <s v="Patricio Bustos Selim Dario"/>
        <s v="Romero Roca, Adrián"/>
        <s v="Rodriguez Moreno, Adib Yoner"/>
        <s v="Bello Bustos, Grace Ivana"/>
        <s v="Doroteo Villafuerte, Adriana"/>
        <s v="Rosales Paico, Yuleysi"/>
        <s v="Isneros Matos, Celeste"/>
        <s v="Perez Baca, Rodrigo"/>
        <s v="Romero Portilla, Isabel"/>
        <s v="Curi Palomino, Iker"/>
        <s v="Zambrano Diaz, Nicolas"/>
        <s v="Espiritu Flores, Fabrizio"/>
        <s v="Diaz Castillo, Said"/>
        <s v="Asencios Cueva, Alessia"/>
        <s v="Asencios Reyes, Edrick"/>
        <s v="Flores Castromonte, Stéfano"/>
        <s v="Villalobos Zambrano, Lisbeth"/>
        <s v="Vega Garay Beba Sarilu"/>
        <s v="Fernandez Reyes Jackson Guzman "/>
        <s v="Canares Rivera Zeynep Aysel"/>
        <s v="Espinoza Flores Samira"/>
        <s v="Pineda Araujo Sunmi Anyeli"/>
        <s v="Taco Veramendi Lucio Adrian"/>
        <s v="Gomez Ticlo Kazuma Sato"/>
        <s v="Ramirez Veramendi Heydy Meriyem"/>
        <s v="Ramirez Amaro Ciara Itsayela"/>
        <s v="Vilca Fernandez Flormira"/>
        <s v="Camiloaga Aquino Moises Lecerio"/>
        <s v="Campos Camiloaga Eric Dilan"/>
        <s v="Trujillo Pineda Waly Favinho"/>
        <s v="Pineda Alvarez Anabel Aneyra"/>
        <s v="Alvarez Carrillo Nicolas Styben"/>
        <s v="Ramirez Tolentino Beckham Griezmann"/>
        <s v="Aquino Araujo Everton Tiago"/>
        <s v="Ramirez Garay Camila Sofia"/>
        <s v="Villadeza Albornoz Alexis Jahir"/>
        <s v="Rojas Ugarte Liam Valentino"/>
        <s v="Sebastian Zorrilla"/>
        <s v="Carrillo Calixto Yerik Enzo"/>
        <s v="Espinoza Rimac Joshua Joshimar"/>
        <s v="Albornos Julca Yareli  Maribel "/>
        <s v="Jostin Gonzales"/>
        <s v="Obregon Veramendi Dylan Wagner"/>
        <s v="Ugarte Santillan Ibeth Yaslyn"/>
        <s v="Araujo Gomez Jimena Valeri"/>
        <s v="Calderon Tolentino Iyan Erisen"/>
        <s v="Rojas Guillen Iker Zaid"/>
        <s v="Blas Calderon Yhasmin Yhakira"/>
        <s v="Reyes Santa Cruz Maria Fernanda"/>
        <s v="Davila Solis Milan"/>
        <s v="Pajuelo Calancho Piero Antony/Reyes Calancho Yannis Yalethsi Haicé"/>
        <s v="Cabrera Yupa Maite Kiara"/>
        <s v="Loarte Sifuentes Julieth Medali"/>
        <s v="Navarro Ugarte Eythan Adrian"/>
        <s v="Gomez Vasquez Jhuniel/Gomez Vasquez Eliam Sebastian"/>
        <s v="Blas Rivera Gianna Danira"/>
        <s v="Reyes Ubaldo Jeik Yamir"/>
        <s v="Amado Fierro Khalessy Valentina"/>
        <s v="Loarte Castro Yildiz Estrella"/>
        <s v="Blas Anaya Paulo Henderson"/>
        <s v="Chavez Solorzano Matias 5a/Huayta Solorzano Kaylina Mikaela 3a"/>
        <s v="Anaya Blas Yeilin Madaith"/>
        <s v="Anaya Albornoz Guisell Anahi"/>
        <s v="Chavez Mejia Yahir Aaron"/>
        <s v="Valle Tarazona Lian Fernando"/>
        <s v="Anaya Espinoza Abby Yomira"/>
        <s v="Diaz Veramendi Jakob"/>
        <s v="Ariza Osorio Rozalice Kataleya"/>
        <s v="Palacios Diaz Yamil Dylan"/>
        <s v="Carhuapoma Marzano Kael Eliceo"/>
        <s v="Brioso Palacios Shonaly Yajhaira"/>
        <s v="Cabanillas Veramendi Yaiza Yetzali"/>
        <s v="Mejia Castro Brisney"/>
        <s v="Alvarado Anaya Eydan"/>
        <s v="Mauricio Anaya Zendaya"/>
        <s v="Aguirre Loarte Linseyó Eloy"/>
        <s v="Camiloaga Anaya Danna Aitana"/>
        <s v="Anaya Robles Milan Eriksen"/>
        <s v="Chavez Anaya Dylan"/>
        <s v="Dionicio Rojas Josabet Cristel"/>
        <s v="Surcco Brioso Zaid"/>
        <s v="Valenzuela Ugarte Janiel"/>
        <s v="Fonseca Veramendi Dafne Engell"/>
        <s v="Almercon Diaz Dayana Jeysi"/>
        <s v="Vasquez Huerta Daymar Bahir"/>
        <s v="Rivera Almercon Valentina"/>
        <s v="Olivas Castillo Josue Eliaquin"/>
        <s v="Vargas Gomez Yaceli"/>
        <s v="Medina Gomez Andrea 5a/Medina Gomez Adelina 3a"/>
        <s v="Brioso Anaya Heydi 4a/Brioso Anaya 5a"/>
        <s v="Salazar Salvador Yosfran Linder"/>
        <s v="Brioso Ciprian Catalina"/>
        <s v="Huerta Garay Alessia Cristel"/>
        <s v="Villar Perez, Juan David "/>
        <s v="Roque Rimac,Juan Ghael"/>
        <s v="Garay Caqui, Disan Nabat"/>
        <s v="Anaya Gargate, Ashira Yurena"/>
        <s v="Gargate Marcos, Lia Adriana"/>
        <s v="Vega Chavez, Zimri Hanani"/>
        <s v="Aquino Garay Mikkel"/>
        <s v="Andrade Guerra Alba"/>
        <s v="Illanes Castro, Alejandra"/>
        <s v="Castro Aquino Yarlyn"/>
        <s v="Garay Guerra, Andrea Abigail"/>
        <s v="Castro Soto,Luan Patrick"/>
        <s v="Andrea Garay Guerra y Garay Guerra Alonso"/>
        <s v="Camiloaga Castro, Elsing Gael"/>
        <s v="Fernandez Chavez,Mikel Paolo"/>
        <s v="Pablo Rayna, Sarahi Valentina"/>
        <s v="Obregón Adiel "/>
        <s v="Obregón Caleb "/>
        <s v="Taype Caballero Yadiel"/>
        <s v="Aquino Chavez Emely"/>
        <s v="Aquino Castro Samara"/>
        <s v="Mautino Yupa Sofía"/>
        <s v="Cienfuegos Naeli"/>
        <s v="Trujillo S. Jhedin"/>
        <s v="Obregón A. Kamila"/>
        <s v="Castro C. Edric"/>
        <s v="Vela Aguirre Santiago"/>
        <s v="Obregón Gargate Yessly"/>
        <s v="Obregón Cierto Norly"/>
        <s v="Belen Luciana Condor"/>
        <s v="Ramirez V. Yuliana"/>
        <s v="Gil Obregón Emily"/>
        <s v="Obregón Ramirez Aysel"/>
        <s v="Obregón Ramirez Merithsell"/>
        <s v="Castro Rios Sandra"/>
        <s v="Obregón Arisbeth"/>
        <s v="Anaya Yeifer"/>
        <s v="Diaz Yamila"/>
        <s v="Peña Gargate Jimena"/>
        <s v="Garay Gael"/>
        <s v="Pineda Gomez Gadiel"/>
        <s v="Arley"/>
        <s v="Zeyneth Trujillo Huanuco"/>
        <s v="Emely"/>
        <s v="Dara /Arley"/>
        <s v="Obregon Sanchez, Nesaret"/>
        <s v="Trujillo Javier Jhedin"/>
        <s v="Rothni Zarzosa"/>
        <s v="Daguberto"/>
        <s v="Quispe Rivera Vecman "/>
        <s v="Castro Caqui Andrea"/>
        <s v="Espinoza Aguirre, Jayden"/>
        <s v="Aquino Herrada Dylan Gabriel"/>
        <s v="Chavez Rivera Idalis"/>
        <s v="Rios Ramirez Angel"/>
        <s v="Aquino Ramirez, Viviana"/>
        <s v="Castro Raymundo, Sari"/>
        <s v="Castro Evangelista, Jafed"/>
        <s v="Obregón Trujillo, Afret"/>
        <s v="Obregón Fernandez, Yarely Diomira"/>
        <s v="Castro Caqui, Andrea"/>
        <s v="Chavez Rivera Yuri"/>
        <s v="Gargate Obregón Shana"/>
        <s v="Aquino Felix Samara Damaris"/>
        <s v="Pimental Garay Cielo Andrea/Estrella"/>
        <s v="Aquino Gomez Zohemy Skarlet"/>
        <s v="Gomez Melgarejo Yuliyat"/>
        <s v="Fernandez Aquino Jassiel Elohim"/>
        <s v="Castro Fernandez Ghinna Mileth"/>
        <s v="Garay Alva Adriel Dyam"/>
        <s v="Calderón Miraval Gael"/>
        <s v="Livias Guerra, Ghina"/>
        <s v="Quiñones Trujillo Genesis"/>
        <s v="Espinoza Obregón Xiana"/>
        <s v="Sanchez Calderon Genesis"/>
        <s v="Castro Espinoza, Bricelly"/>
        <s v="Vargas Garay Benzema"/>
        <s v="Cindi"/>
        <s v="Aguirre Trujillo, Briseida Eyleen"/>
        <s v="Nevin Ramirez Dayra"/>
        <s v="Aquino Gargate Zoe"/>
        <s v="Chavez Aquino, Santiago"/>
        <s v="Laguna Moreno, Ipman"/>
        <s v="Blas Tarazona Ceyneph"/>
        <s v="Santamaria Espinoza, Kael Klinton"/>
        <s v="Rodriguez Godoy, Yeraldin Helen"/>
        <s v="Espinoza Ramirez Khaleesi"/>
        <s v="Guerra Miraval Valery"/>
        <s v="Guerra Carhuapoma Ureil"/>
        <s v="Canares Camilhuada, Pamela"/>
        <s v="Araujo Ugarte Yinder"/>
        <s v="Rodriguez Caqui Nicolas"/>
        <s v="Quispe Laguna, Sayuri Estrella"/>
        <s v="Utrilla Obregon, Yeremy Jonatan"/>
        <s v="Aron"/>
        <s v="Santiago"/>
        <s v="Thiago"/>
        <s v="Brisaida"/>
        <s v="Brisaida Aguirre Trujillo"/>
        <s v="Jacob Laguna Caqui"/>
        <s v="Aquino Rosales Danna Alisson"/>
        <s v="Aquino Suarez Gael Loan"/>
        <s v="Melgarejo Francisco Yamilet Kaida"/>
        <s v="Garay Aquino Eriksen Oliver"/>
        <s v="Ugarte Garay Roberson Efrain Fausto"/>
        <s v="Obregon Gadea Mia Isabella"/>
        <s v="Melgarejo Aquino Liam Jayden"/>
        <s v="Alarcon Sifuentes, Lirio"/>
        <s v="Chipiana Ramos, Antonella"/>
        <s v="Mendoza Huaman, Arav"/>
        <s v="Julca Vergara, Luis Abdel"/>
        <s v="Romero Diaz, Alessandra"/>
        <s v="Requelme Noreña, Kylian"/>
        <s v="Requena Diaz, Jayden Adriano"/>
        <s v="Sanchez Alarcon, Stephen"/>
        <s v="Salcedo Bottoni, Solange"/>
        <s v="Pacheco Quiñones, Johan"/>
        <s v="Sanchez Huarancca, Sebastian"/>
        <s v="Velasquez Yauri, Valeska"/>
        <s v="Nuñez Huaman, Ian Daniel"/>
        <s v="Varillas Ayala, Ian Gael"/>
        <s v="Varela Sanchez, Aylin"/>
        <s v="Romero Ordoñez, Cataleya"/>
        <s v="Tello-Mena Jumpa, Kendra"/>
        <s v="Diaz Lopez, Heiton"/>
        <s v="Culla Espinoza Heidi Zuleyka"/>
        <s v="Garay Amado Granyelina Favela"/>
        <s v="Garay Araujo, Zhain Yoseph"/>
        <s v="Fernandez Ramos, Denis Said"/>
        <s v="Brihana Garay Garay"/>
        <s v="Marcela Rentero Claudio"/>
        <s v="Garay Diaz, Emily Ariana"/>
        <s v="Ramirez Romero, Abigail Micaela"/>
        <s v="Fernandez Salazar, Keyra Antonella"/>
        <s v="Guerra Enrique Sebastián Liam"/>
        <s v="Alizee Trejo Palacios"/>
        <s v="Flores Ticlo, Jahir Eithan"/>
        <s v="Joziel Zorrilla Espinoza"/>
        <s v="Lucas Guerra, Jhurcel Yefrem"/>
        <s v="Rayli Rojos Yltarisson"/>
        <s v="Villadeza Zorrilla, Yarely Ivanana"/>
        <s v="Quispe Rios, Gabriel David"/>
        <s v="Rios Diaz, Anyelina Yangmi"/>
        <s v="Paucar Espinoza, Camila Bianca"/>
        <s v="Rentera Gomez, Felipe David"/>
        <s v="Zorrilla Davila, Kayla Kaylita"/>
        <s v="Huanca Valle, Shamir Said"/>
        <s v="Obregon Guerra, Yarely Corina"/>
        <s v="Garay Amado, Franyelina Favela"/>
        <s v="Juan David Mendoza Mallqui"/>
        <s v="Marquez Chavez, Ansu"/>
        <s v="Chavez Mallqui, María Angela"/>
        <s v="Salazar Fernandez, Alex Benjamin"/>
        <s v="Aquino Catire, Jheyson Marco"/>
        <s v="Ascencios Villanueva, Zabdiel"/>
        <s v="Aquino Diaz, Azael Naim"/>
        <s v="Thalia Taisa Fernandez"/>
        <s v="Guerra Ramirez, Nicole Dayana"/>
        <s v="Carhuapoma Guerra, Edward "/>
        <s v="Adriel Espinoza Bar"/>
        <s v="Valencia Salvador, Kate Salome"/>
        <s v="Marquez Chavez, Ansu Icardi"/>
        <s v="Diaz Garay, Henderson"/>
        <s v="Salazar Salazar, Brehicy Nivia"/>
        <s v="Aparicio Garay, Keira Yatziry"/>
        <s v="Culla Espinoza, Heidi Zuleyca"/>
        <s v="Garay Aquino, Suhaila Amira"/>
        <s v="Chavez Montes, Guadalupe"/>
        <s v="Anaya Ramos, Shania Avril"/>
        <s v="Espinoza Davila, Gareth Keylor"/>
        <s v="Lucas Guerra, Jhurcel  Yefrem"/>
        <s v="Johanna Huayta Ugarte"/>
        <s v="Shania Anaya Ramos"/>
        <s v="Yaritza Guerra Garay"/>
        <s v="Gonzales Chimbe, Sebastian Vidal"/>
        <s v="Quispe Vargas, Ariana Lissely"/>
        <s v="Mendoza Mallqui, Juan David"/>
        <s v="Osorio Lopez, Victor Marino"/>
        <s v="Mendoza Mallqui Juan David"/>
        <s v="Garay Rojas Yulieth Alexia&#10;"/>
        <s v="Campos Garay Yadira Yatziry"/>
        <s v="Ortiz Castro Evelin Victoria Valentina"/>
        <s v="Sánchez Huayta Melanny Venhel"/>
        <s v="Sánchez Álvaro Hans Christian Andersen"/>
        <s v="Sánchez Alvaro Liam Alexander"/>
        <s v="Abad Dolores Yusef Zamir"/>
        <s v="Abad Dolores Zeynep Melek"/>
        <s v="Joel Mendoza Pinto"/>
        <s v="Valeri Aylen Abarca Ramirez"/>
        <s v="Belinda Gonzales Cueva"/>
        <s v="Sebastian Damian Medina"/>
        <s v="Vega Montes, Gael"/>
        <s v="Belen Flores Chavez"/>
        <s v="Joseph Amado Bañez"/>
        <s v="Nayli Genero Rivera"/>
        <s v="Sofia Villafuerte Rimac"/>
        <s v="Hamsu Blas Solorzano"/>
        <s v="Enrique Melgarejo "/>
        <s v="Enrique Melgarejo Zhen Sulin"/>
        <s v="Abarca Tolentino Gianluca Erwin"/>
        <s v="Flores Sigueñas Abigail"/>
        <s v="Gomero Vargas Adryen Yerick"/>
        <s v="Gonsales Quiroz, Adriel Martin"/>
        <s v="Garcia Gamboa, Luz Alessia Yaline"/>
        <s v="Atoche Guerrero, Damaris Sungyi "/>
        <s v="Mendoza Leyva Shany Kenia"/>
        <s v="Barreto Méndez Mayser Joan"/>
        <s v="Dextre Morales Luis Gustavo Ismael "/>
        <s v="Mota Huaroma Nijan Aysel "/>
        <s v="Garay Calderon,Kasumi Valentina"/>
        <s v="Ugarte Ramirez,Yarely Carol"/>
        <s v="Chavez Garay,Fabricio River"/>
        <s v="Nina Ugarte,Sigrid Dayana"/>
        <s v="Mauricio Javier Kathy"/>
        <s v="Zevallos Peña,John Benjamin"/>
        <s v="Ugarte Perez,Juan David"/>
        <s v="Diaz Chavez, Mheraf Danahy"/>
        <s v="Anaya Fernandez Luciana"/>
        <s v="Addiel Gargate"/>
        <s v="Lyams"/>
        <s v="Navel Samit Gomez Ayala"/>
        <s v="Mayda Chavez Vega"/>
        <s v="Nayla Leyva Chavez"/>
        <s v="Vargas Espinoza, Jeremih"/>
        <s v="Moreno Dextre, Zoe Nahomi"/>
        <s v="Guerrero Fabian, Naomi Ivett"/>
        <s v="Ramirez Rojas, Ismael"/>
        <s v="Requena Valverde, Nahara"/>
        <s v="Victorio Mora, Areztiel"/>
        <s v="Aguirre Huertas, Dherian"/>
        <s v="Herrera Sipan, Yeico"/>
        <s v="Maguiña Moreno, Dariel"/>
        <s v="Caqui Zambrano, Piero"/>
        <s v="Mejia Castro Brisney Ariana"/>
        <s v="Garay Calderon Geral Adriel"/>
        <s v="Chavez Anaya Dylan Fernando"/>
        <s v="Loarte Diaz Maite Zoe"/>
        <s v="Diaz Veramendi Jakob Paul"/>
        <s v="Garay Rubina Iker Lionel"/>
        <s v="Trejo Castro Luz Adira"/>
        <s v="Huerta Garay Alessia "/>
        <s v="Almercon Diaz Dayara Jeysi"/>
        <s v="Vargas Gomez Yaceli Jana"/>
        <s v="Valenzuela Medina Jaziel Gael"/>
        <s v="Calderon Tolentino Iyan Eriksen"/>
        <s v="Gomez Vasquez Jhuniel Isan"/>
        <s v="Calderon Aquino Jeremy Alexandre"/>
        <s v="Vasquez Pineda Daymy Giselle"/>
        <s v="Chavez Anaya Aylan Jassiel"/>
        <s v="Calancho Santa Cruz Yashira Ivana"/>
        <s v="Sifuentes Anaya Dylan Mateo"/>
        <s v="Loarte Vasquez Mirella Yissel"/>
        <s v="Mejia Arias Danna Arlet"/>
        <s v="Ramos Castillo Kiara Valeria"/>
        <s v="Garay Duran Jahir Leandro"/>
        <s v="Diaz Dominguez, Yashuri "/>
        <s v="Sanchez Alvaro, Liam Alexander"/>
        <s v="Sanchez Alvaro, Hans Christian"/>
        <s v="Leiva Mosquera Naim Owen"/>
        <s v="Rojas Blas Ioneli Yosmel"/>
        <s v="Garay Rojas, Yulieth Alexia"/>
        <s v="Sanchez Huayta Melanny Venhel"/>
        <s v="Asencio Rojas, Dayahana Génesis"/>
        <s v="Quito Rivas, Gretha Abathika"/>
        <s v="Anaya Solis, Itzayana Mailen Leah"/>
        <s v="Anaya Hildalgo, Clarisa Andrea"/>
        <s v="Pulido Chumacero, Luna Victoria"/>
        <s v="Chauca Hurtado, Thiago Dylan"/>
        <s v="Tipiani Felix, Tobias Enmanuel"/>
        <s v="Gonzales Zuñiga, Kistell del Rosario Khaleesi"/>
        <s v="Toledo Rosales, Omar Ediel"/>
        <s v="Olivares Cenepo, Carlos"/>
        <s v="Olivares Cenepo, Geraldine Jimena"/>
        <s v="Niño Solis, Matteo"/>
        <s v="Melgarejo Montalvo, Mely Lya"/>
        <s v="Ilaquijo Mora, Matthew Eithan"/>
        <s v="Reyes Bailon, Moises Simut"/>
        <s v="Salinas Escobar, Danica"/>
        <s v="Rasga Vara, Dylan Matias"/>
        <s v="Vega Gonzales, Noah Sebastián"/>
        <s v="Ramirez Flores,Elva Antonela"/>
        <s v="Ellel Abdias Livias Huayaney"/>
        <s v="Eydam Matteo Espinoza Zevallos"/>
        <s v="Jailyn Espinoza Tolentino"/>
        <s v="Alhia Luana Villanueva Mendoza"/>
        <s v="Sebastian Dionico Blas"/>
        <s v="Amiely Rachel Solis Ramirez"/>
        <s v="Ayelen Tristan"/>
        <s v="Gael James Cochachin Ramirez"/>
        <s v="Jeanelle Samara espinoza blas"/>
        <s v="Thaisa Fernandez Huerta"/>
        <s v="Hellen Salazar Haro"/>
        <s v="Adriel"/>
        <s v="Harisson"/>
        <s v="Jaziel Zorrilla Espinoza"/>
        <s v="Caballero Guerra, Alessia"/>
        <s v="Habran"/>
        <s v="Johanna"/>
        <s v="Solis Guerra, Gael Jeyco"/>
        <s v="Garay Gaytan David"/>
        <s v="Alek Emir Araujo Mendieta"/>
        <s v="Wenda Vega Poma"/>
        <s v="Yanfranco Jayden Blas Salazar"/>
        <s v="Patty Vega Lancha"/>
        <s v="Jenifer Janelle Narro Mallqui"/>
        <s v="Frank Castillo Ramos"/>
        <s v="Cadenas Carrión, Keith"/>
        <s v="Cruz Cueva, Valeska"/>
        <s v="Rosales Manrique, Vania Kalessy"/>
        <s v="Contreraz Huaman, Juaquin Andres"/>
        <s v="Aylin Lorena Caceres Cochachin"/>
        <s v="Thiago Leonel de la Cruz Minaya"/>
        <s v="Milan Emil Huaratazo Gonzales"/>
        <s v="Daila Karen Tadeo Castillo "/>
        <s v="Mathius Spence Diaz Molina"/>
        <s v="Amilcar Guillermo Leon Silva "/>
        <s v="Axel Yoseth Sotelo Trinidad"/>
        <s v="Liam Tadeo Respicio "/>
        <s v="Camila Eliza Lázaro Guillermo "/>
        <s v="Dave Gabriel Alejandro Rufino Cueva "/>
        <s v="Maylen Itzayana Lopez Ticler "/>
      </sharedItems>
    </cacheField>
    <cacheField name="Grado" numFmtId="0">
      <sharedItems containsBlank="1">
        <s v="Ini-4rto"/>
        <s v="Ini-3ero"/>
        <s v="Ini-5nto"/>
        <m/>
      </sharedItems>
    </cacheField>
    <cacheField name="Aula/Sección">
      <sharedItems containsBlank="1" containsMixedTypes="1" containsNumber="1" containsInteger="1">
        <s v="3,4, y 5 años"/>
        <s v="5 años"/>
        <s v="3 años"/>
        <s v="4 años"/>
        <s v="Pequeños exploradores"/>
        <s v="Pequeños creativos"/>
        <s v="3,4 y 5 años "/>
        <m/>
        <s v="3 y 5 años"/>
        <s v="3, 4 y 5 años"/>
        <s v="3 y 4 años"/>
        <s v="4 años/Patitos"/>
        <s v="5 años/Conejitos"/>
        <s v="3 años/Mariposas"/>
        <s v="5 años/Ositos"/>
        <s v="3 años/Hormiguitas"/>
        <s v="4 años/Abejitas"/>
        <s v="5 años/Verde"/>
        <s v="4 años/Rojo"/>
        <s v="3 años/Amarillo"/>
        <s v="6 años"/>
        <s v="5/3 años"/>
        <s v="4/5 años"/>
        <s v="5 año"/>
        <s v="4 y 5 años"/>
        <s v="Multinivel"/>
        <s v="Multigrado"/>
        <s v="Manzana"/>
        <s v="Fresa"/>
        <s v="Naranja"/>
        <s v="4 años "/>
        <s v="3 años "/>
        <s v="Auxiliar 3,4,5"/>
        <s v="PRONOEI"/>
        <s v="3 años azul"/>
        <s v="5 años rojo"/>
        <s v="5 años celeste"/>
        <s v="3 años amarrillo"/>
        <s v="4 años amarrillo"/>
        <s v="3 años amarillo y 5 años celeste"/>
        <s v="5 años "/>
        <s v="PRONOEI - SHINQUIPAMPA"/>
        <s v="3, 4 y 5 años "/>
        <s v=" 4 años "/>
        <s v=" 5 años "/>
        <s v="3 y 4 "/>
        <n v="4.0"/>
        <s v="3, 4 y 5 "/>
      </sharedItems>
    </cacheField>
    <cacheField name="Núcleo familiar" numFmtId="0">
      <sharedItems containsBlank="1">
        <s v="Jara Roque, Melani/Ini-4rto/3,4, y 5 años"/>
        <s v="Huamán Zubieta, Sophia/Ini-3ero/3,4, y 5 años"/>
        <s v="Ini-3ero/3,4, y 5 años"/>
        <s v="Flores Farromeque Sebastian/Ini-5nto/5 años"/>
        <s v="Vega Gonzalez Noah/Ini-3ero/3 años"/>
        <s v="Bularte Sanchez, Noah/Ini-3ero/3 años"/>
        <s v="Tobias Tipiani/Ini-4rto/4 años"/>
        <s v="Guerrero Marrenos, Ivana Valeria/Ini-4rto/4 años"/>
        <s v="Zata Reques, Lina Antonella/Ini-4rto/4 años"/>
        <s v="Castillo Vasquez Zoe/Ini-4rto/4 años"/>
        <s v="Ini-5nto/5 años"/>
        <s v="Niño Mateo/Ini-4rto/4 años"/>
        <s v="Ini-3ero/3 años"/>
        <s v="Castillo Vasquez Zoe/Ini-3ero/3 años"/>
        <s v="Mejia Rodriguez, Maryori Lisandra/Ini-5nto/5 años"/>
        <s v="Sigueñas Gomero, Stefany Leydy/Ini-4rto/4 años"/>
        <s v="Cosme Cadillo, Elder Ethson/Ini-4rto/4 años"/>
        <s v="Guerrero Burga, Dereck Yadiel/Ini-4rto/4 años"/>
        <s v="Ini-4rto/4 años"/>
        <s v="Dolores Dolores, Danna Shophia/Ini-5nto/5 años"/>
        <s v="Doroteo Blaz, Brenda Victoria/Ini-5nto/5 años"/>
        <s v="De la Cruz Pomiano, Yasuri/Ini-5nto/5 años"/>
        <s v="Mendoza Leyva, Aysel/Ini-3ero/Pequeños exploradores"/>
        <s v="Cosme Tripiani, Nazareth/Ini-3ero/Pequeños exploradores"/>
        <s v="Moreno León, Margarita/Ini-3ero/Pequeños exploradores"/>
        <s v="Tipiani Rosales, Lucas/Ini-3ero/Pequeños exploradores"/>
        <s v="Romero Cadillo, Alexandro/Ini-5nto/Pequeños creativos"/>
        <s v="Barruto Mendez, Mayse/Ini-5nto/Pequeños creativos"/>
        <s v="Gonzales Quiroz, Adriel/Ini-5nto/Pequeños creativos"/>
        <s v="Chahuar Ojeda, Mateo/Ini-5nto/Pequeños creativos"/>
        <s v="Palacios Rodriguez, Eliel/Ini-3ero/Pequeños exploradores"/>
        <s v="Ini-3ero/Pequeños exploradores"/>
        <s v="Huaman Cabrera, Yeiko/Ini-5nto/Pequeños creativos"/>
        <s v="Ini-5nto/Pequeños creativos"/>
        <s v="Ini-4rto/Pequeños exploradores"/>
        <s v="Ini-5nto/3,4 y 5 años"/>
        <m/>
        <s v="Pantoja Cabrera, Sandro/Ini-4rto/4 años"/>
        <s v="Guerrero Falero, Merlia y Paolo/Ini-3ero/3 y 5 años"/>
        <s v="Gomez Requena, Nihan/Ini-5nto/5 años"/>
        <s v="Fabian Pardo, Yonel/Ini-5nto/5 años"/>
        <s v="Moreno Celestino, Percy/Ini-5nto/5 años"/>
        <s v="Vargas Ortiz, Analyne y Johann/Ini-5nto/5 años"/>
        <s v="Flores Maguiña, Victor/Ini-5nto/5 años"/>
        <s v="Padilla Solano, Dylan/Ini-3ero/3 años"/>
        <s v="Favian Venturo, Liam/Ini-3ero/3 años"/>
        <s v="Miranda Pashanaste, Catalina/Ini-3ero/3 años"/>
        <s v="Tamayo Rodriguez, Matusalén/Ini-4rto/4 años"/>
        <s v="Paico Jimenez, Azumi/Ini-3ero/3 años"/>
        <s v="Doroteo Depaz, Paul/Ini-3ero/3 años"/>
        <s v="Bustos Jara, Xianna/Ini-4rto/4 años"/>
        <s v="Fabian Depaz, Josep/Ini-5nto/5 años"/>
        <s v="Uzuriaga Salcedo, Maykel/Ini-4rto/4 años"/>
        <s v="Galvez Bello, Alondra/Ini-5nto/5 años"/>
        <s v="Patricio Bustos Selim Dario/Ini-3ero/3 años"/>
        <s v="Romero Roca, Adrián/Ini-5nto/5 años"/>
        <s v="Rodriguez Moreno, Adib Yoner/Ini-5nto/5 años"/>
        <s v="Bello Bustos, Grace Ivana/Ini-3ero/3 años"/>
        <s v="Doroteo Villafuerte, Adriana/Ini-3ero/3 años"/>
        <s v="Rosales Paico, Yuleysi/Ini-5nto/3, 4 y 5 años"/>
        <s v="Isneros Matos, Celeste/Ini-5nto/3, 4 y 5 años"/>
        <s v="Perez Baca, Rodrigo/Ini-5nto/3, 4 y 5 años"/>
        <s v="Romero Portilla, Isabel/Ini-4rto/3, 4 y 5 años"/>
        <s v="Ini-3ero/3, 4 y 5 años"/>
        <s v="Curi Palomino, Iker/Ini-4rto/3 y 4 años"/>
        <s v="Zambrano Diaz, Nicolas/Ini-5nto/5 años"/>
        <s v="Espiritu Flores, Fabrizio/Ini-5nto/5 años"/>
        <s v="Diaz Castillo, Said/Ini-4rto/3 y 4 años"/>
        <s v="Asencios Cueva, Alessia/Ini-4rto/3 y 4 años"/>
        <s v="Asencios Reyes, Edrick/Ini-4rto/3 y 4 años"/>
        <s v="Flores Castromonte, Stéfano/Ini-5nto/5 años"/>
        <s v="Villalobos Zambrano, Lisbeth/Ini-4rto/3 y 4 años"/>
        <s v="Ini-3ero/3 y 4 años"/>
        <s v="Vega Garay Beba Sarilu/Ini-4rto/4 años/Patitos"/>
        <s v="Ini-4rto/4 años/Patitos"/>
        <s v="Fernandez Reyes Jackson Guzman/Ini-5nto/5 años/Conejitos"/>
        <s v="Canares Rivera Zeynep Aysel/Ini-4rto/4 años/Patitos"/>
        <s v="Espinoza Flores Samira/Ini-3ero/3 años/Mariposas"/>
        <s v="Pineda Araujo Sunmi Anyeli/Ini-5nto/5 años/Conejitos"/>
        <s v="Taco Veramendi Lucio Adrian/Ini-3ero/3 años/Mariposas"/>
        <s v="Gomez Ticlo Kazuma Sato/Ini-4rto/4 años/Patitos"/>
        <s v="Ramirez Veramendi Heydy Meriyem/Ini-4rto/4 años/Patitos"/>
        <s v="Ramirez Amaro Ciara Itsayela/Ini-3ero/3 años/Mariposas"/>
        <s v="Vilca Fernandez Flormira/Ini-5nto/5 años/Conejitos"/>
        <s v="Camiloaga Aquino Moises Lecerio/Ini-4rto/4 años/Patitos"/>
        <s v="Campos Camiloaga Eric Dilan/Ini-4rto/4 años/Patitos"/>
        <s v="Trujillo Pineda Waly Favinho/Ini-4rto/4 años/Patitos"/>
        <s v="Pineda Alvarez Anabel Aneyra/Ini-4rto/4 años/Patitos"/>
        <s v="Alvarez Carrillo Nicolas Styben/Ini-4rto/4 años/Patitos"/>
        <s v="Ramirez Tolentino Beckham Griezmann/Ini-5nto/5 años/Conejitos"/>
        <s v="Aquino Araujo Everton Tiago/Ini-4rto/4 años/Patitos"/>
        <s v="Ramirez Garay Camila Sofia/Ini-4rto/4 años/Patitos"/>
        <s v="Villadeza Albornoz Alexis Jahir/Ini-5nto/5 años"/>
        <s v="Rojas Ugarte Liam Valentino/Ini-3ero/3 años"/>
        <s v="Sebastian Zorrilla/Ini-5nto/5 años"/>
        <s v="Carrillo Calixto Yerik Enzo/Ini-4rto/4 años"/>
        <s v="Espinoza Rimac Joshua Joshimar/Ini-4rto/4 años"/>
        <s v="Albornos Julca Yareli  Maribel/Ini-3ero/3 años"/>
        <s v="Jostin Gonzales/Ini-5nto/5 años"/>
        <s v="Obregon Veramendi Dylan Wagner/Ini-4rto/4 años"/>
        <s v="Ugarte Santillan Ibeth Yaslyn/Ini-3ero/3 años"/>
        <s v="Araujo Gomez Jimena Valeri/Ini-4rto/4 años"/>
        <s v="Calderon Tolentino Iyan Erisen/Ini-5nto/5 años/Ositos"/>
        <s v="Rojas Guillen Iker Zaid/Ini-3ero/3 años/Hormiguitas"/>
        <s v="Blas Calderon Yhasmin Yhakira/Ini-4rto/4 años/Abejitas"/>
        <s v="Reyes Santa Cruz Maria Fernanda/Ini-3ero/3 años/Hormiguitas"/>
        <s v="Davila Solis Milan/Ini-3ero/3 años/Hormiguitas"/>
        <s v="Pajuelo Calancho Piero Antony/Reyes Calancho Yannis Yalethsi Haicé/Ini-3ero/3 años/Hormiguitas"/>
        <s v="Cabrera Yupa Maite Kiara/Ini-3ero/3 años/Hormiguitas"/>
        <s v="Loarte Sifuentes Julieth Medali/Ini-4rto/4 años/Abejitas"/>
        <s v="Navarro Ugarte Eythan Adrian/Ini-5nto/5 años/Ositos"/>
        <s v="Gomez Vasquez Jhuniel/Gomez Vasquez Eliam Sebastian/Ini-4rto/4 años/Abejitas"/>
        <s v="Blas Rivera Gianna Danira/Ini-4rto/4 años/Abejitas"/>
        <s v="Reyes Ubaldo Jeik Yamir/Ini-5nto/5 años/Verde"/>
        <s v="Amado Fierro Khalessy Valentina/Ini-4rto/4 años/Rojo"/>
        <s v="Loarte Castro Yildiz Estrella/Ini-5nto/5 años/Verde"/>
        <s v="Blas Anaya Paulo Henderson/Ini-5nto/5 años/Verde"/>
        <s v="Chavez Solorzano Matias 5a/Huayta Solorzano Kaylina Mikaela 3a/Ini-3ero/3 años/Amarillo"/>
        <s v="Anaya Blas Yeilin Madaith/Ini-3ero/3 años/Amarillo"/>
        <s v="Anaya Albornoz Guisell Anahi/Ini-3ero/3 años/Amarillo"/>
        <s v="Chavez Mejia Yahir Aaron/Ini-3ero/3 años/Amarillo"/>
        <s v="Valle Tarazona Lian Fernando/Ini-4rto/4 años/Rojo"/>
        <s v="Anaya Espinoza Abby Yomira/Ini-5nto/5 años/Verde"/>
        <s v="Diaz Veramendi Jakob/Ini-3ero/3 años/Amarillo"/>
        <s v="Ariza Osorio Rozalice Kataleya/Ini-3ero/3 años/Amarillo"/>
        <s v="Palacios Diaz Yamil Dylan/Ini-4rto/4 años/Rojo"/>
        <s v="Carhuapoma Marzano Kael Eliceo/Ini-5nto/5 años/Verde"/>
        <s v="Brioso Palacios Shonaly Yajhaira/Ini-4rto/4 años/Rojo"/>
        <s v="Cabanillas Veramendi Yaiza Yetzali/Ini-4rto/4 años/Rojo"/>
        <s v="Mejia Castro Brisney/Ini-4rto/4 años/Rojo"/>
        <s v="Alvarado Anaya Eydan/Ini-3ero/3 años/Amarillo"/>
        <s v="Mauricio Anaya Zendaya/Ini-4rto/4 años/Rojo"/>
        <s v="Aguirre Loarte Linseyó Eloy/Ini-5nto/5 años/Verde"/>
        <s v="Camiloaga Anaya Danna Aitana/Ini-3ero/3 años/Amarillo"/>
        <s v="Anaya Robles Milan Eriksen/Ini-3ero/3 años/Amarillo"/>
        <s v="Chavez Anaya Dylan/Ini-3ero/3 años"/>
        <s v="Dionicio Rojas Josabet Cristel/Ini-5nto/5 años/Verde"/>
        <s v="Surcco Brioso Zaid/Ini-3ero/3 años/Amarillo"/>
        <s v="Valenzuela Ugarte Janiel/Ini-3ero/3 años"/>
        <s v="Fonseca Veramendi Dafne Engell/Ini-5nto/6 años"/>
        <s v="Almercon Diaz Dayana Jeysi/Ini-5nto/6 años"/>
        <s v="Vasquez Huerta Daymar Bahir/Ini-5nto/6 años"/>
        <s v="Rivera Almercon Valentina/Ini-3ero"/>
        <s v="Olivas Castillo Josue Eliaquin/Ini-4rto/5 años"/>
        <s v="Vargas Gomez Yaceli/Ini-5nto/5 años"/>
        <s v="Medina Gomez Andrea 5a/Medina Gomez Adelina 3a/Ini-5nto/5/3 años"/>
        <s v="Brioso Anaya Heydi 4a/Brioso Anaya 5a/Ini-4rto/4/5 años"/>
        <s v="Salazar Salvador Yosfran Linder/Ini-5nto/4 años"/>
        <s v="Brioso Ciprian Catalina/Ini-3ero/3 años"/>
        <s v="Huerta Garay Alessia Cristel/Ini-3ero/3 años"/>
        <s v="Villar Perez, Juan David/Ini-5nto/5 años"/>
        <s v="Juan G./Ini-5nto/5 años"/>
        <s v="Garay Caqui, Disan Nabat/Ini-5nto/5 años"/>
        <s v="Anaya Gargate, Ashira Yurena/Ini-4rto/4 años"/>
        <s v="Gargate Marcos, Lia Adriana/Ini-5nto/5 años"/>
        <s v="Vega Chavez, Zimri Hanani/Ini-5nto/5 años"/>
        <s v="Aquino Garay Mikkel/Ini-5nto/5 años"/>
        <s v="Andrade Guerra Alba/Ini-4rto/4 años"/>
        <s v="Illanes Castro, Alejandra/Ini-3ero/3 años"/>
        <s v="Castro Aquino Yarlyn/Ini-4rto/4 años"/>
        <s v="Garay Guerra, Andrea Abigail/Ini-3ero/3 años"/>
        <s v="Castro Soto,Luan Patrick/Ini-4rto/4 años"/>
        <s v="Andrea Garay Guerra y Garay Guerra Alonso/Ini-4rto/3 y 4 años"/>
        <s v="Camiloaga Castro, Elsing Gael/Ini-3ero/3 años"/>
        <s v="Fernandez Chavez,Mikel Paolo/Ini-3ero/3 años"/>
        <s v="Pablo Rayna, Sarahi Valentina/Ini-3ero/3 años"/>
        <s v="Ini-5nto/5 año"/>
        <s v="Obregón Adiel/Ini-4rto"/>
        <s v="Obregón Caleb/Ini-4rto"/>
        <s v="Taype Caballero Yadiel/Ini-3ero"/>
        <s v="Aquino Chavez Emely/Ini-3ero"/>
        <s v="Aquino Castro Samara/Ini-5nto"/>
        <s v="Mautino Yupa Sofía/Ini-4rto"/>
        <s v="Cienfuegos Naeli/Ini-5nto"/>
        <s v="Trujillo S. Jhedin/Ini-5nto"/>
        <s v="Obregón A. Kamila/Ini-3ero"/>
        <s v="Castro C. Edric/Ini-4rto"/>
        <s v="Vela Aguirre Santiago/Ini-4rto"/>
        <s v="Obregón Gargate Yessly/Ini-3ero"/>
        <s v="Obregón Cierto Norly/Ini-3ero"/>
        <s v="Belen Luciana Condor/Ini-5nto"/>
        <s v="Ramirez V. Yuliana/Ini-5nto"/>
        <s v="Gil Obregón Emily/Ini-5nto"/>
        <s v="Obregón Ramirez Aysel/Ini-3ero"/>
        <s v="Obregón Ramirez Merithsell/Ini-5nto"/>
        <s v="Castro Rios Sandra/Ini-5nto"/>
        <s v="Obregón Arisbeth/Ini-5nto"/>
        <s v="Anaya Yeifer/Ini-5nto"/>
        <s v="Diaz Yamila/Ini-4rto"/>
        <s v="Peña Gargate Jimena/Ini-5nto"/>
        <s v="Garay Gael/Ini-4rto"/>
        <s v="Pineda Gomez Gadiel/Ini-5nto"/>
        <s v="Arley/Ini-4rto"/>
        <s v="Zeyneth Trujillo Huanuco/Ini-3ero"/>
        <s v="Emely/Ini-3ero"/>
        <s v="Dara /Arley/Ini-3ero"/>
        <s v="Ini-4rto"/>
        <s v="Obregon Sanchez, Nesaret/Ini-5nto"/>
        <s v="Ini-5nto"/>
        <s v="Ini-3ero"/>
        <s v="Trujillo Javier Jhedin/Ini-5nto"/>
        <s v="Rothni Zarzosa/Ini-5nto"/>
        <s v="Daguberto/Ini-4rto"/>
        <s v="Quispe Rivera Vecman/Ini-3ero/3 años"/>
        <s v="Castro Caqui Andrea/Ini-5nto/5 años"/>
        <s v="Espinoza Aguirre, Jayden/Ini-4rto/4 años"/>
        <s v="Aquino Herrada Dylan Gabriel/Ini-4rto/4 años"/>
        <s v="Chavez Rivera Idalis/Ini-3ero/3 años"/>
        <s v="Rios Ramirez Angel/Ini-3ero/3 años"/>
        <s v="Aquino Ramirez, Viviana/Ini-5nto/5 años"/>
        <s v="Ini-5nto/4 y 5 años"/>
        <s v="Castro Raymundo, Sari/Ini-4rto/4 años"/>
        <s v="Castro Evangelista, Jafed/Ini-5nto/5 años"/>
        <s v="Obregón Trujillo, Afret/Ini-4rto/4 años"/>
        <s v="Obregón Fernandez, Yarely Diomira/Ini-4rto/4 años"/>
        <s v="Castro Caqui, Andrea/Ini-5nto/5 años"/>
        <s v="Chavez Rivera Yuri/Ini-4rto/4 años"/>
        <s v="Gargate Obregón Shana/Ini-4rto/4 años"/>
        <s v="Aquino Felix Samara Damaris/Ini-4rto/Multinivel"/>
        <s v="Pimental Garay Cielo Andrea/Estrella/Ini-4rto/Multinivel"/>
        <s v="Aquino Gomez Zohemy Skarlet/Ini-4rto/Multinivel"/>
        <s v="Gomez Melgarejo Yuliyat/Ini-4rto/Multinivel"/>
        <s v="Fernandez Aquino Jassiel Elohim/Ini-4rto/Multinivel"/>
        <s v="Castro Fernandez Ghinna Mileth/Ini-3ero/Multinivel"/>
        <s v="Garay Alva Adriel Dyam/Ini-3ero/Multinivel"/>
        <s v="Garay Alva Adriel Dyam/Ini-4rto/Multinivel"/>
        <s v="Aquino Felix Samara Damaris/Ini-3ero/Multinivel"/>
        <s v="Multinivel"/>
        <s v="Calderón Miraval Gael/Ini-3ero/3 años"/>
        <s v="Livias Guerra, Ghina/Ini-5nto/5 años"/>
        <s v="Quiñones Trujillo Genesis/Ini-5nto/5 años"/>
        <s v="Espinoza Obregón Xiana/Ini-4rto/4 años"/>
        <s v="Sanchez Calderon Genesis/Ini-3ero/3 años"/>
        <s v="Castro Espinoza, Bricelly/Ini-4rto/4 años"/>
        <s v="Vargas Garay Benzema/Ini-3ero/3 años"/>
        <s v="Cindi/Ini-3ero/3 años"/>
        <s v="Aguirre Trujillo, Briseida Eyleen/Ini-5nto/5 años"/>
        <s v="Nevin Ramirez Dayra/Ini-4rto/4 años"/>
        <s v="Aquino Gargate Zoe/Ini-3ero/3 años"/>
        <s v="Chavez Aquino, Santiago/Ini-5nto/5 años"/>
        <s v="Laguna Moreno, Ipman/Ini-5nto/5 años"/>
        <s v="Blas Tarazona Ceyneph/Ini-5nto/5 años"/>
        <s v="Santamaria Espinoza, Kael Klinton/Ini-4rto/4 años"/>
        <s v="Rodriguez Godoy, Yeraldin Helen/Ini-5nto/5 años"/>
        <s v="Espinoza Ramirez Khaleesi/Ini-4rto/4 años"/>
        <s v="Guerra Valiri/Ini-5nto/5 años"/>
        <s v="Guerra Carhuapoma Ureil/Ini-4rto/4 años"/>
        <s v="Canares Camilhuada, Pamela/Ini-3ero/3 años"/>
        <s v="Araujo Ugarte Yinder/Ini-5nto/5 años"/>
        <s v="Rodriguez Caqui Nicolas/Ini-3ero/3 años"/>
        <s v="Quispe Laguna, Sayuri Estrella/Ini-5nto/5 años"/>
        <s v="Guerra Miraval Valery/Ini-5nto/5 años"/>
        <s v="Utrilla Obregon, Yeremy Jonatan/Ini-4rto/4 años"/>
        <s v="Aron"/>
        <s v="Santiago"/>
        <s v="Thiago"/>
        <s v="Brisaida"/>
        <s v="Cindi/Ini-5nto/5 años"/>
        <s v="Brisaida Aguirre Trujillo/Ini-5nto/5 años"/>
        <s v="Jacob Laguna Caqui/Ini-5nto/5 años"/>
        <s v="Aquino Rosales Danna Alisson/Multigrado"/>
        <s v="Aquino Suarez Gael Loan/Multigrado"/>
        <s v="Melgarejo Francisco Yamilet Kaida/Multigrado"/>
        <s v="Garay Aquino Eriksen Oliver/Multigrado"/>
        <s v="Ugarte Garay Roberson Efrain Fausto/Multigrado"/>
        <s v="Obregon Gadea Mia Isabella/Multigrado"/>
        <s v="Melgarejo Aquino Liam Jayden/Multigrado"/>
        <s v="Multigrado"/>
        <s v="Alarcon Sifuentes, Lirio/Ini-3ero/Manzana"/>
        <s v="Chipiana Ramos, Antonella/Ini-3ero/Manzana"/>
        <s v="Mendoza Huaman, Arav/Ini-4rto/Fresa"/>
        <s v="Ini-5nto/Naranja"/>
        <s v="Julca Vergara, Luis Abdel/Ini-5nto/Naranja"/>
        <s v="Romero Diaz, Alessandra/Ini-3ero/Manzana"/>
        <s v="Requelme Noreña, Kylian/Ini-4rto/Fresa"/>
        <s v="Requena Diaz, Jayden Adriano/Ini-4rto/Fresa"/>
        <s v="Sanchez Alarcon, Stephen/Ini-4rto/Fresa"/>
        <s v="Salcedo Bottoni, Solange/Ini-5nto/Naranja"/>
        <s v="Pacheco Quiñones, Johan/Ini-3ero/Manzana"/>
        <s v="Sanchez Huarancca, Sebastian/Ini-3ero/Manzana"/>
        <s v="Velasquez Yauri, Valeska/Ini-4rto/Fresa"/>
        <s v="Nuñez Huaman, Ian Daniel/Ini-3ero/Manzana"/>
        <s v="Varillas Ayala, Ian Gael/Ini-3ero/Manzana"/>
        <s v="Varela Sanchez, Aylin/Ini-4rto/Fresa"/>
        <s v="Romero Ordoñez, Cataleya/Ini-3ero/Manzana"/>
        <s v="Tello-Mena Jumpa, Kendra/Ini-5nto/Naranja"/>
        <s v="Diaz Lopez, Heiton/Ini-4rto/Fresa"/>
        <s v="Culla Espinoza Heidi Zuleyka/Ini-4rto"/>
        <s v="Garay Amado Granyelina Favela/Ini-4rto"/>
        <s v="Garay Araujo, Zhain Yoseph/Ini-3ero"/>
        <s v="Fernandez Ramos, Denis Said/Ini-5nto"/>
        <s v="Brihana Garay Garay/Ini-5nto"/>
        <s v="Marcela Rentero Claudio/Ini-5nto"/>
        <s v="Garay Diaz, Emily Ariana/Ini-5nto"/>
        <s v="Ramirez Romero, Abigail Micaela/Ini-3ero"/>
        <s v="Fernandez Salazar, Keyra Antonella/Ini-3ero"/>
        <s v="Guerra Enrique Sebastián Liam/Ini-4rto"/>
        <s v="Alizee Trejo Palacios/Ini-3ero"/>
        <s v="Flores Ticlo, Jahir Eithan/Ini-4rto"/>
        <s v="Joziel Zorrilla Espinoza/Ini-3ero"/>
        <s v="Lucas Guerra, Jhurcel Yefrem/Ini-5nto"/>
        <s v="Rayli Rojos Yltarisson/Ini-5nto"/>
        <s v="Villadeza Zorrilla, Yarely Ivanana/Ini-3ero"/>
        <s v="Quispe Rios, Gabriel David/Ini-3ero"/>
        <s v="Rios Diaz, Anyelina Yangmi/Ini-4rto"/>
        <s v="Paucar Espinoza, Camila Bianca/Ini-4rto"/>
        <s v="Rentera Gomez, Felipe David/Ini-4rto"/>
        <s v="Zorrilla Davila, Kayla Kaylita/Ini-4rto"/>
        <s v="Huanca Valle, Shamir Said/Ini-4rto"/>
        <s v="Obregon Guerra, Yarely Corina/Ini-4rto"/>
        <s v="Garay Amado, Franyelina Favela/Ini-4rto"/>
        <s v="Juan David Mendoza Mallqui/Ini-4rto"/>
        <s v="Marquez Chavez, Ansu/Ini-5nto"/>
        <s v="Chavez Mallqui, María Angela/Ini-3ero"/>
        <s v="Salazar Fernandez, Alex Benjamin/Ini-5nto"/>
        <s v="Aquino Catire, Jheyson Marco/Ini-5nto"/>
        <s v="Ascencios Villanueva, Zabdiel/Ini-3ero"/>
        <s v="Aquino Diaz, Azael Naim/Ini-3ero"/>
        <s v="Thalia Taisa Fernandez/Ini-5nto"/>
        <s v="Guerra Ramirez, Nicole Dayana/Ini-5nto"/>
        <s v="Carhuapoma Guerra, Edward/Ini-4rto"/>
        <s v="Adriel Espinoza Bar/Ini-4rto"/>
        <s v="Lucas Guerra, Jhurcel Yefrem/Ini-3ero"/>
        <s v="Valencia Salvador, Kate Salome/Ini-4rto"/>
        <s v="Marquez Chavez, Ansu Icardi/Ini-5nto"/>
        <s v="Diaz Garay, Henderson/Ini-5nto"/>
        <s v="Salazar Salazar, Brehicy Nivia/Ini-5nto"/>
        <s v="Aparicio Garay, Keira Yatziry/Ini-4rto"/>
        <s v="Culla Espinoza, Heidi Zuleyca/Ini-4rto"/>
        <s v="Garay Aquino, Suhaila Amira/Ini-3ero"/>
        <s v="Chavez Montes, Guadalupe/Ini-4rto"/>
        <s v="Anaya Ramos, Shania Avril/Ini-5nto"/>
        <s v="Espinoza Davila, Gareth Keylor/Ini-5nto"/>
        <s v="Lucas Guerra, Jhurcel  Yefrem/Ini-3ero"/>
        <s v="Johanna Huayta Ugarte/Ini-3ero"/>
        <s v="Shania Anaya Ramos/Ini-5nto"/>
        <s v="Yaritza Guerra Garay/Ini-5nto"/>
        <s v="Gonzales Chimbe, Sebastian Vidal/Ini-3ero"/>
        <s v="Quispe Vargas, Ariana Lissely/Ini-5nto"/>
        <s v="Mendoza Mallqui, Juan David/Ini-4rto"/>
        <s v="Osorio Lopez, Victor Marino/Ini-4rto"/>
        <s v="Mendoza Mallqui Juan David/Ini-4rto"/>
        <s v="Garay Rojas Yulieth Alexia/Ini-4rto"/>
        <s v="Campos Garay Yadira Yatziry/Ini-4rto"/>
        <s v="Ortiz Castro Evelin Victoria Valentina/Ini-3ero"/>
        <s v="Sánchez Huayta Melanny Venhel/Ini-3ero"/>
        <s v="Sánchez Álvaro Hans Christian Andersen/Ini-3ero"/>
        <s v="Sánchez Alvaro Liam Alexander/Ini-4rto"/>
        <s v="Abad Dolores Yusef Zamir/Ini-4rto/4 años"/>
        <s v="Abad Dolores Zeynep Melek/Ini-4rto/4 años"/>
        <s v="Joel Mendoza Pinto/Ini-5nto"/>
        <s v="Valeri Aylen Abarca Ramirez/Ini-3ero"/>
        <s v="Belinda Gonzales Cueva/Ini-4rto"/>
        <s v="Sebastian Damian Medina/Ini-4rto"/>
        <s v="Vega Montes, Gael/Ini-3ero"/>
        <s v="Belen Flores Chavez/Ini-5nto"/>
        <s v="Joseph Amado Bañez/Ini-5nto"/>
        <s v="Nayli Genero Rivera/Ini-5nto"/>
        <s v="Sofia Villafuerte Rimac/Ini-5nto"/>
        <s v="Hamsu Blas Solorzano"/>
        <s v="Enrique Melgarejo/Ini-3ero"/>
        <s v="Enrique Melgarejo Zhen Sulin/Ini-3ero"/>
        <s v="Abarca Tolentino Gianluca Erwin"/>
        <s v="Flores Sigueñas Abigail/Ini-3ero"/>
        <s v="Gomero Vargas Adryen Yerick/Ini-3ero"/>
        <s v="Gonsales Quiroz, Adriel Martin/Ini-4rto/Pequeños exploradores"/>
        <s v="Garcia Gamboa, Luz Alessia Yaline/Ini-4rto/Pequeños exploradores"/>
        <s v="Cosme Tripiani, Nazareth/Ini-4rto/Pequeños exploradores"/>
        <s v="Chahuar Ojeda, Mateo/Ini-3ero/Pequeños exploradores"/>
        <s v="Atoche Guerrero, Damaris Sungyi/Ini-3ero/Pequeños exploradores"/>
        <s v="Mendoza Leyva Shany Kenia/Ini-5nto/Pequeños creativos"/>
        <s v="Barreto Méndez Mayser Joan/Ini-5nto/Pequeños creativos"/>
        <s v="Dextre Morales Luis Gustavo Ismael/Ini-4rto/Pequeños exploradores"/>
        <s v="Castillo Huaman, Euz/Ini-3ero/Pequeños exploradores"/>
        <s v="Mota Huaroma Nijan Aysel/Ini-4rto/Pequeños exploradores"/>
        <s v="Garay Calderon,Kasumi Valentina/Ini-4rto/4 años"/>
        <s v="Ugarte Ramirez,Yarely Carol/Ini-4rto/4 años"/>
        <s v="Chavez Garay,Fabricio River/Ini-4rto/4 años"/>
        <s v="Nina Ugarte,Sigrid Dayana/Ini-3ero/3 años"/>
        <s v="Mauricio Javier Kathy/Ini-3ero/3 años"/>
        <s v="Zevallos Peña,John Benjamin/Ini-5nto/5 años"/>
        <s v="Roque Rimac,Juan Ghael/Ini-5nto/5 años"/>
        <s v="Ugarte Perez,Juan David/Ini-5nto/5 años"/>
        <s v="Diaz Chavez, Mheraf Danahy/Ini-3ero/3 años"/>
        <s v="Fernandez Chavez,Mikel Paolo/Ini-5nto/5 años"/>
        <s v="Anaya Fernandez Luciana/Ini-3ero/3 años"/>
        <s v="Addiel Gargate/Ini-5nto/5 años"/>
        <s v="Lyams"/>
        <s v="Navel Samit Gomez Ayala/Ini-4rto"/>
        <s v="Mayda Chavez Vega/Ini-5nto"/>
        <s v="Nayla Leyva Chavez/Ini-4rto"/>
        <s v="Vargas Espinoza, Jeremih/Ini-5nto"/>
        <s v="Moreno Dextre, Zoe Nahomi/Ini-5nto/5 años"/>
        <s v="Guerrero Fabian, Naomi Ivett/Ini-5nto/5 años"/>
        <s v="Jara Roque, Melani/Ini-4rto/3, 4 y 5 años"/>
        <s v="Ramirez Rojas, Ismael/Ini-5nto/3, 4 y 5 años"/>
        <s v="Requena Valverde, Nahara/Ini-3ero/3, 4 y 5 años"/>
        <s v="Victorio Mora, Areztiel/Ini-4rto/3, 4 y 5 años"/>
        <s v="Ini-3ero/Manzana"/>
        <s v="Ini-4rto/Fresa"/>
        <s v="Ini-3ero/Auxiliar 3,4,5"/>
        <s v="Ini-3ero/PRONOEI"/>
        <s v="Aguirre Huertas, Dherian/Ini-3ero/Manzana"/>
        <s v="Herrera Sipan, Yeico/Ini-4rto/Fresa"/>
        <s v="Maguiña Moreno, Dariel/Ini-4rto/4 años"/>
        <s v="Caqui Zambrano, Piero/Ini-4rto/3 y 4 años"/>
        <s v="Mejia Castro Brisney Ariana/Ini-4rto/4 años/Rojo"/>
        <s v="Garay Calderon Geral Adriel/Ini-4rto/4 años/Rojo"/>
        <s v="Chavez Anaya Dylan Fernando/Ini-3ero/3 años/Amarillo"/>
        <s v="Loarte Diaz Maite Zoe/Ini-4rto/4 años/Rojo"/>
        <s v="Diaz Veramendi Jakob Paul/Ini-3ero/3 años/Amarillo"/>
        <s v="Garay Rubina Iker Lionel/Ini-4rto/4 años/Rojo"/>
        <s v="Rivera Almercon Valentina/Ini-5nto/5 años"/>
        <s v="Olivas Castillo Josue Eliaquin/Ini-4rto/4 años"/>
        <s v="Vasquez Huerta Daymar Bahir/Ini-5nto/5 años"/>
        <s v="Trejo Castro Luz Adira/Ini-4rto/4 años"/>
        <s v="Salazar Salvador Yosfran Linder/Ini-4rto/4 años"/>
        <s v="Fonseca Veramendi Dafne Engell/Ini-5nto/5 años"/>
        <s v="Huerta Garay Alessia/Ini-3ero/3 años"/>
        <s v="Medina Gomez Andrea 5a/Medina Gomez Adelina 3a/Ini-5nto/5 años"/>
        <s v="Almercon Diaz Dayara Jeysi/Ini-5nto/5 años"/>
        <s v="Brioso Anaya Heydi 4a/Brioso Anaya 5a/Ini-4rto/4 años"/>
        <s v="Vargas Gomez Yaceli Jana/Ini-5nto/5 años"/>
        <s v="Valenzuela Medina Jaziel Gael/Ini-4rto/4 años/Abejitas"/>
        <s v="Calderon Tolentino Iyan Eriksen/Ini-5nto/5 años/Ositos"/>
        <s v="Gomez Vasquez Jhuniel Isan/Ini-5nto/5 años/Ositos"/>
        <s v="Calderon Aquino Jeremy Alexandre/Ini-5nto/5 años/Ositos"/>
        <s v="Vasquez Pineda Daymy Giselle/Ini-5nto/5 años/Ositos"/>
        <s v="Chavez Anaya Aylan Jassiel/Ini-5nto/5 años/Ositos"/>
        <s v="Calancho Santa Cruz Yashira Ivana/Ini-3ero"/>
        <s v="Sifuentes Anaya Dylan Mateo/Ini-4rto/4 años/Abejitas"/>
        <s v="Loarte Vasquez Mirella Yissel/Ini-3ero/3 años/Hormiguitas"/>
        <s v="Mejia Arias Danna Arlet/Ini-5nto/5 años/Ositos"/>
        <s v="Ramos Castillo Kiara Valeria/Ini-4rto/4 años/Abejitas"/>
        <s v="Ini-5nto/5 años/Ositos"/>
        <s v="Garay Duran Jahir Leandro/Ini-3ero/3 años"/>
        <s v="Diaz Dominguez, Yashuri/Ini-5nto/5 años"/>
        <s v="Sanchez Alvaro, Liam Alexander/Ini-4rto/4 años"/>
        <s v="Sanchez Alvaro, Hans Christian/Ini-3ero/3 años"/>
        <s v="Leiva Mosquera Naim Owen/Ini-3ero/3 años"/>
        <s v="Rojas Blas Ioneli Yosmel/Ini-3ero/3 años"/>
        <s v="Garay Rojas, Yulieth Alexia/Ini-4rto/4 años"/>
        <s v="Sanchez Huayta Melanny Venhel/Ini-3ero/3 años"/>
        <s v="Asencio Rojas, Dayahana Génesis/Ini-3ero/3 años"/>
        <s v="Quito Rivas, Gretha Abathika/Ini-4rto/4 años"/>
        <s v="Anaya Solis, Itzayana Mailen Leah/Ini-5nto/5 años"/>
        <s v="Anaya Hildalgo, Clarisa Andrea/Ini-5nto/5 años"/>
        <s v="Ortiz Castro Evelin Victoria Valentina/Ini-3ero/3 años"/>
        <s v="Pulido Chumacero, Luna Victoria/Ini-4rto/4 años"/>
        <s v="Chauca Hurtado, Thiago Dylan/Ini-4rto/4 años"/>
        <s v="Tipiani Felix, Tobias Enmanuel/Ini-4rto/4 años"/>
        <s v="Gonzales Zuñiga, Kistell del Rosario Khaleesi/Ini-4rto"/>
        <s v="Zata Reques, Lina Antonella/Ini-4rto"/>
        <s v="Toledo Rosales, Omar Ediel/Ini-4rto"/>
        <s v="Olivares Cenepo, Carlos/Ini-5nto"/>
        <s v="Olivares Cenepo, Geraldine Jimena/Ini-3ero"/>
        <s v="Niño Solis, Matteo/Ini-4rto"/>
        <s v="Niño Solis, Matteo/Ini-3ero"/>
        <s v="Melgarejo Montalvo, Mely Lya/Ini-4rto"/>
        <s v="Ilaquijo Mora, Matthew Eithan/Ini-4rto"/>
        <s v="Reyes Bailon, Moises Simut/Ini-4rto"/>
        <s v="Salinas Escobar, Danica/Ini-3ero"/>
        <s v="Rasga Vara, Dylan Matias/Ini-3ero"/>
        <s v="Vega Gonzales, Noah Sebastián/Ini-3ero"/>
        <s v="Ramirez Flores,Elva Antonela/Ini-3ero"/>
        <s v="Ellel Abdias Livias Huayaney/Ini-3ero/3 años azul"/>
        <s v="Eydam Matteo Espinoza Zevallos/Ini-5nto/5 años rojo"/>
        <s v="Jailyn Espinoza Tolentino/Ini-5nto/5 años celeste"/>
        <s v="Alhia Luana Villanueva Mendoza/Ini-3ero/3 años amarrillo"/>
        <s v="Sebastian Dionico Blas/Ini-4rto/4 años amarrillo"/>
        <s v="Amiely Rachel Solis Ramirez/Ini-3ero/3 años amarillo y 5 años celeste"/>
        <s v="Ayelen Tristan/Ini-3ero/3 años azul"/>
        <s v="Gael James Cochachin Ramirez/Ini-3ero/3 años azul"/>
        <s v="Jeanelle Samara espinoza blas/Ini-3ero/3 años azul"/>
        <s v="Thaisa Fernandez Huerta/Ini-5nto/5 años"/>
        <s v="Garay Araujo, Zhain Yoseph/Ini-3ero/3 años"/>
        <s v="Garay Araujo, Zhain Yoseph/Ini-4rto/4 años"/>
        <s v="Culla Espinoza Heidi Zuleyka/Ini-4rto/4 años"/>
        <s v="Hellen Salazar Haro/Ini-3ero/3 años"/>
        <s v="Adriel/Ini-3ero/3 años"/>
        <s v="Aquino Diaz, Azael Naim/Ini-3ero/3 años"/>
        <s v="Ramirez Romero, Abigail Micaela/Ini-3ero/3 años"/>
        <s v="Harisson/Ini-5nto/5 años"/>
        <s v="Jaziel Zorrilla Espinoza/Ini-3ero/3 años"/>
        <s v="Caballero Guerra, Alessia/Ini-5nto/5 años"/>
        <s v="Garay Aquino, Suhaila Amira/Ini-3ero/3 años"/>
        <s v="Quispe Rios, Gabriel David/Ini-3ero/3 años"/>
        <s v="Fernandez Salazar, Keyra Antonella/Ini-3ero/3 años"/>
        <s v="Fernandez Ramos, Denis Said/Ini-5nto/5 años"/>
        <s v="Habran/Ini-3ero/3 años"/>
        <s v="Chavez Montes, Guadalupe/Ini-4rto/4 años"/>
        <s v="Johanna/Ini-3ero/3 años"/>
        <s v="Espinoza Davila, Gareth Keylor/Ini-5nto/5 años"/>
        <s v="Salazar Fernandez, Alex Benjamin/Ini-5nto/5 años"/>
        <s v="Carhuapoma Guerra, Edward/Ini-4rto/4 años"/>
        <s v="Guerra Ramirez, Nicole Dayana/Ini-5nto/5 años"/>
        <s v="Solis Guerra, Gael Jeyco/Ini-5nto/5 años"/>
        <s v="Quispe Vargas, Ariana Lissely/Ini-5nto/5 años"/>
        <s v="Ascencios Villanueva, Zabdiel/Ini-3ero/3 años"/>
        <s v="Shania Anaya Ramos/Ini-5nto/5 años"/>
        <s v="Garay Amado, Franyelina Favela/Ini-4rto/4 años"/>
        <s v="Villadeza Zorrilla, Yarely Ivanana/Ini-3ero/3 años"/>
        <s v="Rentera Gomez, Felipe David/Ini-4rto/4 años"/>
        <s v="Garay Diaz, Emily Ariana/Ini-5nto/5 años"/>
        <s v="Garay Gaytan David/Ini-5nto"/>
        <s v="Zorrilla Davila, Kayla Kaylita/Ini-4rto/4 años"/>
        <s v="Salazar Salazar, Brehicy Nivia/Ini-5nto/5 años"/>
        <s v="Obregon Guerra, Yarely Corina/Ini-4rto/4 años"/>
        <s v="Paucar Espinoza, Camila Bianca/Ini-4rto/4 años"/>
        <s v="Diaz Garay, Henderson/Ini-5nto/5 años"/>
        <s v="Aquino Catire, Jheyson Marco/Ini-5nto/5 años"/>
        <s v="Marquez Chavez, Ansu/Ini-5nto/5 años"/>
        <s v="Mendoza Mallqui, Juan David/Ini-4rto/4 años"/>
        <s v="Alek Emir Araujo Mendieta/Ini-3ero/3 años"/>
        <s v="Wenda Vega Poma/Ini-5nto/5 años"/>
        <s v="Yanfranco Jayden Blas Salazar/Ini-3ero/3 años"/>
        <s v="Patty Vega Lancha/Ini-4rto/4 años"/>
        <s v="Jenifer Janelle Narro Mallqui/Ini-3ero/3 años"/>
        <s v="Frank Castillo Ramos/Ini-5nto/5 años"/>
        <s v="Requena Valverde, Nahara/Ini-3ero/3,4, y 5 años"/>
        <s v="Victorio Mora, Areztiel/Ini-4rto/3,4, y 5 años"/>
        <s v="Cadenas Carrión, Keith/Ini-5nto/3,4, y 5 años"/>
        <s v="Cruz Cueva, Valeska/Ini-5nto/3, 4 y 5 años"/>
        <s v="Ini-3ero/PRONOEI - SHINQUIPAMPA"/>
        <s v="Rosales Manrique, Vania Kalessy/Ini-4rto/Fresa"/>
        <s v="Contreraz Huaman, Juaquin Andres/Ini-4rto/4 años"/>
        <s v="Ini-5nto/3, 4 y 5 años"/>
        <s v="Ini-5nto/3 y 4"/>
        <s v="Aylin Lorena Caceres Cochachin/Ini-4rto/4"/>
        <s v="Thiago Leonel de la Cruz Minaya/Ini-5nto"/>
        <s v="Ini-5nto/3, 4 y 5"/>
        <s v="Milan Emil Huaratazo Gonzales/Ini-3ero/3 años"/>
        <s v="Daila Karen Tadeo Castillo/Ini-3ero/3 años"/>
        <s v="Mathius Spence Diaz Molina/Ini-3ero/3 años"/>
        <s v="Amilcar Guillermo Leon Silva/Ini-3ero/3 años"/>
        <s v="Axel Yoseth Sotelo Trinidad/Ini-4rto/3 y 4"/>
        <s v="Liam Tadeo Respicio/Ini-5nto/5 años"/>
        <s v="Camila Eliza Lázaro Guillermo/Ini-5nto/5 años"/>
        <s v="Dave Gabriel Alejandro Rufino Cueva/Ini-5nto/5 años"/>
        <s v="Maylen Itzayana Lopez Ticler/Ini-5nto/5 años"/>
        <s v="3 y 4"/>
        <s v="3, 4 y 5"/>
        <s v="4 años"/>
        <s v="3 años"/>
        <s v="5 años"/>
      </sharedItems>
    </cacheField>
    <cacheField name="% Indicador de logro" numFmtId="0">
      <sharedItems containsString="0" containsBlank="1" containsNumber="1">
        <m/>
        <n v="0.8"/>
      </sharedItems>
    </cacheField>
    <cacheField name="Celulares" numFmtId="0">
      <sharedItems containsString="0" containsBlank="1" containsNumber="1" containsInteger="1">
        <m/>
        <n v="9.45130018E8"/>
        <n v="9.65010104E8"/>
        <n v="9.21585032E8"/>
        <n v="9.66299498E8"/>
        <n v="9.4299632E8"/>
        <n v="9.44822011E8"/>
        <n v="9.45282501E8"/>
        <n v="9.59007055E8"/>
        <n v="9.20412968E8"/>
        <n v="9.00272561E8"/>
        <n v="9.39794205E8"/>
        <n v="9.21126501E8"/>
        <n v="9.67750884E8"/>
        <n v="9.64771066E8"/>
        <n v="9.65601304E8"/>
        <n v="9.91779484E8"/>
        <n v="9.74883715E8"/>
        <n v="9.56664652E8"/>
        <n v="9.32778767E8"/>
        <n v="9.47697734E8"/>
        <n v="9.5319435E8"/>
        <n v="9.68384209E8"/>
        <n v="9.20527376E8"/>
        <n v="9.75443836E8"/>
        <n v="9.38611907E8"/>
        <n v="9.18897253E8"/>
        <n v="9.76434792E8"/>
        <n v="9.64125801E8"/>
        <n v="9.83952239E8"/>
        <n v="9.56003528E8"/>
        <n v="9.97442865E8"/>
        <n v="9.63547935E8"/>
        <n v="9.4750865E8"/>
        <n v="9.78891466E8"/>
        <n v="9.29384155E8"/>
        <n v="9.93754564E8"/>
        <n v="9.41858816E8"/>
        <n v="9.59013967E8"/>
        <n v="9.21611401E8"/>
        <n v="9.69495351E8"/>
        <n v="9.36631587E8"/>
        <n v="9.88057803E8"/>
        <n v="9.44441012E8"/>
        <n v="9.92794414E8"/>
        <n v="9.6596405E8"/>
        <n v="9.13147378E8"/>
        <n v="9.94927083E8"/>
        <n v="9.58500139E8"/>
        <n v="9.58806524E8"/>
        <n v="9.78254424E8"/>
        <n v="9.579952018E9"/>
        <n v="9.37532288E8"/>
        <n v="9.75070238E8"/>
        <n v="9.44979736E8"/>
      </sharedItems>
    </cacheField>
    <cacheField name="Comenarios" numFmtId="0">
      <sharedItems containsBlank="1">
        <m/>
        <s v="Auxiliar de la I.E.I"/>
        <s v="PRONOEI &quot;LOS PALILLOS&quot;"/>
        <s v="Incorporación reciente a la IEI."/>
        <s v="Primera participación en CCA."/>
      </sharedItems>
    </cacheField>
    <cacheField name="Facilitador/a" numFmtId="0">
      <sharedItems containsBlank="1">
        <s v="Arely Rojas Beraun"/>
        <s v="Andrea Cabellos"/>
        <s v="Natalya Davila"/>
        <s v="Antonella Espinoza Ramos"/>
        <s v="Jackelyn Juro Dueñas"/>
        <s v="Stephany Decheco Vera"/>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E1020" sheet="Enc. Docentes"/>
  </cacheSource>
  <cacheFields>
    <cacheField name="n°" numFmtId="0">
      <sharedItems containsString="0" containsBlank="1" containsNumber="1" containsInteger="1">
        <n v="1.0"/>
        <n v="2.0"/>
        <n v="3.0"/>
        <n v="5.0"/>
        <n v="6.0"/>
        <n v="7.0"/>
        <n v="8.0"/>
        <n v="9.0"/>
        <n v="10.0"/>
        <n v="11.0"/>
        <n v="12.0"/>
        <n v="13.0"/>
        <n v="14.0"/>
        <n v="15.0"/>
        <m/>
        <n v="16.0"/>
        <n v="17.0"/>
        <n v="18.0"/>
        <n v="19.0"/>
        <n v="20.0"/>
        <n v="21.0"/>
        <n v="22.0"/>
        <n v="23.0"/>
      </sharedItems>
    </cacheField>
    <cacheField name="UGT" numFmtId="49">
      <sharedItems containsBlank="1">
        <s v="MINA"/>
        <s v="SAN MARCOS"/>
        <s v="VALLE FORTALEZA"/>
        <s v="HUARMEY"/>
        <m/>
      </sharedItems>
    </cacheField>
    <cacheField name="Provincia" numFmtId="49">
      <sharedItems containsBlank="1">
        <s v="HUARI"/>
        <s v="BOLOGNESI"/>
        <s v="RECUAY"/>
        <s v="HUARMEY"/>
        <m/>
      </sharedItems>
    </cacheField>
    <cacheField name="Distrito" numFmtId="49">
      <sharedItems containsBlank="1">
        <s v="SAN PEDRO DE CHANA"/>
        <s v="HUACHIS"/>
        <s v="SAN MARCOS"/>
        <s v="CHAVIN DE HUANTAR"/>
        <s v="COLQUIOC"/>
        <s v="PARARIN"/>
        <s v="HUARMEY"/>
        <s v="CAJACAY"/>
        <s v="ANTONIO RAYMONDI"/>
        <m/>
      </sharedItems>
    </cacheField>
    <cacheField name="Centro Poblado" numFmtId="49">
      <sharedItems containsBlank="1">
        <s v="WISHLLAC"/>
        <s v="CAMBIO 90"/>
        <s v="SAN CRISTOBAL DE TAMBO"/>
        <s v="VISTOSO"/>
        <s v="CARHUAYOC"/>
        <s v="SANTA CRUZ DE PICHIU"/>
        <s v="HUANCAYOC"/>
        <s v="CHAVIN DE HUANTAR"/>
        <s v="PUJUN"/>
        <s v="SANTA CRUZ DE MOSNA"/>
        <s v="OPAYACO/OPAYACU"/>
        <s v="AYASH PICHIU"/>
        <s v="AYASH HUARIPAMPA"/>
        <s v="HUARIPAMPA BAJO"/>
        <s v="HUARIPAMPA ALTO"/>
        <s v="HUARIPAMPA CENTRAL"/>
        <s v="LLAMA RUMI"/>
        <s v="HORNILLOS"/>
        <s v="LLAMPA"/>
        <s v="RINCONADA"/>
        <s v="PUERTO HUARMEY"/>
        <s v="9 DE OCTUBRE"/>
        <s v="MARAVIA"/>
        <s v="PARARIN"/>
        <s v="COLCA"/>
        <s v="RAQUIA"/>
        <s v="CAJACAY"/>
        <s v="SANTA ROSA"/>
        <s v="CHASQUITAMBO"/>
        <s v="AYASH"/>
        <m/>
      </sharedItems>
    </cacheField>
    <cacheField name="Institución educativa" numFmtId="49">
      <sharedItems containsBlank="1">
        <s v="690"/>
        <s v="LAS TRUCHAS"/>
        <s v="688"/>
        <s v="112"/>
        <s v="248"/>
        <s v="661"/>
        <s v="470"/>
        <s v="124"/>
        <s v="109"/>
        <s v="435"/>
        <s v="099"/>
        <s v="475"/>
        <s v="471"/>
        <s v="416 - Huaripampa Bajo"/>
        <s v="098"/>
        <s v="689"/>
        <s v="030"/>
        <s v="028"/>
        <s v="1646"/>
        <s v="416 - Rinconada"/>
        <s v="1609 ESTRELLITAS DE MAR"/>
        <s v="480"/>
        <s v="2626"/>
        <s v="394"/>
        <s v="616"/>
        <s v="451"/>
        <s v="048 ELVA BARBA TRINIDAD"/>
        <s v="1649"/>
        <s v="357"/>
        <s v="LOS PALILLOS"/>
        <m/>
      </sharedItems>
    </cacheField>
    <cacheField name="Nivel modular" numFmtId="49">
      <sharedItems containsBlank="1">
        <s v="Inicial - Jardín"/>
        <s v="Inicial No Escolarizado"/>
        <s v="Inicial - Jardín "/>
        <m/>
      </sharedItems>
    </cacheField>
    <cacheField name="Cod modular" numFmtId="49">
      <sharedItems containsBlank="1">
        <s v="1675040"/>
        <s v="0783226"/>
        <s v="1675024"/>
        <s v="1558782"/>
        <s v="0509711"/>
        <s v="1645506"/>
        <s v="1607118"/>
        <s v="0415745"/>
        <s v="1551753"/>
        <s v="1515246"/>
        <s v="1551738"/>
        <s v="1597608"/>
        <s v="1597566"/>
        <s v="1100635"/>
        <s v="1551720"/>
        <s v="1675032"/>
        <s v="1551555"/>
        <s v="1551548"/>
        <s v="0750026"/>
        <s v="1043652"/>
        <s v="0360305"/>
        <s v="1603620"/>
        <s v="1708239"/>
        <s v="1043934"/>
        <s v="1645373"/>
        <s v="1042829"/>
        <s v="0415869"/>
        <s v="1505023"/>
        <s v="0469999"/>
        <s v="3877654"/>
        <m/>
      </sharedItems>
    </cacheField>
    <cacheField name="Cod local" numFmtId="49">
      <sharedItems containsBlank="1">
        <s v="759493"/>
        <m/>
        <s v="759474"/>
        <s v="536228"/>
        <s v="025227"/>
        <s v="728010"/>
        <s v="671730"/>
        <s v="717417"/>
        <s v="631664"/>
        <s v="608381"/>
        <s v="631640"/>
        <s v="020010"/>
        <s v="665135"/>
        <s v="025251"/>
        <s v="631635"/>
        <s v="759488"/>
        <s v="631452"/>
        <s v="631447"/>
        <s v="509734"/>
        <s v="033519"/>
        <s v="025840"/>
        <s v="668902"/>
        <s v="789744"/>
        <s v="033524"/>
        <s v="727925"/>
        <s v="019387"/>
        <s v="019556"/>
        <s v="606891"/>
        <s v="019636"/>
        <s v="665178"/>
      </sharedItems>
    </cacheField>
    <cacheField name="Grado" numFmtId="0">
      <sharedItems containsBlank="1">
        <s v="Ini-3ero"/>
        <s v="Ini-5nto"/>
        <s v="Ini-4rto"/>
        <m/>
      </sharedItems>
    </cacheField>
    <cacheField name="Aula/Sección" numFmtId="0">
      <sharedItems containsBlank="1">
        <s v="3 años"/>
        <s v="4 y 5 años"/>
        <s v="3,4 y5 años"/>
        <s v="5 años"/>
        <s v="4 años"/>
        <m/>
        <s v="3 años "/>
        <s v="Dirección"/>
        <s v="3, 4 y 5 años "/>
        <s v="3, 4 y 5 años"/>
        <s v="Auxiliar"/>
        <s v="3,4 y 5 años"/>
        <s v="3 y 4 años"/>
        <s v="5 años "/>
        <s v="4 años "/>
        <s v="Manzana"/>
        <s v="Fresa"/>
        <s v="Naranja"/>
      </sharedItems>
    </cacheField>
    <cacheField name="Apellidos y nombres" numFmtId="0">
      <sharedItems containsBlank="1">
        <s v="Paloma Elsa Pomachahua Pariona"/>
        <s v="Rossy Rondon Mosquera"/>
        <s v="Laury Tatiana Puma Martel"/>
        <s v="Norca Yolanda Rojas Baylon"/>
        <s v="Rossio Karla Avelino Marcelo"/>
        <s v="Nori Eliana Requena Ramos"/>
        <s v="Merina Rodriguez Gaona"/>
        <s v="Asunciona Trujillo Obregón"/>
        <s v="Soledad Cuizano Berrospi "/>
        <s v="Judith Getzabel coral Caurino "/>
        <s v="Ashnate Tolentino Abigail Gercelita "/>
        <s v="Olinda Rojas Espinoza"/>
        <s v="Herrera Albujar Edelmira Jacqueline "/>
        <s v="Lisseth Phocco Cáceres"/>
        <s v="Delina Fernandez Campos"/>
        <s v="Benancia Herlinda Salazar Cotrina"/>
        <s v="Rios Campos Karin Geraldine"/>
        <s v="LIZBETH ZULAYMA  PRÍNCIPE RODRÍGUEZ "/>
        <s v="Libertad Milagritos Pantoja Guillen"/>
        <s v="Gryss Stefany Nouchi Pariamachi "/>
        <s v="Diana Lourdes Virhuez Rodríguez"/>
        <s v="CRISTINA CHUQUIHUACCHA MINAYA "/>
        <s v="Violeta Trujillo Trejo "/>
        <s v="Maria Elena saavedra Navarro "/>
        <s v="Julia Edith Sáenz Diestra "/>
        <s v="Yoany Luciana Palomino Pineda "/>
        <s v="Rosita Diana Portella Moreno"/>
        <s v="Hermelinda Esther Espinoza Pineda "/>
        <s v="Rosario Lazaro Sheyla "/>
        <s v="Vásquez Díaz Diana "/>
        <s v="Medina Moreno Thania "/>
        <s v="Rosario Lazaro Melisa Susana"/>
        <s v="Rodríguez Rosales Vilma "/>
        <s v="Chinchon Goifra Maryuri "/>
        <s v="Hidalgo Zorrilla  Guilda"/>
        <s v="Ayala Condor Marialuisa "/>
        <s v="Valencia Espinoza Sandra Fiorella"/>
        <s v="Acuña Paredes Elizabeth"/>
        <s v="Huaman Rivera Lila"/>
        <s v="Vega Gaspar Lila"/>
        <s v="Anaya Varillas Mirtha Miriam"/>
        <s v="Vizcarra Campos Victoria Cecilia"/>
        <s v="Lucas Asencios Yesenia"/>
        <s v="Dominguez Oropeza Angelica Marilyn"/>
        <s v="Villajuan Bravo Loida"/>
        <s v="Zubieta Cerrate, Carolina"/>
        <s v="Parra Romero, Ana María"/>
        <s v="Sánchez Sánchez, Maria Magdalena"/>
        <s v="Castro Osorio, Elian Beatriz"/>
        <s v="Barroso Flores, Flormira"/>
        <s v="Benito Yanac, Eugenia Matilde"/>
        <s v="Saénz Guevara, Nancy Violeta"/>
        <s v="Cotilllo Flores, Silvia Evelyn"/>
        <s v="Rodriguez Saldaña, Alejandra Pamela"/>
        <s v="Vasquez Burgos, Flor"/>
        <s v="Jesus Macedo, Lesly"/>
        <s v="Solis Raymundo, Katherine"/>
        <s v="Montes Acha, Julia"/>
        <s v="Navarro Huerta Julissa"/>
        <s v="Gamarra Sanchez, Gladys Elena"/>
        <s v="Castillo Gamarra, Silvia Estela"/>
        <s v="Fabian de la Cruz, Vilma Mercedes"/>
        <s v="Odalit Asuncion Canaza MInaya"/>
        <s v="Belen Flormaria Balarezo Dolores"/>
        <s v="Maritza Lopez Pinedo"/>
        <s v="Margot Maria Umpire Puma"/>
        <s v="Rossmeri Diana Paucar Gamarra "/>
        <s v="Jessica Karin Lopez Castro"/>
        <s v="Gaby Cerila Garro Carmen"/>
        <s v="Elva Cecilia Diaz Tuesta"/>
        <s v="Juan Manuel Martino Blacido "/>
        <s v="Fabián Antaurco, Dina Ester"/>
        <s v="Corpus Velasquez, Reveca Luz"/>
        <s v="Cáceres Molina, Carmen"/>
        <s v="Diaz Alarcon, Julia"/>
        <s v="Manrique Dextre, Domitila Nelly"/>
        <s v="Yoany Luciana Palomino Pineda"/>
        <s v="Hermelinda Esther Espinoza Pineda"/>
        <s v="Rosita Diana Portella Moreno "/>
        <s v="Rossmeri Paucar Gamarra "/>
        <s v="Eva Cecilia Diaz Tuesta "/>
        <s v="Juan Manuel Mautino Blacido "/>
        <m/>
      </sharedItems>
    </cacheField>
    <cacheField name="Edad" numFmtId="0">
      <sharedItems containsString="0" containsBlank="1" containsNumber="1" containsInteger="1">
        <n v="23.0"/>
        <n v="26.0"/>
        <n v="49.0"/>
        <n v="25.0"/>
        <n v="33.0"/>
        <n v="43.0"/>
        <n v="51.0"/>
        <n v="45.0"/>
        <n v="34.0"/>
        <n v="32.0"/>
        <n v="57.0"/>
        <n v="50.0"/>
        <n v="44.0"/>
        <n v="24.0"/>
        <n v="30.0"/>
        <n v="47.0"/>
        <n v="41.0"/>
        <n v="40.0"/>
        <n v="59.0"/>
        <n v="28.0"/>
        <n v="46.0"/>
        <m/>
        <n v="27.0"/>
        <n v="48.0"/>
        <n v="39.0"/>
        <n v="35.0"/>
        <n v="55.0"/>
        <n v="36.0"/>
        <n v="38.0"/>
        <n v="31.0"/>
        <n v="52.0"/>
        <n v="54.0"/>
        <n v="37.0"/>
      </sharedItems>
    </cacheField>
    <cacheField name="Fecha de aplicación" numFmtId="164">
      <sharedItems containsDate="1" containsString="0" containsBlank="1">
        <d v="2025-07-10T00:00:00Z"/>
        <d v="2025-07-11T00:00:00Z"/>
        <d v="2025-06-20T00:00:00Z"/>
        <d v="2025-06-23T00:00:00Z"/>
        <d v="2025-07-03T00:00:00Z"/>
        <d v="2025-06-26T00:00:00Z"/>
        <d v="2025-11-18T00:00:00Z"/>
        <d v="2025-07-09T00:00:00Z"/>
        <d v="2025-08-10T00:00:00Z"/>
        <d v="2025-07-05T00:00:00Z"/>
        <d v="2025-07-02T00:00:00Z"/>
        <d v="2025-07-15T00:00:00Z"/>
        <d v="2025-07-18T00:00:00Z"/>
        <d v="2025-08-25T00:00:00Z"/>
        <d v="2025-06-19T00:00:00Z"/>
        <d v="2025-06-24T00:00:00Z"/>
        <d v="2025-06-25T00:00:00Z"/>
        <d v="2025-06-18T00:00:00Z"/>
        <d v="2025-06-30T00:00:00Z"/>
        <d v="2025-07-01T00:00:00Z"/>
        <d v="2025-11-13T00:00:00Z"/>
        <d v="2025-11-12T00:00:00Z"/>
        <d v="2025-11-11T00:00:00Z"/>
        <d v="2025-11-14T00:00:00Z"/>
        <d v="2025-11-27T00:00:00Z"/>
        <m/>
      </sharedItems>
    </cacheField>
    <cacheField name="Corte de evaluación" numFmtId="0">
      <sharedItems containsBlank="1">
        <s v="Pre test (diagnóstico)"/>
        <s v="Post test (cierre)"/>
        <m/>
      </sharedItems>
    </cacheField>
    <cacheField name="Me doy cuenta rápidamente cuando una situación en el aula me genera frustración o estrés." numFmtId="0">
      <sharedItems containsBlank="1">
        <s v="De acuerdo"/>
        <s v="Totalmente de acuerdo"/>
        <s v="En desacuerdo"/>
        <s v="Totalmente en desacuerdo"/>
        <s v="Ni de acuerdo ni en desacuerdo"/>
        <m/>
      </sharedItems>
    </cacheField>
    <cacheField name="En momentos tensos, intento hacer una pausa antes de responder" numFmtId="0">
      <sharedItems containsBlank="1">
        <s v="De acuerdo"/>
        <s v="Totalmente de acuerdo"/>
        <s v="Ni de acuerdo ni en desacuerdo"/>
        <s v="En desacuerdo"/>
        <m/>
      </sharedItems>
    </cacheField>
    <cacheField name="A veces me guío por los gestos de los niños/as para saber cómo se sienten." numFmtId="0">
      <sharedItems containsBlank="1">
        <s v="De acuerdo"/>
        <s v="Totalmente de acuerdo"/>
        <s v="Ni de acuerdo ni en desacuerdo"/>
        <s v="En desacuerdo"/>
        <m/>
        <s v="Totalmente en desacuerdo"/>
      </sharedItems>
    </cacheField>
    <cacheField name="Cuando hay conflictos, pienso en cómo se siente cada niño/a antes de actuar." numFmtId="0">
      <sharedItems containsBlank="1">
        <s v="De acuerdo"/>
        <s v="Totalmente de acuerdo"/>
        <s v="Ni de acuerdo ni en desacuerdo"/>
        <m/>
        <s v="En desacuerdo"/>
      </sharedItems>
    </cacheField>
    <cacheField name="Hablo con mis estudiantes sobre lo que hacen bien o cuando se esfuerzan en algo." numFmtId="0">
      <sharedItems containsBlank="1">
        <s v="De acuerdo"/>
        <s v="Totalmente de acuerdo"/>
        <s v="Ni de acuerdo ni en desacuerdo"/>
        <m/>
      </sharedItems>
    </cacheField>
    <cacheField name="Cuando hay un conflicto, a veces les ayudo a entender lo que sintió el otro y pensar qué hacer." numFmtId="0">
      <sharedItems containsBlank="1">
        <s v="Ni de acuerdo ni en desacuerdo"/>
        <s v="Totalmente de acuerdo"/>
        <s v="De acuerdo"/>
        <s v="En desacuerdo"/>
        <m/>
      </sharedItems>
    </cacheField>
    <cacheField name="Algunas veces usamos juegos o actividades para hablar sobre lo que sienten los niños/as." numFmtId="0">
      <sharedItems containsBlank="1">
        <s v="Ni de acuerdo ni en desacuerdo"/>
        <s v="Totalmente de acuerdo"/>
        <s v="De acuerdo"/>
        <s v="En desacuerdo"/>
        <m/>
      </sharedItems>
    </cacheField>
    <cacheField name="Cuando tomo decisiones en el aula, pienso en lo que es justo para todos/as." numFmtId="0">
      <sharedItems containsBlank="1">
        <s v="Ni de acuerdo ni en desacuerdo"/>
        <s v="Totalmente de acuerdo"/>
        <s v="De acuerdo"/>
        <s v="En desacuerdo"/>
        <m/>
      </sharedItems>
    </cacheField>
    <cacheField name="Uso dibujos, frases o recordatorios para apoyar la convivencia en el aula." numFmtId="0">
      <sharedItems containsBlank="1">
        <s v="De acuerdo"/>
        <s v="Ni de acuerdo ni en desacuerdo"/>
        <s v="En desacuerdo"/>
        <s v="Totalmente de acuerdo"/>
        <m/>
      </sharedItems>
    </cacheField>
    <cacheField name="Reflexiono sobre lo que siento y cómo eso puede afectar cómo trato a los niños y niñas." numFmtId="0">
      <sharedItems containsBlank="1">
        <s v="De acuerdo"/>
        <s v="Totalmente de acuerdo"/>
        <s v="Ni de acuerdo ni en desacuerdo"/>
        <m/>
      </sharedItems>
    </cacheField>
    <cacheField name="Cuando me siento sobrecargado/a, me doy cuenta y trato de manejarlo o pedir apoyo." numFmtId="0">
      <sharedItems containsBlank="1">
        <s v="De acuerdo"/>
        <s v="Totalmente de acuerdo"/>
        <s v="Ni de acuerdo ni en desacuerdo"/>
        <s v="En desacuerdo"/>
        <s v="Totalmente en desacuerdo"/>
        <m/>
      </sharedItems>
    </cacheField>
    <cacheField name="He notado que algunos niños/as eligen libremente los juegos, sin importar si son de niña o niño." numFmtId="0">
      <sharedItems containsBlank="1">
        <s v="De acuerdo"/>
        <s v="Totalmente de acuerdo"/>
        <s v="Ni de acuerdo ni en desacuerdo"/>
        <s v="En desacuerdo"/>
        <m/>
      </sharedItems>
    </cacheField>
    <cacheField name="Me doy cuenta de que repito frases que escuché de otros adultos sobre cómo deben comportarse niños o niñas." numFmtId="0">
      <sharedItems containsBlank="1">
        <s v="En desacuerdo"/>
        <s v="Totalmente de acuerdo"/>
        <s v="Ni de acuerdo ni en desacuerdo"/>
        <s v="De acuerdo"/>
        <s v="Totalmente en desacuerdo"/>
        <m/>
      </sharedItems>
    </cacheField>
    <cacheField name="En tu experiencia docente, ¿qué tipo de situaciones emocionales te desafían más y cómo sueles abordarlas?" numFmtId="0">
      <sharedItems containsBlank="1">
        <s v="El no manejar bien el estrés, lo que hago es tomarme un tiempo a solas y sin hablar con nadie (carga laboral)"/>
        <s v="Son las emociones, los niños las observan de cada niño y las mencionan."/>
        <s v="Cuando los niños ante un conflicto o discrepancia se golpean siempre les menciono que las manos son para abrazar y no para golpear."/>
        <s v="La situación que abord es la preocupación por los niños y niñas, que hay siempre pelea entre sus compañeros y primos."/>
        <s v="Cuando los niños empiezan a quejarse, por ejemplo cuando ayudo un niño, el otro me dice a mi no me quiere ayudar y se pone a gritar o romper su hoja."/>
        <s v="Algunas veces me siento mal o triste cuando veo que alguno de mis niños no han aprendido como yo quería que aprendan o capten y para mejorar vuelvo a reforzarlos."/>
        <s v="Conflicto físico y palabras de agresión a sus comprensión para mejorar, implemento normas de convivencia."/>
        <s v="Los conflictos en el aula entre niños/as, apoyar con diferentes estrategias uno de ellos haciendo recordar las normas del aula."/>
        <s v="La pregunta no es claro para mí porque en mi experiencia hay situaciones emocionales que desafían: como con los niños, padres, colegas. Cada situación es diferente según las circunstancias las abordo."/>
        <s v="El estrés laboral , Trato de establecer horarios para no recargarme de trabajos."/>
        <s v="En los niños de 3 años experimentan la separación de la madre pueden enfrentar desafíos emocionales significativos. Para abordarlos, ofreceremos seguridad y consuelo, validar sus emociones y establecer rutinas que fomenten la comunicación. También se trab"/>
        <s v="Miedo al reflexionar anticipadamente ante los conflictos. Estrés al percibir amenazas."/>
        <m/>
        <s v="Me siento desafiada cuando los niños no toman atención a lo que estamos realizando. A veces me frustro pero también pienso en que algo debe estar o no funcionando."/>
        <s v="el llanto o la poca tolerancia a la frustración de los niños, trato de darles su espacio, cuando se calman converso con ellos y llegamos a un acuerdo en común (ganar-ganar)"/>
        <s v="Las situaciones emocionales me desafian con los siguientes cuando los niños se comportan mal cuando le hablas, no te escuchan tener un espacio para conversar con los niños recordarles los acuerdos del aula."/>
        <s v="Cuando un niño presenta conductas agresivas hacia otros compañeros lo abordo primero conversando con el niño preguntando como se siente y el porque de su actuar, lo segundo manejarlo mediante cuentos y normas de convivencia. Por último conversar con su ap"/>
        <s v="Emociones de conflicto abordo mediante el diálogo."/>
        <s v="Cuando hya varios niños con frustración lo que realizo es una dinámica o nos ponemos a bailar."/>
        <s v="Agresión física con sus pares, cuelo conversar con cada uno de ellos pero veo que no tengo apoyo en casapor los padres."/>
        <s v="Los conflictos, explicando"/>
        <s v="Con los padres de familia, el padre o madre no acepta la conducta de su hijo culpa al docente."/>
        <s v="Como manejar las conductas de los niños en el aula."/>
        <s v="La alegria, la tristeza, aceptando las cosas que pasan y comprender y respirar profundamente."/>
        <s v="Cuando todos los niños estan alborotados, sobreestimulados y no basta con una estrategia básica como cantar para calmarlos. Eso es un poco difícil de sobrellevar porue a veces me genera frustración, pero trato de respirar y analizar bien que estrategias u"/>
        <s v="Hay niños que tieden a tener conflictos y actúan de manera violenta con los demás ( empuja, se pelean entre ellos)"/>
        <s v="La frustación, busco tutoriales"/>
        <s v="Los berrinche, espero que tome su tiempo, luego conversamos"/>
        <s v="Muchas de las veces se me termina la paciencia , trato de controlarlos tomando la calma ."/>
        <s v="Cuando hay conflictos trató de combersar siempre"/>
        <s v="Cuando observo abandono de padres hacia sus hijos e hijas, los invito a los padres de familia a mi Dirección para dialogar, orientar, sugerir para que atienden a sus hijos e hijas con respeto y amor."/>
        <s v="Las situaciones de ira de algunos niños q traen desde la casa"/>
        <s v="Todavía me cuesta el hecho de resolver conflictos, tengo pequeñxs a los que le cuesta pedir disculpas o darse cuenta de lo que han hecho a sus compañerxs."/>
        <s v="Cuando una niña trata mal verbalmente siempre a otra niña y trato de conversar con la niña si le gustaría que le tratarán así a ella hacerle entender tanto a ella como a otros niños a través de diálogos cuentos y juegos, entre otros"/>
        <s v="Bueno yo tengo un niño muy conflictivo,pero trato conversar mucho con el"/>
        <s v="La tristeza, la alegría, los conflictos. Aceptando la realidad con paciencia y tranquilidad."/>
        <s v="Aún no logro empatizar sobre su conducta que es más fuerte en cuanto a la agresividad y el cómo calmarlos se me dificulta. Pero trato de hablar directamente con ellos, sentarme y ponerme a su nivel sentandome a su lado y le pregunto si está bien lo que es"/>
        <s v="Hasta el momento no he tenido dificultades, pero tengo un estudiante que suele ser agresivo con sus demás compañeras."/>
        <s v="Las situaciones que me desafían mayormente son cuando los estudiantes suelen ser inquietos, no siguen órdenes o indicaciones, o cuando suelen agredir a sus compañeros. Frente a esas situaciones suelo hablar con el niño y explicarle como es que sus accione"/>
        <s v="La situación emocional que me desafía es que hay niños que no se expresan sobre sus emociones o de cómo se sienten."/>
        <s v="En mi experiencia laboral como docente tuve distintos casos emocionales, una de ellas que fue más violento es cuando un niño era impulsivo que se aferraba de todas las cosas y no quería compartir cuando se le solicitaba para que comparta se ponía ha revol"/>
        <s v="Los conflictos entre niños y siempre trato de conversar con los niños primero y luego con los padres de familia."/>
        <s v="Control de emociones por los estudiantes (ira, tristeza), suelo abordarlo conversando con los niños y niñas, vemos reflexiones y sobre todo videos que muestran el comportamiento de los estudiantes."/>
        <s v="Como auxiliar de educacion que observo en el recreo en los niños de la IEI 416 Huaripampa Bajo, es la agresividad entre niños pero a eso los padres no lo asimilan lo que son sus niños, y no quieren apoyar en casa."/>
        <s v="El estrés: En ocasiones se presentan conflictos entre estudiantes y ello origina que la sesion se desvie o tenga que hacer una pausa obligatoria. Suelo abrodarlo manteniendo la calma, respiro profundo e intervengo. En caso tenga estres acumulado, opto por"/>
        <s v="1. Conflictos entre estudiantes: discusiones, peleas. 2. Ansiedad o estres. 3. Problemas personales."/>
        <s v="Los tipos de situaciones emocionales que observo en los niños son: agresividad con sus compañeros, intolerantes y la falta de habitos de higiene."/>
        <s v="Las situaciones que se presentan muchas veces es que tienen baja autoestima, niños toscos y agresivos por momentos."/>
        <s v="En algunos casos entender a los padres de familia en algunas conductas inadecuadas. Bueno, como docente, siempre darles un buen trato. Trato de regular mis emociones frente a la situacion y el contexto."/>
        <s v="En mi experiencia como docente siempre tuve emociones cuando mis niños llegan con diferentes ocurrencias y siempre les hablaba para que sean asi."/>
        <s v="Bueno, que los niños y niñas son muy agresivos, juegan muy violentos y que les dificulta bastante escuchar. Aunque todos en la institucion, todos los docentes tratamos de manejar de la mejor manera las cosas."/>
        <s v="Las limitaciones de no tener materiales educativos en el aula, suficientes como para lograr las competencias en los niños, trato de buscar soluciones elaborando los materiales con ayuda de los padres con materiales de la zona."/>
        <s v="La actitud sobre como les cuestiono sobre su comportamiento impulsivo, ya sea físicos o verbales de manera tosca, siento que la violencia es a su día a día y poder poner límites o corregir ese tipo de actitudes es un desafío."/>
        <s v="Manejo de emociones."/>
        <s v="En algunas actitudes y comportamientos de los niños, trato de indagar con las mamás lo que esta pasando en casa."/>
        <s v="Cuando noto a niños engreídos que tienen padres muy permisivos, pues considero que los niños deben tener algunos límites. Frente a ello, los dejo que reflexionen y dialogamos sobre las consecuencias."/>
        <s v="Cuando los niños no hacen caso y pelean. Trato de calmarlos y hacer juegos de como respirar y exhalar varias veces."/>
        <s v="La situacion de Said, cuando tira las cosas constantemente y también cuando escupe. Con dinámicas y juegos que les distrae y también lo trato con mucho cariño y amor, cuando esta en constante movimiento."/>
        <s v="Cuando los niños y niñas se enojan y reaccionan de diferentes formas, tiran las cosas, golpean, se tiran al suelo, gritan. Yo como docente hago que el niño o niña gestione sus emociones y luego reflexionamos de sus actitudes."/>
        <s v="En momentos de estres trato de conducir lo mejor mis emociones con mis estudiantes para que haya amor en mi aula."/>
        <s v="Cuando un niño viene triste o llora de la nada o me cuenta que sus papás pelean. En ese tipo de situaciones los abordo con empatía, respeto, tratando de brindar el soporte necesario para poder calmar y ayudar. No solo estar presente en el plano académico,"/>
        <s v="Cuando los padres de familia no valoran el empeño que le pongo al trabajo de los niños, siento que siempre buscan una falla."/>
        <s v="Manejar mal el aula, a veces hay cosas que desconozco pero pido apoyo para mejorar."/>
        <s v="Son los niños hiperactivos, es un reto pero siempre me ha tocado al menos 1 en aula y con el trabajo y apoyo de los padres vamos mejorando."/>
        <s v="El trabajo con niños TEA, trato de mirarlos a los ojos y darles contención, respirar con ellos, reflexionar sobre la acción realizada y mostrar lo que causó con su actuar."/>
        <s v="Cuando no se cómo manejar la crisis de un estudiante."/>
        <s v="El tema de lograr que los niños logren compartir y jugar en equipo, intento que hablen y entiendan para que puedan jugar sin pelear"/>
        <s v="Me genera estrés la documentación pero intento manejarlo"/>
        <s v="Si hay problema, aprender a manejar tus emociones, respirar 5 minutos y solucionar el problema."/>
        <s v="Son más con los PPFF pero trato de abordarlo hablando con ellos en reuniones"/>
        <s v="En otro centro laboral tenia una situación dificil con los niños, tuve que hablar con los padres y solicitar apoyo del directo para poder solucionarlo."/>
        <s v="Los niño mayormente expresan frustracion y enojo cuando algo les sale mal. Los invitamos a la calma, respirar profundamente y lo consolamos escuchandolo y abrazándolo."/>
        <s v="Conflictos entre estudiantes como fomentar el dialogo, escuchando ambas partes y proponiendo soluciones a traves de la autoreflexion de los estudiantes. Tambien estableciendo acuerdos formulado por los estudiantes y que ellos lo pongan en práctica para me"/>
        <s v="No hubo respuesta"/>
        <s v="La sobrecarga laboral me genera una situacion de estres, teniendo que organizar de manera constante mi horario y he optado por desconectarme algunas horas por la tarde, asimismo, cuando se presentan algunas situaciones en el hogar que afectan a los niños "/>
        <s v="Cuando los niños cuentan que hay problemas en su casa y los transmiten en el aula con sus compañeros. Hablar con sus padres lo que transmite tanto emocionalmente y comportamiento."/>
        <s v="Las de tristeza y frustracion, ya que son poco controlables y se dan cuando uno planifica o acuerdo con los niños y ellos no cumplen y genera un clima incomodo de peleas entre ellos, en este trato de reflexionar junto con ellos para que mencionen si estos"/>
        <s v="En mi aula tengo una niña que pega a sus compañeros y cuanod quiero llamarle la atencion me dice cállate no quiero hablar contigo. En mi aula tengo un niño que cuando lo dejas solo por un momento se desespera y empieza a abotar las cosas y tirar con una c"/>
        <s v="Cuando surgen situaciones de descontrol en el aula (conflictos, desorden, desisnteres). Lo sueloabordar pensando siempre en los alumnos ( como se siente en ese momento, que quieren hacer)"/>
        <s v="Sobrecargo de trabajo que podrian producir estres laboral. El cual suelo abordar haciendo unas pausas para tratar de controlarlos."/>
        <s v="Cuando algunos padres pierden el control en sus actitudes, no controlan sus emociones, ellos tienen la razón. Lo abordo con bastante tino, no suelo perder el control, pienso que esa madre tiene algún problema en casa."/>
        <s v="Cuando mis estudiantes suelen venir al aula cuando papá o mamá les pegó, el niño toda las actividades suele estar agresivo, frustado, no puedo controlar su conducta."/>
        <s v="Cuando un niño se muestra triste o frustado no logra expresarse y adaptarse al grupo. Hago un esfuerzo para que se adapte al grupo y siempre son atendidos."/>
        <s v="Cuando los niños y niñas no comparten los juegos o juguetes y se ponen a llorar, se me hace un trabajo a largo plazo para poder lograr que compartan, pero con ejemplos vivenciales se logra."/>
        <s v="El enojo, luego reflexiono y pienso antes de hablar para no dañar sus emociones de mis niños."/>
        <s v="Cuando presentan conductas disruptivas asociado a la autoregulación, me pongo en el lugar de ellos antes de actuar, hablo con ellos de lo que esta pasando y les ayudo a entender y reflexionar, enseño autoregularse a través de juegos, sesiones de relajamie"/>
        <s v="A veces los padres tienen conductas no adecuadas, quieren faltar el respeto a otros niños, lo abordo con mucha tranquilidad esperando que se calme la persona para luego conversar."/>
        <s v="La agresividad de los niños y niñas, ya que al golpearse, morderse, empujarse algunas veces salen lastimados, luego los padres se quejan eso me desespera, me frusta mucho, solo limito escucharlos y decirles que voy a tener cuidado."/>
        <s v="En mi labor docente observo cuando un niño esta triste, miedoso al momento de llegar al jardin. Luego observo el enojo y los conflictos que se presenta durante la permanencia."/>
        <s v="Que los niños se comporten mal y que no atiendan a las clases con muchas estrategias trato de abordarlo y con reuniones con padres de familia y de Crecemos con Amor ayuda bastante."/>
        <s v="Conflictos en la hora del recreo por los juegos sólidos que tenemos. Como docente trarto de hacer que todos compartan los juegos y recordando siempre que se debe compartir los juguetes, recordando los acuerdos en la hora del juego."/>
        <s v="Situaciones donde los niños requieren más atención o son engreídos en casa y lo demuestran en el aula y desean que el adulto haga o realice todo lo que ellos quieran. Yo les doy un poco de tiempo, los busco de a ratos, les doy espacio para que cambien sus"/>
        <s v="Cuando los niños ingresan y noto su semblante diferente. Trato de conversar por qué esta así, luego converso con los padres."/>
        <s v="Las situaciones de desafío es mediante el diálogo con los padres de familia."/>
        <s v="Ser comprensiva con los niños y hacerles entender para sobresalir de situaciones incómodas."/>
        <s v="Las situaciones más desafiantes fueron: Cuando los estudiantes empezaron a contarme situaciones que los hacían sentir alguna emoción (tristeza, sobre todo) y que eran muy fuertes incluso para mí porque estaban relacionadas a violencia en el hogar; en ese "/>
        <s v="Soy una persona que soy muy atenta lo que pasa con mis niños y así para poder ayudarla"/>
        <s v="La agresividad entre estudiantes, dialogando y haciéndoles entender"/>
        <s v="Bueno suele ser cuando un niño o niña muestra frustración o desinterés ante el aprendizaje para ello es importante escuchar sin juzgar, tratar de comprenderlo ofrecerle apoyo entre otros."/>
        <s v="Las situaciones que más me desafían son las relacionadas con la frustración, especialmente en niños que no saben aún canalizar lo que sienten. Para acompañarlos, valido sus emociones, los ayudo a respirar y reflexionar, y trabajo la empatía para que compr"/>
        <s v="Conductuales con acuerdos"/>
        <s v="Las malas conductas de los niños , conversando con los padres de familia y hablando con los mismos niños en el aula sobre el tema."/>
        <s v="Hay estudiantes en descuido de parte de sus padres, para próximo año voy a reunir a los ppff. Cada bimestre para sensibilizar."/>
        <s v="Los conflictos entre los niños, yo suelo llamarlos para tratar de conversar y saber cómo se sienten, también les pregunto cómo creen que se sienten sus compañeros."/>
        <s v="Cuando se genera conflictos en el aula entre niños. Permito a los niños que reflexionen sobre su actuar para que ellos mismos puedan dar solucion al problema."/>
        <s v="El temor a que mis estudiantes se pueden caer y lastirmarse. Trato que los niños sean autonomos y darles confianza."/>
        <s v="En las de frustracion, ya que en este momento no se como actuar, dandome un momento quizas para respirar y reflexionar en lo que puedo hacer para que la decision que vaya a tomar sea lo mejor."/>
        <s v="La sobrecarga laboral, en ocasiones me genero estrés, sin embargo trato de organizar mejor mi horario para tener actividades de ocio. Asimismo, al estar lejos de mi familia, en ocasiones me genera nostalgia, tristeza, para lo cual me mantengo en constante"/>
        <s v="Cuando observo la agresividad antes sus compañeros. Hablo con sus padres para saber que está pasando en casa. Hablar con el niño o niña que debe respetar los acuerdos."/>
        <s v="Cuando a pesar de las estrategias que use, no veo algun cambio en el niño, situacion que me frustra porque no se que más hacer. Suelo detenerme un momento para descansar, y cuando esté mas tranquila puedo pensar con mas claridad"/>
        <s v="Tengo una niña que pelea con sus compañeros, antes los niños no reaccionaban pero ahora si lo hacen. Frente a esta situacion hablo con los niños y pregunto que pasó y si no quieren contarme, espero hasta que se tranquilice y luego conversamos cuando están"/>
        <s v="Generalmente la hiperactividad y trato de realizar la calma, paulatinamente a traves de la sugerencia de los juegos tranquilos."/>
        <s v="Los estados emocionales de mis niños cuando vienen al jardin hablo con ellos, como se sienten, por qué muestran esa carita de tristeza o precoupado o asustado y le damos abrazos diciendoles que todo esta bien."/>
        <s v="Ayudar a regular las emociones de los estudiantes neurodiversos, el descuido de los padres con sus hijos. Siento cansancio, salgo a tomar aire y a dar las recomendaciones precisas"/>
        <s v="Participación activa con las madres de familia con las actividades programadas de la institución."/>
        <s v="El trabajo con los padres de familia muchas veces no respetan acuerdos y trato de sensibilizarlos para que se integren y trabajen en equipo"/>
        <s v="La falta de responsabilidad de los padres de familia por no traer sus materiales completos para sus hijos, y como docente tengo que hacer lo posible para trabajar con mis niños para asi lograr su aprendizaje"/>
        <s v="Los padres no tienen manejo de emociones y se exaltan cuando hay alguna incomodidad o le pasa lafun incidente pero como docente trato de explicar con tranquilidad"/>
        <s v="Conflicto con los materiales y juegos. Promuevo que hablen entre ellos, aplico estrategias de respiración. Luego converso para que entienda como se siente la otra persona."/>
        <s v="Hay ocasiones donde los niños tienen mucha energia y eso me agota fisica y mentalmente. Trato de tener actividades tranquilas por la tarde. Con las docentes trato de dat mi opinión y llegar a un punto medio"/>
        <s v="Busco apoyar a todos mis estudiantes por igual, es complicado pero hago el intento"/>
        <s v="El poco apoyo de los padres hacia sus hijos, no hay compromiso. Trato de ponerme en el lugar de cada niño-a. tambien les doy confianza y cariño para que se sientan seguros de si mismos y amados."/>
        <s v="Una madre de familia y su abuela de la niña no entendieron que la actividad programada era solo para los niños y sentí frustración por como se llevó la conversación."/>
        <s v="Hasta ahora no he tenido mayores dificultades; sin embargo, tengo un estudiante que en ocasiones muestra conductas agresivas hacia sus compañeras. Ya ha recibido acompañamiento de la psicóloga y, gracias a ello, estamos viendo avances en su comportamiento"/>
        <s v="Aquellas situaciones donde los niños incitan a hablar temas no adecuados para su edad. Siempre me siento a conversar con ellos y explicar la situación de forma clara."/>
        <s v="La situación que más me desafía es que una niña no participa y llora por todo y la suelo abordar, tratando de que se comunique y saber que es lo que esta pasando en su hogar."/>
        <s v="El vocabulario de los niños al escuchar a sus padres , tíos u otro familiar o en la calle cuando hablan jergas, para ellos es un chiste y al hablarlo son más de uno. Lo cual lo abordaría hablando en escuelas para padres, para que ayuden a sus niños de com"/>
        <s v="En mi experencia las situaciones emocionales que me desafían son: que tengo niñas muy consentidas por los padres, que sus padres acepten todo lo malo que hacen y eso es lo que me frustra."/>
        <s v="El desafío que más tengo en mi aula es la falta de regulación de emociones (Frustración, ira y rabia), lo que hago es ayudarlo a tranquilizarse llevandole a un espacio seguro donde pueda conversar con los estudiantes y enseñarles la emoción que está sinti"/>
        <s v="Como auxiliar de educación, he observado durante el recreo que algunos niños de la IEI 416 Huaripampa Bajo presentan conductas agresivas entre ellos. Sin embargo, algunos padres aún no reconocen estas situaciones en sus hijos y muestran poca disposición p"/>
        <s v="Ultimamente procuro mantener la calma: respiro profundo e intervengo con serenidad. Si siento que he acumulado estrés, recurro a actividades que disfruto."/>
        <s v="En algunos casos he identificado que ciertos estudiantes atraviesan dificultades personales, lo que influye en su estado emocional y en su desempeño diario."/>
        <s v="Las principales situaciones emocionales que observo en los niños son la agresividad hacia sus compañeros y la poca tolerancia. A algunos padres aún les resulta difícil tomar conciencia de la importancia de reforzar estos aspectos desde casa."/>
        <s v="Con frecuencia se presentan situaciones relacionadas con baja autoestima, así como comportamientos toscos o agresivos en algunos niños."/>
        <s v="En algunos casos resulta retador comprender ciertas conductas inadecuadas de algunos padres de familia. Sin embargo, como docente, a lo largo del año he procurado mantener un trato respetuoso y cordial. También busco regular mis emociones según la situaci"/>
        <s v="En mi experiencia como docente, siempre procuro acompañar a mis niños cuando llegan con distintas ocurrencias. Les hablo con naturalidad para que se sientan en confianza y puedan expresarse de la misma manera."/>
        <s v="Lo más retador de este año ha sido que varios niños y niñas presentan comportamientos muy agresivos y tienen dificultades para escuchar. Aun así, en la institución todos los docentes hacemos nuestro mejor esfuerzo por manejar estas situaciones de manera a"/>
        <s v="Hemos tenido algunas limitaciones, como la escasez de materiales educativos suficientes para trabajar adecuadamente las competencias en los niños. Sin embargo, he logrado elaborar recursos con apoyo de los padres de familia, utilizando materiales de la zo"/>
        <s v="He percibido que muchos de mis estudiantes conviven con situaciones de violencia en su día a día, por lo que establecer límites y corregir estas conductas representa un verdadero desafío."/>
        <s v="El manejo de las emociones en mis estudiantes es un aspecto importante, pues son niños pequeños y requieren del acompañamiento constante de sus padres para desarrollarlo adecuadamente"/>
      </sharedItems>
    </cacheField>
    <cacheField name="Comentarios" numFmtId="0">
      <sharedItems containsBlank="1">
        <m/>
        <s v="PRONOEI SHINQUIPAMPA"/>
      </sharedItems>
    </cacheField>
    <cacheField name="Facilitador/a" numFmtId="0">
      <sharedItems containsBlank="1">
        <s v="Jackelyn Juro Dueñas"/>
        <s v="Stephany Decheco Vera"/>
        <s v="Antonella Espinoza Ramos"/>
        <s v="Arely Rojas Beraun"/>
        <s v="Andrea Cabellos"/>
        <s v="Natalya Davila"/>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F16" firstHeaderRow="0" firstDataRow="5" firstDataCol="0"/>
  <pivotFields>
    <pivotField name="UGT" axis="axisRow" compact="0" numFmtId="49" outline="0" multipleItemSelectionAllowed="1" showAll="0" sortType="ascending">
      <items>
        <item h="1" x="2"/>
        <item h="1" x="0"/>
        <item h="1" x="1"/>
        <item x="3"/>
        <item t="default"/>
      </items>
    </pivotField>
    <pivotField name="Provincia" axis="axisRow" compact="0" numFmtId="49" outline="0" multipleItemSelectionAllowed="1" showAll="0" sortType="ascending">
      <items>
        <item x="3"/>
        <item x="0"/>
        <item x="1"/>
        <item x="2"/>
        <item t="default"/>
      </items>
    </pivotField>
    <pivotField name="Distrito" axis="axisRow" compact="0" numFmtId="49" outline="0" multipleItemSelectionAllowed="1" showAll="0" sortType="ascending" defaultSubtotal="0">
      <items>
        <item x="8"/>
        <item x="7"/>
        <item x="1"/>
        <item x="6"/>
        <item x="3"/>
        <item x="4"/>
        <item x="5"/>
        <item x="0"/>
        <item x="2"/>
      </items>
    </pivotField>
    <pivotField name="Centro Poblado" axis="axisRow" compact="0" numFmtId="49" outline="0" multipleItemSelectionAllowed="1" showAll="0" sortType="ascending" defaultSubtotal="0">
      <items>
        <item x="11"/>
        <item x="28"/>
        <item x="19"/>
        <item x="24"/>
        <item x="6"/>
        <item x="0"/>
        <item x="27"/>
        <item x="1"/>
        <item x="23"/>
        <item x="16"/>
        <item x="10"/>
        <item x="20"/>
        <item x="21"/>
        <item x="22"/>
        <item x="15"/>
        <item x="17"/>
        <item x="13"/>
        <item x="3"/>
        <item x="14"/>
        <item x="12"/>
        <item x="2"/>
        <item x="25"/>
        <item x="18"/>
        <item x="7"/>
        <item x="4"/>
        <item x="8"/>
        <item x="26"/>
        <item x="9"/>
        <item x="5"/>
      </items>
    </pivotField>
    <pivotField name="Institución educativa" axis="axisRow" compact="0" numFmtId="49" outline="0" multipleItemSelectionAllowed="1" showAll="0" sortType="ascending">
      <items>
        <item x="16"/>
        <item x="15"/>
        <item x="24"/>
        <item x="20"/>
        <item x="3"/>
        <item x="2"/>
        <item x="9"/>
        <item x="1"/>
        <item x="12"/>
        <item x="17"/>
        <item x="26"/>
        <item x="0"/>
        <item x="13"/>
        <item x="27"/>
        <item x="14"/>
        <item x="21"/>
        <item x="18"/>
        <item x="4"/>
        <item x="25"/>
        <item x="10"/>
        <item x="28"/>
        <item x="19"/>
        <item x="11"/>
        <item x="23"/>
        <item x="8"/>
        <item x="7"/>
        <item x="22"/>
        <item x="5"/>
        <item x="6"/>
        <item t="default"/>
      </items>
    </pivotField>
    <pivotField name="Nivel modular" compact="0" numFmtId="49" outline="0" multipleItemSelectionAllowed="1" showAll="0">
      <items>
        <item x="0"/>
        <item x="1"/>
        <item t="default"/>
      </items>
    </pivotField>
    <pivotField name="Cod modular"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od local"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Grado" compact="0" outline="0" multipleItemSelectionAllowed="1" showAll="0">
      <items>
        <item x="0"/>
        <item x="1"/>
        <item x="2"/>
        <item t="default"/>
      </items>
    </pivotField>
    <pivotField name="Aula/Sección" compact="0" outline="0" multipleItemSelectionAllowed="1" showAll="0">
      <items>
        <item x="0"/>
        <item x="1"/>
        <item x="2"/>
        <item x="3"/>
        <item x="4"/>
        <item x="5"/>
        <item x="6"/>
        <item x="7"/>
        <item x="8"/>
        <item x="9"/>
        <item x="10"/>
        <item x="11"/>
        <item x="12"/>
        <item x="13"/>
        <item x="14"/>
        <item x="15"/>
        <item x="16"/>
        <item x="17"/>
        <item x="18"/>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t="default"/>
      </items>
    </pivotField>
    <pivotField name="Fecha de aplic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Corte de evaluación" compact="0" outline="0" multipleItemSelectionAllowed="1" showAll="0">
      <items>
        <item x="0"/>
        <item x="1"/>
        <item t="default"/>
      </items>
    </pivotField>
    <pivotField name="Identifica al menos 3 emociones básicas al observar imágenes" compact="0" outline="0" multipleItemSelectionAllowed="1" showAll="0">
      <items>
        <item x="0"/>
        <item x="1"/>
        <item x="2"/>
        <item t="default"/>
      </items>
    </pivotField>
    <pivotField name="Representa gráficamente dos emociones con rasgos diferenciados" compact="0" outline="0" multipleItemSelectionAllowed="1" showAll="0">
      <items>
        <item x="0"/>
        <item x="1"/>
        <item x="2"/>
        <item t="default"/>
      </items>
    </pivotField>
    <pivotField name="Relaciona una emoción con una experiencia personal" compact="0" outline="0" multipleItemSelectionAllowed="1" showAll="0">
      <items>
        <item x="0"/>
        <item x="1"/>
        <item x="2"/>
        <item t="default"/>
      </items>
    </pivotField>
    <pivotField name="Reconoce una emoción incómoda en sí mismo." compact="0" outline="0" multipleItemSelectionAllowed="1" showAll="0">
      <items>
        <item x="0"/>
        <item x="1"/>
        <item x="2"/>
        <item x="3"/>
        <item t="default"/>
      </items>
    </pivotField>
    <pivotField name="Participa en una estrategia de autorregulación (ej. respiración)" compact="0" outline="0" multipleItemSelectionAllowed="1" showAll="0">
      <items>
        <item x="0"/>
        <item x="1"/>
        <item x="2"/>
        <item t="default"/>
      </items>
    </pivotField>
    <pivotField name="Identifica una situación en la que podría usar la estrategia" compact="0" outline="0" multipleItemSelectionAllowed="1" showAll="0">
      <items>
        <item x="0"/>
        <item x="1"/>
        <item x="2"/>
        <item t="default"/>
      </items>
    </pivotField>
    <pivotField name="Identifica correctamente la emoción de otra persona" compact="0" outline="0" multipleItemSelectionAllowed="1" showAll="0">
      <items>
        <item x="0"/>
        <item x="1"/>
        <item x="2"/>
        <item t="default"/>
      </items>
    </pivotField>
    <pivotField name="Justifica su respuesta con base en la imagen" compact="0" outline="0" multipleItemSelectionAllowed="1" showAll="0">
      <items>
        <item x="0"/>
        <item x="1"/>
        <item x="2"/>
        <item x="3"/>
        <item t="default"/>
      </items>
    </pivotField>
    <pivotField name="Relaciona la emoción ajena con una experiencia propia" compact="0" outline="0" multipleItemSelectionAllowed="1" showAll="0">
      <items>
        <item x="0"/>
        <item x="1"/>
        <item x="2"/>
        <item x="3"/>
        <item t="default"/>
      </items>
    </pivotField>
    <pivotField name="Escucha y responde a las acciones/palabras del otro" compact="0" outline="0" multipleItemSelectionAllowed="1" showAll="0">
      <items>
        <item x="0"/>
        <item x="1"/>
        <item x="2"/>
        <item x="3"/>
        <item t="default"/>
      </items>
    </pivotField>
    <pivotField name="Respeta turnos o espera con paciencia" compact="0" outline="0" multipleItemSelectionAllowed="1" showAll="0">
      <items>
        <item x="0"/>
        <item x="1"/>
        <item x="2"/>
        <item t="default"/>
      </items>
    </pivotField>
    <pivotField name="Coopera para lograr un objetivo común" compact="0" outline="0" multipleItemSelectionAllowed="1" showAll="0">
      <items>
        <item x="0"/>
        <item x="1"/>
        <item x="2"/>
        <item t="default"/>
      </items>
    </pivotField>
    <pivotField name="Reconoce que las acciones tienen consecuencias" compact="0" outline="0" multipleItemSelectionAllowed="1" showAll="0">
      <items>
        <item x="0"/>
        <item x="1"/>
        <item x="2"/>
        <item t="default"/>
      </items>
    </pivotField>
    <pivotField name="Propone una acción positiva o prosocial" compact="0" outline="0" multipleItemSelectionAllowed="1" showAll="0">
      <items>
        <item x="0"/>
        <item x="1"/>
        <item x="2"/>
        <item t="default"/>
      </items>
    </pivotField>
    <pivotField name="Justifica su elección de forma comprensible" compact="0" outline="0" multipleItemSelectionAllowed="1" showAll="0">
      <items>
        <item x="0"/>
        <item x="1"/>
        <item x="2"/>
        <item x="3"/>
        <item t="default"/>
      </items>
    </pivotField>
    <pivotField name="Comentarios" compact="0" outline="0" multipleItemSelectionAllowed="1" showAll="0">
      <items>
        <item x="0"/>
        <item x="1"/>
        <item x="2"/>
        <item x="3"/>
        <item x="4"/>
        <item x="5"/>
        <item t="default"/>
      </items>
    </pivotField>
    <pivotField name="Facilitador/a" compact="0" outline="0" multipleItemSelectionAllowed="1" showAll="0">
      <items>
        <item x="0"/>
        <item x="1"/>
        <item x="2"/>
        <item x="3"/>
        <item x="4"/>
        <item x="5"/>
        <item x="6"/>
        <item t="default"/>
      </items>
    </pivotField>
  </pivotFields>
  <rowFields>
    <field x="0"/>
    <field x="1"/>
    <field x="2"/>
    <field x="3"/>
    <field x="4"/>
  </rowFields>
  <dataFields>
    <dataField name="COUNTA of Apellidos y nombres" fld="10" subtotal="count" baseField="0"/>
  </dataFields>
</pivotTableDefinition>
</file>

<file path=xl/tables/table1.xml><?xml version="1.0" encoding="utf-8"?>
<table xmlns="http://schemas.openxmlformats.org/spreadsheetml/2006/main" headerRowCount="0" ref="J434:K444" displayName="Table_1" name="Table_1" id="1">
  <tableColumns count="2">
    <tableColumn name="Column1" id="1"/>
    <tableColumn name="Column2" id="2"/>
  </tableColumns>
  <tableStyleInfo name="Enc. Familias-style" showColumnStripes="0" showFirstColumn="1" showLastColumn="1" showRowStripes="1"/>
</table>
</file>

<file path=xl/tables/table2.xml><?xml version="1.0" encoding="utf-8"?>
<table xmlns="http://schemas.openxmlformats.org/spreadsheetml/2006/main" headerRowCount="0" ref="M434:N444" displayName="Table_2" name="Table_2" id="2">
  <tableColumns count="2">
    <tableColumn name="Column1" id="1"/>
    <tableColumn name="Column2" id="2"/>
  </tableColumns>
  <tableStyleInfo name="Enc. Familias-style 2" showColumnStripes="0" showFirstColumn="1" showLastColumn="1" showRowStripes="1"/>
</table>
</file>

<file path=xl/tables/table3.xml><?xml version="1.0" encoding="utf-8"?>
<table xmlns="http://schemas.openxmlformats.org/spreadsheetml/2006/main" headerRowCount="0" ref="AD434:AG444" displayName="Table_3" name="Table_3" id="3">
  <tableColumns count="4">
    <tableColumn name="Column1" id="1"/>
    <tableColumn name="Column2" id="2"/>
    <tableColumn name="Column3" id="3"/>
    <tableColumn name="Column4" id="4"/>
  </tableColumns>
  <tableStyleInfo name="Enc. Familias-style 3" showColumnStripes="0" showFirstColumn="1" showLastColumn="1" showRowStripes="1"/>
</table>
</file>

<file path=xl/tables/table4.xml><?xml version="1.0" encoding="utf-8"?>
<table xmlns="http://schemas.openxmlformats.org/spreadsheetml/2006/main" headerRowCount="0" ref="J445:K615" displayName="Table_4" name="Table_4" id="4">
  <tableColumns count="2">
    <tableColumn name="Column1" id="1"/>
    <tableColumn name="Column2" id="2"/>
  </tableColumns>
  <tableStyleInfo name="Enc. Familias-style 4" showColumnStripes="0" showFirstColumn="1" showLastColumn="1" showRowStripes="1"/>
</table>
</file>

<file path=xl/tables/table5.xml><?xml version="1.0" encoding="utf-8"?>
<table xmlns="http://schemas.openxmlformats.org/spreadsheetml/2006/main" headerRowCount="0" ref="M445:N656" displayName="Table_5" name="Table_5" id="5">
  <tableColumns count="2">
    <tableColumn name="Column1" id="1"/>
    <tableColumn name="Column2" id="2"/>
  </tableColumns>
  <tableStyleInfo name="Enc. Familias-style 5" showColumnStripes="0" showFirstColumn="1" showLastColumn="1" showRowStripes="1"/>
</table>
</file>

<file path=xl/tables/table6.xml><?xml version="1.0" encoding="utf-8"?>
<table xmlns="http://schemas.openxmlformats.org/spreadsheetml/2006/main" headerRowCount="0" ref="AD445:AG463" displayName="Table_6" name="Table_6" id="6">
  <tableColumns count="4">
    <tableColumn name="Column1" id="1"/>
    <tableColumn name="Column2" id="2"/>
    <tableColumn name="Column3" id="3"/>
    <tableColumn name="Column4" id="4"/>
  </tableColumns>
  <tableStyleInfo name="Enc. Familias-style 6" showColumnStripes="0" showFirstColumn="1" showLastColumn="1" showRowStripes="1"/>
</table>
</file>

<file path=xl/tables/table7.xml><?xml version="1.0" encoding="utf-8"?>
<table xmlns="http://schemas.openxmlformats.org/spreadsheetml/2006/main" headerRowCount="0" ref="AD571:AG571" displayName="Table_7" name="Table_7" id="7">
  <tableColumns count="4">
    <tableColumn name="Column1" id="1"/>
    <tableColumn name="Column2" id="2"/>
    <tableColumn name="Column3" id="3"/>
    <tableColumn name="Column4" id="4"/>
  </tableColumns>
  <tableStyleInfo name="Enc. Familias-style 7" showColumnStripes="0" showFirstColumn="1" showLastColumn="1" showRowStripes="1"/>
</table>
</file>

<file path=xl/tables/table8.xml><?xml version="1.0" encoding="utf-8"?>
<table xmlns="http://schemas.openxmlformats.org/spreadsheetml/2006/main" headerRowCount="0" ref="O641:O655" displayName="Table_8" name="Table_8" id="8">
  <tableColumns count="1">
    <tableColumn name="Column1" id="1"/>
  </tableColumns>
  <tableStyleInfo name="Enc. Familias-style 8" showColumnStripes="0" showFirstColumn="1" showLastColumn="1" showRowStripes="1"/>
</table>
</file>

<file path=xl/tables/table9.xml><?xml version="1.0" encoding="utf-8"?>
<table xmlns="http://schemas.openxmlformats.org/spreadsheetml/2006/main" headerRowCount="0" ref="P10:AC30" displayName="Table_9" name="Table_9" id="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showColumnStripes="0" showFirstColumn="1" showLastColumn="1" showRowStripes="1"/>
</table>
</file>

<file path=xl/tables/table10.xml><?xml version="1.0" encoding="utf-8"?>
<table xmlns="http://schemas.openxmlformats.org/spreadsheetml/2006/main" headerRowCount="0" ref="P31:AC35" displayName="Table_10" name="Table_10" id="1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2" showColumnStripes="0" showFirstColumn="1" showLastColumn="1" showRowStripes="1"/>
</table>
</file>

<file path=xl/tables/table11.xml><?xml version="1.0" encoding="utf-8"?>
<table xmlns="http://schemas.openxmlformats.org/spreadsheetml/2006/main" headerRowCount="0" ref="P36:AD10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nc. Docentes-style 3" showColumnStripes="0" showFirstColumn="1" showLastColumn="1" showRowStripes="1"/>
</table>
</file>

<file path=xl/tables/table12.xml><?xml version="1.0" encoding="utf-8"?>
<table xmlns="http://schemas.openxmlformats.org/spreadsheetml/2006/main" headerRowCount="0" ref="P104:AC106" displayName="Table_12" name="Table_12" id="1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4" showColumnStripes="0" showFirstColumn="1" showLastColumn="1" showRowStripes="1"/>
</table>
</file>

<file path=xl/tables/table13.xml><?xml version="1.0" encoding="utf-8"?>
<table xmlns="http://schemas.openxmlformats.org/spreadsheetml/2006/main" headerRowCount="0" ref="P107:AC108" displayName="Table_13" name="Table_13" id="1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5" showColumnStripes="0" showFirstColumn="1" showLastColumn="1" showRowStripes="1"/>
</table>
</file>

<file path=xl/tables/table14.xml><?xml version="1.0" encoding="utf-8"?>
<table xmlns="http://schemas.openxmlformats.org/spreadsheetml/2006/main" headerRowCount="0" ref="P109:AC110" displayName="Table_14" name="Table_14" id="1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6" showColumnStripes="0" showFirstColumn="1" showLastColumn="1" showRowStripes="1"/>
</table>
</file>

<file path=xl/tables/table15.xml><?xml version="1.0" encoding="utf-8"?>
<table xmlns="http://schemas.openxmlformats.org/spreadsheetml/2006/main" headerRowCount="0" ref="P136:AC146" displayName="Table_15" name="Table_15" id="1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Enc. Docentes-style 7" showColumnStripes="0" showFirstColumn="1" showLastColumn="1" showRowStripes="1"/>
</table>
</file>

<file path=xl/tables/table16.xml><?xml version="1.0" encoding="utf-8"?>
<table xmlns="http://schemas.openxmlformats.org/spreadsheetml/2006/main" ref="A1:I32" displayName="IIEE" name="IIEE" id="16">
  <autoFilter ref="$A$1:$I$32"/>
  <tableColumns count="9">
    <tableColumn name="Institución educativa" id="1"/>
    <tableColumn name="UGT" id="2"/>
    <tableColumn name="Provincia" id="3"/>
    <tableColumn name="Distrito" id="4"/>
    <tableColumn name="Centro Poblado" id="5"/>
    <tableColumn name="Cod modular" id="6"/>
    <tableColumn name="Cod local" id="7"/>
    <tableColumn name="Nivel modular" id="8"/>
    <tableColumn name="Columna 9" id="9"/>
  </tableColumns>
  <tableStyleInfo name="BBDD-style" showColumnStripes="0" showFirstColumn="1" showLastColumn="1" showRowStripes="1"/>
</table>
</file>

<file path=xl/tables/table17.xml><?xml version="1.0" encoding="utf-8"?>
<table xmlns="http://schemas.openxmlformats.org/spreadsheetml/2006/main" ref="L1:L7" displayName="Facilitador_a" name="Facilitador_a" id="17">
  <tableColumns count="1">
    <tableColumn name="Facilitador/a" id="1"/>
  </tableColumns>
  <tableStyleInfo name="BBD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16.xml"/><Relationship Id="rId5"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18.25"/>
    <col customWidth="1" min="11" max="11" width="19.88"/>
  </cols>
  <sheetData>
    <row r="1">
      <c r="I1" s="1" t="s">
        <v>0</v>
      </c>
      <c r="J1" s="1" t="s">
        <v>1</v>
      </c>
      <c r="K1" s="1" t="s">
        <v>2</v>
      </c>
      <c r="L1" s="1" t="s">
        <v>4</v>
      </c>
      <c r="M1" s="2" t="s">
        <v>6</v>
      </c>
    </row>
    <row r="2">
      <c r="I2" s="1" t="s">
        <v>7</v>
      </c>
      <c r="J2" s="1" t="s">
        <v>8</v>
      </c>
      <c r="K2" s="1" t="s">
        <v>9</v>
      </c>
      <c r="L2" s="1" t="s">
        <v>11</v>
      </c>
      <c r="M2" s="2">
        <v>18.0</v>
      </c>
      <c r="O2" s="1" t="s">
        <v>12</v>
      </c>
      <c r="P2" s="2" t="s">
        <v>13</v>
      </c>
      <c r="Q2" s="2" t="s">
        <v>14</v>
      </c>
    </row>
    <row r="3">
      <c r="I3" s="2"/>
      <c r="J3" s="2"/>
      <c r="K3" s="1" t="s">
        <v>15</v>
      </c>
      <c r="L3" s="1" t="s">
        <v>16</v>
      </c>
      <c r="M3" s="2">
        <v>12.0</v>
      </c>
      <c r="O3" s="1"/>
      <c r="P3" s="2"/>
      <c r="Q3" s="2">
        <v>0.0</v>
      </c>
    </row>
    <row r="4">
      <c r="I4" s="2"/>
      <c r="J4" s="2"/>
      <c r="K4" s="2"/>
      <c r="L4" s="1" t="s">
        <v>19</v>
      </c>
      <c r="M4" s="2">
        <v>12.0</v>
      </c>
      <c r="O4" s="2" t="s">
        <v>20</v>
      </c>
      <c r="P4" s="2"/>
      <c r="Q4" s="2">
        <v>0.0</v>
      </c>
    </row>
    <row r="5">
      <c r="I5" s="2"/>
      <c r="J5" s="2"/>
      <c r="K5" s="2"/>
      <c r="L5" s="1" t="s">
        <v>18</v>
      </c>
      <c r="M5" s="2">
        <v>6.0</v>
      </c>
      <c r="O5" s="1" t="s">
        <v>22</v>
      </c>
      <c r="P5" s="2" t="s">
        <v>23</v>
      </c>
      <c r="Q5" s="2">
        <v>9.0</v>
      </c>
    </row>
    <row r="6">
      <c r="I6" s="2"/>
      <c r="J6" s="2"/>
      <c r="K6" s="1" t="s">
        <v>24</v>
      </c>
      <c r="L6" s="1" t="s">
        <v>27</v>
      </c>
      <c r="M6" s="2">
        <v>5.0</v>
      </c>
      <c r="O6" s="2"/>
      <c r="P6" s="2" t="s">
        <v>28</v>
      </c>
      <c r="Q6" s="2">
        <v>48.0</v>
      </c>
    </row>
    <row r="7">
      <c r="I7" s="2"/>
      <c r="J7" s="2"/>
      <c r="K7" s="2"/>
      <c r="L7" s="1" t="s">
        <v>30</v>
      </c>
      <c r="M7" s="2">
        <v>4.0</v>
      </c>
      <c r="O7" s="2" t="s">
        <v>31</v>
      </c>
      <c r="P7" s="2"/>
      <c r="Q7" s="2">
        <v>56.0</v>
      </c>
    </row>
    <row r="8">
      <c r="I8" s="2"/>
      <c r="J8" s="2"/>
      <c r="K8" s="2"/>
      <c r="L8" s="1" t="s">
        <v>33</v>
      </c>
      <c r="M8" s="2">
        <v>7.0</v>
      </c>
      <c r="O8" s="1" t="s">
        <v>34</v>
      </c>
      <c r="P8" s="2" t="s">
        <v>23</v>
      </c>
      <c r="Q8" s="2">
        <v>22.0</v>
      </c>
    </row>
    <row r="9">
      <c r="I9" s="2"/>
      <c r="J9" s="2"/>
      <c r="K9" s="2"/>
      <c r="L9" s="1" t="s">
        <v>26</v>
      </c>
      <c r="M9" s="2">
        <v>19.0</v>
      </c>
      <c r="O9" s="2"/>
      <c r="P9" s="2" t="s">
        <v>28</v>
      </c>
      <c r="Q9" s="2">
        <v>293.0</v>
      </c>
    </row>
    <row r="10">
      <c r="I10" s="2"/>
      <c r="J10" s="1" t="s">
        <v>37</v>
      </c>
      <c r="K10" s="1" t="s">
        <v>38</v>
      </c>
      <c r="L10" s="1" t="s">
        <v>39</v>
      </c>
      <c r="M10" s="2">
        <v>4.0</v>
      </c>
      <c r="O10" s="2" t="s">
        <v>40</v>
      </c>
      <c r="P10" s="2"/>
      <c r="Q10" s="2">
        <v>315.0</v>
      </c>
    </row>
    <row r="11">
      <c r="I11" s="2"/>
      <c r="J11" s="2"/>
      <c r="K11" s="2"/>
      <c r="L11" s="1" t="s">
        <v>42</v>
      </c>
      <c r="M11" s="2">
        <v>3.0</v>
      </c>
      <c r="O11" s="1" t="s">
        <v>43</v>
      </c>
      <c r="P11" s="2" t="s">
        <v>23</v>
      </c>
      <c r="Q11" s="2">
        <v>8.0</v>
      </c>
    </row>
    <row r="12">
      <c r="I12" s="2"/>
      <c r="J12" s="2"/>
      <c r="K12" s="2"/>
      <c r="L12" s="1" t="s">
        <v>44</v>
      </c>
      <c r="M12" s="2">
        <v>23.0</v>
      </c>
      <c r="O12" s="2"/>
      <c r="P12" s="2" t="s">
        <v>28</v>
      </c>
      <c r="Q12" s="2">
        <v>60.0</v>
      </c>
    </row>
    <row r="13">
      <c r="I13" s="2" t="s">
        <v>46</v>
      </c>
      <c r="J13" s="2"/>
      <c r="K13" s="2"/>
      <c r="L13" s="2"/>
      <c r="M13" s="2">
        <v>113.0</v>
      </c>
      <c r="O13" s="2" t="s">
        <v>47</v>
      </c>
      <c r="P13" s="2"/>
      <c r="Q13" s="2">
        <v>68.0</v>
      </c>
    </row>
    <row r="14">
      <c r="O14" s="1" t="s">
        <v>7</v>
      </c>
      <c r="P14" s="2" t="s">
        <v>23</v>
      </c>
      <c r="Q14" s="2">
        <v>38.0</v>
      </c>
    </row>
    <row r="15">
      <c r="O15" s="2"/>
      <c r="P15" s="2" t="s">
        <v>28</v>
      </c>
      <c r="Q15" s="2">
        <v>153.0</v>
      </c>
    </row>
    <row r="16">
      <c r="O16" s="2" t="s">
        <v>49</v>
      </c>
      <c r="P16" s="2"/>
      <c r="Q16" s="2">
        <v>189.0</v>
      </c>
    </row>
    <row r="17">
      <c r="O17" s="2" t="s">
        <v>46</v>
      </c>
      <c r="P17" s="2"/>
      <c r="Q17" s="2">
        <v>628.0</v>
      </c>
    </row>
    <row r="29">
      <c r="I29" s="1" t="s">
        <v>0</v>
      </c>
      <c r="J29" s="1" t="s">
        <v>1</v>
      </c>
      <c r="K29" s="1" t="s">
        <v>2</v>
      </c>
      <c r="L29" s="1" t="s">
        <v>4</v>
      </c>
      <c r="M29" s="2" t="s">
        <v>14</v>
      </c>
    </row>
    <row r="30">
      <c r="I30" s="1" t="s">
        <v>7</v>
      </c>
      <c r="J30" s="1" t="s">
        <v>8</v>
      </c>
      <c r="K30" s="1" t="s">
        <v>9</v>
      </c>
      <c r="L30" s="1" t="s">
        <v>11</v>
      </c>
      <c r="M30" s="2">
        <v>2.0</v>
      </c>
    </row>
    <row r="31">
      <c r="I31" s="2"/>
      <c r="J31" s="2"/>
      <c r="K31" s="1" t="s">
        <v>15</v>
      </c>
      <c r="L31" s="1" t="s">
        <v>16</v>
      </c>
      <c r="M31" s="2">
        <v>4.0</v>
      </c>
    </row>
    <row r="32">
      <c r="I32" s="2"/>
      <c r="J32" s="2"/>
      <c r="K32" s="2"/>
      <c r="L32" s="1" t="s">
        <v>19</v>
      </c>
      <c r="M32" s="2">
        <v>5.0</v>
      </c>
    </row>
    <row r="33">
      <c r="I33" s="2"/>
      <c r="J33" s="2"/>
      <c r="K33" s="2"/>
      <c r="L33" s="1" t="s">
        <v>18</v>
      </c>
      <c r="M33" s="2">
        <v>1.0</v>
      </c>
    </row>
    <row r="34">
      <c r="I34" s="2"/>
      <c r="J34" s="2"/>
      <c r="K34" s="1" t="s">
        <v>24</v>
      </c>
      <c r="L34" s="1" t="s">
        <v>27</v>
      </c>
      <c r="M34" s="2">
        <v>1.0</v>
      </c>
    </row>
    <row r="35">
      <c r="I35" s="2"/>
      <c r="J35" s="2"/>
      <c r="K35" s="2"/>
      <c r="L35" s="1" t="s">
        <v>30</v>
      </c>
      <c r="M35" s="2">
        <v>1.0</v>
      </c>
    </row>
    <row r="36">
      <c r="I36" s="2"/>
      <c r="J36" s="2"/>
      <c r="K36" s="2"/>
      <c r="L36" s="1" t="s">
        <v>33</v>
      </c>
      <c r="M36" s="2">
        <v>2.0</v>
      </c>
    </row>
    <row r="37">
      <c r="I37" s="2"/>
      <c r="J37" s="2"/>
      <c r="K37" s="2"/>
      <c r="L37" s="1" t="s">
        <v>26</v>
      </c>
      <c r="M37" s="2">
        <v>3.0</v>
      </c>
    </row>
    <row r="38">
      <c r="I38" s="2"/>
      <c r="J38" s="2"/>
      <c r="K38" s="2"/>
      <c r="L38" s="1" t="s">
        <v>50</v>
      </c>
      <c r="M38" s="2">
        <v>2.0</v>
      </c>
    </row>
    <row r="39">
      <c r="I39" s="2"/>
      <c r="J39" s="1" t="s">
        <v>37</v>
      </c>
      <c r="K39" s="1" t="s">
        <v>38</v>
      </c>
      <c r="L39" s="1" t="s">
        <v>39</v>
      </c>
      <c r="M39" s="2">
        <v>2.0</v>
      </c>
    </row>
    <row r="40">
      <c r="I40" s="2"/>
      <c r="J40" s="2"/>
      <c r="K40" s="2"/>
      <c r="L40" s="1" t="s">
        <v>42</v>
      </c>
      <c r="M40" s="2">
        <v>1.0</v>
      </c>
    </row>
    <row r="41">
      <c r="I41" s="2"/>
      <c r="J41" s="2"/>
      <c r="K41" s="2"/>
      <c r="L41" s="1" t="s">
        <v>44</v>
      </c>
      <c r="M41" s="2">
        <v>3.0</v>
      </c>
    </row>
    <row r="42">
      <c r="I42" s="2" t="s">
        <v>46</v>
      </c>
      <c r="J42" s="2"/>
      <c r="K42" s="2"/>
      <c r="L42" s="2"/>
      <c r="M42" s="2">
        <v>27.0</v>
      </c>
    </row>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3"/>
    <col customWidth="1" min="2" max="2" width="7.0"/>
    <col customWidth="1" min="3" max="3" width="11.0"/>
    <col customWidth="1" min="4" max="4" width="9.38"/>
    <col customWidth="1" min="5" max="5" width="15.88"/>
    <col customWidth="1" min="6" max="6" width="20.13"/>
    <col customWidth="1" min="7" max="7" width="14.5"/>
    <col customWidth="1" min="8" max="8" width="13.75"/>
    <col customWidth="1" min="9" max="9" width="11.0"/>
    <col customWidth="1" min="10" max="10" width="17.63"/>
    <col customWidth="1" min="11" max="11" width="19.88"/>
    <col customWidth="1" min="12" max="12" width="6.38"/>
    <col customWidth="1" min="13" max="13" width="27.25"/>
    <col customWidth="1" min="14" max="14" width="8.38"/>
    <col customWidth="1" min="15" max="15" width="14.0"/>
    <col customWidth="1" min="16" max="16" width="15.5"/>
    <col customWidth="1" min="17" max="17" width="11.25"/>
    <col customWidth="1" min="18" max="18" width="13.63"/>
    <col customWidth="1" min="19" max="19" width="13.38"/>
  </cols>
  <sheetData>
    <row r="1">
      <c r="A1" s="3" t="s">
        <v>51</v>
      </c>
      <c r="B1" s="4" t="s">
        <v>0</v>
      </c>
      <c r="C1" s="4" t="s">
        <v>1</v>
      </c>
      <c r="D1" s="4" t="s">
        <v>2</v>
      </c>
      <c r="E1" s="4" t="s">
        <v>3</v>
      </c>
      <c r="F1" s="5" t="s">
        <v>4</v>
      </c>
      <c r="G1" s="4" t="s">
        <v>52</v>
      </c>
      <c r="H1" s="4" t="s">
        <v>53</v>
      </c>
      <c r="I1" s="4" t="s">
        <v>54</v>
      </c>
      <c r="J1" s="6" t="s">
        <v>55</v>
      </c>
      <c r="K1" s="6" t="s">
        <v>56</v>
      </c>
      <c r="L1" s="6" t="s">
        <v>57</v>
      </c>
      <c r="M1" s="6" t="s">
        <v>58</v>
      </c>
      <c r="N1" s="7" t="s">
        <v>59</v>
      </c>
      <c r="O1" s="6" t="s">
        <v>60</v>
      </c>
      <c r="P1" s="6" t="s">
        <v>61</v>
      </c>
      <c r="Q1" s="8" t="s">
        <v>62</v>
      </c>
      <c r="R1" s="9" t="s">
        <v>63</v>
      </c>
      <c r="S1" s="10" t="s">
        <v>64</v>
      </c>
    </row>
    <row r="2">
      <c r="A2" s="11"/>
      <c r="B2" s="12" t="s">
        <v>43</v>
      </c>
      <c r="C2" s="12" t="s">
        <v>65</v>
      </c>
      <c r="D2" s="12" t="s">
        <v>43</v>
      </c>
      <c r="E2" s="12" t="s">
        <v>66</v>
      </c>
      <c r="F2" s="13" t="s">
        <v>67</v>
      </c>
      <c r="G2" s="12" t="s">
        <v>68</v>
      </c>
      <c r="H2" s="12" t="s">
        <v>69</v>
      </c>
      <c r="I2" s="12" t="s">
        <v>70</v>
      </c>
      <c r="J2" s="14">
        <v>45903.0</v>
      </c>
      <c r="K2" s="15" t="s">
        <v>71</v>
      </c>
      <c r="M2" s="16" t="s">
        <v>72</v>
      </c>
      <c r="N2" s="17" t="s">
        <v>73</v>
      </c>
      <c r="O2" s="17" t="s">
        <v>74</v>
      </c>
      <c r="P2" s="17" t="s">
        <v>75</v>
      </c>
      <c r="S2" s="18" t="s">
        <v>76</v>
      </c>
    </row>
    <row r="3">
      <c r="A3" s="11"/>
      <c r="B3" s="12" t="s">
        <v>43</v>
      </c>
      <c r="C3" s="12" t="s">
        <v>65</v>
      </c>
      <c r="D3" s="12" t="s">
        <v>43</v>
      </c>
      <c r="E3" s="12" t="s">
        <v>66</v>
      </c>
      <c r="F3" s="13" t="s">
        <v>67</v>
      </c>
      <c r="G3" s="12" t="s">
        <v>68</v>
      </c>
      <c r="H3" s="12" t="s">
        <v>69</v>
      </c>
      <c r="I3" s="12" t="s">
        <v>70</v>
      </c>
      <c r="J3" s="14">
        <v>45917.0</v>
      </c>
      <c r="K3" s="15" t="s">
        <v>71</v>
      </c>
      <c r="M3" s="16" t="s">
        <v>72</v>
      </c>
      <c r="N3" s="17" t="s">
        <v>73</v>
      </c>
      <c r="O3" s="17" t="s">
        <v>74</v>
      </c>
      <c r="P3" s="17" t="s">
        <v>75</v>
      </c>
      <c r="S3" s="18" t="s">
        <v>76</v>
      </c>
    </row>
    <row r="4">
      <c r="A4" s="11"/>
      <c r="B4" s="12" t="s">
        <v>43</v>
      </c>
      <c r="C4" s="12" t="s">
        <v>65</v>
      </c>
      <c r="D4" s="12" t="s">
        <v>43</v>
      </c>
      <c r="E4" s="12" t="s">
        <v>66</v>
      </c>
      <c r="F4" s="13" t="s">
        <v>67</v>
      </c>
      <c r="G4" s="12" t="s">
        <v>68</v>
      </c>
      <c r="H4" s="12" t="s">
        <v>69</v>
      </c>
      <c r="I4" s="12" t="s">
        <v>70</v>
      </c>
      <c r="J4" s="14">
        <v>45932.0</v>
      </c>
      <c r="K4" s="15" t="s">
        <v>71</v>
      </c>
      <c r="M4" s="16" t="s">
        <v>72</v>
      </c>
      <c r="N4" s="17" t="s">
        <v>73</v>
      </c>
      <c r="O4" s="17" t="s">
        <v>74</v>
      </c>
      <c r="P4" s="17" t="s">
        <v>75</v>
      </c>
      <c r="S4" s="18" t="s">
        <v>76</v>
      </c>
    </row>
    <row r="5">
      <c r="A5" s="11"/>
      <c r="B5" s="12" t="s">
        <v>43</v>
      </c>
      <c r="C5" s="12" t="s">
        <v>65</v>
      </c>
      <c r="D5" s="12" t="s">
        <v>43</v>
      </c>
      <c r="E5" s="12" t="s">
        <v>66</v>
      </c>
      <c r="F5" s="13" t="s">
        <v>67</v>
      </c>
      <c r="G5" s="12" t="s">
        <v>68</v>
      </c>
      <c r="H5" s="12" t="s">
        <v>69</v>
      </c>
      <c r="I5" s="12" t="s">
        <v>70</v>
      </c>
      <c r="J5" s="19">
        <v>45952.0</v>
      </c>
      <c r="K5" s="15" t="s">
        <v>71</v>
      </c>
      <c r="M5" s="16" t="s">
        <v>72</v>
      </c>
      <c r="N5" s="17" t="s">
        <v>73</v>
      </c>
      <c r="O5" s="17" t="s">
        <v>74</v>
      </c>
      <c r="P5" s="17" t="s">
        <v>75</v>
      </c>
      <c r="S5" s="18" t="s">
        <v>76</v>
      </c>
    </row>
    <row r="6">
      <c r="A6" s="11"/>
      <c r="B6" s="12" t="s">
        <v>43</v>
      </c>
      <c r="C6" s="12" t="s">
        <v>65</v>
      </c>
      <c r="D6" s="12" t="s">
        <v>43</v>
      </c>
      <c r="E6" s="12" t="s">
        <v>66</v>
      </c>
      <c r="F6" s="13" t="s">
        <v>67</v>
      </c>
      <c r="G6" s="12" t="s">
        <v>68</v>
      </c>
      <c r="H6" s="12" t="s">
        <v>69</v>
      </c>
      <c r="I6" s="12" t="s">
        <v>70</v>
      </c>
      <c r="J6" s="14">
        <v>45917.0</v>
      </c>
      <c r="K6" s="15" t="s">
        <v>77</v>
      </c>
      <c r="M6" s="16" t="s">
        <v>78</v>
      </c>
      <c r="N6" s="17" t="s">
        <v>73</v>
      </c>
      <c r="O6" s="17" t="s">
        <v>74</v>
      </c>
      <c r="P6" s="17" t="s">
        <v>79</v>
      </c>
      <c r="S6" s="18" t="s">
        <v>76</v>
      </c>
    </row>
    <row r="7">
      <c r="A7" s="11"/>
      <c r="B7" s="12" t="s">
        <v>43</v>
      </c>
      <c r="C7" s="12" t="s">
        <v>65</v>
      </c>
      <c r="D7" s="12" t="s">
        <v>43</v>
      </c>
      <c r="E7" s="12" t="s">
        <v>66</v>
      </c>
      <c r="F7" s="13" t="s">
        <v>67</v>
      </c>
      <c r="G7" s="12" t="s">
        <v>68</v>
      </c>
      <c r="H7" s="12" t="s">
        <v>69</v>
      </c>
      <c r="I7" s="12" t="s">
        <v>70</v>
      </c>
      <c r="J7" s="14">
        <v>45932.0</v>
      </c>
      <c r="K7" s="15" t="s">
        <v>77</v>
      </c>
      <c r="M7" s="16" t="s">
        <v>78</v>
      </c>
      <c r="N7" s="17" t="s">
        <v>73</v>
      </c>
      <c r="O7" s="17" t="s">
        <v>74</v>
      </c>
      <c r="P7" s="17" t="s">
        <v>79</v>
      </c>
      <c r="S7" s="18" t="s">
        <v>76</v>
      </c>
    </row>
    <row r="8">
      <c r="A8" s="11"/>
      <c r="B8" s="12" t="s">
        <v>43</v>
      </c>
      <c r="C8" s="12" t="s">
        <v>65</v>
      </c>
      <c r="D8" s="12" t="s">
        <v>43</v>
      </c>
      <c r="E8" s="12" t="s">
        <v>66</v>
      </c>
      <c r="F8" s="13" t="s">
        <v>67</v>
      </c>
      <c r="G8" s="12" t="s">
        <v>68</v>
      </c>
      <c r="H8" s="12" t="s">
        <v>69</v>
      </c>
      <c r="I8" s="12" t="s">
        <v>70</v>
      </c>
      <c r="J8" s="14">
        <v>45903.0</v>
      </c>
      <c r="K8" s="15" t="s">
        <v>80</v>
      </c>
      <c r="M8" s="16" t="s">
        <v>81</v>
      </c>
      <c r="N8" s="17" t="s">
        <v>73</v>
      </c>
      <c r="O8" s="17" t="s">
        <v>74</v>
      </c>
      <c r="P8" s="17" t="s">
        <v>82</v>
      </c>
      <c r="S8" s="18" t="s">
        <v>76</v>
      </c>
    </row>
    <row r="9">
      <c r="A9" s="11"/>
      <c r="B9" s="12" t="s">
        <v>34</v>
      </c>
      <c r="C9" s="12" t="s">
        <v>65</v>
      </c>
      <c r="D9" s="12" t="s">
        <v>83</v>
      </c>
      <c r="E9" s="12" t="s">
        <v>84</v>
      </c>
      <c r="F9" s="13" t="s">
        <v>85</v>
      </c>
      <c r="G9" s="12" t="s">
        <v>86</v>
      </c>
      <c r="H9" s="12" t="s">
        <v>87</v>
      </c>
      <c r="I9" s="12"/>
      <c r="J9" s="20">
        <v>45916.0</v>
      </c>
      <c r="K9" s="17" t="s">
        <v>88</v>
      </c>
      <c r="M9" s="21" t="s">
        <v>89</v>
      </c>
      <c r="N9" s="2"/>
      <c r="O9" s="17" t="s">
        <v>90</v>
      </c>
      <c r="P9" s="17" t="s">
        <v>91</v>
      </c>
      <c r="Q9" s="17">
        <v>20.0</v>
      </c>
      <c r="S9" s="18" t="s">
        <v>92</v>
      </c>
    </row>
    <row r="10">
      <c r="A10" s="11"/>
      <c r="B10" s="12" t="s">
        <v>34</v>
      </c>
      <c r="C10" s="12" t="s">
        <v>65</v>
      </c>
      <c r="D10" s="12" t="s">
        <v>83</v>
      </c>
      <c r="E10" s="12" t="s">
        <v>84</v>
      </c>
      <c r="F10" s="13" t="s">
        <v>85</v>
      </c>
      <c r="G10" s="12" t="s">
        <v>86</v>
      </c>
      <c r="H10" s="12" t="s">
        <v>87</v>
      </c>
      <c r="I10" s="12"/>
      <c r="J10" s="20">
        <v>45916.0</v>
      </c>
      <c r="K10" s="17" t="s">
        <v>93</v>
      </c>
      <c r="L10" s="17">
        <v>7.2109011E7</v>
      </c>
      <c r="M10" s="17" t="s">
        <v>94</v>
      </c>
      <c r="N10" s="2"/>
      <c r="O10" s="17" t="s">
        <v>90</v>
      </c>
      <c r="P10" s="17" t="s">
        <v>95</v>
      </c>
      <c r="Q10" s="17">
        <v>20.0</v>
      </c>
      <c r="S10" s="18" t="s">
        <v>92</v>
      </c>
    </row>
    <row r="11">
      <c r="A11" s="11"/>
      <c r="B11" s="12" t="s">
        <v>34</v>
      </c>
      <c r="C11" s="12" t="s">
        <v>65</v>
      </c>
      <c r="D11" s="12" t="s">
        <v>83</v>
      </c>
      <c r="E11" s="12" t="s">
        <v>84</v>
      </c>
      <c r="F11" s="13" t="s">
        <v>85</v>
      </c>
      <c r="G11" s="12" t="s">
        <v>86</v>
      </c>
      <c r="H11" s="12" t="s">
        <v>87</v>
      </c>
      <c r="I11" s="12"/>
      <c r="J11" s="20">
        <v>45916.0</v>
      </c>
      <c r="K11" s="17" t="s">
        <v>96</v>
      </c>
      <c r="M11" s="17" t="s">
        <v>97</v>
      </c>
      <c r="N11" s="2"/>
      <c r="O11" s="17" t="s">
        <v>90</v>
      </c>
      <c r="P11" s="17" t="s">
        <v>98</v>
      </c>
      <c r="Q11" s="17">
        <v>20.0</v>
      </c>
      <c r="S11" s="18" t="s">
        <v>92</v>
      </c>
    </row>
    <row r="12">
      <c r="A12" s="11"/>
      <c r="B12" s="12" t="s">
        <v>34</v>
      </c>
      <c r="C12" s="12" t="s">
        <v>65</v>
      </c>
      <c r="D12" s="12" t="s">
        <v>83</v>
      </c>
      <c r="E12" s="12" t="s">
        <v>84</v>
      </c>
      <c r="F12" s="13" t="s">
        <v>85</v>
      </c>
      <c r="G12" s="12" t="s">
        <v>86</v>
      </c>
      <c r="H12" s="12" t="s">
        <v>87</v>
      </c>
      <c r="I12" s="12"/>
      <c r="J12" s="20">
        <v>45916.0</v>
      </c>
      <c r="K12" s="17" t="s">
        <v>99</v>
      </c>
      <c r="L12" s="17">
        <v>1.0138468E7</v>
      </c>
      <c r="M12" s="17" t="s">
        <v>100</v>
      </c>
      <c r="N12" s="2"/>
      <c r="O12" s="17" t="s">
        <v>90</v>
      </c>
      <c r="P12" s="17" t="s">
        <v>101</v>
      </c>
      <c r="Q12" s="17">
        <v>20.0</v>
      </c>
      <c r="S12" s="18" t="s">
        <v>92</v>
      </c>
    </row>
    <row r="13">
      <c r="A13" s="11"/>
      <c r="B13" s="12" t="s">
        <v>34</v>
      </c>
      <c r="C13" s="12" t="s">
        <v>65</v>
      </c>
      <c r="D13" s="12" t="s">
        <v>83</v>
      </c>
      <c r="E13" s="12" t="s">
        <v>84</v>
      </c>
      <c r="F13" s="13" t="s">
        <v>85</v>
      </c>
      <c r="G13" s="12" t="s">
        <v>86</v>
      </c>
      <c r="H13" s="12" t="s">
        <v>87</v>
      </c>
      <c r="I13" s="12"/>
      <c r="J13" s="20">
        <v>45938.0</v>
      </c>
      <c r="K13" s="17" t="s">
        <v>88</v>
      </c>
      <c r="M13" s="21" t="s">
        <v>89</v>
      </c>
      <c r="N13" s="2"/>
      <c r="O13" s="17" t="s">
        <v>90</v>
      </c>
      <c r="P13" s="17" t="s">
        <v>91</v>
      </c>
      <c r="Q13" s="17">
        <v>50.0</v>
      </c>
      <c r="S13" s="18" t="s">
        <v>92</v>
      </c>
    </row>
    <row r="14">
      <c r="A14" s="11"/>
      <c r="B14" s="12" t="s">
        <v>34</v>
      </c>
      <c r="C14" s="12" t="s">
        <v>65</v>
      </c>
      <c r="D14" s="12" t="s">
        <v>83</v>
      </c>
      <c r="E14" s="12" t="s">
        <v>84</v>
      </c>
      <c r="F14" s="13" t="s">
        <v>85</v>
      </c>
      <c r="G14" s="12" t="s">
        <v>86</v>
      </c>
      <c r="H14" s="12" t="s">
        <v>87</v>
      </c>
      <c r="I14" s="12"/>
      <c r="J14" s="20">
        <v>45938.0</v>
      </c>
      <c r="K14" s="17" t="s">
        <v>93</v>
      </c>
      <c r="L14" s="17">
        <v>7.2109011E7</v>
      </c>
      <c r="M14" s="17" t="s">
        <v>94</v>
      </c>
      <c r="N14" s="2"/>
      <c r="O14" s="17" t="s">
        <v>90</v>
      </c>
      <c r="P14" s="17" t="s">
        <v>95</v>
      </c>
      <c r="Q14" s="17">
        <v>50.0</v>
      </c>
      <c r="S14" s="18" t="s">
        <v>92</v>
      </c>
    </row>
    <row r="15">
      <c r="A15" s="11"/>
      <c r="B15" s="12" t="s">
        <v>34</v>
      </c>
      <c r="C15" s="12" t="s">
        <v>65</v>
      </c>
      <c r="D15" s="12" t="s">
        <v>83</v>
      </c>
      <c r="E15" s="12" t="s">
        <v>84</v>
      </c>
      <c r="F15" s="13" t="s">
        <v>85</v>
      </c>
      <c r="G15" s="12" t="s">
        <v>86</v>
      </c>
      <c r="H15" s="12" t="s">
        <v>87</v>
      </c>
      <c r="I15" s="12"/>
      <c r="J15" s="20">
        <v>45938.0</v>
      </c>
      <c r="K15" s="17" t="s">
        <v>96</v>
      </c>
      <c r="M15" s="17" t="s">
        <v>97</v>
      </c>
      <c r="N15" s="2"/>
      <c r="O15" s="17" t="s">
        <v>90</v>
      </c>
      <c r="P15" s="17" t="s">
        <v>98</v>
      </c>
      <c r="Q15" s="17">
        <v>50.0</v>
      </c>
      <c r="S15" s="18" t="s">
        <v>92</v>
      </c>
    </row>
    <row r="16">
      <c r="A16" s="11"/>
      <c r="B16" s="12" t="s">
        <v>34</v>
      </c>
      <c r="C16" s="12" t="s">
        <v>65</v>
      </c>
      <c r="D16" s="12" t="s">
        <v>83</v>
      </c>
      <c r="E16" s="12" t="s">
        <v>84</v>
      </c>
      <c r="F16" s="13" t="s">
        <v>85</v>
      </c>
      <c r="G16" s="12" t="s">
        <v>86</v>
      </c>
      <c r="H16" s="12" t="s">
        <v>87</v>
      </c>
      <c r="I16" s="12"/>
      <c r="J16" s="20">
        <v>45938.0</v>
      </c>
      <c r="K16" s="17" t="s">
        <v>99</v>
      </c>
      <c r="L16" s="17">
        <v>1.0138468E7</v>
      </c>
      <c r="M16" s="17" t="s">
        <v>100</v>
      </c>
      <c r="N16" s="2"/>
      <c r="O16" s="17" t="s">
        <v>90</v>
      </c>
      <c r="P16" s="17" t="s">
        <v>101</v>
      </c>
      <c r="Q16" s="17">
        <v>50.0</v>
      </c>
      <c r="S16" s="18" t="s">
        <v>92</v>
      </c>
    </row>
    <row r="17">
      <c r="A17" s="11"/>
      <c r="B17" s="12" t="s">
        <v>34</v>
      </c>
      <c r="C17" s="12" t="s">
        <v>65</v>
      </c>
      <c r="D17" s="12" t="s">
        <v>83</v>
      </c>
      <c r="E17" s="12" t="s">
        <v>84</v>
      </c>
      <c r="F17" s="13" t="s">
        <v>85</v>
      </c>
      <c r="G17" s="12" t="s">
        <v>86</v>
      </c>
      <c r="H17" s="12" t="s">
        <v>87</v>
      </c>
      <c r="I17" s="12"/>
      <c r="J17" s="20">
        <v>45961.0</v>
      </c>
      <c r="K17" s="17" t="s">
        <v>88</v>
      </c>
      <c r="M17" s="21" t="s">
        <v>89</v>
      </c>
      <c r="N17" s="2"/>
      <c r="O17" s="17" t="s">
        <v>90</v>
      </c>
      <c r="P17" s="17" t="s">
        <v>91</v>
      </c>
      <c r="Q17" s="17">
        <v>80.0</v>
      </c>
      <c r="S17" s="18" t="s">
        <v>92</v>
      </c>
    </row>
    <row r="18">
      <c r="A18" s="11"/>
      <c r="B18" s="12" t="s">
        <v>34</v>
      </c>
      <c r="C18" s="12" t="s">
        <v>65</v>
      </c>
      <c r="D18" s="12" t="s">
        <v>83</v>
      </c>
      <c r="E18" s="12" t="s">
        <v>84</v>
      </c>
      <c r="F18" s="13" t="s">
        <v>85</v>
      </c>
      <c r="G18" s="12" t="s">
        <v>86</v>
      </c>
      <c r="H18" s="12" t="s">
        <v>87</v>
      </c>
      <c r="I18" s="12"/>
      <c r="J18" s="20">
        <v>45961.0</v>
      </c>
      <c r="K18" s="17" t="s">
        <v>93</v>
      </c>
      <c r="L18" s="17">
        <v>7.2109011E7</v>
      </c>
      <c r="M18" s="17" t="s">
        <v>94</v>
      </c>
      <c r="N18" s="2"/>
      <c r="O18" s="17" t="s">
        <v>90</v>
      </c>
      <c r="P18" s="17" t="s">
        <v>95</v>
      </c>
      <c r="Q18" s="17">
        <v>80.0</v>
      </c>
      <c r="S18" s="18" t="s">
        <v>92</v>
      </c>
    </row>
    <row r="19">
      <c r="A19" s="11"/>
      <c r="B19" s="12" t="s">
        <v>34</v>
      </c>
      <c r="C19" s="12" t="s">
        <v>65</v>
      </c>
      <c r="D19" s="12" t="s">
        <v>83</v>
      </c>
      <c r="E19" s="12" t="s">
        <v>84</v>
      </c>
      <c r="F19" s="13" t="s">
        <v>85</v>
      </c>
      <c r="G19" s="12" t="s">
        <v>86</v>
      </c>
      <c r="H19" s="12" t="s">
        <v>87</v>
      </c>
      <c r="I19" s="12"/>
      <c r="J19" s="20">
        <v>45961.0</v>
      </c>
      <c r="K19" s="17" t="s">
        <v>96</v>
      </c>
      <c r="M19" s="17" t="s">
        <v>97</v>
      </c>
      <c r="N19" s="2"/>
      <c r="O19" s="17" t="s">
        <v>90</v>
      </c>
      <c r="P19" s="17" t="s">
        <v>98</v>
      </c>
      <c r="Q19" s="17">
        <v>80.0</v>
      </c>
      <c r="S19" s="18" t="s">
        <v>92</v>
      </c>
    </row>
    <row r="20">
      <c r="A20" s="11"/>
      <c r="B20" s="12" t="s">
        <v>34</v>
      </c>
      <c r="C20" s="12" t="s">
        <v>65</v>
      </c>
      <c r="D20" s="12" t="s">
        <v>83</v>
      </c>
      <c r="E20" s="12" t="s">
        <v>84</v>
      </c>
      <c r="F20" s="13" t="s">
        <v>85</v>
      </c>
      <c r="G20" s="12" t="s">
        <v>86</v>
      </c>
      <c r="H20" s="12" t="s">
        <v>87</v>
      </c>
      <c r="I20" s="12"/>
      <c r="J20" s="20">
        <v>45961.0</v>
      </c>
      <c r="K20" s="17" t="s">
        <v>99</v>
      </c>
      <c r="L20" s="17">
        <v>1.0138468E7</v>
      </c>
      <c r="M20" s="17" t="s">
        <v>100</v>
      </c>
      <c r="N20" s="2"/>
      <c r="O20" s="17" t="s">
        <v>90</v>
      </c>
      <c r="P20" s="17" t="s">
        <v>101</v>
      </c>
      <c r="Q20" s="17">
        <v>80.0</v>
      </c>
      <c r="S20" s="18" t="s">
        <v>92</v>
      </c>
    </row>
    <row r="21">
      <c r="A21" s="11"/>
      <c r="B21" s="12" t="s">
        <v>34</v>
      </c>
      <c r="C21" s="12" t="s">
        <v>65</v>
      </c>
      <c r="D21" s="12" t="s">
        <v>83</v>
      </c>
      <c r="E21" s="12" t="s">
        <v>84</v>
      </c>
      <c r="F21" s="13" t="s">
        <v>85</v>
      </c>
      <c r="G21" s="12" t="s">
        <v>86</v>
      </c>
      <c r="H21" s="12" t="s">
        <v>87</v>
      </c>
      <c r="I21" s="12"/>
      <c r="J21" s="20">
        <v>45966.0</v>
      </c>
      <c r="K21" s="17" t="s">
        <v>88</v>
      </c>
      <c r="M21" s="21" t="s">
        <v>89</v>
      </c>
      <c r="N21" s="2"/>
      <c r="O21" s="17" t="s">
        <v>90</v>
      </c>
      <c r="P21" s="17" t="s">
        <v>91</v>
      </c>
      <c r="Q21" s="17">
        <v>100.0</v>
      </c>
      <c r="S21" s="18" t="s">
        <v>92</v>
      </c>
    </row>
    <row r="22">
      <c r="A22" s="11"/>
      <c r="B22" s="12" t="s">
        <v>34</v>
      </c>
      <c r="C22" s="12" t="s">
        <v>65</v>
      </c>
      <c r="D22" s="12" t="s">
        <v>83</v>
      </c>
      <c r="E22" s="12" t="s">
        <v>84</v>
      </c>
      <c r="F22" s="13" t="s">
        <v>85</v>
      </c>
      <c r="G22" s="12" t="s">
        <v>86</v>
      </c>
      <c r="H22" s="12" t="s">
        <v>87</v>
      </c>
      <c r="I22" s="12"/>
      <c r="J22" s="20">
        <v>45966.0</v>
      </c>
      <c r="K22" s="17" t="s">
        <v>93</v>
      </c>
      <c r="L22" s="17">
        <v>7.2109011E7</v>
      </c>
      <c r="M22" s="17" t="s">
        <v>94</v>
      </c>
      <c r="N22" s="2"/>
      <c r="O22" s="17" t="s">
        <v>90</v>
      </c>
      <c r="P22" s="17" t="s">
        <v>95</v>
      </c>
      <c r="Q22" s="17">
        <v>100.0</v>
      </c>
      <c r="S22" s="18" t="s">
        <v>92</v>
      </c>
    </row>
    <row r="23">
      <c r="A23" s="11"/>
      <c r="B23" s="12" t="s">
        <v>34</v>
      </c>
      <c r="C23" s="12" t="s">
        <v>65</v>
      </c>
      <c r="D23" s="12" t="s">
        <v>83</v>
      </c>
      <c r="E23" s="12" t="s">
        <v>84</v>
      </c>
      <c r="F23" s="13" t="s">
        <v>85</v>
      </c>
      <c r="G23" s="12" t="s">
        <v>86</v>
      </c>
      <c r="H23" s="12" t="s">
        <v>87</v>
      </c>
      <c r="I23" s="12"/>
      <c r="J23" s="20">
        <v>45966.0</v>
      </c>
      <c r="K23" s="17" t="s">
        <v>96</v>
      </c>
      <c r="M23" s="17" t="s">
        <v>97</v>
      </c>
      <c r="N23" s="2"/>
      <c r="O23" s="17" t="s">
        <v>90</v>
      </c>
      <c r="P23" s="17" t="s">
        <v>98</v>
      </c>
      <c r="Q23" s="17">
        <v>100.0</v>
      </c>
      <c r="S23" s="18" t="s">
        <v>92</v>
      </c>
    </row>
    <row r="24">
      <c r="A24" s="11"/>
      <c r="B24" s="12" t="s">
        <v>34</v>
      </c>
      <c r="C24" s="12" t="s">
        <v>65</v>
      </c>
      <c r="D24" s="12" t="s">
        <v>83</v>
      </c>
      <c r="E24" s="12" t="s">
        <v>84</v>
      </c>
      <c r="F24" s="13" t="s">
        <v>85</v>
      </c>
      <c r="G24" s="12" t="s">
        <v>86</v>
      </c>
      <c r="H24" s="12" t="s">
        <v>87</v>
      </c>
      <c r="I24" s="12"/>
      <c r="J24" s="20">
        <v>45966.0</v>
      </c>
      <c r="K24" s="17" t="s">
        <v>99</v>
      </c>
      <c r="L24" s="17">
        <v>1.0138468E7</v>
      </c>
      <c r="M24" s="17" t="s">
        <v>100</v>
      </c>
      <c r="N24" s="2"/>
      <c r="O24" s="17" t="s">
        <v>90</v>
      </c>
      <c r="P24" s="17" t="s">
        <v>101</v>
      </c>
      <c r="Q24" s="17">
        <v>100.0</v>
      </c>
      <c r="S24" s="18" t="s">
        <v>92</v>
      </c>
    </row>
    <row r="25">
      <c r="A25" s="11"/>
      <c r="B25" s="12" t="s">
        <v>34</v>
      </c>
      <c r="C25" s="12" t="s">
        <v>65</v>
      </c>
      <c r="D25" s="12" t="s">
        <v>102</v>
      </c>
      <c r="E25" s="12" t="s">
        <v>103</v>
      </c>
      <c r="F25" s="13" t="s">
        <v>104</v>
      </c>
      <c r="G25" s="12" t="s">
        <v>68</v>
      </c>
      <c r="H25" s="12" t="s">
        <v>105</v>
      </c>
      <c r="I25" s="12" t="s">
        <v>106</v>
      </c>
      <c r="J25" s="20">
        <v>45895.0</v>
      </c>
      <c r="K25" s="17" t="s">
        <v>107</v>
      </c>
      <c r="L25" s="17">
        <v>7.1935349E7</v>
      </c>
      <c r="M25" s="17" t="s">
        <v>107</v>
      </c>
      <c r="N25" s="17" t="s">
        <v>108</v>
      </c>
      <c r="O25" s="17" t="s">
        <v>109</v>
      </c>
      <c r="P25" s="17" t="s">
        <v>110</v>
      </c>
      <c r="Q25" s="17">
        <v>20.0</v>
      </c>
      <c r="S25" s="18" t="s">
        <v>92</v>
      </c>
    </row>
    <row r="26">
      <c r="A26" s="11"/>
      <c r="B26" s="12" t="s">
        <v>34</v>
      </c>
      <c r="C26" s="12" t="s">
        <v>65</v>
      </c>
      <c r="D26" s="12" t="s">
        <v>102</v>
      </c>
      <c r="E26" s="12" t="s">
        <v>103</v>
      </c>
      <c r="F26" s="13" t="s">
        <v>104</v>
      </c>
      <c r="G26" s="12" t="s">
        <v>68</v>
      </c>
      <c r="H26" s="12" t="s">
        <v>105</v>
      </c>
      <c r="I26" s="12" t="s">
        <v>106</v>
      </c>
      <c r="J26" s="20">
        <v>45895.0</v>
      </c>
      <c r="K26" s="17" t="s">
        <v>107</v>
      </c>
      <c r="L26" s="17">
        <v>7.1935349E7</v>
      </c>
      <c r="M26" s="17" t="s">
        <v>111</v>
      </c>
      <c r="N26" s="17" t="s">
        <v>112</v>
      </c>
      <c r="O26" s="17" t="s">
        <v>113</v>
      </c>
      <c r="P26" s="17" t="s">
        <v>114</v>
      </c>
      <c r="Q26" s="17">
        <v>20.0</v>
      </c>
      <c r="S26" s="18" t="s">
        <v>92</v>
      </c>
    </row>
    <row r="27">
      <c r="A27" s="11"/>
      <c r="B27" s="12" t="s">
        <v>34</v>
      </c>
      <c r="C27" s="12" t="s">
        <v>65</v>
      </c>
      <c r="D27" s="12" t="s">
        <v>102</v>
      </c>
      <c r="E27" s="12" t="s">
        <v>103</v>
      </c>
      <c r="F27" s="13" t="s">
        <v>104</v>
      </c>
      <c r="G27" s="12" t="s">
        <v>68</v>
      </c>
      <c r="H27" s="12" t="s">
        <v>105</v>
      </c>
      <c r="I27" s="12" t="s">
        <v>106</v>
      </c>
      <c r="J27" s="20">
        <v>45895.0</v>
      </c>
      <c r="K27" s="17" t="s">
        <v>115</v>
      </c>
      <c r="M27" s="17" t="s">
        <v>116</v>
      </c>
      <c r="N27" s="17" t="s">
        <v>112</v>
      </c>
      <c r="O27" s="17" t="s">
        <v>113</v>
      </c>
      <c r="P27" s="17" t="s">
        <v>117</v>
      </c>
      <c r="Q27" s="17">
        <v>20.0</v>
      </c>
      <c r="S27" s="18" t="s">
        <v>92</v>
      </c>
    </row>
    <row r="28">
      <c r="A28" s="11"/>
      <c r="B28" s="12" t="s">
        <v>34</v>
      </c>
      <c r="C28" s="12" t="s">
        <v>65</v>
      </c>
      <c r="D28" s="12" t="s">
        <v>102</v>
      </c>
      <c r="E28" s="12" t="s">
        <v>103</v>
      </c>
      <c r="F28" s="13" t="s">
        <v>104</v>
      </c>
      <c r="G28" s="12" t="s">
        <v>68</v>
      </c>
      <c r="H28" s="12" t="s">
        <v>105</v>
      </c>
      <c r="I28" s="12" t="s">
        <v>106</v>
      </c>
      <c r="J28" s="20">
        <v>45910.0</v>
      </c>
      <c r="K28" s="17" t="s">
        <v>107</v>
      </c>
      <c r="L28" s="17">
        <v>7.1935349E7</v>
      </c>
      <c r="M28" s="17" t="s">
        <v>107</v>
      </c>
      <c r="N28" s="17" t="s">
        <v>108</v>
      </c>
      <c r="O28" s="17" t="s">
        <v>109</v>
      </c>
      <c r="P28" s="17" t="s">
        <v>118</v>
      </c>
      <c r="Q28" s="17">
        <v>50.0</v>
      </c>
      <c r="S28" s="18" t="s">
        <v>92</v>
      </c>
    </row>
    <row r="29">
      <c r="A29" s="11"/>
      <c r="B29" s="12" t="s">
        <v>34</v>
      </c>
      <c r="C29" s="12" t="s">
        <v>65</v>
      </c>
      <c r="D29" s="12" t="s">
        <v>102</v>
      </c>
      <c r="E29" s="12" t="s">
        <v>103</v>
      </c>
      <c r="F29" s="13" t="s">
        <v>104</v>
      </c>
      <c r="G29" s="12" t="s">
        <v>68</v>
      </c>
      <c r="H29" s="12" t="s">
        <v>105</v>
      </c>
      <c r="I29" s="12" t="s">
        <v>106</v>
      </c>
      <c r="J29" s="20">
        <v>45910.0</v>
      </c>
      <c r="K29" s="17" t="s">
        <v>107</v>
      </c>
      <c r="L29" s="17">
        <v>7.1935349E7</v>
      </c>
      <c r="M29" s="17" t="s">
        <v>111</v>
      </c>
      <c r="N29" s="17" t="s">
        <v>112</v>
      </c>
      <c r="O29" s="17" t="s">
        <v>113</v>
      </c>
      <c r="P29" s="17" t="s">
        <v>119</v>
      </c>
      <c r="Q29" s="17">
        <v>50.0</v>
      </c>
      <c r="S29" s="18" t="s">
        <v>92</v>
      </c>
    </row>
    <row r="30">
      <c r="A30" s="11"/>
      <c r="B30" s="12" t="s">
        <v>34</v>
      </c>
      <c r="C30" s="12" t="s">
        <v>65</v>
      </c>
      <c r="D30" s="12" t="s">
        <v>102</v>
      </c>
      <c r="E30" s="12" t="s">
        <v>103</v>
      </c>
      <c r="F30" s="13" t="s">
        <v>104</v>
      </c>
      <c r="G30" s="12" t="s">
        <v>68</v>
      </c>
      <c r="H30" s="12" t="s">
        <v>105</v>
      </c>
      <c r="I30" s="12" t="s">
        <v>106</v>
      </c>
      <c r="J30" s="19">
        <v>45938.0</v>
      </c>
      <c r="K30" s="17" t="s">
        <v>107</v>
      </c>
      <c r="L30" s="17">
        <v>7.1935349E7</v>
      </c>
      <c r="M30" s="17" t="s">
        <v>107</v>
      </c>
      <c r="N30" s="17" t="s">
        <v>108</v>
      </c>
      <c r="O30" s="17" t="s">
        <v>109</v>
      </c>
      <c r="P30" s="17" t="s">
        <v>118</v>
      </c>
      <c r="Q30" s="17">
        <v>80.0</v>
      </c>
      <c r="S30" s="18" t="s">
        <v>92</v>
      </c>
    </row>
    <row r="31">
      <c r="A31" s="11"/>
      <c r="B31" s="12" t="s">
        <v>34</v>
      </c>
      <c r="C31" s="12" t="s">
        <v>65</v>
      </c>
      <c r="D31" s="12" t="s">
        <v>102</v>
      </c>
      <c r="E31" s="12" t="s">
        <v>103</v>
      </c>
      <c r="F31" s="13" t="s">
        <v>104</v>
      </c>
      <c r="G31" s="12" t="s">
        <v>68</v>
      </c>
      <c r="H31" s="12" t="s">
        <v>105</v>
      </c>
      <c r="I31" s="12" t="s">
        <v>106</v>
      </c>
      <c r="J31" s="19">
        <v>45938.0</v>
      </c>
      <c r="K31" s="17" t="s">
        <v>107</v>
      </c>
      <c r="L31" s="17">
        <v>7.1935349E7</v>
      </c>
      <c r="M31" s="17" t="s">
        <v>111</v>
      </c>
      <c r="N31" s="17" t="s">
        <v>112</v>
      </c>
      <c r="O31" s="17" t="s">
        <v>113</v>
      </c>
      <c r="P31" s="17" t="s">
        <v>119</v>
      </c>
      <c r="Q31" s="17">
        <v>80.0</v>
      </c>
      <c r="S31" s="18" t="s">
        <v>92</v>
      </c>
    </row>
    <row r="32">
      <c r="A32" s="11"/>
      <c r="B32" s="12" t="s">
        <v>34</v>
      </c>
      <c r="C32" s="12" t="s">
        <v>65</v>
      </c>
      <c r="D32" s="12" t="s">
        <v>102</v>
      </c>
      <c r="E32" s="12" t="s">
        <v>103</v>
      </c>
      <c r="F32" s="13" t="s">
        <v>104</v>
      </c>
      <c r="G32" s="12" t="s">
        <v>68</v>
      </c>
      <c r="H32" s="12" t="s">
        <v>105</v>
      </c>
      <c r="I32" s="12" t="s">
        <v>106</v>
      </c>
      <c r="J32" s="19">
        <v>45959.0</v>
      </c>
      <c r="K32" s="17" t="s">
        <v>107</v>
      </c>
      <c r="L32" s="17">
        <v>7.1935349E7</v>
      </c>
      <c r="M32" s="17" t="s">
        <v>107</v>
      </c>
      <c r="N32" s="17" t="s">
        <v>108</v>
      </c>
      <c r="O32" s="17" t="s">
        <v>109</v>
      </c>
      <c r="P32" s="17" t="s">
        <v>118</v>
      </c>
      <c r="Q32" s="17">
        <v>100.0</v>
      </c>
      <c r="S32" s="18" t="s">
        <v>92</v>
      </c>
    </row>
    <row r="33">
      <c r="A33" s="11"/>
      <c r="B33" s="12" t="s">
        <v>34</v>
      </c>
      <c r="C33" s="12" t="s">
        <v>65</v>
      </c>
      <c r="D33" s="12" t="s">
        <v>83</v>
      </c>
      <c r="E33" s="12" t="s">
        <v>120</v>
      </c>
      <c r="F33" s="13" t="s">
        <v>121</v>
      </c>
      <c r="G33" s="12" t="s">
        <v>68</v>
      </c>
      <c r="H33" s="12" t="s">
        <v>122</v>
      </c>
      <c r="I33" s="12" t="s">
        <v>123</v>
      </c>
      <c r="J33" s="20">
        <v>45937.0</v>
      </c>
      <c r="K33" s="17" t="s">
        <v>124</v>
      </c>
      <c r="L33" s="17">
        <v>7.6366959E7</v>
      </c>
      <c r="M33" s="17" t="s">
        <v>125</v>
      </c>
      <c r="N33" s="2"/>
      <c r="O33" s="17" t="s">
        <v>90</v>
      </c>
      <c r="P33" s="17" t="s">
        <v>126</v>
      </c>
      <c r="Q33" s="17">
        <v>20.0</v>
      </c>
      <c r="S33" s="18" t="s">
        <v>92</v>
      </c>
    </row>
    <row r="34">
      <c r="A34" s="11"/>
      <c r="B34" s="12" t="s">
        <v>34</v>
      </c>
      <c r="C34" s="12" t="s">
        <v>65</v>
      </c>
      <c r="D34" s="12" t="s">
        <v>83</v>
      </c>
      <c r="E34" s="12" t="s">
        <v>120</v>
      </c>
      <c r="F34" s="13" t="s">
        <v>121</v>
      </c>
      <c r="G34" s="12" t="s">
        <v>68</v>
      </c>
      <c r="H34" s="12" t="s">
        <v>122</v>
      </c>
      <c r="I34" s="12" t="s">
        <v>123</v>
      </c>
      <c r="J34" s="20">
        <v>45937.0</v>
      </c>
      <c r="K34" s="17" t="s">
        <v>127</v>
      </c>
      <c r="L34" s="17">
        <v>7.2118797E7</v>
      </c>
      <c r="M34" s="17" t="s">
        <v>128</v>
      </c>
      <c r="N34" s="2"/>
      <c r="O34" s="17" t="s">
        <v>90</v>
      </c>
      <c r="P34" s="17" t="s">
        <v>129</v>
      </c>
      <c r="Q34" s="17">
        <v>20.0</v>
      </c>
      <c r="S34" s="18" t="s">
        <v>92</v>
      </c>
    </row>
    <row r="35">
      <c r="A35" s="11"/>
      <c r="B35" s="12" t="s">
        <v>34</v>
      </c>
      <c r="C35" s="12" t="s">
        <v>65</v>
      </c>
      <c r="D35" s="12" t="s">
        <v>83</v>
      </c>
      <c r="E35" s="12" t="s">
        <v>120</v>
      </c>
      <c r="F35" s="13" t="s">
        <v>121</v>
      </c>
      <c r="G35" s="12" t="s">
        <v>68</v>
      </c>
      <c r="H35" s="12" t="s">
        <v>122</v>
      </c>
      <c r="I35" s="12" t="s">
        <v>123</v>
      </c>
      <c r="J35" s="20">
        <v>45937.0</v>
      </c>
      <c r="K35" s="17" t="s">
        <v>130</v>
      </c>
      <c r="L35" s="17">
        <v>4.6514681E7</v>
      </c>
      <c r="M35" s="17" t="s">
        <v>131</v>
      </c>
      <c r="N35" s="2"/>
      <c r="O35" s="17" t="s">
        <v>90</v>
      </c>
      <c r="P35" s="17" t="s">
        <v>132</v>
      </c>
      <c r="Q35" s="17">
        <v>20.0</v>
      </c>
      <c r="S35" s="18" t="s">
        <v>92</v>
      </c>
    </row>
    <row r="36">
      <c r="A36" s="11"/>
      <c r="B36" s="12" t="s">
        <v>34</v>
      </c>
      <c r="C36" s="12" t="s">
        <v>65</v>
      </c>
      <c r="D36" s="12" t="s">
        <v>83</v>
      </c>
      <c r="E36" s="12" t="s">
        <v>120</v>
      </c>
      <c r="F36" s="13" t="s">
        <v>121</v>
      </c>
      <c r="G36" s="12" t="s">
        <v>68</v>
      </c>
      <c r="H36" s="12" t="s">
        <v>122</v>
      </c>
      <c r="I36" s="12" t="s">
        <v>123</v>
      </c>
      <c r="J36" s="20">
        <v>45937.0</v>
      </c>
      <c r="K36" s="17" t="s">
        <v>133</v>
      </c>
      <c r="L36" s="17">
        <v>4.7151224E7</v>
      </c>
      <c r="M36" s="17" t="s">
        <v>134</v>
      </c>
      <c r="N36" s="2"/>
      <c r="O36" s="17" t="s">
        <v>90</v>
      </c>
      <c r="P36" s="17" t="s">
        <v>135</v>
      </c>
      <c r="Q36" s="17">
        <v>20.0</v>
      </c>
      <c r="S36" s="18" t="s">
        <v>92</v>
      </c>
    </row>
    <row r="37">
      <c r="A37" s="11"/>
      <c r="B37" s="12" t="s">
        <v>34</v>
      </c>
      <c r="C37" s="12" t="s">
        <v>65</v>
      </c>
      <c r="D37" s="12" t="s">
        <v>83</v>
      </c>
      <c r="E37" s="12" t="s">
        <v>120</v>
      </c>
      <c r="F37" s="13" t="s">
        <v>121</v>
      </c>
      <c r="G37" s="12" t="s">
        <v>68</v>
      </c>
      <c r="H37" s="12" t="s">
        <v>122</v>
      </c>
      <c r="I37" s="12" t="s">
        <v>123</v>
      </c>
      <c r="J37" s="20">
        <v>45937.0</v>
      </c>
      <c r="K37" s="17" t="s">
        <v>136</v>
      </c>
      <c r="L37" s="17">
        <v>7.1944773E7</v>
      </c>
      <c r="M37" s="17" t="s">
        <v>137</v>
      </c>
      <c r="N37" s="2"/>
      <c r="O37" s="17" t="s">
        <v>90</v>
      </c>
      <c r="P37" s="17" t="s">
        <v>138</v>
      </c>
      <c r="Q37" s="17">
        <v>20.0</v>
      </c>
      <c r="S37" s="18" t="s">
        <v>92</v>
      </c>
    </row>
    <row r="38">
      <c r="A38" s="11"/>
      <c r="B38" s="12" t="s">
        <v>34</v>
      </c>
      <c r="C38" s="12" t="s">
        <v>65</v>
      </c>
      <c r="D38" s="12" t="s">
        <v>83</v>
      </c>
      <c r="E38" s="12" t="s">
        <v>120</v>
      </c>
      <c r="F38" s="13" t="s">
        <v>121</v>
      </c>
      <c r="G38" s="12" t="s">
        <v>68</v>
      </c>
      <c r="H38" s="12" t="s">
        <v>122</v>
      </c>
      <c r="I38" s="12" t="s">
        <v>123</v>
      </c>
      <c r="J38" s="20">
        <v>45937.0</v>
      </c>
      <c r="K38" s="17" t="s">
        <v>139</v>
      </c>
      <c r="L38" s="17">
        <v>7.3468926E7</v>
      </c>
      <c r="M38" s="17" t="s">
        <v>140</v>
      </c>
      <c r="N38" s="2"/>
      <c r="O38" s="17" t="s">
        <v>90</v>
      </c>
      <c r="P38" s="17" t="s">
        <v>141</v>
      </c>
      <c r="Q38" s="17">
        <v>20.0</v>
      </c>
      <c r="S38" s="18" t="s">
        <v>92</v>
      </c>
    </row>
    <row r="39">
      <c r="A39" s="11"/>
      <c r="B39" s="12" t="s">
        <v>34</v>
      </c>
      <c r="C39" s="12" t="s">
        <v>65</v>
      </c>
      <c r="D39" s="12" t="s">
        <v>83</v>
      </c>
      <c r="E39" s="12" t="s">
        <v>120</v>
      </c>
      <c r="F39" s="13" t="s">
        <v>121</v>
      </c>
      <c r="G39" s="12" t="s">
        <v>68</v>
      </c>
      <c r="H39" s="12" t="s">
        <v>122</v>
      </c>
      <c r="I39" s="12" t="s">
        <v>123</v>
      </c>
      <c r="J39" s="20">
        <v>45954.0</v>
      </c>
      <c r="K39" s="17" t="s">
        <v>124</v>
      </c>
      <c r="L39" s="17">
        <v>7.6366959E7</v>
      </c>
      <c r="M39" s="17" t="s">
        <v>125</v>
      </c>
      <c r="N39" s="2"/>
      <c r="O39" s="17" t="s">
        <v>90</v>
      </c>
      <c r="P39" s="17" t="s">
        <v>126</v>
      </c>
      <c r="Q39" s="17">
        <v>50.0</v>
      </c>
      <c r="S39" s="18" t="s">
        <v>92</v>
      </c>
    </row>
    <row r="40">
      <c r="A40" s="11"/>
      <c r="B40" s="12" t="s">
        <v>34</v>
      </c>
      <c r="C40" s="12" t="s">
        <v>65</v>
      </c>
      <c r="D40" s="12" t="s">
        <v>83</v>
      </c>
      <c r="E40" s="12" t="s">
        <v>120</v>
      </c>
      <c r="F40" s="13" t="s">
        <v>121</v>
      </c>
      <c r="G40" s="12" t="s">
        <v>68</v>
      </c>
      <c r="H40" s="12" t="s">
        <v>122</v>
      </c>
      <c r="I40" s="12" t="s">
        <v>123</v>
      </c>
      <c r="J40" s="20">
        <v>45954.0</v>
      </c>
      <c r="K40" s="17" t="s">
        <v>127</v>
      </c>
      <c r="L40" s="17">
        <v>7.2118797E7</v>
      </c>
      <c r="M40" s="17" t="s">
        <v>128</v>
      </c>
      <c r="N40" s="2"/>
      <c r="O40" s="17" t="s">
        <v>90</v>
      </c>
      <c r="P40" s="17" t="s">
        <v>129</v>
      </c>
      <c r="Q40" s="17">
        <v>50.0</v>
      </c>
      <c r="S40" s="18" t="s">
        <v>92</v>
      </c>
    </row>
    <row r="41">
      <c r="A41" s="11"/>
      <c r="B41" s="12" t="s">
        <v>34</v>
      </c>
      <c r="C41" s="12" t="s">
        <v>65</v>
      </c>
      <c r="D41" s="12" t="s">
        <v>83</v>
      </c>
      <c r="E41" s="12" t="s">
        <v>120</v>
      </c>
      <c r="F41" s="13" t="s">
        <v>121</v>
      </c>
      <c r="G41" s="12" t="s">
        <v>68</v>
      </c>
      <c r="H41" s="12" t="s">
        <v>122</v>
      </c>
      <c r="I41" s="12" t="s">
        <v>123</v>
      </c>
      <c r="J41" s="20">
        <v>45954.0</v>
      </c>
      <c r="K41" s="17" t="s">
        <v>130</v>
      </c>
      <c r="L41" s="17">
        <v>4.6514681E7</v>
      </c>
      <c r="M41" s="17" t="s">
        <v>131</v>
      </c>
      <c r="N41" s="2"/>
      <c r="O41" s="17" t="s">
        <v>90</v>
      </c>
      <c r="P41" s="17" t="s">
        <v>132</v>
      </c>
      <c r="Q41" s="17">
        <v>50.0</v>
      </c>
      <c r="S41" s="18" t="s">
        <v>92</v>
      </c>
    </row>
    <row r="42">
      <c r="A42" s="11"/>
      <c r="B42" s="12" t="s">
        <v>34</v>
      </c>
      <c r="C42" s="12" t="s">
        <v>65</v>
      </c>
      <c r="D42" s="12" t="s">
        <v>83</v>
      </c>
      <c r="E42" s="12" t="s">
        <v>120</v>
      </c>
      <c r="F42" s="13" t="s">
        <v>121</v>
      </c>
      <c r="G42" s="12" t="s">
        <v>68</v>
      </c>
      <c r="H42" s="12" t="s">
        <v>122</v>
      </c>
      <c r="I42" s="12" t="s">
        <v>123</v>
      </c>
      <c r="J42" s="20">
        <v>45954.0</v>
      </c>
      <c r="K42" s="17" t="s">
        <v>133</v>
      </c>
      <c r="L42" s="17">
        <v>4.7151224E7</v>
      </c>
      <c r="M42" s="17" t="s">
        <v>134</v>
      </c>
      <c r="N42" s="2"/>
      <c r="O42" s="17" t="s">
        <v>90</v>
      </c>
      <c r="P42" s="17" t="s">
        <v>135</v>
      </c>
      <c r="Q42" s="17">
        <v>50.0</v>
      </c>
      <c r="S42" s="18" t="s">
        <v>92</v>
      </c>
    </row>
    <row r="43">
      <c r="A43" s="11"/>
      <c r="B43" s="12" t="s">
        <v>34</v>
      </c>
      <c r="C43" s="12" t="s">
        <v>65</v>
      </c>
      <c r="D43" s="12" t="s">
        <v>83</v>
      </c>
      <c r="E43" s="12" t="s">
        <v>120</v>
      </c>
      <c r="F43" s="13" t="s">
        <v>121</v>
      </c>
      <c r="G43" s="12" t="s">
        <v>68</v>
      </c>
      <c r="H43" s="12" t="s">
        <v>122</v>
      </c>
      <c r="I43" s="12" t="s">
        <v>123</v>
      </c>
      <c r="J43" s="20">
        <v>45954.0</v>
      </c>
      <c r="K43" s="17" t="s">
        <v>136</v>
      </c>
      <c r="L43" s="17">
        <v>7.1944773E7</v>
      </c>
      <c r="M43" s="17" t="s">
        <v>137</v>
      </c>
      <c r="N43" s="2"/>
      <c r="O43" s="17" t="s">
        <v>90</v>
      </c>
      <c r="P43" s="17" t="s">
        <v>138</v>
      </c>
      <c r="Q43" s="17">
        <v>50.0</v>
      </c>
      <c r="S43" s="18" t="s">
        <v>92</v>
      </c>
    </row>
    <row r="44">
      <c r="A44" s="11"/>
      <c r="B44" s="12" t="s">
        <v>34</v>
      </c>
      <c r="C44" s="12" t="s">
        <v>65</v>
      </c>
      <c r="D44" s="12" t="s">
        <v>83</v>
      </c>
      <c r="E44" s="12" t="s">
        <v>120</v>
      </c>
      <c r="F44" s="13" t="s">
        <v>121</v>
      </c>
      <c r="G44" s="12" t="s">
        <v>68</v>
      </c>
      <c r="H44" s="12" t="s">
        <v>122</v>
      </c>
      <c r="I44" s="12" t="s">
        <v>123</v>
      </c>
      <c r="J44" s="20">
        <v>45960.0</v>
      </c>
      <c r="K44" s="17" t="s">
        <v>124</v>
      </c>
      <c r="L44" s="17">
        <v>7.6366959E7</v>
      </c>
      <c r="M44" s="17" t="s">
        <v>125</v>
      </c>
      <c r="N44" s="2"/>
      <c r="O44" s="17" t="s">
        <v>90</v>
      </c>
      <c r="P44" s="17" t="s">
        <v>126</v>
      </c>
      <c r="Q44" s="17">
        <v>80.0</v>
      </c>
      <c r="S44" s="18" t="s">
        <v>92</v>
      </c>
    </row>
    <row r="45">
      <c r="A45" s="11"/>
      <c r="B45" s="12" t="s">
        <v>34</v>
      </c>
      <c r="C45" s="12" t="s">
        <v>65</v>
      </c>
      <c r="D45" s="12" t="s">
        <v>83</v>
      </c>
      <c r="E45" s="12" t="s">
        <v>120</v>
      </c>
      <c r="F45" s="13" t="s">
        <v>121</v>
      </c>
      <c r="G45" s="12" t="s">
        <v>68</v>
      </c>
      <c r="H45" s="12" t="s">
        <v>122</v>
      </c>
      <c r="I45" s="12" t="s">
        <v>123</v>
      </c>
      <c r="J45" s="20">
        <v>45960.0</v>
      </c>
      <c r="K45" s="17" t="s">
        <v>127</v>
      </c>
      <c r="L45" s="17">
        <v>7.2118797E7</v>
      </c>
      <c r="M45" s="17" t="s">
        <v>128</v>
      </c>
      <c r="N45" s="2"/>
      <c r="O45" s="17" t="s">
        <v>90</v>
      </c>
      <c r="P45" s="17" t="s">
        <v>129</v>
      </c>
      <c r="Q45" s="17">
        <v>80.0</v>
      </c>
      <c r="S45" s="18" t="s">
        <v>92</v>
      </c>
    </row>
    <row r="46">
      <c r="A46" s="11"/>
      <c r="B46" s="12" t="s">
        <v>34</v>
      </c>
      <c r="C46" s="12" t="s">
        <v>65</v>
      </c>
      <c r="D46" s="12" t="s">
        <v>83</v>
      </c>
      <c r="E46" s="12" t="s">
        <v>120</v>
      </c>
      <c r="F46" s="13" t="s">
        <v>121</v>
      </c>
      <c r="G46" s="12" t="s">
        <v>68</v>
      </c>
      <c r="H46" s="12" t="s">
        <v>122</v>
      </c>
      <c r="I46" s="12" t="s">
        <v>123</v>
      </c>
      <c r="J46" s="20">
        <v>45960.0</v>
      </c>
      <c r="K46" s="17" t="s">
        <v>130</v>
      </c>
      <c r="L46" s="17">
        <v>4.6514681E7</v>
      </c>
      <c r="M46" s="17" t="s">
        <v>131</v>
      </c>
      <c r="N46" s="2"/>
      <c r="O46" s="17" t="s">
        <v>90</v>
      </c>
      <c r="P46" s="17" t="s">
        <v>132</v>
      </c>
      <c r="Q46" s="17">
        <v>80.0</v>
      </c>
      <c r="S46" s="18" t="s">
        <v>92</v>
      </c>
    </row>
    <row r="47">
      <c r="A47" s="11"/>
      <c r="B47" s="12" t="s">
        <v>34</v>
      </c>
      <c r="C47" s="12" t="s">
        <v>65</v>
      </c>
      <c r="D47" s="12" t="s">
        <v>83</v>
      </c>
      <c r="E47" s="12" t="s">
        <v>120</v>
      </c>
      <c r="F47" s="13" t="s">
        <v>121</v>
      </c>
      <c r="G47" s="12" t="s">
        <v>68</v>
      </c>
      <c r="H47" s="12" t="s">
        <v>122</v>
      </c>
      <c r="I47" s="12" t="s">
        <v>123</v>
      </c>
      <c r="J47" s="20">
        <v>45960.0</v>
      </c>
      <c r="K47" s="17" t="s">
        <v>133</v>
      </c>
      <c r="L47" s="17">
        <v>4.7151224E7</v>
      </c>
      <c r="M47" s="17" t="s">
        <v>134</v>
      </c>
      <c r="N47" s="2"/>
      <c r="O47" s="17" t="s">
        <v>90</v>
      </c>
      <c r="P47" s="17" t="s">
        <v>135</v>
      </c>
      <c r="Q47" s="17">
        <v>80.0</v>
      </c>
      <c r="S47" s="18" t="s">
        <v>92</v>
      </c>
    </row>
    <row r="48">
      <c r="A48" s="11"/>
      <c r="B48" s="12" t="s">
        <v>34</v>
      </c>
      <c r="C48" s="12" t="s">
        <v>65</v>
      </c>
      <c r="D48" s="12" t="s">
        <v>83</v>
      </c>
      <c r="E48" s="12" t="s">
        <v>120</v>
      </c>
      <c r="F48" s="13" t="s">
        <v>121</v>
      </c>
      <c r="G48" s="12" t="s">
        <v>68</v>
      </c>
      <c r="H48" s="12" t="s">
        <v>122</v>
      </c>
      <c r="I48" s="12" t="s">
        <v>123</v>
      </c>
      <c r="J48" s="20">
        <v>45954.0</v>
      </c>
      <c r="K48" s="17" t="s">
        <v>136</v>
      </c>
      <c r="L48" s="17">
        <v>7.1944773E7</v>
      </c>
      <c r="M48" s="17" t="s">
        <v>137</v>
      </c>
      <c r="N48" s="2"/>
      <c r="O48" s="17" t="s">
        <v>90</v>
      </c>
      <c r="P48" s="17" t="s">
        <v>138</v>
      </c>
      <c r="Q48" s="17">
        <v>80.0</v>
      </c>
      <c r="S48" s="18" t="s">
        <v>92</v>
      </c>
    </row>
    <row r="49">
      <c r="A49" s="11"/>
      <c r="B49" s="12" t="s">
        <v>34</v>
      </c>
      <c r="C49" s="12" t="s">
        <v>65</v>
      </c>
      <c r="D49" s="12" t="s">
        <v>83</v>
      </c>
      <c r="E49" s="12" t="s">
        <v>120</v>
      </c>
      <c r="F49" s="13" t="s">
        <v>121</v>
      </c>
      <c r="G49" s="12" t="s">
        <v>68</v>
      </c>
      <c r="H49" s="12" t="s">
        <v>122</v>
      </c>
      <c r="I49" s="12" t="s">
        <v>123</v>
      </c>
      <c r="J49" s="20">
        <v>45968.0</v>
      </c>
      <c r="K49" s="17" t="s">
        <v>124</v>
      </c>
      <c r="L49" s="17">
        <v>7.6366959E7</v>
      </c>
      <c r="M49" s="17" t="s">
        <v>125</v>
      </c>
      <c r="N49" s="2"/>
      <c r="O49" s="17" t="s">
        <v>90</v>
      </c>
      <c r="P49" s="17" t="s">
        <v>126</v>
      </c>
      <c r="Q49" s="17">
        <v>100.0</v>
      </c>
      <c r="S49" s="18" t="s">
        <v>92</v>
      </c>
    </row>
    <row r="50">
      <c r="A50" s="11"/>
      <c r="B50" s="12" t="s">
        <v>34</v>
      </c>
      <c r="C50" s="12" t="s">
        <v>65</v>
      </c>
      <c r="D50" s="12" t="s">
        <v>83</v>
      </c>
      <c r="E50" s="12" t="s">
        <v>120</v>
      </c>
      <c r="F50" s="13" t="s">
        <v>121</v>
      </c>
      <c r="G50" s="12" t="s">
        <v>68</v>
      </c>
      <c r="H50" s="12" t="s">
        <v>122</v>
      </c>
      <c r="I50" s="12" t="s">
        <v>123</v>
      </c>
      <c r="J50" s="20">
        <v>45968.0</v>
      </c>
      <c r="K50" s="17" t="s">
        <v>127</v>
      </c>
      <c r="L50" s="17">
        <v>7.2118797E7</v>
      </c>
      <c r="M50" s="17" t="s">
        <v>128</v>
      </c>
      <c r="N50" s="2"/>
      <c r="O50" s="17" t="s">
        <v>90</v>
      </c>
      <c r="P50" s="17" t="s">
        <v>129</v>
      </c>
      <c r="Q50" s="17">
        <v>100.0</v>
      </c>
      <c r="S50" s="18" t="s">
        <v>92</v>
      </c>
    </row>
    <row r="51">
      <c r="A51" s="11"/>
      <c r="B51" s="12" t="s">
        <v>34</v>
      </c>
      <c r="C51" s="12" t="s">
        <v>65</v>
      </c>
      <c r="D51" s="12" t="s">
        <v>83</v>
      </c>
      <c r="E51" s="12" t="s">
        <v>120</v>
      </c>
      <c r="F51" s="13" t="s">
        <v>121</v>
      </c>
      <c r="G51" s="12" t="s">
        <v>68</v>
      </c>
      <c r="H51" s="12" t="s">
        <v>122</v>
      </c>
      <c r="I51" s="12" t="s">
        <v>123</v>
      </c>
      <c r="J51" s="20">
        <v>45968.0</v>
      </c>
      <c r="K51" s="17" t="s">
        <v>130</v>
      </c>
      <c r="L51" s="17">
        <v>4.6514681E7</v>
      </c>
      <c r="M51" s="17" t="s">
        <v>131</v>
      </c>
      <c r="N51" s="2"/>
      <c r="O51" s="17" t="s">
        <v>90</v>
      </c>
      <c r="P51" s="17" t="s">
        <v>132</v>
      </c>
      <c r="Q51" s="17">
        <v>100.0</v>
      </c>
      <c r="S51" s="18" t="s">
        <v>92</v>
      </c>
    </row>
    <row r="52">
      <c r="A52" s="11"/>
      <c r="B52" s="12" t="s">
        <v>34</v>
      </c>
      <c r="C52" s="12" t="s">
        <v>65</v>
      </c>
      <c r="D52" s="12" t="s">
        <v>83</v>
      </c>
      <c r="E52" s="12" t="s">
        <v>120</v>
      </c>
      <c r="F52" s="13" t="s">
        <v>121</v>
      </c>
      <c r="G52" s="12" t="s">
        <v>68</v>
      </c>
      <c r="H52" s="12" t="s">
        <v>122</v>
      </c>
      <c r="I52" s="12" t="s">
        <v>123</v>
      </c>
      <c r="J52" s="20">
        <v>45968.0</v>
      </c>
      <c r="K52" s="17" t="s">
        <v>133</v>
      </c>
      <c r="L52" s="17">
        <v>4.7151224E7</v>
      </c>
      <c r="M52" s="17" t="s">
        <v>134</v>
      </c>
      <c r="N52" s="2"/>
      <c r="O52" s="17" t="s">
        <v>90</v>
      </c>
      <c r="P52" s="17" t="s">
        <v>135</v>
      </c>
      <c r="Q52" s="17">
        <v>100.0</v>
      </c>
      <c r="S52" s="18" t="s">
        <v>92</v>
      </c>
    </row>
    <row r="53">
      <c r="A53" s="11"/>
      <c r="B53" s="12" t="s">
        <v>34</v>
      </c>
      <c r="C53" s="12" t="s">
        <v>65</v>
      </c>
      <c r="D53" s="12" t="s">
        <v>83</v>
      </c>
      <c r="E53" s="12" t="s">
        <v>120</v>
      </c>
      <c r="F53" s="13" t="s">
        <v>121</v>
      </c>
      <c r="G53" s="12" t="s">
        <v>68</v>
      </c>
      <c r="H53" s="12" t="s">
        <v>122</v>
      </c>
      <c r="I53" s="12" t="s">
        <v>123</v>
      </c>
      <c r="J53" s="20">
        <v>45968.0</v>
      </c>
      <c r="K53" s="17" t="s">
        <v>136</v>
      </c>
      <c r="L53" s="17">
        <v>7.1944773E7</v>
      </c>
      <c r="M53" s="17" t="s">
        <v>137</v>
      </c>
      <c r="N53" s="2"/>
      <c r="O53" s="17" t="s">
        <v>90</v>
      </c>
      <c r="P53" s="17" t="s">
        <v>138</v>
      </c>
      <c r="Q53" s="17">
        <v>100.0</v>
      </c>
      <c r="S53" s="18" t="s">
        <v>92</v>
      </c>
    </row>
    <row r="54">
      <c r="A54" s="11"/>
      <c r="B54" s="12" t="s">
        <v>34</v>
      </c>
      <c r="C54" s="12" t="s">
        <v>65</v>
      </c>
      <c r="D54" s="12" t="s">
        <v>102</v>
      </c>
      <c r="E54" s="12" t="s">
        <v>142</v>
      </c>
      <c r="F54" s="13" t="s">
        <v>143</v>
      </c>
      <c r="G54" s="12" t="s">
        <v>68</v>
      </c>
      <c r="H54" s="12" t="s">
        <v>144</v>
      </c>
      <c r="I54" s="12" t="s">
        <v>145</v>
      </c>
      <c r="J54" s="22">
        <v>45932.0</v>
      </c>
      <c r="K54" s="17" t="s">
        <v>146</v>
      </c>
      <c r="L54" s="17">
        <v>9656050.0</v>
      </c>
      <c r="M54" s="17" t="s">
        <v>147</v>
      </c>
      <c r="N54" s="17" t="s">
        <v>108</v>
      </c>
      <c r="O54" s="17" t="s">
        <v>109</v>
      </c>
      <c r="P54" s="17" t="s">
        <v>148</v>
      </c>
      <c r="Q54" s="17">
        <v>40.0</v>
      </c>
      <c r="S54" s="18" t="s">
        <v>92</v>
      </c>
    </row>
    <row r="55">
      <c r="A55" s="11"/>
      <c r="B55" s="12" t="s">
        <v>34</v>
      </c>
      <c r="C55" s="12" t="s">
        <v>65</v>
      </c>
      <c r="D55" s="12" t="s">
        <v>102</v>
      </c>
      <c r="E55" s="12" t="s">
        <v>142</v>
      </c>
      <c r="F55" s="13" t="s">
        <v>143</v>
      </c>
      <c r="G55" s="12" t="s">
        <v>68</v>
      </c>
      <c r="H55" s="12" t="s">
        <v>144</v>
      </c>
      <c r="I55" s="12" t="s">
        <v>145</v>
      </c>
      <c r="J55" s="22">
        <v>45932.0</v>
      </c>
      <c r="K55" s="17" t="s">
        <v>149</v>
      </c>
      <c r="L55" s="17">
        <v>7.3413898E7</v>
      </c>
      <c r="M55" s="17" t="s">
        <v>150</v>
      </c>
      <c r="N55" s="17" t="s">
        <v>73</v>
      </c>
      <c r="O55" s="17" t="s">
        <v>74</v>
      </c>
      <c r="P55" s="17" t="s">
        <v>151</v>
      </c>
      <c r="Q55" s="17">
        <v>40.0</v>
      </c>
      <c r="S55" s="18" t="s">
        <v>92</v>
      </c>
    </row>
    <row r="56">
      <c r="A56" s="11"/>
      <c r="B56" s="12" t="s">
        <v>34</v>
      </c>
      <c r="C56" s="12" t="s">
        <v>65</v>
      </c>
      <c r="D56" s="12" t="s">
        <v>102</v>
      </c>
      <c r="E56" s="12" t="s">
        <v>142</v>
      </c>
      <c r="F56" s="13" t="s">
        <v>143</v>
      </c>
      <c r="G56" s="12" t="s">
        <v>68</v>
      </c>
      <c r="H56" s="12" t="s">
        <v>144</v>
      </c>
      <c r="I56" s="12" t="s">
        <v>145</v>
      </c>
      <c r="J56" s="20">
        <v>45958.0</v>
      </c>
      <c r="K56" s="17" t="s">
        <v>146</v>
      </c>
      <c r="L56" s="17">
        <v>9656050.0</v>
      </c>
      <c r="M56" s="17" t="s">
        <v>147</v>
      </c>
      <c r="N56" s="17" t="s">
        <v>108</v>
      </c>
      <c r="O56" s="17" t="s">
        <v>109</v>
      </c>
      <c r="P56" s="17" t="s">
        <v>148</v>
      </c>
      <c r="Q56" s="17">
        <v>80.0</v>
      </c>
      <c r="S56" s="18" t="s">
        <v>92</v>
      </c>
    </row>
    <row r="57">
      <c r="A57" s="11"/>
      <c r="B57" s="12" t="s">
        <v>34</v>
      </c>
      <c r="C57" s="12" t="s">
        <v>65</v>
      </c>
      <c r="D57" s="12" t="s">
        <v>102</v>
      </c>
      <c r="E57" s="12" t="s">
        <v>142</v>
      </c>
      <c r="F57" s="13" t="s">
        <v>143</v>
      </c>
      <c r="G57" s="12" t="s">
        <v>68</v>
      </c>
      <c r="H57" s="12" t="s">
        <v>144</v>
      </c>
      <c r="I57" s="12" t="s">
        <v>145</v>
      </c>
      <c r="J57" s="20">
        <v>45958.0</v>
      </c>
      <c r="K57" s="17" t="s">
        <v>149</v>
      </c>
      <c r="L57" s="17">
        <v>7.3413898E7</v>
      </c>
      <c r="M57" s="17" t="s">
        <v>150</v>
      </c>
      <c r="N57" s="17" t="s">
        <v>73</v>
      </c>
      <c r="O57" s="17" t="s">
        <v>74</v>
      </c>
      <c r="P57" s="17" t="s">
        <v>151</v>
      </c>
      <c r="Q57" s="17">
        <v>80.0</v>
      </c>
      <c r="S57" s="18" t="s">
        <v>92</v>
      </c>
    </row>
    <row r="58">
      <c r="A58" s="11"/>
      <c r="B58" s="12" t="s">
        <v>34</v>
      </c>
      <c r="C58" s="12" t="s">
        <v>65</v>
      </c>
      <c r="D58" s="12" t="s">
        <v>102</v>
      </c>
      <c r="E58" s="12" t="s">
        <v>142</v>
      </c>
      <c r="F58" s="13" t="s">
        <v>143</v>
      </c>
      <c r="G58" s="12" t="s">
        <v>68</v>
      </c>
      <c r="H58" s="12" t="s">
        <v>144</v>
      </c>
      <c r="I58" s="12" t="s">
        <v>145</v>
      </c>
      <c r="J58" s="20">
        <v>45973.0</v>
      </c>
      <c r="K58" s="17" t="s">
        <v>146</v>
      </c>
      <c r="L58" s="17">
        <v>9656050.0</v>
      </c>
      <c r="M58" s="17" t="s">
        <v>147</v>
      </c>
      <c r="N58" s="17" t="s">
        <v>108</v>
      </c>
      <c r="O58" s="17" t="s">
        <v>109</v>
      </c>
      <c r="P58" s="17" t="s">
        <v>148</v>
      </c>
      <c r="Q58" s="17">
        <v>100.0</v>
      </c>
      <c r="S58" s="18" t="s">
        <v>92</v>
      </c>
    </row>
    <row r="59">
      <c r="A59" s="11"/>
      <c r="B59" s="12" t="s">
        <v>34</v>
      </c>
      <c r="C59" s="12" t="s">
        <v>65</v>
      </c>
      <c r="D59" s="12" t="s">
        <v>102</v>
      </c>
      <c r="E59" s="12" t="s">
        <v>142</v>
      </c>
      <c r="F59" s="13" t="s">
        <v>143</v>
      </c>
      <c r="G59" s="12" t="s">
        <v>68</v>
      </c>
      <c r="H59" s="12" t="s">
        <v>144</v>
      </c>
      <c r="I59" s="12" t="s">
        <v>145</v>
      </c>
      <c r="J59" s="20">
        <v>45973.0</v>
      </c>
      <c r="K59" s="17" t="s">
        <v>149</v>
      </c>
      <c r="L59" s="17">
        <v>7.3413898E7</v>
      </c>
      <c r="M59" s="17" t="s">
        <v>150</v>
      </c>
      <c r="N59" s="17" t="s">
        <v>73</v>
      </c>
      <c r="O59" s="17" t="s">
        <v>74</v>
      </c>
      <c r="P59" s="17" t="s">
        <v>151</v>
      </c>
      <c r="Q59" s="17">
        <v>100.0</v>
      </c>
      <c r="S59" s="18" t="s">
        <v>92</v>
      </c>
    </row>
    <row r="60">
      <c r="A60" s="11"/>
      <c r="B60" s="12" t="s">
        <v>34</v>
      </c>
      <c r="C60" s="12" t="s">
        <v>65</v>
      </c>
      <c r="D60" s="12" t="s">
        <v>102</v>
      </c>
      <c r="E60" s="12" t="s">
        <v>152</v>
      </c>
      <c r="F60" s="13" t="s">
        <v>153</v>
      </c>
      <c r="G60" s="12" t="s">
        <v>68</v>
      </c>
      <c r="H60" s="12" t="s">
        <v>154</v>
      </c>
      <c r="I60" s="12" t="s">
        <v>155</v>
      </c>
      <c r="J60" s="20">
        <v>45960.0</v>
      </c>
      <c r="K60" s="17" t="s">
        <v>156</v>
      </c>
      <c r="L60" s="17">
        <v>7.2125097E7</v>
      </c>
      <c r="M60" s="17" t="s">
        <v>157</v>
      </c>
      <c r="N60" s="17" t="s">
        <v>112</v>
      </c>
      <c r="O60" s="17" t="s">
        <v>113</v>
      </c>
      <c r="P60" s="17" t="s">
        <v>158</v>
      </c>
      <c r="Q60" s="17">
        <v>50.0</v>
      </c>
      <c r="S60" s="18" t="s">
        <v>92</v>
      </c>
    </row>
    <row r="61">
      <c r="A61" s="11"/>
      <c r="B61" s="12" t="s">
        <v>34</v>
      </c>
      <c r="C61" s="12" t="s">
        <v>65</v>
      </c>
      <c r="D61" s="12" t="s">
        <v>102</v>
      </c>
      <c r="E61" s="12" t="s">
        <v>152</v>
      </c>
      <c r="F61" s="13" t="s">
        <v>153</v>
      </c>
      <c r="G61" s="12" t="s">
        <v>68</v>
      </c>
      <c r="H61" s="12" t="s">
        <v>154</v>
      </c>
      <c r="I61" s="12" t="s">
        <v>155</v>
      </c>
      <c r="J61" s="20">
        <v>45980.0</v>
      </c>
      <c r="K61" s="17" t="s">
        <v>156</v>
      </c>
      <c r="L61" s="17">
        <v>7.2125097E7</v>
      </c>
      <c r="M61" s="17" t="s">
        <v>157</v>
      </c>
      <c r="N61" s="17" t="s">
        <v>112</v>
      </c>
      <c r="O61" s="17" t="s">
        <v>113</v>
      </c>
      <c r="P61" s="17" t="s">
        <v>158</v>
      </c>
      <c r="Q61" s="17">
        <v>100.0</v>
      </c>
      <c r="S61" s="18" t="s">
        <v>92</v>
      </c>
    </row>
    <row r="62">
      <c r="A62" s="11"/>
      <c r="B62" s="12" t="s">
        <v>34</v>
      </c>
      <c r="C62" s="12" t="s">
        <v>65</v>
      </c>
      <c r="D62" s="12" t="s">
        <v>102</v>
      </c>
      <c r="E62" s="12" t="s">
        <v>152</v>
      </c>
      <c r="F62" s="13" t="s">
        <v>153</v>
      </c>
      <c r="G62" s="12" t="s">
        <v>68</v>
      </c>
      <c r="H62" s="12" t="s">
        <v>154</v>
      </c>
      <c r="I62" s="12" t="s">
        <v>155</v>
      </c>
      <c r="J62" s="20">
        <v>45960.0</v>
      </c>
      <c r="K62" s="17" t="s">
        <v>159</v>
      </c>
      <c r="L62" s="17">
        <v>4.430032E7</v>
      </c>
      <c r="M62" s="17" t="s">
        <v>160</v>
      </c>
      <c r="N62" s="17" t="s">
        <v>108</v>
      </c>
      <c r="O62" s="17" t="s">
        <v>109</v>
      </c>
      <c r="P62" s="17" t="s">
        <v>161</v>
      </c>
      <c r="Q62" s="17">
        <v>50.0</v>
      </c>
      <c r="S62" s="18" t="s">
        <v>92</v>
      </c>
    </row>
    <row r="63">
      <c r="A63" s="11"/>
      <c r="B63" s="12" t="s">
        <v>34</v>
      </c>
      <c r="C63" s="12" t="s">
        <v>65</v>
      </c>
      <c r="D63" s="12" t="s">
        <v>102</v>
      </c>
      <c r="E63" s="12" t="s">
        <v>152</v>
      </c>
      <c r="F63" s="13" t="s">
        <v>153</v>
      </c>
      <c r="G63" s="12" t="s">
        <v>68</v>
      </c>
      <c r="H63" s="12" t="s">
        <v>154</v>
      </c>
      <c r="I63" s="12" t="s">
        <v>155</v>
      </c>
      <c r="J63" s="20">
        <v>45960.0</v>
      </c>
      <c r="K63" s="17" t="s">
        <v>162</v>
      </c>
      <c r="L63" s="17">
        <v>7.3863257E7</v>
      </c>
      <c r="M63" s="17" t="s">
        <v>163</v>
      </c>
      <c r="N63" s="17" t="s">
        <v>108</v>
      </c>
      <c r="O63" s="17" t="s">
        <v>109</v>
      </c>
      <c r="P63" s="17" t="s">
        <v>164</v>
      </c>
      <c r="Q63" s="17">
        <v>50.0</v>
      </c>
      <c r="S63" s="18" t="s">
        <v>92</v>
      </c>
    </row>
    <row r="64">
      <c r="A64" s="11"/>
      <c r="B64" s="23"/>
      <c r="C64" s="23"/>
      <c r="D64" s="23"/>
      <c r="E64" s="23"/>
      <c r="F64" s="1"/>
      <c r="G64" s="23"/>
      <c r="H64" s="23"/>
      <c r="I64" s="23"/>
      <c r="N64" s="2"/>
      <c r="S64" s="24"/>
    </row>
    <row r="65">
      <c r="A65" s="11"/>
      <c r="B65" s="23"/>
      <c r="C65" s="23"/>
      <c r="D65" s="23"/>
      <c r="E65" s="23"/>
      <c r="F65" s="1"/>
      <c r="G65" s="23"/>
      <c r="H65" s="23"/>
      <c r="I65" s="23"/>
      <c r="N65" s="2"/>
      <c r="S65" s="24"/>
    </row>
    <row r="66">
      <c r="A66" s="11"/>
      <c r="B66" s="23"/>
      <c r="C66" s="23"/>
      <c r="D66" s="23"/>
      <c r="E66" s="23"/>
      <c r="F66" s="1"/>
      <c r="G66" s="23"/>
      <c r="H66" s="23"/>
      <c r="I66" s="23"/>
      <c r="N66" s="2"/>
      <c r="S66" s="24"/>
    </row>
    <row r="67">
      <c r="A67" s="11"/>
      <c r="B67" s="23"/>
      <c r="C67" s="23"/>
      <c r="D67" s="23"/>
      <c r="E67" s="23"/>
      <c r="F67" s="1"/>
      <c r="G67" s="23"/>
      <c r="H67" s="23"/>
      <c r="I67" s="23"/>
      <c r="N67" s="2"/>
      <c r="S67" s="24"/>
    </row>
    <row r="68">
      <c r="A68" s="11"/>
      <c r="B68" s="23"/>
      <c r="C68" s="23"/>
      <c r="D68" s="23"/>
      <c r="E68" s="23"/>
      <c r="F68" s="1"/>
      <c r="G68" s="23"/>
      <c r="H68" s="23"/>
      <c r="I68" s="23"/>
      <c r="N68" s="2"/>
      <c r="S68" s="24"/>
    </row>
    <row r="69">
      <c r="A69" s="11"/>
      <c r="B69" s="23"/>
      <c r="C69" s="23"/>
      <c r="D69" s="23"/>
      <c r="E69" s="23"/>
      <c r="F69" s="1"/>
      <c r="G69" s="23"/>
      <c r="H69" s="23"/>
      <c r="I69" s="23"/>
      <c r="N69" s="2"/>
      <c r="S69" s="24"/>
    </row>
    <row r="70">
      <c r="A70" s="11"/>
      <c r="B70" s="23"/>
      <c r="C70" s="23"/>
      <c r="D70" s="23"/>
      <c r="E70" s="23"/>
      <c r="F70" s="1"/>
      <c r="G70" s="23"/>
      <c r="H70" s="23"/>
      <c r="I70" s="23"/>
      <c r="N70" s="2"/>
      <c r="S70" s="24"/>
    </row>
    <row r="71">
      <c r="A71" s="11"/>
      <c r="B71" s="23"/>
      <c r="C71" s="23"/>
      <c r="D71" s="23"/>
      <c r="E71" s="23"/>
      <c r="F71" s="1"/>
      <c r="G71" s="23"/>
      <c r="H71" s="23"/>
      <c r="I71" s="23"/>
      <c r="N71" s="2"/>
      <c r="S71" s="24"/>
    </row>
    <row r="72">
      <c r="A72" s="11"/>
      <c r="B72" s="23"/>
      <c r="C72" s="23"/>
      <c r="D72" s="23"/>
      <c r="E72" s="23"/>
      <c r="F72" s="1"/>
      <c r="G72" s="23"/>
      <c r="H72" s="23"/>
      <c r="I72" s="23"/>
      <c r="N72" s="2"/>
      <c r="S72" s="24"/>
    </row>
    <row r="73">
      <c r="A73" s="11"/>
      <c r="B73" s="23"/>
      <c r="C73" s="23"/>
      <c r="D73" s="23"/>
      <c r="E73" s="23"/>
      <c r="F73" s="1"/>
      <c r="G73" s="23"/>
      <c r="H73" s="23"/>
      <c r="I73" s="23"/>
      <c r="N73" s="2"/>
      <c r="S73" s="24"/>
    </row>
    <row r="74">
      <c r="A74" s="11"/>
      <c r="B74" s="23"/>
      <c r="C74" s="23"/>
      <c r="D74" s="23"/>
      <c r="E74" s="23"/>
      <c r="F74" s="1"/>
      <c r="G74" s="23"/>
      <c r="H74" s="23"/>
      <c r="I74" s="23"/>
      <c r="N74" s="2"/>
      <c r="S74" s="24"/>
    </row>
    <row r="75">
      <c r="A75" s="11"/>
      <c r="B75" s="23"/>
      <c r="C75" s="23"/>
      <c r="D75" s="23"/>
      <c r="E75" s="23"/>
      <c r="F75" s="1"/>
      <c r="G75" s="23"/>
      <c r="H75" s="23"/>
      <c r="I75" s="23"/>
      <c r="N75" s="2"/>
      <c r="S75" s="24"/>
    </row>
    <row r="76">
      <c r="A76" s="11"/>
      <c r="B76" s="23"/>
      <c r="C76" s="23"/>
      <c r="D76" s="23"/>
      <c r="E76" s="23"/>
      <c r="F76" s="1"/>
      <c r="G76" s="23"/>
      <c r="H76" s="23"/>
      <c r="I76" s="23"/>
      <c r="N76" s="2"/>
      <c r="S76" s="24"/>
    </row>
    <row r="77">
      <c r="A77" s="11"/>
      <c r="B77" s="23"/>
      <c r="C77" s="23"/>
      <c r="D77" s="23"/>
      <c r="E77" s="23"/>
      <c r="F77" s="1"/>
      <c r="G77" s="23"/>
      <c r="H77" s="23"/>
      <c r="I77" s="23"/>
      <c r="N77" s="2"/>
      <c r="S77" s="24"/>
    </row>
    <row r="78">
      <c r="A78" s="11"/>
      <c r="B78" s="23"/>
      <c r="C78" s="23"/>
      <c r="D78" s="23"/>
      <c r="E78" s="23"/>
      <c r="F78" s="1"/>
      <c r="G78" s="23"/>
      <c r="H78" s="23"/>
      <c r="I78" s="23"/>
      <c r="N78" s="2"/>
      <c r="S78" s="24"/>
    </row>
    <row r="79">
      <c r="A79" s="11"/>
      <c r="B79" s="23"/>
      <c r="C79" s="23"/>
      <c r="D79" s="23"/>
      <c r="E79" s="23"/>
      <c r="F79" s="1"/>
      <c r="G79" s="23"/>
      <c r="H79" s="23"/>
      <c r="I79" s="23"/>
      <c r="N79" s="2"/>
      <c r="S79" s="24"/>
    </row>
    <row r="80">
      <c r="A80" s="11"/>
      <c r="B80" s="23"/>
      <c r="C80" s="23"/>
      <c r="D80" s="23"/>
      <c r="E80" s="23"/>
      <c r="F80" s="1"/>
      <c r="G80" s="23"/>
      <c r="H80" s="23"/>
      <c r="I80" s="23"/>
      <c r="N80" s="2"/>
      <c r="S80" s="24"/>
    </row>
    <row r="81">
      <c r="A81" s="11"/>
      <c r="B81" s="23"/>
      <c r="C81" s="23"/>
      <c r="D81" s="23"/>
      <c r="E81" s="23"/>
      <c r="F81" s="1"/>
      <c r="G81" s="23"/>
      <c r="H81" s="23"/>
      <c r="I81" s="23"/>
      <c r="N81" s="2"/>
      <c r="S81" s="24"/>
    </row>
    <row r="82">
      <c r="A82" s="11"/>
      <c r="B82" s="23"/>
      <c r="C82" s="23"/>
      <c r="D82" s="23"/>
      <c r="E82" s="23"/>
      <c r="F82" s="1"/>
      <c r="G82" s="23"/>
      <c r="H82" s="23"/>
      <c r="I82" s="23"/>
      <c r="N82" s="2"/>
      <c r="S82" s="24"/>
    </row>
    <row r="83">
      <c r="A83" s="11"/>
      <c r="B83" s="23"/>
      <c r="C83" s="23"/>
      <c r="D83" s="23"/>
      <c r="E83" s="23"/>
      <c r="F83" s="1"/>
      <c r="G83" s="23"/>
      <c r="H83" s="23"/>
      <c r="I83" s="23"/>
      <c r="N83" s="2"/>
      <c r="S83" s="24"/>
    </row>
    <row r="84">
      <c r="A84" s="11"/>
      <c r="B84" s="23"/>
      <c r="C84" s="23"/>
      <c r="D84" s="23"/>
      <c r="E84" s="23"/>
      <c r="F84" s="1"/>
      <c r="G84" s="23"/>
      <c r="H84" s="23"/>
      <c r="I84" s="23"/>
      <c r="N84" s="2"/>
      <c r="S84" s="24"/>
    </row>
    <row r="85">
      <c r="A85" s="11"/>
      <c r="B85" s="23"/>
      <c r="C85" s="23"/>
      <c r="D85" s="23"/>
      <c r="E85" s="23"/>
      <c r="F85" s="1"/>
      <c r="G85" s="23"/>
      <c r="H85" s="23"/>
      <c r="I85" s="23"/>
      <c r="N85" s="2"/>
      <c r="S85" s="24"/>
    </row>
    <row r="86">
      <c r="A86" s="11"/>
      <c r="B86" s="23"/>
      <c r="C86" s="23"/>
      <c r="D86" s="23"/>
      <c r="E86" s="23"/>
      <c r="F86" s="1"/>
      <c r="G86" s="23"/>
      <c r="H86" s="23"/>
      <c r="I86" s="23"/>
      <c r="N86" s="2"/>
      <c r="S86" s="24"/>
    </row>
    <row r="87">
      <c r="A87" s="11"/>
      <c r="B87" s="23"/>
      <c r="C87" s="23"/>
      <c r="D87" s="23"/>
      <c r="E87" s="23"/>
      <c r="F87" s="1"/>
      <c r="G87" s="23"/>
      <c r="H87" s="23"/>
      <c r="I87" s="23"/>
      <c r="N87" s="2"/>
      <c r="S87" s="24"/>
    </row>
    <row r="88">
      <c r="A88" s="11"/>
      <c r="B88" s="23"/>
      <c r="C88" s="23"/>
      <c r="D88" s="23"/>
      <c r="E88" s="23"/>
      <c r="F88" s="1"/>
      <c r="G88" s="23"/>
      <c r="H88" s="23"/>
      <c r="I88" s="23"/>
      <c r="N88" s="2"/>
      <c r="S88" s="24"/>
    </row>
    <row r="89">
      <c r="A89" s="11"/>
      <c r="B89" s="23"/>
      <c r="C89" s="23"/>
      <c r="D89" s="23"/>
      <c r="E89" s="23"/>
      <c r="F89" s="1"/>
      <c r="G89" s="23"/>
      <c r="H89" s="23"/>
      <c r="I89" s="23"/>
      <c r="N89" s="2"/>
      <c r="S89" s="24"/>
    </row>
    <row r="90">
      <c r="A90" s="11"/>
      <c r="B90" s="23"/>
      <c r="C90" s="23"/>
      <c r="D90" s="23"/>
      <c r="E90" s="23"/>
      <c r="F90" s="1"/>
      <c r="G90" s="23"/>
      <c r="H90" s="23"/>
      <c r="I90" s="23"/>
      <c r="N90" s="2"/>
      <c r="S90" s="24"/>
    </row>
    <row r="91">
      <c r="A91" s="11"/>
      <c r="B91" s="23"/>
      <c r="C91" s="23"/>
      <c r="D91" s="23"/>
      <c r="E91" s="23"/>
      <c r="F91" s="1"/>
      <c r="G91" s="23"/>
      <c r="H91" s="23"/>
      <c r="I91" s="23"/>
      <c r="N91" s="2"/>
      <c r="S91" s="24"/>
    </row>
    <row r="92">
      <c r="A92" s="11"/>
      <c r="B92" s="23"/>
      <c r="C92" s="23"/>
      <c r="D92" s="23"/>
      <c r="E92" s="23"/>
      <c r="F92" s="1"/>
      <c r="G92" s="23"/>
      <c r="H92" s="23"/>
      <c r="I92" s="23"/>
      <c r="N92" s="2"/>
      <c r="S92" s="24"/>
    </row>
    <row r="93">
      <c r="A93" s="11"/>
      <c r="B93" s="23"/>
      <c r="C93" s="23"/>
      <c r="D93" s="23"/>
      <c r="E93" s="23"/>
      <c r="F93" s="1"/>
      <c r="G93" s="23"/>
      <c r="H93" s="23"/>
      <c r="I93" s="23"/>
      <c r="N93" s="2"/>
      <c r="S93" s="24"/>
    </row>
    <row r="94">
      <c r="A94" s="11"/>
      <c r="B94" s="23"/>
      <c r="C94" s="23"/>
      <c r="D94" s="23"/>
      <c r="E94" s="23"/>
      <c r="F94" s="1"/>
      <c r="G94" s="23"/>
      <c r="H94" s="23"/>
      <c r="I94" s="23"/>
      <c r="N94" s="2"/>
      <c r="S94" s="24"/>
    </row>
    <row r="95">
      <c r="A95" s="11"/>
      <c r="B95" s="23"/>
      <c r="C95" s="23"/>
      <c r="D95" s="23"/>
      <c r="E95" s="23"/>
      <c r="F95" s="1"/>
      <c r="G95" s="23"/>
      <c r="H95" s="23"/>
      <c r="I95" s="23"/>
      <c r="N95" s="2"/>
      <c r="S95" s="24"/>
    </row>
    <row r="96">
      <c r="A96" s="11"/>
      <c r="B96" s="23"/>
      <c r="C96" s="23"/>
      <c r="D96" s="23"/>
      <c r="E96" s="23"/>
      <c r="F96" s="1"/>
      <c r="G96" s="23"/>
      <c r="H96" s="23"/>
      <c r="I96" s="23"/>
      <c r="N96" s="2"/>
      <c r="S96" s="24"/>
    </row>
    <row r="97">
      <c r="A97" s="11"/>
      <c r="B97" s="23"/>
      <c r="C97" s="23"/>
      <c r="D97" s="23"/>
      <c r="E97" s="23"/>
      <c r="F97" s="1"/>
      <c r="G97" s="23"/>
      <c r="H97" s="23"/>
      <c r="I97" s="23"/>
      <c r="N97" s="2"/>
      <c r="S97" s="24"/>
    </row>
    <row r="98">
      <c r="A98" s="11"/>
      <c r="B98" s="23"/>
      <c r="C98" s="23"/>
      <c r="D98" s="23"/>
      <c r="E98" s="23"/>
      <c r="F98" s="1"/>
      <c r="G98" s="23"/>
      <c r="H98" s="23"/>
      <c r="I98" s="23"/>
      <c r="N98" s="2"/>
      <c r="S98" s="24"/>
    </row>
    <row r="99">
      <c r="A99" s="11"/>
      <c r="B99" s="23"/>
      <c r="C99" s="23"/>
      <c r="D99" s="23"/>
      <c r="E99" s="23"/>
      <c r="F99" s="1"/>
      <c r="G99" s="23"/>
      <c r="H99" s="23"/>
      <c r="I99" s="23"/>
      <c r="N99" s="2"/>
      <c r="S99" s="24"/>
    </row>
    <row r="100">
      <c r="A100" s="11"/>
      <c r="B100" s="23"/>
      <c r="C100" s="23"/>
      <c r="D100" s="23"/>
      <c r="E100" s="23"/>
      <c r="F100" s="1"/>
      <c r="G100" s="23"/>
      <c r="H100" s="23"/>
      <c r="I100" s="23"/>
      <c r="N100" s="2"/>
      <c r="S100" s="24"/>
    </row>
    <row r="101">
      <c r="A101" s="11"/>
      <c r="B101" s="23"/>
      <c r="C101" s="23"/>
      <c r="D101" s="23"/>
      <c r="E101" s="23"/>
      <c r="F101" s="1"/>
      <c r="G101" s="23"/>
      <c r="H101" s="23"/>
      <c r="I101" s="23"/>
      <c r="N101" s="2"/>
      <c r="S101" s="24"/>
    </row>
    <row r="102">
      <c r="A102" s="11"/>
      <c r="B102" s="23"/>
      <c r="C102" s="23"/>
      <c r="D102" s="23"/>
      <c r="E102" s="23"/>
      <c r="F102" s="1"/>
      <c r="G102" s="23"/>
      <c r="H102" s="23"/>
      <c r="I102" s="23"/>
      <c r="N102" s="2"/>
      <c r="S102" s="24"/>
    </row>
    <row r="103">
      <c r="A103" s="11"/>
      <c r="B103" s="23"/>
      <c r="C103" s="23"/>
      <c r="D103" s="23"/>
      <c r="E103" s="23"/>
      <c r="F103" s="1"/>
      <c r="G103" s="23"/>
      <c r="H103" s="23"/>
      <c r="I103" s="23"/>
      <c r="N103" s="2"/>
      <c r="S103" s="24"/>
    </row>
    <row r="104">
      <c r="A104" s="11"/>
      <c r="B104" s="23"/>
      <c r="C104" s="23"/>
      <c r="D104" s="23"/>
      <c r="E104" s="23"/>
      <c r="F104" s="1"/>
      <c r="G104" s="23"/>
      <c r="H104" s="23"/>
      <c r="I104" s="23"/>
      <c r="N104" s="2"/>
      <c r="S104" s="24"/>
    </row>
    <row r="105">
      <c r="A105" s="11"/>
      <c r="B105" s="23"/>
      <c r="C105" s="23"/>
      <c r="D105" s="23"/>
      <c r="E105" s="23"/>
      <c r="F105" s="1"/>
      <c r="G105" s="23"/>
      <c r="H105" s="23"/>
      <c r="I105" s="23"/>
      <c r="N105" s="2"/>
      <c r="S105" s="24"/>
    </row>
    <row r="106">
      <c r="A106" s="11"/>
      <c r="B106" s="23"/>
      <c r="C106" s="23"/>
      <c r="D106" s="23"/>
      <c r="E106" s="23"/>
      <c r="F106" s="1"/>
      <c r="G106" s="23"/>
      <c r="H106" s="23"/>
      <c r="I106" s="23"/>
      <c r="N106" s="2"/>
      <c r="S106" s="24"/>
    </row>
    <row r="107">
      <c r="A107" s="11"/>
      <c r="B107" s="23"/>
      <c r="C107" s="23"/>
      <c r="D107" s="23"/>
      <c r="E107" s="23"/>
      <c r="F107" s="1"/>
      <c r="G107" s="23"/>
      <c r="H107" s="23"/>
      <c r="I107" s="23"/>
      <c r="N107" s="2"/>
      <c r="S107" s="24"/>
    </row>
    <row r="108">
      <c r="A108" s="11"/>
      <c r="B108" s="23"/>
      <c r="C108" s="23"/>
      <c r="D108" s="23"/>
      <c r="E108" s="23"/>
      <c r="F108" s="1"/>
      <c r="G108" s="23"/>
      <c r="H108" s="23"/>
      <c r="I108" s="23"/>
      <c r="N108" s="2"/>
      <c r="S108" s="24"/>
    </row>
    <row r="109">
      <c r="A109" s="11"/>
      <c r="B109" s="23"/>
      <c r="C109" s="23"/>
      <c r="D109" s="23"/>
      <c r="E109" s="23"/>
      <c r="F109" s="1"/>
      <c r="G109" s="23"/>
      <c r="H109" s="23"/>
      <c r="I109" s="23"/>
      <c r="N109" s="2"/>
      <c r="S109" s="24"/>
    </row>
    <row r="110">
      <c r="A110" s="11"/>
      <c r="B110" s="23"/>
      <c r="C110" s="23"/>
      <c r="D110" s="23"/>
      <c r="E110" s="23"/>
      <c r="F110" s="1"/>
      <c r="G110" s="23"/>
      <c r="H110" s="23"/>
      <c r="I110" s="23"/>
      <c r="N110" s="2"/>
      <c r="S110" s="24"/>
    </row>
    <row r="111">
      <c r="A111" s="11"/>
      <c r="B111" s="23"/>
      <c r="C111" s="23"/>
      <c r="D111" s="23"/>
      <c r="E111" s="23"/>
      <c r="F111" s="1"/>
      <c r="G111" s="23"/>
      <c r="H111" s="23"/>
      <c r="I111" s="23"/>
      <c r="N111" s="2"/>
      <c r="S111" s="24"/>
    </row>
    <row r="112">
      <c r="A112" s="11"/>
      <c r="B112" s="23"/>
      <c r="C112" s="23"/>
      <c r="D112" s="23"/>
      <c r="E112" s="23"/>
      <c r="F112" s="1"/>
      <c r="G112" s="23"/>
      <c r="H112" s="23"/>
      <c r="I112" s="23"/>
      <c r="N112" s="2"/>
      <c r="S112" s="24"/>
    </row>
    <row r="113">
      <c r="A113" s="11"/>
      <c r="B113" s="23"/>
      <c r="C113" s="23"/>
      <c r="D113" s="23"/>
      <c r="E113" s="23"/>
      <c r="F113" s="1"/>
      <c r="G113" s="23"/>
      <c r="H113" s="23"/>
      <c r="I113" s="23"/>
      <c r="N113" s="2"/>
      <c r="S113" s="24"/>
    </row>
    <row r="114">
      <c r="A114" s="11"/>
      <c r="B114" s="23"/>
      <c r="C114" s="23"/>
      <c r="D114" s="23"/>
      <c r="E114" s="23"/>
      <c r="F114" s="1"/>
      <c r="G114" s="23"/>
      <c r="H114" s="23"/>
      <c r="I114" s="23"/>
      <c r="N114" s="2"/>
      <c r="S114" s="24"/>
    </row>
    <row r="115">
      <c r="A115" s="11"/>
      <c r="B115" s="23"/>
      <c r="C115" s="23"/>
      <c r="D115" s="23"/>
      <c r="E115" s="23"/>
      <c r="F115" s="1"/>
      <c r="G115" s="23"/>
      <c r="H115" s="23"/>
      <c r="I115" s="23"/>
      <c r="N115" s="2"/>
      <c r="S115" s="24"/>
    </row>
    <row r="116">
      <c r="A116" s="11"/>
      <c r="B116" s="23"/>
      <c r="C116" s="23"/>
      <c r="D116" s="23"/>
      <c r="E116" s="23"/>
      <c r="F116" s="1"/>
      <c r="G116" s="23"/>
      <c r="H116" s="23"/>
      <c r="I116" s="23"/>
      <c r="N116" s="2"/>
      <c r="S116" s="24"/>
    </row>
    <row r="117">
      <c r="A117" s="11"/>
      <c r="B117" s="23"/>
      <c r="C117" s="23"/>
      <c r="D117" s="23"/>
      <c r="E117" s="23"/>
      <c r="F117" s="1"/>
      <c r="G117" s="23"/>
      <c r="H117" s="23"/>
      <c r="I117" s="23"/>
      <c r="N117" s="2"/>
      <c r="S117" s="24"/>
    </row>
    <row r="118">
      <c r="A118" s="11"/>
      <c r="B118" s="23"/>
      <c r="C118" s="23"/>
      <c r="D118" s="23"/>
      <c r="E118" s="23"/>
      <c r="F118" s="1"/>
      <c r="G118" s="23"/>
      <c r="H118" s="23"/>
      <c r="I118" s="23"/>
      <c r="N118" s="2"/>
      <c r="S118" s="24"/>
    </row>
    <row r="119">
      <c r="A119" s="11"/>
      <c r="B119" s="23"/>
      <c r="C119" s="23"/>
      <c r="D119" s="23"/>
      <c r="E119" s="23"/>
      <c r="F119" s="1"/>
      <c r="G119" s="23"/>
      <c r="H119" s="23"/>
      <c r="I119" s="23"/>
      <c r="N119" s="2"/>
      <c r="S119" s="24"/>
    </row>
    <row r="120">
      <c r="A120" s="11"/>
      <c r="B120" s="23"/>
      <c r="C120" s="23"/>
      <c r="D120" s="23"/>
      <c r="E120" s="23"/>
      <c r="F120" s="1"/>
      <c r="G120" s="23"/>
      <c r="H120" s="23"/>
      <c r="I120" s="23"/>
      <c r="N120" s="2"/>
      <c r="S120" s="24"/>
    </row>
    <row r="121">
      <c r="A121" s="11"/>
      <c r="B121" s="23"/>
      <c r="C121" s="23"/>
      <c r="D121" s="23"/>
      <c r="E121" s="23"/>
      <c r="F121" s="1"/>
      <c r="G121" s="23"/>
      <c r="H121" s="23"/>
      <c r="I121" s="23"/>
      <c r="N121" s="2"/>
      <c r="S121" s="24"/>
    </row>
    <row r="122">
      <c r="A122" s="11"/>
      <c r="B122" s="23"/>
      <c r="C122" s="23"/>
      <c r="D122" s="23"/>
      <c r="E122" s="23"/>
      <c r="F122" s="1"/>
      <c r="G122" s="23"/>
      <c r="H122" s="23"/>
      <c r="I122" s="23"/>
      <c r="N122" s="2"/>
      <c r="S122" s="24"/>
    </row>
    <row r="123">
      <c r="A123" s="11"/>
      <c r="B123" s="23"/>
      <c r="C123" s="23"/>
      <c r="D123" s="23"/>
      <c r="E123" s="23"/>
      <c r="F123" s="1"/>
      <c r="G123" s="23"/>
      <c r="H123" s="23"/>
      <c r="I123" s="23"/>
      <c r="N123" s="2"/>
      <c r="S123" s="24"/>
    </row>
    <row r="124">
      <c r="A124" s="11"/>
      <c r="B124" s="23"/>
      <c r="C124" s="23"/>
      <c r="D124" s="23"/>
      <c r="E124" s="23"/>
      <c r="F124" s="1"/>
      <c r="G124" s="23"/>
      <c r="H124" s="23"/>
      <c r="I124" s="23"/>
      <c r="N124" s="2"/>
      <c r="S124" s="24"/>
    </row>
    <row r="125">
      <c r="A125" s="11"/>
      <c r="B125" s="23"/>
      <c r="C125" s="23"/>
      <c r="D125" s="23"/>
      <c r="E125" s="23"/>
      <c r="F125" s="1"/>
      <c r="G125" s="23"/>
      <c r="H125" s="23"/>
      <c r="I125" s="23"/>
      <c r="N125" s="2"/>
      <c r="S125" s="24"/>
    </row>
    <row r="126">
      <c r="A126" s="11"/>
      <c r="B126" s="23"/>
      <c r="C126" s="23"/>
      <c r="D126" s="23"/>
      <c r="E126" s="23"/>
      <c r="F126" s="1"/>
      <c r="G126" s="23"/>
      <c r="H126" s="23"/>
      <c r="I126" s="23"/>
      <c r="N126" s="2"/>
      <c r="S126" s="24"/>
    </row>
    <row r="127">
      <c r="A127" s="11"/>
      <c r="B127" s="23"/>
      <c r="C127" s="23"/>
      <c r="D127" s="23"/>
      <c r="E127" s="23"/>
      <c r="F127" s="1"/>
      <c r="G127" s="23"/>
      <c r="H127" s="23"/>
      <c r="I127" s="23"/>
      <c r="N127" s="2"/>
      <c r="S127" s="24"/>
    </row>
    <row r="128">
      <c r="A128" s="11"/>
      <c r="B128" s="23"/>
      <c r="C128" s="23"/>
      <c r="D128" s="23"/>
      <c r="E128" s="23"/>
      <c r="F128" s="1"/>
      <c r="G128" s="23"/>
      <c r="H128" s="23"/>
      <c r="I128" s="23"/>
      <c r="N128" s="2"/>
      <c r="S128" s="24"/>
    </row>
    <row r="129">
      <c r="A129" s="11"/>
      <c r="B129" s="23"/>
      <c r="C129" s="23"/>
      <c r="D129" s="23"/>
      <c r="E129" s="23"/>
      <c r="F129" s="1"/>
      <c r="G129" s="23"/>
      <c r="H129" s="23"/>
      <c r="I129" s="23"/>
      <c r="N129" s="2"/>
      <c r="S129" s="24"/>
    </row>
    <row r="130">
      <c r="A130" s="11"/>
      <c r="B130" s="23"/>
      <c r="C130" s="23"/>
      <c r="D130" s="23"/>
      <c r="E130" s="23"/>
      <c r="F130" s="1"/>
      <c r="G130" s="23"/>
      <c r="H130" s="23"/>
      <c r="I130" s="23"/>
      <c r="N130" s="2"/>
      <c r="S130" s="24"/>
    </row>
    <row r="131">
      <c r="A131" s="11"/>
      <c r="B131" s="23"/>
      <c r="C131" s="23"/>
      <c r="D131" s="23"/>
      <c r="E131" s="23"/>
      <c r="F131" s="1"/>
      <c r="G131" s="23"/>
      <c r="H131" s="23"/>
      <c r="I131" s="23"/>
      <c r="N131" s="2"/>
      <c r="S131" s="24"/>
    </row>
    <row r="132">
      <c r="A132" s="11"/>
      <c r="B132" s="23"/>
      <c r="C132" s="23"/>
      <c r="D132" s="23"/>
      <c r="E132" s="23"/>
      <c r="F132" s="1"/>
      <c r="G132" s="23"/>
      <c r="H132" s="23"/>
      <c r="I132" s="23"/>
      <c r="N132" s="2"/>
      <c r="S132" s="24"/>
    </row>
    <row r="133">
      <c r="A133" s="11"/>
      <c r="B133" s="23"/>
      <c r="C133" s="23"/>
      <c r="D133" s="23"/>
      <c r="E133" s="23"/>
      <c r="F133" s="1"/>
      <c r="G133" s="23"/>
      <c r="H133" s="23"/>
      <c r="I133" s="23"/>
      <c r="N133" s="2"/>
      <c r="S133" s="24"/>
    </row>
    <row r="134">
      <c r="A134" s="11"/>
      <c r="B134" s="23"/>
      <c r="C134" s="23"/>
      <c r="D134" s="23"/>
      <c r="E134" s="23"/>
      <c r="F134" s="1"/>
      <c r="G134" s="23"/>
      <c r="H134" s="23"/>
      <c r="I134" s="23"/>
      <c r="N134" s="2"/>
      <c r="S134" s="24"/>
    </row>
    <row r="135">
      <c r="A135" s="11"/>
      <c r="B135" s="23"/>
      <c r="C135" s="23"/>
      <c r="D135" s="23"/>
      <c r="E135" s="23"/>
      <c r="F135" s="1"/>
      <c r="G135" s="23"/>
      <c r="H135" s="23"/>
      <c r="I135" s="23"/>
      <c r="N135" s="2"/>
      <c r="S135" s="24"/>
    </row>
    <row r="136">
      <c r="A136" s="11"/>
      <c r="B136" s="23"/>
      <c r="C136" s="23"/>
      <c r="D136" s="23"/>
      <c r="E136" s="23"/>
      <c r="F136" s="1"/>
      <c r="G136" s="23"/>
      <c r="H136" s="23"/>
      <c r="I136" s="23"/>
      <c r="N136" s="2"/>
      <c r="S136" s="24"/>
    </row>
    <row r="137">
      <c r="A137" s="11"/>
      <c r="B137" s="23"/>
      <c r="C137" s="23"/>
      <c r="D137" s="23"/>
      <c r="E137" s="23"/>
      <c r="F137" s="1"/>
      <c r="G137" s="23"/>
      <c r="H137" s="23"/>
      <c r="I137" s="23"/>
      <c r="N137" s="2"/>
      <c r="S137" s="24"/>
    </row>
    <row r="138">
      <c r="A138" s="11"/>
      <c r="B138" s="23"/>
      <c r="C138" s="23"/>
      <c r="D138" s="23"/>
      <c r="E138" s="23"/>
      <c r="F138" s="1"/>
      <c r="G138" s="23"/>
      <c r="H138" s="23"/>
      <c r="I138" s="23"/>
      <c r="N138" s="2"/>
      <c r="S138" s="24"/>
    </row>
    <row r="139">
      <c r="A139" s="11"/>
      <c r="B139" s="23"/>
      <c r="C139" s="23"/>
      <c r="D139" s="23"/>
      <c r="E139" s="23"/>
      <c r="F139" s="1"/>
      <c r="G139" s="23"/>
      <c r="H139" s="23"/>
      <c r="I139" s="23"/>
      <c r="N139" s="2"/>
      <c r="S139" s="24"/>
    </row>
    <row r="140">
      <c r="A140" s="11"/>
      <c r="B140" s="23"/>
      <c r="C140" s="23"/>
      <c r="D140" s="23"/>
      <c r="E140" s="23"/>
      <c r="F140" s="1"/>
      <c r="G140" s="23"/>
      <c r="H140" s="23"/>
      <c r="I140" s="23"/>
      <c r="N140" s="2"/>
      <c r="S140" s="24"/>
    </row>
    <row r="141">
      <c r="A141" s="11"/>
      <c r="B141" s="23"/>
      <c r="C141" s="23"/>
      <c r="D141" s="23"/>
      <c r="E141" s="23"/>
      <c r="F141" s="1"/>
      <c r="G141" s="23"/>
      <c r="H141" s="23"/>
      <c r="I141" s="23"/>
      <c r="N141" s="2"/>
      <c r="S141" s="24"/>
    </row>
    <row r="142">
      <c r="A142" s="11"/>
      <c r="B142" s="23"/>
      <c r="C142" s="23"/>
      <c r="D142" s="23"/>
      <c r="E142" s="23"/>
      <c r="F142" s="1"/>
      <c r="G142" s="23"/>
      <c r="H142" s="23"/>
      <c r="I142" s="23"/>
      <c r="N142" s="2"/>
      <c r="S142" s="24"/>
    </row>
    <row r="143">
      <c r="A143" s="11"/>
      <c r="B143" s="23"/>
      <c r="C143" s="23"/>
      <c r="D143" s="23"/>
      <c r="E143" s="23"/>
      <c r="F143" s="1"/>
      <c r="G143" s="23"/>
      <c r="H143" s="23"/>
      <c r="I143" s="23"/>
      <c r="N143" s="2"/>
      <c r="S143" s="24"/>
    </row>
    <row r="144">
      <c r="A144" s="11"/>
      <c r="B144" s="23"/>
      <c r="C144" s="23"/>
      <c r="D144" s="23"/>
      <c r="E144" s="23"/>
      <c r="F144" s="1"/>
      <c r="G144" s="23"/>
      <c r="H144" s="23"/>
      <c r="I144" s="23"/>
      <c r="N144" s="2"/>
      <c r="S144" s="24"/>
    </row>
    <row r="145">
      <c r="A145" s="11"/>
      <c r="B145" s="23"/>
      <c r="C145" s="23"/>
      <c r="D145" s="23"/>
      <c r="E145" s="23"/>
      <c r="F145" s="1"/>
      <c r="G145" s="23"/>
      <c r="H145" s="23"/>
      <c r="I145" s="23"/>
      <c r="N145" s="2"/>
      <c r="S145" s="24"/>
    </row>
    <row r="146">
      <c r="A146" s="11"/>
      <c r="B146" s="23"/>
      <c r="C146" s="23"/>
      <c r="D146" s="23"/>
      <c r="E146" s="23"/>
      <c r="F146" s="1"/>
      <c r="G146" s="23"/>
      <c r="H146" s="23"/>
      <c r="I146" s="23"/>
      <c r="N146" s="2"/>
      <c r="S146" s="24"/>
    </row>
    <row r="147">
      <c r="A147" s="11"/>
      <c r="B147" s="23"/>
      <c r="C147" s="23"/>
      <c r="D147" s="23"/>
      <c r="E147" s="23"/>
      <c r="F147" s="1"/>
      <c r="G147" s="23"/>
      <c r="H147" s="23"/>
      <c r="I147" s="23"/>
      <c r="N147" s="2"/>
      <c r="S147" s="24"/>
    </row>
    <row r="148">
      <c r="A148" s="11"/>
      <c r="B148" s="23"/>
      <c r="C148" s="23"/>
      <c r="D148" s="23"/>
      <c r="E148" s="23"/>
      <c r="F148" s="1"/>
      <c r="G148" s="23"/>
      <c r="H148" s="23"/>
      <c r="I148" s="23"/>
      <c r="N148" s="2"/>
      <c r="S148" s="24"/>
    </row>
    <row r="149">
      <c r="A149" s="11"/>
      <c r="B149" s="23"/>
      <c r="C149" s="23"/>
      <c r="D149" s="23"/>
      <c r="E149" s="23"/>
      <c r="F149" s="1"/>
      <c r="G149" s="23"/>
      <c r="H149" s="23"/>
      <c r="I149" s="23"/>
      <c r="N149" s="2"/>
      <c r="S149" s="24"/>
    </row>
    <row r="150">
      <c r="A150" s="11"/>
      <c r="B150" s="23"/>
      <c r="C150" s="23"/>
      <c r="D150" s="23"/>
      <c r="E150" s="23"/>
      <c r="F150" s="1"/>
      <c r="G150" s="23"/>
      <c r="H150" s="23"/>
      <c r="I150" s="23"/>
      <c r="N150" s="2"/>
      <c r="S150" s="24"/>
    </row>
    <row r="151">
      <c r="A151" s="11"/>
      <c r="B151" s="23"/>
      <c r="C151" s="23"/>
      <c r="D151" s="23"/>
      <c r="E151" s="23"/>
      <c r="F151" s="1"/>
      <c r="G151" s="23"/>
      <c r="H151" s="23"/>
      <c r="I151" s="23"/>
      <c r="N151" s="2"/>
      <c r="S151" s="24"/>
    </row>
    <row r="152">
      <c r="A152" s="11"/>
      <c r="B152" s="23"/>
      <c r="C152" s="23"/>
      <c r="D152" s="23"/>
      <c r="E152" s="23"/>
      <c r="F152" s="1"/>
      <c r="G152" s="23"/>
      <c r="H152" s="23"/>
      <c r="I152" s="23"/>
      <c r="N152" s="2"/>
      <c r="S152" s="24"/>
    </row>
    <row r="153">
      <c r="A153" s="11"/>
      <c r="B153" s="23"/>
      <c r="C153" s="23"/>
      <c r="D153" s="23"/>
      <c r="E153" s="23"/>
      <c r="F153" s="1"/>
      <c r="G153" s="23"/>
      <c r="H153" s="23"/>
      <c r="I153" s="23"/>
      <c r="N153" s="2"/>
      <c r="S153" s="24"/>
    </row>
    <row r="154">
      <c r="A154" s="11"/>
      <c r="B154" s="23"/>
      <c r="C154" s="23"/>
      <c r="D154" s="23"/>
      <c r="E154" s="23"/>
      <c r="F154" s="1"/>
      <c r="G154" s="23"/>
      <c r="H154" s="23"/>
      <c r="I154" s="23"/>
      <c r="N154" s="2"/>
      <c r="S154" s="24"/>
    </row>
    <row r="155">
      <c r="A155" s="11"/>
      <c r="B155" s="23"/>
      <c r="C155" s="23"/>
      <c r="D155" s="23"/>
      <c r="E155" s="23"/>
      <c r="F155" s="1"/>
      <c r="G155" s="23"/>
      <c r="H155" s="23"/>
      <c r="I155" s="23"/>
      <c r="N155" s="2"/>
      <c r="S155" s="24"/>
    </row>
    <row r="156">
      <c r="A156" s="11"/>
      <c r="B156" s="23"/>
      <c r="C156" s="23"/>
      <c r="D156" s="23"/>
      <c r="E156" s="23"/>
      <c r="F156" s="1"/>
      <c r="G156" s="23"/>
      <c r="H156" s="23"/>
      <c r="I156" s="23"/>
      <c r="N156" s="2"/>
      <c r="S156" s="24"/>
    </row>
    <row r="157">
      <c r="A157" s="11"/>
      <c r="B157" s="23"/>
      <c r="C157" s="23"/>
      <c r="D157" s="23"/>
      <c r="E157" s="23"/>
      <c r="F157" s="1"/>
      <c r="G157" s="23"/>
      <c r="H157" s="23"/>
      <c r="I157" s="23"/>
      <c r="N157" s="2"/>
      <c r="S157" s="24"/>
    </row>
    <row r="158">
      <c r="A158" s="11"/>
      <c r="B158" s="23"/>
      <c r="C158" s="23"/>
      <c r="D158" s="23"/>
      <c r="E158" s="23"/>
      <c r="F158" s="1"/>
      <c r="G158" s="23"/>
      <c r="H158" s="23"/>
      <c r="I158" s="23"/>
      <c r="N158" s="2"/>
      <c r="S158" s="24"/>
    </row>
    <row r="159">
      <c r="A159" s="11"/>
      <c r="B159" s="23"/>
      <c r="C159" s="23"/>
      <c r="D159" s="23"/>
      <c r="E159" s="23"/>
      <c r="F159" s="1"/>
      <c r="G159" s="23"/>
      <c r="H159" s="23"/>
      <c r="I159" s="23"/>
      <c r="N159" s="2"/>
      <c r="S159" s="24"/>
    </row>
    <row r="160">
      <c r="A160" s="11"/>
      <c r="B160" s="23"/>
      <c r="C160" s="23"/>
      <c r="D160" s="23"/>
      <c r="E160" s="23"/>
      <c r="F160" s="1"/>
      <c r="G160" s="23"/>
      <c r="H160" s="23"/>
      <c r="I160" s="23"/>
      <c r="N160" s="2"/>
      <c r="S160" s="24"/>
    </row>
    <row r="161">
      <c r="A161" s="11"/>
      <c r="B161" s="23"/>
      <c r="C161" s="23"/>
      <c r="D161" s="23"/>
      <c r="E161" s="23"/>
      <c r="F161" s="1"/>
      <c r="G161" s="23"/>
      <c r="H161" s="23"/>
      <c r="I161" s="23"/>
      <c r="N161" s="2"/>
      <c r="S161" s="24"/>
    </row>
    <row r="162">
      <c r="A162" s="11"/>
      <c r="B162" s="23"/>
      <c r="C162" s="23"/>
      <c r="D162" s="23"/>
      <c r="E162" s="23"/>
      <c r="F162" s="1"/>
      <c r="G162" s="23"/>
      <c r="H162" s="23"/>
      <c r="I162" s="23"/>
      <c r="N162" s="2"/>
      <c r="S162" s="24"/>
    </row>
    <row r="163">
      <c r="A163" s="11"/>
      <c r="B163" s="23"/>
      <c r="C163" s="23"/>
      <c r="D163" s="23"/>
      <c r="E163" s="23"/>
      <c r="F163" s="1"/>
      <c r="G163" s="23"/>
      <c r="H163" s="23"/>
      <c r="I163" s="23"/>
      <c r="N163" s="2"/>
      <c r="S163" s="24"/>
    </row>
    <row r="164">
      <c r="A164" s="11"/>
      <c r="B164" s="23"/>
      <c r="C164" s="23"/>
      <c r="D164" s="23"/>
      <c r="E164" s="23"/>
      <c r="F164" s="1"/>
      <c r="G164" s="23"/>
      <c r="H164" s="23"/>
      <c r="I164" s="23"/>
      <c r="N164" s="2"/>
      <c r="S164" s="24"/>
    </row>
    <row r="165">
      <c r="A165" s="11"/>
      <c r="B165" s="23"/>
      <c r="C165" s="23"/>
      <c r="D165" s="23"/>
      <c r="E165" s="23"/>
      <c r="F165" s="1"/>
      <c r="G165" s="23"/>
      <c r="H165" s="23"/>
      <c r="I165" s="23"/>
      <c r="N165" s="2"/>
      <c r="S165" s="24"/>
    </row>
    <row r="166">
      <c r="A166" s="11"/>
      <c r="B166" s="23"/>
      <c r="C166" s="23"/>
      <c r="D166" s="23"/>
      <c r="E166" s="23"/>
      <c r="F166" s="1"/>
      <c r="G166" s="23"/>
      <c r="H166" s="23"/>
      <c r="I166" s="23"/>
      <c r="N166" s="2"/>
      <c r="S166" s="24"/>
    </row>
    <row r="167">
      <c r="A167" s="11"/>
      <c r="B167" s="23"/>
      <c r="C167" s="23"/>
      <c r="D167" s="23"/>
      <c r="E167" s="23"/>
      <c r="F167" s="1"/>
      <c r="G167" s="23"/>
      <c r="H167" s="23"/>
      <c r="I167" s="23"/>
      <c r="N167" s="2"/>
      <c r="S167" s="24"/>
    </row>
    <row r="168">
      <c r="A168" s="11"/>
      <c r="B168" s="23"/>
      <c r="C168" s="23"/>
      <c r="D168" s="23"/>
      <c r="E168" s="23"/>
      <c r="F168" s="1"/>
      <c r="G168" s="23"/>
      <c r="H168" s="23"/>
      <c r="I168" s="23"/>
      <c r="N168" s="2"/>
      <c r="S168" s="24"/>
    </row>
    <row r="169">
      <c r="A169" s="11"/>
      <c r="B169" s="23"/>
      <c r="C169" s="23"/>
      <c r="D169" s="23"/>
      <c r="E169" s="23"/>
      <c r="F169" s="1"/>
      <c r="G169" s="23"/>
      <c r="H169" s="23"/>
      <c r="I169" s="23"/>
      <c r="N169" s="2"/>
      <c r="S169" s="24"/>
    </row>
    <row r="170">
      <c r="A170" s="11"/>
      <c r="B170" s="23"/>
      <c r="C170" s="23"/>
      <c r="D170" s="23"/>
      <c r="E170" s="23"/>
      <c r="F170" s="1"/>
      <c r="G170" s="23"/>
      <c r="H170" s="23"/>
      <c r="I170" s="23"/>
      <c r="N170" s="2"/>
      <c r="S170" s="24"/>
    </row>
    <row r="171">
      <c r="A171" s="11"/>
      <c r="B171" s="23"/>
      <c r="C171" s="23"/>
      <c r="D171" s="23"/>
      <c r="E171" s="23"/>
      <c r="F171" s="1"/>
      <c r="G171" s="23"/>
      <c r="H171" s="23"/>
      <c r="I171" s="23"/>
      <c r="N171" s="2"/>
      <c r="S171" s="24"/>
    </row>
    <row r="172">
      <c r="A172" s="11"/>
      <c r="B172" s="23"/>
      <c r="C172" s="23"/>
      <c r="D172" s="23"/>
      <c r="E172" s="23"/>
      <c r="F172" s="1"/>
      <c r="G172" s="23"/>
      <c r="H172" s="23"/>
      <c r="I172" s="23"/>
      <c r="N172" s="2"/>
      <c r="S172" s="24"/>
    </row>
    <row r="173">
      <c r="A173" s="11"/>
      <c r="B173" s="23"/>
      <c r="C173" s="23"/>
      <c r="D173" s="23"/>
      <c r="E173" s="23"/>
      <c r="F173" s="1"/>
      <c r="G173" s="23"/>
      <c r="H173" s="23"/>
      <c r="I173" s="23"/>
      <c r="N173" s="2"/>
      <c r="S173" s="24"/>
    </row>
    <row r="174">
      <c r="A174" s="11"/>
      <c r="B174" s="23"/>
      <c r="C174" s="23"/>
      <c r="D174" s="23"/>
      <c r="E174" s="23"/>
      <c r="F174" s="1"/>
      <c r="G174" s="23"/>
      <c r="H174" s="23"/>
      <c r="I174" s="23"/>
      <c r="N174" s="2"/>
      <c r="S174" s="24"/>
    </row>
    <row r="175">
      <c r="A175" s="11"/>
      <c r="B175" s="23"/>
      <c r="C175" s="23"/>
      <c r="D175" s="23"/>
      <c r="E175" s="23"/>
      <c r="F175" s="1"/>
      <c r="G175" s="23"/>
      <c r="H175" s="23"/>
      <c r="I175" s="23"/>
      <c r="N175" s="2"/>
      <c r="S175" s="24"/>
    </row>
    <row r="176">
      <c r="A176" s="11"/>
      <c r="B176" s="23"/>
      <c r="C176" s="23"/>
      <c r="D176" s="23"/>
      <c r="E176" s="23"/>
      <c r="F176" s="1"/>
      <c r="G176" s="23"/>
      <c r="H176" s="23"/>
      <c r="I176" s="23"/>
      <c r="N176" s="2"/>
      <c r="S176" s="24"/>
    </row>
    <row r="177">
      <c r="A177" s="11"/>
      <c r="B177" s="23"/>
      <c r="C177" s="23"/>
      <c r="D177" s="23"/>
      <c r="E177" s="23"/>
      <c r="F177" s="1"/>
      <c r="G177" s="23"/>
      <c r="H177" s="23"/>
      <c r="I177" s="23"/>
      <c r="N177" s="2"/>
      <c r="S177" s="24"/>
    </row>
    <row r="178">
      <c r="A178" s="11"/>
      <c r="B178" s="23"/>
      <c r="C178" s="23"/>
      <c r="D178" s="23"/>
      <c r="E178" s="23"/>
      <c r="F178" s="1"/>
      <c r="G178" s="23"/>
      <c r="H178" s="23"/>
      <c r="I178" s="23"/>
      <c r="N178" s="2"/>
      <c r="S178" s="24"/>
    </row>
    <row r="179">
      <c r="A179" s="11"/>
      <c r="B179" s="23"/>
      <c r="C179" s="23"/>
      <c r="D179" s="23"/>
      <c r="E179" s="23"/>
      <c r="F179" s="1"/>
      <c r="G179" s="23"/>
      <c r="H179" s="23"/>
      <c r="I179" s="23"/>
      <c r="N179" s="2"/>
      <c r="S179" s="24"/>
    </row>
    <row r="180">
      <c r="A180" s="11"/>
      <c r="B180" s="23"/>
      <c r="C180" s="23"/>
      <c r="D180" s="23"/>
      <c r="E180" s="23"/>
      <c r="F180" s="1"/>
      <c r="G180" s="23"/>
      <c r="H180" s="23"/>
      <c r="I180" s="23"/>
      <c r="N180" s="2"/>
      <c r="S180" s="24"/>
    </row>
    <row r="181">
      <c r="A181" s="11"/>
      <c r="B181" s="23"/>
      <c r="C181" s="23"/>
      <c r="D181" s="23"/>
      <c r="E181" s="23"/>
      <c r="F181" s="1"/>
      <c r="G181" s="23"/>
      <c r="H181" s="23"/>
      <c r="I181" s="23"/>
      <c r="N181" s="2"/>
      <c r="S181" s="24"/>
    </row>
    <row r="182">
      <c r="A182" s="11"/>
      <c r="B182" s="23"/>
      <c r="C182" s="23"/>
      <c r="D182" s="23"/>
      <c r="E182" s="23"/>
      <c r="F182" s="1"/>
      <c r="G182" s="23"/>
      <c r="H182" s="23"/>
      <c r="I182" s="23"/>
      <c r="N182" s="2"/>
      <c r="S182" s="24"/>
    </row>
    <row r="183">
      <c r="A183" s="11"/>
      <c r="B183" s="23"/>
      <c r="C183" s="23"/>
      <c r="D183" s="23"/>
      <c r="E183" s="23"/>
      <c r="F183" s="1"/>
      <c r="G183" s="23"/>
      <c r="H183" s="23"/>
      <c r="I183" s="23"/>
      <c r="N183" s="2"/>
      <c r="S183" s="24"/>
    </row>
    <row r="184">
      <c r="A184" s="11"/>
      <c r="B184" s="23"/>
      <c r="C184" s="23"/>
      <c r="D184" s="23"/>
      <c r="E184" s="23"/>
      <c r="F184" s="1"/>
      <c r="G184" s="23"/>
      <c r="H184" s="23"/>
      <c r="I184" s="23"/>
      <c r="N184" s="2"/>
      <c r="S184" s="24"/>
    </row>
    <row r="185">
      <c r="A185" s="11"/>
      <c r="B185" s="23"/>
      <c r="C185" s="23"/>
      <c r="D185" s="23"/>
      <c r="E185" s="23"/>
      <c r="F185" s="1"/>
      <c r="G185" s="23"/>
      <c r="H185" s="23"/>
      <c r="I185" s="23"/>
      <c r="N185" s="2"/>
      <c r="S185" s="24"/>
    </row>
    <row r="186">
      <c r="A186" s="11"/>
      <c r="B186" s="23"/>
      <c r="C186" s="23"/>
      <c r="D186" s="23"/>
      <c r="E186" s="23"/>
      <c r="F186" s="1"/>
      <c r="G186" s="23"/>
      <c r="H186" s="23"/>
      <c r="I186" s="23"/>
      <c r="N186" s="2"/>
      <c r="S186" s="24"/>
    </row>
    <row r="187">
      <c r="A187" s="11"/>
      <c r="B187" s="23"/>
      <c r="C187" s="23"/>
      <c r="D187" s="23"/>
      <c r="E187" s="23"/>
      <c r="F187" s="1"/>
      <c r="G187" s="23"/>
      <c r="H187" s="23"/>
      <c r="I187" s="23"/>
      <c r="N187" s="2"/>
      <c r="S187" s="24"/>
    </row>
    <row r="188">
      <c r="A188" s="11"/>
      <c r="B188" s="23"/>
      <c r="C188" s="23"/>
      <c r="D188" s="23"/>
      <c r="E188" s="23"/>
      <c r="F188" s="1"/>
      <c r="G188" s="23"/>
      <c r="H188" s="23"/>
      <c r="I188" s="23"/>
      <c r="N188" s="2"/>
      <c r="S188" s="24"/>
    </row>
    <row r="189">
      <c r="A189" s="11"/>
      <c r="B189" s="23"/>
      <c r="C189" s="23"/>
      <c r="D189" s="23"/>
      <c r="E189" s="23"/>
      <c r="F189" s="1"/>
      <c r="G189" s="23"/>
      <c r="H189" s="23"/>
      <c r="I189" s="23"/>
      <c r="N189" s="2"/>
      <c r="S189" s="24"/>
    </row>
    <row r="190">
      <c r="A190" s="11"/>
      <c r="B190" s="23"/>
      <c r="C190" s="23"/>
      <c r="D190" s="23"/>
      <c r="E190" s="23"/>
      <c r="F190" s="1"/>
      <c r="G190" s="23"/>
      <c r="H190" s="23"/>
      <c r="I190" s="23"/>
      <c r="N190" s="2"/>
      <c r="S190" s="24"/>
    </row>
    <row r="191">
      <c r="A191" s="11"/>
      <c r="B191" s="23"/>
      <c r="C191" s="23"/>
      <c r="D191" s="23"/>
      <c r="E191" s="23"/>
      <c r="F191" s="1"/>
      <c r="G191" s="23"/>
      <c r="H191" s="23"/>
      <c r="I191" s="23"/>
      <c r="N191" s="2"/>
      <c r="S191" s="24"/>
    </row>
    <row r="192">
      <c r="A192" s="11"/>
      <c r="B192" s="23"/>
      <c r="C192" s="23"/>
      <c r="D192" s="23"/>
      <c r="E192" s="23"/>
      <c r="F192" s="1"/>
      <c r="G192" s="23"/>
      <c r="H192" s="23"/>
      <c r="I192" s="23"/>
      <c r="N192" s="2"/>
      <c r="S192" s="24"/>
    </row>
    <row r="193">
      <c r="A193" s="11"/>
      <c r="B193" s="23"/>
      <c r="C193" s="23"/>
      <c r="D193" s="23"/>
      <c r="E193" s="23"/>
      <c r="F193" s="1"/>
      <c r="G193" s="23"/>
      <c r="H193" s="23"/>
      <c r="I193" s="23"/>
      <c r="N193" s="2"/>
      <c r="S193" s="24"/>
    </row>
    <row r="194">
      <c r="A194" s="11"/>
      <c r="B194" s="23"/>
      <c r="C194" s="23"/>
      <c r="D194" s="23"/>
      <c r="E194" s="23"/>
      <c r="F194" s="1"/>
      <c r="G194" s="23"/>
      <c r="H194" s="23"/>
      <c r="I194" s="23"/>
      <c r="N194" s="2"/>
      <c r="S194" s="24"/>
    </row>
    <row r="195">
      <c r="A195" s="11"/>
      <c r="B195" s="23"/>
      <c r="C195" s="23"/>
      <c r="D195" s="23"/>
      <c r="E195" s="23"/>
      <c r="F195" s="1"/>
      <c r="G195" s="23"/>
      <c r="H195" s="23"/>
      <c r="I195" s="23"/>
      <c r="N195" s="2"/>
      <c r="S195" s="24"/>
    </row>
    <row r="196">
      <c r="A196" s="11"/>
      <c r="B196" s="23"/>
      <c r="C196" s="23"/>
      <c r="D196" s="23"/>
      <c r="E196" s="23"/>
      <c r="F196" s="1"/>
      <c r="G196" s="23"/>
      <c r="H196" s="23"/>
      <c r="I196" s="23"/>
      <c r="N196" s="2"/>
      <c r="S196" s="24"/>
    </row>
    <row r="197">
      <c r="A197" s="11"/>
      <c r="B197" s="23"/>
      <c r="C197" s="23"/>
      <c r="D197" s="23"/>
      <c r="E197" s="23"/>
      <c r="F197" s="1"/>
      <c r="G197" s="23"/>
      <c r="H197" s="23"/>
      <c r="I197" s="23"/>
      <c r="N197" s="2"/>
      <c r="S197" s="24"/>
    </row>
    <row r="198">
      <c r="A198" s="11"/>
      <c r="B198" s="23"/>
      <c r="C198" s="23"/>
      <c r="D198" s="23"/>
      <c r="E198" s="23"/>
      <c r="F198" s="1"/>
      <c r="G198" s="23"/>
      <c r="H198" s="23"/>
      <c r="I198" s="23"/>
      <c r="N198" s="2"/>
      <c r="S198" s="24"/>
    </row>
    <row r="199">
      <c r="A199" s="11"/>
      <c r="B199" s="23"/>
      <c r="C199" s="23"/>
      <c r="D199" s="23"/>
      <c r="E199" s="23"/>
      <c r="F199" s="1"/>
      <c r="G199" s="23"/>
      <c r="H199" s="23"/>
      <c r="I199" s="23"/>
      <c r="N199" s="2"/>
      <c r="S199" s="24"/>
    </row>
    <row r="200">
      <c r="A200" s="11"/>
      <c r="B200" s="23"/>
      <c r="C200" s="23"/>
      <c r="D200" s="23"/>
      <c r="E200" s="23"/>
      <c r="F200" s="1"/>
      <c r="G200" s="23"/>
      <c r="H200" s="23"/>
      <c r="I200" s="23"/>
      <c r="N200" s="2"/>
      <c r="S200" s="24"/>
    </row>
    <row r="201">
      <c r="A201" s="11"/>
      <c r="B201" s="23"/>
      <c r="C201" s="23"/>
      <c r="D201" s="23"/>
      <c r="E201" s="23"/>
      <c r="F201" s="1"/>
      <c r="G201" s="23"/>
      <c r="H201" s="23"/>
      <c r="I201" s="23"/>
      <c r="N201" s="2"/>
      <c r="S201" s="24"/>
    </row>
    <row r="202">
      <c r="A202" s="11"/>
      <c r="B202" s="23"/>
      <c r="C202" s="23"/>
      <c r="D202" s="23"/>
      <c r="E202" s="23"/>
      <c r="F202" s="1"/>
      <c r="G202" s="23"/>
      <c r="H202" s="23"/>
      <c r="I202" s="23"/>
      <c r="N202" s="2"/>
      <c r="S202" s="24"/>
    </row>
    <row r="203">
      <c r="A203" s="11"/>
      <c r="B203" s="23"/>
      <c r="C203" s="23"/>
      <c r="D203" s="23"/>
      <c r="E203" s="23"/>
      <c r="F203" s="1"/>
      <c r="G203" s="23"/>
      <c r="H203" s="23"/>
      <c r="I203" s="23"/>
      <c r="N203" s="2"/>
      <c r="S203" s="24"/>
    </row>
    <row r="204">
      <c r="A204" s="11"/>
      <c r="B204" s="23"/>
      <c r="C204" s="23"/>
      <c r="D204" s="23"/>
      <c r="E204" s="23"/>
      <c r="F204" s="1"/>
      <c r="G204" s="23"/>
      <c r="H204" s="23"/>
      <c r="I204" s="23"/>
      <c r="N204" s="2"/>
      <c r="S204" s="24"/>
    </row>
    <row r="205">
      <c r="A205" s="11"/>
      <c r="B205" s="23"/>
      <c r="C205" s="23"/>
      <c r="D205" s="23"/>
      <c r="E205" s="23"/>
      <c r="F205" s="1"/>
      <c r="G205" s="23"/>
      <c r="H205" s="23"/>
      <c r="I205" s="23"/>
      <c r="N205" s="2"/>
      <c r="S205" s="24"/>
    </row>
    <row r="206">
      <c r="A206" s="11"/>
      <c r="B206" s="23"/>
      <c r="C206" s="23"/>
      <c r="D206" s="23"/>
      <c r="E206" s="23"/>
      <c r="F206" s="1"/>
      <c r="G206" s="23"/>
      <c r="H206" s="23"/>
      <c r="I206" s="23"/>
      <c r="N206" s="2"/>
      <c r="S206" s="24"/>
    </row>
    <row r="207">
      <c r="A207" s="11"/>
      <c r="B207" s="23"/>
      <c r="C207" s="23"/>
      <c r="D207" s="23"/>
      <c r="E207" s="23"/>
      <c r="F207" s="1"/>
      <c r="G207" s="23"/>
      <c r="H207" s="23"/>
      <c r="I207" s="23"/>
      <c r="N207" s="2"/>
      <c r="S207" s="24"/>
    </row>
    <row r="208">
      <c r="A208" s="11"/>
      <c r="B208" s="23"/>
      <c r="C208" s="23"/>
      <c r="D208" s="23"/>
      <c r="E208" s="23"/>
      <c r="F208" s="1"/>
      <c r="G208" s="23"/>
      <c r="H208" s="23"/>
      <c r="I208" s="23"/>
      <c r="N208" s="2"/>
      <c r="S208" s="24"/>
    </row>
    <row r="209">
      <c r="A209" s="11"/>
      <c r="B209" s="23"/>
      <c r="C209" s="23"/>
      <c r="D209" s="23"/>
      <c r="E209" s="23"/>
      <c r="F209" s="1"/>
      <c r="G209" s="23"/>
      <c r="H209" s="23"/>
      <c r="I209" s="23"/>
      <c r="N209" s="2"/>
      <c r="S209" s="24"/>
    </row>
    <row r="210">
      <c r="A210" s="11"/>
      <c r="B210" s="23"/>
      <c r="C210" s="23"/>
      <c r="D210" s="23"/>
      <c r="E210" s="23"/>
      <c r="F210" s="1"/>
      <c r="G210" s="23"/>
      <c r="H210" s="23"/>
      <c r="I210" s="23"/>
      <c r="N210" s="2"/>
      <c r="S210" s="24"/>
    </row>
    <row r="211">
      <c r="A211" s="11"/>
      <c r="B211" s="23"/>
      <c r="C211" s="23"/>
      <c r="D211" s="23"/>
      <c r="E211" s="23"/>
      <c r="F211" s="1"/>
      <c r="G211" s="23"/>
      <c r="H211" s="23"/>
      <c r="I211" s="23"/>
      <c r="N211" s="2"/>
      <c r="S211" s="24"/>
    </row>
    <row r="212">
      <c r="A212" s="11"/>
      <c r="B212" s="23"/>
      <c r="C212" s="23"/>
      <c r="D212" s="23"/>
      <c r="E212" s="23"/>
      <c r="F212" s="1"/>
      <c r="G212" s="23"/>
      <c r="H212" s="23"/>
      <c r="I212" s="23"/>
      <c r="N212" s="2"/>
      <c r="S212" s="24"/>
    </row>
    <row r="213">
      <c r="A213" s="11"/>
      <c r="B213" s="23"/>
      <c r="C213" s="23"/>
      <c r="D213" s="23"/>
      <c r="E213" s="23"/>
      <c r="F213" s="1"/>
      <c r="G213" s="23"/>
      <c r="H213" s="23"/>
      <c r="I213" s="23"/>
      <c r="N213" s="2"/>
      <c r="S213" s="24"/>
    </row>
    <row r="214">
      <c r="A214" s="11"/>
      <c r="B214" s="23"/>
      <c r="C214" s="23"/>
      <c r="D214" s="23"/>
      <c r="E214" s="23"/>
      <c r="F214" s="1"/>
      <c r="G214" s="23"/>
      <c r="H214" s="23"/>
      <c r="I214" s="23"/>
      <c r="N214" s="2"/>
      <c r="S214" s="24"/>
    </row>
    <row r="215">
      <c r="A215" s="11"/>
      <c r="B215" s="23"/>
      <c r="C215" s="23"/>
      <c r="D215" s="23"/>
      <c r="E215" s="23"/>
      <c r="F215" s="1"/>
      <c r="G215" s="23"/>
      <c r="H215" s="23"/>
      <c r="I215" s="23"/>
      <c r="N215" s="2"/>
      <c r="S215" s="24"/>
    </row>
    <row r="216">
      <c r="A216" s="11"/>
      <c r="B216" s="23"/>
      <c r="C216" s="23"/>
      <c r="D216" s="23"/>
      <c r="E216" s="23"/>
      <c r="F216" s="1"/>
      <c r="G216" s="23"/>
      <c r="H216" s="23"/>
      <c r="I216" s="23"/>
      <c r="N216" s="2"/>
      <c r="S216" s="24"/>
    </row>
    <row r="217">
      <c r="A217" s="11"/>
      <c r="B217" s="23"/>
      <c r="C217" s="23"/>
      <c r="D217" s="23"/>
      <c r="E217" s="23"/>
      <c r="F217" s="1"/>
      <c r="G217" s="23"/>
      <c r="H217" s="23"/>
      <c r="I217" s="23"/>
      <c r="N217" s="2"/>
      <c r="S217" s="24"/>
    </row>
    <row r="218">
      <c r="A218" s="11"/>
      <c r="B218" s="23"/>
      <c r="C218" s="23"/>
      <c r="D218" s="23"/>
      <c r="E218" s="23"/>
      <c r="F218" s="1"/>
      <c r="G218" s="23"/>
      <c r="H218" s="23"/>
      <c r="I218" s="23"/>
      <c r="N218" s="2"/>
      <c r="S218" s="24"/>
    </row>
    <row r="219">
      <c r="A219" s="11"/>
      <c r="B219" s="23"/>
      <c r="C219" s="23"/>
      <c r="D219" s="23"/>
      <c r="E219" s="23"/>
      <c r="F219" s="1"/>
      <c r="G219" s="23"/>
      <c r="H219" s="23"/>
      <c r="I219" s="23"/>
      <c r="N219" s="2"/>
      <c r="S219" s="24"/>
    </row>
    <row r="220">
      <c r="A220" s="11"/>
      <c r="B220" s="23"/>
      <c r="C220" s="23"/>
      <c r="D220" s="23"/>
      <c r="E220" s="23"/>
      <c r="F220" s="1"/>
      <c r="G220" s="23"/>
      <c r="H220" s="23"/>
      <c r="I220" s="23"/>
      <c r="N220" s="2"/>
      <c r="S220" s="24"/>
    </row>
    <row r="221">
      <c r="A221" s="11"/>
      <c r="B221" s="23"/>
      <c r="C221" s="23"/>
      <c r="D221" s="23"/>
      <c r="E221" s="23"/>
      <c r="F221" s="1"/>
      <c r="G221" s="23"/>
      <c r="H221" s="23"/>
      <c r="I221" s="23"/>
      <c r="N221" s="2"/>
      <c r="S221" s="24"/>
    </row>
    <row r="222">
      <c r="A222" s="11"/>
      <c r="B222" s="23"/>
      <c r="C222" s="23"/>
      <c r="D222" s="23"/>
      <c r="E222" s="23"/>
      <c r="F222" s="1"/>
      <c r="G222" s="23"/>
      <c r="H222" s="23"/>
      <c r="I222" s="23"/>
      <c r="N222" s="2"/>
      <c r="S222" s="24"/>
    </row>
    <row r="223">
      <c r="A223" s="11"/>
      <c r="B223" s="23"/>
      <c r="C223" s="23"/>
      <c r="D223" s="23"/>
      <c r="E223" s="23"/>
      <c r="F223" s="1"/>
      <c r="G223" s="23"/>
      <c r="H223" s="23"/>
      <c r="I223" s="23"/>
      <c r="N223" s="2"/>
      <c r="S223" s="24"/>
    </row>
    <row r="224">
      <c r="A224" s="11"/>
      <c r="B224" s="23"/>
      <c r="C224" s="23"/>
      <c r="D224" s="23"/>
      <c r="E224" s="23"/>
      <c r="F224" s="1"/>
      <c r="G224" s="23"/>
      <c r="H224" s="23"/>
      <c r="I224" s="23"/>
      <c r="N224" s="2"/>
      <c r="S224" s="24"/>
    </row>
    <row r="225">
      <c r="A225" s="11"/>
      <c r="B225" s="23"/>
      <c r="C225" s="23"/>
      <c r="D225" s="23"/>
      <c r="E225" s="23"/>
      <c r="F225" s="1"/>
      <c r="G225" s="23"/>
      <c r="H225" s="23"/>
      <c r="I225" s="23"/>
      <c r="N225" s="2"/>
      <c r="S225" s="24"/>
    </row>
    <row r="226">
      <c r="A226" s="11"/>
      <c r="B226" s="23"/>
      <c r="C226" s="23"/>
      <c r="D226" s="23"/>
      <c r="E226" s="23"/>
      <c r="F226" s="1"/>
      <c r="G226" s="23"/>
      <c r="H226" s="23"/>
      <c r="I226" s="23"/>
      <c r="N226" s="2"/>
      <c r="S226" s="24"/>
    </row>
    <row r="227">
      <c r="A227" s="11"/>
      <c r="B227" s="23"/>
      <c r="C227" s="23"/>
      <c r="D227" s="23"/>
      <c r="E227" s="23"/>
      <c r="F227" s="1"/>
      <c r="G227" s="23"/>
      <c r="H227" s="23"/>
      <c r="I227" s="23"/>
      <c r="N227" s="2"/>
      <c r="S227" s="24"/>
    </row>
    <row r="228">
      <c r="A228" s="11"/>
      <c r="B228" s="23"/>
      <c r="C228" s="23"/>
      <c r="D228" s="23"/>
      <c r="E228" s="23"/>
      <c r="F228" s="1"/>
      <c r="G228" s="23"/>
      <c r="H228" s="23"/>
      <c r="I228" s="23"/>
      <c r="N228" s="2"/>
      <c r="S228" s="24"/>
    </row>
    <row r="229">
      <c r="A229" s="11"/>
      <c r="B229" s="23"/>
      <c r="C229" s="23"/>
      <c r="D229" s="23"/>
      <c r="E229" s="23"/>
      <c r="F229" s="1"/>
      <c r="G229" s="23"/>
      <c r="H229" s="23"/>
      <c r="I229" s="23"/>
      <c r="N229" s="2"/>
      <c r="S229" s="24"/>
    </row>
    <row r="230">
      <c r="A230" s="11"/>
      <c r="B230" s="23"/>
      <c r="C230" s="23"/>
      <c r="D230" s="23"/>
      <c r="E230" s="23"/>
      <c r="F230" s="1"/>
      <c r="G230" s="23"/>
      <c r="H230" s="23"/>
      <c r="I230" s="23"/>
      <c r="N230" s="2"/>
      <c r="S230" s="24"/>
    </row>
    <row r="231">
      <c r="A231" s="11"/>
      <c r="B231" s="23"/>
      <c r="C231" s="23"/>
      <c r="D231" s="23"/>
      <c r="E231" s="23"/>
      <c r="F231" s="1"/>
      <c r="G231" s="23"/>
      <c r="H231" s="23"/>
      <c r="I231" s="23"/>
      <c r="N231" s="2"/>
      <c r="S231" s="24"/>
    </row>
    <row r="232">
      <c r="A232" s="11"/>
      <c r="B232" s="23"/>
      <c r="C232" s="23"/>
      <c r="D232" s="23"/>
      <c r="E232" s="23"/>
      <c r="F232" s="1"/>
      <c r="G232" s="23"/>
      <c r="H232" s="23"/>
      <c r="I232" s="23"/>
      <c r="N232" s="2"/>
      <c r="S232" s="24"/>
    </row>
    <row r="233">
      <c r="A233" s="11"/>
      <c r="B233" s="23"/>
      <c r="C233" s="23"/>
      <c r="D233" s="23"/>
      <c r="E233" s="23"/>
      <c r="F233" s="1"/>
      <c r="G233" s="23"/>
      <c r="H233" s="23"/>
      <c r="I233" s="23"/>
      <c r="N233" s="2"/>
      <c r="S233" s="24"/>
    </row>
    <row r="234">
      <c r="A234" s="11"/>
      <c r="B234" s="23"/>
      <c r="C234" s="23"/>
      <c r="D234" s="23"/>
      <c r="E234" s="23"/>
      <c r="F234" s="1"/>
      <c r="G234" s="23"/>
      <c r="H234" s="23"/>
      <c r="I234" s="23"/>
      <c r="N234" s="2"/>
      <c r="S234" s="24"/>
    </row>
    <row r="235">
      <c r="A235" s="11"/>
      <c r="B235" s="23"/>
      <c r="C235" s="23"/>
      <c r="D235" s="23"/>
      <c r="E235" s="23"/>
      <c r="F235" s="1"/>
      <c r="G235" s="23"/>
      <c r="H235" s="23"/>
      <c r="I235" s="23"/>
      <c r="N235" s="2"/>
      <c r="S235" s="24"/>
    </row>
    <row r="236">
      <c r="A236" s="11"/>
      <c r="B236" s="23"/>
      <c r="C236" s="23"/>
      <c r="D236" s="23"/>
      <c r="E236" s="23"/>
      <c r="F236" s="1"/>
      <c r="G236" s="23"/>
      <c r="H236" s="23"/>
      <c r="I236" s="23"/>
      <c r="N236" s="2"/>
      <c r="S236" s="24"/>
    </row>
    <row r="237">
      <c r="A237" s="11"/>
      <c r="B237" s="23"/>
      <c r="C237" s="23"/>
      <c r="D237" s="23"/>
      <c r="E237" s="23"/>
      <c r="F237" s="1"/>
      <c r="G237" s="23"/>
      <c r="H237" s="23"/>
      <c r="I237" s="23"/>
      <c r="N237" s="2"/>
      <c r="S237" s="24"/>
    </row>
    <row r="238">
      <c r="A238" s="11"/>
      <c r="B238" s="23"/>
      <c r="C238" s="23"/>
      <c r="D238" s="23"/>
      <c r="E238" s="23"/>
      <c r="F238" s="1"/>
      <c r="G238" s="23"/>
      <c r="H238" s="23"/>
      <c r="I238" s="23"/>
      <c r="N238" s="2"/>
      <c r="S238" s="24"/>
    </row>
    <row r="239">
      <c r="A239" s="11"/>
      <c r="B239" s="23"/>
      <c r="C239" s="23"/>
      <c r="D239" s="23"/>
      <c r="E239" s="23"/>
      <c r="F239" s="1"/>
      <c r="G239" s="23"/>
      <c r="H239" s="23"/>
      <c r="I239" s="23"/>
      <c r="N239" s="2"/>
      <c r="S239" s="24"/>
    </row>
    <row r="240">
      <c r="A240" s="11"/>
      <c r="B240" s="23"/>
      <c r="C240" s="23"/>
      <c r="D240" s="23"/>
      <c r="E240" s="23"/>
      <c r="F240" s="1"/>
      <c r="G240" s="23"/>
      <c r="H240" s="23"/>
      <c r="I240" s="23"/>
      <c r="N240" s="2"/>
      <c r="S240" s="24"/>
    </row>
    <row r="241">
      <c r="A241" s="11"/>
      <c r="B241" s="23"/>
      <c r="C241" s="23"/>
      <c r="D241" s="23"/>
      <c r="E241" s="23"/>
      <c r="F241" s="1"/>
      <c r="G241" s="23"/>
      <c r="H241" s="23"/>
      <c r="I241" s="23"/>
      <c r="N241" s="2"/>
      <c r="S241" s="24"/>
    </row>
    <row r="242">
      <c r="A242" s="11"/>
      <c r="B242" s="23"/>
      <c r="C242" s="23"/>
      <c r="D242" s="23"/>
      <c r="E242" s="23"/>
      <c r="F242" s="1"/>
      <c r="G242" s="23"/>
      <c r="H242" s="23"/>
      <c r="I242" s="23"/>
      <c r="N242" s="2"/>
      <c r="S242" s="24"/>
    </row>
    <row r="243">
      <c r="A243" s="11"/>
      <c r="B243" s="23"/>
      <c r="C243" s="23"/>
      <c r="D243" s="23"/>
      <c r="E243" s="23"/>
      <c r="F243" s="1"/>
      <c r="G243" s="23"/>
      <c r="H243" s="23"/>
      <c r="I243" s="23"/>
      <c r="N243" s="2"/>
      <c r="S243" s="24"/>
    </row>
    <row r="244">
      <c r="A244" s="11"/>
      <c r="B244" s="23"/>
      <c r="C244" s="23"/>
      <c r="D244" s="23"/>
      <c r="E244" s="23"/>
      <c r="F244" s="1"/>
      <c r="G244" s="23"/>
      <c r="H244" s="23"/>
      <c r="I244" s="23"/>
      <c r="N244" s="2"/>
      <c r="S244" s="24"/>
    </row>
    <row r="245">
      <c r="A245" s="11"/>
      <c r="B245" s="23"/>
      <c r="C245" s="23"/>
      <c r="D245" s="23"/>
      <c r="E245" s="23"/>
      <c r="F245" s="1"/>
      <c r="G245" s="23"/>
      <c r="H245" s="23"/>
      <c r="I245" s="23"/>
      <c r="N245" s="2"/>
      <c r="S245" s="24"/>
    </row>
    <row r="246">
      <c r="A246" s="11"/>
      <c r="B246" s="23"/>
      <c r="C246" s="23"/>
      <c r="D246" s="23"/>
      <c r="E246" s="23"/>
      <c r="F246" s="1"/>
      <c r="G246" s="23"/>
      <c r="H246" s="23"/>
      <c r="I246" s="23"/>
      <c r="N246" s="2"/>
      <c r="S246" s="24"/>
    </row>
    <row r="247">
      <c r="A247" s="11"/>
      <c r="B247" s="23"/>
      <c r="C247" s="23"/>
      <c r="D247" s="23"/>
      <c r="E247" s="23"/>
      <c r="F247" s="1"/>
      <c r="G247" s="23"/>
      <c r="H247" s="23"/>
      <c r="I247" s="23"/>
      <c r="N247" s="2"/>
      <c r="S247" s="24"/>
    </row>
    <row r="248">
      <c r="A248" s="11"/>
      <c r="B248" s="23"/>
      <c r="C248" s="23"/>
      <c r="D248" s="23"/>
      <c r="E248" s="23"/>
      <c r="F248" s="1"/>
      <c r="G248" s="23"/>
      <c r="H248" s="23"/>
      <c r="I248" s="23"/>
      <c r="N248" s="2"/>
      <c r="S248" s="24"/>
    </row>
    <row r="249">
      <c r="A249" s="11"/>
      <c r="B249" s="23"/>
      <c r="C249" s="23"/>
      <c r="D249" s="23"/>
      <c r="E249" s="23"/>
      <c r="F249" s="1"/>
      <c r="G249" s="23"/>
      <c r="H249" s="23"/>
      <c r="I249" s="23"/>
      <c r="N249" s="2"/>
      <c r="S249" s="24"/>
    </row>
    <row r="250">
      <c r="A250" s="11"/>
      <c r="B250" s="23"/>
      <c r="C250" s="23"/>
      <c r="D250" s="23"/>
      <c r="E250" s="23"/>
      <c r="F250" s="1"/>
      <c r="G250" s="23"/>
      <c r="H250" s="23"/>
      <c r="I250" s="23"/>
      <c r="N250" s="2"/>
      <c r="S250" s="24"/>
    </row>
    <row r="251">
      <c r="A251" s="11"/>
      <c r="B251" s="23"/>
      <c r="C251" s="23"/>
      <c r="D251" s="23"/>
      <c r="E251" s="23"/>
      <c r="F251" s="1"/>
      <c r="G251" s="23"/>
      <c r="H251" s="23"/>
      <c r="I251" s="23"/>
      <c r="N251" s="2"/>
      <c r="S251" s="24"/>
    </row>
    <row r="252">
      <c r="A252" s="11"/>
      <c r="B252" s="23"/>
      <c r="C252" s="23"/>
      <c r="D252" s="23"/>
      <c r="E252" s="23"/>
      <c r="F252" s="1"/>
      <c r="G252" s="23"/>
      <c r="H252" s="23"/>
      <c r="I252" s="23"/>
      <c r="N252" s="2"/>
      <c r="S252" s="24"/>
    </row>
    <row r="253">
      <c r="A253" s="11"/>
      <c r="B253" s="23"/>
      <c r="C253" s="23"/>
      <c r="D253" s="23"/>
      <c r="E253" s="23"/>
      <c r="F253" s="1"/>
      <c r="G253" s="23"/>
      <c r="H253" s="23"/>
      <c r="I253" s="23"/>
      <c r="N253" s="2"/>
      <c r="S253" s="24"/>
    </row>
    <row r="254">
      <c r="A254" s="11"/>
      <c r="B254" s="23"/>
      <c r="C254" s="23"/>
      <c r="D254" s="23"/>
      <c r="E254" s="23"/>
      <c r="F254" s="1"/>
      <c r="G254" s="23"/>
      <c r="H254" s="23"/>
      <c r="I254" s="23"/>
      <c r="N254" s="2"/>
      <c r="S254" s="24"/>
    </row>
    <row r="255">
      <c r="A255" s="11"/>
      <c r="B255" s="23"/>
      <c r="C255" s="23"/>
      <c r="D255" s="23"/>
      <c r="E255" s="23"/>
      <c r="F255" s="1"/>
      <c r="G255" s="23"/>
      <c r="H255" s="23"/>
      <c r="I255" s="23"/>
      <c r="N255" s="2"/>
      <c r="S255" s="24"/>
    </row>
    <row r="256">
      <c r="A256" s="11"/>
      <c r="B256" s="23"/>
      <c r="C256" s="23"/>
      <c r="D256" s="23"/>
      <c r="E256" s="23"/>
      <c r="F256" s="1"/>
      <c r="G256" s="23"/>
      <c r="H256" s="23"/>
      <c r="I256" s="23"/>
      <c r="N256" s="2"/>
      <c r="S256" s="24"/>
    </row>
    <row r="257">
      <c r="A257" s="11"/>
      <c r="B257" s="23"/>
      <c r="C257" s="23"/>
      <c r="D257" s="23"/>
      <c r="E257" s="23"/>
      <c r="F257" s="1"/>
      <c r="G257" s="23"/>
      <c r="H257" s="23"/>
      <c r="I257" s="23"/>
      <c r="N257" s="2"/>
      <c r="S257" s="24"/>
    </row>
    <row r="258">
      <c r="A258" s="11"/>
      <c r="B258" s="23"/>
      <c r="C258" s="23"/>
      <c r="D258" s="23"/>
      <c r="E258" s="23"/>
      <c r="F258" s="1"/>
      <c r="G258" s="23"/>
      <c r="H258" s="23"/>
      <c r="I258" s="23"/>
      <c r="N258" s="2"/>
      <c r="S258" s="24"/>
    </row>
    <row r="259">
      <c r="A259" s="11"/>
      <c r="B259" s="23"/>
      <c r="C259" s="23"/>
      <c r="D259" s="23"/>
      <c r="E259" s="23"/>
      <c r="F259" s="1"/>
      <c r="G259" s="23"/>
      <c r="H259" s="23"/>
      <c r="I259" s="23"/>
      <c r="N259" s="2"/>
      <c r="S259" s="24"/>
    </row>
    <row r="260">
      <c r="A260" s="11"/>
      <c r="B260" s="23"/>
      <c r="C260" s="23"/>
      <c r="D260" s="23"/>
      <c r="E260" s="23"/>
      <c r="F260" s="1"/>
      <c r="G260" s="23"/>
      <c r="H260" s="23"/>
      <c r="I260" s="23"/>
      <c r="N260" s="2"/>
      <c r="S260" s="24"/>
    </row>
    <row r="261">
      <c r="A261" s="11"/>
      <c r="B261" s="23"/>
      <c r="C261" s="23"/>
      <c r="D261" s="23"/>
      <c r="E261" s="23"/>
      <c r="F261" s="1"/>
      <c r="G261" s="23"/>
      <c r="H261" s="23"/>
      <c r="I261" s="23"/>
      <c r="N261" s="2"/>
      <c r="S261" s="24"/>
    </row>
    <row r="262">
      <c r="A262" s="11"/>
      <c r="B262" s="23"/>
      <c r="C262" s="23"/>
      <c r="D262" s="23"/>
      <c r="E262" s="23"/>
      <c r="F262" s="1"/>
      <c r="G262" s="23"/>
      <c r="H262" s="23"/>
      <c r="I262" s="23"/>
      <c r="N262" s="2"/>
      <c r="S262" s="24"/>
    </row>
    <row r="263">
      <c r="A263" s="11"/>
      <c r="B263" s="23"/>
      <c r="C263" s="23"/>
      <c r="D263" s="23"/>
      <c r="E263" s="23"/>
      <c r="F263" s="1"/>
      <c r="G263" s="23"/>
      <c r="H263" s="23"/>
      <c r="I263" s="23"/>
      <c r="N263" s="2"/>
      <c r="S263" s="24"/>
    </row>
    <row r="264">
      <c r="A264" s="11"/>
      <c r="B264" s="23"/>
      <c r="C264" s="23"/>
      <c r="D264" s="23"/>
      <c r="E264" s="23"/>
      <c r="F264" s="1"/>
      <c r="G264" s="23"/>
      <c r="H264" s="23"/>
      <c r="I264" s="23"/>
      <c r="N264" s="2"/>
      <c r="S264" s="24"/>
    </row>
    <row r="265">
      <c r="A265" s="11"/>
      <c r="B265" s="23"/>
      <c r="C265" s="23"/>
      <c r="D265" s="23"/>
      <c r="E265" s="23"/>
      <c r="F265" s="1"/>
      <c r="G265" s="23"/>
      <c r="H265" s="23"/>
      <c r="I265" s="23"/>
      <c r="N265" s="2"/>
      <c r="S265" s="24"/>
    </row>
    <row r="266">
      <c r="A266" s="11"/>
      <c r="B266" s="23"/>
      <c r="C266" s="23"/>
      <c r="D266" s="23"/>
      <c r="E266" s="23"/>
      <c r="F266" s="1"/>
      <c r="G266" s="23"/>
      <c r="H266" s="23"/>
      <c r="I266" s="23"/>
      <c r="N266" s="2"/>
      <c r="S266" s="24"/>
    </row>
    <row r="267">
      <c r="A267" s="11"/>
      <c r="B267" s="23"/>
      <c r="C267" s="23"/>
      <c r="D267" s="23"/>
      <c r="E267" s="23"/>
      <c r="F267" s="1"/>
      <c r="G267" s="23"/>
      <c r="H267" s="23"/>
      <c r="I267" s="23"/>
      <c r="N267" s="2"/>
      <c r="S267" s="24"/>
    </row>
    <row r="268">
      <c r="A268" s="11"/>
      <c r="B268" s="23"/>
      <c r="C268" s="23"/>
      <c r="D268" s="23"/>
      <c r="E268" s="23"/>
      <c r="F268" s="1"/>
      <c r="G268" s="23"/>
      <c r="H268" s="23"/>
      <c r="I268" s="23"/>
      <c r="N268" s="2"/>
      <c r="S268" s="24"/>
    </row>
    <row r="269">
      <c r="A269" s="11"/>
      <c r="B269" s="23"/>
      <c r="C269" s="23"/>
      <c r="D269" s="23"/>
      <c r="E269" s="23"/>
      <c r="F269" s="1"/>
      <c r="G269" s="23"/>
      <c r="H269" s="23"/>
      <c r="I269" s="23"/>
      <c r="N269" s="2"/>
      <c r="S269" s="24"/>
    </row>
    <row r="270">
      <c r="A270" s="11"/>
      <c r="B270" s="23"/>
      <c r="C270" s="23"/>
      <c r="D270" s="23"/>
      <c r="E270" s="23"/>
      <c r="F270" s="1"/>
      <c r="G270" s="23"/>
      <c r="H270" s="23"/>
      <c r="I270" s="23"/>
      <c r="N270" s="2"/>
      <c r="S270" s="24"/>
    </row>
    <row r="271">
      <c r="A271" s="11"/>
      <c r="B271" s="23"/>
      <c r="C271" s="23"/>
      <c r="D271" s="23"/>
      <c r="E271" s="23"/>
      <c r="F271" s="1"/>
      <c r="G271" s="23"/>
      <c r="H271" s="23"/>
      <c r="I271" s="23"/>
      <c r="N271" s="2"/>
      <c r="S271" s="24"/>
    </row>
    <row r="272">
      <c r="A272" s="11"/>
      <c r="B272" s="23"/>
      <c r="C272" s="23"/>
      <c r="D272" s="23"/>
      <c r="E272" s="23"/>
      <c r="F272" s="1"/>
      <c r="G272" s="23"/>
      <c r="H272" s="23"/>
      <c r="I272" s="23"/>
      <c r="N272" s="2"/>
      <c r="S272" s="24"/>
    </row>
    <row r="273">
      <c r="A273" s="11"/>
      <c r="B273" s="23"/>
      <c r="C273" s="23"/>
      <c r="D273" s="23"/>
      <c r="E273" s="23"/>
      <c r="F273" s="1"/>
      <c r="G273" s="23"/>
      <c r="H273" s="23"/>
      <c r="I273" s="23"/>
      <c r="N273" s="2"/>
      <c r="S273" s="24"/>
    </row>
    <row r="274">
      <c r="A274" s="11"/>
      <c r="B274" s="23"/>
      <c r="C274" s="23"/>
      <c r="D274" s="23"/>
      <c r="E274" s="23"/>
      <c r="F274" s="1"/>
      <c r="G274" s="23"/>
      <c r="H274" s="23"/>
      <c r="I274" s="23"/>
      <c r="N274" s="2"/>
      <c r="S274" s="24"/>
    </row>
    <row r="275">
      <c r="A275" s="11"/>
      <c r="B275" s="23"/>
      <c r="C275" s="23"/>
      <c r="D275" s="23"/>
      <c r="E275" s="23"/>
      <c r="F275" s="1"/>
      <c r="G275" s="23"/>
      <c r="H275" s="23"/>
      <c r="I275" s="23"/>
      <c r="N275" s="2"/>
      <c r="S275" s="24"/>
    </row>
    <row r="276">
      <c r="A276" s="11"/>
      <c r="B276" s="23"/>
      <c r="C276" s="23"/>
      <c r="D276" s="23"/>
      <c r="E276" s="23"/>
      <c r="F276" s="1"/>
      <c r="G276" s="23"/>
      <c r="H276" s="23"/>
      <c r="I276" s="23"/>
      <c r="N276" s="2"/>
      <c r="S276" s="24"/>
    </row>
    <row r="277">
      <c r="A277" s="11"/>
      <c r="B277" s="23"/>
      <c r="C277" s="23"/>
      <c r="D277" s="23"/>
      <c r="E277" s="23"/>
      <c r="F277" s="1"/>
      <c r="G277" s="23"/>
      <c r="H277" s="23"/>
      <c r="I277" s="23"/>
      <c r="N277" s="2"/>
      <c r="S277" s="24"/>
    </row>
    <row r="278">
      <c r="A278" s="11"/>
      <c r="B278" s="23"/>
      <c r="C278" s="23"/>
      <c r="D278" s="23"/>
      <c r="E278" s="23"/>
      <c r="F278" s="1"/>
      <c r="G278" s="23"/>
      <c r="H278" s="23"/>
      <c r="I278" s="23"/>
      <c r="N278" s="2"/>
      <c r="S278" s="24"/>
    </row>
    <row r="279">
      <c r="A279" s="11"/>
      <c r="B279" s="23"/>
      <c r="C279" s="23"/>
      <c r="D279" s="23"/>
      <c r="E279" s="23"/>
      <c r="F279" s="1"/>
      <c r="G279" s="23"/>
      <c r="H279" s="23"/>
      <c r="I279" s="23"/>
      <c r="N279" s="2"/>
      <c r="S279" s="24"/>
    </row>
    <row r="280">
      <c r="A280" s="11"/>
      <c r="B280" s="23"/>
      <c r="C280" s="23"/>
      <c r="D280" s="23"/>
      <c r="E280" s="23"/>
      <c r="F280" s="1"/>
      <c r="G280" s="23"/>
      <c r="H280" s="23"/>
      <c r="I280" s="23"/>
      <c r="N280" s="2"/>
      <c r="S280" s="24"/>
    </row>
    <row r="281">
      <c r="A281" s="11"/>
      <c r="B281" s="23"/>
      <c r="C281" s="23"/>
      <c r="D281" s="23"/>
      <c r="E281" s="23"/>
      <c r="F281" s="1"/>
      <c r="G281" s="23"/>
      <c r="H281" s="23"/>
      <c r="I281" s="23"/>
      <c r="N281" s="2"/>
      <c r="S281" s="24"/>
    </row>
    <row r="282">
      <c r="A282" s="11"/>
      <c r="B282" s="23"/>
      <c r="C282" s="23"/>
      <c r="D282" s="23"/>
      <c r="E282" s="23"/>
      <c r="F282" s="1"/>
      <c r="G282" s="23"/>
      <c r="H282" s="23"/>
      <c r="I282" s="23"/>
      <c r="N282" s="2"/>
      <c r="S282" s="24"/>
    </row>
    <row r="283">
      <c r="A283" s="11"/>
      <c r="B283" s="23"/>
      <c r="C283" s="23"/>
      <c r="D283" s="23"/>
      <c r="E283" s="23"/>
      <c r="F283" s="1"/>
      <c r="G283" s="23"/>
      <c r="H283" s="23"/>
      <c r="I283" s="23"/>
      <c r="N283" s="2"/>
      <c r="S283" s="24"/>
    </row>
    <row r="284">
      <c r="A284" s="11"/>
      <c r="B284" s="23"/>
      <c r="C284" s="23"/>
      <c r="D284" s="23"/>
      <c r="E284" s="23"/>
      <c r="F284" s="1"/>
      <c r="G284" s="23"/>
      <c r="H284" s="23"/>
      <c r="I284" s="23"/>
      <c r="N284" s="2"/>
      <c r="S284" s="24"/>
    </row>
    <row r="285">
      <c r="A285" s="11"/>
      <c r="B285" s="23"/>
      <c r="C285" s="23"/>
      <c r="D285" s="23"/>
      <c r="E285" s="23"/>
      <c r="F285" s="1"/>
      <c r="G285" s="23"/>
      <c r="H285" s="23"/>
      <c r="I285" s="23"/>
      <c r="N285" s="2"/>
      <c r="S285" s="24"/>
    </row>
    <row r="286">
      <c r="A286" s="11"/>
      <c r="B286" s="23"/>
      <c r="C286" s="23"/>
      <c r="D286" s="23"/>
      <c r="E286" s="23"/>
      <c r="F286" s="1"/>
      <c r="G286" s="23"/>
      <c r="H286" s="23"/>
      <c r="I286" s="23"/>
      <c r="N286" s="2"/>
      <c r="S286" s="24"/>
    </row>
    <row r="287">
      <c r="A287" s="11"/>
      <c r="B287" s="23"/>
      <c r="C287" s="23"/>
      <c r="D287" s="23"/>
      <c r="E287" s="23"/>
      <c r="F287" s="1"/>
      <c r="G287" s="23"/>
      <c r="H287" s="23"/>
      <c r="I287" s="23"/>
      <c r="N287" s="2"/>
      <c r="S287" s="24"/>
    </row>
    <row r="288">
      <c r="A288" s="11"/>
      <c r="B288" s="23"/>
      <c r="C288" s="23"/>
      <c r="D288" s="23"/>
      <c r="E288" s="23"/>
      <c r="F288" s="1"/>
      <c r="G288" s="23"/>
      <c r="H288" s="23"/>
      <c r="I288" s="23"/>
      <c r="N288" s="2"/>
      <c r="S288" s="24"/>
    </row>
    <row r="289">
      <c r="A289" s="11"/>
      <c r="B289" s="23"/>
      <c r="C289" s="23"/>
      <c r="D289" s="23"/>
      <c r="E289" s="23"/>
      <c r="F289" s="1"/>
      <c r="G289" s="23"/>
      <c r="H289" s="23"/>
      <c r="I289" s="23"/>
      <c r="N289" s="2"/>
      <c r="S289" s="24"/>
    </row>
    <row r="290">
      <c r="A290" s="11"/>
      <c r="B290" s="23"/>
      <c r="C290" s="23"/>
      <c r="D290" s="23"/>
      <c r="E290" s="23"/>
      <c r="F290" s="1"/>
      <c r="G290" s="23"/>
      <c r="H290" s="23"/>
      <c r="I290" s="23"/>
      <c r="N290" s="2"/>
      <c r="S290" s="24"/>
    </row>
    <row r="291">
      <c r="A291" s="11"/>
      <c r="B291" s="23"/>
      <c r="C291" s="23"/>
      <c r="D291" s="23"/>
      <c r="E291" s="23"/>
      <c r="F291" s="1"/>
      <c r="G291" s="23"/>
      <c r="H291" s="23"/>
      <c r="I291" s="23"/>
      <c r="N291" s="2"/>
      <c r="S291" s="24"/>
    </row>
    <row r="292">
      <c r="A292" s="11"/>
      <c r="B292" s="23"/>
      <c r="C292" s="23"/>
      <c r="D292" s="23"/>
      <c r="E292" s="23"/>
      <c r="F292" s="1"/>
      <c r="G292" s="23"/>
      <c r="H292" s="23"/>
      <c r="I292" s="23"/>
      <c r="N292" s="2"/>
      <c r="S292" s="24"/>
    </row>
    <row r="293">
      <c r="A293" s="11"/>
      <c r="B293" s="23"/>
      <c r="C293" s="23"/>
      <c r="D293" s="23"/>
      <c r="E293" s="23"/>
      <c r="F293" s="1"/>
      <c r="G293" s="23"/>
      <c r="H293" s="23"/>
      <c r="I293" s="23"/>
      <c r="N293" s="2"/>
      <c r="S293" s="24"/>
    </row>
    <row r="294">
      <c r="A294" s="11"/>
      <c r="B294" s="23"/>
      <c r="C294" s="23"/>
      <c r="D294" s="23"/>
      <c r="E294" s="23"/>
      <c r="F294" s="1"/>
      <c r="G294" s="23"/>
      <c r="H294" s="23"/>
      <c r="I294" s="23"/>
      <c r="N294" s="2"/>
      <c r="S294" s="24"/>
    </row>
    <row r="295">
      <c r="A295" s="11"/>
      <c r="B295" s="23"/>
      <c r="C295" s="23"/>
      <c r="D295" s="23"/>
      <c r="E295" s="23"/>
      <c r="F295" s="1"/>
      <c r="G295" s="23"/>
      <c r="H295" s="23"/>
      <c r="I295" s="23"/>
      <c r="N295" s="2"/>
      <c r="S295" s="24"/>
    </row>
    <row r="296">
      <c r="A296" s="11"/>
      <c r="B296" s="23"/>
      <c r="C296" s="23"/>
      <c r="D296" s="23"/>
      <c r="E296" s="23"/>
      <c r="F296" s="1"/>
      <c r="G296" s="23"/>
      <c r="H296" s="23"/>
      <c r="I296" s="23"/>
      <c r="N296" s="2"/>
      <c r="S296" s="24"/>
    </row>
    <row r="297">
      <c r="A297" s="11"/>
      <c r="B297" s="23"/>
      <c r="C297" s="23"/>
      <c r="D297" s="23"/>
      <c r="E297" s="23"/>
      <c r="F297" s="1"/>
      <c r="G297" s="23"/>
      <c r="H297" s="23"/>
      <c r="I297" s="23"/>
      <c r="N297" s="2"/>
      <c r="S297" s="24"/>
    </row>
    <row r="298">
      <c r="A298" s="11"/>
      <c r="B298" s="23"/>
      <c r="C298" s="23"/>
      <c r="D298" s="23"/>
      <c r="E298" s="23"/>
      <c r="F298" s="1"/>
      <c r="G298" s="23"/>
      <c r="H298" s="23"/>
      <c r="I298" s="23"/>
      <c r="N298" s="2"/>
      <c r="S298" s="24"/>
    </row>
    <row r="299">
      <c r="A299" s="11"/>
      <c r="B299" s="23"/>
      <c r="C299" s="23"/>
      <c r="D299" s="23"/>
      <c r="E299" s="23"/>
      <c r="F299" s="1"/>
      <c r="G299" s="23"/>
      <c r="H299" s="23"/>
      <c r="I299" s="23"/>
      <c r="N299" s="2"/>
      <c r="S299" s="24"/>
    </row>
    <row r="300">
      <c r="A300" s="11"/>
      <c r="B300" s="23"/>
      <c r="C300" s="23"/>
      <c r="D300" s="23"/>
      <c r="E300" s="23"/>
      <c r="F300" s="1"/>
      <c r="G300" s="23"/>
      <c r="H300" s="23"/>
      <c r="I300" s="23"/>
      <c r="N300" s="2"/>
      <c r="S300" s="24"/>
    </row>
    <row r="301">
      <c r="A301" s="11"/>
      <c r="B301" s="23"/>
      <c r="C301" s="23"/>
      <c r="D301" s="23"/>
      <c r="E301" s="23"/>
      <c r="F301" s="1"/>
      <c r="G301" s="23"/>
      <c r="H301" s="23"/>
      <c r="I301" s="23"/>
      <c r="N301" s="2"/>
      <c r="S301" s="24"/>
    </row>
    <row r="302">
      <c r="A302" s="11"/>
      <c r="B302" s="23"/>
      <c r="C302" s="23"/>
      <c r="D302" s="23"/>
      <c r="E302" s="23"/>
      <c r="F302" s="1"/>
      <c r="G302" s="23"/>
      <c r="H302" s="23"/>
      <c r="I302" s="23"/>
      <c r="N302" s="2"/>
      <c r="S302" s="24"/>
    </row>
    <row r="303">
      <c r="A303" s="11"/>
      <c r="B303" s="23"/>
      <c r="C303" s="23"/>
      <c r="D303" s="23"/>
      <c r="E303" s="23"/>
      <c r="F303" s="1"/>
      <c r="G303" s="23"/>
      <c r="H303" s="23"/>
      <c r="I303" s="23"/>
      <c r="N303" s="2"/>
      <c r="S303" s="24"/>
    </row>
    <row r="304">
      <c r="A304" s="11"/>
      <c r="B304" s="23"/>
      <c r="C304" s="23"/>
      <c r="D304" s="23"/>
      <c r="E304" s="23"/>
      <c r="F304" s="1"/>
      <c r="G304" s="23"/>
      <c r="H304" s="23"/>
      <c r="I304" s="23"/>
      <c r="N304" s="2"/>
      <c r="S304" s="24"/>
    </row>
    <row r="305">
      <c r="A305" s="11"/>
      <c r="B305" s="23"/>
      <c r="C305" s="23"/>
      <c r="D305" s="23"/>
      <c r="E305" s="23"/>
      <c r="F305" s="1"/>
      <c r="G305" s="23"/>
      <c r="H305" s="23"/>
      <c r="I305" s="23"/>
      <c r="N305" s="2"/>
      <c r="S305" s="24"/>
    </row>
    <row r="306">
      <c r="A306" s="11"/>
      <c r="B306" s="23"/>
      <c r="C306" s="23"/>
      <c r="D306" s="23"/>
      <c r="E306" s="23"/>
      <c r="F306" s="1"/>
      <c r="G306" s="23"/>
      <c r="H306" s="23"/>
      <c r="I306" s="23"/>
      <c r="N306" s="2"/>
      <c r="S306" s="24"/>
    </row>
    <row r="307">
      <c r="A307" s="11"/>
      <c r="B307" s="23"/>
      <c r="C307" s="23"/>
      <c r="D307" s="23"/>
      <c r="E307" s="23"/>
      <c r="F307" s="1"/>
      <c r="G307" s="23"/>
      <c r="H307" s="23"/>
      <c r="I307" s="23"/>
      <c r="N307" s="2"/>
      <c r="S307" s="24"/>
    </row>
    <row r="308">
      <c r="A308" s="11"/>
      <c r="B308" s="23"/>
      <c r="C308" s="23"/>
      <c r="D308" s="23"/>
      <c r="E308" s="23"/>
      <c r="F308" s="1"/>
      <c r="G308" s="23"/>
      <c r="H308" s="23"/>
      <c r="I308" s="23"/>
      <c r="N308" s="2"/>
      <c r="S308" s="24"/>
    </row>
    <row r="309">
      <c r="A309" s="11"/>
      <c r="B309" s="23"/>
      <c r="C309" s="23"/>
      <c r="D309" s="23"/>
      <c r="E309" s="23"/>
      <c r="F309" s="1"/>
      <c r="G309" s="23"/>
      <c r="H309" s="23"/>
      <c r="I309" s="23"/>
      <c r="N309" s="2"/>
      <c r="S309" s="24"/>
    </row>
    <row r="310">
      <c r="A310" s="11"/>
      <c r="B310" s="23"/>
      <c r="C310" s="23"/>
      <c r="D310" s="23"/>
      <c r="E310" s="23"/>
      <c r="F310" s="1"/>
      <c r="G310" s="23"/>
      <c r="H310" s="23"/>
      <c r="I310" s="23"/>
      <c r="N310" s="2"/>
      <c r="S310" s="24"/>
    </row>
    <row r="311">
      <c r="A311" s="11"/>
      <c r="B311" s="23"/>
      <c r="C311" s="23"/>
      <c r="D311" s="23"/>
      <c r="E311" s="23"/>
      <c r="F311" s="1"/>
      <c r="G311" s="23"/>
      <c r="H311" s="23"/>
      <c r="I311" s="23"/>
      <c r="N311" s="2"/>
      <c r="S311" s="24"/>
    </row>
    <row r="312">
      <c r="A312" s="11"/>
      <c r="B312" s="23"/>
      <c r="C312" s="23"/>
      <c r="D312" s="23"/>
      <c r="E312" s="23"/>
      <c r="F312" s="1"/>
      <c r="G312" s="23"/>
      <c r="H312" s="23"/>
      <c r="I312" s="23"/>
      <c r="N312" s="2"/>
      <c r="S312" s="24"/>
    </row>
    <row r="313">
      <c r="A313" s="11"/>
      <c r="B313" s="23"/>
      <c r="C313" s="23"/>
      <c r="D313" s="23"/>
      <c r="E313" s="23"/>
      <c r="F313" s="1"/>
      <c r="G313" s="23"/>
      <c r="H313" s="23"/>
      <c r="I313" s="23"/>
      <c r="N313" s="2"/>
      <c r="S313" s="24"/>
    </row>
    <row r="314">
      <c r="A314" s="11"/>
      <c r="B314" s="23"/>
      <c r="C314" s="23"/>
      <c r="D314" s="23"/>
      <c r="E314" s="23"/>
      <c r="F314" s="1"/>
      <c r="G314" s="23"/>
      <c r="H314" s="23"/>
      <c r="I314" s="23"/>
      <c r="N314" s="2"/>
      <c r="S314" s="24"/>
    </row>
    <row r="315">
      <c r="A315" s="11"/>
      <c r="B315" s="23"/>
      <c r="C315" s="23"/>
      <c r="D315" s="23"/>
      <c r="E315" s="23"/>
      <c r="F315" s="1"/>
      <c r="G315" s="23"/>
      <c r="H315" s="23"/>
      <c r="I315" s="23"/>
      <c r="N315" s="2"/>
      <c r="S315" s="24"/>
    </row>
    <row r="316">
      <c r="A316" s="11"/>
      <c r="B316" s="23"/>
      <c r="C316" s="23"/>
      <c r="D316" s="23"/>
      <c r="E316" s="23"/>
      <c r="F316" s="1"/>
      <c r="G316" s="23"/>
      <c r="H316" s="23"/>
      <c r="I316" s="23"/>
      <c r="N316" s="2"/>
      <c r="S316" s="24"/>
    </row>
    <row r="317">
      <c r="A317" s="11"/>
      <c r="B317" s="23"/>
      <c r="C317" s="23"/>
      <c r="D317" s="23"/>
      <c r="E317" s="23"/>
      <c r="F317" s="1"/>
      <c r="G317" s="23"/>
      <c r="H317" s="23"/>
      <c r="I317" s="23"/>
      <c r="N317" s="2"/>
      <c r="S317" s="24"/>
    </row>
    <row r="318">
      <c r="A318" s="11"/>
      <c r="B318" s="23"/>
      <c r="C318" s="23"/>
      <c r="D318" s="23"/>
      <c r="E318" s="23"/>
      <c r="F318" s="1"/>
      <c r="G318" s="23"/>
      <c r="H318" s="23"/>
      <c r="I318" s="23"/>
      <c r="N318" s="2"/>
      <c r="S318" s="24"/>
    </row>
    <row r="319">
      <c r="A319" s="11"/>
      <c r="B319" s="23"/>
      <c r="C319" s="23"/>
      <c r="D319" s="23"/>
      <c r="E319" s="23"/>
      <c r="F319" s="1"/>
      <c r="G319" s="23"/>
      <c r="H319" s="23"/>
      <c r="I319" s="23"/>
      <c r="N319" s="2"/>
      <c r="S319" s="24"/>
    </row>
    <row r="320">
      <c r="A320" s="11"/>
      <c r="B320" s="23"/>
      <c r="C320" s="23"/>
      <c r="D320" s="23"/>
      <c r="E320" s="23"/>
      <c r="F320" s="1"/>
      <c r="G320" s="23"/>
      <c r="H320" s="23"/>
      <c r="I320" s="23"/>
      <c r="N320" s="2"/>
      <c r="S320" s="24"/>
    </row>
    <row r="321">
      <c r="A321" s="11"/>
      <c r="B321" s="23"/>
      <c r="C321" s="23"/>
      <c r="D321" s="23"/>
      <c r="E321" s="23"/>
      <c r="F321" s="1"/>
      <c r="G321" s="23"/>
      <c r="H321" s="23"/>
      <c r="I321" s="23"/>
      <c r="N321" s="2"/>
      <c r="S321" s="24"/>
    </row>
    <row r="322">
      <c r="A322" s="11"/>
      <c r="B322" s="23"/>
      <c r="C322" s="23"/>
      <c r="D322" s="23"/>
      <c r="E322" s="23"/>
      <c r="F322" s="1"/>
      <c r="G322" s="23"/>
      <c r="H322" s="23"/>
      <c r="I322" s="23"/>
      <c r="N322" s="2"/>
      <c r="S322" s="24"/>
    </row>
    <row r="323">
      <c r="A323" s="11"/>
      <c r="B323" s="23"/>
      <c r="C323" s="23"/>
      <c r="D323" s="23"/>
      <c r="E323" s="23"/>
      <c r="F323" s="1"/>
      <c r="G323" s="23"/>
      <c r="H323" s="23"/>
      <c r="I323" s="23"/>
      <c r="N323" s="2"/>
      <c r="S323" s="24"/>
    </row>
    <row r="324">
      <c r="A324" s="11"/>
      <c r="B324" s="23"/>
      <c r="C324" s="23"/>
      <c r="D324" s="23"/>
      <c r="E324" s="23"/>
      <c r="F324" s="1"/>
      <c r="G324" s="23"/>
      <c r="H324" s="23"/>
      <c r="I324" s="23"/>
      <c r="N324" s="2"/>
      <c r="S324" s="24"/>
    </row>
    <row r="325">
      <c r="A325" s="11"/>
      <c r="B325" s="23"/>
      <c r="C325" s="23"/>
      <c r="D325" s="23"/>
      <c r="E325" s="23"/>
      <c r="F325" s="1"/>
      <c r="G325" s="23"/>
      <c r="H325" s="23"/>
      <c r="I325" s="23"/>
      <c r="N325" s="2"/>
      <c r="S325" s="24"/>
    </row>
    <row r="326">
      <c r="A326" s="11"/>
      <c r="B326" s="23"/>
      <c r="C326" s="23"/>
      <c r="D326" s="23"/>
      <c r="E326" s="23"/>
      <c r="F326" s="1"/>
      <c r="G326" s="23"/>
      <c r="H326" s="23"/>
      <c r="I326" s="23"/>
      <c r="N326" s="2"/>
      <c r="S326" s="24"/>
    </row>
    <row r="327">
      <c r="A327" s="11"/>
      <c r="B327" s="23"/>
      <c r="C327" s="23"/>
      <c r="D327" s="23"/>
      <c r="E327" s="23"/>
      <c r="F327" s="1"/>
      <c r="G327" s="23"/>
      <c r="H327" s="23"/>
      <c r="I327" s="23"/>
      <c r="N327" s="2"/>
      <c r="S327" s="24"/>
    </row>
    <row r="328">
      <c r="A328" s="11"/>
      <c r="B328" s="23"/>
      <c r="C328" s="23"/>
      <c r="D328" s="23"/>
      <c r="E328" s="23"/>
      <c r="F328" s="1"/>
      <c r="G328" s="23"/>
      <c r="H328" s="23"/>
      <c r="I328" s="23"/>
      <c r="N328" s="2"/>
      <c r="S328" s="24"/>
    </row>
    <row r="329">
      <c r="A329" s="11"/>
      <c r="B329" s="23"/>
      <c r="C329" s="23"/>
      <c r="D329" s="23"/>
      <c r="E329" s="23"/>
      <c r="F329" s="1"/>
      <c r="G329" s="23"/>
      <c r="H329" s="23"/>
      <c r="I329" s="23"/>
      <c r="N329" s="2"/>
      <c r="S329" s="24"/>
    </row>
    <row r="330">
      <c r="A330" s="11"/>
      <c r="B330" s="23"/>
      <c r="C330" s="23"/>
      <c r="D330" s="23"/>
      <c r="E330" s="23"/>
      <c r="F330" s="1"/>
      <c r="G330" s="23"/>
      <c r="H330" s="23"/>
      <c r="I330" s="23"/>
      <c r="N330" s="2"/>
      <c r="S330" s="24"/>
    </row>
    <row r="331">
      <c r="A331" s="11"/>
      <c r="B331" s="23"/>
      <c r="C331" s="23"/>
      <c r="D331" s="23"/>
      <c r="E331" s="23"/>
      <c r="F331" s="1"/>
      <c r="G331" s="23"/>
      <c r="H331" s="23"/>
      <c r="I331" s="23"/>
      <c r="N331" s="2"/>
      <c r="S331" s="24"/>
    </row>
    <row r="332">
      <c r="A332" s="11"/>
      <c r="B332" s="23"/>
      <c r="C332" s="23"/>
      <c r="D332" s="23"/>
      <c r="E332" s="23"/>
      <c r="F332" s="1"/>
      <c r="G332" s="23"/>
      <c r="H332" s="23"/>
      <c r="I332" s="23"/>
      <c r="N332" s="2"/>
      <c r="S332" s="24"/>
    </row>
    <row r="333">
      <c r="A333" s="11"/>
      <c r="B333" s="23"/>
      <c r="C333" s="23"/>
      <c r="D333" s="23"/>
      <c r="E333" s="23"/>
      <c r="F333" s="1"/>
      <c r="G333" s="23"/>
      <c r="H333" s="23"/>
      <c r="I333" s="23"/>
      <c r="N333" s="2"/>
      <c r="S333" s="24"/>
    </row>
    <row r="334">
      <c r="A334" s="11"/>
      <c r="B334" s="23"/>
      <c r="C334" s="23"/>
      <c r="D334" s="23"/>
      <c r="E334" s="23"/>
      <c r="F334" s="1"/>
      <c r="G334" s="23"/>
      <c r="H334" s="23"/>
      <c r="I334" s="23"/>
      <c r="N334" s="2"/>
      <c r="S334" s="24"/>
    </row>
    <row r="335">
      <c r="A335" s="11"/>
      <c r="B335" s="23"/>
      <c r="C335" s="23"/>
      <c r="D335" s="23"/>
      <c r="E335" s="23"/>
      <c r="F335" s="1"/>
      <c r="G335" s="23"/>
      <c r="H335" s="23"/>
      <c r="I335" s="23"/>
      <c r="N335" s="2"/>
      <c r="S335" s="24"/>
    </row>
    <row r="336">
      <c r="A336" s="11"/>
      <c r="B336" s="23"/>
      <c r="C336" s="23"/>
      <c r="D336" s="23"/>
      <c r="E336" s="23"/>
      <c r="F336" s="1"/>
      <c r="G336" s="23"/>
      <c r="H336" s="23"/>
      <c r="I336" s="23"/>
      <c r="N336" s="2"/>
      <c r="S336" s="24"/>
    </row>
    <row r="337">
      <c r="A337" s="11"/>
      <c r="B337" s="23"/>
      <c r="C337" s="23"/>
      <c r="D337" s="23"/>
      <c r="E337" s="23"/>
      <c r="F337" s="1"/>
      <c r="G337" s="23"/>
      <c r="H337" s="23"/>
      <c r="I337" s="23"/>
      <c r="N337" s="2"/>
      <c r="S337" s="24"/>
    </row>
    <row r="338">
      <c r="A338" s="11"/>
      <c r="B338" s="23"/>
      <c r="C338" s="23"/>
      <c r="D338" s="23"/>
      <c r="E338" s="23"/>
      <c r="F338" s="1"/>
      <c r="G338" s="23"/>
      <c r="H338" s="23"/>
      <c r="I338" s="23"/>
      <c r="N338" s="2"/>
      <c r="S338" s="24"/>
    </row>
    <row r="339">
      <c r="A339" s="11"/>
      <c r="B339" s="23"/>
      <c r="C339" s="23"/>
      <c r="D339" s="23"/>
      <c r="E339" s="23"/>
      <c r="F339" s="1"/>
      <c r="G339" s="23"/>
      <c r="H339" s="23"/>
      <c r="I339" s="23"/>
      <c r="N339" s="2"/>
      <c r="S339" s="24"/>
    </row>
    <row r="340">
      <c r="A340" s="11"/>
      <c r="B340" s="23"/>
      <c r="C340" s="23"/>
      <c r="D340" s="23"/>
      <c r="E340" s="23"/>
      <c r="F340" s="1"/>
      <c r="G340" s="23"/>
      <c r="H340" s="23"/>
      <c r="I340" s="23"/>
      <c r="N340" s="2"/>
      <c r="S340" s="24"/>
    </row>
    <row r="341">
      <c r="A341" s="11"/>
      <c r="B341" s="23"/>
      <c r="C341" s="23"/>
      <c r="D341" s="23"/>
      <c r="E341" s="23"/>
      <c r="F341" s="1"/>
      <c r="G341" s="23"/>
      <c r="H341" s="23"/>
      <c r="I341" s="23"/>
      <c r="N341" s="2"/>
      <c r="S341" s="24"/>
    </row>
    <row r="342">
      <c r="A342" s="11"/>
      <c r="B342" s="23"/>
      <c r="C342" s="23"/>
      <c r="D342" s="23"/>
      <c r="E342" s="23"/>
      <c r="F342" s="1"/>
      <c r="G342" s="23"/>
      <c r="H342" s="23"/>
      <c r="I342" s="23"/>
      <c r="N342" s="2"/>
      <c r="S342" s="24"/>
    </row>
    <row r="343">
      <c r="A343" s="11"/>
      <c r="B343" s="23"/>
      <c r="C343" s="23"/>
      <c r="D343" s="23"/>
      <c r="E343" s="23"/>
      <c r="F343" s="1"/>
      <c r="G343" s="23"/>
      <c r="H343" s="23"/>
      <c r="I343" s="23"/>
      <c r="N343" s="2"/>
      <c r="S343" s="24"/>
    </row>
    <row r="344">
      <c r="A344" s="11"/>
      <c r="B344" s="23"/>
      <c r="C344" s="23"/>
      <c r="D344" s="23"/>
      <c r="E344" s="23"/>
      <c r="F344" s="1"/>
      <c r="G344" s="23"/>
      <c r="H344" s="23"/>
      <c r="I344" s="23"/>
      <c r="N344" s="2"/>
      <c r="S344" s="24"/>
    </row>
    <row r="345">
      <c r="A345" s="11"/>
      <c r="B345" s="23"/>
      <c r="C345" s="23"/>
      <c r="D345" s="23"/>
      <c r="E345" s="23"/>
      <c r="F345" s="1"/>
      <c r="G345" s="23"/>
      <c r="H345" s="23"/>
      <c r="I345" s="23"/>
      <c r="N345" s="2"/>
      <c r="S345" s="24"/>
    </row>
    <row r="346">
      <c r="A346" s="11"/>
      <c r="B346" s="23"/>
      <c r="C346" s="23"/>
      <c r="D346" s="23"/>
      <c r="E346" s="23"/>
      <c r="F346" s="1"/>
      <c r="G346" s="23"/>
      <c r="H346" s="23"/>
      <c r="I346" s="23"/>
      <c r="N346" s="2"/>
      <c r="S346" s="24"/>
    </row>
    <row r="347">
      <c r="A347" s="11"/>
      <c r="B347" s="23"/>
      <c r="C347" s="23"/>
      <c r="D347" s="23"/>
      <c r="E347" s="23"/>
      <c r="F347" s="1"/>
      <c r="G347" s="23"/>
      <c r="H347" s="23"/>
      <c r="I347" s="23"/>
      <c r="N347" s="2"/>
      <c r="S347" s="24"/>
    </row>
    <row r="348">
      <c r="A348" s="11"/>
      <c r="B348" s="23"/>
      <c r="C348" s="23"/>
      <c r="D348" s="23"/>
      <c r="E348" s="23"/>
      <c r="F348" s="1"/>
      <c r="G348" s="23"/>
      <c r="H348" s="23"/>
      <c r="I348" s="23"/>
      <c r="N348" s="2"/>
      <c r="S348" s="24"/>
    </row>
    <row r="349">
      <c r="A349" s="11"/>
      <c r="B349" s="23"/>
      <c r="C349" s="23"/>
      <c r="D349" s="23"/>
      <c r="E349" s="23"/>
      <c r="F349" s="1"/>
      <c r="G349" s="23"/>
      <c r="H349" s="23"/>
      <c r="I349" s="23"/>
      <c r="N349" s="2"/>
      <c r="S349" s="24"/>
    </row>
    <row r="350">
      <c r="A350" s="11"/>
      <c r="B350" s="23"/>
      <c r="C350" s="23"/>
      <c r="D350" s="23"/>
      <c r="E350" s="23"/>
      <c r="F350" s="1"/>
      <c r="G350" s="23"/>
      <c r="H350" s="23"/>
      <c r="I350" s="23"/>
      <c r="N350" s="2"/>
      <c r="S350" s="24"/>
    </row>
    <row r="351">
      <c r="A351" s="11"/>
      <c r="B351" s="23"/>
      <c r="C351" s="23"/>
      <c r="D351" s="23"/>
      <c r="E351" s="23"/>
      <c r="F351" s="1"/>
      <c r="G351" s="23"/>
      <c r="H351" s="23"/>
      <c r="I351" s="23"/>
      <c r="N351" s="2"/>
      <c r="S351" s="24"/>
    </row>
    <row r="352">
      <c r="A352" s="11"/>
      <c r="B352" s="23"/>
      <c r="C352" s="23"/>
      <c r="D352" s="23"/>
      <c r="E352" s="23"/>
      <c r="F352" s="1"/>
      <c r="G352" s="23"/>
      <c r="H352" s="23"/>
      <c r="I352" s="23"/>
      <c r="N352" s="2"/>
      <c r="S352" s="24"/>
    </row>
    <row r="353">
      <c r="A353" s="11"/>
      <c r="B353" s="23"/>
      <c r="C353" s="23"/>
      <c r="D353" s="23"/>
      <c r="E353" s="23"/>
      <c r="F353" s="1"/>
      <c r="G353" s="23"/>
      <c r="H353" s="23"/>
      <c r="I353" s="23"/>
      <c r="N353" s="2"/>
      <c r="S353" s="24"/>
    </row>
    <row r="354">
      <c r="A354" s="11"/>
      <c r="B354" s="23"/>
      <c r="C354" s="23"/>
      <c r="D354" s="23"/>
      <c r="E354" s="23"/>
      <c r="F354" s="1"/>
      <c r="G354" s="23"/>
      <c r="H354" s="23"/>
      <c r="I354" s="23"/>
      <c r="N354" s="2"/>
      <c r="S354" s="24"/>
    </row>
    <row r="355">
      <c r="A355" s="11"/>
      <c r="B355" s="23"/>
      <c r="C355" s="23"/>
      <c r="D355" s="23"/>
      <c r="E355" s="23"/>
      <c r="F355" s="1"/>
      <c r="G355" s="23"/>
      <c r="H355" s="23"/>
      <c r="I355" s="23"/>
      <c r="N355" s="2"/>
      <c r="S355" s="24"/>
    </row>
    <row r="356">
      <c r="A356" s="11"/>
      <c r="B356" s="23"/>
      <c r="C356" s="23"/>
      <c r="D356" s="23"/>
      <c r="E356" s="23"/>
      <c r="F356" s="1"/>
      <c r="G356" s="23"/>
      <c r="H356" s="23"/>
      <c r="I356" s="23"/>
      <c r="N356" s="2"/>
      <c r="S356" s="24"/>
    </row>
    <row r="357">
      <c r="A357" s="11"/>
      <c r="B357" s="23"/>
      <c r="C357" s="23"/>
      <c r="D357" s="23"/>
      <c r="E357" s="23"/>
      <c r="F357" s="1"/>
      <c r="G357" s="23"/>
      <c r="H357" s="23"/>
      <c r="I357" s="23"/>
      <c r="N357" s="2"/>
      <c r="S357" s="24"/>
    </row>
    <row r="358">
      <c r="A358" s="11"/>
      <c r="B358" s="23"/>
      <c r="C358" s="23"/>
      <c r="D358" s="23"/>
      <c r="E358" s="23"/>
      <c r="F358" s="1"/>
      <c r="G358" s="23"/>
      <c r="H358" s="23"/>
      <c r="I358" s="23"/>
      <c r="N358" s="2"/>
      <c r="S358" s="24"/>
    </row>
    <row r="359">
      <c r="A359" s="11"/>
      <c r="B359" s="23"/>
      <c r="C359" s="23"/>
      <c r="D359" s="23"/>
      <c r="E359" s="23"/>
      <c r="F359" s="1"/>
      <c r="G359" s="23"/>
      <c r="H359" s="23"/>
      <c r="I359" s="23"/>
      <c r="N359" s="2"/>
      <c r="S359" s="24"/>
    </row>
    <row r="360">
      <c r="A360" s="11"/>
      <c r="B360" s="23"/>
      <c r="C360" s="23"/>
      <c r="D360" s="23"/>
      <c r="E360" s="23"/>
      <c r="F360" s="1"/>
      <c r="G360" s="23"/>
      <c r="H360" s="23"/>
      <c r="I360" s="23"/>
      <c r="N360" s="2"/>
      <c r="S360" s="24"/>
    </row>
    <row r="361">
      <c r="A361" s="11"/>
      <c r="B361" s="23"/>
      <c r="C361" s="23"/>
      <c r="D361" s="23"/>
      <c r="E361" s="23"/>
      <c r="F361" s="1"/>
      <c r="G361" s="23"/>
      <c r="H361" s="23"/>
      <c r="I361" s="23"/>
      <c r="N361" s="2"/>
      <c r="S361" s="24"/>
    </row>
    <row r="362">
      <c r="A362" s="11"/>
      <c r="B362" s="23"/>
      <c r="C362" s="23"/>
      <c r="D362" s="23"/>
      <c r="E362" s="23"/>
      <c r="F362" s="1"/>
      <c r="G362" s="23"/>
      <c r="H362" s="23"/>
      <c r="I362" s="23"/>
      <c r="N362" s="2"/>
      <c r="S362" s="24"/>
    </row>
    <row r="363">
      <c r="A363" s="11"/>
      <c r="B363" s="23"/>
      <c r="C363" s="23"/>
      <c r="D363" s="23"/>
      <c r="E363" s="23"/>
      <c r="F363" s="1"/>
      <c r="G363" s="23"/>
      <c r="H363" s="23"/>
      <c r="I363" s="23"/>
      <c r="N363" s="2"/>
      <c r="S363" s="24"/>
    </row>
    <row r="364">
      <c r="A364" s="11"/>
      <c r="B364" s="23"/>
      <c r="C364" s="23"/>
      <c r="D364" s="23"/>
      <c r="E364" s="23"/>
      <c r="F364" s="1"/>
      <c r="G364" s="23"/>
      <c r="H364" s="23"/>
      <c r="I364" s="23"/>
      <c r="N364" s="2"/>
      <c r="S364" s="24"/>
    </row>
    <row r="365">
      <c r="A365" s="11"/>
      <c r="B365" s="23"/>
      <c r="C365" s="23"/>
      <c r="D365" s="23"/>
      <c r="E365" s="23"/>
      <c r="F365" s="1"/>
      <c r="G365" s="23"/>
      <c r="H365" s="23"/>
      <c r="I365" s="23"/>
      <c r="N365" s="2"/>
      <c r="S365" s="24"/>
    </row>
    <row r="366">
      <c r="A366" s="11"/>
      <c r="B366" s="23"/>
      <c r="C366" s="23"/>
      <c r="D366" s="23"/>
      <c r="E366" s="23"/>
      <c r="F366" s="1"/>
      <c r="G366" s="23"/>
      <c r="H366" s="23"/>
      <c r="I366" s="23"/>
      <c r="N366" s="2"/>
      <c r="S366" s="24"/>
    </row>
    <row r="367">
      <c r="A367" s="11"/>
      <c r="B367" s="23"/>
      <c r="C367" s="23"/>
      <c r="D367" s="23"/>
      <c r="E367" s="23"/>
      <c r="F367" s="1"/>
      <c r="G367" s="23"/>
      <c r="H367" s="23"/>
      <c r="I367" s="23"/>
      <c r="N367" s="2"/>
      <c r="S367" s="24"/>
    </row>
    <row r="368">
      <c r="A368" s="11"/>
      <c r="B368" s="23"/>
      <c r="C368" s="23"/>
      <c r="D368" s="23"/>
      <c r="E368" s="23"/>
      <c r="F368" s="1"/>
      <c r="G368" s="23"/>
      <c r="H368" s="23"/>
      <c r="I368" s="23"/>
      <c r="N368" s="2"/>
      <c r="S368" s="24"/>
    </row>
    <row r="369">
      <c r="A369" s="11"/>
      <c r="B369" s="23"/>
      <c r="C369" s="23"/>
      <c r="D369" s="23"/>
      <c r="E369" s="23"/>
      <c r="F369" s="1"/>
      <c r="G369" s="23"/>
      <c r="H369" s="23"/>
      <c r="I369" s="23"/>
      <c r="N369" s="2"/>
      <c r="S369" s="24"/>
    </row>
    <row r="370">
      <c r="A370" s="11"/>
      <c r="B370" s="23"/>
      <c r="C370" s="23"/>
      <c r="D370" s="23"/>
      <c r="E370" s="23"/>
      <c r="F370" s="1"/>
      <c r="G370" s="23"/>
      <c r="H370" s="23"/>
      <c r="I370" s="23"/>
      <c r="N370" s="2"/>
      <c r="S370" s="24"/>
    </row>
    <row r="371">
      <c r="A371" s="11"/>
      <c r="B371" s="23"/>
      <c r="C371" s="23"/>
      <c r="D371" s="23"/>
      <c r="E371" s="23"/>
      <c r="F371" s="1"/>
      <c r="G371" s="23"/>
      <c r="H371" s="23"/>
      <c r="I371" s="23"/>
      <c r="N371" s="2"/>
      <c r="S371" s="24"/>
    </row>
    <row r="372">
      <c r="A372" s="11"/>
      <c r="B372" s="23"/>
      <c r="C372" s="23"/>
      <c r="D372" s="23"/>
      <c r="E372" s="23"/>
      <c r="F372" s="1"/>
      <c r="G372" s="23"/>
      <c r="H372" s="23"/>
      <c r="I372" s="23"/>
      <c r="N372" s="2"/>
      <c r="S372" s="24"/>
    </row>
    <row r="373">
      <c r="A373" s="11"/>
      <c r="B373" s="23"/>
      <c r="C373" s="23"/>
      <c r="D373" s="23"/>
      <c r="E373" s="23"/>
      <c r="F373" s="1"/>
      <c r="G373" s="23"/>
      <c r="H373" s="23"/>
      <c r="I373" s="23"/>
      <c r="N373" s="2"/>
      <c r="S373" s="24"/>
    </row>
    <row r="374">
      <c r="A374" s="11"/>
      <c r="B374" s="23"/>
      <c r="C374" s="23"/>
      <c r="D374" s="23"/>
      <c r="E374" s="23"/>
      <c r="F374" s="1"/>
      <c r="G374" s="23"/>
      <c r="H374" s="23"/>
      <c r="I374" s="23"/>
      <c r="N374" s="2"/>
      <c r="S374" s="24"/>
    </row>
    <row r="375">
      <c r="A375" s="11"/>
      <c r="B375" s="23"/>
      <c r="C375" s="23"/>
      <c r="D375" s="23"/>
      <c r="E375" s="23"/>
      <c r="F375" s="1"/>
      <c r="G375" s="23"/>
      <c r="H375" s="23"/>
      <c r="I375" s="23"/>
      <c r="N375" s="2"/>
      <c r="S375" s="24"/>
    </row>
    <row r="376">
      <c r="A376" s="11"/>
      <c r="B376" s="23"/>
      <c r="C376" s="23"/>
      <c r="D376" s="23"/>
      <c r="E376" s="23"/>
      <c r="F376" s="1"/>
      <c r="G376" s="23"/>
      <c r="H376" s="23"/>
      <c r="I376" s="23"/>
      <c r="N376" s="2"/>
      <c r="S376" s="24"/>
    </row>
    <row r="377">
      <c r="A377" s="11"/>
      <c r="B377" s="23"/>
      <c r="C377" s="23"/>
      <c r="D377" s="23"/>
      <c r="E377" s="23"/>
      <c r="F377" s="1"/>
      <c r="G377" s="23"/>
      <c r="H377" s="23"/>
      <c r="I377" s="23"/>
      <c r="N377" s="2"/>
      <c r="S377" s="24"/>
    </row>
    <row r="378">
      <c r="A378" s="11"/>
      <c r="B378" s="23"/>
      <c r="C378" s="23"/>
      <c r="D378" s="23"/>
      <c r="E378" s="23"/>
      <c r="F378" s="1"/>
      <c r="G378" s="23"/>
      <c r="H378" s="23"/>
      <c r="I378" s="23"/>
      <c r="N378" s="2"/>
      <c r="S378" s="24"/>
    </row>
    <row r="379">
      <c r="A379" s="11"/>
      <c r="B379" s="23"/>
      <c r="C379" s="23"/>
      <c r="D379" s="23"/>
      <c r="E379" s="23"/>
      <c r="F379" s="1"/>
      <c r="G379" s="23"/>
      <c r="H379" s="23"/>
      <c r="I379" s="23"/>
      <c r="N379" s="2"/>
      <c r="S379" s="24"/>
    </row>
    <row r="380">
      <c r="A380" s="11"/>
      <c r="B380" s="23"/>
      <c r="C380" s="23"/>
      <c r="D380" s="23"/>
      <c r="E380" s="23"/>
      <c r="F380" s="1"/>
      <c r="G380" s="23"/>
      <c r="H380" s="23"/>
      <c r="I380" s="23"/>
      <c r="N380" s="2"/>
      <c r="S380" s="24"/>
    </row>
    <row r="381">
      <c r="A381" s="11"/>
      <c r="B381" s="23"/>
      <c r="C381" s="23"/>
      <c r="D381" s="23"/>
      <c r="E381" s="23"/>
      <c r="F381" s="1"/>
      <c r="G381" s="23"/>
      <c r="H381" s="23"/>
      <c r="I381" s="23"/>
      <c r="N381" s="2"/>
      <c r="S381" s="24"/>
    </row>
    <row r="382">
      <c r="A382" s="11"/>
      <c r="B382" s="23"/>
      <c r="C382" s="23"/>
      <c r="D382" s="23"/>
      <c r="E382" s="23"/>
      <c r="F382" s="1"/>
      <c r="G382" s="23"/>
      <c r="H382" s="23"/>
      <c r="I382" s="23"/>
      <c r="N382" s="2"/>
      <c r="S382" s="24"/>
    </row>
    <row r="383">
      <c r="A383" s="11"/>
      <c r="B383" s="23"/>
      <c r="C383" s="23"/>
      <c r="D383" s="23"/>
      <c r="E383" s="23"/>
      <c r="F383" s="1"/>
      <c r="G383" s="23"/>
      <c r="H383" s="23"/>
      <c r="I383" s="23"/>
      <c r="N383" s="2"/>
      <c r="S383" s="24"/>
    </row>
    <row r="384">
      <c r="A384" s="11"/>
      <c r="B384" s="23"/>
      <c r="C384" s="23"/>
      <c r="D384" s="23"/>
      <c r="E384" s="23"/>
      <c r="F384" s="1"/>
      <c r="G384" s="23"/>
      <c r="H384" s="23"/>
      <c r="I384" s="23"/>
      <c r="N384" s="2"/>
      <c r="S384" s="24"/>
    </row>
    <row r="385">
      <c r="A385" s="11"/>
      <c r="B385" s="23"/>
      <c r="C385" s="23"/>
      <c r="D385" s="23"/>
      <c r="E385" s="23"/>
      <c r="F385" s="1"/>
      <c r="G385" s="23"/>
      <c r="H385" s="23"/>
      <c r="I385" s="23"/>
      <c r="N385" s="2"/>
      <c r="S385" s="24"/>
    </row>
    <row r="386">
      <c r="A386" s="11"/>
      <c r="B386" s="23"/>
      <c r="C386" s="23"/>
      <c r="D386" s="23"/>
      <c r="E386" s="23"/>
      <c r="F386" s="1"/>
      <c r="G386" s="23"/>
      <c r="H386" s="23"/>
      <c r="I386" s="23"/>
      <c r="N386" s="2"/>
      <c r="S386" s="24"/>
    </row>
    <row r="387">
      <c r="A387" s="11"/>
      <c r="B387" s="23"/>
      <c r="C387" s="23"/>
      <c r="D387" s="23"/>
      <c r="E387" s="23"/>
      <c r="F387" s="1"/>
      <c r="G387" s="23"/>
      <c r="H387" s="23"/>
      <c r="I387" s="23"/>
      <c r="N387" s="2"/>
      <c r="S387" s="24"/>
    </row>
    <row r="388">
      <c r="A388" s="11"/>
      <c r="B388" s="23"/>
      <c r="C388" s="23"/>
      <c r="D388" s="23"/>
      <c r="E388" s="23"/>
      <c r="F388" s="1"/>
      <c r="G388" s="23"/>
      <c r="H388" s="23"/>
      <c r="I388" s="23"/>
      <c r="N388" s="2"/>
      <c r="S388" s="24"/>
    </row>
    <row r="389">
      <c r="A389" s="11"/>
      <c r="B389" s="23"/>
      <c r="C389" s="23"/>
      <c r="D389" s="23"/>
      <c r="E389" s="23"/>
      <c r="F389" s="1"/>
      <c r="G389" s="23"/>
      <c r="H389" s="23"/>
      <c r="I389" s="23"/>
      <c r="N389" s="2"/>
      <c r="S389" s="24"/>
    </row>
    <row r="390">
      <c r="A390" s="11"/>
      <c r="B390" s="23"/>
      <c r="C390" s="23"/>
      <c r="D390" s="23"/>
      <c r="E390" s="23"/>
      <c r="F390" s="1"/>
      <c r="G390" s="23"/>
      <c r="H390" s="23"/>
      <c r="I390" s="23"/>
      <c r="N390" s="2"/>
      <c r="S390" s="24"/>
    </row>
    <row r="391">
      <c r="A391" s="11"/>
      <c r="B391" s="23"/>
      <c r="C391" s="23"/>
      <c r="D391" s="23"/>
      <c r="E391" s="23"/>
      <c r="F391" s="1"/>
      <c r="G391" s="23"/>
      <c r="H391" s="23"/>
      <c r="I391" s="23"/>
      <c r="N391" s="2"/>
      <c r="S391" s="24"/>
    </row>
    <row r="392">
      <c r="A392" s="11"/>
      <c r="B392" s="23"/>
      <c r="C392" s="23"/>
      <c r="D392" s="23"/>
      <c r="E392" s="23"/>
      <c r="F392" s="1"/>
      <c r="G392" s="23"/>
      <c r="H392" s="23"/>
      <c r="I392" s="23"/>
      <c r="N392" s="2"/>
      <c r="S392" s="24"/>
    </row>
    <row r="393">
      <c r="A393" s="11"/>
      <c r="B393" s="23"/>
      <c r="C393" s="23"/>
      <c r="D393" s="23"/>
      <c r="E393" s="23"/>
      <c r="F393" s="1"/>
      <c r="G393" s="23"/>
      <c r="H393" s="23"/>
      <c r="I393" s="23"/>
      <c r="N393" s="2"/>
      <c r="S393" s="24"/>
    </row>
    <row r="394">
      <c r="A394" s="11"/>
      <c r="B394" s="23"/>
      <c r="C394" s="23"/>
      <c r="D394" s="23"/>
      <c r="E394" s="23"/>
      <c r="F394" s="1"/>
      <c r="G394" s="23"/>
      <c r="H394" s="23"/>
      <c r="I394" s="23"/>
      <c r="N394" s="2"/>
      <c r="S394" s="24"/>
    </row>
    <row r="395">
      <c r="A395" s="11"/>
      <c r="B395" s="23"/>
      <c r="C395" s="23"/>
      <c r="D395" s="23"/>
      <c r="E395" s="23"/>
      <c r="F395" s="1"/>
      <c r="G395" s="23"/>
      <c r="H395" s="23"/>
      <c r="I395" s="23"/>
      <c r="N395" s="2"/>
      <c r="S395" s="24"/>
    </row>
    <row r="396">
      <c r="A396" s="11"/>
      <c r="B396" s="23"/>
      <c r="C396" s="23"/>
      <c r="D396" s="23"/>
      <c r="E396" s="23"/>
      <c r="F396" s="1"/>
      <c r="G396" s="23"/>
      <c r="H396" s="23"/>
      <c r="I396" s="23"/>
      <c r="N396" s="2"/>
      <c r="S396" s="24"/>
    </row>
    <row r="397">
      <c r="A397" s="11"/>
      <c r="B397" s="23"/>
      <c r="C397" s="23"/>
      <c r="D397" s="23"/>
      <c r="E397" s="23"/>
      <c r="F397" s="1"/>
      <c r="G397" s="23"/>
      <c r="H397" s="23"/>
      <c r="I397" s="23"/>
      <c r="N397" s="2"/>
      <c r="S397" s="24"/>
    </row>
    <row r="398">
      <c r="A398" s="11"/>
      <c r="B398" s="23"/>
      <c r="C398" s="23"/>
      <c r="D398" s="23"/>
      <c r="E398" s="23"/>
      <c r="F398" s="1"/>
      <c r="G398" s="23"/>
      <c r="H398" s="23"/>
      <c r="I398" s="23"/>
      <c r="N398" s="2"/>
      <c r="S398" s="24"/>
    </row>
    <row r="399">
      <c r="A399" s="11"/>
      <c r="B399" s="23"/>
      <c r="C399" s="23"/>
      <c r="D399" s="23"/>
      <c r="E399" s="23"/>
      <c r="F399" s="1"/>
      <c r="G399" s="23"/>
      <c r="H399" s="23"/>
      <c r="I399" s="23"/>
      <c r="N399" s="2"/>
      <c r="S399" s="24"/>
    </row>
    <row r="400">
      <c r="A400" s="11"/>
      <c r="B400" s="23"/>
      <c r="C400" s="23"/>
      <c r="D400" s="23"/>
      <c r="E400" s="23"/>
      <c r="F400" s="1"/>
      <c r="G400" s="23"/>
      <c r="H400" s="23"/>
      <c r="I400" s="23"/>
      <c r="N400" s="2"/>
      <c r="S400" s="24"/>
    </row>
    <row r="401">
      <c r="A401" s="11"/>
      <c r="B401" s="23"/>
      <c r="C401" s="23"/>
      <c r="D401" s="23"/>
      <c r="E401" s="23"/>
      <c r="F401" s="1"/>
      <c r="G401" s="23"/>
      <c r="H401" s="23"/>
      <c r="I401" s="23"/>
      <c r="N401" s="2"/>
      <c r="S401" s="24"/>
    </row>
    <row r="402">
      <c r="A402" s="11"/>
      <c r="B402" s="23"/>
      <c r="C402" s="23"/>
      <c r="D402" s="23"/>
      <c r="E402" s="23"/>
      <c r="F402" s="1"/>
      <c r="G402" s="23"/>
      <c r="H402" s="23"/>
      <c r="I402" s="23"/>
      <c r="N402" s="2"/>
      <c r="S402" s="24"/>
    </row>
    <row r="403">
      <c r="A403" s="11"/>
      <c r="B403" s="23"/>
      <c r="C403" s="23"/>
      <c r="D403" s="23"/>
      <c r="E403" s="23"/>
      <c r="F403" s="1"/>
      <c r="G403" s="23"/>
      <c r="H403" s="23"/>
      <c r="I403" s="23"/>
      <c r="N403" s="2"/>
      <c r="S403" s="24"/>
    </row>
    <row r="404">
      <c r="A404" s="11"/>
      <c r="B404" s="23"/>
      <c r="C404" s="23"/>
      <c r="D404" s="23"/>
      <c r="E404" s="23"/>
      <c r="F404" s="1"/>
      <c r="G404" s="23"/>
      <c r="H404" s="23"/>
      <c r="I404" s="23"/>
      <c r="N404" s="2"/>
      <c r="S404" s="24"/>
    </row>
    <row r="405">
      <c r="A405" s="11"/>
      <c r="B405" s="23"/>
      <c r="C405" s="23"/>
      <c r="D405" s="23"/>
      <c r="E405" s="23"/>
      <c r="F405" s="1"/>
      <c r="G405" s="23"/>
      <c r="H405" s="23"/>
      <c r="I405" s="23"/>
      <c r="N405" s="2"/>
      <c r="S405" s="24"/>
    </row>
    <row r="406">
      <c r="A406" s="11"/>
      <c r="B406" s="23"/>
      <c r="C406" s="23"/>
      <c r="D406" s="23"/>
      <c r="E406" s="23"/>
      <c r="F406" s="1"/>
      <c r="G406" s="23"/>
      <c r="H406" s="23"/>
      <c r="I406" s="23"/>
      <c r="N406" s="2"/>
      <c r="S406" s="24"/>
    </row>
    <row r="407">
      <c r="A407" s="11"/>
      <c r="B407" s="23"/>
      <c r="C407" s="23"/>
      <c r="D407" s="23"/>
      <c r="E407" s="23"/>
      <c r="F407" s="1"/>
      <c r="G407" s="23"/>
      <c r="H407" s="23"/>
      <c r="I407" s="23"/>
      <c r="N407" s="2"/>
      <c r="S407" s="24"/>
    </row>
    <row r="408">
      <c r="A408" s="11"/>
      <c r="B408" s="23"/>
      <c r="C408" s="23"/>
      <c r="D408" s="23"/>
      <c r="E408" s="23"/>
      <c r="F408" s="1"/>
      <c r="G408" s="23"/>
      <c r="H408" s="23"/>
      <c r="I408" s="23"/>
      <c r="N408" s="2"/>
      <c r="S408" s="24"/>
    </row>
    <row r="409">
      <c r="A409" s="11"/>
      <c r="B409" s="23"/>
      <c r="C409" s="23"/>
      <c r="D409" s="23"/>
      <c r="E409" s="23"/>
      <c r="F409" s="1"/>
      <c r="G409" s="23"/>
      <c r="H409" s="23"/>
      <c r="I409" s="23"/>
      <c r="N409" s="2"/>
      <c r="S409" s="24"/>
    </row>
    <row r="410">
      <c r="A410" s="11"/>
      <c r="B410" s="23"/>
      <c r="C410" s="23"/>
      <c r="D410" s="23"/>
      <c r="E410" s="23"/>
      <c r="F410" s="1"/>
      <c r="G410" s="23"/>
      <c r="H410" s="23"/>
      <c r="I410" s="23"/>
      <c r="N410" s="2"/>
      <c r="S410" s="24"/>
    </row>
    <row r="411">
      <c r="A411" s="11"/>
      <c r="B411" s="23"/>
      <c r="C411" s="23"/>
      <c r="D411" s="23"/>
      <c r="E411" s="23"/>
      <c r="F411" s="1"/>
      <c r="G411" s="23"/>
      <c r="H411" s="23"/>
      <c r="I411" s="23"/>
      <c r="N411" s="2"/>
      <c r="S411" s="24"/>
    </row>
    <row r="412">
      <c r="A412" s="11"/>
      <c r="B412" s="23"/>
      <c r="C412" s="23"/>
      <c r="D412" s="23"/>
      <c r="E412" s="23"/>
      <c r="F412" s="1"/>
      <c r="G412" s="23"/>
      <c r="H412" s="23"/>
      <c r="I412" s="23"/>
      <c r="N412" s="2"/>
      <c r="S412" s="24"/>
    </row>
    <row r="413">
      <c r="A413" s="11"/>
      <c r="B413" s="23"/>
      <c r="C413" s="23"/>
      <c r="D413" s="23"/>
      <c r="E413" s="23"/>
      <c r="F413" s="1"/>
      <c r="G413" s="23"/>
      <c r="H413" s="23"/>
      <c r="I413" s="23"/>
      <c r="N413" s="2"/>
      <c r="S413" s="24"/>
    </row>
    <row r="414">
      <c r="A414" s="11"/>
      <c r="B414" s="23"/>
      <c r="C414" s="23"/>
      <c r="D414" s="23"/>
      <c r="E414" s="23"/>
      <c r="F414" s="1"/>
      <c r="G414" s="23"/>
      <c r="H414" s="23"/>
      <c r="I414" s="23"/>
      <c r="N414" s="2"/>
      <c r="S414" s="24"/>
    </row>
    <row r="415">
      <c r="A415" s="11"/>
      <c r="B415" s="23"/>
      <c r="C415" s="23"/>
      <c r="D415" s="23"/>
      <c r="E415" s="23"/>
      <c r="F415" s="1"/>
      <c r="G415" s="23"/>
      <c r="H415" s="23"/>
      <c r="I415" s="23"/>
      <c r="N415" s="2"/>
      <c r="S415" s="24"/>
    </row>
    <row r="416">
      <c r="A416" s="11"/>
      <c r="B416" s="23"/>
      <c r="C416" s="23"/>
      <c r="D416" s="23"/>
      <c r="E416" s="23"/>
      <c r="F416" s="1"/>
      <c r="G416" s="23"/>
      <c r="H416" s="23"/>
      <c r="I416" s="23"/>
      <c r="N416" s="2"/>
      <c r="S416" s="24"/>
    </row>
    <row r="417">
      <c r="A417" s="11"/>
      <c r="B417" s="23"/>
      <c r="C417" s="23"/>
      <c r="D417" s="23"/>
      <c r="E417" s="23"/>
      <c r="F417" s="1"/>
      <c r="G417" s="23"/>
      <c r="H417" s="23"/>
      <c r="I417" s="23"/>
      <c r="N417" s="2"/>
      <c r="S417" s="24"/>
    </row>
    <row r="418">
      <c r="A418" s="11"/>
      <c r="B418" s="23"/>
      <c r="C418" s="23"/>
      <c r="D418" s="23"/>
      <c r="E418" s="23"/>
      <c r="F418" s="1"/>
      <c r="G418" s="23"/>
      <c r="H418" s="23"/>
      <c r="I418" s="23"/>
      <c r="N418" s="2"/>
      <c r="S418" s="24"/>
    </row>
    <row r="419">
      <c r="A419" s="11"/>
      <c r="B419" s="23"/>
      <c r="C419" s="23"/>
      <c r="D419" s="23"/>
      <c r="E419" s="23"/>
      <c r="F419" s="1"/>
      <c r="G419" s="23"/>
      <c r="H419" s="23"/>
      <c r="I419" s="23"/>
      <c r="N419" s="2"/>
      <c r="S419" s="24"/>
    </row>
    <row r="420">
      <c r="A420" s="11"/>
      <c r="B420" s="23"/>
      <c r="C420" s="23"/>
      <c r="D420" s="23"/>
      <c r="E420" s="23"/>
      <c r="F420" s="1"/>
      <c r="G420" s="23"/>
      <c r="H420" s="23"/>
      <c r="I420" s="23"/>
      <c r="N420" s="2"/>
      <c r="S420" s="24"/>
    </row>
    <row r="421">
      <c r="A421" s="11"/>
      <c r="B421" s="23"/>
      <c r="C421" s="23"/>
      <c r="D421" s="23"/>
      <c r="E421" s="23"/>
      <c r="F421" s="1"/>
      <c r="G421" s="23"/>
      <c r="H421" s="23"/>
      <c r="I421" s="23"/>
      <c r="N421" s="2"/>
      <c r="S421" s="24"/>
    </row>
    <row r="422">
      <c r="A422" s="11"/>
      <c r="B422" s="23"/>
      <c r="C422" s="23"/>
      <c r="D422" s="23"/>
      <c r="E422" s="23"/>
      <c r="F422" s="1"/>
      <c r="G422" s="23"/>
      <c r="H422" s="23"/>
      <c r="I422" s="23"/>
      <c r="N422" s="2"/>
      <c r="S422" s="24"/>
    </row>
    <row r="423">
      <c r="A423" s="11"/>
      <c r="B423" s="23"/>
      <c r="C423" s="23"/>
      <c r="D423" s="23"/>
      <c r="E423" s="23"/>
      <c r="F423" s="1"/>
      <c r="G423" s="23"/>
      <c r="H423" s="23"/>
      <c r="I423" s="23"/>
      <c r="N423" s="2"/>
      <c r="S423" s="24"/>
    </row>
    <row r="424">
      <c r="A424" s="11"/>
      <c r="B424" s="23"/>
      <c r="C424" s="23"/>
      <c r="D424" s="23"/>
      <c r="E424" s="23"/>
      <c r="F424" s="1"/>
      <c r="G424" s="23"/>
      <c r="H424" s="23"/>
      <c r="I424" s="23"/>
      <c r="N424" s="2"/>
      <c r="S424" s="24"/>
    </row>
    <row r="425">
      <c r="A425" s="11"/>
      <c r="B425" s="23"/>
      <c r="C425" s="23"/>
      <c r="D425" s="23"/>
      <c r="E425" s="23"/>
      <c r="F425" s="1"/>
      <c r="G425" s="23"/>
      <c r="H425" s="23"/>
      <c r="I425" s="23"/>
      <c r="N425" s="2"/>
      <c r="S425" s="24"/>
    </row>
    <row r="426">
      <c r="A426" s="11"/>
      <c r="B426" s="23"/>
      <c r="C426" s="23"/>
      <c r="D426" s="23"/>
      <c r="E426" s="23"/>
      <c r="F426" s="1"/>
      <c r="G426" s="23"/>
      <c r="H426" s="23"/>
      <c r="I426" s="23"/>
      <c r="N426" s="2"/>
      <c r="S426" s="24"/>
    </row>
    <row r="427">
      <c r="A427" s="11"/>
      <c r="B427" s="23"/>
      <c r="C427" s="23"/>
      <c r="D427" s="23"/>
      <c r="E427" s="23"/>
      <c r="F427" s="1"/>
      <c r="G427" s="23"/>
      <c r="H427" s="23"/>
      <c r="I427" s="23"/>
      <c r="N427" s="2"/>
      <c r="S427" s="24"/>
    </row>
    <row r="428">
      <c r="A428" s="11"/>
      <c r="B428" s="23"/>
      <c r="C428" s="23"/>
      <c r="D428" s="23"/>
      <c r="E428" s="23"/>
      <c r="F428" s="1"/>
      <c r="G428" s="23"/>
      <c r="H428" s="23"/>
      <c r="I428" s="23"/>
      <c r="N428" s="2"/>
      <c r="S428" s="24"/>
    </row>
    <row r="429">
      <c r="A429" s="11"/>
      <c r="B429" s="23"/>
      <c r="C429" s="23"/>
      <c r="D429" s="23"/>
      <c r="E429" s="23"/>
      <c r="F429" s="1"/>
      <c r="G429" s="23"/>
      <c r="H429" s="23"/>
      <c r="I429" s="23"/>
      <c r="N429" s="2"/>
      <c r="S429" s="24"/>
    </row>
    <row r="430">
      <c r="A430" s="11"/>
      <c r="B430" s="23"/>
      <c r="C430" s="23"/>
      <c r="D430" s="23"/>
      <c r="E430" s="23"/>
      <c r="F430" s="1"/>
      <c r="G430" s="23"/>
      <c r="H430" s="23"/>
      <c r="I430" s="23"/>
      <c r="N430" s="2"/>
      <c r="S430" s="24"/>
    </row>
    <row r="431">
      <c r="A431" s="11"/>
      <c r="B431" s="23"/>
      <c r="C431" s="23"/>
      <c r="D431" s="23"/>
      <c r="E431" s="23"/>
      <c r="F431" s="1"/>
      <c r="G431" s="23"/>
      <c r="H431" s="23"/>
      <c r="I431" s="23"/>
      <c r="N431" s="2"/>
      <c r="S431" s="24"/>
    </row>
    <row r="432">
      <c r="A432" s="11"/>
      <c r="B432" s="23"/>
      <c r="C432" s="23"/>
      <c r="D432" s="23"/>
      <c r="E432" s="23"/>
      <c r="F432" s="1"/>
      <c r="G432" s="23"/>
      <c r="H432" s="23"/>
      <c r="I432" s="23"/>
      <c r="N432" s="2"/>
      <c r="S432" s="24"/>
    </row>
    <row r="433">
      <c r="A433" s="11"/>
      <c r="B433" s="23"/>
      <c r="C433" s="23"/>
      <c r="D433" s="23"/>
      <c r="E433" s="23"/>
      <c r="F433" s="1"/>
      <c r="G433" s="23"/>
      <c r="H433" s="23"/>
      <c r="I433" s="23"/>
      <c r="N433" s="2"/>
      <c r="S433" s="24"/>
    </row>
    <row r="434">
      <c r="A434" s="11"/>
      <c r="B434" s="23"/>
      <c r="C434" s="23"/>
      <c r="D434" s="23"/>
      <c r="E434" s="23"/>
      <c r="F434" s="1"/>
      <c r="G434" s="23"/>
      <c r="H434" s="23"/>
      <c r="I434" s="23"/>
      <c r="N434" s="2"/>
      <c r="S434" s="24"/>
    </row>
    <row r="435">
      <c r="A435" s="11"/>
      <c r="B435" s="23"/>
      <c r="C435" s="23"/>
      <c r="D435" s="23"/>
      <c r="E435" s="23"/>
      <c r="F435" s="1"/>
      <c r="G435" s="23"/>
      <c r="H435" s="23"/>
      <c r="I435" s="23"/>
      <c r="N435" s="2"/>
      <c r="S435" s="24"/>
    </row>
    <row r="436">
      <c r="A436" s="11"/>
      <c r="B436" s="23"/>
      <c r="C436" s="23"/>
      <c r="D436" s="23"/>
      <c r="E436" s="23"/>
      <c r="F436" s="1"/>
      <c r="G436" s="23"/>
      <c r="H436" s="23"/>
      <c r="I436" s="23"/>
      <c r="N436" s="2"/>
      <c r="S436" s="24"/>
    </row>
    <row r="437">
      <c r="A437" s="11"/>
      <c r="B437" s="23"/>
      <c r="C437" s="23"/>
      <c r="D437" s="23"/>
      <c r="E437" s="23"/>
      <c r="F437" s="1"/>
      <c r="G437" s="23"/>
      <c r="H437" s="23"/>
      <c r="I437" s="23"/>
      <c r="N437" s="2"/>
      <c r="S437" s="24"/>
    </row>
    <row r="438">
      <c r="A438" s="11"/>
      <c r="B438" s="23"/>
      <c r="C438" s="23"/>
      <c r="D438" s="23"/>
      <c r="E438" s="23"/>
      <c r="F438" s="1"/>
      <c r="G438" s="23"/>
      <c r="H438" s="23"/>
      <c r="I438" s="23"/>
      <c r="N438" s="2"/>
      <c r="S438" s="24"/>
    </row>
    <row r="439">
      <c r="A439" s="11"/>
      <c r="B439" s="23"/>
      <c r="C439" s="23"/>
      <c r="D439" s="23"/>
      <c r="E439" s="23"/>
      <c r="F439" s="1"/>
      <c r="G439" s="23"/>
      <c r="H439" s="23"/>
      <c r="I439" s="23"/>
      <c r="N439" s="2"/>
      <c r="S439" s="24"/>
    </row>
    <row r="440">
      <c r="A440" s="11"/>
      <c r="B440" s="23"/>
      <c r="C440" s="23"/>
      <c r="D440" s="23"/>
      <c r="E440" s="23"/>
      <c r="F440" s="1"/>
      <c r="G440" s="23"/>
      <c r="H440" s="23"/>
      <c r="I440" s="23"/>
      <c r="N440" s="2"/>
      <c r="S440" s="24"/>
    </row>
    <row r="441">
      <c r="A441" s="11"/>
      <c r="B441" s="23"/>
      <c r="C441" s="23"/>
      <c r="D441" s="23"/>
      <c r="E441" s="23"/>
      <c r="F441" s="1"/>
      <c r="G441" s="23"/>
      <c r="H441" s="23"/>
      <c r="I441" s="23"/>
      <c r="N441" s="2"/>
      <c r="S441" s="24"/>
    </row>
    <row r="442">
      <c r="A442" s="11"/>
      <c r="B442" s="23"/>
      <c r="C442" s="23"/>
      <c r="D442" s="23"/>
      <c r="E442" s="23"/>
      <c r="F442" s="1"/>
      <c r="G442" s="23"/>
      <c r="H442" s="23"/>
      <c r="I442" s="23"/>
      <c r="N442" s="2"/>
      <c r="S442" s="24"/>
    </row>
    <row r="443">
      <c r="A443" s="11"/>
      <c r="B443" s="23"/>
      <c r="C443" s="23"/>
      <c r="D443" s="23"/>
      <c r="E443" s="23"/>
      <c r="F443" s="1"/>
      <c r="G443" s="23"/>
      <c r="H443" s="23"/>
      <c r="I443" s="23"/>
      <c r="N443" s="2"/>
      <c r="S443" s="24"/>
    </row>
    <row r="444">
      <c r="A444" s="11"/>
      <c r="B444" s="23"/>
      <c r="C444" s="23"/>
      <c r="D444" s="23"/>
      <c r="E444" s="23"/>
      <c r="F444" s="1"/>
      <c r="G444" s="23"/>
      <c r="H444" s="23"/>
      <c r="I444" s="23"/>
      <c r="N444" s="2"/>
      <c r="S444" s="24"/>
    </row>
    <row r="445">
      <c r="A445" s="11"/>
      <c r="B445" s="23"/>
      <c r="C445" s="23"/>
      <c r="D445" s="23"/>
      <c r="E445" s="23"/>
      <c r="F445" s="1"/>
      <c r="G445" s="23"/>
      <c r="H445" s="23"/>
      <c r="I445" s="23"/>
      <c r="N445" s="2"/>
      <c r="S445" s="24"/>
    </row>
    <row r="446">
      <c r="A446" s="11"/>
      <c r="B446" s="23"/>
      <c r="C446" s="23"/>
      <c r="D446" s="23"/>
      <c r="E446" s="23"/>
      <c r="F446" s="1"/>
      <c r="G446" s="23"/>
      <c r="H446" s="23"/>
      <c r="I446" s="23"/>
      <c r="N446" s="2"/>
      <c r="S446" s="24"/>
    </row>
    <row r="447">
      <c r="A447" s="11"/>
      <c r="B447" s="23"/>
      <c r="C447" s="23"/>
      <c r="D447" s="23"/>
      <c r="E447" s="23"/>
      <c r="F447" s="1"/>
      <c r="G447" s="23"/>
      <c r="H447" s="23"/>
      <c r="I447" s="23"/>
      <c r="N447" s="2"/>
      <c r="S447" s="24"/>
    </row>
    <row r="448">
      <c r="A448" s="11"/>
      <c r="B448" s="23"/>
      <c r="C448" s="23"/>
      <c r="D448" s="23"/>
      <c r="E448" s="23"/>
      <c r="F448" s="1"/>
      <c r="G448" s="23"/>
      <c r="H448" s="23"/>
      <c r="I448" s="23"/>
      <c r="N448" s="2"/>
      <c r="S448" s="24"/>
    </row>
    <row r="449">
      <c r="A449" s="11"/>
      <c r="B449" s="23"/>
      <c r="C449" s="23"/>
      <c r="D449" s="23"/>
      <c r="E449" s="23"/>
      <c r="F449" s="1"/>
      <c r="G449" s="23"/>
      <c r="H449" s="23"/>
      <c r="I449" s="23"/>
      <c r="N449" s="2"/>
      <c r="S449" s="24"/>
    </row>
    <row r="450">
      <c r="A450" s="11"/>
      <c r="B450" s="23"/>
      <c r="C450" s="23"/>
      <c r="D450" s="23"/>
      <c r="E450" s="23"/>
      <c r="F450" s="1"/>
      <c r="G450" s="23"/>
      <c r="H450" s="23"/>
      <c r="I450" s="23"/>
      <c r="N450" s="2"/>
      <c r="S450" s="24"/>
    </row>
    <row r="451">
      <c r="A451" s="11"/>
      <c r="B451" s="23"/>
      <c r="C451" s="23"/>
      <c r="D451" s="23"/>
      <c r="E451" s="23"/>
      <c r="F451" s="1"/>
      <c r="G451" s="23"/>
      <c r="H451" s="23"/>
      <c r="I451" s="23"/>
      <c r="N451" s="2"/>
      <c r="S451" s="24"/>
    </row>
    <row r="452">
      <c r="A452" s="11"/>
      <c r="B452" s="23"/>
      <c r="C452" s="23"/>
      <c r="D452" s="23"/>
      <c r="E452" s="23"/>
      <c r="F452" s="1"/>
      <c r="G452" s="23"/>
      <c r="H452" s="23"/>
      <c r="I452" s="23"/>
      <c r="N452" s="2"/>
      <c r="S452" s="24"/>
    </row>
    <row r="453">
      <c r="A453" s="11"/>
      <c r="B453" s="23"/>
      <c r="C453" s="23"/>
      <c r="D453" s="23"/>
      <c r="E453" s="23"/>
      <c r="F453" s="1"/>
      <c r="G453" s="23"/>
      <c r="H453" s="23"/>
      <c r="I453" s="23"/>
      <c r="N453" s="2"/>
      <c r="S453" s="24"/>
    </row>
    <row r="454">
      <c r="A454" s="11"/>
      <c r="B454" s="23"/>
      <c r="C454" s="23"/>
      <c r="D454" s="23"/>
      <c r="E454" s="23"/>
      <c r="F454" s="1"/>
      <c r="G454" s="23"/>
      <c r="H454" s="23"/>
      <c r="I454" s="23"/>
      <c r="N454" s="2"/>
      <c r="S454" s="24"/>
    </row>
    <row r="455">
      <c r="A455" s="11"/>
      <c r="B455" s="23"/>
      <c r="C455" s="23"/>
      <c r="D455" s="23"/>
      <c r="E455" s="23"/>
      <c r="F455" s="1"/>
      <c r="G455" s="23"/>
      <c r="H455" s="23"/>
      <c r="I455" s="23"/>
      <c r="N455" s="2"/>
      <c r="S455" s="24"/>
    </row>
    <row r="456">
      <c r="A456" s="11"/>
      <c r="B456" s="23"/>
      <c r="C456" s="23"/>
      <c r="D456" s="23"/>
      <c r="E456" s="23"/>
      <c r="F456" s="1"/>
      <c r="G456" s="23"/>
      <c r="H456" s="23"/>
      <c r="I456" s="23"/>
      <c r="N456" s="2"/>
      <c r="S456" s="24"/>
    </row>
    <row r="457">
      <c r="A457" s="11"/>
      <c r="B457" s="23"/>
      <c r="C457" s="23"/>
      <c r="D457" s="23"/>
      <c r="E457" s="23"/>
      <c r="F457" s="1"/>
      <c r="G457" s="23"/>
      <c r="H457" s="23"/>
      <c r="I457" s="23"/>
      <c r="N457" s="2"/>
      <c r="S457" s="24"/>
    </row>
    <row r="458">
      <c r="A458" s="11"/>
      <c r="B458" s="23"/>
      <c r="C458" s="23"/>
      <c r="D458" s="23"/>
      <c r="E458" s="23"/>
      <c r="F458" s="1"/>
      <c r="G458" s="23"/>
      <c r="H458" s="23"/>
      <c r="I458" s="23"/>
      <c r="N458" s="2"/>
      <c r="S458" s="24"/>
    </row>
    <row r="459">
      <c r="A459" s="11"/>
      <c r="B459" s="23"/>
      <c r="C459" s="23"/>
      <c r="D459" s="23"/>
      <c r="E459" s="23"/>
      <c r="F459" s="1"/>
      <c r="G459" s="23"/>
      <c r="H459" s="23"/>
      <c r="I459" s="23"/>
      <c r="N459" s="2"/>
      <c r="S459" s="24"/>
    </row>
    <row r="460">
      <c r="A460" s="11"/>
      <c r="B460" s="23"/>
      <c r="C460" s="23"/>
      <c r="D460" s="23"/>
      <c r="E460" s="23"/>
      <c r="F460" s="1"/>
      <c r="G460" s="23"/>
      <c r="H460" s="23"/>
      <c r="I460" s="23"/>
      <c r="N460" s="2"/>
      <c r="S460" s="24"/>
    </row>
    <row r="461">
      <c r="A461" s="11"/>
      <c r="B461" s="23"/>
      <c r="C461" s="23"/>
      <c r="D461" s="23"/>
      <c r="E461" s="23"/>
      <c r="F461" s="1"/>
      <c r="G461" s="23"/>
      <c r="H461" s="23"/>
      <c r="I461" s="23"/>
      <c r="N461" s="2"/>
      <c r="S461" s="24"/>
    </row>
    <row r="462">
      <c r="A462" s="11"/>
      <c r="B462" s="23"/>
      <c r="C462" s="23"/>
      <c r="D462" s="23"/>
      <c r="E462" s="23"/>
      <c r="F462" s="1"/>
      <c r="G462" s="23"/>
      <c r="H462" s="23"/>
      <c r="I462" s="23"/>
      <c r="N462" s="2"/>
      <c r="S462" s="24"/>
    </row>
    <row r="463">
      <c r="A463" s="11"/>
      <c r="B463" s="23"/>
      <c r="C463" s="23"/>
      <c r="D463" s="23"/>
      <c r="E463" s="23"/>
      <c r="F463" s="1"/>
      <c r="G463" s="23"/>
      <c r="H463" s="23"/>
      <c r="I463" s="23"/>
      <c r="N463" s="2"/>
      <c r="S463" s="24"/>
    </row>
    <row r="464">
      <c r="A464" s="11"/>
      <c r="B464" s="23"/>
      <c r="C464" s="23"/>
      <c r="D464" s="23"/>
      <c r="E464" s="23"/>
      <c r="F464" s="1"/>
      <c r="G464" s="23"/>
      <c r="H464" s="23"/>
      <c r="I464" s="23"/>
      <c r="N464" s="2"/>
      <c r="S464" s="24"/>
    </row>
    <row r="465">
      <c r="A465" s="11"/>
      <c r="B465" s="23"/>
      <c r="C465" s="23"/>
      <c r="D465" s="23"/>
      <c r="E465" s="23"/>
      <c r="F465" s="1"/>
      <c r="G465" s="23"/>
      <c r="H465" s="23"/>
      <c r="I465" s="23"/>
      <c r="N465" s="2"/>
      <c r="S465" s="24"/>
    </row>
    <row r="466">
      <c r="A466" s="11"/>
      <c r="B466" s="23"/>
      <c r="C466" s="23"/>
      <c r="D466" s="23"/>
      <c r="E466" s="23"/>
      <c r="F466" s="1"/>
      <c r="G466" s="23"/>
      <c r="H466" s="23"/>
      <c r="I466" s="23"/>
      <c r="N466" s="2"/>
      <c r="S466" s="24"/>
    </row>
    <row r="467">
      <c r="A467" s="11"/>
      <c r="B467" s="23"/>
      <c r="C467" s="23"/>
      <c r="D467" s="23"/>
      <c r="E467" s="23"/>
      <c r="F467" s="1"/>
      <c r="G467" s="23"/>
      <c r="H467" s="23"/>
      <c r="I467" s="23"/>
      <c r="N467" s="2"/>
      <c r="S467" s="24"/>
    </row>
    <row r="468">
      <c r="A468" s="11"/>
      <c r="B468" s="23"/>
      <c r="C468" s="23"/>
      <c r="D468" s="23"/>
      <c r="E468" s="23"/>
      <c r="F468" s="1"/>
      <c r="G468" s="23"/>
      <c r="H468" s="23"/>
      <c r="I468" s="23"/>
      <c r="N468" s="2"/>
      <c r="S468" s="24"/>
    </row>
    <row r="469">
      <c r="A469" s="11"/>
      <c r="B469" s="23"/>
      <c r="C469" s="23"/>
      <c r="D469" s="23"/>
      <c r="E469" s="23"/>
      <c r="F469" s="1"/>
      <c r="G469" s="23"/>
      <c r="H469" s="23"/>
      <c r="I469" s="23"/>
      <c r="N469" s="2"/>
      <c r="S469" s="24"/>
    </row>
    <row r="470">
      <c r="A470" s="11"/>
      <c r="B470" s="23"/>
      <c r="C470" s="23"/>
      <c r="D470" s="23"/>
      <c r="E470" s="23"/>
      <c r="F470" s="1"/>
      <c r="G470" s="23"/>
      <c r="H470" s="23"/>
      <c r="I470" s="23"/>
      <c r="N470" s="2"/>
      <c r="S470" s="24"/>
    </row>
    <row r="471">
      <c r="A471" s="11"/>
      <c r="B471" s="23"/>
      <c r="C471" s="23"/>
      <c r="D471" s="23"/>
      <c r="E471" s="23"/>
      <c r="F471" s="1"/>
      <c r="G471" s="23"/>
      <c r="H471" s="23"/>
      <c r="I471" s="23"/>
      <c r="N471" s="2"/>
      <c r="S471" s="24"/>
    </row>
    <row r="472">
      <c r="A472" s="11"/>
      <c r="B472" s="23"/>
      <c r="C472" s="23"/>
      <c r="D472" s="23"/>
      <c r="E472" s="23"/>
      <c r="F472" s="1"/>
      <c r="G472" s="23"/>
      <c r="H472" s="23"/>
      <c r="I472" s="23"/>
      <c r="N472" s="2"/>
      <c r="S472" s="24"/>
    </row>
    <row r="473">
      <c r="A473" s="11"/>
      <c r="B473" s="23"/>
      <c r="C473" s="23"/>
      <c r="D473" s="23"/>
      <c r="E473" s="23"/>
      <c r="F473" s="1"/>
      <c r="G473" s="23"/>
      <c r="H473" s="23"/>
      <c r="I473" s="23"/>
      <c r="N473" s="2"/>
      <c r="S473" s="24"/>
    </row>
    <row r="474">
      <c r="A474" s="11"/>
      <c r="B474" s="23"/>
      <c r="C474" s="23"/>
      <c r="D474" s="23"/>
      <c r="E474" s="23"/>
      <c r="F474" s="1"/>
      <c r="G474" s="23"/>
      <c r="H474" s="23"/>
      <c r="I474" s="23"/>
      <c r="N474" s="2"/>
      <c r="S474" s="24"/>
    </row>
    <row r="475">
      <c r="A475" s="11"/>
      <c r="B475" s="23"/>
      <c r="C475" s="23"/>
      <c r="D475" s="23"/>
      <c r="E475" s="23"/>
      <c r="F475" s="1"/>
      <c r="G475" s="23"/>
      <c r="H475" s="23"/>
      <c r="I475" s="23"/>
      <c r="N475" s="2"/>
      <c r="S475" s="24"/>
    </row>
    <row r="476">
      <c r="A476" s="11"/>
      <c r="B476" s="23"/>
      <c r="C476" s="23"/>
      <c r="D476" s="23"/>
      <c r="E476" s="23"/>
      <c r="F476" s="1"/>
      <c r="G476" s="23"/>
      <c r="H476" s="23"/>
      <c r="I476" s="23"/>
      <c r="N476" s="2"/>
      <c r="S476" s="24"/>
    </row>
    <row r="477">
      <c r="A477" s="11"/>
      <c r="B477" s="23"/>
      <c r="C477" s="23"/>
      <c r="D477" s="23"/>
      <c r="E477" s="23"/>
      <c r="F477" s="1"/>
      <c r="G477" s="23"/>
      <c r="H477" s="23"/>
      <c r="I477" s="23"/>
      <c r="N477" s="2"/>
      <c r="S477" s="24"/>
    </row>
    <row r="478">
      <c r="A478" s="11"/>
      <c r="B478" s="23"/>
      <c r="C478" s="23"/>
      <c r="D478" s="23"/>
      <c r="E478" s="23"/>
      <c r="F478" s="1"/>
      <c r="G478" s="23"/>
      <c r="H478" s="23"/>
      <c r="I478" s="23"/>
      <c r="N478" s="2"/>
      <c r="S478" s="24"/>
    </row>
    <row r="479">
      <c r="A479" s="11"/>
      <c r="B479" s="23"/>
      <c r="C479" s="23"/>
      <c r="D479" s="23"/>
      <c r="E479" s="23"/>
      <c r="F479" s="1"/>
      <c r="G479" s="23"/>
      <c r="H479" s="23"/>
      <c r="I479" s="23"/>
      <c r="N479" s="2"/>
      <c r="S479" s="24"/>
    </row>
    <row r="480">
      <c r="A480" s="11"/>
      <c r="B480" s="23"/>
      <c r="C480" s="23"/>
      <c r="D480" s="23"/>
      <c r="E480" s="23"/>
      <c r="F480" s="1"/>
      <c r="G480" s="23"/>
      <c r="H480" s="23"/>
      <c r="I480" s="23"/>
      <c r="N480" s="2"/>
      <c r="S480" s="24"/>
    </row>
    <row r="481">
      <c r="A481" s="11"/>
      <c r="B481" s="23"/>
      <c r="C481" s="23"/>
      <c r="D481" s="23"/>
      <c r="E481" s="23"/>
      <c r="F481" s="1"/>
      <c r="G481" s="23"/>
      <c r="H481" s="23"/>
      <c r="I481" s="23"/>
      <c r="N481" s="2"/>
      <c r="S481" s="24"/>
    </row>
    <row r="482">
      <c r="A482" s="11"/>
      <c r="B482" s="23"/>
      <c r="C482" s="23"/>
      <c r="D482" s="23"/>
      <c r="E482" s="23"/>
      <c r="F482" s="1"/>
      <c r="G482" s="23"/>
      <c r="H482" s="23"/>
      <c r="I482" s="23"/>
      <c r="N482" s="2"/>
      <c r="S482" s="24"/>
    </row>
    <row r="483">
      <c r="A483" s="11"/>
      <c r="B483" s="23"/>
      <c r="C483" s="23"/>
      <c r="D483" s="23"/>
      <c r="E483" s="23"/>
      <c r="F483" s="1"/>
      <c r="G483" s="23"/>
      <c r="H483" s="23"/>
      <c r="I483" s="23"/>
      <c r="N483" s="2"/>
      <c r="S483" s="24"/>
    </row>
    <row r="484">
      <c r="A484" s="11"/>
      <c r="B484" s="23"/>
      <c r="C484" s="23"/>
      <c r="D484" s="23"/>
      <c r="E484" s="23"/>
      <c r="F484" s="1"/>
      <c r="G484" s="23"/>
      <c r="H484" s="23"/>
      <c r="I484" s="23"/>
      <c r="N484" s="2"/>
      <c r="S484" s="24"/>
    </row>
    <row r="485">
      <c r="A485" s="11"/>
      <c r="B485" s="23"/>
      <c r="C485" s="23"/>
      <c r="D485" s="23"/>
      <c r="E485" s="23"/>
      <c r="F485" s="1"/>
      <c r="G485" s="23"/>
      <c r="H485" s="23"/>
      <c r="I485" s="23"/>
      <c r="N485" s="2"/>
      <c r="S485" s="24"/>
    </row>
    <row r="486">
      <c r="A486" s="11"/>
      <c r="B486" s="23"/>
      <c r="C486" s="23"/>
      <c r="D486" s="23"/>
      <c r="E486" s="23"/>
      <c r="F486" s="1"/>
      <c r="G486" s="23"/>
      <c r="H486" s="23"/>
      <c r="I486" s="23"/>
      <c r="N486" s="2"/>
      <c r="S486" s="24"/>
    </row>
    <row r="487">
      <c r="A487" s="11"/>
      <c r="B487" s="23"/>
      <c r="C487" s="23"/>
      <c r="D487" s="23"/>
      <c r="E487" s="23"/>
      <c r="F487" s="1"/>
      <c r="G487" s="23"/>
      <c r="H487" s="23"/>
      <c r="I487" s="23"/>
      <c r="N487" s="2"/>
      <c r="S487" s="24"/>
    </row>
    <row r="488">
      <c r="A488" s="11"/>
      <c r="B488" s="23"/>
      <c r="C488" s="23"/>
      <c r="D488" s="23"/>
      <c r="E488" s="23"/>
      <c r="F488" s="1"/>
      <c r="G488" s="23"/>
      <c r="H488" s="23"/>
      <c r="I488" s="23"/>
      <c r="N488" s="2"/>
      <c r="S488" s="24"/>
    </row>
    <row r="489">
      <c r="A489" s="11"/>
      <c r="B489" s="23"/>
      <c r="C489" s="23"/>
      <c r="D489" s="23"/>
      <c r="E489" s="23"/>
      <c r="F489" s="1"/>
      <c r="G489" s="23"/>
      <c r="H489" s="23"/>
      <c r="I489" s="23"/>
      <c r="N489" s="2"/>
      <c r="S489" s="24"/>
    </row>
    <row r="490">
      <c r="A490" s="11"/>
      <c r="B490" s="23"/>
      <c r="C490" s="23"/>
      <c r="D490" s="23"/>
      <c r="E490" s="23"/>
      <c r="F490" s="1"/>
      <c r="G490" s="23"/>
      <c r="H490" s="23"/>
      <c r="I490" s="23"/>
      <c r="N490" s="2"/>
      <c r="S490" s="24"/>
    </row>
    <row r="491">
      <c r="A491" s="11"/>
      <c r="B491" s="23"/>
      <c r="C491" s="23"/>
      <c r="D491" s="23"/>
      <c r="E491" s="23"/>
      <c r="F491" s="1"/>
      <c r="G491" s="23"/>
      <c r="H491" s="23"/>
      <c r="I491" s="23"/>
      <c r="N491" s="2"/>
      <c r="S491" s="24"/>
    </row>
    <row r="492">
      <c r="A492" s="11"/>
      <c r="B492" s="23"/>
      <c r="C492" s="23"/>
      <c r="D492" s="23"/>
      <c r="E492" s="23"/>
      <c r="F492" s="1"/>
      <c r="G492" s="23"/>
      <c r="H492" s="23"/>
      <c r="I492" s="23"/>
      <c r="N492" s="2"/>
      <c r="S492" s="24"/>
    </row>
    <row r="493">
      <c r="A493" s="11"/>
      <c r="B493" s="23"/>
      <c r="C493" s="23"/>
      <c r="D493" s="23"/>
      <c r="E493" s="23"/>
      <c r="F493" s="1"/>
      <c r="G493" s="23"/>
      <c r="H493" s="23"/>
      <c r="I493" s="23"/>
      <c r="N493" s="2"/>
      <c r="S493" s="24"/>
    </row>
    <row r="494">
      <c r="A494" s="11"/>
      <c r="B494" s="23"/>
      <c r="C494" s="23"/>
      <c r="D494" s="23"/>
      <c r="E494" s="23"/>
      <c r="F494" s="1"/>
      <c r="G494" s="23"/>
      <c r="H494" s="23"/>
      <c r="I494" s="23"/>
      <c r="N494" s="2"/>
      <c r="S494" s="24"/>
    </row>
    <row r="495">
      <c r="A495" s="11"/>
      <c r="B495" s="23"/>
      <c r="C495" s="23"/>
      <c r="D495" s="23"/>
      <c r="E495" s="23"/>
      <c r="F495" s="1"/>
      <c r="G495" s="23"/>
      <c r="H495" s="23"/>
      <c r="I495" s="23"/>
      <c r="N495" s="2"/>
      <c r="S495" s="24"/>
    </row>
    <row r="496">
      <c r="A496" s="11"/>
      <c r="B496" s="23"/>
      <c r="C496" s="23"/>
      <c r="D496" s="23"/>
      <c r="E496" s="23"/>
      <c r="F496" s="1"/>
      <c r="G496" s="23"/>
      <c r="H496" s="23"/>
      <c r="I496" s="23"/>
      <c r="N496" s="2"/>
      <c r="S496" s="24"/>
    </row>
    <row r="497">
      <c r="A497" s="11"/>
      <c r="B497" s="23"/>
      <c r="C497" s="23"/>
      <c r="D497" s="23"/>
      <c r="E497" s="23"/>
      <c r="F497" s="1"/>
      <c r="G497" s="23"/>
      <c r="H497" s="23"/>
      <c r="I497" s="23"/>
      <c r="N497" s="2"/>
      <c r="S497" s="24"/>
    </row>
    <row r="498">
      <c r="A498" s="11"/>
      <c r="B498" s="23"/>
      <c r="C498" s="23"/>
      <c r="D498" s="23"/>
      <c r="E498" s="23"/>
      <c r="F498" s="1"/>
      <c r="G498" s="23"/>
      <c r="H498" s="23"/>
      <c r="I498" s="23"/>
      <c r="N498" s="2"/>
      <c r="S498" s="24"/>
    </row>
    <row r="499">
      <c r="A499" s="11"/>
      <c r="B499" s="23"/>
      <c r="C499" s="23"/>
      <c r="D499" s="23"/>
      <c r="E499" s="23"/>
      <c r="F499" s="1"/>
      <c r="G499" s="23"/>
      <c r="H499" s="23"/>
      <c r="I499" s="23"/>
      <c r="N499" s="2"/>
      <c r="S499" s="24"/>
    </row>
    <row r="500">
      <c r="A500" s="11"/>
      <c r="B500" s="23"/>
      <c r="C500" s="23"/>
      <c r="D500" s="23"/>
      <c r="E500" s="23"/>
      <c r="F500" s="1"/>
      <c r="G500" s="23"/>
      <c r="H500" s="23"/>
      <c r="I500" s="23"/>
      <c r="N500" s="2"/>
      <c r="S500" s="24"/>
    </row>
    <row r="501">
      <c r="A501" s="11"/>
      <c r="B501" s="23"/>
      <c r="C501" s="23"/>
      <c r="D501" s="23"/>
      <c r="E501" s="23"/>
      <c r="F501" s="1"/>
      <c r="G501" s="23"/>
      <c r="H501" s="23"/>
      <c r="I501" s="23"/>
      <c r="N501" s="2"/>
      <c r="S501" s="24"/>
    </row>
    <row r="502">
      <c r="A502" s="11"/>
      <c r="B502" s="23"/>
      <c r="C502" s="23"/>
      <c r="D502" s="23"/>
      <c r="E502" s="23"/>
      <c r="F502" s="1"/>
      <c r="G502" s="23"/>
      <c r="H502" s="23"/>
      <c r="I502" s="23"/>
      <c r="N502" s="2"/>
      <c r="S502" s="24"/>
    </row>
    <row r="503">
      <c r="A503" s="11"/>
      <c r="B503" s="23"/>
      <c r="C503" s="23"/>
      <c r="D503" s="23"/>
      <c r="E503" s="23"/>
      <c r="F503" s="1"/>
      <c r="G503" s="23"/>
      <c r="H503" s="23"/>
      <c r="I503" s="23"/>
      <c r="N503" s="2"/>
      <c r="S503" s="24"/>
    </row>
    <row r="504">
      <c r="A504" s="11"/>
      <c r="B504" s="23"/>
      <c r="C504" s="23"/>
      <c r="D504" s="23"/>
      <c r="E504" s="23"/>
      <c r="F504" s="1"/>
      <c r="G504" s="23"/>
      <c r="H504" s="23"/>
      <c r="I504" s="23"/>
      <c r="N504" s="2"/>
      <c r="S504" s="24"/>
    </row>
    <row r="505">
      <c r="A505" s="11"/>
      <c r="B505" s="23"/>
      <c r="C505" s="23"/>
      <c r="D505" s="23"/>
      <c r="E505" s="23"/>
      <c r="F505" s="1"/>
      <c r="G505" s="23"/>
      <c r="H505" s="23"/>
      <c r="I505" s="23"/>
      <c r="N505" s="2"/>
      <c r="S505" s="24"/>
    </row>
    <row r="506">
      <c r="A506" s="11"/>
      <c r="B506" s="23"/>
      <c r="C506" s="23"/>
      <c r="D506" s="23"/>
      <c r="E506" s="23"/>
      <c r="F506" s="1"/>
      <c r="G506" s="23"/>
      <c r="H506" s="23"/>
      <c r="I506" s="23"/>
      <c r="N506" s="2"/>
      <c r="S506" s="24"/>
    </row>
    <row r="507">
      <c r="A507" s="11"/>
      <c r="B507" s="23"/>
      <c r="C507" s="23"/>
      <c r="D507" s="23"/>
      <c r="E507" s="23"/>
      <c r="F507" s="1"/>
      <c r="G507" s="23"/>
      <c r="H507" s="23"/>
      <c r="I507" s="23"/>
      <c r="N507" s="2"/>
      <c r="S507" s="24"/>
    </row>
    <row r="508">
      <c r="A508" s="11"/>
      <c r="B508" s="23"/>
      <c r="C508" s="23"/>
      <c r="D508" s="23"/>
      <c r="E508" s="23"/>
      <c r="F508" s="1"/>
      <c r="G508" s="23"/>
      <c r="H508" s="23"/>
      <c r="I508" s="23"/>
      <c r="N508" s="2"/>
      <c r="S508" s="24"/>
    </row>
    <row r="509">
      <c r="A509" s="11"/>
      <c r="B509" s="23"/>
      <c r="C509" s="23"/>
      <c r="D509" s="23"/>
      <c r="E509" s="23"/>
      <c r="F509" s="1"/>
      <c r="G509" s="23"/>
      <c r="H509" s="23"/>
      <c r="I509" s="23"/>
      <c r="N509" s="2"/>
      <c r="S509" s="24"/>
    </row>
    <row r="510">
      <c r="A510" s="11"/>
      <c r="B510" s="23"/>
      <c r="C510" s="23"/>
      <c r="D510" s="23"/>
      <c r="E510" s="23"/>
      <c r="F510" s="1"/>
      <c r="G510" s="23"/>
      <c r="H510" s="23"/>
      <c r="I510" s="23"/>
      <c r="N510" s="2"/>
      <c r="S510" s="24"/>
    </row>
    <row r="511">
      <c r="A511" s="11"/>
      <c r="B511" s="23"/>
      <c r="C511" s="23"/>
      <c r="D511" s="23"/>
      <c r="E511" s="23"/>
      <c r="F511" s="1"/>
      <c r="G511" s="23"/>
      <c r="H511" s="23"/>
      <c r="I511" s="23"/>
      <c r="N511" s="2"/>
      <c r="S511" s="24"/>
    </row>
    <row r="512">
      <c r="A512" s="11"/>
      <c r="B512" s="23"/>
      <c r="C512" s="23"/>
      <c r="D512" s="23"/>
      <c r="E512" s="23"/>
      <c r="F512" s="1"/>
      <c r="G512" s="23"/>
      <c r="H512" s="23"/>
      <c r="I512" s="23"/>
      <c r="N512" s="2"/>
      <c r="S512" s="24"/>
    </row>
    <row r="513">
      <c r="A513" s="11"/>
      <c r="B513" s="23"/>
      <c r="C513" s="23"/>
      <c r="D513" s="23"/>
      <c r="E513" s="23"/>
      <c r="F513" s="1"/>
      <c r="G513" s="23"/>
      <c r="H513" s="23"/>
      <c r="I513" s="23"/>
      <c r="N513" s="2"/>
      <c r="S513" s="24"/>
    </row>
    <row r="514">
      <c r="A514" s="11"/>
      <c r="B514" s="23"/>
      <c r="C514" s="23"/>
      <c r="D514" s="23"/>
      <c r="E514" s="23"/>
      <c r="F514" s="1"/>
      <c r="G514" s="23"/>
      <c r="H514" s="23"/>
      <c r="I514" s="23"/>
      <c r="N514" s="2"/>
      <c r="S514" s="24"/>
    </row>
    <row r="515">
      <c r="A515" s="11"/>
      <c r="B515" s="23"/>
      <c r="C515" s="23"/>
      <c r="D515" s="23"/>
      <c r="E515" s="23"/>
      <c r="F515" s="1"/>
      <c r="G515" s="23"/>
      <c r="H515" s="23"/>
      <c r="I515" s="23"/>
      <c r="N515" s="2"/>
      <c r="S515" s="24"/>
    </row>
    <row r="516">
      <c r="A516" s="11"/>
      <c r="B516" s="23"/>
      <c r="C516" s="23"/>
      <c r="D516" s="23"/>
      <c r="E516" s="23"/>
      <c r="F516" s="1"/>
      <c r="G516" s="23"/>
      <c r="H516" s="23"/>
      <c r="I516" s="23"/>
      <c r="N516" s="2"/>
      <c r="S516" s="24"/>
    </row>
    <row r="517">
      <c r="A517" s="11"/>
      <c r="B517" s="23"/>
      <c r="C517" s="23"/>
      <c r="D517" s="23"/>
      <c r="E517" s="23"/>
      <c r="F517" s="1"/>
      <c r="G517" s="23"/>
      <c r="H517" s="23"/>
      <c r="I517" s="23"/>
      <c r="N517" s="2"/>
      <c r="S517" s="24"/>
    </row>
    <row r="518">
      <c r="A518" s="11"/>
      <c r="B518" s="23"/>
      <c r="C518" s="23"/>
      <c r="D518" s="23"/>
      <c r="E518" s="23"/>
      <c r="F518" s="1"/>
      <c r="G518" s="23"/>
      <c r="H518" s="23"/>
      <c r="I518" s="23"/>
      <c r="N518" s="2"/>
      <c r="S518" s="24"/>
    </row>
    <row r="519">
      <c r="A519" s="11"/>
      <c r="B519" s="23"/>
      <c r="C519" s="23"/>
      <c r="D519" s="23"/>
      <c r="E519" s="23"/>
      <c r="F519" s="1"/>
      <c r="G519" s="23"/>
      <c r="H519" s="23"/>
      <c r="I519" s="23"/>
      <c r="N519" s="2"/>
      <c r="S519" s="24"/>
    </row>
    <row r="520">
      <c r="A520" s="11"/>
      <c r="B520" s="23"/>
      <c r="C520" s="23"/>
      <c r="D520" s="23"/>
      <c r="E520" s="23"/>
      <c r="F520" s="1"/>
      <c r="G520" s="23"/>
      <c r="H520" s="23"/>
      <c r="I520" s="23"/>
      <c r="N520" s="2"/>
      <c r="S520" s="24"/>
    </row>
    <row r="521">
      <c r="A521" s="11"/>
      <c r="B521" s="23"/>
      <c r="C521" s="23"/>
      <c r="D521" s="23"/>
      <c r="E521" s="23"/>
      <c r="F521" s="1"/>
      <c r="G521" s="23"/>
      <c r="H521" s="23"/>
      <c r="I521" s="23"/>
      <c r="N521" s="2"/>
      <c r="S521" s="24"/>
    </row>
    <row r="522">
      <c r="A522" s="11"/>
      <c r="B522" s="23"/>
      <c r="C522" s="23"/>
      <c r="D522" s="23"/>
      <c r="E522" s="23"/>
      <c r="F522" s="1"/>
      <c r="G522" s="23"/>
      <c r="H522" s="23"/>
      <c r="I522" s="23"/>
      <c r="N522" s="2"/>
      <c r="S522" s="24"/>
    </row>
    <row r="523">
      <c r="A523" s="11"/>
      <c r="B523" s="23"/>
      <c r="C523" s="23"/>
      <c r="D523" s="23"/>
      <c r="E523" s="23"/>
      <c r="F523" s="1"/>
      <c r="G523" s="23"/>
      <c r="H523" s="23"/>
      <c r="I523" s="23"/>
      <c r="N523" s="2"/>
      <c r="S523" s="24"/>
    </row>
    <row r="524">
      <c r="A524" s="11"/>
      <c r="B524" s="23"/>
      <c r="C524" s="23"/>
      <c r="D524" s="23"/>
      <c r="E524" s="23"/>
      <c r="F524" s="1"/>
      <c r="G524" s="23"/>
      <c r="H524" s="23"/>
      <c r="I524" s="23"/>
      <c r="N524" s="2"/>
      <c r="S524" s="24"/>
    </row>
    <row r="525">
      <c r="A525" s="11"/>
      <c r="B525" s="23"/>
      <c r="C525" s="23"/>
      <c r="D525" s="23"/>
      <c r="E525" s="23"/>
      <c r="F525" s="1"/>
      <c r="G525" s="23"/>
      <c r="H525" s="23"/>
      <c r="I525" s="23"/>
      <c r="N525" s="2"/>
      <c r="S525" s="24"/>
    </row>
    <row r="526">
      <c r="A526" s="11"/>
      <c r="B526" s="23"/>
      <c r="C526" s="23"/>
      <c r="D526" s="23"/>
      <c r="E526" s="23"/>
      <c r="F526" s="1"/>
      <c r="G526" s="23"/>
      <c r="H526" s="23"/>
      <c r="I526" s="23"/>
      <c r="N526" s="2"/>
      <c r="S526" s="24"/>
    </row>
    <row r="527">
      <c r="A527" s="11"/>
      <c r="B527" s="23"/>
      <c r="C527" s="23"/>
      <c r="D527" s="23"/>
      <c r="E527" s="23"/>
      <c r="F527" s="1"/>
      <c r="G527" s="23"/>
      <c r="H527" s="23"/>
      <c r="I527" s="23"/>
      <c r="N527" s="2"/>
      <c r="S527" s="24"/>
    </row>
    <row r="528">
      <c r="A528" s="11"/>
      <c r="B528" s="23"/>
      <c r="C528" s="23"/>
      <c r="D528" s="23"/>
      <c r="E528" s="23"/>
      <c r="F528" s="1"/>
      <c r="G528" s="23"/>
      <c r="H528" s="23"/>
      <c r="I528" s="23"/>
      <c r="N528" s="2"/>
      <c r="S528" s="24"/>
    </row>
    <row r="529">
      <c r="A529" s="11"/>
      <c r="B529" s="23"/>
      <c r="C529" s="23"/>
      <c r="D529" s="23"/>
      <c r="E529" s="23"/>
      <c r="F529" s="1"/>
      <c r="G529" s="23"/>
      <c r="H529" s="23"/>
      <c r="I529" s="23"/>
      <c r="N529" s="2"/>
      <c r="S529" s="24"/>
    </row>
    <row r="530">
      <c r="A530" s="11"/>
      <c r="B530" s="23"/>
      <c r="C530" s="23"/>
      <c r="D530" s="23"/>
      <c r="E530" s="23"/>
      <c r="F530" s="1"/>
      <c r="G530" s="23"/>
      <c r="H530" s="23"/>
      <c r="I530" s="23"/>
      <c r="N530" s="2"/>
      <c r="S530" s="24"/>
    </row>
    <row r="531">
      <c r="A531" s="11"/>
      <c r="B531" s="23"/>
      <c r="C531" s="23"/>
      <c r="D531" s="23"/>
      <c r="E531" s="23"/>
      <c r="F531" s="1"/>
      <c r="G531" s="23"/>
      <c r="H531" s="23"/>
      <c r="I531" s="23"/>
      <c r="N531" s="2"/>
      <c r="S531" s="24"/>
    </row>
    <row r="532">
      <c r="A532" s="11"/>
      <c r="B532" s="23"/>
      <c r="C532" s="23"/>
      <c r="D532" s="23"/>
      <c r="E532" s="23"/>
      <c r="F532" s="1"/>
      <c r="G532" s="23"/>
      <c r="H532" s="23"/>
      <c r="I532" s="23"/>
      <c r="N532" s="2"/>
      <c r="S532" s="24"/>
    </row>
    <row r="533">
      <c r="A533" s="11"/>
      <c r="B533" s="23"/>
      <c r="C533" s="23"/>
      <c r="D533" s="23"/>
      <c r="E533" s="23"/>
      <c r="F533" s="1"/>
      <c r="G533" s="23"/>
      <c r="H533" s="23"/>
      <c r="I533" s="23"/>
      <c r="N533" s="2"/>
      <c r="S533" s="24"/>
    </row>
    <row r="534">
      <c r="A534" s="11"/>
      <c r="B534" s="23"/>
      <c r="C534" s="23"/>
      <c r="D534" s="23"/>
      <c r="E534" s="23"/>
      <c r="F534" s="1"/>
      <c r="G534" s="23"/>
      <c r="H534" s="23"/>
      <c r="I534" s="23"/>
      <c r="N534" s="2"/>
      <c r="S534" s="24"/>
    </row>
    <row r="535">
      <c r="A535" s="11"/>
      <c r="B535" s="23"/>
      <c r="C535" s="23"/>
      <c r="D535" s="23"/>
      <c r="E535" s="23"/>
      <c r="F535" s="1"/>
      <c r="G535" s="23"/>
      <c r="H535" s="23"/>
      <c r="I535" s="23"/>
      <c r="N535" s="2"/>
      <c r="S535" s="24"/>
    </row>
    <row r="536">
      <c r="A536" s="11"/>
      <c r="B536" s="23"/>
      <c r="C536" s="23"/>
      <c r="D536" s="23"/>
      <c r="E536" s="23"/>
      <c r="F536" s="1"/>
      <c r="G536" s="23"/>
      <c r="H536" s="23"/>
      <c r="I536" s="23"/>
      <c r="N536" s="2"/>
      <c r="S536" s="24"/>
    </row>
    <row r="537">
      <c r="A537" s="11"/>
      <c r="B537" s="23"/>
      <c r="C537" s="23"/>
      <c r="D537" s="23"/>
      <c r="E537" s="23"/>
      <c r="F537" s="1"/>
      <c r="G537" s="23"/>
      <c r="H537" s="23"/>
      <c r="I537" s="23"/>
      <c r="N537" s="2"/>
      <c r="S537" s="24"/>
    </row>
    <row r="538">
      <c r="A538" s="11"/>
      <c r="B538" s="23"/>
      <c r="C538" s="23"/>
      <c r="D538" s="23"/>
      <c r="E538" s="23"/>
      <c r="F538" s="1"/>
      <c r="G538" s="23"/>
      <c r="H538" s="23"/>
      <c r="I538" s="23"/>
      <c r="N538" s="2"/>
      <c r="S538" s="24"/>
    </row>
    <row r="539">
      <c r="A539" s="11"/>
      <c r="B539" s="23"/>
      <c r="C539" s="23"/>
      <c r="D539" s="23"/>
      <c r="E539" s="23"/>
      <c r="F539" s="1"/>
      <c r="G539" s="23"/>
      <c r="H539" s="23"/>
      <c r="I539" s="23"/>
      <c r="N539" s="2"/>
      <c r="S539" s="24"/>
    </row>
    <row r="540">
      <c r="A540" s="11"/>
      <c r="B540" s="23"/>
      <c r="C540" s="23"/>
      <c r="D540" s="23"/>
      <c r="E540" s="23"/>
      <c r="F540" s="1"/>
      <c r="G540" s="23"/>
      <c r="H540" s="23"/>
      <c r="I540" s="23"/>
      <c r="N540" s="2"/>
      <c r="S540" s="24"/>
    </row>
    <row r="541">
      <c r="A541" s="11"/>
      <c r="B541" s="23"/>
      <c r="C541" s="23"/>
      <c r="D541" s="23"/>
      <c r="E541" s="23"/>
      <c r="F541" s="1"/>
      <c r="G541" s="23"/>
      <c r="H541" s="23"/>
      <c r="I541" s="23"/>
      <c r="N541" s="2"/>
      <c r="S541" s="24"/>
    </row>
    <row r="542">
      <c r="A542" s="11"/>
      <c r="B542" s="23"/>
      <c r="C542" s="23"/>
      <c r="D542" s="23"/>
      <c r="E542" s="23"/>
      <c r="F542" s="1"/>
      <c r="G542" s="23"/>
      <c r="H542" s="23"/>
      <c r="I542" s="23"/>
      <c r="N542" s="2"/>
      <c r="S542" s="24"/>
    </row>
    <row r="543">
      <c r="A543" s="11"/>
      <c r="B543" s="23"/>
      <c r="C543" s="23"/>
      <c r="D543" s="23"/>
      <c r="E543" s="23"/>
      <c r="F543" s="1"/>
      <c r="G543" s="23"/>
      <c r="H543" s="23"/>
      <c r="I543" s="23"/>
      <c r="N543" s="2"/>
      <c r="S543" s="24"/>
    </row>
    <row r="544">
      <c r="A544" s="11"/>
      <c r="B544" s="23"/>
      <c r="C544" s="23"/>
      <c r="D544" s="23"/>
      <c r="E544" s="23"/>
      <c r="F544" s="1"/>
      <c r="G544" s="23"/>
      <c r="H544" s="23"/>
      <c r="I544" s="23"/>
      <c r="N544" s="2"/>
      <c r="S544" s="24"/>
    </row>
    <row r="545">
      <c r="A545" s="11"/>
      <c r="B545" s="23"/>
      <c r="C545" s="23"/>
      <c r="D545" s="23"/>
      <c r="E545" s="23"/>
      <c r="F545" s="1"/>
      <c r="G545" s="23"/>
      <c r="H545" s="23"/>
      <c r="I545" s="23"/>
      <c r="N545" s="2"/>
      <c r="S545" s="24"/>
    </row>
    <row r="546">
      <c r="A546" s="11"/>
      <c r="B546" s="23"/>
      <c r="C546" s="23"/>
      <c r="D546" s="23"/>
      <c r="E546" s="23"/>
      <c r="F546" s="1"/>
      <c r="G546" s="23"/>
      <c r="H546" s="23"/>
      <c r="I546" s="23"/>
      <c r="N546" s="2"/>
      <c r="S546" s="24"/>
    </row>
    <row r="547">
      <c r="A547" s="11"/>
      <c r="B547" s="23"/>
      <c r="C547" s="23"/>
      <c r="D547" s="23"/>
      <c r="E547" s="23"/>
      <c r="F547" s="1"/>
      <c r="G547" s="23"/>
      <c r="H547" s="23"/>
      <c r="I547" s="23"/>
      <c r="N547" s="2"/>
      <c r="S547" s="24"/>
    </row>
    <row r="548">
      <c r="A548" s="11"/>
      <c r="B548" s="23"/>
      <c r="C548" s="23"/>
      <c r="D548" s="23"/>
      <c r="E548" s="23"/>
      <c r="F548" s="1"/>
      <c r="G548" s="23"/>
      <c r="H548" s="23"/>
      <c r="I548" s="23"/>
      <c r="N548" s="2"/>
      <c r="S548" s="24"/>
    </row>
    <row r="549">
      <c r="A549" s="11"/>
      <c r="B549" s="23"/>
      <c r="C549" s="23"/>
      <c r="D549" s="23"/>
      <c r="E549" s="23"/>
      <c r="F549" s="1"/>
      <c r="G549" s="23"/>
      <c r="H549" s="23"/>
      <c r="I549" s="23"/>
      <c r="N549" s="2"/>
      <c r="S549" s="24"/>
    </row>
    <row r="550">
      <c r="A550" s="11"/>
      <c r="B550" s="23"/>
      <c r="C550" s="23"/>
      <c r="D550" s="23"/>
      <c r="E550" s="23"/>
      <c r="F550" s="1"/>
      <c r="G550" s="23"/>
      <c r="H550" s="23"/>
      <c r="I550" s="23"/>
      <c r="N550" s="2"/>
      <c r="S550" s="24"/>
    </row>
    <row r="551">
      <c r="A551" s="11"/>
      <c r="B551" s="23"/>
      <c r="C551" s="23"/>
      <c r="D551" s="23"/>
      <c r="E551" s="23"/>
      <c r="F551" s="1"/>
      <c r="G551" s="23"/>
      <c r="H551" s="23"/>
      <c r="I551" s="23"/>
      <c r="N551" s="2"/>
      <c r="S551" s="24"/>
    </row>
    <row r="552">
      <c r="A552" s="11"/>
      <c r="B552" s="23"/>
      <c r="C552" s="23"/>
      <c r="D552" s="23"/>
      <c r="E552" s="23"/>
      <c r="F552" s="1"/>
      <c r="G552" s="23"/>
      <c r="H552" s="23"/>
      <c r="I552" s="23"/>
      <c r="N552" s="2"/>
      <c r="S552" s="24"/>
    </row>
    <row r="553">
      <c r="A553" s="11"/>
      <c r="B553" s="23"/>
      <c r="C553" s="23"/>
      <c r="D553" s="23"/>
      <c r="E553" s="23"/>
      <c r="F553" s="1"/>
      <c r="G553" s="23"/>
      <c r="H553" s="23"/>
      <c r="I553" s="23"/>
      <c r="N553" s="2"/>
      <c r="S553" s="24"/>
    </row>
    <row r="554">
      <c r="A554" s="11"/>
      <c r="B554" s="23"/>
      <c r="C554" s="23"/>
      <c r="D554" s="23"/>
      <c r="E554" s="23"/>
      <c r="F554" s="1"/>
      <c r="G554" s="23"/>
      <c r="H554" s="23"/>
      <c r="I554" s="23"/>
      <c r="N554" s="2"/>
      <c r="S554" s="24"/>
    </row>
    <row r="555">
      <c r="A555" s="11"/>
      <c r="B555" s="23"/>
      <c r="C555" s="23"/>
      <c r="D555" s="23"/>
      <c r="E555" s="23"/>
      <c r="F555" s="1"/>
      <c r="G555" s="23"/>
      <c r="H555" s="23"/>
      <c r="I555" s="23"/>
      <c r="N555" s="2"/>
      <c r="S555" s="24"/>
    </row>
    <row r="556">
      <c r="A556" s="11"/>
      <c r="B556" s="23"/>
      <c r="C556" s="23"/>
      <c r="D556" s="23"/>
      <c r="E556" s="23"/>
      <c r="F556" s="1"/>
      <c r="G556" s="23"/>
      <c r="H556" s="23"/>
      <c r="I556" s="23"/>
      <c r="N556" s="2"/>
      <c r="S556" s="24"/>
    </row>
    <row r="557">
      <c r="A557" s="11"/>
      <c r="B557" s="23"/>
      <c r="C557" s="23"/>
      <c r="D557" s="23"/>
      <c r="E557" s="23"/>
      <c r="F557" s="1"/>
      <c r="G557" s="23"/>
      <c r="H557" s="23"/>
      <c r="I557" s="23"/>
      <c r="N557" s="2"/>
      <c r="S557" s="24"/>
    </row>
    <row r="558">
      <c r="A558" s="11"/>
      <c r="B558" s="23"/>
      <c r="C558" s="23"/>
      <c r="D558" s="23"/>
      <c r="E558" s="23"/>
      <c r="F558" s="1"/>
      <c r="G558" s="23"/>
      <c r="H558" s="23"/>
      <c r="I558" s="23"/>
      <c r="N558" s="2"/>
      <c r="S558" s="24"/>
    </row>
    <row r="559">
      <c r="A559" s="11"/>
      <c r="B559" s="23"/>
      <c r="C559" s="23"/>
      <c r="D559" s="23"/>
      <c r="E559" s="23"/>
      <c r="F559" s="1"/>
      <c r="G559" s="23"/>
      <c r="H559" s="23"/>
      <c r="I559" s="23"/>
      <c r="N559" s="2"/>
      <c r="S559" s="24"/>
    </row>
    <row r="560">
      <c r="A560" s="11"/>
      <c r="B560" s="23"/>
      <c r="C560" s="23"/>
      <c r="D560" s="23"/>
      <c r="E560" s="23"/>
      <c r="F560" s="1"/>
      <c r="G560" s="23"/>
      <c r="H560" s="23"/>
      <c r="I560" s="23"/>
      <c r="N560" s="2"/>
      <c r="S560" s="24"/>
    </row>
    <row r="561">
      <c r="A561" s="11"/>
      <c r="B561" s="23"/>
      <c r="C561" s="23"/>
      <c r="D561" s="23"/>
      <c r="E561" s="23"/>
      <c r="F561" s="1"/>
      <c r="G561" s="23"/>
      <c r="H561" s="23"/>
      <c r="I561" s="23"/>
      <c r="N561" s="2"/>
      <c r="S561" s="24"/>
    </row>
    <row r="562">
      <c r="A562" s="11"/>
      <c r="B562" s="23"/>
      <c r="C562" s="23"/>
      <c r="D562" s="23"/>
      <c r="E562" s="23"/>
      <c r="F562" s="1"/>
      <c r="G562" s="23"/>
      <c r="H562" s="23"/>
      <c r="I562" s="23"/>
      <c r="N562" s="2"/>
      <c r="S562" s="24"/>
    </row>
    <row r="563">
      <c r="A563" s="11"/>
      <c r="B563" s="23"/>
      <c r="C563" s="23"/>
      <c r="D563" s="23"/>
      <c r="E563" s="23"/>
      <c r="F563" s="1"/>
      <c r="G563" s="23"/>
      <c r="H563" s="23"/>
      <c r="I563" s="23"/>
      <c r="N563" s="2"/>
      <c r="S563" s="24"/>
    </row>
    <row r="564">
      <c r="A564" s="11"/>
      <c r="B564" s="23"/>
      <c r="C564" s="23"/>
      <c r="D564" s="23"/>
      <c r="E564" s="23"/>
      <c r="F564" s="1"/>
      <c r="G564" s="23"/>
      <c r="H564" s="23"/>
      <c r="I564" s="23"/>
      <c r="N564" s="2"/>
      <c r="S564" s="24"/>
    </row>
    <row r="565">
      <c r="A565" s="11"/>
      <c r="B565" s="23"/>
      <c r="C565" s="23"/>
      <c r="D565" s="23"/>
      <c r="E565" s="23"/>
      <c r="F565" s="1"/>
      <c r="G565" s="23"/>
      <c r="H565" s="23"/>
      <c r="I565" s="23"/>
      <c r="N565" s="2"/>
      <c r="S565" s="24"/>
    </row>
    <row r="566">
      <c r="A566" s="11"/>
      <c r="B566" s="23"/>
      <c r="C566" s="23"/>
      <c r="D566" s="23"/>
      <c r="E566" s="23"/>
      <c r="F566" s="1"/>
      <c r="G566" s="23"/>
      <c r="H566" s="23"/>
      <c r="I566" s="23"/>
      <c r="N566" s="2"/>
      <c r="S566" s="24"/>
    </row>
    <row r="567">
      <c r="A567" s="11"/>
      <c r="B567" s="23"/>
      <c r="C567" s="23"/>
      <c r="D567" s="23"/>
      <c r="E567" s="23"/>
      <c r="F567" s="1"/>
      <c r="G567" s="23"/>
      <c r="H567" s="23"/>
      <c r="I567" s="23"/>
      <c r="N567" s="2"/>
      <c r="S567" s="24"/>
    </row>
    <row r="568">
      <c r="A568" s="11"/>
      <c r="B568" s="23"/>
      <c r="C568" s="23"/>
      <c r="D568" s="23"/>
      <c r="E568" s="23"/>
      <c r="F568" s="1"/>
      <c r="G568" s="23"/>
      <c r="H568" s="23"/>
      <c r="I568" s="23"/>
      <c r="N568" s="2"/>
      <c r="S568" s="24"/>
    </row>
    <row r="569">
      <c r="A569" s="11"/>
      <c r="B569" s="23"/>
      <c r="C569" s="23"/>
      <c r="D569" s="23"/>
      <c r="E569" s="23"/>
      <c r="F569" s="1"/>
      <c r="G569" s="23"/>
      <c r="H569" s="23"/>
      <c r="I569" s="23"/>
      <c r="N569" s="2"/>
      <c r="S569" s="24"/>
    </row>
    <row r="570">
      <c r="A570" s="11"/>
      <c r="B570" s="23"/>
      <c r="C570" s="23"/>
      <c r="D570" s="23"/>
      <c r="E570" s="23"/>
      <c r="F570" s="1"/>
      <c r="G570" s="23"/>
      <c r="H570" s="23"/>
      <c r="I570" s="23"/>
      <c r="N570" s="2"/>
      <c r="S570" s="24"/>
    </row>
    <row r="571">
      <c r="A571" s="11"/>
      <c r="B571" s="23"/>
      <c r="C571" s="23"/>
      <c r="D571" s="23"/>
      <c r="E571" s="23"/>
      <c r="F571" s="1"/>
      <c r="G571" s="23"/>
      <c r="H571" s="23"/>
      <c r="I571" s="23"/>
      <c r="N571" s="2"/>
      <c r="S571" s="24"/>
    </row>
    <row r="572">
      <c r="A572" s="11"/>
      <c r="B572" s="23"/>
      <c r="C572" s="23"/>
      <c r="D572" s="23"/>
      <c r="E572" s="23"/>
      <c r="F572" s="1"/>
      <c r="G572" s="23"/>
      <c r="H572" s="23"/>
      <c r="I572" s="23"/>
      <c r="N572" s="2"/>
      <c r="S572" s="24"/>
    </row>
    <row r="573">
      <c r="A573" s="11"/>
      <c r="B573" s="23"/>
      <c r="C573" s="23"/>
      <c r="D573" s="23"/>
      <c r="E573" s="23"/>
      <c r="F573" s="1"/>
      <c r="G573" s="23"/>
      <c r="H573" s="23"/>
      <c r="I573" s="23"/>
      <c r="N573" s="2"/>
      <c r="S573" s="24"/>
    </row>
    <row r="574">
      <c r="A574" s="11"/>
      <c r="B574" s="23"/>
      <c r="C574" s="23"/>
      <c r="D574" s="23"/>
      <c r="E574" s="23"/>
      <c r="F574" s="1"/>
      <c r="G574" s="23"/>
      <c r="H574" s="23"/>
      <c r="I574" s="23"/>
      <c r="N574" s="2"/>
      <c r="S574" s="24"/>
    </row>
    <row r="575">
      <c r="A575" s="11"/>
      <c r="B575" s="23"/>
      <c r="C575" s="23"/>
      <c r="D575" s="23"/>
      <c r="E575" s="23"/>
      <c r="F575" s="1"/>
      <c r="G575" s="23"/>
      <c r="H575" s="23"/>
      <c r="I575" s="23"/>
      <c r="N575" s="2"/>
      <c r="S575" s="24"/>
    </row>
    <row r="576">
      <c r="A576" s="11"/>
      <c r="B576" s="23"/>
      <c r="C576" s="23"/>
      <c r="D576" s="23"/>
      <c r="E576" s="23"/>
      <c r="F576" s="1"/>
      <c r="G576" s="23"/>
      <c r="H576" s="23"/>
      <c r="I576" s="23"/>
      <c r="N576" s="2"/>
      <c r="S576" s="24"/>
    </row>
    <row r="577">
      <c r="A577" s="11"/>
      <c r="B577" s="23"/>
      <c r="C577" s="23"/>
      <c r="D577" s="23"/>
      <c r="E577" s="23"/>
      <c r="F577" s="1"/>
      <c r="G577" s="23"/>
      <c r="H577" s="23"/>
      <c r="I577" s="23"/>
      <c r="N577" s="2"/>
      <c r="S577" s="24"/>
    </row>
    <row r="578">
      <c r="A578" s="11"/>
      <c r="B578" s="23"/>
      <c r="C578" s="23"/>
      <c r="D578" s="23"/>
      <c r="E578" s="23"/>
      <c r="F578" s="1"/>
      <c r="G578" s="23"/>
      <c r="H578" s="23"/>
      <c r="I578" s="23"/>
      <c r="N578" s="2"/>
      <c r="S578" s="24"/>
    </row>
    <row r="579">
      <c r="A579" s="11"/>
      <c r="B579" s="23"/>
      <c r="C579" s="23"/>
      <c r="D579" s="23"/>
      <c r="E579" s="23"/>
      <c r="F579" s="1"/>
      <c r="G579" s="23"/>
      <c r="H579" s="23"/>
      <c r="I579" s="23"/>
      <c r="N579" s="2"/>
      <c r="S579" s="24"/>
    </row>
    <row r="580">
      <c r="A580" s="11"/>
      <c r="B580" s="23"/>
      <c r="C580" s="23"/>
      <c r="D580" s="23"/>
      <c r="E580" s="23"/>
      <c r="F580" s="1"/>
      <c r="G580" s="23"/>
      <c r="H580" s="23"/>
      <c r="I580" s="23"/>
      <c r="N580" s="2"/>
      <c r="S580" s="24"/>
    </row>
    <row r="581">
      <c r="A581" s="11"/>
      <c r="B581" s="23"/>
      <c r="C581" s="23"/>
      <c r="D581" s="23"/>
      <c r="E581" s="23"/>
      <c r="F581" s="1"/>
      <c r="G581" s="23"/>
      <c r="H581" s="23"/>
      <c r="I581" s="23"/>
      <c r="N581" s="2"/>
      <c r="S581" s="24"/>
    </row>
    <row r="582">
      <c r="A582" s="11"/>
      <c r="B582" s="23"/>
      <c r="C582" s="23"/>
      <c r="D582" s="23"/>
      <c r="E582" s="23"/>
      <c r="F582" s="1"/>
      <c r="G582" s="23"/>
      <c r="H582" s="23"/>
      <c r="I582" s="23"/>
      <c r="N582" s="2"/>
      <c r="S582" s="24"/>
    </row>
    <row r="583">
      <c r="A583" s="11"/>
      <c r="B583" s="23"/>
      <c r="C583" s="23"/>
      <c r="D583" s="23"/>
      <c r="E583" s="23"/>
      <c r="F583" s="1"/>
      <c r="G583" s="23"/>
      <c r="H583" s="23"/>
      <c r="I583" s="23"/>
      <c r="N583" s="2"/>
      <c r="S583" s="24"/>
    </row>
    <row r="584">
      <c r="A584" s="11"/>
      <c r="B584" s="23"/>
      <c r="C584" s="23"/>
      <c r="D584" s="23"/>
      <c r="E584" s="23"/>
      <c r="F584" s="1"/>
      <c r="G584" s="23"/>
      <c r="H584" s="23"/>
      <c r="I584" s="23"/>
      <c r="N584" s="2"/>
      <c r="S584" s="24"/>
    </row>
    <row r="585">
      <c r="A585" s="11"/>
      <c r="B585" s="23"/>
      <c r="C585" s="23"/>
      <c r="D585" s="23"/>
      <c r="E585" s="23"/>
      <c r="F585" s="1"/>
      <c r="G585" s="23"/>
      <c r="H585" s="23"/>
      <c r="I585" s="23"/>
      <c r="N585" s="2"/>
      <c r="S585" s="24"/>
    </row>
    <row r="586">
      <c r="A586" s="11"/>
      <c r="B586" s="23"/>
      <c r="C586" s="23"/>
      <c r="D586" s="23"/>
      <c r="E586" s="23"/>
      <c r="F586" s="1"/>
      <c r="G586" s="23"/>
      <c r="H586" s="23"/>
      <c r="I586" s="23"/>
      <c r="N586" s="2"/>
      <c r="S586" s="24"/>
    </row>
    <row r="587">
      <c r="A587" s="11"/>
      <c r="B587" s="23"/>
      <c r="C587" s="23"/>
      <c r="D587" s="23"/>
      <c r="E587" s="23"/>
      <c r="F587" s="1"/>
      <c r="G587" s="23"/>
      <c r="H587" s="23"/>
      <c r="I587" s="23"/>
      <c r="N587" s="2"/>
      <c r="S587" s="24"/>
    </row>
    <row r="588">
      <c r="A588" s="11"/>
      <c r="B588" s="23"/>
      <c r="C588" s="23"/>
      <c r="D588" s="23"/>
      <c r="E588" s="23"/>
      <c r="F588" s="1"/>
      <c r="G588" s="23"/>
      <c r="H588" s="23"/>
      <c r="I588" s="23"/>
      <c r="N588" s="2"/>
      <c r="S588" s="24"/>
    </row>
    <row r="589">
      <c r="A589" s="11"/>
      <c r="B589" s="23"/>
      <c r="C589" s="23"/>
      <c r="D589" s="23"/>
      <c r="E589" s="23"/>
      <c r="F589" s="1"/>
      <c r="G589" s="23"/>
      <c r="H589" s="23"/>
      <c r="I589" s="23"/>
      <c r="N589" s="2"/>
      <c r="S589" s="24"/>
    </row>
    <row r="590">
      <c r="A590" s="11"/>
      <c r="B590" s="23"/>
      <c r="C590" s="23"/>
      <c r="D590" s="23"/>
      <c r="E590" s="23"/>
      <c r="F590" s="1"/>
      <c r="G590" s="23"/>
      <c r="H590" s="23"/>
      <c r="I590" s="23"/>
      <c r="N590" s="2"/>
      <c r="S590" s="24"/>
    </row>
    <row r="591">
      <c r="A591" s="11"/>
      <c r="B591" s="23"/>
      <c r="C591" s="23"/>
      <c r="D591" s="23"/>
      <c r="E591" s="23"/>
      <c r="F591" s="1"/>
      <c r="G591" s="23"/>
      <c r="H591" s="23"/>
      <c r="I591" s="23"/>
      <c r="N591" s="2"/>
      <c r="S591" s="24"/>
    </row>
    <row r="592">
      <c r="A592" s="11"/>
      <c r="B592" s="23"/>
      <c r="C592" s="23"/>
      <c r="D592" s="23"/>
      <c r="E592" s="23"/>
      <c r="F592" s="1"/>
      <c r="G592" s="23"/>
      <c r="H592" s="23"/>
      <c r="I592" s="23"/>
      <c r="N592" s="2"/>
      <c r="S592" s="24"/>
    </row>
    <row r="593">
      <c r="A593" s="11"/>
      <c r="B593" s="23"/>
      <c r="C593" s="23"/>
      <c r="D593" s="23"/>
      <c r="E593" s="23"/>
      <c r="F593" s="1"/>
      <c r="G593" s="23"/>
      <c r="H593" s="23"/>
      <c r="I593" s="23"/>
      <c r="N593" s="2"/>
      <c r="S593" s="24"/>
    </row>
    <row r="594">
      <c r="A594" s="11"/>
      <c r="B594" s="23"/>
      <c r="C594" s="23"/>
      <c r="D594" s="23"/>
      <c r="E594" s="23"/>
      <c r="F594" s="1"/>
      <c r="G594" s="23"/>
      <c r="H594" s="23"/>
      <c r="I594" s="23"/>
      <c r="N594" s="2"/>
      <c r="S594" s="24"/>
    </row>
    <row r="595">
      <c r="A595" s="11"/>
      <c r="B595" s="23"/>
      <c r="C595" s="23"/>
      <c r="D595" s="23"/>
      <c r="E595" s="23"/>
      <c r="F595" s="1"/>
      <c r="G595" s="23"/>
      <c r="H595" s="23"/>
      <c r="I595" s="23"/>
      <c r="N595" s="2"/>
      <c r="S595" s="24"/>
    </row>
    <row r="596">
      <c r="A596" s="11"/>
      <c r="B596" s="23"/>
      <c r="C596" s="23"/>
      <c r="D596" s="23"/>
      <c r="E596" s="23"/>
      <c r="F596" s="1"/>
      <c r="G596" s="23"/>
      <c r="H596" s="23"/>
      <c r="I596" s="23"/>
      <c r="N596" s="2"/>
      <c r="S596" s="24"/>
    </row>
    <row r="597">
      <c r="A597" s="11"/>
      <c r="B597" s="23"/>
      <c r="C597" s="23"/>
      <c r="D597" s="23"/>
      <c r="E597" s="23"/>
      <c r="F597" s="1"/>
      <c r="G597" s="23"/>
      <c r="H597" s="23"/>
      <c r="I597" s="23"/>
      <c r="N597" s="2"/>
      <c r="S597" s="24"/>
    </row>
    <row r="598">
      <c r="A598" s="11"/>
      <c r="B598" s="23"/>
      <c r="C598" s="23"/>
      <c r="D598" s="23"/>
      <c r="E598" s="23"/>
      <c r="F598" s="1"/>
      <c r="G598" s="23"/>
      <c r="H598" s="23"/>
      <c r="I598" s="23"/>
      <c r="N598" s="2"/>
      <c r="S598" s="24"/>
    </row>
    <row r="599">
      <c r="A599" s="11"/>
      <c r="B599" s="23"/>
      <c r="C599" s="23"/>
      <c r="D599" s="23"/>
      <c r="E599" s="23"/>
      <c r="F599" s="1"/>
      <c r="G599" s="23"/>
      <c r="H599" s="23"/>
      <c r="I599" s="23"/>
      <c r="N599" s="2"/>
      <c r="S599" s="24"/>
    </row>
    <row r="600">
      <c r="A600" s="11"/>
      <c r="B600" s="23"/>
      <c r="C600" s="23"/>
      <c r="D600" s="23"/>
      <c r="E600" s="23"/>
      <c r="F600" s="1"/>
      <c r="G600" s="23"/>
      <c r="H600" s="23"/>
      <c r="I600" s="23"/>
      <c r="N600" s="2"/>
      <c r="S600" s="24"/>
    </row>
    <row r="601">
      <c r="A601" s="11"/>
      <c r="B601" s="23"/>
      <c r="C601" s="23"/>
      <c r="D601" s="23"/>
      <c r="E601" s="23"/>
      <c r="F601" s="1"/>
      <c r="G601" s="23"/>
      <c r="H601" s="23"/>
      <c r="I601" s="23"/>
      <c r="N601" s="2"/>
      <c r="S601" s="24"/>
    </row>
    <row r="602">
      <c r="A602" s="11"/>
      <c r="B602" s="23"/>
      <c r="C602" s="23"/>
      <c r="D602" s="23"/>
      <c r="E602" s="23"/>
      <c r="F602" s="1"/>
      <c r="G602" s="23"/>
      <c r="H602" s="23"/>
      <c r="I602" s="23"/>
      <c r="N602" s="2"/>
      <c r="S602" s="24"/>
    </row>
    <row r="603">
      <c r="A603" s="11"/>
      <c r="B603" s="23"/>
      <c r="C603" s="23"/>
      <c r="D603" s="23"/>
      <c r="E603" s="23"/>
      <c r="F603" s="1"/>
      <c r="G603" s="23"/>
      <c r="H603" s="23"/>
      <c r="I603" s="23"/>
      <c r="N603" s="2"/>
      <c r="S603" s="24"/>
    </row>
    <row r="604">
      <c r="A604" s="11"/>
      <c r="B604" s="23"/>
      <c r="C604" s="23"/>
      <c r="D604" s="23"/>
      <c r="E604" s="23"/>
      <c r="F604" s="1"/>
      <c r="G604" s="23"/>
      <c r="H604" s="23"/>
      <c r="I604" s="23"/>
      <c r="N604" s="2"/>
      <c r="S604" s="24"/>
    </row>
    <row r="605">
      <c r="A605" s="11"/>
      <c r="B605" s="23"/>
      <c r="C605" s="23"/>
      <c r="D605" s="23"/>
      <c r="E605" s="23"/>
      <c r="F605" s="1"/>
      <c r="G605" s="23"/>
      <c r="H605" s="23"/>
      <c r="I605" s="23"/>
      <c r="N605" s="2"/>
      <c r="S605" s="24"/>
    </row>
    <row r="606">
      <c r="A606" s="11"/>
      <c r="B606" s="23"/>
      <c r="C606" s="23"/>
      <c r="D606" s="23"/>
      <c r="E606" s="23"/>
      <c r="F606" s="1"/>
      <c r="G606" s="23"/>
      <c r="H606" s="23"/>
      <c r="I606" s="23"/>
      <c r="N606" s="2"/>
      <c r="S606" s="24"/>
    </row>
    <row r="607">
      <c r="A607" s="11"/>
      <c r="B607" s="23"/>
      <c r="C607" s="23"/>
      <c r="D607" s="23"/>
      <c r="E607" s="23"/>
      <c r="F607" s="1"/>
      <c r="G607" s="23"/>
      <c r="H607" s="23"/>
      <c r="I607" s="23"/>
      <c r="N607" s="2"/>
      <c r="S607" s="24"/>
    </row>
    <row r="608">
      <c r="A608" s="11"/>
      <c r="B608" s="23"/>
      <c r="C608" s="23"/>
      <c r="D608" s="23"/>
      <c r="E608" s="23"/>
      <c r="F608" s="1"/>
      <c r="G608" s="23"/>
      <c r="H608" s="23"/>
      <c r="I608" s="23"/>
      <c r="N608" s="2"/>
      <c r="S608" s="24"/>
    </row>
    <row r="609">
      <c r="A609" s="11"/>
      <c r="B609" s="23"/>
      <c r="C609" s="23"/>
      <c r="D609" s="23"/>
      <c r="E609" s="23"/>
      <c r="F609" s="1"/>
      <c r="G609" s="23"/>
      <c r="H609" s="23"/>
      <c r="I609" s="23"/>
      <c r="N609" s="2"/>
      <c r="S609" s="24"/>
    </row>
    <row r="610">
      <c r="A610" s="11"/>
      <c r="B610" s="23"/>
      <c r="C610" s="23"/>
      <c r="D610" s="23"/>
      <c r="E610" s="23"/>
      <c r="F610" s="1"/>
      <c r="G610" s="23"/>
      <c r="H610" s="23"/>
      <c r="I610" s="23"/>
      <c r="N610" s="2"/>
      <c r="S610" s="24"/>
    </row>
    <row r="611">
      <c r="A611" s="11"/>
      <c r="B611" s="23"/>
      <c r="C611" s="23"/>
      <c r="D611" s="23"/>
      <c r="E611" s="23"/>
      <c r="F611" s="1"/>
      <c r="G611" s="23"/>
      <c r="H611" s="23"/>
      <c r="I611" s="23"/>
      <c r="N611" s="2"/>
      <c r="S611" s="24"/>
    </row>
    <row r="612">
      <c r="A612" s="11"/>
      <c r="B612" s="23"/>
      <c r="C612" s="23"/>
      <c r="D612" s="23"/>
      <c r="E612" s="23"/>
      <c r="F612" s="1"/>
      <c r="G612" s="23"/>
      <c r="H612" s="23"/>
      <c r="I612" s="23"/>
      <c r="N612" s="2"/>
      <c r="S612" s="24"/>
    </row>
    <row r="613">
      <c r="A613" s="11"/>
      <c r="B613" s="23"/>
      <c r="C613" s="23"/>
      <c r="D613" s="23"/>
      <c r="E613" s="23"/>
      <c r="F613" s="1"/>
      <c r="G613" s="23"/>
      <c r="H613" s="23"/>
      <c r="I613" s="23"/>
      <c r="N613" s="2"/>
      <c r="S613" s="24"/>
    </row>
    <row r="614">
      <c r="A614" s="11"/>
      <c r="B614" s="23"/>
      <c r="C614" s="23"/>
      <c r="D614" s="23"/>
      <c r="E614" s="23"/>
      <c r="F614" s="1"/>
      <c r="G614" s="23"/>
      <c r="H614" s="23"/>
      <c r="I614" s="23"/>
      <c r="N614" s="2"/>
      <c r="S614" s="24"/>
    </row>
    <row r="615">
      <c r="A615" s="11"/>
      <c r="B615" s="23"/>
      <c r="C615" s="23"/>
      <c r="D615" s="23"/>
      <c r="E615" s="23"/>
      <c r="F615" s="1"/>
      <c r="G615" s="23"/>
      <c r="H615" s="23"/>
      <c r="I615" s="23"/>
      <c r="N615" s="2"/>
      <c r="S615" s="24"/>
    </row>
    <row r="616">
      <c r="A616" s="11"/>
      <c r="B616" s="23"/>
      <c r="C616" s="23"/>
      <c r="D616" s="23"/>
      <c r="E616" s="23"/>
      <c r="F616" s="1"/>
      <c r="G616" s="23"/>
      <c r="H616" s="23"/>
      <c r="I616" s="23"/>
      <c r="N616" s="2"/>
      <c r="S616" s="24"/>
    </row>
    <row r="617">
      <c r="A617" s="11"/>
      <c r="B617" s="23"/>
      <c r="C617" s="23"/>
      <c r="D617" s="23"/>
      <c r="E617" s="23"/>
      <c r="F617" s="1"/>
      <c r="G617" s="23"/>
      <c r="H617" s="23"/>
      <c r="I617" s="23"/>
      <c r="N617" s="2"/>
      <c r="S617" s="24"/>
    </row>
    <row r="618">
      <c r="A618" s="11"/>
      <c r="B618" s="23"/>
      <c r="C618" s="23"/>
      <c r="D618" s="23"/>
      <c r="E618" s="23"/>
      <c r="F618" s="1"/>
      <c r="G618" s="23"/>
      <c r="H618" s="23"/>
      <c r="I618" s="23"/>
      <c r="N618" s="2"/>
      <c r="S618" s="24"/>
    </row>
    <row r="619">
      <c r="A619" s="11"/>
      <c r="B619" s="23"/>
      <c r="C619" s="23"/>
      <c r="D619" s="23"/>
      <c r="E619" s="23"/>
      <c r="F619" s="1"/>
      <c r="G619" s="23"/>
      <c r="H619" s="23"/>
      <c r="I619" s="23"/>
      <c r="N619" s="2"/>
      <c r="S619" s="24"/>
    </row>
    <row r="620">
      <c r="A620" s="11"/>
      <c r="B620" s="23"/>
      <c r="C620" s="23"/>
      <c r="D620" s="23"/>
      <c r="E620" s="23"/>
      <c r="F620" s="1"/>
      <c r="G620" s="23"/>
      <c r="H620" s="23"/>
      <c r="I620" s="23"/>
      <c r="N620" s="2"/>
      <c r="S620" s="24"/>
    </row>
    <row r="621">
      <c r="A621" s="11"/>
      <c r="B621" s="23"/>
      <c r="C621" s="23"/>
      <c r="D621" s="23"/>
      <c r="E621" s="23"/>
      <c r="F621" s="1"/>
      <c r="G621" s="23"/>
      <c r="H621" s="23"/>
      <c r="I621" s="23"/>
      <c r="N621" s="2"/>
      <c r="S621" s="24"/>
    </row>
    <row r="622">
      <c r="A622" s="11"/>
      <c r="B622" s="23"/>
      <c r="C622" s="23"/>
      <c r="D622" s="23"/>
      <c r="E622" s="23"/>
      <c r="F622" s="1"/>
      <c r="G622" s="23"/>
      <c r="H622" s="23"/>
      <c r="I622" s="23"/>
      <c r="N622" s="2"/>
      <c r="S622" s="24"/>
    </row>
    <row r="623">
      <c r="A623" s="11"/>
      <c r="B623" s="23"/>
      <c r="C623" s="23"/>
      <c r="D623" s="23"/>
      <c r="E623" s="23"/>
      <c r="F623" s="1"/>
      <c r="G623" s="23"/>
      <c r="H623" s="23"/>
      <c r="I623" s="23"/>
      <c r="N623" s="2"/>
      <c r="S623" s="24"/>
    </row>
    <row r="624">
      <c r="A624" s="11"/>
      <c r="B624" s="23"/>
      <c r="C624" s="23"/>
      <c r="D624" s="23"/>
      <c r="E624" s="23"/>
      <c r="F624" s="1"/>
      <c r="G624" s="23"/>
      <c r="H624" s="23"/>
      <c r="I624" s="23"/>
      <c r="N624" s="2"/>
      <c r="S624" s="24"/>
    </row>
    <row r="625">
      <c r="A625" s="11"/>
      <c r="B625" s="23"/>
      <c r="C625" s="23"/>
      <c r="D625" s="23"/>
      <c r="E625" s="23"/>
      <c r="F625" s="1"/>
      <c r="G625" s="23"/>
      <c r="H625" s="23"/>
      <c r="I625" s="23"/>
      <c r="N625" s="2"/>
      <c r="S625" s="24"/>
    </row>
    <row r="626">
      <c r="A626" s="11"/>
      <c r="B626" s="23"/>
      <c r="C626" s="23"/>
      <c r="D626" s="23"/>
      <c r="E626" s="23"/>
      <c r="F626" s="1"/>
      <c r="G626" s="23"/>
      <c r="H626" s="23"/>
      <c r="I626" s="23"/>
      <c r="N626" s="2"/>
      <c r="S626" s="24"/>
    </row>
    <row r="627">
      <c r="A627" s="11"/>
      <c r="B627" s="23"/>
      <c r="C627" s="23"/>
      <c r="D627" s="23"/>
      <c r="E627" s="23"/>
      <c r="F627" s="1"/>
      <c r="G627" s="23"/>
      <c r="H627" s="23"/>
      <c r="I627" s="23"/>
      <c r="N627" s="2"/>
      <c r="S627" s="24"/>
    </row>
    <row r="628">
      <c r="A628" s="11"/>
      <c r="B628" s="23"/>
      <c r="C628" s="23"/>
      <c r="D628" s="23"/>
      <c r="E628" s="23"/>
      <c r="F628" s="1"/>
      <c r="G628" s="23"/>
      <c r="H628" s="23"/>
      <c r="I628" s="23"/>
      <c r="N628" s="2"/>
      <c r="S628" s="24"/>
    </row>
    <row r="629">
      <c r="A629" s="11"/>
      <c r="B629" s="23"/>
      <c r="C629" s="23"/>
      <c r="D629" s="23"/>
      <c r="E629" s="23"/>
      <c r="F629" s="1"/>
      <c r="G629" s="23"/>
      <c r="H629" s="23"/>
      <c r="I629" s="23"/>
      <c r="N629" s="2"/>
      <c r="S629" s="24"/>
    </row>
    <row r="630">
      <c r="A630" s="11"/>
      <c r="B630" s="23"/>
      <c r="C630" s="23"/>
      <c r="D630" s="23"/>
      <c r="E630" s="23"/>
      <c r="F630" s="1"/>
      <c r="G630" s="23"/>
      <c r="H630" s="23"/>
      <c r="I630" s="23"/>
      <c r="N630" s="2"/>
      <c r="S630" s="24"/>
    </row>
    <row r="631">
      <c r="A631" s="11"/>
      <c r="B631" s="23"/>
      <c r="C631" s="23"/>
      <c r="D631" s="23"/>
      <c r="E631" s="23"/>
      <c r="F631" s="1"/>
      <c r="G631" s="23"/>
      <c r="H631" s="23"/>
      <c r="I631" s="23"/>
      <c r="N631" s="2"/>
      <c r="S631" s="24"/>
    </row>
    <row r="632">
      <c r="A632" s="11"/>
      <c r="B632" s="23"/>
      <c r="C632" s="23"/>
      <c r="D632" s="23"/>
      <c r="E632" s="23"/>
      <c r="F632" s="1"/>
      <c r="G632" s="23"/>
      <c r="H632" s="23"/>
      <c r="I632" s="23"/>
      <c r="N632" s="2"/>
      <c r="S632" s="24"/>
    </row>
    <row r="633">
      <c r="A633" s="11"/>
      <c r="B633" s="23"/>
      <c r="C633" s="23"/>
      <c r="D633" s="23"/>
      <c r="E633" s="23"/>
      <c r="F633" s="1"/>
      <c r="G633" s="23"/>
      <c r="H633" s="23"/>
      <c r="I633" s="23"/>
      <c r="N633" s="2"/>
      <c r="S633" s="24"/>
    </row>
    <row r="634">
      <c r="A634" s="11"/>
      <c r="B634" s="23"/>
      <c r="C634" s="23"/>
      <c r="D634" s="23"/>
      <c r="E634" s="23"/>
      <c r="F634" s="1"/>
      <c r="G634" s="23"/>
      <c r="H634" s="23"/>
      <c r="I634" s="23"/>
      <c r="N634" s="2"/>
      <c r="S634" s="24"/>
    </row>
    <row r="635">
      <c r="A635" s="11"/>
      <c r="B635" s="23"/>
      <c r="C635" s="23"/>
      <c r="D635" s="23"/>
      <c r="E635" s="23"/>
      <c r="F635" s="1"/>
      <c r="G635" s="23"/>
      <c r="H635" s="23"/>
      <c r="I635" s="23"/>
      <c r="N635" s="2"/>
      <c r="S635" s="24"/>
    </row>
    <row r="636">
      <c r="A636" s="11"/>
      <c r="B636" s="23"/>
      <c r="C636" s="23"/>
      <c r="D636" s="23"/>
      <c r="E636" s="23"/>
      <c r="F636" s="1"/>
      <c r="G636" s="23"/>
      <c r="H636" s="23"/>
      <c r="I636" s="23"/>
      <c r="N636" s="2"/>
      <c r="S636" s="24"/>
    </row>
    <row r="637">
      <c r="A637" s="11"/>
      <c r="B637" s="23"/>
      <c r="C637" s="23"/>
      <c r="D637" s="23"/>
      <c r="E637" s="23"/>
      <c r="F637" s="1"/>
      <c r="G637" s="23"/>
      <c r="H637" s="23"/>
      <c r="I637" s="23"/>
      <c r="N637" s="2"/>
      <c r="S637" s="24"/>
    </row>
    <row r="638">
      <c r="A638" s="11"/>
      <c r="B638" s="23"/>
      <c r="C638" s="23"/>
      <c r="D638" s="23"/>
      <c r="E638" s="23"/>
      <c r="F638" s="1"/>
      <c r="G638" s="23"/>
      <c r="H638" s="23"/>
      <c r="I638" s="23"/>
      <c r="N638" s="2"/>
      <c r="S638" s="24"/>
    </row>
    <row r="639">
      <c r="A639" s="11"/>
      <c r="B639" s="23"/>
      <c r="C639" s="23"/>
      <c r="D639" s="23"/>
      <c r="E639" s="23"/>
      <c r="F639" s="1"/>
      <c r="G639" s="23"/>
      <c r="H639" s="23"/>
      <c r="I639" s="23"/>
      <c r="N639" s="2"/>
      <c r="S639" s="24"/>
    </row>
    <row r="640">
      <c r="A640" s="11"/>
      <c r="B640" s="23"/>
      <c r="C640" s="23"/>
      <c r="D640" s="23"/>
      <c r="E640" s="23"/>
      <c r="F640" s="1"/>
      <c r="G640" s="23"/>
      <c r="H640" s="23"/>
      <c r="I640" s="23"/>
      <c r="N640" s="2"/>
      <c r="S640" s="24"/>
    </row>
    <row r="641">
      <c r="A641" s="11"/>
      <c r="B641" s="23"/>
      <c r="C641" s="23"/>
      <c r="D641" s="23"/>
      <c r="E641" s="23"/>
      <c r="F641" s="1"/>
      <c r="G641" s="23"/>
      <c r="H641" s="23"/>
      <c r="I641" s="23"/>
      <c r="N641" s="2"/>
      <c r="S641" s="24"/>
    </row>
    <row r="642">
      <c r="A642" s="11"/>
      <c r="B642" s="23"/>
      <c r="C642" s="23"/>
      <c r="D642" s="23"/>
      <c r="E642" s="23"/>
      <c r="F642" s="1"/>
      <c r="G642" s="23"/>
      <c r="H642" s="23"/>
      <c r="I642" s="23"/>
      <c r="N642" s="2"/>
      <c r="S642" s="24"/>
    </row>
    <row r="643">
      <c r="A643" s="11"/>
      <c r="B643" s="23"/>
      <c r="C643" s="23"/>
      <c r="D643" s="23"/>
      <c r="E643" s="23"/>
      <c r="F643" s="1"/>
      <c r="G643" s="23"/>
      <c r="H643" s="23"/>
      <c r="I643" s="23"/>
      <c r="N643" s="2"/>
      <c r="S643" s="24"/>
    </row>
    <row r="644">
      <c r="A644" s="11"/>
      <c r="B644" s="23"/>
      <c r="C644" s="23"/>
      <c r="D644" s="23"/>
      <c r="E644" s="23"/>
      <c r="F644" s="1"/>
      <c r="G644" s="23"/>
      <c r="H644" s="23"/>
      <c r="I644" s="23"/>
      <c r="N644" s="2"/>
      <c r="S644" s="24"/>
    </row>
    <row r="645">
      <c r="A645" s="11"/>
      <c r="B645" s="23"/>
      <c r="C645" s="23"/>
      <c r="D645" s="23"/>
      <c r="E645" s="23"/>
      <c r="F645" s="1"/>
      <c r="G645" s="23"/>
      <c r="H645" s="23"/>
      <c r="I645" s="23"/>
      <c r="N645" s="2"/>
      <c r="S645" s="24"/>
    </row>
    <row r="646">
      <c r="A646" s="11"/>
      <c r="B646" s="23"/>
      <c r="C646" s="23"/>
      <c r="D646" s="23"/>
      <c r="E646" s="23"/>
      <c r="F646" s="1"/>
      <c r="G646" s="23"/>
      <c r="H646" s="23"/>
      <c r="I646" s="23"/>
      <c r="N646" s="2"/>
      <c r="S646" s="24"/>
    </row>
    <row r="647">
      <c r="A647" s="11"/>
      <c r="B647" s="23"/>
      <c r="C647" s="23"/>
      <c r="D647" s="23"/>
      <c r="E647" s="23"/>
      <c r="F647" s="1"/>
      <c r="G647" s="23"/>
      <c r="H647" s="23"/>
      <c r="I647" s="23"/>
      <c r="N647" s="2"/>
      <c r="S647" s="24"/>
    </row>
    <row r="648">
      <c r="A648" s="11"/>
      <c r="B648" s="23"/>
      <c r="C648" s="23"/>
      <c r="D648" s="23"/>
      <c r="E648" s="23"/>
      <c r="F648" s="1"/>
      <c r="G648" s="23"/>
      <c r="H648" s="23"/>
      <c r="I648" s="23"/>
      <c r="N648" s="2"/>
      <c r="S648" s="24"/>
    </row>
    <row r="649">
      <c r="A649" s="11"/>
      <c r="B649" s="23"/>
      <c r="C649" s="23"/>
      <c r="D649" s="23"/>
      <c r="E649" s="23"/>
      <c r="F649" s="1"/>
      <c r="G649" s="23"/>
      <c r="H649" s="23"/>
      <c r="I649" s="23"/>
      <c r="N649" s="2"/>
      <c r="S649" s="24"/>
    </row>
    <row r="650">
      <c r="A650" s="11"/>
      <c r="B650" s="23"/>
      <c r="C650" s="23"/>
      <c r="D650" s="23"/>
      <c r="E650" s="23"/>
      <c r="F650" s="1"/>
      <c r="G650" s="23"/>
      <c r="H650" s="23"/>
      <c r="I650" s="23"/>
      <c r="N650" s="2"/>
      <c r="S650" s="24"/>
    </row>
    <row r="651">
      <c r="A651" s="11"/>
      <c r="B651" s="23"/>
      <c r="C651" s="23"/>
      <c r="D651" s="23"/>
      <c r="E651" s="23"/>
      <c r="F651" s="1"/>
      <c r="G651" s="23"/>
      <c r="H651" s="23"/>
      <c r="I651" s="23"/>
      <c r="N651" s="2"/>
      <c r="S651" s="24"/>
    </row>
    <row r="652">
      <c r="A652" s="11"/>
      <c r="B652" s="23"/>
      <c r="C652" s="23"/>
      <c r="D652" s="23"/>
      <c r="E652" s="23"/>
      <c r="F652" s="1"/>
      <c r="G652" s="23"/>
      <c r="H652" s="23"/>
      <c r="I652" s="23"/>
      <c r="N652" s="2"/>
      <c r="S652" s="24"/>
    </row>
    <row r="653">
      <c r="A653" s="11"/>
      <c r="B653" s="23"/>
      <c r="C653" s="23"/>
      <c r="D653" s="23"/>
      <c r="E653" s="23"/>
      <c r="F653" s="1"/>
      <c r="G653" s="23"/>
      <c r="H653" s="23"/>
      <c r="I653" s="23"/>
      <c r="N653" s="2"/>
      <c r="S653" s="24"/>
    </row>
    <row r="654">
      <c r="A654" s="11"/>
      <c r="B654" s="23"/>
      <c r="C654" s="23"/>
      <c r="D654" s="23"/>
      <c r="E654" s="23"/>
      <c r="F654" s="1"/>
      <c r="G654" s="23"/>
      <c r="H654" s="23"/>
      <c r="I654" s="23"/>
      <c r="N654" s="2"/>
      <c r="S654" s="24"/>
    </row>
    <row r="655">
      <c r="A655" s="11"/>
      <c r="B655" s="23"/>
      <c r="C655" s="23"/>
      <c r="D655" s="23"/>
      <c r="E655" s="23"/>
      <c r="F655" s="1"/>
      <c r="G655" s="23"/>
      <c r="H655" s="23"/>
      <c r="I655" s="23"/>
      <c r="N655" s="2"/>
      <c r="S655" s="24"/>
    </row>
    <row r="656">
      <c r="A656" s="11"/>
      <c r="B656" s="23"/>
      <c r="C656" s="23"/>
      <c r="D656" s="23"/>
      <c r="E656" s="23"/>
      <c r="F656" s="1"/>
      <c r="G656" s="23"/>
      <c r="H656" s="23"/>
      <c r="I656" s="23"/>
      <c r="N656" s="2"/>
      <c r="S656" s="24"/>
    </row>
    <row r="657">
      <c r="A657" s="11"/>
      <c r="B657" s="23"/>
      <c r="C657" s="23"/>
      <c r="D657" s="23"/>
      <c r="E657" s="23"/>
      <c r="F657" s="1"/>
      <c r="G657" s="23"/>
      <c r="H657" s="23"/>
      <c r="I657" s="23"/>
      <c r="N657" s="2"/>
      <c r="S657" s="24"/>
    </row>
    <row r="658">
      <c r="A658" s="11"/>
      <c r="B658" s="23"/>
      <c r="C658" s="23"/>
      <c r="D658" s="23"/>
      <c r="E658" s="23"/>
      <c r="F658" s="1"/>
      <c r="G658" s="23"/>
      <c r="H658" s="23"/>
      <c r="I658" s="23"/>
      <c r="N658" s="2"/>
      <c r="S658" s="24"/>
    </row>
    <row r="659">
      <c r="A659" s="11"/>
      <c r="B659" s="23"/>
      <c r="C659" s="23"/>
      <c r="D659" s="23"/>
      <c r="E659" s="23"/>
      <c r="F659" s="1"/>
      <c r="G659" s="23"/>
      <c r="H659" s="23"/>
      <c r="I659" s="23"/>
      <c r="N659" s="2"/>
      <c r="S659" s="24"/>
    </row>
    <row r="660">
      <c r="A660" s="11"/>
      <c r="B660" s="23"/>
      <c r="C660" s="23"/>
      <c r="D660" s="23"/>
      <c r="E660" s="23"/>
      <c r="F660" s="1"/>
      <c r="G660" s="23"/>
      <c r="H660" s="23"/>
      <c r="I660" s="23"/>
      <c r="N660" s="2"/>
      <c r="S660" s="24"/>
    </row>
    <row r="661">
      <c r="A661" s="11"/>
      <c r="B661" s="23"/>
      <c r="C661" s="23"/>
      <c r="D661" s="23"/>
      <c r="E661" s="23"/>
      <c r="F661" s="1"/>
      <c r="G661" s="23"/>
      <c r="H661" s="23"/>
      <c r="I661" s="23"/>
      <c r="N661" s="2"/>
      <c r="S661" s="24"/>
    </row>
    <row r="662">
      <c r="A662" s="11"/>
      <c r="B662" s="23"/>
      <c r="C662" s="23"/>
      <c r="D662" s="23"/>
      <c r="E662" s="23"/>
      <c r="F662" s="1"/>
      <c r="G662" s="23"/>
      <c r="H662" s="23"/>
      <c r="I662" s="23"/>
      <c r="N662" s="2"/>
      <c r="S662" s="24"/>
    </row>
    <row r="663">
      <c r="A663" s="11"/>
      <c r="B663" s="23"/>
      <c r="C663" s="23"/>
      <c r="D663" s="23"/>
      <c r="E663" s="23"/>
      <c r="F663" s="1"/>
      <c r="G663" s="23"/>
      <c r="H663" s="23"/>
      <c r="I663" s="23"/>
      <c r="N663" s="2"/>
      <c r="S663" s="24"/>
    </row>
    <row r="664">
      <c r="A664" s="11"/>
      <c r="B664" s="23"/>
      <c r="C664" s="23"/>
      <c r="D664" s="23"/>
      <c r="E664" s="23"/>
      <c r="F664" s="1"/>
      <c r="G664" s="23"/>
      <c r="H664" s="23"/>
      <c r="I664" s="23"/>
      <c r="N664" s="2"/>
      <c r="S664" s="24"/>
    </row>
    <row r="665">
      <c r="A665" s="11"/>
      <c r="B665" s="23"/>
      <c r="C665" s="23"/>
      <c r="D665" s="23"/>
      <c r="E665" s="23"/>
      <c r="F665" s="1"/>
      <c r="G665" s="23"/>
      <c r="H665" s="23"/>
      <c r="I665" s="23"/>
      <c r="N665" s="2"/>
      <c r="S665" s="24"/>
    </row>
    <row r="666">
      <c r="A666" s="11"/>
      <c r="B666" s="23"/>
      <c r="C666" s="23"/>
      <c r="D666" s="23"/>
      <c r="E666" s="23"/>
      <c r="F666" s="1"/>
      <c r="G666" s="23"/>
      <c r="H666" s="23"/>
      <c r="I666" s="23"/>
      <c r="N666" s="2"/>
      <c r="S666" s="24"/>
    </row>
    <row r="667">
      <c r="A667" s="11"/>
      <c r="B667" s="23"/>
      <c r="C667" s="23"/>
      <c r="D667" s="23"/>
      <c r="E667" s="23"/>
      <c r="F667" s="1"/>
      <c r="G667" s="23"/>
      <c r="H667" s="23"/>
      <c r="I667" s="23"/>
      <c r="N667" s="2"/>
      <c r="S667" s="24"/>
    </row>
    <row r="668">
      <c r="A668" s="11"/>
      <c r="B668" s="23"/>
      <c r="C668" s="23"/>
      <c r="D668" s="23"/>
      <c r="E668" s="23"/>
      <c r="F668" s="1"/>
      <c r="G668" s="23"/>
      <c r="H668" s="23"/>
      <c r="I668" s="23"/>
      <c r="N668" s="2"/>
      <c r="S668" s="24"/>
    </row>
    <row r="669">
      <c r="A669" s="11"/>
      <c r="B669" s="23"/>
      <c r="C669" s="23"/>
      <c r="D669" s="23"/>
      <c r="E669" s="23"/>
      <c r="F669" s="1"/>
      <c r="G669" s="23"/>
      <c r="H669" s="23"/>
      <c r="I669" s="23"/>
      <c r="N669" s="2"/>
      <c r="S669" s="24"/>
    </row>
    <row r="670">
      <c r="A670" s="11"/>
      <c r="B670" s="23"/>
      <c r="C670" s="23"/>
      <c r="D670" s="23"/>
      <c r="E670" s="23"/>
      <c r="F670" s="1"/>
      <c r="G670" s="23"/>
      <c r="H670" s="23"/>
      <c r="I670" s="23"/>
      <c r="N670" s="2"/>
      <c r="S670" s="24"/>
    </row>
    <row r="671">
      <c r="A671" s="11"/>
      <c r="B671" s="23"/>
      <c r="C671" s="23"/>
      <c r="D671" s="23"/>
      <c r="E671" s="23"/>
      <c r="F671" s="1"/>
      <c r="G671" s="23"/>
      <c r="H671" s="23"/>
      <c r="I671" s="23"/>
      <c r="N671" s="2"/>
      <c r="S671" s="24"/>
    </row>
    <row r="672">
      <c r="A672" s="11"/>
      <c r="B672" s="23"/>
      <c r="C672" s="23"/>
      <c r="D672" s="23"/>
      <c r="E672" s="23"/>
      <c r="F672" s="1"/>
      <c r="G672" s="23"/>
      <c r="H672" s="23"/>
      <c r="I672" s="23"/>
      <c r="N672" s="2"/>
      <c r="S672" s="24"/>
    </row>
    <row r="673">
      <c r="A673" s="11"/>
      <c r="B673" s="23"/>
      <c r="C673" s="23"/>
      <c r="D673" s="23"/>
      <c r="E673" s="23"/>
      <c r="F673" s="1"/>
      <c r="G673" s="23"/>
      <c r="H673" s="23"/>
      <c r="I673" s="23"/>
      <c r="N673" s="2"/>
      <c r="S673" s="24"/>
    </row>
    <row r="674">
      <c r="A674" s="11"/>
      <c r="B674" s="23"/>
      <c r="C674" s="23"/>
      <c r="D674" s="23"/>
      <c r="E674" s="23"/>
      <c r="F674" s="1"/>
      <c r="G674" s="23"/>
      <c r="H674" s="23"/>
      <c r="I674" s="23"/>
      <c r="N674" s="2"/>
      <c r="S674" s="24"/>
    </row>
    <row r="675">
      <c r="A675" s="11"/>
      <c r="B675" s="23"/>
      <c r="C675" s="23"/>
      <c r="D675" s="23"/>
      <c r="E675" s="23"/>
      <c r="F675" s="1"/>
      <c r="G675" s="23"/>
      <c r="H675" s="23"/>
      <c r="I675" s="23"/>
      <c r="N675" s="2"/>
      <c r="S675" s="24"/>
    </row>
    <row r="676">
      <c r="A676" s="11"/>
      <c r="B676" s="23"/>
      <c r="C676" s="23"/>
      <c r="D676" s="23"/>
      <c r="E676" s="23"/>
      <c r="F676" s="1"/>
      <c r="G676" s="23"/>
      <c r="H676" s="23"/>
      <c r="I676" s="23"/>
      <c r="N676" s="2"/>
      <c r="S676" s="24"/>
    </row>
    <row r="677">
      <c r="A677" s="11"/>
      <c r="B677" s="23"/>
      <c r="C677" s="23"/>
      <c r="D677" s="23"/>
      <c r="E677" s="23"/>
      <c r="F677" s="1"/>
      <c r="G677" s="23"/>
      <c r="H677" s="23"/>
      <c r="I677" s="23"/>
      <c r="N677" s="2"/>
      <c r="S677" s="24"/>
    </row>
    <row r="678">
      <c r="A678" s="11"/>
      <c r="B678" s="23"/>
      <c r="C678" s="23"/>
      <c r="D678" s="23"/>
      <c r="E678" s="23"/>
      <c r="F678" s="1"/>
      <c r="G678" s="23"/>
      <c r="H678" s="23"/>
      <c r="I678" s="23"/>
      <c r="N678" s="2"/>
      <c r="S678" s="24"/>
    </row>
    <row r="679">
      <c r="A679" s="11"/>
      <c r="B679" s="23"/>
      <c r="C679" s="23"/>
      <c r="D679" s="23"/>
      <c r="E679" s="23"/>
      <c r="F679" s="1"/>
      <c r="G679" s="23"/>
      <c r="H679" s="23"/>
      <c r="I679" s="23"/>
      <c r="N679" s="2"/>
      <c r="S679" s="24"/>
    </row>
    <row r="680">
      <c r="A680" s="11"/>
      <c r="B680" s="23"/>
      <c r="C680" s="23"/>
      <c r="D680" s="23"/>
      <c r="E680" s="23"/>
      <c r="F680" s="1"/>
      <c r="G680" s="23"/>
      <c r="H680" s="23"/>
      <c r="I680" s="23"/>
      <c r="N680" s="2"/>
      <c r="S680" s="24"/>
    </row>
    <row r="681">
      <c r="A681" s="11"/>
      <c r="B681" s="23"/>
      <c r="C681" s="23"/>
      <c r="D681" s="23"/>
      <c r="E681" s="23"/>
      <c r="F681" s="1"/>
      <c r="G681" s="23"/>
      <c r="H681" s="23"/>
      <c r="I681" s="23"/>
      <c r="N681" s="2"/>
      <c r="S681" s="24"/>
    </row>
    <row r="682">
      <c r="A682" s="11"/>
      <c r="B682" s="23"/>
      <c r="C682" s="23"/>
      <c r="D682" s="23"/>
      <c r="E682" s="23"/>
      <c r="F682" s="1"/>
      <c r="G682" s="23"/>
      <c r="H682" s="23"/>
      <c r="I682" s="23"/>
      <c r="N682" s="2"/>
      <c r="S682" s="24"/>
    </row>
    <row r="683">
      <c r="A683" s="11"/>
      <c r="B683" s="23"/>
      <c r="C683" s="23"/>
      <c r="D683" s="23"/>
      <c r="E683" s="23"/>
      <c r="F683" s="1"/>
      <c r="G683" s="23"/>
      <c r="H683" s="23"/>
      <c r="I683" s="23"/>
      <c r="N683" s="2"/>
      <c r="S683" s="24"/>
    </row>
    <row r="684">
      <c r="A684" s="11"/>
      <c r="B684" s="23"/>
      <c r="C684" s="23"/>
      <c r="D684" s="23"/>
      <c r="E684" s="23"/>
      <c r="F684" s="1"/>
      <c r="G684" s="23"/>
      <c r="H684" s="23"/>
      <c r="I684" s="23"/>
      <c r="N684" s="2"/>
      <c r="S684" s="24"/>
    </row>
    <row r="685">
      <c r="A685" s="11"/>
      <c r="B685" s="23"/>
      <c r="C685" s="23"/>
      <c r="D685" s="23"/>
      <c r="E685" s="23"/>
      <c r="F685" s="1"/>
      <c r="G685" s="23"/>
      <c r="H685" s="23"/>
      <c r="I685" s="23"/>
      <c r="N685" s="2"/>
      <c r="S685" s="24"/>
    </row>
    <row r="686">
      <c r="A686" s="11"/>
      <c r="B686" s="23"/>
      <c r="C686" s="23"/>
      <c r="D686" s="23"/>
      <c r="E686" s="23"/>
      <c r="F686" s="1"/>
      <c r="G686" s="23"/>
      <c r="H686" s="23"/>
      <c r="I686" s="23"/>
      <c r="N686" s="2"/>
      <c r="S686" s="24"/>
    </row>
    <row r="687">
      <c r="A687" s="11"/>
      <c r="B687" s="23"/>
      <c r="C687" s="23"/>
      <c r="D687" s="23"/>
      <c r="E687" s="23"/>
      <c r="F687" s="1"/>
      <c r="G687" s="23"/>
      <c r="H687" s="23"/>
      <c r="I687" s="23"/>
      <c r="N687" s="2"/>
      <c r="S687" s="24"/>
    </row>
    <row r="688">
      <c r="A688" s="11"/>
      <c r="B688" s="23"/>
      <c r="C688" s="23"/>
      <c r="D688" s="23"/>
      <c r="E688" s="23"/>
      <c r="F688" s="1"/>
      <c r="G688" s="23"/>
      <c r="H688" s="23"/>
      <c r="I688" s="23"/>
      <c r="N688" s="2"/>
      <c r="S688" s="24"/>
    </row>
    <row r="689">
      <c r="A689" s="11"/>
      <c r="B689" s="23"/>
      <c r="C689" s="23"/>
      <c r="D689" s="23"/>
      <c r="E689" s="23"/>
      <c r="F689" s="1"/>
      <c r="G689" s="23"/>
      <c r="H689" s="23"/>
      <c r="I689" s="23"/>
      <c r="N689" s="2"/>
      <c r="S689" s="24"/>
    </row>
    <row r="690">
      <c r="A690" s="11"/>
      <c r="B690" s="23"/>
      <c r="C690" s="23"/>
      <c r="D690" s="23"/>
      <c r="E690" s="23"/>
      <c r="F690" s="1"/>
      <c r="G690" s="23"/>
      <c r="H690" s="23"/>
      <c r="I690" s="23"/>
      <c r="N690" s="2"/>
      <c r="S690" s="24"/>
    </row>
    <row r="691">
      <c r="A691" s="11"/>
      <c r="B691" s="23"/>
      <c r="C691" s="23"/>
      <c r="D691" s="23"/>
      <c r="E691" s="23"/>
      <c r="F691" s="1"/>
      <c r="G691" s="23"/>
      <c r="H691" s="23"/>
      <c r="I691" s="23"/>
      <c r="N691" s="2"/>
      <c r="S691" s="24"/>
    </row>
    <row r="692">
      <c r="A692" s="11"/>
      <c r="B692" s="23"/>
      <c r="C692" s="23"/>
      <c r="D692" s="23"/>
      <c r="E692" s="23"/>
      <c r="F692" s="1"/>
      <c r="G692" s="23"/>
      <c r="H692" s="23"/>
      <c r="I692" s="23"/>
      <c r="N692" s="2"/>
      <c r="S692" s="24"/>
    </row>
    <row r="693">
      <c r="A693" s="11"/>
      <c r="B693" s="23"/>
      <c r="C693" s="23"/>
      <c r="D693" s="23"/>
      <c r="E693" s="23"/>
      <c r="F693" s="1"/>
      <c r="G693" s="23"/>
      <c r="H693" s="23"/>
      <c r="I693" s="23"/>
      <c r="N693" s="2"/>
      <c r="S693" s="24"/>
    </row>
    <row r="694">
      <c r="A694" s="11"/>
      <c r="B694" s="23"/>
      <c r="C694" s="23"/>
      <c r="D694" s="23"/>
      <c r="E694" s="23"/>
      <c r="F694" s="1"/>
      <c r="G694" s="23"/>
      <c r="H694" s="23"/>
      <c r="I694" s="23"/>
      <c r="N694" s="2"/>
      <c r="S694" s="24"/>
    </row>
    <row r="695">
      <c r="A695" s="11"/>
      <c r="B695" s="23"/>
      <c r="C695" s="23"/>
      <c r="D695" s="23"/>
      <c r="E695" s="23"/>
      <c r="F695" s="1"/>
      <c r="G695" s="23"/>
      <c r="H695" s="23"/>
      <c r="I695" s="23"/>
      <c r="N695" s="2"/>
      <c r="S695" s="24"/>
    </row>
    <row r="696">
      <c r="A696" s="11"/>
      <c r="B696" s="23"/>
      <c r="C696" s="23"/>
      <c r="D696" s="23"/>
      <c r="E696" s="23"/>
      <c r="F696" s="1"/>
      <c r="G696" s="23"/>
      <c r="H696" s="23"/>
      <c r="I696" s="23"/>
      <c r="N696" s="2"/>
      <c r="S696" s="24"/>
    </row>
    <row r="697">
      <c r="A697" s="11"/>
      <c r="B697" s="23"/>
      <c r="C697" s="23"/>
      <c r="D697" s="23"/>
      <c r="E697" s="23"/>
      <c r="F697" s="1"/>
      <c r="G697" s="23"/>
      <c r="H697" s="23"/>
      <c r="I697" s="23"/>
      <c r="N697" s="2"/>
      <c r="S697" s="24"/>
    </row>
    <row r="698">
      <c r="A698" s="11"/>
      <c r="B698" s="23"/>
      <c r="C698" s="23"/>
      <c r="D698" s="23"/>
      <c r="E698" s="23"/>
      <c r="F698" s="1"/>
      <c r="G698" s="23"/>
      <c r="H698" s="23"/>
      <c r="I698" s="23"/>
      <c r="N698" s="2"/>
      <c r="S698" s="24"/>
    </row>
    <row r="699">
      <c r="A699" s="11"/>
      <c r="B699" s="23"/>
      <c r="C699" s="23"/>
      <c r="D699" s="23"/>
      <c r="E699" s="23"/>
      <c r="F699" s="1"/>
      <c r="G699" s="23"/>
      <c r="H699" s="23"/>
      <c r="I699" s="23"/>
      <c r="N699" s="2"/>
      <c r="S699" s="24"/>
    </row>
    <row r="700">
      <c r="A700" s="11"/>
      <c r="B700" s="23"/>
      <c r="C700" s="23"/>
      <c r="D700" s="23"/>
      <c r="E700" s="23"/>
      <c r="F700" s="1"/>
      <c r="G700" s="23"/>
      <c r="H700" s="23"/>
      <c r="I700" s="23"/>
      <c r="N700" s="2"/>
      <c r="S700" s="24"/>
    </row>
    <row r="701">
      <c r="A701" s="11"/>
      <c r="B701" s="23"/>
      <c r="C701" s="23"/>
      <c r="D701" s="23"/>
      <c r="E701" s="23"/>
      <c r="F701" s="1"/>
      <c r="G701" s="23"/>
      <c r="H701" s="23"/>
      <c r="I701" s="23"/>
      <c r="N701" s="2"/>
      <c r="S701" s="24"/>
    </row>
    <row r="702">
      <c r="A702" s="11"/>
      <c r="B702" s="23"/>
      <c r="C702" s="23"/>
      <c r="D702" s="23"/>
      <c r="E702" s="23"/>
      <c r="F702" s="1"/>
      <c r="G702" s="23"/>
      <c r="H702" s="23"/>
      <c r="I702" s="23"/>
      <c r="N702" s="2"/>
      <c r="S702" s="24"/>
    </row>
    <row r="703">
      <c r="A703" s="11"/>
      <c r="B703" s="23"/>
      <c r="C703" s="23"/>
      <c r="D703" s="23"/>
      <c r="E703" s="23"/>
      <c r="F703" s="1"/>
      <c r="G703" s="23"/>
      <c r="H703" s="23"/>
      <c r="I703" s="23"/>
      <c r="N703" s="2"/>
      <c r="S703" s="24"/>
    </row>
    <row r="704">
      <c r="A704" s="11"/>
      <c r="B704" s="23"/>
      <c r="C704" s="23"/>
      <c r="D704" s="23"/>
      <c r="E704" s="23"/>
      <c r="F704" s="1"/>
      <c r="G704" s="23"/>
      <c r="H704" s="23"/>
      <c r="I704" s="23"/>
      <c r="N704" s="2"/>
      <c r="S704" s="24"/>
    </row>
    <row r="705">
      <c r="A705" s="11"/>
      <c r="B705" s="23"/>
      <c r="C705" s="23"/>
      <c r="D705" s="23"/>
      <c r="E705" s="23"/>
      <c r="F705" s="1"/>
      <c r="G705" s="23"/>
      <c r="H705" s="23"/>
      <c r="I705" s="23"/>
      <c r="N705" s="2"/>
      <c r="S705" s="24"/>
    </row>
    <row r="706">
      <c r="A706" s="11"/>
      <c r="B706" s="23"/>
      <c r="C706" s="23"/>
      <c r="D706" s="23"/>
      <c r="E706" s="23"/>
      <c r="F706" s="1"/>
      <c r="G706" s="23"/>
      <c r="H706" s="23"/>
      <c r="I706" s="23"/>
      <c r="N706" s="2"/>
      <c r="S706" s="24"/>
    </row>
    <row r="707">
      <c r="A707" s="11"/>
      <c r="B707" s="23"/>
      <c r="C707" s="23"/>
      <c r="D707" s="23"/>
      <c r="E707" s="23"/>
      <c r="F707" s="1"/>
      <c r="G707" s="23"/>
      <c r="H707" s="23"/>
      <c r="I707" s="23"/>
      <c r="N707" s="2"/>
      <c r="S707" s="24"/>
    </row>
    <row r="708">
      <c r="A708" s="11"/>
      <c r="B708" s="23"/>
      <c r="C708" s="23"/>
      <c r="D708" s="23"/>
      <c r="E708" s="23"/>
      <c r="F708" s="1"/>
      <c r="G708" s="23"/>
      <c r="H708" s="23"/>
      <c r="I708" s="23"/>
      <c r="N708" s="2"/>
      <c r="S708" s="24"/>
    </row>
    <row r="709">
      <c r="A709" s="11"/>
      <c r="B709" s="23"/>
      <c r="C709" s="23"/>
      <c r="D709" s="23"/>
      <c r="E709" s="23"/>
      <c r="F709" s="1"/>
      <c r="G709" s="23"/>
      <c r="H709" s="23"/>
      <c r="I709" s="23"/>
      <c r="N709" s="2"/>
      <c r="S709" s="24"/>
    </row>
    <row r="710">
      <c r="A710" s="11"/>
      <c r="B710" s="23"/>
      <c r="C710" s="23"/>
      <c r="D710" s="23"/>
      <c r="E710" s="23"/>
      <c r="F710" s="1"/>
      <c r="G710" s="23"/>
      <c r="H710" s="23"/>
      <c r="I710" s="23"/>
      <c r="N710" s="2"/>
      <c r="S710" s="24"/>
    </row>
    <row r="711">
      <c r="A711" s="11"/>
      <c r="B711" s="23"/>
      <c r="C711" s="23"/>
      <c r="D711" s="23"/>
      <c r="E711" s="23"/>
      <c r="F711" s="1"/>
      <c r="G711" s="23"/>
      <c r="H711" s="23"/>
      <c r="I711" s="23"/>
      <c r="N711" s="2"/>
      <c r="S711" s="24"/>
    </row>
    <row r="712">
      <c r="A712" s="11"/>
      <c r="B712" s="23"/>
      <c r="C712" s="23"/>
      <c r="D712" s="23"/>
      <c r="E712" s="23"/>
      <c r="F712" s="1"/>
      <c r="G712" s="23"/>
      <c r="H712" s="23"/>
      <c r="I712" s="23"/>
      <c r="N712" s="2"/>
      <c r="S712" s="24"/>
    </row>
    <row r="713">
      <c r="A713" s="11"/>
      <c r="B713" s="23"/>
      <c r="C713" s="23"/>
      <c r="D713" s="23"/>
      <c r="E713" s="23"/>
      <c r="F713" s="1"/>
      <c r="G713" s="23"/>
      <c r="H713" s="23"/>
      <c r="I713" s="23"/>
      <c r="N713" s="2"/>
      <c r="S713" s="24"/>
    </row>
    <row r="714">
      <c r="A714" s="11"/>
      <c r="B714" s="23"/>
      <c r="C714" s="23"/>
      <c r="D714" s="23"/>
      <c r="E714" s="23"/>
      <c r="F714" s="1"/>
      <c r="G714" s="23"/>
      <c r="H714" s="23"/>
      <c r="I714" s="23"/>
      <c r="N714" s="2"/>
      <c r="S714" s="24"/>
    </row>
    <row r="715">
      <c r="A715" s="11"/>
      <c r="B715" s="23"/>
      <c r="C715" s="23"/>
      <c r="D715" s="23"/>
      <c r="E715" s="23"/>
      <c r="F715" s="1"/>
      <c r="G715" s="23"/>
      <c r="H715" s="23"/>
      <c r="I715" s="23"/>
      <c r="N715" s="2"/>
      <c r="S715" s="24"/>
    </row>
    <row r="716">
      <c r="A716" s="11"/>
      <c r="B716" s="23"/>
      <c r="C716" s="23"/>
      <c r="D716" s="23"/>
      <c r="E716" s="23"/>
      <c r="F716" s="1"/>
      <c r="G716" s="23"/>
      <c r="H716" s="23"/>
      <c r="I716" s="23"/>
      <c r="N716" s="2"/>
      <c r="S716" s="24"/>
    </row>
    <row r="717">
      <c r="A717" s="11"/>
      <c r="B717" s="23"/>
      <c r="C717" s="23"/>
      <c r="D717" s="23"/>
      <c r="E717" s="23"/>
      <c r="F717" s="1"/>
      <c r="G717" s="23"/>
      <c r="H717" s="23"/>
      <c r="I717" s="23"/>
      <c r="N717" s="2"/>
      <c r="S717" s="24"/>
    </row>
    <row r="718">
      <c r="A718" s="11"/>
      <c r="B718" s="23"/>
      <c r="C718" s="23"/>
      <c r="D718" s="23"/>
      <c r="E718" s="23"/>
      <c r="F718" s="1"/>
      <c r="G718" s="23"/>
      <c r="H718" s="23"/>
      <c r="I718" s="23"/>
      <c r="N718" s="2"/>
      <c r="S718" s="24"/>
    </row>
    <row r="719">
      <c r="A719" s="11"/>
      <c r="B719" s="23"/>
      <c r="C719" s="23"/>
      <c r="D719" s="23"/>
      <c r="E719" s="23"/>
      <c r="F719" s="1"/>
      <c r="G719" s="23"/>
      <c r="H719" s="23"/>
      <c r="I719" s="23"/>
      <c r="N719" s="2"/>
      <c r="S719" s="24"/>
    </row>
    <row r="720">
      <c r="A720" s="11"/>
      <c r="B720" s="23"/>
      <c r="C720" s="23"/>
      <c r="D720" s="23"/>
      <c r="E720" s="23"/>
      <c r="F720" s="1"/>
      <c r="G720" s="23"/>
      <c r="H720" s="23"/>
      <c r="I720" s="23"/>
      <c r="N720" s="2"/>
      <c r="S720" s="24"/>
    </row>
    <row r="721">
      <c r="A721" s="11"/>
      <c r="B721" s="23"/>
      <c r="C721" s="23"/>
      <c r="D721" s="23"/>
      <c r="E721" s="23"/>
      <c r="F721" s="1"/>
      <c r="G721" s="23"/>
      <c r="H721" s="23"/>
      <c r="I721" s="23"/>
      <c r="N721" s="2"/>
      <c r="S721" s="24"/>
    </row>
    <row r="722">
      <c r="A722" s="11"/>
      <c r="B722" s="23"/>
      <c r="C722" s="23"/>
      <c r="D722" s="23"/>
      <c r="E722" s="23"/>
      <c r="F722" s="1"/>
      <c r="G722" s="23"/>
      <c r="H722" s="23"/>
      <c r="I722" s="23"/>
      <c r="N722" s="2"/>
      <c r="S722" s="24"/>
    </row>
    <row r="723">
      <c r="A723" s="11"/>
      <c r="B723" s="23"/>
      <c r="C723" s="23"/>
      <c r="D723" s="23"/>
      <c r="E723" s="23"/>
      <c r="F723" s="1"/>
      <c r="G723" s="23"/>
      <c r="H723" s="23"/>
      <c r="I723" s="23"/>
      <c r="N723" s="2"/>
      <c r="S723" s="24"/>
    </row>
    <row r="724">
      <c r="A724" s="11"/>
      <c r="B724" s="23"/>
      <c r="C724" s="23"/>
      <c r="D724" s="23"/>
      <c r="E724" s="23"/>
      <c r="F724" s="1"/>
      <c r="G724" s="23"/>
      <c r="H724" s="23"/>
      <c r="I724" s="23"/>
      <c r="N724" s="2"/>
      <c r="S724" s="24"/>
    </row>
    <row r="725">
      <c r="A725" s="11"/>
      <c r="B725" s="23"/>
      <c r="C725" s="23"/>
      <c r="D725" s="23"/>
      <c r="E725" s="23"/>
      <c r="F725" s="1"/>
      <c r="G725" s="23"/>
      <c r="H725" s="23"/>
      <c r="I725" s="23"/>
      <c r="N725" s="2"/>
      <c r="S725" s="24"/>
    </row>
    <row r="726">
      <c r="A726" s="11"/>
      <c r="B726" s="23"/>
      <c r="C726" s="23"/>
      <c r="D726" s="23"/>
      <c r="E726" s="23"/>
      <c r="F726" s="1"/>
      <c r="G726" s="23"/>
      <c r="H726" s="23"/>
      <c r="I726" s="23"/>
      <c r="N726" s="2"/>
      <c r="S726" s="24"/>
    </row>
    <row r="727">
      <c r="A727" s="11"/>
      <c r="B727" s="23"/>
      <c r="C727" s="23"/>
      <c r="D727" s="23"/>
      <c r="E727" s="23"/>
      <c r="F727" s="1"/>
      <c r="G727" s="23"/>
      <c r="H727" s="23"/>
      <c r="I727" s="23"/>
      <c r="N727" s="2"/>
      <c r="S727" s="24"/>
    </row>
    <row r="728">
      <c r="A728" s="11"/>
      <c r="B728" s="23"/>
      <c r="C728" s="23"/>
      <c r="D728" s="23"/>
      <c r="E728" s="23"/>
      <c r="F728" s="1"/>
      <c r="G728" s="23"/>
      <c r="H728" s="23"/>
      <c r="I728" s="23"/>
      <c r="N728" s="2"/>
      <c r="S728" s="24"/>
    </row>
    <row r="729">
      <c r="A729" s="11"/>
      <c r="B729" s="23"/>
      <c r="C729" s="23"/>
      <c r="D729" s="23"/>
      <c r="E729" s="23"/>
      <c r="F729" s="1"/>
      <c r="G729" s="23"/>
      <c r="H729" s="23"/>
      <c r="I729" s="23"/>
      <c r="N729" s="2"/>
      <c r="S729" s="24"/>
    </row>
    <row r="730">
      <c r="A730" s="11"/>
      <c r="B730" s="23"/>
      <c r="C730" s="23"/>
      <c r="D730" s="23"/>
      <c r="E730" s="23"/>
      <c r="F730" s="1"/>
      <c r="G730" s="23"/>
      <c r="H730" s="23"/>
      <c r="I730" s="23"/>
      <c r="N730" s="2"/>
      <c r="S730" s="24"/>
    </row>
    <row r="731">
      <c r="A731" s="11"/>
      <c r="B731" s="23"/>
      <c r="C731" s="23"/>
      <c r="D731" s="23"/>
      <c r="E731" s="23"/>
      <c r="F731" s="1"/>
      <c r="G731" s="23"/>
      <c r="H731" s="23"/>
      <c r="I731" s="23"/>
      <c r="N731" s="2"/>
      <c r="S731" s="24"/>
    </row>
    <row r="732">
      <c r="A732" s="11"/>
      <c r="B732" s="23"/>
      <c r="C732" s="23"/>
      <c r="D732" s="23"/>
      <c r="E732" s="23"/>
      <c r="F732" s="1"/>
      <c r="G732" s="23"/>
      <c r="H732" s="23"/>
      <c r="I732" s="23"/>
      <c r="N732" s="2"/>
      <c r="S732" s="24"/>
    </row>
    <row r="733">
      <c r="A733" s="11"/>
      <c r="B733" s="23"/>
      <c r="C733" s="23"/>
      <c r="D733" s="23"/>
      <c r="E733" s="23"/>
      <c r="F733" s="1"/>
      <c r="G733" s="23"/>
      <c r="H733" s="23"/>
      <c r="I733" s="23"/>
      <c r="N733" s="2"/>
      <c r="S733" s="24"/>
    </row>
    <row r="734">
      <c r="A734" s="11"/>
      <c r="B734" s="23"/>
      <c r="C734" s="23"/>
      <c r="D734" s="23"/>
      <c r="E734" s="23"/>
      <c r="F734" s="1"/>
      <c r="G734" s="23"/>
      <c r="H734" s="23"/>
      <c r="I734" s="23"/>
      <c r="N734" s="2"/>
      <c r="S734" s="24"/>
    </row>
    <row r="735">
      <c r="A735" s="11"/>
      <c r="B735" s="23"/>
      <c r="C735" s="23"/>
      <c r="D735" s="23"/>
      <c r="E735" s="23"/>
      <c r="F735" s="1"/>
      <c r="G735" s="23"/>
      <c r="H735" s="23"/>
      <c r="I735" s="23"/>
      <c r="N735" s="2"/>
      <c r="S735" s="24"/>
    </row>
    <row r="736">
      <c r="A736" s="11"/>
      <c r="B736" s="23"/>
      <c r="C736" s="23"/>
      <c r="D736" s="23"/>
      <c r="E736" s="23"/>
      <c r="F736" s="1"/>
      <c r="G736" s="23"/>
      <c r="H736" s="23"/>
      <c r="I736" s="23"/>
      <c r="N736" s="2"/>
      <c r="S736" s="24"/>
    </row>
    <row r="737">
      <c r="A737" s="11"/>
      <c r="B737" s="23"/>
      <c r="C737" s="23"/>
      <c r="D737" s="23"/>
      <c r="E737" s="23"/>
      <c r="F737" s="1"/>
      <c r="G737" s="23"/>
      <c r="H737" s="23"/>
      <c r="I737" s="23"/>
      <c r="N737" s="2"/>
      <c r="S737" s="24"/>
    </row>
    <row r="738">
      <c r="A738" s="11"/>
      <c r="B738" s="23"/>
      <c r="C738" s="23"/>
      <c r="D738" s="23"/>
      <c r="E738" s="23"/>
      <c r="F738" s="1"/>
      <c r="G738" s="23"/>
      <c r="H738" s="23"/>
      <c r="I738" s="23"/>
      <c r="N738" s="2"/>
      <c r="S738" s="24"/>
    </row>
    <row r="739">
      <c r="A739" s="11"/>
      <c r="B739" s="23"/>
      <c r="C739" s="23"/>
      <c r="D739" s="23"/>
      <c r="E739" s="23"/>
      <c r="F739" s="1"/>
      <c r="G739" s="23"/>
      <c r="H739" s="23"/>
      <c r="I739" s="23"/>
      <c r="N739" s="2"/>
      <c r="S739" s="24"/>
    </row>
    <row r="740">
      <c r="A740" s="11"/>
      <c r="B740" s="23"/>
      <c r="C740" s="23"/>
      <c r="D740" s="23"/>
      <c r="E740" s="23"/>
      <c r="F740" s="1"/>
      <c r="G740" s="23"/>
      <c r="H740" s="23"/>
      <c r="I740" s="23"/>
      <c r="N740" s="2"/>
      <c r="S740" s="24"/>
    </row>
    <row r="741">
      <c r="A741" s="11"/>
      <c r="B741" s="23"/>
      <c r="C741" s="23"/>
      <c r="D741" s="23"/>
      <c r="E741" s="23"/>
      <c r="F741" s="1"/>
      <c r="G741" s="23"/>
      <c r="H741" s="23"/>
      <c r="I741" s="23"/>
      <c r="N741" s="2"/>
      <c r="S741" s="24"/>
    </row>
    <row r="742">
      <c r="A742" s="11"/>
      <c r="B742" s="23"/>
      <c r="C742" s="23"/>
      <c r="D742" s="23"/>
      <c r="E742" s="23"/>
      <c r="F742" s="1"/>
      <c r="G742" s="23"/>
      <c r="H742" s="23"/>
      <c r="I742" s="23"/>
      <c r="N742" s="2"/>
      <c r="S742" s="24"/>
    </row>
    <row r="743">
      <c r="A743" s="11"/>
      <c r="B743" s="23"/>
      <c r="C743" s="23"/>
      <c r="D743" s="23"/>
      <c r="E743" s="23"/>
      <c r="F743" s="1"/>
      <c r="G743" s="23"/>
      <c r="H743" s="23"/>
      <c r="I743" s="23"/>
      <c r="N743" s="2"/>
      <c r="S743" s="24"/>
    </row>
    <row r="744">
      <c r="A744" s="11"/>
      <c r="B744" s="23"/>
      <c r="C744" s="23"/>
      <c r="D744" s="23"/>
      <c r="E744" s="23"/>
      <c r="F744" s="1"/>
      <c r="G744" s="23"/>
      <c r="H744" s="23"/>
      <c r="I744" s="23"/>
      <c r="N744" s="2"/>
      <c r="S744" s="24"/>
    </row>
    <row r="745">
      <c r="A745" s="11"/>
      <c r="B745" s="23"/>
      <c r="C745" s="23"/>
      <c r="D745" s="23"/>
      <c r="E745" s="23"/>
      <c r="F745" s="1"/>
      <c r="G745" s="23"/>
      <c r="H745" s="23"/>
      <c r="I745" s="23"/>
      <c r="N745" s="2"/>
      <c r="S745" s="24"/>
    </row>
    <row r="746">
      <c r="A746" s="11"/>
      <c r="B746" s="23"/>
      <c r="C746" s="23"/>
      <c r="D746" s="23"/>
      <c r="E746" s="23"/>
      <c r="F746" s="1"/>
      <c r="G746" s="23"/>
      <c r="H746" s="23"/>
      <c r="I746" s="23"/>
      <c r="N746" s="2"/>
      <c r="S746" s="24"/>
    </row>
    <row r="747">
      <c r="A747" s="11"/>
      <c r="B747" s="23"/>
      <c r="C747" s="23"/>
      <c r="D747" s="23"/>
      <c r="E747" s="23"/>
      <c r="F747" s="1"/>
      <c r="G747" s="23"/>
      <c r="H747" s="23"/>
      <c r="I747" s="23"/>
      <c r="N747" s="2"/>
      <c r="S747" s="24"/>
    </row>
    <row r="748">
      <c r="A748" s="11"/>
      <c r="B748" s="23"/>
      <c r="C748" s="23"/>
      <c r="D748" s="23"/>
      <c r="E748" s="23"/>
      <c r="F748" s="1"/>
      <c r="G748" s="23"/>
      <c r="H748" s="23"/>
      <c r="I748" s="23"/>
      <c r="N748" s="2"/>
      <c r="S748" s="24"/>
    </row>
    <row r="749">
      <c r="A749" s="11"/>
      <c r="B749" s="23"/>
      <c r="C749" s="23"/>
      <c r="D749" s="23"/>
      <c r="E749" s="23"/>
      <c r="F749" s="1"/>
      <c r="G749" s="23"/>
      <c r="H749" s="23"/>
      <c r="I749" s="23"/>
      <c r="N749" s="2"/>
      <c r="S749" s="24"/>
    </row>
    <row r="750">
      <c r="A750" s="11"/>
      <c r="B750" s="23"/>
      <c r="C750" s="23"/>
      <c r="D750" s="23"/>
      <c r="E750" s="23"/>
      <c r="F750" s="1"/>
      <c r="G750" s="23"/>
      <c r="H750" s="23"/>
      <c r="I750" s="23"/>
      <c r="N750" s="2"/>
      <c r="S750" s="24"/>
    </row>
    <row r="751">
      <c r="A751" s="11"/>
      <c r="B751" s="23"/>
      <c r="C751" s="23"/>
      <c r="D751" s="23"/>
      <c r="E751" s="23"/>
      <c r="F751" s="1"/>
      <c r="G751" s="23"/>
      <c r="H751" s="23"/>
      <c r="I751" s="23"/>
      <c r="N751" s="2"/>
      <c r="S751" s="24"/>
    </row>
    <row r="752">
      <c r="A752" s="11"/>
      <c r="B752" s="23"/>
      <c r="C752" s="23"/>
      <c r="D752" s="23"/>
      <c r="E752" s="23"/>
      <c r="F752" s="1"/>
      <c r="G752" s="23"/>
      <c r="H752" s="23"/>
      <c r="I752" s="23"/>
      <c r="N752" s="2"/>
      <c r="S752" s="24"/>
    </row>
    <row r="753">
      <c r="A753" s="11"/>
      <c r="B753" s="23"/>
      <c r="C753" s="23"/>
      <c r="D753" s="23"/>
      <c r="E753" s="23"/>
      <c r="F753" s="1"/>
      <c r="G753" s="23"/>
      <c r="H753" s="23"/>
      <c r="I753" s="23"/>
      <c r="N753" s="2"/>
      <c r="S753" s="24"/>
    </row>
    <row r="754">
      <c r="A754" s="11"/>
      <c r="B754" s="23"/>
      <c r="C754" s="23"/>
      <c r="D754" s="23"/>
      <c r="E754" s="23"/>
      <c r="F754" s="1"/>
      <c r="G754" s="23"/>
      <c r="H754" s="23"/>
      <c r="I754" s="23"/>
      <c r="N754" s="2"/>
      <c r="S754" s="24"/>
    </row>
    <row r="755">
      <c r="A755" s="11"/>
      <c r="B755" s="23"/>
      <c r="C755" s="23"/>
      <c r="D755" s="23"/>
      <c r="E755" s="23"/>
      <c r="F755" s="1"/>
      <c r="G755" s="23"/>
      <c r="H755" s="23"/>
      <c r="I755" s="23"/>
      <c r="N755" s="2"/>
      <c r="S755" s="24"/>
    </row>
    <row r="756">
      <c r="A756" s="11"/>
      <c r="B756" s="23"/>
      <c r="C756" s="23"/>
      <c r="D756" s="23"/>
      <c r="E756" s="23"/>
      <c r="F756" s="1"/>
      <c r="G756" s="23"/>
      <c r="H756" s="23"/>
      <c r="I756" s="23"/>
      <c r="N756" s="2"/>
      <c r="S756" s="24"/>
    </row>
    <row r="757">
      <c r="A757" s="11"/>
      <c r="B757" s="23"/>
      <c r="C757" s="23"/>
      <c r="D757" s="23"/>
      <c r="E757" s="23"/>
      <c r="F757" s="1"/>
      <c r="G757" s="23"/>
      <c r="H757" s="23"/>
      <c r="I757" s="23"/>
      <c r="N757" s="2"/>
      <c r="S757" s="24"/>
    </row>
    <row r="758">
      <c r="A758" s="11"/>
      <c r="B758" s="23"/>
      <c r="C758" s="23"/>
      <c r="D758" s="23"/>
      <c r="E758" s="23"/>
      <c r="F758" s="1"/>
      <c r="G758" s="23"/>
      <c r="H758" s="23"/>
      <c r="I758" s="23"/>
      <c r="N758" s="2"/>
      <c r="S758" s="24"/>
    </row>
    <row r="759">
      <c r="A759" s="11"/>
      <c r="B759" s="23"/>
      <c r="C759" s="23"/>
      <c r="D759" s="23"/>
      <c r="E759" s="23"/>
      <c r="F759" s="1"/>
      <c r="G759" s="23"/>
      <c r="H759" s="23"/>
      <c r="I759" s="23"/>
      <c r="N759" s="2"/>
      <c r="S759" s="24"/>
    </row>
    <row r="760">
      <c r="A760" s="11"/>
      <c r="B760" s="23"/>
      <c r="C760" s="23"/>
      <c r="D760" s="23"/>
      <c r="E760" s="23"/>
      <c r="F760" s="1"/>
      <c r="G760" s="23"/>
      <c r="H760" s="23"/>
      <c r="I760" s="23"/>
      <c r="N760" s="2"/>
      <c r="S760" s="24"/>
    </row>
    <row r="761">
      <c r="A761" s="11"/>
      <c r="B761" s="23"/>
      <c r="C761" s="23"/>
      <c r="D761" s="23"/>
      <c r="E761" s="23"/>
      <c r="F761" s="1"/>
      <c r="G761" s="23"/>
      <c r="H761" s="23"/>
      <c r="I761" s="23"/>
      <c r="N761" s="2"/>
      <c r="S761" s="24"/>
    </row>
    <row r="762">
      <c r="A762" s="11"/>
      <c r="B762" s="23"/>
      <c r="C762" s="23"/>
      <c r="D762" s="23"/>
      <c r="E762" s="23"/>
      <c r="F762" s="1"/>
      <c r="G762" s="23"/>
      <c r="H762" s="23"/>
      <c r="I762" s="23"/>
      <c r="N762" s="2"/>
      <c r="S762" s="24"/>
    </row>
    <row r="763">
      <c r="A763" s="11"/>
      <c r="B763" s="23"/>
      <c r="C763" s="23"/>
      <c r="D763" s="23"/>
      <c r="E763" s="23"/>
      <c r="F763" s="1"/>
      <c r="G763" s="23"/>
      <c r="H763" s="23"/>
      <c r="I763" s="23"/>
      <c r="N763" s="2"/>
      <c r="S763" s="24"/>
    </row>
    <row r="764">
      <c r="A764" s="11"/>
      <c r="B764" s="23"/>
      <c r="C764" s="23"/>
      <c r="D764" s="23"/>
      <c r="E764" s="23"/>
      <c r="F764" s="1"/>
      <c r="G764" s="23"/>
      <c r="H764" s="23"/>
      <c r="I764" s="23"/>
      <c r="N764" s="2"/>
      <c r="S764" s="24"/>
    </row>
    <row r="765">
      <c r="A765" s="11"/>
      <c r="B765" s="23"/>
      <c r="C765" s="23"/>
      <c r="D765" s="23"/>
      <c r="E765" s="23"/>
      <c r="F765" s="1"/>
      <c r="G765" s="23"/>
      <c r="H765" s="23"/>
      <c r="I765" s="23"/>
      <c r="N765" s="2"/>
      <c r="S765" s="24"/>
    </row>
    <row r="766">
      <c r="A766" s="11"/>
      <c r="B766" s="23"/>
      <c r="C766" s="23"/>
      <c r="D766" s="23"/>
      <c r="E766" s="23"/>
      <c r="F766" s="1"/>
      <c r="G766" s="23"/>
      <c r="H766" s="23"/>
      <c r="I766" s="23"/>
      <c r="N766" s="2"/>
      <c r="S766" s="24"/>
    </row>
    <row r="767">
      <c r="A767" s="11"/>
      <c r="B767" s="23"/>
      <c r="C767" s="23"/>
      <c r="D767" s="23"/>
      <c r="E767" s="23"/>
      <c r="F767" s="1"/>
      <c r="G767" s="23"/>
      <c r="H767" s="23"/>
      <c r="I767" s="23"/>
      <c r="N767" s="2"/>
      <c r="S767" s="24"/>
    </row>
    <row r="768">
      <c r="A768" s="11"/>
      <c r="B768" s="23"/>
      <c r="C768" s="23"/>
      <c r="D768" s="23"/>
      <c r="E768" s="23"/>
      <c r="F768" s="1"/>
      <c r="G768" s="23"/>
      <c r="H768" s="23"/>
      <c r="I768" s="23"/>
      <c r="N768" s="2"/>
      <c r="S768" s="24"/>
    </row>
    <row r="769">
      <c r="A769" s="11"/>
      <c r="B769" s="23"/>
      <c r="C769" s="23"/>
      <c r="D769" s="23"/>
      <c r="E769" s="23"/>
      <c r="F769" s="1"/>
      <c r="G769" s="23"/>
      <c r="H769" s="23"/>
      <c r="I769" s="23"/>
      <c r="N769" s="2"/>
      <c r="S769" s="24"/>
    </row>
    <row r="770">
      <c r="A770" s="11"/>
      <c r="B770" s="23"/>
      <c r="C770" s="23"/>
      <c r="D770" s="23"/>
      <c r="E770" s="23"/>
      <c r="F770" s="1"/>
      <c r="G770" s="23"/>
      <c r="H770" s="23"/>
      <c r="I770" s="23"/>
      <c r="N770" s="2"/>
      <c r="S770" s="24"/>
    </row>
    <row r="771">
      <c r="A771" s="11"/>
      <c r="B771" s="23"/>
      <c r="C771" s="23"/>
      <c r="D771" s="23"/>
      <c r="E771" s="23"/>
      <c r="F771" s="1"/>
      <c r="G771" s="23"/>
      <c r="H771" s="23"/>
      <c r="I771" s="23"/>
      <c r="N771" s="2"/>
      <c r="S771" s="24"/>
    </row>
    <row r="772">
      <c r="A772" s="11"/>
      <c r="B772" s="23"/>
      <c r="C772" s="23"/>
      <c r="D772" s="23"/>
      <c r="E772" s="23"/>
      <c r="F772" s="1"/>
      <c r="G772" s="23"/>
      <c r="H772" s="23"/>
      <c r="I772" s="23"/>
      <c r="N772" s="2"/>
      <c r="S772" s="24"/>
    </row>
    <row r="773">
      <c r="A773" s="11"/>
      <c r="B773" s="23"/>
      <c r="C773" s="23"/>
      <c r="D773" s="23"/>
      <c r="E773" s="23"/>
      <c r="F773" s="1"/>
      <c r="G773" s="23"/>
      <c r="H773" s="23"/>
      <c r="I773" s="23"/>
      <c r="N773" s="2"/>
      <c r="S773" s="24"/>
    </row>
    <row r="774">
      <c r="A774" s="11"/>
      <c r="B774" s="23"/>
      <c r="C774" s="23"/>
      <c r="D774" s="23"/>
      <c r="E774" s="23"/>
      <c r="F774" s="1"/>
      <c r="G774" s="23"/>
      <c r="H774" s="23"/>
      <c r="I774" s="23"/>
      <c r="N774" s="2"/>
      <c r="S774" s="24"/>
    </row>
    <row r="775">
      <c r="A775" s="11"/>
      <c r="B775" s="23"/>
      <c r="C775" s="23"/>
      <c r="D775" s="23"/>
      <c r="E775" s="23"/>
      <c r="F775" s="1"/>
      <c r="G775" s="23"/>
      <c r="H775" s="23"/>
      <c r="I775" s="23"/>
      <c r="N775" s="2"/>
      <c r="S775" s="24"/>
    </row>
    <row r="776">
      <c r="A776" s="11"/>
      <c r="B776" s="23"/>
      <c r="C776" s="23"/>
      <c r="D776" s="23"/>
      <c r="E776" s="23"/>
      <c r="F776" s="1"/>
      <c r="G776" s="23"/>
      <c r="H776" s="23"/>
      <c r="I776" s="23"/>
      <c r="N776" s="2"/>
      <c r="S776" s="24"/>
    </row>
    <row r="777">
      <c r="A777" s="11"/>
      <c r="B777" s="23"/>
      <c r="C777" s="23"/>
      <c r="D777" s="23"/>
      <c r="E777" s="23"/>
      <c r="F777" s="1"/>
      <c r="G777" s="23"/>
      <c r="H777" s="23"/>
      <c r="I777" s="23"/>
      <c r="N777" s="2"/>
      <c r="S777" s="24"/>
    </row>
    <row r="778">
      <c r="A778" s="11"/>
      <c r="B778" s="23"/>
      <c r="C778" s="23"/>
      <c r="D778" s="23"/>
      <c r="E778" s="23"/>
      <c r="F778" s="1"/>
      <c r="G778" s="23"/>
      <c r="H778" s="23"/>
      <c r="I778" s="23"/>
      <c r="N778" s="2"/>
      <c r="S778" s="24"/>
    </row>
    <row r="779">
      <c r="A779" s="11"/>
      <c r="B779" s="23"/>
      <c r="C779" s="23"/>
      <c r="D779" s="23"/>
      <c r="E779" s="23"/>
      <c r="F779" s="1"/>
      <c r="G779" s="23"/>
      <c r="H779" s="23"/>
      <c r="I779" s="23"/>
      <c r="N779" s="2"/>
      <c r="S779" s="24"/>
    </row>
    <row r="780">
      <c r="A780" s="11"/>
      <c r="B780" s="23"/>
      <c r="C780" s="23"/>
      <c r="D780" s="23"/>
      <c r="E780" s="23"/>
      <c r="F780" s="1"/>
      <c r="G780" s="23"/>
      <c r="H780" s="23"/>
      <c r="I780" s="23"/>
      <c r="N780" s="2"/>
      <c r="S780" s="24"/>
    </row>
    <row r="781">
      <c r="A781" s="11"/>
      <c r="B781" s="23"/>
      <c r="C781" s="23"/>
      <c r="D781" s="23"/>
      <c r="E781" s="23"/>
      <c r="F781" s="1"/>
      <c r="G781" s="23"/>
      <c r="H781" s="23"/>
      <c r="I781" s="23"/>
      <c r="N781" s="2"/>
      <c r="S781" s="24"/>
    </row>
    <row r="782">
      <c r="A782" s="11"/>
      <c r="B782" s="23"/>
      <c r="C782" s="23"/>
      <c r="D782" s="23"/>
      <c r="E782" s="23"/>
      <c r="F782" s="1"/>
      <c r="G782" s="23"/>
      <c r="H782" s="23"/>
      <c r="I782" s="23"/>
      <c r="N782" s="2"/>
      <c r="S782" s="24"/>
    </row>
    <row r="783">
      <c r="A783" s="11"/>
      <c r="B783" s="23"/>
      <c r="C783" s="23"/>
      <c r="D783" s="23"/>
      <c r="E783" s="23"/>
      <c r="F783" s="1"/>
      <c r="G783" s="23"/>
      <c r="H783" s="23"/>
      <c r="I783" s="23"/>
      <c r="N783" s="2"/>
      <c r="S783" s="24"/>
    </row>
    <row r="784">
      <c r="A784" s="11"/>
      <c r="B784" s="23"/>
      <c r="C784" s="23"/>
      <c r="D784" s="23"/>
      <c r="E784" s="23"/>
      <c r="F784" s="1"/>
      <c r="G784" s="23"/>
      <c r="H784" s="23"/>
      <c r="I784" s="23"/>
      <c r="N784" s="2"/>
      <c r="S784" s="24"/>
    </row>
    <row r="785">
      <c r="A785" s="11"/>
      <c r="B785" s="23"/>
      <c r="C785" s="23"/>
      <c r="D785" s="23"/>
      <c r="E785" s="23"/>
      <c r="F785" s="1"/>
      <c r="G785" s="23"/>
      <c r="H785" s="23"/>
      <c r="I785" s="23"/>
      <c r="N785" s="2"/>
      <c r="S785" s="24"/>
    </row>
    <row r="786">
      <c r="A786" s="11"/>
      <c r="B786" s="23"/>
      <c r="C786" s="23"/>
      <c r="D786" s="23"/>
      <c r="E786" s="23"/>
      <c r="F786" s="1"/>
      <c r="G786" s="23"/>
      <c r="H786" s="23"/>
      <c r="I786" s="23"/>
      <c r="N786" s="2"/>
      <c r="S786" s="24"/>
    </row>
    <row r="787">
      <c r="A787" s="11"/>
      <c r="B787" s="23"/>
      <c r="C787" s="23"/>
      <c r="D787" s="23"/>
      <c r="E787" s="23"/>
      <c r="F787" s="1"/>
      <c r="G787" s="23"/>
      <c r="H787" s="23"/>
      <c r="I787" s="23"/>
      <c r="N787" s="2"/>
      <c r="S787" s="24"/>
    </row>
    <row r="788">
      <c r="A788" s="11"/>
      <c r="B788" s="23"/>
      <c r="C788" s="23"/>
      <c r="D788" s="23"/>
      <c r="E788" s="23"/>
      <c r="F788" s="1"/>
      <c r="G788" s="23"/>
      <c r="H788" s="23"/>
      <c r="I788" s="23"/>
      <c r="N788" s="2"/>
      <c r="S788" s="24"/>
    </row>
    <row r="789">
      <c r="A789" s="11"/>
      <c r="B789" s="23"/>
      <c r="C789" s="23"/>
      <c r="D789" s="23"/>
      <c r="E789" s="23"/>
      <c r="F789" s="1"/>
      <c r="G789" s="23"/>
      <c r="H789" s="23"/>
      <c r="I789" s="23"/>
      <c r="N789" s="2"/>
      <c r="S789" s="24"/>
    </row>
    <row r="790">
      <c r="A790" s="11"/>
      <c r="B790" s="23"/>
      <c r="C790" s="23"/>
      <c r="D790" s="23"/>
      <c r="E790" s="23"/>
      <c r="F790" s="1"/>
      <c r="G790" s="23"/>
      <c r="H790" s="23"/>
      <c r="I790" s="23"/>
      <c r="N790" s="2"/>
      <c r="S790" s="24"/>
    </row>
    <row r="791">
      <c r="A791" s="11"/>
      <c r="B791" s="23"/>
      <c r="C791" s="23"/>
      <c r="D791" s="23"/>
      <c r="E791" s="23"/>
      <c r="F791" s="1"/>
      <c r="G791" s="23"/>
      <c r="H791" s="23"/>
      <c r="I791" s="23"/>
      <c r="N791" s="2"/>
      <c r="S791" s="24"/>
    </row>
    <row r="792">
      <c r="A792" s="11"/>
      <c r="B792" s="23"/>
      <c r="C792" s="23"/>
      <c r="D792" s="23"/>
      <c r="E792" s="23"/>
      <c r="F792" s="1"/>
      <c r="G792" s="23"/>
      <c r="H792" s="23"/>
      <c r="I792" s="23"/>
      <c r="N792" s="2"/>
      <c r="S792" s="24"/>
    </row>
    <row r="793">
      <c r="A793" s="11"/>
      <c r="B793" s="23"/>
      <c r="C793" s="23"/>
      <c r="D793" s="23"/>
      <c r="E793" s="23"/>
      <c r="F793" s="1"/>
      <c r="G793" s="23"/>
      <c r="H793" s="23"/>
      <c r="I793" s="23"/>
      <c r="N793" s="2"/>
      <c r="S793" s="24"/>
    </row>
    <row r="794">
      <c r="A794" s="11"/>
      <c r="B794" s="23"/>
      <c r="C794" s="23"/>
      <c r="D794" s="23"/>
      <c r="E794" s="23"/>
      <c r="F794" s="1"/>
      <c r="G794" s="23"/>
      <c r="H794" s="23"/>
      <c r="I794" s="23"/>
      <c r="N794" s="2"/>
      <c r="S794" s="24"/>
    </row>
    <row r="795">
      <c r="A795" s="11"/>
      <c r="B795" s="23"/>
      <c r="C795" s="23"/>
      <c r="D795" s="23"/>
      <c r="E795" s="23"/>
      <c r="F795" s="1"/>
      <c r="G795" s="23"/>
      <c r="H795" s="23"/>
      <c r="I795" s="23"/>
      <c r="N795" s="2"/>
      <c r="S795" s="24"/>
    </row>
    <row r="796">
      <c r="A796" s="11"/>
      <c r="B796" s="23"/>
      <c r="C796" s="23"/>
      <c r="D796" s="23"/>
      <c r="E796" s="23"/>
      <c r="F796" s="1"/>
      <c r="G796" s="23"/>
      <c r="H796" s="23"/>
      <c r="I796" s="23"/>
      <c r="N796" s="2"/>
      <c r="S796" s="24"/>
    </row>
    <row r="797">
      <c r="A797" s="11"/>
      <c r="B797" s="23"/>
      <c r="C797" s="23"/>
      <c r="D797" s="23"/>
      <c r="E797" s="23"/>
      <c r="F797" s="1"/>
      <c r="G797" s="23"/>
      <c r="H797" s="23"/>
      <c r="I797" s="23"/>
      <c r="N797" s="2"/>
      <c r="S797" s="24"/>
    </row>
    <row r="798">
      <c r="A798" s="11"/>
      <c r="B798" s="23"/>
      <c r="C798" s="23"/>
      <c r="D798" s="23"/>
      <c r="E798" s="23"/>
      <c r="F798" s="1"/>
      <c r="G798" s="23"/>
      <c r="H798" s="23"/>
      <c r="I798" s="23"/>
      <c r="N798" s="2"/>
      <c r="S798" s="24"/>
    </row>
    <row r="799">
      <c r="A799" s="11"/>
      <c r="B799" s="23"/>
      <c r="C799" s="23"/>
      <c r="D799" s="23"/>
      <c r="E799" s="23"/>
      <c r="F799" s="1"/>
      <c r="G799" s="23"/>
      <c r="H799" s="23"/>
      <c r="I799" s="23"/>
      <c r="N799" s="2"/>
      <c r="S799" s="24"/>
    </row>
    <row r="800">
      <c r="A800" s="11"/>
      <c r="B800" s="23"/>
      <c r="C800" s="23"/>
      <c r="D800" s="23"/>
      <c r="E800" s="23"/>
      <c r="F800" s="1"/>
      <c r="G800" s="23"/>
      <c r="H800" s="23"/>
      <c r="I800" s="23"/>
      <c r="N800" s="2"/>
      <c r="S800" s="24"/>
    </row>
    <row r="801">
      <c r="A801" s="11"/>
      <c r="B801" s="23"/>
      <c r="C801" s="23"/>
      <c r="D801" s="23"/>
      <c r="E801" s="23"/>
      <c r="F801" s="1"/>
      <c r="G801" s="23"/>
      <c r="H801" s="23"/>
      <c r="I801" s="23"/>
      <c r="N801" s="2"/>
      <c r="S801" s="24"/>
    </row>
    <row r="802">
      <c r="A802" s="11"/>
      <c r="B802" s="23"/>
      <c r="C802" s="23"/>
      <c r="D802" s="23"/>
      <c r="E802" s="23"/>
      <c r="F802" s="1"/>
      <c r="G802" s="23"/>
      <c r="H802" s="23"/>
      <c r="I802" s="23"/>
      <c r="N802" s="2"/>
      <c r="S802" s="24"/>
    </row>
    <row r="803">
      <c r="A803" s="11"/>
      <c r="B803" s="23"/>
      <c r="C803" s="23"/>
      <c r="D803" s="23"/>
      <c r="E803" s="23"/>
      <c r="F803" s="1"/>
      <c r="G803" s="23"/>
      <c r="H803" s="23"/>
      <c r="I803" s="23"/>
      <c r="N803" s="2"/>
      <c r="S803" s="24"/>
    </row>
    <row r="804">
      <c r="A804" s="11"/>
      <c r="B804" s="23"/>
      <c r="C804" s="23"/>
      <c r="D804" s="23"/>
      <c r="E804" s="23"/>
      <c r="F804" s="1"/>
      <c r="G804" s="23"/>
      <c r="H804" s="23"/>
      <c r="I804" s="23"/>
      <c r="N804" s="2"/>
      <c r="S804" s="24"/>
    </row>
    <row r="805">
      <c r="A805" s="11"/>
      <c r="B805" s="23"/>
      <c r="C805" s="23"/>
      <c r="D805" s="23"/>
      <c r="E805" s="23"/>
      <c r="F805" s="1"/>
      <c r="G805" s="23"/>
      <c r="H805" s="23"/>
      <c r="I805" s="23"/>
      <c r="N805" s="2"/>
      <c r="S805" s="24"/>
    </row>
    <row r="806">
      <c r="A806" s="11"/>
      <c r="B806" s="23"/>
      <c r="C806" s="23"/>
      <c r="D806" s="23"/>
      <c r="E806" s="23"/>
      <c r="F806" s="1"/>
      <c r="G806" s="23"/>
      <c r="H806" s="23"/>
      <c r="I806" s="23"/>
      <c r="N806" s="2"/>
      <c r="S806" s="24"/>
    </row>
    <row r="807">
      <c r="A807" s="11"/>
      <c r="B807" s="23"/>
      <c r="C807" s="23"/>
      <c r="D807" s="23"/>
      <c r="E807" s="23"/>
      <c r="F807" s="1"/>
      <c r="G807" s="23"/>
      <c r="H807" s="23"/>
      <c r="I807" s="23"/>
      <c r="N807" s="2"/>
      <c r="S807" s="24"/>
    </row>
    <row r="808">
      <c r="A808" s="11"/>
      <c r="B808" s="23"/>
      <c r="C808" s="23"/>
      <c r="D808" s="23"/>
      <c r="E808" s="23"/>
      <c r="F808" s="1"/>
      <c r="G808" s="23"/>
      <c r="H808" s="23"/>
      <c r="I808" s="23"/>
      <c r="N808" s="2"/>
      <c r="S808" s="24"/>
    </row>
    <row r="809">
      <c r="A809" s="11"/>
      <c r="B809" s="23"/>
      <c r="C809" s="23"/>
      <c r="D809" s="23"/>
      <c r="E809" s="23"/>
      <c r="F809" s="1"/>
      <c r="G809" s="23"/>
      <c r="H809" s="23"/>
      <c r="I809" s="23"/>
      <c r="N809" s="2"/>
      <c r="S809" s="24"/>
    </row>
    <row r="810">
      <c r="A810" s="11"/>
      <c r="B810" s="23"/>
      <c r="C810" s="23"/>
      <c r="D810" s="23"/>
      <c r="E810" s="23"/>
      <c r="F810" s="1"/>
      <c r="G810" s="23"/>
      <c r="H810" s="23"/>
      <c r="I810" s="23"/>
      <c r="N810" s="2"/>
      <c r="S810" s="24"/>
    </row>
    <row r="811">
      <c r="A811" s="11"/>
      <c r="B811" s="23"/>
      <c r="C811" s="23"/>
      <c r="D811" s="23"/>
      <c r="E811" s="23"/>
      <c r="F811" s="1"/>
      <c r="G811" s="23"/>
      <c r="H811" s="23"/>
      <c r="I811" s="23"/>
      <c r="N811" s="2"/>
      <c r="S811" s="24"/>
    </row>
    <row r="812">
      <c r="A812" s="11"/>
      <c r="B812" s="23"/>
      <c r="C812" s="23"/>
      <c r="D812" s="23"/>
      <c r="E812" s="23"/>
      <c r="F812" s="1"/>
      <c r="G812" s="23"/>
      <c r="H812" s="23"/>
      <c r="I812" s="23"/>
      <c r="N812" s="2"/>
      <c r="S812" s="24"/>
    </row>
    <row r="813">
      <c r="A813" s="11"/>
      <c r="B813" s="23"/>
      <c r="C813" s="23"/>
      <c r="D813" s="23"/>
      <c r="E813" s="23"/>
      <c r="F813" s="1"/>
      <c r="G813" s="23"/>
      <c r="H813" s="23"/>
      <c r="I813" s="23"/>
      <c r="N813" s="2"/>
      <c r="S813" s="24"/>
    </row>
    <row r="814">
      <c r="A814" s="11"/>
      <c r="B814" s="23"/>
      <c r="C814" s="23"/>
      <c r="D814" s="23"/>
      <c r="E814" s="23"/>
      <c r="F814" s="1"/>
      <c r="G814" s="23"/>
      <c r="H814" s="23"/>
      <c r="I814" s="23"/>
      <c r="N814" s="2"/>
      <c r="S814" s="24"/>
    </row>
    <row r="815">
      <c r="A815" s="11"/>
      <c r="B815" s="23"/>
      <c r="C815" s="23"/>
      <c r="D815" s="23"/>
      <c r="E815" s="23"/>
      <c r="F815" s="1"/>
      <c r="G815" s="23"/>
      <c r="H815" s="23"/>
      <c r="I815" s="23"/>
      <c r="N815" s="2"/>
      <c r="S815" s="24"/>
    </row>
    <row r="816">
      <c r="A816" s="11"/>
      <c r="B816" s="23"/>
      <c r="C816" s="23"/>
      <c r="D816" s="23"/>
      <c r="E816" s="23"/>
      <c r="F816" s="1"/>
      <c r="G816" s="23"/>
      <c r="H816" s="23"/>
      <c r="I816" s="23"/>
      <c r="N816" s="2"/>
      <c r="S816" s="24"/>
    </row>
    <row r="817">
      <c r="A817" s="11"/>
      <c r="B817" s="23"/>
      <c r="C817" s="23"/>
      <c r="D817" s="23"/>
      <c r="E817" s="23"/>
      <c r="F817" s="1"/>
      <c r="G817" s="23"/>
      <c r="H817" s="23"/>
      <c r="I817" s="23"/>
      <c r="N817" s="2"/>
      <c r="S817" s="24"/>
    </row>
    <row r="818">
      <c r="A818" s="11"/>
      <c r="B818" s="23"/>
      <c r="C818" s="23"/>
      <c r="D818" s="23"/>
      <c r="E818" s="23"/>
      <c r="F818" s="1"/>
      <c r="G818" s="23"/>
      <c r="H818" s="23"/>
      <c r="I818" s="23"/>
      <c r="N818" s="2"/>
      <c r="S818" s="24"/>
    </row>
    <row r="819">
      <c r="A819" s="11"/>
      <c r="B819" s="23"/>
      <c r="C819" s="23"/>
      <c r="D819" s="23"/>
      <c r="E819" s="23"/>
      <c r="F819" s="1"/>
      <c r="G819" s="23"/>
      <c r="H819" s="23"/>
      <c r="I819" s="23"/>
      <c r="N819" s="2"/>
      <c r="S819" s="24"/>
    </row>
    <row r="820">
      <c r="A820" s="11"/>
      <c r="B820" s="23"/>
      <c r="C820" s="23"/>
      <c r="D820" s="23"/>
      <c r="E820" s="23"/>
      <c r="F820" s="1"/>
      <c r="G820" s="23"/>
      <c r="H820" s="23"/>
      <c r="I820" s="23"/>
      <c r="N820" s="2"/>
      <c r="S820" s="24"/>
    </row>
    <row r="821">
      <c r="A821" s="11"/>
      <c r="B821" s="23"/>
      <c r="C821" s="23"/>
      <c r="D821" s="23"/>
      <c r="E821" s="23"/>
      <c r="F821" s="1"/>
      <c r="G821" s="23"/>
      <c r="H821" s="23"/>
      <c r="I821" s="23"/>
      <c r="N821" s="2"/>
      <c r="S821" s="24"/>
    </row>
    <row r="822">
      <c r="A822" s="11"/>
      <c r="B822" s="23"/>
      <c r="C822" s="23"/>
      <c r="D822" s="23"/>
      <c r="E822" s="23"/>
      <c r="F822" s="1"/>
      <c r="G822" s="23"/>
      <c r="H822" s="23"/>
      <c r="I822" s="23"/>
      <c r="N822" s="2"/>
      <c r="S822" s="24"/>
    </row>
    <row r="823">
      <c r="A823" s="11"/>
      <c r="B823" s="23"/>
      <c r="C823" s="23"/>
      <c r="D823" s="23"/>
      <c r="E823" s="23"/>
      <c r="F823" s="1"/>
      <c r="G823" s="23"/>
      <c r="H823" s="23"/>
      <c r="I823" s="23"/>
      <c r="N823" s="2"/>
      <c r="S823" s="24"/>
    </row>
    <row r="824">
      <c r="A824" s="11"/>
      <c r="B824" s="23"/>
      <c r="C824" s="23"/>
      <c r="D824" s="23"/>
      <c r="E824" s="23"/>
      <c r="F824" s="1"/>
      <c r="G824" s="23"/>
      <c r="H824" s="23"/>
      <c r="I824" s="23"/>
      <c r="N824" s="2"/>
      <c r="S824" s="24"/>
    </row>
    <row r="825">
      <c r="A825" s="11"/>
      <c r="B825" s="23"/>
      <c r="C825" s="23"/>
      <c r="D825" s="23"/>
      <c r="E825" s="23"/>
      <c r="F825" s="1"/>
      <c r="G825" s="23"/>
      <c r="H825" s="23"/>
      <c r="I825" s="23"/>
      <c r="N825" s="2"/>
      <c r="S825" s="24"/>
    </row>
    <row r="826">
      <c r="A826" s="11"/>
      <c r="B826" s="23"/>
      <c r="C826" s="23"/>
      <c r="D826" s="23"/>
      <c r="E826" s="23"/>
      <c r="F826" s="1"/>
      <c r="G826" s="23"/>
      <c r="H826" s="23"/>
      <c r="I826" s="23"/>
      <c r="N826" s="2"/>
      <c r="S826" s="24"/>
    </row>
    <row r="827">
      <c r="A827" s="11"/>
      <c r="B827" s="23"/>
      <c r="C827" s="23"/>
      <c r="D827" s="23"/>
      <c r="E827" s="23"/>
      <c r="F827" s="1"/>
      <c r="G827" s="23"/>
      <c r="H827" s="23"/>
      <c r="I827" s="23"/>
      <c r="N827" s="2"/>
      <c r="S827" s="24"/>
    </row>
    <row r="828">
      <c r="A828" s="11"/>
      <c r="B828" s="23"/>
      <c r="C828" s="23"/>
      <c r="D828" s="23"/>
      <c r="E828" s="23"/>
      <c r="F828" s="1"/>
      <c r="G828" s="23"/>
      <c r="H828" s="23"/>
      <c r="I828" s="23"/>
      <c r="N828" s="2"/>
      <c r="S828" s="24"/>
    </row>
    <row r="829">
      <c r="A829" s="11"/>
      <c r="B829" s="23"/>
      <c r="C829" s="23"/>
      <c r="D829" s="23"/>
      <c r="E829" s="23"/>
      <c r="F829" s="1"/>
      <c r="G829" s="23"/>
      <c r="H829" s="23"/>
      <c r="I829" s="23"/>
      <c r="N829" s="2"/>
      <c r="S829" s="24"/>
    </row>
    <row r="830">
      <c r="A830" s="11"/>
      <c r="B830" s="23"/>
      <c r="C830" s="23"/>
      <c r="D830" s="23"/>
      <c r="E830" s="23"/>
      <c r="F830" s="1"/>
      <c r="G830" s="23"/>
      <c r="H830" s="23"/>
      <c r="I830" s="23"/>
      <c r="N830" s="2"/>
      <c r="S830" s="24"/>
    </row>
    <row r="831">
      <c r="A831" s="11"/>
      <c r="B831" s="23"/>
      <c r="C831" s="23"/>
      <c r="D831" s="23"/>
      <c r="E831" s="23"/>
      <c r="F831" s="1"/>
      <c r="G831" s="23"/>
      <c r="H831" s="23"/>
      <c r="I831" s="23"/>
      <c r="N831" s="2"/>
      <c r="S831" s="24"/>
    </row>
    <row r="832">
      <c r="A832" s="11"/>
      <c r="B832" s="23"/>
      <c r="C832" s="23"/>
      <c r="D832" s="23"/>
      <c r="E832" s="23"/>
      <c r="F832" s="1"/>
      <c r="G832" s="23"/>
      <c r="H832" s="23"/>
      <c r="I832" s="23"/>
      <c r="N832" s="2"/>
      <c r="S832" s="24"/>
    </row>
    <row r="833">
      <c r="A833" s="11"/>
      <c r="B833" s="23"/>
      <c r="C833" s="23"/>
      <c r="D833" s="23"/>
      <c r="E833" s="23"/>
      <c r="F833" s="1"/>
      <c r="G833" s="23"/>
      <c r="H833" s="23"/>
      <c r="I833" s="23"/>
      <c r="N833" s="2"/>
      <c r="S833" s="24"/>
    </row>
    <row r="834">
      <c r="A834" s="11"/>
      <c r="B834" s="23"/>
      <c r="C834" s="23"/>
      <c r="D834" s="23"/>
      <c r="E834" s="23"/>
      <c r="F834" s="1"/>
      <c r="G834" s="23"/>
      <c r="H834" s="23"/>
      <c r="I834" s="23"/>
      <c r="N834" s="2"/>
      <c r="S834" s="24"/>
    </row>
    <row r="835">
      <c r="A835" s="11"/>
      <c r="B835" s="23"/>
      <c r="C835" s="23"/>
      <c r="D835" s="23"/>
      <c r="E835" s="23"/>
      <c r="F835" s="1"/>
      <c r="G835" s="23"/>
      <c r="H835" s="23"/>
      <c r="I835" s="23"/>
      <c r="N835" s="2"/>
      <c r="S835" s="24"/>
    </row>
    <row r="836">
      <c r="A836" s="11"/>
      <c r="B836" s="23"/>
      <c r="C836" s="23"/>
      <c r="D836" s="23"/>
      <c r="E836" s="23"/>
      <c r="F836" s="1"/>
      <c r="G836" s="23"/>
      <c r="H836" s="23"/>
      <c r="I836" s="23"/>
      <c r="N836" s="2"/>
      <c r="S836" s="24"/>
    </row>
    <row r="837">
      <c r="A837" s="11"/>
      <c r="B837" s="23"/>
      <c r="C837" s="23"/>
      <c r="D837" s="23"/>
      <c r="E837" s="23"/>
      <c r="F837" s="1"/>
      <c r="G837" s="23"/>
      <c r="H837" s="23"/>
      <c r="I837" s="23"/>
      <c r="N837" s="2"/>
      <c r="S837" s="24"/>
    </row>
    <row r="838">
      <c r="A838" s="11"/>
      <c r="B838" s="23"/>
      <c r="C838" s="23"/>
      <c r="D838" s="23"/>
      <c r="E838" s="23"/>
      <c r="F838" s="1"/>
      <c r="G838" s="23"/>
      <c r="H838" s="23"/>
      <c r="I838" s="23"/>
      <c r="N838" s="2"/>
      <c r="S838" s="24"/>
    </row>
    <row r="839">
      <c r="A839" s="11"/>
      <c r="B839" s="23"/>
      <c r="C839" s="23"/>
      <c r="D839" s="23"/>
      <c r="E839" s="23"/>
      <c r="F839" s="1"/>
      <c r="G839" s="23"/>
      <c r="H839" s="23"/>
      <c r="I839" s="23"/>
      <c r="N839" s="2"/>
      <c r="S839" s="24"/>
    </row>
    <row r="840">
      <c r="A840" s="11"/>
      <c r="B840" s="23"/>
      <c r="C840" s="23"/>
      <c r="D840" s="23"/>
      <c r="E840" s="23"/>
      <c r="F840" s="1"/>
      <c r="G840" s="23"/>
      <c r="H840" s="23"/>
      <c r="I840" s="23"/>
      <c r="N840" s="2"/>
      <c r="S840" s="24"/>
    </row>
    <row r="841">
      <c r="A841" s="11"/>
      <c r="B841" s="23"/>
      <c r="C841" s="23"/>
      <c r="D841" s="23"/>
      <c r="E841" s="23"/>
      <c r="F841" s="1"/>
      <c r="G841" s="23"/>
      <c r="H841" s="23"/>
      <c r="I841" s="23"/>
      <c r="N841" s="2"/>
      <c r="S841" s="24"/>
    </row>
    <row r="842">
      <c r="A842" s="11"/>
      <c r="B842" s="23"/>
      <c r="C842" s="23"/>
      <c r="D842" s="23"/>
      <c r="E842" s="23"/>
      <c r="F842" s="1"/>
      <c r="G842" s="23"/>
      <c r="H842" s="23"/>
      <c r="I842" s="23"/>
      <c r="N842" s="2"/>
      <c r="S842" s="24"/>
    </row>
    <row r="843">
      <c r="A843" s="11"/>
      <c r="B843" s="23"/>
      <c r="C843" s="23"/>
      <c r="D843" s="23"/>
      <c r="E843" s="23"/>
      <c r="F843" s="1"/>
      <c r="G843" s="23"/>
      <c r="H843" s="23"/>
      <c r="I843" s="23"/>
      <c r="N843" s="2"/>
      <c r="S843" s="24"/>
    </row>
    <row r="844">
      <c r="A844" s="11"/>
      <c r="B844" s="23"/>
      <c r="C844" s="23"/>
      <c r="D844" s="23"/>
      <c r="E844" s="23"/>
      <c r="F844" s="1"/>
      <c r="G844" s="23"/>
      <c r="H844" s="23"/>
      <c r="I844" s="23"/>
      <c r="N844" s="2"/>
      <c r="S844" s="24"/>
    </row>
    <row r="845">
      <c r="A845" s="11"/>
      <c r="B845" s="23"/>
      <c r="C845" s="23"/>
      <c r="D845" s="23"/>
      <c r="E845" s="23"/>
      <c r="F845" s="1"/>
      <c r="G845" s="23"/>
      <c r="H845" s="23"/>
      <c r="I845" s="23"/>
      <c r="N845" s="2"/>
      <c r="S845" s="24"/>
    </row>
    <row r="846">
      <c r="A846" s="11"/>
      <c r="B846" s="23"/>
      <c r="C846" s="23"/>
      <c r="D846" s="23"/>
      <c r="E846" s="23"/>
      <c r="F846" s="1"/>
      <c r="G846" s="23"/>
      <c r="H846" s="23"/>
      <c r="I846" s="23"/>
      <c r="N846" s="2"/>
      <c r="S846" s="24"/>
    </row>
    <row r="847">
      <c r="A847" s="11"/>
      <c r="B847" s="23"/>
      <c r="C847" s="23"/>
      <c r="D847" s="23"/>
      <c r="E847" s="23"/>
      <c r="F847" s="1"/>
      <c r="G847" s="23"/>
      <c r="H847" s="23"/>
      <c r="I847" s="23"/>
      <c r="N847" s="2"/>
      <c r="S847" s="24"/>
    </row>
    <row r="848">
      <c r="A848" s="11"/>
      <c r="B848" s="23"/>
      <c r="C848" s="23"/>
      <c r="D848" s="23"/>
      <c r="E848" s="23"/>
      <c r="F848" s="1"/>
      <c r="G848" s="23"/>
      <c r="H848" s="23"/>
      <c r="I848" s="23"/>
      <c r="N848" s="2"/>
      <c r="S848" s="24"/>
    </row>
    <row r="849">
      <c r="A849" s="11"/>
      <c r="B849" s="23"/>
      <c r="C849" s="23"/>
      <c r="D849" s="23"/>
      <c r="E849" s="23"/>
      <c r="F849" s="1"/>
      <c r="G849" s="23"/>
      <c r="H849" s="23"/>
      <c r="I849" s="23"/>
      <c r="N849" s="2"/>
      <c r="S849" s="24"/>
    </row>
    <row r="850">
      <c r="A850" s="11"/>
      <c r="B850" s="23"/>
      <c r="C850" s="23"/>
      <c r="D850" s="23"/>
      <c r="E850" s="23"/>
      <c r="F850" s="1"/>
      <c r="G850" s="23"/>
      <c r="H850" s="23"/>
      <c r="I850" s="23"/>
      <c r="N850" s="2"/>
      <c r="S850" s="24"/>
    </row>
    <row r="851">
      <c r="A851" s="11"/>
      <c r="B851" s="23"/>
      <c r="C851" s="23"/>
      <c r="D851" s="23"/>
      <c r="E851" s="23"/>
      <c r="F851" s="1"/>
      <c r="G851" s="23"/>
      <c r="H851" s="23"/>
      <c r="I851" s="23"/>
      <c r="N851" s="2"/>
      <c r="S851" s="24"/>
    </row>
    <row r="852">
      <c r="A852" s="11"/>
      <c r="B852" s="23"/>
      <c r="C852" s="23"/>
      <c r="D852" s="23"/>
      <c r="E852" s="23"/>
      <c r="F852" s="1"/>
      <c r="G852" s="23"/>
      <c r="H852" s="23"/>
      <c r="I852" s="23"/>
      <c r="N852" s="2"/>
      <c r="S852" s="24"/>
    </row>
    <row r="853">
      <c r="A853" s="11"/>
      <c r="B853" s="23"/>
      <c r="C853" s="23"/>
      <c r="D853" s="23"/>
      <c r="E853" s="23"/>
      <c r="F853" s="1"/>
      <c r="G853" s="23"/>
      <c r="H853" s="23"/>
      <c r="I853" s="23"/>
      <c r="N853" s="2"/>
      <c r="S853" s="24"/>
    </row>
    <row r="854">
      <c r="A854" s="11"/>
      <c r="B854" s="23"/>
      <c r="C854" s="23"/>
      <c r="D854" s="23"/>
      <c r="E854" s="23"/>
      <c r="F854" s="1"/>
      <c r="G854" s="23"/>
      <c r="H854" s="23"/>
      <c r="I854" s="23"/>
      <c r="N854" s="2"/>
      <c r="S854" s="24"/>
    </row>
    <row r="855">
      <c r="A855" s="11"/>
      <c r="B855" s="23"/>
      <c r="C855" s="23"/>
      <c r="D855" s="23"/>
      <c r="E855" s="23"/>
      <c r="F855" s="1"/>
      <c r="G855" s="23"/>
      <c r="H855" s="23"/>
      <c r="I855" s="23"/>
      <c r="N855" s="2"/>
      <c r="S855" s="24"/>
    </row>
    <row r="856">
      <c r="A856" s="11"/>
      <c r="B856" s="23"/>
      <c r="C856" s="23"/>
      <c r="D856" s="23"/>
      <c r="E856" s="23"/>
      <c r="F856" s="1"/>
      <c r="G856" s="23"/>
      <c r="H856" s="23"/>
      <c r="I856" s="23"/>
      <c r="N856" s="2"/>
      <c r="S856" s="24"/>
    </row>
    <row r="857">
      <c r="A857" s="11"/>
      <c r="B857" s="23"/>
      <c r="C857" s="23"/>
      <c r="D857" s="23"/>
      <c r="E857" s="23"/>
      <c r="F857" s="1"/>
      <c r="G857" s="23"/>
      <c r="H857" s="23"/>
      <c r="I857" s="23"/>
      <c r="N857" s="2"/>
      <c r="S857" s="24"/>
    </row>
    <row r="858">
      <c r="A858" s="11"/>
      <c r="B858" s="23"/>
      <c r="C858" s="23"/>
      <c r="D858" s="23"/>
      <c r="E858" s="23"/>
      <c r="F858" s="1"/>
      <c r="G858" s="23"/>
      <c r="H858" s="23"/>
      <c r="I858" s="23"/>
      <c r="N858" s="2"/>
      <c r="S858" s="24"/>
    </row>
    <row r="859">
      <c r="A859" s="11"/>
      <c r="B859" s="23"/>
      <c r="C859" s="23"/>
      <c r="D859" s="23"/>
      <c r="E859" s="23"/>
      <c r="F859" s="1"/>
      <c r="G859" s="23"/>
      <c r="H859" s="23"/>
      <c r="I859" s="23"/>
      <c r="N859" s="2"/>
      <c r="S859" s="24"/>
    </row>
    <row r="860">
      <c r="A860" s="11"/>
      <c r="B860" s="23"/>
      <c r="C860" s="23"/>
      <c r="D860" s="23"/>
      <c r="E860" s="23"/>
      <c r="F860" s="1"/>
      <c r="G860" s="23"/>
      <c r="H860" s="23"/>
      <c r="I860" s="23"/>
      <c r="N860" s="2"/>
      <c r="S860" s="24"/>
    </row>
    <row r="861">
      <c r="A861" s="11"/>
      <c r="B861" s="23"/>
      <c r="C861" s="23"/>
      <c r="D861" s="23"/>
      <c r="E861" s="23"/>
      <c r="F861" s="1"/>
      <c r="G861" s="23"/>
      <c r="H861" s="23"/>
      <c r="I861" s="23"/>
      <c r="N861" s="2"/>
      <c r="S861" s="24"/>
    </row>
    <row r="862">
      <c r="A862" s="11"/>
      <c r="B862" s="23"/>
      <c r="C862" s="23"/>
      <c r="D862" s="23"/>
      <c r="E862" s="23"/>
      <c r="F862" s="1"/>
      <c r="G862" s="23"/>
      <c r="H862" s="23"/>
      <c r="I862" s="23"/>
      <c r="N862" s="2"/>
      <c r="S862" s="24"/>
    </row>
    <row r="863">
      <c r="A863" s="11"/>
      <c r="B863" s="23"/>
      <c r="C863" s="23"/>
      <c r="D863" s="23"/>
      <c r="E863" s="23"/>
      <c r="F863" s="1"/>
      <c r="G863" s="23"/>
      <c r="H863" s="23"/>
      <c r="I863" s="23"/>
      <c r="N863" s="2"/>
      <c r="S863" s="24"/>
    </row>
    <row r="864">
      <c r="A864" s="11"/>
      <c r="B864" s="23"/>
      <c r="C864" s="23"/>
      <c r="D864" s="23"/>
      <c r="E864" s="23"/>
      <c r="F864" s="1"/>
      <c r="G864" s="23"/>
      <c r="H864" s="23"/>
      <c r="I864" s="23"/>
      <c r="N864" s="2"/>
      <c r="S864" s="24"/>
    </row>
    <row r="865">
      <c r="A865" s="11"/>
      <c r="B865" s="23"/>
      <c r="C865" s="23"/>
      <c r="D865" s="23"/>
      <c r="E865" s="23"/>
      <c r="F865" s="1"/>
      <c r="G865" s="23"/>
      <c r="H865" s="23"/>
      <c r="I865" s="23"/>
      <c r="N865" s="2"/>
      <c r="S865" s="24"/>
    </row>
    <row r="866">
      <c r="A866" s="11"/>
      <c r="B866" s="23"/>
      <c r="C866" s="23"/>
      <c r="D866" s="23"/>
      <c r="E866" s="23"/>
      <c r="F866" s="1"/>
      <c r="G866" s="23"/>
      <c r="H866" s="23"/>
      <c r="I866" s="23"/>
      <c r="N866" s="2"/>
      <c r="S866" s="24"/>
    </row>
    <row r="867">
      <c r="A867" s="11"/>
      <c r="B867" s="23"/>
      <c r="C867" s="23"/>
      <c r="D867" s="23"/>
      <c r="E867" s="23"/>
      <c r="F867" s="1"/>
      <c r="G867" s="23"/>
      <c r="H867" s="23"/>
      <c r="I867" s="23"/>
      <c r="N867" s="2"/>
      <c r="S867" s="24"/>
    </row>
    <row r="868">
      <c r="A868" s="11"/>
      <c r="B868" s="23"/>
      <c r="C868" s="23"/>
      <c r="D868" s="23"/>
      <c r="E868" s="23"/>
      <c r="F868" s="1"/>
      <c r="G868" s="23"/>
      <c r="H868" s="23"/>
      <c r="I868" s="23"/>
      <c r="N868" s="2"/>
      <c r="S868" s="24"/>
    </row>
    <row r="869">
      <c r="A869" s="11"/>
      <c r="B869" s="23"/>
      <c r="C869" s="23"/>
      <c r="D869" s="23"/>
      <c r="E869" s="23"/>
      <c r="F869" s="1"/>
      <c r="G869" s="23"/>
      <c r="H869" s="23"/>
      <c r="I869" s="23"/>
      <c r="N869" s="2"/>
      <c r="S869" s="24"/>
    </row>
    <row r="870">
      <c r="A870" s="11"/>
      <c r="B870" s="23"/>
      <c r="C870" s="23"/>
      <c r="D870" s="23"/>
      <c r="E870" s="23"/>
      <c r="F870" s="1"/>
      <c r="G870" s="23"/>
      <c r="H870" s="23"/>
      <c r="I870" s="23"/>
      <c r="N870" s="2"/>
      <c r="S870" s="24"/>
    </row>
    <row r="871">
      <c r="A871" s="11"/>
      <c r="B871" s="23"/>
      <c r="C871" s="23"/>
      <c r="D871" s="23"/>
      <c r="E871" s="23"/>
      <c r="F871" s="1"/>
      <c r="G871" s="23"/>
      <c r="H871" s="23"/>
      <c r="I871" s="23"/>
      <c r="N871" s="2"/>
      <c r="S871" s="24"/>
    </row>
    <row r="872">
      <c r="A872" s="11"/>
      <c r="B872" s="23"/>
      <c r="C872" s="23"/>
      <c r="D872" s="23"/>
      <c r="E872" s="23"/>
      <c r="F872" s="1"/>
      <c r="G872" s="23"/>
      <c r="H872" s="23"/>
      <c r="I872" s="23"/>
      <c r="N872" s="2"/>
      <c r="S872" s="24"/>
    </row>
    <row r="873">
      <c r="A873" s="11"/>
      <c r="B873" s="23"/>
      <c r="C873" s="23"/>
      <c r="D873" s="23"/>
      <c r="E873" s="23"/>
      <c r="F873" s="1"/>
      <c r="G873" s="23"/>
      <c r="H873" s="23"/>
      <c r="I873" s="23"/>
      <c r="N873" s="2"/>
      <c r="S873" s="24"/>
    </row>
    <row r="874">
      <c r="A874" s="11"/>
      <c r="B874" s="23"/>
      <c r="C874" s="23"/>
      <c r="D874" s="23"/>
      <c r="E874" s="23"/>
      <c r="F874" s="1"/>
      <c r="G874" s="23"/>
      <c r="H874" s="23"/>
      <c r="I874" s="23"/>
      <c r="N874" s="2"/>
      <c r="S874" s="24"/>
    </row>
    <row r="875">
      <c r="A875" s="11"/>
      <c r="B875" s="23"/>
      <c r="C875" s="23"/>
      <c r="D875" s="23"/>
      <c r="E875" s="23"/>
      <c r="F875" s="1"/>
      <c r="G875" s="23"/>
      <c r="H875" s="23"/>
      <c r="I875" s="23"/>
      <c r="N875" s="2"/>
      <c r="S875" s="24"/>
    </row>
    <row r="876">
      <c r="A876" s="11"/>
      <c r="B876" s="23"/>
      <c r="C876" s="23"/>
      <c r="D876" s="23"/>
      <c r="E876" s="23"/>
      <c r="F876" s="1"/>
      <c r="G876" s="23"/>
      <c r="H876" s="23"/>
      <c r="I876" s="23"/>
      <c r="N876" s="2"/>
      <c r="S876" s="24"/>
    </row>
    <row r="877">
      <c r="A877" s="11"/>
      <c r="B877" s="23"/>
      <c r="C877" s="23"/>
      <c r="D877" s="23"/>
      <c r="E877" s="23"/>
      <c r="F877" s="1"/>
      <c r="G877" s="23"/>
      <c r="H877" s="23"/>
      <c r="I877" s="23"/>
      <c r="N877" s="2"/>
      <c r="S877" s="24"/>
    </row>
    <row r="878">
      <c r="A878" s="11"/>
      <c r="B878" s="23"/>
      <c r="C878" s="23"/>
      <c r="D878" s="23"/>
      <c r="E878" s="23"/>
      <c r="F878" s="1"/>
      <c r="G878" s="23"/>
      <c r="H878" s="23"/>
      <c r="I878" s="23"/>
      <c r="N878" s="2"/>
      <c r="S878" s="24"/>
    </row>
    <row r="879">
      <c r="A879" s="11"/>
      <c r="B879" s="23"/>
      <c r="C879" s="23"/>
      <c r="D879" s="23"/>
      <c r="E879" s="23"/>
      <c r="F879" s="1"/>
      <c r="G879" s="23"/>
      <c r="H879" s="23"/>
      <c r="I879" s="23"/>
      <c r="N879" s="2"/>
      <c r="S879" s="24"/>
    </row>
    <row r="880">
      <c r="A880" s="11"/>
      <c r="B880" s="23"/>
      <c r="C880" s="23"/>
      <c r="D880" s="23"/>
      <c r="E880" s="23"/>
      <c r="F880" s="1"/>
      <c r="G880" s="23"/>
      <c r="H880" s="23"/>
      <c r="I880" s="23"/>
      <c r="N880" s="2"/>
      <c r="S880" s="24"/>
    </row>
    <row r="881">
      <c r="A881" s="11"/>
      <c r="B881" s="23"/>
      <c r="C881" s="23"/>
      <c r="D881" s="23"/>
      <c r="E881" s="23"/>
      <c r="F881" s="1"/>
      <c r="G881" s="23"/>
      <c r="H881" s="23"/>
      <c r="I881" s="23"/>
      <c r="N881" s="2"/>
      <c r="S881" s="24"/>
    </row>
    <row r="882">
      <c r="A882" s="11"/>
      <c r="B882" s="23"/>
      <c r="C882" s="23"/>
      <c r="D882" s="23"/>
      <c r="E882" s="23"/>
      <c r="F882" s="1"/>
      <c r="G882" s="23"/>
      <c r="H882" s="23"/>
      <c r="I882" s="23"/>
      <c r="N882" s="2"/>
      <c r="S882" s="24"/>
    </row>
    <row r="883">
      <c r="A883" s="11"/>
      <c r="B883" s="23"/>
      <c r="C883" s="23"/>
      <c r="D883" s="23"/>
      <c r="E883" s="23"/>
      <c r="F883" s="1"/>
      <c r="G883" s="23"/>
      <c r="H883" s="23"/>
      <c r="I883" s="23"/>
      <c r="N883" s="2"/>
      <c r="S883" s="24"/>
    </row>
    <row r="884">
      <c r="A884" s="11"/>
      <c r="B884" s="23"/>
      <c r="C884" s="23"/>
      <c r="D884" s="23"/>
      <c r="E884" s="23"/>
      <c r="F884" s="1"/>
      <c r="G884" s="23"/>
      <c r="H884" s="23"/>
      <c r="I884" s="23"/>
      <c r="N884" s="2"/>
      <c r="S884" s="24"/>
    </row>
    <row r="885">
      <c r="A885" s="11"/>
      <c r="B885" s="23"/>
      <c r="C885" s="23"/>
      <c r="D885" s="23"/>
      <c r="E885" s="23"/>
      <c r="F885" s="1"/>
      <c r="G885" s="23"/>
      <c r="H885" s="23"/>
      <c r="I885" s="23"/>
      <c r="N885" s="2"/>
      <c r="S885" s="24"/>
    </row>
    <row r="886">
      <c r="A886" s="11"/>
      <c r="B886" s="23"/>
      <c r="C886" s="23"/>
      <c r="D886" s="23"/>
      <c r="E886" s="23"/>
      <c r="F886" s="1"/>
      <c r="G886" s="23"/>
      <c r="H886" s="23"/>
      <c r="I886" s="23"/>
      <c r="N886" s="2"/>
      <c r="S886" s="24"/>
    </row>
    <row r="887">
      <c r="A887" s="11"/>
      <c r="B887" s="23"/>
      <c r="C887" s="23"/>
      <c r="D887" s="23"/>
      <c r="E887" s="23"/>
      <c r="F887" s="1"/>
      <c r="G887" s="23"/>
      <c r="H887" s="23"/>
      <c r="I887" s="23"/>
      <c r="N887" s="2"/>
      <c r="S887" s="24"/>
    </row>
    <row r="888">
      <c r="A888" s="11"/>
      <c r="B888" s="23"/>
      <c r="C888" s="23"/>
      <c r="D888" s="23"/>
      <c r="E888" s="23"/>
      <c r="F888" s="1"/>
      <c r="G888" s="23"/>
      <c r="H888" s="23"/>
      <c r="I888" s="23"/>
      <c r="N888" s="2"/>
      <c r="S888" s="24"/>
    </row>
    <row r="889">
      <c r="A889" s="11"/>
      <c r="B889" s="23"/>
      <c r="C889" s="23"/>
      <c r="D889" s="23"/>
      <c r="E889" s="23"/>
      <c r="F889" s="1"/>
      <c r="G889" s="23"/>
      <c r="H889" s="23"/>
      <c r="I889" s="23"/>
      <c r="N889" s="2"/>
      <c r="S889" s="24"/>
    </row>
    <row r="890">
      <c r="A890" s="11"/>
      <c r="B890" s="23"/>
      <c r="C890" s="23"/>
      <c r="D890" s="23"/>
      <c r="E890" s="23"/>
      <c r="F890" s="1"/>
      <c r="G890" s="23"/>
      <c r="H890" s="23"/>
      <c r="I890" s="23"/>
      <c r="N890" s="2"/>
      <c r="S890" s="24"/>
    </row>
    <row r="891">
      <c r="A891" s="11"/>
      <c r="B891" s="23"/>
      <c r="C891" s="23"/>
      <c r="D891" s="23"/>
      <c r="E891" s="23"/>
      <c r="F891" s="1"/>
      <c r="G891" s="23"/>
      <c r="H891" s="23"/>
      <c r="I891" s="23"/>
      <c r="N891" s="2"/>
      <c r="S891" s="24"/>
    </row>
    <row r="892">
      <c r="A892" s="11"/>
      <c r="B892" s="23"/>
      <c r="C892" s="23"/>
      <c r="D892" s="23"/>
      <c r="E892" s="23"/>
      <c r="F892" s="1"/>
      <c r="G892" s="23"/>
      <c r="H892" s="23"/>
      <c r="I892" s="23"/>
      <c r="N892" s="2"/>
      <c r="S892" s="24"/>
    </row>
    <row r="893">
      <c r="A893" s="11"/>
      <c r="B893" s="23"/>
      <c r="C893" s="23"/>
      <c r="D893" s="23"/>
      <c r="E893" s="23"/>
      <c r="F893" s="1"/>
      <c r="G893" s="23"/>
      <c r="H893" s="23"/>
      <c r="I893" s="23"/>
      <c r="N893" s="2"/>
      <c r="S893" s="24"/>
    </row>
    <row r="894">
      <c r="A894" s="11"/>
      <c r="B894" s="23"/>
      <c r="C894" s="23"/>
      <c r="D894" s="23"/>
      <c r="E894" s="23"/>
      <c r="F894" s="1"/>
      <c r="G894" s="23"/>
      <c r="H894" s="23"/>
      <c r="I894" s="23"/>
      <c r="N894" s="2"/>
      <c r="S894" s="24"/>
    </row>
    <row r="895">
      <c r="A895" s="11"/>
      <c r="B895" s="23"/>
      <c r="C895" s="23"/>
      <c r="D895" s="23"/>
      <c r="E895" s="23"/>
      <c r="F895" s="1"/>
      <c r="G895" s="23"/>
      <c r="H895" s="23"/>
      <c r="I895" s="23"/>
      <c r="N895" s="2"/>
      <c r="S895" s="24"/>
    </row>
    <row r="896">
      <c r="A896" s="11"/>
      <c r="B896" s="23"/>
      <c r="C896" s="23"/>
      <c r="D896" s="23"/>
      <c r="E896" s="23"/>
      <c r="F896" s="1"/>
      <c r="G896" s="23"/>
      <c r="H896" s="23"/>
      <c r="I896" s="23"/>
      <c r="N896" s="2"/>
      <c r="S896" s="24"/>
    </row>
    <row r="897">
      <c r="A897" s="11"/>
      <c r="B897" s="23"/>
      <c r="C897" s="23"/>
      <c r="D897" s="23"/>
      <c r="E897" s="23"/>
      <c r="F897" s="1"/>
      <c r="G897" s="23"/>
      <c r="H897" s="23"/>
      <c r="I897" s="23"/>
      <c r="N897" s="2"/>
      <c r="S897" s="24"/>
    </row>
    <row r="898">
      <c r="A898" s="11"/>
      <c r="B898" s="23"/>
      <c r="C898" s="23"/>
      <c r="D898" s="23"/>
      <c r="E898" s="23"/>
      <c r="F898" s="1"/>
      <c r="G898" s="23"/>
      <c r="H898" s="23"/>
      <c r="I898" s="23"/>
      <c r="N898" s="2"/>
      <c r="S898" s="24"/>
    </row>
    <row r="899">
      <c r="A899" s="11"/>
      <c r="B899" s="23"/>
      <c r="C899" s="23"/>
      <c r="D899" s="23"/>
      <c r="E899" s="23"/>
      <c r="F899" s="1"/>
      <c r="G899" s="23"/>
      <c r="H899" s="23"/>
      <c r="I899" s="23"/>
      <c r="N899" s="2"/>
      <c r="S899" s="24"/>
    </row>
    <row r="900">
      <c r="A900" s="11"/>
      <c r="B900" s="23"/>
      <c r="C900" s="23"/>
      <c r="D900" s="23"/>
      <c r="E900" s="23"/>
      <c r="F900" s="1"/>
      <c r="G900" s="23"/>
      <c r="H900" s="23"/>
      <c r="I900" s="23"/>
      <c r="N900" s="2"/>
      <c r="S900" s="24"/>
    </row>
    <row r="901">
      <c r="A901" s="11"/>
      <c r="B901" s="23"/>
      <c r="C901" s="23"/>
      <c r="D901" s="23"/>
      <c r="E901" s="23"/>
      <c r="F901" s="1"/>
      <c r="G901" s="23"/>
      <c r="H901" s="23"/>
      <c r="I901" s="23"/>
      <c r="N901" s="2"/>
      <c r="S901" s="24"/>
    </row>
    <row r="902">
      <c r="A902" s="11"/>
      <c r="B902" s="23"/>
      <c r="C902" s="23"/>
      <c r="D902" s="23"/>
      <c r="E902" s="23"/>
      <c r="F902" s="1"/>
      <c r="G902" s="23"/>
      <c r="H902" s="23"/>
      <c r="I902" s="23"/>
      <c r="N902" s="2"/>
      <c r="S902" s="24"/>
    </row>
    <row r="903">
      <c r="A903" s="11"/>
      <c r="B903" s="23"/>
      <c r="C903" s="23"/>
      <c r="D903" s="23"/>
      <c r="E903" s="23"/>
      <c r="F903" s="1"/>
      <c r="G903" s="23"/>
      <c r="H903" s="23"/>
      <c r="I903" s="23"/>
      <c r="N903" s="2"/>
      <c r="S903" s="24"/>
    </row>
    <row r="904">
      <c r="A904" s="11"/>
      <c r="B904" s="23"/>
      <c r="C904" s="23"/>
      <c r="D904" s="23"/>
      <c r="E904" s="23"/>
      <c r="F904" s="1"/>
      <c r="G904" s="23"/>
      <c r="H904" s="23"/>
      <c r="I904" s="23"/>
      <c r="N904" s="2"/>
      <c r="S904" s="24"/>
    </row>
    <row r="905">
      <c r="A905" s="11"/>
      <c r="B905" s="23"/>
      <c r="C905" s="23"/>
      <c r="D905" s="23"/>
      <c r="E905" s="23"/>
      <c r="F905" s="1"/>
      <c r="G905" s="23"/>
      <c r="H905" s="23"/>
      <c r="I905" s="23"/>
      <c r="N905" s="2"/>
      <c r="S905" s="24"/>
    </row>
    <row r="906">
      <c r="A906" s="11"/>
      <c r="B906" s="23"/>
      <c r="C906" s="23"/>
      <c r="D906" s="23"/>
      <c r="E906" s="23"/>
      <c r="F906" s="1"/>
      <c r="G906" s="23"/>
      <c r="H906" s="23"/>
      <c r="I906" s="23"/>
      <c r="N906" s="2"/>
      <c r="S906" s="24"/>
    </row>
    <row r="907">
      <c r="A907" s="11"/>
      <c r="B907" s="23"/>
      <c r="C907" s="23"/>
      <c r="D907" s="23"/>
      <c r="E907" s="23"/>
      <c r="F907" s="1"/>
      <c r="G907" s="23"/>
      <c r="H907" s="23"/>
      <c r="I907" s="23"/>
      <c r="N907" s="2"/>
      <c r="S907" s="24"/>
    </row>
    <row r="908">
      <c r="A908" s="11"/>
      <c r="B908" s="23"/>
      <c r="C908" s="23"/>
      <c r="D908" s="23"/>
      <c r="E908" s="23"/>
      <c r="F908" s="1"/>
      <c r="G908" s="23"/>
      <c r="H908" s="23"/>
      <c r="I908" s="23"/>
      <c r="N908" s="2"/>
      <c r="S908" s="24"/>
    </row>
    <row r="909">
      <c r="A909" s="11"/>
      <c r="B909" s="23"/>
      <c r="C909" s="23"/>
      <c r="D909" s="23"/>
      <c r="E909" s="23"/>
      <c r="F909" s="1"/>
      <c r="G909" s="23"/>
      <c r="H909" s="23"/>
      <c r="I909" s="23"/>
      <c r="N909" s="2"/>
      <c r="S909" s="24"/>
    </row>
    <row r="910">
      <c r="A910" s="11"/>
      <c r="B910" s="23"/>
      <c r="C910" s="23"/>
      <c r="D910" s="23"/>
      <c r="E910" s="23"/>
      <c r="F910" s="1"/>
      <c r="G910" s="23"/>
      <c r="H910" s="23"/>
      <c r="I910" s="23"/>
      <c r="N910" s="2"/>
      <c r="S910" s="24"/>
    </row>
    <row r="911">
      <c r="A911" s="11"/>
      <c r="B911" s="23"/>
      <c r="C911" s="23"/>
      <c r="D911" s="23"/>
      <c r="E911" s="23"/>
      <c r="F911" s="1"/>
      <c r="G911" s="23"/>
      <c r="H911" s="23"/>
      <c r="I911" s="23"/>
      <c r="N911" s="2"/>
      <c r="S911" s="24"/>
    </row>
    <row r="912">
      <c r="A912" s="11"/>
      <c r="B912" s="23"/>
      <c r="C912" s="23"/>
      <c r="D912" s="23"/>
      <c r="E912" s="23"/>
      <c r="F912" s="1"/>
      <c r="G912" s="23"/>
      <c r="H912" s="23"/>
      <c r="I912" s="23"/>
      <c r="N912" s="2"/>
      <c r="S912" s="24"/>
    </row>
    <row r="913">
      <c r="A913" s="11"/>
      <c r="B913" s="23"/>
      <c r="C913" s="23"/>
      <c r="D913" s="23"/>
      <c r="E913" s="23"/>
      <c r="F913" s="1"/>
      <c r="G913" s="23"/>
      <c r="H913" s="23"/>
      <c r="I913" s="23"/>
      <c r="N913" s="2"/>
      <c r="S913" s="24"/>
    </row>
    <row r="914">
      <c r="A914" s="11"/>
      <c r="B914" s="23"/>
      <c r="C914" s="23"/>
      <c r="D914" s="23"/>
      <c r="E914" s="23"/>
      <c r="F914" s="1"/>
      <c r="G914" s="23"/>
      <c r="H914" s="23"/>
      <c r="I914" s="23"/>
      <c r="N914" s="2"/>
      <c r="S914" s="24"/>
    </row>
    <row r="915">
      <c r="A915" s="11"/>
      <c r="B915" s="23"/>
      <c r="C915" s="23"/>
      <c r="D915" s="23"/>
      <c r="E915" s="23"/>
      <c r="F915" s="1"/>
      <c r="G915" s="23"/>
      <c r="H915" s="23"/>
      <c r="I915" s="23"/>
      <c r="N915" s="2"/>
      <c r="S915" s="24"/>
    </row>
    <row r="916">
      <c r="A916" s="11"/>
      <c r="B916" s="23"/>
      <c r="C916" s="23"/>
      <c r="D916" s="23"/>
      <c r="E916" s="23"/>
      <c r="F916" s="1"/>
      <c r="G916" s="23"/>
      <c r="H916" s="23"/>
      <c r="I916" s="23"/>
      <c r="N916" s="2"/>
      <c r="S916" s="24"/>
    </row>
    <row r="917">
      <c r="A917" s="11"/>
      <c r="B917" s="23"/>
      <c r="C917" s="23"/>
      <c r="D917" s="23"/>
      <c r="E917" s="23"/>
      <c r="F917" s="1"/>
      <c r="G917" s="23"/>
      <c r="H917" s="23"/>
      <c r="I917" s="23"/>
      <c r="N917" s="2"/>
      <c r="S917" s="24"/>
    </row>
    <row r="918">
      <c r="A918" s="11"/>
      <c r="B918" s="23"/>
      <c r="C918" s="23"/>
      <c r="D918" s="23"/>
      <c r="E918" s="23"/>
      <c r="F918" s="1"/>
      <c r="G918" s="23"/>
      <c r="H918" s="23"/>
      <c r="I918" s="23"/>
      <c r="N918" s="2"/>
      <c r="S918" s="24"/>
    </row>
    <row r="919">
      <c r="A919" s="11"/>
      <c r="B919" s="23"/>
      <c r="C919" s="23"/>
      <c r="D919" s="23"/>
      <c r="E919" s="23"/>
      <c r="F919" s="1"/>
      <c r="G919" s="23"/>
      <c r="H919" s="23"/>
      <c r="I919" s="23"/>
      <c r="N919" s="2"/>
      <c r="S919" s="24"/>
    </row>
    <row r="920">
      <c r="A920" s="11"/>
      <c r="B920" s="23"/>
      <c r="C920" s="23"/>
      <c r="D920" s="23"/>
      <c r="E920" s="23"/>
      <c r="F920" s="1"/>
      <c r="G920" s="23"/>
      <c r="H920" s="23"/>
      <c r="I920" s="23"/>
      <c r="N920" s="2"/>
      <c r="S920" s="24"/>
    </row>
    <row r="921">
      <c r="A921" s="11"/>
      <c r="B921" s="23"/>
      <c r="C921" s="23"/>
      <c r="D921" s="23"/>
      <c r="E921" s="23"/>
      <c r="F921" s="1"/>
      <c r="G921" s="23"/>
      <c r="H921" s="23"/>
      <c r="I921" s="23"/>
      <c r="N921" s="2"/>
      <c r="S921" s="24"/>
    </row>
    <row r="922">
      <c r="A922" s="11"/>
      <c r="B922" s="23"/>
      <c r="C922" s="23"/>
      <c r="D922" s="23"/>
      <c r="E922" s="23"/>
      <c r="F922" s="1"/>
      <c r="G922" s="23"/>
      <c r="H922" s="23"/>
      <c r="I922" s="23"/>
      <c r="N922" s="2"/>
      <c r="S922" s="24"/>
    </row>
    <row r="923">
      <c r="A923" s="11"/>
      <c r="B923" s="23"/>
      <c r="C923" s="23"/>
      <c r="D923" s="23"/>
      <c r="E923" s="23"/>
      <c r="F923" s="1"/>
      <c r="G923" s="23"/>
      <c r="H923" s="23"/>
      <c r="I923" s="23"/>
      <c r="N923" s="2"/>
      <c r="S923" s="24"/>
    </row>
    <row r="924">
      <c r="A924" s="11"/>
      <c r="B924" s="23"/>
      <c r="C924" s="23"/>
      <c r="D924" s="23"/>
      <c r="E924" s="23"/>
      <c r="F924" s="1"/>
      <c r="G924" s="23"/>
      <c r="H924" s="23"/>
      <c r="I924" s="23"/>
      <c r="N924" s="2"/>
      <c r="S924" s="24"/>
    </row>
    <row r="925">
      <c r="A925" s="11"/>
      <c r="B925" s="23"/>
      <c r="C925" s="23"/>
      <c r="D925" s="23"/>
      <c r="E925" s="23"/>
      <c r="F925" s="1"/>
      <c r="G925" s="23"/>
      <c r="H925" s="23"/>
      <c r="I925" s="23"/>
      <c r="N925" s="2"/>
      <c r="S925" s="24"/>
    </row>
    <row r="926">
      <c r="A926" s="11"/>
      <c r="B926" s="23"/>
      <c r="C926" s="23"/>
      <c r="D926" s="23"/>
      <c r="E926" s="23"/>
      <c r="F926" s="1"/>
      <c r="G926" s="23"/>
      <c r="H926" s="23"/>
      <c r="I926" s="23"/>
      <c r="N926" s="2"/>
      <c r="S926" s="24"/>
    </row>
    <row r="927">
      <c r="A927" s="11"/>
      <c r="B927" s="23"/>
      <c r="C927" s="23"/>
      <c r="D927" s="23"/>
      <c r="E927" s="23"/>
      <c r="F927" s="1"/>
      <c r="G927" s="23"/>
      <c r="H927" s="23"/>
      <c r="I927" s="23"/>
      <c r="N927" s="2"/>
      <c r="S927" s="24"/>
    </row>
    <row r="928">
      <c r="A928" s="11"/>
      <c r="B928" s="23"/>
      <c r="C928" s="23"/>
      <c r="D928" s="23"/>
      <c r="E928" s="23"/>
      <c r="F928" s="1"/>
      <c r="G928" s="23"/>
      <c r="H928" s="23"/>
      <c r="I928" s="23"/>
      <c r="N928" s="2"/>
      <c r="S928" s="24"/>
    </row>
    <row r="929">
      <c r="A929" s="11"/>
      <c r="B929" s="23"/>
      <c r="C929" s="23"/>
      <c r="D929" s="23"/>
      <c r="E929" s="23"/>
      <c r="F929" s="1"/>
      <c r="G929" s="23"/>
      <c r="H929" s="23"/>
      <c r="I929" s="23"/>
      <c r="N929" s="2"/>
      <c r="S929" s="24"/>
    </row>
    <row r="930">
      <c r="A930" s="11"/>
      <c r="B930" s="23"/>
      <c r="C930" s="23"/>
      <c r="D930" s="23"/>
      <c r="E930" s="23"/>
      <c r="F930" s="1"/>
      <c r="G930" s="23"/>
      <c r="H930" s="23"/>
      <c r="I930" s="23"/>
      <c r="N930" s="2"/>
      <c r="S930" s="24"/>
    </row>
    <row r="931">
      <c r="A931" s="11"/>
      <c r="B931" s="23"/>
      <c r="C931" s="23"/>
      <c r="D931" s="23"/>
      <c r="E931" s="23"/>
      <c r="F931" s="1"/>
      <c r="G931" s="23"/>
      <c r="H931" s="23"/>
      <c r="I931" s="23"/>
      <c r="N931" s="2"/>
      <c r="S931" s="24"/>
    </row>
    <row r="932">
      <c r="A932" s="11"/>
      <c r="B932" s="23"/>
      <c r="C932" s="23"/>
      <c r="D932" s="23"/>
      <c r="E932" s="23"/>
      <c r="F932" s="1"/>
      <c r="G932" s="23"/>
      <c r="H932" s="23"/>
      <c r="I932" s="23"/>
      <c r="N932" s="2"/>
      <c r="S932" s="24"/>
    </row>
    <row r="933">
      <c r="A933" s="11"/>
      <c r="B933" s="23"/>
      <c r="C933" s="23"/>
      <c r="D933" s="23"/>
      <c r="E933" s="23"/>
      <c r="F933" s="1"/>
      <c r="G933" s="23"/>
      <c r="H933" s="23"/>
      <c r="I933" s="23"/>
      <c r="N933" s="2"/>
      <c r="S933" s="24"/>
    </row>
    <row r="934">
      <c r="A934" s="11"/>
      <c r="B934" s="23"/>
      <c r="C934" s="23"/>
      <c r="D934" s="23"/>
      <c r="E934" s="23"/>
      <c r="F934" s="1"/>
      <c r="G934" s="23"/>
      <c r="H934" s="23"/>
      <c r="I934" s="23"/>
      <c r="N934" s="2"/>
      <c r="S934" s="24"/>
    </row>
    <row r="935">
      <c r="A935" s="11"/>
      <c r="B935" s="23"/>
      <c r="C935" s="23"/>
      <c r="D935" s="23"/>
      <c r="E935" s="23"/>
      <c r="F935" s="1"/>
      <c r="G935" s="23"/>
      <c r="H935" s="23"/>
      <c r="I935" s="23"/>
      <c r="N935" s="2"/>
      <c r="S935" s="24"/>
    </row>
    <row r="936">
      <c r="A936" s="11"/>
      <c r="B936" s="23"/>
      <c r="C936" s="23"/>
      <c r="D936" s="23"/>
      <c r="E936" s="23"/>
      <c r="F936" s="1"/>
      <c r="G936" s="23"/>
      <c r="H936" s="23"/>
      <c r="I936" s="23"/>
      <c r="N936" s="2"/>
      <c r="S936" s="24"/>
    </row>
    <row r="937">
      <c r="A937" s="11"/>
      <c r="B937" s="23"/>
      <c r="C937" s="23"/>
      <c r="D937" s="23"/>
      <c r="E937" s="23"/>
      <c r="F937" s="1"/>
      <c r="G937" s="23"/>
      <c r="H937" s="23"/>
      <c r="I937" s="23"/>
      <c r="N937" s="2"/>
      <c r="S937" s="24"/>
    </row>
    <row r="938">
      <c r="A938" s="11"/>
      <c r="B938" s="23"/>
      <c r="C938" s="23"/>
      <c r="D938" s="23"/>
      <c r="E938" s="23"/>
      <c r="F938" s="1"/>
      <c r="G938" s="23"/>
      <c r="H938" s="23"/>
      <c r="I938" s="23"/>
      <c r="N938" s="2"/>
      <c r="S938" s="24"/>
    </row>
    <row r="939">
      <c r="A939" s="11"/>
      <c r="B939" s="23"/>
      <c r="C939" s="23"/>
      <c r="D939" s="23"/>
      <c r="E939" s="23"/>
      <c r="F939" s="1"/>
      <c r="G939" s="23"/>
      <c r="H939" s="23"/>
      <c r="I939" s="23"/>
      <c r="N939" s="2"/>
      <c r="S939" s="24"/>
    </row>
    <row r="940">
      <c r="A940" s="11"/>
      <c r="B940" s="23"/>
      <c r="C940" s="23"/>
      <c r="D940" s="23"/>
      <c r="E940" s="23"/>
      <c r="F940" s="1"/>
      <c r="G940" s="23"/>
      <c r="H940" s="23"/>
      <c r="I940" s="23"/>
      <c r="N940" s="2"/>
      <c r="S940" s="24"/>
    </row>
    <row r="941">
      <c r="A941" s="11"/>
      <c r="B941" s="23"/>
      <c r="C941" s="23"/>
      <c r="D941" s="23"/>
      <c r="E941" s="23"/>
      <c r="F941" s="1"/>
      <c r="G941" s="23"/>
      <c r="H941" s="23"/>
      <c r="I941" s="23"/>
      <c r="N941" s="2"/>
      <c r="S941" s="24"/>
    </row>
    <row r="942">
      <c r="A942" s="11"/>
      <c r="B942" s="23"/>
      <c r="C942" s="23"/>
      <c r="D942" s="23"/>
      <c r="E942" s="23"/>
      <c r="F942" s="1"/>
      <c r="G942" s="23"/>
      <c r="H942" s="23"/>
      <c r="I942" s="23"/>
      <c r="N942" s="2"/>
      <c r="S942" s="24"/>
    </row>
    <row r="943">
      <c r="A943" s="11"/>
      <c r="B943" s="23"/>
      <c r="C943" s="23"/>
      <c r="D943" s="23"/>
      <c r="E943" s="23"/>
      <c r="F943" s="1"/>
      <c r="G943" s="23"/>
      <c r="H943" s="23"/>
      <c r="I943" s="23"/>
      <c r="N943" s="2"/>
      <c r="S943" s="24"/>
    </row>
    <row r="944">
      <c r="A944" s="11"/>
      <c r="B944" s="23"/>
      <c r="C944" s="23"/>
      <c r="D944" s="23"/>
      <c r="E944" s="23"/>
      <c r="F944" s="1"/>
      <c r="G944" s="23"/>
      <c r="H944" s="23"/>
      <c r="I944" s="23"/>
      <c r="N944" s="2"/>
      <c r="S944" s="24"/>
    </row>
    <row r="945">
      <c r="A945" s="11"/>
      <c r="B945" s="23"/>
      <c r="C945" s="23"/>
      <c r="D945" s="23"/>
      <c r="E945" s="23"/>
      <c r="F945" s="1"/>
      <c r="G945" s="23"/>
      <c r="H945" s="23"/>
      <c r="I945" s="23"/>
      <c r="N945" s="2"/>
      <c r="S945" s="24"/>
    </row>
    <row r="946">
      <c r="A946" s="11"/>
      <c r="B946" s="23"/>
      <c r="C946" s="23"/>
      <c r="D946" s="23"/>
      <c r="E946" s="23"/>
      <c r="F946" s="1"/>
      <c r="G946" s="23"/>
      <c r="H946" s="23"/>
      <c r="I946" s="23"/>
      <c r="N946" s="2"/>
      <c r="S946" s="24"/>
    </row>
    <row r="947">
      <c r="A947" s="11"/>
      <c r="B947" s="23"/>
      <c r="C947" s="23"/>
      <c r="D947" s="23"/>
      <c r="E947" s="23"/>
      <c r="F947" s="1"/>
      <c r="G947" s="23"/>
      <c r="H947" s="23"/>
      <c r="I947" s="23"/>
      <c r="N947" s="2"/>
      <c r="S947" s="24"/>
    </row>
    <row r="948">
      <c r="A948" s="11"/>
      <c r="B948" s="23"/>
      <c r="C948" s="23"/>
      <c r="D948" s="23"/>
      <c r="E948" s="23"/>
      <c r="F948" s="1"/>
      <c r="G948" s="23"/>
      <c r="H948" s="23"/>
      <c r="I948" s="23"/>
      <c r="N948" s="2"/>
      <c r="S948" s="24"/>
    </row>
    <row r="949">
      <c r="A949" s="11"/>
      <c r="B949" s="23"/>
      <c r="C949" s="23"/>
      <c r="D949" s="23"/>
      <c r="E949" s="23"/>
      <c r="F949" s="1"/>
      <c r="G949" s="23"/>
      <c r="H949" s="23"/>
      <c r="I949" s="23"/>
      <c r="N949" s="2"/>
      <c r="S949" s="24"/>
    </row>
    <row r="950">
      <c r="A950" s="11"/>
      <c r="B950" s="23"/>
      <c r="C950" s="23"/>
      <c r="D950" s="23"/>
      <c r="E950" s="23"/>
      <c r="F950" s="1"/>
      <c r="G950" s="23"/>
      <c r="H950" s="23"/>
      <c r="I950" s="23"/>
      <c r="N950" s="2"/>
      <c r="S950" s="24"/>
    </row>
    <row r="951">
      <c r="A951" s="11"/>
      <c r="B951" s="23"/>
      <c r="C951" s="23"/>
      <c r="D951" s="23"/>
      <c r="E951" s="23"/>
      <c r="F951" s="1"/>
      <c r="G951" s="23"/>
      <c r="H951" s="23"/>
      <c r="I951" s="23"/>
      <c r="N951" s="2"/>
      <c r="S951" s="24"/>
    </row>
    <row r="952">
      <c r="A952" s="11"/>
      <c r="B952" s="23"/>
      <c r="C952" s="23"/>
      <c r="D952" s="23"/>
      <c r="E952" s="23"/>
      <c r="F952" s="1"/>
      <c r="G952" s="23"/>
      <c r="H952" s="23"/>
      <c r="I952" s="23"/>
      <c r="N952" s="2"/>
      <c r="S952" s="24"/>
    </row>
    <row r="953">
      <c r="A953" s="11"/>
      <c r="B953" s="23"/>
      <c r="C953" s="23"/>
      <c r="D953" s="23"/>
      <c r="E953" s="23"/>
      <c r="F953" s="1"/>
      <c r="G953" s="23"/>
      <c r="H953" s="23"/>
      <c r="I953" s="23"/>
      <c r="N953" s="2"/>
      <c r="S953" s="24"/>
    </row>
    <row r="954">
      <c r="A954" s="11"/>
      <c r="B954" s="23"/>
      <c r="C954" s="23"/>
      <c r="D954" s="23"/>
      <c r="E954" s="23"/>
      <c r="F954" s="1"/>
      <c r="G954" s="23"/>
      <c r="H954" s="23"/>
      <c r="I954" s="23"/>
      <c r="N954" s="2"/>
      <c r="S954" s="24"/>
    </row>
    <row r="955">
      <c r="A955" s="11"/>
      <c r="B955" s="23"/>
      <c r="C955" s="23"/>
      <c r="D955" s="23"/>
      <c r="E955" s="23"/>
      <c r="F955" s="1"/>
      <c r="G955" s="23"/>
      <c r="H955" s="23"/>
      <c r="I955" s="23"/>
      <c r="N955" s="2"/>
      <c r="S955" s="24"/>
    </row>
    <row r="956">
      <c r="A956" s="11"/>
      <c r="B956" s="23"/>
      <c r="C956" s="23"/>
      <c r="D956" s="23"/>
      <c r="E956" s="23"/>
      <c r="F956" s="1"/>
      <c r="G956" s="23"/>
      <c r="H956" s="23"/>
      <c r="I956" s="23"/>
      <c r="N956" s="2"/>
      <c r="S956" s="24"/>
    </row>
    <row r="957">
      <c r="A957" s="11"/>
      <c r="B957" s="23"/>
      <c r="C957" s="23"/>
      <c r="D957" s="23"/>
      <c r="E957" s="23"/>
      <c r="F957" s="1"/>
      <c r="G957" s="23"/>
      <c r="H957" s="23"/>
      <c r="I957" s="23"/>
      <c r="N957" s="2"/>
      <c r="S957" s="24"/>
    </row>
    <row r="958">
      <c r="A958" s="11"/>
      <c r="B958" s="23"/>
      <c r="C958" s="23"/>
      <c r="D958" s="23"/>
      <c r="E958" s="23"/>
      <c r="F958" s="1"/>
      <c r="G958" s="23"/>
      <c r="H958" s="23"/>
      <c r="I958" s="23"/>
      <c r="N958" s="2"/>
      <c r="S958" s="24"/>
    </row>
    <row r="959">
      <c r="A959" s="11"/>
      <c r="B959" s="23"/>
      <c r="C959" s="23"/>
      <c r="D959" s="23"/>
      <c r="E959" s="23"/>
      <c r="F959" s="1"/>
      <c r="G959" s="23"/>
      <c r="H959" s="23"/>
      <c r="I959" s="23"/>
      <c r="N959" s="2"/>
      <c r="S959" s="24"/>
    </row>
    <row r="960">
      <c r="A960" s="11"/>
      <c r="B960" s="23"/>
      <c r="C960" s="23"/>
      <c r="D960" s="23"/>
      <c r="E960" s="23"/>
      <c r="F960" s="1"/>
      <c r="G960" s="23"/>
      <c r="H960" s="23"/>
      <c r="I960" s="23"/>
      <c r="N960" s="2"/>
      <c r="S960" s="24"/>
    </row>
    <row r="961">
      <c r="A961" s="11"/>
      <c r="B961" s="23"/>
      <c r="C961" s="23"/>
      <c r="D961" s="23"/>
      <c r="E961" s="23"/>
      <c r="F961" s="1"/>
      <c r="G961" s="23"/>
      <c r="H961" s="23"/>
      <c r="I961" s="23"/>
      <c r="N961" s="2"/>
      <c r="S961" s="24"/>
    </row>
    <row r="962">
      <c r="A962" s="11"/>
      <c r="B962" s="23"/>
      <c r="C962" s="23"/>
      <c r="D962" s="23"/>
      <c r="E962" s="23"/>
      <c r="F962" s="1"/>
      <c r="G962" s="23"/>
      <c r="H962" s="23"/>
      <c r="I962" s="23"/>
      <c r="N962" s="2"/>
      <c r="S962" s="24"/>
    </row>
    <row r="963">
      <c r="A963" s="11"/>
      <c r="B963" s="23"/>
      <c r="C963" s="23"/>
      <c r="D963" s="23"/>
      <c r="E963" s="23"/>
      <c r="F963" s="1"/>
      <c r="G963" s="23"/>
      <c r="H963" s="23"/>
      <c r="I963" s="23"/>
      <c r="N963" s="2"/>
      <c r="S963" s="24"/>
    </row>
    <row r="964">
      <c r="A964" s="11"/>
      <c r="B964" s="23"/>
      <c r="C964" s="23"/>
      <c r="D964" s="23"/>
      <c r="E964" s="23"/>
      <c r="F964" s="1"/>
      <c r="G964" s="23"/>
      <c r="H964" s="23"/>
      <c r="I964" s="23"/>
      <c r="N964" s="2"/>
      <c r="S964" s="24"/>
    </row>
    <row r="965">
      <c r="A965" s="11"/>
      <c r="B965" s="23"/>
      <c r="C965" s="23"/>
      <c r="D965" s="23"/>
      <c r="E965" s="23"/>
      <c r="F965" s="1"/>
      <c r="G965" s="23"/>
      <c r="H965" s="23"/>
      <c r="I965" s="23"/>
      <c r="N965" s="2"/>
      <c r="S965" s="24"/>
    </row>
    <row r="966">
      <c r="A966" s="11"/>
      <c r="B966" s="23"/>
      <c r="C966" s="23"/>
      <c r="D966" s="23"/>
      <c r="E966" s="23"/>
      <c r="F966" s="1"/>
      <c r="G966" s="23"/>
      <c r="H966" s="23"/>
      <c r="I966" s="23"/>
      <c r="N966" s="2"/>
      <c r="S966" s="24"/>
    </row>
    <row r="967">
      <c r="A967" s="11"/>
      <c r="B967" s="23"/>
      <c r="C967" s="23"/>
      <c r="D967" s="23"/>
      <c r="E967" s="23"/>
      <c r="F967" s="1"/>
      <c r="G967" s="23"/>
      <c r="H967" s="23"/>
      <c r="I967" s="23"/>
      <c r="N967" s="2"/>
      <c r="S967" s="24"/>
    </row>
    <row r="968">
      <c r="A968" s="11"/>
      <c r="B968" s="23"/>
      <c r="C968" s="23"/>
      <c r="D968" s="23"/>
      <c r="E968" s="23"/>
      <c r="F968" s="1"/>
      <c r="G968" s="23"/>
      <c r="H968" s="23"/>
      <c r="I968" s="23"/>
      <c r="N968" s="2"/>
      <c r="S968" s="24"/>
    </row>
    <row r="969">
      <c r="A969" s="11"/>
      <c r="B969" s="23"/>
      <c r="C969" s="23"/>
      <c r="D969" s="23"/>
      <c r="E969" s="23"/>
      <c r="F969" s="1"/>
      <c r="G969" s="23"/>
      <c r="H969" s="23"/>
      <c r="I969" s="23"/>
      <c r="N969" s="2"/>
      <c r="S969" s="24"/>
    </row>
    <row r="970">
      <c r="A970" s="11"/>
      <c r="B970" s="23"/>
      <c r="C970" s="23"/>
      <c r="D970" s="23"/>
      <c r="E970" s="23"/>
      <c r="F970" s="1"/>
      <c r="G970" s="23"/>
      <c r="H970" s="23"/>
      <c r="I970" s="23"/>
      <c r="N970" s="2"/>
      <c r="S970" s="24"/>
    </row>
    <row r="971">
      <c r="A971" s="11"/>
      <c r="B971" s="23"/>
      <c r="C971" s="23"/>
      <c r="D971" s="23"/>
      <c r="E971" s="23"/>
      <c r="F971" s="1"/>
      <c r="G971" s="23"/>
      <c r="H971" s="23"/>
      <c r="I971" s="23"/>
      <c r="N971" s="2"/>
      <c r="S971" s="24"/>
    </row>
    <row r="972">
      <c r="A972" s="11"/>
      <c r="B972" s="23"/>
      <c r="C972" s="23"/>
      <c r="D972" s="23"/>
      <c r="E972" s="23"/>
      <c r="F972" s="1"/>
      <c r="G972" s="23"/>
      <c r="H972" s="23"/>
      <c r="I972" s="23"/>
      <c r="N972" s="2"/>
      <c r="S972" s="24"/>
    </row>
    <row r="973">
      <c r="A973" s="11"/>
      <c r="B973" s="23"/>
      <c r="C973" s="23"/>
      <c r="D973" s="23"/>
      <c r="E973" s="23"/>
      <c r="F973" s="1"/>
      <c r="G973" s="23"/>
      <c r="H973" s="23"/>
      <c r="I973" s="23"/>
      <c r="N973" s="2"/>
      <c r="S973" s="24"/>
    </row>
    <row r="974">
      <c r="A974" s="11"/>
      <c r="B974" s="23"/>
      <c r="C974" s="23"/>
      <c r="D974" s="23"/>
      <c r="E974" s="23"/>
      <c r="F974" s="1"/>
      <c r="G974" s="23"/>
      <c r="H974" s="23"/>
      <c r="I974" s="23"/>
      <c r="N974" s="2"/>
      <c r="S974" s="24"/>
    </row>
    <row r="975">
      <c r="A975" s="11"/>
      <c r="B975" s="23"/>
      <c r="C975" s="23"/>
      <c r="D975" s="23"/>
      <c r="E975" s="23"/>
      <c r="F975" s="1"/>
      <c r="G975" s="23"/>
      <c r="H975" s="23"/>
      <c r="I975" s="23"/>
      <c r="N975" s="2"/>
      <c r="S975" s="24"/>
    </row>
    <row r="976">
      <c r="A976" s="11"/>
      <c r="B976" s="23"/>
      <c r="C976" s="23"/>
      <c r="D976" s="23"/>
      <c r="E976" s="23"/>
      <c r="F976" s="1"/>
      <c r="G976" s="23"/>
      <c r="H976" s="23"/>
      <c r="I976" s="23"/>
      <c r="N976" s="2"/>
      <c r="S976" s="24"/>
    </row>
    <row r="977">
      <c r="A977" s="11"/>
      <c r="B977" s="23"/>
      <c r="C977" s="23"/>
      <c r="D977" s="23"/>
      <c r="E977" s="23"/>
      <c r="F977" s="1"/>
      <c r="G977" s="23"/>
      <c r="H977" s="23"/>
      <c r="I977" s="23"/>
      <c r="N977" s="2"/>
      <c r="S977" s="24"/>
    </row>
    <row r="978">
      <c r="A978" s="11"/>
      <c r="B978" s="23"/>
      <c r="C978" s="23"/>
      <c r="D978" s="23"/>
      <c r="E978" s="23"/>
      <c r="F978" s="1"/>
      <c r="G978" s="23"/>
      <c r="H978" s="23"/>
      <c r="I978" s="23"/>
      <c r="N978" s="2"/>
      <c r="S978" s="24"/>
    </row>
    <row r="979">
      <c r="A979" s="11"/>
      <c r="B979" s="23"/>
      <c r="C979" s="23"/>
      <c r="D979" s="23"/>
      <c r="E979" s="23"/>
      <c r="F979" s="1"/>
      <c r="G979" s="23"/>
      <c r="H979" s="23"/>
      <c r="I979" s="23"/>
      <c r="N979" s="2"/>
      <c r="S979" s="24"/>
    </row>
    <row r="980">
      <c r="A980" s="11"/>
      <c r="B980" s="23"/>
      <c r="C980" s="23"/>
      <c r="D980" s="23"/>
      <c r="E980" s="23"/>
      <c r="F980" s="1"/>
      <c r="G980" s="23"/>
      <c r="H980" s="23"/>
      <c r="I980" s="23"/>
      <c r="N980" s="2"/>
      <c r="S980" s="24"/>
    </row>
    <row r="981">
      <c r="A981" s="11"/>
      <c r="B981" s="23"/>
      <c r="C981" s="23"/>
      <c r="D981" s="23"/>
      <c r="E981" s="23"/>
      <c r="F981" s="1"/>
      <c r="G981" s="23"/>
      <c r="H981" s="23"/>
      <c r="I981" s="23"/>
      <c r="N981" s="2"/>
      <c r="S981" s="24"/>
    </row>
    <row r="982">
      <c r="A982" s="11"/>
      <c r="B982" s="23"/>
      <c r="C982" s="23"/>
      <c r="D982" s="23"/>
      <c r="E982" s="23"/>
      <c r="F982" s="1"/>
      <c r="G982" s="23"/>
      <c r="H982" s="23"/>
      <c r="I982" s="23"/>
      <c r="N982" s="2"/>
      <c r="S982" s="24"/>
    </row>
    <row r="983">
      <c r="A983" s="11"/>
      <c r="B983" s="23"/>
      <c r="C983" s="23"/>
      <c r="D983" s="23"/>
      <c r="E983" s="23"/>
      <c r="F983" s="1"/>
      <c r="G983" s="23"/>
      <c r="H983" s="23"/>
      <c r="I983" s="23"/>
      <c r="N983" s="2"/>
      <c r="S983" s="24"/>
    </row>
    <row r="984">
      <c r="A984" s="11"/>
      <c r="B984" s="23"/>
      <c r="C984" s="23"/>
      <c r="D984" s="23"/>
      <c r="E984" s="23"/>
      <c r="F984" s="1"/>
      <c r="G984" s="23"/>
      <c r="H984" s="23"/>
      <c r="I984" s="23"/>
      <c r="N984" s="2"/>
      <c r="S984" s="24"/>
    </row>
    <row r="985">
      <c r="A985" s="11"/>
      <c r="B985" s="23"/>
      <c r="C985" s="23"/>
      <c r="D985" s="23"/>
      <c r="E985" s="23"/>
      <c r="F985" s="1"/>
      <c r="G985" s="23"/>
      <c r="H985" s="23"/>
      <c r="I985" s="23"/>
      <c r="N985" s="2"/>
      <c r="S985" s="24"/>
    </row>
    <row r="986">
      <c r="A986" s="11"/>
      <c r="B986" s="23"/>
      <c r="C986" s="23"/>
      <c r="D986" s="23"/>
      <c r="E986" s="23"/>
      <c r="F986" s="1"/>
      <c r="G986" s="23"/>
      <c r="H986" s="23"/>
      <c r="I986" s="23"/>
      <c r="N986" s="2"/>
      <c r="S986" s="24"/>
    </row>
    <row r="987">
      <c r="A987" s="11"/>
      <c r="B987" s="23"/>
      <c r="C987" s="23"/>
      <c r="D987" s="23"/>
      <c r="E987" s="23"/>
      <c r="F987" s="1"/>
      <c r="G987" s="23"/>
      <c r="H987" s="23"/>
      <c r="I987" s="23"/>
      <c r="N987" s="2"/>
      <c r="S987" s="24"/>
    </row>
    <row r="988">
      <c r="A988" s="11"/>
      <c r="B988" s="23"/>
      <c r="C988" s="23"/>
      <c r="D988" s="23"/>
      <c r="E988" s="23"/>
      <c r="F988" s="1"/>
      <c r="G988" s="23"/>
      <c r="H988" s="23"/>
      <c r="I988" s="23"/>
      <c r="N988" s="2"/>
      <c r="S988" s="24"/>
    </row>
    <row r="989">
      <c r="A989" s="11"/>
      <c r="B989" s="23"/>
      <c r="C989" s="23"/>
      <c r="D989" s="23"/>
      <c r="E989" s="23"/>
      <c r="F989" s="1"/>
      <c r="G989" s="23"/>
      <c r="H989" s="23"/>
      <c r="I989" s="23"/>
      <c r="N989" s="2"/>
      <c r="S989" s="24"/>
    </row>
    <row r="990">
      <c r="A990" s="11"/>
      <c r="B990" s="23"/>
      <c r="C990" s="23"/>
      <c r="D990" s="23"/>
      <c r="E990" s="23"/>
      <c r="F990" s="1"/>
      <c r="G990" s="23"/>
      <c r="H990" s="23"/>
      <c r="I990" s="23"/>
      <c r="N990" s="2"/>
      <c r="S990" s="24"/>
    </row>
    <row r="991">
      <c r="A991" s="11"/>
      <c r="B991" s="23"/>
      <c r="C991" s="23"/>
      <c r="D991" s="23"/>
      <c r="E991" s="23"/>
      <c r="F991" s="1"/>
      <c r="G991" s="23"/>
      <c r="H991" s="23"/>
      <c r="I991" s="23"/>
      <c r="N991" s="2"/>
      <c r="S991" s="24"/>
    </row>
    <row r="992">
      <c r="A992" s="11"/>
      <c r="B992" s="23"/>
      <c r="C992" s="23"/>
      <c r="D992" s="23"/>
      <c r="E992" s="23"/>
      <c r="F992" s="1"/>
      <c r="G992" s="23"/>
      <c r="H992" s="23"/>
      <c r="I992" s="23"/>
      <c r="N992" s="2"/>
      <c r="S992" s="24"/>
    </row>
    <row r="993">
      <c r="A993" s="11"/>
      <c r="B993" s="23"/>
      <c r="C993" s="23"/>
      <c r="D993" s="23"/>
      <c r="E993" s="23"/>
      <c r="F993" s="1"/>
      <c r="G993" s="23"/>
      <c r="H993" s="23"/>
      <c r="I993" s="23"/>
      <c r="N993" s="2"/>
      <c r="S993" s="24"/>
    </row>
    <row r="994">
      <c r="A994" s="11"/>
      <c r="B994" s="23"/>
      <c r="C994" s="23"/>
      <c r="D994" s="23"/>
      <c r="E994" s="23"/>
      <c r="F994" s="1"/>
      <c r="G994" s="23"/>
      <c r="H994" s="23"/>
      <c r="I994" s="23"/>
      <c r="N994" s="2"/>
      <c r="S994" s="24"/>
    </row>
    <row r="995">
      <c r="A995" s="11"/>
      <c r="B995" s="23"/>
      <c r="C995" s="23"/>
      <c r="D995" s="23"/>
      <c r="E995" s="23"/>
      <c r="F995" s="1"/>
      <c r="G995" s="23"/>
      <c r="H995" s="23"/>
      <c r="I995" s="23"/>
      <c r="N995" s="2"/>
      <c r="S995" s="24"/>
    </row>
    <row r="996">
      <c r="A996" s="11"/>
      <c r="B996" s="12"/>
      <c r="C996" s="12"/>
      <c r="D996" s="12"/>
      <c r="E996" s="12"/>
      <c r="F996" s="13"/>
      <c r="G996" s="12"/>
      <c r="H996" s="12"/>
      <c r="I996" s="12"/>
      <c r="N996" s="2"/>
      <c r="S996" s="24"/>
    </row>
  </sheetData>
  <autoFilter ref="$A$1:$S$20"/>
  <dataValidations>
    <dataValidation type="list" allowBlank="1" showErrorMessage="1" sqref="F2:F996">
      <formula1>IIEE[Institución educativa]</formula1>
    </dataValidation>
    <dataValidation type="list" allowBlank="1" showErrorMessage="1" sqref="S2:S996">
      <formula1>Facilitador_a[Facilitador/a]</formula1>
    </dataValidation>
    <dataValidation type="list" allowBlank="1" showErrorMessage="1" sqref="N2:N996">
      <formula1>"Ini-3ero,Ini-4rto,Ini-5nto"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7.13"/>
    <col customWidth="1" min="3" max="3" width="8.5"/>
    <col customWidth="1" min="4" max="4" width="12.25"/>
    <col customWidth="1" min="5" max="5" width="23.38"/>
    <col customWidth="1" min="6" max="6" width="14.38"/>
    <col customWidth="1" min="7" max="7" width="12.0"/>
    <col customWidth="1" min="8" max="8" width="12.38"/>
    <col customWidth="1" min="9" max="9" width="11.5"/>
    <col customWidth="1" min="10" max="11" width="27.75"/>
    <col customWidth="1" min="12" max="12" width="20.13"/>
    <col customWidth="1" min="13" max="14" width="16.88"/>
    <col customWidth="1" min="15" max="15" width="21.63"/>
    <col customWidth="1" min="16" max="16" width="13.63"/>
    <col customWidth="1" min="17" max="17" width="14.13"/>
    <col customWidth="1" min="18" max="18" width="28.63"/>
    <col customWidth="1" min="19" max="19" width="14.63"/>
    <col customWidth="1" min="20" max="20" width="14.13"/>
    <col customWidth="1" min="21" max="21" width="11.5"/>
    <col customWidth="1" min="22" max="22" width="13.88"/>
    <col customWidth="1" min="23" max="23" width="16.63"/>
    <col customWidth="1" min="24" max="24" width="15.0"/>
    <col customWidth="1" min="25" max="25" width="17.25"/>
    <col customWidth="1" min="26" max="26" width="14.63"/>
    <col customWidth="1" min="27" max="27" width="13.25"/>
    <col customWidth="1" min="28" max="28" width="17.75"/>
    <col customWidth="1" min="29" max="29" width="17.5"/>
    <col customWidth="1" min="30" max="32" width="11.13"/>
    <col customWidth="1" min="33" max="33" width="23.25"/>
    <col customWidth="1" min="34" max="34" width="18.13"/>
    <col customWidth="1" min="35" max="35" width="24.88"/>
  </cols>
  <sheetData>
    <row r="1">
      <c r="A1" s="25"/>
      <c r="B1" s="4" t="s">
        <v>0</v>
      </c>
      <c r="C1" s="4" t="s">
        <v>1</v>
      </c>
      <c r="D1" s="4" t="s">
        <v>2</v>
      </c>
      <c r="E1" s="4" t="s">
        <v>3</v>
      </c>
      <c r="F1" s="5" t="s">
        <v>4</v>
      </c>
      <c r="G1" s="4" t="s">
        <v>52</v>
      </c>
      <c r="H1" s="4" t="s">
        <v>53</v>
      </c>
      <c r="I1" s="4" t="s">
        <v>54</v>
      </c>
      <c r="J1" s="7" t="s">
        <v>56</v>
      </c>
      <c r="K1" s="26" t="s">
        <v>165</v>
      </c>
      <c r="L1" s="6" t="s">
        <v>166</v>
      </c>
      <c r="M1" s="6" t="s">
        <v>167</v>
      </c>
      <c r="N1" s="6" t="s">
        <v>168</v>
      </c>
      <c r="O1" s="6" t="s">
        <v>169</v>
      </c>
      <c r="P1" s="27" t="s">
        <v>170</v>
      </c>
      <c r="Q1" s="27" t="s">
        <v>171</v>
      </c>
      <c r="R1" s="28" t="s">
        <v>172</v>
      </c>
      <c r="S1" s="28" t="s">
        <v>173</v>
      </c>
      <c r="T1" s="29" t="s">
        <v>174</v>
      </c>
      <c r="U1" s="30" t="s">
        <v>175</v>
      </c>
      <c r="V1" s="30" t="s">
        <v>176</v>
      </c>
      <c r="W1" s="28" t="s">
        <v>177</v>
      </c>
      <c r="X1" s="31" t="s">
        <v>178</v>
      </c>
      <c r="Y1" s="31" t="s">
        <v>179</v>
      </c>
      <c r="Z1" s="29" t="s">
        <v>180</v>
      </c>
      <c r="AA1" s="27" t="s">
        <v>181</v>
      </c>
      <c r="AB1" s="29" t="s">
        <v>182</v>
      </c>
      <c r="AC1" s="31" t="s">
        <v>183</v>
      </c>
      <c r="AD1" s="26" t="s">
        <v>184</v>
      </c>
      <c r="AE1" s="26" t="s">
        <v>185</v>
      </c>
      <c r="AF1" s="26" t="s">
        <v>186</v>
      </c>
      <c r="AG1" s="32" t="s">
        <v>187</v>
      </c>
      <c r="AH1" s="6" t="s">
        <v>63</v>
      </c>
      <c r="AI1" s="10" t="s">
        <v>64</v>
      </c>
    </row>
    <row r="2">
      <c r="A2" s="11"/>
      <c r="B2" s="12" t="s">
        <v>43</v>
      </c>
      <c r="C2" s="12" t="s">
        <v>65</v>
      </c>
      <c r="D2" s="12" t="s">
        <v>43</v>
      </c>
      <c r="E2" s="23" t="s">
        <v>188</v>
      </c>
      <c r="F2" s="33" t="s">
        <v>189</v>
      </c>
      <c r="G2" s="12" t="s">
        <v>68</v>
      </c>
      <c r="H2" s="23" t="s">
        <v>190</v>
      </c>
      <c r="I2" s="23" t="s">
        <v>191</v>
      </c>
      <c r="J2" s="17" t="s">
        <v>192</v>
      </c>
      <c r="K2" s="17" t="str">
        <f t="array" ref="K2:K1076">TRIM(UPPER(J2:J1076))</f>
        <v>PAOLA VICTORIA TOLENTITNO</v>
      </c>
      <c r="L2" s="17" t="s">
        <v>193</v>
      </c>
      <c r="M2" s="17">
        <v>36.0</v>
      </c>
      <c r="N2" s="20">
        <v>45834.0</v>
      </c>
      <c r="O2" s="17" t="s">
        <v>194</v>
      </c>
      <c r="P2" s="34">
        <v>5.0</v>
      </c>
      <c r="Q2" s="34">
        <v>5.0</v>
      </c>
      <c r="R2" s="34">
        <v>5.0</v>
      </c>
      <c r="S2" s="34">
        <v>5.0</v>
      </c>
      <c r="T2" s="16">
        <v>3.0</v>
      </c>
      <c r="U2" s="16">
        <v>3.0</v>
      </c>
      <c r="V2" s="16">
        <v>3.0</v>
      </c>
      <c r="W2" s="35">
        <v>5.0</v>
      </c>
      <c r="X2" s="35">
        <v>3.0</v>
      </c>
      <c r="Y2" s="35">
        <v>3.0</v>
      </c>
      <c r="Z2" s="35">
        <v>3.0</v>
      </c>
      <c r="AA2" s="36">
        <v>5.0</v>
      </c>
      <c r="AB2" s="16">
        <v>3.0</v>
      </c>
      <c r="AC2" s="35">
        <v>3.0</v>
      </c>
      <c r="AD2" s="37">
        <f t="array" ref="AD2:AD1076">IF(J2:J1076="","", P2:P1076+(6-Q2:Q1076)+(6-R2:R1076)+S2:S1076+(6- AA2:AA1076))</f>
        <v>13</v>
      </c>
      <c r="AE2" s="37">
        <f t="array" ref="AE2:AE1076">IF(J2:J1076="","",W2:W1076+X2:X1076+Y2:Y1076+(5-Z2:Z1076)+(6-AC2:AC1076))</f>
        <v>16</v>
      </c>
      <c r="AF2" s="37">
        <f t="array" ref="AF2:AF1076">IF(J2:J1076="","",T2:T1076+U2:U1076+V2:V1076+AB2:AB1076)</f>
        <v>12</v>
      </c>
      <c r="AG2" s="37"/>
      <c r="AI2" s="18" t="s">
        <v>76</v>
      </c>
    </row>
    <row r="3">
      <c r="A3" s="11"/>
      <c r="B3" s="12" t="s">
        <v>43</v>
      </c>
      <c r="C3" s="12" t="s">
        <v>65</v>
      </c>
      <c r="D3" s="12" t="s">
        <v>43</v>
      </c>
      <c r="E3" s="23" t="s">
        <v>188</v>
      </c>
      <c r="F3" s="33" t="s">
        <v>189</v>
      </c>
      <c r="G3" s="12" t="s">
        <v>68</v>
      </c>
      <c r="H3" s="23" t="s">
        <v>190</v>
      </c>
      <c r="I3" s="23" t="s">
        <v>191</v>
      </c>
      <c r="J3" s="17" t="s">
        <v>195</v>
      </c>
      <c r="K3" s="17" t="s">
        <v>195</v>
      </c>
      <c r="L3" s="17" t="s">
        <v>193</v>
      </c>
      <c r="M3" s="17">
        <v>26.0</v>
      </c>
      <c r="N3" s="20">
        <v>45834.0</v>
      </c>
      <c r="O3" s="17" t="s">
        <v>194</v>
      </c>
      <c r="P3" s="34">
        <v>3.0</v>
      </c>
      <c r="Q3" s="34">
        <v>3.0</v>
      </c>
      <c r="R3" s="34">
        <v>4.0</v>
      </c>
      <c r="S3" s="34">
        <v>4.0</v>
      </c>
      <c r="T3" s="16">
        <v>3.0</v>
      </c>
      <c r="U3" s="16">
        <v>3.0</v>
      </c>
      <c r="V3" s="16">
        <v>3.0</v>
      </c>
      <c r="W3" s="35">
        <v>4.0</v>
      </c>
      <c r="X3" s="35">
        <v>5.0</v>
      </c>
      <c r="Y3" s="35">
        <v>5.0</v>
      </c>
      <c r="Z3" s="35">
        <v>3.0</v>
      </c>
      <c r="AA3" s="36">
        <v>3.0</v>
      </c>
      <c r="AB3" s="16">
        <v>3.0</v>
      </c>
      <c r="AC3" s="35">
        <v>5.0</v>
      </c>
      <c r="AD3" s="38">
        <v>15.0</v>
      </c>
      <c r="AE3" s="38">
        <v>17.0</v>
      </c>
      <c r="AF3" s="38">
        <v>12.0</v>
      </c>
      <c r="AG3" s="38" t="s">
        <v>196</v>
      </c>
      <c r="AI3" s="18" t="s">
        <v>76</v>
      </c>
    </row>
    <row r="4">
      <c r="A4" s="11"/>
      <c r="B4" s="12" t="s">
        <v>43</v>
      </c>
      <c r="C4" s="12" t="s">
        <v>65</v>
      </c>
      <c r="D4" s="12" t="s">
        <v>43</v>
      </c>
      <c r="E4" s="23" t="s">
        <v>188</v>
      </c>
      <c r="F4" s="33" t="s">
        <v>189</v>
      </c>
      <c r="G4" s="12" t="s">
        <v>68</v>
      </c>
      <c r="H4" s="23" t="s">
        <v>190</v>
      </c>
      <c r="I4" s="23" t="s">
        <v>191</v>
      </c>
      <c r="J4" s="17" t="s">
        <v>197</v>
      </c>
      <c r="K4" s="17" t="s">
        <v>197</v>
      </c>
      <c r="L4" s="17" t="s">
        <v>193</v>
      </c>
      <c r="M4" s="17">
        <v>40.0</v>
      </c>
      <c r="N4" s="20">
        <v>45834.0</v>
      </c>
      <c r="O4" s="17" t="s">
        <v>194</v>
      </c>
      <c r="P4" s="34">
        <v>2.0</v>
      </c>
      <c r="Q4" s="34">
        <v>2.0</v>
      </c>
      <c r="R4" s="34">
        <v>4.0</v>
      </c>
      <c r="S4" s="34">
        <v>4.0</v>
      </c>
      <c r="T4" s="16">
        <v>4.0</v>
      </c>
      <c r="U4" s="16">
        <v>4.0</v>
      </c>
      <c r="V4" s="16">
        <v>4.0</v>
      </c>
      <c r="W4" s="35">
        <v>4.0</v>
      </c>
      <c r="X4" s="35">
        <v>3.0</v>
      </c>
      <c r="Y4" s="39">
        <v>3.0</v>
      </c>
      <c r="Z4" s="39">
        <v>4.0</v>
      </c>
      <c r="AA4" s="36">
        <v>2.0</v>
      </c>
      <c r="AB4" s="16">
        <v>4.0</v>
      </c>
      <c r="AC4" s="35">
        <v>3.0</v>
      </c>
      <c r="AD4" s="37">
        <v>16.0</v>
      </c>
      <c r="AE4" s="37">
        <v>14.0</v>
      </c>
      <c r="AF4" s="37">
        <v>16.0</v>
      </c>
      <c r="AG4" s="37"/>
      <c r="AI4" s="18" t="s">
        <v>76</v>
      </c>
    </row>
    <row r="5">
      <c r="A5" s="11"/>
      <c r="B5" s="12" t="s">
        <v>43</v>
      </c>
      <c r="C5" s="12" t="s">
        <v>65</v>
      </c>
      <c r="D5" s="12" t="s">
        <v>43</v>
      </c>
      <c r="E5" s="23" t="s">
        <v>188</v>
      </c>
      <c r="F5" s="33" t="s">
        <v>189</v>
      </c>
      <c r="G5" s="12" t="s">
        <v>68</v>
      </c>
      <c r="H5" s="23" t="s">
        <v>190</v>
      </c>
      <c r="I5" s="23" t="s">
        <v>191</v>
      </c>
      <c r="J5" s="17" t="s">
        <v>198</v>
      </c>
      <c r="K5" s="17" t="s">
        <v>198</v>
      </c>
      <c r="L5" s="17" t="s">
        <v>193</v>
      </c>
      <c r="M5" s="17">
        <v>34.0</v>
      </c>
      <c r="N5" s="20">
        <v>45834.0</v>
      </c>
      <c r="O5" s="17" t="s">
        <v>194</v>
      </c>
      <c r="P5" s="34">
        <v>4.0</v>
      </c>
      <c r="Q5" s="34">
        <v>4.0</v>
      </c>
      <c r="R5" s="34">
        <v>4.0</v>
      </c>
      <c r="S5" s="34">
        <v>4.0</v>
      </c>
      <c r="T5" s="16">
        <v>4.0</v>
      </c>
      <c r="U5" s="16">
        <v>4.0</v>
      </c>
      <c r="V5" s="16">
        <v>4.0</v>
      </c>
      <c r="W5" s="35">
        <v>4.0</v>
      </c>
      <c r="X5" s="35">
        <v>4.0</v>
      </c>
      <c r="Y5" s="39">
        <v>4.0</v>
      </c>
      <c r="Z5" s="39">
        <v>4.0</v>
      </c>
      <c r="AA5" s="36">
        <v>4.0</v>
      </c>
      <c r="AB5" s="16">
        <v>4.0</v>
      </c>
      <c r="AC5" s="35">
        <v>4.0</v>
      </c>
      <c r="AD5" s="38">
        <v>14.0</v>
      </c>
      <c r="AE5" s="38">
        <v>15.0</v>
      </c>
      <c r="AF5" s="38">
        <v>16.0</v>
      </c>
      <c r="AG5" s="38" t="s">
        <v>199</v>
      </c>
      <c r="AI5" s="18" t="s">
        <v>76</v>
      </c>
    </row>
    <row r="6">
      <c r="A6" s="11"/>
      <c r="B6" s="12" t="s">
        <v>43</v>
      </c>
      <c r="C6" s="12" t="s">
        <v>65</v>
      </c>
      <c r="D6" s="12" t="s">
        <v>43</v>
      </c>
      <c r="E6" s="12" t="s">
        <v>188</v>
      </c>
      <c r="F6" s="33" t="s">
        <v>189</v>
      </c>
      <c r="G6" s="12" t="s">
        <v>68</v>
      </c>
      <c r="H6" s="12" t="s">
        <v>190</v>
      </c>
      <c r="I6" s="12" t="s">
        <v>191</v>
      </c>
      <c r="J6" s="33" t="s">
        <v>200</v>
      </c>
      <c r="K6" s="33" t="s">
        <v>200</v>
      </c>
      <c r="L6" s="17" t="s">
        <v>193</v>
      </c>
      <c r="M6" s="40"/>
      <c r="N6" s="20">
        <v>45834.0</v>
      </c>
      <c r="O6" s="17" t="s">
        <v>194</v>
      </c>
      <c r="P6" s="34">
        <v>4.0</v>
      </c>
      <c r="Q6" s="34">
        <v>4.0</v>
      </c>
      <c r="R6" s="34">
        <v>4.0</v>
      </c>
      <c r="S6" s="34">
        <v>4.0</v>
      </c>
      <c r="T6" s="16">
        <v>4.0</v>
      </c>
      <c r="U6" s="16">
        <v>4.0</v>
      </c>
      <c r="V6" s="16">
        <v>4.0</v>
      </c>
      <c r="W6" s="16">
        <v>4.0</v>
      </c>
      <c r="X6" s="16">
        <v>3.0</v>
      </c>
      <c r="Y6" s="41">
        <v>3.0</v>
      </c>
      <c r="Z6" s="41">
        <v>4.0</v>
      </c>
      <c r="AA6" s="36">
        <v>4.0</v>
      </c>
      <c r="AB6" s="16">
        <v>4.0</v>
      </c>
      <c r="AC6" s="16">
        <v>3.0</v>
      </c>
      <c r="AD6" s="38" t="s">
        <v>200</v>
      </c>
      <c r="AE6" s="38" t="s">
        <v>200</v>
      </c>
      <c r="AF6" s="38" t="s">
        <v>200</v>
      </c>
      <c r="AG6" s="38" t="s">
        <v>201</v>
      </c>
      <c r="AI6" s="18" t="s">
        <v>76</v>
      </c>
    </row>
    <row r="7">
      <c r="A7" s="11"/>
      <c r="B7" s="12" t="s">
        <v>43</v>
      </c>
      <c r="C7" s="12" t="s">
        <v>65</v>
      </c>
      <c r="D7" s="12" t="s">
        <v>43</v>
      </c>
      <c r="E7" s="23" t="s">
        <v>188</v>
      </c>
      <c r="F7" s="33" t="s">
        <v>189</v>
      </c>
      <c r="G7" s="12" t="s">
        <v>68</v>
      </c>
      <c r="H7" s="23" t="s">
        <v>190</v>
      </c>
      <c r="I7" s="23" t="s">
        <v>191</v>
      </c>
      <c r="J7" s="17" t="s">
        <v>202</v>
      </c>
      <c r="K7" s="17" t="s">
        <v>202</v>
      </c>
      <c r="L7" s="17" t="s">
        <v>193</v>
      </c>
      <c r="M7" s="17">
        <v>30.0</v>
      </c>
      <c r="N7" s="20">
        <v>45834.0</v>
      </c>
      <c r="O7" s="17" t="s">
        <v>194</v>
      </c>
      <c r="P7" s="34">
        <v>3.0</v>
      </c>
      <c r="Q7" s="34">
        <v>3.0</v>
      </c>
      <c r="R7" s="34">
        <v>3.0</v>
      </c>
      <c r="S7" s="34">
        <v>3.0</v>
      </c>
      <c r="T7" s="16">
        <v>2.0</v>
      </c>
      <c r="U7" s="16">
        <v>4.0</v>
      </c>
      <c r="V7" s="16">
        <v>4.0</v>
      </c>
      <c r="W7" s="16">
        <v>3.0</v>
      </c>
      <c r="X7" s="16">
        <v>3.0</v>
      </c>
      <c r="Y7" s="41">
        <v>3.0</v>
      </c>
      <c r="Z7" s="41">
        <v>2.0</v>
      </c>
      <c r="AA7" s="36">
        <v>3.0</v>
      </c>
      <c r="AB7" s="16">
        <v>2.0</v>
      </c>
      <c r="AC7" s="16">
        <v>3.0</v>
      </c>
      <c r="AD7" s="37">
        <v>15.0</v>
      </c>
      <c r="AE7" s="37">
        <v>15.0</v>
      </c>
      <c r="AF7" s="37">
        <v>12.0</v>
      </c>
      <c r="AG7" s="37"/>
      <c r="AI7" s="18" t="s">
        <v>76</v>
      </c>
    </row>
    <row r="8">
      <c r="A8" s="11"/>
      <c r="B8" s="12" t="s">
        <v>43</v>
      </c>
      <c r="C8" s="12" t="s">
        <v>65</v>
      </c>
      <c r="D8" s="12" t="s">
        <v>43</v>
      </c>
      <c r="E8" s="12" t="s">
        <v>203</v>
      </c>
      <c r="F8" s="33" t="s">
        <v>204</v>
      </c>
      <c r="G8" s="12" t="s">
        <v>68</v>
      </c>
      <c r="H8" s="12" t="s">
        <v>205</v>
      </c>
      <c r="I8" s="12" t="s">
        <v>206</v>
      </c>
      <c r="J8" s="15" t="s">
        <v>207</v>
      </c>
      <c r="K8" s="15" t="s">
        <v>207</v>
      </c>
      <c r="L8" s="17" t="s">
        <v>193</v>
      </c>
      <c r="M8" s="17">
        <v>48.0</v>
      </c>
      <c r="N8" s="20">
        <v>45834.0</v>
      </c>
      <c r="O8" s="17" t="s">
        <v>194</v>
      </c>
      <c r="P8" s="34">
        <v>2.0</v>
      </c>
      <c r="Q8" s="34">
        <v>2.0</v>
      </c>
      <c r="R8" s="34">
        <v>5.0</v>
      </c>
      <c r="S8" s="34">
        <v>5.0</v>
      </c>
      <c r="T8" s="16">
        <v>2.0</v>
      </c>
      <c r="U8" s="16">
        <v>1.0</v>
      </c>
      <c r="V8" s="16">
        <v>1.0</v>
      </c>
      <c r="W8" s="16">
        <v>5.0</v>
      </c>
      <c r="X8" s="16">
        <v>5.0</v>
      </c>
      <c r="Y8" s="16">
        <v>5.0</v>
      </c>
      <c r="Z8" s="16">
        <v>2.0</v>
      </c>
      <c r="AA8" s="36">
        <v>2.0</v>
      </c>
      <c r="AB8" s="16">
        <v>2.0</v>
      </c>
      <c r="AC8" s="16">
        <v>5.0</v>
      </c>
      <c r="AD8" s="38">
        <v>16.0</v>
      </c>
      <c r="AE8" s="38">
        <v>19.0</v>
      </c>
      <c r="AF8" s="38">
        <v>6.0</v>
      </c>
      <c r="AG8" s="38" t="s">
        <v>208</v>
      </c>
      <c r="AI8" s="18" t="s">
        <v>76</v>
      </c>
    </row>
    <row r="9">
      <c r="A9" s="11"/>
      <c r="B9" s="12" t="s">
        <v>43</v>
      </c>
      <c r="C9" s="12" t="s">
        <v>65</v>
      </c>
      <c r="D9" s="12" t="s">
        <v>43</v>
      </c>
      <c r="E9" s="23" t="s">
        <v>188</v>
      </c>
      <c r="F9" s="33" t="s">
        <v>189</v>
      </c>
      <c r="G9" s="12" t="s">
        <v>68</v>
      </c>
      <c r="H9" s="23" t="s">
        <v>190</v>
      </c>
      <c r="I9" s="23" t="s">
        <v>191</v>
      </c>
      <c r="J9" s="17" t="s">
        <v>209</v>
      </c>
      <c r="K9" s="17" t="s">
        <v>209</v>
      </c>
      <c r="L9" s="17" t="s">
        <v>193</v>
      </c>
      <c r="M9" s="17">
        <v>24.0</v>
      </c>
      <c r="N9" s="20">
        <v>45834.0</v>
      </c>
      <c r="O9" s="17" t="s">
        <v>194</v>
      </c>
      <c r="P9" s="34">
        <v>4.0</v>
      </c>
      <c r="Q9" s="34">
        <v>4.0</v>
      </c>
      <c r="R9" s="34">
        <v>4.0</v>
      </c>
      <c r="S9" s="34">
        <v>4.0</v>
      </c>
      <c r="T9" s="16">
        <v>4.0</v>
      </c>
      <c r="U9" s="16">
        <v>4.0</v>
      </c>
      <c r="V9" s="16">
        <v>4.0</v>
      </c>
      <c r="W9" s="16">
        <v>4.0</v>
      </c>
      <c r="X9" s="16">
        <v>4.0</v>
      </c>
      <c r="Y9" s="16">
        <v>4.0</v>
      </c>
      <c r="Z9" s="16">
        <v>4.0</v>
      </c>
      <c r="AA9" s="36">
        <v>4.0</v>
      </c>
      <c r="AB9" s="16">
        <v>4.0</v>
      </c>
      <c r="AC9" s="16">
        <v>4.0</v>
      </c>
      <c r="AD9" s="38">
        <v>14.0</v>
      </c>
      <c r="AE9" s="38">
        <v>15.0</v>
      </c>
      <c r="AF9" s="38">
        <v>16.0</v>
      </c>
      <c r="AG9" s="38" t="s">
        <v>210</v>
      </c>
      <c r="AI9" s="18" t="s">
        <v>76</v>
      </c>
    </row>
    <row r="10">
      <c r="A10" s="11"/>
      <c r="B10" s="12" t="s">
        <v>43</v>
      </c>
      <c r="C10" s="12" t="s">
        <v>65</v>
      </c>
      <c r="D10" s="12" t="s">
        <v>43</v>
      </c>
      <c r="E10" s="23" t="s">
        <v>188</v>
      </c>
      <c r="F10" s="33" t="s">
        <v>189</v>
      </c>
      <c r="G10" s="12" t="s">
        <v>68</v>
      </c>
      <c r="H10" s="23" t="s">
        <v>190</v>
      </c>
      <c r="I10" s="23" t="s">
        <v>191</v>
      </c>
      <c r="J10" s="17" t="s">
        <v>211</v>
      </c>
      <c r="K10" s="17" t="s">
        <v>211</v>
      </c>
      <c r="L10" s="17" t="s">
        <v>193</v>
      </c>
      <c r="M10" s="17">
        <v>26.0</v>
      </c>
      <c r="N10" s="20">
        <v>45834.0</v>
      </c>
      <c r="O10" s="17" t="s">
        <v>194</v>
      </c>
      <c r="P10" s="34">
        <v>4.0</v>
      </c>
      <c r="Q10" s="34">
        <v>4.0</v>
      </c>
      <c r="R10" s="34">
        <v>4.0</v>
      </c>
      <c r="S10" s="34">
        <v>4.0</v>
      </c>
      <c r="T10" s="16">
        <v>4.0</v>
      </c>
      <c r="U10" s="16">
        <v>4.0</v>
      </c>
      <c r="V10" s="16">
        <v>4.0</v>
      </c>
      <c r="W10" s="16">
        <v>4.0</v>
      </c>
      <c r="X10" s="16">
        <v>4.0</v>
      </c>
      <c r="Y10" s="16">
        <v>4.0</v>
      </c>
      <c r="Z10" s="16">
        <v>4.0</v>
      </c>
      <c r="AA10" s="36">
        <v>4.0</v>
      </c>
      <c r="AB10" s="16">
        <v>4.0</v>
      </c>
      <c r="AC10" s="16">
        <v>4.0</v>
      </c>
      <c r="AD10" s="38">
        <v>14.0</v>
      </c>
      <c r="AE10" s="38">
        <v>15.0</v>
      </c>
      <c r="AF10" s="38">
        <v>16.0</v>
      </c>
      <c r="AG10" s="38" t="s">
        <v>212</v>
      </c>
      <c r="AI10" s="18" t="s">
        <v>76</v>
      </c>
    </row>
    <row r="11">
      <c r="A11" s="11"/>
      <c r="B11" s="12" t="s">
        <v>43</v>
      </c>
      <c r="C11" s="12" t="s">
        <v>65</v>
      </c>
      <c r="D11" s="12" t="s">
        <v>43</v>
      </c>
      <c r="E11" s="23" t="s">
        <v>188</v>
      </c>
      <c r="F11" s="33" t="s">
        <v>189</v>
      </c>
      <c r="G11" s="12" t="s">
        <v>68</v>
      </c>
      <c r="H11" s="23" t="s">
        <v>190</v>
      </c>
      <c r="I11" s="23" t="s">
        <v>191</v>
      </c>
      <c r="J11" s="17" t="s">
        <v>213</v>
      </c>
      <c r="K11" s="17" t="s">
        <v>213</v>
      </c>
      <c r="L11" s="17" t="s">
        <v>193</v>
      </c>
      <c r="M11" s="17">
        <v>24.0</v>
      </c>
      <c r="N11" s="20">
        <v>45834.0</v>
      </c>
      <c r="O11" s="17" t="s">
        <v>194</v>
      </c>
      <c r="P11" s="16">
        <v>4.0</v>
      </c>
      <c r="Q11" s="16">
        <v>4.0</v>
      </c>
      <c r="R11" s="16">
        <v>4.0</v>
      </c>
      <c r="S11" s="16">
        <v>4.0</v>
      </c>
      <c r="T11" s="16">
        <v>5.0</v>
      </c>
      <c r="U11" s="16">
        <v>4.0</v>
      </c>
      <c r="V11" s="16">
        <v>4.0</v>
      </c>
      <c r="W11" s="16">
        <v>4.0</v>
      </c>
      <c r="X11" s="16">
        <v>4.0</v>
      </c>
      <c r="Y11" s="16">
        <v>4.0</v>
      </c>
      <c r="Z11" s="16">
        <v>5.0</v>
      </c>
      <c r="AA11" s="16">
        <v>4.0</v>
      </c>
      <c r="AB11" s="16">
        <v>5.0</v>
      </c>
      <c r="AC11" s="16">
        <v>4.0</v>
      </c>
      <c r="AD11" s="38">
        <v>14.0</v>
      </c>
      <c r="AE11" s="38">
        <v>14.0</v>
      </c>
      <c r="AF11" s="38">
        <v>18.0</v>
      </c>
      <c r="AG11" s="38" t="s">
        <v>214</v>
      </c>
      <c r="AI11" s="18" t="s">
        <v>76</v>
      </c>
    </row>
    <row r="12">
      <c r="A12" s="11"/>
      <c r="B12" s="12" t="s">
        <v>43</v>
      </c>
      <c r="C12" s="12" t="s">
        <v>65</v>
      </c>
      <c r="D12" s="12" t="s">
        <v>43</v>
      </c>
      <c r="E12" s="23" t="s">
        <v>188</v>
      </c>
      <c r="F12" s="33" t="s">
        <v>189</v>
      </c>
      <c r="G12" s="12" t="s">
        <v>68</v>
      </c>
      <c r="H12" s="23" t="s">
        <v>190</v>
      </c>
      <c r="I12" s="23" t="s">
        <v>191</v>
      </c>
      <c r="J12" s="17" t="s">
        <v>215</v>
      </c>
      <c r="K12" s="17" t="s">
        <v>215</v>
      </c>
      <c r="L12" s="17" t="s">
        <v>193</v>
      </c>
      <c r="M12" s="17">
        <v>41.0</v>
      </c>
      <c r="N12" s="20">
        <v>45834.0</v>
      </c>
      <c r="O12" s="17" t="s">
        <v>194</v>
      </c>
      <c r="P12" s="16">
        <v>4.0</v>
      </c>
      <c r="Q12" s="16">
        <v>4.0</v>
      </c>
      <c r="R12" s="16">
        <v>3.0</v>
      </c>
      <c r="S12" s="16">
        <v>3.0</v>
      </c>
      <c r="T12" s="16">
        <v>4.0</v>
      </c>
      <c r="U12" s="16">
        <v>4.0</v>
      </c>
      <c r="V12" s="16">
        <v>4.0</v>
      </c>
      <c r="W12" s="16">
        <v>3.0</v>
      </c>
      <c r="X12" s="16">
        <v>4.0</v>
      </c>
      <c r="Y12" s="16">
        <v>4.0</v>
      </c>
      <c r="Z12" s="16">
        <v>4.0</v>
      </c>
      <c r="AA12" s="16">
        <v>4.0</v>
      </c>
      <c r="AB12" s="16">
        <v>4.0</v>
      </c>
      <c r="AC12" s="16">
        <v>4.0</v>
      </c>
      <c r="AD12" s="38">
        <v>14.0</v>
      </c>
      <c r="AE12" s="38">
        <v>14.0</v>
      </c>
      <c r="AF12" s="38">
        <v>16.0</v>
      </c>
      <c r="AG12" s="38" t="s">
        <v>216</v>
      </c>
      <c r="AI12" s="18" t="s">
        <v>76</v>
      </c>
    </row>
    <row r="13">
      <c r="A13" s="11"/>
      <c r="B13" s="12" t="s">
        <v>43</v>
      </c>
      <c r="C13" s="12" t="s">
        <v>65</v>
      </c>
      <c r="D13" s="12" t="s">
        <v>43</v>
      </c>
      <c r="E13" s="23" t="s">
        <v>188</v>
      </c>
      <c r="F13" s="33" t="s">
        <v>189</v>
      </c>
      <c r="G13" s="12" t="s">
        <v>68</v>
      </c>
      <c r="H13" s="23" t="s">
        <v>190</v>
      </c>
      <c r="I13" s="23" t="s">
        <v>191</v>
      </c>
      <c r="J13" s="17" t="s">
        <v>217</v>
      </c>
      <c r="K13" s="17" t="s">
        <v>217</v>
      </c>
      <c r="L13" s="17" t="s">
        <v>193</v>
      </c>
      <c r="M13" s="17">
        <v>23.0</v>
      </c>
      <c r="N13" s="20">
        <v>45834.0</v>
      </c>
      <c r="O13" s="17" t="s">
        <v>194</v>
      </c>
      <c r="P13" s="16">
        <v>4.0</v>
      </c>
      <c r="Q13" s="16">
        <v>4.0</v>
      </c>
      <c r="R13" s="16">
        <v>5.0</v>
      </c>
      <c r="S13" s="16">
        <v>5.0</v>
      </c>
      <c r="T13" s="16">
        <v>5.0</v>
      </c>
      <c r="U13" s="16">
        <v>5.0</v>
      </c>
      <c r="V13" s="16">
        <v>5.0</v>
      </c>
      <c r="W13" s="16">
        <v>5.0</v>
      </c>
      <c r="X13" s="16">
        <v>5.0</v>
      </c>
      <c r="Y13" s="16">
        <v>5.0</v>
      </c>
      <c r="Z13" s="16">
        <v>5.0</v>
      </c>
      <c r="AA13" s="16">
        <v>4.0</v>
      </c>
      <c r="AB13" s="16">
        <v>5.0</v>
      </c>
      <c r="AC13" s="16">
        <v>5.0</v>
      </c>
      <c r="AD13" s="38">
        <v>14.0</v>
      </c>
      <c r="AE13" s="38">
        <v>16.0</v>
      </c>
      <c r="AF13" s="38">
        <v>20.0</v>
      </c>
      <c r="AG13" s="38" t="s">
        <v>218</v>
      </c>
      <c r="AI13" s="18" t="s">
        <v>76</v>
      </c>
    </row>
    <row r="14">
      <c r="A14" s="11"/>
      <c r="B14" s="12" t="s">
        <v>43</v>
      </c>
      <c r="C14" s="12" t="s">
        <v>65</v>
      </c>
      <c r="D14" s="12" t="s">
        <v>43</v>
      </c>
      <c r="E14" s="23" t="s">
        <v>188</v>
      </c>
      <c r="F14" s="33" t="s">
        <v>189</v>
      </c>
      <c r="G14" s="12" t="s">
        <v>68</v>
      </c>
      <c r="H14" s="23" t="s">
        <v>190</v>
      </c>
      <c r="I14" s="23" t="s">
        <v>191</v>
      </c>
      <c r="J14" s="17" t="s">
        <v>219</v>
      </c>
      <c r="K14" s="17" t="s">
        <v>219</v>
      </c>
      <c r="L14" s="17" t="s">
        <v>193</v>
      </c>
      <c r="M14" s="17">
        <v>46.0</v>
      </c>
      <c r="N14" s="20">
        <v>45834.0</v>
      </c>
      <c r="O14" s="17" t="s">
        <v>194</v>
      </c>
      <c r="P14" s="16">
        <v>4.0</v>
      </c>
      <c r="Q14" s="16">
        <v>4.0</v>
      </c>
      <c r="R14" s="16">
        <v>4.0</v>
      </c>
      <c r="S14" s="16">
        <v>4.0</v>
      </c>
      <c r="T14" s="16">
        <v>5.0</v>
      </c>
      <c r="U14" s="16">
        <v>4.0</v>
      </c>
      <c r="V14" s="16">
        <v>4.0</v>
      </c>
      <c r="W14" s="16">
        <v>4.0</v>
      </c>
      <c r="X14" s="16">
        <v>4.0</v>
      </c>
      <c r="Y14" s="16">
        <v>4.0</v>
      </c>
      <c r="Z14" s="16">
        <v>5.0</v>
      </c>
      <c r="AA14" s="16">
        <v>4.0</v>
      </c>
      <c r="AB14" s="16">
        <v>5.0</v>
      </c>
      <c r="AC14" s="16">
        <v>4.0</v>
      </c>
      <c r="AD14" s="38">
        <v>14.0</v>
      </c>
      <c r="AE14" s="38">
        <v>14.0</v>
      </c>
      <c r="AF14" s="38">
        <v>18.0</v>
      </c>
      <c r="AG14" s="38" t="s">
        <v>220</v>
      </c>
      <c r="AI14" s="18" t="s">
        <v>76</v>
      </c>
    </row>
    <row r="15">
      <c r="A15" s="11"/>
      <c r="B15" s="12" t="s">
        <v>43</v>
      </c>
      <c r="C15" s="12" t="s">
        <v>65</v>
      </c>
      <c r="D15" s="12" t="s">
        <v>43</v>
      </c>
      <c r="E15" s="23" t="s">
        <v>188</v>
      </c>
      <c r="F15" s="33" t="s">
        <v>189</v>
      </c>
      <c r="G15" s="12" t="s">
        <v>68</v>
      </c>
      <c r="H15" s="23" t="s">
        <v>190</v>
      </c>
      <c r="I15" s="23" t="s">
        <v>191</v>
      </c>
      <c r="J15" s="17" t="s">
        <v>221</v>
      </c>
      <c r="K15" s="17" t="s">
        <v>221</v>
      </c>
      <c r="L15" s="17" t="s">
        <v>222</v>
      </c>
      <c r="M15" s="17">
        <v>36.0</v>
      </c>
      <c r="N15" s="20">
        <v>45834.0</v>
      </c>
      <c r="O15" s="17" t="s">
        <v>194</v>
      </c>
      <c r="P15" s="16">
        <v>4.0</v>
      </c>
      <c r="Q15" s="16">
        <v>4.0</v>
      </c>
      <c r="R15" s="16">
        <v>4.0</v>
      </c>
      <c r="S15" s="16">
        <v>4.0</v>
      </c>
      <c r="T15" s="16">
        <v>4.0</v>
      </c>
      <c r="U15" s="16">
        <v>4.0</v>
      </c>
      <c r="V15" s="16">
        <v>4.0</v>
      </c>
      <c r="W15" s="16">
        <v>4.0</v>
      </c>
      <c r="X15" s="16">
        <v>3.0</v>
      </c>
      <c r="Y15" s="16">
        <v>3.0</v>
      </c>
      <c r="Z15" s="16">
        <v>4.0</v>
      </c>
      <c r="AA15" s="16">
        <v>4.0</v>
      </c>
      <c r="AB15" s="16">
        <v>4.0</v>
      </c>
      <c r="AC15" s="16">
        <v>3.0</v>
      </c>
      <c r="AD15" s="37">
        <v>14.0</v>
      </c>
      <c r="AE15" s="37">
        <v>14.0</v>
      </c>
      <c r="AF15" s="37">
        <v>16.0</v>
      </c>
      <c r="AG15" s="37"/>
      <c r="AI15" s="18" t="s">
        <v>76</v>
      </c>
    </row>
    <row r="16">
      <c r="A16" s="11"/>
      <c r="B16" s="12" t="s">
        <v>43</v>
      </c>
      <c r="C16" s="12" t="s">
        <v>65</v>
      </c>
      <c r="D16" s="12" t="s">
        <v>43</v>
      </c>
      <c r="E16" s="23" t="s">
        <v>188</v>
      </c>
      <c r="F16" s="33" t="s">
        <v>189</v>
      </c>
      <c r="G16" s="12" t="s">
        <v>68</v>
      </c>
      <c r="H16" s="23" t="s">
        <v>190</v>
      </c>
      <c r="I16" s="23" t="s">
        <v>191</v>
      </c>
      <c r="J16" s="17" t="s">
        <v>223</v>
      </c>
      <c r="K16" s="17" t="s">
        <v>223</v>
      </c>
      <c r="L16" s="17" t="s">
        <v>193</v>
      </c>
      <c r="M16" s="17">
        <v>24.0</v>
      </c>
      <c r="N16" s="20">
        <v>45834.0</v>
      </c>
      <c r="O16" s="17" t="s">
        <v>194</v>
      </c>
      <c r="P16" s="16">
        <v>5.0</v>
      </c>
      <c r="Q16" s="16">
        <v>5.0</v>
      </c>
      <c r="R16" s="16">
        <v>4.0</v>
      </c>
      <c r="S16" s="16">
        <v>4.0</v>
      </c>
      <c r="T16" s="16">
        <v>4.0</v>
      </c>
      <c r="U16" s="16">
        <v>4.0</v>
      </c>
      <c r="V16" s="16">
        <v>4.0</v>
      </c>
      <c r="W16" s="16">
        <v>4.0</v>
      </c>
      <c r="X16" s="16">
        <v>4.0</v>
      </c>
      <c r="Y16" s="16">
        <v>4.0</v>
      </c>
      <c r="Z16" s="16">
        <v>4.0</v>
      </c>
      <c r="AA16" s="16">
        <v>5.0</v>
      </c>
      <c r="AB16" s="16">
        <v>4.0</v>
      </c>
      <c r="AC16" s="16">
        <v>4.0</v>
      </c>
      <c r="AD16" s="38">
        <v>13.0</v>
      </c>
      <c r="AE16" s="38">
        <v>15.0</v>
      </c>
      <c r="AF16" s="38">
        <v>16.0</v>
      </c>
      <c r="AG16" s="38" t="s">
        <v>214</v>
      </c>
      <c r="AI16" s="18" t="s">
        <v>76</v>
      </c>
    </row>
    <row r="17">
      <c r="A17" s="11"/>
      <c r="B17" s="12" t="s">
        <v>34</v>
      </c>
      <c r="C17" s="12" t="s">
        <v>65</v>
      </c>
      <c r="D17" s="12" t="s">
        <v>43</v>
      </c>
      <c r="E17" s="23" t="s">
        <v>224</v>
      </c>
      <c r="F17" s="33" t="s">
        <v>225</v>
      </c>
      <c r="G17" s="12" t="s">
        <v>68</v>
      </c>
      <c r="H17" s="23" t="s">
        <v>226</v>
      </c>
      <c r="I17" s="23" t="s">
        <v>227</v>
      </c>
      <c r="J17" s="17" t="s">
        <v>228</v>
      </c>
      <c r="K17" s="17" t="s">
        <v>228</v>
      </c>
      <c r="L17" s="17" t="s">
        <v>222</v>
      </c>
      <c r="M17" s="17">
        <v>30.0</v>
      </c>
      <c r="N17" s="20">
        <v>45833.0</v>
      </c>
      <c r="O17" s="17" t="s">
        <v>194</v>
      </c>
      <c r="P17" s="16">
        <v>4.0</v>
      </c>
      <c r="Q17" s="16">
        <v>4.0</v>
      </c>
      <c r="R17" s="16">
        <v>5.0</v>
      </c>
      <c r="S17" s="16">
        <v>5.0</v>
      </c>
      <c r="T17" s="16">
        <v>1.0</v>
      </c>
      <c r="U17" s="16">
        <v>4.0</v>
      </c>
      <c r="V17" s="16">
        <v>4.0</v>
      </c>
      <c r="W17" s="16">
        <v>5.0</v>
      </c>
      <c r="X17" s="16">
        <v>3.0</v>
      </c>
      <c r="Y17" s="41">
        <v>3.0</v>
      </c>
      <c r="Z17" s="41">
        <v>1.0</v>
      </c>
      <c r="AA17" s="16">
        <v>4.0</v>
      </c>
      <c r="AB17" s="16">
        <v>1.0</v>
      </c>
      <c r="AC17" s="16">
        <v>3.0</v>
      </c>
      <c r="AD17" s="37">
        <v>14.0</v>
      </c>
      <c r="AE17" s="37">
        <v>18.0</v>
      </c>
      <c r="AF17" s="37">
        <v>10.0</v>
      </c>
      <c r="AG17" s="37"/>
      <c r="AI17" s="18" t="s">
        <v>76</v>
      </c>
    </row>
    <row r="18">
      <c r="A18" s="11"/>
      <c r="B18" s="12" t="s">
        <v>34</v>
      </c>
      <c r="C18" s="12" t="s">
        <v>65</v>
      </c>
      <c r="D18" s="12" t="s">
        <v>43</v>
      </c>
      <c r="E18" s="12" t="s">
        <v>224</v>
      </c>
      <c r="F18" s="33" t="s">
        <v>225</v>
      </c>
      <c r="G18" s="12" t="s">
        <v>68</v>
      </c>
      <c r="H18" s="12" t="s">
        <v>226</v>
      </c>
      <c r="I18" s="12" t="s">
        <v>227</v>
      </c>
      <c r="J18" s="17" t="s">
        <v>229</v>
      </c>
      <c r="K18" s="17" t="s">
        <v>229</v>
      </c>
      <c r="L18" s="17" t="s">
        <v>193</v>
      </c>
      <c r="M18" s="17">
        <v>34.0</v>
      </c>
      <c r="N18" s="20">
        <v>45833.0</v>
      </c>
      <c r="O18" s="17" t="s">
        <v>194</v>
      </c>
      <c r="P18" s="16">
        <v>3.0</v>
      </c>
      <c r="Q18" s="16">
        <v>3.0</v>
      </c>
      <c r="R18" s="16">
        <v>3.0</v>
      </c>
      <c r="S18" s="16">
        <v>3.0</v>
      </c>
      <c r="T18" s="16">
        <v>5.0</v>
      </c>
      <c r="U18" s="16">
        <v>4.0</v>
      </c>
      <c r="V18" s="16">
        <v>4.0</v>
      </c>
      <c r="W18" s="16">
        <v>3.0</v>
      </c>
      <c r="X18" s="16">
        <v>4.0</v>
      </c>
      <c r="Y18" s="41">
        <v>4.0</v>
      </c>
      <c r="Z18" s="41">
        <v>5.0</v>
      </c>
      <c r="AA18" s="16">
        <v>3.0</v>
      </c>
      <c r="AB18" s="16">
        <v>5.0</v>
      </c>
      <c r="AC18" s="16">
        <v>4.0</v>
      </c>
      <c r="AD18" s="38">
        <v>15.0</v>
      </c>
      <c r="AE18" s="38">
        <v>13.0</v>
      </c>
      <c r="AF18" s="38">
        <v>18.0</v>
      </c>
      <c r="AG18" s="38" t="s">
        <v>230</v>
      </c>
      <c r="AI18" s="18" t="s">
        <v>76</v>
      </c>
    </row>
    <row r="19">
      <c r="A19" s="11"/>
      <c r="B19" s="12" t="s">
        <v>34</v>
      </c>
      <c r="C19" s="12" t="s">
        <v>65</v>
      </c>
      <c r="D19" s="12" t="s">
        <v>43</v>
      </c>
      <c r="E19" s="12" t="s">
        <v>224</v>
      </c>
      <c r="F19" s="33" t="s">
        <v>225</v>
      </c>
      <c r="G19" s="12" t="s">
        <v>68</v>
      </c>
      <c r="H19" s="12" t="s">
        <v>226</v>
      </c>
      <c r="I19" s="12" t="s">
        <v>227</v>
      </c>
      <c r="J19" s="17" t="s">
        <v>231</v>
      </c>
      <c r="K19" s="17" t="s">
        <v>231</v>
      </c>
      <c r="L19" s="17" t="s">
        <v>193</v>
      </c>
      <c r="M19" s="17">
        <v>30.0</v>
      </c>
      <c r="N19" s="20">
        <v>45833.0</v>
      </c>
      <c r="O19" s="17" t="s">
        <v>194</v>
      </c>
      <c r="P19" s="16">
        <v>4.0</v>
      </c>
      <c r="Q19" s="16">
        <v>4.0</v>
      </c>
      <c r="R19" s="16">
        <v>4.0</v>
      </c>
      <c r="S19" s="16">
        <v>4.0</v>
      </c>
      <c r="T19" s="16">
        <v>4.0</v>
      </c>
      <c r="U19" s="16">
        <v>4.0</v>
      </c>
      <c r="V19" s="16">
        <v>4.0</v>
      </c>
      <c r="W19" s="16">
        <v>4.0</v>
      </c>
      <c r="X19" s="16">
        <v>3.0</v>
      </c>
      <c r="Y19" s="16">
        <v>3.0</v>
      </c>
      <c r="Z19" s="16">
        <v>4.0</v>
      </c>
      <c r="AA19" s="16">
        <v>4.0</v>
      </c>
      <c r="AB19" s="16">
        <v>4.0</v>
      </c>
      <c r="AC19" s="16">
        <v>3.0</v>
      </c>
      <c r="AD19" s="37">
        <v>14.0</v>
      </c>
      <c r="AE19" s="37">
        <v>14.0</v>
      </c>
      <c r="AF19" s="37">
        <v>16.0</v>
      </c>
      <c r="AG19" s="37"/>
      <c r="AI19" s="18" t="s">
        <v>76</v>
      </c>
    </row>
    <row r="20">
      <c r="A20" s="11"/>
      <c r="B20" s="12" t="s">
        <v>34</v>
      </c>
      <c r="C20" s="12" t="s">
        <v>65</v>
      </c>
      <c r="D20" s="12" t="s">
        <v>43</v>
      </c>
      <c r="E20" s="12" t="s">
        <v>224</v>
      </c>
      <c r="F20" s="33" t="s">
        <v>225</v>
      </c>
      <c r="G20" s="12" t="s">
        <v>68</v>
      </c>
      <c r="H20" s="12" t="s">
        <v>226</v>
      </c>
      <c r="I20" s="12" t="s">
        <v>227</v>
      </c>
      <c r="J20" s="17" t="s">
        <v>232</v>
      </c>
      <c r="K20" s="17" t="s">
        <v>232</v>
      </c>
      <c r="L20" s="17" t="s">
        <v>222</v>
      </c>
      <c r="M20" s="17">
        <v>24.0</v>
      </c>
      <c r="N20" s="20">
        <v>45833.0</v>
      </c>
      <c r="O20" s="17" t="s">
        <v>194</v>
      </c>
      <c r="P20" s="16">
        <v>3.0</v>
      </c>
      <c r="Q20" s="16">
        <v>3.0</v>
      </c>
      <c r="R20" s="16">
        <v>3.0</v>
      </c>
      <c r="S20" s="16">
        <v>3.0</v>
      </c>
      <c r="T20" s="16">
        <v>4.0</v>
      </c>
      <c r="U20" s="16">
        <v>4.0</v>
      </c>
      <c r="V20" s="16">
        <v>4.0</v>
      </c>
      <c r="W20" s="16">
        <v>3.0</v>
      </c>
      <c r="X20" s="16">
        <v>5.0</v>
      </c>
      <c r="Y20" s="16">
        <v>5.0</v>
      </c>
      <c r="Z20" s="16">
        <v>4.0</v>
      </c>
      <c r="AA20" s="16">
        <v>3.0</v>
      </c>
      <c r="AB20" s="16">
        <v>4.0</v>
      </c>
      <c r="AC20" s="16">
        <v>5.0</v>
      </c>
      <c r="AD20" s="37">
        <v>15.0</v>
      </c>
      <c r="AE20" s="37">
        <v>15.0</v>
      </c>
      <c r="AF20" s="37">
        <v>16.0</v>
      </c>
      <c r="AG20" s="37"/>
      <c r="AI20" s="18" t="s">
        <v>76</v>
      </c>
    </row>
    <row r="21">
      <c r="A21" s="11"/>
      <c r="B21" s="12" t="s">
        <v>34</v>
      </c>
      <c r="C21" s="12" t="s">
        <v>65</v>
      </c>
      <c r="D21" s="12" t="s">
        <v>43</v>
      </c>
      <c r="E21" s="12" t="s">
        <v>224</v>
      </c>
      <c r="F21" s="33" t="s">
        <v>225</v>
      </c>
      <c r="G21" s="12" t="s">
        <v>68</v>
      </c>
      <c r="H21" s="12" t="s">
        <v>226</v>
      </c>
      <c r="I21" s="12" t="s">
        <v>227</v>
      </c>
      <c r="J21" s="17" t="s">
        <v>233</v>
      </c>
      <c r="K21" s="17" t="s">
        <v>233</v>
      </c>
      <c r="L21" s="17" t="s">
        <v>193</v>
      </c>
      <c r="M21" s="17">
        <v>35.0</v>
      </c>
      <c r="N21" s="20">
        <v>45833.0</v>
      </c>
      <c r="O21" s="17" t="s">
        <v>194</v>
      </c>
      <c r="P21" s="16">
        <v>3.0</v>
      </c>
      <c r="Q21" s="16">
        <v>3.0</v>
      </c>
      <c r="R21" s="16">
        <v>3.0</v>
      </c>
      <c r="S21" s="16">
        <v>3.0</v>
      </c>
      <c r="T21" s="16">
        <v>3.0</v>
      </c>
      <c r="U21" s="16">
        <v>3.0</v>
      </c>
      <c r="V21" s="16">
        <v>3.0</v>
      </c>
      <c r="W21" s="16">
        <v>3.0</v>
      </c>
      <c r="X21" s="16">
        <v>3.0</v>
      </c>
      <c r="Y21" s="41">
        <v>3.0</v>
      </c>
      <c r="Z21" s="41">
        <v>3.0</v>
      </c>
      <c r="AA21" s="16">
        <v>3.0</v>
      </c>
      <c r="AB21" s="16">
        <v>3.0</v>
      </c>
      <c r="AC21" s="16">
        <v>3.0</v>
      </c>
      <c r="AD21" s="37">
        <v>15.0</v>
      </c>
      <c r="AE21" s="37">
        <v>14.0</v>
      </c>
      <c r="AF21" s="37">
        <v>12.0</v>
      </c>
      <c r="AG21" s="37"/>
      <c r="AI21" s="18" t="s">
        <v>76</v>
      </c>
    </row>
    <row r="22">
      <c r="A22" s="11"/>
      <c r="B22" s="12" t="s">
        <v>34</v>
      </c>
      <c r="C22" s="12" t="s">
        <v>65</v>
      </c>
      <c r="D22" s="12" t="s">
        <v>43</v>
      </c>
      <c r="E22" s="12" t="s">
        <v>224</v>
      </c>
      <c r="F22" s="33" t="s">
        <v>225</v>
      </c>
      <c r="G22" s="12" t="s">
        <v>68</v>
      </c>
      <c r="H22" s="12" t="s">
        <v>226</v>
      </c>
      <c r="I22" s="12" t="s">
        <v>227</v>
      </c>
      <c r="J22" s="17" t="s">
        <v>234</v>
      </c>
      <c r="K22" s="17" t="s">
        <v>234</v>
      </c>
      <c r="L22" s="17" t="s">
        <v>193</v>
      </c>
      <c r="M22" s="17">
        <v>40.0</v>
      </c>
      <c r="N22" s="20">
        <v>45833.0</v>
      </c>
      <c r="O22" s="17" t="s">
        <v>194</v>
      </c>
      <c r="P22" s="16">
        <v>3.0</v>
      </c>
      <c r="Q22" s="16">
        <v>3.0</v>
      </c>
      <c r="R22" s="16">
        <v>3.0</v>
      </c>
      <c r="S22" s="16">
        <v>3.0</v>
      </c>
      <c r="T22" s="16">
        <v>4.0</v>
      </c>
      <c r="U22" s="16">
        <v>4.0</v>
      </c>
      <c r="V22" s="16">
        <v>4.0</v>
      </c>
      <c r="W22" s="16">
        <v>3.0</v>
      </c>
      <c r="X22" s="16">
        <v>4.0</v>
      </c>
      <c r="Y22" s="41">
        <v>4.0</v>
      </c>
      <c r="Z22" s="41">
        <v>4.0</v>
      </c>
      <c r="AA22" s="16">
        <v>3.0</v>
      </c>
      <c r="AB22" s="16">
        <v>4.0</v>
      </c>
      <c r="AC22" s="16">
        <v>4.0</v>
      </c>
      <c r="AD22" s="38">
        <v>15.0</v>
      </c>
      <c r="AE22" s="38">
        <v>14.0</v>
      </c>
      <c r="AF22" s="38">
        <v>16.0</v>
      </c>
      <c r="AG22" s="38" t="s">
        <v>235</v>
      </c>
      <c r="AI22" s="18" t="s">
        <v>76</v>
      </c>
    </row>
    <row r="23">
      <c r="A23" s="11"/>
      <c r="B23" s="12" t="s">
        <v>34</v>
      </c>
      <c r="C23" s="12" t="s">
        <v>65</v>
      </c>
      <c r="D23" s="12" t="s">
        <v>43</v>
      </c>
      <c r="E23" s="12" t="s">
        <v>224</v>
      </c>
      <c r="F23" s="33" t="s">
        <v>225</v>
      </c>
      <c r="G23" s="12" t="s">
        <v>68</v>
      </c>
      <c r="H23" s="12" t="s">
        <v>226</v>
      </c>
      <c r="I23" s="12" t="s">
        <v>227</v>
      </c>
      <c r="J23" s="17" t="s">
        <v>236</v>
      </c>
      <c r="K23" s="17" t="s">
        <v>236</v>
      </c>
      <c r="L23" s="17" t="s">
        <v>193</v>
      </c>
      <c r="M23" s="17">
        <v>32.0</v>
      </c>
      <c r="N23" s="20">
        <v>45833.0</v>
      </c>
      <c r="O23" s="17" t="s">
        <v>194</v>
      </c>
      <c r="P23" s="16">
        <v>5.0</v>
      </c>
      <c r="Q23" s="16">
        <v>5.0</v>
      </c>
      <c r="R23" s="16">
        <v>3.0</v>
      </c>
      <c r="S23" s="16">
        <v>3.0</v>
      </c>
      <c r="T23" s="16">
        <v>5.0</v>
      </c>
      <c r="U23" s="16">
        <v>5.0</v>
      </c>
      <c r="V23" s="16">
        <v>5.0</v>
      </c>
      <c r="W23" s="16">
        <v>3.0</v>
      </c>
      <c r="X23" s="16">
        <v>4.0</v>
      </c>
      <c r="Y23" s="16">
        <v>4.0</v>
      </c>
      <c r="Z23" s="16">
        <v>5.0</v>
      </c>
      <c r="AA23" s="16">
        <v>5.0</v>
      </c>
      <c r="AB23" s="16">
        <v>5.0</v>
      </c>
      <c r="AC23" s="16">
        <v>4.0</v>
      </c>
      <c r="AD23" s="38">
        <v>13.0</v>
      </c>
      <c r="AE23" s="38">
        <v>13.0</v>
      </c>
      <c r="AF23" s="38">
        <v>20.0</v>
      </c>
      <c r="AG23" s="38" t="s">
        <v>237</v>
      </c>
      <c r="AI23" s="18" t="s">
        <v>76</v>
      </c>
    </row>
    <row r="24">
      <c r="A24" s="11"/>
      <c r="B24" s="12" t="s">
        <v>34</v>
      </c>
      <c r="C24" s="12" t="s">
        <v>65</v>
      </c>
      <c r="D24" s="12" t="s">
        <v>43</v>
      </c>
      <c r="E24" s="12" t="s">
        <v>224</v>
      </c>
      <c r="F24" s="33" t="s">
        <v>225</v>
      </c>
      <c r="G24" s="12" t="s">
        <v>68</v>
      </c>
      <c r="H24" s="12" t="s">
        <v>226</v>
      </c>
      <c r="I24" s="12" t="s">
        <v>227</v>
      </c>
      <c r="J24" s="15" t="s">
        <v>238</v>
      </c>
      <c r="K24" s="15" t="s">
        <v>238</v>
      </c>
      <c r="L24" s="17" t="s">
        <v>193</v>
      </c>
      <c r="M24" s="17">
        <v>35.0</v>
      </c>
      <c r="N24" s="20">
        <v>45833.0</v>
      </c>
      <c r="O24" s="17" t="s">
        <v>194</v>
      </c>
      <c r="P24" s="16">
        <v>5.0</v>
      </c>
      <c r="Q24" s="16">
        <v>5.0</v>
      </c>
      <c r="R24" s="16">
        <v>5.0</v>
      </c>
      <c r="S24" s="16">
        <v>5.0</v>
      </c>
      <c r="T24" s="16">
        <v>4.0</v>
      </c>
      <c r="U24" s="16">
        <v>4.0</v>
      </c>
      <c r="V24" s="16">
        <v>4.0</v>
      </c>
      <c r="W24" s="16">
        <v>5.0</v>
      </c>
      <c r="X24" s="16">
        <v>5.0</v>
      </c>
      <c r="Y24" s="16">
        <v>5.0</v>
      </c>
      <c r="Z24" s="16">
        <v>4.0</v>
      </c>
      <c r="AA24" s="16">
        <v>5.0</v>
      </c>
      <c r="AB24" s="16">
        <v>4.0</v>
      </c>
      <c r="AC24" s="16">
        <v>5.0</v>
      </c>
      <c r="AD24" s="38">
        <v>13.0</v>
      </c>
      <c r="AE24" s="38">
        <v>17.0</v>
      </c>
      <c r="AF24" s="38">
        <v>16.0</v>
      </c>
      <c r="AG24" s="38" t="s">
        <v>239</v>
      </c>
      <c r="AI24" s="18" t="s">
        <v>76</v>
      </c>
    </row>
    <row r="25">
      <c r="A25" s="11"/>
      <c r="B25" s="12" t="s">
        <v>34</v>
      </c>
      <c r="C25" s="12" t="s">
        <v>65</v>
      </c>
      <c r="D25" s="12" t="s">
        <v>43</v>
      </c>
      <c r="E25" s="12" t="s">
        <v>224</v>
      </c>
      <c r="F25" s="33" t="s">
        <v>225</v>
      </c>
      <c r="G25" s="12" t="s">
        <v>68</v>
      </c>
      <c r="H25" s="12" t="s">
        <v>226</v>
      </c>
      <c r="I25" s="12" t="s">
        <v>227</v>
      </c>
      <c r="J25" s="17" t="s">
        <v>240</v>
      </c>
      <c r="K25" s="17" t="s">
        <v>240</v>
      </c>
      <c r="L25" s="17" t="s">
        <v>193</v>
      </c>
      <c r="M25" s="17">
        <v>35.0</v>
      </c>
      <c r="N25" s="20">
        <v>45833.0</v>
      </c>
      <c r="O25" s="17" t="s">
        <v>194</v>
      </c>
      <c r="P25" s="16">
        <v>4.0</v>
      </c>
      <c r="Q25" s="16">
        <v>4.0</v>
      </c>
      <c r="R25" s="16">
        <v>4.0</v>
      </c>
      <c r="S25" s="16">
        <v>4.0</v>
      </c>
      <c r="T25" s="16">
        <v>4.0</v>
      </c>
      <c r="U25" s="16">
        <v>5.0</v>
      </c>
      <c r="V25" s="16">
        <v>5.0</v>
      </c>
      <c r="W25" s="16">
        <v>4.0</v>
      </c>
      <c r="X25" s="16">
        <v>5.0</v>
      </c>
      <c r="Y25" s="16">
        <v>5.0</v>
      </c>
      <c r="Z25" s="16">
        <v>4.0</v>
      </c>
      <c r="AA25" s="16">
        <v>4.0</v>
      </c>
      <c r="AB25" s="16">
        <v>4.0</v>
      </c>
      <c r="AC25" s="16">
        <v>5.0</v>
      </c>
      <c r="AD25" s="37">
        <v>14.0</v>
      </c>
      <c r="AE25" s="37">
        <v>16.0</v>
      </c>
      <c r="AF25" s="37">
        <v>18.0</v>
      </c>
      <c r="AG25" s="37"/>
      <c r="AI25" s="18" t="s">
        <v>76</v>
      </c>
    </row>
    <row r="26">
      <c r="A26" s="11"/>
      <c r="B26" s="12" t="s">
        <v>34</v>
      </c>
      <c r="C26" s="12" t="s">
        <v>65</v>
      </c>
      <c r="D26" s="12" t="s">
        <v>43</v>
      </c>
      <c r="E26" s="12" t="s">
        <v>224</v>
      </c>
      <c r="F26" s="33" t="s">
        <v>225</v>
      </c>
      <c r="G26" s="12" t="s">
        <v>68</v>
      </c>
      <c r="H26" s="12" t="s">
        <v>226</v>
      </c>
      <c r="I26" s="12" t="s">
        <v>227</v>
      </c>
      <c r="J26" s="17" t="s">
        <v>241</v>
      </c>
      <c r="K26" s="17" t="s">
        <v>241</v>
      </c>
      <c r="L26" s="17" t="s">
        <v>193</v>
      </c>
      <c r="M26" s="17">
        <v>36.0</v>
      </c>
      <c r="N26" s="20">
        <v>45833.0</v>
      </c>
      <c r="O26" s="17" t="s">
        <v>194</v>
      </c>
      <c r="P26" s="16">
        <v>1.0</v>
      </c>
      <c r="Q26" s="16">
        <v>1.0</v>
      </c>
      <c r="R26" s="16">
        <v>4.0</v>
      </c>
      <c r="S26" s="16">
        <v>4.0</v>
      </c>
      <c r="T26" s="16">
        <v>4.0</v>
      </c>
      <c r="U26" s="16">
        <v>4.0</v>
      </c>
      <c r="V26" s="16">
        <v>4.0</v>
      </c>
      <c r="W26" s="16">
        <v>4.0</v>
      </c>
      <c r="X26" s="16">
        <v>4.0</v>
      </c>
      <c r="Y26" s="16">
        <v>4.0</v>
      </c>
      <c r="Z26" s="16">
        <v>4.0</v>
      </c>
      <c r="AA26" s="16">
        <v>1.0</v>
      </c>
      <c r="AB26" s="16">
        <v>4.0</v>
      </c>
      <c r="AC26" s="16">
        <v>4.0</v>
      </c>
      <c r="AD26" s="38">
        <v>17.0</v>
      </c>
      <c r="AE26" s="38">
        <v>15.0</v>
      </c>
      <c r="AF26" s="38">
        <v>16.0</v>
      </c>
      <c r="AG26" s="38" t="s">
        <v>242</v>
      </c>
      <c r="AI26" s="18" t="s">
        <v>76</v>
      </c>
    </row>
    <row r="27">
      <c r="A27" s="11"/>
      <c r="B27" s="12" t="s">
        <v>34</v>
      </c>
      <c r="C27" s="12" t="s">
        <v>65</v>
      </c>
      <c r="D27" s="12" t="s">
        <v>43</v>
      </c>
      <c r="E27" s="12" t="s">
        <v>224</v>
      </c>
      <c r="F27" s="33" t="s">
        <v>225</v>
      </c>
      <c r="G27" s="12" t="s">
        <v>68</v>
      </c>
      <c r="H27" s="12" t="s">
        <v>226</v>
      </c>
      <c r="I27" s="12" t="s">
        <v>227</v>
      </c>
      <c r="J27" s="17" t="s">
        <v>243</v>
      </c>
      <c r="K27" s="17" t="s">
        <v>243</v>
      </c>
      <c r="L27" s="17" t="s">
        <v>222</v>
      </c>
      <c r="M27" s="17">
        <v>32.0</v>
      </c>
      <c r="N27" s="20">
        <v>45833.0</v>
      </c>
      <c r="O27" s="17" t="s">
        <v>194</v>
      </c>
      <c r="P27" s="16">
        <v>4.0</v>
      </c>
      <c r="Q27" s="16">
        <v>4.0</v>
      </c>
      <c r="R27" s="16">
        <v>4.0</v>
      </c>
      <c r="S27" s="16">
        <v>4.0</v>
      </c>
      <c r="T27" s="16">
        <v>4.0</v>
      </c>
      <c r="U27" s="16">
        <v>3.0</v>
      </c>
      <c r="V27" s="16">
        <v>3.0</v>
      </c>
      <c r="W27" s="16">
        <v>4.0</v>
      </c>
      <c r="X27" s="16">
        <v>4.0</v>
      </c>
      <c r="Y27" s="16">
        <v>4.0</v>
      </c>
      <c r="Z27" s="16">
        <v>4.0</v>
      </c>
      <c r="AA27" s="16">
        <v>4.0</v>
      </c>
      <c r="AB27" s="16">
        <v>4.0</v>
      </c>
      <c r="AC27" s="16">
        <v>4.0</v>
      </c>
      <c r="AD27" s="38">
        <v>14.0</v>
      </c>
      <c r="AE27" s="38">
        <v>15.0</v>
      </c>
      <c r="AF27" s="38">
        <v>14.0</v>
      </c>
      <c r="AG27" s="38" t="s">
        <v>244</v>
      </c>
      <c r="AI27" s="18" t="s">
        <v>76</v>
      </c>
    </row>
    <row r="28">
      <c r="A28" s="11"/>
      <c r="B28" s="12" t="s">
        <v>34</v>
      </c>
      <c r="C28" s="12" t="s">
        <v>65</v>
      </c>
      <c r="D28" s="12" t="s">
        <v>43</v>
      </c>
      <c r="E28" s="12" t="s">
        <v>224</v>
      </c>
      <c r="F28" s="33" t="s">
        <v>225</v>
      </c>
      <c r="G28" s="12" t="s">
        <v>68</v>
      </c>
      <c r="H28" s="12" t="s">
        <v>226</v>
      </c>
      <c r="I28" s="12" t="s">
        <v>227</v>
      </c>
      <c r="J28" s="17" t="s">
        <v>245</v>
      </c>
      <c r="K28" s="17" t="s">
        <v>245</v>
      </c>
      <c r="L28" s="17" t="s">
        <v>193</v>
      </c>
      <c r="M28" s="17">
        <v>34.0</v>
      </c>
      <c r="N28" s="20">
        <v>45833.0</v>
      </c>
      <c r="O28" s="17" t="s">
        <v>194</v>
      </c>
      <c r="P28" s="16">
        <v>3.0</v>
      </c>
      <c r="Q28" s="16">
        <v>3.0</v>
      </c>
      <c r="R28" s="16">
        <v>3.0</v>
      </c>
      <c r="S28" s="16">
        <v>3.0</v>
      </c>
      <c r="T28" s="16">
        <v>5.0</v>
      </c>
      <c r="U28" s="16">
        <v>3.0</v>
      </c>
      <c r="V28" s="16">
        <v>3.0</v>
      </c>
      <c r="W28" s="16">
        <v>3.0</v>
      </c>
      <c r="X28" s="16">
        <v>3.0</v>
      </c>
      <c r="Y28" s="16">
        <v>3.0</v>
      </c>
      <c r="Z28" s="16">
        <v>5.0</v>
      </c>
      <c r="AA28" s="16">
        <v>3.0</v>
      </c>
      <c r="AB28" s="16">
        <v>5.0</v>
      </c>
      <c r="AC28" s="16">
        <v>3.0</v>
      </c>
      <c r="AD28" s="38">
        <v>15.0</v>
      </c>
      <c r="AE28" s="38">
        <v>12.0</v>
      </c>
      <c r="AF28" s="38">
        <v>16.0</v>
      </c>
      <c r="AG28" s="38" t="s">
        <v>246</v>
      </c>
      <c r="AI28" s="18" t="s">
        <v>76</v>
      </c>
    </row>
    <row r="29">
      <c r="A29" s="11"/>
      <c r="B29" s="12" t="s">
        <v>34</v>
      </c>
      <c r="C29" s="12" t="s">
        <v>65</v>
      </c>
      <c r="D29" s="12" t="s">
        <v>43</v>
      </c>
      <c r="E29" s="12" t="s">
        <v>224</v>
      </c>
      <c r="F29" s="33" t="s">
        <v>225</v>
      </c>
      <c r="G29" s="12" t="s">
        <v>68</v>
      </c>
      <c r="H29" s="12" t="s">
        <v>226</v>
      </c>
      <c r="I29" s="12" t="s">
        <v>227</v>
      </c>
      <c r="J29" s="17" t="s">
        <v>247</v>
      </c>
      <c r="K29" s="17" t="s">
        <v>247</v>
      </c>
      <c r="L29" s="17" t="s">
        <v>193</v>
      </c>
      <c r="M29" s="17">
        <v>28.0</v>
      </c>
      <c r="N29" s="20">
        <v>45833.0</v>
      </c>
      <c r="O29" s="17" t="s">
        <v>194</v>
      </c>
      <c r="P29" s="16">
        <v>4.0</v>
      </c>
      <c r="Q29" s="16">
        <v>4.0</v>
      </c>
      <c r="R29" s="16">
        <v>4.0</v>
      </c>
      <c r="S29" s="16">
        <v>4.0</v>
      </c>
      <c r="T29" s="16">
        <v>4.0</v>
      </c>
      <c r="U29" s="16">
        <v>5.0</v>
      </c>
      <c r="V29" s="16">
        <v>5.0</v>
      </c>
      <c r="W29" s="16">
        <v>4.0</v>
      </c>
      <c r="X29" s="16">
        <v>5.0</v>
      </c>
      <c r="Y29" s="16">
        <v>5.0</v>
      </c>
      <c r="Z29" s="16">
        <v>4.0</v>
      </c>
      <c r="AA29" s="16">
        <v>4.0</v>
      </c>
      <c r="AB29" s="16">
        <v>4.0</v>
      </c>
      <c r="AC29" s="16">
        <v>5.0</v>
      </c>
      <c r="AD29" s="38">
        <v>14.0</v>
      </c>
      <c r="AE29" s="38">
        <v>16.0</v>
      </c>
      <c r="AF29" s="38">
        <v>18.0</v>
      </c>
      <c r="AG29" s="38" t="s">
        <v>248</v>
      </c>
      <c r="AI29" s="18" t="s">
        <v>76</v>
      </c>
    </row>
    <row r="30">
      <c r="A30" s="11"/>
      <c r="B30" s="12" t="s">
        <v>34</v>
      </c>
      <c r="C30" s="12" t="s">
        <v>65</v>
      </c>
      <c r="D30" s="12" t="s">
        <v>43</v>
      </c>
      <c r="E30" s="12" t="s">
        <v>224</v>
      </c>
      <c r="F30" s="33" t="s">
        <v>225</v>
      </c>
      <c r="G30" s="12" t="s">
        <v>68</v>
      </c>
      <c r="H30" s="12" t="s">
        <v>226</v>
      </c>
      <c r="I30" s="12" t="s">
        <v>227</v>
      </c>
      <c r="J30" s="17" t="s">
        <v>249</v>
      </c>
      <c r="K30" s="17" t="s">
        <v>249</v>
      </c>
      <c r="L30" s="17" t="s">
        <v>250</v>
      </c>
      <c r="M30" s="17">
        <v>53.0</v>
      </c>
      <c r="N30" s="20">
        <v>45833.0</v>
      </c>
      <c r="O30" s="17" t="s">
        <v>194</v>
      </c>
      <c r="P30" s="16">
        <v>3.0</v>
      </c>
      <c r="Q30" s="16">
        <v>3.0</v>
      </c>
      <c r="R30" s="16">
        <v>4.0</v>
      </c>
      <c r="S30" s="16">
        <v>4.0</v>
      </c>
      <c r="T30" s="16">
        <v>4.0</v>
      </c>
      <c r="U30" s="16">
        <v>4.0</v>
      </c>
      <c r="V30" s="16">
        <v>4.0</v>
      </c>
      <c r="W30" s="16">
        <v>4.0</v>
      </c>
      <c r="X30" s="16">
        <v>4.0</v>
      </c>
      <c r="Y30" s="16">
        <v>4.0</v>
      </c>
      <c r="Z30" s="41">
        <v>4.0</v>
      </c>
      <c r="AA30" s="41">
        <v>3.0</v>
      </c>
      <c r="AB30" s="16">
        <v>4.0</v>
      </c>
      <c r="AC30" s="16">
        <v>4.0</v>
      </c>
      <c r="AD30" s="38">
        <v>15.0</v>
      </c>
      <c r="AE30" s="38">
        <v>15.0</v>
      </c>
      <c r="AF30" s="38">
        <v>16.0</v>
      </c>
      <c r="AG30" s="38" t="s">
        <v>251</v>
      </c>
      <c r="AI30" s="18" t="s">
        <v>76</v>
      </c>
    </row>
    <row r="31">
      <c r="A31" s="11"/>
      <c r="B31" s="12" t="s">
        <v>34</v>
      </c>
      <c r="C31" s="12" t="s">
        <v>65</v>
      </c>
      <c r="D31" s="12" t="s">
        <v>43</v>
      </c>
      <c r="E31" s="12" t="s">
        <v>224</v>
      </c>
      <c r="F31" s="13" t="s">
        <v>225</v>
      </c>
      <c r="G31" s="12" t="s">
        <v>68</v>
      </c>
      <c r="H31" s="12" t="s">
        <v>226</v>
      </c>
      <c r="I31" s="12" t="s">
        <v>227</v>
      </c>
      <c r="J31" s="17" t="s">
        <v>252</v>
      </c>
      <c r="K31" s="17" t="s">
        <v>252</v>
      </c>
      <c r="L31" s="17" t="s">
        <v>193</v>
      </c>
      <c r="M31" s="17">
        <v>32.0</v>
      </c>
      <c r="N31" s="20">
        <v>45833.0</v>
      </c>
      <c r="O31" s="17" t="s">
        <v>194</v>
      </c>
      <c r="P31" s="16">
        <v>5.0</v>
      </c>
      <c r="Q31" s="16">
        <v>5.0</v>
      </c>
      <c r="R31" s="16">
        <v>5.0</v>
      </c>
      <c r="S31" s="16">
        <v>5.0</v>
      </c>
      <c r="T31" s="16">
        <v>5.0</v>
      </c>
      <c r="U31" s="16">
        <v>5.0</v>
      </c>
      <c r="V31" s="16">
        <v>5.0</v>
      </c>
      <c r="W31" s="16">
        <v>5.0</v>
      </c>
      <c r="X31" s="16">
        <v>5.0</v>
      </c>
      <c r="Y31" s="16">
        <v>5.0</v>
      </c>
      <c r="Z31" s="42"/>
      <c r="AA31" s="16">
        <v>5.0</v>
      </c>
      <c r="AB31" s="16">
        <v>5.0</v>
      </c>
      <c r="AC31" s="16">
        <v>5.0</v>
      </c>
      <c r="AD31" s="38">
        <v>13.0</v>
      </c>
      <c r="AE31" s="38">
        <v>21.0</v>
      </c>
      <c r="AF31" s="38">
        <v>20.0</v>
      </c>
      <c r="AG31" s="38" t="s">
        <v>253</v>
      </c>
      <c r="AI31" s="18" t="s">
        <v>76</v>
      </c>
    </row>
    <row r="32">
      <c r="A32" s="11"/>
      <c r="B32" s="12" t="s">
        <v>34</v>
      </c>
      <c r="C32" s="12" t="s">
        <v>65</v>
      </c>
      <c r="D32" s="12" t="s">
        <v>43</v>
      </c>
      <c r="E32" s="12" t="s">
        <v>224</v>
      </c>
      <c r="F32" s="13" t="s">
        <v>225</v>
      </c>
      <c r="G32" s="12" t="s">
        <v>68</v>
      </c>
      <c r="H32" s="12" t="s">
        <v>226</v>
      </c>
      <c r="I32" s="12" t="s">
        <v>227</v>
      </c>
      <c r="J32" s="17" t="s">
        <v>254</v>
      </c>
      <c r="K32" s="17" t="s">
        <v>254</v>
      </c>
      <c r="L32" s="17" t="s">
        <v>193</v>
      </c>
      <c r="M32" s="17">
        <v>39.0</v>
      </c>
      <c r="N32" s="20">
        <v>45833.0</v>
      </c>
      <c r="O32" s="17" t="s">
        <v>194</v>
      </c>
      <c r="P32" s="16">
        <v>5.0</v>
      </c>
      <c r="Q32" s="16">
        <v>5.0</v>
      </c>
      <c r="R32" s="16">
        <v>4.0</v>
      </c>
      <c r="S32" s="16">
        <v>4.0</v>
      </c>
      <c r="T32" s="16">
        <v>5.0</v>
      </c>
      <c r="U32" s="16">
        <v>5.0</v>
      </c>
      <c r="V32" s="16">
        <v>5.0</v>
      </c>
      <c r="W32" s="16">
        <v>4.0</v>
      </c>
      <c r="X32" s="16">
        <v>5.0</v>
      </c>
      <c r="Y32" s="16">
        <v>5.0</v>
      </c>
      <c r="Z32" s="16">
        <v>5.0</v>
      </c>
      <c r="AA32" s="16">
        <v>5.0</v>
      </c>
      <c r="AB32" s="16">
        <v>5.0</v>
      </c>
      <c r="AC32" s="16">
        <v>5.0</v>
      </c>
      <c r="AD32" s="37">
        <v>13.0</v>
      </c>
      <c r="AE32" s="37">
        <v>15.0</v>
      </c>
      <c r="AF32" s="37">
        <v>20.0</v>
      </c>
      <c r="AG32" s="37"/>
      <c r="AI32" s="18" t="s">
        <v>76</v>
      </c>
    </row>
    <row r="33">
      <c r="A33" s="11"/>
      <c r="B33" s="12" t="s">
        <v>34</v>
      </c>
      <c r="C33" s="12" t="s">
        <v>65</v>
      </c>
      <c r="D33" s="12" t="s">
        <v>43</v>
      </c>
      <c r="E33" s="12" t="s">
        <v>224</v>
      </c>
      <c r="F33" s="13" t="s">
        <v>225</v>
      </c>
      <c r="G33" s="12" t="s">
        <v>68</v>
      </c>
      <c r="H33" s="12" t="s">
        <v>226</v>
      </c>
      <c r="I33" s="12" t="s">
        <v>227</v>
      </c>
      <c r="J33" s="17" t="s">
        <v>255</v>
      </c>
      <c r="K33" s="17" t="s">
        <v>255</v>
      </c>
      <c r="L33" s="17" t="s">
        <v>193</v>
      </c>
      <c r="M33" s="17">
        <v>30.0</v>
      </c>
      <c r="N33" s="20">
        <v>45833.0</v>
      </c>
      <c r="O33" s="17" t="s">
        <v>194</v>
      </c>
      <c r="P33" s="16">
        <v>4.0</v>
      </c>
      <c r="Q33" s="16">
        <v>4.0</v>
      </c>
      <c r="R33" s="16">
        <v>5.0</v>
      </c>
      <c r="S33" s="16">
        <v>5.0</v>
      </c>
      <c r="T33" s="16">
        <v>5.0</v>
      </c>
      <c r="U33" s="16">
        <v>5.0</v>
      </c>
      <c r="V33" s="16">
        <v>5.0</v>
      </c>
      <c r="W33" s="16">
        <v>5.0</v>
      </c>
      <c r="X33" s="16">
        <v>4.0</v>
      </c>
      <c r="Y33" s="16">
        <v>4.0</v>
      </c>
      <c r="Z33" s="16">
        <v>5.0</v>
      </c>
      <c r="AA33" s="16">
        <v>4.0</v>
      </c>
      <c r="AB33" s="16">
        <v>5.0</v>
      </c>
      <c r="AC33" s="16">
        <v>4.0</v>
      </c>
      <c r="AD33" s="38">
        <v>14.0</v>
      </c>
      <c r="AE33" s="38">
        <v>15.0</v>
      </c>
      <c r="AF33" s="38">
        <v>20.0</v>
      </c>
      <c r="AG33" s="38" t="s">
        <v>256</v>
      </c>
      <c r="AI33" s="18" t="s">
        <v>76</v>
      </c>
    </row>
    <row r="34">
      <c r="A34" s="11"/>
      <c r="B34" s="12" t="s">
        <v>34</v>
      </c>
      <c r="C34" s="12" t="s">
        <v>65</v>
      </c>
      <c r="D34" s="12" t="s">
        <v>43</v>
      </c>
      <c r="E34" s="12" t="s">
        <v>224</v>
      </c>
      <c r="F34" s="13" t="s">
        <v>225</v>
      </c>
      <c r="G34" s="12" t="s">
        <v>68</v>
      </c>
      <c r="H34" s="12" t="s">
        <v>226</v>
      </c>
      <c r="I34" s="12" t="s">
        <v>227</v>
      </c>
      <c r="J34" s="17" t="s">
        <v>257</v>
      </c>
      <c r="K34" s="17" t="s">
        <v>257</v>
      </c>
      <c r="L34" s="17" t="s">
        <v>193</v>
      </c>
      <c r="M34" s="17">
        <v>29.0</v>
      </c>
      <c r="N34" s="20">
        <v>45833.0</v>
      </c>
      <c r="O34" s="17" t="s">
        <v>194</v>
      </c>
      <c r="P34" s="16">
        <v>4.0</v>
      </c>
      <c r="Q34" s="16">
        <v>4.0</v>
      </c>
      <c r="R34" s="16">
        <v>4.0</v>
      </c>
      <c r="S34" s="16">
        <v>4.0</v>
      </c>
      <c r="T34" s="16">
        <v>5.0</v>
      </c>
      <c r="U34" s="16">
        <v>4.0</v>
      </c>
      <c r="V34" s="16">
        <v>4.0</v>
      </c>
      <c r="W34" s="16">
        <v>4.0</v>
      </c>
      <c r="X34" s="16">
        <v>4.0</v>
      </c>
      <c r="Y34" s="16">
        <v>4.0</v>
      </c>
      <c r="Z34" s="16">
        <v>5.0</v>
      </c>
      <c r="AA34" s="16">
        <v>4.0</v>
      </c>
      <c r="AB34" s="16">
        <v>5.0</v>
      </c>
      <c r="AC34" s="16">
        <v>4.0</v>
      </c>
      <c r="AD34" s="38">
        <v>14.0</v>
      </c>
      <c r="AE34" s="38">
        <v>14.0</v>
      </c>
      <c r="AF34" s="38">
        <v>18.0</v>
      </c>
      <c r="AG34" s="38" t="s">
        <v>258</v>
      </c>
      <c r="AI34" s="18" t="s">
        <v>76</v>
      </c>
    </row>
    <row r="35">
      <c r="A35" s="11"/>
      <c r="B35" s="12" t="s">
        <v>34</v>
      </c>
      <c r="C35" s="12" t="s">
        <v>65</v>
      </c>
      <c r="D35" s="12" t="s">
        <v>43</v>
      </c>
      <c r="E35" s="12" t="s">
        <v>224</v>
      </c>
      <c r="F35" s="13" t="s">
        <v>225</v>
      </c>
      <c r="G35" s="12" t="s">
        <v>68</v>
      </c>
      <c r="H35" s="12" t="s">
        <v>226</v>
      </c>
      <c r="I35" s="12" t="s">
        <v>227</v>
      </c>
      <c r="J35" s="17" t="s">
        <v>259</v>
      </c>
      <c r="K35" s="17" t="s">
        <v>259</v>
      </c>
      <c r="L35" s="17" t="s">
        <v>193</v>
      </c>
      <c r="M35" s="17">
        <v>25.0</v>
      </c>
      <c r="N35" s="20">
        <v>45833.0</v>
      </c>
      <c r="O35" s="17" t="s">
        <v>194</v>
      </c>
      <c r="P35" s="16">
        <v>4.0</v>
      </c>
      <c r="Q35" s="16">
        <v>4.0</v>
      </c>
      <c r="R35" s="16">
        <v>4.0</v>
      </c>
      <c r="S35" s="16">
        <v>4.0</v>
      </c>
      <c r="T35" s="16">
        <v>5.0</v>
      </c>
      <c r="U35" s="16">
        <v>3.0</v>
      </c>
      <c r="V35" s="16">
        <v>3.0</v>
      </c>
      <c r="W35" s="16">
        <v>4.0</v>
      </c>
      <c r="X35" s="16">
        <v>4.0</v>
      </c>
      <c r="Y35" s="16">
        <v>4.0</v>
      </c>
      <c r="Z35" s="16">
        <v>5.0</v>
      </c>
      <c r="AA35" s="16">
        <v>4.0</v>
      </c>
      <c r="AB35" s="16">
        <v>5.0</v>
      </c>
      <c r="AC35" s="16">
        <v>4.0</v>
      </c>
      <c r="AD35" s="38">
        <v>14.0</v>
      </c>
      <c r="AE35" s="38">
        <v>14.0</v>
      </c>
      <c r="AF35" s="38">
        <v>16.0</v>
      </c>
      <c r="AG35" s="38" t="s">
        <v>260</v>
      </c>
      <c r="AI35" s="18" t="s">
        <v>76</v>
      </c>
    </row>
    <row r="36">
      <c r="A36" s="11"/>
      <c r="B36" s="12" t="s">
        <v>34</v>
      </c>
      <c r="C36" s="12" t="s">
        <v>65</v>
      </c>
      <c r="D36" s="12" t="s">
        <v>43</v>
      </c>
      <c r="E36" s="12" t="s">
        <v>224</v>
      </c>
      <c r="F36" s="13" t="s">
        <v>225</v>
      </c>
      <c r="G36" s="12" t="s">
        <v>68</v>
      </c>
      <c r="H36" s="12" t="s">
        <v>226</v>
      </c>
      <c r="I36" s="12" t="s">
        <v>227</v>
      </c>
      <c r="J36" s="17" t="s">
        <v>261</v>
      </c>
      <c r="K36" s="17" t="s">
        <v>261</v>
      </c>
      <c r="L36" s="17" t="s">
        <v>250</v>
      </c>
      <c r="M36" s="17">
        <v>19.0</v>
      </c>
      <c r="N36" s="20">
        <v>45833.0</v>
      </c>
      <c r="O36" s="17" t="s">
        <v>194</v>
      </c>
      <c r="P36" s="16">
        <v>4.0</v>
      </c>
      <c r="Q36" s="16">
        <v>4.0</v>
      </c>
      <c r="R36" s="16">
        <v>4.0</v>
      </c>
      <c r="S36" s="16">
        <v>4.0</v>
      </c>
      <c r="T36" s="16">
        <v>5.0</v>
      </c>
      <c r="U36" s="16">
        <v>3.0</v>
      </c>
      <c r="V36" s="16">
        <v>3.0</v>
      </c>
      <c r="W36" s="16">
        <v>4.0</v>
      </c>
      <c r="X36" s="16">
        <v>4.0</v>
      </c>
      <c r="Y36" s="16">
        <v>4.0</v>
      </c>
      <c r="Z36" s="16">
        <v>5.0</v>
      </c>
      <c r="AA36" s="16">
        <v>4.0</v>
      </c>
      <c r="AB36" s="16">
        <v>5.0</v>
      </c>
      <c r="AC36" s="16">
        <v>4.0</v>
      </c>
      <c r="AD36" s="38">
        <v>14.0</v>
      </c>
      <c r="AE36" s="38">
        <v>14.0</v>
      </c>
      <c r="AF36" s="38">
        <v>16.0</v>
      </c>
      <c r="AG36" s="38" t="s">
        <v>262</v>
      </c>
      <c r="AI36" s="18" t="s">
        <v>76</v>
      </c>
    </row>
    <row r="37">
      <c r="A37" s="11"/>
      <c r="B37" s="12" t="s">
        <v>34</v>
      </c>
      <c r="C37" s="12" t="s">
        <v>65</v>
      </c>
      <c r="D37" s="12" t="s">
        <v>43</v>
      </c>
      <c r="E37" s="12" t="s">
        <v>224</v>
      </c>
      <c r="F37" s="13" t="s">
        <v>225</v>
      </c>
      <c r="G37" s="12" t="s">
        <v>68</v>
      </c>
      <c r="H37" s="12" t="s">
        <v>226</v>
      </c>
      <c r="I37" s="12" t="s">
        <v>227</v>
      </c>
      <c r="J37" s="17" t="s">
        <v>263</v>
      </c>
      <c r="K37" s="17" t="s">
        <v>263</v>
      </c>
      <c r="L37" s="17" t="s">
        <v>193</v>
      </c>
      <c r="M37" s="17">
        <v>37.0</v>
      </c>
      <c r="N37" s="20">
        <v>45833.0</v>
      </c>
      <c r="O37" s="17" t="s">
        <v>194</v>
      </c>
      <c r="P37" s="16">
        <v>5.0</v>
      </c>
      <c r="Q37" s="16">
        <v>5.0</v>
      </c>
      <c r="R37" s="16">
        <v>4.0</v>
      </c>
      <c r="S37" s="16">
        <v>4.0</v>
      </c>
      <c r="T37" s="16">
        <v>5.0</v>
      </c>
      <c r="U37" s="16">
        <v>5.0</v>
      </c>
      <c r="V37" s="16">
        <v>5.0</v>
      </c>
      <c r="W37" s="16">
        <v>4.0</v>
      </c>
      <c r="X37" s="16">
        <v>5.0</v>
      </c>
      <c r="Y37" s="16">
        <v>5.0</v>
      </c>
      <c r="Z37" s="16">
        <v>5.0</v>
      </c>
      <c r="AA37" s="16">
        <v>5.0</v>
      </c>
      <c r="AB37" s="16">
        <v>5.0</v>
      </c>
      <c r="AC37" s="16">
        <v>5.0</v>
      </c>
      <c r="AD37" s="38">
        <v>13.0</v>
      </c>
      <c r="AE37" s="38">
        <v>15.0</v>
      </c>
      <c r="AF37" s="38">
        <v>20.0</v>
      </c>
      <c r="AG37" s="38" t="s">
        <v>264</v>
      </c>
      <c r="AI37" s="18" t="s">
        <v>76</v>
      </c>
    </row>
    <row r="38">
      <c r="A38" s="11"/>
      <c r="B38" s="12" t="s">
        <v>34</v>
      </c>
      <c r="C38" s="12" t="s">
        <v>65</v>
      </c>
      <c r="D38" s="12" t="s">
        <v>43</v>
      </c>
      <c r="E38" s="12" t="s">
        <v>224</v>
      </c>
      <c r="F38" s="13" t="s">
        <v>225</v>
      </c>
      <c r="G38" s="12" t="s">
        <v>68</v>
      </c>
      <c r="H38" s="12" t="s">
        <v>226</v>
      </c>
      <c r="I38" s="12" t="s">
        <v>227</v>
      </c>
      <c r="J38" s="17" t="s">
        <v>265</v>
      </c>
      <c r="K38" s="17" t="s">
        <v>265</v>
      </c>
      <c r="L38" s="17" t="s">
        <v>193</v>
      </c>
      <c r="M38" s="17">
        <v>36.0</v>
      </c>
      <c r="N38" s="20">
        <v>45833.0</v>
      </c>
      <c r="O38" s="17" t="s">
        <v>194</v>
      </c>
      <c r="P38" s="16">
        <v>4.0</v>
      </c>
      <c r="Q38" s="16">
        <v>4.0</v>
      </c>
      <c r="R38" s="16">
        <v>3.0</v>
      </c>
      <c r="S38" s="16">
        <v>3.0</v>
      </c>
      <c r="T38" s="16">
        <v>4.0</v>
      </c>
      <c r="U38" s="16">
        <v>4.0</v>
      </c>
      <c r="V38" s="16">
        <v>4.0</v>
      </c>
      <c r="W38" s="16">
        <v>3.0</v>
      </c>
      <c r="X38" s="16">
        <v>4.0</v>
      </c>
      <c r="Y38" s="16">
        <v>4.0</v>
      </c>
      <c r="Z38" s="16">
        <v>4.0</v>
      </c>
      <c r="AA38" s="16">
        <v>4.0</v>
      </c>
      <c r="AB38" s="16">
        <v>4.0</v>
      </c>
      <c r="AC38" s="16">
        <v>4.0</v>
      </c>
      <c r="AD38" s="38">
        <v>14.0</v>
      </c>
      <c r="AE38" s="38">
        <v>14.0</v>
      </c>
      <c r="AF38" s="38">
        <v>16.0</v>
      </c>
      <c r="AG38" s="38" t="s">
        <v>266</v>
      </c>
      <c r="AI38" s="18" t="s">
        <v>76</v>
      </c>
    </row>
    <row r="39">
      <c r="A39" s="11"/>
      <c r="B39" s="12" t="s">
        <v>34</v>
      </c>
      <c r="C39" s="12" t="s">
        <v>65</v>
      </c>
      <c r="D39" s="12" t="s">
        <v>43</v>
      </c>
      <c r="E39" s="12" t="s">
        <v>224</v>
      </c>
      <c r="F39" s="13" t="s">
        <v>225</v>
      </c>
      <c r="G39" s="12" t="s">
        <v>68</v>
      </c>
      <c r="H39" s="12" t="s">
        <v>226</v>
      </c>
      <c r="I39" s="12" t="s">
        <v>227</v>
      </c>
      <c r="J39" s="17" t="s">
        <v>267</v>
      </c>
      <c r="K39" s="17" t="s">
        <v>267</v>
      </c>
      <c r="L39" s="17" t="s">
        <v>193</v>
      </c>
      <c r="M39" s="17">
        <v>26.0</v>
      </c>
      <c r="N39" s="20">
        <v>45833.0</v>
      </c>
      <c r="O39" s="17" t="s">
        <v>194</v>
      </c>
      <c r="P39" s="16">
        <v>4.0</v>
      </c>
      <c r="Q39" s="16">
        <v>4.0</v>
      </c>
      <c r="R39" s="16">
        <v>4.0</v>
      </c>
      <c r="S39" s="16">
        <v>4.0</v>
      </c>
      <c r="T39" s="16">
        <v>4.0</v>
      </c>
      <c r="U39" s="16">
        <v>2.0</v>
      </c>
      <c r="V39" s="16">
        <v>2.0</v>
      </c>
      <c r="W39" s="16">
        <v>4.0</v>
      </c>
      <c r="X39" s="16">
        <v>2.0</v>
      </c>
      <c r="Y39" s="16">
        <v>2.0</v>
      </c>
      <c r="Z39" s="16">
        <v>4.0</v>
      </c>
      <c r="AA39" s="16">
        <v>4.0</v>
      </c>
      <c r="AB39" s="16">
        <v>4.0</v>
      </c>
      <c r="AC39" s="16">
        <v>2.0</v>
      </c>
      <c r="AD39" s="38">
        <v>14.0</v>
      </c>
      <c r="AE39" s="38">
        <v>13.0</v>
      </c>
      <c r="AF39" s="38">
        <v>12.0</v>
      </c>
      <c r="AG39" s="38" t="s">
        <v>268</v>
      </c>
      <c r="AI39" s="18" t="s">
        <v>76</v>
      </c>
    </row>
    <row r="40">
      <c r="A40" s="11"/>
      <c r="B40" s="12" t="s">
        <v>34</v>
      </c>
      <c r="C40" s="12" t="s">
        <v>65</v>
      </c>
      <c r="D40" s="12" t="s">
        <v>43</v>
      </c>
      <c r="E40" s="12" t="s">
        <v>224</v>
      </c>
      <c r="F40" s="13" t="s">
        <v>225</v>
      </c>
      <c r="G40" s="12" t="s">
        <v>68</v>
      </c>
      <c r="H40" s="12" t="s">
        <v>226</v>
      </c>
      <c r="I40" s="12" t="s">
        <v>227</v>
      </c>
      <c r="J40" s="15" t="s">
        <v>269</v>
      </c>
      <c r="K40" s="15" t="s">
        <v>269</v>
      </c>
      <c r="L40" s="17" t="s">
        <v>193</v>
      </c>
      <c r="M40" s="17">
        <v>29.0</v>
      </c>
      <c r="N40" s="20">
        <v>45833.0</v>
      </c>
      <c r="O40" s="17" t="s">
        <v>194</v>
      </c>
      <c r="P40" s="16">
        <v>5.0</v>
      </c>
      <c r="Q40" s="16">
        <v>5.0</v>
      </c>
      <c r="R40" s="16">
        <v>4.0</v>
      </c>
      <c r="S40" s="16">
        <v>4.0</v>
      </c>
      <c r="T40" s="16">
        <v>5.0</v>
      </c>
      <c r="U40" s="16">
        <v>5.0</v>
      </c>
      <c r="V40" s="16">
        <v>5.0</v>
      </c>
      <c r="W40" s="16">
        <v>4.0</v>
      </c>
      <c r="X40" s="16">
        <v>5.0</v>
      </c>
      <c r="Y40" s="16">
        <v>5.0</v>
      </c>
      <c r="Z40" s="16">
        <v>5.0</v>
      </c>
      <c r="AA40" s="16">
        <v>5.0</v>
      </c>
      <c r="AB40" s="16">
        <v>5.0</v>
      </c>
      <c r="AC40" s="16">
        <v>5.0</v>
      </c>
      <c r="AD40" s="38">
        <v>13.0</v>
      </c>
      <c r="AE40" s="38">
        <v>15.0</v>
      </c>
      <c r="AF40" s="38">
        <v>20.0</v>
      </c>
      <c r="AG40" s="38" t="s">
        <v>270</v>
      </c>
      <c r="AI40" s="18" t="s">
        <v>76</v>
      </c>
    </row>
    <row r="41">
      <c r="A41" s="11"/>
      <c r="B41" s="12" t="s">
        <v>34</v>
      </c>
      <c r="C41" s="12" t="s">
        <v>65</v>
      </c>
      <c r="D41" s="12" t="s">
        <v>43</v>
      </c>
      <c r="E41" s="12" t="s">
        <v>224</v>
      </c>
      <c r="F41" s="13" t="s">
        <v>225</v>
      </c>
      <c r="G41" s="12" t="s">
        <v>68</v>
      </c>
      <c r="H41" s="12" t="s">
        <v>226</v>
      </c>
      <c r="I41" s="12" t="s">
        <v>227</v>
      </c>
      <c r="J41" s="17" t="s">
        <v>271</v>
      </c>
      <c r="K41" s="17" t="s">
        <v>271</v>
      </c>
      <c r="L41" s="17" t="s">
        <v>193</v>
      </c>
      <c r="M41" s="17">
        <v>36.0</v>
      </c>
      <c r="N41" s="20">
        <v>45833.0</v>
      </c>
      <c r="O41" s="17" t="s">
        <v>194</v>
      </c>
      <c r="P41" s="16">
        <v>4.0</v>
      </c>
      <c r="Q41" s="16">
        <v>4.0</v>
      </c>
      <c r="R41" s="16">
        <v>5.0</v>
      </c>
      <c r="S41" s="16">
        <v>5.0</v>
      </c>
      <c r="T41" s="16">
        <v>5.0</v>
      </c>
      <c r="U41" s="16">
        <v>4.0</v>
      </c>
      <c r="V41" s="16">
        <v>4.0</v>
      </c>
      <c r="W41" s="16">
        <v>5.0</v>
      </c>
      <c r="X41" s="16">
        <v>5.0</v>
      </c>
      <c r="Y41" s="16">
        <v>5.0</v>
      </c>
      <c r="Z41" s="16">
        <v>5.0</v>
      </c>
      <c r="AA41" s="16">
        <v>4.0</v>
      </c>
      <c r="AB41" s="16">
        <v>5.0</v>
      </c>
      <c r="AC41" s="16">
        <v>5.0</v>
      </c>
      <c r="AD41" s="38">
        <v>14.0</v>
      </c>
      <c r="AE41" s="38">
        <v>16.0</v>
      </c>
      <c r="AF41" s="38">
        <v>18.0</v>
      </c>
      <c r="AG41" s="38" t="s">
        <v>272</v>
      </c>
      <c r="AI41" s="18" t="s">
        <v>76</v>
      </c>
    </row>
    <row r="42">
      <c r="A42" s="11"/>
      <c r="B42" s="12" t="s">
        <v>34</v>
      </c>
      <c r="C42" s="12" t="s">
        <v>65</v>
      </c>
      <c r="D42" s="12" t="s">
        <v>43</v>
      </c>
      <c r="E42" s="12" t="s">
        <v>224</v>
      </c>
      <c r="F42" s="13" t="s">
        <v>225</v>
      </c>
      <c r="G42" s="12" t="s">
        <v>68</v>
      </c>
      <c r="H42" s="12" t="s">
        <v>226</v>
      </c>
      <c r="I42" s="12" t="s">
        <v>227</v>
      </c>
      <c r="J42" s="17" t="s">
        <v>273</v>
      </c>
      <c r="K42" s="17" t="s">
        <v>273</v>
      </c>
      <c r="L42" s="17" t="s">
        <v>193</v>
      </c>
      <c r="M42" s="17">
        <v>24.0</v>
      </c>
      <c r="N42" s="20">
        <v>45833.0</v>
      </c>
      <c r="O42" s="17" t="s">
        <v>194</v>
      </c>
      <c r="P42" s="16">
        <v>4.0</v>
      </c>
      <c r="Q42" s="16">
        <v>4.0</v>
      </c>
      <c r="R42" s="16">
        <v>4.0</v>
      </c>
      <c r="S42" s="16">
        <v>4.0</v>
      </c>
      <c r="T42" s="16">
        <v>4.0</v>
      </c>
      <c r="U42" s="16">
        <v>4.0</v>
      </c>
      <c r="V42" s="16">
        <v>4.0</v>
      </c>
      <c r="W42" s="16">
        <v>4.0</v>
      </c>
      <c r="X42" s="16">
        <v>4.0</v>
      </c>
      <c r="Y42" s="16">
        <v>4.0</v>
      </c>
      <c r="Z42" s="16">
        <v>4.0</v>
      </c>
      <c r="AA42" s="16">
        <v>4.0</v>
      </c>
      <c r="AB42" s="16">
        <v>4.0</v>
      </c>
      <c r="AC42" s="16">
        <v>4.0</v>
      </c>
      <c r="AD42" s="38">
        <v>14.0</v>
      </c>
      <c r="AE42" s="38">
        <v>15.0</v>
      </c>
      <c r="AF42" s="38">
        <v>16.0</v>
      </c>
      <c r="AG42" s="38" t="s">
        <v>274</v>
      </c>
      <c r="AI42" s="18" t="s">
        <v>76</v>
      </c>
    </row>
    <row r="43">
      <c r="A43" s="11"/>
      <c r="B43" s="12" t="s">
        <v>34</v>
      </c>
      <c r="C43" s="12" t="s">
        <v>65</v>
      </c>
      <c r="D43" s="12" t="s">
        <v>43</v>
      </c>
      <c r="E43" s="12" t="s">
        <v>224</v>
      </c>
      <c r="F43" s="13" t="s">
        <v>225</v>
      </c>
      <c r="G43" s="12" t="s">
        <v>68</v>
      </c>
      <c r="H43" s="12" t="s">
        <v>226</v>
      </c>
      <c r="I43" s="12" t="s">
        <v>227</v>
      </c>
      <c r="J43" s="17" t="s">
        <v>275</v>
      </c>
      <c r="K43" s="17" t="s">
        <v>275</v>
      </c>
      <c r="L43" s="17" t="s">
        <v>193</v>
      </c>
      <c r="M43" s="17">
        <v>27.0</v>
      </c>
      <c r="N43" s="20">
        <v>45833.0</v>
      </c>
      <c r="O43" s="17" t="s">
        <v>194</v>
      </c>
      <c r="P43" s="16">
        <v>4.0</v>
      </c>
      <c r="Q43" s="16">
        <v>4.0</v>
      </c>
      <c r="R43" s="16">
        <v>3.0</v>
      </c>
      <c r="S43" s="16">
        <v>3.0</v>
      </c>
      <c r="T43" s="16">
        <v>4.0</v>
      </c>
      <c r="U43" s="16">
        <v>3.0</v>
      </c>
      <c r="V43" s="16">
        <v>3.0</v>
      </c>
      <c r="W43" s="16">
        <v>3.0</v>
      </c>
      <c r="X43" s="16">
        <v>4.0</v>
      </c>
      <c r="Y43" s="16">
        <v>4.0</v>
      </c>
      <c r="Z43" s="16">
        <v>4.0</v>
      </c>
      <c r="AA43" s="16">
        <v>4.0</v>
      </c>
      <c r="AB43" s="16">
        <v>4.0</v>
      </c>
      <c r="AC43" s="16">
        <v>4.0</v>
      </c>
      <c r="AD43" s="38">
        <v>14.0</v>
      </c>
      <c r="AE43" s="38">
        <v>14.0</v>
      </c>
      <c r="AF43" s="38">
        <v>14.0</v>
      </c>
      <c r="AG43" s="38" t="s">
        <v>276</v>
      </c>
      <c r="AI43" s="18" t="s">
        <v>76</v>
      </c>
    </row>
    <row r="44">
      <c r="A44" s="11"/>
      <c r="B44" s="12" t="s">
        <v>34</v>
      </c>
      <c r="C44" s="12" t="s">
        <v>65</v>
      </c>
      <c r="D44" s="12" t="s">
        <v>43</v>
      </c>
      <c r="E44" s="12" t="s">
        <v>224</v>
      </c>
      <c r="F44" s="13" t="s">
        <v>225</v>
      </c>
      <c r="G44" s="12" t="s">
        <v>68</v>
      </c>
      <c r="H44" s="12" t="s">
        <v>226</v>
      </c>
      <c r="I44" s="12" t="s">
        <v>227</v>
      </c>
      <c r="J44" s="17" t="s">
        <v>277</v>
      </c>
      <c r="K44" s="17" t="s">
        <v>277</v>
      </c>
      <c r="L44" s="17" t="s">
        <v>193</v>
      </c>
      <c r="M44" s="17">
        <v>25.0</v>
      </c>
      <c r="N44" s="20">
        <v>45833.0</v>
      </c>
      <c r="O44" s="17" t="s">
        <v>194</v>
      </c>
      <c r="P44" s="16">
        <v>5.0</v>
      </c>
      <c r="Q44" s="16">
        <v>5.0</v>
      </c>
      <c r="R44" s="16">
        <v>3.0</v>
      </c>
      <c r="S44" s="16">
        <v>3.0</v>
      </c>
      <c r="T44" s="16">
        <v>4.0</v>
      </c>
      <c r="U44" s="16">
        <v>3.0</v>
      </c>
      <c r="V44" s="16">
        <v>3.0</v>
      </c>
      <c r="W44" s="16">
        <v>3.0</v>
      </c>
      <c r="X44" s="16">
        <v>3.0</v>
      </c>
      <c r="Y44" s="16">
        <v>3.0</v>
      </c>
      <c r="Z44" s="16">
        <v>4.0</v>
      </c>
      <c r="AA44" s="16">
        <v>5.0</v>
      </c>
      <c r="AB44" s="16">
        <v>4.0</v>
      </c>
      <c r="AC44" s="16">
        <v>3.0</v>
      </c>
      <c r="AD44" s="38">
        <v>13.0</v>
      </c>
      <c r="AE44" s="38">
        <v>13.0</v>
      </c>
      <c r="AF44" s="38">
        <v>14.0</v>
      </c>
      <c r="AG44" s="38" t="s">
        <v>278</v>
      </c>
      <c r="AI44" s="18" t="s">
        <v>76</v>
      </c>
    </row>
    <row r="45">
      <c r="A45" s="11"/>
      <c r="B45" s="12" t="s">
        <v>34</v>
      </c>
      <c r="C45" s="12" t="s">
        <v>65</v>
      </c>
      <c r="D45" s="12" t="s">
        <v>43</v>
      </c>
      <c r="E45" s="12" t="s">
        <v>224</v>
      </c>
      <c r="F45" s="13" t="s">
        <v>225</v>
      </c>
      <c r="G45" s="12" t="s">
        <v>68</v>
      </c>
      <c r="H45" s="12" t="s">
        <v>226</v>
      </c>
      <c r="I45" s="12" t="s">
        <v>227</v>
      </c>
      <c r="J45" s="17" t="s">
        <v>279</v>
      </c>
      <c r="K45" s="17" t="s">
        <v>279</v>
      </c>
      <c r="L45" s="17" t="s">
        <v>193</v>
      </c>
      <c r="M45" s="17">
        <v>25.0</v>
      </c>
      <c r="N45" s="20">
        <v>45833.0</v>
      </c>
      <c r="O45" s="17" t="s">
        <v>194</v>
      </c>
      <c r="P45" s="16">
        <v>4.0</v>
      </c>
      <c r="Q45" s="16">
        <v>4.0</v>
      </c>
      <c r="R45" s="16">
        <v>3.0</v>
      </c>
      <c r="S45" s="16">
        <v>3.0</v>
      </c>
      <c r="T45" s="16">
        <v>4.0</v>
      </c>
      <c r="U45" s="16">
        <v>3.0</v>
      </c>
      <c r="V45" s="16">
        <v>3.0</v>
      </c>
      <c r="W45" s="16">
        <v>3.0</v>
      </c>
      <c r="X45" s="16">
        <v>4.0</v>
      </c>
      <c r="Y45" s="16">
        <v>4.0</v>
      </c>
      <c r="Z45" s="16">
        <v>4.0</v>
      </c>
      <c r="AA45" s="16">
        <v>4.0</v>
      </c>
      <c r="AB45" s="16">
        <v>4.0</v>
      </c>
      <c r="AC45" s="16">
        <v>4.0</v>
      </c>
      <c r="AD45" s="38">
        <v>14.0</v>
      </c>
      <c r="AE45" s="38">
        <v>14.0</v>
      </c>
      <c r="AF45" s="38">
        <v>14.0</v>
      </c>
      <c r="AG45" s="38" t="s">
        <v>280</v>
      </c>
      <c r="AI45" s="18" t="s">
        <v>76</v>
      </c>
    </row>
    <row r="46">
      <c r="A46" s="11"/>
      <c r="B46" s="12" t="s">
        <v>34</v>
      </c>
      <c r="C46" s="12" t="s">
        <v>65</v>
      </c>
      <c r="D46" s="12" t="s">
        <v>43</v>
      </c>
      <c r="E46" s="12" t="s">
        <v>224</v>
      </c>
      <c r="F46" s="13" t="s">
        <v>225</v>
      </c>
      <c r="G46" s="12" t="s">
        <v>68</v>
      </c>
      <c r="H46" s="12" t="s">
        <v>226</v>
      </c>
      <c r="I46" s="12" t="s">
        <v>227</v>
      </c>
      <c r="J46" s="17" t="s">
        <v>281</v>
      </c>
      <c r="K46" s="17" t="s">
        <v>281</v>
      </c>
      <c r="L46" s="17" t="s">
        <v>193</v>
      </c>
      <c r="M46" s="17">
        <v>28.0</v>
      </c>
      <c r="N46" s="20">
        <v>45833.0</v>
      </c>
      <c r="O46" s="17" t="s">
        <v>194</v>
      </c>
      <c r="P46" s="16">
        <v>5.0</v>
      </c>
      <c r="Q46" s="16">
        <v>5.0</v>
      </c>
      <c r="R46" s="16">
        <v>4.0</v>
      </c>
      <c r="S46" s="16">
        <v>4.0</v>
      </c>
      <c r="T46" s="16">
        <v>4.0</v>
      </c>
      <c r="U46" s="16">
        <v>3.0</v>
      </c>
      <c r="V46" s="16">
        <v>3.0</v>
      </c>
      <c r="W46" s="16">
        <v>4.0</v>
      </c>
      <c r="X46" s="16">
        <v>5.0</v>
      </c>
      <c r="Y46" s="16">
        <v>5.0</v>
      </c>
      <c r="Z46" s="16">
        <v>4.0</v>
      </c>
      <c r="AA46" s="16">
        <v>5.0</v>
      </c>
      <c r="AB46" s="16">
        <v>4.0</v>
      </c>
      <c r="AC46" s="16">
        <v>5.0</v>
      </c>
      <c r="AD46" s="38">
        <v>13.0</v>
      </c>
      <c r="AE46" s="38">
        <v>16.0</v>
      </c>
      <c r="AF46" s="38">
        <v>14.0</v>
      </c>
      <c r="AG46" s="38" t="s">
        <v>282</v>
      </c>
      <c r="AI46" s="18" t="s">
        <v>76</v>
      </c>
    </row>
    <row r="47">
      <c r="A47" s="11"/>
      <c r="B47" s="12" t="s">
        <v>34</v>
      </c>
      <c r="C47" s="12" t="s">
        <v>65</v>
      </c>
      <c r="D47" s="12" t="s">
        <v>43</v>
      </c>
      <c r="E47" s="12" t="s">
        <v>224</v>
      </c>
      <c r="F47" s="13" t="s">
        <v>225</v>
      </c>
      <c r="G47" s="12" t="s">
        <v>68</v>
      </c>
      <c r="H47" s="12" t="s">
        <v>226</v>
      </c>
      <c r="I47" s="12" t="s">
        <v>227</v>
      </c>
      <c r="J47" s="17" t="s">
        <v>283</v>
      </c>
      <c r="K47" s="17" t="s">
        <v>283</v>
      </c>
      <c r="L47" s="17" t="s">
        <v>193</v>
      </c>
      <c r="M47" s="17">
        <v>35.0</v>
      </c>
      <c r="N47" s="20">
        <v>45833.0</v>
      </c>
      <c r="O47" s="17" t="s">
        <v>194</v>
      </c>
      <c r="P47" s="16">
        <v>4.0</v>
      </c>
      <c r="Q47" s="16">
        <v>4.0</v>
      </c>
      <c r="R47" s="16">
        <v>3.0</v>
      </c>
      <c r="S47" s="16">
        <v>3.0</v>
      </c>
      <c r="T47" s="16">
        <v>4.0</v>
      </c>
      <c r="U47" s="16">
        <v>3.0</v>
      </c>
      <c r="V47" s="16">
        <v>3.0</v>
      </c>
      <c r="W47" s="16">
        <v>3.0</v>
      </c>
      <c r="X47" s="16">
        <v>4.0</v>
      </c>
      <c r="Y47" s="16">
        <v>4.0</v>
      </c>
      <c r="Z47" s="16">
        <v>4.0</v>
      </c>
      <c r="AA47" s="16">
        <v>4.0</v>
      </c>
      <c r="AB47" s="16">
        <v>4.0</v>
      </c>
      <c r="AC47" s="16">
        <v>4.0</v>
      </c>
      <c r="AD47" s="38">
        <v>14.0</v>
      </c>
      <c r="AE47" s="38">
        <v>14.0</v>
      </c>
      <c r="AF47" s="38">
        <v>14.0</v>
      </c>
      <c r="AG47" s="38" t="s">
        <v>284</v>
      </c>
      <c r="AI47" s="18" t="s">
        <v>76</v>
      </c>
    </row>
    <row r="48">
      <c r="A48" s="11"/>
      <c r="B48" s="12" t="s">
        <v>34</v>
      </c>
      <c r="C48" s="12" t="s">
        <v>65</v>
      </c>
      <c r="D48" s="12" t="s">
        <v>43</v>
      </c>
      <c r="E48" s="12" t="s">
        <v>224</v>
      </c>
      <c r="F48" s="13" t="s">
        <v>225</v>
      </c>
      <c r="G48" s="12" t="s">
        <v>68</v>
      </c>
      <c r="H48" s="12" t="s">
        <v>226</v>
      </c>
      <c r="I48" s="12" t="s">
        <v>227</v>
      </c>
      <c r="J48" s="17" t="s">
        <v>285</v>
      </c>
      <c r="K48" s="17" t="s">
        <v>285</v>
      </c>
      <c r="L48" s="17" t="s">
        <v>193</v>
      </c>
      <c r="M48" s="17">
        <v>23.0</v>
      </c>
      <c r="N48" s="20">
        <v>45833.0</v>
      </c>
      <c r="O48" s="17" t="s">
        <v>194</v>
      </c>
      <c r="P48" s="16">
        <v>4.0</v>
      </c>
      <c r="Q48" s="16">
        <v>4.0</v>
      </c>
      <c r="R48" s="16">
        <v>5.0</v>
      </c>
      <c r="S48" s="16">
        <v>5.0</v>
      </c>
      <c r="T48" s="16">
        <v>4.0</v>
      </c>
      <c r="U48" s="16">
        <v>4.0</v>
      </c>
      <c r="V48" s="16">
        <v>4.0</v>
      </c>
      <c r="W48" s="16">
        <v>5.0</v>
      </c>
      <c r="X48" s="16">
        <v>4.0</v>
      </c>
      <c r="Y48" s="16">
        <v>4.0</v>
      </c>
      <c r="Z48" s="16">
        <v>4.0</v>
      </c>
      <c r="AA48" s="16">
        <v>4.0</v>
      </c>
      <c r="AB48" s="16">
        <v>4.0</v>
      </c>
      <c r="AC48" s="16">
        <v>4.0</v>
      </c>
      <c r="AD48" s="38">
        <v>14.0</v>
      </c>
      <c r="AE48" s="38">
        <v>16.0</v>
      </c>
      <c r="AF48" s="38">
        <v>16.0</v>
      </c>
      <c r="AG48" s="38" t="s">
        <v>286</v>
      </c>
      <c r="AI48" s="18" t="s">
        <v>76</v>
      </c>
    </row>
    <row r="49">
      <c r="A49" s="11"/>
      <c r="B49" s="12" t="s">
        <v>34</v>
      </c>
      <c r="C49" s="12" t="s">
        <v>65</v>
      </c>
      <c r="D49" s="12" t="s">
        <v>43</v>
      </c>
      <c r="E49" s="12" t="s">
        <v>224</v>
      </c>
      <c r="F49" s="13" t="s">
        <v>225</v>
      </c>
      <c r="G49" s="12" t="s">
        <v>68</v>
      </c>
      <c r="H49" s="12" t="s">
        <v>226</v>
      </c>
      <c r="I49" s="12" t="s">
        <v>227</v>
      </c>
      <c r="J49" s="17" t="s">
        <v>287</v>
      </c>
      <c r="K49" s="17" t="s">
        <v>287</v>
      </c>
      <c r="L49" s="17" t="s">
        <v>193</v>
      </c>
      <c r="M49" s="17">
        <v>35.0</v>
      </c>
      <c r="N49" s="20">
        <v>45833.0</v>
      </c>
      <c r="O49" s="17" t="s">
        <v>194</v>
      </c>
      <c r="P49" s="16">
        <v>1.0</v>
      </c>
      <c r="Q49" s="16">
        <v>1.0</v>
      </c>
      <c r="R49" s="16">
        <v>2.0</v>
      </c>
      <c r="S49" s="16">
        <v>2.0</v>
      </c>
      <c r="T49" s="16">
        <v>3.0</v>
      </c>
      <c r="U49" s="16">
        <v>3.0</v>
      </c>
      <c r="V49" s="16">
        <v>3.0</v>
      </c>
      <c r="W49" s="16">
        <v>2.0</v>
      </c>
      <c r="X49" s="16">
        <v>4.0</v>
      </c>
      <c r="Y49" s="16">
        <v>4.0</v>
      </c>
      <c r="Z49" s="16">
        <v>3.0</v>
      </c>
      <c r="AA49" s="16">
        <v>1.0</v>
      </c>
      <c r="AB49" s="16">
        <v>3.0</v>
      </c>
      <c r="AC49" s="16">
        <v>4.0</v>
      </c>
      <c r="AD49" s="37">
        <v>17.0</v>
      </c>
      <c r="AE49" s="37">
        <v>14.0</v>
      </c>
      <c r="AF49" s="37">
        <v>12.0</v>
      </c>
      <c r="AG49" s="37"/>
      <c r="AI49" s="18" t="s">
        <v>76</v>
      </c>
    </row>
    <row r="50">
      <c r="A50" s="11"/>
      <c r="B50" s="12" t="s">
        <v>34</v>
      </c>
      <c r="C50" s="12" t="s">
        <v>65</v>
      </c>
      <c r="D50" s="12" t="s">
        <v>43</v>
      </c>
      <c r="E50" s="12" t="s">
        <v>224</v>
      </c>
      <c r="F50" s="13" t="s">
        <v>225</v>
      </c>
      <c r="G50" s="12" t="s">
        <v>68</v>
      </c>
      <c r="H50" s="12" t="s">
        <v>226</v>
      </c>
      <c r="I50" s="12" t="s">
        <v>227</v>
      </c>
      <c r="J50" s="17" t="s">
        <v>288</v>
      </c>
      <c r="K50" s="17" t="s">
        <v>288</v>
      </c>
      <c r="L50" s="17" t="s">
        <v>222</v>
      </c>
      <c r="M50" s="17">
        <v>40.0</v>
      </c>
      <c r="N50" s="20">
        <v>45833.0</v>
      </c>
      <c r="O50" s="17" t="s">
        <v>194</v>
      </c>
      <c r="P50" s="16">
        <v>4.0</v>
      </c>
      <c r="Q50" s="16">
        <v>4.0</v>
      </c>
      <c r="R50" s="16">
        <v>4.0</v>
      </c>
      <c r="S50" s="16">
        <v>4.0</v>
      </c>
      <c r="T50" s="16">
        <v>4.0</v>
      </c>
      <c r="U50" s="16">
        <v>4.0</v>
      </c>
      <c r="V50" s="16">
        <v>4.0</v>
      </c>
      <c r="W50" s="16">
        <v>4.0</v>
      </c>
      <c r="X50" s="16">
        <v>4.0</v>
      </c>
      <c r="Y50" s="16">
        <v>4.0</v>
      </c>
      <c r="Z50" s="16">
        <v>4.0</v>
      </c>
      <c r="AA50" s="16">
        <v>4.0</v>
      </c>
      <c r="AB50" s="16">
        <v>4.0</v>
      </c>
      <c r="AC50" s="16">
        <v>4.0</v>
      </c>
      <c r="AD50" s="38">
        <v>14.0</v>
      </c>
      <c r="AE50" s="38">
        <v>15.0</v>
      </c>
      <c r="AF50" s="38">
        <v>16.0</v>
      </c>
      <c r="AG50" s="38" t="s">
        <v>289</v>
      </c>
      <c r="AI50" s="18" t="s">
        <v>76</v>
      </c>
    </row>
    <row r="51">
      <c r="A51" s="11"/>
      <c r="B51" s="12" t="s">
        <v>34</v>
      </c>
      <c r="C51" s="12" t="s">
        <v>65</v>
      </c>
      <c r="D51" s="12" t="s">
        <v>43</v>
      </c>
      <c r="E51" s="12" t="s">
        <v>224</v>
      </c>
      <c r="F51" s="13" t="s">
        <v>225</v>
      </c>
      <c r="G51" s="12" t="s">
        <v>68</v>
      </c>
      <c r="H51" s="12" t="s">
        <v>226</v>
      </c>
      <c r="I51" s="12" t="s">
        <v>227</v>
      </c>
      <c r="J51" s="17" t="s">
        <v>290</v>
      </c>
      <c r="K51" s="17" t="s">
        <v>290</v>
      </c>
      <c r="L51" s="17" t="s">
        <v>222</v>
      </c>
      <c r="M51" s="17">
        <v>39.0</v>
      </c>
      <c r="N51" s="20">
        <v>45833.0</v>
      </c>
      <c r="O51" s="17" t="s">
        <v>194</v>
      </c>
      <c r="P51" s="16">
        <v>4.0</v>
      </c>
      <c r="Q51" s="16">
        <v>4.0</v>
      </c>
      <c r="R51" s="16">
        <v>4.0</v>
      </c>
      <c r="S51" s="16">
        <v>4.0</v>
      </c>
      <c r="T51" s="16">
        <v>4.0</v>
      </c>
      <c r="U51" s="16">
        <v>4.0</v>
      </c>
      <c r="V51" s="16">
        <v>4.0</v>
      </c>
      <c r="W51" s="16">
        <v>4.0</v>
      </c>
      <c r="X51" s="16">
        <v>4.0</v>
      </c>
      <c r="Y51" s="16">
        <v>4.0</v>
      </c>
      <c r="Z51" s="16">
        <v>4.0</v>
      </c>
      <c r="AA51" s="16">
        <v>4.0</v>
      </c>
      <c r="AB51" s="16">
        <v>4.0</v>
      </c>
      <c r="AC51" s="16">
        <v>4.0</v>
      </c>
      <c r="AD51" s="38">
        <v>14.0</v>
      </c>
      <c r="AE51" s="38">
        <v>15.0</v>
      </c>
      <c r="AF51" s="38">
        <v>16.0</v>
      </c>
      <c r="AG51" s="38" t="s">
        <v>289</v>
      </c>
      <c r="AI51" s="18" t="s">
        <v>76</v>
      </c>
    </row>
    <row r="52">
      <c r="A52" s="11"/>
      <c r="B52" s="12" t="s">
        <v>34</v>
      </c>
      <c r="C52" s="12" t="s">
        <v>65</v>
      </c>
      <c r="D52" s="12" t="s">
        <v>43</v>
      </c>
      <c r="E52" s="12" t="s">
        <v>224</v>
      </c>
      <c r="F52" s="13" t="s">
        <v>225</v>
      </c>
      <c r="G52" s="12" t="s">
        <v>68</v>
      </c>
      <c r="H52" s="12" t="s">
        <v>226</v>
      </c>
      <c r="I52" s="12" t="s">
        <v>227</v>
      </c>
      <c r="J52" s="17" t="s">
        <v>291</v>
      </c>
      <c r="K52" s="17" t="s">
        <v>291</v>
      </c>
      <c r="L52" s="17" t="s">
        <v>193</v>
      </c>
      <c r="M52" s="17">
        <v>36.0</v>
      </c>
      <c r="N52" s="20">
        <v>45833.0</v>
      </c>
      <c r="O52" s="17" t="s">
        <v>194</v>
      </c>
      <c r="P52" s="16">
        <v>4.0</v>
      </c>
      <c r="Q52" s="16">
        <v>4.0</v>
      </c>
      <c r="R52" s="16">
        <v>4.0</v>
      </c>
      <c r="S52" s="16">
        <v>4.0</v>
      </c>
      <c r="T52" s="16">
        <v>5.0</v>
      </c>
      <c r="U52" s="16">
        <v>4.0</v>
      </c>
      <c r="V52" s="16">
        <v>4.0</v>
      </c>
      <c r="W52" s="16">
        <v>4.0</v>
      </c>
      <c r="X52" s="16">
        <v>5.0</v>
      </c>
      <c r="Y52" s="16">
        <v>5.0</v>
      </c>
      <c r="Z52" s="16">
        <v>5.0</v>
      </c>
      <c r="AA52" s="16">
        <v>4.0</v>
      </c>
      <c r="AB52" s="16">
        <v>5.0</v>
      </c>
      <c r="AC52" s="16">
        <v>5.0</v>
      </c>
      <c r="AD52" s="38">
        <v>14.0</v>
      </c>
      <c r="AE52" s="38">
        <v>15.0</v>
      </c>
      <c r="AF52" s="38">
        <v>18.0</v>
      </c>
      <c r="AG52" s="38" t="s">
        <v>292</v>
      </c>
      <c r="AI52" s="18" t="s">
        <v>76</v>
      </c>
    </row>
    <row r="53">
      <c r="A53" s="11"/>
      <c r="B53" s="12" t="s">
        <v>34</v>
      </c>
      <c r="C53" s="12" t="s">
        <v>65</v>
      </c>
      <c r="D53" s="12" t="s">
        <v>43</v>
      </c>
      <c r="E53" s="12" t="s">
        <v>224</v>
      </c>
      <c r="F53" s="13" t="s">
        <v>225</v>
      </c>
      <c r="G53" s="12" t="s">
        <v>68</v>
      </c>
      <c r="H53" s="12" t="s">
        <v>226</v>
      </c>
      <c r="I53" s="12" t="s">
        <v>227</v>
      </c>
      <c r="J53" s="17" t="s">
        <v>293</v>
      </c>
      <c r="K53" s="17" t="s">
        <v>293</v>
      </c>
      <c r="L53" s="17" t="s">
        <v>222</v>
      </c>
      <c r="M53" s="17">
        <v>32.0</v>
      </c>
      <c r="N53" s="20">
        <v>45833.0</v>
      </c>
      <c r="O53" s="17" t="s">
        <v>194</v>
      </c>
      <c r="P53" s="16">
        <v>5.0</v>
      </c>
      <c r="Q53" s="16">
        <v>5.0</v>
      </c>
      <c r="R53" s="16">
        <v>5.0</v>
      </c>
      <c r="S53" s="16">
        <v>5.0</v>
      </c>
      <c r="T53" s="16">
        <v>5.0</v>
      </c>
      <c r="U53" s="16">
        <v>5.0</v>
      </c>
      <c r="V53" s="16">
        <v>5.0</v>
      </c>
      <c r="W53" s="16">
        <v>5.0</v>
      </c>
      <c r="X53" s="16">
        <v>5.0</v>
      </c>
      <c r="Y53" s="16">
        <v>5.0</v>
      </c>
      <c r="Z53" s="16">
        <v>5.0</v>
      </c>
      <c r="AA53" s="16">
        <v>5.0</v>
      </c>
      <c r="AB53" s="16">
        <v>5.0</v>
      </c>
      <c r="AC53" s="16">
        <v>5.0</v>
      </c>
      <c r="AD53" s="38">
        <v>13.0</v>
      </c>
      <c r="AE53" s="38">
        <v>16.0</v>
      </c>
      <c r="AF53" s="38">
        <v>20.0</v>
      </c>
      <c r="AG53" s="38" t="s">
        <v>294</v>
      </c>
      <c r="AI53" s="18" t="s">
        <v>76</v>
      </c>
    </row>
    <row r="54">
      <c r="A54" s="11"/>
      <c r="B54" s="12" t="s">
        <v>34</v>
      </c>
      <c r="C54" s="12" t="s">
        <v>65</v>
      </c>
      <c r="D54" s="12" t="s">
        <v>43</v>
      </c>
      <c r="E54" s="12" t="s">
        <v>224</v>
      </c>
      <c r="F54" s="13" t="s">
        <v>225</v>
      </c>
      <c r="G54" s="12" t="s">
        <v>68</v>
      </c>
      <c r="H54" s="12" t="s">
        <v>226</v>
      </c>
      <c r="I54" s="12" t="s">
        <v>227</v>
      </c>
      <c r="J54" s="17" t="s">
        <v>295</v>
      </c>
      <c r="K54" s="17" t="s">
        <v>295</v>
      </c>
      <c r="L54" s="17" t="s">
        <v>222</v>
      </c>
      <c r="M54" s="17">
        <v>36.0</v>
      </c>
      <c r="N54" s="20">
        <v>45833.0</v>
      </c>
      <c r="O54" s="17" t="s">
        <v>194</v>
      </c>
      <c r="P54" s="16">
        <v>4.0</v>
      </c>
      <c r="Q54" s="16">
        <v>4.0</v>
      </c>
      <c r="R54" s="16">
        <v>4.0</v>
      </c>
      <c r="S54" s="16">
        <v>4.0</v>
      </c>
      <c r="T54" s="16">
        <v>4.0</v>
      </c>
      <c r="U54" s="16">
        <v>4.0</v>
      </c>
      <c r="V54" s="16">
        <v>4.0</v>
      </c>
      <c r="W54" s="16">
        <v>4.0</v>
      </c>
      <c r="X54" s="16">
        <v>4.0</v>
      </c>
      <c r="Y54" s="16">
        <v>4.0</v>
      </c>
      <c r="Z54" s="16">
        <v>4.0</v>
      </c>
      <c r="AA54" s="16">
        <v>4.0</v>
      </c>
      <c r="AB54" s="16">
        <v>4.0</v>
      </c>
      <c r="AC54" s="16">
        <v>4.0</v>
      </c>
      <c r="AD54" s="38">
        <v>14.0</v>
      </c>
      <c r="AE54" s="38">
        <v>15.0</v>
      </c>
      <c r="AF54" s="38">
        <v>16.0</v>
      </c>
      <c r="AG54" s="38" t="s">
        <v>296</v>
      </c>
      <c r="AI54" s="18" t="s">
        <v>76</v>
      </c>
    </row>
    <row r="55">
      <c r="A55" s="11"/>
      <c r="B55" s="12" t="s">
        <v>34</v>
      </c>
      <c r="C55" s="12" t="s">
        <v>65</v>
      </c>
      <c r="D55" s="12" t="s">
        <v>43</v>
      </c>
      <c r="E55" s="12" t="s">
        <v>224</v>
      </c>
      <c r="F55" s="13" t="s">
        <v>225</v>
      </c>
      <c r="G55" s="12" t="s">
        <v>68</v>
      </c>
      <c r="H55" s="12" t="s">
        <v>226</v>
      </c>
      <c r="I55" s="12" t="s">
        <v>227</v>
      </c>
      <c r="J55" s="17" t="s">
        <v>297</v>
      </c>
      <c r="K55" s="17" t="s">
        <v>297</v>
      </c>
      <c r="L55" s="17" t="s">
        <v>193</v>
      </c>
      <c r="M55" s="17">
        <v>32.0</v>
      </c>
      <c r="N55" s="20">
        <v>45833.0</v>
      </c>
      <c r="O55" s="17" t="s">
        <v>194</v>
      </c>
      <c r="P55" s="16">
        <v>4.0</v>
      </c>
      <c r="Q55" s="16">
        <v>4.0</v>
      </c>
      <c r="R55" s="16">
        <v>3.0</v>
      </c>
      <c r="S55" s="16">
        <v>3.0</v>
      </c>
      <c r="T55" s="16">
        <v>5.0</v>
      </c>
      <c r="U55" s="16">
        <v>5.0</v>
      </c>
      <c r="V55" s="16">
        <v>5.0</v>
      </c>
      <c r="W55" s="16">
        <v>3.0</v>
      </c>
      <c r="X55" s="16">
        <v>4.0</v>
      </c>
      <c r="Y55" s="16">
        <v>4.0</v>
      </c>
      <c r="Z55" s="16">
        <v>5.0</v>
      </c>
      <c r="AA55" s="16">
        <v>4.0</v>
      </c>
      <c r="AB55" s="16">
        <v>5.0</v>
      </c>
      <c r="AC55" s="16">
        <v>4.0</v>
      </c>
      <c r="AD55" s="38">
        <v>14.0</v>
      </c>
      <c r="AE55" s="38">
        <v>13.0</v>
      </c>
      <c r="AF55" s="38">
        <v>20.0</v>
      </c>
      <c r="AG55" s="38" t="s">
        <v>298</v>
      </c>
      <c r="AI55" s="18" t="s">
        <v>76</v>
      </c>
    </row>
    <row r="56">
      <c r="A56" s="11"/>
      <c r="B56" s="12" t="s">
        <v>34</v>
      </c>
      <c r="C56" s="12" t="s">
        <v>65</v>
      </c>
      <c r="D56" s="12" t="s">
        <v>43</v>
      </c>
      <c r="E56" s="12" t="s">
        <v>224</v>
      </c>
      <c r="F56" s="13" t="s">
        <v>225</v>
      </c>
      <c r="G56" s="12" t="s">
        <v>68</v>
      </c>
      <c r="H56" s="12" t="s">
        <v>226</v>
      </c>
      <c r="I56" s="12" t="s">
        <v>227</v>
      </c>
      <c r="J56" s="17" t="s">
        <v>299</v>
      </c>
      <c r="K56" s="17" t="s">
        <v>299</v>
      </c>
      <c r="L56" s="17" t="s">
        <v>193</v>
      </c>
      <c r="M56" s="17">
        <v>30.0</v>
      </c>
      <c r="N56" s="20">
        <v>45833.0</v>
      </c>
      <c r="O56" s="17" t="s">
        <v>194</v>
      </c>
      <c r="P56" s="16">
        <v>2.0</v>
      </c>
      <c r="Q56" s="16">
        <v>2.0</v>
      </c>
      <c r="R56" s="16">
        <v>2.0</v>
      </c>
      <c r="S56" s="16">
        <v>2.0</v>
      </c>
      <c r="T56" s="16">
        <v>5.0</v>
      </c>
      <c r="U56" s="16">
        <v>1.0</v>
      </c>
      <c r="V56" s="16">
        <v>1.0</v>
      </c>
      <c r="W56" s="16">
        <v>2.0</v>
      </c>
      <c r="X56" s="16">
        <v>3.0</v>
      </c>
      <c r="Y56" s="16">
        <v>3.0</v>
      </c>
      <c r="Z56" s="16">
        <v>5.0</v>
      </c>
      <c r="AA56" s="16">
        <v>2.0</v>
      </c>
      <c r="AB56" s="16">
        <v>5.0</v>
      </c>
      <c r="AC56" s="16">
        <v>3.0</v>
      </c>
      <c r="AD56" s="38">
        <v>16.0</v>
      </c>
      <c r="AE56" s="38">
        <v>11.0</v>
      </c>
      <c r="AF56" s="38">
        <v>12.0</v>
      </c>
      <c r="AG56" s="38" t="s">
        <v>300</v>
      </c>
      <c r="AI56" s="18" t="s">
        <v>76</v>
      </c>
    </row>
    <row r="57">
      <c r="A57" s="11"/>
      <c r="B57" s="12" t="s">
        <v>34</v>
      </c>
      <c r="C57" s="12" t="s">
        <v>65</v>
      </c>
      <c r="D57" s="12" t="s">
        <v>43</v>
      </c>
      <c r="E57" s="12" t="s">
        <v>224</v>
      </c>
      <c r="F57" s="13" t="s">
        <v>225</v>
      </c>
      <c r="G57" s="12" t="s">
        <v>68</v>
      </c>
      <c r="H57" s="12" t="s">
        <v>226</v>
      </c>
      <c r="I57" s="12" t="s">
        <v>227</v>
      </c>
      <c r="J57" s="17" t="s">
        <v>301</v>
      </c>
      <c r="K57" s="17" t="s">
        <v>301</v>
      </c>
      <c r="L57" s="17" t="s">
        <v>193</v>
      </c>
      <c r="M57" s="17">
        <v>28.0</v>
      </c>
      <c r="N57" s="20">
        <v>45833.0</v>
      </c>
      <c r="O57" s="17" t="s">
        <v>194</v>
      </c>
      <c r="P57" s="16">
        <v>4.0</v>
      </c>
      <c r="Q57" s="16">
        <v>4.0</v>
      </c>
      <c r="R57" s="16">
        <v>3.0</v>
      </c>
      <c r="S57" s="16">
        <v>3.0</v>
      </c>
      <c r="T57" s="16">
        <v>5.0</v>
      </c>
      <c r="U57" s="16">
        <v>3.0</v>
      </c>
      <c r="V57" s="16">
        <v>3.0</v>
      </c>
      <c r="W57" s="16">
        <v>3.0</v>
      </c>
      <c r="X57" s="16">
        <v>5.0</v>
      </c>
      <c r="Y57" s="16">
        <v>5.0</v>
      </c>
      <c r="Z57" s="16">
        <v>5.0</v>
      </c>
      <c r="AA57" s="16">
        <v>4.0</v>
      </c>
      <c r="AB57" s="16">
        <v>5.0</v>
      </c>
      <c r="AC57" s="16">
        <v>5.0</v>
      </c>
      <c r="AD57" s="38">
        <v>14.0</v>
      </c>
      <c r="AE57" s="38">
        <v>14.0</v>
      </c>
      <c r="AF57" s="38">
        <v>16.0</v>
      </c>
      <c r="AG57" s="38" t="s">
        <v>302</v>
      </c>
      <c r="AI57" s="18" t="s">
        <v>76</v>
      </c>
    </row>
    <row r="58">
      <c r="A58" s="11"/>
      <c r="B58" s="12" t="s">
        <v>34</v>
      </c>
      <c r="C58" s="12" t="s">
        <v>65</v>
      </c>
      <c r="D58" s="12" t="s">
        <v>43</v>
      </c>
      <c r="E58" s="12" t="s">
        <v>224</v>
      </c>
      <c r="F58" s="13" t="s">
        <v>225</v>
      </c>
      <c r="G58" s="12" t="s">
        <v>68</v>
      </c>
      <c r="H58" s="12" t="s">
        <v>226</v>
      </c>
      <c r="I58" s="12" t="s">
        <v>227</v>
      </c>
      <c r="J58" s="17" t="s">
        <v>303</v>
      </c>
      <c r="K58" s="17" t="s">
        <v>303</v>
      </c>
      <c r="L58" s="17" t="s">
        <v>193</v>
      </c>
      <c r="M58" s="17">
        <v>25.0</v>
      </c>
      <c r="N58" s="20">
        <v>45833.0</v>
      </c>
      <c r="O58" s="17" t="s">
        <v>194</v>
      </c>
      <c r="P58" s="16">
        <v>4.0</v>
      </c>
      <c r="Q58" s="16">
        <v>4.0</v>
      </c>
      <c r="R58" s="16">
        <v>4.0</v>
      </c>
      <c r="S58" s="16">
        <v>4.0</v>
      </c>
      <c r="T58" s="16">
        <v>4.0</v>
      </c>
      <c r="U58" s="16">
        <v>4.0</v>
      </c>
      <c r="V58" s="16">
        <v>4.0</v>
      </c>
      <c r="W58" s="16">
        <v>4.0</v>
      </c>
      <c r="X58" s="16">
        <v>4.0</v>
      </c>
      <c r="Y58" s="16">
        <v>4.0</v>
      </c>
      <c r="Z58" s="16">
        <v>4.0</v>
      </c>
      <c r="AA58" s="16">
        <v>4.0</v>
      </c>
      <c r="AB58" s="16">
        <v>4.0</v>
      </c>
      <c r="AC58" s="16">
        <v>4.0</v>
      </c>
      <c r="AD58" s="38">
        <v>14.0</v>
      </c>
      <c r="AE58" s="38">
        <v>15.0</v>
      </c>
      <c r="AF58" s="38">
        <v>16.0</v>
      </c>
      <c r="AG58" s="38" t="s">
        <v>304</v>
      </c>
      <c r="AI58" s="18" t="s">
        <v>76</v>
      </c>
    </row>
    <row r="59">
      <c r="A59" s="11"/>
      <c r="B59" s="12" t="s">
        <v>34</v>
      </c>
      <c r="C59" s="12" t="s">
        <v>65</v>
      </c>
      <c r="D59" s="12" t="s">
        <v>43</v>
      </c>
      <c r="E59" s="12" t="s">
        <v>224</v>
      </c>
      <c r="F59" s="13" t="s">
        <v>225</v>
      </c>
      <c r="G59" s="12" t="s">
        <v>68</v>
      </c>
      <c r="H59" s="12" t="s">
        <v>226</v>
      </c>
      <c r="I59" s="12" t="s">
        <v>227</v>
      </c>
      <c r="J59" s="17" t="s">
        <v>305</v>
      </c>
      <c r="K59" s="17" t="s">
        <v>305</v>
      </c>
      <c r="L59" s="17" t="s">
        <v>222</v>
      </c>
      <c r="M59" s="17">
        <v>32.0</v>
      </c>
      <c r="N59" s="20">
        <v>45833.0</v>
      </c>
      <c r="O59" s="17" t="s">
        <v>194</v>
      </c>
      <c r="P59" s="16">
        <v>4.0</v>
      </c>
      <c r="Q59" s="16">
        <v>4.0</v>
      </c>
      <c r="R59" s="16">
        <v>3.0</v>
      </c>
      <c r="S59" s="16">
        <v>3.0</v>
      </c>
      <c r="T59" s="16">
        <v>5.0</v>
      </c>
      <c r="U59" s="16">
        <v>4.0</v>
      </c>
      <c r="V59" s="16">
        <v>4.0</v>
      </c>
      <c r="W59" s="16">
        <v>3.0</v>
      </c>
      <c r="X59" s="16">
        <v>4.0</v>
      </c>
      <c r="Y59" s="16">
        <v>4.0</v>
      </c>
      <c r="Z59" s="16">
        <v>5.0</v>
      </c>
      <c r="AA59" s="16">
        <v>4.0</v>
      </c>
      <c r="AB59" s="16">
        <v>5.0</v>
      </c>
      <c r="AC59" s="16">
        <v>4.0</v>
      </c>
      <c r="AD59" s="38">
        <v>14.0</v>
      </c>
      <c r="AE59" s="38">
        <v>13.0</v>
      </c>
      <c r="AF59" s="38">
        <v>18.0</v>
      </c>
      <c r="AG59" s="38" t="s">
        <v>306</v>
      </c>
      <c r="AI59" s="18" t="s">
        <v>76</v>
      </c>
    </row>
    <row r="60">
      <c r="A60" s="11"/>
      <c r="B60" s="12" t="s">
        <v>34</v>
      </c>
      <c r="C60" s="12" t="s">
        <v>65</v>
      </c>
      <c r="D60" s="12" t="s">
        <v>43</v>
      </c>
      <c r="E60" s="12" t="s">
        <v>224</v>
      </c>
      <c r="F60" s="13" t="s">
        <v>225</v>
      </c>
      <c r="G60" s="12" t="s">
        <v>68</v>
      </c>
      <c r="H60" s="12" t="s">
        <v>226</v>
      </c>
      <c r="I60" s="12" t="s">
        <v>227</v>
      </c>
      <c r="J60" s="17" t="s">
        <v>307</v>
      </c>
      <c r="K60" s="17" t="s">
        <v>307</v>
      </c>
      <c r="L60" s="17" t="s">
        <v>193</v>
      </c>
      <c r="M60" s="17">
        <v>33.0</v>
      </c>
      <c r="N60" s="20">
        <v>45833.0</v>
      </c>
      <c r="O60" s="17" t="s">
        <v>194</v>
      </c>
      <c r="P60" s="16">
        <v>4.0</v>
      </c>
      <c r="Q60" s="16">
        <v>4.0</v>
      </c>
      <c r="R60" s="16">
        <v>4.0</v>
      </c>
      <c r="S60" s="16">
        <v>4.0</v>
      </c>
      <c r="T60" s="16">
        <v>4.0</v>
      </c>
      <c r="U60" s="16">
        <v>5.0</v>
      </c>
      <c r="V60" s="16">
        <v>5.0</v>
      </c>
      <c r="W60" s="16">
        <v>4.0</v>
      </c>
      <c r="X60" s="16">
        <v>4.0</v>
      </c>
      <c r="Y60" s="16">
        <v>4.0</v>
      </c>
      <c r="Z60" s="16">
        <v>4.0</v>
      </c>
      <c r="AA60" s="16">
        <v>4.0</v>
      </c>
      <c r="AB60" s="16">
        <v>4.0</v>
      </c>
      <c r="AC60" s="16">
        <v>4.0</v>
      </c>
      <c r="AD60" s="38">
        <v>14.0</v>
      </c>
      <c r="AE60" s="38">
        <v>15.0</v>
      </c>
      <c r="AF60" s="38">
        <v>18.0</v>
      </c>
      <c r="AG60" s="38" t="s">
        <v>308</v>
      </c>
      <c r="AI60" s="18" t="s">
        <v>76</v>
      </c>
    </row>
    <row r="61">
      <c r="A61" s="11"/>
      <c r="B61" s="12" t="s">
        <v>34</v>
      </c>
      <c r="C61" s="12" t="s">
        <v>65</v>
      </c>
      <c r="D61" s="12" t="s">
        <v>43</v>
      </c>
      <c r="E61" s="12" t="s">
        <v>224</v>
      </c>
      <c r="F61" s="13" t="s">
        <v>225</v>
      </c>
      <c r="G61" s="12" t="s">
        <v>68</v>
      </c>
      <c r="H61" s="12" t="s">
        <v>226</v>
      </c>
      <c r="I61" s="12" t="s">
        <v>227</v>
      </c>
      <c r="J61" s="17" t="s">
        <v>309</v>
      </c>
      <c r="K61" s="17" t="s">
        <v>309</v>
      </c>
      <c r="L61" s="17" t="s">
        <v>222</v>
      </c>
      <c r="M61" s="17">
        <v>38.0</v>
      </c>
      <c r="N61" s="20">
        <v>45833.0</v>
      </c>
      <c r="O61" s="17" t="s">
        <v>194</v>
      </c>
      <c r="P61" s="16">
        <v>4.0</v>
      </c>
      <c r="Q61" s="16">
        <v>4.0</v>
      </c>
      <c r="R61" s="16">
        <v>3.0</v>
      </c>
      <c r="S61" s="16">
        <v>3.0</v>
      </c>
      <c r="T61" s="16">
        <v>3.0</v>
      </c>
      <c r="U61" s="16">
        <v>4.0</v>
      </c>
      <c r="V61" s="16">
        <v>4.0</v>
      </c>
      <c r="W61" s="16">
        <v>3.0</v>
      </c>
      <c r="X61" s="16">
        <v>4.0</v>
      </c>
      <c r="Y61" s="16">
        <v>4.0</v>
      </c>
      <c r="Z61" s="16">
        <v>3.0</v>
      </c>
      <c r="AA61" s="16">
        <v>4.0</v>
      </c>
      <c r="AB61" s="16">
        <v>3.0</v>
      </c>
      <c r="AC61" s="16">
        <v>4.0</v>
      </c>
      <c r="AD61" s="38">
        <v>14.0</v>
      </c>
      <c r="AE61" s="38">
        <v>15.0</v>
      </c>
      <c r="AF61" s="38">
        <v>14.0</v>
      </c>
      <c r="AG61" s="38" t="s">
        <v>310</v>
      </c>
      <c r="AI61" s="18" t="s">
        <v>76</v>
      </c>
    </row>
    <row r="62">
      <c r="A62" s="11"/>
      <c r="B62" s="12" t="s">
        <v>34</v>
      </c>
      <c r="C62" s="12" t="s">
        <v>65</v>
      </c>
      <c r="D62" s="12" t="s">
        <v>43</v>
      </c>
      <c r="E62" s="12" t="s">
        <v>224</v>
      </c>
      <c r="F62" s="13" t="s">
        <v>225</v>
      </c>
      <c r="G62" s="12" t="s">
        <v>68</v>
      </c>
      <c r="H62" s="12" t="s">
        <v>226</v>
      </c>
      <c r="I62" s="12" t="s">
        <v>227</v>
      </c>
      <c r="J62" s="17" t="s">
        <v>311</v>
      </c>
      <c r="K62" s="17" t="s">
        <v>311</v>
      </c>
      <c r="L62" s="17" t="s">
        <v>193</v>
      </c>
      <c r="M62" s="17">
        <v>37.0</v>
      </c>
      <c r="N62" s="20">
        <v>45833.0</v>
      </c>
      <c r="O62" s="17" t="s">
        <v>194</v>
      </c>
      <c r="P62" s="16">
        <v>5.0</v>
      </c>
      <c r="Q62" s="16">
        <v>5.0</v>
      </c>
      <c r="R62" s="16">
        <v>3.0</v>
      </c>
      <c r="S62" s="16">
        <v>3.0</v>
      </c>
      <c r="T62" s="16">
        <v>5.0</v>
      </c>
      <c r="U62" s="16">
        <v>5.0</v>
      </c>
      <c r="V62" s="16">
        <v>5.0</v>
      </c>
      <c r="W62" s="16">
        <v>3.0</v>
      </c>
      <c r="X62" s="16">
        <v>4.0</v>
      </c>
      <c r="Y62" s="16">
        <v>4.0</v>
      </c>
      <c r="Z62" s="16">
        <v>5.0</v>
      </c>
      <c r="AA62" s="16">
        <v>5.0</v>
      </c>
      <c r="AB62" s="16">
        <v>5.0</v>
      </c>
      <c r="AC62" s="16">
        <v>4.0</v>
      </c>
      <c r="AD62" s="38">
        <v>13.0</v>
      </c>
      <c r="AE62" s="38">
        <v>13.0</v>
      </c>
      <c r="AF62" s="38">
        <v>20.0</v>
      </c>
      <c r="AG62" s="38" t="s">
        <v>312</v>
      </c>
      <c r="AI62" s="18" t="s">
        <v>76</v>
      </c>
    </row>
    <row r="63">
      <c r="A63" s="11"/>
      <c r="B63" s="12" t="s">
        <v>34</v>
      </c>
      <c r="C63" s="12" t="s">
        <v>65</v>
      </c>
      <c r="D63" s="12" t="s">
        <v>43</v>
      </c>
      <c r="E63" s="12" t="s">
        <v>224</v>
      </c>
      <c r="F63" s="13" t="s">
        <v>225</v>
      </c>
      <c r="G63" s="12" t="s">
        <v>68</v>
      </c>
      <c r="H63" s="12" t="s">
        <v>226</v>
      </c>
      <c r="I63" s="12" t="s">
        <v>227</v>
      </c>
      <c r="J63" s="17" t="s">
        <v>313</v>
      </c>
      <c r="K63" s="17" t="s">
        <v>313</v>
      </c>
      <c r="L63" s="17" t="s">
        <v>193</v>
      </c>
      <c r="M63" s="17">
        <v>30.0</v>
      </c>
      <c r="N63" s="20">
        <v>45833.0</v>
      </c>
      <c r="O63" s="17" t="s">
        <v>194</v>
      </c>
      <c r="P63" s="16">
        <v>3.0</v>
      </c>
      <c r="Q63" s="16">
        <v>3.0</v>
      </c>
      <c r="R63" s="16">
        <v>4.0</v>
      </c>
      <c r="S63" s="16">
        <v>4.0</v>
      </c>
      <c r="T63" s="16">
        <v>3.0</v>
      </c>
      <c r="U63" s="16">
        <v>4.0</v>
      </c>
      <c r="V63" s="16">
        <v>4.0</v>
      </c>
      <c r="W63" s="16">
        <v>4.0</v>
      </c>
      <c r="X63" s="16">
        <v>5.0</v>
      </c>
      <c r="Y63" s="16">
        <v>5.0</v>
      </c>
      <c r="Z63" s="16">
        <v>3.0</v>
      </c>
      <c r="AA63" s="16">
        <v>3.0</v>
      </c>
      <c r="AB63" s="16">
        <v>3.0</v>
      </c>
      <c r="AC63" s="16">
        <v>5.0</v>
      </c>
      <c r="AD63" s="38">
        <v>15.0</v>
      </c>
      <c r="AE63" s="38">
        <v>17.0</v>
      </c>
      <c r="AF63" s="38">
        <v>14.0</v>
      </c>
      <c r="AG63" s="38" t="s">
        <v>314</v>
      </c>
      <c r="AI63" s="18" t="s">
        <v>76</v>
      </c>
    </row>
    <row r="64">
      <c r="A64" s="11"/>
      <c r="B64" s="12" t="s">
        <v>34</v>
      </c>
      <c r="C64" s="12" t="s">
        <v>65</v>
      </c>
      <c r="D64" s="12" t="s">
        <v>43</v>
      </c>
      <c r="E64" s="12" t="s">
        <v>224</v>
      </c>
      <c r="F64" s="13" t="s">
        <v>225</v>
      </c>
      <c r="G64" s="12" t="s">
        <v>68</v>
      </c>
      <c r="H64" s="12" t="s">
        <v>226</v>
      </c>
      <c r="I64" s="12" t="s">
        <v>227</v>
      </c>
      <c r="J64" s="17" t="s">
        <v>315</v>
      </c>
      <c r="K64" s="17" t="s">
        <v>315</v>
      </c>
      <c r="L64" s="17" t="s">
        <v>222</v>
      </c>
      <c r="M64" s="17">
        <v>36.0</v>
      </c>
      <c r="N64" s="20">
        <v>45833.0</v>
      </c>
      <c r="O64" s="17" t="s">
        <v>194</v>
      </c>
      <c r="P64" s="16">
        <v>4.0</v>
      </c>
      <c r="Q64" s="16">
        <v>4.0</v>
      </c>
      <c r="R64" s="16">
        <v>4.0</v>
      </c>
      <c r="S64" s="16">
        <v>4.0</v>
      </c>
      <c r="T64" s="16">
        <v>4.0</v>
      </c>
      <c r="U64" s="16">
        <v>4.0</v>
      </c>
      <c r="V64" s="16">
        <v>4.0</v>
      </c>
      <c r="W64" s="16">
        <v>4.0</v>
      </c>
      <c r="X64" s="16">
        <v>5.0</v>
      </c>
      <c r="Y64" s="16">
        <v>5.0</v>
      </c>
      <c r="Z64" s="16">
        <v>4.0</v>
      </c>
      <c r="AA64" s="16">
        <v>4.0</v>
      </c>
      <c r="AB64" s="16">
        <v>4.0</v>
      </c>
      <c r="AC64" s="16">
        <v>5.0</v>
      </c>
      <c r="AD64" s="38">
        <v>14.0</v>
      </c>
      <c r="AE64" s="38">
        <v>16.0</v>
      </c>
      <c r="AF64" s="38">
        <v>16.0</v>
      </c>
      <c r="AG64" s="38" t="s">
        <v>316</v>
      </c>
      <c r="AI64" s="18" t="s">
        <v>76</v>
      </c>
    </row>
    <row r="65">
      <c r="A65" s="11"/>
      <c r="B65" s="12" t="s">
        <v>34</v>
      </c>
      <c r="C65" s="12" t="s">
        <v>65</v>
      </c>
      <c r="D65" s="12" t="s">
        <v>43</v>
      </c>
      <c r="E65" s="12" t="s">
        <v>224</v>
      </c>
      <c r="F65" s="13" t="s">
        <v>225</v>
      </c>
      <c r="G65" s="12" t="s">
        <v>68</v>
      </c>
      <c r="H65" s="12" t="s">
        <v>226</v>
      </c>
      <c r="I65" s="12" t="s">
        <v>227</v>
      </c>
      <c r="J65" s="17" t="s">
        <v>317</v>
      </c>
      <c r="K65" s="17" t="s">
        <v>317</v>
      </c>
      <c r="L65" s="17" t="s">
        <v>193</v>
      </c>
      <c r="M65" s="17">
        <v>29.0</v>
      </c>
      <c r="N65" s="20">
        <v>45833.0</v>
      </c>
      <c r="O65" s="17" t="s">
        <v>194</v>
      </c>
      <c r="P65" s="16">
        <v>4.0</v>
      </c>
      <c r="Q65" s="16">
        <v>4.0</v>
      </c>
      <c r="R65" s="16">
        <v>4.0</v>
      </c>
      <c r="S65" s="16">
        <v>4.0</v>
      </c>
      <c r="T65" s="16">
        <v>4.0</v>
      </c>
      <c r="U65" s="16">
        <v>4.0</v>
      </c>
      <c r="V65" s="16">
        <v>4.0</v>
      </c>
      <c r="W65" s="16">
        <v>4.0</v>
      </c>
      <c r="X65" s="16">
        <v>4.0</v>
      </c>
      <c r="Y65" s="16">
        <v>4.0</v>
      </c>
      <c r="Z65" s="16">
        <v>4.0</v>
      </c>
      <c r="AA65" s="16">
        <v>4.0</v>
      </c>
      <c r="AB65" s="16">
        <v>4.0</v>
      </c>
      <c r="AC65" s="16">
        <v>4.0</v>
      </c>
      <c r="AD65" s="38">
        <v>14.0</v>
      </c>
      <c r="AE65" s="38">
        <v>15.0</v>
      </c>
      <c r="AF65" s="38">
        <v>16.0</v>
      </c>
      <c r="AG65" s="38" t="s">
        <v>318</v>
      </c>
      <c r="AI65" s="18" t="s">
        <v>76</v>
      </c>
    </row>
    <row r="66">
      <c r="A66" s="11"/>
      <c r="B66" s="12" t="s">
        <v>34</v>
      </c>
      <c r="C66" s="12" t="s">
        <v>65</v>
      </c>
      <c r="D66" s="12" t="s">
        <v>43</v>
      </c>
      <c r="E66" s="12" t="s">
        <v>224</v>
      </c>
      <c r="F66" s="13" t="s">
        <v>225</v>
      </c>
      <c r="G66" s="12" t="s">
        <v>68</v>
      </c>
      <c r="H66" s="12" t="s">
        <v>226</v>
      </c>
      <c r="I66" s="12" t="s">
        <v>227</v>
      </c>
      <c r="J66" s="17" t="s">
        <v>319</v>
      </c>
      <c r="K66" s="17" t="s">
        <v>319</v>
      </c>
      <c r="L66" s="17" t="s">
        <v>193</v>
      </c>
      <c r="M66" s="17">
        <v>21.0</v>
      </c>
      <c r="N66" s="20">
        <v>45839.0</v>
      </c>
      <c r="O66" s="17" t="s">
        <v>194</v>
      </c>
      <c r="P66" s="16">
        <v>4.0</v>
      </c>
      <c r="Q66" s="16">
        <v>4.0</v>
      </c>
      <c r="R66" s="16">
        <v>3.0</v>
      </c>
      <c r="S66" s="16">
        <v>3.0</v>
      </c>
      <c r="T66" s="16">
        <v>4.0</v>
      </c>
      <c r="U66" s="16">
        <v>3.0</v>
      </c>
      <c r="V66" s="16">
        <v>3.0</v>
      </c>
      <c r="W66" s="16">
        <v>3.0</v>
      </c>
      <c r="X66" s="16">
        <v>4.0</v>
      </c>
      <c r="Y66" s="16">
        <v>4.0</v>
      </c>
      <c r="Z66" s="16">
        <v>4.0</v>
      </c>
      <c r="AA66" s="16">
        <v>4.0</v>
      </c>
      <c r="AB66" s="16">
        <v>4.0</v>
      </c>
      <c r="AC66" s="16">
        <v>4.0</v>
      </c>
      <c r="AD66" s="38">
        <v>14.0</v>
      </c>
      <c r="AE66" s="38">
        <v>14.0</v>
      </c>
      <c r="AF66" s="38">
        <v>14.0</v>
      </c>
      <c r="AG66" s="38" t="s">
        <v>320</v>
      </c>
      <c r="AI66" s="18" t="s">
        <v>76</v>
      </c>
    </row>
    <row r="67">
      <c r="A67" s="11"/>
      <c r="B67" s="12" t="s">
        <v>43</v>
      </c>
      <c r="C67" s="12" t="s">
        <v>65</v>
      </c>
      <c r="D67" s="12" t="s">
        <v>321</v>
      </c>
      <c r="E67" s="12" t="s">
        <v>321</v>
      </c>
      <c r="F67" s="13" t="s">
        <v>322</v>
      </c>
      <c r="G67" s="12" t="s">
        <v>68</v>
      </c>
      <c r="H67" s="12" t="s">
        <v>323</v>
      </c>
      <c r="I67" s="12" t="s">
        <v>324</v>
      </c>
      <c r="J67" s="17" t="s">
        <v>325</v>
      </c>
      <c r="K67" s="17" t="s">
        <v>325</v>
      </c>
      <c r="L67" s="17" t="s">
        <v>193</v>
      </c>
      <c r="M67" s="17">
        <v>36.0</v>
      </c>
      <c r="N67" s="20">
        <v>45839.0</v>
      </c>
      <c r="O67" s="17" t="s">
        <v>194</v>
      </c>
      <c r="P67" s="16">
        <v>5.0</v>
      </c>
      <c r="Q67" s="16">
        <v>5.0</v>
      </c>
      <c r="R67" s="16">
        <v>3.0</v>
      </c>
      <c r="S67" s="16">
        <v>3.0</v>
      </c>
      <c r="T67" s="16">
        <v>5.0</v>
      </c>
      <c r="U67" s="16">
        <v>3.0</v>
      </c>
      <c r="V67" s="16">
        <v>3.0</v>
      </c>
      <c r="W67" s="16">
        <v>3.0</v>
      </c>
      <c r="X67" s="16">
        <v>5.0</v>
      </c>
      <c r="Y67" s="16">
        <v>5.0</v>
      </c>
      <c r="Z67" s="16">
        <v>5.0</v>
      </c>
      <c r="AA67" s="16">
        <v>5.0</v>
      </c>
      <c r="AB67" s="16">
        <v>5.0</v>
      </c>
      <c r="AC67" s="16">
        <v>5.0</v>
      </c>
      <c r="AD67" s="38">
        <v>13.0</v>
      </c>
      <c r="AE67" s="38">
        <v>14.0</v>
      </c>
      <c r="AF67" s="38">
        <v>16.0</v>
      </c>
      <c r="AG67" s="38" t="s">
        <v>326</v>
      </c>
      <c r="AI67" s="18" t="s">
        <v>76</v>
      </c>
    </row>
    <row r="68">
      <c r="A68" s="11"/>
      <c r="B68" s="12" t="s">
        <v>43</v>
      </c>
      <c r="C68" s="12" t="s">
        <v>65</v>
      </c>
      <c r="D68" s="12" t="s">
        <v>321</v>
      </c>
      <c r="E68" s="12" t="s">
        <v>321</v>
      </c>
      <c r="F68" s="13" t="s">
        <v>322</v>
      </c>
      <c r="G68" s="12" t="s">
        <v>68</v>
      </c>
      <c r="H68" s="12" t="s">
        <v>323</v>
      </c>
      <c r="I68" s="12" t="s">
        <v>324</v>
      </c>
      <c r="J68" s="17" t="s">
        <v>327</v>
      </c>
      <c r="K68" s="17" t="s">
        <v>327</v>
      </c>
      <c r="L68" s="17" t="s">
        <v>193</v>
      </c>
      <c r="M68" s="17">
        <v>33.0</v>
      </c>
      <c r="N68" s="20">
        <v>45839.0</v>
      </c>
      <c r="O68" s="17" t="s">
        <v>194</v>
      </c>
      <c r="P68" s="16">
        <v>3.0</v>
      </c>
      <c r="Q68" s="16">
        <v>3.0</v>
      </c>
      <c r="R68" s="16">
        <v>3.0</v>
      </c>
      <c r="S68" s="16">
        <v>3.0</v>
      </c>
      <c r="T68" s="16">
        <v>4.0</v>
      </c>
      <c r="U68" s="16">
        <v>4.0</v>
      </c>
      <c r="V68" s="16">
        <v>4.0</v>
      </c>
      <c r="W68" s="16">
        <v>3.0</v>
      </c>
      <c r="X68" s="16">
        <v>4.0</v>
      </c>
      <c r="Y68" s="16">
        <v>4.0</v>
      </c>
      <c r="Z68" s="16">
        <v>4.0</v>
      </c>
      <c r="AA68" s="16">
        <v>3.0</v>
      </c>
      <c r="AB68" s="16">
        <v>4.0</v>
      </c>
      <c r="AC68" s="16">
        <v>4.0</v>
      </c>
      <c r="AD68" s="38">
        <v>15.0</v>
      </c>
      <c r="AE68" s="38">
        <v>14.0</v>
      </c>
      <c r="AF68" s="38">
        <v>16.0</v>
      </c>
      <c r="AG68" s="38" t="s">
        <v>328</v>
      </c>
      <c r="AI68" s="18" t="s">
        <v>76</v>
      </c>
    </row>
    <row r="69">
      <c r="A69" s="11"/>
      <c r="B69" s="12" t="s">
        <v>43</v>
      </c>
      <c r="C69" s="12" t="s">
        <v>65</v>
      </c>
      <c r="D69" s="12" t="s">
        <v>321</v>
      </c>
      <c r="E69" s="12" t="s">
        <v>321</v>
      </c>
      <c r="F69" s="13" t="s">
        <v>322</v>
      </c>
      <c r="G69" s="12" t="s">
        <v>68</v>
      </c>
      <c r="H69" s="12" t="s">
        <v>323</v>
      </c>
      <c r="I69" s="12" t="s">
        <v>324</v>
      </c>
      <c r="J69" s="17" t="s">
        <v>329</v>
      </c>
      <c r="K69" s="17" t="s">
        <v>329</v>
      </c>
      <c r="L69" s="17" t="s">
        <v>222</v>
      </c>
      <c r="M69" s="17">
        <v>37.0</v>
      </c>
      <c r="N69" s="20">
        <v>45839.0</v>
      </c>
      <c r="O69" s="17" t="s">
        <v>194</v>
      </c>
      <c r="P69" s="16">
        <v>5.0</v>
      </c>
      <c r="Q69" s="16">
        <v>5.0</v>
      </c>
      <c r="R69" s="16">
        <v>4.0</v>
      </c>
      <c r="S69" s="16">
        <v>4.0</v>
      </c>
      <c r="T69" s="16">
        <v>4.0</v>
      </c>
      <c r="U69" s="16">
        <v>5.0</v>
      </c>
      <c r="V69" s="16">
        <v>5.0</v>
      </c>
      <c r="W69" s="16">
        <v>4.0</v>
      </c>
      <c r="X69" s="16">
        <v>5.0</v>
      </c>
      <c r="Y69" s="16">
        <v>5.0</v>
      </c>
      <c r="Z69" s="16">
        <v>4.0</v>
      </c>
      <c r="AA69" s="16">
        <v>5.0</v>
      </c>
      <c r="AB69" s="16">
        <v>4.0</v>
      </c>
      <c r="AC69" s="16">
        <v>5.0</v>
      </c>
      <c r="AD69" s="38">
        <v>13.0</v>
      </c>
      <c r="AE69" s="38">
        <v>16.0</v>
      </c>
      <c r="AF69" s="38">
        <v>18.0</v>
      </c>
      <c r="AG69" s="38" t="s">
        <v>330</v>
      </c>
      <c r="AI69" s="18" t="s">
        <v>76</v>
      </c>
    </row>
    <row r="70">
      <c r="A70" s="11"/>
      <c r="B70" s="12" t="s">
        <v>43</v>
      </c>
      <c r="C70" s="12" t="s">
        <v>65</v>
      </c>
      <c r="D70" s="12" t="s">
        <v>321</v>
      </c>
      <c r="E70" s="12" t="s">
        <v>321</v>
      </c>
      <c r="F70" s="13" t="s">
        <v>322</v>
      </c>
      <c r="G70" s="12" t="s">
        <v>68</v>
      </c>
      <c r="H70" s="12" t="s">
        <v>323</v>
      </c>
      <c r="I70" s="12" t="s">
        <v>324</v>
      </c>
      <c r="J70" s="17" t="s">
        <v>331</v>
      </c>
      <c r="K70" s="17" t="s">
        <v>331</v>
      </c>
      <c r="L70" s="17" t="s">
        <v>193</v>
      </c>
      <c r="M70" s="17">
        <v>38.0</v>
      </c>
      <c r="N70" s="20">
        <v>45839.0</v>
      </c>
      <c r="O70" s="17" t="s">
        <v>194</v>
      </c>
      <c r="P70" s="16">
        <v>3.0</v>
      </c>
      <c r="Q70" s="16">
        <v>3.0</v>
      </c>
      <c r="R70" s="16">
        <v>3.0</v>
      </c>
      <c r="S70" s="16">
        <v>3.0</v>
      </c>
      <c r="T70" s="16">
        <v>4.0</v>
      </c>
      <c r="U70" s="16">
        <v>3.0</v>
      </c>
      <c r="V70" s="16">
        <v>3.0</v>
      </c>
      <c r="W70" s="16">
        <v>3.0</v>
      </c>
      <c r="X70" s="16">
        <v>3.0</v>
      </c>
      <c r="Y70" s="16">
        <v>3.0</v>
      </c>
      <c r="Z70" s="16">
        <v>4.0</v>
      </c>
      <c r="AA70" s="16">
        <v>3.0</v>
      </c>
      <c r="AB70" s="16">
        <v>4.0</v>
      </c>
      <c r="AC70" s="16">
        <v>3.0</v>
      </c>
      <c r="AD70" s="38">
        <v>15.0</v>
      </c>
      <c r="AE70" s="38">
        <v>13.0</v>
      </c>
      <c r="AF70" s="38">
        <v>14.0</v>
      </c>
      <c r="AG70" s="38" t="s">
        <v>332</v>
      </c>
      <c r="AI70" s="18" t="s">
        <v>76</v>
      </c>
    </row>
    <row r="71">
      <c r="A71" s="11"/>
      <c r="B71" s="12" t="s">
        <v>43</v>
      </c>
      <c r="C71" s="12" t="s">
        <v>65</v>
      </c>
      <c r="D71" s="12" t="s">
        <v>321</v>
      </c>
      <c r="E71" s="12" t="s">
        <v>321</v>
      </c>
      <c r="F71" s="13" t="s">
        <v>322</v>
      </c>
      <c r="G71" s="12" t="s">
        <v>68</v>
      </c>
      <c r="H71" s="12" t="s">
        <v>323</v>
      </c>
      <c r="I71" s="12" t="s">
        <v>324</v>
      </c>
      <c r="J71" s="17" t="s">
        <v>333</v>
      </c>
      <c r="K71" s="17" t="s">
        <v>333</v>
      </c>
      <c r="L71" s="17" t="s">
        <v>222</v>
      </c>
      <c r="M71" s="17">
        <v>37.0</v>
      </c>
      <c r="N71" s="20">
        <v>45839.0</v>
      </c>
      <c r="O71" s="17" t="s">
        <v>194</v>
      </c>
      <c r="P71" s="16">
        <v>4.0</v>
      </c>
      <c r="Q71" s="16">
        <v>4.0</v>
      </c>
      <c r="R71" s="16">
        <v>3.0</v>
      </c>
      <c r="S71" s="16">
        <v>3.0</v>
      </c>
      <c r="T71" s="16">
        <v>4.0</v>
      </c>
      <c r="U71" s="16">
        <v>5.0</v>
      </c>
      <c r="V71" s="16">
        <v>5.0</v>
      </c>
      <c r="W71" s="16">
        <v>3.0</v>
      </c>
      <c r="X71" s="16">
        <v>4.0</v>
      </c>
      <c r="Y71" s="16">
        <v>4.0</v>
      </c>
      <c r="Z71" s="16">
        <v>4.0</v>
      </c>
      <c r="AA71" s="16">
        <v>4.0</v>
      </c>
      <c r="AB71" s="16">
        <v>4.0</v>
      </c>
      <c r="AC71" s="16">
        <v>4.0</v>
      </c>
      <c r="AD71" s="38">
        <v>14.0</v>
      </c>
      <c r="AE71" s="38">
        <v>14.0</v>
      </c>
      <c r="AF71" s="38">
        <v>18.0</v>
      </c>
      <c r="AG71" s="38" t="s">
        <v>334</v>
      </c>
      <c r="AI71" s="18" t="s">
        <v>76</v>
      </c>
    </row>
    <row r="72">
      <c r="A72" s="11"/>
      <c r="B72" s="12" t="s">
        <v>43</v>
      </c>
      <c r="C72" s="12" t="s">
        <v>65</v>
      </c>
      <c r="D72" s="12" t="s">
        <v>321</v>
      </c>
      <c r="E72" s="12" t="s">
        <v>321</v>
      </c>
      <c r="F72" s="13" t="s">
        <v>322</v>
      </c>
      <c r="G72" s="12" t="s">
        <v>68</v>
      </c>
      <c r="H72" s="12" t="s">
        <v>323</v>
      </c>
      <c r="I72" s="12" t="s">
        <v>324</v>
      </c>
      <c r="J72" s="17" t="s">
        <v>335</v>
      </c>
      <c r="K72" s="17" t="s">
        <v>335</v>
      </c>
      <c r="L72" s="17" t="s">
        <v>193</v>
      </c>
      <c r="M72" s="17">
        <v>33.0</v>
      </c>
      <c r="N72" s="20">
        <v>45839.0</v>
      </c>
      <c r="O72" s="17" t="s">
        <v>194</v>
      </c>
      <c r="P72" s="16">
        <v>3.0</v>
      </c>
      <c r="Q72" s="16">
        <v>3.0</v>
      </c>
      <c r="R72" s="16">
        <v>4.0</v>
      </c>
      <c r="S72" s="16">
        <v>4.0</v>
      </c>
      <c r="T72" s="16">
        <v>4.0</v>
      </c>
      <c r="U72" s="16">
        <v>4.0</v>
      </c>
      <c r="V72" s="16">
        <v>4.0</v>
      </c>
      <c r="W72" s="16">
        <v>4.0</v>
      </c>
      <c r="X72" s="16">
        <v>5.0</v>
      </c>
      <c r="Y72" s="16">
        <v>5.0</v>
      </c>
      <c r="Z72" s="16">
        <v>4.0</v>
      </c>
      <c r="AA72" s="16">
        <v>3.0</v>
      </c>
      <c r="AB72" s="16">
        <v>4.0</v>
      </c>
      <c r="AC72" s="16">
        <v>5.0</v>
      </c>
      <c r="AD72" s="38">
        <v>15.0</v>
      </c>
      <c r="AE72" s="38">
        <v>16.0</v>
      </c>
      <c r="AF72" s="38">
        <v>16.0</v>
      </c>
      <c r="AG72" s="38" t="s">
        <v>336</v>
      </c>
      <c r="AI72" s="18" t="s">
        <v>76</v>
      </c>
    </row>
    <row r="73">
      <c r="A73" s="11"/>
      <c r="B73" s="12" t="s">
        <v>43</v>
      </c>
      <c r="C73" s="12" t="s">
        <v>65</v>
      </c>
      <c r="D73" s="12" t="s">
        <v>321</v>
      </c>
      <c r="E73" s="12" t="s">
        <v>321</v>
      </c>
      <c r="F73" s="13" t="s">
        <v>322</v>
      </c>
      <c r="G73" s="12" t="s">
        <v>68</v>
      </c>
      <c r="H73" s="12" t="s">
        <v>323</v>
      </c>
      <c r="I73" s="12" t="s">
        <v>324</v>
      </c>
      <c r="J73" s="17" t="s">
        <v>337</v>
      </c>
      <c r="K73" s="17" t="s">
        <v>337</v>
      </c>
      <c r="L73" s="17" t="s">
        <v>193</v>
      </c>
      <c r="M73" s="17">
        <v>21.0</v>
      </c>
      <c r="N73" s="20">
        <v>45839.0</v>
      </c>
      <c r="O73" s="17" t="s">
        <v>194</v>
      </c>
      <c r="P73" s="16">
        <v>4.0</v>
      </c>
      <c r="Q73" s="16">
        <v>4.0</v>
      </c>
      <c r="R73" s="16">
        <v>4.0</v>
      </c>
      <c r="S73" s="16">
        <v>4.0</v>
      </c>
      <c r="T73" s="16">
        <v>4.0</v>
      </c>
      <c r="U73" s="16">
        <v>5.0</v>
      </c>
      <c r="V73" s="16">
        <v>5.0</v>
      </c>
      <c r="W73" s="16">
        <v>4.0</v>
      </c>
      <c r="X73" s="16">
        <v>5.0</v>
      </c>
      <c r="Y73" s="16">
        <v>5.0</v>
      </c>
      <c r="Z73" s="16">
        <v>4.0</v>
      </c>
      <c r="AA73" s="16">
        <v>4.0</v>
      </c>
      <c r="AB73" s="16">
        <v>4.0</v>
      </c>
      <c r="AC73" s="16">
        <v>5.0</v>
      </c>
      <c r="AD73" s="38">
        <v>14.0</v>
      </c>
      <c r="AE73" s="38">
        <v>16.0</v>
      </c>
      <c r="AF73" s="38">
        <v>18.0</v>
      </c>
      <c r="AG73" s="38" t="s">
        <v>338</v>
      </c>
      <c r="AI73" s="18" t="s">
        <v>76</v>
      </c>
    </row>
    <row r="74">
      <c r="A74" s="11"/>
      <c r="B74" s="12" t="s">
        <v>43</v>
      </c>
      <c r="C74" s="12" t="s">
        <v>65</v>
      </c>
      <c r="D74" s="12" t="s">
        <v>321</v>
      </c>
      <c r="E74" s="12" t="s">
        <v>321</v>
      </c>
      <c r="F74" s="13" t="s">
        <v>322</v>
      </c>
      <c r="G74" s="12" t="s">
        <v>68</v>
      </c>
      <c r="H74" s="12" t="s">
        <v>323</v>
      </c>
      <c r="I74" s="12" t="s">
        <v>324</v>
      </c>
      <c r="J74" s="15" t="s">
        <v>339</v>
      </c>
      <c r="K74" s="15" t="s">
        <v>339</v>
      </c>
      <c r="L74" s="17" t="s">
        <v>193</v>
      </c>
      <c r="M74" s="17">
        <v>32.0</v>
      </c>
      <c r="N74" s="20">
        <v>45839.0</v>
      </c>
      <c r="O74" s="17" t="s">
        <v>194</v>
      </c>
      <c r="P74" s="16">
        <v>4.0</v>
      </c>
      <c r="Q74" s="16">
        <v>4.0</v>
      </c>
      <c r="R74" s="16">
        <v>5.0</v>
      </c>
      <c r="S74" s="16">
        <v>5.0</v>
      </c>
      <c r="T74" s="16">
        <v>3.0</v>
      </c>
      <c r="U74" s="16">
        <v>4.0</v>
      </c>
      <c r="V74" s="16">
        <v>4.0</v>
      </c>
      <c r="W74" s="16">
        <v>5.0</v>
      </c>
      <c r="X74" s="16">
        <v>4.0</v>
      </c>
      <c r="Y74" s="16">
        <v>4.0</v>
      </c>
      <c r="Z74" s="16">
        <v>3.0</v>
      </c>
      <c r="AA74" s="16">
        <v>4.0</v>
      </c>
      <c r="AB74" s="16">
        <v>3.0</v>
      </c>
      <c r="AC74" s="16">
        <v>4.0</v>
      </c>
      <c r="AD74" s="38">
        <v>14.0</v>
      </c>
      <c r="AE74" s="38">
        <v>17.0</v>
      </c>
      <c r="AF74" s="38">
        <v>14.0</v>
      </c>
      <c r="AG74" s="38" t="s">
        <v>340</v>
      </c>
      <c r="AI74" s="18" t="s">
        <v>76</v>
      </c>
    </row>
    <row r="75">
      <c r="A75" s="11"/>
      <c r="B75" s="12" t="s">
        <v>43</v>
      </c>
      <c r="C75" s="12" t="s">
        <v>65</v>
      </c>
      <c r="D75" s="12" t="s">
        <v>321</v>
      </c>
      <c r="E75" s="12" t="s">
        <v>321</v>
      </c>
      <c r="F75" s="13" t="s">
        <v>322</v>
      </c>
      <c r="G75" s="12" t="s">
        <v>68</v>
      </c>
      <c r="H75" s="12" t="s">
        <v>323</v>
      </c>
      <c r="I75" s="12" t="s">
        <v>324</v>
      </c>
      <c r="J75" s="15" t="s">
        <v>341</v>
      </c>
      <c r="K75" s="15" t="s">
        <v>341</v>
      </c>
      <c r="L75" s="17" t="s">
        <v>193</v>
      </c>
      <c r="M75" s="17">
        <v>44.0</v>
      </c>
      <c r="N75" s="20">
        <v>45839.0</v>
      </c>
      <c r="O75" s="17" t="s">
        <v>194</v>
      </c>
      <c r="P75" s="16">
        <v>2.0</v>
      </c>
      <c r="Q75" s="16">
        <v>2.0</v>
      </c>
      <c r="R75" s="16">
        <v>3.0</v>
      </c>
      <c r="S75" s="16">
        <v>3.0</v>
      </c>
      <c r="T75" s="16">
        <v>4.0</v>
      </c>
      <c r="U75" s="16">
        <v>3.0</v>
      </c>
      <c r="V75" s="16">
        <v>3.0</v>
      </c>
      <c r="W75" s="16">
        <v>3.0</v>
      </c>
      <c r="X75" s="16">
        <v>4.0</v>
      </c>
      <c r="Y75" s="16">
        <v>4.0</v>
      </c>
      <c r="Z75" s="16">
        <v>4.0</v>
      </c>
      <c r="AA75" s="16">
        <v>2.0</v>
      </c>
      <c r="AB75" s="16">
        <v>4.0</v>
      </c>
      <c r="AC75" s="16">
        <v>4.0</v>
      </c>
      <c r="AD75" s="38">
        <v>16.0</v>
      </c>
      <c r="AE75" s="38">
        <v>14.0</v>
      </c>
      <c r="AF75" s="38">
        <v>14.0</v>
      </c>
      <c r="AG75" s="38" t="s">
        <v>342</v>
      </c>
      <c r="AI75" s="18" t="s">
        <v>76</v>
      </c>
    </row>
    <row r="76">
      <c r="A76" s="11"/>
      <c r="B76" s="12" t="s">
        <v>43</v>
      </c>
      <c r="C76" s="12" t="s">
        <v>65</v>
      </c>
      <c r="D76" s="12" t="s">
        <v>321</v>
      </c>
      <c r="E76" s="12" t="s">
        <v>321</v>
      </c>
      <c r="F76" s="13" t="s">
        <v>322</v>
      </c>
      <c r="G76" s="12" t="s">
        <v>68</v>
      </c>
      <c r="H76" s="12" t="s">
        <v>323</v>
      </c>
      <c r="I76" s="12" t="s">
        <v>324</v>
      </c>
      <c r="J76" s="15" t="s">
        <v>343</v>
      </c>
      <c r="K76" s="15" t="s">
        <v>343</v>
      </c>
      <c r="L76" s="17" t="s">
        <v>193</v>
      </c>
      <c r="M76" s="17">
        <v>39.0</v>
      </c>
      <c r="N76" s="20">
        <v>45839.0</v>
      </c>
      <c r="O76" s="17" t="s">
        <v>194</v>
      </c>
      <c r="P76" s="16">
        <v>4.0</v>
      </c>
      <c r="Q76" s="16">
        <v>4.0</v>
      </c>
      <c r="R76" s="16">
        <v>3.0</v>
      </c>
      <c r="S76" s="16">
        <v>3.0</v>
      </c>
      <c r="T76" s="16">
        <v>4.0</v>
      </c>
      <c r="U76" s="16">
        <v>4.0</v>
      </c>
      <c r="V76" s="16">
        <v>4.0</v>
      </c>
      <c r="W76" s="16">
        <v>3.0</v>
      </c>
      <c r="X76" s="16">
        <v>4.0</v>
      </c>
      <c r="Y76" s="16">
        <v>4.0</v>
      </c>
      <c r="Z76" s="16">
        <v>4.0</v>
      </c>
      <c r="AA76" s="16">
        <v>4.0</v>
      </c>
      <c r="AB76" s="16">
        <v>4.0</v>
      </c>
      <c r="AC76" s="16">
        <v>4.0</v>
      </c>
      <c r="AD76" s="38">
        <v>14.0</v>
      </c>
      <c r="AE76" s="38">
        <v>14.0</v>
      </c>
      <c r="AF76" s="38">
        <v>16.0</v>
      </c>
      <c r="AG76" s="38" t="s">
        <v>344</v>
      </c>
      <c r="AI76" s="18" t="s">
        <v>76</v>
      </c>
    </row>
    <row r="77">
      <c r="A77" s="11"/>
      <c r="B77" s="12" t="s">
        <v>43</v>
      </c>
      <c r="C77" s="12" t="s">
        <v>65</v>
      </c>
      <c r="D77" s="12" t="s">
        <v>321</v>
      </c>
      <c r="E77" s="12" t="s">
        <v>321</v>
      </c>
      <c r="F77" s="13" t="s">
        <v>322</v>
      </c>
      <c r="G77" s="12" t="s">
        <v>68</v>
      </c>
      <c r="H77" s="12" t="s">
        <v>323</v>
      </c>
      <c r="I77" s="12" t="s">
        <v>324</v>
      </c>
      <c r="J77" s="15" t="s">
        <v>345</v>
      </c>
      <c r="K77" s="15" t="s">
        <v>345</v>
      </c>
      <c r="L77" s="17" t="s">
        <v>193</v>
      </c>
      <c r="M77" s="17">
        <v>36.0</v>
      </c>
      <c r="N77" s="20">
        <v>45839.0</v>
      </c>
      <c r="O77" s="17" t="s">
        <v>194</v>
      </c>
      <c r="P77" s="16">
        <v>5.0</v>
      </c>
      <c r="Q77" s="16">
        <v>5.0</v>
      </c>
      <c r="R77" s="16">
        <v>3.0</v>
      </c>
      <c r="S77" s="16">
        <v>3.0</v>
      </c>
      <c r="T77" s="16">
        <v>4.0</v>
      </c>
      <c r="U77" s="16">
        <v>4.0</v>
      </c>
      <c r="V77" s="16">
        <v>4.0</v>
      </c>
      <c r="W77" s="16">
        <v>3.0</v>
      </c>
      <c r="X77" s="16">
        <v>2.0</v>
      </c>
      <c r="Y77" s="16">
        <v>2.0</v>
      </c>
      <c r="Z77" s="16">
        <v>4.0</v>
      </c>
      <c r="AA77" s="16">
        <v>5.0</v>
      </c>
      <c r="AB77" s="16">
        <v>4.0</v>
      </c>
      <c r="AC77" s="16">
        <v>2.0</v>
      </c>
      <c r="AD77" s="38">
        <v>13.0</v>
      </c>
      <c r="AE77" s="38">
        <v>12.0</v>
      </c>
      <c r="AF77" s="38">
        <v>16.0</v>
      </c>
      <c r="AG77" s="38" t="s">
        <v>346</v>
      </c>
      <c r="AI77" s="18" t="s">
        <v>76</v>
      </c>
    </row>
    <row r="78">
      <c r="A78" s="11"/>
      <c r="B78" s="12" t="s">
        <v>43</v>
      </c>
      <c r="C78" s="12" t="s">
        <v>65</v>
      </c>
      <c r="D78" s="12" t="s">
        <v>321</v>
      </c>
      <c r="E78" s="12" t="s">
        <v>321</v>
      </c>
      <c r="F78" s="13" t="s">
        <v>322</v>
      </c>
      <c r="G78" s="12" t="s">
        <v>68</v>
      </c>
      <c r="H78" s="12" t="s">
        <v>323</v>
      </c>
      <c r="I78" s="12" t="s">
        <v>324</v>
      </c>
      <c r="J78" s="15" t="s">
        <v>347</v>
      </c>
      <c r="K78" s="15" t="s">
        <v>347</v>
      </c>
      <c r="L78" s="17" t="s">
        <v>193</v>
      </c>
      <c r="M78" s="17">
        <v>29.0</v>
      </c>
      <c r="N78" s="20">
        <v>45839.0</v>
      </c>
      <c r="O78" s="17" t="s">
        <v>194</v>
      </c>
      <c r="P78" s="16">
        <v>4.0</v>
      </c>
      <c r="Q78" s="16">
        <v>4.0</v>
      </c>
      <c r="R78" s="16">
        <v>4.0</v>
      </c>
      <c r="S78" s="16">
        <v>4.0</v>
      </c>
      <c r="T78" s="16">
        <v>4.0</v>
      </c>
      <c r="U78" s="16">
        <v>3.0</v>
      </c>
      <c r="V78" s="16">
        <v>3.0</v>
      </c>
      <c r="W78" s="16">
        <v>4.0</v>
      </c>
      <c r="X78" s="16">
        <v>4.0</v>
      </c>
      <c r="Y78" s="16">
        <v>4.0</v>
      </c>
      <c r="Z78" s="16">
        <v>4.0</v>
      </c>
      <c r="AA78" s="16">
        <v>4.0</v>
      </c>
      <c r="AB78" s="16">
        <v>4.0</v>
      </c>
      <c r="AC78" s="16">
        <v>4.0</v>
      </c>
      <c r="AD78" s="38">
        <v>14.0</v>
      </c>
      <c r="AE78" s="38">
        <v>15.0</v>
      </c>
      <c r="AF78" s="38">
        <v>14.0</v>
      </c>
      <c r="AG78" s="38" t="s">
        <v>348</v>
      </c>
      <c r="AI78" s="18" t="s">
        <v>76</v>
      </c>
    </row>
    <row r="79">
      <c r="A79" s="11"/>
      <c r="B79" s="12" t="s">
        <v>43</v>
      </c>
      <c r="C79" s="12" t="s">
        <v>65</v>
      </c>
      <c r="D79" s="12" t="s">
        <v>321</v>
      </c>
      <c r="E79" s="12" t="s">
        <v>321</v>
      </c>
      <c r="F79" s="13" t="s">
        <v>322</v>
      </c>
      <c r="G79" s="12" t="s">
        <v>68</v>
      </c>
      <c r="H79" s="12" t="s">
        <v>323</v>
      </c>
      <c r="I79" s="12" t="s">
        <v>324</v>
      </c>
      <c r="J79" s="15" t="s">
        <v>349</v>
      </c>
      <c r="K79" s="15" t="s">
        <v>349</v>
      </c>
      <c r="L79" s="17" t="s">
        <v>193</v>
      </c>
      <c r="M79" s="17">
        <v>33.0</v>
      </c>
      <c r="N79" s="20">
        <v>45839.0</v>
      </c>
      <c r="O79" s="17" t="s">
        <v>194</v>
      </c>
      <c r="P79" s="16">
        <v>4.0</v>
      </c>
      <c r="Q79" s="16">
        <v>4.0</v>
      </c>
      <c r="R79" s="16">
        <v>3.0</v>
      </c>
      <c r="S79" s="16">
        <v>3.0</v>
      </c>
      <c r="T79" s="16">
        <v>4.0</v>
      </c>
      <c r="U79" s="16">
        <v>3.0</v>
      </c>
      <c r="V79" s="16">
        <v>3.0</v>
      </c>
      <c r="W79" s="16">
        <v>3.0</v>
      </c>
      <c r="X79" s="16">
        <v>3.0</v>
      </c>
      <c r="Y79" s="16">
        <v>3.0</v>
      </c>
      <c r="Z79" s="16">
        <v>4.0</v>
      </c>
      <c r="AA79" s="16">
        <v>4.0</v>
      </c>
      <c r="AB79" s="16">
        <v>4.0</v>
      </c>
      <c r="AC79" s="16">
        <v>3.0</v>
      </c>
      <c r="AD79" s="38">
        <v>14.0</v>
      </c>
      <c r="AE79" s="38">
        <v>13.0</v>
      </c>
      <c r="AF79" s="38">
        <v>14.0</v>
      </c>
      <c r="AG79" s="38" t="s">
        <v>350</v>
      </c>
      <c r="AI79" s="18" t="s">
        <v>76</v>
      </c>
    </row>
    <row r="80">
      <c r="A80" s="11"/>
      <c r="B80" s="12" t="s">
        <v>43</v>
      </c>
      <c r="C80" s="12" t="s">
        <v>65</v>
      </c>
      <c r="D80" s="12" t="s">
        <v>321</v>
      </c>
      <c r="E80" s="12" t="s">
        <v>321</v>
      </c>
      <c r="F80" s="13" t="s">
        <v>322</v>
      </c>
      <c r="G80" s="12" t="s">
        <v>68</v>
      </c>
      <c r="H80" s="12" t="s">
        <v>323</v>
      </c>
      <c r="I80" s="12" t="s">
        <v>324</v>
      </c>
      <c r="J80" s="15" t="s">
        <v>351</v>
      </c>
      <c r="K80" s="15" t="s">
        <v>351</v>
      </c>
      <c r="L80" s="17" t="s">
        <v>193</v>
      </c>
      <c r="M80" s="17">
        <v>47.0</v>
      </c>
      <c r="N80" s="20">
        <v>45839.0</v>
      </c>
      <c r="O80" s="17" t="s">
        <v>194</v>
      </c>
      <c r="P80" s="16">
        <v>4.0</v>
      </c>
      <c r="Q80" s="16">
        <v>4.0</v>
      </c>
      <c r="R80" s="16">
        <v>5.0</v>
      </c>
      <c r="S80" s="16">
        <v>5.0</v>
      </c>
      <c r="T80" s="16">
        <v>5.0</v>
      </c>
      <c r="U80" s="16">
        <v>5.0</v>
      </c>
      <c r="V80" s="16">
        <v>5.0</v>
      </c>
      <c r="W80" s="16">
        <v>5.0</v>
      </c>
      <c r="X80" s="16">
        <v>5.0</v>
      </c>
      <c r="Y80" s="16">
        <v>5.0</v>
      </c>
      <c r="Z80" s="16">
        <v>5.0</v>
      </c>
      <c r="AA80" s="16">
        <v>4.0</v>
      </c>
      <c r="AB80" s="16">
        <v>5.0</v>
      </c>
      <c r="AC80" s="16">
        <v>5.0</v>
      </c>
      <c r="AD80" s="38">
        <v>14.0</v>
      </c>
      <c r="AE80" s="38">
        <v>16.0</v>
      </c>
      <c r="AF80" s="38">
        <v>20.0</v>
      </c>
      <c r="AG80" s="38" t="s">
        <v>352</v>
      </c>
      <c r="AI80" s="18" t="s">
        <v>76</v>
      </c>
    </row>
    <row r="81">
      <c r="A81" s="11"/>
      <c r="B81" s="12" t="s">
        <v>43</v>
      </c>
      <c r="C81" s="12" t="s">
        <v>65</v>
      </c>
      <c r="D81" s="12" t="s">
        <v>321</v>
      </c>
      <c r="E81" s="12" t="s">
        <v>321</v>
      </c>
      <c r="F81" s="13" t="s">
        <v>322</v>
      </c>
      <c r="G81" s="12" t="s">
        <v>68</v>
      </c>
      <c r="H81" s="12" t="s">
        <v>323</v>
      </c>
      <c r="I81" s="12" t="s">
        <v>324</v>
      </c>
      <c r="J81" s="15" t="s">
        <v>353</v>
      </c>
      <c r="K81" s="15" t="s">
        <v>353</v>
      </c>
      <c r="L81" s="17" t="s">
        <v>222</v>
      </c>
      <c r="M81" s="17">
        <v>32.0</v>
      </c>
      <c r="N81" s="20">
        <v>45839.0</v>
      </c>
      <c r="O81" s="17" t="s">
        <v>194</v>
      </c>
      <c r="P81" s="16">
        <v>5.0</v>
      </c>
      <c r="Q81" s="16">
        <v>5.0</v>
      </c>
      <c r="R81" s="16">
        <v>3.0</v>
      </c>
      <c r="S81" s="16">
        <v>3.0</v>
      </c>
      <c r="T81" s="16">
        <v>5.0</v>
      </c>
      <c r="U81" s="16">
        <v>5.0</v>
      </c>
      <c r="V81" s="16">
        <v>5.0</v>
      </c>
      <c r="W81" s="16">
        <v>3.0</v>
      </c>
      <c r="X81" s="16">
        <v>5.0</v>
      </c>
      <c r="Y81" s="16">
        <v>5.0</v>
      </c>
      <c r="Z81" s="16">
        <v>5.0</v>
      </c>
      <c r="AA81" s="16">
        <v>5.0</v>
      </c>
      <c r="AB81" s="16">
        <v>5.0</v>
      </c>
      <c r="AC81" s="16">
        <v>5.0</v>
      </c>
      <c r="AD81" s="38">
        <v>13.0</v>
      </c>
      <c r="AE81" s="38">
        <v>14.0</v>
      </c>
      <c r="AF81" s="38">
        <v>20.0</v>
      </c>
      <c r="AG81" s="38" t="s">
        <v>354</v>
      </c>
      <c r="AI81" s="18" t="s">
        <v>76</v>
      </c>
    </row>
    <row r="82">
      <c r="A82" s="11"/>
      <c r="B82" s="12" t="s">
        <v>43</v>
      </c>
      <c r="C82" s="12" t="s">
        <v>65</v>
      </c>
      <c r="D82" s="12" t="s">
        <v>321</v>
      </c>
      <c r="E82" s="12" t="s">
        <v>321</v>
      </c>
      <c r="F82" s="13" t="s">
        <v>322</v>
      </c>
      <c r="G82" s="12" t="s">
        <v>68</v>
      </c>
      <c r="H82" s="12" t="s">
        <v>323</v>
      </c>
      <c r="I82" s="12" t="s">
        <v>324</v>
      </c>
      <c r="J82" s="15" t="s">
        <v>355</v>
      </c>
      <c r="K82" s="15" t="s">
        <v>355</v>
      </c>
      <c r="L82" s="17" t="s">
        <v>222</v>
      </c>
      <c r="M82" s="17">
        <v>50.0</v>
      </c>
      <c r="N82" s="20">
        <v>45839.0</v>
      </c>
      <c r="O82" s="17" t="s">
        <v>194</v>
      </c>
      <c r="P82" s="16">
        <v>4.0</v>
      </c>
      <c r="Q82" s="16">
        <v>4.0</v>
      </c>
      <c r="R82" s="16">
        <v>5.0</v>
      </c>
      <c r="S82" s="16">
        <v>5.0</v>
      </c>
      <c r="T82" s="16">
        <v>5.0</v>
      </c>
      <c r="U82" s="16">
        <v>5.0</v>
      </c>
      <c r="V82" s="16">
        <v>5.0</v>
      </c>
      <c r="W82" s="16">
        <v>5.0</v>
      </c>
      <c r="X82" s="16">
        <v>5.0</v>
      </c>
      <c r="Y82" s="16">
        <v>5.0</v>
      </c>
      <c r="Z82" s="16">
        <v>5.0</v>
      </c>
      <c r="AA82" s="16">
        <v>4.0</v>
      </c>
      <c r="AB82" s="16">
        <v>5.0</v>
      </c>
      <c r="AC82" s="16">
        <v>5.0</v>
      </c>
      <c r="AD82" s="38">
        <v>14.0</v>
      </c>
      <c r="AE82" s="38">
        <v>16.0</v>
      </c>
      <c r="AF82" s="38">
        <v>20.0</v>
      </c>
      <c r="AG82" s="38" t="s">
        <v>356</v>
      </c>
      <c r="AI82" s="18" t="s">
        <v>76</v>
      </c>
    </row>
    <row r="83">
      <c r="A83" s="11"/>
      <c r="B83" s="12" t="s">
        <v>43</v>
      </c>
      <c r="C83" s="12" t="s">
        <v>65</v>
      </c>
      <c r="D83" s="12" t="s">
        <v>321</v>
      </c>
      <c r="E83" s="12" t="s">
        <v>321</v>
      </c>
      <c r="F83" s="13" t="s">
        <v>322</v>
      </c>
      <c r="G83" s="12" t="s">
        <v>68</v>
      </c>
      <c r="H83" s="12" t="s">
        <v>323</v>
      </c>
      <c r="I83" s="12" t="s">
        <v>324</v>
      </c>
      <c r="J83" s="15" t="s">
        <v>357</v>
      </c>
      <c r="K83" s="15" t="s">
        <v>357</v>
      </c>
      <c r="L83" s="17" t="s">
        <v>193</v>
      </c>
      <c r="M83" s="17">
        <v>28.0</v>
      </c>
      <c r="N83" s="20">
        <v>45839.0</v>
      </c>
      <c r="O83" s="17" t="s">
        <v>194</v>
      </c>
      <c r="P83" s="16">
        <v>4.0</v>
      </c>
      <c r="Q83" s="16">
        <v>4.0</v>
      </c>
      <c r="R83" s="16">
        <v>5.0</v>
      </c>
      <c r="S83" s="16">
        <v>5.0</v>
      </c>
      <c r="T83" s="16">
        <v>5.0</v>
      </c>
      <c r="U83" s="16">
        <v>4.0</v>
      </c>
      <c r="V83" s="16">
        <v>4.0</v>
      </c>
      <c r="W83" s="16">
        <v>5.0</v>
      </c>
      <c r="X83" s="16">
        <v>5.0</v>
      </c>
      <c r="Y83" s="16">
        <v>5.0</v>
      </c>
      <c r="Z83" s="16">
        <v>5.0</v>
      </c>
      <c r="AA83" s="16">
        <v>4.0</v>
      </c>
      <c r="AB83" s="16">
        <v>5.0</v>
      </c>
      <c r="AC83" s="16">
        <v>5.0</v>
      </c>
      <c r="AD83" s="38">
        <v>14.0</v>
      </c>
      <c r="AE83" s="38">
        <v>16.0</v>
      </c>
      <c r="AF83" s="38">
        <v>18.0</v>
      </c>
      <c r="AG83" s="38" t="s">
        <v>358</v>
      </c>
      <c r="AI83" s="18" t="s">
        <v>76</v>
      </c>
    </row>
    <row r="84">
      <c r="A84" s="11"/>
      <c r="B84" s="12" t="s">
        <v>43</v>
      </c>
      <c r="C84" s="12" t="s">
        <v>65</v>
      </c>
      <c r="D84" s="12" t="s">
        <v>321</v>
      </c>
      <c r="E84" s="12" t="s">
        <v>321</v>
      </c>
      <c r="F84" s="13" t="s">
        <v>322</v>
      </c>
      <c r="G84" s="12" t="s">
        <v>68</v>
      </c>
      <c r="H84" s="12" t="s">
        <v>323</v>
      </c>
      <c r="I84" s="12" t="s">
        <v>324</v>
      </c>
      <c r="J84" s="15" t="s">
        <v>359</v>
      </c>
      <c r="K84" s="15" t="s">
        <v>359</v>
      </c>
      <c r="L84" s="17" t="s">
        <v>193</v>
      </c>
      <c r="M84" s="17">
        <v>20.0</v>
      </c>
      <c r="N84" s="20">
        <v>45839.0</v>
      </c>
      <c r="O84" s="17" t="s">
        <v>194</v>
      </c>
      <c r="P84" s="16">
        <v>4.0</v>
      </c>
      <c r="Q84" s="16">
        <v>4.0</v>
      </c>
      <c r="R84" s="16">
        <v>3.0</v>
      </c>
      <c r="S84" s="16">
        <v>3.0</v>
      </c>
      <c r="T84" s="16">
        <v>5.0</v>
      </c>
      <c r="U84" s="16">
        <v>4.0</v>
      </c>
      <c r="V84" s="16">
        <v>4.0</v>
      </c>
      <c r="W84" s="16">
        <v>3.0</v>
      </c>
      <c r="X84" s="16">
        <v>4.0</v>
      </c>
      <c r="Y84" s="16">
        <v>4.0</v>
      </c>
      <c r="Z84" s="16">
        <v>5.0</v>
      </c>
      <c r="AA84" s="16">
        <v>4.0</v>
      </c>
      <c r="AB84" s="16">
        <v>5.0</v>
      </c>
      <c r="AC84" s="16">
        <v>4.0</v>
      </c>
      <c r="AD84" s="38">
        <v>14.0</v>
      </c>
      <c r="AE84" s="38">
        <v>13.0</v>
      </c>
      <c r="AF84" s="38">
        <v>18.0</v>
      </c>
      <c r="AG84" s="38" t="s">
        <v>360</v>
      </c>
      <c r="AI84" s="18" t="s">
        <v>76</v>
      </c>
    </row>
    <row r="85">
      <c r="A85" s="11"/>
      <c r="B85" s="12" t="s">
        <v>43</v>
      </c>
      <c r="C85" s="12" t="s">
        <v>65</v>
      </c>
      <c r="D85" s="12" t="s">
        <v>321</v>
      </c>
      <c r="E85" s="12" t="s">
        <v>321</v>
      </c>
      <c r="F85" s="13" t="s">
        <v>322</v>
      </c>
      <c r="G85" s="12" t="s">
        <v>68</v>
      </c>
      <c r="H85" s="12" t="s">
        <v>323</v>
      </c>
      <c r="I85" s="12" t="s">
        <v>324</v>
      </c>
      <c r="J85" s="15" t="s">
        <v>361</v>
      </c>
      <c r="K85" s="15" t="s">
        <v>361</v>
      </c>
      <c r="L85" s="17" t="s">
        <v>193</v>
      </c>
      <c r="M85" s="17">
        <v>39.0</v>
      </c>
      <c r="N85" s="20">
        <v>45839.0</v>
      </c>
      <c r="O85" s="17" t="s">
        <v>194</v>
      </c>
      <c r="P85" s="16">
        <v>4.0</v>
      </c>
      <c r="Q85" s="16">
        <v>4.0</v>
      </c>
      <c r="R85" s="16">
        <v>4.0</v>
      </c>
      <c r="S85" s="16">
        <v>4.0</v>
      </c>
      <c r="T85" s="16">
        <v>4.0</v>
      </c>
      <c r="U85" s="16">
        <v>4.0</v>
      </c>
      <c r="V85" s="16">
        <v>4.0</v>
      </c>
      <c r="W85" s="16">
        <v>4.0</v>
      </c>
      <c r="X85" s="16">
        <v>4.0</v>
      </c>
      <c r="Y85" s="16">
        <v>4.0</v>
      </c>
      <c r="Z85" s="16">
        <v>4.0</v>
      </c>
      <c r="AA85" s="16">
        <v>4.0</v>
      </c>
      <c r="AB85" s="16">
        <v>4.0</v>
      </c>
      <c r="AC85" s="16">
        <v>4.0</v>
      </c>
      <c r="AD85" s="38">
        <v>14.0</v>
      </c>
      <c r="AE85" s="38">
        <v>15.0</v>
      </c>
      <c r="AF85" s="38">
        <v>16.0</v>
      </c>
      <c r="AG85" s="38" t="s">
        <v>362</v>
      </c>
      <c r="AI85" s="18" t="s">
        <v>76</v>
      </c>
    </row>
    <row r="86">
      <c r="A86" s="11"/>
      <c r="B86" s="12" t="s">
        <v>43</v>
      </c>
      <c r="C86" s="12" t="s">
        <v>65</v>
      </c>
      <c r="D86" s="12" t="s">
        <v>43</v>
      </c>
      <c r="E86" s="12" t="s">
        <v>203</v>
      </c>
      <c r="F86" s="13" t="s">
        <v>204</v>
      </c>
      <c r="G86" s="12" t="s">
        <v>68</v>
      </c>
      <c r="H86" s="12" t="s">
        <v>205</v>
      </c>
      <c r="I86" s="12" t="s">
        <v>206</v>
      </c>
      <c r="J86" s="17" t="s">
        <v>363</v>
      </c>
      <c r="K86" s="17" t="s">
        <v>363</v>
      </c>
      <c r="L86" s="17" t="s">
        <v>193</v>
      </c>
      <c r="M86" s="17">
        <v>34.0</v>
      </c>
      <c r="N86" s="20">
        <v>45839.0</v>
      </c>
      <c r="O86" s="17" t="s">
        <v>194</v>
      </c>
      <c r="P86" s="16">
        <v>4.0</v>
      </c>
      <c r="Q86" s="16">
        <v>4.0</v>
      </c>
      <c r="R86" s="16">
        <v>3.0</v>
      </c>
      <c r="S86" s="16">
        <v>3.0</v>
      </c>
      <c r="T86" s="16">
        <v>4.0</v>
      </c>
      <c r="U86" s="16">
        <v>4.0</v>
      </c>
      <c r="V86" s="16">
        <v>4.0</v>
      </c>
      <c r="W86" s="16">
        <v>3.0</v>
      </c>
      <c r="X86" s="16">
        <v>4.0</v>
      </c>
      <c r="Y86" s="16">
        <v>4.0</v>
      </c>
      <c r="Z86" s="16">
        <v>4.0</v>
      </c>
      <c r="AA86" s="16">
        <v>4.0</v>
      </c>
      <c r="AB86" s="16">
        <v>4.0</v>
      </c>
      <c r="AC86" s="16">
        <v>4.0</v>
      </c>
      <c r="AD86" s="38">
        <v>14.0</v>
      </c>
      <c r="AE86" s="38">
        <v>14.0</v>
      </c>
      <c r="AF86" s="38">
        <v>16.0</v>
      </c>
      <c r="AG86" s="38" t="s">
        <v>364</v>
      </c>
      <c r="AI86" s="18" t="s">
        <v>76</v>
      </c>
    </row>
    <row r="87">
      <c r="A87" s="11"/>
      <c r="B87" s="12" t="s">
        <v>43</v>
      </c>
      <c r="C87" s="12" t="s">
        <v>65</v>
      </c>
      <c r="D87" s="12" t="s">
        <v>43</v>
      </c>
      <c r="E87" s="12" t="s">
        <v>203</v>
      </c>
      <c r="F87" s="13" t="s">
        <v>204</v>
      </c>
      <c r="G87" s="12" t="s">
        <v>68</v>
      </c>
      <c r="H87" s="12" t="s">
        <v>205</v>
      </c>
      <c r="I87" s="12" t="s">
        <v>206</v>
      </c>
      <c r="J87" s="17" t="s">
        <v>365</v>
      </c>
      <c r="K87" s="17" t="s">
        <v>365</v>
      </c>
      <c r="L87" s="17" t="s">
        <v>222</v>
      </c>
      <c r="M87" s="17">
        <v>32.0</v>
      </c>
      <c r="N87" s="20">
        <v>45839.0</v>
      </c>
      <c r="O87" s="17" t="s">
        <v>194</v>
      </c>
      <c r="P87" s="16">
        <v>4.0</v>
      </c>
      <c r="Q87" s="16">
        <v>4.0</v>
      </c>
      <c r="R87" s="16">
        <v>5.0</v>
      </c>
      <c r="S87" s="16">
        <v>5.0</v>
      </c>
      <c r="T87" s="16">
        <v>5.0</v>
      </c>
      <c r="U87" s="16">
        <v>5.0</v>
      </c>
      <c r="V87" s="16">
        <v>5.0</v>
      </c>
      <c r="W87" s="16">
        <v>5.0</v>
      </c>
      <c r="X87" s="16">
        <v>5.0</v>
      </c>
      <c r="Y87" s="16">
        <v>5.0</v>
      </c>
      <c r="Z87" s="16">
        <v>5.0</v>
      </c>
      <c r="AA87" s="16">
        <v>4.0</v>
      </c>
      <c r="AB87" s="16">
        <v>5.0</v>
      </c>
      <c r="AC87" s="16">
        <v>5.0</v>
      </c>
      <c r="AD87" s="38">
        <v>14.0</v>
      </c>
      <c r="AE87" s="38">
        <v>16.0</v>
      </c>
      <c r="AF87" s="38">
        <v>20.0</v>
      </c>
      <c r="AG87" s="38" t="s">
        <v>366</v>
      </c>
      <c r="AI87" s="18" t="s">
        <v>76</v>
      </c>
    </row>
    <row r="88">
      <c r="A88" s="11"/>
      <c r="B88" s="12" t="s">
        <v>43</v>
      </c>
      <c r="C88" s="12" t="s">
        <v>65</v>
      </c>
      <c r="D88" s="12" t="s">
        <v>43</v>
      </c>
      <c r="E88" s="12" t="s">
        <v>203</v>
      </c>
      <c r="F88" s="13" t="s">
        <v>204</v>
      </c>
      <c r="G88" s="12" t="s">
        <v>68</v>
      </c>
      <c r="H88" s="12" t="s">
        <v>205</v>
      </c>
      <c r="I88" s="12" t="s">
        <v>206</v>
      </c>
      <c r="J88" s="17" t="s">
        <v>367</v>
      </c>
      <c r="K88" s="17" t="s">
        <v>367</v>
      </c>
      <c r="L88" s="17" t="s">
        <v>193</v>
      </c>
      <c r="M88" s="17">
        <v>29.0</v>
      </c>
      <c r="N88" s="20">
        <v>45839.0</v>
      </c>
      <c r="O88" s="17" t="s">
        <v>194</v>
      </c>
      <c r="P88" s="16">
        <v>5.0</v>
      </c>
      <c r="Q88" s="16">
        <v>5.0</v>
      </c>
      <c r="R88" s="16">
        <v>4.0</v>
      </c>
      <c r="S88" s="16">
        <v>4.0</v>
      </c>
      <c r="T88" s="16">
        <v>5.0</v>
      </c>
      <c r="U88" s="16">
        <v>5.0</v>
      </c>
      <c r="V88" s="16">
        <v>5.0</v>
      </c>
      <c r="W88" s="16">
        <v>4.0</v>
      </c>
      <c r="X88" s="16">
        <v>5.0</v>
      </c>
      <c r="Y88" s="16">
        <v>5.0</v>
      </c>
      <c r="Z88" s="16">
        <v>5.0</v>
      </c>
      <c r="AA88" s="16">
        <v>5.0</v>
      </c>
      <c r="AB88" s="16">
        <v>5.0</v>
      </c>
      <c r="AC88" s="16">
        <v>5.0</v>
      </c>
      <c r="AD88" s="38">
        <v>13.0</v>
      </c>
      <c r="AE88" s="38">
        <v>15.0</v>
      </c>
      <c r="AF88" s="38">
        <v>20.0</v>
      </c>
      <c r="AG88" s="38" t="s">
        <v>368</v>
      </c>
      <c r="AI88" s="18" t="s">
        <v>76</v>
      </c>
    </row>
    <row r="89">
      <c r="A89" s="11"/>
      <c r="B89" s="12" t="s">
        <v>43</v>
      </c>
      <c r="C89" s="12" t="s">
        <v>65</v>
      </c>
      <c r="D89" s="12" t="s">
        <v>43</v>
      </c>
      <c r="E89" s="12" t="s">
        <v>203</v>
      </c>
      <c r="F89" s="13" t="s">
        <v>204</v>
      </c>
      <c r="G89" s="12" t="s">
        <v>68</v>
      </c>
      <c r="H89" s="12" t="s">
        <v>205</v>
      </c>
      <c r="I89" s="12" t="s">
        <v>206</v>
      </c>
      <c r="J89" s="17" t="s">
        <v>369</v>
      </c>
      <c r="K89" s="17" t="s">
        <v>369</v>
      </c>
      <c r="L89" s="17" t="s">
        <v>250</v>
      </c>
      <c r="M89" s="17">
        <v>88.0</v>
      </c>
      <c r="N89" s="20">
        <v>45839.0</v>
      </c>
      <c r="O89" s="17" t="s">
        <v>194</v>
      </c>
      <c r="P89" s="16">
        <v>4.0</v>
      </c>
      <c r="Q89" s="16">
        <v>4.0</v>
      </c>
      <c r="R89" s="16">
        <v>1.0</v>
      </c>
      <c r="S89" s="16">
        <v>1.0</v>
      </c>
      <c r="T89" s="16">
        <v>4.0</v>
      </c>
      <c r="U89" s="16">
        <v>4.0</v>
      </c>
      <c r="V89" s="16">
        <v>4.0</v>
      </c>
      <c r="W89" s="16">
        <v>1.0</v>
      </c>
      <c r="X89" s="16">
        <v>4.0</v>
      </c>
      <c r="Y89" s="16">
        <v>4.0</v>
      </c>
      <c r="Z89" s="16">
        <v>4.0</v>
      </c>
      <c r="AA89" s="16">
        <v>4.0</v>
      </c>
      <c r="AB89" s="16">
        <v>4.0</v>
      </c>
      <c r="AC89" s="16">
        <v>4.0</v>
      </c>
      <c r="AD89" s="38">
        <v>14.0</v>
      </c>
      <c r="AE89" s="38">
        <v>12.0</v>
      </c>
      <c r="AF89" s="38">
        <v>16.0</v>
      </c>
      <c r="AG89" s="38" t="s">
        <v>370</v>
      </c>
      <c r="AI89" s="18" t="s">
        <v>76</v>
      </c>
    </row>
    <row r="90">
      <c r="A90" s="11"/>
      <c r="B90" s="12" t="s">
        <v>43</v>
      </c>
      <c r="C90" s="12" t="s">
        <v>65</v>
      </c>
      <c r="D90" s="12" t="s">
        <v>43</v>
      </c>
      <c r="E90" s="12" t="s">
        <v>203</v>
      </c>
      <c r="F90" s="13" t="s">
        <v>204</v>
      </c>
      <c r="G90" s="12" t="s">
        <v>68</v>
      </c>
      <c r="H90" s="12" t="s">
        <v>205</v>
      </c>
      <c r="I90" s="12" t="s">
        <v>206</v>
      </c>
      <c r="J90" s="17" t="s">
        <v>371</v>
      </c>
      <c r="K90" s="17" t="s">
        <v>371</v>
      </c>
      <c r="L90" s="17" t="s">
        <v>250</v>
      </c>
      <c r="M90" s="17">
        <v>49.0</v>
      </c>
      <c r="N90" s="20">
        <v>45839.0</v>
      </c>
      <c r="O90" s="17" t="s">
        <v>194</v>
      </c>
      <c r="P90" s="16">
        <v>4.0</v>
      </c>
      <c r="Q90" s="16">
        <v>4.0</v>
      </c>
      <c r="R90" s="16">
        <v>4.0</v>
      </c>
      <c r="S90" s="16">
        <v>4.0</v>
      </c>
      <c r="T90" s="16">
        <v>4.0</v>
      </c>
      <c r="U90" s="16">
        <v>3.0</v>
      </c>
      <c r="V90" s="16">
        <v>4.0</v>
      </c>
      <c r="W90" s="16">
        <v>4.0</v>
      </c>
      <c r="X90" s="16">
        <v>4.0</v>
      </c>
      <c r="Y90" s="16">
        <v>4.0</v>
      </c>
      <c r="Z90" s="16">
        <v>4.0</v>
      </c>
      <c r="AA90" s="16">
        <v>4.0</v>
      </c>
      <c r="AB90" s="16">
        <v>4.0</v>
      </c>
      <c r="AC90" s="16">
        <v>4.0</v>
      </c>
      <c r="AD90" s="37">
        <v>14.0</v>
      </c>
      <c r="AE90" s="37">
        <v>15.0</v>
      </c>
      <c r="AF90" s="37">
        <v>15.0</v>
      </c>
      <c r="AG90" s="37"/>
      <c r="AI90" s="18" t="s">
        <v>76</v>
      </c>
    </row>
    <row r="91">
      <c r="A91" s="11"/>
      <c r="B91" s="12" t="s">
        <v>43</v>
      </c>
      <c r="C91" s="12" t="s">
        <v>65</v>
      </c>
      <c r="D91" s="12" t="s">
        <v>43</v>
      </c>
      <c r="E91" s="12" t="s">
        <v>203</v>
      </c>
      <c r="F91" s="13" t="s">
        <v>204</v>
      </c>
      <c r="G91" s="12" t="s">
        <v>68</v>
      </c>
      <c r="H91" s="12" t="s">
        <v>205</v>
      </c>
      <c r="I91" s="12" t="s">
        <v>206</v>
      </c>
      <c r="J91" s="15" t="s">
        <v>372</v>
      </c>
      <c r="K91" s="15" t="s">
        <v>372</v>
      </c>
      <c r="L91" s="17" t="s">
        <v>193</v>
      </c>
      <c r="M91" s="17">
        <v>24.0</v>
      </c>
      <c r="N91" s="20">
        <v>45839.0</v>
      </c>
      <c r="O91" s="17" t="s">
        <v>194</v>
      </c>
      <c r="P91" s="16">
        <v>5.0</v>
      </c>
      <c r="Q91" s="16">
        <v>5.0</v>
      </c>
      <c r="R91" s="16">
        <v>5.0</v>
      </c>
      <c r="S91" s="16">
        <v>5.0</v>
      </c>
      <c r="T91" s="16">
        <v>4.0</v>
      </c>
      <c r="U91" s="16">
        <v>5.0</v>
      </c>
      <c r="V91" s="16">
        <v>5.0</v>
      </c>
      <c r="W91" s="16">
        <v>5.0</v>
      </c>
      <c r="X91" s="16">
        <v>5.0</v>
      </c>
      <c r="Y91" s="16">
        <v>5.0</v>
      </c>
      <c r="Z91" s="16">
        <v>4.0</v>
      </c>
      <c r="AA91" s="16">
        <v>5.0</v>
      </c>
      <c r="AB91" s="16">
        <v>4.0</v>
      </c>
      <c r="AC91" s="16">
        <v>5.0</v>
      </c>
      <c r="AD91" s="38">
        <v>13.0</v>
      </c>
      <c r="AE91" s="38">
        <v>17.0</v>
      </c>
      <c r="AF91" s="38">
        <v>18.0</v>
      </c>
      <c r="AG91" s="38" t="s">
        <v>373</v>
      </c>
      <c r="AI91" s="18" t="s">
        <v>76</v>
      </c>
    </row>
    <row r="92">
      <c r="A92" s="11"/>
      <c r="B92" s="12" t="s">
        <v>43</v>
      </c>
      <c r="C92" s="12" t="s">
        <v>65</v>
      </c>
      <c r="D92" s="12" t="s">
        <v>43</v>
      </c>
      <c r="E92" s="12" t="s">
        <v>203</v>
      </c>
      <c r="F92" s="13" t="s">
        <v>204</v>
      </c>
      <c r="G92" s="12" t="s">
        <v>68</v>
      </c>
      <c r="H92" s="12" t="s">
        <v>205</v>
      </c>
      <c r="I92" s="12" t="s">
        <v>206</v>
      </c>
      <c r="J92" s="15" t="s">
        <v>374</v>
      </c>
      <c r="K92" s="15" t="s">
        <v>374</v>
      </c>
      <c r="L92" s="17" t="s">
        <v>193</v>
      </c>
      <c r="M92" s="17">
        <v>29.0</v>
      </c>
      <c r="N92" s="20">
        <v>45839.0</v>
      </c>
      <c r="O92" s="17" t="s">
        <v>194</v>
      </c>
      <c r="P92" s="16">
        <v>4.0</v>
      </c>
      <c r="Q92" s="16">
        <v>4.0</v>
      </c>
      <c r="R92" s="16">
        <v>4.0</v>
      </c>
      <c r="S92" s="16">
        <v>4.0</v>
      </c>
      <c r="T92" s="16">
        <v>4.0</v>
      </c>
      <c r="U92" s="16">
        <v>4.0</v>
      </c>
      <c r="V92" s="16">
        <v>4.0</v>
      </c>
      <c r="W92" s="16">
        <v>4.0</v>
      </c>
      <c r="X92" s="16">
        <v>4.0</v>
      </c>
      <c r="Y92" s="42"/>
      <c r="Z92" s="16">
        <v>4.0</v>
      </c>
      <c r="AA92" s="16">
        <v>4.0</v>
      </c>
      <c r="AB92" s="16">
        <v>4.0</v>
      </c>
      <c r="AC92" s="16">
        <v>4.0</v>
      </c>
      <c r="AD92" s="38">
        <v>14.0</v>
      </c>
      <c r="AE92" s="38">
        <v>11.0</v>
      </c>
      <c r="AF92" s="38">
        <v>16.0</v>
      </c>
      <c r="AG92" s="38" t="s">
        <v>375</v>
      </c>
      <c r="AI92" s="18" t="s">
        <v>76</v>
      </c>
    </row>
    <row r="93">
      <c r="A93" s="11"/>
      <c r="B93" s="12" t="s">
        <v>43</v>
      </c>
      <c r="C93" s="12" t="s">
        <v>65</v>
      </c>
      <c r="D93" s="12" t="s">
        <v>43</v>
      </c>
      <c r="E93" s="12" t="s">
        <v>203</v>
      </c>
      <c r="F93" s="13" t="s">
        <v>204</v>
      </c>
      <c r="G93" s="12" t="s">
        <v>68</v>
      </c>
      <c r="H93" s="12" t="s">
        <v>205</v>
      </c>
      <c r="I93" s="12" t="s">
        <v>206</v>
      </c>
      <c r="J93" s="15" t="s">
        <v>376</v>
      </c>
      <c r="K93" s="15" t="s">
        <v>376</v>
      </c>
      <c r="L93" s="17" t="s">
        <v>193</v>
      </c>
      <c r="M93" s="17">
        <v>22.0</v>
      </c>
      <c r="N93" s="20">
        <v>45839.0</v>
      </c>
      <c r="O93" s="17" t="s">
        <v>194</v>
      </c>
      <c r="P93" s="16">
        <v>5.0</v>
      </c>
      <c r="Q93" s="16">
        <v>5.0</v>
      </c>
      <c r="R93" s="16">
        <v>4.0</v>
      </c>
      <c r="S93" s="16">
        <v>4.0</v>
      </c>
      <c r="T93" s="16">
        <v>4.0</v>
      </c>
      <c r="U93" s="16">
        <v>3.0</v>
      </c>
      <c r="V93" s="16">
        <v>3.0</v>
      </c>
      <c r="W93" s="16">
        <v>4.0</v>
      </c>
      <c r="X93" s="16">
        <v>4.0</v>
      </c>
      <c r="Y93" s="16">
        <v>4.0</v>
      </c>
      <c r="Z93" s="16">
        <v>4.0</v>
      </c>
      <c r="AA93" s="16">
        <v>5.0</v>
      </c>
      <c r="AB93" s="16">
        <v>4.0</v>
      </c>
      <c r="AC93" s="16">
        <v>4.0</v>
      </c>
      <c r="AD93" s="38">
        <v>13.0</v>
      </c>
      <c r="AE93" s="38">
        <v>15.0</v>
      </c>
      <c r="AF93" s="38">
        <v>14.0</v>
      </c>
      <c r="AG93" s="38" t="s">
        <v>377</v>
      </c>
      <c r="AI93" s="18" t="s">
        <v>76</v>
      </c>
    </row>
    <row r="94">
      <c r="A94" s="11"/>
      <c r="B94" s="12" t="s">
        <v>43</v>
      </c>
      <c r="C94" s="12" t="s">
        <v>65</v>
      </c>
      <c r="D94" s="12" t="s">
        <v>43</v>
      </c>
      <c r="E94" s="12" t="s">
        <v>66</v>
      </c>
      <c r="F94" s="13" t="s">
        <v>67</v>
      </c>
      <c r="G94" s="12" t="s">
        <v>68</v>
      </c>
      <c r="H94" s="12" t="s">
        <v>69</v>
      </c>
      <c r="I94" s="12" t="s">
        <v>70</v>
      </c>
      <c r="J94" s="17" t="s">
        <v>378</v>
      </c>
      <c r="K94" s="17" t="s">
        <v>378</v>
      </c>
      <c r="L94" s="17" t="s">
        <v>193</v>
      </c>
      <c r="M94" s="17">
        <v>41.0</v>
      </c>
      <c r="N94" s="20">
        <v>45833.0</v>
      </c>
      <c r="O94" s="17" t="s">
        <v>194</v>
      </c>
      <c r="P94" s="16">
        <v>3.0</v>
      </c>
      <c r="Q94" s="16">
        <v>3.0</v>
      </c>
      <c r="R94" s="16">
        <v>3.0</v>
      </c>
      <c r="S94" s="16">
        <v>3.0</v>
      </c>
      <c r="T94" s="16">
        <v>4.0</v>
      </c>
      <c r="U94" s="16">
        <v>4.0</v>
      </c>
      <c r="V94" s="16">
        <v>4.0</v>
      </c>
      <c r="W94" s="16">
        <v>3.0</v>
      </c>
      <c r="X94" s="16">
        <v>4.0</v>
      </c>
      <c r="Y94" s="16">
        <v>4.0</v>
      </c>
      <c r="Z94" s="16">
        <v>4.0</v>
      </c>
      <c r="AA94" s="16">
        <v>3.0</v>
      </c>
      <c r="AB94" s="16">
        <v>4.0</v>
      </c>
      <c r="AC94" s="16">
        <v>4.0</v>
      </c>
      <c r="AD94" s="38">
        <v>15.0</v>
      </c>
      <c r="AE94" s="38">
        <v>14.0</v>
      </c>
      <c r="AF94" s="38">
        <v>16.0</v>
      </c>
      <c r="AG94" s="38" t="s">
        <v>379</v>
      </c>
      <c r="AI94" s="18" t="s">
        <v>76</v>
      </c>
    </row>
    <row r="95">
      <c r="A95" s="11"/>
      <c r="B95" s="12" t="s">
        <v>43</v>
      </c>
      <c r="C95" s="12" t="s">
        <v>65</v>
      </c>
      <c r="D95" s="12" t="s">
        <v>43</v>
      </c>
      <c r="E95" s="12" t="s">
        <v>66</v>
      </c>
      <c r="F95" s="13" t="s">
        <v>67</v>
      </c>
      <c r="G95" s="12" t="s">
        <v>68</v>
      </c>
      <c r="H95" s="12" t="s">
        <v>69</v>
      </c>
      <c r="I95" s="12" t="s">
        <v>70</v>
      </c>
      <c r="J95" s="17" t="s">
        <v>380</v>
      </c>
      <c r="K95" s="17" t="s">
        <v>380</v>
      </c>
      <c r="L95" s="17" t="s">
        <v>193</v>
      </c>
      <c r="M95" s="17">
        <v>34.0</v>
      </c>
      <c r="N95" s="20">
        <v>45833.0</v>
      </c>
      <c r="O95" s="17" t="s">
        <v>194</v>
      </c>
      <c r="P95" s="16">
        <v>4.0</v>
      </c>
      <c r="Q95" s="16">
        <v>4.0</v>
      </c>
      <c r="R95" s="16">
        <v>2.0</v>
      </c>
      <c r="S95" s="16">
        <v>2.0</v>
      </c>
      <c r="T95" s="16">
        <v>3.0</v>
      </c>
      <c r="U95" s="16">
        <v>3.0</v>
      </c>
      <c r="V95" s="16">
        <v>3.0</v>
      </c>
      <c r="W95" s="16">
        <v>2.0</v>
      </c>
      <c r="X95" s="16">
        <v>4.0</v>
      </c>
      <c r="Y95" s="16">
        <v>4.0</v>
      </c>
      <c r="Z95" s="16">
        <v>3.0</v>
      </c>
      <c r="AA95" s="16">
        <v>4.0</v>
      </c>
      <c r="AB95" s="16">
        <v>3.0</v>
      </c>
      <c r="AC95" s="16">
        <v>4.0</v>
      </c>
      <c r="AD95" s="38">
        <v>14.0</v>
      </c>
      <c r="AE95" s="38">
        <v>14.0</v>
      </c>
      <c r="AF95" s="38">
        <v>12.0</v>
      </c>
      <c r="AG95" s="38" t="s">
        <v>381</v>
      </c>
      <c r="AI95" s="18" t="s">
        <v>76</v>
      </c>
    </row>
    <row r="96">
      <c r="A96" s="11"/>
      <c r="B96" s="12" t="s">
        <v>43</v>
      </c>
      <c r="C96" s="12" t="s">
        <v>65</v>
      </c>
      <c r="D96" s="12" t="s">
        <v>43</v>
      </c>
      <c r="E96" s="12" t="s">
        <v>66</v>
      </c>
      <c r="F96" s="13" t="s">
        <v>67</v>
      </c>
      <c r="G96" s="12" t="s">
        <v>68</v>
      </c>
      <c r="H96" s="12" t="s">
        <v>69</v>
      </c>
      <c r="I96" s="12" t="s">
        <v>70</v>
      </c>
      <c r="J96" s="17" t="s">
        <v>382</v>
      </c>
      <c r="K96" s="17" t="s">
        <v>382</v>
      </c>
      <c r="L96" s="17" t="s">
        <v>193</v>
      </c>
      <c r="M96" s="17">
        <v>33.0</v>
      </c>
      <c r="N96" s="20">
        <v>45833.0</v>
      </c>
      <c r="O96" s="17" t="s">
        <v>194</v>
      </c>
      <c r="P96" s="16">
        <v>3.0</v>
      </c>
      <c r="Q96" s="16">
        <v>3.0</v>
      </c>
      <c r="R96" s="16">
        <v>3.0</v>
      </c>
      <c r="S96" s="16">
        <v>3.0</v>
      </c>
      <c r="T96" s="16">
        <v>4.0</v>
      </c>
      <c r="U96" s="16">
        <v>4.0</v>
      </c>
      <c r="V96" s="16">
        <v>4.0</v>
      </c>
      <c r="W96" s="16">
        <v>3.0</v>
      </c>
      <c r="X96" s="16">
        <v>3.0</v>
      </c>
      <c r="Y96" s="16">
        <v>3.0</v>
      </c>
      <c r="Z96" s="16">
        <v>4.0</v>
      </c>
      <c r="AA96" s="16">
        <v>3.0</v>
      </c>
      <c r="AB96" s="16">
        <v>4.0</v>
      </c>
      <c r="AC96" s="16">
        <v>3.0</v>
      </c>
      <c r="AD96" s="38">
        <v>15.0</v>
      </c>
      <c r="AE96" s="38">
        <v>13.0</v>
      </c>
      <c r="AF96" s="38">
        <v>16.0</v>
      </c>
      <c r="AG96" s="38" t="s">
        <v>383</v>
      </c>
      <c r="AI96" s="18" t="s">
        <v>76</v>
      </c>
    </row>
    <row r="97">
      <c r="A97" s="11"/>
      <c r="B97" s="12" t="s">
        <v>43</v>
      </c>
      <c r="C97" s="12" t="s">
        <v>65</v>
      </c>
      <c r="D97" s="12" t="s">
        <v>43</v>
      </c>
      <c r="E97" s="12" t="s">
        <v>66</v>
      </c>
      <c r="F97" s="13" t="s">
        <v>67</v>
      </c>
      <c r="G97" s="12" t="s">
        <v>68</v>
      </c>
      <c r="H97" s="12" t="s">
        <v>69</v>
      </c>
      <c r="I97" s="12" t="s">
        <v>70</v>
      </c>
      <c r="J97" s="17" t="s">
        <v>384</v>
      </c>
      <c r="K97" s="17" t="s">
        <v>384</v>
      </c>
      <c r="L97" s="17" t="s">
        <v>193</v>
      </c>
      <c r="M97" s="17">
        <v>32.0</v>
      </c>
      <c r="N97" s="20">
        <v>45833.0</v>
      </c>
      <c r="O97" s="17" t="s">
        <v>194</v>
      </c>
      <c r="P97" s="16">
        <v>4.0</v>
      </c>
      <c r="Q97" s="16">
        <v>4.0</v>
      </c>
      <c r="R97" s="16">
        <v>3.0</v>
      </c>
      <c r="S97" s="16">
        <v>3.0</v>
      </c>
      <c r="T97" s="16">
        <v>3.0</v>
      </c>
      <c r="U97" s="16">
        <v>3.0</v>
      </c>
      <c r="V97" s="16">
        <v>3.0</v>
      </c>
      <c r="W97" s="16">
        <v>3.0</v>
      </c>
      <c r="X97" s="16">
        <v>4.0</v>
      </c>
      <c r="Y97" s="16">
        <v>4.0</v>
      </c>
      <c r="Z97" s="16">
        <v>3.0</v>
      </c>
      <c r="AA97" s="16">
        <v>4.0</v>
      </c>
      <c r="AB97" s="16">
        <v>3.0</v>
      </c>
      <c r="AC97" s="16">
        <v>4.0</v>
      </c>
      <c r="AD97" s="38">
        <v>14.0</v>
      </c>
      <c r="AE97" s="38">
        <v>15.0</v>
      </c>
      <c r="AF97" s="38">
        <v>12.0</v>
      </c>
      <c r="AG97" s="38" t="s">
        <v>385</v>
      </c>
      <c r="AI97" s="18" t="s">
        <v>76</v>
      </c>
    </row>
    <row r="98">
      <c r="A98" s="11"/>
      <c r="B98" s="12" t="s">
        <v>43</v>
      </c>
      <c r="C98" s="12" t="s">
        <v>65</v>
      </c>
      <c r="D98" s="12" t="s">
        <v>43</v>
      </c>
      <c r="E98" s="12" t="s">
        <v>66</v>
      </c>
      <c r="F98" s="13" t="s">
        <v>67</v>
      </c>
      <c r="G98" s="12" t="s">
        <v>68</v>
      </c>
      <c r="H98" s="12" t="s">
        <v>69</v>
      </c>
      <c r="I98" s="12" t="s">
        <v>70</v>
      </c>
      <c r="J98" s="17" t="s">
        <v>386</v>
      </c>
      <c r="K98" s="17" t="s">
        <v>386</v>
      </c>
      <c r="L98" s="17" t="s">
        <v>193</v>
      </c>
      <c r="M98" s="17">
        <v>29.0</v>
      </c>
      <c r="N98" s="20">
        <v>45833.0</v>
      </c>
      <c r="O98" s="17" t="s">
        <v>194</v>
      </c>
      <c r="P98" s="16">
        <v>4.0</v>
      </c>
      <c r="Q98" s="16">
        <v>4.0</v>
      </c>
      <c r="R98" s="16">
        <v>3.0</v>
      </c>
      <c r="S98" s="16">
        <v>3.0</v>
      </c>
      <c r="T98" s="16">
        <v>4.0</v>
      </c>
      <c r="U98" s="16">
        <v>3.0</v>
      </c>
      <c r="V98" s="16">
        <v>3.0</v>
      </c>
      <c r="W98" s="16">
        <v>3.0</v>
      </c>
      <c r="X98" s="16">
        <v>3.0</v>
      </c>
      <c r="Y98" s="16">
        <v>3.0</v>
      </c>
      <c r="Z98" s="16">
        <v>4.0</v>
      </c>
      <c r="AA98" s="16">
        <v>4.0</v>
      </c>
      <c r="AB98" s="16">
        <v>4.0</v>
      </c>
      <c r="AC98" s="16">
        <v>3.0</v>
      </c>
      <c r="AD98" s="38">
        <v>14.0</v>
      </c>
      <c r="AE98" s="38">
        <v>13.0</v>
      </c>
      <c r="AF98" s="38">
        <v>14.0</v>
      </c>
      <c r="AG98" s="38" t="s">
        <v>387</v>
      </c>
      <c r="AI98" s="18" t="s">
        <v>76</v>
      </c>
    </row>
    <row r="99">
      <c r="A99" s="11"/>
      <c r="B99" s="12" t="s">
        <v>43</v>
      </c>
      <c r="C99" s="12" t="s">
        <v>65</v>
      </c>
      <c r="D99" s="12" t="s">
        <v>43</v>
      </c>
      <c r="E99" s="12" t="s">
        <v>66</v>
      </c>
      <c r="F99" s="13" t="s">
        <v>67</v>
      </c>
      <c r="G99" s="12" t="s">
        <v>68</v>
      </c>
      <c r="H99" s="12" t="s">
        <v>69</v>
      </c>
      <c r="I99" s="12" t="s">
        <v>70</v>
      </c>
      <c r="J99" s="17" t="s">
        <v>388</v>
      </c>
      <c r="K99" s="17" t="s">
        <v>388</v>
      </c>
      <c r="L99" s="17" t="s">
        <v>193</v>
      </c>
      <c r="M99" s="17">
        <v>27.0</v>
      </c>
      <c r="N99" s="20">
        <v>45833.0</v>
      </c>
      <c r="O99" s="17" t="s">
        <v>194</v>
      </c>
      <c r="P99" s="16">
        <v>4.0</v>
      </c>
      <c r="Q99" s="16">
        <v>4.0</v>
      </c>
      <c r="R99" s="16">
        <v>4.0</v>
      </c>
      <c r="S99" s="16">
        <v>4.0</v>
      </c>
      <c r="T99" s="16">
        <v>4.0</v>
      </c>
      <c r="U99" s="16">
        <v>4.0</v>
      </c>
      <c r="V99" s="16">
        <v>4.0</v>
      </c>
      <c r="W99" s="16">
        <v>4.0</v>
      </c>
      <c r="X99" s="16">
        <v>4.0</v>
      </c>
      <c r="Y99" s="16">
        <v>4.0</v>
      </c>
      <c r="Z99" s="16">
        <v>4.0</v>
      </c>
      <c r="AA99" s="16">
        <v>4.0</v>
      </c>
      <c r="AB99" s="16">
        <v>4.0</v>
      </c>
      <c r="AC99" s="16">
        <v>4.0</v>
      </c>
      <c r="AD99" s="38">
        <v>14.0</v>
      </c>
      <c r="AE99" s="38">
        <v>15.0</v>
      </c>
      <c r="AF99" s="38">
        <v>16.0</v>
      </c>
      <c r="AG99" s="38" t="s">
        <v>389</v>
      </c>
      <c r="AI99" s="18" t="s">
        <v>76</v>
      </c>
    </row>
    <row r="100">
      <c r="A100" s="11"/>
      <c r="B100" s="12" t="s">
        <v>43</v>
      </c>
      <c r="C100" s="12" t="s">
        <v>65</v>
      </c>
      <c r="D100" s="12" t="s">
        <v>43</v>
      </c>
      <c r="E100" s="12" t="s">
        <v>66</v>
      </c>
      <c r="F100" s="13" t="s">
        <v>67</v>
      </c>
      <c r="G100" s="12" t="s">
        <v>68</v>
      </c>
      <c r="H100" s="12" t="s">
        <v>69</v>
      </c>
      <c r="I100" s="12" t="s">
        <v>70</v>
      </c>
      <c r="J100" s="17" t="s">
        <v>390</v>
      </c>
      <c r="K100" s="17" t="s">
        <v>390</v>
      </c>
      <c r="L100" s="17" t="s">
        <v>193</v>
      </c>
      <c r="M100" s="17">
        <v>30.0</v>
      </c>
      <c r="N100" s="20">
        <v>45833.0</v>
      </c>
      <c r="O100" s="17" t="s">
        <v>194</v>
      </c>
      <c r="P100" s="16">
        <v>4.0</v>
      </c>
      <c r="Q100" s="16">
        <v>4.0</v>
      </c>
      <c r="R100" s="16">
        <v>4.0</v>
      </c>
      <c r="S100" s="16">
        <v>4.0</v>
      </c>
      <c r="T100" s="16">
        <v>4.0</v>
      </c>
      <c r="U100" s="16">
        <v>4.0</v>
      </c>
      <c r="V100" s="16">
        <v>4.0</v>
      </c>
      <c r="W100" s="16">
        <v>4.0</v>
      </c>
      <c r="X100" s="16">
        <v>5.0</v>
      </c>
      <c r="Y100" s="16">
        <v>5.0</v>
      </c>
      <c r="Z100" s="16">
        <v>4.0</v>
      </c>
      <c r="AA100" s="16">
        <v>4.0</v>
      </c>
      <c r="AB100" s="16">
        <v>4.0</v>
      </c>
      <c r="AC100" s="16">
        <v>5.0</v>
      </c>
      <c r="AD100" s="38">
        <v>14.0</v>
      </c>
      <c r="AE100" s="38">
        <v>16.0</v>
      </c>
      <c r="AF100" s="38">
        <v>16.0</v>
      </c>
      <c r="AG100" s="38" t="s">
        <v>391</v>
      </c>
      <c r="AI100" s="18" t="s">
        <v>76</v>
      </c>
    </row>
    <row r="101">
      <c r="A101" s="11"/>
      <c r="B101" s="12" t="s">
        <v>43</v>
      </c>
      <c r="C101" s="12" t="s">
        <v>65</v>
      </c>
      <c r="D101" s="12" t="s">
        <v>43</v>
      </c>
      <c r="E101" s="12" t="s">
        <v>66</v>
      </c>
      <c r="F101" s="13" t="s">
        <v>67</v>
      </c>
      <c r="G101" s="12" t="s">
        <v>68</v>
      </c>
      <c r="H101" s="12" t="s">
        <v>69</v>
      </c>
      <c r="I101" s="12" t="s">
        <v>70</v>
      </c>
      <c r="J101" s="17" t="s">
        <v>392</v>
      </c>
      <c r="K101" s="17" t="s">
        <v>392</v>
      </c>
      <c r="L101" s="17" t="s">
        <v>193</v>
      </c>
      <c r="M101" s="17">
        <v>30.0</v>
      </c>
      <c r="N101" s="20">
        <v>45833.0</v>
      </c>
      <c r="O101" s="17" t="s">
        <v>194</v>
      </c>
      <c r="P101" s="16">
        <v>4.0</v>
      </c>
      <c r="Q101" s="16">
        <v>4.0</v>
      </c>
      <c r="R101" s="16">
        <v>3.0</v>
      </c>
      <c r="S101" s="16">
        <v>3.0</v>
      </c>
      <c r="T101" s="16">
        <v>3.0</v>
      </c>
      <c r="U101" s="16">
        <v>3.0</v>
      </c>
      <c r="V101" s="16">
        <v>3.0</v>
      </c>
      <c r="W101" s="16">
        <v>3.0</v>
      </c>
      <c r="X101" s="16">
        <v>4.0</v>
      </c>
      <c r="Y101" s="16">
        <v>4.0</v>
      </c>
      <c r="Z101" s="16">
        <v>3.0</v>
      </c>
      <c r="AA101" s="16">
        <v>4.0</v>
      </c>
      <c r="AB101" s="16">
        <v>3.0</v>
      </c>
      <c r="AC101" s="16">
        <v>4.0</v>
      </c>
      <c r="AD101" s="37">
        <v>14.0</v>
      </c>
      <c r="AE101" s="37">
        <v>15.0</v>
      </c>
      <c r="AF101" s="37">
        <v>12.0</v>
      </c>
      <c r="AG101" s="37"/>
      <c r="AI101" s="18" t="s">
        <v>76</v>
      </c>
    </row>
    <row r="102">
      <c r="A102" s="11"/>
      <c r="B102" s="12" t="s">
        <v>43</v>
      </c>
      <c r="C102" s="12" t="s">
        <v>65</v>
      </c>
      <c r="D102" s="12" t="s">
        <v>43</v>
      </c>
      <c r="E102" s="12" t="s">
        <v>66</v>
      </c>
      <c r="F102" s="13" t="s">
        <v>67</v>
      </c>
      <c r="G102" s="12" t="s">
        <v>68</v>
      </c>
      <c r="H102" s="12" t="s">
        <v>69</v>
      </c>
      <c r="I102" s="12" t="s">
        <v>70</v>
      </c>
      <c r="J102" s="17" t="s">
        <v>393</v>
      </c>
      <c r="K102" s="17" t="s">
        <v>393</v>
      </c>
      <c r="L102" s="17" t="s">
        <v>193</v>
      </c>
      <c r="M102" s="17">
        <v>33.0</v>
      </c>
      <c r="N102" s="20">
        <v>45833.0</v>
      </c>
      <c r="O102" s="17" t="s">
        <v>194</v>
      </c>
      <c r="P102" s="16">
        <v>3.0</v>
      </c>
      <c r="Q102" s="16">
        <v>3.0</v>
      </c>
      <c r="R102" s="16">
        <v>4.0</v>
      </c>
      <c r="S102" s="16">
        <v>4.0</v>
      </c>
      <c r="T102" s="16">
        <v>4.0</v>
      </c>
      <c r="U102" s="16">
        <v>2.0</v>
      </c>
      <c r="V102" s="16">
        <v>2.0</v>
      </c>
      <c r="W102" s="16">
        <v>4.0</v>
      </c>
      <c r="X102" s="16">
        <v>4.0</v>
      </c>
      <c r="Y102" s="16">
        <v>4.0</v>
      </c>
      <c r="Z102" s="16">
        <v>4.0</v>
      </c>
      <c r="AA102" s="16">
        <v>3.0</v>
      </c>
      <c r="AB102" s="16">
        <v>4.0</v>
      </c>
      <c r="AC102" s="16">
        <v>4.0</v>
      </c>
      <c r="AD102" s="38">
        <v>15.0</v>
      </c>
      <c r="AE102" s="38">
        <v>15.0</v>
      </c>
      <c r="AF102" s="38">
        <v>12.0</v>
      </c>
      <c r="AG102" s="38" t="s">
        <v>394</v>
      </c>
      <c r="AI102" s="18" t="s">
        <v>76</v>
      </c>
    </row>
    <row r="103">
      <c r="A103" s="11"/>
      <c r="B103" s="12" t="s">
        <v>43</v>
      </c>
      <c r="C103" s="12" t="s">
        <v>65</v>
      </c>
      <c r="D103" s="12" t="s">
        <v>43</v>
      </c>
      <c r="E103" s="12" t="s">
        <v>66</v>
      </c>
      <c r="F103" s="13" t="s">
        <v>67</v>
      </c>
      <c r="G103" s="12" t="s">
        <v>68</v>
      </c>
      <c r="H103" s="12" t="s">
        <v>69</v>
      </c>
      <c r="I103" s="12" t="s">
        <v>70</v>
      </c>
      <c r="J103" s="17" t="s">
        <v>395</v>
      </c>
      <c r="K103" s="17" t="s">
        <v>395</v>
      </c>
      <c r="L103" s="17" t="s">
        <v>193</v>
      </c>
      <c r="M103" s="17">
        <v>31.0</v>
      </c>
      <c r="N103" s="20">
        <v>45833.0</v>
      </c>
      <c r="O103" s="17" t="s">
        <v>194</v>
      </c>
      <c r="P103" s="16">
        <v>4.0</v>
      </c>
      <c r="Q103" s="16">
        <v>4.0</v>
      </c>
      <c r="R103" s="16">
        <v>4.0</v>
      </c>
      <c r="S103" s="16">
        <v>4.0</v>
      </c>
      <c r="T103" s="16">
        <v>4.0</v>
      </c>
      <c r="U103" s="16">
        <v>5.0</v>
      </c>
      <c r="V103" s="16">
        <v>5.0</v>
      </c>
      <c r="W103" s="16">
        <v>4.0</v>
      </c>
      <c r="X103" s="16">
        <v>4.0</v>
      </c>
      <c r="Y103" s="16">
        <v>4.0</v>
      </c>
      <c r="Z103" s="16">
        <v>4.0</v>
      </c>
      <c r="AA103" s="16">
        <v>4.0</v>
      </c>
      <c r="AB103" s="16">
        <v>4.0</v>
      </c>
      <c r="AC103" s="16">
        <v>4.0</v>
      </c>
      <c r="AD103" s="38">
        <v>14.0</v>
      </c>
      <c r="AE103" s="38">
        <v>15.0</v>
      </c>
      <c r="AF103" s="38">
        <v>18.0</v>
      </c>
      <c r="AG103" s="38" t="s">
        <v>396</v>
      </c>
      <c r="AI103" s="18" t="s">
        <v>76</v>
      </c>
    </row>
    <row r="104">
      <c r="A104" s="11"/>
      <c r="B104" s="12" t="s">
        <v>43</v>
      </c>
      <c r="C104" s="12" t="s">
        <v>65</v>
      </c>
      <c r="D104" s="12" t="s">
        <v>43</v>
      </c>
      <c r="E104" s="12" t="s">
        <v>66</v>
      </c>
      <c r="F104" s="13" t="s">
        <v>67</v>
      </c>
      <c r="G104" s="12" t="s">
        <v>68</v>
      </c>
      <c r="H104" s="12" t="s">
        <v>69</v>
      </c>
      <c r="I104" s="12" t="s">
        <v>70</v>
      </c>
      <c r="J104" s="17" t="s">
        <v>397</v>
      </c>
      <c r="K104" s="17" t="s">
        <v>397</v>
      </c>
      <c r="L104" s="17" t="s">
        <v>193</v>
      </c>
      <c r="M104" s="17">
        <v>29.0</v>
      </c>
      <c r="N104" s="20">
        <v>45833.0</v>
      </c>
      <c r="O104" s="17" t="s">
        <v>194</v>
      </c>
      <c r="P104" s="16">
        <v>4.0</v>
      </c>
      <c r="Q104" s="16">
        <v>4.0</v>
      </c>
      <c r="R104" s="16">
        <v>5.0</v>
      </c>
      <c r="S104" s="16">
        <v>5.0</v>
      </c>
      <c r="T104" s="16">
        <v>5.0</v>
      </c>
      <c r="U104" s="16">
        <v>4.0</v>
      </c>
      <c r="V104" s="16">
        <v>4.0</v>
      </c>
      <c r="W104" s="16">
        <v>5.0</v>
      </c>
      <c r="X104" s="16">
        <v>5.0</v>
      </c>
      <c r="Y104" s="16">
        <v>5.0</v>
      </c>
      <c r="Z104" s="16">
        <v>5.0</v>
      </c>
      <c r="AA104" s="16">
        <v>4.0</v>
      </c>
      <c r="AB104" s="16">
        <v>5.0</v>
      </c>
      <c r="AC104" s="16">
        <v>5.0</v>
      </c>
      <c r="AD104" s="38">
        <v>14.0</v>
      </c>
      <c r="AE104" s="38">
        <v>16.0</v>
      </c>
      <c r="AF104" s="38">
        <v>18.0</v>
      </c>
      <c r="AG104" s="38" t="s">
        <v>398</v>
      </c>
      <c r="AI104" s="18" t="s">
        <v>76</v>
      </c>
    </row>
    <row r="105">
      <c r="A105" s="11"/>
      <c r="B105" s="12" t="s">
        <v>43</v>
      </c>
      <c r="C105" s="12" t="s">
        <v>65</v>
      </c>
      <c r="D105" s="12" t="s">
        <v>43</v>
      </c>
      <c r="E105" s="12" t="s">
        <v>66</v>
      </c>
      <c r="F105" s="13" t="s">
        <v>67</v>
      </c>
      <c r="G105" s="12" t="s">
        <v>68</v>
      </c>
      <c r="H105" s="12" t="s">
        <v>69</v>
      </c>
      <c r="I105" s="12" t="s">
        <v>70</v>
      </c>
      <c r="J105" s="17" t="s">
        <v>399</v>
      </c>
      <c r="K105" s="17" t="s">
        <v>399</v>
      </c>
      <c r="L105" s="17" t="s">
        <v>193</v>
      </c>
      <c r="M105" s="17">
        <v>18.0</v>
      </c>
      <c r="N105" s="20">
        <v>45833.0</v>
      </c>
      <c r="O105" s="17" t="s">
        <v>194</v>
      </c>
      <c r="P105" s="16">
        <v>2.0</v>
      </c>
      <c r="Q105" s="16">
        <v>2.0</v>
      </c>
      <c r="R105" s="16">
        <v>5.0</v>
      </c>
      <c r="S105" s="16">
        <v>5.0</v>
      </c>
      <c r="T105" s="16">
        <v>4.0</v>
      </c>
      <c r="U105" s="16">
        <v>4.0</v>
      </c>
      <c r="V105" s="16">
        <v>4.0</v>
      </c>
      <c r="W105" s="16">
        <v>5.0</v>
      </c>
      <c r="X105" s="16">
        <v>4.0</v>
      </c>
      <c r="Y105" s="16">
        <v>4.0</v>
      </c>
      <c r="Z105" s="16">
        <v>4.0</v>
      </c>
      <c r="AA105" s="16">
        <v>2.0</v>
      </c>
      <c r="AB105" s="16">
        <v>4.0</v>
      </c>
      <c r="AC105" s="16">
        <v>4.0</v>
      </c>
      <c r="AD105" s="38">
        <v>16.0</v>
      </c>
      <c r="AE105" s="38">
        <v>16.0</v>
      </c>
      <c r="AF105" s="38">
        <v>16.0</v>
      </c>
      <c r="AG105" s="38" t="s">
        <v>400</v>
      </c>
      <c r="AI105" s="18" t="s">
        <v>76</v>
      </c>
    </row>
    <row r="106">
      <c r="A106" s="11"/>
      <c r="B106" s="12" t="s">
        <v>43</v>
      </c>
      <c r="C106" s="12" t="s">
        <v>65</v>
      </c>
      <c r="D106" s="12" t="s">
        <v>43</v>
      </c>
      <c r="E106" s="12" t="s">
        <v>66</v>
      </c>
      <c r="F106" s="13" t="s">
        <v>67</v>
      </c>
      <c r="G106" s="12" t="s">
        <v>68</v>
      </c>
      <c r="H106" s="12" t="s">
        <v>69</v>
      </c>
      <c r="I106" s="12" t="s">
        <v>70</v>
      </c>
      <c r="J106" s="17" t="s">
        <v>401</v>
      </c>
      <c r="K106" s="17" t="s">
        <v>401</v>
      </c>
      <c r="L106" s="17" t="s">
        <v>193</v>
      </c>
      <c r="M106" s="17">
        <v>38.0</v>
      </c>
      <c r="N106" s="20">
        <v>45833.0</v>
      </c>
      <c r="O106" s="17" t="s">
        <v>194</v>
      </c>
      <c r="P106" s="16">
        <v>3.0</v>
      </c>
      <c r="Q106" s="16">
        <v>3.0</v>
      </c>
      <c r="R106" s="16">
        <v>3.0</v>
      </c>
      <c r="S106" s="16">
        <v>3.0</v>
      </c>
      <c r="T106" s="16">
        <v>4.0</v>
      </c>
      <c r="U106" s="16">
        <v>4.0</v>
      </c>
      <c r="V106" s="16">
        <v>4.0</v>
      </c>
      <c r="W106" s="16">
        <v>3.0</v>
      </c>
      <c r="X106" s="16">
        <v>2.0</v>
      </c>
      <c r="Y106" s="16">
        <v>2.0</v>
      </c>
      <c r="Z106" s="16">
        <v>4.0</v>
      </c>
      <c r="AA106" s="16">
        <v>3.0</v>
      </c>
      <c r="AB106" s="16">
        <v>4.0</v>
      </c>
      <c r="AC106" s="16">
        <v>2.0</v>
      </c>
      <c r="AD106" s="38">
        <v>15.0</v>
      </c>
      <c r="AE106" s="38">
        <v>12.0</v>
      </c>
      <c r="AF106" s="38">
        <v>16.0</v>
      </c>
      <c r="AG106" s="38" t="s">
        <v>402</v>
      </c>
      <c r="AI106" s="18" t="s">
        <v>76</v>
      </c>
    </row>
    <row r="107">
      <c r="A107" s="11"/>
      <c r="B107" s="12" t="s">
        <v>43</v>
      </c>
      <c r="C107" s="12" t="s">
        <v>65</v>
      </c>
      <c r="D107" s="12" t="s">
        <v>43</v>
      </c>
      <c r="E107" s="12" t="s">
        <v>66</v>
      </c>
      <c r="F107" s="13" t="s">
        <v>67</v>
      </c>
      <c r="G107" s="12" t="s">
        <v>68</v>
      </c>
      <c r="H107" s="12" t="s">
        <v>69</v>
      </c>
      <c r="I107" s="12" t="s">
        <v>70</v>
      </c>
      <c r="J107" s="17" t="s">
        <v>403</v>
      </c>
      <c r="K107" s="17" t="s">
        <v>403</v>
      </c>
      <c r="L107" s="17" t="s">
        <v>250</v>
      </c>
      <c r="M107" s="17">
        <v>52.0</v>
      </c>
      <c r="N107" s="20">
        <v>45833.0</v>
      </c>
      <c r="O107" s="17" t="s">
        <v>194</v>
      </c>
      <c r="P107" s="16">
        <v>3.0</v>
      </c>
      <c r="Q107" s="16">
        <v>3.0</v>
      </c>
      <c r="R107" s="16">
        <v>3.0</v>
      </c>
      <c r="S107" s="16">
        <v>3.0</v>
      </c>
      <c r="T107" s="16">
        <v>5.0</v>
      </c>
      <c r="U107" s="16">
        <v>2.0</v>
      </c>
      <c r="V107" s="16">
        <v>2.0</v>
      </c>
      <c r="W107" s="16">
        <v>3.0</v>
      </c>
      <c r="X107" s="16">
        <v>1.0</v>
      </c>
      <c r="Y107" s="16">
        <v>1.0</v>
      </c>
      <c r="Z107" s="16">
        <v>5.0</v>
      </c>
      <c r="AA107" s="16">
        <v>3.0</v>
      </c>
      <c r="AB107" s="16">
        <v>5.0</v>
      </c>
      <c r="AC107" s="16">
        <v>1.0</v>
      </c>
      <c r="AD107" s="38">
        <v>15.0</v>
      </c>
      <c r="AE107" s="38">
        <v>10.0</v>
      </c>
      <c r="AF107" s="38">
        <v>14.0</v>
      </c>
      <c r="AG107" s="38" t="s">
        <v>404</v>
      </c>
      <c r="AI107" s="18" t="s">
        <v>76</v>
      </c>
    </row>
    <row r="108">
      <c r="A108" s="11"/>
      <c r="B108" s="12" t="s">
        <v>43</v>
      </c>
      <c r="C108" s="12" t="s">
        <v>65</v>
      </c>
      <c r="D108" s="12" t="s">
        <v>43</v>
      </c>
      <c r="E108" s="12" t="s">
        <v>66</v>
      </c>
      <c r="F108" s="13" t="s">
        <v>67</v>
      </c>
      <c r="G108" s="12" t="s">
        <v>68</v>
      </c>
      <c r="H108" s="12" t="s">
        <v>69</v>
      </c>
      <c r="I108" s="12" t="s">
        <v>70</v>
      </c>
      <c r="J108" s="17" t="s">
        <v>405</v>
      </c>
      <c r="K108" s="17" t="s">
        <v>405</v>
      </c>
      <c r="L108" s="17" t="s">
        <v>193</v>
      </c>
      <c r="M108" s="17">
        <v>38.0</v>
      </c>
      <c r="N108" s="20">
        <v>45833.0</v>
      </c>
      <c r="O108" s="17" t="s">
        <v>194</v>
      </c>
      <c r="P108" s="16">
        <v>4.0</v>
      </c>
      <c r="Q108" s="16">
        <v>4.0</v>
      </c>
      <c r="R108" s="16">
        <v>3.0</v>
      </c>
      <c r="S108" s="16">
        <v>3.0</v>
      </c>
      <c r="T108" s="16">
        <v>5.0</v>
      </c>
      <c r="U108" s="16">
        <v>4.0</v>
      </c>
      <c r="V108" s="16">
        <v>4.0</v>
      </c>
      <c r="W108" s="16">
        <v>3.0</v>
      </c>
      <c r="X108" s="16">
        <v>5.0</v>
      </c>
      <c r="Y108" s="16">
        <v>5.0</v>
      </c>
      <c r="Z108" s="16">
        <v>5.0</v>
      </c>
      <c r="AA108" s="16">
        <v>4.0</v>
      </c>
      <c r="AB108" s="16">
        <v>5.0</v>
      </c>
      <c r="AC108" s="16">
        <v>5.0</v>
      </c>
      <c r="AD108" s="38">
        <v>14.0</v>
      </c>
      <c r="AE108" s="38">
        <v>14.0</v>
      </c>
      <c r="AF108" s="38">
        <v>18.0</v>
      </c>
      <c r="AG108" s="38" t="s">
        <v>406</v>
      </c>
      <c r="AI108" s="18" t="s">
        <v>76</v>
      </c>
    </row>
    <row r="109">
      <c r="A109" s="11"/>
      <c r="B109" s="12" t="s">
        <v>43</v>
      </c>
      <c r="C109" s="12" t="s">
        <v>65</v>
      </c>
      <c r="D109" s="12" t="s">
        <v>43</v>
      </c>
      <c r="E109" s="12" t="s">
        <v>66</v>
      </c>
      <c r="F109" s="13" t="s">
        <v>67</v>
      </c>
      <c r="G109" s="12" t="s">
        <v>68</v>
      </c>
      <c r="H109" s="12" t="s">
        <v>69</v>
      </c>
      <c r="I109" s="12" t="s">
        <v>70</v>
      </c>
      <c r="J109" s="17" t="s">
        <v>407</v>
      </c>
      <c r="K109" s="17" t="s">
        <v>407</v>
      </c>
      <c r="L109" s="17" t="s">
        <v>193</v>
      </c>
      <c r="M109" s="17">
        <v>42.0</v>
      </c>
      <c r="N109" s="20">
        <v>45833.0</v>
      </c>
      <c r="O109" s="17" t="s">
        <v>194</v>
      </c>
      <c r="P109" s="16">
        <v>1.0</v>
      </c>
      <c r="Q109" s="16">
        <v>1.0</v>
      </c>
      <c r="R109" s="16">
        <v>4.0</v>
      </c>
      <c r="S109" s="16">
        <v>4.0</v>
      </c>
      <c r="T109" s="16">
        <v>5.0</v>
      </c>
      <c r="U109" s="16">
        <v>4.0</v>
      </c>
      <c r="V109" s="16">
        <v>4.0</v>
      </c>
      <c r="W109" s="16">
        <v>4.0</v>
      </c>
      <c r="X109" s="16">
        <v>5.0</v>
      </c>
      <c r="Y109" s="16">
        <v>5.0</v>
      </c>
      <c r="Z109" s="16">
        <v>5.0</v>
      </c>
      <c r="AA109" s="16">
        <v>1.0</v>
      </c>
      <c r="AB109" s="16">
        <v>5.0</v>
      </c>
      <c r="AC109" s="16">
        <v>5.0</v>
      </c>
      <c r="AD109" s="38">
        <v>17.0</v>
      </c>
      <c r="AE109" s="38">
        <v>15.0</v>
      </c>
      <c r="AF109" s="38">
        <v>18.0</v>
      </c>
      <c r="AG109" s="38" t="s">
        <v>408</v>
      </c>
      <c r="AI109" s="18" t="s">
        <v>76</v>
      </c>
    </row>
    <row r="110">
      <c r="A110" s="11"/>
      <c r="B110" s="12" t="s">
        <v>34</v>
      </c>
      <c r="C110" s="12" t="s">
        <v>65</v>
      </c>
      <c r="D110" s="12" t="s">
        <v>102</v>
      </c>
      <c r="E110" s="12" t="s">
        <v>103</v>
      </c>
      <c r="F110" s="13" t="s">
        <v>104</v>
      </c>
      <c r="G110" s="12" t="s">
        <v>68</v>
      </c>
      <c r="H110" s="12" t="s">
        <v>105</v>
      </c>
      <c r="I110" s="12" t="s">
        <v>106</v>
      </c>
      <c r="J110" s="17" t="s">
        <v>409</v>
      </c>
      <c r="K110" s="17" t="s">
        <v>409</v>
      </c>
      <c r="L110" s="17" t="s">
        <v>193</v>
      </c>
      <c r="M110" s="17">
        <v>24.0</v>
      </c>
      <c r="N110" s="20">
        <v>45833.0</v>
      </c>
      <c r="O110" s="17" t="s">
        <v>194</v>
      </c>
      <c r="P110" s="16">
        <v>5.0</v>
      </c>
      <c r="Q110" s="16">
        <v>5.0</v>
      </c>
      <c r="R110" s="16">
        <v>3.0</v>
      </c>
      <c r="S110" s="16">
        <v>3.0</v>
      </c>
      <c r="T110" s="16">
        <v>4.0</v>
      </c>
      <c r="U110" s="16">
        <v>5.0</v>
      </c>
      <c r="V110" s="16">
        <v>5.0</v>
      </c>
      <c r="W110" s="16">
        <v>3.0</v>
      </c>
      <c r="X110" s="16">
        <v>4.0</v>
      </c>
      <c r="Y110" s="16">
        <v>4.0</v>
      </c>
      <c r="Z110" s="16">
        <v>4.0</v>
      </c>
      <c r="AA110" s="16">
        <v>5.0</v>
      </c>
      <c r="AB110" s="16">
        <v>4.0</v>
      </c>
      <c r="AC110" s="16">
        <v>4.0</v>
      </c>
      <c r="AD110" s="38">
        <v>13.0</v>
      </c>
      <c r="AE110" s="38">
        <v>14.0</v>
      </c>
      <c r="AF110" s="38">
        <v>18.0</v>
      </c>
      <c r="AG110" s="38" t="s">
        <v>410</v>
      </c>
      <c r="AI110" s="18" t="s">
        <v>92</v>
      </c>
    </row>
    <row r="111">
      <c r="A111" s="11"/>
      <c r="B111" s="12" t="s">
        <v>34</v>
      </c>
      <c r="C111" s="12" t="s">
        <v>65</v>
      </c>
      <c r="D111" s="12" t="s">
        <v>102</v>
      </c>
      <c r="E111" s="12" t="s">
        <v>103</v>
      </c>
      <c r="F111" s="13" t="s">
        <v>104</v>
      </c>
      <c r="G111" s="12" t="s">
        <v>68</v>
      </c>
      <c r="H111" s="12" t="s">
        <v>105</v>
      </c>
      <c r="I111" s="12" t="s">
        <v>106</v>
      </c>
      <c r="J111" s="17" t="s">
        <v>411</v>
      </c>
      <c r="K111" s="17" t="s">
        <v>411</v>
      </c>
      <c r="L111" s="17" t="s">
        <v>250</v>
      </c>
      <c r="M111" s="17">
        <v>58.0</v>
      </c>
      <c r="N111" s="20">
        <v>45833.0</v>
      </c>
      <c r="O111" s="17" t="s">
        <v>194</v>
      </c>
      <c r="P111" s="16">
        <v>1.0</v>
      </c>
      <c r="Q111" s="16">
        <v>1.0</v>
      </c>
      <c r="R111" s="16">
        <v>1.0</v>
      </c>
      <c r="S111" s="16">
        <v>1.0</v>
      </c>
      <c r="T111" s="16">
        <v>4.0</v>
      </c>
      <c r="U111" s="16">
        <v>4.0</v>
      </c>
      <c r="V111" s="16">
        <v>4.0</v>
      </c>
      <c r="W111" s="16">
        <v>1.0</v>
      </c>
      <c r="X111" s="16">
        <v>4.0</v>
      </c>
      <c r="Y111" s="16">
        <v>4.0</v>
      </c>
      <c r="Z111" s="16">
        <v>4.0</v>
      </c>
      <c r="AA111" s="16">
        <v>1.0</v>
      </c>
      <c r="AB111" s="16">
        <v>4.0</v>
      </c>
      <c r="AC111" s="16">
        <v>4.0</v>
      </c>
      <c r="AD111" s="38">
        <v>17.0</v>
      </c>
      <c r="AE111" s="38">
        <v>12.0</v>
      </c>
      <c r="AF111" s="38">
        <v>16.0</v>
      </c>
      <c r="AG111" s="38" t="s">
        <v>412</v>
      </c>
      <c r="AI111" s="18" t="s">
        <v>92</v>
      </c>
    </row>
    <row r="112">
      <c r="A112" s="11"/>
      <c r="B112" s="12" t="s">
        <v>34</v>
      </c>
      <c r="C112" s="12" t="s">
        <v>65</v>
      </c>
      <c r="D112" s="12" t="s">
        <v>102</v>
      </c>
      <c r="E112" s="12" t="s">
        <v>103</v>
      </c>
      <c r="F112" s="13" t="s">
        <v>104</v>
      </c>
      <c r="G112" s="12" t="s">
        <v>68</v>
      </c>
      <c r="H112" s="12" t="s">
        <v>105</v>
      </c>
      <c r="I112" s="12" t="s">
        <v>106</v>
      </c>
      <c r="J112" s="17" t="s">
        <v>413</v>
      </c>
      <c r="K112" s="17" t="s">
        <v>413</v>
      </c>
      <c r="L112" s="17" t="s">
        <v>193</v>
      </c>
      <c r="M112" s="17">
        <v>29.0</v>
      </c>
      <c r="N112" s="20">
        <v>45833.0</v>
      </c>
      <c r="O112" s="17" t="s">
        <v>194</v>
      </c>
      <c r="P112" s="16">
        <v>4.0</v>
      </c>
      <c r="Q112" s="16">
        <v>4.0</v>
      </c>
      <c r="R112" s="16">
        <v>3.0</v>
      </c>
      <c r="S112" s="16">
        <v>3.0</v>
      </c>
      <c r="T112" s="16">
        <v>2.0</v>
      </c>
      <c r="U112" s="16">
        <v>5.0</v>
      </c>
      <c r="V112" s="16">
        <v>5.0</v>
      </c>
      <c r="W112" s="16">
        <v>3.0</v>
      </c>
      <c r="X112" s="16">
        <v>1.0</v>
      </c>
      <c r="Y112" s="16">
        <v>1.0</v>
      </c>
      <c r="Z112" s="16">
        <v>2.0</v>
      </c>
      <c r="AA112" s="16">
        <v>4.0</v>
      </c>
      <c r="AB112" s="16">
        <v>2.0</v>
      </c>
      <c r="AC112" s="16">
        <v>1.0</v>
      </c>
      <c r="AD112" s="37">
        <v>14.0</v>
      </c>
      <c r="AE112" s="37">
        <v>13.0</v>
      </c>
      <c r="AF112" s="37">
        <v>14.0</v>
      </c>
      <c r="AG112" s="37"/>
      <c r="AI112" s="18" t="s">
        <v>92</v>
      </c>
    </row>
    <row r="113">
      <c r="A113" s="11"/>
      <c r="B113" s="12" t="s">
        <v>34</v>
      </c>
      <c r="C113" s="12" t="s">
        <v>65</v>
      </c>
      <c r="D113" s="12" t="s">
        <v>102</v>
      </c>
      <c r="E113" s="12" t="s">
        <v>103</v>
      </c>
      <c r="F113" s="13" t="s">
        <v>104</v>
      </c>
      <c r="G113" s="12" t="s">
        <v>68</v>
      </c>
      <c r="H113" s="12" t="s">
        <v>105</v>
      </c>
      <c r="I113" s="12" t="s">
        <v>106</v>
      </c>
      <c r="J113" s="17" t="s">
        <v>414</v>
      </c>
      <c r="K113" s="17" t="s">
        <v>414</v>
      </c>
      <c r="L113" s="17" t="s">
        <v>193</v>
      </c>
      <c r="M113" s="17">
        <v>43.0</v>
      </c>
      <c r="N113" s="20">
        <v>45833.0</v>
      </c>
      <c r="O113" s="17" t="s">
        <v>194</v>
      </c>
      <c r="P113" s="16">
        <v>4.0</v>
      </c>
      <c r="Q113" s="16">
        <v>4.0</v>
      </c>
      <c r="R113" s="16">
        <v>3.0</v>
      </c>
      <c r="S113" s="16">
        <v>3.0</v>
      </c>
      <c r="T113" s="16">
        <v>1.0</v>
      </c>
      <c r="U113" s="16">
        <v>5.0</v>
      </c>
      <c r="V113" s="16">
        <v>5.0</v>
      </c>
      <c r="W113" s="16">
        <v>3.0</v>
      </c>
      <c r="X113" s="16">
        <v>1.0</v>
      </c>
      <c r="Y113" s="16">
        <v>1.0</v>
      </c>
      <c r="Z113" s="16">
        <v>1.0</v>
      </c>
      <c r="AA113" s="16">
        <v>4.0</v>
      </c>
      <c r="AB113" s="16">
        <v>1.0</v>
      </c>
      <c r="AC113" s="16">
        <v>1.0</v>
      </c>
      <c r="AD113" s="37">
        <v>14.0</v>
      </c>
      <c r="AE113" s="37">
        <v>14.0</v>
      </c>
      <c r="AF113" s="37">
        <v>12.0</v>
      </c>
      <c r="AG113" s="37"/>
      <c r="AI113" s="18" t="s">
        <v>92</v>
      </c>
    </row>
    <row r="114">
      <c r="A114" s="11"/>
      <c r="B114" s="12" t="s">
        <v>34</v>
      </c>
      <c r="C114" s="12" t="s">
        <v>65</v>
      </c>
      <c r="D114" s="12" t="s">
        <v>102</v>
      </c>
      <c r="E114" s="12" t="s">
        <v>103</v>
      </c>
      <c r="F114" s="13" t="s">
        <v>104</v>
      </c>
      <c r="G114" s="12" t="s">
        <v>68</v>
      </c>
      <c r="H114" s="12" t="s">
        <v>105</v>
      </c>
      <c r="I114" s="12" t="s">
        <v>106</v>
      </c>
      <c r="J114" s="17" t="s">
        <v>415</v>
      </c>
      <c r="K114" s="17" t="s">
        <v>415</v>
      </c>
      <c r="L114" s="17" t="s">
        <v>193</v>
      </c>
      <c r="M114" s="17">
        <v>29.0</v>
      </c>
      <c r="N114" s="20">
        <v>45833.0</v>
      </c>
      <c r="O114" s="17" t="s">
        <v>194</v>
      </c>
      <c r="P114" s="16">
        <v>4.0</v>
      </c>
      <c r="Q114" s="16">
        <v>4.0</v>
      </c>
      <c r="R114" s="16">
        <v>3.0</v>
      </c>
      <c r="S114" s="16">
        <v>3.0</v>
      </c>
      <c r="T114" s="16">
        <v>4.0</v>
      </c>
      <c r="U114" s="16">
        <v>3.0</v>
      </c>
      <c r="V114" s="16">
        <v>3.0</v>
      </c>
      <c r="W114" s="16">
        <v>3.0</v>
      </c>
      <c r="X114" s="16">
        <v>4.0</v>
      </c>
      <c r="Y114" s="16">
        <v>4.0</v>
      </c>
      <c r="Z114" s="16">
        <v>4.0</v>
      </c>
      <c r="AA114" s="16">
        <v>4.0</v>
      </c>
      <c r="AB114" s="16">
        <v>4.0</v>
      </c>
      <c r="AC114" s="16">
        <v>4.0</v>
      </c>
      <c r="AD114" s="38">
        <v>14.0</v>
      </c>
      <c r="AE114" s="38">
        <v>14.0</v>
      </c>
      <c r="AF114" s="38">
        <v>14.0</v>
      </c>
      <c r="AG114" s="38" t="s">
        <v>416</v>
      </c>
      <c r="AI114" s="18" t="s">
        <v>92</v>
      </c>
    </row>
    <row r="115">
      <c r="A115" s="11"/>
      <c r="B115" s="12" t="s">
        <v>34</v>
      </c>
      <c r="C115" s="12" t="s">
        <v>65</v>
      </c>
      <c r="D115" s="12" t="s">
        <v>102</v>
      </c>
      <c r="E115" s="12" t="s">
        <v>103</v>
      </c>
      <c r="F115" s="13" t="s">
        <v>104</v>
      </c>
      <c r="G115" s="12" t="s">
        <v>68</v>
      </c>
      <c r="H115" s="12" t="s">
        <v>105</v>
      </c>
      <c r="I115" s="12" t="s">
        <v>106</v>
      </c>
      <c r="J115" s="17" t="s">
        <v>417</v>
      </c>
      <c r="K115" s="17" t="s">
        <v>417</v>
      </c>
      <c r="L115" s="17" t="s">
        <v>193</v>
      </c>
      <c r="M115" s="17">
        <v>35.0</v>
      </c>
      <c r="N115" s="20">
        <v>45833.0</v>
      </c>
      <c r="O115" s="17" t="s">
        <v>194</v>
      </c>
      <c r="P115" s="16">
        <v>4.0</v>
      </c>
      <c r="Q115" s="16">
        <v>4.0</v>
      </c>
      <c r="R115" s="16">
        <v>3.0</v>
      </c>
      <c r="S115" s="16">
        <v>3.0</v>
      </c>
      <c r="T115" s="16">
        <v>4.0</v>
      </c>
      <c r="U115" s="16">
        <v>2.0</v>
      </c>
      <c r="V115" s="16">
        <v>2.0</v>
      </c>
      <c r="W115" s="16">
        <v>3.0</v>
      </c>
      <c r="X115" s="16">
        <v>3.0</v>
      </c>
      <c r="Y115" s="16">
        <v>3.0</v>
      </c>
      <c r="Z115" s="16">
        <v>4.0</v>
      </c>
      <c r="AA115" s="16">
        <v>4.0</v>
      </c>
      <c r="AB115" s="16">
        <v>4.0</v>
      </c>
      <c r="AC115" s="16">
        <v>3.0</v>
      </c>
      <c r="AD115" s="38">
        <v>14.0</v>
      </c>
      <c r="AE115" s="38">
        <v>13.0</v>
      </c>
      <c r="AF115" s="38">
        <v>12.0</v>
      </c>
      <c r="AG115" s="38" t="s">
        <v>418</v>
      </c>
      <c r="AI115" s="18" t="s">
        <v>92</v>
      </c>
    </row>
    <row r="116">
      <c r="A116" s="11"/>
      <c r="B116" s="12" t="s">
        <v>34</v>
      </c>
      <c r="C116" s="12" t="s">
        <v>65</v>
      </c>
      <c r="D116" s="12" t="s">
        <v>102</v>
      </c>
      <c r="E116" s="12" t="s">
        <v>103</v>
      </c>
      <c r="F116" s="13" t="s">
        <v>104</v>
      </c>
      <c r="G116" s="12" t="s">
        <v>68</v>
      </c>
      <c r="H116" s="12" t="s">
        <v>105</v>
      </c>
      <c r="I116" s="12" t="s">
        <v>106</v>
      </c>
      <c r="J116" s="17" t="s">
        <v>419</v>
      </c>
      <c r="K116" s="17" t="s">
        <v>419</v>
      </c>
      <c r="L116" s="17" t="s">
        <v>193</v>
      </c>
      <c r="M116" s="17">
        <v>21.0</v>
      </c>
      <c r="N116" s="20">
        <v>45833.0</v>
      </c>
      <c r="O116" s="17" t="s">
        <v>194</v>
      </c>
      <c r="P116" s="16">
        <v>4.0</v>
      </c>
      <c r="Q116" s="16">
        <v>4.0</v>
      </c>
      <c r="R116" s="16">
        <v>4.0</v>
      </c>
      <c r="S116" s="16">
        <v>4.0</v>
      </c>
      <c r="T116" s="16">
        <v>4.0</v>
      </c>
      <c r="U116" s="16">
        <v>4.0</v>
      </c>
      <c r="V116" s="16">
        <v>4.0</v>
      </c>
      <c r="W116" s="16">
        <v>4.0</v>
      </c>
      <c r="X116" s="16">
        <v>4.0</v>
      </c>
      <c r="Y116" s="16">
        <v>4.0</v>
      </c>
      <c r="Z116" s="16">
        <v>4.0</v>
      </c>
      <c r="AA116" s="16">
        <v>4.0</v>
      </c>
      <c r="AB116" s="16">
        <v>4.0</v>
      </c>
      <c r="AC116" s="16">
        <v>4.0</v>
      </c>
      <c r="AD116" s="38">
        <v>14.0</v>
      </c>
      <c r="AE116" s="38">
        <v>15.0</v>
      </c>
      <c r="AF116" s="38">
        <v>16.0</v>
      </c>
      <c r="AG116" s="38" t="s">
        <v>420</v>
      </c>
      <c r="AI116" s="18" t="s">
        <v>92</v>
      </c>
    </row>
    <row r="117">
      <c r="A117" s="11"/>
      <c r="B117" s="12" t="s">
        <v>34</v>
      </c>
      <c r="C117" s="12" t="s">
        <v>65</v>
      </c>
      <c r="D117" s="12" t="s">
        <v>102</v>
      </c>
      <c r="E117" s="12" t="s">
        <v>103</v>
      </c>
      <c r="F117" s="13" t="s">
        <v>104</v>
      </c>
      <c r="G117" s="12" t="s">
        <v>68</v>
      </c>
      <c r="H117" s="12" t="s">
        <v>105</v>
      </c>
      <c r="I117" s="12" t="s">
        <v>106</v>
      </c>
      <c r="J117" s="17" t="s">
        <v>421</v>
      </c>
      <c r="K117" s="17" t="s">
        <v>421</v>
      </c>
      <c r="L117" s="17" t="s">
        <v>222</v>
      </c>
      <c r="M117" s="17">
        <v>45.0</v>
      </c>
      <c r="N117" s="20">
        <v>45833.0</v>
      </c>
      <c r="O117" s="17" t="s">
        <v>194</v>
      </c>
      <c r="P117" s="16">
        <v>1.0</v>
      </c>
      <c r="Q117" s="16">
        <v>1.0</v>
      </c>
      <c r="R117" s="16">
        <v>3.0</v>
      </c>
      <c r="S117" s="16">
        <v>3.0</v>
      </c>
      <c r="T117" s="16">
        <v>4.0</v>
      </c>
      <c r="U117" s="16">
        <v>4.0</v>
      </c>
      <c r="V117" s="16">
        <v>4.0</v>
      </c>
      <c r="W117" s="16">
        <v>3.0</v>
      </c>
      <c r="X117" s="16">
        <v>4.0</v>
      </c>
      <c r="Y117" s="16">
        <v>4.0</v>
      </c>
      <c r="Z117" s="16">
        <v>4.0</v>
      </c>
      <c r="AA117" s="16">
        <v>1.0</v>
      </c>
      <c r="AB117" s="16">
        <v>4.0</v>
      </c>
      <c r="AC117" s="16">
        <v>4.0</v>
      </c>
      <c r="AD117" s="37">
        <v>17.0</v>
      </c>
      <c r="AE117" s="37">
        <v>14.0</v>
      </c>
      <c r="AF117" s="37">
        <v>16.0</v>
      </c>
      <c r="AG117" s="37"/>
      <c r="AI117" s="18" t="s">
        <v>92</v>
      </c>
    </row>
    <row r="118">
      <c r="A118" s="11"/>
      <c r="B118" s="12" t="s">
        <v>34</v>
      </c>
      <c r="C118" s="12" t="s">
        <v>65</v>
      </c>
      <c r="D118" s="12" t="s">
        <v>102</v>
      </c>
      <c r="E118" s="12" t="s">
        <v>103</v>
      </c>
      <c r="F118" s="13" t="s">
        <v>104</v>
      </c>
      <c r="G118" s="12" t="s">
        <v>68</v>
      </c>
      <c r="H118" s="12" t="s">
        <v>105</v>
      </c>
      <c r="I118" s="12" t="s">
        <v>106</v>
      </c>
      <c r="J118" s="17" t="s">
        <v>422</v>
      </c>
      <c r="K118" s="17" t="s">
        <v>422</v>
      </c>
      <c r="L118" s="17" t="s">
        <v>222</v>
      </c>
      <c r="M118" s="17">
        <v>42.0</v>
      </c>
      <c r="N118" s="20">
        <v>45833.0</v>
      </c>
      <c r="O118" s="17" t="s">
        <v>194</v>
      </c>
      <c r="P118" s="16">
        <v>3.0</v>
      </c>
      <c r="Q118" s="16">
        <v>3.0</v>
      </c>
      <c r="R118" s="16">
        <v>4.0</v>
      </c>
      <c r="S118" s="16">
        <v>4.0</v>
      </c>
      <c r="T118" s="16">
        <v>3.0</v>
      </c>
      <c r="U118" s="16">
        <v>3.0</v>
      </c>
      <c r="V118" s="16">
        <v>3.0</v>
      </c>
      <c r="W118" s="16">
        <v>4.0</v>
      </c>
      <c r="X118" s="16">
        <v>4.0</v>
      </c>
      <c r="Y118" s="16">
        <v>4.0</v>
      </c>
      <c r="Z118" s="16">
        <v>3.0</v>
      </c>
      <c r="AA118" s="16">
        <v>3.0</v>
      </c>
      <c r="AB118" s="16">
        <v>3.0</v>
      </c>
      <c r="AC118" s="16">
        <v>4.0</v>
      </c>
      <c r="AD118" s="38">
        <v>15.0</v>
      </c>
      <c r="AE118" s="38">
        <v>16.0</v>
      </c>
      <c r="AF118" s="38">
        <v>12.0</v>
      </c>
      <c r="AG118" s="38" t="s">
        <v>423</v>
      </c>
      <c r="AI118" s="18" t="s">
        <v>92</v>
      </c>
    </row>
    <row r="119">
      <c r="A119" s="11"/>
      <c r="B119" s="12" t="s">
        <v>34</v>
      </c>
      <c r="C119" s="12" t="s">
        <v>65</v>
      </c>
      <c r="D119" s="12" t="s">
        <v>102</v>
      </c>
      <c r="E119" s="12" t="s">
        <v>103</v>
      </c>
      <c r="F119" s="13" t="s">
        <v>104</v>
      </c>
      <c r="G119" s="12" t="s">
        <v>68</v>
      </c>
      <c r="H119" s="12" t="s">
        <v>105</v>
      </c>
      <c r="I119" s="12" t="s">
        <v>106</v>
      </c>
      <c r="J119" s="17" t="s">
        <v>424</v>
      </c>
      <c r="K119" s="17" t="s">
        <v>424</v>
      </c>
      <c r="L119" s="17" t="s">
        <v>222</v>
      </c>
      <c r="M119" s="17">
        <v>27.0</v>
      </c>
      <c r="N119" s="20">
        <v>45833.0</v>
      </c>
      <c r="O119" s="17" t="s">
        <v>194</v>
      </c>
      <c r="P119" s="16">
        <v>4.0</v>
      </c>
      <c r="Q119" s="16">
        <v>4.0</v>
      </c>
      <c r="R119" s="16">
        <v>3.0</v>
      </c>
      <c r="S119" s="16">
        <v>3.0</v>
      </c>
      <c r="T119" s="16">
        <v>4.0</v>
      </c>
      <c r="U119" s="16">
        <v>3.0</v>
      </c>
      <c r="V119" s="16">
        <v>3.0</v>
      </c>
      <c r="W119" s="16">
        <v>3.0</v>
      </c>
      <c r="X119" s="16">
        <v>4.0</v>
      </c>
      <c r="Y119" s="16">
        <v>4.0</v>
      </c>
      <c r="Z119" s="16">
        <v>4.0</v>
      </c>
      <c r="AA119" s="16">
        <v>4.0</v>
      </c>
      <c r="AB119" s="16">
        <v>4.0</v>
      </c>
      <c r="AC119" s="16">
        <v>4.0</v>
      </c>
      <c r="AD119" s="38">
        <v>14.0</v>
      </c>
      <c r="AE119" s="38">
        <v>14.0</v>
      </c>
      <c r="AF119" s="38">
        <v>14.0</v>
      </c>
      <c r="AG119" s="38" t="s">
        <v>425</v>
      </c>
      <c r="AI119" s="18" t="s">
        <v>92</v>
      </c>
    </row>
    <row r="120">
      <c r="A120" s="11"/>
      <c r="B120" s="12" t="s">
        <v>34</v>
      </c>
      <c r="C120" s="12" t="s">
        <v>65</v>
      </c>
      <c r="D120" s="12" t="s">
        <v>102</v>
      </c>
      <c r="E120" s="12" t="s">
        <v>103</v>
      </c>
      <c r="F120" s="13" t="s">
        <v>104</v>
      </c>
      <c r="G120" s="12" t="s">
        <v>68</v>
      </c>
      <c r="H120" s="12" t="s">
        <v>105</v>
      </c>
      <c r="I120" s="12" t="s">
        <v>106</v>
      </c>
      <c r="J120" s="17" t="s">
        <v>426</v>
      </c>
      <c r="K120" s="17" t="s">
        <v>426</v>
      </c>
      <c r="L120" s="17" t="s">
        <v>222</v>
      </c>
      <c r="M120" s="17">
        <v>40.0</v>
      </c>
      <c r="N120" s="20">
        <v>45833.0</v>
      </c>
      <c r="O120" s="17" t="s">
        <v>194</v>
      </c>
      <c r="P120" s="16">
        <v>3.0</v>
      </c>
      <c r="Q120" s="16">
        <v>3.0</v>
      </c>
      <c r="R120" s="16">
        <v>4.0</v>
      </c>
      <c r="S120" s="16">
        <v>4.0</v>
      </c>
      <c r="T120" s="16">
        <v>4.0</v>
      </c>
      <c r="U120" s="16">
        <v>3.0</v>
      </c>
      <c r="V120" s="16">
        <v>3.0</v>
      </c>
      <c r="W120" s="16">
        <v>4.0</v>
      </c>
      <c r="X120" s="16">
        <v>4.0</v>
      </c>
      <c r="Y120" s="16">
        <v>4.0</v>
      </c>
      <c r="Z120" s="16">
        <v>4.0</v>
      </c>
      <c r="AA120" s="16">
        <v>3.0</v>
      </c>
      <c r="AB120" s="16">
        <v>4.0</v>
      </c>
      <c r="AC120" s="16">
        <v>4.0</v>
      </c>
      <c r="AD120" s="38">
        <v>15.0</v>
      </c>
      <c r="AE120" s="38">
        <v>15.0</v>
      </c>
      <c r="AF120" s="38">
        <v>14.0</v>
      </c>
      <c r="AG120" s="38" t="s">
        <v>427</v>
      </c>
      <c r="AI120" s="18" t="s">
        <v>92</v>
      </c>
    </row>
    <row r="121">
      <c r="A121" s="43"/>
      <c r="B121" s="44" t="s">
        <v>34</v>
      </c>
      <c r="C121" s="44" t="s">
        <v>65</v>
      </c>
      <c r="D121" s="44" t="s">
        <v>102</v>
      </c>
      <c r="E121" s="44" t="s">
        <v>103</v>
      </c>
      <c r="F121" s="45" t="s">
        <v>104</v>
      </c>
      <c r="G121" s="44" t="s">
        <v>68</v>
      </c>
      <c r="H121" s="44" t="s">
        <v>105</v>
      </c>
      <c r="I121" s="44" t="s">
        <v>106</v>
      </c>
      <c r="J121" s="46" t="s">
        <v>409</v>
      </c>
      <c r="K121" s="46" t="s">
        <v>409</v>
      </c>
      <c r="L121" s="46" t="s">
        <v>193</v>
      </c>
      <c r="M121" s="47">
        <v>24.0</v>
      </c>
      <c r="N121" s="22">
        <v>45959.0</v>
      </c>
      <c r="O121" s="48" t="s">
        <v>428</v>
      </c>
      <c r="P121" s="49">
        <v>5.0</v>
      </c>
      <c r="Q121" s="49">
        <v>5.0</v>
      </c>
      <c r="R121" s="41">
        <v>4.0</v>
      </c>
      <c r="S121" s="41">
        <v>4.0</v>
      </c>
      <c r="T121" s="49">
        <v>4.0</v>
      </c>
      <c r="U121" s="49">
        <v>5.0</v>
      </c>
      <c r="V121" s="49">
        <v>5.0</v>
      </c>
      <c r="W121" s="41">
        <v>4.0</v>
      </c>
      <c r="X121" s="41">
        <v>5.0</v>
      </c>
      <c r="Y121" s="41">
        <v>5.0</v>
      </c>
      <c r="Z121" s="49">
        <v>4.0</v>
      </c>
      <c r="AA121" s="49">
        <v>5.0</v>
      </c>
      <c r="AB121" s="49">
        <v>4.0</v>
      </c>
      <c r="AC121" s="41">
        <v>5.0</v>
      </c>
      <c r="AD121" s="50">
        <v>13.0</v>
      </c>
      <c r="AE121" s="50">
        <v>16.0</v>
      </c>
      <c r="AF121" s="50">
        <v>18.0</v>
      </c>
      <c r="AG121" s="50"/>
      <c r="AH121" s="21"/>
      <c r="AI121" s="51" t="s">
        <v>92</v>
      </c>
    </row>
    <row r="122">
      <c r="A122" s="43"/>
      <c r="B122" s="44" t="s">
        <v>34</v>
      </c>
      <c r="C122" s="44" t="s">
        <v>65</v>
      </c>
      <c r="D122" s="44" t="s">
        <v>102</v>
      </c>
      <c r="E122" s="44" t="s">
        <v>103</v>
      </c>
      <c r="F122" s="45" t="s">
        <v>104</v>
      </c>
      <c r="G122" s="44" t="s">
        <v>68</v>
      </c>
      <c r="H122" s="44" t="s">
        <v>105</v>
      </c>
      <c r="I122" s="44" t="s">
        <v>106</v>
      </c>
      <c r="J122" s="46" t="s">
        <v>411</v>
      </c>
      <c r="K122" s="46" t="s">
        <v>411</v>
      </c>
      <c r="L122" s="46" t="s">
        <v>250</v>
      </c>
      <c r="M122" s="47">
        <v>58.0</v>
      </c>
      <c r="N122" s="22">
        <v>45959.0</v>
      </c>
      <c r="O122" s="48" t="s">
        <v>428</v>
      </c>
      <c r="P122" s="41">
        <v>4.0</v>
      </c>
      <c r="Q122" s="41">
        <v>4.0</v>
      </c>
      <c r="R122" s="41">
        <v>4.0</v>
      </c>
      <c r="S122" s="41">
        <v>4.0</v>
      </c>
      <c r="T122" s="41">
        <v>5.0</v>
      </c>
      <c r="U122" s="49">
        <v>4.0</v>
      </c>
      <c r="V122" s="49">
        <v>4.0</v>
      </c>
      <c r="W122" s="41">
        <v>4.0</v>
      </c>
      <c r="X122" s="49">
        <v>4.0</v>
      </c>
      <c r="Y122" s="49">
        <v>4.0</v>
      </c>
      <c r="Z122" s="41">
        <v>5.0</v>
      </c>
      <c r="AA122" s="41">
        <v>4.0</v>
      </c>
      <c r="AB122" s="41">
        <v>5.0</v>
      </c>
      <c r="AC122" s="49">
        <v>4.0</v>
      </c>
      <c r="AD122" s="50">
        <v>14.0</v>
      </c>
      <c r="AE122" s="50">
        <v>14.0</v>
      </c>
      <c r="AF122" s="50">
        <v>18.0</v>
      </c>
      <c r="AG122" s="50"/>
      <c r="AH122" s="21"/>
      <c r="AI122" s="51" t="s">
        <v>92</v>
      </c>
    </row>
    <row r="123">
      <c r="A123" s="43"/>
      <c r="B123" s="44" t="s">
        <v>34</v>
      </c>
      <c r="C123" s="44" t="s">
        <v>65</v>
      </c>
      <c r="D123" s="44" t="s">
        <v>102</v>
      </c>
      <c r="E123" s="44" t="s">
        <v>103</v>
      </c>
      <c r="F123" s="45" t="s">
        <v>104</v>
      </c>
      <c r="G123" s="44" t="s">
        <v>68</v>
      </c>
      <c r="H123" s="44" t="s">
        <v>105</v>
      </c>
      <c r="I123" s="44" t="s">
        <v>106</v>
      </c>
      <c r="J123" s="46" t="s">
        <v>413</v>
      </c>
      <c r="K123" s="46" t="s">
        <v>413</v>
      </c>
      <c r="L123" s="46" t="s">
        <v>193</v>
      </c>
      <c r="M123" s="47">
        <v>29.0</v>
      </c>
      <c r="N123" s="22">
        <v>45959.0</v>
      </c>
      <c r="O123" s="48" t="s">
        <v>428</v>
      </c>
      <c r="P123" s="41">
        <v>5.0</v>
      </c>
      <c r="Q123" s="41">
        <v>5.0</v>
      </c>
      <c r="R123" s="41">
        <v>4.0</v>
      </c>
      <c r="S123" s="41">
        <v>4.0</v>
      </c>
      <c r="T123" s="41">
        <v>4.0</v>
      </c>
      <c r="U123" s="49">
        <v>5.0</v>
      </c>
      <c r="V123" s="49">
        <v>5.0</v>
      </c>
      <c r="W123" s="41">
        <v>4.0</v>
      </c>
      <c r="X123" s="41">
        <v>4.0</v>
      </c>
      <c r="Y123" s="41">
        <v>4.0</v>
      </c>
      <c r="Z123" s="41">
        <v>4.0</v>
      </c>
      <c r="AA123" s="41">
        <v>5.0</v>
      </c>
      <c r="AB123" s="41">
        <v>4.0</v>
      </c>
      <c r="AC123" s="41">
        <v>4.0</v>
      </c>
      <c r="AD123" s="50">
        <v>13.0</v>
      </c>
      <c r="AE123" s="50">
        <v>15.0</v>
      </c>
      <c r="AF123" s="50">
        <v>18.0</v>
      </c>
      <c r="AG123" s="50"/>
      <c r="AH123" s="21"/>
      <c r="AI123" s="51" t="s">
        <v>92</v>
      </c>
    </row>
    <row r="124">
      <c r="A124" s="43"/>
      <c r="B124" s="44" t="s">
        <v>34</v>
      </c>
      <c r="C124" s="44" t="s">
        <v>65</v>
      </c>
      <c r="D124" s="44" t="s">
        <v>102</v>
      </c>
      <c r="E124" s="44" t="s">
        <v>103</v>
      </c>
      <c r="F124" s="45" t="s">
        <v>104</v>
      </c>
      <c r="G124" s="44" t="s">
        <v>68</v>
      </c>
      <c r="H124" s="44" t="s">
        <v>105</v>
      </c>
      <c r="I124" s="44" t="s">
        <v>106</v>
      </c>
      <c r="J124" s="46" t="s">
        <v>414</v>
      </c>
      <c r="K124" s="46" t="s">
        <v>414</v>
      </c>
      <c r="L124" s="46" t="s">
        <v>193</v>
      </c>
      <c r="M124" s="47">
        <v>43.0</v>
      </c>
      <c r="N124" s="22">
        <v>45959.0</v>
      </c>
      <c r="O124" s="48" t="s">
        <v>428</v>
      </c>
      <c r="P124" s="41">
        <v>5.0</v>
      </c>
      <c r="Q124" s="41">
        <v>5.0</v>
      </c>
      <c r="R124" s="41">
        <v>4.0</v>
      </c>
      <c r="S124" s="41">
        <v>4.0</v>
      </c>
      <c r="T124" s="41">
        <v>3.0</v>
      </c>
      <c r="U124" s="49">
        <v>5.0</v>
      </c>
      <c r="V124" s="49">
        <v>5.0</v>
      </c>
      <c r="W124" s="41">
        <v>4.0</v>
      </c>
      <c r="X124" s="41">
        <v>3.0</v>
      </c>
      <c r="Y124" s="41">
        <v>3.0</v>
      </c>
      <c r="Z124" s="41">
        <v>3.0</v>
      </c>
      <c r="AA124" s="41">
        <v>5.0</v>
      </c>
      <c r="AB124" s="41">
        <v>3.0</v>
      </c>
      <c r="AC124" s="41">
        <v>3.0</v>
      </c>
      <c r="AD124" s="50">
        <v>13.0</v>
      </c>
      <c r="AE124" s="50">
        <v>15.0</v>
      </c>
      <c r="AF124" s="50">
        <v>16.0</v>
      </c>
      <c r="AG124" s="50"/>
      <c r="AH124" s="21"/>
      <c r="AI124" s="51" t="s">
        <v>92</v>
      </c>
    </row>
    <row r="125">
      <c r="A125" s="43"/>
      <c r="B125" s="44" t="s">
        <v>34</v>
      </c>
      <c r="C125" s="44" t="s">
        <v>65</v>
      </c>
      <c r="D125" s="44" t="s">
        <v>102</v>
      </c>
      <c r="E125" s="44" t="s">
        <v>103</v>
      </c>
      <c r="F125" s="45" t="s">
        <v>104</v>
      </c>
      <c r="G125" s="44" t="s">
        <v>68</v>
      </c>
      <c r="H125" s="44" t="s">
        <v>105</v>
      </c>
      <c r="I125" s="44" t="s">
        <v>106</v>
      </c>
      <c r="J125" s="46" t="s">
        <v>415</v>
      </c>
      <c r="K125" s="46" t="s">
        <v>415</v>
      </c>
      <c r="L125" s="46" t="s">
        <v>193</v>
      </c>
      <c r="M125" s="47">
        <v>29.0</v>
      </c>
      <c r="N125" s="22">
        <v>45959.0</v>
      </c>
      <c r="O125" s="48" t="s">
        <v>428</v>
      </c>
      <c r="P125" s="49">
        <v>4.0</v>
      </c>
      <c r="Q125" s="49">
        <v>4.0</v>
      </c>
      <c r="R125" s="41">
        <v>4.0</v>
      </c>
      <c r="S125" s="41">
        <v>4.0</v>
      </c>
      <c r="T125" s="49">
        <v>4.0</v>
      </c>
      <c r="U125" s="41">
        <v>4.0</v>
      </c>
      <c r="V125" s="41">
        <v>4.0</v>
      </c>
      <c r="W125" s="41">
        <v>4.0</v>
      </c>
      <c r="X125" s="41">
        <v>5.0</v>
      </c>
      <c r="Y125" s="41">
        <v>5.0</v>
      </c>
      <c r="Z125" s="49">
        <v>4.0</v>
      </c>
      <c r="AA125" s="49">
        <v>4.0</v>
      </c>
      <c r="AB125" s="49">
        <v>4.0</v>
      </c>
      <c r="AC125" s="41">
        <v>5.0</v>
      </c>
      <c r="AD125" s="50">
        <v>14.0</v>
      </c>
      <c r="AE125" s="50">
        <v>16.0</v>
      </c>
      <c r="AF125" s="50">
        <v>16.0</v>
      </c>
      <c r="AG125" s="50"/>
      <c r="AH125" s="21"/>
      <c r="AI125" s="51" t="s">
        <v>92</v>
      </c>
    </row>
    <row r="126">
      <c r="A126" s="43"/>
      <c r="B126" s="44" t="s">
        <v>34</v>
      </c>
      <c r="C126" s="44" t="s">
        <v>65</v>
      </c>
      <c r="D126" s="44" t="s">
        <v>102</v>
      </c>
      <c r="E126" s="44" t="s">
        <v>103</v>
      </c>
      <c r="F126" s="45" t="s">
        <v>104</v>
      </c>
      <c r="G126" s="44" t="s">
        <v>68</v>
      </c>
      <c r="H126" s="44" t="s">
        <v>105</v>
      </c>
      <c r="I126" s="44" t="s">
        <v>106</v>
      </c>
      <c r="J126" s="46" t="s">
        <v>417</v>
      </c>
      <c r="K126" s="46" t="s">
        <v>417</v>
      </c>
      <c r="L126" s="46" t="s">
        <v>193</v>
      </c>
      <c r="M126" s="47">
        <v>35.0</v>
      </c>
      <c r="N126" s="22">
        <v>45959.0</v>
      </c>
      <c r="O126" s="48" t="s">
        <v>428</v>
      </c>
      <c r="P126" s="49">
        <v>4.0</v>
      </c>
      <c r="Q126" s="49">
        <v>4.0</v>
      </c>
      <c r="R126" s="41">
        <v>4.0</v>
      </c>
      <c r="S126" s="41">
        <v>4.0</v>
      </c>
      <c r="T126" s="49">
        <v>4.0</v>
      </c>
      <c r="U126" s="41">
        <v>3.0</v>
      </c>
      <c r="V126" s="41">
        <v>3.0</v>
      </c>
      <c r="W126" s="41">
        <v>4.0</v>
      </c>
      <c r="X126" s="41">
        <v>5.0</v>
      </c>
      <c r="Y126" s="41">
        <v>5.0</v>
      </c>
      <c r="Z126" s="49">
        <v>4.0</v>
      </c>
      <c r="AA126" s="49">
        <v>4.0</v>
      </c>
      <c r="AB126" s="49">
        <v>4.0</v>
      </c>
      <c r="AC126" s="41">
        <v>5.0</v>
      </c>
      <c r="AD126" s="50">
        <v>14.0</v>
      </c>
      <c r="AE126" s="50">
        <v>16.0</v>
      </c>
      <c r="AF126" s="50">
        <v>14.0</v>
      </c>
      <c r="AG126" s="50"/>
      <c r="AH126" s="21"/>
      <c r="AI126" s="51" t="s">
        <v>92</v>
      </c>
    </row>
    <row r="127">
      <c r="A127" s="43"/>
      <c r="B127" s="44" t="s">
        <v>34</v>
      </c>
      <c r="C127" s="44" t="s">
        <v>65</v>
      </c>
      <c r="D127" s="44" t="s">
        <v>102</v>
      </c>
      <c r="E127" s="44" t="s">
        <v>103</v>
      </c>
      <c r="F127" s="45" t="s">
        <v>104</v>
      </c>
      <c r="G127" s="44" t="s">
        <v>68</v>
      </c>
      <c r="H127" s="44" t="s">
        <v>105</v>
      </c>
      <c r="I127" s="44" t="s">
        <v>106</v>
      </c>
      <c r="J127" s="46" t="s">
        <v>419</v>
      </c>
      <c r="K127" s="46" t="s">
        <v>419</v>
      </c>
      <c r="L127" s="46" t="s">
        <v>193</v>
      </c>
      <c r="M127" s="47">
        <v>21.0</v>
      </c>
      <c r="N127" s="22">
        <v>45959.0</v>
      </c>
      <c r="O127" s="48" t="s">
        <v>428</v>
      </c>
      <c r="P127" s="41">
        <v>5.0</v>
      </c>
      <c r="Q127" s="41">
        <v>5.0</v>
      </c>
      <c r="R127" s="49">
        <v>4.0</v>
      </c>
      <c r="S127" s="49">
        <v>4.0</v>
      </c>
      <c r="T127" s="49">
        <v>4.0</v>
      </c>
      <c r="U127" s="49">
        <v>4.0</v>
      </c>
      <c r="V127" s="49">
        <v>4.0</v>
      </c>
      <c r="W127" s="49">
        <v>4.0</v>
      </c>
      <c r="X127" s="49">
        <v>4.0</v>
      </c>
      <c r="Y127" s="49">
        <v>4.0</v>
      </c>
      <c r="Z127" s="49">
        <v>4.0</v>
      </c>
      <c r="AA127" s="41">
        <v>5.0</v>
      </c>
      <c r="AB127" s="49">
        <v>4.0</v>
      </c>
      <c r="AC127" s="49">
        <v>4.0</v>
      </c>
      <c r="AD127" s="50">
        <v>13.0</v>
      </c>
      <c r="AE127" s="50">
        <v>15.0</v>
      </c>
      <c r="AF127" s="50">
        <v>16.0</v>
      </c>
      <c r="AG127" s="50"/>
      <c r="AH127" s="21"/>
      <c r="AI127" s="51" t="s">
        <v>92</v>
      </c>
    </row>
    <row r="128">
      <c r="A128" s="43"/>
      <c r="B128" s="44" t="s">
        <v>34</v>
      </c>
      <c r="C128" s="44" t="s">
        <v>65</v>
      </c>
      <c r="D128" s="44" t="s">
        <v>102</v>
      </c>
      <c r="E128" s="44" t="s">
        <v>103</v>
      </c>
      <c r="F128" s="45" t="s">
        <v>104</v>
      </c>
      <c r="G128" s="44" t="s">
        <v>68</v>
      </c>
      <c r="H128" s="44" t="s">
        <v>105</v>
      </c>
      <c r="I128" s="44" t="s">
        <v>106</v>
      </c>
      <c r="J128" s="46" t="s">
        <v>421</v>
      </c>
      <c r="K128" s="46" t="s">
        <v>421</v>
      </c>
      <c r="L128" s="46" t="s">
        <v>222</v>
      </c>
      <c r="M128" s="47">
        <v>45.0</v>
      </c>
      <c r="N128" s="22">
        <v>45959.0</v>
      </c>
      <c r="O128" s="48" t="s">
        <v>428</v>
      </c>
      <c r="P128" s="41">
        <v>5.0</v>
      </c>
      <c r="Q128" s="41">
        <v>5.0</v>
      </c>
      <c r="R128" s="41">
        <v>4.0</v>
      </c>
      <c r="S128" s="41">
        <v>4.0</v>
      </c>
      <c r="T128" s="49">
        <v>4.0</v>
      </c>
      <c r="U128" s="41">
        <v>5.0</v>
      </c>
      <c r="V128" s="41">
        <v>5.0</v>
      </c>
      <c r="W128" s="41">
        <v>4.0</v>
      </c>
      <c r="X128" s="49">
        <v>4.0</v>
      </c>
      <c r="Y128" s="49">
        <v>4.0</v>
      </c>
      <c r="Z128" s="49">
        <v>4.0</v>
      </c>
      <c r="AA128" s="41">
        <v>5.0</v>
      </c>
      <c r="AB128" s="49">
        <v>4.0</v>
      </c>
      <c r="AC128" s="49">
        <v>4.0</v>
      </c>
      <c r="AD128" s="50">
        <v>13.0</v>
      </c>
      <c r="AE128" s="50">
        <v>15.0</v>
      </c>
      <c r="AF128" s="50">
        <v>18.0</v>
      </c>
      <c r="AG128" s="50"/>
      <c r="AH128" s="21"/>
      <c r="AI128" s="51" t="s">
        <v>92</v>
      </c>
    </row>
    <row r="129">
      <c r="A129" s="43"/>
      <c r="B129" s="44" t="s">
        <v>34</v>
      </c>
      <c r="C129" s="44" t="s">
        <v>65</v>
      </c>
      <c r="D129" s="44" t="s">
        <v>102</v>
      </c>
      <c r="E129" s="44" t="s">
        <v>103</v>
      </c>
      <c r="F129" s="45" t="s">
        <v>104</v>
      </c>
      <c r="G129" s="44" t="s">
        <v>68</v>
      </c>
      <c r="H129" s="44" t="s">
        <v>105</v>
      </c>
      <c r="I129" s="44" t="s">
        <v>106</v>
      </c>
      <c r="J129" s="46" t="s">
        <v>422</v>
      </c>
      <c r="K129" s="46" t="s">
        <v>422</v>
      </c>
      <c r="L129" s="46" t="s">
        <v>222</v>
      </c>
      <c r="M129" s="47">
        <v>42.0</v>
      </c>
      <c r="N129" s="22">
        <v>45959.0</v>
      </c>
      <c r="O129" s="48" t="s">
        <v>428</v>
      </c>
      <c r="P129" s="41">
        <v>5.0</v>
      </c>
      <c r="Q129" s="41">
        <v>5.0</v>
      </c>
      <c r="R129" s="49">
        <v>4.0</v>
      </c>
      <c r="S129" s="49">
        <v>4.0</v>
      </c>
      <c r="T129" s="41">
        <v>4.0</v>
      </c>
      <c r="U129" s="41">
        <v>5.0</v>
      </c>
      <c r="V129" s="41">
        <v>5.0</v>
      </c>
      <c r="W129" s="41">
        <v>4.0</v>
      </c>
      <c r="X129" s="49">
        <v>4.0</v>
      </c>
      <c r="Y129" s="49">
        <v>4.0</v>
      </c>
      <c r="Z129" s="41">
        <v>4.0</v>
      </c>
      <c r="AA129" s="41">
        <v>5.0</v>
      </c>
      <c r="AB129" s="41">
        <v>4.0</v>
      </c>
      <c r="AC129" s="49">
        <v>4.0</v>
      </c>
      <c r="AD129" s="50">
        <v>13.0</v>
      </c>
      <c r="AE129" s="50">
        <v>15.0</v>
      </c>
      <c r="AF129" s="50">
        <v>18.0</v>
      </c>
      <c r="AG129" s="50"/>
      <c r="AH129" s="21"/>
      <c r="AI129" s="51" t="s">
        <v>92</v>
      </c>
    </row>
    <row r="130">
      <c r="A130" s="43"/>
      <c r="B130" s="44" t="s">
        <v>34</v>
      </c>
      <c r="C130" s="44" t="s">
        <v>65</v>
      </c>
      <c r="D130" s="44" t="s">
        <v>102</v>
      </c>
      <c r="E130" s="44" t="s">
        <v>103</v>
      </c>
      <c r="F130" s="45" t="s">
        <v>104</v>
      </c>
      <c r="G130" s="44" t="s">
        <v>68</v>
      </c>
      <c r="H130" s="44" t="s">
        <v>105</v>
      </c>
      <c r="I130" s="44" t="s">
        <v>106</v>
      </c>
      <c r="J130" s="46" t="s">
        <v>426</v>
      </c>
      <c r="K130" s="46" t="s">
        <v>426</v>
      </c>
      <c r="L130" s="46" t="s">
        <v>222</v>
      </c>
      <c r="M130" s="47">
        <v>40.0</v>
      </c>
      <c r="N130" s="22">
        <v>45959.0</v>
      </c>
      <c r="O130" s="48" t="s">
        <v>428</v>
      </c>
      <c r="P130" s="41">
        <v>4.0</v>
      </c>
      <c r="Q130" s="41">
        <v>4.0</v>
      </c>
      <c r="R130" s="41">
        <v>3.0</v>
      </c>
      <c r="S130" s="41">
        <v>3.0</v>
      </c>
      <c r="T130" s="41">
        <v>5.0</v>
      </c>
      <c r="U130" s="49">
        <v>3.0</v>
      </c>
      <c r="V130" s="49">
        <v>3.0</v>
      </c>
      <c r="W130" s="41">
        <v>3.0</v>
      </c>
      <c r="X130" s="49">
        <v>4.0</v>
      </c>
      <c r="Y130" s="49">
        <v>4.0</v>
      </c>
      <c r="Z130" s="41">
        <v>5.0</v>
      </c>
      <c r="AA130" s="41">
        <v>4.0</v>
      </c>
      <c r="AB130" s="41">
        <v>5.0</v>
      </c>
      <c r="AC130" s="49">
        <v>4.0</v>
      </c>
      <c r="AD130" s="50">
        <v>14.0</v>
      </c>
      <c r="AE130" s="50">
        <v>13.0</v>
      </c>
      <c r="AF130" s="50">
        <v>16.0</v>
      </c>
      <c r="AG130" s="50"/>
      <c r="AH130" s="21"/>
      <c r="AI130" s="51" t="s">
        <v>92</v>
      </c>
    </row>
    <row r="131">
      <c r="A131" s="43"/>
      <c r="B131" s="44" t="s">
        <v>34</v>
      </c>
      <c r="C131" s="44" t="s">
        <v>65</v>
      </c>
      <c r="D131" s="44" t="s">
        <v>102</v>
      </c>
      <c r="E131" s="44" t="s">
        <v>103</v>
      </c>
      <c r="F131" s="45" t="s">
        <v>104</v>
      </c>
      <c r="G131" s="44" t="s">
        <v>68</v>
      </c>
      <c r="H131" s="44" t="s">
        <v>105</v>
      </c>
      <c r="I131" s="44" t="s">
        <v>106</v>
      </c>
      <c r="J131" s="48" t="s">
        <v>429</v>
      </c>
      <c r="K131" s="48" t="s">
        <v>429</v>
      </c>
      <c r="L131" s="48" t="s">
        <v>250</v>
      </c>
      <c r="M131" s="47"/>
      <c r="N131" s="22">
        <v>45959.0</v>
      </c>
      <c r="O131" s="48" t="s">
        <v>428</v>
      </c>
      <c r="P131" s="41">
        <v>4.0</v>
      </c>
      <c r="Q131" s="41">
        <v>4.0</v>
      </c>
      <c r="R131" s="49">
        <v>4.0</v>
      </c>
      <c r="S131" s="49">
        <v>4.0</v>
      </c>
      <c r="T131" s="41">
        <v>5.0</v>
      </c>
      <c r="U131" s="41">
        <v>4.0</v>
      </c>
      <c r="V131" s="41">
        <v>4.0</v>
      </c>
      <c r="W131" s="49">
        <v>4.0</v>
      </c>
      <c r="X131" s="49">
        <v>4.0</v>
      </c>
      <c r="Y131" s="49">
        <v>4.0</v>
      </c>
      <c r="Z131" s="41">
        <v>5.0</v>
      </c>
      <c r="AA131" s="41">
        <v>4.0</v>
      </c>
      <c r="AB131" s="41">
        <v>5.0</v>
      </c>
      <c r="AC131" s="49">
        <v>4.0</v>
      </c>
      <c r="AD131" s="50">
        <v>14.0</v>
      </c>
      <c r="AE131" s="50">
        <v>14.0</v>
      </c>
      <c r="AF131" s="50">
        <v>18.0</v>
      </c>
      <c r="AG131" s="50"/>
      <c r="AH131" s="21"/>
      <c r="AI131" s="51" t="s">
        <v>92</v>
      </c>
    </row>
    <row r="132">
      <c r="A132" s="11"/>
      <c r="B132" s="12" t="s">
        <v>34</v>
      </c>
      <c r="C132" s="12" t="s">
        <v>65</v>
      </c>
      <c r="D132" s="12" t="s">
        <v>83</v>
      </c>
      <c r="E132" s="12" t="s">
        <v>84</v>
      </c>
      <c r="F132" s="13" t="s">
        <v>85</v>
      </c>
      <c r="G132" s="12" t="s">
        <v>86</v>
      </c>
      <c r="H132" s="12" t="s">
        <v>87</v>
      </c>
      <c r="I132" s="23"/>
      <c r="J132" s="17" t="s">
        <v>430</v>
      </c>
      <c r="K132" s="17" t="s">
        <v>430</v>
      </c>
      <c r="L132" s="17" t="s">
        <v>193</v>
      </c>
      <c r="M132" s="17">
        <v>33.0</v>
      </c>
      <c r="N132" s="20">
        <v>45828.0</v>
      </c>
      <c r="O132" s="17" t="s">
        <v>194</v>
      </c>
      <c r="P132" s="16">
        <v>3.0</v>
      </c>
      <c r="Q132" s="16">
        <v>3.0</v>
      </c>
      <c r="R132" s="16">
        <v>4.0</v>
      </c>
      <c r="S132" s="16">
        <v>4.0</v>
      </c>
      <c r="T132" s="16">
        <v>4.0</v>
      </c>
      <c r="U132" s="16">
        <v>4.0</v>
      </c>
      <c r="V132" s="16">
        <v>4.0</v>
      </c>
      <c r="W132" s="16">
        <v>4.0</v>
      </c>
      <c r="X132" s="16">
        <v>5.0</v>
      </c>
      <c r="Y132" s="16">
        <v>5.0</v>
      </c>
      <c r="Z132" s="16">
        <v>4.0</v>
      </c>
      <c r="AA132" s="16">
        <v>3.0</v>
      </c>
      <c r="AB132" s="16">
        <v>4.0</v>
      </c>
      <c r="AC132" s="16">
        <v>5.0</v>
      </c>
      <c r="AD132" s="38">
        <v>15.0</v>
      </c>
      <c r="AE132" s="38">
        <v>16.0</v>
      </c>
      <c r="AF132" s="38">
        <v>16.0</v>
      </c>
      <c r="AG132" s="38" t="s">
        <v>431</v>
      </c>
      <c r="AI132" s="18" t="s">
        <v>92</v>
      </c>
    </row>
    <row r="133">
      <c r="A133" s="11"/>
      <c r="B133" s="12" t="s">
        <v>34</v>
      </c>
      <c r="C133" s="12" t="s">
        <v>65</v>
      </c>
      <c r="D133" s="12" t="s">
        <v>83</v>
      </c>
      <c r="E133" s="12" t="s">
        <v>84</v>
      </c>
      <c r="F133" s="13" t="s">
        <v>85</v>
      </c>
      <c r="G133" s="12" t="s">
        <v>86</v>
      </c>
      <c r="H133" s="12" t="s">
        <v>87</v>
      </c>
      <c r="I133" s="23"/>
      <c r="J133" s="17" t="s">
        <v>432</v>
      </c>
      <c r="K133" s="17" t="s">
        <v>432</v>
      </c>
      <c r="L133" s="17" t="s">
        <v>222</v>
      </c>
      <c r="M133" s="17">
        <v>28.0</v>
      </c>
      <c r="N133" s="20">
        <v>45828.0</v>
      </c>
      <c r="O133" s="17" t="s">
        <v>194</v>
      </c>
      <c r="P133" s="16">
        <v>3.0</v>
      </c>
      <c r="Q133" s="16">
        <v>3.0</v>
      </c>
      <c r="R133" s="16">
        <v>4.0</v>
      </c>
      <c r="S133" s="16">
        <v>4.0</v>
      </c>
      <c r="T133" s="16">
        <v>4.0</v>
      </c>
      <c r="U133" s="16">
        <v>4.0</v>
      </c>
      <c r="V133" s="16">
        <v>4.0</v>
      </c>
      <c r="W133" s="16">
        <v>4.0</v>
      </c>
      <c r="X133" s="16">
        <v>4.0</v>
      </c>
      <c r="Y133" s="16">
        <v>4.0</v>
      </c>
      <c r="Z133" s="16">
        <v>4.0</v>
      </c>
      <c r="AA133" s="16">
        <v>3.0</v>
      </c>
      <c r="AB133" s="16">
        <v>4.0</v>
      </c>
      <c r="AC133" s="16">
        <v>4.0</v>
      </c>
      <c r="AD133" s="38">
        <v>15.0</v>
      </c>
      <c r="AE133" s="38">
        <v>15.0</v>
      </c>
      <c r="AF133" s="38">
        <v>16.0</v>
      </c>
      <c r="AG133" s="38" t="s">
        <v>433</v>
      </c>
      <c r="AI133" s="18" t="s">
        <v>92</v>
      </c>
    </row>
    <row r="134">
      <c r="A134" s="11"/>
      <c r="B134" s="12" t="s">
        <v>34</v>
      </c>
      <c r="C134" s="12" t="s">
        <v>65</v>
      </c>
      <c r="D134" s="12" t="s">
        <v>83</v>
      </c>
      <c r="E134" s="12" t="s">
        <v>84</v>
      </c>
      <c r="F134" s="13" t="s">
        <v>85</v>
      </c>
      <c r="G134" s="12" t="s">
        <v>86</v>
      </c>
      <c r="H134" s="12" t="s">
        <v>87</v>
      </c>
      <c r="I134" s="23"/>
      <c r="J134" s="17" t="s">
        <v>434</v>
      </c>
      <c r="K134" s="17" t="s">
        <v>434</v>
      </c>
      <c r="L134" s="17" t="s">
        <v>193</v>
      </c>
      <c r="M134" s="17">
        <v>30.0</v>
      </c>
      <c r="N134" s="20">
        <v>45828.0</v>
      </c>
      <c r="O134" s="17" t="s">
        <v>194</v>
      </c>
      <c r="P134" s="16">
        <v>3.0</v>
      </c>
      <c r="Q134" s="16">
        <v>3.0</v>
      </c>
      <c r="R134" s="16">
        <v>2.0</v>
      </c>
      <c r="S134" s="16">
        <v>2.0</v>
      </c>
      <c r="T134" s="16">
        <v>4.0</v>
      </c>
      <c r="U134" s="16">
        <v>3.0</v>
      </c>
      <c r="V134" s="16">
        <v>3.0</v>
      </c>
      <c r="W134" s="16">
        <v>2.0</v>
      </c>
      <c r="X134" s="16">
        <v>4.0</v>
      </c>
      <c r="Y134" s="16">
        <v>4.0</v>
      </c>
      <c r="Z134" s="16">
        <v>4.0</v>
      </c>
      <c r="AA134" s="16">
        <v>3.0</v>
      </c>
      <c r="AB134" s="16">
        <v>4.0</v>
      </c>
      <c r="AC134" s="16">
        <v>4.0</v>
      </c>
      <c r="AD134" s="38">
        <v>15.0</v>
      </c>
      <c r="AE134" s="38">
        <v>13.0</v>
      </c>
      <c r="AF134" s="38">
        <v>14.0</v>
      </c>
      <c r="AG134" s="38" t="s">
        <v>435</v>
      </c>
      <c r="AI134" s="18" t="s">
        <v>92</v>
      </c>
    </row>
    <row r="135">
      <c r="A135" s="11"/>
      <c r="B135" s="12" t="s">
        <v>34</v>
      </c>
      <c r="C135" s="12" t="s">
        <v>65</v>
      </c>
      <c r="D135" s="12" t="s">
        <v>83</v>
      </c>
      <c r="E135" s="12" t="s">
        <v>84</v>
      </c>
      <c r="F135" s="13" t="s">
        <v>85</v>
      </c>
      <c r="G135" s="12" t="s">
        <v>86</v>
      </c>
      <c r="H135" s="12" t="s">
        <v>87</v>
      </c>
      <c r="I135" s="23"/>
      <c r="J135" s="17" t="s">
        <v>436</v>
      </c>
      <c r="K135" s="17" t="s">
        <v>436</v>
      </c>
      <c r="L135" s="17" t="s">
        <v>250</v>
      </c>
      <c r="M135" s="17">
        <v>27.0</v>
      </c>
      <c r="N135" s="20">
        <v>45828.0</v>
      </c>
      <c r="O135" s="17" t="s">
        <v>194</v>
      </c>
      <c r="P135" s="16">
        <v>3.0</v>
      </c>
      <c r="Q135" s="16">
        <v>3.0</v>
      </c>
      <c r="R135" s="16">
        <v>4.0</v>
      </c>
      <c r="S135" s="16">
        <v>4.0</v>
      </c>
      <c r="T135" s="16">
        <v>3.0</v>
      </c>
      <c r="U135" s="16">
        <v>5.0</v>
      </c>
      <c r="V135" s="16">
        <v>5.0</v>
      </c>
      <c r="W135" s="16">
        <v>4.0</v>
      </c>
      <c r="X135" s="16">
        <v>4.0</v>
      </c>
      <c r="Y135" s="16">
        <v>4.0</v>
      </c>
      <c r="Z135" s="16">
        <v>3.0</v>
      </c>
      <c r="AA135" s="16">
        <v>3.0</v>
      </c>
      <c r="AB135" s="16">
        <v>3.0</v>
      </c>
      <c r="AC135" s="16">
        <v>4.0</v>
      </c>
      <c r="AD135" s="38">
        <v>15.0</v>
      </c>
      <c r="AE135" s="38">
        <v>16.0</v>
      </c>
      <c r="AF135" s="38">
        <v>16.0</v>
      </c>
      <c r="AG135" s="38" t="s">
        <v>437</v>
      </c>
      <c r="AI135" s="18" t="s">
        <v>92</v>
      </c>
    </row>
    <row r="136">
      <c r="A136" s="11"/>
      <c r="B136" s="12" t="s">
        <v>34</v>
      </c>
      <c r="C136" s="12" t="s">
        <v>65</v>
      </c>
      <c r="D136" s="12" t="s">
        <v>83</v>
      </c>
      <c r="E136" s="12" t="s">
        <v>84</v>
      </c>
      <c r="F136" s="13" t="s">
        <v>85</v>
      </c>
      <c r="G136" s="12" t="s">
        <v>86</v>
      </c>
      <c r="H136" s="12" t="s">
        <v>87</v>
      </c>
      <c r="I136" s="23"/>
      <c r="J136" s="17" t="s">
        <v>438</v>
      </c>
      <c r="K136" s="17" t="s">
        <v>438</v>
      </c>
      <c r="L136" s="17" t="s">
        <v>193</v>
      </c>
      <c r="M136" s="17">
        <v>27.0</v>
      </c>
      <c r="N136" s="20">
        <v>45828.0</v>
      </c>
      <c r="O136" s="17" t="s">
        <v>194</v>
      </c>
      <c r="P136" s="16">
        <v>4.0</v>
      </c>
      <c r="Q136" s="16">
        <v>4.0</v>
      </c>
      <c r="R136" s="16">
        <v>3.0</v>
      </c>
      <c r="S136" s="16">
        <v>3.0</v>
      </c>
      <c r="T136" s="16">
        <v>3.0</v>
      </c>
      <c r="U136" s="16">
        <v>3.0</v>
      </c>
      <c r="V136" s="16">
        <v>3.0</v>
      </c>
      <c r="W136" s="16">
        <v>3.0</v>
      </c>
      <c r="X136" s="16">
        <v>3.0</v>
      </c>
      <c r="Y136" s="16">
        <v>3.0</v>
      </c>
      <c r="Z136" s="16">
        <v>3.0</v>
      </c>
      <c r="AA136" s="16">
        <v>4.0</v>
      </c>
      <c r="AB136" s="16">
        <v>3.0</v>
      </c>
      <c r="AC136" s="16">
        <v>3.0</v>
      </c>
      <c r="AD136" s="38">
        <v>14.0</v>
      </c>
      <c r="AE136" s="38">
        <v>14.0</v>
      </c>
      <c r="AF136" s="38">
        <v>12.0</v>
      </c>
      <c r="AG136" s="38" t="s">
        <v>439</v>
      </c>
      <c r="AI136" s="18" t="s">
        <v>92</v>
      </c>
    </row>
    <row r="137">
      <c r="A137" s="11"/>
      <c r="B137" s="12" t="s">
        <v>34</v>
      </c>
      <c r="C137" s="12" t="s">
        <v>65</v>
      </c>
      <c r="D137" s="12" t="s">
        <v>83</v>
      </c>
      <c r="E137" s="12" t="s">
        <v>84</v>
      </c>
      <c r="F137" s="13" t="s">
        <v>85</v>
      </c>
      <c r="G137" s="12" t="s">
        <v>86</v>
      </c>
      <c r="H137" s="12" t="s">
        <v>87</v>
      </c>
      <c r="I137" s="23"/>
      <c r="J137" s="17" t="s">
        <v>430</v>
      </c>
      <c r="K137" s="17" t="s">
        <v>430</v>
      </c>
      <c r="L137" s="17" t="s">
        <v>193</v>
      </c>
      <c r="M137" s="17">
        <v>33.0</v>
      </c>
      <c r="N137" s="20">
        <v>45966.0</v>
      </c>
      <c r="O137" s="17" t="s">
        <v>428</v>
      </c>
      <c r="P137" s="16">
        <v>5.0</v>
      </c>
      <c r="Q137" s="16">
        <v>5.0</v>
      </c>
      <c r="R137" s="16">
        <v>3.0</v>
      </c>
      <c r="S137" s="16">
        <v>3.0</v>
      </c>
      <c r="T137" s="16">
        <v>5.0</v>
      </c>
      <c r="U137" s="16">
        <v>5.0</v>
      </c>
      <c r="V137" s="16">
        <v>5.0</v>
      </c>
      <c r="W137" s="16">
        <v>3.0</v>
      </c>
      <c r="X137" s="16">
        <v>5.0</v>
      </c>
      <c r="Y137" s="16">
        <v>5.0</v>
      </c>
      <c r="Z137" s="16">
        <v>5.0</v>
      </c>
      <c r="AA137" s="16">
        <v>5.0</v>
      </c>
      <c r="AB137" s="16">
        <v>5.0</v>
      </c>
      <c r="AC137" s="16">
        <v>5.0</v>
      </c>
      <c r="AD137" s="37">
        <v>13.0</v>
      </c>
      <c r="AE137" s="37">
        <v>14.0</v>
      </c>
      <c r="AF137" s="37">
        <v>20.0</v>
      </c>
      <c r="AG137" s="37"/>
      <c r="AI137" s="18" t="s">
        <v>92</v>
      </c>
    </row>
    <row r="138">
      <c r="A138" s="11"/>
      <c r="B138" s="12" t="s">
        <v>34</v>
      </c>
      <c r="C138" s="12" t="s">
        <v>65</v>
      </c>
      <c r="D138" s="12" t="s">
        <v>83</v>
      </c>
      <c r="E138" s="12" t="s">
        <v>84</v>
      </c>
      <c r="F138" s="13" t="s">
        <v>85</v>
      </c>
      <c r="G138" s="12" t="s">
        <v>86</v>
      </c>
      <c r="H138" s="12" t="s">
        <v>87</v>
      </c>
      <c r="I138" s="23"/>
      <c r="J138" s="17" t="s">
        <v>438</v>
      </c>
      <c r="K138" s="17" t="s">
        <v>438</v>
      </c>
      <c r="L138" s="17" t="s">
        <v>193</v>
      </c>
      <c r="M138" s="17">
        <v>27.0</v>
      </c>
      <c r="N138" s="20">
        <v>45966.0</v>
      </c>
      <c r="O138" s="17" t="s">
        <v>428</v>
      </c>
      <c r="P138" s="16">
        <v>5.0</v>
      </c>
      <c r="Q138" s="16">
        <v>5.0</v>
      </c>
      <c r="R138" s="16">
        <v>4.0</v>
      </c>
      <c r="S138" s="16">
        <v>4.0</v>
      </c>
      <c r="T138" s="16">
        <v>5.0</v>
      </c>
      <c r="U138" s="16">
        <v>4.0</v>
      </c>
      <c r="V138" s="16">
        <v>4.0</v>
      </c>
      <c r="W138" s="16">
        <v>4.0</v>
      </c>
      <c r="X138" s="16">
        <v>5.0</v>
      </c>
      <c r="Y138" s="16">
        <v>5.0</v>
      </c>
      <c r="Z138" s="16">
        <v>5.0</v>
      </c>
      <c r="AA138" s="16">
        <v>5.0</v>
      </c>
      <c r="AB138" s="16">
        <v>5.0</v>
      </c>
      <c r="AC138" s="16">
        <v>5.0</v>
      </c>
      <c r="AD138" s="37">
        <v>13.0</v>
      </c>
      <c r="AE138" s="37">
        <v>15.0</v>
      </c>
      <c r="AF138" s="37">
        <v>18.0</v>
      </c>
      <c r="AG138" s="37"/>
      <c r="AI138" s="18" t="s">
        <v>92</v>
      </c>
    </row>
    <row r="139">
      <c r="A139" s="11"/>
      <c r="B139" s="12" t="s">
        <v>34</v>
      </c>
      <c r="C139" s="12" t="s">
        <v>65</v>
      </c>
      <c r="D139" s="12" t="s">
        <v>83</v>
      </c>
      <c r="E139" s="12" t="s">
        <v>84</v>
      </c>
      <c r="F139" s="13" t="s">
        <v>85</v>
      </c>
      <c r="G139" s="12" t="s">
        <v>86</v>
      </c>
      <c r="H139" s="12" t="s">
        <v>87</v>
      </c>
      <c r="I139" s="23"/>
      <c r="J139" s="17" t="s">
        <v>436</v>
      </c>
      <c r="K139" s="17" t="s">
        <v>436</v>
      </c>
      <c r="L139" s="17" t="s">
        <v>222</v>
      </c>
      <c r="M139" s="17">
        <v>27.0</v>
      </c>
      <c r="N139" s="20">
        <v>45966.0</v>
      </c>
      <c r="O139" s="17" t="s">
        <v>428</v>
      </c>
      <c r="P139" s="16">
        <v>4.0</v>
      </c>
      <c r="Q139" s="16">
        <v>4.0</v>
      </c>
      <c r="R139" s="16">
        <v>5.0</v>
      </c>
      <c r="S139" s="16">
        <v>5.0</v>
      </c>
      <c r="T139" s="16">
        <v>4.0</v>
      </c>
      <c r="U139" s="16">
        <v>4.0</v>
      </c>
      <c r="V139" s="16">
        <v>4.0</v>
      </c>
      <c r="W139" s="16">
        <v>5.0</v>
      </c>
      <c r="X139" s="16">
        <v>4.0</v>
      </c>
      <c r="Y139" s="16">
        <v>4.0</v>
      </c>
      <c r="Z139" s="16">
        <v>4.0</v>
      </c>
      <c r="AA139" s="16">
        <v>4.0</v>
      </c>
      <c r="AB139" s="16">
        <v>4.0</v>
      </c>
      <c r="AC139" s="16">
        <v>4.0</v>
      </c>
      <c r="AD139" s="37">
        <v>14.0</v>
      </c>
      <c r="AE139" s="37">
        <v>16.0</v>
      </c>
      <c r="AF139" s="37">
        <v>16.0</v>
      </c>
      <c r="AG139" s="37"/>
      <c r="AI139" s="18" t="s">
        <v>92</v>
      </c>
    </row>
    <row r="140">
      <c r="A140" s="11"/>
      <c r="B140" s="12" t="s">
        <v>34</v>
      </c>
      <c r="C140" s="12" t="s">
        <v>65</v>
      </c>
      <c r="D140" s="12" t="s">
        <v>83</v>
      </c>
      <c r="E140" s="12" t="s">
        <v>84</v>
      </c>
      <c r="F140" s="13" t="s">
        <v>85</v>
      </c>
      <c r="G140" s="12" t="s">
        <v>86</v>
      </c>
      <c r="H140" s="12" t="s">
        <v>87</v>
      </c>
      <c r="I140" s="23"/>
      <c r="J140" s="17" t="s">
        <v>440</v>
      </c>
      <c r="K140" s="17" t="s">
        <v>440</v>
      </c>
      <c r="L140" s="17" t="s">
        <v>193</v>
      </c>
      <c r="N140" s="20">
        <v>45966.0</v>
      </c>
      <c r="O140" s="17" t="s">
        <v>428</v>
      </c>
      <c r="P140" s="16">
        <v>4.0</v>
      </c>
      <c r="Q140" s="16">
        <v>4.0</v>
      </c>
      <c r="R140" s="16">
        <v>3.0</v>
      </c>
      <c r="S140" s="16">
        <v>3.0</v>
      </c>
      <c r="T140" s="16">
        <v>3.0</v>
      </c>
      <c r="U140" s="16">
        <v>4.0</v>
      </c>
      <c r="V140" s="16">
        <v>4.0</v>
      </c>
      <c r="W140" s="16">
        <v>3.0</v>
      </c>
      <c r="X140" s="16">
        <v>3.0</v>
      </c>
      <c r="Y140" s="16">
        <v>3.0</v>
      </c>
      <c r="Z140" s="16">
        <v>3.0</v>
      </c>
      <c r="AA140" s="16">
        <v>4.0</v>
      </c>
      <c r="AB140" s="16">
        <v>3.0</v>
      </c>
      <c r="AC140" s="16">
        <v>3.0</v>
      </c>
      <c r="AD140" s="37">
        <v>14.0</v>
      </c>
      <c r="AE140" s="37">
        <v>14.0</v>
      </c>
      <c r="AF140" s="37">
        <v>14.0</v>
      </c>
      <c r="AG140" s="37"/>
      <c r="AI140" s="18" t="s">
        <v>92</v>
      </c>
    </row>
    <row r="141">
      <c r="A141" s="11"/>
      <c r="B141" s="12" t="s">
        <v>34</v>
      </c>
      <c r="C141" s="12" t="s">
        <v>65</v>
      </c>
      <c r="D141" s="12" t="s">
        <v>83</v>
      </c>
      <c r="E141" s="12" t="s">
        <v>84</v>
      </c>
      <c r="F141" s="13" t="s">
        <v>85</v>
      </c>
      <c r="G141" s="12" t="s">
        <v>86</v>
      </c>
      <c r="H141" s="12" t="s">
        <v>87</v>
      </c>
      <c r="I141" s="23"/>
      <c r="J141" s="17" t="s">
        <v>441</v>
      </c>
      <c r="K141" s="17" t="s">
        <v>441</v>
      </c>
      <c r="L141" s="17" t="s">
        <v>193</v>
      </c>
      <c r="N141" s="20">
        <v>45966.0</v>
      </c>
      <c r="O141" s="17" t="s">
        <v>428</v>
      </c>
      <c r="P141" s="16">
        <v>5.0</v>
      </c>
      <c r="Q141" s="16">
        <v>5.0</v>
      </c>
      <c r="R141" s="16">
        <v>4.0</v>
      </c>
      <c r="S141" s="16">
        <v>4.0</v>
      </c>
      <c r="T141" s="16">
        <v>5.0</v>
      </c>
      <c r="U141" s="16">
        <v>3.0</v>
      </c>
      <c r="V141" s="16">
        <v>3.0</v>
      </c>
      <c r="W141" s="16">
        <v>4.0</v>
      </c>
      <c r="X141" s="16">
        <v>4.0</v>
      </c>
      <c r="Y141" s="16">
        <v>4.0</v>
      </c>
      <c r="Z141" s="16">
        <v>5.0</v>
      </c>
      <c r="AA141" s="16">
        <v>5.0</v>
      </c>
      <c r="AB141" s="16">
        <v>5.0</v>
      </c>
      <c r="AC141" s="16">
        <v>4.0</v>
      </c>
      <c r="AD141" s="37">
        <v>13.0</v>
      </c>
      <c r="AE141" s="37">
        <v>14.0</v>
      </c>
      <c r="AF141" s="37">
        <v>16.0</v>
      </c>
      <c r="AG141" s="37"/>
      <c r="AI141" s="18" t="s">
        <v>92</v>
      </c>
    </row>
    <row r="142">
      <c r="A142" s="11"/>
      <c r="B142" s="12" t="s">
        <v>34</v>
      </c>
      <c r="C142" s="12" t="s">
        <v>65</v>
      </c>
      <c r="D142" s="12" t="s">
        <v>83</v>
      </c>
      <c r="E142" s="12" t="s">
        <v>120</v>
      </c>
      <c r="F142" s="13" t="s">
        <v>121</v>
      </c>
      <c r="G142" s="12" t="s">
        <v>68</v>
      </c>
      <c r="H142" s="12" t="s">
        <v>122</v>
      </c>
      <c r="I142" s="12" t="s">
        <v>123</v>
      </c>
      <c r="J142" s="17" t="s">
        <v>442</v>
      </c>
      <c r="K142" s="17" t="s">
        <v>442</v>
      </c>
      <c r="L142" s="17" t="s">
        <v>222</v>
      </c>
      <c r="M142" s="17">
        <v>32.0</v>
      </c>
      <c r="N142" s="20">
        <v>45832.0</v>
      </c>
      <c r="O142" s="17" t="s">
        <v>194</v>
      </c>
      <c r="P142" s="16">
        <v>3.0</v>
      </c>
      <c r="Q142" s="16">
        <v>3.0</v>
      </c>
      <c r="R142" s="16">
        <v>3.0</v>
      </c>
      <c r="S142" s="16">
        <v>3.0</v>
      </c>
      <c r="T142" s="16">
        <v>2.0</v>
      </c>
      <c r="U142" s="16">
        <v>2.0</v>
      </c>
      <c r="V142" s="16">
        <v>2.0</v>
      </c>
      <c r="W142" s="16">
        <v>3.0</v>
      </c>
      <c r="X142" s="16">
        <v>2.0</v>
      </c>
      <c r="Y142" s="16">
        <v>2.0</v>
      </c>
      <c r="Z142" s="16">
        <v>2.0</v>
      </c>
      <c r="AA142" s="16">
        <v>3.0</v>
      </c>
      <c r="AB142" s="16">
        <v>2.0</v>
      </c>
      <c r="AC142" s="16">
        <v>2.0</v>
      </c>
      <c r="AD142" s="38">
        <v>15.0</v>
      </c>
      <c r="AE142" s="38">
        <v>14.0</v>
      </c>
      <c r="AF142" s="38">
        <v>8.0</v>
      </c>
      <c r="AG142" s="38" t="s">
        <v>443</v>
      </c>
      <c r="AI142" s="18" t="s">
        <v>92</v>
      </c>
    </row>
    <row r="143">
      <c r="A143" s="11"/>
      <c r="B143" s="12" t="s">
        <v>34</v>
      </c>
      <c r="C143" s="12" t="s">
        <v>65</v>
      </c>
      <c r="D143" s="12" t="s">
        <v>83</v>
      </c>
      <c r="E143" s="12" t="s">
        <v>120</v>
      </c>
      <c r="F143" s="13" t="s">
        <v>121</v>
      </c>
      <c r="G143" s="12" t="s">
        <v>68</v>
      </c>
      <c r="H143" s="12" t="s">
        <v>122</v>
      </c>
      <c r="I143" s="12" t="s">
        <v>123</v>
      </c>
      <c r="J143" s="17" t="s">
        <v>444</v>
      </c>
      <c r="K143" s="17" t="s">
        <v>444</v>
      </c>
      <c r="L143" s="17" t="s">
        <v>222</v>
      </c>
      <c r="M143" s="17">
        <v>29.0</v>
      </c>
      <c r="N143" s="20">
        <v>45832.0</v>
      </c>
      <c r="O143" s="17" t="s">
        <v>194</v>
      </c>
      <c r="P143" s="16">
        <v>4.0</v>
      </c>
      <c r="Q143" s="16">
        <v>4.0</v>
      </c>
      <c r="R143" s="16">
        <v>4.0</v>
      </c>
      <c r="S143" s="16">
        <v>4.0</v>
      </c>
      <c r="T143" s="16">
        <v>4.0</v>
      </c>
      <c r="U143" s="16">
        <v>4.0</v>
      </c>
      <c r="V143" s="16">
        <v>4.0</v>
      </c>
      <c r="W143" s="16">
        <v>4.0</v>
      </c>
      <c r="X143" s="16">
        <v>5.0</v>
      </c>
      <c r="Y143" s="16">
        <v>5.0</v>
      </c>
      <c r="Z143" s="16">
        <v>4.0</v>
      </c>
      <c r="AA143" s="16">
        <v>4.0</v>
      </c>
      <c r="AB143" s="16">
        <v>4.0</v>
      </c>
      <c r="AC143" s="16">
        <v>5.0</v>
      </c>
      <c r="AD143" s="38">
        <v>14.0</v>
      </c>
      <c r="AE143" s="38">
        <v>16.0</v>
      </c>
      <c r="AF143" s="38">
        <v>16.0</v>
      </c>
      <c r="AG143" s="38" t="s">
        <v>445</v>
      </c>
      <c r="AI143" s="18" t="s">
        <v>92</v>
      </c>
    </row>
    <row r="144">
      <c r="A144" s="11"/>
      <c r="B144" s="12" t="s">
        <v>34</v>
      </c>
      <c r="C144" s="12" t="s">
        <v>65</v>
      </c>
      <c r="D144" s="12" t="s">
        <v>83</v>
      </c>
      <c r="E144" s="12" t="s">
        <v>120</v>
      </c>
      <c r="F144" s="13" t="s">
        <v>121</v>
      </c>
      <c r="G144" s="12" t="s">
        <v>68</v>
      </c>
      <c r="H144" s="12" t="s">
        <v>122</v>
      </c>
      <c r="I144" s="12" t="s">
        <v>123</v>
      </c>
      <c r="J144" s="17" t="s">
        <v>446</v>
      </c>
      <c r="K144" s="17" t="s">
        <v>446</v>
      </c>
      <c r="L144" s="17" t="s">
        <v>193</v>
      </c>
      <c r="M144" s="17">
        <v>22.0</v>
      </c>
      <c r="N144" s="20">
        <v>45832.0</v>
      </c>
      <c r="O144" s="17" t="s">
        <v>194</v>
      </c>
      <c r="P144" s="16">
        <v>4.0</v>
      </c>
      <c r="Q144" s="16">
        <v>4.0</v>
      </c>
      <c r="R144" s="16">
        <v>4.0</v>
      </c>
      <c r="S144" s="16">
        <v>4.0</v>
      </c>
      <c r="T144" s="16">
        <v>4.0</v>
      </c>
      <c r="U144" s="16">
        <v>4.0</v>
      </c>
      <c r="V144" s="16">
        <v>4.0</v>
      </c>
      <c r="W144" s="16">
        <v>4.0</v>
      </c>
      <c r="X144" s="16">
        <v>4.0</v>
      </c>
      <c r="Y144" s="16">
        <v>4.0</v>
      </c>
      <c r="Z144" s="16">
        <v>4.0</v>
      </c>
      <c r="AA144" s="16">
        <v>4.0</v>
      </c>
      <c r="AB144" s="16">
        <v>4.0</v>
      </c>
      <c r="AC144" s="16">
        <v>4.0</v>
      </c>
      <c r="AD144" s="38">
        <v>14.0</v>
      </c>
      <c r="AE144" s="38">
        <v>15.0</v>
      </c>
      <c r="AF144" s="38">
        <v>16.0</v>
      </c>
      <c r="AG144" s="38" t="s">
        <v>447</v>
      </c>
      <c r="AI144" s="18" t="s">
        <v>92</v>
      </c>
    </row>
    <row r="145">
      <c r="A145" s="11"/>
      <c r="B145" s="12" t="s">
        <v>34</v>
      </c>
      <c r="C145" s="12" t="s">
        <v>65</v>
      </c>
      <c r="D145" s="12" t="s">
        <v>83</v>
      </c>
      <c r="E145" s="12" t="s">
        <v>120</v>
      </c>
      <c r="F145" s="13" t="s">
        <v>121</v>
      </c>
      <c r="G145" s="12" t="s">
        <v>68</v>
      </c>
      <c r="H145" s="12" t="s">
        <v>122</v>
      </c>
      <c r="I145" s="12" t="s">
        <v>123</v>
      </c>
      <c r="J145" s="17" t="s">
        <v>448</v>
      </c>
      <c r="K145" s="17" t="s">
        <v>448</v>
      </c>
      <c r="L145" s="17" t="s">
        <v>222</v>
      </c>
      <c r="M145" s="17">
        <v>33.0</v>
      </c>
      <c r="N145" s="20">
        <v>45832.0</v>
      </c>
      <c r="O145" s="17" t="s">
        <v>194</v>
      </c>
      <c r="P145" s="16">
        <v>4.0</v>
      </c>
      <c r="Q145" s="16">
        <v>4.0</v>
      </c>
      <c r="R145" s="16">
        <v>4.0</v>
      </c>
      <c r="S145" s="16">
        <v>4.0</v>
      </c>
      <c r="T145" s="16">
        <v>3.0</v>
      </c>
      <c r="U145" s="16">
        <v>3.0</v>
      </c>
      <c r="V145" s="16">
        <v>3.0</v>
      </c>
      <c r="W145" s="16">
        <v>4.0</v>
      </c>
      <c r="X145" s="16">
        <v>5.0</v>
      </c>
      <c r="Y145" s="16">
        <v>5.0</v>
      </c>
      <c r="Z145" s="16">
        <v>3.0</v>
      </c>
      <c r="AA145" s="16">
        <v>4.0</v>
      </c>
      <c r="AB145" s="16">
        <v>3.0</v>
      </c>
      <c r="AC145" s="16">
        <v>5.0</v>
      </c>
      <c r="AD145" s="38">
        <v>14.0</v>
      </c>
      <c r="AE145" s="38">
        <v>17.0</v>
      </c>
      <c r="AF145" s="38">
        <v>12.0</v>
      </c>
      <c r="AG145" s="38" t="s">
        <v>449</v>
      </c>
      <c r="AI145" s="18" t="s">
        <v>92</v>
      </c>
    </row>
    <row r="146">
      <c r="A146" s="11"/>
      <c r="B146" s="12" t="s">
        <v>34</v>
      </c>
      <c r="C146" s="12" t="s">
        <v>65</v>
      </c>
      <c r="D146" s="12" t="s">
        <v>83</v>
      </c>
      <c r="E146" s="12" t="s">
        <v>120</v>
      </c>
      <c r="F146" s="13" t="s">
        <v>121</v>
      </c>
      <c r="G146" s="12" t="s">
        <v>68</v>
      </c>
      <c r="H146" s="12" t="s">
        <v>122</v>
      </c>
      <c r="I146" s="12" t="s">
        <v>123</v>
      </c>
      <c r="J146" s="17" t="s">
        <v>450</v>
      </c>
      <c r="K146" s="17" t="s">
        <v>450</v>
      </c>
      <c r="L146" s="17" t="s">
        <v>222</v>
      </c>
      <c r="M146" s="17">
        <v>31.0</v>
      </c>
      <c r="N146" s="20">
        <v>45832.0</v>
      </c>
      <c r="O146" s="17" t="s">
        <v>194</v>
      </c>
      <c r="P146" s="16">
        <v>4.0</v>
      </c>
      <c r="Q146" s="16">
        <v>4.0</v>
      </c>
      <c r="R146" s="16">
        <v>5.0</v>
      </c>
      <c r="S146" s="16">
        <v>5.0</v>
      </c>
      <c r="T146" s="16">
        <v>4.0</v>
      </c>
      <c r="U146" s="16">
        <v>4.0</v>
      </c>
      <c r="V146" s="16">
        <v>4.0</v>
      </c>
      <c r="W146" s="16">
        <v>5.0</v>
      </c>
      <c r="X146" s="16">
        <v>5.0</v>
      </c>
      <c r="Y146" s="16">
        <v>5.0</v>
      </c>
      <c r="Z146" s="16">
        <v>4.0</v>
      </c>
      <c r="AA146" s="16">
        <v>4.0</v>
      </c>
      <c r="AB146" s="16">
        <v>4.0</v>
      </c>
      <c r="AC146" s="16">
        <v>5.0</v>
      </c>
      <c r="AD146" s="38">
        <v>14.0</v>
      </c>
      <c r="AE146" s="38">
        <v>17.0</v>
      </c>
      <c r="AF146" s="38">
        <v>16.0</v>
      </c>
      <c r="AG146" s="38" t="s">
        <v>451</v>
      </c>
      <c r="AI146" s="18" t="s">
        <v>92</v>
      </c>
    </row>
    <row r="147">
      <c r="A147" s="43"/>
      <c r="B147" s="44" t="s">
        <v>34</v>
      </c>
      <c r="C147" s="44" t="s">
        <v>65</v>
      </c>
      <c r="D147" s="44" t="s">
        <v>83</v>
      </c>
      <c r="E147" s="44" t="s">
        <v>120</v>
      </c>
      <c r="F147" s="45" t="s">
        <v>121</v>
      </c>
      <c r="G147" s="44" t="s">
        <v>68</v>
      </c>
      <c r="H147" s="44" t="s">
        <v>122</v>
      </c>
      <c r="I147" s="44" t="s">
        <v>123</v>
      </c>
      <c r="J147" s="17" t="s">
        <v>452</v>
      </c>
      <c r="K147" s="17" t="s">
        <v>452</v>
      </c>
      <c r="L147" s="48" t="s">
        <v>193</v>
      </c>
      <c r="M147" s="52">
        <v>34.0</v>
      </c>
      <c r="N147" s="22">
        <v>45968.0</v>
      </c>
      <c r="O147" s="48" t="s">
        <v>428</v>
      </c>
      <c r="P147" s="41">
        <v>5.0</v>
      </c>
      <c r="Q147" s="41">
        <v>5.0</v>
      </c>
      <c r="R147" s="49">
        <v>3.0</v>
      </c>
      <c r="S147" s="49">
        <v>3.0</v>
      </c>
      <c r="T147" s="41">
        <v>4.0</v>
      </c>
      <c r="U147" s="41">
        <v>4.0</v>
      </c>
      <c r="V147" s="41">
        <v>4.0</v>
      </c>
      <c r="W147" s="49">
        <v>3.0</v>
      </c>
      <c r="X147" s="41">
        <v>4.0</v>
      </c>
      <c r="Y147" s="41">
        <v>4.0</v>
      </c>
      <c r="Z147" s="41">
        <v>4.0</v>
      </c>
      <c r="AA147" s="41">
        <v>5.0</v>
      </c>
      <c r="AB147" s="41">
        <v>4.0</v>
      </c>
      <c r="AC147" s="41">
        <v>4.0</v>
      </c>
      <c r="AD147" s="50">
        <v>13.0</v>
      </c>
      <c r="AE147" s="50">
        <v>14.0</v>
      </c>
      <c r="AF147" s="50">
        <v>16.0</v>
      </c>
      <c r="AG147" s="50"/>
      <c r="AH147" s="21"/>
      <c r="AI147" s="51" t="s">
        <v>92</v>
      </c>
    </row>
    <row r="148">
      <c r="A148" s="43"/>
      <c r="B148" s="44" t="s">
        <v>34</v>
      </c>
      <c r="C148" s="44" t="s">
        <v>65</v>
      </c>
      <c r="D148" s="44" t="s">
        <v>83</v>
      </c>
      <c r="E148" s="44" t="s">
        <v>120</v>
      </c>
      <c r="F148" s="45" t="s">
        <v>121</v>
      </c>
      <c r="G148" s="44" t="s">
        <v>68</v>
      </c>
      <c r="H148" s="44" t="s">
        <v>122</v>
      </c>
      <c r="I148" s="44" t="s">
        <v>123</v>
      </c>
      <c r="J148" s="17" t="s">
        <v>453</v>
      </c>
      <c r="K148" s="17" t="s">
        <v>453</v>
      </c>
      <c r="L148" s="48" t="s">
        <v>193</v>
      </c>
      <c r="M148" s="52">
        <v>33.0</v>
      </c>
      <c r="N148" s="22">
        <v>45968.0</v>
      </c>
      <c r="O148" s="48" t="s">
        <v>428</v>
      </c>
      <c r="P148" s="41">
        <v>5.0</v>
      </c>
      <c r="Q148" s="41">
        <v>5.0</v>
      </c>
      <c r="R148" s="41">
        <v>5.0</v>
      </c>
      <c r="S148" s="41">
        <v>5.0</v>
      </c>
      <c r="T148" s="49">
        <v>4.0</v>
      </c>
      <c r="U148" s="41">
        <v>5.0</v>
      </c>
      <c r="V148" s="41">
        <v>5.0</v>
      </c>
      <c r="W148" s="41">
        <v>5.0</v>
      </c>
      <c r="X148" s="41">
        <v>4.0</v>
      </c>
      <c r="Y148" s="41">
        <v>4.0</v>
      </c>
      <c r="Z148" s="49">
        <v>4.0</v>
      </c>
      <c r="AA148" s="41">
        <v>5.0</v>
      </c>
      <c r="AB148" s="49">
        <v>4.0</v>
      </c>
      <c r="AC148" s="41">
        <v>4.0</v>
      </c>
      <c r="AD148" s="50">
        <v>13.0</v>
      </c>
      <c r="AE148" s="50">
        <v>16.0</v>
      </c>
      <c r="AF148" s="50">
        <v>18.0</v>
      </c>
      <c r="AG148" s="50"/>
      <c r="AH148" s="21"/>
      <c r="AI148" s="51" t="s">
        <v>92</v>
      </c>
    </row>
    <row r="149">
      <c r="A149" s="43"/>
      <c r="B149" s="44" t="s">
        <v>34</v>
      </c>
      <c r="C149" s="44" t="s">
        <v>65</v>
      </c>
      <c r="D149" s="44" t="s">
        <v>83</v>
      </c>
      <c r="E149" s="44" t="s">
        <v>120</v>
      </c>
      <c r="F149" s="45" t="s">
        <v>121</v>
      </c>
      <c r="G149" s="44" t="s">
        <v>68</v>
      </c>
      <c r="H149" s="44" t="s">
        <v>122</v>
      </c>
      <c r="I149" s="44" t="s">
        <v>123</v>
      </c>
      <c r="J149" s="46" t="s">
        <v>446</v>
      </c>
      <c r="K149" s="46" t="s">
        <v>446</v>
      </c>
      <c r="L149" s="46" t="s">
        <v>193</v>
      </c>
      <c r="M149" s="47"/>
      <c r="N149" s="22">
        <v>45968.0</v>
      </c>
      <c r="O149" s="48" t="s">
        <v>428</v>
      </c>
      <c r="P149" s="49">
        <v>4.0</v>
      </c>
      <c r="Q149" s="49">
        <v>4.0</v>
      </c>
      <c r="R149" s="41">
        <v>2.0</v>
      </c>
      <c r="S149" s="41">
        <v>2.0</v>
      </c>
      <c r="T149" s="49">
        <v>4.0</v>
      </c>
      <c r="U149" s="41">
        <v>3.0</v>
      </c>
      <c r="V149" s="41">
        <v>3.0</v>
      </c>
      <c r="W149" s="41">
        <v>2.0</v>
      </c>
      <c r="X149" s="49">
        <v>4.0</v>
      </c>
      <c r="Y149" s="49">
        <v>4.0</v>
      </c>
      <c r="Z149" s="49">
        <v>4.0</v>
      </c>
      <c r="AA149" s="49">
        <v>4.0</v>
      </c>
      <c r="AB149" s="49">
        <v>4.0</v>
      </c>
      <c r="AC149" s="49">
        <v>4.0</v>
      </c>
      <c r="AD149" s="50">
        <v>14.0</v>
      </c>
      <c r="AE149" s="50">
        <v>13.0</v>
      </c>
      <c r="AF149" s="50">
        <v>14.0</v>
      </c>
      <c r="AG149" s="50"/>
      <c r="AH149" s="21"/>
      <c r="AI149" s="51" t="s">
        <v>92</v>
      </c>
    </row>
    <row r="150">
      <c r="A150" s="43"/>
      <c r="B150" s="44" t="s">
        <v>34</v>
      </c>
      <c r="C150" s="44" t="s">
        <v>65</v>
      </c>
      <c r="D150" s="44" t="s">
        <v>83</v>
      </c>
      <c r="E150" s="44" t="s">
        <v>120</v>
      </c>
      <c r="F150" s="45" t="s">
        <v>121</v>
      </c>
      <c r="G150" s="44" t="s">
        <v>68</v>
      </c>
      <c r="H150" s="44" t="s">
        <v>122</v>
      </c>
      <c r="I150" s="44" t="s">
        <v>123</v>
      </c>
      <c r="J150" s="46" t="s">
        <v>448</v>
      </c>
      <c r="K150" s="46" t="s">
        <v>448</v>
      </c>
      <c r="L150" s="46" t="s">
        <v>222</v>
      </c>
      <c r="M150" s="47">
        <v>33.0</v>
      </c>
      <c r="N150" s="22">
        <v>45968.0</v>
      </c>
      <c r="O150" s="48" t="s">
        <v>428</v>
      </c>
      <c r="P150" s="49">
        <v>4.0</v>
      </c>
      <c r="Q150" s="49">
        <v>4.0</v>
      </c>
      <c r="R150" s="49">
        <v>4.0</v>
      </c>
      <c r="S150" s="49">
        <v>4.0</v>
      </c>
      <c r="T150" s="49">
        <v>3.0</v>
      </c>
      <c r="U150" s="49">
        <v>3.0</v>
      </c>
      <c r="V150" s="49">
        <v>3.0</v>
      </c>
      <c r="W150" s="49">
        <v>4.0</v>
      </c>
      <c r="X150" s="49">
        <v>5.0</v>
      </c>
      <c r="Y150" s="49">
        <v>5.0</v>
      </c>
      <c r="Z150" s="49">
        <v>3.0</v>
      </c>
      <c r="AA150" s="49">
        <v>4.0</v>
      </c>
      <c r="AB150" s="49">
        <v>3.0</v>
      </c>
      <c r="AC150" s="49">
        <v>5.0</v>
      </c>
      <c r="AD150" s="50">
        <v>14.0</v>
      </c>
      <c r="AE150" s="50">
        <v>17.0</v>
      </c>
      <c r="AF150" s="50">
        <v>12.0</v>
      </c>
      <c r="AG150" s="50"/>
      <c r="AH150" s="21"/>
      <c r="AI150" s="51" t="s">
        <v>92</v>
      </c>
    </row>
    <row r="151">
      <c r="A151" s="43"/>
      <c r="B151" s="44" t="s">
        <v>34</v>
      </c>
      <c r="C151" s="44" t="s">
        <v>65</v>
      </c>
      <c r="D151" s="44" t="s">
        <v>83</v>
      </c>
      <c r="E151" s="44" t="s">
        <v>120</v>
      </c>
      <c r="F151" s="45" t="s">
        <v>121</v>
      </c>
      <c r="G151" s="44" t="s">
        <v>68</v>
      </c>
      <c r="H151" s="44" t="s">
        <v>122</v>
      </c>
      <c r="I151" s="44" t="s">
        <v>123</v>
      </c>
      <c r="J151" s="46" t="s">
        <v>450</v>
      </c>
      <c r="K151" s="46" t="s">
        <v>450</v>
      </c>
      <c r="L151" s="46" t="s">
        <v>222</v>
      </c>
      <c r="M151" s="47">
        <v>31.0</v>
      </c>
      <c r="N151" s="22">
        <v>45968.0</v>
      </c>
      <c r="O151" s="48" t="s">
        <v>428</v>
      </c>
      <c r="P151" s="49">
        <v>4.0</v>
      </c>
      <c r="Q151" s="49">
        <v>4.0</v>
      </c>
      <c r="R151" s="41">
        <v>4.0</v>
      </c>
      <c r="S151" s="41">
        <v>4.0</v>
      </c>
      <c r="T151" s="49">
        <v>4.0</v>
      </c>
      <c r="U151" s="41">
        <v>3.0</v>
      </c>
      <c r="V151" s="41">
        <v>3.0</v>
      </c>
      <c r="W151" s="41">
        <v>4.0</v>
      </c>
      <c r="X151" s="41">
        <v>4.0</v>
      </c>
      <c r="Y151" s="41">
        <v>4.0</v>
      </c>
      <c r="Z151" s="49">
        <v>4.0</v>
      </c>
      <c r="AA151" s="49">
        <v>4.0</v>
      </c>
      <c r="AB151" s="49">
        <v>4.0</v>
      </c>
      <c r="AC151" s="41">
        <v>4.0</v>
      </c>
      <c r="AD151" s="50">
        <v>14.0</v>
      </c>
      <c r="AE151" s="50">
        <v>15.0</v>
      </c>
      <c r="AF151" s="50">
        <v>14.0</v>
      </c>
      <c r="AG151" s="50"/>
      <c r="AH151" s="21"/>
      <c r="AI151" s="51" t="s">
        <v>92</v>
      </c>
    </row>
    <row r="152">
      <c r="A152" s="43"/>
      <c r="B152" s="44" t="s">
        <v>34</v>
      </c>
      <c r="C152" s="44" t="s">
        <v>65</v>
      </c>
      <c r="D152" s="44" t="s">
        <v>83</v>
      </c>
      <c r="E152" s="44" t="s">
        <v>120</v>
      </c>
      <c r="F152" s="45" t="s">
        <v>121</v>
      </c>
      <c r="G152" s="44" t="s">
        <v>68</v>
      </c>
      <c r="H152" s="44" t="s">
        <v>122</v>
      </c>
      <c r="I152" s="44" t="s">
        <v>123</v>
      </c>
      <c r="J152" s="17" t="s">
        <v>454</v>
      </c>
      <c r="K152" s="17" t="s">
        <v>454</v>
      </c>
      <c r="L152" s="48" t="s">
        <v>193</v>
      </c>
      <c r="M152" s="47"/>
      <c r="N152" s="22">
        <v>45968.0</v>
      </c>
      <c r="O152" s="48" t="s">
        <v>428</v>
      </c>
      <c r="P152" s="49">
        <v>4.0</v>
      </c>
      <c r="Q152" s="49">
        <v>4.0</v>
      </c>
      <c r="R152" s="41">
        <v>4.0</v>
      </c>
      <c r="S152" s="41">
        <v>4.0</v>
      </c>
      <c r="T152" s="41">
        <v>5.0</v>
      </c>
      <c r="U152" s="49">
        <v>4.0</v>
      </c>
      <c r="V152" s="49">
        <v>4.0</v>
      </c>
      <c r="W152" s="41">
        <v>4.0</v>
      </c>
      <c r="X152" s="41">
        <v>4.0</v>
      </c>
      <c r="Y152" s="41">
        <v>4.0</v>
      </c>
      <c r="Z152" s="41">
        <v>5.0</v>
      </c>
      <c r="AA152" s="49">
        <v>4.0</v>
      </c>
      <c r="AB152" s="41">
        <v>5.0</v>
      </c>
      <c r="AC152" s="41">
        <v>4.0</v>
      </c>
      <c r="AD152" s="50">
        <v>14.0</v>
      </c>
      <c r="AE152" s="50">
        <v>14.0</v>
      </c>
      <c r="AF152" s="50">
        <v>18.0</v>
      </c>
      <c r="AG152" s="50"/>
      <c r="AH152" s="21"/>
      <c r="AI152" s="51" t="s">
        <v>92</v>
      </c>
    </row>
    <row r="153">
      <c r="A153" s="11"/>
      <c r="B153" s="12" t="s">
        <v>34</v>
      </c>
      <c r="C153" s="12" t="s">
        <v>65</v>
      </c>
      <c r="D153" s="12" t="s">
        <v>102</v>
      </c>
      <c r="E153" s="12" t="s">
        <v>455</v>
      </c>
      <c r="F153" s="13" t="s">
        <v>456</v>
      </c>
      <c r="G153" s="12" t="s">
        <v>68</v>
      </c>
      <c r="H153" s="12" t="s">
        <v>457</v>
      </c>
      <c r="I153" s="12" t="s">
        <v>458</v>
      </c>
      <c r="J153" s="17" t="s">
        <v>459</v>
      </c>
      <c r="K153" s="17" t="s">
        <v>459</v>
      </c>
      <c r="L153" s="17" t="s">
        <v>193</v>
      </c>
      <c r="M153" s="17">
        <v>31.0</v>
      </c>
      <c r="N153" s="20">
        <v>45838.0</v>
      </c>
      <c r="O153" s="17" t="s">
        <v>194</v>
      </c>
      <c r="P153" s="16">
        <v>5.0</v>
      </c>
      <c r="Q153" s="16">
        <v>5.0</v>
      </c>
      <c r="R153" s="16">
        <v>5.0</v>
      </c>
      <c r="S153" s="16">
        <v>5.0</v>
      </c>
      <c r="T153" s="16">
        <v>5.0</v>
      </c>
      <c r="U153" s="16">
        <v>5.0</v>
      </c>
      <c r="V153" s="16">
        <v>5.0</v>
      </c>
      <c r="W153" s="16">
        <v>5.0</v>
      </c>
      <c r="X153" s="16">
        <v>2.0</v>
      </c>
      <c r="Y153" s="16">
        <v>2.0</v>
      </c>
      <c r="Z153" s="16">
        <v>5.0</v>
      </c>
      <c r="AA153" s="16">
        <v>5.0</v>
      </c>
      <c r="AB153" s="16">
        <v>5.0</v>
      </c>
      <c r="AC153" s="16">
        <v>2.0</v>
      </c>
      <c r="AD153" s="37">
        <v>13.0</v>
      </c>
      <c r="AE153" s="37">
        <v>13.0</v>
      </c>
      <c r="AF153" s="37">
        <v>20.0</v>
      </c>
      <c r="AG153" s="37"/>
      <c r="AI153" s="18" t="s">
        <v>92</v>
      </c>
    </row>
    <row r="154">
      <c r="A154" s="11"/>
      <c r="B154" s="12" t="s">
        <v>34</v>
      </c>
      <c r="C154" s="12" t="s">
        <v>65</v>
      </c>
      <c r="D154" s="12" t="s">
        <v>102</v>
      </c>
      <c r="E154" s="12" t="s">
        <v>455</v>
      </c>
      <c r="F154" s="13" t="s">
        <v>456</v>
      </c>
      <c r="G154" s="12" t="s">
        <v>68</v>
      </c>
      <c r="H154" s="12" t="s">
        <v>457</v>
      </c>
      <c r="I154" s="12" t="s">
        <v>458</v>
      </c>
      <c r="J154" s="17" t="s">
        <v>460</v>
      </c>
      <c r="K154" s="17" t="s">
        <v>460</v>
      </c>
      <c r="L154" s="17" t="s">
        <v>193</v>
      </c>
      <c r="M154" s="40"/>
      <c r="N154" s="20">
        <v>45838.0</v>
      </c>
      <c r="O154" s="17" t="s">
        <v>194</v>
      </c>
      <c r="P154" s="16">
        <v>4.0</v>
      </c>
      <c r="Q154" s="16">
        <v>4.0</v>
      </c>
      <c r="R154" s="16">
        <v>5.0</v>
      </c>
      <c r="S154" s="16">
        <v>5.0</v>
      </c>
      <c r="T154" s="16">
        <v>3.0</v>
      </c>
      <c r="U154" s="16">
        <v>3.0</v>
      </c>
      <c r="V154" s="16">
        <v>3.0</v>
      </c>
      <c r="W154" s="16">
        <v>5.0</v>
      </c>
      <c r="X154" s="16">
        <v>4.0</v>
      </c>
      <c r="Y154" s="16">
        <v>4.0</v>
      </c>
      <c r="Z154" s="16">
        <v>3.0</v>
      </c>
      <c r="AA154" s="16">
        <v>4.0</v>
      </c>
      <c r="AB154" s="16">
        <v>4.0</v>
      </c>
      <c r="AC154" s="16">
        <v>4.0</v>
      </c>
      <c r="AD154" s="38">
        <v>14.0</v>
      </c>
      <c r="AE154" s="38">
        <v>17.0</v>
      </c>
      <c r="AF154" s="38">
        <v>13.0</v>
      </c>
      <c r="AG154" s="38" t="s">
        <v>461</v>
      </c>
      <c r="AI154" s="18" t="s">
        <v>92</v>
      </c>
    </row>
    <row r="155">
      <c r="A155" s="11"/>
      <c r="B155" s="12" t="s">
        <v>34</v>
      </c>
      <c r="C155" s="12" t="s">
        <v>65</v>
      </c>
      <c r="D155" s="12" t="s">
        <v>102</v>
      </c>
      <c r="E155" s="12" t="s">
        <v>455</v>
      </c>
      <c r="F155" s="13" t="s">
        <v>456</v>
      </c>
      <c r="G155" s="12" t="s">
        <v>68</v>
      </c>
      <c r="H155" s="12" t="s">
        <v>457</v>
      </c>
      <c r="I155" s="12" t="s">
        <v>458</v>
      </c>
      <c r="J155" s="17" t="s">
        <v>462</v>
      </c>
      <c r="K155" s="17" t="s">
        <v>462</v>
      </c>
      <c r="L155" s="17" t="s">
        <v>193</v>
      </c>
      <c r="M155" s="17">
        <v>39.0</v>
      </c>
      <c r="N155" s="20">
        <v>45838.0</v>
      </c>
      <c r="O155" s="17" t="s">
        <v>194</v>
      </c>
      <c r="P155" s="16">
        <v>3.0</v>
      </c>
      <c r="Q155" s="16">
        <v>3.0</v>
      </c>
      <c r="R155" s="16">
        <v>2.0</v>
      </c>
      <c r="S155" s="16">
        <v>2.0</v>
      </c>
      <c r="T155" s="16">
        <v>3.0</v>
      </c>
      <c r="U155" s="16">
        <v>3.0</v>
      </c>
      <c r="V155" s="16">
        <v>3.0</v>
      </c>
      <c r="W155" s="16">
        <v>2.0</v>
      </c>
      <c r="X155" s="16">
        <v>3.0</v>
      </c>
      <c r="Y155" s="16">
        <v>3.0</v>
      </c>
      <c r="Z155" s="16">
        <v>2.0</v>
      </c>
      <c r="AA155" s="16">
        <v>3.0</v>
      </c>
      <c r="AB155" s="16">
        <v>2.0</v>
      </c>
      <c r="AC155" s="16">
        <v>3.0</v>
      </c>
      <c r="AD155" s="37">
        <v>15.0</v>
      </c>
      <c r="AE155" s="37">
        <v>14.0</v>
      </c>
      <c r="AF155" s="37">
        <v>11.0</v>
      </c>
      <c r="AG155" s="37"/>
      <c r="AI155" s="18" t="s">
        <v>92</v>
      </c>
    </row>
    <row r="156">
      <c r="A156" s="11"/>
      <c r="B156" s="12" t="s">
        <v>34</v>
      </c>
      <c r="C156" s="12" t="s">
        <v>65</v>
      </c>
      <c r="D156" s="12" t="s">
        <v>102</v>
      </c>
      <c r="E156" s="12" t="s">
        <v>455</v>
      </c>
      <c r="F156" s="13" t="s">
        <v>456</v>
      </c>
      <c r="G156" s="12" t="s">
        <v>68</v>
      </c>
      <c r="H156" s="12" t="s">
        <v>457</v>
      </c>
      <c r="I156" s="12" t="s">
        <v>458</v>
      </c>
      <c r="J156" s="17" t="s">
        <v>463</v>
      </c>
      <c r="K156" s="17" t="s">
        <v>463</v>
      </c>
      <c r="L156" s="17" t="s">
        <v>193</v>
      </c>
      <c r="M156" s="17">
        <v>40.0</v>
      </c>
      <c r="N156" s="20">
        <v>45838.0</v>
      </c>
      <c r="O156" s="17" t="s">
        <v>194</v>
      </c>
      <c r="P156" s="16">
        <v>3.0</v>
      </c>
      <c r="Q156" s="16">
        <v>3.0</v>
      </c>
      <c r="R156" s="16">
        <v>4.0</v>
      </c>
      <c r="S156" s="16">
        <v>4.0</v>
      </c>
      <c r="T156" s="16">
        <v>5.0</v>
      </c>
      <c r="U156" s="16">
        <v>2.0</v>
      </c>
      <c r="V156" s="16">
        <v>2.0</v>
      </c>
      <c r="W156" s="16">
        <v>4.0</v>
      </c>
      <c r="X156" s="16">
        <v>5.0</v>
      </c>
      <c r="Y156" s="16">
        <v>5.0</v>
      </c>
      <c r="Z156" s="16">
        <v>5.0</v>
      </c>
      <c r="AA156" s="16">
        <v>3.0</v>
      </c>
      <c r="AB156" s="16">
        <v>5.0</v>
      </c>
      <c r="AC156" s="16">
        <v>5.0</v>
      </c>
      <c r="AD156" s="37">
        <v>15.0</v>
      </c>
      <c r="AE156" s="37">
        <v>15.0</v>
      </c>
      <c r="AF156" s="37">
        <v>14.0</v>
      </c>
      <c r="AG156" s="37"/>
      <c r="AI156" s="18" t="s">
        <v>92</v>
      </c>
    </row>
    <row r="157">
      <c r="A157" s="11"/>
      <c r="B157" s="12" t="s">
        <v>34</v>
      </c>
      <c r="C157" s="12" t="s">
        <v>65</v>
      </c>
      <c r="D157" s="12" t="s">
        <v>102</v>
      </c>
      <c r="E157" s="12" t="s">
        <v>455</v>
      </c>
      <c r="F157" s="13" t="s">
        <v>456</v>
      </c>
      <c r="G157" s="12" t="s">
        <v>68</v>
      </c>
      <c r="H157" s="12" t="s">
        <v>457</v>
      </c>
      <c r="I157" s="12" t="s">
        <v>458</v>
      </c>
      <c r="J157" s="17" t="s">
        <v>464</v>
      </c>
      <c r="K157" s="17" t="s">
        <v>464</v>
      </c>
      <c r="L157" s="17" t="s">
        <v>193</v>
      </c>
      <c r="M157" s="17">
        <v>36.0</v>
      </c>
      <c r="N157" s="20">
        <v>45838.0</v>
      </c>
      <c r="O157" s="17" t="s">
        <v>194</v>
      </c>
      <c r="P157" s="16">
        <v>3.0</v>
      </c>
      <c r="Q157" s="16">
        <v>3.0</v>
      </c>
      <c r="R157" s="16">
        <v>3.0</v>
      </c>
      <c r="S157" s="16">
        <v>3.0</v>
      </c>
      <c r="T157" s="16">
        <v>5.0</v>
      </c>
      <c r="U157" s="16">
        <v>4.0</v>
      </c>
      <c r="V157" s="16">
        <v>4.0</v>
      </c>
      <c r="W157" s="16">
        <v>3.0</v>
      </c>
      <c r="X157" s="16">
        <v>3.0</v>
      </c>
      <c r="Y157" s="16">
        <v>3.0</v>
      </c>
      <c r="Z157" s="16">
        <v>5.0</v>
      </c>
      <c r="AA157" s="16">
        <v>3.0</v>
      </c>
      <c r="AB157" s="16">
        <v>5.0</v>
      </c>
      <c r="AC157" s="16">
        <v>3.0</v>
      </c>
      <c r="AD157" s="37">
        <v>15.0</v>
      </c>
      <c r="AE157" s="37">
        <v>12.0</v>
      </c>
      <c r="AF157" s="37">
        <v>18.0</v>
      </c>
      <c r="AG157" s="37"/>
      <c r="AI157" s="18" t="s">
        <v>92</v>
      </c>
    </row>
    <row r="158">
      <c r="A158" s="11"/>
      <c r="B158" s="12" t="s">
        <v>34</v>
      </c>
      <c r="C158" s="12" t="s">
        <v>65</v>
      </c>
      <c r="D158" s="12" t="s">
        <v>102</v>
      </c>
      <c r="E158" s="12" t="s">
        <v>455</v>
      </c>
      <c r="F158" s="13" t="s">
        <v>456</v>
      </c>
      <c r="G158" s="12" t="s">
        <v>68</v>
      </c>
      <c r="H158" s="12" t="s">
        <v>457</v>
      </c>
      <c r="I158" s="12" t="s">
        <v>458</v>
      </c>
      <c r="J158" s="17" t="s">
        <v>465</v>
      </c>
      <c r="K158" s="17" t="s">
        <v>465</v>
      </c>
      <c r="L158" s="17" t="s">
        <v>193</v>
      </c>
      <c r="M158" s="17">
        <v>27.0</v>
      </c>
      <c r="N158" s="20">
        <v>45838.0</v>
      </c>
      <c r="O158" s="17" t="s">
        <v>194</v>
      </c>
      <c r="P158" s="16">
        <v>5.0</v>
      </c>
      <c r="Q158" s="16">
        <v>5.0</v>
      </c>
      <c r="R158" s="16">
        <v>4.0</v>
      </c>
      <c r="S158" s="16">
        <v>4.0</v>
      </c>
      <c r="T158" s="16">
        <v>5.0</v>
      </c>
      <c r="U158" s="16">
        <v>3.0</v>
      </c>
      <c r="V158" s="16">
        <v>3.0</v>
      </c>
      <c r="W158" s="16">
        <v>4.0</v>
      </c>
      <c r="X158" s="16">
        <v>3.0</v>
      </c>
      <c r="Y158" s="16">
        <v>3.0</v>
      </c>
      <c r="Z158" s="16">
        <v>5.0</v>
      </c>
      <c r="AA158" s="16">
        <v>5.0</v>
      </c>
      <c r="AB158" s="16">
        <v>5.0</v>
      </c>
      <c r="AC158" s="16">
        <v>3.0</v>
      </c>
      <c r="AD158" s="37">
        <v>13.0</v>
      </c>
      <c r="AE158" s="37">
        <v>13.0</v>
      </c>
      <c r="AF158" s="37">
        <v>16.0</v>
      </c>
      <c r="AG158" s="37"/>
      <c r="AI158" s="18" t="s">
        <v>92</v>
      </c>
    </row>
    <row r="159">
      <c r="A159" s="11"/>
      <c r="B159" s="12" t="s">
        <v>34</v>
      </c>
      <c r="C159" s="12" t="s">
        <v>65</v>
      </c>
      <c r="D159" s="12" t="s">
        <v>102</v>
      </c>
      <c r="E159" s="12" t="s">
        <v>455</v>
      </c>
      <c r="F159" s="13" t="s">
        <v>456</v>
      </c>
      <c r="G159" s="12" t="s">
        <v>68</v>
      </c>
      <c r="H159" s="12" t="s">
        <v>457</v>
      </c>
      <c r="I159" s="12" t="s">
        <v>458</v>
      </c>
      <c r="J159" s="17" t="s">
        <v>466</v>
      </c>
      <c r="K159" s="17" t="s">
        <v>466</v>
      </c>
      <c r="L159" s="17" t="s">
        <v>193</v>
      </c>
      <c r="M159" s="40"/>
      <c r="N159" s="20">
        <v>45838.0</v>
      </c>
      <c r="O159" s="17" t="s">
        <v>194</v>
      </c>
      <c r="P159" s="16">
        <v>5.0</v>
      </c>
      <c r="Q159" s="16">
        <v>5.0</v>
      </c>
      <c r="R159" s="16">
        <v>1.0</v>
      </c>
      <c r="S159" s="16">
        <v>1.0</v>
      </c>
      <c r="T159" s="16">
        <v>4.0</v>
      </c>
      <c r="U159" s="16">
        <v>2.0</v>
      </c>
      <c r="V159" s="16">
        <v>2.0</v>
      </c>
      <c r="W159" s="16">
        <v>1.0</v>
      </c>
      <c r="X159" s="16">
        <v>2.0</v>
      </c>
      <c r="Y159" s="16">
        <v>2.0</v>
      </c>
      <c r="Z159" s="16">
        <v>4.0</v>
      </c>
      <c r="AA159" s="16">
        <v>5.0</v>
      </c>
      <c r="AB159" s="16">
        <v>4.0</v>
      </c>
      <c r="AC159" s="16">
        <v>2.0</v>
      </c>
      <c r="AD159" s="37">
        <v>13.0</v>
      </c>
      <c r="AE159" s="37">
        <v>10.0</v>
      </c>
      <c r="AF159" s="37">
        <v>12.0</v>
      </c>
      <c r="AG159" s="37"/>
      <c r="AI159" s="18" t="s">
        <v>92</v>
      </c>
    </row>
    <row r="160">
      <c r="A160" s="11"/>
      <c r="B160" s="12" t="s">
        <v>34</v>
      </c>
      <c r="C160" s="12" t="s">
        <v>65</v>
      </c>
      <c r="D160" s="12" t="s">
        <v>102</v>
      </c>
      <c r="E160" s="12" t="s">
        <v>455</v>
      </c>
      <c r="F160" s="13" t="s">
        <v>456</v>
      </c>
      <c r="G160" s="12" t="s">
        <v>68</v>
      </c>
      <c r="H160" s="12" t="s">
        <v>457</v>
      </c>
      <c r="I160" s="12" t="s">
        <v>458</v>
      </c>
      <c r="J160" s="17" t="s">
        <v>467</v>
      </c>
      <c r="K160" s="17" t="s">
        <v>467</v>
      </c>
      <c r="L160" s="17" t="s">
        <v>193</v>
      </c>
      <c r="M160" s="40"/>
      <c r="N160" s="20">
        <v>45838.0</v>
      </c>
      <c r="O160" s="17" t="s">
        <v>194</v>
      </c>
      <c r="P160" s="16">
        <v>4.0</v>
      </c>
      <c r="Q160" s="16">
        <v>4.0</v>
      </c>
      <c r="R160" s="16">
        <v>4.0</v>
      </c>
      <c r="S160" s="16">
        <v>4.0</v>
      </c>
      <c r="T160" s="16">
        <v>3.0</v>
      </c>
      <c r="U160" s="16">
        <v>3.0</v>
      </c>
      <c r="V160" s="16">
        <v>3.0</v>
      </c>
      <c r="W160" s="16">
        <v>4.0</v>
      </c>
      <c r="X160" s="16">
        <v>4.0</v>
      </c>
      <c r="Y160" s="16">
        <v>4.0</v>
      </c>
      <c r="Z160" s="16">
        <v>3.0</v>
      </c>
      <c r="AA160" s="16">
        <v>4.0</v>
      </c>
      <c r="AB160" s="16">
        <v>3.0</v>
      </c>
      <c r="AC160" s="16">
        <v>4.0</v>
      </c>
      <c r="AD160" s="37">
        <v>14.0</v>
      </c>
      <c r="AE160" s="37">
        <v>16.0</v>
      </c>
      <c r="AF160" s="37">
        <v>12.0</v>
      </c>
      <c r="AG160" s="37"/>
      <c r="AI160" s="18" t="s">
        <v>92</v>
      </c>
    </row>
    <row r="161">
      <c r="A161" s="11"/>
      <c r="B161" s="12" t="s">
        <v>34</v>
      </c>
      <c r="C161" s="12" t="s">
        <v>65</v>
      </c>
      <c r="D161" s="12" t="s">
        <v>102</v>
      </c>
      <c r="E161" s="12" t="s">
        <v>455</v>
      </c>
      <c r="F161" s="13" t="s">
        <v>456</v>
      </c>
      <c r="G161" s="12" t="s">
        <v>68</v>
      </c>
      <c r="H161" s="12" t="s">
        <v>457</v>
      </c>
      <c r="I161" s="12" t="s">
        <v>458</v>
      </c>
      <c r="J161" s="17" t="s">
        <v>468</v>
      </c>
      <c r="K161" s="17" t="s">
        <v>468</v>
      </c>
      <c r="L161" s="17" t="s">
        <v>193</v>
      </c>
      <c r="M161" s="17">
        <v>36.0</v>
      </c>
      <c r="N161" s="20">
        <v>45838.0</v>
      </c>
      <c r="O161" s="17" t="s">
        <v>194</v>
      </c>
      <c r="P161" s="16">
        <v>3.0</v>
      </c>
      <c r="Q161" s="16">
        <v>3.0</v>
      </c>
      <c r="R161" s="16">
        <v>3.0</v>
      </c>
      <c r="S161" s="16">
        <v>3.0</v>
      </c>
      <c r="T161" s="16">
        <v>5.0</v>
      </c>
      <c r="U161" s="16">
        <v>4.0</v>
      </c>
      <c r="V161" s="16">
        <v>4.0</v>
      </c>
      <c r="W161" s="16">
        <v>3.0</v>
      </c>
      <c r="X161" s="16">
        <v>3.0</v>
      </c>
      <c r="Y161" s="16">
        <v>3.0</v>
      </c>
      <c r="Z161" s="16">
        <v>5.0</v>
      </c>
      <c r="AA161" s="16">
        <v>3.0</v>
      </c>
      <c r="AB161" s="16">
        <v>5.0</v>
      </c>
      <c r="AC161" s="16">
        <v>3.0</v>
      </c>
      <c r="AD161" s="37">
        <v>15.0</v>
      </c>
      <c r="AE161" s="37">
        <v>12.0</v>
      </c>
      <c r="AF161" s="37">
        <v>18.0</v>
      </c>
      <c r="AG161" s="37"/>
      <c r="AI161" s="18" t="s">
        <v>92</v>
      </c>
    </row>
    <row r="162">
      <c r="A162" s="11"/>
      <c r="B162" s="12" t="s">
        <v>34</v>
      </c>
      <c r="C162" s="12" t="s">
        <v>65</v>
      </c>
      <c r="D162" s="12" t="s">
        <v>102</v>
      </c>
      <c r="E162" s="12" t="s">
        <v>455</v>
      </c>
      <c r="F162" s="13" t="s">
        <v>456</v>
      </c>
      <c r="G162" s="12" t="s">
        <v>68</v>
      </c>
      <c r="H162" s="12" t="s">
        <v>457</v>
      </c>
      <c r="I162" s="12" t="s">
        <v>458</v>
      </c>
      <c r="J162" s="17" t="s">
        <v>469</v>
      </c>
      <c r="K162" s="17" t="s">
        <v>469</v>
      </c>
      <c r="L162" s="17" t="s">
        <v>193</v>
      </c>
      <c r="M162" s="17">
        <v>40.0</v>
      </c>
      <c r="N162" s="20">
        <v>45838.0</v>
      </c>
      <c r="O162" s="17" t="s">
        <v>194</v>
      </c>
      <c r="P162" s="16">
        <v>4.0</v>
      </c>
      <c r="Q162" s="16">
        <v>4.0</v>
      </c>
      <c r="R162" s="16">
        <v>4.0</v>
      </c>
      <c r="S162" s="16">
        <v>4.0</v>
      </c>
      <c r="T162" s="16">
        <v>3.0</v>
      </c>
      <c r="U162" s="16">
        <v>5.0</v>
      </c>
      <c r="V162" s="16">
        <v>5.0</v>
      </c>
      <c r="W162" s="16">
        <v>4.0</v>
      </c>
      <c r="X162" s="16">
        <v>3.0</v>
      </c>
      <c r="Y162" s="16">
        <v>3.0</v>
      </c>
      <c r="Z162" s="16">
        <v>3.0</v>
      </c>
      <c r="AA162" s="16">
        <v>4.0</v>
      </c>
      <c r="AB162" s="16">
        <v>3.0</v>
      </c>
      <c r="AC162" s="16">
        <v>3.0</v>
      </c>
      <c r="AD162" s="38">
        <v>14.0</v>
      </c>
      <c r="AE162" s="38">
        <v>15.0</v>
      </c>
      <c r="AF162" s="38">
        <v>16.0</v>
      </c>
      <c r="AG162" s="38" t="s">
        <v>470</v>
      </c>
      <c r="AI162" s="18" t="s">
        <v>92</v>
      </c>
    </row>
    <row r="163">
      <c r="A163" s="11"/>
      <c r="B163" s="12" t="s">
        <v>34</v>
      </c>
      <c r="C163" s="12" t="s">
        <v>65</v>
      </c>
      <c r="D163" s="12" t="s">
        <v>102</v>
      </c>
      <c r="E163" s="12" t="s">
        <v>455</v>
      </c>
      <c r="F163" s="13" t="s">
        <v>456</v>
      </c>
      <c r="G163" s="12" t="s">
        <v>68</v>
      </c>
      <c r="H163" s="12" t="s">
        <v>457</v>
      </c>
      <c r="I163" s="12" t="s">
        <v>458</v>
      </c>
      <c r="J163" s="17" t="s">
        <v>471</v>
      </c>
      <c r="K163" s="17" t="s">
        <v>471</v>
      </c>
      <c r="L163" s="17" t="s">
        <v>193</v>
      </c>
      <c r="M163" s="17">
        <v>36.0</v>
      </c>
      <c r="N163" s="20">
        <v>45838.0</v>
      </c>
      <c r="O163" s="17" t="s">
        <v>194</v>
      </c>
      <c r="P163" s="16">
        <v>4.0</v>
      </c>
      <c r="Q163" s="16">
        <v>4.0</v>
      </c>
      <c r="R163" s="16">
        <v>4.0</v>
      </c>
      <c r="S163" s="16">
        <v>4.0</v>
      </c>
      <c r="T163" s="16">
        <v>4.0</v>
      </c>
      <c r="U163" s="16">
        <v>4.0</v>
      </c>
      <c r="V163" s="16">
        <v>4.0</v>
      </c>
      <c r="W163" s="16">
        <v>4.0</v>
      </c>
      <c r="X163" s="16">
        <v>4.0</v>
      </c>
      <c r="Y163" s="16">
        <v>4.0</v>
      </c>
      <c r="Z163" s="16">
        <v>4.0</v>
      </c>
      <c r="AA163" s="16">
        <v>4.0</v>
      </c>
      <c r="AB163" s="16">
        <v>4.0</v>
      </c>
      <c r="AC163" s="16">
        <v>4.0</v>
      </c>
      <c r="AD163" s="38">
        <v>14.0</v>
      </c>
      <c r="AE163" s="38">
        <v>15.0</v>
      </c>
      <c r="AF163" s="38">
        <v>16.0</v>
      </c>
      <c r="AG163" s="38" t="s">
        <v>472</v>
      </c>
      <c r="AI163" s="18" t="s">
        <v>92</v>
      </c>
    </row>
    <row r="164">
      <c r="A164" s="11"/>
      <c r="B164" s="12" t="s">
        <v>34</v>
      </c>
      <c r="C164" s="12" t="s">
        <v>65</v>
      </c>
      <c r="D164" s="12" t="s">
        <v>102</v>
      </c>
      <c r="E164" s="12" t="s">
        <v>455</v>
      </c>
      <c r="F164" s="13" t="s">
        <v>456</v>
      </c>
      <c r="G164" s="12" t="s">
        <v>68</v>
      </c>
      <c r="H164" s="12" t="s">
        <v>457</v>
      </c>
      <c r="I164" s="12" t="s">
        <v>458</v>
      </c>
      <c r="J164" s="17" t="s">
        <v>473</v>
      </c>
      <c r="K164" s="17" t="s">
        <v>473</v>
      </c>
      <c r="L164" s="17" t="s">
        <v>193</v>
      </c>
      <c r="M164" s="17">
        <v>39.0</v>
      </c>
      <c r="N164" s="20">
        <v>45838.0</v>
      </c>
      <c r="O164" s="17" t="s">
        <v>194</v>
      </c>
      <c r="P164" s="16">
        <v>3.0</v>
      </c>
      <c r="Q164" s="16">
        <v>3.0</v>
      </c>
      <c r="R164" s="16">
        <v>5.0</v>
      </c>
      <c r="S164" s="16">
        <v>5.0</v>
      </c>
      <c r="T164" s="16">
        <v>3.0</v>
      </c>
      <c r="U164" s="16">
        <v>4.0</v>
      </c>
      <c r="V164" s="16">
        <v>4.0</v>
      </c>
      <c r="W164" s="16">
        <v>5.0</v>
      </c>
      <c r="X164" s="16">
        <v>4.0</v>
      </c>
      <c r="Y164" s="16">
        <v>4.0</v>
      </c>
      <c r="Z164" s="16">
        <v>3.0</v>
      </c>
      <c r="AA164" s="16">
        <v>3.0</v>
      </c>
      <c r="AB164" s="16">
        <v>3.0</v>
      </c>
      <c r="AC164" s="16">
        <v>4.0</v>
      </c>
      <c r="AD164" s="37">
        <v>15.0</v>
      </c>
      <c r="AE164" s="37">
        <v>17.0</v>
      </c>
      <c r="AF164" s="37">
        <v>14.0</v>
      </c>
      <c r="AG164" s="37"/>
      <c r="AI164" s="18" t="s">
        <v>92</v>
      </c>
    </row>
    <row r="165">
      <c r="A165" s="11"/>
      <c r="B165" s="12" t="s">
        <v>34</v>
      </c>
      <c r="C165" s="12" t="s">
        <v>65</v>
      </c>
      <c r="D165" s="12" t="s">
        <v>102</v>
      </c>
      <c r="E165" s="12" t="s">
        <v>455</v>
      </c>
      <c r="F165" s="13" t="s">
        <v>456</v>
      </c>
      <c r="G165" s="12" t="s">
        <v>68</v>
      </c>
      <c r="H165" s="12" t="s">
        <v>457</v>
      </c>
      <c r="I165" s="12" t="s">
        <v>458</v>
      </c>
      <c r="J165" s="17" t="s">
        <v>474</v>
      </c>
      <c r="K165" s="17" t="s">
        <v>474</v>
      </c>
      <c r="L165" s="17" t="s">
        <v>193</v>
      </c>
      <c r="M165" s="17">
        <v>29.0</v>
      </c>
      <c r="N165" s="20">
        <v>45838.0</v>
      </c>
      <c r="O165" s="17" t="s">
        <v>194</v>
      </c>
      <c r="P165" s="16">
        <v>4.0</v>
      </c>
      <c r="Q165" s="16">
        <v>4.0</v>
      </c>
      <c r="R165" s="16">
        <v>5.0</v>
      </c>
      <c r="S165" s="16">
        <v>5.0</v>
      </c>
      <c r="T165" s="16">
        <v>5.0</v>
      </c>
      <c r="U165" s="16">
        <v>5.0</v>
      </c>
      <c r="V165" s="16">
        <v>5.0</v>
      </c>
      <c r="W165" s="16">
        <v>5.0</v>
      </c>
      <c r="X165" s="16">
        <v>5.0</v>
      </c>
      <c r="Y165" s="16">
        <v>5.0</v>
      </c>
      <c r="Z165" s="16">
        <v>5.0</v>
      </c>
      <c r="AA165" s="16">
        <v>4.0</v>
      </c>
      <c r="AB165" s="16">
        <v>5.0</v>
      </c>
      <c r="AC165" s="16">
        <v>5.0</v>
      </c>
      <c r="AD165" s="37">
        <v>14.0</v>
      </c>
      <c r="AE165" s="37">
        <v>16.0</v>
      </c>
      <c r="AF165" s="37">
        <v>20.0</v>
      </c>
      <c r="AG165" s="37"/>
      <c r="AI165" s="18" t="s">
        <v>92</v>
      </c>
    </row>
    <row r="166">
      <c r="A166" s="11"/>
      <c r="B166" s="12" t="s">
        <v>34</v>
      </c>
      <c r="C166" s="12" t="s">
        <v>65</v>
      </c>
      <c r="D166" s="12" t="s">
        <v>102</v>
      </c>
      <c r="E166" s="12" t="s">
        <v>455</v>
      </c>
      <c r="F166" s="13" t="s">
        <v>456</v>
      </c>
      <c r="G166" s="12" t="s">
        <v>68</v>
      </c>
      <c r="H166" s="12" t="s">
        <v>457</v>
      </c>
      <c r="I166" s="12" t="s">
        <v>458</v>
      </c>
      <c r="J166" s="17" t="s">
        <v>475</v>
      </c>
      <c r="K166" s="17" t="s">
        <v>475</v>
      </c>
      <c r="L166" s="17" t="s">
        <v>193</v>
      </c>
      <c r="M166" s="17">
        <v>37.0</v>
      </c>
      <c r="N166" s="20">
        <v>45838.0</v>
      </c>
      <c r="O166" s="17" t="s">
        <v>194</v>
      </c>
      <c r="P166" s="16">
        <v>4.0</v>
      </c>
      <c r="Q166" s="16">
        <v>4.0</v>
      </c>
      <c r="R166" s="16">
        <v>4.0</v>
      </c>
      <c r="S166" s="16">
        <v>4.0</v>
      </c>
      <c r="T166" s="16">
        <v>3.0</v>
      </c>
      <c r="U166" s="16">
        <v>5.0</v>
      </c>
      <c r="V166" s="16">
        <v>5.0</v>
      </c>
      <c r="W166" s="16">
        <v>4.0</v>
      </c>
      <c r="X166" s="16">
        <v>4.0</v>
      </c>
      <c r="Y166" s="16">
        <v>4.0</v>
      </c>
      <c r="Z166" s="16">
        <v>3.0</v>
      </c>
      <c r="AA166" s="16">
        <v>4.0</v>
      </c>
      <c r="AB166" s="16">
        <v>3.0</v>
      </c>
      <c r="AC166" s="16">
        <v>4.0</v>
      </c>
      <c r="AD166" s="37">
        <v>14.0</v>
      </c>
      <c r="AE166" s="37">
        <v>16.0</v>
      </c>
      <c r="AF166" s="37">
        <v>16.0</v>
      </c>
      <c r="AG166" s="37"/>
      <c r="AI166" s="18" t="s">
        <v>92</v>
      </c>
    </row>
    <row r="167">
      <c r="A167" s="11"/>
      <c r="B167" s="12" t="s">
        <v>34</v>
      </c>
      <c r="C167" s="12" t="s">
        <v>65</v>
      </c>
      <c r="D167" s="12" t="s">
        <v>102</v>
      </c>
      <c r="E167" s="12" t="s">
        <v>455</v>
      </c>
      <c r="F167" s="13" t="s">
        <v>456</v>
      </c>
      <c r="G167" s="12" t="s">
        <v>68</v>
      </c>
      <c r="H167" s="12" t="s">
        <v>457</v>
      </c>
      <c r="I167" s="12" t="s">
        <v>458</v>
      </c>
      <c r="J167" s="17" t="s">
        <v>476</v>
      </c>
      <c r="K167" s="17" t="s">
        <v>476</v>
      </c>
      <c r="L167" s="17" t="s">
        <v>193</v>
      </c>
      <c r="M167" s="17">
        <v>28.0</v>
      </c>
      <c r="N167" s="20">
        <v>45838.0</v>
      </c>
      <c r="O167" s="17" t="s">
        <v>194</v>
      </c>
      <c r="P167" s="16">
        <v>4.0</v>
      </c>
      <c r="Q167" s="16">
        <v>4.0</v>
      </c>
      <c r="R167" s="16">
        <v>3.0</v>
      </c>
      <c r="S167" s="16">
        <v>3.0</v>
      </c>
      <c r="T167" s="16">
        <v>4.0</v>
      </c>
      <c r="U167" s="16">
        <v>5.0</v>
      </c>
      <c r="V167" s="16">
        <v>5.0</v>
      </c>
      <c r="W167" s="16">
        <v>3.0</v>
      </c>
      <c r="X167" s="16">
        <v>3.0</v>
      </c>
      <c r="Y167" s="16">
        <v>3.0</v>
      </c>
      <c r="Z167" s="16">
        <v>4.0</v>
      </c>
      <c r="AA167" s="16">
        <v>4.0</v>
      </c>
      <c r="AB167" s="16">
        <v>4.0</v>
      </c>
      <c r="AC167" s="16">
        <v>3.0</v>
      </c>
      <c r="AD167" s="37">
        <v>14.0</v>
      </c>
      <c r="AE167" s="37">
        <v>13.0</v>
      </c>
      <c r="AF167" s="37">
        <v>18.0</v>
      </c>
      <c r="AG167" s="37"/>
      <c r="AI167" s="18" t="s">
        <v>92</v>
      </c>
    </row>
    <row r="168">
      <c r="A168" s="11"/>
      <c r="B168" s="12" t="s">
        <v>34</v>
      </c>
      <c r="C168" s="12" t="s">
        <v>65</v>
      </c>
      <c r="D168" s="12" t="s">
        <v>102</v>
      </c>
      <c r="E168" s="12" t="s">
        <v>455</v>
      </c>
      <c r="F168" s="13" t="s">
        <v>456</v>
      </c>
      <c r="G168" s="12" t="s">
        <v>68</v>
      </c>
      <c r="H168" s="12" t="s">
        <v>457</v>
      </c>
      <c r="I168" s="12" t="s">
        <v>458</v>
      </c>
      <c r="J168" s="17" t="s">
        <v>477</v>
      </c>
      <c r="K168" s="17" t="s">
        <v>477</v>
      </c>
      <c r="L168" s="17" t="s">
        <v>193</v>
      </c>
      <c r="M168" s="17">
        <v>45.0</v>
      </c>
      <c r="N168" s="20">
        <v>45838.0</v>
      </c>
      <c r="O168" s="17" t="s">
        <v>194</v>
      </c>
      <c r="P168" s="16">
        <v>5.0</v>
      </c>
      <c r="Q168" s="16">
        <v>5.0</v>
      </c>
      <c r="R168" s="16">
        <v>4.0</v>
      </c>
      <c r="S168" s="16">
        <v>4.0</v>
      </c>
      <c r="T168" s="16">
        <v>3.0</v>
      </c>
      <c r="U168" s="16">
        <v>3.0</v>
      </c>
      <c r="V168" s="16">
        <v>3.0</v>
      </c>
      <c r="W168" s="16">
        <v>4.0</v>
      </c>
      <c r="X168" s="16">
        <v>3.0</v>
      </c>
      <c r="Y168" s="16">
        <v>3.0</v>
      </c>
      <c r="Z168" s="16">
        <v>3.0</v>
      </c>
      <c r="AA168" s="16">
        <v>5.0</v>
      </c>
      <c r="AB168" s="16">
        <v>3.0</v>
      </c>
      <c r="AC168" s="16">
        <v>3.0</v>
      </c>
      <c r="AD168" s="37">
        <v>13.0</v>
      </c>
      <c r="AE168" s="37">
        <v>15.0</v>
      </c>
      <c r="AF168" s="37">
        <v>12.0</v>
      </c>
      <c r="AG168" s="37"/>
      <c r="AI168" s="18" t="s">
        <v>92</v>
      </c>
    </row>
    <row r="169">
      <c r="A169" s="11"/>
      <c r="B169" s="12" t="s">
        <v>34</v>
      </c>
      <c r="C169" s="12" t="s">
        <v>65</v>
      </c>
      <c r="D169" s="12" t="s">
        <v>102</v>
      </c>
      <c r="E169" s="12" t="s">
        <v>455</v>
      </c>
      <c r="F169" s="13" t="s">
        <v>456</v>
      </c>
      <c r="G169" s="12" t="s">
        <v>68</v>
      </c>
      <c r="H169" s="12" t="s">
        <v>457</v>
      </c>
      <c r="I169" s="12" t="s">
        <v>458</v>
      </c>
      <c r="J169" s="17" t="s">
        <v>478</v>
      </c>
      <c r="K169" s="17" t="s">
        <v>478</v>
      </c>
      <c r="L169" s="17" t="s">
        <v>193</v>
      </c>
      <c r="M169" s="17">
        <v>30.0</v>
      </c>
      <c r="N169" s="20">
        <v>45838.0</v>
      </c>
      <c r="O169" s="17" t="s">
        <v>194</v>
      </c>
      <c r="P169" s="16">
        <v>4.0</v>
      </c>
      <c r="Q169" s="16">
        <v>4.0</v>
      </c>
      <c r="R169" s="16">
        <v>4.0</v>
      </c>
      <c r="S169" s="16">
        <v>4.0</v>
      </c>
      <c r="T169" s="16">
        <v>4.0</v>
      </c>
      <c r="U169" s="16">
        <v>5.0</v>
      </c>
      <c r="V169" s="16">
        <v>5.0</v>
      </c>
      <c r="W169" s="16">
        <v>4.0</v>
      </c>
      <c r="X169" s="16">
        <v>5.0</v>
      </c>
      <c r="Y169" s="16">
        <v>5.0</v>
      </c>
      <c r="Z169" s="16">
        <v>4.0</v>
      </c>
      <c r="AA169" s="16">
        <v>4.0</v>
      </c>
      <c r="AB169" s="16">
        <v>4.0</v>
      </c>
      <c r="AC169" s="16">
        <v>5.0</v>
      </c>
      <c r="AD169" s="37">
        <v>14.0</v>
      </c>
      <c r="AE169" s="37">
        <v>16.0</v>
      </c>
      <c r="AF169" s="37">
        <v>18.0</v>
      </c>
      <c r="AG169" s="37"/>
      <c r="AI169" s="18" t="s">
        <v>92</v>
      </c>
    </row>
    <row r="170">
      <c r="A170" s="11"/>
      <c r="B170" s="12" t="s">
        <v>34</v>
      </c>
      <c r="C170" s="12" t="s">
        <v>65</v>
      </c>
      <c r="D170" s="12" t="s">
        <v>102</v>
      </c>
      <c r="E170" s="12" t="s">
        <v>455</v>
      </c>
      <c r="F170" s="13" t="s">
        <v>456</v>
      </c>
      <c r="G170" s="12" t="s">
        <v>68</v>
      </c>
      <c r="H170" s="12" t="s">
        <v>457</v>
      </c>
      <c r="I170" s="12" t="s">
        <v>458</v>
      </c>
      <c r="J170" s="17" t="s">
        <v>479</v>
      </c>
      <c r="K170" s="17" t="s">
        <v>479</v>
      </c>
      <c r="L170" s="17" t="s">
        <v>193</v>
      </c>
      <c r="M170" s="17">
        <v>23.0</v>
      </c>
      <c r="N170" s="20">
        <v>45838.0</v>
      </c>
      <c r="O170" s="17" t="s">
        <v>194</v>
      </c>
      <c r="P170" s="16">
        <v>5.0</v>
      </c>
      <c r="Q170" s="16">
        <v>5.0</v>
      </c>
      <c r="R170" s="16">
        <v>4.0</v>
      </c>
      <c r="S170" s="16">
        <v>4.0</v>
      </c>
      <c r="T170" s="16">
        <v>5.0</v>
      </c>
      <c r="U170" s="16">
        <v>4.0</v>
      </c>
      <c r="V170" s="16">
        <v>4.0</v>
      </c>
      <c r="W170" s="16">
        <v>4.0</v>
      </c>
      <c r="X170" s="16">
        <v>5.0</v>
      </c>
      <c r="Y170" s="16">
        <v>5.0</v>
      </c>
      <c r="Z170" s="16">
        <v>5.0</v>
      </c>
      <c r="AA170" s="16">
        <v>5.0</v>
      </c>
      <c r="AB170" s="16">
        <v>5.0</v>
      </c>
      <c r="AC170" s="16">
        <v>5.0</v>
      </c>
      <c r="AD170" s="37">
        <v>13.0</v>
      </c>
      <c r="AE170" s="37">
        <v>15.0</v>
      </c>
      <c r="AF170" s="37">
        <v>18.0</v>
      </c>
      <c r="AG170" s="37"/>
      <c r="AI170" s="18" t="s">
        <v>92</v>
      </c>
    </row>
    <row r="171">
      <c r="A171" s="11"/>
      <c r="B171" s="12" t="s">
        <v>34</v>
      </c>
      <c r="C171" s="12" t="s">
        <v>65</v>
      </c>
      <c r="D171" s="12" t="s">
        <v>102</v>
      </c>
      <c r="E171" s="12" t="s">
        <v>455</v>
      </c>
      <c r="F171" s="13" t="s">
        <v>456</v>
      </c>
      <c r="G171" s="12" t="s">
        <v>68</v>
      </c>
      <c r="H171" s="12" t="s">
        <v>457</v>
      </c>
      <c r="I171" s="12" t="s">
        <v>458</v>
      </c>
      <c r="J171" s="17" t="s">
        <v>480</v>
      </c>
      <c r="K171" s="17" t="s">
        <v>480</v>
      </c>
      <c r="L171" s="17" t="s">
        <v>193</v>
      </c>
      <c r="M171" s="17">
        <v>27.0</v>
      </c>
      <c r="N171" s="20">
        <v>45838.0</v>
      </c>
      <c r="O171" s="17" t="s">
        <v>194</v>
      </c>
      <c r="P171" s="16">
        <v>1.0</v>
      </c>
      <c r="Q171" s="16">
        <v>1.0</v>
      </c>
      <c r="R171" s="16">
        <v>4.0</v>
      </c>
      <c r="S171" s="16">
        <v>4.0</v>
      </c>
      <c r="T171" s="16">
        <v>4.0</v>
      </c>
      <c r="U171" s="16">
        <v>4.0</v>
      </c>
      <c r="V171" s="16">
        <v>4.0</v>
      </c>
      <c r="W171" s="16">
        <v>4.0</v>
      </c>
      <c r="X171" s="16">
        <v>4.0</v>
      </c>
      <c r="Y171" s="16">
        <v>4.0</v>
      </c>
      <c r="Z171" s="16">
        <v>4.0</v>
      </c>
      <c r="AA171" s="16">
        <v>1.0</v>
      </c>
      <c r="AB171" s="16">
        <v>4.0</v>
      </c>
      <c r="AC171" s="16">
        <v>4.0</v>
      </c>
      <c r="AD171" s="37">
        <v>17.0</v>
      </c>
      <c r="AE171" s="37">
        <v>15.0</v>
      </c>
      <c r="AF171" s="37">
        <v>16.0</v>
      </c>
      <c r="AG171" s="37"/>
      <c r="AI171" s="18" t="s">
        <v>92</v>
      </c>
    </row>
    <row r="172">
      <c r="A172" s="11"/>
      <c r="B172" s="12" t="s">
        <v>34</v>
      </c>
      <c r="C172" s="12" t="s">
        <v>65</v>
      </c>
      <c r="D172" s="12" t="s">
        <v>102</v>
      </c>
      <c r="E172" s="12" t="s">
        <v>455</v>
      </c>
      <c r="F172" s="13" t="s">
        <v>456</v>
      </c>
      <c r="G172" s="12" t="s">
        <v>68</v>
      </c>
      <c r="H172" s="12" t="s">
        <v>457</v>
      </c>
      <c r="I172" s="12" t="s">
        <v>458</v>
      </c>
      <c r="J172" s="17" t="s">
        <v>481</v>
      </c>
      <c r="K172" s="17" t="s">
        <v>481</v>
      </c>
      <c r="L172" s="17" t="s">
        <v>193</v>
      </c>
      <c r="M172" s="17">
        <v>41.0</v>
      </c>
      <c r="N172" s="20">
        <v>45838.0</v>
      </c>
      <c r="O172" s="17" t="s">
        <v>194</v>
      </c>
      <c r="P172" s="16">
        <v>3.0</v>
      </c>
      <c r="Q172" s="16">
        <v>3.0</v>
      </c>
      <c r="R172" s="16">
        <v>3.0</v>
      </c>
      <c r="S172" s="16">
        <v>3.0</v>
      </c>
      <c r="T172" s="16">
        <v>5.0</v>
      </c>
      <c r="U172" s="16">
        <v>4.0</v>
      </c>
      <c r="V172" s="16">
        <v>4.0</v>
      </c>
      <c r="W172" s="16">
        <v>3.0</v>
      </c>
      <c r="X172" s="16">
        <v>3.0</v>
      </c>
      <c r="Y172" s="16">
        <v>3.0</v>
      </c>
      <c r="Z172" s="16">
        <v>5.0</v>
      </c>
      <c r="AA172" s="16">
        <v>3.0</v>
      </c>
      <c r="AB172" s="16">
        <v>5.0</v>
      </c>
      <c r="AC172" s="16">
        <v>3.0</v>
      </c>
      <c r="AD172" s="37">
        <v>15.0</v>
      </c>
      <c r="AE172" s="37">
        <v>12.0</v>
      </c>
      <c r="AF172" s="37">
        <v>18.0</v>
      </c>
      <c r="AG172" s="37"/>
      <c r="AI172" s="18" t="s">
        <v>92</v>
      </c>
    </row>
    <row r="173">
      <c r="A173" s="11"/>
      <c r="B173" s="12" t="s">
        <v>34</v>
      </c>
      <c r="C173" s="12" t="s">
        <v>65</v>
      </c>
      <c r="D173" s="12" t="s">
        <v>102</v>
      </c>
      <c r="E173" s="12" t="s">
        <v>455</v>
      </c>
      <c r="F173" s="13" t="s">
        <v>456</v>
      </c>
      <c r="G173" s="12" t="s">
        <v>68</v>
      </c>
      <c r="H173" s="12" t="s">
        <v>457</v>
      </c>
      <c r="I173" s="12" t="s">
        <v>458</v>
      </c>
      <c r="J173" s="17" t="s">
        <v>482</v>
      </c>
      <c r="K173" s="17" t="s">
        <v>482</v>
      </c>
      <c r="L173" s="17" t="s">
        <v>193</v>
      </c>
      <c r="M173" s="17"/>
      <c r="N173" s="20">
        <v>45974.0</v>
      </c>
      <c r="O173" s="17" t="s">
        <v>428</v>
      </c>
      <c r="P173" s="16">
        <v>5.0</v>
      </c>
      <c r="Q173" s="16">
        <v>5.0</v>
      </c>
      <c r="R173" s="16">
        <v>4.0</v>
      </c>
      <c r="S173" s="16">
        <v>4.0</v>
      </c>
      <c r="T173" s="16">
        <v>5.0</v>
      </c>
      <c r="U173" s="16">
        <v>5.0</v>
      </c>
      <c r="V173" s="16">
        <v>5.0</v>
      </c>
      <c r="W173" s="16">
        <v>4.0</v>
      </c>
      <c r="X173" s="16">
        <v>5.0</v>
      </c>
      <c r="Y173" s="16">
        <v>5.0</v>
      </c>
      <c r="Z173" s="16">
        <v>5.0</v>
      </c>
      <c r="AA173" s="16">
        <v>5.0</v>
      </c>
      <c r="AB173" s="16">
        <v>5.0</v>
      </c>
      <c r="AC173" s="16">
        <v>5.0</v>
      </c>
      <c r="AD173" s="38">
        <v>13.0</v>
      </c>
      <c r="AE173" s="38">
        <v>15.0</v>
      </c>
      <c r="AF173" s="38">
        <v>20.0</v>
      </c>
      <c r="AG173" s="38" t="s">
        <v>483</v>
      </c>
      <c r="AI173" s="18" t="s">
        <v>92</v>
      </c>
    </row>
    <row r="174">
      <c r="A174" s="11"/>
      <c r="B174" s="12" t="s">
        <v>34</v>
      </c>
      <c r="C174" s="12" t="s">
        <v>65</v>
      </c>
      <c r="D174" s="12" t="s">
        <v>102</v>
      </c>
      <c r="E174" s="12" t="s">
        <v>455</v>
      </c>
      <c r="F174" s="13" t="s">
        <v>456</v>
      </c>
      <c r="G174" s="12" t="s">
        <v>68</v>
      </c>
      <c r="H174" s="12" t="s">
        <v>457</v>
      </c>
      <c r="I174" s="12" t="s">
        <v>458</v>
      </c>
      <c r="J174" s="17" t="s">
        <v>473</v>
      </c>
      <c r="K174" s="17" t="s">
        <v>473</v>
      </c>
      <c r="L174" s="17" t="s">
        <v>193</v>
      </c>
      <c r="M174" s="17">
        <v>39.0</v>
      </c>
      <c r="N174" s="20">
        <v>45974.0</v>
      </c>
      <c r="O174" s="17" t="s">
        <v>428</v>
      </c>
      <c r="P174" s="16">
        <v>4.0</v>
      </c>
      <c r="Q174" s="16">
        <v>4.0</v>
      </c>
      <c r="R174" s="16">
        <v>5.0</v>
      </c>
      <c r="S174" s="16">
        <v>5.0</v>
      </c>
      <c r="T174" s="16">
        <v>4.0</v>
      </c>
      <c r="U174" s="16">
        <v>4.0</v>
      </c>
      <c r="V174" s="16">
        <v>4.0</v>
      </c>
      <c r="W174" s="16">
        <v>5.0</v>
      </c>
      <c r="X174" s="16">
        <v>5.0</v>
      </c>
      <c r="Y174" s="16">
        <v>5.0</v>
      </c>
      <c r="Z174" s="16">
        <v>4.0</v>
      </c>
      <c r="AA174" s="16">
        <v>4.0</v>
      </c>
      <c r="AB174" s="16">
        <v>4.0</v>
      </c>
      <c r="AC174" s="16">
        <v>5.0</v>
      </c>
      <c r="AD174" s="38">
        <v>14.0</v>
      </c>
      <c r="AE174" s="38">
        <v>17.0</v>
      </c>
      <c r="AF174" s="38">
        <v>16.0</v>
      </c>
      <c r="AG174" s="38" t="s">
        <v>484</v>
      </c>
      <c r="AI174" s="18" t="s">
        <v>92</v>
      </c>
    </row>
    <row r="175">
      <c r="A175" s="11"/>
      <c r="B175" s="12" t="s">
        <v>34</v>
      </c>
      <c r="C175" s="12" t="s">
        <v>65</v>
      </c>
      <c r="D175" s="12" t="s">
        <v>102</v>
      </c>
      <c r="E175" s="12" t="s">
        <v>455</v>
      </c>
      <c r="F175" s="13" t="s">
        <v>456</v>
      </c>
      <c r="G175" s="12" t="s">
        <v>68</v>
      </c>
      <c r="H175" s="12" t="s">
        <v>457</v>
      </c>
      <c r="I175" s="12" t="s">
        <v>458</v>
      </c>
      <c r="J175" s="17" t="s">
        <v>474</v>
      </c>
      <c r="K175" s="17" t="s">
        <v>474</v>
      </c>
      <c r="L175" s="17" t="s">
        <v>193</v>
      </c>
      <c r="M175" s="17">
        <v>29.0</v>
      </c>
      <c r="N175" s="20">
        <v>45974.0</v>
      </c>
      <c r="O175" s="17" t="s">
        <v>428</v>
      </c>
      <c r="P175" s="16">
        <v>4.0</v>
      </c>
      <c r="Q175" s="16">
        <v>4.0</v>
      </c>
      <c r="R175" s="16">
        <v>5.0</v>
      </c>
      <c r="S175" s="16">
        <v>5.0</v>
      </c>
      <c r="T175" s="16">
        <v>5.0</v>
      </c>
      <c r="U175" s="16">
        <v>4.0</v>
      </c>
      <c r="V175" s="16">
        <v>4.0</v>
      </c>
      <c r="W175" s="16">
        <v>5.0</v>
      </c>
      <c r="X175" s="16">
        <v>5.0</v>
      </c>
      <c r="Y175" s="16">
        <v>5.0</v>
      </c>
      <c r="Z175" s="16">
        <v>5.0</v>
      </c>
      <c r="AA175" s="16">
        <v>4.0</v>
      </c>
      <c r="AB175" s="16">
        <v>5.0</v>
      </c>
      <c r="AC175" s="16">
        <v>5.0</v>
      </c>
      <c r="AD175" s="38">
        <v>14.0</v>
      </c>
      <c r="AE175" s="38">
        <v>16.0</v>
      </c>
      <c r="AF175" s="38">
        <v>18.0</v>
      </c>
      <c r="AG175" s="38" t="s">
        <v>485</v>
      </c>
      <c r="AI175" s="18" t="s">
        <v>92</v>
      </c>
    </row>
    <row r="176">
      <c r="A176" s="11"/>
      <c r="B176" s="12" t="s">
        <v>34</v>
      </c>
      <c r="C176" s="12" t="s">
        <v>65</v>
      </c>
      <c r="D176" s="12" t="s">
        <v>102</v>
      </c>
      <c r="E176" s="12" t="s">
        <v>455</v>
      </c>
      <c r="F176" s="13" t="s">
        <v>456</v>
      </c>
      <c r="G176" s="12" t="s">
        <v>68</v>
      </c>
      <c r="H176" s="12" t="s">
        <v>457</v>
      </c>
      <c r="I176" s="12" t="s">
        <v>458</v>
      </c>
      <c r="J176" s="17" t="s">
        <v>464</v>
      </c>
      <c r="K176" s="17" t="s">
        <v>464</v>
      </c>
      <c r="L176" s="17" t="s">
        <v>193</v>
      </c>
      <c r="M176" s="17">
        <v>36.0</v>
      </c>
      <c r="N176" s="20">
        <v>45974.0</v>
      </c>
      <c r="O176" s="17" t="s">
        <v>428</v>
      </c>
      <c r="P176" s="16">
        <v>4.0</v>
      </c>
      <c r="Q176" s="16">
        <v>4.0</v>
      </c>
      <c r="R176" s="16">
        <v>4.0</v>
      </c>
      <c r="S176" s="16">
        <v>4.0</v>
      </c>
      <c r="T176" s="16">
        <v>5.0</v>
      </c>
      <c r="U176" s="16">
        <v>4.0</v>
      </c>
      <c r="V176" s="16">
        <v>4.0</v>
      </c>
      <c r="W176" s="16">
        <v>4.0</v>
      </c>
      <c r="X176" s="16">
        <v>3.0</v>
      </c>
      <c r="Y176" s="16">
        <v>3.0</v>
      </c>
      <c r="Z176" s="16">
        <v>5.0</v>
      </c>
      <c r="AA176" s="16">
        <v>4.0</v>
      </c>
      <c r="AB176" s="16">
        <v>5.0</v>
      </c>
      <c r="AC176" s="16">
        <v>3.0</v>
      </c>
      <c r="AD176" s="37">
        <v>14.0</v>
      </c>
      <c r="AE176" s="37">
        <v>13.0</v>
      </c>
      <c r="AF176" s="37">
        <v>18.0</v>
      </c>
      <c r="AG176" s="37"/>
      <c r="AI176" s="18" t="s">
        <v>92</v>
      </c>
    </row>
    <row r="177">
      <c r="A177" s="11"/>
      <c r="B177" s="12" t="s">
        <v>34</v>
      </c>
      <c r="C177" s="12" t="s">
        <v>65</v>
      </c>
      <c r="D177" s="12" t="s">
        <v>102</v>
      </c>
      <c r="E177" s="12" t="s">
        <v>455</v>
      </c>
      <c r="F177" s="13" t="s">
        <v>456</v>
      </c>
      <c r="G177" s="12" t="s">
        <v>68</v>
      </c>
      <c r="H177" s="12" t="s">
        <v>457</v>
      </c>
      <c r="I177" s="12" t="s">
        <v>458</v>
      </c>
      <c r="J177" s="17" t="s">
        <v>460</v>
      </c>
      <c r="K177" s="17" t="s">
        <v>460</v>
      </c>
      <c r="L177" s="17" t="s">
        <v>193</v>
      </c>
      <c r="M177" s="40"/>
      <c r="N177" s="20">
        <v>45974.0</v>
      </c>
      <c r="O177" s="17" t="s">
        <v>428</v>
      </c>
      <c r="P177" s="16">
        <v>4.0</v>
      </c>
      <c r="Q177" s="16">
        <v>4.0</v>
      </c>
      <c r="R177" s="16">
        <v>4.0</v>
      </c>
      <c r="S177" s="16">
        <v>4.0</v>
      </c>
      <c r="T177" s="16">
        <v>5.0</v>
      </c>
      <c r="U177" s="16">
        <v>3.0</v>
      </c>
      <c r="V177" s="16">
        <v>3.0</v>
      </c>
      <c r="W177" s="16">
        <v>4.0</v>
      </c>
      <c r="X177" s="16">
        <v>5.0</v>
      </c>
      <c r="Y177" s="16">
        <v>5.0</v>
      </c>
      <c r="Z177" s="16">
        <v>5.0</v>
      </c>
      <c r="AA177" s="16">
        <v>4.0</v>
      </c>
      <c r="AB177" s="16">
        <v>5.0</v>
      </c>
      <c r="AC177" s="16">
        <v>5.0</v>
      </c>
      <c r="AD177" s="38">
        <v>14.0</v>
      </c>
      <c r="AE177" s="38">
        <v>15.0</v>
      </c>
      <c r="AF177" s="38">
        <v>16.0</v>
      </c>
      <c r="AG177" s="38" t="s">
        <v>486</v>
      </c>
      <c r="AI177" s="18" t="s">
        <v>92</v>
      </c>
    </row>
    <row r="178">
      <c r="A178" s="11"/>
      <c r="B178" s="12" t="s">
        <v>34</v>
      </c>
      <c r="C178" s="12" t="s">
        <v>65</v>
      </c>
      <c r="D178" s="12" t="s">
        <v>102</v>
      </c>
      <c r="E178" s="12" t="s">
        <v>455</v>
      </c>
      <c r="F178" s="13" t="s">
        <v>456</v>
      </c>
      <c r="G178" s="12" t="s">
        <v>68</v>
      </c>
      <c r="H178" s="12" t="s">
        <v>457</v>
      </c>
      <c r="I178" s="12" t="s">
        <v>458</v>
      </c>
      <c r="J178" s="17" t="s">
        <v>487</v>
      </c>
      <c r="K178" s="17" t="s">
        <v>487</v>
      </c>
      <c r="L178" s="17" t="s">
        <v>222</v>
      </c>
      <c r="M178" s="17"/>
      <c r="N178" s="20">
        <v>45974.0</v>
      </c>
      <c r="O178" s="17" t="s">
        <v>428</v>
      </c>
      <c r="P178" s="16">
        <v>4.0</v>
      </c>
      <c r="Q178" s="16">
        <v>4.0</v>
      </c>
      <c r="R178" s="16">
        <v>4.0</v>
      </c>
      <c r="S178" s="16">
        <v>4.0</v>
      </c>
      <c r="T178" s="16">
        <v>3.0</v>
      </c>
      <c r="U178" s="16">
        <v>4.0</v>
      </c>
      <c r="V178" s="16">
        <v>4.0</v>
      </c>
      <c r="W178" s="16">
        <v>4.0</v>
      </c>
      <c r="X178" s="16">
        <v>4.0</v>
      </c>
      <c r="Y178" s="16">
        <v>4.0</v>
      </c>
      <c r="Z178" s="16">
        <v>3.0</v>
      </c>
      <c r="AA178" s="16">
        <v>4.0</v>
      </c>
      <c r="AB178" s="16">
        <v>3.0</v>
      </c>
      <c r="AC178" s="16">
        <v>4.0</v>
      </c>
      <c r="AD178" s="38">
        <v>14.0</v>
      </c>
      <c r="AE178" s="38">
        <v>16.0</v>
      </c>
      <c r="AF178" s="38">
        <v>14.0</v>
      </c>
      <c r="AG178" s="38" t="s">
        <v>488</v>
      </c>
      <c r="AI178" s="18" t="s">
        <v>92</v>
      </c>
    </row>
    <row r="179">
      <c r="A179" s="11"/>
      <c r="B179" s="12" t="s">
        <v>34</v>
      </c>
      <c r="C179" s="12" t="s">
        <v>65</v>
      </c>
      <c r="D179" s="12" t="s">
        <v>102</v>
      </c>
      <c r="E179" s="12" t="s">
        <v>455</v>
      </c>
      <c r="F179" s="13" t="s">
        <v>456</v>
      </c>
      <c r="G179" s="12" t="s">
        <v>68</v>
      </c>
      <c r="H179" s="12" t="s">
        <v>457</v>
      </c>
      <c r="I179" s="12" t="s">
        <v>458</v>
      </c>
      <c r="J179" s="17" t="s">
        <v>466</v>
      </c>
      <c r="K179" s="17" t="s">
        <v>466</v>
      </c>
      <c r="L179" s="17" t="s">
        <v>193</v>
      </c>
      <c r="M179" s="40"/>
      <c r="N179" s="20">
        <v>45974.0</v>
      </c>
      <c r="O179" s="17" t="s">
        <v>428</v>
      </c>
      <c r="P179" s="16">
        <v>4.0</v>
      </c>
      <c r="Q179" s="16">
        <v>4.0</v>
      </c>
      <c r="R179" s="16">
        <v>5.0</v>
      </c>
      <c r="S179" s="16">
        <v>5.0</v>
      </c>
      <c r="T179" s="16">
        <v>5.0</v>
      </c>
      <c r="U179" s="16">
        <v>4.0</v>
      </c>
      <c r="V179" s="16">
        <v>4.0</v>
      </c>
      <c r="W179" s="16">
        <v>5.0</v>
      </c>
      <c r="X179" s="16">
        <v>5.0</v>
      </c>
      <c r="Y179" s="16">
        <v>5.0</v>
      </c>
      <c r="Z179" s="16">
        <v>5.0</v>
      </c>
      <c r="AA179" s="16">
        <v>4.0</v>
      </c>
      <c r="AB179" s="16">
        <v>5.0</v>
      </c>
      <c r="AC179" s="16">
        <v>5.0</v>
      </c>
      <c r="AD179" s="38">
        <v>14.0</v>
      </c>
      <c r="AE179" s="38">
        <v>16.0</v>
      </c>
      <c r="AF179" s="38">
        <v>18.0</v>
      </c>
      <c r="AG179" s="38" t="s">
        <v>489</v>
      </c>
      <c r="AI179" s="18" t="s">
        <v>92</v>
      </c>
    </row>
    <row r="180">
      <c r="A180" s="11"/>
      <c r="B180" s="12" t="s">
        <v>34</v>
      </c>
      <c r="C180" s="12" t="s">
        <v>65</v>
      </c>
      <c r="D180" s="12" t="s">
        <v>102</v>
      </c>
      <c r="E180" s="12" t="s">
        <v>455</v>
      </c>
      <c r="F180" s="13" t="s">
        <v>456</v>
      </c>
      <c r="G180" s="12" t="s">
        <v>68</v>
      </c>
      <c r="H180" s="12" t="s">
        <v>457</v>
      </c>
      <c r="I180" s="12" t="s">
        <v>458</v>
      </c>
      <c r="J180" s="17" t="s">
        <v>468</v>
      </c>
      <c r="K180" s="17" t="s">
        <v>468</v>
      </c>
      <c r="L180" s="17" t="s">
        <v>193</v>
      </c>
      <c r="M180" s="17">
        <v>36.0</v>
      </c>
      <c r="N180" s="20">
        <v>45974.0</v>
      </c>
      <c r="O180" s="17" t="s">
        <v>428</v>
      </c>
      <c r="P180" s="16">
        <v>3.0</v>
      </c>
      <c r="Q180" s="16">
        <v>3.0</v>
      </c>
      <c r="R180" s="16">
        <v>4.0</v>
      </c>
      <c r="S180" s="16">
        <v>4.0</v>
      </c>
      <c r="T180" s="16">
        <v>4.0</v>
      </c>
      <c r="U180" s="16">
        <v>5.0</v>
      </c>
      <c r="V180" s="16">
        <v>5.0</v>
      </c>
      <c r="W180" s="16">
        <v>4.0</v>
      </c>
      <c r="X180" s="16">
        <v>5.0</v>
      </c>
      <c r="Y180" s="16">
        <v>5.0</v>
      </c>
      <c r="Z180" s="16">
        <v>4.0</v>
      </c>
      <c r="AA180" s="16">
        <v>3.0</v>
      </c>
      <c r="AB180" s="16">
        <v>4.0</v>
      </c>
      <c r="AC180" s="16">
        <v>5.0</v>
      </c>
      <c r="AD180" s="37">
        <v>15.0</v>
      </c>
      <c r="AE180" s="37">
        <v>16.0</v>
      </c>
      <c r="AF180" s="37">
        <v>18.0</v>
      </c>
      <c r="AG180" s="37"/>
      <c r="AI180" s="18" t="s">
        <v>92</v>
      </c>
    </row>
    <row r="181">
      <c r="A181" s="11"/>
      <c r="B181" s="12" t="s">
        <v>34</v>
      </c>
      <c r="C181" s="12" t="s">
        <v>65</v>
      </c>
      <c r="D181" s="12" t="s">
        <v>102</v>
      </c>
      <c r="E181" s="12" t="s">
        <v>455</v>
      </c>
      <c r="F181" s="13" t="s">
        <v>456</v>
      </c>
      <c r="G181" s="12" t="s">
        <v>68</v>
      </c>
      <c r="H181" s="12" t="s">
        <v>457</v>
      </c>
      <c r="I181" s="12" t="s">
        <v>458</v>
      </c>
      <c r="J181" s="17" t="s">
        <v>478</v>
      </c>
      <c r="K181" s="17" t="s">
        <v>478</v>
      </c>
      <c r="L181" s="17" t="s">
        <v>193</v>
      </c>
      <c r="M181" s="17">
        <v>30.0</v>
      </c>
      <c r="N181" s="20">
        <v>45974.0</v>
      </c>
      <c r="O181" s="17" t="s">
        <v>428</v>
      </c>
      <c r="P181" s="16">
        <v>4.0</v>
      </c>
      <c r="Q181" s="16">
        <v>4.0</v>
      </c>
      <c r="R181" s="16">
        <v>4.0</v>
      </c>
      <c r="S181" s="16">
        <v>4.0</v>
      </c>
      <c r="T181" s="16">
        <v>4.0</v>
      </c>
      <c r="U181" s="16">
        <v>5.0</v>
      </c>
      <c r="V181" s="16">
        <v>5.0</v>
      </c>
      <c r="W181" s="16">
        <v>4.0</v>
      </c>
      <c r="X181" s="16">
        <v>5.0</v>
      </c>
      <c r="Y181" s="16">
        <v>5.0</v>
      </c>
      <c r="Z181" s="16">
        <v>4.0</v>
      </c>
      <c r="AA181" s="16">
        <v>4.0</v>
      </c>
      <c r="AB181" s="16">
        <v>4.0</v>
      </c>
      <c r="AC181" s="16">
        <v>5.0</v>
      </c>
      <c r="AD181" s="37">
        <v>14.0</v>
      </c>
      <c r="AE181" s="37">
        <v>16.0</v>
      </c>
      <c r="AF181" s="37">
        <v>18.0</v>
      </c>
      <c r="AG181" s="37"/>
      <c r="AI181" s="18" t="s">
        <v>92</v>
      </c>
    </row>
    <row r="182">
      <c r="A182" s="11"/>
      <c r="B182" s="12" t="s">
        <v>34</v>
      </c>
      <c r="C182" s="12" t="s">
        <v>65</v>
      </c>
      <c r="D182" s="12" t="s">
        <v>102</v>
      </c>
      <c r="E182" s="12" t="s">
        <v>455</v>
      </c>
      <c r="F182" s="13" t="s">
        <v>456</v>
      </c>
      <c r="G182" s="12" t="s">
        <v>68</v>
      </c>
      <c r="H182" s="12" t="s">
        <v>457</v>
      </c>
      <c r="I182" s="12" t="s">
        <v>458</v>
      </c>
      <c r="J182" s="17" t="s">
        <v>465</v>
      </c>
      <c r="K182" s="17" t="s">
        <v>465</v>
      </c>
      <c r="L182" s="17" t="s">
        <v>193</v>
      </c>
      <c r="M182" s="17">
        <v>27.0</v>
      </c>
      <c r="N182" s="20">
        <v>45974.0</v>
      </c>
      <c r="O182" s="17" t="s">
        <v>428</v>
      </c>
      <c r="P182" s="16">
        <v>4.0</v>
      </c>
      <c r="Q182" s="16">
        <v>4.0</v>
      </c>
      <c r="R182" s="16">
        <v>4.0</v>
      </c>
      <c r="S182" s="16">
        <v>4.0</v>
      </c>
      <c r="T182" s="16">
        <v>5.0</v>
      </c>
      <c r="U182" s="16">
        <v>3.0</v>
      </c>
      <c r="V182" s="16">
        <v>3.0</v>
      </c>
      <c r="W182" s="16">
        <v>4.0</v>
      </c>
      <c r="X182" s="16">
        <v>4.0</v>
      </c>
      <c r="Y182" s="16">
        <v>4.0</v>
      </c>
      <c r="Z182" s="16">
        <v>5.0</v>
      </c>
      <c r="AA182" s="16">
        <v>4.0</v>
      </c>
      <c r="AB182" s="16">
        <v>5.0</v>
      </c>
      <c r="AC182" s="16">
        <v>4.0</v>
      </c>
      <c r="AD182" s="38">
        <v>14.0</v>
      </c>
      <c r="AE182" s="38">
        <v>14.0</v>
      </c>
      <c r="AF182" s="38">
        <v>16.0</v>
      </c>
      <c r="AG182" s="38" t="s">
        <v>490</v>
      </c>
      <c r="AI182" s="18" t="s">
        <v>92</v>
      </c>
    </row>
    <row r="183">
      <c r="A183" s="11"/>
      <c r="B183" s="12" t="s">
        <v>34</v>
      </c>
      <c r="C183" s="12" t="s">
        <v>65</v>
      </c>
      <c r="D183" s="12" t="s">
        <v>102</v>
      </c>
      <c r="E183" s="12" t="s">
        <v>455</v>
      </c>
      <c r="F183" s="13" t="s">
        <v>456</v>
      </c>
      <c r="G183" s="12" t="s">
        <v>68</v>
      </c>
      <c r="H183" s="12" t="s">
        <v>457</v>
      </c>
      <c r="I183" s="12" t="s">
        <v>458</v>
      </c>
      <c r="J183" s="17" t="s">
        <v>491</v>
      </c>
      <c r="K183" s="17" t="s">
        <v>491</v>
      </c>
      <c r="L183" s="17" t="s">
        <v>193</v>
      </c>
      <c r="M183" s="17"/>
      <c r="N183" s="20">
        <v>45974.0</v>
      </c>
      <c r="O183" s="17" t="s">
        <v>428</v>
      </c>
      <c r="P183" s="16">
        <v>4.0</v>
      </c>
      <c r="Q183" s="16">
        <v>4.0</v>
      </c>
      <c r="R183" s="16">
        <v>4.0</v>
      </c>
      <c r="S183" s="16">
        <v>4.0</v>
      </c>
      <c r="T183" s="16">
        <v>4.0</v>
      </c>
      <c r="U183" s="16">
        <v>4.0</v>
      </c>
      <c r="V183" s="16">
        <v>4.0</v>
      </c>
      <c r="W183" s="16">
        <v>4.0</v>
      </c>
      <c r="X183" s="16">
        <v>5.0</v>
      </c>
      <c r="Y183" s="16">
        <v>5.0</v>
      </c>
      <c r="Z183" s="16">
        <v>4.0</v>
      </c>
      <c r="AA183" s="16">
        <v>4.0</v>
      </c>
      <c r="AB183" s="16">
        <v>4.0</v>
      </c>
      <c r="AC183" s="16">
        <v>5.0</v>
      </c>
      <c r="AD183" s="37">
        <v>14.0</v>
      </c>
      <c r="AE183" s="37">
        <v>16.0</v>
      </c>
      <c r="AF183" s="37">
        <v>16.0</v>
      </c>
      <c r="AG183" s="37"/>
      <c r="AI183" s="18" t="s">
        <v>92</v>
      </c>
    </row>
    <row r="184">
      <c r="A184" s="11"/>
      <c r="B184" s="12" t="s">
        <v>34</v>
      </c>
      <c r="C184" s="12" t="s">
        <v>65</v>
      </c>
      <c r="D184" s="12" t="s">
        <v>102</v>
      </c>
      <c r="E184" s="12" t="s">
        <v>455</v>
      </c>
      <c r="F184" s="13" t="s">
        <v>456</v>
      </c>
      <c r="G184" s="12" t="s">
        <v>68</v>
      </c>
      <c r="H184" s="12" t="s">
        <v>457</v>
      </c>
      <c r="I184" s="12" t="s">
        <v>458</v>
      </c>
      <c r="J184" s="17" t="s">
        <v>492</v>
      </c>
      <c r="K184" s="17" t="s">
        <v>492</v>
      </c>
      <c r="L184" s="17" t="s">
        <v>193</v>
      </c>
      <c r="M184" s="17"/>
      <c r="N184" s="20">
        <v>45974.0</v>
      </c>
      <c r="O184" s="17" t="s">
        <v>428</v>
      </c>
      <c r="P184" s="16">
        <v>4.0</v>
      </c>
      <c r="Q184" s="16">
        <v>4.0</v>
      </c>
      <c r="R184" s="16">
        <v>3.0</v>
      </c>
      <c r="S184" s="16">
        <v>3.0</v>
      </c>
      <c r="T184" s="16">
        <v>3.0</v>
      </c>
      <c r="U184" s="16">
        <v>4.0</v>
      </c>
      <c r="V184" s="16">
        <v>4.0</v>
      </c>
      <c r="W184" s="16">
        <v>3.0</v>
      </c>
      <c r="X184" s="16">
        <v>4.0</v>
      </c>
      <c r="Y184" s="16">
        <v>4.0</v>
      </c>
      <c r="Z184" s="16">
        <v>3.0</v>
      </c>
      <c r="AA184" s="16">
        <v>4.0</v>
      </c>
      <c r="AB184" s="16">
        <v>3.0</v>
      </c>
      <c r="AC184" s="16">
        <v>4.0</v>
      </c>
      <c r="AD184" s="38">
        <v>14.0</v>
      </c>
      <c r="AE184" s="38">
        <v>15.0</v>
      </c>
      <c r="AF184" s="38">
        <v>14.0</v>
      </c>
      <c r="AG184" s="38" t="s">
        <v>493</v>
      </c>
      <c r="AI184" s="18" t="s">
        <v>92</v>
      </c>
    </row>
    <row r="185">
      <c r="A185" s="11"/>
      <c r="B185" s="12" t="s">
        <v>34</v>
      </c>
      <c r="C185" s="12" t="s">
        <v>65</v>
      </c>
      <c r="D185" s="12" t="s">
        <v>102</v>
      </c>
      <c r="E185" s="12" t="s">
        <v>455</v>
      </c>
      <c r="F185" s="13" t="s">
        <v>456</v>
      </c>
      <c r="G185" s="12" t="s">
        <v>68</v>
      </c>
      <c r="H185" s="12" t="s">
        <v>457</v>
      </c>
      <c r="I185" s="12" t="s">
        <v>458</v>
      </c>
      <c r="J185" s="17" t="s">
        <v>494</v>
      </c>
      <c r="K185" s="17" t="s">
        <v>494</v>
      </c>
      <c r="L185" s="17" t="s">
        <v>193</v>
      </c>
      <c r="M185" s="17"/>
      <c r="N185" s="20">
        <v>45974.0</v>
      </c>
      <c r="O185" s="17" t="s">
        <v>428</v>
      </c>
      <c r="P185" s="16">
        <v>3.0</v>
      </c>
      <c r="Q185" s="16">
        <v>3.0</v>
      </c>
      <c r="R185" s="16">
        <v>3.0</v>
      </c>
      <c r="S185" s="16">
        <v>3.0</v>
      </c>
      <c r="T185" s="16">
        <v>4.0</v>
      </c>
      <c r="U185" s="16">
        <v>4.0</v>
      </c>
      <c r="V185" s="16">
        <v>4.0</v>
      </c>
      <c r="W185" s="16">
        <v>3.0</v>
      </c>
      <c r="X185" s="16">
        <v>4.0</v>
      </c>
      <c r="Y185" s="16">
        <v>4.0</v>
      </c>
      <c r="Z185" s="16">
        <v>4.0</v>
      </c>
      <c r="AA185" s="16">
        <v>3.0</v>
      </c>
      <c r="AB185" s="16">
        <v>4.0</v>
      </c>
      <c r="AC185" s="16">
        <v>4.0</v>
      </c>
      <c r="AD185" s="38">
        <v>15.0</v>
      </c>
      <c r="AE185" s="38">
        <v>14.0</v>
      </c>
      <c r="AF185" s="38">
        <v>16.0</v>
      </c>
      <c r="AG185" s="38" t="s">
        <v>495</v>
      </c>
      <c r="AI185" s="18" t="s">
        <v>92</v>
      </c>
    </row>
    <row r="186">
      <c r="A186" s="11"/>
      <c r="B186" s="12" t="s">
        <v>34</v>
      </c>
      <c r="C186" s="12" t="s">
        <v>65</v>
      </c>
      <c r="D186" s="12" t="s">
        <v>102</v>
      </c>
      <c r="E186" s="12" t="s">
        <v>455</v>
      </c>
      <c r="F186" s="13" t="s">
        <v>456</v>
      </c>
      <c r="G186" s="12" t="s">
        <v>68</v>
      </c>
      <c r="H186" s="12" t="s">
        <v>457</v>
      </c>
      <c r="I186" s="12" t="s">
        <v>458</v>
      </c>
      <c r="J186" s="17" t="s">
        <v>469</v>
      </c>
      <c r="K186" s="17" t="s">
        <v>469</v>
      </c>
      <c r="L186" s="17" t="s">
        <v>193</v>
      </c>
      <c r="M186" s="17">
        <v>40.0</v>
      </c>
      <c r="N186" s="20">
        <v>45974.0</v>
      </c>
      <c r="O186" s="17" t="s">
        <v>428</v>
      </c>
      <c r="P186" s="16">
        <v>3.0</v>
      </c>
      <c r="Q186" s="16">
        <v>3.0</v>
      </c>
      <c r="R186" s="16">
        <v>3.0</v>
      </c>
      <c r="S186" s="16">
        <v>3.0</v>
      </c>
      <c r="T186" s="16">
        <v>3.0</v>
      </c>
      <c r="U186" s="16">
        <v>4.0</v>
      </c>
      <c r="V186" s="16">
        <v>4.0</v>
      </c>
      <c r="W186" s="16">
        <v>3.0</v>
      </c>
      <c r="X186" s="16">
        <v>4.0</v>
      </c>
      <c r="Y186" s="16">
        <v>4.0</v>
      </c>
      <c r="Z186" s="16">
        <v>3.0</v>
      </c>
      <c r="AA186" s="16">
        <v>3.0</v>
      </c>
      <c r="AB186" s="16">
        <v>3.0</v>
      </c>
      <c r="AC186" s="16">
        <v>4.0</v>
      </c>
      <c r="AD186" s="38">
        <v>15.0</v>
      </c>
      <c r="AE186" s="38">
        <v>15.0</v>
      </c>
      <c r="AF186" s="38">
        <v>14.0</v>
      </c>
      <c r="AG186" s="38" t="s">
        <v>496</v>
      </c>
      <c r="AI186" s="18" t="s">
        <v>92</v>
      </c>
    </row>
    <row r="187">
      <c r="A187" s="11"/>
      <c r="B187" s="12" t="s">
        <v>34</v>
      </c>
      <c r="C187" s="12" t="s">
        <v>65</v>
      </c>
      <c r="D187" s="12" t="s">
        <v>102</v>
      </c>
      <c r="E187" s="12" t="s">
        <v>455</v>
      </c>
      <c r="F187" s="13" t="s">
        <v>456</v>
      </c>
      <c r="G187" s="12" t="s">
        <v>68</v>
      </c>
      <c r="H187" s="12" t="s">
        <v>457</v>
      </c>
      <c r="I187" s="12" t="s">
        <v>458</v>
      </c>
      <c r="J187" s="17" t="s">
        <v>477</v>
      </c>
      <c r="K187" s="17" t="s">
        <v>477</v>
      </c>
      <c r="L187" s="17" t="s">
        <v>193</v>
      </c>
      <c r="M187" s="17">
        <v>45.0</v>
      </c>
      <c r="N187" s="20">
        <v>45974.0</v>
      </c>
      <c r="O187" s="17" t="s">
        <v>428</v>
      </c>
      <c r="P187" s="16">
        <v>4.0</v>
      </c>
      <c r="Q187" s="16">
        <v>4.0</v>
      </c>
      <c r="R187" s="16">
        <v>5.0</v>
      </c>
      <c r="S187" s="16">
        <v>5.0</v>
      </c>
      <c r="T187" s="16">
        <v>4.0</v>
      </c>
      <c r="U187" s="16">
        <v>4.0</v>
      </c>
      <c r="V187" s="16">
        <v>4.0</v>
      </c>
      <c r="W187" s="16">
        <v>5.0</v>
      </c>
      <c r="X187" s="16">
        <v>4.0</v>
      </c>
      <c r="Y187" s="16">
        <v>4.0</v>
      </c>
      <c r="Z187" s="16">
        <v>4.0</v>
      </c>
      <c r="AA187" s="16">
        <v>4.0</v>
      </c>
      <c r="AB187" s="16">
        <v>4.0</v>
      </c>
      <c r="AC187" s="16">
        <v>4.0</v>
      </c>
      <c r="AD187" s="37">
        <v>14.0</v>
      </c>
      <c r="AE187" s="37">
        <v>16.0</v>
      </c>
      <c r="AF187" s="37">
        <v>16.0</v>
      </c>
      <c r="AG187" s="37"/>
      <c r="AI187" s="18" t="s">
        <v>92</v>
      </c>
    </row>
    <row r="188">
      <c r="A188" s="11"/>
      <c r="B188" s="12" t="s">
        <v>34</v>
      </c>
      <c r="C188" s="12" t="s">
        <v>65</v>
      </c>
      <c r="D188" s="12" t="s">
        <v>102</v>
      </c>
      <c r="E188" s="12" t="s">
        <v>455</v>
      </c>
      <c r="F188" s="13" t="s">
        <v>456</v>
      </c>
      <c r="G188" s="12" t="s">
        <v>68</v>
      </c>
      <c r="H188" s="12" t="s">
        <v>457</v>
      </c>
      <c r="I188" s="12" t="s">
        <v>458</v>
      </c>
      <c r="J188" s="17" t="s">
        <v>463</v>
      </c>
      <c r="K188" s="17" t="s">
        <v>463</v>
      </c>
      <c r="L188" s="17" t="s">
        <v>193</v>
      </c>
      <c r="M188" s="17">
        <v>40.0</v>
      </c>
      <c r="N188" s="20">
        <v>45974.0</v>
      </c>
      <c r="O188" s="17" t="s">
        <v>428</v>
      </c>
      <c r="P188" s="16">
        <v>4.0</v>
      </c>
      <c r="Q188" s="16">
        <v>4.0</v>
      </c>
      <c r="R188" s="16">
        <v>5.0</v>
      </c>
      <c r="S188" s="16">
        <v>5.0</v>
      </c>
      <c r="T188" s="16">
        <v>4.0</v>
      </c>
      <c r="U188" s="16">
        <v>4.0</v>
      </c>
      <c r="V188" s="16">
        <v>4.0</v>
      </c>
      <c r="W188" s="16">
        <v>5.0</v>
      </c>
      <c r="X188" s="16">
        <v>4.0</v>
      </c>
      <c r="Y188" s="16">
        <v>4.0</v>
      </c>
      <c r="Z188" s="16">
        <v>4.0</v>
      </c>
      <c r="AA188" s="16">
        <v>4.0</v>
      </c>
      <c r="AB188" s="16">
        <v>4.0</v>
      </c>
      <c r="AC188" s="16">
        <v>4.0</v>
      </c>
      <c r="AD188" s="37">
        <v>14.0</v>
      </c>
      <c r="AE188" s="37">
        <v>16.0</v>
      </c>
      <c r="AF188" s="37">
        <v>16.0</v>
      </c>
      <c r="AG188" s="37"/>
      <c r="AI188" s="18" t="s">
        <v>92</v>
      </c>
    </row>
    <row r="189">
      <c r="A189" s="11"/>
      <c r="B189" s="12" t="s">
        <v>34</v>
      </c>
      <c r="C189" s="12" t="s">
        <v>65</v>
      </c>
      <c r="D189" s="12" t="s">
        <v>102</v>
      </c>
      <c r="E189" s="12" t="s">
        <v>455</v>
      </c>
      <c r="F189" s="13" t="s">
        <v>456</v>
      </c>
      <c r="G189" s="12" t="s">
        <v>68</v>
      </c>
      <c r="H189" s="12" t="s">
        <v>457</v>
      </c>
      <c r="I189" s="12" t="s">
        <v>458</v>
      </c>
      <c r="J189" s="17" t="s">
        <v>497</v>
      </c>
      <c r="K189" s="17" t="s">
        <v>497</v>
      </c>
      <c r="L189" s="17" t="s">
        <v>193</v>
      </c>
      <c r="M189" s="17"/>
      <c r="N189" s="20">
        <v>45974.0</v>
      </c>
      <c r="O189" s="17" t="s">
        <v>428</v>
      </c>
      <c r="P189" s="16">
        <v>5.0</v>
      </c>
      <c r="Q189" s="16">
        <v>5.0</v>
      </c>
      <c r="R189" s="16">
        <v>1.0</v>
      </c>
      <c r="S189" s="16">
        <v>1.0</v>
      </c>
      <c r="T189" s="16">
        <v>4.0</v>
      </c>
      <c r="U189" s="16">
        <v>5.0</v>
      </c>
      <c r="V189" s="16">
        <v>5.0</v>
      </c>
      <c r="W189" s="16">
        <v>1.0</v>
      </c>
      <c r="X189" s="16">
        <v>4.0</v>
      </c>
      <c r="Y189" s="16">
        <v>4.0</v>
      </c>
      <c r="Z189" s="16">
        <v>4.0</v>
      </c>
      <c r="AA189" s="16">
        <v>5.0</v>
      </c>
      <c r="AB189" s="16">
        <v>4.0</v>
      </c>
      <c r="AC189" s="16">
        <v>4.0</v>
      </c>
      <c r="AD189" s="37">
        <v>13.0</v>
      </c>
      <c r="AE189" s="37">
        <v>12.0</v>
      </c>
      <c r="AF189" s="37">
        <v>18.0</v>
      </c>
      <c r="AG189" s="37"/>
      <c r="AI189" s="18" t="s">
        <v>92</v>
      </c>
    </row>
    <row r="190">
      <c r="A190" s="11"/>
      <c r="B190" s="12" t="s">
        <v>34</v>
      </c>
      <c r="C190" s="12" t="s">
        <v>65</v>
      </c>
      <c r="D190" s="12" t="s">
        <v>102</v>
      </c>
      <c r="E190" s="12" t="s">
        <v>455</v>
      </c>
      <c r="F190" s="13" t="s">
        <v>456</v>
      </c>
      <c r="G190" s="12" t="s">
        <v>68</v>
      </c>
      <c r="H190" s="12" t="s">
        <v>457</v>
      </c>
      <c r="I190" s="12" t="s">
        <v>458</v>
      </c>
      <c r="J190" s="17" t="s">
        <v>462</v>
      </c>
      <c r="K190" s="17" t="s">
        <v>462</v>
      </c>
      <c r="L190" s="17" t="s">
        <v>193</v>
      </c>
      <c r="M190" s="17">
        <v>39.0</v>
      </c>
      <c r="N190" s="20">
        <v>45974.0</v>
      </c>
      <c r="O190" s="17" t="s">
        <v>428</v>
      </c>
      <c r="P190" s="16">
        <v>4.0</v>
      </c>
      <c r="Q190" s="16">
        <v>4.0</v>
      </c>
      <c r="R190" s="16">
        <v>4.0</v>
      </c>
      <c r="S190" s="16">
        <v>4.0</v>
      </c>
      <c r="T190" s="16">
        <v>4.0</v>
      </c>
      <c r="U190" s="16">
        <v>4.0</v>
      </c>
      <c r="V190" s="16">
        <v>4.0</v>
      </c>
      <c r="W190" s="16">
        <v>4.0</v>
      </c>
      <c r="X190" s="16">
        <v>5.0</v>
      </c>
      <c r="Y190" s="16">
        <v>5.0</v>
      </c>
      <c r="Z190" s="16">
        <v>4.0</v>
      </c>
      <c r="AA190" s="16">
        <v>4.0</v>
      </c>
      <c r="AB190" s="16">
        <v>4.0</v>
      </c>
      <c r="AC190" s="16">
        <v>5.0</v>
      </c>
      <c r="AD190" s="37">
        <v>14.0</v>
      </c>
      <c r="AE190" s="37">
        <v>16.0</v>
      </c>
      <c r="AF190" s="37">
        <v>16.0</v>
      </c>
      <c r="AG190" s="37"/>
      <c r="AI190" s="18" t="s">
        <v>92</v>
      </c>
    </row>
    <row r="191">
      <c r="A191" s="11"/>
      <c r="B191" s="12" t="s">
        <v>34</v>
      </c>
      <c r="C191" s="12" t="s">
        <v>65</v>
      </c>
      <c r="D191" s="12" t="s">
        <v>102</v>
      </c>
      <c r="E191" s="12" t="s">
        <v>455</v>
      </c>
      <c r="F191" s="13" t="s">
        <v>456</v>
      </c>
      <c r="G191" s="12" t="s">
        <v>68</v>
      </c>
      <c r="H191" s="12" t="s">
        <v>457</v>
      </c>
      <c r="I191" s="12" t="s">
        <v>458</v>
      </c>
      <c r="J191" s="17" t="s">
        <v>498</v>
      </c>
      <c r="K191" s="17" t="s">
        <v>498</v>
      </c>
      <c r="L191" s="17" t="s">
        <v>193</v>
      </c>
      <c r="M191" s="17"/>
      <c r="N191" s="20">
        <v>45974.0</v>
      </c>
      <c r="O191" s="17" t="s">
        <v>428</v>
      </c>
      <c r="P191" s="16">
        <v>4.0</v>
      </c>
      <c r="Q191" s="16">
        <v>4.0</v>
      </c>
      <c r="R191" s="16">
        <v>5.0</v>
      </c>
      <c r="S191" s="16">
        <v>5.0</v>
      </c>
      <c r="T191" s="16">
        <v>3.0</v>
      </c>
      <c r="U191" s="16">
        <v>4.0</v>
      </c>
      <c r="V191" s="16">
        <v>4.0</v>
      </c>
      <c r="W191" s="16">
        <v>5.0</v>
      </c>
      <c r="X191" s="16">
        <v>5.0</v>
      </c>
      <c r="Y191" s="16">
        <v>5.0</v>
      </c>
      <c r="Z191" s="16">
        <v>3.0</v>
      </c>
      <c r="AA191" s="16">
        <v>4.0</v>
      </c>
      <c r="AB191" s="16">
        <v>3.0</v>
      </c>
      <c r="AC191" s="16">
        <v>5.0</v>
      </c>
      <c r="AD191" s="37">
        <v>14.0</v>
      </c>
      <c r="AE191" s="37">
        <v>18.0</v>
      </c>
      <c r="AF191" s="37">
        <v>14.0</v>
      </c>
      <c r="AG191" s="37"/>
      <c r="AI191" s="18" t="s">
        <v>92</v>
      </c>
    </row>
    <row r="192">
      <c r="A192" s="11"/>
      <c r="B192" s="12" t="s">
        <v>34</v>
      </c>
      <c r="C192" s="12" t="s">
        <v>65</v>
      </c>
      <c r="D192" s="12" t="s">
        <v>102</v>
      </c>
      <c r="E192" s="12" t="s">
        <v>455</v>
      </c>
      <c r="F192" s="13" t="s">
        <v>456</v>
      </c>
      <c r="G192" s="12" t="s">
        <v>68</v>
      </c>
      <c r="H192" s="12" t="s">
        <v>457</v>
      </c>
      <c r="I192" s="12" t="s">
        <v>458</v>
      </c>
      <c r="J192" s="17" t="s">
        <v>499</v>
      </c>
      <c r="K192" s="17" t="s">
        <v>499</v>
      </c>
      <c r="L192" s="17" t="s">
        <v>193</v>
      </c>
      <c r="M192" s="17"/>
      <c r="N192" s="20">
        <v>45974.0</v>
      </c>
      <c r="O192" s="17" t="s">
        <v>428</v>
      </c>
      <c r="P192" s="16">
        <v>4.0</v>
      </c>
      <c r="Q192" s="16">
        <v>4.0</v>
      </c>
      <c r="R192" s="16">
        <v>3.0</v>
      </c>
      <c r="S192" s="16">
        <v>3.0</v>
      </c>
      <c r="T192" s="16">
        <v>5.0</v>
      </c>
      <c r="U192" s="16">
        <v>1.0</v>
      </c>
      <c r="V192" s="16">
        <v>1.0</v>
      </c>
      <c r="W192" s="16">
        <v>3.0</v>
      </c>
      <c r="X192" s="16">
        <v>5.0</v>
      </c>
      <c r="Y192" s="16">
        <v>5.0</v>
      </c>
      <c r="Z192" s="16">
        <v>5.0</v>
      </c>
      <c r="AA192" s="16">
        <v>4.0</v>
      </c>
      <c r="AB192" s="16">
        <v>5.0</v>
      </c>
      <c r="AC192" s="16">
        <v>5.0</v>
      </c>
      <c r="AD192" s="37">
        <v>14.0</v>
      </c>
      <c r="AE192" s="37">
        <v>14.0</v>
      </c>
      <c r="AF192" s="37">
        <v>12.0</v>
      </c>
      <c r="AG192" s="37"/>
      <c r="AI192" s="18" t="s">
        <v>92</v>
      </c>
    </row>
    <row r="193">
      <c r="A193" s="11"/>
      <c r="B193" s="12" t="s">
        <v>34</v>
      </c>
      <c r="C193" s="12" t="s">
        <v>65</v>
      </c>
      <c r="D193" s="12" t="s">
        <v>102</v>
      </c>
      <c r="E193" s="12" t="s">
        <v>455</v>
      </c>
      <c r="F193" s="13" t="s">
        <v>456</v>
      </c>
      <c r="G193" s="12" t="s">
        <v>68</v>
      </c>
      <c r="H193" s="12" t="s">
        <v>457</v>
      </c>
      <c r="I193" s="12" t="s">
        <v>458</v>
      </c>
      <c r="J193" s="17" t="s">
        <v>475</v>
      </c>
      <c r="K193" s="17" t="s">
        <v>475</v>
      </c>
      <c r="L193" s="17" t="s">
        <v>193</v>
      </c>
      <c r="M193" s="17">
        <v>37.0</v>
      </c>
      <c r="N193" s="20">
        <v>45974.0</v>
      </c>
      <c r="O193" s="17" t="s">
        <v>428</v>
      </c>
      <c r="P193" s="16">
        <v>4.0</v>
      </c>
      <c r="Q193" s="16">
        <v>4.0</v>
      </c>
      <c r="R193" s="16">
        <v>4.0</v>
      </c>
      <c r="S193" s="16">
        <v>4.0</v>
      </c>
      <c r="T193" s="16">
        <v>4.0</v>
      </c>
      <c r="U193" s="16">
        <v>5.0</v>
      </c>
      <c r="V193" s="16">
        <v>5.0</v>
      </c>
      <c r="W193" s="16">
        <v>4.0</v>
      </c>
      <c r="X193" s="16">
        <v>5.0</v>
      </c>
      <c r="Y193" s="16">
        <v>5.0</v>
      </c>
      <c r="Z193" s="16">
        <v>4.0</v>
      </c>
      <c r="AA193" s="16">
        <v>4.0</v>
      </c>
      <c r="AB193" s="16">
        <v>4.0</v>
      </c>
      <c r="AC193" s="16">
        <v>5.0</v>
      </c>
      <c r="AD193" s="37">
        <v>14.0</v>
      </c>
      <c r="AE193" s="37">
        <v>16.0</v>
      </c>
      <c r="AF193" s="37">
        <v>18.0</v>
      </c>
      <c r="AG193" s="37"/>
      <c r="AI193" s="18" t="s">
        <v>92</v>
      </c>
    </row>
    <row r="194">
      <c r="A194" s="11"/>
      <c r="B194" s="12" t="s">
        <v>34</v>
      </c>
      <c r="C194" s="12" t="s">
        <v>65</v>
      </c>
      <c r="D194" s="12" t="s">
        <v>102</v>
      </c>
      <c r="E194" s="12" t="s">
        <v>152</v>
      </c>
      <c r="F194" s="13" t="s">
        <v>153</v>
      </c>
      <c r="G194" s="12" t="s">
        <v>68</v>
      </c>
      <c r="H194" s="12" t="s">
        <v>154</v>
      </c>
      <c r="I194" s="12" t="s">
        <v>155</v>
      </c>
      <c r="J194" s="17" t="s">
        <v>500</v>
      </c>
      <c r="K194" s="17" t="s">
        <v>500</v>
      </c>
      <c r="L194" s="17" t="s">
        <v>222</v>
      </c>
      <c r="M194" s="17">
        <v>26.0</v>
      </c>
      <c r="N194" s="20">
        <v>45853.0</v>
      </c>
      <c r="O194" s="17" t="s">
        <v>194</v>
      </c>
      <c r="P194" s="16">
        <v>4.0</v>
      </c>
      <c r="Q194" s="16">
        <v>4.0</v>
      </c>
      <c r="R194" s="16">
        <v>5.0</v>
      </c>
      <c r="S194" s="16">
        <v>5.0</v>
      </c>
      <c r="T194" s="16">
        <v>5.0</v>
      </c>
      <c r="U194" s="16">
        <v>4.0</v>
      </c>
      <c r="V194" s="16">
        <v>4.0</v>
      </c>
      <c r="W194" s="16">
        <v>5.0</v>
      </c>
      <c r="X194" s="16">
        <v>4.0</v>
      </c>
      <c r="Y194" s="16">
        <v>4.0</v>
      </c>
      <c r="Z194" s="16">
        <v>5.0</v>
      </c>
      <c r="AA194" s="16">
        <v>4.0</v>
      </c>
      <c r="AB194" s="16">
        <v>5.0</v>
      </c>
      <c r="AC194" s="16">
        <v>4.0</v>
      </c>
      <c r="AD194" s="37">
        <v>14.0</v>
      </c>
      <c r="AE194" s="37">
        <v>15.0</v>
      </c>
      <c r="AF194" s="37">
        <v>18.0</v>
      </c>
      <c r="AG194" s="37"/>
      <c r="AI194" s="18" t="s">
        <v>92</v>
      </c>
    </row>
    <row r="195">
      <c r="A195" s="11"/>
      <c r="B195" s="12" t="s">
        <v>34</v>
      </c>
      <c r="C195" s="12" t="s">
        <v>65</v>
      </c>
      <c r="D195" s="12" t="s">
        <v>102</v>
      </c>
      <c r="E195" s="12" t="s">
        <v>152</v>
      </c>
      <c r="F195" s="13" t="s">
        <v>153</v>
      </c>
      <c r="G195" s="12" t="s">
        <v>68</v>
      </c>
      <c r="H195" s="12" t="s">
        <v>154</v>
      </c>
      <c r="I195" s="12" t="s">
        <v>155</v>
      </c>
      <c r="J195" s="17" t="s">
        <v>501</v>
      </c>
      <c r="K195" s="17" t="s">
        <v>501</v>
      </c>
      <c r="L195" s="17" t="s">
        <v>193</v>
      </c>
      <c r="M195" s="17">
        <v>44.0</v>
      </c>
      <c r="N195" s="20">
        <v>45853.0</v>
      </c>
      <c r="O195" s="17" t="s">
        <v>194</v>
      </c>
      <c r="P195" s="16">
        <v>3.0</v>
      </c>
      <c r="Q195" s="16">
        <v>3.0</v>
      </c>
      <c r="R195" s="16">
        <v>2.0</v>
      </c>
      <c r="S195" s="16">
        <v>2.0</v>
      </c>
      <c r="T195" s="16">
        <v>5.0</v>
      </c>
      <c r="U195" s="16">
        <v>4.0</v>
      </c>
      <c r="V195" s="16">
        <v>4.0</v>
      </c>
      <c r="W195" s="16">
        <v>2.0</v>
      </c>
      <c r="X195" s="16">
        <v>2.0</v>
      </c>
      <c r="Y195" s="16">
        <v>2.0</v>
      </c>
      <c r="Z195" s="16">
        <v>5.0</v>
      </c>
      <c r="AA195" s="16">
        <v>3.0</v>
      </c>
      <c r="AB195" s="16">
        <v>5.0</v>
      </c>
      <c r="AC195" s="16">
        <v>2.0</v>
      </c>
      <c r="AD195" s="38">
        <v>15.0</v>
      </c>
      <c r="AE195" s="38">
        <v>10.0</v>
      </c>
      <c r="AF195" s="38">
        <v>18.0</v>
      </c>
      <c r="AG195" s="38" t="s">
        <v>502</v>
      </c>
      <c r="AI195" s="18" t="s">
        <v>92</v>
      </c>
    </row>
    <row r="196">
      <c r="A196" s="11"/>
      <c r="B196" s="12" t="s">
        <v>34</v>
      </c>
      <c r="C196" s="12" t="s">
        <v>65</v>
      </c>
      <c r="D196" s="12" t="s">
        <v>102</v>
      </c>
      <c r="E196" s="12" t="s">
        <v>152</v>
      </c>
      <c r="F196" s="13" t="s">
        <v>153</v>
      </c>
      <c r="G196" s="12" t="s">
        <v>68</v>
      </c>
      <c r="H196" s="12" t="s">
        <v>154</v>
      </c>
      <c r="I196" s="12" t="s">
        <v>155</v>
      </c>
      <c r="J196" s="17" t="s">
        <v>503</v>
      </c>
      <c r="K196" s="17" t="s">
        <v>503</v>
      </c>
      <c r="L196" s="17" t="s">
        <v>193</v>
      </c>
      <c r="M196" s="40"/>
      <c r="N196" s="20">
        <v>45853.0</v>
      </c>
      <c r="O196" s="17" t="s">
        <v>194</v>
      </c>
      <c r="P196" s="16">
        <v>3.0</v>
      </c>
      <c r="Q196" s="16">
        <v>3.0</v>
      </c>
      <c r="R196" s="16">
        <v>3.0</v>
      </c>
      <c r="S196" s="16">
        <v>3.0</v>
      </c>
      <c r="T196" s="16">
        <v>5.0</v>
      </c>
      <c r="U196" s="16">
        <v>5.0</v>
      </c>
      <c r="V196" s="16">
        <v>5.0</v>
      </c>
      <c r="W196" s="16">
        <v>3.0</v>
      </c>
      <c r="X196" s="16">
        <v>3.0</v>
      </c>
      <c r="Y196" s="16">
        <v>3.0</v>
      </c>
      <c r="Z196" s="16">
        <v>5.0</v>
      </c>
      <c r="AA196" s="16">
        <v>3.0</v>
      </c>
      <c r="AB196" s="16">
        <v>5.0</v>
      </c>
      <c r="AC196" s="16">
        <v>3.0</v>
      </c>
      <c r="AD196" s="38">
        <v>15.0</v>
      </c>
      <c r="AE196" s="38">
        <v>12.0</v>
      </c>
      <c r="AF196" s="38">
        <v>20.0</v>
      </c>
      <c r="AG196" s="38" t="s">
        <v>504</v>
      </c>
      <c r="AI196" s="18" t="s">
        <v>92</v>
      </c>
    </row>
    <row r="197">
      <c r="A197" s="11"/>
      <c r="B197" s="12" t="s">
        <v>34</v>
      </c>
      <c r="C197" s="12" t="s">
        <v>65</v>
      </c>
      <c r="D197" s="12" t="s">
        <v>102</v>
      </c>
      <c r="E197" s="12" t="s">
        <v>152</v>
      </c>
      <c r="F197" s="13" t="s">
        <v>153</v>
      </c>
      <c r="G197" s="12" t="s">
        <v>68</v>
      </c>
      <c r="H197" s="12" t="s">
        <v>154</v>
      </c>
      <c r="I197" s="12" t="s">
        <v>155</v>
      </c>
      <c r="J197" s="17" t="s">
        <v>505</v>
      </c>
      <c r="K197" s="17" t="s">
        <v>505</v>
      </c>
      <c r="L197" s="17" t="s">
        <v>222</v>
      </c>
      <c r="M197" s="17">
        <v>31.0</v>
      </c>
      <c r="N197" s="20">
        <v>45853.0</v>
      </c>
      <c r="O197" s="17" t="s">
        <v>194</v>
      </c>
      <c r="P197" s="16">
        <v>4.0</v>
      </c>
      <c r="Q197" s="16">
        <v>4.0</v>
      </c>
      <c r="R197" s="16">
        <v>4.0</v>
      </c>
      <c r="S197" s="16">
        <v>4.0</v>
      </c>
      <c r="T197" s="16">
        <v>4.0</v>
      </c>
      <c r="U197" s="16">
        <v>4.0</v>
      </c>
      <c r="V197" s="16">
        <v>4.0</v>
      </c>
      <c r="W197" s="16">
        <v>4.0</v>
      </c>
      <c r="X197" s="16">
        <v>4.0</v>
      </c>
      <c r="Y197" s="16">
        <v>4.0</v>
      </c>
      <c r="Z197" s="16">
        <v>4.0</v>
      </c>
      <c r="AA197" s="16">
        <v>4.0</v>
      </c>
      <c r="AB197" s="16">
        <v>4.0</v>
      </c>
      <c r="AC197" s="16">
        <v>4.0</v>
      </c>
      <c r="AD197" s="38">
        <v>14.0</v>
      </c>
      <c r="AE197" s="38">
        <v>15.0</v>
      </c>
      <c r="AF197" s="38">
        <v>16.0</v>
      </c>
      <c r="AG197" s="38" t="s">
        <v>506</v>
      </c>
      <c r="AI197" s="18" t="s">
        <v>92</v>
      </c>
    </row>
    <row r="198">
      <c r="A198" s="11"/>
      <c r="B198" s="12" t="s">
        <v>34</v>
      </c>
      <c r="C198" s="12" t="s">
        <v>65</v>
      </c>
      <c r="D198" s="12" t="s">
        <v>102</v>
      </c>
      <c r="E198" s="12" t="s">
        <v>152</v>
      </c>
      <c r="F198" s="13" t="s">
        <v>153</v>
      </c>
      <c r="G198" s="12" t="s">
        <v>68</v>
      </c>
      <c r="H198" s="12" t="s">
        <v>154</v>
      </c>
      <c r="I198" s="12" t="s">
        <v>155</v>
      </c>
      <c r="J198" s="17" t="s">
        <v>507</v>
      </c>
      <c r="K198" s="17" t="s">
        <v>507</v>
      </c>
      <c r="L198" s="17" t="s">
        <v>193</v>
      </c>
      <c r="M198" s="17">
        <v>22.0</v>
      </c>
      <c r="N198" s="20">
        <v>45853.0</v>
      </c>
      <c r="O198" s="17" t="s">
        <v>194</v>
      </c>
      <c r="P198" s="16">
        <v>4.0</v>
      </c>
      <c r="Q198" s="16">
        <v>4.0</v>
      </c>
      <c r="R198" s="16">
        <v>4.0</v>
      </c>
      <c r="S198" s="16">
        <v>4.0</v>
      </c>
      <c r="T198" s="16">
        <v>4.0</v>
      </c>
      <c r="U198" s="16">
        <v>4.0</v>
      </c>
      <c r="V198" s="16">
        <v>4.0</v>
      </c>
      <c r="W198" s="16">
        <v>4.0</v>
      </c>
      <c r="X198" s="16">
        <v>4.0</v>
      </c>
      <c r="Y198" s="16">
        <v>4.0</v>
      </c>
      <c r="Z198" s="16">
        <v>4.0</v>
      </c>
      <c r="AA198" s="16">
        <v>4.0</v>
      </c>
      <c r="AB198" s="16">
        <v>4.0</v>
      </c>
      <c r="AC198" s="16">
        <v>4.0</v>
      </c>
      <c r="AD198" s="38">
        <v>14.0</v>
      </c>
      <c r="AE198" s="38">
        <v>15.0</v>
      </c>
      <c r="AF198" s="38">
        <v>16.0</v>
      </c>
      <c r="AG198" s="38" t="s">
        <v>508</v>
      </c>
      <c r="AI198" s="18" t="s">
        <v>92</v>
      </c>
    </row>
    <row r="199">
      <c r="A199" s="11"/>
      <c r="B199" s="12" t="s">
        <v>34</v>
      </c>
      <c r="C199" s="12" t="s">
        <v>65</v>
      </c>
      <c r="D199" s="12" t="s">
        <v>102</v>
      </c>
      <c r="E199" s="12" t="s">
        <v>152</v>
      </c>
      <c r="F199" s="13" t="s">
        <v>153</v>
      </c>
      <c r="G199" s="12" t="s">
        <v>68</v>
      </c>
      <c r="H199" s="12" t="s">
        <v>154</v>
      </c>
      <c r="I199" s="12" t="s">
        <v>155</v>
      </c>
      <c r="J199" s="17" t="s">
        <v>509</v>
      </c>
      <c r="K199" s="17" t="s">
        <v>509</v>
      </c>
      <c r="L199" s="17" t="s">
        <v>193</v>
      </c>
      <c r="M199" s="17">
        <v>22.0</v>
      </c>
      <c r="N199" s="20">
        <v>45853.0</v>
      </c>
      <c r="O199" s="17" t="s">
        <v>194</v>
      </c>
      <c r="P199" s="16">
        <v>3.0</v>
      </c>
      <c r="Q199" s="16">
        <v>3.0</v>
      </c>
      <c r="R199" s="16">
        <v>4.0</v>
      </c>
      <c r="S199" s="16">
        <v>4.0</v>
      </c>
      <c r="T199" s="16">
        <v>5.0</v>
      </c>
      <c r="U199" s="16">
        <v>4.0</v>
      </c>
      <c r="V199" s="16">
        <v>4.0</v>
      </c>
      <c r="W199" s="16">
        <v>4.0</v>
      </c>
      <c r="X199" s="16">
        <v>5.0</v>
      </c>
      <c r="Y199" s="16">
        <v>5.0</v>
      </c>
      <c r="Z199" s="16">
        <v>5.0</v>
      </c>
      <c r="AA199" s="16">
        <v>3.0</v>
      </c>
      <c r="AB199" s="16">
        <v>5.0</v>
      </c>
      <c r="AC199" s="16">
        <v>5.0</v>
      </c>
      <c r="AD199" s="38">
        <v>15.0</v>
      </c>
      <c r="AE199" s="38">
        <v>15.0</v>
      </c>
      <c r="AF199" s="38">
        <v>18.0</v>
      </c>
      <c r="AG199" s="38" t="s">
        <v>510</v>
      </c>
      <c r="AI199" s="18" t="s">
        <v>92</v>
      </c>
    </row>
    <row r="200">
      <c r="A200" s="11"/>
      <c r="B200" s="12" t="s">
        <v>34</v>
      </c>
      <c r="C200" s="12" t="s">
        <v>65</v>
      </c>
      <c r="D200" s="12" t="s">
        <v>102</v>
      </c>
      <c r="E200" s="12" t="s">
        <v>152</v>
      </c>
      <c r="F200" s="13" t="s">
        <v>153</v>
      </c>
      <c r="G200" s="12" t="s">
        <v>68</v>
      </c>
      <c r="H200" s="12" t="s">
        <v>154</v>
      </c>
      <c r="I200" s="12" t="s">
        <v>155</v>
      </c>
      <c r="J200" s="17" t="s">
        <v>511</v>
      </c>
      <c r="K200" s="17" t="s">
        <v>511</v>
      </c>
      <c r="L200" s="17" t="s">
        <v>193</v>
      </c>
      <c r="M200" s="17">
        <v>24.0</v>
      </c>
      <c r="N200" s="20">
        <v>45853.0</v>
      </c>
      <c r="O200" s="17" t="s">
        <v>194</v>
      </c>
      <c r="P200" s="16">
        <v>4.0</v>
      </c>
      <c r="Q200" s="16">
        <v>4.0</v>
      </c>
      <c r="R200" s="16">
        <v>4.0</v>
      </c>
      <c r="S200" s="16">
        <v>4.0</v>
      </c>
      <c r="T200" s="16">
        <v>4.0</v>
      </c>
      <c r="U200" s="16">
        <v>4.0</v>
      </c>
      <c r="V200" s="16">
        <v>4.0</v>
      </c>
      <c r="W200" s="16">
        <v>4.0</v>
      </c>
      <c r="X200" s="16">
        <v>4.0</v>
      </c>
      <c r="Y200" s="16">
        <v>4.0</v>
      </c>
      <c r="Z200" s="16">
        <v>4.0</v>
      </c>
      <c r="AA200" s="16">
        <v>4.0</v>
      </c>
      <c r="AB200" s="16">
        <v>4.0</v>
      </c>
      <c r="AC200" s="16">
        <v>4.0</v>
      </c>
      <c r="AD200" s="38">
        <v>14.0</v>
      </c>
      <c r="AE200" s="38">
        <v>15.0</v>
      </c>
      <c r="AF200" s="38">
        <v>16.0</v>
      </c>
      <c r="AG200" s="38" t="s">
        <v>512</v>
      </c>
      <c r="AI200" s="18" t="s">
        <v>92</v>
      </c>
    </row>
    <row r="201">
      <c r="A201" s="11"/>
      <c r="B201" s="12" t="s">
        <v>34</v>
      </c>
      <c r="C201" s="12" t="s">
        <v>65</v>
      </c>
      <c r="D201" s="12" t="s">
        <v>102</v>
      </c>
      <c r="E201" s="12" t="s">
        <v>152</v>
      </c>
      <c r="F201" s="13" t="s">
        <v>153</v>
      </c>
      <c r="G201" s="12" t="s">
        <v>68</v>
      </c>
      <c r="H201" s="12" t="s">
        <v>154</v>
      </c>
      <c r="I201" s="12" t="s">
        <v>155</v>
      </c>
      <c r="J201" s="17" t="s">
        <v>513</v>
      </c>
      <c r="K201" s="17" t="s">
        <v>513</v>
      </c>
      <c r="L201" s="17" t="s">
        <v>193</v>
      </c>
      <c r="M201" s="17">
        <v>18.0</v>
      </c>
      <c r="N201" s="20">
        <v>45853.0</v>
      </c>
      <c r="O201" s="17" t="s">
        <v>194</v>
      </c>
      <c r="P201" s="16">
        <v>4.0</v>
      </c>
      <c r="Q201" s="16">
        <v>4.0</v>
      </c>
      <c r="R201" s="16">
        <v>5.0</v>
      </c>
      <c r="S201" s="16">
        <v>5.0</v>
      </c>
      <c r="T201" s="16">
        <v>5.0</v>
      </c>
      <c r="U201" s="16">
        <v>5.0</v>
      </c>
      <c r="V201" s="16">
        <v>5.0</v>
      </c>
      <c r="W201" s="16">
        <v>5.0</v>
      </c>
      <c r="X201" s="16">
        <v>5.0</v>
      </c>
      <c r="Y201" s="16">
        <v>5.0</v>
      </c>
      <c r="Z201" s="16">
        <v>5.0</v>
      </c>
      <c r="AA201" s="16">
        <v>4.0</v>
      </c>
      <c r="AB201" s="16">
        <v>5.0</v>
      </c>
      <c r="AC201" s="16">
        <v>5.0</v>
      </c>
      <c r="AD201" s="38">
        <v>14.0</v>
      </c>
      <c r="AE201" s="38">
        <v>16.0</v>
      </c>
      <c r="AF201" s="38">
        <v>20.0</v>
      </c>
      <c r="AG201" s="38" t="s">
        <v>514</v>
      </c>
      <c r="AI201" s="18" t="s">
        <v>92</v>
      </c>
    </row>
    <row r="202">
      <c r="A202" s="11"/>
      <c r="B202" s="12" t="s">
        <v>34</v>
      </c>
      <c r="C202" s="12" t="s">
        <v>65</v>
      </c>
      <c r="D202" s="12" t="s">
        <v>102</v>
      </c>
      <c r="E202" s="12" t="s">
        <v>152</v>
      </c>
      <c r="F202" s="13" t="s">
        <v>153</v>
      </c>
      <c r="G202" s="12" t="s">
        <v>68</v>
      </c>
      <c r="H202" s="12" t="s">
        <v>154</v>
      </c>
      <c r="I202" s="12" t="s">
        <v>155</v>
      </c>
      <c r="J202" s="17" t="s">
        <v>515</v>
      </c>
      <c r="K202" s="17" t="s">
        <v>515</v>
      </c>
      <c r="L202" s="17" t="s">
        <v>193</v>
      </c>
      <c r="M202" s="17">
        <v>40.0</v>
      </c>
      <c r="N202" s="20">
        <v>45853.0</v>
      </c>
      <c r="O202" s="17" t="s">
        <v>194</v>
      </c>
      <c r="P202" s="16">
        <v>1.0</v>
      </c>
      <c r="Q202" s="16">
        <v>1.0</v>
      </c>
      <c r="R202" s="16">
        <v>4.0</v>
      </c>
      <c r="S202" s="16">
        <v>4.0</v>
      </c>
      <c r="T202" s="16">
        <v>4.0</v>
      </c>
      <c r="U202" s="16">
        <v>4.0</v>
      </c>
      <c r="V202" s="16">
        <v>4.0</v>
      </c>
      <c r="W202" s="16">
        <v>4.0</v>
      </c>
      <c r="X202" s="16">
        <v>4.0</v>
      </c>
      <c r="Y202" s="16">
        <v>4.0</v>
      </c>
      <c r="Z202" s="16">
        <v>4.0</v>
      </c>
      <c r="AA202" s="16">
        <v>1.0</v>
      </c>
      <c r="AB202" s="16">
        <v>4.0</v>
      </c>
      <c r="AC202" s="16">
        <v>4.0</v>
      </c>
      <c r="AD202" s="37">
        <v>17.0</v>
      </c>
      <c r="AE202" s="37">
        <v>15.0</v>
      </c>
      <c r="AF202" s="37">
        <v>16.0</v>
      </c>
      <c r="AG202" s="37"/>
      <c r="AI202" s="18" t="s">
        <v>92</v>
      </c>
    </row>
    <row r="203">
      <c r="A203" s="11"/>
      <c r="B203" s="12" t="s">
        <v>34</v>
      </c>
      <c r="C203" s="12" t="s">
        <v>65</v>
      </c>
      <c r="D203" s="12" t="s">
        <v>102</v>
      </c>
      <c r="E203" s="12" t="s">
        <v>152</v>
      </c>
      <c r="F203" s="13" t="s">
        <v>153</v>
      </c>
      <c r="G203" s="12" t="s">
        <v>68</v>
      </c>
      <c r="H203" s="12" t="s">
        <v>154</v>
      </c>
      <c r="I203" s="12" t="s">
        <v>155</v>
      </c>
      <c r="J203" s="17" t="s">
        <v>516</v>
      </c>
      <c r="K203" s="17" t="s">
        <v>516</v>
      </c>
      <c r="L203" s="17" t="s">
        <v>222</v>
      </c>
      <c r="M203" s="17">
        <v>34.0</v>
      </c>
      <c r="N203" s="20">
        <v>45853.0</v>
      </c>
      <c r="O203" s="17" t="s">
        <v>194</v>
      </c>
      <c r="P203" s="16">
        <v>3.0</v>
      </c>
      <c r="Q203" s="16">
        <v>3.0</v>
      </c>
      <c r="R203" s="16">
        <v>4.0</v>
      </c>
      <c r="S203" s="16">
        <v>4.0</v>
      </c>
      <c r="T203" s="16">
        <v>4.0</v>
      </c>
      <c r="U203" s="16">
        <v>4.0</v>
      </c>
      <c r="V203" s="16">
        <v>4.0</v>
      </c>
      <c r="W203" s="16">
        <v>4.0</v>
      </c>
      <c r="X203" s="16">
        <v>4.0</v>
      </c>
      <c r="Y203" s="16">
        <v>4.0</v>
      </c>
      <c r="Z203" s="16">
        <v>4.0</v>
      </c>
      <c r="AA203" s="16">
        <v>3.0</v>
      </c>
      <c r="AB203" s="16">
        <v>4.0</v>
      </c>
      <c r="AC203" s="16">
        <v>4.0</v>
      </c>
      <c r="AD203" s="37">
        <v>15.0</v>
      </c>
      <c r="AE203" s="37">
        <v>15.0</v>
      </c>
      <c r="AF203" s="37">
        <v>16.0</v>
      </c>
      <c r="AG203" s="37"/>
      <c r="AI203" s="18" t="s">
        <v>92</v>
      </c>
    </row>
    <row r="204">
      <c r="A204" s="11"/>
      <c r="B204" s="12" t="s">
        <v>34</v>
      </c>
      <c r="C204" s="12" t="s">
        <v>65</v>
      </c>
      <c r="D204" s="12" t="s">
        <v>102</v>
      </c>
      <c r="E204" s="12" t="s">
        <v>152</v>
      </c>
      <c r="F204" s="13" t="s">
        <v>153</v>
      </c>
      <c r="G204" s="12" t="s">
        <v>68</v>
      </c>
      <c r="H204" s="12" t="s">
        <v>154</v>
      </c>
      <c r="I204" s="12" t="s">
        <v>155</v>
      </c>
      <c r="J204" s="17" t="s">
        <v>517</v>
      </c>
      <c r="K204" s="17" t="s">
        <v>517</v>
      </c>
      <c r="L204" s="17" t="s">
        <v>193</v>
      </c>
      <c r="M204" s="17">
        <v>30.0</v>
      </c>
      <c r="N204" s="20">
        <v>45980.0</v>
      </c>
      <c r="O204" s="17" t="s">
        <v>428</v>
      </c>
      <c r="P204" s="16">
        <v>3.0</v>
      </c>
      <c r="Q204" s="16">
        <v>3.0</v>
      </c>
      <c r="R204" s="16">
        <v>4.0</v>
      </c>
      <c r="S204" s="16">
        <v>4.0</v>
      </c>
      <c r="T204" s="16">
        <v>4.0</v>
      </c>
      <c r="U204" s="16">
        <v>4.0</v>
      </c>
      <c r="V204" s="16">
        <v>4.0</v>
      </c>
      <c r="W204" s="16">
        <v>4.0</v>
      </c>
      <c r="X204" s="16">
        <v>4.0</v>
      </c>
      <c r="Y204" s="16">
        <v>4.0</v>
      </c>
      <c r="Z204" s="16">
        <v>4.0</v>
      </c>
      <c r="AA204" s="16">
        <v>3.0</v>
      </c>
      <c r="AB204" s="16">
        <v>4.0</v>
      </c>
      <c r="AC204" s="16">
        <v>4.0</v>
      </c>
      <c r="AD204" s="37">
        <v>15.0</v>
      </c>
      <c r="AE204" s="37">
        <v>15.0</v>
      </c>
      <c r="AF204" s="37">
        <v>16.0</v>
      </c>
      <c r="AG204" s="37"/>
      <c r="AI204" s="18" t="s">
        <v>92</v>
      </c>
    </row>
    <row r="205">
      <c r="A205" s="11"/>
      <c r="B205" s="12" t="s">
        <v>34</v>
      </c>
      <c r="C205" s="12" t="s">
        <v>65</v>
      </c>
      <c r="D205" s="12" t="s">
        <v>102</v>
      </c>
      <c r="E205" s="12" t="s">
        <v>152</v>
      </c>
      <c r="F205" s="13" t="s">
        <v>153</v>
      </c>
      <c r="G205" s="12" t="s">
        <v>68</v>
      </c>
      <c r="H205" s="12" t="s">
        <v>154</v>
      </c>
      <c r="I205" s="12" t="s">
        <v>155</v>
      </c>
      <c r="J205" s="17" t="s">
        <v>518</v>
      </c>
      <c r="K205" s="17" t="s">
        <v>518</v>
      </c>
      <c r="L205" s="17" t="s">
        <v>193</v>
      </c>
      <c r="M205" s="17">
        <v>44.0</v>
      </c>
      <c r="N205" s="20">
        <v>45980.0</v>
      </c>
      <c r="O205" s="17" t="s">
        <v>428</v>
      </c>
      <c r="P205" s="16">
        <v>2.0</v>
      </c>
      <c r="Q205" s="16">
        <v>2.0</v>
      </c>
      <c r="R205" s="16">
        <v>4.0</v>
      </c>
      <c r="S205" s="16">
        <v>4.0</v>
      </c>
      <c r="T205" s="16">
        <v>5.0</v>
      </c>
      <c r="U205" s="16">
        <v>4.0</v>
      </c>
      <c r="V205" s="16">
        <v>4.0</v>
      </c>
      <c r="W205" s="16">
        <v>4.0</v>
      </c>
      <c r="X205" s="16">
        <v>4.0</v>
      </c>
      <c r="Y205" s="16">
        <v>4.0</v>
      </c>
      <c r="Z205" s="16">
        <v>5.0</v>
      </c>
      <c r="AA205" s="16">
        <v>2.0</v>
      </c>
      <c r="AB205" s="16">
        <v>5.0</v>
      </c>
      <c r="AC205" s="16">
        <v>4.0</v>
      </c>
      <c r="AD205" s="37">
        <v>16.0</v>
      </c>
      <c r="AE205" s="37">
        <v>14.0</v>
      </c>
      <c r="AF205" s="37">
        <v>18.0</v>
      </c>
      <c r="AG205" s="37"/>
      <c r="AI205" s="18" t="s">
        <v>92</v>
      </c>
    </row>
    <row r="206">
      <c r="A206" s="11"/>
      <c r="B206" s="12" t="s">
        <v>34</v>
      </c>
      <c r="C206" s="12" t="s">
        <v>65</v>
      </c>
      <c r="D206" s="12" t="s">
        <v>102</v>
      </c>
      <c r="E206" s="12" t="s">
        <v>152</v>
      </c>
      <c r="F206" s="13" t="s">
        <v>153</v>
      </c>
      <c r="G206" s="12" t="s">
        <v>68</v>
      </c>
      <c r="H206" s="12" t="s">
        <v>154</v>
      </c>
      <c r="I206" s="12" t="s">
        <v>155</v>
      </c>
      <c r="J206" s="17" t="s">
        <v>519</v>
      </c>
      <c r="K206" s="17" t="s">
        <v>519</v>
      </c>
      <c r="L206" s="17" t="s">
        <v>193</v>
      </c>
      <c r="M206" s="17">
        <v>28.0</v>
      </c>
      <c r="N206" s="20">
        <v>45980.0</v>
      </c>
      <c r="O206" s="17" t="s">
        <v>428</v>
      </c>
      <c r="P206" s="16">
        <v>3.0</v>
      </c>
      <c r="Q206" s="16">
        <v>3.0</v>
      </c>
      <c r="R206" s="16">
        <v>5.0</v>
      </c>
      <c r="S206" s="16">
        <v>5.0</v>
      </c>
      <c r="T206" s="16">
        <v>4.0</v>
      </c>
      <c r="U206" s="16">
        <v>4.0</v>
      </c>
      <c r="V206" s="16">
        <v>4.0</v>
      </c>
      <c r="W206" s="16">
        <v>5.0</v>
      </c>
      <c r="X206" s="16">
        <v>4.0</v>
      </c>
      <c r="Y206" s="16">
        <v>4.0</v>
      </c>
      <c r="Z206" s="16">
        <v>4.0</v>
      </c>
      <c r="AA206" s="16">
        <v>3.0</v>
      </c>
      <c r="AB206" s="16">
        <v>4.0</v>
      </c>
      <c r="AC206" s="16">
        <v>4.0</v>
      </c>
      <c r="AD206" s="37">
        <v>15.0</v>
      </c>
      <c r="AE206" s="37">
        <v>16.0</v>
      </c>
      <c r="AF206" s="37">
        <v>16.0</v>
      </c>
      <c r="AG206" s="37"/>
      <c r="AI206" s="18" t="s">
        <v>92</v>
      </c>
    </row>
    <row r="207">
      <c r="A207" s="11"/>
      <c r="B207" s="12" t="s">
        <v>34</v>
      </c>
      <c r="C207" s="12" t="s">
        <v>65</v>
      </c>
      <c r="D207" s="12" t="s">
        <v>102</v>
      </c>
      <c r="E207" s="12" t="s">
        <v>152</v>
      </c>
      <c r="F207" s="13" t="s">
        <v>153</v>
      </c>
      <c r="G207" s="12" t="s">
        <v>68</v>
      </c>
      <c r="H207" s="12" t="s">
        <v>154</v>
      </c>
      <c r="I207" s="12" t="s">
        <v>155</v>
      </c>
      <c r="J207" s="17" t="s">
        <v>520</v>
      </c>
      <c r="K207" s="17" t="s">
        <v>520</v>
      </c>
      <c r="L207" s="17" t="s">
        <v>222</v>
      </c>
      <c r="M207" s="17">
        <v>37.0</v>
      </c>
      <c r="N207" s="20">
        <v>45980.0</v>
      </c>
      <c r="O207" s="17" t="s">
        <v>428</v>
      </c>
      <c r="P207" s="16">
        <v>4.0</v>
      </c>
      <c r="Q207" s="16">
        <v>4.0</v>
      </c>
      <c r="R207" s="16">
        <v>4.0</v>
      </c>
      <c r="S207" s="16">
        <v>4.0</v>
      </c>
      <c r="T207" s="16">
        <v>4.0</v>
      </c>
      <c r="U207" s="16">
        <v>4.0</v>
      </c>
      <c r="V207" s="16">
        <v>4.0</v>
      </c>
      <c r="W207" s="16">
        <v>4.0</v>
      </c>
      <c r="X207" s="16">
        <v>4.0</v>
      </c>
      <c r="Y207" s="16">
        <v>4.0</v>
      </c>
      <c r="Z207" s="16">
        <v>4.0</v>
      </c>
      <c r="AA207" s="16">
        <v>4.0</v>
      </c>
      <c r="AB207" s="16">
        <v>4.0</v>
      </c>
      <c r="AC207" s="16">
        <v>4.0</v>
      </c>
      <c r="AD207" s="37">
        <v>14.0</v>
      </c>
      <c r="AE207" s="37">
        <v>15.0</v>
      </c>
      <c r="AF207" s="37">
        <v>16.0</v>
      </c>
      <c r="AG207" s="37"/>
      <c r="AI207" s="18" t="s">
        <v>92</v>
      </c>
    </row>
    <row r="208">
      <c r="A208" s="11"/>
      <c r="B208" s="12" t="s">
        <v>34</v>
      </c>
      <c r="C208" s="12" t="s">
        <v>65</v>
      </c>
      <c r="D208" s="12" t="s">
        <v>102</v>
      </c>
      <c r="E208" s="12" t="s">
        <v>152</v>
      </c>
      <c r="F208" s="13" t="s">
        <v>153</v>
      </c>
      <c r="G208" s="12" t="s">
        <v>68</v>
      </c>
      <c r="H208" s="12" t="s">
        <v>154</v>
      </c>
      <c r="I208" s="12" t="s">
        <v>155</v>
      </c>
      <c r="J208" s="17" t="s">
        <v>515</v>
      </c>
      <c r="K208" s="17" t="s">
        <v>515</v>
      </c>
      <c r="L208" s="17" t="s">
        <v>193</v>
      </c>
      <c r="N208" s="20">
        <v>45980.0</v>
      </c>
      <c r="O208" s="17" t="s">
        <v>428</v>
      </c>
      <c r="P208" s="16">
        <v>3.0</v>
      </c>
      <c r="Q208" s="16">
        <v>3.0</v>
      </c>
      <c r="R208" s="16">
        <v>4.0</v>
      </c>
      <c r="S208" s="16">
        <v>4.0</v>
      </c>
      <c r="T208" s="16">
        <v>4.0</v>
      </c>
      <c r="U208" s="16">
        <v>5.0</v>
      </c>
      <c r="V208" s="16">
        <v>5.0</v>
      </c>
      <c r="W208" s="16">
        <v>4.0</v>
      </c>
      <c r="X208" s="16">
        <v>4.0</v>
      </c>
      <c r="Y208" s="16">
        <v>4.0</v>
      </c>
      <c r="Z208" s="16">
        <v>4.0</v>
      </c>
      <c r="AA208" s="16">
        <v>3.0</v>
      </c>
      <c r="AB208" s="16">
        <v>4.0</v>
      </c>
      <c r="AC208" s="16">
        <v>4.0</v>
      </c>
      <c r="AD208" s="37">
        <v>15.0</v>
      </c>
      <c r="AE208" s="37">
        <v>15.0</v>
      </c>
      <c r="AF208" s="37">
        <v>18.0</v>
      </c>
      <c r="AG208" s="37"/>
      <c r="AI208" s="18" t="s">
        <v>92</v>
      </c>
    </row>
    <row r="209">
      <c r="A209" s="11"/>
      <c r="B209" s="12" t="s">
        <v>34</v>
      </c>
      <c r="C209" s="12" t="s">
        <v>65</v>
      </c>
      <c r="D209" s="12" t="s">
        <v>102</v>
      </c>
      <c r="E209" s="12" t="s">
        <v>152</v>
      </c>
      <c r="F209" s="13" t="s">
        <v>153</v>
      </c>
      <c r="G209" s="12" t="s">
        <v>68</v>
      </c>
      <c r="H209" s="12" t="s">
        <v>154</v>
      </c>
      <c r="I209" s="12" t="s">
        <v>155</v>
      </c>
      <c r="J209" s="17" t="s">
        <v>521</v>
      </c>
      <c r="K209" s="17" t="s">
        <v>521</v>
      </c>
      <c r="L209" s="17" t="s">
        <v>193</v>
      </c>
      <c r="N209" s="20">
        <v>45980.0</v>
      </c>
      <c r="O209" s="17" t="s">
        <v>428</v>
      </c>
      <c r="P209" s="16">
        <v>4.0</v>
      </c>
      <c r="Q209" s="16">
        <v>4.0</v>
      </c>
      <c r="R209" s="16">
        <v>4.0</v>
      </c>
      <c r="S209" s="16">
        <v>4.0</v>
      </c>
      <c r="T209" s="16">
        <v>4.0</v>
      </c>
      <c r="U209" s="16">
        <v>4.0</v>
      </c>
      <c r="V209" s="16">
        <v>4.0</v>
      </c>
      <c r="W209" s="16">
        <v>4.0</v>
      </c>
      <c r="X209" s="16">
        <v>4.0</v>
      </c>
      <c r="Y209" s="16">
        <v>4.0</v>
      </c>
      <c r="Z209" s="16">
        <v>4.0</v>
      </c>
      <c r="AA209" s="16">
        <v>4.0</v>
      </c>
      <c r="AB209" s="16">
        <v>4.0</v>
      </c>
      <c r="AC209" s="16">
        <v>4.0</v>
      </c>
      <c r="AD209" s="37">
        <v>14.0</v>
      </c>
      <c r="AE209" s="37">
        <v>15.0</v>
      </c>
      <c r="AF209" s="37">
        <v>16.0</v>
      </c>
      <c r="AG209" s="37"/>
      <c r="AI209" s="18" t="s">
        <v>92</v>
      </c>
    </row>
    <row r="210">
      <c r="A210" s="11"/>
      <c r="B210" s="12" t="s">
        <v>34</v>
      </c>
      <c r="C210" s="12" t="s">
        <v>65</v>
      </c>
      <c r="D210" s="12" t="s">
        <v>102</v>
      </c>
      <c r="E210" s="12" t="s">
        <v>142</v>
      </c>
      <c r="F210" s="13" t="s">
        <v>143</v>
      </c>
      <c r="G210" s="12" t="s">
        <v>68</v>
      </c>
      <c r="H210" s="12" t="s">
        <v>144</v>
      </c>
      <c r="I210" s="12" t="s">
        <v>145</v>
      </c>
      <c r="J210" s="17" t="s">
        <v>522</v>
      </c>
      <c r="K210" s="17" t="s">
        <v>522</v>
      </c>
      <c r="L210" s="17" t="s">
        <v>222</v>
      </c>
      <c r="N210" s="20">
        <v>45854.0</v>
      </c>
      <c r="O210" s="17" t="s">
        <v>194</v>
      </c>
      <c r="P210" s="16">
        <v>4.0</v>
      </c>
      <c r="Q210" s="16">
        <v>4.0</v>
      </c>
      <c r="R210" s="16">
        <v>4.0</v>
      </c>
      <c r="S210" s="16">
        <v>4.0</v>
      </c>
      <c r="T210" s="16">
        <v>4.0</v>
      </c>
      <c r="U210" s="16">
        <v>4.0</v>
      </c>
      <c r="V210" s="16">
        <v>4.0</v>
      </c>
      <c r="W210" s="16">
        <v>4.0</v>
      </c>
      <c r="X210" s="16">
        <v>4.0</v>
      </c>
      <c r="Y210" s="16">
        <v>4.0</v>
      </c>
      <c r="Z210" s="16">
        <v>4.0</v>
      </c>
      <c r="AA210" s="16">
        <v>4.0</v>
      </c>
      <c r="AB210" s="16">
        <v>4.0</v>
      </c>
      <c r="AC210" s="16">
        <v>4.0</v>
      </c>
      <c r="AD210" s="38">
        <v>14.0</v>
      </c>
      <c r="AE210" s="38">
        <v>15.0</v>
      </c>
      <c r="AF210" s="38">
        <v>16.0</v>
      </c>
      <c r="AG210" s="38" t="s">
        <v>523</v>
      </c>
      <c r="AI210" s="18" t="s">
        <v>92</v>
      </c>
    </row>
    <row r="211">
      <c r="A211" s="11"/>
      <c r="B211" s="12" t="s">
        <v>34</v>
      </c>
      <c r="C211" s="12" t="s">
        <v>65</v>
      </c>
      <c r="D211" s="12" t="s">
        <v>102</v>
      </c>
      <c r="E211" s="12" t="s">
        <v>142</v>
      </c>
      <c r="F211" s="13" t="s">
        <v>143</v>
      </c>
      <c r="G211" s="12" t="s">
        <v>68</v>
      </c>
      <c r="H211" s="12" t="s">
        <v>144</v>
      </c>
      <c r="I211" s="12" t="s">
        <v>145</v>
      </c>
      <c r="J211" s="17" t="s">
        <v>524</v>
      </c>
      <c r="K211" s="17" t="s">
        <v>524</v>
      </c>
      <c r="L211" s="17" t="s">
        <v>193</v>
      </c>
      <c r="M211" s="17">
        <v>23.0</v>
      </c>
      <c r="N211" s="20">
        <v>45854.0</v>
      </c>
      <c r="O211" s="17" t="s">
        <v>194</v>
      </c>
      <c r="P211" s="16">
        <v>4.0</v>
      </c>
      <c r="Q211" s="16">
        <v>4.0</v>
      </c>
      <c r="R211" s="16">
        <v>4.0</v>
      </c>
      <c r="S211" s="16">
        <v>4.0</v>
      </c>
      <c r="T211" s="16">
        <v>5.0</v>
      </c>
      <c r="U211" s="16">
        <v>5.0</v>
      </c>
      <c r="V211" s="16">
        <v>5.0</v>
      </c>
      <c r="W211" s="16">
        <v>5.0</v>
      </c>
      <c r="X211" s="16">
        <v>5.0</v>
      </c>
      <c r="Y211" s="16">
        <v>5.0</v>
      </c>
      <c r="Z211" s="16">
        <v>5.0</v>
      </c>
      <c r="AA211" s="16">
        <v>5.0</v>
      </c>
      <c r="AB211" s="16">
        <v>5.0</v>
      </c>
      <c r="AC211" s="16">
        <v>5.0</v>
      </c>
      <c r="AD211" s="38">
        <v>13.0</v>
      </c>
      <c r="AE211" s="38">
        <v>16.0</v>
      </c>
      <c r="AF211" s="38">
        <v>20.0</v>
      </c>
      <c r="AG211" s="38" t="s">
        <v>525</v>
      </c>
      <c r="AI211" s="18" t="s">
        <v>92</v>
      </c>
    </row>
    <row r="212">
      <c r="A212" s="11"/>
      <c r="B212" s="12" t="s">
        <v>34</v>
      </c>
      <c r="C212" s="12" t="s">
        <v>65</v>
      </c>
      <c r="D212" s="12" t="s">
        <v>102</v>
      </c>
      <c r="E212" s="12" t="s">
        <v>142</v>
      </c>
      <c r="F212" s="13" t="s">
        <v>143</v>
      </c>
      <c r="G212" s="12" t="s">
        <v>68</v>
      </c>
      <c r="H212" s="12" t="s">
        <v>144</v>
      </c>
      <c r="I212" s="12" t="s">
        <v>145</v>
      </c>
      <c r="J212" s="17" t="s">
        <v>526</v>
      </c>
      <c r="K212" s="17" t="s">
        <v>526</v>
      </c>
      <c r="L212" s="17" t="s">
        <v>193</v>
      </c>
      <c r="M212" s="17">
        <v>25.0</v>
      </c>
      <c r="N212" s="20">
        <v>45854.0</v>
      </c>
      <c r="O212" s="17" t="s">
        <v>194</v>
      </c>
      <c r="P212" s="16">
        <v>1.0</v>
      </c>
      <c r="Q212" s="16">
        <v>1.0</v>
      </c>
      <c r="R212" s="16">
        <v>5.0</v>
      </c>
      <c r="S212" s="16">
        <v>5.0</v>
      </c>
      <c r="T212" s="16">
        <v>5.0</v>
      </c>
      <c r="U212" s="16">
        <v>5.0</v>
      </c>
      <c r="V212" s="16">
        <v>5.0</v>
      </c>
      <c r="W212" s="16">
        <v>5.0</v>
      </c>
      <c r="X212" s="16">
        <v>5.0</v>
      </c>
      <c r="Y212" s="16">
        <v>5.0</v>
      </c>
      <c r="Z212" s="16">
        <v>5.0</v>
      </c>
      <c r="AA212" s="16">
        <v>1.0</v>
      </c>
      <c r="AB212" s="16">
        <v>5.0</v>
      </c>
      <c r="AC212" s="16">
        <v>5.0</v>
      </c>
      <c r="AD212" s="38">
        <v>17.0</v>
      </c>
      <c r="AE212" s="38">
        <v>16.0</v>
      </c>
      <c r="AF212" s="38">
        <v>20.0</v>
      </c>
      <c r="AG212" s="38" t="s">
        <v>527</v>
      </c>
      <c r="AI212" s="18" t="s">
        <v>92</v>
      </c>
    </row>
    <row r="213">
      <c r="A213" s="11"/>
      <c r="B213" s="12" t="s">
        <v>34</v>
      </c>
      <c r="C213" s="12" t="s">
        <v>65</v>
      </c>
      <c r="D213" s="12" t="s">
        <v>102</v>
      </c>
      <c r="E213" s="12" t="s">
        <v>142</v>
      </c>
      <c r="F213" s="13" t="s">
        <v>143</v>
      </c>
      <c r="G213" s="12" t="s">
        <v>68</v>
      </c>
      <c r="H213" s="12" t="s">
        <v>144</v>
      </c>
      <c r="I213" s="12" t="s">
        <v>145</v>
      </c>
      <c r="J213" s="17" t="s">
        <v>528</v>
      </c>
      <c r="K213" s="17" t="s">
        <v>528</v>
      </c>
      <c r="L213" s="17" t="s">
        <v>222</v>
      </c>
      <c r="M213" s="17">
        <v>32.0</v>
      </c>
      <c r="N213" s="20">
        <v>45854.0</v>
      </c>
      <c r="O213" s="17" t="s">
        <v>194</v>
      </c>
      <c r="P213" s="16">
        <v>4.0</v>
      </c>
      <c r="Q213" s="16">
        <v>4.0</v>
      </c>
      <c r="R213" s="16">
        <v>3.0</v>
      </c>
      <c r="S213" s="16">
        <v>3.0</v>
      </c>
      <c r="T213" s="16">
        <v>4.0</v>
      </c>
      <c r="U213" s="16">
        <v>4.0</v>
      </c>
      <c r="V213" s="16">
        <v>4.0</v>
      </c>
      <c r="W213" s="16">
        <v>3.0</v>
      </c>
      <c r="X213" s="16">
        <v>4.0</v>
      </c>
      <c r="Y213" s="16">
        <v>4.0</v>
      </c>
      <c r="Z213" s="16">
        <v>4.0</v>
      </c>
      <c r="AA213" s="16">
        <v>4.0</v>
      </c>
      <c r="AB213" s="16">
        <v>4.0</v>
      </c>
      <c r="AC213" s="16">
        <v>4.0</v>
      </c>
      <c r="AD213" s="38">
        <v>14.0</v>
      </c>
      <c r="AE213" s="38">
        <v>14.0</v>
      </c>
      <c r="AF213" s="38">
        <v>16.0</v>
      </c>
      <c r="AG213" s="38" t="s">
        <v>529</v>
      </c>
      <c r="AI213" s="18" t="s">
        <v>92</v>
      </c>
    </row>
    <row r="214">
      <c r="A214" s="11"/>
      <c r="B214" s="12" t="s">
        <v>34</v>
      </c>
      <c r="C214" s="12" t="s">
        <v>65</v>
      </c>
      <c r="D214" s="12" t="s">
        <v>102</v>
      </c>
      <c r="E214" s="12" t="s">
        <v>142</v>
      </c>
      <c r="F214" s="13" t="s">
        <v>143</v>
      </c>
      <c r="G214" s="12" t="s">
        <v>68</v>
      </c>
      <c r="H214" s="12" t="s">
        <v>144</v>
      </c>
      <c r="I214" s="12" t="s">
        <v>145</v>
      </c>
      <c r="J214" s="17" t="s">
        <v>530</v>
      </c>
      <c r="K214" s="17" t="s">
        <v>530</v>
      </c>
      <c r="L214" s="17" t="s">
        <v>222</v>
      </c>
      <c r="M214" s="17">
        <v>39.0</v>
      </c>
      <c r="N214" s="20">
        <v>45854.0</v>
      </c>
      <c r="O214" s="17" t="s">
        <v>194</v>
      </c>
      <c r="P214" s="16">
        <v>5.0</v>
      </c>
      <c r="Q214" s="16">
        <v>5.0</v>
      </c>
      <c r="R214" s="16">
        <v>5.0</v>
      </c>
      <c r="S214" s="16">
        <v>5.0</v>
      </c>
      <c r="T214" s="16">
        <v>1.0</v>
      </c>
      <c r="U214" s="16">
        <v>4.0</v>
      </c>
      <c r="V214" s="16">
        <v>4.0</v>
      </c>
      <c r="W214" s="16">
        <v>5.0</v>
      </c>
      <c r="X214" s="16">
        <v>4.0</v>
      </c>
      <c r="Y214" s="16">
        <v>4.0</v>
      </c>
      <c r="Z214" s="16">
        <v>1.0</v>
      </c>
      <c r="AA214" s="16">
        <v>5.0</v>
      </c>
      <c r="AB214" s="16">
        <v>1.0</v>
      </c>
      <c r="AC214" s="16">
        <v>4.0</v>
      </c>
      <c r="AD214" s="38">
        <v>13.0</v>
      </c>
      <c r="AE214" s="38">
        <v>19.0</v>
      </c>
      <c r="AF214" s="38">
        <v>10.0</v>
      </c>
      <c r="AG214" s="38" t="s">
        <v>531</v>
      </c>
      <c r="AI214" s="18" t="s">
        <v>92</v>
      </c>
    </row>
    <row r="215">
      <c r="A215" s="11"/>
      <c r="B215" s="12" t="s">
        <v>34</v>
      </c>
      <c r="C215" s="12" t="s">
        <v>65</v>
      </c>
      <c r="D215" s="12" t="s">
        <v>102</v>
      </c>
      <c r="E215" s="12" t="s">
        <v>142</v>
      </c>
      <c r="F215" s="13" t="s">
        <v>143</v>
      </c>
      <c r="G215" s="12" t="s">
        <v>68</v>
      </c>
      <c r="H215" s="12" t="s">
        <v>144</v>
      </c>
      <c r="I215" s="12" t="s">
        <v>145</v>
      </c>
      <c r="J215" s="17" t="s">
        <v>532</v>
      </c>
      <c r="K215" s="17" t="s">
        <v>532</v>
      </c>
      <c r="L215" s="17" t="s">
        <v>222</v>
      </c>
      <c r="M215" s="17">
        <v>35.0</v>
      </c>
      <c r="N215" s="20">
        <v>45854.0</v>
      </c>
      <c r="O215" s="17" t="s">
        <v>194</v>
      </c>
      <c r="P215" s="16">
        <v>2.0</v>
      </c>
      <c r="Q215" s="16">
        <v>2.0</v>
      </c>
      <c r="R215" s="16">
        <v>3.0</v>
      </c>
      <c r="S215" s="16">
        <v>3.0</v>
      </c>
      <c r="T215" s="16">
        <v>4.0</v>
      </c>
      <c r="U215" s="16">
        <v>4.0</v>
      </c>
      <c r="V215" s="16">
        <v>4.0</v>
      </c>
      <c r="W215" s="16">
        <v>3.0</v>
      </c>
      <c r="X215" s="16">
        <v>5.0</v>
      </c>
      <c r="Y215" s="16">
        <v>5.0</v>
      </c>
      <c r="Z215" s="16">
        <v>4.0</v>
      </c>
      <c r="AA215" s="16">
        <v>2.0</v>
      </c>
      <c r="AB215" s="16">
        <v>4.0</v>
      </c>
      <c r="AC215" s="16">
        <v>5.0</v>
      </c>
      <c r="AD215" s="38">
        <v>16.0</v>
      </c>
      <c r="AE215" s="38">
        <v>15.0</v>
      </c>
      <c r="AF215" s="38">
        <v>16.0</v>
      </c>
      <c r="AG215" s="38" t="s">
        <v>533</v>
      </c>
      <c r="AI215" s="18" t="s">
        <v>92</v>
      </c>
    </row>
    <row r="216">
      <c r="A216" s="11"/>
      <c r="B216" s="12" t="s">
        <v>34</v>
      </c>
      <c r="C216" s="12" t="s">
        <v>65</v>
      </c>
      <c r="D216" s="12" t="s">
        <v>102</v>
      </c>
      <c r="E216" s="12" t="s">
        <v>142</v>
      </c>
      <c r="F216" s="13" t="s">
        <v>143</v>
      </c>
      <c r="G216" s="12" t="s">
        <v>68</v>
      </c>
      <c r="H216" s="12" t="s">
        <v>144</v>
      </c>
      <c r="I216" s="12" t="s">
        <v>145</v>
      </c>
      <c r="J216" s="17" t="s">
        <v>534</v>
      </c>
      <c r="K216" s="17" t="s">
        <v>534</v>
      </c>
      <c r="L216" s="17" t="s">
        <v>222</v>
      </c>
      <c r="M216" s="17">
        <v>39.0</v>
      </c>
      <c r="N216" s="20">
        <v>45854.0</v>
      </c>
      <c r="O216" s="17" t="s">
        <v>194</v>
      </c>
      <c r="P216" s="16">
        <v>4.0</v>
      </c>
      <c r="Q216" s="16">
        <v>4.0</v>
      </c>
      <c r="R216" s="16">
        <v>5.0</v>
      </c>
      <c r="S216" s="16">
        <v>5.0</v>
      </c>
      <c r="T216" s="16">
        <v>3.0</v>
      </c>
      <c r="U216" s="16">
        <v>5.0</v>
      </c>
      <c r="V216" s="16">
        <v>5.0</v>
      </c>
      <c r="W216" s="16">
        <v>5.0</v>
      </c>
      <c r="X216" s="16">
        <v>5.0</v>
      </c>
      <c r="Y216" s="16">
        <v>5.0</v>
      </c>
      <c r="Z216" s="16">
        <v>3.0</v>
      </c>
      <c r="AA216" s="16">
        <v>4.0</v>
      </c>
      <c r="AB216" s="16">
        <v>3.0</v>
      </c>
      <c r="AC216" s="16">
        <v>5.0</v>
      </c>
      <c r="AD216" s="38">
        <v>14.0</v>
      </c>
      <c r="AE216" s="38">
        <v>18.0</v>
      </c>
      <c r="AF216" s="38">
        <v>16.0</v>
      </c>
      <c r="AG216" s="38" t="s">
        <v>535</v>
      </c>
      <c r="AI216" s="18" t="s">
        <v>92</v>
      </c>
    </row>
    <row r="217">
      <c r="A217" s="11"/>
      <c r="B217" s="12" t="s">
        <v>34</v>
      </c>
      <c r="C217" s="12" t="s">
        <v>65</v>
      </c>
      <c r="D217" s="12" t="s">
        <v>102</v>
      </c>
      <c r="E217" s="12" t="s">
        <v>142</v>
      </c>
      <c r="F217" s="13" t="s">
        <v>143</v>
      </c>
      <c r="G217" s="12" t="s">
        <v>68</v>
      </c>
      <c r="H217" s="12" t="s">
        <v>144</v>
      </c>
      <c r="I217" s="12" t="s">
        <v>145</v>
      </c>
      <c r="J217" s="17" t="s">
        <v>536</v>
      </c>
      <c r="K217" s="17" t="s">
        <v>536</v>
      </c>
      <c r="L217" s="17" t="s">
        <v>193</v>
      </c>
      <c r="M217" s="17">
        <v>22.0</v>
      </c>
      <c r="N217" s="20">
        <v>45854.0</v>
      </c>
      <c r="O217" s="17" t="s">
        <v>194</v>
      </c>
      <c r="P217" s="16">
        <v>5.0</v>
      </c>
      <c r="Q217" s="16">
        <v>5.0</v>
      </c>
      <c r="R217" s="16">
        <v>5.0</v>
      </c>
      <c r="S217" s="16">
        <v>5.0</v>
      </c>
      <c r="T217" s="16">
        <v>4.0</v>
      </c>
      <c r="U217" s="16">
        <v>5.0</v>
      </c>
      <c r="V217" s="16">
        <v>5.0</v>
      </c>
      <c r="W217" s="16">
        <v>4.0</v>
      </c>
      <c r="X217" s="16">
        <v>5.0</v>
      </c>
      <c r="Y217" s="16">
        <v>5.0</v>
      </c>
      <c r="Z217" s="16">
        <v>4.0</v>
      </c>
      <c r="AA217" s="16">
        <v>5.0</v>
      </c>
      <c r="AB217" s="16">
        <v>4.0</v>
      </c>
      <c r="AC217" s="16">
        <v>5.0</v>
      </c>
      <c r="AD217" s="38">
        <v>13.0</v>
      </c>
      <c r="AE217" s="38">
        <v>16.0</v>
      </c>
      <c r="AF217" s="38">
        <v>18.0</v>
      </c>
      <c r="AG217" s="38" t="s">
        <v>537</v>
      </c>
      <c r="AI217" s="18" t="s">
        <v>92</v>
      </c>
    </row>
    <row r="218">
      <c r="A218" s="11"/>
      <c r="B218" s="12" t="s">
        <v>34</v>
      </c>
      <c r="C218" s="12" t="s">
        <v>65</v>
      </c>
      <c r="D218" s="12" t="s">
        <v>102</v>
      </c>
      <c r="E218" s="12" t="s">
        <v>142</v>
      </c>
      <c r="F218" s="13" t="s">
        <v>143</v>
      </c>
      <c r="G218" s="12" t="s">
        <v>68</v>
      </c>
      <c r="H218" s="12" t="s">
        <v>144</v>
      </c>
      <c r="I218" s="12" t="s">
        <v>145</v>
      </c>
      <c r="J218" s="17" t="s">
        <v>538</v>
      </c>
      <c r="K218" s="17" t="s">
        <v>538</v>
      </c>
      <c r="L218" s="17" t="s">
        <v>193</v>
      </c>
      <c r="N218" s="20">
        <v>45854.0</v>
      </c>
      <c r="O218" s="17" t="s">
        <v>194</v>
      </c>
      <c r="P218" s="16">
        <v>5.0</v>
      </c>
      <c r="Q218" s="16">
        <v>5.0</v>
      </c>
      <c r="R218" s="16">
        <v>3.0</v>
      </c>
      <c r="S218" s="16">
        <v>3.0</v>
      </c>
      <c r="T218" s="16">
        <v>4.0</v>
      </c>
      <c r="U218" s="16">
        <v>4.0</v>
      </c>
      <c r="V218" s="16">
        <v>4.0</v>
      </c>
      <c r="W218" s="16">
        <v>3.0</v>
      </c>
      <c r="X218" s="16">
        <v>4.0</v>
      </c>
      <c r="Y218" s="16">
        <v>4.0</v>
      </c>
      <c r="Z218" s="16">
        <v>4.0</v>
      </c>
      <c r="AA218" s="16">
        <v>5.0</v>
      </c>
      <c r="AB218" s="16">
        <v>4.0</v>
      </c>
      <c r="AC218" s="16">
        <v>4.0</v>
      </c>
      <c r="AD218" s="38">
        <v>13.0</v>
      </c>
      <c r="AE218" s="38">
        <v>14.0</v>
      </c>
      <c r="AF218" s="38">
        <v>16.0</v>
      </c>
      <c r="AG218" s="38" t="s">
        <v>539</v>
      </c>
      <c r="AI218" s="18" t="s">
        <v>92</v>
      </c>
    </row>
    <row r="219">
      <c r="A219" s="11"/>
      <c r="B219" s="12" t="s">
        <v>34</v>
      </c>
      <c r="C219" s="12" t="s">
        <v>65</v>
      </c>
      <c r="D219" s="12" t="s">
        <v>102</v>
      </c>
      <c r="E219" s="12" t="s">
        <v>142</v>
      </c>
      <c r="F219" s="13" t="s">
        <v>143</v>
      </c>
      <c r="G219" s="12" t="s">
        <v>68</v>
      </c>
      <c r="H219" s="12" t="s">
        <v>144</v>
      </c>
      <c r="I219" s="12" t="s">
        <v>145</v>
      </c>
      <c r="J219" s="17" t="s">
        <v>540</v>
      </c>
      <c r="K219" s="17" t="s">
        <v>540</v>
      </c>
      <c r="L219" s="17" t="s">
        <v>193</v>
      </c>
      <c r="M219" s="17">
        <v>60.0</v>
      </c>
      <c r="N219" s="20">
        <v>45854.0</v>
      </c>
      <c r="O219" s="17" t="s">
        <v>194</v>
      </c>
      <c r="P219" s="16">
        <v>4.0</v>
      </c>
      <c r="Q219" s="16">
        <v>4.0</v>
      </c>
      <c r="R219" s="16">
        <v>4.0</v>
      </c>
      <c r="S219" s="16">
        <v>4.0</v>
      </c>
      <c r="T219" s="16">
        <v>4.0</v>
      </c>
      <c r="U219" s="16">
        <v>4.0</v>
      </c>
      <c r="V219" s="16">
        <v>4.0</v>
      </c>
      <c r="W219" s="16">
        <v>4.0</v>
      </c>
      <c r="X219" s="16">
        <v>4.0</v>
      </c>
      <c r="Y219" s="16">
        <v>4.0</v>
      </c>
      <c r="Z219" s="16">
        <v>4.0</v>
      </c>
      <c r="AA219" s="16">
        <v>4.0</v>
      </c>
      <c r="AB219" s="16">
        <v>4.0</v>
      </c>
      <c r="AC219" s="16">
        <v>4.0</v>
      </c>
      <c r="AD219" s="37">
        <v>14.0</v>
      </c>
      <c r="AE219" s="37">
        <v>15.0</v>
      </c>
      <c r="AF219" s="37">
        <v>16.0</v>
      </c>
      <c r="AG219" s="37"/>
      <c r="AI219" s="18" t="s">
        <v>92</v>
      </c>
    </row>
    <row r="220">
      <c r="A220" s="11"/>
      <c r="B220" s="12" t="s">
        <v>34</v>
      </c>
      <c r="C220" s="12" t="s">
        <v>65</v>
      </c>
      <c r="D220" s="12" t="s">
        <v>102</v>
      </c>
      <c r="E220" s="12" t="s">
        <v>142</v>
      </c>
      <c r="F220" s="13" t="s">
        <v>143</v>
      </c>
      <c r="G220" s="12" t="s">
        <v>68</v>
      </c>
      <c r="H220" s="12" t="s">
        <v>144</v>
      </c>
      <c r="I220" s="12" t="s">
        <v>145</v>
      </c>
      <c r="J220" s="17" t="s">
        <v>541</v>
      </c>
      <c r="K220" s="17" t="s">
        <v>541</v>
      </c>
      <c r="L220" s="17" t="s">
        <v>193</v>
      </c>
      <c r="M220" s="17">
        <v>35.0</v>
      </c>
      <c r="N220" s="20">
        <v>45854.0</v>
      </c>
      <c r="O220" s="17" t="s">
        <v>194</v>
      </c>
      <c r="P220" s="16">
        <v>1.0</v>
      </c>
      <c r="Q220" s="16">
        <v>1.0</v>
      </c>
      <c r="R220" s="16">
        <v>3.0</v>
      </c>
      <c r="S220" s="16">
        <v>3.0</v>
      </c>
      <c r="T220" s="16">
        <v>2.0</v>
      </c>
      <c r="U220" s="16">
        <v>4.0</v>
      </c>
      <c r="V220" s="16">
        <v>4.0</v>
      </c>
      <c r="W220" s="16">
        <v>3.0</v>
      </c>
      <c r="X220" s="16">
        <v>3.0</v>
      </c>
      <c r="Y220" s="16">
        <v>3.0</v>
      </c>
      <c r="Z220" s="16">
        <v>2.0</v>
      </c>
      <c r="AA220" s="16">
        <v>1.0</v>
      </c>
      <c r="AB220" s="16">
        <v>2.0</v>
      </c>
      <c r="AC220" s="16">
        <v>3.0</v>
      </c>
      <c r="AD220" s="37">
        <v>17.0</v>
      </c>
      <c r="AE220" s="37">
        <v>15.0</v>
      </c>
      <c r="AF220" s="37">
        <v>12.0</v>
      </c>
      <c r="AG220" s="37"/>
      <c r="AI220" s="18" t="s">
        <v>92</v>
      </c>
    </row>
    <row r="221">
      <c r="A221" s="11"/>
      <c r="B221" s="12" t="s">
        <v>34</v>
      </c>
      <c r="C221" s="12" t="s">
        <v>65</v>
      </c>
      <c r="D221" s="12" t="s">
        <v>102</v>
      </c>
      <c r="E221" s="12" t="s">
        <v>142</v>
      </c>
      <c r="F221" s="13" t="s">
        <v>143</v>
      </c>
      <c r="G221" s="12" t="s">
        <v>68</v>
      </c>
      <c r="H221" s="12" t="s">
        <v>144</v>
      </c>
      <c r="I221" s="12" t="s">
        <v>145</v>
      </c>
      <c r="J221" s="17" t="s">
        <v>542</v>
      </c>
      <c r="K221" s="17" t="s">
        <v>542</v>
      </c>
      <c r="L221" s="17" t="s">
        <v>193</v>
      </c>
      <c r="M221" s="17">
        <v>42.0</v>
      </c>
      <c r="N221" s="20">
        <v>45854.0</v>
      </c>
      <c r="O221" s="17" t="s">
        <v>194</v>
      </c>
      <c r="P221" s="16">
        <v>4.0</v>
      </c>
      <c r="Q221" s="16">
        <v>4.0</v>
      </c>
      <c r="R221" s="16">
        <v>4.0</v>
      </c>
      <c r="S221" s="16">
        <v>4.0</v>
      </c>
      <c r="T221" s="16">
        <v>4.0</v>
      </c>
      <c r="U221" s="16">
        <v>4.0</v>
      </c>
      <c r="V221" s="16">
        <v>4.0</v>
      </c>
      <c r="W221" s="16">
        <v>4.0</v>
      </c>
      <c r="X221" s="16">
        <v>4.0</v>
      </c>
      <c r="Y221" s="16">
        <v>4.0</v>
      </c>
      <c r="Z221" s="16">
        <v>4.0</v>
      </c>
      <c r="AA221" s="16">
        <v>4.0</v>
      </c>
      <c r="AB221" s="16">
        <v>4.0</v>
      </c>
      <c r="AC221" s="16">
        <v>4.0</v>
      </c>
      <c r="AD221" s="38">
        <v>14.0</v>
      </c>
      <c r="AE221" s="38">
        <v>15.0</v>
      </c>
      <c r="AF221" s="38">
        <v>16.0</v>
      </c>
      <c r="AG221" s="38" t="s">
        <v>543</v>
      </c>
      <c r="AI221" s="18" t="s">
        <v>92</v>
      </c>
    </row>
    <row r="222">
      <c r="A222" s="11"/>
      <c r="B222" s="12" t="s">
        <v>34</v>
      </c>
      <c r="C222" s="12" t="s">
        <v>65</v>
      </c>
      <c r="D222" s="12" t="s">
        <v>102</v>
      </c>
      <c r="E222" s="12" t="s">
        <v>142</v>
      </c>
      <c r="F222" s="13" t="s">
        <v>143</v>
      </c>
      <c r="G222" s="12" t="s">
        <v>68</v>
      </c>
      <c r="H222" s="12" t="s">
        <v>144</v>
      </c>
      <c r="I222" s="12" t="s">
        <v>145</v>
      </c>
      <c r="J222" s="17" t="s">
        <v>544</v>
      </c>
      <c r="K222" s="17" t="s">
        <v>544</v>
      </c>
      <c r="L222" s="17" t="s">
        <v>193</v>
      </c>
      <c r="M222" s="17">
        <v>22.0</v>
      </c>
      <c r="N222" s="20">
        <v>45854.0</v>
      </c>
      <c r="O222" s="17" t="s">
        <v>194</v>
      </c>
      <c r="P222" s="16">
        <v>4.0</v>
      </c>
      <c r="Q222" s="16">
        <v>4.0</v>
      </c>
      <c r="R222" s="16">
        <v>4.0</v>
      </c>
      <c r="S222" s="16">
        <v>4.0</v>
      </c>
      <c r="T222" s="16">
        <v>4.0</v>
      </c>
      <c r="U222" s="16">
        <v>4.0</v>
      </c>
      <c r="V222" s="16">
        <v>4.0</v>
      </c>
      <c r="W222" s="16">
        <v>4.0</v>
      </c>
      <c r="X222" s="16">
        <v>4.0</v>
      </c>
      <c r="Y222" s="16">
        <v>4.0</v>
      </c>
      <c r="Z222" s="16">
        <v>4.0</v>
      </c>
      <c r="AA222" s="16">
        <v>4.0</v>
      </c>
      <c r="AB222" s="16">
        <v>4.0</v>
      </c>
      <c r="AC222" s="16">
        <v>4.0</v>
      </c>
      <c r="AD222" s="38">
        <v>14.0</v>
      </c>
      <c r="AE222" s="38">
        <v>15.0</v>
      </c>
      <c r="AF222" s="38">
        <v>16.0</v>
      </c>
      <c r="AG222" s="38" t="s">
        <v>545</v>
      </c>
      <c r="AI222" s="18" t="s">
        <v>92</v>
      </c>
    </row>
    <row r="223">
      <c r="A223" s="11"/>
      <c r="B223" s="12" t="s">
        <v>34</v>
      </c>
      <c r="C223" s="12" t="s">
        <v>65</v>
      </c>
      <c r="D223" s="12" t="s">
        <v>102</v>
      </c>
      <c r="E223" s="12" t="s">
        <v>142</v>
      </c>
      <c r="F223" s="13" t="s">
        <v>143</v>
      </c>
      <c r="G223" s="12" t="s">
        <v>68</v>
      </c>
      <c r="H223" s="12" t="s">
        <v>144</v>
      </c>
      <c r="I223" s="12" t="s">
        <v>145</v>
      </c>
      <c r="J223" s="17" t="s">
        <v>546</v>
      </c>
      <c r="K223" s="17" t="s">
        <v>546</v>
      </c>
      <c r="L223" s="17" t="s">
        <v>222</v>
      </c>
      <c r="M223" s="17">
        <v>30.0</v>
      </c>
      <c r="N223" s="20">
        <v>45854.0</v>
      </c>
      <c r="O223" s="17" t="s">
        <v>194</v>
      </c>
      <c r="P223" s="16">
        <v>5.0</v>
      </c>
      <c r="Q223" s="16">
        <v>5.0</v>
      </c>
      <c r="R223" s="16">
        <v>5.0</v>
      </c>
      <c r="S223" s="16">
        <v>5.0</v>
      </c>
      <c r="T223" s="16">
        <v>5.0</v>
      </c>
      <c r="U223" s="16">
        <v>5.0</v>
      </c>
      <c r="V223" s="16">
        <v>5.0</v>
      </c>
      <c r="W223" s="16">
        <v>5.0</v>
      </c>
      <c r="X223" s="16">
        <v>5.0</v>
      </c>
      <c r="Y223" s="16">
        <v>5.0</v>
      </c>
      <c r="Z223" s="16">
        <v>5.0</v>
      </c>
      <c r="AA223" s="16">
        <v>5.0</v>
      </c>
      <c r="AB223" s="16">
        <v>5.0</v>
      </c>
      <c r="AC223" s="16">
        <v>5.0</v>
      </c>
      <c r="AD223" s="38">
        <v>13.0</v>
      </c>
      <c r="AE223" s="38">
        <v>16.0</v>
      </c>
      <c r="AF223" s="38">
        <v>20.0</v>
      </c>
      <c r="AG223" s="38" t="s">
        <v>547</v>
      </c>
      <c r="AI223" s="18" t="s">
        <v>92</v>
      </c>
    </row>
    <row r="224">
      <c r="A224" s="11"/>
      <c r="B224" s="12" t="s">
        <v>34</v>
      </c>
      <c r="C224" s="12" t="s">
        <v>65</v>
      </c>
      <c r="D224" s="12" t="s">
        <v>102</v>
      </c>
      <c r="E224" s="12" t="s">
        <v>142</v>
      </c>
      <c r="F224" s="13" t="s">
        <v>143</v>
      </c>
      <c r="G224" s="12" t="s">
        <v>68</v>
      </c>
      <c r="H224" s="12" t="s">
        <v>144</v>
      </c>
      <c r="I224" s="12" t="s">
        <v>145</v>
      </c>
      <c r="J224" s="17" t="s">
        <v>548</v>
      </c>
      <c r="K224" s="17" t="s">
        <v>548</v>
      </c>
      <c r="L224" s="17" t="s">
        <v>193</v>
      </c>
      <c r="M224" s="17">
        <v>30.0</v>
      </c>
      <c r="N224" s="20">
        <v>45854.0</v>
      </c>
      <c r="O224" s="17" t="s">
        <v>194</v>
      </c>
      <c r="P224" s="16">
        <v>4.0</v>
      </c>
      <c r="Q224" s="16">
        <v>4.0</v>
      </c>
      <c r="R224" s="16">
        <v>4.0</v>
      </c>
      <c r="S224" s="16">
        <v>4.0</v>
      </c>
      <c r="T224" s="16">
        <v>4.0</v>
      </c>
      <c r="U224" s="16">
        <v>4.0</v>
      </c>
      <c r="V224" s="16">
        <v>4.0</v>
      </c>
      <c r="W224" s="16">
        <v>4.0</v>
      </c>
      <c r="X224" s="16">
        <v>4.0</v>
      </c>
      <c r="Y224" s="16">
        <v>4.0</v>
      </c>
      <c r="Z224" s="16">
        <v>4.0</v>
      </c>
      <c r="AA224" s="16">
        <v>4.0</v>
      </c>
      <c r="AB224" s="16">
        <v>4.0</v>
      </c>
      <c r="AC224" s="16">
        <v>4.0</v>
      </c>
      <c r="AD224" s="37">
        <v>14.0</v>
      </c>
      <c r="AE224" s="37">
        <v>15.0</v>
      </c>
      <c r="AF224" s="37">
        <v>16.0</v>
      </c>
      <c r="AG224" s="37"/>
      <c r="AI224" s="18" t="s">
        <v>92</v>
      </c>
    </row>
    <row r="225">
      <c r="A225" s="11"/>
      <c r="B225" s="12" t="s">
        <v>34</v>
      </c>
      <c r="C225" s="12" t="s">
        <v>65</v>
      </c>
      <c r="D225" s="12" t="s">
        <v>102</v>
      </c>
      <c r="E225" s="12" t="s">
        <v>142</v>
      </c>
      <c r="F225" s="13" t="s">
        <v>143</v>
      </c>
      <c r="G225" s="12" t="s">
        <v>68</v>
      </c>
      <c r="H225" s="12" t="s">
        <v>144</v>
      </c>
      <c r="I225" s="12" t="s">
        <v>145</v>
      </c>
      <c r="J225" s="17" t="s">
        <v>549</v>
      </c>
      <c r="K225" s="17" t="s">
        <v>549</v>
      </c>
      <c r="L225" s="17" t="s">
        <v>222</v>
      </c>
      <c r="M225" s="17">
        <v>40.0</v>
      </c>
      <c r="N225" s="20">
        <v>45854.0</v>
      </c>
      <c r="O225" s="17" t="s">
        <v>194</v>
      </c>
      <c r="P225" s="16">
        <v>3.0</v>
      </c>
      <c r="Q225" s="16">
        <v>3.0</v>
      </c>
      <c r="R225" s="16">
        <v>4.0</v>
      </c>
      <c r="S225" s="16">
        <v>4.0</v>
      </c>
      <c r="T225" s="16">
        <v>3.0</v>
      </c>
      <c r="U225" s="16">
        <v>4.0</v>
      </c>
      <c r="V225" s="16">
        <v>4.0</v>
      </c>
      <c r="W225" s="16">
        <v>4.0</v>
      </c>
      <c r="X225" s="16">
        <v>4.0</v>
      </c>
      <c r="Y225" s="16">
        <v>4.0</v>
      </c>
      <c r="Z225" s="16">
        <v>3.0</v>
      </c>
      <c r="AA225" s="16">
        <v>3.0</v>
      </c>
      <c r="AB225" s="16">
        <v>3.0</v>
      </c>
      <c r="AC225" s="16">
        <v>4.0</v>
      </c>
      <c r="AD225" s="37">
        <v>15.0</v>
      </c>
      <c r="AE225" s="37">
        <v>16.0</v>
      </c>
      <c r="AF225" s="37">
        <v>14.0</v>
      </c>
      <c r="AG225" s="37"/>
      <c r="AI225" s="18" t="s">
        <v>92</v>
      </c>
    </row>
    <row r="226">
      <c r="A226" s="11"/>
      <c r="B226" s="12" t="s">
        <v>34</v>
      </c>
      <c r="C226" s="12" t="s">
        <v>65</v>
      </c>
      <c r="D226" s="12" t="s">
        <v>102</v>
      </c>
      <c r="E226" s="12" t="s">
        <v>142</v>
      </c>
      <c r="F226" s="13" t="s">
        <v>143</v>
      </c>
      <c r="G226" s="12" t="s">
        <v>68</v>
      </c>
      <c r="H226" s="12" t="s">
        <v>144</v>
      </c>
      <c r="I226" s="12" t="s">
        <v>145</v>
      </c>
      <c r="J226" s="17" t="s">
        <v>550</v>
      </c>
      <c r="K226" s="17" t="s">
        <v>550</v>
      </c>
      <c r="L226" s="17" t="s">
        <v>193</v>
      </c>
      <c r="M226" s="17">
        <v>30.0</v>
      </c>
      <c r="N226" s="20">
        <v>45854.0</v>
      </c>
      <c r="O226" s="17" t="s">
        <v>194</v>
      </c>
      <c r="P226" s="16">
        <v>4.0</v>
      </c>
      <c r="Q226" s="16">
        <v>4.0</v>
      </c>
      <c r="R226" s="16">
        <v>2.0</v>
      </c>
      <c r="S226" s="16">
        <v>2.0</v>
      </c>
      <c r="T226" s="16">
        <v>3.0</v>
      </c>
      <c r="U226" s="16">
        <v>4.0</v>
      </c>
      <c r="V226" s="16">
        <v>4.0</v>
      </c>
      <c r="W226" s="16">
        <v>2.0</v>
      </c>
      <c r="X226" s="16">
        <v>2.0</v>
      </c>
      <c r="Y226" s="16">
        <v>2.0</v>
      </c>
      <c r="Z226" s="16">
        <v>3.0</v>
      </c>
      <c r="AA226" s="16">
        <v>4.0</v>
      </c>
      <c r="AB226" s="16">
        <v>3.0</v>
      </c>
      <c r="AC226" s="16">
        <v>2.0</v>
      </c>
      <c r="AD226" s="37">
        <v>14.0</v>
      </c>
      <c r="AE226" s="37">
        <v>12.0</v>
      </c>
      <c r="AF226" s="37">
        <v>14.0</v>
      </c>
      <c r="AG226" s="37"/>
      <c r="AI226" s="18" t="s">
        <v>92</v>
      </c>
    </row>
    <row r="227">
      <c r="A227" s="11"/>
      <c r="B227" s="12" t="s">
        <v>34</v>
      </c>
      <c r="C227" s="12" t="s">
        <v>65</v>
      </c>
      <c r="D227" s="12" t="s">
        <v>102</v>
      </c>
      <c r="E227" s="12" t="s">
        <v>142</v>
      </c>
      <c r="F227" s="13" t="s">
        <v>143</v>
      </c>
      <c r="G227" s="12" t="s">
        <v>68</v>
      </c>
      <c r="H227" s="12" t="s">
        <v>144</v>
      </c>
      <c r="I227" s="12" t="s">
        <v>145</v>
      </c>
      <c r="J227" s="17" t="s">
        <v>551</v>
      </c>
      <c r="K227" s="17" t="s">
        <v>551</v>
      </c>
      <c r="L227" s="17" t="s">
        <v>193</v>
      </c>
      <c r="M227" s="17">
        <v>22.0</v>
      </c>
      <c r="N227" s="20">
        <v>45854.0</v>
      </c>
      <c r="O227" s="17" t="s">
        <v>194</v>
      </c>
      <c r="P227" s="16">
        <v>4.0</v>
      </c>
      <c r="Q227" s="16">
        <v>4.0</v>
      </c>
      <c r="R227" s="16">
        <v>4.0</v>
      </c>
      <c r="S227" s="16">
        <v>4.0</v>
      </c>
      <c r="T227" s="16">
        <v>4.0</v>
      </c>
      <c r="U227" s="16">
        <v>4.0</v>
      </c>
      <c r="V227" s="16">
        <v>4.0</v>
      </c>
      <c r="W227" s="16">
        <v>4.0</v>
      </c>
      <c r="X227" s="16">
        <v>4.0</v>
      </c>
      <c r="Y227" s="16">
        <v>4.0</v>
      </c>
      <c r="Z227" s="16">
        <v>4.0</v>
      </c>
      <c r="AA227" s="16">
        <v>4.0</v>
      </c>
      <c r="AB227" s="16">
        <v>4.0</v>
      </c>
      <c r="AC227" s="16">
        <v>4.0</v>
      </c>
      <c r="AD227" s="37">
        <v>14.0</v>
      </c>
      <c r="AE227" s="37">
        <v>15.0</v>
      </c>
      <c r="AF227" s="37">
        <v>16.0</v>
      </c>
      <c r="AG227" s="37"/>
      <c r="AI227" s="18" t="s">
        <v>92</v>
      </c>
    </row>
    <row r="228">
      <c r="A228" s="11"/>
      <c r="B228" s="12" t="s">
        <v>34</v>
      </c>
      <c r="C228" s="12" t="s">
        <v>65</v>
      </c>
      <c r="D228" s="12" t="s">
        <v>102</v>
      </c>
      <c r="E228" s="12" t="s">
        <v>142</v>
      </c>
      <c r="F228" s="13" t="s">
        <v>143</v>
      </c>
      <c r="G228" s="12" t="s">
        <v>68</v>
      </c>
      <c r="H228" s="12" t="s">
        <v>144</v>
      </c>
      <c r="I228" s="12" t="s">
        <v>145</v>
      </c>
      <c r="J228" s="17" t="s">
        <v>552</v>
      </c>
      <c r="K228" s="17" t="s">
        <v>552</v>
      </c>
      <c r="L228" s="17" t="s">
        <v>193</v>
      </c>
      <c r="M228" s="17">
        <v>27.0</v>
      </c>
      <c r="N228" s="20">
        <v>45854.0</v>
      </c>
      <c r="O228" s="17" t="s">
        <v>194</v>
      </c>
      <c r="P228" s="16">
        <v>4.0</v>
      </c>
      <c r="Q228" s="16">
        <v>4.0</v>
      </c>
      <c r="R228" s="16">
        <v>4.0</v>
      </c>
      <c r="S228" s="16">
        <v>4.0</v>
      </c>
      <c r="T228" s="16">
        <v>4.0</v>
      </c>
      <c r="U228" s="16">
        <v>4.0</v>
      </c>
      <c r="V228" s="16">
        <v>4.0</v>
      </c>
      <c r="W228" s="16">
        <v>4.0</v>
      </c>
      <c r="X228" s="16">
        <v>4.0</v>
      </c>
      <c r="Y228" s="16">
        <v>4.0</v>
      </c>
      <c r="Z228" s="16">
        <v>4.0</v>
      </c>
      <c r="AA228" s="16">
        <v>4.0</v>
      </c>
      <c r="AB228" s="16">
        <v>4.0</v>
      </c>
      <c r="AC228" s="16">
        <v>4.0</v>
      </c>
      <c r="AD228" s="37">
        <v>14.0</v>
      </c>
      <c r="AE228" s="37">
        <v>15.0</v>
      </c>
      <c r="AF228" s="37">
        <v>16.0</v>
      </c>
      <c r="AG228" s="37"/>
      <c r="AI228" s="18" t="s">
        <v>92</v>
      </c>
    </row>
    <row r="229">
      <c r="A229" s="11"/>
      <c r="B229" s="12" t="s">
        <v>34</v>
      </c>
      <c r="C229" s="12" t="s">
        <v>65</v>
      </c>
      <c r="D229" s="12" t="s">
        <v>102</v>
      </c>
      <c r="E229" s="12" t="s">
        <v>142</v>
      </c>
      <c r="F229" s="13" t="s">
        <v>143</v>
      </c>
      <c r="G229" s="12" t="s">
        <v>68</v>
      </c>
      <c r="H229" s="12" t="s">
        <v>144</v>
      </c>
      <c r="I229" s="12" t="s">
        <v>145</v>
      </c>
      <c r="J229" s="17" t="s">
        <v>553</v>
      </c>
      <c r="K229" s="17" t="s">
        <v>553</v>
      </c>
      <c r="L229" s="17" t="s">
        <v>193</v>
      </c>
      <c r="M229" s="17">
        <v>28.0</v>
      </c>
      <c r="N229" s="20">
        <v>45854.0</v>
      </c>
      <c r="O229" s="17" t="s">
        <v>194</v>
      </c>
      <c r="P229" s="16">
        <v>4.0</v>
      </c>
      <c r="Q229" s="16">
        <v>4.0</v>
      </c>
      <c r="R229" s="16">
        <v>4.0</v>
      </c>
      <c r="S229" s="16">
        <v>4.0</v>
      </c>
      <c r="T229" s="16">
        <v>4.0</v>
      </c>
      <c r="U229" s="16">
        <v>4.0</v>
      </c>
      <c r="V229" s="16">
        <v>4.0</v>
      </c>
      <c r="W229" s="16">
        <v>4.0</v>
      </c>
      <c r="X229" s="16">
        <v>4.0</v>
      </c>
      <c r="Y229" s="16">
        <v>4.0</v>
      </c>
      <c r="Z229" s="16">
        <v>4.0</v>
      </c>
      <c r="AA229" s="16">
        <v>4.0</v>
      </c>
      <c r="AB229" s="16">
        <v>4.0</v>
      </c>
      <c r="AC229" s="16">
        <v>4.0</v>
      </c>
      <c r="AD229" s="37">
        <v>14.0</v>
      </c>
      <c r="AE229" s="37">
        <v>15.0</v>
      </c>
      <c r="AF229" s="37">
        <v>16.0</v>
      </c>
      <c r="AG229" s="37"/>
      <c r="AI229" s="18" t="s">
        <v>92</v>
      </c>
    </row>
    <row r="230">
      <c r="A230" s="11"/>
      <c r="B230" s="12" t="s">
        <v>34</v>
      </c>
      <c r="C230" s="12" t="s">
        <v>65</v>
      </c>
      <c r="D230" s="12" t="s">
        <v>102</v>
      </c>
      <c r="E230" s="12" t="s">
        <v>142</v>
      </c>
      <c r="F230" s="13" t="s">
        <v>143</v>
      </c>
      <c r="G230" s="12" t="s">
        <v>68</v>
      </c>
      <c r="H230" s="12" t="s">
        <v>144</v>
      </c>
      <c r="I230" s="12" t="s">
        <v>145</v>
      </c>
      <c r="J230" s="17" t="s">
        <v>554</v>
      </c>
      <c r="K230" s="17" t="s">
        <v>554</v>
      </c>
      <c r="L230" s="17" t="s">
        <v>193</v>
      </c>
      <c r="M230" s="17">
        <v>23.0</v>
      </c>
      <c r="N230" s="20">
        <v>45854.0</v>
      </c>
      <c r="O230" s="17" t="s">
        <v>194</v>
      </c>
      <c r="P230" s="16">
        <v>5.0</v>
      </c>
      <c r="Q230" s="16">
        <v>5.0</v>
      </c>
      <c r="R230" s="16">
        <v>4.0</v>
      </c>
      <c r="S230" s="16">
        <v>4.0</v>
      </c>
      <c r="T230" s="16">
        <v>5.0</v>
      </c>
      <c r="U230" s="16">
        <v>4.0</v>
      </c>
      <c r="V230" s="16">
        <v>4.0</v>
      </c>
      <c r="W230" s="16">
        <v>4.0</v>
      </c>
      <c r="X230" s="16">
        <v>4.0</v>
      </c>
      <c r="Y230" s="16">
        <v>4.0</v>
      </c>
      <c r="Z230" s="16">
        <v>5.0</v>
      </c>
      <c r="AA230" s="16">
        <v>5.0</v>
      </c>
      <c r="AB230" s="16">
        <v>5.0</v>
      </c>
      <c r="AC230" s="16">
        <v>4.0</v>
      </c>
      <c r="AD230" s="37">
        <v>13.0</v>
      </c>
      <c r="AE230" s="37">
        <v>14.0</v>
      </c>
      <c r="AF230" s="37">
        <v>18.0</v>
      </c>
      <c r="AG230" s="37"/>
      <c r="AI230" s="18" t="s">
        <v>92</v>
      </c>
    </row>
    <row r="231">
      <c r="A231" s="11"/>
      <c r="B231" s="12" t="s">
        <v>34</v>
      </c>
      <c r="C231" s="12" t="s">
        <v>65</v>
      </c>
      <c r="D231" s="12" t="s">
        <v>102</v>
      </c>
      <c r="E231" s="12" t="s">
        <v>142</v>
      </c>
      <c r="F231" s="13" t="s">
        <v>143</v>
      </c>
      <c r="G231" s="12" t="s">
        <v>68</v>
      </c>
      <c r="H231" s="12" t="s">
        <v>144</v>
      </c>
      <c r="I231" s="12" t="s">
        <v>145</v>
      </c>
      <c r="J231" s="17" t="s">
        <v>555</v>
      </c>
      <c r="K231" s="17" t="s">
        <v>555</v>
      </c>
      <c r="L231" s="17" t="s">
        <v>193</v>
      </c>
      <c r="M231" s="17">
        <v>50.0</v>
      </c>
      <c r="N231" s="20">
        <v>45854.0</v>
      </c>
      <c r="O231" s="17" t="s">
        <v>194</v>
      </c>
      <c r="P231" s="16">
        <v>4.0</v>
      </c>
      <c r="Q231" s="16">
        <v>4.0</v>
      </c>
      <c r="R231" s="16">
        <v>4.0</v>
      </c>
      <c r="S231" s="16">
        <v>4.0</v>
      </c>
      <c r="T231" s="16">
        <v>4.0</v>
      </c>
      <c r="U231" s="16">
        <v>4.0</v>
      </c>
      <c r="V231" s="16">
        <v>4.0</v>
      </c>
      <c r="W231" s="16">
        <v>4.0</v>
      </c>
      <c r="X231" s="16">
        <v>3.0</v>
      </c>
      <c r="Y231" s="16">
        <v>3.0</v>
      </c>
      <c r="Z231" s="16">
        <v>0.0</v>
      </c>
      <c r="AA231" s="16">
        <v>4.0</v>
      </c>
      <c r="AB231" s="16">
        <v>4.0</v>
      </c>
      <c r="AC231" s="16">
        <v>3.0</v>
      </c>
      <c r="AD231" s="37">
        <v>14.0</v>
      </c>
      <c r="AE231" s="37">
        <v>18.0</v>
      </c>
      <c r="AF231" s="37">
        <v>16.0</v>
      </c>
      <c r="AG231" s="37"/>
      <c r="AI231" s="18" t="s">
        <v>92</v>
      </c>
    </row>
    <row r="232">
      <c r="A232" s="11"/>
      <c r="B232" s="12" t="s">
        <v>34</v>
      </c>
      <c r="C232" s="12" t="s">
        <v>65</v>
      </c>
      <c r="D232" s="12" t="s">
        <v>102</v>
      </c>
      <c r="E232" s="12" t="s">
        <v>142</v>
      </c>
      <c r="F232" s="13" t="s">
        <v>143</v>
      </c>
      <c r="G232" s="12" t="s">
        <v>68</v>
      </c>
      <c r="H232" s="12" t="s">
        <v>144</v>
      </c>
      <c r="I232" s="12" t="s">
        <v>145</v>
      </c>
      <c r="J232" s="17" t="s">
        <v>556</v>
      </c>
      <c r="K232" s="17" t="s">
        <v>556</v>
      </c>
      <c r="L232" s="17" t="s">
        <v>193</v>
      </c>
      <c r="M232" s="17">
        <v>19.0</v>
      </c>
      <c r="N232" s="20">
        <v>45854.0</v>
      </c>
      <c r="O232" s="17" t="s">
        <v>194</v>
      </c>
      <c r="P232" s="16">
        <v>3.0</v>
      </c>
      <c r="Q232" s="16">
        <v>3.0</v>
      </c>
      <c r="R232" s="16">
        <v>2.0</v>
      </c>
      <c r="S232" s="16">
        <v>2.0</v>
      </c>
      <c r="T232" s="16">
        <v>4.0</v>
      </c>
      <c r="U232" s="16">
        <v>1.0</v>
      </c>
      <c r="V232" s="16">
        <v>1.0</v>
      </c>
      <c r="W232" s="16">
        <v>2.0</v>
      </c>
      <c r="X232" s="16">
        <v>4.0</v>
      </c>
      <c r="Y232" s="16">
        <v>4.0</v>
      </c>
      <c r="Z232" s="16">
        <v>4.0</v>
      </c>
      <c r="AA232" s="16">
        <v>3.0</v>
      </c>
      <c r="AB232" s="16">
        <v>4.0</v>
      </c>
      <c r="AC232" s="16">
        <v>4.0</v>
      </c>
      <c r="AD232" s="37">
        <v>15.0</v>
      </c>
      <c r="AE232" s="37">
        <v>13.0</v>
      </c>
      <c r="AF232" s="37">
        <v>10.0</v>
      </c>
      <c r="AG232" s="37"/>
      <c r="AI232" s="18" t="s">
        <v>92</v>
      </c>
    </row>
    <row r="233">
      <c r="A233" s="11"/>
      <c r="B233" s="12" t="s">
        <v>34</v>
      </c>
      <c r="C233" s="12" t="s">
        <v>65</v>
      </c>
      <c r="D233" s="12" t="s">
        <v>102</v>
      </c>
      <c r="E233" s="12" t="s">
        <v>142</v>
      </c>
      <c r="F233" s="13" t="s">
        <v>143</v>
      </c>
      <c r="G233" s="12" t="s">
        <v>68</v>
      </c>
      <c r="H233" s="12" t="s">
        <v>144</v>
      </c>
      <c r="I233" s="12" t="s">
        <v>145</v>
      </c>
      <c r="J233" s="17" t="s">
        <v>557</v>
      </c>
      <c r="K233" s="17" t="s">
        <v>557</v>
      </c>
      <c r="L233" s="17" t="s">
        <v>222</v>
      </c>
      <c r="M233" s="17">
        <v>33.0</v>
      </c>
      <c r="N233" s="20">
        <v>45854.0</v>
      </c>
      <c r="O233" s="17" t="s">
        <v>194</v>
      </c>
      <c r="P233" s="16">
        <v>5.0</v>
      </c>
      <c r="Q233" s="16">
        <v>5.0</v>
      </c>
      <c r="R233" s="16">
        <v>4.0</v>
      </c>
      <c r="S233" s="16">
        <v>4.0</v>
      </c>
      <c r="T233" s="16">
        <v>4.0</v>
      </c>
      <c r="U233" s="16">
        <v>5.0</v>
      </c>
      <c r="V233" s="16">
        <v>5.0</v>
      </c>
      <c r="W233" s="16">
        <v>4.0</v>
      </c>
      <c r="X233" s="16">
        <v>5.0</v>
      </c>
      <c r="Y233" s="16">
        <v>5.0</v>
      </c>
      <c r="Z233" s="16">
        <v>4.0</v>
      </c>
      <c r="AA233" s="16">
        <v>5.0</v>
      </c>
      <c r="AB233" s="16">
        <v>4.0</v>
      </c>
      <c r="AC233" s="16">
        <v>5.0</v>
      </c>
      <c r="AD233" s="37">
        <v>13.0</v>
      </c>
      <c r="AE233" s="37">
        <v>16.0</v>
      </c>
      <c r="AF233" s="37">
        <v>18.0</v>
      </c>
      <c r="AG233" s="37"/>
      <c r="AI233" s="18" t="s">
        <v>92</v>
      </c>
    </row>
    <row r="234">
      <c r="A234" s="11"/>
      <c r="B234" s="12" t="s">
        <v>34</v>
      </c>
      <c r="C234" s="12" t="s">
        <v>65</v>
      </c>
      <c r="D234" s="12" t="s">
        <v>102</v>
      </c>
      <c r="E234" s="12" t="s">
        <v>142</v>
      </c>
      <c r="F234" s="13" t="s">
        <v>143</v>
      </c>
      <c r="G234" s="12" t="s">
        <v>68</v>
      </c>
      <c r="H234" s="12" t="s">
        <v>144</v>
      </c>
      <c r="I234" s="12" t="s">
        <v>145</v>
      </c>
      <c r="J234" s="17" t="s">
        <v>558</v>
      </c>
      <c r="K234" s="17" t="s">
        <v>558</v>
      </c>
      <c r="L234" s="17" t="s">
        <v>193</v>
      </c>
      <c r="M234" s="17">
        <v>30.0</v>
      </c>
      <c r="N234" s="20">
        <v>45854.0</v>
      </c>
      <c r="O234" s="17" t="s">
        <v>194</v>
      </c>
      <c r="P234" s="16">
        <v>2.0</v>
      </c>
      <c r="Q234" s="16">
        <v>2.0</v>
      </c>
      <c r="R234" s="16">
        <v>3.0</v>
      </c>
      <c r="S234" s="16">
        <v>3.0</v>
      </c>
      <c r="T234" s="16">
        <v>4.0</v>
      </c>
      <c r="U234" s="16">
        <v>4.0</v>
      </c>
      <c r="V234" s="16">
        <v>4.0</v>
      </c>
      <c r="W234" s="16">
        <v>3.0</v>
      </c>
      <c r="X234" s="16">
        <v>4.0</v>
      </c>
      <c r="Y234" s="16">
        <v>4.0</v>
      </c>
      <c r="Z234" s="16">
        <v>4.0</v>
      </c>
      <c r="AA234" s="16">
        <v>2.0</v>
      </c>
      <c r="AB234" s="16">
        <v>4.0</v>
      </c>
      <c r="AC234" s="16">
        <v>4.0</v>
      </c>
      <c r="AD234" s="37">
        <v>16.0</v>
      </c>
      <c r="AE234" s="37">
        <v>14.0</v>
      </c>
      <c r="AF234" s="37">
        <v>16.0</v>
      </c>
      <c r="AG234" s="37"/>
      <c r="AI234" s="18" t="s">
        <v>92</v>
      </c>
    </row>
    <row r="235">
      <c r="A235" s="11"/>
      <c r="B235" s="12" t="s">
        <v>34</v>
      </c>
      <c r="C235" s="12" t="s">
        <v>65</v>
      </c>
      <c r="D235" s="12" t="s">
        <v>102</v>
      </c>
      <c r="E235" s="12" t="s">
        <v>142</v>
      </c>
      <c r="F235" s="13" t="s">
        <v>143</v>
      </c>
      <c r="G235" s="12" t="s">
        <v>68</v>
      </c>
      <c r="H235" s="12" t="s">
        <v>144</v>
      </c>
      <c r="I235" s="12" t="s">
        <v>145</v>
      </c>
      <c r="J235" s="17" t="s">
        <v>559</v>
      </c>
      <c r="K235" s="17" t="s">
        <v>559</v>
      </c>
      <c r="L235" s="17" t="s">
        <v>193</v>
      </c>
      <c r="M235" s="17">
        <v>28.0</v>
      </c>
      <c r="N235" s="20">
        <v>45854.0</v>
      </c>
      <c r="O235" s="17" t="s">
        <v>194</v>
      </c>
      <c r="P235" s="16">
        <v>2.0</v>
      </c>
      <c r="Q235" s="16">
        <v>2.0</v>
      </c>
      <c r="R235" s="16">
        <v>3.0</v>
      </c>
      <c r="S235" s="16">
        <v>3.0</v>
      </c>
      <c r="T235" s="16">
        <v>4.0</v>
      </c>
      <c r="U235" s="16">
        <v>4.0</v>
      </c>
      <c r="V235" s="16">
        <v>4.0</v>
      </c>
      <c r="W235" s="16">
        <v>3.0</v>
      </c>
      <c r="X235" s="16">
        <v>4.0</v>
      </c>
      <c r="Y235" s="16">
        <v>4.0</v>
      </c>
      <c r="Z235" s="16">
        <v>4.0</v>
      </c>
      <c r="AA235" s="16">
        <v>2.0</v>
      </c>
      <c r="AB235" s="16">
        <v>4.0</v>
      </c>
      <c r="AC235" s="16">
        <v>4.0</v>
      </c>
      <c r="AD235" s="37">
        <v>16.0</v>
      </c>
      <c r="AE235" s="37">
        <v>14.0</v>
      </c>
      <c r="AF235" s="37">
        <v>16.0</v>
      </c>
      <c r="AG235" s="37"/>
      <c r="AI235" s="18" t="s">
        <v>92</v>
      </c>
    </row>
    <row r="236">
      <c r="A236" s="11"/>
      <c r="B236" s="12" t="s">
        <v>34</v>
      </c>
      <c r="C236" s="12" t="s">
        <v>65</v>
      </c>
      <c r="D236" s="12" t="s">
        <v>102</v>
      </c>
      <c r="E236" s="12" t="s">
        <v>142</v>
      </c>
      <c r="F236" s="13" t="s">
        <v>143</v>
      </c>
      <c r="G236" s="12" t="s">
        <v>68</v>
      </c>
      <c r="H236" s="12" t="s">
        <v>144</v>
      </c>
      <c r="I236" s="12" t="s">
        <v>145</v>
      </c>
      <c r="J236" s="17" t="s">
        <v>560</v>
      </c>
      <c r="K236" s="17" t="s">
        <v>560</v>
      </c>
      <c r="L236" s="17" t="s">
        <v>193</v>
      </c>
      <c r="M236" s="17">
        <v>20.0</v>
      </c>
      <c r="N236" s="20">
        <v>45854.0</v>
      </c>
      <c r="O236" s="17" t="s">
        <v>194</v>
      </c>
      <c r="P236" s="16">
        <v>3.0</v>
      </c>
      <c r="Q236" s="16">
        <v>3.0</v>
      </c>
      <c r="R236" s="16">
        <v>2.0</v>
      </c>
      <c r="S236" s="16">
        <v>2.0</v>
      </c>
      <c r="T236" s="16">
        <v>4.0</v>
      </c>
      <c r="U236" s="16">
        <v>4.0</v>
      </c>
      <c r="V236" s="16">
        <v>4.0</v>
      </c>
      <c r="W236" s="16">
        <v>2.0</v>
      </c>
      <c r="X236" s="16">
        <v>4.0</v>
      </c>
      <c r="Y236" s="16">
        <v>4.0</v>
      </c>
      <c r="Z236" s="16">
        <v>4.0</v>
      </c>
      <c r="AA236" s="16">
        <v>3.0</v>
      </c>
      <c r="AB236" s="16">
        <v>4.0</v>
      </c>
      <c r="AC236" s="16">
        <v>4.0</v>
      </c>
      <c r="AD236" s="37">
        <v>15.0</v>
      </c>
      <c r="AE236" s="37">
        <v>13.0</v>
      </c>
      <c r="AF236" s="37">
        <v>16.0</v>
      </c>
      <c r="AG236" s="37"/>
      <c r="AI236" s="18" t="s">
        <v>92</v>
      </c>
    </row>
    <row r="237">
      <c r="A237" s="11"/>
      <c r="B237" s="12" t="s">
        <v>34</v>
      </c>
      <c r="C237" s="12" t="s">
        <v>65</v>
      </c>
      <c r="D237" s="12" t="s">
        <v>102</v>
      </c>
      <c r="E237" s="12" t="s">
        <v>142</v>
      </c>
      <c r="F237" s="13" t="s">
        <v>143</v>
      </c>
      <c r="G237" s="12" t="s">
        <v>68</v>
      </c>
      <c r="H237" s="12" t="s">
        <v>144</v>
      </c>
      <c r="I237" s="12" t="s">
        <v>145</v>
      </c>
      <c r="J237" s="17" t="s">
        <v>561</v>
      </c>
      <c r="K237" s="17" t="s">
        <v>561</v>
      </c>
      <c r="L237" s="17" t="s">
        <v>193</v>
      </c>
      <c r="M237" s="17">
        <v>25.0</v>
      </c>
      <c r="N237" s="20">
        <v>45854.0</v>
      </c>
      <c r="O237" s="17" t="s">
        <v>194</v>
      </c>
      <c r="P237" s="16">
        <v>2.0</v>
      </c>
      <c r="Q237" s="16">
        <v>2.0</v>
      </c>
      <c r="R237" s="16">
        <v>3.0</v>
      </c>
      <c r="S237" s="16">
        <v>3.0</v>
      </c>
      <c r="T237" s="16">
        <v>5.0</v>
      </c>
      <c r="U237" s="16">
        <v>3.0</v>
      </c>
      <c r="V237" s="16">
        <v>3.0</v>
      </c>
      <c r="W237" s="16">
        <v>3.0</v>
      </c>
      <c r="X237" s="16">
        <v>1.0</v>
      </c>
      <c r="Y237" s="16">
        <v>1.0</v>
      </c>
      <c r="Z237" s="16">
        <v>5.0</v>
      </c>
      <c r="AA237" s="16">
        <v>2.0</v>
      </c>
      <c r="AB237" s="16">
        <v>5.0</v>
      </c>
      <c r="AC237" s="16">
        <v>1.0</v>
      </c>
      <c r="AD237" s="37">
        <v>16.0</v>
      </c>
      <c r="AE237" s="37">
        <v>10.0</v>
      </c>
      <c r="AF237" s="37">
        <v>16.0</v>
      </c>
      <c r="AG237" s="37"/>
      <c r="AI237" s="18" t="s">
        <v>92</v>
      </c>
    </row>
    <row r="238">
      <c r="A238" s="11"/>
      <c r="B238" s="12" t="s">
        <v>34</v>
      </c>
      <c r="C238" s="12" t="s">
        <v>65</v>
      </c>
      <c r="D238" s="12" t="s">
        <v>102</v>
      </c>
      <c r="E238" s="12" t="s">
        <v>142</v>
      </c>
      <c r="F238" s="13" t="s">
        <v>143</v>
      </c>
      <c r="G238" s="12" t="s">
        <v>68</v>
      </c>
      <c r="H238" s="12" t="s">
        <v>144</v>
      </c>
      <c r="I238" s="12" t="s">
        <v>145</v>
      </c>
      <c r="J238" s="17" t="s">
        <v>562</v>
      </c>
      <c r="K238" s="17" t="s">
        <v>562</v>
      </c>
      <c r="L238" s="17" t="s">
        <v>222</v>
      </c>
      <c r="M238" s="17">
        <v>26.0</v>
      </c>
      <c r="N238" s="20">
        <v>45854.0</v>
      </c>
      <c r="O238" s="17" t="s">
        <v>194</v>
      </c>
      <c r="P238" s="16">
        <v>5.0</v>
      </c>
      <c r="Q238" s="16">
        <v>5.0</v>
      </c>
      <c r="R238" s="16">
        <v>5.0</v>
      </c>
      <c r="S238" s="16">
        <v>5.0</v>
      </c>
      <c r="T238" s="16">
        <v>5.0</v>
      </c>
      <c r="U238" s="16">
        <v>5.0</v>
      </c>
      <c r="V238" s="16">
        <v>5.0</v>
      </c>
      <c r="W238" s="16">
        <v>5.0</v>
      </c>
      <c r="X238" s="16">
        <v>5.0</v>
      </c>
      <c r="Y238" s="16">
        <v>5.0</v>
      </c>
      <c r="Z238" s="16">
        <v>5.0</v>
      </c>
      <c r="AA238" s="16">
        <v>5.0</v>
      </c>
      <c r="AB238" s="16">
        <v>5.0</v>
      </c>
      <c r="AC238" s="16">
        <v>5.0</v>
      </c>
      <c r="AD238" s="37">
        <v>13.0</v>
      </c>
      <c r="AE238" s="37">
        <v>16.0</v>
      </c>
      <c r="AF238" s="37">
        <v>20.0</v>
      </c>
      <c r="AG238" s="37"/>
      <c r="AI238" s="18" t="s">
        <v>92</v>
      </c>
    </row>
    <row r="239">
      <c r="A239" s="11"/>
      <c r="B239" s="12" t="s">
        <v>34</v>
      </c>
      <c r="C239" s="12" t="s">
        <v>65</v>
      </c>
      <c r="D239" s="12" t="s">
        <v>102</v>
      </c>
      <c r="E239" s="12" t="s">
        <v>142</v>
      </c>
      <c r="F239" s="13" t="s">
        <v>143</v>
      </c>
      <c r="G239" s="12" t="s">
        <v>68</v>
      </c>
      <c r="H239" s="12" t="s">
        <v>144</v>
      </c>
      <c r="I239" s="12" t="s">
        <v>145</v>
      </c>
      <c r="J239" s="17" t="s">
        <v>563</v>
      </c>
      <c r="K239" s="17" t="s">
        <v>563</v>
      </c>
      <c r="L239" s="17" t="s">
        <v>193</v>
      </c>
      <c r="M239" s="17">
        <v>27.0</v>
      </c>
      <c r="N239" s="20">
        <v>45854.0</v>
      </c>
      <c r="O239" s="17" t="s">
        <v>194</v>
      </c>
      <c r="P239" s="16">
        <v>4.0</v>
      </c>
      <c r="Q239" s="16">
        <v>4.0</v>
      </c>
      <c r="R239" s="16">
        <v>4.0</v>
      </c>
      <c r="S239" s="16">
        <v>4.0</v>
      </c>
      <c r="T239" s="16">
        <v>4.0</v>
      </c>
      <c r="U239" s="16">
        <v>4.0</v>
      </c>
      <c r="V239" s="16">
        <v>4.0</v>
      </c>
      <c r="W239" s="16">
        <v>4.0</v>
      </c>
      <c r="X239" s="16">
        <v>4.0</v>
      </c>
      <c r="Y239" s="16">
        <v>4.0</v>
      </c>
      <c r="Z239" s="16">
        <v>4.0</v>
      </c>
      <c r="AA239" s="16">
        <v>4.0</v>
      </c>
      <c r="AB239" s="16">
        <v>4.0</v>
      </c>
      <c r="AC239" s="16">
        <v>4.0</v>
      </c>
      <c r="AD239" s="37">
        <v>14.0</v>
      </c>
      <c r="AE239" s="37">
        <v>15.0</v>
      </c>
      <c r="AF239" s="37">
        <v>16.0</v>
      </c>
      <c r="AG239" s="37"/>
      <c r="AI239" s="18" t="s">
        <v>92</v>
      </c>
    </row>
    <row r="240">
      <c r="A240" s="11"/>
      <c r="B240" s="12" t="s">
        <v>34</v>
      </c>
      <c r="C240" s="12" t="s">
        <v>65</v>
      </c>
      <c r="D240" s="12" t="s">
        <v>102</v>
      </c>
      <c r="E240" s="12" t="s">
        <v>142</v>
      </c>
      <c r="F240" s="13" t="s">
        <v>143</v>
      </c>
      <c r="G240" s="12" t="s">
        <v>68</v>
      </c>
      <c r="H240" s="12" t="s">
        <v>144</v>
      </c>
      <c r="I240" s="12" t="s">
        <v>145</v>
      </c>
      <c r="J240" s="17" t="s">
        <v>564</v>
      </c>
      <c r="K240" s="17" t="s">
        <v>564</v>
      </c>
      <c r="L240" s="17" t="s">
        <v>193</v>
      </c>
      <c r="M240" s="17">
        <v>26.0</v>
      </c>
      <c r="N240" s="20">
        <v>45854.0</v>
      </c>
      <c r="O240" s="17" t="s">
        <v>194</v>
      </c>
      <c r="P240" s="16">
        <v>4.0</v>
      </c>
      <c r="Q240" s="16">
        <v>4.0</v>
      </c>
      <c r="R240" s="16">
        <v>4.0</v>
      </c>
      <c r="S240" s="16">
        <v>4.0</v>
      </c>
      <c r="T240" s="16">
        <v>4.0</v>
      </c>
      <c r="U240" s="16">
        <v>4.0</v>
      </c>
      <c r="V240" s="16">
        <v>4.0</v>
      </c>
      <c r="W240" s="16">
        <v>4.0</v>
      </c>
      <c r="X240" s="16">
        <v>4.0</v>
      </c>
      <c r="Y240" s="16">
        <v>4.0</v>
      </c>
      <c r="Z240" s="16">
        <v>4.0</v>
      </c>
      <c r="AA240" s="16">
        <v>4.0</v>
      </c>
      <c r="AB240" s="16">
        <v>4.0</v>
      </c>
      <c r="AC240" s="16">
        <v>4.0</v>
      </c>
      <c r="AD240" s="37">
        <v>14.0</v>
      </c>
      <c r="AE240" s="37">
        <v>15.0</v>
      </c>
      <c r="AF240" s="37">
        <v>16.0</v>
      </c>
      <c r="AG240" s="37"/>
      <c r="AI240" s="18" t="s">
        <v>92</v>
      </c>
    </row>
    <row r="241">
      <c r="A241" s="11"/>
      <c r="B241" s="12" t="s">
        <v>34</v>
      </c>
      <c r="C241" s="12" t="s">
        <v>65</v>
      </c>
      <c r="D241" s="12" t="s">
        <v>102</v>
      </c>
      <c r="E241" s="12" t="s">
        <v>142</v>
      </c>
      <c r="F241" s="13" t="s">
        <v>143</v>
      </c>
      <c r="G241" s="12" t="s">
        <v>68</v>
      </c>
      <c r="H241" s="12" t="s">
        <v>144</v>
      </c>
      <c r="I241" s="12" t="s">
        <v>145</v>
      </c>
      <c r="J241" s="17" t="s">
        <v>565</v>
      </c>
      <c r="K241" s="17" t="s">
        <v>565</v>
      </c>
      <c r="L241" s="17" t="s">
        <v>193</v>
      </c>
      <c r="M241" s="17">
        <v>25.0</v>
      </c>
      <c r="N241" s="20">
        <v>45854.0</v>
      </c>
      <c r="O241" s="17" t="s">
        <v>194</v>
      </c>
      <c r="P241" s="16">
        <v>5.0</v>
      </c>
      <c r="Q241" s="16">
        <v>5.0</v>
      </c>
      <c r="R241" s="16">
        <v>4.0</v>
      </c>
      <c r="S241" s="16">
        <v>4.0</v>
      </c>
      <c r="T241" s="16">
        <v>5.0</v>
      </c>
      <c r="U241" s="16">
        <v>4.0</v>
      </c>
      <c r="V241" s="16">
        <v>4.0</v>
      </c>
      <c r="W241" s="16">
        <v>4.0</v>
      </c>
      <c r="X241" s="16">
        <v>5.0</v>
      </c>
      <c r="Y241" s="16">
        <v>5.0</v>
      </c>
      <c r="Z241" s="16">
        <v>5.0</v>
      </c>
      <c r="AA241" s="16">
        <v>5.0</v>
      </c>
      <c r="AB241" s="16">
        <v>5.0</v>
      </c>
      <c r="AC241" s="16">
        <v>5.0</v>
      </c>
      <c r="AD241" s="37">
        <v>13.0</v>
      </c>
      <c r="AE241" s="37">
        <v>15.0</v>
      </c>
      <c r="AF241" s="37">
        <v>18.0</v>
      </c>
      <c r="AG241" s="37"/>
      <c r="AI241" s="18" t="s">
        <v>92</v>
      </c>
    </row>
    <row r="242">
      <c r="A242" s="11"/>
      <c r="B242" s="12" t="s">
        <v>34</v>
      </c>
      <c r="C242" s="12" t="s">
        <v>65</v>
      </c>
      <c r="D242" s="12" t="s">
        <v>102</v>
      </c>
      <c r="E242" s="12" t="s">
        <v>142</v>
      </c>
      <c r="F242" s="13" t="s">
        <v>143</v>
      </c>
      <c r="G242" s="12" t="s">
        <v>68</v>
      </c>
      <c r="H242" s="12" t="s">
        <v>144</v>
      </c>
      <c r="I242" s="12" t="s">
        <v>145</v>
      </c>
      <c r="J242" s="17" t="s">
        <v>566</v>
      </c>
      <c r="K242" s="17" t="s">
        <v>566</v>
      </c>
      <c r="L242" s="17" t="s">
        <v>193</v>
      </c>
      <c r="M242" s="17">
        <v>23.0</v>
      </c>
      <c r="N242" s="20">
        <v>45854.0</v>
      </c>
      <c r="O242" s="17" t="s">
        <v>194</v>
      </c>
      <c r="P242" s="16">
        <v>4.0</v>
      </c>
      <c r="Q242" s="16">
        <v>4.0</v>
      </c>
      <c r="R242" s="16">
        <v>3.0</v>
      </c>
      <c r="S242" s="16">
        <v>3.0</v>
      </c>
      <c r="T242" s="16">
        <v>5.0</v>
      </c>
      <c r="U242" s="16">
        <v>2.0</v>
      </c>
      <c r="V242" s="16">
        <v>2.0</v>
      </c>
      <c r="W242" s="16">
        <v>3.0</v>
      </c>
      <c r="X242" s="16">
        <v>4.0</v>
      </c>
      <c r="Y242" s="16">
        <v>4.0</v>
      </c>
      <c r="Z242" s="16">
        <v>5.0</v>
      </c>
      <c r="AA242" s="16">
        <v>4.0</v>
      </c>
      <c r="AB242" s="16">
        <v>5.0</v>
      </c>
      <c r="AC242" s="16">
        <v>4.0</v>
      </c>
      <c r="AD242" s="37">
        <v>14.0</v>
      </c>
      <c r="AE242" s="37">
        <v>13.0</v>
      </c>
      <c r="AF242" s="37">
        <v>14.0</v>
      </c>
      <c r="AG242" s="37"/>
      <c r="AI242" s="18" t="s">
        <v>92</v>
      </c>
    </row>
    <row r="243">
      <c r="A243" s="11"/>
      <c r="B243" s="12" t="s">
        <v>34</v>
      </c>
      <c r="C243" s="12" t="s">
        <v>65</v>
      </c>
      <c r="D243" s="12" t="s">
        <v>102</v>
      </c>
      <c r="E243" s="12" t="s">
        <v>142</v>
      </c>
      <c r="F243" s="13" t="s">
        <v>143</v>
      </c>
      <c r="G243" s="12" t="s">
        <v>68</v>
      </c>
      <c r="H243" s="12" t="s">
        <v>144</v>
      </c>
      <c r="I243" s="12" t="s">
        <v>145</v>
      </c>
      <c r="J243" s="17" t="s">
        <v>567</v>
      </c>
      <c r="K243" s="17" t="s">
        <v>567</v>
      </c>
      <c r="L243" s="17" t="s">
        <v>222</v>
      </c>
      <c r="M243" s="17">
        <v>50.0</v>
      </c>
      <c r="N243" s="20">
        <v>45854.0</v>
      </c>
      <c r="O243" s="17" t="s">
        <v>194</v>
      </c>
      <c r="P243" s="16">
        <v>5.0</v>
      </c>
      <c r="Q243" s="16">
        <v>5.0</v>
      </c>
      <c r="R243" s="16">
        <v>3.0</v>
      </c>
      <c r="S243" s="16">
        <v>3.0</v>
      </c>
      <c r="T243" s="16">
        <v>5.0</v>
      </c>
      <c r="U243" s="16">
        <v>3.0</v>
      </c>
      <c r="V243" s="16">
        <v>3.0</v>
      </c>
      <c r="W243" s="16">
        <v>3.0</v>
      </c>
      <c r="X243" s="16">
        <v>5.0</v>
      </c>
      <c r="Y243" s="16">
        <v>5.0</v>
      </c>
      <c r="Z243" s="16">
        <v>5.0</v>
      </c>
      <c r="AA243" s="16">
        <v>5.0</v>
      </c>
      <c r="AB243" s="16">
        <v>5.0</v>
      </c>
      <c r="AC243" s="16">
        <v>5.0</v>
      </c>
      <c r="AD243" s="37">
        <v>13.0</v>
      </c>
      <c r="AE243" s="37">
        <v>14.0</v>
      </c>
      <c r="AF243" s="37">
        <v>16.0</v>
      </c>
      <c r="AG243" s="37"/>
      <c r="AI243" s="18" t="s">
        <v>92</v>
      </c>
    </row>
    <row r="244">
      <c r="A244" s="11"/>
      <c r="B244" s="12" t="s">
        <v>34</v>
      </c>
      <c r="C244" s="12" t="s">
        <v>65</v>
      </c>
      <c r="D244" s="12" t="s">
        <v>102</v>
      </c>
      <c r="E244" s="12" t="s">
        <v>142</v>
      </c>
      <c r="F244" s="13" t="s">
        <v>143</v>
      </c>
      <c r="G244" s="12" t="s">
        <v>68</v>
      </c>
      <c r="H244" s="12" t="s">
        <v>144</v>
      </c>
      <c r="I244" s="12" t="s">
        <v>145</v>
      </c>
      <c r="J244" s="17" t="s">
        <v>568</v>
      </c>
      <c r="K244" s="17" t="s">
        <v>568</v>
      </c>
      <c r="L244" s="17" t="s">
        <v>193</v>
      </c>
      <c r="M244" s="17"/>
      <c r="N244" s="20">
        <v>45854.0</v>
      </c>
      <c r="O244" s="17" t="s">
        <v>194</v>
      </c>
      <c r="P244" s="16">
        <v>5.0</v>
      </c>
      <c r="Q244" s="16">
        <v>5.0</v>
      </c>
      <c r="R244" s="16">
        <v>4.0</v>
      </c>
      <c r="S244" s="16">
        <v>4.0</v>
      </c>
      <c r="T244" s="16">
        <v>4.0</v>
      </c>
      <c r="U244" s="16">
        <v>4.0</v>
      </c>
      <c r="V244" s="16">
        <v>4.0</v>
      </c>
      <c r="W244" s="16">
        <v>4.0</v>
      </c>
      <c r="X244" s="16">
        <v>4.0</v>
      </c>
      <c r="Y244" s="16">
        <v>4.0</v>
      </c>
      <c r="Z244" s="16">
        <v>4.0</v>
      </c>
      <c r="AA244" s="16">
        <v>5.0</v>
      </c>
      <c r="AB244" s="16">
        <v>4.0</v>
      </c>
      <c r="AC244" s="16">
        <v>4.0</v>
      </c>
      <c r="AD244" s="37">
        <v>13.0</v>
      </c>
      <c r="AE244" s="37">
        <v>15.0</v>
      </c>
      <c r="AF244" s="37">
        <v>16.0</v>
      </c>
      <c r="AG244" s="37"/>
      <c r="AI244" s="18" t="s">
        <v>92</v>
      </c>
    </row>
    <row r="245">
      <c r="A245" s="11"/>
      <c r="B245" s="12" t="s">
        <v>34</v>
      </c>
      <c r="C245" s="12" t="s">
        <v>65</v>
      </c>
      <c r="D245" s="12" t="s">
        <v>102</v>
      </c>
      <c r="E245" s="12" t="s">
        <v>142</v>
      </c>
      <c r="F245" s="13" t="s">
        <v>143</v>
      </c>
      <c r="G245" s="12" t="s">
        <v>68</v>
      </c>
      <c r="H245" s="12" t="s">
        <v>144</v>
      </c>
      <c r="I245" s="12" t="s">
        <v>145</v>
      </c>
      <c r="J245" s="17" t="s">
        <v>569</v>
      </c>
      <c r="K245" s="17" t="s">
        <v>569</v>
      </c>
      <c r="L245" s="17" t="s">
        <v>193</v>
      </c>
      <c r="N245" s="20">
        <v>45973.0</v>
      </c>
      <c r="O245" s="17" t="s">
        <v>428</v>
      </c>
      <c r="P245" s="16">
        <v>4.0</v>
      </c>
      <c r="Q245" s="16">
        <v>4.0</v>
      </c>
      <c r="R245" s="16">
        <v>3.0</v>
      </c>
      <c r="S245" s="16">
        <v>3.0</v>
      </c>
      <c r="T245" s="16">
        <v>5.0</v>
      </c>
      <c r="U245" s="16">
        <v>4.0</v>
      </c>
      <c r="V245" s="16">
        <v>4.0</v>
      </c>
      <c r="W245" s="16">
        <v>3.0</v>
      </c>
      <c r="X245" s="16">
        <v>4.0</v>
      </c>
      <c r="Y245" s="16">
        <v>4.0</v>
      </c>
      <c r="Z245" s="16">
        <v>5.0</v>
      </c>
      <c r="AA245" s="16">
        <v>4.0</v>
      </c>
      <c r="AB245" s="16">
        <v>5.0</v>
      </c>
      <c r="AC245" s="16">
        <v>4.0</v>
      </c>
      <c r="AD245" s="38">
        <v>14.0</v>
      </c>
      <c r="AE245" s="38">
        <v>13.0</v>
      </c>
      <c r="AF245" s="38">
        <v>18.0</v>
      </c>
      <c r="AG245" s="38" t="s">
        <v>570</v>
      </c>
      <c r="AI245" s="18" t="s">
        <v>92</v>
      </c>
    </row>
    <row r="246">
      <c r="A246" s="11"/>
      <c r="B246" s="12" t="s">
        <v>34</v>
      </c>
      <c r="C246" s="12" t="s">
        <v>65</v>
      </c>
      <c r="D246" s="12" t="s">
        <v>102</v>
      </c>
      <c r="E246" s="12" t="s">
        <v>142</v>
      </c>
      <c r="F246" s="13" t="s">
        <v>143</v>
      </c>
      <c r="G246" s="12" t="s">
        <v>68</v>
      </c>
      <c r="H246" s="12" t="s">
        <v>144</v>
      </c>
      <c r="I246" s="12" t="s">
        <v>145</v>
      </c>
      <c r="J246" s="17" t="s">
        <v>566</v>
      </c>
      <c r="K246" s="17" t="s">
        <v>566</v>
      </c>
      <c r="L246" s="17" t="s">
        <v>193</v>
      </c>
      <c r="M246" s="17">
        <v>23.0</v>
      </c>
      <c r="N246" s="20">
        <v>45973.0</v>
      </c>
      <c r="O246" s="17" t="s">
        <v>428</v>
      </c>
      <c r="P246" s="16">
        <v>4.0</v>
      </c>
      <c r="Q246" s="16">
        <v>4.0</v>
      </c>
      <c r="R246" s="16">
        <v>3.0</v>
      </c>
      <c r="S246" s="16">
        <v>3.0</v>
      </c>
      <c r="T246" s="16">
        <v>5.0</v>
      </c>
      <c r="U246" s="16">
        <v>3.0</v>
      </c>
      <c r="V246" s="16">
        <v>3.0</v>
      </c>
      <c r="W246" s="16">
        <v>3.0</v>
      </c>
      <c r="X246" s="16">
        <v>4.0</v>
      </c>
      <c r="Y246" s="16">
        <v>4.0</v>
      </c>
      <c r="Z246" s="16">
        <v>5.0</v>
      </c>
      <c r="AA246" s="16">
        <v>4.0</v>
      </c>
      <c r="AB246" s="16">
        <v>5.0</v>
      </c>
      <c r="AC246" s="16">
        <v>4.0</v>
      </c>
      <c r="AD246" s="38">
        <v>14.0</v>
      </c>
      <c r="AE246" s="38">
        <v>13.0</v>
      </c>
      <c r="AF246" s="38">
        <v>16.0</v>
      </c>
      <c r="AG246" s="38" t="s">
        <v>571</v>
      </c>
      <c r="AI246" s="18" t="s">
        <v>92</v>
      </c>
    </row>
    <row r="247">
      <c r="A247" s="11"/>
      <c r="B247" s="12" t="s">
        <v>34</v>
      </c>
      <c r="C247" s="12" t="s">
        <v>65</v>
      </c>
      <c r="D247" s="12" t="s">
        <v>102</v>
      </c>
      <c r="E247" s="12" t="s">
        <v>142</v>
      </c>
      <c r="F247" s="13" t="s">
        <v>143</v>
      </c>
      <c r="G247" s="12" t="s">
        <v>68</v>
      </c>
      <c r="H247" s="12" t="s">
        <v>144</v>
      </c>
      <c r="I247" s="12" t="s">
        <v>145</v>
      </c>
      <c r="J247" s="17" t="s">
        <v>558</v>
      </c>
      <c r="K247" s="17" t="s">
        <v>558</v>
      </c>
      <c r="L247" s="17" t="s">
        <v>193</v>
      </c>
      <c r="M247" s="17">
        <v>30.0</v>
      </c>
      <c r="N247" s="20">
        <v>45973.0</v>
      </c>
      <c r="O247" s="17" t="s">
        <v>428</v>
      </c>
      <c r="P247" s="16">
        <v>3.0</v>
      </c>
      <c r="Q247" s="16">
        <v>3.0</v>
      </c>
      <c r="R247" s="16">
        <v>4.0</v>
      </c>
      <c r="S247" s="16">
        <v>4.0</v>
      </c>
      <c r="T247" s="16">
        <v>4.0</v>
      </c>
      <c r="U247" s="16">
        <v>5.0</v>
      </c>
      <c r="V247" s="16">
        <v>5.0</v>
      </c>
      <c r="W247" s="16">
        <v>4.0</v>
      </c>
      <c r="X247" s="16">
        <v>5.0</v>
      </c>
      <c r="Y247" s="16">
        <v>5.0</v>
      </c>
      <c r="Z247" s="16">
        <v>4.0</v>
      </c>
      <c r="AA247" s="16">
        <v>3.0</v>
      </c>
      <c r="AB247" s="16">
        <v>4.0</v>
      </c>
      <c r="AC247" s="16">
        <v>5.0</v>
      </c>
      <c r="AD247" s="38">
        <v>15.0</v>
      </c>
      <c r="AE247" s="38">
        <v>16.0</v>
      </c>
      <c r="AF247" s="38">
        <v>18.0</v>
      </c>
      <c r="AG247" s="38" t="s">
        <v>572</v>
      </c>
      <c r="AI247" s="18" t="s">
        <v>92</v>
      </c>
    </row>
    <row r="248">
      <c r="A248" s="11"/>
      <c r="B248" s="12" t="s">
        <v>34</v>
      </c>
      <c r="C248" s="12" t="s">
        <v>65</v>
      </c>
      <c r="D248" s="12" t="s">
        <v>102</v>
      </c>
      <c r="E248" s="12" t="s">
        <v>142</v>
      </c>
      <c r="F248" s="13" t="s">
        <v>143</v>
      </c>
      <c r="G248" s="12" t="s">
        <v>68</v>
      </c>
      <c r="H248" s="12" t="s">
        <v>144</v>
      </c>
      <c r="I248" s="12" t="s">
        <v>145</v>
      </c>
      <c r="J248" s="17" t="s">
        <v>530</v>
      </c>
      <c r="K248" s="17" t="s">
        <v>530</v>
      </c>
      <c r="L248" s="17" t="s">
        <v>222</v>
      </c>
      <c r="M248" s="17">
        <v>39.0</v>
      </c>
      <c r="N248" s="20">
        <v>45973.0</v>
      </c>
      <c r="O248" s="17" t="s">
        <v>428</v>
      </c>
      <c r="P248" s="16">
        <v>4.0</v>
      </c>
      <c r="Q248" s="16">
        <v>4.0</v>
      </c>
      <c r="R248" s="16">
        <v>4.0</v>
      </c>
      <c r="S248" s="16">
        <v>4.0</v>
      </c>
      <c r="T248" s="16">
        <v>3.0</v>
      </c>
      <c r="U248" s="16">
        <v>4.0</v>
      </c>
      <c r="V248" s="16">
        <v>4.0</v>
      </c>
      <c r="W248" s="16">
        <v>4.0</v>
      </c>
      <c r="X248" s="16">
        <v>4.0</v>
      </c>
      <c r="Y248" s="16">
        <v>4.0</v>
      </c>
      <c r="Z248" s="16">
        <v>3.0</v>
      </c>
      <c r="AA248" s="16">
        <v>4.0</v>
      </c>
      <c r="AB248" s="16">
        <v>3.0</v>
      </c>
      <c r="AC248" s="16">
        <v>4.0</v>
      </c>
      <c r="AD248" s="38">
        <v>14.0</v>
      </c>
      <c r="AE248" s="38">
        <v>16.0</v>
      </c>
      <c r="AF248" s="38">
        <v>14.0</v>
      </c>
      <c r="AG248" s="38"/>
      <c r="AI248" s="18" t="s">
        <v>92</v>
      </c>
    </row>
    <row r="249">
      <c r="A249" s="11"/>
      <c r="B249" s="12" t="s">
        <v>7</v>
      </c>
      <c r="C249" s="12" t="s">
        <v>8</v>
      </c>
      <c r="D249" s="12" t="s">
        <v>24</v>
      </c>
      <c r="E249" s="12" t="s">
        <v>32</v>
      </c>
      <c r="F249" s="13" t="s">
        <v>30</v>
      </c>
      <c r="G249" s="12" t="s">
        <v>68</v>
      </c>
      <c r="H249" s="12" t="s">
        <v>573</v>
      </c>
      <c r="I249" s="12" t="s">
        <v>574</v>
      </c>
      <c r="J249" s="17" t="s">
        <v>575</v>
      </c>
      <c r="K249" s="17" t="s">
        <v>575</v>
      </c>
      <c r="L249" s="17" t="s">
        <v>193</v>
      </c>
      <c r="M249" s="17">
        <v>36.0</v>
      </c>
      <c r="N249" s="20">
        <v>45827.0</v>
      </c>
      <c r="O249" s="17" t="s">
        <v>194</v>
      </c>
      <c r="P249" s="16">
        <v>4.0</v>
      </c>
      <c r="Q249" s="16">
        <v>4.0</v>
      </c>
      <c r="R249" s="16">
        <v>4.0</v>
      </c>
      <c r="S249" s="16">
        <v>4.0</v>
      </c>
      <c r="T249" s="16">
        <v>5.0</v>
      </c>
      <c r="U249" s="16">
        <v>4.0</v>
      </c>
      <c r="V249" s="16">
        <v>4.0</v>
      </c>
      <c r="W249" s="16">
        <v>4.0</v>
      </c>
      <c r="X249" s="16">
        <v>4.0</v>
      </c>
      <c r="Y249" s="16">
        <v>4.0</v>
      </c>
      <c r="Z249" s="16">
        <v>5.0</v>
      </c>
      <c r="AA249" s="16">
        <v>4.0</v>
      </c>
      <c r="AB249" s="16">
        <v>5.0</v>
      </c>
      <c r="AC249" s="16">
        <v>4.0</v>
      </c>
      <c r="AD249" s="38">
        <v>14.0</v>
      </c>
      <c r="AE249" s="38">
        <v>14.0</v>
      </c>
      <c r="AF249" s="38">
        <v>18.0</v>
      </c>
      <c r="AG249" s="38" t="s">
        <v>576</v>
      </c>
      <c r="AI249" s="18" t="s">
        <v>577</v>
      </c>
    </row>
    <row r="250">
      <c r="A250" s="11"/>
      <c r="B250" s="12" t="s">
        <v>7</v>
      </c>
      <c r="C250" s="12" t="s">
        <v>8</v>
      </c>
      <c r="D250" s="12" t="s">
        <v>24</v>
      </c>
      <c r="E250" s="12" t="s">
        <v>32</v>
      </c>
      <c r="F250" s="13" t="s">
        <v>30</v>
      </c>
      <c r="G250" s="12" t="s">
        <v>68</v>
      </c>
      <c r="H250" s="12" t="s">
        <v>573</v>
      </c>
      <c r="I250" s="12" t="s">
        <v>574</v>
      </c>
      <c r="J250" s="17" t="s">
        <v>578</v>
      </c>
      <c r="K250" s="17" t="s">
        <v>578</v>
      </c>
      <c r="L250" s="17" t="s">
        <v>193</v>
      </c>
      <c r="M250" s="17">
        <v>40.0</v>
      </c>
      <c r="N250" s="20">
        <v>45827.0</v>
      </c>
      <c r="O250" s="17" t="s">
        <v>194</v>
      </c>
      <c r="P250" s="16">
        <v>2.0</v>
      </c>
      <c r="Q250" s="16">
        <v>2.0</v>
      </c>
      <c r="R250" s="16">
        <v>5.0</v>
      </c>
      <c r="S250" s="16">
        <v>5.0</v>
      </c>
      <c r="T250" s="16">
        <v>1.0</v>
      </c>
      <c r="U250" s="16">
        <v>2.0</v>
      </c>
      <c r="V250" s="16">
        <v>2.0</v>
      </c>
      <c r="W250" s="16">
        <v>5.0</v>
      </c>
      <c r="X250" s="16">
        <v>4.0</v>
      </c>
      <c r="Y250" s="16">
        <v>4.0</v>
      </c>
      <c r="Z250" s="16">
        <v>1.0</v>
      </c>
      <c r="AA250" s="16">
        <v>2.0</v>
      </c>
      <c r="AB250" s="16">
        <v>1.0</v>
      </c>
      <c r="AC250" s="16">
        <v>4.0</v>
      </c>
      <c r="AD250" s="38">
        <v>16.0</v>
      </c>
      <c r="AE250" s="38">
        <v>19.0</v>
      </c>
      <c r="AF250" s="38">
        <v>6.0</v>
      </c>
      <c r="AG250" s="38" t="s">
        <v>579</v>
      </c>
      <c r="AI250" s="18" t="s">
        <v>577</v>
      </c>
    </row>
    <row r="251">
      <c r="A251" s="11"/>
      <c r="B251" s="12" t="s">
        <v>7</v>
      </c>
      <c r="C251" s="12" t="s">
        <v>8</v>
      </c>
      <c r="D251" s="12" t="s">
        <v>24</v>
      </c>
      <c r="E251" s="12" t="s">
        <v>32</v>
      </c>
      <c r="F251" s="13" t="s">
        <v>30</v>
      </c>
      <c r="G251" s="12" t="s">
        <v>68</v>
      </c>
      <c r="H251" s="12" t="s">
        <v>573</v>
      </c>
      <c r="I251" s="12" t="s">
        <v>574</v>
      </c>
      <c r="J251" s="17" t="s">
        <v>580</v>
      </c>
      <c r="K251" s="17" t="s">
        <v>580</v>
      </c>
      <c r="L251" s="17" t="s">
        <v>193</v>
      </c>
      <c r="M251" s="17">
        <v>21.0</v>
      </c>
      <c r="N251" s="20">
        <v>45827.0</v>
      </c>
      <c r="O251" s="17" t="s">
        <v>194</v>
      </c>
      <c r="P251" s="16">
        <v>1.0</v>
      </c>
      <c r="Q251" s="16">
        <v>1.0</v>
      </c>
      <c r="R251" s="16">
        <v>4.0</v>
      </c>
      <c r="S251" s="16">
        <v>4.0</v>
      </c>
      <c r="T251" s="16">
        <v>5.0</v>
      </c>
      <c r="U251" s="16">
        <v>5.0</v>
      </c>
      <c r="V251" s="16">
        <v>5.0</v>
      </c>
      <c r="W251" s="16">
        <v>4.0</v>
      </c>
      <c r="X251" s="16">
        <v>5.0</v>
      </c>
      <c r="Y251" s="16">
        <v>5.0</v>
      </c>
      <c r="Z251" s="16">
        <v>5.0</v>
      </c>
      <c r="AA251" s="16">
        <v>1.0</v>
      </c>
      <c r="AB251" s="16">
        <v>5.0</v>
      </c>
      <c r="AC251" s="16">
        <v>5.0</v>
      </c>
      <c r="AD251" s="38">
        <v>17.0</v>
      </c>
      <c r="AE251" s="38">
        <v>15.0</v>
      </c>
      <c r="AF251" s="38">
        <v>20.0</v>
      </c>
      <c r="AG251" s="38" t="s">
        <v>581</v>
      </c>
      <c r="AI251" s="18" t="s">
        <v>577</v>
      </c>
    </row>
    <row r="252">
      <c r="A252" s="11"/>
      <c r="B252" s="12" t="s">
        <v>7</v>
      </c>
      <c r="C252" s="12" t="s">
        <v>8</v>
      </c>
      <c r="D252" s="12" t="s">
        <v>24</v>
      </c>
      <c r="E252" s="12" t="s">
        <v>32</v>
      </c>
      <c r="F252" s="13" t="s">
        <v>30</v>
      </c>
      <c r="G252" s="12" t="s">
        <v>68</v>
      </c>
      <c r="H252" s="12" t="s">
        <v>573</v>
      </c>
      <c r="I252" s="12" t="s">
        <v>574</v>
      </c>
      <c r="J252" s="17" t="s">
        <v>582</v>
      </c>
      <c r="K252" s="17" t="s">
        <v>582</v>
      </c>
      <c r="L252" s="17" t="s">
        <v>193</v>
      </c>
      <c r="M252" s="17">
        <v>24.0</v>
      </c>
      <c r="N252" s="20">
        <v>45827.0</v>
      </c>
      <c r="O252" s="17" t="s">
        <v>194</v>
      </c>
      <c r="P252" s="16">
        <v>3.0</v>
      </c>
      <c r="Q252" s="16">
        <v>3.0</v>
      </c>
      <c r="R252" s="16">
        <v>4.0</v>
      </c>
      <c r="S252" s="16">
        <v>4.0</v>
      </c>
      <c r="T252" s="16">
        <v>3.0</v>
      </c>
      <c r="U252" s="16">
        <v>3.0</v>
      </c>
      <c r="V252" s="16">
        <v>3.0</v>
      </c>
      <c r="W252" s="16">
        <v>4.0</v>
      </c>
      <c r="X252" s="16">
        <v>4.0</v>
      </c>
      <c r="Y252" s="16">
        <v>4.0</v>
      </c>
      <c r="Z252" s="16">
        <v>3.0</v>
      </c>
      <c r="AA252" s="16">
        <v>3.0</v>
      </c>
      <c r="AB252" s="16">
        <v>3.0</v>
      </c>
      <c r="AC252" s="16">
        <v>4.0</v>
      </c>
      <c r="AD252" s="38">
        <v>15.0</v>
      </c>
      <c r="AE252" s="38">
        <v>16.0</v>
      </c>
      <c r="AF252" s="38">
        <v>12.0</v>
      </c>
      <c r="AG252" s="38" t="s">
        <v>583</v>
      </c>
      <c r="AI252" s="18" t="s">
        <v>577</v>
      </c>
    </row>
    <row r="253">
      <c r="A253" s="11"/>
      <c r="B253" s="12" t="s">
        <v>7</v>
      </c>
      <c r="C253" s="12" t="s">
        <v>37</v>
      </c>
      <c r="D253" s="12" t="s">
        <v>38</v>
      </c>
      <c r="E253" s="12" t="s">
        <v>38</v>
      </c>
      <c r="F253" s="13" t="s">
        <v>42</v>
      </c>
      <c r="G253" s="12" t="s">
        <v>68</v>
      </c>
      <c r="H253" s="12" t="s">
        <v>584</v>
      </c>
      <c r="I253" s="12" t="s">
        <v>585</v>
      </c>
      <c r="J253" s="17" t="s">
        <v>586</v>
      </c>
      <c r="K253" s="17" t="s">
        <v>586</v>
      </c>
      <c r="L253" s="17" t="s">
        <v>193</v>
      </c>
      <c r="M253" s="17">
        <v>26.0</v>
      </c>
      <c r="N253" s="20">
        <v>45847.0</v>
      </c>
      <c r="O253" s="17" t="s">
        <v>194</v>
      </c>
      <c r="P253" s="16">
        <v>1.0</v>
      </c>
      <c r="Q253" s="16">
        <v>1.0</v>
      </c>
      <c r="R253" s="16">
        <v>4.0</v>
      </c>
      <c r="S253" s="16">
        <v>4.0</v>
      </c>
      <c r="T253" s="16">
        <v>4.0</v>
      </c>
      <c r="U253" s="16">
        <v>4.0</v>
      </c>
      <c r="V253" s="16">
        <v>4.0</v>
      </c>
      <c r="W253" s="16">
        <v>4.0</v>
      </c>
      <c r="X253" s="16">
        <v>4.0</v>
      </c>
      <c r="Y253" s="16">
        <v>4.0</v>
      </c>
      <c r="Z253" s="16">
        <v>4.0</v>
      </c>
      <c r="AA253" s="16">
        <v>1.0</v>
      </c>
      <c r="AB253" s="16">
        <v>4.0</v>
      </c>
      <c r="AC253" s="16">
        <v>4.0</v>
      </c>
      <c r="AD253" s="38">
        <v>17.0</v>
      </c>
      <c r="AE253" s="38">
        <v>15.0</v>
      </c>
      <c r="AF253" s="38">
        <v>16.0</v>
      </c>
      <c r="AG253" s="38" t="s">
        <v>587</v>
      </c>
      <c r="AI253" s="18" t="s">
        <v>588</v>
      </c>
    </row>
    <row r="254">
      <c r="A254" s="11"/>
      <c r="B254" s="12" t="s">
        <v>7</v>
      </c>
      <c r="C254" s="12" t="s">
        <v>37</v>
      </c>
      <c r="D254" s="12" t="s">
        <v>38</v>
      </c>
      <c r="E254" s="12" t="s">
        <v>38</v>
      </c>
      <c r="F254" s="13" t="s">
        <v>42</v>
      </c>
      <c r="G254" s="12" t="s">
        <v>68</v>
      </c>
      <c r="H254" s="12" t="s">
        <v>584</v>
      </c>
      <c r="I254" s="12" t="s">
        <v>585</v>
      </c>
      <c r="J254" s="17" t="s">
        <v>589</v>
      </c>
      <c r="K254" s="17" t="s">
        <v>589</v>
      </c>
      <c r="L254" s="17" t="s">
        <v>193</v>
      </c>
      <c r="M254" s="17">
        <v>32.0</v>
      </c>
      <c r="N254" s="20">
        <v>45847.0</v>
      </c>
      <c r="O254" s="17" t="s">
        <v>194</v>
      </c>
      <c r="P254" s="16">
        <v>5.0</v>
      </c>
      <c r="Q254" s="16">
        <v>5.0</v>
      </c>
      <c r="R254" s="16">
        <v>4.0</v>
      </c>
      <c r="S254" s="16">
        <v>4.0</v>
      </c>
      <c r="T254" s="16">
        <v>4.0</v>
      </c>
      <c r="U254" s="16">
        <v>4.0</v>
      </c>
      <c r="V254" s="16">
        <v>4.0</v>
      </c>
      <c r="W254" s="16">
        <v>4.0</v>
      </c>
      <c r="X254" s="16">
        <v>4.0</v>
      </c>
      <c r="Y254" s="16">
        <v>4.0</v>
      </c>
      <c r="Z254" s="16">
        <v>4.0</v>
      </c>
      <c r="AA254" s="16">
        <v>5.0</v>
      </c>
      <c r="AB254" s="16">
        <v>4.0</v>
      </c>
      <c r="AC254" s="16">
        <v>4.0</v>
      </c>
      <c r="AD254" s="38">
        <v>13.0</v>
      </c>
      <c r="AE254" s="38">
        <v>15.0</v>
      </c>
      <c r="AF254" s="38">
        <v>16.0</v>
      </c>
      <c r="AG254" s="38" t="s">
        <v>590</v>
      </c>
      <c r="AI254" s="18" t="s">
        <v>588</v>
      </c>
    </row>
    <row r="255">
      <c r="A255" s="11"/>
      <c r="B255" s="12" t="s">
        <v>7</v>
      </c>
      <c r="C255" s="12" t="s">
        <v>37</v>
      </c>
      <c r="D255" s="12" t="s">
        <v>38</v>
      </c>
      <c r="E255" s="12" t="s">
        <v>38</v>
      </c>
      <c r="F255" s="13" t="s">
        <v>42</v>
      </c>
      <c r="G255" s="12" t="s">
        <v>68</v>
      </c>
      <c r="H255" s="12" t="s">
        <v>584</v>
      </c>
      <c r="I255" s="12" t="s">
        <v>585</v>
      </c>
      <c r="J255" s="17" t="s">
        <v>591</v>
      </c>
      <c r="K255" s="17" t="s">
        <v>591</v>
      </c>
      <c r="L255" s="17" t="s">
        <v>193</v>
      </c>
      <c r="M255" s="17">
        <v>41.0</v>
      </c>
      <c r="N255" s="20">
        <v>45847.0</v>
      </c>
      <c r="O255" s="17" t="s">
        <v>194</v>
      </c>
      <c r="P255" s="16">
        <v>3.0</v>
      </c>
      <c r="Q255" s="16">
        <v>3.0</v>
      </c>
      <c r="R255" s="16">
        <v>4.0</v>
      </c>
      <c r="S255" s="16">
        <v>4.0</v>
      </c>
      <c r="T255" s="16">
        <v>4.0</v>
      </c>
      <c r="U255" s="16">
        <v>3.0</v>
      </c>
      <c r="V255" s="16">
        <v>3.0</v>
      </c>
      <c r="W255" s="16">
        <v>4.0</v>
      </c>
      <c r="X255" s="16">
        <v>4.0</v>
      </c>
      <c r="Y255" s="16">
        <v>4.0</v>
      </c>
      <c r="Z255" s="16">
        <v>4.0</v>
      </c>
      <c r="AA255" s="16">
        <v>3.0</v>
      </c>
      <c r="AB255" s="16">
        <v>4.0</v>
      </c>
      <c r="AC255" s="16">
        <v>4.0</v>
      </c>
      <c r="AD255" s="38">
        <v>15.0</v>
      </c>
      <c r="AE255" s="38">
        <v>15.0</v>
      </c>
      <c r="AF255" s="38">
        <v>14.0</v>
      </c>
      <c r="AG255" s="38" t="s">
        <v>592</v>
      </c>
      <c r="AI255" s="18" t="s">
        <v>588</v>
      </c>
    </row>
    <row r="256">
      <c r="A256" s="11"/>
      <c r="B256" s="12" t="s">
        <v>22</v>
      </c>
      <c r="C256" s="12" t="s">
        <v>22</v>
      </c>
      <c r="D256" s="12" t="s">
        <v>22</v>
      </c>
      <c r="E256" s="12" t="s">
        <v>593</v>
      </c>
      <c r="F256" s="13" t="s">
        <v>594</v>
      </c>
      <c r="G256" s="12" t="s">
        <v>68</v>
      </c>
      <c r="H256" s="12" t="s">
        <v>595</v>
      </c>
      <c r="I256" s="12" t="s">
        <v>596</v>
      </c>
      <c r="J256" s="17" t="s">
        <v>597</v>
      </c>
      <c r="K256" s="17" t="s">
        <v>597</v>
      </c>
      <c r="L256" s="17" t="s">
        <v>193</v>
      </c>
      <c r="M256" s="17">
        <v>27.0</v>
      </c>
      <c r="N256" s="20">
        <v>45831.0</v>
      </c>
      <c r="O256" s="17" t="s">
        <v>194</v>
      </c>
      <c r="P256" s="16">
        <v>4.0</v>
      </c>
      <c r="Q256" s="16">
        <v>4.0</v>
      </c>
      <c r="R256" s="16">
        <v>4.0</v>
      </c>
      <c r="S256" s="16">
        <v>4.0</v>
      </c>
      <c r="T256" s="16">
        <v>5.0</v>
      </c>
      <c r="U256" s="16">
        <v>5.0</v>
      </c>
      <c r="V256" s="16">
        <v>5.0</v>
      </c>
      <c r="W256" s="16">
        <v>4.0</v>
      </c>
      <c r="X256" s="16">
        <v>5.0</v>
      </c>
      <c r="Y256" s="16">
        <v>5.0</v>
      </c>
      <c r="Z256" s="16">
        <v>5.0</v>
      </c>
      <c r="AA256" s="16">
        <v>4.0</v>
      </c>
      <c r="AB256" s="16">
        <v>5.0</v>
      </c>
      <c r="AC256" s="16">
        <v>5.0</v>
      </c>
      <c r="AD256" s="38">
        <v>14.0</v>
      </c>
      <c r="AE256" s="38">
        <v>15.0</v>
      </c>
      <c r="AF256" s="38">
        <v>20.0</v>
      </c>
      <c r="AG256" s="38" t="s">
        <v>598</v>
      </c>
      <c r="AI256" s="18" t="s">
        <v>588</v>
      </c>
    </row>
    <row r="257">
      <c r="A257" s="11"/>
      <c r="B257" s="12" t="s">
        <v>22</v>
      </c>
      <c r="C257" s="12" t="s">
        <v>22</v>
      </c>
      <c r="D257" s="12" t="s">
        <v>22</v>
      </c>
      <c r="E257" s="12" t="s">
        <v>593</v>
      </c>
      <c r="F257" s="13" t="s">
        <v>594</v>
      </c>
      <c r="G257" s="12" t="s">
        <v>68</v>
      </c>
      <c r="H257" s="12" t="s">
        <v>595</v>
      </c>
      <c r="I257" s="12" t="s">
        <v>596</v>
      </c>
      <c r="J257" s="17" t="s">
        <v>599</v>
      </c>
      <c r="K257" s="17" t="s">
        <v>599</v>
      </c>
      <c r="L257" s="17" t="s">
        <v>193</v>
      </c>
      <c r="M257" s="17">
        <v>27.0</v>
      </c>
      <c r="N257" s="20">
        <v>45831.0</v>
      </c>
      <c r="O257" s="17" t="s">
        <v>194</v>
      </c>
      <c r="P257" s="16">
        <v>2.0</v>
      </c>
      <c r="Q257" s="16">
        <v>2.0</v>
      </c>
      <c r="R257" s="16">
        <v>3.0</v>
      </c>
      <c r="S257" s="16">
        <v>3.0</v>
      </c>
      <c r="T257" s="16">
        <v>3.0</v>
      </c>
      <c r="U257" s="16">
        <v>4.0</v>
      </c>
      <c r="V257" s="16">
        <v>4.0</v>
      </c>
      <c r="W257" s="16">
        <v>3.0</v>
      </c>
      <c r="X257" s="16">
        <v>2.0</v>
      </c>
      <c r="Y257" s="16">
        <v>2.0</v>
      </c>
      <c r="Z257" s="16">
        <v>3.0</v>
      </c>
      <c r="AA257" s="16">
        <v>2.0</v>
      </c>
      <c r="AB257" s="16">
        <v>3.0</v>
      </c>
      <c r="AC257" s="16">
        <v>2.0</v>
      </c>
      <c r="AD257" s="38">
        <v>16.0</v>
      </c>
      <c r="AE257" s="38">
        <v>13.0</v>
      </c>
      <c r="AF257" s="38">
        <v>14.0</v>
      </c>
      <c r="AG257" s="38" t="s">
        <v>600</v>
      </c>
      <c r="AI257" s="18" t="s">
        <v>588</v>
      </c>
    </row>
    <row r="258">
      <c r="A258" s="11"/>
      <c r="B258" s="12" t="s">
        <v>22</v>
      </c>
      <c r="C258" s="12" t="s">
        <v>22</v>
      </c>
      <c r="D258" s="12" t="s">
        <v>22</v>
      </c>
      <c r="E258" s="12" t="s">
        <v>593</v>
      </c>
      <c r="F258" s="13" t="s">
        <v>594</v>
      </c>
      <c r="G258" s="12" t="s">
        <v>68</v>
      </c>
      <c r="H258" s="12" t="s">
        <v>595</v>
      </c>
      <c r="I258" s="12" t="s">
        <v>596</v>
      </c>
      <c r="J258" s="17" t="s">
        <v>601</v>
      </c>
      <c r="K258" s="17" t="s">
        <v>601</v>
      </c>
      <c r="L258" s="17" t="s">
        <v>222</v>
      </c>
      <c r="M258" s="17">
        <v>46.0</v>
      </c>
      <c r="N258" s="20">
        <v>45831.0</v>
      </c>
      <c r="O258" s="17" t="s">
        <v>194</v>
      </c>
      <c r="P258" s="16">
        <v>3.0</v>
      </c>
      <c r="Q258" s="16">
        <v>3.0</v>
      </c>
      <c r="R258" s="16">
        <v>4.0</v>
      </c>
      <c r="S258" s="16">
        <v>4.0</v>
      </c>
      <c r="T258" s="16">
        <v>3.0</v>
      </c>
      <c r="U258" s="16">
        <v>4.0</v>
      </c>
      <c r="V258" s="16">
        <v>4.0</v>
      </c>
      <c r="W258" s="16">
        <v>4.0</v>
      </c>
      <c r="X258" s="16">
        <v>4.0</v>
      </c>
      <c r="Y258" s="16">
        <v>4.0</v>
      </c>
      <c r="Z258" s="16">
        <v>3.0</v>
      </c>
      <c r="AA258" s="16">
        <v>3.0</v>
      </c>
      <c r="AB258" s="16">
        <v>3.0</v>
      </c>
      <c r="AC258" s="16">
        <v>4.0</v>
      </c>
      <c r="AD258" s="38">
        <v>15.0</v>
      </c>
      <c r="AE258" s="38">
        <v>16.0</v>
      </c>
      <c r="AF258" s="38">
        <v>14.0</v>
      </c>
      <c r="AG258" s="38" t="s">
        <v>602</v>
      </c>
      <c r="AI258" s="18" t="s">
        <v>588</v>
      </c>
    </row>
    <row r="259">
      <c r="A259" s="11"/>
      <c r="B259" s="12" t="s">
        <v>22</v>
      </c>
      <c r="C259" s="12" t="s">
        <v>22</v>
      </c>
      <c r="D259" s="12" t="s">
        <v>22</v>
      </c>
      <c r="E259" s="12" t="s">
        <v>593</v>
      </c>
      <c r="F259" s="13" t="s">
        <v>594</v>
      </c>
      <c r="G259" s="12" t="s">
        <v>68</v>
      </c>
      <c r="H259" s="12" t="s">
        <v>595</v>
      </c>
      <c r="I259" s="12" t="s">
        <v>596</v>
      </c>
      <c r="J259" s="17" t="s">
        <v>603</v>
      </c>
      <c r="K259" s="17" t="s">
        <v>603</v>
      </c>
      <c r="L259" s="17" t="s">
        <v>193</v>
      </c>
      <c r="M259" s="17">
        <v>30.0</v>
      </c>
      <c r="N259" s="20">
        <v>45831.0</v>
      </c>
      <c r="O259" s="17" t="s">
        <v>194</v>
      </c>
      <c r="P259" s="16">
        <v>4.0</v>
      </c>
      <c r="Q259" s="16">
        <v>4.0</v>
      </c>
      <c r="R259" s="16">
        <v>4.0</v>
      </c>
      <c r="S259" s="16">
        <v>4.0</v>
      </c>
      <c r="T259" s="16">
        <v>5.0</v>
      </c>
      <c r="U259" s="16">
        <v>4.0</v>
      </c>
      <c r="V259" s="16">
        <v>4.0</v>
      </c>
      <c r="W259" s="16">
        <v>4.0</v>
      </c>
      <c r="X259" s="16">
        <v>4.0</v>
      </c>
      <c r="Y259" s="16">
        <v>4.0</v>
      </c>
      <c r="Z259" s="16">
        <v>5.0</v>
      </c>
      <c r="AA259" s="16">
        <v>4.0</v>
      </c>
      <c r="AB259" s="16">
        <v>5.0</v>
      </c>
      <c r="AC259" s="16">
        <v>4.0</v>
      </c>
      <c r="AD259" s="38">
        <v>14.0</v>
      </c>
      <c r="AE259" s="38">
        <v>14.0</v>
      </c>
      <c r="AF259" s="38">
        <v>18.0</v>
      </c>
      <c r="AG259" s="38" t="s">
        <v>604</v>
      </c>
      <c r="AI259" s="18" t="s">
        <v>588</v>
      </c>
    </row>
    <row r="260">
      <c r="A260" s="11"/>
      <c r="B260" s="12" t="s">
        <v>22</v>
      </c>
      <c r="C260" s="12" t="s">
        <v>22</v>
      </c>
      <c r="D260" s="12" t="s">
        <v>22</v>
      </c>
      <c r="E260" s="12" t="s">
        <v>593</v>
      </c>
      <c r="F260" s="13" t="s">
        <v>594</v>
      </c>
      <c r="G260" s="12" t="s">
        <v>68</v>
      </c>
      <c r="H260" s="12" t="s">
        <v>595</v>
      </c>
      <c r="I260" s="12" t="s">
        <v>596</v>
      </c>
      <c r="J260" s="17" t="s">
        <v>605</v>
      </c>
      <c r="K260" s="17" t="s">
        <v>605</v>
      </c>
      <c r="L260" s="17" t="s">
        <v>193</v>
      </c>
      <c r="M260" s="17">
        <v>27.0</v>
      </c>
      <c r="N260" s="20">
        <v>45831.0</v>
      </c>
      <c r="O260" s="17" t="s">
        <v>194</v>
      </c>
      <c r="P260" s="16">
        <v>5.0</v>
      </c>
      <c r="Q260" s="16">
        <v>5.0</v>
      </c>
      <c r="R260" s="16">
        <v>4.0</v>
      </c>
      <c r="S260" s="16">
        <v>4.0</v>
      </c>
      <c r="T260" s="16">
        <v>5.0</v>
      </c>
      <c r="U260" s="16">
        <v>5.0</v>
      </c>
      <c r="V260" s="16">
        <v>5.0</v>
      </c>
      <c r="W260" s="16">
        <v>4.0</v>
      </c>
      <c r="X260" s="16">
        <v>5.0</v>
      </c>
      <c r="Y260" s="16">
        <v>5.0</v>
      </c>
      <c r="Z260" s="16">
        <v>5.0</v>
      </c>
      <c r="AA260" s="16">
        <v>5.0</v>
      </c>
      <c r="AB260" s="16">
        <v>5.0</v>
      </c>
      <c r="AC260" s="16">
        <v>5.0</v>
      </c>
      <c r="AD260" s="38">
        <v>13.0</v>
      </c>
      <c r="AE260" s="38">
        <v>15.0</v>
      </c>
      <c r="AF260" s="38">
        <v>20.0</v>
      </c>
      <c r="AG260" s="38" t="s">
        <v>606</v>
      </c>
      <c r="AI260" s="18" t="s">
        <v>588</v>
      </c>
    </row>
    <row r="261">
      <c r="A261" s="11"/>
      <c r="B261" s="12" t="s">
        <v>22</v>
      </c>
      <c r="C261" s="12" t="s">
        <v>22</v>
      </c>
      <c r="D261" s="12" t="s">
        <v>22</v>
      </c>
      <c r="E261" s="12" t="s">
        <v>593</v>
      </c>
      <c r="F261" s="13" t="s">
        <v>594</v>
      </c>
      <c r="G261" s="12" t="s">
        <v>68</v>
      </c>
      <c r="H261" s="12" t="s">
        <v>595</v>
      </c>
      <c r="I261" s="12" t="s">
        <v>596</v>
      </c>
      <c r="J261" s="17" t="s">
        <v>607</v>
      </c>
      <c r="K261" s="17" t="s">
        <v>607</v>
      </c>
      <c r="L261" s="17" t="s">
        <v>193</v>
      </c>
      <c r="M261" s="17">
        <v>38.0</v>
      </c>
      <c r="N261" s="20">
        <v>45831.0</v>
      </c>
      <c r="O261" s="17" t="s">
        <v>194</v>
      </c>
      <c r="P261" s="16">
        <v>3.0</v>
      </c>
      <c r="Q261" s="16">
        <v>3.0</v>
      </c>
      <c r="R261" s="16">
        <v>3.0</v>
      </c>
      <c r="S261" s="16">
        <v>3.0</v>
      </c>
      <c r="T261" s="16">
        <v>4.0</v>
      </c>
      <c r="U261" s="16">
        <v>4.0</v>
      </c>
      <c r="V261" s="16">
        <v>4.0</v>
      </c>
      <c r="W261" s="16">
        <v>3.0</v>
      </c>
      <c r="X261" s="16">
        <v>4.0</v>
      </c>
      <c r="Y261" s="16">
        <v>4.0</v>
      </c>
      <c r="Z261" s="16">
        <v>4.0</v>
      </c>
      <c r="AA261" s="16">
        <v>3.0</v>
      </c>
      <c r="AB261" s="16">
        <v>4.0</v>
      </c>
      <c r="AC261" s="16">
        <v>4.0</v>
      </c>
      <c r="AD261" s="38">
        <v>15.0</v>
      </c>
      <c r="AE261" s="38">
        <v>14.0</v>
      </c>
      <c r="AF261" s="38">
        <v>16.0</v>
      </c>
      <c r="AG261" s="38" t="s">
        <v>608</v>
      </c>
      <c r="AI261" s="18" t="s">
        <v>588</v>
      </c>
    </row>
    <row r="262">
      <c r="A262" s="11"/>
      <c r="B262" s="12" t="s">
        <v>22</v>
      </c>
      <c r="C262" s="12" t="s">
        <v>22</v>
      </c>
      <c r="D262" s="12" t="s">
        <v>22</v>
      </c>
      <c r="E262" s="12" t="s">
        <v>593</v>
      </c>
      <c r="F262" s="13" t="s">
        <v>594</v>
      </c>
      <c r="G262" s="12" t="s">
        <v>68</v>
      </c>
      <c r="H262" s="12" t="s">
        <v>595</v>
      </c>
      <c r="I262" s="12" t="s">
        <v>596</v>
      </c>
      <c r="J262" s="17" t="s">
        <v>609</v>
      </c>
      <c r="K262" s="17" t="s">
        <v>609</v>
      </c>
      <c r="L262" s="17" t="s">
        <v>193</v>
      </c>
      <c r="M262" s="17">
        <v>26.0</v>
      </c>
      <c r="N262" s="20">
        <v>45831.0</v>
      </c>
      <c r="O262" s="17" t="s">
        <v>194</v>
      </c>
      <c r="P262" s="16">
        <v>5.0</v>
      </c>
      <c r="Q262" s="16">
        <v>5.0</v>
      </c>
      <c r="R262" s="16">
        <v>2.0</v>
      </c>
      <c r="S262" s="16">
        <v>2.0</v>
      </c>
      <c r="T262" s="16">
        <v>4.0</v>
      </c>
      <c r="U262" s="16">
        <v>4.0</v>
      </c>
      <c r="V262" s="16">
        <v>4.0</v>
      </c>
      <c r="W262" s="16">
        <v>2.0</v>
      </c>
      <c r="X262" s="16">
        <v>5.0</v>
      </c>
      <c r="Y262" s="16">
        <v>5.0</v>
      </c>
      <c r="Z262" s="16">
        <v>4.0</v>
      </c>
      <c r="AA262" s="16">
        <v>5.0</v>
      </c>
      <c r="AB262" s="16">
        <v>4.0</v>
      </c>
      <c r="AC262" s="16">
        <v>5.0</v>
      </c>
      <c r="AD262" s="38">
        <v>13.0</v>
      </c>
      <c r="AE262" s="38">
        <v>14.0</v>
      </c>
      <c r="AF262" s="38">
        <v>16.0</v>
      </c>
      <c r="AG262" s="38" t="s">
        <v>602</v>
      </c>
      <c r="AI262" s="18" t="s">
        <v>588</v>
      </c>
    </row>
    <row r="263">
      <c r="A263" s="11"/>
      <c r="B263" s="12" t="s">
        <v>22</v>
      </c>
      <c r="C263" s="12" t="s">
        <v>22</v>
      </c>
      <c r="D263" s="12" t="s">
        <v>22</v>
      </c>
      <c r="E263" s="12" t="s">
        <v>593</v>
      </c>
      <c r="F263" s="13" t="s">
        <v>594</v>
      </c>
      <c r="G263" s="12" t="s">
        <v>68</v>
      </c>
      <c r="H263" s="12" t="s">
        <v>595</v>
      </c>
      <c r="I263" s="12" t="s">
        <v>596</v>
      </c>
      <c r="J263" s="17" t="s">
        <v>610</v>
      </c>
      <c r="K263" s="17" t="s">
        <v>610</v>
      </c>
      <c r="L263" s="17" t="s">
        <v>193</v>
      </c>
      <c r="M263" s="17">
        <v>22.0</v>
      </c>
      <c r="N263" s="20">
        <v>45831.0</v>
      </c>
      <c r="O263" s="17" t="s">
        <v>194</v>
      </c>
      <c r="P263" s="16">
        <v>4.0</v>
      </c>
      <c r="Q263" s="16">
        <v>4.0</v>
      </c>
      <c r="R263" s="16">
        <v>4.0</v>
      </c>
      <c r="S263" s="16">
        <v>4.0</v>
      </c>
      <c r="T263" s="16">
        <v>4.0</v>
      </c>
      <c r="U263" s="16">
        <v>4.0</v>
      </c>
      <c r="V263" s="16">
        <v>4.0</v>
      </c>
      <c r="W263" s="16">
        <v>4.0</v>
      </c>
      <c r="X263" s="16">
        <v>4.0</v>
      </c>
      <c r="Y263" s="16">
        <v>4.0</v>
      </c>
      <c r="Z263" s="16">
        <v>4.0</v>
      </c>
      <c r="AA263" s="16">
        <v>4.0</v>
      </c>
      <c r="AB263" s="16">
        <v>4.0</v>
      </c>
      <c r="AC263" s="16">
        <v>4.0</v>
      </c>
      <c r="AD263" s="38">
        <v>14.0</v>
      </c>
      <c r="AE263" s="38">
        <v>15.0</v>
      </c>
      <c r="AF263" s="38">
        <v>16.0</v>
      </c>
      <c r="AG263" s="38" t="s">
        <v>611</v>
      </c>
      <c r="AI263" s="18" t="s">
        <v>588</v>
      </c>
    </row>
    <row r="264">
      <c r="A264" s="11"/>
      <c r="B264" s="12" t="s">
        <v>22</v>
      </c>
      <c r="C264" s="12" t="s">
        <v>22</v>
      </c>
      <c r="D264" s="12" t="s">
        <v>22</v>
      </c>
      <c r="E264" s="12" t="s">
        <v>593</v>
      </c>
      <c r="F264" s="13" t="s">
        <v>594</v>
      </c>
      <c r="G264" s="12" t="s">
        <v>68</v>
      </c>
      <c r="H264" s="12" t="s">
        <v>595</v>
      </c>
      <c r="I264" s="12" t="s">
        <v>596</v>
      </c>
      <c r="J264" s="17" t="s">
        <v>612</v>
      </c>
      <c r="K264" s="17" t="s">
        <v>612</v>
      </c>
      <c r="L264" s="17" t="s">
        <v>222</v>
      </c>
      <c r="M264" s="17">
        <v>35.0</v>
      </c>
      <c r="N264" s="20">
        <v>45831.0</v>
      </c>
      <c r="O264" s="17" t="s">
        <v>194</v>
      </c>
      <c r="P264" s="16">
        <v>5.0</v>
      </c>
      <c r="Q264" s="16">
        <v>5.0</v>
      </c>
      <c r="R264" s="16">
        <v>4.0</v>
      </c>
      <c r="S264" s="16">
        <v>4.0</v>
      </c>
      <c r="T264" s="16">
        <v>4.0</v>
      </c>
      <c r="U264" s="16">
        <v>4.0</v>
      </c>
      <c r="V264" s="16">
        <v>4.0</v>
      </c>
      <c r="W264" s="16">
        <v>4.0</v>
      </c>
      <c r="X264" s="16">
        <v>5.0</v>
      </c>
      <c r="Y264" s="16">
        <v>5.0</v>
      </c>
      <c r="Z264" s="16">
        <v>4.0</v>
      </c>
      <c r="AA264" s="16">
        <v>5.0</v>
      </c>
      <c r="AB264" s="16">
        <v>4.0</v>
      </c>
      <c r="AC264" s="16">
        <v>5.0</v>
      </c>
      <c r="AD264" s="38">
        <v>13.0</v>
      </c>
      <c r="AE264" s="38">
        <v>16.0</v>
      </c>
      <c r="AF264" s="38">
        <v>16.0</v>
      </c>
      <c r="AG264" s="38" t="s">
        <v>613</v>
      </c>
      <c r="AI264" s="18" t="s">
        <v>588</v>
      </c>
    </row>
    <row r="265">
      <c r="A265" s="11"/>
      <c r="B265" s="12" t="s">
        <v>22</v>
      </c>
      <c r="C265" s="12" t="s">
        <v>22</v>
      </c>
      <c r="D265" s="12" t="s">
        <v>22</v>
      </c>
      <c r="E265" s="12" t="s">
        <v>593</v>
      </c>
      <c r="F265" s="13" t="s">
        <v>594</v>
      </c>
      <c r="G265" s="12" t="s">
        <v>68</v>
      </c>
      <c r="H265" s="12" t="s">
        <v>595</v>
      </c>
      <c r="I265" s="12" t="s">
        <v>596</v>
      </c>
      <c r="J265" s="17" t="s">
        <v>614</v>
      </c>
      <c r="K265" s="17" t="s">
        <v>614</v>
      </c>
      <c r="L265" s="17" t="s">
        <v>193</v>
      </c>
      <c r="M265" s="17">
        <v>26.0</v>
      </c>
      <c r="N265" s="20">
        <v>45831.0</v>
      </c>
      <c r="O265" s="17" t="s">
        <v>194</v>
      </c>
      <c r="P265" s="16">
        <v>3.0</v>
      </c>
      <c r="Q265" s="16">
        <v>3.0</v>
      </c>
      <c r="R265" s="16">
        <v>4.0</v>
      </c>
      <c r="S265" s="16">
        <v>4.0</v>
      </c>
      <c r="T265" s="16">
        <v>5.0</v>
      </c>
      <c r="U265" s="16">
        <v>3.0</v>
      </c>
      <c r="V265" s="16">
        <v>3.0</v>
      </c>
      <c r="W265" s="16">
        <v>4.0</v>
      </c>
      <c r="X265" s="16">
        <v>3.0</v>
      </c>
      <c r="Y265" s="16">
        <v>3.0</v>
      </c>
      <c r="Z265" s="16">
        <v>5.0</v>
      </c>
      <c r="AA265" s="16">
        <v>3.0</v>
      </c>
      <c r="AB265" s="16">
        <v>5.0</v>
      </c>
      <c r="AC265" s="16">
        <v>3.0</v>
      </c>
      <c r="AD265" s="38">
        <v>15.0</v>
      </c>
      <c r="AE265" s="38">
        <v>13.0</v>
      </c>
      <c r="AF265" s="38">
        <v>16.0</v>
      </c>
      <c r="AG265" s="38" t="s">
        <v>615</v>
      </c>
      <c r="AI265" s="18" t="s">
        <v>588</v>
      </c>
    </row>
    <row r="266">
      <c r="A266" s="11"/>
      <c r="B266" s="12" t="s">
        <v>22</v>
      </c>
      <c r="C266" s="12" t="s">
        <v>22</v>
      </c>
      <c r="D266" s="12" t="s">
        <v>22</v>
      </c>
      <c r="E266" s="12" t="s">
        <v>593</v>
      </c>
      <c r="F266" s="13" t="s">
        <v>594</v>
      </c>
      <c r="G266" s="12" t="s">
        <v>68</v>
      </c>
      <c r="H266" s="12" t="s">
        <v>595</v>
      </c>
      <c r="I266" s="12" t="s">
        <v>596</v>
      </c>
      <c r="J266" s="17" t="s">
        <v>616</v>
      </c>
      <c r="K266" s="17" t="s">
        <v>616</v>
      </c>
      <c r="L266" s="17" t="s">
        <v>193</v>
      </c>
      <c r="M266" s="17">
        <v>45.0</v>
      </c>
      <c r="N266" s="20">
        <v>45831.0</v>
      </c>
      <c r="O266" s="17" t="s">
        <v>194</v>
      </c>
      <c r="P266" s="16">
        <v>3.0</v>
      </c>
      <c r="Q266" s="16">
        <v>3.0</v>
      </c>
      <c r="R266" s="16">
        <v>3.0</v>
      </c>
      <c r="S266" s="16">
        <v>3.0</v>
      </c>
      <c r="T266" s="16">
        <v>4.0</v>
      </c>
      <c r="U266" s="16">
        <v>4.0</v>
      </c>
      <c r="V266" s="16">
        <v>4.0</v>
      </c>
      <c r="W266" s="16">
        <v>3.0</v>
      </c>
      <c r="X266" s="16">
        <v>3.0</v>
      </c>
      <c r="Y266" s="16">
        <v>3.0</v>
      </c>
      <c r="Z266" s="16">
        <v>4.0</v>
      </c>
      <c r="AA266" s="16">
        <v>3.0</v>
      </c>
      <c r="AB266" s="16">
        <v>4.0</v>
      </c>
      <c r="AC266" s="16">
        <v>3.0</v>
      </c>
      <c r="AD266" s="38">
        <v>15.0</v>
      </c>
      <c r="AE266" s="38">
        <v>13.0</v>
      </c>
      <c r="AF266" s="38">
        <v>16.0</v>
      </c>
      <c r="AG266" s="38" t="s">
        <v>617</v>
      </c>
      <c r="AI266" s="18" t="s">
        <v>588</v>
      </c>
    </row>
    <row r="267">
      <c r="A267" s="11"/>
      <c r="B267" s="12" t="s">
        <v>22</v>
      </c>
      <c r="C267" s="12" t="s">
        <v>22</v>
      </c>
      <c r="D267" s="12" t="s">
        <v>22</v>
      </c>
      <c r="E267" s="12" t="s">
        <v>593</v>
      </c>
      <c r="F267" s="13" t="s">
        <v>594</v>
      </c>
      <c r="G267" s="12" t="s">
        <v>68</v>
      </c>
      <c r="H267" s="12" t="s">
        <v>595</v>
      </c>
      <c r="I267" s="12" t="s">
        <v>596</v>
      </c>
      <c r="J267" s="17" t="s">
        <v>618</v>
      </c>
      <c r="K267" s="17" t="s">
        <v>618</v>
      </c>
      <c r="L267" s="17" t="s">
        <v>193</v>
      </c>
      <c r="M267" s="17">
        <v>33.0</v>
      </c>
      <c r="N267" s="20">
        <v>45831.0</v>
      </c>
      <c r="O267" s="17" t="s">
        <v>194</v>
      </c>
      <c r="P267" s="16">
        <v>4.0</v>
      </c>
      <c r="Q267" s="16">
        <v>4.0</v>
      </c>
      <c r="R267" s="16">
        <v>3.0</v>
      </c>
      <c r="S267" s="16">
        <v>3.0</v>
      </c>
      <c r="T267" s="16">
        <v>4.0</v>
      </c>
      <c r="U267" s="16">
        <v>4.0</v>
      </c>
      <c r="V267" s="16">
        <v>4.0</v>
      </c>
      <c r="W267" s="16">
        <v>3.0</v>
      </c>
      <c r="X267" s="16">
        <v>4.0</v>
      </c>
      <c r="Y267" s="16">
        <v>4.0</v>
      </c>
      <c r="Z267" s="16">
        <v>4.0</v>
      </c>
      <c r="AA267" s="16">
        <v>4.0</v>
      </c>
      <c r="AB267" s="16">
        <v>4.0</v>
      </c>
      <c r="AC267" s="16">
        <v>4.0</v>
      </c>
      <c r="AD267" s="38">
        <v>14.0</v>
      </c>
      <c r="AE267" s="38">
        <v>14.0</v>
      </c>
      <c r="AF267" s="38">
        <v>16.0</v>
      </c>
      <c r="AG267" s="38" t="s">
        <v>619</v>
      </c>
      <c r="AI267" s="18" t="s">
        <v>588</v>
      </c>
    </row>
    <row r="268">
      <c r="A268" s="11"/>
      <c r="B268" s="12" t="s">
        <v>22</v>
      </c>
      <c r="C268" s="12" t="s">
        <v>22</v>
      </c>
      <c r="D268" s="12" t="s">
        <v>22</v>
      </c>
      <c r="E268" s="12" t="s">
        <v>593</v>
      </c>
      <c r="F268" s="13" t="s">
        <v>594</v>
      </c>
      <c r="G268" s="12" t="s">
        <v>68</v>
      </c>
      <c r="H268" s="12" t="s">
        <v>595</v>
      </c>
      <c r="I268" s="12" t="s">
        <v>596</v>
      </c>
      <c r="J268" s="17" t="s">
        <v>620</v>
      </c>
      <c r="K268" s="17" t="s">
        <v>620</v>
      </c>
      <c r="L268" s="17" t="s">
        <v>193</v>
      </c>
      <c r="M268" s="17">
        <v>35.0</v>
      </c>
      <c r="N268" s="20">
        <v>45831.0</v>
      </c>
      <c r="O268" s="17" t="s">
        <v>194</v>
      </c>
      <c r="P268" s="16">
        <v>3.0</v>
      </c>
      <c r="Q268" s="16">
        <v>3.0</v>
      </c>
      <c r="R268" s="16">
        <v>3.0</v>
      </c>
      <c r="S268" s="16">
        <v>3.0</v>
      </c>
      <c r="T268" s="16">
        <v>2.0</v>
      </c>
      <c r="U268" s="16">
        <v>4.0</v>
      </c>
      <c r="V268" s="16">
        <v>4.0</v>
      </c>
      <c r="W268" s="16">
        <v>3.0</v>
      </c>
      <c r="X268" s="16">
        <v>4.0</v>
      </c>
      <c r="Y268" s="16">
        <v>4.0</v>
      </c>
      <c r="Z268" s="16">
        <v>2.0</v>
      </c>
      <c r="AA268" s="16">
        <v>3.0</v>
      </c>
      <c r="AB268" s="16">
        <v>2.0</v>
      </c>
      <c r="AC268" s="16">
        <v>4.0</v>
      </c>
      <c r="AD268" s="38">
        <v>15.0</v>
      </c>
      <c r="AE268" s="38">
        <v>16.0</v>
      </c>
      <c r="AF268" s="38">
        <v>12.0</v>
      </c>
      <c r="AG268" s="38" t="s">
        <v>621</v>
      </c>
      <c r="AI268" s="18" t="s">
        <v>588</v>
      </c>
    </row>
    <row r="269">
      <c r="A269" s="11"/>
      <c r="B269" s="12" t="s">
        <v>22</v>
      </c>
      <c r="C269" s="12" t="s">
        <v>22</v>
      </c>
      <c r="D269" s="12" t="s">
        <v>22</v>
      </c>
      <c r="E269" s="12" t="s">
        <v>593</v>
      </c>
      <c r="F269" s="13" t="s">
        <v>594</v>
      </c>
      <c r="G269" s="12" t="s">
        <v>68</v>
      </c>
      <c r="H269" s="12" t="s">
        <v>595</v>
      </c>
      <c r="I269" s="12" t="s">
        <v>596</v>
      </c>
      <c r="J269" s="17" t="s">
        <v>622</v>
      </c>
      <c r="K269" s="17" t="s">
        <v>622</v>
      </c>
      <c r="L269" s="17" t="s">
        <v>193</v>
      </c>
      <c r="M269" s="17">
        <v>38.0</v>
      </c>
      <c r="N269" s="20">
        <v>45831.0</v>
      </c>
      <c r="O269" s="17" t="s">
        <v>194</v>
      </c>
      <c r="P269" s="16">
        <v>4.0</v>
      </c>
      <c r="Q269" s="16">
        <v>4.0</v>
      </c>
      <c r="R269" s="16">
        <v>3.0</v>
      </c>
      <c r="S269" s="16">
        <v>3.0</v>
      </c>
      <c r="T269" s="16">
        <v>4.0</v>
      </c>
      <c r="U269" s="16">
        <v>5.0</v>
      </c>
      <c r="V269" s="16">
        <v>5.0</v>
      </c>
      <c r="W269" s="16">
        <v>3.0</v>
      </c>
      <c r="X269" s="16">
        <v>4.0</v>
      </c>
      <c r="Y269" s="16">
        <v>4.0</v>
      </c>
      <c r="Z269" s="16">
        <v>4.0</v>
      </c>
      <c r="AA269" s="16">
        <v>4.0</v>
      </c>
      <c r="AB269" s="16">
        <v>4.0</v>
      </c>
      <c r="AC269" s="16">
        <v>4.0</v>
      </c>
      <c r="AD269" s="38">
        <v>14.0</v>
      </c>
      <c r="AE269" s="38">
        <v>14.0</v>
      </c>
      <c r="AF269" s="38">
        <v>18.0</v>
      </c>
      <c r="AG269" s="38" t="s">
        <v>623</v>
      </c>
      <c r="AI269" s="18" t="s">
        <v>588</v>
      </c>
    </row>
    <row r="270">
      <c r="A270" s="11"/>
      <c r="B270" s="12" t="s">
        <v>22</v>
      </c>
      <c r="C270" s="12" t="s">
        <v>22</v>
      </c>
      <c r="D270" s="12" t="s">
        <v>22</v>
      </c>
      <c r="E270" s="12" t="s">
        <v>624</v>
      </c>
      <c r="F270" s="13" t="s">
        <v>625</v>
      </c>
      <c r="G270" s="12" t="s">
        <v>68</v>
      </c>
      <c r="H270" s="12" t="s">
        <v>626</v>
      </c>
      <c r="I270" s="12" t="s">
        <v>627</v>
      </c>
      <c r="J270" s="17" t="s">
        <v>628</v>
      </c>
      <c r="K270" s="17" t="s">
        <v>628</v>
      </c>
      <c r="L270" s="17" t="s">
        <v>193</v>
      </c>
      <c r="M270" s="17">
        <v>42.0</v>
      </c>
      <c r="N270" s="20">
        <v>45831.0</v>
      </c>
      <c r="O270" s="17" t="s">
        <v>194</v>
      </c>
      <c r="P270" s="16">
        <v>5.0</v>
      </c>
      <c r="Q270" s="16">
        <v>5.0</v>
      </c>
      <c r="R270" s="16">
        <v>3.0</v>
      </c>
      <c r="S270" s="16">
        <v>3.0</v>
      </c>
      <c r="T270" s="16">
        <v>5.0</v>
      </c>
      <c r="U270" s="16">
        <v>3.0</v>
      </c>
      <c r="V270" s="16">
        <v>3.0</v>
      </c>
      <c r="W270" s="16">
        <v>3.0</v>
      </c>
      <c r="X270" s="16">
        <v>4.0</v>
      </c>
      <c r="Y270" s="16">
        <v>4.0</v>
      </c>
      <c r="Z270" s="16">
        <v>5.0</v>
      </c>
      <c r="AA270" s="16">
        <v>5.0</v>
      </c>
      <c r="AB270" s="16">
        <v>5.0</v>
      </c>
      <c r="AC270" s="16">
        <v>4.0</v>
      </c>
      <c r="AD270" s="38">
        <v>13.0</v>
      </c>
      <c r="AE270" s="38">
        <v>13.0</v>
      </c>
      <c r="AF270" s="38">
        <v>16.0</v>
      </c>
      <c r="AG270" s="38" t="s">
        <v>629</v>
      </c>
      <c r="AI270" s="18" t="s">
        <v>588</v>
      </c>
    </row>
    <row r="271">
      <c r="A271" s="11"/>
      <c r="B271" s="12" t="s">
        <v>22</v>
      </c>
      <c r="C271" s="12" t="s">
        <v>22</v>
      </c>
      <c r="D271" s="12" t="s">
        <v>22</v>
      </c>
      <c r="E271" s="12" t="s">
        <v>624</v>
      </c>
      <c r="F271" s="13" t="s">
        <v>625</v>
      </c>
      <c r="G271" s="12" t="s">
        <v>68</v>
      </c>
      <c r="H271" s="12" t="s">
        <v>626</v>
      </c>
      <c r="I271" s="12" t="s">
        <v>627</v>
      </c>
      <c r="J271" s="17" t="s">
        <v>630</v>
      </c>
      <c r="K271" s="17" t="s">
        <v>630</v>
      </c>
      <c r="L271" s="17" t="s">
        <v>193</v>
      </c>
      <c r="M271" s="17">
        <v>38.0</v>
      </c>
      <c r="N271" s="20">
        <v>45831.0</v>
      </c>
      <c r="O271" s="17" t="s">
        <v>194</v>
      </c>
      <c r="P271" s="16">
        <v>4.0</v>
      </c>
      <c r="Q271" s="16">
        <v>4.0</v>
      </c>
      <c r="R271" s="16">
        <v>4.0</v>
      </c>
      <c r="S271" s="16">
        <v>4.0</v>
      </c>
      <c r="T271" s="16">
        <v>4.0</v>
      </c>
      <c r="U271" s="16">
        <v>3.0</v>
      </c>
      <c r="V271" s="16">
        <v>3.0</v>
      </c>
      <c r="W271" s="16">
        <v>4.0</v>
      </c>
      <c r="X271" s="16">
        <v>4.0</v>
      </c>
      <c r="Y271" s="16">
        <v>4.0</v>
      </c>
      <c r="Z271" s="16">
        <v>4.0</v>
      </c>
      <c r="AA271" s="16">
        <v>4.0</v>
      </c>
      <c r="AB271" s="16">
        <v>4.0</v>
      </c>
      <c r="AC271" s="16">
        <v>4.0</v>
      </c>
      <c r="AD271" s="38">
        <v>14.0</v>
      </c>
      <c r="AE271" s="38">
        <v>15.0</v>
      </c>
      <c r="AF271" s="38">
        <v>14.0</v>
      </c>
      <c r="AG271" s="38" t="s">
        <v>631</v>
      </c>
      <c r="AI271" s="18" t="s">
        <v>588</v>
      </c>
    </row>
    <row r="272">
      <c r="A272" s="11"/>
      <c r="B272" s="12" t="s">
        <v>34</v>
      </c>
      <c r="C272" s="12" t="s">
        <v>65</v>
      </c>
      <c r="D272" s="12" t="s">
        <v>83</v>
      </c>
      <c r="E272" s="12" t="s">
        <v>632</v>
      </c>
      <c r="F272" s="13" t="s">
        <v>633</v>
      </c>
      <c r="G272" s="12" t="s">
        <v>68</v>
      </c>
      <c r="H272" s="12" t="s">
        <v>634</v>
      </c>
      <c r="I272" s="12" t="s">
        <v>635</v>
      </c>
      <c r="J272" s="17" t="s">
        <v>636</v>
      </c>
      <c r="K272" s="17" t="s">
        <v>636</v>
      </c>
      <c r="L272" s="17" t="s">
        <v>193</v>
      </c>
      <c r="M272" s="17">
        <v>27.0</v>
      </c>
      <c r="N272" s="20">
        <v>45833.0</v>
      </c>
      <c r="O272" s="17" t="s">
        <v>194</v>
      </c>
      <c r="P272" s="16">
        <v>4.0</v>
      </c>
      <c r="Q272" s="16">
        <v>4.0</v>
      </c>
      <c r="R272" s="16">
        <v>4.0</v>
      </c>
      <c r="S272" s="16">
        <v>4.0</v>
      </c>
      <c r="T272" s="16">
        <v>5.0</v>
      </c>
      <c r="U272" s="16">
        <v>4.0</v>
      </c>
      <c r="V272" s="16">
        <v>4.0</v>
      </c>
      <c r="W272" s="16">
        <v>4.0</v>
      </c>
      <c r="X272" s="16">
        <v>4.0</v>
      </c>
      <c r="Y272" s="16">
        <v>4.0</v>
      </c>
      <c r="Z272" s="16">
        <v>5.0</v>
      </c>
      <c r="AA272" s="16">
        <v>4.0</v>
      </c>
      <c r="AB272" s="16">
        <v>5.0</v>
      </c>
      <c r="AC272" s="16">
        <v>4.0</v>
      </c>
      <c r="AD272" s="38">
        <v>14.0</v>
      </c>
      <c r="AE272" s="38">
        <v>14.0</v>
      </c>
      <c r="AF272" s="38">
        <v>18.0</v>
      </c>
      <c r="AG272" s="38" t="s">
        <v>637</v>
      </c>
      <c r="AI272" s="18" t="s">
        <v>638</v>
      </c>
    </row>
    <row r="273">
      <c r="A273" s="11"/>
      <c r="B273" s="12" t="s">
        <v>34</v>
      </c>
      <c r="C273" s="12" t="s">
        <v>65</v>
      </c>
      <c r="D273" s="12" t="s">
        <v>83</v>
      </c>
      <c r="E273" s="12" t="s">
        <v>632</v>
      </c>
      <c r="F273" s="13" t="s">
        <v>633</v>
      </c>
      <c r="G273" s="12" t="s">
        <v>68</v>
      </c>
      <c r="H273" s="12" t="s">
        <v>634</v>
      </c>
      <c r="I273" s="12" t="s">
        <v>635</v>
      </c>
      <c r="J273" s="17" t="s">
        <v>639</v>
      </c>
      <c r="K273" s="17" t="s">
        <v>639</v>
      </c>
      <c r="L273" s="17" t="s">
        <v>193</v>
      </c>
      <c r="M273" s="17">
        <v>27.0</v>
      </c>
      <c r="N273" s="20">
        <v>45833.0</v>
      </c>
      <c r="O273" s="17" t="s">
        <v>194</v>
      </c>
      <c r="P273" s="16">
        <v>3.0</v>
      </c>
      <c r="Q273" s="16">
        <v>3.0</v>
      </c>
      <c r="R273" s="16">
        <v>2.0</v>
      </c>
      <c r="S273" s="16">
        <v>2.0</v>
      </c>
      <c r="T273" s="16">
        <v>5.0</v>
      </c>
      <c r="U273" s="16">
        <v>4.0</v>
      </c>
      <c r="V273" s="16">
        <v>4.0</v>
      </c>
      <c r="W273" s="16">
        <v>2.0</v>
      </c>
      <c r="X273" s="16">
        <v>4.0</v>
      </c>
      <c r="Y273" s="16">
        <v>4.0</v>
      </c>
      <c r="Z273" s="16">
        <v>5.0</v>
      </c>
      <c r="AA273" s="16">
        <v>3.0</v>
      </c>
      <c r="AB273" s="16">
        <v>5.0</v>
      </c>
      <c r="AC273" s="16">
        <v>4.0</v>
      </c>
      <c r="AD273" s="38">
        <v>15.0</v>
      </c>
      <c r="AE273" s="38">
        <v>12.0</v>
      </c>
      <c r="AF273" s="38">
        <v>18.0</v>
      </c>
      <c r="AG273" s="38" t="s">
        <v>640</v>
      </c>
      <c r="AI273" s="18" t="s">
        <v>638</v>
      </c>
    </row>
    <row r="274">
      <c r="A274" s="11"/>
      <c r="B274" s="12" t="s">
        <v>34</v>
      </c>
      <c r="C274" s="12" t="s">
        <v>65</v>
      </c>
      <c r="D274" s="12" t="s">
        <v>83</v>
      </c>
      <c r="E274" s="12" t="s">
        <v>632</v>
      </c>
      <c r="F274" s="13" t="s">
        <v>633</v>
      </c>
      <c r="G274" s="12" t="s">
        <v>68</v>
      </c>
      <c r="H274" s="12" t="s">
        <v>634</v>
      </c>
      <c r="I274" s="12" t="s">
        <v>635</v>
      </c>
      <c r="J274" s="17" t="s">
        <v>641</v>
      </c>
      <c r="K274" s="17" t="s">
        <v>641</v>
      </c>
      <c r="L274" s="17" t="s">
        <v>193</v>
      </c>
      <c r="M274" s="17">
        <v>30.0</v>
      </c>
      <c r="N274" s="20">
        <v>45833.0</v>
      </c>
      <c r="O274" s="17" t="s">
        <v>194</v>
      </c>
      <c r="P274" s="16">
        <v>4.0</v>
      </c>
      <c r="Q274" s="16">
        <v>4.0</v>
      </c>
      <c r="R274" s="16">
        <v>3.0</v>
      </c>
      <c r="S274" s="16">
        <v>3.0</v>
      </c>
      <c r="T274" s="16">
        <v>4.0</v>
      </c>
      <c r="U274" s="16">
        <v>4.0</v>
      </c>
      <c r="V274" s="16">
        <v>4.0</v>
      </c>
      <c r="W274" s="16">
        <v>3.0</v>
      </c>
      <c r="X274" s="16">
        <v>5.0</v>
      </c>
      <c r="Y274" s="16">
        <v>5.0</v>
      </c>
      <c r="Z274" s="16">
        <v>4.0</v>
      </c>
      <c r="AA274" s="16">
        <v>4.0</v>
      </c>
      <c r="AB274" s="16">
        <v>4.0</v>
      </c>
      <c r="AC274" s="16">
        <v>5.0</v>
      </c>
      <c r="AD274" s="38">
        <v>14.0</v>
      </c>
      <c r="AE274" s="38">
        <v>15.0</v>
      </c>
      <c r="AF274" s="38">
        <v>16.0</v>
      </c>
      <c r="AG274" s="38" t="s">
        <v>642</v>
      </c>
      <c r="AI274" s="18" t="s">
        <v>638</v>
      </c>
    </row>
    <row r="275">
      <c r="A275" s="11"/>
      <c r="B275" s="12" t="s">
        <v>34</v>
      </c>
      <c r="C275" s="12" t="s">
        <v>65</v>
      </c>
      <c r="D275" s="12" t="s">
        <v>83</v>
      </c>
      <c r="E275" s="12" t="s">
        <v>632</v>
      </c>
      <c r="F275" s="13" t="s">
        <v>633</v>
      </c>
      <c r="G275" s="12" t="s">
        <v>68</v>
      </c>
      <c r="H275" s="12" t="s">
        <v>634</v>
      </c>
      <c r="I275" s="12" t="s">
        <v>635</v>
      </c>
      <c r="J275" s="17" t="s">
        <v>643</v>
      </c>
      <c r="K275" s="17" t="s">
        <v>643</v>
      </c>
      <c r="L275" s="17" t="s">
        <v>193</v>
      </c>
      <c r="M275" s="17" t="s">
        <v>644</v>
      </c>
      <c r="N275" s="20">
        <v>45833.0</v>
      </c>
      <c r="O275" s="17" t="s">
        <v>194</v>
      </c>
      <c r="P275" s="16">
        <v>5.0</v>
      </c>
      <c r="Q275" s="16">
        <v>5.0</v>
      </c>
      <c r="R275" s="16">
        <v>4.0</v>
      </c>
      <c r="S275" s="16">
        <v>4.0</v>
      </c>
      <c r="T275" s="16">
        <v>5.0</v>
      </c>
      <c r="U275" s="16">
        <v>4.0</v>
      </c>
      <c r="V275" s="16">
        <v>4.0</v>
      </c>
      <c r="W275" s="16">
        <v>4.0</v>
      </c>
      <c r="X275" s="16">
        <v>5.0</v>
      </c>
      <c r="Y275" s="16">
        <v>5.0</v>
      </c>
      <c r="Z275" s="16">
        <v>5.0</v>
      </c>
      <c r="AA275" s="16">
        <v>5.0</v>
      </c>
      <c r="AB275" s="16">
        <v>5.0</v>
      </c>
      <c r="AC275" s="16">
        <v>5.0</v>
      </c>
      <c r="AD275" s="38">
        <v>13.0</v>
      </c>
      <c r="AE275" s="38">
        <v>15.0</v>
      </c>
      <c r="AF275" s="38">
        <v>18.0</v>
      </c>
      <c r="AG275" s="38" t="s">
        <v>645</v>
      </c>
      <c r="AI275" s="18" t="s">
        <v>638</v>
      </c>
    </row>
    <row r="276">
      <c r="A276" s="11"/>
      <c r="B276" s="12" t="s">
        <v>34</v>
      </c>
      <c r="C276" s="12" t="s">
        <v>65</v>
      </c>
      <c r="D276" s="12" t="s">
        <v>83</v>
      </c>
      <c r="E276" s="12" t="s">
        <v>632</v>
      </c>
      <c r="F276" s="13" t="s">
        <v>633</v>
      </c>
      <c r="G276" s="12" t="s">
        <v>68</v>
      </c>
      <c r="H276" s="12" t="s">
        <v>634</v>
      </c>
      <c r="I276" s="12" t="s">
        <v>635</v>
      </c>
      <c r="J276" s="17" t="s">
        <v>646</v>
      </c>
      <c r="K276" s="17" t="s">
        <v>646</v>
      </c>
      <c r="L276" s="17" t="s">
        <v>193</v>
      </c>
      <c r="M276" s="17">
        <v>35.0</v>
      </c>
      <c r="N276" s="20">
        <v>45833.0</v>
      </c>
      <c r="O276" s="17" t="s">
        <v>194</v>
      </c>
      <c r="P276" s="16">
        <v>5.0</v>
      </c>
      <c r="Q276" s="16">
        <v>5.0</v>
      </c>
      <c r="R276" s="16">
        <v>5.0</v>
      </c>
      <c r="S276" s="16">
        <v>5.0</v>
      </c>
      <c r="T276" s="16">
        <v>5.0</v>
      </c>
      <c r="U276" s="16">
        <v>5.0</v>
      </c>
      <c r="V276" s="16">
        <v>5.0</v>
      </c>
      <c r="W276" s="16">
        <v>5.0</v>
      </c>
      <c r="X276" s="16">
        <v>5.0</v>
      </c>
      <c r="Y276" s="16">
        <v>5.0</v>
      </c>
      <c r="Z276" s="16">
        <v>5.0</v>
      </c>
      <c r="AA276" s="16">
        <v>5.0</v>
      </c>
      <c r="AB276" s="16">
        <v>5.0</v>
      </c>
      <c r="AC276" s="16">
        <v>5.0</v>
      </c>
      <c r="AD276" s="38">
        <v>13.0</v>
      </c>
      <c r="AE276" s="38">
        <v>16.0</v>
      </c>
      <c r="AF276" s="38">
        <v>20.0</v>
      </c>
      <c r="AG276" s="38" t="s">
        <v>647</v>
      </c>
      <c r="AI276" s="18" t="s">
        <v>638</v>
      </c>
    </row>
    <row r="277">
      <c r="A277" s="11"/>
      <c r="B277" s="12" t="s">
        <v>34</v>
      </c>
      <c r="C277" s="12" t="s">
        <v>65</v>
      </c>
      <c r="D277" s="12" t="s">
        <v>83</v>
      </c>
      <c r="E277" s="12" t="s">
        <v>632</v>
      </c>
      <c r="F277" s="13" t="s">
        <v>633</v>
      </c>
      <c r="G277" s="12" t="s">
        <v>68</v>
      </c>
      <c r="H277" s="12" t="s">
        <v>634</v>
      </c>
      <c r="I277" s="12" t="s">
        <v>635</v>
      </c>
      <c r="J277" s="17" t="s">
        <v>648</v>
      </c>
      <c r="K277" s="17" t="s">
        <v>648</v>
      </c>
      <c r="L277" s="17" t="s">
        <v>193</v>
      </c>
      <c r="M277" s="17">
        <v>42.0</v>
      </c>
      <c r="N277" s="20">
        <v>45833.0</v>
      </c>
      <c r="O277" s="17" t="s">
        <v>194</v>
      </c>
      <c r="P277" s="16">
        <v>5.0</v>
      </c>
      <c r="Q277" s="16">
        <v>5.0</v>
      </c>
      <c r="R277" s="16">
        <v>5.0</v>
      </c>
      <c r="S277" s="16">
        <v>5.0</v>
      </c>
      <c r="T277" s="16">
        <v>4.0</v>
      </c>
      <c r="U277" s="16">
        <v>4.0</v>
      </c>
      <c r="V277" s="16">
        <v>4.0</v>
      </c>
      <c r="W277" s="16">
        <v>5.0</v>
      </c>
      <c r="X277" s="16">
        <v>5.0</v>
      </c>
      <c r="Y277" s="16">
        <v>5.0</v>
      </c>
      <c r="Z277" s="16">
        <v>4.0</v>
      </c>
      <c r="AA277" s="16">
        <v>5.0</v>
      </c>
      <c r="AB277" s="16">
        <v>4.0</v>
      </c>
      <c r="AC277" s="16">
        <v>5.0</v>
      </c>
      <c r="AD277" s="38">
        <v>13.0</v>
      </c>
      <c r="AE277" s="38">
        <v>17.0</v>
      </c>
      <c r="AF277" s="38">
        <v>16.0</v>
      </c>
      <c r="AG277" s="38" t="s">
        <v>649</v>
      </c>
      <c r="AI277" s="18" t="s">
        <v>638</v>
      </c>
    </row>
    <row r="278">
      <c r="A278" s="11"/>
      <c r="B278" s="12" t="s">
        <v>34</v>
      </c>
      <c r="C278" s="12" t="s">
        <v>65</v>
      </c>
      <c r="D278" s="12" t="s">
        <v>83</v>
      </c>
      <c r="E278" s="12" t="s">
        <v>632</v>
      </c>
      <c r="F278" s="13" t="s">
        <v>633</v>
      </c>
      <c r="G278" s="12" t="s">
        <v>68</v>
      </c>
      <c r="H278" s="12" t="s">
        <v>634</v>
      </c>
      <c r="I278" s="12" t="s">
        <v>635</v>
      </c>
      <c r="J278" s="17" t="s">
        <v>650</v>
      </c>
      <c r="K278" s="17" t="s">
        <v>650</v>
      </c>
      <c r="L278" s="17" t="s">
        <v>193</v>
      </c>
      <c r="M278" s="17">
        <v>25.0</v>
      </c>
      <c r="N278" s="20">
        <v>45833.0</v>
      </c>
      <c r="O278" s="17" t="s">
        <v>194</v>
      </c>
      <c r="P278" s="16">
        <v>3.0</v>
      </c>
      <c r="Q278" s="16">
        <v>3.0</v>
      </c>
      <c r="R278" s="16">
        <v>1.0</v>
      </c>
      <c r="S278" s="16">
        <v>1.0</v>
      </c>
      <c r="T278" s="16">
        <v>5.0</v>
      </c>
      <c r="U278" s="16">
        <v>4.0</v>
      </c>
      <c r="V278" s="16">
        <v>4.0</v>
      </c>
      <c r="W278" s="16">
        <v>1.0</v>
      </c>
      <c r="X278" s="16">
        <v>4.0</v>
      </c>
      <c r="Y278" s="16">
        <v>4.0</v>
      </c>
      <c r="Z278" s="16">
        <v>5.0</v>
      </c>
      <c r="AA278" s="16">
        <v>3.0</v>
      </c>
      <c r="AB278" s="16">
        <v>5.0</v>
      </c>
      <c r="AC278" s="16">
        <v>4.0</v>
      </c>
      <c r="AD278" s="38">
        <v>15.0</v>
      </c>
      <c r="AE278" s="38">
        <v>11.0</v>
      </c>
      <c r="AF278" s="38">
        <v>18.0</v>
      </c>
      <c r="AG278" s="38" t="s">
        <v>651</v>
      </c>
      <c r="AI278" s="18" t="s">
        <v>638</v>
      </c>
    </row>
    <row r="279">
      <c r="A279" s="11"/>
      <c r="B279" s="12" t="s">
        <v>34</v>
      </c>
      <c r="C279" s="12" t="s">
        <v>65</v>
      </c>
      <c r="D279" s="12" t="s">
        <v>83</v>
      </c>
      <c r="E279" s="12" t="s">
        <v>632</v>
      </c>
      <c r="F279" s="13" t="s">
        <v>633</v>
      </c>
      <c r="G279" s="12" t="s">
        <v>68</v>
      </c>
      <c r="H279" s="12" t="s">
        <v>634</v>
      </c>
      <c r="I279" s="12" t="s">
        <v>635</v>
      </c>
      <c r="J279" s="17" t="s">
        <v>652</v>
      </c>
      <c r="K279" s="17" t="s">
        <v>652</v>
      </c>
      <c r="L279" s="17" t="s">
        <v>222</v>
      </c>
      <c r="M279" s="17">
        <v>39.0</v>
      </c>
      <c r="N279" s="20">
        <v>45833.0</v>
      </c>
      <c r="O279" s="17" t="s">
        <v>194</v>
      </c>
      <c r="P279" s="16">
        <v>4.0</v>
      </c>
      <c r="Q279" s="16">
        <v>4.0</v>
      </c>
      <c r="R279" s="16">
        <v>4.0</v>
      </c>
      <c r="S279" s="16">
        <v>4.0</v>
      </c>
      <c r="T279" s="16">
        <v>4.0</v>
      </c>
      <c r="U279" s="16">
        <v>4.0</v>
      </c>
      <c r="V279" s="16">
        <v>4.0</v>
      </c>
      <c r="W279" s="16">
        <v>4.0</v>
      </c>
      <c r="X279" s="16">
        <v>4.0</v>
      </c>
      <c r="Y279" s="16">
        <v>4.0</v>
      </c>
      <c r="Z279" s="16">
        <v>4.0</v>
      </c>
      <c r="AA279" s="16">
        <v>4.0</v>
      </c>
      <c r="AB279" s="16">
        <v>4.0</v>
      </c>
      <c r="AC279" s="16">
        <v>4.0</v>
      </c>
      <c r="AD279" s="38">
        <v>14.0</v>
      </c>
      <c r="AE279" s="38">
        <v>15.0</v>
      </c>
      <c r="AF279" s="38">
        <v>16.0</v>
      </c>
      <c r="AG279" s="38" t="s">
        <v>653</v>
      </c>
      <c r="AI279" s="18" t="s">
        <v>638</v>
      </c>
    </row>
    <row r="280">
      <c r="A280" s="11"/>
      <c r="B280" s="12" t="s">
        <v>34</v>
      </c>
      <c r="C280" s="12" t="s">
        <v>65</v>
      </c>
      <c r="D280" s="12" t="s">
        <v>83</v>
      </c>
      <c r="E280" s="12" t="s">
        <v>632</v>
      </c>
      <c r="F280" s="13" t="s">
        <v>633</v>
      </c>
      <c r="G280" s="12" t="s">
        <v>68</v>
      </c>
      <c r="H280" s="12" t="s">
        <v>634</v>
      </c>
      <c r="I280" s="12" t="s">
        <v>635</v>
      </c>
      <c r="J280" s="17" t="s">
        <v>654</v>
      </c>
      <c r="K280" s="17" t="s">
        <v>654</v>
      </c>
      <c r="L280" s="17" t="s">
        <v>222</v>
      </c>
      <c r="M280" s="17">
        <v>49.0</v>
      </c>
      <c r="N280" s="20">
        <v>45833.0</v>
      </c>
      <c r="O280" s="17" t="s">
        <v>194</v>
      </c>
      <c r="P280" s="16">
        <v>4.0</v>
      </c>
      <c r="Q280" s="16">
        <v>4.0</v>
      </c>
      <c r="R280" s="16">
        <v>4.0</v>
      </c>
      <c r="S280" s="16">
        <v>4.0</v>
      </c>
      <c r="T280" s="16">
        <v>4.0</v>
      </c>
      <c r="U280" s="16">
        <v>3.0</v>
      </c>
      <c r="V280" s="16">
        <v>3.0</v>
      </c>
      <c r="W280" s="16">
        <v>4.0</v>
      </c>
      <c r="X280" s="16">
        <v>4.0</v>
      </c>
      <c r="Y280" s="16">
        <v>4.0</v>
      </c>
      <c r="Z280" s="16">
        <v>4.0</v>
      </c>
      <c r="AA280" s="16">
        <v>4.0</v>
      </c>
      <c r="AB280" s="16">
        <v>4.0</v>
      </c>
      <c r="AC280" s="16">
        <v>4.0</v>
      </c>
      <c r="AD280" s="38">
        <v>14.0</v>
      </c>
      <c r="AE280" s="38">
        <v>15.0</v>
      </c>
      <c r="AF280" s="38">
        <v>14.0</v>
      </c>
      <c r="AG280" s="38" t="s">
        <v>655</v>
      </c>
      <c r="AI280" s="18" t="s">
        <v>638</v>
      </c>
    </row>
    <row r="281">
      <c r="A281" s="11"/>
      <c r="B281" s="12" t="s">
        <v>34</v>
      </c>
      <c r="C281" s="12" t="s">
        <v>65</v>
      </c>
      <c r="D281" s="12" t="s">
        <v>83</v>
      </c>
      <c r="E281" s="12" t="s">
        <v>632</v>
      </c>
      <c r="F281" s="13" t="s">
        <v>633</v>
      </c>
      <c r="G281" s="12" t="s">
        <v>68</v>
      </c>
      <c r="H281" s="12" t="s">
        <v>634</v>
      </c>
      <c r="I281" s="12" t="s">
        <v>635</v>
      </c>
      <c r="J281" s="17" t="s">
        <v>656</v>
      </c>
      <c r="K281" s="17" t="s">
        <v>656</v>
      </c>
      <c r="L281" s="17" t="s">
        <v>193</v>
      </c>
      <c r="M281" s="17">
        <v>22.0</v>
      </c>
      <c r="N281" s="20">
        <v>45833.0</v>
      </c>
      <c r="O281" s="17" t="s">
        <v>194</v>
      </c>
      <c r="P281" s="16">
        <v>2.0</v>
      </c>
      <c r="Q281" s="16">
        <v>2.0</v>
      </c>
      <c r="R281" s="16">
        <v>5.0</v>
      </c>
      <c r="S281" s="16">
        <v>5.0</v>
      </c>
      <c r="T281" s="16">
        <v>5.0</v>
      </c>
      <c r="U281" s="16">
        <v>5.0</v>
      </c>
      <c r="V281" s="16">
        <v>5.0</v>
      </c>
      <c r="W281" s="16">
        <v>5.0</v>
      </c>
      <c r="X281" s="16">
        <v>5.0</v>
      </c>
      <c r="Y281" s="16">
        <v>5.0</v>
      </c>
      <c r="Z281" s="16">
        <v>5.0</v>
      </c>
      <c r="AA281" s="16">
        <v>2.0</v>
      </c>
      <c r="AB281" s="16">
        <v>5.0</v>
      </c>
      <c r="AC281" s="16">
        <v>5.0</v>
      </c>
      <c r="AD281" s="38">
        <v>16.0</v>
      </c>
      <c r="AE281" s="38">
        <v>16.0</v>
      </c>
      <c r="AF281" s="38">
        <v>20.0</v>
      </c>
      <c r="AG281" s="38" t="s">
        <v>657</v>
      </c>
      <c r="AI281" s="18" t="s">
        <v>638</v>
      </c>
    </row>
    <row r="282">
      <c r="A282" s="11"/>
      <c r="B282" s="12" t="s">
        <v>34</v>
      </c>
      <c r="C282" s="12" t="s">
        <v>65</v>
      </c>
      <c r="D282" s="12" t="s">
        <v>83</v>
      </c>
      <c r="E282" s="12" t="s">
        <v>632</v>
      </c>
      <c r="F282" s="13" t="s">
        <v>633</v>
      </c>
      <c r="G282" s="12" t="s">
        <v>68</v>
      </c>
      <c r="H282" s="12" t="s">
        <v>634</v>
      </c>
      <c r="I282" s="12" t="s">
        <v>635</v>
      </c>
      <c r="J282" s="17" t="s">
        <v>658</v>
      </c>
      <c r="K282" s="17" t="s">
        <v>658</v>
      </c>
      <c r="L282" s="17" t="s">
        <v>193</v>
      </c>
      <c r="M282" s="17">
        <v>34.0</v>
      </c>
      <c r="N282" s="20">
        <v>45833.0</v>
      </c>
      <c r="O282" s="17" t="s">
        <v>194</v>
      </c>
      <c r="P282" s="16">
        <v>1.0</v>
      </c>
      <c r="Q282" s="16">
        <v>1.0</v>
      </c>
      <c r="R282" s="16">
        <v>5.0</v>
      </c>
      <c r="S282" s="16">
        <v>5.0</v>
      </c>
      <c r="T282" s="16">
        <v>5.0</v>
      </c>
      <c r="U282" s="16">
        <v>5.0</v>
      </c>
      <c r="V282" s="16">
        <v>5.0</v>
      </c>
      <c r="W282" s="16">
        <v>5.0</v>
      </c>
      <c r="X282" s="16">
        <v>4.0</v>
      </c>
      <c r="Y282" s="16">
        <v>4.0</v>
      </c>
      <c r="Z282" s="16">
        <v>5.0</v>
      </c>
      <c r="AA282" s="16">
        <v>1.0</v>
      </c>
      <c r="AB282" s="16">
        <v>5.0</v>
      </c>
      <c r="AC282" s="16">
        <v>4.0</v>
      </c>
      <c r="AD282" s="38">
        <v>17.0</v>
      </c>
      <c r="AE282" s="38">
        <v>15.0</v>
      </c>
      <c r="AF282" s="38">
        <v>20.0</v>
      </c>
      <c r="AG282" s="38" t="s">
        <v>659</v>
      </c>
      <c r="AI282" s="18" t="s">
        <v>638</v>
      </c>
    </row>
    <row r="283">
      <c r="A283" s="11"/>
      <c r="B283" s="12" t="s">
        <v>34</v>
      </c>
      <c r="C283" s="12" t="s">
        <v>65</v>
      </c>
      <c r="D283" s="12" t="s">
        <v>83</v>
      </c>
      <c r="E283" s="12" t="s">
        <v>632</v>
      </c>
      <c r="F283" s="13" t="s">
        <v>633</v>
      </c>
      <c r="G283" s="12" t="s">
        <v>68</v>
      </c>
      <c r="H283" s="12" t="s">
        <v>634</v>
      </c>
      <c r="I283" s="12" t="s">
        <v>635</v>
      </c>
      <c r="J283" s="17" t="s">
        <v>660</v>
      </c>
      <c r="K283" s="17" t="s">
        <v>660</v>
      </c>
      <c r="L283" s="17" t="s">
        <v>193</v>
      </c>
      <c r="M283" s="17">
        <v>21.0</v>
      </c>
      <c r="N283" s="20">
        <v>45833.0</v>
      </c>
      <c r="O283" s="17" t="s">
        <v>194</v>
      </c>
      <c r="P283" s="16">
        <v>5.0</v>
      </c>
      <c r="Q283" s="16">
        <v>5.0</v>
      </c>
      <c r="R283" s="16">
        <v>5.0</v>
      </c>
      <c r="S283" s="16">
        <v>5.0</v>
      </c>
      <c r="T283" s="16">
        <v>4.0</v>
      </c>
      <c r="U283" s="16">
        <v>4.0</v>
      </c>
      <c r="V283" s="16">
        <v>4.0</v>
      </c>
      <c r="W283" s="16">
        <v>5.0</v>
      </c>
      <c r="X283" s="16">
        <v>4.0</v>
      </c>
      <c r="Y283" s="16">
        <v>4.0</v>
      </c>
      <c r="Z283" s="16">
        <v>4.0</v>
      </c>
      <c r="AA283" s="16">
        <v>5.0</v>
      </c>
      <c r="AB283" s="16">
        <v>4.0</v>
      </c>
      <c r="AC283" s="16">
        <v>4.0</v>
      </c>
      <c r="AD283" s="38">
        <v>13.0</v>
      </c>
      <c r="AE283" s="38">
        <v>16.0</v>
      </c>
      <c r="AF283" s="38">
        <v>16.0</v>
      </c>
      <c r="AG283" s="38" t="s">
        <v>661</v>
      </c>
      <c r="AI283" s="18" t="s">
        <v>638</v>
      </c>
    </row>
    <row r="284">
      <c r="A284" s="11"/>
      <c r="B284" s="12" t="s">
        <v>34</v>
      </c>
      <c r="C284" s="12" t="s">
        <v>65</v>
      </c>
      <c r="D284" s="12" t="s">
        <v>83</v>
      </c>
      <c r="E284" s="12" t="s">
        <v>632</v>
      </c>
      <c r="F284" s="13" t="s">
        <v>633</v>
      </c>
      <c r="G284" s="12" t="s">
        <v>68</v>
      </c>
      <c r="H284" s="12" t="s">
        <v>634</v>
      </c>
      <c r="I284" s="12" t="s">
        <v>635</v>
      </c>
      <c r="J284" s="17" t="s">
        <v>662</v>
      </c>
      <c r="K284" s="17" t="s">
        <v>662</v>
      </c>
      <c r="L284" s="17" t="s">
        <v>222</v>
      </c>
      <c r="M284" s="17">
        <v>30.0</v>
      </c>
      <c r="N284" s="20">
        <v>45833.0</v>
      </c>
      <c r="O284" s="17" t="s">
        <v>194</v>
      </c>
      <c r="P284" s="16">
        <v>5.0</v>
      </c>
      <c r="Q284" s="16">
        <v>5.0</v>
      </c>
      <c r="R284" s="16">
        <v>5.0</v>
      </c>
      <c r="S284" s="16">
        <v>5.0</v>
      </c>
      <c r="T284" s="16">
        <v>5.0</v>
      </c>
      <c r="U284" s="16">
        <v>5.0</v>
      </c>
      <c r="V284" s="16">
        <v>5.0</v>
      </c>
      <c r="W284" s="16">
        <v>5.0</v>
      </c>
      <c r="X284" s="16">
        <v>5.0</v>
      </c>
      <c r="Y284" s="16">
        <v>5.0</v>
      </c>
      <c r="Z284" s="16">
        <v>5.0</v>
      </c>
      <c r="AA284" s="16">
        <v>5.0</v>
      </c>
      <c r="AB284" s="16">
        <v>5.0</v>
      </c>
      <c r="AC284" s="16">
        <v>5.0</v>
      </c>
      <c r="AD284" s="38">
        <v>13.0</v>
      </c>
      <c r="AE284" s="38">
        <v>16.0</v>
      </c>
      <c r="AF284" s="38">
        <v>20.0</v>
      </c>
      <c r="AG284" s="38" t="s">
        <v>663</v>
      </c>
      <c r="AI284" s="18" t="s">
        <v>638</v>
      </c>
    </row>
    <row r="285">
      <c r="A285" s="11"/>
      <c r="B285" s="12" t="s">
        <v>34</v>
      </c>
      <c r="C285" s="12" t="s">
        <v>65</v>
      </c>
      <c r="D285" s="12" t="s">
        <v>83</v>
      </c>
      <c r="E285" s="12" t="s">
        <v>632</v>
      </c>
      <c r="F285" s="13" t="s">
        <v>633</v>
      </c>
      <c r="G285" s="12" t="s">
        <v>68</v>
      </c>
      <c r="H285" s="12" t="s">
        <v>634</v>
      </c>
      <c r="I285" s="12" t="s">
        <v>635</v>
      </c>
      <c r="J285" s="17" t="s">
        <v>664</v>
      </c>
      <c r="K285" s="17" t="s">
        <v>664</v>
      </c>
      <c r="L285" s="17" t="s">
        <v>193</v>
      </c>
      <c r="M285" s="17">
        <v>26.0</v>
      </c>
      <c r="N285" s="20">
        <v>45833.0</v>
      </c>
      <c r="O285" s="17" t="s">
        <v>194</v>
      </c>
      <c r="P285" s="16">
        <v>2.0</v>
      </c>
      <c r="Q285" s="16">
        <v>2.0</v>
      </c>
      <c r="R285" s="16">
        <v>5.0</v>
      </c>
      <c r="S285" s="16">
        <v>5.0</v>
      </c>
      <c r="T285" s="16">
        <v>5.0</v>
      </c>
      <c r="U285" s="16">
        <v>5.0</v>
      </c>
      <c r="V285" s="16">
        <v>5.0</v>
      </c>
      <c r="W285" s="16">
        <v>5.0</v>
      </c>
      <c r="X285" s="16">
        <v>5.0</v>
      </c>
      <c r="Y285" s="16">
        <v>5.0</v>
      </c>
      <c r="Z285" s="16">
        <v>5.0</v>
      </c>
      <c r="AA285" s="16">
        <v>2.0</v>
      </c>
      <c r="AB285" s="16">
        <v>5.0</v>
      </c>
      <c r="AC285" s="16">
        <v>5.0</v>
      </c>
      <c r="AD285" s="38">
        <v>16.0</v>
      </c>
      <c r="AE285" s="38">
        <v>16.0</v>
      </c>
      <c r="AF285" s="38">
        <v>20.0</v>
      </c>
      <c r="AG285" s="38" t="s">
        <v>665</v>
      </c>
      <c r="AI285" s="18" t="s">
        <v>638</v>
      </c>
    </row>
    <row r="286">
      <c r="A286" s="11"/>
      <c r="B286" s="12" t="s">
        <v>34</v>
      </c>
      <c r="C286" s="12" t="s">
        <v>65</v>
      </c>
      <c r="D286" s="12" t="s">
        <v>43</v>
      </c>
      <c r="E286" s="12" t="s">
        <v>666</v>
      </c>
      <c r="F286" s="13" t="s">
        <v>667</v>
      </c>
      <c r="G286" s="12" t="s">
        <v>68</v>
      </c>
      <c r="H286" s="12" t="s">
        <v>668</v>
      </c>
      <c r="I286" s="12" t="s">
        <v>669</v>
      </c>
      <c r="J286" s="17" t="s">
        <v>670</v>
      </c>
      <c r="K286" s="17" t="s">
        <v>670</v>
      </c>
      <c r="L286" s="17" t="s">
        <v>193</v>
      </c>
      <c r="M286" s="17">
        <v>50.0</v>
      </c>
      <c r="N286" s="20">
        <v>45833.0</v>
      </c>
      <c r="O286" s="17" t="s">
        <v>194</v>
      </c>
      <c r="P286" s="16">
        <v>4.0</v>
      </c>
      <c r="Q286" s="16">
        <v>4.0</v>
      </c>
      <c r="R286" s="16">
        <v>4.0</v>
      </c>
      <c r="S286" s="16">
        <v>4.0</v>
      </c>
      <c r="T286" s="16">
        <v>4.0</v>
      </c>
      <c r="U286" s="16">
        <v>4.0</v>
      </c>
      <c r="V286" s="16">
        <v>4.0</v>
      </c>
      <c r="W286" s="16">
        <v>4.0</v>
      </c>
      <c r="X286" s="16">
        <v>4.0</v>
      </c>
      <c r="Y286" s="16">
        <v>4.0</v>
      </c>
      <c r="Z286" s="16">
        <v>4.0</v>
      </c>
      <c r="AA286" s="16">
        <v>4.0</v>
      </c>
      <c r="AB286" s="16">
        <v>4.0</v>
      </c>
      <c r="AC286" s="16">
        <v>4.0</v>
      </c>
      <c r="AD286" s="38">
        <v>14.0</v>
      </c>
      <c r="AE286" s="38">
        <v>15.0</v>
      </c>
      <c r="AF286" s="38">
        <v>16.0</v>
      </c>
      <c r="AG286" s="38" t="s">
        <v>671</v>
      </c>
      <c r="AI286" s="18" t="s">
        <v>638</v>
      </c>
    </row>
    <row r="287">
      <c r="A287" s="11"/>
      <c r="B287" s="12" t="s">
        <v>34</v>
      </c>
      <c r="C287" s="12" t="s">
        <v>65</v>
      </c>
      <c r="D287" s="12" t="s">
        <v>43</v>
      </c>
      <c r="E287" s="12" t="s">
        <v>666</v>
      </c>
      <c r="F287" s="13" t="s">
        <v>667</v>
      </c>
      <c r="G287" s="12" t="s">
        <v>68</v>
      </c>
      <c r="H287" s="12" t="s">
        <v>668</v>
      </c>
      <c r="I287" s="12" t="s">
        <v>669</v>
      </c>
      <c r="J287" s="17" t="s">
        <v>672</v>
      </c>
      <c r="K287" s="17" t="s">
        <v>672</v>
      </c>
      <c r="L287" s="17" t="s">
        <v>193</v>
      </c>
      <c r="M287" s="17">
        <v>30.0</v>
      </c>
      <c r="N287" s="20">
        <v>45833.0</v>
      </c>
      <c r="O287" s="17" t="s">
        <v>194</v>
      </c>
      <c r="P287" s="16">
        <v>5.0</v>
      </c>
      <c r="Q287" s="16">
        <v>5.0</v>
      </c>
      <c r="R287" s="16">
        <v>3.0</v>
      </c>
      <c r="S287" s="16">
        <v>3.0</v>
      </c>
      <c r="T287" s="16">
        <v>5.0</v>
      </c>
      <c r="U287" s="16">
        <v>1.0</v>
      </c>
      <c r="V287" s="16">
        <v>1.0</v>
      </c>
      <c r="W287" s="16">
        <v>3.0</v>
      </c>
      <c r="X287" s="16">
        <v>4.0</v>
      </c>
      <c r="Y287" s="16">
        <v>4.0</v>
      </c>
      <c r="Z287" s="16">
        <v>5.0</v>
      </c>
      <c r="AA287" s="16">
        <v>5.0</v>
      </c>
      <c r="AB287" s="16">
        <v>5.0</v>
      </c>
      <c r="AC287" s="16">
        <v>4.0</v>
      </c>
      <c r="AD287" s="38">
        <v>13.0</v>
      </c>
      <c r="AE287" s="38">
        <v>13.0</v>
      </c>
      <c r="AF287" s="38">
        <v>12.0</v>
      </c>
      <c r="AG287" s="38" t="s">
        <v>673</v>
      </c>
      <c r="AI287" s="18" t="s">
        <v>638</v>
      </c>
    </row>
    <row r="288">
      <c r="A288" s="11"/>
      <c r="B288" s="12" t="s">
        <v>34</v>
      </c>
      <c r="C288" s="12" t="s">
        <v>65</v>
      </c>
      <c r="D288" s="12" t="s">
        <v>43</v>
      </c>
      <c r="E288" s="12" t="s">
        <v>666</v>
      </c>
      <c r="F288" s="13" t="s">
        <v>667</v>
      </c>
      <c r="G288" s="12" t="s">
        <v>68</v>
      </c>
      <c r="H288" s="12" t="s">
        <v>668</v>
      </c>
      <c r="I288" s="12" t="s">
        <v>669</v>
      </c>
      <c r="J288" s="17" t="s">
        <v>674</v>
      </c>
      <c r="K288" s="17" t="s">
        <v>674</v>
      </c>
      <c r="L288" s="17" t="s">
        <v>193</v>
      </c>
      <c r="M288" s="17">
        <v>39.0</v>
      </c>
      <c r="N288" s="20">
        <v>45833.0</v>
      </c>
      <c r="O288" s="17" t="s">
        <v>194</v>
      </c>
      <c r="P288" s="16">
        <v>4.0</v>
      </c>
      <c r="Q288" s="16">
        <v>4.0</v>
      </c>
      <c r="R288" s="16">
        <v>4.0</v>
      </c>
      <c r="S288" s="16">
        <v>4.0</v>
      </c>
      <c r="T288" s="16">
        <v>4.0</v>
      </c>
      <c r="U288" s="16">
        <v>4.0</v>
      </c>
      <c r="V288" s="16">
        <v>4.0</v>
      </c>
      <c r="W288" s="16">
        <v>4.0</v>
      </c>
      <c r="X288" s="16">
        <v>5.0</v>
      </c>
      <c r="Y288" s="16">
        <v>5.0</v>
      </c>
      <c r="Z288" s="16">
        <v>4.0</v>
      </c>
      <c r="AA288" s="16">
        <v>4.0</v>
      </c>
      <c r="AB288" s="16">
        <v>4.0</v>
      </c>
      <c r="AC288" s="16">
        <v>5.0</v>
      </c>
      <c r="AD288" s="38">
        <v>14.0</v>
      </c>
      <c r="AE288" s="38">
        <v>16.0</v>
      </c>
      <c r="AF288" s="38">
        <v>16.0</v>
      </c>
      <c r="AG288" s="38" t="s">
        <v>675</v>
      </c>
      <c r="AI288" s="18" t="s">
        <v>638</v>
      </c>
    </row>
    <row r="289">
      <c r="A289" s="11"/>
      <c r="B289" s="12" t="s">
        <v>34</v>
      </c>
      <c r="C289" s="12" t="s">
        <v>65</v>
      </c>
      <c r="D289" s="12" t="s">
        <v>43</v>
      </c>
      <c r="E289" s="12" t="s">
        <v>666</v>
      </c>
      <c r="F289" s="13" t="s">
        <v>667</v>
      </c>
      <c r="G289" s="12" t="s">
        <v>68</v>
      </c>
      <c r="H289" s="12" t="s">
        <v>668</v>
      </c>
      <c r="I289" s="12" t="s">
        <v>669</v>
      </c>
      <c r="J289" s="17" t="s">
        <v>676</v>
      </c>
      <c r="K289" s="17" t="s">
        <v>676</v>
      </c>
      <c r="L289" s="17" t="s">
        <v>193</v>
      </c>
      <c r="M289" s="17">
        <v>22.0</v>
      </c>
      <c r="N289" s="20">
        <v>45833.0</v>
      </c>
      <c r="O289" s="17" t="s">
        <v>194</v>
      </c>
      <c r="P289" s="16">
        <v>5.0</v>
      </c>
      <c r="Q289" s="16">
        <v>5.0</v>
      </c>
      <c r="R289" s="16">
        <v>3.0</v>
      </c>
      <c r="S289" s="16">
        <v>3.0</v>
      </c>
      <c r="T289" s="16">
        <v>5.0</v>
      </c>
      <c r="U289" s="16">
        <v>3.0</v>
      </c>
      <c r="V289" s="16">
        <v>3.0</v>
      </c>
      <c r="W289" s="16">
        <v>3.0</v>
      </c>
      <c r="X289" s="16">
        <v>5.0</v>
      </c>
      <c r="Y289" s="16">
        <v>5.0</v>
      </c>
      <c r="Z289" s="16">
        <v>5.0</v>
      </c>
      <c r="AA289" s="16">
        <v>2.0</v>
      </c>
      <c r="AB289" s="16">
        <v>5.0</v>
      </c>
      <c r="AC289" s="16">
        <v>5.0</v>
      </c>
      <c r="AD289" s="38">
        <v>16.0</v>
      </c>
      <c r="AE289" s="38">
        <v>14.0</v>
      </c>
      <c r="AF289" s="38">
        <v>16.0</v>
      </c>
      <c r="AG289" s="38" t="s">
        <v>677</v>
      </c>
      <c r="AI289" s="18" t="s">
        <v>638</v>
      </c>
    </row>
    <row r="290">
      <c r="A290" s="11"/>
      <c r="B290" s="12" t="s">
        <v>34</v>
      </c>
      <c r="C290" s="12" t="s">
        <v>65</v>
      </c>
      <c r="D290" s="12" t="s">
        <v>43</v>
      </c>
      <c r="E290" s="12" t="s">
        <v>666</v>
      </c>
      <c r="F290" s="13" t="s">
        <v>667</v>
      </c>
      <c r="G290" s="12" t="s">
        <v>68</v>
      </c>
      <c r="H290" s="12" t="s">
        <v>668</v>
      </c>
      <c r="I290" s="12" t="s">
        <v>669</v>
      </c>
      <c r="J290" s="17" t="s">
        <v>678</v>
      </c>
      <c r="K290" s="17" t="s">
        <v>678</v>
      </c>
      <c r="L290" s="17" t="s">
        <v>193</v>
      </c>
      <c r="M290" s="17">
        <v>30.0</v>
      </c>
      <c r="N290" s="20">
        <v>45833.0</v>
      </c>
      <c r="O290" s="17" t="s">
        <v>194</v>
      </c>
      <c r="P290" s="16">
        <v>4.0</v>
      </c>
      <c r="Q290" s="16">
        <v>4.0</v>
      </c>
      <c r="R290" s="16">
        <v>4.0</v>
      </c>
      <c r="S290" s="16">
        <v>4.0</v>
      </c>
      <c r="T290" s="16">
        <v>4.0</v>
      </c>
      <c r="U290" s="16">
        <v>4.0</v>
      </c>
      <c r="V290" s="16">
        <v>4.0</v>
      </c>
      <c r="W290" s="16">
        <v>4.0</v>
      </c>
      <c r="X290" s="16">
        <v>4.0</v>
      </c>
      <c r="Y290" s="16">
        <v>4.0</v>
      </c>
      <c r="Z290" s="16">
        <v>4.0</v>
      </c>
      <c r="AA290" s="16">
        <v>4.0</v>
      </c>
      <c r="AB290" s="16">
        <v>4.0</v>
      </c>
      <c r="AC290" s="16">
        <v>4.0</v>
      </c>
      <c r="AD290" s="38">
        <v>14.0</v>
      </c>
      <c r="AE290" s="38">
        <v>15.0</v>
      </c>
      <c r="AF290" s="38">
        <v>16.0</v>
      </c>
      <c r="AG290" s="38" t="s">
        <v>679</v>
      </c>
      <c r="AI290" s="18" t="s">
        <v>638</v>
      </c>
    </row>
    <row r="291">
      <c r="A291" s="11"/>
      <c r="B291" s="12" t="s">
        <v>34</v>
      </c>
      <c r="C291" s="12" t="s">
        <v>65</v>
      </c>
      <c r="D291" s="12" t="s">
        <v>43</v>
      </c>
      <c r="E291" s="12" t="s">
        <v>666</v>
      </c>
      <c r="F291" s="13" t="s">
        <v>667</v>
      </c>
      <c r="G291" s="12" t="s">
        <v>68</v>
      </c>
      <c r="H291" s="12" t="s">
        <v>668</v>
      </c>
      <c r="I291" s="12" t="s">
        <v>669</v>
      </c>
      <c r="J291" s="17" t="s">
        <v>680</v>
      </c>
      <c r="K291" s="17" t="s">
        <v>680</v>
      </c>
      <c r="L291" s="17" t="s">
        <v>193</v>
      </c>
      <c r="M291" s="17">
        <v>34.0</v>
      </c>
      <c r="N291" s="20">
        <v>45833.0</v>
      </c>
      <c r="O291" s="17" t="s">
        <v>194</v>
      </c>
      <c r="P291" s="16">
        <v>4.0</v>
      </c>
      <c r="Q291" s="16">
        <v>4.0</v>
      </c>
      <c r="R291" s="16">
        <v>3.0</v>
      </c>
      <c r="S291" s="16">
        <v>3.0</v>
      </c>
      <c r="T291" s="16">
        <v>5.0</v>
      </c>
      <c r="U291" s="16">
        <v>3.0</v>
      </c>
      <c r="V291" s="16">
        <v>3.0</v>
      </c>
      <c r="W291" s="16">
        <v>3.0</v>
      </c>
      <c r="X291" s="16">
        <v>4.0</v>
      </c>
      <c r="Y291" s="16">
        <v>4.0</v>
      </c>
      <c r="Z291" s="16">
        <v>5.0</v>
      </c>
      <c r="AA291" s="16">
        <v>4.0</v>
      </c>
      <c r="AB291" s="16">
        <v>5.0</v>
      </c>
      <c r="AC291" s="16">
        <v>4.0</v>
      </c>
      <c r="AD291" s="38">
        <v>14.0</v>
      </c>
      <c r="AE291" s="38">
        <v>13.0</v>
      </c>
      <c r="AF291" s="38">
        <v>16.0</v>
      </c>
      <c r="AG291" s="38" t="s">
        <v>681</v>
      </c>
      <c r="AI291" s="18" t="s">
        <v>638</v>
      </c>
    </row>
    <row r="292">
      <c r="A292" s="11"/>
      <c r="B292" s="12" t="s">
        <v>34</v>
      </c>
      <c r="C292" s="12" t="s">
        <v>65</v>
      </c>
      <c r="D292" s="12" t="s">
        <v>43</v>
      </c>
      <c r="E292" s="12" t="s">
        <v>666</v>
      </c>
      <c r="F292" s="13" t="s">
        <v>667</v>
      </c>
      <c r="G292" s="12" t="s">
        <v>68</v>
      </c>
      <c r="H292" s="12" t="s">
        <v>668</v>
      </c>
      <c r="I292" s="12" t="s">
        <v>669</v>
      </c>
      <c r="J292" s="17" t="s">
        <v>682</v>
      </c>
      <c r="K292" s="17" t="s">
        <v>682</v>
      </c>
      <c r="L292" s="17" t="s">
        <v>193</v>
      </c>
      <c r="M292" s="17">
        <v>22.0</v>
      </c>
      <c r="N292" s="20">
        <v>45833.0</v>
      </c>
      <c r="O292" s="17" t="s">
        <v>194</v>
      </c>
      <c r="P292" s="16">
        <v>5.0</v>
      </c>
      <c r="Q292" s="16">
        <v>5.0</v>
      </c>
      <c r="R292" s="16">
        <v>5.0</v>
      </c>
      <c r="S292" s="16">
        <v>5.0</v>
      </c>
      <c r="T292" s="16">
        <v>4.0</v>
      </c>
      <c r="U292" s="16">
        <v>4.0</v>
      </c>
      <c r="V292" s="16">
        <v>4.0</v>
      </c>
      <c r="W292" s="16">
        <v>5.0</v>
      </c>
      <c r="X292" s="16">
        <v>5.0</v>
      </c>
      <c r="Y292" s="16">
        <v>5.0</v>
      </c>
      <c r="Z292" s="16">
        <v>4.0</v>
      </c>
      <c r="AA292" s="16">
        <v>5.0</v>
      </c>
      <c r="AB292" s="16">
        <v>4.0</v>
      </c>
      <c r="AC292" s="16">
        <v>5.0</v>
      </c>
      <c r="AD292" s="38">
        <v>13.0</v>
      </c>
      <c r="AE292" s="38">
        <v>17.0</v>
      </c>
      <c r="AF292" s="38">
        <v>16.0</v>
      </c>
      <c r="AG292" s="38" t="s">
        <v>683</v>
      </c>
      <c r="AI292" s="18" t="s">
        <v>638</v>
      </c>
    </row>
    <row r="293">
      <c r="A293" s="11"/>
      <c r="B293" s="12" t="s">
        <v>34</v>
      </c>
      <c r="C293" s="12" t="s">
        <v>65</v>
      </c>
      <c r="D293" s="12" t="s">
        <v>43</v>
      </c>
      <c r="E293" s="12" t="s">
        <v>666</v>
      </c>
      <c r="F293" s="13" t="s">
        <v>667</v>
      </c>
      <c r="G293" s="12" t="s">
        <v>68</v>
      </c>
      <c r="H293" s="12" t="s">
        <v>668</v>
      </c>
      <c r="I293" s="12" t="s">
        <v>669</v>
      </c>
      <c r="J293" s="17" t="s">
        <v>684</v>
      </c>
      <c r="K293" s="17" t="s">
        <v>684</v>
      </c>
      <c r="L293" s="17" t="s">
        <v>193</v>
      </c>
      <c r="M293" s="17">
        <v>35.0</v>
      </c>
      <c r="N293" s="20">
        <v>45833.0</v>
      </c>
      <c r="O293" s="17" t="s">
        <v>194</v>
      </c>
      <c r="P293" s="16">
        <v>5.0</v>
      </c>
      <c r="Q293" s="16">
        <v>5.0</v>
      </c>
      <c r="R293" s="16">
        <v>3.0</v>
      </c>
      <c r="S293" s="16">
        <v>3.0</v>
      </c>
      <c r="T293" s="16">
        <v>5.0</v>
      </c>
      <c r="U293" s="16">
        <v>3.0</v>
      </c>
      <c r="V293" s="16">
        <v>3.0</v>
      </c>
      <c r="W293" s="16">
        <v>3.0</v>
      </c>
      <c r="X293" s="16">
        <v>3.0</v>
      </c>
      <c r="Y293" s="16">
        <v>3.0</v>
      </c>
      <c r="Z293" s="16">
        <v>5.0</v>
      </c>
      <c r="AA293" s="16">
        <v>5.0</v>
      </c>
      <c r="AB293" s="16">
        <v>5.0</v>
      </c>
      <c r="AC293" s="16">
        <v>3.0</v>
      </c>
      <c r="AD293" s="38">
        <v>13.0</v>
      </c>
      <c r="AE293" s="38">
        <v>12.0</v>
      </c>
      <c r="AF293" s="38">
        <v>16.0</v>
      </c>
      <c r="AG293" s="38" t="s">
        <v>685</v>
      </c>
      <c r="AI293" s="18" t="s">
        <v>638</v>
      </c>
    </row>
    <row r="294">
      <c r="A294" s="11"/>
      <c r="B294" s="12" t="s">
        <v>34</v>
      </c>
      <c r="C294" s="12" t="s">
        <v>65</v>
      </c>
      <c r="D294" s="12" t="s">
        <v>43</v>
      </c>
      <c r="E294" s="12" t="s">
        <v>666</v>
      </c>
      <c r="F294" s="13" t="s">
        <v>667</v>
      </c>
      <c r="G294" s="12" t="s">
        <v>68</v>
      </c>
      <c r="H294" s="12" t="s">
        <v>668</v>
      </c>
      <c r="I294" s="12" t="s">
        <v>669</v>
      </c>
      <c r="J294" s="17" t="s">
        <v>686</v>
      </c>
      <c r="K294" s="17" t="s">
        <v>686</v>
      </c>
      <c r="L294" s="17" t="s">
        <v>193</v>
      </c>
      <c r="M294" s="17">
        <v>31.0</v>
      </c>
      <c r="N294" s="20">
        <v>45833.0</v>
      </c>
      <c r="O294" s="17" t="s">
        <v>194</v>
      </c>
      <c r="P294" s="16">
        <v>5.0</v>
      </c>
      <c r="Q294" s="16">
        <v>5.0</v>
      </c>
      <c r="R294" s="16">
        <v>3.0</v>
      </c>
      <c r="S294" s="16">
        <v>3.0</v>
      </c>
      <c r="T294" s="16">
        <v>4.0</v>
      </c>
      <c r="U294" s="16">
        <v>3.0</v>
      </c>
      <c r="V294" s="16">
        <v>3.0</v>
      </c>
      <c r="W294" s="16">
        <v>3.0</v>
      </c>
      <c r="X294" s="16">
        <v>3.0</v>
      </c>
      <c r="Y294" s="16">
        <v>3.0</v>
      </c>
      <c r="Z294" s="16">
        <v>4.0</v>
      </c>
      <c r="AA294" s="16">
        <v>5.0</v>
      </c>
      <c r="AB294" s="16">
        <v>4.0</v>
      </c>
      <c r="AC294" s="16">
        <v>3.0</v>
      </c>
      <c r="AD294" s="38">
        <v>13.0</v>
      </c>
      <c r="AE294" s="38">
        <v>13.0</v>
      </c>
      <c r="AF294" s="38">
        <v>14.0</v>
      </c>
      <c r="AG294" s="38" t="s">
        <v>687</v>
      </c>
      <c r="AI294" s="18" t="s">
        <v>638</v>
      </c>
    </row>
    <row r="295">
      <c r="A295" s="11"/>
      <c r="B295" s="12" t="s">
        <v>34</v>
      </c>
      <c r="C295" s="12" t="s">
        <v>65</v>
      </c>
      <c r="D295" s="12" t="s">
        <v>43</v>
      </c>
      <c r="E295" s="12" t="s">
        <v>666</v>
      </c>
      <c r="F295" s="13" t="s">
        <v>667</v>
      </c>
      <c r="G295" s="12" t="s">
        <v>68</v>
      </c>
      <c r="H295" s="12" t="s">
        <v>668</v>
      </c>
      <c r="I295" s="12" t="s">
        <v>669</v>
      </c>
      <c r="J295" s="17" t="s">
        <v>688</v>
      </c>
      <c r="K295" s="17" t="s">
        <v>688</v>
      </c>
      <c r="L295" s="17" t="s">
        <v>193</v>
      </c>
      <c r="M295" s="17">
        <v>39.0</v>
      </c>
      <c r="N295" s="20">
        <v>45833.0</v>
      </c>
      <c r="O295" s="17" t="s">
        <v>194</v>
      </c>
      <c r="P295" s="16">
        <v>5.0</v>
      </c>
      <c r="Q295" s="16">
        <v>5.0</v>
      </c>
      <c r="R295" s="16">
        <v>3.0</v>
      </c>
      <c r="S295" s="16">
        <v>3.0</v>
      </c>
      <c r="T295" s="16">
        <v>5.0</v>
      </c>
      <c r="U295" s="16">
        <v>3.0</v>
      </c>
      <c r="V295" s="16">
        <v>3.0</v>
      </c>
      <c r="W295" s="16">
        <v>3.0</v>
      </c>
      <c r="X295" s="16">
        <v>3.0</v>
      </c>
      <c r="Y295" s="16">
        <v>3.0</v>
      </c>
      <c r="Z295" s="16">
        <v>5.0</v>
      </c>
      <c r="AA295" s="16">
        <v>5.0</v>
      </c>
      <c r="AB295" s="16">
        <v>5.0</v>
      </c>
      <c r="AC295" s="16">
        <v>3.0</v>
      </c>
      <c r="AD295" s="38">
        <v>13.0</v>
      </c>
      <c r="AE295" s="38">
        <v>12.0</v>
      </c>
      <c r="AF295" s="38">
        <v>16.0</v>
      </c>
      <c r="AG295" s="38" t="s">
        <v>689</v>
      </c>
      <c r="AI295" s="18" t="s">
        <v>638</v>
      </c>
    </row>
    <row r="296">
      <c r="A296" s="11"/>
      <c r="B296" s="12" t="s">
        <v>34</v>
      </c>
      <c r="C296" s="12" t="s">
        <v>65</v>
      </c>
      <c r="D296" s="12" t="s">
        <v>43</v>
      </c>
      <c r="E296" s="12" t="s">
        <v>666</v>
      </c>
      <c r="F296" s="13" t="s">
        <v>667</v>
      </c>
      <c r="G296" s="12" t="s">
        <v>68</v>
      </c>
      <c r="H296" s="12" t="s">
        <v>668</v>
      </c>
      <c r="I296" s="12" t="s">
        <v>669</v>
      </c>
      <c r="J296" s="17" t="s">
        <v>690</v>
      </c>
      <c r="K296" s="17" t="s">
        <v>690</v>
      </c>
      <c r="L296" s="17" t="s">
        <v>222</v>
      </c>
      <c r="M296" s="17" t="s">
        <v>644</v>
      </c>
      <c r="N296" s="20">
        <v>45833.0</v>
      </c>
      <c r="O296" s="17" t="s">
        <v>194</v>
      </c>
      <c r="P296" s="16">
        <v>4.0</v>
      </c>
      <c r="Q296" s="16">
        <v>4.0</v>
      </c>
      <c r="R296" s="16">
        <v>4.0</v>
      </c>
      <c r="S296" s="16">
        <v>4.0</v>
      </c>
      <c r="T296" s="16">
        <v>4.0</v>
      </c>
      <c r="U296" s="16">
        <v>4.0</v>
      </c>
      <c r="V296" s="16">
        <v>4.0</v>
      </c>
      <c r="W296" s="16">
        <v>4.0</v>
      </c>
      <c r="X296" s="16">
        <v>4.0</v>
      </c>
      <c r="Y296" s="16">
        <v>4.0</v>
      </c>
      <c r="Z296" s="16">
        <v>4.0</v>
      </c>
      <c r="AA296" s="16">
        <v>4.0</v>
      </c>
      <c r="AB296" s="16">
        <v>4.0</v>
      </c>
      <c r="AC296" s="16">
        <v>4.0</v>
      </c>
      <c r="AD296" s="38">
        <v>14.0</v>
      </c>
      <c r="AE296" s="38">
        <v>15.0</v>
      </c>
      <c r="AF296" s="38">
        <v>16.0</v>
      </c>
      <c r="AG296" s="38" t="s">
        <v>644</v>
      </c>
      <c r="AI296" s="18" t="s">
        <v>638</v>
      </c>
    </row>
    <row r="297">
      <c r="A297" s="11"/>
      <c r="B297" s="12" t="s">
        <v>34</v>
      </c>
      <c r="C297" s="12" t="s">
        <v>65</v>
      </c>
      <c r="D297" s="12" t="s">
        <v>43</v>
      </c>
      <c r="E297" s="12" t="s">
        <v>691</v>
      </c>
      <c r="F297" s="13" t="s">
        <v>692</v>
      </c>
      <c r="G297" s="12" t="s">
        <v>68</v>
      </c>
      <c r="H297" s="12" t="s">
        <v>693</v>
      </c>
      <c r="I297" s="12" t="s">
        <v>694</v>
      </c>
      <c r="J297" s="17" t="s">
        <v>695</v>
      </c>
      <c r="K297" s="17" t="s">
        <v>695</v>
      </c>
      <c r="L297" s="17" t="s">
        <v>222</v>
      </c>
      <c r="M297" s="17">
        <v>30.0</v>
      </c>
      <c r="N297" s="20">
        <v>45840.0</v>
      </c>
      <c r="O297" s="17" t="s">
        <v>194</v>
      </c>
      <c r="P297" s="16">
        <v>5.0</v>
      </c>
      <c r="Q297" s="16">
        <v>5.0</v>
      </c>
      <c r="R297" s="16">
        <v>5.0</v>
      </c>
      <c r="S297" s="16">
        <v>5.0</v>
      </c>
      <c r="T297" s="16">
        <v>3.0</v>
      </c>
      <c r="U297" s="16">
        <v>5.0</v>
      </c>
      <c r="V297" s="16">
        <v>5.0</v>
      </c>
      <c r="W297" s="16">
        <v>5.0</v>
      </c>
      <c r="X297" s="16">
        <v>5.0</v>
      </c>
      <c r="Y297" s="16">
        <v>5.0</v>
      </c>
      <c r="Z297" s="16">
        <v>3.0</v>
      </c>
      <c r="AA297" s="16">
        <v>5.0</v>
      </c>
      <c r="AB297" s="16">
        <v>3.0</v>
      </c>
      <c r="AC297" s="16">
        <v>5.0</v>
      </c>
      <c r="AD297" s="38">
        <v>13.0</v>
      </c>
      <c r="AE297" s="38">
        <v>18.0</v>
      </c>
      <c r="AF297" s="38">
        <v>16.0</v>
      </c>
      <c r="AG297" s="38" t="s">
        <v>696</v>
      </c>
      <c r="AI297" s="18" t="s">
        <v>638</v>
      </c>
    </row>
    <row r="298">
      <c r="A298" s="11"/>
      <c r="B298" s="12" t="s">
        <v>34</v>
      </c>
      <c r="C298" s="12" t="s">
        <v>65</v>
      </c>
      <c r="D298" s="12" t="s">
        <v>43</v>
      </c>
      <c r="E298" s="12" t="s">
        <v>691</v>
      </c>
      <c r="F298" s="13" t="s">
        <v>692</v>
      </c>
      <c r="G298" s="12" t="s">
        <v>68</v>
      </c>
      <c r="H298" s="12" t="s">
        <v>693</v>
      </c>
      <c r="I298" s="12" t="s">
        <v>694</v>
      </c>
      <c r="J298" s="17" t="s">
        <v>697</v>
      </c>
      <c r="K298" s="17" t="s">
        <v>697</v>
      </c>
      <c r="L298" s="17" t="s">
        <v>222</v>
      </c>
      <c r="M298" s="17">
        <v>41.0</v>
      </c>
      <c r="N298" s="20">
        <v>45840.0</v>
      </c>
      <c r="O298" s="17" t="s">
        <v>194</v>
      </c>
      <c r="P298" s="16">
        <v>5.0</v>
      </c>
      <c r="Q298" s="16">
        <v>5.0</v>
      </c>
      <c r="R298" s="16">
        <v>1.0</v>
      </c>
      <c r="S298" s="16">
        <v>1.0</v>
      </c>
      <c r="T298" s="16">
        <v>2.0</v>
      </c>
      <c r="U298" s="16">
        <v>5.0</v>
      </c>
      <c r="V298" s="16">
        <v>2.0</v>
      </c>
      <c r="W298" s="16">
        <v>1.0</v>
      </c>
      <c r="X298" s="16">
        <v>4.0</v>
      </c>
      <c r="Y298" s="16">
        <v>4.0</v>
      </c>
      <c r="Z298" s="16">
        <v>2.0</v>
      </c>
      <c r="AA298" s="16">
        <v>5.0</v>
      </c>
      <c r="AB298" s="16">
        <v>2.0</v>
      </c>
      <c r="AC298" s="16">
        <v>4.0</v>
      </c>
      <c r="AD298" s="38">
        <v>13.0</v>
      </c>
      <c r="AE298" s="38">
        <v>14.0</v>
      </c>
      <c r="AF298" s="38">
        <v>11.0</v>
      </c>
      <c r="AG298" s="38" t="s">
        <v>698</v>
      </c>
      <c r="AI298" s="18" t="s">
        <v>638</v>
      </c>
    </row>
    <row r="299">
      <c r="A299" s="11"/>
      <c r="B299" s="12" t="s">
        <v>34</v>
      </c>
      <c r="C299" s="12" t="s">
        <v>65</v>
      </c>
      <c r="D299" s="12" t="s">
        <v>43</v>
      </c>
      <c r="E299" s="12" t="s">
        <v>691</v>
      </c>
      <c r="F299" s="13" t="s">
        <v>692</v>
      </c>
      <c r="G299" s="12" t="s">
        <v>68</v>
      </c>
      <c r="H299" s="12" t="s">
        <v>693</v>
      </c>
      <c r="I299" s="12" t="s">
        <v>694</v>
      </c>
      <c r="J299" s="17" t="s">
        <v>699</v>
      </c>
      <c r="K299" s="17" t="s">
        <v>699</v>
      </c>
      <c r="L299" s="17" t="s">
        <v>222</v>
      </c>
      <c r="M299" s="17">
        <v>39.0</v>
      </c>
      <c r="N299" s="20">
        <v>45840.0</v>
      </c>
      <c r="O299" s="17" t="s">
        <v>194</v>
      </c>
      <c r="P299" s="16">
        <v>5.0</v>
      </c>
      <c r="Q299" s="16">
        <v>5.0</v>
      </c>
      <c r="R299" s="16">
        <v>5.0</v>
      </c>
      <c r="S299" s="16">
        <v>5.0</v>
      </c>
      <c r="T299" s="16">
        <v>4.0</v>
      </c>
      <c r="U299" s="16">
        <v>5.0</v>
      </c>
      <c r="V299" s="16">
        <v>5.0</v>
      </c>
      <c r="W299" s="16">
        <v>5.0</v>
      </c>
      <c r="X299" s="16">
        <v>5.0</v>
      </c>
      <c r="Y299" s="16">
        <v>5.0</v>
      </c>
      <c r="Z299" s="16">
        <v>4.0</v>
      </c>
      <c r="AA299" s="16">
        <v>5.0</v>
      </c>
      <c r="AB299" s="16">
        <v>4.0</v>
      </c>
      <c r="AC299" s="16">
        <v>5.0</v>
      </c>
      <c r="AD299" s="38">
        <v>13.0</v>
      </c>
      <c r="AE299" s="38">
        <v>17.0</v>
      </c>
      <c r="AF299" s="38">
        <v>18.0</v>
      </c>
      <c r="AG299" s="38" t="s">
        <v>700</v>
      </c>
      <c r="AI299" s="18" t="s">
        <v>638</v>
      </c>
    </row>
    <row r="300">
      <c r="A300" s="11"/>
      <c r="B300" s="12" t="s">
        <v>34</v>
      </c>
      <c r="C300" s="12" t="s">
        <v>65</v>
      </c>
      <c r="D300" s="12" t="s">
        <v>43</v>
      </c>
      <c r="E300" s="12" t="s">
        <v>691</v>
      </c>
      <c r="F300" s="13" t="s">
        <v>692</v>
      </c>
      <c r="G300" s="12" t="s">
        <v>68</v>
      </c>
      <c r="H300" s="12" t="s">
        <v>693</v>
      </c>
      <c r="I300" s="12" t="s">
        <v>694</v>
      </c>
      <c r="J300" s="17" t="s">
        <v>701</v>
      </c>
      <c r="K300" s="17" t="s">
        <v>701</v>
      </c>
      <c r="L300" s="17" t="s">
        <v>193</v>
      </c>
      <c r="M300" s="17">
        <v>35.0</v>
      </c>
      <c r="N300" s="20">
        <v>45840.0</v>
      </c>
      <c r="O300" s="17" t="s">
        <v>194</v>
      </c>
      <c r="P300" s="16">
        <v>5.0</v>
      </c>
      <c r="Q300" s="16">
        <v>5.0</v>
      </c>
      <c r="R300" s="16">
        <v>5.0</v>
      </c>
      <c r="S300" s="16">
        <v>5.0</v>
      </c>
      <c r="T300" s="16">
        <v>5.0</v>
      </c>
      <c r="U300" s="16">
        <v>5.0</v>
      </c>
      <c r="V300" s="16">
        <v>5.0</v>
      </c>
      <c r="W300" s="16">
        <v>5.0</v>
      </c>
      <c r="X300" s="16">
        <v>4.0</v>
      </c>
      <c r="Y300" s="16">
        <v>4.0</v>
      </c>
      <c r="Z300" s="16">
        <v>5.0</v>
      </c>
      <c r="AA300" s="16">
        <v>5.0</v>
      </c>
      <c r="AB300" s="16">
        <v>5.0</v>
      </c>
      <c r="AC300" s="16">
        <v>4.0</v>
      </c>
      <c r="AD300" s="38">
        <v>13.0</v>
      </c>
      <c r="AE300" s="38">
        <v>15.0</v>
      </c>
      <c r="AF300" s="38">
        <v>20.0</v>
      </c>
      <c r="AG300" s="38" t="s">
        <v>702</v>
      </c>
      <c r="AI300" s="18" t="s">
        <v>638</v>
      </c>
    </row>
    <row r="301">
      <c r="A301" s="11"/>
      <c r="B301" s="12" t="s">
        <v>34</v>
      </c>
      <c r="C301" s="12" t="s">
        <v>65</v>
      </c>
      <c r="D301" s="12" t="s">
        <v>43</v>
      </c>
      <c r="E301" s="12" t="s">
        <v>691</v>
      </c>
      <c r="F301" s="13" t="s">
        <v>692</v>
      </c>
      <c r="G301" s="12" t="s">
        <v>68</v>
      </c>
      <c r="H301" s="12" t="s">
        <v>693</v>
      </c>
      <c r="I301" s="12" t="s">
        <v>694</v>
      </c>
      <c r="J301" s="17" t="s">
        <v>703</v>
      </c>
      <c r="K301" s="17" t="s">
        <v>703</v>
      </c>
      <c r="L301" s="17" t="s">
        <v>222</v>
      </c>
      <c r="M301" s="17">
        <v>42.0</v>
      </c>
      <c r="N301" s="20">
        <v>45840.0</v>
      </c>
      <c r="O301" s="17" t="s">
        <v>194</v>
      </c>
      <c r="P301" s="16">
        <v>4.0</v>
      </c>
      <c r="Q301" s="16">
        <v>4.0</v>
      </c>
      <c r="R301" s="16">
        <v>4.0</v>
      </c>
      <c r="S301" s="16">
        <v>4.0</v>
      </c>
      <c r="T301" s="16">
        <v>4.0</v>
      </c>
      <c r="U301" s="16">
        <v>4.0</v>
      </c>
      <c r="V301" s="16">
        <v>4.0</v>
      </c>
      <c r="W301" s="16">
        <v>4.0</v>
      </c>
      <c r="X301" s="16">
        <v>4.0</v>
      </c>
      <c r="Y301" s="16">
        <v>4.0</v>
      </c>
      <c r="Z301" s="16">
        <v>4.0</v>
      </c>
      <c r="AA301" s="16">
        <v>4.0</v>
      </c>
      <c r="AB301" s="16">
        <v>4.0</v>
      </c>
      <c r="AC301" s="16">
        <v>4.0</v>
      </c>
      <c r="AD301" s="38">
        <v>14.0</v>
      </c>
      <c r="AE301" s="38">
        <v>15.0</v>
      </c>
      <c r="AF301" s="38">
        <v>16.0</v>
      </c>
      <c r="AG301" s="38" t="s">
        <v>704</v>
      </c>
      <c r="AI301" s="18" t="s">
        <v>638</v>
      </c>
    </row>
    <row r="302">
      <c r="A302" s="11"/>
      <c r="B302" s="12" t="s">
        <v>34</v>
      </c>
      <c r="C302" s="12" t="s">
        <v>65</v>
      </c>
      <c r="D302" s="12" t="s">
        <v>43</v>
      </c>
      <c r="E302" s="12" t="s">
        <v>691</v>
      </c>
      <c r="F302" s="13" t="s">
        <v>692</v>
      </c>
      <c r="G302" s="12" t="s">
        <v>68</v>
      </c>
      <c r="H302" s="12" t="s">
        <v>693</v>
      </c>
      <c r="I302" s="12" t="s">
        <v>694</v>
      </c>
      <c r="J302" s="17" t="s">
        <v>705</v>
      </c>
      <c r="K302" s="17" t="s">
        <v>705</v>
      </c>
      <c r="L302" s="17" t="s">
        <v>193</v>
      </c>
      <c r="M302" s="17">
        <v>26.0</v>
      </c>
      <c r="N302" s="20">
        <v>45840.0</v>
      </c>
      <c r="O302" s="17" t="s">
        <v>194</v>
      </c>
      <c r="P302" s="16">
        <v>4.0</v>
      </c>
      <c r="Q302" s="16">
        <v>4.0</v>
      </c>
      <c r="R302" s="16">
        <v>4.0</v>
      </c>
      <c r="S302" s="16">
        <v>4.0</v>
      </c>
      <c r="T302" s="16">
        <v>4.0</v>
      </c>
      <c r="U302" s="16">
        <v>4.0</v>
      </c>
      <c r="V302" s="16">
        <v>4.0</v>
      </c>
      <c r="W302" s="16">
        <v>4.0</v>
      </c>
      <c r="X302" s="16">
        <v>4.0</v>
      </c>
      <c r="Y302" s="16">
        <v>4.0</v>
      </c>
      <c r="Z302" s="16">
        <v>4.0</v>
      </c>
      <c r="AA302" s="16">
        <v>4.0</v>
      </c>
      <c r="AB302" s="16">
        <v>4.0</v>
      </c>
      <c r="AC302" s="16">
        <v>4.0</v>
      </c>
      <c r="AD302" s="38">
        <v>14.0</v>
      </c>
      <c r="AE302" s="38">
        <v>15.0</v>
      </c>
      <c r="AF302" s="38">
        <v>16.0</v>
      </c>
      <c r="AG302" s="38" t="s">
        <v>706</v>
      </c>
      <c r="AI302" s="18" t="s">
        <v>638</v>
      </c>
    </row>
    <row r="303">
      <c r="A303" s="11"/>
      <c r="B303" s="12" t="s">
        <v>34</v>
      </c>
      <c r="C303" s="12" t="s">
        <v>65</v>
      </c>
      <c r="D303" s="12" t="s">
        <v>43</v>
      </c>
      <c r="E303" s="12" t="s">
        <v>691</v>
      </c>
      <c r="F303" s="13" t="s">
        <v>692</v>
      </c>
      <c r="G303" s="12" t="s">
        <v>68</v>
      </c>
      <c r="H303" s="12" t="s">
        <v>693</v>
      </c>
      <c r="I303" s="12" t="s">
        <v>694</v>
      </c>
      <c r="J303" s="17" t="s">
        <v>707</v>
      </c>
      <c r="K303" s="17" t="s">
        <v>707</v>
      </c>
      <c r="L303" s="17" t="s">
        <v>193</v>
      </c>
      <c r="M303" s="17">
        <v>30.0</v>
      </c>
      <c r="N303" s="20">
        <v>45840.0</v>
      </c>
      <c r="O303" s="17" t="s">
        <v>194</v>
      </c>
      <c r="P303" s="16">
        <v>4.0</v>
      </c>
      <c r="Q303" s="16">
        <v>4.0</v>
      </c>
      <c r="R303" s="16">
        <v>5.0</v>
      </c>
      <c r="S303" s="16">
        <v>5.0</v>
      </c>
      <c r="T303" s="16">
        <v>4.0</v>
      </c>
      <c r="U303" s="16">
        <v>5.0</v>
      </c>
      <c r="V303" s="16">
        <v>5.0</v>
      </c>
      <c r="W303" s="16">
        <v>5.0</v>
      </c>
      <c r="X303" s="16">
        <v>4.0</v>
      </c>
      <c r="Y303" s="16">
        <v>4.0</v>
      </c>
      <c r="Z303" s="16">
        <v>4.0</v>
      </c>
      <c r="AA303" s="16">
        <v>4.0</v>
      </c>
      <c r="AB303" s="16">
        <v>4.0</v>
      </c>
      <c r="AC303" s="16">
        <v>4.0</v>
      </c>
      <c r="AD303" s="38">
        <v>14.0</v>
      </c>
      <c r="AE303" s="38">
        <v>16.0</v>
      </c>
      <c r="AF303" s="38">
        <v>18.0</v>
      </c>
      <c r="AG303" s="38" t="s">
        <v>708</v>
      </c>
      <c r="AI303" s="18" t="s">
        <v>638</v>
      </c>
    </row>
    <row r="304">
      <c r="A304" s="11"/>
      <c r="B304" s="12" t="s">
        <v>34</v>
      </c>
      <c r="C304" s="12" t="s">
        <v>65</v>
      </c>
      <c r="D304" s="12" t="s">
        <v>43</v>
      </c>
      <c r="E304" s="12" t="s">
        <v>691</v>
      </c>
      <c r="F304" s="13" t="s">
        <v>692</v>
      </c>
      <c r="G304" s="12" t="s">
        <v>68</v>
      </c>
      <c r="H304" s="12" t="s">
        <v>693</v>
      </c>
      <c r="I304" s="12" t="s">
        <v>694</v>
      </c>
      <c r="J304" s="17" t="s">
        <v>709</v>
      </c>
      <c r="K304" s="17" t="s">
        <v>709</v>
      </c>
      <c r="L304" s="17" t="s">
        <v>193</v>
      </c>
      <c r="M304" s="17">
        <v>34.0</v>
      </c>
      <c r="N304" s="20">
        <v>45840.0</v>
      </c>
      <c r="O304" s="17" t="s">
        <v>194</v>
      </c>
      <c r="P304" s="16">
        <v>1.0</v>
      </c>
      <c r="Q304" s="16">
        <v>1.0</v>
      </c>
      <c r="R304" s="16">
        <v>4.0</v>
      </c>
      <c r="S304" s="16">
        <v>4.0</v>
      </c>
      <c r="T304" s="16">
        <v>4.0</v>
      </c>
      <c r="U304" s="16">
        <v>4.0</v>
      </c>
      <c r="V304" s="16">
        <v>4.0</v>
      </c>
      <c r="W304" s="16">
        <v>4.0</v>
      </c>
      <c r="X304" s="16">
        <v>4.0</v>
      </c>
      <c r="Y304" s="16">
        <v>4.0</v>
      </c>
      <c r="Z304" s="16">
        <v>4.0</v>
      </c>
      <c r="AA304" s="16">
        <v>1.0</v>
      </c>
      <c r="AB304" s="16">
        <v>4.0</v>
      </c>
      <c r="AC304" s="16">
        <v>4.0</v>
      </c>
      <c r="AD304" s="38">
        <v>17.0</v>
      </c>
      <c r="AE304" s="38">
        <v>15.0</v>
      </c>
      <c r="AF304" s="38">
        <v>16.0</v>
      </c>
      <c r="AG304" s="38" t="s">
        <v>710</v>
      </c>
      <c r="AI304" s="18" t="s">
        <v>638</v>
      </c>
    </row>
    <row r="305">
      <c r="A305" s="11"/>
      <c r="B305" s="12" t="s">
        <v>34</v>
      </c>
      <c r="C305" s="12" t="s">
        <v>65</v>
      </c>
      <c r="D305" s="12" t="s">
        <v>43</v>
      </c>
      <c r="E305" s="12" t="s">
        <v>691</v>
      </c>
      <c r="F305" s="13" t="s">
        <v>692</v>
      </c>
      <c r="G305" s="12" t="s">
        <v>68</v>
      </c>
      <c r="H305" s="12" t="s">
        <v>693</v>
      </c>
      <c r="I305" s="12" t="s">
        <v>694</v>
      </c>
      <c r="J305" s="17" t="s">
        <v>711</v>
      </c>
      <c r="K305" s="17" t="s">
        <v>711</v>
      </c>
      <c r="L305" s="17" t="s">
        <v>250</v>
      </c>
      <c r="M305" s="17" t="s">
        <v>644</v>
      </c>
      <c r="N305" s="20">
        <v>45840.0</v>
      </c>
      <c r="O305" s="17" t="s">
        <v>194</v>
      </c>
      <c r="P305" s="16">
        <v>4.0</v>
      </c>
      <c r="Q305" s="16">
        <v>4.0</v>
      </c>
      <c r="R305" s="16">
        <v>4.0</v>
      </c>
      <c r="S305" s="16">
        <v>4.0</v>
      </c>
      <c r="T305" s="16">
        <v>3.0</v>
      </c>
      <c r="U305" s="16">
        <v>3.0</v>
      </c>
      <c r="V305" s="16">
        <v>3.0</v>
      </c>
      <c r="W305" s="16">
        <v>4.0</v>
      </c>
      <c r="X305" s="16">
        <v>4.0</v>
      </c>
      <c r="Y305" s="16">
        <v>4.0</v>
      </c>
      <c r="Z305" s="16">
        <v>3.0</v>
      </c>
      <c r="AA305" s="16">
        <v>4.0</v>
      </c>
      <c r="AB305" s="16">
        <v>3.0</v>
      </c>
      <c r="AC305" s="16">
        <v>4.0</v>
      </c>
      <c r="AD305" s="38">
        <v>14.0</v>
      </c>
      <c r="AE305" s="38">
        <v>16.0</v>
      </c>
      <c r="AF305" s="38">
        <v>12.0</v>
      </c>
      <c r="AG305" s="38" t="s">
        <v>712</v>
      </c>
      <c r="AI305" s="18" t="s">
        <v>638</v>
      </c>
    </row>
    <row r="306">
      <c r="A306" s="11"/>
      <c r="B306" s="12" t="s">
        <v>34</v>
      </c>
      <c r="C306" s="12" t="s">
        <v>65</v>
      </c>
      <c r="D306" s="12" t="s">
        <v>43</v>
      </c>
      <c r="E306" s="12" t="s">
        <v>691</v>
      </c>
      <c r="F306" s="13" t="s">
        <v>692</v>
      </c>
      <c r="G306" s="12" t="s">
        <v>68</v>
      </c>
      <c r="H306" s="12" t="s">
        <v>693</v>
      </c>
      <c r="I306" s="12" t="s">
        <v>694</v>
      </c>
      <c r="J306" s="17" t="s">
        <v>713</v>
      </c>
      <c r="K306" s="17" t="s">
        <v>713</v>
      </c>
      <c r="L306" s="17" t="s">
        <v>250</v>
      </c>
      <c r="M306" s="17">
        <v>55.0</v>
      </c>
      <c r="N306" s="20">
        <v>45840.0</v>
      </c>
      <c r="O306" s="17" t="s">
        <v>194</v>
      </c>
      <c r="P306" s="16">
        <v>1.0</v>
      </c>
      <c r="Q306" s="16">
        <v>1.0</v>
      </c>
      <c r="R306" s="16">
        <v>4.0</v>
      </c>
      <c r="S306" s="16">
        <v>4.0</v>
      </c>
      <c r="T306" s="16">
        <v>4.0</v>
      </c>
      <c r="U306" s="16">
        <v>4.0</v>
      </c>
      <c r="V306" s="16">
        <v>4.0</v>
      </c>
      <c r="W306" s="16">
        <v>4.0</v>
      </c>
      <c r="X306" s="16">
        <v>4.0</v>
      </c>
      <c r="Y306" s="16">
        <v>4.0</v>
      </c>
      <c r="Z306" s="16">
        <v>4.0</v>
      </c>
      <c r="AA306" s="16">
        <v>1.0</v>
      </c>
      <c r="AB306" s="16">
        <v>4.0</v>
      </c>
      <c r="AC306" s="16">
        <v>4.0</v>
      </c>
      <c r="AD306" s="38">
        <v>17.0</v>
      </c>
      <c r="AE306" s="38">
        <v>15.0</v>
      </c>
      <c r="AF306" s="38">
        <v>16.0</v>
      </c>
      <c r="AG306" s="38" t="s">
        <v>714</v>
      </c>
      <c r="AI306" s="18" t="s">
        <v>638</v>
      </c>
    </row>
    <row r="307">
      <c r="A307" s="11"/>
      <c r="B307" s="12" t="s">
        <v>34</v>
      </c>
      <c r="C307" s="12" t="s">
        <v>65</v>
      </c>
      <c r="D307" s="12" t="s">
        <v>43</v>
      </c>
      <c r="E307" s="12" t="s">
        <v>691</v>
      </c>
      <c r="F307" s="13" t="s">
        <v>692</v>
      </c>
      <c r="G307" s="12" t="s">
        <v>68</v>
      </c>
      <c r="H307" s="12" t="s">
        <v>693</v>
      </c>
      <c r="I307" s="12" t="s">
        <v>694</v>
      </c>
      <c r="J307" s="17" t="s">
        <v>715</v>
      </c>
      <c r="K307" s="17" t="s">
        <v>715</v>
      </c>
      <c r="L307" s="17" t="s">
        <v>193</v>
      </c>
      <c r="M307" s="17">
        <v>54.0</v>
      </c>
      <c r="N307" s="20">
        <v>45840.0</v>
      </c>
      <c r="O307" s="17" t="s">
        <v>194</v>
      </c>
      <c r="P307" s="16">
        <v>4.0</v>
      </c>
      <c r="Q307" s="16">
        <v>4.0</v>
      </c>
      <c r="R307" s="16">
        <v>4.0</v>
      </c>
      <c r="S307" s="16">
        <v>4.0</v>
      </c>
      <c r="T307" s="16">
        <v>4.0</v>
      </c>
      <c r="U307" s="16">
        <v>4.0</v>
      </c>
      <c r="V307" s="16">
        <v>4.0</v>
      </c>
      <c r="W307" s="16">
        <v>4.0</v>
      </c>
      <c r="X307" s="16">
        <v>4.0</v>
      </c>
      <c r="Y307" s="16">
        <v>4.0</v>
      </c>
      <c r="Z307" s="16">
        <v>4.0</v>
      </c>
      <c r="AA307" s="16">
        <v>4.0</v>
      </c>
      <c r="AB307" s="16">
        <v>4.0</v>
      </c>
      <c r="AC307" s="16">
        <v>4.0</v>
      </c>
      <c r="AD307" s="38">
        <v>14.0</v>
      </c>
      <c r="AE307" s="38">
        <v>15.0</v>
      </c>
      <c r="AF307" s="38">
        <v>16.0</v>
      </c>
      <c r="AG307" s="38" t="s">
        <v>716</v>
      </c>
      <c r="AI307" s="18" t="s">
        <v>638</v>
      </c>
    </row>
    <row r="308">
      <c r="A308" s="11"/>
      <c r="B308" s="12" t="s">
        <v>34</v>
      </c>
      <c r="C308" s="12" t="s">
        <v>65</v>
      </c>
      <c r="D308" s="12" t="s">
        <v>43</v>
      </c>
      <c r="E308" s="12" t="s">
        <v>717</v>
      </c>
      <c r="F308" s="13" t="s">
        <v>718</v>
      </c>
      <c r="G308" s="12" t="s">
        <v>68</v>
      </c>
      <c r="H308" s="12" t="s">
        <v>719</v>
      </c>
      <c r="I308" s="12" t="s">
        <v>720</v>
      </c>
      <c r="J308" s="17" t="s">
        <v>721</v>
      </c>
      <c r="K308" s="17" t="s">
        <v>721</v>
      </c>
      <c r="L308" s="17" t="s">
        <v>193</v>
      </c>
      <c r="M308" s="17">
        <v>26.0</v>
      </c>
      <c r="N308" s="20">
        <v>45841.0</v>
      </c>
      <c r="O308" s="17" t="s">
        <v>194</v>
      </c>
      <c r="P308" s="16">
        <v>4.0</v>
      </c>
      <c r="Q308" s="16">
        <v>4.0</v>
      </c>
      <c r="R308" s="16">
        <v>3.0</v>
      </c>
      <c r="S308" s="16">
        <v>3.0</v>
      </c>
      <c r="T308" s="16">
        <v>3.0</v>
      </c>
      <c r="U308" s="16">
        <v>3.0</v>
      </c>
      <c r="V308" s="16">
        <v>3.0</v>
      </c>
      <c r="W308" s="16">
        <v>3.0</v>
      </c>
      <c r="X308" s="16">
        <v>3.0</v>
      </c>
      <c r="Y308" s="16">
        <v>3.0</v>
      </c>
      <c r="Z308" s="16">
        <v>3.0</v>
      </c>
      <c r="AA308" s="16">
        <v>4.0</v>
      </c>
      <c r="AB308" s="16">
        <v>3.0</v>
      </c>
      <c r="AC308" s="16">
        <v>3.0</v>
      </c>
      <c r="AD308" s="38">
        <v>14.0</v>
      </c>
      <c r="AE308" s="38">
        <v>14.0</v>
      </c>
      <c r="AF308" s="38">
        <v>12.0</v>
      </c>
      <c r="AG308" s="38" t="s">
        <v>722</v>
      </c>
      <c r="AI308" s="18" t="s">
        <v>638</v>
      </c>
    </row>
    <row r="309">
      <c r="A309" s="11"/>
      <c r="B309" s="12" t="s">
        <v>34</v>
      </c>
      <c r="C309" s="12" t="s">
        <v>65</v>
      </c>
      <c r="D309" s="12" t="s">
        <v>43</v>
      </c>
      <c r="E309" s="12" t="s">
        <v>717</v>
      </c>
      <c r="F309" s="13" t="s">
        <v>718</v>
      </c>
      <c r="G309" s="12" t="s">
        <v>68</v>
      </c>
      <c r="H309" s="12" t="s">
        <v>719</v>
      </c>
      <c r="I309" s="12" t="s">
        <v>720</v>
      </c>
      <c r="J309" s="17" t="s">
        <v>723</v>
      </c>
      <c r="K309" s="17" t="s">
        <v>723</v>
      </c>
      <c r="L309" s="17" t="s">
        <v>222</v>
      </c>
      <c r="M309" s="17">
        <v>35.0</v>
      </c>
      <c r="N309" s="20">
        <v>45841.0</v>
      </c>
      <c r="O309" s="17" t="s">
        <v>194</v>
      </c>
      <c r="P309" s="16">
        <v>5.0</v>
      </c>
      <c r="Q309" s="16">
        <v>5.0</v>
      </c>
      <c r="R309" s="16">
        <v>4.0</v>
      </c>
      <c r="S309" s="16">
        <v>4.0</v>
      </c>
      <c r="T309" s="16">
        <v>5.0</v>
      </c>
      <c r="U309" s="16">
        <v>3.0</v>
      </c>
      <c r="V309" s="16">
        <v>3.0</v>
      </c>
      <c r="W309" s="16">
        <v>4.0</v>
      </c>
      <c r="X309" s="16">
        <v>4.0</v>
      </c>
      <c r="Y309" s="16">
        <v>4.0</v>
      </c>
      <c r="Z309" s="16">
        <v>5.0</v>
      </c>
      <c r="AA309" s="16">
        <v>5.0</v>
      </c>
      <c r="AB309" s="16">
        <v>5.0</v>
      </c>
      <c r="AC309" s="16">
        <v>4.0</v>
      </c>
      <c r="AD309" s="38">
        <v>13.0</v>
      </c>
      <c r="AE309" s="38">
        <v>14.0</v>
      </c>
      <c r="AF309" s="38">
        <v>16.0</v>
      </c>
      <c r="AG309" s="38" t="s">
        <v>724</v>
      </c>
      <c r="AI309" s="18" t="s">
        <v>638</v>
      </c>
    </row>
    <row r="310">
      <c r="A310" s="11"/>
      <c r="B310" s="12" t="s">
        <v>34</v>
      </c>
      <c r="C310" s="12" t="s">
        <v>65</v>
      </c>
      <c r="D310" s="12" t="s">
        <v>43</v>
      </c>
      <c r="E310" s="12" t="s">
        <v>717</v>
      </c>
      <c r="F310" s="13" t="s">
        <v>718</v>
      </c>
      <c r="G310" s="12" t="s">
        <v>68</v>
      </c>
      <c r="H310" s="12" t="s">
        <v>719</v>
      </c>
      <c r="I310" s="12" t="s">
        <v>720</v>
      </c>
      <c r="J310" s="17" t="s">
        <v>725</v>
      </c>
      <c r="K310" s="17" t="s">
        <v>725</v>
      </c>
      <c r="L310" s="17" t="s">
        <v>193</v>
      </c>
      <c r="M310" s="17">
        <v>42.0</v>
      </c>
      <c r="N310" s="20">
        <v>45841.0</v>
      </c>
      <c r="O310" s="17" t="s">
        <v>194</v>
      </c>
      <c r="P310" s="16">
        <v>5.0</v>
      </c>
      <c r="Q310" s="16">
        <v>5.0</v>
      </c>
      <c r="R310" s="16">
        <v>5.0</v>
      </c>
      <c r="S310" s="16">
        <v>5.0</v>
      </c>
      <c r="T310" s="16">
        <v>5.0</v>
      </c>
      <c r="U310" s="16">
        <v>3.0</v>
      </c>
      <c r="V310" s="16">
        <v>3.0</v>
      </c>
      <c r="W310" s="16">
        <v>5.0</v>
      </c>
      <c r="X310" s="16">
        <v>4.0</v>
      </c>
      <c r="Y310" s="16">
        <v>4.0</v>
      </c>
      <c r="Z310" s="16">
        <v>5.0</v>
      </c>
      <c r="AA310" s="16">
        <v>5.0</v>
      </c>
      <c r="AB310" s="16">
        <v>5.0</v>
      </c>
      <c r="AC310" s="16">
        <v>4.0</v>
      </c>
      <c r="AD310" s="38">
        <v>13.0</v>
      </c>
      <c r="AE310" s="38">
        <v>15.0</v>
      </c>
      <c r="AF310" s="38">
        <v>16.0</v>
      </c>
      <c r="AG310" s="38" t="s">
        <v>726</v>
      </c>
      <c r="AI310" s="18" t="s">
        <v>638</v>
      </c>
    </row>
    <row r="311">
      <c r="A311" s="11"/>
      <c r="B311" s="12" t="s">
        <v>34</v>
      </c>
      <c r="C311" s="12" t="s">
        <v>65</v>
      </c>
      <c r="D311" s="12" t="s">
        <v>43</v>
      </c>
      <c r="E311" s="12" t="s">
        <v>717</v>
      </c>
      <c r="F311" s="13" t="s">
        <v>718</v>
      </c>
      <c r="G311" s="12" t="s">
        <v>68</v>
      </c>
      <c r="H311" s="12" t="s">
        <v>719</v>
      </c>
      <c r="I311" s="12" t="s">
        <v>720</v>
      </c>
      <c r="J311" s="17" t="s">
        <v>727</v>
      </c>
      <c r="K311" s="17" t="s">
        <v>727</v>
      </c>
      <c r="L311" s="17" t="s">
        <v>193</v>
      </c>
      <c r="M311" s="17">
        <v>43.0</v>
      </c>
      <c r="N311" s="20">
        <v>45841.0</v>
      </c>
      <c r="O311" s="17" t="s">
        <v>194</v>
      </c>
      <c r="P311" s="16">
        <v>3.0</v>
      </c>
      <c r="Q311" s="16">
        <v>3.0</v>
      </c>
      <c r="R311" s="16">
        <v>4.0</v>
      </c>
      <c r="S311" s="16">
        <v>4.0</v>
      </c>
      <c r="T311" s="16">
        <v>5.0</v>
      </c>
      <c r="U311" s="16">
        <v>4.0</v>
      </c>
      <c r="V311" s="16">
        <v>4.0</v>
      </c>
      <c r="W311" s="16">
        <v>4.0</v>
      </c>
      <c r="X311" s="16">
        <v>5.0</v>
      </c>
      <c r="Y311" s="16">
        <v>5.0</v>
      </c>
      <c r="Z311" s="16">
        <v>5.0</v>
      </c>
      <c r="AA311" s="16">
        <v>3.0</v>
      </c>
      <c r="AB311" s="16">
        <v>5.0</v>
      </c>
      <c r="AC311" s="16">
        <v>5.0</v>
      </c>
      <c r="AD311" s="38">
        <v>15.0</v>
      </c>
      <c r="AE311" s="38">
        <v>15.0</v>
      </c>
      <c r="AF311" s="38">
        <v>18.0</v>
      </c>
      <c r="AG311" s="38" t="s">
        <v>728</v>
      </c>
      <c r="AI311" s="18" t="s">
        <v>638</v>
      </c>
    </row>
    <row r="312">
      <c r="A312" s="11"/>
      <c r="B312" s="12" t="s">
        <v>34</v>
      </c>
      <c r="C312" s="12" t="s">
        <v>65</v>
      </c>
      <c r="D312" s="12" t="s">
        <v>43</v>
      </c>
      <c r="E312" s="12" t="s">
        <v>717</v>
      </c>
      <c r="F312" s="13" t="s">
        <v>718</v>
      </c>
      <c r="G312" s="12" t="s">
        <v>68</v>
      </c>
      <c r="H312" s="12" t="s">
        <v>719</v>
      </c>
      <c r="I312" s="12" t="s">
        <v>720</v>
      </c>
      <c r="J312" s="17" t="s">
        <v>729</v>
      </c>
      <c r="K312" s="17" t="s">
        <v>729</v>
      </c>
      <c r="L312" s="17" t="s">
        <v>193</v>
      </c>
      <c r="M312" s="17">
        <v>36.0</v>
      </c>
      <c r="N312" s="20">
        <v>45841.0</v>
      </c>
      <c r="O312" s="17" t="s">
        <v>194</v>
      </c>
      <c r="P312" s="16">
        <v>4.0</v>
      </c>
      <c r="Q312" s="16">
        <v>4.0</v>
      </c>
      <c r="R312" s="16">
        <v>4.0</v>
      </c>
      <c r="S312" s="16">
        <v>4.0</v>
      </c>
      <c r="T312" s="16">
        <v>5.0</v>
      </c>
      <c r="U312" s="16">
        <v>4.0</v>
      </c>
      <c r="V312" s="16">
        <v>4.0</v>
      </c>
      <c r="W312" s="16">
        <v>4.0</v>
      </c>
      <c r="X312" s="16">
        <v>3.0</v>
      </c>
      <c r="Y312" s="16">
        <v>3.0</v>
      </c>
      <c r="Z312" s="16">
        <v>5.0</v>
      </c>
      <c r="AA312" s="16">
        <v>4.0</v>
      </c>
      <c r="AB312" s="16">
        <v>5.0</v>
      </c>
      <c r="AC312" s="16">
        <v>3.0</v>
      </c>
      <c r="AD312" s="38">
        <v>14.0</v>
      </c>
      <c r="AE312" s="38">
        <v>13.0</v>
      </c>
      <c r="AF312" s="38">
        <v>18.0</v>
      </c>
      <c r="AG312" s="38" t="s">
        <v>730</v>
      </c>
      <c r="AI312" s="18" t="s">
        <v>638</v>
      </c>
    </row>
    <row r="313">
      <c r="A313" s="11"/>
      <c r="B313" s="12" t="s">
        <v>34</v>
      </c>
      <c r="C313" s="12" t="s">
        <v>65</v>
      </c>
      <c r="D313" s="12" t="s">
        <v>43</v>
      </c>
      <c r="E313" s="12" t="s">
        <v>717</v>
      </c>
      <c r="F313" s="13" t="s">
        <v>718</v>
      </c>
      <c r="G313" s="12" t="s">
        <v>68</v>
      </c>
      <c r="H313" s="12" t="s">
        <v>719</v>
      </c>
      <c r="I313" s="12" t="s">
        <v>720</v>
      </c>
      <c r="J313" s="17" t="s">
        <v>731</v>
      </c>
      <c r="K313" s="17" t="s">
        <v>731</v>
      </c>
      <c r="L313" s="17" t="s">
        <v>193</v>
      </c>
      <c r="M313" s="17">
        <v>26.0</v>
      </c>
      <c r="N313" s="20">
        <v>45841.0</v>
      </c>
      <c r="O313" s="17" t="s">
        <v>194</v>
      </c>
      <c r="P313" s="16">
        <v>3.0</v>
      </c>
      <c r="Q313" s="16">
        <v>3.0</v>
      </c>
      <c r="R313" s="16">
        <v>2.0</v>
      </c>
      <c r="S313" s="16">
        <v>2.0</v>
      </c>
      <c r="T313" s="16">
        <v>4.0</v>
      </c>
      <c r="U313" s="16">
        <v>3.0</v>
      </c>
      <c r="V313" s="16">
        <v>3.0</v>
      </c>
      <c r="W313" s="16">
        <v>2.0</v>
      </c>
      <c r="X313" s="16">
        <v>5.0</v>
      </c>
      <c r="Y313" s="16">
        <v>5.0</v>
      </c>
      <c r="Z313" s="16">
        <v>4.0</v>
      </c>
      <c r="AA313" s="16">
        <v>3.0</v>
      </c>
      <c r="AB313" s="16">
        <v>4.0</v>
      </c>
      <c r="AC313" s="16">
        <v>5.0</v>
      </c>
      <c r="AD313" s="38">
        <v>15.0</v>
      </c>
      <c r="AE313" s="38">
        <v>14.0</v>
      </c>
      <c r="AF313" s="38">
        <v>14.0</v>
      </c>
      <c r="AG313" s="38" t="s">
        <v>732</v>
      </c>
      <c r="AI313" s="18" t="s">
        <v>638</v>
      </c>
    </row>
    <row r="314">
      <c r="A314" s="11"/>
      <c r="B314" s="12" t="s">
        <v>34</v>
      </c>
      <c r="C314" s="12" t="s">
        <v>65</v>
      </c>
      <c r="D314" s="12" t="s">
        <v>43</v>
      </c>
      <c r="E314" s="12" t="s">
        <v>717</v>
      </c>
      <c r="F314" s="13" t="s">
        <v>718</v>
      </c>
      <c r="G314" s="12" t="s">
        <v>68</v>
      </c>
      <c r="H314" s="12" t="s">
        <v>719</v>
      </c>
      <c r="I314" s="12" t="s">
        <v>720</v>
      </c>
      <c r="J314" s="17" t="s">
        <v>733</v>
      </c>
      <c r="K314" s="17" t="s">
        <v>733</v>
      </c>
      <c r="L314" s="17" t="s">
        <v>193</v>
      </c>
      <c r="M314" s="17">
        <v>36.0</v>
      </c>
      <c r="N314" s="20">
        <v>45841.0</v>
      </c>
      <c r="O314" s="17" t="s">
        <v>194</v>
      </c>
      <c r="P314" s="16">
        <v>2.0</v>
      </c>
      <c r="Q314" s="16">
        <v>2.0</v>
      </c>
      <c r="R314" s="16">
        <v>5.0</v>
      </c>
      <c r="S314" s="16">
        <v>5.0</v>
      </c>
      <c r="T314" s="16">
        <v>5.0</v>
      </c>
      <c r="U314" s="16">
        <v>3.0</v>
      </c>
      <c r="V314" s="16">
        <v>3.0</v>
      </c>
      <c r="W314" s="16">
        <v>8.0</v>
      </c>
      <c r="X314" s="16">
        <v>5.0</v>
      </c>
      <c r="Y314" s="16">
        <v>5.0</v>
      </c>
      <c r="Z314" s="16">
        <v>5.0</v>
      </c>
      <c r="AA314" s="16">
        <v>2.0</v>
      </c>
      <c r="AB314" s="16">
        <v>5.0</v>
      </c>
      <c r="AC314" s="16">
        <v>5.0</v>
      </c>
      <c r="AD314" s="38">
        <v>16.0</v>
      </c>
      <c r="AE314" s="38">
        <v>19.0</v>
      </c>
      <c r="AF314" s="38">
        <v>16.0</v>
      </c>
      <c r="AG314" s="38" t="s">
        <v>734</v>
      </c>
      <c r="AI314" s="18" t="s">
        <v>638</v>
      </c>
    </row>
    <row r="315">
      <c r="A315" s="11"/>
      <c r="B315" s="12" t="s">
        <v>34</v>
      </c>
      <c r="C315" s="12" t="s">
        <v>65</v>
      </c>
      <c r="D315" s="12" t="s">
        <v>43</v>
      </c>
      <c r="E315" s="12" t="s">
        <v>717</v>
      </c>
      <c r="F315" s="13" t="s">
        <v>718</v>
      </c>
      <c r="G315" s="12" t="s">
        <v>68</v>
      </c>
      <c r="H315" s="12" t="s">
        <v>719</v>
      </c>
      <c r="I315" s="12" t="s">
        <v>720</v>
      </c>
      <c r="J315" s="17" t="s">
        <v>735</v>
      </c>
      <c r="K315" s="17" t="s">
        <v>735</v>
      </c>
      <c r="L315" s="17" t="s">
        <v>193</v>
      </c>
      <c r="M315" s="17">
        <v>26.0</v>
      </c>
      <c r="N315" s="20">
        <v>45841.0</v>
      </c>
      <c r="O315" s="17" t="s">
        <v>194</v>
      </c>
      <c r="P315" s="16">
        <v>2.0</v>
      </c>
      <c r="Q315" s="16">
        <v>2.0</v>
      </c>
      <c r="R315" s="16">
        <v>3.0</v>
      </c>
      <c r="S315" s="16">
        <v>3.0</v>
      </c>
      <c r="T315" s="16">
        <v>4.0</v>
      </c>
      <c r="U315" s="16">
        <v>4.0</v>
      </c>
      <c r="V315" s="16">
        <v>4.0</v>
      </c>
      <c r="W315" s="16">
        <v>3.0</v>
      </c>
      <c r="X315" s="16">
        <v>5.0</v>
      </c>
      <c r="Y315" s="16">
        <v>5.0</v>
      </c>
      <c r="Z315" s="16">
        <v>4.0</v>
      </c>
      <c r="AA315" s="16">
        <v>2.0</v>
      </c>
      <c r="AB315" s="16">
        <v>4.0</v>
      </c>
      <c r="AC315" s="16">
        <v>5.0</v>
      </c>
      <c r="AD315" s="38">
        <v>16.0</v>
      </c>
      <c r="AE315" s="38">
        <v>15.0</v>
      </c>
      <c r="AF315" s="38">
        <v>16.0</v>
      </c>
      <c r="AG315" s="38" t="s">
        <v>736</v>
      </c>
      <c r="AI315" s="18" t="s">
        <v>638</v>
      </c>
    </row>
    <row r="316">
      <c r="A316" s="11"/>
      <c r="B316" s="12" t="s">
        <v>34</v>
      </c>
      <c r="C316" s="12" t="s">
        <v>65</v>
      </c>
      <c r="D316" s="12" t="s">
        <v>43</v>
      </c>
      <c r="E316" s="12" t="s">
        <v>717</v>
      </c>
      <c r="F316" s="13" t="s">
        <v>718</v>
      </c>
      <c r="G316" s="12" t="s">
        <v>68</v>
      </c>
      <c r="H316" s="12" t="s">
        <v>719</v>
      </c>
      <c r="I316" s="12" t="s">
        <v>720</v>
      </c>
      <c r="J316" s="17" t="s">
        <v>737</v>
      </c>
      <c r="K316" s="17" t="s">
        <v>737</v>
      </c>
      <c r="L316" s="17" t="s">
        <v>193</v>
      </c>
      <c r="M316" s="17">
        <v>23.0</v>
      </c>
      <c r="N316" s="20">
        <v>45841.0</v>
      </c>
      <c r="O316" s="17" t="s">
        <v>194</v>
      </c>
      <c r="P316" s="16">
        <v>2.0</v>
      </c>
      <c r="Q316" s="16">
        <v>2.0</v>
      </c>
      <c r="R316" s="16">
        <v>2.0</v>
      </c>
      <c r="S316" s="16">
        <v>2.0</v>
      </c>
      <c r="T316" s="16">
        <v>5.0</v>
      </c>
      <c r="U316" s="16">
        <v>5.0</v>
      </c>
      <c r="V316" s="16">
        <v>5.0</v>
      </c>
      <c r="W316" s="16">
        <v>2.0</v>
      </c>
      <c r="X316" s="16">
        <v>5.0</v>
      </c>
      <c r="Y316" s="16">
        <v>5.0</v>
      </c>
      <c r="Z316" s="16">
        <v>5.0</v>
      </c>
      <c r="AA316" s="16">
        <v>2.0</v>
      </c>
      <c r="AB316" s="16">
        <v>5.0</v>
      </c>
      <c r="AC316" s="16">
        <v>5.0</v>
      </c>
      <c r="AD316" s="38">
        <v>16.0</v>
      </c>
      <c r="AE316" s="38">
        <v>13.0</v>
      </c>
      <c r="AF316" s="38">
        <v>20.0</v>
      </c>
      <c r="AG316" s="38" t="s">
        <v>738</v>
      </c>
      <c r="AI316" s="18" t="s">
        <v>638</v>
      </c>
    </row>
    <row r="317">
      <c r="A317" s="11"/>
      <c r="B317" s="12" t="s">
        <v>34</v>
      </c>
      <c r="C317" s="12" t="s">
        <v>65</v>
      </c>
      <c r="D317" s="12" t="s">
        <v>43</v>
      </c>
      <c r="E317" s="12" t="s">
        <v>717</v>
      </c>
      <c r="F317" s="13" t="s">
        <v>718</v>
      </c>
      <c r="G317" s="12" t="s">
        <v>68</v>
      </c>
      <c r="H317" s="12" t="s">
        <v>719</v>
      </c>
      <c r="I317" s="12" t="s">
        <v>720</v>
      </c>
      <c r="J317" s="17" t="s">
        <v>739</v>
      </c>
      <c r="K317" s="17" t="s">
        <v>739</v>
      </c>
      <c r="L317" s="17" t="s">
        <v>193</v>
      </c>
      <c r="M317" s="17">
        <v>21.0</v>
      </c>
      <c r="N317" s="20">
        <v>45841.0</v>
      </c>
      <c r="O317" s="17" t="s">
        <v>194</v>
      </c>
      <c r="P317" s="16">
        <v>3.0</v>
      </c>
      <c r="Q317" s="16">
        <v>3.0</v>
      </c>
      <c r="R317" s="16">
        <v>4.0</v>
      </c>
      <c r="S317" s="16">
        <v>4.0</v>
      </c>
      <c r="T317" s="16">
        <v>3.0</v>
      </c>
      <c r="U317" s="16">
        <v>4.0</v>
      </c>
      <c r="V317" s="16">
        <v>4.0</v>
      </c>
      <c r="W317" s="16">
        <v>4.0</v>
      </c>
      <c r="X317" s="16">
        <v>4.0</v>
      </c>
      <c r="Y317" s="16">
        <v>4.0</v>
      </c>
      <c r="Z317" s="16">
        <v>3.0</v>
      </c>
      <c r="AA317" s="16">
        <v>3.0</v>
      </c>
      <c r="AB317" s="16">
        <v>3.0</v>
      </c>
      <c r="AC317" s="16">
        <v>4.0</v>
      </c>
      <c r="AD317" s="38">
        <v>15.0</v>
      </c>
      <c r="AE317" s="38">
        <v>16.0</v>
      </c>
      <c r="AF317" s="38">
        <v>14.0</v>
      </c>
      <c r="AG317" s="38" t="s">
        <v>740</v>
      </c>
      <c r="AI317" s="18" t="s">
        <v>638</v>
      </c>
    </row>
    <row r="318">
      <c r="A318" s="11"/>
      <c r="B318" s="12" t="s">
        <v>34</v>
      </c>
      <c r="C318" s="12" t="s">
        <v>65</v>
      </c>
      <c r="D318" s="12" t="s">
        <v>43</v>
      </c>
      <c r="E318" s="12" t="s">
        <v>717</v>
      </c>
      <c r="F318" s="13" t="s">
        <v>718</v>
      </c>
      <c r="G318" s="12" t="s">
        <v>68</v>
      </c>
      <c r="H318" s="12" t="s">
        <v>719</v>
      </c>
      <c r="I318" s="12" t="s">
        <v>720</v>
      </c>
      <c r="J318" s="17" t="s">
        <v>741</v>
      </c>
      <c r="K318" s="17" t="s">
        <v>741</v>
      </c>
      <c r="L318" s="17" t="s">
        <v>193</v>
      </c>
      <c r="M318" s="17">
        <v>26.0</v>
      </c>
      <c r="N318" s="20">
        <v>45841.0</v>
      </c>
      <c r="O318" s="17" t="s">
        <v>194</v>
      </c>
      <c r="P318" s="16">
        <v>4.0</v>
      </c>
      <c r="Q318" s="16">
        <v>4.0</v>
      </c>
      <c r="R318" s="16">
        <v>4.0</v>
      </c>
      <c r="S318" s="16">
        <v>4.0</v>
      </c>
      <c r="T318" s="16">
        <v>5.0</v>
      </c>
      <c r="U318" s="16">
        <v>5.0</v>
      </c>
      <c r="V318" s="16">
        <v>5.0</v>
      </c>
      <c r="W318" s="16">
        <v>4.0</v>
      </c>
      <c r="X318" s="16">
        <v>4.0</v>
      </c>
      <c r="Y318" s="16">
        <v>4.0</v>
      </c>
      <c r="Z318" s="16">
        <v>5.0</v>
      </c>
      <c r="AA318" s="16">
        <v>4.0</v>
      </c>
      <c r="AB318" s="16">
        <v>5.0</v>
      </c>
      <c r="AC318" s="16">
        <v>4.0</v>
      </c>
      <c r="AD318" s="38">
        <v>14.0</v>
      </c>
      <c r="AE318" s="38">
        <v>14.0</v>
      </c>
      <c r="AF318" s="38">
        <v>20.0</v>
      </c>
      <c r="AG318" s="38" t="s">
        <v>742</v>
      </c>
      <c r="AI318" s="18" t="s">
        <v>638</v>
      </c>
    </row>
    <row r="319">
      <c r="A319" s="11"/>
      <c r="B319" s="12" t="s">
        <v>34</v>
      </c>
      <c r="C319" s="12" t="s">
        <v>65</v>
      </c>
      <c r="D319" s="12" t="s">
        <v>43</v>
      </c>
      <c r="E319" s="12" t="s">
        <v>717</v>
      </c>
      <c r="F319" s="13" t="s">
        <v>718</v>
      </c>
      <c r="G319" s="12" t="s">
        <v>68</v>
      </c>
      <c r="H319" s="12" t="s">
        <v>719</v>
      </c>
      <c r="I319" s="12" t="s">
        <v>720</v>
      </c>
      <c r="J319" s="17" t="s">
        <v>743</v>
      </c>
      <c r="K319" s="17" t="s">
        <v>743</v>
      </c>
      <c r="L319" s="17" t="s">
        <v>250</v>
      </c>
      <c r="M319" s="17">
        <v>68.0</v>
      </c>
      <c r="N319" s="20">
        <v>45841.0</v>
      </c>
      <c r="O319" s="17" t="s">
        <v>194</v>
      </c>
      <c r="P319" s="16">
        <v>4.0</v>
      </c>
      <c r="Q319" s="16">
        <v>4.0</v>
      </c>
      <c r="R319" s="16">
        <v>3.0</v>
      </c>
      <c r="S319" s="16">
        <v>3.0</v>
      </c>
      <c r="T319" s="16">
        <v>2.0</v>
      </c>
      <c r="U319" s="16">
        <v>4.0</v>
      </c>
      <c r="V319" s="16">
        <v>4.0</v>
      </c>
      <c r="W319" s="16">
        <v>3.0</v>
      </c>
      <c r="X319" s="16">
        <v>4.0</v>
      </c>
      <c r="Y319" s="16">
        <v>4.0</v>
      </c>
      <c r="Z319" s="16">
        <v>2.0</v>
      </c>
      <c r="AA319" s="16">
        <v>4.0</v>
      </c>
      <c r="AB319" s="16">
        <v>2.0</v>
      </c>
      <c r="AC319" s="16">
        <v>4.0</v>
      </c>
      <c r="AD319" s="38">
        <v>14.0</v>
      </c>
      <c r="AE319" s="38">
        <v>16.0</v>
      </c>
      <c r="AF319" s="38">
        <v>12.0</v>
      </c>
      <c r="AG319" s="38" t="s">
        <v>644</v>
      </c>
      <c r="AI319" s="18" t="s">
        <v>638</v>
      </c>
    </row>
    <row r="320">
      <c r="A320" s="11"/>
      <c r="B320" s="12" t="s">
        <v>34</v>
      </c>
      <c r="C320" s="12" t="s">
        <v>65</v>
      </c>
      <c r="D320" s="12" t="s">
        <v>43</v>
      </c>
      <c r="E320" s="12" t="s">
        <v>717</v>
      </c>
      <c r="F320" s="13" t="s">
        <v>718</v>
      </c>
      <c r="G320" s="12" t="s">
        <v>68</v>
      </c>
      <c r="H320" s="12" t="s">
        <v>719</v>
      </c>
      <c r="I320" s="12" t="s">
        <v>720</v>
      </c>
      <c r="J320" s="17" t="s">
        <v>744</v>
      </c>
      <c r="K320" s="17" t="s">
        <v>744</v>
      </c>
      <c r="L320" s="17" t="s">
        <v>193</v>
      </c>
      <c r="M320" s="17">
        <v>26.0</v>
      </c>
      <c r="N320" s="20">
        <v>45841.0</v>
      </c>
      <c r="O320" s="17" t="s">
        <v>194</v>
      </c>
      <c r="P320" s="16">
        <v>4.0</v>
      </c>
      <c r="Q320" s="16">
        <v>4.0</v>
      </c>
      <c r="R320" s="16">
        <v>3.0</v>
      </c>
      <c r="S320" s="16">
        <v>3.0</v>
      </c>
      <c r="T320" s="16">
        <v>5.0</v>
      </c>
      <c r="U320" s="16">
        <v>4.0</v>
      </c>
      <c r="V320" s="16">
        <v>4.0</v>
      </c>
      <c r="W320" s="16">
        <v>3.0</v>
      </c>
      <c r="X320" s="16">
        <v>3.0</v>
      </c>
      <c r="Y320" s="16">
        <v>3.0</v>
      </c>
      <c r="Z320" s="16">
        <v>5.0</v>
      </c>
      <c r="AA320" s="16">
        <v>4.0</v>
      </c>
      <c r="AB320" s="16">
        <v>5.0</v>
      </c>
      <c r="AC320" s="16">
        <v>3.0</v>
      </c>
      <c r="AD320" s="38">
        <v>14.0</v>
      </c>
      <c r="AE320" s="38">
        <v>12.0</v>
      </c>
      <c r="AF320" s="38">
        <v>18.0</v>
      </c>
      <c r="AG320" s="38" t="s">
        <v>745</v>
      </c>
      <c r="AI320" s="18" t="s">
        <v>638</v>
      </c>
    </row>
    <row r="321">
      <c r="A321" s="11"/>
      <c r="B321" s="12" t="s">
        <v>34</v>
      </c>
      <c r="C321" s="12" t="s">
        <v>65</v>
      </c>
      <c r="D321" s="12" t="s">
        <v>43</v>
      </c>
      <c r="E321" s="12" t="s">
        <v>717</v>
      </c>
      <c r="F321" s="13" t="s">
        <v>718</v>
      </c>
      <c r="G321" s="12" t="s">
        <v>68</v>
      </c>
      <c r="H321" s="12" t="s">
        <v>719</v>
      </c>
      <c r="I321" s="12" t="s">
        <v>720</v>
      </c>
      <c r="J321" s="17" t="s">
        <v>746</v>
      </c>
      <c r="K321" s="17" t="s">
        <v>746</v>
      </c>
      <c r="L321" s="17" t="s">
        <v>193</v>
      </c>
      <c r="M321" s="17">
        <v>39.0</v>
      </c>
      <c r="N321" s="20">
        <v>45841.0</v>
      </c>
      <c r="O321" s="17" t="s">
        <v>194</v>
      </c>
      <c r="P321" s="16">
        <v>4.0</v>
      </c>
      <c r="Q321" s="16">
        <v>4.0</v>
      </c>
      <c r="R321" s="16">
        <v>4.0</v>
      </c>
      <c r="S321" s="16">
        <v>4.0</v>
      </c>
      <c r="T321" s="16">
        <v>5.0</v>
      </c>
      <c r="U321" s="16">
        <v>4.0</v>
      </c>
      <c r="V321" s="16">
        <v>4.0</v>
      </c>
      <c r="W321" s="16">
        <v>4.0</v>
      </c>
      <c r="X321" s="16">
        <v>5.0</v>
      </c>
      <c r="Y321" s="16">
        <v>5.0</v>
      </c>
      <c r="Z321" s="16">
        <v>5.0</v>
      </c>
      <c r="AA321" s="16">
        <v>4.0</v>
      </c>
      <c r="AB321" s="16">
        <v>5.0</v>
      </c>
      <c r="AC321" s="16">
        <v>5.0</v>
      </c>
      <c r="AD321" s="38">
        <v>14.0</v>
      </c>
      <c r="AE321" s="38">
        <v>15.0</v>
      </c>
      <c r="AF321" s="38">
        <v>18.0</v>
      </c>
      <c r="AG321" s="38" t="s">
        <v>747</v>
      </c>
      <c r="AI321" s="18" t="s">
        <v>638</v>
      </c>
    </row>
    <row r="322">
      <c r="A322" s="11"/>
      <c r="B322" s="12" t="s">
        <v>34</v>
      </c>
      <c r="C322" s="12" t="s">
        <v>65</v>
      </c>
      <c r="D322" s="12" t="s">
        <v>43</v>
      </c>
      <c r="E322" s="12" t="s">
        <v>717</v>
      </c>
      <c r="F322" s="13" t="s">
        <v>718</v>
      </c>
      <c r="G322" s="12" t="s">
        <v>68</v>
      </c>
      <c r="H322" s="12" t="s">
        <v>719</v>
      </c>
      <c r="I322" s="12" t="s">
        <v>720</v>
      </c>
      <c r="J322" s="17" t="s">
        <v>748</v>
      </c>
      <c r="K322" s="17" t="s">
        <v>748</v>
      </c>
      <c r="L322" s="17" t="s">
        <v>222</v>
      </c>
      <c r="M322" s="17">
        <v>26.0</v>
      </c>
      <c r="N322" s="20">
        <v>45841.0</v>
      </c>
      <c r="O322" s="17" t="s">
        <v>194</v>
      </c>
      <c r="P322" s="16">
        <v>4.0</v>
      </c>
      <c r="Q322" s="16">
        <v>4.0</v>
      </c>
      <c r="R322" s="16">
        <v>4.0</v>
      </c>
      <c r="S322" s="16">
        <v>4.0</v>
      </c>
      <c r="T322" s="16">
        <v>5.0</v>
      </c>
      <c r="U322" s="16">
        <v>4.0</v>
      </c>
      <c r="V322" s="16">
        <v>4.0</v>
      </c>
      <c r="W322" s="16">
        <v>4.0</v>
      </c>
      <c r="X322" s="16">
        <v>5.0</v>
      </c>
      <c r="Y322" s="16">
        <v>5.0</v>
      </c>
      <c r="Z322" s="16">
        <v>5.0</v>
      </c>
      <c r="AA322" s="16">
        <v>4.0</v>
      </c>
      <c r="AB322" s="16">
        <v>5.0</v>
      </c>
      <c r="AC322" s="16">
        <v>5.0</v>
      </c>
      <c r="AD322" s="38">
        <v>14.0</v>
      </c>
      <c r="AE322" s="38">
        <v>15.0</v>
      </c>
      <c r="AF322" s="38">
        <v>18.0</v>
      </c>
      <c r="AG322" s="38" t="s">
        <v>749</v>
      </c>
      <c r="AI322" s="18" t="s">
        <v>638</v>
      </c>
    </row>
    <row r="323">
      <c r="A323" s="11"/>
      <c r="B323" s="12" t="s">
        <v>34</v>
      </c>
      <c r="C323" s="12" t="s">
        <v>65</v>
      </c>
      <c r="D323" s="12" t="s">
        <v>43</v>
      </c>
      <c r="E323" s="12" t="s">
        <v>717</v>
      </c>
      <c r="F323" s="13" t="s">
        <v>718</v>
      </c>
      <c r="G323" s="12" t="s">
        <v>68</v>
      </c>
      <c r="H323" s="12" t="s">
        <v>719</v>
      </c>
      <c r="I323" s="12" t="s">
        <v>720</v>
      </c>
      <c r="J323" s="17" t="s">
        <v>750</v>
      </c>
      <c r="K323" s="17" t="s">
        <v>750</v>
      </c>
      <c r="L323" s="17" t="s">
        <v>193</v>
      </c>
      <c r="M323" s="17">
        <v>39.0</v>
      </c>
      <c r="N323" s="20">
        <v>45841.0</v>
      </c>
      <c r="O323" s="17" t="s">
        <v>194</v>
      </c>
      <c r="P323" s="16">
        <v>5.0</v>
      </c>
      <c r="Q323" s="16">
        <v>5.0</v>
      </c>
      <c r="R323" s="16">
        <v>4.0</v>
      </c>
      <c r="S323" s="16">
        <v>4.0</v>
      </c>
      <c r="T323" s="16">
        <v>3.0</v>
      </c>
      <c r="U323" s="16">
        <v>5.0</v>
      </c>
      <c r="V323" s="16">
        <v>5.0</v>
      </c>
      <c r="W323" s="16">
        <v>4.0</v>
      </c>
      <c r="X323" s="16">
        <v>4.0</v>
      </c>
      <c r="Y323" s="16">
        <v>4.0</v>
      </c>
      <c r="Z323" s="16">
        <v>4.0</v>
      </c>
      <c r="AA323" s="16">
        <v>5.0</v>
      </c>
      <c r="AB323" s="16">
        <v>4.0</v>
      </c>
      <c r="AC323" s="16">
        <v>4.0</v>
      </c>
      <c r="AD323" s="38">
        <v>13.0</v>
      </c>
      <c r="AE323" s="38">
        <v>15.0</v>
      </c>
      <c r="AF323" s="38">
        <v>17.0</v>
      </c>
      <c r="AG323" s="38" t="s">
        <v>751</v>
      </c>
      <c r="AI323" s="18" t="s">
        <v>638</v>
      </c>
    </row>
    <row r="324">
      <c r="A324" s="11"/>
      <c r="B324" s="12" t="s">
        <v>34</v>
      </c>
      <c r="C324" s="12" t="s">
        <v>65</v>
      </c>
      <c r="D324" s="12" t="s">
        <v>43</v>
      </c>
      <c r="E324" s="12" t="s">
        <v>717</v>
      </c>
      <c r="F324" s="13" t="s">
        <v>718</v>
      </c>
      <c r="G324" s="12" t="s">
        <v>68</v>
      </c>
      <c r="H324" s="12" t="s">
        <v>719</v>
      </c>
      <c r="I324" s="12" t="s">
        <v>720</v>
      </c>
      <c r="J324" s="17" t="s">
        <v>752</v>
      </c>
      <c r="K324" s="17" t="s">
        <v>752</v>
      </c>
      <c r="L324" s="17" t="s">
        <v>250</v>
      </c>
      <c r="M324" s="17">
        <v>22.0</v>
      </c>
      <c r="N324" s="20">
        <v>45841.0</v>
      </c>
      <c r="O324" s="17" t="s">
        <v>194</v>
      </c>
      <c r="P324" s="16">
        <v>5.0</v>
      </c>
      <c r="Q324" s="16">
        <v>5.0</v>
      </c>
      <c r="R324" s="16">
        <v>4.0</v>
      </c>
      <c r="S324" s="16">
        <v>4.0</v>
      </c>
      <c r="T324" s="16">
        <v>5.0</v>
      </c>
      <c r="U324" s="16">
        <v>4.0</v>
      </c>
      <c r="V324" s="16">
        <v>4.0</v>
      </c>
      <c r="W324" s="16">
        <v>4.0</v>
      </c>
      <c r="X324" s="16">
        <v>5.0</v>
      </c>
      <c r="Y324" s="16">
        <v>5.0</v>
      </c>
      <c r="Z324" s="16">
        <v>5.0</v>
      </c>
      <c r="AA324" s="16">
        <v>5.0</v>
      </c>
      <c r="AB324" s="16">
        <v>5.0</v>
      </c>
      <c r="AC324" s="16">
        <v>5.0</v>
      </c>
      <c r="AD324" s="38">
        <v>13.0</v>
      </c>
      <c r="AE324" s="38">
        <v>15.0</v>
      </c>
      <c r="AF324" s="38">
        <v>18.0</v>
      </c>
      <c r="AG324" s="38" t="s">
        <v>753</v>
      </c>
      <c r="AI324" s="18" t="s">
        <v>638</v>
      </c>
    </row>
    <row r="325">
      <c r="A325" s="11"/>
      <c r="B325" s="12" t="s">
        <v>34</v>
      </c>
      <c r="C325" s="12" t="s">
        <v>65</v>
      </c>
      <c r="D325" s="12" t="s">
        <v>43</v>
      </c>
      <c r="E325" s="12" t="s">
        <v>717</v>
      </c>
      <c r="F325" s="13" t="s">
        <v>718</v>
      </c>
      <c r="G325" s="12" t="s">
        <v>68</v>
      </c>
      <c r="H325" s="12" t="s">
        <v>719</v>
      </c>
      <c r="I325" s="12" t="s">
        <v>720</v>
      </c>
      <c r="J325" s="17" t="s">
        <v>754</v>
      </c>
      <c r="K325" s="17" t="s">
        <v>754</v>
      </c>
      <c r="L325" s="17" t="s">
        <v>250</v>
      </c>
      <c r="M325" s="17">
        <v>55.0</v>
      </c>
      <c r="N325" s="20">
        <v>45841.0</v>
      </c>
      <c r="O325" s="17" t="s">
        <v>194</v>
      </c>
      <c r="P325" s="16">
        <v>4.0</v>
      </c>
      <c r="Q325" s="16">
        <v>4.0</v>
      </c>
      <c r="R325" s="16">
        <v>3.0</v>
      </c>
      <c r="S325" s="16">
        <v>3.0</v>
      </c>
      <c r="T325" s="16">
        <v>5.0</v>
      </c>
      <c r="U325" s="16">
        <v>4.0</v>
      </c>
      <c r="V325" s="16">
        <v>4.0</v>
      </c>
      <c r="W325" s="16">
        <v>3.0</v>
      </c>
      <c r="X325" s="16">
        <v>4.0</v>
      </c>
      <c r="Y325" s="16">
        <v>4.0</v>
      </c>
      <c r="Z325" s="16">
        <v>5.0</v>
      </c>
      <c r="AA325" s="16">
        <v>4.0</v>
      </c>
      <c r="AB325" s="16">
        <v>5.0</v>
      </c>
      <c r="AC325" s="16">
        <v>4.0</v>
      </c>
      <c r="AD325" s="38">
        <v>14.0</v>
      </c>
      <c r="AE325" s="38">
        <v>13.0</v>
      </c>
      <c r="AF325" s="38">
        <v>18.0</v>
      </c>
      <c r="AG325" s="38" t="s">
        <v>755</v>
      </c>
      <c r="AI325" s="18" t="s">
        <v>638</v>
      </c>
    </row>
    <row r="326">
      <c r="A326" s="11"/>
      <c r="B326" s="12" t="s">
        <v>34</v>
      </c>
      <c r="C326" s="12" t="s">
        <v>65</v>
      </c>
      <c r="D326" s="12" t="s">
        <v>43</v>
      </c>
      <c r="E326" s="12" t="s">
        <v>717</v>
      </c>
      <c r="F326" s="13" t="s">
        <v>718</v>
      </c>
      <c r="G326" s="12" t="s">
        <v>68</v>
      </c>
      <c r="H326" s="12" t="s">
        <v>719</v>
      </c>
      <c r="I326" s="12" t="s">
        <v>720</v>
      </c>
      <c r="J326" s="17" t="s">
        <v>756</v>
      </c>
      <c r="K326" s="17" t="s">
        <v>756</v>
      </c>
      <c r="L326" s="17" t="s">
        <v>193</v>
      </c>
      <c r="M326" s="17">
        <v>40.0</v>
      </c>
      <c r="N326" s="20">
        <v>45841.0</v>
      </c>
      <c r="O326" s="17" t="s">
        <v>194</v>
      </c>
      <c r="P326" s="16">
        <v>4.0</v>
      </c>
      <c r="Q326" s="16">
        <v>4.0</v>
      </c>
      <c r="R326" s="16">
        <v>2.0</v>
      </c>
      <c r="S326" s="16">
        <v>2.0</v>
      </c>
      <c r="T326" s="16">
        <v>3.0</v>
      </c>
      <c r="U326" s="16">
        <v>1.0</v>
      </c>
      <c r="V326" s="16">
        <v>1.0</v>
      </c>
      <c r="W326" s="16">
        <v>2.0</v>
      </c>
      <c r="X326" s="16">
        <v>2.0</v>
      </c>
      <c r="Y326" s="16">
        <v>2.0</v>
      </c>
      <c r="Z326" s="16">
        <v>3.0</v>
      </c>
      <c r="AA326" s="16">
        <v>4.0</v>
      </c>
      <c r="AB326" s="16">
        <v>3.0</v>
      </c>
      <c r="AC326" s="16">
        <v>2.0</v>
      </c>
      <c r="AD326" s="38">
        <v>14.0</v>
      </c>
      <c r="AE326" s="38">
        <v>12.0</v>
      </c>
      <c r="AF326" s="38">
        <v>8.0</v>
      </c>
      <c r="AG326" s="38" t="s">
        <v>757</v>
      </c>
      <c r="AI326" s="18" t="s">
        <v>638</v>
      </c>
    </row>
    <row r="327">
      <c r="A327" s="11"/>
      <c r="B327" s="12" t="s">
        <v>34</v>
      </c>
      <c r="C327" s="12" t="s">
        <v>65</v>
      </c>
      <c r="D327" s="12" t="s">
        <v>43</v>
      </c>
      <c r="E327" s="12" t="s">
        <v>717</v>
      </c>
      <c r="F327" s="13" t="s">
        <v>718</v>
      </c>
      <c r="G327" s="12" t="s">
        <v>68</v>
      </c>
      <c r="H327" s="12" t="s">
        <v>719</v>
      </c>
      <c r="I327" s="12" t="s">
        <v>720</v>
      </c>
      <c r="J327" s="17" t="s">
        <v>758</v>
      </c>
      <c r="K327" s="17" t="s">
        <v>758</v>
      </c>
      <c r="L327" s="17" t="s">
        <v>193</v>
      </c>
      <c r="M327" s="17">
        <v>24.0</v>
      </c>
      <c r="N327" s="20">
        <v>45841.0</v>
      </c>
      <c r="O327" s="17" t="s">
        <v>194</v>
      </c>
      <c r="P327" s="16">
        <v>4.0</v>
      </c>
      <c r="Q327" s="16">
        <v>4.0</v>
      </c>
      <c r="R327" s="16">
        <v>4.0</v>
      </c>
      <c r="S327" s="16">
        <v>4.0</v>
      </c>
      <c r="T327" s="16">
        <v>4.0</v>
      </c>
      <c r="U327" s="16">
        <v>3.0</v>
      </c>
      <c r="V327" s="16">
        <v>3.0</v>
      </c>
      <c r="W327" s="16">
        <v>4.0</v>
      </c>
      <c r="X327" s="16">
        <v>4.0</v>
      </c>
      <c r="Y327" s="16">
        <v>4.0</v>
      </c>
      <c r="Z327" s="16">
        <v>4.0</v>
      </c>
      <c r="AA327" s="16">
        <v>4.0</v>
      </c>
      <c r="AB327" s="16">
        <v>4.0</v>
      </c>
      <c r="AC327" s="16">
        <v>4.0</v>
      </c>
      <c r="AD327" s="38">
        <v>14.0</v>
      </c>
      <c r="AE327" s="38">
        <v>15.0</v>
      </c>
      <c r="AF327" s="38">
        <v>14.0</v>
      </c>
      <c r="AG327" s="38" t="s">
        <v>759</v>
      </c>
      <c r="AI327" s="18" t="s">
        <v>638</v>
      </c>
    </row>
    <row r="328">
      <c r="A328" s="11"/>
      <c r="B328" s="12" t="s">
        <v>34</v>
      </c>
      <c r="C328" s="12" t="s">
        <v>65</v>
      </c>
      <c r="D328" s="12" t="s">
        <v>43</v>
      </c>
      <c r="E328" s="12" t="s">
        <v>717</v>
      </c>
      <c r="F328" s="13" t="s">
        <v>718</v>
      </c>
      <c r="G328" s="12" t="s">
        <v>68</v>
      </c>
      <c r="H328" s="12" t="s">
        <v>719</v>
      </c>
      <c r="I328" s="12" t="s">
        <v>720</v>
      </c>
      <c r="J328" s="17" t="s">
        <v>760</v>
      </c>
      <c r="K328" s="17" t="s">
        <v>760</v>
      </c>
      <c r="L328" s="17" t="s">
        <v>193</v>
      </c>
      <c r="M328" s="17">
        <v>39.0</v>
      </c>
      <c r="N328" s="20">
        <v>45841.0</v>
      </c>
      <c r="O328" s="17" t="s">
        <v>194</v>
      </c>
      <c r="P328" s="16">
        <v>2.0</v>
      </c>
      <c r="Q328" s="16">
        <v>2.0</v>
      </c>
      <c r="R328" s="16">
        <v>3.0</v>
      </c>
      <c r="S328" s="16">
        <v>3.0</v>
      </c>
      <c r="T328" s="16">
        <v>5.0</v>
      </c>
      <c r="U328" s="16">
        <v>4.0</v>
      </c>
      <c r="V328" s="16">
        <v>4.0</v>
      </c>
      <c r="W328" s="16">
        <v>3.0</v>
      </c>
      <c r="X328" s="16">
        <v>3.0</v>
      </c>
      <c r="Y328" s="16">
        <v>3.0</v>
      </c>
      <c r="Z328" s="16">
        <v>5.0</v>
      </c>
      <c r="AA328" s="16">
        <v>2.0</v>
      </c>
      <c r="AB328" s="16">
        <v>5.0</v>
      </c>
      <c r="AC328" s="16">
        <v>3.0</v>
      </c>
      <c r="AD328" s="38">
        <v>16.0</v>
      </c>
      <c r="AE328" s="38">
        <v>12.0</v>
      </c>
      <c r="AF328" s="38">
        <v>18.0</v>
      </c>
      <c r="AG328" s="38" t="s">
        <v>761</v>
      </c>
      <c r="AI328" s="18" t="s">
        <v>638</v>
      </c>
    </row>
    <row r="329">
      <c r="A329" s="11"/>
      <c r="B329" s="12" t="s">
        <v>34</v>
      </c>
      <c r="C329" s="12" t="s">
        <v>65</v>
      </c>
      <c r="D329" s="12" t="s">
        <v>43</v>
      </c>
      <c r="E329" s="12" t="s">
        <v>717</v>
      </c>
      <c r="F329" s="13" t="s">
        <v>718</v>
      </c>
      <c r="G329" s="12" t="s">
        <v>68</v>
      </c>
      <c r="H329" s="12" t="s">
        <v>719</v>
      </c>
      <c r="I329" s="12" t="s">
        <v>720</v>
      </c>
      <c r="J329" s="17" t="s">
        <v>762</v>
      </c>
      <c r="K329" s="17" t="s">
        <v>762</v>
      </c>
      <c r="L329" s="17" t="s">
        <v>193</v>
      </c>
      <c r="M329" s="17" t="s">
        <v>644</v>
      </c>
      <c r="N329" s="20">
        <v>45841.0</v>
      </c>
      <c r="O329" s="17" t="s">
        <v>194</v>
      </c>
      <c r="P329" s="16">
        <v>5.0</v>
      </c>
      <c r="Q329" s="16">
        <v>5.0</v>
      </c>
      <c r="R329" s="16">
        <v>4.0</v>
      </c>
      <c r="S329" s="16">
        <v>4.0</v>
      </c>
      <c r="T329" s="16">
        <v>2.0</v>
      </c>
      <c r="U329" s="16">
        <v>1.0</v>
      </c>
      <c r="V329" s="16">
        <v>1.0</v>
      </c>
      <c r="W329" s="16">
        <v>4.0</v>
      </c>
      <c r="X329" s="16">
        <v>3.0</v>
      </c>
      <c r="Y329" s="16">
        <v>3.0</v>
      </c>
      <c r="Z329" s="16">
        <v>2.0</v>
      </c>
      <c r="AA329" s="16">
        <v>5.0</v>
      </c>
      <c r="AB329" s="16">
        <v>2.0</v>
      </c>
      <c r="AC329" s="16">
        <v>3.0</v>
      </c>
      <c r="AD329" s="38">
        <v>13.0</v>
      </c>
      <c r="AE329" s="38">
        <v>16.0</v>
      </c>
      <c r="AF329" s="38">
        <v>6.0</v>
      </c>
      <c r="AG329" s="38" t="s">
        <v>763</v>
      </c>
      <c r="AI329" s="18" t="s">
        <v>638</v>
      </c>
    </row>
    <row r="330">
      <c r="A330" s="11"/>
      <c r="B330" s="12" t="s">
        <v>34</v>
      </c>
      <c r="C330" s="12" t="s">
        <v>65</v>
      </c>
      <c r="D330" s="12" t="s">
        <v>43</v>
      </c>
      <c r="E330" s="12" t="s">
        <v>717</v>
      </c>
      <c r="F330" s="13" t="s">
        <v>718</v>
      </c>
      <c r="G330" s="12" t="s">
        <v>68</v>
      </c>
      <c r="H330" s="12" t="s">
        <v>719</v>
      </c>
      <c r="I330" s="12" t="s">
        <v>720</v>
      </c>
      <c r="J330" s="17" t="s">
        <v>764</v>
      </c>
      <c r="K330" s="17" t="s">
        <v>764</v>
      </c>
      <c r="L330" s="17" t="s">
        <v>193</v>
      </c>
      <c r="M330" s="17">
        <v>32.0</v>
      </c>
      <c r="N330" s="20">
        <v>45841.0</v>
      </c>
      <c r="O330" s="17" t="s">
        <v>194</v>
      </c>
      <c r="P330" s="16">
        <v>5.0</v>
      </c>
      <c r="Q330" s="16">
        <v>5.0</v>
      </c>
      <c r="R330" s="16">
        <v>4.0</v>
      </c>
      <c r="S330" s="16">
        <v>4.0</v>
      </c>
      <c r="T330" s="16">
        <v>5.0</v>
      </c>
      <c r="U330" s="16">
        <v>4.0</v>
      </c>
      <c r="V330" s="16">
        <v>4.0</v>
      </c>
      <c r="W330" s="16">
        <v>4.0</v>
      </c>
      <c r="X330" s="16">
        <v>4.0</v>
      </c>
      <c r="Y330" s="16">
        <v>4.0</v>
      </c>
      <c r="Z330" s="16">
        <v>5.0</v>
      </c>
      <c r="AA330" s="16">
        <v>5.0</v>
      </c>
      <c r="AB330" s="16">
        <v>5.0</v>
      </c>
      <c r="AC330" s="16">
        <v>4.0</v>
      </c>
      <c r="AD330" s="38">
        <v>13.0</v>
      </c>
      <c r="AE330" s="38">
        <v>14.0</v>
      </c>
      <c r="AF330" s="38">
        <v>18.0</v>
      </c>
      <c r="AG330" s="38" t="s">
        <v>765</v>
      </c>
      <c r="AI330" s="18" t="s">
        <v>638</v>
      </c>
    </row>
    <row r="331">
      <c r="A331" s="11"/>
      <c r="B331" s="12" t="s">
        <v>34</v>
      </c>
      <c r="C331" s="12" t="s">
        <v>65</v>
      </c>
      <c r="D331" s="12" t="s">
        <v>43</v>
      </c>
      <c r="E331" s="12" t="s">
        <v>717</v>
      </c>
      <c r="F331" s="13" t="s">
        <v>718</v>
      </c>
      <c r="G331" s="12" t="s">
        <v>68</v>
      </c>
      <c r="H331" s="12" t="s">
        <v>719</v>
      </c>
      <c r="I331" s="12" t="s">
        <v>720</v>
      </c>
      <c r="J331" s="17" t="s">
        <v>766</v>
      </c>
      <c r="K331" s="17" t="s">
        <v>766</v>
      </c>
      <c r="L331" s="17" t="s">
        <v>193</v>
      </c>
      <c r="M331" s="17">
        <v>31.0</v>
      </c>
      <c r="N331" s="20">
        <v>45841.0</v>
      </c>
      <c r="O331" s="17" t="s">
        <v>194</v>
      </c>
      <c r="P331" s="16">
        <v>4.0</v>
      </c>
      <c r="Q331" s="16">
        <v>4.0</v>
      </c>
      <c r="R331" s="16">
        <v>5.0</v>
      </c>
      <c r="S331" s="16">
        <v>5.0</v>
      </c>
      <c r="T331" s="16">
        <v>5.0</v>
      </c>
      <c r="U331" s="16">
        <v>3.0</v>
      </c>
      <c r="V331" s="16">
        <v>3.0</v>
      </c>
      <c r="W331" s="16">
        <v>5.0</v>
      </c>
      <c r="X331" s="16">
        <v>5.0</v>
      </c>
      <c r="Y331" s="16">
        <v>5.0</v>
      </c>
      <c r="Z331" s="16">
        <v>5.0</v>
      </c>
      <c r="AA331" s="16">
        <v>4.0</v>
      </c>
      <c r="AB331" s="16">
        <v>5.0</v>
      </c>
      <c r="AC331" s="16">
        <v>5.0</v>
      </c>
      <c r="AD331" s="38">
        <v>14.0</v>
      </c>
      <c r="AE331" s="38">
        <v>16.0</v>
      </c>
      <c r="AF331" s="38">
        <v>16.0</v>
      </c>
      <c r="AG331" s="38" t="s">
        <v>767</v>
      </c>
      <c r="AI331" s="18" t="s">
        <v>638</v>
      </c>
    </row>
    <row r="332">
      <c r="A332" s="11"/>
      <c r="B332" s="12" t="s">
        <v>34</v>
      </c>
      <c r="C332" s="12" t="s">
        <v>65</v>
      </c>
      <c r="D332" s="12" t="s">
        <v>43</v>
      </c>
      <c r="E332" s="12" t="s">
        <v>717</v>
      </c>
      <c r="F332" s="13" t="s">
        <v>718</v>
      </c>
      <c r="G332" s="12" t="s">
        <v>68</v>
      </c>
      <c r="H332" s="12" t="s">
        <v>719</v>
      </c>
      <c r="I332" s="12" t="s">
        <v>720</v>
      </c>
      <c r="J332" s="17" t="s">
        <v>768</v>
      </c>
      <c r="K332" s="17" t="s">
        <v>768</v>
      </c>
      <c r="L332" s="17" t="s">
        <v>193</v>
      </c>
      <c r="M332" s="17">
        <v>28.0</v>
      </c>
      <c r="N332" s="20">
        <v>45841.0</v>
      </c>
      <c r="O332" s="17" t="s">
        <v>194</v>
      </c>
      <c r="P332" s="16">
        <v>2.0</v>
      </c>
      <c r="Q332" s="16">
        <v>2.0</v>
      </c>
      <c r="R332" s="16">
        <v>4.0</v>
      </c>
      <c r="S332" s="16">
        <v>4.0</v>
      </c>
      <c r="T332" s="16">
        <v>5.0</v>
      </c>
      <c r="U332" s="16">
        <v>3.0</v>
      </c>
      <c r="V332" s="16">
        <v>3.0</v>
      </c>
      <c r="W332" s="16">
        <v>4.0</v>
      </c>
      <c r="X332" s="16">
        <v>5.0</v>
      </c>
      <c r="Y332" s="16">
        <v>5.0</v>
      </c>
      <c r="Z332" s="16">
        <v>5.0</v>
      </c>
      <c r="AA332" s="16">
        <v>2.0</v>
      </c>
      <c r="AB332" s="16">
        <v>5.0</v>
      </c>
      <c r="AC332" s="16">
        <v>5.0</v>
      </c>
      <c r="AD332" s="38">
        <v>16.0</v>
      </c>
      <c r="AE332" s="38">
        <v>15.0</v>
      </c>
      <c r="AF332" s="38">
        <v>16.0</v>
      </c>
      <c r="AG332" s="38" t="s">
        <v>769</v>
      </c>
      <c r="AI332" s="18" t="s">
        <v>638</v>
      </c>
    </row>
    <row r="333">
      <c r="A333" s="11"/>
      <c r="B333" s="12" t="s">
        <v>34</v>
      </c>
      <c r="C333" s="12" t="s">
        <v>65</v>
      </c>
      <c r="D333" s="12" t="s">
        <v>43</v>
      </c>
      <c r="E333" s="12" t="s">
        <v>717</v>
      </c>
      <c r="F333" s="13" t="s">
        <v>718</v>
      </c>
      <c r="G333" s="12" t="s">
        <v>68</v>
      </c>
      <c r="H333" s="12" t="s">
        <v>719</v>
      </c>
      <c r="I333" s="12" t="s">
        <v>720</v>
      </c>
      <c r="J333" s="17" t="s">
        <v>770</v>
      </c>
      <c r="K333" s="17" t="s">
        <v>770</v>
      </c>
      <c r="L333" s="17" t="s">
        <v>250</v>
      </c>
      <c r="M333" s="17">
        <v>65.0</v>
      </c>
      <c r="N333" s="20">
        <v>45841.0</v>
      </c>
      <c r="O333" s="17" t="s">
        <v>194</v>
      </c>
      <c r="P333" s="16">
        <v>3.0</v>
      </c>
      <c r="Q333" s="16">
        <v>3.0</v>
      </c>
      <c r="R333" s="16">
        <v>4.0</v>
      </c>
      <c r="S333" s="16">
        <v>4.0</v>
      </c>
      <c r="T333" s="16">
        <v>3.0</v>
      </c>
      <c r="U333" s="16">
        <v>3.0</v>
      </c>
      <c r="V333" s="16">
        <v>3.0</v>
      </c>
      <c r="W333" s="16">
        <v>4.0</v>
      </c>
      <c r="X333" s="16">
        <v>3.0</v>
      </c>
      <c r="Y333" s="16">
        <v>3.0</v>
      </c>
      <c r="Z333" s="16">
        <v>3.0</v>
      </c>
      <c r="AA333" s="16">
        <v>3.0</v>
      </c>
      <c r="AB333" s="16">
        <v>3.0</v>
      </c>
      <c r="AC333" s="16">
        <v>3.0</v>
      </c>
      <c r="AD333" s="38">
        <v>15.0</v>
      </c>
      <c r="AE333" s="38">
        <v>15.0</v>
      </c>
      <c r="AF333" s="38">
        <v>12.0</v>
      </c>
      <c r="AG333" s="38" t="s">
        <v>644</v>
      </c>
      <c r="AI333" s="18" t="s">
        <v>638</v>
      </c>
    </row>
    <row r="334">
      <c r="A334" s="11"/>
      <c r="B334" s="12" t="s">
        <v>34</v>
      </c>
      <c r="C334" s="12" t="s">
        <v>65</v>
      </c>
      <c r="D334" s="12" t="s">
        <v>43</v>
      </c>
      <c r="E334" s="12" t="s">
        <v>717</v>
      </c>
      <c r="F334" s="13" t="s">
        <v>718</v>
      </c>
      <c r="G334" s="12" t="s">
        <v>68</v>
      </c>
      <c r="H334" s="12" t="s">
        <v>719</v>
      </c>
      <c r="I334" s="12" t="s">
        <v>720</v>
      </c>
      <c r="J334" s="17" t="s">
        <v>771</v>
      </c>
      <c r="K334" s="17" t="s">
        <v>771</v>
      </c>
      <c r="L334" s="17" t="s">
        <v>193</v>
      </c>
      <c r="M334" s="17" t="s">
        <v>644</v>
      </c>
      <c r="N334" s="20">
        <v>45841.0</v>
      </c>
      <c r="O334" s="17" t="s">
        <v>194</v>
      </c>
      <c r="P334" s="16">
        <v>4.0</v>
      </c>
      <c r="Q334" s="16">
        <v>4.0</v>
      </c>
      <c r="R334" s="16">
        <v>4.0</v>
      </c>
      <c r="S334" s="16">
        <v>4.0</v>
      </c>
      <c r="T334" s="16">
        <v>4.0</v>
      </c>
      <c r="U334" s="16">
        <v>4.0</v>
      </c>
      <c r="V334" s="16">
        <v>4.0</v>
      </c>
      <c r="W334" s="16">
        <v>4.0</v>
      </c>
      <c r="X334" s="16">
        <v>4.0</v>
      </c>
      <c r="Y334" s="16">
        <v>4.0</v>
      </c>
      <c r="Z334" s="16">
        <v>4.0</v>
      </c>
      <c r="AA334" s="16">
        <v>4.0</v>
      </c>
      <c r="AB334" s="16">
        <v>4.0</v>
      </c>
      <c r="AC334" s="16">
        <v>4.0</v>
      </c>
      <c r="AD334" s="38">
        <v>14.0</v>
      </c>
      <c r="AE334" s="38">
        <v>15.0</v>
      </c>
      <c r="AF334" s="38">
        <v>16.0</v>
      </c>
      <c r="AG334" s="38" t="s">
        <v>772</v>
      </c>
      <c r="AI334" s="18" t="s">
        <v>638</v>
      </c>
    </row>
    <row r="335">
      <c r="A335" s="11"/>
      <c r="B335" s="12" t="s">
        <v>34</v>
      </c>
      <c r="C335" s="12" t="s">
        <v>65</v>
      </c>
      <c r="D335" s="12" t="s">
        <v>43</v>
      </c>
      <c r="E335" s="12" t="s">
        <v>773</v>
      </c>
      <c r="F335" s="13" t="s">
        <v>774</v>
      </c>
      <c r="G335" s="12" t="s">
        <v>68</v>
      </c>
      <c r="H335" s="12" t="s">
        <v>775</v>
      </c>
      <c r="I335" s="12" t="s">
        <v>776</v>
      </c>
      <c r="J335" s="17" t="s">
        <v>777</v>
      </c>
      <c r="K335" s="17" t="s">
        <v>777</v>
      </c>
      <c r="L335" s="17" t="s">
        <v>193</v>
      </c>
      <c r="M335" s="17">
        <v>31.0</v>
      </c>
      <c r="N335" s="20">
        <v>45840.0</v>
      </c>
      <c r="O335" s="17" t="s">
        <v>194</v>
      </c>
      <c r="P335" s="16">
        <v>4.0</v>
      </c>
      <c r="Q335" s="16">
        <v>4.0</v>
      </c>
      <c r="R335" s="16">
        <v>3.0</v>
      </c>
      <c r="S335" s="16">
        <v>3.0</v>
      </c>
      <c r="T335" s="16">
        <v>5.0</v>
      </c>
      <c r="U335" s="16">
        <v>4.0</v>
      </c>
      <c r="V335" s="16">
        <v>4.0</v>
      </c>
      <c r="W335" s="16">
        <v>3.0</v>
      </c>
      <c r="X335" s="16">
        <v>5.0</v>
      </c>
      <c r="Y335" s="16">
        <v>5.0</v>
      </c>
      <c r="Z335" s="16">
        <v>5.0</v>
      </c>
      <c r="AA335" s="16">
        <v>4.0</v>
      </c>
      <c r="AB335" s="16">
        <v>5.0</v>
      </c>
      <c r="AC335" s="16">
        <v>5.0</v>
      </c>
      <c r="AD335" s="38">
        <v>14.0</v>
      </c>
      <c r="AE335" s="38">
        <v>14.0</v>
      </c>
      <c r="AF335" s="38">
        <v>18.0</v>
      </c>
      <c r="AG335" s="38" t="s">
        <v>778</v>
      </c>
      <c r="AI335" s="18" t="s">
        <v>638</v>
      </c>
    </row>
    <row r="336">
      <c r="A336" s="11"/>
      <c r="B336" s="12" t="s">
        <v>34</v>
      </c>
      <c r="C336" s="12" t="s">
        <v>65</v>
      </c>
      <c r="D336" s="12" t="s">
        <v>43</v>
      </c>
      <c r="E336" s="12" t="s">
        <v>773</v>
      </c>
      <c r="F336" s="13" t="s">
        <v>774</v>
      </c>
      <c r="G336" s="12" t="s">
        <v>68</v>
      </c>
      <c r="H336" s="12" t="s">
        <v>775</v>
      </c>
      <c r="I336" s="12" t="s">
        <v>776</v>
      </c>
      <c r="J336" s="17" t="s">
        <v>779</v>
      </c>
      <c r="K336" s="17" t="s">
        <v>779</v>
      </c>
      <c r="L336" s="17" t="s">
        <v>222</v>
      </c>
      <c r="M336" s="17">
        <v>54.0</v>
      </c>
      <c r="N336" s="20">
        <v>45840.0</v>
      </c>
      <c r="O336" s="17" t="s">
        <v>194</v>
      </c>
      <c r="P336" s="16">
        <v>4.0</v>
      </c>
      <c r="Q336" s="16">
        <v>4.0</v>
      </c>
      <c r="R336" s="16">
        <v>3.0</v>
      </c>
      <c r="S336" s="16">
        <v>3.0</v>
      </c>
      <c r="T336" s="16">
        <v>5.0</v>
      </c>
      <c r="U336" s="16">
        <v>4.0</v>
      </c>
      <c r="V336" s="16">
        <v>4.0</v>
      </c>
      <c r="W336" s="16">
        <v>3.0</v>
      </c>
      <c r="X336" s="16">
        <v>5.0</v>
      </c>
      <c r="Y336" s="16">
        <v>5.0</v>
      </c>
      <c r="Z336" s="16">
        <v>5.0</v>
      </c>
      <c r="AA336" s="16">
        <v>4.0</v>
      </c>
      <c r="AB336" s="16">
        <v>5.0</v>
      </c>
      <c r="AC336" s="16">
        <v>5.0</v>
      </c>
      <c r="AD336" s="38">
        <v>14.0</v>
      </c>
      <c r="AE336" s="38">
        <v>14.0</v>
      </c>
      <c r="AF336" s="38">
        <v>18.0</v>
      </c>
      <c r="AG336" s="38" t="s">
        <v>780</v>
      </c>
      <c r="AI336" s="18" t="s">
        <v>638</v>
      </c>
    </row>
    <row r="337">
      <c r="A337" s="11"/>
      <c r="B337" s="12" t="s">
        <v>34</v>
      </c>
      <c r="C337" s="12" t="s">
        <v>65</v>
      </c>
      <c r="D337" s="12" t="s">
        <v>43</v>
      </c>
      <c r="E337" s="12" t="s">
        <v>773</v>
      </c>
      <c r="F337" s="13" t="s">
        <v>774</v>
      </c>
      <c r="G337" s="12" t="s">
        <v>68</v>
      </c>
      <c r="H337" s="12" t="s">
        <v>775</v>
      </c>
      <c r="I337" s="12" t="s">
        <v>776</v>
      </c>
      <c r="J337" s="17" t="s">
        <v>781</v>
      </c>
      <c r="K337" s="17" t="s">
        <v>781</v>
      </c>
      <c r="L337" s="17" t="s">
        <v>193</v>
      </c>
      <c r="M337" s="17">
        <v>28.0</v>
      </c>
      <c r="N337" s="20">
        <v>45840.0</v>
      </c>
      <c r="O337" s="17" t="s">
        <v>194</v>
      </c>
      <c r="P337" s="16">
        <v>4.0</v>
      </c>
      <c r="Q337" s="16">
        <v>4.0</v>
      </c>
      <c r="R337" s="16">
        <v>3.0</v>
      </c>
      <c r="S337" s="16">
        <v>3.0</v>
      </c>
      <c r="T337" s="16">
        <v>5.0</v>
      </c>
      <c r="U337" s="16">
        <v>5.0</v>
      </c>
      <c r="V337" s="16">
        <v>5.0</v>
      </c>
      <c r="W337" s="16">
        <v>3.0</v>
      </c>
      <c r="X337" s="16">
        <v>4.0</v>
      </c>
      <c r="Y337" s="16">
        <v>4.0</v>
      </c>
      <c r="Z337" s="16">
        <v>5.0</v>
      </c>
      <c r="AA337" s="16">
        <v>4.0</v>
      </c>
      <c r="AB337" s="16">
        <v>5.0</v>
      </c>
      <c r="AC337" s="16">
        <v>4.0</v>
      </c>
      <c r="AD337" s="38">
        <v>14.0</v>
      </c>
      <c r="AE337" s="38">
        <v>13.0</v>
      </c>
      <c r="AF337" s="38">
        <v>20.0</v>
      </c>
      <c r="AG337" s="38" t="s">
        <v>782</v>
      </c>
      <c r="AI337" s="18" t="s">
        <v>638</v>
      </c>
    </row>
    <row r="338">
      <c r="A338" s="11"/>
      <c r="B338" s="12" t="s">
        <v>34</v>
      </c>
      <c r="C338" s="12" t="s">
        <v>65</v>
      </c>
      <c r="D338" s="12" t="s">
        <v>43</v>
      </c>
      <c r="E338" s="12" t="s">
        <v>773</v>
      </c>
      <c r="F338" s="13" t="s">
        <v>774</v>
      </c>
      <c r="G338" s="12" t="s">
        <v>68</v>
      </c>
      <c r="H338" s="12" t="s">
        <v>775</v>
      </c>
      <c r="I338" s="12" t="s">
        <v>776</v>
      </c>
      <c r="J338" s="17" t="s">
        <v>783</v>
      </c>
      <c r="K338" s="17" t="s">
        <v>783</v>
      </c>
      <c r="L338" s="17" t="s">
        <v>193</v>
      </c>
      <c r="M338" s="17">
        <v>26.0</v>
      </c>
      <c r="N338" s="20">
        <v>45840.0</v>
      </c>
      <c r="O338" s="17" t="s">
        <v>194</v>
      </c>
      <c r="P338" s="16">
        <v>5.0</v>
      </c>
      <c r="Q338" s="16">
        <v>5.0</v>
      </c>
      <c r="R338" s="16">
        <v>3.0</v>
      </c>
      <c r="S338" s="16">
        <v>3.0</v>
      </c>
      <c r="T338" s="16">
        <v>4.0</v>
      </c>
      <c r="U338" s="16">
        <v>3.0</v>
      </c>
      <c r="V338" s="16">
        <v>3.0</v>
      </c>
      <c r="W338" s="16">
        <v>3.0</v>
      </c>
      <c r="X338" s="16">
        <v>4.0</v>
      </c>
      <c r="Y338" s="16">
        <v>4.0</v>
      </c>
      <c r="Z338" s="16">
        <v>4.0</v>
      </c>
      <c r="AA338" s="16">
        <v>5.0</v>
      </c>
      <c r="AB338" s="16">
        <v>4.0</v>
      </c>
      <c r="AC338" s="16">
        <v>4.0</v>
      </c>
      <c r="AD338" s="38">
        <v>13.0</v>
      </c>
      <c r="AE338" s="38">
        <v>14.0</v>
      </c>
      <c r="AF338" s="38">
        <v>14.0</v>
      </c>
      <c r="AG338" s="38" t="s">
        <v>784</v>
      </c>
      <c r="AI338" s="18" t="s">
        <v>638</v>
      </c>
    </row>
    <row r="339">
      <c r="A339" s="11"/>
      <c r="B339" s="12" t="s">
        <v>34</v>
      </c>
      <c r="C339" s="12" t="s">
        <v>65</v>
      </c>
      <c r="D339" s="12" t="s">
        <v>43</v>
      </c>
      <c r="E339" s="12" t="s">
        <v>773</v>
      </c>
      <c r="F339" s="13" t="s">
        <v>774</v>
      </c>
      <c r="G339" s="12" t="s">
        <v>68</v>
      </c>
      <c r="H339" s="12" t="s">
        <v>775</v>
      </c>
      <c r="I339" s="12" t="s">
        <v>776</v>
      </c>
      <c r="J339" s="17" t="s">
        <v>785</v>
      </c>
      <c r="K339" s="17" t="s">
        <v>785</v>
      </c>
      <c r="L339" s="17" t="s">
        <v>193</v>
      </c>
      <c r="M339" s="17">
        <v>29.0</v>
      </c>
      <c r="N339" s="20">
        <v>45840.0</v>
      </c>
      <c r="O339" s="17" t="s">
        <v>194</v>
      </c>
      <c r="P339" s="16">
        <v>5.0</v>
      </c>
      <c r="Q339" s="16">
        <v>5.0</v>
      </c>
      <c r="R339" s="16">
        <v>4.0</v>
      </c>
      <c r="S339" s="16">
        <v>4.0</v>
      </c>
      <c r="T339" s="16">
        <v>5.0</v>
      </c>
      <c r="U339" s="16">
        <v>5.0</v>
      </c>
      <c r="V339" s="16">
        <v>5.0</v>
      </c>
      <c r="W339" s="16">
        <v>4.0</v>
      </c>
      <c r="X339" s="16">
        <v>5.0</v>
      </c>
      <c r="Y339" s="16">
        <v>5.0</v>
      </c>
      <c r="Z339" s="16">
        <v>5.0</v>
      </c>
      <c r="AA339" s="16">
        <v>5.0</v>
      </c>
      <c r="AB339" s="16">
        <v>5.0</v>
      </c>
      <c r="AC339" s="16">
        <v>5.0</v>
      </c>
      <c r="AD339" s="38">
        <v>13.0</v>
      </c>
      <c r="AE339" s="38">
        <v>15.0</v>
      </c>
      <c r="AF339" s="38">
        <v>20.0</v>
      </c>
      <c r="AG339" s="38" t="s">
        <v>786</v>
      </c>
      <c r="AI339" s="18" t="s">
        <v>638</v>
      </c>
    </row>
    <row r="340">
      <c r="A340" s="11"/>
      <c r="B340" s="12" t="s">
        <v>34</v>
      </c>
      <c r="C340" s="12" t="s">
        <v>65</v>
      </c>
      <c r="D340" s="12" t="s">
        <v>43</v>
      </c>
      <c r="E340" s="12" t="s">
        <v>773</v>
      </c>
      <c r="F340" s="13" t="s">
        <v>774</v>
      </c>
      <c r="G340" s="12" t="s">
        <v>68</v>
      </c>
      <c r="H340" s="12" t="s">
        <v>775</v>
      </c>
      <c r="I340" s="12" t="s">
        <v>776</v>
      </c>
      <c r="J340" s="17" t="s">
        <v>787</v>
      </c>
      <c r="K340" s="17" t="s">
        <v>787</v>
      </c>
      <c r="L340" s="17" t="s">
        <v>193</v>
      </c>
      <c r="M340" s="17">
        <v>41.0</v>
      </c>
      <c r="N340" s="20">
        <v>45840.0</v>
      </c>
      <c r="O340" s="17" t="s">
        <v>194</v>
      </c>
      <c r="P340" s="16">
        <v>5.0</v>
      </c>
      <c r="Q340" s="16">
        <v>5.0</v>
      </c>
      <c r="R340" s="16">
        <v>3.0</v>
      </c>
      <c r="S340" s="16">
        <v>3.0</v>
      </c>
      <c r="T340" s="16">
        <v>5.0</v>
      </c>
      <c r="U340" s="16">
        <v>4.0</v>
      </c>
      <c r="V340" s="16">
        <v>4.0</v>
      </c>
      <c r="W340" s="16">
        <v>3.0</v>
      </c>
      <c r="X340" s="16">
        <v>5.0</v>
      </c>
      <c r="Y340" s="16">
        <v>5.0</v>
      </c>
      <c r="Z340" s="16">
        <v>5.0</v>
      </c>
      <c r="AA340" s="16">
        <v>5.0</v>
      </c>
      <c r="AB340" s="16">
        <v>5.0</v>
      </c>
      <c r="AC340" s="16">
        <v>5.0</v>
      </c>
      <c r="AD340" s="38">
        <v>13.0</v>
      </c>
      <c r="AE340" s="38">
        <v>14.0</v>
      </c>
      <c r="AF340" s="38">
        <v>18.0</v>
      </c>
      <c r="AG340" s="38" t="s">
        <v>788</v>
      </c>
      <c r="AI340" s="18" t="s">
        <v>638</v>
      </c>
    </row>
    <row r="341">
      <c r="A341" s="11"/>
      <c r="B341" s="12" t="s">
        <v>34</v>
      </c>
      <c r="C341" s="12" t="s">
        <v>65</v>
      </c>
      <c r="D341" s="12" t="s">
        <v>43</v>
      </c>
      <c r="E341" s="12" t="s">
        <v>773</v>
      </c>
      <c r="F341" s="13" t="s">
        <v>774</v>
      </c>
      <c r="G341" s="12" t="s">
        <v>68</v>
      </c>
      <c r="H341" s="12" t="s">
        <v>775</v>
      </c>
      <c r="I341" s="12" t="s">
        <v>776</v>
      </c>
      <c r="J341" s="17" t="s">
        <v>789</v>
      </c>
      <c r="K341" s="17" t="s">
        <v>789</v>
      </c>
      <c r="L341" s="17" t="s">
        <v>193</v>
      </c>
      <c r="M341" s="17">
        <v>27.0</v>
      </c>
      <c r="N341" s="20">
        <v>45840.0</v>
      </c>
      <c r="O341" s="17" t="s">
        <v>194</v>
      </c>
      <c r="P341" s="16">
        <v>5.0</v>
      </c>
      <c r="Q341" s="16">
        <v>5.0</v>
      </c>
      <c r="R341" s="16">
        <v>3.0</v>
      </c>
      <c r="S341" s="16">
        <v>3.0</v>
      </c>
      <c r="T341" s="16">
        <v>5.0</v>
      </c>
      <c r="U341" s="16">
        <v>3.0</v>
      </c>
      <c r="V341" s="16">
        <v>3.0</v>
      </c>
      <c r="W341" s="16">
        <v>3.0</v>
      </c>
      <c r="X341" s="16">
        <v>5.0</v>
      </c>
      <c r="Y341" s="16">
        <v>5.0</v>
      </c>
      <c r="Z341" s="16">
        <v>5.0</v>
      </c>
      <c r="AA341" s="16">
        <v>5.0</v>
      </c>
      <c r="AB341" s="16">
        <v>5.0</v>
      </c>
      <c r="AC341" s="16">
        <v>5.0</v>
      </c>
      <c r="AD341" s="38">
        <v>13.0</v>
      </c>
      <c r="AE341" s="38">
        <v>14.0</v>
      </c>
      <c r="AF341" s="38">
        <v>16.0</v>
      </c>
      <c r="AG341" s="38" t="s">
        <v>790</v>
      </c>
      <c r="AI341" s="18" t="s">
        <v>638</v>
      </c>
    </row>
    <row r="342">
      <c r="A342" s="11"/>
      <c r="B342" s="12" t="s">
        <v>34</v>
      </c>
      <c r="C342" s="12" t="s">
        <v>65</v>
      </c>
      <c r="D342" s="12" t="s">
        <v>43</v>
      </c>
      <c r="E342" s="12" t="s">
        <v>773</v>
      </c>
      <c r="F342" s="13" t="s">
        <v>774</v>
      </c>
      <c r="G342" s="12" t="s">
        <v>68</v>
      </c>
      <c r="H342" s="12" t="s">
        <v>775</v>
      </c>
      <c r="I342" s="12" t="s">
        <v>776</v>
      </c>
      <c r="J342" s="17" t="s">
        <v>791</v>
      </c>
      <c r="K342" s="17" t="s">
        <v>791</v>
      </c>
      <c r="L342" s="17" t="s">
        <v>193</v>
      </c>
      <c r="M342" s="17">
        <v>24.0</v>
      </c>
      <c r="N342" s="20">
        <v>45840.0</v>
      </c>
      <c r="O342" s="17" t="s">
        <v>194</v>
      </c>
      <c r="P342" s="16">
        <v>5.0</v>
      </c>
      <c r="Q342" s="16">
        <v>5.0</v>
      </c>
      <c r="R342" s="16">
        <v>4.0</v>
      </c>
      <c r="S342" s="16">
        <v>4.0</v>
      </c>
      <c r="T342" s="16">
        <v>5.0</v>
      </c>
      <c r="U342" s="16">
        <v>5.0</v>
      </c>
      <c r="V342" s="16">
        <v>5.0</v>
      </c>
      <c r="W342" s="16">
        <v>4.0</v>
      </c>
      <c r="X342" s="16">
        <v>5.0</v>
      </c>
      <c r="Y342" s="16">
        <v>5.0</v>
      </c>
      <c r="Z342" s="16">
        <v>5.0</v>
      </c>
      <c r="AA342" s="16">
        <v>5.0</v>
      </c>
      <c r="AB342" s="16">
        <v>5.0</v>
      </c>
      <c r="AC342" s="16">
        <v>5.0</v>
      </c>
      <c r="AD342" s="38">
        <v>13.0</v>
      </c>
      <c r="AE342" s="38">
        <v>15.0</v>
      </c>
      <c r="AF342" s="38">
        <v>20.0</v>
      </c>
      <c r="AG342" s="38" t="s">
        <v>792</v>
      </c>
      <c r="AI342" s="18" t="s">
        <v>638</v>
      </c>
    </row>
    <row r="343">
      <c r="A343" s="11"/>
      <c r="B343" s="12" t="s">
        <v>34</v>
      </c>
      <c r="C343" s="12" t="s">
        <v>65</v>
      </c>
      <c r="D343" s="12" t="s">
        <v>43</v>
      </c>
      <c r="E343" s="12" t="s">
        <v>773</v>
      </c>
      <c r="F343" s="13" t="s">
        <v>774</v>
      </c>
      <c r="G343" s="12" t="s">
        <v>68</v>
      </c>
      <c r="H343" s="12" t="s">
        <v>775</v>
      </c>
      <c r="I343" s="12" t="s">
        <v>776</v>
      </c>
      <c r="J343" s="17" t="s">
        <v>793</v>
      </c>
      <c r="K343" s="17" t="s">
        <v>793</v>
      </c>
      <c r="L343" s="17" t="s">
        <v>193</v>
      </c>
      <c r="M343" s="17">
        <v>23.0</v>
      </c>
      <c r="N343" s="20">
        <v>45840.0</v>
      </c>
      <c r="O343" s="17" t="s">
        <v>194</v>
      </c>
      <c r="P343" s="16">
        <v>3.0</v>
      </c>
      <c r="Q343" s="16">
        <v>3.0</v>
      </c>
      <c r="R343" s="16">
        <v>3.0</v>
      </c>
      <c r="S343" s="16">
        <v>3.0</v>
      </c>
      <c r="T343" s="16">
        <v>5.0</v>
      </c>
      <c r="U343" s="16">
        <v>3.0</v>
      </c>
      <c r="V343" s="16">
        <v>3.0</v>
      </c>
      <c r="W343" s="16">
        <v>3.0</v>
      </c>
      <c r="X343" s="16">
        <v>3.0</v>
      </c>
      <c r="Y343" s="16">
        <v>3.0</v>
      </c>
      <c r="Z343" s="16">
        <v>5.0</v>
      </c>
      <c r="AA343" s="16">
        <v>3.0</v>
      </c>
      <c r="AB343" s="16">
        <v>5.0</v>
      </c>
      <c r="AC343" s="16">
        <v>3.0</v>
      </c>
      <c r="AD343" s="38">
        <v>15.0</v>
      </c>
      <c r="AE343" s="38">
        <v>12.0</v>
      </c>
      <c r="AF343" s="38">
        <v>16.0</v>
      </c>
      <c r="AG343" s="38" t="s">
        <v>794</v>
      </c>
      <c r="AI343" s="18" t="s">
        <v>638</v>
      </c>
    </row>
    <row r="344">
      <c r="A344" s="11"/>
      <c r="B344" s="12" t="s">
        <v>34</v>
      </c>
      <c r="C344" s="12" t="s">
        <v>65</v>
      </c>
      <c r="D344" s="12" t="s">
        <v>43</v>
      </c>
      <c r="E344" s="12" t="s">
        <v>773</v>
      </c>
      <c r="F344" s="13" t="s">
        <v>774</v>
      </c>
      <c r="G344" s="12" t="s">
        <v>68</v>
      </c>
      <c r="H344" s="12" t="s">
        <v>775</v>
      </c>
      <c r="I344" s="12" t="s">
        <v>776</v>
      </c>
      <c r="J344" s="17" t="s">
        <v>795</v>
      </c>
      <c r="K344" s="17" t="s">
        <v>795</v>
      </c>
      <c r="L344" s="17" t="s">
        <v>193</v>
      </c>
      <c r="M344" s="17">
        <v>33.0</v>
      </c>
      <c r="N344" s="20">
        <v>45840.0</v>
      </c>
      <c r="O344" s="17" t="s">
        <v>194</v>
      </c>
      <c r="P344" s="16">
        <v>2.0</v>
      </c>
      <c r="Q344" s="16">
        <v>2.0</v>
      </c>
      <c r="R344" s="16">
        <v>3.0</v>
      </c>
      <c r="S344" s="16">
        <v>3.0</v>
      </c>
      <c r="T344" s="16">
        <v>2.0</v>
      </c>
      <c r="U344" s="16">
        <v>5.0</v>
      </c>
      <c r="V344" s="16">
        <v>5.0</v>
      </c>
      <c r="W344" s="16">
        <v>3.0</v>
      </c>
      <c r="X344" s="16">
        <v>5.0</v>
      </c>
      <c r="Y344" s="16">
        <v>5.0</v>
      </c>
      <c r="Z344" s="16">
        <v>2.0</v>
      </c>
      <c r="AA344" s="16">
        <v>2.0</v>
      </c>
      <c r="AB344" s="16">
        <v>2.0</v>
      </c>
      <c r="AC344" s="16">
        <v>5.0</v>
      </c>
      <c r="AD344" s="38">
        <v>16.0</v>
      </c>
      <c r="AE344" s="38">
        <v>17.0</v>
      </c>
      <c r="AF344" s="38">
        <v>14.0</v>
      </c>
      <c r="AG344" s="38" t="s">
        <v>796</v>
      </c>
      <c r="AI344" s="18" t="s">
        <v>638</v>
      </c>
    </row>
    <row r="345">
      <c r="A345" s="11"/>
      <c r="B345" s="12" t="s">
        <v>34</v>
      </c>
      <c r="C345" s="12" t="s">
        <v>65</v>
      </c>
      <c r="D345" s="12" t="s">
        <v>43</v>
      </c>
      <c r="E345" s="12" t="s">
        <v>773</v>
      </c>
      <c r="F345" s="13" t="s">
        <v>774</v>
      </c>
      <c r="G345" s="12" t="s">
        <v>68</v>
      </c>
      <c r="H345" s="12" t="s">
        <v>775</v>
      </c>
      <c r="I345" s="12" t="s">
        <v>776</v>
      </c>
      <c r="J345" s="17" t="s">
        <v>797</v>
      </c>
      <c r="K345" s="17" t="s">
        <v>797</v>
      </c>
      <c r="L345" s="17" t="s">
        <v>193</v>
      </c>
      <c r="M345" s="17">
        <v>22.0</v>
      </c>
      <c r="N345" s="20">
        <v>45840.0</v>
      </c>
      <c r="O345" s="17" t="s">
        <v>194</v>
      </c>
      <c r="P345" s="16">
        <v>4.0</v>
      </c>
      <c r="Q345" s="16">
        <v>4.0</v>
      </c>
      <c r="R345" s="16">
        <v>3.0</v>
      </c>
      <c r="S345" s="16">
        <v>3.0</v>
      </c>
      <c r="T345" s="16">
        <v>4.0</v>
      </c>
      <c r="U345" s="16">
        <v>3.0</v>
      </c>
      <c r="V345" s="16">
        <v>3.0</v>
      </c>
      <c r="W345" s="16">
        <v>3.0</v>
      </c>
      <c r="X345" s="16">
        <v>3.0</v>
      </c>
      <c r="Y345" s="16">
        <v>3.0</v>
      </c>
      <c r="Z345" s="16">
        <v>4.0</v>
      </c>
      <c r="AA345" s="16">
        <v>4.0</v>
      </c>
      <c r="AB345" s="16">
        <v>4.0</v>
      </c>
      <c r="AC345" s="16">
        <v>3.0</v>
      </c>
      <c r="AD345" s="38">
        <v>14.0</v>
      </c>
      <c r="AE345" s="38">
        <v>13.0</v>
      </c>
      <c r="AF345" s="38">
        <v>14.0</v>
      </c>
      <c r="AG345" s="38" t="s">
        <v>798</v>
      </c>
      <c r="AI345" s="18" t="s">
        <v>638</v>
      </c>
    </row>
    <row r="346">
      <c r="A346" s="11"/>
      <c r="B346" s="12" t="s">
        <v>34</v>
      </c>
      <c r="C346" s="12" t="s">
        <v>65</v>
      </c>
      <c r="D346" s="12" t="s">
        <v>43</v>
      </c>
      <c r="E346" s="12" t="s">
        <v>773</v>
      </c>
      <c r="F346" s="13" t="s">
        <v>774</v>
      </c>
      <c r="G346" s="12" t="s">
        <v>68</v>
      </c>
      <c r="H346" s="12" t="s">
        <v>775</v>
      </c>
      <c r="I346" s="12" t="s">
        <v>776</v>
      </c>
      <c r="J346" s="17" t="s">
        <v>799</v>
      </c>
      <c r="K346" s="17" t="s">
        <v>799</v>
      </c>
      <c r="L346" s="17" t="s">
        <v>193</v>
      </c>
      <c r="M346" s="17">
        <v>25.0</v>
      </c>
      <c r="N346" s="20">
        <v>45840.0</v>
      </c>
      <c r="O346" s="17" t="s">
        <v>194</v>
      </c>
      <c r="P346" s="16">
        <v>4.0</v>
      </c>
      <c r="Q346" s="16">
        <v>4.0</v>
      </c>
      <c r="R346" s="16">
        <v>3.0</v>
      </c>
      <c r="S346" s="16">
        <v>3.0</v>
      </c>
      <c r="T346" s="16">
        <v>4.0</v>
      </c>
      <c r="U346" s="16">
        <v>4.0</v>
      </c>
      <c r="V346" s="16">
        <v>4.0</v>
      </c>
      <c r="W346" s="16">
        <v>3.0</v>
      </c>
      <c r="X346" s="16">
        <v>5.0</v>
      </c>
      <c r="Y346" s="16">
        <v>5.0</v>
      </c>
      <c r="Z346" s="16">
        <v>4.0</v>
      </c>
      <c r="AA346" s="16">
        <v>4.0</v>
      </c>
      <c r="AB346" s="16">
        <v>4.0</v>
      </c>
      <c r="AC346" s="16">
        <v>5.0</v>
      </c>
      <c r="AD346" s="38">
        <v>14.0</v>
      </c>
      <c r="AE346" s="38">
        <v>15.0</v>
      </c>
      <c r="AF346" s="38">
        <v>16.0</v>
      </c>
      <c r="AG346" s="38" t="s">
        <v>800</v>
      </c>
      <c r="AI346" s="18" t="s">
        <v>638</v>
      </c>
    </row>
    <row r="347">
      <c r="A347" s="11"/>
      <c r="B347" s="12" t="s">
        <v>7</v>
      </c>
      <c r="C347" s="12" t="s">
        <v>8</v>
      </c>
      <c r="D347" s="12" t="s">
        <v>24</v>
      </c>
      <c r="E347" s="12" t="s">
        <v>29</v>
      </c>
      <c r="F347" s="13" t="s">
        <v>27</v>
      </c>
      <c r="G347" s="12" t="s">
        <v>68</v>
      </c>
      <c r="H347" s="12" t="s">
        <v>801</v>
      </c>
      <c r="I347" s="12" t="s">
        <v>802</v>
      </c>
      <c r="J347" s="17" t="s">
        <v>803</v>
      </c>
      <c r="K347" s="17" t="s">
        <v>803</v>
      </c>
      <c r="L347" s="17" t="s">
        <v>193</v>
      </c>
      <c r="M347" s="17">
        <v>38.0</v>
      </c>
      <c r="N347" s="20">
        <v>45828.0</v>
      </c>
      <c r="O347" s="17" t="s">
        <v>194</v>
      </c>
      <c r="P347" s="16">
        <v>5.0</v>
      </c>
      <c r="Q347" s="16">
        <v>5.0</v>
      </c>
      <c r="R347" s="16">
        <v>5.0</v>
      </c>
      <c r="S347" s="16">
        <v>5.0</v>
      </c>
      <c r="T347" s="16">
        <v>5.0</v>
      </c>
      <c r="U347" s="16">
        <v>3.0</v>
      </c>
      <c r="V347" s="16">
        <v>3.0</v>
      </c>
      <c r="W347" s="16">
        <v>5.0</v>
      </c>
      <c r="X347" s="16">
        <v>4.0</v>
      </c>
      <c r="Y347" s="16">
        <v>4.0</v>
      </c>
      <c r="Z347" s="16">
        <v>5.0</v>
      </c>
      <c r="AA347" s="16">
        <v>5.0</v>
      </c>
      <c r="AB347" s="16">
        <v>5.0</v>
      </c>
      <c r="AC347" s="16">
        <v>4.0</v>
      </c>
      <c r="AD347" s="38">
        <v>13.0</v>
      </c>
      <c r="AE347" s="38">
        <v>15.0</v>
      </c>
      <c r="AF347" s="38">
        <v>16.0</v>
      </c>
      <c r="AG347" s="38" t="s">
        <v>804</v>
      </c>
      <c r="AI347" s="18" t="s">
        <v>577</v>
      </c>
    </row>
    <row r="348">
      <c r="A348" s="11"/>
      <c r="B348" s="12" t="s">
        <v>7</v>
      </c>
      <c r="C348" s="12" t="s">
        <v>8</v>
      </c>
      <c r="D348" s="12" t="s">
        <v>24</v>
      </c>
      <c r="E348" s="12" t="s">
        <v>29</v>
      </c>
      <c r="F348" s="13" t="s">
        <v>27</v>
      </c>
      <c r="G348" s="12" t="s">
        <v>68</v>
      </c>
      <c r="H348" s="12" t="s">
        <v>801</v>
      </c>
      <c r="I348" s="12" t="s">
        <v>802</v>
      </c>
      <c r="J348" s="17" t="s">
        <v>805</v>
      </c>
      <c r="K348" s="17" t="s">
        <v>805</v>
      </c>
      <c r="L348" s="17" t="s">
        <v>222</v>
      </c>
      <c r="M348" s="17">
        <v>45.0</v>
      </c>
      <c r="N348" s="20">
        <v>45828.0</v>
      </c>
      <c r="O348" s="17" t="s">
        <v>194</v>
      </c>
      <c r="P348" s="16">
        <v>4.0</v>
      </c>
      <c r="Q348" s="16">
        <v>4.0</v>
      </c>
      <c r="R348" s="16">
        <v>5.0</v>
      </c>
      <c r="S348" s="16">
        <v>5.0</v>
      </c>
      <c r="T348" s="16">
        <v>5.0</v>
      </c>
      <c r="U348" s="16">
        <v>4.0</v>
      </c>
      <c r="V348" s="16">
        <v>4.0</v>
      </c>
      <c r="W348" s="16">
        <v>5.0</v>
      </c>
      <c r="X348" s="16">
        <v>4.0</v>
      </c>
      <c r="Y348" s="16">
        <v>4.0</v>
      </c>
      <c r="Z348" s="16">
        <v>5.0</v>
      </c>
      <c r="AA348" s="16">
        <v>4.0</v>
      </c>
      <c r="AB348" s="16">
        <v>5.0</v>
      </c>
      <c r="AC348" s="16">
        <v>4.0</v>
      </c>
      <c r="AD348" s="38">
        <v>14.0</v>
      </c>
      <c r="AE348" s="38">
        <v>15.0</v>
      </c>
      <c r="AF348" s="38">
        <v>18.0</v>
      </c>
      <c r="AG348" s="38" t="s">
        <v>806</v>
      </c>
      <c r="AI348" s="18" t="s">
        <v>577</v>
      </c>
    </row>
    <row r="349">
      <c r="A349" s="11"/>
      <c r="B349" s="12" t="s">
        <v>7</v>
      </c>
      <c r="C349" s="12" t="s">
        <v>8</v>
      </c>
      <c r="D349" s="12" t="s">
        <v>24</v>
      </c>
      <c r="E349" s="12" t="s">
        <v>29</v>
      </c>
      <c r="F349" s="13" t="s">
        <v>27</v>
      </c>
      <c r="G349" s="12" t="s">
        <v>68</v>
      </c>
      <c r="H349" s="12" t="s">
        <v>801</v>
      </c>
      <c r="I349" s="12" t="s">
        <v>802</v>
      </c>
      <c r="J349" s="17" t="s">
        <v>807</v>
      </c>
      <c r="K349" s="17" t="s">
        <v>807</v>
      </c>
      <c r="L349" s="17" t="s">
        <v>193</v>
      </c>
      <c r="M349" s="17">
        <v>32.0</v>
      </c>
      <c r="N349" s="20">
        <v>45828.0</v>
      </c>
      <c r="O349" s="17" t="s">
        <v>194</v>
      </c>
      <c r="P349" s="16">
        <v>1.0</v>
      </c>
      <c r="Q349" s="16">
        <v>1.0</v>
      </c>
      <c r="R349" s="16">
        <v>5.0</v>
      </c>
      <c r="S349" s="16">
        <v>5.0</v>
      </c>
      <c r="T349" s="16">
        <v>2.0</v>
      </c>
      <c r="U349" s="16">
        <v>5.0</v>
      </c>
      <c r="V349" s="16">
        <v>5.0</v>
      </c>
      <c r="W349" s="16">
        <v>5.0</v>
      </c>
      <c r="X349" s="16">
        <v>3.0</v>
      </c>
      <c r="Y349" s="16">
        <v>3.0</v>
      </c>
      <c r="Z349" s="16">
        <v>2.0</v>
      </c>
      <c r="AA349" s="16">
        <v>1.0</v>
      </c>
      <c r="AB349" s="16">
        <v>2.0</v>
      </c>
      <c r="AC349" s="16">
        <v>3.0</v>
      </c>
      <c r="AD349" s="38">
        <v>17.0</v>
      </c>
      <c r="AE349" s="38">
        <v>17.0</v>
      </c>
      <c r="AF349" s="38">
        <v>14.0</v>
      </c>
      <c r="AG349" s="38" t="s">
        <v>808</v>
      </c>
      <c r="AI349" s="18" t="s">
        <v>577</v>
      </c>
    </row>
    <row r="350">
      <c r="A350" s="11"/>
      <c r="B350" s="12" t="s">
        <v>7</v>
      </c>
      <c r="C350" s="12" t="s">
        <v>8</v>
      </c>
      <c r="D350" s="12" t="s">
        <v>24</v>
      </c>
      <c r="E350" s="12" t="s">
        <v>29</v>
      </c>
      <c r="F350" s="13" t="s">
        <v>27</v>
      </c>
      <c r="G350" s="12" t="s">
        <v>68</v>
      </c>
      <c r="H350" s="12" t="s">
        <v>801</v>
      </c>
      <c r="I350" s="12" t="s">
        <v>802</v>
      </c>
      <c r="J350" s="17" t="s">
        <v>809</v>
      </c>
      <c r="K350" s="17" t="s">
        <v>809</v>
      </c>
      <c r="L350" s="17" t="s">
        <v>193</v>
      </c>
      <c r="M350" s="17">
        <v>31.0</v>
      </c>
      <c r="N350" s="19">
        <v>45828.0</v>
      </c>
      <c r="O350" s="17" t="s">
        <v>194</v>
      </c>
      <c r="P350" s="16">
        <v>3.0</v>
      </c>
      <c r="Q350" s="16">
        <v>3.0</v>
      </c>
      <c r="R350" s="16">
        <v>2.0</v>
      </c>
      <c r="S350" s="16">
        <v>2.0</v>
      </c>
      <c r="T350" s="16">
        <v>4.0</v>
      </c>
      <c r="U350" s="16">
        <v>2.0</v>
      </c>
      <c r="V350" s="16">
        <v>2.0</v>
      </c>
      <c r="W350" s="16">
        <v>2.0</v>
      </c>
      <c r="X350" s="16">
        <v>3.0</v>
      </c>
      <c r="Y350" s="16">
        <v>3.0</v>
      </c>
      <c r="Z350" s="16">
        <v>4.0</v>
      </c>
      <c r="AA350" s="16">
        <v>3.0</v>
      </c>
      <c r="AB350" s="16">
        <v>4.0</v>
      </c>
      <c r="AC350" s="16">
        <v>3.0</v>
      </c>
      <c r="AD350" s="38">
        <v>15.0</v>
      </c>
      <c r="AE350" s="38">
        <v>12.0</v>
      </c>
      <c r="AF350" s="38">
        <v>12.0</v>
      </c>
      <c r="AG350" s="38" t="s">
        <v>810</v>
      </c>
      <c r="AI350" s="18" t="s">
        <v>577</v>
      </c>
    </row>
    <row r="351">
      <c r="A351" s="11"/>
      <c r="B351" s="12" t="s">
        <v>7</v>
      </c>
      <c r="C351" s="12" t="s">
        <v>8</v>
      </c>
      <c r="D351" s="12" t="s">
        <v>24</v>
      </c>
      <c r="E351" s="12" t="s">
        <v>29</v>
      </c>
      <c r="F351" s="13" t="s">
        <v>27</v>
      </c>
      <c r="G351" s="12" t="s">
        <v>68</v>
      </c>
      <c r="H351" s="12" t="s">
        <v>801</v>
      </c>
      <c r="I351" s="12" t="s">
        <v>802</v>
      </c>
      <c r="J351" s="17" t="s">
        <v>811</v>
      </c>
      <c r="K351" s="17" t="s">
        <v>811</v>
      </c>
      <c r="L351" s="17" t="s">
        <v>193</v>
      </c>
      <c r="M351" s="17">
        <v>37.0</v>
      </c>
      <c r="N351" s="20">
        <v>45828.0</v>
      </c>
      <c r="O351" s="17" t="s">
        <v>194</v>
      </c>
      <c r="P351" s="16">
        <v>5.0</v>
      </c>
      <c r="Q351" s="16">
        <v>5.0</v>
      </c>
      <c r="R351" s="16">
        <v>1.0</v>
      </c>
      <c r="S351" s="16">
        <v>1.0</v>
      </c>
      <c r="T351" s="16">
        <v>5.0</v>
      </c>
      <c r="U351" s="16">
        <v>3.0</v>
      </c>
      <c r="V351" s="16">
        <v>3.0</v>
      </c>
      <c r="W351" s="16">
        <v>1.0</v>
      </c>
      <c r="X351" s="16">
        <v>3.0</v>
      </c>
      <c r="Y351" s="16">
        <v>3.0</v>
      </c>
      <c r="Z351" s="16">
        <v>5.0</v>
      </c>
      <c r="AA351" s="16">
        <v>5.0</v>
      </c>
      <c r="AB351" s="16">
        <v>5.0</v>
      </c>
      <c r="AC351" s="16">
        <v>3.0</v>
      </c>
      <c r="AD351" s="38">
        <v>13.0</v>
      </c>
      <c r="AE351" s="38">
        <v>10.0</v>
      </c>
      <c r="AF351" s="38">
        <v>16.0</v>
      </c>
      <c r="AG351" s="38" t="s">
        <v>812</v>
      </c>
      <c r="AI351" s="18" t="s">
        <v>577</v>
      </c>
    </row>
    <row r="352">
      <c r="A352" s="11"/>
      <c r="B352" s="12" t="s">
        <v>7</v>
      </c>
      <c r="C352" s="12" t="s">
        <v>8</v>
      </c>
      <c r="D352" s="12" t="s">
        <v>24</v>
      </c>
      <c r="E352" s="12" t="s">
        <v>35</v>
      </c>
      <c r="F352" s="13" t="s">
        <v>33</v>
      </c>
      <c r="G352" s="12" t="s">
        <v>68</v>
      </c>
      <c r="H352" s="12" t="s">
        <v>813</v>
      </c>
      <c r="I352" s="12" t="s">
        <v>814</v>
      </c>
      <c r="J352" s="17" t="s">
        <v>815</v>
      </c>
      <c r="K352" s="17" t="s">
        <v>815</v>
      </c>
      <c r="L352" s="17" t="s">
        <v>193</v>
      </c>
      <c r="M352" s="17">
        <v>31.0</v>
      </c>
      <c r="N352" s="20">
        <v>45834.0</v>
      </c>
      <c r="O352" s="17" t="s">
        <v>194</v>
      </c>
      <c r="P352" s="42"/>
      <c r="Q352" s="42"/>
      <c r="R352" s="16">
        <v>5.0</v>
      </c>
      <c r="S352" s="16">
        <v>5.0</v>
      </c>
      <c r="T352" s="16">
        <v>5.0</v>
      </c>
      <c r="U352" s="16">
        <v>5.0</v>
      </c>
      <c r="V352" s="16">
        <v>5.0</v>
      </c>
      <c r="W352" s="16">
        <v>5.0</v>
      </c>
      <c r="X352" s="16">
        <v>5.0</v>
      </c>
      <c r="Y352" s="16">
        <v>5.0</v>
      </c>
      <c r="Z352" s="16">
        <v>5.0</v>
      </c>
      <c r="AA352" s="42"/>
      <c r="AB352" s="16">
        <v>5.0</v>
      </c>
      <c r="AC352" s="16">
        <v>5.0</v>
      </c>
      <c r="AD352" s="38">
        <v>18.0</v>
      </c>
      <c r="AE352" s="38">
        <v>16.0</v>
      </c>
      <c r="AF352" s="38">
        <v>20.0</v>
      </c>
      <c r="AG352" s="38" t="s">
        <v>816</v>
      </c>
      <c r="AH352" s="17" t="s">
        <v>817</v>
      </c>
      <c r="AI352" s="18" t="s">
        <v>577</v>
      </c>
    </row>
    <row r="353">
      <c r="A353" s="11"/>
      <c r="B353" s="12" t="s">
        <v>7</v>
      </c>
      <c r="C353" s="12" t="s">
        <v>8</v>
      </c>
      <c r="D353" s="12" t="s">
        <v>24</v>
      </c>
      <c r="E353" s="12" t="s">
        <v>35</v>
      </c>
      <c r="F353" s="13" t="s">
        <v>33</v>
      </c>
      <c r="G353" s="12" t="s">
        <v>68</v>
      </c>
      <c r="H353" s="12" t="s">
        <v>813</v>
      </c>
      <c r="I353" s="12" t="s">
        <v>814</v>
      </c>
      <c r="J353" s="17" t="s">
        <v>818</v>
      </c>
      <c r="K353" s="17" t="s">
        <v>818</v>
      </c>
      <c r="L353" s="17" t="s">
        <v>193</v>
      </c>
      <c r="M353" s="17">
        <v>40.0</v>
      </c>
      <c r="N353" s="20">
        <v>45834.0</v>
      </c>
      <c r="O353" s="17" t="s">
        <v>194</v>
      </c>
      <c r="P353" s="16">
        <v>4.0</v>
      </c>
      <c r="Q353" s="16">
        <v>4.0</v>
      </c>
      <c r="R353" s="16">
        <v>3.0</v>
      </c>
      <c r="S353" s="16">
        <v>3.0</v>
      </c>
      <c r="T353" s="16">
        <v>4.0</v>
      </c>
      <c r="U353" s="16">
        <v>4.0</v>
      </c>
      <c r="V353" s="16">
        <v>4.0</v>
      </c>
      <c r="W353" s="16">
        <v>3.0</v>
      </c>
      <c r="X353" s="16">
        <v>4.0</v>
      </c>
      <c r="Y353" s="16">
        <v>4.0</v>
      </c>
      <c r="Z353" s="16">
        <v>4.0</v>
      </c>
      <c r="AA353" s="16">
        <v>4.0</v>
      </c>
      <c r="AB353" s="16">
        <v>4.0</v>
      </c>
      <c r="AC353" s="16">
        <v>4.0</v>
      </c>
      <c r="AD353" s="38">
        <v>14.0</v>
      </c>
      <c r="AE353" s="38">
        <v>14.0</v>
      </c>
      <c r="AF353" s="38">
        <v>16.0</v>
      </c>
      <c r="AG353" s="38" t="s">
        <v>819</v>
      </c>
      <c r="AI353" s="18" t="s">
        <v>577</v>
      </c>
    </row>
    <row r="354">
      <c r="A354" s="11"/>
      <c r="B354" s="12" t="s">
        <v>7</v>
      </c>
      <c r="C354" s="12" t="s">
        <v>8</v>
      </c>
      <c r="D354" s="12" t="s">
        <v>24</v>
      </c>
      <c r="E354" s="12" t="s">
        <v>35</v>
      </c>
      <c r="F354" s="13" t="s">
        <v>33</v>
      </c>
      <c r="G354" s="12" t="s">
        <v>68</v>
      </c>
      <c r="H354" s="12" t="s">
        <v>813</v>
      </c>
      <c r="I354" s="12" t="s">
        <v>814</v>
      </c>
      <c r="J354" s="17" t="s">
        <v>820</v>
      </c>
      <c r="K354" s="17" t="s">
        <v>820</v>
      </c>
      <c r="L354" s="17" t="s">
        <v>193</v>
      </c>
      <c r="M354" s="17">
        <v>33.0</v>
      </c>
      <c r="N354" s="20">
        <v>45834.0</v>
      </c>
      <c r="O354" s="17" t="s">
        <v>194</v>
      </c>
      <c r="P354" s="16">
        <v>3.0</v>
      </c>
      <c r="Q354" s="16">
        <v>3.0</v>
      </c>
      <c r="R354" s="16">
        <v>3.0</v>
      </c>
      <c r="S354" s="16">
        <v>3.0</v>
      </c>
      <c r="T354" s="16">
        <v>4.0</v>
      </c>
      <c r="U354" s="16">
        <v>4.0</v>
      </c>
      <c r="V354" s="16">
        <v>4.0</v>
      </c>
      <c r="W354" s="16">
        <v>3.0</v>
      </c>
      <c r="X354" s="16">
        <v>5.0</v>
      </c>
      <c r="Y354" s="16">
        <v>5.0</v>
      </c>
      <c r="Z354" s="16">
        <v>4.0</v>
      </c>
      <c r="AA354" s="16">
        <v>3.0</v>
      </c>
      <c r="AB354" s="16">
        <v>4.0</v>
      </c>
      <c r="AC354" s="16">
        <v>5.0</v>
      </c>
      <c r="AD354" s="38">
        <v>15.0</v>
      </c>
      <c r="AE354" s="38">
        <v>15.0</v>
      </c>
      <c r="AF354" s="38">
        <v>16.0</v>
      </c>
      <c r="AG354" s="38" t="s">
        <v>821</v>
      </c>
      <c r="AI354" s="18" t="s">
        <v>577</v>
      </c>
    </row>
    <row r="355">
      <c r="A355" s="11"/>
      <c r="B355" s="12" t="s">
        <v>7</v>
      </c>
      <c r="C355" s="12" t="s">
        <v>8</v>
      </c>
      <c r="D355" s="12" t="s">
        <v>24</v>
      </c>
      <c r="E355" s="12" t="s">
        <v>35</v>
      </c>
      <c r="F355" s="13" t="s">
        <v>33</v>
      </c>
      <c r="G355" s="12" t="s">
        <v>68</v>
      </c>
      <c r="H355" s="12" t="s">
        <v>813</v>
      </c>
      <c r="I355" s="12" t="s">
        <v>814</v>
      </c>
      <c r="J355" s="17" t="s">
        <v>822</v>
      </c>
      <c r="K355" s="17" t="s">
        <v>822</v>
      </c>
      <c r="L355" s="17" t="s">
        <v>193</v>
      </c>
      <c r="M355" s="17">
        <v>23.0</v>
      </c>
      <c r="N355" s="20">
        <v>45834.0</v>
      </c>
      <c r="O355" s="17" t="s">
        <v>194</v>
      </c>
      <c r="P355" s="16">
        <v>4.0</v>
      </c>
      <c r="Q355" s="16">
        <v>4.0</v>
      </c>
      <c r="R355" s="16">
        <v>4.0</v>
      </c>
      <c r="S355" s="16">
        <v>4.0</v>
      </c>
      <c r="T355" s="16">
        <v>4.0</v>
      </c>
      <c r="U355" s="16">
        <v>4.0</v>
      </c>
      <c r="V355" s="16">
        <v>4.0</v>
      </c>
      <c r="W355" s="16">
        <v>4.0</v>
      </c>
      <c r="X355" s="16">
        <v>4.0</v>
      </c>
      <c r="Y355" s="16">
        <v>4.0</v>
      </c>
      <c r="Z355" s="16">
        <v>4.0</v>
      </c>
      <c r="AA355" s="16">
        <v>4.0</v>
      </c>
      <c r="AB355" s="16">
        <v>4.0</v>
      </c>
      <c r="AC355" s="16">
        <v>4.0</v>
      </c>
      <c r="AD355" s="38">
        <v>14.0</v>
      </c>
      <c r="AE355" s="38">
        <v>15.0</v>
      </c>
      <c r="AF355" s="38">
        <v>16.0</v>
      </c>
      <c r="AG355" s="38" t="s">
        <v>823</v>
      </c>
      <c r="AI355" s="18" t="s">
        <v>577</v>
      </c>
    </row>
    <row r="356">
      <c r="A356" s="11"/>
      <c r="B356" s="12" t="s">
        <v>7</v>
      </c>
      <c r="C356" s="12" t="s">
        <v>8</v>
      </c>
      <c r="D356" s="12" t="s">
        <v>24</v>
      </c>
      <c r="E356" s="12" t="s">
        <v>35</v>
      </c>
      <c r="F356" s="13" t="s">
        <v>33</v>
      </c>
      <c r="G356" s="12" t="s">
        <v>68</v>
      </c>
      <c r="H356" s="12" t="s">
        <v>813</v>
      </c>
      <c r="I356" s="12" t="s">
        <v>814</v>
      </c>
      <c r="J356" s="17" t="s">
        <v>824</v>
      </c>
      <c r="K356" s="17" t="s">
        <v>824</v>
      </c>
      <c r="L356" s="17" t="s">
        <v>193</v>
      </c>
      <c r="M356" s="17">
        <v>36.0</v>
      </c>
      <c r="N356" s="20">
        <v>45834.0</v>
      </c>
      <c r="O356" s="17" t="s">
        <v>194</v>
      </c>
      <c r="P356" s="16">
        <v>4.0</v>
      </c>
      <c r="Q356" s="16">
        <v>4.0</v>
      </c>
      <c r="R356" s="16">
        <v>4.0</v>
      </c>
      <c r="S356" s="16">
        <v>4.0</v>
      </c>
      <c r="T356" s="16">
        <v>5.0</v>
      </c>
      <c r="U356" s="16">
        <v>5.0</v>
      </c>
      <c r="V356" s="16">
        <v>5.0</v>
      </c>
      <c r="W356" s="16">
        <v>4.0</v>
      </c>
      <c r="X356" s="16">
        <v>4.0</v>
      </c>
      <c r="Y356" s="16">
        <v>4.0</v>
      </c>
      <c r="Z356" s="16">
        <v>5.0</v>
      </c>
      <c r="AA356" s="16">
        <v>4.0</v>
      </c>
      <c r="AB356" s="16">
        <v>5.0</v>
      </c>
      <c r="AC356" s="16">
        <v>4.0</v>
      </c>
      <c r="AD356" s="38">
        <v>14.0</v>
      </c>
      <c r="AE356" s="38">
        <v>14.0</v>
      </c>
      <c r="AF356" s="38">
        <v>20.0</v>
      </c>
      <c r="AG356" s="38" t="s">
        <v>825</v>
      </c>
      <c r="AI356" s="18" t="s">
        <v>577</v>
      </c>
    </row>
    <row r="357">
      <c r="A357" s="11"/>
      <c r="B357" s="12" t="s">
        <v>7</v>
      </c>
      <c r="C357" s="12" t="s">
        <v>8</v>
      </c>
      <c r="D357" s="12" t="s">
        <v>24</v>
      </c>
      <c r="E357" s="12" t="s">
        <v>35</v>
      </c>
      <c r="F357" s="13" t="s">
        <v>33</v>
      </c>
      <c r="G357" s="12" t="s">
        <v>68</v>
      </c>
      <c r="H357" s="12" t="s">
        <v>813</v>
      </c>
      <c r="I357" s="12" t="s">
        <v>814</v>
      </c>
      <c r="J357" s="17" t="s">
        <v>826</v>
      </c>
      <c r="K357" s="17" t="s">
        <v>826</v>
      </c>
      <c r="L357" s="17" t="s">
        <v>193</v>
      </c>
      <c r="M357" s="17">
        <v>20.0</v>
      </c>
      <c r="N357" s="20">
        <v>45834.0</v>
      </c>
      <c r="O357" s="17" t="s">
        <v>194</v>
      </c>
      <c r="P357" s="16">
        <v>4.0</v>
      </c>
      <c r="Q357" s="16">
        <v>4.0</v>
      </c>
      <c r="R357" s="16">
        <v>3.0</v>
      </c>
      <c r="S357" s="16">
        <v>3.0</v>
      </c>
      <c r="T357" s="16">
        <v>5.0</v>
      </c>
      <c r="U357" s="16">
        <v>5.0</v>
      </c>
      <c r="V357" s="16">
        <v>5.0</v>
      </c>
      <c r="W357" s="16">
        <v>3.0</v>
      </c>
      <c r="X357" s="16">
        <v>5.0</v>
      </c>
      <c r="Y357" s="16">
        <v>5.0</v>
      </c>
      <c r="Z357" s="16">
        <v>5.0</v>
      </c>
      <c r="AA357" s="16">
        <v>4.0</v>
      </c>
      <c r="AB357" s="16">
        <v>5.0</v>
      </c>
      <c r="AC357" s="16">
        <v>5.0</v>
      </c>
      <c r="AD357" s="38">
        <v>14.0</v>
      </c>
      <c r="AE357" s="38">
        <v>14.0</v>
      </c>
      <c r="AF357" s="38">
        <v>20.0</v>
      </c>
      <c r="AG357" s="38" t="s">
        <v>827</v>
      </c>
      <c r="AI357" s="18" t="s">
        <v>577</v>
      </c>
    </row>
    <row r="358">
      <c r="A358" s="11"/>
      <c r="B358" s="12" t="s">
        <v>7</v>
      </c>
      <c r="C358" s="12" t="s">
        <v>8</v>
      </c>
      <c r="D358" s="12" t="s">
        <v>24</v>
      </c>
      <c r="E358" s="12" t="s">
        <v>35</v>
      </c>
      <c r="F358" s="13" t="s">
        <v>33</v>
      </c>
      <c r="G358" s="12" t="s">
        <v>68</v>
      </c>
      <c r="H358" s="12" t="s">
        <v>813</v>
      </c>
      <c r="I358" s="12" t="s">
        <v>814</v>
      </c>
      <c r="J358" s="17" t="s">
        <v>828</v>
      </c>
      <c r="K358" s="17" t="s">
        <v>828</v>
      </c>
      <c r="L358" s="17" t="s">
        <v>193</v>
      </c>
      <c r="M358" s="17">
        <v>34.0</v>
      </c>
      <c r="N358" s="20">
        <v>45834.0</v>
      </c>
      <c r="O358" s="17" t="s">
        <v>194</v>
      </c>
      <c r="P358" s="16">
        <v>4.0</v>
      </c>
      <c r="Q358" s="16">
        <v>4.0</v>
      </c>
      <c r="R358" s="16">
        <v>4.0</v>
      </c>
      <c r="S358" s="16">
        <v>4.0</v>
      </c>
      <c r="T358" s="16">
        <v>4.0</v>
      </c>
      <c r="U358" s="16">
        <v>3.0</v>
      </c>
      <c r="V358" s="16">
        <v>3.0</v>
      </c>
      <c r="W358" s="16">
        <v>4.0</v>
      </c>
      <c r="X358" s="16">
        <v>3.0</v>
      </c>
      <c r="Y358" s="16">
        <v>3.0</v>
      </c>
      <c r="Z358" s="16">
        <v>4.0</v>
      </c>
      <c r="AA358" s="16">
        <v>4.0</v>
      </c>
      <c r="AB358" s="16">
        <v>4.0</v>
      </c>
      <c r="AC358" s="16">
        <v>3.0</v>
      </c>
      <c r="AD358" s="38">
        <v>14.0</v>
      </c>
      <c r="AE358" s="38">
        <v>14.0</v>
      </c>
      <c r="AF358" s="38">
        <v>14.0</v>
      </c>
      <c r="AG358" s="38" t="s">
        <v>829</v>
      </c>
      <c r="AI358" s="18" t="s">
        <v>577</v>
      </c>
    </row>
    <row r="359">
      <c r="A359" s="11"/>
      <c r="B359" s="12" t="s">
        <v>7</v>
      </c>
      <c r="C359" s="12" t="s">
        <v>37</v>
      </c>
      <c r="D359" s="12" t="s">
        <v>38</v>
      </c>
      <c r="E359" s="12" t="s">
        <v>45</v>
      </c>
      <c r="F359" s="13" t="s">
        <v>44</v>
      </c>
      <c r="G359" s="12" t="s">
        <v>68</v>
      </c>
      <c r="H359" s="12" t="s">
        <v>830</v>
      </c>
      <c r="I359" s="12" t="s">
        <v>831</v>
      </c>
      <c r="J359" s="17" t="s">
        <v>832</v>
      </c>
      <c r="K359" s="17" t="s">
        <v>832</v>
      </c>
      <c r="L359" s="17" t="s">
        <v>193</v>
      </c>
      <c r="M359" s="17">
        <v>34.0</v>
      </c>
      <c r="N359" s="20">
        <v>45854.0</v>
      </c>
      <c r="O359" s="17" t="s">
        <v>194</v>
      </c>
      <c r="P359" s="16">
        <v>4.0</v>
      </c>
      <c r="Q359" s="16">
        <v>4.0</v>
      </c>
      <c r="R359" s="16">
        <v>4.0</v>
      </c>
      <c r="S359" s="16">
        <v>4.0</v>
      </c>
      <c r="T359" s="16">
        <v>5.0</v>
      </c>
      <c r="U359" s="16">
        <v>4.0</v>
      </c>
      <c r="V359" s="16">
        <v>4.0</v>
      </c>
      <c r="W359" s="16">
        <v>4.0</v>
      </c>
      <c r="X359" s="16">
        <v>5.0</v>
      </c>
      <c r="Y359" s="16">
        <v>5.0</v>
      </c>
      <c r="Z359" s="16">
        <v>5.0</v>
      </c>
      <c r="AA359" s="16">
        <v>4.0</v>
      </c>
      <c r="AB359" s="16">
        <v>5.0</v>
      </c>
      <c r="AC359" s="16">
        <v>5.0</v>
      </c>
      <c r="AD359" s="38">
        <v>14.0</v>
      </c>
      <c r="AE359" s="38">
        <v>15.0</v>
      </c>
      <c r="AF359" s="38">
        <v>18.0</v>
      </c>
      <c r="AG359" s="38" t="s">
        <v>833</v>
      </c>
      <c r="AI359" s="18" t="s">
        <v>577</v>
      </c>
    </row>
    <row r="360">
      <c r="A360" s="11"/>
      <c r="B360" s="12" t="s">
        <v>7</v>
      </c>
      <c r="C360" s="12" t="s">
        <v>37</v>
      </c>
      <c r="D360" s="12" t="s">
        <v>38</v>
      </c>
      <c r="E360" s="12" t="s">
        <v>45</v>
      </c>
      <c r="F360" s="13" t="s">
        <v>44</v>
      </c>
      <c r="G360" s="12" t="s">
        <v>68</v>
      </c>
      <c r="H360" s="12" t="s">
        <v>830</v>
      </c>
      <c r="I360" s="12" t="s">
        <v>831</v>
      </c>
      <c r="J360" s="17" t="s">
        <v>834</v>
      </c>
      <c r="K360" s="17" t="s">
        <v>834</v>
      </c>
      <c r="L360" s="17" t="s">
        <v>193</v>
      </c>
      <c r="M360" s="17">
        <v>25.0</v>
      </c>
      <c r="N360" s="20">
        <v>45854.0</v>
      </c>
      <c r="O360" s="17" t="s">
        <v>194</v>
      </c>
      <c r="P360" s="16">
        <v>4.0</v>
      </c>
      <c r="Q360" s="16">
        <v>4.0</v>
      </c>
      <c r="R360" s="16">
        <v>4.0</v>
      </c>
      <c r="S360" s="16">
        <v>4.0</v>
      </c>
      <c r="T360" s="16">
        <v>5.0</v>
      </c>
      <c r="U360" s="16">
        <v>4.0</v>
      </c>
      <c r="V360" s="16">
        <v>4.0</v>
      </c>
      <c r="W360" s="16">
        <v>4.0</v>
      </c>
      <c r="X360" s="16">
        <v>4.0</v>
      </c>
      <c r="Y360" s="16">
        <v>4.0</v>
      </c>
      <c r="Z360" s="16">
        <v>5.0</v>
      </c>
      <c r="AA360" s="16">
        <v>4.0</v>
      </c>
      <c r="AB360" s="16">
        <v>5.0</v>
      </c>
      <c r="AC360" s="16">
        <v>4.0</v>
      </c>
      <c r="AD360" s="38">
        <v>14.0</v>
      </c>
      <c r="AE360" s="38">
        <v>14.0</v>
      </c>
      <c r="AF360" s="38">
        <v>18.0</v>
      </c>
      <c r="AG360" s="38" t="s">
        <v>835</v>
      </c>
      <c r="AI360" s="18" t="s">
        <v>577</v>
      </c>
    </row>
    <row r="361">
      <c r="A361" s="11"/>
      <c r="B361" s="12" t="s">
        <v>7</v>
      </c>
      <c r="C361" s="12" t="s">
        <v>37</v>
      </c>
      <c r="D361" s="12" t="s">
        <v>38</v>
      </c>
      <c r="E361" s="12" t="s">
        <v>45</v>
      </c>
      <c r="F361" s="13" t="s">
        <v>44</v>
      </c>
      <c r="G361" s="12" t="s">
        <v>68</v>
      </c>
      <c r="H361" s="12" t="s">
        <v>830</v>
      </c>
      <c r="I361" s="12" t="s">
        <v>831</v>
      </c>
      <c r="J361" s="17" t="s">
        <v>836</v>
      </c>
      <c r="K361" s="17" t="s">
        <v>836</v>
      </c>
      <c r="L361" s="17" t="s">
        <v>193</v>
      </c>
      <c r="N361" s="20">
        <v>45854.0</v>
      </c>
      <c r="O361" s="17" t="s">
        <v>194</v>
      </c>
      <c r="P361" s="16">
        <v>2.0</v>
      </c>
      <c r="Q361" s="16">
        <v>2.0</v>
      </c>
      <c r="R361" s="16">
        <v>4.0</v>
      </c>
      <c r="S361" s="16">
        <v>4.0</v>
      </c>
      <c r="T361" s="16">
        <v>5.0</v>
      </c>
      <c r="U361" s="16">
        <v>5.0</v>
      </c>
      <c r="V361" s="16">
        <v>5.0</v>
      </c>
      <c r="W361" s="16">
        <v>4.0</v>
      </c>
      <c r="X361" s="16">
        <v>5.0</v>
      </c>
      <c r="Y361" s="16">
        <v>5.0</v>
      </c>
      <c r="Z361" s="16">
        <v>5.0</v>
      </c>
      <c r="AA361" s="16">
        <v>2.0</v>
      </c>
      <c r="AB361" s="16">
        <v>5.0</v>
      </c>
      <c r="AC361" s="16">
        <v>5.0</v>
      </c>
      <c r="AD361" s="38">
        <v>16.0</v>
      </c>
      <c r="AE361" s="38">
        <v>15.0</v>
      </c>
      <c r="AF361" s="38">
        <v>20.0</v>
      </c>
      <c r="AG361" s="38" t="s">
        <v>837</v>
      </c>
      <c r="AI361" s="18" t="s">
        <v>577</v>
      </c>
    </row>
    <row r="362">
      <c r="A362" s="11"/>
      <c r="B362" s="12" t="s">
        <v>7</v>
      </c>
      <c r="C362" s="12" t="s">
        <v>37</v>
      </c>
      <c r="D362" s="12" t="s">
        <v>38</v>
      </c>
      <c r="E362" s="12" t="s">
        <v>45</v>
      </c>
      <c r="F362" s="13" t="s">
        <v>44</v>
      </c>
      <c r="G362" s="12" t="s">
        <v>68</v>
      </c>
      <c r="H362" s="12" t="s">
        <v>830</v>
      </c>
      <c r="I362" s="12" t="s">
        <v>831</v>
      </c>
      <c r="J362" s="17" t="s">
        <v>838</v>
      </c>
      <c r="K362" s="17" t="s">
        <v>838</v>
      </c>
      <c r="L362" s="17" t="s">
        <v>193</v>
      </c>
      <c r="N362" s="20">
        <v>45854.0</v>
      </c>
      <c r="O362" s="17" t="s">
        <v>194</v>
      </c>
      <c r="P362" s="16">
        <v>5.0</v>
      </c>
      <c r="Q362" s="16">
        <v>5.0</v>
      </c>
      <c r="R362" s="16">
        <v>5.0</v>
      </c>
      <c r="S362" s="16">
        <v>5.0</v>
      </c>
      <c r="T362" s="16">
        <v>5.0</v>
      </c>
      <c r="U362" s="16">
        <v>3.0</v>
      </c>
      <c r="V362" s="16">
        <v>3.0</v>
      </c>
      <c r="W362" s="16">
        <v>5.0</v>
      </c>
      <c r="X362" s="16">
        <v>5.0</v>
      </c>
      <c r="Y362" s="16">
        <v>5.0</v>
      </c>
      <c r="Z362" s="16">
        <v>5.0</v>
      </c>
      <c r="AA362" s="16">
        <v>5.0</v>
      </c>
      <c r="AB362" s="16">
        <v>5.0</v>
      </c>
      <c r="AC362" s="16">
        <v>5.0</v>
      </c>
      <c r="AD362" s="38">
        <v>13.0</v>
      </c>
      <c r="AE362" s="38">
        <v>16.0</v>
      </c>
      <c r="AF362" s="38">
        <v>16.0</v>
      </c>
      <c r="AG362" s="38" t="s">
        <v>839</v>
      </c>
      <c r="AH362" s="17" t="s">
        <v>840</v>
      </c>
      <c r="AI362" s="18" t="s">
        <v>577</v>
      </c>
    </row>
    <row r="363">
      <c r="A363" s="11"/>
      <c r="B363" s="12" t="s">
        <v>7</v>
      </c>
      <c r="C363" s="12" t="s">
        <v>37</v>
      </c>
      <c r="D363" s="12" t="s">
        <v>38</v>
      </c>
      <c r="E363" s="12" t="s">
        <v>45</v>
      </c>
      <c r="F363" s="13" t="s">
        <v>44</v>
      </c>
      <c r="G363" s="12" t="s">
        <v>68</v>
      </c>
      <c r="H363" s="12" t="s">
        <v>830</v>
      </c>
      <c r="I363" s="12" t="s">
        <v>831</v>
      </c>
      <c r="J363" s="17" t="s">
        <v>841</v>
      </c>
      <c r="K363" s="17" t="s">
        <v>841</v>
      </c>
      <c r="L363" s="17" t="s">
        <v>193</v>
      </c>
      <c r="N363" s="20">
        <v>45854.0</v>
      </c>
      <c r="O363" s="17" t="s">
        <v>194</v>
      </c>
      <c r="P363" s="16">
        <v>5.0</v>
      </c>
      <c r="Q363" s="16">
        <v>5.0</v>
      </c>
      <c r="R363" s="16">
        <v>3.0</v>
      </c>
      <c r="S363" s="16">
        <v>3.0</v>
      </c>
      <c r="T363" s="16">
        <v>5.0</v>
      </c>
      <c r="U363" s="16">
        <v>5.0</v>
      </c>
      <c r="V363" s="16">
        <v>5.0</v>
      </c>
      <c r="W363" s="16">
        <v>3.0</v>
      </c>
      <c r="X363" s="16">
        <v>3.0</v>
      </c>
      <c r="Y363" s="16">
        <v>3.0</v>
      </c>
      <c r="Z363" s="16">
        <v>5.0</v>
      </c>
      <c r="AA363" s="16">
        <v>5.0</v>
      </c>
      <c r="AB363" s="16">
        <v>5.0</v>
      </c>
      <c r="AC363" s="16">
        <v>3.0</v>
      </c>
      <c r="AD363" s="38">
        <v>13.0</v>
      </c>
      <c r="AE363" s="38">
        <v>12.0</v>
      </c>
      <c r="AF363" s="38">
        <v>20.0</v>
      </c>
      <c r="AG363" s="38" t="s">
        <v>842</v>
      </c>
      <c r="AH363" s="17" t="s">
        <v>840</v>
      </c>
      <c r="AI363" s="18" t="s">
        <v>577</v>
      </c>
    </row>
    <row r="364">
      <c r="A364" s="11"/>
      <c r="B364" s="12" t="s">
        <v>7</v>
      </c>
      <c r="C364" s="12" t="s">
        <v>37</v>
      </c>
      <c r="D364" s="12" t="s">
        <v>38</v>
      </c>
      <c r="E364" s="12" t="s">
        <v>45</v>
      </c>
      <c r="F364" s="13" t="s">
        <v>44</v>
      </c>
      <c r="G364" s="12" t="s">
        <v>68</v>
      </c>
      <c r="H364" s="12" t="s">
        <v>830</v>
      </c>
      <c r="I364" s="12" t="s">
        <v>831</v>
      </c>
      <c r="J364" s="17" t="s">
        <v>843</v>
      </c>
      <c r="K364" s="17" t="s">
        <v>843</v>
      </c>
      <c r="L364" s="17" t="s">
        <v>193</v>
      </c>
      <c r="N364" s="20">
        <v>45854.0</v>
      </c>
      <c r="O364" s="17" t="s">
        <v>194</v>
      </c>
      <c r="P364" s="42"/>
      <c r="Q364" s="42"/>
      <c r="R364" s="42"/>
      <c r="S364" s="42"/>
      <c r="T364" s="42"/>
      <c r="U364" s="16">
        <v>5.0</v>
      </c>
      <c r="V364" s="16">
        <v>5.0</v>
      </c>
      <c r="W364" s="42"/>
      <c r="X364" s="16">
        <v>5.0</v>
      </c>
      <c r="Y364" s="16">
        <v>5.0</v>
      </c>
      <c r="Z364" s="42"/>
      <c r="AA364" s="42"/>
      <c r="AB364" s="42"/>
      <c r="AC364" s="16">
        <v>5.0</v>
      </c>
      <c r="AD364" s="38">
        <v>18.0</v>
      </c>
      <c r="AE364" s="38">
        <v>16.0</v>
      </c>
      <c r="AF364" s="38">
        <v>10.0</v>
      </c>
      <c r="AG364" s="38" t="s">
        <v>844</v>
      </c>
      <c r="AH364" s="17" t="s">
        <v>845</v>
      </c>
      <c r="AI364" s="18" t="s">
        <v>577</v>
      </c>
    </row>
    <row r="365">
      <c r="A365" s="11"/>
      <c r="B365" s="12" t="s">
        <v>7</v>
      </c>
      <c r="C365" s="12" t="s">
        <v>37</v>
      </c>
      <c r="D365" s="12" t="s">
        <v>38</v>
      </c>
      <c r="E365" s="12" t="s">
        <v>45</v>
      </c>
      <c r="F365" s="13" t="s">
        <v>44</v>
      </c>
      <c r="G365" s="12" t="s">
        <v>68</v>
      </c>
      <c r="H365" s="12" t="s">
        <v>830</v>
      </c>
      <c r="I365" s="12" t="s">
        <v>831</v>
      </c>
      <c r="J365" s="17" t="s">
        <v>846</v>
      </c>
      <c r="K365" s="17" t="s">
        <v>846</v>
      </c>
      <c r="L365" s="17" t="s">
        <v>193</v>
      </c>
      <c r="N365" s="20">
        <v>45854.0</v>
      </c>
      <c r="O365" s="17" t="s">
        <v>194</v>
      </c>
      <c r="P365" s="16">
        <v>4.0</v>
      </c>
      <c r="Q365" s="16">
        <v>4.0</v>
      </c>
      <c r="R365" s="16">
        <v>4.0</v>
      </c>
      <c r="S365" s="16">
        <v>4.0</v>
      </c>
      <c r="T365" s="16">
        <v>4.0</v>
      </c>
      <c r="U365" s="16">
        <v>4.0</v>
      </c>
      <c r="V365" s="16">
        <v>4.0</v>
      </c>
      <c r="W365" s="16">
        <v>4.0</v>
      </c>
      <c r="X365" s="16">
        <v>5.0</v>
      </c>
      <c r="Y365" s="16">
        <v>5.0</v>
      </c>
      <c r="Z365" s="16">
        <v>4.0</v>
      </c>
      <c r="AA365" s="16">
        <v>4.0</v>
      </c>
      <c r="AB365" s="16">
        <v>4.0</v>
      </c>
      <c r="AC365" s="16">
        <v>5.0</v>
      </c>
      <c r="AD365" s="38">
        <v>14.0</v>
      </c>
      <c r="AE365" s="38">
        <v>16.0</v>
      </c>
      <c r="AF365" s="38">
        <v>16.0</v>
      </c>
      <c r="AG365" s="38" t="s">
        <v>847</v>
      </c>
      <c r="AI365" s="18" t="s">
        <v>577</v>
      </c>
    </row>
    <row r="366">
      <c r="A366" s="11"/>
      <c r="B366" s="12" t="s">
        <v>7</v>
      </c>
      <c r="C366" s="12" t="s">
        <v>37</v>
      </c>
      <c r="D366" s="12" t="s">
        <v>38</v>
      </c>
      <c r="E366" s="12" t="s">
        <v>45</v>
      </c>
      <c r="F366" s="13" t="s">
        <v>44</v>
      </c>
      <c r="G366" s="12" t="s">
        <v>68</v>
      </c>
      <c r="H366" s="12" t="s">
        <v>830</v>
      </c>
      <c r="I366" s="12" t="s">
        <v>831</v>
      </c>
      <c r="J366" s="17" t="s">
        <v>848</v>
      </c>
      <c r="K366" s="17" t="s">
        <v>848</v>
      </c>
      <c r="L366" s="17" t="s">
        <v>193</v>
      </c>
      <c r="N366" s="20">
        <v>45854.0</v>
      </c>
      <c r="O366" s="17" t="s">
        <v>194</v>
      </c>
      <c r="P366" s="16">
        <v>4.0</v>
      </c>
      <c r="Q366" s="16">
        <v>4.0</v>
      </c>
      <c r="R366" s="16">
        <v>4.0</v>
      </c>
      <c r="S366" s="16">
        <v>4.0</v>
      </c>
      <c r="T366" s="16">
        <v>4.0</v>
      </c>
      <c r="U366" s="16">
        <v>4.0</v>
      </c>
      <c r="V366" s="16">
        <v>4.0</v>
      </c>
      <c r="W366" s="16">
        <v>4.0</v>
      </c>
      <c r="X366" s="16">
        <v>4.0</v>
      </c>
      <c r="Y366" s="16">
        <v>4.0</v>
      </c>
      <c r="Z366" s="16">
        <v>4.0</v>
      </c>
      <c r="AA366" s="16">
        <v>4.0</v>
      </c>
      <c r="AB366" s="16">
        <v>4.0</v>
      </c>
      <c r="AC366" s="16">
        <v>4.0</v>
      </c>
      <c r="AD366" s="38">
        <v>14.0</v>
      </c>
      <c r="AE366" s="38">
        <v>15.0</v>
      </c>
      <c r="AF366" s="38">
        <v>16.0</v>
      </c>
      <c r="AG366" s="38" t="s">
        <v>849</v>
      </c>
      <c r="AI366" s="18" t="s">
        <v>577</v>
      </c>
    </row>
    <row r="367">
      <c r="A367" s="11"/>
      <c r="B367" s="12" t="s">
        <v>7</v>
      </c>
      <c r="C367" s="12" t="s">
        <v>37</v>
      </c>
      <c r="D367" s="12" t="s">
        <v>38</v>
      </c>
      <c r="E367" s="12" t="s">
        <v>45</v>
      </c>
      <c r="F367" s="13" t="s">
        <v>44</v>
      </c>
      <c r="G367" s="12" t="s">
        <v>68</v>
      </c>
      <c r="H367" s="12" t="s">
        <v>830</v>
      </c>
      <c r="I367" s="12" t="s">
        <v>831</v>
      </c>
      <c r="J367" s="17" t="s">
        <v>850</v>
      </c>
      <c r="K367" s="17" t="s">
        <v>850</v>
      </c>
      <c r="L367" s="17" t="s">
        <v>193</v>
      </c>
      <c r="N367" s="20">
        <v>45854.0</v>
      </c>
      <c r="O367" s="17" t="s">
        <v>194</v>
      </c>
      <c r="P367" s="16">
        <v>3.0</v>
      </c>
      <c r="Q367" s="16">
        <v>3.0</v>
      </c>
      <c r="R367" s="16">
        <v>3.0</v>
      </c>
      <c r="S367" s="16">
        <v>3.0</v>
      </c>
      <c r="T367" s="16">
        <v>3.0</v>
      </c>
      <c r="U367" s="16">
        <v>3.0</v>
      </c>
      <c r="V367" s="16">
        <v>3.0</v>
      </c>
      <c r="W367" s="16">
        <v>3.0</v>
      </c>
      <c r="X367" s="16">
        <v>3.0</v>
      </c>
      <c r="Y367" s="16">
        <v>3.0</v>
      </c>
      <c r="Z367" s="16">
        <v>3.0</v>
      </c>
      <c r="AA367" s="16">
        <v>3.0</v>
      </c>
      <c r="AB367" s="16">
        <v>3.0</v>
      </c>
      <c r="AC367" s="16">
        <v>3.0</v>
      </c>
      <c r="AD367" s="37">
        <v>15.0</v>
      </c>
      <c r="AE367" s="37">
        <v>14.0</v>
      </c>
      <c r="AF367" s="37">
        <v>12.0</v>
      </c>
      <c r="AG367" s="37"/>
      <c r="AI367" s="18" t="s">
        <v>577</v>
      </c>
    </row>
    <row r="368">
      <c r="A368" s="11"/>
      <c r="B368" s="12" t="s">
        <v>7</v>
      </c>
      <c r="C368" s="12" t="s">
        <v>37</v>
      </c>
      <c r="D368" s="12" t="s">
        <v>38</v>
      </c>
      <c r="E368" s="12" t="s">
        <v>45</v>
      </c>
      <c r="F368" s="13" t="s">
        <v>44</v>
      </c>
      <c r="G368" s="12" t="s">
        <v>68</v>
      </c>
      <c r="H368" s="12" t="s">
        <v>830</v>
      </c>
      <c r="I368" s="12" t="s">
        <v>831</v>
      </c>
      <c r="J368" s="17" t="s">
        <v>851</v>
      </c>
      <c r="K368" s="17" t="s">
        <v>851</v>
      </c>
      <c r="L368" s="17" t="s">
        <v>193</v>
      </c>
      <c r="M368" s="17">
        <v>24.0</v>
      </c>
      <c r="N368" s="20">
        <v>45854.0</v>
      </c>
      <c r="O368" s="17" t="s">
        <v>194</v>
      </c>
      <c r="P368" s="16">
        <v>4.0</v>
      </c>
      <c r="Q368" s="16">
        <v>4.0</v>
      </c>
      <c r="R368" s="16">
        <v>5.0</v>
      </c>
      <c r="S368" s="16">
        <v>5.0</v>
      </c>
      <c r="T368" s="16">
        <v>3.0</v>
      </c>
      <c r="U368" s="16">
        <v>4.0</v>
      </c>
      <c r="V368" s="16">
        <v>4.0</v>
      </c>
      <c r="W368" s="16">
        <v>5.0</v>
      </c>
      <c r="X368" s="16">
        <v>5.0</v>
      </c>
      <c r="Y368" s="16">
        <v>5.0</v>
      </c>
      <c r="Z368" s="16">
        <v>3.0</v>
      </c>
      <c r="AA368" s="16">
        <v>4.0</v>
      </c>
      <c r="AB368" s="16">
        <v>3.0</v>
      </c>
      <c r="AC368" s="16">
        <v>5.0</v>
      </c>
      <c r="AD368" s="38">
        <v>14.0</v>
      </c>
      <c r="AE368" s="38">
        <v>18.0</v>
      </c>
      <c r="AF368" s="38">
        <v>14.0</v>
      </c>
      <c r="AG368" s="38" t="s">
        <v>852</v>
      </c>
      <c r="AI368" s="18" t="s">
        <v>577</v>
      </c>
    </row>
    <row r="369">
      <c r="A369" s="11"/>
      <c r="B369" s="12" t="s">
        <v>7</v>
      </c>
      <c r="C369" s="12" t="s">
        <v>37</v>
      </c>
      <c r="D369" s="12" t="s">
        <v>38</v>
      </c>
      <c r="E369" s="12" t="s">
        <v>45</v>
      </c>
      <c r="F369" s="13" t="s">
        <v>44</v>
      </c>
      <c r="G369" s="12" t="s">
        <v>68</v>
      </c>
      <c r="H369" s="12" t="s">
        <v>830</v>
      </c>
      <c r="I369" s="12" t="s">
        <v>831</v>
      </c>
      <c r="J369" s="17" t="s">
        <v>853</v>
      </c>
      <c r="K369" s="17" t="s">
        <v>853</v>
      </c>
      <c r="L369" s="17" t="s">
        <v>193</v>
      </c>
      <c r="M369" s="17">
        <v>43.0</v>
      </c>
      <c r="N369" s="20">
        <v>45854.0</v>
      </c>
      <c r="O369" s="17" t="s">
        <v>194</v>
      </c>
      <c r="P369" s="16">
        <v>3.0</v>
      </c>
      <c r="Q369" s="16">
        <v>3.0</v>
      </c>
      <c r="R369" s="16">
        <v>3.0</v>
      </c>
      <c r="S369" s="16">
        <v>3.0</v>
      </c>
      <c r="T369" s="42"/>
      <c r="U369" s="42"/>
      <c r="V369" s="42"/>
      <c r="W369" s="16">
        <v>3.0</v>
      </c>
      <c r="X369" s="16">
        <v>3.0</v>
      </c>
      <c r="Y369" s="16">
        <v>3.0</v>
      </c>
      <c r="Z369" s="42"/>
      <c r="AA369" s="16">
        <v>3.0</v>
      </c>
      <c r="AB369" s="42"/>
      <c r="AC369" s="16">
        <v>3.0</v>
      </c>
      <c r="AD369" s="38">
        <v>15.0</v>
      </c>
      <c r="AE369" s="38">
        <v>17.0</v>
      </c>
      <c r="AF369" s="38">
        <v>0.0</v>
      </c>
      <c r="AG369" s="38" t="s">
        <v>854</v>
      </c>
      <c r="AH369" s="17" t="s">
        <v>855</v>
      </c>
      <c r="AI369" s="18" t="s">
        <v>577</v>
      </c>
    </row>
    <row r="370">
      <c r="A370" s="11"/>
      <c r="B370" s="12" t="s">
        <v>7</v>
      </c>
      <c r="C370" s="12" t="s">
        <v>37</v>
      </c>
      <c r="D370" s="12" t="s">
        <v>38</v>
      </c>
      <c r="E370" s="12" t="s">
        <v>45</v>
      </c>
      <c r="F370" s="13" t="s">
        <v>44</v>
      </c>
      <c r="G370" s="12" t="s">
        <v>68</v>
      </c>
      <c r="H370" s="12" t="s">
        <v>830</v>
      </c>
      <c r="I370" s="12" t="s">
        <v>831</v>
      </c>
      <c r="J370" s="17" t="s">
        <v>856</v>
      </c>
      <c r="K370" s="17" t="s">
        <v>856</v>
      </c>
      <c r="L370" s="17" t="s">
        <v>193</v>
      </c>
      <c r="M370" s="17">
        <v>30.0</v>
      </c>
      <c r="N370" s="20">
        <v>45854.0</v>
      </c>
      <c r="O370" s="17" t="s">
        <v>194</v>
      </c>
      <c r="P370" s="16">
        <v>5.0</v>
      </c>
      <c r="Q370" s="16">
        <v>5.0</v>
      </c>
      <c r="R370" s="16">
        <v>3.0</v>
      </c>
      <c r="S370" s="16">
        <v>3.0</v>
      </c>
      <c r="T370" s="16">
        <v>5.0</v>
      </c>
      <c r="U370" s="16">
        <v>4.0</v>
      </c>
      <c r="V370" s="16">
        <v>4.0</v>
      </c>
      <c r="W370" s="16">
        <v>3.0</v>
      </c>
      <c r="X370" s="16">
        <v>3.0</v>
      </c>
      <c r="Y370" s="16">
        <v>3.0</v>
      </c>
      <c r="Z370" s="16">
        <v>5.0</v>
      </c>
      <c r="AA370" s="16">
        <v>5.0</v>
      </c>
      <c r="AB370" s="16">
        <v>5.0</v>
      </c>
      <c r="AC370" s="16">
        <v>3.0</v>
      </c>
      <c r="AD370" s="38">
        <v>13.0</v>
      </c>
      <c r="AE370" s="38">
        <v>12.0</v>
      </c>
      <c r="AF370" s="38">
        <v>18.0</v>
      </c>
      <c r="AG370" s="38" t="s">
        <v>857</v>
      </c>
      <c r="AI370" s="18" t="s">
        <v>577</v>
      </c>
    </row>
    <row r="371">
      <c r="A371" s="11"/>
      <c r="B371" s="12" t="s">
        <v>7</v>
      </c>
      <c r="C371" s="12" t="s">
        <v>37</v>
      </c>
      <c r="D371" s="12" t="s">
        <v>38</v>
      </c>
      <c r="E371" s="12" t="s">
        <v>45</v>
      </c>
      <c r="F371" s="13" t="s">
        <v>44</v>
      </c>
      <c r="G371" s="12" t="s">
        <v>68</v>
      </c>
      <c r="H371" s="12" t="s">
        <v>830</v>
      </c>
      <c r="I371" s="12" t="s">
        <v>831</v>
      </c>
      <c r="J371" s="17" t="s">
        <v>858</v>
      </c>
      <c r="K371" s="17" t="s">
        <v>858</v>
      </c>
      <c r="L371" s="17" t="s">
        <v>193</v>
      </c>
      <c r="M371" s="17">
        <v>40.0</v>
      </c>
      <c r="N371" s="20">
        <v>45854.0</v>
      </c>
      <c r="O371" s="17" t="s">
        <v>194</v>
      </c>
      <c r="P371" s="16">
        <v>1.0</v>
      </c>
      <c r="Q371" s="16">
        <v>1.0</v>
      </c>
      <c r="R371" s="16">
        <v>1.0</v>
      </c>
      <c r="S371" s="16">
        <v>1.0</v>
      </c>
      <c r="T371" s="16">
        <v>2.0</v>
      </c>
      <c r="U371" s="16">
        <v>5.0</v>
      </c>
      <c r="V371" s="16">
        <v>5.0</v>
      </c>
      <c r="W371" s="16">
        <v>1.0</v>
      </c>
      <c r="X371" s="16">
        <v>2.0</v>
      </c>
      <c r="Y371" s="16">
        <v>2.0</v>
      </c>
      <c r="Z371" s="16">
        <v>2.0</v>
      </c>
      <c r="AA371" s="16">
        <v>1.0</v>
      </c>
      <c r="AB371" s="16">
        <v>2.0</v>
      </c>
      <c r="AC371" s="16">
        <v>2.0</v>
      </c>
      <c r="AD371" s="38">
        <v>17.0</v>
      </c>
      <c r="AE371" s="38">
        <v>12.0</v>
      </c>
      <c r="AF371" s="38">
        <v>14.0</v>
      </c>
      <c r="AG371" s="38" t="s">
        <v>859</v>
      </c>
      <c r="AI371" s="18" t="s">
        <v>577</v>
      </c>
    </row>
    <row r="372">
      <c r="A372" s="11"/>
      <c r="B372" s="12" t="s">
        <v>7</v>
      </c>
      <c r="C372" s="12" t="s">
        <v>37</v>
      </c>
      <c r="D372" s="12" t="s">
        <v>38</v>
      </c>
      <c r="E372" s="12" t="s">
        <v>45</v>
      </c>
      <c r="F372" s="13" t="s">
        <v>44</v>
      </c>
      <c r="G372" s="12" t="s">
        <v>68</v>
      </c>
      <c r="H372" s="12" t="s">
        <v>830</v>
      </c>
      <c r="I372" s="12" t="s">
        <v>831</v>
      </c>
      <c r="J372" s="17" t="s">
        <v>860</v>
      </c>
      <c r="K372" s="17" t="s">
        <v>860</v>
      </c>
      <c r="L372" s="17" t="s">
        <v>193</v>
      </c>
      <c r="M372" s="17">
        <v>32.0</v>
      </c>
      <c r="N372" s="20">
        <v>45854.0</v>
      </c>
      <c r="O372" s="17" t="s">
        <v>194</v>
      </c>
      <c r="P372" s="16">
        <v>2.0</v>
      </c>
      <c r="Q372" s="16">
        <v>2.0</v>
      </c>
      <c r="R372" s="16">
        <v>3.0</v>
      </c>
      <c r="S372" s="16">
        <v>3.0</v>
      </c>
      <c r="T372" s="16">
        <v>5.0</v>
      </c>
      <c r="U372" s="16">
        <v>3.0</v>
      </c>
      <c r="V372" s="16">
        <v>3.0</v>
      </c>
      <c r="W372" s="16">
        <v>3.0</v>
      </c>
      <c r="X372" s="16">
        <v>4.0</v>
      </c>
      <c r="Y372" s="16">
        <v>4.0</v>
      </c>
      <c r="Z372" s="16">
        <v>5.0</v>
      </c>
      <c r="AA372" s="16">
        <v>2.0</v>
      </c>
      <c r="AB372" s="16">
        <v>5.0</v>
      </c>
      <c r="AC372" s="16">
        <v>4.0</v>
      </c>
      <c r="AD372" s="38">
        <v>16.0</v>
      </c>
      <c r="AE372" s="38">
        <v>13.0</v>
      </c>
      <c r="AF372" s="38">
        <v>16.0</v>
      </c>
      <c r="AG372" s="38" t="s">
        <v>861</v>
      </c>
      <c r="AI372" s="18" t="s">
        <v>577</v>
      </c>
    </row>
    <row r="373">
      <c r="A373" s="11"/>
      <c r="B373" s="12" t="s">
        <v>7</v>
      </c>
      <c r="C373" s="12" t="s">
        <v>37</v>
      </c>
      <c r="D373" s="12" t="s">
        <v>38</v>
      </c>
      <c r="E373" s="12" t="s">
        <v>45</v>
      </c>
      <c r="F373" s="13" t="s">
        <v>44</v>
      </c>
      <c r="G373" s="12" t="s">
        <v>68</v>
      </c>
      <c r="H373" s="12" t="s">
        <v>830</v>
      </c>
      <c r="I373" s="12" t="s">
        <v>831</v>
      </c>
      <c r="J373" s="17" t="s">
        <v>862</v>
      </c>
      <c r="K373" s="17" t="s">
        <v>862</v>
      </c>
      <c r="L373" s="17" t="s">
        <v>193</v>
      </c>
      <c r="M373" s="17">
        <v>37.0</v>
      </c>
      <c r="N373" s="20">
        <v>45854.0</v>
      </c>
      <c r="O373" s="17" t="s">
        <v>194</v>
      </c>
      <c r="P373" s="16">
        <v>2.0</v>
      </c>
      <c r="Q373" s="16">
        <v>2.0</v>
      </c>
      <c r="R373" s="16">
        <v>3.0</v>
      </c>
      <c r="S373" s="16">
        <v>3.0</v>
      </c>
      <c r="T373" s="16">
        <v>5.0</v>
      </c>
      <c r="U373" s="16">
        <v>3.0</v>
      </c>
      <c r="V373" s="16">
        <v>3.0</v>
      </c>
      <c r="W373" s="16">
        <v>3.0</v>
      </c>
      <c r="X373" s="16">
        <v>3.0</v>
      </c>
      <c r="Y373" s="16">
        <v>3.0</v>
      </c>
      <c r="Z373" s="16">
        <v>5.0</v>
      </c>
      <c r="AA373" s="16">
        <v>2.0</v>
      </c>
      <c r="AB373" s="16">
        <v>5.0</v>
      </c>
      <c r="AC373" s="16">
        <v>3.0</v>
      </c>
      <c r="AD373" s="38">
        <v>16.0</v>
      </c>
      <c r="AE373" s="38">
        <v>12.0</v>
      </c>
      <c r="AF373" s="38">
        <v>16.0</v>
      </c>
      <c r="AG373" s="38" t="s">
        <v>863</v>
      </c>
      <c r="AI373" s="18" t="s">
        <v>577</v>
      </c>
    </row>
    <row r="374">
      <c r="A374" s="11"/>
      <c r="B374" s="12" t="s">
        <v>7</v>
      </c>
      <c r="C374" s="12" t="s">
        <v>37</v>
      </c>
      <c r="D374" s="12" t="s">
        <v>38</v>
      </c>
      <c r="E374" s="12" t="s">
        <v>45</v>
      </c>
      <c r="F374" s="13" t="s">
        <v>44</v>
      </c>
      <c r="G374" s="12" t="s">
        <v>68</v>
      </c>
      <c r="H374" s="12" t="s">
        <v>830</v>
      </c>
      <c r="I374" s="12" t="s">
        <v>831</v>
      </c>
      <c r="J374" s="17" t="s">
        <v>864</v>
      </c>
      <c r="K374" s="17" t="s">
        <v>864</v>
      </c>
      <c r="L374" s="17" t="s">
        <v>193</v>
      </c>
      <c r="M374" s="17">
        <v>21.0</v>
      </c>
      <c r="N374" s="20">
        <v>45854.0</v>
      </c>
      <c r="O374" s="17" t="s">
        <v>194</v>
      </c>
      <c r="P374" s="16">
        <v>2.0</v>
      </c>
      <c r="Q374" s="16">
        <v>2.0</v>
      </c>
      <c r="R374" s="16">
        <v>3.0</v>
      </c>
      <c r="S374" s="16">
        <v>3.0</v>
      </c>
      <c r="T374" s="16">
        <v>5.0</v>
      </c>
      <c r="U374" s="16">
        <v>3.0</v>
      </c>
      <c r="V374" s="16">
        <v>3.0</v>
      </c>
      <c r="W374" s="16">
        <v>3.0</v>
      </c>
      <c r="X374" s="16">
        <v>3.0</v>
      </c>
      <c r="Y374" s="16">
        <v>3.0</v>
      </c>
      <c r="Z374" s="16">
        <v>5.0</v>
      </c>
      <c r="AA374" s="16">
        <v>2.0</v>
      </c>
      <c r="AB374" s="16">
        <v>5.0</v>
      </c>
      <c r="AC374" s="16">
        <v>3.0</v>
      </c>
      <c r="AD374" s="38">
        <v>16.0</v>
      </c>
      <c r="AE374" s="38">
        <v>12.0</v>
      </c>
      <c r="AF374" s="38">
        <v>16.0</v>
      </c>
      <c r="AG374" s="38" t="s">
        <v>865</v>
      </c>
      <c r="AI374" s="18" t="s">
        <v>577</v>
      </c>
    </row>
    <row r="375">
      <c r="A375" s="11"/>
      <c r="B375" s="12" t="s">
        <v>7</v>
      </c>
      <c r="C375" s="12" t="s">
        <v>37</v>
      </c>
      <c r="D375" s="12" t="s">
        <v>38</v>
      </c>
      <c r="E375" s="12" t="s">
        <v>45</v>
      </c>
      <c r="F375" s="13" t="s">
        <v>44</v>
      </c>
      <c r="G375" s="12" t="s">
        <v>68</v>
      </c>
      <c r="H375" s="12" t="s">
        <v>830</v>
      </c>
      <c r="I375" s="12" t="s">
        <v>831</v>
      </c>
      <c r="J375" s="17" t="s">
        <v>866</v>
      </c>
      <c r="K375" s="17" t="s">
        <v>866</v>
      </c>
      <c r="L375" s="17" t="s">
        <v>193</v>
      </c>
      <c r="M375" s="17">
        <v>37.0</v>
      </c>
      <c r="N375" s="20">
        <v>45854.0</v>
      </c>
      <c r="O375" s="17" t="s">
        <v>194</v>
      </c>
      <c r="P375" s="16">
        <v>3.0</v>
      </c>
      <c r="Q375" s="16">
        <v>3.0</v>
      </c>
      <c r="R375" s="16">
        <v>2.0</v>
      </c>
      <c r="S375" s="16">
        <v>2.0</v>
      </c>
      <c r="T375" s="16">
        <v>3.0</v>
      </c>
      <c r="U375" s="16">
        <v>2.0</v>
      </c>
      <c r="V375" s="16">
        <v>2.0</v>
      </c>
      <c r="W375" s="16">
        <v>2.0</v>
      </c>
      <c r="X375" s="16">
        <v>4.0</v>
      </c>
      <c r="Y375" s="16">
        <v>4.0</v>
      </c>
      <c r="Z375" s="16">
        <v>3.0</v>
      </c>
      <c r="AA375" s="16">
        <v>3.0</v>
      </c>
      <c r="AB375" s="16">
        <v>3.0</v>
      </c>
      <c r="AC375" s="16">
        <v>4.0</v>
      </c>
      <c r="AD375" s="38">
        <v>15.0</v>
      </c>
      <c r="AE375" s="38">
        <v>14.0</v>
      </c>
      <c r="AF375" s="38">
        <v>10.0</v>
      </c>
      <c r="AG375" s="38" t="s">
        <v>867</v>
      </c>
      <c r="AI375" s="18" t="s">
        <v>577</v>
      </c>
    </row>
    <row r="376">
      <c r="A376" s="11"/>
      <c r="B376" s="12" t="s">
        <v>7</v>
      </c>
      <c r="C376" s="12" t="s">
        <v>37</v>
      </c>
      <c r="D376" s="12" t="s">
        <v>38</v>
      </c>
      <c r="E376" s="12" t="s">
        <v>45</v>
      </c>
      <c r="F376" s="13" t="s">
        <v>44</v>
      </c>
      <c r="G376" s="12" t="s">
        <v>68</v>
      </c>
      <c r="H376" s="12" t="s">
        <v>830</v>
      </c>
      <c r="I376" s="12" t="s">
        <v>831</v>
      </c>
      <c r="J376" s="17" t="s">
        <v>868</v>
      </c>
      <c r="K376" s="17" t="s">
        <v>868</v>
      </c>
      <c r="L376" s="17" t="s">
        <v>193</v>
      </c>
      <c r="M376" s="17">
        <v>21.0</v>
      </c>
      <c r="N376" s="20">
        <v>45854.0</v>
      </c>
      <c r="O376" s="17" t="s">
        <v>194</v>
      </c>
      <c r="P376" s="16">
        <v>2.0</v>
      </c>
      <c r="Q376" s="16">
        <v>2.0</v>
      </c>
      <c r="R376" s="16">
        <v>3.0</v>
      </c>
      <c r="S376" s="16">
        <v>3.0</v>
      </c>
      <c r="T376" s="16">
        <v>4.0</v>
      </c>
      <c r="U376" s="16">
        <v>3.0</v>
      </c>
      <c r="V376" s="16">
        <v>3.0</v>
      </c>
      <c r="W376" s="16">
        <v>3.0</v>
      </c>
      <c r="X376" s="16">
        <v>3.0</v>
      </c>
      <c r="Y376" s="16">
        <v>3.0</v>
      </c>
      <c r="Z376" s="16">
        <v>4.0</v>
      </c>
      <c r="AA376" s="16">
        <v>2.0</v>
      </c>
      <c r="AB376" s="16">
        <v>4.0</v>
      </c>
      <c r="AC376" s="16">
        <v>3.0</v>
      </c>
      <c r="AD376" s="38">
        <v>16.0</v>
      </c>
      <c r="AE376" s="38">
        <v>13.0</v>
      </c>
      <c r="AF376" s="38">
        <v>14.0</v>
      </c>
      <c r="AG376" s="38" t="s">
        <v>869</v>
      </c>
      <c r="AI376" s="18" t="s">
        <v>577</v>
      </c>
    </row>
    <row r="377">
      <c r="A377" s="11"/>
      <c r="B377" s="12" t="s">
        <v>7</v>
      </c>
      <c r="C377" s="12" t="s">
        <v>37</v>
      </c>
      <c r="D377" s="12" t="s">
        <v>38</v>
      </c>
      <c r="E377" s="12" t="s">
        <v>45</v>
      </c>
      <c r="F377" s="13" t="s">
        <v>44</v>
      </c>
      <c r="G377" s="12" t="s">
        <v>68</v>
      </c>
      <c r="H377" s="12" t="s">
        <v>830</v>
      </c>
      <c r="I377" s="12" t="s">
        <v>831</v>
      </c>
      <c r="J377" s="17" t="s">
        <v>870</v>
      </c>
      <c r="K377" s="17" t="s">
        <v>870</v>
      </c>
      <c r="L377" s="17" t="s">
        <v>193</v>
      </c>
      <c r="M377" s="17">
        <v>31.0</v>
      </c>
      <c r="N377" s="20">
        <v>45854.0</v>
      </c>
      <c r="O377" s="17" t="s">
        <v>194</v>
      </c>
      <c r="P377" s="16">
        <v>4.0</v>
      </c>
      <c r="Q377" s="16">
        <v>4.0</v>
      </c>
      <c r="R377" s="16">
        <v>3.0</v>
      </c>
      <c r="S377" s="16">
        <v>3.0</v>
      </c>
      <c r="T377" s="16">
        <v>4.0</v>
      </c>
      <c r="U377" s="16">
        <v>4.0</v>
      </c>
      <c r="V377" s="16">
        <v>4.0</v>
      </c>
      <c r="W377" s="16">
        <v>3.0</v>
      </c>
      <c r="X377" s="16">
        <v>4.0</v>
      </c>
      <c r="Y377" s="16">
        <v>4.0</v>
      </c>
      <c r="Z377" s="16">
        <v>4.0</v>
      </c>
      <c r="AA377" s="16">
        <v>4.0</v>
      </c>
      <c r="AB377" s="16">
        <v>4.0</v>
      </c>
      <c r="AC377" s="16">
        <v>4.0</v>
      </c>
      <c r="AD377" s="38">
        <v>14.0</v>
      </c>
      <c r="AE377" s="38">
        <v>14.0</v>
      </c>
      <c r="AF377" s="38">
        <v>16.0</v>
      </c>
      <c r="AG377" s="38" t="s">
        <v>871</v>
      </c>
      <c r="AI377" s="18" t="s">
        <v>577</v>
      </c>
    </row>
    <row r="378">
      <c r="A378" s="11"/>
      <c r="B378" s="12" t="s">
        <v>7</v>
      </c>
      <c r="C378" s="12" t="s">
        <v>37</v>
      </c>
      <c r="D378" s="12" t="s">
        <v>38</v>
      </c>
      <c r="E378" s="12" t="s">
        <v>45</v>
      </c>
      <c r="F378" s="13" t="s">
        <v>44</v>
      </c>
      <c r="G378" s="12" t="s">
        <v>68</v>
      </c>
      <c r="H378" s="12" t="s">
        <v>830</v>
      </c>
      <c r="I378" s="12" t="s">
        <v>831</v>
      </c>
      <c r="J378" s="17" t="s">
        <v>872</v>
      </c>
      <c r="K378" s="17" t="s">
        <v>872</v>
      </c>
      <c r="L378" s="17" t="s">
        <v>193</v>
      </c>
      <c r="M378" s="17">
        <v>36.0</v>
      </c>
      <c r="N378" s="20">
        <v>45854.0</v>
      </c>
      <c r="O378" s="17" t="s">
        <v>194</v>
      </c>
      <c r="P378" s="16">
        <v>4.0</v>
      </c>
      <c r="Q378" s="16">
        <v>4.0</v>
      </c>
      <c r="R378" s="16">
        <v>4.0</v>
      </c>
      <c r="S378" s="16">
        <v>4.0</v>
      </c>
      <c r="T378" s="16">
        <v>4.0</v>
      </c>
      <c r="U378" s="16">
        <v>4.0</v>
      </c>
      <c r="V378" s="16">
        <v>4.0</v>
      </c>
      <c r="W378" s="16">
        <v>4.0</v>
      </c>
      <c r="X378" s="16">
        <v>4.0</v>
      </c>
      <c r="Y378" s="16">
        <v>4.0</v>
      </c>
      <c r="Z378" s="16">
        <v>4.0</v>
      </c>
      <c r="AA378" s="16">
        <v>4.0</v>
      </c>
      <c r="AB378" s="16">
        <v>4.0</v>
      </c>
      <c r="AC378" s="16">
        <v>4.0</v>
      </c>
      <c r="AD378" s="38">
        <v>14.0</v>
      </c>
      <c r="AE378" s="38">
        <v>15.0</v>
      </c>
      <c r="AF378" s="38">
        <v>16.0</v>
      </c>
      <c r="AG378" s="38" t="s">
        <v>873</v>
      </c>
      <c r="AI378" s="18" t="s">
        <v>577</v>
      </c>
    </row>
    <row r="379">
      <c r="A379" s="11"/>
      <c r="B379" s="12" t="s">
        <v>7</v>
      </c>
      <c r="C379" s="12" t="s">
        <v>37</v>
      </c>
      <c r="D379" s="12" t="s">
        <v>38</v>
      </c>
      <c r="E379" s="12" t="s">
        <v>45</v>
      </c>
      <c r="F379" s="13" t="s">
        <v>44</v>
      </c>
      <c r="G379" s="12" t="s">
        <v>68</v>
      </c>
      <c r="H379" s="12" t="s">
        <v>830</v>
      </c>
      <c r="I379" s="12" t="s">
        <v>831</v>
      </c>
      <c r="J379" s="17" t="s">
        <v>874</v>
      </c>
      <c r="K379" s="17" t="s">
        <v>874</v>
      </c>
      <c r="L379" s="17" t="s">
        <v>193</v>
      </c>
      <c r="M379" s="17">
        <v>27.0</v>
      </c>
      <c r="N379" s="20">
        <v>45854.0</v>
      </c>
      <c r="O379" s="17" t="s">
        <v>194</v>
      </c>
      <c r="P379" s="16">
        <v>3.0</v>
      </c>
      <c r="Q379" s="16">
        <v>3.0</v>
      </c>
      <c r="R379" s="16">
        <v>4.0</v>
      </c>
      <c r="S379" s="16">
        <v>4.0</v>
      </c>
      <c r="T379" s="16">
        <v>4.0</v>
      </c>
      <c r="U379" s="16">
        <v>2.0</v>
      </c>
      <c r="V379" s="16">
        <v>2.0</v>
      </c>
      <c r="W379" s="16">
        <v>4.0</v>
      </c>
      <c r="X379" s="16">
        <v>4.0</v>
      </c>
      <c r="Y379" s="16">
        <v>4.0</v>
      </c>
      <c r="Z379" s="16">
        <v>4.0</v>
      </c>
      <c r="AA379" s="16">
        <v>3.0</v>
      </c>
      <c r="AB379" s="16">
        <v>4.0</v>
      </c>
      <c r="AC379" s="16">
        <v>4.0</v>
      </c>
      <c r="AD379" s="38">
        <v>15.0</v>
      </c>
      <c r="AE379" s="38">
        <v>15.0</v>
      </c>
      <c r="AF379" s="38">
        <v>12.0</v>
      </c>
      <c r="AG379" s="38" t="s">
        <v>875</v>
      </c>
      <c r="AI379" s="18" t="s">
        <v>577</v>
      </c>
    </row>
    <row r="380">
      <c r="A380" s="11"/>
      <c r="B380" s="12" t="s">
        <v>7</v>
      </c>
      <c r="C380" s="12" t="s">
        <v>37</v>
      </c>
      <c r="D380" s="12" t="s">
        <v>38</v>
      </c>
      <c r="E380" s="12" t="s">
        <v>45</v>
      </c>
      <c r="F380" s="13" t="s">
        <v>44</v>
      </c>
      <c r="G380" s="12" t="s">
        <v>68</v>
      </c>
      <c r="H380" s="12" t="s">
        <v>830</v>
      </c>
      <c r="I380" s="12" t="s">
        <v>831</v>
      </c>
      <c r="J380" s="17" t="s">
        <v>876</v>
      </c>
      <c r="K380" s="17" t="s">
        <v>876</v>
      </c>
      <c r="L380" s="17" t="s">
        <v>250</v>
      </c>
      <c r="M380" s="17">
        <v>43.0</v>
      </c>
      <c r="N380" s="20">
        <v>45854.0</v>
      </c>
      <c r="O380" s="17" t="s">
        <v>194</v>
      </c>
      <c r="P380" s="16">
        <v>5.0</v>
      </c>
      <c r="Q380" s="16">
        <v>5.0</v>
      </c>
      <c r="R380" s="16">
        <v>3.0</v>
      </c>
      <c r="S380" s="16">
        <v>3.0</v>
      </c>
      <c r="T380" s="16">
        <v>5.0</v>
      </c>
      <c r="U380" s="16">
        <v>5.0</v>
      </c>
      <c r="V380" s="16">
        <v>5.0</v>
      </c>
      <c r="W380" s="16">
        <v>3.0</v>
      </c>
      <c r="X380" s="16">
        <v>5.0</v>
      </c>
      <c r="Y380" s="16">
        <v>5.0</v>
      </c>
      <c r="Z380" s="16">
        <v>5.0</v>
      </c>
      <c r="AA380" s="16">
        <v>5.0</v>
      </c>
      <c r="AB380" s="16">
        <v>5.0</v>
      </c>
      <c r="AC380" s="16">
        <v>5.0</v>
      </c>
      <c r="AD380" s="38">
        <v>13.0</v>
      </c>
      <c r="AE380" s="38">
        <v>14.0</v>
      </c>
      <c r="AF380" s="38">
        <v>20.0</v>
      </c>
      <c r="AG380" s="38" t="s">
        <v>877</v>
      </c>
      <c r="AI380" s="18" t="s">
        <v>577</v>
      </c>
    </row>
    <row r="381">
      <c r="A381" s="11"/>
      <c r="B381" s="12" t="s">
        <v>7</v>
      </c>
      <c r="C381" s="12" t="s">
        <v>37</v>
      </c>
      <c r="D381" s="12" t="s">
        <v>38</v>
      </c>
      <c r="E381" s="12" t="s">
        <v>45</v>
      </c>
      <c r="F381" s="13" t="s">
        <v>44</v>
      </c>
      <c r="G381" s="12" t="s">
        <v>68</v>
      </c>
      <c r="H381" s="12" t="s">
        <v>830</v>
      </c>
      <c r="I381" s="12" t="s">
        <v>831</v>
      </c>
      <c r="J381" s="17" t="s">
        <v>878</v>
      </c>
      <c r="K381" s="17" t="s">
        <v>878</v>
      </c>
      <c r="L381" s="17" t="s">
        <v>193</v>
      </c>
      <c r="M381" s="17">
        <v>35.0</v>
      </c>
      <c r="N381" s="20">
        <v>45854.0</v>
      </c>
      <c r="O381" s="17" t="s">
        <v>194</v>
      </c>
      <c r="P381" s="16">
        <v>4.0</v>
      </c>
      <c r="Q381" s="16">
        <v>4.0</v>
      </c>
      <c r="R381" s="16">
        <v>3.0</v>
      </c>
      <c r="S381" s="16">
        <v>3.0</v>
      </c>
      <c r="T381" s="16">
        <v>5.0</v>
      </c>
      <c r="U381" s="16">
        <v>4.0</v>
      </c>
      <c r="V381" s="16">
        <v>4.0</v>
      </c>
      <c r="W381" s="16">
        <v>3.0</v>
      </c>
      <c r="X381" s="16">
        <v>5.0</v>
      </c>
      <c r="Y381" s="16">
        <v>5.0</v>
      </c>
      <c r="Z381" s="16">
        <v>5.0</v>
      </c>
      <c r="AA381" s="16">
        <v>4.0</v>
      </c>
      <c r="AB381" s="16">
        <v>5.0</v>
      </c>
      <c r="AC381" s="16">
        <v>5.0</v>
      </c>
      <c r="AD381" s="38">
        <v>14.0</v>
      </c>
      <c r="AE381" s="38">
        <v>14.0</v>
      </c>
      <c r="AF381" s="38">
        <v>18.0</v>
      </c>
      <c r="AG381" s="38" t="s">
        <v>879</v>
      </c>
      <c r="AI381" s="18" t="s">
        <v>577</v>
      </c>
    </row>
    <row r="382">
      <c r="A382" s="11"/>
      <c r="B382" s="12" t="s">
        <v>22</v>
      </c>
      <c r="C382" s="12" t="s">
        <v>22</v>
      </c>
      <c r="D382" s="12" t="s">
        <v>22</v>
      </c>
      <c r="E382" s="12" t="s">
        <v>624</v>
      </c>
      <c r="F382" s="13" t="s">
        <v>625</v>
      </c>
      <c r="G382" s="12" t="s">
        <v>68</v>
      </c>
      <c r="H382" s="12" t="s">
        <v>626</v>
      </c>
      <c r="I382" s="12" t="s">
        <v>627</v>
      </c>
      <c r="J382" s="17" t="s">
        <v>880</v>
      </c>
      <c r="K382" s="17" t="s">
        <v>880</v>
      </c>
      <c r="L382" s="17" t="s">
        <v>193</v>
      </c>
      <c r="M382" s="17">
        <v>30.0</v>
      </c>
      <c r="N382" s="20">
        <v>45833.0</v>
      </c>
      <c r="O382" s="17" t="s">
        <v>194</v>
      </c>
      <c r="P382" s="16">
        <v>4.0</v>
      </c>
      <c r="Q382" s="16">
        <v>4.0</v>
      </c>
      <c r="R382" s="16">
        <v>4.0</v>
      </c>
      <c r="S382" s="16">
        <v>4.0</v>
      </c>
      <c r="T382" s="16">
        <v>4.0</v>
      </c>
      <c r="U382" s="16">
        <v>4.0</v>
      </c>
      <c r="V382" s="16">
        <v>4.0</v>
      </c>
      <c r="W382" s="16">
        <v>4.0</v>
      </c>
      <c r="X382" s="16">
        <v>4.0</v>
      </c>
      <c r="Y382" s="16">
        <v>4.0</v>
      </c>
      <c r="Z382" s="16">
        <v>4.0</v>
      </c>
      <c r="AA382" s="16">
        <v>4.0</v>
      </c>
      <c r="AB382" s="16">
        <v>4.0</v>
      </c>
      <c r="AC382" s="16">
        <v>4.0</v>
      </c>
      <c r="AD382" s="38">
        <v>14.0</v>
      </c>
      <c r="AE382" s="38">
        <v>15.0</v>
      </c>
      <c r="AF382" s="38">
        <v>16.0</v>
      </c>
      <c r="AG382" s="38" t="s">
        <v>881</v>
      </c>
      <c r="AI382" s="18" t="s">
        <v>588</v>
      </c>
    </row>
    <row r="383">
      <c r="A383" s="11"/>
      <c r="B383" s="12" t="s">
        <v>22</v>
      </c>
      <c r="C383" s="12" t="s">
        <v>22</v>
      </c>
      <c r="D383" s="12" t="s">
        <v>22</v>
      </c>
      <c r="E383" s="12" t="s">
        <v>624</v>
      </c>
      <c r="F383" s="13" t="s">
        <v>625</v>
      </c>
      <c r="G383" s="12" t="s">
        <v>68</v>
      </c>
      <c r="H383" s="12" t="s">
        <v>626</v>
      </c>
      <c r="I383" s="12" t="s">
        <v>627</v>
      </c>
      <c r="J383" s="17" t="s">
        <v>882</v>
      </c>
      <c r="K383" s="17" t="s">
        <v>882</v>
      </c>
      <c r="L383" s="17" t="s">
        <v>193</v>
      </c>
      <c r="M383" s="17">
        <v>25.0</v>
      </c>
      <c r="N383" s="20">
        <v>45833.0</v>
      </c>
      <c r="O383" s="17" t="s">
        <v>194</v>
      </c>
      <c r="P383" s="16">
        <v>4.0</v>
      </c>
      <c r="Q383" s="16">
        <v>4.0</v>
      </c>
      <c r="R383" s="16">
        <v>3.0</v>
      </c>
      <c r="S383" s="16">
        <v>3.0</v>
      </c>
      <c r="T383" s="16">
        <v>4.0</v>
      </c>
      <c r="U383" s="16">
        <v>4.0</v>
      </c>
      <c r="V383" s="16">
        <v>4.0</v>
      </c>
      <c r="W383" s="16">
        <v>3.0</v>
      </c>
      <c r="X383" s="16">
        <v>4.0</v>
      </c>
      <c r="Y383" s="16">
        <v>4.0</v>
      </c>
      <c r="Z383" s="16">
        <v>4.0</v>
      </c>
      <c r="AA383" s="16">
        <v>4.0</v>
      </c>
      <c r="AB383" s="16">
        <v>4.0</v>
      </c>
      <c r="AC383" s="16">
        <v>4.0</v>
      </c>
      <c r="AD383" s="38">
        <v>14.0</v>
      </c>
      <c r="AE383" s="38">
        <v>14.0</v>
      </c>
      <c r="AF383" s="38">
        <v>16.0</v>
      </c>
      <c r="AG383" s="38" t="s">
        <v>883</v>
      </c>
      <c r="AI383" s="18" t="s">
        <v>588</v>
      </c>
    </row>
    <row r="384">
      <c r="A384" s="11"/>
      <c r="B384" s="12" t="s">
        <v>22</v>
      </c>
      <c r="C384" s="12" t="s">
        <v>22</v>
      </c>
      <c r="D384" s="12" t="s">
        <v>22</v>
      </c>
      <c r="E384" s="12" t="s">
        <v>624</v>
      </c>
      <c r="F384" s="13" t="s">
        <v>625</v>
      </c>
      <c r="G384" s="12" t="s">
        <v>68</v>
      </c>
      <c r="H384" s="12" t="s">
        <v>626</v>
      </c>
      <c r="I384" s="12" t="s">
        <v>627</v>
      </c>
      <c r="J384" s="17" t="s">
        <v>884</v>
      </c>
      <c r="K384" s="17" t="s">
        <v>884</v>
      </c>
      <c r="L384" s="17" t="s">
        <v>193</v>
      </c>
      <c r="M384" s="17">
        <v>41.0</v>
      </c>
      <c r="N384" s="20">
        <v>45833.0</v>
      </c>
      <c r="O384" s="17" t="s">
        <v>194</v>
      </c>
      <c r="P384" s="16">
        <v>4.0</v>
      </c>
      <c r="Q384" s="16">
        <v>4.0</v>
      </c>
      <c r="R384" s="16">
        <v>3.0</v>
      </c>
      <c r="S384" s="16">
        <v>3.0</v>
      </c>
      <c r="T384" s="16">
        <v>5.0</v>
      </c>
      <c r="U384" s="16">
        <v>4.0</v>
      </c>
      <c r="V384" s="16">
        <v>4.0</v>
      </c>
      <c r="W384" s="16">
        <v>3.0</v>
      </c>
      <c r="X384" s="16">
        <v>5.0</v>
      </c>
      <c r="Y384" s="16">
        <v>5.0</v>
      </c>
      <c r="Z384" s="16">
        <v>5.0</v>
      </c>
      <c r="AA384" s="16">
        <v>4.0</v>
      </c>
      <c r="AB384" s="16">
        <v>5.0</v>
      </c>
      <c r="AC384" s="16">
        <v>5.0</v>
      </c>
      <c r="AD384" s="38">
        <v>14.0</v>
      </c>
      <c r="AE384" s="38">
        <v>14.0</v>
      </c>
      <c r="AF384" s="38">
        <v>18.0</v>
      </c>
      <c r="AG384" s="38" t="s">
        <v>885</v>
      </c>
      <c r="AI384" s="18" t="s">
        <v>588</v>
      </c>
    </row>
    <row r="385">
      <c r="A385" s="11"/>
      <c r="B385" s="12" t="s">
        <v>22</v>
      </c>
      <c r="C385" s="12" t="s">
        <v>22</v>
      </c>
      <c r="D385" s="12" t="s">
        <v>22</v>
      </c>
      <c r="E385" s="12" t="s">
        <v>624</v>
      </c>
      <c r="F385" s="13" t="s">
        <v>625</v>
      </c>
      <c r="G385" s="12" t="s">
        <v>68</v>
      </c>
      <c r="H385" s="12" t="s">
        <v>626</v>
      </c>
      <c r="I385" s="12" t="s">
        <v>627</v>
      </c>
      <c r="J385" s="17" t="s">
        <v>886</v>
      </c>
      <c r="K385" s="17" t="s">
        <v>886</v>
      </c>
      <c r="L385" s="17" t="s">
        <v>193</v>
      </c>
      <c r="M385" s="17">
        <v>37.0</v>
      </c>
      <c r="N385" s="20">
        <v>45833.0</v>
      </c>
      <c r="O385" s="17" t="s">
        <v>194</v>
      </c>
      <c r="P385" s="16">
        <v>5.0</v>
      </c>
      <c r="Q385" s="16">
        <v>5.0</v>
      </c>
      <c r="R385" s="16">
        <v>3.0</v>
      </c>
      <c r="S385" s="16">
        <v>3.0</v>
      </c>
      <c r="T385" s="16">
        <v>3.0</v>
      </c>
      <c r="U385" s="16">
        <v>4.0</v>
      </c>
      <c r="V385" s="16">
        <v>4.0</v>
      </c>
      <c r="W385" s="16">
        <v>3.0</v>
      </c>
      <c r="X385" s="16">
        <v>4.0</v>
      </c>
      <c r="Y385" s="16">
        <v>4.0</v>
      </c>
      <c r="Z385" s="16">
        <v>3.0</v>
      </c>
      <c r="AA385" s="16">
        <v>5.0</v>
      </c>
      <c r="AB385" s="16">
        <v>3.0</v>
      </c>
      <c r="AC385" s="16">
        <v>4.0</v>
      </c>
      <c r="AD385" s="38">
        <v>13.0</v>
      </c>
      <c r="AE385" s="38">
        <v>15.0</v>
      </c>
      <c r="AF385" s="38">
        <v>14.0</v>
      </c>
      <c r="AG385" s="38" t="s">
        <v>887</v>
      </c>
      <c r="AI385" s="18" t="s">
        <v>588</v>
      </c>
    </row>
    <row r="386">
      <c r="A386" s="11"/>
      <c r="B386" s="12" t="s">
        <v>22</v>
      </c>
      <c r="C386" s="12" t="s">
        <v>22</v>
      </c>
      <c r="D386" s="12" t="s">
        <v>22</v>
      </c>
      <c r="E386" s="12" t="s">
        <v>624</v>
      </c>
      <c r="F386" s="13" t="s">
        <v>625</v>
      </c>
      <c r="G386" s="12" t="s">
        <v>68</v>
      </c>
      <c r="H386" s="12" t="s">
        <v>626</v>
      </c>
      <c r="I386" s="12" t="s">
        <v>627</v>
      </c>
      <c r="J386" s="17" t="s">
        <v>888</v>
      </c>
      <c r="K386" s="17" t="s">
        <v>888</v>
      </c>
      <c r="L386" s="17" t="s">
        <v>193</v>
      </c>
      <c r="M386" s="17">
        <v>31.0</v>
      </c>
      <c r="N386" s="20">
        <v>45833.0</v>
      </c>
      <c r="O386" s="17" t="s">
        <v>194</v>
      </c>
      <c r="P386" s="16">
        <v>4.0</v>
      </c>
      <c r="Q386" s="16">
        <v>4.0</v>
      </c>
      <c r="R386" s="16">
        <v>3.0</v>
      </c>
      <c r="S386" s="16">
        <v>3.0</v>
      </c>
      <c r="T386" s="16">
        <v>4.0</v>
      </c>
      <c r="U386" s="16">
        <v>4.0</v>
      </c>
      <c r="V386" s="16">
        <v>4.0</v>
      </c>
      <c r="W386" s="16">
        <v>3.0</v>
      </c>
      <c r="X386" s="16">
        <v>4.0</v>
      </c>
      <c r="Y386" s="16">
        <v>4.0</v>
      </c>
      <c r="Z386" s="16">
        <v>4.0</v>
      </c>
      <c r="AA386" s="16">
        <v>4.0</v>
      </c>
      <c r="AB386" s="16">
        <v>4.0</v>
      </c>
      <c r="AC386" s="16">
        <v>4.0</v>
      </c>
      <c r="AD386" s="38">
        <v>14.0</v>
      </c>
      <c r="AE386" s="38">
        <v>14.0</v>
      </c>
      <c r="AF386" s="38">
        <v>16.0</v>
      </c>
      <c r="AG386" s="38" t="s">
        <v>889</v>
      </c>
      <c r="AI386" s="18" t="s">
        <v>588</v>
      </c>
    </row>
    <row r="387">
      <c r="A387" s="11"/>
      <c r="B387" s="12" t="s">
        <v>22</v>
      </c>
      <c r="C387" s="12" t="s">
        <v>22</v>
      </c>
      <c r="D387" s="12" t="s">
        <v>22</v>
      </c>
      <c r="E387" s="12" t="s">
        <v>624</v>
      </c>
      <c r="F387" s="13" t="s">
        <v>625</v>
      </c>
      <c r="G387" s="12" t="s">
        <v>68</v>
      </c>
      <c r="H387" s="12" t="s">
        <v>626</v>
      </c>
      <c r="I387" s="12" t="s">
        <v>627</v>
      </c>
      <c r="J387" s="17" t="s">
        <v>890</v>
      </c>
      <c r="K387" s="17" t="s">
        <v>890</v>
      </c>
      <c r="L387" s="17" t="s">
        <v>193</v>
      </c>
      <c r="M387" s="17">
        <v>43.0</v>
      </c>
      <c r="N387" s="20">
        <v>45833.0</v>
      </c>
      <c r="O387" s="17" t="s">
        <v>194</v>
      </c>
      <c r="P387" s="16">
        <v>4.0</v>
      </c>
      <c r="Q387" s="16">
        <v>4.0</v>
      </c>
      <c r="R387" s="16">
        <v>3.0</v>
      </c>
      <c r="S387" s="16">
        <v>3.0</v>
      </c>
      <c r="T387" s="16">
        <v>2.0</v>
      </c>
      <c r="U387" s="16">
        <v>2.0</v>
      </c>
      <c r="V387" s="16">
        <v>2.0</v>
      </c>
      <c r="W387" s="16">
        <v>3.0</v>
      </c>
      <c r="X387" s="16">
        <v>3.0</v>
      </c>
      <c r="Y387" s="16">
        <v>3.0</v>
      </c>
      <c r="Z387" s="16">
        <v>2.0</v>
      </c>
      <c r="AA387" s="16">
        <v>4.0</v>
      </c>
      <c r="AB387" s="16">
        <v>2.0</v>
      </c>
      <c r="AC387" s="16">
        <v>3.0</v>
      </c>
      <c r="AD387" s="38">
        <v>14.0</v>
      </c>
      <c r="AE387" s="38">
        <v>15.0</v>
      </c>
      <c r="AF387" s="38">
        <v>8.0</v>
      </c>
      <c r="AG387" s="38" t="s">
        <v>891</v>
      </c>
      <c r="AI387" s="18" t="s">
        <v>588</v>
      </c>
    </row>
    <row r="388">
      <c r="A388" s="11"/>
      <c r="B388" s="12" t="s">
        <v>22</v>
      </c>
      <c r="C388" s="12" t="s">
        <v>22</v>
      </c>
      <c r="D388" s="12" t="s">
        <v>22</v>
      </c>
      <c r="E388" s="12" t="s">
        <v>624</v>
      </c>
      <c r="F388" s="13" t="s">
        <v>625</v>
      </c>
      <c r="G388" s="12" t="s">
        <v>68</v>
      </c>
      <c r="H388" s="12" t="s">
        <v>626</v>
      </c>
      <c r="I388" s="12" t="s">
        <v>627</v>
      </c>
      <c r="J388" s="17" t="s">
        <v>892</v>
      </c>
      <c r="K388" s="17" t="s">
        <v>892</v>
      </c>
      <c r="L388" s="17" t="s">
        <v>193</v>
      </c>
      <c r="M388" s="17">
        <v>37.0</v>
      </c>
      <c r="N388" s="20">
        <v>45833.0</v>
      </c>
      <c r="O388" s="17" t="s">
        <v>194</v>
      </c>
      <c r="P388" s="16">
        <v>3.0</v>
      </c>
      <c r="Q388" s="16">
        <v>3.0</v>
      </c>
      <c r="R388" s="16">
        <v>2.0</v>
      </c>
      <c r="S388" s="16">
        <v>2.0</v>
      </c>
      <c r="T388" s="16">
        <v>2.0</v>
      </c>
      <c r="U388" s="16">
        <v>4.0</v>
      </c>
      <c r="V388" s="16">
        <v>4.0</v>
      </c>
      <c r="W388" s="16">
        <v>2.0</v>
      </c>
      <c r="X388" s="16">
        <v>5.0</v>
      </c>
      <c r="Y388" s="16">
        <v>5.0</v>
      </c>
      <c r="Z388" s="16">
        <v>2.0</v>
      </c>
      <c r="AA388" s="16">
        <v>3.0</v>
      </c>
      <c r="AB388" s="16">
        <v>2.0</v>
      </c>
      <c r="AC388" s="16">
        <v>5.0</v>
      </c>
      <c r="AD388" s="38">
        <v>15.0</v>
      </c>
      <c r="AE388" s="38">
        <v>16.0</v>
      </c>
      <c r="AF388" s="38">
        <v>12.0</v>
      </c>
      <c r="AG388" s="38" t="s">
        <v>893</v>
      </c>
      <c r="AH388" s="17" t="s">
        <v>894</v>
      </c>
      <c r="AI388" s="18" t="s">
        <v>588</v>
      </c>
    </row>
    <row r="389">
      <c r="A389" s="11"/>
      <c r="B389" s="12" t="s">
        <v>22</v>
      </c>
      <c r="C389" s="12" t="s">
        <v>22</v>
      </c>
      <c r="D389" s="12" t="s">
        <v>22</v>
      </c>
      <c r="E389" s="12" t="s">
        <v>624</v>
      </c>
      <c r="F389" s="13" t="s">
        <v>625</v>
      </c>
      <c r="G389" s="12" t="s">
        <v>68</v>
      </c>
      <c r="H389" s="12" t="s">
        <v>626</v>
      </c>
      <c r="I389" s="12" t="s">
        <v>627</v>
      </c>
      <c r="J389" s="17" t="s">
        <v>895</v>
      </c>
      <c r="K389" s="17" t="s">
        <v>895</v>
      </c>
      <c r="L389" s="17" t="s">
        <v>193</v>
      </c>
      <c r="M389" s="17">
        <v>36.0</v>
      </c>
      <c r="N389" s="20">
        <v>45833.0</v>
      </c>
      <c r="O389" s="17" t="s">
        <v>194</v>
      </c>
      <c r="P389" s="16">
        <v>4.0</v>
      </c>
      <c r="Q389" s="16">
        <v>4.0</v>
      </c>
      <c r="R389" s="16">
        <v>3.0</v>
      </c>
      <c r="S389" s="16">
        <v>3.0</v>
      </c>
      <c r="T389" s="16">
        <v>4.0</v>
      </c>
      <c r="U389" s="16">
        <v>4.0</v>
      </c>
      <c r="V389" s="16">
        <v>4.0</v>
      </c>
      <c r="W389" s="16">
        <v>3.0</v>
      </c>
      <c r="X389" s="16">
        <v>5.0</v>
      </c>
      <c r="Y389" s="16">
        <v>5.0</v>
      </c>
      <c r="Z389" s="16">
        <v>4.0</v>
      </c>
      <c r="AA389" s="16">
        <v>4.0</v>
      </c>
      <c r="AB389" s="16">
        <v>4.0</v>
      </c>
      <c r="AC389" s="16">
        <v>5.0</v>
      </c>
      <c r="AD389" s="38">
        <v>14.0</v>
      </c>
      <c r="AE389" s="38">
        <v>15.0</v>
      </c>
      <c r="AF389" s="38">
        <v>16.0</v>
      </c>
      <c r="AG389" s="38" t="s">
        <v>896</v>
      </c>
      <c r="AI389" s="18" t="s">
        <v>588</v>
      </c>
    </row>
    <row r="390">
      <c r="A390" s="11"/>
      <c r="B390" s="12" t="s">
        <v>22</v>
      </c>
      <c r="C390" s="12" t="s">
        <v>22</v>
      </c>
      <c r="D390" s="12" t="s">
        <v>22</v>
      </c>
      <c r="E390" s="12" t="s">
        <v>593</v>
      </c>
      <c r="F390" s="13" t="s">
        <v>594</v>
      </c>
      <c r="G390" s="12" t="s">
        <v>68</v>
      </c>
      <c r="H390" s="12" t="s">
        <v>595</v>
      </c>
      <c r="I390" s="12" t="s">
        <v>596</v>
      </c>
      <c r="J390" s="17" t="s">
        <v>897</v>
      </c>
      <c r="K390" s="17" t="s">
        <v>897</v>
      </c>
      <c r="L390" s="17" t="s">
        <v>193</v>
      </c>
      <c r="M390" s="17">
        <v>23.0</v>
      </c>
      <c r="N390" s="20">
        <v>45840.0</v>
      </c>
      <c r="O390" s="17" t="s">
        <v>194</v>
      </c>
      <c r="P390" s="16">
        <v>5.0</v>
      </c>
      <c r="Q390" s="16">
        <v>5.0</v>
      </c>
      <c r="R390" s="16">
        <v>4.0</v>
      </c>
      <c r="S390" s="16">
        <v>4.0</v>
      </c>
      <c r="T390" s="16">
        <v>5.0</v>
      </c>
      <c r="U390" s="16">
        <v>5.0</v>
      </c>
      <c r="V390" s="16">
        <v>5.0</v>
      </c>
      <c r="W390" s="16">
        <v>4.0</v>
      </c>
      <c r="X390" s="16">
        <v>5.0</v>
      </c>
      <c r="Y390" s="16">
        <v>5.0</v>
      </c>
      <c r="Z390" s="16">
        <v>5.0</v>
      </c>
      <c r="AA390" s="16">
        <v>5.0</v>
      </c>
      <c r="AB390" s="16">
        <v>5.0</v>
      </c>
      <c r="AC390" s="16">
        <v>5.0</v>
      </c>
      <c r="AD390" s="38">
        <v>13.0</v>
      </c>
      <c r="AE390" s="38">
        <v>15.0</v>
      </c>
      <c r="AF390" s="38">
        <v>20.0</v>
      </c>
      <c r="AG390" s="38" t="s">
        <v>898</v>
      </c>
      <c r="AI390" s="18" t="s">
        <v>588</v>
      </c>
    </row>
    <row r="391">
      <c r="A391" s="11"/>
      <c r="B391" s="12" t="s">
        <v>22</v>
      </c>
      <c r="C391" s="12" t="s">
        <v>22</v>
      </c>
      <c r="D391" s="12" t="s">
        <v>22</v>
      </c>
      <c r="E391" s="12" t="s">
        <v>593</v>
      </c>
      <c r="F391" s="13" t="s">
        <v>594</v>
      </c>
      <c r="G391" s="12" t="s">
        <v>68</v>
      </c>
      <c r="H391" s="12" t="s">
        <v>595</v>
      </c>
      <c r="I391" s="12" t="s">
        <v>596</v>
      </c>
      <c r="J391" s="17" t="s">
        <v>899</v>
      </c>
      <c r="K391" s="17" t="s">
        <v>899</v>
      </c>
      <c r="L391" s="17" t="s">
        <v>193</v>
      </c>
      <c r="M391" s="17">
        <v>30.0</v>
      </c>
      <c r="N391" s="20">
        <v>45840.0</v>
      </c>
      <c r="O391" s="17" t="s">
        <v>194</v>
      </c>
      <c r="P391" s="16">
        <v>4.0</v>
      </c>
      <c r="Q391" s="16">
        <v>4.0</v>
      </c>
      <c r="R391" s="16">
        <v>2.0</v>
      </c>
      <c r="S391" s="16">
        <v>2.0</v>
      </c>
      <c r="T391" s="16">
        <v>4.0</v>
      </c>
      <c r="U391" s="16">
        <v>3.0</v>
      </c>
      <c r="V391" s="16">
        <v>3.0</v>
      </c>
      <c r="W391" s="16">
        <v>2.0</v>
      </c>
      <c r="X391" s="16">
        <v>4.0</v>
      </c>
      <c r="Y391" s="16">
        <v>4.0</v>
      </c>
      <c r="Z391" s="16">
        <v>4.0</v>
      </c>
      <c r="AA391" s="16">
        <v>4.0</v>
      </c>
      <c r="AB391" s="16">
        <v>4.0</v>
      </c>
      <c r="AC391" s="16">
        <v>4.0</v>
      </c>
      <c r="AD391" s="38">
        <v>14.0</v>
      </c>
      <c r="AE391" s="38">
        <v>13.0</v>
      </c>
      <c r="AF391" s="38">
        <v>14.0</v>
      </c>
      <c r="AG391" s="38" t="s">
        <v>900</v>
      </c>
      <c r="AI391" s="18" t="s">
        <v>588</v>
      </c>
    </row>
    <row r="392">
      <c r="A392" s="11"/>
      <c r="B392" s="12" t="s">
        <v>22</v>
      </c>
      <c r="C392" s="12" t="s">
        <v>22</v>
      </c>
      <c r="D392" s="12" t="s">
        <v>22</v>
      </c>
      <c r="E392" s="12" t="s">
        <v>593</v>
      </c>
      <c r="F392" s="13" t="s">
        <v>594</v>
      </c>
      <c r="G392" s="12" t="s">
        <v>68</v>
      </c>
      <c r="H392" s="12" t="s">
        <v>595</v>
      </c>
      <c r="I392" s="12" t="s">
        <v>596</v>
      </c>
      <c r="J392" s="17" t="s">
        <v>901</v>
      </c>
      <c r="K392" s="17" t="s">
        <v>901</v>
      </c>
      <c r="L392" s="17" t="s">
        <v>193</v>
      </c>
      <c r="M392" s="17">
        <v>30.0</v>
      </c>
      <c r="N392" s="20">
        <v>45840.0</v>
      </c>
      <c r="O392" s="17" t="s">
        <v>194</v>
      </c>
      <c r="P392" s="16">
        <v>4.0</v>
      </c>
      <c r="Q392" s="16">
        <v>4.0</v>
      </c>
      <c r="R392" s="16">
        <v>4.0</v>
      </c>
      <c r="S392" s="16">
        <v>4.0</v>
      </c>
      <c r="T392" s="16">
        <v>5.0</v>
      </c>
      <c r="U392" s="16">
        <v>5.0</v>
      </c>
      <c r="V392" s="16">
        <v>5.0</v>
      </c>
      <c r="W392" s="16">
        <v>4.0</v>
      </c>
      <c r="X392" s="16">
        <v>5.0</v>
      </c>
      <c r="Y392" s="16">
        <v>5.0</v>
      </c>
      <c r="Z392" s="16">
        <v>5.0</v>
      </c>
      <c r="AA392" s="16">
        <v>4.0</v>
      </c>
      <c r="AB392" s="16">
        <v>5.0</v>
      </c>
      <c r="AC392" s="16">
        <v>5.0</v>
      </c>
      <c r="AD392" s="38">
        <v>14.0</v>
      </c>
      <c r="AE392" s="38">
        <v>15.0</v>
      </c>
      <c r="AF392" s="38">
        <v>20.0</v>
      </c>
      <c r="AG392" s="38" t="s">
        <v>898</v>
      </c>
      <c r="AI392" s="18" t="s">
        <v>588</v>
      </c>
    </row>
    <row r="393">
      <c r="A393" s="11"/>
      <c r="B393" s="12" t="s">
        <v>7</v>
      </c>
      <c r="C393" s="12" t="s">
        <v>37</v>
      </c>
      <c r="D393" s="12" t="s">
        <v>38</v>
      </c>
      <c r="E393" s="12" t="s">
        <v>41</v>
      </c>
      <c r="F393" s="13" t="s">
        <v>39</v>
      </c>
      <c r="G393" s="12" t="s">
        <v>68</v>
      </c>
      <c r="H393" s="12" t="s">
        <v>902</v>
      </c>
      <c r="I393" s="12" t="s">
        <v>903</v>
      </c>
      <c r="J393" s="17" t="s">
        <v>904</v>
      </c>
      <c r="K393" s="17" t="s">
        <v>904</v>
      </c>
      <c r="L393" s="17" t="s">
        <v>222</v>
      </c>
      <c r="M393" s="17">
        <v>32.0</v>
      </c>
      <c r="N393" s="20">
        <v>45846.0</v>
      </c>
      <c r="O393" s="17" t="s">
        <v>194</v>
      </c>
      <c r="P393" s="16">
        <v>3.0</v>
      </c>
      <c r="Q393" s="16">
        <v>3.0</v>
      </c>
      <c r="R393" s="16">
        <v>4.0</v>
      </c>
      <c r="S393" s="16">
        <v>4.0</v>
      </c>
      <c r="T393" s="16">
        <v>4.0</v>
      </c>
      <c r="U393" s="16">
        <v>4.0</v>
      </c>
      <c r="V393" s="16">
        <v>4.0</v>
      </c>
      <c r="W393" s="16">
        <v>4.0</v>
      </c>
      <c r="X393" s="16">
        <v>3.0</v>
      </c>
      <c r="Y393" s="16">
        <v>3.0</v>
      </c>
      <c r="Z393" s="16">
        <v>4.0</v>
      </c>
      <c r="AA393" s="16">
        <v>3.0</v>
      </c>
      <c r="AB393" s="16">
        <v>4.0</v>
      </c>
      <c r="AC393" s="16">
        <v>3.0</v>
      </c>
      <c r="AD393" s="38">
        <v>15.0</v>
      </c>
      <c r="AE393" s="38">
        <v>14.0</v>
      </c>
      <c r="AF393" s="38">
        <v>16.0</v>
      </c>
      <c r="AG393" s="38" t="s">
        <v>905</v>
      </c>
      <c r="AI393" s="18" t="s">
        <v>588</v>
      </c>
    </row>
    <row r="394">
      <c r="A394" s="11"/>
      <c r="B394" s="12" t="s">
        <v>7</v>
      </c>
      <c r="C394" s="12" t="s">
        <v>37</v>
      </c>
      <c r="D394" s="12" t="s">
        <v>38</v>
      </c>
      <c r="E394" s="12" t="s">
        <v>41</v>
      </c>
      <c r="F394" s="13" t="s">
        <v>39</v>
      </c>
      <c r="G394" s="12" t="s">
        <v>68</v>
      </c>
      <c r="H394" s="12" t="s">
        <v>902</v>
      </c>
      <c r="I394" s="12" t="s">
        <v>903</v>
      </c>
      <c r="J394" s="17" t="s">
        <v>906</v>
      </c>
      <c r="K394" s="17" t="s">
        <v>906</v>
      </c>
      <c r="L394" s="17" t="s">
        <v>193</v>
      </c>
      <c r="M394" s="17">
        <v>40.0</v>
      </c>
      <c r="N394" s="20">
        <v>46211.0</v>
      </c>
      <c r="O394" s="17" t="s">
        <v>194</v>
      </c>
      <c r="P394" s="16">
        <v>4.0</v>
      </c>
      <c r="Q394" s="16">
        <v>4.0</v>
      </c>
      <c r="R394" s="16">
        <v>4.0</v>
      </c>
      <c r="S394" s="16">
        <v>4.0</v>
      </c>
      <c r="T394" s="16">
        <v>4.0</v>
      </c>
      <c r="U394" s="16">
        <v>4.0</v>
      </c>
      <c r="V394" s="16">
        <v>4.0</v>
      </c>
      <c r="W394" s="16">
        <v>4.0</v>
      </c>
      <c r="X394" s="16">
        <v>4.0</v>
      </c>
      <c r="Y394" s="16">
        <v>4.0</v>
      </c>
      <c r="Z394" s="16">
        <v>4.0</v>
      </c>
      <c r="AA394" s="16">
        <v>4.0</v>
      </c>
      <c r="AB394" s="16">
        <v>4.0</v>
      </c>
      <c r="AC394" s="16">
        <v>4.0</v>
      </c>
      <c r="AD394" s="38">
        <v>14.0</v>
      </c>
      <c r="AE394" s="38">
        <v>15.0</v>
      </c>
      <c r="AF394" s="38">
        <v>16.0</v>
      </c>
      <c r="AG394" s="38" t="s">
        <v>621</v>
      </c>
      <c r="AI394" s="18" t="s">
        <v>588</v>
      </c>
    </row>
    <row r="395">
      <c r="A395" s="11"/>
      <c r="B395" s="12" t="s">
        <v>7</v>
      </c>
      <c r="C395" s="12" t="s">
        <v>37</v>
      </c>
      <c r="D395" s="12" t="s">
        <v>38</v>
      </c>
      <c r="E395" s="12" t="s">
        <v>41</v>
      </c>
      <c r="F395" s="13" t="s">
        <v>39</v>
      </c>
      <c r="G395" s="12" t="s">
        <v>68</v>
      </c>
      <c r="H395" s="12" t="s">
        <v>902</v>
      </c>
      <c r="I395" s="12" t="s">
        <v>903</v>
      </c>
      <c r="J395" s="17" t="s">
        <v>907</v>
      </c>
      <c r="K395" s="17" t="s">
        <v>907</v>
      </c>
      <c r="L395" s="17" t="s">
        <v>193</v>
      </c>
      <c r="M395" s="17">
        <v>31.0</v>
      </c>
      <c r="N395" s="20">
        <v>45846.0</v>
      </c>
      <c r="O395" s="17" t="s">
        <v>194</v>
      </c>
      <c r="P395" s="16">
        <v>3.0</v>
      </c>
      <c r="Q395" s="16">
        <v>3.0</v>
      </c>
      <c r="R395" s="16">
        <v>4.0</v>
      </c>
      <c r="S395" s="16">
        <v>4.0</v>
      </c>
      <c r="T395" s="16">
        <v>4.0</v>
      </c>
      <c r="U395" s="16">
        <v>5.0</v>
      </c>
      <c r="V395" s="16">
        <v>5.0</v>
      </c>
      <c r="W395" s="16">
        <v>4.0</v>
      </c>
      <c r="X395" s="16">
        <v>5.0</v>
      </c>
      <c r="Y395" s="16">
        <v>5.0</v>
      </c>
      <c r="Z395" s="16">
        <v>4.0</v>
      </c>
      <c r="AA395" s="16">
        <v>3.0</v>
      </c>
      <c r="AB395" s="16">
        <v>4.0</v>
      </c>
      <c r="AC395" s="16">
        <v>5.0</v>
      </c>
      <c r="AD395" s="38">
        <v>15.0</v>
      </c>
      <c r="AE395" s="38">
        <v>16.0</v>
      </c>
      <c r="AF395" s="38">
        <v>18.0</v>
      </c>
      <c r="AG395" s="38" t="s">
        <v>908</v>
      </c>
      <c r="AI395" s="18" t="s">
        <v>588</v>
      </c>
    </row>
    <row r="396">
      <c r="A396" s="11"/>
      <c r="B396" s="12" t="s">
        <v>7</v>
      </c>
      <c r="C396" s="12" t="s">
        <v>37</v>
      </c>
      <c r="D396" s="12" t="s">
        <v>38</v>
      </c>
      <c r="E396" s="12" t="s">
        <v>41</v>
      </c>
      <c r="F396" s="13" t="s">
        <v>39</v>
      </c>
      <c r="G396" s="12" t="s">
        <v>68</v>
      </c>
      <c r="H396" s="12" t="s">
        <v>902</v>
      </c>
      <c r="I396" s="12" t="s">
        <v>903</v>
      </c>
      <c r="J396" s="17" t="s">
        <v>909</v>
      </c>
      <c r="K396" s="17" t="s">
        <v>909</v>
      </c>
      <c r="L396" s="17" t="s">
        <v>193</v>
      </c>
      <c r="M396" s="17">
        <v>35.0</v>
      </c>
      <c r="N396" s="20">
        <v>45846.0</v>
      </c>
      <c r="O396" s="17" t="s">
        <v>194</v>
      </c>
      <c r="P396" s="16">
        <v>4.0</v>
      </c>
      <c r="Q396" s="16">
        <v>4.0</v>
      </c>
      <c r="R396" s="16">
        <v>4.0</v>
      </c>
      <c r="S396" s="16">
        <v>4.0</v>
      </c>
      <c r="T396" s="16">
        <v>3.0</v>
      </c>
      <c r="U396" s="16">
        <v>4.0</v>
      </c>
      <c r="V396" s="16">
        <v>4.0</v>
      </c>
      <c r="W396" s="16">
        <v>4.0</v>
      </c>
      <c r="X396" s="16">
        <v>4.0</v>
      </c>
      <c r="Y396" s="16">
        <v>4.0</v>
      </c>
      <c r="Z396" s="16">
        <v>3.0</v>
      </c>
      <c r="AA396" s="16">
        <v>4.0</v>
      </c>
      <c r="AB396" s="16">
        <v>3.0</v>
      </c>
      <c r="AC396" s="16">
        <v>4.0</v>
      </c>
      <c r="AD396" s="38">
        <v>14.0</v>
      </c>
      <c r="AE396" s="38">
        <v>16.0</v>
      </c>
      <c r="AF396" s="38">
        <v>14.0</v>
      </c>
      <c r="AG396" s="38" t="s">
        <v>910</v>
      </c>
      <c r="AI396" s="18" t="s">
        <v>588</v>
      </c>
    </row>
    <row r="397">
      <c r="A397" s="11"/>
      <c r="B397" s="12" t="s">
        <v>7</v>
      </c>
      <c r="C397" s="12" t="s">
        <v>8</v>
      </c>
      <c r="D397" s="12" t="s">
        <v>9</v>
      </c>
      <c r="E397" s="12" t="s">
        <v>10</v>
      </c>
      <c r="F397" s="13" t="s">
        <v>11</v>
      </c>
      <c r="G397" s="12" t="s">
        <v>68</v>
      </c>
      <c r="H397" s="12" t="s">
        <v>911</v>
      </c>
      <c r="I397" s="12" t="s">
        <v>912</v>
      </c>
      <c r="J397" s="17" t="s">
        <v>913</v>
      </c>
      <c r="K397" s="17" t="s">
        <v>913</v>
      </c>
      <c r="L397" s="17" t="s">
        <v>193</v>
      </c>
      <c r="M397" s="17">
        <v>35.0</v>
      </c>
      <c r="N397" s="20">
        <v>45838.0</v>
      </c>
      <c r="O397" s="17" t="s">
        <v>194</v>
      </c>
      <c r="P397" s="16">
        <v>4.0</v>
      </c>
      <c r="Q397" s="16">
        <v>4.0</v>
      </c>
      <c r="R397" s="16">
        <v>3.0</v>
      </c>
      <c r="S397" s="16">
        <v>3.0</v>
      </c>
      <c r="T397" s="16">
        <v>5.0</v>
      </c>
      <c r="U397" s="16">
        <v>5.0</v>
      </c>
      <c r="V397" s="16">
        <v>5.0</v>
      </c>
      <c r="W397" s="16">
        <v>3.0</v>
      </c>
      <c r="X397" s="16">
        <v>4.0</v>
      </c>
      <c r="Y397" s="16">
        <v>4.0</v>
      </c>
      <c r="Z397" s="16">
        <v>5.0</v>
      </c>
      <c r="AA397" s="16">
        <v>4.0</v>
      </c>
      <c r="AB397" s="16">
        <v>5.0</v>
      </c>
      <c r="AC397" s="16">
        <v>4.0</v>
      </c>
      <c r="AD397" s="38">
        <v>14.0</v>
      </c>
      <c r="AE397" s="38">
        <v>13.0</v>
      </c>
      <c r="AF397" s="38">
        <v>20.0</v>
      </c>
      <c r="AG397" s="38" t="s">
        <v>914</v>
      </c>
      <c r="AI397" s="18" t="s">
        <v>915</v>
      </c>
    </row>
    <row r="398">
      <c r="A398" s="11"/>
      <c r="B398" s="12" t="s">
        <v>7</v>
      </c>
      <c r="C398" s="12" t="s">
        <v>8</v>
      </c>
      <c r="D398" s="12" t="s">
        <v>9</v>
      </c>
      <c r="E398" s="12" t="s">
        <v>10</v>
      </c>
      <c r="F398" s="13" t="s">
        <v>11</v>
      </c>
      <c r="G398" s="12" t="s">
        <v>68</v>
      </c>
      <c r="H398" s="12" t="s">
        <v>911</v>
      </c>
      <c r="I398" s="12" t="s">
        <v>912</v>
      </c>
      <c r="J398" s="17" t="s">
        <v>916</v>
      </c>
      <c r="K398" s="17" t="s">
        <v>916</v>
      </c>
      <c r="L398" s="17" t="s">
        <v>193</v>
      </c>
      <c r="M398" s="17">
        <v>26.0</v>
      </c>
      <c r="N398" s="20">
        <v>45838.0</v>
      </c>
      <c r="O398" s="17" t="s">
        <v>194</v>
      </c>
      <c r="P398" s="16">
        <v>4.0</v>
      </c>
      <c r="Q398" s="16">
        <v>4.0</v>
      </c>
      <c r="R398" s="16">
        <v>4.0</v>
      </c>
      <c r="S398" s="16">
        <v>4.0</v>
      </c>
      <c r="T398" s="16">
        <v>4.0</v>
      </c>
      <c r="U398" s="16">
        <v>4.0</v>
      </c>
      <c r="V398" s="16">
        <v>4.0</v>
      </c>
      <c r="W398" s="16">
        <v>4.0</v>
      </c>
      <c r="X398" s="16">
        <v>4.0</v>
      </c>
      <c r="Y398" s="16">
        <v>4.0</v>
      </c>
      <c r="Z398" s="16">
        <v>4.0</v>
      </c>
      <c r="AA398" s="16">
        <v>4.0</v>
      </c>
      <c r="AB398" s="16">
        <v>4.0</v>
      </c>
      <c r="AC398" s="16">
        <v>4.0</v>
      </c>
      <c r="AD398" s="38">
        <v>14.0</v>
      </c>
      <c r="AE398" s="38">
        <v>15.0</v>
      </c>
      <c r="AF398" s="38">
        <v>16.0</v>
      </c>
      <c r="AG398" s="38" t="s">
        <v>917</v>
      </c>
      <c r="AI398" s="18" t="s">
        <v>915</v>
      </c>
    </row>
    <row r="399">
      <c r="A399" s="11"/>
      <c r="B399" s="12" t="s">
        <v>7</v>
      </c>
      <c r="C399" s="12" t="s">
        <v>8</v>
      </c>
      <c r="D399" s="12" t="s">
        <v>9</v>
      </c>
      <c r="E399" s="12" t="s">
        <v>10</v>
      </c>
      <c r="F399" s="13" t="s">
        <v>11</v>
      </c>
      <c r="G399" s="12" t="s">
        <v>68</v>
      </c>
      <c r="H399" s="12" t="s">
        <v>911</v>
      </c>
      <c r="I399" s="12" t="s">
        <v>912</v>
      </c>
      <c r="J399" s="17" t="s">
        <v>918</v>
      </c>
      <c r="K399" s="17" t="s">
        <v>918</v>
      </c>
      <c r="L399" s="17" t="s">
        <v>193</v>
      </c>
      <c r="M399" s="17">
        <v>31.0</v>
      </c>
      <c r="N399" s="20">
        <v>45838.0</v>
      </c>
      <c r="O399" s="17" t="s">
        <v>194</v>
      </c>
      <c r="P399" s="16">
        <v>4.0</v>
      </c>
      <c r="Q399" s="16">
        <v>4.0</v>
      </c>
      <c r="R399" s="16">
        <v>4.0</v>
      </c>
      <c r="S399" s="16">
        <v>4.0</v>
      </c>
      <c r="T399" s="16">
        <v>5.0</v>
      </c>
      <c r="U399" s="16">
        <v>5.0</v>
      </c>
      <c r="V399" s="16">
        <v>5.0</v>
      </c>
      <c r="W399" s="16">
        <v>4.0</v>
      </c>
      <c r="X399" s="16">
        <v>4.0</v>
      </c>
      <c r="Y399" s="16">
        <v>4.0</v>
      </c>
      <c r="Z399" s="16">
        <v>5.0</v>
      </c>
      <c r="AA399" s="16">
        <v>4.0</v>
      </c>
      <c r="AB399" s="16">
        <v>5.0</v>
      </c>
      <c r="AC399" s="16">
        <v>4.0</v>
      </c>
      <c r="AD399" s="38">
        <v>14.0</v>
      </c>
      <c r="AE399" s="38">
        <v>14.0</v>
      </c>
      <c r="AF399" s="38">
        <v>20.0</v>
      </c>
      <c r="AG399" s="38" t="s">
        <v>919</v>
      </c>
      <c r="AI399" s="18" t="s">
        <v>915</v>
      </c>
    </row>
    <row r="400">
      <c r="A400" s="11"/>
      <c r="B400" s="12" t="s">
        <v>7</v>
      </c>
      <c r="C400" s="12" t="s">
        <v>8</v>
      </c>
      <c r="D400" s="12" t="s">
        <v>9</v>
      </c>
      <c r="E400" s="12" t="s">
        <v>10</v>
      </c>
      <c r="F400" s="13" t="s">
        <v>11</v>
      </c>
      <c r="G400" s="12" t="s">
        <v>68</v>
      </c>
      <c r="H400" s="12" t="s">
        <v>911</v>
      </c>
      <c r="I400" s="12" t="s">
        <v>912</v>
      </c>
      <c r="J400" s="17" t="s">
        <v>920</v>
      </c>
      <c r="K400" s="17" t="s">
        <v>920</v>
      </c>
      <c r="L400" s="17" t="s">
        <v>193</v>
      </c>
      <c r="M400" s="17">
        <v>30.0</v>
      </c>
      <c r="N400" s="20">
        <v>45838.0</v>
      </c>
      <c r="O400" s="17" t="s">
        <v>194</v>
      </c>
      <c r="P400" s="16">
        <v>4.0</v>
      </c>
      <c r="Q400" s="16">
        <v>4.0</v>
      </c>
      <c r="R400" s="16">
        <v>3.0</v>
      </c>
      <c r="S400" s="16">
        <v>3.0</v>
      </c>
      <c r="T400" s="16">
        <v>5.0</v>
      </c>
      <c r="U400" s="16">
        <v>4.0</v>
      </c>
      <c r="V400" s="16">
        <v>4.0</v>
      </c>
      <c r="W400" s="16">
        <v>3.0</v>
      </c>
      <c r="X400" s="16">
        <v>5.0</v>
      </c>
      <c r="Y400" s="16">
        <v>5.0</v>
      </c>
      <c r="Z400" s="16">
        <v>5.0</v>
      </c>
      <c r="AA400" s="16">
        <v>4.0</v>
      </c>
      <c r="AB400" s="16">
        <v>5.0</v>
      </c>
      <c r="AC400" s="16">
        <v>5.0</v>
      </c>
      <c r="AD400" s="38">
        <v>14.0</v>
      </c>
      <c r="AE400" s="38">
        <v>14.0</v>
      </c>
      <c r="AF400" s="38">
        <v>18.0</v>
      </c>
      <c r="AG400" s="38" t="s">
        <v>921</v>
      </c>
      <c r="AI400" s="18" t="s">
        <v>915</v>
      </c>
    </row>
    <row r="401">
      <c r="A401" s="11"/>
      <c r="B401" s="12" t="s">
        <v>7</v>
      </c>
      <c r="C401" s="12" t="s">
        <v>8</v>
      </c>
      <c r="D401" s="12" t="s">
        <v>9</v>
      </c>
      <c r="E401" s="12" t="s">
        <v>10</v>
      </c>
      <c r="F401" s="13" t="s">
        <v>11</v>
      </c>
      <c r="G401" s="12" t="s">
        <v>68</v>
      </c>
      <c r="H401" s="12" t="s">
        <v>911</v>
      </c>
      <c r="I401" s="12" t="s">
        <v>912</v>
      </c>
      <c r="J401" s="17" t="s">
        <v>922</v>
      </c>
      <c r="K401" s="17" t="s">
        <v>922</v>
      </c>
      <c r="L401" s="17" t="s">
        <v>193</v>
      </c>
      <c r="M401" s="17">
        <v>24.0</v>
      </c>
      <c r="N401" s="20">
        <v>45838.0</v>
      </c>
      <c r="O401" s="17" t="s">
        <v>194</v>
      </c>
      <c r="P401" s="16">
        <v>4.0</v>
      </c>
      <c r="Q401" s="16">
        <v>4.0</v>
      </c>
      <c r="R401" s="16">
        <v>5.0</v>
      </c>
      <c r="S401" s="16">
        <v>5.0</v>
      </c>
      <c r="T401" s="16">
        <v>5.0</v>
      </c>
      <c r="U401" s="16">
        <v>4.0</v>
      </c>
      <c r="V401" s="16">
        <v>4.0</v>
      </c>
      <c r="W401" s="16">
        <v>5.0</v>
      </c>
      <c r="X401" s="16">
        <v>5.0</v>
      </c>
      <c r="Y401" s="16">
        <v>5.0</v>
      </c>
      <c r="Z401" s="16">
        <v>5.0</v>
      </c>
      <c r="AA401" s="16">
        <v>4.0</v>
      </c>
      <c r="AB401" s="16">
        <v>5.0</v>
      </c>
      <c r="AC401" s="16">
        <v>5.0</v>
      </c>
      <c r="AD401" s="38">
        <v>14.0</v>
      </c>
      <c r="AE401" s="38">
        <v>16.0</v>
      </c>
      <c r="AF401" s="38">
        <v>18.0</v>
      </c>
      <c r="AG401" s="38" t="s">
        <v>923</v>
      </c>
      <c r="AI401" s="18" t="s">
        <v>915</v>
      </c>
    </row>
    <row r="402">
      <c r="A402" s="11"/>
      <c r="B402" s="12" t="s">
        <v>7</v>
      </c>
      <c r="C402" s="12" t="s">
        <v>8</v>
      </c>
      <c r="D402" s="12" t="s">
        <v>9</v>
      </c>
      <c r="E402" s="12" t="s">
        <v>10</v>
      </c>
      <c r="F402" s="13" t="s">
        <v>11</v>
      </c>
      <c r="G402" s="12" t="s">
        <v>68</v>
      </c>
      <c r="H402" s="12" t="s">
        <v>911</v>
      </c>
      <c r="I402" s="12" t="s">
        <v>912</v>
      </c>
      <c r="J402" s="17" t="s">
        <v>924</v>
      </c>
      <c r="K402" s="17" t="s">
        <v>924</v>
      </c>
      <c r="L402" s="17" t="s">
        <v>193</v>
      </c>
      <c r="M402" s="40"/>
      <c r="N402" s="20">
        <v>45838.0</v>
      </c>
      <c r="O402" s="17" t="s">
        <v>194</v>
      </c>
      <c r="P402" s="16">
        <v>4.0</v>
      </c>
      <c r="Q402" s="16">
        <v>4.0</v>
      </c>
      <c r="R402" s="16">
        <v>3.0</v>
      </c>
      <c r="S402" s="16">
        <v>3.0</v>
      </c>
      <c r="T402" s="16">
        <v>4.0</v>
      </c>
      <c r="U402" s="16">
        <v>4.0</v>
      </c>
      <c r="V402" s="16">
        <v>4.0</v>
      </c>
      <c r="W402" s="16">
        <v>3.0</v>
      </c>
      <c r="X402" s="16">
        <v>4.0</v>
      </c>
      <c r="Y402" s="16">
        <v>4.0</v>
      </c>
      <c r="Z402" s="16">
        <v>4.0</v>
      </c>
      <c r="AA402" s="16">
        <v>4.0</v>
      </c>
      <c r="AB402" s="16">
        <v>4.0</v>
      </c>
      <c r="AC402" s="16">
        <v>4.0</v>
      </c>
      <c r="AD402" s="38">
        <v>14.0</v>
      </c>
      <c r="AE402" s="38">
        <v>14.0</v>
      </c>
      <c r="AF402" s="38">
        <v>16.0</v>
      </c>
      <c r="AG402" s="38" t="s">
        <v>925</v>
      </c>
      <c r="AI402" s="18" t="s">
        <v>915</v>
      </c>
    </row>
    <row r="403">
      <c r="A403" s="11"/>
      <c r="B403" s="12" t="s">
        <v>7</v>
      </c>
      <c r="C403" s="12" t="s">
        <v>8</v>
      </c>
      <c r="D403" s="12" t="s">
        <v>9</v>
      </c>
      <c r="E403" s="12" t="s">
        <v>10</v>
      </c>
      <c r="F403" s="13" t="s">
        <v>11</v>
      </c>
      <c r="G403" s="12" t="s">
        <v>68</v>
      </c>
      <c r="H403" s="12" t="s">
        <v>911</v>
      </c>
      <c r="I403" s="12" t="s">
        <v>912</v>
      </c>
      <c r="J403" s="17" t="s">
        <v>926</v>
      </c>
      <c r="K403" s="17" t="s">
        <v>926</v>
      </c>
      <c r="L403" s="17" t="s">
        <v>193</v>
      </c>
      <c r="M403" s="17">
        <v>40.0</v>
      </c>
      <c r="N403" s="20">
        <v>45838.0</v>
      </c>
      <c r="O403" s="17" t="s">
        <v>194</v>
      </c>
      <c r="P403" s="16">
        <v>5.0</v>
      </c>
      <c r="Q403" s="16">
        <v>5.0</v>
      </c>
      <c r="R403" s="16">
        <v>3.0</v>
      </c>
      <c r="S403" s="16">
        <v>3.0</v>
      </c>
      <c r="T403" s="16">
        <v>3.0</v>
      </c>
      <c r="U403" s="16">
        <v>2.0</v>
      </c>
      <c r="V403" s="16">
        <v>2.0</v>
      </c>
      <c r="W403" s="16">
        <v>3.0</v>
      </c>
      <c r="X403" s="16">
        <v>5.0</v>
      </c>
      <c r="Y403" s="16">
        <v>5.0</v>
      </c>
      <c r="Z403" s="16">
        <v>3.0</v>
      </c>
      <c r="AA403" s="16">
        <v>5.0</v>
      </c>
      <c r="AB403" s="16">
        <v>3.0</v>
      </c>
      <c r="AC403" s="16">
        <v>5.0</v>
      </c>
      <c r="AD403" s="38">
        <v>13.0</v>
      </c>
      <c r="AE403" s="38">
        <v>16.0</v>
      </c>
      <c r="AF403" s="38">
        <v>10.0</v>
      </c>
      <c r="AG403" s="38" t="s">
        <v>927</v>
      </c>
      <c r="AI403" s="18" t="s">
        <v>915</v>
      </c>
    </row>
    <row r="404">
      <c r="A404" s="11"/>
      <c r="B404" s="12" t="s">
        <v>7</v>
      </c>
      <c r="C404" s="12" t="s">
        <v>8</v>
      </c>
      <c r="D404" s="12" t="s">
        <v>15</v>
      </c>
      <c r="E404" s="12" t="s">
        <v>15</v>
      </c>
      <c r="F404" s="13" t="s">
        <v>16</v>
      </c>
      <c r="G404" s="12" t="s">
        <v>68</v>
      </c>
      <c r="H404" s="12" t="s">
        <v>928</v>
      </c>
      <c r="I404" s="12" t="s">
        <v>929</v>
      </c>
      <c r="J404" s="17" t="s">
        <v>930</v>
      </c>
      <c r="K404" s="17" t="s">
        <v>930</v>
      </c>
      <c r="L404" s="17" t="s">
        <v>193</v>
      </c>
      <c r="M404" s="17">
        <v>33.0</v>
      </c>
      <c r="N404" s="20">
        <v>45838.0</v>
      </c>
      <c r="O404" s="17" t="s">
        <v>194</v>
      </c>
      <c r="P404" s="16">
        <v>5.0</v>
      </c>
      <c r="Q404" s="16">
        <v>5.0</v>
      </c>
      <c r="R404" s="16">
        <v>5.0</v>
      </c>
      <c r="S404" s="16">
        <v>5.0</v>
      </c>
      <c r="T404" s="16">
        <v>5.0</v>
      </c>
      <c r="U404" s="16">
        <v>5.0</v>
      </c>
      <c r="V404" s="16">
        <v>5.0</v>
      </c>
      <c r="W404" s="16">
        <v>5.0</v>
      </c>
      <c r="X404" s="16">
        <v>5.0</v>
      </c>
      <c r="Y404" s="16">
        <v>5.0</v>
      </c>
      <c r="Z404" s="16">
        <v>5.0</v>
      </c>
      <c r="AA404" s="16">
        <v>5.0</v>
      </c>
      <c r="AB404" s="16">
        <v>5.0</v>
      </c>
      <c r="AC404" s="16">
        <v>5.0</v>
      </c>
      <c r="AD404" s="38">
        <v>13.0</v>
      </c>
      <c r="AE404" s="38">
        <v>16.0</v>
      </c>
      <c r="AF404" s="38">
        <v>20.0</v>
      </c>
      <c r="AG404" s="38" t="s">
        <v>931</v>
      </c>
      <c r="AI404" s="18" t="s">
        <v>915</v>
      </c>
    </row>
    <row r="405">
      <c r="A405" s="11"/>
      <c r="B405" s="12" t="s">
        <v>7</v>
      </c>
      <c r="C405" s="12" t="s">
        <v>8</v>
      </c>
      <c r="D405" s="12" t="s">
        <v>15</v>
      </c>
      <c r="E405" s="12" t="s">
        <v>15</v>
      </c>
      <c r="F405" s="13" t="s">
        <v>16</v>
      </c>
      <c r="G405" s="12" t="s">
        <v>68</v>
      </c>
      <c r="H405" s="12" t="s">
        <v>928</v>
      </c>
      <c r="I405" s="12" t="s">
        <v>929</v>
      </c>
      <c r="J405" s="17" t="s">
        <v>932</v>
      </c>
      <c r="K405" s="17" t="s">
        <v>932</v>
      </c>
      <c r="L405" s="17" t="s">
        <v>193</v>
      </c>
      <c r="M405" s="40"/>
      <c r="N405" s="20">
        <v>45838.0</v>
      </c>
      <c r="O405" s="17" t="s">
        <v>194</v>
      </c>
      <c r="P405" s="16">
        <v>1.0</v>
      </c>
      <c r="Q405" s="16">
        <v>1.0</v>
      </c>
      <c r="R405" s="16">
        <v>2.0</v>
      </c>
      <c r="S405" s="16">
        <v>2.0</v>
      </c>
      <c r="T405" s="16">
        <v>5.0</v>
      </c>
      <c r="U405" s="16">
        <v>5.0</v>
      </c>
      <c r="V405" s="16">
        <v>5.0</v>
      </c>
      <c r="W405" s="16">
        <v>2.0</v>
      </c>
      <c r="X405" s="16">
        <v>5.0</v>
      </c>
      <c r="Y405" s="16">
        <v>5.0</v>
      </c>
      <c r="Z405" s="16">
        <v>5.0</v>
      </c>
      <c r="AA405" s="16">
        <v>1.0</v>
      </c>
      <c r="AB405" s="16">
        <v>5.0</v>
      </c>
      <c r="AC405" s="16">
        <v>5.0</v>
      </c>
      <c r="AD405" s="38">
        <v>17.0</v>
      </c>
      <c r="AE405" s="38">
        <v>13.0</v>
      </c>
      <c r="AF405" s="38">
        <v>20.0</v>
      </c>
      <c r="AG405" s="38" t="s">
        <v>933</v>
      </c>
      <c r="AI405" s="18" t="s">
        <v>915</v>
      </c>
    </row>
    <row r="406">
      <c r="A406" s="11"/>
      <c r="B406" s="12" t="s">
        <v>7</v>
      </c>
      <c r="C406" s="12" t="s">
        <v>8</v>
      </c>
      <c r="D406" s="12" t="s">
        <v>15</v>
      </c>
      <c r="E406" s="12" t="s">
        <v>15</v>
      </c>
      <c r="F406" s="13" t="s">
        <v>16</v>
      </c>
      <c r="G406" s="12" t="s">
        <v>68</v>
      </c>
      <c r="H406" s="12" t="s">
        <v>928</v>
      </c>
      <c r="I406" s="12" t="s">
        <v>929</v>
      </c>
      <c r="J406" s="17" t="s">
        <v>934</v>
      </c>
      <c r="K406" s="17" t="s">
        <v>934</v>
      </c>
      <c r="L406" s="17" t="s">
        <v>193</v>
      </c>
      <c r="M406" s="17">
        <v>33.0</v>
      </c>
      <c r="N406" s="20">
        <v>45838.0</v>
      </c>
      <c r="O406" s="17" t="s">
        <v>194</v>
      </c>
      <c r="P406" s="16">
        <v>5.0</v>
      </c>
      <c r="Q406" s="16">
        <v>5.0</v>
      </c>
      <c r="R406" s="16">
        <v>5.0</v>
      </c>
      <c r="S406" s="16">
        <v>5.0</v>
      </c>
      <c r="T406" s="16">
        <v>5.0</v>
      </c>
      <c r="U406" s="16">
        <v>5.0</v>
      </c>
      <c r="V406" s="16">
        <v>5.0</v>
      </c>
      <c r="W406" s="16">
        <v>5.0</v>
      </c>
      <c r="X406" s="16">
        <v>5.0</v>
      </c>
      <c r="Y406" s="16">
        <v>5.0</v>
      </c>
      <c r="Z406" s="16">
        <v>5.0</v>
      </c>
      <c r="AA406" s="16">
        <v>5.0</v>
      </c>
      <c r="AB406" s="16">
        <v>5.0</v>
      </c>
      <c r="AC406" s="16">
        <v>5.0</v>
      </c>
      <c r="AD406" s="38">
        <v>13.0</v>
      </c>
      <c r="AE406" s="38">
        <v>16.0</v>
      </c>
      <c r="AF406" s="38">
        <v>20.0</v>
      </c>
      <c r="AG406" s="38" t="s">
        <v>935</v>
      </c>
      <c r="AI406" s="18" t="s">
        <v>915</v>
      </c>
    </row>
    <row r="407">
      <c r="A407" s="11"/>
      <c r="B407" s="12" t="s">
        <v>7</v>
      </c>
      <c r="C407" s="12" t="s">
        <v>8</v>
      </c>
      <c r="D407" s="12" t="s">
        <v>15</v>
      </c>
      <c r="E407" s="12" t="s">
        <v>15</v>
      </c>
      <c r="F407" s="13" t="s">
        <v>16</v>
      </c>
      <c r="G407" s="12" t="s">
        <v>68</v>
      </c>
      <c r="H407" s="12" t="s">
        <v>928</v>
      </c>
      <c r="I407" s="12" t="s">
        <v>929</v>
      </c>
      <c r="J407" s="17" t="s">
        <v>936</v>
      </c>
      <c r="K407" s="17" t="s">
        <v>936</v>
      </c>
      <c r="L407" s="17" t="s">
        <v>193</v>
      </c>
      <c r="M407" s="17">
        <v>31.0</v>
      </c>
      <c r="N407" s="20">
        <v>45838.0</v>
      </c>
      <c r="O407" s="17" t="s">
        <v>194</v>
      </c>
      <c r="P407" s="16">
        <v>4.0</v>
      </c>
      <c r="Q407" s="16">
        <v>4.0</v>
      </c>
      <c r="R407" s="16">
        <v>4.0</v>
      </c>
      <c r="S407" s="16">
        <v>4.0</v>
      </c>
      <c r="T407" s="16">
        <v>5.0</v>
      </c>
      <c r="U407" s="16">
        <v>4.0</v>
      </c>
      <c r="V407" s="16">
        <v>4.0</v>
      </c>
      <c r="W407" s="16">
        <v>4.0</v>
      </c>
      <c r="X407" s="16">
        <v>5.0</v>
      </c>
      <c r="Y407" s="16">
        <v>5.0</v>
      </c>
      <c r="Z407" s="16">
        <v>5.0</v>
      </c>
      <c r="AA407" s="16">
        <v>4.0</v>
      </c>
      <c r="AB407" s="16">
        <v>5.0</v>
      </c>
      <c r="AC407" s="16">
        <v>5.0</v>
      </c>
      <c r="AD407" s="38">
        <v>14.0</v>
      </c>
      <c r="AE407" s="38">
        <v>15.0</v>
      </c>
      <c r="AF407" s="38">
        <v>18.0</v>
      </c>
      <c r="AG407" s="38" t="s">
        <v>937</v>
      </c>
      <c r="AI407" s="18" t="s">
        <v>915</v>
      </c>
    </row>
    <row r="408">
      <c r="A408" s="11"/>
      <c r="B408" s="12" t="s">
        <v>7</v>
      </c>
      <c r="C408" s="12" t="s">
        <v>8</v>
      </c>
      <c r="D408" s="12" t="s">
        <v>15</v>
      </c>
      <c r="E408" s="12" t="s">
        <v>15</v>
      </c>
      <c r="F408" s="13" t="s">
        <v>16</v>
      </c>
      <c r="G408" s="12" t="s">
        <v>68</v>
      </c>
      <c r="H408" s="12" t="s">
        <v>928</v>
      </c>
      <c r="I408" s="12" t="s">
        <v>929</v>
      </c>
      <c r="J408" s="17" t="s">
        <v>938</v>
      </c>
      <c r="K408" s="17" t="s">
        <v>938</v>
      </c>
      <c r="L408" s="17" t="s">
        <v>193</v>
      </c>
      <c r="M408" s="17">
        <v>23.0</v>
      </c>
      <c r="N408" s="20">
        <v>45838.0</v>
      </c>
      <c r="O408" s="17" t="s">
        <v>194</v>
      </c>
      <c r="P408" s="16">
        <v>5.0</v>
      </c>
      <c r="Q408" s="16">
        <v>5.0</v>
      </c>
      <c r="R408" s="16">
        <v>4.0</v>
      </c>
      <c r="S408" s="16">
        <v>4.0</v>
      </c>
      <c r="T408" s="16">
        <v>5.0</v>
      </c>
      <c r="U408" s="16">
        <v>3.0</v>
      </c>
      <c r="V408" s="16">
        <v>3.0</v>
      </c>
      <c r="W408" s="16">
        <v>4.0</v>
      </c>
      <c r="X408" s="16">
        <v>5.0</v>
      </c>
      <c r="Y408" s="16">
        <v>5.0</v>
      </c>
      <c r="Z408" s="16">
        <v>5.0</v>
      </c>
      <c r="AA408" s="16">
        <v>5.0</v>
      </c>
      <c r="AB408" s="16">
        <v>5.0</v>
      </c>
      <c r="AC408" s="16">
        <v>5.0</v>
      </c>
      <c r="AD408" s="38">
        <v>13.0</v>
      </c>
      <c r="AE408" s="38">
        <v>15.0</v>
      </c>
      <c r="AF408" s="38">
        <v>16.0</v>
      </c>
      <c r="AG408" s="38" t="s">
        <v>939</v>
      </c>
      <c r="AI408" s="18" t="s">
        <v>915</v>
      </c>
    </row>
    <row r="409">
      <c r="A409" s="11"/>
      <c r="B409" s="12" t="s">
        <v>7</v>
      </c>
      <c r="C409" s="12" t="s">
        <v>8</v>
      </c>
      <c r="D409" s="12" t="s">
        <v>15</v>
      </c>
      <c r="E409" s="12" t="s">
        <v>15</v>
      </c>
      <c r="F409" s="13" t="s">
        <v>16</v>
      </c>
      <c r="G409" s="12" t="s">
        <v>68</v>
      </c>
      <c r="H409" s="12" t="s">
        <v>928</v>
      </c>
      <c r="I409" s="12" t="s">
        <v>929</v>
      </c>
      <c r="J409" s="17" t="s">
        <v>940</v>
      </c>
      <c r="K409" s="17" t="s">
        <v>940</v>
      </c>
      <c r="L409" s="17" t="s">
        <v>193</v>
      </c>
      <c r="M409" s="17">
        <v>33.0</v>
      </c>
      <c r="N409" s="20">
        <v>45838.0</v>
      </c>
      <c r="O409" s="17" t="s">
        <v>194</v>
      </c>
      <c r="P409" s="16">
        <v>4.0</v>
      </c>
      <c r="Q409" s="16">
        <v>4.0</v>
      </c>
      <c r="R409" s="16">
        <v>4.0</v>
      </c>
      <c r="S409" s="16">
        <v>4.0</v>
      </c>
      <c r="T409" s="16">
        <v>4.0</v>
      </c>
      <c r="U409" s="16">
        <v>2.0</v>
      </c>
      <c r="V409" s="16">
        <v>2.0</v>
      </c>
      <c r="W409" s="16">
        <v>4.0</v>
      </c>
      <c r="X409" s="16">
        <v>5.0</v>
      </c>
      <c r="Y409" s="16">
        <v>5.0</v>
      </c>
      <c r="Z409" s="16">
        <v>4.0</v>
      </c>
      <c r="AA409" s="16">
        <v>4.0</v>
      </c>
      <c r="AB409" s="16">
        <v>4.0</v>
      </c>
      <c r="AC409" s="16">
        <v>5.0</v>
      </c>
      <c r="AD409" s="38">
        <v>14.0</v>
      </c>
      <c r="AE409" s="38">
        <v>16.0</v>
      </c>
      <c r="AF409" s="38">
        <v>12.0</v>
      </c>
      <c r="AG409" s="38" t="s">
        <v>941</v>
      </c>
      <c r="AI409" s="18" t="s">
        <v>915</v>
      </c>
    </row>
    <row r="410">
      <c r="A410" s="11"/>
      <c r="B410" s="12" t="s">
        <v>7</v>
      </c>
      <c r="C410" s="12" t="s">
        <v>8</v>
      </c>
      <c r="D410" s="12" t="s">
        <v>15</v>
      </c>
      <c r="E410" s="12" t="s">
        <v>15</v>
      </c>
      <c r="F410" s="13" t="s">
        <v>16</v>
      </c>
      <c r="G410" s="12" t="s">
        <v>68</v>
      </c>
      <c r="H410" s="12" t="s">
        <v>928</v>
      </c>
      <c r="I410" s="12" t="s">
        <v>929</v>
      </c>
      <c r="J410" s="17" t="s">
        <v>942</v>
      </c>
      <c r="K410" s="17" t="s">
        <v>942</v>
      </c>
      <c r="L410" s="17" t="s">
        <v>193</v>
      </c>
      <c r="M410" s="17">
        <v>42.0</v>
      </c>
      <c r="N410" s="20">
        <v>45838.0</v>
      </c>
      <c r="O410" s="17" t="s">
        <v>194</v>
      </c>
      <c r="P410" s="16">
        <v>4.0</v>
      </c>
      <c r="Q410" s="16">
        <v>4.0</v>
      </c>
      <c r="R410" s="16">
        <v>4.0</v>
      </c>
      <c r="S410" s="16">
        <v>4.0</v>
      </c>
      <c r="T410" s="16">
        <v>4.0</v>
      </c>
      <c r="U410" s="16">
        <v>5.0</v>
      </c>
      <c r="V410" s="16">
        <v>5.0</v>
      </c>
      <c r="W410" s="16">
        <v>4.0</v>
      </c>
      <c r="X410" s="16">
        <v>5.0</v>
      </c>
      <c r="Y410" s="16">
        <v>5.0</v>
      </c>
      <c r="Z410" s="16">
        <v>4.0</v>
      </c>
      <c r="AA410" s="16">
        <v>4.0</v>
      </c>
      <c r="AB410" s="16">
        <v>4.0</v>
      </c>
      <c r="AC410" s="16">
        <v>5.0</v>
      </c>
      <c r="AD410" s="38">
        <v>14.0</v>
      </c>
      <c r="AE410" s="38">
        <v>16.0</v>
      </c>
      <c r="AF410" s="38">
        <v>18.0</v>
      </c>
      <c r="AG410" s="38" t="s">
        <v>943</v>
      </c>
      <c r="AI410" s="18" t="s">
        <v>915</v>
      </c>
    </row>
    <row r="411">
      <c r="A411" s="11"/>
      <c r="B411" s="12" t="s">
        <v>7</v>
      </c>
      <c r="C411" s="12" t="s">
        <v>8</v>
      </c>
      <c r="D411" s="12" t="s">
        <v>15</v>
      </c>
      <c r="E411" s="12" t="s">
        <v>15</v>
      </c>
      <c r="F411" s="13" t="s">
        <v>16</v>
      </c>
      <c r="G411" s="12" t="s">
        <v>68</v>
      </c>
      <c r="H411" s="12" t="s">
        <v>928</v>
      </c>
      <c r="I411" s="12" t="s">
        <v>929</v>
      </c>
      <c r="J411" s="17" t="s">
        <v>944</v>
      </c>
      <c r="K411" s="17" t="s">
        <v>944</v>
      </c>
      <c r="L411" s="17" t="s">
        <v>193</v>
      </c>
      <c r="M411" s="17">
        <v>42.0</v>
      </c>
      <c r="N411" s="20">
        <v>45838.0</v>
      </c>
      <c r="O411" s="17" t="s">
        <v>194</v>
      </c>
      <c r="P411" s="16">
        <v>3.0</v>
      </c>
      <c r="Q411" s="16">
        <v>3.0</v>
      </c>
      <c r="R411" s="16">
        <v>4.0</v>
      </c>
      <c r="S411" s="16">
        <v>4.0</v>
      </c>
      <c r="T411" s="16">
        <v>2.0</v>
      </c>
      <c r="U411" s="16">
        <v>4.0</v>
      </c>
      <c r="V411" s="16">
        <v>4.0</v>
      </c>
      <c r="W411" s="16">
        <v>4.0</v>
      </c>
      <c r="X411" s="16">
        <v>5.0</v>
      </c>
      <c r="Y411" s="16">
        <v>5.0</v>
      </c>
      <c r="Z411" s="16">
        <v>2.0</v>
      </c>
      <c r="AA411" s="16">
        <v>3.0</v>
      </c>
      <c r="AB411" s="16">
        <v>2.0</v>
      </c>
      <c r="AC411" s="16">
        <v>5.0</v>
      </c>
      <c r="AD411" s="38">
        <v>15.0</v>
      </c>
      <c r="AE411" s="38">
        <v>18.0</v>
      </c>
      <c r="AF411" s="38">
        <v>12.0</v>
      </c>
      <c r="AG411" s="38" t="s">
        <v>945</v>
      </c>
      <c r="AI411" s="18" t="s">
        <v>915</v>
      </c>
    </row>
    <row r="412">
      <c r="A412" s="11"/>
      <c r="B412" s="12" t="s">
        <v>7</v>
      </c>
      <c r="C412" s="12" t="s">
        <v>8</v>
      </c>
      <c r="D412" s="12" t="s">
        <v>15</v>
      </c>
      <c r="E412" s="12" t="s">
        <v>15</v>
      </c>
      <c r="F412" s="13" t="s">
        <v>16</v>
      </c>
      <c r="G412" s="12" t="s">
        <v>68</v>
      </c>
      <c r="H412" s="12" t="s">
        <v>928</v>
      </c>
      <c r="I412" s="12" t="s">
        <v>929</v>
      </c>
      <c r="J412" s="17" t="s">
        <v>946</v>
      </c>
      <c r="K412" s="17" t="s">
        <v>946</v>
      </c>
      <c r="L412" s="17" t="s">
        <v>193</v>
      </c>
      <c r="M412" s="17">
        <v>31.0</v>
      </c>
      <c r="N412" s="20">
        <v>45838.0</v>
      </c>
      <c r="O412" s="17" t="s">
        <v>194</v>
      </c>
      <c r="P412" s="16">
        <v>4.0</v>
      </c>
      <c r="Q412" s="16">
        <v>4.0</v>
      </c>
      <c r="R412" s="16">
        <v>3.0</v>
      </c>
      <c r="S412" s="16">
        <v>3.0</v>
      </c>
      <c r="T412" s="16">
        <v>5.0</v>
      </c>
      <c r="U412" s="16">
        <v>3.0</v>
      </c>
      <c r="V412" s="16">
        <v>3.0</v>
      </c>
      <c r="W412" s="16">
        <v>3.0</v>
      </c>
      <c r="X412" s="16">
        <v>3.0</v>
      </c>
      <c r="Y412" s="16">
        <v>3.0</v>
      </c>
      <c r="Z412" s="16">
        <v>5.0</v>
      </c>
      <c r="AA412" s="16">
        <v>4.0</v>
      </c>
      <c r="AB412" s="16">
        <v>5.0</v>
      </c>
      <c r="AC412" s="16">
        <v>3.0</v>
      </c>
      <c r="AD412" s="38">
        <v>14.0</v>
      </c>
      <c r="AE412" s="38">
        <v>12.0</v>
      </c>
      <c r="AF412" s="38">
        <v>16.0</v>
      </c>
      <c r="AG412" s="38" t="s">
        <v>947</v>
      </c>
      <c r="AI412" s="18" t="s">
        <v>915</v>
      </c>
    </row>
    <row r="413">
      <c r="A413" s="11"/>
      <c r="B413" s="12" t="s">
        <v>7</v>
      </c>
      <c r="C413" s="12" t="s">
        <v>8</v>
      </c>
      <c r="D413" s="12" t="s">
        <v>15</v>
      </c>
      <c r="E413" s="12" t="s">
        <v>15</v>
      </c>
      <c r="F413" s="13" t="s">
        <v>16</v>
      </c>
      <c r="G413" s="12" t="s">
        <v>68</v>
      </c>
      <c r="H413" s="12" t="s">
        <v>928</v>
      </c>
      <c r="I413" s="12" t="s">
        <v>929</v>
      </c>
      <c r="J413" s="17" t="s">
        <v>948</v>
      </c>
      <c r="K413" s="17" t="s">
        <v>948</v>
      </c>
      <c r="L413" s="17" t="s">
        <v>193</v>
      </c>
      <c r="M413" s="17">
        <v>37.0</v>
      </c>
      <c r="N413" s="20">
        <v>45838.0</v>
      </c>
      <c r="O413" s="17" t="s">
        <v>194</v>
      </c>
      <c r="P413" s="16">
        <v>4.0</v>
      </c>
      <c r="Q413" s="16">
        <v>4.0</v>
      </c>
      <c r="R413" s="16">
        <v>4.0</v>
      </c>
      <c r="S413" s="16">
        <v>4.0</v>
      </c>
      <c r="T413" s="16">
        <v>5.0</v>
      </c>
      <c r="U413" s="16">
        <v>2.0</v>
      </c>
      <c r="V413" s="16">
        <v>2.0</v>
      </c>
      <c r="W413" s="16">
        <v>4.0</v>
      </c>
      <c r="X413" s="16">
        <v>4.0</v>
      </c>
      <c r="Y413" s="16">
        <v>4.0</v>
      </c>
      <c r="Z413" s="16">
        <v>5.0</v>
      </c>
      <c r="AA413" s="16">
        <v>4.0</v>
      </c>
      <c r="AB413" s="16">
        <v>5.0</v>
      </c>
      <c r="AC413" s="16">
        <v>4.0</v>
      </c>
      <c r="AD413" s="38">
        <v>14.0</v>
      </c>
      <c r="AE413" s="38">
        <v>14.0</v>
      </c>
      <c r="AF413" s="38">
        <v>14.0</v>
      </c>
      <c r="AG413" s="38" t="s">
        <v>949</v>
      </c>
      <c r="AI413" s="18" t="s">
        <v>915</v>
      </c>
    </row>
    <row r="414">
      <c r="A414" s="11"/>
      <c r="B414" s="12" t="s">
        <v>7</v>
      </c>
      <c r="C414" s="12" t="s">
        <v>8</v>
      </c>
      <c r="D414" s="12" t="s">
        <v>15</v>
      </c>
      <c r="E414" s="12" t="s">
        <v>15</v>
      </c>
      <c r="F414" s="13" t="s">
        <v>16</v>
      </c>
      <c r="G414" s="12" t="s">
        <v>68</v>
      </c>
      <c r="H414" s="12" t="s">
        <v>928</v>
      </c>
      <c r="I414" s="12" t="s">
        <v>929</v>
      </c>
      <c r="J414" s="17" t="s">
        <v>950</v>
      </c>
      <c r="K414" s="17" t="s">
        <v>950</v>
      </c>
      <c r="L414" s="17" t="s">
        <v>193</v>
      </c>
      <c r="M414" s="17">
        <v>23.0</v>
      </c>
      <c r="N414" s="20">
        <v>45838.0</v>
      </c>
      <c r="O414" s="17" t="s">
        <v>194</v>
      </c>
      <c r="P414" s="16">
        <v>4.0</v>
      </c>
      <c r="Q414" s="16">
        <v>4.0</v>
      </c>
      <c r="R414" s="16">
        <v>4.0</v>
      </c>
      <c r="S414" s="16">
        <v>4.0</v>
      </c>
      <c r="T414" s="16">
        <v>5.0</v>
      </c>
      <c r="U414" s="16">
        <v>4.0</v>
      </c>
      <c r="V414" s="16">
        <v>4.0</v>
      </c>
      <c r="W414" s="16">
        <v>4.0</v>
      </c>
      <c r="X414" s="16">
        <v>4.0</v>
      </c>
      <c r="Y414" s="16">
        <v>4.0</v>
      </c>
      <c r="Z414" s="16">
        <v>5.0</v>
      </c>
      <c r="AA414" s="16">
        <v>4.0</v>
      </c>
      <c r="AB414" s="16">
        <v>5.0</v>
      </c>
      <c r="AC414" s="16">
        <v>4.0</v>
      </c>
      <c r="AD414" s="38">
        <v>14.0</v>
      </c>
      <c r="AE414" s="38">
        <v>14.0</v>
      </c>
      <c r="AF414" s="38">
        <v>18.0</v>
      </c>
      <c r="AG414" s="38" t="s">
        <v>951</v>
      </c>
      <c r="AI414" s="18" t="s">
        <v>915</v>
      </c>
    </row>
    <row r="415">
      <c r="A415" s="11"/>
      <c r="B415" s="12" t="s">
        <v>7</v>
      </c>
      <c r="C415" s="12" t="s">
        <v>8</v>
      </c>
      <c r="D415" s="12" t="s">
        <v>15</v>
      </c>
      <c r="E415" s="12" t="s">
        <v>15</v>
      </c>
      <c r="F415" s="13" t="s">
        <v>16</v>
      </c>
      <c r="G415" s="12" t="s">
        <v>68</v>
      </c>
      <c r="H415" s="12" t="s">
        <v>928</v>
      </c>
      <c r="I415" s="12" t="s">
        <v>929</v>
      </c>
      <c r="J415" s="17" t="s">
        <v>952</v>
      </c>
      <c r="K415" s="17" t="s">
        <v>952</v>
      </c>
      <c r="L415" s="17" t="s">
        <v>193</v>
      </c>
      <c r="M415" s="17">
        <v>32.0</v>
      </c>
      <c r="N415" s="20">
        <v>45838.0</v>
      </c>
      <c r="O415" s="17" t="s">
        <v>194</v>
      </c>
      <c r="P415" s="16">
        <v>4.0</v>
      </c>
      <c r="Q415" s="16">
        <v>4.0</v>
      </c>
      <c r="R415" s="16">
        <v>4.0</v>
      </c>
      <c r="S415" s="16">
        <v>4.0</v>
      </c>
      <c r="T415" s="16">
        <v>4.0</v>
      </c>
      <c r="U415" s="16">
        <v>3.0</v>
      </c>
      <c r="V415" s="16">
        <v>3.0</v>
      </c>
      <c r="W415" s="16">
        <v>4.0</v>
      </c>
      <c r="X415" s="16">
        <v>4.0</v>
      </c>
      <c r="Y415" s="16">
        <v>4.0</v>
      </c>
      <c r="Z415" s="16">
        <v>4.0</v>
      </c>
      <c r="AA415" s="16">
        <v>4.0</v>
      </c>
      <c r="AB415" s="16">
        <v>4.0</v>
      </c>
      <c r="AC415" s="16">
        <v>4.0</v>
      </c>
      <c r="AD415" s="38">
        <v>14.0</v>
      </c>
      <c r="AE415" s="38">
        <v>15.0</v>
      </c>
      <c r="AF415" s="38">
        <v>14.0</v>
      </c>
      <c r="AG415" s="38" t="s">
        <v>953</v>
      </c>
      <c r="AI415" s="18" t="s">
        <v>915</v>
      </c>
    </row>
    <row r="416">
      <c r="A416" s="11"/>
      <c r="B416" s="12" t="s">
        <v>7</v>
      </c>
      <c r="C416" s="12" t="s">
        <v>8</v>
      </c>
      <c r="D416" s="12" t="s">
        <v>15</v>
      </c>
      <c r="E416" s="12" t="s">
        <v>17</v>
      </c>
      <c r="F416" s="13" t="s">
        <v>18</v>
      </c>
      <c r="G416" s="12" t="s">
        <v>68</v>
      </c>
      <c r="H416" s="12" t="s">
        <v>954</v>
      </c>
      <c r="I416" s="12" t="s">
        <v>955</v>
      </c>
      <c r="J416" s="17" t="s">
        <v>956</v>
      </c>
      <c r="K416" s="17" t="s">
        <v>956</v>
      </c>
      <c r="L416" s="17" t="s">
        <v>193</v>
      </c>
      <c r="M416" s="17">
        <v>45.0</v>
      </c>
      <c r="N416" s="20">
        <v>45838.0</v>
      </c>
      <c r="O416" s="17" t="s">
        <v>194</v>
      </c>
      <c r="P416" s="16">
        <v>3.0</v>
      </c>
      <c r="Q416" s="16">
        <v>3.0</v>
      </c>
      <c r="R416" s="16">
        <v>4.0</v>
      </c>
      <c r="S416" s="16">
        <v>4.0</v>
      </c>
      <c r="T416" s="16">
        <v>4.0</v>
      </c>
      <c r="U416" s="16">
        <v>3.0</v>
      </c>
      <c r="V416" s="16">
        <v>3.0</v>
      </c>
      <c r="W416" s="16">
        <v>4.0</v>
      </c>
      <c r="X416" s="16">
        <v>3.0</v>
      </c>
      <c r="Y416" s="16">
        <v>3.0</v>
      </c>
      <c r="Z416" s="16">
        <v>4.0</v>
      </c>
      <c r="AA416" s="16">
        <v>3.0</v>
      </c>
      <c r="AB416" s="16">
        <v>4.0</v>
      </c>
      <c r="AC416" s="16">
        <v>3.0</v>
      </c>
      <c r="AD416" s="38">
        <v>15.0</v>
      </c>
      <c r="AE416" s="38">
        <v>14.0</v>
      </c>
      <c r="AF416" s="38">
        <v>14.0</v>
      </c>
      <c r="AG416" s="38" t="s">
        <v>957</v>
      </c>
      <c r="AI416" s="18" t="s">
        <v>915</v>
      </c>
    </row>
    <row r="417">
      <c r="A417" s="11"/>
      <c r="B417" s="12" t="s">
        <v>7</v>
      </c>
      <c r="C417" s="12" t="s">
        <v>8</v>
      </c>
      <c r="D417" s="12" t="s">
        <v>15</v>
      </c>
      <c r="E417" s="12" t="s">
        <v>17</v>
      </c>
      <c r="F417" s="13" t="s">
        <v>18</v>
      </c>
      <c r="G417" s="12" t="s">
        <v>68</v>
      </c>
      <c r="H417" s="12" t="s">
        <v>954</v>
      </c>
      <c r="I417" s="12" t="s">
        <v>955</v>
      </c>
      <c r="J417" s="17" t="s">
        <v>958</v>
      </c>
      <c r="K417" s="17" t="s">
        <v>958</v>
      </c>
      <c r="L417" s="17" t="s">
        <v>193</v>
      </c>
      <c r="M417" s="17">
        <v>24.0</v>
      </c>
      <c r="N417" s="20">
        <v>45838.0</v>
      </c>
      <c r="O417" s="17" t="s">
        <v>194</v>
      </c>
      <c r="P417" s="16">
        <v>4.0</v>
      </c>
      <c r="Q417" s="16">
        <v>4.0</v>
      </c>
      <c r="R417" s="16">
        <v>4.0</v>
      </c>
      <c r="S417" s="16">
        <v>4.0</v>
      </c>
      <c r="T417" s="16">
        <v>4.0</v>
      </c>
      <c r="U417" s="16">
        <v>3.0</v>
      </c>
      <c r="V417" s="16">
        <v>3.0</v>
      </c>
      <c r="W417" s="16">
        <v>4.0</v>
      </c>
      <c r="X417" s="16">
        <v>4.0</v>
      </c>
      <c r="Y417" s="16">
        <v>4.0</v>
      </c>
      <c r="Z417" s="16">
        <v>4.0</v>
      </c>
      <c r="AA417" s="16">
        <v>4.0</v>
      </c>
      <c r="AB417" s="16">
        <v>4.0</v>
      </c>
      <c r="AC417" s="16">
        <v>4.0</v>
      </c>
      <c r="AD417" s="38">
        <v>14.0</v>
      </c>
      <c r="AE417" s="38">
        <v>15.0</v>
      </c>
      <c r="AF417" s="38">
        <v>14.0</v>
      </c>
      <c r="AG417" s="38" t="s">
        <v>959</v>
      </c>
      <c r="AI417" s="18" t="s">
        <v>915</v>
      </c>
    </row>
    <row r="418">
      <c r="A418" s="11"/>
      <c r="B418" s="12" t="s">
        <v>7</v>
      </c>
      <c r="C418" s="12" t="s">
        <v>8</v>
      </c>
      <c r="D418" s="12" t="s">
        <v>15</v>
      </c>
      <c r="E418" s="12" t="s">
        <v>17</v>
      </c>
      <c r="F418" s="13" t="s">
        <v>18</v>
      </c>
      <c r="G418" s="12" t="s">
        <v>68</v>
      </c>
      <c r="H418" s="12" t="s">
        <v>954</v>
      </c>
      <c r="I418" s="12" t="s">
        <v>955</v>
      </c>
      <c r="J418" s="17" t="s">
        <v>960</v>
      </c>
      <c r="K418" s="17" t="s">
        <v>960</v>
      </c>
      <c r="L418" s="17" t="s">
        <v>193</v>
      </c>
      <c r="M418" s="17">
        <v>39.0</v>
      </c>
      <c r="N418" s="20">
        <v>45838.0</v>
      </c>
      <c r="O418" s="17" t="s">
        <v>194</v>
      </c>
      <c r="P418" s="16">
        <v>4.0</v>
      </c>
      <c r="Q418" s="16">
        <v>4.0</v>
      </c>
      <c r="R418" s="16">
        <v>3.0</v>
      </c>
      <c r="S418" s="16">
        <v>3.0</v>
      </c>
      <c r="T418" s="16">
        <v>3.0</v>
      </c>
      <c r="U418" s="16">
        <v>3.0</v>
      </c>
      <c r="V418" s="16">
        <v>3.0</v>
      </c>
      <c r="W418" s="16">
        <v>3.0</v>
      </c>
      <c r="X418" s="16">
        <v>4.0</v>
      </c>
      <c r="Y418" s="16">
        <v>4.0</v>
      </c>
      <c r="Z418" s="16">
        <v>3.0</v>
      </c>
      <c r="AA418" s="16">
        <v>4.0</v>
      </c>
      <c r="AB418" s="16">
        <v>3.0</v>
      </c>
      <c r="AC418" s="16">
        <v>4.0</v>
      </c>
      <c r="AD418" s="38">
        <v>14.0</v>
      </c>
      <c r="AE418" s="38">
        <v>15.0</v>
      </c>
      <c r="AF418" s="38">
        <v>12.0</v>
      </c>
      <c r="AG418" s="38" t="s">
        <v>961</v>
      </c>
      <c r="AI418" s="18" t="s">
        <v>915</v>
      </c>
    </row>
    <row r="419">
      <c r="A419" s="11"/>
      <c r="B419" s="12" t="s">
        <v>7</v>
      </c>
      <c r="C419" s="12" t="s">
        <v>8</v>
      </c>
      <c r="D419" s="12" t="s">
        <v>15</v>
      </c>
      <c r="E419" s="12" t="s">
        <v>17</v>
      </c>
      <c r="F419" s="13" t="s">
        <v>18</v>
      </c>
      <c r="G419" s="12" t="s">
        <v>68</v>
      </c>
      <c r="H419" s="12" t="s">
        <v>954</v>
      </c>
      <c r="I419" s="12" t="s">
        <v>955</v>
      </c>
      <c r="J419" s="17" t="s">
        <v>962</v>
      </c>
      <c r="K419" s="17" t="s">
        <v>962</v>
      </c>
      <c r="L419" s="17" t="s">
        <v>222</v>
      </c>
      <c r="M419" s="17">
        <v>45.0</v>
      </c>
      <c r="N419" s="20">
        <v>45838.0</v>
      </c>
      <c r="O419" s="17" t="s">
        <v>194</v>
      </c>
      <c r="P419" s="16">
        <v>3.0</v>
      </c>
      <c r="Q419" s="16">
        <v>3.0</v>
      </c>
      <c r="R419" s="16">
        <v>4.0</v>
      </c>
      <c r="S419" s="16">
        <v>4.0</v>
      </c>
      <c r="T419" s="16">
        <v>4.0</v>
      </c>
      <c r="U419" s="16">
        <v>4.0</v>
      </c>
      <c r="V419" s="16">
        <v>4.0</v>
      </c>
      <c r="W419" s="16">
        <v>4.0</v>
      </c>
      <c r="X419" s="16">
        <v>4.0</v>
      </c>
      <c r="Y419" s="16">
        <v>4.0</v>
      </c>
      <c r="Z419" s="16">
        <v>4.0</v>
      </c>
      <c r="AA419" s="16">
        <v>3.0</v>
      </c>
      <c r="AB419" s="16">
        <v>4.0</v>
      </c>
      <c r="AC419" s="16">
        <v>4.0</v>
      </c>
      <c r="AD419" s="38">
        <v>15.0</v>
      </c>
      <c r="AE419" s="38">
        <v>15.0</v>
      </c>
      <c r="AF419" s="38">
        <v>16.0</v>
      </c>
      <c r="AG419" s="38" t="s">
        <v>963</v>
      </c>
      <c r="AI419" s="18" t="s">
        <v>915</v>
      </c>
    </row>
    <row r="420">
      <c r="A420" s="11"/>
      <c r="B420" s="12" t="s">
        <v>7</v>
      </c>
      <c r="C420" s="12" t="s">
        <v>8</v>
      </c>
      <c r="D420" s="12" t="s">
        <v>15</v>
      </c>
      <c r="E420" s="12" t="s">
        <v>17</v>
      </c>
      <c r="F420" s="13" t="s">
        <v>18</v>
      </c>
      <c r="G420" s="12" t="s">
        <v>68</v>
      </c>
      <c r="H420" s="12" t="s">
        <v>954</v>
      </c>
      <c r="I420" s="12" t="s">
        <v>955</v>
      </c>
      <c r="J420" s="17" t="s">
        <v>964</v>
      </c>
      <c r="K420" s="17" t="s">
        <v>964</v>
      </c>
      <c r="L420" s="17" t="s">
        <v>193</v>
      </c>
      <c r="M420" s="17">
        <v>28.0</v>
      </c>
      <c r="N420" s="20">
        <v>45838.0</v>
      </c>
      <c r="O420" s="17" t="s">
        <v>194</v>
      </c>
      <c r="P420" s="16">
        <v>4.0</v>
      </c>
      <c r="Q420" s="16">
        <v>4.0</v>
      </c>
      <c r="R420" s="16">
        <v>4.0</v>
      </c>
      <c r="S420" s="16">
        <v>4.0</v>
      </c>
      <c r="T420" s="16">
        <v>5.0</v>
      </c>
      <c r="U420" s="16">
        <v>4.0</v>
      </c>
      <c r="V420" s="16">
        <v>4.0</v>
      </c>
      <c r="W420" s="16">
        <v>4.0</v>
      </c>
      <c r="X420" s="16">
        <v>5.0</v>
      </c>
      <c r="Y420" s="16">
        <v>5.0</v>
      </c>
      <c r="Z420" s="16">
        <v>5.0</v>
      </c>
      <c r="AA420" s="16">
        <v>4.0</v>
      </c>
      <c r="AB420" s="16">
        <v>5.0</v>
      </c>
      <c r="AC420" s="16">
        <v>5.0</v>
      </c>
      <c r="AD420" s="38">
        <v>14.0</v>
      </c>
      <c r="AE420" s="38">
        <v>15.0</v>
      </c>
      <c r="AF420" s="38">
        <v>18.0</v>
      </c>
      <c r="AG420" s="38" t="s">
        <v>965</v>
      </c>
      <c r="AI420" s="18" t="s">
        <v>915</v>
      </c>
    </row>
    <row r="421">
      <c r="A421" s="11"/>
      <c r="B421" s="12" t="s">
        <v>7</v>
      </c>
      <c r="C421" s="12" t="s">
        <v>8</v>
      </c>
      <c r="D421" s="12" t="s">
        <v>15</v>
      </c>
      <c r="E421" s="12" t="s">
        <v>17</v>
      </c>
      <c r="F421" s="13" t="s">
        <v>18</v>
      </c>
      <c r="G421" s="12" t="s">
        <v>68</v>
      </c>
      <c r="H421" s="12" t="s">
        <v>954</v>
      </c>
      <c r="I421" s="12" t="s">
        <v>955</v>
      </c>
      <c r="J421" s="17" t="s">
        <v>966</v>
      </c>
      <c r="K421" s="17" t="s">
        <v>966</v>
      </c>
      <c r="L421" s="17" t="s">
        <v>193</v>
      </c>
      <c r="M421" s="17">
        <v>19.0</v>
      </c>
      <c r="N421" s="20">
        <v>45838.0</v>
      </c>
      <c r="O421" s="17" t="s">
        <v>194</v>
      </c>
      <c r="P421" s="16">
        <v>3.0</v>
      </c>
      <c r="Q421" s="16">
        <v>3.0</v>
      </c>
      <c r="R421" s="16">
        <v>2.0</v>
      </c>
      <c r="S421" s="16">
        <v>2.0</v>
      </c>
      <c r="T421" s="16">
        <v>5.0</v>
      </c>
      <c r="U421" s="16">
        <v>2.0</v>
      </c>
      <c r="V421" s="16">
        <v>2.0</v>
      </c>
      <c r="W421" s="16">
        <v>2.0</v>
      </c>
      <c r="X421" s="16">
        <v>4.0</v>
      </c>
      <c r="Y421" s="16">
        <v>4.0</v>
      </c>
      <c r="Z421" s="16">
        <v>5.0</v>
      </c>
      <c r="AA421" s="16">
        <v>3.0</v>
      </c>
      <c r="AB421" s="16">
        <v>5.0</v>
      </c>
      <c r="AC421" s="16">
        <v>4.0</v>
      </c>
      <c r="AD421" s="38">
        <v>15.0</v>
      </c>
      <c r="AE421" s="38">
        <v>12.0</v>
      </c>
      <c r="AF421" s="38">
        <v>14.0</v>
      </c>
      <c r="AG421" s="38" t="s">
        <v>967</v>
      </c>
      <c r="AI421" s="18" t="s">
        <v>915</v>
      </c>
    </row>
    <row r="422">
      <c r="A422" s="11"/>
      <c r="B422" s="12" t="s">
        <v>7</v>
      </c>
      <c r="C422" s="12" t="s">
        <v>8</v>
      </c>
      <c r="D422" s="12" t="s">
        <v>15</v>
      </c>
      <c r="E422" s="12" t="s">
        <v>21</v>
      </c>
      <c r="F422" s="13" t="s">
        <v>19</v>
      </c>
      <c r="G422" s="12" t="s">
        <v>68</v>
      </c>
      <c r="H422" s="12" t="s">
        <v>968</v>
      </c>
      <c r="I422" s="12" t="s">
        <v>969</v>
      </c>
      <c r="J422" s="17" t="s">
        <v>970</v>
      </c>
      <c r="K422" s="17" t="s">
        <v>970</v>
      </c>
      <c r="L422" s="17" t="s">
        <v>193</v>
      </c>
      <c r="M422" s="17">
        <v>30.0</v>
      </c>
      <c r="N422" s="19">
        <v>45833.0</v>
      </c>
      <c r="O422" s="17" t="s">
        <v>194</v>
      </c>
      <c r="P422" s="16">
        <v>2.0</v>
      </c>
      <c r="Q422" s="16">
        <v>2.0</v>
      </c>
      <c r="R422" s="16">
        <v>2.0</v>
      </c>
      <c r="S422" s="16">
        <v>2.0</v>
      </c>
      <c r="T422" s="16">
        <v>5.0</v>
      </c>
      <c r="U422" s="16">
        <v>5.0</v>
      </c>
      <c r="V422" s="16">
        <v>5.0</v>
      </c>
      <c r="W422" s="16">
        <v>2.0</v>
      </c>
      <c r="X422" s="16">
        <v>4.0</v>
      </c>
      <c r="Y422" s="16">
        <v>4.0</v>
      </c>
      <c r="Z422" s="16">
        <v>5.0</v>
      </c>
      <c r="AA422" s="16">
        <v>2.0</v>
      </c>
      <c r="AB422" s="16">
        <v>5.0</v>
      </c>
      <c r="AC422" s="16">
        <v>4.0</v>
      </c>
      <c r="AD422" s="38">
        <v>16.0</v>
      </c>
      <c r="AE422" s="38">
        <v>12.0</v>
      </c>
      <c r="AF422" s="38">
        <v>20.0</v>
      </c>
      <c r="AG422" s="38" t="s">
        <v>971</v>
      </c>
      <c r="AI422" s="18" t="s">
        <v>915</v>
      </c>
    </row>
    <row r="423">
      <c r="A423" s="11"/>
      <c r="B423" s="12" t="s">
        <v>7</v>
      </c>
      <c r="C423" s="12" t="s">
        <v>8</v>
      </c>
      <c r="D423" s="12" t="s">
        <v>15</v>
      </c>
      <c r="E423" s="12" t="s">
        <v>21</v>
      </c>
      <c r="F423" s="13" t="s">
        <v>19</v>
      </c>
      <c r="G423" s="12" t="s">
        <v>68</v>
      </c>
      <c r="H423" s="12" t="s">
        <v>968</v>
      </c>
      <c r="I423" s="12" t="s">
        <v>969</v>
      </c>
      <c r="J423" s="17" t="s">
        <v>972</v>
      </c>
      <c r="K423" s="17" t="s">
        <v>972</v>
      </c>
      <c r="L423" s="17" t="s">
        <v>193</v>
      </c>
      <c r="M423" s="17">
        <v>45.0</v>
      </c>
      <c r="N423" s="19">
        <v>45833.0</v>
      </c>
      <c r="O423" s="17" t="s">
        <v>194</v>
      </c>
      <c r="P423" s="16">
        <v>3.0</v>
      </c>
      <c r="Q423" s="16">
        <v>3.0</v>
      </c>
      <c r="R423" s="16">
        <v>2.0</v>
      </c>
      <c r="S423" s="16">
        <v>2.0</v>
      </c>
      <c r="T423" s="16">
        <v>5.0</v>
      </c>
      <c r="U423" s="16">
        <v>5.0</v>
      </c>
      <c r="V423" s="16">
        <v>5.0</v>
      </c>
      <c r="W423" s="16">
        <v>2.0</v>
      </c>
      <c r="X423" s="16">
        <v>5.0</v>
      </c>
      <c r="Y423" s="16">
        <v>5.0</v>
      </c>
      <c r="Z423" s="16">
        <v>5.0</v>
      </c>
      <c r="AA423" s="16">
        <v>3.0</v>
      </c>
      <c r="AB423" s="16">
        <v>5.0</v>
      </c>
      <c r="AC423" s="16">
        <v>5.0</v>
      </c>
      <c r="AD423" s="38">
        <v>15.0</v>
      </c>
      <c r="AE423" s="38">
        <v>13.0</v>
      </c>
      <c r="AF423" s="38">
        <v>20.0</v>
      </c>
      <c r="AG423" s="38" t="s">
        <v>973</v>
      </c>
      <c r="AI423" s="18" t="s">
        <v>915</v>
      </c>
    </row>
    <row r="424">
      <c r="A424" s="11"/>
      <c r="B424" s="12" t="s">
        <v>7</v>
      </c>
      <c r="C424" s="12" t="s">
        <v>8</v>
      </c>
      <c r="D424" s="12" t="s">
        <v>15</v>
      </c>
      <c r="E424" s="12" t="s">
        <v>21</v>
      </c>
      <c r="F424" s="13" t="s">
        <v>19</v>
      </c>
      <c r="G424" s="12" t="s">
        <v>68</v>
      </c>
      <c r="H424" s="12" t="s">
        <v>968</v>
      </c>
      <c r="I424" s="12" t="s">
        <v>969</v>
      </c>
      <c r="J424" s="17" t="s">
        <v>974</v>
      </c>
      <c r="K424" s="17" t="s">
        <v>974</v>
      </c>
      <c r="L424" s="17" t="s">
        <v>193</v>
      </c>
      <c r="M424" s="17">
        <v>25.0</v>
      </c>
      <c r="N424" s="19">
        <v>45833.0</v>
      </c>
      <c r="O424" s="17" t="s">
        <v>194</v>
      </c>
      <c r="P424" s="16">
        <v>5.0</v>
      </c>
      <c r="Q424" s="16">
        <v>5.0</v>
      </c>
      <c r="R424" s="16">
        <v>3.0</v>
      </c>
      <c r="S424" s="16">
        <v>3.0</v>
      </c>
      <c r="T424" s="16">
        <v>4.0</v>
      </c>
      <c r="U424" s="16">
        <v>4.0</v>
      </c>
      <c r="V424" s="16">
        <v>4.0</v>
      </c>
      <c r="W424" s="16">
        <v>3.0</v>
      </c>
      <c r="X424" s="16">
        <v>4.0</v>
      </c>
      <c r="Y424" s="16">
        <v>4.0</v>
      </c>
      <c r="Z424" s="16">
        <v>4.0</v>
      </c>
      <c r="AA424" s="16">
        <v>5.0</v>
      </c>
      <c r="AB424" s="16">
        <v>4.0</v>
      </c>
      <c r="AC424" s="16">
        <v>4.0</v>
      </c>
      <c r="AD424" s="38">
        <v>13.0</v>
      </c>
      <c r="AE424" s="38">
        <v>14.0</v>
      </c>
      <c r="AF424" s="38">
        <v>16.0</v>
      </c>
      <c r="AG424" s="38" t="s">
        <v>975</v>
      </c>
      <c r="AI424" s="18" t="s">
        <v>915</v>
      </c>
    </row>
    <row r="425">
      <c r="A425" s="11"/>
      <c r="B425" s="12" t="s">
        <v>7</v>
      </c>
      <c r="C425" s="12" t="s">
        <v>8</v>
      </c>
      <c r="D425" s="12" t="s">
        <v>15</v>
      </c>
      <c r="E425" s="12" t="s">
        <v>21</v>
      </c>
      <c r="F425" s="13" t="s">
        <v>19</v>
      </c>
      <c r="G425" s="12" t="s">
        <v>68</v>
      </c>
      <c r="H425" s="12" t="s">
        <v>968</v>
      </c>
      <c r="I425" s="12" t="s">
        <v>969</v>
      </c>
      <c r="J425" s="17" t="s">
        <v>976</v>
      </c>
      <c r="K425" s="17" t="s">
        <v>976</v>
      </c>
      <c r="L425" s="17" t="s">
        <v>193</v>
      </c>
      <c r="M425" s="17">
        <v>27.0</v>
      </c>
      <c r="N425" s="19">
        <v>45833.0</v>
      </c>
      <c r="O425" s="17" t="s">
        <v>194</v>
      </c>
      <c r="P425" s="16">
        <v>3.0</v>
      </c>
      <c r="Q425" s="16">
        <v>3.0</v>
      </c>
      <c r="R425" s="16">
        <v>2.0</v>
      </c>
      <c r="S425" s="16">
        <v>2.0</v>
      </c>
      <c r="T425" s="16">
        <v>4.0</v>
      </c>
      <c r="U425" s="16">
        <v>5.0</v>
      </c>
      <c r="V425" s="16">
        <v>5.0</v>
      </c>
      <c r="W425" s="16">
        <v>2.0</v>
      </c>
      <c r="X425" s="16">
        <v>5.0</v>
      </c>
      <c r="Y425" s="16">
        <v>5.0</v>
      </c>
      <c r="Z425" s="16">
        <v>4.0</v>
      </c>
      <c r="AA425" s="16">
        <v>3.0</v>
      </c>
      <c r="AB425" s="16">
        <v>4.0</v>
      </c>
      <c r="AC425" s="16">
        <v>5.0</v>
      </c>
      <c r="AD425" s="38">
        <v>15.0</v>
      </c>
      <c r="AE425" s="38">
        <v>14.0</v>
      </c>
      <c r="AF425" s="38">
        <v>18.0</v>
      </c>
      <c r="AG425" s="38" t="s">
        <v>977</v>
      </c>
      <c r="AI425" s="18" t="s">
        <v>915</v>
      </c>
    </row>
    <row r="426">
      <c r="A426" s="11"/>
      <c r="B426" s="12" t="s">
        <v>7</v>
      </c>
      <c r="C426" s="12" t="s">
        <v>8</v>
      </c>
      <c r="D426" s="12" t="s">
        <v>15</v>
      </c>
      <c r="E426" s="12" t="s">
        <v>21</v>
      </c>
      <c r="F426" s="13" t="s">
        <v>19</v>
      </c>
      <c r="G426" s="12" t="s">
        <v>68</v>
      </c>
      <c r="H426" s="12" t="s">
        <v>968</v>
      </c>
      <c r="I426" s="12" t="s">
        <v>969</v>
      </c>
      <c r="J426" s="17" t="s">
        <v>978</v>
      </c>
      <c r="K426" s="17" t="s">
        <v>978</v>
      </c>
      <c r="L426" s="17" t="s">
        <v>193</v>
      </c>
      <c r="M426" s="17">
        <v>27.0</v>
      </c>
      <c r="N426" s="19">
        <v>45833.0</v>
      </c>
      <c r="O426" s="17" t="s">
        <v>194</v>
      </c>
      <c r="P426" s="16">
        <v>4.0</v>
      </c>
      <c r="Q426" s="16">
        <v>4.0</v>
      </c>
      <c r="R426" s="16">
        <v>3.0</v>
      </c>
      <c r="S426" s="16">
        <v>3.0</v>
      </c>
      <c r="T426" s="16">
        <v>5.0</v>
      </c>
      <c r="U426" s="16">
        <v>3.0</v>
      </c>
      <c r="V426" s="16">
        <v>3.0</v>
      </c>
      <c r="W426" s="16">
        <v>3.0</v>
      </c>
      <c r="X426" s="16">
        <v>4.0</v>
      </c>
      <c r="Y426" s="16">
        <v>4.0</v>
      </c>
      <c r="Z426" s="16">
        <v>5.0</v>
      </c>
      <c r="AA426" s="16">
        <v>4.0</v>
      </c>
      <c r="AB426" s="16">
        <v>5.0</v>
      </c>
      <c r="AC426" s="16">
        <v>4.0</v>
      </c>
      <c r="AD426" s="38">
        <v>14.0</v>
      </c>
      <c r="AE426" s="38">
        <v>13.0</v>
      </c>
      <c r="AF426" s="38">
        <v>16.0</v>
      </c>
      <c r="AG426" s="38" t="s">
        <v>979</v>
      </c>
      <c r="AI426" s="18" t="s">
        <v>915</v>
      </c>
    </row>
    <row r="427">
      <c r="A427" s="11"/>
      <c r="B427" s="12" t="s">
        <v>7</v>
      </c>
      <c r="C427" s="12" t="s">
        <v>8</v>
      </c>
      <c r="D427" s="12" t="s">
        <v>15</v>
      </c>
      <c r="E427" s="12" t="s">
        <v>21</v>
      </c>
      <c r="F427" s="13" t="s">
        <v>19</v>
      </c>
      <c r="G427" s="12" t="s">
        <v>68</v>
      </c>
      <c r="H427" s="12" t="s">
        <v>968</v>
      </c>
      <c r="I427" s="12" t="s">
        <v>969</v>
      </c>
      <c r="J427" s="17" t="s">
        <v>980</v>
      </c>
      <c r="K427" s="17" t="s">
        <v>980</v>
      </c>
      <c r="L427" s="17" t="s">
        <v>193</v>
      </c>
      <c r="M427" s="17">
        <v>28.0</v>
      </c>
      <c r="N427" s="19">
        <v>45833.0</v>
      </c>
      <c r="O427" s="17" t="s">
        <v>194</v>
      </c>
      <c r="P427" s="16">
        <v>4.0</v>
      </c>
      <c r="Q427" s="16">
        <v>4.0</v>
      </c>
      <c r="R427" s="16">
        <v>3.0</v>
      </c>
      <c r="S427" s="16">
        <v>3.0</v>
      </c>
      <c r="T427" s="16">
        <v>5.0</v>
      </c>
      <c r="U427" s="16">
        <v>4.0</v>
      </c>
      <c r="V427" s="16">
        <v>4.0</v>
      </c>
      <c r="W427" s="16">
        <v>3.0</v>
      </c>
      <c r="X427" s="16">
        <v>5.0</v>
      </c>
      <c r="Y427" s="16">
        <v>5.0</v>
      </c>
      <c r="Z427" s="16">
        <v>5.0</v>
      </c>
      <c r="AA427" s="16">
        <v>4.0</v>
      </c>
      <c r="AB427" s="16">
        <v>5.0</v>
      </c>
      <c r="AC427" s="16">
        <v>5.0</v>
      </c>
      <c r="AD427" s="38">
        <v>14.0</v>
      </c>
      <c r="AE427" s="38">
        <v>14.0</v>
      </c>
      <c r="AF427" s="38">
        <v>18.0</v>
      </c>
      <c r="AG427" s="38" t="s">
        <v>981</v>
      </c>
      <c r="AI427" s="18" t="s">
        <v>915</v>
      </c>
    </row>
    <row r="428">
      <c r="A428" s="11"/>
      <c r="B428" s="12" t="s">
        <v>7</v>
      </c>
      <c r="C428" s="12" t="s">
        <v>8</v>
      </c>
      <c r="D428" s="12" t="s">
        <v>15</v>
      </c>
      <c r="E428" s="12" t="s">
        <v>21</v>
      </c>
      <c r="F428" s="13" t="s">
        <v>19</v>
      </c>
      <c r="G428" s="12" t="s">
        <v>68</v>
      </c>
      <c r="H428" s="12" t="s">
        <v>968</v>
      </c>
      <c r="I428" s="12" t="s">
        <v>969</v>
      </c>
      <c r="J428" s="17" t="s">
        <v>982</v>
      </c>
      <c r="K428" s="17" t="s">
        <v>982</v>
      </c>
      <c r="L428" s="17" t="s">
        <v>193</v>
      </c>
      <c r="M428" s="17">
        <v>25.0</v>
      </c>
      <c r="N428" s="19">
        <v>45833.0</v>
      </c>
      <c r="O428" s="17" t="s">
        <v>194</v>
      </c>
      <c r="P428" s="16">
        <v>4.0</v>
      </c>
      <c r="Q428" s="16">
        <v>4.0</v>
      </c>
      <c r="R428" s="16">
        <v>5.0</v>
      </c>
      <c r="S428" s="16">
        <v>5.0</v>
      </c>
      <c r="T428" s="16">
        <v>5.0</v>
      </c>
      <c r="U428" s="16">
        <v>5.0</v>
      </c>
      <c r="V428" s="16">
        <v>5.0</v>
      </c>
      <c r="W428" s="16">
        <v>5.0</v>
      </c>
      <c r="X428" s="16">
        <v>5.0</v>
      </c>
      <c r="Y428" s="16">
        <v>5.0</v>
      </c>
      <c r="Z428" s="16">
        <v>5.0</v>
      </c>
      <c r="AA428" s="16">
        <v>4.0</v>
      </c>
      <c r="AB428" s="16">
        <v>5.0</v>
      </c>
      <c r="AC428" s="16">
        <v>5.0</v>
      </c>
      <c r="AD428" s="38">
        <v>14.0</v>
      </c>
      <c r="AE428" s="38">
        <v>16.0</v>
      </c>
      <c r="AF428" s="38">
        <v>20.0</v>
      </c>
      <c r="AG428" s="38" t="s">
        <v>983</v>
      </c>
      <c r="AI428" s="18" t="s">
        <v>915</v>
      </c>
    </row>
    <row r="429">
      <c r="A429" s="11"/>
      <c r="B429" s="12" t="s">
        <v>7</v>
      </c>
      <c r="C429" s="12" t="s">
        <v>8</v>
      </c>
      <c r="D429" s="12" t="s">
        <v>15</v>
      </c>
      <c r="E429" s="12" t="s">
        <v>21</v>
      </c>
      <c r="F429" s="13" t="s">
        <v>19</v>
      </c>
      <c r="G429" s="12" t="s">
        <v>68</v>
      </c>
      <c r="H429" s="12" t="s">
        <v>968</v>
      </c>
      <c r="I429" s="12" t="s">
        <v>969</v>
      </c>
      <c r="J429" s="17" t="s">
        <v>984</v>
      </c>
      <c r="K429" s="17" t="s">
        <v>984</v>
      </c>
      <c r="L429" s="17" t="s">
        <v>193</v>
      </c>
      <c r="M429" s="17">
        <v>26.0</v>
      </c>
      <c r="N429" s="19">
        <v>45833.0</v>
      </c>
      <c r="O429" s="17" t="s">
        <v>194</v>
      </c>
      <c r="P429" s="16">
        <v>4.0</v>
      </c>
      <c r="Q429" s="16">
        <v>4.0</v>
      </c>
      <c r="R429" s="16">
        <v>4.0</v>
      </c>
      <c r="S429" s="16">
        <v>4.0</v>
      </c>
      <c r="T429" s="16">
        <v>4.0</v>
      </c>
      <c r="U429" s="16">
        <v>4.0</v>
      </c>
      <c r="V429" s="16">
        <v>4.0</v>
      </c>
      <c r="W429" s="16">
        <v>4.0</v>
      </c>
      <c r="X429" s="16">
        <v>4.0</v>
      </c>
      <c r="Y429" s="16">
        <v>4.0</v>
      </c>
      <c r="Z429" s="16">
        <v>4.0</v>
      </c>
      <c r="AA429" s="16">
        <v>4.0</v>
      </c>
      <c r="AB429" s="16">
        <v>4.0</v>
      </c>
      <c r="AC429" s="16">
        <v>4.0</v>
      </c>
      <c r="AD429" s="38">
        <v>14.0</v>
      </c>
      <c r="AE429" s="38">
        <v>15.0</v>
      </c>
      <c r="AF429" s="38">
        <v>16.0</v>
      </c>
      <c r="AG429" s="38" t="s">
        <v>985</v>
      </c>
      <c r="AI429" s="18" t="s">
        <v>915</v>
      </c>
    </row>
    <row r="430">
      <c r="A430" s="11"/>
      <c r="B430" s="12" t="s">
        <v>7</v>
      </c>
      <c r="C430" s="12" t="s">
        <v>8</v>
      </c>
      <c r="D430" s="12" t="s">
        <v>15</v>
      </c>
      <c r="E430" s="12" t="s">
        <v>21</v>
      </c>
      <c r="F430" s="13" t="s">
        <v>19</v>
      </c>
      <c r="G430" s="12" t="s">
        <v>68</v>
      </c>
      <c r="H430" s="12" t="s">
        <v>968</v>
      </c>
      <c r="I430" s="12" t="s">
        <v>969</v>
      </c>
      <c r="J430" s="17" t="s">
        <v>986</v>
      </c>
      <c r="K430" s="17" t="s">
        <v>986</v>
      </c>
      <c r="L430" s="17" t="s">
        <v>193</v>
      </c>
      <c r="M430" s="17">
        <v>30.0</v>
      </c>
      <c r="N430" s="19">
        <v>45833.0</v>
      </c>
      <c r="O430" s="17" t="s">
        <v>194</v>
      </c>
      <c r="P430" s="16">
        <v>4.0</v>
      </c>
      <c r="Q430" s="16">
        <v>4.0</v>
      </c>
      <c r="R430" s="16">
        <v>3.0</v>
      </c>
      <c r="S430" s="16">
        <v>3.0</v>
      </c>
      <c r="T430" s="16">
        <v>5.0</v>
      </c>
      <c r="U430" s="16">
        <v>4.0</v>
      </c>
      <c r="V430" s="16">
        <v>4.0</v>
      </c>
      <c r="W430" s="16">
        <v>3.0</v>
      </c>
      <c r="X430" s="16">
        <v>4.0</v>
      </c>
      <c r="Y430" s="16">
        <v>4.0</v>
      </c>
      <c r="Z430" s="16">
        <v>5.0</v>
      </c>
      <c r="AA430" s="16">
        <v>4.0</v>
      </c>
      <c r="AB430" s="16">
        <v>5.0</v>
      </c>
      <c r="AC430" s="16">
        <v>4.0</v>
      </c>
      <c r="AD430" s="38">
        <v>14.0</v>
      </c>
      <c r="AE430" s="38">
        <v>13.0</v>
      </c>
      <c r="AF430" s="38">
        <v>18.0</v>
      </c>
      <c r="AG430" s="38" t="s">
        <v>987</v>
      </c>
      <c r="AI430" s="18" t="s">
        <v>915</v>
      </c>
    </row>
    <row r="431">
      <c r="A431" s="11"/>
      <c r="B431" s="12" t="s">
        <v>7</v>
      </c>
      <c r="C431" s="12" t="s">
        <v>8</v>
      </c>
      <c r="D431" s="12" t="s">
        <v>15</v>
      </c>
      <c r="E431" s="12" t="s">
        <v>21</v>
      </c>
      <c r="F431" s="13" t="s">
        <v>19</v>
      </c>
      <c r="G431" s="12" t="s">
        <v>68</v>
      </c>
      <c r="H431" s="12" t="s">
        <v>968</v>
      </c>
      <c r="I431" s="12" t="s">
        <v>969</v>
      </c>
      <c r="J431" s="17" t="s">
        <v>988</v>
      </c>
      <c r="K431" s="17" t="s">
        <v>988</v>
      </c>
      <c r="L431" s="17" t="s">
        <v>193</v>
      </c>
      <c r="M431" s="17">
        <v>38.0</v>
      </c>
      <c r="N431" s="19">
        <v>45833.0</v>
      </c>
      <c r="O431" s="17" t="s">
        <v>194</v>
      </c>
      <c r="P431" s="16">
        <v>3.0</v>
      </c>
      <c r="Q431" s="16">
        <v>3.0</v>
      </c>
      <c r="R431" s="16">
        <v>3.0</v>
      </c>
      <c r="S431" s="16">
        <v>3.0</v>
      </c>
      <c r="T431" s="16">
        <v>4.0</v>
      </c>
      <c r="U431" s="16">
        <v>5.0</v>
      </c>
      <c r="V431" s="16">
        <v>5.0</v>
      </c>
      <c r="W431" s="16">
        <v>3.0</v>
      </c>
      <c r="X431" s="16">
        <v>5.0</v>
      </c>
      <c r="Y431" s="16">
        <v>5.0</v>
      </c>
      <c r="Z431" s="16">
        <v>4.0</v>
      </c>
      <c r="AA431" s="16">
        <v>3.0</v>
      </c>
      <c r="AB431" s="16">
        <v>4.0</v>
      </c>
      <c r="AC431" s="16">
        <v>5.0</v>
      </c>
      <c r="AD431" s="38">
        <v>15.0</v>
      </c>
      <c r="AE431" s="38">
        <v>15.0</v>
      </c>
      <c r="AF431" s="38">
        <v>18.0</v>
      </c>
      <c r="AG431" s="38" t="s">
        <v>989</v>
      </c>
      <c r="AI431" s="18" t="s">
        <v>915</v>
      </c>
    </row>
    <row r="432">
      <c r="A432" s="11"/>
      <c r="B432" s="12" t="s">
        <v>7</v>
      </c>
      <c r="C432" s="12" t="s">
        <v>8</v>
      </c>
      <c r="D432" s="12" t="s">
        <v>15</v>
      </c>
      <c r="E432" s="12" t="s">
        <v>21</v>
      </c>
      <c r="F432" s="13" t="s">
        <v>19</v>
      </c>
      <c r="G432" s="12" t="s">
        <v>68</v>
      </c>
      <c r="H432" s="12" t="s">
        <v>968</v>
      </c>
      <c r="I432" s="12" t="s">
        <v>969</v>
      </c>
      <c r="J432" s="17" t="s">
        <v>990</v>
      </c>
      <c r="K432" s="17" t="s">
        <v>990</v>
      </c>
      <c r="L432" s="17" t="s">
        <v>193</v>
      </c>
      <c r="M432" s="17">
        <v>29.0</v>
      </c>
      <c r="N432" s="19">
        <v>45833.0</v>
      </c>
      <c r="O432" s="17" t="s">
        <v>194</v>
      </c>
      <c r="P432" s="16">
        <v>3.0</v>
      </c>
      <c r="Q432" s="16">
        <v>3.0</v>
      </c>
      <c r="R432" s="16">
        <v>3.0</v>
      </c>
      <c r="S432" s="16">
        <v>3.0</v>
      </c>
      <c r="T432" s="16">
        <v>4.0</v>
      </c>
      <c r="U432" s="16">
        <v>5.0</v>
      </c>
      <c r="V432" s="16">
        <v>5.0</v>
      </c>
      <c r="W432" s="16">
        <v>3.0</v>
      </c>
      <c r="X432" s="16">
        <v>5.0</v>
      </c>
      <c r="Y432" s="16">
        <v>5.0</v>
      </c>
      <c r="Z432" s="16">
        <v>4.0</v>
      </c>
      <c r="AA432" s="16">
        <v>3.0</v>
      </c>
      <c r="AB432" s="16">
        <v>4.0</v>
      </c>
      <c r="AC432" s="16">
        <v>5.0</v>
      </c>
      <c r="AD432" s="38">
        <v>15.0</v>
      </c>
      <c r="AE432" s="38">
        <v>15.0</v>
      </c>
      <c r="AF432" s="38">
        <v>18.0</v>
      </c>
      <c r="AG432" s="38" t="s">
        <v>991</v>
      </c>
      <c r="AI432" s="18" t="s">
        <v>915</v>
      </c>
    </row>
    <row r="433">
      <c r="A433" s="11"/>
      <c r="B433" s="12" t="s">
        <v>7</v>
      </c>
      <c r="C433" s="12" t="s">
        <v>8</v>
      </c>
      <c r="D433" s="12" t="s">
        <v>15</v>
      </c>
      <c r="E433" s="12" t="s">
        <v>21</v>
      </c>
      <c r="F433" s="13" t="s">
        <v>19</v>
      </c>
      <c r="G433" s="12" t="s">
        <v>68</v>
      </c>
      <c r="H433" s="12" t="s">
        <v>968</v>
      </c>
      <c r="I433" s="12" t="s">
        <v>969</v>
      </c>
      <c r="J433" s="17" t="s">
        <v>992</v>
      </c>
      <c r="K433" s="17" t="s">
        <v>992</v>
      </c>
      <c r="L433" s="17" t="s">
        <v>193</v>
      </c>
      <c r="M433" s="17">
        <v>40.0</v>
      </c>
      <c r="N433" s="19">
        <v>45833.0</v>
      </c>
      <c r="O433" s="17" t="s">
        <v>194</v>
      </c>
      <c r="P433" s="16">
        <v>3.0</v>
      </c>
      <c r="Q433" s="16">
        <v>3.0</v>
      </c>
      <c r="R433" s="16">
        <v>3.0</v>
      </c>
      <c r="S433" s="16">
        <v>3.0</v>
      </c>
      <c r="T433" s="16">
        <v>4.0</v>
      </c>
      <c r="U433" s="16">
        <v>5.0</v>
      </c>
      <c r="V433" s="16">
        <v>5.0</v>
      </c>
      <c r="W433" s="16">
        <v>3.0</v>
      </c>
      <c r="X433" s="16">
        <v>5.0</v>
      </c>
      <c r="Y433" s="16">
        <v>5.0</v>
      </c>
      <c r="Z433" s="16">
        <v>4.0</v>
      </c>
      <c r="AA433" s="16">
        <v>3.0</v>
      </c>
      <c r="AB433" s="16">
        <v>4.0</v>
      </c>
      <c r="AC433" s="16">
        <v>5.0</v>
      </c>
      <c r="AD433" s="38">
        <v>15.0</v>
      </c>
      <c r="AE433" s="38">
        <v>15.0</v>
      </c>
      <c r="AF433" s="38">
        <v>18.0</v>
      </c>
      <c r="AG433" s="38" t="s">
        <v>993</v>
      </c>
      <c r="AI433" s="18" t="s">
        <v>915</v>
      </c>
    </row>
    <row r="434">
      <c r="A434" s="11"/>
      <c r="B434" s="12" t="s">
        <v>7</v>
      </c>
      <c r="C434" s="12" t="s">
        <v>8</v>
      </c>
      <c r="D434" s="12" t="s">
        <v>24</v>
      </c>
      <c r="E434" s="12" t="s">
        <v>25</v>
      </c>
      <c r="F434" s="13" t="s">
        <v>26</v>
      </c>
      <c r="G434" s="12" t="s">
        <v>68</v>
      </c>
      <c r="H434" s="12" t="s">
        <v>994</v>
      </c>
      <c r="I434" s="12" t="s">
        <v>995</v>
      </c>
      <c r="J434" s="53" t="s">
        <v>996</v>
      </c>
      <c r="K434" s="53" t="s">
        <v>996</v>
      </c>
      <c r="L434" s="17" t="s">
        <v>193</v>
      </c>
      <c r="M434" s="54">
        <v>34.0</v>
      </c>
      <c r="N434" s="55">
        <v>45861.0</v>
      </c>
      <c r="O434" s="17" t="s">
        <v>194</v>
      </c>
      <c r="P434" s="56">
        <v>5.0</v>
      </c>
      <c r="Q434" s="56">
        <v>5.0</v>
      </c>
      <c r="R434" s="56">
        <v>4.0</v>
      </c>
      <c r="S434" s="56">
        <v>4.0</v>
      </c>
      <c r="T434" s="56">
        <v>5.0</v>
      </c>
      <c r="U434" s="56">
        <v>3.0</v>
      </c>
      <c r="V434" s="56">
        <v>3.0</v>
      </c>
      <c r="W434" s="56">
        <v>4.0</v>
      </c>
      <c r="X434" s="56">
        <v>4.0</v>
      </c>
      <c r="Y434" s="56">
        <v>4.0</v>
      </c>
      <c r="Z434" s="56">
        <v>5.0</v>
      </c>
      <c r="AA434" s="56">
        <v>5.0</v>
      </c>
      <c r="AB434" s="56">
        <v>5.0</v>
      </c>
      <c r="AC434" s="56">
        <v>4.0</v>
      </c>
      <c r="AD434" s="57">
        <v>13.0</v>
      </c>
      <c r="AE434" s="57">
        <v>14.0</v>
      </c>
      <c r="AF434" s="57">
        <v>16.0</v>
      </c>
      <c r="AG434" s="57" t="s">
        <v>997</v>
      </c>
      <c r="AI434" s="18" t="s">
        <v>577</v>
      </c>
    </row>
    <row r="435">
      <c r="A435" s="11"/>
      <c r="B435" s="12" t="s">
        <v>7</v>
      </c>
      <c r="C435" s="12" t="s">
        <v>8</v>
      </c>
      <c r="D435" s="12" t="s">
        <v>24</v>
      </c>
      <c r="E435" s="12" t="s">
        <v>25</v>
      </c>
      <c r="F435" s="13" t="s">
        <v>26</v>
      </c>
      <c r="G435" s="12" t="s">
        <v>68</v>
      </c>
      <c r="H435" s="12" t="s">
        <v>994</v>
      </c>
      <c r="I435" s="12" t="s">
        <v>995</v>
      </c>
      <c r="J435" s="53" t="s">
        <v>998</v>
      </c>
      <c r="K435" s="53" t="s">
        <v>998</v>
      </c>
      <c r="L435" s="17" t="s">
        <v>193</v>
      </c>
      <c r="M435" s="53">
        <v>24.0</v>
      </c>
      <c r="N435" s="55">
        <v>45861.0</v>
      </c>
      <c r="O435" s="17" t="s">
        <v>194</v>
      </c>
      <c r="P435" s="56">
        <v>3.0</v>
      </c>
      <c r="Q435" s="56">
        <v>3.0</v>
      </c>
      <c r="R435" s="56">
        <v>3.0</v>
      </c>
      <c r="S435" s="56">
        <v>3.0</v>
      </c>
      <c r="T435" s="56">
        <v>5.0</v>
      </c>
      <c r="U435" s="56">
        <v>3.0</v>
      </c>
      <c r="V435" s="56">
        <v>3.0</v>
      </c>
      <c r="W435" s="56">
        <v>3.0</v>
      </c>
      <c r="X435" s="56">
        <v>4.0</v>
      </c>
      <c r="Y435" s="56">
        <v>4.0</v>
      </c>
      <c r="Z435" s="56">
        <v>5.0</v>
      </c>
      <c r="AA435" s="56">
        <v>3.0</v>
      </c>
      <c r="AB435" s="56">
        <v>5.0</v>
      </c>
      <c r="AC435" s="56">
        <v>4.0</v>
      </c>
      <c r="AD435" s="57">
        <v>15.0</v>
      </c>
      <c r="AE435" s="57">
        <v>13.0</v>
      </c>
      <c r="AF435" s="57">
        <v>16.0</v>
      </c>
      <c r="AG435" s="57" t="s">
        <v>999</v>
      </c>
      <c r="AI435" s="18" t="s">
        <v>577</v>
      </c>
    </row>
    <row r="436">
      <c r="A436" s="11"/>
      <c r="B436" s="12" t="s">
        <v>7</v>
      </c>
      <c r="C436" s="12" t="s">
        <v>8</v>
      </c>
      <c r="D436" s="12" t="s">
        <v>24</v>
      </c>
      <c r="E436" s="12" t="s">
        <v>25</v>
      </c>
      <c r="F436" s="13" t="s">
        <v>26</v>
      </c>
      <c r="G436" s="12" t="s">
        <v>68</v>
      </c>
      <c r="H436" s="12" t="s">
        <v>994</v>
      </c>
      <c r="I436" s="12" t="s">
        <v>995</v>
      </c>
      <c r="J436" s="53" t="s">
        <v>1000</v>
      </c>
      <c r="K436" s="53" t="s">
        <v>1000</v>
      </c>
      <c r="L436" s="17" t="s">
        <v>193</v>
      </c>
      <c r="M436" s="54">
        <v>38.0</v>
      </c>
      <c r="N436" s="55">
        <v>45861.0</v>
      </c>
      <c r="O436" s="17" t="s">
        <v>194</v>
      </c>
      <c r="P436" s="56">
        <v>5.0</v>
      </c>
      <c r="Q436" s="56">
        <v>5.0</v>
      </c>
      <c r="R436" s="56">
        <v>4.0</v>
      </c>
      <c r="S436" s="56">
        <v>4.0</v>
      </c>
      <c r="T436" s="56">
        <v>5.0</v>
      </c>
      <c r="U436" s="56">
        <v>5.0</v>
      </c>
      <c r="V436" s="56">
        <v>5.0</v>
      </c>
      <c r="W436" s="56">
        <v>4.0</v>
      </c>
      <c r="X436" s="56">
        <v>5.0</v>
      </c>
      <c r="Y436" s="56">
        <v>5.0</v>
      </c>
      <c r="Z436" s="56">
        <v>5.0</v>
      </c>
      <c r="AA436" s="56">
        <v>5.0</v>
      </c>
      <c r="AB436" s="56">
        <v>5.0</v>
      </c>
      <c r="AC436" s="56">
        <v>5.0</v>
      </c>
      <c r="AD436" s="57">
        <v>13.0</v>
      </c>
      <c r="AE436" s="57">
        <v>15.0</v>
      </c>
      <c r="AF436" s="57">
        <v>20.0</v>
      </c>
      <c r="AG436" s="57" t="s">
        <v>1001</v>
      </c>
      <c r="AI436" s="18" t="s">
        <v>577</v>
      </c>
    </row>
    <row r="437">
      <c r="A437" s="11"/>
      <c r="B437" s="12" t="s">
        <v>7</v>
      </c>
      <c r="C437" s="12" t="s">
        <v>8</v>
      </c>
      <c r="D437" s="12" t="s">
        <v>24</v>
      </c>
      <c r="E437" s="12" t="s">
        <v>25</v>
      </c>
      <c r="F437" s="13" t="s">
        <v>26</v>
      </c>
      <c r="G437" s="12" t="s">
        <v>68</v>
      </c>
      <c r="H437" s="12" t="s">
        <v>994</v>
      </c>
      <c r="I437" s="12" t="s">
        <v>995</v>
      </c>
      <c r="J437" s="53" t="s">
        <v>1002</v>
      </c>
      <c r="K437" s="53" t="s">
        <v>1002</v>
      </c>
      <c r="L437" s="17" t="s">
        <v>193</v>
      </c>
      <c r="M437" s="53">
        <v>27.0</v>
      </c>
      <c r="N437" s="55">
        <v>45861.0</v>
      </c>
      <c r="O437" s="17" t="s">
        <v>194</v>
      </c>
      <c r="P437" s="56">
        <v>5.0</v>
      </c>
      <c r="Q437" s="56">
        <v>5.0</v>
      </c>
      <c r="R437" s="56">
        <v>3.0</v>
      </c>
      <c r="S437" s="56">
        <v>3.0</v>
      </c>
      <c r="T437" s="56">
        <v>4.0</v>
      </c>
      <c r="U437" s="56">
        <v>1.0</v>
      </c>
      <c r="V437" s="56">
        <v>1.0</v>
      </c>
      <c r="W437" s="56">
        <v>3.0</v>
      </c>
      <c r="X437" s="56">
        <v>1.0</v>
      </c>
      <c r="Y437" s="56">
        <v>1.0</v>
      </c>
      <c r="Z437" s="56">
        <v>4.0</v>
      </c>
      <c r="AA437" s="56">
        <v>5.0</v>
      </c>
      <c r="AB437" s="56">
        <v>4.0</v>
      </c>
      <c r="AC437" s="56">
        <v>1.0</v>
      </c>
      <c r="AD437" s="57">
        <v>13.0</v>
      </c>
      <c r="AE437" s="57">
        <v>11.0</v>
      </c>
      <c r="AF437" s="57">
        <v>10.0</v>
      </c>
      <c r="AG437" s="57" t="s">
        <v>1003</v>
      </c>
      <c r="AI437" s="18" t="s">
        <v>577</v>
      </c>
    </row>
    <row r="438">
      <c r="A438" s="11"/>
      <c r="B438" s="12" t="s">
        <v>7</v>
      </c>
      <c r="C438" s="12" t="s">
        <v>8</v>
      </c>
      <c r="D438" s="12" t="s">
        <v>24</v>
      </c>
      <c r="E438" s="12" t="s">
        <v>25</v>
      </c>
      <c r="F438" s="13" t="s">
        <v>26</v>
      </c>
      <c r="G438" s="12" t="s">
        <v>68</v>
      </c>
      <c r="H438" s="12" t="s">
        <v>994</v>
      </c>
      <c r="I438" s="12" t="s">
        <v>995</v>
      </c>
      <c r="J438" s="53" t="s">
        <v>1004</v>
      </c>
      <c r="K438" s="53" t="s">
        <v>1004</v>
      </c>
      <c r="L438" s="17" t="s">
        <v>193</v>
      </c>
      <c r="M438" s="53">
        <v>42.0</v>
      </c>
      <c r="N438" s="55">
        <v>45861.0</v>
      </c>
      <c r="O438" s="17" t="s">
        <v>194</v>
      </c>
      <c r="P438" s="56">
        <v>4.0</v>
      </c>
      <c r="Q438" s="56">
        <v>4.0</v>
      </c>
      <c r="R438" s="56">
        <v>4.0</v>
      </c>
      <c r="S438" s="56">
        <v>4.0</v>
      </c>
      <c r="T438" s="56">
        <v>5.0</v>
      </c>
      <c r="U438" s="56">
        <v>4.0</v>
      </c>
      <c r="V438" s="56">
        <v>4.0</v>
      </c>
      <c r="W438" s="56">
        <v>4.0</v>
      </c>
      <c r="X438" s="56">
        <v>5.0</v>
      </c>
      <c r="Y438" s="56">
        <v>5.0</v>
      </c>
      <c r="Z438" s="56">
        <v>5.0</v>
      </c>
      <c r="AA438" s="56">
        <v>4.0</v>
      </c>
      <c r="AB438" s="56">
        <v>5.0</v>
      </c>
      <c r="AC438" s="56">
        <v>5.0</v>
      </c>
      <c r="AD438" s="57">
        <v>14.0</v>
      </c>
      <c r="AE438" s="57">
        <v>15.0</v>
      </c>
      <c r="AF438" s="57">
        <v>18.0</v>
      </c>
      <c r="AG438" s="57" t="s">
        <v>1005</v>
      </c>
      <c r="AI438" s="18" t="s">
        <v>577</v>
      </c>
    </row>
    <row r="439">
      <c r="A439" s="11"/>
      <c r="B439" s="12" t="s">
        <v>7</v>
      </c>
      <c r="C439" s="12" t="s">
        <v>8</v>
      </c>
      <c r="D439" s="12" t="s">
        <v>24</v>
      </c>
      <c r="E439" s="12" t="s">
        <v>25</v>
      </c>
      <c r="F439" s="13" t="s">
        <v>26</v>
      </c>
      <c r="G439" s="12" t="s">
        <v>68</v>
      </c>
      <c r="H439" s="12" t="s">
        <v>994</v>
      </c>
      <c r="I439" s="12" t="s">
        <v>995</v>
      </c>
      <c r="J439" s="58" t="s">
        <v>1006</v>
      </c>
      <c r="K439" s="58" t="s">
        <v>1006</v>
      </c>
      <c r="L439" s="17" t="s">
        <v>193</v>
      </c>
      <c r="M439" s="54">
        <v>29.0</v>
      </c>
      <c r="N439" s="55">
        <v>45861.0</v>
      </c>
      <c r="O439" s="17" t="s">
        <v>194</v>
      </c>
      <c r="P439" s="56">
        <v>5.0</v>
      </c>
      <c r="Q439" s="56">
        <v>5.0</v>
      </c>
      <c r="R439" s="56">
        <v>5.0</v>
      </c>
      <c r="S439" s="56">
        <v>5.0</v>
      </c>
      <c r="T439" s="56">
        <v>5.0</v>
      </c>
      <c r="U439" s="56">
        <v>5.0</v>
      </c>
      <c r="V439" s="56">
        <v>5.0</v>
      </c>
      <c r="W439" s="56">
        <v>5.0</v>
      </c>
      <c r="X439" s="56">
        <v>5.0</v>
      </c>
      <c r="Y439" s="56">
        <v>5.0</v>
      </c>
      <c r="Z439" s="56">
        <v>5.0</v>
      </c>
      <c r="AA439" s="56">
        <v>5.0</v>
      </c>
      <c r="AB439" s="56">
        <v>5.0</v>
      </c>
      <c r="AC439" s="56">
        <v>5.0</v>
      </c>
      <c r="AD439" s="57">
        <v>13.0</v>
      </c>
      <c r="AE439" s="57">
        <v>16.0</v>
      </c>
      <c r="AF439" s="57">
        <v>20.0</v>
      </c>
      <c r="AG439" s="57" t="s">
        <v>1007</v>
      </c>
      <c r="AI439" s="18" t="s">
        <v>577</v>
      </c>
    </row>
    <row r="440">
      <c r="A440" s="11"/>
      <c r="B440" s="12" t="s">
        <v>7</v>
      </c>
      <c r="C440" s="12" t="s">
        <v>8</v>
      </c>
      <c r="D440" s="12" t="s">
        <v>24</v>
      </c>
      <c r="E440" s="12" t="s">
        <v>25</v>
      </c>
      <c r="F440" s="13" t="s">
        <v>26</v>
      </c>
      <c r="G440" s="12" t="s">
        <v>68</v>
      </c>
      <c r="H440" s="12" t="s">
        <v>994</v>
      </c>
      <c r="I440" s="12" t="s">
        <v>995</v>
      </c>
      <c r="J440" s="53" t="s">
        <v>1008</v>
      </c>
      <c r="K440" s="53" t="s">
        <v>1008</v>
      </c>
      <c r="L440" s="17" t="s">
        <v>193</v>
      </c>
      <c r="M440" s="54">
        <v>25.0</v>
      </c>
      <c r="N440" s="55">
        <v>45861.0</v>
      </c>
      <c r="O440" s="17" t="s">
        <v>194</v>
      </c>
      <c r="P440" s="56">
        <v>5.0</v>
      </c>
      <c r="Q440" s="56">
        <v>5.0</v>
      </c>
      <c r="R440" s="56">
        <v>3.0</v>
      </c>
      <c r="S440" s="56">
        <v>3.0</v>
      </c>
      <c r="T440" s="56">
        <v>5.0</v>
      </c>
      <c r="U440" s="56">
        <v>4.0</v>
      </c>
      <c r="V440" s="56">
        <v>4.0</v>
      </c>
      <c r="W440" s="56">
        <v>3.0</v>
      </c>
      <c r="X440" s="56">
        <v>5.0</v>
      </c>
      <c r="Y440" s="56">
        <v>5.0</v>
      </c>
      <c r="Z440" s="56">
        <v>5.0</v>
      </c>
      <c r="AA440" s="56">
        <v>5.0</v>
      </c>
      <c r="AB440" s="56">
        <v>5.0</v>
      </c>
      <c r="AC440" s="56">
        <v>5.0</v>
      </c>
      <c r="AD440" s="57">
        <v>13.0</v>
      </c>
      <c r="AE440" s="57">
        <v>14.0</v>
      </c>
      <c r="AF440" s="57">
        <v>18.0</v>
      </c>
      <c r="AG440" s="57" t="s">
        <v>1009</v>
      </c>
      <c r="AI440" s="18" t="s">
        <v>577</v>
      </c>
    </row>
    <row r="441">
      <c r="A441" s="11"/>
      <c r="B441" s="12" t="s">
        <v>7</v>
      </c>
      <c r="C441" s="12" t="s">
        <v>8</v>
      </c>
      <c r="D441" s="12" t="s">
        <v>24</v>
      </c>
      <c r="E441" s="12" t="s">
        <v>25</v>
      </c>
      <c r="F441" s="13" t="s">
        <v>26</v>
      </c>
      <c r="G441" s="12" t="s">
        <v>68</v>
      </c>
      <c r="H441" s="12" t="s">
        <v>994</v>
      </c>
      <c r="I441" s="12" t="s">
        <v>995</v>
      </c>
      <c r="J441" s="58" t="s">
        <v>1010</v>
      </c>
      <c r="K441" s="58" t="s">
        <v>1010</v>
      </c>
      <c r="L441" s="17" t="s">
        <v>193</v>
      </c>
      <c r="M441" s="53">
        <v>29.0</v>
      </c>
      <c r="N441" s="55">
        <v>45861.0</v>
      </c>
      <c r="O441" s="17" t="s">
        <v>194</v>
      </c>
      <c r="P441" s="56">
        <v>4.0</v>
      </c>
      <c r="Q441" s="56">
        <v>4.0</v>
      </c>
      <c r="R441" s="56">
        <v>5.0</v>
      </c>
      <c r="S441" s="56">
        <v>5.0</v>
      </c>
      <c r="T441" s="56">
        <v>5.0</v>
      </c>
      <c r="U441" s="56">
        <v>5.0</v>
      </c>
      <c r="V441" s="56">
        <v>5.0</v>
      </c>
      <c r="W441" s="56">
        <v>5.0</v>
      </c>
      <c r="X441" s="56">
        <v>5.0</v>
      </c>
      <c r="Y441" s="56">
        <v>5.0</v>
      </c>
      <c r="Z441" s="56">
        <v>5.0</v>
      </c>
      <c r="AA441" s="56">
        <v>4.0</v>
      </c>
      <c r="AB441" s="56">
        <v>5.0</v>
      </c>
      <c r="AC441" s="56">
        <v>5.0</v>
      </c>
      <c r="AD441" s="57">
        <v>14.0</v>
      </c>
      <c r="AE441" s="57">
        <v>16.0</v>
      </c>
      <c r="AF441" s="57">
        <v>20.0</v>
      </c>
      <c r="AG441" s="57" t="s">
        <v>1011</v>
      </c>
      <c r="AI441" s="18" t="s">
        <v>577</v>
      </c>
    </row>
    <row r="442">
      <c r="A442" s="11"/>
      <c r="B442" s="12" t="s">
        <v>7</v>
      </c>
      <c r="C442" s="12" t="s">
        <v>8</v>
      </c>
      <c r="D442" s="12" t="s">
        <v>24</v>
      </c>
      <c r="E442" s="12" t="s">
        <v>25</v>
      </c>
      <c r="F442" s="13" t="s">
        <v>26</v>
      </c>
      <c r="G442" s="12" t="s">
        <v>68</v>
      </c>
      <c r="H442" s="12" t="s">
        <v>994</v>
      </c>
      <c r="I442" s="12" t="s">
        <v>995</v>
      </c>
      <c r="J442" s="53" t="s">
        <v>1012</v>
      </c>
      <c r="K442" s="53" t="s">
        <v>1012</v>
      </c>
      <c r="L442" s="17" t="s">
        <v>193</v>
      </c>
      <c r="M442" s="53">
        <v>30.0</v>
      </c>
      <c r="N442" s="55">
        <v>45861.0</v>
      </c>
      <c r="O442" s="17" t="s">
        <v>194</v>
      </c>
      <c r="P442" s="56">
        <v>3.0</v>
      </c>
      <c r="Q442" s="56">
        <v>3.0</v>
      </c>
      <c r="R442" s="56">
        <v>4.0</v>
      </c>
      <c r="S442" s="56">
        <v>4.0</v>
      </c>
      <c r="T442" s="56">
        <v>3.0</v>
      </c>
      <c r="U442" s="56">
        <v>4.0</v>
      </c>
      <c r="V442" s="56">
        <v>4.0</v>
      </c>
      <c r="W442" s="56">
        <v>4.0</v>
      </c>
      <c r="X442" s="56">
        <v>5.0</v>
      </c>
      <c r="Y442" s="56">
        <v>5.0</v>
      </c>
      <c r="Z442" s="56">
        <v>3.0</v>
      </c>
      <c r="AA442" s="56">
        <v>3.0</v>
      </c>
      <c r="AB442" s="56">
        <v>3.0</v>
      </c>
      <c r="AC442" s="56">
        <v>5.0</v>
      </c>
      <c r="AD442" s="57">
        <v>15.0</v>
      </c>
      <c r="AE442" s="57">
        <v>17.0</v>
      </c>
      <c r="AF442" s="57">
        <v>14.0</v>
      </c>
      <c r="AG442" s="57" t="s">
        <v>1013</v>
      </c>
      <c r="AI442" s="18" t="s">
        <v>577</v>
      </c>
    </row>
    <row r="443">
      <c r="A443" s="11"/>
      <c r="B443" s="12" t="s">
        <v>7</v>
      </c>
      <c r="C443" s="12" t="s">
        <v>8</v>
      </c>
      <c r="D443" s="12" t="s">
        <v>24</v>
      </c>
      <c r="E443" s="12" t="s">
        <v>25</v>
      </c>
      <c r="F443" s="13" t="s">
        <v>26</v>
      </c>
      <c r="G443" s="12" t="s">
        <v>68</v>
      </c>
      <c r="H443" s="12" t="s">
        <v>994</v>
      </c>
      <c r="I443" s="12" t="s">
        <v>995</v>
      </c>
      <c r="J443" s="53" t="s">
        <v>1014</v>
      </c>
      <c r="K443" s="53" t="s">
        <v>1014</v>
      </c>
      <c r="L443" s="17" t="s">
        <v>193</v>
      </c>
      <c r="M443" s="54">
        <v>42.0</v>
      </c>
      <c r="N443" s="55">
        <v>45861.0</v>
      </c>
      <c r="O443" s="17" t="s">
        <v>194</v>
      </c>
      <c r="P443" s="56">
        <v>4.0</v>
      </c>
      <c r="Q443" s="56">
        <v>4.0</v>
      </c>
      <c r="R443" s="56">
        <v>4.0</v>
      </c>
      <c r="S443" s="56">
        <v>4.0</v>
      </c>
      <c r="T443" s="56">
        <v>5.0</v>
      </c>
      <c r="U443" s="56">
        <v>5.0</v>
      </c>
      <c r="V443" s="56">
        <v>5.0</v>
      </c>
      <c r="W443" s="56">
        <v>4.0</v>
      </c>
      <c r="X443" s="56">
        <v>4.0</v>
      </c>
      <c r="Y443" s="56">
        <v>4.0</v>
      </c>
      <c r="Z443" s="56">
        <v>5.0</v>
      </c>
      <c r="AA443" s="56">
        <v>4.0</v>
      </c>
      <c r="AB443" s="56">
        <v>5.0</v>
      </c>
      <c r="AC443" s="56">
        <v>4.0</v>
      </c>
      <c r="AD443" s="57">
        <v>14.0</v>
      </c>
      <c r="AE443" s="57">
        <v>14.0</v>
      </c>
      <c r="AF443" s="57">
        <v>20.0</v>
      </c>
      <c r="AG443" s="57" t="s">
        <v>1015</v>
      </c>
      <c r="AI443" s="18" t="s">
        <v>577</v>
      </c>
    </row>
    <row r="444">
      <c r="A444" s="11"/>
      <c r="B444" s="12" t="s">
        <v>7</v>
      </c>
      <c r="C444" s="12" t="s">
        <v>8</v>
      </c>
      <c r="D444" s="12" t="s">
        <v>24</v>
      </c>
      <c r="E444" s="12" t="s">
        <v>25</v>
      </c>
      <c r="F444" s="13" t="s">
        <v>26</v>
      </c>
      <c r="G444" s="12" t="s">
        <v>68</v>
      </c>
      <c r="H444" s="12" t="s">
        <v>994</v>
      </c>
      <c r="I444" s="12" t="s">
        <v>995</v>
      </c>
      <c r="J444" s="53" t="s">
        <v>1016</v>
      </c>
      <c r="K444" s="53" t="s">
        <v>1016</v>
      </c>
      <c r="L444" s="17" t="s">
        <v>193</v>
      </c>
      <c r="M444" s="54">
        <v>29.0</v>
      </c>
      <c r="N444" s="55">
        <v>45861.0</v>
      </c>
      <c r="O444" s="17" t="s">
        <v>194</v>
      </c>
      <c r="P444" s="56">
        <v>5.0</v>
      </c>
      <c r="Q444" s="56">
        <v>5.0</v>
      </c>
      <c r="R444" s="56">
        <v>3.0</v>
      </c>
      <c r="S444" s="56">
        <v>3.0</v>
      </c>
      <c r="T444" s="56">
        <v>5.0</v>
      </c>
      <c r="U444" s="56">
        <v>4.0</v>
      </c>
      <c r="V444" s="56">
        <v>4.0</v>
      </c>
      <c r="W444" s="56">
        <v>3.0</v>
      </c>
      <c r="X444" s="56">
        <v>5.0</v>
      </c>
      <c r="Y444" s="56">
        <v>5.0</v>
      </c>
      <c r="Z444" s="56">
        <v>5.0</v>
      </c>
      <c r="AA444" s="56">
        <v>5.0</v>
      </c>
      <c r="AB444" s="56">
        <v>5.0</v>
      </c>
      <c r="AC444" s="56">
        <v>5.0</v>
      </c>
      <c r="AD444" s="57">
        <v>13.0</v>
      </c>
      <c r="AE444" s="57">
        <v>14.0</v>
      </c>
      <c r="AF444" s="57">
        <v>18.0</v>
      </c>
      <c r="AG444" s="57" t="s">
        <v>1017</v>
      </c>
      <c r="AI444" s="18" t="s">
        <v>577</v>
      </c>
    </row>
    <row r="445">
      <c r="A445" s="43"/>
      <c r="B445" s="44" t="s">
        <v>7</v>
      </c>
      <c r="C445" s="44" t="s">
        <v>8</v>
      </c>
      <c r="D445" s="44" t="s">
        <v>24</v>
      </c>
      <c r="E445" s="44" t="s">
        <v>25</v>
      </c>
      <c r="F445" s="45" t="s">
        <v>26</v>
      </c>
      <c r="G445" s="44" t="s">
        <v>68</v>
      </c>
      <c r="H445" s="44" t="s">
        <v>994</v>
      </c>
      <c r="I445" s="44" t="s">
        <v>995</v>
      </c>
      <c r="J445" s="59" t="s">
        <v>1018</v>
      </c>
      <c r="K445" s="59" t="s">
        <v>1018</v>
      </c>
      <c r="L445" s="60" t="s">
        <v>193</v>
      </c>
      <c r="M445" s="61">
        <v>23.0</v>
      </c>
      <c r="N445" s="62">
        <v>45861.0</v>
      </c>
      <c r="O445" s="21" t="s">
        <v>194</v>
      </c>
      <c r="P445" s="63">
        <v>4.0</v>
      </c>
      <c r="Q445" s="63">
        <v>4.0</v>
      </c>
      <c r="R445" s="63">
        <v>3.0</v>
      </c>
      <c r="S445" s="63">
        <v>3.0</v>
      </c>
      <c r="T445" s="63">
        <v>3.0</v>
      </c>
      <c r="U445" s="63">
        <v>4.0</v>
      </c>
      <c r="V445" s="63">
        <v>4.0</v>
      </c>
      <c r="W445" s="63">
        <v>3.0</v>
      </c>
      <c r="X445" s="63">
        <v>4.0</v>
      </c>
      <c r="Y445" s="63">
        <v>4.0</v>
      </c>
      <c r="Z445" s="63">
        <v>3.0</v>
      </c>
      <c r="AA445" s="63">
        <v>4.0</v>
      </c>
      <c r="AB445" s="63">
        <v>3.0</v>
      </c>
      <c r="AC445" s="63">
        <v>4.0</v>
      </c>
      <c r="AD445" s="64">
        <v>14.0</v>
      </c>
      <c r="AE445" s="64">
        <v>15.0</v>
      </c>
      <c r="AF445" s="64">
        <v>14.0</v>
      </c>
      <c r="AG445" s="64" t="s">
        <v>1019</v>
      </c>
      <c r="AH445" s="21"/>
      <c r="AI445" s="65" t="s">
        <v>577</v>
      </c>
    </row>
    <row r="446">
      <c r="A446" s="43"/>
      <c r="B446" s="44" t="s">
        <v>7</v>
      </c>
      <c r="C446" s="44" t="s">
        <v>8</v>
      </c>
      <c r="D446" s="44" t="s">
        <v>24</v>
      </c>
      <c r="E446" s="44" t="s">
        <v>25</v>
      </c>
      <c r="F446" s="45" t="s">
        <v>26</v>
      </c>
      <c r="G446" s="44" t="s">
        <v>68</v>
      </c>
      <c r="H446" s="44" t="s">
        <v>994</v>
      </c>
      <c r="I446" s="44" t="s">
        <v>995</v>
      </c>
      <c r="J446" s="59" t="s">
        <v>1020</v>
      </c>
      <c r="K446" s="59" t="s">
        <v>1020</v>
      </c>
      <c r="L446" s="60" t="s">
        <v>193</v>
      </c>
      <c r="M446" s="66">
        <v>34.0</v>
      </c>
      <c r="N446" s="62">
        <v>45861.0</v>
      </c>
      <c r="O446" s="21" t="s">
        <v>194</v>
      </c>
      <c r="P446" s="63">
        <v>5.0</v>
      </c>
      <c r="Q446" s="63">
        <v>5.0</v>
      </c>
      <c r="R446" s="63">
        <v>5.0</v>
      </c>
      <c r="S446" s="63">
        <v>5.0</v>
      </c>
      <c r="T446" s="63">
        <v>5.0</v>
      </c>
      <c r="U446" s="63">
        <v>5.0</v>
      </c>
      <c r="V446" s="63">
        <v>5.0</v>
      </c>
      <c r="W446" s="63">
        <v>5.0</v>
      </c>
      <c r="X446" s="63">
        <v>5.0</v>
      </c>
      <c r="Y446" s="63">
        <v>5.0</v>
      </c>
      <c r="Z446" s="63">
        <v>5.0</v>
      </c>
      <c r="AA446" s="63">
        <v>5.0</v>
      </c>
      <c r="AB446" s="63">
        <v>5.0</v>
      </c>
      <c r="AC446" s="63">
        <v>5.0</v>
      </c>
      <c r="AD446" s="64">
        <v>13.0</v>
      </c>
      <c r="AE446" s="64">
        <v>16.0</v>
      </c>
      <c r="AF446" s="64">
        <v>20.0</v>
      </c>
      <c r="AG446" s="64" t="s">
        <v>1021</v>
      </c>
      <c r="AH446" s="21"/>
      <c r="AI446" s="65" t="s">
        <v>577</v>
      </c>
    </row>
    <row r="447">
      <c r="A447" s="43"/>
      <c r="B447" s="44" t="s">
        <v>7</v>
      </c>
      <c r="C447" s="44" t="s">
        <v>8</v>
      </c>
      <c r="D447" s="44" t="s">
        <v>24</v>
      </c>
      <c r="E447" s="44" t="s">
        <v>25</v>
      </c>
      <c r="F447" s="45" t="s">
        <v>26</v>
      </c>
      <c r="G447" s="44" t="s">
        <v>68</v>
      </c>
      <c r="H447" s="44" t="s">
        <v>994</v>
      </c>
      <c r="I447" s="44" t="s">
        <v>995</v>
      </c>
      <c r="J447" s="59" t="s">
        <v>1022</v>
      </c>
      <c r="K447" s="59" t="s">
        <v>1022</v>
      </c>
      <c r="L447" s="60" t="s">
        <v>193</v>
      </c>
      <c r="M447" s="66">
        <v>28.0</v>
      </c>
      <c r="N447" s="62">
        <v>45861.0</v>
      </c>
      <c r="O447" s="21" t="s">
        <v>194</v>
      </c>
      <c r="P447" s="63">
        <v>4.0</v>
      </c>
      <c r="Q447" s="63">
        <v>4.0</v>
      </c>
      <c r="R447" s="63">
        <v>4.0</v>
      </c>
      <c r="S447" s="63">
        <v>4.0</v>
      </c>
      <c r="T447" s="63">
        <v>5.0</v>
      </c>
      <c r="U447" s="63">
        <v>4.0</v>
      </c>
      <c r="V447" s="63">
        <v>4.0</v>
      </c>
      <c r="W447" s="63">
        <v>4.0</v>
      </c>
      <c r="X447" s="63">
        <v>4.0</v>
      </c>
      <c r="Y447" s="63">
        <v>4.0</v>
      </c>
      <c r="Z447" s="63">
        <v>5.0</v>
      </c>
      <c r="AA447" s="63">
        <v>4.0</v>
      </c>
      <c r="AB447" s="63">
        <v>5.0</v>
      </c>
      <c r="AC447" s="63">
        <v>4.0</v>
      </c>
      <c r="AD447" s="67">
        <v>14.0</v>
      </c>
      <c r="AE447" s="67">
        <v>14.0</v>
      </c>
      <c r="AF447" s="67">
        <v>18.0</v>
      </c>
      <c r="AG447" s="67" t="s">
        <v>1023</v>
      </c>
      <c r="AH447" s="21"/>
      <c r="AI447" s="65" t="s">
        <v>577</v>
      </c>
    </row>
    <row r="448">
      <c r="A448" s="43"/>
      <c r="B448" s="44" t="s">
        <v>7</v>
      </c>
      <c r="C448" s="44" t="s">
        <v>8</v>
      </c>
      <c r="D448" s="44" t="s">
        <v>24</v>
      </c>
      <c r="E448" s="44" t="s">
        <v>25</v>
      </c>
      <c r="F448" s="45" t="s">
        <v>26</v>
      </c>
      <c r="G448" s="44" t="s">
        <v>68</v>
      </c>
      <c r="H448" s="44" t="s">
        <v>994</v>
      </c>
      <c r="I448" s="44" t="s">
        <v>995</v>
      </c>
      <c r="J448" s="59" t="s">
        <v>1024</v>
      </c>
      <c r="K448" s="59" t="s">
        <v>1024</v>
      </c>
      <c r="L448" s="60" t="s">
        <v>193</v>
      </c>
      <c r="M448" s="66">
        <v>32.0</v>
      </c>
      <c r="N448" s="62">
        <v>45861.0</v>
      </c>
      <c r="O448" s="21" t="s">
        <v>194</v>
      </c>
      <c r="P448" s="63">
        <v>4.0</v>
      </c>
      <c r="Q448" s="63">
        <v>4.0</v>
      </c>
      <c r="R448" s="63">
        <v>3.0</v>
      </c>
      <c r="S448" s="63">
        <v>3.0</v>
      </c>
      <c r="T448" s="63">
        <v>5.0</v>
      </c>
      <c r="U448" s="63">
        <v>4.0</v>
      </c>
      <c r="V448" s="63">
        <v>4.0</v>
      </c>
      <c r="W448" s="63">
        <v>3.0</v>
      </c>
      <c r="X448" s="63">
        <v>5.0</v>
      </c>
      <c r="Y448" s="63">
        <v>5.0</v>
      </c>
      <c r="Z448" s="63">
        <v>5.0</v>
      </c>
      <c r="AA448" s="63">
        <v>4.0</v>
      </c>
      <c r="AB448" s="63">
        <v>5.0</v>
      </c>
      <c r="AC448" s="63">
        <v>5.0</v>
      </c>
      <c r="AD448" s="64">
        <v>14.0</v>
      </c>
      <c r="AE448" s="64">
        <v>14.0</v>
      </c>
      <c r="AF448" s="64">
        <v>18.0</v>
      </c>
      <c r="AG448" s="64" t="s">
        <v>1025</v>
      </c>
      <c r="AH448" s="21"/>
      <c r="AI448" s="65" t="s">
        <v>577</v>
      </c>
    </row>
    <row r="449">
      <c r="A449" s="43"/>
      <c r="B449" s="44" t="s">
        <v>7</v>
      </c>
      <c r="C449" s="44" t="s">
        <v>8</v>
      </c>
      <c r="D449" s="44" t="s">
        <v>24</v>
      </c>
      <c r="E449" s="44" t="s">
        <v>25</v>
      </c>
      <c r="F449" s="45" t="s">
        <v>26</v>
      </c>
      <c r="G449" s="44" t="s">
        <v>68</v>
      </c>
      <c r="H449" s="44" t="s">
        <v>994</v>
      </c>
      <c r="I449" s="44" t="s">
        <v>995</v>
      </c>
      <c r="J449" s="59" t="s">
        <v>1026</v>
      </c>
      <c r="K449" s="59" t="s">
        <v>1026</v>
      </c>
      <c r="L449" s="60" t="s">
        <v>193</v>
      </c>
      <c r="M449" s="66">
        <v>22.0</v>
      </c>
      <c r="N449" s="62">
        <v>45861.0</v>
      </c>
      <c r="O449" s="21" t="s">
        <v>194</v>
      </c>
      <c r="P449" s="63">
        <v>5.0</v>
      </c>
      <c r="Q449" s="63">
        <v>5.0</v>
      </c>
      <c r="R449" s="63">
        <v>4.0</v>
      </c>
      <c r="S449" s="63">
        <v>4.0</v>
      </c>
      <c r="T449" s="63">
        <v>5.0</v>
      </c>
      <c r="U449" s="63">
        <v>5.0</v>
      </c>
      <c r="V449" s="63">
        <v>5.0</v>
      </c>
      <c r="W449" s="63">
        <v>4.0</v>
      </c>
      <c r="X449" s="63">
        <v>4.0</v>
      </c>
      <c r="Y449" s="63">
        <v>4.0</v>
      </c>
      <c r="Z449" s="63">
        <v>5.0</v>
      </c>
      <c r="AA449" s="63">
        <v>5.0</v>
      </c>
      <c r="AB449" s="63">
        <v>5.0</v>
      </c>
      <c r="AC449" s="63">
        <v>4.0</v>
      </c>
      <c r="AD449" s="67">
        <v>13.0</v>
      </c>
      <c r="AE449" s="67">
        <v>14.0</v>
      </c>
      <c r="AF449" s="67">
        <v>20.0</v>
      </c>
      <c r="AG449" s="67" t="s">
        <v>1027</v>
      </c>
      <c r="AH449" s="21"/>
      <c r="AI449" s="65" t="s">
        <v>577</v>
      </c>
    </row>
    <row r="450">
      <c r="A450" s="43"/>
      <c r="B450" s="44" t="s">
        <v>7</v>
      </c>
      <c r="C450" s="44" t="s">
        <v>8</v>
      </c>
      <c r="D450" s="44" t="s">
        <v>24</v>
      </c>
      <c r="E450" s="44" t="s">
        <v>25</v>
      </c>
      <c r="F450" s="45" t="s">
        <v>26</v>
      </c>
      <c r="G450" s="44" t="s">
        <v>68</v>
      </c>
      <c r="H450" s="44" t="s">
        <v>994</v>
      </c>
      <c r="I450" s="44" t="s">
        <v>995</v>
      </c>
      <c r="J450" s="59" t="s">
        <v>1028</v>
      </c>
      <c r="K450" s="59" t="s">
        <v>1028</v>
      </c>
      <c r="L450" s="60" t="s">
        <v>193</v>
      </c>
      <c r="M450" s="66">
        <v>30.0</v>
      </c>
      <c r="N450" s="62">
        <v>45861.0</v>
      </c>
      <c r="O450" s="21" t="s">
        <v>194</v>
      </c>
      <c r="P450" s="63">
        <v>4.0</v>
      </c>
      <c r="Q450" s="63">
        <v>4.0</v>
      </c>
      <c r="R450" s="63">
        <v>4.0</v>
      </c>
      <c r="S450" s="63">
        <v>4.0</v>
      </c>
      <c r="T450" s="63">
        <v>5.0</v>
      </c>
      <c r="U450" s="63">
        <v>5.0</v>
      </c>
      <c r="V450" s="63">
        <v>5.0</v>
      </c>
      <c r="W450" s="63">
        <v>4.0</v>
      </c>
      <c r="X450" s="63">
        <v>5.0</v>
      </c>
      <c r="Y450" s="63">
        <v>5.0</v>
      </c>
      <c r="Z450" s="63">
        <v>5.0</v>
      </c>
      <c r="AA450" s="63">
        <v>4.0</v>
      </c>
      <c r="AB450" s="63">
        <v>5.0</v>
      </c>
      <c r="AC450" s="63">
        <v>5.0</v>
      </c>
      <c r="AD450" s="64">
        <v>14.0</v>
      </c>
      <c r="AE450" s="64">
        <v>15.0</v>
      </c>
      <c r="AF450" s="64">
        <v>20.0</v>
      </c>
      <c r="AG450" s="64" t="s">
        <v>1029</v>
      </c>
      <c r="AH450" s="21"/>
      <c r="AI450" s="65" t="s">
        <v>577</v>
      </c>
    </row>
    <row r="451">
      <c r="A451" s="43"/>
      <c r="B451" s="44" t="s">
        <v>7</v>
      </c>
      <c r="C451" s="44" t="s">
        <v>8</v>
      </c>
      <c r="D451" s="44" t="s">
        <v>24</v>
      </c>
      <c r="E451" s="44" t="s">
        <v>25</v>
      </c>
      <c r="F451" s="45" t="s">
        <v>26</v>
      </c>
      <c r="G451" s="44" t="s">
        <v>68</v>
      </c>
      <c r="H451" s="44" t="s">
        <v>994</v>
      </c>
      <c r="I451" s="44" t="s">
        <v>995</v>
      </c>
      <c r="J451" s="59" t="s">
        <v>1030</v>
      </c>
      <c r="K451" s="59" t="s">
        <v>1030</v>
      </c>
      <c r="L451" s="60" t="s">
        <v>193</v>
      </c>
      <c r="M451" s="66">
        <v>30.0</v>
      </c>
      <c r="N451" s="62">
        <v>45861.0</v>
      </c>
      <c r="O451" s="21" t="s">
        <v>194</v>
      </c>
      <c r="P451" s="63">
        <v>3.0</v>
      </c>
      <c r="Q451" s="63">
        <v>3.0</v>
      </c>
      <c r="R451" s="63">
        <v>5.0</v>
      </c>
      <c r="S451" s="63">
        <v>5.0</v>
      </c>
      <c r="T451" s="63">
        <v>5.0</v>
      </c>
      <c r="U451" s="63">
        <v>5.0</v>
      </c>
      <c r="V451" s="63">
        <v>5.0</v>
      </c>
      <c r="W451" s="63">
        <v>5.0</v>
      </c>
      <c r="X451" s="63">
        <v>5.0</v>
      </c>
      <c r="Y451" s="63">
        <v>5.0</v>
      </c>
      <c r="Z451" s="63">
        <v>5.0</v>
      </c>
      <c r="AA451" s="63">
        <v>3.0</v>
      </c>
      <c r="AB451" s="63">
        <v>5.0</v>
      </c>
      <c r="AC451" s="63">
        <v>5.0</v>
      </c>
      <c r="AD451" s="67">
        <v>15.0</v>
      </c>
      <c r="AE451" s="67">
        <v>16.0</v>
      </c>
      <c r="AF451" s="67">
        <v>20.0</v>
      </c>
      <c r="AG451" s="67" t="s">
        <v>1031</v>
      </c>
      <c r="AH451" s="21"/>
      <c r="AI451" s="65" t="s">
        <v>577</v>
      </c>
    </row>
    <row r="452">
      <c r="A452" s="43"/>
      <c r="B452" s="44" t="s">
        <v>7</v>
      </c>
      <c r="C452" s="44" t="s">
        <v>8</v>
      </c>
      <c r="D452" s="44" t="s">
        <v>24</v>
      </c>
      <c r="E452" s="44" t="s">
        <v>25</v>
      </c>
      <c r="F452" s="45" t="s">
        <v>26</v>
      </c>
      <c r="G452" s="44" t="s">
        <v>68</v>
      </c>
      <c r="H452" s="44" t="s">
        <v>994</v>
      </c>
      <c r="I452" s="44" t="s">
        <v>995</v>
      </c>
      <c r="J452" s="59" t="s">
        <v>1032</v>
      </c>
      <c r="K452" s="59" t="s">
        <v>1032</v>
      </c>
      <c r="L452" s="60" t="s">
        <v>193</v>
      </c>
      <c r="M452" s="66">
        <v>45.0</v>
      </c>
      <c r="N452" s="62">
        <v>45861.0</v>
      </c>
      <c r="O452" s="21" t="s">
        <v>194</v>
      </c>
      <c r="P452" s="63">
        <v>4.0</v>
      </c>
      <c r="Q452" s="63">
        <v>4.0</v>
      </c>
      <c r="R452" s="63">
        <v>5.0</v>
      </c>
      <c r="S452" s="63">
        <v>5.0</v>
      </c>
      <c r="T452" s="63">
        <v>5.0</v>
      </c>
      <c r="U452" s="63">
        <v>4.0</v>
      </c>
      <c r="V452" s="63">
        <v>4.0</v>
      </c>
      <c r="W452" s="63">
        <v>5.0</v>
      </c>
      <c r="X452" s="63">
        <v>4.0</v>
      </c>
      <c r="Y452" s="63">
        <v>4.0</v>
      </c>
      <c r="Z452" s="63">
        <v>5.0</v>
      </c>
      <c r="AA452" s="63">
        <v>4.0</v>
      </c>
      <c r="AB452" s="63">
        <v>5.0</v>
      </c>
      <c r="AC452" s="63">
        <v>4.0</v>
      </c>
      <c r="AD452" s="64">
        <v>14.0</v>
      </c>
      <c r="AE452" s="64">
        <v>15.0</v>
      </c>
      <c r="AF452" s="64">
        <v>18.0</v>
      </c>
      <c r="AG452" s="64" t="s">
        <v>1033</v>
      </c>
      <c r="AH452" s="21"/>
      <c r="AI452" s="65" t="s">
        <v>577</v>
      </c>
    </row>
    <row r="453">
      <c r="A453" s="11"/>
      <c r="B453" s="12" t="s">
        <v>7</v>
      </c>
      <c r="C453" s="12" t="s">
        <v>8</v>
      </c>
      <c r="D453" s="12" t="s">
        <v>9</v>
      </c>
      <c r="E453" s="12" t="s">
        <v>10</v>
      </c>
      <c r="F453" s="13" t="s">
        <v>11</v>
      </c>
      <c r="G453" s="12" t="s">
        <v>68</v>
      </c>
      <c r="H453" s="12" t="s">
        <v>911</v>
      </c>
      <c r="I453" s="12" t="s">
        <v>912</v>
      </c>
      <c r="J453" s="68" t="s">
        <v>1034</v>
      </c>
      <c r="K453" s="68" t="s">
        <v>1034</v>
      </c>
      <c r="L453" s="17" t="s">
        <v>222</v>
      </c>
      <c r="M453" s="66">
        <v>38.0</v>
      </c>
      <c r="N453" s="69">
        <v>45883.0</v>
      </c>
      <c r="O453" s="17" t="s">
        <v>194</v>
      </c>
      <c r="P453" s="16">
        <v>5.0</v>
      </c>
      <c r="Q453" s="16">
        <v>5.0</v>
      </c>
      <c r="R453" s="16">
        <v>5.0</v>
      </c>
      <c r="S453" s="16">
        <v>5.0</v>
      </c>
      <c r="T453" s="16">
        <v>5.0</v>
      </c>
      <c r="U453" s="16">
        <v>4.0</v>
      </c>
      <c r="V453" s="16">
        <v>4.0</v>
      </c>
      <c r="W453" s="16">
        <v>5.0</v>
      </c>
      <c r="X453" s="16">
        <v>4.0</v>
      </c>
      <c r="Y453" s="16">
        <v>4.0</v>
      </c>
      <c r="Z453" s="16">
        <v>5.0</v>
      </c>
      <c r="AA453" s="16">
        <v>5.0</v>
      </c>
      <c r="AB453" s="16">
        <v>5.0</v>
      </c>
      <c r="AC453" s="16">
        <v>4.0</v>
      </c>
      <c r="AD453" s="70">
        <v>13.0</v>
      </c>
      <c r="AE453" s="70">
        <v>15.0</v>
      </c>
      <c r="AF453" s="70">
        <v>18.0</v>
      </c>
      <c r="AG453" s="70" t="s">
        <v>1035</v>
      </c>
      <c r="AI453" s="18" t="s">
        <v>915</v>
      </c>
    </row>
    <row r="454">
      <c r="A454" s="11"/>
      <c r="B454" s="12" t="s">
        <v>7</v>
      </c>
      <c r="C454" s="12" t="s">
        <v>8</v>
      </c>
      <c r="D454" s="12" t="s">
        <v>9</v>
      </c>
      <c r="E454" s="12" t="s">
        <v>10</v>
      </c>
      <c r="F454" s="13" t="s">
        <v>11</v>
      </c>
      <c r="G454" s="12" t="s">
        <v>68</v>
      </c>
      <c r="H454" s="12" t="s">
        <v>911</v>
      </c>
      <c r="I454" s="12" t="s">
        <v>912</v>
      </c>
      <c r="J454" s="68" t="s">
        <v>1036</v>
      </c>
      <c r="K454" s="68" t="s">
        <v>1036</v>
      </c>
      <c r="L454" s="17" t="s">
        <v>193</v>
      </c>
      <c r="M454" s="66">
        <v>33.0</v>
      </c>
      <c r="N454" s="69">
        <v>45883.0</v>
      </c>
      <c r="O454" s="17" t="s">
        <v>194</v>
      </c>
      <c r="P454" s="16">
        <v>4.0</v>
      </c>
      <c r="Q454" s="16">
        <v>4.0</v>
      </c>
      <c r="R454" s="16">
        <v>4.0</v>
      </c>
      <c r="S454" s="16">
        <v>4.0</v>
      </c>
      <c r="T454" s="16">
        <v>4.0</v>
      </c>
      <c r="U454" s="16">
        <v>4.0</v>
      </c>
      <c r="V454" s="16">
        <v>4.0</v>
      </c>
      <c r="W454" s="16">
        <v>4.0</v>
      </c>
      <c r="X454" s="16">
        <v>3.0</v>
      </c>
      <c r="Y454" s="16">
        <v>3.0</v>
      </c>
      <c r="Z454" s="16">
        <v>4.0</v>
      </c>
      <c r="AA454" s="16">
        <v>4.0</v>
      </c>
      <c r="AB454" s="16">
        <v>4.0</v>
      </c>
      <c r="AC454" s="16">
        <v>3.0</v>
      </c>
      <c r="AD454" s="70">
        <v>14.0</v>
      </c>
      <c r="AE454" s="70">
        <v>14.0</v>
      </c>
      <c r="AF454" s="70">
        <v>16.0</v>
      </c>
      <c r="AG454" s="70" t="s">
        <v>1037</v>
      </c>
      <c r="AI454" s="18" t="s">
        <v>915</v>
      </c>
    </row>
    <row r="455">
      <c r="A455" s="11"/>
      <c r="B455" s="12" t="s">
        <v>7</v>
      </c>
      <c r="C455" s="12" t="s">
        <v>8</v>
      </c>
      <c r="D455" s="12" t="s">
        <v>9</v>
      </c>
      <c r="E455" s="12" t="s">
        <v>10</v>
      </c>
      <c r="F455" s="13" t="s">
        <v>11</v>
      </c>
      <c r="G455" s="12" t="s">
        <v>68</v>
      </c>
      <c r="H455" s="12" t="s">
        <v>911</v>
      </c>
      <c r="I455" s="12" t="s">
        <v>912</v>
      </c>
      <c r="J455" s="68" t="s">
        <v>1038</v>
      </c>
      <c r="K455" s="68" t="s">
        <v>1038</v>
      </c>
      <c r="L455" s="17" t="s">
        <v>193</v>
      </c>
      <c r="M455" s="66">
        <v>58.0</v>
      </c>
      <c r="N455" s="69">
        <v>45883.0</v>
      </c>
      <c r="O455" s="17" t="s">
        <v>194</v>
      </c>
      <c r="P455" s="16">
        <v>3.0</v>
      </c>
      <c r="Q455" s="16">
        <v>3.0</v>
      </c>
      <c r="R455" s="16">
        <v>4.0</v>
      </c>
      <c r="S455" s="16">
        <v>4.0</v>
      </c>
      <c r="T455" s="16">
        <v>4.0</v>
      </c>
      <c r="U455" s="16">
        <v>4.0</v>
      </c>
      <c r="V455" s="16">
        <v>4.0</v>
      </c>
      <c r="W455" s="16">
        <v>4.0</v>
      </c>
      <c r="X455" s="16">
        <v>5.0</v>
      </c>
      <c r="Y455" s="16">
        <v>5.0</v>
      </c>
      <c r="Z455" s="16">
        <v>4.0</v>
      </c>
      <c r="AA455" s="16">
        <v>3.0</v>
      </c>
      <c r="AB455" s="16">
        <v>4.0</v>
      </c>
      <c r="AC455" s="16">
        <v>5.0</v>
      </c>
      <c r="AD455" s="70">
        <v>15.0</v>
      </c>
      <c r="AE455" s="70">
        <v>16.0</v>
      </c>
      <c r="AF455" s="70">
        <v>16.0</v>
      </c>
      <c r="AG455" s="70" t="s">
        <v>1039</v>
      </c>
      <c r="AI455" s="18" t="s">
        <v>915</v>
      </c>
    </row>
    <row r="456">
      <c r="A456" s="11"/>
      <c r="B456" s="12" t="s">
        <v>7</v>
      </c>
      <c r="C456" s="12" t="s">
        <v>8</v>
      </c>
      <c r="D456" s="12" t="s">
        <v>9</v>
      </c>
      <c r="E456" s="12" t="s">
        <v>10</v>
      </c>
      <c r="F456" s="13" t="s">
        <v>11</v>
      </c>
      <c r="G456" s="12" t="s">
        <v>68</v>
      </c>
      <c r="H456" s="12" t="s">
        <v>911</v>
      </c>
      <c r="I456" s="12" t="s">
        <v>912</v>
      </c>
      <c r="J456" s="68" t="s">
        <v>1040</v>
      </c>
      <c r="K456" s="68" t="s">
        <v>1040</v>
      </c>
      <c r="L456" s="17" t="s">
        <v>193</v>
      </c>
      <c r="M456" s="66">
        <v>24.0</v>
      </c>
      <c r="N456" s="69">
        <v>45883.0</v>
      </c>
      <c r="O456" s="17" t="s">
        <v>194</v>
      </c>
      <c r="P456" s="16">
        <v>3.0</v>
      </c>
      <c r="Q456" s="16">
        <v>3.0</v>
      </c>
      <c r="R456" s="16">
        <v>4.0</v>
      </c>
      <c r="S456" s="16">
        <v>4.0</v>
      </c>
      <c r="T456" s="16">
        <v>3.0</v>
      </c>
      <c r="U456" s="16">
        <v>5.0</v>
      </c>
      <c r="V456" s="16">
        <v>5.0</v>
      </c>
      <c r="W456" s="16">
        <v>4.0</v>
      </c>
      <c r="X456" s="16">
        <v>3.0</v>
      </c>
      <c r="Y456" s="16">
        <v>3.0</v>
      </c>
      <c r="Z456" s="16">
        <v>3.0</v>
      </c>
      <c r="AA456" s="16">
        <v>3.0</v>
      </c>
      <c r="AB456" s="16">
        <v>3.0</v>
      </c>
      <c r="AC456" s="16">
        <v>3.0</v>
      </c>
      <c r="AD456" s="70">
        <v>15.0</v>
      </c>
      <c r="AE456" s="70">
        <v>15.0</v>
      </c>
      <c r="AF456" s="70">
        <v>16.0</v>
      </c>
      <c r="AG456" s="70" t="s">
        <v>1041</v>
      </c>
      <c r="AI456" s="18" t="s">
        <v>915</v>
      </c>
    </row>
    <row r="457">
      <c r="A457" s="11"/>
      <c r="B457" s="12" t="s">
        <v>7</v>
      </c>
      <c r="C457" s="12" t="s">
        <v>8</v>
      </c>
      <c r="D457" s="12" t="s">
        <v>9</v>
      </c>
      <c r="E457" s="12" t="s">
        <v>10</v>
      </c>
      <c r="F457" s="13" t="s">
        <v>11</v>
      </c>
      <c r="G457" s="12" t="s">
        <v>68</v>
      </c>
      <c r="H457" s="12" t="s">
        <v>911</v>
      </c>
      <c r="I457" s="12" t="s">
        <v>912</v>
      </c>
      <c r="J457" s="68" t="s">
        <v>1042</v>
      </c>
      <c r="K457" s="68" t="s">
        <v>1042</v>
      </c>
      <c r="L457" s="17" t="s">
        <v>193</v>
      </c>
      <c r="M457" s="66">
        <v>26.0</v>
      </c>
      <c r="N457" s="69">
        <v>45883.0</v>
      </c>
      <c r="O457" s="17" t="s">
        <v>194</v>
      </c>
      <c r="P457" s="16">
        <v>5.0</v>
      </c>
      <c r="Q457" s="16">
        <v>5.0</v>
      </c>
      <c r="R457" s="16">
        <v>4.0</v>
      </c>
      <c r="S457" s="16">
        <v>4.0</v>
      </c>
      <c r="T457" s="16">
        <v>5.0</v>
      </c>
      <c r="U457" s="16">
        <v>5.0</v>
      </c>
      <c r="V457" s="16">
        <v>5.0</v>
      </c>
      <c r="W457" s="16">
        <v>4.0</v>
      </c>
      <c r="X457" s="16">
        <v>5.0</v>
      </c>
      <c r="Y457" s="16">
        <v>5.0</v>
      </c>
      <c r="Z457" s="16">
        <v>5.0</v>
      </c>
      <c r="AA457" s="16">
        <v>5.0</v>
      </c>
      <c r="AB457" s="16">
        <v>5.0</v>
      </c>
      <c r="AC457" s="16">
        <v>5.0</v>
      </c>
      <c r="AD457" s="70">
        <v>13.0</v>
      </c>
      <c r="AE457" s="70">
        <v>15.0</v>
      </c>
      <c r="AF457" s="70">
        <v>20.0</v>
      </c>
      <c r="AG457" s="70" t="s">
        <v>1043</v>
      </c>
      <c r="AI457" s="18" t="s">
        <v>915</v>
      </c>
    </row>
    <row r="458">
      <c r="A458" s="11"/>
      <c r="B458" s="12" t="s">
        <v>7</v>
      </c>
      <c r="C458" s="12" t="s">
        <v>8</v>
      </c>
      <c r="D458" s="12" t="s">
        <v>9</v>
      </c>
      <c r="E458" s="12" t="s">
        <v>10</v>
      </c>
      <c r="F458" s="13" t="s">
        <v>11</v>
      </c>
      <c r="G458" s="12" t="s">
        <v>68</v>
      </c>
      <c r="H458" s="12" t="s">
        <v>911</v>
      </c>
      <c r="I458" s="12" t="s">
        <v>912</v>
      </c>
      <c r="J458" s="68" t="s">
        <v>1044</v>
      </c>
      <c r="K458" s="68" t="s">
        <v>1044</v>
      </c>
      <c r="L458" s="17" t="s">
        <v>193</v>
      </c>
      <c r="M458" s="66">
        <v>48.0</v>
      </c>
      <c r="N458" s="69">
        <v>45883.0</v>
      </c>
      <c r="O458" s="17" t="s">
        <v>194</v>
      </c>
      <c r="P458" s="16">
        <v>3.0</v>
      </c>
      <c r="Q458" s="16">
        <v>3.0</v>
      </c>
      <c r="R458" s="16">
        <v>4.0</v>
      </c>
      <c r="S458" s="16">
        <v>4.0</v>
      </c>
      <c r="T458" s="16">
        <v>4.0</v>
      </c>
      <c r="U458" s="16">
        <v>3.0</v>
      </c>
      <c r="V458" s="16">
        <v>3.0</v>
      </c>
      <c r="W458" s="16">
        <v>4.0</v>
      </c>
      <c r="X458" s="16">
        <v>4.0</v>
      </c>
      <c r="Y458" s="16">
        <v>4.0</v>
      </c>
      <c r="Z458" s="16">
        <v>4.0</v>
      </c>
      <c r="AA458" s="16">
        <v>3.0</v>
      </c>
      <c r="AB458" s="16">
        <v>4.0</v>
      </c>
      <c r="AC458" s="16">
        <v>4.0</v>
      </c>
      <c r="AD458" s="70">
        <v>15.0</v>
      </c>
      <c r="AE458" s="70">
        <v>15.0</v>
      </c>
      <c r="AF458" s="70">
        <v>14.0</v>
      </c>
      <c r="AG458" s="70" t="s">
        <v>1045</v>
      </c>
      <c r="AI458" s="18" t="s">
        <v>915</v>
      </c>
    </row>
    <row r="459">
      <c r="A459" s="11"/>
      <c r="B459" s="12" t="s">
        <v>7</v>
      </c>
      <c r="C459" s="12" t="s">
        <v>8</v>
      </c>
      <c r="D459" s="12" t="s">
        <v>9</v>
      </c>
      <c r="E459" s="12" t="s">
        <v>10</v>
      </c>
      <c r="F459" s="13" t="s">
        <v>11</v>
      </c>
      <c r="G459" s="12" t="s">
        <v>68</v>
      </c>
      <c r="H459" s="12" t="s">
        <v>911</v>
      </c>
      <c r="I459" s="12" t="s">
        <v>912</v>
      </c>
      <c r="J459" s="68" t="s">
        <v>1046</v>
      </c>
      <c r="K459" s="68" t="s">
        <v>1046</v>
      </c>
      <c r="L459" s="17" t="s">
        <v>222</v>
      </c>
      <c r="M459" s="66">
        <v>33.0</v>
      </c>
      <c r="N459" s="69">
        <v>45883.0</v>
      </c>
      <c r="O459" s="17" t="s">
        <v>194</v>
      </c>
      <c r="P459" s="16">
        <v>4.0</v>
      </c>
      <c r="Q459" s="16">
        <v>4.0</v>
      </c>
      <c r="R459" s="16">
        <v>4.0</v>
      </c>
      <c r="S459" s="16">
        <v>4.0</v>
      </c>
      <c r="T459" s="16">
        <v>4.0</v>
      </c>
      <c r="U459" s="16">
        <v>4.0</v>
      </c>
      <c r="V459" s="16">
        <v>4.0</v>
      </c>
      <c r="W459" s="16">
        <v>4.0</v>
      </c>
      <c r="X459" s="16">
        <v>4.0</v>
      </c>
      <c r="Y459" s="16">
        <v>4.0</v>
      </c>
      <c r="Z459" s="16">
        <v>4.0</v>
      </c>
      <c r="AA459" s="16">
        <v>4.0</v>
      </c>
      <c r="AB459" s="16">
        <v>4.0</v>
      </c>
      <c r="AC459" s="16">
        <v>4.0</v>
      </c>
      <c r="AD459" s="70">
        <v>14.0</v>
      </c>
      <c r="AE459" s="70">
        <v>15.0</v>
      </c>
      <c r="AF459" s="70">
        <v>16.0</v>
      </c>
      <c r="AG459" s="70" t="s">
        <v>1047</v>
      </c>
      <c r="AI459" s="18" t="s">
        <v>915</v>
      </c>
    </row>
    <row r="460">
      <c r="A460" s="11"/>
      <c r="B460" s="12" t="s">
        <v>7</v>
      </c>
      <c r="C460" s="12" t="s">
        <v>8</v>
      </c>
      <c r="D460" s="12" t="s">
        <v>9</v>
      </c>
      <c r="E460" s="12" t="s">
        <v>10</v>
      </c>
      <c r="F460" s="13" t="s">
        <v>11</v>
      </c>
      <c r="G460" s="12" t="s">
        <v>68</v>
      </c>
      <c r="H460" s="12" t="s">
        <v>911</v>
      </c>
      <c r="I460" s="12" t="s">
        <v>912</v>
      </c>
      <c r="J460" s="68" t="s">
        <v>1048</v>
      </c>
      <c r="K460" s="68" t="s">
        <v>1048</v>
      </c>
      <c r="L460" s="17" t="s">
        <v>193</v>
      </c>
      <c r="M460" s="66">
        <v>41.0</v>
      </c>
      <c r="N460" s="69">
        <v>45883.0</v>
      </c>
      <c r="O460" s="17" t="s">
        <v>194</v>
      </c>
      <c r="P460" s="16">
        <v>4.0</v>
      </c>
      <c r="Q460" s="16">
        <v>4.0</v>
      </c>
      <c r="R460" s="16">
        <v>4.0</v>
      </c>
      <c r="S460" s="16">
        <v>4.0</v>
      </c>
      <c r="T460" s="16">
        <v>4.0</v>
      </c>
      <c r="U460" s="16">
        <v>4.0</v>
      </c>
      <c r="V460" s="16">
        <v>4.0</v>
      </c>
      <c r="W460" s="16">
        <v>4.0</v>
      </c>
      <c r="X460" s="16">
        <v>5.0</v>
      </c>
      <c r="Y460" s="16">
        <v>5.0</v>
      </c>
      <c r="Z460" s="16">
        <v>4.0</v>
      </c>
      <c r="AA460" s="16">
        <v>4.0</v>
      </c>
      <c r="AB460" s="16">
        <v>4.0</v>
      </c>
      <c r="AC460" s="16">
        <v>5.0</v>
      </c>
      <c r="AD460" s="70">
        <v>14.0</v>
      </c>
      <c r="AE460" s="70">
        <v>16.0</v>
      </c>
      <c r="AF460" s="70">
        <v>16.0</v>
      </c>
      <c r="AG460" s="70" t="s">
        <v>1049</v>
      </c>
      <c r="AI460" s="18" t="s">
        <v>915</v>
      </c>
    </row>
    <row r="461">
      <c r="A461" s="11"/>
      <c r="B461" s="12" t="s">
        <v>7</v>
      </c>
      <c r="C461" s="12" t="s">
        <v>8</v>
      </c>
      <c r="D461" s="12" t="s">
        <v>9</v>
      </c>
      <c r="E461" s="12" t="s">
        <v>10</v>
      </c>
      <c r="F461" s="13" t="s">
        <v>11</v>
      </c>
      <c r="G461" s="12" t="s">
        <v>68</v>
      </c>
      <c r="H461" s="12" t="s">
        <v>911</v>
      </c>
      <c r="I461" s="12" t="s">
        <v>912</v>
      </c>
      <c r="J461" s="68" t="s">
        <v>1050</v>
      </c>
      <c r="K461" s="68" t="s">
        <v>1050</v>
      </c>
      <c r="L461" s="17" t="s">
        <v>193</v>
      </c>
      <c r="M461" s="66">
        <v>36.0</v>
      </c>
      <c r="N461" s="69">
        <v>45883.0</v>
      </c>
      <c r="O461" s="17" t="s">
        <v>194</v>
      </c>
      <c r="P461" s="16">
        <v>4.0</v>
      </c>
      <c r="Q461" s="16">
        <v>4.0</v>
      </c>
      <c r="R461" s="16">
        <v>4.0</v>
      </c>
      <c r="S461" s="16">
        <v>4.0</v>
      </c>
      <c r="T461" s="16">
        <v>5.0</v>
      </c>
      <c r="U461" s="16">
        <v>4.0</v>
      </c>
      <c r="V461" s="16">
        <v>4.0</v>
      </c>
      <c r="W461" s="16">
        <v>4.0</v>
      </c>
      <c r="X461" s="16">
        <v>4.0</v>
      </c>
      <c r="Y461" s="16">
        <v>4.0</v>
      </c>
      <c r="Z461" s="16">
        <v>5.0</v>
      </c>
      <c r="AA461" s="16">
        <v>4.0</v>
      </c>
      <c r="AB461" s="16">
        <v>5.0</v>
      </c>
      <c r="AC461" s="16">
        <v>4.0</v>
      </c>
      <c r="AD461" s="70">
        <v>14.0</v>
      </c>
      <c r="AE461" s="70">
        <v>14.0</v>
      </c>
      <c r="AF461" s="70">
        <v>18.0</v>
      </c>
      <c r="AG461" s="70" t="s">
        <v>1051</v>
      </c>
      <c r="AI461" s="18" t="s">
        <v>915</v>
      </c>
    </row>
    <row r="462">
      <c r="A462" s="11"/>
      <c r="B462" s="12" t="s">
        <v>7</v>
      </c>
      <c r="C462" s="12" t="s">
        <v>8</v>
      </c>
      <c r="D462" s="12" t="s">
        <v>9</v>
      </c>
      <c r="E462" s="12" t="s">
        <v>10</v>
      </c>
      <c r="F462" s="13" t="s">
        <v>11</v>
      </c>
      <c r="G462" s="12" t="s">
        <v>68</v>
      </c>
      <c r="H462" s="12" t="s">
        <v>911</v>
      </c>
      <c r="I462" s="12" t="s">
        <v>912</v>
      </c>
      <c r="J462" s="68" t="s">
        <v>1052</v>
      </c>
      <c r="K462" s="68" t="s">
        <v>1052</v>
      </c>
      <c r="L462" s="17" t="s">
        <v>193</v>
      </c>
      <c r="M462" s="66">
        <v>49.0</v>
      </c>
      <c r="N462" s="69">
        <v>45883.0</v>
      </c>
      <c r="O462" s="17" t="s">
        <v>194</v>
      </c>
      <c r="P462" s="16">
        <v>5.0</v>
      </c>
      <c r="Q462" s="16">
        <v>5.0</v>
      </c>
      <c r="R462" s="16">
        <v>3.0</v>
      </c>
      <c r="S462" s="16">
        <v>3.0</v>
      </c>
      <c r="T462" s="16">
        <v>4.0</v>
      </c>
      <c r="U462" s="16">
        <v>4.0</v>
      </c>
      <c r="V462" s="16">
        <v>4.0</v>
      </c>
      <c r="W462" s="16">
        <v>3.0</v>
      </c>
      <c r="X462" s="16">
        <v>3.0</v>
      </c>
      <c r="Y462" s="16">
        <v>3.0</v>
      </c>
      <c r="Z462" s="16">
        <v>4.0</v>
      </c>
      <c r="AA462" s="16">
        <v>5.0</v>
      </c>
      <c r="AB462" s="16">
        <v>4.0</v>
      </c>
      <c r="AC462" s="16">
        <v>3.0</v>
      </c>
      <c r="AD462" s="70">
        <v>13.0</v>
      </c>
      <c r="AE462" s="70">
        <v>13.0</v>
      </c>
      <c r="AF462" s="70">
        <v>16.0</v>
      </c>
      <c r="AG462" s="70" t="s">
        <v>1053</v>
      </c>
      <c r="AI462" s="18" t="s">
        <v>915</v>
      </c>
    </row>
    <row r="463">
      <c r="A463" s="11"/>
      <c r="B463" s="12" t="s">
        <v>7</v>
      </c>
      <c r="C463" s="12" t="s">
        <v>8</v>
      </c>
      <c r="D463" s="12" t="s">
        <v>9</v>
      </c>
      <c r="E463" s="12" t="s">
        <v>10</v>
      </c>
      <c r="F463" s="13" t="s">
        <v>11</v>
      </c>
      <c r="G463" s="12" t="s">
        <v>68</v>
      </c>
      <c r="H463" s="12" t="s">
        <v>911</v>
      </c>
      <c r="I463" s="12" t="s">
        <v>912</v>
      </c>
      <c r="J463" s="68" t="s">
        <v>1054</v>
      </c>
      <c r="K463" s="68" t="s">
        <v>1054</v>
      </c>
      <c r="L463" s="17" t="s">
        <v>193</v>
      </c>
      <c r="M463" s="66">
        <v>33.0</v>
      </c>
      <c r="N463" s="69">
        <v>45883.0</v>
      </c>
      <c r="O463" s="17" t="s">
        <v>194</v>
      </c>
      <c r="P463" s="16">
        <v>4.0</v>
      </c>
      <c r="Q463" s="16">
        <v>4.0</v>
      </c>
      <c r="R463" s="16">
        <v>5.0</v>
      </c>
      <c r="S463" s="16">
        <v>5.0</v>
      </c>
      <c r="T463" s="16">
        <v>4.0</v>
      </c>
      <c r="U463" s="16">
        <v>4.0</v>
      </c>
      <c r="V463" s="16">
        <v>4.0</v>
      </c>
      <c r="W463" s="16">
        <v>5.0</v>
      </c>
      <c r="X463" s="16">
        <v>4.0</v>
      </c>
      <c r="Y463" s="16">
        <v>4.0</v>
      </c>
      <c r="Z463" s="16">
        <v>4.0</v>
      </c>
      <c r="AA463" s="16">
        <v>4.0</v>
      </c>
      <c r="AB463" s="16">
        <v>4.0</v>
      </c>
      <c r="AC463" s="16">
        <v>4.0</v>
      </c>
      <c r="AD463" s="70">
        <v>14.0</v>
      </c>
      <c r="AE463" s="70">
        <v>16.0</v>
      </c>
      <c r="AF463" s="70">
        <v>16.0</v>
      </c>
      <c r="AG463" s="70" t="s">
        <v>1055</v>
      </c>
      <c r="AI463" s="18" t="s">
        <v>915</v>
      </c>
    </row>
    <row r="464">
      <c r="A464" s="11"/>
      <c r="B464" s="12" t="s">
        <v>43</v>
      </c>
      <c r="C464" s="12" t="s">
        <v>65</v>
      </c>
      <c r="D464" s="12" t="s">
        <v>43</v>
      </c>
      <c r="E464" s="12" t="s">
        <v>188</v>
      </c>
      <c r="F464" s="13" t="s">
        <v>189</v>
      </c>
      <c r="G464" s="12" t="s">
        <v>68</v>
      </c>
      <c r="H464" s="12" t="s">
        <v>190</v>
      </c>
      <c r="I464" s="12" t="s">
        <v>191</v>
      </c>
      <c r="J464" s="15" t="s">
        <v>192</v>
      </c>
      <c r="K464" s="15" t="s">
        <v>192</v>
      </c>
      <c r="L464" s="17" t="s">
        <v>193</v>
      </c>
      <c r="M464" s="17">
        <v>36.0</v>
      </c>
      <c r="N464" s="69">
        <v>45971.0</v>
      </c>
      <c r="O464" s="17" t="s">
        <v>428</v>
      </c>
      <c r="P464" s="71">
        <v>4.0</v>
      </c>
      <c r="Q464" s="71">
        <v>4.0</v>
      </c>
      <c r="R464" s="71">
        <v>4.0</v>
      </c>
      <c r="S464" s="71">
        <v>4.0</v>
      </c>
      <c r="T464" s="71">
        <v>4.0</v>
      </c>
      <c r="U464" s="71">
        <v>4.0</v>
      </c>
      <c r="V464" s="71">
        <v>4.0</v>
      </c>
      <c r="W464" s="71">
        <v>4.0</v>
      </c>
      <c r="X464" s="71">
        <v>4.0</v>
      </c>
      <c r="Y464" s="71">
        <v>4.0</v>
      </c>
      <c r="Z464" s="71">
        <v>4.0</v>
      </c>
      <c r="AA464" s="71">
        <v>4.0</v>
      </c>
      <c r="AB464" s="71">
        <v>4.0</v>
      </c>
      <c r="AC464" s="71">
        <v>4.0</v>
      </c>
      <c r="AD464" s="37">
        <v>14.0</v>
      </c>
      <c r="AE464" s="37">
        <v>15.0</v>
      </c>
      <c r="AF464" s="37">
        <v>16.0</v>
      </c>
      <c r="AG464" s="37"/>
      <c r="AI464" s="18" t="s">
        <v>76</v>
      </c>
    </row>
    <row r="465">
      <c r="A465" s="11"/>
      <c r="B465" s="12" t="s">
        <v>43</v>
      </c>
      <c r="C465" s="12" t="s">
        <v>65</v>
      </c>
      <c r="D465" s="12" t="s">
        <v>43</v>
      </c>
      <c r="E465" s="12" t="s">
        <v>188</v>
      </c>
      <c r="F465" s="13" t="s">
        <v>189</v>
      </c>
      <c r="G465" s="12" t="s">
        <v>68</v>
      </c>
      <c r="H465" s="12" t="s">
        <v>190</v>
      </c>
      <c r="I465" s="12" t="s">
        <v>191</v>
      </c>
      <c r="J465" s="15" t="s">
        <v>195</v>
      </c>
      <c r="K465" s="15" t="s">
        <v>195</v>
      </c>
      <c r="L465" s="17" t="s">
        <v>193</v>
      </c>
      <c r="M465" s="17">
        <v>26.0</v>
      </c>
      <c r="N465" s="69">
        <v>45971.0</v>
      </c>
      <c r="O465" s="17" t="s">
        <v>428</v>
      </c>
      <c r="P465" s="71">
        <v>4.0</v>
      </c>
      <c r="Q465" s="71">
        <v>4.0</v>
      </c>
      <c r="R465" s="71">
        <v>5.0</v>
      </c>
      <c r="S465" s="71">
        <v>5.0</v>
      </c>
      <c r="T465" s="71">
        <v>4.0</v>
      </c>
      <c r="U465" s="71">
        <v>4.0</v>
      </c>
      <c r="V465" s="71">
        <v>4.0</v>
      </c>
      <c r="W465" s="71">
        <v>5.0</v>
      </c>
      <c r="X465" s="71">
        <v>4.0</v>
      </c>
      <c r="Y465" s="71">
        <v>4.0</v>
      </c>
      <c r="Z465" s="71">
        <v>4.0</v>
      </c>
      <c r="AA465" s="71">
        <v>4.0</v>
      </c>
      <c r="AB465" s="71">
        <v>4.0</v>
      </c>
      <c r="AC465" s="71">
        <v>4.0</v>
      </c>
      <c r="AD465" s="38">
        <v>14.0</v>
      </c>
      <c r="AE465" s="38">
        <v>16.0</v>
      </c>
      <c r="AF465" s="38">
        <v>16.0</v>
      </c>
      <c r="AG465" s="38" t="s">
        <v>1056</v>
      </c>
      <c r="AI465" s="18" t="s">
        <v>76</v>
      </c>
    </row>
    <row r="466">
      <c r="A466" s="11"/>
      <c r="B466" s="12" t="s">
        <v>43</v>
      </c>
      <c r="C466" s="12" t="s">
        <v>65</v>
      </c>
      <c r="D466" s="12" t="s">
        <v>43</v>
      </c>
      <c r="E466" s="12" t="s">
        <v>188</v>
      </c>
      <c r="F466" s="13" t="s">
        <v>189</v>
      </c>
      <c r="G466" s="12" t="s">
        <v>68</v>
      </c>
      <c r="H466" s="12" t="s">
        <v>190</v>
      </c>
      <c r="I466" s="12" t="s">
        <v>191</v>
      </c>
      <c r="J466" s="15" t="s">
        <v>197</v>
      </c>
      <c r="K466" s="15" t="s">
        <v>197</v>
      </c>
      <c r="L466" s="17" t="s">
        <v>193</v>
      </c>
      <c r="M466" s="17">
        <v>40.0</v>
      </c>
      <c r="N466" s="69">
        <v>45971.0</v>
      </c>
      <c r="O466" s="17" t="s">
        <v>428</v>
      </c>
      <c r="P466" s="71">
        <v>2.0</v>
      </c>
      <c r="Q466" s="71">
        <v>2.0</v>
      </c>
      <c r="R466" s="71">
        <v>4.0</v>
      </c>
      <c r="S466" s="71">
        <v>4.0</v>
      </c>
      <c r="T466" s="71">
        <v>5.0</v>
      </c>
      <c r="U466" s="71">
        <v>5.0</v>
      </c>
      <c r="V466" s="71">
        <v>5.0</v>
      </c>
      <c r="W466" s="71">
        <v>4.0</v>
      </c>
      <c r="X466" s="71">
        <v>4.0</v>
      </c>
      <c r="Y466" s="71">
        <v>4.0</v>
      </c>
      <c r="Z466" s="71">
        <v>5.0</v>
      </c>
      <c r="AA466" s="71">
        <v>2.0</v>
      </c>
      <c r="AB466" s="71">
        <v>5.0</v>
      </c>
      <c r="AC466" s="71">
        <v>4.0</v>
      </c>
      <c r="AD466" s="38">
        <v>16.0</v>
      </c>
      <c r="AE466" s="38">
        <v>14.0</v>
      </c>
      <c r="AF466" s="38">
        <v>20.0</v>
      </c>
      <c r="AG466" s="38" t="s">
        <v>1057</v>
      </c>
      <c r="AI466" s="18" t="s">
        <v>76</v>
      </c>
    </row>
    <row r="467">
      <c r="A467" s="11"/>
      <c r="B467" s="12" t="s">
        <v>43</v>
      </c>
      <c r="C467" s="12" t="s">
        <v>65</v>
      </c>
      <c r="D467" s="12" t="s">
        <v>43</v>
      </c>
      <c r="E467" s="12" t="s">
        <v>188</v>
      </c>
      <c r="F467" s="13" t="s">
        <v>189</v>
      </c>
      <c r="G467" s="12" t="s">
        <v>68</v>
      </c>
      <c r="H467" s="12" t="s">
        <v>190</v>
      </c>
      <c r="I467" s="12" t="s">
        <v>191</v>
      </c>
      <c r="J467" s="15" t="s">
        <v>202</v>
      </c>
      <c r="K467" s="15" t="s">
        <v>202</v>
      </c>
      <c r="L467" s="17" t="s">
        <v>193</v>
      </c>
      <c r="M467" s="17">
        <v>30.0</v>
      </c>
      <c r="N467" s="69">
        <v>45971.0</v>
      </c>
      <c r="O467" s="17" t="s">
        <v>428</v>
      </c>
      <c r="P467" s="71">
        <v>4.0</v>
      </c>
      <c r="Q467" s="71">
        <v>4.0</v>
      </c>
      <c r="R467" s="71">
        <v>3.0</v>
      </c>
      <c r="S467" s="71">
        <v>3.0</v>
      </c>
      <c r="T467" s="71">
        <v>4.0</v>
      </c>
      <c r="U467" s="71">
        <v>4.0</v>
      </c>
      <c r="V467" s="71">
        <v>4.0</v>
      </c>
      <c r="W467" s="71">
        <v>3.0</v>
      </c>
      <c r="X467" s="71">
        <v>4.0</v>
      </c>
      <c r="Y467" s="71">
        <v>4.0</v>
      </c>
      <c r="Z467" s="71">
        <v>4.0</v>
      </c>
      <c r="AA467" s="71">
        <v>4.0</v>
      </c>
      <c r="AB467" s="71">
        <v>4.0</v>
      </c>
      <c r="AC467" s="71">
        <v>4.0</v>
      </c>
      <c r="AD467" s="38">
        <v>14.0</v>
      </c>
      <c r="AE467" s="38">
        <v>14.0</v>
      </c>
      <c r="AF467" s="38">
        <v>16.0</v>
      </c>
      <c r="AG467" s="38" t="s">
        <v>1058</v>
      </c>
      <c r="AI467" s="18" t="s">
        <v>76</v>
      </c>
    </row>
    <row r="468">
      <c r="A468" s="11"/>
      <c r="B468" s="12" t="s">
        <v>43</v>
      </c>
      <c r="C468" s="12" t="s">
        <v>65</v>
      </c>
      <c r="D468" s="12" t="s">
        <v>43</v>
      </c>
      <c r="E468" s="12" t="s">
        <v>188</v>
      </c>
      <c r="F468" s="13" t="s">
        <v>189</v>
      </c>
      <c r="G468" s="12" t="s">
        <v>68</v>
      </c>
      <c r="H468" s="12" t="s">
        <v>190</v>
      </c>
      <c r="I468" s="12" t="s">
        <v>191</v>
      </c>
      <c r="J468" s="15" t="s">
        <v>211</v>
      </c>
      <c r="K468" s="15" t="s">
        <v>211</v>
      </c>
      <c r="L468" s="17" t="s">
        <v>193</v>
      </c>
      <c r="M468" s="17">
        <v>26.0</v>
      </c>
      <c r="N468" s="69">
        <v>45971.0</v>
      </c>
      <c r="O468" s="17" t="s">
        <v>428</v>
      </c>
      <c r="P468" s="71">
        <v>4.0</v>
      </c>
      <c r="Q468" s="71">
        <v>4.0</v>
      </c>
      <c r="R468" s="71">
        <v>3.0</v>
      </c>
      <c r="S468" s="71">
        <v>3.0</v>
      </c>
      <c r="T468" s="71">
        <v>4.0</v>
      </c>
      <c r="U468" s="71">
        <v>4.0</v>
      </c>
      <c r="V468" s="71">
        <v>4.0</v>
      </c>
      <c r="W468" s="71">
        <v>3.0</v>
      </c>
      <c r="X468" s="71">
        <v>4.0</v>
      </c>
      <c r="Y468" s="71">
        <v>4.0</v>
      </c>
      <c r="Z468" s="71">
        <v>4.0</v>
      </c>
      <c r="AA468" s="71">
        <v>4.0</v>
      </c>
      <c r="AB468" s="71">
        <v>4.0</v>
      </c>
      <c r="AC468" s="71">
        <v>4.0</v>
      </c>
      <c r="AD468" s="72">
        <v>14.0</v>
      </c>
      <c r="AE468" s="72">
        <v>14.0</v>
      </c>
      <c r="AF468" s="72">
        <v>16.0</v>
      </c>
      <c r="AG468" s="72" t="s">
        <v>1059</v>
      </c>
      <c r="AI468" s="18" t="s">
        <v>76</v>
      </c>
    </row>
    <row r="469">
      <c r="A469" s="11"/>
      <c r="B469" s="12" t="s">
        <v>43</v>
      </c>
      <c r="C469" s="12" t="s">
        <v>65</v>
      </c>
      <c r="D469" s="12" t="s">
        <v>43</v>
      </c>
      <c r="E469" s="12" t="s">
        <v>188</v>
      </c>
      <c r="F469" s="13" t="s">
        <v>189</v>
      </c>
      <c r="G469" s="12" t="s">
        <v>68</v>
      </c>
      <c r="H469" s="12" t="s">
        <v>190</v>
      </c>
      <c r="I469" s="12" t="s">
        <v>191</v>
      </c>
      <c r="J469" s="15" t="s">
        <v>213</v>
      </c>
      <c r="K469" s="15" t="s">
        <v>213</v>
      </c>
      <c r="L469" s="17" t="s">
        <v>193</v>
      </c>
      <c r="M469" s="17">
        <v>24.0</v>
      </c>
      <c r="N469" s="69">
        <v>45971.0</v>
      </c>
      <c r="O469" s="17" t="s">
        <v>428</v>
      </c>
      <c r="P469" s="71">
        <v>3.0</v>
      </c>
      <c r="Q469" s="71">
        <v>3.0</v>
      </c>
      <c r="R469" s="71">
        <v>4.0</v>
      </c>
      <c r="S469" s="71">
        <v>4.0</v>
      </c>
      <c r="T469" s="71">
        <v>5.0</v>
      </c>
      <c r="U469" s="71">
        <v>5.0</v>
      </c>
      <c r="V469" s="71">
        <v>5.0</v>
      </c>
      <c r="W469" s="71">
        <v>4.0</v>
      </c>
      <c r="X469" s="71">
        <v>5.0</v>
      </c>
      <c r="Y469" s="71">
        <v>5.0</v>
      </c>
      <c r="Z469" s="71">
        <v>5.0</v>
      </c>
      <c r="AA469" s="71">
        <v>3.0</v>
      </c>
      <c r="AB469" s="71">
        <v>5.0</v>
      </c>
      <c r="AC469" s="71">
        <v>5.0</v>
      </c>
      <c r="AD469" s="38">
        <v>15.0</v>
      </c>
      <c r="AE469" s="38">
        <v>15.0</v>
      </c>
      <c r="AF469" s="38">
        <v>20.0</v>
      </c>
      <c r="AG469" s="38" t="s">
        <v>1060</v>
      </c>
      <c r="AI469" s="18" t="s">
        <v>76</v>
      </c>
    </row>
    <row r="470">
      <c r="A470" s="11"/>
      <c r="B470" s="12" t="s">
        <v>43</v>
      </c>
      <c r="C470" s="12" t="s">
        <v>65</v>
      </c>
      <c r="D470" s="12" t="s">
        <v>43</v>
      </c>
      <c r="E470" s="12" t="s">
        <v>188</v>
      </c>
      <c r="F470" s="13" t="s">
        <v>189</v>
      </c>
      <c r="G470" s="12" t="s">
        <v>68</v>
      </c>
      <c r="H470" s="12" t="s">
        <v>190</v>
      </c>
      <c r="I470" s="12" t="s">
        <v>191</v>
      </c>
      <c r="J470" s="15" t="s">
        <v>215</v>
      </c>
      <c r="K470" s="15" t="s">
        <v>215</v>
      </c>
      <c r="L470" s="17" t="s">
        <v>193</v>
      </c>
      <c r="M470" s="17">
        <v>41.0</v>
      </c>
      <c r="N470" s="69">
        <v>45971.0</v>
      </c>
      <c r="O470" s="17" t="s">
        <v>428</v>
      </c>
      <c r="P470" s="71">
        <v>4.0</v>
      </c>
      <c r="Q470" s="71">
        <v>4.0</v>
      </c>
      <c r="R470" s="71">
        <v>3.0</v>
      </c>
      <c r="S470" s="71">
        <v>3.0</v>
      </c>
      <c r="T470" s="71">
        <v>4.0</v>
      </c>
      <c r="U470" s="71">
        <v>4.0</v>
      </c>
      <c r="V470" s="71">
        <v>4.0</v>
      </c>
      <c r="W470" s="71">
        <v>3.0</v>
      </c>
      <c r="X470" s="71">
        <v>4.0</v>
      </c>
      <c r="Y470" s="71">
        <v>4.0</v>
      </c>
      <c r="Z470" s="71">
        <v>4.0</v>
      </c>
      <c r="AA470" s="71">
        <v>4.0</v>
      </c>
      <c r="AB470" s="71">
        <v>4.0</v>
      </c>
      <c r="AC470" s="71">
        <v>4.0</v>
      </c>
      <c r="AD470" s="38">
        <v>14.0</v>
      </c>
      <c r="AE470" s="38">
        <v>14.0</v>
      </c>
      <c r="AF470" s="38">
        <v>16.0</v>
      </c>
      <c r="AG470" s="38" t="s">
        <v>1061</v>
      </c>
      <c r="AI470" s="18" t="s">
        <v>76</v>
      </c>
    </row>
    <row r="471">
      <c r="A471" s="11"/>
      <c r="B471" s="12" t="s">
        <v>43</v>
      </c>
      <c r="C471" s="12" t="s">
        <v>65</v>
      </c>
      <c r="D471" s="12" t="s">
        <v>43</v>
      </c>
      <c r="E471" s="12" t="s">
        <v>188</v>
      </c>
      <c r="F471" s="13" t="s">
        <v>189</v>
      </c>
      <c r="G471" s="12" t="s">
        <v>68</v>
      </c>
      <c r="H471" s="12" t="s">
        <v>190</v>
      </c>
      <c r="I471" s="12" t="s">
        <v>191</v>
      </c>
      <c r="J471" s="15" t="s">
        <v>1062</v>
      </c>
      <c r="K471" s="15" t="s">
        <v>1062</v>
      </c>
      <c r="L471" s="17" t="s">
        <v>193</v>
      </c>
      <c r="M471" s="17">
        <v>39.0</v>
      </c>
      <c r="N471" s="69">
        <v>45971.0</v>
      </c>
      <c r="O471" s="17" t="s">
        <v>428</v>
      </c>
      <c r="P471" s="71">
        <v>4.0</v>
      </c>
      <c r="Q471" s="71">
        <v>4.0</v>
      </c>
      <c r="R471" s="71">
        <v>4.0</v>
      </c>
      <c r="S471" s="71">
        <v>4.0</v>
      </c>
      <c r="T471" s="71">
        <v>5.0</v>
      </c>
      <c r="U471" s="71">
        <v>5.0</v>
      </c>
      <c r="V471" s="71">
        <v>5.0</v>
      </c>
      <c r="W471" s="71">
        <v>4.0</v>
      </c>
      <c r="X471" s="71">
        <v>4.0</v>
      </c>
      <c r="Y471" s="71">
        <v>4.0</v>
      </c>
      <c r="Z471" s="71">
        <v>5.0</v>
      </c>
      <c r="AA471" s="71">
        <v>4.0</v>
      </c>
      <c r="AB471" s="71">
        <v>5.0</v>
      </c>
      <c r="AC471" s="71">
        <v>4.0</v>
      </c>
      <c r="AD471" s="38">
        <v>14.0</v>
      </c>
      <c r="AE471" s="38">
        <v>14.0</v>
      </c>
      <c r="AF471" s="38">
        <v>20.0</v>
      </c>
      <c r="AG471" s="38" t="s">
        <v>1063</v>
      </c>
      <c r="AI471" s="18" t="s">
        <v>76</v>
      </c>
    </row>
    <row r="472">
      <c r="A472" s="11"/>
      <c r="B472" s="12" t="s">
        <v>43</v>
      </c>
      <c r="C472" s="12" t="s">
        <v>65</v>
      </c>
      <c r="D472" s="12" t="s">
        <v>43</v>
      </c>
      <c r="E472" s="12" t="s">
        <v>188</v>
      </c>
      <c r="F472" s="13" t="s">
        <v>189</v>
      </c>
      <c r="G472" s="12" t="s">
        <v>68</v>
      </c>
      <c r="H472" s="12" t="s">
        <v>190</v>
      </c>
      <c r="I472" s="12" t="s">
        <v>191</v>
      </c>
      <c r="J472" s="15" t="s">
        <v>1064</v>
      </c>
      <c r="K472" s="15" t="s">
        <v>1064</v>
      </c>
      <c r="L472" s="17" t="s">
        <v>222</v>
      </c>
      <c r="M472" s="17">
        <v>28.0</v>
      </c>
      <c r="N472" s="69">
        <v>45971.0</v>
      </c>
      <c r="O472" s="17" t="s">
        <v>428</v>
      </c>
      <c r="P472" s="71">
        <v>4.0</v>
      </c>
      <c r="Q472" s="71">
        <v>4.0</v>
      </c>
      <c r="R472" s="71">
        <v>4.0</v>
      </c>
      <c r="S472" s="71">
        <v>4.0</v>
      </c>
      <c r="T472" s="71">
        <v>4.0</v>
      </c>
      <c r="U472" s="71">
        <v>4.0</v>
      </c>
      <c r="V472" s="71">
        <v>4.0</v>
      </c>
      <c r="W472" s="71">
        <v>4.0</v>
      </c>
      <c r="X472" s="71">
        <v>5.0</v>
      </c>
      <c r="Y472" s="71">
        <v>5.0</v>
      </c>
      <c r="Z472" s="71">
        <v>4.0</v>
      </c>
      <c r="AA472" s="71">
        <v>4.0</v>
      </c>
      <c r="AB472" s="71">
        <v>4.0</v>
      </c>
      <c r="AC472" s="71">
        <v>5.0</v>
      </c>
      <c r="AD472" s="38">
        <v>14.0</v>
      </c>
      <c r="AE472" s="38">
        <v>16.0</v>
      </c>
      <c r="AF472" s="38">
        <v>16.0</v>
      </c>
      <c r="AG472" s="38" t="s">
        <v>1065</v>
      </c>
      <c r="AI472" s="18" t="s">
        <v>76</v>
      </c>
    </row>
    <row r="473">
      <c r="A473" s="11"/>
      <c r="B473" s="12" t="s">
        <v>43</v>
      </c>
      <c r="C473" s="12" t="s">
        <v>65</v>
      </c>
      <c r="D473" s="12" t="s">
        <v>43</v>
      </c>
      <c r="E473" s="12" t="s">
        <v>188</v>
      </c>
      <c r="F473" s="13" t="s">
        <v>189</v>
      </c>
      <c r="G473" s="12" t="s">
        <v>68</v>
      </c>
      <c r="H473" s="12" t="s">
        <v>190</v>
      </c>
      <c r="I473" s="12" t="s">
        <v>191</v>
      </c>
      <c r="J473" s="73" t="s">
        <v>1066</v>
      </c>
      <c r="K473" s="73" t="s">
        <v>1066</v>
      </c>
      <c r="L473" s="17" t="s">
        <v>193</v>
      </c>
      <c r="M473" s="17">
        <v>46.0</v>
      </c>
      <c r="N473" s="69">
        <v>45971.0</v>
      </c>
      <c r="O473" s="17" t="s">
        <v>428</v>
      </c>
      <c r="P473" s="71">
        <v>4.0</v>
      </c>
      <c r="Q473" s="71">
        <v>4.0</v>
      </c>
      <c r="R473" s="71">
        <v>4.0</v>
      </c>
      <c r="S473" s="71">
        <v>4.0</v>
      </c>
      <c r="T473" s="71">
        <v>4.0</v>
      </c>
      <c r="U473" s="71">
        <v>4.0</v>
      </c>
      <c r="V473" s="71">
        <v>4.0</v>
      </c>
      <c r="W473" s="71">
        <v>4.0</v>
      </c>
      <c r="X473" s="71">
        <v>4.0</v>
      </c>
      <c r="Y473" s="71">
        <v>4.0</v>
      </c>
      <c r="Z473" s="71">
        <v>4.0</v>
      </c>
      <c r="AA473" s="71">
        <v>4.0</v>
      </c>
      <c r="AB473" s="71">
        <v>4.0</v>
      </c>
      <c r="AC473" s="71">
        <v>4.0</v>
      </c>
      <c r="AD473" s="38">
        <v>14.0</v>
      </c>
      <c r="AE473" s="38">
        <v>15.0</v>
      </c>
      <c r="AF473" s="38">
        <v>16.0</v>
      </c>
      <c r="AG473" s="38" t="s">
        <v>1067</v>
      </c>
      <c r="AI473" s="18" t="s">
        <v>76</v>
      </c>
    </row>
    <row r="474">
      <c r="A474" s="11"/>
      <c r="B474" s="12" t="s">
        <v>43</v>
      </c>
      <c r="C474" s="12" t="s">
        <v>65</v>
      </c>
      <c r="D474" s="12" t="s">
        <v>43</v>
      </c>
      <c r="E474" s="12" t="s">
        <v>188</v>
      </c>
      <c r="F474" s="13" t="s">
        <v>189</v>
      </c>
      <c r="G474" s="12" t="s">
        <v>68</v>
      </c>
      <c r="H474" s="12" t="s">
        <v>190</v>
      </c>
      <c r="I474" s="12" t="s">
        <v>191</v>
      </c>
      <c r="J474" s="73" t="s">
        <v>1068</v>
      </c>
      <c r="K474" s="73" t="s">
        <v>1068</v>
      </c>
      <c r="L474" s="17" t="s">
        <v>222</v>
      </c>
      <c r="M474" s="17">
        <v>36.0</v>
      </c>
      <c r="N474" s="69">
        <v>45971.0</v>
      </c>
      <c r="O474" s="17" t="s">
        <v>428</v>
      </c>
      <c r="P474" s="71">
        <v>5.0</v>
      </c>
      <c r="Q474" s="71">
        <v>5.0</v>
      </c>
      <c r="R474" s="71">
        <v>5.0</v>
      </c>
      <c r="S474" s="71">
        <v>5.0</v>
      </c>
      <c r="T474" s="71">
        <v>5.0</v>
      </c>
      <c r="U474" s="71">
        <v>5.0</v>
      </c>
      <c r="V474" s="71">
        <v>5.0</v>
      </c>
      <c r="W474" s="71">
        <v>5.0</v>
      </c>
      <c r="X474" s="71">
        <v>3.0</v>
      </c>
      <c r="Y474" s="71">
        <v>3.0</v>
      </c>
      <c r="Z474" s="71">
        <v>5.0</v>
      </c>
      <c r="AA474" s="71">
        <v>5.0</v>
      </c>
      <c r="AB474" s="71">
        <v>5.0</v>
      </c>
      <c r="AC474" s="71">
        <v>3.0</v>
      </c>
      <c r="AD474" s="37">
        <v>13.0</v>
      </c>
      <c r="AE474" s="37">
        <v>14.0</v>
      </c>
      <c r="AF474" s="37">
        <v>20.0</v>
      </c>
      <c r="AG474" s="37"/>
      <c r="AI474" s="18" t="s">
        <v>76</v>
      </c>
    </row>
    <row r="475">
      <c r="A475" s="11"/>
      <c r="B475" s="12" t="s">
        <v>43</v>
      </c>
      <c r="C475" s="12" t="s">
        <v>65</v>
      </c>
      <c r="D475" s="12" t="s">
        <v>43</v>
      </c>
      <c r="E475" s="12" t="s">
        <v>188</v>
      </c>
      <c r="F475" s="13" t="s">
        <v>189</v>
      </c>
      <c r="G475" s="12" t="s">
        <v>68</v>
      </c>
      <c r="H475" s="12" t="s">
        <v>190</v>
      </c>
      <c r="I475" s="12" t="s">
        <v>191</v>
      </c>
      <c r="J475" s="15" t="s">
        <v>223</v>
      </c>
      <c r="K475" s="15" t="s">
        <v>223</v>
      </c>
      <c r="L475" s="17" t="s">
        <v>193</v>
      </c>
      <c r="M475" s="17">
        <v>24.0</v>
      </c>
      <c r="N475" s="69">
        <v>45971.0</v>
      </c>
      <c r="O475" s="17" t="s">
        <v>428</v>
      </c>
      <c r="P475" s="71">
        <v>4.0</v>
      </c>
      <c r="Q475" s="71">
        <v>4.0</v>
      </c>
      <c r="R475" s="71">
        <v>5.0</v>
      </c>
      <c r="S475" s="71">
        <v>5.0</v>
      </c>
      <c r="T475" s="71">
        <v>2.0</v>
      </c>
      <c r="U475" s="74">
        <v>3.0</v>
      </c>
      <c r="V475" s="71">
        <v>3.0</v>
      </c>
      <c r="W475" s="71">
        <v>5.0</v>
      </c>
      <c r="X475" s="71">
        <v>4.0</v>
      </c>
      <c r="Y475" s="71">
        <v>4.0</v>
      </c>
      <c r="Z475" s="71">
        <v>2.0</v>
      </c>
      <c r="AA475" s="71">
        <v>4.0</v>
      </c>
      <c r="AB475" s="71">
        <v>2.0</v>
      </c>
      <c r="AC475" s="71">
        <v>4.0</v>
      </c>
      <c r="AD475" s="38">
        <v>14.0</v>
      </c>
      <c r="AE475" s="38">
        <v>18.0</v>
      </c>
      <c r="AF475" s="38">
        <v>10.0</v>
      </c>
      <c r="AG475" s="38" t="s">
        <v>1069</v>
      </c>
      <c r="AI475" s="18" t="s">
        <v>76</v>
      </c>
    </row>
    <row r="476">
      <c r="A476" s="11"/>
      <c r="B476" s="12" t="s">
        <v>43</v>
      </c>
      <c r="C476" s="12" t="s">
        <v>65</v>
      </c>
      <c r="D476" s="12" t="s">
        <v>43</v>
      </c>
      <c r="E476" s="12" t="s">
        <v>188</v>
      </c>
      <c r="F476" s="13" t="s">
        <v>189</v>
      </c>
      <c r="G476" s="12" t="s">
        <v>68</v>
      </c>
      <c r="H476" s="12" t="s">
        <v>190</v>
      </c>
      <c r="I476" s="12" t="s">
        <v>191</v>
      </c>
      <c r="J476" s="15" t="s">
        <v>198</v>
      </c>
      <c r="K476" s="15" t="s">
        <v>198</v>
      </c>
      <c r="L476" s="17" t="s">
        <v>193</v>
      </c>
      <c r="M476" s="17">
        <v>34.0</v>
      </c>
      <c r="N476" s="69">
        <v>45971.0</v>
      </c>
      <c r="O476" s="17" t="s">
        <v>428</v>
      </c>
      <c r="P476" s="71">
        <v>4.0</v>
      </c>
      <c r="Q476" s="71">
        <v>4.0</v>
      </c>
      <c r="R476" s="71">
        <v>4.0</v>
      </c>
      <c r="S476" s="71">
        <v>4.0</v>
      </c>
      <c r="T476" s="71">
        <v>4.0</v>
      </c>
      <c r="U476" s="71">
        <v>3.0</v>
      </c>
      <c r="V476" s="71">
        <v>3.0</v>
      </c>
      <c r="W476" s="71">
        <v>4.0</v>
      </c>
      <c r="X476" s="71">
        <v>4.0</v>
      </c>
      <c r="Y476" s="71">
        <v>4.0</v>
      </c>
      <c r="Z476" s="71">
        <v>4.0</v>
      </c>
      <c r="AA476" s="71">
        <v>4.0</v>
      </c>
      <c r="AB476" s="71">
        <v>4.0</v>
      </c>
      <c r="AC476" s="71">
        <v>4.0</v>
      </c>
      <c r="AD476" s="38">
        <v>14.0</v>
      </c>
      <c r="AE476" s="38">
        <v>15.0</v>
      </c>
      <c r="AF476" s="38">
        <v>14.0</v>
      </c>
      <c r="AG476" s="38" t="s">
        <v>1070</v>
      </c>
      <c r="AI476" s="18" t="s">
        <v>76</v>
      </c>
    </row>
    <row r="477">
      <c r="A477" s="11"/>
      <c r="B477" s="12" t="s">
        <v>34</v>
      </c>
      <c r="C477" s="12" t="s">
        <v>65</v>
      </c>
      <c r="D477" s="12" t="s">
        <v>43</v>
      </c>
      <c r="E477" s="12" t="s">
        <v>224</v>
      </c>
      <c r="F477" s="13" t="s">
        <v>225</v>
      </c>
      <c r="G477" s="12" t="s">
        <v>68</v>
      </c>
      <c r="H477" s="12" t="s">
        <v>226</v>
      </c>
      <c r="I477" s="12" t="s">
        <v>227</v>
      </c>
      <c r="J477" s="73" t="s">
        <v>1071</v>
      </c>
      <c r="K477" s="73" t="s">
        <v>1071</v>
      </c>
      <c r="L477" s="17" t="s">
        <v>250</v>
      </c>
      <c r="M477" s="17">
        <v>23.0</v>
      </c>
      <c r="N477" s="19">
        <v>45978.0</v>
      </c>
      <c r="O477" s="17" t="s">
        <v>428</v>
      </c>
      <c r="P477" s="16">
        <v>3.0</v>
      </c>
      <c r="Q477" s="16">
        <v>3.0</v>
      </c>
      <c r="R477" s="16">
        <v>3.0</v>
      </c>
      <c r="S477" s="16">
        <v>3.0</v>
      </c>
      <c r="T477" s="16">
        <v>4.0</v>
      </c>
      <c r="U477" s="16">
        <v>4.0</v>
      </c>
      <c r="V477" s="16">
        <v>4.0</v>
      </c>
      <c r="W477" s="16">
        <v>3.0</v>
      </c>
      <c r="X477" s="16">
        <v>4.0</v>
      </c>
      <c r="Y477" s="16">
        <v>4.0</v>
      </c>
      <c r="Z477" s="16">
        <v>4.0</v>
      </c>
      <c r="AA477" s="16">
        <v>3.0</v>
      </c>
      <c r="AB477" s="16">
        <v>4.0</v>
      </c>
      <c r="AC477" s="16">
        <v>4.0</v>
      </c>
      <c r="AD477" s="38">
        <v>15.0</v>
      </c>
      <c r="AE477" s="38">
        <v>14.0</v>
      </c>
      <c r="AF477" s="38">
        <v>16.0</v>
      </c>
      <c r="AG477" s="38" t="s">
        <v>1072</v>
      </c>
      <c r="AI477" s="18" t="s">
        <v>76</v>
      </c>
    </row>
    <row r="478">
      <c r="A478" s="11"/>
      <c r="B478" s="12" t="s">
        <v>34</v>
      </c>
      <c r="C478" s="12" t="s">
        <v>65</v>
      </c>
      <c r="D478" s="12" t="s">
        <v>43</v>
      </c>
      <c r="E478" s="12" t="s">
        <v>224</v>
      </c>
      <c r="F478" s="13" t="s">
        <v>225</v>
      </c>
      <c r="G478" s="12" t="s">
        <v>68</v>
      </c>
      <c r="H478" s="12" t="s">
        <v>226</v>
      </c>
      <c r="I478" s="12" t="s">
        <v>227</v>
      </c>
      <c r="J478" s="15" t="s">
        <v>1073</v>
      </c>
      <c r="K478" s="15" t="s">
        <v>1073</v>
      </c>
      <c r="L478" s="17" t="s">
        <v>193</v>
      </c>
      <c r="M478" s="17">
        <v>34.0</v>
      </c>
      <c r="N478" s="19">
        <v>45978.0</v>
      </c>
      <c r="O478" s="17" t="s">
        <v>428</v>
      </c>
      <c r="P478" s="16">
        <v>4.0</v>
      </c>
      <c r="Q478" s="16">
        <v>4.0</v>
      </c>
      <c r="R478" s="16">
        <v>4.0</v>
      </c>
      <c r="S478" s="16">
        <v>4.0</v>
      </c>
      <c r="T478" s="16">
        <v>4.0</v>
      </c>
      <c r="U478" s="16">
        <v>3.0</v>
      </c>
      <c r="V478" s="16">
        <v>3.0</v>
      </c>
      <c r="W478" s="16">
        <v>4.0</v>
      </c>
      <c r="X478" s="16">
        <v>4.0</v>
      </c>
      <c r="Y478" s="16">
        <v>4.0</v>
      </c>
      <c r="Z478" s="16">
        <v>4.0</v>
      </c>
      <c r="AA478" s="16">
        <v>4.0</v>
      </c>
      <c r="AB478" s="16">
        <v>4.0</v>
      </c>
      <c r="AC478" s="16">
        <v>4.0</v>
      </c>
      <c r="AD478" s="38">
        <v>14.0</v>
      </c>
      <c r="AE478" s="38">
        <v>15.0</v>
      </c>
      <c r="AF478" s="38">
        <v>14.0</v>
      </c>
      <c r="AG478" s="38" t="s">
        <v>1074</v>
      </c>
      <c r="AI478" s="18" t="s">
        <v>76</v>
      </c>
    </row>
    <row r="479">
      <c r="A479" s="11"/>
      <c r="B479" s="12" t="s">
        <v>34</v>
      </c>
      <c r="C479" s="12" t="s">
        <v>65</v>
      </c>
      <c r="D479" s="12" t="s">
        <v>43</v>
      </c>
      <c r="E479" s="12" t="s">
        <v>224</v>
      </c>
      <c r="F479" s="13" t="s">
        <v>225</v>
      </c>
      <c r="G479" s="12" t="s">
        <v>68</v>
      </c>
      <c r="H479" s="12" t="s">
        <v>226</v>
      </c>
      <c r="I479" s="12" t="s">
        <v>227</v>
      </c>
      <c r="J479" s="15" t="s">
        <v>231</v>
      </c>
      <c r="K479" s="15" t="s">
        <v>231</v>
      </c>
      <c r="L479" s="17" t="s">
        <v>193</v>
      </c>
      <c r="M479" s="17">
        <v>30.0</v>
      </c>
      <c r="N479" s="19">
        <v>45978.0</v>
      </c>
      <c r="O479" s="17" t="s">
        <v>428</v>
      </c>
      <c r="P479" s="16">
        <v>3.0</v>
      </c>
      <c r="Q479" s="16">
        <v>3.0</v>
      </c>
      <c r="R479" s="16">
        <v>4.0</v>
      </c>
      <c r="S479" s="16">
        <v>4.0</v>
      </c>
      <c r="T479" s="16">
        <v>4.0</v>
      </c>
      <c r="U479" s="16">
        <v>4.0</v>
      </c>
      <c r="V479" s="16">
        <v>4.0</v>
      </c>
      <c r="W479" s="16">
        <v>4.0</v>
      </c>
      <c r="X479" s="16">
        <v>4.0</v>
      </c>
      <c r="Y479" s="16">
        <v>4.0</v>
      </c>
      <c r="Z479" s="16">
        <v>4.0</v>
      </c>
      <c r="AA479" s="16">
        <v>3.0</v>
      </c>
      <c r="AB479" s="16">
        <v>4.0</v>
      </c>
      <c r="AC479" s="16">
        <v>4.0</v>
      </c>
      <c r="AD479" s="38">
        <v>15.0</v>
      </c>
      <c r="AE479" s="38">
        <v>15.0</v>
      </c>
      <c r="AF479" s="38">
        <v>16.0</v>
      </c>
      <c r="AG479" s="38" t="s">
        <v>1075</v>
      </c>
      <c r="AI479" s="18" t="s">
        <v>76</v>
      </c>
    </row>
    <row r="480">
      <c r="A480" s="11"/>
      <c r="B480" s="12" t="s">
        <v>34</v>
      </c>
      <c r="C480" s="12" t="s">
        <v>65</v>
      </c>
      <c r="D480" s="12" t="s">
        <v>43</v>
      </c>
      <c r="E480" s="12" t="s">
        <v>224</v>
      </c>
      <c r="F480" s="13" t="s">
        <v>225</v>
      </c>
      <c r="G480" s="12" t="s">
        <v>68</v>
      </c>
      <c r="H480" s="12" t="s">
        <v>226</v>
      </c>
      <c r="I480" s="12" t="s">
        <v>227</v>
      </c>
      <c r="J480" s="73" t="s">
        <v>1076</v>
      </c>
      <c r="K480" s="73" t="s">
        <v>1076</v>
      </c>
      <c r="L480" s="17" t="s">
        <v>193</v>
      </c>
      <c r="M480" s="17">
        <v>24.0</v>
      </c>
      <c r="N480" s="19">
        <v>45978.0</v>
      </c>
      <c r="O480" s="17" t="s">
        <v>428</v>
      </c>
      <c r="P480" s="16">
        <v>5.0</v>
      </c>
      <c r="Q480" s="16">
        <v>5.0</v>
      </c>
      <c r="R480" s="16">
        <v>5.0</v>
      </c>
      <c r="S480" s="16">
        <v>5.0</v>
      </c>
      <c r="T480" s="16">
        <v>5.0</v>
      </c>
      <c r="U480" s="16">
        <v>4.0</v>
      </c>
      <c r="V480" s="16">
        <v>4.0</v>
      </c>
      <c r="W480" s="16">
        <v>5.0</v>
      </c>
      <c r="X480" s="16">
        <v>4.0</v>
      </c>
      <c r="Y480" s="16">
        <v>4.0</v>
      </c>
      <c r="Z480" s="16">
        <v>5.0</v>
      </c>
      <c r="AA480" s="16">
        <v>5.0</v>
      </c>
      <c r="AB480" s="16">
        <v>5.0</v>
      </c>
      <c r="AC480" s="16">
        <v>4.0</v>
      </c>
      <c r="AD480" s="38">
        <v>13.0</v>
      </c>
      <c r="AE480" s="38">
        <v>15.0</v>
      </c>
      <c r="AF480" s="38">
        <v>18.0</v>
      </c>
      <c r="AG480" s="38" t="s">
        <v>1077</v>
      </c>
      <c r="AI480" s="18" t="s">
        <v>76</v>
      </c>
    </row>
    <row r="481">
      <c r="A481" s="11"/>
      <c r="B481" s="12" t="s">
        <v>34</v>
      </c>
      <c r="C481" s="12" t="s">
        <v>65</v>
      </c>
      <c r="D481" s="12" t="s">
        <v>43</v>
      </c>
      <c r="E481" s="12" t="s">
        <v>224</v>
      </c>
      <c r="F481" s="13" t="s">
        <v>225</v>
      </c>
      <c r="G481" s="12" t="s">
        <v>68</v>
      </c>
      <c r="H481" s="12" t="s">
        <v>226</v>
      </c>
      <c r="I481" s="12" t="s">
        <v>227</v>
      </c>
      <c r="J481" s="15" t="s">
        <v>234</v>
      </c>
      <c r="K481" s="15" t="s">
        <v>234</v>
      </c>
      <c r="L481" s="17" t="s">
        <v>193</v>
      </c>
      <c r="M481" s="17">
        <v>40.0</v>
      </c>
      <c r="N481" s="19">
        <v>45978.0</v>
      </c>
      <c r="O481" s="17" t="s">
        <v>428</v>
      </c>
      <c r="P481" s="16">
        <v>3.0</v>
      </c>
      <c r="Q481" s="16">
        <v>3.0</v>
      </c>
      <c r="R481" s="16">
        <v>3.0</v>
      </c>
      <c r="S481" s="16">
        <v>3.0</v>
      </c>
      <c r="T481" s="16">
        <v>4.0</v>
      </c>
      <c r="U481" s="16">
        <v>4.0</v>
      </c>
      <c r="V481" s="16">
        <v>4.0</v>
      </c>
      <c r="W481" s="16">
        <v>3.0</v>
      </c>
      <c r="X481" s="16">
        <v>4.0</v>
      </c>
      <c r="Y481" s="16">
        <v>4.0</v>
      </c>
      <c r="Z481" s="16">
        <v>4.0</v>
      </c>
      <c r="AA481" s="16">
        <v>3.0</v>
      </c>
      <c r="AB481" s="16">
        <v>4.0</v>
      </c>
      <c r="AC481" s="16">
        <v>4.0</v>
      </c>
      <c r="AD481" s="38">
        <v>15.0</v>
      </c>
      <c r="AE481" s="38">
        <v>14.0</v>
      </c>
      <c r="AF481" s="38">
        <v>16.0</v>
      </c>
      <c r="AG481" s="38" t="s">
        <v>1078</v>
      </c>
      <c r="AI481" s="18" t="s">
        <v>76</v>
      </c>
    </row>
    <row r="482">
      <c r="A482" s="11"/>
      <c r="B482" s="12" t="s">
        <v>34</v>
      </c>
      <c r="C482" s="12" t="s">
        <v>65</v>
      </c>
      <c r="D482" s="12" t="s">
        <v>43</v>
      </c>
      <c r="E482" s="12" t="s">
        <v>224</v>
      </c>
      <c r="F482" s="13" t="s">
        <v>225</v>
      </c>
      <c r="G482" s="12" t="s">
        <v>68</v>
      </c>
      <c r="H482" s="12" t="s">
        <v>226</v>
      </c>
      <c r="I482" s="12" t="s">
        <v>227</v>
      </c>
      <c r="J482" s="15" t="s">
        <v>236</v>
      </c>
      <c r="K482" s="15" t="s">
        <v>236</v>
      </c>
      <c r="L482" s="17" t="s">
        <v>193</v>
      </c>
      <c r="M482" s="17">
        <v>32.0</v>
      </c>
      <c r="N482" s="19">
        <v>45978.0</v>
      </c>
      <c r="O482" s="17" t="s">
        <v>428</v>
      </c>
      <c r="P482" s="16">
        <v>4.0</v>
      </c>
      <c r="Q482" s="16">
        <v>4.0</v>
      </c>
      <c r="R482" s="16">
        <v>4.0</v>
      </c>
      <c r="S482" s="16">
        <v>4.0</v>
      </c>
      <c r="T482" s="16">
        <v>5.0</v>
      </c>
      <c r="U482" s="16">
        <v>5.0</v>
      </c>
      <c r="V482" s="16">
        <v>5.0</v>
      </c>
      <c r="W482" s="16">
        <v>4.0</v>
      </c>
      <c r="X482" s="16">
        <v>5.0</v>
      </c>
      <c r="Y482" s="16">
        <v>5.0</v>
      </c>
      <c r="Z482" s="16">
        <v>5.0</v>
      </c>
      <c r="AA482" s="16">
        <v>4.0</v>
      </c>
      <c r="AB482" s="16">
        <v>5.0</v>
      </c>
      <c r="AC482" s="16">
        <v>5.0</v>
      </c>
      <c r="AD482" s="38">
        <v>14.0</v>
      </c>
      <c r="AE482" s="38">
        <v>15.0</v>
      </c>
      <c r="AF482" s="38">
        <v>20.0</v>
      </c>
      <c r="AG482" s="38" t="s">
        <v>1079</v>
      </c>
      <c r="AI482" s="18" t="s">
        <v>76</v>
      </c>
    </row>
    <row r="483">
      <c r="A483" s="11"/>
      <c r="B483" s="12" t="s">
        <v>34</v>
      </c>
      <c r="C483" s="12" t="s">
        <v>65</v>
      </c>
      <c r="D483" s="12" t="s">
        <v>43</v>
      </c>
      <c r="E483" s="12" t="s">
        <v>224</v>
      </c>
      <c r="F483" s="13" t="s">
        <v>225</v>
      </c>
      <c r="G483" s="12" t="s">
        <v>68</v>
      </c>
      <c r="H483" s="12" t="s">
        <v>226</v>
      </c>
      <c r="I483" s="12" t="s">
        <v>227</v>
      </c>
      <c r="J483" s="15" t="s">
        <v>238</v>
      </c>
      <c r="K483" s="15" t="s">
        <v>238</v>
      </c>
      <c r="L483" s="17" t="s">
        <v>193</v>
      </c>
      <c r="M483" s="17">
        <v>35.0</v>
      </c>
      <c r="N483" s="19">
        <v>45978.0</v>
      </c>
      <c r="O483" s="17" t="s">
        <v>428</v>
      </c>
      <c r="P483" s="16">
        <v>5.0</v>
      </c>
      <c r="Q483" s="16">
        <v>5.0</v>
      </c>
      <c r="R483" s="16">
        <v>5.0</v>
      </c>
      <c r="S483" s="16">
        <v>5.0</v>
      </c>
      <c r="T483" s="16">
        <v>4.0</v>
      </c>
      <c r="U483" s="16">
        <v>4.0</v>
      </c>
      <c r="V483" s="16">
        <v>4.0</v>
      </c>
      <c r="W483" s="16">
        <v>5.0</v>
      </c>
      <c r="X483" s="16">
        <v>5.0</v>
      </c>
      <c r="Y483" s="16">
        <v>5.0</v>
      </c>
      <c r="Z483" s="16">
        <v>4.0</v>
      </c>
      <c r="AA483" s="16">
        <v>5.0</v>
      </c>
      <c r="AB483" s="16">
        <v>4.0</v>
      </c>
      <c r="AC483" s="16">
        <v>5.0</v>
      </c>
      <c r="AD483" s="37">
        <v>13.0</v>
      </c>
      <c r="AE483" s="37">
        <v>17.0</v>
      </c>
      <c r="AF483" s="37">
        <v>16.0</v>
      </c>
      <c r="AG483" s="37"/>
      <c r="AI483" s="18" t="s">
        <v>76</v>
      </c>
    </row>
    <row r="484">
      <c r="A484" s="11"/>
      <c r="B484" s="12" t="s">
        <v>34</v>
      </c>
      <c r="C484" s="12" t="s">
        <v>65</v>
      </c>
      <c r="D484" s="12" t="s">
        <v>43</v>
      </c>
      <c r="E484" s="12" t="s">
        <v>224</v>
      </c>
      <c r="F484" s="13" t="s">
        <v>225</v>
      </c>
      <c r="G484" s="12" t="s">
        <v>68</v>
      </c>
      <c r="H484" s="12" t="s">
        <v>226</v>
      </c>
      <c r="I484" s="12" t="s">
        <v>227</v>
      </c>
      <c r="J484" s="15" t="s">
        <v>241</v>
      </c>
      <c r="K484" s="15" t="s">
        <v>241</v>
      </c>
      <c r="L484" s="17" t="s">
        <v>193</v>
      </c>
      <c r="M484" s="17">
        <v>36.0</v>
      </c>
      <c r="N484" s="19">
        <v>45978.0</v>
      </c>
      <c r="O484" s="17" t="s">
        <v>428</v>
      </c>
      <c r="P484" s="16">
        <v>4.0</v>
      </c>
      <c r="Q484" s="16">
        <v>4.0</v>
      </c>
      <c r="R484" s="16">
        <v>2.0</v>
      </c>
      <c r="S484" s="16">
        <v>2.0</v>
      </c>
      <c r="T484" s="16">
        <v>4.0</v>
      </c>
      <c r="U484" s="16">
        <v>4.0</v>
      </c>
      <c r="V484" s="16">
        <v>4.0</v>
      </c>
      <c r="W484" s="16">
        <v>2.0</v>
      </c>
      <c r="X484" s="16">
        <v>4.0</v>
      </c>
      <c r="Y484" s="16">
        <v>4.0</v>
      </c>
      <c r="Z484" s="16">
        <v>4.0</v>
      </c>
      <c r="AA484" s="16">
        <v>4.0</v>
      </c>
      <c r="AB484" s="16">
        <v>4.0</v>
      </c>
      <c r="AC484" s="16">
        <v>4.0</v>
      </c>
      <c r="AD484" s="72">
        <v>14.0</v>
      </c>
      <c r="AE484" s="72">
        <v>13.0</v>
      </c>
      <c r="AF484" s="72">
        <v>16.0</v>
      </c>
      <c r="AG484" s="72" t="s">
        <v>1080</v>
      </c>
      <c r="AI484" s="18" t="s">
        <v>76</v>
      </c>
    </row>
    <row r="485">
      <c r="A485" s="11"/>
      <c r="B485" s="12" t="s">
        <v>34</v>
      </c>
      <c r="C485" s="12" t="s">
        <v>65</v>
      </c>
      <c r="D485" s="12" t="s">
        <v>43</v>
      </c>
      <c r="E485" s="12" t="s">
        <v>224</v>
      </c>
      <c r="F485" s="13" t="s">
        <v>225</v>
      </c>
      <c r="G485" s="12" t="s">
        <v>68</v>
      </c>
      <c r="H485" s="12" t="s">
        <v>226</v>
      </c>
      <c r="I485" s="12" t="s">
        <v>227</v>
      </c>
      <c r="J485" s="73" t="s">
        <v>1081</v>
      </c>
      <c r="K485" s="73" t="s">
        <v>1081</v>
      </c>
      <c r="L485" s="17" t="s">
        <v>193</v>
      </c>
      <c r="M485" s="17">
        <v>32.0</v>
      </c>
      <c r="N485" s="19">
        <v>45978.0</v>
      </c>
      <c r="O485" s="17" t="s">
        <v>428</v>
      </c>
      <c r="P485" s="16">
        <v>4.0</v>
      </c>
      <c r="Q485" s="16">
        <v>4.0</v>
      </c>
      <c r="R485" s="16">
        <v>4.0</v>
      </c>
      <c r="S485" s="16">
        <v>4.0</v>
      </c>
      <c r="T485" s="16">
        <v>4.0</v>
      </c>
      <c r="U485" s="16">
        <v>5.0</v>
      </c>
      <c r="V485" s="16">
        <v>5.0</v>
      </c>
      <c r="W485" s="16">
        <v>4.0</v>
      </c>
      <c r="X485" s="16">
        <v>4.0</v>
      </c>
      <c r="Y485" s="16">
        <v>4.0</v>
      </c>
      <c r="Z485" s="16">
        <v>4.0</v>
      </c>
      <c r="AA485" s="16">
        <v>4.0</v>
      </c>
      <c r="AB485" s="16">
        <v>4.0</v>
      </c>
      <c r="AC485" s="16">
        <v>4.0</v>
      </c>
      <c r="AD485" s="38">
        <v>14.0</v>
      </c>
      <c r="AE485" s="38">
        <v>15.0</v>
      </c>
      <c r="AF485" s="38">
        <v>18.0</v>
      </c>
      <c r="AG485" s="38" t="s">
        <v>1082</v>
      </c>
      <c r="AI485" s="18" t="s">
        <v>76</v>
      </c>
    </row>
    <row r="486">
      <c r="A486" s="11"/>
      <c r="B486" s="12" t="s">
        <v>34</v>
      </c>
      <c r="C486" s="12" t="s">
        <v>65</v>
      </c>
      <c r="D486" s="12" t="s">
        <v>43</v>
      </c>
      <c r="E486" s="12" t="s">
        <v>224</v>
      </c>
      <c r="F486" s="13" t="s">
        <v>225</v>
      </c>
      <c r="G486" s="12" t="s">
        <v>68</v>
      </c>
      <c r="H486" s="12" t="s">
        <v>226</v>
      </c>
      <c r="I486" s="12" t="s">
        <v>227</v>
      </c>
      <c r="J486" s="15" t="s">
        <v>1083</v>
      </c>
      <c r="K486" s="15" t="s">
        <v>1083</v>
      </c>
      <c r="L486" s="17" t="s">
        <v>222</v>
      </c>
      <c r="M486" s="17">
        <v>50.0</v>
      </c>
      <c r="N486" s="19">
        <v>45978.0</v>
      </c>
      <c r="O486" s="17" t="s">
        <v>428</v>
      </c>
      <c r="P486" s="16">
        <v>3.0</v>
      </c>
      <c r="Q486" s="16">
        <v>3.0</v>
      </c>
      <c r="R486" s="16">
        <v>4.0</v>
      </c>
      <c r="S486" s="16">
        <v>4.0</v>
      </c>
      <c r="T486" s="16">
        <v>5.0</v>
      </c>
      <c r="U486" s="16">
        <v>5.0</v>
      </c>
      <c r="V486" s="16">
        <v>5.0</v>
      </c>
      <c r="W486" s="16">
        <v>4.0</v>
      </c>
      <c r="X486" s="16">
        <v>4.0</v>
      </c>
      <c r="Y486" s="16">
        <v>4.0</v>
      </c>
      <c r="Z486" s="16">
        <v>5.0</v>
      </c>
      <c r="AA486" s="16">
        <v>3.0</v>
      </c>
      <c r="AB486" s="16">
        <v>5.0</v>
      </c>
      <c r="AC486" s="16">
        <v>4.0</v>
      </c>
      <c r="AD486" s="38">
        <v>15.0</v>
      </c>
      <c r="AE486" s="38">
        <v>14.0</v>
      </c>
      <c r="AF486" s="38">
        <v>20.0</v>
      </c>
      <c r="AG486" s="38" t="s">
        <v>1084</v>
      </c>
      <c r="AI486" s="18" t="s">
        <v>76</v>
      </c>
    </row>
    <row r="487">
      <c r="A487" s="11"/>
      <c r="B487" s="12" t="s">
        <v>34</v>
      </c>
      <c r="C487" s="12" t="s">
        <v>65</v>
      </c>
      <c r="D487" s="12" t="s">
        <v>43</v>
      </c>
      <c r="E487" s="12" t="s">
        <v>224</v>
      </c>
      <c r="F487" s="13" t="s">
        <v>225</v>
      </c>
      <c r="G487" s="12" t="s">
        <v>68</v>
      </c>
      <c r="H487" s="12" t="s">
        <v>226</v>
      </c>
      <c r="I487" s="12" t="s">
        <v>227</v>
      </c>
      <c r="J487" s="15" t="s">
        <v>1085</v>
      </c>
      <c r="K487" s="15" t="s">
        <v>1085</v>
      </c>
      <c r="L487" s="17" t="s">
        <v>193</v>
      </c>
      <c r="M487" s="17">
        <v>32.0</v>
      </c>
      <c r="N487" s="19">
        <v>45978.0</v>
      </c>
      <c r="O487" s="17" t="s">
        <v>428</v>
      </c>
      <c r="P487" s="16">
        <v>3.0</v>
      </c>
      <c r="Q487" s="16">
        <v>3.0</v>
      </c>
      <c r="R487" s="16">
        <v>4.0</v>
      </c>
      <c r="S487" s="16">
        <v>4.0</v>
      </c>
      <c r="T487" s="16">
        <v>4.0</v>
      </c>
      <c r="U487" s="16">
        <v>5.0</v>
      </c>
      <c r="V487" s="16">
        <v>5.0</v>
      </c>
      <c r="W487" s="16">
        <v>4.0</v>
      </c>
      <c r="X487" s="16">
        <v>5.0</v>
      </c>
      <c r="Y487" s="16">
        <v>5.0</v>
      </c>
      <c r="Z487" s="16">
        <v>4.0</v>
      </c>
      <c r="AA487" s="16">
        <v>3.0</v>
      </c>
      <c r="AB487" s="16">
        <v>4.0</v>
      </c>
      <c r="AC487" s="16">
        <v>5.0</v>
      </c>
      <c r="AD487" s="38">
        <v>15.0</v>
      </c>
      <c r="AE487" s="38">
        <v>16.0</v>
      </c>
      <c r="AF487" s="38">
        <v>18.0</v>
      </c>
      <c r="AG487" s="38" t="s">
        <v>1086</v>
      </c>
      <c r="AI487" s="18" t="s">
        <v>76</v>
      </c>
    </row>
    <row r="488">
      <c r="A488" s="11"/>
      <c r="B488" s="12" t="s">
        <v>34</v>
      </c>
      <c r="C488" s="12" t="s">
        <v>65</v>
      </c>
      <c r="D488" s="12" t="s">
        <v>43</v>
      </c>
      <c r="E488" s="12" t="s">
        <v>224</v>
      </c>
      <c r="F488" s="13" t="s">
        <v>225</v>
      </c>
      <c r="G488" s="12" t="s">
        <v>68</v>
      </c>
      <c r="H488" s="12" t="s">
        <v>226</v>
      </c>
      <c r="I488" s="12" t="s">
        <v>227</v>
      </c>
      <c r="J488" s="15" t="s">
        <v>1087</v>
      </c>
      <c r="K488" s="15" t="s">
        <v>1087</v>
      </c>
      <c r="L488" s="17" t="s">
        <v>222</v>
      </c>
      <c r="M488" s="17">
        <v>31.0</v>
      </c>
      <c r="N488" s="19">
        <v>45978.0</v>
      </c>
      <c r="O488" s="17" t="s">
        <v>428</v>
      </c>
      <c r="P488" s="16">
        <v>4.0</v>
      </c>
      <c r="Q488" s="16">
        <v>4.0</v>
      </c>
      <c r="R488" s="16">
        <v>5.0</v>
      </c>
      <c r="S488" s="16">
        <v>5.0</v>
      </c>
      <c r="T488" s="16">
        <v>5.0</v>
      </c>
      <c r="U488" s="16">
        <v>3.0</v>
      </c>
      <c r="V488" s="16">
        <v>3.0</v>
      </c>
      <c r="W488" s="16">
        <v>5.0</v>
      </c>
      <c r="X488" s="16">
        <v>4.0</v>
      </c>
      <c r="Y488" s="16">
        <v>4.0</v>
      </c>
      <c r="Z488" s="16">
        <v>5.0</v>
      </c>
      <c r="AA488" s="16">
        <v>4.0</v>
      </c>
      <c r="AB488" s="16">
        <v>5.0</v>
      </c>
      <c r="AC488" s="16">
        <v>4.0</v>
      </c>
      <c r="AD488" s="38">
        <v>14.0</v>
      </c>
      <c r="AE488" s="38">
        <v>15.0</v>
      </c>
      <c r="AF488" s="38">
        <v>16.0</v>
      </c>
      <c r="AG488" s="38" t="s">
        <v>1088</v>
      </c>
      <c r="AI488" s="18" t="s">
        <v>76</v>
      </c>
    </row>
    <row r="489">
      <c r="A489" s="11"/>
      <c r="B489" s="12" t="s">
        <v>34</v>
      </c>
      <c r="C489" s="12" t="s">
        <v>65</v>
      </c>
      <c r="D489" s="12" t="s">
        <v>43</v>
      </c>
      <c r="E489" s="12" t="s">
        <v>224</v>
      </c>
      <c r="F489" s="13" t="s">
        <v>225</v>
      </c>
      <c r="G489" s="12" t="s">
        <v>68</v>
      </c>
      <c r="H489" s="12" t="s">
        <v>226</v>
      </c>
      <c r="I489" s="12" t="s">
        <v>227</v>
      </c>
      <c r="J489" s="15" t="s">
        <v>1089</v>
      </c>
      <c r="K489" s="15" t="s">
        <v>1089</v>
      </c>
      <c r="L489" s="17" t="s">
        <v>250</v>
      </c>
      <c r="M489" s="17"/>
      <c r="N489" s="19">
        <v>45978.0</v>
      </c>
      <c r="O489" s="17" t="s">
        <v>428</v>
      </c>
      <c r="P489" s="16">
        <v>5.0</v>
      </c>
      <c r="Q489" s="16">
        <v>5.0</v>
      </c>
      <c r="R489" s="16">
        <v>5.0</v>
      </c>
      <c r="S489" s="16">
        <v>5.0</v>
      </c>
      <c r="T489" s="16">
        <v>4.0</v>
      </c>
      <c r="U489" s="16">
        <v>4.0</v>
      </c>
      <c r="V489" s="16">
        <v>4.0</v>
      </c>
      <c r="W489" s="16">
        <v>5.0</v>
      </c>
      <c r="X489" s="16">
        <v>5.0</v>
      </c>
      <c r="Y489" s="16">
        <v>5.0</v>
      </c>
      <c r="Z489" s="16">
        <v>4.0</v>
      </c>
      <c r="AA489" s="16">
        <v>5.0</v>
      </c>
      <c r="AB489" s="16">
        <v>4.0</v>
      </c>
      <c r="AC489" s="16">
        <v>5.0</v>
      </c>
      <c r="AD489" s="38">
        <v>13.0</v>
      </c>
      <c r="AE489" s="38">
        <v>17.0</v>
      </c>
      <c r="AF489" s="38">
        <v>16.0</v>
      </c>
      <c r="AG489" s="38"/>
      <c r="AI489" s="18" t="s">
        <v>76</v>
      </c>
    </row>
    <row r="490">
      <c r="A490" s="11"/>
      <c r="B490" s="12" t="s">
        <v>34</v>
      </c>
      <c r="C490" s="12" t="s">
        <v>65</v>
      </c>
      <c r="D490" s="12" t="s">
        <v>43</v>
      </c>
      <c r="E490" s="12" t="s">
        <v>224</v>
      </c>
      <c r="F490" s="13" t="s">
        <v>225</v>
      </c>
      <c r="G490" s="12" t="s">
        <v>68</v>
      </c>
      <c r="H490" s="12" t="s">
        <v>226</v>
      </c>
      <c r="I490" s="12" t="s">
        <v>227</v>
      </c>
      <c r="J490" s="15" t="s">
        <v>247</v>
      </c>
      <c r="K490" s="15" t="s">
        <v>247</v>
      </c>
      <c r="L490" s="17" t="s">
        <v>193</v>
      </c>
      <c r="M490" s="17">
        <v>28.0</v>
      </c>
      <c r="N490" s="19">
        <v>45978.0</v>
      </c>
      <c r="O490" s="17" t="s">
        <v>428</v>
      </c>
      <c r="P490" s="16">
        <v>4.0</v>
      </c>
      <c r="Q490" s="16">
        <v>4.0</v>
      </c>
      <c r="R490" s="16">
        <v>4.0</v>
      </c>
      <c r="S490" s="16">
        <v>4.0</v>
      </c>
      <c r="T490" s="16">
        <v>5.0</v>
      </c>
      <c r="U490" s="16">
        <v>5.0</v>
      </c>
      <c r="V490" s="16">
        <v>5.0</v>
      </c>
      <c r="W490" s="16">
        <v>4.0</v>
      </c>
      <c r="X490" s="16">
        <v>4.0</v>
      </c>
      <c r="Y490" s="16">
        <v>4.0</v>
      </c>
      <c r="Z490" s="16">
        <v>5.0</v>
      </c>
      <c r="AA490" s="16">
        <v>4.0</v>
      </c>
      <c r="AB490" s="16">
        <v>5.0</v>
      </c>
      <c r="AC490" s="16">
        <v>4.0</v>
      </c>
      <c r="AD490" s="38">
        <v>14.0</v>
      </c>
      <c r="AE490" s="38">
        <v>14.0</v>
      </c>
      <c r="AF490" s="38">
        <v>20.0</v>
      </c>
      <c r="AG490" s="38" t="s">
        <v>1090</v>
      </c>
      <c r="AI490" s="18" t="s">
        <v>76</v>
      </c>
    </row>
    <row r="491">
      <c r="A491" s="11"/>
      <c r="B491" s="12" t="s">
        <v>34</v>
      </c>
      <c r="C491" s="12" t="s">
        <v>65</v>
      </c>
      <c r="D491" s="12" t="s">
        <v>43</v>
      </c>
      <c r="E491" s="12" t="s">
        <v>224</v>
      </c>
      <c r="F491" s="13" t="s">
        <v>225</v>
      </c>
      <c r="G491" s="12" t="s">
        <v>68</v>
      </c>
      <c r="H491" s="12" t="s">
        <v>226</v>
      </c>
      <c r="I491" s="12" t="s">
        <v>227</v>
      </c>
      <c r="J491" s="15" t="s">
        <v>249</v>
      </c>
      <c r="K491" s="15" t="s">
        <v>249</v>
      </c>
      <c r="L491" s="17" t="s">
        <v>250</v>
      </c>
      <c r="M491" s="17">
        <v>53.0</v>
      </c>
      <c r="N491" s="19">
        <v>45978.0</v>
      </c>
      <c r="O491" s="17" t="s">
        <v>428</v>
      </c>
      <c r="P491" s="16">
        <v>5.0</v>
      </c>
      <c r="Q491" s="16">
        <v>5.0</v>
      </c>
      <c r="R491" s="16">
        <v>4.0</v>
      </c>
      <c r="S491" s="16">
        <v>4.0</v>
      </c>
      <c r="T491" s="16">
        <v>4.0</v>
      </c>
      <c r="U491" s="16">
        <v>4.0</v>
      </c>
      <c r="V491" s="16">
        <v>4.0</v>
      </c>
      <c r="W491" s="16">
        <v>4.0</v>
      </c>
      <c r="X491" s="16">
        <v>4.0</v>
      </c>
      <c r="Y491" s="16">
        <v>4.0</v>
      </c>
      <c r="Z491" s="16">
        <v>4.0</v>
      </c>
      <c r="AA491" s="16">
        <v>5.0</v>
      </c>
      <c r="AB491" s="16">
        <v>4.0</v>
      </c>
      <c r="AC491" s="16">
        <v>4.0</v>
      </c>
      <c r="AD491" s="38">
        <v>13.0</v>
      </c>
      <c r="AE491" s="38">
        <v>15.0</v>
      </c>
      <c r="AF491" s="38">
        <v>16.0</v>
      </c>
      <c r="AG491" s="38" t="s">
        <v>1091</v>
      </c>
      <c r="AI491" s="18" t="s">
        <v>76</v>
      </c>
    </row>
    <row r="492">
      <c r="A492" s="11"/>
      <c r="B492" s="12" t="s">
        <v>34</v>
      </c>
      <c r="C492" s="12" t="s">
        <v>65</v>
      </c>
      <c r="D492" s="12" t="s">
        <v>43</v>
      </c>
      <c r="E492" s="12" t="s">
        <v>224</v>
      </c>
      <c r="F492" s="13" t="s">
        <v>225</v>
      </c>
      <c r="G492" s="12" t="s">
        <v>68</v>
      </c>
      <c r="H492" s="12" t="s">
        <v>226</v>
      </c>
      <c r="I492" s="12" t="s">
        <v>227</v>
      </c>
      <c r="J492" s="15" t="s">
        <v>252</v>
      </c>
      <c r="K492" s="15" t="s">
        <v>252</v>
      </c>
      <c r="L492" s="17" t="s">
        <v>193</v>
      </c>
      <c r="M492" s="17">
        <v>32.0</v>
      </c>
      <c r="N492" s="19">
        <v>45978.0</v>
      </c>
      <c r="O492" s="17" t="s">
        <v>428</v>
      </c>
      <c r="P492" s="16">
        <v>5.0</v>
      </c>
      <c r="Q492" s="16">
        <v>5.0</v>
      </c>
      <c r="R492" s="16">
        <v>3.0</v>
      </c>
      <c r="S492" s="16">
        <v>3.0</v>
      </c>
      <c r="T492" s="16">
        <v>5.0</v>
      </c>
      <c r="U492" s="16">
        <v>4.0</v>
      </c>
      <c r="V492" s="16">
        <v>4.0</v>
      </c>
      <c r="W492" s="16">
        <v>3.0</v>
      </c>
      <c r="X492" s="16">
        <v>5.0</v>
      </c>
      <c r="Y492" s="16">
        <v>5.0</v>
      </c>
      <c r="Z492" s="16">
        <v>5.0</v>
      </c>
      <c r="AA492" s="16">
        <v>5.0</v>
      </c>
      <c r="AB492" s="16">
        <v>5.0</v>
      </c>
      <c r="AC492" s="16">
        <v>5.0</v>
      </c>
      <c r="AD492" s="38">
        <v>13.0</v>
      </c>
      <c r="AE492" s="38">
        <v>14.0</v>
      </c>
      <c r="AF492" s="38">
        <v>18.0</v>
      </c>
      <c r="AG492" s="38" t="s">
        <v>1092</v>
      </c>
      <c r="AI492" s="18" t="s">
        <v>76</v>
      </c>
    </row>
    <row r="493">
      <c r="A493" s="11"/>
      <c r="B493" s="12" t="s">
        <v>34</v>
      </c>
      <c r="C493" s="12" t="s">
        <v>65</v>
      </c>
      <c r="D493" s="12" t="s">
        <v>43</v>
      </c>
      <c r="E493" s="12" t="s">
        <v>224</v>
      </c>
      <c r="F493" s="13" t="s">
        <v>225</v>
      </c>
      <c r="G493" s="12" t="s">
        <v>68</v>
      </c>
      <c r="H493" s="12" t="s">
        <v>226</v>
      </c>
      <c r="I493" s="12" t="s">
        <v>227</v>
      </c>
      <c r="J493" s="15" t="s">
        <v>1093</v>
      </c>
      <c r="K493" s="15" t="s">
        <v>1093</v>
      </c>
      <c r="L493" s="17" t="s">
        <v>193</v>
      </c>
      <c r="M493" s="17">
        <v>39.0</v>
      </c>
      <c r="N493" s="19">
        <v>45978.0</v>
      </c>
      <c r="O493" s="17" t="s">
        <v>428</v>
      </c>
      <c r="P493" s="16">
        <v>5.0</v>
      </c>
      <c r="Q493" s="16">
        <v>5.0</v>
      </c>
      <c r="R493" s="16">
        <v>5.0</v>
      </c>
      <c r="S493" s="16">
        <v>5.0</v>
      </c>
      <c r="T493" s="16">
        <v>5.0</v>
      </c>
      <c r="U493" s="16">
        <v>5.0</v>
      </c>
      <c r="V493" s="16">
        <v>5.0</v>
      </c>
      <c r="W493" s="16">
        <v>5.0</v>
      </c>
      <c r="X493" s="16">
        <v>5.0</v>
      </c>
      <c r="Y493" s="16">
        <v>5.0</v>
      </c>
      <c r="Z493" s="16">
        <v>5.0</v>
      </c>
      <c r="AA493" s="16">
        <v>5.0</v>
      </c>
      <c r="AB493" s="16">
        <v>5.0</v>
      </c>
      <c r="AC493" s="16">
        <v>5.0</v>
      </c>
      <c r="AD493" s="37">
        <v>13.0</v>
      </c>
      <c r="AE493" s="37">
        <v>16.0</v>
      </c>
      <c r="AF493" s="37">
        <v>20.0</v>
      </c>
      <c r="AG493" s="37"/>
      <c r="AI493" s="18" t="s">
        <v>76</v>
      </c>
    </row>
    <row r="494">
      <c r="A494" s="11"/>
      <c r="B494" s="12" t="s">
        <v>34</v>
      </c>
      <c r="C494" s="12" t="s">
        <v>65</v>
      </c>
      <c r="D494" s="12" t="s">
        <v>43</v>
      </c>
      <c r="E494" s="12" t="s">
        <v>224</v>
      </c>
      <c r="F494" s="13" t="s">
        <v>225</v>
      </c>
      <c r="G494" s="12" t="s">
        <v>68</v>
      </c>
      <c r="H494" s="12" t="s">
        <v>226</v>
      </c>
      <c r="I494" s="12" t="s">
        <v>227</v>
      </c>
      <c r="J494" s="15" t="s">
        <v>255</v>
      </c>
      <c r="K494" s="15" t="s">
        <v>255</v>
      </c>
      <c r="L494" s="17" t="s">
        <v>193</v>
      </c>
      <c r="M494" s="17">
        <v>30.0</v>
      </c>
      <c r="N494" s="19">
        <v>45978.0</v>
      </c>
      <c r="O494" s="17" t="s">
        <v>428</v>
      </c>
      <c r="P494" s="16">
        <v>4.0</v>
      </c>
      <c r="Q494" s="16">
        <v>4.0</v>
      </c>
      <c r="R494" s="16">
        <v>5.0</v>
      </c>
      <c r="S494" s="16">
        <v>5.0</v>
      </c>
      <c r="T494" s="16">
        <v>5.0</v>
      </c>
      <c r="U494" s="16">
        <v>4.0</v>
      </c>
      <c r="V494" s="16">
        <v>4.0</v>
      </c>
      <c r="W494" s="16">
        <v>5.0</v>
      </c>
      <c r="X494" s="16">
        <v>5.0</v>
      </c>
      <c r="Y494" s="16">
        <v>5.0</v>
      </c>
      <c r="Z494" s="16">
        <v>5.0</v>
      </c>
      <c r="AA494" s="16">
        <v>4.0</v>
      </c>
      <c r="AB494" s="16">
        <v>5.0</v>
      </c>
      <c r="AC494" s="16">
        <v>5.0</v>
      </c>
      <c r="AD494" s="38">
        <v>14.0</v>
      </c>
      <c r="AE494" s="38">
        <v>16.0</v>
      </c>
      <c r="AF494" s="38">
        <v>18.0</v>
      </c>
      <c r="AG494" s="38" t="s">
        <v>1094</v>
      </c>
      <c r="AI494" s="18" t="s">
        <v>76</v>
      </c>
    </row>
    <row r="495">
      <c r="A495" s="11"/>
      <c r="B495" s="12" t="s">
        <v>34</v>
      </c>
      <c r="C495" s="12" t="s">
        <v>65</v>
      </c>
      <c r="D495" s="12" t="s">
        <v>43</v>
      </c>
      <c r="E495" s="12" t="s">
        <v>224</v>
      </c>
      <c r="F495" s="13" t="s">
        <v>225</v>
      </c>
      <c r="G495" s="12" t="s">
        <v>68</v>
      </c>
      <c r="H495" s="12" t="s">
        <v>226</v>
      </c>
      <c r="I495" s="12" t="s">
        <v>227</v>
      </c>
      <c r="J495" s="15" t="s">
        <v>1095</v>
      </c>
      <c r="K495" s="15" t="s">
        <v>1095</v>
      </c>
      <c r="L495" s="17" t="s">
        <v>193</v>
      </c>
      <c r="M495" s="17">
        <v>30.0</v>
      </c>
      <c r="N495" s="19">
        <v>45978.0</v>
      </c>
      <c r="O495" s="17" t="s">
        <v>428</v>
      </c>
      <c r="P495" s="16">
        <v>4.0</v>
      </c>
      <c r="Q495" s="16">
        <v>4.0</v>
      </c>
      <c r="R495" s="16">
        <v>4.0</v>
      </c>
      <c r="S495" s="16">
        <v>4.0</v>
      </c>
      <c r="T495" s="16">
        <v>3.0</v>
      </c>
      <c r="U495" s="16">
        <v>4.0</v>
      </c>
      <c r="V495" s="16">
        <v>4.0</v>
      </c>
      <c r="W495" s="16">
        <v>4.0</v>
      </c>
      <c r="X495" s="16">
        <v>4.0</v>
      </c>
      <c r="Y495" s="16">
        <v>4.0</v>
      </c>
      <c r="Z495" s="16">
        <v>3.0</v>
      </c>
      <c r="AA495" s="16">
        <v>4.0</v>
      </c>
      <c r="AB495" s="16">
        <v>3.0</v>
      </c>
      <c r="AC495" s="16">
        <v>4.0</v>
      </c>
      <c r="AD495" s="38">
        <v>14.0</v>
      </c>
      <c r="AE495" s="38">
        <v>16.0</v>
      </c>
      <c r="AF495" s="38">
        <v>14.0</v>
      </c>
      <c r="AG495" s="38" t="s">
        <v>1096</v>
      </c>
      <c r="AI495" s="18" t="s">
        <v>76</v>
      </c>
    </row>
    <row r="496">
      <c r="A496" s="11"/>
      <c r="B496" s="12" t="s">
        <v>34</v>
      </c>
      <c r="C496" s="12" t="s">
        <v>65</v>
      </c>
      <c r="D496" s="12" t="s">
        <v>43</v>
      </c>
      <c r="E496" s="12" t="s">
        <v>224</v>
      </c>
      <c r="F496" s="13" t="s">
        <v>225</v>
      </c>
      <c r="G496" s="12" t="s">
        <v>68</v>
      </c>
      <c r="H496" s="12" t="s">
        <v>226</v>
      </c>
      <c r="I496" s="12" t="s">
        <v>227</v>
      </c>
      <c r="J496" s="15" t="s">
        <v>259</v>
      </c>
      <c r="K496" s="15" t="s">
        <v>259</v>
      </c>
      <c r="L496" s="17" t="s">
        <v>193</v>
      </c>
      <c r="M496" s="17">
        <v>25.0</v>
      </c>
      <c r="N496" s="19">
        <v>45978.0</v>
      </c>
      <c r="O496" s="17" t="s">
        <v>428</v>
      </c>
      <c r="P496" s="16">
        <v>3.0</v>
      </c>
      <c r="Q496" s="16">
        <v>3.0</v>
      </c>
      <c r="R496" s="16">
        <v>3.0</v>
      </c>
      <c r="S496" s="16">
        <v>3.0</v>
      </c>
      <c r="T496" s="16">
        <v>4.0</v>
      </c>
      <c r="U496" s="16">
        <v>3.0</v>
      </c>
      <c r="V496" s="16">
        <v>3.0</v>
      </c>
      <c r="W496" s="16">
        <v>3.0</v>
      </c>
      <c r="X496" s="16">
        <v>3.0</v>
      </c>
      <c r="Y496" s="16">
        <v>3.0</v>
      </c>
      <c r="Z496" s="16">
        <v>4.0</v>
      </c>
      <c r="AA496" s="16">
        <v>3.0</v>
      </c>
      <c r="AB496" s="16">
        <v>4.0</v>
      </c>
      <c r="AC496" s="16">
        <v>3.0</v>
      </c>
      <c r="AD496" s="38">
        <v>15.0</v>
      </c>
      <c r="AE496" s="38">
        <v>13.0</v>
      </c>
      <c r="AF496" s="38">
        <v>14.0</v>
      </c>
      <c r="AG496" s="38" t="s">
        <v>1097</v>
      </c>
      <c r="AI496" s="18" t="s">
        <v>76</v>
      </c>
    </row>
    <row r="497">
      <c r="A497" s="11"/>
      <c r="B497" s="12" t="s">
        <v>34</v>
      </c>
      <c r="C497" s="12" t="s">
        <v>65</v>
      </c>
      <c r="D497" s="12" t="s">
        <v>43</v>
      </c>
      <c r="E497" s="12" t="s">
        <v>224</v>
      </c>
      <c r="F497" s="13" t="s">
        <v>225</v>
      </c>
      <c r="G497" s="12" t="s">
        <v>68</v>
      </c>
      <c r="H497" s="12" t="s">
        <v>226</v>
      </c>
      <c r="I497" s="12" t="s">
        <v>227</v>
      </c>
      <c r="J497" s="15" t="s">
        <v>1098</v>
      </c>
      <c r="K497" s="15" t="s">
        <v>1098</v>
      </c>
      <c r="L497" s="73" t="s">
        <v>193</v>
      </c>
      <c r="M497" s="17">
        <v>26.0</v>
      </c>
      <c r="N497" s="19">
        <v>45978.0</v>
      </c>
      <c r="O497" s="17" t="s">
        <v>428</v>
      </c>
      <c r="P497" s="16">
        <v>4.0</v>
      </c>
      <c r="Q497" s="16">
        <v>4.0</v>
      </c>
      <c r="R497" s="16">
        <v>3.0</v>
      </c>
      <c r="S497" s="16">
        <v>3.0</v>
      </c>
      <c r="T497" s="16">
        <v>5.0</v>
      </c>
      <c r="U497" s="16">
        <v>3.0</v>
      </c>
      <c r="V497" s="16">
        <v>3.0</v>
      </c>
      <c r="W497" s="16">
        <v>3.0</v>
      </c>
      <c r="X497" s="16">
        <v>4.0</v>
      </c>
      <c r="Y497" s="16">
        <v>4.0</v>
      </c>
      <c r="Z497" s="16">
        <v>5.0</v>
      </c>
      <c r="AA497" s="16">
        <v>4.0</v>
      </c>
      <c r="AB497" s="16">
        <v>5.0</v>
      </c>
      <c r="AC497" s="16">
        <v>4.0</v>
      </c>
      <c r="AD497" s="38">
        <v>14.0</v>
      </c>
      <c r="AE497" s="38">
        <v>13.0</v>
      </c>
      <c r="AF497" s="38">
        <v>16.0</v>
      </c>
      <c r="AG497" s="38" t="s">
        <v>1099</v>
      </c>
      <c r="AI497" s="18" t="s">
        <v>76</v>
      </c>
    </row>
    <row r="498">
      <c r="A498" s="11"/>
      <c r="B498" s="12" t="s">
        <v>34</v>
      </c>
      <c r="C498" s="12" t="s">
        <v>65</v>
      </c>
      <c r="D498" s="12" t="s">
        <v>43</v>
      </c>
      <c r="E498" s="12" t="s">
        <v>224</v>
      </c>
      <c r="F498" s="13" t="s">
        <v>225</v>
      </c>
      <c r="G498" s="12" t="s">
        <v>68</v>
      </c>
      <c r="H498" s="12" t="s">
        <v>226</v>
      </c>
      <c r="I498" s="12" t="s">
        <v>227</v>
      </c>
      <c r="J498" s="15" t="s">
        <v>263</v>
      </c>
      <c r="K498" s="15" t="s">
        <v>263</v>
      </c>
      <c r="L498" s="17" t="s">
        <v>193</v>
      </c>
      <c r="M498" s="17">
        <v>37.0</v>
      </c>
      <c r="N498" s="19">
        <v>45978.0</v>
      </c>
      <c r="O498" s="17" t="s">
        <v>428</v>
      </c>
      <c r="P498" s="16">
        <v>2.0</v>
      </c>
      <c r="Q498" s="16">
        <v>2.0</v>
      </c>
      <c r="R498" s="16">
        <v>2.0</v>
      </c>
      <c r="S498" s="16">
        <v>2.0</v>
      </c>
      <c r="T498" s="16">
        <v>2.0</v>
      </c>
      <c r="U498" s="16">
        <v>2.0</v>
      </c>
      <c r="V498" s="16">
        <v>2.0</v>
      </c>
      <c r="W498" s="16">
        <v>2.0</v>
      </c>
      <c r="X498" s="16">
        <v>2.0</v>
      </c>
      <c r="Y498" s="16">
        <v>2.0</v>
      </c>
      <c r="Z498" s="16">
        <v>2.0</v>
      </c>
      <c r="AA498" s="16">
        <v>2.0</v>
      </c>
      <c r="AB498" s="16">
        <v>2.0</v>
      </c>
      <c r="AC498" s="16">
        <v>2.0</v>
      </c>
      <c r="AD498" s="37">
        <v>16.0</v>
      </c>
      <c r="AE498" s="37">
        <v>13.0</v>
      </c>
      <c r="AF498" s="37">
        <v>8.0</v>
      </c>
      <c r="AG498" s="37"/>
      <c r="AI498" s="18" t="s">
        <v>76</v>
      </c>
    </row>
    <row r="499">
      <c r="A499" s="11"/>
      <c r="B499" s="12" t="s">
        <v>34</v>
      </c>
      <c r="C499" s="12" t="s">
        <v>65</v>
      </c>
      <c r="D499" s="12" t="s">
        <v>43</v>
      </c>
      <c r="E499" s="12" t="s">
        <v>224</v>
      </c>
      <c r="F499" s="13" t="s">
        <v>225</v>
      </c>
      <c r="G499" s="12" t="s">
        <v>68</v>
      </c>
      <c r="H499" s="12" t="s">
        <v>226</v>
      </c>
      <c r="I499" s="12" t="s">
        <v>227</v>
      </c>
      <c r="J499" s="15" t="s">
        <v>265</v>
      </c>
      <c r="K499" s="15" t="s">
        <v>265</v>
      </c>
      <c r="L499" s="17" t="s">
        <v>193</v>
      </c>
      <c r="M499" s="17">
        <v>36.0</v>
      </c>
      <c r="N499" s="19">
        <v>45978.0</v>
      </c>
      <c r="O499" s="17" t="s">
        <v>428</v>
      </c>
      <c r="P499" s="16">
        <v>4.0</v>
      </c>
      <c r="Q499" s="16">
        <v>4.0</v>
      </c>
      <c r="R499" s="16">
        <v>4.0</v>
      </c>
      <c r="S499" s="16">
        <v>4.0</v>
      </c>
      <c r="T499" s="16">
        <v>3.0</v>
      </c>
      <c r="U499" s="16">
        <v>5.0</v>
      </c>
      <c r="V499" s="16">
        <v>5.0</v>
      </c>
      <c r="W499" s="16">
        <v>4.0</v>
      </c>
      <c r="X499" s="16">
        <v>4.0</v>
      </c>
      <c r="Y499" s="16">
        <v>4.0</v>
      </c>
      <c r="Z499" s="16">
        <v>3.0</v>
      </c>
      <c r="AA499" s="16">
        <v>4.0</v>
      </c>
      <c r="AB499" s="16">
        <v>3.0</v>
      </c>
      <c r="AC499" s="16">
        <v>4.0</v>
      </c>
      <c r="AD499" s="38">
        <v>14.0</v>
      </c>
      <c r="AE499" s="38">
        <v>16.0</v>
      </c>
      <c r="AF499" s="38">
        <v>16.0</v>
      </c>
      <c r="AG499" s="38" t="s">
        <v>1100</v>
      </c>
      <c r="AI499" s="18" t="s">
        <v>76</v>
      </c>
    </row>
    <row r="500">
      <c r="A500" s="11"/>
      <c r="B500" s="12" t="s">
        <v>34</v>
      </c>
      <c r="C500" s="12" t="s">
        <v>65</v>
      </c>
      <c r="D500" s="12" t="s">
        <v>43</v>
      </c>
      <c r="E500" s="12" t="s">
        <v>224</v>
      </c>
      <c r="F500" s="13" t="s">
        <v>225</v>
      </c>
      <c r="G500" s="12" t="s">
        <v>68</v>
      </c>
      <c r="H500" s="12" t="s">
        <v>226</v>
      </c>
      <c r="I500" s="12" t="s">
        <v>227</v>
      </c>
      <c r="J500" s="15" t="s">
        <v>1101</v>
      </c>
      <c r="K500" s="15" t="s">
        <v>1101</v>
      </c>
      <c r="L500" s="17" t="s">
        <v>193</v>
      </c>
      <c r="M500" s="17">
        <v>26.0</v>
      </c>
      <c r="N500" s="19">
        <v>45978.0</v>
      </c>
      <c r="O500" s="17" t="s">
        <v>428</v>
      </c>
      <c r="P500" s="16">
        <v>2.0</v>
      </c>
      <c r="Q500" s="16">
        <v>2.0</v>
      </c>
      <c r="R500" s="16">
        <v>3.0</v>
      </c>
      <c r="S500" s="16">
        <v>3.0</v>
      </c>
      <c r="T500" s="16">
        <v>3.0</v>
      </c>
      <c r="U500" s="16">
        <v>3.0</v>
      </c>
      <c r="V500" s="16">
        <v>3.0</v>
      </c>
      <c r="W500" s="16">
        <v>3.0</v>
      </c>
      <c r="X500" s="16">
        <v>2.0</v>
      </c>
      <c r="Y500" s="16">
        <v>2.0</v>
      </c>
      <c r="Z500" s="16">
        <v>3.0</v>
      </c>
      <c r="AA500" s="16">
        <v>2.0</v>
      </c>
      <c r="AB500" s="16">
        <v>3.0</v>
      </c>
      <c r="AC500" s="16">
        <v>2.0</v>
      </c>
      <c r="AD500" s="38">
        <v>16.0</v>
      </c>
      <c r="AE500" s="38">
        <v>13.0</v>
      </c>
      <c r="AF500" s="38">
        <v>12.0</v>
      </c>
      <c r="AG500" s="38" t="s">
        <v>1102</v>
      </c>
      <c r="AI500" s="18" t="s">
        <v>76</v>
      </c>
    </row>
    <row r="501">
      <c r="A501" s="11"/>
      <c r="B501" s="12" t="s">
        <v>34</v>
      </c>
      <c r="C501" s="12" t="s">
        <v>65</v>
      </c>
      <c r="D501" s="12" t="s">
        <v>43</v>
      </c>
      <c r="E501" s="12" t="s">
        <v>224</v>
      </c>
      <c r="F501" s="13" t="s">
        <v>225</v>
      </c>
      <c r="G501" s="12" t="s">
        <v>68</v>
      </c>
      <c r="H501" s="12" t="s">
        <v>226</v>
      </c>
      <c r="I501" s="12" t="s">
        <v>227</v>
      </c>
      <c r="J501" s="15" t="s">
        <v>269</v>
      </c>
      <c r="K501" s="15" t="s">
        <v>269</v>
      </c>
      <c r="L501" s="17" t="s">
        <v>193</v>
      </c>
      <c r="M501" s="17">
        <v>29.0</v>
      </c>
      <c r="N501" s="19">
        <v>45978.0</v>
      </c>
      <c r="O501" s="17" t="s">
        <v>428</v>
      </c>
      <c r="P501" s="16">
        <v>5.0</v>
      </c>
      <c r="Q501" s="16">
        <v>5.0</v>
      </c>
      <c r="R501" s="16">
        <v>4.0</v>
      </c>
      <c r="S501" s="16">
        <v>4.0</v>
      </c>
      <c r="T501" s="16">
        <v>5.0</v>
      </c>
      <c r="U501" s="16">
        <v>5.0</v>
      </c>
      <c r="V501" s="16">
        <v>5.0</v>
      </c>
      <c r="W501" s="16">
        <v>4.0</v>
      </c>
      <c r="X501" s="16">
        <v>5.0</v>
      </c>
      <c r="Y501" s="16">
        <v>5.0</v>
      </c>
      <c r="Z501" s="16">
        <v>5.0</v>
      </c>
      <c r="AA501" s="16">
        <v>5.0</v>
      </c>
      <c r="AB501" s="16">
        <v>5.0</v>
      </c>
      <c r="AC501" s="16">
        <v>5.0</v>
      </c>
      <c r="AD501" s="38">
        <v>13.0</v>
      </c>
      <c r="AE501" s="38">
        <v>15.0</v>
      </c>
      <c r="AF501" s="38">
        <v>20.0</v>
      </c>
      <c r="AG501" s="38" t="s">
        <v>1103</v>
      </c>
      <c r="AI501" s="18" t="s">
        <v>76</v>
      </c>
    </row>
    <row r="502">
      <c r="A502" s="11"/>
      <c r="B502" s="12" t="s">
        <v>34</v>
      </c>
      <c r="C502" s="12" t="s">
        <v>65</v>
      </c>
      <c r="D502" s="12" t="s">
        <v>43</v>
      </c>
      <c r="E502" s="12" t="s">
        <v>224</v>
      </c>
      <c r="F502" s="13" t="s">
        <v>225</v>
      </c>
      <c r="G502" s="12" t="s">
        <v>68</v>
      </c>
      <c r="H502" s="12" t="s">
        <v>226</v>
      </c>
      <c r="I502" s="12" t="s">
        <v>227</v>
      </c>
      <c r="J502" s="15" t="s">
        <v>271</v>
      </c>
      <c r="K502" s="15" t="s">
        <v>271</v>
      </c>
      <c r="L502" s="17" t="s">
        <v>193</v>
      </c>
      <c r="M502" s="17">
        <v>36.0</v>
      </c>
      <c r="N502" s="19">
        <v>45978.0</v>
      </c>
      <c r="O502" s="17" t="s">
        <v>428</v>
      </c>
      <c r="P502" s="16">
        <v>4.0</v>
      </c>
      <c r="Q502" s="16">
        <v>4.0</v>
      </c>
      <c r="R502" s="16">
        <v>3.0</v>
      </c>
      <c r="S502" s="16">
        <v>3.0</v>
      </c>
      <c r="T502" s="16">
        <v>3.0</v>
      </c>
      <c r="U502" s="16">
        <v>4.0</v>
      </c>
      <c r="V502" s="16">
        <v>4.0</v>
      </c>
      <c r="W502" s="16">
        <v>3.0</v>
      </c>
      <c r="X502" s="16">
        <v>4.0</v>
      </c>
      <c r="Y502" s="16">
        <v>4.0</v>
      </c>
      <c r="Z502" s="16">
        <v>3.0</v>
      </c>
      <c r="AA502" s="16">
        <v>4.0</v>
      </c>
      <c r="AB502" s="16">
        <v>3.0</v>
      </c>
      <c r="AC502" s="16">
        <v>4.0</v>
      </c>
      <c r="AD502" s="38">
        <v>14.0</v>
      </c>
      <c r="AE502" s="38">
        <v>15.0</v>
      </c>
      <c r="AF502" s="38">
        <v>14.0</v>
      </c>
      <c r="AG502" s="38" t="s">
        <v>1104</v>
      </c>
      <c r="AI502" s="18" t="s">
        <v>76</v>
      </c>
    </row>
    <row r="503">
      <c r="A503" s="11"/>
      <c r="B503" s="12" t="s">
        <v>34</v>
      </c>
      <c r="C503" s="12" t="s">
        <v>65</v>
      </c>
      <c r="D503" s="12" t="s">
        <v>43</v>
      </c>
      <c r="E503" s="12" t="s">
        <v>224</v>
      </c>
      <c r="F503" s="13" t="s">
        <v>225</v>
      </c>
      <c r="G503" s="12" t="s">
        <v>68</v>
      </c>
      <c r="H503" s="12" t="s">
        <v>226</v>
      </c>
      <c r="I503" s="12" t="s">
        <v>227</v>
      </c>
      <c r="J503" s="15" t="s">
        <v>273</v>
      </c>
      <c r="K503" s="15" t="s">
        <v>273</v>
      </c>
      <c r="L503" s="17" t="s">
        <v>193</v>
      </c>
      <c r="M503" s="17">
        <v>24.0</v>
      </c>
      <c r="N503" s="19">
        <v>45978.0</v>
      </c>
      <c r="O503" s="17" t="s">
        <v>428</v>
      </c>
      <c r="P503" s="16">
        <v>4.0</v>
      </c>
      <c r="Q503" s="16">
        <v>4.0</v>
      </c>
      <c r="R503" s="16">
        <v>3.0</v>
      </c>
      <c r="S503" s="16">
        <v>3.0</v>
      </c>
      <c r="T503" s="16">
        <v>5.0</v>
      </c>
      <c r="U503" s="16">
        <v>4.0</v>
      </c>
      <c r="V503" s="16">
        <v>4.0</v>
      </c>
      <c r="W503" s="16">
        <v>3.0</v>
      </c>
      <c r="X503" s="16">
        <v>4.0</v>
      </c>
      <c r="Y503" s="16">
        <v>4.0</v>
      </c>
      <c r="Z503" s="16">
        <v>5.0</v>
      </c>
      <c r="AA503" s="16">
        <v>4.0</v>
      </c>
      <c r="AB503" s="16">
        <v>5.0</v>
      </c>
      <c r="AC503" s="16">
        <v>4.0</v>
      </c>
      <c r="AD503" s="38">
        <v>14.0</v>
      </c>
      <c r="AE503" s="38">
        <v>13.0</v>
      </c>
      <c r="AF503" s="38">
        <v>18.0</v>
      </c>
      <c r="AG503" s="38" t="s">
        <v>1105</v>
      </c>
      <c r="AI503" s="18" t="s">
        <v>76</v>
      </c>
    </row>
    <row r="504">
      <c r="A504" s="11"/>
      <c r="B504" s="12" t="s">
        <v>34</v>
      </c>
      <c r="C504" s="12" t="s">
        <v>65</v>
      </c>
      <c r="D504" s="12" t="s">
        <v>43</v>
      </c>
      <c r="E504" s="12" t="s">
        <v>224</v>
      </c>
      <c r="F504" s="13" t="s">
        <v>225</v>
      </c>
      <c r="G504" s="12" t="s">
        <v>68</v>
      </c>
      <c r="H504" s="12" t="s">
        <v>226</v>
      </c>
      <c r="I504" s="12" t="s">
        <v>227</v>
      </c>
      <c r="J504" s="15" t="s">
        <v>275</v>
      </c>
      <c r="K504" s="15" t="s">
        <v>275</v>
      </c>
      <c r="L504" s="17" t="s">
        <v>193</v>
      </c>
      <c r="M504" s="17">
        <v>27.0</v>
      </c>
      <c r="N504" s="19">
        <v>45978.0</v>
      </c>
      <c r="O504" s="17" t="s">
        <v>428</v>
      </c>
      <c r="P504" s="16">
        <v>4.0</v>
      </c>
      <c r="Q504" s="16">
        <v>4.0</v>
      </c>
      <c r="R504" s="16">
        <v>3.0</v>
      </c>
      <c r="S504" s="16">
        <v>3.0</v>
      </c>
      <c r="T504" s="16">
        <v>4.0</v>
      </c>
      <c r="U504" s="16">
        <v>3.0</v>
      </c>
      <c r="V504" s="16">
        <v>3.0</v>
      </c>
      <c r="W504" s="16">
        <v>3.0</v>
      </c>
      <c r="X504" s="16">
        <v>4.0</v>
      </c>
      <c r="Y504" s="16">
        <v>4.0</v>
      </c>
      <c r="Z504" s="16">
        <v>4.0</v>
      </c>
      <c r="AA504" s="16">
        <v>4.0</v>
      </c>
      <c r="AB504" s="16">
        <v>4.0</v>
      </c>
      <c r="AC504" s="16">
        <v>4.0</v>
      </c>
      <c r="AD504" s="38">
        <v>14.0</v>
      </c>
      <c r="AE504" s="38">
        <v>14.0</v>
      </c>
      <c r="AF504" s="38">
        <v>14.0</v>
      </c>
      <c r="AG504" s="38" t="s">
        <v>1106</v>
      </c>
      <c r="AI504" s="18" t="s">
        <v>76</v>
      </c>
    </row>
    <row r="505">
      <c r="A505" s="11"/>
      <c r="B505" s="12" t="s">
        <v>34</v>
      </c>
      <c r="C505" s="12" t="s">
        <v>65</v>
      </c>
      <c r="D505" s="12" t="s">
        <v>43</v>
      </c>
      <c r="E505" s="12" t="s">
        <v>224</v>
      </c>
      <c r="F505" s="13" t="s">
        <v>225</v>
      </c>
      <c r="G505" s="12" t="s">
        <v>68</v>
      </c>
      <c r="H505" s="12" t="s">
        <v>226</v>
      </c>
      <c r="I505" s="12" t="s">
        <v>227</v>
      </c>
      <c r="J505" s="15" t="s">
        <v>277</v>
      </c>
      <c r="K505" s="15" t="s">
        <v>277</v>
      </c>
      <c r="L505" s="17" t="s">
        <v>193</v>
      </c>
      <c r="M505" s="17">
        <v>25.0</v>
      </c>
      <c r="N505" s="19">
        <v>45978.0</v>
      </c>
      <c r="O505" s="17" t="s">
        <v>428</v>
      </c>
      <c r="P505" s="16">
        <v>5.0</v>
      </c>
      <c r="Q505" s="16">
        <v>5.0</v>
      </c>
      <c r="R505" s="16">
        <v>3.0</v>
      </c>
      <c r="S505" s="16">
        <v>3.0</v>
      </c>
      <c r="T505" s="16">
        <v>3.0</v>
      </c>
      <c r="U505" s="16">
        <v>3.0</v>
      </c>
      <c r="V505" s="16">
        <v>3.0</v>
      </c>
      <c r="W505" s="16">
        <v>3.0</v>
      </c>
      <c r="X505" s="16">
        <v>4.0</v>
      </c>
      <c r="Y505" s="16">
        <v>4.0</v>
      </c>
      <c r="Z505" s="16">
        <v>3.0</v>
      </c>
      <c r="AA505" s="16">
        <v>5.0</v>
      </c>
      <c r="AB505" s="16">
        <v>3.0</v>
      </c>
      <c r="AC505" s="16">
        <v>4.0</v>
      </c>
      <c r="AD505" s="38">
        <v>13.0</v>
      </c>
      <c r="AE505" s="38">
        <v>15.0</v>
      </c>
      <c r="AF505" s="38">
        <v>12.0</v>
      </c>
      <c r="AG505" s="38" t="s">
        <v>1107</v>
      </c>
      <c r="AI505" s="18" t="s">
        <v>76</v>
      </c>
    </row>
    <row r="506">
      <c r="A506" s="11"/>
      <c r="B506" s="12" t="s">
        <v>34</v>
      </c>
      <c r="C506" s="12" t="s">
        <v>65</v>
      </c>
      <c r="D506" s="12" t="s">
        <v>43</v>
      </c>
      <c r="E506" s="12" t="s">
        <v>224</v>
      </c>
      <c r="F506" s="13" t="s">
        <v>225</v>
      </c>
      <c r="G506" s="12" t="s">
        <v>68</v>
      </c>
      <c r="H506" s="12" t="s">
        <v>226</v>
      </c>
      <c r="I506" s="12" t="s">
        <v>227</v>
      </c>
      <c r="J506" s="15" t="s">
        <v>279</v>
      </c>
      <c r="K506" s="15" t="s">
        <v>279</v>
      </c>
      <c r="L506" s="17" t="s">
        <v>193</v>
      </c>
      <c r="M506" s="17">
        <v>25.0</v>
      </c>
      <c r="N506" s="19">
        <v>45978.0</v>
      </c>
      <c r="O506" s="17" t="s">
        <v>428</v>
      </c>
      <c r="P506" s="16">
        <v>4.0</v>
      </c>
      <c r="Q506" s="16">
        <v>4.0</v>
      </c>
      <c r="R506" s="16">
        <v>5.0</v>
      </c>
      <c r="S506" s="16">
        <v>5.0</v>
      </c>
      <c r="T506" s="16">
        <v>4.0</v>
      </c>
      <c r="U506" s="16">
        <v>4.0</v>
      </c>
      <c r="V506" s="16">
        <v>4.0</v>
      </c>
      <c r="W506" s="16">
        <v>5.0</v>
      </c>
      <c r="X506" s="16">
        <v>4.0</v>
      </c>
      <c r="Y506" s="16">
        <v>4.0</v>
      </c>
      <c r="Z506" s="16">
        <v>4.0</v>
      </c>
      <c r="AA506" s="16">
        <v>4.0</v>
      </c>
      <c r="AB506" s="16">
        <v>4.0</v>
      </c>
      <c r="AC506" s="16">
        <v>4.0</v>
      </c>
      <c r="AD506" s="38">
        <v>14.0</v>
      </c>
      <c r="AE506" s="38">
        <v>16.0</v>
      </c>
      <c r="AF506" s="38">
        <v>16.0</v>
      </c>
      <c r="AG506" s="38" t="s">
        <v>1108</v>
      </c>
      <c r="AI506" s="18" t="s">
        <v>76</v>
      </c>
    </row>
    <row r="507">
      <c r="A507" s="11"/>
      <c r="B507" s="12" t="s">
        <v>34</v>
      </c>
      <c r="C507" s="12" t="s">
        <v>65</v>
      </c>
      <c r="D507" s="12" t="s">
        <v>43</v>
      </c>
      <c r="E507" s="12" t="s">
        <v>224</v>
      </c>
      <c r="F507" s="13" t="s">
        <v>225</v>
      </c>
      <c r="G507" s="12" t="s">
        <v>68</v>
      </c>
      <c r="H507" s="12" t="s">
        <v>226</v>
      </c>
      <c r="I507" s="12" t="s">
        <v>227</v>
      </c>
      <c r="J507" s="15" t="s">
        <v>281</v>
      </c>
      <c r="K507" s="15" t="s">
        <v>281</v>
      </c>
      <c r="L507" s="17" t="s">
        <v>193</v>
      </c>
      <c r="M507" s="17">
        <v>28.0</v>
      </c>
      <c r="N507" s="19">
        <v>45978.0</v>
      </c>
      <c r="O507" s="17" t="s">
        <v>428</v>
      </c>
      <c r="P507" s="16">
        <v>4.0</v>
      </c>
      <c r="Q507" s="16">
        <v>4.0</v>
      </c>
      <c r="R507" s="16">
        <v>3.0</v>
      </c>
      <c r="S507" s="16">
        <v>3.0</v>
      </c>
      <c r="T507" s="16">
        <v>3.0</v>
      </c>
      <c r="U507" s="16">
        <v>3.0</v>
      </c>
      <c r="V507" s="16">
        <v>3.0</v>
      </c>
      <c r="W507" s="16">
        <v>3.0</v>
      </c>
      <c r="X507" s="16">
        <v>4.0</v>
      </c>
      <c r="Y507" s="16">
        <v>4.0</v>
      </c>
      <c r="Z507" s="16">
        <v>3.0</v>
      </c>
      <c r="AA507" s="16">
        <v>4.0</v>
      </c>
      <c r="AB507" s="16">
        <v>3.0</v>
      </c>
      <c r="AC507" s="16">
        <v>4.0</v>
      </c>
      <c r="AD507" s="38">
        <v>14.0</v>
      </c>
      <c r="AE507" s="38">
        <v>15.0</v>
      </c>
      <c r="AF507" s="38">
        <v>12.0</v>
      </c>
      <c r="AG507" s="38" t="s">
        <v>1109</v>
      </c>
      <c r="AI507" s="18" t="s">
        <v>76</v>
      </c>
    </row>
    <row r="508">
      <c r="A508" s="11"/>
      <c r="B508" s="12" t="s">
        <v>34</v>
      </c>
      <c r="C508" s="12" t="s">
        <v>65</v>
      </c>
      <c r="D508" s="12" t="s">
        <v>43</v>
      </c>
      <c r="E508" s="12" t="s">
        <v>224</v>
      </c>
      <c r="F508" s="13" t="s">
        <v>225</v>
      </c>
      <c r="G508" s="12" t="s">
        <v>68</v>
      </c>
      <c r="H508" s="12" t="s">
        <v>226</v>
      </c>
      <c r="I508" s="12" t="s">
        <v>227</v>
      </c>
      <c r="J508" s="15" t="s">
        <v>283</v>
      </c>
      <c r="K508" s="15" t="s">
        <v>283</v>
      </c>
      <c r="L508" s="17" t="s">
        <v>193</v>
      </c>
      <c r="M508" s="17">
        <v>35.0</v>
      </c>
      <c r="N508" s="19">
        <v>45978.0</v>
      </c>
      <c r="O508" s="17" t="s">
        <v>428</v>
      </c>
      <c r="P508" s="16">
        <v>4.0</v>
      </c>
      <c r="Q508" s="16">
        <v>4.0</v>
      </c>
      <c r="R508" s="16">
        <v>3.0</v>
      </c>
      <c r="S508" s="16">
        <v>3.0</v>
      </c>
      <c r="T508" s="16">
        <v>5.0</v>
      </c>
      <c r="U508" s="16">
        <v>3.0</v>
      </c>
      <c r="V508" s="16">
        <v>3.0</v>
      </c>
      <c r="W508" s="16">
        <v>3.0</v>
      </c>
      <c r="X508" s="16">
        <v>4.0</v>
      </c>
      <c r="Y508" s="16">
        <v>4.0</v>
      </c>
      <c r="Z508" s="16">
        <v>5.0</v>
      </c>
      <c r="AA508" s="16">
        <v>4.0</v>
      </c>
      <c r="AB508" s="16">
        <v>5.0</v>
      </c>
      <c r="AC508" s="16">
        <v>4.0</v>
      </c>
      <c r="AD508" s="38">
        <v>14.0</v>
      </c>
      <c r="AE508" s="38">
        <v>13.0</v>
      </c>
      <c r="AF508" s="38">
        <v>16.0</v>
      </c>
      <c r="AG508" s="38" t="s">
        <v>1110</v>
      </c>
      <c r="AI508" s="18" t="s">
        <v>76</v>
      </c>
    </row>
    <row r="509">
      <c r="A509" s="11"/>
      <c r="B509" s="12" t="s">
        <v>34</v>
      </c>
      <c r="C509" s="12" t="s">
        <v>65</v>
      </c>
      <c r="D509" s="12" t="s">
        <v>43</v>
      </c>
      <c r="E509" s="12" t="s">
        <v>224</v>
      </c>
      <c r="F509" s="13" t="s">
        <v>225</v>
      </c>
      <c r="G509" s="12" t="s">
        <v>68</v>
      </c>
      <c r="H509" s="12" t="s">
        <v>226</v>
      </c>
      <c r="I509" s="12" t="s">
        <v>227</v>
      </c>
      <c r="J509" s="15" t="s">
        <v>285</v>
      </c>
      <c r="K509" s="15" t="s">
        <v>285</v>
      </c>
      <c r="L509" s="17" t="s">
        <v>193</v>
      </c>
      <c r="M509" s="17">
        <v>23.0</v>
      </c>
      <c r="N509" s="19">
        <v>45978.0</v>
      </c>
      <c r="O509" s="17" t="s">
        <v>428</v>
      </c>
      <c r="P509" s="16">
        <v>4.0</v>
      </c>
      <c r="Q509" s="16">
        <v>4.0</v>
      </c>
      <c r="R509" s="16">
        <v>3.0</v>
      </c>
      <c r="S509" s="16">
        <v>3.0</v>
      </c>
      <c r="T509" s="16">
        <v>4.0</v>
      </c>
      <c r="U509" s="16">
        <v>4.0</v>
      </c>
      <c r="V509" s="16">
        <v>4.0</v>
      </c>
      <c r="W509" s="16">
        <v>3.0</v>
      </c>
      <c r="X509" s="16">
        <v>4.0</v>
      </c>
      <c r="Y509" s="16">
        <v>4.0</v>
      </c>
      <c r="Z509" s="16">
        <v>4.0</v>
      </c>
      <c r="AA509" s="16">
        <v>4.0</v>
      </c>
      <c r="AB509" s="16">
        <v>4.0</v>
      </c>
      <c r="AC509" s="16">
        <v>4.0</v>
      </c>
      <c r="AD509" s="38">
        <v>14.0</v>
      </c>
      <c r="AE509" s="38">
        <v>14.0</v>
      </c>
      <c r="AF509" s="38">
        <v>16.0</v>
      </c>
      <c r="AG509" s="38" t="s">
        <v>1111</v>
      </c>
      <c r="AI509" s="18" t="s">
        <v>76</v>
      </c>
    </row>
    <row r="510">
      <c r="A510" s="11"/>
      <c r="B510" s="12" t="s">
        <v>34</v>
      </c>
      <c r="C510" s="12" t="s">
        <v>65</v>
      </c>
      <c r="D510" s="12" t="s">
        <v>43</v>
      </c>
      <c r="E510" s="12" t="s">
        <v>224</v>
      </c>
      <c r="F510" s="13" t="s">
        <v>225</v>
      </c>
      <c r="G510" s="12" t="s">
        <v>68</v>
      </c>
      <c r="H510" s="12" t="s">
        <v>226</v>
      </c>
      <c r="I510" s="12" t="s">
        <v>227</v>
      </c>
      <c r="J510" s="73" t="s">
        <v>1112</v>
      </c>
      <c r="K510" s="73" t="s">
        <v>1112</v>
      </c>
      <c r="L510" s="17" t="s">
        <v>193</v>
      </c>
      <c r="M510" s="17">
        <v>34.0</v>
      </c>
      <c r="N510" s="19">
        <v>45978.0</v>
      </c>
      <c r="O510" s="17" t="s">
        <v>428</v>
      </c>
      <c r="P510" s="16">
        <v>4.0</v>
      </c>
      <c r="Q510" s="16">
        <v>4.0</v>
      </c>
      <c r="R510" s="16">
        <v>3.0</v>
      </c>
      <c r="S510" s="16">
        <v>3.0</v>
      </c>
      <c r="T510" s="16">
        <v>4.0</v>
      </c>
      <c r="U510" s="16">
        <v>4.0</v>
      </c>
      <c r="V510" s="16">
        <v>4.0</v>
      </c>
      <c r="W510" s="16">
        <v>3.0</v>
      </c>
      <c r="X510" s="16">
        <v>4.0</v>
      </c>
      <c r="Y510" s="16">
        <v>4.0</v>
      </c>
      <c r="Z510" s="16">
        <v>4.0</v>
      </c>
      <c r="AA510" s="16">
        <v>4.0</v>
      </c>
      <c r="AB510" s="16">
        <v>4.0</v>
      </c>
      <c r="AC510" s="16">
        <v>4.0</v>
      </c>
      <c r="AD510" s="38">
        <v>14.0</v>
      </c>
      <c r="AE510" s="38">
        <v>14.0</v>
      </c>
      <c r="AF510" s="38">
        <v>16.0</v>
      </c>
      <c r="AG510" s="38" t="s">
        <v>1113</v>
      </c>
      <c r="AI510" s="18" t="s">
        <v>76</v>
      </c>
    </row>
    <row r="511">
      <c r="A511" s="11"/>
      <c r="B511" s="12" t="s">
        <v>34</v>
      </c>
      <c r="C511" s="12" t="s">
        <v>65</v>
      </c>
      <c r="D511" s="12" t="s">
        <v>43</v>
      </c>
      <c r="E511" s="12" t="s">
        <v>224</v>
      </c>
      <c r="F511" s="13" t="s">
        <v>225</v>
      </c>
      <c r="G511" s="12" t="s">
        <v>68</v>
      </c>
      <c r="H511" s="12" t="s">
        <v>226</v>
      </c>
      <c r="I511" s="12" t="s">
        <v>227</v>
      </c>
      <c r="J511" s="15" t="s">
        <v>1114</v>
      </c>
      <c r="K511" s="15" t="s">
        <v>1114</v>
      </c>
      <c r="L511" s="17" t="s">
        <v>193</v>
      </c>
      <c r="M511" s="17">
        <v>39.0</v>
      </c>
      <c r="N511" s="19">
        <v>45978.0</v>
      </c>
      <c r="O511" s="17" t="s">
        <v>428</v>
      </c>
      <c r="P511" s="16">
        <v>4.0</v>
      </c>
      <c r="Q511" s="16">
        <v>4.0</v>
      </c>
      <c r="R511" s="16">
        <v>5.0</v>
      </c>
      <c r="S511" s="16">
        <v>5.0</v>
      </c>
      <c r="T511" s="16">
        <v>5.0</v>
      </c>
      <c r="U511" s="16">
        <v>5.0</v>
      </c>
      <c r="V511" s="16">
        <v>5.0</v>
      </c>
      <c r="W511" s="16">
        <v>5.0</v>
      </c>
      <c r="X511" s="16">
        <v>5.0</v>
      </c>
      <c r="Y511" s="16">
        <v>5.0</v>
      </c>
      <c r="Z511" s="16">
        <v>5.0</v>
      </c>
      <c r="AA511" s="16">
        <v>4.0</v>
      </c>
      <c r="AB511" s="16">
        <v>5.0</v>
      </c>
      <c r="AC511" s="16">
        <v>5.0</v>
      </c>
      <c r="AD511" s="38">
        <v>14.0</v>
      </c>
      <c r="AE511" s="38">
        <v>16.0</v>
      </c>
      <c r="AF511" s="38">
        <v>20.0</v>
      </c>
      <c r="AG511" s="38" t="s">
        <v>1115</v>
      </c>
      <c r="AI511" s="18" t="s">
        <v>76</v>
      </c>
    </row>
    <row r="512">
      <c r="A512" s="11"/>
      <c r="B512" s="12" t="s">
        <v>34</v>
      </c>
      <c r="C512" s="12" t="s">
        <v>65</v>
      </c>
      <c r="D512" s="12" t="s">
        <v>43</v>
      </c>
      <c r="E512" s="12" t="s">
        <v>224</v>
      </c>
      <c r="F512" s="13" t="s">
        <v>225</v>
      </c>
      <c r="G512" s="12" t="s">
        <v>68</v>
      </c>
      <c r="H512" s="12" t="s">
        <v>226</v>
      </c>
      <c r="I512" s="12" t="s">
        <v>227</v>
      </c>
      <c r="J512" s="15" t="s">
        <v>291</v>
      </c>
      <c r="K512" s="15" t="s">
        <v>291</v>
      </c>
      <c r="L512" s="17" t="s">
        <v>193</v>
      </c>
      <c r="M512" s="17">
        <v>36.0</v>
      </c>
      <c r="N512" s="19">
        <v>45978.0</v>
      </c>
      <c r="O512" s="17" t="s">
        <v>428</v>
      </c>
      <c r="P512" s="16">
        <v>4.0</v>
      </c>
      <c r="Q512" s="16">
        <v>4.0</v>
      </c>
      <c r="R512" s="16">
        <v>4.0</v>
      </c>
      <c r="S512" s="16">
        <v>4.0</v>
      </c>
      <c r="T512" s="16">
        <v>4.0</v>
      </c>
      <c r="U512" s="16">
        <v>4.0</v>
      </c>
      <c r="V512" s="16">
        <v>4.0</v>
      </c>
      <c r="W512" s="16">
        <v>4.0</v>
      </c>
      <c r="X512" s="16">
        <v>4.0</v>
      </c>
      <c r="Y512" s="16">
        <v>4.0</v>
      </c>
      <c r="Z512" s="16">
        <v>4.0</v>
      </c>
      <c r="AA512" s="16">
        <v>4.0</v>
      </c>
      <c r="AB512" s="16">
        <v>4.0</v>
      </c>
      <c r="AC512" s="16">
        <v>4.0</v>
      </c>
      <c r="AD512" s="38">
        <v>14.0</v>
      </c>
      <c r="AE512" s="38">
        <v>15.0</v>
      </c>
      <c r="AF512" s="38">
        <v>16.0</v>
      </c>
      <c r="AG512" s="38" t="s">
        <v>1116</v>
      </c>
      <c r="AI512" s="18" t="s">
        <v>76</v>
      </c>
    </row>
    <row r="513">
      <c r="A513" s="11"/>
      <c r="B513" s="12" t="s">
        <v>34</v>
      </c>
      <c r="C513" s="12" t="s">
        <v>65</v>
      </c>
      <c r="D513" s="12" t="s">
        <v>43</v>
      </c>
      <c r="E513" s="12" t="s">
        <v>224</v>
      </c>
      <c r="F513" s="13" t="s">
        <v>225</v>
      </c>
      <c r="G513" s="12" t="s">
        <v>68</v>
      </c>
      <c r="H513" s="12" t="s">
        <v>226</v>
      </c>
      <c r="I513" s="12" t="s">
        <v>227</v>
      </c>
      <c r="J513" s="73" t="s">
        <v>1117</v>
      </c>
      <c r="K513" s="73" t="s">
        <v>1117</v>
      </c>
      <c r="L513" s="17" t="s">
        <v>193</v>
      </c>
      <c r="M513" s="17">
        <v>32.0</v>
      </c>
      <c r="N513" s="19">
        <v>45978.0</v>
      </c>
      <c r="O513" s="17" t="s">
        <v>428</v>
      </c>
      <c r="P513" s="16">
        <v>2.0</v>
      </c>
      <c r="Q513" s="16">
        <v>2.0</v>
      </c>
      <c r="R513" s="16">
        <v>4.0</v>
      </c>
      <c r="S513" s="16">
        <v>4.0</v>
      </c>
      <c r="T513" s="16">
        <v>5.0</v>
      </c>
      <c r="U513" s="16">
        <v>4.0</v>
      </c>
      <c r="V513" s="16">
        <v>4.0</v>
      </c>
      <c r="W513" s="16">
        <v>4.0</v>
      </c>
      <c r="X513" s="16">
        <v>4.0</v>
      </c>
      <c r="Y513" s="16">
        <v>4.0</v>
      </c>
      <c r="Z513" s="16">
        <v>5.0</v>
      </c>
      <c r="AA513" s="16">
        <v>2.0</v>
      </c>
      <c r="AB513" s="16">
        <v>5.0</v>
      </c>
      <c r="AC513" s="16">
        <v>4.0</v>
      </c>
      <c r="AD513" s="38">
        <v>16.0</v>
      </c>
      <c r="AE513" s="38">
        <v>14.0</v>
      </c>
      <c r="AF513" s="38">
        <v>18.0</v>
      </c>
      <c r="AG513" s="38" t="s">
        <v>1118</v>
      </c>
      <c r="AI513" s="18" t="s">
        <v>76</v>
      </c>
    </row>
    <row r="514">
      <c r="A514" s="11"/>
      <c r="B514" s="12" t="s">
        <v>34</v>
      </c>
      <c r="C514" s="12" t="s">
        <v>65</v>
      </c>
      <c r="D514" s="12" t="s">
        <v>43</v>
      </c>
      <c r="E514" s="12" t="s">
        <v>224</v>
      </c>
      <c r="F514" s="13" t="s">
        <v>225</v>
      </c>
      <c r="G514" s="12" t="s">
        <v>68</v>
      </c>
      <c r="H514" s="12" t="s">
        <v>226</v>
      </c>
      <c r="I514" s="12" t="s">
        <v>227</v>
      </c>
      <c r="J514" s="73" t="s">
        <v>1119</v>
      </c>
      <c r="K514" s="73" t="s">
        <v>1119</v>
      </c>
      <c r="L514" s="17" t="s">
        <v>193</v>
      </c>
      <c r="M514" s="17">
        <v>29.0</v>
      </c>
      <c r="N514" s="19">
        <v>45978.0</v>
      </c>
      <c r="O514" s="17" t="s">
        <v>428</v>
      </c>
      <c r="P514" s="16">
        <v>4.0</v>
      </c>
      <c r="Q514" s="16">
        <v>4.0</v>
      </c>
      <c r="R514" s="16">
        <v>4.0</v>
      </c>
      <c r="S514" s="16">
        <v>4.0</v>
      </c>
      <c r="T514" s="16">
        <v>5.0</v>
      </c>
      <c r="U514" s="16">
        <v>2.0</v>
      </c>
      <c r="V514" s="16">
        <v>2.0</v>
      </c>
      <c r="W514" s="16">
        <v>4.0</v>
      </c>
      <c r="X514" s="16">
        <v>4.0</v>
      </c>
      <c r="Y514" s="16">
        <v>4.0</v>
      </c>
      <c r="Z514" s="16">
        <v>5.0</v>
      </c>
      <c r="AA514" s="16">
        <v>4.0</v>
      </c>
      <c r="AB514" s="16">
        <v>5.0</v>
      </c>
      <c r="AC514" s="16">
        <v>4.0</v>
      </c>
      <c r="AD514" s="38">
        <v>14.0</v>
      </c>
      <c r="AE514" s="38">
        <v>14.0</v>
      </c>
      <c r="AF514" s="38">
        <v>14.0</v>
      </c>
      <c r="AG514" s="38" t="s">
        <v>1120</v>
      </c>
      <c r="AI514" s="18" t="s">
        <v>76</v>
      </c>
    </row>
    <row r="515">
      <c r="A515" s="11"/>
      <c r="B515" s="12" t="s">
        <v>34</v>
      </c>
      <c r="C515" s="12" t="s">
        <v>65</v>
      </c>
      <c r="D515" s="12" t="s">
        <v>43</v>
      </c>
      <c r="E515" s="12" t="s">
        <v>224</v>
      </c>
      <c r="F515" s="13" t="s">
        <v>225</v>
      </c>
      <c r="G515" s="12" t="s">
        <v>68</v>
      </c>
      <c r="H515" s="12" t="s">
        <v>226</v>
      </c>
      <c r="I515" s="12" t="s">
        <v>227</v>
      </c>
      <c r="J515" s="73" t="s">
        <v>1121</v>
      </c>
      <c r="K515" s="73" t="s">
        <v>1121</v>
      </c>
      <c r="L515" s="17" t="s">
        <v>222</v>
      </c>
      <c r="M515" s="17">
        <v>32.0</v>
      </c>
      <c r="N515" s="19">
        <v>45978.0</v>
      </c>
      <c r="O515" s="17" t="s">
        <v>428</v>
      </c>
      <c r="P515" s="16">
        <v>5.0</v>
      </c>
      <c r="Q515" s="16">
        <v>5.0</v>
      </c>
      <c r="R515" s="16">
        <v>5.0</v>
      </c>
      <c r="S515" s="16">
        <v>5.0</v>
      </c>
      <c r="T515" s="16">
        <v>5.0</v>
      </c>
      <c r="U515" s="16">
        <v>5.0</v>
      </c>
      <c r="V515" s="16">
        <v>5.0</v>
      </c>
      <c r="W515" s="16">
        <v>5.0</v>
      </c>
      <c r="X515" s="16">
        <v>5.0</v>
      </c>
      <c r="Y515" s="16">
        <v>5.0</v>
      </c>
      <c r="Z515" s="16">
        <v>5.0</v>
      </c>
      <c r="AA515" s="16">
        <v>5.0</v>
      </c>
      <c r="AB515" s="16">
        <v>5.0</v>
      </c>
      <c r="AC515" s="16">
        <v>5.0</v>
      </c>
      <c r="AD515" s="38">
        <v>13.0</v>
      </c>
      <c r="AE515" s="38">
        <v>16.0</v>
      </c>
      <c r="AF515" s="38">
        <v>20.0</v>
      </c>
      <c r="AG515" s="38" t="s">
        <v>1122</v>
      </c>
      <c r="AI515" s="18" t="s">
        <v>76</v>
      </c>
    </row>
    <row r="516">
      <c r="A516" s="11"/>
      <c r="B516" s="12" t="s">
        <v>34</v>
      </c>
      <c r="C516" s="12" t="s">
        <v>65</v>
      </c>
      <c r="D516" s="12" t="s">
        <v>43</v>
      </c>
      <c r="E516" s="12" t="s">
        <v>224</v>
      </c>
      <c r="F516" s="13" t="s">
        <v>225</v>
      </c>
      <c r="G516" s="12" t="s">
        <v>68</v>
      </c>
      <c r="H516" s="12" t="s">
        <v>226</v>
      </c>
      <c r="I516" s="12" t="s">
        <v>227</v>
      </c>
      <c r="J516" s="15" t="s">
        <v>299</v>
      </c>
      <c r="K516" s="15" t="s">
        <v>299</v>
      </c>
      <c r="L516" s="17" t="s">
        <v>193</v>
      </c>
      <c r="M516" s="17">
        <v>30.0</v>
      </c>
      <c r="N516" s="19">
        <v>45978.0</v>
      </c>
      <c r="O516" s="17" t="s">
        <v>428</v>
      </c>
      <c r="P516" s="16">
        <v>4.0</v>
      </c>
      <c r="Q516" s="16">
        <v>4.0</v>
      </c>
      <c r="R516" s="16">
        <v>4.0</v>
      </c>
      <c r="S516" s="16">
        <v>4.0</v>
      </c>
      <c r="T516" s="16">
        <v>5.0</v>
      </c>
      <c r="U516" s="16">
        <v>3.0</v>
      </c>
      <c r="V516" s="16">
        <v>3.0</v>
      </c>
      <c r="W516" s="16">
        <v>4.0</v>
      </c>
      <c r="X516" s="16">
        <v>5.0</v>
      </c>
      <c r="Y516" s="16">
        <v>5.0</v>
      </c>
      <c r="Z516" s="16">
        <v>5.0</v>
      </c>
      <c r="AA516" s="16">
        <v>4.0</v>
      </c>
      <c r="AB516" s="16">
        <v>5.0</v>
      </c>
      <c r="AC516" s="16">
        <v>5.0</v>
      </c>
      <c r="AD516" s="38">
        <v>14.0</v>
      </c>
      <c r="AE516" s="38">
        <v>15.0</v>
      </c>
      <c r="AF516" s="38">
        <v>16.0</v>
      </c>
      <c r="AG516" s="38" t="s">
        <v>1123</v>
      </c>
      <c r="AI516" s="18" t="s">
        <v>76</v>
      </c>
    </row>
    <row r="517">
      <c r="A517" s="11"/>
      <c r="B517" s="12" t="s">
        <v>34</v>
      </c>
      <c r="C517" s="12" t="s">
        <v>65</v>
      </c>
      <c r="D517" s="12" t="s">
        <v>43</v>
      </c>
      <c r="E517" s="12" t="s">
        <v>224</v>
      </c>
      <c r="F517" s="13" t="s">
        <v>225</v>
      </c>
      <c r="G517" s="12" t="s">
        <v>68</v>
      </c>
      <c r="H517" s="12" t="s">
        <v>226</v>
      </c>
      <c r="I517" s="12" t="s">
        <v>227</v>
      </c>
      <c r="J517" s="15" t="s">
        <v>301</v>
      </c>
      <c r="K517" s="15" t="s">
        <v>301</v>
      </c>
      <c r="L517" s="17" t="s">
        <v>193</v>
      </c>
      <c r="M517" s="17">
        <v>28.0</v>
      </c>
      <c r="N517" s="19">
        <v>45978.0</v>
      </c>
      <c r="O517" s="17" t="s">
        <v>428</v>
      </c>
      <c r="P517" s="16">
        <v>4.0</v>
      </c>
      <c r="Q517" s="16">
        <v>4.0</v>
      </c>
      <c r="R517" s="16">
        <v>4.0</v>
      </c>
      <c r="S517" s="16">
        <v>4.0</v>
      </c>
      <c r="T517" s="16">
        <v>5.0</v>
      </c>
      <c r="U517" s="16">
        <v>4.0</v>
      </c>
      <c r="V517" s="16">
        <v>4.0</v>
      </c>
      <c r="W517" s="16">
        <v>4.0</v>
      </c>
      <c r="X517" s="16">
        <v>4.0</v>
      </c>
      <c r="Y517" s="16">
        <v>4.0</v>
      </c>
      <c r="Z517" s="16">
        <v>5.0</v>
      </c>
      <c r="AA517" s="16">
        <v>4.0</v>
      </c>
      <c r="AB517" s="16">
        <v>5.0</v>
      </c>
      <c r="AC517" s="16">
        <v>4.0</v>
      </c>
      <c r="AD517" s="38">
        <v>14.0</v>
      </c>
      <c r="AE517" s="38">
        <v>14.0</v>
      </c>
      <c r="AF517" s="38">
        <v>18.0</v>
      </c>
      <c r="AG517" s="38" t="s">
        <v>1124</v>
      </c>
      <c r="AI517" s="18" t="s">
        <v>76</v>
      </c>
    </row>
    <row r="518">
      <c r="A518" s="11"/>
      <c r="B518" s="12" t="s">
        <v>34</v>
      </c>
      <c r="C518" s="12" t="s">
        <v>65</v>
      </c>
      <c r="D518" s="12" t="s">
        <v>43</v>
      </c>
      <c r="E518" s="12" t="s">
        <v>224</v>
      </c>
      <c r="F518" s="13" t="s">
        <v>225</v>
      </c>
      <c r="G518" s="12" t="s">
        <v>68</v>
      </c>
      <c r="H518" s="12" t="s">
        <v>226</v>
      </c>
      <c r="I518" s="12" t="s">
        <v>227</v>
      </c>
      <c r="J518" s="15" t="s">
        <v>1125</v>
      </c>
      <c r="K518" s="15" t="s">
        <v>1125</v>
      </c>
      <c r="L518" s="17" t="s">
        <v>193</v>
      </c>
      <c r="M518" s="17">
        <v>25.0</v>
      </c>
      <c r="N518" s="19">
        <v>45978.0</v>
      </c>
      <c r="O518" s="17" t="s">
        <v>428</v>
      </c>
      <c r="P518" s="16">
        <v>4.0</v>
      </c>
      <c r="Q518" s="16">
        <v>4.0</v>
      </c>
      <c r="R518" s="16">
        <v>4.0</v>
      </c>
      <c r="S518" s="16">
        <v>4.0</v>
      </c>
      <c r="T518" s="16">
        <v>5.0</v>
      </c>
      <c r="U518" s="16">
        <v>4.0</v>
      </c>
      <c r="V518" s="16">
        <v>4.0</v>
      </c>
      <c r="W518" s="16">
        <v>4.0</v>
      </c>
      <c r="X518" s="16">
        <v>4.0</v>
      </c>
      <c r="Y518" s="16">
        <v>4.0</v>
      </c>
      <c r="Z518" s="16">
        <v>5.0</v>
      </c>
      <c r="AA518" s="16">
        <v>4.0</v>
      </c>
      <c r="AB518" s="16">
        <v>5.0</v>
      </c>
      <c r="AC518" s="16">
        <v>4.0</v>
      </c>
      <c r="AD518" s="38">
        <v>14.0</v>
      </c>
      <c r="AE518" s="38">
        <v>14.0</v>
      </c>
      <c r="AF518" s="38">
        <v>18.0</v>
      </c>
      <c r="AG518" s="38" t="s">
        <v>1126</v>
      </c>
      <c r="AI518" s="18" t="s">
        <v>76</v>
      </c>
    </row>
    <row r="519">
      <c r="A519" s="11"/>
      <c r="B519" s="12" t="s">
        <v>34</v>
      </c>
      <c r="C519" s="12" t="s">
        <v>65</v>
      </c>
      <c r="D519" s="12" t="s">
        <v>43</v>
      </c>
      <c r="E519" s="12" t="s">
        <v>224</v>
      </c>
      <c r="F519" s="13" t="s">
        <v>225</v>
      </c>
      <c r="G519" s="12" t="s">
        <v>68</v>
      </c>
      <c r="H519" s="12" t="s">
        <v>226</v>
      </c>
      <c r="I519" s="12" t="s">
        <v>227</v>
      </c>
      <c r="J519" s="73" t="s">
        <v>1127</v>
      </c>
      <c r="K519" s="73" t="s">
        <v>1127</v>
      </c>
      <c r="L519" s="17" t="s">
        <v>222</v>
      </c>
      <c r="M519" s="17">
        <v>32.0</v>
      </c>
      <c r="N519" s="19">
        <v>45978.0</v>
      </c>
      <c r="O519" s="17" t="s">
        <v>428</v>
      </c>
      <c r="P519" s="16">
        <v>2.0</v>
      </c>
      <c r="Q519" s="16">
        <v>2.0</v>
      </c>
      <c r="R519" s="16">
        <v>2.0</v>
      </c>
      <c r="S519" s="16">
        <v>2.0</v>
      </c>
      <c r="T519" s="16">
        <v>3.0</v>
      </c>
      <c r="U519" s="16">
        <v>4.0</v>
      </c>
      <c r="V519" s="16">
        <v>4.0</v>
      </c>
      <c r="W519" s="16">
        <v>2.0</v>
      </c>
      <c r="X519" s="16">
        <v>4.0</v>
      </c>
      <c r="Y519" s="16">
        <v>4.0</v>
      </c>
      <c r="Z519" s="16">
        <v>3.0</v>
      </c>
      <c r="AA519" s="16">
        <v>2.0</v>
      </c>
      <c r="AB519" s="16">
        <v>3.0</v>
      </c>
      <c r="AC519" s="16">
        <v>4.0</v>
      </c>
      <c r="AD519" s="38">
        <v>16.0</v>
      </c>
      <c r="AE519" s="38">
        <v>14.0</v>
      </c>
      <c r="AF519" s="38">
        <v>14.0</v>
      </c>
      <c r="AG519" s="38" t="s">
        <v>1128</v>
      </c>
      <c r="AI519" s="18" t="s">
        <v>76</v>
      </c>
    </row>
    <row r="520">
      <c r="A520" s="11"/>
      <c r="B520" s="12" t="s">
        <v>34</v>
      </c>
      <c r="C520" s="12" t="s">
        <v>65</v>
      </c>
      <c r="D520" s="12" t="s">
        <v>43</v>
      </c>
      <c r="E520" s="12" t="s">
        <v>224</v>
      </c>
      <c r="F520" s="13" t="s">
        <v>225</v>
      </c>
      <c r="G520" s="12" t="s">
        <v>68</v>
      </c>
      <c r="H520" s="12" t="s">
        <v>226</v>
      </c>
      <c r="I520" s="12" t="s">
        <v>227</v>
      </c>
      <c r="J520" s="15" t="s">
        <v>307</v>
      </c>
      <c r="K520" s="15" t="s">
        <v>307</v>
      </c>
      <c r="L520" s="17" t="s">
        <v>193</v>
      </c>
      <c r="M520" s="17">
        <v>33.0</v>
      </c>
      <c r="N520" s="19">
        <v>45978.0</v>
      </c>
      <c r="O520" s="17" t="s">
        <v>428</v>
      </c>
      <c r="P520" s="16">
        <v>3.0</v>
      </c>
      <c r="Q520" s="16">
        <v>3.0</v>
      </c>
      <c r="R520" s="16">
        <v>4.0</v>
      </c>
      <c r="S520" s="16">
        <v>4.0</v>
      </c>
      <c r="T520" s="16">
        <v>4.0</v>
      </c>
      <c r="U520" s="16">
        <v>5.0</v>
      </c>
      <c r="V520" s="16">
        <v>5.0</v>
      </c>
      <c r="W520" s="16">
        <v>4.0</v>
      </c>
      <c r="X520" s="16">
        <v>4.0</v>
      </c>
      <c r="Y520" s="16">
        <v>4.0</v>
      </c>
      <c r="Z520" s="16">
        <v>4.0</v>
      </c>
      <c r="AA520" s="16">
        <v>3.0</v>
      </c>
      <c r="AB520" s="16">
        <v>4.0</v>
      </c>
      <c r="AC520" s="16">
        <v>4.0</v>
      </c>
      <c r="AD520" s="38">
        <v>15.0</v>
      </c>
      <c r="AE520" s="38">
        <v>15.0</v>
      </c>
      <c r="AF520" s="38">
        <v>18.0</v>
      </c>
      <c r="AG520" s="38" t="s">
        <v>1129</v>
      </c>
      <c r="AI520" s="18" t="s">
        <v>76</v>
      </c>
    </row>
    <row r="521">
      <c r="A521" s="11"/>
      <c r="B521" s="12" t="s">
        <v>34</v>
      </c>
      <c r="C521" s="12" t="s">
        <v>65</v>
      </c>
      <c r="D521" s="12" t="s">
        <v>43</v>
      </c>
      <c r="E521" s="12" t="s">
        <v>224</v>
      </c>
      <c r="F521" s="13" t="s">
        <v>225</v>
      </c>
      <c r="G521" s="12" t="s">
        <v>68</v>
      </c>
      <c r="H521" s="12" t="s">
        <v>226</v>
      </c>
      <c r="I521" s="12" t="s">
        <v>227</v>
      </c>
      <c r="J521" s="73" t="s">
        <v>1130</v>
      </c>
      <c r="K521" s="73" t="s">
        <v>1130</v>
      </c>
      <c r="L521" s="17" t="s">
        <v>222</v>
      </c>
      <c r="M521" s="17">
        <v>38.0</v>
      </c>
      <c r="N521" s="19">
        <v>45978.0</v>
      </c>
      <c r="O521" s="17" t="s">
        <v>428</v>
      </c>
      <c r="P521" s="16">
        <v>3.0</v>
      </c>
      <c r="Q521" s="16">
        <v>3.0</v>
      </c>
      <c r="R521" s="16">
        <v>4.0</v>
      </c>
      <c r="S521" s="16">
        <v>4.0</v>
      </c>
      <c r="T521" s="16">
        <v>3.0</v>
      </c>
      <c r="U521" s="16">
        <v>4.0</v>
      </c>
      <c r="V521" s="16">
        <v>4.0</v>
      </c>
      <c r="W521" s="16">
        <v>4.0</v>
      </c>
      <c r="X521" s="16">
        <v>4.0</v>
      </c>
      <c r="Y521" s="16">
        <v>4.0</v>
      </c>
      <c r="Z521" s="16">
        <v>3.0</v>
      </c>
      <c r="AA521" s="16">
        <v>3.0</v>
      </c>
      <c r="AB521" s="16">
        <v>3.0</v>
      </c>
      <c r="AC521" s="16">
        <v>4.0</v>
      </c>
      <c r="AD521" s="38">
        <v>15.0</v>
      </c>
      <c r="AE521" s="38">
        <v>16.0</v>
      </c>
      <c r="AF521" s="38">
        <v>14.0</v>
      </c>
      <c r="AG521" s="38" t="s">
        <v>1131</v>
      </c>
      <c r="AI521" s="18" t="s">
        <v>76</v>
      </c>
    </row>
    <row r="522">
      <c r="A522" s="11"/>
      <c r="B522" s="12" t="s">
        <v>34</v>
      </c>
      <c r="C522" s="12" t="s">
        <v>65</v>
      </c>
      <c r="D522" s="12" t="s">
        <v>43</v>
      </c>
      <c r="E522" s="12" t="s">
        <v>224</v>
      </c>
      <c r="F522" s="13" t="s">
        <v>225</v>
      </c>
      <c r="G522" s="12" t="s">
        <v>68</v>
      </c>
      <c r="H522" s="12" t="s">
        <v>226</v>
      </c>
      <c r="I522" s="12" t="s">
        <v>227</v>
      </c>
      <c r="J522" s="15" t="s">
        <v>311</v>
      </c>
      <c r="K522" s="15" t="s">
        <v>311</v>
      </c>
      <c r="L522" s="17" t="s">
        <v>193</v>
      </c>
      <c r="M522" s="17">
        <v>37.0</v>
      </c>
      <c r="N522" s="19">
        <v>45978.0</v>
      </c>
      <c r="O522" s="17" t="s">
        <v>428</v>
      </c>
      <c r="P522" s="16">
        <v>4.0</v>
      </c>
      <c r="Q522" s="16">
        <v>4.0</v>
      </c>
      <c r="R522" s="16">
        <v>3.0</v>
      </c>
      <c r="S522" s="16">
        <v>3.0</v>
      </c>
      <c r="T522" s="16">
        <v>5.0</v>
      </c>
      <c r="U522" s="16">
        <v>5.0</v>
      </c>
      <c r="V522" s="16">
        <v>5.0</v>
      </c>
      <c r="W522" s="16">
        <v>3.0</v>
      </c>
      <c r="X522" s="16">
        <v>5.0</v>
      </c>
      <c r="Y522" s="16">
        <v>5.0</v>
      </c>
      <c r="Z522" s="16">
        <v>5.0</v>
      </c>
      <c r="AA522" s="16">
        <v>4.0</v>
      </c>
      <c r="AB522" s="16">
        <v>5.0</v>
      </c>
      <c r="AC522" s="16">
        <v>5.0</v>
      </c>
      <c r="AD522" s="38">
        <v>14.0</v>
      </c>
      <c r="AE522" s="38">
        <v>14.0</v>
      </c>
      <c r="AF522" s="38">
        <v>20.0</v>
      </c>
      <c r="AG522" s="38" t="s">
        <v>1132</v>
      </c>
      <c r="AI522" s="18" t="s">
        <v>76</v>
      </c>
    </row>
    <row r="523">
      <c r="A523" s="11"/>
      <c r="B523" s="12" t="s">
        <v>34</v>
      </c>
      <c r="C523" s="12" t="s">
        <v>65</v>
      </c>
      <c r="D523" s="12" t="s">
        <v>43</v>
      </c>
      <c r="E523" s="12" t="s">
        <v>224</v>
      </c>
      <c r="F523" s="13" t="s">
        <v>225</v>
      </c>
      <c r="G523" s="12" t="s">
        <v>68</v>
      </c>
      <c r="H523" s="12" t="s">
        <v>226</v>
      </c>
      <c r="I523" s="12" t="s">
        <v>227</v>
      </c>
      <c r="J523" s="15" t="s">
        <v>313</v>
      </c>
      <c r="K523" s="15" t="s">
        <v>313</v>
      </c>
      <c r="L523" s="17" t="s">
        <v>193</v>
      </c>
      <c r="M523" s="17">
        <v>30.0</v>
      </c>
      <c r="N523" s="19">
        <v>45978.0</v>
      </c>
      <c r="O523" s="17" t="s">
        <v>428</v>
      </c>
      <c r="P523" s="16">
        <v>4.0</v>
      </c>
      <c r="Q523" s="16">
        <v>4.0</v>
      </c>
      <c r="R523" s="16">
        <v>3.0</v>
      </c>
      <c r="S523" s="16">
        <v>3.0</v>
      </c>
      <c r="T523" s="16">
        <v>4.0</v>
      </c>
      <c r="U523" s="16">
        <v>3.0</v>
      </c>
      <c r="V523" s="16">
        <v>3.0</v>
      </c>
      <c r="W523" s="16">
        <v>3.0</v>
      </c>
      <c r="X523" s="16">
        <v>4.0</v>
      </c>
      <c r="Y523" s="16">
        <v>4.0</v>
      </c>
      <c r="Z523" s="16">
        <v>4.0</v>
      </c>
      <c r="AA523" s="16">
        <v>4.0</v>
      </c>
      <c r="AB523" s="16">
        <v>4.0</v>
      </c>
      <c r="AC523" s="16">
        <v>4.0</v>
      </c>
      <c r="AD523" s="38">
        <v>14.0</v>
      </c>
      <c r="AE523" s="38">
        <v>14.0</v>
      </c>
      <c r="AF523" s="38">
        <v>14.0</v>
      </c>
      <c r="AG523" s="38" t="s">
        <v>1133</v>
      </c>
      <c r="AI523" s="18" t="s">
        <v>76</v>
      </c>
    </row>
    <row r="524">
      <c r="A524" s="11"/>
      <c r="B524" s="12" t="s">
        <v>34</v>
      </c>
      <c r="C524" s="12" t="s">
        <v>65</v>
      </c>
      <c r="D524" s="12" t="s">
        <v>43</v>
      </c>
      <c r="E524" s="12" t="s">
        <v>224</v>
      </c>
      <c r="F524" s="13" t="s">
        <v>225</v>
      </c>
      <c r="G524" s="12" t="s">
        <v>68</v>
      </c>
      <c r="H524" s="12" t="s">
        <v>226</v>
      </c>
      <c r="I524" s="12" t="s">
        <v>227</v>
      </c>
      <c r="J524" s="15" t="s">
        <v>315</v>
      </c>
      <c r="K524" s="15" t="s">
        <v>315</v>
      </c>
      <c r="L524" s="17" t="s">
        <v>250</v>
      </c>
      <c r="M524" s="75">
        <v>36.0</v>
      </c>
      <c r="N524" s="19">
        <v>45978.0</v>
      </c>
      <c r="O524" s="17" t="s">
        <v>428</v>
      </c>
      <c r="P524" s="16">
        <v>4.0</v>
      </c>
      <c r="Q524" s="16">
        <v>4.0</v>
      </c>
      <c r="R524" s="16">
        <v>4.0</v>
      </c>
      <c r="S524" s="16">
        <v>4.0</v>
      </c>
      <c r="T524" s="16">
        <v>5.0</v>
      </c>
      <c r="U524" s="16">
        <v>5.0</v>
      </c>
      <c r="V524" s="16">
        <v>5.0</v>
      </c>
      <c r="W524" s="16">
        <v>4.0</v>
      </c>
      <c r="X524" s="16">
        <v>5.0</v>
      </c>
      <c r="Y524" s="16">
        <v>5.0</v>
      </c>
      <c r="Z524" s="16">
        <v>5.0</v>
      </c>
      <c r="AA524" s="16">
        <v>4.0</v>
      </c>
      <c r="AB524" s="16">
        <v>5.0</v>
      </c>
      <c r="AC524" s="16">
        <v>5.0</v>
      </c>
      <c r="AD524" s="38">
        <v>14.0</v>
      </c>
      <c r="AE524" s="38">
        <v>15.0</v>
      </c>
      <c r="AF524" s="38">
        <v>20.0</v>
      </c>
      <c r="AG524" s="38" t="s">
        <v>1134</v>
      </c>
      <c r="AI524" s="18" t="s">
        <v>76</v>
      </c>
    </row>
    <row r="525">
      <c r="A525" s="11"/>
      <c r="B525" s="12" t="s">
        <v>34</v>
      </c>
      <c r="C525" s="12" t="s">
        <v>65</v>
      </c>
      <c r="D525" s="12" t="s">
        <v>43</v>
      </c>
      <c r="E525" s="12" t="s">
        <v>224</v>
      </c>
      <c r="F525" s="13" t="s">
        <v>225</v>
      </c>
      <c r="G525" s="12" t="s">
        <v>68</v>
      </c>
      <c r="H525" s="12" t="s">
        <v>226</v>
      </c>
      <c r="I525" s="12" t="s">
        <v>227</v>
      </c>
      <c r="J525" s="15" t="s">
        <v>317</v>
      </c>
      <c r="K525" s="15" t="s">
        <v>317</v>
      </c>
      <c r="L525" s="17" t="s">
        <v>193</v>
      </c>
      <c r="M525" s="17">
        <v>29.0</v>
      </c>
      <c r="N525" s="19">
        <v>45978.0</v>
      </c>
      <c r="O525" s="17" t="s">
        <v>428</v>
      </c>
      <c r="P525" s="16">
        <v>4.0</v>
      </c>
      <c r="Q525" s="16">
        <v>4.0</v>
      </c>
      <c r="R525" s="16">
        <v>3.0</v>
      </c>
      <c r="S525" s="16">
        <v>3.0</v>
      </c>
      <c r="T525" s="16">
        <v>5.0</v>
      </c>
      <c r="U525" s="16">
        <v>5.0</v>
      </c>
      <c r="V525" s="16">
        <v>5.0</v>
      </c>
      <c r="W525" s="16">
        <v>3.0</v>
      </c>
      <c r="X525" s="16">
        <v>4.0</v>
      </c>
      <c r="Y525" s="16">
        <v>4.0</v>
      </c>
      <c r="Z525" s="16">
        <v>5.0</v>
      </c>
      <c r="AA525" s="16">
        <v>4.0</v>
      </c>
      <c r="AB525" s="16">
        <v>5.0</v>
      </c>
      <c r="AC525" s="16">
        <v>4.0</v>
      </c>
      <c r="AD525" s="38">
        <v>14.0</v>
      </c>
      <c r="AE525" s="38">
        <v>13.0</v>
      </c>
      <c r="AF525" s="38">
        <v>20.0</v>
      </c>
      <c r="AG525" s="38" t="s">
        <v>1135</v>
      </c>
      <c r="AI525" s="18" t="s">
        <v>76</v>
      </c>
    </row>
    <row r="526">
      <c r="A526" s="11"/>
      <c r="B526" s="12" t="s">
        <v>34</v>
      </c>
      <c r="C526" s="12" t="s">
        <v>65</v>
      </c>
      <c r="D526" s="12" t="s">
        <v>43</v>
      </c>
      <c r="E526" s="12" t="s">
        <v>224</v>
      </c>
      <c r="F526" s="13" t="s">
        <v>225</v>
      </c>
      <c r="G526" s="12" t="s">
        <v>68</v>
      </c>
      <c r="H526" s="12" t="s">
        <v>226</v>
      </c>
      <c r="I526" s="12" t="s">
        <v>227</v>
      </c>
      <c r="J526" s="73" t="s">
        <v>319</v>
      </c>
      <c r="K526" s="73" t="s">
        <v>319</v>
      </c>
      <c r="L526" s="17" t="s">
        <v>250</v>
      </c>
      <c r="M526" s="17">
        <v>23.0</v>
      </c>
      <c r="N526" s="19">
        <v>45978.0</v>
      </c>
      <c r="O526" s="17" t="s">
        <v>428</v>
      </c>
      <c r="P526" s="16">
        <v>3.0</v>
      </c>
      <c r="Q526" s="16">
        <v>3.0</v>
      </c>
      <c r="R526" s="16">
        <v>3.0</v>
      </c>
      <c r="S526" s="16">
        <v>3.0</v>
      </c>
      <c r="T526" s="16">
        <v>5.0</v>
      </c>
      <c r="U526" s="16">
        <v>4.0</v>
      </c>
      <c r="V526" s="16">
        <v>4.0</v>
      </c>
      <c r="W526" s="16">
        <v>3.0</v>
      </c>
      <c r="X526" s="16">
        <v>2.0</v>
      </c>
      <c r="Y526" s="16">
        <v>2.0</v>
      </c>
      <c r="Z526" s="16">
        <v>5.0</v>
      </c>
      <c r="AA526" s="16">
        <v>3.0</v>
      </c>
      <c r="AB526" s="16">
        <v>5.0</v>
      </c>
      <c r="AC526" s="16">
        <v>2.0</v>
      </c>
      <c r="AD526" s="38">
        <v>15.0</v>
      </c>
      <c r="AE526" s="38">
        <v>11.0</v>
      </c>
      <c r="AF526" s="38">
        <v>18.0</v>
      </c>
      <c r="AG526" s="38" t="s">
        <v>1136</v>
      </c>
      <c r="AI526" s="18" t="s">
        <v>76</v>
      </c>
    </row>
    <row r="527">
      <c r="A527" s="11"/>
      <c r="B527" s="12" t="s">
        <v>43</v>
      </c>
      <c r="C527" s="12" t="s">
        <v>65</v>
      </c>
      <c r="D527" s="12" t="s">
        <v>43</v>
      </c>
      <c r="E527" s="12" t="s">
        <v>203</v>
      </c>
      <c r="F527" s="13" t="s">
        <v>204</v>
      </c>
      <c r="G527" s="12" t="s">
        <v>68</v>
      </c>
      <c r="H527" s="12" t="s">
        <v>205</v>
      </c>
      <c r="I527" s="12" t="s">
        <v>206</v>
      </c>
      <c r="J527" s="15" t="s">
        <v>207</v>
      </c>
      <c r="K527" s="15" t="s">
        <v>207</v>
      </c>
      <c r="L527" s="17" t="s">
        <v>193</v>
      </c>
      <c r="M527" s="17">
        <v>42.0</v>
      </c>
      <c r="N527" s="76">
        <v>45979.0</v>
      </c>
      <c r="O527" s="17" t="s">
        <v>428</v>
      </c>
      <c r="P527" s="16">
        <v>5.0</v>
      </c>
      <c r="Q527" s="16">
        <v>5.0</v>
      </c>
      <c r="R527" s="16">
        <v>5.0</v>
      </c>
      <c r="S527" s="16">
        <v>5.0</v>
      </c>
      <c r="T527" s="16">
        <v>4.0</v>
      </c>
      <c r="U527" s="16">
        <v>3.0</v>
      </c>
      <c r="V527" s="16">
        <v>3.0</v>
      </c>
      <c r="W527" s="16">
        <v>5.0</v>
      </c>
      <c r="X527" s="16">
        <v>3.0</v>
      </c>
      <c r="Y527" s="16">
        <v>3.0</v>
      </c>
      <c r="Z527" s="16">
        <v>4.0</v>
      </c>
      <c r="AA527" s="16">
        <v>5.0</v>
      </c>
      <c r="AB527" s="16">
        <v>4.0</v>
      </c>
      <c r="AC527" s="16">
        <v>3.0</v>
      </c>
      <c r="AD527" s="38">
        <v>13.0</v>
      </c>
      <c r="AE527" s="38">
        <v>15.0</v>
      </c>
      <c r="AF527" s="38">
        <v>14.0</v>
      </c>
      <c r="AG527" s="38" t="s">
        <v>1137</v>
      </c>
      <c r="AI527" s="18" t="s">
        <v>76</v>
      </c>
    </row>
    <row r="528">
      <c r="A528" s="11"/>
      <c r="B528" s="12" t="s">
        <v>43</v>
      </c>
      <c r="C528" s="12" t="s">
        <v>65</v>
      </c>
      <c r="D528" s="12" t="s">
        <v>43</v>
      </c>
      <c r="E528" s="12" t="s">
        <v>203</v>
      </c>
      <c r="F528" s="13" t="s">
        <v>204</v>
      </c>
      <c r="G528" s="12" t="s">
        <v>68</v>
      </c>
      <c r="H528" s="12" t="s">
        <v>205</v>
      </c>
      <c r="I528" s="12" t="s">
        <v>206</v>
      </c>
      <c r="J528" s="77" t="s">
        <v>1138</v>
      </c>
      <c r="K528" s="77" t="s">
        <v>1138</v>
      </c>
      <c r="L528" s="17" t="s">
        <v>222</v>
      </c>
      <c r="M528" s="17">
        <v>30.0</v>
      </c>
      <c r="N528" s="76">
        <v>45979.0</v>
      </c>
      <c r="O528" s="17" t="s">
        <v>428</v>
      </c>
      <c r="P528" s="16">
        <v>4.0</v>
      </c>
      <c r="Q528" s="16">
        <v>4.0</v>
      </c>
      <c r="R528" s="16">
        <v>3.0</v>
      </c>
      <c r="S528" s="16">
        <v>3.0</v>
      </c>
      <c r="T528" s="16">
        <v>4.0</v>
      </c>
      <c r="U528" s="16">
        <v>4.0</v>
      </c>
      <c r="V528" s="16">
        <v>4.0</v>
      </c>
      <c r="W528" s="16">
        <v>3.0</v>
      </c>
      <c r="X528" s="16">
        <v>4.0</v>
      </c>
      <c r="Y528" s="16">
        <v>4.0</v>
      </c>
      <c r="Z528" s="16">
        <v>4.0</v>
      </c>
      <c r="AA528" s="16">
        <v>4.0</v>
      </c>
      <c r="AB528" s="16">
        <v>4.0</v>
      </c>
      <c r="AC528" s="16">
        <v>4.0</v>
      </c>
      <c r="AD528" s="37">
        <v>14.0</v>
      </c>
      <c r="AE528" s="37">
        <v>14.0</v>
      </c>
      <c r="AF528" s="37">
        <v>16.0</v>
      </c>
      <c r="AG528" s="37"/>
      <c r="AH528" s="17" t="s">
        <v>1139</v>
      </c>
      <c r="AI528" s="18" t="s">
        <v>76</v>
      </c>
    </row>
    <row r="529">
      <c r="A529" s="11"/>
      <c r="B529" s="12" t="s">
        <v>43</v>
      </c>
      <c r="C529" s="12" t="s">
        <v>65</v>
      </c>
      <c r="D529" s="12" t="s">
        <v>43</v>
      </c>
      <c r="E529" s="12" t="s">
        <v>203</v>
      </c>
      <c r="F529" s="13" t="s">
        <v>204</v>
      </c>
      <c r="G529" s="12" t="s">
        <v>68</v>
      </c>
      <c r="H529" s="12" t="s">
        <v>205</v>
      </c>
      <c r="I529" s="12" t="s">
        <v>206</v>
      </c>
      <c r="J529" s="15" t="s">
        <v>372</v>
      </c>
      <c r="K529" s="15" t="s">
        <v>372</v>
      </c>
      <c r="L529" s="17" t="s">
        <v>193</v>
      </c>
      <c r="M529" s="17">
        <v>24.0</v>
      </c>
      <c r="N529" s="76">
        <v>45979.0</v>
      </c>
      <c r="O529" s="17" t="s">
        <v>428</v>
      </c>
      <c r="P529" s="16">
        <v>4.0</v>
      </c>
      <c r="Q529" s="16">
        <v>4.0</v>
      </c>
      <c r="R529" s="16">
        <v>5.0</v>
      </c>
      <c r="S529" s="16">
        <v>5.0</v>
      </c>
      <c r="T529" s="16">
        <v>4.0</v>
      </c>
      <c r="U529" s="16">
        <v>5.0</v>
      </c>
      <c r="V529" s="16">
        <v>5.0</v>
      </c>
      <c r="W529" s="16">
        <v>5.0</v>
      </c>
      <c r="X529" s="16">
        <v>4.0</v>
      </c>
      <c r="Y529" s="16">
        <v>4.0</v>
      </c>
      <c r="Z529" s="16">
        <v>4.0</v>
      </c>
      <c r="AA529" s="16">
        <v>4.0</v>
      </c>
      <c r="AB529" s="16">
        <v>4.0</v>
      </c>
      <c r="AC529" s="16">
        <v>4.0</v>
      </c>
      <c r="AD529" s="38">
        <v>14.0</v>
      </c>
      <c r="AE529" s="38">
        <v>16.0</v>
      </c>
      <c r="AF529" s="38">
        <v>18.0</v>
      </c>
      <c r="AG529" s="38" t="s">
        <v>1140</v>
      </c>
      <c r="AI529" s="18" t="s">
        <v>76</v>
      </c>
    </row>
    <row r="530">
      <c r="A530" s="11"/>
      <c r="B530" s="12" t="s">
        <v>43</v>
      </c>
      <c r="C530" s="12" t="s">
        <v>65</v>
      </c>
      <c r="D530" s="12" t="s">
        <v>43</v>
      </c>
      <c r="E530" s="12" t="s">
        <v>203</v>
      </c>
      <c r="F530" s="13" t="s">
        <v>204</v>
      </c>
      <c r="G530" s="12" t="s">
        <v>68</v>
      </c>
      <c r="H530" s="12" t="s">
        <v>205</v>
      </c>
      <c r="I530" s="12" t="s">
        <v>206</v>
      </c>
      <c r="J530" s="17" t="s">
        <v>363</v>
      </c>
      <c r="K530" s="17" t="s">
        <v>363</v>
      </c>
      <c r="L530" s="17" t="s">
        <v>193</v>
      </c>
      <c r="M530" s="17">
        <v>34.0</v>
      </c>
      <c r="N530" s="76">
        <v>45979.0</v>
      </c>
      <c r="O530" s="17" t="s">
        <v>428</v>
      </c>
      <c r="P530" s="16">
        <v>4.0</v>
      </c>
      <c r="Q530" s="16">
        <v>4.0</v>
      </c>
      <c r="R530" s="16">
        <v>4.0</v>
      </c>
      <c r="S530" s="16">
        <v>4.0</v>
      </c>
      <c r="T530" s="16">
        <v>4.0</v>
      </c>
      <c r="U530" s="16">
        <v>4.0</v>
      </c>
      <c r="V530" s="16">
        <v>4.0</v>
      </c>
      <c r="W530" s="16">
        <v>4.0</v>
      </c>
      <c r="X530" s="16">
        <v>4.0</v>
      </c>
      <c r="Y530" s="16">
        <v>4.0</v>
      </c>
      <c r="Z530" s="16">
        <v>4.0</v>
      </c>
      <c r="AA530" s="16">
        <v>4.0</v>
      </c>
      <c r="AB530" s="16">
        <v>4.0</v>
      </c>
      <c r="AC530" s="16">
        <v>4.0</v>
      </c>
      <c r="AD530" s="38">
        <v>14.0</v>
      </c>
      <c r="AE530" s="38">
        <v>15.0</v>
      </c>
      <c r="AF530" s="38">
        <v>16.0</v>
      </c>
      <c r="AG530" s="38" t="s">
        <v>608</v>
      </c>
      <c r="AI530" s="18" t="s">
        <v>76</v>
      </c>
    </row>
    <row r="531">
      <c r="A531" s="11"/>
      <c r="B531" s="12" t="s">
        <v>43</v>
      </c>
      <c r="C531" s="12" t="s">
        <v>65</v>
      </c>
      <c r="D531" s="12" t="s">
        <v>43</v>
      </c>
      <c r="E531" s="12" t="s">
        <v>203</v>
      </c>
      <c r="F531" s="13" t="s">
        <v>204</v>
      </c>
      <c r="G531" s="12" t="s">
        <v>68</v>
      </c>
      <c r="H531" s="12" t="s">
        <v>205</v>
      </c>
      <c r="I531" s="12" t="s">
        <v>206</v>
      </c>
      <c r="J531" s="15" t="s">
        <v>374</v>
      </c>
      <c r="K531" s="15" t="s">
        <v>374</v>
      </c>
      <c r="L531" s="17" t="s">
        <v>193</v>
      </c>
      <c r="M531" s="17">
        <v>29.0</v>
      </c>
      <c r="N531" s="76">
        <v>45979.0</v>
      </c>
      <c r="O531" s="17" t="s">
        <v>428</v>
      </c>
      <c r="P531" s="16">
        <v>4.0</v>
      </c>
      <c r="Q531" s="16">
        <v>4.0</v>
      </c>
      <c r="R531" s="16">
        <v>4.0</v>
      </c>
      <c r="S531" s="16">
        <v>4.0</v>
      </c>
      <c r="T531" s="16">
        <v>3.0</v>
      </c>
      <c r="U531" s="16">
        <v>4.0</v>
      </c>
      <c r="V531" s="16">
        <v>4.0</v>
      </c>
      <c r="W531" s="16">
        <v>4.0</v>
      </c>
      <c r="X531" s="16">
        <v>4.0</v>
      </c>
      <c r="Y531" s="16">
        <v>4.0</v>
      </c>
      <c r="Z531" s="16">
        <v>3.0</v>
      </c>
      <c r="AA531" s="16">
        <v>4.0</v>
      </c>
      <c r="AB531" s="16">
        <v>3.0</v>
      </c>
      <c r="AC531" s="16">
        <v>4.0</v>
      </c>
      <c r="AD531" s="38">
        <v>14.0</v>
      </c>
      <c r="AE531" s="38">
        <v>16.0</v>
      </c>
      <c r="AF531" s="38">
        <v>14.0</v>
      </c>
      <c r="AG531" s="38" t="s">
        <v>1141</v>
      </c>
      <c r="AI531" s="18" t="s">
        <v>76</v>
      </c>
    </row>
    <row r="532">
      <c r="A532" s="11"/>
      <c r="B532" s="12" t="s">
        <v>43</v>
      </c>
      <c r="C532" s="12" t="s">
        <v>65</v>
      </c>
      <c r="D532" s="12" t="s">
        <v>43</v>
      </c>
      <c r="E532" s="12" t="s">
        <v>203</v>
      </c>
      <c r="F532" s="13" t="s">
        <v>204</v>
      </c>
      <c r="G532" s="12" t="s">
        <v>68</v>
      </c>
      <c r="H532" s="12" t="s">
        <v>205</v>
      </c>
      <c r="I532" s="12" t="s">
        <v>206</v>
      </c>
      <c r="J532" s="15" t="s">
        <v>1142</v>
      </c>
      <c r="K532" s="15" t="s">
        <v>1142</v>
      </c>
      <c r="L532" s="17" t="s">
        <v>193</v>
      </c>
      <c r="M532" s="17">
        <v>35.0</v>
      </c>
      <c r="N532" s="76">
        <v>45979.0</v>
      </c>
      <c r="O532" s="17" t="s">
        <v>428</v>
      </c>
      <c r="P532" s="16">
        <v>4.0</v>
      </c>
      <c r="Q532" s="16">
        <v>4.0</v>
      </c>
      <c r="R532" s="16">
        <v>5.0</v>
      </c>
      <c r="S532" s="16">
        <v>5.0</v>
      </c>
      <c r="T532" s="16">
        <v>4.0</v>
      </c>
      <c r="U532" s="16">
        <v>4.0</v>
      </c>
      <c r="V532" s="16">
        <v>4.0</v>
      </c>
      <c r="W532" s="16">
        <v>5.0</v>
      </c>
      <c r="X532" s="16">
        <v>4.0</v>
      </c>
      <c r="Y532" s="16">
        <v>4.0</v>
      </c>
      <c r="Z532" s="16">
        <v>4.0</v>
      </c>
      <c r="AA532" s="16">
        <v>4.0</v>
      </c>
      <c r="AB532" s="16">
        <v>4.0</v>
      </c>
      <c r="AC532" s="16">
        <v>4.0</v>
      </c>
      <c r="AD532" s="38">
        <v>14.0</v>
      </c>
      <c r="AE532" s="38">
        <v>16.0</v>
      </c>
      <c r="AF532" s="38">
        <v>16.0</v>
      </c>
      <c r="AG532" s="38" t="s">
        <v>1143</v>
      </c>
      <c r="AH532" s="17" t="s">
        <v>1139</v>
      </c>
      <c r="AI532" s="18" t="s">
        <v>76</v>
      </c>
    </row>
    <row r="533">
      <c r="A533" s="11"/>
      <c r="B533" s="12" t="s">
        <v>43</v>
      </c>
      <c r="C533" s="12" t="s">
        <v>65</v>
      </c>
      <c r="D533" s="12" t="s">
        <v>43</v>
      </c>
      <c r="E533" s="12" t="s">
        <v>203</v>
      </c>
      <c r="F533" s="13" t="s">
        <v>204</v>
      </c>
      <c r="G533" s="12" t="s">
        <v>68</v>
      </c>
      <c r="H533" s="12" t="s">
        <v>205</v>
      </c>
      <c r="I533" s="12" t="s">
        <v>206</v>
      </c>
      <c r="J533" s="15" t="s">
        <v>1144</v>
      </c>
      <c r="K533" s="15" t="s">
        <v>1144</v>
      </c>
      <c r="L533" s="17" t="s">
        <v>193</v>
      </c>
      <c r="M533" s="17">
        <v>26.0</v>
      </c>
      <c r="N533" s="76">
        <v>45979.0</v>
      </c>
      <c r="O533" s="17" t="s">
        <v>428</v>
      </c>
      <c r="P533" s="16">
        <v>4.0</v>
      </c>
      <c r="Q533" s="16">
        <v>4.0</v>
      </c>
      <c r="R533" s="16">
        <v>4.0</v>
      </c>
      <c r="S533" s="16">
        <v>4.0</v>
      </c>
      <c r="T533" s="16">
        <v>4.0</v>
      </c>
      <c r="U533" s="16">
        <v>4.0</v>
      </c>
      <c r="V533" s="16">
        <v>4.0</v>
      </c>
      <c r="W533" s="16">
        <v>4.0</v>
      </c>
      <c r="X533" s="16">
        <v>4.0</v>
      </c>
      <c r="Y533" s="16">
        <v>4.0</v>
      </c>
      <c r="Z533" s="16">
        <v>4.0</v>
      </c>
      <c r="AA533" s="16">
        <v>4.0</v>
      </c>
      <c r="AB533" s="16">
        <v>4.0</v>
      </c>
      <c r="AC533" s="16">
        <v>4.0</v>
      </c>
      <c r="AD533" s="38">
        <v>14.0</v>
      </c>
      <c r="AE533" s="38">
        <v>15.0</v>
      </c>
      <c r="AF533" s="38">
        <v>16.0</v>
      </c>
      <c r="AG533" s="38" t="s">
        <v>1145</v>
      </c>
      <c r="AH533" s="17" t="s">
        <v>1139</v>
      </c>
      <c r="AI533" s="18" t="s">
        <v>76</v>
      </c>
    </row>
    <row r="534">
      <c r="A534" s="11"/>
      <c r="B534" s="12" t="s">
        <v>43</v>
      </c>
      <c r="C534" s="12" t="s">
        <v>65</v>
      </c>
      <c r="D534" s="12" t="s">
        <v>43</v>
      </c>
      <c r="E534" s="12" t="s">
        <v>203</v>
      </c>
      <c r="F534" s="13" t="s">
        <v>204</v>
      </c>
      <c r="G534" s="12" t="s">
        <v>68</v>
      </c>
      <c r="H534" s="12" t="s">
        <v>205</v>
      </c>
      <c r="I534" s="12" t="s">
        <v>206</v>
      </c>
      <c r="J534" s="15" t="s">
        <v>1146</v>
      </c>
      <c r="K534" s="15" t="s">
        <v>1146</v>
      </c>
      <c r="L534" s="17" t="s">
        <v>193</v>
      </c>
      <c r="M534" s="17">
        <v>25.0</v>
      </c>
      <c r="N534" s="76">
        <v>45979.0</v>
      </c>
      <c r="O534" s="17" t="s">
        <v>428</v>
      </c>
      <c r="P534" s="16">
        <v>4.0</v>
      </c>
      <c r="Q534" s="16">
        <v>4.0</v>
      </c>
      <c r="R534" s="16">
        <v>5.0</v>
      </c>
      <c r="S534" s="16">
        <v>5.0</v>
      </c>
      <c r="T534" s="16">
        <v>5.0</v>
      </c>
      <c r="U534" s="16">
        <v>5.0</v>
      </c>
      <c r="V534" s="16">
        <v>5.0</v>
      </c>
      <c r="W534" s="16">
        <v>5.0</v>
      </c>
      <c r="X534" s="16">
        <v>4.0</v>
      </c>
      <c r="Y534" s="16">
        <v>4.0</v>
      </c>
      <c r="Z534" s="16">
        <v>5.0</v>
      </c>
      <c r="AA534" s="16">
        <v>4.0</v>
      </c>
      <c r="AB534" s="16">
        <v>5.0</v>
      </c>
      <c r="AC534" s="16">
        <v>4.0</v>
      </c>
      <c r="AD534" s="38">
        <v>14.0</v>
      </c>
      <c r="AE534" s="38">
        <v>15.0</v>
      </c>
      <c r="AF534" s="38">
        <v>20.0</v>
      </c>
      <c r="AG534" s="38" t="s">
        <v>1147</v>
      </c>
      <c r="AH534" s="17" t="s">
        <v>1139</v>
      </c>
      <c r="AI534" s="18" t="s">
        <v>76</v>
      </c>
    </row>
    <row r="535">
      <c r="A535" s="11"/>
      <c r="B535" s="12" t="s">
        <v>43</v>
      </c>
      <c r="C535" s="12" t="s">
        <v>65</v>
      </c>
      <c r="D535" s="12" t="s">
        <v>43</v>
      </c>
      <c r="E535" s="12" t="s">
        <v>203</v>
      </c>
      <c r="F535" s="13" t="s">
        <v>204</v>
      </c>
      <c r="G535" s="12" t="s">
        <v>68</v>
      </c>
      <c r="H535" s="12" t="s">
        <v>205</v>
      </c>
      <c r="I535" s="12" t="s">
        <v>206</v>
      </c>
      <c r="J535" s="15" t="s">
        <v>1148</v>
      </c>
      <c r="K535" s="15" t="s">
        <v>1148</v>
      </c>
      <c r="L535" s="17" t="s">
        <v>193</v>
      </c>
      <c r="M535" s="17">
        <v>20.0</v>
      </c>
      <c r="N535" s="76">
        <v>45979.0</v>
      </c>
      <c r="O535" s="17" t="s">
        <v>428</v>
      </c>
      <c r="P535" s="16">
        <v>4.0</v>
      </c>
      <c r="Q535" s="16">
        <v>4.0</v>
      </c>
      <c r="R535" s="16">
        <v>4.0</v>
      </c>
      <c r="S535" s="16">
        <v>4.0</v>
      </c>
      <c r="T535" s="16">
        <v>4.0</v>
      </c>
      <c r="U535" s="16">
        <v>4.0</v>
      </c>
      <c r="V535" s="16">
        <v>4.0</v>
      </c>
      <c r="W535" s="16">
        <v>4.0</v>
      </c>
      <c r="X535" s="16">
        <v>4.0</v>
      </c>
      <c r="Y535" s="16">
        <v>4.0</v>
      </c>
      <c r="Z535" s="16">
        <v>4.0</v>
      </c>
      <c r="AA535" s="16">
        <v>4.0</v>
      </c>
      <c r="AB535" s="16">
        <v>4.0</v>
      </c>
      <c r="AC535" s="16">
        <v>4.0</v>
      </c>
      <c r="AD535" s="38">
        <v>14.0</v>
      </c>
      <c r="AE535" s="38">
        <v>15.0</v>
      </c>
      <c r="AF535" s="38">
        <v>16.0</v>
      </c>
      <c r="AG535" s="38"/>
      <c r="AH535" s="17" t="s">
        <v>1139</v>
      </c>
      <c r="AI535" s="18" t="s">
        <v>76</v>
      </c>
    </row>
    <row r="536">
      <c r="A536" s="11"/>
      <c r="B536" s="12" t="s">
        <v>43</v>
      </c>
      <c r="C536" s="12" t="s">
        <v>65</v>
      </c>
      <c r="D536" s="12" t="s">
        <v>43</v>
      </c>
      <c r="E536" s="12" t="s">
        <v>203</v>
      </c>
      <c r="F536" s="13" t="s">
        <v>204</v>
      </c>
      <c r="G536" s="12" t="s">
        <v>68</v>
      </c>
      <c r="H536" s="12" t="s">
        <v>205</v>
      </c>
      <c r="I536" s="12" t="s">
        <v>206</v>
      </c>
      <c r="J536" s="15" t="s">
        <v>1149</v>
      </c>
      <c r="K536" s="15" t="s">
        <v>1149</v>
      </c>
      <c r="L536" s="17" t="s">
        <v>193</v>
      </c>
      <c r="M536" s="17">
        <v>43.0</v>
      </c>
      <c r="N536" s="76">
        <v>45979.0</v>
      </c>
      <c r="O536" s="17" t="s">
        <v>428</v>
      </c>
      <c r="P536" s="16">
        <v>3.0</v>
      </c>
      <c r="Q536" s="16">
        <v>3.0</v>
      </c>
      <c r="R536" s="16">
        <v>4.0</v>
      </c>
      <c r="S536" s="16">
        <v>4.0</v>
      </c>
      <c r="T536" s="16">
        <v>4.0</v>
      </c>
      <c r="U536" s="16">
        <v>4.0</v>
      </c>
      <c r="V536" s="16">
        <v>4.0</v>
      </c>
      <c r="W536" s="16">
        <v>4.0</v>
      </c>
      <c r="X536" s="16">
        <v>4.0</v>
      </c>
      <c r="Y536" s="16">
        <v>4.0</v>
      </c>
      <c r="Z536" s="16">
        <v>4.0</v>
      </c>
      <c r="AA536" s="16">
        <v>3.0</v>
      </c>
      <c r="AB536" s="16">
        <v>4.0</v>
      </c>
      <c r="AC536" s="16">
        <v>4.0</v>
      </c>
      <c r="AD536" s="38">
        <v>15.0</v>
      </c>
      <c r="AE536" s="38">
        <v>15.0</v>
      </c>
      <c r="AF536" s="38">
        <v>16.0</v>
      </c>
      <c r="AG536" s="38" t="s">
        <v>1150</v>
      </c>
      <c r="AH536" s="17" t="s">
        <v>1151</v>
      </c>
      <c r="AI536" s="18" t="s">
        <v>76</v>
      </c>
    </row>
    <row r="537">
      <c r="A537" s="11"/>
      <c r="B537" s="12" t="s">
        <v>43</v>
      </c>
      <c r="C537" s="12" t="s">
        <v>65</v>
      </c>
      <c r="D537" s="12" t="s">
        <v>43</v>
      </c>
      <c r="E537" s="12" t="s">
        <v>203</v>
      </c>
      <c r="F537" s="13" t="s">
        <v>204</v>
      </c>
      <c r="G537" s="12" t="s">
        <v>68</v>
      </c>
      <c r="H537" s="12" t="s">
        <v>205</v>
      </c>
      <c r="I537" s="12" t="s">
        <v>206</v>
      </c>
      <c r="J537" s="15" t="s">
        <v>376</v>
      </c>
      <c r="K537" s="15" t="s">
        <v>376</v>
      </c>
      <c r="L537" s="17" t="s">
        <v>193</v>
      </c>
      <c r="M537" s="17">
        <v>22.0</v>
      </c>
      <c r="N537" s="76">
        <v>45979.0</v>
      </c>
      <c r="O537" s="17" t="s">
        <v>428</v>
      </c>
      <c r="P537" s="16">
        <v>4.0</v>
      </c>
      <c r="Q537" s="16">
        <v>4.0</v>
      </c>
      <c r="R537" s="16">
        <v>3.0</v>
      </c>
      <c r="S537" s="16">
        <v>3.0</v>
      </c>
      <c r="T537" s="16">
        <v>4.0</v>
      </c>
      <c r="U537" s="16">
        <v>4.0</v>
      </c>
      <c r="V537" s="16">
        <v>4.0</v>
      </c>
      <c r="W537" s="16">
        <v>3.0</v>
      </c>
      <c r="X537" s="16">
        <v>3.0</v>
      </c>
      <c r="Y537" s="16">
        <v>3.0</v>
      </c>
      <c r="Z537" s="16">
        <v>4.0</v>
      </c>
      <c r="AA537" s="16">
        <v>4.0</v>
      </c>
      <c r="AB537" s="16">
        <v>4.0</v>
      </c>
      <c r="AC537" s="16">
        <v>3.0</v>
      </c>
      <c r="AD537" s="38">
        <v>14.0</v>
      </c>
      <c r="AE537" s="38">
        <v>13.0</v>
      </c>
      <c r="AF537" s="38">
        <v>16.0</v>
      </c>
      <c r="AG537" s="38" t="s">
        <v>1152</v>
      </c>
      <c r="AI537" s="18" t="s">
        <v>76</v>
      </c>
    </row>
    <row r="538">
      <c r="A538" s="11"/>
      <c r="B538" s="12" t="s">
        <v>43</v>
      </c>
      <c r="C538" s="12" t="s">
        <v>65</v>
      </c>
      <c r="D538" s="12" t="s">
        <v>43</v>
      </c>
      <c r="E538" s="12" t="s">
        <v>203</v>
      </c>
      <c r="F538" s="13" t="s">
        <v>204</v>
      </c>
      <c r="G538" s="12" t="s">
        <v>68</v>
      </c>
      <c r="H538" s="12" t="s">
        <v>205</v>
      </c>
      <c r="I538" s="12" t="s">
        <v>206</v>
      </c>
      <c r="J538" s="15" t="s">
        <v>1153</v>
      </c>
      <c r="K538" s="15" t="s">
        <v>1153</v>
      </c>
      <c r="L538" s="17" t="s">
        <v>193</v>
      </c>
      <c r="M538" s="17">
        <v>23.0</v>
      </c>
      <c r="N538" s="76">
        <v>45979.0</v>
      </c>
      <c r="O538" s="17" t="s">
        <v>428</v>
      </c>
      <c r="P538" s="16">
        <v>4.0</v>
      </c>
      <c r="Q538" s="16">
        <v>4.0</v>
      </c>
      <c r="R538" s="16">
        <v>3.0</v>
      </c>
      <c r="S538" s="16">
        <v>3.0</v>
      </c>
      <c r="T538" s="16">
        <v>4.0</v>
      </c>
      <c r="U538" s="16">
        <v>4.0</v>
      </c>
      <c r="V538" s="16">
        <v>4.0</v>
      </c>
      <c r="W538" s="16">
        <v>3.0</v>
      </c>
      <c r="X538" s="16">
        <v>4.0</v>
      </c>
      <c r="Y538" s="16">
        <v>4.0</v>
      </c>
      <c r="Z538" s="16">
        <v>4.0</v>
      </c>
      <c r="AA538" s="16">
        <v>4.0</v>
      </c>
      <c r="AB538" s="16">
        <v>4.0</v>
      </c>
      <c r="AC538" s="16">
        <v>4.0</v>
      </c>
      <c r="AD538" s="78">
        <v>14.0</v>
      </c>
      <c r="AE538" s="78">
        <v>14.0</v>
      </c>
      <c r="AF538" s="78">
        <v>16.0</v>
      </c>
      <c r="AG538" s="78" t="s">
        <v>1154</v>
      </c>
      <c r="AH538" s="17" t="s">
        <v>1139</v>
      </c>
      <c r="AI538" s="18" t="s">
        <v>76</v>
      </c>
    </row>
    <row r="539">
      <c r="A539" s="11"/>
      <c r="B539" s="12" t="s">
        <v>43</v>
      </c>
      <c r="C539" s="12" t="s">
        <v>65</v>
      </c>
      <c r="D539" s="12" t="s">
        <v>43</v>
      </c>
      <c r="E539" s="12" t="s">
        <v>66</v>
      </c>
      <c r="F539" s="13" t="s">
        <v>67</v>
      </c>
      <c r="G539" s="12" t="s">
        <v>68</v>
      </c>
      <c r="H539" s="12" t="s">
        <v>69</v>
      </c>
      <c r="I539" s="12" t="s">
        <v>70</v>
      </c>
      <c r="J539" s="15" t="s">
        <v>378</v>
      </c>
      <c r="K539" s="15" t="s">
        <v>378</v>
      </c>
      <c r="L539" s="17" t="s">
        <v>193</v>
      </c>
      <c r="M539" s="17">
        <v>41.0</v>
      </c>
      <c r="N539" s="76">
        <v>45973.0</v>
      </c>
      <c r="O539" s="17" t="s">
        <v>428</v>
      </c>
      <c r="P539" s="16">
        <v>4.0</v>
      </c>
      <c r="Q539" s="16">
        <v>4.0</v>
      </c>
      <c r="R539" s="16">
        <v>4.0</v>
      </c>
      <c r="S539" s="16">
        <v>4.0</v>
      </c>
      <c r="T539" s="16">
        <v>4.0</v>
      </c>
      <c r="U539" s="16">
        <v>4.0</v>
      </c>
      <c r="V539" s="16">
        <v>4.0</v>
      </c>
      <c r="W539" s="16">
        <v>4.0</v>
      </c>
      <c r="X539" s="16">
        <v>4.0</v>
      </c>
      <c r="Y539" s="16">
        <v>4.0</v>
      </c>
      <c r="Z539" s="16">
        <v>4.0</v>
      </c>
      <c r="AA539" s="16">
        <v>4.0</v>
      </c>
      <c r="AB539" s="16">
        <v>4.0</v>
      </c>
      <c r="AC539" s="16">
        <v>4.0</v>
      </c>
      <c r="AD539" s="38">
        <v>14.0</v>
      </c>
      <c r="AE539" s="38">
        <v>15.0</v>
      </c>
      <c r="AF539" s="38">
        <v>16.0</v>
      </c>
      <c r="AG539" s="38" t="s">
        <v>1155</v>
      </c>
      <c r="AI539" s="18" t="s">
        <v>76</v>
      </c>
    </row>
    <row r="540">
      <c r="A540" s="11"/>
      <c r="B540" s="12" t="s">
        <v>43</v>
      </c>
      <c r="C540" s="12" t="s">
        <v>65</v>
      </c>
      <c r="D540" s="12" t="s">
        <v>43</v>
      </c>
      <c r="E540" s="12" t="s">
        <v>66</v>
      </c>
      <c r="F540" s="13" t="s">
        <v>67</v>
      </c>
      <c r="G540" s="12" t="s">
        <v>68</v>
      </c>
      <c r="H540" s="12" t="s">
        <v>69</v>
      </c>
      <c r="I540" s="12" t="s">
        <v>70</v>
      </c>
      <c r="J540" s="15" t="s">
        <v>380</v>
      </c>
      <c r="K540" s="15" t="s">
        <v>380</v>
      </c>
      <c r="L540" s="17" t="s">
        <v>193</v>
      </c>
      <c r="M540" s="17">
        <v>34.0</v>
      </c>
      <c r="N540" s="76">
        <v>45973.0</v>
      </c>
      <c r="O540" s="17" t="s">
        <v>428</v>
      </c>
      <c r="P540" s="42"/>
      <c r="Q540" s="42"/>
      <c r="R540" s="42"/>
      <c r="S540" s="42"/>
      <c r="T540" s="42"/>
      <c r="U540" s="42"/>
      <c r="V540" s="42"/>
      <c r="W540" s="42"/>
      <c r="X540" s="42"/>
      <c r="Y540" s="42"/>
      <c r="Z540" s="42"/>
      <c r="AA540" s="42"/>
      <c r="AB540" s="42"/>
      <c r="AC540" s="42"/>
      <c r="AD540" s="37">
        <v>18.0</v>
      </c>
      <c r="AE540" s="37">
        <v>11.0</v>
      </c>
      <c r="AF540" s="37">
        <v>0.0</v>
      </c>
      <c r="AG540" s="37"/>
      <c r="AI540" s="18" t="s">
        <v>76</v>
      </c>
    </row>
    <row r="541">
      <c r="A541" s="11"/>
      <c r="B541" s="12" t="s">
        <v>43</v>
      </c>
      <c r="C541" s="12" t="s">
        <v>65</v>
      </c>
      <c r="D541" s="12" t="s">
        <v>43</v>
      </c>
      <c r="E541" s="12" t="s">
        <v>66</v>
      </c>
      <c r="F541" s="13" t="s">
        <v>67</v>
      </c>
      <c r="G541" s="12" t="s">
        <v>68</v>
      </c>
      <c r="H541" s="12" t="s">
        <v>69</v>
      </c>
      <c r="I541" s="12" t="s">
        <v>70</v>
      </c>
      <c r="J541" s="15" t="s">
        <v>407</v>
      </c>
      <c r="K541" s="15" t="s">
        <v>407</v>
      </c>
      <c r="L541" s="17" t="s">
        <v>193</v>
      </c>
      <c r="M541" s="17">
        <v>42.0</v>
      </c>
      <c r="N541" s="76">
        <v>45973.0</v>
      </c>
      <c r="O541" s="17" t="s">
        <v>428</v>
      </c>
      <c r="P541" s="16">
        <v>5.0</v>
      </c>
      <c r="Q541" s="16">
        <v>5.0</v>
      </c>
      <c r="R541" s="16">
        <v>5.0</v>
      </c>
      <c r="S541" s="16">
        <v>5.0</v>
      </c>
      <c r="T541" s="16">
        <v>5.0</v>
      </c>
      <c r="U541" s="16">
        <v>4.0</v>
      </c>
      <c r="V541" s="16">
        <v>4.0</v>
      </c>
      <c r="W541" s="16">
        <v>5.0</v>
      </c>
      <c r="X541" s="16">
        <v>5.0</v>
      </c>
      <c r="Y541" s="16">
        <v>5.0</v>
      </c>
      <c r="Z541" s="16">
        <v>5.0</v>
      </c>
      <c r="AA541" s="16">
        <v>5.0</v>
      </c>
      <c r="AB541" s="16">
        <v>5.0</v>
      </c>
      <c r="AC541" s="16">
        <v>5.0</v>
      </c>
      <c r="AD541" s="38">
        <v>13.0</v>
      </c>
      <c r="AE541" s="38">
        <v>16.0</v>
      </c>
      <c r="AF541" s="38">
        <v>18.0</v>
      </c>
      <c r="AG541" s="38" t="s">
        <v>1156</v>
      </c>
      <c r="AI541" s="18" t="s">
        <v>76</v>
      </c>
    </row>
    <row r="542">
      <c r="A542" s="11"/>
      <c r="B542" s="12" t="s">
        <v>43</v>
      </c>
      <c r="C542" s="12" t="s">
        <v>65</v>
      </c>
      <c r="D542" s="12" t="s">
        <v>43</v>
      </c>
      <c r="E542" s="12" t="s">
        <v>66</v>
      </c>
      <c r="F542" s="13" t="s">
        <v>67</v>
      </c>
      <c r="G542" s="12" t="s">
        <v>68</v>
      </c>
      <c r="H542" s="12" t="s">
        <v>69</v>
      </c>
      <c r="I542" s="12" t="s">
        <v>70</v>
      </c>
      <c r="J542" s="15" t="s">
        <v>382</v>
      </c>
      <c r="K542" s="15" t="s">
        <v>382</v>
      </c>
      <c r="L542" s="17" t="s">
        <v>193</v>
      </c>
      <c r="M542" s="17">
        <v>33.0</v>
      </c>
      <c r="N542" s="76">
        <v>45973.0</v>
      </c>
      <c r="O542" s="17" t="s">
        <v>428</v>
      </c>
      <c r="P542" s="16">
        <v>3.0</v>
      </c>
      <c r="Q542" s="16">
        <v>3.0</v>
      </c>
      <c r="R542" s="16">
        <v>2.0</v>
      </c>
      <c r="S542" s="16">
        <v>2.0</v>
      </c>
      <c r="T542" s="16">
        <v>4.0</v>
      </c>
      <c r="U542" s="16">
        <v>4.0</v>
      </c>
      <c r="V542" s="16">
        <v>4.0</v>
      </c>
      <c r="W542" s="16">
        <v>2.0</v>
      </c>
      <c r="X542" s="16">
        <v>4.0</v>
      </c>
      <c r="Y542" s="16">
        <v>4.0</v>
      </c>
      <c r="Z542" s="16">
        <v>4.0</v>
      </c>
      <c r="AA542" s="16">
        <v>3.0</v>
      </c>
      <c r="AB542" s="16">
        <v>4.0</v>
      </c>
      <c r="AC542" s="16">
        <v>4.0</v>
      </c>
      <c r="AD542" s="38">
        <v>15.0</v>
      </c>
      <c r="AE542" s="38">
        <v>13.0</v>
      </c>
      <c r="AF542" s="38">
        <v>16.0</v>
      </c>
      <c r="AG542" s="38" t="s">
        <v>1157</v>
      </c>
      <c r="AI542" s="18" t="s">
        <v>76</v>
      </c>
    </row>
    <row r="543">
      <c r="A543" s="11"/>
      <c r="B543" s="12" t="s">
        <v>43</v>
      </c>
      <c r="C543" s="12" t="s">
        <v>65</v>
      </c>
      <c r="D543" s="12" t="s">
        <v>43</v>
      </c>
      <c r="E543" s="12" t="s">
        <v>66</v>
      </c>
      <c r="F543" s="13" t="s">
        <v>67</v>
      </c>
      <c r="G543" s="12" t="s">
        <v>68</v>
      </c>
      <c r="H543" s="12" t="s">
        <v>69</v>
      </c>
      <c r="I543" s="12" t="s">
        <v>70</v>
      </c>
      <c r="J543" s="15" t="s">
        <v>384</v>
      </c>
      <c r="K543" s="15" t="s">
        <v>384</v>
      </c>
      <c r="L543" s="17" t="s">
        <v>193</v>
      </c>
      <c r="M543" s="17">
        <v>32.0</v>
      </c>
      <c r="N543" s="76">
        <v>45973.0</v>
      </c>
      <c r="O543" s="17" t="s">
        <v>428</v>
      </c>
      <c r="P543" s="16">
        <v>3.0</v>
      </c>
      <c r="Q543" s="16">
        <v>3.0</v>
      </c>
      <c r="R543" s="16">
        <v>3.0</v>
      </c>
      <c r="S543" s="16">
        <v>3.0</v>
      </c>
      <c r="T543" s="16">
        <v>4.0</v>
      </c>
      <c r="U543" s="16">
        <v>3.0</v>
      </c>
      <c r="V543" s="16">
        <v>3.0</v>
      </c>
      <c r="W543" s="16">
        <v>3.0</v>
      </c>
      <c r="X543" s="16">
        <v>3.0</v>
      </c>
      <c r="Y543" s="16">
        <v>3.0</v>
      </c>
      <c r="Z543" s="16">
        <v>4.0</v>
      </c>
      <c r="AA543" s="16">
        <v>3.0</v>
      </c>
      <c r="AB543" s="16">
        <v>4.0</v>
      </c>
      <c r="AC543" s="16">
        <v>3.0</v>
      </c>
      <c r="AD543" s="38">
        <v>15.0</v>
      </c>
      <c r="AE543" s="38">
        <v>13.0</v>
      </c>
      <c r="AF543" s="38">
        <v>14.0</v>
      </c>
      <c r="AG543" s="38" t="s">
        <v>1158</v>
      </c>
      <c r="AI543" s="18" t="s">
        <v>76</v>
      </c>
    </row>
    <row r="544">
      <c r="A544" s="11"/>
      <c r="B544" s="12" t="s">
        <v>43</v>
      </c>
      <c r="C544" s="12" t="s">
        <v>65</v>
      </c>
      <c r="D544" s="12" t="s">
        <v>43</v>
      </c>
      <c r="E544" s="12" t="s">
        <v>66</v>
      </c>
      <c r="F544" s="13" t="s">
        <v>67</v>
      </c>
      <c r="G544" s="12" t="s">
        <v>68</v>
      </c>
      <c r="H544" s="12" t="s">
        <v>69</v>
      </c>
      <c r="I544" s="12" t="s">
        <v>70</v>
      </c>
      <c r="J544" s="15" t="s">
        <v>386</v>
      </c>
      <c r="K544" s="15" t="s">
        <v>386</v>
      </c>
      <c r="L544" s="17" t="s">
        <v>193</v>
      </c>
      <c r="M544" s="17">
        <v>29.0</v>
      </c>
      <c r="N544" s="76">
        <v>45973.0</v>
      </c>
      <c r="O544" s="17" t="s">
        <v>428</v>
      </c>
      <c r="P544" s="16">
        <v>4.0</v>
      </c>
      <c r="Q544" s="16">
        <v>4.0</v>
      </c>
      <c r="R544" s="16">
        <v>3.0</v>
      </c>
      <c r="S544" s="16">
        <v>3.0</v>
      </c>
      <c r="T544" s="16">
        <v>5.0</v>
      </c>
      <c r="U544" s="16">
        <v>4.0</v>
      </c>
      <c r="V544" s="16">
        <v>4.0</v>
      </c>
      <c r="W544" s="16">
        <v>3.0</v>
      </c>
      <c r="X544" s="16">
        <v>4.0</v>
      </c>
      <c r="Y544" s="16">
        <v>4.0</v>
      </c>
      <c r="Z544" s="16">
        <v>5.0</v>
      </c>
      <c r="AA544" s="16">
        <v>4.0</v>
      </c>
      <c r="AB544" s="16">
        <v>5.0</v>
      </c>
      <c r="AC544" s="16">
        <v>4.0</v>
      </c>
      <c r="AD544" s="38">
        <v>14.0</v>
      </c>
      <c r="AE544" s="38">
        <v>13.0</v>
      </c>
      <c r="AF544" s="38">
        <v>18.0</v>
      </c>
      <c r="AG544" s="38" t="s">
        <v>1159</v>
      </c>
      <c r="AI544" s="18" t="s">
        <v>76</v>
      </c>
    </row>
    <row r="545">
      <c r="A545" s="11"/>
      <c r="B545" s="12" t="s">
        <v>43</v>
      </c>
      <c r="C545" s="12" t="s">
        <v>65</v>
      </c>
      <c r="D545" s="12" t="s">
        <v>43</v>
      </c>
      <c r="E545" s="12" t="s">
        <v>66</v>
      </c>
      <c r="F545" s="13" t="s">
        <v>67</v>
      </c>
      <c r="G545" s="12" t="s">
        <v>68</v>
      </c>
      <c r="H545" s="12" t="s">
        <v>69</v>
      </c>
      <c r="I545" s="12" t="s">
        <v>70</v>
      </c>
      <c r="J545" s="15" t="s">
        <v>388</v>
      </c>
      <c r="K545" s="15" t="s">
        <v>388</v>
      </c>
      <c r="L545" s="17" t="s">
        <v>193</v>
      </c>
      <c r="M545" s="17">
        <v>27.0</v>
      </c>
      <c r="N545" s="76">
        <v>45973.0</v>
      </c>
      <c r="O545" s="17" t="s">
        <v>428</v>
      </c>
      <c r="P545" s="42"/>
      <c r="Q545" s="42"/>
      <c r="R545" s="42"/>
      <c r="S545" s="42"/>
      <c r="T545" s="42"/>
      <c r="U545" s="42"/>
      <c r="V545" s="42"/>
      <c r="W545" s="42"/>
      <c r="X545" s="42"/>
      <c r="Y545" s="42"/>
      <c r="Z545" s="42"/>
      <c r="AA545" s="42"/>
      <c r="AB545" s="42"/>
      <c r="AC545" s="42"/>
      <c r="AD545" s="37">
        <v>18.0</v>
      </c>
      <c r="AE545" s="37">
        <v>11.0</v>
      </c>
      <c r="AF545" s="37">
        <v>0.0</v>
      </c>
      <c r="AG545" s="37"/>
      <c r="AI545" s="18" t="s">
        <v>76</v>
      </c>
    </row>
    <row r="546">
      <c r="A546" s="11"/>
      <c r="B546" s="12" t="s">
        <v>43</v>
      </c>
      <c r="C546" s="12" t="s">
        <v>65</v>
      </c>
      <c r="D546" s="12" t="s">
        <v>43</v>
      </c>
      <c r="E546" s="12" t="s">
        <v>66</v>
      </c>
      <c r="F546" s="13" t="s">
        <v>67</v>
      </c>
      <c r="G546" s="12" t="s">
        <v>68</v>
      </c>
      <c r="H546" s="12" t="s">
        <v>69</v>
      </c>
      <c r="I546" s="12" t="s">
        <v>70</v>
      </c>
      <c r="J546" s="15" t="s">
        <v>390</v>
      </c>
      <c r="K546" s="15" t="s">
        <v>390</v>
      </c>
      <c r="L546" s="17" t="s">
        <v>193</v>
      </c>
      <c r="M546" s="17">
        <v>30.0</v>
      </c>
      <c r="N546" s="76">
        <v>45973.0</v>
      </c>
      <c r="O546" s="17" t="s">
        <v>428</v>
      </c>
      <c r="P546" s="16">
        <v>4.0</v>
      </c>
      <c r="Q546" s="16">
        <v>4.0</v>
      </c>
      <c r="R546" s="16">
        <v>3.0</v>
      </c>
      <c r="S546" s="16">
        <v>3.0</v>
      </c>
      <c r="T546" s="16">
        <v>4.0</v>
      </c>
      <c r="U546" s="16">
        <v>4.0</v>
      </c>
      <c r="V546" s="16">
        <v>4.0</v>
      </c>
      <c r="W546" s="16">
        <v>3.0</v>
      </c>
      <c r="X546" s="16">
        <v>4.0</v>
      </c>
      <c r="Y546" s="16">
        <v>4.0</v>
      </c>
      <c r="Z546" s="16">
        <v>4.0</v>
      </c>
      <c r="AA546" s="16">
        <v>4.0</v>
      </c>
      <c r="AB546" s="16">
        <v>4.0</v>
      </c>
      <c r="AC546" s="16">
        <v>4.0</v>
      </c>
      <c r="AD546" s="38">
        <v>14.0</v>
      </c>
      <c r="AE546" s="38">
        <v>14.0</v>
      </c>
      <c r="AF546" s="38">
        <v>16.0</v>
      </c>
      <c r="AG546" s="38" t="s">
        <v>1160</v>
      </c>
      <c r="AI546" s="18" t="s">
        <v>76</v>
      </c>
    </row>
    <row r="547">
      <c r="A547" s="11"/>
      <c r="B547" s="12" t="s">
        <v>43</v>
      </c>
      <c r="C547" s="12" t="s">
        <v>65</v>
      </c>
      <c r="D547" s="12" t="s">
        <v>43</v>
      </c>
      <c r="E547" s="12" t="s">
        <v>66</v>
      </c>
      <c r="F547" s="13" t="s">
        <v>67</v>
      </c>
      <c r="G547" s="12" t="s">
        <v>68</v>
      </c>
      <c r="H547" s="12" t="s">
        <v>69</v>
      </c>
      <c r="I547" s="12" t="s">
        <v>70</v>
      </c>
      <c r="J547" s="73" t="s">
        <v>1161</v>
      </c>
      <c r="K547" s="73" t="s">
        <v>1161</v>
      </c>
      <c r="L547" s="17" t="s">
        <v>222</v>
      </c>
      <c r="M547" s="17">
        <v>30.0</v>
      </c>
      <c r="N547" s="76">
        <v>45973.0</v>
      </c>
      <c r="O547" s="17" t="s">
        <v>428</v>
      </c>
      <c r="P547" s="16">
        <v>4.0</v>
      </c>
      <c r="Q547" s="16">
        <v>4.0</v>
      </c>
      <c r="R547" s="16">
        <v>5.0</v>
      </c>
      <c r="S547" s="16">
        <v>5.0</v>
      </c>
      <c r="T547" s="16">
        <v>4.0</v>
      </c>
      <c r="U547" s="16">
        <v>4.0</v>
      </c>
      <c r="V547" s="16">
        <v>4.0</v>
      </c>
      <c r="W547" s="16">
        <v>5.0</v>
      </c>
      <c r="X547" s="16">
        <v>4.0</v>
      </c>
      <c r="Y547" s="16">
        <v>4.0</v>
      </c>
      <c r="Z547" s="16">
        <v>4.0</v>
      </c>
      <c r="AA547" s="16">
        <v>4.0</v>
      </c>
      <c r="AB547" s="16">
        <v>4.0</v>
      </c>
      <c r="AC547" s="16">
        <v>4.0</v>
      </c>
      <c r="AD547" s="38">
        <v>14.0</v>
      </c>
      <c r="AE547" s="38">
        <v>16.0</v>
      </c>
      <c r="AF547" s="38">
        <v>16.0</v>
      </c>
      <c r="AG547" s="38" t="s">
        <v>1162</v>
      </c>
      <c r="AI547" s="18" t="s">
        <v>76</v>
      </c>
    </row>
    <row r="548">
      <c r="A548" s="11"/>
      <c r="B548" s="12" t="s">
        <v>43</v>
      </c>
      <c r="C548" s="12" t="s">
        <v>65</v>
      </c>
      <c r="D548" s="12" t="s">
        <v>43</v>
      </c>
      <c r="E548" s="12" t="s">
        <v>66</v>
      </c>
      <c r="F548" s="13" t="s">
        <v>67</v>
      </c>
      <c r="G548" s="12" t="s">
        <v>68</v>
      </c>
      <c r="H548" s="12" t="s">
        <v>69</v>
      </c>
      <c r="I548" s="12" t="s">
        <v>70</v>
      </c>
      <c r="J548" s="15" t="s">
        <v>393</v>
      </c>
      <c r="K548" s="15" t="s">
        <v>393</v>
      </c>
      <c r="L548" s="17" t="s">
        <v>193</v>
      </c>
      <c r="M548" s="17">
        <v>33.0</v>
      </c>
      <c r="N548" s="76">
        <v>45973.0</v>
      </c>
      <c r="O548" s="17" t="s">
        <v>428</v>
      </c>
      <c r="P548" s="16">
        <v>4.0</v>
      </c>
      <c r="Q548" s="16">
        <v>4.0</v>
      </c>
      <c r="R548" s="16">
        <v>4.0</v>
      </c>
      <c r="S548" s="16">
        <v>4.0</v>
      </c>
      <c r="T548" s="16">
        <v>4.0</v>
      </c>
      <c r="U548" s="16">
        <v>4.0</v>
      </c>
      <c r="V548" s="16">
        <v>4.0</v>
      </c>
      <c r="W548" s="16">
        <v>4.0</v>
      </c>
      <c r="X548" s="16">
        <v>4.0</v>
      </c>
      <c r="Y548" s="16">
        <v>4.0</v>
      </c>
      <c r="Z548" s="16">
        <v>4.0</v>
      </c>
      <c r="AA548" s="16">
        <v>4.0</v>
      </c>
      <c r="AB548" s="16">
        <v>4.0</v>
      </c>
      <c r="AC548" s="16">
        <v>4.0</v>
      </c>
      <c r="AD548" s="38">
        <v>14.0</v>
      </c>
      <c r="AE548" s="38">
        <v>15.0</v>
      </c>
      <c r="AF548" s="38">
        <v>16.0</v>
      </c>
      <c r="AG548" s="38" t="s">
        <v>1163</v>
      </c>
      <c r="AI548" s="18" t="s">
        <v>76</v>
      </c>
    </row>
    <row r="549">
      <c r="A549" s="11"/>
      <c r="B549" s="12" t="s">
        <v>43</v>
      </c>
      <c r="C549" s="12" t="s">
        <v>65</v>
      </c>
      <c r="D549" s="12" t="s">
        <v>43</v>
      </c>
      <c r="E549" s="12" t="s">
        <v>66</v>
      </c>
      <c r="F549" s="13" t="s">
        <v>67</v>
      </c>
      <c r="G549" s="12" t="s">
        <v>68</v>
      </c>
      <c r="H549" s="12" t="s">
        <v>69</v>
      </c>
      <c r="I549" s="12" t="s">
        <v>70</v>
      </c>
      <c r="J549" s="15" t="s">
        <v>395</v>
      </c>
      <c r="K549" s="15" t="s">
        <v>395</v>
      </c>
      <c r="L549" s="17" t="s">
        <v>193</v>
      </c>
      <c r="M549" s="17">
        <v>31.0</v>
      </c>
      <c r="N549" s="76">
        <v>45973.0</v>
      </c>
      <c r="O549" s="17" t="s">
        <v>428</v>
      </c>
      <c r="P549" s="16">
        <v>3.0</v>
      </c>
      <c r="Q549" s="16">
        <v>3.0</v>
      </c>
      <c r="R549" s="16">
        <v>4.0</v>
      </c>
      <c r="S549" s="16">
        <v>4.0</v>
      </c>
      <c r="T549" s="16">
        <v>4.0</v>
      </c>
      <c r="U549" s="16">
        <v>4.0</v>
      </c>
      <c r="V549" s="16">
        <v>4.0</v>
      </c>
      <c r="W549" s="16">
        <v>4.0</v>
      </c>
      <c r="X549" s="16">
        <v>4.0</v>
      </c>
      <c r="Y549" s="16">
        <v>4.0</v>
      </c>
      <c r="Z549" s="16">
        <v>4.0</v>
      </c>
      <c r="AA549" s="16">
        <v>3.0</v>
      </c>
      <c r="AB549" s="16">
        <v>4.0</v>
      </c>
      <c r="AC549" s="16">
        <v>4.0</v>
      </c>
      <c r="AD549" s="38">
        <v>15.0</v>
      </c>
      <c r="AE549" s="38">
        <v>15.0</v>
      </c>
      <c r="AF549" s="38">
        <v>16.0</v>
      </c>
      <c r="AG549" s="38" t="s">
        <v>1164</v>
      </c>
      <c r="AI549" s="18" t="s">
        <v>76</v>
      </c>
    </row>
    <row r="550">
      <c r="A550" s="11"/>
      <c r="B550" s="12" t="s">
        <v>43</v>
      </c>
      <c r="C550" s="12" t="s">
        <v>65</v>
      </c>
      <c r="D550" s="12" t="s">
        <v>43</v>
      </c>
      <c r="E550" s="12" t="s">
        <v>66</v>
      </c>
      <c r="F550" s="13" t="s">
        <v>67</v>
      </c>
      <c r="G550" s="12" t="s">
        <v>68</v>
      </c>
      <c r="H550" s="12" t="s">
        <v>69</v>
      </c>
      <c r="I550" s="12" t="s">
        <v>70</v>
      </c>
      <c r="J550" s="15" t="s">
        <v>1165</v>
      </c>
      <c r="K550" s="15" t="s">
        <v>1165</v>
      </c>
      <c r="L550" s="17" t="s">
        <v>193</v>
      </c>
      <c r="M550" s="17">
        <v>29.0</v>
      </c>
      <c r="N550" s="76">
        <v>45973.0</v>
      </c>
      <c r="O550" s="17" t="s">
        <v>428</v>
      </c>
      <c r="P550" s="16">
        <v>4.0</v>
      </c>
      <c r="Q550" s="16">
        <v>4.0</v>
      </c>
      <c r="R550" s="16">
        <v>5.0</v>
      </c>
      <c r="S550" s="16">
        <v>5.0</v>
      </c>
      <c r="T550" s="16">
        <v>5.0</v>
      </c>
      <c r="U550" s="16">
        <v>4.0</v>
      </c>
      <c r="V550" s="16">
        <v>4.0</v>
      </c>
      <c r="W550" s="16">
        <v>5.0</v>
      </c>
      <c r="X550" s="16">
        <v>5.0</v>
      </c>
      <c r="Y550" s="16">
        <v>5.0</v>
      </c>
      <c r="Z550" s="16">
        <v>5.0</v>
      </c>
      <c r="AA550" s="16">
        <v>4.0</v>
      </c>
      <c r="AB550" s="16">
        <v>5.0</v>
      </c>
      <c r="AC550" s="16">
        <v>5.0</v>
      </c>
      <c r="AD550" s="38">
        <v>14.0</v>
      </c>
      <c r="AE550" s="38">
        <v>16.0</v>
      </c>
      <c r="AF550" s="38">
        <v>18.0</v>
      </c>
      <c r="AG550" s="38" t="s">
        <v>1166</v>
      </c>
      <c r="AI550" s="18" t="s">
        <v>76</v>
      </c>
    </row>
    <row r="551">
      <c r="A551" s="11"/>
      <c r="B551" s="12" t="s">
        <v>43</v>
      </c>
      <c r="C551" s="12" t="s">
        <v>65</v>
      </c>
      <c r="D551" s="12" t="s">
        <v>43</v>
      </c>
      <c r="E551" s="12" t="s">
        <v>66</v>
      </c>
      <c r="F551" s="13" t="s">
        <v>67</v>
      </c>
      <c r="G551" s="12" t="s">
        <v>68</v>
      </c>
      <c r="H551" s="12" t="s">
        <v>69</v>
      </c>
      <c r="I551" s="12" t="s">
        <v>70</v>
      </c>
      <c r="J551" s="15" t="s">
        <v>1167</v>
      </c>
      <c r="K551" s="15" t="s">
        <v>1167</v>
      </c>
      <c r="L551" s="17" t="s">
        <v>250</v>
      </c>
      <c r="M551" s="17">
        <v>52.0</v>
      </c>
      <c r="N551" s="76">
        <v>45973.0</v>
      </c>
      <c r="O551" s="17" t="s">
        <v>428</v>
      </c>
      <c r="P551" s="16">
        <v>4.0</v>
      </c>
      <c r="Q551" s="16">
        <v>4.0</v>
      </c>
      <c r="R551" s="16">
        <v>4.0</v>
      </c>
      <c r="S551" s="16">
        <v>4.0</v>
      </c>
      <c r="T551" s="16">
        <v>4.0</v>
      </c>
      <c r="U551" s="16">
        <v>4.0</v>
      </c>
      <c r="V551" s="16">
        <v>4.0</v>
      </c>
      <c r="W551" s="16">
        <v>4.0</v>
      </c>
      <c r="X551" s="16">
        <v>4.0</v>
      </c>
      <c r="Y551" s="16">
        <v>4.0</v>
      </c>
      <c r="Z551" s="16">
        <v>4.0</v>
      </c>
      <c r="AA551" s="16">
        <v>4.0</v>
      </c>
      <c r="AB551" s="16">
        <v>4.0</v>
      </c>
      <c r="AC551" s="16">
        <v>4.0</v>
      </c>
      <c r="AD551" s="38">
        <v>14.0</v>
      </c>
      <c r="AE551" s="38">
        <v>15.0</v>
      </c>
      <c r="AF551" s="38">
        <v>16.0</v>
      </c>
      <c r="AG551" s="38" t="s">
        <v>1168</v>
      </c>
      <c r="AI551" s="18" t="s">
        <v>76</v>
      </c>
    </row>
    <row r="552">
      <c r="A552" s="11"/>
      <c r="B552" s="12" t="s">
        <v>43</v>
      </c>
      <c r="C552" s="12" t="s">
        <v>65</v>
      </c>
      <c r="D552" s="12" t="s">
        <v>43</v>
      </c>
      <c r="E552" s="12" t="s">
        <v>66</v>
      </c>
      <c r="F552" s="13" t="s">
        <v>67</v>
      </c>
      <c r="G552" s="12" t="s">
        <v>68</v>
      </c>
      <c r="H552" s="12" t="s">
        <v>69</v>
      </c>
      <c r="I552" s="12" t="s">
        <v>70</v>
      </c>
      <c r="J552" s="15" t="s">
        <v>1169</v>
      </c>
      <c r="K552" s="15" t="s">
        <v>1169</v>
      </c>
      <c r="L552" s="17" t="s">
        <v>193</v>
      </c>
      <c r="M552" s="17">
        <v>35.0</v>
      </c>
      <c r="N552" s="76">
        <v>45973.0</v>
      </c>
      <c r="O552" s="17" t="s">
        <v>428</v>
      </c>
      <c r="P552" s="16">
        <v>4.0</v>
      </c>
      <c r="Q552" s="16">
        <v>4.0</v>
      </c>
      <c r="R552" s="16">
        <v>4.0</v>
      </c>
      <c r="S552" s="16">
        <v>4.0</v>
      </c>
      <c r="T552" s="16">
        <v>4.0</v>
      </c>
      <c r="U552" s="16">
        <v>4.0</v>
      </c>
      <c r="V552" s="16">
        <v>4.0</v>
      </c>
      <c r="W552" s="16">
        <v>4.0</v>
      </c>
      <c r="X552" s="16">
        <v>4.0</v>
      </c>
      <c r="Y552" s="16">
        <v>4.0</v>
      </c>
      <c r="Z552" s="16">
        <v>4.0</v>
      </c>
      <c r="AA552" s="16">
        <v>4.0</v>
      </c>
      <c r="AB552" s="16">
        <v>4.0</v>
      </c>
      <c r="AC552" s="16">
        <v>4.0</v>
      </c>
      <c r="AD552" s="38">
        <v>14.0</v>
      </c>
      <c r="AE552" s="38">
        <v>15.0</v>
      </c>
      <c r="AF552" s="38">
        <v>16.0</v>
      </c>
      <c r="AG552" s="38" t="s">
        <v>1170</v>
      </c>
      <c r="AH552" s="17" t="s">
        <v>1171</v>
      </c>
      <c r="AI552" s="18" t="s">
        <v>76</v>
      </c>
    </row>
    <row r="553">
      <c r="A553" s="11"/>
      <c r="B553" s="12" t="s">
        <v>43</v>
      </c>
      <c r="C553" s="12" t="s">
        <v>65</v>
      </c>
      <c r="D553" s="12" t="s">
        <v>43</v>
      </c>
      <c r="E553" s="12" t="s">
        <v>66</v>
      </c>
      <c r="F553" s="13" t="s">
        <v>67</v>
      </c>
      <c r="G553" s="12" t="s">
        <v>68</v>
      </c>
      <c r="H553" s="12" t="s">
        <v>69</v>
      </c>
      <c r="I553" s="12" t="s">
        <v>70</v>
      </c>
      <c r="J553" s="15" t="s">
        <v>405</v>
      </c>
      <c r="K553" s="15" t="s">
        <v>405</v>
      </c>
      <c r="L553" s="17" t="s">
        <v>193</v>
      </c>
      <c r="M553" s="17">
        <v>38.0</v>
      </c>
      <c r="N553" s="76">
        <v>45973.0</v>
      </c>
      <c r="O553" s="17" t="s">
        <v>428</v>
      </c>
      <c r="P553" s="16">
        <v>4.0</v>
      </c>
      <c r="Q553" s="16">
        <v>4.0</v>
      </c>
      <c r="R553" s="16">
        <v>4.0</v>
      </c>
      <c r="S553" s="16">
        <v>4.0</v>
      </c>
      <c r="T553" s="16">
        <v>4.0</v>
      </c>
      <c r="U553" s="16">
        <v>4.0</v>
      </c>
      <c r="V553" s="16">
        <v>4.0</v>
      </c>
      <c r="W553" s="16">
        <v>4.0</v>
      </c>
      <c r="X553" s="16">
        <v>5.0</v>
      </c>
      <c r="Y553" s="16">
        <v>5.0</v>
      </c>
      <c r="Z553" s="16">
        <v>4.0</v>
      </c>
      <c r="AA553" s="16">
        <v>4.0</v>
      </c>
      <c r="AB553" s="16">
        <v>4.0</v>
      </c>
      <c r="AC553" s="16">
        <v>5.0</v>
      </c>
      <c r="AD553" s="38">
        <v>14.0</v>
      </c>
      <c r="AE553" s="38">
        <v>16.0</v>
      </c>
      <c r="AF553" s="38">
        <v>16.0</v>
      </c>
      <c r="AG553" s="38" t="s">
        <v>1172</v>
      </c>
      <c r="AI553" s="18" t="s">
        <v>76</v>
      </c>
    </row>
    <row r="554">
      <c r="A554" s="11"/>
      <c r="B554" s="12" t="s">
        <v>7</v>
      </c>
      <c r="C554" s="12" t="s">
        <v>8</v>
      </c>
      <c r="D554" s="12" t="s">
        <v>24</v>
      </c>
      <c r="E554" s="12" t="s">
        <v>32</v>
      </c>
      <c r="F554" s="13" t="s">
        <v>30</v>
      </c>
      <c r="G554" s="12" t="s">
        <v>68</v>
      </c>
      <c r="H554" s="12" t="s">
        <v>573</v>
      </c>
      <c r="I554" s="12" t="s">
        <v>574</v>
      </c>
      <c r="J554" s="15" t="s">
        <v>575</v>
      </c>
      <c r="K554" s="15" t="s">
        <v>575</v>
      </c>
      <c r="L554" s="15" t="s">
        <v>193</v>
      </c>
      <c r="M554" s="15">
        <v>36.0</v>
      </c>
      <c r="N554" s="79">
        <v>45967.0</v>
      </c>
      <c r="O554" s="17" t="s">
        <v>428</v>
      </c>
      <c r="P554" s="16">
        <v>4.0</v>
      </c>
      <c r="Q554" s="16">
        <v>4.0</v>
      </c>
      <c r="R554" s="16">
        <v>4.0</v>
      </c>
      <c r="S554" s="16">
        <v>4.0</v>
      </c>
      <c r="T554" s="16">
        <v>5.0</v>
      </c>
      <c r="U554" s="16">
        <v>4.0</v>
      </c>
      <c r="V554" s="16">
        <v>4.0</v>
      </c>
      <c r="W554" s="16">
        <v>4.0</v>
      </c>
      <c r="X554" s="16">
        <v>4.0</v>
      </c>
      <c r="Y554" s="16">
        <v>4.0</v>
      </c>
      <c r="Z554" s="16">
        <v>5.0</v>
      </c>
      <c r="AA554" s="16">
        <v>4.0</v>
      </c>
      <c r="AB554" s="16">
        <v>5.0</v>
      </c>
      <c r="AC554" s="16">
        <v>4.0</v>
      </c>
      <c r="AD554" s="38">
        <v>14.0</v>
      </c>
      <c r="AE554" s="38">
        <v>14.0</v>
      </c>
      <c r="AF554" s="38">
        <v>18.0</v>
      </c>
      <c r="AG554" s="38" t="s">
        <v>1173</v>
      </c>
      <c r="AI554" s="18" t="s">
        <v>577</v>
      </c>
    </row>
    <row r="555">
      <c r="A555" s="11"/>
      <c r="B555" s="12" t="s">
        <v>7</v>
      </c>
      <c r="C555" s="12" t="s">
        <v>8</v>
      </c>
      <c r="D555" s="12" t="s">
        <v>24</v>
      </c>
      <c r="E555" s="12" t="s">
        <v>32</v>
      </c>
      <c r="F555" s="13" t="s">
        <v>30</v>
      </c>
      <c r="G555" s="12" t="s">
        <v>68</v>
      </c>
      <c r="H555" s="12" t="s">
        <v>573</v>
      </c>
      <c r="I555" s="12" t="s">
        <v>574</v>
      </c>
      <c r="J555" s="15" t="s">
        <v>580</v>
      </c>
      <c r="K555" s="15" t="s">
        <v>580</v>
      </c>
      <c r="L555" s="15" t="s">
        <v>193</v>
      </c>
      <c r="M555" s="15">
        <v>22.0</v>
      </c>
      <c r="N555" s="79">
        <v>45967.0</v>
      </c>
      <c r="O555" s="17" t="s">
        <v>428</v>
      </c>
      <c r="P555" s="16">
        <v>3.0</v>
      </c>
      <c r="Q555" s="16">
        <v>3.0</v>
      </c>
      <c r="R555" s="16">
        <v>3.0</v>
      </c>
      <c r="S555" s="16">
        <v>3.0</v>
      </c>
      <c r="T555" s="16">
        <v>5.0</v>
      </c>
      <c r="U555" s="16">
        <v>3.0</v>
      </c>
      <c r="V555" s="16">
        <v>3.0</v>
      </c>
      <c r="W555" s="16">
        <v>3.0</v>
      </c>
      <c r="X555" s="16">
        <v>5.0</v>
      </c>
      <c r="Y555" s="16">
        <v>5.0</v>
      </c>
      <c r="Z555" s="16">
        <v>5.0</v>
      </c>
      <c r="AA555" s="16">
        <v>3.0</v>
      </c>
      <c r="AB555" s="16">
        <v>5.0</v>
      </c>
      <c r="AC555" s="16">
        <v>5.0</v>
      </c>
      <c r="AD555" s="38">
        <v>15.0</v>
      </c>
      <c r="AE555" s="38">
        <v>14.0</v>
      </c>
      <c r="AF555" s="38">
        <v>16.0</v>
      </c>
      <c r="AG555" s="38" t="s">
        <v>1174</v>
      </c>
      <c r="AI555" s="18" t="s">
        <v>577</v>
      </c>
    </row>
    <row r="556">
      <c r="A556" s="11"/>
      <c r="B556" s="12" t="s">
        <v>7</v>
      </c>
      <c r="C556" s="12" t="s">
        <v>8</v>
      </c>
      <c r="D556" s="12" t="s">
        <v>24</v>
      </c>
      <c r="E556" s="12" t="s">
        <v>32</v>
      </c>
      <c r="F556" s="13" t="s">
        <v>30</v>
      </c>
      <c r="G556" s="12" t="s">
        <v>68</v>
      </c>
      <c r="H556" s="12" t="s">
        <v>573</v>
      </c>
      <c r="I556" s="12" t="s">
        <v>574</v>
      </c>
      <c r="J556" s="15" t="s">
        <v>1175</v>
      </c>
      <c r="K556" s="15" t="s">
        <v>1175</v>
      </c>
      <c r="L556" s="15" t="s">
        <v>193</v>
      </c>
      <c r="M556" s="15">
        <v>39.0</v>
      </c>
      <c r="N556" s="79">
        <v>45967.0</v>
      </c>
      <c r="O556" s="17" t="s">
        <v>428</v>
      </c>
      <c r="P556" s="16">
        <v>4.0</v>
      </c>
      <c r="Q556" s="16">
        <v>4.0</v>
      </c>
      <c r="R556" s="16">
        <v>3.0</v>
      </c>
      <c r="S556" s="16">
        <v>3.0</v>
      </c>
      <c r="T556" s="16">
        <v>5.0</v>
      </c>
      <c r="U556" s="16">
        <v>3.0</v>
      </c>
      <c r="V556" s="16">
        <v>3.0</v>
      </c>
      <c r="W556" s="16">
        <v>3.0</v>
      </c>
      <c r="X556" s="16">
        <v>5.0</v>
      </c>
      <c r="Y556" s="16">
        <v>5.0</v>
      </c>
      <c r="Z556" s="16">
        <v>5.0</v>
      </c>
      <c r="AA556" s="16">
        <v>4.0</v>
      </c>
      <c r="AB556" s="16">
        <v>5.0</v>
      </c>
      <c r="AC556" s="16">
        <v>5.0</v>
      </c>
      <c r="AD556" s="38">
        <v>14.0</v>
      </c>
      <c r="AE556" s="38">
        <v>14.0</v>
      </c>
      <c r="AF556" s="38">
        <v>16.0</v>
      </c>
      <c r="AG556" s="38" t="s">
        <v>1176</v>
      </c>
      <c r="AI556" s="18" t="s">
        <v>577</v>
      </c>
    </row>
    <row r="557">
      <c r="A557" s="11"/>
      <c r="B557" s="12" t="s">
        <v>7</v>
      </c>
      <c r="C557" s="12" t="s">
        <v>8</v>
      </c>
      <c r="D557" s="12" t="s">
        <v>24</v>
      </c>
      <c r="E557" s="12" t="s">
        <v>32</v>
      </c>
      <c r="F557" s="13" t="s">
        <v>30</v>
      </c>
      <c r="G557" s="12" t="s">
        <v>68</v>
      </c>
      <c r="H557" s="12" t="s">
        <v>573</v>
      </c>
      <c r="I557" s="12" t="s">
        <v>574</v>
      </c>
      <c r="J557" s="15" t="s">
        <v>1177</v>
      </c>
      <c r="K557" s="15" t="s">
        <v>1177</v>
      </c>
      <c r="L557" s="15" t="s">
        <v>193</v>
      </c>
      <c r="M557" s="15">
        <v>26.0</v>
      </c>
      <c r="N557" s="79">
        <v>45967.0</v>
      </c>
      <c r="O557" s="17" t="s">
        <v>428</v>
      </c>
      <c r="P557" s="16">
        <v>3.0</v>
      </c>
      <c r="Q557" s="16">
        <v>3.0</v>
      </c>
      <c r="R557" s="16">
        <v>3.0</v>
      </c>
      <c r="S557" s="16">
        <v>3.0</v>
      </c>
      <c r="T557" s="16">
        <v>4.0</v>
      </c>
      <c r="U557" s="16">
        <v>4.0</v>
      </c>
      <c r="V557" s="16">
        <v>4.0</v>
      </c>
      <c r="W557" s="16">
        <v>3.0</v>
      </c>
      <c r="X557" s="16">
        <v>4.0</v>
      </c>
      <c r="Y557" s="16">
        <v>4.0</v>
      </c>
      <c r="Z557" s="16">
        <v>4.0</v>
      </c>
      <c r="AA557" s="16">
        <v>3.0</v>
      </c>
      <c r="AB557" s="16">
        <v>4.0</v>
      </c>
      <c r="AC557" s="16">
        <v>4.0</v>
      </c>
      <c r="AD557" s="38">
        <v>15.0</v>
      </c>
      <c r="AE557" s="38">
        <v>14.0</v>
      </c>
      <c r="AF557" s="38">
        <v>16.0</v>
      </c>
      <c r="AG557" s="38" t="s">
        <v>1178</v>
      </c>
      <c r="AI557" s="18" t="s">
        <v>577</v>
      </c>
    </row>
    <row r="558">
      <c r="A558" s="11"/>
      <c r="B558" s="12" t="s">
        <v>7</v>
      </c>
      <c r="C558" s="12" t="s">
        <v>8</v>
      </c>
      <c r="D558" s="12" t="s">
        <v>24</v>
      </c>
      <c r="E558" s="12" t="s">
        <v>25</v>
      </c>
      <c r="F558" s="13" t="s">
        <v>26</v>
      </c>
      <c r="G558" s="12" t="s">
        <v>68</v>
      </c>
      <c r="H558" s="12" t="s">
        <v>994</v>
      </c>
      <c r="I558" s="12" t="s">
        <v>995</v>
      </c>
      <c r="J558" s="80" t="s">
        <v>1179</v>
      </c>
      <c r="K558" s="80" t="s">
        <v>1179</v>
      </c>
      <c r="L558" s="15" t="s">
        <v>250</v>
      </c>
      <c r="M558" s="15">
        <v>55.0</v>
      </c>
      <c r="N558" s="79">
        <v>45972.0</v>
      </c>
      <c r="O558" s="17" t="s">
        <v>428</v>
      </c>
      <c r="P558" s="16">
        <v>4.0</v>
      </c>
      <c r="Q558" s="16">
        <v>4.0</v>
      </c>
      <c r="R558" s="16">
        <v>4.0</v>
      </c>
      <c r="S558" s="16">
        <v>4.0</v>
      </c>
      <c r="T558" s="16">
        <v>4.0</v>
      </c>
      <c r="U558" s="16">
        <v>4.0</v>
      </c>
      <c r="V558" s="16">
        <v>4.0</v>
      </c>
      <c r="W558" s="16">
        <v>4.0</v>
      </c>
      <c r="X558" s="16">
        <v>4.0</v>
      </c>
      <c r="Y558" s="16">
        <v>4.0</v>
      </c>
      <c r="Z558" s="16">
        <v>4.0</v>
      </c>
      <c r="AA558" s="16">
        <v>4.0</v>
      </c>
      <c r="AB558" s="16">
        <v>4.0</v>
      </c>
      <c r="AC558" s="16">
        <v>4.0</v>
      </c>
      <c r="AD558" s="38">
        <v>14.0</v>
      </c>
      <c r="AE558" s="38">
        <v>15.0</v>
      </c>
      <c r="AF558" s="38">
        <v>16.0</v>
      </c>
      <c r="AG558" s="38" t="s">
        <v>1180</v>
      </c>
      <c r="AI558" s="18" t="s">
        <v>577</v>
      </c>
    </row>
    <row r="559">
      <c r="A559" s="11"/>
      <c r="B559" s="12" t="s">
        <v>7</v>
      </c>
      <c r="C559" s="12" t="s">
        <v>8</v>
      </c>
      <c r="D559" s="12" t="s">
        <v>24</v>
      </c>
      <c r="E559" s="12" t="s">
        <v>25</v>
      </c>
      <c r="F559" s="13" t="s">
        <v>26</v>
      </c>
      <c r="G559" s="12" t="s">
        <v>68</v>
      </c>
      <c r="H559" s="12" t="s">
        <v>994</v>
      </c>
      <c r="I559" s="12" t="s">
        <v>995</v>
      </c>
      <c r="J559" s="15" t="s">
        <v>1181</v>
      </c>
      <c r="K559" s="15" t="s">
        <v>1181</v>
      </c>
      <c r="L559" s="15" t="s">
        <v>193</v>
      </c>
      <c r="M559" s="15">
        <v>42.0</v>
      </c>
      <c r="N559" s="79">
        <v>45972.0</v>
      </c>
      <c r="O559" s="17" t="s">
        <v>428</v>
      </c>
      <c r="P559" s="16">
        <v>2.0</v>
      </c>
      <c r="Q559" s="16">
        <v>2.0</v>
      </c>
      <c r="R559" s="16">
        <v>3.0</v>
      </c>
      <c r="S559" s="16">
        <v>3.0</v>
      </c>
      <c r="T559" s="16">
        <v>5.0</v>
      </c>
      <c r="U559" s="16">
        <v>4.0</v>
      </c>
      <c r="V559" s="16">
        <v>4.0</v>
      </c>
      <c r="W559" s="16">
        <v>3.0</v>
      </c>
      <c r="X559" s="16">
        <v>5.0</v>
      </c>
      <c r="Y559" s="16">
        <v>5.0</v>
      </c>
      <c r="Z559" s="16">
        <v>5.0</v>
      </c>
      <c r="AA559" s="16">
        <v>2.0</v>
      </c>
      <c r="AB559" s="16">
        <v>5.0</v>
      </c>
      <c r="AC559" s="16">
        <v>5.0</v>
      </c>
      <c r="AD559" s="38">
        <v>16.0</v>
      </c>
      <c r="AE559" s="38">
        <v>14.0</v>
      </c>
      <c r="AF559" s="38">
        <v>18.0</v>
      </c>
      <c r="AG559" s="38" t="s">
        <v>1182</v>
      </c>
      <c r="AI559" s="18" t="s">
        <v>577</v>
      </c>
    </row>
    <row r="560">
      <c r="A560" s="11"/>
      <c r="B560" s="12" t="s">
        <v>7</v>
      </c>
      <c r="C560" s="12" t="s">
        <v>8</v>
      </c>
      <c r="D560" s="12" t="s">
        <v>24</v>
      </c>
      <c r="E560" s="12" t="s">
        <v>25</v>
      </c>
      <c r="F560" s="13" t="s">
        <v>26</v>
      </c>
      <c r="G560" s="12" t="s">
        <v>68</v>
      </c>
      <c r="H560" s="12" t="s">
        <v>994</v>
      </c>
      <c r="I560" s="12" t="s">
        <v>995</v>
      </c>
      <c r="J560" s="15" t="s">
        <v>1183</v>
      </c>
      <c r="K560" s="15" t="s">
        <v>1183</v>
      </c>
      <c r="L560" s="15" t="s">
        <v>193</v>
      </c>
      <c r="M560" s="15">
        <v>31.0</v>
      </c>
      <c r="N560" s="79">
        <v>45972.0</v>
      </c>
      <c r="O560" s="17" t="s">
        <v>428</v>
      </c>
      <c r="P560" s="16">
        <v>5.0</v>
      </c>
      <c r="Q560" s="16">
        <v>5.0</v>
      </c>
      <c r="R560" s="16">
        <v>3.0</v>
      </c>
      <c r="S560" s="16">
        <v>3.0</v>
      </c>
      <c r="T560" s="16">
        <v>5.0</v>
      </c>
      <c r="U560" s="16">
        <v>4.0</v>
      </c>
      <c r="V560" s="16">
        <v>4.0</v>
      </c>
      <c r="W560" s="16">
        <v>3.0</v>
      </c>
      <c r="X560" s="16">
        <v>5.0</v>
      </c>
      <c r="Y560" s="16">
        <v>5.0</v>
      </c>
      <c r="Z560" s="16">
        <v>5.0</v>
      </c>
      <c r="AA560" s="16">
        <v>5.0</v>
      </c>
      <c r="AB560" s="16">
        <v>5.0</v>
      </c>
      <c r="AC560" s="16">
        <v>5.0</v>
      </c>
      <c r="AD560" s="38">
        <v>13.0</v>
      </c>
      <c r="AE560" s="38">
        <v>14.0</v>
      </c>
      <c r="AF560" s="38">
        <v>18.0</v>
      </c>
      <c r="AG560" s="38" t="s">
        <v>1184</v>
      </c>
      <c r="AI560" s="18" t="s">
        <v>577</v>
      </c>
    </row>
    <row r="561">
      <c r="A561" s="11"/>
      <c r="B561" s="12" t="s">
        <v>7</v>
      </c>
      <c r="C561" s="12" t="s">
        <v>8</v>
      </c>
      <c r="D561" s="12" t="s">
        <v>24</v>
      </c>
      <c r="E561" s="12" t="s">
        <v>25</v>
      </c>
      <c r="F561" s="13" t="s">
        <v>26</v>
      </c>
      <c r="G561" s="12" t="s">
        <v>68</v>
      </c>
      <c r="H561" s="12" t="s">
        <v>994</v>
      </c>
      <c r="I561" s="12" t="s">
        <v>995</v>
      </c>
      <c r="J561" s="15" t="s">
        <v>1185</v>
      </c>
      <c r="K561" s="15" t="s">
        <v>1185</v>
      </c>
      <c r="L561" s="15" t="s">
        <v>222</v>
      </c>
      <c r="M561" s="15">
        <v>27.0</v>
      </c>
      <c r="N561" s="79">
        <v>45972.0</v>
      </c>
      <c r="O561" s="17" t="s">
        <v>428</v>
      </c>
      <c r="P561" s="16">
        <v>5.0</v>
      </c>
      <c r="Q561" s="16">
        <v>5.0</v>
      </c>
      <c r="R561" s="16">
        <v>5.0</v>
      </c>
      <c r="S561" s="16">
        <v>5.0</v>
      </c>
      <c r="T561" s="16">
        <v>5.0</v>
      </c>
      <c r="U561" s="16">
        <v>5.0</v>
      </c>
      <c r="V561" s="16">
        <v>5.0</v>
      </c>
      <c r="W561" s="16">
        <v>5.0</v>
      </c>
      <c r="X561" s="16">
        <v>5.0</v>
      </c>
      <c r="Y561" s="16">
        <v>5.0</v>
      </c>
      <c r="Z561" s="16">
        <v>5.0</v>
      </c>
      <c r="AA561" s="16">
        <v>5.0</v>
      </c>
      <c r="AB561" s="16">
        <v>5.0</v>
      </c>
      <c r="AC561" s="16">
        <v>5.0</v>
      </c>
      <c r="AD561" s="38">
        <v>13.0</v>
      </c>
      <c r="AE561" s="38">
        <v>16.0</v>
      </c>
      <c r="AF561" s="38">
        <v>20.0</v>
      </c>
      <c r="AG561" s="38" t="s">
        <v>1186</v>
      </c>
      <c r="AI561" s="18" t="s">
        <v>577</v>
      </c>
    </row>
    <row r="562">
      <c r="A562" s="11"/>
      <c r="B562" s="12" t="s">
        <v>7</v>
      </c>
      <c r="C562" s="12" t="s">
        <v>8</v>
      </c>
      <c r="D562" s="12" t="s">
        <v>24</v>
      </c>
      <c r="E562" s="12" t="s">
        <v>25</v>
      </c>
      <c r="F562" s="13" t="s">
        <v>26</v>
      </c>
      <c r="G562" s="12" t="s">
        <v>68</v>
      </c>
      <c r="H562" s="12" t="s">
        <v>994</v>
      </c>
      <c r="I562" s="12" t="s">
        <v>995</v>
      </c>
      <c r="J562" s="15" t="s">
        <v>1187</v>
      </c>
      <c r="K562" s="15" t="s">
        <v>1187</v>
      </c>
      <c r="L562" s="15" t="s">
        <v>193</v>
      </c>
      <c r="M562" s="79"/>
      <c r="N562" s="79">
        <v>45972.0</v>
      </c>
      <c r="O562" s="17" t="s">
        <v>428</v>
      </c>
      <c r="P562" s="42"/>
      <c r="Q562" s="42"/>
      <c r="R562" s="42"/>
      <c r="S562" s="42"/>
      <c r="T562" s="42"/>
      <c r="U562" s="42"/>
      <c r="V562" s="42"/>
      <c r="W562" s="42"/>
      <c r="X562" s="42"/>
      <c r="Y562" s="42"/>
      <c r="Z562" s="42"/>
      <c r="AA562" s="42"/>
      <c r="AB562" s="42"/>
      <c r="AC562" s="42"/>
      <c r="AD562" s="38">
        <v>18.0</v>
      </c>
      <c r="AE562" s="38">
        <v>11.0</v>
      </c>
      <c r="AF562" s="38">
        <v>0.0</v>
      </c>
      <c r="AG562" s="38" t="s">
        <v>1188</v>
      </c>
      <c r="AI562" s="18" t="s">
        <v>577</v>
      </c>
    </row>
    <row r="563">
      <c r="A563" s="11"/>
      <c r="B563" s="12" t="s">
        <v>7</v>
      </c>
      <c r="C563" s="12" t="s">
        <v>8</v>
      </c>
      <c r="D563" s="12" t="s">
        <v>24</v>
      </c>
      <c r="E563" s="12" t="s">
        <v>25</v>
      </c>
      <c r="F563" s="13" t="s">
        <v>26</v>
      </c>
      <c r="G563" s="12" t="s">
        <v>68</v>
      </c>
      <c r="H563" s="12" t="s">
        <v>994</v>
      </c>
      <c r="I563" s="12" t="s">
        <v>995</v>
      </c>
      <c r="J563" s="81" t="s">
        <v>1012</v>
      </c>
      <c r="K563" s="81" t="s">
        <v>1012</v>
      </c>
      <c r="L563" s="15" t="s">
        <v>193</v>
      </c>
      <c r="M563" s="15">
        <v>30.0</v>
      </c>
      <c r="N563" s="79">
        <v>45972.0</v>
      </c>
      <c r="O563" s="17" t="s">
        <v>428</v>
      </c>
      <c r="P563" s="16">
        <v>1.0</v>
      </c>
      <c r="Q563" s="16">
        <v>1.0</v>
      </c>
      <c r="R563" s="16">
        <v>4.0</v>
      </c>
      <c r="S563" s="16">
        <v>4.0</v>
      </c>
      <c r="T563" s="16">
        <v>1.0</v>
      </c>
      <c r="U563" s="16">
        <v>3.0</v>
      </c>
      <c r="V563" s="16">
        <v>3.0</v>
      </c>
      <c r="W563" s="16">
        <v>4.0</v>
      </c>
      <c r="X563" s="16">
        <v>4.0</v>
      </c>
      <c r="Y563" s="16">
        <v>4.0</v>
      </c>
      <c r="Z563" s="16">
        <v>1.0</v>
      </c>
      <c r="AA563" s="16">
        <v>1.0</v>
      </c>
      <c r="AB563" s="16">
        <v>1.0</v>
      </c>
      <c r="AC563" s="16">
        <v>4.0</v>
      </c>
      <c r="AD563" s="38">
        <v>17.0</v>
      </c>
      <c r="AE563" s="38">
        <v>18.0</v>
      </c>
      <c r="AF563" s="38">
        <v>8.0</v>
      </c>
      <c r="AG563" s="38" t="s">
        <v>1189</v>
      </c>
      <c r="AI563" s="18" t="s">
        <v>577</v>
      </c>
    </row>
    <row r="564">
      <c r="A564" s="11"/>
      <c r="B564" s="12" t="s">
        <v>7</v>
      </c>
      <c r="C564" s="12" t="s">
        <v>8</v>
      </c>
      <c r="D564" s="12" t="s">
        <v>24</v>
      </c>
      <c r="E564" s="12" t="s">
        <v>25</v>
      </c>
      <c r="F564" s="13" t="s">
        <v>26</v>
      </c>
      <c r="G564" s="12" t="s">
        <v>68</v>
      </c>
      <c r="H564" s="12" t="s">
        <v>994</v>
      </c>
      <c r="I564" s="12" t="s">
        <v>995</v>
      </c>
      <c r="J564" s="81" t="s">
        <v>1190</v>
      </c>
      <c r="K564" s="81" t="s">
        <v>1190</v>
      </c>
      <c r="L564" s="15" t="s">
        <v>193</v>
      </c>
      <c r="M564" s="15">
        <v>38.0</v>
      </c>
      <c r="N564" s="79">
        <v>45972.0</v>
      </c>
      <c r="O564" s="17" t="s">
        <v>428</v>
      </c>
      <c r="P564" s="16">
        <v>5.0</v>
      </c>
      <c r="Q564" s="16">
        <v>5.0</v>
      </c>
      <c r="R564" s="16">
        <v>4.0</v>
      </c>
      <c r="S564" s="16">
        <v>4.0</v>
      </c>
      <c r="T564" s="16">
        <v>4.0</v>
      </c>
      <c r="U564" s="16">
        <v>5.0</v>
      </c>
      <c r="V564" s="16">
        <v>5.0</v>
      </c>
      <c r="W564" s="16">
        <v>4.0</v>
      </c>
      <c r="X564" s="16">
        <v>5.0</v>
      </c>
      <c r="Y564" s="16">
        <v>5.0</v>
      </c>
      <c r="Z564" s="16">
        <v>4.0</v>
      </c>
      <c r="AA564" s="16">
        <v>5.0</v>
      </c>
      <c r="AB564" s="16">
        <v>4.0</v>
      </c>
      <c r="AC564" s="16">
        <v>5.0</v>
      </c>
      <c r="AD564" s="38">
        <v>13.0</v>
      </c>
      <c r="AE564" s="38">
        <v>16.0</v>
      </c>
      <c r="AF564" s="38">
        <v>18.0</v>
      </c>
      <c r="AG564" s="38" t="s">
        <v>1191</v>
      </c>
      <c r="AI564" s="18" t="s">
        <v>577</v>
      </c>
    </row>
    <row r="565">
      <c r="A565" s="11"/>
      <c r="B565" s="12" t="s">
        <v>7</v>
      </c>
      <c r="C565" s="12" t="s">
        <v>8</v>
      </c>
      <c r="D565" s="12" t="s">
        <v>24</v>
      </c>
      <c r="E565" s="12" t="s">
        <v>25</v>
      </c>
      <c r="F565" s="13" t="s">
        <v>26</v>
      </c>
      <c r="G565" s="12" t="s">
        <v>68</v>
      </c>
      <c r="H565" s="12" t="s">
        <v>994</v>
      </c>
      <c r="I565" s="12" t="s">
        <v>995</v>
      </c>
      <c r="J565" s="81" t="s">
        <v>1192</v>
      </c>
      <c r="K565" s="81" t="s">
        <v>1192</v>
      </c>
      <c r="L565" s="15" t="s">
        <v>193</v>
      </c>
      <c r="M565" s="15">
        <v>27.0</v>
      </c>
      <c r="N565" s="79">
        <v>45972.0</v>
      </c>
      <c r="O565" s="17" t="s">
        <v>428</v>
      </c>
      <c r="P565" s="16">
        <v>5.0</v>
      </c>
      <c r="Q565" s="16">
        <v>5.0</v>
      </c>
      <c r="R565" s="16">
        <v>2.0</v>
      </c>
      <c r="S565" s="16">
        <v>2.0</v>
      </c>
      <c r="T565" s="16">
        <v>5.0</v>
      </c>
      <c r="U565" s="16">
        <v>1.0</v>
      </c>
      <c r="V565" s="16">
        <v>1.0</v>
      </c>
      <c r="W565" s="16">
        <v>2.0</v>
      </c>
      <c r="X565" s="16">
        <v>3.0</v>
      </c>
      <c r="Y565" s="16">
        <v>3.0</v>
      </c>
      <c r="Z565" s="16">
        <v>5.0</v>
      </c>
      <c r="AA565" s="16">
        <v>5.0</v>
      </c>
      <c r="AB565" s="16">
        <v>5.0</v>
      </c>
      <c r="AC565" s="16">
        <v>3.0</v>
      </c>
      <c r="AD565" s="38">
        <v>13.0</v>
      </c>
      <c r="AE565" s="38">
        <v>11.0</v>
      </c>
      <c r="AF565" s="38">
        <v>12.0</v>
      </c>
      <c r="AG565" s="38" t="s">
        <v>1193</v>
      </c>
      <c r="AI565" s="18" t="s">
        <v>577</v>
      </c>
    </row>
    <row r="566">
      <c r="A566" s="11"/>
      <c r="B566" s="12" t="s">
        <v>7</v>
      </c>
      <c r="C566" s="12" t="s">
        <v>8</v>
      </c>
      <c r="D566" s="12" t="s">
        <v>24</v>
      </c>
      <c r="E566" s="12" t="s">
        <v>25</v>
      </c>
      <c r="F566" s="13" t="s">
        <v>26</v>
      </c>
      <c r="G566" s="12" t="s">
        <v>68</v>
      </c>
      <c r="H566" s="12" t="s">
        <v>994</v>
      </c>
      <c r="I566" s="12" t="s">
        <v>995</v>
      </c>
      <c r="J566" s="81" t="s">
        <v>1194</v>
      </c>
      <c r="K566" s="81" t="s">
        <v>1194</v>
      </c>
      <c r="L566" s="15" t="s">
        <v>193</v>
      </c>
      <c r="M566" s="15">
        <v>42.0</v>
      </c>
      <c r="N566" s="79">
        <v>45972.0</v>
      </c>
      <c r="O566" s="17" t="s">
        <v>428</v>
      </c>
      <c r="P566" s="16">
        <v>4.0</v>
      </c>
      <c r="Q566" s="16">
        <v>4.0</v>
      </c>
      <c r="R566" s="16">
        <v>4.0</v>
      </c>
      <c r="S566" s="16">
        <v>4.0</v>
      </c>
      <c r="T566" s="16">
        <v>4.0</v>
      </c>
      <c r="U566" s="16">
        <v>3.0</v>
      </c>
      <c r="V566" s="16">
        <v>3.0</v>
      </c>
      <c r="W566" s="16">
        <v>4.0</v>
      </c>
      <c r="X566" s="16">
        <v>4.0</v>
      </c>
      <c r="Y566" s="16">
        <v>4.0</v>
      </c>
      <c r="Z566" s="16">
        <v>4.0</v>
      </c>
      <c r="AA566" s="16">
        <v>4.0</v>
      </c>
      <c r="AB566" s="16">
        <v>4.0</v>
      </c>
      <c r="AC566" s="16">
        <v>4.0</v>
      </c>
      <c r="AD566" s="38">
        <v>14.0</v>
      </c>
      <c r="AE566" s="38">
        <v>15.0</v>
      </c>
      <c r="AF566" s="38">
        <v>14.0</v>
      </c>
      <c r="AG566" s="38" t="s">
        <v>1195</v>
      </c>
      <c r="AI566" s="18" t="s">
        <v>577</v>
      </c>
    </row>
    <row r="567">
      <c r="A567" s="11"/>
      <c r="B567" s="12" t="s">
        <v>7</v>
      </c>
      <c r="C567" s="12" t="s">
        <v>8</v>
      </c>
      <c r="D567" s="12" t="s">
        <v>24</v>
      </c>
      <c r="E567" s="12" t="s">
        <v>25</v>
      </c>
      <c r="F567" s="13" t="s">
        <v>26</v>
      </c>
      <c r="G567" s="12" t="s">
        <v>68</v>
      </c>
      <c r="H567" s="12" t="s">
        <v>994</v>
      </c>
      <c r="I567" s="12" t="s">
        <v>995</v>
      </c>
      <c r="J567" s="81" t="s">
        <v>1196</v>
      </c>
      <c r="K567" s="81" t="s">
        <v>1196</v>
      </c>
      <c r="L567" s="15" t="s">
        <v>193</v>
      </c>
      <c r="M567" s="15">
        <v>35.0</v>
      </c>
      <c r="N567" s="79">
        <v>45972.0</v>
      </c>
      <c r="O567" s="17" t="s">
        <v>428</v>
      </c>
      <c r="P567" s="16">
        <v>4.0</v>
      </c>
      <c r="Q567" s="16">
        <v>4.0</v>
      </c>
      <c r="R567" s="16">
        <v>4.0</v>
      </c>
      <c r="S567" s="16">
        <v>4.0</v>
      </c>
      <c r="T567" s="16">
        <v>4.0</v>
      </c>
      <c r="U567" s="16">
        <v>4.0</v>
      </c>
      <c r="V567" s="16">
        <v>4.0</v>
      </c>
      <c r="W567" s="16">
        <v>4.0</v>
      </c>
      <c r="X567" s="16">
        <v>4.0</v>
      </c>
      <c r="Y567" s="16">
        <v>4.0</v>
      </c>
      <c r="Z567" s="16">
        <v>4.0</v>
      </c>
      <c r="AA567" s="16">
        <v>4.0</v>
      </c>
      <c r="AB567" s="16">
        <v>4.0</v>
      </c>
      <c r="AC567" s="16">
        <v>4.0</v>
      </c>
      <c r="AD567" s="38">
        <v>14.0</v>
      </c>
      <c r="AE567" s="38">
        <v>15.0</v>
      </c>
      <c r="AF567" s="38">
        <v>16.0</v>
      </c>
      <c r="AG567" s="38" t="s">
        <v>1197</v>
      </c>
      <c r="AI567" s="18" t="s">
        <v>577</v>
      </c>
    </row>
    <row r="568">
      <c r="A568" s="11"/>
      <c r="B568" s="12" t="s">
        <v>7</v>
      </c>
      <c r="C568" s="12" t="s">
        <v>8</v>
      </c>
      <c r="D568" s="12" t="s">
        <v>24</v>
      </c>
      <c r="E568" s="12" t="s">
        <v>25</v>
      </c>
      <c r="F568" s="13" t="s">
        <v>26</v>
      </c>
      <c r="G568" s="12" t="s">
        <v>68</v>
      </c>
      <c r="H568" s="12" t="s">
        <v>994</v>
      </c>
      <c r="I568" s="12" t="s">
        <v>995</v>
      </c>
      <c r="J568" s="81" t="s">
        <v>1198</v>
      </c>
      <c r="K568" s="81" t="s">
        <v>1198</v>
      </c>
      <c r="L568" s="15" t="s">
        <v>193</v>
      </c>
      <c r="M568" s="15">
        <v>29.0</v>
      </c>
      <c r="N568" s="79">
        <v>45972.0</v>
      </c>
      <c r="O568" s="17" t="s">
        <v>428</v>
      </c>
      <c r="P568" s="16">
        <v>5.0</v>
      </c>
      <c r="Q568" s="16">
        <v>5.0</v>
      </c>
      <c r="R568" s="16">
        <v>5.0</v>
      </c>
      <c r="S568" s="16">
        <v>5.0</v>
      </c>
      <c r="T568" s="16">
        <v>5.0</v>
      </c>
      <c r="U568" s="16">
        <v>4.0</v>
      </c>
      <c r="V568" s="16">
        <v>4.0</v>
      </c>
      <c r="W568" s="16">
        <v>5.0</v>
      </c>
      <c r="X568" s="16">
        <v>4.0</v>
      </c>
      <c r="Y568" s="16">
        <v>4.0</v>
      </c>
      <c r="Z568" s="16">
        <v>5.0</v>
      </c>
      <c r="AA568" s="16">
        <v>5.0</v>
      </c>
      <c r="AB568" s="16">
        <v>5.0</v>
      </c>
      <c r="AC568" s="16">
        <v>4.0</v>
      </c>
      <c r="AD568" s="38">
        <v>13.0</v>
      </c>
      <c r="AE568" s="38">
        <v>15.0</v>
      </c>
      <c r="AF568" s="38">
        <v>18.0</v>
      </c>
      <c r="AG568" s="38" t="s">
        <v>1199</v>
      </c>
      <c r="AI568" s="18" t="s">
        <v>577</v>
      </c>
    </row>
    <row r="569">
      <c r="A569" s="11"/>
      <c r="B569" s="12" t="s">
        <v>7</v>
      </c>
      <c r="C569" s="12" t="s">
        <v>8</v>
      </c>
      <c r="D569" s="12" t="s">
        <v>24</v>
      </c>
      <c r="E569" s="12" t="s">
        <v>25</v>
      </c>
      <c r="F569" s="13" t="s">
        <v>26</v>
      </c>
      <c r="G569" s="12" t="s">
        <v>68</v>
      </c>
      <c r="H569" s="12" t="s">
        <v>994</v>
      </c>
      <c r="I569" s="12" t="s">
        <v>995</v>
      </c>
      <c r="J569" s="81" t="s">
        <v>1200</v>
      </c>
      <c r="K569" s="81" t="s">
        <v>1200</v>
      </c>
      <c r="L569" s="15" t="s">
        <v>222</v>
      </c>
      <c r="M569" s="15">
        <v>28.0</v>
      </c>
      <c r="N569" s="79">
        <v>45972.0</v>
      </c>
      <c r="O569" s="17" t="s">
        <v>428</v>
      </c>
      <c r="P569" s="16">
        <v>2.0</v>
      </c>
      <c r="Q569" s="16">
        <v>2.0</v>
      </c>
      <c r="R569" s="16">
        <v>4.0</v>
      </c>
      <c r="S569" s="16">
        <v>4.0</v>
      </c>
      <c r="T569" s="16">
        <v>4.0</v>
      </c>
      <c r="U569" s="16">
        <v>4.0</v>
      </c>
      <c r="V569" s="16">
        <v>4.0</v>
      </c>
      <c r="W569" s="16">
        <v>4.0</v>
      </c>
      <c r="X569" s="16">
        <v>4.0</v>
      </c>
      <c r="Y569" s="16">
        <v>4.0</v>
      </c>
      <c r="Z569" s="16">
        <v>4.0</v>
      </c>
      <c r="AA569" s="16">
        <v>2.0</v>
      </c>
      <c r="AB569" s="16">
        <v>4.0</v>
      </c>
      <c r="AC569" s="16">
        <v>4.0</v>
      </c>
      <c r="AD569" s="38">
        <v>16.0</v>
      </c>
      <c r="AE569" s="38">
        <v>15.0</v>
      </c>
      <c r="AF569" s="38">
        <v>16.0</v>
      </c>
      <c r="AG569" s="38" t="s">
        <v>1201</v>
      </c>
      <c r="AI569" s="18" t="s">
        <v>577</v>
      </c>
    </row>
    <row r="570">
      <c r="A570" s="11"/>
      <c r="B570" s="12" t="s">
        <v>7</v>
      </c>
      <c r="C570" s="12" t="s">
        <v>8</v>
      </c>
      <c r="D570" s="12" t="s">
        <v>24</v>
      </c>
      <c r="E570" s="12" t="s">
        <v>25</v>
      </c>
      <c r="F570" s="13" t="s">
        <v>26</v>
      </c>
      <c r="G570" s="12" t="s">
        <v>68</v>
      </c>
      <c r="H570" s="12" t="s">
        <v>994</v>
      </c>
      <c r="I570" s="12" t="s">
        <v>995</v>
      </c>
      <c r="J570" s="81" t="s">
        <v>1202</v>
      </c>
      <c r="K570" s="81" t="s">
        <v>1202</v>
      </c>
      <c r="L570" s="15" t="s">
        <v>222</v>
      </c>
      <c r="M570" s="15">
        <v>40.0</v>
      </c>
      <c r="N570" s="79">
        <v>45972.0</v>
      </c>
      <c r="O570" s="17" t="s">
        <v>428</v>
      </c>
      <c r="P570" s="16">
        <v>4.0</v>
      </c>
      <c r="Q570" s="16">
        <v>4.0</v>
      </c>
      <c r="R570" s="16">
        <v>4.0</v>
      </c>
      <c r="S570" s="16">
        <v>4.0</v>
      </c>
      <c r="T570" s="16">
        <v>4.0</v>
      </c>
      <c r="U570" s="16">
        <v>3.0</v>
      </c>
      <c r="V570" s="16">
        <v>3.0</v>
      </c>
      <c r="W570" s="16">
        <v>4.0</v>
      </c>
      <c r="X570" s="16">
        <v>4.0</v>
      </c>
      <c r="Y570" s="16">
        <v>4.0</v>
      </c>
      <c r="Z570" s="16">
        <v>4.0</v>
      </c>
      <c r="AA570" s="16">
        <v>4.0</v>
      </c>
      <c r="AB570" s="16">
        <v>4.0</v>
      </c>
      <c r="AC570" s="16">
        <v>4.0</v>
      </c>
      <c r="AD570" s="38">
        <v>14.0</v>
      </c>
      <c r="AE570" s="38">
        <v>15.0</v>
      </c>
      <c r="AF570" s="38">
        <v>14.0</v>
      </c>
      <c r="AG570" s="38" t="s">
        <v>1203</v>
      </c>
      <c r="AI570" s="18" t="s">
        <v>577</v>
      </c>
    </row>
    <row r="571">
      <c r="A571" s="11"/>
      <c r="B571" s="12" t="s">
        <v>7</v>
      </c>
      <c r="C571" s="12" t="s">
        <v>8</v>
      </c>
      <c r="D571" s="12" t="s">
        <v>24</v>
      </c>
      <c r="E571" s="12" t="s">
        <v>25</v>
      </c>
      <c r="F571" s="13" t="s">
        <v>26</v>
      </c>
      <c r="G571" s="12" t="s">
        <v>68</v>
      </c>
      <c r="H571" s="12" t="s">
        <v>994</v>
      </c>
      <c r="I571" s="12" t="s">
        <v>995</v>
      </c>
      <c r="J571" s="15" t="s">
        <v>1204</v>
      </c>
      <c r="K571" s="15" t="s">
        <v>1204</v>
      </c>
      <c r="L571" s="15" t="s">
        <v>193</v>
      </c>
      <c r="M571" s="15">
        <v>45.0</v>
      </c>
      <c r="N571" s="79">
        <v>45972.0</v>
      </c>
      <c r="O571" s="17" t="s">
        <v>428</v>
      </c>
      <c r="P571" s="63">
        <v>4.0</v>
      </c>
      <c r="Q571" s="63">
        <v>4.0</v>
      </c>
      <c r="R571" s="63">
        <v>5.0</v>
      </c>
      <c r="S571" s="63">
        <v>5.0</v>
      </c>
      <c r="T571" s="63">
        <v>5.0</v>
      </c>
      <c r="U571" s="63">
        <v>4.0</v>
      </c>
      <c r="V571" s="63">
        <v>4.0</v>
      </c>
      <c r="W571" s="63">
        <v>5.0</v>
      </c>
      <c r="X571" s="63">
        <v>4.0</v>
      </c>
      <c r="Y571" s="63">
        <v>4.0</v>
      </c>
      <c r="Z571" s="63">
        <v>5.0</v>
      </c>
      <c r="AA571" s="63">
        <v>4.0</v>
      </c>
      <c r="AB571" s="63">
        <v>5.0</v>
      </c>
      <c r="AC571" s="63">
        <v>4.0</v>
      </c>
      <c r="AD571" s="64">
        <v>14.0</v>
      </c>
      <c r="AE571" s="64">
        <v>15.0</v>
      </c>
      <c r="AF571" s="64">
        <v>18.0</v>
      </c>
      <c r="AG571" s="64" t="s">
        <v>1033</v>
      </c>
      <c r="AI571" s="18" t="s">
        <v>577</v>
      </c>
    </row>
    <row r="572">
      <c r="A572" s="11"/>
      <c r="B572" s="12" t="s">
        <v>7</v>
      </c>
      <c r="C572" s="12" t="s">
        <v>8</v>
      </c>
      <c r="D572" s="12" t="s">
        <v>24</v>
      </c>
      <c r="E572" s="12" t="s">
        <v>25</v>
      </c>
      <c r="F572" s="13" t="s">
        <v>26</v>
      </c>
      <c r="G572" s="12" t="s">
        <v>68</v>
      </c>
      <c r="H572" s="12" t="s">
        <v>994</v>
      </c>
      <c r="I572" s="12" t="s">
        <v>995</v>
      </c>
      <c r="J572" s="80" t="s">
        <v>1205</v>
      </c>
      <c r="K572" s="80" t="s">
        <v>1205</v>
      </c>
      <c r="L572" s="15" t="s">
        <v>193</v>
      </c>
      <c r="M572" s="15">
        <v>41.0</v>
      </c>
      <c r="N572" s="79">
        <v>45972.0</v>
      </c>
      <c r="O572" s="17" t="s">
        <v>428</v>
      </c>
      <c r="P572" s="16">
        <v>5.0</v>
      </c>
      <c r="Q572" s="16">
        <v>5.0</v>
      </c>
      <c r="R572" s="16">
        <v>3.0</v>
      </c>
      <c r="S572" s="16">
        <v>3.0</v>
      </c>
      <c r="T572" s="16">
        <v>5.0</v>
      </c>
      <c r="U572" s="16">
        <v>2.0</v>
      </c>
      <c r="V572" s="16">
        <v>2.0</v>
      </c>
      <c r="W572" s="16">
        <v>3.0</v>
      </c>
      <c r="X572" s="16">
        <v>5.0</v>
      </c>
      <c r="Y572" s="16">
        <v>5.0</v>
      </c>
      <c r="Z572" s="16">
        <v>5.0</v>
      </c>
      <c r="AA572" s="16">
        <v>5.0</v>
      </c>
      <c r="AB572" s="16">
        <v>5.0</v>
      </c>
      <c r="AC572" s="16">
        <v>5.0</v>
      </c>
      <c r="AD572" s="38">
        <v>13.0</v>
      </c>
      <c r="AE572" s="38">
        <v>14.0</v>
      </c>
      <c r="AF572" s="38">
        <v>14.0</v>
      </c>
      <c r="AG572" s="38" t="s">
        <v>1206</v>
      </c>
      <c r="AI572" s="18" t="s">
        <v>577</v>
      </c>
    </row>
    <row r="573">
      <c r="A573" s="11"/>
      <c r="B573" s="12" t="s">
        <v>7</v>
      </c>
      <c r="C573" s="12" t="s">
        <v>8</v>
      </c>
      <c r="D573" s="12" t="s">
        <v>24</v>
      </c>
      <c r="E573" s="12" t="s">
        <v>25</v>
      </c>
      <c r="F573" s="13" t="s">
        <v>26</v>
      </c>
      <c r="G573" s="12" t="s">
        <v>68</v>
      </c>
      <c r="H573" s="12" t="s">
        <v>994</v>
      </c>
      <c r="I573" s="12" t="s">
        <v>995</v>
      </c>
      <c r="J573" s="81" t="s">
        <v>996</v>
      </c>
      <c r="K573" s="81" t="s">
        <v>996</v>
      </c>
      <c r="L573" s="15" t="s">
        <v>193</v>
      </c>
      <c r="M573" s="15">
        <v>35.0</v>
      </c>
      <c r="N573" s="79">
        <v>45972.0</v>
      </c>
      <c r="O573" s="17" t="s">
        <v>428</v>
      </c>
      <c r="P573" s="16">
        <v>3.0</v>
      </c>
      <c r="Q573" s="16">
        <v>3.0</v>
      </c>
      <c r="R573" s="16">
        <v>4.0</v>
      </c>
      <c r="S573" s="16">
        <v>4.0</v>
      </c>
      <c r="T573" s="16">
        <v>5.0</v>
      </c>
      <c r="U573" s="16">
        <v>4.0</v>
      </c>
      <c r="V573" s="16">
        <v>4.0</v>
      </c>
      <c r="W573" s="16">
        <v>4.0</v>
      </c>
      <c r="X573" s="16">
        <v>4.0</v>
      </c>
      <c r="Y573" s="16">
        <v>4.0</v>
      </c>
      <c r="Z573" s="16">
        <v>5.0</v>
      </c>
      <c r="AA573" s="16">
        <v>3.0</v>
      </c>
      <c r="AB573" s="16">
        <v>5.0</v>
      </c>
      <c r="AC573" s="16">
        <v>4.0</v>
      </c>
      <c r="AD573" s="38">
        <v>15.0</v>
      </c>
      <c r="AE573" s="38">
        <v>14.0</v>
      </c>
      <c r="AF573" s="38">
        <v>18.0</v>
      </c>
      <c r="AG573" s="38" t="s">
        <v>1207</v>
      </c>
      <c r="AI573" s="18" t="s">
        <v>577</v>
      </c>
    </row>
    <row r="574">
      <c r="A574" s="11"/>
      <c r="B574" s="12" t="s">
        <v>7</v>
      </c>
      <c r="C574" s="12" t="s">
        <v>8</v>
      </c>
      <c r="D574" s="12" t="s">
        <v>24</v>
      </c>
      <c r="E574" s="12" t="s">
        <v>25</v>
      </c>
      <c r="F574" s="13" t="s">
        <v>26</v>
      </c>
      <c r="G574" s="12" t="s">
        <v>68</v>
      </c>
      <c r="H574" s="12" t="s">
        <v>994</v>
      </c>
      <c r="I574" s="12" t="s">
        <v>995</v>
      </c>
      <c r="J574" s="82" t="s">
        <v>1208</v>
      </c>
      <c r="K574" s="82" t="s">
        <v>1208</v>
      </c>
      <c r="L574" s="15" t="s">
        <v>193</v>
      </c>
      <c r="M574" s="15">
        <v>25.0</v>
      </c>
      <c r="N574" s="79">
        <v>45972.0</v>
      </c>
      <c r="O574" s="17" t="s">
        <v>428</v>
      </c>
      <c r="P574" s="16">
        <v>3.0</v>
      </c>
      <c r="Q574" s="16">
        <v>3.0</v>
      </c>
      <c r="R574" s="16">
        <v>4.0</v>
      </c>
      <c r="S574" s="16">
        <v>4.0</v>
      </c>
      <c r="T574" s="16">
        <v>4.0</v>
      </c>
      <c r="U574" s="16">
        <v>3.0</v>
      </c>
      <c r="V574" s="16">
        <v>3.0</v>
      </c>
      <c r="W574" s="16">
        <v>4.0</v>
      </c>
      <c r="X574" s="16">
        <v>4.0</v>
      </c>
      <c r="Y574" s="16">
        <v>4.0</v>
      </c>
      <c r="Z574" s="16">
        <v>4.0</v>
      </c>
      <c r="AA574" s="16">
        <v>3.0</v>
      </c>
      <c r="AB574" s="16">
        <v>4.0</v>
      </c>
      <c r="AC574" s="16">
        <v>4.0</v>
      </c>
      <c r="AD574" s="38">
        <v>15.0</v>
      </c>
      <c r="AE574" s="38">
        <v>15.0</v>
      </c>
      <c r="AF574" s="38">
        <v>14.0</v>
      </c>
      <c r="AG574" s="38" t="s">
        <v>1209</v>
      </c>
      <c r="AI574" s="18" t="s">
        <v>577</v>
      </c>
    </row>
    <row r="575">
      <c r="A575" s="11"/>
      <c r="B575" s="12" t="s">
        <v>7</v>
      </c>
      <c r="C575" s="12" t="s">
        <v>37</v>
      </c>
      <c r="D575" s="12" t="s">
        <v>38</v>
      </c>
      <c r="E575" s="12" t="s">
        <v>45</v>
      </c>
      <c r="F575" s="13" t="s">
        <v>44</v>
      </c>
      <c r="G575" s="12" t="s">
        <v>68</v>
      </c>
      <c r="H575" s="12" t="s">
        <v>830</v>
      </c>
      <c r="I575" s="12" t="s">
        <v>831</v>
      </c>
      <c r="J575" s="81" t="s">
        <v>836</v>
      </c>
      <c r="K575" s="81" t="s">
        <v>836</v>
      </c>
      <c r="L575" s="15" t="s">
        <v>193</v>
      </c>
      <c r="M575" s="15">
        <v>36.0</v>
      </c>
      <c r="N575" s="79">
        <v>45973.0</v>
      </c>
      <c r="O575" s="17" t="s">
        <v>428</v>
      </c>
      <c r="P575" s="16">
        <v>5.0</v>
      </c>
      <c r="Q575" s="16">
        <v>5.0</v>
      </c>
      <c r="R575" s="16">
        <v>5.0</v>
      </c>
      <c r="S575" s="16">
        <v>5.0</v>
      </c>
      <c r="T575" s="16">
        <v>5.0</v>
      </c>
      <c r="U575" s="16">
        <v>5.0</v>
      </c>
      <c r="V575" s="16">
        <v>5.0</v>
      </c>
      <c r="W575" s="16">
        <v>5.0</v>
      </c>
      <c r="X575" s="16">
        <v>5.0</v>
      </c>
      <c r="Y575" s="16">
        <v>5.0</v>
      </c>
      <c r="Z575" s="16">
        <v>5.0</v>
      </c>
      <c r="AA575" s="16">
        <v>5.0</v>
      </c>
      <c r="AB575" s="16">
        <v>5.0</v>
      </c>
      <c r="AC575" s="16">
        <v>5.0</v>
      </c>
      <c r="AD575" s="38">
        <v>13.0</v>
      </c>
      <c r="AE575" s="38">
        <v>16.0</v>
      </c>
      <c r="AF575" s="38">
        <v>20.0</v>
      </c>
      <c r="AG575" s="38" t="s">
        <v>1210</v>
      </c>
      <c r="AI575" s="18" t="s">
        <v>577</v>
      </c>
    </row>
    <row r="576">
      <c r="A576" s="11"/>
      <c r="B576" s="12" t="s">
        <v>7</v>
      </c>
      <c r="C576" s="12" t="s">
        <v>37</v>
      </c>
      <c r="D576" s="12" t="s">
        <v>38</v>
      </c>
      <c r="E576" s="12" t="s">
        <v>45</v>
      </c>
      <c r="F576" s="13" t="s">
        <v>44</v>
      </c>
      <c r="G576" s="12" t="s">
        <v>68</v>
      </c>
      <c r="H576" s="12" t="s">
        <v>830</v>
      </c>
      <c r="I576" s="12" t="s">
        <v>831</v>
      </c>
      <c r="J576" s="81" t="s">
        <v>843</v>
      </c>
      <c r="K576" s="81" t="s">
        <v>843</v>
      </c>
      <c r="L576" s="15" t="s">
        <v>193</v>
      </c>
      <c r="M576" s="15">
        <v>38.0</v>
      </c>
      <c r="N576" s="79">
        <v>45973.0</v>
      </c>
      <c r="O576" s="17" t="s">
        <v>428</v>
      </c>
      <c r="P576" s="16">
        <v>5.0</v>
      </c>
      <c r="Q576" s="16">
        <v>5.0</v>
      </c>
      <c r="R576" s="16">
        <v>5.0</v>
      </c>
      <c r="S576" s="16">
        <v>5.0</v>
      </c>
      <c r="T576" s="16">
        <v>5.0</v>
      </c>
      <c r="U576" s="16">
        <v>4.0</v>
      </c>
      <c r="V576" s="16">
        <v>4.0</v>
      </c>
      <c r="W576" s="16">
        <v>5.0</v>
      </c>
      <c r="X576" s="16">
        <v>5.0</v>
      </c>
      <c r="Y576" s="16">
        <v>5.0</v>
      </c>
      <c r="Z576" s="16">
        <v>5.0</v>
      </c>
      <c r="AA576" s="16">
        <v>5.0</v>
      </c>
      <c r="AB576" s="16">
        <v>5.0</v>
      </c>
      <c r="AC576" s="16">
        <v>5.0</v>
      </c>
      <c r="AD576" s="38">
        <v>13.0</v>
      </c>
      <c r="AE576" s="38">
        <v>16.0</v>
      </c>
      <c r="AF576" s="38">
        <v>18.0</v>
      </c>
      <c r="AG576" s="38" t="s">
        <v>1211</v>
      </c>
      <c r="AI576" s="18" t="s">
        <v>577</v>
      </c>
    </row>
    <row r="577">
      <c r="A577" s="11"/>
      <c r="B577" s="12" t="s">
        <v>7</v>
      </c>
      <c r="C577" s="12" t="s">
        <v>37</v>
      </c>
      <c r="D577" s="12" t="s">
        <v>38</v>
      </c>
      <c r="E577" s="12" t="s">
        <v>45</v>
      </c>
      <c r="F577" s="13" t="s">
        <v>44</v>
      </c>
      <c r="G577" s="12" t="s">
        <v>68</v>
      </c>
      <c r="H577" s="12" t="s">
        <v>830</v>
      </c>
      <c r="I577" s="12" t="s">
        <v>831</v>
      </c>
      <c r="J577" s="81" t="s">
        <v>848</v>
      </c>
      <c r="K577" s="81" t="s">
        <v>848</v>
      </c>
      <c r="L577" s="15" t="s">
        <v>193</v>
      </c>
      <c r="M577" s="15">
        <v>36.0</v>
      </c>
      <c r="N577" s="79">
        <v>45973.0</v>
      </c>
      <c r="O577" s="17" t="s">
        <v>428</v>
      </c>
      <c r="P577" s="16">
        <v>4.0</v>
      </c>
      <c r="Q577" s="16">
        <v>4.0</v>
      </c>
      <c r="R577" s="16">
        <v>5.0</v>
      </c>
      <c r="S577" s="16">
        <v>5.0</v>
      </c>
      <c r="T577" s="16">
        <v>5.0</v>
      </c>
      <c r="U577" s="16">
        <v>5.0</v>
      </c>
      <c r="V577" s="16">
        <v>5.0</v>
      </c>
      <c r="W577" s="16">
        <v>5.0</v>
      </c>
      <c r="X577" s="16">
        <v>5.0</v>
      </c>
      <c r="Y577" s="16">
        <v>5.0</v>
      </c>
      <c r="Z577" s="16">
        <v>5.0</v>
      </c>
      <c r="AA577" s="16">
        <v>4.0</v>
      </c>
      <c r="AB577" s="16">
        <v>5.0</v>
      </c>
      <c r="AC577" s="16">
        <v>5.0</v>
      </c>
      <c r="AD577" s="38">
        <v>14.0</v>
      </c>
      <c r="AE577" s="38">
        <v>16.0</v>
      </c>
      <c r="AF577" s="38">
        <v>20.0</v>
      </c>
      <c r="AG577" s="38" t="s">
        <v>1212</v>
      </c>
      <c r="AI577" s="18" t="s">
        <v>577</v>
      </c>
    </row>
    <row r="578">
      <c r="A578" s="11"/>
      <c r="B578" s="12" t="s">
        <v>7</v>
      </c>
      <c r="C578" s="12" t="s">
        <v>37</v>
      </c>
      <c r="D578" s="12" t="s">
        <v>38</v>
      </c>
      <c r="E578" s="12" t="s">
        <v>45</v>
      </c>
      <c r="F578" s="13" t="s">
        <v>44</v>
      </c>
      <c r="G578" s="12" t="s">
        <v>68</v>
      </c>
      <c r="H578" s="12" t="s">
        <v>830</v>
      </c>
      <c r="I578" s="12" t="s">
        <v>831</v>
      </c>
      <c r="J578" s="81" t="s">
        <v>850</v>
      </c>
      <c r="K578" s="81" t="s">
        <v>850</v>
      </c>
      <c r="L578" s="15" t="s">
        <v>193</v>
      </c>
      <c r="M578" s="79"/>
      <c r="N578" s="79">
        <v>45973.0</v>
      </c>
      <c r="O578" s="17" t="s">
        <v>428</v>
      </c>
      <c r="P578" s="42"/>
      <c r="Q578" s="42"/>
      <c r="R578" s="42"/>
      <c r="S578" s="42"/>
      <c r="T578" s="42"/>
      <c r="U578" s="42"/>
      <c r="V578" s="42"/>
      <c r="W578" s="42"/>
      <c r="X578" s="42"/>
      <c r="Y578" s="42"/>
      <c r="Z578" s="42"/>
      <c r="AA578" s="42"/>
      <c r="AB578" s="42"/>
      <c r="AC578" s="42"/>
      <c r="AD578" s="38">
        <v>18.0</v>
      </c>
      <c r="AE578" s="38">
        <v>11.0</v>
      </c>
      <c r="AF578" s="38">
        <v>0.0</v>
      </c>
      <c r="AG578" s="38" t="s">
        <v>1213</v>
      </c>
      <c r="AH578" s="17" t="s">
        <v>1214</v>
      </c>
      <c r="AI578" s="18" t="s">
        <v>577</v>
      </c>
    </row>
    <row r="579">
      <c r="A579" s="11"/>
      <c r="B579" s="12" t="s">
        <v>7</v>
      </c>
      <c r="C579" s="12" t="s">
        <v>37</v>
      </c>
      <c r="D579" s="12" t="s">
        <v>38</v>
      </c>
      <c r="E579" s="12" t="s">
        <v>45</v>
      </c>
      <c r="F579" s="13" t="s">
        <v>44</v>
      </c>
      <c r="G579" s="12" t="s">
        <v>68</v>
      </c>
      <c r="H579" s="12" t="s">
        <v>830</v>
      </c>
      <c r="I579" s="12" t="s">
        <v>831</v>
      </c>
      <c r="J579" s="81" t="s">
        <v>856</v>
      </c>
      <c r="K579" s="81" t="s">
        <v>856</v>
      </c>
      <c r="L579" s="15" t="s">
        <v>193</v>
      </c>
      <c r="M579" s="15">
        <v>31.0</v>
      </c>
      <c r="N579" s="79">
        <v>45973.0</v>
      </c>
      <c r="O579" s="17" t="s">
        <v>428</v>
      </c>
      <c r="P579" s="16">
        <v>4.0</v>
      </c>
      <c r="Q579" s="16">
        <v>4.0</v>
      </c>
      <c r="R579" s="16">
        <v>3.0</v>
      </c>
      <c r="S579" s="16">
        <v>3.0</v>
      </c>
      <c r="T579" s="16">
        <v>5.0</v>
      </c>
      <c r="U579" s="16">
        <v>5.0</v>
      </c>
      <c r="V579" s="16">
        <v>5.0</v>
      </c>
      <c r="W579" s="16">
        <v>3.0</v>
      </c>
      <c r="X579" s="16">
        <v>5.0</v>
      </c>
      <c r="Y579" s="16">
        <v>5.0</v>
      </c>
      <c r="Z579" s="16">
        <v>5.0</v>
      </c>
      <c r="AA579" s="16">
        <v>4.0</v>
      </c>
      <c r="AB579" s="16">
        <v>5.0</v>
      </c>
      <c r="AC579" s="16">
        <v>5.0</v>
      </c>
      <c r="AD579" s="38">
        <v>14.0</v>
      </c>
      <c r="AE579" s="38">
        <v>14.0</v>
      </c>
      <c r="AF579" s="38">
        <v>20.0</v>
      </c>
      <c r="AG579" s="38" t="s">
        <v>1215</v>
      </c>
      <c r="AI579" s="18" t="s">
        <v>577</v>
      </c>
    </row>
    <row r="580">
      <c r="A580" s="11"/>
      <c r="B580" s="12" t="s">
        <v>7</v>
      </c>
      <c r="C580" s="12" t="s">
        <v>37</v>
      </c>
      <c r="D580" s="12" t="s">
        <v>38</v>
      </c>
      <c r="E580" s="12" t="s">
        <v>45</v>
      </c>
      <c r="F580" s="13" t="s">
        <v>44</v>
      </c>
      <c r="G580" s="12" t="s">
        <v>68</v>
      </c>
      <c r="H580" s="12" t="s">
        <v>830</v>
      </c>
      <c r="I580" s="12" t="s">
        <v>831</v>
      </c>
      <c r="J580" s="81" t="s">
        <v>862</v>
      </c>
      <c r="K580" s="81" t="s">
        <v>862</v>
      </c>
      <c r="L580" s="15" t="s">
        <v>193</v>
      </c>
      <c r="M580" s="15">
        <v>37.0</v>
      </c>
      <c r="N580" s="79">
        <v>45973.0</v>
      </c>
      <c r="O580" s="17" t="s">
        <v>428</v>
      </c>
      <c r="P580" s="16">
        <v>2.0</v>
      </c>
      <c r="Q580" s="16">
        <v>2.0</v>
      </c>
      <c r="R580" s="16">
        <v>4.0</v>
      </c>
      <c r="S580" s="16">
        <v>4.0</v>
      </c>
      <c r="T580" s="16">
        <v>3.0</v>
      </c>
      <c r="U580" s="16">
        <v>5.0</v>
      </c>
      <c r="V580" s="16">
        <v>5.0</v>
      </c>
      <c r="W580" s="16">
        <v>4.0</v>
      </c>
      <c r="X580" s="16">
        <v>4.0</v>
      </c>
      <c r="Y580" s="16">
        <v>4.0</v>
      </c>
      <c r="Z580" s="16">
        <v>3.0</v>
      </c>
      <c r="AA580" s="16">
        <v>2.0</v>
      </c>
      <c r="AB580" s="16">
        <v>3.0</v>
      </c>
      <c r="AC580" s="16">
        <v>4.0</v>
      </c>
      <c r="AD580" s="38">
        <v>16.0</v>
      </c>
      <c r="AE580" s="38">
        <v>16.0</v>
      </c>
      <c r="AF580" s="38">
        <v>16.0</v>
      </c>
      <c r="AG580" s="38" t="s">
        <v>1216</v>
      </c>
      <c r="AI580" s="18" t="s">
        <v>577</v>
      </c>
    </row>
    <row r="581">
      <c r="A581" s="11"/>
      <c r="B581" s="12" t="s">
        <v>7</v>
      </c>
      <c r="C581" s="12" t="s">
        <v>37</v>
      </c>
      <c r="D581" s="12" t="s">
        <v>38</v>
      </c>
      <c r="E581" s="12" t="s">
        <v>45</v>
      </c>
      <c r="F581" s="13" t="s">
        <v>44</v>
      </c>
      <c r="G581" s="12" t="s">
        <v>68</v>
      </c>
      <c r="H581" s="12" t="s">
        <v>830</v>
      </c>
      <c r="I581" s="12" t="s">
        <v>831</v>
      </c>
      <c r="J581" s="81" t="s">
        <v>872</v>
      </c>
      <c r="K581" s="81" t="s">
        <v>872</v>
      </c>
      <c r="L581" s="15" t="s">
        <v>193</v>
      </c>
      <c r="M581" s="15">
        <v>37.0</v>
      </c>
      <c r="N581" s="79">
        <v>45973.0</v>
      </c>
      <c r="O581" s="17" t="s">
        <v>428</v>
      </c>
      <c r="P581" s="16">
        <v>4.0</v>
      </c>
      <c r="Q581" s="16">
        <v>4.0</v>
      </c>
      <c r="R581" s="16">
        <v>4.0</v>
      </c>
      <c r="S581" s="16">
        <v>4.0</v>
      </c>
      <c r="T581" s="16">
        <v>4.0</v>
      </c>
      <c r="U581" s="16">
        <v>5.0</v>
      </c>
      <c r="V581" s="16">
        <v>5.0</v>
      </c>
      <c r="W581" s="16">
        <v>4.0</v>
      </c>
      <c r="X581" s="16">
        <v>5.0</v>
      </c>
      <c r="Y581" s="16">
        <v>5.0</v>
      </c>
      <c r="Z581" s="16">
        <v>4.0</v>
      </c>
      <c r="AA581" s="16">
        <v>4.0</v>
      </c>
      <c r="AB581" s="16">
        <v>4.0</v>
      </c>
      <c r="AC581" s="16">
        <v>5.0</v>
      </c>
      <c r="AD581" s="38">
        <v>14.0</v>
      </c>
      <c r="AE581" s="38">
        <v>16.0</v>
      </c>
      <c r="AF581" s="38">
        <v>18.0</v>
      </c>
      <c r="AG581" s="38" t="s">
        <v>1217</v>
      </c>
      <c r="AI581" s="18" t="s">
        <v>577</v>
      </c>
    </row>
    <row r="582">
      <c r="A582" s="11"/>
      <c r="B582" s="12" t="s">
        <v>7</v>
      </c>
      <c r="C582" s="12" t="s">
        <v>37</v>
      </c>
      <c r="D582" s="12" t="s">
        <v>38</v>
      </c>
      <c r="E582" s="12" t="s">
        <v>45</v>
      </c>
      <c r="F582" s="13" t="s">
        <v>44</v>
      </c>
      <c r="G582" s="12" t="s">
        <v>68</v>
      </c>
      <c r="H582" s="12" t="s">
        <v>830</v>
      </c>
      <c r="I582" s="12" t="s">
        <v>831</v>
      </c>
      <c r="J582" s="81" t="s">
        <v>878</v>
      </c>
      <c r="K582" s="81" t="s">
        <v>878</v>
      </c>
      <c r="L582" s="15" t="s">
        <v>193</v>
      </c>
      <c r="M582" s="15">
        <v>35.0</v>
      </c>
      <c r="N582" s="79">
        <v>45973.0</v>
      </c>
      <c r="O582" s="17" t="s">
        <v>428</v>
      </c>
      <c r="P582" s="16">
        <v>4.0</v>
      </c>
      <c r="Q582" s="16">
        <v>4.0</v>
      </c>
      <c r="R582" s="16">
        <v>4.0</v>
      </c>
      <c r="S582" s="16">
        <v>4.0</v>
      </c>
      <c r="T582" s="16">
        <v>4.0</v>
      </c>
      <c r="U582" s="16">
        <v>5.0</v>
      </c>
      <c r="V582" s="16">
        <v>5.0</v>
      </c>
      <c r="W582" s="16">
        <v>4.0</v>
      </c>
      <c r="X582" s="16">
        <v>5.0</v>
      </c>
      <c r="Y582" s="16">
        <v>5.0</v>
      </c>
      <c r="Z582" s="16">
        <v>4.0</v>
      </c>
      <c r="AA582" s="16">
        <v>4.0</v>
      </c>
      <c r="AB582" s="16">
        <v>4.0</v>
      </c>
      <c r="AC582" s="16">
        <v>5.0</v>
      </c>
      <c r="AD582" s="38">
        <v>14.0</v>
      </c>
      <c r="AE582" s="38">
        <v>16.0</v>
      </c>
      <c r="AF582" s="38">
        <v>18.0</v>
      </c>
      <c r="AG582" s="38" t="s">
        <v>1218</v>
      </c>
      <c r="AI582" s="18" t="s">
        <v>577</v>
      </c>
    </row>
    <row r="583">
      <c r="A583" s="11"/>
      <c r="B583" s="12" t="s">
        <v>7</v>
      </c>
      <c r="C583" s="12" t="s">
        <v>37</v>
      </c>
      <c r="D583" s="12" t="s">
        <v>38</v>
      </c>
      <c r="E583" s="12" t="s">
        <v>45</v>
      </c>
      <c r="F583" s="13" t="s">
        <v>44</v>
      </c>
      <c r="G583" s="12" t="s">
        <v>68</v>
      </c>
      <c r="H583" s="12" t="s">
        <v>830</v>
      </c>
      <c r="I583" s="12" t="s">
        <v>831</v>
      </c>
      <c r="J583" s="15" t="s">
        <v>1219</v>
      </c>
      <c r="K583" s="15" t="s">
        <v>1219</v>
      </c>
      <c r="L583" s="15" t="s">
        <v>193</v>
      </c>
      <c r="M583" s="15">
        <v>45.0</v>
      </c>
      <c r="N583" s="79">
        <v>45973.0</v>
      </c>
      <c r="O583" s="17" t="s">
        <v>428</v>
      </c>
      <c r="P583" s="16">
        <v>4.0</v>
      </c>
      <c r="Q583" s="16">
        <v>4.0</v>
      </c>
      <c r="R583" s="16">
        <v>5.0</v>
      </c>
      <c r="S583" s="16">
        <v>5.0</v>
      </c>
      <c r="T583" s="16">
        <v>4.0</v>
      </c>
      <c r="U583" s="16">
        <v>5.0</v>
      </c>
      <c r="V583" s="16">
        <v>5.0</v>
      </c>
      <c r="W583" s="16">
        <v>5.0</v>
      </c>
      <c r="X583" s="16">
        <v>5.0</v>
      </c>
      <c r="Y583" s="16">
        <v>5.0</v>
      </c>
      <c r="Z583" s="16">
        <v>4.0</v>
      </c>
      <c r="AA583" s="16">
        <v>4.0</v>
      </c>
      <c r="AB583" s="16">
        <v>4.0</v>
      </c>
      <c r="AC583" s="16">
        <v>5.0</v>
      </c>
      <c r="AD583" s="38">
        <v>14.0</v>
      </c>
      <c r="AE583" s="38">
        <v>17.0</v>
      </c>
      <c r="AF583" s="38">
        <v>18.0</v>
      </c>
      <c r="AG583" s="38" t="s">
        <v>1220</v>
      </c>
      <c r="AI583" s="18" t="s">
        <v>577</v>
      </c>
    </row>
    <row r="584">
      <c r="A584" s="11"/>
      <c r="B584" s="12" t="s">
        <v>7</v>
      </c>
      <c r="C584" s="12" t="s">
        <v>37</v>
      </c>
      <c r="D584" s="12" t="s">
        <v>38</v>
      </c>
      <c r="E584" s="12" t="s">
        <v>45</v>
      </c>
      <c r="F584" s="13" t="s">
        <v>44</v>
      </c>
      <c r="G584" s="12" t="s">
        <v>68</v>
      </c>
      <c r="H584" s="12" t="s">
        <v>830</v>
      </c>
      <c r="I584" s="12" t="s">
        <v>831</v>
      </c>
      <c r="J584" s="15" t="s">
        <v>1221</v>
      </c>
      <c r="K584" s="15" t="s">
        <v>1221</v>
      </c>
      <c r="L584" s="15" t="s">
        <v>193</v>
      </c>
      <c r="M584" s="15">
        <v>29.0</v>
      </c>
      <c r="N584" s="79">
        <v>45973.0</v>
      </c>
      <c r="O584" s="17" t="s">
        <v>428</v>
      </c>
      <c r="P584" s="16">
        <v>2.0</v>
      </c>
      <c r="Q584" s="16">
        <v>2.0</v>
      </c>
      <c r="R584" s="16">
        <v>4.0</v>
      </c>
      <c r="S584" s="16">
        <v>4.0</v>
      </c>
      <c r="T584" s="16">
        <v>4.0</v>
      </c>
      <c r="U584" s="16">
        <v>5.0</v>
      </c>
      <c r="V584" s="16">
        <v>5.0</v>
      </c>
      <c r="W584" s="16">
        <v>4.0</v>
      </c>
      <c r="X584" s="16">
        <v>4.0</v>
      </c>
      <c r="Y584" s="16">
        <v>4.0</v>
      </c>
      <c r="Z584" s="16">
        <v>4.0</v>
      </c>
      <c r="AA584" s="16">
        <v>2.0</v>
      </c>
      <c r="AB584" s="16">
        <v>4.0</v>
      </c>
      <c r="AC584" s="16">
        <v>4.0</v>
      </c>
      <c r="AD584" s="38">
        <v>16.0</v>
      </c>
      <c r="AE584" s="38">
        <v>15.0</v>
      </c>
      <c r="AF584" s="38">
        <v>18.0</v>
      </c>
      <c r="AG584" s="38" t="s">
        <v>1222</v>
      </c>
      <c r="AI584" s="18" t="s">
        <v>577</v>
      </c>
    </row>
    <row r="585">
      <c r="A585" s="11"/>
      <c r="B585" s="12" t="s">
        <v>7</v>
      </c>
      <c r="C585" s="12" t="s">
        <v>37</v>
      </c>
      <c r="D585" s="12" t="s">
        <v>38</v>
      </c>
      <c r="E585" s="12" t="s">
        <v>45</v>
      </c>
      <c r="F585" s="13" t="s">
        <v>44</v>
      </c>
      <c r="G585" s="12" t="s">
        <v>68</v>
      </c>
      <c r="H585" s="12" t="s">
        <v>830</v>
      </c>
      <c r="I585" s="12" t="s">
        <v>831</v>
      </c>
      <c r="J585" s="15" t="s">
        <v>1223</v>
      </c>
      <c r="K585" s="15" t="s">
        <v>1223</v>
      </c>
      <c r="L585" s="15" t="s">
        <v>193</v>
      </c>
      <c r="M585" s="15">
        <v>34.0</v>
      </c>
      <c r="N585" s="79">
        <v>45973.0</v>
      </c>
      <c r="O585" s="17" t="s">
        <v>428</v>
      </c>
      <c r="P585" s="16">
        <v>4.0</v>
      </c>
      <c r="Q585" s="16">
        <v>4.0</v>
      </c>
      <c r="R585" s="16">
        <v>3.0</v>
      </c>
      <c r="S585" s="16">
        <v>3.0</v>
      </c>
      <c r="T585" s="16">
        <v>5.0</v>
      </c>
      <c r="U585" s="16">
        <v>4.0</v>
      </c>
      <c r="V585" s="16">
        <v>4.0</v>
      </c>
      <c r="W585" s="16">
        <v>3.0</v>
      </c>
      <c r="X585" s="16">
        <v>4.0</v>
      </c>
      <c r="Y585" s="16">
        <v>4.0</v>
      </c>
      <c r="Z585" s="16">
        <v>5.0</v>
      </c>
      <c r="AA585" s="16">
        <v>4.0</v>
      </c>
      <c r="AB585" s="16">
        <v>5.0</v>
      </c>
      <c r="AC585" s="16">
        <v>4.0</v>
      </c>
      <c r="AD585" s="38">
        <v>14.0</v>
      </c>
      <c r="AE585" s="38">
        <v>13.0</v>
      </c>
      <c r="AF585" s="38">
        <v>18.0</v>
      </c>
      <c r="AG585" s="38" t="s">
        <v>1224</v>
      </c>
      <c r="AI585" s="18" t="s">
        <v>577</v>
      </c>
    </row>
    <row r="586">
      <c r="A586" s="11"/>
      <c r="B586" s="12" t="s">
        <v>7</v>
      </c>
      <c r="C586" s="12" t="s">
        <v>37</v>
      </c>
      <c r="D586" s="12" t="s">
        <v>38</v>
      </c>
      <c r="E586" s="12" t="s">
        <v>45</v>
      </c>
      <c r="F586" s="13" t="s">
        <v>44</v>
      </c>
      <c r="G586" s="12" t="s">
        <v>68</v>
      </c>
      <c r="H586" s="12" t="s">
        <v>830</v>
      </c>
      <c r="I586" s="12" t="s">
        <v>831</v>
      </c>
      <c r="J586" s="15" t="s">
        <v>1225</v>
      </c>
      <c r="K586" s="15" t="s">
        <v>1225</v>
      </c>
      <c r="L586" s="15" t="s">
        <v>193</v>
      </c>
      <c r="M586" s="15">
        <v>26.0</v>
      </c>
      <c r="N586" s="79">
        <v>45973.0</v>
      </c>
      <c r="O586" s="17" t="s">
        <v>428</v>
      </c>
      <c r="P586" s="16">
        <v>3.0</v>
      </c>
      <c r="Q586" s="16">
        <v>3.0</v>
      </c>
      <c r="R586" s="16">
        <v>4.0</v>
      </c>
      <c r="S586" s="16">
        <v>4.0</v>
      </c>
      <c r="T586" s="16">
        <v>4.0</v>
      </c>
      <c r="U586" s="16">
        <v>3.0</v>
      </c>
      <c r="V586" s="16">
        <v>3.0</v>
      </c>
      <c r="W586" s="16">
        <v>4.0</v>
      </c>
      <c r="X586" s="16">
        <v>4.0</v>
      </c>
      <c r="Y586" s="16">
        <v>4.0</v>
      </c>
      <c r="Z586" s="16">
        <v>4.0</v>
      </c>
      <c r="AA586" s="16">
        <v>3.0</v>
      </c>
      <c r="AB586" s="16">
        <v>4.0</v>
      </c>
      <c r="AC586" s="16">
        <v>4.0</v>
      </c>
      <c r="AD586" s="38">
        <v>15.0</v>
      </c>
      <c r="AE586" s="38">
        <v>15.0</v>
      </c>
      <c r="AF586" s="38">
        <v>14.0</v>
      </c>
      <c r="AG586" s="38" t="s">
        <v>1226</v>
      </c>
      <c r="AI586" s="18" t="s">
        <v>577</v>
      </c>
    </row>
    <row r="587">
      <c r="A587" s="11"/>
      <c r="B587" s="12" t="s">
        <v>7</v>
      </c>
      <c r="C587" s="12" t="s">
        <v>37</v>
      </c>
      <c r="D587" s="12" t="s">
        <v>38</v>
      </c>
      <c r="E587" s="12" t="s">
        <v>45</v>
      </c>
      <c r="F587" s="13" t="s">
        <v>44</v>
      </c>
      <c r="G587" s="12" t="s">
        <v>68</v>
      </c>
      <c r="H587" s="12" t="s">
        <v>830</v>
      </c>
      <c r="I587" s="12" t="s">
        <v>831</v>
      </c>
      <c r="J587" s="81" t="s">
        <v>832</v>
      </c>
      <c r="K587" s="81" t="s">
        <v>832</v>
      </c>
      <c r="L587" s="15" t="s">
        <v>193</v>
      </c>
      <c r="M587" s="15">
        <v>35.0</v>
      </c>
      <c r="N587" s="79">
        <v>45973.0</v>
      </c>
      <c r="O587" s="17" t="s">
        <v>428</v>
      </c>
      <c r="P587" s="16">
        <v>4.0</v>
      </c>
      <c r="Q587" s="16">
        <v>4.0</v>
      </c>
      <c r="R587" s="16">
        <v>4.0</v>
      </c>
      <c r="S587" s="16">
        <v>4.0</v>
      </c>
      <c r="T587" s="16">
        <v>5.0</v>
      </c>
      <c r="U587" s="16">
        <v>5.0</v>
      </c>
      <c r="V587" s="16">
        <v>5.0</v>
      </c>
      <c r="W587" s="16">
        <v>4.0</v>
      </c>
      <c r="X587" s="16">
        <v>5.0</v>
      </c>
      <c r="Y587" s="16">
        <v>5.0</v>
      </c>
      <c r="Z587" s="16">
        <v>5.0</v>
      </c>
      <c r="AA587" s="16">
        <v>4.0</v>
      </c>
      <c r="AB587" s="16">
        <v>5.0</v>
      </c>
      <c r="AC587" s="16">
        <v>5.0</v>
      </c>
      <c r="AD587" s="38">
        <v>14.0</v>
      </c>
      <c r="AE587" s="38">
        <v>15.0</v>
      </c>
      <c r="AF587" s="38">
        <v>20.0</v>
      </c>
      <c r="AG587" s="38" t="s">
        <v>1227</v>
      </c>
      <c r="AI587" s="18" t="s">
        <v>577</v>
      </c>
    </row>
    <row r="588">
      <c r="A588" s="11"/>
      <c r="B588" s="12" t="s">
        <v>7</v>
      </c>
      <c r="C588" s="12" t="s">
        <v>37</v>
      </c>
      <c r="D588" s="12" t="s">
        <v>38</v>
      </c>
      <c r="E588" s="12" t="s">
        <v>45</v>
      </c>
      <c r="F588" s="13" t="s">
        <v>44</v>
      </c>
      <c r="G588" s="12" t="s">
        <v>68</v>
      </c>
      <c r="H588" s="12" t="s">
        <v>830</v>
      </c>
      <c r="I588" s="12" t="s">
        <v>831</v>
      </c>
      <c r="J588" s="81" t="s">
        <v>1228</v>
      </c>
      <c r="K588" s="81" t="s">
        <v>1228</v>
      </c>
      <c r="L588" s="15" t="s">
        <v>193</v>
      </c>
      <c r="M588" s="15">
        <v>23.0</v>
      </c>
      <c r="N588" s="79">
        <v>45973.0</v>
      </c>
      <c r="O588" s="17" t="s">
        <v>428</v>
      </c>
      <c r="P588" s="16">
        <v>4.0</v>
      </c>
      <c r="Q588" s="16">
        <v>4.0</v>
      </c>
      <c r="R588" s="16">
        <v>5.0</v>
      </c>
      <c r="S588" s="16">
        <v>5.0</v>
      </c>
      <c r="T588" s="16">
        <v>4.0</v>
      </c>
      <c r="U588" s="16">
        <v>4.0</v>
      </c>
      <c r="V588" s="16">
        <v>4.0</v>
      </c>
      <c r="W588" s="16">
        <v>5.0</v>
      </c>
      <c r="X588" s="16">
        <v>3.0</v>
      </c>
      <c r="Y588" s="16">
        <v>3.0</v>
      </c>
      <c r="Z588" s="16">
        <v>4.0</v>
      </c>
      <c r="AA588" s="16">
        <v>4.0</v>
      </c>
      <c r="AB588" s="16">
        <v>4.0</v>
      </c>
      <c r="AC588" s="16">
        <v>3.0</v>
      </c>
      <c r="AD588" s="38">
        <v>14.0</v>
      </c>
      <c r="AE588" s="38">
        <v>15.0</v>
      </c>
      <c r="AF588" s="38">
        <v>16.0</v>
      </c>
      <c r="AG588" s="38" t="s">
        <v>1229</v>
      </c>
      <c r="AI588" s="18" t="s">
        <v>577</v>
      </c>
    </row>
    <row r="589">
      <c r="A589" s="11"/>
      <c r="B589" s="12" t="s">
        <v>7</v>
      </c>
      <c r="C589" s="12" t="s">
        <v>37</v>
      </c>
      <c r="D589" s="12" t="s">
        <v>38</v>
      </c>
      <c r="E589" s="12" t="s">
        <v>45</v>
      </c>
      <c r="F589" s="13" t="s">
        <v>44</v>
      </c>
      <c r="G589" s="12" t="s">
        <v>68</v>
      </c>
      <c r="H589" s="12" t="s">
        <v>830</v>
      </c>
      <c r="I589" s="12" t="s">
        <v>831</v>
      </c>
      <c r="J589" s="81" t="s">
        <v>864</v>
      </c>
      <c r="K589" s="81" t="s">
        <v>864</v>
      </c>
      <c r="L589" s="15" t="s">
        <v>193</v>
      </c>
      <c r="M589" s="15">
        <v>21.0</v>
      </c>
      <c r="N589" s="79">
        <v>45973.0</v>
      </c>
      <c r="O589" s="17" t="s">
        <v>428</v>
      </c>
      <c r="P589" s="16">
        <v>3.0</v>
      </c>
      <c r="Q589" s="16">
        <v>3.0</v>
      </c>
      <c r="R589" s="16">
        <v>2.0</v>
      </c>
      <c r="S589" s="16">
        <v>2.0</v>
      </c>
      <c r="T589" s="16">
        <v>5.0</v>
      </c>
      <c r="U589" s="16">
        <v>4.0</v>
      </c>
      <c r="V589" s="16">
        <v>4.0</v>
      </c>
      <c r="W589" s="16">
        <v>2.0</v>
      </c>
      <c r="X589" s="16">
        <v>4.0</v>
      </c>
      <c r="Y589" s="16">
        <v>4.0</v>
      </c>
      <c r="Z589" s="16">
        <v>5.0</v>
      </c>
      <c r="AA589" s="16">
        <v>3.0</v>
      </c>
      <c r="AB589" s="16">
        <v>5.0</v>
      </c>
      <c r="AC589" s="16">
        <v>4.0</v>
      </c>
      <c r="AD589" s="38">
        <v>15.0</v>
      </c>
      <c r="AE589" s="38">
        <v>12.0</v>
      </c>
      <c r="AF589" s="38">
        <v>18.0</v>
      </c>
      <c r="AG589" s="38" t="s">
        <v>1230</v>
      </c>
      <c r="AI589" s="18" t="s">
        <v>577</v>
      </c>
    </row>
    <row r="590">
      <c r="A590" s="11"/>
      <c r="B590" s="12" t="s">
        <v>7</v>
      </c>
      <c r="C590" s="12" t="s">
        <v>37</v>
      </c>
      <c r="D590" s="12" t="s">
        <v>38</v>
      </c>
      <c r="E590" s="12" t="s">
        <v>45</v>
      </c>
      <c r="F590" s="13" t="s">
        <v>44</v>
      </c>
      <c r="G590" s="12" t="s">
        <v>68</v>
      </c>
      <c r="H590" s="12" t="s">
        <v>830</v>
      </c>
      <c r="I590" s="12" t="s">
        <v>831</v>
      </c>
      <c r="J590" s="17" t="s">
        <v>1231</v>
      </c>
      <c r="K590" s="17" t="s">
        <v>1231</v>
      </c>
      <c r="L590" s="15" t="s">
        <v>193</v>
      </c>
      <c r="M590" s="15">
        <v>37.0</v>
      </c>
      <c r="N590" s="79">
        <v>45973.0</v>
      </c>
      <c r="O590" s="17" t="s">
        <v>428</v>
      </c>
      <c r="P590" s="16">
        <v>4.0</v>
      </c>
      <c r="Q590" s="16">
        <v>4.0</v>
      </c>
      <c r="R590" s="16">
        <v>3.0</v>
      </c>
      <c r="S590" s="16">
        <v>3.0</v>
      </c>
      <c r="T590" s="16">
        <v>4.0</v>
      </c>
      <c r="U590" s="16">
        <v>4.0</v>
      </c>
      <c r="V590" s="16">
        <v>4.0</v>
      </c>
      <c r="W590" s="16">
        <v>3.0</v>
      </c>
      <c r="X590" s="16">
        <v>3.0</v>
      </c>
      <c r="Y590" s="16">
        <v>3.0</v>
      </c>
      <c r="Z590" s="16">
        <v>4.0</v>
      </c>
      <c r="AA590" s="16">
        <v>4.0</v>
      </c>
      <c r="AB590" s="16">
        <v>4.0</v>
      </c>
      <c r="AC590" s="16">
        <v>3.0</v>
      </c>
      <c r="AD590" s="38">
        <v>14.0</v>
      </c>
      <c r="AE590" s="38">
        <v>13.0</v>
      </c>
      <c r="AF590" s="38">
        <v>16.0</v>
      </c>
      <c r="AG590" s="38" t="s">
        <v>1232</v>
      </c>
      <c r="AI590" s="18" t="s">
        <v>577</v>
      </c>
    </row>
    <row r="591">
      <c r="A591" s="11"/>
      <c r="B591" s="12" t="s">
        <v>7</v>
      </c>
      <c r="C591" s="12" t="s">
        <v>37</v>
      </c>
      <c r="D591" s="12" t="s">
        <v>38</v>
      </c>
      <c r="E591" s="12" t="s">
        <v>45</v>
      </c>
      <c r="F591" s="13" t="s">
        <v>44</v>
      </c>
      <c r="G591" s="12" t="s">
        <v>68</v>
      </c>
      <c r="H591" s="12" t="s">
        <v>830</v>
      </c>
      <c r="I591" s="12" t="s">
        <v>831</v>
      </c>
      <c r="J591" s="15" t="s">
        <v>858</v>
      </c>
      <c r="K591" s="15" t="s">
        <v>858</v>
      </c>
      <c r="L591" s="15" t="s">
        <v>193</v>
      </c>
      <c r="M591" s="15">
        <v>40.0</v>
      </c>
      <c r="N591" s="79">
        <v>45973.0</v>
      </c>
      <c r="O591" s="17" t="s">
        <v>428</v>
      </c>
      <c r="P591" s="16">
        <v>1.0</v>
      </c>
      <c r="Q591" s="16">
        <v>1.0</v>
      </c>
      <c r="R591" s="16">
        <v>4.0</v>
      </c>
      <c r="S591" s="16">
        <v>4.0</v>
      </c>
      <c r="T591" s="16">
        <v>1.0</v>
      </c>
      <c r="U591" s="16">
        <v>4.0</v>
      </c>
      <c r="V591" s="16">
        <v>4.0</v>
      </c>
      <c r="W591" s="16">
        <v>4.0</v>
      </c>
      <c r="X591" s="16">
        <v>4.0</v>
      </c>
      <c r="Y591" s="16">
        <v>4.0</v>
      </c>
      <c r="Z591" s="16">
        <v>1.0</v>
      </c>
      <c r="AA591" s="16">
        <v>1.0</v>
      </c>
      <c r="AB591" s="16">
        <v>1.0</v>
      </c>
      <c r="AC591" s="16">
        <v>4.0</v>
      </c>
      <c r="AD591" s="38">
        <v>17.0</v>
      </c>
      <c r="AE591" s="38">
        <v>18.0</v>
      </c>
      <c r="AF591" s="38">
        <v>10.0</v>
      </c>
      <c r="AG591" s="38" t="s">
        <v>1233</v>
      </c>
      <c r="AI591" s="18" t="s">
        <v>577</v>
      </c>
    </row>
    <row r="592">
      <c r="A592" s="11"/>
      <c r="B592" s="12" t="s">
        <v>7</v>
      </c>
      <c r="C592" s="12" t="s">
        <v>37</v>
      </c>
      <c r="D592" s="12" t="s">
        <v>38</v>
      </c>
      <c r="E592" s="12" t="s">
        <v>45</v>
      </c>
      <c r="F592" s="13" t="s">
        <v>44</v>
      </c>
      <c r="G592" s="12" t="s">
        <v>68</v>
      </c>
      <c r="H592" s="12" t="s">
        <v>830</v>
      </c>
      <c r="I592" s="12" t="s">
        <v>831</v>
      </c>
      <c r="J592" s="81" t="s">
        <v>846</v>
      </c>
      <c r="K592" s="81" t="s">
        <v>846</v>
      </c>
      <c r="L592" s="15" t="s">
        <v>193</v>
      </c>
      <c r="M592" s="15">
        <v>31.0</v>
      </c>
      <c r="N592" s="79">
        <v>45973.0</v>
      </c>
      <c r="O592" s="17" t="s">
        <v>428</v>
      </c>
      <c r="P592" s="16">
        <v>4.0</v>
      </c>
      <c r="Q592" s="16">
        <v>4.0</v>
      </c>
      <c r="R592" s="16">
        <v>4.0</v>
      </c>
      <c r="S592" s="16">
        <v>4.0</v>
      </c>
      <c r="T592" s="16">
        <v>4.0</v>
      </c>
      <c r="U592" s="16">
        <v>4.0</v>
      </c>
      <c r="V592" s="16">
        <v>4.0</v>
      </c>
      <c r="W592" s="16">
        <v>4.0</v>
      </c>
      <c r="X592" s="16">
        <v>4.0</v>
      </c>
      <c r="Y592" s="16">
        <v>4.0</v>
      </c>
      <c r="Z592" s="16">
        <v>4.0</v>
      </c>
      <c r="AA592" s="16">
        <v>4.0</v>
      </c>
      <c r="AB592" s="16">
        <v>4.0</v>
      </c>
      <c r="AC592" s="16">
        <v>4.0</v>
      </c>
      <c r="AD592" s="38">
        <v>14.0</v>
      </c>
      <c r="AE592" s="38">
        <v>15.0</v>
      </c>
      <c r="AF592" s="38">
        <v>16.0</v>
      </c>
      <c r="AG592" s="38" t="s">
        <v>1234</v>
      </c>
      <c r="AI592" s="18" t="s">
        <v>577</v>
      </c>
    </row>
    <row r="593">
      <c r="A593" s="11"/>
      <c r="B593" s="12" t="s">
        <v>7</v>
      </c>
      <c r="C593" s="12" t="s">
        <v>37</v>
      </c>
      <c r="D593" s="12" t="s">
        <v>38</v>
      </c>
      <c r="E593" s="12" t="s">
        <v>45</v>
      </c>
      <c r="F593" s="13" t="s">
        <v>44</v>
      </c>
      <c r="G593" s="12" t="s">
        <v>68</v>
      </c>
      <c r="H593" s="12" t="s">
        <v>830</v>
      </c>
      <c r="I593" s="12" t="s">
        <v>831</v>
      </c>
      <c r="J593" s="81" t="s">
        <v>853</v>
      </c>
      <c r="K593" s="81" t="s">
        <v>853</v>
      </c>
      <c r="L593" s="15" t="s">
        <v>193</v>
      </c>
      <c r="M593" s="79"/>
      <c r="N593" s="79">
        <v>45973.0</v>
      </c>
      <c r="O593" s="17" t="s">
        <v>428</v>
      </c>
      <c r="P593" s="42"/>
      <c r="Q593" s="42"/>
      <c r="R593" s="42"/>
      <c r="S593" s="42"/>
      <c r="T593" s="42"/>
      <c r="U593" s="42"/>
      <c r="V593" s="42"/>
      <c r="W593" s="42"/>
      <c r="X593" s="42"/>
      <c r="Y593" s="42"/>
      <c r="Z593" s="42"/>
      <c r="AA593" s="42"/>
      <c r="AB593" s="42"/>
      <c r="AC593" s="42"/>
      <c r="AD593" s="38">
        <v>18.0</v>
      </c>
      <c r="AE593" s="38">
        <v>11.0</v>
      </c>
      <c r="AF593" s="38">
        <v>0.0</v>
      </c>
      <c r="AG593" s="38" t="s">
        <v>1188</v>
      </c>
      <c r="AI593" s="18" t="s">
        <v>577</v>
      </c>
    </row>
    <row r="594">
      <c r="A594" s="11"/>
      <c r="B594" s="12" t="s">
        <v>7</v>
      </c>
      <c r="C594" s="12" t="s">
        <v>37</v>
      </c>
      <c r="D594" s="12" t="s">
        <v>38</v>
      </c>
      <c r="E594" s="12" t="s">
        <v>45</v>
      </c>
      <c r="F594" s="13" t="s">
        <v>44</v>
      </c>
      <c r="G594" s="12" t="s">
        <v>68</v>
      </c>
      <c r="H594" s="12" t="s">
        <v>830</v>
      </c>
      <c r="I594" s="12" t="s">
        <v>831</v>
      </c>
      <c r="J594" s="81" t="s">
        <v>866</v>
      </c>
      <c r="K594" s="81" t="s">
        <v>866</v>
      </c>
      <c r="L594" s="15" t="s">
        <v>193</v>
      </c>
      <c r="M594" s="15">
        <v>37.0</v>
      </c>
      <c r="N594" s="79">
        <v>45973.0</v>
      </c>
      <c r="O594" s="17" t="s">
        <v>428</v>
      </c>
      <c r="P594" s="16">
        <v>2.0</v>
      </c>
      <c r="Q594" s="16">
        <v>2.0</v>
      </c>
      <c r="R594" s="16">
        <v>3.0</v>
      </c>
      <c r="S594" s="16">
        <v>3.0</v>
      </c>
      <c r="T594" s="16">
        <v>4.0</v>
      </c>
      <c r="U594" s="16">
        <v>3.0</v>
      </c>
      <c r="V594" s="16">
        <v>3.0</v>
      </c>
      <c r="W594" s="16">
        <v>3.0</v>
      </c>
      <c r="X594" s="16">
        <v>2.0</v>
      </c>
      <c r="Y594" s="16">
        <v>2.0</v>
      </c>
      <c r="Z594" s="16">
        <v>4.0</v>
      </c>
      <c r="AA594" s="16">
        <v>2.0</v>
      </c>
      <c r="AB594" s="16">
        <v>4.0</v>
      </c>
      <c r="AC594" s="16">
        <v>2.0</v>
      </c>
      <c r="AD594" s="38">
        <v>16.0</v>
      </c>
      <c r="AE594" s="38">
        <v>12.0</v>
      </c>
      <c r="AF594" s="38">
        <v>14.0</v>
      </c>
      <c r="AG594" s="38" t="s">
        <v>1235</v>
      </c>
      <c r="AI594" s="18" t="s">
        <v>577</v>
      </c>
    </row>
    <row r="595">
      <c r="A595" s="11"/>
      <c r="B595" s="12" t="s">
        <v>7</v>
      </c>
      <c r="C595" s="12" t="s">
        <v>37</v>
      </c>
      <c r="D595" s="12" t="s">
        <v>38</v>
      </c>
      <c r="E595" s="12" t="s">
        <v>45</v>
      </c>
      <c r="F595" s="13" t="s">
        <v>44</v>
      </c>
      <c r="G595" s="12" t="s">
        <v>68</v>
      </c>
      <c r="H595" s="12" t="s">
        <v>830</v>
      </c>
      <c r="I595" s="12" t="s">
        <v>831</v>
      </c>
      <c r="J595" s="81" t="s">
        <v>870</v>
      </c>
      <c r="K595" s="81" t="s">
        <v>870</v>
      </c>
      <c r="L595" s="15" t="s">
        <v>193</v>
      </c>
      <c r="M595" s="15">
        <v>31.0</v>
      </c>
      <c r="N595" s="79">
        <v>45973.0</v>
      </c>
      <c r="O595" s="17" t="s">
        <v>428</v>
      </c>
      <c r="P595" s="16">
        <v>4.0</v>
      </c>
      <c r="Q595" s="16">
        <v>4.0</v>
      </c>
      <c r="R595" s="16">
        <v>4.0</v>
      </c>
      <c r="S595" s="16">
        <v>4.0</v>
      </c>
      <c r="T595" s="16">
        <v>4.0</v>
      </c>
      <c r="U595" s="16">
        <v>4.0</v>
      </c>
      <c r="V595" s="16">
        <v>4.0</v>
      </c>
      <c r="W595" s="16">
        <v>4.0</v>
      </c>
      <c r="X595" s="16">
        <v>4.0</v>
      </c>
      <c r="Y595" s="16">
        <v>4.0</v>
      </c>
      <c r="Z595" s="16">
        <v>4.0</v>
      </c>
      <c r="AA595" s="16">
        <v>4.0</v>
      </c>
      <c r="AB595" s="16">
        <v>4.0</v>
      </c>
      <c r="AC595" s="16">
        <v>4.0</v>
      </c>
      <c r="AD595" s="38">
        <v>14.0</v>
      </c>
      <c r="AE595" s="38">
        <v>15.0</v>
      </c>
      <c r="AF595" s="38">
        <v>16.0</v>
      </c>
      <c r="AG595" s="38" t="s">
        <v>1236</v>
      </c>
      <c r="AI595" s="18" t="s">
        <v>577</v>
      </c>
    </row>
    <row r="596">
      <c r="A596" s="11"/>
      <c r="B596" s="12" t="s">
        <v>7</v>
      </c>
      <c r="C596" s="12" t="s">
        <v>37</v>
      </c>
      <c r="D596" s="12" t="s">
        <v>38</v>
      </c>
      <c r="E596" s="12" t="s">
        <v>45</v>
      </c>
      <c r="F596" s="13" t="s">
        <v>44</v>
      </c>
      <c r="G596" s="12" t="s">
        <v>68</v>
      </c>
      <c r="H596" s="12" t="s">
        <v>830</v>
      </c>
      <c r="I596" s="12" t="s">
        <v>831</v>
      </c>
      <c r="J596" s="46" t="s">
        <v>874</v>
      </c>
      <c r="K596" s="46" t="s">
        <v>874</v>
      </c>
      <c r="L596" s="15" t="s">
        <v>193</v>
      </c>
      <c r="M596" s="15">
        <v>27.0</v>
      </c>
      <c r="N596" s="79">
        <v>45973.0</v>
      </c>
      <c r="O596" s="17" t="s">
        <v>428</v>
      </c>
      <c r="P596" s="16">
        <v>3.0</v>
      </c>
      <c r="Q596" s="16">
        <v>3.0</v>
      </c>
      <c r="R596" s="16">
        <v>2.0</v>
      </c>
      <c r="S596" s="16">
        <v>2.0</v>
      </c>
      <c r="T596" s="16">
        <v>4.0</v>
      </c>
      <c r="U596" s="16">
        <v>3.0</v>
      </c>
      <c r="V596" s="16">
        <v>3.0</v>
      </c>
      <c r="W596" s="16">
        <v>2.0</v>
      </c>
      <c r="X596" s="16">
        <v>4.0</v>
      </c>
      <c r="Y596" s="16">
        <v>4.0</v>
      </c>
      <c r="Z596" s="16">
        <v>4.0</v>
      </c>
      <c r="AA596" s="16">
        <v>3.0</v>
      </c>
      <c r="AB596" s="16">
        <v>4.0</v>
      </c>
      <c r="AC596" s="16">
        <v>4.0</v>
      </c>
      <c r="AD596" s="38">
        <v>15.0</v>
      </c>
      <c r="AE596" s="38">
        <v>13.0</v>
      </c>
      <c r="AF596" s="38">
        <v>14.0</v>
      </c>
      <c r="AG596" s="38" t="s">
        <v>1237</v>
      </c>
      <c r="AI596" s="18" t="s">
        <v>577</v>
      </c>
    </row>
    <row r="597">
      <c r="A597" s="11"/>
      <c r="B597" s="12" t="s">
        <v>7</v>
      </c>
      <c r="C597" s="12" t="s">
        <v>37</v>
      </c>
      <c r="D597" s="12" t="s">
        <v>38</v>
      </c>
      <c r="E597" s="12" t="s">
        <v>45</v>
      </c>
      <c r="F597" s="13" t="s">
        <v>44</v>
      </c>
      <c r="G597" s="12" t="s">
        <v>68</v>
      </c>
      <c r="H597" s="12" t="s">
        <v>830</v>
      </c>
      <c r="I597" s="12" t="s">
        <v>831</v>
      </c>
      <c r="J597" s="15" t="s">
        <v>868</v>
      </c>
      <c r="K597" s="15" t="s">
        <v>868</v>
      </c>
      <c r="L597" s="15" t="s">
        <v>193</v>
      </c>
      <c r="M597" s="15">
        <v>21.0</v>
      </c>
      <c r="N597" s="79">
        <v>45973.0</v>
      </c>
      <c r="O597" s="17" t="s">
        <v>428</v>
      </c>
      <c r="P597" s="16">
        <v>4.0</v>
      </c>
      <c r="Q597" s="16">
        <v>4.0</v>
      </c>
      <c r="R597" s="16">
        <v>2.0</v>
      </c>
      <c r="S597" s="16">
        <v>2.0</v>
      </c>
      <c r="T597" s="16">
        <v>5.0</v>
      </c>
      <c r="U597" s="16">
        <v>4.0</v>
      </c>
      <c r="V597" s="16">
        <v>4.0</v>
      </c>
      <c r="W597" s="16">
        <v>2.0</v>
      </c>
      <c r="X597" s="16">
        <v>3.0</v>
      </c>
      <c r="Y597" s="16">
        <v>3.0</v>
      </c>
      <c r="Z597" s="16">
        <v>5.0</v>
      </c>
      <c r="AA597" s="16">
        <v>4.0</v>
      </c>
      <c r="AB597" s="16">
        <v>5.0</v>
      </c>
      <c r="AC597" s="16">
        <v>3.0</v>
      </c>
      <c r="AD597" s="38">
        <v>14.0</v>
      </c>
      <c r="AE597" s="38">
        <v>11.0</v>
      </c>
      <c r="AF597" s="38">
        <v>18.0</v>
      </c>
      <c r="AG597" s="38" t="s">
        <v>1238</v>
      </c>
      <c r="AI597" s="18" t="s">
        <v>577</v>
      </c>
    </row>
    <row r="598">
      <c r="A598" s="11"/>
      <c r="B598" s="12" t="s">
        <v>7</v>
      </c>
      <c r="C598" s="12" t="s">
        <v>8</v>
      </c>
      <c r="D598" s="12" t="s">
        <v>24</v>
      </c>
      <c r="E598" s="12" t="s">
        <v>29</v>
      </c>
      <c r="F598" s="13" t="s">
        <v>27</v>
      </c>
      <c r="G598" s="12" t="s">
        <v>68</v>
      </c>
      <c r="H598" s="12" t="s">
        <v>801</v>
      </c>
      <c r="I598" s="12" t="s">
        <v>802</v>
      </c>
      <c r="J598" s="82" t="s">
        <v>809</v>
      </c>
      <c r="K598" s="82" t="s">
        <v>809</v>
      </c>
      <c r="L598" s="15" t="s">
        <v>193</v>
      </c>
      <c r="M598" s="15">
        <v>33.0</v>
      </c>
      <c r="N598" s="79">
        <v>45974.0</v>
      </c>
      <c r="O598" s="17" t="s">
        <v>428</v>
      </c>
      <c r="P598" s="16">
        <v>3.0</v>
      </c>
      <c r="Q598" s="16">
        <v>3.0</v>
      </c>
      <c r="R598" s="16">
        <v>4.0</v>
      </c>
      <c r="S598" s="16">
        <v>4.0</v>
      </c>
      <c r="T598" s="16">
        <v>5.0</v>
      </c>
      <c r="U598" s="16">
        <v>5.0</v>
      </c>
      <c r="V598" s="16">
        <v>5.0</v>
      </c>
      <c r="W598" s="16">
        <v>4.0</v>
      </c>
      <c r="X598" s="16">
        <v>4.0</v>
      </c>
      <c r="Y598" s="16">
        <v>4.0</v>
      </c>
      <c r="Z598" s="16">
        <v>5.0</v>
      </c>
      <c r="AA598" s="16">
        <v>3.0</v>
      </c>
      <c r="AB598" s="16">
        <v>5.0</v>
      </c>
      <c r="AC598" s="16">
        <v>4.0</v>
      </c>
      <c r="AD598" s="38">
        <v>15.0</v>
      </c>
      <c r="AE598" s="38">
        <v>14.0</v>
      </c>
      <c r="AF598" s="38">
        <v>20.0</v>
      </c>
      <c r="AG598" s="38" t="s">
        <v>1239</v>
      </c>
      <c r="AI598" s="18" t="s">
        <v>577</v>
      </c>
    </row>
    <row r="599">
      <c r="A599" s="11"/>
      <c r="B599" s="12" t="s">
        <v>7</v>
      </c>
      <c r="C599" s="12" t="s">
        <v>8</v>
      </c>
      <c r="D599" s="12" t="s">
        <v>24</v>
      </c>
      <c r="E599" s="12" t="s">
        <v>29</v>
      </c>
      <c r="F599" s="13" t="s">
        <v>27</v>
      </c>
      <c r="G599" s="12" t="s">
        <v>68</v>
      </c>
      <c r="H599" s="12" t="s">
        <v>801</v>
      </c>
      <c r="I599" s="12" t="s">
        <v>802</v>
      </c>
      <c r="J599" s="82" t="s">
        <v>811</v>
      </c>
      <c r="K599" s="82" t="s">
        <v>811</v>
      </c>
      <c r="L599" s="15" t="s">
        <v>193</v>
      </c>
      <c r="M599" s="15">
        <v>37.0</v>
      </c>
      <c r="N599" s="79">
        <v>45974.0</v>
      </c>
      <c r="O599" s="17" t="s">
        <v>428</v>
      </c>
      <c r="P599" s="16">
        <v>4.0</v>
      </c>
      <c r="Q599" s="16">
        <v>4.0</v>
      </c>
      <c r="R599" s="16">
        <v>3.0</v>
      </c>
      <c r="S599" s="16">
        <v>3.0</v>
      </c>
      <c r="T599" s="16">
        <v>4.0</v>
      </c>
      <c r="U599" s="16">
        <v>2.0</v>
      </c>
      <c r="V599" s="16">
        <v>2.0</v>
      </c>
      <c r="W599" s="16">
        <v>3.0</v>
      </c>
      <c r="X599" s="16">
        <v>5.0</v>
      </c>
      <c r="Y599" s="16">
        <v>5.0</v>
      </c>
      <c r="Z599" s="16">
        <v>4.0</v>
      </c>
      <c r="AA599" s="16">
        <v>4.0</v>
      </c>
      <c r="AB599" s="16">
        <v>4.0</v>
      </c>
      <c r="AC599" s="16">
        <v>5.0</v>
      </c>
      <c r="AD599" s="38">
        <v>14.0</v>
      </c>
      <c r="AE599" s="38">
        <v>15.0</v>
      </c>
      <c r="AF599" s="38">
        <v>12.0</v>
      </c>
      <c r="AG599" s="38" t="s">
        <v>1240</v>
      </c>
      <c r="AI599" s="18" t="s">
        <v>577</v>
      </c>
    </row>
    <row r="600">
      <c r="A600" s="11"/>
      <c r="B600" s="12" t="s">
        <v>7</v>
      </c>
      <c r="C600" s="12" t="s">
        <v>8</v>
      </c>
      <c r="D600" s="12" t="s">
        <v>24</v>
      </c>
      <c r="E600" s="12" t="s">
        <v>29</v>
      </c>
      <c r="F600" s="13" t="s">
        <v>27</v>
      </c>
      <c r="G600" s="12" t="s">
        <v>68</v>
      </c>
      <c r="H600" s="12" t="s">
        <v>801</v>
      </c>
      <c r="I600" s="12" t="s">
        <v>802</v>
      </c>
      <c r="J600" s="82" t="s">
        <v>1241</v>
      </c>
      <c r="K600" s="82" t="s">
        <v>1241</v>
      </c>
      <c r="L600" s="15" t="s">
        <v>222</v>
      </c>
      <c r="M600" s="15">
        <v>40.0</v>
      </c>
      <c r="N600" s="79">
        <v>45974.0</v>
      </c>
      <c r="O600" s="17" t="s">
        <v>428</v>
      </c>
      <c r="P600" s="16">
        <v>5.0</v>
      </c>
      <c r="Q600" s="16">
        <v>5.0</v>
      </c>
      <c r="R600" s="16">
        <v>5.0</v>
      </c>
      <c r="S600" s="16">
        <v>5.0</v>
      </c>
      <c r="T600" s="16">
        <v>4.0</v>
      </c>
      <c r="U600" s="16">
        <v>3.0</v>
      </c>
      <c r="V600" s="16">
        <v>3.0</v>
      </c>
      <c r="W600" s="16">
        <v>5.0</v>
      </c>
      <c r="X600" s="16">
        <v>3.0</v>
      </c>
      <c r="Y600" s="16">
        <v>3.0</v>
      </c>
      <c r="Z600" s="16">
        <v>4.0</v>
      </c>
      <c r="AA600" s="16">
        <v>5.0</v>
      </c>
      <c r="AB600" s="16">
        <v>4.0</v>
      </c>
      <c r="AC600" s="16">
        <v>3.0</v>
      </c>
      <c r="AD600" s="38">
        <v>13.0</v>
      </c>
      <c r="AE600" s="38">
        <v>15.0</v>
      </c>
      <c r="AF600" s="38">
        <v>14.0</v>
      </c>
      <c r="AG600" s="38" t="s">
        <v>1242</v>
      </c>
      <c r="AI600" s="18" t="s">
        <v>577</v>
      </c>
    </row>
    <row r="601">
      <c r="A601" s="11"/>
      <c r="B601" s="12" t="s">
        <v>7</v>
      </c>
      <c r="C601" s="12" t="s">
        <v>8</v>
      </c>
      <c r="D601" s="12" t="s">
        <v>24</v>
      </c>
      <c r="E601" s="12" t="s">
        <v>29</v>
      </c>
      <c r="F601" s="13" t="s">
        <v>27</v>
      </c>
      <c r="G601" s="12" t="s">
        <v>68</v>
      </c>
      <c r="H601" s="12" t="s">
        <v>801</v>
      </c>
      <c r="I601" s="12" t="s">
        <v>802</v>
      </c>
      <c r="J601" s="82" t="s">
        <v>803</v>
      </c>
      <c r="K601" s="82" t="s">
        <v>803</v>
      </c>
      <c r="L601" s="15" t="s">
        <v>193</v>
      </c>
      <c r="M601" s="15">
        <v>38.0</v>
      </c>
      <c r="N601" s="79">
        <v>45974.0</v>
      </c>
      <c r="O601" s="17" t="s">
        <v>428</v>
      </c>
      <c r="P601" s="16">
        <v>5.0</v>
      </c>
      <c r="Q601" s="16">
        <v>5.0</v>
      </c>
      <c r="R601" s="16">
        <v>5.0</v>
      </c>
      <c r="S601" s="16">
        <v>5.0</v>
      </c>
      <c r="T601" s="16">
        <v>5.0</v>
      </c>
      <c r="U601" s="16">
        <v>5.0</v>
      </c>
      <c r="V601" s="16">
        <v>5.0</v>
      </c>
      <c r="W601" s="16">
        <v>5.0</v>
      </c>
      <c r="X601" s="16">
        <v>4.0</v>
      </c>
      <c r="Y601" s="16">
        <v>4.0</v>
      </c>
      <c r="Z601" s="16">
        <v>5.0</v>
      </c>
      <c r="AA601" s="16">
        <v>5.0</v>
      </c>
      <c r="AB601" s="16">
        <v>5.0</v>
      </c>
      <c r="AC601" s="16">
        <v>4.0</v>
      </c>
      <c r="AD601" s="38">
        <v>13.0</v>
      </c>
      <c r="AE601" s="38">
        <v>15.0</v>
      </c>
      <c r="AF601" s="38">
        <v>20.0</v>
      </c>
      <c r="AG601" s="38" t="s">
        <v>1243</v>
      </c>
      <c r="AI601" s="18" t="s">
        <v>577</v>
      </c>
    </row>
    <row r="602">
      <c r="A602" s="11"/>
      <c r="B602" s="12" t="s">
        <v>7</v>
      </c>
      <c r="C602" s="12" t="s">
        <v>8</v>
      </c>
      <c r="D602" s="12" t="s">
        <v>24</v>
      </c>
      <c r="E602" s="12" t="s">
        <v>35</v>
      </c>
      <c r="F602" s="13" t="s">
        <v>33</v>
      </c>
      <c r="G602" s="12" t="s">
        <v>68</v>
      </c>
      <c r="H602" s="12" t="s">
        <v>813</v>
      </c>
      <c r="I602" s="12" t="s">
        <v>814</v>
      </c>
      <c r="J602" s="82" t="s">
        <v>820</v>
      </c>
      <c r="K602" s="82" t="s">
        <v>820</v>
      </c>
      <c r="L602" s="15" t="s">
        <v>193</v>
      </c>
      <c r="M602" s="15">
        <v>33.0</v>
      </c>
      <c r="N602" s="79">
        <v>45975.0</v>
      </c>
      <c r="O602" s="17" t="s">
        <v>428</v>
      </c>
      <c r="P602" s="16">
        <v>4.0</v>
      </c>
      <c r="Q602" s="16">
        <v>4.0</v>
      </c>
      <c r="R602" s="16">
        <v>4.0</v>
      </c>
      <c r="S602" s="16">
        <v>4.0</v>
      </c>
      <c r="T602" s="16">
        <v>4.0</v>
      </c>
      <c r="U602" s="16">
        <v>3.0</v>
      </c>
      <c r="V602" s="16">
        <v>3.0</v>
      </c>
      <c r="W602" s="16">
        <v>4.0</v>
      </c>
      <c r="X602" s="16">
        <v>5.0</v>
      </c>
      <c r="Y602" s="16">
        <v>5.0</v>
      </c>
      <c r="Z602" s="16">
        <v>4.0</v>
      </c>
      <c r="AA602" s="16">
        <v>4.0</v>
      </c>
      <c r="AB602" s="16">
        <v>4.0</v>
      </c>
      <c r="AC602" s="16">
        <v>5.0</v>
      </c>
      <c r="AD602" s="38">
        <v>14.0</v>
      </c>
      <c r="AE602" s="38">
        <v>16.0</v>
      </c>
      <c r="AF602" s="38">
        <v>14.0</v>
      </c>
      <c r="AG602" s="38" t="s">
        <v>1244</v>
      </c>
      <c r="AI602" s="18" t="s">
        <v>577</v>
      </c>
    </row>
    <row r="603">
      <c r="A603" s="11"/>
      <c r="B603" s="12" t="s">
        <v>7</v>
      </c>
      <c r="C603" s="12" t="s">
        <v>8</v>
      </c>
      <c r="D603" s="12" t="s">
        <v>24</v>
      </c>
      <c r="E603" s="12" t="s">
        <v>35</v>
      </c>
      <c r="F603" s="13" t="s">
        <v>33</v>
      </c>
      <c r="G603" s="12" t="s">
        <v>68</v>
      </c>
      <c r="H603" s="12" t="s">
        <v>813</v>
      </c>
      <c r="I603" s="12" t="s">
        <v>814</v>
      </c>
      <c r="J603" s="82" t="s">
        <v>822</v>
      </c>
      <c r="K603" s="82" t="s">
        <v>822</v>
      </c>
      <c r="L603" s="15" t="s">
        <v>193</v>
      </c>
      <c r="M603" s="15">
        <v>23.0</v>
      </c>
      <c r="N603" s="79">
        <v>45975.0</v>
      </c>
      <c r="O603" s="17" t="s">
        <v>428</v>
      </c>
      <c r="P603" s="16">
        <v>3.0</v>
      </c>
      <c r="Q603" s="16">
        <v>3.0</v>
      </c>
      <c r="R603" s="16">
        <v>3.0</v>
      </c>
      <c r="S603" s="16">
        <v>3.0</v>
      </c>
      <c r="T603" s="16">
        <v>3.0</v>
      </c>
      <c r="U603" s="16">
        <v>4.0</v>
      </c>
      <c r="V603" s="16">
        <v>4.0</v>
      </c>
      <c r="W603" s="16">
        <v>3.0</v>
      </c>
      <c r="X603" s="16">
        <v>4.0</v>
      </c>
      <c r="Y603" s="16">
        <v>4.0</v>
      </c>
      <c r="Z603" s="16">
        <v>3.0</v>
      </c>
      <c r="AA603" s="16">
        <v>3.0</v>
      </c>
      <c r="AB603" s="16">
        <v>3.0</v>
      </c>
      <c r="AC603" s="16">
        <v>4.0</v>
      </c>
      <c r="AD603" s="38">
        <v>15.0</v>
      </c>
      <c r="AE603" s="38">
        <v>15.0</v>
      </c>
      <c r="AF603" s="38">
        <v>14.0</v>
      </c>
      <c r="AG603" s="38" t="s">
        <v>1245</v>
      </c>
      <c r="AI603" s="18" t="s">
        <v>577</v>
      </c>
    </row>
    <row r="604">
      <c r="A604" s="11"/>
      <c r="B604" s="12" t="s">
        <v>7</v>
      </c>
      <c r="C604" s="12" t="s">
        <v>8</v>
      </c>
      <c r="D604" s="12" t="s">
        <v>24</v>
      </c>
      <c r="E604" s="12" t="s">
        <v>35</v>
      </c>
      <c r="F604" s="13" t="s">
        <v>33</v>
      </c>
      <c r="G604" s="12" t="s">
        <v>68</v>
      </c>
      <c r="H604" s="12" t="s">
        <v>813</v>
      </c>
      <c r="I604" s="12" t="s">
        <v>814</v>
      </c>
      <c r="J604" s="82" t="s">
        <v>828</v>
      </c>
      <c r="K604" s="82" t="s">
        <v>828</v>
      </c>
      <c r="L604" s="15" t="s">
        <v>193</v>
      </c>
      <c r="M604" s="15">
        <v>34.0</v>
      </c>
      <c r="N604" s="79">
        <v>45975.0</v>
      </c>
      <c r="O604" s="17" t="s">
        <v>428</v>
      </c>
      <c r="P604" s="16">
        <v>4.0</v>
      </c>
      <c r="Q604" s="16">
        <v>4.0</v>
      </c>
      <c r="R604" s="16">
        <v>3.0</v>
      </c>
      <c r="S604" s="16">
        <v>3.0</v>
      </c>
      <c r="T604" s="16">
        <v>5.0</v>
      </c>
      <c r="U604" s="16">
        <v>4.0</v>
      </c>
      <c r="V604" s="16">
        <v>4.0</v>
      </c>
      <c r="W604" s="16">
        <v>3.0</v>
      </c>
      <c r="X604" s="16">
        <v>4.0</v>
      </c>
      <c r="Y604" s="16">
        <v>4.0</v>
      </c>
      <c r="Z604" s="16">
        <v>5.0</v>
      </c>
      <c r="AA604" s="16">
        <v>4.0</v>
      </c>
      <c r="AB604" s="16">
        <v>5.0</v>
      </c>
      <c r="AC604" s="16">
        <v>4.0</v>
      </c>
      <c r="AD604" s="38">
        <v>14.0</v>
      </c>
      <c r="AE604" s="38">
        <v>13.0</v>
      </c>
      <c r="AF604" s="38">
        <v>18.0</v>
      </c>
      <c r="AG604" s="38" t="s">
        <v>1246</v>
      </c>
      <c r="AI604" s="18" t="s">
        <v>577</v>
      </c>
    </row>
    <row r="605">
      <c r="A605" s="11"/>
      <c r="B605" s="12" t="s">
        <v>7</v>
      </c>
      <c r="C605" s="12" t="s">
        <v>8</v>
      </c>
      <c r="D605" s="12" t="s">
        <v>24</v>
      </c>
      <c r="E605" s="12" t="s">
        <v>35</v>
      </c>
      <c r="F605" s="13" t="s">
        <v>33</v>
      </c>
      <c r="G605" s="12" t="s">
        <v>68</v>
      </c>
      <c r="H605" s="12" t="s">
        <v>813</v>
      </c>
      <c r="I605" s="12" t="s">
        <v>814</v>
      </c>
      <c r="J605" s="82" t="s">
        <v>1247</v>
      </c>
      <c r="K605" s="82" t="s">
        <v>1247</v>
      </c>
      <c r="L605" s="15" t="s">
        <v>193</v>
      </c>
      <c r="M605" s="79"/>
      <c r="N605" s="79">
        <v>45975.0</v>
      </c>
      <c r="O605" s="17" t="s">
        <v>428</v>
      </c>
      <c r="P605" s="16">
        <v>5.0</v>
      </c>
      <c r="Q605" s="16">
        <v>5.0</v>
      </c>
      <c r="R605" s="16">
        <v>4.0</v>
      </c>
      <c r="S605" s="16">
        <v>4.0</v>
      </c>
      <c r="T605" s="16">
        <v>4.0</v>
      </c>
      <c r="U605" s="16">
        <v>4.0</v>
      </c>
      <c r="V605" s="16">
        <v>4.0</v>
      </c>
      <c r="W605" s="16">
        <v>4.0</v>
      </c>
      <c r="X605" s="16">
        <v>4.0</v>
      </c>
      <c r="Y605" s="16">
        <v>4.0</v>
      </c>
      <c r="Z605" s="16">
        <v>4.0</v>
      </c>
      <c r="AA605" s="16">
        <v>5.0</v>
      </c>
      <c r="AB605" s="16">
        <v>4.0</v>
      </c>
      <c r="AC605" s="16">
        <v>4.0</v>
      </c>
      <c r="AD605" s="38">
        <v>13.0</v>
      </c>
      <c r="AE605" s="38">
        <v>15.0</v>
      </c>
      <c r="AF605" s="38">
        <v>16.0</v>
      </c>
      <c r="AG605" s="38" t="s">
        <v>1248</v>
      </c>
      <c r="AI605" s="18" t="s">
        <v>577</v>
      </c>
    </row>
    <row r="606">
      <c r="A606" s="11"/>
      <c r="B606" s="12" t="s">
        <v>7</v>
      </c>
      <c r="C606" s="12" t="s">
        <v>8</v>
      </c>
      <c r="D606" s="12" t="s">
        <v>24</v>
      </c>
      <c r="E606" s="12" t="s">
        <v>35</v>
      </c>
      <c r="F606" s="13" t="s">
        <v>33</v>
      </c>
      <c r="G606" s="12" t="s">
        <v>68</v>
      </c>
      <c r="H606" s="12" t="s">
        <v>813</v>
      </c>
      <c r="I606" s="12" t="s">
        <v>814</v>
      </c>
      <c r="J606" s="15" t="s">
        <v>824</v>
      </c>
      <c r="K606" s="15" t="s">
        <v>824</v>
      </c>
      <c r="L606" s="15" t="s">
        <v>193</v>
      </c>
      <c r="M606" s="15">
        <v>37.0</v>
      </c>
      <c r="N606" s="79">
        <v>45975.0</v>
      </c>
      <c r="O606" s="17" t="s">
        <v>428</v>
      </c>
      <c r="P606" s="16">
        <v>5.0</v>
      </c>
      <c r="Q606" s="16">
        <v>5.0</v>
      </c>
      <c r="R606" s="16">
        <v>4.0</v>
      </c>
      <c r="S606" s="16">
        <v>4.0</v>
      </c>
      <c r="T606" s="16">
        <v>5.0</v>
      </c>
      <c r="U606" s="16">
        <v>4.0</v>
      </c>
      <c r="V606" s="16">
        <v>4.0</v>
      </c>
      <c r="W606" s="16">
        <v>4.0</v>
      </c>
      <c r="X606" s="16">
        <v>4.0</v>
      </c>
      <c r="Y606" s="16">
        <v>4.0</v>
      </c>
      <c r="Z606" s="16">
        <v>5.0</v>
      </c>
      <c r="AA606" s="16">
        <v>5.0</v>
      </c>
      <c r="AB606" s="16">
        <v>5.0</v>
      </c>
      <c r="AC606" s="16">
        <v>4.0</v>
      </c>
      <c r="AD606" s="38">
        <v>13.0</v>
      </c>
      <c r="AE606" s="38">
        <v>14.0</v>
      </c>
      <c r="AF606" s="38">
        <v>18.0</v>
      </c>
      <c r="AG606" s="38" t="s">
        <v>1249</v>
      </c>
      <c r="AI606" s="18" t="s">
        <v>577</v>
      </c>
    </row>
    <row r="607">
      <c r="A607" s="11"/>
      <c r="B607" s="12" t="s">
        <v>7</v>
      </c>
      <c r="C607" s="12" t="s">
        <v>8</v>
      </c>
      <c r="D607" s="12" t="s">
        <v>24</v>
      </c>
      <c r="E607" s="12" t="s">
        <v>35</v>
      </c>
      <c r="F607" s="13" t="s">
        <v>33</v>
      </c>
      <c r="G607" s="12" t="s">
        <v>68</v>
      </c>
      <c r="H607" s="12" t="s">
        <v>813</v>
      </c>
      <c r="I607" s="12" t="s">
        <v>814</v>
      </c>
      <c r="J607" s="15" t="s">
        <v>826</v>
      </c>
      <c r="K607" s="15" t="s">
        <v>826</v>
      </c>
      <c r="L607" s="15" t="s">
        <v>193</v>
      </c>
      <c r="M607" s="15">
        <v>21.0</v>
      </c>
      <c r="N607" s="79">
        <v>45975.0</v>
      </c>
      <c r="O607" s="17" t="s">
        <v>428</v>
      </c>
      <c r="P607" s="16">
        <v>4.0</v>
      </c>
      <c r="Q607" s="16">
        <v>4.0</v>
      </c>
      <c r="R607" s="16">
        <v>4.0</v>
      </c>
      <c r="S607" s="16">
        <v>4.0</v>
      </c>
      <c r="T607" s="16">
        <v>5.0</v>
      </c>
      <c r="U607" s="16">
        <v>4.0</v>
      </c>
      <c r="V607" s="16">
        <v>4.0</v>
      </c>
      <c r="W607" s="16">
        <v>4.0</v>
      </c>
      <c r="X607" s="16">
        <v>4.0</v>
      </c>
      <c r="Y607" s="16">
        <v>4.0</v>
      </c>
      <c r="Z607" s="16">
        <v>5.0</v>
      </c>
      <c r="AA607" s="16">
        <v>4.0</v>
      </c>
      <c r="AB607" s="16">
        <v>5.0</v>
      </c>
      <c r="AC607" s="16">
        <v>4.0</v>
      </c>
      <c r="AD607" s="38">
        <v>14.0</v>
      </c>
      <c r="AE607" s="38">
        <v>14.0</v>
      </c>
      <c r="AF607" s="38">
        <v>18.0</v>
      </c>
      <c r="AG607" s="38" t="s">
        <v>1250</v>
      </c>
      <c r="AI607" s="18" t="s">
        <v>577</v>
      </c>
    </row>
    <row r="608">
      <c r="A608" s="11"/>
      <c r="B608" s="12" t="s">
        <v>7</v>
      </c>
      <c r="C608" s="12" t="s">
        <v>8</v>
      </c>
      <c r="D608" s="12" t="s">
        <v>24</v>
      </c>
      <c r="E608" s="12" t="s">
        <v>35</v>
      </c>
      <c r="F608" s="13" t="s">
        <v>33</v>
      </c>
      <c r="G608" s="12" t="s">
        <v>68</v>
      </c>
      <c r="H608" s="12" t="s">
        <v>813</v>
      </c>
      <c r="I608" s="12" t="s">
        <v>814</v>
      </c>
      <c r="J608" s="15" t="s">
        <v>815</v>
      </c>
      <c r="K608" s="15" t="s">
        <v>815</v>
      </c>
      <c r="L608" s="15" t="s">
        <v>193</v>
      </c>
      <c r="M608" s="15">
        <v>31.0</v>
      </c>
      <c r="N608" s="79">
        <v>45975.0</v>
      </c>
      <c r="O608" s="17" t="s">
        <v>428</v>
      </c>
      <c r="P608" s="16">
        <v>2.0</v>
      </c>
      <c r="Q608" s="16">
        <v>2.0</v>
      </c>
      <c r="R608" s="16">
        <v>1.0</v>
      </c>
      <c r="S608" s="16">
        <v>1.0</v>
      </c>
      <c r="T608" s="16">
        <v>5.0</v>
      </c>
      <c r="U608" s="16">
        <v>5.0</v>
      </c>
      <c r="V608" s="16">
        <v>5.0</v>
      </c>
      <c r="W608" s="16">
        <v>1.0</v>
      </c>
      <c r="X608" s="16">
        <v>5.0</v>
      </c>
      <c r="Y608" s="16">
        <v>5.0</v>
      </c>
      <c r="Z608" s="16">
        <v>5.0</v>
      </c>
      <c r="AA608" s="16">
        <v>2.0</v>
      </c>
      <c r="AB608" s="16">
        <v>5.0</v>
      </c>
      <c r="AC608" s="16">
        <v>5.0</v>
      </c>
      <c r="AD608" s="38">
        <v>16.0</v>
      </c>
      <c r="AE608" s="38">
        <v>12.0</v>
      </c>
      <c r="AF608" s="38">
        <v>20.0</v>
      </c>
      <c r="AG608" s="38" t="s">
        <v>1251</v>
      </c>
      <c r="AI608" s="18" t="s">
        <v>577</v>
      </c>
    </row>
    <row r="609">
      <c r="A609" s="11"/>
      <c r="B609" s="12" t="s">
        <v>7</v>
      </c>
      <c r="C609" s="12" t="s">
        <v>8</v>
      </c>
      <c r="D609" s="12" t="s">
        <v>24</v>
      </c>
      <c r="E609" s="12" t="s">
        <v>35</v>
      </c>
      <c r="F609" s="13" t="s">
        <v>33</v>
      </c>
      <c r="G609" s="12" t="s">
        <v>68</v>
      </c>
      <c r="H609" s="12" t="s">
        <v>813</v>
      </c>
      <c r="I609" s="12" t="s">
        <v>814</v>
      </c>
      <c r="J609" s="15" t="s">
        <v>818</v>
      </c>
      <c r="K609" s="15" t="s">
        <v>818</v>
      </c>
      <c r="L609" s="15" t="s">
        <v>193</v>
      </c>
      <c r="M609" s="15">
        <v>40.0</v>
      </c>
      <c r="N609" s="79">
        <v>45975.0</v>
      </c>
      <c r="O609" s="17" t="s">
        <v>428</v>
      </c>
      <c r="P609" s="16">
        <v>4.0</v>
      </c>
      <c r="Q609" s="16">
        <v>4.0</v>
      </c>
      <c r="R609" s="16">
        <v>4.0</v>
      </c>
      <c r="S609" s="16">
        <v>4.0</v>
      </c>
      <c r="T609" s="16">
        <v>5.0</v>
      </c>
      <c r="U609" s="16">
        <v>4.0</v>
      </c>
      <c r="V609" s="16">
        <v>4.0</v>
      </c>
      <c r="W609" s="16">
        <v>4.0</v>
      </c>
      <c r="X609" s="16">
        <v>5.0</v>
      </c>
      <c r="Y609" s="16">
        <v>5.0</v>
      </c>
      <c r="Z609" s="16">
        <v>5.0</v>
      </c>
      <c r="AA609" s="16">
        <v>4.0</v>
      </c>
      <c r="AB609" s="16">
        <v>5.0</v>
      </c>
      <c r="AC609" s="16">
        <v>5.0</v>
      </c>
      <c r="AD609" s="38">
        <v>14.0</v>
      </c>
      <c r="AE609" s="38">
        <v>15.0</v>
      </c>
      <c r="AF609" s="38">
        <v>18.0</v>
      </c>
      <c r="AG609" s="38" t="s">
        <v>1252</v>
      </c>
      <c r="AI609" s="18" t="s">
        <v>577</v>
      </c>
    </row>
    <row r="610">
      <c r="A610" s="11"/>
      <c r="B610" s="12" t="s">
        <v>7</v>
      </c>
      <c r="C610" s="12" t="s">
        <v>8</v>
      </c>
      <c r="D610" s="12" t="s">
        <v>24</v>
      </c>
      <c r="E610" s="12" t="s">
        <v>35</v>
      </c>
      <c r="F610" s="13" t="s">
        <v>33</v>
      </c>
      <c r="G610" s="12" t="s">
        <v>68</v>
      </c>
      <c r="H610" s="12" t="s">
        <v>813</v>
      </c>
      <c r="I610" s="12" t="s">
        <v>814</v>
      </c>
      <c r="J610" s="15" t="s">
        <v>1253</v>
      </c>
      <c r="K610" s="15" t="s">
        <v>1253</v>
      </c>
      <c r="L610" s="15" t="s">
        <v>222</v>
      </c>
      <c r="M610" s="15">
        <v>43.0</v>
      </c>
      <c r="N610" s="79">
        <v>45975.0</v>
      </c>
      <c r="O610" s="17" t="s">
        <v>428</v>
      </c>
      <c r="P610" s="16">
        <v>4.0</v>
      </c>
      <c r="Q610" s="16">
        <v>4.0</v>
      </c>
      <c r="R610" s="16">
        <v>5.0</v>
      </c>
      <c r="S610" s="16">
        <v>5.0</v>
      </c>
      <c r="T610" s="16">
        <v>5.0</v>
      </c>
      <c r="U610" s="16">
        <v>4.0</v>
      </c>
      <c r="V610" s="16">
        <v>4.0</v>
      </c>
      <c r="W610" s="16">
        <v>5.0</v>
      </c>
      <c r="X610" s="16">
        <v>5.0</v>
      </c>
      <c r="Y610" s="16">
        <v>5.0</v>
      </c>
      <c r="Z610" s="16">
        <v>5.0</v>
      </c>
      <c r="AA610" s="16">
        <v>4.0</v>
      </c>
      <c r="AB610" s="16">
        <v>5.0</v>
      </c>
      <c r="AC610" s="16">
        <v>5.0</v>
      </c>
      <c r="AD610" s="38">
        <v>14.0</v>
      </c>
      <c r="AE610" s="38">
        <v>16.0</v>
      </c>
      <c r="AF610" s="38">
        <v>18.0</v>
      </c>
      <c r="AG610" s="38" t="s">
        <v>1254</v>
      </c>
      <c r="AI610" s="18" t="s">
        <v>577</v>
      </c>
    </row>
    <row r="611">
      <c r="A611" s="11"/>
      <c r="B611" s="12" t="s">
        <v>7</v>
      </c>
      <c r="C611" s="12" t="s">
        <v>8</v>
      </c>
      <c r="D611" s="12" t="s">
        <v>24</v>
      </c>
      <c r="E611" s="12" t="s">
        <v>35</v>
      </c>
      <c r="F611" s="13" t="s">
        <v>33</v>
      </c>
      <c r="G611" s="12" t="s">
        <v>68</v>
      </c>
      <c r="H611" s="12" t="s">
        <v>813</v>
      </c>
      <c r="I611" s="12" t="s">
        <v>814</v>
      </c>
      <c r="J611" s="15" t="s">
        <v>1255</v>
      </c>
      <c r="K611" s="15" t="s">
        <v>1255</v>
      </c>
      <c r="L611" s="15" t="s">
        <v>193</v>
      </c>
      <c r="M611" s="15">
        <v>32.0</v>
      </c>
      <c r="N611" s="79">
        <v>45975.0</v>
      </c>
      <c r="O611" s="17" t="s">
        <v>428</v>
      </c>
      <c r="P611" s="16">
        <v>5.0</v>
      </c>
      <c r="Q611" s="16">
        <v>5.0</v>
      </c>
      <c r="R611" s="16">
        <v>4.0</v>
      </c>
      <c r="S611" s="16">
        <v>4.0</v>
      </c>
      <c r="T611" s="16">
        <v>5.0</v>
      </c>
      <c r="U611" s="16">
        <v>5.0</v>
      </c>
      <c r="V611" s="16">
        <v>5.0</v>
      </c>
      <c r="W611" s="16">
        <v>4.0</v>
      </c>
      <c r="X611" s="16">
        <v>5.0</v>
      </c>
      <c r="Y611" s="16">
        <v>5.0</v>
      </c>
      <c r="Z611" s="16">
        <v>5.0</v>
      </c>
      <c r="AA611" s="16">
        <v>5.0</v>
      </c>
      <c r="AB611" s="16">
        <v>5.0</v>
      </c>
      <c r="AC611" s="16">
        <v>5.0</v>
      </c>
      <c r="AD611" s="38">
        <v>13.0</v>
      </c>
      <c r="AE611" s="38">
        <v>15.0</v>
      </c>
      <c r="AF611" s="38">
        <v>20.0</v>
      </c>
      <c r="AG611" s="38" t="s">
        <v>1256</v>
      </c>
      <c r="AI611" s="18" t="s">
        <v>577</v>
      </c>
    </row>
    <row r="612">
      <c r="A612" s="11"/>
      <c r="B612" s="12" t="s">
        <v>7</v>
      </c>
      <c r="C612" s="12" t="s">
        <v>8</v>
      </c>
      <c r="D612" s="12" t="s">
        <v>15</v>
      </c>
      <c r="E612" s="12" t="s">
        <v>17</v>
      </c>
      <c r="F612" s="13" t="s">
        <v>18</v>
      </c>
      <c r="G612" s="12" t="s">
        <v>68</v>
      </c>
      <c r="H612" s="12" t="s">
        <v>954</v>
      </c>
      <c r="I612" s="12" t="s">
        <v>955</v>
      </c>
      <c r="J612" s="83" t="s">
        <v>960</v>
      </c>
      <c r="K612" s="83" t="s">
        <v>960</v>
      </c>
      <c r="L612" s="17" t="s">
        <v>193</v>
      </c>
      <c r="M612" s="84"/>
      <c r="N612" s="84">
        <v>45964.0</v>
      </c>
      <c r="O612" s="17" t="s">
        <v>428</v>
      </c>
      <c r="P612" s="16">
        <v>3.0</v>
      </c>
      <c r="Q612" s="16">
        <v>3.0</v>
      </c>
      <c r="R612" s="16">
        <v>3.0</v>
      </c>
      <c r="S612" s="16">
        <v>3.0</v>
      </c>
      <c r="T612" s="16">
        <v>4.0</v>
      </c>
      <c r="U612" s="16">
        <v>4.0</v>
      </c>
      <c r="V612" s="16">
        <v>4.0</v>
      </c>
      <c r="W612" s="16">
        <v>3.0</v>
      </c>
      <c r="X612" s="16">
        <v>5.0</v>
      </c>
      <c r="Y612" s="16">
        <v>5.0</v>
      </c>
      <c r="Z612" s="16">
        <v>4.0</v>
      </c>
      <c r="AA612" s="16">
        <v>3.0</v>
      </c>
      <c r="AB612" s="16">
        <v>4.0</v>
      </c>
      <c r="AC612" s="16">
        <v>5.0</v>
      </c>
      <c r="AD612" s="38">
        <v>15.0</v>
      </c>
      <c r="AE612" s="38">
        <v>15.0</v>
      </c>
      <c r="AF612" s="38">
        <v>16.0</v>
      </c>
      <c r="AG612" s="38" t="s">
        <v>1257</v>
      </c>
      <c r="AI612" s="18" t="s">
        <v>915</v>
      </c>
    </row>
    <row r="613">
      <c r="A613" s="11"/>
      <c r="B613" s="12" t="s">
        <v>7</v>
      </c>
      <c r="C613" s="12" t="s">
        <v>8</v>
      </c>
      <c r="D613" s="12" t="s">
        <v>15</v>
      </c>
      <c r="E613" s="12" t="s">
        <v>17</v>
      </c>
      <c r="F613" s="13" t="s">
        <v>18</v>
      </c>
      <c r="G613" s="12" t="s">
        <v>68</v>
      </c>
      <c r="H613" s="12" t="s">
        <v>954</v>
      </c>
      <c r="I613" s="12" t="s">
        <v>955</v>
      </c>
      <c r="J613" s="83" t="s">
        <v>966</v>
      </c>
      <c r="K613" s="83" t="s">
        <v>966</v>
      </c>
      <c r="L613" s="17" t="s">
        <v>193</v>
      </c>
      <c r="M613" s="83">
        <v>20.0</v>
      </c>
      <c r="N613" s="84">
        <v>45964.0</v>
      </c>
      <c r="O613" s="17" t="s">
        <v>428</v>
      </c>
      <c r="P613" s="16">
        <v>3.0</v>
      </c>
      <c r="Q613" s="16">
        <v>3.0</v>
      </c>
      <c r="R613" s="16">
        <v>4.0</v>
      </c>
      <c r="S613" s="16">
        <v>4.0</v>
      </c>
      <c r="T613" s="16">
        <v>4.0</v>
      </c>
      <c r="U613" s="16">
        <v>4.0</v>
      </c>
      <c r="V613" s="16">
        <v>4.0</v>
      </c>
      <c r="W613" s="16">
        <v>4.0</v>
      </c>
      <c r="X613" s="16">
        <v>4.0</v>
      </c>
      <c r="Y613" s="16">
        <v>4.0</v>
      </c>
      <c r="Z613" s="16">
        <v>4.0</v>
      </c>
      <c r="AA613" s="16">
        <v>3.0</v>
      </c>
      <c r="AB613" s="16">
        <v>4.0</v>
      </c>
      <c r="AC613" s="16">
        <v>4.0</v>
      </c>
      <c r="AD613" s="38">
        <v>15.0</v>
      </c>
      <c r="AE613" s="38">
        <v>15.0</v>
      </c>
      <c r="AF613" s="38">
        <v>16.0</v>
      </c>
      <c r="AG613" s="38" t="s">
        <v>1258</v>
      </c>
      <c r="AI613" s="18" t="s">
        <v>915</v>
      </c>
    </row>
    <row r="614">
      <c r="A614" s="11"/>
      <c r="B614" s="12" t="s">
        <v>7</v>
      </c>
      <c r="C614" s="12" t="s">
        <v>8</v>
      </c>
      <c r="D614" s="12" t="s">
        <v>15</v>
      </c>
      <c r="E614" s="12" t="s">
        <v>17</v>
      </c>
      <c r="F614" s="13" t="s">
        <v>18</v>
      </c>
      <c r="G614" s="12" t="s">
        <v>68</v>
      </c>
      <c r="H614" s="12" t="s">
        <v>954</v>
      </c>
      <c r="I614" s="12" t="s">
        <v>955</v>
      </c>
      <c r="J614" s="83" t="s">
        <v>956</v>
      </c>
      <c r="K614" s="83" t="s">
        <v>956</v>
      </c>
      <c r="L614" s="17" t="s">
        <v>193</v>
      </c>
      <c r="M614" s="83">
        <v>45.0</v>
      </c>
      <c r="N614" s="84">
        <v>45964.0</v>
      </c>
      <c r="O614" s="17" t="s">
        <v>428</v>
      </c>
      <c r="P614" s="16">
        <v>3.0</v>
      </c>
      <c r="Q614" s="16">
        <v>3.0</v>
      </c>
      <c r="R614" s="16">
        <v>4.0</v>
      </c>
      <c r="S614" s="16">
        <v>4.0</v>
      </c>
      <c r="T614" s="16">
        <v>4.0</v>
      </c>
      <c r="U614" s="16">
        <v>3.0</v>
      </c>
      <c r="V614" s="16">
        <v>3.0</v>
      </c>
      <c r="W614" s="16">
        <v>4.0</v>
      </c>
      <c r="X614" s="16">
        <v>4.0</v>
      </c>
      <c r="Y614" s="16">
        <v>4.0</v>
      </c>
      <c r="Z614" s="16">
        <v>4.0</v>
      </c>
      <c r="AA614" s="16">
        <v>3.0</v>
      </c>
      <c r="AB614" s="16">
        <v>4.0</v>
      </c>
      <c r="AC614" s="16">
        <v>4.0</v>
      </c>
      <c r="AD614" s="38">
        <v>15.0</v>
      </c>
      <c r="AE614" s="38">
        <v>15.0</v>
      </c>
      <c r="AF614" s="38">
        <v>14.0</v>
      </c>
      <c r="AG614" s="38" t="s">
        <v>1259</v>
      </c>
      <c r="AI614" s="18" t="s">
        <v>915</v>
      </c>
    </row>
    <row r="615">
      <c r="A615" s="11"/>
      <c r="B615" s="12" t="s">
        <v>7</v>
      </c>
      <c r="C615" s="12" t="s">
        <v>8</v>
      </c>
      <c r="D615" s="12" t="s">
        <v>15</v>
      </c>
      <c r="E615" s="12" t="s">
        <v>17</v>
      </c>
      <c r="F615" s="13" t="s">
        <v>18</v>
      </c>
      <c r="G615" s="12" t="s">
        <v>68</v>
      </c>
      <c r="H615" s="12" t="s">
        <v>954</v>
      </c>
      <c r="I615" s="12" t="s">
        <v>955</v>
      </c>
      <c r="J615" s="83" t="s">
        <v>964</v>
      </c>
      <c r="K615" s="83" t="s">
        <v>964</v>
      </c>
      <c r="L615" s="17" t="s">
        <v>193</v>
      </c>
      <c r="M615" s="83">
        <v>29.0</v>
      </c>
      <c r="N615" s="84">
        <v>45964.0</v>
      </c>
      <c r="O615" s="17" t="s">
        <v>428</v>
      </c>
      <c r="P615" s="16">
        <v>4.0</v>
      </c>
      <c r="Q615" s="16">
        <v>4.0</v>
      </c>
      <c r="R615" s="16">
        <v>3.0</v>
      </c>
      <c r="S615" s="16">
        <v>3.0</v>
      </c>
      <c r="T615" s="16">
        <v>4.0</v>
      </c>
      <c r="U615" s="16">
        <v>4.0</v>
      </c>
      <c r="V615" s="16">
        <v>4.0</v>
      </c>
      <c r="W615" s="16">
        <v>3.0</v>
      </c>
      <c r="X615" s="16">
        <v>5.0</v>
      </c>
      <c r="Y615" s="16">
        <v>5.0</v>
      </c>
      <c r="Z615" s="16">
        <v>4.0</v>
      </c>
      <c r="AA615" s="16">
        <v>4.0</v>
      </c>
      <c r="AB615" s="16">
        <v>4.0</v>
      </c>
      <c r="AC615" s="16">
        <v>5.0</v>
      </c>
      <c r="AD615" s="38">
        <v>14.0</v>
      </c>
      <c r="AE615" s="38">
        <v>15.0</v>
      </c>
      <c r="AF615" s="38">
        <v>16.0</v>
      </c>
      <c r="AG615" s="38" t="s">
        <v>1260</v>
      </c>
      <c r="AI615" s="18" t="s">
        <v>915</v>
      </c>
    </row>
    <row r="616">
      <c r="A616" s="11"/>
      <c r="B616" s="12" t="s">
        <v>7</v>
      </c>
      <c r="C616" s="12" t="s">
        <v>8</v>
      </c>
      <c r="D616" s="12" t="s">
        <v>15</v>
      </c>
      <c r="E616" s="12" t="s">
        <v>17</v>
      </c>
      <c r="F616" s="13" t="s">
        <v>18</v>
      </c>
      <c r="G616" s="12" t="s">
        <v>68</v>
      </c>
      <c r="H616" s="12" t="s">
        <v>954</v>
      </c>
      <c r="I616" s="12" t="s">
        <v>955</v>
      </c>
      <c r="J616" s="17" t="s">
        <v>1261</v>
      </c>
      <c r="K616" s="17" t="s">
        <v>1261</v>
      </c>
      <c r="L616" s="17" t="s">
        <v>222</v>
      </c>
      <c r="M616" s="84"/>
      <c r="N616" s="84">
        <v>45964.0</v>
      </c>
      <c r="O616" s="17" t="s">
        <v>428</v>
      </c>
      <c r="P616" s="16">
        <v>5.0</v>
      </c>
      <c r="Q616" s="16">
        <v>5.0</v>
      </c>
      <c r="R616" s="16">
        <v>5.0</v>
      </c>
      <c r="S616" s="16">
        <v>5.0</v>
      </c>
      <c r="T616" s="16">
        <v>5.0</v>
      </c>
      <c r="U616" s="16">
        <v>4.0</v>
      </c>
      <c r="V616" s="16">
        <v>4.0</v>
      </c>
      <c r="W616" s="16">
        <v>5.0</v>
      </c>
      <c r="X616" s="16">
        <v>5.0</v>
      </c>
      <c r="Y616" s="16">
        <v>5.0</v>
      </c>
      <c r="Z616" s="16">
        <v>5.0</v>
      </c>
      <c r="AA616" s="16">
        <v>5.0</v>
      </c>
      <c r="AB616" s="16">
        <v>5.0</v>
      </c>
      <c r="AC616" s="16">
        <v>5.0</v>
      </c>
      <c r="AD616" s="38">
        <v>13.0</v>
      </c>
      <c r="AE616" s="38">
        <v>16.0</v>
      </c>
      <c r="AF616" s="38">
        <v>18.0</v>
      </c>
      <c r="AG616" s="38" t="s">
        <v>1262</v>
      </c>
      <c r="AH616" s="17"/>
      <c r="AI616" s="18" t="s">
        <v>915</v>
      </c>
    </row>
    <row r="617">
      <c r="A617" s="11"/>
      <c r="B617" s="12" t="s">
        <v>7</v>
      </c>
      <c r="C617" s="12" t="s">
        <v>8</v>
      </c>
      <c r="D617" s="12" t="s">
        <v>9</v>
      </c>
      <c r="E617" s="12" t="s">
        <v>10</v>
      </c>
      <c r="F617" s="13" t="s">
        <v>11</v>
      </c>
      <c r="G617" s="12" t="s">
        <v>68</v>
      </c>
      <c r="H617" s="12" t="s">
        <v>911</v>
      </c>
      <c r="I617" s="12" t="s">
        <v>912</v>
      </c>
      <c r="J617" s="17" t="s">
        <v>1054</v>
      </c>
      <c r="K617" s="17" t="s">
        <v>1054</v>
      </c>
      <c r="L617" s="17" t="s">
        <v>193</v>
      </c>
      <c r="M617" s="83">
        <v>33.0</v>
      </c>
      <c r="N617" s="84">
        <v>45972.0</v>
      </c>
      <c r="O617" s="17" t="s">
        <v>428</v>
      </c>
      <c r="P617" s="16">
        <v>4.0</v>
      </c>
      <c r="Q617" s="16">
        <v>4.0</v>
      </c>
      <c r="R617" s="16">
        <v>5.0</v>
      </c>
      <c r="S617" s="16">
        <v>5.0</v>
      </c>
      <c r="T617" s="16">
        <v>4.0</v>
      </c>
      <c r="U617" s="16">
        <v>4.0</v>
      </c>
      <c r="V617" s="16">
        <v>4.0</v>
      </c>
      <c r="W617" s="16">
        <v>5.0</v>
      </c>
      <c r="X617" s="16">
        <v>5.0</v>
      </c>
      <c r="Y617" s="16">
        <v>5.0</v>
      </c>
      <c r="Z617" s="16">
        <v>4.0</v>
      </c>
      <c r="AA617" s="16">
        <v>4.0</v>
      </c>
      <c r="AB617" s="16">
        <v>4.0</v>
      </c>
      <c r="AC617" s="16">
        <v>5.0</v>
      </c>
      <c r="AD617" s="38">
        <v>14.0</v>
      </c>
      <c r="AE617" s="38">
        <v>17.0</v>
      </c>
      <c r="AF617" s="38">
        <v>16.0</v>
      </c>
      <c r="AG617" s="38" t="s">
        <v>1263</v>
      </c>
      <c r="AI617" s="18" t="s">
        <v>915</v>
      </c>
    </row>
    <row r="618">
      <c r="A618" s="11"/>
      <c r="B618" s="12" t="s">
        <v>7</v>
      </c>
      <c r="C618" s="12" t="s">
        <v>8</v>
      </c>
      <c r="D618" s="12" t="s">
        <v>9</v>
      </c>
      <c r="E618" s="12" t="s">
        <v>10</v>
      </c>
      <c r="F618" s="13" t="s">
        <v>11</v>
      </c>
      <c r="G618" s="12" t="s">
        <v>68</v>
      </c>
      <c r="H618" s="12" t="s">
        <v>911</v>
      </c>
      <c r="I618" s="12" t="s">
        <v>912</v>
      </c>
      <c r="J618" s="17" t="s">
        <v>1264</v>
      </c>
      <c r="K618" s="17" t="s">
        <v>1264</v>
      </c>
      <c r="L618" s="17" t="s">
        <v>193</v>
      </c>
      <c r="M618" s="84"/>
      <c r="N618" s="84">
        <v>45972.0</v>
      </c>
      <c r="O618" s="17" t="s">
        <v>428</v>
      </c>
      <c r="P618" s="16">
        <v>4.0</v>
      </c>
      <c r="Q618" s="16">
        <v>4.0</v>
      </c>
      <c r="R618" s="16">
        <v>4.0</v>
      </c>
      <c r="S618" s="16">
        <v>4.0</v>
      </c>
      <c r="T618" s="16">
        <v>5.0</v>
      </c>
      <c r="U618" s="16">
        <v>4.0</v>
      </c>
      <c r="V618" s="16">
        <v>4.0</v>
      </c>
      <c r="W618" s="16">
        <v>4.0</v>
      </c>
      <c r="X618" s="16">
        <v>3.0</v>
      </c>
      <c r="Y618" s="16">
        <v>3.0</v>
      </c>
      <c r="Z618" s="16">
        <v>5.0</v>
      </c>
      <c r="AA618" s="16">
        <v>4.0</v>
      </c>
      <c r="AB618" s="16">
        <v>5.0</v>
      </c>
      <c r="AC618" s="16">
        <v>3.0</v>
      </c>
      <c r="AD618" s="38">
        <v>14.0</v>
      </c>
      <c r="AE618" s="38">
        <v>13.0</v>
      </c>
      <c r="AF618" s="38">
        <v>18.0</v>
      </c>
      <c r="AG618" s="38" t="s">
        <v>1265</v>
      </c>
      <c r="AI618" s="18" t="s">
        <v>915</v>
      </c>
    </row>
    <row r="619">
      <c r="A619" s="11"/>
      <c r="B619" s="12" t="s">
        <v>7</v>
      </c>
      <c r="C619" s="12" t="s">
        <v>8</v>
      </c>
      <c r="D619" s="12" t="s">
        <v>9</v>
      </c>
      <c r="E619" s="12" t="s">
        <v>10</v>
      </c>
      <c r="F619" s="13" t="s">
        <v>11</v>
      </c>
      <c r="G619" s="12" t="s">
        <v>68</v>
      </c>
      <c r="H619" s="12" t="s">
        <v>911</v>
      </c>
      <c r="I619" s="12" t="s">
        <v>912</v>
      </c>
      <c r="J619" s="17" t="s">
        <v>1040</v>
      </c>
      <c r="K619" s="17" t="s">
        <v>1040</v>
      </c>
      <c r="L619" s="17" t="s">
        <v>193</v>
      </c>
      <c r="M619" s="83">
        <v>24.0</v>
      </c>
      <c r="N619" s="84">
        <v>45972.0</v>
      </c>
      <c r="O619" s="17" t="s">
        <v>428</v>
      </c>
      <c r="P619" s="16">
        <v>4.0</v>
      </c>
      <c r="Q619" s="16">
        <v>4.0</v>
      </c>
      <c r="R619" s="16">
        <v>4.0</v>
      </c>
      <c r="S619" s="16">
        <v>4.0</v>
      </c>
      <c r="T619" s="16">
        <v>5.0</v>
      </c>
      <c r="U619" s="16">
        <v>5.0</v>
      </c>
      <c r="V619" s="16">
        <v>5.0</v>
      </c>
      <c r="W619" s="16">
        <v>4.0</v>
      </c>
      <c r="X619" s="16">
        <v>3.0</v>
      </c>
      <c r="Y619" s="16">
        <v>3.0</v>
      </c>
      <c r="Z619" s="16">
        <v>5.0</v>
      </c>
      <c r="AA619" s="16">
        <v>4.0</v>
      </c>
      <c r="AB619" s="16">
        <v>5.0</v>
      </c>
      <c r="AC619" s="16">
        <v>3.0</v>
      </c>
      <c r="AD619" s="38">
        <v>14.0</v>
      </c>
      <c r="AE619" s="38">
        <v>13.0</v>
      </c>
      <c r="AF619" s="38">
        <v>20.0</v>
      </c>
      <c r="AG619" s="38" t="s">
        <v>1266</v>
      </c>
      <c r="AI619" s="18" t="s">
        <v>915</v>
      </c>
    </row>
    <row r="620">
      <c r="A620" s="11"/>
      <c r="B620" s="12" t="s">
        <v>7</v>
      </c>
      <c r="C620" s="12" t="s">
        <v>8</v>
      </c>
      <c r="D620" s="12" t="s">
        <v>9</v>
      </c>
      <c r="E620" s="12" t="s">
        <v>10</v>
      </c>
      <c r="F620" s="13" t="s">
        <v>11</v>
      </c>
      <c r="G620" s="12" t="s">
        <v>68</v>
      </c>
      <c r="H620" s="12" t="s">
        <v>911</v>
      </c>
      <c r="I620" s="12" t="s">
        <v>912</v>
      </c>
      <c r="J620" s="17" t="s">
        <v>1267</v>
      </c>
      <c r="K620" s="17" t="s">
        <v>1267</v>
      </c>
      <c r="L620" s="17" t="s">
        <v>193</v>
      </c>
      <c r="M620" s="83">
        <v>36.0</v>
      </c>
      <c r="N620" s="84">
        <v>45972.0</v>
      </c>
      <c r="O620" s="17" t="s">
        <v>428</v>
      </c>
      <c r="P620" s="16">
        <v>4.0</v>
      </c>
      <c r="Q620" s="16">
        <v>4.0</v>
      </c>
      <c r="R620" s="16">
        <v>3.0</v>
      </c>
      <c r="S620" s="16">
        <v>3.0</v>
      </c>
      <c r="T620" s="16">
        <v>4.0</v>
      </c>
      <c r="U620" s="16">
        <v>4.0</v>
      </c>
      <c r="V620" s="16">
        <v>4.0</v>
      </c>
      <c r="W620" s="16">
        <v>3.0</v>
      </c>
      <c r="X620" s="16">
        <v>4.0</v>
      </c>
      <c r="Y620" s="16">
        <v>4.0</v>
      </c>
      <c r="Z620" s="16">
        <v>4.0</v>
      </c>
      <c r="AA620" s="16">
        <v>4.0</v>
      </c>
      <c r="AB620" s="16">
        <v>4.0</v>
      </c>
      <c r="AC620" s="16">
        <v>4.0</v>
      </c>
      <c r="AD620" s="38">
        <v>14.0</v>
      </c>
      <c r="AE620" s="38">
        <v>14.0</v>
      </c>
      <c r="AF620" s="38">
        <v>16.0</v>
      </c>
      <c r="AG620" s="38" t="s">
        <v>1268</v>
      </c>
      <c r="AI620" s="18" t="s">
        <v>915</v>
      </c>
    </row>
    <row r="621">
      <c r="A621" s="11"/>
      <c r="B621" s="12" t="s">
        <v>7</v>
      </c>
      <c r="C621" s="12" t="s">
        <v>8</v>
      </c>
      <c r="D621" s="12" t="s">
        <v>9</v>
      </c>
      <c r="E621" s="12" t="s">
        <v>10</v>
      </c>
      <c r="F621" s="13" t="s">
        <v>11</v>
      </c>
      <c r="G621" s="12" t="s">
        <v>68</v>
      </c>
      <c r="H621" s="12" t="s">
        <v>911</v>
      </c>
      <c r="I621" s="12" t="s">
        <v>912</v>
      </c>
      <c r="J621" s="17" t="s">
        <v>1048</v>
      </c>
      <c r="K621" s="17" t="s">
        <v>1048</v>
      </c>
      <c r="L621" s="17" t="s">
        <v>193</v>
      </c>
      <c r="M621" s="83">
        <v>41.0</v>
      </c>
      <c r="N621" s="84">
        <v>45972.0</v>
      </c>
      <c r="O621" s="17" t="s">
        <v>428</v>
      </c>
      <c r="P621" s="16">
        <v>3.0</v>
      </c>
      <c r="Q621" s="16">
        <v>3.0</v>
      </c>
      <c r="R621" s="16">
        <v>4.0</v>
      </c>
      <c r="S621" s="16">
        <v>4.0</v>
      </c>
      <c r="T621" s="16">
        <v>4.0</v>
      </c>
      <c r="U621" s="16">
        <v>5.0</v>
      </c>
      <c r="V621" s="16">
        <v>5.0</v>
      </c>
      <c r="W621" s="16">
        <v>4.0</v>
      </c>
      <c r="X621" s="16">
        <v>4.0</v>
      </c>
      <c r="Y621" s="16">
        <v>4.0</v>
      </c>
      <c r="Z621" s="16">
        <v>4.0</v>
      </c>
      <c r="AA621" s="16">
        <v>3.0</v>
      </c>
      <c r="AB621" s="16">
        <v>4.0</v>
      </c>
      <c r="AC621" s="16">
        <v>4.0</v>
      </c>
      <c r="AD621" s="38">
        <v>15.0</v>
      </c>
      <c r="AE621" s="38">
        <v>15.0</v>
      </c>
      <c r="AF621" s="38">
        <v>18.0</v>
      </c>
      <c r="AG621" s="38" t="s">
        <v>1269</v>
      </c>
      <c r="AI621" s="18" t="s">
        <v>915</v>
      </c>
    </row>
    <row r="622">
      <c r="A622" s="11"/>
      <c r="B622" s="12" t="s">
        <v>7</v>
      </c>
      <c r="C622" s="12" t="s">
        <v>8</v>
      </c>
      <c r="D622" s="12" t="s">
        <v>9</v>
      </c>
      <c r="E622" s="12" t="s">
        <v>10</v>
      </c>
      <c r="F622" s="13" t="s">
        <v>11</v>
      </c>
      <c r="G622" s="12" t="s">
        <v>68</v>
      </c>
      <c r="H622" s="12" t="s">
        <v>911</v>
      </c>
      <c r="I622" s="12" t="s">
        <v>912</v>
      </c>
      <c r="J622" s="17" t="s">
        <v>1038</v>
      </c>
      <c r="K622" s="17" t="s">
        <v>1038</v>
      </c>
      <c r="L622" s="17" t="s">
        <v>193</v>
      </c>
      <c r="M622" s="83">
        <v>59.0</v>
      </c>
      <c r="N622" s="84">
        <v>45972.0</v>
      </c>
      <c r="O622" s="17" t="s">
        <v>428</v>
      </c>
      <c r="P622" s="16">
        <v>5.0</v>
      </c>
      <c r="Q622" s="16">
        <v>5.0</v>
      </c>
      <c r="R622" s="16">
        <v>4.0</v>
      </c>
      <c r="S622" s="16">
        <v>4.0</v>
      </c>
      <c r="T622" s="16">
        <v>3.0</v>
      </c>
      <c r="U622" s="16">
        <v>3.0</v>
      </c>
      <c r="V622" s="16">
        <v>3.0</v>
      </c>
      <c r="W622" s="16">
        <v>4.0</v>
      </c>
      <c r="X622" s="16">
        <v>5.0</v>
      </c>
      <c r="Y622" s="16">
        <v>5.0</v>
      </c>
      <c r="Z622" s="16">
        <v>3.0</v>
      </c>
      <c r="AA622" s="16">
        <v>5.0</v>
      </c>
      <c r="AB622" s="16">
        <v>3.0</v>
      </c>
      <c r="AC622" s="16">
        <v>5.0</v>
      </c>
      <c r="AD622" s="38">
        <v>13.0</v>
      </c>
      <c r="AE622" s="38">
        <v>17.0</v>
      </c>
      <c r="AF622" s="38">
        <v>12.0</v>
      </c>
      <c r="AG622" s="38" t="s">
        <v>1270</v>
      </c>
      <c r="AI622" s="18" t="s">
        <v>915</v>
      </c>
    </row>
    <row r="623">
      <c r="A623" s="11"/>
      <c r="B623" s="12" t="s">
        <v>7</v>
      </c>
      <c r="C623" s="12" t="s">
        <v>8</v>
      </c>
      <c r="D623" s="12" t="s">
        <v>9</v>
      </c>
      <c r="E623" s="12" t="s">
        <v>10</v>
      </c>
      <c r="F623" s="13" t="s">
        <v>11</v>
      </c>
      <c r="G623" s="12" t="s">
        <v>68</v>
      </c>
      <c r="H623" s="12" t="s">
        <v>911</v>
      </c>
      <c r="I623" s="12" t="s">
        <v>912</v>
      </c>
      <c r="J623" s="17" t="s">
        <v>1271</v>
      </c>
      <c r="K623" s="17" t="s">
        <v>1271</v>
      </c>
      <c r="L623" s="17" t="s">
        <v>193</v>
      </c>
      <c r="M623" s="83">
        <v>48.0</v>
      </c>
      <c r="N623" s="84">
        <v>45972.0</v>
      </c>
      <c r="O623" s="17" t="s">
        <v>428</v>
      </c>
      <c r="P623" s="16">
        <v>4.0</v>
      </c>
      <c r="Q623" s="16">
        <v>4.0</v>
      </c>
      <c r="R623" s="16">
        <v>3.0</v>
      </c>
      <c r="S623" s="16">
        <v>3.0</v>
      </c>
      <c r="T623" s="16">
        <v>5.0</v>
      </c>
      <c r="U623" s="16">
        <v>5.0</v>
      </c>
      <c r="V623" s="16">
        <v>5.0</v>
      </c>
      <c r="W623" s="16">
        <v>3.0</v>
      </c>
      <c r="X623" s="16">
        <v>5.0</v>
      </c>
      <c r="Y623" s="16">
        <v>5.0</v>
      </c>
      <c r="Z623" s="16">
        <v>5.0</v>
      </c>
      <c r="AA623" s="16">
        <v>4.0</v>
      </c>
      <c r="AB623" s="16">
        <v>5.0</v>
      </c>
      <c r="AC623" s="16">
        <v>5.0</v>
      </c>
      <c r="AD623" s="38">
        <v>14.0</v>
      </c>
      <c r="AE623" s="38">
        <v>14.0</v>
      </c>
      <c r="AF623" s="38">
        <v>20.0</v>
      </c>
      <c r="AG623" s="38" t="s">
        <v>1272</v>
      </c>
      <c r="AI623" s="18" t="s">
        <v>915</v>
      </c>
    </row>
    <row r="624">
      <c r="A624" s="11"/>
      <c r="B624" s="12" t="s">
        <v>7</v>
      </c>
      <c r="C624" s="12" t="s">
        <v>8</v>
      </c>
      <c r="D624" s="12" t="s">
        <v>9</v>
      </c>
      <c r="E624" s="12" t="s">
        <v>10</v>
      </c>
      <c r="F624" s="13" t="s">
        <v>11</v>
      </c>
      <c r="G624" s="12" t="s">
        <v>68</v>
      </c>
      <c r="H624" s="12" t="s">
        <v>911</v>
      </c>
      <c r="I624" s="12" t="s">
        <v>912</v>
      </c>
      <c r="J624" s="17" t="s">
        <v>1046</v>
      </c>
      <c r="K624" s="17" t="s">
        <v>1046</v>
      </c>
      <c r="L624" s="17" t="s">
        <v>222</v>
      </c>
      <c r="M624" s="83">
        <v>34.0</v>
      </c>
      <c r="N624" s="84">
        <v>45972.0</v>
      </c>
      <c r="O624" s="17" t="s">
        <v>428</v>
      </c>
      <c r="P624" s="16">
        <v>4.0</v>
      </c>
      <c r="Q624" s="16">
        <v>4.0</v>
      </c>
      <c r="R624" s="16">
        <v>4.0</v>
      </c>
      <c r="S624" s="16">
        <v>4.0</v>
      </c>
      <c r="T624" s="16">
        <v>4.0</v>
      </c>
      <c r="U624" s="16">
        <v>4.0</v>
      </c>
      <c r="V624" s="16">
        <v>4.0</v>
      </c>
      <c r="W624" s="16">
        <v>4.0</v>
      </c>
      <c r="X624" s="16">
        <v>4.0</v>
      </c>
      <c r="Y624" s="16">
        <v>4.0</v>
      </c>
      <c r="Z624" s="16">
        <v>4.0</v>
      </c>
      <c r="AA624" s="16">
        <v>4.0</v>
      </c>
      <c r="AB624" s="16">
        <v>4.0</v>
      </c>
      <c r="AC624" s="16">
        <v>4.0</v>
      </c>
      <c r="AD624" s="38">
        <v>14.0</v>
      </c>
      <c r="AE624" s="38">
        <v>15.0</v>
      </c>
      <c r="AF624" s="38">
        <v>16.0</v>
      </c>
      <c r="AG624" s="38" t="s">
        <v>1273</v>
      </c>
      <c r="AI624" s="18" t="s">
        <v>915</v>
      </c>
    </row>
    <row r="625">
      <c r="A625" s="11"/>
      <c r="B625" s="12" t="s">
        <v>7</v>
      </c>
      <c r="C625" s="12" t="s">
        <v>8</v>
      </c>
      <c r="D625" s="12" t="s">
        <v>15</v>
      </c>
      <c r="E625" s="12" t="s">
        <v>21</v>
      </c>
      <c r="F625" s="13" t="s">
        <v>19</v>
      </c>
      <c r="G625" s="12" t="s">
        <v>68</v>
      </c>
      <c r="H625" s="12" t="s">
        <v>968</v>
      </c>
      <c r="I625" s="12" t="s">
        <v>969</v>
      </c>
      <c r="J625" s="17" t="s">
        <v>1274</v>
      </c>
      <c r="K625" s="17" t="s">
        <v>1274</v>
      </c>
      <c r="L625" s="17" t="s">
        <v>193</v>
      </c>
      <c r="M625" s="83">
        <v>42.0</v>
      </c>
      <c r="N625" s="84">
        <v>45966.0</v>
      </c>
      <c r="O625" s="17" t="s">
        <v>428</v>
      </c>
      <c r="P625" s="16">
        <v>4.0</v>
      </c>
      <c r="Q625" s="16">
        <v>4.0</v>
      </c>
      <c r="R625" s="16">
        <v>4.0</v>
      </c>
      <c r="S625" s="16">
        <v>4.0</v>
      </c>
      <c r="T625" s="16">
        <v>4.0</v>
      </c>
      <c r="U625" s="16">
        <v>4.0</v>
      </c>
      <c r="V625" s="16">
        <v>4.0</v>
      </c>
      <c r="W625" s="16">
        <v>4.0</v>
      </c>
      <c r="X625" s="16">
        <v>4.0</v>
      </c>
      <c r="Y625" s="16">
        <v>4.0</v>
      </c>
      <c r="Z625" s="16">
        <v>4.0</v>
      </c>
      <c r="AA625" s="16">
        <v>4.0</v>
      </c>
      <c r="AB625" s="16">
        <v>4.0</v>
      </c>
      <c r="AC625" s="16">
        <v>4.0</v>
      </c>
      <c r="AD625" s="38">
        <v>14.0</v>
      </c>
      <c r="AE625" s="38">
        <v>15.0</v>
      </c>
      <c r="AF625" s="38">
        <v>16.0</v>
      </c>
      <c r="AG625" s="38" t="s">
        <v>1275</v>
      </c>
      <c r="AI625" s="18" t="s">
        <v>915</v>
      </c>
    </row>
    <row r="626">
      <c r="A626" s="11"/>
      <c r="B626" s="12" t="s">
        <v>7</v>
      </c>
      <c r="C626" s="12" t="s">
        <v>8</v>
      </c>
      <c r="D626" s="12" t="s">
        <v>15</v>
      </c>
      <c r="E626" s="12" t="s">
        <v>21</v>
      </c>
      <c r="F626" s="13" t="s">
        <v>19</v>
      </c>
      <c r="G626" s="12" t="s">
        <v>68</v>
      </c>
      <c r="H626" s="12" t="s">
        <v>968</v>
      </c>
      <c r="I626" s="12" t="s">
        <v>969</v>
      </c>
      <c r="J626" s="17" t="s">
        <v>1276</v>
      </c>
      <c r="K626" s="17" t="s">
        <v>1276</v>
      </c>
      <c r="L626" s="17" t="s">
        <v>193</v>
      </c>
      <c r="M626" s="83">
        <v>40.0</v>
      </c>
      <c r="N626" s="84">
        <v>45966.0</v>
      </c>
      <c r="O626" s="17" t="s">
        <v>428</v>
      </c>
      <c r="P626" s="16">
        <v>4.0</v>
      </c>
      <c r="Q626" s="16">
        <v>4.0</v>
      </c>
      <c r="R626" s="16">
        <v>4.0</v>
      </c>
      <c r="S626" s="16">
        <v>4.0</v>
      </c>
      <c r="T626" s="16">
        <v>4.0</v>
      </c>
      <c r="U626" s="16">
        <v>4.0</v>
      </c>
      <c r="V626" s="16">
        <v>4.0</v>
      </c>
      <c r="W626" s="16">
        <v>4.0</v>
      </c>
      <c r="X626" s="16">
        <v>4.0</v>
      </c>
      <c r="Y626" s="16">
        <v>4.0</v>
      </c>
      <c r="Z626" s="16">
        <v>4.0</v>
      </c>
      <c r="AA626" s="16">
        <v>4.0</v>
      </c>
      <c r="AB626" s="16">
        <v>4.0</v>
      </c>
      <c r="AC626" s="16">
        <v>4.0</v>
      </c>
      <c r="AD626" s="38">
        <v>14.0</v>
      </c>
      <c r="AE626" s="38">
        <v>15.0</v>
      </c>
      <c r="AF626" s="38">
        <v>16.0</v>
      </c>
      <c r="AG626" s="38" t="s">
        <v>1277</v>
      </c>
      <c r="AI626" s="18" t="s">
        <v>915</v>
      </c>
    </row>
    <row r="627">
      <c r="A627" s="11"/>
      <c r="B627" s="12" t="s">
        <v>7</v>
      </c>
      <c r="C627" s="12" t="s">
        <v>8</v>
      </c>
      <c r="D627" s="12" t="s">
        <v>15</v>
      </c>
      <c r="E627" s="12" t="s">
        <v>21</v>
      </c>
      <c r="F627" s="13" t="s">
        <v>19</v>
      </c>
      <c r="G627" s="12" t="s">
        <v>68</v>
      </c>
      <c r="H627" s="12" t="s">
        <v>968</v>
      </c>
      <c r="I627" s="12" t="s">
        <v>969</v>
      </c>
      <c r="J627" s="17" t="s">
        <v>986</v>
      </c>
      <c r="K627" s="17" t="s">
        <v>986</v>
      </c>
      <c r="L627" s="17" t="s">
        <v>193</v>
      </c>
      <c r="M627" s="83">
        <v>30.0</v>
      </c>
      <c r="N627" s="84">
        <v>45966.0</v>
      </c>
      <c r="O627" s="17" t="s">
        <v>428</v>
      </c>
      <c r="P627" s="16">
        <v>4.0</v>
      </c>
      <c r="Q627" s="16">
        <v>4.0</v>
      </c>
      <c r="R627" s="16">
        <v>4.0</v>
      </c>
      <c r="S627" s="16">
        <v>4.0</v>
      </c>
      <c r="T627" s="16">
        <v>4.0</v>
      </c>
      <c r="U627" s="16">
        <v>3.0</v>
      </c>
      <c r="V627" s="16">
        <v>3.0</v>
      </c>
      <c r="W627" s="16">
        <v>4.0</v>
      </c>
      <c r="X627" s="16">
        <v>4.0</v>
      </c>
      <c r="Y627" s="16">
        <v>4.0</v>
      </c>
      <c r="Z627" s="16">
        <v>4.0</v>
      </c>
      <c r="AA627" s="16">
        <v>4.0</v>
      </c>
      <c r="AB627" s="16">
        <v>4.0</v>
      </c>
      <c r="AC627" s="16">
        <v>4.0</v>
      </c>
      <c r="AD627" s="38">
        <v>14.0</v>
      </c>
      <c r="AE627" s="38">
        <v>15.0</v>
      </c>
      <c r="AF627" s="38">
        <v>14.0</v>
      </c>
      <c r="AG627" s="38" t="s">
        <v>1278</v>
      </c>
      <c r="AI627" s="18" t="s">
        <v>915</v>
      </c>
    </row>
    <row r="628">
      <c r="A628" s="11"/>
      <c r="B628" s="12" t="s">
        <v>7</v>
      </c>
      <c r="C628" s="12" t="s">
        <v>8</v>
      </c>
      <c r="D628" s="12" t="s">
        <v>15</v>
      </c>
      <c r="E628" s="12" t="s">
        <v>21</v>
      </c>
      <c r="F628" s="13" t="s">
        <v>19</v>
      </c>
      <c r="G628" s="12" t="s">
        <v>68</v>
      </c>
      <c r="H628" s="12" t="s">
        <v>968</v>
      </c>
      <c r="I628" s="12" t="s">
        <v>969</v>
      </c>
      <c r="J628" s="17" t="s">
        <v>988</v>
      </c>
      <c r="K628" s="17" t="s">
        <v>988</v>
      </c>
      <c r="L628" s="17" t="s">
        <v>193</v>
      </c>
      <c r="M628" s="83">
        <v>32.0</v>
      </c>
      <c r="N628" s="84">
        <v>45966.0</v>
      </c>
      <c r="O628" s="17" t="s">
        <v>428</v>
      </c>
      <c r="P628" s="16">
        <v>2.0</v>
      </c>
      <c r="Q628" s="16">
        <v>2.0</v>
      </c>
      <c r="R628" s="16">
        <v>4.0</v>
      </c>
      <c r="S628" s="16">
        <v>4.0</v>
      </c>
      <c r="T628" s="16">
        <v>4.0</v>
      </c>
      <c r="U628" s="16">
        <v>4.0</v>
      </c>
      <c r="V628" s="16">
        <v>4.0</v>
      </c>
      <c r="W628" s="16">
        <v>4.0</v>
      </c>
      <c r="X628" s="16">
        <v>4.0</v>
      </c>
      <c r="Y628" s="16">
        <v>4.0</v>
      </c>
      <c r="Z628" s="16">
        <v>4.0</v>
      </c>
      <c r="AA628" s="16">
        <v>2.0</v>
      </c>
      <c r="AB628" s="16">
        <v>4.0</v>
      </c>
      <c r="AC628" s="16">
        <v>4.0</v>
      </c>
      <c r="AD628" s="38">
        <v>16.0</v>
      </c>
      <c r="AE628" s="38">
        <v>15.0</v>
      </c>
      <c r="AF628" s="38">
        <v>16.0</v>
      </c>
      <c r="AG628" s="38" t="s">
        <v>1279</v>
      </c>
      <c r="AI628" s="18" t="s">
        <v>915</v>
      </c>
    </row>
    <row r="629">
      <c r="A629" s="11"/>
      <c r="B629" s="12" t="s">
        <v>7</v>
      </c>
      <c r="C629" s="12" t="s">
        <v>8</v>
      </c>
      <c r="D629" s="12" t="s">
        <v>15</v>
      </c>
      <c r="E629" s="12" t="s">
        <v>21</v>
      </c>
      <c r="F629" s="13" t="s">
        <v>19</v>
      </c>
      <c r="G629" s="12" t="s">
        <v>68</v>
      </c>
      <c r="H629" s="12" t="s">
        <v>968</v>
      </c>
      <c r="I629" s="12" t="s">
        <v>969</v>
      </c>
      <c r="J629" s="17" t="s">
        <v>1280</v>
      </c>
      <c r="K629" s="17" t="s">
        <v>1280</v>
      </c>
      <c r="L629" s="17" t="s">
        <v>193</v>
      </c>
      <c r="M629" s="83">
        <v>38.0</v>
      </c>
      <c r="N629" s="84">
        <v>45966.0</v>
      </c>
      <c r="O629" s="17" t="s">
        <v>428</v>
      </c>
      <c r="P629" s="16">
        <v>5.0</v>
      </c>
      <c r="Q629" s="16">
        <v>5.0</v>
      </c>
      <c r="R629" s="16">
        <v>4.0</v>
      </c>
      <c r="S629" s="16">
        <v>4.0</v>
      </c>
      <c r="T629" s="16">
        <v>4.0</v>
      </c>
      <c r="U629" s="16">
        <v>4.0</v>
      </c>
      <c r="V629" s="16">
        <v>4.0</v>
      </c>
      <c r="W629" s="16">
        <v>4.0</v>
      </c>
      <c r="X629" s="16">
        <v>4.0</v>
      </c>
      <c r="Y629" s="16">
        <v>4.0</v>
      </c>
      <c r="Z629" s="16">
        <v>4.0</v>
      </c>
      <c r="AA629" s="16">
        <v>5.0</v>
      </c>
      <c r="AB629" s="16">
        <v>4.0</v>
      </c>
      <c r="AC629" s="16">
        <v>4.0</v>
      </c>
      <c r="AD629" s="38">
        <v>13.0</v>
      </c>
      <c r="AE629" s="38">
        <v>15.0</v>
      </c>
      <c r="AF629" s="38">
        <v>16.0</v>
      </c>
      <c r="AG629" s="38" t="s">
        <v>1281</v>
      </c>
      <c r="AI629" s="18" t="s">
        <v>915</v>
      </c>
    </row>
    <row r="630">
      <c r="A630" s="11"/>
      <c r="B630" s="12" t="s">
        <v>7</v>
      </c>
      <c r="C630" s="12" t="s">
        <v>8</v>
      </c>
      <c r="D630" s="12" t="s">
        <v>15</v>
      </c>
      <c r="E630" s="12" t="s">
        <v>21</v>
      </c>
      <c r="F630" s="13" t="s">
        <v>19</v>
      </c>
      <c r="G630" s="12" t="s">
        <v>68</v>
      </c>
      <c r="H630" s="12" t="s">
        <v>968</v>
      </c>
      <c r="I630" s="12" t="s">
        <v>969</v>
      </c>
      <c r="J630" s="17" t="s">
        <v>1282</v>
      </c>
      <c r="K630" s="17" t="s">
        <v>1282</v>
      </c>
      <c r="L630" s="17" t="s">
        <v>193</v>
      </c>
      <c r="M630" s="83">
        <v>26.0</v>
      </c>
      <c r="N630" s="84">
        <v>45966.0</v>
      </c>
      <c r="O630" s="17" t="s">
        <v>428</v>
      </c>
      <c r="P630" s="16">
        <v>3.0</v>
      </c>
      <c r="Q630" s="16">
        <v>3.0</v>
      </c>
      <c r="R630" s="16">
        <v>4.0</v>
      </c>
      <c r="S630" s="16">
        <v>4.0</v>
      </c>
      <c r="T630" s="16">
        <v>4.0</v>
      </c>
      <c r="U630" s="16">
        <v>3.0</v>
      </c>
      <c r="V630" s="16">
        <v>3.0</v>
      </c>
      <c r="W630" s="16">
        <v>4.0</v>
      </c>
      <c r="X630" s="16">
        <v>4.0</v>
      </c>
      <c r="Y630" s="16">
        <v>4.0</v>
      </c>
      <c r="Z630" s="16">
        <v>4.0</v>
      </c>
      <c r="AA630" s="16">
        <v>3.0</v>
      </c>
      <c r="AB630" s="16">
        <v>4.0</v>
      </c>
      <c r="AC630" s="16">
        <v>4.0</v>
      </c>
      <c r="AD630" s="38">
        <v>15.0</v>
      </c>
      <c r="AE630" s="38">
        <v>15.0</v>
      </c>
      <c r="AF630" s="38">
        <v>14.0</v>
      </c>
      <c r="AG630" s="38" t="s">
        <v>1283</v>
      </c>
      <c r="AI630" s="18" t="s">
        <v>915</v>
      </c>
    </row>
    <row r="631">
      <c r="A631" s="11"/>
      <c r="B631" s="12" t="s">
        <v>7</v>
      </c>
      <c r="C631" s="12" t="s">
        <v>8</v>
      </c>
      <c r="D631" s="12" t="s">
        <v>15</v>
      </c>
      <c r="E631" s="12" t="s">
        <v>21</v>
      </c>
      <c r="F631" s="13" t="s">
        <v>19</v>
      </c>
      <c r="G631" s="12" t="s">
        <v>68</v>
      </c>
      <c r="H631" s="12" t="s">
        <v>968</v>
      </c>
      <c r="I631" s="12" t="s">
        <v>969</v>
      </c>
      <c r="J631" s="17" t="s">
        <v>1284</v>
      </c>
      <c r="K631" s="17" t="s">
        <v>1284</v>
      </c>
      <c r="L631" s="17" t="s">
        <v>193</v>
      </c>
      <c r="M631" s="83">
        <v>22.0</v>
      </c>
      <c r="N631" s="84">
        <v>45966.0</v>
      </c>
      <c r="O631" s="17" t="s">
        <v>428</v>
      </c>
      <c r="P631" s="16">
        <v>3.0</v>
      </c>
      <c r="Q631" s="16">
        <v>3.0</v>
      </c>
      <c r="R631" s="16">
        <v>3.0</v>
      </c>
      <c r="S631" s="16">
        <v>3.0</v>
      </c>
      <c r="T631" s="16">
        <v>4.0</v>
      </c>
      <c r="U631" s="16">
        <v>4.0</v>
      </c>
      <c r="V631" s="16">
        <v>4.0</v>
      </c>
      <c r="W631" s="16">
        <v>3.0</v>
      </c>
      <c r="X631" s="16">
        <v>4.0</v>
      </c>
      <c r="Y631" s="16">
        <v>4.0</v>
      </c>
      <c r="Z631" s="16">
        <v>4.0</v>
      </c>
      <c r="AA631" s="16">
        <v>3.0</v>
      </c>
      <c r="AB631" s="16">
        <v>4.0</v>
      </c>
      <c r="AC631" s="16">
        <v>4.0</v>
      </c>
      <c r="AD631" s="38">
        <v>15.0</v>
      </c>
      <c r="AE631" s="38">
        <v>14.0</v>
      </c>
      <c r="AF631" s="38">
        <v>16.0</v>
      </c>
      <c r="AG631" s="38" t="s">
        <v>1285</v>
      </c>
      <c r="AI631" s="18" t="s">
        <v>915</v>
      </c>
    </row>
    <row r="632">
      <c r="A632" s="11"/>
      <c r="B632" s="12" t="s">
        <v>7</v>
      </c>
      <c r="C632" s="12" t="s">
        <v>8</v>
      </c>
      <c r="D632" s="12" t="s">
        <v>15</v>
      </c>
      <c r="E632" s="12" t="s">
        <v>21</v>
      </c>
      <c r="F632" s="13" t="s">
        <v>19</v>
      </c>
      <c r="G632" s="12" t="s">
        <v>68</v>
      </c>
      <c r="H632" s="12" t="s">
        <v>968</v>
      </c>
      <c r="I632" s="12" t="s">
        <v>969</v>
      </c>
      <c r="J632" s="17" t="s">
        <v>1286</v>
      </c>
      <c r="K632" s="17" t="s">
        <v>1286</v>
      </c>
      <c r="L632" s="17" t="s">
        <v>193</v>
      </c>
      <c r="M632" s="83">
        <v>30.0</v>
      </c>
      <c r="N632" s="84">
        <v>45966.0</v>
      </c>
      <c r="O632" s="17" t="s">
        <v>428</v>
      </c>
      <c r="P632" s="16">
        <v>4.0</v>
      </c>
      <c r="Q632" s="16">
        <v>4.0</v>
      </c>
      <c r="R632" s="16">
        <v>4.0</v>
      </c>
      <c r="S632" s="16">
        <v>4.0</v>
      </c>
      <c r="T632" s="16">
        <v>4.0</v>
      </c>
      <c r="U632" s="16">
        <v>5.0</v>
      </c>
      <c r="V632" s="16">
        <v>5.0</v>
      </c>
      <c r="W632" s="16">
        <v>4.0</v>
      </c>
      <c r="X632" s="16">
        <v>5.0</v>
      </c>
      <c r="Y632" s="16">
        <v>5.0</v>
      </c>
      <c r="Z632" s="16">
        <v>4.0</v>
      </c>
      <c r="AA632" s="16">
        <v>4.0</v>
      </c>
      <c r="AB632" s="16">
        <v>4.0</v>
      </c>
      <c r="AC632" s="16">
        <v>5.0</v>
      </c>
      <c r="AD632" s="38">
        <v>14.0</v>
      </c>
      <c r="AE632" s="38">
        <v>16.0</v>
      </c>
      <c r="AF632" s="38">
        <v>18.0</v>
      </c>
      <c r="AG632" s="38" t="s">
        <v>1287</v>
      </c>
      <c r="AI632" s="18" t="s">
        <v>915</v>
      </c>
    </row>
    <row r="633">
      <c r="A633" s="11"/>
      <c r="B633" s="12" t="s">
        <v>7</v>
      </c>
      <c r="C633" s="12" t="s">
        <v>8</v>
      </c>
      <c r="D633" s="12" t="s">
        <v>15</v>
      </c>
      <c r="E633" s="12" t="s">
        <v>21</v>
      </c>
      <c r="F633" s="13" t="s">
        <v>19</v>
      </c>
      <c r="G633" s="12" t="s">
        <v>68</v>
      </c>
      <c r="H633" s="12" t="s">
        <v>968</v>
      </c>
      <c r="I633" s="12" t="s">
        <v>969</v>
      </c>
      <c r="J633" s="17" t="s">
        <v>1288</v>
      </c>
      <c r="K633" s="17" t="s">
        <v>1288</v>
      </c>
      <c r="L633" s="17" t="s">
        <v>193</v>
      </c>
      <c r="M633" s="83">
        <v>29.0</v>
      </c>
      <c r="N633" s="84">
        <v>45966.0</v>
      </c>
      <c r="O633" s="17" t="s">
        <v>428</v>
      </c>
      <c r="P633" s="16">
        <v>4.0</v>
      </c>
      <c r="Q633" s="16">
        <v>4.0</v>
      </c>
      <c r="R633" s="16">
        <v>4.0</v>
      </c>
      <c r="S633" s="16">
        <v>4.0</v>
      </c>
      <c r="T633" s="16">
        <v>5.0</v>
      </c>
      <c r="U633" s="16">
        <v>5.0</v>
      </c>
      <c r="V633" s="16">
        <v>5.0</v>
      </c>
      <c r="W633" s="16">
        <v>4.0</v>
      </c>
      <c r="X633" s="16">
        <v>5.0</v>
      </c>
      <c r="Y633" s="16">
        <v>5.0</v>
      </c>
      <c r="Z633" s="16">
        <v>5.0</v>
      </c>
      <c r="AA633" s="16">
        <v>4.0</v>
      </c>
      <c r="AB633" s="16">
        <v>5.0</v>
      </c>
      <c r="AC633" s="16">
        <v>5.0</v>
      </c>
      <c r="AD633" s="38">
        <v>14.0</v>
      </c>
      <c r="AE633" s="38">
        <v>15.0</v>
      </c>
      <c r="AF633" s="38">
        <v>20.0</v>
      </c>
      <c r="AG633" s="38" t="s">
        <v>1289</v>
      </c>
      <c r="AI633" s="18" t="s">
        <v>915</v>
      </c>
    </row>
    <row r="634">
      <c r="A634" s="11"/>
      <c r="B634" s="12" t="s">
        <v>7</v>
      </c>
      <c r="C634" s="12" t="s">
        <v>8</v>
      </c>
      <c r="D634" s="12" t="s">
        <v>15</v>
      </c>
      <c r="E634" s="12" t="s">
        <v>21</v>
      </c>
      <c r="F634" s="13" t="s">
        <v>19</v>
      </c>
      <c r="G634" s="12" t="s">
        <v>68</v>
      </c>
      <c r="H634" s="12" t="s">
        <v>968</v>
      </c>
      <c r="I634" s="12" t="s">
        <v>969</v>
      </c>
      <c r="J634" s="17" t="s">
        <v>1290</v>
      </c>
      <c r="K634" s="17" t="s">
        <v>1290</v>
      </c>
      <c r="L634" s="17" t="s">
        <v>193</v>
      </c>
      <c r="M634" s="83">
        <v>27.0</v>
      </c>
      <c r="N634" s="84">
        <v>45966.0</v>
      </c>
      <c r="O634" s="17" t="s">
        <v>428</v>
      </c>
      <c r="P634" s="16">
        <v>4.0</v>
      </c>
      <c r="Q634" s="16">
        <v>4.0</v>
      </c>
      <c r="R634" s="16">
        <v>4.0</v>
      </c>
      <c r="S634" s="16">
        <v>4.0</v>
      </c>
      <c r="T634" s="16">
        <v>4.0</v>
      </c>
      <c r="U634" s="16">
        <v>3.0</v>
      </c>
      <c r="V634" s="16">
        <v>3.0</v>
      </c>
      <c r="W634" s="16">
        <v>4.0</v>
      </c>
      <c r="X634" s="16">
        <v>4.0</v>
      </c>
      <c r="Y634" s="16">
        <v>4.0</v>
      </c>
      <c r="Z634" s="16">
        <v>4.0</v>
      </c>
      <c r="AA634" s="16">
        <v>4.0</v>
      </c>
      <c r="AB634" s="16">
        <v>4.0</v>
      </c>
      <c r="AC634" s="16">
        <v>4.0</v>
      </c>
      <c r="AD634" s="38">
        <v>14.0</v>
      </c>
      <c r="AE634" s="38">
        <v>15.0</v>
      </c>
      <c r="AF634" s="38">
        <v>14.0</v>
      </c>
      <c r="AG634" s="38" t="s">
        <v>1291</v>
      </c>
      <c r="AI634" s="18" t="s">
        <v>915</v>
      </c>
    </row>
    <row r="635">
      <c r="A635" s="11"/>
      <c r="B635" s="12" t="s">
        <v>7</v>
      </c>
      <c r="C635" s="12" t="s">
        <v>8</v>
      </c>
      <c r="D635" s="12" t="s">
        <v>15</v>
      </c>
      <c r="E635" s="12" t="s">
        <v>21</v>
      </c>
      <c r="F635" s="13" t="s">
        <v>19</v>
      </c>
      <c r="G635" s="12" t="s">
        <v>68</v>
      </c>
      <c r="H635" s="12" t="s">
        <v>968</v>
      </c>
      <c r="I635" s="12" t="s">
        <v>969</v>
      </c>
      <c r="J635" s="17" t="s">
        <v>972</v>
      </c>
      <c r="K635" s="17" t="s">
        <v>972</v>
      </c>
      <c r="L635" s="17" t="s">
        <v>193</v>
      </c>
      <c r="M635" s="83">
        <v>45.0</v>
      </c>
      <c r="N635" s="84">
        <v>45966.0</v>
      </c>
      <c r="O635" s="17" t="s">
        <v>428</v>
      </c>
      <c r="P635" s="16">
        <v>4.0</v>
      </c>
      <c r="Q635" s="16">
        <v>4.0</v>
      </c>
      <c r="R635" s="16">
        <v>3.0</v>
      </c>
      <c r="S635" s="16">
        <v>3.0</v>
      </c>
      <c r="T635" s="16">
        <v>4.0</v>
      </c>
      <c r="U635" s="16">
        <v>5.0</v>
      </c>
      <c r="V635" s="16">
        <v>5.0</v>
      </c>
      <c r="W635" s="16">
        <v>3.0</v>
      </c>
      <c r="X635" s="16">
        <v>5.0</v>
      </c>
      <c r="Y635" s="16">
        <v>5.0</v>
      </c>
      <c r="Z635" s="16">
        <v>4.0</v>
      </c>
      <c r="AA635" s="16">
        <v>4.0</v>
      </c>
      <c r="AB635" s="16">
        <v>4.0</v>
      </c>
      <c r="AC635" s="16">
        <v>5.0</v>
      </c>
      <c r="AD635" s="38">
        <v>14.0</v>
      </c>
      <c r="AE635" s="38">
        <v>15.0</v>
      </c>
      <c r="AF635" s="38">
        <v>18.0</v>
      </c>
      <c r="AG635" s="38" t="s">
        <v>1292</v>
      </c>
      <c r="AI635" s="18" t="s">
        <v>915</v>
      </c>
    </row>
    <row r="636">
      <c r="A636" s="11"/>
      <c r="B636" s="12" t="s">
        <v>7</v>
      </c>
      <c r="C636" s="12" t="s">
        <v>8</v>
      </c>
      <c r="D636" s="12" t="s">
        <v>15</v>
      </c>
      <c r="E636" s="12" t="s">
        <v>21</v>
      </c>
      <c r="F636" s="13" t="s">
        <v>19</v>
      </c>
      <c r="G636" s="12" t="s">
        <v>68</v>
      </c>
      <c r="H636" s="12" t="s">
        <v>968</v>
      </c>
      <c r="I636" s="12" t="s">
        <v>969</v>
      </c>
      <c r="J636" s="17" t="s">
        <v>1293</v>
      </c>
      <c r="K636" s="17" t="s">
        <v>1293</v>
      </c>
      <c r="L636" s="17" t="s">
        <v>193</v>
      </c>
      <c r="M636" s="83">
        <v>27.0</v>
      </c>
      <c r="N636" s="84">
        <v>45966.0</v>
      </c>
      <c r="O636" s="17" t="s">
        <v>428</v>
      </c>
      <c r="P636" s="16">
        <v>4.0</v>
      </c>
      <c r="Q636" s="16">
        <v>4.0</v>
      </c>
      <c r="R636" s="16">
        <v>3.0</v>
      </c>
      <c r="S636" s="16">
        <v>3.0</v>
      </c>
      <c r="T636" s="16">
        <v>4.0</v>
      </c>
      <c r="U636" s="16">
        <v>3.0</v>
      </c>
      <c r="V636" s="16">
        <v>3.0</v>
      </c>
      <c r="W636" s="16">
        <v>3.0</v>
      </c>
      <c r="X636" s="16">
        <v>4.0</v>
      </c>
      <c r="Y636" s="16">
        <v>4.0</v>
      </c>
      <c r="Z636" s="16">
        <v>4.0</v>
      </c>
      <c r="AA636" s="16">
        <v>4.0</v>
      </c>
      <c r="AB636" s="16">
        <v>4.0</v>
      </c>
      <c r="AC636" s="16">
        <v>4.0</v>
      </c>
      <c r="AD636" s="38">
        <v>14.0</v>
      </c>
      <c r="AE636" s="38">
        <v>14.0</v>
      </c>
      <c r="AF636" s="38">
        <v>14.0</v>
      </c>
      <c r="AG636" s="38" t="s">
        <v>1294</v>
      </c>
      <c r="AI636" s="18" t="s">
        <v>915</v>
      </c>
    </row>
    <row r="637">
      <c r="A637" s="11"/>
      <c r="B637" s="12" t="s">
        <v>7</v>
      </c>
      <c r="C637" s="12" t="s">
        <v>8</v>
      </c>
      <c r="D637" s="12" t="s">
        <v>15</v>
      </c>
      <c r="E637" s="12" t="s">
        <v>21</v>
      </c>
      <c r="F637" s="13" t="s">
        <v>19</v>
      </c>
      <c r="G637" s="12" t="s">
        <v>68</v>
      </c>
      <c r="H637" s="12" t="s">
        <v>968</v>
      </c>
      <c r="I637" s="12" t="s">
        <v>969</v>
      </c>
      <c r="J637" s="17" t="s">
        <v>1295</v>
      </c>
      <c r="K637" s="17" t="s">
        <v>1295</v>
      </c>
      <c r="L637" s="17" t="s">
        <v>193</v>
      </c>
      <c r="M637" s="83">
        <v>25.0</v>
      </c>
      <c r="N637" s="84">
        <v>45966.0</v>
      </c>
      <c r="O637" s="17" t="s">
        <v>428</v>
      </c>
      <c r="P637" s="16">
        <v>4.0</v>
      </c>
      <c r="Q637" s="16">
        <v>4.0</v>
      </c>
      <c r="R637" s="16">
        <v>4.0</v>
      </c>
      <c r="S637" s="16">
        <v>4.0</v>
      </c>
      <c r="T637" s="16">
        <v>4.0</v>
      </c>
      <c r="U637" s="16">
        <v>3.0</v>
      </c>
      <c r="V637" s="16">
        <v>3.0</v>
      </c>
      <c r="W637" s="16">
        <v>4.0</v>
      </c>
      <c r="X637" s="16">
        <v>4.0</v>
      </c>
      <c r="Y637" s="16">
        <v>4.0</v>
      </c>
      <c r="Z637" s="16">
        <v>4.0</v>
      </c>
      <c r="AA637" s="16">
        <v>4.0</v>
      </c>
      <c r="AB637" s="16">
        <v>4.0</v>
      </c>
      <c r="AC637" s="16">
        <v>4.0</v>
      </c>
      <c r="AD637" s="38">
        <v>14.0</v>
      </c>
      <c r="AE637" s="38">
        <v>15.0</v>
      </c>
      <c r="AF637" s="38">
        <v>14.0</v>
      </c>
      <c r="AG637" s="38" t="s">
        <v>1296</v>
      </c>
      <c r="AI637" s="18" t="s">
        <v>915</v>
      </c>
    </row>
    <row r="638">
      <c r="A638" s="11"/>
      <c r="B638" s="12" t="s">
        <v>7</v>
      </c>
      <c r="C638" s="12" t="s">
        <v>8</v>
      </c>
      <c r="D638" s="12" t="s">
        <v>15</v>
      </c>
      <c r="E638" s="12" t="s">
        <v>21</v>
      </c>
      <c r="F638" s="13" t="s">
        <v>19</v>
      </c>
      <c r="G638" s="12" t="s">
        <v>68</v>
      </c>
      <c r="H638" s="12" t="s">
        <v>968</v>
      </c>
      <c r="I638" s="12" t="s">
        <v>969</v>
      </c>
      <c r="J638" s="17" t="s">
        <v>1297</v>
      </c>
      <c r="K638" s="17" t="s">
        <v>1297</v>
      </c>
      <c r="L638" s="17" t="s">
        <v>193</v>
      </c>
      <c r="M638" s="83">
        <v>29.0</v>
      </c>
      <c r="N638" s="84">
        <v>45966.0</v>
      </c>
      <c r="O638" s="17" t="s">
        <v>428</v>
      </c>
      <c r="P638" s="16">
        <v>3.0</v>
      </c>
      <c r="Q638" s="16">
        <v>3.0</v>
      </c>
      <c r="R638" s="16">
        <v>3.0</v>
      </c>
      <c r="S638" s="16">
        <v>3.0</v>
      </c>
      <c r="T638" s="16">
        <v>4.0</v>
      </c>
      <c r="U638" s="16">
        <v>3.0</v>
      </c>
      <c r="V638" s="16">
        <v>3.0</v>
      </c>
      <c r="W638" s="16">
        <v>3.0</v>
      </c>
      <c r="X638" s="16">
        <v>4.0</v>
      </c>
      <c r="Y638" s="16">
        <v>4.0</v>
      </c>
      <c r="Z638" s="16">
        <v>4.0</v>
      </c>
      <c r="AA638" s="16">
        <v>3.0</v>
      </c>
      <c r="AB638" s="16">
        <v>4.0</v>
      </c>
      <c r="AC638" s="16">
        <v>4.0</v>
      </c>
      <c r="AD638" s="38">
        <v>15.0</v>
      </c>
      <c r="AE638" s="38">
        <v>14.0</v>
      </c>
      <c r="AF638" s="38">
        <v>14.0</v>
      </c>
      <c r="AG638" s="38" t="s">
        <v>1298</v>
      </c>
      <c r="AI638" s="18" t="s">
        <v>915</v>
      </c>
    </row>
    <row r="639">
      <c r="A639" s="11"/>
      <c r="B639" s="12" t="s">
        <v>7</v>
      </c>
      <c r="C639" s="12" t="s">
        <v>8</v>
      </c>
      <c r="D639" s="12" t="s">
        <v>15</v>
      </c>
      <c r="E639" s="12" t="s">
        <v>21</v>
      </c>
      <c r="F639" s="13" t="s">
        <v>19</v>
      </c>
      <c r="G639" s="12" t="s">
        <v>68</v>
      </c>
      <c r="H639" s="12" t="s">
        <v>968</v>
      </c>
      <c r="I639" s="12" t="s">
        <v>969</v>
      </c>
      <c r="J639" s="17" t="s">
        <v>1299</v>
      </c>
      <c r="K639" s="17" t="s">
        <v>1299</v>
      </c>
      <c r="L639" s="17" t="s">
        <v>193</v>
      </c>
      <c r="M639" s="83">
        <v>35.0</v>
      </c>
      <c r="N639" s="84">
        <v>45966.0</v>
      </c>
      <c r="O639" s="17" t="s">
        <v>428</v>
      </c>
      <c r="P639" s="16">
        <v>4.0</v>
      </c>
      <c r="Q639" s="16">
        <v>4.0</v>
      </c>
      <c r="R639" s="16">
        <v>4.0</v>
      </c>
      <c r="S639" s="16">
        <v>4.0</v>
      </c>
      <c r="T639" s="16">
        <v>4.0</v>
      </c>
      <c r="U639" s="16">
        <v>4.0</v>
      </c>
      <c r="V639" s="16">
        <v>4.0</v>
      </c>
      <c r="W639" s="16">
        <v>4.0</v>
      </c>
      <c r="X639" s="16">
        <v>4.0</v>
      </c>
      <c r="Y639" s="16">
        <v>4.0</v>
      </c>
      <c r="Z639" s="16">
        <v>4.0</v>
      </c>
      <c r="AA639" s="16">
        <v>4.0</v>
      </c>
      <c r="AB639" s="16">
        <v>4.0</v>
      </c>
      <c r="AC639" s="16">
        <v>4.0</v>
      </c>
      <c r="AD639" s="38">
        <v>14.0</v>
      </c>
      <c r="AE639" s="38">
        <v>15.0</v>
      </c>
      <c r="AF639" s="38">
        <v>16.0</v>
      </c>
      <c r="AG639" s="38" t="s">
        <v>1300</v>
      </c>
      <c r="AI639" s="18" t="s">
        <v>915</v>
      </c>
    </row>
    <row r="640">
      <c r="A640" s="11"/>
      <c r="B640" s="12" t="s">
        <v>7</v>
      </c>
      <c r="C640" s="12" t="s">
        <v>8</v>
      </c>
      <c r="D640" s="12" t="s">
        <v>15</v>
      </c>
      <c r="E640" s="12" t="s">
        <v>15</v>
      </c>
      <c r="F640" s="13" t="s">
        <v>16</v>
      </c>
      <c r="G640" s="12" t="s">
        <v>68</v>
      </c>
      <c r="H640" s="12" t="s">
        <v>928</v>
      </c>
      <c r="I640" s="12" t="s">
        <v>929</v>
      </c>
      <c r="J640" s="17" t="s">
        <v>1301</v>
      </c>
      <c r="K640" s="17" t="s">
        <v>1301</v>
      </c>
      <c r="L640" s="17" t="s">
        <v>193</v>
      </c>
      <c r="M640" s="83">
        <v>33.0</v>
      </c>
      <c r="N640" s="84">
        <v>45978.0</v>
      </c>
      <c r="O640" s="17" t="s">
        <v>428</v>
      </c>
      <c r="P640" s="16">
        <v>4.0</v>
      </c>
      <c r="Q640" s="16">
        <v>4.0</v>
      </c>
      <c r="R640" s="16">
        <v>3.0</v>
      </c>
      <c r="S640" s="16">
        <v>3.0</v>
      </c>
      <c r="T640" s="16">
        <v>4.0</v>
      </c>
      <c r="U640" s="16">
        <v>4.0</v>
      </c>
      <c r="V640" s="16">
        <v>4.0</v>
      </c>
      <c r="W640" s="16">
        <v>3.0</v>
      </c>
      <c r="X640" s="16">
        <v>4.0</v>
      </c>
      <c r="Y640" s="16">
        <v>4.0</v>
      </c>
      <c r="Z640" s="16">
        <v>4.0</v>
      </c>
      <c r="AA640" s="16">
        <v>4.0</v>
      </c>
      <c r="AB640" s="16">
        <v>4.0</v>
      </c>
      <c r="AC640" s="16">
        <v>4.0</v>
      </c>
      <c r="AD640" s="38">
        <v>14.0</v>
      </c>
      <c r="AE640" s="38">
        <v>14.0</v>
      </c>
      <c r="AF640" s="38">
        <v>16.0</v>
      </c>
      <c r="AG640" s="38" t="s">
        <v>1302</v>
      </c>
      <c r="AI640" s="18" t="s">
        <v>915</v>
      </c>
    </row>
    <row r="641">
      <c r="A641" s="11"/>
      <c r="B641" s="12" t="s">
        <v>7</v>
      </c>
      <c r="C641" s="12" t="s">
        <v>8</v>
      </c>
      <c r="D641" s="12" t="s">
        <v>15</v>
      </c>
      <c r="E641" s="12" t="s">
        <v>15</v>
      </c>
      <c r="F641" s="13" t="s">
        <v>16</v>
      </c>
      <c r="G641" s="12" t="s">
        <v>68</v>
      </c>
      <c r="H641" s="12" t="s">
        <v>928</v>
      </c>
      <c r="I641" s="12" t="s">
        <v>929</v>
      </c>
      <c r="J641" s="17" t="s">
        <v>1303</v>
      </c>
      <c r="K641" s="17" t="s">
        <v>1303</v>
      </c>
      <c r="L641" s="17" t="s">
        <v>193</v>
      </c>
      <c r="M641" s="83">
        <v>32.0</v>
      </c>
      <c r="N641" s="84">
        <v>45978.0</v>
      </c>
      <c r="O641" s="17" t="s">
        <v>428</v>
      </c>
      <c r="P641" s="16">
        <v>4.0</v>
      </c>
      <c r="Q641" s="16">
        <v>4.0</v>
      </c>
      <c r="R641" s="16">
        <v>4.0</v>
      </c>
      <c r="S641" s="16">
        <v>4.0</v>
      </c>
      <c r="T641" s="16">
        <v>4.0</v>
      </c>
      <c r="U641" s="16">
        <v>4.0</v>
      </c>
      <c r="V641" s="16">
        <v>4.0</v>
      </c>
      <c r="W641" s="16">
        <v>4.0</v>
      </c>
      <c r="X641" s="16">
        <v>4.0</v>
      </c>
      <c r="Y641" s="16">
        <v>4.0</v>
      </c>
      <c r="Z641" s="16">
        <v>4.0</v>
      </c>
      <c r="AA641" s="16">
        <v>4.0</v>
      </c>
      <c r="AB641" s="16">
        <v>4.0</v>
      </c>
      <c r="AC641" s="16">
        <v>4.0</v>
      </c>
      <c r="AD641" s="38">
        <v>14.0</v>
      </c>
      <c r="AE641" s="38">
        <v>15.0</v>
      </c>
      <c r="AF641" s="38">
        <v>16.0</v>
      </c>
      <c r="AG641" s="38" t="s">
        <v>1304</v>
      </c>
      <c r="AI641" s="18" t="s">
        <v>915</v>
      </c>
    </row>
    <row r="642">
      <c r="A642" s="11"/>
      <c r="B642" s="12" t="s">
        <v>7</v>
      </c>
      <c r="C642" s="12" t="s">
        <v>8</v>
      </c>
      <c r="D642" s="12" t="s">
        <v>15</v>
      </c>
      <c r="E642" s="12" t="s">
        <v>15</v>
      </c>
      <c r="F642" s="13" t="s">
        <v>16</v>
      </c>
      <c r="G642" s="12" t="s">
        <v>68</v>
      </c>
      <c r="H642" s="12" t="s">
        <v>928</v>
      </c>
      <c r="I642" s="12" t="s">
        <v>929</v>
      </c>
      <c r="J642" s="2" t="s">
        <v>200</v>
      </c>
      <c r="K642" s="2" t="s">
        <v>200</v>
      </c>
      <c r="L642" s="17" t="s">
        <v>193</v>
      </c>
      <c r="M642" s="83">
        <v>33.0</v>
      </c>
      <c r="N642" s="84">
        <v>45978.0</v>
      </c>
      <c r="O642" s="17" t="s">
        <v>428</v>
      </c>
      <c r="P642" s="16">
        <v>3.0</v>
      </c>
      <c r="Q642" s="16">
        <v>3.0</v>
      </c>
      <c r="R642" s="16">
        <v>3.0</v>
      </c>
      <c r="S642" s="16">
        <v>3.0</v>
      </c>
      <c r="T642" s="16">
        <v>4.0</v>
      </c>
      <c r="U642" s="16">
        <v>4.0</v>
      </c>
      <c r="V642" s="16">
        <v>4.0</v>
      </c>
      <c r="W642" s="16">
        <v>3.0</v>
      </c>
      <c r="X642" s="16">
        <v>3.0</v>
      </c>
      <c r="Y642" s="16">
        <v>3.0</v>
      </c>
      <c r="Z642" s="16">
        <v>4.0</v>
      </c>
      <c r="AA642" s="16">
        <v>3.0</v>
      </c>
      <c r="AB642" s="16">
        <v>4.0</v>
      </c>
      <c r="AC642" s="16">
        <v>3.0</v>
      </c>
      <c r="AD642" s="38" t="s">
        <v>200</v>
      </c>
      <c r="AE642" s="38" t="s">
        <v>200</v>
      </c>
      <c r="AF642" s="38" t="s">
        <v>200</v>
      </c>
      <c r="AG642" s="38" t="s">
        <v>1305</v>
      </c>
      <c r="AI642" s="18" t="s">
        <v>915</v>
      </c>
    </row>
    <row r="643">
      <c r="A643" s="11"/>
      <c r="B643" s="12" t="s">
        <v>7</v>
      </c>
      <c r="C643" s="12" t="s">
        <v>8</v>
      </c>
      <c r="D643" s="12" t="s">
        <v>15</v>
      </c>
      <c r="E643" s="12" t="s">
        <v>15</v>
      </c>
      <c r="F643" s="13" t="s">
        <v>16</v>
      </c>
      <c r="G643" s="12" t="s">
        <v>68</v>
      </c>
      <c r="H643" s="12" t="s">
        <v>928</v>
      </c>
      <c r="I643" s="12" t="s">
        <v>929</v>
      </c>
      <c r="J643" s="17" t="s">
        <v>1306</v>
      </c>
      <c r="K643" s="17" t="s">
        <v>1306</v>
      </c>
      <c r="L643" s="17" t="s">
        <v>193</v>
      </c>
      <c r="M643" s="83">
        <v>53.0</v>
      </c>
      <c r="N643" s="84">
        <v>45978.0</v>
      </c>
      <c r="O643" s="17" t="s">
        <v>428</v>
      </c>
      <c r="P643" s="16">
        <v>3.0</v>
      </c>
      <c r="Q643" s="16">
        <v>3.0</v>
      </c>
      <c r="R643" s="16">
        <v>4.0</v>
      </c>
      <c r="S643" s="16">
        <v>4.0</v>
      </c>
      <c r="T643" s="16">
        <v>5.0</v>
      </c>
      <c r="U643" s="16">
        <v>4.0</v>
      </c>
      <c r="V643" s="16">
        <v>4.0</v>
      </c>
      <c r="W643" s="16">
        <v>4.0</v>
      </c>
      <c r="X643" s="16">
        <v>4.0</v>
      </c>
      <c r="Y643" s="16">
        <v>4.0</v>
      </c>
      <c r="Z643" s="16">
        <v>5.0</v>
      </c>
      <c r="AA643" s="16">
        <v>3.0</v>
      </c>
      <c r="AB643" s="16">
        <v>5.0</v>
      </c>
      <c r="AC643" s="16">
        <v>4.0</v>
      </c>
      <c r="AD643" s="38">
        <v>15.0</v>
      </c>
      <c r="AE643" s="38">
        <v>14.0</v>
      </c>
      <c r="AF643" s="38">
        <v>18.0</v>
      </c>
      <c r="AG643" s="38" t="s">
        <v>1307</v>
      </c>
      <c r="AI643" s="18" t="s">
        <v>915</v>
      </c>
    </row>
    <row r="644">
      <c r="A644" s="11"/>
      <c r="B644" s="12" t="s">
        <v>7</v>
      </c>
      <c r="C644" s="12" t="s">
        <v>8</v>
      </c>
      <c r="D644" s="12" t="s">
        <v>15</v>
      </c>
      <c r="E644" s="12" t="s">
        <v>15</v>
      </c>
      <c r="F644" s="13" t="s">
        <v>16</v>
      </c>
      <c r="G644" s="12" t="s">
        <v>68</v>
      </c>
      <c r="H644" s="12" t="s">
        <v>928</v>
      </c>
      <c r="I644" s="12" t="s">
        <v>929</v>
      </c>
      <c r="J644" s="17" t="s">
        <v>1308</v>
      </c>
      <c r="K644" s="17" t="s">
        <v>1308</v>
      </c>
      <c r="L644" s="17" t="s">
        <v>193</v>
      </c>
      <c r="M644" s="83">
        <v>37.0</v>
      </c>
      <c r="N644" s="84">
        <v>45978.0</v>
      </c>
      <c r="O644" s="17" t="s">
        <v>428</v>
      </c>
      <c r="P644" s="16">
        <v>4.0</v>
      </c>
      <c r="Q644" s="16">
        <v>4.0</v>
      </c>
      <c r="R644" s="16">
        <v>3.0</v>
      </c>
      <c r="S644" s="16">
        <v>3.0</v>
      </c>
      <c r="T644" s="16">
        <v>4.0</v>
      </c>
      <c r="U644" s="16">
        <v>3.0</v>
      </c>
      <c r="V644" s="16">
        <v>3.0</v>
      </c>
      <c r="W644" s="16">
        <v>3.0</v>
      </c>
      <c r="X644" s="16">
        <v>4.0</v>
      </c>
      <c r="Y644" s="16">
        <v>4.0</v>
      </c>
      <c r="Z644" s="16">
        <v>4.0</v>
      </c>
      <c r="AA644" s="16">
        <v>4.0</v>
      </c>
      <c r="AB644" s="16">
        <v>4.0</v>
      </c>
      <c r="AC644" s="16">
        <v>4.0</v>
      </c>
      <c r="AD644" s="38">
        <v>14.0</v>
      </c>
      <c r="AE644" s="38">
        <v>14.0</v>
      </c>
      <c r="AF644" s="38">
        <v>14.0</v>
      </c>
      <c r="AG644" s="38" t="s">
        <v>1309</v>
      </c>
      <c r="AI644" s="18" t="s">
        <v>915</v>
      </c>
    </row>
    <row r="645">
      <c r="A645" s="11"/>
      <c r="B645" s="12" t="s">
        <v>7</v>
      </c>
      <c r="C645" s="12" t="s">
        <v>8</v>
      </c>
      <c r="D645" s="12" t="s">
        <v>15</v>
      </c>
      <c r="E645" s="12" t="s">
        <v>15</v>
      </c>
      <c r="F645" s="13" t="s">
        <v>16</v>
      </c>
      <c r="G645" s="12" t="s">
        <v>68</v>
      </c>
      <c r="H645" s="12" t="s">
        <v>928</v>
      </c>
      <c r="I645" s="12" t="s">
        <v>929</v>
      </c>
      <c r="J645" s="17" t="s">
        <v>1310</v>
      </c>
      <c r="K645" s="17" t="s">
        <v>1310</v>
      </c>
      <c r="L645" s="17" t="s">
        <v>193</v>
      </c>
      <c r="M645" s="83">
        <v>24.0</v>
      </c>
      <c r="N645" s="84">
        <v>45978.0</v>
      </c>
      <c r="O645" s="17" t="s">
        <v>428</v>
      </c>
      <c r="P645" s="16">
        <v>4.0</v>
      </c>
      <c r="Q645" s="16">
        <v>4.0</v>
      </c>
      <c r="R645" s="16">
        <v>4.0</v>
      </c>
      <c r="S645" s="16">
        <v>4.0</v>
      </c>
      <c r="T645" s="16">
        <v>4.0</v>
      </c>
      <c r="U645" s="16">
        <v>4.0</v>
      </c>
      <c r="V645" s="16">
        <v>4.0</v>
      </c>
      <c r="W645" s="16">
        <v>4.0</v>
      </c>
      <c r="X645" s="16">
        <v>5.0</v>
      </c>
      <c r="Y645" s="16">
        <v>5.0</v>
      </c>
      <c r="Z645" s="16">
        <v>4.0</v>
      </c>
      <c r="AA645" s="16">
        <v>4.0</v>
      </c>
      <c r="AB645" s="16">
        <v>4.0</v>
      </c>
      <c r="AC645" s="16">
        <v>5.0</v>
      </c>
      <c r="AD645" s="38">
        <v>14.0</v>
      </c>
      <c r="AE645" s="38">
        <v>16.0</v>
      </c>
      <c r="AF645" s="38">
        <v>16.0</v>
      </c>
      <c r="AG645" s="38" t="s">
        <v>1311</v>
      </c>
      <c r="AI645" s="18" t="s">
        <v>915</v>
      </c>
    </row>
    <row r="646">
      <c r="A646" s="11"/>
      <c r="B646" s="12" t="s">
        <v>7</v>
      </c>
      <c r="C646" s="12" t="s">
        <v>8</v>
      </c>
      <c r="D646" s="12" t="s">
        <v>15</v>
      </c>
      <c r="E646" s="12" t="s">
        <v>15</v>
      </c>
      <c r="F646" s="13" t="s">
        <v>16</v>
      </c>
      <c r="G646" s="12" t="s">
        <v>68</v>
      </c>
      <c r="H646" s="12" t="s">
        <v>928</v>
      </c>
      <c r="I646" s="12" t="s">
        <v>929</v>
      </c>
      <c r="J646" s="17" t="s">
        <v>1312</v>
      </c>
      <c r="K646" s="17" t="s">
        <v>1312</v>
      </c>
      <c r="L646" s="17" t="s">
        <v>193</v>
      </c>
      <c r="M646" s="83">
        <v>27.0</v>
      </c>
      <c r="N646" s="84">
        <v>45978.0</v>
      </c>
      <c r="O646" s="17" t="s">
        <v>428</v>
      </c>
      <c r="P646" s="16">
        <v>4.0</v>
      </c>
      <c r="Q646" s="16">
        <v>4.0</v>
      </c>
      <c r="R646" s="16">
        <v>3.0</v>
      </c>
      <c r="S646" s="16">
        <v>3.0</v>
      </c>
      <c r="T646" s="16">
        <v>4.0</v>
      </c>
      <c r="U646" s="16">
        <v>4.0</v>
      </c>
      <c r="V646" s="16">
        <v>4.0</v>
      </c>
      <c r="W646" s="16">
        <v>3.0</v>
      </c>
      <c r="X646" s="16">
        <v>4.0</v>
      </c>
      <c r="Y646" s="16">
        <v>4.0</v>
      </c>
      <c r="Z646" s="16">
        <v>4.0</v>
      </c>
      <c r="AA646" s="16">
        <v>4.0</v>
      </c>
      <c r="AB646" s="16">
        <v>4.0</v>
      </c>
      <c r="AC646" s="16">
        <v>4.0</v>
      </c>
      <c r="AD646" s="38">
        <v>14.0</v>
      </c>
      <c r="AE646" s="38">
        <v>14.0</v>
      </c>
      <c r="AF646" s="38">
        <v>16.0</v>
      </c>
      <c r="AG646" s="38" t="s">
        <v>1313</v>
      </c>
      <c r="AI646" s="18" t="s">
        <v>915</v>
      </c>
    </row>
    <row r="647">
      <c r="A647" s="11"/>
      <c r="B647" s="12" t="s">
        <v>7</v>
      </c>
      <c r="C647" s="12" t="s">
        <v>8</v>
      </c>
      <c r="D647" s="12" t="s">
        <v>15</v>
      </c>
      <c r="E647" s="12" t="s">
        <v>15</v>
      </c>
      <c r="F647" s="13" t="s">
        <v>16</v>
      </c>
      <c r="G647" s="12" t="s">
        <v>68</v>
      </c>
      <c r="H647" s="12" t="s">
        <v>928</v>
      </c>
      <c r="I647" s="12" t="s">
        <v>929</v>
      </c>
      <c r="J647" s="17" t="s">
        <v>1314</v>
      </c>
      <c r="K647" s="17" t="s">
        <v>1314</v>
      </c>
      <c r="L647" s="17" t="s">
        <v>193</v>
      </c>
      <c r="M647" s="83">
        <v>33.0</v>
      </c>
      <c r="N647" s="84">
        <v>45978.0</v>
      </c>
      <c r="O647" s="17" t="s">
        <v>428</v>
      </c>
      <c r="P647" s="16">
        <v>4.0</v>
      </c>
      <c r="Q647" s="16">
        <v>4.0</v>
      </c>
      <c r="R647" s="16">
        <v>4.0</v>
      </c>
      <c r="S647" s="16">
        <v>4.0</v>
      </c>
      <c r="T647" s="16">
        <v>4.0</v>
      </c>
      <c r="U647" s="16">
        <v>4.0</v>
      </c>
      <c r="V647" s="16">
        <v>4.0</v>
      </c>
      <c r="W647" s="16">
        <v>4.0</v>
      </c>
      <c r="X647" s="16">
        <v>4.0</v>
      </c>
      <c r="Y647" s="16">
        <v>4.0</v>
      </c>
      <c r="Z647" s="16">
        <v>4.0</v>
      </c>
      <c r="AA647" s="16">
        <v>4.0</v>
      </c>
      <c r="AB647" s="16">
        <v>4.0</v>
      </c>
      <c r="AC647" s="16">
        <v>4.0</v>
      </c>
      <c r="AD647" s="38">
        <v>14.0</v>
      </c>
      <c r="AE647" s="38">
        <v>15.0</v>
      </c>
      <c r="AF647" s="38">
        <v>16.0</v>
      </c>
      <c r="AG647" s="38" t="s">
        <v>1315</v>
      </c>
      <c r="AI647" s="18" t="s">
        <v>915</v>
      </c>
    </row>
    <row r="648">
      <c r="A648" s="11"/>
      <c r="B648" s="12" t="s">
        <v>7</v>
      </c>
      <c r="C648" s="12" t="s">
        <v>8</v>
      </c>
      <c r="D648" s="12" t="s">
        <v>15</v>
      </c>
      <c r="E648" s="12" t="s">
        <v>15</v>
      </c>
      <c r="F648" s="13" t="s">
        <v>16</v>
      </c>
      <c r="G648" s="12" t="s">
        <v>68</v>
      </c>
      <c r="H648" s="12" t="s">
        <v>928</v>
      </c>
      <c r="I648" s="12" t="s">
        <v>929</v>
      </c>
      <c r="J648" s="17" t="s">
        <v>1316</v>
      </c>
      <c r="K648" s="17" t="s">
        <v>1316</v>
      </c>
      <c r="L648" s="17" t="s">
        <v>193</v>
      </c>
      <c r="M648" s="83">
        <v>38.0</v>
      </c>
      <c r="N648" s="84">
        <v>45978.0</v>
      </c>
      <c r="O648" s="17" t="s">
        <v>428</v>
      </c>
      <c r="P648" s="16">
        <v>5.0</v>
      </c>
      <c r="Q648" s="16">
        <v>5.0</v>
      </c>
      <c r="R648" s="16">
        <v>5.0</v>
      </c>
      <c r="S648" s="16">
        <v>5.0</v>
      </c>
      <c r="T648" s="16">
        <v>5.0</v>
      </c>
      <c r="U648" s="16">
        <v>5.0</v>
      </c>
      <c r="V648" s="16">
        <v>5.0</v>
      </c>
      <c r="W648" s="16">
        <v>5.0</v>
      </c>
      <c r="X648" s="16">
        <v>5.0</v>
      </c>
      <c r="Y648" s="16">
        <v>5.0</v>
      </c>
      <c r="Z648" s="16">
        <v>5.0</v>
      </c>
      <c r="AA648" s="16">
        <v>5.0</v>
      </c>
      <c r="AB648" s="16">
        <v>5.0</v>
      </c>
      <c r="AC648" s="16">
        <v>5.0</v>
      </c>
      <c r="AD648" s="38">
        <v>13.0</v>
      </c>
      <c r="AE648" s="38">
        <v>16.0</v>
      </c>
      <c r="AF648" s="38">
        <v>20.0</v>
      </c>
      <c r="AG648" s="38" t="s">
        <v>1317</v>
      </c>
      <c r="AI648" s="18" t="s">
        <v>915</v>
      </c>
    </row>
    <row r="649">
      <c r="A649" s="11"/>
      <c r="B649" s="12" t="s">
        <v>7</v>
      </c>
      <c r="C649" s="12" t="s">
        <v>8</v>
      </c>
      <c r="D649" s="12" t="s">
        <v>15</v>
      </c>
      <c r="E649" s="12" t="s">
        <v>15</v>
      </c>
      <c r="F649" s="13" t="s">
        <v>16</v>
      </c>
      <c r="G649" s="12" t="s">
        <v>68</v>
      </c>
      <c r="H649" s="12" t="s">
        <v>928</v>
      </c>
      <c r="I649" s="12" t="s">
        <v>929</v>
      </c>
      <c r="J649" s="17" t="s">
        <v>1318</v>
      </c>
      <c r="K649" s="17" t="s">
        <v>1318</v>
      </c>
      <c r="L649" s="17" t="s">
        <v>193</v>
      </c>
      <c r="M649" s="83">
        <v>32.0</v>
      </c>
      <c r="N649" s="84">
        <v>45978.0</v>
      </c>
      <c r="O649" s="17" t="s">
        <v>428</v>
      </c>
      <c r="P649" s="16">
        <v>4.0</v>
      </c>
      <c r="Q649" s="16">
        <v>4.0</v>
      </c>
      <c r="R649" s="16">
        <v>4.0</v>
      </c>
      <c r="S649" s="16">
        <v>4.0</v>
      </c>
      <c r="T649" s="16">
        <v>4.0</v>
      </c>
      <c r="U649" s="16">
        <v>4.0</v>
      </c>
      <c r="V649" s="16">
        <v>4.0</v>
      </c>
      <c r="W649" s="16">
        <v>4.0</v>
      </c>
      <c r="X649" s="16">
        <v>4.0</v>
      </c>
      <c r="Y649" s="16">
        <v>4.0</v>
      </c>
      <c r="Z649" s="16">
        <v>4.0</v>
      </c>
      <c r="AA649" s="16">
        <v>4.0</v>
      </c>
      <c r="AB649" s="16">
        <v>4.0</v>
      </c>
      <c r="AC649" s="16">
        <v>4.0</v>
      </c>
      <c r="AD649" s="38">
        <v>14.0</v>
      </c>
      <c r="AE649" s="38">
        <v>15.0</v>
      </c>
      <c r="AF649" s="38">
        <v>16.0</v>
      </c>
      <c r="AG649" s="38" t="s">
        <v>1319</v>
      </c>
      <c r="AI649" s="18" t="s">
        <v>915</v>
      </c>
    </row>
    <row r="650">
      <c r="A650" s="11"/>
      <c r="B650" s="12" t="s">
        <v>7</v>
      </c>
      <c r="C650" s="12" t="s">
        <v>8</v>
      </c>
      <c r="D650" s="12" t="s">
        <v>15</v>
      </c>
      <c r="E650" s="12" t="s">
        <v>15</v>
      </c>
      <c r="F650" s="13" t="s">
        <v>16</v>
      </c>
      <c r="G650" s="12" t="s">
        <v>68</v>
      </c>
      <c r="H650" s="12" t="s">
        <v>928</v>
      </c>
      <c r="I650" s="12" t="s">
        <v>929</v>
      </c>
      <c r="J650" s="17" t="s">
        <v>1320</v>
      </c>
      <c r="K650" s="17" t="s">
        <v>1320</v>
      </c>
      <c r="L650" s="17" t="s">
        <v>193</v>
      </c>
      <c r="M650" s="83">
        <v>31.0</v>
      </c>
      <c r="N650" s="84">
        <v>45978.0</v>
      </c>
      <c r="O650" s="17" t="s">
        <v>428</v>
      </c>
      <c r="P650" s="16">
        <v>4.0</v>
      </c>
      <c r="Q650" s="16">
        <v>4.0</v>
      </c>
      <c r="R650" s="16">
        <v>4.0</v>
      </c>
      <c r="S650" s="16">
        <v>4.0</v>
      </c>
      <c r="T650" s="16">
        <v>5.0</v>
      </c>
      <c r="U650" s="16">
        <v>4.0</v>
      </c>
      <c r="V650" s="16">
        <v>4.0</v>
      </c>
      <c r="W650" s="16">
        <v>4.0</v>
      </c>
      <c r="X650" s="16">
        <v>4.0</v>
      </c>
      <c r="Y650" s="16">
        <v>4.0</v>
      </c>
      <c r="Z650" s="16">
        <v>5.0</v>
      </c>
      <c r="AA650" s="16">
        <v>4.0</v>
      </c>
      <c r="AB650" s="16">
        <v>5.0</v>
      </c>
      <c r="AC650" s="16">
        <v>4.0</v>
      </c>
      <c r="AD650" s="38">
        <v>14.0</v>
      </c>
      <c r="AE650" s="38">
        <v>14.0</v>
      </c>
      <c r="AF650" s="38">
        <v>18.0</v>
      </c>
      <c r="AG650" s="38" t="s">
        <v>1321</v>
      </c>
      <c r="AI650" s="18" t="s">
        <v>915</v>
      </c>
    </row>
    <row r="651">
      <c r="A651" s="11"/>
      <c r="B651" s="12" t="s">
        <v>7</v>
      </c>
      <c r="C651" s="12" t="s">
        <v>8</v>
      </c>
      <c r="D651" s="12" t="s">
        <v>15</v>
      </c>
      <c r="E651" s="12" t="s">
        <v>15</v>
      </c>
      <c r="F651" s="13" t="s">
        <v>16</v>
      </c>
      <c r="G651" s="12" t="s">
        <v>68</v>
      </c>
      <c r="H651" s="12" t="s">
        <v>928</v>
      </c>
      <c r="I651" s="12" t="s">
        <v>929</v>
      </c>
      <c r="J651" s="17" t="s">
        <v>1322</v>
      </c>
      <c r="K651" s="17" t="s">
        <v>1322</v>
      </c>
      <c r="L651" s="17" t="s">
        <v>193</v>
      </c>
      <c r="M651" s="83">
        <v>26.0</v>
      </c>
      <c r="N651" s="84">
        <v>45978.0</v>
      </c>
      <c r="O651" s="17" t="s">
        <v>428</v>
      </c>
      <c r="P651" s="16">
        <v>3.0</v>
      </c>
      <c r="Q651" s="16">
        <v>3.0</v>
      </c>
      <c r="R651" s="16">
        <v>3.0</v>
      </c>
      <c r="S651" s="16">
        <v>3.0</v>
      </c>
      <c r="T651" s="16">
        <v>4.0</v>
      </c>
      <c r="U651" s="16">
        <v>3.0</v>
      </c>
      <c r="V651" s="16">
        <v>3.0</v>
      </c>
      <c r="W651" s="16">
        <v>3.0</v>
      </c>
      <c r="X651" s="16">
        <v>4.0</v>
      </c>
      <c r="Y651" s="16">
        <v>4.0</v>
      </c>
      <c r="Z651" s="16">
        <v>4.0</v>
      </c>
      <c r="AA651" s="16">
        <v>3.0</v>
      </c>
      <c r="AB651" s="16">
        <v>4.0</v>
      </c>
      <c r="AC651" s="16">
        <v>4.0</v>
      </c>
      <c r="AD651" s="38">
        <v>15.0</v>
      </c>
      <c r="AE651" s="38">
        <v>14.0</v>
      </c>
      <c r="AF651" s="38">
        <v>14.0</v>
      </c>
      <c r="AG651" s="38" t="s">
        <v>1323</v>
      </c>
      <c r="AI651" s="18" t="s">
        <v>915</v>
      </c>
    </row>
    <row r="652">
      <c r="A652" s="11"/>
      <c r="B652" s="12" t="s">
        <v>7</v>
      </c>
      <c r="C652" s="12" t="s">
        <v>8</v>
      </c>
      <c r="D652" s="12" t="s">
        <v>15</v>
      </c>
      <c r="E652" s="12" t="s">
        <v>15</v>
      </c>
      <c r="F652" s="13" t="s">
        <v>16</v>
      </c>
      <c r="G652" s="12" t="s">
        <v>68</v>
      </c>
      <c r="H652" s="12" t="s">
        <v>928</v>
      </c>
      <c r="I652" s="12" t="s">
        <v>929</v>
      </c>
      <c r="J652" s="17" t="s">
        <v>1324</v>
      </c>
      <c r="K652" s="17" t="s">
        <v>1324</v>
      </c>
      <c r="L652" s="17" t="s">
        <v>193</v>
      </c>
      <c r="M652" s="83">
        <v>37.0</v>
      </c>
      <c r="N652" s="84">
        <v>45978.0</v>
      </c>
      <c r="O652" s="17" t="s">
        <v>428</v>
      </c>
      <c r="P652" s="16">
        <v>3.0</v>
      </c>
      <c r="Q652" s="16">
        <v>3.0</v>
      </c>
      <c r="R652" s="16">
        <v>3.0</v>
      </c>
      <c r="S652" s="16">
        <v>3.0</v>
      </c>
      <c r="T652" s="16">
        <v>4.0</v>
      </c>
      <c r="U652" s="16">
        <v>2.0</v>
      </c>
      <c r="V652" s="16">
        <v>2.0</v>
      </c>
      <c r="W652" s="16">
        <v>3.0</v>
      </c>
      <c r="X652" s="16">
        <v>3.0</v>
      </c>
      <c r="Y652" s="16">
        <v>3.0</v>
      </c>
      <c r="Z652" s="16">
        <v>4.0</v>
      </c>
      <c r="AA652" s="16">
        <v>3.0</v>
      </c>
      <c r="AB652" s="16">
        <v>4.0</v>
      </c>
      <c r="AC652" s="16">
        <v>3.0</v>
      </c>
      <c r="AD652" s="38">
        <v>15.0</v>
      </c>
      <c r="AE652" s="38">
        <v>13.0</v>
      </c>
      <c r="AF652" s="38">
        <v>12.0</v>
      </c>
      <c r="AG652" s="38" t="s">
        <v>1325</v>
      </c>
      <c r="AI652" s="18" t="s">
        <v>915</v>
      </c>
    </row>
    <row r="653">
      <c r="A653" s="11"/>
      <c r="B653" s="12" t="s">
        <v>7</v>
      </c>
      <c r="C653" s="12" t="s">
        <v>8</v>
      </c>
      <c r="D653" s="12" t="s">
        <v>15</v>
      </c>
      <c r="E653" s="12" t="s">
        <v>15</v>
      </c>
      <c r="F653" s="13" t="s">
        <v>16</v>
      </c>
      <c r="G653" s="12" t="s">
        <v>68</v>
      </c>
      <c r="H653" s="12" t="s">
        <v>928</v>
      </c>
      <c r="I653" s="12" t="s">
        <v>929</v>
      </c>
      <c r="J653" s="17" t="s">
        <v>1326</v>
      </c>
      <c r="K653" s="17" t="s">
        <v>1326</v>
      </c>
      <c r="L653" s="17" t="s">
        <v>193</v>
      </c>
      <c r="M653" s="83">
        <v>34.0</v>
      </c>
      <c r="N653" s="84">
        <v>45978.0</v>
      </c>
      <c r="O653" s="17" t="s">
        <v>428</v>
      </c>
      <c r="P653" s="16">
        <v>5.0</v>
      </c>
      <c r="Q653" s="16">
        <v>5.0</v>
      </c>
      <c r="R653" s="16">
        <v>5.0</v>
      </c>
      <c r="S653" s="16">
        <v>5.0</v>
      </c>
      <c r="T653" s="16">
        <v>5.0</v>
      </c>
      <c r="U653" s="16">
        <v>5.0</v>
      </c>
      <c r="V653" s="16">
        <v>5.0</v>
      </c>
      <c r="W653" s="16">
        <v>5.0</v>
      </c>
      <c r="X653" s="16">
        <v>5.0</v>
      </c>
      <c r="Y653" s="16">
        <v>5.0</v>
      </c>
      <c r="Z653" s="16">
        <v>5.0</v>
      </c>
      <c r="AA653" s="16">
        <v>5.0</v>
      </c>
      <c r="AB653" s="16">
        <v>5.0</v>
      </c>
      <c r="AC653" s="16">
        <v>5.0</v>
      </c>
      <c r="AD653" s="38">
        <v>13.0</v>
      </c>
      <c r="AE653" s="38">
        <v>16.0</v>
      </c>
      <c r="AF653" s="38">
        <v>20.0</v>
      </c>
      <c r="AG653" s="38" t="s">
        <v>1327</v>
      </c>
      <c r="AI653" s="18" t="s">
        <v>915</v>
      </c>
    </row>
    <row r="654">
      <c r="A654" s="11"/>
      <c r="B654" s="12" t="s">
        <v>7</v>
      </c>
      <c r="C654" s="12" t="s">
        <v>8</v>
      </c>
      <c r="D654" s="12" t="s">
        <v>15</v>
      </c>
      <c r="E654" s="12" t="s">
        <v>15</v>
      </c>
      <c r="F654" s="13" t="s">
        <v>16</v>
      </c>
      <c r="G654" s="12" t="s">
        <v>68</v>
      </c>
      <c r="H654" s="12" t="s">
        <v>928</v>
      </c>
      <c r="I654" s="12" t="s">
        <v>929</v>
      </c>
      <c r="J654" s="17" t="s">
        <v>1328</v>
      </c>
      <c r="K654" s="17" t="s">
        <v>1328</v>
      </c>
      <c r="L654" s="17" t="s">
        <v>193</v>
      </c>
      <c r="M654" s="83">
        <v>38.0</v>
      </c>
      <c r="N654" s="84">
        <v>45978.0</v>
      </c>
      <c r="O654" s="17" t="s">
        <v>428</v>
      </c>
      <c r="P654" s="16">
        <v>4.0</v>
      </c>
      <c r="Q654" s="16">
        <v>4.0</v>
      </c>
      <c r="R654" s="16">
        <v>3.0</v>
      </c>
      <c r="S654" s="16">
        <v>3.0</v>
      </c>
      <c r="T654" s="16">
        <v>4.0</v>
      </c>
      <c r="U654" s="16">
        <v>3.0</v>
      </c>
      <c r="V654" s="16">
        <v>3.0</v>
      </c>
      <c r="W654" s="16">
        <v>3.0</v>
      </c>
      <c r="X654" s="16">
        <v>4.0</v>
      </c>
      <c r="Y654" s="16">
        <v>4.0</v>
      </c>
      <c r="Z654" s="16">
        <v>4.0</v>
      </c>
      <c r="AA654" s="16">
        <v>4.0</v>
      </c>
      <c r="AB654" s="16">
        <v>4.0</v>
      </c>
      <c r="AC654" s="16">
        <v>4.0</v>
      </c>
      <c r="AD654" s="38">
        <v>14.0</v>
      </c>
      <c r="AE654" s="38">
        <v>14.0</v>
      </c>
      <c r="AF654" s="38">
        <v>14.0</v>
      </c>
      <c r="AG654" s="38" t="s">
        <v>1329</v>
      </c>
      <c r="AI654" s="18" t="s">
        <v>915</v>
      </c>
    </row>
    <row r="655">
      <c r="A655" s="11"/>
      <c r="B655" s="12" t="s">
        <v>7</v>
      </c>
      <c r="C655" s="12" t="s">
        <v>8</v>
      </c>
      <c r="D655" s="12" t="s">
        <v>15</v>
      </c>
      <c r="E655" s="12" t="s">
        <v>15</v>
      </c>
      <c r="F655" s="13" t="s">
        <v>16</v>
      </c>
      <c r="G655" s="12" t="s">
        <v>68</v>
      </c>
      <c r="H655" s="12" t="s">
        <v>928</v>
      </c>
      <c r="I655" s="12" t="s">
        <v>929</v>
      </c>
      <c r="J655" s="17" t="s">
        <v>1330</v>
      </c>
      <c r="K655" s="17" t="s">
        <v>1330</v>
      </c>
      <c r="L655" s="17" t="s">
        <v>193</v>
      </c>
      <c r="M655" s="83">
        <v>54.0</v>
      </c>
      <c r="N655" s="84">
        <v>45978.0</v>
      </c>
      <c r="O655" s="17" t="s">
        <v>428</v>
      </c>
      <c r="P655" s="16">
        <v>5.0</v>
      </c>
      <c r="Q655" s="16">
        <v>5.0</v>
      </c>
      <c r="R655" s="16">
        <v>5.0</v>
      </c>
      <c r="S655" s="16">
        <v>5.0</v>
      </c>
      <c r="T655" s="16">
        <v>4.0</v>
      </c>
      <c r="U655" s="16">
        <v>5.0</v>
      </c>
      <c r="V655" s="16">
        <v>5.0</v>
      </c>
      <c r="W655" s="16">
        <v>5.0</v>
      </c>
      <c r="X655" s="16">
        <v>4.0</v>
      </c>
      <c r="Y655" s="16">
        <v>4.0</v>
      </c>
      <c r="Z655" s="16">
        <v>4.0</v>
      </c>
      <c r="AA655" s="16">
        <v>5.0</v>
      </c>
      <c r="AB655" s="16">
        <v>4.0</v>
      </c>
      <c r="AC655" s="16">
        <v>4.0</v>
      </c>
      <c r="AD655" s="38">
        <v>13.0</v>
      </c>
      <c r="AE655" s="38">
        <v>16.0</v>
      </c>
      <c r="AF655" s="38">
        <v>18.0</v>
      </c>
      <c r="AG655" s="38" t="s">
        <v>1331</v>
      </c>
      <c r="AI655" s="18" t="s">
        <v>915</v>
      </c>
    </row>
    <row r="656">
      <c r="A656" s="11"/>
      <c r="B656" s="12" t="s">
        <v>7</v>
      </c>
      <c r="C656" s="12" t="s">
        <v>37</v>
      </c>
      <c r="D656" s="12" t="s">
        <v>38</v>
      </c>
      <c r="E656" s="12" t="s">
        <v>38</v>
      </c>
      <c r="F656" s="13" t="s">
        <v>42</v>
      </c>
      <c r="G656" s="12" t="s">
        <v>68</v>
      </c>
      <c r="H656" s="12" t="s">
        <v>584</v>
      </c>
      <c r="I656" s="12" t="s">
        <v>585</v>
      </c>
      <c r="J656" s="17" t="s">
        <v>586</v>
      </c>
      <c r="K656" s="17" t="s">
        <v>586</v>
      </c>
      <c r="L656" s="17" t="s">
        <v>193</v>
      </c>
      <c r="M656" s="83">
        <v>26.0</v>
      </c>
      <c r="N656" s="84">
        <v>45973.0</v>
      </c>
      <c r="O656" s="17" t="s">
        <v>428</v>
      </c>
      <c r="P656" s="16">
        <v>4.0</v>
      </c>
      <c r="Q656" s="16">
        <v>4.0</v>
      </c>
      <c r="R656" s="16">
        <v>4.0</v>
      </c>
      <c r="S656" s="16">
        <v>4.0</v>
      </c>
      <c r="T656" s="16">
        <v>4.0</v>
      </c>
      <c r="U656" s="16">
        <v>3.0</v>
      </c>
      <c r="V656" s="16">
        <v>3.0</v>
      </c>
      <c r="W656" s="16">
        <v>4.0</v>
      </c>
      <c r="X656" s="16">
        <v>4.0</v>
      </c>
      <c r="Y656" s="16">
        <v>4.0</v>
      </c>
      <c r="Z656" s="16">
        <v>4.0</v>
      </c>
      <c r="AA656" s="16">
        <v>4.0</v>
      </c>
      <c r="AB656" s="16">
        <v>4.0</v>
      </c>
      <c r="AC656" s="16">
        <v>4.0</v>
      </c>
      <c r="AD656" s="38">
        <v>14.0</v>
      </c>
      <c r="AE656" s="38">
        <v>15.0</v>
      </c>
      <c r="AF656" s="38">
        <v>14.0</v>
      </c>
      <c r="AG656" s="38" t="s">
        <v>1332</v>
      </c>
      <c r="AI656" s="18" t="s">
        <v>588</v>
      </c>
    </row>
    <row r="657">
      <c r="A657" s="11"/>
      <c r="B657" s="12" t="s">
        <v>7</v>
      </c>
      <c r="C657" s="12" t="s">
        <v>37</v>
      </c>
      <c r="D657" s="12" t="s">
        <v>38</v>
      </c>
      <c r="E657" s="12" t="s">
        <v>38</v>
      </c>
      <c r="F657" s="13" t="s">
        <v>42</v>
      </c>
      <c r="G657" s="12" t="s">
        <v>68</v>
      </c>
      <c r="H657" s="12" t="s">
        <v>584</v>
      </c>
      <c r="I657" s="12" t="s">
        <v>585</v>
      </c>
      <c r="J657" s="17" t="s">
        <v>589</v>
      </c>
      <c r="K657" s="17" t="s">
        <v>589</v>
      </c>
      <c r="L657" s="17" t="s">
        <v>193</v>
      </c>
      <c r="M657" s="17">
        <v>32.0</v>
      </c>
      <c r="N657" s="84">
        <v>45973.0</v>
      </c>
      <c r="O657" s="17" t="s">
        <v>428</v>
      </c>
      <c r="P657" s="16">
        <v>4.0</v>
      </c>
      <c r="Q657" s="16">
        <v>4.0</v>
      </c>
      <c r="R657" s="16">
        <v>3.0</v>
      </c>
      <c r="S657" s="16">
        <v>3.0</v>
      </c>
      <c r="T657" s="16">
        <v>5.0</v>
      </c>
      <c r="U657" s="16">
        <v>4.0</v>
      </c>
      <c r="V657" s="16">
        <v>4.0</v>
      </c>
      <c r="W657" s="16">
        <v>3.0</v>
      </c>
      <c r="X657" s="16">
        <v>5.0</v>
      </c>
      <c r="Y657" s="16">
        <v>5.0</v>
      </c>
      <c r="Z657" s="16">
        <v>5.0</v>
      </c>
      <c r="AA657" s="16">
        <v>4.0</v>
      </c>
      <c r="AB657" s="16">
        <v>5.0</v>
      </c>
      <c r="AC657" s="16">
        <v>5.0</v>
      </c>
      <c r="AD657" s="38">
        <v>14.0</v>
      </c>
      <c r="AE657" s="38">
        <v>14.0</v>
      </c>
      <c r="AF657" s="38">
        <v>18.0</v>
      </c>
      <c r="AG657" s="38" t="s">
        <v>1333</v>
      </c>
      <c r="AI657" s="18" t="s">
        <v>588</v>
      </c>
    </row>
    <row r="658">
      <c r="A658" s="11"/>
      <c r="B658" s="12" t="s">
        <v>7</v>
      </c>
      <c r="C658" s="12" t="s">
        <v>37</v>
      </c>
      <c r="D658" s="12" t="s">
        <v>38</v>
      </c>
      <c r="E658" s="12" t="s">
        <v>38</v>
      </c>
      <c r="F658" s="13" t="s">
        <v>42</v>
      </c>
      <c r="G658" s="12" t="s">
        <v>68</v>
      </c>
      <c r="H658" s="12" t="s">
        <v>584</v>
      </c>
      <c r="I658" s="12" t="s">
        <v>585</v>
      </c>
      <c r="J658" s="17" t="s">
        <v>591</v>
      </c>
      <c r="K658" s="17" t="s">
        <v>591</v>
      </c>
      <c r="L658" s="17" t="s">
        <v>193</v>
      </c>
      <c r="M658" s="17">
        <v>41.0</v>
      </c>
      <c r="N658" s="84">
        <v>45973.0</v>
      </c>
      <c r="O658" s="17" t="s">
        <v>428</v>
      </c>
      <c r="P658" s="16">
        <v>4.0</v>
      </c>
      <c r="Q658" s="16">
        <v>4.0</v>
      </c>
      <c r="R658" s="16">
        <v>3.0</v>
      </c>
      <c r="S658" s="16">
        <v>3.0</v>
      </c>
      <c r="T658" s="16">
        <v>5.0</v>
      </c>
      <c r="U658" s="16">
        <v>4.0</v>
      </c>
      <c r="V658" s="16">
        <v>4.0</v>
      </c>
      <c r="W658" s="16">
        <v>3.0</v>
      </c>
      <c r="X658" s="16">
        <v>4.0</v>
      </c>
      <c r="Y658" s="16">
        <v>4.0</v>
      </c>
      <c r="Z658" s="16">
        <v>5.0</v>
      </c>
      <c r="AA658" s="16">
        <v>4.0</v>
      </c>
      <c r="AB658" s="16">
        <v>5.0</v>
      </c>
      <c r="AC658" s="16">
        <v>4.0</v>
      </c>
      <c r="AD658" s="38">
        <v>14.0</v>
      </c>
      <c r="AE658" s="38">
        <v>13.0</v>
      </c>
      <c r="AF658" s="38">
        <v>18.0</v>
      </c>
      <c r="AG658" s="38" t="s">
        <v>1334</v>
      </c>
      <c r="AI658" s="18" t="s">
        <v>588</v>
      </c>
    </row>
    <row r="659">
      <c r="A659" s="11"/>
      <c r="B659" s="12" t="s">
        <v>7</v>
      </c>
      <c r="C659" s="12" t="s">
        <v>37</v>
      </c>
      <c r="D659" s="12" t="s">
        <v>38</v>
      </c>
      <c r="E659" s="12" t="s">
        <v>38</v>
      </c>
      <c r="F659" s="13" t="s">
        <v>42</v>
      </c>
      <c r="G659" s="12" t="s">
        <v>68</v>
      </c>
      <c r="H659" s="12" t="s">
        <v>584</v>
      </c>
      <c r="I659" s="12" t="s">
        <v>585</v>
      </c>
      <c r="J659" s="17" t="s">
        <v>1335</v>
      </c>
      <c r="K659" s="17" t="s">
        <v>1335</v>
      </c>
      <c r="L659" s="17" t="s">
        <v>250</v>
      </c>
      <c r="M659" s="17">
        <v>57.0</v>
      </c>
      <c r="N659" s="84">
        <v>45973.0</v>
      </c>
      <c r="O659" s="17" t="s">
        <v>428</v>
      </c>
      <c r="P659" s="16">
        <v>4.0</v>
      </c>
      <c r="Q659" s="16">
        <v>4.0</v>
      </c>
      <c r="R659" s="16">
        <v>5.0</v>
      </c>
      <c r="S659" s="16">
        <v>5.0</v>
      </c>
      <c r="T659" s="16">
        <v>5.0</v>
      </c>
      <c r="U659" s="16">
        <v>5.0</v>
      </c>
      <c r="V659" s="16">
        <v>5.0</v>
      </c>
      <c r="W659" s="16">
        <v>5.0</v>
      </c>
      <c r="X659" s="16">
        <v>4.0</v>
      </c>
      <c r="Y659" s="16">
        <v>4.0</v>
      </c>
      <c r="Z659" s="16">
        <v>5.0</v>
      </c>
      <c r="AA659" s="16">
        <v>4.0</v>
      </c>
      <c r="AB659" s="16">
        <v>5.0</v>
      </c>
      <c r="AC659" s="16">
        <v>4.0</v>
      </c>
      <c r="AD659" s="38">
        <v>14.0</v>
      </c>
      <c r="AE659" s="38">
        <v>15.0</v>
      </c>
      <c r="AF659" s="38">
        <v>20.0</v>
      </c>
      <c r="AG659" s="38" t="s">
        <v>1336</v>
      </c>
      <c r="AI659" s="18" t="s">
        <v>588</v>
      </c>
    </row>
    <row r="660">
      <c r="A660" s="11"/>
      <c r="B660" s="12" t="s">
        <v>22</v>
      </c>
      <c r="C660" s="12" t="s">
        <v>22</v>
      </c>
      <c r="D660" s="12" t="s">
        <v>22</v>
      </c>
      <c r="E660" s="12" t="s">
        <v>593</v>
      </c>
      <c r="F660" s="13" t="s">
        <v>594</v>
      </c>
      <c r="G660" s="12" t="s">
        <v>68</v>
      </c>
      <c r="H660" s="12" t="s">
        <v>595</v>
      </c>
      <c r="I660" s="12" t="s">
        <v>596</v>
      </c>
      <c r="J660" s="17" t="s">
        <v>610</v>
      </c>
      <c r="K660" s="17" t="s">
        <v>610</v>
      </c>
      <c r="L660" s="17" t="s">
        <v>193</v>
      </c>
      <c r="M660" s="17">
        <v>22.0</v>
      </c>
      <c r="N660" s="20">
        <v>45967.0</v>
      </c>
      <c r="O660" s="17" t="s">
        <v>428</v>
      </c>
      <c r="P660" s="16">
        <v>2.0</v>
      </c>
      <c r="Q660" s="16">
        <v>2.0</v>
      </c>
      <c r="R660" s="16">
        <v>2.0</v>
      </c>
      <c r="S660" s="16">
        <v>2.0</v>
      </c>
      <c r="T660" s="16">
        <v>4.0</v>
      </c>
      <c r="U660" s="16">
        <v>4.0</v>
      </c>
      <c r="V660" s="16">
        <v>4.0</v>
      </c>
      <c r="W660" s="16">
        <v>2.0</v>
      </c>
      <c r="X660" s="16">
        <v>4.0</v>
      </c>
      <c r="Y660" s="16">
        <v>4.0</v>
      </c>
      <c r="Z660" s="16">
        <v>4.0</v>
      </c>
      <c r="AA660" s="16">
        <v>2.0</v>
      </c>
      <c r="AB660" s="16">
        <v>4.0</v>
      </c>
      <c r="AC660" s="16">
        <v>4.0</v>
      </c>
      <c r="AD660" s="38">
        <v>16.0</v>
      </c>
      <c r="AE660" s="38">
        <v>13.0</v>
      </c>
      <c r="AF660" s="38">
        <v>16.0</v>
      </c>
      <c r="AG660" s="38" t="s">
        <v>1337</v>
      </c>
      <c r="AI660" s="18" t="s">
        <v>588</v>
      </c>
    </row>
    <row r="661">
      <c r="A661" s="11"/>
      <c r="B661" s="12" t="s">
        <v>22</v>
      </c>
      <c r="C661" s="12" t="s">
        <v>22</v>
      </c>
      <c r="D661" s="12" t="s">
        <v>22</v>
      </c>
      <c r="E661" s="12" t="s">
        <v>593</v>
      </c>
      <c r="F661" s="13" t="s">
        <v>594</v>
      </c>
      <c r="G661" s="12" t="s">
        <v>68</v>
      </c>
      <c r="H661" s="12" t="s">
        <v>595</v>
      </c>
      <c r="I661" s="12" t="s">
        <v>596</v>
      </c>
      <c r="J661" s="17" t="s">
        <v>603</v>
      </c>
      <c r="K661" s="17" t="s">
        <v>603</v>
      </c>
      <c r="L661" s="17" t="s">
        <v>193</v>
      </c>
      <c r="M661" s="17">
        <v>30.0</v>
      </c>
      <c r="N661" s="20">
        <v>45967.0</v>
      </c>
      <c r="O661" s="17" t="s">
        <v>428</v>
      </c>
      <c r="P661" s="16">
        <v>5.0</v>
      </c>
      <c r="Q661" s="16">
        <v>5.0</v>
      </c>
      <c r="R661" s="16">
        <v>3.0</v>
      </c>
      <c r="S661" s="16">
        <v>3.0</v>
      </c>
      <c r="T661" s="16">
        <v>5.0</v>
      </c>
      <c r="U661" s="16">
        <v>4.0</v>
      </c>
      <c r="V661" s="16">
        <v>4.0</v>
      </c>
      <c r="W661" s="16">
        <v>3.0</v>
      </c>
      <c r="X661" s="16">
        <v>4.0</v>
      </c>
      <c r="Y661" s="16">
        <v>4.0</v>
      </c>
      <c r="Z661" s="16">
        <v>5.0</v>
      </c>
      <c r="AA661" s="16">
        <v>5.0</v>
      </c>
      <c r="AB661" s="16">
        <v>5.0</v>
      </c>
      <c r="AC661" s="16">
        <v>4.0</v>
      </c>
      <c r="AD661" s="38">
        <v>13.0</v>
      </c>
      <c r="AE661" s="38">
        <v>13.0</v>
      </c>
      <c r="AF661" s="38">
        <v>18.0</v>
      </c>
      <c r="AG661" s="38" t="s">
        <v>1338</v>
      </c>
      <c r="AI661" s="18" t="s">
        <v>588</v>
      </c>
    </row>
    <row r="662">
      <c r="A662" s="11"/>
      <c r="B662" s="12" t="s">
        <v>22</v>
      </c>
      <c r="C662" s="12" t="s">
        <v>22</v>
      </c>
      <c r="D662" s="12" t="s">
        <v>22</v>
      </c>
      <c r="E662" s="12" t="s">
        <v>624</v>
      </c>
      <c r="F662" s="13" t="s">
        <v>625</v>
      </c>
      <c r="G662" s="12" t="s">
        <v>68</v>
      </c>
      <c r="H662" s="12" t="s">
        <v>626</v>
      </c>
      <c r="I662" s="12" t="s">
        <v>627</v>
      </c>
      <c r="J662" s="17" t="s">
        <v>892</v>
      </c>
      <c r="K662" s="17" t="s">
        <v>892</v>
      </c>
      <c r="L662" s="17" t="s">
        <v>193</v>
      </c>
      <c r="M662" s="17">
        <v>37.0</v>
      </c>
      <c r="N662" s="20">
        <v>45974.0</v>
      </c>
      <c r="O662" s="17" t="s">
        <v>428</v>
      </c>
      <c r="P662" s="16">
        <v>5.0</v>
      </c>
      <c r="Q662" s="16">
        <v>5.0</v>
      </c>
      <c r="R662" s="16">
        <v>3.0</v>
      </c>
      <c r="S662" s="16">
        <v>3.0</v>
      </c>
      <c r="T662" s="16">
        <v>3.0</v>
      </c>
      <c r="U662" s="16">
        <v>4.0</v>
      </c>
      <c r="V662" s="16">
        <v>4.0</v>
      </c>
      <c r="W662" s="16">
        <v>3.0</v>
      </c>
      <c r="X662" s="16">
        <v>4.0</v>
      </c>
      <c r="Y662" s="16">
        <v>4.0</v>
      </c>
      <c r="Z662" s="16">
        <v>3.0</v>
      </c>
      <c r="AA662" s="16">
        <v>5.0</v>
      </c>
      <c r="AB662" s="16">
        <v>3.0</v>
      </c>
      <c r="AC662" s="16">
        <v>4.0</v>
      </c>
      <c r="AD662" s="38">
        <v>13.0</v>
      </c>
      <c r="AE662" s="38">
        <v>15.0</v>
      </c>
      <c r="AF662" s="38">
        <v>14.0</v>
      </c>
      <c r="AG662" s="38" t="s">
        <v>1339</v>
      </c>
      <c r="AI662" s="18" t="s">
        <v>588</v>
      </c>
    </row>
    <row r="663">
      <c r="A663" s="11"/>
      <c r="B663" s="12" t="s">
        <v>22</v>
      </c>
      <c r="C663" s="12" t="s">
        <v>22</v>
      </c>
      <c r="D663" s="12" t="s">
        <v>22</v>
      </c>
      <c r="E663" s="12" t="s">
        <v>624</v>
      </c>
      <c r="F663" s="13" t="s">
        <v>625</v>
      </c>
      <c r="G663" s="12" t="s">
        <v>68</v>
      </c>
      <c r="H663" s="12" t="s">
        <v>626</v>
      </c>
      <c r="I663" s="12" t="s">
        <v>627</v>
      </c>
      <c r="J663" s="17" t="s">
        <v>630</v>
      </c>
      <c r="K663" s="17" t="s">
        <v>630</v>
      </c>
      <c r="L663" s="17" t="s">
        <v>193</v>
      </c>
      <c r="M663" s="17">
        <v>38.0</v>
      </c>
      <c r="N663" s="20">
        <v>45974.0</v>
      </c>
      <c r="O663" s="17" t="s">
        <v>428</v>
      </c>
      <c r="P663" s="16">
        <v>5.0</v>
      </c>
      <c r="Q663" s="16">
        <v>5.0</v>
      </c>
      <c r="R663" s="16">
        <v>3.0</v>
      </c>
      <c r="S663" s="16">
        <v>3.0</v>
      </c>
      <c r="T663" s="16">
        <v>5.0</v>
      </c>
      <c r="U663" s="16">
        <v>3.0</v>
      </c>
      <c r="V663" s="16">
        <v>3.0</v>
      </c>
      <c r="W663" s="16">
        <v>3.0</v>
      </c>
      <c r="X663" s="16">
        <v>5.0</v>
      </c>
      <c r="Y663" s="16">
        <v>5.0</v>
      </c>
      <c r="Z663" s="16">
        <v>5.0</v>
      </c>
      <c r="AA663" s="16">
        <v>5.0</v>
      </c>
      <c r="AB663" s="16">
        <v>5.0</v>
      </c>
      <c r="AC663" s="16">
        <v>5.0</v>
      </c>
      <c r="AD663" s="38">
        <v>13.0</v>
      </c>
      <c r="AE663" s="38">
        <v>14.0</v>
      </c>
      <c r="AF663" s="38">
        <v>16.0</v>
      </c>
      <c r="AG663" s="38" t="s">
        <v>1340</v>
      </c>
      <c r="AI663" s="18" t="s">
        <v>588</v>
      </c>
    </row>
    <row r="664">
      <c r="A664" s="11"/>
      <c r="B664" s="12" t="s">
        <v>22</v>
      </c>
      <c r="C664" s="12" t="s">
        <v>22</v>
      </c>
      <c r="D664" s="12" t="s">
        <v>22</v>
      </c>
      <c r="E664" s="12" t="s">
        <v>624</v>
      </c>
      <c r="F664" s="13" t="s">
        <v>625</v>
      </c>
      <c r="G664" s="12" t="s">
        <v>68</v>
      </c>
      <c r="H664" s="12" t="s">
        <v>626</v>
      </c>
      <c r="I664" s="12" t="s">
        <v>627</v>
      </c>
      <c r="J664" s="17" t="s">
        <v>1341</v>
      </c>
      <c r="K664" s="17" t="s">
        <v>1341</v>
      </c>
      <c r="L664" s="17" t="s">
        <v>193</v>
      </c>
      <c r="M664" s="17">
        <v>28.0</v>
      </c>
      <c r="N664" s="20">
        <v>45974.0</v>
      </c>
      <c r="O664" s="17" t="s">
        <v>428</v>
      </c>
      <c r="P664" s="16">
        <v>4.0</v>
      </c>
      <c r="Q664" s="16">
        <v>4.0</v>
      </c>
      <c r="R664" s="16">
        <v>3.0</v>
      </c>
      <c r="S664" s="16">
        <v>3.0</v>
      </c>
      <c r="T664" s="16">
        <v>5.0</v>
      </c>
      <c r="U664" s="16">
        <v>5.0</v>
      </c>
      <c r="V664" s="16">
        <v>5.0</v>
      </c>
      <c r="W664" s="16">
        <v>3.0</v>
      </c>
      <c r="X664" s="16">
        <v>4.0</v>
      </c>
      <c r="Y664" s="16">
        <v>4.0</v>
      </c>
      <c r="Z664" s="16">
        <v>5.0</v>
      </c>
      <c r="AA664" s="16">
        <v>4.0</v>
      </c>
      <c r="AB664" s="16">
        <v>5.0</v>
      </c>
      <c r="AC664" s="16">
        <v>4.0</v>
      </c>
      <c r="AD664" s="38">
        <v>14.0</v>
      </c>
      <c r="AE664" s="38">
        <v>13.0</v>
      </c>
      <c r="AF664" s="38">
        <v>20.0</v>
      </c>
      <c r="AG664" s="38" t="s">
        <v>1342</v>
      </c>
      <c r="AI664" s="18" t="s">
        <v>588</v>
      </c>
    </row>
    <row r="665">
      <c r="A665" s="11"/>
      <c r="B665" s="12" t="s">
        <v>22</v>
      </c>
      <c r="C665" s="12" t="s">
        <v>22</v>
      </c>
      <c r="D665" s="12" t="s">
        <v>22</v>
      </c>
      <c r="E665" s="12" t="s">
        <v>624</v>
      </c>
      <c r="F665" s="13" t="s">
        <v>625</v>
      </c>
      <c r="G665" s="12" t="s">
        <v>68</v>
      </c>
      <c r="H665" s="12" t="s">
        <v>626</v>
      </c>
      <c r="I665" s="12" t="s">
        <v>627</v>
      </c>
      <c r="J665" s="17" t="s">
        <v>1343</v>
      </c>
      <c r="K665" s="17" t="s">
        <v>1343</v>
      </c>
      <c r="L665" s="17" t="s">
        <v>193</v>
      </c>
      <c r="M665" s="17">
        <v>43.0</v>
      </c>
      <c r="N665" s="20">
        <v>45974.0</v>
      </c>
      <c r="O665" s="17" t="s">
        <v>428</v>
      </c>
      <c r="P665" s="16">
        <v>3.0</v>
      </c>
      <c r="Q665" s="16">
        <v>3.0</v>
      </c>
      <c r="R665" s="16">
        <v>4.0</v>
      </c>
      <c r="S665" s="16">
        <v>4.0</v>
      </c>
      <c r="T665" s="16">
        <v>5.0</v>
      </c>
      <c r="U665" s="16">
        <v>4.0</v>
      </c>
      <c r="V665" s="16">
        <v>4.0</v>
      </c>
      <c r="W665" s="16">
        <v>4.0</v>
      </c>
      <c r="X665" s="16">
        <v>5.0</v>
      </c>
      <c r="Y665" s="16">
        <v>5.0</v>
      </c>
      <c r="Z665" s="16">
        <v>5.0</v>
      </c>
      <c r="AA665" s="16">
        <v>3.0</v>
      </c>
      <c r="AB665" s="16">
        <v>5.0</v>
      </c>
      <c r="AC665" s="16">
        <v>5.0</v>
      </c>
      <c r="AD665" s="38">
        <v>15.0</v>
      </c>
      <c r="AE665" s="38">
        <v>15.0</v>
      </c>
      <c r="AF665" s="38">
        <v>18.0</v>
      </c>
      <c r="AG665" s="38" t="s">
        <v>608</v>
      </c>
      <c r="AI665" s="18" t="s">
        <v>588</v>
      </c>
    </row>
    <row r="666">
      <c r="A666" s="11"/>
      <c r="B666" s="12" t="s">
        <v>22</v>
      </c>
      <c r="C666" s="12" t="s">
        <v>22</v>
      </c>
      <c r="D666" s="12" t="s">
        <v>22</v>
      </c>
      <c r="E666" s="12" t="s">
        <v>624</v>
      </c>
      <c r="F666" s="13" t="s">
        <v>625</v>
      </c>
      <c r="G666" s="12" t="s">
        <v>68</v>
      </c>
      <c r="H666" s="12" t="s">
        <v>626</v>
      </c>
      <c r="I666" s="12" t="s">
        <v>627</v>
      </c>
      <c r="J666" s="17" t="s">
        <v>886</v>
      </c>
      <c r="K666" s="17" t="s">
        <v>886</v>
      </c>
      <c r="L666" s="17" t="s">
        <v>193</v>
      </c>
      <c r="M666" s="17">
        <v>37.0</v>
      </c>
      <c r="N666" s="20">
        <v>45974.0</v>
      </c>
      <c r="O666" s="17" t="s">
        <v>428</v>
      </c>
      <c r="P666" s="16">
        <v>5.0</v>
      </c>
      <c r="Q666" s="16">
        <v>5.0</v>
      </c>
      <c r="R666" s="16">
        <v>4.0</v>
      </c>
      <c r="S666" s="16">
        <v>4.0</v>
      </c>
      <c r="T666" s="16">
        <v>4.0</v>
      </c>
      <c r="U666" s="16">
        <v>4.0</v>
      </c>
      <c r="V666" s="16">
        <v>4.0</v>
      </c>
      <c r="W666" s="16">
        <v>4.0</v>
      </c>
      <c r="X666" s="16">
        <v>5.0</v>
      </c>
      <c r="Y666" s="16">
        <v>5.0</v>
      </c>
      <c r="Z666" s="16">
        <v>4.0</v>
      </c>
      <c r="AA666" s="16">
        <v>5.0</v>
      </c>
      <c r="AB666" s="16">
        <v>4.0</v>
      </c>
      <c r="AC666" s="16">
        <v>5.0</v>
      </c>
      <c r="AD666" s="38">
        <v>13.0</v>
      </c>
      <c r="AE666" s="38">
        <v>16.0</v>
      </c>
      <c r="AF666" s="38">
        <v>16.0</v>
      </c>
      <c r="AG666" s="38" t="s">
        <v>1344</v>
      </c>
      <c r="AH666" s="17" t="s">
        <v>1345</v>
      </c>
      <c r="AI666" s="18" t="s">
        <v>588</v>
      </c>
    </row>
    <row r="667">
      <c r="A667" s="11"/>
      <c r="B667" s="12" t="s">
        <v>22</v>
      </c>
      <c r="C667" s="12" t="s">
        <v>22</v>
      </c>
      <c r="D667" s="12" t="s">
        <v>22</v>
      </c>
      <c r="E667" s="12" t="s">
        <v>624</v>
      </c>
      <c r="F667" s="13" t="s">
        <v>625</v>
      </c>
      <c r="G667" s="12" t="s">
        <v>68</v>
      </c>
      <c r="H667" s="12" t="s">
        <v>626</v>
      </c>
      <c r="I667" s="12" t="s">
        <v>627</v>
      </c>
      <c r="J667" s="17" t="s">
        <v>890</v>
      </c>
      <c r="K667" s="17" t="s">
        <v>890</v>
      </c>
      <c r="L667" s="17" t="s">
        <v>193</v>
      </c>
      <c r="M667" s="17">
        <v>43.0</v>
      </c>
      <c r="N667" s="20">
        <v>45974.0</v>
      </c>
      <c r="O667" s="17" t="s">
        <v>428</v>
      </c>
      <c r="P667" s="16">
        <v>4.0</v>
      </c>
      <c r="Q667" s="16">
        <v>4.0</v>
      </c>
      <c r="R667" s="16">
        <v>5.0</v>
      </c>
      <c r="S667" s="16">
        <v>5.0</v>
      </c>
      <c r="T667" s="16">
        <v>5.0</v>
      </c>
      <c r="U667" s="16">
        <v>3.0</v>
      </c>
      <c r="V667" s="16">
        <v>3.0</v>
      </c>
      <c r="W667" s="16">
        <v>5.0</v>
      </c>
      <c r="X667" s="16">
        <v>3.0</v>
      </c>
      <c r="Y667" s="16">
        <v>3.0</v>
      </c>
      <c r="Z667" s="16">
        <v>5.0</v>
      </c>
      <c r="AA667" s="16">
        <v>4.0</v>
      </c>
      <c r="AB667" s="16">
        <v>5.0</v>
      </c>
      <c r="AC667" s="16">
        <v>3.0</v>
      </c>
      <c r="AD667" s="38">
        <v>14.0</v>
      </c>
      <c r="AE667" s="38">
        <v>14.0</v>
      </c>
      <c r="AF667" s="38">
        <v>16.0</v>
      </c>
      <c r="AG667" s="38" t="s">
        <v>1346</v>
      </c>
      <c r="AI667" s="18" t="s">
        <v>588</v>
      </c>
    </row>
    <row r="668">
      <c r="A668" s="11"/>
      <c r="B668" s="12" t="s">
        <v>7</v>
      </c>
      <c r="C668" s="12" t="s">
        <v>37</v>
      </c>
      <c r="D668" s="12" t="s">
        <v>38</v>
      </c>
      <c r="E668" s="12" t="s">
        <v>41</v>
      </c>
      <c r="F668" s="13" t="s">
        <v>39</v>
      </c>
      <c r="G668" s="12" t="s">
        <v>68</v>
      </c>
      <c r="H668" s="12" t="s">
        <v>902</v>
      </c>
      <c r="I668" s="12" t="s">
        <v>903</v>
      </c>
      <c r="J668" s="17" t="s">
        <v>909</v>
      </c>
      <c r="K668" s="17" t="s">
        <v>909</v>
      </c>
      <c r="L668" s="17" t="s">
        <v>193</v>
      </c>
      <c r="M668" s="17">
        <v>35.0</v>
      </c>
      <c r="N668" s="20">
        <v>45972.0</v>
      </c>
      <c r="O668" s="17" t="s">
        <v>428</v>
      </c>
      <c r="P668" s="16">
        <v>4.0</v>
      </c>
      <c r="Q668" s="16">
        <v>4.0</v>
      </c>
      <c r="R668" s="16">
        <v>4.0</v>
      </c>
      <c r="S668" s="16">
        <v>4.0</v>
      </c>
      <c r="T668" s="16">
        <v>4.0</v>
      </c>
      <c r="U668" s="16">
        <v>4.0</v>
      </c>
      <c r="V668" s="16">
        <v>4.0</v>
      </c>
      <c r="W668" s="16">
        <v>4.0</v>
      </c>
      <c r="X668" s="16">
        <v>4.0</v>
      </c>
      <c r="Y668" s="16">
        <v>4.0</v>
      </c>
      <c r="Z668" s="16">
        <v>4.0</v>
      </c>
      <c r="AA668" s="16">
        <v>4.0</v>
      </c>
      <c r="AB668" s="16">
        <v>4.0</v>
      </c>
      <c r="AC668" s="16">
        <v>4.0</v>
      </c>
      <c r="AD668" s="38">
        <v>14.0</v>
      </c>
      <c r="AE668" s="38">
        <v>15.0</v>
      </c>
      <c r="AF668" s="38">
        <v>16.0</v>
      </c>
      <c r="AG668" s="38" t="s">
        <v>910</v>
      </c>
      <c r="AI668" s="18" t="s">
        <v>588</v>
      </c>
    </row>
    <row r="669">
      <c r="A669" s="11"/>
      <c r="B669" s="12" t="s">
        <v>7</v>
      </c>
      <c r="C669" s="12" t="s">
        <v>37</v>
      </c>
      <c r="D669" s="12" t="s">
        <v>38</v>
      </c>
      <c r="E669" s="12" t="s">
        <v>41</v>
      </c>
      <c r="F669" s="13" t="s">
        <v>39</v>
      </c>
      <c r="G669" s="12" t="s">
        <v>68</v>
      </c>
      <c r="H669" s="12" t="s">
        <v>902</v>
      </c>
      <c r="I669" s="12" t="s">
        <v>903</v>
      </c>
      <c r="J669" s="17" t="s">
        <v>906</v>
      </c>
      <c r="K669" s="17" t="s">
        <v>906</v>
      </c>
      <c r="L669" s="17" t="s">
        <v>193</v>
      </c>
      <c r="M669" s="17">
        <v>40.0</v>
      </c>
      <c r="N669" s="20">
        <v>45972.0</v>
      </c>
      <c r="O669" s="17" t="s">
        <v>428</v>
      </c>
      <c r="P669" s="16">
        <v>5.0</v>
      </c>
      <c r="Q669" s="16">
        <v>5.0</v>
      </c>
      <c r="R669" s="16">
        <v>4.0</v>
      </c>
      <c r="S669" s="16">
        <v>4.0</v>
      </c>
      <c r="T669" s="16">
        <v>4.0</v>
      </c>
      <c r="U669" s="16">
        <v>4.0</v>
      </c>
      <c r="V669" s="16">
        <v>4.0</v>
      </c>
      <c r="W669" s="16">
        <v>4.0</v>
      </c>
      <c r="X669" s="16">
        <v>4.0</v>
      </c>
      <c r="Y669" s="16">
        <v>4.0</v>
      </c>
      <c r="Z669" s="16">
        <v>4.0</v>
      </c>
      <c r="AA669" s="16">
        <v>5.0</v>
      </c>
      <c r="AB669" s="16">
        <v>4.0</v>
      </c>
      <c r="AC669" s="16">
        <v>4.0</v>
      </c>
      <c r="AD669" s="38">
        <v>13.0</v>
      </c>
      <c r="AE669" s="38">
        <v>15.0</v>
      </c>
      <c r="AF669" s="38">
        <v>16.0</v>
      </c>
      <c r="AG669" s="38" t="s">
        <v>621</v>
      </c>
      <c r="AI669" s="18" t="s">
        <v>588</v>
      </c>
    </row>
    <row r="670">
      <c r="A670" s="11"/>
      <c r="B670" s="12" t="s">
        <v>43</v>
      </c>
      <c r="C670" s="12" t="s">
        <v>65</v>
      </c>
      <c r="D670" s="12" t="s">
        <v>321</v>
      </c>
      <c r="E670" s="12" t="s">
        <v>321</v>
      </c>
      <c r="F670" s="13" t="s">
        <v>322</v>
      </c>
      <c r="G670" s="12" t="s">
        <v>68</v>
      </c>
      <c r="H670" s="12" t="s">
        <v>323</v>
      </c>
      <c r="I670" s="12" t="s">
        <v>324</v>
      </c>
      <c r="J670" s="17" t="s">
        <v>1347</v>
      </c>
      <c r="K670" s="17" t="s">
        <v>1347</v>
      </c>
      <c r="L670" s="17" t="s">
        <v>193</v>
      </c>
      <c r="M670" s="17">
        <v>33.0</v>
      </c>
      <c r="N670" s="20">
        <v>45987.0</v>
      </c>
      <c r="O670" s="17" t="s">
        <v>428</v>
      </c>
      <c r="P670" s="16">
        <v>3.0</v>
      </c>
      <c r="Q670" s="16">
        <v>3.0</v>
      </c>
      <c r="R670" s="16">
        <v>3.0</v>
      </c>
      <c r="S670" s="16">
        <v>3.0</v>
      </c>
      <c r="T670" s="16">
        <v>3.0</v>
      </c>
      <c r="U670" s="16">
        <v>2.0</v>
      </c>
      <c r="V670" s="16">
        <v>2.0</v>
      </c>
      <c r="W670" s="16">
        <v>3.0</v>
      </c>
      <c r="X670" s="16">
        <v>3.0</v>
      </c>
      <c r="Y670" s="16">
        <v>3.0</v>
      </c>
      <c r="Z670" s="16">
        <v>3.0</v>
      </c>
      <c r="AA670" s="16">
        <v>3.0</v>
      </c>
      <c r="AB670" s="16">
        <v>3.0</v>
      </c>
      <c r="AC670" s="16">
        <v>3.0</v>
      </c>
      <c r="AD670" s="16">
        <v>15.0</v>
      </c>
      <c r="AE670" s="16">
        <v>14.0</v>
      </c>
      <c r="AF670" s="16">
        <v>10.0</v>
      </c>
      <c r="AG670" s="16" t="s">
        <v>1348</v>
      </c>
      <c r="AH670" s="17" t="s">
        <v>1349</v>
      </c>
      <c r="AI670" s="18" t="s">
        <v>76</v>
      </c>
    </row>
    <row r="671">
      <c r="A671" s="11"/>
      <c r="B671" s="12" t="s">
        <v>43</v>
      </c>
      <c r="C671" s="12" t="s">
        <v>65</v>
      </c>
      <c r="D671" s="12" t="s">
        <v>321</v>
      </c>
      <c r="E671" s="12" t="s">
        <v>321</v>
      </c>
      <c r="F671" s="13" t="s">
        <v>322</v>
      </c>
      <c r="G671" s="12" t="s">
        <v>68</v>
      </c>
      <c r="H671" s="12" t="s">
        <v>323</v>
      </c>
      <c r="I671" s="12" t="s">
        <v>324</v>
      </c>
      <c r="J671" s="17" t="s">
        <v>1350</v>
      </c>
      <c r="K671" s="17" t="s">
        <v>1350</v>
      </c>
      <c r="L671" s="17" t="s">
        <v>193</v>
      </c>
      <c r="M671" s="17">
        <v>41.0</v>
      </c>
      <c r="N671" s="20">
        <v>45987.0</v>
      </c>
      <c r="O671" s="17" t="s">
        <v>428</v>
      </c>
      <c r="P671" s="16">
        <v>4.0</v>
      </c>
      <c r="Q671" s="16">
        <v>4.0</v>
      </c>
      <c r="R671" s="16">
        <v>4.0</v>
      </c>
      <c r="S671" s="16">
        <v>4.0</v>
      </c>
      <c r="T671" s="16">
        <v>4.0</v>
      </c>
      <c r="U671" s="16">
        <v>5.0</v>
      </c>
      <c r="V671" s="16">
        <v>5.0</v>
      </c>
      <c r="W671" s="16">
        <v>4.0</v>
      </c>
      <c r="X671" s="16">
        <v>5.0</v>
      </c>
      <c r="Y671" s="16">
        <v>5.0</v>
      </c>
      <c r="Z671" s="16">
        <v>4.0</v>
      </c>
      <c r="AA671" s="16">
        <v>4.0</v>
      </c>
      <c r="AB671" s="16">
        <v>4.0</v>
      </c>
      <c r="AC671" s="16">
        <v>5.0</v>
      </c>
      <c r="AD671" s="16">
        <v>14.0</v>
      </c>
      <c r="AE671" s="16">
        <v>16.0</v>
      </c>
      <c r="AF671" s="16">
        <v>18.0</v>
      </c>
      <c r="AG671" s="16" t="s">
        <v>1351</v>
      </c>
      <c r="AH671" s="17" t="s">
        <v>1352</v>
      </c>
      <c r="AI671" s="18" t="s">
        <v>76</v>
      </c>
    </row>
    <row r="672">
      <c r="A672" s="11"/>
      <c r="B672" s="12" t="s">
        <v>43</v>
      </c>
      <c r="C672" s="12" t="s">
        <v>65</v>
      </c>
      <c r="D672" s="12" t="s">
        <v>321</v>
      </c>
      <c r="E672" s="12" t="s">
        <v>321</v>
      </c>
      <c r="F672" s="13" t="s">
        <v>322</v>
      </c>
      <c r="G672" s="12" t="s">
        <v>68</v>
      </c>
      <c r="H672" s="12" t="s">
        <v>323</v>
      </c>
      <c r="I672" s="12" t="s">
        <v>324</v>
      </c>
      <c r="J672" s="15" t="s">
        <v>1353</v>
      </c>
      <c r="K672" s="15" t="s">
        <v>1353</v>
      </c>
      <c r="L672" s="17" t="s">
        <v>222</v>
      </c>
      <c r="M672" s="17">
        <v>32.0</v>
      </c>
      <c r="N672" s="20">
        <v>45987.0</v>
      </c>
      <c r="O672" s="17" t="s">
        <v>428</v>
      </c>
      <c r="P672" s="16">
        <v>4.0</v>
      </c>
      <c r="Q672" s="16">
        <v>4.0</v>
      </c>
      <c r="R672" s="16">
        <v>4.0</v>
      </c>
      <c r="S672" s="16">
        <v>4.0</v>
      </c>
      <c r="T672" s="16">
        <v>4.0</v>
      </c>
      <c r="U672" s="16">
        <v>4.0</v>
      </c>
      <c r="V672" s="16">
        <v>4.0</v>
      </c>
      <c r="W672" s="16">
        <v>4.0</v>
      </c>
      <c r="X672" s="16">
        <v>4.0</v>
      </c>
      <c r="Y672" s="16">
        <v>4.0</v>
      </c>
      <c r="Z672" s="16">
        <v>4.0</v>
      </c>
      <c r="AA672" s="16">
        <v>4.0</v>
      </c>
      <c r="AB672" s="16">
        <v>4.0</v>
      </c>
      <c r="AC672" s="16">
        <v>4.0</v>
      </c>
      <c r="AD672" s="16">
        <v>14.0</v>
      </c>
      <c r="AE672" s="16">
        <v>15.0</v>
      </c>
      <c r="AF672" s="16">
        <v>16.0</v>
      </c>
      <c r="AG672" s="16" t="s">
        <v>1354</v>
      </c>
      <c r="AI672" s="18" t="s">
        <v>76</v>
      </c>
    </row>
    <row r="673">
      <c r="A673" s="11"/>
      <c r="B673" s="12" t="s">
        <v>43</v>
      </c>
      <c r="C673" s="12" t="s">
        <v>65</v>
      </c>
      <c r="D673" s="12" t="s">
        <v>321</v>
      </c>
      <c r="E673" s="12" t="s">
        <v>321</v>
      </c>
      <c r="F673" s="13" t="s">
        <v>322</v>
      </c>
      <c r="G673" s="12" t="s">
        <v>68</v>
      </c>
      <c r="H673" s="12" t="s">
        <v>323</v>
      </c>
      <c r="I673" s="12" t="s">
        <v>324</v>
      </c>
      <c r="J673" s="15" t="s">
        <v>345</v>
      </c>
      <c r="K673" s="15" t="s">
        <v>345</v>
      </c>
      <c r="L673" s="17" t="s">
        <v>193</v>
      </c>
      <c r="M673" s="17">
        <v>36.0</v>
      </c>
      <c r="N673" s="20">
        <v>45987.0</v>
      </c>
      <c r="O673" s="17" t="s">
        <v>428</v>
      </c>
      <c r="P673" s="16">
        <v>4.0</v>
      </c>
      <c r="Q673" s="16">
        <v>4.0</v>
      </c>
      <c r="R673" s="16">
        <v>3.0</v>
      </c>
      <c r="S673" s="16">
        <v>3.0</v>
      </c>
      <c r="T673" s="16">
        <v>4.0</v>
      </c>
      <c r="U673" s="16">
        <v>4.0</v>
      </c>
      <c r="V673" s="16">
        <v>4.0</v>
      </c>
      <c r="W673" s="16">
        <v>3.0</v>
      </c>
      <c r="X673" s="16">
        <v>4.0</v>
      </c>
      <c r="Y673" s="16">
        <v>4.0</v>
      </c>
      <c r="Z673" s="16">
        <v>4.0</v>
      </c>
      <c r="AA673" s="16">
        <v>4.0</v>
      </c>
      <c r="AB673" s="16">
        <v>4.0</v>
      </c>
      <c r="AC673" s="16">
        <v>4.0</v>
      </c>
      <c r="AD673" s="38">
        <v>14.0</v>
      </c>
      <c r="AE673" s="38">
        <v>14.0</v>
      </c>
      <c r="AF673" s="38">
        <v>16.0</v>
      </c>
      <c r="AG673" s="38" t="s">
        <v>1355</v>
      </c>
      <c r="AI673" s="18" t="s">
        <v>76</v>
      </c>
    </row>
    <row r="674">
      <c r="A674" s="11"/>
      <c r="B674" s="12" t="s">
        <v>43</v>
      </c>
      <c r="C674" s="12" t="s">
        <v>65</v>
      </c>
      <c r="D674" s="12" t="s">
        <v>321</v>
      </c>
      <c r="E674" s="12" t="s">
        <v>321</v>
      </c>
      <c r="F674" s="13" t="s">
        <v>322</v>
      </c>
      <c r="G674" s="12" t="s">
        <v>68</v>
      </c>
      <c r="H674" s="12" t="s">
        <v>323</v>
      </c>
      <c r="I674" s="12" t="s">
        <v>324</v>
      </c>
      <c r="J674" s="15" t="s">
        <v>353</v>
      </c>
      <c r="K674" s="15" t="s">
        <v>353</v>
      </c>
      <c r="L674" s="17" t="s">
        <v>222</v>
      </c>
      <c r="M674" s="40"/>
      <c r="N674" s="20">
        <v>45987.0</v>
      </c>
      <c r="O674" s="17" t="s">
        <v>428</v>
      </c>
      <c r="P674" s="42"/>
      <c r="Q674" s="42"/>
      <c r="R674" s="42"/>
      <c r="S674" s="42"/>
      <c r="T674" s="42"/>
      <c r="U674" s="42"/>
      <c r="V674" s="42"/>
      <c r="W674" s="42"/>
      <c r="X674" s="42"/>
      <c r="Y674" s="42"/>
      <c r="Z674" s="42"/>
      <c r="AA674" s="42"/>
      <c r="AB674" s="42"/>
      <c r="AC674" s="42"/>
      <c r="AD674" s="37">
        <v>18.0</v>
      </c>
      <c r="AE674" s="37">
        <v>11.0</v>
      </c>
      <c r="AF674" s="37">
        <v>0.0</v>
      </c>
      <c r="AG674" s="37"/>
      <c r="AI674" s="18" t="s">
        <v>76</v>
      </c>
    </row>
    <row r="675">
      <c r="A675" s="11"/>
      <c r="B675" s="12" t="s">
        <v>43</v>
      </c>
      <c r="C675" s="12" t="s">
        <v>65</v>
      </c>
      <c r="D675" s="12" t="s">
        <v>321</v>
      </c>
      <c r="E675" s="12" t="s">
        <v>321</v>
      </c>
      <c r="F675" s="13" t="s">
        <v>322</v>
      </c>
      <c r="G675" s="12" t="s">
        <v>68</v>
      </c>
      <c r="H675" s="12" t="s">
        <v>323</v>
      </c>
      <c r="I675" s="12" t="s">
        <v>324</v>
      </c>
      <c r="J675" s="15" t="s">
        <v>357</v>
      </c>
      <c r="K675" s="15" t="s">
        <v>357</v>
      </c>
      <c r="L675" s="17" t="s">
        <v>193</v>
      </c>
      <c r="M675" s="40"/>
      <c r="N675" s="20">
        <v>45987.0</v>
      </c>
      <c r="O675" s="17" t="s">
        <v>428</v>
      </c>
      <c r="P675" s="42"/>
      <c r="Q675" s="42"/>
      <c r="R675" s="42"/>
      <c r="S675" s="42"/>
      <c r="T675" s="42"/>
      <c r="U675" s="42"/>
      <c r="V675" s="42"/>
      <c r="W675" s="42"/>
      <c r="X675" s="42"/>
      <c r="Y675" s="42"/>
      <c r="Z675" s="42"/>
      <c r="AA675" s="42"/>
      <c r="AB675" s="42"/>
      <c r="AC675" s="42"/>
      <c r="AD675" s="2">
        <v>18.0</v>
      </c>
      <c r="AE675" s="2">
        <v>11.0</v>
      </c>
      <c r="AF675" s="2">
        <v>0.0</v>
      </c>
      <c r="AI675" s="18" t="s">
        <v>76</v>
      </c>
    </row>
    <row r="676">
      <c r="A676" s="11"/>
      <c r="B676" s="12" t="s">
        <v>43</v>
      </c>
      <c r="C676" s="12" t="s">
        <v>65</v>
      </c>
      <c r="D676" s="12" t="s">
        <v>321</v>
      </c>
      <c r="E676" s="12" t="s">
        <v>321</v>
      </c>
      <c r="F676" s="13" t="s">
        <v>322</v>
      </c>
      <c r="G676" s="12" t="s">
        <v>68</v>
      </c>
      <c r="H676" s="12" t="s">
        <v>323</v>
      </c>
      <c r="I676" s="12" t="s">
        <v>324</v>
      </c>
      <c r="J676" s="15" t="s">
        <v>361</v>
      </c>
      <c r="K676" s="15" t="s">
        <v>361</v>
      </c>
      <c r="L676" s="17" t="s">
        <v>193</v>
      </c>
      <c r="M676" s="40"/>
      <c r="N676" s="20">
        <v>45987.0</v>
      </c>
      <c r="O676" s="17" t="s">
        <v>428</v>
      </c>
      <c r="P676" s="16">
        <v>4.0</v>
      </c>
      <c r="Q676" s="16">
        <v>4.0</v>
      </c>
      <c r="R676" s="16">
        <v>4.0</v>
      </c>
      <c r="S676" s="16">
        <v>4.0</v>
      </c>
      <c r="T676" s="16">
        <v>4.0</v>
      </c>
      <c r="U676" s="16">
        <v>4.0</v>
      </c>
      <c r="V676" s="16">
        <v>4.0</v>
      </c>
      <c r="W676" s="16">
        <v>4.0</v>
      </c>
      <c r="X676" s="16">
        <v>2.0</v>
      </c>
      <c r="Y676" s="16">
        <v>2.0</v>
      </c>
      <c r="Z676" s="16">
        <v>4.0</v>
      </c>
      <c r="AA676" s="16">
        <v>4.0</v>
      </c>
      <c r="AB676" s="16">
        <v>4.0</v>
      </c>
      <c r="AC676" s="16">
        <v>2.0</v>
      </c>
      <c r="AD676" s="16">
        <v>14.0</v>
      </c>
      <c r="AE676" s="16">
        <v>13.0</v>
      </c>
      <c r="AF676" s="16">
        <v>16.0</v>
      </c>
      <c r="AG676" s="16" t="s">
        <v>1356</v>
      </c>
      <c r="AI676" s="18" t="s">
        <v>76</v>
      </c>
    </row>
    <row r="677">
      <c r="A677" s="11"/>
      <c r="B677" s="12" t="s">
        <v>43</v>
      </c>
      <c r="C677" s="12" t="s">
        <v>65</v>
      </c>
      <c r="D677" s="12" t="s">
        <v>321</v>
      </c>
      <c r="E677" s="12" t="s">
        <v>321</v>
      </c>
      <c r="F677" s="13" t="s">
        <v>322</v>
      </c>
      <c r="G677" s="12" t="s">
        <v>68</v>
      </c>
      <c r="H677" s="12" t="s">
        <v>323</v>
      </c>
      <c r="I677" s="12" t="s">
        <v>324</v>
      </c>
      <c r="J677" s="17" t="s">
        <v>1357</v>
      </c>
      <c r="K677" s="17" t="s">
        <v>1357</v>
      </c>
      <c r="L677" s="17" t="s">
        <v>193</v>
      </c>
      <c r="M677" s="17">
        <v>39.0</v>
      </c>
      <c r="N677" s="20">
        <v>45987.0</v>
      </c>
      <c r="O677" s="17" t="s">
        <v>428</v>
      </c>
      <c r="P677" s="16">
        <v>5.0</v>
      </c>
      <c r="Q677" s="16">
        <v>5.0</v>
      </c>
      <c r="R677" s="16">
        <v>5.0</v>
      </c>
      <c r="S677" s="16">
        <v>5.0</v>
      </c>
      <c r="T677" s="16">
        <v>5.0</v>
      </c>
      <c r="U677" s="16">
        <v>5.0</v>
      </c>
      <c r="V677" s="16">
        <v>5.0</v>
      </c>
      <c r="W677" s="16">
        <v>5.0</v>
      </c>
      <c r="X677" s="16">
        <v>5.0</v>
      </c>
      <c r="Y677" s="16">
        <v>5.0</v>
      </c>
      <c r="Z677" s="16">
        <v>5.0</v>
      </c>
      <c r="AA677" s="16">
        <v>5.0</v>
      </c>
      <c r="AB677" s="16">
        <v>5.0</v>
      </c>
      <c r="AC677" s="16">
        <v>5.0</v>
      </c>
      <c r="AD677" s="16">
        <v>13.0</v>
      </c>
      <c r="AE677" s="16">
        <v>16.0</v>
      </c>
      <c r="AF677" s="16">
        <v>20.0</v>
      </c>
      <c r="AG677" s="16" t="s">
        <v>1358</v>
      </c>
      <c r="AH677" s="17" t="s">
        <v>1352</v>
      </c>
      <c r="AI677" s="18" t="s">
        <v>76</v>
      </c>
    </row>
    <row r="678">
      <c r="A678" s="11"/>
      <c r="B678" s="12" t="s">
        <v>43</v>
      </c>
      <c r="C678" s="12" t="s">
        <v>65</v>
      </c>
      <c r="D678" s="12" t="s">
        <v>321</v>
      </c>
      <c r="E678" s="12" t="s">
        <v>321</v>
      </c>
      <c r="F678" s="13" t="s">
        <v>322</v>
      </c>
      <c r="G678" s="12" t="s">
        <v>68</v>
      </c>
      <c r="H678" s="12" t="s">
        <v>323</v>
      </c>
      <c r="I678" s="12" t="s">
        <v>324</v>
      </c>
      <c r="J678" s="17" t="s">
        <v>1359</v>
      </c>
      <c r="K678" s="17" t="s">
        <v>1359</v>
      </c>
      <c r="L678" s="17" t="s">
        <v>193</v>
      </c>
      <c r="M678" s="17">
        <v>29.0</v>
      </c>
      <c r="N678" s="20">
        <v>45987.0</v>
      </c>
      <c r="O678" s="17" t="s">
        <v>428</v>
      </c>
      <c r="P678" s="16">
        <v>4.0</v>
      </c>
      <c r="Q678" s="16">
        <v>4.0</v>
      </c>
      <c r="R678" s="16">
        <v>4.0</v>
      </c>
      <c r="S678" s="16">
        <v>4.0</v>
      </c>
      <c r="T678" s="16">
        <v>4.0</v>
      </c>
      <c r="U678" s="16">
        <v>4.0</v>
      </c>
      <c r="V678" s="16">
        <v>4.0</v>
      </c>
      <c r="W678" s="16">
        <v>4.0</v>
      </c>
      <c r="X678" s="16">
        <v>4.0</v>
      </c>
      <c r="Y678" s="16">
        <v>4.0</v>
      </c>
      <c r="Z678" s="16">
        <v>4.0</v>
      </c>
      <c r="AA678" s="16">
        <v>4.0</v>
      </c>
      <c r="AB678" s="16">
        <v>4.0</v>
      </c>
      <c r="AC678" s="16">
        <v>4.0</v>
      </c>
      <c r="AD678" s="37">
        <v>14.0</v>
      </c>
      <c r="AE678" s="37">
        <v>15.0</v>
      </c>
      <c r="AF678" s="37">
        <v>16.0</v>
      </c>
      <c r="AG678" s="37"/>
      <c r="AH678" s="17" t="s">
        <v>1352</v>
      </c>
      <c r="AI678" s="18" t="s">
        <v>76</v>
      </c>
    </row>
    <row r="679">
      <c r="A679" s="11"/>
      <c r="B679" s="12" t="s">
        <v>34</v>
      </c>
      <c r="C679" s="12" t="s">
        <v>65</v>
      </c>
      <c r="D679" s="12" t="s">
        <v>43</v>
      </c>
      <c r="E679" s="12" t="s">
        <v>691</v>
      </c>
      <c r="F679" s="13" t="s">
        <v>692</v>
      </c>
      <c r="G679" s="12" t="s">
        <v>68</v>
      </c>
      <c r="H679" s="12" t="s">
        <v>693</v>
      </c>
      <c r="I679" s="12" t="s">
        <v>694</v>
      </c>
      <c r="J679" s="48" t="s">
        <v>1360</v>
      </c>
      <c r="K679" s="48" t="s">
        <v>1360</v>
      </c>
      <c r="L679" s="17" t="s">
        <v>193</v>
      </c>
      <c r="M679" s="17">
        <v>38.0</v>
      </c>
      <c r="N679" s="20">
        <v>45981.0</v>
      </c>
      <c r="O679" s="17" t="s">
        <v>428</v>
      </c>
      <c r="P679" s="16">
        <v>5.0</v>
      </c>
      <c r="Q679" s="16">
        <v>5.0</v>
      </c>
      <c r="R679" s="16">
        <v>4.0</v>
      </c>
      <c r="S679" s="16">
        <v>4.0</v>
      </c>
      <c r="T679" s="16">
        <v>5.0</v>
      </c>
      <c r="U679" s="16">
        <v>5.0</v>
      </c>
      <c r="V679" s="16">
        <v>5.0</v>
      </c>
      <c r="W679" s="16">
        <v>4.0</v>
      </c>
      <c r="X679" s="16">
        <v>5.0</v>
      </c>
      <c r="Y679" s="16">
        <v>5.0</v>
      </c>
      <c r="Z679" s="16">
        <v>5.0</v>
      </c>
      <c r="AA679" s="16">
        <v>5.0</v>
      </c>
      <c r="AB679" s="16">
        <v>5.0</v>
      </c>
      <c r="AC679" s="16">
        <v>5.0</v>
      </c>
      <c r="AD679" s="38">
        <v>13.0</v>
      </c>
      <c r="AE679" s="38">
        <v>15.0</v>
      </c>
      <c r="AF679" s="38">
        <v>20.0</v>
      </c>
      <c r="AG679" s="38" t="s">
        <v>1361</v>
      </c>
      <c r="AI679" s="18" t="s">
        <v>638</v>
      </c>
    </row>
    <row r="680">
      <c r="A680" s="11"/>
      <c r="B680" s="12" t="s">
        <v>34</v>
      </c>
      <c r="C680" s="12" t="s">
        <v>65</v>
      </c>
      <c r="D680" s="12" t="s">
        <v>43</v>
      </c>
      <c r="E680" s="12" t="s">
        <v>691</v>
      </c>
      <c r="F680" s="13" t="s">
        <v>692</v>
      </c>
      <c r="G680" s="12" t="s">
        <v>68</v>
      </c>
      <c r="H680" s="12" t="s">
        <v>693</v>
      </c>
      <c r="I680" s="12" t="s">
        <v>694</v>
      </c>
      <c r="J680" s="21" t="s">
        <v>1362</v>
      </c>
      <c r="K680" s="21" t="s">
        <v>1362</v>
      </c>
      <c r="L680" s="17" t="s">
        <v>193</v>
      </c>
      <c r="M680" s="17">
        <v>30.0</v>
      </c>
      <c r="N680" s="20">
        <v>45981.0</v>
      </c>
      <c r="O680" s="17" t="s">
        <v>428</v>
      </c>
      <c r="P680" s="16">
        <v>4.0</v>
      </c>
      <c r="Q680" s="16">
        <v>4.0</v>
      </c>
      <c r="R680" s="16">
        <v>4.0</v>
      </c>
      <c r="S680" s="16">
        <v>4.0</v>
      </c>
      <c r="T680" s="16">
        <v>4.0</v>
      </c>
      <c r="U680" s="16">
        <v>5.0</v>
      </c>
      <c r="V680" s="16">
        <v>5.0</v>
      </c>
      <c r="W680" s="16">
        <v>4.0</v>
      </c>
      <c r="X680" s="16">
        <v>5.0</v>
      </c>
      <c r="Y680" s="16">
        <v>5.0</v>
      </c>
      <c r="Z680" s="16">
        <v>4.0</v>
      </c>
      <c r="AA680" s="16">
        <v>4.0</v>
      </c>
      <c r="AB680" s="16">
        <v>4.0</v>
      </c>
      <c r="AC680" s="16">
        <v>5.0</v>
      </c>
      <c r="AD680" s="38">
        <v>14.0</v>
      </c>
      <c r="AE680" s="38">
        <v>16.0</v>
      </c>
      <c r="AF680" s="38">
        <v>18.0</v>
      </c>
      <c r="AG680" s="38" t="s">
        <v>1363</v>
      </c>
      <c r="AI680" s="18" t="s">
        <v>638</v>
      </c>
    </row>
    <row r="681">
      <c r="A681" s="11"/>
      <c r="B681" s="12" t="s">
        <v>34</v>
      </c>
      <c r="C681" s="12" t="s">
        <v>65</v>
      </c>
      <c r="D681" s="12" t="s">
        <v>43</v>
      </c>
      <c r="E681" s="12" t="s">
        <v>691</v>
      </c>
      <c r="F681" s="13" t="s">
        <v>692</v>
      </c>
      <c r="G681" s="12" t="s">
        <v>68</v>
      </c>
      <c r="H681" s="12" t="s">
        <v>693</v>
      </c>
      <c r="I681" s="12" t="s">
        <v>694</v>
      </c>
      <c r="J681" s="21" t="s">
        <v>1364</v>
      </c>
      <c r="K681" s="21" t="s">
        <v>1364</v>
      </c>
      <c r="L681" s="17" t="s">
        <v>193</v>
      </c>
      <c r="M681" s="17">
        <v>51.0</v>
      </c>
      <c r="N681" s="20">
        <v>45981.0</v>
      </c>
      <c r="O681" s="17" t="s">
        <v>428</v>
      </c>
      <c r="P681" s="16">
        <v>4.0</v>
      </c>
      <c r="Q681" s="16">
        <v>4.0</v>
      </c>
      <c r="R681" s="16">
        <v>3.0</v>
      </c>
      <c r="S681" s="16">
        <v>3.0</v>
      </c>
      <c r="T681" s="16">
        <v>4.0</v>
      </c>
      <c r="U681" s="16">
        <v>4.0</v>
      </c>
      <c r="V681" s="16">
        <v>4.0</v>
      </c>
      <c r="W681" s="16">
        <v>3.0</v>
      </c>
      <c r="X681" s="16">
        <v>4.0</v>
      </c>
      <c r="Y681" s="16">
        <v>4.0</v>
      </c>
      <c r="Z681" s="16">
        <v>4.0</v>
      </c>
      <c r="AA681" s="16">
        <v>4.0</v>
      </c>
      <c r="AB681" s="16">
        <v>4.0</v>
      </c>
      <c r="AC681" s="16">
        <v>4.0</v>
      </c>
      <c r="AD681" s="38">
        <v>14.0</v>
      </c>
      <c r="AE681" s="38">
        <v>14.0</v>
      </c>
      <c r="AF681" s="38">
        <v>16.0</v>
      </c>
      <c r="AG681" s="38" t="s">
        <v>1365</v>
      </c>
      <c r="AI681" s="18" t="s">
        <v>638</v>
      </c>
    </row>
    <row r="682">
      <c r="A682" s="11"/>
      <c r="B682" s="12" t="s">
        <v>34</v>
      </c>
      <c r="C682" s="12" t="s">
        <v>65</v>
      </c>
      <c r="D682" s="12" t="s">
        <v>43</v>
      </c>
      <c r="E682" s="12" t="s">
        <v>691</v>
      </c>
      <c r="F682" s="13" t="s">
        <v>692</v>
      </c>
      <c r="G682" s="12" t="s">
        <v>68</v>
      </c>
      <c r="H682" s="12" t="s">
        <v>693</v>
      </c>
      <c r="I682" s="12" t="s">
        <v>694</v>
      </c>
      <c r="J682" s="21" t="s">
        <v>1366</v>
      </c>
      <c r="K682" s="21" t="s">
        <v>1366</v>
      </c>
      <c r="L682" s="17" t="s">
        <v>193</v>
      </c>
      <c r="M682" s="17">
        <v>25.0</v>
      </c>
      <c r="N682" s="20">
        <v>45981.0</v>
      </c>
      <c r="O682" s="17" t="s">
        <v>428</v>
      </c>
      <c r="P682" s="16">
        <v>4.0</v>
      </c>
      <c r="Q682" s="16">
        <v>4.0</v>
      </c>
      <c r="R682" s="16">
        <v>3.0</v>
      </c>
      <c r="S682" s="16">
        <v>3.0</v>
      </c>
      <c r="T682" s="16">
        <v>5.0</v>
      </c>
      <c r="U682" s="16">
        <v>4.0</v>
      </c>
      <c r="V682" s="16">
        <v>4.0</v>
      </c>
      <c r="W682" s="16">
        <v>3.0</v>
      </c>
      <c r="X682" s="16">
        <v>4.0</v>
      </c>
      <c r="Y682" s="16">
        <v>4.0</v>
      </c>
      <c r="Z682" s="16">
        <v>5.0</v>
      </c>
      <c r="AA682" s="16">
        <v>4.0</v>
      </c>
      <c r="AB682" s="16">
        <v>5.0</v>
      </c>
      <c r="AC682" s="16">
        <v>4.0</v>
      </c>
      <c r="AD682" s="38">
        <v>14.0</v>
      </c>
      <c r="AE682" s="38">
        <v>13.0</v>
      </c>
      <c r="AF682" s="38">
        <v>18.0</v>
      </c>
      <c r="AG682" s="38" t="s">
        <v>1367</v>
      </c>
      <c r="AI682" s="18" t="s">
        <v>638</v>
      </c>
    </row>
    <row r="683">
      <c r="A683" s="11"/>
      <c r="B683" s="12" t="s">
        <v>34</v>
      </c>
      <c r="C683" s="12" t="s">
        <v>65</v>
      </c>
      <c r="D683" s="12" t="s">
        <v>43</v>
      </c>
      <c r="E683" s="12" t="s">
        <v>691</v>
      </c>
      <c r="F683" s="13" t="s">
        <v>692</v>
      </c>
      <c r="G683" s="12" t="s">
        <v>68</v>
      </c>
      <c r="H683" s="12" t="s">
        <v>693</v>
      </c>
      <c r="I683" s="12" t="s">
        <v>694</v>
      </c>
      <c r="J683" s="21" t="s">
        <v>1368</v>
      </c>
      <c r="K683" s="21" t="s">
        <v>1368</v>
      </c>
      <c r="L683" s="17" t="s">
        <v>193</v>
      </c>
      <c r="M683" s="17">
        <v>35.0</v>
      </c>
      <c r="N683" s="20">
        <v>45981.0</v>
      </c>
      <c r="O683" s="17" t="s">
        <v>428</v>
      </c>
      <c r="P683" s="16">
        <v>4.0</v>
      </c>
      <c r="Q683" s="16">
        <v>4.0</v>
      </c>
      <c r="R683" s="16">
        <v>4.0</v>
      </c>
      <c r="S683" s="16">
        <v>4.0</v>
      </c>
      <c r="T683" s="16">
        <v>3.0</v>
      </c>
      <c r="U683" s="16">
        <v>5.0</v>
      </c>
      <c r="V683" s="16">
        <v>5.0</v>
      </c>
      <c r="W683" s="16">
        <v>4.0</v>
      </c>
      <c r="X683" s="16">
        <v>5.0</v>
      </c>
      <c r="Y683" s="16">
        <v>5.0</v>
      </c>
      <c r="Z683" s="16">
        <v>3.0</v>
      </c>
      <c r="AA683" s="16">
        <v>4.0</v>
      </c>
      <c r="AB683" s="16">
        <v>3.0</v>
      </c>
      <c r="AC683" s="16">
        <v>5.0</v>
      </c>
      <c r="AD683" s="38">
        <v>14.0</v>
      </c>
      <c r="AE683" s="38">
        <v>17.0</v>
      </c>
      <c r="AF683" s="38">
        <v>16.0</v>
      </c>
      <c r="AG683" s="38" t="s">
        <v>1369</v>
      </c>
      <c r="AI683" s="18" t="s">
        <v>638</v>
      </c>
    </row>
    <row r="684">
      <c r="A684" s="11"/>
      <c r="B684" s="12" t="s">
        <v>34</v>
      </c>
      <c r="C684" s="12" t="s">
        <v>65</v>
      </c>
      <c r="D684" s="12" t="s">
        <v>43</v>
      </c>
      <c r="E684" s="12" t="s">
        <v>691</v>
      </c>
      <c r="F684" s="13" t="s">
        <v>692</v>
      </c>
      <c r="G684" s="12" t="s">
        <v>68</v>
      </c>
      <c r="H684" s="12" t="s">
        <v>693</v>
      </c>
      <c r="I684" s="12" t="s">
        <v>694</v>
      </c>
      <c r="J684" s="21" t="s">
        <v>1370</v>
      </c>
      <c r="K684" s="21" t="s">
        <v>1370</v>
      </c>
      <c r="L684" s="17" t="s">
        <v>193</v>
      </c>
      <c r="M684" s="17">
        <v>32.0</v>
      </c>
      <c r="N684" s="20">
        <v>45981.0</v>
      </c>
      <c r="O684" s="17" t="s">
        <v>428</v>
      </c>
      <c r="P684" s="16">
        <v>5.0</v>
      </c>
      <c r="Q684" s="16">
        <v>5.0</v>
      </c>
      <c r="R684" s="16">
        <v>5.0</v>
      </c>
      <c r="S684" s="16">
        <v>5.0</v>
      </c>
      <c r="T684" s="16">
        <v>5.0</v>
      </c>
      <c r="U684" s="16">
        <v>4.0</v>
      </c>
      <c r="V684" s="16">
        <v>4.0</v>
      </c>
      <c r="W684" s="16">
        <v>5.0</v>
      </c>
      <c r="X684" s="16">
        <v>5.0</v>
      </c>
      <c r="Y684" s="16">
        <v>5.0</v>
      </c>
      <c r="Z684" s="16">
        <v>5.0</v>
      </c>
      <c r="AA684" s="16">
        <v>5.0</v>
      </c>
      <c r="AB684" s="16">
        <v>5.0</v>
      </c>
      <c r="AC684" s="16">
        <v>5.0</v>
      </c>
      <c r="AD684" s="38">
        <v>13.0</v>
      </c>
      <c r="AE684" s="38">
        <v>16.0</v>
      </c>
      <c r="AF684" s="38">
        <v>18.0</v>
      </c>
      <c r="AG684" s="38" t="s">
        <v>1371</v>
      </c>
      <c r="AI684" s="18" t="s">
        <v>638</v>
      </c>
    </row>
    <row r="685">
      <c r="A685" s="11"/>
      <c r="B685" s="12" t="s">
        <v>34</v>
      </c>
      <c r="C685" s="12" t="s">
        <v>65</v>
      </c>
      <c r="D685" s="12" t="s">
        <v>43</v>
      </c>
      <c r="E685" s="12" t="s">
        <v>691</v>
      </c>
      <c r="F685" s="13" t="s">
        <v>692</v>
      </c>
      <c r="G685" s="12" t="s">
        <v>68</v>
      </c>
      <c r="H685" s="12" t="s">
        <v>693</v>
      </c>
      <c r="I685" s="12" t="s">
        <v>694</v>
      </c>
      <c r="J685" s="21" t="s">
        <v>1372</v>
      </c>
      <c r="K685" s="21" t="s">
        <v>1372</v>
      </c>
      <c r="L685" s="17" t="s">
        <v>222</v>
      </c>
      <c r="M685" s="17">
        <v>40.0</v>
      </c>
      <c r="N685" s="20">
        <v>45981.0</v>
      </c>
      <c r="O685" s="17" t="s">
        <v>428</v>
      </c>
      <c r="P685" s="16">
        <v>5.0</v>
      </c>
      <c r="Q685" s="16">
        <v>5.0</v>
      </c>
      <c r="R685" s="16">
        <v>5.0</v>
      </c>
      <c r="S685" s="16">
        <v>5.0</v>
      </c>
      <c r="T685" s="16">
        <v>5.0</v>
      </c>
      <c r="U685" s="16">
        <v>4.0</v>
      </c>
      <c r="V685" s="16">
        <v>4.0</v>
      </c>
      <c r="W685" s="16">
        <v>5.0</v>
      </c>
      <c r="X685" s="16">
        <v>5.0</v>
      </c>
      <c r="Y685" s="16">
        <v>5.0</v>
      </c>
      <c r="Z685" s="16">
        <v>5.0</v>
      </c>
      <c r="AA685" s="16">
        <v>5.0</v>
      </c>
      <c r="AB685" s="16">
        <v>5.0</v>
      </c>
      <c r="AC685" s="16">
        <v>5.0</v>
      </c>
      <c r="AD685" s="38">
        <v>13.0</v>
      </c>
      <c r="AE685" s="38">
        <v>16.0</v>
      </c>
      <c r="AF685" s="38">
        <v>18.0</v>
      </c>
      <c r="AG685" s="38" t="s">
        <v>1373</v>
      </c>
      <c r="AI685" s="18" t="s">
        <v>638</v>
      </c>
    </row>
    <row r="686">
      <c r="A686" s="11"/>
      <c r="B686" s="12" t="s">
        <v>34</v>
      </c>
      <c r="C686" s="12" t="s">
        <v>65</v>
      </c>
      <c r="D686" s="12" t="s">
        <v>43</v>
      </c>
      <c r="E686" s="12" t="s">
        <v>691</v>
      </c>
      <c r="F686" s="13" t="s">
        <v>692</v>
      </c>
      <c r="G686" s="12" t="s">
        <v>68</v>
      </c>
      <c r="H686" s="12" t="s">
        <v>693</v>
      </c>
      <c r="I686" s="12" t="s">
        <v>694</v>
      </c>
      <c r="J686" s="21" t="s">
        <v>1374</v>
      </c>
      <c r="K686" s="21" t="s">
        <v>1374</v>
      </c>
      <c r="L686" s="17" t="s">
        <v>193</v>
      </c>
      <c r="M686" s="17">
        <v>36.0</v>
      </c>
      <c r="N686" s="20">
        <v>45981.0</v>
      </c>
      <c r="O686" s="17" t="s">
        <v>428</v>
      </c>
      <c r="P686" s="16">
        <v>4.0</v>
      </c>
      <c r="Q686" s="16">
        <v>4.0</v>
      </c>
      <c r="R686" s="16">
        <v>2.0</v>
      </c>
      <c r="S686" s="16">
        <v>2.0</v>
      </c>
      <c r="T686" s="16">
        <v>3.0</v>
      </c>
      <c r="U686" s="16">
        <v>4.0</v>
      </c>
      <c r="V686" s="16">
        <v>4.0</v>
      </c>
      <c r="W686" s="16">
        <v>2.0</v>
      </c>
      <c r="X686" s="16">
        <v>3.0</v>
      </c>
      <c r="Y686" s="16">
        <v>3.0</v>
      </c>
      <c r="Z686" s="16">
        <v>3.0</v>
      </c>
      <c r="AA686" s="16">
        <v>4.0</v>
      </c>
      <c r="AB686" s="16">
        <v>3.0</v>
      </c>
      <c r="AC686" s="16">
        <v>3.0</v>
      </c>
      <c r="AD686" s="38">
        <v>14.0</v>
      </c>
      <c r="AE686" s="38">
        <v>13.0</v>
      </c>
      <c r="AF686" s="38">
        <v>14.0</v>
      </c>
      <c r="AG686" s="38" t="s">
        <v>1375</v>
      </c>
      <c r="AI686" s="18" t="s">
        <v>638</v>
      </c>
    </row>
    <row r="687">
      <c r="A687" s="11"/>
      <c r="B687" s="12" t="s">
        <v>34</v>
      </c>
      <c r="C687" s="12" t="s">
        <v>65</v>
      </c>
      <c r="D687" s="12" t="s">
        <v>43</v>
      </c>
      <c r="E687" s="12" t="s">
        <v>691</v>
      </c>
      <c r="F687" s="13" t="s">
        <v>692</v>
      </c>
      <c r="G687" s="12" t="s">
        <v>68</v>
      </c>
      <c r="H687" s="12" t="s">
        <v>693</v>
      </c>
      <c r="I687" s="12" t="s">
        <v>694</v>
      </c>
      <c r="J687" s="21" t="s">
        <v>1376</v>
      </c>
      <c r="K687" s="21" t="s">
        <v>1376</v>
      </c>
      <c r="L687" s="17" t="s">
        <v>193</v>
      </c>
      <c r="M687" s="17">
        <v>37.0</v>
      </c>
      <c r="N687" s="20">
        <v>45981.0</v>
      </c>
      <c r="O687" s="17" t="s">
        <v>428</v>
      </c>
      <c r="P687" s="16">
        <v>4.0</v>
      </c>
      <c r="Q687" s="16">
        <v>4.0</v>
      </c>
      <c r="R687" s="16">
        <v>4.0</v>
      </c>
      <c r="S687" s="16">
        <v>4.0</v>
      </c>
      <c r="T687" s="16">
        <v>5.0</v>
      </c>
      <c r="U687" s="16">
        <v>5.0</v>
      </c>
      <c r="V687" s="16">
        <v>5.0</v>
      </c>
      <c r="W687" s="16">
        <v>4.0</v>
      </c>
      <c r="X687" s="16">
        <v>5.0</v>
      </c>
      <c r="Y687" s="16">
        <v>5.0</v>
      </c>
      <c r="Z687" s="16">
        <v>5.0</v>
      </c>
      <c r="AA687" s="16">
        <v>4.0</v>
      </c>
      <c r="AB687" s="16">
        <v>5.0</v>
      </c>
      <c r="AC687" s="16">
        <v>5.0</v>
      </c>
      <c r="AD687" s="38">
        <v>14.0</v>
      </c>
      <c r="AE687" s="38">
        <v>15.0</v>
      </c>
      <c r="AF687" s="38">
        <v>20.0</v>
      </c>
      <c r="AG687" s="38" t="s">
        <v>1377</v>
      </c>
      <c r="AI687" s="18" t="s">
        <v>638</v>
      </c>
    </row>
    <row r="688">
      <c r="A688" s="11"/>
      <c r="B688" s="12" t="s">
        <v>34</v>
      </c>
      <c r="C688" s="12" t="s">
        <v>65</v>
      </c>
      <c r="D688" s="12" t="s">
        <v>43</v>
      </c>
      <c r="E688" s="12" t="s">
        <v>691</v>
      </c>
      <c r="F688" s="13" t="s">
        <v>692</v>
      </c>
      <c r="G688" s="12" t="s">
        <v>68</v>
      </c>
      <c r="H688" s="12" t="s">
        <v>693</v>
      </c>
      <c r="I688" s="12" t="s">
        <v>694</v>
      </c>
      <c r="J688" s="21" t="s">
        <v>1378</v>
      </c>
      <c r="K688" s="21" t="s">
        <v>1378</v>
      </c>
      <c r="L688" s="17" t="s">
        <v>193</v>
      </c>
      <c r="M688" s="17">
        <v>24.0</v>
      </c>
      <c r="N688" s="20">
        <v>45981.0</v>
      </c>
      <c r="O688" s="17" t="s">
        <v>428</v>
      </c>
      <c r="P688" s="16">
        <v>4.0</v>
      </c>
      <c r="Q688" s="16">
        <v>4.0</v>
      </c>
      <c r="R688" s="16">
        <v>4.0</v>
      </c>
      <c r="S688" s="16">
        <v>4.0</v>
      </c>
      <c r="T688" s="16">
        <v>4.0</v>
      </c>
      <c r="U688" s="16">
        <v>3.0</v>
      </c>
      <c r="V688" s="16">
        <v>3.0</v>
      </c>
      <c r="W688" s="16">
        <v>4.0</v>
      </c>
      <c r="X688" s="16">
        <v>3.0</v>
      </c>
      <c r="Y688" s="16">
        <v>3.0</v>
      </c>
      <c r="Z688" s="16">
        <v>4.0</v>
      </c>
      <c r="AA688" s="16">
        <v>4.0</v>
      </c>
      <c r="AB688" s="16">
        <v>4.0</v>
      </c>
      <c r="AC688" s="16">
        <v>3.0</v>
      </c>
      <c r="AD688" s="38">
        <v>14.0</v>
      </c>
      <c r="AE688" s="38">
        <v>14.0</v>
      </c>
      <c r="AF688" s="38">
        <v>14.0</v>
      </c>
      <c r="AG688" s="38" t="s">
        <v>1379</v>
      </c>
      <c r="AI688" s="18" t="s">
        <v>638</v>
      </c>
    </row>
    <row r="689">
      <c r="A689" s="11"/>
      <c r="B689" s="12" t="s">
        <v>34</v>
      </c>
      <c r="C689" s="12" t="s">
        <v>65</v>
      </c>
      <c r="D689" s="12" t="s">
        <v>43</v>
      </c>
      <c r="E689" s="12" t="s">
        <v>691</v>
      </c>
      <c r="F689" s="13" t="s">
        <v>692</v>
      </c>
      <c r="G689" s="12" t="s">
        <v>68</v>
      </c>
      <c r="H689" s="12" t="s">
        <v>693</v>
      </c>
      <c r="I689" s="12" t="s">
        <v>694</v>
      </c>
      <c r="J689" s="21" t="s">
        <v>1380</v>
      </c>
      <c r="K689" s="21" t="s">
        <v>1380</v>
      </c>
      <c r="L689" s="17" t="s">
        <v>193</v>
      </c>
      <c r="M689" s="17">
        <v>25.0</v>
      </c>
      <c r="N689" s="20">
        <v>45981.0</v>
      </c>
      <c r="O689" s="17" t="s">
        <v>428</v>
      </c>
      <c r="P689" s="16">
        <v>4.0</v>
      </c>
      <c r="Q689" s="16">
        <v>4.0</v>
      </c>
      <c r="R689" s="16">
        <v>5.0</v>
      </c>
      <c r="S689" s="16">
        <v>5.0</v>
      </c>
      <c r="T689" s="16">
        <v>4.0</v>
      </c>
      <c r="U689" s="16">
        <v>3.0</v>
      </c>
      <c r="V689" s="16">
        <v>3.0</v>
      </c>
      <c r="W689" s="16">
        <v>5.0</v>
      </c>
      <c r="X689" s="16">
        <v>5.0</v>
      </c>
      <c r="Y689" s="16">
        <v>5.0</v>
      </c>
      <c r="Z689" s="16">
        <v>4.0</v>
      </c>
      <c r="AA689" s="16">
        <v>4.0</v>
      </c>
      <c r="AB689" s="16">
        <v>4.0</v>
      </c>
      <c r="AC689" s="16">
        <v>5.0</v>
      </c>
      <c r="AD689" s="38">
        <v>14.0</v>
      </c>
      <c r="AE689" s="38">
        <v>17.0</v>
      </c>
      <c r="AF689" s="38">
        <v>14.0</v>
      </c>
      <c r="AG689" s="38" t="s">
        <v>1381</v>
      </c>
      <c r="AI689" s="18" t="s">
        <v>638</v>
      </c>
    </row>
    <row r="690">
      <c r="A690" s="11"/>
      <c r="B690" s="12" t="s">
        <v>34</v>
      </c>
      <c r="C690" s="12" t="s">
        <v>65</v>
      </c>
      <c r="D690" s="12" t="s">
        <v>43</v>
      </c>
      <c r="E690" s="12" t="s">
        <v>691</v>
      </c>
      <c r="F690" s="13" t="s">
        <v>692</v>
      </c>
      <c r="G690" s="12" t="s">
        <v>68</v>
      </c>
      <c r="H690" s="12" t="s">
        <v>693</v>
      </c>
      <c r="I690" s="12" t="s">
        <v>694</v>
      </c>
      <c r="J690" s="21" t="s">
        <v>1382</v>
      </c>
      <c r="K690" s="21" t="s">
        <v>1382</v>
      </c>
      <c r="L690" s="17" t="s">
        <v>193</v>
      </c>
      <c r="M690" s="17">
        <v>30.0</v>
      </c>
      <c r="N690" s="20">
        <v>45981.0</v>
      </c>
      <c r="O690" s="17" t="s">
        <v>428</v>
      </c>
      <c r="P690" s="16">
        <v>4.0</v>
      </c>
      <c r="Q690" s="16">
        <v>4.0</v>
      </c>
      <c r="R690" s="16">
        <v>5.0</v>
      </c>
      <c r="S690" s="16">
        <v>5.0</v>
      </c>
      <c r="T690" s="16">
        <v>3.0</v>
      </c>
      <c r="U690" s="16">
        <v>5.0</v>
      </c>
      <c r="V690" s="16">
        <v>5.0</v>
      </c>
      <c r="W690" s="16">
        <v>5.0</v>
      </c>
      <c r="X690" s="16">
        <v>5.0</v>
      </c>
      <c r="Y690" s="16">
        <v>5.0</v>
      </c>
      <c r="Z690" s="16">
        <v>3.0</v>
      </c>
      <c r="AA690" s="16">
        <v>4.0</v>
      </c>
      <c r="AB690" s="16">
        <v>3.0</v>
      </c>
      <c r="AC690" s="16">
        <v>5.0</v>
      </c>
      <c r="AD690" s="38">
        <v>14.0</v>
      </c>
      <c r="AE690" s="38">
        <v>18.0</v>
      </c>
      <c r="AF690" s="38">
        <v>16.0</v>
      </c>
      <c r="AG690" s="38" t="s">
        <v>1383</v>
      </c>
      <c r="AI690" s="18" t="s">
        <v>638</v>
      </c>
    </row>
    <row r="691">
      <c r="A691" s="11"/>
      <c r="B691" s="12" t="s">
        <v>34</v>
      </c>
      <c r="C691" s="12" t="s">
        <v>65</v>
      </c>
      <c r="D691" s="12" t="s">
        <v>43</v>
      </c>
      <c r="E691" s="12" t="s">
        <v>691</v>
      </c>
      <c r="F691" s="13" t="s">
        <v>692</v>
      </c>
      <c r="G691" s="12" t="s">
        <v>68</v>
      </c>
      <c r="H691" s="12" t="s">
        <v>693</v>
      </c>
      <c r="I691" s="12" t="s">
        <v>694</v>
      </c>
      <c r="J691" s="21" t="s">
        <v>711</v>
      </c>
      <c r="K691" s="21" t="s">
        <v>711</v>
      </c>
      <c r="L691" s="17" t="s">
        <v>193</v>
      </c>
      <c r="M691" s="17">
        <v>26.0</v>
      </c>
      <c r="N691" s="20">
        <v>45981.0</v>
      </c>
      <c r="O691" s="17" t="s">
        <v>428</v>
      </c>
      <c r="P691" s="16">
        <v>4.0</v>
      </c>
      <c r="Q691" s="16">
        <v>4.0</v>
      </c>
      <c r="R691" s="16">
        <v>4.0</v>
      </c>
      <c r="S691" s="16">
        <v>4.0</v>
      </c>
      <c r="T691" s="16">
        <v>5.0</v>
      </c>
      <c r="U691" s="16">
        <v>5.0</v>
      </c>
      <c r="V691" s="16">
        <v>5.0</v>
      </c>
      <c r="W691" s="16">
        <v>4.0</v>
      </c>
      <c r="X691" s="16">
        <v>5.0</v>
      </c>
      <c r="Y691" s="16">
        <v>5.0</v>
      </c>
      <c r="Z691" s="16">
        <v>5.0</v>
      </c>
      <c r="AA691" s="16">
        <v>4.0</v>
      </c>
      <c r="AB691" s="16">
        <v>5.0</v>
      </c>
      <c r="AC691" s="16">
        <v>5.0</v>
      </c>
      <c r="AD691" s="38">
        <v>14.0</v>
      </c>
      <c r="AE691" s="38">
        <v>15.0</v>
      </c>
      <c r="AF691" s="38">
        <v>20.0</v>
      </c>
      <c r="AG691" s="38" t="s">
        <v>1384</v>
      </c>
      <c r="AI691" s="18" t="s">
        <v>638</v>
      </c>
    </row>
    <row r="692">
      <c r="A692" s="11"/>
      <c r="B692" s="12" t="s">
        <v>34</v>
      </c>
      <c r="C692" s="12" t="s">
        <v>65</v>
      </c>
      <c r="D692" s="12" t="s">
        <v>43</v>
      </c>
      <c r="E692" s="12" t="s">
        <v>691</v>
      </c>
      <c r="F692" s="13" t="s">
        <v>692</v>
      </c>
      <c r="G692" s="12" t="s">
        <v>68</v>
      </c>
      <c r="H692" s="12" t="s">
        <v>693</v>
      </c>
      <c r="I692" s="12" t="s">
        <v>694</v>
      </c>
      <c r="J692" s="21" t="s">
        <v>1385</v>
      </c>
      <c r="K692" s="21" t="s">
        <v>1385</v>
      </c>
      <c r="L692" s="17" t="s">
        <v>222</v>
      </c>
      <c r="M692" s="17">
        <v>29.0</v>
      </c>
      <c r="N692" s="20">
        <v>45981.0</v>
      </c>
      <c r="O692" s="17" t="s">
        <v>428</v>
      </c>
      <c r="P692" s="16">
        <v>4.0</v>
      </c>
      <c r="Q692" s="16">
        <v>4.0</v>
      </c>
      <c r="R692" s="16">
        <v>4.0</v>
      </c>
      <c r="S692" s="16">
        <v>4.0</v>
      </c>
      <c r="T692" s="16">
        <v>4.0</v>
      </c>
      <c r="U692" s="16">
        <v>4.0</v>
      </c>
      <c r="V692" s="16">
        <v>4.0</v>
      </c>
      <c r="W692" s="16">
        <v>4.0</v>
      </c>
      <c r="X692" s="16">
        <v>4.0</v>
      </c>
      <c r="Y692" s="16">
        <v>4.0</v>
      </c>
      <c r="Z692" s="16">
        <v>4.0</v>
      </c>
      <c r="AA692" s="16">
        <v>4.0</v>
      </c>
      <c r="AB692" s="16">
        <v>4.0</v>
      </c>
      <c r="AC692" s="16">
        <v>4.0</v>
      </c>
      <c r="AD692" s="38">
        <v>14.0</v>
      </c>
      <c r="AE692" s="38">
        <v>15.0</v>
      </c>
      <c r="AF692" s="38">
        <v>16.0</v>
      </c>
      <c r="AG692" s="38" t="s">
        <v>1386</v>
      </c>
      <c r="AI692" s="18" t="s">
        <v>638</v>
      </c>
    </row>
    <row r="693">
      <c r="A693" s="11"/>
      <c r="B693" s="12" t="s">
        <v>34</v>
      </c>
      <c r="C693" s="12" t="s">
        <v>65</v>
      </c>
      <c r="D693" s="12" t="s">
        <v>43</v>
      </c>
      <c r="E693" s="12" t="s">
        <v>691</v>
      </c>
      <c r="F693" s="13" t="s">
        <v>692</v>
      </c>
      <c r="G693" s="12" t="s">
        <v>68</v>
      </c>
      <c r="H693" s="12" t="s">
        <v>693</v>
      </c>
      <c r="I693" s="12" t="s">
        <v>694</v>
      </c>
      <c r="J693" s="17" t="s">
        <v>1387</v>
      </c>
      <c r="K693" s="17" t="s">
        <v>1387</v>
      </c>
      <c r="L693" s="17" t="s">
        <v>222</v>
      </c>
      <c r="M693" s="17">
        <v>40.0</v>
      </c>
      <c r="N693" s="20">
        <v>45981.0</v>
      </c>
      <c r="O693" s="17" t="s">
        <v>428</v>
      </c>
      <c r="P693" s="16">
        <v>5.0</v>
      </c>
      <c r="Q693" s="16">
        <v>5.0</v>
      </c>
      <c r="R693" s="16">
        <v>3.0</v>
      </c>
      <c r="S693" s="16">
        <v>3.0</v>
      </c>
      <c r="T693" s="16">
        <v>3.0</v>
      </c>
      <c r="U693" s="16">
        <v>5.0</v>
      </c>
      <c r="V693" s="16">
        <v>5.0</v>
      </c>
      <c r="W693" s="16">
        <v>3.0</v>
      </c>
      <c r="X693" s="16">
        <v>5.0</v>
      </c>
      <c r="Y693" s="16">
        <v>5.0</v>
      </c>
      <c r="Z693" s="16">
        <v>3.0</v>
      </c>
      <c r="AA693" s="16">
        <v>5.0</v>
      </c>
      <c r="AB693" s="16">
        <v>3.0</v>
      </c>
      <c r="AC693" s="16">
        <v>5.0</v>
      </c>
      <c r="AD693" s="38">
        <v>13.0</v>
      </c>
      <c r="AE693" s="38">
        <v>16.0</v>
      </c>
      <c r="AF693" s="38">
        <v>16.0</v>
      </c>
      <c r="AG693" s="38" t="s">
        <v>1388</v>
      </c>
      <c r="AI693" s="18" t="s">
        <v>638</v>
      </c>
    </row>
    <row r="694">
      <c r="A694" s="11"/>
      <c r="B694" s="12" t="s">
        <v>34</v>
      </c>
      <c r="C694" s="12" t="s">
        <v>65</v>
      </c>
      <c r="D694" s="12" t="s">
        <v>43</v>
      </c>
      <c r="E694" s="12" t="s">
        <v>691</v>
      </c>
      <c r="F694" s="13" t="s">
        <v>692</v>
      </c>
      <c r="G694" s="12" t="s">
        <v>68</v>
      </c>
      <c r="H694" s="12" t="s">
        <v>693</v>
      </c>
      <c r="I694" s="12" t="s">
        <v>694</v>
      </c>
      <c r="J694" s="17" t="s">
        <v>1389</v>
      </c>
      <c r="K694" s="17" t="s">
        <v>1389</v>
      </c>
      <c r="L694" s="17" t="s">
        <v>193</v>
      </c>
      <c r="M694" s="17">
        <v>30.0</v>
      </c>
      <c r="N694" s="20">
        <v>45981.0</v>
      </c>
      <c r="O694" s="17" t="s">
        <v>428</v>
      </c>
      <c r="P694" s="16">
        <v>5.0</v>
      </c>
      <c r="Q694" s="16">
        <v>5.0</v>
      </c>
      <c r="R694" s="16">
        <v>5.0</v>
      </c>
      <c r="S694" s="16">
        <v>5.0</v>
      </c>
      <c r="T694" s="16">
        <v>4.0</v>
      </c>
      <c r="U694" s="16">
        <v>5.0</v>
      </c>
      <c r="V694" s="16">
        <v>5.0</v>
      </c>
      <c r="W694" s="16">
        <v>5.0</v>
      </c>
      <c r="X694" s="16">
        <v>5.0</v>
      </c>
      <c r="Y694" s="16">
        <v>5.0</v>
      </c>
      <c r="Z694" s="16">
        <v>4.0</v>
      </c>
      <c r="AA694" s="16">
        <v>5.0</v>
      </c>
      <c r="AB694" s="16">
        <v>4.0</v>
      </c>
      <c r="AC694" s="16">
        <v>5.0</v>
      </c>
      <c r="AD694" s="38">
        <v>13.0</v>
      </c>
      <c r="AE694" s="38">
        <v>17.0</v>
      </c>
      <c r="AF694" s="38">
        <v>18.0</v>
      </c>
      <c r="AG694" s="38" t="s">
        <v>1390</v>
      </c>
      <c r="AI694" s="18" t="s">
        <v>638</v>
      </c>
    </row>
    <row r="695">
      <c r="A695" s="11"/>
      <c r="B695" s="12" t="s">
        <v>34</v>
      </c>
      <c r="C695" s="12" t="s">
        <v>65</v>
      </c>
      <c r="D695" s="12" t="s">
        <v>43</v>
      </c>
      <c r="E695" s="12" t="s">
        <v>691</v>
      </c>
      <c r="F695" s="13" t="s">
        <v>692</v>
      </c>
      <c r="G695" s="12" t="s">
        <v>68</v>
      </c>
      <c r="H695" s="12" t="s">
        <v>693</v>
      </c>
      <c r="I695" s="12" t="s">
        <v>694</v>
      </c>
      <c r="J695" s="17" t="s">
        <v>1391</v>
      </c>
      <c r="K695" s="17" t="s">
        <v>1391</v>
      </c>
      <c r="L695" s="17" t="s">
        <v>193</v>
      </c>
      <c r="M695" s="17">
        <v>35.0</v>
      </c>
      <c r="N695" s="20">
        <v>45981.0</v>
      </c>
      <c r="O695" s="17" t="s">
        <v>428</v>
      </c>
      <c r="P695" s="16">
        <v>4.0</v>
      </c>
      <c r="Q695" s="16">
        <v>4.0</v>
      </c>
      <c r="R695" s="16">
        <v>4.0</v>
      </c>
      <c r="S695" s="16">
        <v>4.0</v>
      </c>
      <c r="T695" s="16">
        <v>5.0</v>
      </c>
      <c r="U695" s="16">
        <v>4.0</v>
      </c>
      <c r="V695" s="16">
        <v>4.0</v>
      </c>
      <c r="W695" s="16">
        <v>4.0</v>
      </c>
      <c r="X695" s="16">
        <v>4.0</v>
      </c>
      <c r="Y695" s="16">
        <v>4.0</v>
      </c>
      <c r="Z695" s="16">
        <v>5.0</v>
      </c>
      <c r="AA695" s="16">
        <v>4.0</v>
      </c>
      <c r="AB695" s="16">
        <v>5.0</v>
      </c>
      <c r="AC695" s="16">
        <v>4.0</v>
      </c>
      <c r="AD695" s="38">
        <v>14.0</v>
      </c>
      <c r="AE695" s="38">
        <v>14.0</v>
      </c>
      <c r="AF695" s="38">
        <v>18.0</v>
      </c>
      <c r="AG695" s="38" t="s">
        <v>1392</v>
      </c>
      <c r="AI695" s="18" t="s">
        <v>638</v>
      </c>
    </row>
    <row r="696">
      <c r="A696" s="11"/>
      <c r="B696" s="12" t="s">
        <v>34</v>
      </c>
      <c r="C696" s="12" t="s">
        <v>65</v>
      </c>
      <c r="D696" s="12" t="s">
        <v>43</v>
      </c>
      <c r="E696" s="12" t="s">
        <v>691</v>
      </c>
      <c r="F696" s="13" t="s">
        <v>692</v>
      </c>
      <c r="G696" s="12" t="s">
        <v>68</v>
      </c>
      <c r="H696" s="12" t="s">
        <v>693</v>
      </c>
      <c r="I696" s="12" t="s">
        <v>694</v>
      </c>
      <c r="J696" s="17" t="s">
        <v>707</v>
      </c>
      <c r="K696" s="17" t="s">
        <v>707</v>
      </c>
      <c r="L696" s="17" t="s">
        <v>193</v>
      </c>
      <c r="M696" s="17">
        <v>30.0</v>
      </c>
      <c r="N696" s="20">
        <v>45981.0</v>
      </c>
      <c r="O696" s="17" t="s">
        <v>428</v>
      </c>
      <c r="P696" s="16">
        <v>4.0</v>
      </c>
      <c r="Q696" s="16">
        <v>4.0</v>
      </c>
      <c r="R696" s="16">
        <v>4.0</v>
      </c>
      <c r="S696" s="16">
        <v>4.0</v>
      </c>
      <c r="T696" s="16">
        <v>4.0</v>
      </c>
      <c r="U696" s="16">
        <v>4.0</v>
      </c>
      <c r="V696" s="16">
        <v>4.0</v>
      </c>
      <c r="W696" s="16">
        <v>4.0</v>
      </c>
      <c r="X696" s="16">
        <v>4.0</v>
      </c>
      <c r="Y696" s="16">
        <v>4.0</v>
      </c>
      <c r="Z696" s="16">
        <v>4.0</v>
      </c>
      <c r="AA696" s="16">
        <v>4.0</v>
      </c>
      <c r="AB696" s="16">
        <v>4.0</v>
      </c>
      <c r="AC696" s="16">
        <v>4.0</v>
      </c>
      <c r="AD696" s="38">
        <v>14.0</v>
      </c>
      <c r="AE696" s="38">
        <v>15.0</v>
      </c>
      <c r="AF696" s="38">
        <v>16.0</v>
      </c>
      <c r="AG696" s="38" t="s">
        <v>1393</v>
      </c>
      <c r="AI696" s="18" t="s">
        <v>638</v>
      </c>
    </row>
    <row r="697">
      <c r="A697" s="11"/>
      <c r="B697" s="12" t="s">
        <v>34</v>
      </c>
      <c r="C697" s="12" t="s">
        <v>65</v>
      </c>
      <c r="D697" s="12" t="s">
        <v>43</v>
      </c>
      <c r="E697" s="12" t="s">
        <v>691</v>
      </c>
      <c r="F697" s="13" t="s">
        <v>692</v>
      </c>
      <c r="G697" s="12" t="s">
        <v>68</v>
      </c>
      <c r="H697" s="12" t="s">
        <v>693</v>
      </c>
      <c r="I697" s="12" t="s">
        <v>694</v>
      </c>
      <c r="J697" s="17" t="s">
        <v>1394</v>
      </c>
      <c r="K697" s="17" t="s">
        <v>1394</v>
      </c>
      <c r="L697" s="17" t="s">
        <v>193</v>
      </c>
      <c r="M697" s="17">
        <v>30.0</v>
      </c>
      <c r="N697" s="20">
        <v>45981.0</v>
      </c>
      <c r="O697" s="17" t="s">
        <v>428</v>
      </c>
      <c r="P697" s="16">
        <v>4.0</v>
      </c>
      <c r="Q697" s="16">
        <v>4.0</v>
      </c>
      <c r="R697" s="16">
        <v>3.0</v>
      </c>
      <c r="S697" s="16">
        <v>3.0</v>
      </c>
      <c r="T697" s="16">
        <v>4.0</v>
      </c>
      <c r="U697" s="16">
        <v>4.0</v>
      </c>
      <c r="V697" s="16">
        <v>4.0</v>
      </c>
      <c r="W697" s="16">
        <v>3.0</v>
      </c>
      <c r="X697" s="16">
        <v>5.0</v>
      </c>
      <c r="Y697" s="16">
        <v>5.0</v>
      </c>
      <c r="Z697" s="16">
        <v>4.0</v>
      </c>
      <c r="AA697" s="16">
        <v>4.0</v>
      </c>
      <c r="AB697" s="16">
        <v>4.0</v>
      </c>
      <c r="AC697" s="16">
        <v>5.0</v>
      </c>
      <c r="AD697" s="38">
        <v>14.0</v>
      </c>
      <c r="AE697" s="38">
        <v>15.0</v>
      </c>
      <c r="AF697" s="38">
        <v>16.0</v>
      </c>
      <c r="AG697" s="38" t="s">
        <v>1395</v>
      </c>
      <c r="AI697" s="18" t="s">
        <v>638</v>
      </c>
    </row>
    <row r="698">
      <c r="A698" s="11"/>
      <c r="B698" s="12" t="s">
        <v>34</v>
      </c>
      <c r="C698" s="12" t="s">
        <v>65</v>
      </c>
      <c r="D698" s="12" t="s">
        <v>43</v>
      </c>
      <c r="E698" s="12" t="s">
        <v>691</v>
      </c>
      <c r="F698" s="13" t="s">
        <v>692</v>
      </c>
      <c r="G698" s="12" t="s">
        <v>68</v>
      </c>
      <c r="H698" s="12" t="s">
        <v>693</v>
      </c>
      <c r="I698" s="12" t="s">
        <v>694</v>
      </c>
      <c r="J698" s="17" t="s">
        <v>1396</v>
      </c>
      <c r="K698" s="17" t="s">
        <v>1396</v>
      </c>
      <c r="L698" s="17" t="s">
        <v>222</v>
      </c>
      <c r="M698" s="17">
        <v>27.0</v>
      </c>
      <c r="N698" s="20">
        <v>45981.0</v>
      </c>
      <c r="O698" s="17" t="s">
        <v>428</v>
      </c>
      <c r="P698" s="16">
        <v>4.0</v>
      </c>
      <c r="Q698" s="16">
        <v>4.0</v>
      </c>
      <c r="R698" s="16">
        <v>5.0</v>
      </c>
      <c r="S698" s="16">
        <v>5.0</v>
      </c>
      <c r="T698" s="16">
        <v>5.0</v>
      </c>
      <c r="U698" s="16">
        <v>5.0</v>
      </c>
      <c r="V698" s="16">
        <v>5.0</v>
      </c>
      <c r="W698" s="16">
        <v>5.0</v>
      </c>
      <c r="X698" s="16">
        <v>4.0</v>
      </c>
      <c r="Y698" s="16">
        <v>4.0</v>
      </c>
      <c r="Z698" s="16">
        <v>5.0</v>
      </c>
      <c r="AA698" s="16">
        <v>4.0</v>
      </c>
      <c r="AB698" s="16">
        <v>5.0</v>
      </c>
      <c r="AC698" s="16">
        <v>4.0</v>
      </c>
      <c r="AD698" s="38">
        <v>14.0</v>
      </c>
      <c r="AE698" s="38">
        <v>15.0</v>
      </c>
      <c r="AF698" s="38">
        <v>20.0</v>
      </c>
      <c r="AG698" s="38" t="s">
        <v>1397</v>
      </c>
      <c r="AI698" s="18" t="s">
        <v>638</v>
      </c>
    </row>
    <row r="699">
      <c r="A699" s="11"/>
      <c r="B699" s="12" t="s">
        <v>34</v>
      </c>
      <c r="C699" s="12" t="s">
        <v>65</v>
      </c>
      <c r="D699" s="12" t="s">
        <v>43</v>
      </c>
      <c r="E699" s="12" t="s">
        <v>691</v>
      </c>
      <c r="F699" s="13" t="s">
        <v>692</v>
      </c>
      <c r="G699" s="12" t="s">
        <v>68</v>
      </c>
      <c r="H699" s="12" t="s">
        <v>693</v>
      </c>
      <c r="I699" s="12" t="s">
        <v>694</v>
      </c>
      <c r="J699" s="17" t="s">
        <v>1398</v>
      </c>
      <c r="K699" s="17" t="s">
        <v>1398</v>
      </c>
      <c r="L699" s="17" t="s">
        <v>193</v>
      </c>
      <c r="M699" s="17">
        <v>22.0</v>
      </c>
      <c r="N699" s="20">
        <v>45981.0</v>
      </c>
      <c r="O699" s="17" t="s">
        <v>428</v>
      </c>
      <c r="P699" s="16">
        <v>4.0</v>
      </c>
      <c r="Q699" s="16">
        <v>4.0</v>
      </c>
      <c r="R699" s="16">
        <v>4.0</v>
      </c>
      <c r="S699" s="16">
        <v>4.0</v>
      </c>
      <c r="T699" s="16">
        <v>5.0</v>
      </c>
      <c r="U699" s="16">
        <v>4.0</v>
      </c>
      <c r="V699" s="16">
        <v>4.0</v>
      </c>
      <c r="W699" s="16">
        <v>4.0</v>
      </c>
      <c r="X699" s="16">
        <v>4.0</v>
      </c>
      <c r="Y699" s="16">
        <v>4.0</v>
      </c>
      <c r="Z699" s="16">
        <v>5.0</v>
      </c>
      <c r="AA699" s="16">
        <v>4.0</v>
      </c>
      <c r="AB699" s="16">
        <v>5.0</v>
      </c>
      <c r="AC699" s="16">
        <v>4.0</v>
      </c>
      <c r="AD699" s="38">
        <v>14.0</v>
      </c>
      <c r="AE699" s="38">
        <v>14.0</v>
      </c>
      <c r="AF699" s="38">
        <v>18.0</v>
      </c>
      <c r="AG699" s="38" t="s">
        <v>1399</v>
      </c>
      <c r="AI699" s="18" t="s">
        <v>638</v>
      </c>
    </row>
    <row r="700">
      <c r="A700" s="11"/>
      <c r="B700" s="12" t="s">
        <v>34</v>
      </c>
      <c r="C700" s="12" t="s">
        <v>65</v>
      </c>
      <c r="D700" s="12" t="s">
        <v>43</v>
      </c>
      <c r="E700" s="12" t="s">
        <v>691</v>
      </c>
      <c r="F700" s="13" t="s">
        <v>692</v>
      </c>
      <c r="G700" s="12" t="s">
        <v>68</v>
      </c>
      <c r="H700" s="12" t="s">
        <v>693</v>
      </c>
      <c r="I700" s="12" t="s">
        <v>694</v>
      </c>
      <c r="J700" s="17" t="s">
        <v>1400</v>
      </c>
      <c r="K700" s="17" t="s">
        <v>1400</v>
      </c>
      <c r="L700" s="17" t="s">
        <v>193</v>
      </c>
      <c r="M700" s="17">
        <v>34.0</v>
      </c>
      <c r="N700" s="20">
        <v>45981.0</v>
      </c>
      <c r="O700" s="17" t="s">
        <v>428</v>
      </c>
      <c r="P700" s="16">
        <v>3.0</v>
      </c>
      <c r="Q700" s="16">
        <v>3.0</v>
      </c>
      <c r="R700" s="16">
        <v>5.0</v>
      </c>
      <c r="S700" s="16">
        <v>5.0</v>
      </c>
      <c r="T700" s="16">
        <v>5.0</v>
      </c>
      <c r="U700" s="16">
        <v>4.0</v>
      </c>
      <c r="V700" s="16">
        <v>4.0</v>
      </c>
      <c r="W700" s="16">
        <v>5.0</v>
      </c>
      <c r="X700" s="16">
        <v>5.0</v>
      </c>
      <c r="Y700" s="16">
        <v>5.0</v>
      </c>
      <c r="Z700" s="16">
        <v>5.0</v>
      </c>
      <c r="AA700" s="16">
        <v>3.0</v>
      </c>
      <c r="AB700" s="16">
        <v>5.0</v>
      </c>
      <c r="AC700" s="16">
        <v>5.0</v>
      </c>
      <c r="AD700" s="38">
        <v>15.0</v>
      </c>
      <c r="AE700" s="38">
        <v>16.0</v>
      </c>
      <c r="AF700" s="38">
        <v>18.0</v>
      </c>
      <c r="AG700" s="38" t="s">
        <v>1401</v>
      </c>
      <c r="AI700" s="18" t="s">
        <v>638</v>
      </c>
    </row>
    <row r="701">
      <c r="A701" s="11"/>
      <c r="B701" s="12" t="s">
        <v>34</v>
      </c>
      <c r="C701" s="12" t="s">
        <v>65</v>
      </c>
      <c r="D701" s="12" t="s">
        <v>43</v>
      </c>
      <c r="E701" s="12" t="s">
        <v>691</v>
      </c>
      <c r="F701" s="13" t="s">
        <v>692</v>
      </c>
      <c r="G701" s="12" t="s">
        <v>68</v>
      </c>
      <c r="H701" s="12" t="s">
        <v>693</v>
      </c>
      <c r="I701" s="12" t="s">
        <v>694</v>
      </c>
      <c r="J701" s="17" t="s">
        <v>703</v>
      </c>
      <c r="K701" s="17" t="s">
        <v>703</v>
      </c>
      <c r="L701" s="17" t="s">
        <v>222</v>
      </c>
      <c r="M701" s="17">
        <v>40.0</v>
      </c>
      <c r="N701" s="20">
        <v>45981.0</v>
      </c>
      <c r="O701" s="17" t="s">
        <v>428</v>
      </c>
      <c r="P701" s="16">
        <v>5.0</v>
      </c>
      <c r="Q701" s="16">
        <v>5.0</v>
      </c>
      <c r="R701" s="16">
        <v>5.0</v>
      </c>
      <c r="S701" s="16">
        <v>5.0</v>
      </c>
      <c r="T701" s="16">
        <v>5.0</v>
      </c>
      <c r="U701" s="16">
        <v>5.0</v>
      </c>
      <c r="V701" s="16">
        <v>5.0</v>
      </c>
      <c r="W701" s="16">
        <v>5.0</v>
      </c>
      <c r="X701" s="16">
        <v>5.0</v>
      </c>
      <c r="Y701" s="16">
        <v>5.0</v>
      </c>
      <c r="Z701" s="16">
        <v>5.0</v>
      </c>
      <c r="AA701" s="16">
        <v>5.0</v>
      </c>
      <c r="AB701" s="16">
        <v>5.0</v>
      </c>
      <c r="AC701" s="16">
        <v>5.0</v>
      </c>
      <c r="AD701" s="38">
        <v>13.0</v>
      </c>
      <c r="AE701" s="38">
        <v>16.0</v>
      </c>
      <c r="AF701" s="38">
        <v>20.0</v>
      </c>
      <c r="AG701" s="38" t="s">
        <v>1402</v>
      </c>
      <c r="AI701" s="18" t="s">
        <v>638</v>
      </c>
    </row>
    <row r="702">
      <c r="A702" s="11"/>
      <c r="B702" s="12" t="s">
        <v>34</v>
      </c>
      <c r="C702" s="12" t="s">
        <v>65</v>
      </c>
      <c r="D702" s="12" t="s">
        <v>43</v>
      </c>
      <c r="E702" s="12" t="s">
        <v>691</v>
      </c>
      <c r="F702" s="13" t="s">
        <v>692</v>
      </c>
      <c r="G702" s="12" t="s">
        <v>68</v>
      </c>
      <c r="H702" s="12" t="s">
        <v>693</v>
      </c>
      <c r="I702" s="12" t="s">
        <v>694</v>
      </c>
      <c r="J702" s="17" t="s">
        <v>1403</v>
      </c>
      <c r="K702" s="17" t="s">
        <v>1403</v>
      </c>
      <c r="L702" s="17" t="s">
        <v>193</v>
      </c>
      <c r="N702" s="20">
        <v>45981.0</v>
      </c>
      <c r="O702" s="17" t="s">
        <v>428</v>
      </c>
      <c r="P702" s="16">
        <v>4.0</v>
      </c>
      <c r="Q702" s="16">
        <v>4.0</v>
      </c>
      <c r="R702" s="16">
        <v>3.0</v>
      </c>
      <c r="S702" s="16">
        <v>3.0</v>
      </c>
      <c r="T702" s="16">
        <v>5.0</v>
      </c>
      <c r="U702" s="16">
        <v>4.0</v>
      </c>
      <c r="V702" s="16">
        <v>4.0</v>
      </c>
      <c r="W702" s="16">
        <v>3.0</v>
      </c>
      <c r="X702" s="16">
        <v>4.0</v>
      </c>
      <c r="Y702" s="16">
        <v>4.0</v>
      </c>
      <c r="Z702" s="16">
        <v>5.0</v>
      </c>
      <c r="AA702" s="16">
        <v>4.0</v>
      </c>
      <c r="AB702" s="16">
        <v>5.0</v>
      </c>
      <c r="AC702" s="16">
        <v>4.0</v>
      </c>
      <c r="AD702" s="38">
        <v>14.0</v>
      </c>
      <c r="AE702" s="38">
        <v>13.0</v>
      </c>
      <c r="AF702" s="38">
        <v>18.0</v>
      </c>
      <c r="AG702" s="38" t="s">
        <v>1404</v>
      </c>
      <c r="AI702" s="18" t="s">
        <v>638</v>
      </c>
    </row>
    <row r="703">
      <c r="A703" s="11"/>
      <c r="B703" s="12" t="s">
        <v>34</v>
      </c>
      <c r="C703" s="12" t="s">
        <v>65</v>
      </c>
      <c r="D703" s="12" t="s">
        <v>43</v>
      </c>
      <c r="E703" s="12" t="s">
        <v>691</v>
      </c>
      <c r="F703" s="13" t="s">
        <v>692</v>
      </c>
      <c r="G703" s="12" t="s">
        <v>68</v>
      </c>
      <c r="H703" s="12" t="s">
        <v>693</v>
      </c>
      <c r="I703" s="12" t="s">
        <v>694</v>
      </c>
      <c r="J703" s="17" t="s">
        <v>1405</v>
      </c>
      <c r="K703" s="17" t="s">
        <v>1405</v>
      </c>
      <c r="L703" s="17" t="s">
        <v>193</v>
      </c>
      <c r="M703" s="17">
        <v>37.0</v>
      </c>
      <c r="N703" s="20">
        <v>45981.0</v>
      </c>
      <c r="O703" s="17" t="s">
        <v>428</v>
      </c>
      <c r="P703" s="16">
        <v>3.0</v>
      </c>
      <c r="Q703" s="16">
        <v>3.0</v>
      </c>
      <c r="R703" s="16">
        <v>3.0</v>
      </c>
      <c r="S703" s="16">
        <v>3.0</v>
      </c>
      <c r="T703" s="16">
        <v>5.0</v>
      </c>
      <c r="U703" s="16">
        <v>4.0</v>
      </c>
      <c r="V703" s="16">
        <v>4.0</v>
      </c>
      <c r="W703" s="16">
        <v>3.0</v>
      </c>
      <c r="X703" s="16">
        <v>5.0</v>
      </c>
      <c r="Y703" s="16">
        <v>5.0</v>
      </c>
      <c r="Z703" s="16">
        <v>5.0</v>
      </c>
      <c r="AA703" s="16">
        <v>3.0</v>
      </c>
      <c r="AB703" s="16">
        <v>5.0</v>
      </c>
      <c r="AC703" s="16">
        <v>5.0</v>
      </c>
      <c r="AD703" s="38">
        <v>15.0</v>
      </c>
      <c r="AE703" s="38">
        <v>14.0</v>
      </c>
      <c r="AF703" s="38">
        <v>18.0</v>
      </c>
      <c r="AG703" s="38" t="s">
        <v>1406</v>
      </c>
      <c r="AI703" s="18" t="s">
        <v>638</v>
      </c>
    </row>
    <row r="704">
      <c r="A704" s="11"/>
      <c r="B704" s="12" t="s">
        <v>34</v>
      </c>
      <c r="C704" s="12" t="s">
        <v>65</v>
      </c>
      <c r="D704" s="12" t="s">
        <v>43</v>
      </c>
      <c r="E704" s="12" t="s">
        <v>717</v>
      </c>
      <c r="F704" s="13" t="s">
        <v>718</v>
      </c>
      <c r="G704" s="12" t="s">
        <v>68</v>
      </c>
      <c r="H704" s="12" t="s">
        <v>719</v>
      </c>
      <c r="I704" s="12" t="s">
        <v>720</v>
      </c>
      <c r="J704" s="17" t="s">
        <v>1407</v>
      </c>
      <c r="K704" s="17" t="s">
        <v>1407</v>
      </c>
      <c r="L704" s="17" t="s">
        <v>193</v>
      </c>
      <c r="M704" s="40"/>
      <c r="N704" s="20">
        <v>45982.0</v>
      </c>
      <c r="O704" s="17" t="s">
        <v>428</v>
      </c>
      <c r="P704" s="16">
        <v>3.0</v>
      </c>
      <c r="Q704" s="16">
        <v>3.0</v>
      </c>
      <c r="R704" s="16">
        <v>4.0</v>
      </c>
      <c r="S704" s="16">
        <v>4.0</v>
      </c>
      <c r="T704" s="16">
        <v>5.0</v>
      </c>
      <c r="U704" s="16">
        <v>4.0</v>
      </c>
      <c r="V704" s="16">
        <v>4.0</v>
      </c>
      <c r="W704" s="16">
        <v>4.0</v>
      </c>
      <c r="X704" s="16">
        <v>4.0</v>
      </c>
      <c r="Y704" s="16">
        <v>4.0</v>
      </c>
      <c r="Z704" s="16">
        <v>5.0</v>
      </c>
      <c r="AA704" s="16">
        <v>3.0</v>
      </c>
      <c r="AB704" s="16">
        <v>5.0</v>
      </c>
      <c r="AC704" s="16">
        <v>4.0</v>
      </c>
      <c r="AD704" s="38">
        <v>15.0</v>
      </c>
      <c r="AE704" s="38">
        <v>14.0</v>
      </c>
      <c r="AF704" s="38">
        <v>18.0</v>
      </c>
      <c r="AG704" s="38" t="s">
        <v>1408</v>
      </c>
      <c r="AI704" s="18" t="s">
        <v>638</v>
      </c>
    </row>
    <row r="705">
      <c r="A705" s="11"/>
      <c r="B705" s="12" t="s">
        <v>34</v>
      </c>
      <c r="C705" s="12" t="s">
        <v>65</v>
      </c>
      <c r="D705" s="12" t="s">
        <v>43</v>
      </c>
      <c r="E705" s="12" t="s">
        <v>717</v>
      </c>
      <c r="F705" s="13" t="s">
        <v>718</v>
      </c>
      <c r="G705" s="12" t="s">
        <v>68</v>
      </c>
      <c r="H705" s="12" t="s">
        <v>719</v>
      </c>
      <c r="I705" s="12" t="s">
        <v>720</v>
      </c>
      <c r="J705" s="17" t="s">
        <v>771</v>
      </c>
      <c r="K705" s="17" t="s">
        <v>771</v>
      </c>
      <c r="L705" s="17" t="s">
        <v>193</v>
      </c>
      <c r="M705" s="40"/>
      <c r="N705" s="20">
        <v>45982.0</v>
      </c>
      <c r="O705" s="17" t="s">
        <v>428</v>
      </c>
      <c r="P705" s="16">
        <v>4.0</v>
      </c>
      <c r="Q705" s="16">
        <v>4.0</v>
      </c>
      <c r="R705" s="16">
        <v>4.0</v>
      </c>
      <c r="S705" s="16">
        <v>4.0</v>
      </c>
      <c r="T705" s="16">
        <v>3.0</v>
      </c>
      <c r="U705" s="16">
        <v>4.0</v>
      </c>
      <c r="V705" s="16">
        <v>4.0</v>
      </c>
      <c r="W705" s="16">
        <v>4.0</v>
      </c>
      <c r="X705" s="16">
        <v>4.0</v>
      </c>
      <c r="Y705" s="16">
        <v>4.0</v>
      </c>
      <c r="Z705" s="16">
        <v>3.0</v>
      </c>
      <c r="AA705" s="16">
        <v>4.0</v>
      </c>
      <c r="AB705" s="16">
        <v>3.0</v>
      </c>
      <c r="AC705" s="16">
        <v>4.0</v>
      </c>
      <c r="AD705" s="38">
        <v>14.0</v>
      </c>
      <c r="AE705" s="38">
        <v>16.0</v>
      </c>
      <c r="AF705" s="38">
        <v>14.0</v>
      </c>
      <c r="AG705" s="38" t="s">
        <v>1409</v>
      </c>
      <c r="AI705" s="18" t="s">
        <v>638</v>
      </c>
    </row>
    <row r="706">
      <c r="A706" s="11"/>
      <c r="B706" s="12" t="s">
        <v>34</v>
      </c>
      <c r="C706" s="12" t="s">
        <v>65</v>
      </c>
      <c r="D706" s="12" t="s">
        <v>43</v>
      </c>
      <c r="E706" s="12" t="s">
        <v>717</v>
      </c>
      <c r="F706" s="13" t="s">
        <v>718</v>
      </c>
      <c r="G706" s="12" t="s">
        <v>68</v>
      </c>
      <c r="H706" s="12" t="s">
        <v>719</v>
      </c>
      <c r="I706" s="12" t="s">
        <v>720</v>
      </c>
      <c r="J706" s="17" t="s">
        <v>768</v>
      </c>
      <c r="K706" s="17" t="s">
        <v>768</v>
      </c>
      <c r="L706" s="17" t="s">
        <v>193</v>
      </c>
      <c r="M706" s="17">
        <v>55.0</v>
      </c>
      <c r="N706" s="20">
        <v>45982.0</v>
      </c>
      <c r="O706" s="17" t="s">
        <v>428</v>
      </c>
      <c r="P706" s="16">
        <v>4.0</v>
      </c>
      <c r="Q706" s="16">
        <v>4.0</v>
      </c>
      <c r="R706" s="16">
        <v>3.0</v>
      </c>
      <c r="S706" s="16">
        <v>3.0</v>
      </c>
      <c r="T706" s="16">
        <v>4.0</v>
      </c>
      <c r="U706" s="16">
        <v>4.0</v>
      </c>
      <c r="V706" s="16">
        <v>4.0</v>
      </c>
      <c r="W706" s="16">
        <v>3.0</v>
      </c>
      <c r="X706" s="16">
        <v>4.0</v>
      </c>
      <c r="Y706" s="16">
        <v>4.0</v>
      </c>
      <c r="Z706" s="16">
        <v>4.0</v>
      </c>
      <c r="AA706" s="16">
        <v>4.0</v>
      </c>
      <c r="AB706" s="16">
        <v>4.0</v>
      </c>
      <c r="AC706" s="16">
        <v>4.0</v>
      </c>
      <c r="AD706" s="38">
        <v>14.0</v>
      </c>
      <c r="AE706" s="38">
        <v>14.0</v>
      </c>
      <c r="AF706" s="38">
        <v>16.0</v>
      </c>
      <c r="AG706" s="38" t="s">
        <v>1410</v>
      </c>
      <c r="AI706" s="18" t="s">
        <v>638</v>
      </c>
    </row>
    <row r="707">
      <c r="A707" s="11"/>
      <c r="B707" s="12" t="s">
        <v>34</v>
      </c>
      <c r="C707" s="12" t="s">
        <v>65</v>
      </c>
      <c r="D707" s="12" t="s">
        <v>43</v>
      </c>
      <c r="E707" s="12" t="s">
        <v>717</v>
      </c>
      <c r="F707" s="13" t="s">
        <v>718</v>
      </c>
      <c r="G707" s="12" t="s">
        <v>68</v>
      </c>
      <c r="H707" s="12" t="s">
        <v>719</v>
      </c>
      <c r="I707" s="12" t="s">
        <v>720</v>
      </c>
      <c r="J707" s="17" t="s">
        <v>1411</v>
      </c>
      <c r="K707" s="17" t="s">
        <v>1411</v>
      </c>
      <c r="L707" s="17" t="s">
        <v>193</v>
      </c>
      <c r="M707" s="17">
        <v>25.0</v>
      </c>
      <c r="N707" s="20">
        <v>45982.0</v>
      </c>
      <c r="O707" s="17" t="s">
        <v>428</v>
      </c>
      <c r="P707" s="16">
        <v>4.0</v>
      </c>
      <c r="Q707" s="16">
        <v>4.0</v>
      </c>
      <c r="R707" s="16">
        <v>3.0</v>
      </c>
      <c r="S707" s="16">
        <v>3.0</v>
      </c>
      <c r="T707" s="16">
        <v>4.0</v>
      </c>
      <c r="U707" s="16">
        <v>5.0</v>
      </c>
      <c r="V707" s="16">
        <v>5.0</v>
      </c>
      <c r="W707" s="16">
        <v>3.0</v>
      </c>
      <c r="X707" s="16">
        <v>4.0</v>
      </c>
      <c r="Y707" s="16">
        <v>4.0</v>
      </c>
      <c r="Z707" s="16">
        <v>4.0</v>
      </c>
      <c r="AA707" s="16">
        <v>4.0</v>
      </c>
      <c r="AB707" s="16">
        <v>4.0</v>
      </c>
      <c r="AC707" s="16">
        <v>4.0</v>
      </c>
      <c r="AD707" s="38">
        <v>14.0</v>
      </c>
      <c r="AE707" s="38">
        <v>14.0</v>
      </c>
      <c r="AF707" s="38">
        <v>18.0</v>
      </c>
      <c r="AG707" s="38" t="s">
        <v>1412</v>
      </c>
      <c r="AI707" s="18" t="s">
        <v>638</v>
      </c>
    </row>
    <row r="708">
      <c r="A708" s="11"/>
      <c r="B708" s="12" t="s">
        <v>34</v>
      </c>
      <c r="C708" s="12" t="s">
        <v>65</v>
      </c>
      <c r="D708" s="12" t="s">
        <v>43</v>
      </c>
      <c r="E708" s="12" t="s">
        <v>717</v>
      </c>
      <c r="F708" s="13" t="s">
        <v>718</v>
      </c>
      <c r="G708" s="12" t="s">
        <v>68</v>
      </c>
      <c r="H708" s="12" t="s">
        <v>719</v>
      </c>
      <c r="I708" s="12" t="s">
        <v>720</v>
      </c>
      <c r="J708" s="17" t="s">
        <v>1413</v>
      </c>
      <c r="K708" s="17" t="s">
        <v>1413</v>
      </c>
      <c r="L708" s="17" t="s">
        <v>193</v>
      </c>
      <c r="M708" s="17">
        <v>33.0</v>
      </c>
      <c r="N708" s="20">
        <v>45982.0</v>
      </c>
      <c r="O708" s="17" t="s">
        <v>428</v>
      </c>
      <c r="P708" s="16">
        <v>3.0</v>
      </c>
      <c r="Q708" s="16">
        <v>3.0</v>
      </c>
      <c r="R708" s="16">
        <v>4.0</v>
      </c>
      <c r="S708" s="16">
        <v>4.0</v>
      </c>
      <c r="T708" s="16">
        <v>3.0</v>
      </c>
      <c r="U708" s="16">
        <v>3.0</v>
      </c>
      <c r="V708" s="16">
        <v>3.0</v>
      </c>
      <c r="W708" s="16">
        <v>4.0</v>
      </c>
      <c r="X708" s="16">
        <v>3.0</v>
      </c>
      <c r="Y708" s="16">
        <v>3.0</v>
      </c>
      <c r="Z708" s="16">
        <v>3.0</v>
      </c>
      <c r="AA708" s="16">
        <v>3.0</v>
      </c>
      <c r="AB708" s="16">
        <v>3.0</v>
      </c>
      <c r="AC708" s="16">
        <v>3.0</v>
      </c>
      <c r="AD708" s="38">
        <v>15.0</v>
      </c>
      <c r="AE708" s="38">
        <v>15.0</v>
      </c>
      <c r="AF708" s="38">
        <v>12.0</v>
      </c>
      <c r="AG708" s="38" t="s">
        <v>1414</v>
      </c>
      <c r="AI708" s="18" t="s">
        <v>638</v>
      </c>
    </row>
    <row r="709">
      <c r="A709" s="11"/>
      <c r="B709" s="12" t="s">
        <v>34</v>
      </c>
      <c r="C709" s="12" t="s">
        <v>65</v>
      </c>
      <c r="D709" s="12" t="s">
        <v>43</v>
      </c>
      <c r="E709" s="12" t="s">
        <v>717</v>
      </c>
      <c r="F709" s="13" t="s">
        <v>718</v>
      </c>
      <c r="G709" s="12" t="s">
        <v>68</v>
      </c>
      <c r="H709" s="12" t="s">
        <v>719</v>
      </c>
      <c r="I709" s="12" t="s">
        <v>720</v>
      </c>
      <c r="J709" s="17" t="s">
        <v>1415</v>
      </c>
      <c r="K709" s="17" t="s">
        <v>1415</v>
      </c>
      <c r="L709" s="17" t="s">
        <v>193</v>
      </c>
      <c r="M709" s="17">
        <v>48.0</v>
      </c>
      <c r="N709" s="20">
        <v>45982.0</v>
      </c>
      <c r="O709" s="17" t="s">
        <v>428</v>
      </c>
      <c r="P709" s="16">
        <v>5.0</v>
      </c>
      <c r="Q709" s="16">
        <v>5.0</v>
      </c>
      <c r="R709" s="16">
        <v>5.0</v>
      </c>
      <c r="S709" s="16">
        <v>5.0</v>
      </c>
      <c r="T709" s="16">
        <v>3.0</v>
      </c>
      <c r="U709" s="16">
        <v>4.0</v>
      </c>
      <c r="V709" s="16">
        <v>4.0</v>
      </c>
      <c r="W709" s="16">
        <v>5.0</v>
      </c>
      <c r="X709" s="16">
        <v>4.0</v>
      </c>
      <c r="Y709" s="16">
        <v>4.0</v>
      </c>
      <c r="Z709" s="16">
        <v>3.0</v>
      </c>
      <c r="AA709" s="16">
        <v>5.0</v>
      </c>
      <c r="AB709" s="16">
        <v>3.0</v>
      </c>
      <c r="AC709" s="16">
        <v>4.0</v>
      </c>
      <c r="AD709" s="38">
        <v>13.0</v>
      </c>
      <c r="AE709" s="38">
        <v>17.0</v>
      </c>
      <c r="AF709" s="38">
        <v>14.0</v>
      </c>
      <c r="AG709" s="38" t="s">
        <v>1416</v>
      </c>
      <c r="AI709" s="18" t="s">
        <v>638</v>
      </c>
    </row>
    <row r="710">
      <c r="A710" s="11"/>
      <c r="B710" s="12" t="s">
        <v>34</v>
      </c>
      <c r="C710" s="12" t="s">
        <v>65</v>
      </c>
      <c r="D710" s="12" t="s">
        <v>43</v>
      </c>
      <c r="E710" s="12" t="s">
        <v>717</v>
      </c>
      <c r="F710" s="13" t="s">
        <v>718</v>
      </c>
      <c r="G710" s="12" t="s">
        <v>68</v>
      </c>
      <c r="H710" s="12" t="s">
        <v>719</v>
      </c>
      <c r="I710" s="12" t="s">
        <v>720</v>
      </c>
      <c r="J710" s="17" t="s">
        <v>766</v>
      </c>
      <c r="K710" s="17" t="s">
        <v>766</v>
      </c>
      <c r="L710" s="17" t="s">
        <v>193</v>
      </c>
      <c r="M710" s="17">
        <v>34.0</v>
      </c>
      <c r="N710" s="20">
        <v>45982.0</v>
      </c>
      <c r="O710" s="17" t="s">
        <v>428</v>
      </c>
      <c r="P710" s="16">
        <v>5.0</v>
      </c>
      <c r="Q710" s="16">
        <v>5.0</v>
      </c>
      <c r="R710" s="16">
        <v>5.0</v>
      </c>
      <c r="S710" s="16">
        <v>5.0</v>
      </c>
      <c r="T710" s="16">
        <v>5.0</v>
      </c>
      <c r="U710" s="16">
        <v>4.0</v>
      </c>
      <c r="V710" s="16">
        <v>4.0</v>
      </c>
      <c r="W710" s="16">
        <v>5.0</v>
      </c>
      <c r="X710" s="16">
        <v>5.0</v>
      </c>
      <c r="Y710" s="16">
        <v>5.0</v>
      </c>
      <c r="Z710" s="16">
        <v>5.0</v>
      </c>
      <c r="AA710" s="16">
        <v>5.0</v>
      </c>
      <c r="AB710" s="16">
        <v>5.0</v>
      </c>
      <c r="AC710" s="16">
        <v>5.0</v>
      </c>
      <c r="AD710" s="38">
        <v>13.0</v>
      </c>
      <c r="AE710" s="38">
        <v>16.0</v>
      </c>
      <c r="AF710" s="38">
        <v>18.0</v>
      </c>
      <c r="AG710" s="38" t="s">
        <v>1417</v>
      </c>
      <c r="AI710" s="18" t="s">
        <v>638</v>
      </c>
    </row>
    <row r="711">
      <c r="A711" s="11"/>
      <c r="B711" s="12" t="s">
        <v>34</v>
      </c>
      <c r="C711" s="12" t="s">
        <v>65</v>
      </c>
      <c r="D711" s="12" t="s">
        <v>43</v>
      </c>
      <c r="E711" s="12" t="s">
        <v>717</v>
      </c>
      <c r="F711" s="13" t="s">
        <v>718</v>
      </c>
      <c r="G711" s="12" t="s">
        <v>68</v>
      </c>
      <c r="H711" s="12" t="s">
        <v>719</v>
      </c>
      <c r="I711" s="12" t="s">
        <v>720</v>
      </c>
      <c r="J711" s="17" t="s">
        <v>1418</v>
      </c>
      <c r="K711" s="17" t="s">
        <v>1418</v>
      </c>
      <c r="L711" s="17" t="s">
        <v>193</v>
      </c>
      <c r="M711" s="17">
        <v>28.0</v>
      </c>
      <c r="N711" s="20">
        <v>45982.0</v>
      </c>
      <c r="O711" s="17" t="s">
        <v>428</v>
      </c>
      <c r="P711" s="16">
        <v>5.0</v>
      </c>
      <c r="Q711" s="16">
        <v>5.0</v>
      </c>
      <c r="R711" s="16">
        <v>5.0</v>
      </c>
      <c r="S711" s="16">
        <v>5.0</v>
      </c>
      <c r="T711" s="16">
        <v>3.0</v>
      </c>
      <c r="U711" s="16">
        <v>4.0</v>
      </c>
      <c r="V711" s="16">
        <v>4.0</v>
      </c>
      <c r="W711" s="16">
        <v>5.0</v>
      </c>
      <c r="X711" s="16">
        <v>5.0</v>
      </c>
      <c r="Y711" s="16">
        <v>5.0</v>
      </c>
      <c r="Z711" s="16">
        <v>3.0</v>
      </c>
      <c r="AA711" s="16">
        <v>5.0</v>
      </c>
      <c r="AB711" s="16">
        <v>3.0</v>
      </c>
      <c r="AC711" s="16">
        <v>5.0</v>
      </c>
      <c r="AD711" s="38">
        <v>13.0</v>
      </c>
      <c r="AE711" s="38">
        <v>18.0</v>
      </c>
      <c r="AF711" s="38">
        <v>14.0</v>
      </c>
      <c r="AG711" s="38" t="s">
        <v>1419</v>
      </c>
      <c r="AI711" s="18" t="s">
        <v>638</v>
      </c>
    </row>
    <row r="712">
      <c r="A712" s="11"/>
      <c r="B712" s="12" t="s">
        <v>34</v>
      </c>
      <c r="C712" s="12" t="s">
        <v>65</v>
      </c>
      <c r="D712" s="12" t="s">
        <v>43</v>
      </c>
      <c r="E712" s="12" t="s">
        <v>717</v>
      </c>
      <c r="F712" s="13" t="s">
        <v>718</v>
      </c>
      <c r="G712" s="12" t="s">
        <v>68</v>
      </c>
      <c r="H712" s="12" t="s">
        <v>719</v>
      </c>
      <c r="I712" s="12" t="s">
        <v>720</v>
      </c>
      <c r="J712" s="17" t="s">
        <v>1420</v>
      </c>
      <c r="K712" s="17" t="s">
        <v>1420</v>
      </c>
      <c r="L712" s="17" t="s">
        <v>193</v>
      </c>
      <c r="M712" s="40"/>
      <c r="N712" s="20">
        <v>45982.0</v>
      </c>
      <c r="O712" s="17" t="s">
        <v>428</v>
      </c>
      <c r="P712" s="16">
        <v>5.0</v>
      </c>
      <c r="Q712" s="16">
        <v>5.0</v>
      </c>
      <c r="R712" s="16">
        <v>5.0</v>
      </c>
      <c r="S712" s="16">
        <v>5.0</v>
      </c>
      <c r="T712" s="16">
        <v>5.0</v>
      </c>
      <c r="U712" s="16">
        <v>5.0</v>
      </c>
      <c r="V712" s="16">
        <v>5.0</v>
      </c>
      <c r="W712" s="16">
        <v>5.0</v>
      </c>
      <c r="X712" s="16">
        <v>5.0</v>
      </c>
      <c r="Y712" s="16">
        <v>5.0</v>
      </c>
      <c r="Z712" s="16">
        <v>5.0</v>
      </c>
      <c r="AA712" s="16">
        <v>5.0</v>
      </c>
      <c r="AB712" s="16">
        <v>5.0</v>
      </c>
      <c r="AC712" s="16">
        <v>5.0</v>
      </c>
      <c r="AD712" s="37">
        <v>13.0</v>
      </c>
      <c r="AE712" s="37">
        <v>16.0</v>
      </c>
      <c r="AF712" s="37">
        <v>20.0</v>
      </c>
      <c r="AG712" s="37"/>
      <c r="AI712" s="18" t="s">
        <v>638</v>
      </c>
    </row>
    <row r="713">
      <c r="A713" s="11"/>
      <c r="B713" s="12" t="s">
        <v>34</v>
      </c>
      <c r="C713" s="12" t="s">
        <v>65</v>
      </c>
      <c r="D713" s="12" t="s">
        <v>43</v>
      </c>
      <c r="E713" s="12" t="s">
        <v>717</v>
      </c>
      <c r="F713" s="13" t="s">
        <v>718</v>
      </c>
      <c r="G713" s="12" t="s">
        <v>68</v>
      </c>
      <c r="H713" s="12" t="s">
        <v>719</v>
      </c>
      <c r="I713" s="12" t="s">
        <v>720</v>
      </c>
      <c r="J713" s="17" t="s">
        <v>1421</v>
      </c>
      <c r="K713" s="17" t="s">
        <v>1421</v>
      </c>
      <c r="L713" s="17" t="s">
        <v>193</v>
      </c>
      <c r="M713" s="40"/>
      <c r="N713" s="20">
        <v>45982.0</v>
      </c>
      <c r="O713" s="17" t="s">
        <v>428</v>
      </c>
      <c r="P713" s="16">
        <v>5.0</v>
      </c>
      <c r="Q713" s="16">
        <v>5.0</v>
      </c>
      <c r="R713" s="16">
        <v>3.0</v>
      </c>
      <c r="S713" s="16">
        <v>3.0</v>
      </c>
      <c r="T713" s="16">
        <v>4.0</v>
      </c>
      <c r="U713" s="16">
        <v>4.0</v>
      </c>
      <c r="V713" s="16">
        <v>4.0</v>
      </c>
      <c r="W713" s="16">
        <v>3.0</v>
      </c>
      <c r="X713" s="16">
        <v>5.0</v>
      </c>
      <c r="Y713" s="16">
        <v>5.0</v>
      </c>
      <c r="Z713" s="16">
        <v>4.0</v>
      </c>
      <c r="AA713" s="16">
        <v>5.0</v>
      </c>
      <c r="AB713" s="16">
        <v>4.0</v>
      </c>
      <c r="AC713" s="16">
        <v>5.0</v>
      </c>
      <c r="AD713" s="37">
        <v>13.0</v>
      </c>
      <c r="AE713" s="37">
        <v>15.0</v>
      </c>
      <c r="AF713" s="37">
        <v>16.0</v>
      </c>
      <c r="AG713" s="37"/>
      <c r="AI713" s="18" t="s">
        <v>638</v>
      </c>
    </row>
    <row r="714">
      <c r="A714" s="11"/>
      <c r="B714" s="12" t="s">
        <v>34</v>
      </c>
      <c r="C714" s="12" t="s">
        <v>65</v>
      </c>
      <c r="D714" s="12" t="s">
        <v>43</v>
      </c>
      <c r="E714" s="12" t="s">
        <v>717</v>
      </c>
      <c r="F714" s="13" t="s">
        <v>718</v>
      </c>
      <c r="G714" s="12" t="s">
        <v>68</v>
      </c>
      <c r="H714" s="12" t="s">
        <v>719</v>
      </c>
      <c r="I714" s="12" t="s">
        <v>720</v>
      </c>
      <c r="J714" s="17" t="s">
        <v>1422</v>
      </c>
      <c r="K714" s="17" t="s">
        <v>1422</v>
      </c>
      <c r="L714" s="17" t="s">
        <v>193</v>
      </c>
      <c r="M714" s="40"/>
      <c r="N714" s="20">
        <v>45982.0</v>
      </c>
      <c r="O714" s="17" t="s">
        <v>428</v>
      </c>
      <c r="P714" s="16">
        <v>4.0</v>
      </c>
      <c r="Q714" s="16">
        <v>4.0</v>
      </c>
      <c r="R714" s="16">
        <v>4.0</v>
      </c>
      <c r="S714" s="16">
        <v>4.0</v>
      </c>
      <c r="T714" s="16">
        <v>4.0</v>
      </c>
      <c r="U714" s="16">
        <v>4.0</v>
      </c>
      <c r="V714" s="16">
        <v>4.0</v>
      </c>
      <c r="W714" s="16">
        <v>4.0</v>
      </c>
      <c r="X714" s="16">
        <v>4.0</v>
      </c>
      <c r="Y714" s="16">
        <v>4.0</v>
      </c>
      <c r="Z714" s="16">
        <v>4.0</v>
      </c>
      <c r="AA714" s="16">
        <v>4.0</v>
      </c>
      <c r="AB714" s="16">
        <v>4.0</v>
      </c>
      <c r="AC714" s="16">
        <v>4.0</v>
      </c>
      <c r="AD714" s="38">
        <v>14.0</v>
      </c>
      <c r="AE714" s="38">
        <v>15.0</v>
      </c>
      <c r="AF714" s="38">
        <v>16.0</v>
      </c>
      <c r="AG714" s="38" t="s">
        <v>1423</v>
      </c>
      <c r="AI714" s="18" t="s">
        <v>638</v>
      </c>
    </row>
    <row r="715">
      <c r="A715" s="11"/>
      <c r="B715" s="12" t="s">
        <v>34</v>
      </c>
      <c r="C715" s="12" t="s">
        <v>65</v>
      </c>
      <c r="D715" s="12" t="s">
        <v>43</v>
      </c>
      <c r="E715" s="12" t="s">
        <v>717</v>
      </c>
      <c r="F715" s="13" t="s">
        <v>718</v>
      </c>
      <c r="G715" s="12" t="s">
        <v>68</v>
      </c>
      <c r="H715" s="12" t="s">
        <v>719</v>
      </c>
      <c r="I715" s="12" t="s">
        <v>720</v>
      </c>
      <c r="J715" s="17" t="s">
        <v>1424</v>
      </c>
      <c r="K715" s="17" t="s">
        <v>1424</v>
      </c>
      <c r="L715" s="17" t="s">
        <v>193</v>
      </c>
      <c r="M715" s="17">
        <v>39.0</v>
      </c>
      <c r="N715" s="20">
        <v>45982.0</v>
      </c>
      <c r="O715" s="17" t="s">
        <v>428</v>
      </c>
      <c r="P715" s="16">
        <v>4.0</v>
      </c>
      <c r="Q715" s="16">
        <v>4.0</v>
      </c>
      <c r="R715" s="16">
        <v>4.0</v>
      </c>
      <c r="S715" s="16">
        <v>4.0</v>
      </c>
      <c r="T715" s="16">
        <v>5.0</v>
      </c>
      <c r="U715" s="16">
        <v>4.0</v>
      </c>
      <c r="V715" s="16">
        <v>4.0</v>
      </c>
      <c r="W715" s="16">
        <v>4.0</v>
      </c>
      <c r="X715" s="16">
        <v>4.0</v>
      </c>
      <c r="Y715" s="16">
        <v>4.0</v>
      </c>
      <c r="Z715" s="16">
        <v>5.0</v>
      </c>
      <c r="AA715" s="16">
        <v>4.0</v>
      </c>
      <c r="AB715" s="16">
        <v>5.0</v>
      </c>
      <c r="AC715" s="16">
        <v>4.0</v>
      </c>
      <c r="AD715" s="38">
        <v>14.0</v>
      </c>
      <c r="AE715" s="38">
        <v>14.0</v>
      </c>
      <c r="AF715" s="38">
        <v>18.0</v>
      </c>
      <c r="AG715" s="38" t="s">
        <v>1425</v>
      </c>
      <c r="AI715" s="18" t="s">
        <v>638</v>
      </c>
    </row>
    <row r="716">
      <c r="A716" s="11"/>
      <c r="B716" s="12" t="s">
        <v>34</v>
      </c>
      <c r="C716" s="12" t="s">
        <v>65</v>
      </c>
      <c r="D716" s="12" t="s">
        <v>43</v>
      </c>
      <c r="E716" s="12" t="s">
        <v>717</v>
      </c>
      <c r="F716" s="13" t="s">
        <v>718</v>
      </c>
      <c r="G716" s="12" t="s">
        <v>68</v>
      </c>
      <c r="H716" s="12" t="s">
        <v>719</v>
      </c>
      <c r="I716" s="12" t="s">
        <v>720</v>
      </c>
      <c r="J716" s="17" t="s">
        <v>1426</v>
      </c>
      <c r="K716" s="17" t="s">
        <v>1426</v>
      </c>
      <c r="L716" s="17" t="s">
        <v>193</v>
      </c>
      <c r="M716" s="17">
        <v>26.0</v>
      </c>
      <c r="N716" s="20">
        <v>45982.0</v>
      </c>
      <c r="O716" s="17" t="s">
        <v>428</v>
      </c>
      <c r="P716" s="16">
        <v>4.0</v>
      </c>
      <c r="Q716" s="16">
        <v>4.0</v>
      </c>
      <c r="R716" s="16">
        <v>4.0</v>
      </c>
      <c r="S716" s="16">
        <v>4.0</v>
      </c>
      <c r="T716" s="16">
        <v>4.0</v>
      </c>
      <c r="U716" s="16">
        <v>4.0</v>
      </c>
      <c r="V716" s="16">
        <v>4.0</v>
      </c>
      <c r="W716" s="16">
        <v>4.0</v>
      </c>
      <c r="X716" s="16">
        <v>4.0</v>
      </c>
      <c r="Y716" s="16">
        <v>4.0</v>
      </c>
      <c r="Z716" s="16">
        <v>4.0</v>
      </c>
      <c r="AA716" s="16">
        <v>4.0</v>
      </c>
      <c r="AB716" s="16">
        <v>4.0</v>
      </c>
      <c r="AC716" s="16">
        <v>4.0</v>
      </c>
      <c r="AD716" s="38">
        <v>14.0</v>
      </c>
      <c r="AE716" s="38">
        <v>15.0</v>
      </c>
      <c r="AF716" s="38">
        <v>16.0</v>
      </c>
      <c r="AG716" s="38" t="s">
        <v>1427</v>
      </c>
      <c r="AI716" s="18" t="s">
        <v>638</v>
      </c>
    </row>
    <row r="717">
      <c r="A717" s="11"/>
      <c r="B717" s="12" t="s">
        <v>34</v>
      </c>
      <c r="C717" s="12" t="s">
        <v>65</v>
      </c>
      <c r="D717" s="12" t="s">
        <v>43</v>
      </c>
      <c r="E717" s="12" t="s">
        <v>717</v>
      </c>
      <c r="F717" s="13" t="s">
        <v>718</v>
      </c>
      <c r="G717" s="12" t="s">
        <v>68</v>
      </c>
      <c r="H717" s="12" t="s">
        <v>719</v>
      </c>
      <c r="I717" s="12" t="s">
        <v>720</v>
      </c>
      <c r="J717" s="46" t="s">
        <v>648</v>
      </c>
      <c r="K717" s="46" t="s">
        <v>648</v>
      </c>
      <c r="L717" s="17" t="s">
        <v>193</v>
      </c>
      <c r="M717" s="17">
        <v>38.0</v>
      </c>
      <c r="N717" s="20">
        <v>45982.0</v>
      </c>
      <c r="O717" s="17" t="s">
        <v>428</v>
      </c>
      <c r="P717" s="16">
        <v>4.0</v>
      </c>
      <c r="Q717" s="16">
        <v>4.0</v>
      </c>
      <c r="R717" s="16">
        <v>4.0</v>
      </c>
      <c r="S717" s="16">
        <v>4.0</v>
      </c>
      <c r="T717" s="16">
        <v>4.0</v>
      </c>
      <c r="U717" s="16">
        <v>4.0</v>
      </c>
      <c r="V717" s="16">
        <v>4.0</v>
      </c>
      <c r="W717" s="16">
        <v>4.0</v>
      </c>
      <c r="X717" s="16">
        <v>4.0</v>
      </c>
      <c r="Y717" s="16">
        <v>4.0</v>
      </c>
      <c r="Z717" s="16">
        <v>4.0</v>
      </c>
      <c r="AA717" s="16">
        <v>4.0</v>
      </c>
      <c r="AB717" s="16">
        <v>4.0</v>
      </c>
      <c r="AC717" s="16">
        <v>4.0</v>
      </c>
      <c r="AD717" s="38">
        <v>14.0</v>
      </c>
      <c r="AE717" s="38">
        <v>15.0</v>
      </c>
      <c r="AF717" s="38">
        <v>16.0</v>
      </c>
      <c r="AG717" s="38" t="s">
        <v>1428</v>
      </c>
      <c r="AI717" s="18" t="s">
        <v>638</v>
      </c>
    </row>
    <row r="718">
      <c r="A718" s="11"/>
      <c r="B718" s="12" t="s">
        <v>34</v>
      </c>
      <c r="C718" s="12" t="s">
        <v>65</v>
      </c>
      <c r="D718" s="12" t="s">
        <v>43</v>
      </c>
      <c r="E718" s="12" t="s">
        <v>717</v>
      </c>
      <c r="F718" s="13" t="s">
        <v>718</v>
      </c>
      <c r="G718" s="12" t="s">
        <v>68</v>
      </c>
      <c r="H718" s="12" t="s">
        <v>719</v>
      </c>
      <c r="I718" s="12" t="s">
        <v>720</v>
      </c>
      <c r="J718" s="17" t="s">
        <v>758</v>
      </c>
      <c r="K718" s="17" t="s">
        <v>758</v>
      </c>
      <c r="L718" s="17" t="s">
        <v>193</v>
      </c>
      <c r="M718" s="17">
        <v>24.0</v>
      </c>
      <c r="N718" s="20">
        <v>45982.0</v>
      </c>
      <c r="O718" s="17" t="s">
        <v>428</v>
      </c>
      <c r="P718" s="16">
        <v>4.0</v>
      </c>
      <c r="Q718" s="16">
        <v>4.0</v>
      </c>
      <c r="R718" s="16">
        <v>3.0</v>
      </c>
      <c r="S718" s="16">
        <v>3.0</v>
      </c>
      <c r="T718" s="16">
        <v>4.0</v>
      </c>
      <c r="U718" s="16">
        <v>4.0</v>
      </c>
      <c r="V718" s="16">
        <v>4.0</v>
      </c>
      <c r="W718" s="16">
        <v>3.0</v>
      </c>
      <c r="X718" s="16">
        <v>4.0</v>
      </c>
      <c r="Y718" s="16">
        <v>4.0</v>
      </c>
      <c r="Z718" s="16">
        <v>4.0</v>
      </c>
      <c r="AA718" s="16">
        <v>4.0</v>
      </c>
      <c r="AB718" s="16">
        <v>4.0</v>
      </c>
      <c r="AC718" s="16">
        <v>4.0</v>
      </c>
      <c r="AD718" s="38">
        <v>14.0</v>
      </c>
      <c r="AE718" s="38">
        <v>14.0</v>
      </c>
      <c r="AF718" s="38">
        <v>16.0</v>
      </c>
      <c r="AG718" s="38" t="s">
        <v>1429</v>
      </c>
      <c r="AI718" s="18" t="s">
        <v>638</v>
      </c>
    </row>
    <row r="719">
      <c r="A719" s="11"/>
      <c r="B719" s="12" t="s">
        <v>34</v>
      </c>
      <c r="C719" s="12" t="s">
        <v>65</v>
      </c>
      <c r="D719" s="12" t="s">
        <v>43</v>
      </c>
      <c r="E719" s="12" t="s">
        <v>717</v>
      </c>
      <c r="F719" s="13" t="s">
        <v>718</v>
      </c>
      <c r="G719" s="12" t="s">
        <v>68</v>
      </c>
      <c r="H719" s="12" t="s">
        <v>719</v>
      </c>
      <c r="I719" s="12" t="s">
        <v>720</v>
      </c>
      <c r="J719" s="17" t="s">
        <v>737</v>
      </c>
      <c r="K719" s="17" t="s">
        <v>737</v>
      </c>
      <c r="L719" s="17" t="s">
        <v>193</v>
      </c>
      <c r="M719" s="17">
        <v>23.0</v>
      </c>
      <c r="N719" s="20">
        <v>45982.0</v>
      </c>
      <c r="O719" s="17" t="s">
        <v>428</v>
      </c>
      <c r="P719" s="16">
        <v>4.0</v>
      </c>
      <c r="Q719" s="16">
        <v>4.0</v>
      </c>
      <c r="R719" s="16">
        <v>4.0</v>
      </c>
      <c r="S719" s="16">
        <v>4.0</v>
      </c>
      <c r="T719" s="16">
        <v>3.0</v>
      </c>
      <c r="U719" s="16">
        <v>4.0</v>
      </c>
      <c r="V719" s="16">
        <v>4.0</v>
      </c>
      <c r="W719" s="16">
        <v>4.0</v>
      </c>
      <c r="X719" s="16">
        <v>4.0</v>
      </c>
      <c r="Y719" s="16">
        <v>4.0</v>
      </c>
      <c r="Z719" s="16">
        <v>3.0</v>
      </c>
      <c r="AA719" s="16">
        <v>4.0</v>
      </c>
      <c r="AB719" s="16">
        <v>3.0</v>
      </c>
      <c r="AC719" s="16">
        <v>4.0</v>
      </c>
      <c r="AD719" s="38">
        <v>14.0</v>
      </c>
      <c r="AE719" s="38">
        <v>16.0</v>
      </c>
      <c r="AF719" s="38">
        <v>14.0</v>
      </c>
      <c r="AG719" s="38" t="s">
        <v>1430</v>
      </c>
      <c r="AI719" s="18" t="s">
        <v>638</v>
      </c>
    </row>
    <row r="720">
      <c r="A720" s="11"/>
      <c r="B720" s="12" t="s">
        <v>34</v>
      </c>
      <c r="C720" s="12" t="s">
        <v>65</v>
      </c>
      <c r="D720" s="12" t="s">
        <v>43</v>
      </c>
      <c r="E720" s="12" t="s">
        <v>717</v>
      </c>
      <c r="F720" s="13" t="s">
        <v>718</v>
      </c>
      <c r="G720" s="12" t="s">
        <v>68</v>
      </c>
      <c r="H720" s="12" t="s">
        <v>719</v>
      </c>
      <c r="I720" s="12" t="s">
        <v>720</v>
      </c>
      <c r="J720" s="17" t="s">
        <v>735</v>
      </c>
      <c r="K720" s="17" t="s">
        <v>735</v>
      </c>
      <c r="L720" s="17" t="s">
        <v>193</v>
      </c>
      <c r="M720" s="17">
        <v>26.0</v>
      </c>
      <c r="N720" s="20">
        <v>45982.0</v>
      </c>
      <c r="O720" s="17" t="s">
        <v>428</v>
      </c>
      <c r="P720" s="16">
        <v>4.0</v>
      </c>
      <c r="Q720" s="16">
        <v>4.0</v>
      </c>
      <c r="R720" s="16">
        <v>4.0</v>
      </c>
      <c r="S720" s="16">
        <v>4.0</v>
      </c>
      <c r="T720" s="16">
        <v>3.0</v>
      </c>
      <c r="U720" s="16">
        <v>4.0</v>
      </c>
      <c r="V720" s="16">
        <v>4.0</v>
      </c>
      <c r="W720" s="16">
        <v>4.0</v>
      </c>
      <c r="X720" s="16">
        <v>5.0</v>
      </c>
      <c r="Y720" s="16">
        <v>5.0</v>
      </c>
      <c r="Z720" s="16">
        <v>3.0</v>
      </c>
      <c r="AA720" s="16">
        <v>4.0</v>
      </c>
      <c r="AB720" s="16">
        <v>3.0</v>
      </c>
      <c r="AC720" s="16">
        <v>5.0</v>
      </c>
      <c r="AD720" s="37">
        <v>14.0</v>
      </c>
      <c r="AE720" s="37">
        <v>17.0</v>
      </c>
      <c r="AF720" s="37">
        <v>14.0</v>
      </c>
      <c r="AG720" s="37"/>
      <c r="AI720" s="18" t="s">
        <v>638</v>
      </c>
    </row>
    <row r="721">
      <c r="A721" s="11"/>
      <c r="B721" s="12" t="s">
        <v>34</v>
      </c>
      <c r="C721" s="12" t="s">
        <v>65</v>
      </c>
      <c r="D721" s="12" t="s">
        <v>43</v>
      </c>
      <c r="E721" s="12" t="s">
        <v>717</v>
      </c>
      <c r="F721" s="13" t="s">
        <v>718</v>
      </c>
      <c r="G721" s="12" t="s">
        <v>68</v>
      </c>
      <c r="H721" s="12" t="s">
        <v>719</v>
      </c>
      <c r="I721" s="12" t="s">
        <v>720</v>
      </c>
      <c r="J721" s="17" t="s">
        <v>1431</v>
      </c>
      <c r="K721" s="17" t="s">
        <v>1431</v>
      </c>
      <c r="L721" s="17" t="s">
        <v>193</v>
      </c>
      <c r="M721" s="17">
        <v>35.0</v>
      </c>
      <c r="N721" s="20">
        <v>45982.0</v>
      </c>
      <c r="O721" s="17" t="s">
        <v>428</v>
      </c>
      <c r="P721" s="16">
        <v>4.0</v>
      </c>
      <c r="Q721" s="16">
        <v>4.0</v>
      </c>
      <c r="R721" s="16">
        <v>4.0</v>
      </c>
      <c r="S721" s="16">
        <v>4.0</v>
      </c>
      <c r="T721" s="16">
        <v>4.0</v>
      </c>
      <c r="U721" s="16">
        <v>4.0</v>
      </c>
      <c r="V721" s="16">
        <v>4.0</v>
      </c>
      <c r="W721" s="16">
        <v>4.0</v>
      </c>
      <c r="X721" s="16">
        <v>4.0</v>
      </c>
      <c r="Y721" s="16">
        <v>4.0</v>
      </c>
      <c r="Z721" s="16">
        <v>4.0</v>
      </c>
      <c r="AA721" s="16">
        <v>4.0</v>
      </c>
      <c r="AB721" s="16">
        <v>4.0</v>
      </c>
      <c r="AC721" s="16">
        <v>4.0</v>
      </c>
      <c r="AD721" s="37">
        <v>14.0</v>
      </c>
      <c r="AE721" s="37">
        <v>15.0</v>
      </c>
      <c r="AF721" s="37">
        <v>16.0</v>
      </c>
      <c r="AG721" s="37"/>
      <c r="AI721" s="18" t="s">
        <v>638</v>
      </c>
    </row>
    <row r="722">
      <c r="A722" s="11"/>
      <c r="B722" s="12" t="s">
        <v>34</v>
      </c>
      <c r="C722" s="12" t="s">
        <v>65</v>
      </c>
      <c r="D722" s="12" t="s">
        <v>43</v>
      </c>
      <c r="E722" s="12" t="s">
        <v>717</v>
      </c>
      <c r="F722" s="13" t="s">
        <v>718</v>
      </c>
      <c r="G722" s="12" t="s">
        <v>68</v>
      </c>
      <c r="H722" s="12" t="s">
        <v>719</v>
      </c>
      <c r="I722" s="12" t="s">
        <v>720</v>
      </c>
      <c r="J722" s="17" t="s">
        <v>733</v>
      </c>
      <c r="K722" s="17" t="s">
        <v>733</v>
      </c>
      <c r="L722" s="17" t="s">
        <v>193</v>
      </c>
      <c r="M722" s="17">
        <v>36.0</v>
      </c>
      <c r="N722" s="20">
        <v>45982.0</v>
      </c>
      <c r="O722" s="17" t="s">
        <v>428</v>
      </c>
      <c r="P722" s="16">
        <v>5.0</v>
      </c>
      <c r="Q722" s="16">
        <v>5.0</v>
      </c>
      <c r="R722" s="16">
        <v>3.0</v>
      </c>
      <c r="S722" s="16">
        <v>3.0</v>
      </c>
      <c r="T722" s="16">
        <v>4.0</v>
      </c>
      <c r="U722" s="16">
        <v>4.0</v>
      </c>
      <c r="V722" s="16">
        <v>4.0</v>
      </c>
      <c r="W722" s="16">
        <v>3.0</v>
      </c>
      <c r="X722" s="16">
        <v>5.0</v>
      </c>
      <c r="Y722" s="16">
        <v>5.0</v>
      </c>
      <c r="Z722" s="16">
        <v>4.0</v>
      </c>
      <c r="AA722" s="16">
        <v>5.0</v>
      </c>
      <c r="AB722" s="16">
        <v>4.0</v>
      </c>
      <c r="AC722" s="16">
        <v>5.0</v>
      </c>
      <c r="AD722" s="37">
        <v>13.0</v>
      </c>
      <c r="AE722" s="37">
        <v>15.0</v>
      </c>
      <c r="AF722" s="37">
        <v>16.0</v>
      </c>
      <c r="AG722" s="37"/>
      <c r="AI722" s="18" t="s">
        <v>638</v>
      </c>
    </row>
    <row r="723">
      <c r="A723" s="11"/>
      <c r="B723" s="12" t="s">
        <v>34</v>
      </c>
      <c r="C723" s="12" t="s">
        <v>65</v>
      </c>
      <c r="D723" s="12" t="s">
        <v>43</v>
      </c>
      <c r="E723" s="12" t="s">
        <v>717</v>
      </c>
      <c r="F723" s="13" t="s">
        <v>718</v>
      </c>
      <c r="G723" s="12" t="s">
        <v>68</v>
      </c>
      <c r="H723" s="12" t="s">
        <v>719</v>
      </c>
      <c r="I723" s="12" t="s">
        <v>720</v>
      </c>
      <c r="J723" s="17" t="s">
        <v>1432</v>
      </c>
      <c r="K723" s="17" t="s">
        <v>1432</v>
      </c>
      <c r="L723" s="17" t="s">
        <v>193</v>
      </c>
      <c r="M723" s="17">
        <v>27.0</v>
      </c>
      <c r="N723" s="20">
        <v>45982.0</v>
      </c>
      <c r="O723" s="17" t="s">
        <v>428</v>
      </c>
      <c r="P723" s="16">
        <v>4.0</v>
      </c>
      <c r="Q723" s="16">
        <v>4.0</v>
      </c>
      <c r="R723" s="16">
        <v>4.0</v>
      </c>
      <c r="S723" s="16">
        <v>4.0</v>
      </c>
      <c r="T723" s="16">
        <v>4.0</v>
      </c>
      <c r="U723" s="16">
        <v>4.0</v>
      </c>
      <c r="V723" s="16">
        <v>4.0</v>
      </c>
      <c r="W723" s="16">
        <v>4.0</v>
      </c>
      <c r="X723" s="16">
        <v>4.0</v>
      </c>
      <c r="Y723" s="16">
        <v>4.0</v>
      </c>
      <c r="Z723" s="16">
        <v>4.0</v>
      </c>
      <c r="AA723" s="16">
        <v>4.0</v>
      </c>
      <c r="AB723" s="16">
        <v>4.0</v>
      </c>
      <c r="AC723" s="16">
        <v>4.0</v>
      </c>
      <c r="AD723" s="37">
        <v>14.0</v>
      </c>
      <c r="AE723" s="37">
        <v>15.0</v>
      </c>
      <c r="AF723" s="37">
        <v>16.0</v>
      </c>
      <c r="AG723" s="37"/>
      <c r="AI723" s="18" t="s">
        <v>638</v>
      </c>
    </row>
    <row r="724">
      <c r="A724" s="11"/>
      <c r="B724" s="12" t="s">
        <v>34</v>
      </c>
      <c r="C724" s="12" t="s">
        <v>65</v>
      </c>
      <c r="D724" s="12" t="s">
        <v>43</v>
      </c>
      <c r="E724" s="12" t="s">
        <v>717</v>
      </c>
      <c r="F724" s="13" t="s">
        <v>718</v>
      </c>
      <c r="G724" s="12" t="s">
        <v>68</v>
      </c>
      <c r="H724" s="12" t="s">
        <v>719</v>
      </c>
      <c r="I724" s="12" t="s">
        <v>720</v>
      </c>
      <c r="J724" s="17" t="s">
        <v>1433</v>
      </c>
      <c r="K724" s="17" t="s">
        <v>1433</v>
      </c>
      <c r="L724" s="17" t="s">
        <v>193</v>
      </c>
      <c r="M724" s="40"/>
      <c r="N724" s="20">
        <v>45982.0</v>
      </c>
      <c r="O724" s="17" t="s">
        <v>428</v>
      </c>
      <c r="P724" s="16">
        <v>4.0</v>
      </c>
      <c r="Q724" s="16">
        <v>4.0</v>
      </c>
      <c r="R724" s="16">
        <v>4.0</v>
      </c>
      <c r="S724" s="16">
        <v>4.0</v>
      </c>
      <c r="T724" s="16">
        <v>4.0</v>
      </c>
      <c r="U724" s="16">
        <v>4.0</v>
      </c>
      <c r="V724" s="16">
        <v>4.0</v>
      </c>
      <c r="W724" s="16">
        <v>4.0</v>
      </c>
      <c r="X724" s="16">
        <v>4.0</v>
      </c>
      <c r="Y724" s="16">
        <v>4.0</v>
      </c>
      <c r="Z724" s="16">
        <v>4.0</v>
      </c>
      <c r="AA724" s="16">
        <v>4.0</v>
      </c>
      <c r="AB724" s="16">
        <v>4.0</v>
      </c>
      <c r="AC724" s="16">
        <v>4.0</v>
      </c>
      <c r="AD724" s="37">
        <v>14.0</v>
      </c>
      <c r="AE724" s="37">
        <v>15.0</v>
      </c>
      <c r="AF724" s="37">
        <v>16.0</v>
      </c>
      <c r="AG724" s="37"/>
      <c r="AI724" s="18" t="s">
        <v>638</v>
      </c>
    </row>
    <row r="725">
      <c r="A725" s="11"/>
      <c r="B725" s="12" t="s">
        <v>34</v>
      </c>
      <c r="C725" s="12" t="s">
        <v>65</v>
      </c>
      <c r="D725" s="12" t="s">
        <v>43</v>
      </c>
      <c r="E725" s="12" t="s">
        <v>717</v>
      </c>
      <c r="F725" s="13" t="s">
        <v>718</v>
      </c>
      <c r="G725" s="12" t="s">
        <v>68</v>
      </c>
      <c r="H725" s="12" t="s">
        <v>719</v>
      </c>
      <c r="I725" s="12" t="s">
        <v>720</v>
      </c>
      <c r="J725" s="17" t="s">
        <v>756</v>
      </c>
      <c r="K725" s="17" t="s">
        <v>756</v>
      </c>
      <c r="L725" s="17" t="s">
        <v>193</v>
      </c>
      <c r="M725" s="40"/>
      <c r="N725" s="20">
        <v>45982.0</v>
      </c>
      <c r="O725" s="17" t="s">
        <v>428</v>
      </c>
      <c r="P725" s="16">
        <v>4.0</v>
      </c>
      <c r="Q725" s="16">
        <v>4.0</v>
      </c>
      <c r="R725" s="16">
        <v>3.0</v>
      </c>
      <c r="S725" s="16">
        <v>3.0</v>
      </c>
      <c r="T725" s="16">
        <v>4.0</v>
      </c>
      <c r="U725" s="16">
        <v>4.0</v>
      </c>
      <c r="V725" s="16">
        <v>4.0</v>
      </c>
      <c r="W725" s="16">
        <v>3.0</v>
      </c>
      <c r="X725" s="16">
        <v>5.0</v>
      </c>
      <c r="Y725" s="16">
        <v>5.0</v>
      </c>
      <c r="Z725" s="16">
        <v>4.0</v>
      </c>
      <c r="AA725" s="16">
        <v>4.0</v>
      </c>
      <c r="AB725" s="16">
        <v>4.0</v>
      </c>
      <c r="AC725" s="16">
        <v>5.0</v>
      </c>
      <c r="AD725" s="38">
        <v>14.0</v>
      </c>
      <c r="AE725" s="38">
        <v>15.0</v>
      </c>
      <c r="AF725" s="38">
        <v>16.0</v>
      </c>
      <c r="AG725" s="38" t="s">
        <v>1434</v>
      </c>
      <c r="AI725" s="18" t="s">
        <v>638</v>
      </c>
    </row>
    <row r="726">
      <c r="A726" s="11"/>
      <c r="B726" s="12" t="s">
        <v>34</v>
      </c>
      <c r="C726" s="12" t="s">
        <v>65</v>
      </c>
      <c r="D726" s="12" t="s">
        <v>43</v>
      </c>
      <c r="E726" s="12" t="s">
        <v>717</v>
      </c>
      <c r="F726" s="13" t="s">
        <v>718</v>
      </c>
      <c r="G726" s="12" t="s">
        <v>68</v>
      </c>
      <c r="H726" s="12" t="s">
        <v>719</v>
      </c>
      <c r="I726" s="12" t="s">
        <v>720</v>
      </c>
      <c r="J726" s="17" t="s">
        <v>731</v>
      </c>
      <c r="K726" s="17" t="s">
        <v>731</v>
      </c>
      <c r="L726" s="17" t="s">
        <v>193</v>
      </c>
      <c r="M726" s="40"/>
      <c r="N726" s="20">
        <v>45982.0</v>
      </c>
      <c r="O726" s="17" t="s">
        <v>428</v>
      </c>
      <c r="P726" s="16">
        <v>3.0</v>
      </c>
      <c r="Q726" s="16">
        <v>3.0</v>
      </c>
      <c r="R726" s="16">
        <v>3.0</v>
      </c>
      <c r="S726" s="16">
        <v>3.0</v>
      </c>
      <c r="T726" s="16">
        <v>4.0</v>
      </c>
      <c r="U726" s="16">
        <v>4.0</v>
      </c>
      <c r="V726" s="16">
        <v>4.0</v>
      </c>
      <c r="W726" s="16">
        <v>3.0</v>
      </c>
      <c r="X726" s="16">
        <v>3.0</v>
      </c>
      <c r="Y726" s="16">
        <v>3.0</v>
      </c>
      <c r="Z726" s="16">
        <v>4.0</v>
      </c>
      <c r="AA726" s="16">
        <v>3.0</v>
      </c>
      <c r="AB726" s="16">
        <v>4.0</v>
      </c>
      <c r="AC726" s="16">
        <v>3.0</v>
      </c>
      <c r="AD726" s="37">
        <v>15.0</v>
      </c>
      <c r="AE726" s="37">
        <v>13.0</v>
      </c>
      <c r="AF726" s="37">
        <v>16.0</v>
      </c>
      <c r="AG726" s="37"/>
      <c r="AI726" s="18" t="s">
        <v>638</v>
      </c>
    </row>
    <row r="727">
      <c r="A727" s="11"/>
      <c r="B727" s="12" t="s">
        <v>34</v>
      </c>
      <c r="C727" s="12" t="s">
        <v>65</v>
      </c>
      <c r="D727" s="12" t="s">
        <v>43</v>
      </c>
      <c r="E727" s="12" t="s">
        <v>717</v>
      </c>
      <c r="F727" s="13" t="s">
        <v>718</v>
      </c>
      <c r="G727" s="12" t="s">
        <v>68</v>
      </c>
      <c r="H727" s="12" t="s">
        <v>719</v>
      </c>
      <c r="I727" s="12" t="s">
        <v>720</v>
      </c>
      <c r="J727" s="17" t="s">
        <v>1435</v>
      </c>
      <c r="K727" s="17" t="s">
        <v>1435</v>
      </c>
      <c r="L727" s="17" t="s">
        <v>193</v>
      </c>
      <c r="M727" s="17">
        <v>26.0</v>
      </c>
      <c r="N727" s="20">
        <v>45982.0</v>
      </c>
      <c r="O727" s="17" t="s">
        <v>428</v>
      </c>
      <c r="P727" s="16">
        <v>4.0</v>
      </c>
      <c r="Q727" s="16">
        <v>4.0</v>
      </c>
      <c r="R727" s="16">
        <v>3.0</v>
      </c>
      <c r="S727" s="16">
        <v>3.0</v>
      </c>
      <c r="T727" s="16">
        <v>5.0</v>
      </c>
      <c r="U727" s="16">
        <v>4.0</v>
      </c>
      <c r="V727" s="16">
        <v>4.0</v>
      </c>
      <c r="W727" s="16">
        <v>3.0</v>
      </c>
      <c r="X727" s="16">
        <v>5.0</v>
      </c>
      <c r="Y727" s="16">
        <v>5.0</v>
      </c>
      <c r="Z727" s="16">
        <v>5.0</v>
      </c>
      <c r="AA727" s="16">
        <v>4.0</v>
      </c>
      <c r="AB727" s="16">
        <v>5.0</v>
      </c>
      <c r="AC727" s="16">
        <v>5.0</v>
      </c>
      <c r="AD727" s="38">
        <v>14.0</v>
      </c>
      <c r="AE727" s="38">
        <v>14.0</v>
      </c>
      <c r="AF727" s="38">
        <v>18.0</v>
      </c>
      <c r="AG727" s="38" t="s">
        <v>1436</v>
      </c>
      <c r="AI727" s="18" t="s">
        <v>638</v>
      </c>
    </row>
    <row r="728">
      <c r="A728" s="11"/>
      <c r="B728" s="12" t="s">
        <v>34</v>
      </c>
      <c r="C728" s="12" t="s">
        <v>65</v>
      </c>
      <c r="D728" s="12" t="s">
        <v>43</v>
      </c>
      <c r="E728" s="12" t="s">
        <v>717</v>
      </c>
      <c r="F728" s="13" t="s">
        <v>718</v>
      </c>
      <c r="G728" s="12" t="s">
        <v>68</v>
      </c>
      <c r="H728" s="12" t="s">
        <v>719</v>
      </c>
      <c r="I728" s="12" t="s">
        <v>720</v>
      </c>
      <c r="J728" s="17" t="s">
        <v>1437</v>
      </c>
      <c r="K728" s="17" t="s">
        <v>1437</v>
      </c>
      <c r="L728" s="17" t="s">
        <v>193</v>
      </c>
      <c r="M728" s="17">
        <v>32.0</v>
      </c>
      <c r="N728" s="20">
        <v>45982.0</v>
      </c>
      <c r="O728" s="17" t="s">
        <v>428</v>
      </c>
      <c r="P728" s="16">
        <v>5.0</v>
      </c>
      <c r="Q728" s="16">
        <v>5.0</v>
      </c>
      <c r="R728" s="16">
        <v>4.0</v>
      </c>
      <c r="S728" s="16">
        <v>4.0</v>
      </c>
      <c r="T728" s="16">
        <v>5.0</v>
      </c>
      <c r="U728" s="16">
        <v>4.0</v>
      </c>
      <c r="V728" s="16">
        <v>4.0</v>
      </c>
      <c r="W728" s="16">
        <v>4.0</v>
      </c>
      <c r="X728" s="16">
        <v>4.0</v>
      </c>
      <c r="Y728" s="16">
        <v>4.0</v>
      </c>
      <c r="Z728" s="16">
        <v>5.0</v>
      </c>
      <c r="AA728" s="16">
        <v>5.0</v>
      </c>
      <c r="AB728" s="16">
        <v>5.0</v>
      </c>
      <c r="AC728" s="16">
        <v>4.0</v>
      </c>
      <c r="AD728" s="38">
        <v>13.0</v>
      </c>
      <c r="AE728" s="38">
        <v>14.0</v>
      </c>
      <c r="AF728" s="38">
        <v>18.0</v>
      </c>
      <c r="AG728" s="38" t="s">
        <v>1438</v>
      </c>
      <c r="AI728" s="18" t="s">
        <v>638</v>
      </c>
    </row>
    <row r="729">
      <c r="A729" s="11"/>
      <c r="B729" s="12" t="s">
        <v>34</v>
      </c>
      <c r="C729" s="12" t="s">
        <v>65</v>
      </c>
      <c r="D729" s="12" t="s">
        <v>43</v>
      </c>
      <c r="E729" s="12" t="s">
        <v>717</v>
      </c>
      <c r="F729" s="13" t="s">
        <v>718</v>
      </c>
      <c r="G729" s="12" t="s">
        <v>68</v>
      </c>
      <c r="H729" s="12" t="s">
        <v>719</v>
      </c>
      <c r="I729" s="12" t="s">
        <v>720</v>
      </c>
      <c r="J729" s="17" t="s">
        <v>1439</v>
      </c>
      <c r="K729" s="17" t="s">
        <v>1439</v>
      </c>
      <c r="L729" s="17" t="s">
        <v>193</v>
      </c>
      <c r="M729" s="17">
        <v>39.0</v>
      </c>
      <c r="N729" s="20">
        <v>45982.0</v>
      </c>
      <c r="O729" s="17" t="s">
        <v>428</v>
      </c>
      <c r="P729" s="16">
        <v>5.0</v>
      </c>
      <c r="Q729" s="16">
        <v>5.0</v>
      </c>
      <c r="R729" s="16">
        <v>4.0</v>
      </c>
      <c r="S729" s="16">
        <v>4.0</v>
      </c>
      <c r="T729" s="16">
        <v>5.0</v>
      </c>
      <c r="U729" s="16">
        <v>4.0</v>
      </c>
      <c r="V729" s="16">
        <v>4.0</v>
      </c>
      <c r="W729" s="16">
        <v>4.0</v>
      </c>
      <c r="X729" s="16">
        <v>4.0</v>
      </c>
      <c r="Y729" s="16">
        <v>4.0</v>
      </c>
      <c r="Z729" s="16">
        <v>5.0</v>
      </c>
      <c r="AA729" s="16">
        <v>5.0</v>
      </c>
      <c r="AB729" s="16">
        <v>5.0</v>
      </c>
      <c r="AC729" s="16">
        <v>4.0</v>
      </c>
      <c r="AD729" s="38">
        <v>13.0</v>
      </c>
      <c r="AE729" s="38">
        <v>14.0</v>
      </c>
      <c r="AF729" s="38">
        <v>18.0</v>
      </c>
      <c r="AG729" s="38" t="s">
        <v>1440</v>
      </c>
      <c r="AI729" s="18" t="s">
        <v>638</v>
      </c>
    </row>
    <row r="730">
      <c r="A730" s="11"/>
      <c r="B730" s="12" t="s">
        <v>34</v>
      </c>
      <c r="C730" s="12" t="s">
        <v>65</v>
      </c>
      <c r="D730" s="12" t="s">
        <v>43</v>
      </c>
      <c r="E730" s="12" t="s">
        <v>717</v>
      </c>
      <c r="F730" s="13" t="s">
        <v>718</v>
      </c>
      <c r="G730" s="12" t="s">
        <v>68</v>
      </c>
      <c r="H730" s="12" t="s">
        <v>719</v>
      </c>
      <c r="I730" s="12" t="s">
        <v>720</v>
      </c>
      <c r="J730" s="17" t="s">
        <v>727</v>
      </c>
      <c r="K730" s="17" t="s">
        <v>727</v>
      </c>
      <c r="L730" s="17" t="s">
        <v>193</v>
      </c>
      <c r="M730" s="17">
        <v>42.0</v>
      </c>
      <c r="N730" s="20">
        <v>45982.0</v>
      </c>
      <c r="O730" s="17" t="s">
        <v>428</v>
      </c>
      <c r="P730" s="16">
        <v>4.0</v>
      </c>
      <c r="Q730" s="16">
        <v>4.0</v>
      </c>
      <c r="R730" s="16">
        <v>4.0</v>
      </c>
      <c r="S730" s="16">
        <v>4.0</v>
      </c>
      <c r="T730" s="16">
        <v>4.0</v>
      </c>
      <c r="U730" s="16">
        <v>5.0</v>
      </c>
      <c r="V730" s="16">
        <v>5.0</v>
      </c>
      <c r="W730" s="16">
        <v>4.0</v>
      </c>
      <c r="X730" s="16">
        <v>4.0</v>
      </c>
      <c r="Y730" s="16">
        <v>4.0</v>
      </c>
      <c r="Z730" s="16">
        <v>4.0</v>
      </c>
      <c r="AA730" s="16">
        <v>4.0</v>
      </c>
      <c r="AB730" s="16">
        <v>4.0</v>
      </c>
      <c r="AC730" s="16">
        <v>4.0</v>
      </c>
      <c r="AD730" s="38">
        <v>14.0</v>
      </c>
      <c r="AE730" s="38">
        <v>15.0</v>
      </c>
      <c r="AF730" s="38">
        <v>18.0</v>
      </c>
      <c r="AG730" s="38" t="s">
        <v>1441</v>
      </c>
      <c r="AI730" s="18" t="s">
        <v>638</v>
      </c>
    </row>
    <row r="731">
      <c r="A731" s="11"/>
      <c r="B731" s="12" t="s">
        <v>34</v>
      </c>
      <c r="C731" s="12" t="s">
        <v>65</v>
      </c>
      <c r="D731" s="12" t="s">
        <v>43</v>
      </c>
      <c r="E731" s="12" t="s">
        <v>717</v>
      </c>
      <c r="F731" s="13" t="s">
        <v>718</v>
      </c>
      <c r="G731" s="12" t="s">
        <v>68</v>
      </c>
      <c r="H731" s="12" t="s">
        <v>719</v>
      </c>
      <c r="I731" s="12" t="s">
        <v>720</v>
      </c>
      <c r="J731" s="17" t="s">
        <v>725</v>
      </c>
      <c r="K731" s="17" t="s">
        <v>725</v>
      </c>
      <c r="L731" s="17" t="s">
        <v>193</v>
      </c>
      <c r="M731" s="40"/>
      <c r="N731" s="20">
        <v>45982.0</v>
      </c>
      <c r="O731" s="17" t="s">
        <v>428</v>
      </c>
      <c r="P731" s="16">
        <v>4.0</v>
      </c>
      <c r="Q731" s="16">
        <v>4.0</v>
      </c>
      <c r="R731" s="16">
        <v>4.0</v>
      </c>
      <c r="S731" s="16">
        <v>4.0</v>
      </c>
      <c r="T731" s="16">
        <v>4.0</v>
      </c>
      <c r="U731" s="16">
        <v>4.0</v>
      </c>
      <c r="V731" s="16">
        <v>4.0</v>
      </c>
      <c r="W731" s="16">
        <v>4.0</v>
      </c>
      <c r="X731" s="16">
        <v>4.0</v>
      </c>
      <c r="Y731" s="16">
        <v>4.0</v>
      </c>
      <c r="Z731" s="16">
        <v>4.0</v>
      </c>
      <c r="AA731" s="16">
        <v>4.0</v>
      </c>
      <c r="AB731" s="16">
        <v>4.0</v>
      </c>
      <c r="AC731" s="16">
        <v>4.0</v>
      </c>
      <c r="AD731" s="38">
        <v>14.0</v>
      </c>
      <c r="AE731" s="38">
        <v>15.0</v>
      </c>
      <c r="AF731" s="38">
        <v>16.0</v>
      </c>
      <c r="AG731" s="38" t="s">
        <v>1442</v>
      </c>
      <c r="AI731" s="18" t="s">
        <v>638</v>
      </c>
    </row>
    <row r="732">
      <c r="A732" s="11"/>
      <c r="B732" s="12" t="s">
        <v>34</v>
      </c>
      <c r="C732" s="12" t="s">
        <v>65</v>
      </c>
      <c r="D732" s="12" t="s">
        <v>43</v>
      </c>
      <c r="E732" s="12" t="s">
        <v>717</v>
      </c>
      <c r="F732" s="13" t="s">
        <v>718</v>
      </c>
      <c r="G732" s="12" t="s">
        <v>68</v>
      </c>
      <c r="H732" s="12" t="s">
        <v>719</v>
      </c>
      <c r="I732" s="12" t="s">
        <v>720</v>
      </c>
      <c r="J732" s="17" t="s">
        <v>1443</v>
      </c>
      <c r="K732" s="17" t="s">
        <v>1443</v>
      </c>
      <c r="L732" s="17" t="s">
        <v>193</v>
      </c>
      <c r="M732" s="40"/>
      <c r="N732" s="20">
        <v>45982.0</v>
      </c>
      <c r="O732" s="17" t="s">
        <v>428</v>
      </c>
      <c r="P732" s="16">
        <v>4.0</v>
      </c>
      <c r="Q732" s="16">
        <v>4.0</v>
      </c>
      <c r="R732" s="16">
        <v>4.0</v>
      </c>
      <c r="S732" s="16">
        <v>4.0</v>
      </c>
      <c r="T732" s="16">
        <v>4.0</v>
      </c>
      <c r="U732" s="16">
        <v>4.0</v>
      </c>
      <c r="V732" s="16">
        <v>4.0</v>
      </c>
      <c r="W732" s="16">
        <v>4.0</v>
      </c>
      <c r="X732" s="16">
        <v>5.0</v>
      </c>
      <c r="Y732" s="16">
        <v>5.0</v>
      </c>
      <c r="Z732" s="16">
        <v>4.0</v>
      </c>
      <c r="AA732" s="16">
        <v>4.0</v>
      </c>
      <c r="AB732" s="16">
        <v>4.0</v>
      </c>
      <c r="AC732" s="16">
        <v>5.0</v>
      </c>
      <c r="AD732" s="38">
        <v>14.0</v>
      </c>
      <c r="AE732" s="38">
        <v>16.0</v>
      </c>
      <c r="AF732" s="38">
        <v>16.0</v>
      </c>
      <c r="AG732" s="38" t="s">
        <v>1444</v>
      </c>
      <c r="AI732" s="18" t="s">
        <v>638</v>
      </c>
    </row>
    <row r="733">
      <c r="A733" s="11"/>
      <c r="B733" s="12" t="s">
        <v>34</v>
      </c>
      <c r="C733" s="12" t="s">
        <v>65</v>
      </c>
      <c r="D733" s="12" t="s">
        <v>43</v>
      </c>
      <c r="E733" s="12" t="s">
        <v>773</v>
      </c>
      <c r="F733" s="13" t="s">
        <v>774</v>
      </c>
      <c r="G733" s="12" t="s">
        <v>68</v>
      </c>
      <c r="H733" s="12" t="s">
        <v>775</v>
      </c>
      <c r="I733" s="12" t="s">
        <v>776</v>
      </c>
      <c r="J733" s="21" t="s">
        <v>1445</v>
      </c>
      <c r="K733" s="21" t="s">
        <v>1445</v>
      </c>
      <c r="L733" s="17" t="s">
        <v>193</v>
      </c>
      <c r="M733" s="17">
        <v>29.0</v>
      </c>
      <c r="N733" s="20">
        <v>45981.0</v>
      </c>
      <c r="O733" s="17" t="s">
        <v>428</v>
      </c>
      <c r="P733" s="16">
        <v>5.0</v>
      </c>
      <c r="Q733" s="16">
        <v>5.0</v>
      </c>
      <c r="R733" s="16">
        <v>4.0</v>
      </c>
      <c r="S733" s="16">
        <v>4.0</v>
      </c>
      <c r="T733" s="16">
        <v>5.0</v>
      </c>
      <c r="U733" s="16">
        <v>5.0</v>
      </c>
      <c r="V733" s="16">
        <v>5.0</v>
      </c>
      <c r="W733" s="16">
        <v>4.0</v>
      </c>
      <c r="X733" s="16">
        <v>5.0</v>
      </c>
      <c r="Y733" s="16">
        <v>5.0</v>
      </c>
      <c r="Z733" s="16">
        <v>5.0</v>
      </c>
      <c r="AA733" s="16">
        <v>5.0</v>
      </c>
      <c r="AB733" s="16">
        <v>5.0</v>
      </c>
      <c r="AC733" s="16">
        <v>5.0</v>
      </c>
      <c r="AD733" s="38">
        <v>13.0</v>
      </c>
      <c r="AE733" s="38">
        <v>15.0</v>
      </c>
      <c r="AF733" s="38">
        <v>20.0</v>
      </c>
      <c r="AG733" s="38" t="s">
        <v>1446</v>
      </c>
      <c r="AI733" s="18" t="s">
        <v>638</v>
      </c>
    </row>
    <row r="734">
      <c r="A734" s="11"/>
      <c r="B734" s="12" t="s">
        <v>34</v>
      </c>
      <c r="C734" s="12" t="s">
        <v>65</v>
      </c>
      <c r="D734" s="12" t="s">
        <v>43</v>
      </c>
      <c r="E734" s="12" t="s">
        <v>773</v>
      </c>
      <c r="F734" s="13" t="s">
        <v>774</v>
      </c>
      <c r="G734" s="12" t="s">
        <v>68</v>
      </c>
      <c r="H734" s="12" t="s">
        <v>775</v>
      </c>
      <c r="I734" s="12" t="s">
        <v>776</v>
      </c>
      <c r="J734" s="21" t="s">
        <v>793</v>
      </c>
      <c r="K734" s="21" t="s">
        <v>793</v>
      </c>
      <c r="L734" s="17" t="s">
        <v>193</v>
      </c>
      <c r="M734" s="17">
        <v>23.0</v>
      </c>
      <c r="N734" s="20">
        <v>45981.0</v>
      </c>
      <c r="O734" s="17" t="s">
        <v>428</v>
      </c>
      <c r="P734" s="16">
        <v>4.0</v>
      </c>
      <c r="Q734" s="16">
        <v>4.0</v>
      </c>
      <c r="R734" s="16">
        <v>5.0</v>
      </c>
      <c r="S734" s="16">
        <v>5.0</v>
      </c>
      <c r="T734" s="16">
        <v>5.0</v>
      </c>
      <c r="U734" s="16">
        <v>5.0</v>
      </c>
      <c r="V734" s="16">
        <v>5.0</v>
      </c>
      <c r="W734" s="16">
        <v>5.0</v>
      </c>
      <c r="X734" s="16">
        <v>5.0</v>
      </c>
      <c r="Y734" s="16">
        <v>5.0</v>
      </c>
      <c r="Z734" s="16">
        <v>5.0</v>
      </c>
      <c r="AA734" s="16">
        <v>4.0</v>
      </c>
      <c r="AB734" s="16">
        <v>5.0</v>
      </c>
      <c r="AC734" s="16">
        <v>5.0</v>
      </c>
      <c r="AD734" s="38">
        <v>14.0</v>
      </c>
      <c r="AE734" s="38">
        <v>16.0</v>
      </c>
      <c r="AF734" s="38">
        <v>20.0</v>
      </c>
      <c r="AG734" s="38" t="s">
        <v>1447</v>
      </c>
      <c r="AI734" s="18" t="s">
        <v>638</v>
      </c>
    </row>
    <row r="735">
      <c r="A735" s="11"/>
      <c r="B735" s="12" t="s">
        <v>34</v>
      </c>
      <c r="C735" s="12" t="s">
        <v>65</v>
      </c>
      <c r="D735" s="12" t="s">
        <v>43</v>
      </c>
      <c r="E735" s="12" t="s">
        <v>773</v>
      </c>
      <c r="F735" s="13" t="s">
        <v>774</v>
      </c>
      <c r="G735" s="12" t="s">
        <v>68</v>
      </c>
      <c r="H735" s="12" t="s">
        <v>775</v>
      </c>
      <c r="I735" s="12" t="s">
        <v>776</v>
      </c>
      <c r="J735" s="21" t="s">
        <v>797</v>
      </c>
      <c r="K735" s="21" t="s">
        <v>797</v>
      </c>
      <c r="L735" s="17" t="s">
        <v>193</v>
      </c>
      <c r="M735" s="17">
        <v>22.0</v>
      </c>
      <c r="N735" s="20">
        <v>45981.0</v>
      </c>
      <c r="O735" s="17" t="s">
        <v>428</v>
      </c>
      <c r="P735" s="16">
        <v>5.0</v>
      </c>
      <c r="Q735" s="16">
        <v>5.0</v>
      </c>
      <c r="R735" s="16">
        <v>4.0</v>
      </c>
      <c r="S735" s="16">
        <v>4.0</v>
      </c>
      <c r="T735" s="16">
        <v>5.0</v>
      </c>
      <c r="U735" s="16">
        <v>5.0</v>
      </c>
      <c r="V735" s="16">
        <v>5.0</v>
      </c>
      <c r="W735" s="16">
        <v>4.0</v>
      </c>
      <c r="X735" s="16">
        <v>4.0</v>
      </c>
      <c r="Y735" s="16">
        <v>4.0</v>
      </c>
      <c r="Z735" s="16">
        <v>5.0</v>
      </c>
      <c r="AA735" s="16">
        <v>5.0</v>
      </c>
      <c r="AB735" s="16">
        <v>5.0</v>
      </c>
      <c r="AC735" s="16">
        <v>4.0</v>
      </c>
      <c r="AD735" s="38">
        <v>13.0</v>
      </c>
      <c r="AE735" s="38">
        <v>14.0</v>
      </c>
      <c r="AF735" s="38">
        <v>20.0</v>
      </c>
      <c r="AG735" s="38" t="s">
        <v>1448</v>
      </c>
      <c r="AI735" s="18" t="s">
        <v>638</v>
      </c>
    </row>
    <row r="736">
      <c r="A736" s="11"/>
      <c r="B736" s="12" t="s">
        <v>34</v>
      </c>
      <c r="C736" s="12" t="s">
        <v>65</v>
      </c>
      <c r="D736" s="12" t="s">
        <v>43</v>
      </c>
      <c r="E736" s="12" t="s">
        <v>773</v>
      </c>
      <c r="F736" s="13" t="s">
        <v>774</v>
      </c>
      <c r="G736" s="12" t="s">
        <v>68</v>
      </c>
      <c r="H736" s="12" t="s">
        <v>775</v>
      </c>
      <c r="I736" s="12" t="s">
        <v>776</v>
      </c>
      <c r="J736" s="21" t="s">
        <v>787</v>
      </c>
      <c r="K736" s="21" t="s">
        <v>787</v>
      </c>
      <c r="L736" s="17" t="s">
        <v>193</v>
      </c>
      <c r="M736" s="17">
        <v>41.0</v>
      </c>
      <c r="N736" s="20">
        <v>45981.0</v>
      </c>
      <c r="O736" s="17" t="s">
        <v>428</v>
      </c>
      <c r="P736" s="16">
        <v>5.0</v>
      </c>
      <c r="Q736" s="16">
        <v>5.0</v>
      </c>
      <c r="R736" s="16">
        <v>5.0</v>
      </c>
      <c r="S736" s="16">
        <v>5.0</v>
      </c>
      <c r="T736" s="16">
        <v>5.0</v>
      </c>
      <c r="U736" s="16">
        <v>5.0</v>
      </c>
      <c r="V736" s="16">
        <v>5.0</v>
      </c>
      <c r="W736" s="16">
        <v>5.0</v>
      </c>
      <c r="X736" s="16">
        <v>5.0</v>
      </c>
      <c r="Y736" s="16">
        <v>5.0</v>
      </c>
      <c r="Z736" s="16">
        <v>5.0</v>
      </c>
      <c r="AA736" s="16">
        <v>5.0</v>
      </c>
      <c r="AB736" s="16">
        <v>5.0</v>
      </c>
      <c r="AC736" s="16">
        <v>5.0</v>
      </c>
      <c r="AD736" s="38">
        <v>13.0</v>
      </c>
      <c r="AE736" s="38">
        <v>16.0</v>
      </c>
      <c r="AF736" s="38">
        <v>20.0</v>
      </c>
      <c r="AG736" s="38" t="s">
        <v>1449</v>
      </c>
      <c r="AI736" s="18" t="s">
        <v>638</v>
      </c>
    </row>
    <row r="737">
      <c r="A737" s="11"/>
      <c r="B737" s="12" t="s">
        <v>34</v>
      </c>
      <c r="C737" s="12" t="s">
        <v>65</v>
      </c>
      <c r="D737" s="12" t="s">
        <v>43</v>
      </c>
      <c r="E737" s="12" t="s">
        <v>773</v>
      </c>
      <c r="F737" s="13" t="s">
        <v>774</v>
      </c>
      <c r="G737" s="12" t="s">
        <v>68</v>
      </c>
      <c r="H737" s="12" t="s">
        <v>775</v>
      </c>
      <c r="I737" s="12" t="s">
        <v>776</v>
      </c>
      <c r="J737" s="21" t="s">
        <v>1450</v>
      </c>
      <c r="K737" s="21" t="s">
        <v>1450</v>
      </c>
      <c r="L737" s="17" t="s">
        <v>193</v>
      </c>
      <c r="M737" s="40"/>
      <c r="N737" s="20">
        <v>45981.0</v>
      </c>
      <c r="O737" s="17" t="s">
        <v>428</v>
      </c>
      <c r="P737" s="16">
        <v>5.0</v>
      </c>
      <c r="Q737" s="16">
        <v>5.0</v>
      </c>
      <c r="R737" s="16">
        <v>5.0</v>
      </c>
      <c r="S737" s="16">
        <v>5.0</v>
      </c>
      <c r="T737" s="16">
        <v>5.0</v>
      </c>
      <c r="U737" s="16">
        <v>4.0</v>
      </c>
      <c r="V737" s="16">
        <v>4.0</v>
      </c>
      <c r="W737" s="16">
        <v>5.0</v>
      </c>
      <c r="X737" s="16">
        <v>5.0</v>
      </c>
      <c r="Y737" s="16">
        <v>5.0</v>
      </c>
      <c r="Z737" s="16">
        <v>5.0</v>
      </c>
      <c r="AA737" s="16">
        <v>5.0</v>
      </c>
      <c r="AB737" s="16">
        <v>5.0</v>
      </c>
      <c r="AC737" s="16">
        <v>5.0</v>
      </c>
      <c r="AD737" s="38">
        <v>13.0</v>
      </c>
      <c r="AE737" s="38">
        <v>16.0</v>
      </c>
      <c r="AF737" s="38">
        <v>18.0</v>
      </c>
      <c r="AG737" s="38" t="s">
        <v>1451</v>
      </c>
      <c r="AI737" s="18" t="s">
        <v>638</v>
      </c>
    </row>
    <row r="738">
      <c r="A738" s="11"/>
      <c r="B738" s="12" t="s">
        <v>34</v>
      </c>
      <c r="C738" s="12" t="s">
        <v>65</v>
      </c>
      <c r="D738" s="12" t="s">
        <v>43</v>
      </c>
      <c r="E738" s="12" t="s">
        <v>773</v>
      </c>
      <c r="F738" s="13" t="s">
        <v>774</v>
      </c>
      <c r="G738" s="12" t="s">
        <v>68</v>
      </c>
      <c r="H738" s="12" t="s">
        <v>775</v>
      </c>
      <c r="I738" s="12" t="s">
        <v>776</v>
      </c>
      <c r="J738" s="21" t="s">
        <v>1452</v>
      </c>
      <c r="K738" s="21" t="s">
        <v>1452</v>
      </c>
      <c r="L738" s="17" t="s">
        <v>193</v>
      </c>
      <c r="M738" s="17">
        <v>28.0</v>
      </c>
      <c r="N738" s="20">
        <v>45981.0</v>
      </c>
      <c r="O738" s="17" t="s">
        <v>428</v>
      </c>
      <c r="P738" s="16">
        <v>5.0</v>
      </c>
      <c r="Q738" s="16">
        <v>5.0</v>
      </c>
      <c r="R738" s="16">
        <v>4.0</v>
      </c>
      <c r="S738" s="16">
        <v>4.0</v>
      </c>
      <c r="T738" s="16">
        <v>5.0</v>
      </c>
      <c r="U738" s="16">
        <v>5.0</v>
      </c>
      <c r="V738" s="16">
        <v>5.0</v>
      </c>
      <c r="W738" s="16">
        <v>4.0</v>
      </c>
      <c r="X738" s="16">
        <v>4.0</v>
      </c>
      <c r="Y738" s="16">
        <v>4.0</v>
      </c>
      <c r="Z738" s="16">
        <v>5.0</v>
      </c>
      <c r="AA738" s="16">
        <v>5.0</v>
      </c>
      <c r="AB738" s="16">
        <v>5.0</v>
      </c>
      <c r="AC738" s="16">
        <v>4.0</v>
      </c>
      <c r="AD738" s="38">
        <v>13.0</v>
      </c>
      <c r="AE738" s="38">
        <v>14.0</v>
      </c>
      <c r="AF738" s="38">
        <v>20.0</v>
      </c>
      <c r="AG738" s="38" t="s">
        <v>1453</v>
      </c>
      <c r="AI738" s="18" t="s">
        <v>638</v>
      </c>
    </row>
    <row r="739">
      <c r="A739" s="11"/>
      <c r="B739" s="12" t="s">
        <v>34</v>
      </c>
      <c r="C739" s="12" t="s">
        <v>65</v>
      </c>
      <c r="D739" s="12" t="s">
        <v>43</v>
      </c>
      <c r="E739" s="12" t="s">
        <v>773</v>
      </c>
      <c r="F739" s="13" t="s">
        <v>774</v>
      </c>
      <c r="G739" s="12" t="s">
        <v>68</v>
      </c>
      <c r="H739" s="12" t="s">
        <v>775</v>
      </c>
      <c r="I739" s="12" t="s">
        <v>776</v>
      </c>
      <c r="J739" s="21" t="s">
        <v>799</v>
      </c>
      <c r="K739" s="21" t="s">
        <v>799</v>
      </c>
      <c r="L739" s="17" t="s">
        <v>193</v>
      </c>
      <c r="M739" s="17">
        <v>25.0</v>
      </c>
      <c r="N739" s="20">
        <v>45981.0</v>
      </c>
      <c r="O739" s="17" t="s">
        <v>428</v>
      </c>
      <c r="P739" s="16">
        <v>5.0</v>
      </c>
      <c r="Q739" s="16">
        <v>5.0</v>
      </c>
      <c r="R739" s="16">
        <v>5.0</v>
      </c>
      <c r="S739" s="16">
        <v>5.0</v>
      </c>
      <c r="T739" s="16">
        <v>5.0</v>
      </c>
      <c r="U739" s="16">
        <v>5.0</v>
      </c>
      <c r="V739" s="16">
        <v>5.0</v>
      </c>
      <c r="W739" s="16">
        <v>5.0</v>
      </c>
      <c r="X739" s="16">
        <v>5.0</v>
      </c>
      <c r="Y739" s="16">
        <v>5.0</v>
      </c>
      <c r="Z739" s="16">
        <v>5.0</v>
      </c>
      <c r="AA739" s="16">
        <v>5.0</v>
      </c>
      <c r="AB739" s="16">
        <v>5.0</v>
      </c>
      <c r="AC739" s="16">
        <v>5.0</v>
      </c>
      <c r="AD739" s="38">
        <v>13.0</v>
      </c>
      <c r="AE739" s="38">
        <v>16.0</v>
      </c>
      <c r="AF739" s="38">
        <v>20.0</v>
      </c>
      <c r="AG739" s="38" t="s">
        <v>1454</v>
      </c>
      <c r="AI739" s="18" t="s">
        <v>638</v>
      </c>
    </row>
    <row r="740">
      <c r="A740" s="11"/>
      <c r="B740" s="12" t="s">
        <v>34</v>
      </c>
      <c r="C740" s="12" t="s">
        <v>65</v>
      </c>
      <c r="D740" s="12" t="s">
        <v>43</v>
      </c>
      <c r="E740" s="12" t="s">
        <v>773</v>
      </c>
      <c r="F740" s="13" t="s">
        <v>774</v>
      </c>
      <c r="G740" s="12" t="s">
        <v>68</v>
      </c>
      <c r="H740" s="12" t="s">
        <v>775</v>
      </c>
      <c r="I740" s="12" t="s">
        <v>776</v>
      </c>
      <c r="J740" s="21" t="s">
        <v>1455</v>
      </c>
      <c r="K740" s="21" t="s">
        <v>1455</v>
      </c>
      <c r="L740" s="17" t="s">
        <v>193</v>
      </c>
      <c r="M740" s="17">
        <v>27.0</v>
      </c>
      <c r="N740" s="20">
        <v>45981.0</v>
      </c>
      <c r="O740" s="17" t="s">
        <v>428</v>
      </c>
      <c r="P740" s="16">
        <v>4.0</v>
      </c>
      <c r="Q740" s="16">
        <v>4.0</v>
      </c>
      <c r="R740" s="16">
        <v>5.0</v>
      </c>
      <c r="S740" s="16">
        <v>5.0</v>
      </c>
      <c r="T740" s="16">
        <v>5.0</v>
      </c>
      <c r="U740" s="16">
        <v>5.0</v>
      </c>
      <c r="V740" s="16">
        <v>5.0</v>
      </c>
      <c r="W740" s="16">
        <v>5.0</v>
      </c>
      <c r="X740" s="16">
        <v>5.0</v>
      </c>
      <c r="Y740" s="16">
        <v>5.0</v>
      </c>
      <c r="Z740" s="16">
        <v>5.0</v>
      </c>
      <c r="AA740" s="16">
        <v>4.0</v>
      </c>
      <c r="AB740" s="16">
        <v>5.0</v>
      </c>
      <c r="AC740" s="16">
        <v>5.0</v>
      </c>
      <c r="AD740" s="38">
        <v>14.0</v>
      </c>
      <c r="AE740" s="38">
        <v>16.0</v>
      </c>
      <c r="AF740" s="38">
        <v>20.0</v>
      </c>
      <c r="AG740" s="38" t="s">
        <v>1456</v>
      </c>
      <c r="AI740" s="18" t="s">
        <v>638</v>
      </c>
    </row>
    <row r="741">
      <c r="A741" s="11"/>
      <c r="B741" s="12" t="s">
        <v>34</v>
      </c>
      <c r="C741" s="12" t="s">
        <v>65</v>
      </c>
      <c r="D741" s="12" t="s">
        <v>43</v>
      </c>
      <c r="E741" s="12" t="s">
        <v>773</v>
      </c>
      <c r="F741" s="13" t="s">
        <v>774</v>
      </c>
      <c r="G741" s="12" t="s">
        <v>68</v>
      </c>
      <c r="H741" s="12" t="s">
        <v>775</v>
      </c>
      <c r="I741" s="12" t="s">
        <v>776</v>
      </c>
      <c r="J741" s="21" t="s">
        <v>1457</v>
      </c>
      <c r="K741" s="21" t="s">
        <v>1457</v>
      </c>
      <c r="L741" s="17" t="s">
        <v>193</v>
      </c>
      <c r="M741" s="17">
        <v>24.0</v>
      </c>
      <c r="N741" s="20">
        <v>45981.0</v>
      </c>
      <c r="O741" s="17" t="s">
        <v>428</v>
      </c>
      <c r="P741" s="16">
        <v>5.0</v>
      </c>
      <c r="Q741" s="16">
        <v>5.0</v>
      </c>
      <c r="R741" s="16">
        <v>4.0</v>
      </c>
      <c r="S741" s="16">
        <v>4.0</v>
      </c>
      <c r="T741" s="16">
        <v>4.0</v>
      </c>
      <c r="U741" s="16">
        <v>5.0</v>
      </c>
      <c r="V741" s="16">
        <v>5.0</v>
      </c>
      <c r="W741" s="16">
        <v>4.0</v>
      </c>
      <c r="X741" s="16">
        <v>5.0</v>
      </c>
      <c r="Y741" s="16">
        <v>5.0</v>
      </c>
      <c r="Z741" s="16">
        <v>4.0</v>
      </c>
      <c r="AA741" s="16">
        <v>5.0</v>
      </c>
      <c r="AB741" s="16">
        <v>4.0</v>
      </c>
      <c r="AC741" s="16">
        <v>5.0</v>
      </c>
      <c r="AD741" s="38">
        <v>13.0</v>
      </c>
      <c r="AE741" s="38">
        <v>16.0</v>
      </c>
      <c r="AF741" s="38">
        <v>18.0</v>
      </c>
      <c r="AG741" s="38" t="s">
        <v>1458</v>
      </c>
      <c r="AI741" s="18" t="s">
        <v>638</v>
      </c>
    </row>
    <row r="742">
      <c r="A742" s="11"/>
      <c r="B742" s="12" t="s">
        <v>34</v>
      </c>
      <c r="C742" s="12" t="s">
        <v>65</v>
      </c>
      <c r="D742" s="12" t="s">
        <v>43</v>
      </c>
      <c r="E742" s="12" t="s">
        <v>773</v>
      </c>
      <c r="F742" s="13" t="s">
        <v>774</v>
      </c>
      <c r="G742" s="12" t="s">
        <v>68</v>
      </c>
      <c r="H742" s="12" t="s">
        <v>775</v>
      </c>
      <c r="I742" s="12" t="s">
        <v>776</v>
      </c>
      <c r="J742" s="21" t="s">
        <v>1459</v>
      </c>
      <c r="K742" s="21" t="s">
        <v>1459</v>
      </c>
      <c r="L742" s="17" t="s">
        <v>193</v>
      </c>
      <c r="M742" s="17">
        <v>26.0</v>
      </c>
      <c r="N742" s="20">
        <v>45981.0</v>
      </c>
      <c r="O742" s="17" t="s">
        <v>428</v>
      </c>
      <c r="P742" s="16">
        <v>5.0</v>
      </c>
      <c r="Q742" s="16">
        <v>5.0</v>
      </c>
      <c r="R742" s="16">
        <v>5.0</v>
      </c>
      <c r="S742" s="16">
        <v>5.0</v>
      </c>
      <c r="T742" s="16">
        <v>5.0</v>
      </c>
      <c r="U742" s="16">
        <v>5.0</v>
      </c>
      <c r="V742" s="16">
        <v>5.0</v>
      </c>
      <c r="W742" s="16">
        <v>5.0</v>
      </c>
      <c r="X742" s="16">
        <v>5.0</v>
      </c>
      <c r="Y742" s="16">
        <v>5.0</v>
      </c>
      <c r="Z742" s="16">
        <v>5.0</v>
      </c>
      <c r="AA742" s="16">
        <v>5.0</v>
      </c>
      <c r="AB742" s="16">
        <v>5.0</v>
      </c>
      <c r="AC742" s="16">
        <v>5.0</v>
      </c>
      <c r="AD742" s="38">
        <v>13.0</v>
      </c>
      <c r="AE742" s="38">
        <v>16.0</v>
      </c>
      <c r="AF742" s="38">
        <v>20.0</v>
      </c>
      <c r="AG742" s="38" t="s">
        <v>1460</v>
      </c>
      <c r="AI742" s="18" t="s">
        <v>638</v>
      </c>
    </row>
    <row r="743">
      <c r="A743" s="11"/>
      <c r="B743" s="12" t="s">
        <v>34</v>
      </c>
      <c r="C743" s="12" t="s">
        <v>65</v>
      </c>
      <c r="D743" s="12" t="s">
        <v>43</v>
      </c>
      <c r="E743" s="12" t="s">
        <v>773</v>
      </c>
      <c r="F743" s="13" t="s">
        <v>774</v>
      </c>
      <c r="G743" s="12" t="s">
        <v>68</v>
      </c>
      <c r="H743" s="12" t="s">
        <v>775</v>
      </c>
      <c r="I743" s="12" t="s">
        <v>776</v>
      </c>
      <c r="J743" s="21" t="s">
        <v>795</v>
      </c>
      <c r="K743" s="21" t="s">
        <v>795</v>
      </c>
      <c r="L743" s="17" t="s">
        <v>193</v>
      </c>
      <c r="M743" s="17">
        <v>33.0</v>
      </c>
      <c r="N743" s="20">
        <v>45981.0</v>
      </c>
      <c r="O743" s="17" t="s">
        <v>428</v>
      </c>
      <c r="P743" s="16">
        <v>5.0</v>
      </c>
      <c r="Q743" s="16">
        <v>5.0</v>
      </c>
      <c r="R743" s="16">
        <v>5.0</v>
      </c>
      <c r="S743" s="16">
        <v>5.0</v>
      </c>
      <c r="T743" s="16">
        <v>5.0</v>
      </c>
      <c r="U743" s="16">
        <v>4.0</v>
      </c>
      <c r="V743" s="16">
        <v>4.0</v>
      </c>
      <c r="W743" s="16">
        <v>5.0</v>
      </c>
      <c r="X743" s="16">
        <v>5.0</v>
      </c>
      <c r="Y743" s="16">
        <v>5.0</v>
      </c>
      <c r="Z743" s="16">
        <v>5.0</v>
      </c>
      <c r="AA743" s="16">
        <v>5.0</v>
      </c>
      <c r="AB743" s="16">
        <v>5.0</v>
      </c>
      <c r="AC743" s="16">
        <v>5.0</v>
      </c>
      <c r="AD743" s="38">
        <v>13.0</v>
      </c>
      <c r="AE743" s="38">
        <v>16.0</v>
      </c>
      <c r="AF743" s="38">
        <v>18.0</v>
      </c>
      <c r="AG743" s="38" t="s">
        <v>1461</v>
      </c>
      <c r="AI743" s="18" t="s">
        <v>638</v>
      </c>
    </row>
    <row r="744">
      <c r="A744" s="11"/>
      <c r="B744" s="12" t="s">
        <v>34</v>
      </c>
      <c r="C744" s="12" t="s">
        <v>65</v>
      </c>
      <c r="D744" s="12" t="s">
        <v>43</v>
      </c>
      <c r="E744" s="12" t="s">
        <v>773</v>
      </c>
      <c r="F744" s="13" t="s">
        <v>774</v>
      </c>
      <c r="G744" s="12" t="s">
        <v>68</v>
      </c>
      <c r="H744" s="12" t="s">
        <v>775</v>
      </c>
      <c r="I744" s="12" t="s">
        <v>776</v>
      </c>
      <c r="J744" s="21" t="s">
        <v>777</v>
      </c>
      <c r="K744" s="21" t="s">
        <v>777</v>
      </c>
      <c r="L744" s="17" t="s">
        <v>193</v>
      </c>
      <c r="M744" s="17">
        <v>31.0</v>
      </c>
      <c r="N744" s="20">
        <v>45981.0</v>
      </c>
      <c r="O744" s="17" t="s">
        <v>428</v>
      </c>
      <c r="P744" s="16">
        <v>5.0</v>
      </c>
      <c r="Q744" s="16">
        <v>5.0</v>
      </c>
      <c r="R744" s="16">
        <v>5.0</v>
      </c>
      <c r="S744" s="16">
        <v>5.0</v>
      </c>
      <c r="T744" s="16">
        <v>5.0</v>
      </c>
      <c r="U744" s="16">
        <v>5.0</v>
      </c>
      <c r="V744" s="16">
        <v>5.0</v>
      </c>
      <c r="W744" s="16">
        <v>5.0</v>
      </c>
      <c r="X744" s="16">
        <v>4.0</v>
      </c>
      <c r="Y744" s="16">
        <v>4.0</v>
      </c>
      <c r="Z744" s="16">
        <v>5.0</v>
      </c>
      <c r="AA744" s="16">
        <v>5.0</v>
      </c>
      <c r="AB744" s="16">
        <v>5.0</v>
      </c>
      <c r="AC744" s="16">
        <v>4.0</v>
      </c>
      <c r="AD744" s="38">
        <v>13.0</v>
      </c>
      <c r="AE744" s="38">
        <v>15.0</v>
      </c>
      <c r="AF744" s="38">
        <v>20.0</v>
      </c>
      <c r="AG744" s="38" t="s">
        <v>1462</v>
      </c>
      <c r="AI744" s="18" t="s">
        <v>638</v>
      </c>
    </row>
    <row r="745">
      <c r="A745" s="11"/>
      <c r="B745" s="12" t="s">
        <v>34</v>
      </c>
      <c r="C745" s="12" t="s">
        <v>65</v>
      </c>
      <c r="D745" s="12" t="s">
        <v>43</v>
      </c>
      <c r="E745" s="12" t="s">
        <v>773</v>
      </c>
      <c r="F745" s="13" t="s">
        <v>774</v>
      </c>
      <c r="G745" s="12" t="s">
        <v>68</v>
      </c>
      <c r="H745" s="12" t="s">
        <v>775</v>
      </c>
      <c r="I745" s="12" t="s">
        <v>776</v>
      </c>
      <c r="J745" s="21" t="s">
        <v>1463</v>
      </c>
      <c r="K745" s="21" t="s">
        <v>1463</v>
      </c>
      <c r="L745" s="17" t="s">
        <v>193</v>
      </c>
      <c r="M745" s="40"/>
      <c r="N745" s="20">
        <v>45981.0</v>
      </c>
      <c r="O745" s="17" t="s">
        <v>428</v>
      </c>
      <c r="P745" s="16">
        <v>5.0</v>
      </c>
      <c r="Q745" s="16">
        <v>5.0</v>
      </c>
      <c r="R745" s="16">
        <v>5.0</v>
      </c>
      <c r="S745" s="16">
        <v>5.0</v>
      </c>
      <c r="T745" s="16">
        <v>5.0</v>
      </c>
      <c r="U745" s="16">
        <v>5.0</v>
      </c>
      <c r="V745" s="16">
        <v>5.0</v>
      </c>
      <c r="W745" s="16">
        <v>5.0</v>
      </c>
      <c r="X745" s="16">
        <v>5.0</v>
      </c>
      <c r="Y745" s="16">
        <v>5.0</v>
      </c>
      <c r="Z745" s="16">
        <v>5.0</v>
      </c>
      <c r="AA745" s="16">
        <v>5.0</v>
      </c>
      <c r="AB745" s="16">
        <v>5.0</v>
      </c>
      <c r="AC745" s="16">
        <v>5.0</v>
      </c>
      <c r="AD745" s="38">
        <v>13.0</v>
      </c>
      <c r="AE745" s="38">
        <v>16.0</v>
      </c>
      <c r="AF745" s="38">
        <v>20.0</v>
      </c>
      <c r="AG745" s="38" t="s">
        <v>1464</v>
      </c>
      <c r="AI745" s="18" t="s">
        <v>638</v>
      </c>
    </row>
    <row r="746">
      <c r="A746" s="11"/>
      <c r="B746" s="12" t="s">
        <v>34</v>
      </c>
      <c r="C746" s="12" t="s">
        <v>65</v>
      </c>
      <c r="D746" s="12" t="s">
        <v>43</v>
      </c>
      <c r="E746" s="12" t="s">
        <v>666</v>
      </c>
      <c r="F746" s="13" t="s">
        <v>667</v>
      </c>
      <c r="G746" s="12" t="s">
        <v>68</v>
      </c>
      <c r="H746" s="12" t="s">
        <v>668</v>
      </c>
      <c r="I746" s="12" t="s">
        <v>669</v>
      </c>
      <c r="J746" s="17" t="s">
        <v>672</v>
      </c>
      <c r="K746" s="17" t="s">
        <v>672</v>
      </c>
      <c r="L746" s="17" t="s">
        <v>193</v>
      </c>
      <c r="M746" s="17">
        <v>30.0</v>
      </c>
      <c r="N746" s="20">
        <v>45985.0</v>
      </c>
      <c r="O746" s="17" t="s">
        <v>428</v>
      </c>
      <c r="P746" s="16">
        <v>4.0</v>
      </c>
      <c r="Q746" s="16">
        <v>4.0</v>
      </c>
      <c r="R746" s="16">
        <v>3.0</v>
      </c>
      <c r="S746" s="16">
        <v>3.0</v>
      </c>
      <c r="T746" s="16">
        <v>5.0</v>
      </c>
      <c r="U746" s="16">
        <v>5.0</v>
      </c>
      <c r="V746" s="16">
        <v>5.0</v>
      </c>
      <c r="W746" s="16">
        <v>3.0</v>
      </c>
      <c r="X746" s="16">
        <v>4.0</v>
      </c>
      <c r="Y746" s="16">
        <v>4.0</v>
      </c>
      <c r="Z746" s="16">
        <v>5.0</v>
      </c>
      <c r="AA746" s="16">
        <v>4.0</v>
      </c>
      <c r="AB746" s="16">
        <v>5.0</v>
      </c>
      <c r="AC746" s="16">
        <v>4.0</v>
      </c>
      <c r="AD746" s="38">
        <v>14.0</v>
      </c>
      <c r="AE746" s="38">
        <v>13.0</v>
      </c>
      <c r="AF746" s="38">
        <v>20.0</v>
      </c>
      <c r="AG746" s="38" t="s">
        <v>1465</v>
      </c>
      <c r="AI746" s="18" t="s">
        <v>638</v>
      </c>
    </row>
    <row r="747">
      <c r="A747" s="11"/>
      <c r="B747" s="12" t="s">
        <v>34</v>
      </c>
      <c r="C747" s="12" t="s">
        <v>65</v>
      </c>
      <c r="D747" s="12" t="s">
        <v>43</v>
      </c>
      <c r="E747" s="12" t="s">
        <v>666</v>
      </c>
      <c r="F747" s="13" t="s">
        <v>667</v>
      </c>
      <c r="G747" s="12" t="s">
        <v>68</v>
      </c>
      <c r="H747" s="12" t="s">
        <v>668</v>
      </c>
      <c r="I747" s="12" t="s">
        <v>669</v>
      </c>
      <c r="J747" s="17" t="s">
        <v>680</v>
      </c>
      <c r="K747" s="17" t="s">
        <v>680</v>
      </c>
      <c r="L747" s="17" t="s">
        <v>193</v>
      </c>
      <c r="M747" s="17">
        <v>34.0</v>
      </c>
      <c r="N747" s="20">
        <v>45985.0</v>
      </c>
      <c r="O747" s="17" t="s">
        <v>428</v>
      </c>
      <c r="P747" s="16">
        <v>5.0</v>
      </c>
      <c r="Q747" s="16">
        <v>5.0</v>
      </c>
      <c r="R747" s="16">
        <v>4.0</v>
      </c>
      <c r="S747" s="16">
        <v>4.0</v>
      </c>
      <c r="T747" s="16">
        <v>5.0</v>
      </c>
      <c r="U747" s="16">
        <v>3.0</v>
      </c>
      <c r="V747" s="16">
        <v>3.0</v>
      </c>
      <c r="W747" s="16">
        <v>4.0</v>
      </c>
      <c r="X747" s="16">
        <v>5.0</v>
      </c>
      <c r="Y747" s="16">
        <v>5.0</v>
      </c>
      <c r="Z747" s="16">
        <v>5.0</v>
      </c>
      <c r="AA747" s="16">
        <v>5.0</v>
      </c>
      <c r="AB747" s="16">
        <v>5.0</v>
      </c>
      <c r="AC747" s="16">
        <v>5.0</v>
      </c>
      <c r="AD747" s="38">
        <v>13.0</v>
      </c>
      <c r="AE747" s="38">
        <v>15.0</v>
      </c>
      <c r="AF747" s="38">
        <v>16.0</v>
      </c>
      <c r="AG747" s="38" t="s">
        <v>1466</v>
      </c>
      <c r="AI747" s="18" t="s">
        <v>638</v>
      </c>
    </row>
    <row r="748">
      <c r="A748" s="11"/>
      <c r="B748" s="12" t="s">
        <v>34</v>
      </c>
      <c r="C748" s="12" t="s">
        <v>65</v>
      </c>
      <c r="D748" s="12" t="s">
        <v>43</v>
      </c>
      <c r="E748" s="12" t="s">
        <v>666</v>
      </c>
      <c r="F748" s="13" t="s">
        <v>667</v>
      </c>
      <c r="G748" s="12" t="s">
        <v>68</v>
      </c>
      <c r="H748" s="12" t="s">
        <v>668</v>
      </c>
      <c r="I748" s="12" t="s">
        <v>669</v>
      </c>
      <c r="J748" s="17" t="s">
        <v>1467</v>
      </c>
      <c r="K748" s="17" t="s">
        <v>1467</v>
      </c>
      <c r="L748" s="17" t="s">
        <v>193</v>
      </c>
      <c r="M748" s="17">
        <v>29.0</v>
      </c>
      <c r="N748" s="20">
        <v>45985.0</v>
      </c>
      <c r="O748" s="17" t="s">
        <v>428</v>
      </c>
      <c r="P748" s="16">
        <v>5.0</v>
      </c>
      <c r="Q748" s="16">
        <v>5.0</v>
      </c>
      <c r="R748" s="16">
        <v>4.0</v>
      </c>
      <c r="S748" s="16">
        <v>4.0</v>
      </c>
      <c r="T748" s="16">
        <v>5.0</v>
      </c>
      <c r="U748" s="16">
        <v>5.0</v>
      </c>
      <c r="V748" s="16">
        <v>5.0</v>
      </c>
      <c r="W748" s="16">
        <v>4.0</v>
      </c>
      <c r="X748" s="16">
        <v>5.0</v>
      </c>
      <c r="Y748" s="16">
        <v>5.0</v>
      </c>
      <c r="Z748" s="16">
        <v>5.0</v>
      </c>
      <c r="AA748" s="16">
        <v>5.0</v>
      </c>
      <c r="AB748" s="16">
        <v>5.0</v>
      </c>
      <c r="AC748" s="16">
        <v>5.0</v>
      </c>
      <c r="AD748" s="38">
        <v>13.0</v>
      </c>
      <c r="AE748" s="38">
        <v>15.0</v>
      </c>
      <c r="AF748" s="38">
        <v>20.0</v>
      </c>
      <c r="AG748" s="38" t="s">
        <v>1468</v>
      </c>
      <c r="AI748" s="18" t="s">
        <v>638</v>
      </c>
    </row>
    <row r="749">
      <c r="A749" s="11"/>
      <c r="B749" s="12" t="s">
        <v>34</v>
      </c>
      <c r="C749" s="12" t="s">
        <v>65</v>
      </c>
      <c r="D749" s="12" t="s">
        <v>43</v>
      </c>
      <c r="E749" s="12" t="s">
        <v>666</v>
      </c>
      <c r="F749" s="13" t="s">
        <v>667</v>
      </c>
      <c r="G749" s="12" t="s">
        <v>68</v>
      </c>
      <c r="H749" s="12" t="s">
        <v>668</v>
      </c>
      <c r="I749" s="12" t="s">
        <v>669</v>
      </c>
      <c r="J749" s="17" t="s">
        <v>688</v>
      </c>
      <c r="K749" s="17" t="s">
        <v>688</v>
      </c>
      <c r="L749" s="17" t="s">
        <v>193</v>
      </c>
      <c r="M749" s="17">
        <v>38.0</v>
      </c>
      <c r="N749" s="20">
        <v>45985.0</v>
      </c>
      <c r="O749" s="17" t="s">
        <v>428</v>
      </c>
      <c r="P749" s="16">
        <v>5.0</v>
      </c>
      <c r="Q749" s="16">
        <v>5.0</v>
      </c>
      <c r="R749" s="16">
        <v>4.0</v>
      </c>
      <c r="S749" s="16">
        <v>4.0</v>
      </c>
      <c r="T749" s="16">
        <v>5.0</v>
      </c>
      <c r="U749" s="16">
        <v>5.0</v>
      </c>
      <c r="V749" s="16">
        <v>5.0</v>
      </c>
      <c r="W749" s="16">
        <v>4.0</v>
      </c>
      <c r="X749" s="16">
        <v>5.0</v>
      </c>
      <c r="Y749" s="16">
        <v>5.0</v>
      </c>
      <c r="Z749" s="16">
        <v>5.0</v>
      </c>
      <c r="AA749" s="16">
        <v>5.0</v>
      </c>
      <c r="AB749" s="16">
        <v>5.0</v>
      </c>
      <c r="AC749" s="16">
        <v>5.0</v>
      </c>
      <c r="AD749" s="38">
        <v>13.0</v>
      </c>
      <c r="AE749" s="38">
        <v>15.0</v>
      </c>
      <c r="AF749" s="38">
        <v>20.0</v>
      </c>
      <c r="AG749" s="38" t="s">
        <v>1469</v>
      </c>
      <c r="AI749" s="18" t="s">
        <v>638</v>
      </c>
    </row>
    <row r="750">
      <c r="A750" s="11"/>
      <c r="B750" s="12" t="s">
        <v>34</v>
      </c>
      <c r="C750" s="12" t="s">
        <v>65</v>
      </c>
      <c r="D750" s="12" t="s">
        <v>43</v>
      </c>
      <c r="E750" s="12" t="s">
        <v>666</v>
      </c>
      <c r="F750" s="13" t="s">
        <v>667</v>
      </c>
      <c r="G750" s="12" t="s">
        <v>68</v>
      </c>
      <c r="H750" s="12" t="s">
        <v>668</v>
      </c>
      <c r="I750" s="12" t="s">
        <v>669</v>
      </c>
      <c r="J750" s="17" t="s">
        <v>1470</v>
      </c>
      <c r="K750" s="17" t="s">
        <v>1470</v>
      </c>
      <c r="L750" s="17" t="s">
        <v>193</v>
      </c>
      <c r="M750" s="17">
        <v>50.0</v>
      </c>
      <c r="N750" s="20">
        <v>45985.0</v>
      </c>
      <c r="O750" s="17" t="s">
        <v>428</v>
      </c>
      <c r="P750" s="16">
        <v>4.0</v>
      </c>
      <c r="Q750" s="16">
        <v>4.0</v>
      </c>
      <c r="R750" s="16">
        <v>5.0</v>
      </c>
      <c r="S750" s="16">
        <v>5.0</v>
      </c>
      <c r="T750" s="16">
        <v>5.0</v>
      </c>
      <c r="U750" s="16">
        <v>5.0</v>
      </c>
      <c r="V750" s="16">
        <v>5.0</v>
      </c>
      <c r="W750" s="16">
        <v>5.0</v>
      </c>
      <c r="X750" s="16">
        <v>5.0</v>
      </c>
      <c r="Y750" s="16">
        <v>5.0</v>
      </c>
      <c r="Z750" s="16">
        <v>5.0</v>
      </c>
      <c r="AA750" s="16">
        <v>4.0</v>
      </c>
      <c r="AB750" s="16">
        <v>5.0</v>
      </c>
      <c r="AC750" s="16">
        <v>5.0</v>
      </c>
      <c r="AD750" s="38">
        <v>14.0</v>
      </c>
      <c r="AE750" s="38">
        <v>16.0</v>
      </c>
      <c r="AF750" s="38">
        <v>20.0</v>
      </c>
      <c r="AG750" s="38" t="s">
        <v>1471</v>
      </c>
      <c r="AI750" s="18" t="s">
        <v>638</v>
      </c>
    </row>
    <row r="751">
      <c r="A751" s="11"/>
      <c r="B751" s="12" t="s">
        <v>34</v>
      </c>
      <c r="C751" s="12" t="s">
        <v>65</v>
      </c>
      <c r="D751" s="12" t="s">
        <v>43</v>
      </c>
      <c r="E751" s="12" t="s">
        <v>666</v>
      </c>
      <c r="F751" s="13" t="s">
        <v>667</v>
      </c>
      <c r="G751" s="12" t="s">
        <v>68</v>
      </c>
      <c r="H751" s="12" t="s">
        <v>668</v>
      </c>
      <c r="I751" s="12" t="s">
        <v>669</v>
      </c>
      <c r="J751" s="17" t="s">
        <v>684</v>
      </c>
      <c r="K751" s="17" t="s">
        <v>684</v>
      </c>
      <c r="L751" s="17" t="s">
        <v>193</v>
      </c>
      <c r="M751" s="17">
        <v>35.0</v>
      </c>
      <c r="N751" s="20">
        <v>45985.0</v>
      </c>
      <c r="O751" s="17" t="s">
        <v>428</v>
      </c>
      <c r="P751" s="16">
        <v>5.0</v>
      </c>
      <c r="Q751" s="16">
        <v>5.0</v>
      </c>
      <c r="R751" s="16">
        <v>4.0</v>
      </c>
      <c r="S751" s="16">
        <v>4.0</v>
      </c>
      <c r="T751" s="16">
        <v>4.0</v>
      </c>
      <c r="U751" s="16">
        <v>5.0</v>
      </c>
      <c r="V751" s="16">
        <v>5.0</v>
      </c>
      <c r="W751" s="16">
        <v>4.0</v>
      </c>
      <c r="X751" s="16">
        <v>5.0</v>
      </c>
      <c r="Y751" s="16">
        <v>5.0</v>
      </c>
      <c r="Z751" s="16">
        <v>4.0</v>
      </c>
      <c r="AA751" s="16">
        <v>5.0</v>
      </c>
      <c r="AB751" s="16">
        <v>4.0</v>
      </c>
      <c r="AC751" s="16">
        <v>5.0</v>
      </c>
      <c r="AD751" s="38">
        <v>13.0</v>
      </c>
      <c r="AE751" s="38">
        <v>16.0</v>
      </c>
      <c r="AF751" s="38">
        <v>18.0</v>
      </c>
      <c r="AG751" s="38" t="s">
        <v>1472</v>
      </c>
      <c r="AI751" s="18" t="s">
        <v>638</v>
      </c>
    </row>
    <row r="752">
      <c r="A752" s="11"/>
      <c r="B752" s="12" t="s">
        <v>34</v>
      </c>
      <c r="C752" s="12" t="s">
        <v>65</v>
      </c>
      <c r="D752" s="12" t="s">
        <v>43</v>
      </c>
      <c r="E752" s="12" t="s">
        <v>666</v>
      </c>
      <c r="F752" s="13" t="s">
        <v>667</v>
      </c>
      <c r="G752" s="12" t="s">
        <v>68</v>
      </c>
      <c r="H752" s="12" t="s">
        <v>668</v>
      </c>
      <c r="I752" s="12" t="s">
        <v>669</v>
      </c>
      <c r="J752" s="17" t="s">
        <v>686</v>
      </c>
      <c r="K752" s="17" t="s">
        <v>686</v>
      </c>
      <c r="L752" s="17" t="s">
        <v>193</v>
      </c>
      <c r="M752" s="17">
        <v>32.0</v>
      </c>
      <c r="N752" s="20">
        <v>45985.0</v>
      </c>
      <c r="O752" s="17" t="s">
        <v>428</v>
      </c>
      <c r="P752" s="16">
        <v>5.0</v>
      </c>
      <c r="Q752" s="16">
        <v>5.0</v>
      </c>
      <c r="R752" s="16">
        <v>4.0</v>
      </c>
      <c r="S752" s="16">
        <v>4.0</v>
      </c>
      <c r="T752" s="16">
        <v>5.0</v>
      </c>
      <c r="U752" s="16">
        <v>4.0</v>
      </c>
      <c r="V752" s="16">
        <v>4.0</v>
      </c>
      <c r="W752" s="16">
        <v>4.0</v>
      </c>
      <c r="X752" s="16">
        <v>4.0</v>
      </c>
      <c r="Y752" s="16">
        <v>4.0</v>
      </c>
      <c r="Z752" s="16">
        <v>5.0</v>
      </c>
      <c r="AA752" s="16">
        <v>5.0</v>
      </c>
      <c r="AB752" s="16">
        <v>5.0</v>
      </c>
      <c r="AC752" s="16">
        <v>4.0</v>
      </c>
      <c r="AD752" s="38">
        <v>13.0</v>
      </c>
      <c r="AE752" s="38">
        <v>14.0</v>
      </c>
      <c r="AF752" s="38">
        <v>18.0</v>
      </c>
      <c r="AG752" s="38" t="s">
        <v>1473</v>
      </c>
      <c r="AI752" s="18" t="s">
        <v>638</v>
      </c>
    </row>
    <row r="753">
      <c r="A753" s="11"/>
      <c r="B753" s="12" t="s">
        <v>34</v>
      </c>
      <c r="C753" s="12" t="s">
        <v>65</v>
      </c>
      <c r="D753" s="12" t="s">
        <v>43</v>
      </c>
      <c r="E753" s="12" t="s">
        <v>666</v>
      </c>
      <c r="F753" s="13" t="s">
        <v>667</v>
      </c>
      <c r="G753" s="12" t="s">
        <v>68</v>
      </c>
      <c r="H753" s="12" t="s">
        <v>668</v>
      </c>
      <c r="I753" s="12" t="s">
        <v>669</v>
      </c>
      <c r="J753" s="17" t="s">
        <v>1474</v>
      </c>
      <c r="K753" s="17" t="s">
        <v>1474</v>
      </c>
      <c r="L753" s="17" t="s">
        <v>193</v>
      </c>
      <c r="M753" s="17">
        <v>29.0</v>
      </c>
      <c r="N753" s="20">
        <v>45985.0</v>
      </c>
      <c r="O753" s="17" t="s">
        <v>428</v>
      </c>
      <c r="P753" s="16">
        <v>5.0</v>
      </c>
      <c r="Q753" s="16">
        <v>5.0</v>
      </c>
      <c r="R753" s="16">
        <v>4.0</v>
      </c>
      <c r="S753" s="16">
        <v>4.0</v>
      </c>
      <c r="T753" s="16">
        <v>5.0</v>
      </c>
      <c r="U753" s="16">
        <v>4.0</v>
      </c>
      <c r="V753" s="16">
        <v>4.0</v>
      </c>
      <c r="W753" s="16">
        <v>4.0</v>
      </c>
      <c r="X753" s="16">
        <v>5.0</v>
      </c>
      <c r="Y753" s="16">
        <v>5.0</v>
      </c>
      <c r="Z753" s="16">
        <v>5.0</v>
      </c>
      <c r="AA753" s="16">
        <v>5.0</v>
      </c>
      <c r="AB753" s="16">
        <v>5.0</v>
      </c>
      <c r="AC753" s="16">
        <v>5.0</v>
      </c>
      <c r="AD753" s="38">
        <v>13.0</v>
      </c>
      <c r="AE753" s="38">
        <v>15.0</v>
      </c>
      <c r="AF753" s="38">
        <v>18.0</v>
      </c>
      <c r="AG753" s="38" t="s">
        <v>1475</v>
      </c>
      <c r="AI753" s="18" t="s">
        <v>638</v>
      </c>
    </row>
    <row r="754">
      <c r="A754" s="11"/>
      <c r="B754" s="12" t="s">
        <v>34</v>
      </c>
      <c r="C754" s="12" t="s">
        <v>65</v>
      </c>
      <c r="D754" s="12" t="s">
        <v>43</v>
      </c>
      <c r="E754" s="12" t="s">
        <v>666</v>
      </c>
      <c r="F754" s="13" t="s">
        <v>667</v>
      </c>
      <c r="G754" s="12" t="s">
        <v>68</v>
      </c>
      <c r="H754" s="12" t="s">
        <v>668</v>
      </c>
      <c r="I754" s="12" t="s">
        <v>669</v>
      </c>
      <c r="J754" s="17" t="s">
        <v>674</v>
      </c>
      <c r="K754" s="17" t="s">
        <v>674</v>
      </c>
      <c r="L754" s="17" t="s">
        <v>193</v>
      </c>
      <c r="M754" s="17">
        <v>39.0</v>
      </c>
      <c r="N754" s="20">
        <v>45985.0</v>
      </c>
      <c r="O754" s="17" t="s">
        <v>428</v>
      </c>
      <c r="P754" s="16">
        <v>5.0</v>
      </c>
      <c r="Q754" s="16">
        <v>5.0</v>
      </c>
      <c r="R754" s="16">
        <v>4.0</v>
      </c>
      <c r="S754" s="16">
        <v>4.0</v>
      </c>
      <c r="T754" s="16">
        <v>5.0</v>
      </c>
      <c r="U754" s="16">
        <v>5.0</v>
      </c>
      <c r="V754" s="16">
        <v>5.0</v>
      </c>
      <c r="W754" s="16">
        <v>4.0</v>
      </c>
      <c r="X754" s="16">
        <v>4.0</v>
      </c>
      <c r="Y754" s="16">
        <v>4.0</v>
      </c>
      <c r="Z754" s="16">
        <v>5.0</v>
      </c>
      <c r="AA754" s="16">
        <v>5.0</v>
      </c>
      <c r="AB754" s="16">
        <v>5.0</v>
      </c>
      <c r="AC754" s="16">
        <v>4.0</v>
      </c>
      <c r="AD754" s="38">
        <v>13.0</v>
      </c>
      <c r="AE754" s="38">
        <v>14.0</v>
      </c>
      <c r="AF754" s="38">
        <v>20.0</v>
      </c>
      <c r="AG754" s="38" t="s">
        <v>1476</v>
      </c>
      <c r="AI754" s="18" t="s">
        <v>638</v>
      </c>
    </row>
    <row r="755">
      <c r="A755" s="11"/>
      <c r="B755" s="12" t="s">
        <v>34</v>
      </c>
      <c r="C755" s="12" t="s">
        <v>65</v>
      </c>
      <c r="D755" s="12" t="s">
        <v>83</v>
      </c>
      <c r="E755" s="12" t="s">
        <v>632</v>
      </c>
      <c r="F755" s="13" t="s">
        <v>633</v>
      </c>
      <c r="G755" s="12" t="s">
        <v>68</v>
      </c>
      <c r="H755" s="12" t="s">
        <v>634</v>
      </c>
      <c r="I755" s="12" t="s">
        <v>635</v>
      </c>
      <c r="J755" s="17" t="s">
        <v>658</v>
      </c>
      <c r="K755" s="17" t="s">
        <v>658</v>
      </c>
      <c r="L755" s="17" t="s">
        <v>193</v>
      </c>
      <c r="M755" s="17">
        <v>35.0</v>
      </c>
      <c r="N755" s="20">
        <v>45985.0</v>
      </c>
      <c r="O755" s="17" t="s">
        <v>428</v>
      </c>
      <c r="P755" s="16">
        <v>4.0</v>
      </c>
      <c r="Q755" s="16">
        <v>4.0</v>
      </c>
      <c r="R755" s="16">
        <v>5.0</v>
      </c>
      <c r="S755" s="16">
        <v>5.0</v>
      </c>
      <c r="T755" s="16">
        <v>5.0</v>
      </c>
      <c r="U755" s="16">
        <v>5.0</v>
      </c>
      <c r="V755" s="16">
        <v>5.0</v>
      </c>
      <c r="W755" s="16">
        <v>5.0</v>
      </c>
      <c r="X755" s="16">
        <v>5.0</v>
      </c>
      <c r="Y755" s="16">
        <v>5.0</v>
      </c>
      <c r="Z755" s="16">
        <v>5.0</v>
      </c>
      <c r="AA755" s="16">
        <v>4.0</v>
      </c>
      <c r="AB755" s="16">
        <v>5.0</v>
      </c>
      <c r="AC755" s="16">
        <v>5.0</v>
      </c>
      <c r="AD755" s="38">
        <v>14.0</v>
      </c>
      <c r="AE755" s="38">
        <v>16.0</v>
      </c>
      <c r="AF755" s="38">
        <v>20.0</v>
      </c>
      <c r="AG755" s="38" t="s">
        <v>1477</v>
      </c>
      <c r="AI755" s="18" t="s">
        <v>638</v>
      </c>
    </row>
    <row r="756">
      <c r="A756" s="11"/>
      <c r="B756" s="12" t="s">
        <v>34</v>
      </c>
      <c r="C756" s="12" t="s">
        <v>65</v>
      </c>
      <c r="D756" s="12" t="s">
        <v>83</v>
      </c>
      <c r="E756" s="12" t="s">
        <v>632</v>
      </c>
      <c r="F756" s="13" t="s">
        <v>633</v>
      </c>
      <c r="G756" s="12" t="s">
        <v>68</v>
      </c>
      <c r="H756" s="12" t="s">
        <v>634</v>
      </c>
      <c r="I756" s="12" t="s">
        <v>635</v>
      </c>
      <c r="J756" s="17" t="s">
        <v>639</v>
      </c>
      <c r="K756" s="17" t="s">
        <v>639</v>
      </c>
      <c r="L756" s="17" t="s">
        <v>193</v>
      </c>
      <c r="M756" s="17">
        <v>28.0</v>
      </c>
      <c r="N756" s="20">
        <v>45985.0</v>
      </c>
      <c r="O756" s="17" t="s">
        <v>428</v>
      </c>
      <c r="P756" s="16">
        <v>4.0</v>
      </c>
      <c r="Q756" s="16">
        <v>4.0</v>
      </c>
      <c r="R756" s="16">
        <v>3.0</v>
      </c>
      <c r="S756" s="16">
        <v>3.0</v>
      </c>
      <c r="T756" s="16">
        <v>5.0</v>
      </c>
      <c r="U756" s="16">
        <v>3.0</v>
      </c>
      <c r="V756" s="16">
        <v>3.0</v>
      </c>
      <c r="W756" s="16">
        <v>3.0</v>
      </c>
      <c r="X756" s="16">
        <v>3.0</v>
      </c>
      <c r="Y756" s="16">
        <v>3.0</v>
      </c>
      <c r="Z756" s="16">
        <v>5.0</v>
      </c>
      <c r="AA756" s="16">
        <v>4.0</v>
      </c>
      <c r="AB756" s="16">
        <v>5.0</v>
      </c>
      <c r="AC756" s="16">
        <v>3.0</v>
      </c>
      <c r="AD756" s="38">
        <v>14.0</v>
      </c>
      <c r="AE756" s="38">
        <v>12.0</v>
      </c>
      <c r="AF756" s="38">
        <v>16.0</v>
      </c>
      <c r="AG756" s="38" t="s">
        <v>1478</v>
      </c>
      <c r="AI756" s="18" t="s">
        <v>638</v>
      </c>
    </row>
    <row r="757">
      <c r="A757" s="11"/>
      <c r="B757" s="12" t="s">
        <v>34</v>
      </c>
      <c r="C757" s="12" t="s">
        <v>65</v>
      </c>
      <c r="D757" s="12" t="s">
        <v>83</v>
      </c>
      <c r="E757" s="12" t="s">
        <v>632</v>
      </c>
      <c r="F757" s="13" t="s">
        <v>633</v>
      </c>
      <c r="G757" s="12" t="s">
        <v>68</v>
      </c>
      <c r="H757" s="12" t="s">
        <v>634</v>
      </c>
      <c r="I757" s="12" t="s">
        <v>635</v>
      </c>
      <c r="J757" s="17" t="s">
        <v>1479</v>
      </c>
      <c r="K757" s="17" t="s">
        <v>1479</v>
      </c>
      <c r="L757" s="17" t="s">
        <v>193</v>
      </c>
      <c r="M757" s="17">
        <v>24.0</v>
      </c>
      <c r="N757" s="20">
        <v>45985.0</v>
      </c>
      <c r="O757" s="17" t="s">
        <v>428</v>
      </c>
      <c r="P757" s="16">
        <v>4.0</v>
      </c>
      <c r="Q757" s="16">
        <v>4.0</v>
      </c>
      <c r="R757" s="16">
        <v>4.0</v>
      </c>
      <c r="S757" s="16">
        <v>4.0</v>
      </c>
      <c r="T757" s="16">
        <v>5.0</v>
      </c>
      <c r="U757" s="16">
        <v>4.0</v>
      </c>
      <c r="V757" s="16">
        <v>4.0</v>
      </c>
      <c r="W757" s="16">
        <v>4.0</v>
      </c>
      <c r="X757" s="16">
        <v>4.0</v>
      </c>
      <c r="Y757" s="16">
        <v>4.0</v>
      </c>
      <c r="Z757" s="16">
        <v>5.0</v>
      </c>
      <c r="AA757" s="16">
        <v>4.0</v>
      </c>
      <c r="AB757" s="16">
        <v>5.0</v>
      </c>
      <c r="AC757" s="16">
        <v>4.0</v>
      </c>
      <c r="AD757" s="38">
        <v>14.0</v>
      </c>
      <c r="AE757" s="38">
        <v>14.0</v>
      </c>
      <c r="AF757" s="38">
        <v>18.0</v>
      </c>
      <c r="AG757" s="38" t="s">
        <v>1480</v>
      </c>
      <c r="AI757" s="18" t="s">
        <v>638</v>
      </c>
    </row>
    <row r="758">
      <c r="A758" s="11"/>
      <c r="B758" s="12" t="s">
        <v>34</v>
      </c>
      <c r="C758" s="12" t="s">
        <v>65</v>
      </c>
      <c r="D758" s="12" t="s">
        <v>83</v>
      </c>
      <c r="E758" s="12" t="s">
        <v>632</v>
      </c>
      <c r="F758" s="13" t="s">
        <v>633</v>
      </c>
      <c r="G758" s="12" t="s">
        <v>68</v>
      </c>
      <c r="H758" s="12" t="s">
        <v>634</v>
      </c>
      <c r="I758" s="12" t="s">
        <v>635</v>
      </c>
      <c r="J758" s="17" t="s">
        <v>1481</v>
      </c>
      <c r="K758" s="17" t="s">
        <v>1481</v>
      </c>
      <c r="L758" s="17" t="s">
        <v>193</v>
      </c>
      <c r="M758" s="17">
        <v>22.0</v>
      </c>
      <c r="N758" s="20">
        <v>45985.0</v>
      </c>
      <c r="O758" s="17" t="s">
        <v>428</v>
      </c>
      <c r="P758" s="16">
        <v>4.0</v>
      </c>
      <c r="Q758" s="16">
        <v>4.0</v>
      </c>
      <c r="R758" s="16">
        <v>3.0</v>
      </c>
      <c r="S758" s="16">
        <v>3.0</v>
      </c>
      <c r="T758" s="16">
        <v>5.0</v>
      </c>
      <c r="U758" s="16">
        <v>4.0</v>
      </c>
      <c r="V758" s="16">
        <v>4.0</v>
      </c>
      <c r="W758" s="16">
        <v>3.0</v>
      </c>
      <c r="X758" s="16">
        <v>4.0</v>
      </c>
      <c r="Y758" s="16">
        <v>4.0</v>
      </c>
      <c r="Z758" s="16">
        <v>5.0</v>
      </c>
      <c r="AA758" s="16">
        <v>4.0</v>
      </c>
      <c r="AB758" s="16">
        <v>5.0</v>
      </c>
      <c r="AC758" s="16">
        <v>4.0</v>
      </c>
      <c r="AD758" s="38">
        <v>14.0</v>
      </c>
      <c r="AE758" s="38">
        <v>13.0</v>
      </c>
      <c r="AF758" s="38">
        <v>18.0</v>
      </c>
      <c r="AG758" s="38" t="s">
        <v>1482</v>
      </c>
      <c r="AI758" s="18" t="s">
        <v>638</v>
      </c>
    </row>
    <row r="759">
      <c r="A759" s="11"/>
      <c r="B759" s="12" t="s">
        <v>34</v>
      </c>
      <c r="C759" s="12" t="s">
        <v>65</v>
      </c>
      <c r="D759" s="12" t="s">
        <v>83</v>
      </c>
      <c r="E759" s="12" t="s">
        <v>632</v>
      </c>
      <c r="F759" s="13" t="s">
        <v>633</v>
      </c>
      <c r="G759" s="12" t="s">
        <v>68</v>
      </c>
      <c r="H759" s="12" t="s">
        <v>634</v>
      </c>
      <c r="I759" s="12" t="s">
        <v>635</v>
      </c>
      <c r="J759" s="17" t="s">
        <v>650</v>
      </c>
      <c r="K759" s="17" t="s">
        <v>650</v>
      </c>
      <c r="L759" s="17" t="s">
        <v>193</v>
      </c>
      <c r="M759" s="17">
        <v>26.0</v>
      </c>
      <c r="N759" s="20">
        <v>45985.0</v>
      </c>
      <c r="O759" s="17" t="s">
        <v>428</v>
      </c>
      <c r="P759" s="16">
        <v>4.0</v>
      </c>
      <c r="Q759" s="16">
        <v>4.0</v>
      </c>
      <c r="R759" s="16">
        <v>3.0</v>
      </c>
      <c r="S759" s="16">
        <v>3.0</v>
      </c>
      <c r="T759" s="16">
        <v>5.0</v>
      </c>
      <c r="U759" s="16">
        <v>5.0</v>
      </c>
      <c r="V759" s="16">
        <v>5.0</v>
      </c>
      <c r="W759" s="16">
        <v>3.0</v>
      </c>
      <c r="X759" s="16">
        <v>4.0</v>
      </c>
      <c r="Y759" s="16">
        <v>4.0</v>
      </c>
      <c r="Z759" s="16">
        <v>5.0</v>
      </c>
      <c r="AA759" s="16">
        <v>4.0</v>
      </c>
      <c r="AB759" s="16">
        <v>5.0</v>
      </c>
      <c r="AC759" s="16">
        <v>4.0</v>
      </c>
      <c r="AD759" s="38">
        <v>14.0</v>
      </c>
      <c r="AE759" s="38">
        <v>13.0</v>
      </c>
      <c r="AF759" s="38">
        <v>20.0</v>
      </c>
      <c r="AG759" s="38" t="s">
        <v>1483</v>
      </c>
      <c r="AI759" s="18" t="s">
        <v>638</v>
      </c>
    </row>
    <row r="760">
      <c r="A760" s="11"/>
      <c r="B760" s="12" t="s">
        <v>34</v>
      </c>
      <c r="C760" s="12" t="s">
        <v>65</v>
      </c>
      <c r="D760" s="12" t="s">
        <v>83</v>
      </c>
      <c r="E760" s="12" t="s">
        <v>632</v>
      </c>
      <c r="F760" s="13" t="s">
        <v>633</v>
      </c>
      <c r="G760" s="12" t="s">
        <v>68</v>
      </c>
      <c r="H760" s="12" t="s">
        <v>634</v>
      </c>
      <c r="I760" s="12" t="s">
        <v>635</v>
      </c>
      <c r="J760" s="17" t="s">
        <v>648</v>
      </c>
      <c r="K760" s="17" t="s">
        <v>648</v>
      </c>
      <c r="L760" s="17" t="s">
        <v>193</v>
      </c>
      <c r="M760" s="40"/>
      <c r="N760" s="20">
        <v>45985.0</v>
      </c>
      <c r="O760" s="17" t="s">
        <v>428</v>
      </c>
      <c r="P760" s="16">
        <v>5.0</v>
      </c>
      <c r="Q760" s="16">
        <v>5.0</v>
      </c>
      <c r="R760" s="16">
        <v>3.0</v>
      </c>
      <c r="S760" s="16">
        <v>3.0</v>
      </c>
      <c r="T760" s="16">
        <v>5.0</v>
      </c>
      <c r="U760" s="16">
        <v>5.0</v>
      </c>
      <c r="V760" s="16">
        <v>5.0</v>
      </c>
      <c r="W760" s="16">
        <v>3.0</v>
      </c>
      <c r="X760" s="16">
        <v>3.0</v>
      </c>
      <c r="Y760" s="16">
        <v>3.0</v>
      </c>
      <c r="Z760" s="16">
        <v>5.0</v>
      </c>
      <c r="AA760" s="16">
        <v>5.0</v>
      </c>
      <c r="AB760" s="16">
        <v>5.0</v>
      </c>
      <c r="AC760" s="16">
        <v>3.0</v>
      </c>
      <c r="AD760" s="38">
        <v>13.0</v>
      </c>
      <c r="AE760" s="38">
        <v>12.0</v>
      </c>
      <c r="AF760" s="38">
        <v>20.0</v>
      </c>
      <c r="AG760" s="38"/>
      <c r="AI760" s="18" t="s">
        <v>638</v>
      </c>
    </row>
    <row r="761">
      <c r="A761" s="11"/>
      <c r="B761" s="12" t="s">
        <v>34</v>
      </c>
      <c r="C761" s="12" t="s">
        <v>65</v>
      </c>
      <c r="D761" s="12" t="s">
        <v>83</v>
      </c>
      <c r="E761" s="12" t="s">
        <v>632</v>
      </c>
      <c r="F761" s="13" t="s">
        <v>633</v>
      </c>
      <c r="G761" s="12" t="s">
        <v>68</v>
      </c>
      <c r="H761" s="12" t="s">
        <v>634</v>
      </c>
      <c r="I761" s="12" t="s">
        <v>635</v>
      </c>
      <c r="J761" s="17" t="s">
        <v>656</v>
      </c>
      <c r="K761" s="17" t="s">
        <v>656</v>
      </c>
      <c r="L761" s="17" t="s">
        <v>193</v>
      </c>
      <c r="M761" s="17">
        <v>22.0</v>
      </c>
      <c r="N761" s="20">
        <v>45985.0</v>
      </c>
      <c r="O761" s="17" t="s">
        <v>428</v>
      </c>
      <c r="P761" s="16">
        <v>4.0</v>
      </c>
      <c r="Q761" s="16">
        <v>4.0</v>
      </c>
      <c r="R761" s="16">
        <v>5.0</v>
      </c>
      <c r="S761" s="16">
        <v>5.0</v>
      </c>
      <c r="T761" s="16">
        <v>5.0</v>
      </c>
      <c r="U761" s="16">
        <v>5.0</v>
      </c>
      <c r="V761" s="16">
        <v>5.0</v>
      </c>
      <c r="W761" s="16">
        <v>5.0</v>
      </c>
      <c r="X761" s="16">
        <v>5.0</v>
      </c>
      <c r="Y761" s="16">
        <v>5.0</v>
      </c>
      <c r="Z761" s="16">
        <v>5.0</v>
      </c>
      <c r="AA761" s="16">
        <v>4.0</v>
      </c>
      <c r="AB761" s="16">
        <v>5.0</v>
      </c>
      <c r="AC761" s="16">
        <v>5.0</v>
      </c>
      <c r="AD761" s="38">
        <v>14.0</v>
      </c>
      <c r="AE761" s="38">
        <v>16.0</v>
      </c>
      <c r="AF761" s="38">
        <v>20.0</v>
      </c>
      <c r="AG761" s="38" t="s">
        <v>1484</v>
      </c>
      <c r="AI761" s="18" t="s">
        <v>638</v>
      </c>
    </row>
    <row r="762">
      <c r="A762" s="11"/>
      <c r="B762" s="12" t="s">
        <v>34</v>
      </c>
      <c r="C762" s="12" t="s">
        <v>65</v>
      </c>
      <c r="D762" s="12" t="s">
        <v>83</v>
      </c>
      <c r="E762" s="12" t="s">
        <v>632</v>
      </c>
      <c r="F762" s="13" t="s">
        <v>633</v>
      </c>
      <c r="G762" s="12" t="s">
        <v>68</v>
      </c>
      <c r="H762" s="12" t="s">
        <v>634</v>
      </c>
      <c r="I762" s="12" t="s">
        <v>635</v>
      </c>
      <c r="J762" s="17" t="s">
        <v>636</v>
      </c>
      <c r="K762" s="17" t="s">
        <v>636</v>
      </c>
      <c r="L762" s="17" t="s">
        <v>193</v>
      </c>
      <c r="M762" s="17">
        <v>26.0</v>
      </c>
      <c r="N762" s="20">
        <v>45985.0</v>
      </c>
      <c r="O762" s="17" t="s">
        <v>428</v>
      </c>
      <c r="P762" s="16">
        <v>4.0</v>
      </c>
      <c r="Q762" s="16">
        <v>4.0</v>
      </c>
      <c r="R762" s="16">
        <v>5.0</v>
      </c>
      <c r="S762" s="16">
        <v>5.0</v>
      </c>
      <c r="T762" s="16">
        <v>3.0</v>
      </c>
      <c r="U762" s="16">
        <v>5.0</v>
      </c>
      <c r="V762" s="16">
        <v>5.0</v>
      </c>
      <c r="W762" s="16">
        <v>5.0</v>
      </c>
      <c r="X762" s="16">
        <v>5.0</v>
      </c>
      <c r="Y762" s="16">
        <v>5.0</v>
      </c>
      <c r="Z762" s="16">
        <v>3.0</v>
      </c>
      <c r="AA762" s="16">
        <v>4.0</v>
      </c>
      <c r="AB762" s="16">
        <v>3.0</v>
      </c>
      <c r="AC762" s="16">
        <v>5.0</v>
      </c>
      <c r="AD762" s="38">
        <v>14.0</v>
      </c>
      <c r="AE762" s="38">
        <v>18.0</v>
      </c>
      <c r="AF762" s="38">
        <v>16.0</v>
      </c>
      <c r="AG762" s="38" t="s">
        <v>1485</v>
      </c>
      <c r="AI762" s="18" t="s">
        <v>638</v>
      </c>
    </row>
    <row r="763">
      <c r="A763" s="11"/>
      <c r="B763" s="12" t="s">
        <v>34</v>
      </c>
      <c r="C763" s="12" t="s">
        <v>65</v>
      </c>
      <c r="D763" s="12" t="s">
        <v>83</v>
      </c>
      <c r="E763" s="12" t="s">
        <v>632</v>
      </c>
      <c r="F763" s="13" t="s">
        <v>633</v>
      </c>
      <c r="G763" s="12" t="s">
        <v>68</v>
      </c>
      <c r="H763" s="12" t="s">
        <v>634</v>
      </c>
      <c r="I763" s="12" t="s">
        <v>635</v>
      </c>
      <c r="J763" s="17" t="s">
        <v>1486</v>
      </c>
      <c r="K763" s="17" t="s">
        <v>1486</v>
      </c>
      <c r="L763" s="17" t="s">
        <v>193</v>
      </c>
      <c r="M763" s="17">
        <v>26.0</v>
      </c>
      <c r="N763" s="20">
        <v>45985.0</v>
      </c>
      <c r="O763" s="17" t="s">
        <v>428</v>
      </c>
      <c r="P763" s="16">
        <v>4.0</v>
      </c>
      <c r="Q763" s="16">
        <v>4.0</v>
      </c>
      <c r="R763" s="16">
        <v>5.0</v>
      </c>
      <c r="S763" s="16">
        <v>5.0</v>
      </c>
      <c r="T763" s="16">
        <v>5.0</v>
      </c>
      <c r="U763" s="16">
        <v>4.0</v>
      </c>
      <c r="V763" s="16">
        <v>4.0</v>
      </c>
      <c r="W763" s="16">
        <v>5.0</v>
      </c>
      <c r="X763" s="16">
        <v>5.0</v>
      </c>
      <c r="Y763" s="16">
        <v>5.0</v>
      </c>
      <c r="Z763" s="16">
        <v>5.0</v>
      </c>
      <c r="AA763" s="16">
        <v>4.0</v>
      </c>
      <c r="AB763" s="16">
        <v>5.0</v>
      </c>
      <c r="AC763" s="16">
        <v>5.0</v>
      </c>
      <c r="AD763" s="38">
        <v>14.0</v>
      </c>
      <c r="AE763" s="38">
        <v>16.0</v>
      </c>
      <c r="AF763" s="38">
        <v>18.0</v>
      </c>
      <c r="AG763" s="38" t="s">
        <v>1487</v>
      </c>
      <c r="AI763" s="18" t="s">
        <v>638</v>
      </c>
    </row>
    <row r="764">
      <c r="A764" s="11"/>
      <c r="B764" s="12" t="s">
        <v>34</v>
      </c>
      <c r="C764" s="12" t="s">
        <v>65</v>
      </c>
      <c r="D764" s="12" t="s">
        <v>83</v>
      </c>
      <c r="E764" s="12" t="s">
        <v>632</v>
      </c>
      <c r="F764" s="13" t="s">
        <v>633</v>
      </c>
      <c r="G764" s="12" t="s">
        <v>68</v>
      </c>
      <c r="H764" s="12" t="s">
        <v>634</v>
      </c>
      <c r="I764" s="12" t="s">
        <v>635</v>
      </c>
      <c r="J764" s="17" t="s">
        <v>643</v>
      </c>
      <c r="K764" s="17" t="s">
        <v>643</v>
      </c>
      <c r="L764" s="17" t="s">
        <v>193</v>
      </c>
      <c r="M764" s="40"/>
      <c r="N764" s="20">
        <v>45985.0</v>
      </c>
      <c r="O764" s="17" t="s">
        <v>428</v>
      </c>
      <c r="P764" s="16">
        <v>5.0</v>
      </c>
      <c r="Q764" s="16">
        <v>5.0</v>
      </c>
      <c r="R764" s="16">
        <v>5.0</v>
      </c>
      <c r="S764" s="16">
        <v>5.0</v>
      </c>
      <c r="T764" s="16">
        <v>3.0</v>
      </c>
      <c r="U764" s="16">
        <v>5.0</v>
      </c>
      <c r="V764" s="16">
        <v>5.0</v>
      </c>
      <c r="W764" s="16">
        <v>5.0</v>
      </c>
      <c r="X764" s="16">
        <v>5.0</v>
      </c>
      <c r="Y764" s="16">
        <v>5.0</v>
      </c>
      <c r="Z764" s="16">
        <v>3.0</v>
      </c>
      <c r="AA764" s="16">
        <v>5.0</v>
      </c>
      <c r="AB764" s="16">
        <v>3.0</v>
      </c>
      <c r="AC764" s="16">
        <v>5.0</v>
      </c>
      <c r="AD764" s="38">
        <v>13.0</v>
      </c>
      <c r="AE764" s="38">
        <v>18.0</v>
      </c>
      <c r="AF764" s="38">
        <v>16.0</v>
      </c>
      <c r="AG764" s="38" t="s">
        <v>1488</v>
      </c>
      <c r="AI764" s="18" t="s">
        <v>638</v>
      </c>
    </row>
    <row r="765">
      <c r="A765" s="11"/>
      <c r="B765" s="12" t="s">
        <v>34</v>
      </c>
      <c r="C765" s="12" t="s">
        <v>65</v>
      </c>
      <c r="D765" s="12" t="s">
        <v>83</v>
      </c>
      <c r="E765" s="12" t="s">
        <v>632</v>
      </c>
      <c r="F765" s="13" t="s">
        <v>633</v>
      </c>
      <c r="G765" s="12" t="s">
        <v>68</v>
      </c>
      <c r="H765" s="12" t="s">
        <v>634</v>
      </c>
      <c r="I765" s="12" t="s">
        <v>635</v>
      </c>
      <c r="J765" s="46" t="s">
        <v>1489</v>
      </c>
      <c r="K765" s="46" t="s">
        <v>1489</v>
      </c>
      <c r="L765" s="17" t="s">
        <v>193</v>
      </c>
      <c r="M765" s="17">
        <v>40.0</v>
      </c>
      <c r="N765" s="20">
        <v>45985.0</v>
      </c>
      <c r="O765" s="17" t="s">
        <v>428</v>
      </c>
      <c r="P765" s="16">
        <v>4.0</v>
      </c>
      <c r="Q765" s="16">
        <v>4.0</v>
      </c>
      <c r="R765" s="16">
        <v>4.0</v>
      </c>
      <c r="S765" s="16">
        <v>4.0</v>
      </c>
      <c r="T765" s="16">
        <v>4.0</v>
      </c>
      <c r="U765" s="16">
        <v>4.0</v>
      </c>
      <c r="V765" s="16">
        <v>4.0</v>
      </c>
      <c r="W765" s="16">
        <v>4.0</v>
      </c>
      <c r="X765" s="16">
        <v>4.0</v>
      </c>
      <c r="Y765" s="16">
        <v>4.0</v>
      </c>
      <c r="Z765" s="16">
        <v>4.0</v>
      </c>
      <c r="AA765" s="16">
        <v>4.0</v>
      </c>
      <c r="AB765" s="16">
        <v>4.0</v>
      </c>
      <c r="AC765" s="16">
        <v>4.0</v>
      </c>
      <c r="AD765" s="38">
        <v>14.0</v>
      </c>
      <c r="AE765" s="38">
        <v>15.0</v>
      </c>
      <c r="AF765" s="38">
        <v>16.0</v>
      </c>
      <c r="AG765" s="38" t="s">
        <v>1490</v>
      </c>
      <c r="AI765" s="18" t="s">
        <v>638</v>
      </c>
    </row>
    <row r="766">
      <c r="A766" s="11"/>
      <c r="B766" s="12"/>
      <c r="C766" s="12"/>
      <c r="D766" s="12"/>
      <c r="E766" s="12"/>
      <c r="F766" s="13"/>
      <c r="G766" s="12"/>
      <c r="H766" s="12"/>
      <c r="I766" s="12"/>
      <c r="J766" s="2" t="s">
        <v>200</v>
      </c>
      <c r="K766" s="2" t="s">
        <v>200</v>
      </c>
      <c r="L766" s="40"/>
      <c r="M766" s="40"/>
      <c r="N766" s="40"/>
      <c r="O766" s="2"/>
      <c r="P766" s="42"/>
      <c r="Q766" s="42"/>
      <c r="R766" s="42"/>
      <c r="S766" s="42"/>
      <c r="T766" s="42"/>
      <c r="U766" s="42"/>
      <c r="V766" s="42"/>
      <c r="W766" s="42"/>
      <c r="X766" s="42"/>
      <c r="Y766" s="42"/>
      <c r="Z766" s="42"/>
      <c r="AA766" s="42"/>
      <c r="AB766" s="42"/>
      <c r="AC766" s="42"/>
      <c r="AD766" s="37" t="s">
        <v>200</v>
      </c>
      <c r="AE766" s="37" t="s">
        <v>200</v>
      </c>
      <c r="AF766" s="37" t="s">
        <v>200</v>
      </c>
      <c r="AG766" s="37"/>
      <c r="AI766" s="24"/>
    </row>
    <row r="767">
      <c r="A767" s="11"/>
      <c r="B767" s="23"/>
      <c r="C767" s="23"/>
      <c r="D767" s="23"/>
      <c r="E767" s="23"/>
      <c r="F767" s="1"/>
      <c r="G767" s="23"/>
      <c r="H767" s="23"/>
      <c r="I767" s="23"/>
      <c r="J767" s="2" t="s">
        <v>200</v>
      </c>
      <c r="K767" s="2" t="s">
        <v>200</v>
      </c>
      <c r="L767" s="40"/>
      <c r="M767" s="40"/>
      <c r="N767" s="40"/>
      <c r="O767" s="2"/>
      <c r="P767" s="42"/>
      <c r="Q767" s="42"/>
      <c r="R767" s="42"/>
      <c r="S767" s="42"/>
      <c r="T767" s="42"/>
      <c r="U767" s="42"/>
      <c r="V767" s="42"/>
      <c r="W767" s="42"/>
      <c r="X767" s="42"/>
      <c r="Y767" s="42"/>
      <c r="Z767" s="42"/>
      <c r="AA767" s="42"/>
      <c r="AB767" s="42"/>
      <c r="AC767" s="42"/>
      <c r="AD767" s="37" t="s">
        <v>200</v>
      </c>
      <c r="AE767" s="37" t="s">
        <v>200</v>
      </c>
      <c r="AF767" s="37" t="s">
        <v>200</v>
      </c>
      <c r="AG767" s="37"/>
      <c r="AI767" s="24"/>
    </row>
    <row r="768">
      <c r="A768" s="11"/>
      <c r="B768" s="23"/>
      <c r="C768" s="23"/>
      <c r="D768" s="23"/>
      <c r="E768" s="23"/>
      <c r="F768" s="1"/>
      <c r="G768" s="23"/>
      <c r="H768" s="23"/>
      <c r="I768" s="23"/>
      <c r="J768" s="2" t="s">
        <v>200</v>
      </c>
      <c r="K768" s="2" t="s">
        <v>200</v>
      </c>
      <c r="L768" s="40"/>
      <c r="M768" s="40"/>
      <c r="N768" s="40"/>
      <c r="O768" s="2"/>
      <c r="P768" s="42"/>
      <c r="Q768" s="42"/>
      <c r="R768" s="42"/>
      <c r="S768" s="42"/>
      <c r="T768" s="42"/>
      <c r="U768" s="42"/>
      <c r="V768" s="42"/>
      <c r="W768" s="42"/>
      <c r="X768" s="42"/>
      <c r="Y768" s="42"/>
      <c r="Z768" s="42"/>
      <c r="AA768" s="42"/>
      <c r="AB768" s="42"/>
      <c r="AC768" s="42"/>
      <c r="AD768" s="37" t="s">
        <v>200</v>
      </c>
      <c r="AE768" s="37" t="s">
        <v>200</v>
      </c>
      <c r="AF768" s="37" t="s">
        <v>200</v>
      </c>
      <c r="AG768" s="37"/>
      <c r="AI768" s="24"/>
    </row>
    <row r="769">
      <c r="A769" s="11"/>
      <c r="B769" s="23"/>
      <c r="C769" s="23"/>
      <c r="D769" s="23"/>
      <c r="E769" s="23"/>
      <c r="F769" s="1"/>
      <c r="G769" s="23"/>
      <c r="H769" s="23"/>
      <c r="I769" s="23"/>
      <c r="J769" s="2" t="s">
        <v>200</v>
      </c>
      <c r="K769" s="2" t="s">
        <v>200</v>
      </c>
      <c r="L769" s="40"/>
      <c r="M769" s="40"/>
      <c r="N769" s="40"/>
      <c r="O769" s="2"/>
      <c r="P769" s="42"/>
      <c r="Q769" s="42"/>
      <c r="R769" s="42"/>
      <c r="S769" s="42"/>
      <c r="T769" s="42"/>
      <c r="U769" s="42"/>
      <c r="V769" s="42"/>
      <c r="W769" s="42"/>
      <c r="X769" s="42"/>
      <c r="Y769" s="42"/>
      <c r="Z769" s="42"/>
      <c r="AA769" s="42"/>
      <c r="AB769" s="42"/>
      <c r="AC769" s="42"/>
      <c r="AD769" s="37" t="s">
        <v>200</v>
      </c>
      <c r="AE769" s="37" t="s">
        <v>200</v>
      </c>
      <c r="AF769" s="37" t="s">
        <v>200</v>
      </c>
      <c r="AG769" s="37"/>
      <c r="AI769" s="24"/>
    </row>
    <row r="770">
      <c r="A770" s="11"/>
      <c r="B770" s="23"/>
      <c r="C770" s="23"/>
      <c r="D770" s="23"/>
      <c r="E770" s="23"/>
      <c r="F770" s="1"/>
      <c r="G770" s="23"/>
      <c r="H770" s="23"/>
      <c r="I770" s="23"/>
      <c r="J770" s="2" t="s">
        <v>200</v>
      </c>
      <c r="K770" s="2" t="s">
        <v>200</v>
      </c>
      <c r="L770" s="40"/>
      <c r="M770" s="40"/>
      <c r="N770" s="40"/>
      <c r="O770" s="2"/>
      <c r="P770" s="42"/>
      <c r="Q770" s="42"/>
      <c r="R770" s="42"/>
      <c r="S770" s="42"/>
      <c r="T770" s="42"/>
      <c r="U770" s="42"/>
      <c r="V770" s="42"/>
      <c r="W770" s="42"/>
      <c r="X770" s="42"/>
      <c r="Y770" s="42"/>
      <c r="Z770" s="42"/>
      <c r="AA770" s="42"/>
      <c r="AB770" s="42"/>
      <c r="AC770" s="42"/>
      <c r="AD770" s="37" t="s">
        <v>200</v>
      </c>
      <c r="AE770" s="37" t="s">
        <v>200</v>
      </c>
      <c r="AF770" s="37" t="s">
        <v>200</v>
      </c>
      <c r="AG770" s="37"/>
      <c r="AI770" s="24"/>
    </row>
    <row r="771">
      <c r="A771" s="11"/>
      <c r="B771" s="23"/>
      <c r="C771" s="23"/>
      <c r="D771" s="23"/>
      <c r="E771" s="23"/>
      <c r="F771" s="1"/>
      <c r="G771" s="23"/>
      <c r="H771" s="23"/>
      <c r="I771" s="23"/>
      <c r="J771" s="2" t="s">
        <v>200</v>
      </c>
      <c r="K771" s="2" t="s">
        <v>200</v>
      </c>
      <c r="L771" s="40"/>
      <c r="M771" s="40"/>
      <c r="N771" s="40"/>
      <c r="O771" s="2"/>
      <c r="P771" s="42"/>
      <c r="Q771" s="42"/>
      <c r="R771" s="42"/>
      <c r="S771" s="42"/>
      <c r="T771" s="42"/>
      <c r="U771" s="42"/>
      <c r="V771" s="42"/>
      <c r="W771" s="42"/>
      <c r="X771" s="42"/>
      <c r="Y771" s="42"/>
      <c r="Z771" s="42"/>
      <c r="AA771" s="42"/>
      <c r="AB771" s="42"/>
      <c r="AC771" s="42"/>
      <c r="AD771" s="37" t="s">
        <v>200</v>
      </c>
      <c r="AE771" s="37" t="s">
        <v>200</v>
      </c>
      <c r="AF771" s="37" t="s">
        <v>200</v>
      </c>
      <c r="AG771" s="37"/>
      <c r="AI771" s="24"/>
    </row>
    <row r="772">
      <c r="A772" s="11"/>
      <c r="B772" s="23"/>
      <c r="C772" s="23"/>
      <c r="D772" s="23"/>
      <c r="E772" s="23"/>
      <c r="F772" s="1"/>
      <c r="G772" s="23"/>
      <c r="H772" s="23"/>
      <c r="I772" s="23"/>
      <c r="J772" s="2" t="s">
        <v>200</v>
      </c>
      <c r="K772" s="2" t="s">
        <v>200</v>
      </c>
      <c r="L772" s="40"/>
      <c r="M772" s="40"/>
      <c r="N772" s="40"/>
      <c r="O772" s="2"/>
      <c r="P772" s="42"/>
      <c r="Q772" s="42"/>
      <c r="R772" s="42"/>
      <c r="S772" s="42"/>
      <c r="T772" s="42"/>
      <c r="U772" s="42"/>
      <c r="V772" s="42"/>
      <c r="W772" s="42"/>
      <c r="X772" s="42"/>
      <c r="Y772" s="42"/>
      <c r="Z772" s="42"/>
      <c r="AA772" s="42"/>
      <c r="AB772" s="42"/>
      <c r="AC772" s="42"/>
      <c r="AD772" s="37" t="s">
        <v>200</v>
      </c>
      <c r="AE772" s="37" t="s">
        <v>200</v>
      </c>
      <c r="AF772" s="37" t="s">
        <v>200</v>
      </c>
      <c r="AG772" s="37"/>
      <c r="AI772" s="24"/>
    </row>
    <row r="773">
      <c r="A773" s="11"/>
      <c r="B773" s="23"/>
      <c r="C773" s="23"/>
      <c r="D773" s="23"/>
      <c r="E773" s="23"/>
      <c r="F773" s="1"/>
      <c r="G773" s="23"/>
      <c r="H773" s="23"/>
      <c r="I773" s="23"/>
      <c r="J773" s="2" t="s">
        <v>200</v>
      </c>
      <c r="K773" s="2" t="s">
        <v>200</v>
      </c>
      <c r="L773" s="40"/>
      <c r="M773" s="40"/>
      <c r="N773" s="40"/>
      <c r="O773" s="2"/>
      <c r="P773" s="42"/>
      <c r="Q773" s="42"/>
      <c r="R773" s="42"/>
      <c r="S773" s="42"/>
      <c r="T773" s="42"/>
      <c r="U773" s="42"/>
      <c r="V773" s="42"/>
      <c r="W773" s="42"/>
      <c r="X773" s="42"/>
      <c r="Y773" s="42"/>
      <c r="Z773" s="42"/>
      <c r="AA773" s="42"/>
      <c r="AB773" s="42"/>
      <c r="AC773" s="42"/>
      <c r="AD773" s="37" t="s">
        <v>200</v>
      </c>
      <c r="AE773" s="37" t="s">
        <v>200</v>
      </c>
      <c r="AF773" s="37" t="s">
        <v>200</v>
      </c>
      <c r="AG773" s="37"/>
      <c r="AI773" s="24"/>
    </row>
    <row r="774">
      <c r="A774" s="11"/>
      <c r="B774" s="23"/>
      <c r="C774" s="23"/>
      <c r="D774" s="23"/>
      <c r="E774" s="23"/>
      <c r="F774" s="1"/>
      <c r="G774" s="23"/>
      <c r="H774" s="23"/>
      <c r="I774" s="23"/>
      <c r="J774" s="2" t="s">
        <v>200</v>
      </c>
      <c r="K774" s="2" t="s">
        <v>200</v>
      </c>
      <c r="L774" s="40"/>
      <c r="M774" s="40"/>
      <c r="N774" s="40"/>
      <c r="O774" s="2"/>
      <c r="P774" s="42"/>
      <c r="Q774" s="42"/>
      <c r="R774" s="42"/>
      <c r="S774" s="42"/>
      <c r="T774" s="42"/>
      <c r="U774" s="42"/>
      <c r="V774" s="42"/>
      <c r="W774" s="42"/>
      <c r="X774" s="42"/>
      <c r="Y774" s="42"/>
      <c r="Z774" s="42"/>
      <c r="AA774" s="42"/>
      <c r="AB774" s="42"/>
      <c r="AC774" s="42"/>
      <c r="AD774" s="37" t="s">
        <v>200</v>
      </c>
      <c r="AE774" s="37" t="s">
        <v>200</v>
      </c>
      <c r="AF774" s="37" t="s">
        <v>200</v>
      </c>
      <c r="AG774" s="37"/>
      <c r="AI774" s="24"/>
    </row>
    <row r="775">
      <c r="A775" s="11"/>
      <c r="B775" s="23"/>
      <c r="C775" s="23"/>
      <c r="D775" s="23"/>
      <c r="E775" s="23"/>
      <c r="F775" s="1"/>
      <c r="G775" s="23"/>
      <c r="H775" s="23"/>
      <c r="I775" s="23"/>
      <c r="J775" s="2" t="s">
        <v>200</v>
      </c>
      <c r="K775" s="2" t="s">
        <v>200</v>
      </c>
      <c r="L775" s="40"/>
      <c r="M775" s="40"/>
      <c r="N775" s="40"/>
      <c r="O775" s="2"/>
      <c r="P775" s="42"/>
      <c r="Q775" s="42"/>
      <c r="R775" s="42"/>
      <c r="S775" s="42"/>
      <c r="T775" s="42"/>
      <c r="U775" s="42"/>
      <c r="V775" s="42"/>
      <c r="W775" s="42"/>
      <c r="X775" s="42"/>
      <c r="Y775" s="42"/>
      <c r="Z775" s="42"/>
      <c r="AA775" s="42"/>
      <c r="AB775" s="42"/>
      <c r="AC775" s="42"/>
      <c r="AD775" s="37" t="s">
        <v>200</v>
      </c>
      <c r="AE775" s="37" t="s">
        <v>200</v>
      </c>
      <c r="AF775" s="37" t="s">
        <v>200</v>
      </c>
      <c r="AG775" s="37"/>
      <c r="AI775" s="24"/>
    </row>
    <row r="776">
      <c r="A776" s="11"/>
      <c r="B776" s="23"/>
      <c r="C776" s="23"/>
      <c r="D776" s="23"/>
      <c r="E776" s="23"/>
      <c r="F776" s="1"/>
      <c r="G776" s="23"/>
      <c r="H776" s="23"/>
      <c r="I776" s="23"/>
      <c r="J776" s="2" t="s">
        <v>200</v>
      </c>
      <c r="K776" s="2" t="s">
        <v>200</v>
      </c>
      <c r="L776" s="40"/>
      <c r="M776" s="40"/>
      <c r="N776" s="40"/>
      <c r="O776" s="2"/>
      <c r="P776" s="42"/>
      <c r="Q776" s="42"/>
      <c r="R776" s="42"/>
      <c r="S776" s="42"/>
      <c r="T776" s="42"/>
      <c r="U776" s="42"/>
      <c r="V776" s="42"/>
      <c r="W776" s="42"/>
      <c r="X776" s="42"/>
      <c r="Y776" s="42"/>
      <c r="Z776" s="42"/>
      <c r="AA776" s="42"/>
      <c r="AB776" s="42"/>
      <c r="AC776" s="42"/>
      <c r="AD776" s="37" t="s">
        <v>200</v>
      </c>
      <c r="AE776" s="37" t="s">
        <v>200</v>
      </c>
      <c r="AF776" s="37" t="s">
        <v>200</v>
      </c>
      <c r="AG776" s="37"/>
      <c r="AI776" s="24"/>
    </row>
    <row r="777">
      <c r="A777" s="11"/>
      <c r="B777" s="23"/>
      <c r="C777" s="23"/>
      <c r="D777" s="23"/>
      <c r="E777" s="23"/>
      <c r="F777" s="1"/>
      <c r="G777" s="23"/>
      <c r="H777" s="23"/>
      <c r="I777" s="23"/>
      <c r="J777" s="2" t="s">
        <v>200</v>
      </c>
      <c r="K777" s="2" t="s">
        <v>200</v>
      </c>
      <c r="L777" s="40"/>
      <c r="M777" s="40"/>
      <c r="N777" s="40"/>
      <c r="O777" s="2"/>
      <c r="P777" s="42"/>
      <c r="Q777" s="42"/>
      <c r="R777" s="42"/>
      <c r="S777" s="42"/>
      <c r="T777" s="42"/>
      <c r="U777" s="42"/>
      <c r="V777" s="42"/>
      <c r="W777" s="42"/>
      <c r="X777" s="42"/>
      <c r="Y777" s="42"/>
      <c r="Z777" s="42"/>
      <c r="AA777" s="42"/>
      <c r="AB777" s="42"/>
      <c r="AC777" s="42"/>
      <c r="AD777" s="37" t="s">
        <v>200</v>
      </c>
      <c r="AE777" s="37" t="s">
        <v>200</v>
      </c>
      <c r="AF777" s="37" t="s">
        <v>200</v>
      </c>
      <c r="AG777" s="37"/>
      <c r="AI777" s="24"/>
    </row>
    <row r="778">
      <c r="A778" s="11"/>
      <c r="B778" s="23"/>
      <c r="C778" s="23"/>
      <c r="D778" s="23"/>
      <c r="E778" s="23"/>
      <c r="F778" s="1"/>
      <c r="G778" s="23"/>
      <c r="H778" s="23"/>
      <c r="I778" s="23"/>
      <c r="J778" s="2" t="s">
        <v>200</v>
      </c>
      <c r="K778" s="2" t="s">
        <v>200</v>
      </c>
      <c r="L778" s="40"/>
      <c r="M778" s="40"/>
      <c r="N778" s="40"/>
      <c r="O778" s="2"/>
      <c r="P778" s="42"/>
      <c r="Q778" s="42"/>
      <c r="R778" s="42"/>
      <c r="S778" s="42"/>
      <c r="T778" s="42"/>
      <c r="U778" s="42"/>
      <c r="V778" s="42"/>
      <c r="W778" s="42"/>
      <c r="X778" s="42"/>
      <c r="Y778" s="42"/>
      <c r="Z778" s="42"/>
      <c r="AA778" s="42"/>
      <c r="AB778" s="42"/>
      <c r="AC778" s="42"/>
      <c r="AD778" s="37" t="s">
        <v>200</v>
      </c>
      <c r="AE778" s="37" t="s">
        <v>200</v>
      </c>
      <c r="AF778" s="37" t="s">
        <v>200</v>
      </c>
      <c r="AG778" s="37"/>
      <c r="AI778" s="24"/>
    </row>
    <row r="779">
      <c r="A779" s="11"/>
      <c r="B779" s="23"/>
      <c r="C779" s="23"/>
      <c r="D779" s="23"/>
      <c r="E779" s="23"/>
      <c r="F779" s="1"/>
      <c r="G779" s="23"/>
      <c r="H779" s="23"/>
      <c r="I779" s="23"/>
      <c r="J779" s="2" t="s">
        <v>200</v>
      </c>
      <c r="K779" s="2" t="s">
        <v>200</v>
      </c>
      <c r="L779" s="40"/>
      <c r="M779" s="40"/>
      <c r="N779" s="40"/>
      <c r="O779" s="2"/>
      <c r="P779" s="42"/>
      <c r="Q779" s="42"/>
      <c r="R779" s="42"/>
      <c r="S779" s="42"/>
      <c r="T779" s="42"/>
      <c r="U779" s="42"/>
      <c r="V779" s="42"/>
      <c r="W779" s="42"/>
      <c r="X779" s="42"/>
      <c r="Y779" s="42"/>
      <c r="Z779" s="42"/>
      <c r="AA779" s="42"/>
      <c r="AB779" s="42"/>
      <c r="AC779" s="42"/>
      <c r="AD779" s="37" t="s">
        <v>200</v>
      </c>
      <c r="AE779" s="37" t="s">
        <v>200</v>
      </c>
      <c r="AF779" s="37" t="s">
        <v>200</v>
      </c>
      <c r="AG779" s="37"/>
      <c r="AI779" s="24"/>
    </row>
    <row r="780">
      <c r="A780" s="11"/>
      <c r="B780" s="23"/>
      <c r="C780" s="23"/>
      <c r="D780" s="23"/>
      <c r="E780" s="23"/>
      <c r="F780" s="1"/>
      <c r="G780" s="23"/>
      <c r="H780" s="23"/>
      <c r="I780" s="23"/>
      <c r="J780" s="2" t="s">
        <v>200</v>
      </c>
      <c r="K780" s="2" t="s">
        <v>200</v>
      </c>
      <c r="L780" s="40"/>
      <c r="M780" s="40"/>
      <c r="N780" s="40"/>
      <c r="O780" s="2"/>
      <c r="P780" s="42"/>
      <c r="Q780" s="42"/>
      <c r="R780" s="42"/>
      <c r="S780" s="42"/>
      <c r="T780" s="42"/>
      <c r="U780" s="42"/>
      <c r="V780" s="42"/>
      <c r="W780" s="42"/>
      <c r="X780" s="42"/>
      <c r="Y780" s="42"/>
      <c r="Z780" s="42"/>
      <c r="AA780" s="42"/>
      <c r="AB780" s="42"/>
      <c r="AC780" s="42"/>
      <c r="AD780" s="37" t="s">
        <v>200</v>
      </c>
      <c r="AE780" s="37" t="s">
        <v>200</v>
      </c>
      <c r="AF780" s="37" t="s">
        <v>200</v>
      </c>
      <c r="AG780" s="37"/>
      <c r="AI780" s="24"/>
    </row>
    <row r="781">
      <c r="A781" s="11"/>
      <c r="B781" s="23"/>
      <c r="C781" s="23"/>
      <c r="D781" s="23"/>
      <c r="E781" s="23"/>
      <c r="F781" s="1"/>
      <c r="G781" s="23"/>
      <c r="H781" s="23"/>
      <c r="I781" s="23"/>
      <c r="J781" s="2" t="s">
        <v>200</v>
      </c>
      <c r="K781" s="2" t="s">
        <v>200</v>
      </c>
      <c r="L781" s="40"/>
      <c r="M781" s="40"/>
      <c r="N781" s="40"/>
      <c r="O781" s="2"/>
      <c r="P781" s="42"/>
      <c r="Q781" s="42"/>
      <c r="R781" s="42"/>
      <c r="S781" s="42"/>
      <c r="T781" s="42"/>
      <c r="U781" s="42"/>
      <c r="V781" s="42"/>
      <c r="W781" s="42"/>
      <c r="X781" s="42"/>
      <c r="Y781" s="42"/>
      <c r="Z781" s="42"/>
      <c r="AA781" s="42"/>
      <c r="AB781" s="42"/>
      <c r="AC781" s="42"/>
      <c r="AD781" s="37" t="s">
        <v>200</v>
      </c>
      <c r="AE781" s="37" t="s">
        <v>200</v>
      </c>
      <c r="AF781" s="37" t="s">
        <v>200</v>
      </c>
      <c r="AG781" s="37"/>
      <c r="AI781" s="24"/>
    </row>
    <row r="782">
      <c r="A782" s="11"/>
      <c r="B782" s="23"/>
      <c r="C782" s="23"/>
      <c r="D782" s="23"/>
      <c r="E782" s="23"/>
      <c r="F782" s="1"/>
      <c r="G782" s="23"/>
      <c r="H782" s="23"/>
      <c r="I782" s="23"/>
      <c r="J782" s="2" t="s">
        <v>200</v>
      </c>
      <c r="K782" s="2" t="s">
        <v>200</v>
      </c>
      <c r="L782" s="40"/>
      <c r="M782" s="40"/>
      <c r="N782" s="40"/>
      <c r="O782" s="2"/>
      <c r="P782" s="42"/>
      <c r="Q782" s="42"/>
      <c r="R782" s="42"/>
      <c r="S782" s="42"/>
      <c r="T782" s="42"/>
      <c r="U782" s="42"/>
      <c r="V782" s="42"/>
      <c r="W782" s="42"/>
      <c r="X782" s="42"/>
      <c r="Y782" s="42"/>
      <c r="Z782" s="42"/>
      <c r="AA782" s="42"/>
      <c r="AB782" s="42"/>
      <c r="AC782" s="42"/>
      <c r="AD782" s="37" t="s">
        <v>200</v>
      </c>
      <c r="AE782" s="37" t="s">
        <v>200</v>
      </c>
      <c r="AF782" s="37" t="s">
        <v>200</v>
      </c>
      <c r="AG782" s="37"/>
      <c r="AI782" s="24"/>
    </row>
    <row r="783">
      <c r="A783" s="11"/>
      <c r="B783" s="23"/>
      <c r="C783" s="23"/>
      <c r="D783" s="23"/>
      <c r="E783" s="23"/>
      <c r="F783" s="1"/>
      <c r="G783" s="23"/>
      <c r="H783" s="23"/>
      <c r="I783" s="23"/>
      <c r="J783" s="2" t="s">
        <v>200</v>
      </c>
      <c r="K783" s="2" t="s">
        <v>200</v>
      </c>
      <c r="L783" s="40"/>
      <c r="M783" s="40"/>
      <c r="N783" s="40"/>
      <c r="O783" s="2"/>
      <c r="P783" s="42"/>
      <c r="Q783" s="42"/>
      <c r="R783" s="42"/>
      <c r="S783" s="42"/>
      <c r="T783" s="42"/>
      <c r="U783" s="42"/>
      <c r="V783" s="42"/>
      <c r="W783" s="42"/>
      <c r="X783" s="42"/>
      <c r="Y783" s="42"/>
      <c r="Z783" s="42"/>
      <c r="AA783" s="42"/>
      <c r="AB783" s="42"/>
      <c r="AC783" s="42"/>
      <c r="AD783" s="37" t="s">
        <v>200</v>
      </c>
      <c r="AE783" s="37" t="s">
        <v>200</v>
      </c>
      <c r="AF783" s="37" t="s">
        <v>200</v>
      </c>
      <c r="AG783" s="37"/>
      <c r="AI783" s="24"/>
    </row>
    <row r="784">
      <c r="A784" s="11"/>
      <c r="B784" s="23"/>
      <c r="C784" s="23"/>
      <c r="D784" s="23"/>
      <c r="E784" s="23"/>
      <c r="F784" s="1"/>
      <c r="G784" s="23"/>
      <c r="H784" s="23"/>
      <c r="I784" s="23"/>
      <c r="J784" s="2" t="s">
        <v>200</v>
      </c>
      <c r="K784" s="2" t="s">
        <v>200</v>
      </c>
      <c r="L784" s="40"/>
      <c r="M784" s="40"/>
      <c r="N784" s="40"/>
      <c r="O784" s="2"/>
      <c r="P784" s="42"/>
      <c r="Q784" s="42"/>
      <c r="R784" s="42"/>
      <c r="S784" s="42"/>
      <c r="T784" s="42"/>
      <c r="U784" s="42"/>
      <c r="V784" s="42"/>
      <c r="W784" s="42"/>
      <c r="X784" s="42"/>
      <c r="Y784" s="42"/>
      <c r="Z784" s="42"/>
      <c r="AA784" s="42"/>
      <c r="AB784" s="42"/>
      <c r="AC784" s="42"/>
      <c r="AD784" s="37" t="s">
        <v>200</v>
      </c>
      <c r="AE784" s="37" t="s">
        <v>200</v>
      </c>
      <c r="AF784" s="37" t="s">
        <v>200</v>
      </c>
      <c r="AG784" s="37"/>
      <c r="AI784" s="24"/>
    </row>
    <row r="785">
      <c r="A785" s="11"/>
      <c r="B785" s="23"/>
      <c r="C785" s="23"/>
      <c r="D785" s="23"/>
      <c r="E785" s="23"/>
      <c r="F785" s="1"/>
      <c r="G785" s="23"/>
      <c r="H785" s="23"/>
      <c r="I785" s="23"/>
      <c r="J785" s="2" t="s">
        <v>200</v>
      </c>
      <c r="K785" s="2" t="s">
        <v>200</v>
      </c>
      <c r="L785" s="40"/>
      <c r="M785" s="40"/>
      <c r="N785" s="40"/>
      <c r="O785" s="2"/>
      <c r="P785" s="42"/>
      <c r="Q785" s="42"/>
      <c r="R785" s="42"/>
      <c r="S785" s="42"/>
      <c r="T785" s="42"/>
      <c r="U785" s="42"/>
      <c r="V785" s="42"/>
      <c r="W785" s="42"/>
      <c r="X785" s="42"/>
      <c r="Y785" s="42"/>
      <c r="Z785" s="42"/>
      <c r="AA785" s="42"/>
      <c r="AB785" s="42"/>
      <c r="AC785" s="42"/>
      <c r="AD785" s="37" t="s">
        <v>200</v>
      </c>
      <c r="AE785" s="37" t="s">
        <v>200</v>
      </c>
      <c r="AF785" s="37" t="s">
        <v>200</v>
      </c>
      <c r="AG785" s="37"/>
      <c r="AI785" s="24"/>
    </row>
    <row r="786">
      <c r="A786" s="11"/>
      <c r="B786" s="23"/>
      <c r="C786" s="23"/>
      <c r="D786" s="23"/>
      <c r="E786" s="23"/>
      <c r="F786" s="1"/>
      <c r="G786" s="23"/>
      <c r="H786" s="23"/>
      <c r="I786" s="23"/>
      <c r="J786" s="2" t="s">
        <v>200</v>
      </c>
      <c r="K786" s="2" t="s">
        <v>200</v>
      </c>
      <c r="L786" s="40"/>
      <c r="M786" s="40"/>
      <c r="N786" s="40"/>
      <c r="O786" s="2"/>
      <c r="P786" s="42"/>
      <c r="Q786" s="42"/>
      <c r="R786" s="42"/>
      <c r="S786" s="42"/>
      <c r="T786" s="42"/>
      <c r="U786" s="42"/>
      <c r="V786" s="42"/>
      <c r="W786" s="42"/>
      <c r="X786" s="42"/>
      <c r="Y786" s="42"/>
      <c r="Z786" s="42"/>
      <c r="AA786" s="42"/>
      <c r="AB786" s="42"/>
      <c r="AC786" s="42"/>
      <c r="AD786" s="37" t="s">
        <v>200</v>
      </c>
      <c r="AE786" s="37" t="s">
        <v>200</v>
      </c>
      <c r="AF786" s="37" t="s">
        <v>200</v>
      </c>
      <c r="AG786" s="37"/>
      <c r="AI786" s="24"/>
    </row>
    <row r="787">
      <c r="A787" s="11"/>
      <c r="B787" s="23"/>
      <c r="C787" s="23"/>
      <c r="D787" s="23"/>
      <c r="E787" s="23"/>
      <c r="F787" s="1"/>
      <c r="G787" s="23"/>
      <c r="H787" s="23"/>
      <c r="I787" s="23"/>
      <c r="J787" s="2" t="s">
        <v>200</v>
      </c>
      <c r="K787" s="2" t="s">
        <v>200</v>
      </c>
      <c r="L787" s="40"/>
      <c r="M787" s="40"/>
      <c r="N787" s="40"/>
      <c r="O787" s="2"/>
      <c r="P787" s="42"/>
      <c r="Q787" s="42"/>
      <c r="R787" s="42"/>
      <c r="S787" s="42"/>
      <c r="T787" s="42"/>
      <c r="U787" s="42"/>
      <c r="V787" s="42"/>
      <c r="W787" s="42"/>
      <c r="X787" s="42"/>
      <c r="Y787" s="42"/>
      <c r="Z787" s="42"/>
      <c r="AA787" s="42"/>
      <c r="AB787" s="42"/>
      <c r="AC787" s="42"/>
      <c r="AD787" s="37" t="s">
        <v>200</v>
      </c>
      <c r="AE787" s="37" t="s">
        <v>200</v>
      </c>
      <c r="AF787" s="37" t="s">
        <v>200</v>
      </c>
      <c r="AG787" s="37"/>
      <c r="AI787" s="24"/>
    </row>
    <row r="788">
      <c r="A788" s="11"/>
      <c r="B788" s="23"/>
      <c r="C788" s="23"/>
      <c r="D788" s="23"/>
      <c r="E788" s="23"/>
      <c r="F788" s="1"/>
      <c r="G788" s="23"/>
      <c r="H788" s="23"/>
      <c r="I788" s="23"/>
      <c r="J788" s="2" t="s">
        <v>200</v>
      </c>
      <c r="K788" s="2" t="s">
        <v>200</v>
      </c>
      <c r="L788" s="40"/>
      <c r="M788" s="40"/>
      <c r="N788" s="40"/>
      <c r="O788" s="2"/>
      <c r="P788" s="42"/>
      <c r="Q788" s="42"/>
      <c r="R788" s="42"/>
      <c r="S788" s="42"/>
      <c r="T788" s="42"/>
      <c r="U788" s="42"/>
      <c r="V788" s="42"/>
      <c r="W788" s="42"/>
      <c r="X788" s="42"/>
      <c r="Y788" s="42"/>
      <c r="Z788" s="42"/>
      <c r="AA788" s="42"/>
      <c r="AB788" s="42"/>
      <c r="AC788" s="42"/>
      <c r="AD788" s="37" t="s">
        <v>200</v>
      </c>
      <c r="AE788" s="37" t="s">
        <v>200</v>
      </c>
      <c r="AF788" s="37" t="s">
        <v>200</v>
      </c>
      <c r="AG788" s="37"/>
      <c r="AI788" s="24"/>
    </row>
    <row r="789">
      <c r="A789" s="11"/>
      <c r="B789" s="23"/>
      <c r="C789" s="23"/>
      <c r="D789" s="23"/>
      <c r="E789" s="23"/>
      <c r="F789" s="1"/>
      <c r="G789" s="23"/>
      <c r="H789" s="23"/>
      <c r="I789" s="23"/>
      <c r="J789" s="2" t="s">
        <v>200</v>
      </c>
      <c r="K789" s="2" t="s">
        <v>200</v>
      </c>
      <c r="L789" s="40"/>
      <c r="M789" s="40"/>
      <c r="N789" s="40"/>
      <c r="O789" s="2"/>
      <c r="P789" s="42"/>
      <c r="Q789" s="42"/>
      <c r="R789" s="42"/>
      <c r="S789" s="42"/>
      <c r="T789" s="42"/>
      <c r="U789" s="42"/>
      <c r="V789" s="42"/>
      <c r="W789" s="42"/>
      <c r="X789" s="42"/>
      <c r="Y789" s="42"/>
      <c r="Z789" s="42"/>
      <c r="AA789" s="42"/>
      <c r="AB789" s="42"/>
      <c r="AC789" s="42"/>
      <c r="AD789" s="37" t="s">
        <v>200</v>
      </c>
      <c r="AE789" s="37" t="s">
        <v>200</v>
      </c>
      <c r="AF789" s="37" t="s">
        <v>200</v>
      </c>
      <c r="AG789" s="37"/>
      <c r="AI789" s="24"/>
    </row>
    <row r="790">
      <c r="A790" s="11"/>
      <c r="B790" s="23"/>
      <c r="C790" s="23"/>
      <c r="D790" s="23"/>
      <c r="E790" s="23"/>
      <c r="F790" s="1"/>
      <c r="G790" s="23"/>
      <c r="H790" s="23"/>
      <c r="I790" s="23"/>
      <c r="J790" s="2" t="s">
        <v>200</v>
      </c>
      <c r="K790" s="2" t="s">
        <v>200</v>
      </c>
      <c r="L790" s="40"/>
      <c r="M790" s="40"/>
      <c r="N790" s="40"/>
      <c r="O790" s="2"/>
      <c r="P790" s="42"/>
      <c r="Q790" s="42"/>
      <c r="R790" s="42"/>
      <c r="S790" s="42"/>
      <c r="T790" s="42"/>
      <c r="U790" s="42"/>
      <c r="V790" s="42"/>
      <c r="W790" s="42"/>
      <c r="X790" s="42"/>
      <c r="Y790" s="42"/>
      <c r="Z790" s="42"/>
      <c r="AA790" s="42"/>
      <c r="AB790" s="42"/>
      <c r="AC790" s="42"/>
      <c r="AD790" s="37" t="s">
        <v>200</v>
      </c>
      <c r="AE790" s="37" t="s">
        <v>200</v>
      </c>
      <c r="AF790" s="37" t="s">
        <v>200</v>
      </c>
      <c r="AG790" s="37"/>
      <c r="AI790" s="24"/>
    </row>
    <row r="791">
      <c r="A791" s="11"/>
      <c r="B791" s="23"/>
      <c r="C791" s="23"/>
      <c r="D791" s="23"/>
      <c r="E791" s="23"/>
      <c r="F791" s="1"/>
      <c r="G791" s="23"/>
      <c r="H791" s="23"/>
      <c r="I791" s="23"/>
      <c r="J791" s="2" t="s">
        <v>200</v>
      </c>
      <c r="K791" s="2" t="s">
        <v>200</v>
      </c>
      <c r="L791" s="40"/>
      <c r="M791" s="40"/>
      <c r="N791" s="40"/>
      <c r="O791" s="2"/>
      <c r="P791" s="42"/>
      <c r="Q791" s="42"/>
      <c r="R791" s="42"/>
      <c r="S791" s="42"/>
      <c r="T791" s="42"/>
      <c r="U791" s="42"/>
      <c r="V791" s="42"/>
      <c r="W791" s="42"/>
      <c r="X791" s="42"/>
      <c r="Y791" s="42"/>
      <c r="Z791" s="42"/>
      <c r="AA791" s="42"/>
      <c r="AB791" s="42"/>
      <c r="AC791" s="42"/>
      <c r="AD791" s="37" t="s">
        <v>200</v>
      </c>
      <c r="AE791" s="37" t="s">
        <v>200</v>
      </c>
      <c r="AF791" s="37" t="s">
        <v>200</v>
      </c>
      <c r="AG791" s="37"/>
      <c r="AI791" s="24"/>
    </row>
    <row r="792">
      <c r="A792" s="11"/>
      <c r="B792" s="23"/>
      <c r="C792" s="23"/>
      <c r="D792" s="23"/>
      <c r="E792" s="23"/>
      <c r="F792" s="1"/>
      <c r="G792" s="23"/>
      <c r="H792" s="23"/>
      <c r="I792" s="23"/>
      <c r="J792" s="2" t="s">
        <v>200</v>
      </c>
      <c r="K792" s="2" t="s">
        <v>200</v>
      </c>
      <c r="L792" s="40"/>
      <c r="M792" s="40"/>
      <c r="N792" s="40"/>
      <c r="O792" s="2"/>
      <c r="P792" s="42"/>
      <c r="Q792" s="42"/>
      <c r="R792" s="42"/>
      <c r="S792" s="42"/>
      <c r="T792" s="42"/>
      <c r="U792" s="42"/>
      <c r="V792" s="42"/>
      <c r="W792" s="42"/>
      <c r="X792" s="42"/>
      <c r="Y792" s="42"/>
      <c r="Z792" s="42"/>
      <c r="AA792" s="42"/>
      <c r="AB792" s="42"/>
      <c r="AC792" s="42"/>
      <c r="AD792" s="37" t="s">
        <v>200</v>
      </c>
      <c r="AE792" s="37" t="s">
        <v>200</v>
      </c>
      <c r="AF792" s="37" t="s">
        <v>200</v>
      </c>
      <c r="AG792" s="37"/>
      <c r="AI792" s="24"/>
    </row>
    <row r="793">
      <c r="A793" s="11"/>
      <c r="B793" s="23"/>
      <c r="C793" s="23"/>
      <c r="D793" s="23"/>
      <c r="E793" s="23"/>
      <c r="F793" s="1"/>
      <c r="G793" s="23"/>
      <c r="H793" s="23"/>
      <c r="I793" s="23"/>
      <c r="J793" s="2" t="s">
        <v>200</v>
      </c>
      <c r="K793" s="2" t="s">
        <v>200</v>
      </c>
      <c r="L793" s="40"/>
      <c r="M793" s="40"/>
      <c r="N793" s="40"/>
      <c r="O793" s="2"/>
      <c r="P793" s="42"/>
      <c r="Q793" s="42"/>
      <c r="R793" s="42"/>
      <c r="S793" s="42"/>
      <c r="T793" s="42"/>
      <c r="U793" s="42"/>
      <c r="V793" s="42"/>
      <c r="W793" s="42"/>
      <c r="X793" s="42"/>
      <c r="Y793" s="42"/>
      <c r="Z793" s="42"/>
      <c r="AA793" s="42"/>
      <c r="AB793" s="42"/>
      <c r="AC793" s="42"/>
      <c r="AD793" s="37" t="s">
        <v>200</v>
      </c>
      <c r="AE793" s="37" t="s">
        <v>200</v>
      </c>
      <c r="AF793" s="37" t="s">
        <v>200</v>
      </c>
      <c r="AG793" s="37"/>
      <c r="AI793" s="24"/>
    </row>
    <row r="794">
      <c r="A794" s="11"/>
      <c r="B794" s="23"/>
      <c r="C794" s="23"/>
      <c r="D794" s="23"/>
      <c r="E794" s="23"/>
      <c r="F794" s="1"/>
      <c r="G794" s="23"/>
      <c r="H794" s="23"/>
      <c r="I794" s="23"/>
      <c r="J794" s="2" t="s">
        <v>200</v>
      </c>
      <c r="K794" s="2" t="s">
        <v>200</v>
      </c>
      <c r="L794" s="40"/>
      <c r="M794" s="40"/>
      <c r="N794" s="40"/>
      <c r="O794" s="2"/>
      <c r="P794" s="42"/>
      <c r="Q794" s="42"/>
      <c r="R794" s="42"/>
      <c r="S794" s="42"/>
      <c r="T794" s="42"/>
      <c r="U794" s="42"/>
      <c r="V794" s="42"/>
      <c r="W794" s="42"/>
      <c r="X794" s="42"/>
      <c r="Y794" s="42"/>
      <c r="Z794" s="42"/>
      <c r="AA794" s="42"/>
      <c r="AB794" s="42"/>
      <c r="AC794" s="42"/>
      <c r="AD794" s="37" t="s">
        <v>200</v>
      </c>
      <c r="AE794" s="37" t="s">
        <v>200</v>
      </c>
      <c r="AF794" s="37" t="s">
        <v>200</v>
      </c>
      <c r="AG794" s="37"/>
      <c r="AI794" s="24"/>
    </row>
    <row r="795">
      <c r="A795" s="11"/>
      <c r="B795" s="23"/>
      <c r="C795" s="23"/>
      <c r="D795" s="23"/>
      <c r="E795" s="23"/>
      <c r="F795" s="1"/>
      <c r="G795" s="23"/>
      <c r="H795" s="23"/>
      <c r="I795" s="23"/>
      <c r="J795" s="2" t="s">
        <v>200</v>
      </c>
      <c r="K795" s="2" t="s">
        <v>200</v>
      </c>
      <c r="L795" s="40"/>
      <c r="M795" s="40"/>
      <c r="N795" s="40"/>
      <c r="O795" s="2"/>
      <c r="P795" s="42"/>
      <c r="Q795" s="42"/>
      <c r="R795" s="42"/>
      <c r="S795" s="42"/>
      <c r="T795" s="42"/>
      <c r="U795" s="42"/>
      <c r="V795" s="42"/>
      <c r="W795" s="42"/>
      <c r="X795" s="42"/>
      <c r="Y795" s="42"/>
      <c r="Z795" s="42"/>
      <c r="AA795" s="42"/>
      <c r="AB795" s="42"/>
      <c r="AC795" s="42"/>
      <c r="AD795" s="37" t="s">
        <v>200</v>
      </c>
      <c r="AE795" s="37" t="s">
        <v>200</v>
      </c>
      <c r="AF795" s="37" t="s">
        <v>200</v>
      </c>
      <c r="AG795" s="37"/>
      <c r="AI795" s="24"/>
    </row>
    <row r="796">
      <c r="A796" s="11"/>
      <c r="B796" s="23"/>
      <c r="C796" s="23"/>
      <c r="D796" s="23"/>
      <c r="E796" s="23"/>
      <c r="F796" s="1"/>
      <c r="G796" s="23"/>
      <c r="H796" s="23"/>
      <c r="I796" s="23"/>
      <c r="J796" s="2" t="s">
        <v>200</v>
      </c>
      <c r="K796" s="2" t="s">
        <v>200</v>
      </c>
      <c r="L796" s="40"/>
      <c r="M796" s="40"/>
      <c r="N796" s="40"/>
      <c r="O796" s="2"/>
      <c r="P796" s="42"/>
      <c r="Q796" s="42"/>
      <c r="R796" s="42"/>
      <c r="S796" s="42"/>
      <c r="T796" s="42"/>
      <c r="U796" s="42"/>
      <c r="V796" s="42"/>
      <c r="W796" s="42"/>
      <c r="X796" s="42"/>
      <c r="Y796" s="42"/>
      <c r="Z796" s="42"/>
      <c r="AA796" s="42"/>
      <c r="AB796" s="42"/>
      <c r="AC796" s="42"/>
      <c r="AD796" s="37" t="s">
        <v>200</v>
      </c>
      <c r="AE796" s="37" t="s">
        <v>200</v>
      </c>
      <c r="AF796" s="37" t="s">
        <v>200</v>
      </c>
      <c r="AG796" s="37"/>
      <c r="AI796" s="24"/>
    </row>
    <row r="797">
      <c r="A797" s="11"/>
      <c r="B797" s="23"/>
      <c r="C797" s="23"/>
      <c r="D797" s="23"/>
      <c r="E797" s="23"/>
      <c r="F797" s="1"/>
      <c r="G797" s="23"/>
      <c r="H797" s="23"/>
      <c r="I797" s="23"/>
      <c r="J797" s="2" t="s">
        <v>200</v>
      </c>
      <c r="K797" s="2" t="s">
        <v>200</v>
      </c>
      <c r="L797" s="40"/>
      <c r="M797" s="40"/>
      <c r="N797" s="40"/>
      <c r="O797" s="2"/>
      <c r="P797" s="42"/>
      <c r="Q797" s="42"/>
      <c r="R797" s="42"/>
      <c r="S797" s="42"/>
      <c r="T797" s="42"/>
      <c r="U797" s="42"/>
      <c r="V797" s="42"/>
      <c r="W797" s="42"/>
      <c r="X797" s="42"/>
      <c r="Y797" s="42"/>
      <c r="Z797" s="42"/>
      <c r="AA797" s="42"/>
      <c r="AB797" s="42"/>
      <c r="AC797" s="42"/>
      <c r="AD797" s="37" t="s">
        <v>200</v>
      </c>
      <c r="AE797" s="37" t="s">
        <v>200</v>
      </c>
      <c r="AF797" s="37" t="s">
        <v>200</v>
      </c>
      <c r="AG797" s="37"/>
      <c r="AI797" s="24"/>
    </row>
    <row r="798">
      <c r="A798" s="11"/>
      <c r="B798" s="23"/>
      <c r="C798" s="23"/>
      <c r="D798" s="23"/>
      <c r="E798" s="23"/>
      <c r="F798" s="1"/>
      <c r="G798" s="23"/>
      <c r="H798" s="23"/>
      <c r="I798" s="23"/>
      <c r="J798" s="2" t="s">
        <v>200</v>
      </c>
      <c r="K798" s="2" t="s">
        <v>200</v>
      </c>
      <c r="L798" s="40"/>
      <c r="M798" s="40"/>
      <c r="N798" s="40"/>
      <c r="O798" s="2"/>
      <c r="P798" s="42"/>
      <c r="Q798" s="42"/>
      <c r="R798" s="42"/>
      <c r="S798" s="42"/>
      <c r="T798" s="42"/>
      <c r="U798" s="42"/>
      <c r="V798" s="42"/>
      <c r="W798" s="42"/>
      <c r="X798" s="42"/>
      <c r="Y798" s="42"/>
      <c r="Z798" s="42"/>
      <c r="AA798" s="42"/>
      <c r="AB798" s="42"/>
      <c r="AC798" s="42"/>
      <c r="AD798" s="37" t="s">
        <v>200</v>
      </c>
      <c r="AE798" s="37" t="s">
        <v>200</v>
      </c>
      <c r="AF798" s="37" t="s">
        <v>200</v>
      </c>
      <c r="AG798" s="37"/>
      <c r="AI798" s="24"/>
    </row>
    <row r="799">
      <c r="A799" s="11"/>
      <c r="B799" s="23"/>
      <c r="C799" s="23"/>
      <c r="D799" s="23"/>
      <c r="E799" s="23"/>
      <c r="F799" s="1"/>
      <c r="G799" s="23"/>
      <c r="H799" s="23"/>
      <c r="I799" s="23"/>
      <c r="J799" s="2" t="s">
        <v>200</v>
      </c>
      <c r="K799" s="2" t="s">
        <v>200</v>
      </c>
      <c r="L799" s="40"/>
      <c r="M799" s="40"/>
      <c r="N799" s="40"/>
      <c r="O799" s="2"/>
      <c r="P799" s="42"/>
      <c r="Q799" s="42"/>
      <c r="R799" s="42"/>
      <c r="S799" s="42"/>
      <c r="T799" s="42"/>
      <c r="U799" s="42"/>
      <c r="V799" s="42"/>
      <c r="W799" s="42"/>
      <c r="X799" s="42"/>
      <c r="Y799" s="42"/>
      <c r="Z799" s="42"/>
      <c r="AA799" s="42"/>
      <c r="AB799" s="42"/>
      <c r="AC799" s="42"/>
      <c r="AD799" s="37" t="s">
        <v>200</v>
      </c>
      <c r="AE799" s="37" t="s">
        <v>200</v>
      </c>
      <c r="AF799" s="37" t="s">
        <v>200</v>
      </c>
      <c r="AG799" s="37"/>
      <c r="AI799" s="24"/>
    </row>
    <row r="800">
      <c r="A800" s="11"/>
      <c r="B800" s="23"/>
      <c r="C800" s="23"/>
      <c r="D800" s="23"/>
      <c r="E800" s="23"/>
      <c r="F800" s="1"/>
      <c r="G800" s="23"/>
      <c r="H800" s="23"/>
      <c r="I800" s="23"/>
      <c r="J800" s="2" t="s">
        <v>200</v>
      </c>
      <c r="K800" s="2" t="s">
        <v>200</v>
      </c>
      <c r="L800" s="40"/>
      <c r="M800" s="40"/>
      <c r="N800" s="40"/>
      <c r="O800" s="2"/>
      <c r="P800" s="42"/>
      <c r="Q800" s="42"/>
      <c r="R800" s="42"/>
      <c r="S800" s="42"/>
      <c r="T800" s="42"/>
      <c r="U800" s="42"/>
      <c r="V800" s="42"/>
      <c r="W800" s="42"/>
      <c r="X800" s="42"/>
      <c r="Y800" s="42"/>
      <c r="Z800" s="42"/>
      <c r="AA800" s="42"/>
      <c r="AB800" s="42"/>
      <c r="AC800" s="42"/>
      <c r="AD800" s="37" t="s">
        <v>200</v>
      </c>
      <c r="AE800" s="37" t="s">
        <v>200</v>
      </c>
      <c r="AF800" s="37" t="s">
        <v>200</v>
      </c>
      <c r="AG800" s="37"/>
      <c r="AI800" s="24"/>
    </row>
    <row r="801">
      <c r="A801" s="11"/>
      <c r="B801" s="23"/>
      <c r="C801" s="23"/>
      <c r="D801" s="23"/>
      <c r="E801" s="23"/>
      <c r="F801" s="1"/>
      <c r="G801" s="23"/>
      <c r="H801" s="23"/>
      <c r="I801" s="23"/>
      <c r="J801" s="2" t="s">
        <v>200</v>
      </c>
      <c r="K801" s="2" t="s">
        <v>200</v>
      </c>
      <c r="L801" s="40"/>
      <c r="M801" s="40"/>
      <c r="N801" s="40"/>
      <c r="O801" s="2"/>
      <c r="P801" s="42"/>
      <c r="Q801" s="42"/>
      <c r="R801" s="42"/>
      <c r="S801" s="42"/>
      <c r="T801" s="42"/>
      <c r="U801" s="42"/>
      <c r="V801" s="42"/>
      <c r="W801" s="42"/>
      <c r="X801" s="42"/>
      <c r="Y801" s="42"/>
      <c r="Z801" s="42"/>
      <c r="AA801" s="42"/>
      <c r="AB801" s="42"/>
      <c r="AC801" s="42"/>
      <c r="AD801" s="37" t="s">
        <v>200</v>
      </c>
      <c r="AE801" s="37" t="s">
        <v>200</v>
      </c>
      <c r="AF801" s="37" t="s">
        <v>200</v>
      </c>
      <c r="AG801" s="37"/>
      <c r="AI801" s="24"/>
    </row>
    <row r="802">
      <c r="A802" s="11"/>
      <c r="B802" s="23"/>
      <c r="C802" s="23"/>
      <c r="D802" s="23"/>
      <c r="E802" s="23"/>
      <c r="F802" s="1"/>
      <c r="G802" s="23"/>
      <c r="H802" s="23"/>
      <c r="I802" s="23"/>
      <c r="J802" s="2" t="s">
        <v>200</v>
      </c>
      <c r="K802" s="2" t="s">
        <v>200</v>
      </c>
      <c r="L802" s="40"/>
      <c r="M802" s="40"/>
      <c r="N802" s="40"/>
      <c r="O802" s="2"/>
      <c r="P802" s="42"/>
      <c r="Q802" s="42"/>
      <c r="R802" s="42"/>
      <c r="S802" s="42"/>
      <c r="T802" s="42"/>
      <c r="U802" s="42"/>
      <c r="V802" s="42"/>
      <c r="W802" s="42"/>
      <c r="X802" s="42"/>
      <c r="Y802" s="42"/>
      <c r="Z802" s="42"/>
      <c r="AA802" s="42"/>
      <c r="AB802" s="42"/>
      <c r="AC802" s="42"/>
      <c r="AD802" s="37" t="s">
        <v>200</v>
      </c>
      <c r="AE802" s="37" t="s">
        <v>200</v>
      </c>
      <c r="AF802" s="37" t="s">
        <v>200</v>
      </c>
      <c r="AG802" s="37"/>
      <c r="AI802" s="24"/>
    </row>
    <row r="803">
      <c r="A803" s="11"/>
      <c r="B803" s="23"/>
      <c r="C803" s="23"/>
      <c r="D803" s="23"/>
      <c r="E803" s="23"/>
      <c r="F803" s="1"/>
      <c r="G803" s="23"/>
      <c r="H803" s="23"/>
      <c r="I803" s="23"/>
      <c r="J803" s="2" t="s">
        <v>200</v>
      </c>
      <c r="K803" s="2" t="s">
        <v>200</v>
      </c>
      <c r="L803" s="40"/>
      <c r="M803" s="40"/>
      <c r="N803" s="40"/>
      <c r="O803" s="2"/>
      <c r="P803" s="42"/>
      <c r="Q803" s="42"/>
      <c r="R803" s="42"/>
      <c r="S803" s="42"/>
      <c r="T803" s="42"/>
      <c r="U803" s="42"/>
      <c r="V803" s="42"/>
      <c r="W803" s="42"/>
      <c r="X803" s="42"/>
      <c r="Y803" s="42"/>
      <c r="Z803" s="42"/>
      <c r="AA803" s="42"/>
      <c r="AB803" s="42"/>
      <c r="AC803" s="42"/>
      <c r="AD803" s="37" t="s">
        <v>200</v>
      </c>
      <c r="AE803" s="37" t="s">
        <v>200</v>
      </c>
      <c r="AF803" s="37" t="s">
        <v>200</v>
      </c>
      <c r="AG803" s="37"/>
      <c r="AI803" s="24"/>
    </row>
    <row r="804">
      <c r="A804" s="11"/>
      <c r="B804" s="23"/>
      <c r="C804" s="23"/>
      <c r="D804" s="23"/>
      <c r="E804" s="23"/>
      <c r="F804" s="1"/>
      <c r="G804" s="23"/>
      <c r="H804" s="23"/>
      <c r="I804" s="23"/>
      <c r="J804" s="2" t="s">
        <v>200</v>
      </c>
      <c r="K804" s="2" t="s">
        <v>200</v>
      </c>
      <c r="L804" s="40"/>
      <c r="M804" s="40"/>
      <c r="N804" s="40"/>
      <c r="O804" s="2"/>
      <c r="P804" s="42"/>
      <c r="Q804" s="42"/>
      <c r="R804" s="42"/>
      <c r="S804" s="42"/>
      <c r="T804" s="42"/>
      <c r="U804" s="42"/>
      <c r="V804" s="42"/>
      <c r="W804" s="42"/>
      <c r="X804" s="42"/>
      <c r="Y804" s="42"/>
      <c r="Z804" s="42"/>
      <c r="AA804" s="42"/>
      <c r="AB804" s="42"/>
      <c r="AC804" s="42"/>
      <c r="AD804" s="37" t="s">
        <v>200</v>
      </c>
      <c r="AE804" s="37" t="s">
        <v>200</v>
      </c>
      <c r="AF804" s="37" t="s">
        <v>200</v>
      </c>
      <c r="AG804" s="37"/>
      <c r="AI804" s="24"/>
    </row>
    <row r="805">
      <c r="A805" s="11"/>
      <c r="B805" s="23"/>
      <c r="C805" s="23"/>
      <c r="D805" s="23"/>
      <c r="E805" s="23"/>
      <c r="F805" s="1"/>
      <c r="G805" s="23"/>
      <c r="H805" s="23"/>
      <c r="I805" s="23"/>
      <c r="J805" s="2" t="s">
        <v>200</v>
      </c>
      <c r="K805" s="2" t="s">
        <v>200</v>
      </c>
      <c r="L805" s="40"/>
      <c r="M805" s="40"/>
      <c r="N805" s="40"/>
      <c r="O805" s="2"/>
      <c r="P805" s="42"/>
      <c r="Q805" s="42"/>
      <c r="R805" s="42"/>
      <c r="S805" s="42"/>
      <c r="T805" s="42"/>
      <c r="U805" s="42"/>
      <c r="V805" s="42"/>
      <c r="W805" s="42"/>
      <c r="X805" s="42"/>
      <c r="Y805" s="42"/>
      <c r="Z805" s="42"/>
      <c r="AA805" s="42"/>
      <c r="AB805" s="42"/>
      <c r="AC805" s="42"/>
      <c r="AD805" s="37" t="s">
        <v>200</v>
      </c>
      <c r="AE805" s="37" t="s">
        <v>200</v>
      </c>
      <c r="AF805" s="37" t="s">
        <v>200</v>
      </c>
      <c r="AG805" s="37"/>
      <c r="AI805" s="24"/>
    </row>
    <row r="806">
      <c r="A806" s="11"/>
      <c r="B806" s="23"/>
      <c r="C806" s="23"/>
      <c r="D806" s="23"/>
      <c r="E806" s="23"/>
      <c r="F806" s="1"/>
      <c r="G806" s="23"/>
      <c r="H806" s="23"/>
      <c r="I806" s="23"/>
      <c r="J806" s="2" t="s">
        <v>200</v>
      </c>
      <c r="K806" s="2" t="s">
        <v>200</v>
      </c>
      <c r="L806" s="40"/>
      <c r="M806" s="40"/>
      <c r="N806" s="40"/>
      <c r="O806" s="2"/>
      <c r="P806" s="42"/>
      <c r="Q806" s="42"/>
      <c r="R806" s="42"/>
      <c r="S806" s="42"/>
      <c r="T806" s="42"/>
      <c r="U806" s="42"/>
      <c r="V806" s="42"/>
      <c r="W806" s="42"/>
      <c r="X806" s="42"/>
      <c r="Y806" s="42"/>
      <c r="Z806" s="42"/>
      <c r="AA806" s="42"/>
      <c r="AB806" s="42"/>
      <c r="AC806" s="42"/>
      <c r="AD806" s="37" t="s">
        <v>200</v>
      </c>
      <c r="AE806" s="37" t="s">
        <v>200</v>
      </c>
      <c r="AF806" s="37" t="s">
        <v>200</v>
      </c>
      <c r="AG806" s="37"/>
      <c r="AI806" s="24"/>
    </row>
    <row r="807">
      <c r="A807" s="11"/>
      <c r="B807" s="23"/>
      <c r="C807" s="23"/>
      <c r="D807" s="23"/>
      <c r="E807" s="23"/>
      <c r="F807" s="1"/>
      <c r="G807" s="23"/>
      <c r="H807" s="23"/>
      <c r="I807" s="23"/>
      <c r="J807" s="2" t="s">
        <v>200</v>
      </c>
      <c r="K807" s="2" t="s">
        <v>200</v>
      </c>
      <c r="L807" s="40"/>
      <c r="M807" s="40"/>
      <c r="N807" s="40"/>
      <c r="O807" s="2"/>
      <c r="P807" s="42"/>
      <c r="Q807" s="42"/>
      <c r="R807" s="42"/>
      <c r="S807" s="42"/>
      <c r="T807" s="42"/>
      <c r="U807" s="42"/>
      <c r="V807" s="42"/>
      <c r="W807" s="42"/>
      <c r="X807" s="42"/>
      <c r="Y807" s="42"/>
      <c r="Z807" s="42"/>
      <c r="AA807" s="42"/>
      <c r="AB807" s="42"/>
      <c r="AC807" s="42"/>
      <c r="AD807" s="37" t="s">
        <v>200</v>
      </c>
      <c r="AE807" s="37" t="s">
        <v>200</v>
      </c>
      <c r="AF807" s="37" t="s">
        <v>200</v>
      </c>
      <c r="AG807" s="37"/>
      <c r="AI807" s="24"/>
    </row>
    <row r="808">
      <c r="A808" s="11"/>
      <c r="B808" s="23"/>
      <c r="C808" s="23"/>
      <c r="D808" s="23"/>
      <c r="E808" s="23"/>
      <c r="F808" s="1"/>
      <c r="G808" s="23"/>
      <c r="H808" s="23"/>
      <c r="I808" s="23"/>
      <c r="J808" s="2" t="s">
        <v>200</v>
      </c>
      <c r="K808" s="2" t="s">
        <v>200</v>
      </c>
      <c r="L808" s="40"/>
      <c r="M808" s="40"/>
      <c r="N808" s="40"/>
      <c r="O808" s="2"/>
      <c r="P808" s="42"/>
      <c r="Q808" s="42"/>
      <c r="R808" s="42"/>
      <c r="S808" s="42"/>
      <c r="T808" s="42"/>
      <c r="U808" s="42"/>
      <c r="V808" s="42"/>
      <c r="W808" s="42"/>
      <c r="X808" s="42"/>
      <c r="Y808" s="42"/>
      <c r="Z808" s="42"/>
      <c r="AA808" s="42"/>
      <c r="AB808" s="42"/>
      <c r="AC808" s="42"/>
      <c r="AD808" s="37" t="s">
        <v>200</v>
      </c>
      <c r="AE808" s="37" t="s">
        <v>200</v>
      </c>
      <c r="AF808" s="37" t="s">
        <v>200</v>
      </c>
      <c r="AG808" s="37"/>
      <c r="AI808" s="24"/>
    </row>
    <row r="809">
      <c r="A809" s="11"/>
      <c r="B809" s="23"/>
      <c r="C809" s="23"/>
      <c r="D809" s="23"/>
      <c r="E809" s="23"/>
      <c r="F809" s="1"/>
      <c r="G809" s="23"/>
      <c r="H809" s="23"/>
      <c r="I809" s="23"/>
      <c r="J809" s="2" t="s">
        <v>200</v>
      </c>
      <c r="K809" s="2" t="s">
        <v>200</v>
      </c>
      <c r="L809" s="40"/>
      <c r="M809" s="40"/>
      <c r="N809" s="40"/>
      <c r="O809" s="2"/>
      <c r="P809" s="42"/>
      <c r="Q809" s="42"/>
      <c r="R809" s="42"/>
      <c r="S809" s="42"/>
      <c r="T809" s="42"/>
      <c r="U809" s="42"/>
      <c r="V809" s="42"/>
      <c r="W809" s="42"/>
      <c r="X809" s="42"/>
      <c r="Y809" s="42"/>
      <c r="Z809" s="42"/>
      <c r="AA809" s="42"/>
      <c r="AB809" s="42"/>
      <c r="AC809" s="42"/>
      <c r="AD809" s="37" t="s">
        <v>200</v>
      </c>
      <c r="AE809" s="37" t="s">
        <v>200</v>
      </c>
      <c r="AF809" s="37" t="s">
        <v>200</v>
      </c>
      <c r="AG809" s="37"/>
      <c r="AI809" s="24"/>
    </row>
    <row r="810">
      <c r="A810" s="11"/>
      <c r="B810" s="23"/>
      <c r="C810" s="23"/>
      <c r="D810" s="23"/>
      <c r="E810" s="23"/>
      <c r="F810" s="1"/>
      <c r="G810" s="23"/>
      <c r="H810" s="23"/>
      <c r="I810" s="23"/>
      <c r="J810" s="2" t="s">
        <v>200</v>
      </c>
      <c r="K810" s="2" t="s">
        <v>200</v>
      </c>
      <c r="L810" s="40"/>
      <c r="M810" s="40"/>
      <c r="N810" s="40"/>
      <c r="O810" s="2"/>
      <c r="P810" s="42"/>
      <c r="Q810" s="42"/>
      <c r="R810" s="42"/>
      <c r="S810" s="42"/>
      <c r="T810" s="42"/>
      <c r="U810" s="42"/>
      <c r="V810" s="42"/>
      <c r="W810" s="42"/>
      <c r="X810" s="42"/>
      <c r="Y810" s="42"/>
      <c r="Z810" s="42"/>
      <c r="AA810" s="42"/>
      <c r="AB810" s="42"/>
      <c r="AC810" s="42"/>
      <c r="AD810" s="37" t="s">
        <v>200</v>
      </c>
      <c r="AE810" s="37" t="s">
        <v>200</v>
      </c>
      <c r="AF810" s="37" t="s">
        <v>200</v>
      </c>
      <c r="AG810" s="37"/>
      <c r="AI810" s="24"/>
    </row>
    <row r="811">
      <c r="A811" s="11"/>
      <c r="B811" s="23"/>
      <c r="C811" s="23"/>
      <c r="D811" s="23"/>
      <c r="E811" s="23"/>
      <c r="F811" s="1"/>
      <c r="G811" s="23"/>
      <c r="H811" s="23"/>
      <c r="I811" s="23"/>
      <c r="J811" s="2" t="s">
        <v>200</v>
      </c>
      <c r="K811" s="2" t="s">
        <v>200</v>
      </c>
      <c r="L811" s="40"/>
      <c r="M811" s="40"/>
      <c r="N811" s="40"/>
      <c r="O811" s="2"/>
      <c r="P811" s="42"/>
      <c r="Q811" s="42"/>
      <c r="R811" s="42"/>
      <c r="S811" s="42"/>
      <c r="T811" s="42"/>
      <c r="U811" s="42"/>
      <c r="V811" s="42"/>
      <c r="W811" s="42"/>
      <c r="X811" s="42"/>
      <c r="Y811" s="42"/>
      <c r="Z811" s="42"/>
      <c r="AA811" s="42"/>
      <c r="AB811" s="42"/>
      <c r="AC811" s="42"/>
      <c r="AD811" s="37" t="s">
        <v>200</v>
      </c>
      <c r="AE811" s="37" t="s">
        <v>200</v>
      </c>
      <c r="AF811" s="37" t="s">
        <v>200</v>
      </c>
      <c r="AG811" s="37"/>
      <c r="AI811" s="24"/>
    </row>
    <row r="812">
      <c r="A812" s="11"/>
      <c r="B812" s="23"/>
      <c r="C812" s="23"/>
      <c r="D812" s="23"/>
      <c r="E812" s="23"/>
      <c r="F812" s="1"/>
      <c r="G812" s="23"/>
      <c r="H812" s="23"/>
      <c r="I812" s="23"/>
      <c r="J812" s="2" t="s">
        <v>200</v>
      </c>
      <c r="K812" s="2" t="s">
        <v>200</v>
      </c>
      <c r="L812" s="40"/>
      <c r="M812" s="40"/>
      <c r="N812" s="40"/>
      <c r="O812" s="2"/>
      <c r="P812" s="42"/>
      <c r="Q812" s="42"/>
      <c r="R812" s="42"/>
      <c r="S812" s="42"/>
      <c r="T812" s="42"/>
      <c r="U812" s="42"/>
      <c r="V812" s="42"/>
      <c r="W812" s="42"/>
      <c r="X812" s="42"/>
      <c r="Y812" s="42"/>
      <c r="Z812" s="42"/>
      <c r="AA812" s="42"/>
      <c r="AB812" s="42"/>
      <c r="AC812" s="42"/>
      <c r="AD812" s="37" t="s">
        <v>200</v>
      </c>
      <c r="AE812" s="37" t="s">
        <v>200</v>
      </c>
      <c r="AF812" s="37" t="s">
        <v>200</v>
      </c>
      <c r="AG812" s="37"/>
      <c r="AI812" s="24"/>
    </row>
    <row r="813">
      <c r="A813" s="11"/>
      <c r="B813" s="23"/>
      <c r="C813" s="23"/>
      <c r="D813" s="23"/>
      <c r="E813" s="23"/>
      <c r="F813" s="1"/>
      <c r="G813" s="23"/>
      <c r="H813" s="23"/>
      <c r="I813" s="23"/>
      <c r="J813" s="2" t="s">
        <v>200</v>
      </c>
      <c r="K813" s="2" t="s">
        <v>200</v>
      </c>
      <c r="L813" s="40"/>
      <c r="M813" s="40"/>
      <c r="N813" s="40"/>
      <c r="O813" s="2"/>
      <c r="P813" s="42"/>
      <c r="Q813" s="42"/>
      <c r="R813" s="42"/>
      <c r="S813" s="42"/>
      <c r="T813" s="42"/>
      <c r="U813" s="42"/>
      <c r="V813" s="42"/>
      <c r="W813" s="42"/>
      <c r="X813" s="42"/>
      <c r="Y813" s="42"/>
      <c r="Z813" s="42"/>
      <c r="AA813" s="42"/>
      <c r="AB813" s="42"/>
      <c r="AC813" s="42"/>
      <c r="AD813" s="37" t="s">
        <v>200</v>
      </c>
      <c r="AE813" s="37" t="s">
        <v>200</v>
      </c>
      <c r="AF813" s="37" t="s">
        <v>200</v>
      </c>
      <c r="AG813" s="37"/>
      <c r="AI813" s="24"/>
    </row>
    <row r="814">
      <c r="A814" s="11"/>
      <c r="B814" s="23"/>
      <c r="C814" s="23"/>
      <c r="D814" s="23"/>
      <c r="E814" s="23"/>
      <c r="F814" s="1"/>
      <c r="G814" s="23"/>
      <c r="H814" s="23"/>
      <c r="I814" s="23"/>
      <c r="J814" s="2" t="s">
        <v>200</v>
      </c>
      <c r="K814" s="2" t="s">
        <v>200</v>
      </c>
      <c r="L814" s="40"/>
      <c r="M814" s="40"/>
      <c r="N814" s="40"/>
      <c r="O814" s="2"/>
      <c r="P814" s="42"/>
      <c r="Q814" s="42"/>
      <c r="R814" s="42"/>
      <c r="S814" s="42"/>
      <c r="T814" s="42"/>
      <c r="U814" s="42"/>
      <c r="V814" s="42"/>
      <c r="W814" s="42"/>
      <c r="X814" s="42"/>
      <c r="Y814" s="42"/>
      <c r="Z814" s="42"/>
      <c r="AA814" s="42"/>
      <c r="AB814" s="42"/>
      <c r="AC814" s="42"/>
      <c r="AD814" s="37" t="s">
        <v>200</v>
      </c>
      <c r="AE814" s="37" t="s">
        <v>200</v>
      </c>
      <c r="AF814" s="37" t="s">
        <v>200</v>
      </c>
      <c r="AG814" s="37"/>
      <c r="AI814" s="24"/>
    </row>
    <row r="815">
      <c r="A815" s="11"/>
      <c r="B815" s="23"/>
      <c r="C815" s="23"/>
      <c r="D815" s="23"/>
      <c r="E815" s="23"/>
      <c r="F815" s="1"/>
      <c r="G815" s="23"/>
      <c r="H815" s="23"/>
      <c r="I815" s="23"/>
      <c r="J815" s="2" t="s">
        <v>200</v>
      </c>
      <c r="K815" s="2" t="s">
        <v>200</v>
      </c>
      <c r="L815" s="40"/>
      <c r="M815" s="40"/>
      <c r="N815" s="40"/>
      <c r="O815" s="2"/>
      <c r="P815" s="42"/>
      <c r="Q815" s="42"/>
      <c r="R815" s="42"/>
      <c r="S815" s="42"/>
      <c r="T815" s="42"/>
      <c r="U815" s="42"/>
      <c r="V815" s="42"/>
      <c r="W815" s="42"/>
      <c r="X815" s="42"/>
      <c r="Y815" s="42"/>
      <c r="Z815" s="42"/>
      <c r="AA815" s="42"/>
      <c r="AB815" s="42"/>
      <c r="AC815" s="42"/>
      <c r="AD815" s="37" t="s">
        <v>200</v>
      </c>
      <c r="AE815" s="37" t="s">
        <v>200</v>
      </c>
      <c r="AF815" s="37" t="s">
        <v>200</v>
      </c>
      <c r="AG815" s="37"/>
      <c r="AI815" s="24"/>
    </row>
    <row r="816">
      <c r="A816" s="11"/>
      <c r="B816" s="23"/>
      <c r="C816" s="23"/>
      <c r="D816" s="23"/>
      <c r="E816" s="23"/>
      <c r="F816" s="1"/>
      <c r="G816" s="23"/>
      <c r="H816" s="23"/>
      <c r="I816" s="23"/>
      <c r="J816" s="2" t="s">
        <v>200</v>
      </c>
      <c r="K816" s="2" t="s">
        <v>200</v>
      </c>
      <c r="L816" s="40"/>
      <c r="M816" s="40"/>
      <c r="N816" s="40"/>
      <c r="O816" s="2"/>
      <c r="P816" s="42"/>
      <c r="Q816" s="42"/>
      <c r="R816" s="42"/>
      <c r="S816" s="42"/>
      <c r="T816" s="42"/>
      <c r="U816" s="42"/>
      <c r="V816" s="42"/>
      <c r="W816" s="42"/>
      <c r="X816" s="42"/>
      <c r="Y816" s="42"/>
      <c r="Z816" s="42"/>
      <c r="AA816" s="42"/>
      <c r="AB816" s="42"/>
      <c r="AC816" s="42"/>
      <c r="AD816" s="37" t="s">
        <v>200</v>
      </c>
      <c r="AE816" s="37" t="s">
        <v>200</v>
      </c>
      <c r="AF816" s="37" t="s">
        <v>200</v>
      </c>
      <c r="AG816" s="37"/>
      <c r="AI816" s="24"/>
    </row>
    <row r="817">
      <c r="A817" s="11"/>
      <c r="B817" s="23"/>
      <c r="C817" s="23"/>
      <c r="D817" s="23"/>
      <c r="E817" s="23"/>
      <c r="F817" s="1"/>
      <c r="G817" s="23"/>
      <c r="H817" s="23"/>
      <c r="I817" s="23"/>
      <c r="J817" s="2" t="s">
        <v>200</v>
      </c>
      <c r="K817" s="2" t="s">
        <v>200</v>
      </c>
      <c r="L817" s="40"/>
      <c r="M817" s="40"/>
      <c r="N817" s="40"/>
      <c r="O817" s="2"/>
      <c r="P817" s="42"/>
      <c r="Q817" s="42"/>
      <c r="R817" s="42"/>
      <c r="S817" s="42"/>
      <c r="T817" s="42"/>
      <c r="U817" s="42"/>
      <c r="V817" s="42"/>
      <c r="W817" s="42"/>
      <c r="X817" s="42"/>
      <c r="Y817" s="42"/>
      <c r="Z817" s="42"/>
      <c r="AA817" s="42"/>
      <c r="AB817" s="42"/>
      <c r="AC817" s="42"/>
      <c r="AD817" s="37" t="s">
        <v>200</v>
      </c>
      <c r="AE817" s="37" t="s">
        <v>200</v>
      </c>
      <c r="AF817" s="37" t="s">
        <v>200</v>
      </c>
      <c r="AG817" s="37"/>
      <c r="AI817" s="24"/>
    </row>
    <row r="818">
      <c r="A818" s="11"/>
      <c r="B818" s="23"/>
      <c r="C818" s="23"/>
      <c r="D818" s="23"/>
      <c r="E818" s="23"/>
      <c r="F818" s="1"/>
      <c r="G818" s="23"/>
      <c r="H818" s="23"/>
      <c r="I818" s="23"/>
      <c r="J818" s="2" t="s">
        <v>200</v>
      </c>
      <c r="K818" s="2" t="s">
        <v>200</v>
      </c>
      <c r="L818" s="40"/>
      <c r="M818" s="40"/>
      <c r="N818" s="40"/>
      <c r="O818" s="2"/>
      <c r="P818" s="42"/>
      <c r="Q818" s="42"/>
      <c r="R818" s="42"/>
      <c r="S818" s="42"/>
      <c r="T818" s="42"/>
      <c r="U818" s="42"/>
      <c r="V818" s="42"/>
      <c r="W818" s="42"/>
      <c r="X818" s="42"/>
      <c r="Y818" s="42"/>
      <c r="Z818" s="42"/>
      <c r="AA818" s="42"/>
      <c r="AB818" s="42"/>
      <c r="AC818" s="42"/>
      <c r="AD818" s="37" t="s">
        <v>200</v>
      </c>
      <c r="AE818" s="37" t="s">
        <v>200</v>
      </c>
      <c r="AF818" s="37" t="s">
        <v>200</v>
      </c>
      <c r="AG818" s="37"/>
      <c r="AI818" s="24"/>
    </row>
    <row r="819">
      <c r="A819" s="11"/>
      <c r="B819" s="23"/>
      <c r="C819" s="23"/>
      <c r="D819" s="23"/>
      <c r="E819" s="23"/>
      <c r="F819" s="1"/>
      <c r="G819" s="23"/>
      <c r="H819" s="23"/>
      <c r="I819" s="23"/>
      <c r="J819" s="2" t="s">
        <v>200</v>
      </c>
      <c r="K819" s="2" t="s">
        <v>200</v>
      </c>
      <c r="L819" s="40"/>
      <c r="M819" s="40"/>
      <c r="N819" s="40"/>
      <c r="O819" s="2"/>
      <c r="P819" s="42"/>
      <c r="Q819" s="42"/>
      <c r="R819" s="42"/>
      <c r="S819" s="42"/>
      <c r="T819" s="42"/>
      <c r="U819" s="42"/>
      <c r="V819" s="42"/>
      <c r="W819" s="42"/>
      <c r="X819" s="42"/>
      <c r="Y819" s="42"/>
      <c r="Z819" s="42"/>
      <c r="AA819" s="42"/>
      <c r="AB819" s="42"/>
      <c r="AC819" s="42"/>
      <c r="AD819" s="37" t="s">
        <v>200</v>
      </c>
      <c r="AE819" s="37" t="s">
        <v>200</v>
      </c>
      <c r="AF819" s="37" t="s">
        <v>200</v>
      </c>
      <c r="AG819" s="37"/>
      <c r="AI819" s="24"/>
    </row>
    <row r="820">
      <c r="A820" s="11"/>
      <c r="B820" s="23"/>
      <c r="C820" s="23"/>
      <c r="D820" s="23"/>
      <c r="E820" s="23"/>
      <c r="F820" s="1"/>
      <c r="G820" s="23"/>
      <c r="H820" s="23"/>
      <c r="I820" s="23"/>
      <c r="J820" s="2" t="s">
        <v>200</v>
      </c>
      <c r="K820" s="2" t="s">
        <v>200</v>
      </c>
      <c r="L820" s="40"/>
      <c r="M820" s="40"/>
      <c r="N820" s="40"/>
      <c r="O820" s="2"/>
      <c r="P820" s="42"/>
      <c r="Q820" s="42"/>
      <c r="R820" s="42"/>
      <c r="S820" s="42"/>
      <c r="T820" s="42"/>
      <c r="U820" s="42"/>
      <c r="V820" s="42"/>
      <c r="W820" s="42"/>
      <c r="X820" s="42"/>
      <c r="Y820" s="42"/>
      <c r="Z820" s="42"/>
      <c r="AA820" s="42"/>
      <c r="AB820" s="42"/>
      <c r="AC820" s="42"/>
      <c r="AD820" s="37" t="s">
        <v>200</v>
      </c>
      <c r="AE820" s="37" t="s">
        <v>200</v>
      </c>
      <c r="AF820" s="37" t="s">
        <v>200</v>
      </c>
      <c r="AG820" s="37"/>
      <c r="AI820" s="24"/>
    </row>
    <row r="821">
      <c r="A821" s="11"/>
      <c r="B821" s="23"/>
      <c r="C821" s="23"/>
      <c r="D821" s="23"/>
      <c r="E821" s="23"/>
      <c r="F821" s="1"/>
      <c r="G821" s="23"/>
      <c r="H821" s="23"/>
      <c r="I821" s="23"/>
      <c r="J821" s="2" t="s">
        <v>200</v>
      </c>
      <c r="K821" s="2" t="s">
        <v>200</v>
      </c>
      <c r="L821" s="40"/>
      <c r="M821" s="40"/>
      <c r="N821" s="40"/>
      <c r="O821" s="2"/>
      <c r="P821" s="42"/>
      <c r="Q821" s="42"/>
      <c r="R821" s="42"/>
      <c r="S821" s="42"/>
      <c r="T821" s="42"/>
      <c r="U821" s="42"/>
      <c r="V821" s="42"/>
      <c r="W821" s="42"/>
      <c r="X821" s="42"/>
      <c r="Y821" s="42"/>
      <c r="Z821" s="42"/>
      <c r="AA821" s="42"/>
      <c r="AB821" s="42"/>
      <c r="AC821" s="42"/>
      <c r="AD821" s="37" t="s">
        <v>200</v>
      </c>
      <c r="AE821" s="37" t="s">
        <v>200</v>
      </c>
      <c r="AF821" s="37" t="s">
        <v>200</v>
      </c>
      <c r="AG821" s="37"/>
      <c r="AI821" s="24"/>
    </row>
    <row r="822">
      <c r="A822" s="11"/>
      <c r="B822" s="23"/>
      <c r="C822" s="23"/>
      <c r="D822" s="23"/>
      <c r="E822" s="23"/>
      <c r="F822" s="1"/>
      <c r="G822" s="23"/>
      <c r="H822" s="23"/>
      <c r="I822" s="23"/>
      <c r="J822" s="2" t="s">
        <v>200</v>
      </c>
      <c r="K822" s="2" t="s">
        <v>200</v>
      </c>
      <c r="L822" s="40"/>
      <c r="M822" s="40"/>
      <c r="N822" s="40"/>
      <c r="O822" s="2"/>
      <c r="P822" s="42"/>
      <c r="Q822" s="42"/>
      <c r="R822" s="42"/>
      <c r="S822" s="42"/>
      <c r="T822" s="42"/>
      <c r="U822" s="42"/>
      <c r="V822" s="42"/>
      <c r="W822" s="42"/>
      <c r="X822" s="42"/>
      <c r="Y822" s="42"/>
      <c r="Z822" s="42"/>
      <c r="AA822" s="42"/>
      <c r="AB822" s="42"/>
      <c r="AC822" s="42"/>
      <c r="AD822" s="37" t="s">
        <v>200</v>
      </c>
      <c r="AE822" s="37" t="s">
        <v>200</v>
      </c>
      <c r="AF822" s="37" t="s">
        <v>200</v>
      </c>
      <c r="AG822" s="37"/>
      <c r="AI822" s="24"/>
    </row>
    <row r="823">
      <c r="A823" s="11"/>
      <c r="B823" s="23"/>
      <c r="C823" s="23"/>
      <c r="D823" s="23"/>
      <c r="E823" s="23"/>
      <c r="F823" s="1"/>
      <c r="G823" s="23"/>
      <c r="H823" s="23"/>
      <c r="I823" s="23"/>
      <c r="J823" s="2" t="s">
        <v>200</v>
      </c>
      <c r="K823" s="2" t="s">
        <v>200</v>
      </c>
      <c r="L823" s="40"/>
      <c r="M823" s="40"/>
      <c r="N823" s="40"/>
      <c r="O823" s="2"/>
      <c r="P823" s="42"/>
      <c r="Q823" s="42"/>
      <c r="R823" s="42"/>
      <c r="S823" s="42"/>
      <c r="T823" s="42"/>
      <c r="U823" s="42"/>
      <c r="V823" s="42"/>
      <c r="W823" s="42"/>
      <c r="X823" s="42"/>
      <c r="Y823" s="42"/>
      <c r="Z823" s="42"/>
      <c r="AA823" s="42"/>
      <c r="AB823" s="42"/>
      <c r="AC823" s="42"/>
      <c r="AD823" s="37" t="s">
        <v>200</v>
      </c>
      <c r="AE823" s="37" t="s">
        <v>200</v>
      </c>
      <c r="AF823" s="37" t="s">
        <v>200</v>
      </c>
      <c r="AG823" s="37"/>
      <c r="AI823" s="24"/>
    </row>
    <row r="824">
      <c r="A824" s="11"/>
      <c r="B824" s="23"/>
      <c r="C824" s="23"/>
      <c r="D824" s="23"/>
      <c r="E824" s="23"/>
      <c r="F824" s="1"/>
      <c r="G824" s="23"/>
      <c r="H824" s="23"/>
      <c r="I824" s="23"/>
      <c r="J824" s="2" t="s">
        <v>200</v>
      </c>
      <c r="K824" s="2" t="s">
        <v>200</v>
      </c>
      <c r="L824" s="40"/>
      <c r="M824" s="40"/>
      <c r="N824" s="40"/>
      <c r="O824" s="2"/>
      <c r="P824" s="42"/>
      <c r="Q824" s="42"/>
      <c r="R824" s="42"/>
      <c r="S824" s="42"/>
      <c r="T824" s="42"/>
      <c r="U824" s="42"/>
      <c r="V824" s="42"/>
      <c r="W824" s="42"/>
      <c r="X824" s="42"/>
      <c r="Y824" s="42"/>
      <c r="Z824" s="42"/>
      <c r="AA824" s="42"/>
      <c r="AB824" s="42"/>
      <c r="AC824" s="42"/>
      <c r="AD824" s="37" t="s">
        <v>200</v>
      </c>
      <c r="AE824" s="37" t="s">
        <v>200</v>
      </c>
      <c r="AF824" s="37" t="s">
        <v>200</v>
      </c>
      <c r="AG824" s="37"/>
      <c r="AI824" s="24"/>
    </row>
    <row r="825">
      <c r="A825" s="11"/>
      <c r="B825" s="23"/>
      <c r="C825" s="23"/>
      <c r="D825" s="23"/>
      <c r="E825" s="23"/>
      <c r="F825" s="1"/>
      <c r="G825" s="23"/>
      <c r="H825" s="23"/>
      <c r="I825" s="23"/>
      <c r="J825" s="2" t="s">
        <v>200</v>
      </c>
      <c r="K825" s="2" t="s">
        <v>200</v>
      </c>
      <c r="L825" s="40"/>
      <c r="M825" s="40"/>
      <c r="N825" s="40"/>
      <c r="O825" s="2"/>
      <c r="P825" s="42"/>
      <c r="Q825" s="42"/>
      <c r="R825" s="42"/>
      <c r="S825" s="42"/>
      <c r="T825" s="42"/>
      <c r="U825" s="42"/>
      <c r="V825" s="42"/>
      <c r="W825" s="42"/>
      <c r="X825" s="42"/>
      <c r="Y825" s="42"/>
      <c r="Z825" s="42"/>
      <c r="AA825" s="42"/>
      <c r="AB825" s="42"/>
      <c r="AC825" s="42"/>
      <c r="AD825" s="37" t="s">
        <v>200</v>
      </c>
      <c r="AE825" s="37" t="s">
        <v>200</v>
      </c>
      <c r="AF825" s="37" t="s">
        <v>200</v>
      </c>
      <c r="AG825" s="37"/>
      <c r="AI825" s="24"/>
    </row>
    <row r="826">
      <c r="A826" s="11"/>
      <c r="B826" s="23"/>
      <c r="C826" s="23"/>
      <c r="D826" s="23"/>
      <c r="E826" s="23"/>
      <c r="F826" s="1"/>
      <c r="G826" s="23"/>
      <c r="H826" s="23"/>
      <c r="I826" s="23"/>
      <c r="J826" s="2" t="s">
        <v>200</v>
      </c>
      <c r="K826" s="2" t="s">
        <v>200</v>
      </c>
      <c r="L826" s="40"/>
      <c r="M826" s="40"/>
      <c r="N826" s="40"/>
      <c r="O826" s="2"/>
      <c r="P826" s="42"/>
      <c r="Q826" s="42"/>
      <c r="R826" s="42"/>
      <c r="S826" s="42"/>
      <c r="T826" s="42"/>
      <c r="U826" s="42"/>
      <c r="V826" s="42"/>
      <c r="W826" s="42"/>
      <c r="X826" s="42"/>
      <c r="Y826" s="42"/>
      <c r="Z826" s="42"/>
      <c r="AA826" s="42"/>
      <c r="AB826" s="42"/>
      <c r="AC826" s="42"/>
      <c r="AD826" s="37" t="s">
        <v>200</v>
      </c>
      <c r="AE826" s="37" t="s">
        <v>200</v>
      </c>
      <c r="AF826" s="37" t="s">
        <v>200</v>
      </c>
      <c r="AG826" s="37"/>
      <c r="AI826" s="24"/>
    </row>
    <row r="827">
      <c r="A827" s="11"/>
      <c r="B827" s="23"/>
      <c r="C827" s="23"/>
      <c r="D827" s="23"/>
      <c r="E827" s="23"/>
      <c r="F827" s="1"/>
      <c r="G827" s="23"/>
      <c r="H827" s="23"/>
      <c r="I827" s="23"/>
      <c r="J827" s="2" t="s">
        <v>200</v>
      </c>
      <c r="K827" s="2" t="s">
        <v>200</v>
      </c>
      <c r="L827" s="40"/>
      <c r="M827" s="40"/>
      <c r="N827" s="40"/>
      <c r="O827" s="2"/>
      <c r="P827" s="42"/>
      <c r="Q827" s="42"/>
      <c r="R827" s="42"/>
      <c r="S827" s="42"/>
      <c r="T827" s="42"/>
      <c r="U827" s="42"/>
      <c r="V827" s="42"/>
      <c r="W827" s="42"/>
      <c r="X827" s="42"/>
      <c r="Y827" s="42"/>
      <c r="Z827" s="42"/>
      <c r="AA827" s="42"/>
      <c r="AB827" s="42"/>
      <c r="AC827" s="42"/>
      <c r="AD827" s="37" t="s">
        <v>200</v>
      </c>
      <c r="AE827" s="37" t="s">
        <v>200</v>
      </c>
      <c r="AF827" s="37" t="s">
        <v>200</v>
      </c>
      <c r="AG827" s="37"/>
      <c r="AI827" s="24"/>
    </row>
    <row r="828">
      <c r="A828" s="11"/>
      <c r="B828" s="23"/>
      <c r="C828" s="23"/>
      <c r="D828" s="23"/>
      <c r="E828" s="23"/>
      <c r="F828" s="1"/>
      <c r="G828" s="23"/>
      <c r="H828" s="23"/>
      <c r="I828" s="23"/>
      <c r="J828" s="2" t="s">
        <v>200</v>
      </c>
      <c r="K828" s="2" t="s">
        <v>200</v>
      </c>
      <c r="L828" s="40"/>
      <c r="M828" s="40"/>
      <c r="N828" s="40"/>
      <c r="O828" s="2"/>
      <c r="P828" s="42"/>
      <c r="Q828" s="42"/>
      <c r="R828" s="42"/>
      <c r="S828" s="42"/>
      <c r="T828" s="42"/>
      <c r="U828" s="42"/>
      <c r="V828" s="42"/>
      <c r="W828" s="42"/>
      <c r="X828" s="42"/>
      <c r="Y828" s="42"/>
      <c r="Z828" s="42"/>
      <c r="AA828" s="42"/>
      <c r="AB828" s="42"/>
      <c r="AC828" s="42"/>
      <c r="AD828" s="37" t="s">
        <v>200</v>
      </c>
      <c r="AE828" s="37" t="s">
        <v>200</v>
      </c>
      <c r="AF828" s="37" t="s">
        <v>200</v>
      </c>
      <c r="AG828" s="37"/>
      <c r="AI828" s="24"/>
    </row>
    <row r="829">
      <c r="A829" s="11"/>
      <c r="B829" s="23"/>
      <c r="C829" s="23"/>
      <c r="D829" s="23"/>
      <c r="E829" s="23"/>
      <c r="F829" s="1"/>
      <c r="G829" s="23"/>
      <c r="H829" s="23"/>
      <c r="I829" s="23"/>
      <c r="J829" s="2" t="s">
        <v>200</v>
      </c>
      <c r="K829" s="2" t="s">
        <v>200</v>
      </c>
      <c r="L829" s="40"/>
      <c r="M829" s="40"/>
      <c r="N829" s="40"/>
      <c r="O829" s="2"/>
      <c r="P829" s="42"/>
      <c r="Q829" s="42"/>
      <c r="R829" s="42"/>
      <c r="S829" s="42"/>
      <c r="T829" s="42"/>
      <c r="U829" s="42"/>
      <c r="V829" s="42"/>
      <c r="W829" s="42"/>
      <c r="X829" s="42"/>
      <c r="Y829" s="42"/>
      <c r="Z829" s="42"/>
      <c r="AA829" s="42"/>
      <c r="AB829" s="42"/>
      <c r="AC829" s="42"/>
      <c r="AD829" s="37" t="s">
        <v>200</v>
      </c>
      <c r="AE829" s="37" t="s">
        <v>200</v>
      </c>
      <c r="AF829" s="37" t="s">
        <v>200</v>
      </c>
      <c r="AG829" s="37"/>
      <c r="AI829" s="24"/>
    </row>
    <row r="830">
      <c r="A830" s="11"/>
      <c r="B830" s="23"/>
      <c r="C830" s="23"/>
      <c r="D830" s="23"/>
      <c r="E830" s="23"/>
      <c r="F830" s="1"/>
      <c r="G830" s="23"/>
      <c r="H830" s="23"/>
      <c r="I830" s="23"/>
      <c r="J830" s="2" t="s">
        <v>200</v>
      </c>
      <c r="K830" s="2" t="s">
        <v>200</v>
      </c>
      <c r="L830" s="40"/>
      <c r="M830" s="40"/>
      <c r="N830" s="40"/>
      <c r="O830" s="2"/>
      <c r="P830" s="42"/>
      <c r="Q830" s="42"/>
      <c r="R830" s="42"/>
      <c r="S830" s="42"/>
      <c r="T830" s="42"/>
      <c r="U830" s="42"/>
      <c r="V830" s="42"/>
      <c r="W830" s="42"/>
      <c r="X830" s="42"/>
      <c r="Y830" s="42"/>
      <c r="Z830" s="42"/>
      <c r="AA830" s="42"/>
      <c r="AB830" s="42"/>
      <c r="AC830" s="42"/>
      <c r="AD830" s="37" t="s">
        <v>200</v>
      </c>
      <c r="AE830" s="37" t="s">
        <v>200</v>
      </c>
      <c r="AF830" s="37" t="s">
        <v>200</v>
      </c>
      <c r="AG830" s="37"/>
      <c r="AI830" s="24"/>
    </row>
    <row r="831">
      <c r="A831" s="11"/>
      <c r="B831" s="23"/>
      <c r="C831" s="23"/>
      <c r="D831" s="23"/>
      <c r="E831" s="23"/>
      <c r="F831" s="1"/>
      <c r="G831" s="23"/>
      <c r="H831" s="23"/>
      <c r="I831" s="23"/>
      <c r="J831" s="2" t="s">
        <v>200</v>
      </c>
      <c r="K831" s="2" t="s">
        <v>200</v>
      </c>
      <c r="L831" s="40"/>
      <c r="M831" s="40"/>
      <c r="N831" s="40"/>
      <c r="O831" s="2"/>
      <c r="P831" s="42"/>
      <c r="Q831" s="42"/>
      <c r="R831" s="42"/>
      <c r="S831" s="42"/>
      <c r="T831" s="42"/>
      <c r="U831" s="42"/>
      <c r="V831" s="42"/>
      <c r="W831" s="42"/>
      <c r="X831" s="42"/>
      <c r="Y831" s="42"/>
      <c r="Z831" s="42"/>
      <c r="AA831" s="42"/>
      <c r="AB831" s="42"/>
      <c r="AC831" s="42"/>
      <c r="AD831" s="37" t="s">
        <v>200</v>
      </c>
      <c r="AE831" s="37" t="s">
        <v>200</v>
      </c>
      <c r="AF831" s="37" t="s">
        <v>200</v>
      </c>
      <c r="AG831" s="37"/>
      <c r="AI831" s="24"/>
    </row>
    <row r="832">
      <c r="A832" s="11"/>
      <c r="B832" s="23"/>
      <c r="C832" s="23"/>
      <c r="D832" s="23"/>
      <c r="E832" s="23"/>
      <c r="F832" s="1"/>
      <c r="G832" s="23"/>
      <c r="H832" s="23"/>
      <c r="I832" s="23"/>
      <c r="J832" s="2" t="s">
        <v>200</v>
      </c>
      <c r="K832" s="2" t="s">
        <v>200</v>
      </c>
      <c r="L832" s="40"/>
      <c r="M832" s="40"/>
      <c r="N832" s="40"/>
      <c r="O832" s="2"/>
      <c r="P832" s="42"/>
      <c r="Q832" s="42"/>
      <c r="R832" s="42"/>
      <c r="S832" s="42"/>
      <c r="T832" s="42"/>
      <c r="U832" s="42"/>
      <c r="V832" s="42"/>
      <c r="W832" s="42"/>
      <c r="X832" s="42"/>
      <c r="Y832" s="42"/>
      <c r="Z832" s="42"/>
      <c r="AA832" s="42"/>
      <c r="AB832" s="42"/>
      <c r="AC832" s="42"/>
      <c r="AD832" s="37" t="s">
        <v>200</v>
      </c>
      <c r="AE832" s="37" t="s">
        <v>200</v>
      </c>
      <c r="AF832" s="37" t="s">
        <v>200</v>
      </c>
      <c r="AG832" s="37"/>
      <c r="AI832" s="24"/>
    </row>
    <row r="833">
      <c r="A833" s="11"/>
      <c r="B833" s="23"/>
      <c r="C833" s="23"/>
      <c r="D833" s="23"/>
      <c r="E833" s="23"/>
      <c r="F833" s="1"/>
      <c r="G833" s="23"/>
      <c r="H833" s="23"/>
      <c r="I833" s="23"/>
      <c r="J833" s="2" t="s">
        <v>200</v>
      </c>
      <c r="K833" s="2" t="s">
        <v>200</v>
      </c>
      <c r="L833" s="40"/>
      <c r="M833" s="40"/>
      <c r="N833" s="40"/>
      <c r="O833" s="2"/>
      <c r="P833" s="42"/>
      <c r="Q833" s="42"/>
      <c r="R833" s="42"/>
      <c r="S833" s="42"/>
      <c r="T833" s="42"/>
      <c r="U833" s="42"/>
      <c r="V833" s="42"/>
      <c r="W833" s="42"/>
      <c r="X833" s="42"/>
      <c r="Y833" s="42"/>
      <c r="Z833" s="42"/>
      <c r="AA833" s="42"/>
      <c r="AB833" s="42"/>
      <c r="AC833" s="42"/>
      <c r="AD833" s="37" t="s">
        <v>200</v>
      </c>
      <c r="AE833" s="37" t="s">
        <v>200</v>
      </c>
      <c r="AF833" s="37" t="s">
        <v>200</v>
      </c>
      <c r="AG833" s="37"/>
      <c r="AI833" s="24"/>
    </row>
    <row r="834">
      <c r="A834" s="11"/>
      <c r="B834" s="23"/>
      <c r="C834" s="23"/>
      <c r="D834" s="23"/>
      <c r="E834" s="23"/>
      <c r="F834" s="1"/>
      <c r="G834" s="23"/>
      <c r="H834" s="23"/>
      <c r="I834" s="23"/>
      <c r="J834" s="2" t="s">
        <v>200</v>
      </c>
      <c r="K834" s="2" t="s">
        <v>200</v>
      </c>
      <c r="L834" s="40"/>
      <c r="M834" s="40"/>
      <c r="N834" s="40"/>
      <c r="O834" s="2"/>
      <c r="P834" s="42"/>
      <c r="Q834" s="42"/>
      <c r="R834" s="42"/>
      <c r="S834" s="42"/>
      <c r="T834" s="42"/>
      <c r="U834" s="42"/>
      <c r="V834" s="42"/>
      <c r="W834" s="42"/>
      <c r="X834" s="42"/>
      <c r="Y834" s="42"/>
      <c r="Z834" s="42"/>
      <c r="AA834" s="42"/>
      <c r="AB834" s="42"/>
      <c r="AC834" s="42"/>
      <c r="AD834" s="37" t="s">
        <v>200</v>
      </c>
      <c r="AE834" s="37" t="s">
        <v>200</v>
      </c>
      <c r="AF834" s="37" t="s">
        <v>200</v>
      </c>
      <c r="AG834" s="37"/>
      <c r="AI834" s="24"/>
    </row>
    <row r="835">
      <c r="A835" s="11"/>
      <c r="B835" s="23"/>
      <c r="C835" s="23"/>
      <c r="D835" s="23"/>
      <c r="E835" s="23"/>
      <c r="F835" s="1"/>
      <c r="G835" s="23"/>
      <c r="H835" s="23"/>
      <c r="I835" s="23"/>
      <c r="J835" s="2" t="s">
        <v>200</v>
      </c>
      <c r="K835" s="2" t="s">
        <v>200</v>
      </c>
      <c r="L835" s="40"/>
      <c r="M835" s="40"/>
      <c r="N835" s="40"/>
      <c r="O835" s="2"/>
      <c r="P835" s="42"/>
      <c r="Q835" s="42"/>
      <c r="R835" s="42"/>
      <c r="S835" s="42"/>
      <c r="T835" s="42"/>
      <c r="U835" s="42"/>
      <c r="V835" s="42"/>
      <c r="W835" s="42"/>
      <c r="X835" s="42"/>
      <c r="Y835" s="42"/>
      <c r="Z835" s="42"/>
      <c r="AA835" s="42"/>
      <c r="AB835" s="42"/>
      <c r="AC835" s="42"/>
      <c r="AD835" s="37" t="s">
        <v>200</v>
      </c>
      <c r="AE835" s="37" t="s">
        <v>200</v>
      </c>
      <c r="AF835" s="37" t="s">
        <v>200</v>
      </c>
      <c r="AG835" s="37"/>
      <c r="AI835" s="24"/>
    </row>
    <row r="836">
      <c r="A836" s="11"/>
      <c r="B836" s="23"/>
      <c r="C836" s="23"/>
      <c r="D836" s="23"/>
      <c r="E836" s="23"/>
      <c r="F836" s="1"/>
      <c r="G836" s="23"/>
      <c r="H836" s="23"/>
      <c r="I836" s="23"/>
      <c r="J836" s="2" t="s">
        <v>200</v>
      </c>
      <c r="K836" s="2" t="s">
        <v>200</v>
      </c>
      <c r="L836" s="40"/>
      <c r="M836" s="40"/>
      <c r="N836" s="40"/>
      <c r="O836" s="2"/>
      <c r="P836" s="42"/>
      <c r="Q836" s="42"/>
      <c r="R836" s="42"/>
      <c r="S836" s="42"/>
      <c r="T836" s="42"/>
      <c r="U836" s="42"/>
      <c r="V836" s="42"/>
      <c r="W836" s="42"/>
      <c r="X836" s="42"/>
      <c r="Y836" s="42"/>
      <c r="Z836" s="42"/>
      <c r="AA836" s="42"/>
      <c r="AB836" s="42"/>
      <c r="AC836" s="42"/>
      <c r="AD836" s="37" t="s">
        <v>200</v>
      </c>
      <c r="AE836" s="37" t="s">
        <v>200</v>
      </c>
      <c r="AF836" s="37" t="s">
        <v>200</v>
      </c>
      <c r="AG836" s="37"/>
      <c r="AI836" s="24"/>
    </row>
    <row r="837">
      <c r="A837" s="11"/>
      <c r="B837" s="23"/>
      <c r="C837" s="23"/>
      <c r="D837" s="23"/>
      <c r="E837" s="23"/>
      <c r="F837" s="1"/>
      <c r="G837" s="23"/>
      <c r="H837" s="23"/>
      <c r="I837" s="23"/>
      <c r="J837" s="2" t="s">
        <v>200</v>
      </c>
      <c r="K837" s="2" t="s">
        <v>200</v>
      </c>
      <c r="L837" s="40"/>
      <c r="M837" s="40"/>
      <c r="N837" s="40"/>
      <c r="O837" s="2"/>
      <c r="P837" s="42"/>
      <c r="Q837" s="42"/>
      <c r="R837" s="42"/>
      <c r="S837" s="42"/>
      <c r="T837" s="42"/>
      <c r="U837" s="42"/>
      <c r="V837" s="42"/>
      <c r="W837" s="42"/>
      <c r="X837" s="42"/>
      <c r="Y837" s="42"/>
      <c r="Z837" s="42"/>
      <c r="AA837" s="42"/>
      <c r="AB837" s="42"/>
      <c r="AC837" s="42"/>
      <c r="AD837" s="37" t="s">
        <v>200</v>
      </c>
      <c r="AE837" s="37" t="s">
        <v>200</v>
      </c>
      <c r="AF837" s="37" t="s">
        <v>200</v>
      </c>
      <c r="AG837" s="37"/>
      <c r="AI837" s="24"/>
    </row>
    <row r="838">
      <c r="A838" s="11"/>
      <c r="B838" s="23"/>
      <c r="C838" s="23"/>
      <c r="D838" s="23"/>
      <c r="E838" s="23"/>
      <c r="F838" s="1"/>
      <c r="G838" s="23"/>
      <c r="H838" s="23"/>
      <c r="I838" s="23"/>
      <c r="J838" s="2" t="s">
        <v>200</v>
      </c>
      <c r="K838" s="2" t="s">
        <v>200</v>
      </c>
      <c r="L838" s="40"/>
      <c r="M838" s="40"/>
      <c r="N838" s="40"/>
      <c r="O838" s="2"/>
      <c r="P838" s="42"/>
      <c r="Q838" s="42"/>
      <c r="R838" s="42"/>
      <c r="S838" s="42"/>
      <c r="T838" s="42"/>
      <c r="U838" s="42"/>
      <c r="V838" s="42"/>
      <c r="W838" s="42"/>
      <c r="X838" s="42"/>
      <c r="Y838" s="42"/>
      <c r="Z838" s="42"/>
      <c r="AA838" s="42"/>
      <c r="AB838" s="42"/>
      <c r="AC838" s="42"/>
      <c r="AD838" s="37" t="s">
        <v>200</v>
      </c>
      <c r="AE838" s="37" t="s">
        <v>200</v>
      </c>
      <c r="AF838" s="37" t="s">
        <v>200</v>
      </c>
      <c r="AG838" s="37"/>
      <c r="AI838" s="24"/>
    </row>
    <row r="839">
      <c r="A839" s="11"/>
      <c r="B839" s="23"/>
      <c r="C839" s="23"/>
      <c r="D839" s="23"/>
      <c r="E839" s="23"/>
      <c r="F839" s="1"/>
      <c r="G839" s="23"/>
      <c r="H839" s="23"/>
      <c r="I839" s="23"/>
      <c r="J839" s="2" t="s">
        <v>200</v>
      </c>
      <c r="K839" s="2" t="s">
        <v>200</v>
      </c>
      <c r="L839" s="40"/>
      <c r="M839" s="40"/>
      <c r="N839" s="40"/>
      <c r="O839" s="2"/>
      <c r="P839" s="42"/>
      <c r="Q839" s="42"/>
      <c r="R839" s="42"/>
      <c r="S839" s="42"/>
      <c r="T839" s="42"/>
      <c r="U839" s="42"/>
      <c r="V839" s="42"/>
      <c r="W839" s="42"/>
      <c r="X839" s="42"/>
      <c r="Y839" s="42"/>
      <c r="Z839" s="42"/>
      <c r="AA839" s="42"/>
      <c r="AB839" s="42"/>
      <c r="AC839" s="42"/>
      <c r="AD839" s="37" t="s">
        <v>200</v>
      </c>
      <c r="AE839" s="37" t="s">
        <v>200</v>
      </c>
      <c r="AF839" s="37" t="s">
        <v>200</v>
      </c>
      <c r="AG839" s="37"/>
      <c r="AI839" s="24"/>
    </row>
    <row r="840">
      <c r="A840" s="11"/>
      <c r="B840" s="23"/>
      <c r="C840" s="23"/>
      <c r="D840" s="23"/>
      <c r="E840" s="23"/>
      <c r="F840" s="1"/>
      <c r="G840" s="23"/>
      <c r="H840" s="23"/>
      <c r="I840" s="23"/>
      <c r="J840" s="2" t="s">
        <v>200</v>
      </c>
      <c r="K840" s="2" t="s">
        <v>200</v>
      </c>
      <c r="L840" s="40"/>
      <c r="M840" s="40"/>
      <c r="N840" s="40"/>
      <c r="O840" s="2"/>
      <c r="P840" s="42"/>
      <c r="Q840" s="42"/>
      <c r="R840" s="42"/>
      <c r="S840" s="42"/>
      <c r="T840" s="42"/>
      <c r="U840" s="42"/>
      <c r="V840" s="42"/>
      <c r="W840" s="42"/>
      <c r="X840" s="42"/>
      <c r="Y840" s="42"/>
      <c r="Z840" s="42"/>
      <c r="AA840" s="42"/>
      <c r="AB840" s="42"/>
      <c r="AC840" s="42"/>
      <c r="AD840" s="37" t="s">
        <v>200</v>
      </c>
      <c r="AE840" s="37" t="s">
        <v>200</v>
      </c>
      <c r="AF840" s="37" t="s">
        <v>200</v>
      </c>
      <c r="AG840" s="37"/>
      <c r="AI840" s="24"/>
    </row>
    <row r="841">
      <c r="A841" s="11"/>
      <c r="B841" s="23"/>
      <c r="C841" s="23"/>
      <c r="D841" s="23"/>
      <c r="E841" s="23"/>
      <c r="F841" s="1"/>
      <c r="G841" s="23"/>
      <c r="H841" s="23"/>
      <c r="I841" s="23"/>
      <c r="J841" s="2" t="s">
        <v>200</v>
      </c>
      <c r="K841" s="2" t="s">
        <v>200</v>
      </c>
      <c r="L841" s="40"/>
      <c r="M841" s="40"/>
      <c r="N841" s="40"/>
      <c r="O841" s="2"/>
      <c r="P841" s="42"/>
      <c r="Q841" s="42"/>
      <c r="R841" s="42"/>
      <c r="S841" s="42"/>
      <c r="T841" s="42"/>
      <c r="U841" s="42"/>
      <c r="V841" s="42"/>
      <c r="W841" s="42"/>
      <c r="X841" s="42"/>
      <c r="Y841" s="42"/>
      <c r="Z841" s="42"/>
      <c r="AA841" s="42"/>
      <c r="AB841" s="42"/>
      <c r="AC841" s="42"/>
      <c r="AD841" s="37" t="s">
        <v>200</v>
      </c>
      <c r="AE841" s="37" t="s">
        <v>200</v>
      </c>
      <c r="AF841" s="37" t="s">
        <v>200</v>
      </c>
      <c r="AG841" s="37"/>
      <c r="AI841" s="24"/>
    </row>
    <row r="842">
      <c r="A842" s="11"/>
      <c r="B842" s="23"/>
      <c r="C842" s="23"/>
      <c r="D842" s="23"/>
      <c r="E842" s="23"/>
      <c r="F842" s="1"/>
      <c r="G842" s="23"/>
      <c r="H842" s="23"/>
      <c r="I842" s="23"/>
      <c r="J842" s="2" t="s">
        <v>200</v>
      </c>
      <c r="K842" s="2" t="s">
        <v>200</v>
      </c>
      <c r="L842" s="40"/>
      <c r="M842" s="40"/>
      <c r="N842" s="40"/>
      <c r="O842" s="2"/>
      <c r="P842" s="42"/>
      <c r="Q842" s="42"/>
      <c r="R842" s="42"/>
      <c r="S842" s="42"/>
      <c r="T842" s="42"/>
      <c r="U842" s="42"/>
      <c r="V842" s="42"/>
      <c r="W842" s="42"/>
      <c r="X842" s="42"/>
      <c r="Y842" s="42"/>
      <c r="Z842" s="42"/>
      <c r="AA842" s="42"/>
      <c r="AB842" s="42"/>
      <c r="AC842" s="42"/>
      <c r="AD842" s="37" t="s">
        <v>200</v>
      </c>
      <c r="AE842" s="37" t="s">
        <v>200</v>
      </c>
      <c r="AF842" s="37" t="s">
        <v>200</v>
      </c>
      <c r="AG842" s="37"/>
      <c r="AI842" s="24"/>
    </row>
    <row r="843">
      <c r="A843" s="11"/>
      <c r="B843" s="23"/>
      <c r="C843" s="23"/>
      <c r="D843" s="23"/>
      <c r="E843" s="23"/>
      <c r="F843" s="1"/>
      <c r="G843" s="23"/>
      <c r="H843" s="23"/>
      <c r="I843" s="23"/>
      <c r="J843" s="2" t="s">
        <v>200</v>
      </c>
      <c r="K843" s="2" t="s">
        <v>200</v>
      </c>
      <c r="L843" s="40"/>
      <c r="M843" s="40"/>
      <c r="N843" s="40"/>
      <c r="O843" s="2"/>
      <c r="P843" s="42"/>
      <c r="Q843" s="42"/>
      <c r="R843" s="42"/>
      <c r="S843" s="42"/>
      <c r="T843" s="42"/>
      <c r="U843" s="42"/>
      <c r="V843" s="42"/>
      <c r="W843" s="42"/>
      <c r="X843" s="42"/>
      <c r="Y843" s="42"/>
      <c r="Z843" s="42"/>
      <c r="AA843" s="42"/>
      <c r="AB843" s="42"/>
      <c r="AC843" s="42"/>
      <c r="AD843" s="37" t="s">
        <v>200</v>
      </c>
      <c r="AE843" s="37" t="s">
        <v>200</v>
      </c>
      <c r="AF843" s="37" t="s">
        <v>200</v>
      </c>
      <c r="AG843" s="37"/>
      <c r="AI843" s="24"/>
    </row>
    <row r="844">
      <c r="A844" s="11"/>
      <c r="B844" s="23"/>
      <c r="C844" s="23"/>
      <c r="D844" s="23"/>
      <c r="E844" s="23"/>
      <c r="F844" s="1"/>
      <c r="G844" s="23"/>
      <c r="H844" s="23"/>
      <c r="I844" s="23"/>
      <c r="J844" s="2" t="s">
        <v>200</v>
      </c>
      <c r="K844" s="2" t="s">
        <v>200</v>
      </c>
      <c r="L844" s="40"/>
      <c r="M844" s="40"/>
      <c r="N844" s="40"/>
      <c r="O844" s="2"/>
      <c r="P844" s="42"/>
      <c r="Q844" s="42"/>
      <c r="R844" s="42"/>
      <c r="S844" s="42"/>
      <c r="T844" s="42"/>
      <c r="U844" s="42"/>
      <c r="V844" s="42"/>
      <c r="W844" s="42"/>
      <c r="X844" s="42"/>
      <c r="Y844" s="42"/>
      <c r="Z844" s="42"/>
      <c r="AA844" s="42"/>
      <c r="AB844" s="42"/>
      <c r="AC844" s="42"/>
      <c r="AD844" s="37" t="s">
        <v>200</v>
      </c>
      <c r="AE844" s="37" t="s">
        <v>200</v>
      </c>
      <c r="AF844" s="37" t="s">
        <v>200</v>
      </c>
      <c r="AG844" s="37"/>
      <c r="AI844" s="24"/>
    </row>
    <row r="845">
      <c r="A845" s="11"/>
      <c r="B845" s="23"/>
      <c r="C845" s="23"/>
      <c r="D845" s="23"/>
      <c r="E845" s="23"/>
      <c r="F845" s="1"/>
      <c r="G845" s="23"/>
      <c r="H845" s="23"/>
      <c r="I845" s="23"/>
      <c r="J845" s="2" t="s">
        <v>200</v>
      </c>
      <c r="K845" s="2" t="s">
        <v>200</v>
      </c>
      <c r="L845" s="40"/>
      <c r="M845" s="40"/>
      <c r="N845" s="40"/>
      <c r="O845" s="2"/>
      <c r="P845" s="42"/>
      <c r="Q845" s="42"/>
      <c r="R845" s="42"/>
      <c r="S845" s="42"/>
      <c r="T845" s="42"/>
      <c r="U845" s="42"/>
      <c r="V845" s="42"/>
      <c r="W845" s="42"/>
      <c r="X845" s="42"/>
      <c r="Y845" s="42"/>
      <c r="Z845" s="42"/>
      <c r="AA845" s="42"/>
      <c r="AB845" s="42"/>
      <c r="AC845" s="42"/>
      <c r="AD845" s="37" t="s">
        <v>200</v>
      </c>
      <c r="AE845" s="37" t="s">
        <v>200</v>
      </c>
      <c r="AF845" s="37" t="s">
        <v>200</v>
      </c>
      <c r="AG845" s="37"/>
      <c r="AI845" s="24"/>
    </row>
    <row r="846">
      <c r="A846" s="11"/>
      <c r="B846" s="23"/>
      <c r="C846" s="23"/>
      <c r="D846" s="23"/>
      <c r="E846" s="23"/>
      <c r="F846" s="1"/>
      <c r="G846" s="23"/>
      <c r="H846" s="23"/>
      <c r="I846" s="23"/>
      <c r="J846" s="2" t="s">
        <v>200</v>
      </c>
      <c r="K846" s="2" t="s">
        <v>200</v>
      </c>
      <c r="L846" s="40"/>
      <c r="M846" s="40"/>
      <c r="N846" s="40"/>
      <c r="O846" s="2"/>
      <c r="P846" s="42"/>
      <c r="Q846" s="42"/>
      <c r="R846" s="42"/>
      <c r="S846" s="42"/>
      <c r="T846" s="42"/>
      <c r="U846" s="42"/>
      <c r="V846" s="42"/>
      <c r="W846" s="42"/>
      <c r="X846" s="42"/>
      <c r="Y846" s="42"/>
      <c r="Z846" s="42"/>
      <c r="AA846" s="42"/>
      <c r="AB846" s="42"/>
      <c r="AC846" s="42"/>
      <c r="AD846" s="37" t="s">
        <v>200</v>
      </c>
      <c r="AE846" s="37" t="s">
        <v>200</v>
      </c>
      <c r="AF846" s="37" t="s">
        <v>200</v>
      </c>
      <c r="AG846" s="37"/>
      <c r="AI846" s="24"/>
    </row>
    <row r="847">
      <c r="A847" s="11"/>
      <c r="B847" s="23"/>
      <c r="C847" s="23"/>
      <c r="D847" s="23"/>
      <c r="E847" s="23"/>
      <c r="F847" s="1"/>
      <c r="G847" s="23"/>
      <c r="H847" s="23"/>
      <c r="I847" s="23"/>
      <c r="J847" s="2" t="s">
        <v>200</v>
      </c>
      <c r="K847" s="2" t="s">
        <v>200</v>
      </c>
      <c r="L847" s="40"/>
      <c r="M847" s="40"/>
      <c r="N847" s="40"/>
      <c r="O847" s="2"/>
      <c r="P847" s="42"/>
      <c r="Q847" s="42"/>
      <c r="R847" s="42"/>
      <c r="S847" s="42"/>
      <c r="T847" s="42"/>
      <c r="U847" s="42"/>
      <c r="V847" s="42"/>
      <c r="W847" s="42"/>
      <c r="X847" s="42"/>
      <c r="Y847" s="42"/>
      <c r="Z847" s="42"/>
      <c r="AA847" s="42"/>
      <c r="AB847" s="42"/>
      <c r="AC847" s="42"/>
      <c r="AD847" s="37" t="s">
        <v>200</v>
      </c>
      <c r="AE847" s="37" t="s">
        <v>200</v>
      </c>
      <c r="AF847" s="37" t="s">
        <v>200</v>
      </c>
      <c r="AG847" s="37"/>
      <c r="AI847" s="24"/>
    </row>
    <row r="848">
      <c r="A848" s="11"/>
      <c r="B848" s="23"/>
      <c r="C848" s="23"/>
      <c r="D848" s="23"/>
      <c r="E848" s="23"/>
      <c r="F848" s="1"/>
      <c r="G848" s="23"/>
      <c r="H848" s="23"/>
      <c r="I848" s="23"/>
      <c r="J848" s="2" t="s">
        <v>200</v>
      </c>
      <c r="K848" s="2" t="s">
        <v>200</v>
      </c>
      <c r="L848" s="40"/>
      <c r="M848" s="40"/>
      <c r="N848" s="40"/>
      <c r="O848" s="2"/>
      <c r="P848" s="42"/>
      <c r="Q848" s="42"/>
      <c r="R848" s="42"/>
      <c r="S848" s="42"/>
      <c r="T848" s="42"/>
      <c r="U848" s="42"/>
      <c r="V848" s="42"/>
      <c r="W848" s="42"/>
      <c r="X848" s="42"/>
      <c r="Y848" s="42"/>
      <c r="Z848" s="42"/>
      <c r="AA848" s="42"/>
      <c r="AB848" s="42"/>
      <c r="AC848" s="42"/>
      <c r="AD848" s="37" t="s">
        <v>200</v>
      </c>
      <c r="AE848" s="37" t="s">
        <v>200</v>
      </c>
      <c r="AF848" s="37" t="s">
        <v>200</v>
      </c>
      <c r="AG848" s="37"/>
      <c r="AI848" s="24"/>
    </row>
    <row r="849">
      <c r="A849" s="11"/>
      <c r="B849" s="23"/>
      <c r="C849" s="23"/>
      <c r="D849" s="23"/>
      <c r="E849" s="23"/>
      <c r="F849" s="1"/>
      <c r="G849" s="23"/>
      <c r="H849" s="23"/>
      <c r="I849" s="23"/>
      <c r="J849" s="2" t="s">
        <v>200</v>
      </c>
      <c r="K849" s="2" t="s">
        <v>200</v>
      </c>
      <c r="L849" s="40"/>
      <c r="M849" s="40"/>
      <c r="N849" s="40"/>
      <c r="O849" s="2"/>
      <c r="P849" s="42"/>
      <c r="Q849" s="42"/>
      <c r="R849" s="42"/>
      <c r="S849" s="42"/>
      <c r="T849" s="42"/>
      <c r="U849" s="42"/>
      <c r="V849" s="42"/>
      <c r="W849" s="42"/>
      <c r="X849" s="42"/>
      <c r="Y849" s="42"/>
      <c r="Z849" s="42"/>
      <c r="AA849" s="42"/>
      <c r="AB849" s="42"/>
      <c r="AC849" s="42"/>
      <c r="AD849" s="37" t="s">
        <v>200</v>
      </c>
      <c r="AE849" s="37" t="s">
        <v>200</v>
      </c>
      <c r="AF849" s="37" t="s">
        <v>200</v>
      </c>
      <c r="AG849" s="37"/>
      <c r="AI849" s="24"/>
    </row>
    <row r="850">
      <c r="A850" s="11"/>
      <c r="B850" s="23"/>
      <c r="C850" s="23"/>
      <c r="D850" s="23"/>
      <c r="E850" s="23"/>
      <c r="F850" s="1"/>
      <c r="G850" s="23"/>
      <c r="H850" s="23"/>
      <c r="I850" s="23"/>
      <c r="J850" s="2" t="s">
        <v>200</v>
      </c>
      <c r="K850" s="2" t="s">
        <v>200</v>
      </c>
      <c r="L850" s="40"/>
      <c r="M850" s="40"/>
      <c r="N850" s="40"/>
      <c r="O850" s="2"/>
      <c r="P850" s="42"/>
      <c r="Q850" s="42"/>
      <c r="R850" s="42"/>
      <c r="S850" s="42"/>
      <c r="T850" s="42"/>
      <c r="U850" s="42"/>
      <c r="V850" s="42"/>
      <c r="W850" s="42"/>
      <c r="X850" s="42"/>
      <c r="Y850" s="42"/>
      <c r="Z850" s="42"/>
      <c r="AA850" s="42"/>
      <c r="AB850" s="42"/>
      <c r="AC850" s="42"/>
      <c r="AD850" s="37" t="s">
        <v>200</v>
      </c>
      <c r="AE850" s="37" t="s">
        <v>200</v>
      </c>
      <c r="AF850" s="37" t="s">
        <v>200</v>
      </c>
      <c r="AG850" s="37"/>
      <c r="AI850" s="24"/>
    </row>
    <row r="851">
      <c r="A851" s="11"/>
      <c r="B851" s="23"/>
      <c r="C851" s="23"/>
      <c r="D851" s="23"/>
      <c r="E851" s="23"/>
      <c r="F851" s="1"/>
      <c r="G851" s="23"/>
      <c r="H851" s="23"/>
      <c r="I851" s="23"/>
      <c r="J851" s="2" t="s">
        <v>200</v>
      </c>
      <c r="K851" s="2" t="s">
        <v>200</v>
      </c>
      <c r="L851" s="40"/>
      <c r="M851" s="40"/>
      <c r="N851" s="40"/>
      <c r="O851" s="2"/>
      <c r="P851" s="42"/>
      <c r="Q851" s="42"/>
      <c r="R851" s="42"/>
      <c r="S851" s="42"/>
      <c r="T851" s="42"/>
      <c r="U851" s="42"/>
      <c r="V851" s="42"/>
      <c r="W851" s="42"/>
      <c r="X851" s="42"/>
      <c r="Y851" s="42"/>
      <c r="Z851" s="42"/>
      <c r="AA851" s="42"/>
      <c r="AB851" s="42"/>
      <c r="AC851" s="42"/>
      <c r="AD851" s="37" t="s">
        <v>200</v>
      </c>
      <c r="AE851" s="37" t="s">
        <v>200</v>
      </c>
      <c r="AF851" s="37" t="s">
        <v>200</v>
      </c>
      <c r="AG851" s="37"/>
      <c r="AI851" s="24"/>
    </row>
    <row r="852">
      <c r="A852" s="11"/>
      <c r="B852" s="23"/>
      <c r="C852" s="23"/>
      <c r="D852" s="23"/>
      <c r="E852" s="23"/>
      <c r="F852" s="1"/>
      <c r="G852" s="23"/>
      <c r="H852" s="23"/>
      <c r="I852" s="23"/>
      <c r="J852" s="2" t="s">
        <v>200</v>
      </c>
      <c r="K852" s="2" t="s">
        <v>200</v>
      </c>
      <c r="L852" s="40"/>
      <c r="M852" s="40"/>
      <c r="N852" s="40"/>
      <c r="O852" s="2"/>
      <c r="P852" s="42"/>
      <c r="Q852" s="42"/>
      <c r="R852" s="42"/>
      <c r="S852" s="42"/>
      <c r="T852" s="42"/>
      <c r="U852" s="42"/>
      <c r="V852" s="42"/>
      <c r="W852" s="42"/>
      <c r="X852" s="42"/>
      <c r="Y852" s="42"/>
      <c r="Z852" s="42"/>
      <c r="AA852" s="42"/>
      <c r="AB852" s="42"/>
      <c r="AC852" s="42"/>
      <c r="AD852" s="37" t="s">
        <v>200</v>
      </c>
      <c r="AE852" s="37" t="s">
        <v>200</v>
      </c>
      <c r="AF852" s="37" t="s">
        <v>200</v>
      </c>
      <c r="AG852" s="37"/>
      <c r="AI852" s="24"/>
    </row>
    <row r="853">
      <c r="A853" s="11"/>
      <c r="B853" s="23"/>
      <c r="C853" s="23"/>
      <c r="D853" s="23"/>
      <c r="E853" s="23"/>
      <c r="F853" s="1"/>
      <c r="G853" s="23"/>
      <c r="H853" s="23"/>
      <c r="I853" s="23"/>
      <c r="J853" s="2" t="s">
        <v>200</v>
      </c>
      <c r="K853" s="2" t="s">
        <v>200</v>
      </c>
      <c r="L853" s="40"/>
      <c r="M853" s="40"/>
      <c r="N853" s="40"/>
      <c r="O853" s="2"/>
      <c r="P853" s="42"/>
      <c r="Q853" s="42"/>
      <c r="R853" s="42"/>
      <c r="S853" s="42"/>
      <c r="T853" s="42"/>
      <c r="U853" s="42"/>
      <c r="V853" s="42"/>
      <c r="W853" s="42"/>
      <c r="X853" s="42"/>
      <c r="Y853" s="42"/>
      <c r="Z853" s="42"/>
      <c r="AA853" s="42"/>
      <c r="AB853" s="42"/>
      <c r="AC853" s="42"/>
      <c r="AD853" s="37" t="s">
        <v>200</v>
      </c>
      <c r="AE853" s="37" t="s">
        <v>200</v>
      </c>
      <c r="AF853" s="37" t="s">
        <v>200</v>
      </c>
      <c r="AG853" s="37"/>
      <c r="AI853" s="24"/>
    </row>
    <row r="854">
      <c r="A854" s="11"/>
      <c r="B854" s="23"/>
      <c r="C854" s="23"/>
      <c r="D854" s="23"/>
      <c r="E854" s="23"/>
      <c r="F854" s="1"/>
      <c r="G854" s="23"/>
      <c r="H854" s="23"/>
      <c r="I854" s="23"/>
      <c r="J854" s="2" t="s">
        <v>200</v>
      </c>
      <c r="K854" s="2" t="s">
        <v>200</v>
      </c>
      <c r="L854" s="40"/>
      <c r="M854" s="40"/>
      <c r="N854" s="40"/>
      <c r="O854" s="2"/>
      <c r="P854" s="42"/>
      <c r="Q854" s="42"/>
      <c r="R854" s="42"/>
      <c r="S854" s="42"/>
      <c r="T854" s="42"/>
      <c r="U854" s="42"/>
      <c r="V854" s="42"/>
      <c r="W854" s="42"/>
      <c r="X854" s="42"/>
      <c r="Y854" s="42"/>
      <c r="Z854" s="42"/>
      <c r="AA854" s="42"/>
      <c r="AB854" s="42"/>
      <c r="AC854" s="42"/>
      <c r="AD854" s="37" t="s">
        <v>200</v>
      </c>
      <c r="AE854" s="37" t="s">
        <v>200</v>
      </c>
      <c r="AF854" s="37" t="s">
        <v>200</v>
      </c>
      <c r="AG854" s="37"/>
      <c r="AI854" s="24"/>
    </row>
    <row r="855">
      <c r="A855" s="11"/>
      <c r="B855" s="23"/>
      <c r="C855" s="23"/>
      <c r="D855" s="23"/>
      <c r="E855" s="23"/>
      <c r="F855" s="1"/>
      <c r="G855" s="23"/>
      <c r="H855" s="23"/>
      <c r="I855" s="23"/>
      <c r="J855" s="2" t="s">
        <v>200</v>
      </c>
      <c r="K855" s="2" t="s">
        <v>200</v>
      </c>
      <c r="L855" s="40"/>
      <c r="M855" s="40"/>
      <c r="N855" s="40"/>
      <c r="O855" s="2"/>
      <c r="P855" s="42"/>
      <c r="Q855" s="42"/>
      <c r="R855" s="42"/>
      <c r="S855" s="42"/>
      <c r="T855" s="42"/>
      <c r="U855" s="42"/>
      <c r="V855" s="42"/>
      <c r="W855" s="42"/>
      <c r="X855" s="42"/>
      <c r="Y855" s="42"/>
      <c r="Z855" s="42"/>
      <c r="AA855" s="42"/>
      <c r="AB855" s="42"/>
      <c r="AC855" s="42"/>
      <c r="AD855" s="37" t="s">
        <v>200</v>
      </c>
      <c r="AE855" s="37" t="s">
        <v>200</v>
      </c>
      <c r="AF855" s="37" t="s">
        <v>200</v>
      </c>
      <c r="AG855" s="37"/>
      <c r="AI855" s="24"/>
    </row>
    <row r="856">
      <c r="A856" s="11"/>
      <c r="B856" s="23"/>
      <c r="C856" s="23"/>
      <c r="D856" s="23"/>
      <c r="E856" s="23"/>
      <c r="F856" s="1"/>
      <c r="G856" s="23"/>
      <c r="H856" s="23"/>
      <c r="I856" s="23"/>
      <c r="J856" s="2" t="s">
        <v>200</v>
      </c>
      <c r="K856" s="2" t="s">
        <v>200</v>
      </c>
      <c r="L856" s="40"/>
      <c r="M856" s="40"/>
      <c r="N856" s="40"/>
      <c r="O856" s="2"/>
      <c r="P856" s="42"/>
      <c r="Q856" s="42"/>
      <c r="R856" s="42"/>
      <c r="S856" s="42"/>
      <c r="T856" s="42"/>
      <c r="U856" s="42"/>
      <c r="V856" s="42"/>
      <c r="W856" s="42"/>
      <c r="X856" s="42"/>
      <c r="Y856" s="42"/>
      <c r="Z856" s="42"/>
      <c r="AA856" s="42"/>
      <c r="AB856" s="42"/>
      <c r="AC856" s="42"/>
      <c r="AD856" s="37" t="s">
        <v>200</v>
      </c>
      <c r="AE856" s="37" t="s">
        <v>200</v>
      </c>
      <c r="AF856" s="37" t="s">
        <v>200</v>
      </c>
      <c r="AG856" s="37"/>
      <c r="AI856" s="24"/>
    </row>
    <row r="857">
      <c r="A857" s="11"/>
      <c r="B857" s="23"/>
      <c r="C857" s="23"/>
      <c r="D857" s="23"/>
      <c r="E857" s="23"/>
      <c r="F857" s="1"/>
      <c r="G857" s="23"/>
      <c r="H857" s="23"/>
      <c r="I857" s="23"/>
      <c r="J857" s="2" t="s">
        <v>200</v>
      </c>
      <c r="K857" s="2" t="s">
        <v>200</v>
      </c>
      <c r="L857" s="40"/>
      <c r="M857" s="40"/>
      <c r="N857" s="40"/>
      <c r="O857" s="2"/>
      <c r="P857" s="42"/>
      <c r="Q857" s="42"/>
      <c r="R857" s="42"/>
      <c r="S857" s="42"/>
      <c r="T857" s="42"/>
      <c r="U857" s="42"/>
      <c r="V857" s="42"/>
      <c r="W857" s="42"/>
      <c r="X857" s="42"/>
      <c r="Y857" s="42"/>
      <c r="Z857" s="42"/>
      <c r="AA857" s="42"/>
      <c r="AB857" s="42"/>
      <c r="AC857" s="42"/>
      <c r="AD857" s="37" t="s">
        <v>200</v>
      </c>
      <c r="AE857" s="37" t="s">
        <v>200</v>
      </c>
      <c r="AF857" s="37" t="s">
        <v>200</v>
      </c>
      <c r="AG857" s="37"/>
      <c r="AI857" s="24"/>
    </row>
    <row r="858">
      <c r="A858" s="11"/>
      <c r="B858" s="23"/>
      <c r="C858" s="23"/>
      <c r="D858" s="23"/>
      <c r="E858" s="23"/>
      <c r="F858" s="1"/>
      <c r="G858" s="23"/>
      <c r="H858" s="23"/>
      <c r="I858" s="23"/>
      <c r="J858" s="2" t="s">
        <v>200</v>
      </c>
      <c r="K858" s="2" t="s">
        <v>200</v>
      </c>
      <c r="L858" s="40"/>
      <c r="M858" s="40"/>
      <c r="N858" s="40"/>
      <c r="O858" s="2"/>
      <c r="P858" s="42"/>
      <c r="Q858" s="42"/>
      <c r="R858" s="42"/>
      <c r="S858" s="42"/>
      <c r="T858" s="42"/>
      <c r="U858" s="42"/>
      <c r="V858" s="42"/>
      <c r="W858" s="42"/>
      <c r="X858" s="42"/>
      <c r="Y858" s="42"/>
      <c r="Z858" s="42"/>
      <c r="AA858" s="42"/>
      <c r="AB858" s="42"/>
      <c r="AC858" s="42"/>
      <c r="AD858" s="37" t="s">
        <v>200</v>
      </c>
      <c r="AE858" s="37" t="s">
        <v>200</v>
      </c>
      <c r="AF858" s="37" t="s">
        <v>200</v>
      </c>
      <c r="AG858" s="37"/>
      <c r="AI858" s="24"/>
    </row>
    <row r="859">
      <c r="A859" s="11"/>
      <c r="B859" s="23"/>
      <c r="C859" s="23"/>
      <c r="D859" s="23"/>
      <c r="E859" s="23"/>
      <c r="F859" s="1"/>
      <c r="G859" s="23"/>
      <c r="H859" s="23"/>
      <c r="I859" s="23"/>
      <c r="J859" s="2" t="s">
        <v>200</v>
      </c>
      <c r="K859" s="2" t="s">
        <v>200</v>
      </c>
      <c r="L859" s="40"/>
      <c r="M859" s="40"/>
      <c r="N859" s="40"/>
      <c r="O859" s="2"/>
      <c r="P859" s="42"/>
      <c r="Q859" s="42"/>
      <c r="R859" s="42"/>
      <c r="S859" s="42"/>
      <c r="T859" s="42"/>
      <c r="U859" s="42"/>
      <c r="V859" s="42"/>
      <c r="W859" s="42"/>
      <c r="X859" s="42"/>
      <c r="Y859" s="42"/>
      <c r="Z859" s="42"/>
      <c r="AA859" s="42"/>
      <c r="AB859" s="42"/>
      <c r="AC859" s="42"/>
      <c r="AD859" s="37" t="s">
        <v>200</v>
      </c>
      <c r="AE859" s="37" t="s">
        <v>200</v>
      </c>
      <c r="AF859" s="37" t="s">
        <v>200</v>
      </c>
      <c r="AG859" s="37"/>
      <c r="AI859" s="24"/>
    </row>
    <row r="860">
      <c r="A860" s="11"/>
      <c r="B860" s="23"/>
      <c r="C860" s="23"/>
      <c r="D860" s="23"/>
      <c r="E860" s="23"/>
      <c r="F860" s="1"/>
      <c r="G860" s="23"/>
      <c r="H860" s="23"/>
      <c r="I860" s="23"/>
      <c r="J860" s="2" t="s">
        <v>200</v>
      </c>
      <c r="K860" s="2" t="s">
        <v>200</v>
      </c>
      <c r="L860" s="40"/>
      <c r="M860" s="40"/>
      <c r="N860" s="40"/>
      <c r="O860" s="2"/>
      <c r="P860" s="42"/>
      <c r="Q860" s="42"/>
      <c r="R860" s="42"/>
      <c r="S860" s="42"/>
      <c r="T860" s="42"/>
      <c r="U860" s="42"/>
      <c r="V860" s="42"/>
      <c r="W860" s="42"/>
      <c r="X860" s="42"/>
      <c r="Y860" s="42"/>
      <c r="Z860" s="42"/>
      <c r="AA860" s="42"/>
      <c r="AB860" s="42"/>
      <c r="AC860" s="42"/>
      <c r="AD860" s="37" t="s">
        <v>200</v>
      </c>
      <c r="AE860" s="37" t="s">
        <v>200</v>
      </c>
      <c r="AF860" s="37" t="s">
        <v>200</v>
      </c>
      <c r="AG860" s="37"/>
      <c r="AI860" s="24"/>
    </row>
    <row r="861">
      <c r="A861" s="11"/>
      <c r="B861" s="23"/>
      <c r="C861" s="23"/>
      <c r="D861" s="23"/>
      <c r="E861" s="23"/>
      <c r="F861" s="1"/>
      <c r="G861" s="23"/>
      <c r="H861" s="23"/>
      <c r="I861" s="23"/>
      <c r="J861" s="2" t="s">
        <v>200</v>
      </c>
      <c r="K861" s="2" t="s">
        <v>200</v>
      </c>
      <c r="L861" s="40"/>
      <c r="M861" s="40"/>
      <c r="N861" s="40"/>
      <c r="O861" s="2"/>
      <c r="P861" s="42"/>
      <c r="Q861" s="42"/>
      <c r="R861" s="42"/>
      <c r="S861" s="42"/>
      <c r="T861" s="42"/>
      <c r="U861" s="42"/>
      <c r="V861" s="42"/>
      <c r="W861" s="42"/>
      <c r="X861" s="42"/>
      <c r="Y861" s="42"/>
      <c r="Z861" s="42"/>
      <c r="AA861" s="42"/>
      <c r="AB861" s="42"/>
      <c r="AC861" s="42"/>
      <c r="AD861" s="37" t="s">
        <v>200</v>
      </c>
      <c r="AE861" s="37" t="s">
        <v>200</v>
      </c>
      <c r="AF861" s="37" t="s">
        <v>200</v>
      </c>
      <c r="AG861" s="37"/>
      <c r="AI861" s="24"/>
    </row>
    <row r="862">
      <c r="A862" s="11"/>
      <c r="B862" s="23"/>
      <c r="C862" s="23"/>
      <c r="D862" s="23"/>
      <c r="E862" s="23"/>
      <c r="F862" s="1"/>
      <c r="G862" s="23"/>
      <c r="H862" s="23"/>
      <c r="I862" s="23"/>
      <c r="J862" s="2" t="s">
        <v>200</v>
      </c>
      <c r="K862" s="2" t="s">
        <v>200</v>
      </c>
      <c r="L862" s="40"/>
      <c r="M862" s="40"/>
      <c r="N862" s="40"/>
      <c r="O862" s="2"/>
      <c r="P862" s="42"/>
      <c r="Q862" s="42"/>
      <c r="R862" s="42"/>
      <c r="S862" s="42"/>
      <c r="T862" s="42"/>
      <c r="U862" s="42"/>
      <c r="V862" s="42"/>
      <c r="W862" s="42"/>
      <c r="X862" s="42"/>
      <c r="Y862" s="42"/>
      <c r="Z862" s="42"/>
      <c r="AA862" s="42"/>
      <c r="AB862" s="42"/>
      <c r="AC862" s="42"/>
      <c r="AD862" s="37" t="s">
        <v>200</v>
      </c>
      <c r="AE862" s="37" t="s">
        <v>200</v>
      </c>
      <c r="AF862" s="37" t="s">
        <v>200</v>
      </c>
      <c r="AG862" s="37"/>
      <c r="AI862" s="24"/>
    </row>
    <row r="863">
      <c r="A863" s="11"/>
      <c r="B863" s="23"/>
      <c r="C863" s="23"/>
      <c r="D863" s="23"/>
      <c r="E863" s="23"/>
      <c r="F863" s="1"/>
      <c r="G863" s="23"/>
      <c r="H863" s="23"/>
      <c r="I863" s="23"/>
      <c r="J863" s="2" t="s">
        <v>200</v>
      </c>
      <c r="K863" s="2" t="s">
        <v>200</v>
      </c>
      <c r="L863" s="40"/>
      <c r="M863" s="40"/>
      <c r="N863" s="40"/>
      <c r="O863" s="2"/>
      <c r="P863" s="42"/>
      <c r="Q863" s="42"/>
      <c r="R863" s="42"/>
      <c r="S863" s="42"/>
      <c r="T863" s="42"/>
      <c r="U863" s="42"/>
      <c r="V863" s="42"/>
      <c r="W863" s="42"/>
      <c r="X863" s="42"/>
      <c r="Y863" s="42"/>
      <c r="Z863" s="42"/>
      <c r="AA863" s="42"/>
      <c r="AB863" s="42"/>
      <c r="AC863" s="42"/>
      <c r="AD863" s="37" t="s">
        <v>200</v>
      </c>
      <c r="AE863" s="37" t="s">
        <v>200</v>
      </c>
      <c r="AF863" s="37" t="s">
        <v>200</v>
      </c>
      <c r="AG863" s="37"/>
      <c r="AI863" s="24"/>
    </row>
    <row r="864">
      <c r="A864" s="11"/>
      <c r="B864" s="23"/>
      <c r="C864" s="23"/>
      <c r="D864" s="23"/>
      <c r="E864" s="23"/>
      <c r="F864" s="1"/>
      <c r="G864" s="23"/>
      <c r="H864" s="23"/>
      <c r="I864" s="23"/>
      <c r="J864" s="2" t="s">
        <v>200</v>
      </c>
      <c r="K864" s="2" t="s">
        <v>200</v>
      </c>
      <c r="L864" s="40"/>
      <c r="M864" s="40"/>
      <c r="N864" s="40"/>
      <c r="O864" s="2"/>
      <c r="P864" s="42"/>
      <c r="Q864" s="42"/>
      <c r="R864" s="42"/>
      <c r="S864" s="42"/>
      <c r="T864" s="42"/>
      <c r="U864" s="42"/>
      <c r="V864" s="42"/>
      <c r="W864" s="42"/>
      <c r="X864" s="42"/>
      <c r="Y864" s="42"/>
      <c r="Z864" s="42"/>
      <c r="AA864" s="42"/>
      <c r="AB864" s="42"/>
      <c r="AC864" s="42"/>
      <c r="AD864" s="37" t="s">
        <v>200</v>
      </c>
      <c r="AE864" s="37" t="s">
        <v>200</v>
      </c>
      <c r="AF864" s="37" t="s">
        <v>200</v>
      </c>
      <c r="AG864" s="37"/>
      <c r="AI864" s="24"/>
    </row>
    <row r="865">
      <c r="A865" s="11"/>
      <c r="B865" s="23"/>
      <c r="C865" s="23"/>
      <c r="D865" s="23"/>
      <c r="E865" s="23"/>
      <c r="F865" s="1"/>
      <c r="G865" s="23"/>
      <c r="H865" s="23"/>
      <c r="I865" s="23"/>
      <c r="J865" s="2" t="s">
        <v>200</v>
      </c>
      <c r="K865" s="2" t="s">
        <v>200</v>
      </c>
      <c r="L865" s="40"/>
      <c r="M865" s="40"/>
      <c r="N865" s="40"/>
      <c r="O865" s="2"/>
      <c r="P865" s="42"/>
      <c r="Q865" s="42"/>
      <c r="R865" s="42"/>
      <c r="S865" s="42"/>
      <c r="T865" s="42"/>
      <c r="U865" s="42"/>
      <c r="V865" s="42"/>
      <c r="W865" s="42"/>
      <c r="X865" s="42"/>
      <c r="Y865" s="42"/>
      <c r="Z865" s="42"/>
      <c r="AA865" s="42"/>
      <c r="AB865" s="42"/>
      <c r="AC865" s="42"/>
      <c r="AD865" s="37" t="s">
        <v>200</v>
      </c>
      <c r="AE865" s="37" t="s">
        <v>200</v>
      </c>
      <c r="AF865" s="37" t="s">
        <v>200</v>
      </c>
      <c r="AG865" s="37"/>
      <c r="AI865" s="24"/>
    </row>
    <row r="866">
      <c r="A866" s="11"/>
      <c r="B866" s="23"/>
      <c r="C866" s="23"/>
      <c r="D866" s="23"/>
      <c r="E866" s="23"/>
      <c r="F866" s="1"/>
      <c r="G866" s="23"/>
      <c r="H866" s="23"/>
      <c r="I866" s="23"/>
      <c r="J866" s="2" t="s">
        <v>200</v>
      </c>
      <c r="K866" s="2" t="s">
        <v>200</v>
      </c>
      <c r="L866" s="40"/>
      <c r="M866" s="40"/>
      <c r="N866" s="40"/>
      <c r="O866" s="2"/>
      <c r="P866" s="42"/>
      <c r="Q866" s="42"/>
      <c r="R866" s="42"/>
      <c r="S866" s="42"/>
      <c r="T866" s="42"/>
      <c r="U866" s="42"/>
      <c r="V866" s="42"/>
      <c r="W866" s="42"/>
      <c r="X866" s="42"/>
      <c r="Y866" s="42"/>
      <c r="Z866" s="42"/>
      <c r="AA866" s="42"/>
      <c r="AB866" s="42"/>
      <c r="AC866" s="42"/>
      <c r="AD866" s="37" t="s">
        <v>200</v>
      </c>
      <c r="AE866" s="37" t="s">
        <v>200</v>
      </c>
      <c r="AF866" s="37" t="s">
        <v>200</v>
      </c>
      <c r="AG866" s="37"/>
      <c r="AI866" s="24"/>
    </row>
    <row r="867">
      <c r="A867" s="11"/>
      <c r="B867" s="23"/>
      <c r="C867" s="23"/>
      <c r="D867" s="23"/>
      <c r="E867" s="23"/>
      <c r="F867" s="1"/>
      <c r="G867" s="23"/>
      <c r="H867" s="23"/>
      <c r="I867" s="23"/>
      <c r="J867" s="2" t="s">
        <v>200</v>
      </c>
      <c r="K867" s="2" t="s">
        <v>200</v>
      </c>
      <c r="L867" s="40"/>
      <c r="M867" s="40"/>
      <c r="N867" s="40"/>
      <c r="O867" s="2"/>
      <c r="P867" s="42"/>
      <c r="Q867" s="42"/>
      <c r="R867" s="42"/>
      <c r="S867" s="42"/>
      <c r="T867" s="42"/>
      <c r="U867" s="42"/>
      <c r="V867" s="42"/>
      <c r="W867" s="42"/>
      <c r="X867" s="42"/>
      <c r="Y867" s="42"/>
      <c r="Z867" s="42"/>
      <c r="AA867" s="42"/>
      <c r="AB867" s="42"/>
      <c r="AC867" s="42"/>
      <c r="AD867" s="37" t="s">
        <v>200</v>
      </c>
      <c r="AE867" s="37" t="s">
        <v>200</v>
      </c>
      <c r="AF867" s="37" t="s">
        <v>200</v>
      </c>
      <c r="AG867" s="37"/>
      <c r="AI867" s="24"/>
    </row>
    <row r="868">
      <c r="A868" s="11"/>
      <c r="B868" s="23"/>
      <c r="C868" s="23"/>
      <c r="D868" s="23"/>
      <c r="E868" s="23"/>
      <c r="F868" s="1"/>
      <c r="G868" s="23"/>
      <c r="H868" s="23"/>
      <c r="I868" s="23"/>
      <c r="J868" s="2" t="s">
        <v>200</v>
      </c>
      <c r="K868" s="2" t="s">
        <v>200</v>
      </c>
      <c r="L868" s="40"/>
      <c r="M868" s="40"/>
      <c r="N868" s="40"/>
      <c r="O868" s="2"/>
      <c r="P868" s="42"/>
      <c r="Q868" s="42"/>
      <c r="R868" s="42"/>
      <c r="S868" s="42"/>
      <c r="T868" s="42"/>
      <c r="U868" s="42"/>
      <c r="V868" s="42"/>
      <c r="W868" s="42"/>
      <c r="X868" s="42"/>
      <c r="Y868" s="42"/>
      <c r="Z868" s="42"/>
      <c r="AA868" s="42"/>
      <c r="AB868" s="42"/>
      <c r="AC868" s="42"/>
      <c r="AD868" s="37" t="s">
        <v>200</v>
      </c>
      <c r="AE868" s="37" t="s">
        <v>200</v>
      </c>
      <c r="AF868" s="37" t="s">
        <v>200</v>
      </c>
      <c r="AG868" s="37"/>
      <c r="AI868" s="24"/>
    </row>
    <row r="869">
      <c r="A869" s="11"/>
      <c r="B869" s="23"/>
      <c r="C869" s="23"/>
      <c r="D869" s="23"/>
      <c r="E869" s="23"/>
      <c r="F869" s="1"/>
      <c r="G869" s="23"/>
      <c r="H869" s="23"/>
      <c r="I869" s="23"/>
      <c r="J869" s="2" t="s">
        <v>200</v>
      </c>
      <c r="K869" s="2" t="s">
        <v>200</v>
      </c>
      <c r="L869" s="40"/>
      <c r="M869" s="40"/>
      <c r="N869" s="40"/>
      <c r="O869" s="2"/>
      <c r="P869" s="42"/>
      <c r="Q869" s="42"/>
      <c r="R869" s="42"/>
      <c r="S869" s="42"/>
      <c r="T869" s="42"/>
      <c r="U869" s="42"/>
      <c r="V869" s="42"/>
      <c r="W869" s="42"/>
      <c r="X869" s="42"/>
      <c r="Y869" s="42"/>
      <c r="Z869" s="42"/>
      <c r="AA869" s="42"/>
      <c r="AB869" s="42"/>
      <c r="AC869" s="42"/>
      <c r="AD869" s="37" t="s">
        <v>200</v>
      </c>
      <c r="AE869" s="37" t="s">
        <v>200</v>
      </c>
      <c r="AF869" s="37" t="s">
        <v>200</v>
      </c>
      <c r="AG869" s="37"/>
      <c r="AI869" s="24"/>
    </row>
    <row r="870">
      <c r="A870" s="11"/>
      <c r="B870" s="23"/>
      <c r="C870" s="23"/>
      <c r="D870" s="23"/>
      <c r="E870" s="23"/>
      <c r="F870" s="1"/>
      <c r="G870" s="23"/>
      <c r="H870" s="23"/>
      <c r="I870" s="23"/>
      <c r="J870" s="2" t="s">
        <v>200</v>
      </c>
      <c r="K870" s="2" t="s">
        <v>200</v>
      </c>
      <c r="L870" s="40"/>
      <c r="M870" s="40"/>
      <c r="N870" s="40"/>
      <c r="O870" s="2"/>
      <c r="P870" s="42"/>
      <c r="Q870" s="42"/>
      <c r="R870" s="42"/>
      <c r="S870" s="42"/>
      <c r="T870" s="42"/>
      <c r="U870" s="42"/>
      <c r="V870" s="42"/>
      <c r="W870" s="42"/>
      <c r="X870" s="42"/>
      <c r="Y870" s="42"/>
      <c r="Z870" s="42"/>
      <c r="AA870" s="42"/>
      <c r="AB870" s="42"/>
      <c r="AC870" s="42"/>
      <c r="AD870" s="37" t="s">
        <v>200</v>
      </c>
      <c r="AE870" s="37" t="s">
        <v>200</v>
      </c>
      <c r="AF870" s="37" t="s">
        <v>200</v>
      </c>
      <c r="AG870" s="37"/>
      <c r="AI870" s="24"/>
    </row>
    <row r="871">
      <c r="A871" s="11"/>
      <c r="B871" s="23"/>
      <c r="C871" s="23"/>
      <c r="D871" s="23"/>
      <c r="E871" s="23"/>
      <c r="F871" s="1"/>
      <c r="G871" s="23"/>
      <c r="H871" s="23"/>
      <c r="I871" s="23"/>
      <c r="J871" s="2" t="s">
        <v>200</v>
      </c>
      <c r="K871" s="2" t="s">
        <v>200</v>
      </c>
      <c r="L871" s="40"/>
      <c r="M871" s="40"/>
      <c r="N871" s="40"/>
      <c r="O871" s="2"/>
      <c r="P871" s="42"/>
      <c r="Q871" s="42"/>
      <c r="R871" s="42"/>
      <c r="S871" s="42"/>
      <c r="T871" s="42"/>
      <c r="U871" s="42"/>
      <c r="V871" s="42"/>
      <c r="W871" s="42"/>
      <c r="X871" s="42"/>
      <c r="Y871" s="42"/>
      <c r="Z871" s="42"/>
      <c r="AA871" s="42"/>
      <c r="AB871" s="42"/>
      <c r="AC871" s="42"/>
      <c r="AD871" s="37" t="s">
        <v>200</v>
      </c>
      <c r="AE871" s="37" t="s">
        <v>200</v>
      </c>
      <c r="AF871" s="37" t="s">
        <v>200</v>
      </c>
      <c r="AG871" s="37"/>
      <c r="AI871" s="24"/>
    </row>
    <row r="872">
      <c r="A872" s="11"/>
      <c r="B872" s="23"/>
      <c r="C872" s="23"/>
      <c r="D872" s="23"/>
      <c r="E872" s="23"/>
      <c r="F872" s="1"/>
      <c r="G872" s="23"/>
      <c r="H872" s="23"/>
      <c r="I872" s="23"/>
      <c r="J872" s="2" t="s">
        <v>200</v>
      </c>
      <c r="K872" s="2" t="s">
        <v>200</v>
      </c>
      <c r="L872" s="40"/>
      <c r="M872" s="40"/>
      <c r="N872" s="40"/>
      <c r="O872" s="2"/>
      <c r="P872" s="42"/>
      <c r="Q872" s="42"/>
      <c r="R872" s="42"/>
      <c r="S872" s="42"/>
      <c r="T872" s="42"/>
      <c r="U872" s="42"/>
      <c r="V872" s="42"/>
      <c r="W872" s="42"/>
      <c r="X872" s="42"/>
      <c r="Y872" s="42"/>
      <c r="Z872" s="42"/>
      <c r="AA872" s="42"/>
      <c r="AB872" s="42"/>
      <c r="AC872" s="42"/>
      <c r="AD872" s="37" t="s">
        <v>200</v>
      </c>
      <c r="AE872" s="37" t="s">
        <v>200</v>
      </c>
      <c r="AF872" s="37" t="s">
        <v>200</v>
      </c>
      <c r="AG872" s="37"/>
      <c r="AI872" s="24"/>
    </row>
    <row r="873">
      <c r="A873" s="11"/>
      <c r="B873" s="23"/>
      <c r="C873" s="23"/>
      <c r="D873" s="23"/>
      <c r="E873" s="23"/>
      <c r="F873" s="1"/>
      <c r="G873" s="23"/>
      <c r="H873" s="23"/>
      <c r="I873" s="23"/>
      <c r="J873" s="2" t="s">
        <v>200</v>
      </c>
      <c r="K873" s="2" t="s">
        <v>200</v>
      </c>
      <c r="L873" s="40"/>
      <c r="M873" s="40"/>
      <c r="N873" s="40"/>
      <c r="O873" s="2"/>
      <c r="P873" s="42"/>
      <c r="Q873" s="42"/>
      <c r="R873" s="42"/>
      <c r="S873" s="42"/>
      <c r="T873" s="42"/>
      <c r="U873" s="42"/>
      <c r="V873" s="42"/>
      <c r="W873" s="42"/>
      <c r="X873" s="42"/>
      <c r="Y873" s="42"/>
      <c r="Z873" s="42"/>
      <c r="AA873" s="42"/>
      <c r="AB873" s="42"/>
      <c r="AC873" s="42"/>
      <c r="AD873" s="37" t="s">
        <v>200</v>
      </c>
      <c r="AE873" s="37" t="s">
        <v>200</v>
      </c>
      <c r="AF873" s="37" t="s">
        <v>200</v>
      </c>
      <c r="AG873" s="37"/>
      <c r="AI873" s="24"/>
    </row>
    <row r="874">
      <c r="A874" s="11"/>
      <c r="B874" s="23"/>
      <c r="C874" s="23"/>
      <c r="D874" s="23"/>
      <c r="E874" s="23"/>
      <c r="F874" s="1"/>
      <c r="G874" s="23"/>
      <c r="H874" s="23"/>
      <c r="I874" s="23"/>
      <c r="J874" s="2" t="s">
        <v>200</v>
      </c>
      <c r="K874" s="2" t="s">
        <v>200</v>
      </c>
      <c r="L874" s="40"/>
      <c r="M874" s="40"/>
      <c r="N874" s="40"/>
      <c r="O874" s="2"/>
      <c r="P874" s="42"/>
      <c r="Q874" s="42"/>
      <c r="R874" s="42"/>
      <c r="S874" s="42"/>
      <c r="T874" s="42"/>
      <c r="U874" s="42"/>
      <c r="V874" s="42"/>
      <c r="W874" s="42"/>
      <c r="X874" s="42"/>
      <c r="Y874" s="42"/>
      <c r="Z874" s="42"/>
      <c r="AA874" s="42"/>
      <c r="AB874" s="42"/>
      <c r="AC874" s="42"/>
      <c r="AD874" s="37" t="s">
        <v>200</v>
      </c>
      <c r="AE874" s="37" t="s">
        <v>200</v>
      </c>
      <c r="AF874" s="37" t="s">
        <v>200</v>
      </c>
      <c r="AG874" s="37"/>
      <c r="AI874" s="24"/>
    </row>
    <row r="875">
      <c r="A875" s="11"/>
      <c r="B875" s="23"/>
      <c r="C875" s="23"/>
      <c r="D875" s="23"/>
      <c r="E875" s="23"/>
      <c r="F875" s="1"/>
      <c r="G875" s="23"/>
      <c r="H875" s="23"/>
      <c r="I875" s="23"/>
      <c r="J875" s="2" t="s">
        <v>200</v>
      </c>
      <c r="K875" s="2" t="s">
        <v>200</v>
      </c>
      <c r="L875" s="40"/>
      <c r="M875" s="40"/>
      <c r="N875" s="40"/>
      <c r="O875" s="2"/>
      <c r="P875" s="42"/>
      <c r="Q875" s="42"/>
      <c r="R875" s="42"/>
      <c r="S875" s="42"/>
      <c r="T875" s="42"/>
      <c r="U875" s="42"/>
      <c r="V875" s="42"/>
      <c r="W875" s="42"/>
      <c r="X875" s="42"/>
      <c r="Y875" s="42"/>
      <c r="Z875" s="42"/>
      <c r="AA875" s="42"/>
      <c r="AB875" s="42"/>
      <c r="AC875" s="42"/>
      <c r="AD875" s="37" t="s">
        <v>200</v>
      </c>
      <c r="AE875" s="37" t="s">
        <v>200</v>
      </c>
      <c r="AF875" s="37" t="s">
        <v>200</v>
      </c>
      <c r="AG875" s="37"/>
      <c r="AI875" s="24"/>
    </row>
    <row r="876">
      <c r="A876" s="11"/>
      <c r="B876" s="23"/>
      <c r="C876" s="23"/>
      <c r="D876" s="23"/>
      <c r="E876" s="23"/>
      <c r="F876" s="1"/>
      <c r="G876" s="23"/>
      <c r="H876" s="23"/>
      <c r="I876" s="23"/>
      <c r="J876" s="2" t="s">
        <v>200</v>
      </c>
      <c r="K876" s="2" t="s">
        <v>200</v>
      </c>
      <c r="L876" s="40"/>
      <c r="M876" s="40"/>
      <c r="N876" s="40"/>
      <c r="O876" s="2"/>
      <c r="P876" s="42"/>
      <c r="Q876" s="42"/>
      <c r="R876" s="42"/>
      <c r="S876" s="42"/>
      <c r="T876" s="42"/>
      <c r="U876" s="42"/>
      <c r="V876" s="42"/>
      <c r="W876" s="42"/>
      <c r="X876" s="42"/>
      <c r="Y876" s="42"/>
      <c r="Z876" s="42"/>
      <c r="AA876" s="42"/>
      <c r="AB876" s="42"/>
      <c r="AC876" s="42"/>
      <c r="AD876" s="37" t="s">
        <v>200</v>
      </c>
      <c r="AE876" s="37" t="s">
        <v>200</v>
      </c>
      <c r="AF876" s="37" t="s">
        <v>200</v>
      </c>
      <c r="AG876" s="37"/>
      <c r="AI876" s="24"/>
    </row>
    <row r="877">
      <c r="A877" s="11"/>
      <c r="B877" s="23"/>
      <c r="C877" s="23"/>
      <c r="D877" s="23"/>
      <c r="E877" s="23"/>
      <c r="F877" s="1"/>
      <c r="G877" s="23"/>
      <c r="H877" s="23"/>
      <c r="I877" s="23"/>
      <c r="J877" s="2" t="s">
        <v>200</v>
      </c>
      <c r="K877" s="2" t="s">
        <v>200</v>
      </c>
      <c r="L877" s="40"/>
      <c r="M877" s="40"/>
      <c r="N877" s="40"/>
      <c r="O877" s="2"/>
      <c r="P877" s="42"/>
      <c r="Q877" s="42"/>
      <c r="R877" s="42"/>
      <c r="S877" s="42"/>
      <c r="T877" s="42"/>
      <c r="U877" s="42"/>
      <c r="V877" s="42"/>
      <c r="W877" s="42"/>
      <c r="X877" s="42"/>
      <c r="Y877" s="42"/>
      <c r="Z877" s="42"/>
      <c r="AA877" s="42"/>
      <c r="AB877" s="42"/>
      <c r="AC877" s="42"/>
      <c r="AD877" s="37" t="s">
        <v>200</v>
      </c>
      <c r="AE877" s="37" t="s">
        <v>200</v>
      </c>
      <c r="AF877" s="37" t="s">
        <v>200</v>
      </c>
      <c r="AG877" s="37"/>
      <c r="AI877" s="24"/>
    </row>
    <row r="878">
      <c r="A878" s="11"/>
      <c r="B878" s="23"/>
      <c r="C878" s="23"/>
      <c r="D878" s="23"/>
      <c r="E878" s="23"/>
      <c r="F878" s="1"/>
      <c r="G878" s="23"/>
      <c r="H878" s="23"/>
      <c r="I878" s="23"/>
      <c r="J878" s="2" t="s">
        <v>200</v>
      </c>
      <c r="K878" s="2" t="s">
        <v>200</v>
      </c>
      <c r="L878" s="40"/>
      <c r="M878" s="40"/>
      <c r="N878" s="40"/>
      <c r="O878" s="2"/>
      <c r="P878" s="42"/>
      <c r="Q878" s="42"/>
      <c r="R878" s="42"/>
      <c r="S878" s="42"/>
      <c r="T878" s="42"/>
      <c r="U878" s="42"/>
      <c r="V878" s="42"/>
      <c r="W878" s="42"/>
      <c r="X878" s="42"/>
      <c r="Y878" s="42"/>
      <c r="Z878" s="42"/>
      <c r="AA878" s="42"/>
      <c r="AB878" s="42"/>
      <c r="AC878" s="42"/>
      <c r="AD878" s="37" t="s">
        <v>200</v>
      </c>
      <c r="AE878" s="37" t="s">
        <v>200</v>
      </c>
      <c r="AF878" s="37" t="s">
        <v>200</v>
      </c>
      <c r="AG878" s="37"/>
      <c r="AI878" s="24"/>
    </row>
    <row r="879">
      <c r="A879" s="11"/>
      <c r="B879" s="23"/>
      <c r="C879" s="23"/>
      <c r="D879" s="23"/>
      <c r="E879" s="23"/>
      <c r="F879" s="1"/>
      <c r="G879" s="23"/>
      <c r="H879" s="23"/>
      <c r="I879" s="23"/>
      <c r="J879" s="2" t="s">
        <v>200</v>
      </c>
      <c r="K879" s="2" t="s">
        <v>200</v>
      </c>
      <c r="L879" s="40"/>
      <c r="M879" s="40"/>
      <c r="N879" s="40"/>
      <c r="O879" s="2"/>
      <c r="P879" s="42"/>
      <c r="Q879" s="42"/>
      <c r="R879" s="42"/>
      <c r="S879" s="42"/>
      <c r="T879" s="42"/>
      <c r="U879" s="42"/>
      <c r="V879" s="42"/>
      <c r="W879" s="42"/>
      <c r="X879" s="42"/>
      <c r="Y879" s="42"/>
      <c r="Z879" s="42"/>
      <c r="AA879" s="42"/>
      <c r="AB879" s="42"/>
      <c r="AC879" s="42"/>
      <c r="AD879" s="37" t="s">
        <v>200</v>
      </c>
      <c r="AE879" s="37" t="s">
        <v>200</v>
      </c>
      <c r="AF879" s="37" t="s">
        <v>200</v>
      </c>
      <c r="AG879" s="37"/>
      <c r="AI879" s="24"/>
    </row>
    <row r="880">
      <c r="A880" s="11"/>
      <c r="B880" s="23"/>
      <c r="C880" s="23"/>
      <c r="D880" s="23"/>
      <c r="E880" s="23"/>
      <c r="F880" s="1"/>
      <c r="G880" s="23"/>
      <c r="H880" s="23"/>
      <c r="I880" s="23"/>
      <c r="J880" s="2" t="s">
        <v>200</v>
      </c>
      <c r="K880" s="2" t="s">
        <v>200</v>
      </c>
      <c r="L880" s="40"/>
      <c r="M880" s="40"/>
      <c r="N880" s="40"/>
      <c r="O880" s="2"/>
      <c r="P880" s="42"/>
      <c r="Q880" s="42"/>
      <c r="R880" s="42"/>
      <c r="S880" s="42"/>
      <c r="T880" s="42"/>
      <c r="U880" s="42"/>
      <c r="V880" s="42"/>
      <c r="W880" s="42"/>
      <c r="X880" s="42"/>
      <c r="Y880" s="42"/>
      <c r="Z880" s="42"/>
      <c r="AA880" s="42"/>
      <c r="AB880" s="42"/>
      <c r="AC880" s="42"/>
      <c r="AD880" s="37" t="s">
        <v>200</v>
      </c>
      <c r="AE880" s="37" t="s">
        <v>200</v>
      </c>
      <c r="AF880" s="37" t="s">
        <v>200</v>
      </c>
      <c r="AG880" s="37"/>
      <c r="AI880" s="24"/>
    </row>
    <row r="881">
      <c r="A881" s="11"/>
      <c r="B881" s="23"/>
      <c r="C881" s="23"/>
      <c r="D881" s="23"/>
      <c r="E881" s="23"/>
      <c r="F881" s="1"/>
      <c r="G881" s="23"/>
      <c r="H881" s="23"/>
      <c r="I881" s="23"/>
      <c r="J881" s="2" t="s">
        <v>200</v>
      </c>
      <c r="K881" s="2" t="s">
        <v>200</v>
      </c>
      <c r="L881" s="40"/>
      <c r="M881" s="40"/>
      <c r="N881" s="40"/>
      <c r="O881" s="2"/>
      <c r="P881" s="42"/>
      <c r="Q881" s="42"/>
      <c r="R881" s="42"/>
      <c r="S881" s="42"/>
      <c r="T881" s="42"/>
      <c r="U881" s="42"/>
      <c r="V881" s="42"/>
      <c r="W881" s="42"/>
      <c r="X881" s="42"/>
      <c r="Y881" s="42"/>
      <c r="Z881" s="42"/>
      <c r="AA881" s="42"/>
      <c r="AB881" s="42"/>
      <c r="AC881" s="42"/>
      <c r="AD881" s="37" t="s">
        <v>200</v>
      </c>
      <c r="AE881" s="37" t="s">
        <v>200</v>
      </c>
      <c r="AF881" s="37" t="s">
        <v>200</v>
      </c>
      <c r="AG881" s="37"/>
      <c r="AI881" s="24"/>
    </row>
    <row r="882">
      <c r="A882" s="11"/>
      <c r="B882" s="23"/>
      <c r="C882" s="23"/>
      <c r="D882" s="23"/>
      <c r="E882" s="23"/>
      <c r="F882" s="1"/>
      <c r="G882" s="23"/>
      <c r="H882" s="23"/>
      <c r="I882" s="23"/>
      <c r="J882" s="2" t="s">
        <v>200</v>
      </c>
      <c r="K882" s="2" t="s">
        <v>200</v>
      </c>
      <c r="L882" s="40"/>
      <c r="M882" s="40"/>
      <c r="N882" s="40"/>
      <c r="O882" s="2"/>
      <c r="P882" s="42"/>
      <c r="Q882" s="42"/>
      <c r="R882" s="42"/>
      <c r="S882" s="42"/>
      <c r="T882" s="42"/>
      <c r="U882" s="42"/>
      <c r="V882" s="42"/>
      <c r="W882" s="42"/>
      <c r="X882" s="42"/>
      <c r="Y882" s="42"/>
      <c r="Z882" s="42"/>
      <c r="AA882" s="42"/>
      <c r="AB882" s="42"/>
      <c r="AC882" s="42"/>
      <c r="AD882" s="37" t="s">
        <v>200</v>
      </c>
      <c r="AE882" s="37" t="s">
        <v>200</v>
      </c>
      <c r="AF882" s="37" t="s">
        <v>200</v>
      </c>
      <c r="AG882" s="37"/>
      <c r="AI882" s="24"/>
    </row>
    <row r="883">
      <c r="A883" s="11"/>
      <c r="B883" s="23"/>
      <c r="C883" s="23"/>
      <c r="D883" s="23"/>
      <c r="E883" s="23"/>
      <c r="F883" s="1"/>
      <c r="G883" s="23"/>
      <c r="H883" s="23"/>
      <c r="I883" s="23"/>
      <c r="J883" s="2" t="s">
        <v>200</v>
      </c>
      <c r="K883" s="2" t="s">
        <v>200</v>
      </c>
      <c r="L883" s="40"/>
      <c r="M883" s="40"/>
      <c r="N883" s="40"/>
      <c r="O883" s="2"/>
      <c r="P883" s="42"/>
      <c r="Q883" s="42"/>
      <c r="R883" s="42"/>
      <c r="S883" s="42"/>
      <c r="T883" s="42"/>
      <c r="U883" s="42"/>
      <c r="V883" s="42"/>
      <c r="W883" s="42"/>
      <c r="X883" s="42"/>
      <c r="Y883" s="42"/>
      <c r="Z883" s="42"/>
      <c r="AA883" s="42"/>
      <c r="AB883" s="42"/>
      <c r="AC883" s="42"/>
      <c r="AD883" s="37" t="s">
        <v>200</v>
      </c>
      <c r="AE883" s="37" t="s">
        <v>200</v>
      </c>
      <c r="AF883" s="37" t="s">
        <v>200</v>
      </c>
      <c r="AG883" s="37"/>
      <c r="AI883" s="24"/>
    </row>
    <row r="884">
      <c r="A884" s="11"/>
      <c r="B884" s="23"/>
      <c r="C884" s="23"/>
      <c r="D884" s="23"/>
      <c r="E884" s="23"/>
      <c r="F884" s="1"/>
      <c r="G884" s="23"/>
      <c r="H884" s="23"/>
      <c r="I884" s="23"/>
      <c r="J884" s="2" t="s">
        <v>200</v>
      </c>
      <c r="K884" s="2" t="s">
        <v>200</v>
      </c>
      <c r="L884" s="40"/>
      <c r="M884" s="40"/>
      <c r="N884" s="40"/>
      <c r="O884" s="2"/>
      <c r="P884" s="42"/>
      <c r="Q884" s="42"/>
      <c r="R884" s="42"/>
      <c r="S884" s="42"/>
      <c r="T884" s="42"/>
      <c r="U884" s="42"/>
      <c r="V884" s="42"/>
      <c r="W884" s="42"/>
      <c r="X884" s="42"/>
      <c r="Y884" s="42"/>
      <c r="Z884" s="42"/>
      <c r="AA884" s="42"/>
      <c r="AB884" s="42"/>
      <c r="AC884" s="42"/>
      <c r="AD884" s="37" t="s">
        <v>200</v>
      </c>
      <c r="AE884" s="37" t="s">
        <v>200</v>
      </c>
      <c r="AF884" s="37" t="s">
        <v>200</v>
      </c>
      <c r="AG884" s="37"/>
      <c r="AI884" s="24"/>
    </row>
    <row r="885">
      <c r="A885" s="11"/>
      <c r="B885" s="23"/>
      <c r="C885" s="23"/>
      <c r="D885" s="23"/>
      <c r="E885" s="23"/>
      <c r="F885" s="1"/>
      <c r="G885" s="23"/>
      <c r="H885" s="23"/>
      <c r="I885" s="23"/>
      <c r="J885" s="2" t="s">
        <v>200</v>
      </c>
      <c r="K885" s="2" t="s">
        <v>200</v>
      </c>
      <c r="L885" s="40"/>
      <c r="M885" s="40"/>
      <c r="N885" s="40"/>
      <c r="O885" s="2"/>
      <c r="P885" s="42"/>
      <c r="Q885" s="42"/>
      <c r="R885" s="42"/>
      <c r="S885" s="42"/>
      <c r="T885" s="42"/>
      <c r="U885" s="42"/>
      <c r="V885" s="42"/>
      <c r="W885" s="42"/>
      <c r="X885" s="42"/>
      <c r="Y885" s="42"/>
      <c r="Z885" s="42"/>
      <c r="AA885" s="42"/>
      <c r="AB885" s="42"/>
      <c r="AC885" s="42"/>
      <c r="AD885" s="37" t="s">
        <v>200</v>
      </c>
      <c r="AE885" s="37" t="s">
        <v>200</v>
      </c>
      <c r="AF885" s="37" t="s">
        <v>200</v>
      </c>
      <c r="AG885" s="37"/>
      <c r="AI885" s="24"/>
    </row>
    <row r="886">
      <c r="A886" s="11"/>
      <c r="B886" s="23"/>
      <c r="C886" s="23"/>
      <c r="D886" s="23"/>
      <c r="E886" s="23"/>
      <c r="F886" s="1"/>
      <c r="G886" s="23"/>
      <c r="H886" s="23"/>
      <c r="I886" s="23"/>
      <c r="J886" s="2" t="s">
        <v>200</v>
      </c>
      <c r="K886" s="2" t="s">
        <v>200</v>
      </c>
      <c r="L886" s="40"/>
      <c r="M886" s="40"/>
      <c r="N886" s="40"/>
      <c r="O886" s="2"/>
      <c r="P886" s="42"/>
      <c r="Q886" s="42"/>
      <c r="R886" s="42"/>
      <c r="S886" s="42"/>
      <c r="T886" s="42"/>
      <c r="U886" s="42"/>
      <c r="V886" s="42"/>
      <c r="W886" s="42"/>
      <c r="X886" s="42"/>
      <c r="Y886" s="42"/>
      <c r="Z886" s="42"/>
      <c r="AA886" s="42"/>
      <c r="AB886" s="42"/>
      <c r="AC886" s="42"/>
      <c r="AD886" s="37" t="s">
        <v>200</v>
      </c>
      <c r="AE886" s="37" t="s">
        <v>200</v>
      </c>
      <c r="AF886" s="37" t="s">
        <v>200</v>
      </c>
      <c r="AG886" s="37"/>
      <c r="AI886" s="24"/>
    </row>
    <row r="887">
      <c r="A887" s="11"/>
      <c r="B887" s="23"/>
      <c r="C887" s="23"/>
      <c r="D887" s="23"/>
      <c r="E887" s="23"/>
      <c r="F887" s="1"/>
      <c r="G887" s="23"/>
      <c r="H887" s="23"/>
      <c r="I887" s="23"/>
      <c r="J887" s="2" t="s">
        <v>200</v>
      </c>
      <c r="K887" s="2" t="s">
        <v>200</v>
      </c>
      <c r="L887" s="40"/>
      <c r="M887" s="40"/>
      <c r="N887" s="40"/>
      <c r="O887" s="2"/>
      <c r="P887" s="42"/>
      <c r="Q887" s="42"/>
      <c r="R887" s="42"/>
      <c r="S887" s="42"/>
      <c r="T887" s="42"/>
      <c r="U887" s="42"/>
      <c r="V887" s="42"/>
      <c r="W887" s="42"/>
      <c r="X887" s="42"/>
      <c r="Y887" s="42"/>
      <c r="Z887" s="42"/>
      <c r="AA887" s="42"/>
      <c r="AB887" s="42"/>
      <c r="AC887" s="42"/>
      <c r="AD887" s="37" t="s">
        <v>200</v>
      </c>
      <c r="AE887" s="37" t="s">
        <v>200</v>
      </c>
      <c r="AF887" s="37" t="s">
        <v>200</v>
      </c>
      <c r="AG887" s="37"/>
      <c r="AI887" s="24"/>
    </row>
    <row r="888">
      <c r="A888" s="11"/>
      <c r="B888" s="23"/>
      <c r="C888" s="23"/>
      <c r="D888" s="23"/>
      <c r="E888" s="23"/>
      <c r="F888" s="1"/>
      <c r="G888" s="23"/>
      <c r="H888" s="23"/>
      <c r="I888" s="23"/>
      <c r="J888" s="2" t="s">
        <v>200</v>
      </c>
      <c r="K888" s="2" t="s">
        <v>200</v>
      </c>
      <c r="L888" s="40"/>
      <c r="M888" s="40"/>
      <c r="N888" s="40"/>
      <c r="O888" s="2"/>
      <c r="P888" s="42"/>
      <c r="Q888" s="42"/>
      <c r="R888" s="42"/>
      <c r="S888" s="42"/>
      <c r="T888" s="42"/>
      <c r="U888" s="42"/>
      <c r="V888" s="42"/>
      <c r="W888" s="42"/>
      <c r="X888" s="42"/>
      <c r="Y888" s="42"/>
      <c r="Z888" s="42"/>
      <c r="AA888" s="42"/>
      <c r="AB888" s="42"/>
      <c r="AC888" s="42"/>
      <c r="AD888" s="37" t="s">
        <v>200</v>
      </c>
      <c r="AE888" s="37" t="s">
        <v>200</v>
      </c>
      <c r="AF888" s="37" t="s">
        <v>200</v>
      </c>
      <c r="AG888" s="37"/>
      <c r="AI888" s="24"/>
    </row>
    <row r="889">
      <c r="A889" s="11"/>
      <c r="B889" s="23"/>
      <c r="C889" s="23"/>
      <c r="D889" s="23"/>
      <c r="E889" s="23"/>
      <c r="F889" s="1"/>
      <c r="G889" s="23"/>
      <c r="H889" s="23"/>
      <c r="I889" s="23"/>
      <c r="J889" s="2" t="s">
        <v>200</v>
      </c>
      <c r="K889" s="2" t="s">
        <v>200</v>
      </c>
      <c r="L889" s="40"/>
      <c r="M889" s="40"/>
      <c r="N889" s="40"/>
      <c r="O889" s="2"/>
      <c r="P889" s="42"/>
      <c r="Q889" s="42"/>
      <c r="R889" s="42"/>
      <c r="S889" s="42"/>
      <c r="T889" s="42"/>
      <c r="U889" s="42"/>
      <c r="V889" s="42"/>
      <c r="W889" s="42"/>
      <c r="X889" s="42"/>
      <c r="Y889" s="42"/>
      <c r="Z889" s="42"/>
      <c r="AA889" s="42"/>
      <c r="AB889" s="42"/>
      <c r="AC889" s="42"/>
      <c r="AD889" s="37" t="s">
        <v>200</v>
      </c>
      <c r="AE889" s="37" t="s">
        <v>200</v>
      </c>
      <c r="AF889" s="37" t="s">
        <v>200</v>
      </c>
      <c r="AG889" s="37"/>
      <c r="AI889" s="24"/>
    </row>
    <row r="890">
      <c r="A890" s="11"/>
      <c r="B890" s="23"/>
      <c r="C890" s="23"/>
      <c r="D890" s="23"/>
      <c r="E890" s="23"/>
      <c r="F890" s="1"/>
      <c r="G890" s="23"/>
      <c r="H890" s="23"/>
      <c r="I890" s="23"/>
      <c r="J890" s="2" t="s">
        <v>200</v>
      </c>
      <c r="K890" s="2" t="s">
        <v>200</v>
      </c>
      <c r="L890" s="40"/>
      <c r="M890" s="40"/>
      <c r="N890" s="40"/>
      <c r="O890" s="2"/>
      <c r="P890" s="42"/>
      <c r="Q890" s="42"/>
      <c r="R890" s="42"/>
      <c r="S890" s="42"/>
      <c r="T890" s="42"/>
      <c r="U890" s="42"/>
      <c r="V890" s="42"/>
      <c r="W890" s="42"/>
      <c r="X890" s="42"/>
      <c r="Y890" s="42"/>
      <c r="Z890" s="42"/>
      <c r="AA890" s="42"/>
      <c r="AB890" s="42"/>
      <c r="AC890" s="42"/>
      <c r="AD890" s="37" t="s">
        <v>200</v>
      </c>
      <c r="AE890" s="37" t="s">
        <v>200</v>
      </c>
      <c r="AF890" s="37" t="s">
        <v>200</v>
      </c>
      <c r="AG890" s="37"/>
      <c r="AI890" s="24"/>
    </row>
    <row r="891">
      <c r="A891" s="11"/>
      <c r="B891" s="23"/>
      <c r="C891" s="23"/>
      <c r="D891" s="23"/>
      <c r="E891" s="23"/>
      <c r="F891" s="1"/>
      <c r="G891" s="23"/>
      <c r="H891" s="23"/>
      <c r="I891" s="23"/>
      <c r="J891" s="2" t="s">
        <v>200</v>
      </c>
      <c r="K891" s="2" t="s">
        <v>200</v>
      </c>
      <c r="L891" s="40"/>
      <c r="M891" s="40"/>
      <c r="N891" s="40"/>
      <c r="O891" s="2"/>
      <c r="P891" s="42"/>
      <c r="Q891" s="42"/>
      <c r="R891" s="42"/>
      <c r="S891" s="42"/>
      <c r="T891" s="42"/>
      <c r="U891" s="42"/>
      <c r="V891" s="42"/>
      <c r="W891" s="42"/>
      <c r="X891" s="42"/>
      <c r="Y891" s="42"/>
      <c r="Z891" s="42"/>
      <c r="AA891" s="42"/>
      <c r="AB891" s="42"/>
      <c r="AC891" s="42"/>
      <c r="AD891" s="37" t="s">
        <v>200</v>
      </c>
      <c r="AE891" s="37" t="s">
        <v>200</v>
      </c>
      <c r="AF891" s="37" t="s">
        <v>200</v>
      </c>
      <c r="AG891" s="37"/>
      <c r="AI891" s="24"/>
    </row>
    <row r="892">
      <c r="A892" s="11"/>
      <c r="B892" s="23"/>
      <c r="C892" s="23"/>
      <c r="D892" s="23"/>
      <c r="E892" s="23"/>
      <c r="F892" s="1"/>
      <c r="G892" s="23"/>
      <c r="H892" s="23"/>
      <c r="I892" s="23"/>
      <c r="J892" s="2" t="s">
        <v>200</v>
      </c>
      <c r="K892" s="2" t="s">
        <v>200</v>
      </c>
      <c r="L892" s="40"/>
      <c r="M892" s="40"/>
      <c r="N892" s="40"/>
      <c r="O892" s="2"/>
      <c r="P892" s="42"/>
      <c r="Q892" s="42"/>
      <c r="R892" s="42"/>
      <c r="S892" s="42"/>
      <c r="T892" s="42"/>
      <c r="U892" s="42"/>
      <c r="V892" s="42"/>
      <c r="W892" s="42"/>
      <c r="X892" s="42"/>
      <c r="Y892" s="42"/>
      <c r="Z892" s="42"/>
      <c r="AA892" s="42"/>
      <c r="AB892" s="42"/>
      <c r="AC892" s="42"/>
      <c r="AD892" s="37" t="s">
        <v>200</v>
      </c>
      <c r="AE892" s="37" t="s">
        <v>200</v>
      </c>
      <c r="AF892" s="37" t="s">
        <v>200</v>
      </c>
      <c r="AG892" s="37"/>
      <c r="AI892" s="24"/>
    </row>
    <row r="893">
      <c r="A893" s="11"/>
      <c r="B893" s="23"/>
      <c r="C893" s="23"/>
      <c r="D893" s="23"/>
      <c r="E893" s="23"/>
      <c r="F893" s="1"/>
      <c r="G893" s="23"/>
      <c r="H893" s="23"/>
      <c r="I893" s="23"/>
      <c r="J893" s="2" t="s">
        <v>200</v>
      </c>
      <c r="K893" s="2" t="s">
        <v>200</v>
      </c>
      <c r="L893" s="40"/>
      <c r="M893" s="40"/>
      <c r="N893" s="40"/>
      <c r="O893" s="2"/>
      <c r="P893" s="42"/>
      <c r="Q893" s="42"/>
      <c r="R893" s="42"/>
      <c r="S893" s="42"/>
      <c r="T893" s="42"/>
      <c r="U893" s="42"/>
      <c r="V893" s="42"/>
      <c r="W893" s="42"/>
      <c r="X893" s="42"/>
      <c r="Y893" s="42"/>
      <c r="Z893" s="42"/>
      <c r="AA893" s="42"/>
      <c r="AB893" s="42"/>
      <c r="AC893" s="42"/>
      <c r="AD893" s="37" t="s">
        <v>200</v>
      </c>
      <c r="AE893" s="37" t="s">
        <v>200</v>
      </c>
      <c r="AF893" s="37" t="s">
        <v>200</v>
      </c>
      <c r="AG893" s="37"/>
      <c r="AI893" s="24"/>
    </row>
    <row r="894">
      <c r="A894" s="11"/>
      <c r="B894" s="23"/>
      <c r="C894" s="23"/>
      <c r="D894" s="23"/>
      <c r="E894" s="23"/>
      <c r="F894" s="1"/>
      <c r="G894" s="23"/>
      <c r="H894" s="23"/>
      <c r="I894" s="23"/>
      <c r="J894" s="2" t="s">
        <v>200</v>
      </c>
      <c r="K894" s="2" t="s">
        <v>200</v>
      </c>
      <c r="L894" s="40"/>
      <c r="M894" s="40"/>
      <c r="N894" s="40"/>
      <c r="O894" s="2"/>
      <c r="P894" s="42"/>
      <c r="Q894" s="42"/>
      <c r="R894" s="42"/>
      <c r="S894" s="42"/>
      <c r="T894" s="42"/>
      <c r="U894" s="42"/>
      <c r="V894" s="42"/>
      <c r="W894" s="42"/>
      <c r="X894" s="42"/>
      <c r="Y894" s="42"/>
      <c r="Z894" s="42"/>
      <c r="AA894" s="42"/>
      <c r="AB894" s="42"/>
      <c r="AC894" s="42"/>
      <c r="AD894" s="37" t="s">
        <v>200</v>
      </c>
      <c r="AE894" s="37" t="s">
        <v>200</v>
      </c>
      <c r="AF894" s="37" t="s">
        <v>200</v>
      </c>
      <c r="AG894" s="37"/>
      <c r="AI894" s="24"/>
    </row>
    <row r="895">
      <c r="A895" s="11"/>
      <c r="B895" s="23"/>
      <c r="C895" s="23"/>
      <c r="D895" s="23"/>
      <c r="E895" s="23"/>
      <c r="F895" s="1"/>
      <c r="G895" s="23"/>
      <c r="H895" s="23"/>
      <c r="I895" s="23"/>
      <c r="J895" s="2" t="s">
        <v>200</v>
      </c>
      <c r="K895" s="2" t="s">
        <v>200</v>
      </c>
      <c r="L895" s="40"/>
      <c r="M895" s="40"/>
      <c r="N895" s="40"/>
      <c r="O895" s="2"/>
      <c r="P895" s="42"/>
      <c r="Q895" s="42"/>
      <c r="R895" s="42"/>
      <c r="S895" s="42"/>
      <c r="T895" s="42"/>
      <c r="U895" s="42"/>
      <c r="V895" s="42"/>
      <c r="W895" s="42"/>
      <c r="X895" s="42"/>
      <c r="Y895" s="42"/>
      <c r="Z895" s="42"/>
      <c r="AA895" s="42"/>
      <c r="AB895" s="42"/>
      <c r="AC895" s="42"/>
      <c r="AD895" s="37" t="s">
        <v>200</v>
      </c>
      <c r="AE895" s="37" t="s">
        <v>200</v>
      </c>
      <c r="AF895" s="37" t="s">
        <v>200</v>
      </c>
      <c r="AG895" s="37"/>
      <c r="AI895" s="24"/>
    </row>
    <row r="896">
      <c r="A896" s="11"/>
      <c r="B896" s="23"/>
      <c r="C896" s="23"/>
      <c r="D896" s="23"/>
      <c r="E896" s="23"/>
      <c r="F896" s="1"/>
      <c r="G896" s="23"/>
      <c r="H896" s="23"/>
      <c r="I896" s="23"/>
      <c r="J896" s="2" t="s">
        <v>200</v>
      </c>
      <c r="K896" s="2" t="s">
        <v>200</v>
      </c>
      <c r="L896" s="40"/>
      <c r="M896" s="40"/>
      <c r="N896" s="40"/>
      <c r="O896" s="2"/>
      <c r="P896" s="42"/>
      <c r="Q896" s="42"/>
      <c r="R896" s="42"/>
      <c r="S896" s="42"/>
      <c r="T896" s="42"/>
      <c r="U896" s="42"/>
      <c r="V896" s="42"/>
      <c r="W896" s="42"/>
      <c r="X896" s="42"/>
      <c r="Y896" s="42"/>
      <c r="Z896" s="42"/>
      <c r="AA896" s="42"/>
      <c r="AB896" s="42"/>
      <c r="AC896" s="42"/>
      <c r="AD896" s="37" t="s">
        <v>200</v>
      </c>
      <c r="AE896" s="37" t="s">
        <v>200</v>
      </c>
      <c r="AF896" s="37" t="s">
        <v>200</v>
      </c>
      <c r="AG896" s="37"/>
      <c r="AI896" s="24"/>
    </row>
    <row r="897">
      <c r="A897" s="11"/>
      <c r="B897" s="23"/>
      <c r="C897" s="23"/>
      <c r="D897" s="23"/>
      <c r="E897" s="23"/>
      <c r="F897" s="1"/>
      <c r="G897" s="23"/>
      <c r="H897" s="23"/>
      <c r="I897" s="23"/>
      <c r="J897" s="2" t="s">
        <v>200</v>
      </c>
      <c r="K897" s="2" t="s">
        <v>200</v>
      </c>
      <c r="L897" s="40"/>
      <c r="M897" s="40"/>
      <c r="N897" s="40"/>
      <c r="O897" s="2"/>
      <c r="P897" s="42"/>
      <c r="Q897" s="42"/>
      <c r="R897" s="42"/>
      <c r="S897" s="42"/>
      <c r="T897" s="42"/>
      <c r="U897" s="42"/>
      <c r="V897" s="42"/>
      <c r="W897" s="42"/>
      <c r="X897" s="42"/>
      <c r="Y897" s="42"/>
      <c r="Z897" s="42"/>
      <c r="AA897" s="42"/>
      <c r="AB897" s="42"/>
      <c r="AC897" s="42"/>
      <c r="AD897" s="37" t="s">
        <v>200</v>
      </c>
      <c r="AE897" s="37" t="s">
        <v>200</v>
      </c>
      <c r="AF897" s="37" t="s">
        <v>200</v>
      </c>
      <c r="AG897" s="37"/>
      <c r="AI897" s="24"/>
    </row>
    <row r="898">
      <c r="A898" s="11"/>
      <c r="B898" s="23"/>
      <c r="C898" s="23"/>
      <c r="D898" s="23"/>
      <c r="E898" s="23"/>
      <c r="F898" s="1"/>
      <c r="G898" s="23"/>
      <c r="H898" s="23"/>
      <c r="I898" s="23"/>
      <c r="J898" s="2" t="s">
        <v>200</v>
      </c>
      <c r="K898" s="2" t="s">
        <v>200</v>
      </c>
      <c r="L898" s="40"/>
      <c r="M898" s="40"/>
      <c r="N898" s="40"/>
      <c r="O898" s="2"/>
      <c r="P898" s="42"/>
      <c r="Q898" s="42"/>
      <c r="R898" s="42"/>
      <c r="S898" s="42"/>
      <c r="T898" s="42"/>
      <c r="U898" s="42"/>
      <c r="V898" s="42"/>
      <c r="W898" s="42"/>
      <c r="X898" s="42"/>
      <c r="Y898" s="42"/>
      <c r="Z898" s="42"/>
      <c r="AA898" s="42"/>
      <c r="AB898" s="42"/>
      <c r="AC898" s="42"/>
      <c r="AD898" s="37" t="s">
        <v>200</v>
      </c>
      <c r="AE898" s="37" t="s">
        <v>200</v>
      </c>
      <c r="AF898" s="37" t="s">
        <v>200</v>
      </c>
      <c r="AG898" s="37"/>
      <c r="AI898" s="24"/>
    </row>
    <row r="899">
      <c r="A899" s="11"/>
      <c r="B899" s="23"/>
      <c r="C899" s="23"/>
      <c r="D899" s="23"/>
      <c r="E899" s="23"/>
      <c r="F899" s="1"/>
      <c r="G899" s="23"/>
      <c r="H899" s="23"/>
      <c r="I899" s="23"/>
      <c r="J899" s="2" t="s">
        <v>200</v>
      </c>
      <c r="K899" s="2" t="s">
        <v>200</v>
      </c>
      <c r="L899" s="40"/>
      <c r="M899" s="40"/>
      <c r="N899" s="40"/>
      <c r="O899" s="2"/>
      <c r="P899" s="42"/>
      <c r="Q899" s="42"/>
      <c r="R899" s="42"/>
      <c r="S899" s="42"/>
      <c r="T899" s="42"/>
      <c r="U899" s="42"/>
      <c r="V899" s="42"/>
      <c r="W899" s="42"/>
      <c r="X899" s="42"/>
      <c r="Y899" s="42"/>
      <c r="Z899" s="42"/>
      <c r="AA899" s="42"/>
      <c r="AB899" s="42"/>
      <c r="AC899" s="42"/>
      <c r="AD899" s="37" t="s">
        <v>200</v>
      </c>
      <c r="AE899" s="37" t="s">
        <v>200</v>
      </c>
      <c r="AF899" s="37" t="s">
        <v>200</v>
      </c>
      <c r="AG899" s="37"/>
      <c r="AI899" s="24"/>
    </row>
    <row r="900">
      <c r="A900" s="11"/>
      <c r="B900" s="23"/>
      <c r="C900" s="23"/>
      <c r="D900" s="23"/>
      <c r="E900" s="23"/>
      <c r="F900" s="1"/>
      <c r="G900" s="23"/>
      <c r="H900" s="23"/>
      <c r="I900" s="23"/>
      <c r="J900" s="2" t="s">
        <v>200</v>
      </c>
      <c r="K900" s="2" t="s">
        <v>200</v>
      </c>
      <c r="L900" s="40"/>
      <c r="M900" s="40"/>
      <c r="N900" s="40"/>
      <c r="O900" s="2"/>
      <c r="P900" s="42"/>
      <c r="Q900" s="42"/>
      <c r="R900" s="42"/>
      <c r="S900" s="42"/>
      <c r="T900" s="42"/>
      <c r="U900" s="42"/>
      <c r="V900" s="42"/>
      <c r="W900" s="42"/>
      <c r="X900" s="42"/>
      <c r="Y900" s="42"/>
      <c r="Z900" s="42"/>
      <c r="AA900" s="42"/>
      <c r="AB900" s="42"/>
      <c r="AC900" s="42"/>
      <c r="AD900" s="37" t="s">
        <v>200</v>
      </c>
      <c r="AE900" s="37" t="s">
        <v>200</v>
      </c>
      <c r="AF900" s="37" t="s">
        <v>200</v>
      </c>
      <c r="AG900" s="37"/>
      <c r="AI900" s="24"/>
    </row>
    <row r="901">
      <c r="A901" s="11"/>
      <c r="B901" s="23"/>
      <c r="C901" s="23"/>
      <c r="D901" s="23"/>
      <c r="E901" s="23"/>
      <c r="F901" s="1"/>
      <c r="G901" s="23"/>
      <c r="H901" s="23"/>
      <c r="I901" s="23"/>
      <c r="J901" s="2" t="s">
        <v>200</v>
      </c>
      <c r="K901" s="2" t="s">
        <v>200</v>
      </c>
      <c r="L901" s="40"/>
      <c r="M901" s="40"/>
      <c r="N901" s="40"/>
      <c r="O901" s="2"/>
      <c r="P901" s="42"/>
      <c r="Q901" s="42"/>
      <c r="R901" s="42"/>
      <c r="S901" s="42"/>
      <c r="T901" s="42"/>
      <c r="U901" s="42"/>
      <c r="V901" s="42"/>
      <c r="W901" s="42"/>
      <c r="X901" s="42"/>
      <c r="Y901" s="42"/>
      <c r="Z901" s="42"/>
      <c r="AA901" s="42"/>
      <c r="AB901" s="42"/>
      <c r="AC901" s="42"/>
      <c r="AD901" s="37" t="s">
        <v>200</v>
      </c>
      <c r="AE901" s="37" t="s">
        <v>200</v>
      </c>
      <c r="AF901" s="37" t="s">
        <v>200</v>
      </c>
      <c r="AG901" s="37"/>
      <c r="AI901" s="24"/>
    </row>
    <row r="902">
      <c r="A902" s="11"/>
      <c r="B902" s="23"/>
      <c r="C902" s="23"/>
      <c r="D902" s="23"/>
      <c r="E902" s="23"/>
      <c r="F902" s="1"/>
      <c r="G902" s="23"/>
      <c r="H902" s="23"/>
      <c r="I902" s="23"/>
      <c r="J902" s="2" t="s">
        <v>200</v>
      </c>
      <c r="K902" s="2" t="s">
        <v>200</v>
      </c>
      <c r="L902" s="40"/>
      <c r="M902" s="40"/>
      <c r="N902" s="40"/>
      <c r="O902" s="2"/>
      <c r="P902" s="42"/>
      <c r="Q902" s="42"/>
      <c r="R902" s="42"/>
      <c r="S902" s="42"/>
      <c r="T902" s="42"/>
      <c r="U902" s="42"/>
      <c r="V902" s="42"/>
      <c r="W902" s="42"/>
      <c r="X902" s="42"/>
      <c r="Y902" s="42"/>
      <c r="Z902" s="42"/>
      <c r="AA902" s="42"/>
      <c r="AB902" s="42"/>
      <c r="AC902" s="42"/>
      <c r="AD902" s="37" t="s">
        <v>200</v>
      </c>
      <c r="AE902" s="37" t="s">
        <v>200</v>
      </c>
      <c r="AF902" s="37" t="s">
        <v>200</v>
      </c>
      <c r="AG902" s="37"/>
      <c r="AI902" s="24"/>
    </row>
    <row r="903">
      <c r="A903" s="11"/>
      <c r="B903" s="23"/>
      <c r="C903" s="23"/>
      <c r="D903" s="23"/>
      <c r="E903" s="23"/>
      <c r="F903" s="1"/>
      <c r="G903" s="23"/>
      <c r="H903" s="23"/>
      <c r="I903" s="23"/>
      <c r="J903" s="2" t="s">
        <v>200</v>
      </c>
      <c r="K903" s="2" t="s">
        <v>200</v>
      </c>
      <c r="L903" s="40"/>
      <c r="M903" s="40"/>
      <c r="N903" s="40"/>
      <c r="O903" s="2"/>
      <c r="P903" s="42"/>
      <c r="Q903" s="42"/>
      <c r="R903" s="42"/>
      <c r="S903" s="42"/>
      <c r="T903" s="42"/>
      <c r="U903" s="42"/>
      <c r="V903" s="42"/>
      <c r="W903" s="42"/>
      <c r="X903" s="42"/>
      <c r="Y903" s="42"/>
      <c r="Z903" s="42"/>
      <c r="AA903" s="42"/>
      <c r="AB903" s="42"/>
      <c r="AC903" s="42"/>
      <c r="AD903" s="37" t="s">
        <v>200</v>
      </c>
      <c r="AE903" s="37" t="s">
        <v>200</v>
      </c>
      <c r="AF903" s="37" t="s">
        <v>200</v>
      </c>
      <c r="AG903" s="37"/>
      <c r="AI903" s="24"/>
    </row>
    <row r="904">
      <c r="A904" s="11"/>
      <c r="B904" s="23"/>
      <c r="C904" s="23"/>
      <c r="D904" s="23"/>
      <c r="E904" s="23"/>
      <c r="F904" s="1"/>
      <c r="G904" s="23"/>
      <c r="H904" s="23"/>
      <c r="I904" s="23"/>
      <c r="J904" s="2" t="s">
        <v>200</v>
      </c>
      <c r="K904" s="2" t="s">
        <v>200</v>
      </c>
      <c r="L904" s="40"/>
      <c r="M904" s="40"/>
      <c r="N904" s="40"/>
      <c r="O904" s="2"/>
      <c r="P904" s="42"/>
      <c r="Q904" s="42"/>
      <c r="R904" s="42"/>
      <c r="S904" s="42"/>
      <c r="T904" s="42"/>
      <c r="U904" s="42"/>
      <c r="V904" s="42"/>
      <c r="W904" s="42"/>
      <c r="X904" s="42"/>
      <c r="Y904" s="42"/>
      <c r="Z904" s="42"/>
      <c r="AA904" s="42"/>
      <c r="AB904" s="42"/>
      <c r="AC904" s="42"/>
      <c r="AD904" s="37" t="s">
        <v>200</v>
      </c>
      <c r="AE904" s="37" t="s">
        <v>200</v>
      </c>
      <c r="AF904" s="37" t="s">
        <v>200</v>
      </c>
      <c r="AG904" s="37"/>
      <c r="AI904" s="24"/>
    </row>
    <row r="905">
      <c r="A905" s="11"/>
      <c r="B905" s="23"/>
      <c r="C905" s="23"/>
      <c r="D905" s="23"/>
      <c r="E905" s="23"/>
      <c r="F905" s="1"/>
      <c r="G905" s="23"/>
      <c r="H905" s="23"/>
      <c r="I905" s="23"/>
      <c r="J905" s="2" t="s">
        <v>200</v>
      </c>
      <c r="K905" s="2" t="s">
        <v>200</v>
      </c>
      <c r="L905" s="40"/>
      <c r="M905" s="40"/>
      <c r="N905" s="40"/>
      <c r="O905" s="2"/>
      <c r="P905" s="42"/>
      <c r="Q905" s="42"/>
      <c r="R905" s="42"/>
      <c r="S905" s="42"/>
      <c r="T905" s="42"/>
      <c r="U905" s="42"/>
      <c r="V905" s="42"/>
      <c r="W905" s="42"/>
      <c r="X905" s="42"/>
      <c r="Y905" s="42"/>
      <c r="Z905" s="42"/>
      <c r="AA905" s="42"/>
      <c r="AB905" s="42"/>
      <c r="AC905" s="42"/>
      <c r="AD905" s="37" t="s">
        <v>200</v>
      </c>
      <c r="AE905" s="37" t="s">
        <v>200</v>
      </c>
      <c r="AF905" s="37" t="s">
        <v>200</v>
      </c>
      <c r="AG905" s="37"/>
      <c r="AI905" s="24"/>
    </row>
    <row r="906">
      <c r="A906" s="11"/>
      <c r="B906" s="23"/>
      <c r="C906" s="23"/>
      <c r="D906" s="23"/>
      <c r="E906" s="23"/>
      <c r="F906" s="1"/>
      <c r="G906" s="23"/>
      <c r="H906" s="23"/>
      <c r="I906" s="23"/>
      <c r="J906" s="2" t="s">
        <v>200</v>
      </c>
      <c r="K906" s="2" t="s">
        <v>200</v>
      </c>
      <c r="L906" s="40"/>
      <c r="M906" s="40"/>
      <c r="N906" s="40"/>
      <c r="O906" s="2"/>
      <c r="P906" s="42"/>
      <c r="Q906" s="42"/>
      <c r="R906" s="42"/>
      <c r="S906" s="42"/>
      <c r="T906" s="42"/>
      <c r="U906" s="42"/>
      <c r="V906" s="42"/>
      <c r="W906" s="42"/>
      <c r="X906" s="42"/>
      <c r="Y906" s="42"/>
      <c r="Z906" s="42"/>
      <c r="AA906" s="42"/>
      <c r="AB906" s="42"/>
      <c r="AC906" s="42"/>
      <c r="AD906" s="37" t="s">
        <v>200</v>
      </c>
      <c r="AE906" s="37" t="s">
        <v>200</v>
      </c>
      <c r="AF906" s="37" t="s">
        <v>200</v>
      </c>
      <c r="AG906" s="37"/>
      <c r="AI906" s="24"/>
    </row>
    <row r="907">
      <c r="A907" s="11"/>
      <c r="B907" s="23"/>
      <c r="C907" s="23"/>
      <c r="D907" s="23"/>
      <c r="E907" s="23"/>
      <c r="F907" s="1"/>
      <c r="G907" s="23"/>
      <c r="H907" s="23"/>
      <c r="I907" s="23"/>
      <c r="J907" s="2" t="s">
        <v>200</v>
      </c>
      <c r="K907" s="2" t="s">
        <v>200</v>
      </c>
      <c r="L907" s="40"/>
      <c r="M907" s="40"/>
      <c r="N907" s="40"/>
      <c r="O907" s="2"/>
      <c r="P907" s="42"/>
      <c r="Q907" s="42"/>
      <c r="R907" s="42"/>
      <c r="S907" s="42"/>
      <c r="T907" s="42"/>
      <c r="U907" s="42"/>
      <c r="V907" s="42"/>
      <c r="W907" s="42"/>
      <c r="X907" s="42"/>
      <c r="Y907" s="42"/>
      <c r="Z907" s="42"/>
      <c r="AA907" s="42"/>
      <c r="AB907" s="42"/>
      <c r="AC907" s="42"/>
      <c r="AD907" s="37" t="s">
        <v>200</v>
      </c>
      <c r="AE907" s="37" t="s">
        <v>200</v>
      </c>
      <c r="AF907" s="37" t="s">
        <v>200</v>
      </c>
      <c r="AG907" s="37"/>
      <c r="AI907" s="24"/>
    </row>
    <row r="908">
      <c r="A908" s="11"/>
      <c r="B908" s="23"/>
      <c r="C908" s="23"/>
      <c r="D908" s="23"/>
      <c r="E908" s="23"/>
      <c r="F908" s="1"/>
      <c r="G908" s="23"/>
      <c r="H908" s="23"/>
      <c r="I908" s="23"/>
      <c r="J908" s="2" t="s">
        <v>200</v>
      </c>
      <c r="K908" s="2" t="s">
        <v>200</v>
      </c>
      <c r="L908" s="40"/>
      <c r="M908" s="40"/>
      <c r="N908" s="40"/>
      <c r="O908" s="2"/>
      <c r="P908" s="42"/>
      <c r="Q908" s="42"/>
      <c r="R908" s="42"/>
      <c r="S908" s="42"/>
      <c r="T908" s="42"/>
      <c r="U908" s="42"/>
      <c r="V908" s="42"/>
      <c r="W908" s="42"/>
      <c r="X908" s="42"/>
      <c r="Y908" s="42"/>
      <c r="Z908" s="42"/>
      <c r="AA908" s="42"/>
      <c r="AB908" s="42"/>
      <c r="AC908" s="42"/>
      <c r="AD908" s="37" t="s">
        <v>200</v>
      </c>
      <c r="AE908" s="37" t="s">
        <v>200</v>
      </c>
      <c r="AF908" s="37" t="s">
        <v>200</v>
      </c>
      <c r="AG908" s="37"/>
      <c r="AI908" s="24"/>
    </row>
    <row r="909">
      <c r="A909" s="11"/>
      <c r="B909" s="23"/>
      <c r="C909" s="23"/>
      <c r="D909" s="23"/>
      <c r="E909" s="23"/>
      <c r="F909" s="1"/>
      <c r="G909" s="23"/>
      <c r="H909" s="23"/>
      <c r="I909" s="23"/>
      <c r="J909" s="2" t="s">
        <v>200</v>
      </c>
      <c r="K909" s="2" t="s">
        <v>200</v>
      </c>
      <c r="L909" s="40"/>
      <c r="M909" s="40"/>
      <c r="N909" s="40"/>
      <c r="O909" s="2"/>
      <c r="P909" s="42"/>
      <c r="Q909" s="42"/>
      <c r="R909" s="42"/>
      <c r="S909" s="42"/>
      <c r="T909" s="42"/>
      <c r="U909" s="42"/>
      <c r="V909" s="42"/>
      <c r="W909" s="42"/>
      <c r="X909" s="42"/>
      <c r="Y909" s="42"/>
      <c r="Z909" s="42"/>
      <c r="AA909" s="42"/>
      <c r="AB909" s="42"/>
      <c r="AC909" s="42"/>
      <c r="AD909" s="37" t="s">
        <v>200</v>
      </c>
      <c r="AE909" s="37" t="s">
        <v>200</v>
      </c>
      <c r="AF909" s="37" t="s">
        <v>200</v>
      </c>
      <c r="AG909" s="37"/>
      <c r="AI909" s="24"/>
    </row>
    <row r="910">
      <c r="A910" s="11"/>
      <c r="B910" s="23"/>
      <c r="C910" s="23"/>
      <c r="D910" s="23"/>
      <c r="E910" s="23"/>
      <c r="F910" s="1"/>
      <c r="G910" s="23"/>
      <c r="H910" s="23"/>
      <c r="I910" s="23"/>
      <c r="J910" s="2" t="s">
        <v>200</v>
      </c>
      <c r="K910" s="2" t="s">
        <v>200</v>
      </c>
      <c r="L910" s="40"/>
      <c r="M910" s="40"/>
      <c r="N910" s="40"/>
      <c r="O910" s="2"/>
      <c r="P910" s="42"/>
      <c r="Q910" s="42"/>
      <c r="R910" s="42"/>
      <c r="S910" s="42"/>
      <c r="T910" s="42"/>
      <c r="U910" s="42"/>
      <c r="V910" s="42"/>
      <c r="W910" s="42"/>
      <c r="X910" s="42"/>
      <c r="Y910" s="42"/>
      <c r="Z910" s="42"/>
      <c r="AA910" s="42"/>
      <c r="AB910" s="42"/>
      <c r="AC910" s="42"/>
      <c r="AD910" s="37" t="s">
        <v>200</v>
      </c>
      <c r="AE910" s="37" t="s">
        <v>200</v>
      </c>
      <c r="AF910" s="37" t="s">
        <v>200</v>
      </c>
      <c r="AG910" s="37"/>
      <c r="AI910" s="24"/>
    </row>
    <row r="911">
      <c r="A911" s="11"/>
      <c r="B911" s="23"/>
      <c r="C911" s="23"/>
      <c r="D911" s="23"/>
      <c r="E911" s="23"/>
      <c r="F911" s="1"/>
      <c r="G911" s="23"/>
      <c r="H911" s="23"/>
      <c r="I911" s="23"/>
      <c r="J911" s="2" t="s">
        <v>200</v>
      </c>
      <c r="K911" s="2" t="s">
        <v>200</v>
      </c>
      <c r="L911" s="40"/>
      <c r="M911" s="40"/>
      <c r="N911" s="40"/>
      <c r="O911" s="2"/>
      <c r="P911" s="42"/>
      <c r="Q911" s="42"/>
      <c r="R911" s="42"/>
      <c r="S911" s="42"/>
      <c r="T911" s="42"/>
      <c r="U911" s="42"/>
      <c r="V911" s="42"/>
      <c r="W911" s="42"/>
      <c r="X911" s="42"/>
      <c r="Y911" s="42"/>
      <c r="Z911" s="42"/>
      <c r="AA911" s="42"/>
      <c r="AB911" s="42"/>
      <c r="AC911" s="42"/>
      <c r="AD911" s="37" t="s">
        <v>200</v>
      </c>
      <c r="AE911" s="37" t="s">
        <v>200</v>
      </c>
      <c r="AF911" s="37" t="s">
        <v>200</v>
      </c>
      <c r="AG911" s="37"/>
      <c r="AI911" s="24"/>
    </row>
    <row r="912">
      <c r="A912" s="11"/>
      <c r="B912" s="23"/>
      <c r="C912" s="23"/>
      <c r="D912" s="23"/>
      <c r="E912" s="23"/>
      <c r="F912" s="1"/>
      <c r="G912" s="23"/>
      <c r="H912" s="23"/>
      <c r="I912" s="23"/>
      <c r="J912" s="2" t="s">
        <v>200</v>
      </c>
      <c r="K912" s="2" t="s">
        <v>200</v>
      </c>
      <c r="L912" s="40"/>
      <c r="M912" s="40"/>
      <c r="N912" s="40"/>
      <c r="O912" s="2"/>
      <c r="P912" s="42"/>
      <c r="Q912" s="42"/>
      <c r="R912" s="42"/>
      <c r="S912" s="42"/>
      <c r="T912" s="42"/>
      <c r="U912" s="42"/>
      <c r="V912" s="42"/>
      <c r="W912" s="42"/>
      <c r="X912" s="42"/>
      <c r="Y912" s="42"/>
      <c r="Z912" s="42"/>
      <c r="AA912" s="42"/>
      <c r="AB912" s="42"/>
      <c r="AC912" s="42"/>
      <c r="AD912" s="37" t="s">
        <v>200</v>
      </c>
      <c r="AE912" s="37" t="s">
        <v>200</v>
      </c>
      <c r="AF912" s="37" t="s">
        <v>200</v>
      </c>
      <c r="AG912" s="37"/>
      <c r="AI912" s="24"/>
    </row>
    <row r="913">
      <c r="A913" s="11"/>
      <c r="B913" s="23"/>
      <c r="C913" s="23"/>
      <c r="D913" s="23"/>
      <c r="E913" s="23"/>
      <c r="F913" s="1"/>
      <c r="G913" s="23"/>
      <c r="H913" s="23"/>
      <c r="I913" s="23"/>
      <c r="J913" s="2" t="s">
        <v>200</v>
      </c>
      <c r="K913" s="2" t="s">
        <v>200</v>
      </c>
      <c r="L913" s="40"/>
      <c r="M913" s="40"/>
      <c r="N913" s="40"/>
      <c r="O913" s="2"/>
      <c r="P913" s="42"/>
      <c r="Q913" s="42"/>
      <c r="R913" s="42"/>
      <c r="S913" s="42"/>
      <c r="T913" s="42"/>
      <c r="U913" s="42"/>
      <c r="V913" s="42"/>
      <c r="W913" s="42"/>
      <c r="X913" s="42"/>
      <c r="Y913" s="42"/>
      <c r="Z913" s="42"/>
      <c r="AA913" s="42"/>
      <c r="AB913" s="42"/>
      <c r="AC913" s="42"/>
      <c r="AD913" s="37" t="s">
        <v>200</v>
      </c>
      <c r="AE913" s="37" t="s">
        <v>200</v>
      </c>
      <c r="AF913" s="37" t="s">
        <v>200</v>
      </c>
      <c r="AG913" s="37"/>
      <c r="AI913" s="24"/>
    </row>
    <row r="914">
      <c r="A914" s="11"/>
      <c r="B914" s="23"/>
      <c r="C914" s="23"/>
      <c r="D914" s="23"/>
      <c r="E914" s="23"/>
      <c r="F914" s="1"/>
      <c r="G914" s="23"/>
      <c r="H914" s="23"/>
      <c r="I914" s="23"/>
      <c r="J914" s="2" t="s">
        <v>200</v>
      </c>
      <c r="K914" s="2" t="s">
        <v>200</v>
      </c>
      <c r="L914" s="40"/>
      <c r="M914" s="40"/>
      <c r="N914" s="40"/>
      <c r="O914" s="2"/>
      <c r="P914" s="42"/>
      <c r="Q914" s="42"/>
      <c r="R914" s="42"/>
      <c r="S914" s="42"/>
      <c r="T914" s="42"/>
      <c r="U914" s="42"/>
      <c r="V914" s="42"/>
      <c r="W914" s="42"/>
      <c r="X914" s="42"/>
      <c r="Y914" s="42"/>
      <c r="Z914" s="42"/>
      <c r="AA914" s="42"/>
      <c r="AB914" s="42"/>
      <c r="AC914" s="42"/>
      <c r="AD914" s="37" t="s">
        <v>200</v>
      </c>
      <c r="AE914" s="37" t="s">
        <v>200</v>
      </c>
      <c r="AF914" s="37" t="s">
        <v>200</v>
      </c>
      <c r="AG914" s="37"/>
      <c r="AI914" s="24"/>
    </row>
    <row r="915">
      <c r="A915" s="11"/>
      <c r="B915" s="23"/>
      <c r="C915" s="23"/>
      <c r="D915" s="23"/>
      <c r="E915" s="23"/>
      <c r="F915" s="1"/>
      <c r="G915" s="23"/>
      <c r="H915" s="23"/>
      <c r="I915" s="23"/>
      <c r="J915" s="2" t="s">
        <v>200</v>
      </c>
      <c r="K915" s="2" t="s">
        <v>200</v>
      </c>
      <c r="L915" s="40"/>
      <c r="M915" s="40"/>
      <c r="N915" s="40"/>
      <c r="O915" s="2"/>
      <c r="P915" s="42"/>
      <c r="Q915" s="42"/>
      <c r="R915" s="42"/>
      <c r="S915" s="42"/>
      <c r="T915" s="42"/>
      <c r="U915" s="42"/>
      <c r="V915" s="42"/>
      <c r="W915" s="42"/>
      <c r="X915" s="42"/>
      <c r="Y915" s="42"/>
      <c r="Z915" s="42"/>
      <c r="AA915" s="42"/>
      <c r="AB915" s="42"/>
      <c r="AC915" s="42"/>
      <c r="AD915" s="37" t="s">
        <v>200</v>
      </c>
      <c r="AE915" s="37" t="s">
        <v>200</v>
      </c>
      <c r="AF915" s="37" t="s">
        <v>200</v>
      </c>
      <c r="AG915" s="37"/>
      <c r="AI915" s="24"/>
    </row>
    <row r="916">
      <c r="A916" s="11"/>
      <c r="B916" s="23"/>
      <c r="C916" s="23"/>
      <c r="D916" s="23"/>
      <c r="E916" s="23"/>
      <c r="F916" s="1"/>
      <c r="G916" s="23"/>
      <c r="H916" s="23"/>
      <c r="I916" s="23"/>
      <c r="J916" s="2" t="s">
        <v>200</v>
      </c>
      <c r="K916" s="2" t="s">
        <v>200</v>
      </c>
      <c r="L916" s="40"/>
      <c r="M916" s="40"/>
      <c r="N916" s="40"/>
      <c r="O916" s="2"/>
      <c r="P916" s="42"/>
      <c r="Q916" s="42"/>
      <c r="R916" s="42"/>
      <c r="S916" s="42"/>
      <c r="T916" s="42"/>
      <c r="U916" s="42"/>
      <c r="V916" s="42"/>
      <c r="W916" s="42"/>
      <c r="X916" s="42"/>
      <c r="Y916" s="42"/>
      <c r="Z916" s="42"/>
      <c r="AA916" s="42"/>
      <c r="AB916" s="42"/>
      <c r="AC916" s="42"/>
      <c r="AD916" s="37" t="s">
        <v>200</v>
      </c>
      <c r="AE916" s="37" t="s">
        <v>200</v>
      </c>
      <c r="AF916" s="37" t="s">
        <v>200</v>
      </c>
      <c r="AG916" s="37"/>
      <c r="AI916" s="24"/>
    </row>
    <row r="917">
      <c r="A917" s="11"/>
      <c r="B917" s="23"/>
      <c r="C917" s="23"/>
      <c r="D917" s="23"/>
      <c r="E917" s="23"/>
      <c r="F917" s="1"/>
      <c r="G917" s="23"/>
      <c r="H917" s="23"/>
      <c r="I917" s="23"/>
      <c r="J917" s="2" t="s">
        <v>200</v>
      </c>
      <c r="K917" s="2" t="s">
        <v>200</v>
      </c>
      <c r="L917" s="40"/>
      <c r="M917" s="40"/>
      <c r="N917" s="40"/>
      <c r="O917" s="2"/>
      <c r="P917" s="42"/>
      <c r="Q917" s="42"/>
      <c r="R917" s="42"/>
      <c r="S917" s="42"/>
      <c r="T917" s="42"/>
      <c r="U917" s="42"/>
      <c r="V917" s="42"/>
      <c r="W917" s="42"/>
      <c r="X917" s="42"/>
      <c r="Y917" s="42"/>
      <c r="Z917" s="42"/>
      <c r="AA917" s="42"/>
      <c r="AB917" s="42"/>
      <c r="AC917" s="42"/>
      <c r="AD917" s="37" t="s">
        <v>200</v>
      </c>
      <c r="AE917" s="37" t="s">
        <v>200</v>
      </c>
      <c r="AF917" s="37" t="s">
        <v>200</v>
      </c>
      <c r="AG917" s="37"/>
      <c r="AI917" s="24"/>
    </row>
    <row r="918">
      <c r="A918" s="11"/>
      <c r="B918" s="23"/>
      <c r="C918" s="23"/>
      <c r="D918" s="23"/>
      <c r="E918" s="23"/>
      <c r="F918" s="1"/>
      <c r="G918" s="23"/>
      <c r="H918" s="23"/>
      <c r="I918" s="23"/>
      <c r="J918" s="2" t="s">
        <v>200</v>
      </c>
      <c r="K918" s="2" t="s">
        <v>200</v>
      </c>
      <c r="L918" s="40"/>
      <c r="M918" s="40"/>
      <c r="N918" s="40"/>
      <c r="O918" s="2"/>
      <c r="P918" s="42"/>
      <c r="Q918" s="42"/>
      <c r="R918" s="42"/>
      <c r="S918" s="42"/>
      <c r="T918" s="42"/>
      <c r="U918" s="42"/>
      <c r="V918" s="42"/>
      <c r="W918" s="42"/>
      <c r="X918" s="42"/>
      <c r="Y918" s="42"/>
      <c r="Z918" s="42"/>
      <c r="AA918" s="42"/>
      <c r="AB918" s="42"/>
      <c r="AC918" s="42"/>
      <c r="AD918" s="37" t="s">
        <v>200</v>
      </c>
      <c r="AE918" s="37" t="s">
        <v>200</v>
      </c>
      <c r="AF918" s="37" t="s">
        <v>200</v>
      </c>
      <c r="AG918" s="37"/>
      <c r="AI918" s="24"/>
    </row>
    <row r="919">
      <c r="A919" s="11"/>
      <c r="B919" s="23"/>
      <c r="C919" s="23"/>
      <c r="D919" s="23"/>
      <c r="E919" s="23"/>
      <c r="F919" s="1"/>
      <c r="G919" s="23"/>
      <c r="H919" s="23"/>
      <c r="I919" s="23"/>
      <c r="J919" s="2" t="s">
        <v>200</v>
      </c>
      <c r="K919" s="2" t="s">
        <v>200</v>
      </c>
      <c r="L919" s="40"/>
      <c r="M919" s="40"/>
      <c r="N919" s="40"/>
      <c r="O919" s="2"/>
      <c r="P919" s="42"/>
      <c r="Q919" s="42"/>
      <c r="R919" s="42"/>
      <c r="S919" s="42"/>
      <c r="T919" s="42"/>
      <c r="U919" s="42"/>
      <c r="V919" s="42"/>
      <c r="W919" s="42"/>
      <c r="X919" s="42"/>
      <c r="Y919" s="42"/>
      <c r="Z919" s="42"/>
      <c r="AA919" s="42"/>
      <c r="AB919" s="42"/>
      <c r="AC919" s="42"/>
      <c r="AD919" s="37" t="s">
        <v>200</v>
      </c>
      <c r="AE919" s="37" t="s">
        <v>200</v>
      </c>
      <c r="AF919" s="37" t="s">
        <v>200</v>
      </c>
      <c r="AG919" s="37"/>
      <c r="AI919" s="24"/>
    </row>
    <row r="920">
      <c r="A920" s="11"/>
      <c r="B920" s="23"/>
      <c r="C920" s="23"/>
      <c r="D920" s="23"/>
      <c r="E920" s="23"/>
      <c r="F920" s="1"/>
      <c r="G920" s="23"/>
      <c r="H920" s="23"/>
      <c r="I920" s="23"/>
      <c r="J920" s="2" t="s">
        <v>200</v>
      </c>
      <c r="K920" s="2" t="s">
        <v>200</v>
      </c>
      <c r="L920" s="40"/>
      <c r="M920" s="40"/>
      <c r="N920" s="40"/>
      <c r="O920" s="2"/>
      <c r="P920" s="42"/>
      <c r="Q920" s="42"/>
      <c r="R920" s="42"/>
      <c r="S920" s="42"/>
      <c r="T920" s="42"/>
      <c r="U920" s="42"/>
      <c r="V920" s="42"/>
      <c r="W920" s="42"/>
      <c r="X920" s="42"/>
      <c r="Y920" s="42"/>
      <c r="Z920" s="42"/>
      <c r="AA920" s="42"/>
      <c r="AB920" s="42"/>
      <c r="AC920" s="42"/>
      <c r="AD920" s="37" t="s">
        <v>200</v>
      </c>
      <c r="AE920" s="37" t="s">
        <v>200</v>
      </c>
      <c r="AF920" s="37" t="s">
        <v>200</v>
      </c>
      <c r="AG920" s="37"/>
      <c r="AI920" s="24"/>
    </row>
    <row r="921">
      <c r="A921" s="11"/>
      <c r="B921" s="23"/>
      <c r="C921" s="23"/>
      <c r="D921" s="23"/>
      <c r="E921" s="23"/>
      <c r="F921" s="1"/>
      <c r="G921" s="23"/>
      <c r="H921" s="23"/>
      <c r="I921" s="23"/>
      <c r="J921" s="2" t="s">
        <v>200</v>
      </c>
      <c r="K921" s="2" t="s">
        <v>200</v>
      </c>
      <c r="L921" s="40"/>
      <c r="M921" s="40"/>
      <c r="N921" s="40"/>
      <c r="O921" s="2"/>
      <c r="P921" s="42"/>
      <c r="Q921" s="42"/>
      <c r="R921" s="42"/>
      <c r="S921" s="42"/>
      <c r="T921" s="42"/>
      <c r="U921" s="42"/>
      <c r="V921" s="42"/>
      <c r="W921" s="42"/>
      <c r="X921" s="42"/>
      <c r="Y921" s="42"/>
      <c r="Z921" s="42"/>
      <c r="AA921" s="42"/>
      <c r="AB921" s="42"/>
      <c r="AC921" s="42"/>
      <c r="AD921" s="37" t="s">
        <v>200</v>
      </c>
      <c r="AE921" s="37" t="s">
        <v>200</v>
      </c>
      <c r="AF921" s="37" t="s">
        <v>200</v>
      </c>
      <c r="AG921" s="37"/>
      <c r="AI921" s="24"/>
    </row>
    <row r="922">
      <c r="A922" s="11"/>
      <c r="B922" s="23"/>
      <c r="C922" s="23"/>
      <c r="D922" s="23"/>
      <c r="E922" s="23"/>
      <c r="F922" s="1"/>
      <c r="G922" s="23"/>
      <c r="H922" s="23"/>
      <c r="I922" s="23"/>
      <c r="J922" s="2" t="s">
        <v>200</v>
      </c>
      <c r="K922" s="2" t="s">
        <v>200</v>
      </c>
      <c r="L922" s="40"/>
      <c r="M922" s="40"/>
      <c r="N922" s="40"/>
      <c r="O922" s="2"/>
      <c r="P922" s="42"/>
      <c r="Q922" s="42"/>
      <c r="R922" s="42"/>
      <c r="S922" s="42"/>
      <c r="T922" s="42"/>
      <c r="U922" s="42"/>
      <c r="V922" s="42"/>
      <c r="W922" s="42"/>
      <c r="X922" s="42"/>
      <c r="Y922" s="42"/>
      <c r="Z922" s="42"/>
      <c r="AA922" s="42"/>
      <c r="AB922" s="42"/>
      <c r="AC922" s="42"/>
      <c r="AD922" s="37" t="s">
        <v>200</v>
      </c>
      <c r="AE922" s="37" t="s">
        <v>200</v>
      </c>
      <c r="AF922" s="37" t="s">
        <v>200</v>
      </c>
      <c r="AG922" s="37"/>
      <c r="AI922" s="24"/>
    </row>
    <row r="923">
      <c r="A923" s="11"/>
      <c r="B923" s="23"/>
      <c r="C923" s="23"/>
      <c r="D923" s="23"/>
      <c r="E923" s="23"/>
      <c r="F923" s="1"/>
      <c r="G923" s="23"/>
      <c r="H923" s="23"/>
      <c r="I923" s="23"/>
      <c r="J923" s="2" t="s">
        <v>200</v>
      </c>
      <c r="K923" s="2" t="s">
        <v>200</v>
      </c>
      <c r="L923" s="40"/>
      <c r="M923" s="40"/>
      <c r="N923" s="40"/>
      <c r="O923" s="2"/>
      <c r="P923" s="42"/>
      <c r="Q923" s="42"/>
      <c r="R923" s="42"/>
      <c r="S923" s="42"/>
      <c r="T923" s="42"/>
      <c r="U923" s="42"/>
      <c r="V923" s="42"/>
      <c r="W923" s="42"/>
      <c r="X923" s="42"/>
      <c r="Y923" s="42"/>
      <c r="Z923" s="42"/>
      <c r="AA923" s="42"/>
      <c r="AB923" s="42"/>
      <c r="AC923" s="42"/>
      <c r="AD923" s="37" t="s">
        <v>200</v>
      </c>
      <c r="AE923" s="37" t="s">
        <v>200</v>
      </c>
      <c r="AF923" s="37" t="s">
        <v>200</v>
      </c>
      <c r="AG923" s="37"/>
      <c r="AI923" s="24"/>
    </row>
    <row r="924">
      <c r="A924" s="11"/>
      <c r="B924" s="23"/>
      <c r="C924" s="23"/>
      <c r="D924" s="23"/>
      <c r="E924" s="23"/>
      <c r="F924" s="1"/>
      <c r="G924" s="23"/>
      <c r="H924" s="23"/>
      <c r="I924" s="23"/>
      <c r="J924" s="2" t="s">
        <v>200</v>
      </c>
      <c r="K924" s="2" t="s">
        <v>200</v>
      </c>
      <c r="L924" s="40"/>
      <c r="M924" s="40"/>
      <c r="N924" s="40"/>
      <c r="O924" s="2"/>
      <c r="P924" s="42"/>
      <c r="Q924" s="42"/>
      <c r="R924" s="42"/>
      <c r="S924" s="42"/>
      <c r="T924" s="42"/>
      <c r="U924" s="42"/>
      <c r="V924" s="42"/>
      <c r="W924" s="42"/>
      <c r="X924" s="42"/>
      <c r="Y924" s="42"/>
      <c r="Z924" s="42"/>
      <c r="AA924" s="42"/>
      <c r="AB924" s="42"/>
      <c r="AC924" s="42"/>
      <c r="AD924" s="37" t="s">
        <v>200</v>
      </c>
      <c r="AE924" s="37" t="s">
        <v>200</v>
      </c>
      <c r="AF924" s="37" t="s">
        <v>200</v>
      </c>
      <c r="AG924" s="37"/>
      <c r="AI924" s="24"/>
    </row>
    <row r="925">
      <c r="A925" s="11"/>
      <c r="B925" s="23"/>
      <c r="C925" s="23"/>
      <c r="D925" s="23"/>
      <c r="E925" s="23"/>
      <c r="F925" s="1"/>
      <c r="G925" s="23"/>
      <c r="H925" s="23"/>
      <c r="I925" s="23"/>
      <c r="J925" s="2" t="s">
        <v>200</v>
      </c>
      <c r="K925" s="2" t="s">
        <v>200</v>
      </c>
      <c r="L925" s="40"/>
      <c r="M925" s="40"/>
      <c r="N925" s="40"/>
      <c r="O925" s="2"/>
      <c r="P925" s="42"/>
      <c r="Q925" s="42"/>
      <c r="R925" s="42"/>
      <c r="S925" s="42"/>
      <c r="T925" s="42"/>
      <c r="U925" s="42"/>
      <c r="V925" s="42"/>
      <c r="W925" s="42"/>
      <c r="X925" s="42"/>
      <c r="Y925" s="42"/>
      <c r="Z925" s="42"/>
      <c r="AA925" s="42"/>
      <c r="AB925" s="42"/>
      <c r="AC925" s="42"/>
      <c r="AD925" s="37" t="s">
        <v>200</v>
      </c>
      <c r="AE925" s="37" t="s">
        <v>200</v>
      </c>
      <c r="AF925" s="37" t="s">
        <v>200</v>
      </c>
      <c r="AG925" s="37"/>
      <c r="AI925" s="24"/>
    </row>
    <row r="926">
      <c r="A926" s="11"/>
      <c r="B926" s="23"/>
      <c r="C926" s="23"/>
      <c r="D926" s="23"/>
      <c r="E926" s="23"/>
      <c r="F926" s="1"/>
      <c r="G926" s="23"/>
      <c r="H926" s="23"/>
      <c r="I926" s="23"/>
      <c r="J926" s="2" t="s">
        <v>200</v>
      </c>
      <c r="K926" s="2" t="s">
        <v>200</v>
      </c>
      <c r="L926" s="40"/>
      <c r="M926" s="40"/>
      <c r="N926" s="40"/>
      <c r="O926" s="2"/>
      <c r="P926" s="42"/>
      <c r="Q926" s="42"/>
      <c r="R926" s="42"/>
      <c r="S926" s="42"/>
      <c r="T926" s="42"/>
      <c r="U926" s="42"/>
      <c r="V926" s="42"/>
      <c r="W926" s="42"/>
      <c r="X926" s="42"/>
      <c r="Y926" s="42"/>
      <c r="Z926" s="42"/>
      <c r="AA926" s="42"/>
      <c r="AB926" s="42"/>
      <c r="AC926" s="42"/>
      <c r="AD926" s="37" t="s">
        <v>200</v>
      </c>
      <c r="AE926" s="37" t="s">
        <v>200</v>
      </c>
      <c r="AF926" s="37" t="s">
        <v>200</v>
      </c>
      <c r="AG926" s="37"/>
      <c r="AI926" s="24"/>
    </row>
    <row r="927">
      <c r="A927" s="11"/>
      <c r="B927" s="23"/>
      <c r="C927" s="23"/>
      <c r="D927" s="23"/>
      <c r="E927" s="23"/>
      <c r="F927" s="1"/>
      <c r="G927" s="23"/>
      <c r="H927" s="23"/>
      <c r="I927" s="23"/>
      <c r="J927" s="2" t="s">
        <v>200</v>
      </c>
      <c r="K927" s="2" t="s">
        <v>200</v>
      </c>
      <c r="L927" s="40"/>
      <c r="M927" s="40"/>
      <c r="N927" s="40"/>
      <c r="O927" s="2"/>
      <c r="P927" s="42"/>
      <c r="Q927" s="42"/>
      <c r="R927" s="42"/>
      <c r="S927" s="42"/>
      <c r="T927" s="42"/>
      <c r="U927" s="42"/>
      <c r="V927" s="42"/>
      <c r="W927" s="42"/>
      <c r="X927" s="42"/>
      <c r="Y927" s="42"/>
      <c r="Z927" s="42"/>
      <c r="AA927" s="42"/>
      <c r="AB927" s="42"/>
      <c r="AC927" s="42"/>
      <c r="AD927" s="37" t="s">
        <v>200</v>
      </c>
      <c r="AE927" s="37" t="s">
        <v>200</v>
      </c>
      <c r="AF927" s="37" t="s">
        <v>200</v>
      </c>
      <c r="AG927" s="37"/>
      <c r="AI927" s="24"/>
    </row>
    <row r="928">
      <c r="A928" s="11"/>
      <c r="B928" s="23"/>
      <c r="C928" s="23"/>
      <c r="D928" s="23"/>
      <c r="E928" s="23"/>
      <c r="F928" s="1"/>
      <c r="G928" s="23"/>
      <c r="H928" s="23"/>
      <c r="I928" s="23"/>
      <c r="J928" s="2" t="s">
        <v>200</v>
      </c>
      <c r="K928" s="2" t="s">
        <v>200</v>
      </c>
      <c r="L928" s="40"/>
      <c r="M928" s="40"/>
      <c r="N928" s="40"/>
      <c r="O928" s="2"/>
      <c r="P928" s="42"/>
      <c r="Q928" s="42"/>
      <c r="R928" s="42"/>
      <c r="S928" s="42"/>
      <c r="T928" s="42"/>
      <c r="U928" s="42"/>
      <c r="V928" s="42"/>
      <c r="W928" s="42"/>
      <c r="X928" s="42"/>
      <c r="Y928" s="42"/>
      <c r="Z928" s="42"/>
      <c r="AA928" s="42"/>
      <c r="AB928" s="42"/>
      <c r="AC928" s="42"/>
      <c r="AD928" s="37" t="s">
        <v>200</v>
      </c>
      <c r="AE928" s="37" t="s">
        <v>200</v>
      </c>
      <c r="AF928" s="37" t="s">
        <v>200</v>
      </c>
      <c r="AG928" s="37"/>
      <c r="AI928" s="24"/>
    </row>
    <row r="929">
      <c r="A929" s="11"/>
      <c r="B929" s="23"/>
      <c r="C929" s="23"/>
      <c r="D929" s="23"/>
      <c r="E929" s="23"/>
      <c r="F929" s="1"/>
      <c r="G929" s="23"/>
      <c r="H929" s="23"/>
      <c r="I929" s="23"/>
      <c r="J929" s="2" t="s">
        <v>200</v>
      </c>
      <c r="K929" s="2" t="s">
        <v>200</v>
      </c>
      <c r="L929" s="40"/>
      <c r="M929" s="40"/>
      <c r="N929" s="40"/>
      <c r="O929" s="2"/>
      <c r="P929" s="42"/>
      <c r="Q929" s="42"/>
      <c r="R929" s="42"/>
      <c r="S929" s="42"/>
      <c r="T929" s="42"/>
      <c r="U929" s="42"/>
      <c r="V929" s="42"/>
      <c r="W929" s="42"/>
      <c r="X929" s="42"/>
      <c r="Y929" s="42"/>
      <c r="Z929" s="42"/>
      <c r="AA929" s="42"/>
      <c r="AB929" s="42"/>
      <c r="AC929" s="42"/>
      <c r="AD929" s="37" t="s">
        <v>200</v>
      </c>
      <c r="AE929" s="37" t="s">
        <v>200</v>
      </c>
      <c r="AF929" s="37" t="s">
        <v>200</v>
      </c>
      <c r="AG929" s="37"/>
      <c r="AI929" s="24"/>
    </row>
    <row r="930">
      <c r="A930" s="11"/>
      <c r="B930" s="23"/>
      <c r="C930" s="23"/>
      <c r="D930" s="23"/>
      <c r="E930" s="23"/>
      <c r="F930" s="1"/>
      <c r="G930" s="23"/>
      <c r="H930" s="23"/>
      <c r="I930" s="23"/>
      <c r="J930" s="2" t="s">
        <v>200</v>
      </c>
      <c r="K930" s="2" t="s">
        <v>200</v>
      </c>
      <c r="L930" s="40"/>
      <c r="M930" s="40"/>
      <c r="N930" s="40"/>
      <c r="O930" s="2"/>
      <c r="P930" s="42"/>
      <c r="Q930" s="42"/>
      <c r="R930" s="42"/>
      <c r="S930" s="42"/>
      <c r="T930" s="42"/>
      <c r="U930" s="42"/>
      <c r="V930" s="42"/>
      <c r="W930" s="42"/>
      <c r="X930" s="42"/>
      <c r="Y930" s="42"/>
      <c r="Z930" s="42"/>
      <c r="AA930" s="42"/>
      <c r="AB930" s="42"/>
      <c r="AC930" s="42"/>
      <c r="AD930" s="37" t="s">
        <v>200</v>
      </c>
      <c r="AE930" s="37" t="s">
        <v>200</v>
      </c>
      <c r="AF930" s="37" t="s">
        <v>200</v>
      </c>
      <c r="AG930" s="37"/>
      <c r="AI930" s="24"/>
    </row>
    <row r="931">
      <c r="A931" s="11"/>
      <c r="B931" s="23"/>
      <c r="C931" s="23"/>
      <c r="D931" s="23"/>
      <c r="E931" s="23"/>
      <c r="F931" s="1"/>
      <c r="G931" s="23"/>
      <c r="H931" s="23"/>
      <c r="I931" s="23"/>
      <c r="J931" s="2" t="s">
        <v>200</v>
      </c>
      <c r="K931" s="2" t="s">
        <v>200</v>
      </c>
      <c r="L931" s="40"/>
      <c r="M931" s="40"/>
      <c r="N931" s="40"/>
      <c r="O931" s="2"/>
      <c r="P931" s="42"/>
      <c r="Q931" s="42"/>
      <c r="R931" s="42"/>
      <c r="S931" s="42"/>
      <c r="T931" s="42"/>
      <c r="U931" s="42"/>
      <c r="V931" s="42"/>
      <c r="W931" s="42"/>
      <c r="X931" s="42"/>
      <c r="Y931" s="42"/>
      <c r="Z931" s="42"/>
      <c r="AA931" s="42"/>
      <c r="AB931" s="42"/>
      <c r="AC931" s="42"/>
      <c r="AD931" s="37" t="s">
        <v>200</v>
      </c>
      <c r="AE931" s="37" t="s">
        <v>200</v>
      </c>
      <c r="AF931" s="37" t="s">
        <v>200</v>
      </c>
      <c r="AG931" s="37"/>
      <c r="AI931" s="24"/>
    </row>
    <row r="932">
      <c r="A932" s="11"/>
      <c r="B932" s="23"/>
      <c r="C932" s="23"/>
      <c r="D932" s="23"/>
      <c r="E932" s="23"/>
      <c r="F932" s="1"/>
      <c r="G932" s="23"/>
      <c r="H932" s="23"/>
      <c r="I932" s="23"/>
      <c r="J932" s="2" t="s">
        <v>200</v>
      </c>
      <c r="K932" s="2" t="s">
        <v>200</v>
      </c>
      <c r="L932" s="40"/>
      <c r="M932" s="40"/>
      <c r="N932" s="40"/>
      <c r="O932" s="2"/>
      <c r="P932" s="42"/>
      <c r="Q932" s="42"/>
      <c r="R932" s="42"/>
      <c r="S932" s="42"/>
      <c r="T932" s="42"/>
      <c r="U932" s="42"/>
      <c r="V932" s="42"/>
      <c r="W932" s="42"/>
      <c r="X932" s="42"/>
      <c r="Y932" s="42"/>
      <c r="Z932" s="42"/>
      <c r="AA932" s="42"/>
      <c r="AB932" s="42"/>
      <c r="AC932" s="42"/>
      <c r="AD932" s="37" t="s">
        <v>200</v>
      </c>
      <c r="AE932" s="37" t="s">
        <v>200</v>
      </c>
      <c r="AF932" s="37" t="s">
        <v>200</v>
      </c>
      <c r="AG932" s="37"/>
      <c r="AI932" s="24"/>
    </row>
    <row r="933">
      <c r="A933" s="11"/>
      <c r="B933" s="23"/>
      <c r="C933" s="23"/>
      <c r="D933" s="23"/>
      <c r="E933" s="23"/>
      <c r="F933" s="1"/>
      <c r="G933" s="23"/>
      <c r="H933" s="23"/>
      <c r="I933" s="23"/>
      <c r="J933" s="2" t="s">
        <v>200</v>
      </c>
      <c r="K933" s="2" t="s">
        <v>200</v>
      </c>
      <c r="L933" s="40"/>
      <c r="M933" s="40"/>
      <c r="N933" s="40"/>
      <c r="O933" s="2"/>
      <c r="P933" s="42"/>
      <c r="Q933" s="42"/>
      <c r="R933" s="42"/>
      <c r="S933" s="42"/>
      <c r="T933" s="42"/>
      <c r="U933" s="42"/>
      <c r="V933" s="42"/>
      <c r="W933" s="42"/>
      <c r="X933" s="42"/>
      <c r="Y933" s="42"/>
      <c r="Z933" s="42"/>
      <c r="AA933" s="42"/>
      <c r="AB933" s="42"/>
      <c r="AC933" s="42"/>
      <c r="AD933" s="37" t="s">
        <v>200</v>
      </c>
      <c r="AE933" s="37" t="s">
        <v>200</v>
      </c>
      <c r="AF933" s="37" t="s">
        <v>200</v>
      </c>
      <c r="AG933" s="37"/>
      <c r="AI933" s="24"/>
    </row>
    <row r="934">
      <c r="A934" s="11"/>
      <c r="B934" s="23"/>
      <c r="C934" s="23"/>
      <c r="D934" s="23"/>
      <c r="E934" s="23"/>
      <c r="F934" s="1"/>
      <c r="G934" s="23"/>
      <c r="H934" s="23"/>
      <c r="I934" s="23"/>
      <c r="J934" s="2" t="s">
        <v>200</v>
      </c>
      <c r="K934" s="2" t="s">
        <v>200</v>
      </c>
      <c r="L934" s="40"/>
      <c r="M934" s="40"/>
      <c r="N934" s="40"/>
      <c r="O934" s="2"/>
      <c r="P934" s="42"/>
      <c r="Q934" s="42"/>
      <c r="R934" s="42"/>
      <c r="S934" s="42"/>
      <c r="T934" s="42"/>
      <c r="U934" s="42"/>
      <c r="V934" s="42"/>
      <c r="W934" s="42"/>
      <c r="X934" s="42"/>
      <c r="Y934" s="42"/>
      <c r="Z934" s="42"/>
      <c r="AA934" s="42"/>
      <c r="AB934" s="42"/>
      <c r="AC934" s="42"/>
      <c r="AD934" s="37" t="s">
        <v>200</v>
      </c>
      <c r="AE934" s="37" t="s">
        <v>200</v>
      </c>
      <c r="AF934" s="37" t="s">
        <v>200</v>
      </c>
      <c r="AG934" s="37"/>
      <c r="AI934" s="24"/>
    </row>
    <row r="935">
      <c r="A935" s="11"/>
      <c r="B935" s="23"/>
      <c r="C935" s="23"/>
      <c r="D935" s="23"/>
      <c r="E935" s="23"/>
      <c r="F935" s="1"/>
      <c r="G935" s="23"/>
      <c r="H935" s="23"/>
      <c r="I935" s="23"/>
      <c r="J935" s="2" t="s">
        <v>200</v>
      </c>
      <c r="K935" s="2" t="s">
        <v>200</v>
      </c>
      <c r="L935" s="40"/>
      <c r="M935" s="40"/>
      <c r="N935" s="40"/>
      <c r="O935" s="2"/>
      <c r="P935" s="42"/>
      <c r="Q935" s="42"/>
      <c r="R935" s="42"/>
      <c r="S935" s="42"/>
      <c r="T935" s="42"/>
      <c r="U935" s="42"/>
      <c r="V935" s="42"/>
      <c r="W935" s="42"/>
      <c r="X935" s="42"/>
      <c r="Y935" s="42"/>
      <c r="Z935" s="42"/>
      <c r="AA935" s="42"/>
      <c r="AB935" s="42"/>
      <c r="AC935" s="42"/>
      <c r="AD935" s="37" t="s">
        <v>200</v>
      </c>
      <c r="AE935" s="37" t="s">
        <v>200</v>
      </c>
      <c r="AF935" s="37" t="s">
        <v>200</v>
      </c>
      <c r="AG935" s="37"/>
      <c r="AI935" s="24"/>
    </row>
    <row r="936">
      <c r="A936" s="11"/>
      <c r="B936" s="23"/>
      <c r="C936" s="23"/>
      <c r="D936" s="23"/>
      <c r="E936" s="23"/>
      <c r="F936" s="1"/>
      <c r="G936" s="23"/>
      <c r="H936" s="23"/>
      <c r="I936" s="23"/>
      <c r="J936" s="2" t="s">
        <v>200</v>
      </c>
      <c r="K936" s="2" t="s">
        <v>200</v>
      </c>
      <c r="L936" s="40"/>
      <c r="M936" s="40"/>
      <c r="N936" s="40"/>
      <c r="O936" s="2"/>
      <c r="P936" s="42"/>
      <c r="Q936" s="42"/>
      <c r="R936" s="42"/>
      <c r="S936" s="42"/>
      <c r="T936" s="42"/>
      <c r="U936" s="42"/>
      <c r="V936" s="42"/>
      <c r="W936" s="42"/>
      <c r="X936" s="42"/>
      <c r="Y936" s="42"/>
      <c r="Z936" s="42"/>
      <c r="AA936" s="42"/>
      <c r="AB936" s="42"/>
      <c r="AC936" s="42"/>
      <c r="AD936" s="37" t="s">
        <v>200</v>
      </c>
      <c r="AE936" s="37" t="s">
        <v>200</v>
      </c>
      <c r="AF936" s="37" t="s">
        <v>200</v>
      </c>
      <c r="AG936" s="37"/>
      <c r="AI936" s="24"/>
    </row>
    <row r="937">
      <c r="A937" s="11"/>
      <c r="B937" s="23"/>
      <c r="C937" s="23"/>
      <c r="D937" s="23"/>
      <c r="E937" s="23"/>
      <c r="F937" s="1"/>
      <c r="G937" s="23"/>
      <c r="H937" s="23"/>
      <c r="I937" s="23"/>
      <c r="J937" s="2" t="s">
        <v>200</v>
      </c>
      <c r="K937" s="2" t="s">
        <v>200</v>
      </c>
      <c r="L937" s="40"/>
      <c r="M937" s="40"/>
      <c r="N937" s="40"/>
      <c r="O937" s="2"/>
      <c r="P937" s="42"/>
      <c r="Q937" s="42"/>
      <c r="R937" s="42"/>
      <c r="S937" s="42"/>
      <c r="T937" s="42"/>
      <c r="U937" s="42"/>
      <c r="V937" s="42"/>
      <c r="W937" s="42"/>
      <c r="X937" s="42"/>
      <c r="Y937" s="42"/>
      <c r="Z937" s="42"/>
      <c r="AA937" s="42"/>
      <c r="AB937" s="42"/>
      <c r="AC937" s="42"/>
      <c r="AD937" s="37" t="s">
        <v>200</v>
      </c>
      <c r="AE937" s="37" t="s">
        <v>200</v>
      </c>
      <c r="AF937" s="37" t="s">
        <v>200</v>
      </c>
      <c r="AG937" s="37"/>
      <c r="AI937" s="24"/>
    </row>
    <row r="938">
      <c r="A938" s="11"/>
      <c r="B938" s="23"/>
      <c r="C938" s="23"/>
      <c r="D938" s="23"/>
      <c r="E938" s="23"/>
      <c r="F938" s="1"/>
      <c r="G938" s="23"/>
      <c r="H938" s="23"/>
      <c r="I938" s="23"/>
      <c r="J938" s="2" t="s">
        <v>200</v>
      </c>
      <c r="K938" s="2" t="s">
        <v>200</v>
      </c>
      <c r="L938" s="40"/>
      <c r="M938" s="40"/>
      <c r="N938" s="40"/>
      <c r="O938" s="2"/>
      <c r="P938" s="42"/>
      <c r="Q938" s="42"/>
      <c r="R938" s="42"/>
      <c r="S938" s="42"/>
      <c r="T938" s="42"/>
      <c r="U938" s="42"/>
      <c r="V938" s="42"/>
      <c r="W938" s="42"/>
      <c r="X938" s="42"/>
      <c r="Y938" s="42"/>
      <c r="Z938" s="42"/>
      <c r="AA938" s="42"/>
      <c r="AB938" s="42"/>
      <c r="AC938" s="42"/>
      <c r="AD938" s="37" t="s">
        <v>200</v>
      </c>
      <c r="AE938" s="37" t="s">
        <v>200</v>
      </c>
      <c r="AF938" s="37" t="s">
        <v>200</v>
      </c>
      <c r="AG938" s="37"/>
      <c r="AI938" s="24"/>
    </row>
    <row r="939">
      <c r="A939" s="11"/>
      <c r="B939" s="23"/>
      <c r="C939" s="23"/>
      <c r="D939" s="23"/>
      <c r="E939" s="23"/>
      <c r="F939" s="1"/>
      <c r="G939" s="23"/>
      <c r="H939" s="23"/>
      <c r="I939" s="23"/>
      <c r="J939" s="2" t="s">
        <v>200</v>
      </c>
      <c r="K939" s="2" t="s">
        <v>200</v>
      </c>
      <c r="L939" s="40"/>
      <c r="M939" s="40"/>
      <c r="N939" s="40"/>
      <c r="O939" s="2"/>
      <c r="P939" s="42"/>
      <c r="Q939" s="42"/>
      <c r="R939" s="42"/>
      <c r="S939" s="42"/>
      <c r="T939" s="42"/>
      <c r="U939" s="42"/>
      <c r="V939" s="42"/>
      <c r="W939" s="42"/>
      <c r="X939" s="42"/>
      <c r="Y939" s="42"/>
      <c r="Z939" s="42"/>
      <c r="AA939" s="42"/>
      <c r="AB939" s="42"/>
      <c r="AC939" s="42"/>
      <c r="AD939" s="37" t="s">
        <v>200</v>
      </c>
      <c r="AE939" s="37" t="s">
        <v>200</v>
      </c>
      <c r="AF939" s="37" t="s">
        <v>200</v>
      </c>
      <c r="AG939" s="37"/>
      <c r="AI939" s="24"/>
    </row>
    <row r="940">
      <c r="A940" s="11"/>
      <c r="B940" s="23"/>
      <c r="C940" s="23"/>
      <c r="D940" s="23"/>
      <c r="E940" s="23"/>
      <c r="F940" s="1"/>
      <c r="G940" s="23"/>
      <c r="H940" s="23"/>
      <c r="I940" s="23"/>
      <c r="J940" s="2" t="s">
        <v>200</v>
      </c>
      <c r="K940" s="2" t="s">
        <v>200</v>
      </c>
      <c r="L940" s="40"/>
      <c r="M940" s="40"/>
      <c r="N940" s="40"/>
      <c r="O940" s="2"/>
      <c r="P940" s="42"/>
      <c r="Q940" s="42"/>
      <c r="R940" s="42"/>
      <c r="S940" s="42"/>
      <c r="T940" s="42"/>
      <c r="U940" s="42"/>
      <c r="V940" s="42"/>
      <c r="W940" s="42"/>
      <c r="X940" s="42"/>
      <c r="Y940" s="42"/>
      <c r="Z940" s="42"/>
      <c r="AA940" s="42"/>
      <c r="AB940" s="42"/>
      <c r="AC940" s="42"/>
      <c r="AD940" s="37" t="s">
        <v>200</v>
      </c>
      <c r="AE940" s="37" t="s">
        <v>200</v>
      </c>
      <c r="AF940" s="37" t="s">
        <v>200</v>
      </c>
      <c r="AG940" s="37"/>
      <c r="AI940" s="24"/>
    </row>
    <row r="941">
      <c r="A941" s="11"/>
      <c r="B941" s="23"/>
      <c r="C941" s="23"/>
      <c r="D941" s="23"/>
      <c r="E941" s="23"/>
      <c r="F941" s="1"/>
      <c r="G941" s="23"/>
      <c r="H941" s="23"/>
      <c r="I941" s="23"/>
      <c r="J941" s="2" t="s">
        <v>200</v>
      </c>
      <c r="K941" s="2" t="s">
        <v>200</v>
      </c>
      <c r="L941" s="40"/>
      <c r="M941" s="40"/>
      <c r="N941" s="40"/>
      <c r="O941" s="2"/>
      <c r="P941" s="42"/>
      <c r="Q941" s="42"/>
      <c r="R941" s="42"/>
      <c r="S941" s="42"/>
      <c r="T941" s="42"/>
      <c r="U941" s="42"/>
      <c r="V941" s="42"/>
      <c r="W941" s="42"/>
      <c r="X941" s="42"/>
      <c r="Y941" s="42"/>
      <c r="Z941" s="42"/>
      <c r="AA941" s="42"/>
      <c r="AB941" s="42"/>
      <c r="AC941" s="42"/>
      <c r="AD941" s="37" t="s">
        <v>200</v>
      </c>
      <c r="AE941" s="37" t="s">
        <v>200</v>
      </c>
      <c r="AF941" s="37" t="s">
        <v>200</v>
      </c>
      <c r="AG941" s="37"/>
      <c r="AI941" s="24"/>
    </row>
    <row r="942">
      <c r="A942" s="11"/>
      <c r="B942" s="23"/>
      <c r="C942" s="23"/>
      <c r="D942" s="23"/>
      <c r="E942" s="23"/>
      <c r="F942" s="1"/>
      <c r="G942" s="23"/>
      <c r="H942" s="23"/>
      <c r="I942" s="23"/>
      <c r="J942" s="2" t="s">
        <v>200</v>
      </c>
      <c r="K942" s="2" t="s">
        <v>200</v>
      </c>
      <c r="L942" s="40"/>
      <c r="M942" s="40"/>
      <c r="N942" s="40"/>
      <c r="O942" s="2"/>
      <c r="P942" s="42"/>
      <c r="Q942" s="42"/>
      <c r="R942" s="42"/>
      <c r="S942" s="42"/>
      <c r="T942" s="42"/>
      <c r="U942" s="42"/>
      <c r="V942" s="42"/>
      <c r="W942" s="42"/>
      <c r="X942" s="42"/>
      <c r="Y942" s="42"/>
      <c r="Z942" s="42"/>
      <c r="AA942" s="42"/>
      <c r="AB942" s="42"/>
      <c r="AC942" s="42"/>
      <c r="AD942" s="37" t="s">
        <v>200</v>
      </c>
      <c r="AE942" s="37" t="s">
        <v>200</v>
      </c>
      <c r="AF942" s="37" t="s">
        <v>200</v>
      </c>
      <c r="AG942" s="37"/>
      <c r="AI942" s="24"/>
    </row>
    <row r="943">
      <c r="A943" s="11"/>
      <c r="B943" s="23"/>
      <c r="C943" s="23"/>
      <c r="D943" s="23"/>
      <c r="E943" s="23"/>
      <c r="F943" s="1"/>
      <c r="G943" s="23"/>
      <c r="H943" s="23"/>
      <c r="I943" s="23"/>
      <c r="J943" s="2" t="s">
        <v>200</v>
      </c>
      <c r="K943" s="2" t="s">
        <v>200</v>
      </c>
      <c r="L943" s="40"/>
      <c r="M943" s="40"/>
      <c r="N943" s="40"/>
      <c r="O943" s="2"/>
      <c r="P943" s="42"/>
      <c r="Q943" s="42"/>
      <c r="R943" s="42"/>
      <c r="S943" s="42"/>
      <c r="T943" s="42"/>
      <c r="U943" s="42"/>
      <c r="V943" s="42"/>
      <c r="W943" s="42"/>
      <c r="X943" s="42"/>
      <c r="Y943" s="42"/>
      <c r="Z943" s="42"/>
      <c r="AA943" s="42"/>
      <c r="AB943" s="42"/>
      <c r="AC943" s="42"/>
      <c r="AD943" s="37" t="s">
        <v>200</v>
      </c>
      <c r="AE943" s="37" t="s">
        <v>200</v>
      </c>
      <c r="AF943" s="37" t="s">
        <v>200</v>
      </c>
      <c r="AG943" s="37"/>
      <c r="AI943" s="24"/>
    </row>
    <row r="944">
      <c r="A944" s="11"/>
      <c r="B944" s="23"/>
      <c r="C944" s="23"/>
      <c r="D944" s="23"/>
      <c r="E944" s="23"/>
      <c r="F944" s="1"/>
      <c r="G944" s="23"/>
      <c r="H944" s="23"/>
      <c r="I944" s="23"/>
      <c r="J944" s="2" t="s">
        <v>200</v>
      </c>
      <c r="K944" s="2" t="s">
        <v>200</v>
      </c>
      <c r="L944" s="40"/>
      <c r="M944" s="40"/>
      <c r="N944" s="40"/>
      <c r="O944" s="2"/>
      <c r="P944" s="42"/>
      <c r="Q944" s="42"/>
      <c r="R944" s="42"/>
      <c r="S944" s="42"/>
      <c r="T944" s="42"/>
      <c r="U944" s="42"/>
      <c r="V944" s="42"/>
      <c r="W944" s="42"/>
      <c r="X944" s="42"/>
      <c r="Y944" s="42"/>
      <c r="Z944" s="42"/>
      <c r="AA944" s="42"/>
      <c r="AB944" s="42"/>
      <c r="AC944" s="42"/>
      <c r="AD944" s="37" t="s">
        <v>200</v>
      </c>
      <c r="AE944" s="37" t="s">
        <v>200</v>
      </c>
      <c r="AF944" s="37" t="s">
        <v>200</v>
      </c>
      <c r="AG944" s="37"/>
      <c r="AI944" s="24"/>
    </row>
    <row r="945">
      <c r="A945" s="11"/>
      <c r="B945" s="23"/>
      <c r="C945" s="23"/>
      <c r="D945" s="23"/>
      <c r="E945" s="23"/>
      <c r="F945" s="1"/>
      <c r="G945" s="23"/>
      <c r="H945" s="23"/>
      <c r="I945" s="23"/>
      <c r="J945" s="2" t="s">
        <v>200</v>
      </c>
      <c r="K945" s="2" t="s">
        <v>200</v>
      </c>
      <c r="L945" s="40"/>
      <c r="M945" s="40"/>
      <c r="N945" s="40"/>
      <c r="O945" s="2"/>
      <c r="P945" s="42"/>
      <c r="Q945" s="42"/>
      <c r="R945" s="42"/>
      <c r="S945" s="42"/>
      <c r="T945" s="42"/>
      <c r="U945" s="42"/>
      <c r="V945" s="42"/>
      <c r="W945" s="42"/>
      <c r="X945" s="42"/>
      <c r="Y945" s="42"/>
      <c r="Z945" s="42"/>
      <c r="AA945" s="42"/>
      <c r="AB945" s="42"/>
      <c r="AC945" s="42"/>
      <c r="AD945" s="37" t="s">
        <v>200</v>
      </c>
      <c r="AE945" s="37" t="s">
        <v>200</v>
      </c>
      <c r="AF945" s="37" t="s">
        <v>200</v>
      </c>
      <c r="AG945" s="37"/>
      <c r="AI945" s="24"/>
    </row>
    <row r="946">
      <c r="A946" s="11"/>
      <c r="B946" s="23"/>
      <c r="C946" s="23"/>
      <c r="D946" s="23"/>
      <c r="E946" s="23"/>
      <c r="F946" s="1"/>
      <c r="G946" s="23"/>
      <c r="H946" s="23"/>
      <c r="I946" s="23"/>
      <c r="J946" s="2" t="s">
        <v>200</v>
      </c>
      <c r="K946" s="2" t="s">
        <v>200</v>
      </c>
      <c r="L946" s="40"/>
      <c r="M946" s="40"/>
      <c r="N946" s="40"/>
      <c r="O946" s="2"/>
      <c r="P946" s="42"/>
      <c r="Q946" s="42"/>
      <c r="R946" s="42"/>
      <c r="S946" s="42"/>
      <c r="T946" s="42"/>
      <c r="U946" s="42"/>
      <c r="V946" s="42"/>
      <c r="W946" s="42"/>
      <c r="X946" s="42"/>
      <c r="Y946" s="42"/>
      <c r="Z946" s="42"/>
      <c r="AA946" s="42"/>
      <c r="AB946" s="42"/>
      <c r="AC946" s="42"/>
      <c r="AD946" s="37" t="s">
        <v>200</v>
      </c>
      <c r="AE946" s="37" t="s">
        <v>200</v>
      </c>
      <c r="AF946" s="37" t="s">
        <v>200</v>
      </c>
      <c r="AG946" s="37"/>
      <c r="AI946" s="24"/>
    </row>
    <row r="947">
      <c r="A947" s="11"/>
      <c r="B947" s="23"/>
      <c r="C947" s="23"/>
      <c r="D947" s="23"/>
      <c r="E947" s="23"/>
      <c r="F947" s="1"/>
      <c r="G947" s="23"/>
      <c r="H947" s="23"/>
      <c r="I947" s="23"/>
      <c r="J947" s="2" t="s">
        <v>200</v>
      </c>
      <c r="K947" s="2" t="s">
        <v>200</v>
      </c>
      <c r="L947" s="40"/>
      <c r="M947" s="40"/>
      <c r="N947" s="40"/>
      <c r="O947" s="2"/>
      <c r="P947" s="42"/>
      <c r="Q947" s="42"/>
      <c r="R947" s="42"/>
      <c r="S947" s="42"/>
      <c r="T947" s="42"/>
      <c r="U947" s="42"/>
      <c r="V947" s="42"/>
      <c r="W947" s="42"/>
      <c r="X947" s="42"/>
      <c r="Y947" s="42"/>
      <c r="Z947" s="42"/>
      <c r="AA947" s="42"/>
      <c r="AB947" s="42"/>
      <c r="AC947" s="42"/>
      <c r="AD947" s="37" t="s">
        <v>200</v>
      </c>
      <c r="AE947" s="37" t="s">
        <v>200</v>
      </c>
      <c r="AF947" s="37" t="s">
        <v>200</v>
      </c>
      <c r="AG947" s="37"/>
      <c r="AI947" s="24"/>
    </row>
    <row r="948">
      <c r="A948" s="11"/>
      <c r="B948" s="23"/>
      <c r="C948" s="23"/>
      <c r="D948" s="23"/>
      <c r="E948" s="23"/>
      <c r="F948" s="1"/>
      <c r="G948" s="23"/>
      <c r="H948" s="23"/>
      <c r="I948" s="23"/>
      <c r="J948" s="2" t="s">
        <v>200</v>
      </c>
      <c r="K948" s="2" t="s">
        <v>200</v>
      </c>
      <c r="L948" s="40"/>
      <c r="M948" s="40"/>
      <c r="N948" s="40"/>
      <c r="O948" s="2"/>
      <c r="P948" s="42"/>
      <c r="Q948" s="42"/>
      <c r="R948" s="42"/>
      <c r="S948" s="42"/>
      <c r="T948" s="42"/>
      <c r="U948" s="42"/>
      <c r="V948" s="42"/>
      <c r="W948" s="42"/>
      <c r="X948" s="42"/>
      <c r="Y948" s="42"/>
      <c r="Z948" s="42"/>
      <c r="AA948" s="42"/>
      <c r="AB948" s="42"/>
      <c r="AC948" s="42"/>
      <c r="AD948" s="37" t="s">
        <v>200</v>
      </c>
      <c r="AE948" s="37" t="s">
        <v>200</v>
      </c>
      <c r="AF948" s="37" t="s">
        <v>200</v>
      </c>
      <c r="AG948" s="37"/>
      <c r="AI948" s="24"/>
    </row>
    <row r="949">
      <c r="A949" s="11"/>
      <c r="B949" s="23"/>
      <c r="C949" s="23"/>
      <c r="D949" s="23"/>
      <c r="E949" s="23"/>
      <c r="F949" s="1"/>
      <c r="G949" s="23"/>
      <c r="H949" s="23"/>
      <c r="I949" s="23"/>
      <c r="J949" s="2" t="s">
        <v>200</v>
      </c>
      <c r="K949" s="2" t="s">
        <v>200</v>
      </c>
      <c r="L949" s="40"/>
      <c r="M949" s="40"/>
      <c r="N949" s="40"/>
      <c r="O949" s="2"/>
      <c r="P949" s="42"/>
      <c r="Q949" s="42"/>
      <c r="R949" s="42"/>
      <c r="S949" s="42"/>
      <c r="T949" s="42"/>
      <c r="U949" s="42"/>
      <c r="V949" s="42"/>
      <c r="W949" s="42"/>
      <c r="X949" s="42"/>
      <c r="Y949" s="42"/>
      <c r="Z949" s="42"/>
      <c r="AA949" s="42"/>
      <c r="AB949" s="42"/>
      <c r="AC949" s="42"/>
      <c r="AD949" s="37" t="s">
        <v>200</v>
      </c>
      <c r="AE949" s="37" t="s">
        <v>200</v>
      </c>
      <c r="AF949" s="37" t="s">
        <v>200</v>
      </c>
      <c r="AG949" s="37"/>
      <c r="AI949" s="24"/>
    </row>
    <row r="950">
      <c r="A950" s="11"/>
      <c r="B950" s="23"/>
      <c r="C950" s="23"/>
      <c r="D950" s="23"/>
      <c r="E950" s="23"/>
      <c r="F950" s="1"/>
      <c r="G950" s="23"/>
      <c r="H950" s="23"/>
      <c r="I950" s="23"/>
      <c r="J950" s="2" t="s">
        <v>200</v>
      </c>
      <c r="K950" s="2" t="s">
        <v>200</v>
      </c>
      <c r="L950" s="40"/>
      <c r="M950" s="40"/>
      <c r="N950" s="40"/>
      <c r="O950" s="2"/>
      <c r="P950" s="42"/>
      <c r="Q950" s="42"/>
      <c r="R950" s="42"/>
      <c r="S950" s="42"/>
      <c r="T950" s="42"/>
      <c r="U950" s="42"/>
      <c r="V950" s="42"/>
      <c r="W950" s="42"/>
      <c r="X950" s="42"/>
      <c r="Y950" s="42"/>
      <c r="Z950" s="42"/>
      <c r="AA950" s="42"/>
      <c r="AB950" s="42"/>
      <c r="AC950" s="42"/>
      <c r="AD950" s="37" t="s">
        <v>200</v>
      </c>
      <c r="AE950" s="37" t="s">
        <v>200</v>
      </c>
      <c r="AF950" s="37" t="s">
        <v>200</v>
      </c>
      <c r="AG950" s="37"/>
      <c r="AI950" s="24"/>
    </row>
    <row r="951">
      <c r="A951" s="11"/>
      <c r="B951" s="23"/>
      <c r="C951" s="23"/>
      <c r="D951" s="23"/>
      <c r="E951" s="23"/>
      <c r="F951" s="1"/>
      <c r="G951" s="23"/>
      <c r="H951" s="23"/>
      <c r="I951" s="23"/>
      <c r="J951" s="2" t="s">
        <v>200</v>
      </c>
      <c r="K951" s="2" t="s">
        <v>200</v>
      </c>
      <c r="L951" s="40"/>
      <c r="M951" s="40"/>
      <c r="N951" s="40"/>
      <c r="O951" s="2"/>
      <c r="P951" s="42"/>
      <c r="Q951" s="42"/>
      <c r="R951" s="42"/>
      <c r="S951" s="42"/>
      <c r="T951" s="42"/>
      <c r="U951" s="42"/>
      <c r="V951" s="42"/>
      <c r="W951" s="42"/>
      <c r="X951" s="42"/>
      <c r="Y951" s="42"/>
      <c r="Z951" s="42"/>
      <c r="AA951" s="42"/>
      <c r="AB951" s="42"/>
      <c r="AC951" s="42"/>
      <c r="AD951" s="37" t="s">
        <v>200</v>
      </c>
      <c r="AE951" s="37" t="s">
        <v>200</v>
      </c>
      <c r="AF951" s="37" t="s">
        <v>200</v>
      </c>
      <c r="AG951" s="37"/>
      <c r="AI951" s="24"/>
    </row>
    <row r="952">
      <c r="A952" s="11"/>
      <c r="B952" s="23"/>
      <c r="C952" s="23"/>
      <c r="D952" s="23"/>
      <c r="E952" s="23"/>
      <c r="F952" s="1"/>
      <c r="G952" s="23"/>
      <c r="H952" s="23"/>
      <c r="I952" s="23"/>
      <c r="J952" s="2" t="s">
        <v>200</v>
      </c>
      <c r="K952" s="2" t="s">
        <v>200</v>
      </c>
      <c r="L952" s="40"/>
      <c r="M952" s="40"/>
      <c r="N952" s="40"/>
      <c r="O952" s="2"/>
      <c r="P952" s="42"/>
      <c r="Q952" s="42"/>
      <c r="R952" s="42"/>
      <c r="S952" s="42"/>
      <c r="T952" s="42"/>
      <c r="U952" s="42"/>
      <c r="V952" s="42"/>
      <c r="W952" s="42"/>
      <c r="X952" s="42"/>
      <c r="Y952" s="42"/>
      <c r="Z952" s="42"/>
      <c r="AA952" s="42"/>
      <c r="AB952" s="42"/>
      <c r="AC952" s="42"/>
      <c r="AD952" s="37" t="s">
        <v>200</v>
      </c>
      <c r="AE952" s="37" t="s">
        <v>200</v>
      </c>
      <c r="AF952" s="37" t="s">
        <v>200</v>
      </c>
      <c r="AG952" s="37"/>
      <c r="AI952" s="24"/>
    </row>
    <row r="953">
      <c r="A953" s="11"/>
      <c r="B953" s="23"/>
      <c r="C953" s="23"/>
      <c r="D953" s="23"/>
      <c r="E953" s="23"/>
      <c r="F953" s="1"/>
      <c r="G953" s="23"/>
      <c r="H953" s="23"/>
      <c r="I953" s="23"/>
      <c r="J953" s="2" t="s">
        <v>200</v>
      </c>
      <c r="K953" s="2" t="s">
        <v>200</v>
      </c>
      <c r="L953" s="40"/>
      <c r="M953" s="40"/>
      <c r="N953" s="40"/>
      <c r="O953" s="2"/>
      <c r="P953" s="42"/>
      <c r="Q953" s="42"/>
      <c r="R953" s="42"/>
      <c r="S953" s="42"/>
      <c r="T953" s="42"/>
      <c r="U953" s="42"/>
      <c r="V953" s="42"/>
      <c r="W953" s="42"/>
      <c r="X953" s="42"/>
      <c r="Y953" s="42"/>
      <c r="Z953" s="42"/>
      <c r="AA953" s="42"/>
      <c r="AB953" s="42"/>
      <c r="AC953" s="42"/>
      <c r="AD953" s="37" t="s">
        <v>200</v>
      </c>
      <c r="AE953" s="37" t="s">
        <v>200</v>
      </c>
      <c r="AF953" s="37" t="s">
        <v>200</v>
      </c>
      <c r="AG953" s="37"/>
      <c r="AI953" s="24"/>
    </row>
    <row r="954">
      <c r="A954" s="11"/>
      <c r="B954" s="23"/>
      <c r="C954" s="23"/>
      <c r="D954" s="23"/>
      <c r="E954" s="23"/>
      <c r="F954" s="1"/>
      <c r="G954" s="23"/>
      <c r="H954" s="23"/>
      <c r="I954" s="23"/>
      <c r="J954" s="2" t="s">
        <v>200</v>
      </c>
      <c r="K954" s="2" t="s">
        <v>200</v>
      </c>
      <c r="L954" s="40"/>
      <c r="M954" s="40"/>
      <c r="N954" s="40"/>
      <c r="O954" s="2"/>
      <c r="P954" s="42"/>
      <c r="Q954" s="42"/>
      <c r="R954" s="42"/>
      <c r="S954" s="42"/>
      <c r="T954" s="42"/>
      <c r="U954" s="42"/>
      <c r="V954" s="42"/>
      <c r="W954" s="42"/>
      <c r="X954" s="42"/>
      <c r="Y954" s="42"/>
      <c r="Z954" s="42"/>
      <c r="AA954" s="42"/>
      <c r="AB954" s="42"/>
      <c r="AC954" s="42"/>
      <c r="AD954" s="37" t="s">
        <v>200</v>
      </c>
      <c r="AE954" s="37" t="s">
        <v>200</v>
      </c>
      <c r="AF954" s="37" t="s">
        <v>200</v>
      </c>
      <c r="AG954" s="37"/>
      <c r="AI954" s="24"/>
    </row>
    <row r="955">
      <c r="A955" s="11"/>
      <c r="B955" s="23"/>
      <c r="C955" s="23"/>
      <c r="D955" s="23"/>
      <c r="E955" s="23"/>
      <c r="F955" s="1"/>
      <c r="G955" s="23"/>
      <c r="H955" s="23"/>
      <c r="I955" s="23"/>
      <c r="J955" s="2" t="s">
        <v>200</v>
      </c>
      <c r="K955" s="2" t="s">
        <v>200</v>
      </c>
      <c r="L955" s="40"/>
      <c r="M955" s="40"/>
      <c r="N955" s="40"/>
      <c r="O955" s="2"/>
      <c r="P955" s="42"/>
      <c r="Q955" s="42"/>
      <c r="R955" s="42"/>
      <c r="S955" s="42"/>
      <c r="T955" s="42"/>
      <c r="U955" s="42"/>
      <c r="V955" s="42"/>
      <c r="W955" s="42"/>
      <c r="X955" s="42"/>
      <c r="Y955" s="42"/>
      <c r="Z955" s="42"/>
      <c r="AA955" s="42"/>
      <c r="AB955" s="42"/>
      <c r="AC955" s="42"/>
      <c r="AD955" s="37" t="s">
        <v>200</v>
      </c>
      <c r="AE955" s="37" t="s">
        <v>200</v>
      </c>
      <c r="AF955" s="37" t="s">
        <v>200</v>
      </c>
      <c r="AG955" s="37"/>
      <c r="AI955" s="24"/>
    </row>
    <row r="956">
      <c r="A956" s="11"/>
      <c r="B956" s="23"/>
      <c r="C956" s="23"/>
      <c r="D956" s="23"/>
      <c r="E956" s="23"/>
      <c r="F956" s="1"/>
      <c r="G956" s="23"/>
      <c r="H956" s="23"/>
      <c r="I956" s="23"/>
      <c r="J956" s="2" t="s">
        <v>200</v>
      </c>
      <c r="K956" s="2" t="s">
        <v>200</v>
      </c>
      <c r="L956" s="40"/>
      <c r="M956" s="40"/>
      <c r="N956" s="40"/>
      <c r="O956" s="2"/>
      <c r="P956" s="42"/>
      <c r="Q956" s="42"/>
      <c r="R956" s="42"/>
      <c r="S956" s="42"/>
      <c r="T956" s="42"/>
      <c r="U956" s="42"/>
      <c r="V956" s="42"/>
      <c r="W956" s="42"/>
      <c r="X956" s="42"/>
      <c r="Y956" s="42"/>
      <c r="Z956" s="42"/>
      <c r="AA956" s="42"/>
      <c r="AB956" s="42"/>
      <c r="AC956" s="42"/>
      <c r="AD956" s="37" t="s">
        <v>200</v>
      </c>
      <c r="AE956" s="37" t="s">
        <v>200</v>
      </c>
      <c r="AF956" s="37" t="s">
        <v>200</v>
      </c>
      <c r="AG956" s="37"/>
      <c r="AI956" s="24"/>
    </row>
    <row r="957">
      <c r="A957" s="11"/>
      <c r="B957" s="23"/>
      <c r="C957" s="23"/>
      <c r="D957" s="23"/>
      <c r="E957" s="23"/>
      <c r="F957" s="1"/>
      <c r="G957" s="23"/>
      <c r="H957" s="23"/>
      <c r="I957" s="23"/>
      <c r="J957" s="2" t="s">
        <v>200</v>
      </c>
      <c r="K957" s="2" t="s">
        <v>200</v>
      </c>
      <c r="L957" s="40"/>
      <c r="M957" s="40"/>
      <c r="N957" s="40"/>
      <c r="O957" s="2"/>
      <c r="P957" s="42"/>
      <c r="Q957" s="42"/>
      <c r="R957" s="42"/>
      <c r="S957" s="42"/>
      <c r="T957" s="42"/>
      <c r="U957" s="42"/>
      <c r="V957" s="42"/>
      <c r="W957" s="42"/>
      <c r="X957" s="42"/>
      <c r="Y957" s="42"/>
      <c r="Z957" s="42"/>
      <c r="AA957" s="42"/>
      <c r="AB957" s="42"/>
      <c r="AC957" s="42"/>
      <c r="AD957" s="37" t="s">
        <v>200</v>
      </c>
      <c r="AE957" s="37" t="s">
        <v>200</v>
      </c>
      <c r="AF957" s="37" t="s">
        <v>200</v>
      </c>
      <c r="AG957" s="37"/>
      <c r="AI957" s="24"/>
    </row>
    <row r="958">
      <c r="A958" s="11"/>
      <c r="B958" s="23"/>
      <c r="C958" s="23"/>
      <c r="D958" s="23"/>
      <c r="E958" s="23"/>
      <c r="F958" s="1"/>
      <c r="G958" s="23"/>
      <c r="H958" s="23"/>
      <c r="I958" s="23"/>
      <c r="J958" s="2" t="s">
        <v>200</v>
      </c>
      <c r="K958" s="2" t="s">
        <v>200</v>
      </c>
      <c r="L958" s="40"/>
      <c r="M958" s="40"/>
      <c r="N958" s="40"/>
      <c r="O958" s="2"/>
      <c r="P958" s="42"/>
      <c r="Q958" s="42"/>
      <c r="R958" s="42"/>
      <c r="S958" s="42"/>
      <c r="T958" s="42"/>
      <c r="U958" s="42"/>
      <c r="V958" s="42"/>
      <c r="W958" s="42"/>
      <c r="X958" s="42"/>
      <c r="Y958" s="42"/>
      <c r="Z958" s="42"/>
      <c r="AA958" s="42"/>
      <c r="AB958" s="42"/>
      <c r="AC958" s="42"/>
      <c r="AD958" s="37" t="s">
        <v>200</v>
      </c>
      <c r="AE958" s="37" t="s">
        <v>200</v>
      </c>
      <c r="AF958" s="37" t="s">
        <v>200</v>
      </c>
      <c r="AG958" s="37"/>
      <c r="AI958" s="24"/>
    </row>
    <row r="959">
      <c r="A959" s="11"/>
      <c r="B959" s="23"/>
      <c r="C959" s="23"/>
      <c r="D959" s="23"/>
      <c r="E959" s="23"/>
      <c r="F959" s="1"/>
      <c r="G959" s="23"/>
      <c r="H959" s="23"/>
      <c r="I959" s="23"/>
      <c r="J959" s="2" t="s">
        <v>200</v>
      </c>
      <c r="K959" s="2" t="s">
        <v>200</v>
      </c>
      <c r="L959" s="40"/>
      <c r="M959" s="40"/>
      <c r="N959" s="40"/>
      <c r="O959" s="2"/>
      <c r="P959" s="42"/>
      <c r="Q959" s="42"/>
      <c r="R959" s="42"/>
      <c r="S959" s="42"/>
      <c r="T959" s="42"/>
      <c r="U959" s="42"/>
      <c r="V959" s="42"/>
      <c r="W959" s="42"/>
      <c r="X959" s="42"/>
      <c r="Y959" s="42"/>
      <c r="Z959" s="42"/>
      <c r="AA959" s="42"/>
      <c r="AB959" s="42"/>
      <c r="AC959" s="42"/>
      <c r="AD959" s="37" t="s">
        <v>200</v>
      </c>
      <c r="AE959" s="37" t="s">
        <v>200</v>
      </c>
      <c r="AF959" s="37" t="s">
        <v>200</v>
      </c>
      <c r="AG959" s="37"/>
      <c r="AI959" s="24"/>
    </row>
    <row r="960">
      <c r="A960" s="11"/>
      <c r="B960" s="23"/>
      <c r="C960" s="23"/>
      <c r="D960" s="23"/>
      <c r="E960" s="23"/>
      <c r="F960" s="1"/>
      <c r="G960" s="23"/>
      <c r="H960" s="23"/>
      <c r="I960" s="23"/>
      <c r="J960" s="2" t="s">
        <v>200</v>
      </c>
      <c r="K960" s="2" t="s">
        <v>200</v>
      </c>
      <c r="L960" s="40"/>
      <c r="M960" s="40"/>
      <c r="N960" s="40"/>
      <c r="O960" s="2"/>
      <c r="P960" s="42"/>
      <c r="Q960" s="42"/>
      <c r="R960" s="42"/>
      <c r="S960" s="42"/>
      <c r="T960" s="42"/>
      <c r="U960" s="42"/>
      <c r="V960" s="42"/>
      <c r="W960" s="42"/>
      <c r="X960" s="42"/>
      <c r="Y960" s="42"/>
      <c r="Z960" s="42"/>
      <c r="AA960" s="42"/>
      <c r="AB960" s="42"/>
      <c r="AC960" s="42"/>
      <c r="AD960" s="37" t="s">
        <v>200</v>
      </c>
      <c r="AE960" s="37" t="s">
        <v>200</v>
      </c>
      <c r="AF960" s="37" t="s">
        <v>200</v>
      </c>
      <c r="AG960" s="37"/>
      <c r="AI960" s="24"/>
    </row>
    <row r="961">
      <c r="A961" s="11"/>
      <c r="B961" s="23"/>
      <c r="C961" s="23"/>
      <c r="D961" s="23"/>
      <c r="E961" s="23"/>
      <c r="F961" s="1"/>
      <c r="G961" s="23"/>
      <c r="H961" s="23"/>
      <c r="I961" s="23"/>
      <c r="J961" s="2" t="s">
        <v>200</v>
      </c>
      <c r="K961" s="2" t="s">
        <v>200</v>
      </c>
      <c r="L961" s="40"/>
      <c r="M961" s="40"/>
      <c r="N961" s="40"/>
      <c r="O961" s="2"/>
      <c r="P961" s="42"/>
      <c r="Q961" s="42"/>
      <c r="R961" s="42"/>
      <c r="S961" s="42"/>
      <c r="T961" s="42"/>
      <c r="U961" s="42"/>
      <c r="V961" s="42"/>
      <c r="W961" s="42"/>
      <c r="X961" s="42"/>
      <c r="Y961" s="42"/>
      <c r="Z961" s="42"/>
      <c r="AA961" s="42"/>
      <c r="AB961" s="42"/>
      <c r="AC961" s="42"/>
      <c r="AD961" s="37" t="s">
        <v>200</v>
      </c>
      <c r="AE961" s="37" t="s">
        <v>200</v>
      </c>
      <c r="AF961" s="37" t="s">
        <v>200</v>
      </c>
      <c r="AG961" s="37"/>
      <c r="AI961" s="24"/>
    </row>
    <row r="962">
      <c r="A962" s="11"/>
      <c r="B962" s="23"/>
      <c r="C962" s="23"/>
      <c r="D962" s="23"/>
      <c r="E962" s="23"/>
      <c r="F962" s="1"/>
      <c r="G962" s="23"/>
      <c r="H962" s="23"/>
      <c r="I962" s="23"/>
      <c r="J962" s="2" t="s">
        <v>200</v>
      </c>
      <c r="K962" s="2" t="s">
        <v>200</v>
      </c>
      <c r="L962" s="40"/>
      <c r="M962" s="40"/>
      <c r="N962" s="40"/>
      <c r="O962" s="2"/>
      <c r="P962" s="42"/>
      <c r="Q962" s="42"/>
      <c r="R962" s="42"/>
      <c r="S962" s="42"/>
      <c r="T962" s="42"/>
      <c r="U962" s="42"/>
      <c r="V962" s="42"/>
      <c r="W962" s="42"/>
      <c r="X962" s="42"/>
      <c r="Y962" s="42"/>
      <c r="Z962" s="42"/>
      <c r="AA962" s="42"/>
      <c r="AB962" s="42"/>
      <c r="AC962" s="42"/>
      <c r="AD962" s="37" t="s">
        <v>200</v>
      </c>
      <c r="AE962" s="37" t="s">
        <v>200</v>
      </c>
      <c r="AF962" s="37" t="s">
        <v>200</v>
      </c>
      <c r="AG962" s="37"/>
      <c r="AI962" s="24"/>
    </row>
    <row r="963">
      <c r="A963" s="11"/>
      <c r="B963" s="23"/>
      <c r="C963" s="23"/>
      <c r="D963" s="23"/>
      <c r="E963" s="23"/>
      <c r="F963" s="1"/>
      <c r="G963" s="23"/>
      <c r="H963" s="23"/>
      <c r="I963" s="23"/>
      <c r="J963" s="2" t="s">
        <v>200</v>
      </c>
      <c r="K963" s="2" t="s">
        <v>200</v>
      </c>
      <c r="L963" s="40"/>
      <c r="M963" s="40"/>
      <c r="N963" s="40"/>
      <c r="O963" s="2"/>
      <c r="P963" s="42"/>
      <c r="Q963" s="42"/>
      <c r="R963" s="42"/>
      <c r="S963" s="42"/>
      <c r="T963" s="42"/>
      <c r="U963" s="42"/>
      <c r="V963" s="42"/>
      <c r="W963" s="42"/>
      <c r="X963" s="42"/>
      <c r="Y963" s="42"/>
      <c r="Z963" s="42"/>
      <c r="AA963" s="42"/>
      <c r="AB963" s="42"/>
      <c r="AC963" s="42"/>
      <c r="AD963" s="37" t="s">
        <v>200</v>
      </c>
      <c r="AE963" s="37" t="s">
        <v>200</v>
      </c>
      <c r="AF963" s="37" t="s">
        <v>200</v>
      </c>
      <c r="AG963" s="37"/>
      <c r="AI963" s="24"/>
    </row>
    <row r="964">
      <c r="A964" s="11"/>
      <c r="B964" s="23"/>
      <c r="C964" s="23"/>
      <c r="D964" s="23"/>
      <c r="E964" s="23"/>
      <c r="F964" s="1"/>
      <c r="G964" s="23"/>
      <c r="H964" s="23"/>
      <c r="I964" s="23"/>
      <c r="J964" s="2" t="s">
        <v>200</v>
      </c>
      <c r="K964" s="2" t="s">
        <v>200</v>
      </c>
      <c r="L964" s="40"/>
      <c r="M964" s="40"/>
      <c r="N964" s="40"/>
      <c r="O964" s="2"/>
      <c r="P964" s="42"/>
      <c r="Q964" s="42"/>
      <c r="R964" s="42"/>
      <c r="S964" s="42"/>
      <c r="T964" s="42"/>
      <c r="U964" s="42"/>
      <c r="V964" s="42"/>
      <c r="W964" s="42"/>
      <c r="X964" s="42"/>
      <c r="Y964" s="42"/>
      <c r="Z964" s="42"/>
      <c r="AA964" s="42"/>
      <c r="AB964" s="42"/>
      <c r="AC964" s="42"/>
      <c r="AD964" s="37" t="s">
        <v>200</v>
      </c>
      <c r="AE964" s="37" t="s">
        <v>200</v>
      </c>
      <c r="AF964" s="37" t="s">
        <v>200</v>
      </c>
      <c r="AG964" s="37"/>
      <c r="AI964" s="24"/>
    </row>
    <row r="965">
      <c r="A965" s="11"/>
      <c r="B965" s="23"/>
      <c r="C965" s="23"/>
      <c r="D965" s="23"/>
      <c r="E965" s="23"/>
      <c r="F965" s="1"/>
      <c r="G965" s="23"/>
      <c r="H965" s="23"/>
      <c r="I965" s="23"/>
      <c r="J965" s="2" t="s">
        <v>200</v>
      </c>
      <c r="K965" s="2" t="s">
        <v>200</v>
      </c>
      <c r="L965" s="40"/>
      <c r="M965" s="40"/>
      <c r="N965" s="40"/>
      <c r="O965" s="2"/>
      <c r="P965" s="42"/>
      <c r="Q965" s="42"/>
      <c r="R965" s="42"/>
      <c r="S965" s="42"/>
      <c r="T965" s="42"/>
      <c r="U965" s="42"/>
      <c r="V965" s="42"/>
      <c r="W965" s="42"/>
      <c r="X965" s="42"/>
      <c r="Y965" s="42"/>
      <c r="Z965" s="42"/>
      <c r="AA965" s="42"/>
      <c r="AB965" s="42"/>
      <c r="AC965" s="42"/>
      <c r="AD965" s="37" t="s">
        <v>200</v>
      </c>
      <c r="AE965" s="37" t="s">
        <v>200</v>
      </c>
      <c r="AF965" s="37" t="s">
        <v>200</v>
      </c>
      <c r="AG965" s="37"/>
      <c r="AI965" s="24"/>
    </row>
    <row r="966">
      <c r="A966" s="11"/>
      <c r="B966" s="23"/>
      <c r="C966" s="23"/>
      <c r="D966" s="23"/>
      <c r="E966" s="23"/>
      <c r="F966" s="1"/>
      <c r="G966" s="23"/>
      <c r="H966" s="23"/>
      <c r="I966" s="23"/>
      <c r="J966" s="2" t="s">
        <v>200</v>
      </c>
      <c r="K966" s="2" t="s">
        <v>200</v>
      </c>
      <c r="L966" s="40"/>
      <c r="M966" s="40"/>
      <c r="N966" s="40"/>
      <c r="O966" s="2"/>
      <c r="P966" s="42"/>
      <c r="Q966" s="42"/>
      <c r="R966" s="42"/>
      <c r="S966" s="42"/>
      <c r="T966" s="42"/>
      <c r="U966" s="42"/>
      <c r="V966" s="42"/>
      <c r="W966" s="42"/>
      <c r="X966" s="42"/>
      <c r="Y966" s="42"/>
      <c r="Z966" s="42"/>
      <c r="AA966" s="42"/>
      <c r="AB966" s="42"/>
      <c r="AC966" s="42"/>
      <c r="AD966" s="37" t="s">
        <v>200</v>
      </c>
      <c r="AE966" s="37" t="s">
        <v>200</v>
      </c>
      <c r="AF966" s="37" t="s">
        <v>200</v>
      </c>
      <c r="AG966" s="37"/>
      <c r="AI966" s="24"/>
    </row>
    <row r="967">
      <c r="A967" s="11"/>
      <c r="B967" s="23"/>
      <c r="C967" s="23"/>
      <c r="D967" s="23"/>
      <c r="E967" s="23"/>
      <c r="F967" s="1"/>
      <c r="G967" s="23"/>
      <c r="H967" s="23"/>
      <c r="I967" s="23"/>
      <c r="J967" s="2" t="s">
        <v>200</v>
      </c>
      <c r="K967" s="2" t="s">
        <v>200</v>
      </c>
      <c r="L967" s="40"/>
      <c r="M967" s="40"/>
      <c r="N967" s="40"/>
      <c r="O967" s="2"/>
      <c r="P967" s="42"/>
      <c r="Q967" s="42"/>
      <c r="R967" s="42"/>
      <c r="S967" s="42"/>
      <c r="T967" s="42"/>
      <c r="U967" s="42"/>
      <c r="V967" s="42"/>
      <c r="W967" s="42"/>
      <c r="X967" s="42"/>
      <c r="Y967" s="42"/>
      <c r="Z967" s="42"/>
      <c r="AA967" s="42"/>
      <c r="AB967" s="42"/>
      <c r="AC967" s="42"/>
      <c r="AD967" s="37" t="s">
        <v>200</v>
      </c>
      <c r="AE967" s="37" t="s">
        <v>200</v>
      </c>
      <c r="AF967" s="37" t="s">
        <v>200</v>
      </c>
      <c r="AG967" s="37"/>
      <c r="AI967" s="24"/>
    </row>
    <row r="968">
      <c r="A968" s="11"/>
      <c r="B968" s="23"/>
      <c r="C968" s="23"/>
      <c r="D968" s="23"/>
      <c r="E968" s="23"/>
      <c r="F968" s="1"/>
      <c r="G968" s="23"/>
      <c r="H968" s="23"/>
      <c r="I968" s="23"/>
      <c r="J968" s="2" t="s">
        <v>200</v>
      </c>
      <c r="K968" s="2" t="s">
        <v>200</v>
      </c>
      <c r="L968" s="40"/>
      <c r="M968" s="40"/>
      <c r="N968" s="40"/>
      <c r="O968" s="2"/>
      <c r="P968" s="42"/>
      <c r="Q968" s="42"/>
      <c r="R968" s="42"/>
      <c r="S968" s="42"/>
      <c r="T968" s="42"/>
      <c r="U968" s="42"/>
      <c r="V968" s="42"/>
      <c r="W968" s="42"/>
      <c r="X968" s="42"/>
      <c r="Y968" s="42"/>
      <c r="Z968" s="42"/>
      <c r="AA968" s="42"/>
      <c r="AB968" s="42"/>
      <c r="AC968" s="42"/>
      <c r="AD968" s="37" t="s">
        <v>200</v>
      </c>
      <c r="AE968" s="37" t="s">
        <v>200</v>
      </c>
      <c r="AF968" s="37" t="s">
        <v>200</v>
      </c>
      <c r="AG968" s="37"/>
      <c r="AI968" s="24"/>
    </row>
    <row r="969">
      <c r="A969" s="11"/>
      <c r="B969" s="23"/>
      <c r="C969" s="23"/>
      <c r="D969" s="23"/>
      <c r="E969" s="23"/>
      <c r="F969" s="1"/>
      <c r="G969" s="23"/>
      <c r="H969" s="23"/>
      <c r="I969" s="23"/>
      <c r="J969" s="2" t="s">
        <v>200</v>
      </c>
      <c r="K969" s="2" t="s">
        <v>200</v>
      </c>
      <c r="L969" s="40"/>
      <c r="M969" s="40"/>
      <c r="N969" s="40"/>
      <c r="O969" s="2"/>
      <c r="P969" s="42"/>
      <c r="Q969" s="42"/>
      <c r="R969" s="42"/>
      <c r="S969" s="42"/>
      <c r="T969" s="42"/>
      <c r="U969" s="42"/>
      <c r="V969" s="42"/>
      <c r="W969" s="42"/>
      <c r="X969" s="42"/>
      <c r="Y969" s="42"/>
      <c r="Z969" s="42"/>
      <c r="AA969" s="42"/>
      <c r="AB969" s="42"/>
      <c r="AC969" s="42"/>
      <c r="AD969" s="37" t="s">
        <v>200</v>
      </c>
      <c r="AE969" s="37" t="s">
        <v>200</v>
      </c>
      <c r="AF969" s="37" t="s">
        <v>200</v>
      </c>
      <c r="AG969" s="37"/>
      <c r="AI969" s="24"/>
    </row>
    <row r="970">
      <c r="A970" s="11"/>
      <c r="B970" s="23"/>
      <c r="C970" s="23"/>
      <c r="D970" s="23"/>
      <c r="E970" s="23"/>
      <c r="F970" s="1"/>
      <c r="G970" s="23"/>
      <c r="H970" s="23"/>
      <c r="I970" s="23"/>
      <c r="J970" s="2" t="s">
        <v>200</v>
      </c>
      <c r="K970" s="2" t="s">
        <v>200</v>
      </c>
      <c r="L970" s="40"/>
      <c r="M970" s="40"/>
      <c r="N970" s="40"/>
      <c r="O970" s="2"/>
      <c r="P970" s="42"/>
      <c r="Q970" s="42"/>
      <c r="R970" s="42"/>
      <c r="S970" s="42"/>
      <c r="T970" s="42"/>
      <c r="U970" s="42"/>
      <c r="V970" s="42"/>
      <c r="W970" s="42"/>
      <c r="X970" s="42"/>
      <c r="Y970" s="42"/>
      <c r="Z970" s="42"/>
      <c r="AA970" s="42"/>
      <c r="AB970" s="42"/>
      <c r="AC970" s="42"/>
      <c r="AD970" s="37" t="s">
        <v>200</v>
      </c>
      <c r="AE970" s="37" t="s">
        <v>200</v>
      </c>
      <c r="AF970" s="37" t="s">
        <v>200</v>
      </c>
      <c r="AG970" s="37"/>
      <c r="AI970" s="24"/>
    </row>
    <row r="971">
      <c r="A971" s="11"/>
      <c r="B971" s="23"/>
      <c r="C971" s="23"/>
      <c r="D971" s="23"/>
      <c r="E971" s="23"/>
      <c r="F971" s="1"/>
      <c r="G971" s="23"/>
      <c r="H971" s="23"/>
      <c r="I971" s="23"/>
      <c r="J971" s="2" t="s">
        <v>200</v>
      </c>
      <c r="K971" s="2" t="s">
        <v>200</v>
      </c>
      <c r="L971" s="40"/>
      <c r="M971" s="40"/>
      <c r="N971" s="40"/>
      <c r="O971" s="2"/>
      <c r="P971" s="42"/>
      <c r="Q971" s="42"/>
      <c r="R971" s="42"/>
      <c r="S971" s="42"/>
      <c r="T971" s="42"/>
      <c r="U971" s="42"/>
      <c r="V971" s="42"/>
      <c r="W971" s="42"/>
      <c r="X971" s="42"/>
      <c r="Y971" s="42"/>
      <c r="Z971" s="42"/>
      <c r="AA971" s="42"/>
      <c r="AB971" s="42"/>
      <c r="AC971" s="42"/>
      <c r="AD971" s="37" t="s">
        <v>200</v>
      </c>
      <c r="AE971" s="37" t="s">
        <v>200</v>
      </c>
      <c r="AF971" s="37" t="s">
        <v>200</v>
      </c>
      <c r="AG971" s="37"/>
      <c r="AI971" s="24"/>
    </row>
    <row r="972">
      <c r="A972" s="11"/>
      <c r="B972" s="23"/>
      <c r="C972" s="23"/>
      <c r="D972" s="23"/>
      <c r="E972" s="23"/>
      <c r="F972" s="1"/>
      <c r="G972" s="23"/>
      <c r="H972" s="23"/>
      <c r="I972" s="23"/>
      <c r="J972" s="2" t="s">
        <v>200</v>
      </c>
      <c r="K972" s="2" t="s">
        <v>200</v>
      </c>
      <c r="L972" s="40"/>
      <c r="M972" s="40"/>
      <c r="N972" s="40"/>
      <c r="O972" s="2"/>
      <c r="P972" s="42"/>
      <c r="Q972" s="42"/>
      <c r="R972" s="42"/>
      <c r="S972" s="42"/>
      <c r="T972" s="42"/>
      <c r="U972" s="42"/>
      <c r="V972" s="42"/>
      <c r="W972" s="42"/>
      <c r="X972" s="42"/>
      <c r="Y972" s="42"/>
      <c r="Z972" s="42"/>
      <c r="AA972" s="42"/>
      <c r="AB972" s="42"/>
      <c r="AC972" s="42"/>
      <c r="AD972" s="37" t="s">
        <v>200</v>
      </c>
      <c r="AE972" s="37" t="s">
        <v>200</v>
      </c>
      <c r="AF972" s="37" t="s">
        <v>200</v>
      </c>
      <c r="AG972" s="37"/>
      <c r="AI972" s="24"/>
    </row>
    <row r="973">
      <c r="A973" s="11"/>
      <c r="B973" s="23"/>
      <c r="C973" s="23"/>
      <c r="D973" s="23"/>
      <c r="E973" s="23"/>
      <c r="F973" s="1"/>
      <c r="G973" s="23"/>
      <c r="H973" s="23"/>
      <c r="I973" s="23"/>
      <c r="J973" s="2" t="s">
        <v>200</v>
      </c>
      <c r="K973" s="2" t="s">
        <v>200</v>
      </c>
      <c r="L973" s="40"/>
      <c r="M973" s="40"/>
      <c r="N973" s="40"/>
      <c r="O973" s="2"/>
      <c r="P973" s="42"/>
      <c r="Q973" s="42"/>
      <c r="R973" s="42"/>
      <c r="S973" s="42"/>
      <c r="T973" s="42"/>
      <c r="U973" s="42"/>
      <c r="V973" s="42"/>
      <c r="W973" s="42"/>
      <c r="X973" s="42"/>
      <c r="Y973" s="42"/>
      <c r="Z973" s="42"/>
      <c r="AA973" s="42"/>
      <c r="AB973" s="42"/>
      <c r="AC973" s="42"/>
      <c r="AD973" s="37" t="s">
        <v>200</v>
      </c>
      <c r="AE973" s="37" t="s">
        <v>200</v>
      </c>
      <c r="AF973" s="37" t="s">
        <v>200</v>
      </c>
      <c r="AG973" s="37"/>
      <c r="AI973" s="24"/>
    </row>
    <row r="974">
      <c r="A974" s="11"/>
      <c r="B974" s="23"/>
      <c r="C974" s="23"/>
      <c r="D974" s="23"/>
      <c r="E974" s="23"/>
      <c r="F974" s="1"/>
      <c r="G974" s="23"/>
      <c r="H974" s="23"/>
      <c r="I974" s="23"/>
      <c r="J974" s="2" t="s">
        <v>200</v>
      </c>
      <c r="K974" s="2" t="s">
        <v>200</v>
      </c>
      <c r="L974" s="40"/>
      <c r="M974" s="40"/>
      <c r="N974" s="40"/>
      <c r="O974" s="2"/>
      <c r="P974" s="42"/>
      <c r="Q974" s="42"/>
      <c r="R974" s="42"/>
      <c r="S974" s="42"/>
      <c r="T974" s="42"/>
      <c r="U974" s="42"/>
      <c r="V974" s="42"/>
      <c r="W974" s="42"/>
      <c r="X974" s="42"/>
      <c r="Y974" s="42"/>
      <c r="Z974" s="42"/>
      <c r="AA974" s="42"/>
      <c r="AB974" s="42"/>
      <c r="AC974" s="42"/>
      <c r="AD974" s="37" t="s">
        <v>200</v>
      </c>
      <c r="AE974" s="37" t="s">
        <v>200</v>
      </c>
      <c r="AF974" s="37" t="s">
        <v>200</v>
      </c>
      <c r="AG974" s="37"/>
      <c r="AI974" s="24"/>
    </row>
    <row r="975">
      <c r="A975" s="11"/>
      <c r="B975" s="23"/>
      <c r="C975" s="23"/>
      <c r="D975" s="23"/>
      <c r="E975" s="23"/>
      <c r="F975" s="1"/>
      <c r="G975" s="23"/>
      <c r="H975" s="23"/>
      <c r="I975" s="23"/>
      <c r="J975" s="2" t="s">
        <v>200</v>
      </c>
      <c r="K975" s="2" t="s">
        <v>200</v>
      </c>
      <c r="L975" s="40"/>
      <c r="M975" s="40"/>
      <c r="N975" s="40"/>
      <c r="O975" s="2"/>
      <c r="P975" s="42"/>
      <c r="Q975" s="42"/>
      <c r="R975" s="42"/>
      <c r="S975" s="42"/>
      <c r="T975" s="42"/>
      <c r="U975" s="42"/>
      <c r="V975" s="42"/>
      <c r="W975" s="42"/>
      <c r="X975" s="42"/>
      <c r="Y975" s="42"/>
      <c r="Z975" s="42"/>
      <c r="AA975" s="42"/>
      <c r="AB975" s="42"/>
      <c r="AC975" s="42"/>
      <c r="AD975" s="37" t="s">
        <v>200</v>
      </c>
      <c r="AE975" s="37" t="s">
        <v>200</v>
      </c>
      <c r="AF975" s="37" t="s">
        <v>200</v>
      </c>
      <c r="AG975" s="37"/>
      <c r="AI975" s="24"/>
    </row>
    <row r="976">
      <c r="A976" s="11"/>
      <c r="B976" s="23"/>
      <c r="C976" s="23"/>
      <c r="D976" s="23"/>
      <c r="E976" s="23"/>
      <c r="F976" s="1"/>
      <c r="G976" s="23"/>
      <c r="H976" s="23"/>
      <c r="I976" s="23"/>
      <c r="J976" s="2" t="s">
        <v>200</v>
      </c>
      <c r="K976" s="2" t="s">
        <v>200</v>
      </c>
      <c r="L976" s="40"/>
      <c r="M976" s="40"/>
      <c r="N976" s="40"/>
      <c r="O976" s="2"/>
      <c r="P976" s="42"/>
      <c r="Q976" s="42"/>
      <c r="R976" s="42"/>
      <c r="S976" s="42"/>
      <c r="T976" s="42"/>
      <c r="U976" s="42"/>
      <c r="V976" s="42"/>
      <c r="W976" s="42"/>
      <c r="X976" s="42"/>
      <c r="Y976" s="42"/>
      <c r="Z976" s="42"/>
      <c r="AA976" s="42"/>
      <c r="AB976" s="42"/>
      <c r="AC976" s="42"/>
      <c r="AD976" s="37" t="s">
        <v>200</v>
      </c>
      <c r="AE976" s="37" t="s">
        <v>200</v>
      </c>
      <c r="AF976" s="37" t="s">
        <v>200</v>
      </c>
      <c r="AG976" s="37"/>
      <c r="AI976" s="24"/>
    </row>
    <row r="977">
      <c r="A977" s="11"/>
      <c r="B977" s="23"/>
      <c r="C977" s="23"/>
      <c r="D977" s="23"/>
      <c r="E977" s="23"/>
      <c r="F977" s="1"/>
      <c r="G977" s="23"/>
      <c r="H977" s="23"/>
      <c r="I977" s="23"/>
      <c r="J977" s="2" t="s">
        <v>200</v>
      </c>
      <c r="K977" s="2" t="s">
        <v>200</v>
      </c>
      <c r="L977" s="40"/>
      <c r="M977" s="40"/>
      <c r="N977" s="40"/>
      <c r="O977" s="2"/>
      <c r="P977" s="42"/>
      <c r="Q977" s="42"/>
      <c r="R977" s="42"/>
      <c r="S977" s="42"/>
      <c r="T977" s="42"/>
      <c r="U977" s="42"/>
      <c r="V977" s="42"/>
      <c r="W977" s="42"/>
      <c r="X977" s="42"/>
      <c r="Y977" s="42"/>
      <c r="Z977" s="42"/>
      <c r="AA977" s="42"/>
      <c r="AB977" s="42"/>
      <c r="AC977" s="42"/>
      <c r="AD977" s="37" t="s">
        <v>200</v>
      </c>
      <c r="AE977" s="37" t="s">
        <v>200</v>
      </c>
      <c r="AF977" s="37" t="s">
        <v>200</v>
      </c>
      <c r="AG977" s="37"/>
      <c r="AI977" s="24"/>
    </row>
    <row r="978">
      <c r="A978" s="11"/>
      <c r="B978" s="23"/>
      <c r="C978" s="23"/>
      <c r="D978" s="23"/>
      <c r="E978" s="23"/>
      <c r="F978" s="1"/>
      <c r="G978" s="23"/>
      <c r="H978" s="23"/>
      <c r="I978" s="23"/>
      <c r="J978" s="2" t="s">
        <v>200</v>
      </c>
      <c r="K978" s="2" t="s">
        <v>200</v>
      </c>
      <c r="L978" s="40"/>
      <c r="M978" s="40"/>
      <c r="N978" s="40"/>
      <c r="O978" s="2"/>
      <c r="P978" s="42"/>
      <c r="Q978" s="42"/>
      <c r="R978" s="42"/>
      <c r="S978" s="42"/>
      <c r="T978" s="42"/>
      <c r="U978" s="42"/>
      <c r="V978" s="42"/>
      <c r="W978" s="42"/>
      <c r="X978" s="42"/>
      <c r="Y978" s="42"/>
      <c r="Z978" s="42"/>
      <c r="AA978" s="42"/>
      <c r="AB978" s="42"/>
      <c r="AC978" s="42"/>
      <c r="AD978" s="37" t="s">
        <v>200</v>
      </c>
      <c r="AE978" s="37" t="s">
        <v>200</v>
      </c>
      <c r="AF978" s="37" t="s">
        <v>200</v>
      </c>
      <c r="AG978" s="37"/>
      <c r="AI978" s="24"/>
    </row>
    <row r="979">
      <c r="A979" s="11"/>
      <c r="B979" s="23"/>
      <c r="C979" s="23"/>
      <c r="D979" s="23"/>
      <c r="E979" s="23"/>
      <c r="F979" s="1"/>
      <c r="G979" s="23"/>
      <c r="H979" s="23"/>
      <c r="I979" s="23"/>
      <c r="J979" s="2" t="s">
        <v>200</v>
      </c>
      <c r="K979" s="2" t="s">
        <v>200</v>
      </c>
      <c r="L979" s="40"/>
      <c r="M979" s="40"/>
      <c r="N979" s="40"/>
      <c r="O979" s="2"/>
      <c r="P979" s="42"/>
      <c r="Q979" s="42"/>
      <c r="R979" s="42"/>
      <c r="S979" s="42"/>
      <c r="T979" s="42"/>
      <c r="U979" s="42"/>
      <c r="V979" s="42"/>
      <c r="W979" s="42"/>
      <c r="X979" s="42"/>
      <c r="Y979" s="42"/>
      <c r="Z979" s="42"/>
      <c r="AA979" s="42"/>
      <c r="AB979" s="42"/>
      <c r="AC979" s="42"/>
      <c r="AD979" s="37" t="s">
        <v>200</v>
      </c>
      <c r="AE979" s="37" t="s">
        <v>200</v>
      </c>
      <c r="AF979" s="37" t="s">
        <v>200</v>
      </c>
      <c r="AG979" s="37"/>
      <c r="AI979" s="24"/>
    </row>
    <row r="980">
      <c r="A980" s="11"/>
      <c r="B980" s="23"/>
      <c r="C980" s="23"/>
      <c r="D980" s="23"/>
      <c r="E980" s="23"/>
      <c r="F980" s="1"/>
      <c r="G980" s="23"/>
      <c r="H980" s="23"/>
      <c r="I980" s="23"/>
      <c r="J980" s="2" t="s">
        <v>200</v>
      </c>
      <c r="K980" s="2" t="s">
        <v>200</v>
      </c>
      <c r="L980" s="40"/>
      <c r="M980" s="40"/>
      <c r="N980" s="40"/>
      <c r="O980" s="2"/>
      <c r="P980" s="42"/>
      <c r="Q980" s="42"/>
      <c r="R980" s="42"/>
      <c r="S980" s="42"/>
      <c r="T980" s="42"/>
      <c r="U980" s="42"/>
      <c r="V980" s="42"/>
      <c r="W980" s="42"/>
      <c r="X980" s="42"/>
      <c r="Y980" s="42"/>
      <c r="Z980" s="42"/>
      <c r="AA980" s="42"/>
      <c r="AB980" s="42"/>
      <c r="AC980" s="42"/>
      <c r="AD980" s="37" t="s">
        <v>200</v>
      </c>
      <c r="AE980" s="37" t="s">
        <v>200</v>
      </c>
      <c r="AF980" s="37" t="s">
        <v>200</v>
      </c>
      <c r="AG980" s="37"/>
      <c r="AI980" s="24"/>
    </row>
    <row r="981">
      <c r="A981" s="11"/>
      <c r="B981" s="23"/>
      <c r="C981" s="23"/>
      <c r="D981" s="23"/>
      <c r="E981" s="23"/>
      <c r="F981" s="1"/>
      <c r="G981" s="23"/>
      <c r="H981" s="23"/>
      <c r="I981" s="23"/>
      <c r="J981" s="2" t="s">
        <v>200</v>
      </c>
      <c r="K981" s="2" t="s">
        <v>200</v>
      </c>
      <c r="L981" s="40"/>
      <c r="M981" s="40"/>
      <c r="N981" s="40"/>
      <c r="O981" s="2"/>
      <c r="P981" s="42"/>
      <c r="Q981" s="42"/>
      <c r="R981" s="42"/>
      <c r="S981" s="42"/>
      <c r="T981" s="42"/>
      <c r="U981" s="42"/>
      <c r="V981" s="42"/>
      <c r="W981" s="42"/>
      <c r="X981" s="42"/>
      <c r="Y981" s="42"/>
      <c r="Z981" s="42"/>
      <c r="AA981" s="42"/>
      <c r="AB981" s="42"/>
      <c r="AC981" s="42"/>
      <c r="AD981" s="37" t="s">
        <v>200</v>
      </c>
      <c r="AE981" s="37" t="s">
        <v>200</v>
      </c>
      <c r="AF981" s="37" t="s">
        <v>200</v>
      </c>
      <c r="AG981" s="37"/>
      <c r="AI981" s="24"/>
    </row>
    <row r="982">
      <c r="A982" s="11"/>
      <c r="B982" s="23"/>
      <c r="C982" s="23"/>
      <c r="D982" s="23"/>
      <c r="E982" s="23"/>
      <c r="F982" s="1"/>
      <c r="G982" s="23"/>
      <c r="H982" s="23"/>
      <c r="I982" s="23"/>
      <c r="J982" s="2" t="s">
        <v>200</v>
      </c>
      <c r="K982" s="2" t="s">
        <v>200</v>
      </c>
      <c r="L982" s="40"/>
      <c r="M982" s="40"/>
      <c r="N982" s="40"/>
      <c r="O982" s="2"/>
      <c r="P982" s="42"/>
      <c r="Q982" s="42"/>
      <c r="R982" s="42"/>
      <c r="S982" s="42"/>
      <c r="T982" s="42"/>
      <c r="U982" s="42"/>
      <c r="V982" s="42"/>
      <c r="W982" s="42"/>
      <c r="X982" s="42"/>
      <c r="Y982" s="42"/>
      <c r="Z982" s="42"/>
      <c r="AA982" s="42"/>
      <c r="AB982" s="42"/>
      <c r="AC982" s="42"/>
      <c r="AD982" s="37" t="s">
        <v>200</v>
      </c>
      <c r="AE982" s="37" t="s">
        <v>200</v>
      </c>
      <c r="AF982" s="37" t="s">
        <v>200</v>
      </c>
      <c r="AG982" s="37"/>
      <c r="AI982" s="24"/>
    </row>
    <row r="983">
      <c r="A983" s="11"/>
      <c r="B983" s="23"/>
      <c r="C983" s="23"/>
      <c r="D983" s="23"/>
      <c r="E983" s="23"/>
      <c r="F983" s="1"/>
      <c r="G983" s="23"/>
      <c r="H983" s="23"/>
      <c r="I983" s="23"/>
      <c r="J983" s="2" t="s">
        <v>200</v>
      </c>
      <c r="K983" s="2" t="s">
        <v>200</v>
      </c>
      <c r="L983" s="40"/>
      <c r="M983" s="40"/>
      <c r="N983" s="40"/>
      <c r="O983" s="2"/>
      <c r="P983" s="42"/>
      <c r="Q983" s="42"/>
      <c r="R983" s="42"/>
      <c r="S983" s="42"/>
      <c r="T983" s="42"/>
      <c r="U983" s="42"/>
      <c r="V983" s="42"/>
      <c r="W983" s="42"/>
      <c r="X983" s="42"/>
      <c r="Y983" s="42"/>
      <c r="Z983" s="42"/>
      <c r="AA983" s="42"/>
      <c r="AB983" s="42"/>
      <c r="AC983" s="42"/>
      <c r="AD983" s="37" t="s">
        <v>200</v>
      </c>
      <c r="AE983" s="37" t="s">
        <v>200</v>
      </c>
      <c r="AF983" s="37" t="s">
        <v>200</v>
      </c>
      <c r="AG983" s="37"/>
      <c r="AI983" s="24"/>
    </row>
    <row r="984">
      <c r="A984" s="11"/>
      <c r="B984" s="23"/>
      <c r="C984" s="23"/>
      <c r="D984" s="23"/>
      <c r="E984" s="23"/>
      <c r="F984" s="1"/>
      <c r="G984" s="23"/>
      <c r="H984" s="23"/>
      <c r="I984" s="23"/>
      <c r="J984" s="2" t="s">
        <v>200</v>
      </c>
      <c r="K984" s="2" t="s">
        <v>200</v>
      </c>
      <c r="L984" s="40"/>
      <c r="M984" s="40"/>
      <c r="N984" s="40"/>
      <c r="O984" s="2"/>
      <c r="P984" s="42"/>
      <c r="Q984" s="42"/>
      <c r="R984" s="42"/>
      <c r="S984" s="42"/>
      <c r="T984" s="42"/>
      <c r="U984" s="42"/>
      <c r="V984" s="42"/>
      <c r="W984" s="42"/>
      <c r="X984" s="42"/>
      <c r="Y984" s="42"/>
      <c r="Z984" s="42"/>
      <c r="AA984" s="42"/>
      <c r="AB984" s="42"/>
      <c r="AC984" s="42"/>
      <c r="AD984" s="37" t="s">
        <v>200</v>
      </c>
      <c r="AE984" s="37" t="s">
        <v>200</v>
      </c>
      <c r="AF984" s="37" t="s">
        <v>200</v>
      </c>
      <c r="AG984" s="37"/>
      <c r="AI984" s="24"/>
    </row>
    <row r="985">
      <c r="A985" s="11"/>
      <c r="B985" s="23"/>
      <c r="C985" s="23"/>
      <c r="D985" s="23"/>
      <c r="E985" s="23"/>
      <c r="F985" s="1"/>
      <c r="G985" s="23"/>
      <c r="H985" s="23"/>
      <c r="I985" s="23"/>
      <c r="J985" s="2" t="s">
        <v>200</v>
      </c>
      <c r="K985" s="2" t="s">
        <v>200</v>
      </c>
      <c r="L985" s="40"/>
      <c r="M985" s="40"/>
      <c r="N985" s="40"/>
      <c r="O985" s="2"/>
      <c r="P985" s="42"/>
      <c r="Q985" s="42"/>
      <c r="R985" s="42"/>
      <c r="S985" s="42"/>
      <c r="T985" s="42"/>
      <c r="U985" s="42"/>
      <c r="V985" s="42"/>
      <c r="W985" s="42"/>
      <c r="X985" s="42"/>
      <c r="Y985" s="42"/>
      <c r="Z985" s="42"/>
      <c r="AA985" s="42"/>
      <c r="AB985" s="42"/>
      <c r="AC985" s="42"/>
      <c r="AD985" s="37" t="s">
        <v>200</v>
      </c>
      <c r="AE985" s="37" t="s">
        <v>200</v>
      </c>
      <c r="AF985" s="37" t="s">
        <v>200</v>
      </c>
      <c r="AG985" s="37"/>
      <c r="AI985" s="24"/>
    </row>
    <row r="986">
      <c r="A986" s="11"/>
      <c r="B986" s="23"/>
      <c r="C986" s="23"/>
      <c r="D986" s="23"/>
      <c r="E986" s="23"/>
      <c r="F986" s="1"/>
      <c r="G986" s="23"/>
      <c r="H986" s="23"/>
      <c r="I986" s="23"/>
      <c r="J986" s="2" t="s">
        <v>200</v>
      </c>
      <c r="K986" s="2" t="s">
        <v>200</v>
      </c>
      <c r="L986" s="40"/>
      <c r="M986" s="40"/>
      <c r="N986" s="40"/>
      <c r="O986" s="2"/>
      <c r="P986" s="42"/>
      <c r="Q986" s="42"/>
      <c r="R986" s="42"/>
      <c r="S986" s="42"/>
      <c r="T986" s="42"/>
      <c r="U986" s="42"/>
      <c r="V986" s="42"/>
      <c r="W986" s="42"/>
      <c r="X986" s="42"/>
      <c r="Y986" s="42"/>
      <c r="Z986" s="42"/>
      <c r="AA986" s="42"/>
      <c r="AB986" s="42"/>
      <c r="AC986" s="42"/>
      <c r="AD986" s="37" t="s">
        <v>200</v>
      </c>
      <c r="AE986" s="37" t="s">
        <v>200</v>
      </c>
      <c r="AF986" s="37" t="s">
        <v>200</v>
      </c>
      <c r="AG986" s="37"/>
      <c r="AI986" s="24"/>
    </row>
    <row r="987">
      <c r="A987" s="11"/>
      <c r="B987" s="23"/>
      <c r="C987" s="23"/>
      <c r="D987" s="23"/>
      <c r="E987" s="23"/>
      <c r="F987" s="1"/>
      <c r="G987" s="23"/>
      <c r="H987" s="23"/>
      <c r="I987" s="23"/>
      <c r="J987" s="2" t="s">
        <v>200</v>
      </c>
      <c r="K987" s="2" t="s">
        <v>200</v>
      </c>
      <c r="L987" s="40"/>
      <c r="M987" s="40"/>
      <c r="N987" s="40"/>
      <c r="O987" s="2"/>
      <c r="P987" s="42"/>
      <c r="Q987" s="42"/>
      <c r="R987" s="42"/>
      <c r="S987" s="42"/>
      <c r="T987" s="42"/>
      <c r="U987" s="42"/>
      <c r="V987" s="42"/>
      <c r="W987" s="42"/>
      <c r="X987" s="42"/>
      <c r="Y987" s="42"/>
      <c r="Z987" s="42"/>
      <c r="AA987" s="42"/>
      <c r="AB987" s="42"/>
      <c r="AC987" s="42"/>
      <c r="AD987" s="37" t="s">
        <v>200</v>
      </c>
      <c r="AE987" s="37" t="s">
        <v>200</v>
      </c>
      <c r="AF987" s="37" t="s">
        <v>200</v>
      </c>
      <c r="AG987" s="37"/>
      <c r="AI987" s="24"/>
    </row>
    <row r="988">
      <c r="A988" s="11"/>
      <c r="B988" s="23"/>
      <c r="C988" s="23"/>
      <c r="D988" s="23"/>
      <c r="E988" s="23"/>
      <c r="F988" s="1"/>
      <c r="G988" s="23"/>
      <c r="H988" s="23"/>
      <c r="I988" s="23"/>
      <c r="J988" s="2" t="s">
        <v>200</v>
      </c>
      <c r="K988" s="2" t="s">
        <v>200</v>
      </c>
      <c r="L988" s="40"/>
      <c r="M988" s="40"/>
      <c r="N988" s="40"/>
      <c r="O988" s="2"/>
      <c r="P988" s="42"/>
      <c r="Q988" s="42"/>
      <c r="R988" s="42"/>
      <c r="S988" s="42"/>
      <c r="T988" s="42"/>
      <c r="U988" s="42"/>
      <c r="V988" s="42"/>
      <c r="W988" s="42"/>
      <c r="X988" s="42"/>
      <c r="Y988" s="42"/>
      <c r="Z988" s="42"/>
      <c r="AA988" s="42"/>
      <c r="AB988" s="42"/>
      <c r="AC988" s="42"/>
      <c r="AD988" s="37" t="s">
        <v>200</v>
      </c>
      <c r="AE988" s="37" t="s">
        <v>200</v>
      </c>
      <c r="AF988" s="37" t="s">
        <v>200</v>
      </c>
      <c r="AG988" s="37"/>
      <c r="AI988" s="24"/>
    </row>
    <row r="989">
      <c r="A989" s="11"/>
      <c r="B989" s="23"/>
      <c r="C989" s="23"/>
      <c r="D989" s="23"/>
      <c r="E989" s="23"/>
      <c r="F989" s="1"/>
      <c r="G989" s="23"/>
      <c r="H989" s="23"/>
      <c r="I989" s="23"/>
      <c r="J989" s="2" t="s">
        <v>200</v>
      </c>
      <c r="K989" s="2" t="s">
        <v>200</v>
      </c>
      <c r="L989" s="40"/>
      <c r="M989" s="40"/>
      <c r="N989" s="40"/>
      <c r="O989" s="2"/>
      <c r="P989" s="42"/>
      <c r="Q989" s="42"/>
      <c r="R989" s="42"/>
      <c r="S989" s="42"/>
      <c r="T989" s="42"/>
      <c r="U989" s="42"/>
      <c r="V989" s="42"/>
      <c r="W989" s="42"/>
      <c r="X989" s="42"/>
      <c r="Y989" s="42"/>
      <c r="Z989" s="42"/>
      <c r="AA989" s="42"/>
      <c r="AB989" s="42"/>
      <c r="AC989" s="42"/>
      <c r="AD989" s="37" t="s">
        <v>200</v>
      </c>
      <c r="AE989" s="37" t="s">
        <v>200</v>
      </c>
      <c r="AF989" s="37" t="s">
        <v>200</v>
      </c>
      <c r="AG989" s="37"/>
      <c r="AI989" s="24"/>
    </row>
    <row r="990">
      <c r="A990" s="11"/>
      <c r="B990" s="23"/>
      <c r="C990" s="23"/>
      <c r="D990" s="23"/>
      <c r="E990" s="23"/>
      <c r="F990" s="1"/>
      <c r="G990" s="23"/>
      <c r="H990" s="23"/>
      <c r="I990" s="23"/>
      <c r="J990" s="2" t="s">
        <v>200</v>
      </c>
      <c r="K990" s="2" t="s">
        <v>200</v>
      </c>
      <c r="L990" s="40"/>
      <c r="M990" s="40"/>
      <c r="N990" s="40"/>
      <c r="O990" s="2"/>
      <c r="P990" s="42"/>
      <c r="Q990" s="42"/>
      <c r="R990" s="42"/>
      <c r="S990" s="42"/>
      <c r="T990" s="42"/>
      <c r="U990" s="42"/>
      <c r="V990" s="42"/>
      <c r="W990" s="42"/>
      <c r="X990" s="42"/>
      <c r="Y990" s="42"/>
      <c r="Z990" s="42"/>
      <c r="AA990" s="42"/>
      <c r="AB990" s="42"/>
      <c r="AC990" s="42"/>
      <c r="AD990" s="37" t="s">
        <v>200</v>
      </c>
      <c r="AE990" s="37" t="s">
        <v>200</v>
      </c>
      <c r="AF990" s="37" t="s">
        <v>200</v>
      </c>
      <c r="AG990" s="37"/>
      <c r="AI990" s="24"/>
    </row>
    <row r="991">
      <c r="A991" s="11"/>
      <c r="B991" s="23"/>
      <c r="C991" s="23"/>
      <c r="D991" s="23"/>
      <c r="E991" s="23"/>
      <c r="F991" s="1"/>
      <c r="G991" s="23"/>
      <c r="H991" s="23"/>
      <c r="I991" s="23"/>
      <c r="J991" s="2" t="s">
        <v>200</v>
      </c>
      <c r="K991" s="2" t="s">
        <v>200</v>
      </c>
      <c r="L991" s="40"/>
      <c r="M991" s="40"/>
      <c r="N991" s="40"/>
      <c r="O991" s="2"/>
      <c r="P991" s="42"/>
      <c r="Q991" s="42"/>
      <c r="R991" s="42"/>
      <c r="S991" s="42"/>
      <c r="T991" s="42"/>
      <c r="U991" s="42"/>
      <c r="V991" s="42"/>
      <c r="W991" s="42"/>
      <c r="X991" s="42"/>
      <c r="Y991" s="42"/>
      <c r="Z991" s="42"/>
      <c r="AA991" s="42"/>
      <c r="AB991" s="42"/>
      <c r="AC991" s="42"/>
      <c r="AD991" s="37" t="s">
        <v>200</v>
      </c>
      <c r="AE991" s="37" t="s">
        <v>200</v>
      </c>
      <c r="AF991" s="37" t="s">
        <v>200</v>
      </c>
      <c r="AG991" s="37"/>
      <c r="AI991" s="24"/>
    </row>
    <row r="992">
      <c r="A992" s="11"/>
      <c r="B992" s="23"/>
      <c r="C992" s="23"/>
      <c r="D992" s="23"/>
      <c r="E992" s="23"/>
      <c r="F992" s="1"/>
      <c r="G992" s="23"/>
      <c r="H992" s="23"/>
      <c r="I992" s="23"/>
      <c r="J992" s="2" t="s">
        <v>200</v>
      </c>
      <c r="K992" s="2" t="s">
        <v>200</v>
      </c>
      <c r="L992" s="40"/>
      <c r="M992" s="40"/>
      <c r="N992" s="40"/>
      <c r="O992" s="2"/>
      <c r="P992" s="42"/>
      <c r="Q992" s="42"/>
      <c r="R992" s="42"/>
      <c r="S992" s="42"/>
      <c r="T992" s="42"/>
      <c r="U992" s="42"/>
      <c r="V992" s="42"/>
      <c r="W992" s="42"/>
      <c r="X992" s="42"/>
      <c r="Y992" s="42"/>
      <c r="Z992" s="42"/>
      <c r="AA992" s="42"/>
      <c r="AB992" s="42"/>
      <c r="AC992" s="42"/>
      <c r="AD992" s="37" t="s">
        <v>200</v>
      </c>
      <c r="AE992" s="37" t="s">
        <v>200</v>
      </c>
      <c r="AF992" s="37" t="s">
        <v>200</v>
      </c>
      <c r="AG992" s="37"/>
      <c r="AI992" s="24"/>
    </row>
    <row r="993">
      <c r="A993" s="11"/>
      <c r="B993" s="23"/>
      <c r="C993" s="23"/>
      <c r="D993" s="23"/>
      <c r="E993" s="23"/>
      <c r="F993" s="1"/>
      <c r="G993" s="23"/>
      <c r="H993" s="23"/>
      <c r="I993" s="23"/>
      <c r="J993" s="2" t="s">
        <v>200</v>
      </c>
      <c r="K993" s="2" t="s">
        <v>200</v>
      </c>
      <c r="L993" s="40"/>
      <c r="M993" s="40"/>
      <c r="N993" s="40"/>
      <c r="O993" s="2"/>
      <c r="P993" s="42"/>
      <c r="Q993" s="42"/>
      <c r="R993" s="42"/>
      <c r="S993" s="42"/>
      <c r="T993" s="42"/>
      <c r="U993" s="42"/>
      <c r="V993" s="42"/>
      <c r="W993" s="42"/>
      <c r="X993" s="42"/>
      <c r="Y993" s="42"/>
      <c r="Z993" s="42"/>
      <c r="AA993" s="42"/>
      <c r="AB993" s="42"/>
      <c r="AC993" s="42"/>
      <c r="AD993" s="37" t="s">
        <v>200</v>
      </c>
      <c r="AE993" s="37" t="s">
        <v>200</v>
      </c>
      <c r="AF993" s="37" t="s">
        <v>200</v>
      </c>
      <c r="AG993" s="37"/>
      <c r="AI993" s="24"/>
    </row>
    <row r="994">
      <c r="A994" s="11"/>
      <c r="B994" s="23"/>
      <c r="C994" s="23"/>
      <c r="D994" s="23"/>
      <c r="E994" s="23"/>
      <c r="F994" s="1"/>
      <c r="G994" s="23"/>
      <c r="H994" s="23"/>
      <c r="I994" s="23"/>
      <c r="J994" s="2" t="s">
        <v>200</v>
      </c>
      <c r="K994" s="2" t="s">
        <v>200</v>
      </c>
      <c r="L994" s="40"/>
      <c r="M994" s="40"/>
      <c r="N994" s="40"/>
      <c r="O994" s="2"/>
      <c r="P994" s="42"/>
      <c r="Q994" s="42"/>
      <c r="R994" s="42"/>
      <c r="S994" s="42"/>
      <c r="T994" s="42"/>
      <c r="U994" s="42"/>
      <c r="V994" s="42"/>
      <c r="W994" s="42"/>
      <c r="X994" s="42"/>
      <c r="Y994" s="42"/>
      <c r="Z994" s="42"/>
      <c r="AA994" s="42"/>
      <c r="AB994" s="42"/>
      <c r="AC994" s="42"/>
      <c r="AD994" s="37" t="s">
        <v>200</v>
      </c>
      <c r="AE994" s="37" t="s">
        <v>200</v>
      </c>
      <c r="AF994" s="37" t="s">
        <v>200</v>
      </c>
      <c r="AG994" s="37"/>
      <c r="AI994" s="24"/>
    </row>
    <row r="995">
      <c r="A995" s="11"/>
      <c r="B995" s="23"/>
      <c r="C995" s="23"/>
      <c r="D995" s="23"/>
      <c r="E995" s="23"/>
      <c r="F995" s="1"/>
      <c r="G995" s="23"/>
      <c r="H995" s="23"/>
      <c r="I995" s="23"/>
      <c r="J995" s="2" t="s">
        <v>200</v>
      </c>
      <c r="K995" s="2" t="s">
        <v>200</v>
      </c>
      <c r="L995" s="40"/>
      <c r="M995" s="40"/>
      <c r="N995" s="40"/>
      <c r="O995" s="2"/>
      <c r="P995" s="42"/>
      <c r="Q995" s="42"/>
      <c r="R995" s="42"/>
      <c r="S995" s="42"/>
      <c r="T995" s="42"/>
      <c r="U995" s="42"/>
      <c r="V995" s="42"/>
      <c r="W995" s="42"/>
      <c r="X995" s="42"/>
      <c r="Y995" s="42"/>
      <c r="Z995" s="42"/>
      <c r="AA995" s="42"/>
      <c r="AB995" s="42"/>
      <c r="AC995" s="42"/>
      <c r="AD995" s="37" t="s">
        <v>200</v>
      </c>
      <c r="AE995" s="37" t="s">
        <v>200</v>
      </c>
      <c r="AF995" s="37" t="s">
        <v>200</v>
      </c>
      <c r="AG995" s="37"/>
      <c r="AI995" s="24"/>
    </row>
    <row r="996">
      <c r="A996" s="11"/>
      <c r="B996" s="23"/>
      <c r="C996" s="23"/>
      <c r="D996" s="23"/>
      <c r="E996" s="23"/>
      <c r="F996" s="1"/>
      <c r="G996" s="23"/>
      <c r="H996" s="23"/>
      <c r="I996" s="23"/>
      <c r="J996" s="2" t="s">
        <v>200</v>
      </c>
      <c r="K996" s="2" t="s">
        <v>200</v>
      </c>
      <c r="L996" s="40"/>
      <c r="M996" s="40"/>
      <c r="N996" s="40"/>
      <c r="O996" s="2"/>
      <c r="P996" s="42"/>
      <c r="Q996" s="42"/>
      <c r="R996" s="42"/>
      <c r="S996" s="42"/>
      <c r="T996" s="42"/>
      <c r="U996" s="42"/>
      <c r="V996" s="42"/>
      <c r="W996" s="42"/>
      <c r="X996" s="42"/>
      <c r="Y996" s="42"/>
      <c r="Z996" s="42"/>
      <c r="AA996" s="42"/>
      <c r="AB996" s="42"/>
      <c r="AC996" s="42"/>
      <c r="AD996" s="37" t="s">
        <v>200</v>
      </c>
      <c r="AE996" s="37" t="s">
        <v>200</v>
      </c>
      <c r="AF996" s="37" t="s">
        <v>200</v>
      </c>
      <c r="AG996" s="37"/>
      <c r="AI996" s="24"/>
    </row>
    <row r="997">
      <c r="A997" s="11"/>
      <c r="B997" s="23"/>
      <c r="C997" s="23"/>
      <c r="D997" s="23"/>
      <c r="E997" s="23"/>
      <c r="F997" s="1"/>
      <c r="G997" s="23"/>
      <c r="H997" s="23"/>
      <c r="I997" s="23"/>
      <c r="J997" s="2" t="s">
        <v>200</v>
      </c>
      <c r="K997" s="2" t="s">
        <v>200</v>
      </c>
      <c r="L997" s="40"/>
      <c r="M997" s="40"/>
      <c r="N997" s="40"/>
      <c r="O997" s="2"/>
      <c r="P997" s="42"/>
      <c r="Q997" s="42"/>
      <c r="R997" s="42"/>
      <c r="S997" s="42"/>
      <c r="T997" s="42"/>
      <c r="U997" s="42"/>
      <c r="V997" s="42"/>
      <c r="W997" s="42"/>
      <c r="X997" s="42"/>
      <c r="Y997" s="42"/>
      <c r="Z997" s="42"/>
      <c r="AA997" s="42"/>
      <c r="AB997" s="42"/>
      <c r="AC997" s="42"/>
      <c r="AD997" s="37" t="s">
        <v>200</v>
      </c>
      <c r="AE997" s="37" t="s">
        <v>200</v>
      </c>
      <c r="AF997" s="37" t="s">
        <v>200</v>
      </c>
      <c r="AG997" s="37"/>
      <c r="AI997" s="24"/>
    </row>
    <row r="998">
      <c r="A998" s="11"/>
      <c r="B998" s="23"/>
      <c r="C998" s="23"/>
      <c r="D998" s="23"/>
      <c r="E998" s="23"/>
      <c r="F998" s="1"/>
      <c r="G998" s="23"/>
      <c r="H998" s="23"/>
      <c r="I998" s="23"/>
      <c r="J998" s="2" t="s">
        <v>200</v>
      </c>
      <c r="K998" s="2" t="s">
        <v>200</v>
      </c>
      <c r="L998" s="40"/>
      <c r="M998" s="40"/>
      <c r="N998" s="40"/>
      <c r="O998" s="2"/>
      <c r="P998" s="42"/>
      <c r="Q998" s="42"/>
      <c r="R998" s="42"/>
      <c r="S998" s="42"/>
      <c r="T998" s="42"/>
      <c r="U998" s="42"/>
      <c r="V998" s="42"/>
      <c r="W998" s="42"/>
      <c r="X998" s="42"/>
      <c r="Y998" s="42"/>
      <c r="Z998" s="42"/>
      <c r="AA998" s="42"/>
      <c r="AB998" s="42"/>
      <c r="AC998" s="42"/>
      <c r="AD998" s="37" t="s">
        <v>200</v>
      </c>
      <c r="AE998" s="37" t="s">
        <v>200</v>
      </c>
      <c r="AF998" s="37" t="s">
        <v>200</v>
      </c>
      <c r="AG998" s="37"/>
      <c r="AI998" s="24"/>
    </row>
    <row r="999">
      <c r="A999" s="11"/>
      <c r="B999" s="23"/>
      <c r="C999" s="23"/>
      <c r="D999" s="23"/>
      <c r="E999" s="23"/>
      <c r="F999" s="1"/>
      <c r="G999" s="23"/>
      <c r="H999" s="23"/>
      <c r="I999" s="23"/>
      <c r="J999" s="2" t="s">
        <v>200</v>
      </c>
      <c r="K999" s="2" t="s">
        <v>200</v>
      </c>
      <c r="L999" s="40"/>
      <c r="M999" s="40"/>
      <c r="N999" s="40"/>
      <c r="O999" s="2"/>
      <c r="P999" s="42"/>
      <c r="Q999" s="42"/>
      <c r="R999" s="42"/>
      <c r="S999" s="42"/>
      <c r="T999" s="42"/>
      <c r="U999" s="42"/>
      <c r="V999" s="42"/>
      <c r="W999" s="42"/>
      <c r="X999" s="42"/>
      <c r="Y999" s="42"/>
      <c r="Z999" s="42"/>
      <c r="AA999" s="42"/>
      <c r="AB999" s="42"/>
      <c r="AC999" s="42"/>
      <c r="AD999" s="37" t="s">
        <v>200</v>
      </c>
      <c r="AE999" s="37" t="s">
        <v>200</v>
      </c>
      <c r="AF999" s="37" t="s">
        <v>200</v>
      </c>
      <c r="AG999" s="37"/>
      <c r="AI999" s="24"/>
    </row>
    <row r="1000">
      <c r="A1000" s="11"/>
      <c r="B1000" s="23"/>
      <c r="C1000" s="23"/>
      <c r="D1000" s="23"/>
      <c r="E1000" s="23"/>
      <c r="F1000" s="1"/>
      <c r="G1000" s="23"/>
      <c r="H1000" s="23"/>
      <c r="I1000" s="23"/>
      <c r="J1000" s="2" t="s">
        <v>200</v>
      </c>
      <c r="K1000" s="2" t="s">
        <v>200</v>
      </c>
      <c r="L1000" s="40"/>
      <c r="M1000" s="40"/>
      <c r="N1000" s="40"/>
      <c r="O1000" s="2"/>
      <c r="P1000" s="42"/>
      <c r="Q1000" s="42"/>
      <c r="R1000" s="42"/>
      <c r="S1000" s="42"/>
      <c r="T1000" s="42"/>
      <c r="U1000" s="42"/>
      <c r="V1000" s="42"/>
      <c r="W1000" s="42"/>
      <c r="X1000" s="42"/>
      <c r="Y1000" s="42"/>
      <c r="Z1000" s="42"/>
      <c r="AA1000" s="42"/>
      <c r="AB1000" s="42"/>
      <c r="AC1000" s="42"/>
      <c r="AD1000" s="37" t="s">
        <v>200</v>
      </c>
      <c r="AE1000" s="37" t="s">
        <v>200</v>
      </c>
      <c r="AF1000" s="37" t="s">
        <v>200</v>
      </c>
      <c r="AG1000" s="37"/>
      <c r="AI1000" s="24"/>
    </row>
    <row r="1001">
      <c r="A1001" s="11"/>
      <c r="B1001" s="23"/>
      <c r="C1001" s="23"/>
      <c r="D1001" s="23"/>
      <c r="E1001" s="23"/>
      <c r="F1001" s="1"/>
      <c r="G1001" s="23"/>
      <c r="H1001" s="23"/>
      <c r="I1001" s="23"/>
      <c r="J1001" s="2" t="s">
        <v>200</v>
      </c>
      <c r="K1001" s="2" t="s">
        <v>200</v>
      </c>
      <c r="L1001" s="40"/>
      <c r="M1001" s="40"/>
      <c r="N1001" s="40"/>
      <c r="O1001" s="2"/>
      <c r="P1001" s="42"/>
      <c r="Q1001" s="42"/>
      <c r="R1001" s="42"/>
      <c r="S1001" s="42"/>
      <c r="T1001" s="42"/>
      <c r="U1001" s="42"/>
      <c r="V1001" s="42"/>
      <c r="W1001" s="42"/>
      <c r="X1001" s="42"/>
      <c r="Y1001" s="42"/>
      <c r="Z1001" s="42"/>
      <c r="AA1001" s="42"/>
      <c r="AB1001" s="42"/>
      <c r="AC1001" s="42"/>
      <c r="AD1001" s="37" t="s">
        <v>200</v>
      </c>
      <c r="AE1001" s="37" t="s">
        <v>200</v>
      </c>
      <c r="AF1001" s="37" t="s">
        <v>200</v>
      </c>
      <c r="AG1001" s="37"/>
      <c r="AI1001" s="24"/>
    </row>
    <row r="1002">
      <c r="A1002" s="11"/>
      <c r="B1002" s="23"/>
      <c r="C1002" s="23"/>
      <c r="D1002" s="23"/>
      <c r="E1002" s="23"/>
      <c r="F1002" s="1"/>
      <c r="G1002" s="23"/>
      <c r="H1002" s="23"/>
      <c r="I1002" s="23"/>
      <c r="J1002" s="2" t="s">
        <v>200</v>
      </c>
      <c r="K1002" s="2" t="s">
        <v>200</v>
      </c>
      <c r="L1002" s="40"/>
      <c r="M1002" s="40"/>
      <c r="N1002" s="40"/>
      <c r="O1002" s="2"/>
      <c r="P1002" s="42"/>
      <c r="Q1002" s="42"/>
      <c r="R1002" s="42"/>
      <c r="S1002" s="42"/>
      <c r="T1002" s="42"/>
      <c r="U1002" s="42"/>
      <c r="V1002" s="42"/>
      <c r="W1002" s="42"/>
      <c r="X1002" s="42"/>
      <c r="Y1002" s="42"/>
      <c r="Z1002" s="42"/>
      <c r="AA1002" s="42"/>
      <c r="AB1002" s="42"/>
      <c r="AC1002" s="42"/>
      <c r="AD1002" s="37" t="s">
        <v>200</v>
      </c>
      <c r="AE1002" s="37" t="s">
        <v>200</v>
      </c>
      <c r="AF1002" s="37" t="s">
        <v>200</v>
      </c>
      <c r="AG1002" s="37"/>
      <c r="AI1002" s="24"/>
    </row>
    <row r="1003">
      <c r="A1003" s="11"/>
      <c r="B1003" s="23"/>
      <c r="C1003" s="23"/>
      <c r="D1003" s="23"/>
      <c r="E1003" s="23"/>
      <c r="F1003" s="1"/>
      <c r="G1003" s="23"/>
      <c r="H1003" s="23"/>
      <c r="I1003" s="23"/>
      <c r="J1003" s="2" t="s">
        <v>200</v>
      </c>
      <c r="K1003" s="2" t="s">
        <v>200</v>
      </c>
      <c r="L1003" s="40"/>
      <c r="M1003" s="40"/>
      <c r="N1003" s="40"/>
      <c r="O1003" s="2"/>
      <c r="P1003" s="42"/>
      <c r="Q1003" s="42"/>
      <c r="R1003" s="42"/>
      <c r="S1003" s="42"/>
      <c r="T1003" s="42"/>
      <c r="U1003" s="42"/>
      <c r="V1003" s="42"/>
      <c r="W1003" s="42"/>
      <c r="X1003" s="42"/>
      <c r="Y1003" s="42"/>
      <c r="Z1003" s="42"/>
      <c r="AA1003" s="42"/>
      <c r="AB1003" s="42"/>
      <c r="AC1003" s="42"/>
      <c r="AD1003" s="37" t="s">
        <v>200</v>
      </c>
      <c r="AE1003" s="37" t="s">
        <v>200</v>
      </c>
      <c r="AF1003" s="37" t="s">
        <v>200</v>
      </c>
      <c r="AG1003" s="37"/>
      <c r="AI1003" s="24"/>
    </row>
    <row r="1004">
      <c r="A1004" s="11"/>
      <c r="B1004" s="23"/>
      <c r="C1004" s="23"/>
      <c r="D1004" s="23"/>
      <c r="E1004" s="23"/>
      <c r="F1004" s="1"/>
      <c r="G1004" s="23"/>
      <c r="H1004" s="23"/>
      <c r="I1004" s="23"/>
      <c r="J1004" s="2" t="s">
        <v>200</v>
      </c>
      <c r="K1004" s="2" t="s">
        <v>200</v>
      </c>
      <c r="L1004" s="40"/>
      <c r="M1004" s="40"/>
      <c r="N1004" s="40"/>
      <c r="O1004" s="2"/>
      <c r="P1004" s="42"/>
      <c r="Q1004" s="42"/>
      <c r="R1004" s="42"/>
      <c r="S1004" s="42"/>
      <c r="T1004" s="42"/>
      <c r="U1004" s="42"/>
      <c r="V1004" s="42"/>
      <c r="W1004" s="42"/>
      <c r="X1004" s="42"/>
      <c r="Y1004" s="42"/>
      <c r="Z1004" s="42"/>
      <c r="AA1004" s="42"/>
      <c r="AB1004" s="42"/>
      <c r="AC1004" s="42"/>
      <c r="AD1004" s="37" t="s">
        <v>200</v>
      </c>
      <c r="AE1004" s="37" t="s">
        <v>200</v>
      </c>
      <c r="AF1004" s="37" t="s">
        <v>200</v>
      </c>
      <c r="AG1004" s="37"/>
      <c r="AI1004" s="24"/>
    </row>
    <row r="1005">
      <c r="A1005" s="11"/>
      <c r="B1005" s="23"/>
      <c r="C1005" s="23"/>
      <c r="D1005" s="23"/>
      <c r="E1005" s="23"/>
      <c r="F1005" s="1"/>
      <c r="G1005" s="23"/>
      <c r="H1005" s="23"/>
      <c r="I1005" s="23"/>
      <c r="J1005" s="2" t="s">
        <v>200</v>
      </c>
      <c r="K1005" s="2" t="s">
        <v>200</v>
      </c>
      <c r="L1005" s="40"/>
      <c r="M1005" s="40"/>
      <c r="N1005" s="40"/>
      <c r="O1005" s="2"/>
      <c r="P1005" s="42"/>
      <c r="Q1005" s="42"/>
      <c r="R1005" s="42"/>
      <c r="S1005" s="42"/>
      <c r="T1005" s="42"/>
      <c r="U1005" s="42"/>
      <c r="V1005" s="42"/>
      <c r="W1005" s="42"/>
      <c r="X1005" s="42"/>
      <c r="Y1005" s="42"/>
      <c r="Z1005" s="42"/>
      <c r="AA1005" s="42"/>
      <c r="AB1005" s="42"/>
      <c r="AC1005" s="42"/>
      <c r="AD1005" s="37" t="s">
        <v>200</v>
      </c>
      <c r="AE1005" s="37" t="s">
        <v>200</v>
      </c>
      <c r="AF1005" s="37" t="s">
        <v>200</v>
      </c>
      <c r="AG1005" s="37"/>
      <c r="AI1005" s="24"/>
    </row>
    <row r="1006">
      <c r="A1006" s="11"/>
      <c r="B1006" s="23"/>
      <c r="C1006" s="23"/>
      <c r="D1006" s="23"/>
      <c r="E1006" s="23"/>
      <c r="F1006" s="1"/>
      <c r="G1006" s="23"/>
      <c r="H1006" s="23"/>
      <c r="I1006" s="23"/>
      <c r="J1006" s="2" t="s">
        <v>200</v>
      </c>
      <c r="K1006" s="2" t="s">
        <v>200</v>
      </c>
      <c r="L1006" s="40"/>
      <c r="M1006" s="40"/>
      <c r="N1006" s="40"/>
      <c r="O1006" s="2"/>
      <c r="P1006" s="42"/>
      <c r="Q1006" s="42"/>
      <c r="R1006" s="42"/>
      <c r="S1006" s="42"/>
      <c r="T1006" s="42"/>
      <c r="U1006" s="42"/>
      <c r="V1006" s="42"/>
      <c r="W1006" s="42"/>
      <c r="X1006" s="42"/>
      <c r="Y1006" s="42"/>
      <c r="Z1006" s="42"/>
      <c r="AA1006" s="42"/>
      <c r="AB1006" s="42"/>
      <c r="AC1006" s="42"/>
      <c r="AD1006" s="37" t="s">
        <v>200</v>
      </c>
      <c r="AE1006" s="37" t="s">
        <v>200</v>
      </c>
      <c r="AF1006" s="37" t="s">
        <v>200</v>
      </c>
      <c r="AG1006" s="37"/>
      <c r="AI1006" s="24"/>
    </row>
    <row r="1007">
      <c r="A1007" s="11"/>
      <c r="B1007" s="23"/>
      <c r="C1007" s="23"/>
      <c r="D1007" s="23"/>
      <c r="E1007" s="23"/>
      <c r="F1007" s="1"/>
      <c r="G1007" s="23"/>
      <c r="H1007" s="23"/>
      <c r="I1007" s="23"/>
      <c r="J1007" s="2" t="s">
        <v>200</v>
      </c>
      <c r="K1007" s="2" t="s">
        <v>200</v>
      </c>
      <c r="L1007" s="40"/>
      <c r="M1007" s="40"/>
      <c r="N1007" s="40"/>
      <c r="O1007" s="2"/>
      <c r="P1007" s="42"/>
      <c r="Q1007" s="42"/>
      <c r="R1007" s="42"/>
      <c r="S1007" s="42"/>
      <c r="T1007" s="42"/>
      <c r="U1007" s="42"/>
      <c r="V1007" s="42"/>
      <c r="W1007" s="42"/>
      <c r="X1007" s="42"/>
      <c r="Y1007" s="42"/>
      <c r="Z1007" s="42"/>
      <c r="AA1007" s="42"/>
      <c r="AB1007" s="42"/>
      <c r="AC1007" s="42"/>
      <c r="AD1007" s="37" t="s">
        <v>200</v>
      </c>
      <c r="AE1007" s="37" t="s">
        <v>200</v>
      </c>
      <c r="AF1007" s="37" t="s">
        <v>200</v>
      </c>
      <c r="AG1007" s="37"/>
      <c r="AI1007" s="24"/>
    </row>
    <row r="1008">
      <c r="A1008" s="11"/>
      <c r="B1008" s="23"/>
      <c r="C1008" s="23"/>
      <c r="D1008" s="23"/>
      <c r="E1008" s="23"/>
      <c r="F1008" s="1"/>
      <c r="G1008" s="23"/>
      <c r="H1008" s="23"/>
      <c r="I1008" s="23"/>
      <c r="J1008" s="2" t="s">
        <v>200</v>
      </c>
      <c r="K1008" s="2" t="s">
        <v>200</v>
      </c>
      <c r="L1008" s="40"/>
      <c r="M1008" s="40"/>
      <c r="N1008" s="40"/>
      <c r="O1008" s="2"/>
      <c r="P1008" s="42"/>
      <c r="Q1008" s="42"/>
      <c r="R1008" s="42"/>
      <c r="S1008" s="42"/>
      <c r="T1008" s="42"/>
      <c r="U1008" s="42"/>
      <c r="V1008" s="42"/>
      <c r="W1008" s="42"/>
      <c r="X1008" s="42"/>
      <c r="Y1008" s="42"/>
      <c r="Z1008" s="42"/>
      <c r="AA1008" s="42"/>
      <c r="AB1008" s="42"/>
      <c r="AC1008" s="42"/>
      <c r="AD1008" s="37" t="s">
        <v>200</v>
      </c>
      <c r="AE1008" s="37" t="s">
        <v>200</v>
      </c>
      <c r="AF1008" s="37" t="s">
        <v>200</v>
      </c>
      <c r="AG1008" s="37"/>
      <c r="AI1008" s="24"/>
    </row>
    <row r="1009">
      <c r="A1009" s="11"/>
      <c r="B1009" s="23"/>
      <c r="C1009" s="23"/>
      <c r="D1009" s="23"/>
      <c r="E1009" s="23"/>
      <c r="F1009" s="1"/>
      <c r="G1009" s="23"/>
      <c r="H1009" s="23"/>
      <c r="I1009" s="23"/>
      <c r="J1009" s="2" t="s">
        <v>200</v>
      </c>
      <c r="K1009" s="2" t="s">
        <v>200</v>
      </c>
      <c r="L1009" s="40"/>
      <c r="M1009" s="40"/>
      <c r="N1009" s="40"/>
      <c r="O1009" s="2"/>
      <c r="P1009" s="42"/>
      <c r="Q1009" s="42"/>
      <c r="R1009" s="42"/>
      <c r="S1009" s="42"/>
      <c r="T1009" s="42"/>
      <c r="U1009" s="42"/>
      <c r="V1009" s="42"/>
      <c r="W1009" s="42"/>
      <c r="X1009" s="42"/>
      <c r="Y1009" s="42"/>
      <c r="Z1009" s="42"/>
      <c r="AA1009" s="42"/>
      <c r="AB1009" s="42"/>
      <c r="AC1009" s="42"/>
      <c r="AD1009" s="37" t="s">
        <v>200</v>
      </c>
      <c r="AE1009" s="37" t="s">
        <v>200</v>
      </c>
      <c r="AF1009" s="37" t="s">
        <v>200</v>
      </c>
      <c r="AG1009" s="37"/>
      <c r="AI1009" s="24"/>
    </row>
    <row r="1010">
      <c r="A1010" s="11"/>
      <c r="B1010" s="23"/>
      <c r="C1010" s="23"/>
      <c r="D1010" s="23"/>
      <c r="E1010" s="23"/>
      <c r="F1010" s="1"/>
      <c r="G1010" s="23"/>
      <c r="H1010" s="23"/>
      <c r="I1010" s="23"/>
      <c r="J1010" s="2" t="s">
        <v>200</v>
      </c>
      <c r="K1010" s="2" t="s">
        <v>200</v>
      </c>
      <c r="L1010" s="40"/>
      <c r="M1010" s="40"/>
      <c r="N1010" s="40"/>
      <c r="O1010" s="2"/>
      <c r="P1010" s="42"/>
      <c r="Q1010" s="42"/>
      <c r="R1010" s="42"/>
      <c r="S1010" s="42"/>
      <c r="T1010" s="42"/>
      <c r="U1010" s="42"/>
      <c r="V1010" s="42"/>
      <c r="W1010" s="42"/>
      <c r="X1010" s="42"/>
      <c r="Y1010" s="42"/>
      <c r="Z1010" s="42"/>
      <c r="AA1010" s="42"/>
      <c r="AB1010" s="42"/>
      <c r="AC1010" s="42"/>
      <c r="AD1010" s="37" t="s">
        <v>200</v>
      </c>
      <c r="AE1010" s="37" t="s">
        <v>200</v>
      </c>
      <c r="AF1010" s="37" t="s">
        <v>200</v>
      </c>
      <c r="AG1010" s="37"/>
      <c r="AI1010" s="24"/>
    </row>
    <row r="1011">
      <c r="A1011" s="11"/>
      <c r="B1011" s="23"/>
      <c r="C1011" s="23"/>
      <c r="D1011" s="23"/>
      <c r="E1011" s="23"/>
      <c r="F1011" s="1"/>
      <c r="G1011" s="23"/>
      <c r="H1011" s="23"/>
      <c r="I1011" s="23"/>
      <c r="J1011" s="2" t="s">
        <v>200</v>
      </c>
      <c r="K1011" s="2" t="s">
        <v>200</v>
      </c>
      <c r="L1011" s="40"/>
      <c r="M1011" s="40"/>
      <c r="N1011" s="40"/>
      <c r="O1011" s="2"/>
      <c r="P1011" s="42"/>
      <c r="Q1011" s="42"/>
      <c r="R1011" s="42"/>
      <c r="S1011" s="42"/>
      <c r="T1011" s="42"/>
      <c r="U1011" s="42"/>
      <c r="V1011" s="42"/>
      <c r="W1011" s="42"/>
      <c r="X1011" s="42"/>
      <c r="Y1011" s="42"/>
      <c r="Z1011" s="42"/>
      <c r="AA1011" s="42"/>
      <c r="AB1011" s="42"/>
      <c r="AC1011" s="42"/>
      <c r="AD1011" s="37" t="s">
        <v>200</v>
      </c>
      <c r="AE1011" s="37" t="s">
        <v>200</v>
      </c>
      <c r="AF1011" s="37" t="s">
        <v>200</v>
      </c>
      <c r="AG1011" s="37"/>
      <c r="AI1011" s="24"/>
    </row>
    <row r="1012">
      <c r="A1012" s="11"/>
      <c r="B1012" s="23"/>
      <c r="C1012" s="23"/>
      <c r="D1012" s="23"/>
      <c r="E1012" s="23"/>
      <c r="F1012" s="1"/>
      <c r="G1012" s="23"/>
      <c r="H1012" s="23"/>
      <c r="I1012" s="23"/>
      <c r="J1012" s="2" t="s">
        <v>200</v>
      </c>
      <c r="K1012" s="2" t="s">
        <v>200</v>
      </c>
      <c r="L1012" s="40"/>
      <c r="M1012" s="40"/>
      <c r="N1012" s="40"/>
      <c r="O1012" s="2"/>
      <c r="P1012" s="42"/>
      <c r="Q1012" s="42"/>
      <c r="R1012" s="42"/>
      <c r="S1012" s="42"/>
      <c r="T1012" s="42"/>
      <c r="U1012" s="42"/>
      <c r="V1012" s="42"/>
      <c r="W1012" s="42"/>
      <c r="X1012" s="42"/>
      <c r="Y1012" s="42"/>
      <c r="Z1012" s="42"/>
      <c r="AA1012" s="42"/>
      <c r="AB1012" s="42"/>
      <c r="AC1012" s="42"/>
      <c r="AD1012" s="37" t="s">
        <v>200</v>
      </c>
      <c r="AE1012" s="37" t="s">
        <v>200</v>
      </c>
      <c r="AF1012" s="37" t="s">
        <v>200</v>
      </c>
      <c r="AG1012" s="37"/>
      <c r="AI1012" s="24"/>
    </row>
    <row r="1013">
      <c r="A1013" s="11"/>
      <c r="B1013" s="23"/>
      <c r="C1013" s="23"/>
      <c r="D1013" s="23"/>
      <c r="E1013" s="23"/>
      <c r="F1013" s="1"/>
      <c r="G1013" s="23"/>
      <c r="H1013" s="23"/>
      <c r="I1013" s="23"/>
      <c r="J1013" s="2" t="s">
        <v>200</v>
      </c>
      <c r="K1013" s="2" t="s">
        <v>200</v>
      </c>
      <c r="L1013" s="40"/>
      <c r="M1013" s="40"/>
      <c r="N1013" s="40"/>
      <c r="O1013" s="2"/>
      <c r="P1013" s="42"/>
      <c r="Q1013" s="42"/>
      <c r="R1013" s="42"/>
      <c r="S1013" s="42"/>
      <c r="T1013" s="42"/>
      <c r="U1013" s="42"/>
      <c r="V1013" s="42"/>
      <c r="W1013" s="42"/>
      <c r="X1013" s="42"/>
      <c r="Y1013" s="42"/>
      <c r="Z1013" s="42"/>
      <c r="AA1013" s="42"/>
      <c r="AB1013" s="42"/>
      <c r="AC1013" s="42"/>
      <c r="AD1013" s="37" t="s">
        <v>200</v>
      </c>
      <c r="AE1013" s="37" t="s">
        <v>200</v>
      </c>
      <c r="AF1013" s="37" t="s">
        <v>200</v>
      </c>
      <c r="AG1013" s="37"/>
      <c r="AI1013" s="24"/>
    </row>
    <row r="1014">
      <c r="A1014" s="11"/>
      <c r="B1014" s="23"/>
      <c r="C1014" s="23"/>
      <c r="D1014" s="23"/>
      <c r="E1014" s="23"/>
      <c r="F1014" s="1"/>
      <c r="G1014" s="23"/>
      <c r="H1014" s="23"/>
      <c r="I1014" s="23"/>
      <c r="J1014" s="2" t="s">
        <v>200</v>
      </c>
      <c r="K1014" s="2" t="s">
        <v>200</v>
      </c>
      <c r="L1014" s="40"/>
      <c r="M1014" s="40"/>
      <c r="N1014" s="40"/>
      <c r="O1014" s="2"/>
      <c r="P1014" s="42"/>
      <c r="Q1014" s="42"/>
      <c r="R1014" s="42"/>
      <c r="S1014" s="42"/>
      <c r="T1014" s="42"/>
      <c r="U1014" s="42"/>
      <c r="V1014" s="42"/>
      <c r="W1014" s="42"/>
      <c r="X1014" s="42"/>
      <c r="Y1014" s="42"/>
      <c r="Z1014" s="42"/>
      <c r="AA1014" s="42"/>
      <c r="AB1014" s="42"/>
      <c r="AC1014" s="42"/>
      <c r="AD1014" s="37" t="s">
        <v>200</v>
      </c>
      <c r="AE1014" s="37" t="s">
        <v>200</v>
      </c>
      <c r="AF1014" s="37" t="s">
        <v>200</v>
      </c>
      <c r="AG1014" s="37"/>
      <c r="AI1014" s="24"/>
    </row>
    <row r="1015">
      <c r="A1015" s="11"/>
      <c r="B1015" s="23"/>
      <c r="C1015" s="23"/>
      <c r="D1015" s="23"/>
      <c r="E1015" s="23"/>
      <c r="F1015" s="1"/>
      <c r="G1015" s="23"/>
      <c r="H1015" s="23"/>
      <c r="I1015" s="23"/>
      <c r="J1015" s="2" t="s">
        <v>200</v>
      </c>
      <c r="K1015" s="2" t="s">
        <v>200</v>
      </c>
      <c r="L1015" s="40"/>
      <c r="M1015" s="40"/>
      <c r="N1015" s="40"/>
      <c r="O1015" s="2"/>
      <c r="P1015" s="42"/>
      <c r="Q1015" s="42"/>
      <c r="R1015" s="42"/>
      <c r="S1015" s="42"/>
      <c r="T1015" s="42"/>
      <c r="U1015" s="42"/>
      <c r="V1015" s="42"/>
      <c r="W1015" s="42"/>
      <c r="X1015" s="42"/>
      <c r="Y1015" s="42"/>
      <c r="Z1015" s="42"/>
      <c r="AA1015" s="42"/>
      <c r="AB1015" s="42"/>
      <c r="AC1015" s="42"/>
      <c r="AD1015" s="37" t="s">
        <v>200</v>
      </c>
      <c r="AE1015" s="37" t="s">
        <v>200</v>
      </c>
      <c r="AF1015" s="37" t="s">
        <v>200</v>
      </c>
      <c r="AG1015" s="37"/>
      <c r="AI1015" s="24"/>
    </row>
    <row r="1016">
      <c r="A1016" s="11"/>
      <c r="B1016" s="23"/>
      <c r="C1016" s="23"/>
      <c r="D1016" s="23"/>
      <c r="E1016" s="23"/>
      <c r="F1016" s="1"/>
      <c r="G1016" s="23"/>
      <c r="H1016" s="23"/>
      <c r="I1016" s="23"/>
      <c r="J1016" s="2" t="s">
        <v>200</v>
      </c>
      <c r="K1016" s="2" t="s">
        <v>200</v>
      </c>
      <c r="L1016" s="40"/>
      <c r="M1016" s="40"/>
      <c r="N1016" s="40"/>
      <c r="O1016" s="2"/>
      <c r="P1016" s="42"/>
      <c r="Q1016" s="42"/>
      <c r="R1016" s="42"/>
      <c r="S1016" s="42"/>
      <c r="T1016" s="42"/>
      <c r="U1016" s="42"/>
      <c r="V1016" s="42"/>
      <c r="W1016" s="42"/>
      <c r="X1016" s="42"/>
      <c r="Y1016" s="42"/>
      <c r="Z1016" s="42"/>
      <c r="AA1016" s="42"/>
      <c r="AB1016" s="42"/>
      <c r="AC1016" s="42"/>
      <c r="AD1016" s="37" t="s">
        <v>200</v>
      </c>
      <c r="AE1016" s="37" t="s">
        <v>200</v>
      </c>
      <c r="AF1016" s="37" t="s">
        <v>200</v>
      </c>
      <c r="AG1016" s="37"/>
      <c r="AI1016" s="24"/>
    </row>
    <row r="1017">
      <c r="A1017" s="11"/>
      <c r="B1017" s="23"/>
      <c r="C1017" s="23"/>
      <c r="D1017" s="23"/>
      <c r="E1017" s="23"/>
      <c r="F1017" s="1"/>
      <c r="G1017" s="23"/>
      <c r="H1017" s="23"/>
      <c r="I1017" s="23"/>
      <c r="J1017" s="2" t="s">
        <v>200</v>
      </c>
      <c r="K1017" s="2" t="s">
        <v>200</v>
      </c>
      <c r="L1017" s="40"/>
      <c r="M1017" s="40"/>
      <c r="N1017" s="40"/>
      <c r="O1017" s="2"/>
      <c r="P1017" s="42"/>
      <c r="Q1017" s="42"/>
      <c r="R1017" s="42"/>
      <c r="S1017" s="42"/>
      <c r="T1017" s="42"/>
      <c r="U1017" s="42"/>
      <c r="V1017" s="42"/>
      <c r="W1017" s="42"/>
      <c r="X1017" s="42"/>
      <c r="Y1017" s="42"/>
      <c r="Z1017" s="42"/>
      <c r="AA1017" s="42"/>
      <c r="AB1017" s="42"/>
      <c r="AC1017" s="42"/>
      <c r="AD1017" s="37" t="s">
        <v>200</v>
      </c>
      <c r="AE1017" s="37" t="s">
        <v>200</v>
      </c>
      <c r="AF1017" s="37" t="s">
        <v>200</v>
      </c>
      <c r="AG1017" s="37"/>
      <c r="AI1017" s="24"/>
    </row>
    <row r="1018">
      <c r="A1018" s="11"/>
      <c r="B1018" s="23"/>
      <c r="C1018" s="23"/>
      <c r="D1018" s="23"/>
      <c r="E1018" s="23"/>
      <c r="F1018" s="1"/>
      <c r="G1018" s="23"/>
      <c r="H1018" s="23"/>
      <c r="I1018" s="23"/>
      <c r="J1018" s="2" t="s">
        <v>200</v>
      </c>
      <c r="K1018" s="2" t="s">
        <v>200</v>
      </c>
      <c r="L1018" s="40"/>
      <c r="M1018" s="40"/>
      <c r="N1018" s="40"/>
      <c r="O1018" s="2"/>
      <c r="P1018" s="42"/>
      <c r="Q1018" s="42"/>
      <c r="R1018" s="42"/>
      <c r="S1018" s="42"/>
      <c r="T1018" s="42"/>
      <c r="U1018" s="42"/>
      <c r="V1018" s="42"/>
      <c r="W1018" s="42"/>
      <c r="X1018" s="42"/>
      <c r="Y1018" s="42"/>
      <c r="Z1018" s="42"/>
      <c r="AA1018" s="42"/>
      <c r="AB1018" s="42"/>
      <c r="AC1018" s="42"/>
      <c r="AD1018" s="37" t="s">
        <v>200</v>
      </c>
      <c r="AE1018" s="37" t="s">
        <v>200</v>
      </c>
      <c r="AF1018" s="37" t="s">
        <v>200</v>
      </c>
      <c r="AG1018" s="37"/>
      <c r="AI1018" s="24"/>
    </row>
    <row r="1019">
      <c r="A1019" s="11"/>
      <c r="B1019" s="23"/>
      <c r="C1019" s="23"/>
      <c r="D1019" s="23"/>
      <c r="E1019" s="23"/>
      <c r="F1019" s="1"/>
      <c r="G1019" s="23"/>
      <c r="H1019" s="23"/>
      <c r="I1019" s="23"/>
      <c r="J1019" s="2" t="s">
        <v>200</v>
      </c>
      <c r="K1019" s="2" t="s">
        <v>200</v>
      </c>
      <c r="L1019" s="40"/>
      <c r="M1019" s="40"/>
      <c r="N1019" s="40"/>
      <c r="O1019" s="2"/>
      <c r="P1019" s="42"/>
      <c r="Q1019" s="42"/>
      <c r="R1019" s="42"/>
      <c r="S1019" s="42"/>
      <c r="T1019" s="42"/>
      <c r="U1019" s="42"/>
      <c r="V1019" s="42"/>
      <c r="W1019" s="42"/>
      <c r="X1019" s="42"/>
      <c r="Y1019" s="42"/>
      <c r="Z1019" s="42"/>
      <c r="AA1019" s="42"/>
      <c r="AB1019" s="42"/>
      <c r="AC1019" s="42"/>
      <c r="AD1019" s="37" t="s">
        <v>200</v>
      </c>
      <c r="AE1019" s="37" t="s">
        <v>200</v>
      </c>
      <c r="AF1019" s="37" t="s">
        <v>200</v>
      </c>
      <c r="AG1019" s="37"/>
      <c r="AI1019" s="24"/>
    </row>
    <row r="1020">
      <c r="A1020" s="11"/>
      <c r="B1020" s="23"/>
      <c r="C1020" s="23"/>
      <c r="D1020" s="23"/>
      <c r="E1020" s="23"/>
      <c r="F1020" s="1"/>
      <c r="G1020" s="23"/>
      <c r="H1020" s="23"/>
      <c r="I1020" s="23"/>
      <c r="J1020" s="2" t="s">
        <v>200</v>
      </c>
      <c r="K1020" s="2" t="s">
        <v>200</v>
      </c>
      <c r="L1020" s="40"/>
      <c r="M1020" s="40"/>
      <c r="N1020" s="40"/>
      <c r="O1020" s="2"/>
      <c r="P1020" s="42"/>
      <c r="Q1020" s="42"/>
      <c r="R1020" s="42"/>
      <c r="S1020" s="42"/>
      <c r="T1020" s="42"/>
      <c r="U1020" s="42"/>
      <c r="V1020" s="42"/>
      <c r="W1020" s="42"/>
      <c r="X1020" s="42"/>
      <c r="Y1020" s="42"/>
      <c r="Z1020" s="42"/>
      <c r="AA1020" s="42"/>
      <c r="AB1020" s="42"/>
      <c r="AC1020" s="42"/>
      <c r="AD1020" s="37" t="s">
        <v>200</v>
      </c>
      <c r="AE1020" s="37" t="s">
        <v>200</v>
      </c>
      <c r="AF1020" s="37" t="s">
        <v>200</v>
      </c>
      <c r="AG1020" s="37"/>
      <c r="AI1020" s="24"/>
    </row>
    <row r="1021">
      <c r="A1021" s="11"/>
      <c r="B1021" s="23"/>
      <c r="C1021" s="23"/>
      <c r="D1021" s="23"/>
      <c r="E1021" s="23"/>
      <c r="F1021" s="1"/>
      <c r="G1021" s="23"/>
      <c r="H1021" s="23"/>
      <c r="I1021" s="23"/>
      <c r="J1021" s="2" t="s">
        <v>200</v>
      </c>
      <c r="K1021" s="2" t="s">
        <v>200</v>
      </c>
      <c r="L1021" s="40"/>
      <c r="M1021" s="40"/>
      <c r="N1021" s="40"/>
      <c r="O1021" s="2"/>
      <c r="P1021" s="42"/>
      <c r="Q1021" s="42"/>
      <c r="R1021" s="42"/>
      <c r="S1021" s="42"/>
      <c r="T1021" s="42"/>
      <c r="U1021" s="42"/>
      <c r="V1021" s="42"/>
      <c r="W1021" s="42"/>
      <c r="X1021" s="42"/>
      <c r="Y1021" s="42"/>
      <c r="Z1021" s="42"/>
      <c r="AA1021" s="42"/>
      <c r="AB1021" s="42"/>
      <c r="AC1021" s="42"/>
      <c r="AD1021" s="37" t="s">
        <v>200</v>
      </c>
      <c r="AE1021" s="37" t="s">
        <v>200</v>
      </c>
      <c r="AF1021" s="37" t="s">
        <v>200</v>
      </c>
      <c r="AG1021" s="37"/>
      <c r="AI1021" s="24"/>
    </row>
    <row r="1022">
      <c r="A1022" s="11"/>
      <c r="B1022" s="23"/>
      <c r="C1022" s="23"/>
      <c r="D1022" s="23"/>
      <c r="E1022" s="23"/>
      <c r="F1022" s="1"/>
      <c r="G1022" s="23"/>
      <c r="H1022" s="23"/>
      <c r="I1022" s="23"/>
      <c r="J1022" s="2" t="s">
        <v>200</v>
      </c>
      <c r="K1022" s="2" t="s">
        <v>200</v>
      </c>
      <c r="L1022" s="40"/>
      <c r="M1022" s="40"/>
      <c r="N1022" s="40"/>
      <c r="O1022" s="2"/>
      <c r="P1022" s="42"/>
      <c r="Q1022" s="42"/>
      <c r="R1022" s="42"/>
      <c r="S1022" s="42"/>
      <c r="T1022" s="42"/>
      <c r="U1022" s="42"/>
      <c r="V1022" s="42"/>
      <c r="W1022" s="42"/>
      <c r="X1022" s="42"/>
      <c r="Y1022" s="42"/>
      <c r="Z1022" s="42"/>
      <c r="AA1022" s="42"/>
      <c r="AB1022" s="42"/>
      <c r="AC1022" s="42"/>
      <c r="AD1022" s="37" t="s">
        <v>200</v>
      </c>
      <c r="AE1022" s="37" t="s">
        <v>200</v>
      </c>
      <c r="AF1022" s="37" t="s">
        <v>200</v>
      </c>
      <c r="AG1022" s="37"/>
      <c r="AI1022" s="24"/>
    </row>
    <row r="1023">
      <c r="A1023" s="11"/>
      <c r="B1023" s="23"/>
      <c r="C1023" s="23"/>
      <c r="D1023" s="23"/>
      <c r="E1023" s="23"/>
      <c r="F1023" s="1"/>
      <c r="G1023" s="23"/>
      <c r="H1023" s="23"/>
      <c r="I1023" s="23"/>
      <c r="J1023" s="2" t="s">
        <v>200</v>
      </c>
      <c r="K1023" s="2" t="s">
        <v>200</v>
      </c>
      <c r="L1023" s="40"/>
      <c r="M1023" s="40"/>
      <c r="N1023" s="40"/>
      <c r="O1023" s="2"/>
      <c r="P1023" s="42"/>
      <c r="Q1023" s="42"/>
      <c r="R1023" s="42"/>
      <c r="S1023" s="42"/>
      <c r="T1023" s="42"/>
      <c r="U1023" s="42"/>
      <c r="V1023" s="42"/>
      <c r="W1023" s="42"/>
      <c r="X1023" s="42"/>
      <c r="Y1023" s="42"/>
      <c r="Z1023" s="42"/>
      <c r="AA1023" s="42"/>
      <c r="AB1023" s="42"/>
      <c r="AC1023" s="42"/>
      <c r="AD1023" s="37" t="s">
        <v>200</v>
      </c>
      <c r="AE1023" s="37" t="s">
        <v>200</v>
      </c>
      <c r="AF1023" s="37" t="s">
        <v>200</v>
      </c>
      <c r="AG1023" s="37"/>
      <c r="AI1023" s="24"/>
    </row>
    <row r="1024">
      <c r="A1024" s="11"/>
      <c r="B1024" s="23"/>
      <c r="C1024" s="23"/>
      <c r="D1024" s="23"/>
      <c r="E1024" s="23"/>
      <c r="F1024" s="1"/>
      <c r="G1024" s="23"/>
      <c r="H1024" s="23"/>
      <c r="I1024" s="23"/>
      <c r="J1024" s="2" t="s">
        <v>200</v>
      </c>
      <c r="K1024" s="2" t="s">
        <v>200</v>
      </c>
      <c r="L1024" s="40"/>
      <c r="M1024" s="40"/>
      <c r="N1024" s="40"/>
      <c r="O1024" s="2"/>
      <c r="P1024" s="42"/>
      <c r="Q1024" s="42"/>
      <c r="R1024" s="42"/>
      <c r="S1024" s="42"/>
      <c r="T1024" s="42"/>
      <c r="U1024" s="42"/>
      <c r="V1024" s="42"/>
      <c r="W1024" s="42"/>
      <c r="X1024" s="42"/>
      <c r="Y1024" s="42"/>
      <c r="Z1024" s="42"/>
      <c r="AA1024" s="42"/>
      <c r="AB1024" s="42"/>
      <c r="AC1024" s="42"/>
      <c r="AD1024" s="37" t="s">
        <v>200</v>
      </c>
      <c r="AE1024" s="37" t="s">
        <v>200</v>
      </c>
      <c r="AF1024" s="37" t="s">
        <v>200</v>
      </c>
      <c r="AG1024" s="37"/>
      <c r="AI1024" s="24"/>
    </row>
    <row r="1025">
      <c r="A1025" s="11"/>
      <c r="B1025" s="23"/>
      <c r="C1025" s="23"/>
      <c r="D1025" s="23"/>
      <c r="E1025" s="23"/>
      <c r="F1025" s="1"/>
      <c r="G1025" s="23"/>
      <c r="H1025" s="23"/>
      <c r="I1025" s="23"/>
      <c r="J1025" s="2" t="s">
        <v>200</v>
      </c>
      <c r="K1025" s="2" t="s">
        <v>200</v>
      </c>
      <c r="L1025" s="40"/>
      <c r="M1025" s="40"/>
      <c r="N1025" s="40"/>
      <c r="O1025" s="2"/>
      <c r="P1025" s="42"/>
      <c r="Q1025" s="42"/>
      <c r="R1025" s="42"/>
      <c r="S1025" s="42"/>
      <c r="T1025" s="42"/>
      <c r="U1025" s="42"/>
      <c r="V1025" s="42"/>
      <c r="W1025" s="42"/>
      <c r="X1025" s="42"/>
      <c r="Y1025" s="42"/>
      <c r="Z1025" s="42"/>
      <c r="AA1025" s="42"/>
      <c r="AB1025" s="42"/>
      <c r="AC1025" s="42"/>
      <c r="AD1025" s="37" t="s">
        <v>200</v>
      </c>
      <c r="AE1025" s="37" t="s">
        <v>200</v>
      </c>
      <c r="AF1025" s="37" t="s">
        <v>200</v>
      </c>
      <c r="AG1025" s="37"/>
      <c r="AI1025" s="24"/>
    </row>
    <row r="1026">
      <c r="A1026" s="11"/>
      <c r="B1026" s="23"/>
      <c r="C1026" s="23"/>
      <c r="D1026" s="23"/>
      <c r="E1026" s="23"/>
      <c r="F1026" s="1"/>
      <c r="G1026" s="23"/>
      <c r="H1026" s="23"/>
      <c r="I1026" s="23"/>
      <c r="J1026" s="2" t="s">
        <v>200</v>
      </c>
      <c r="K1026" s="2" t="s">
        <v>200</v>
      </c>
      <c r="L1026" s="40"/>
      <c r="M1026" s="40"/>
      <c r="N1026" s="40"/>
      <c r="O1026" s="2"/>
      <c r="P1026" s="42"/>
      <c r="Q1026" s="42"/>
      <c r="R1026" s="42"/>
      <c r="S1026" s="42"/>
      <c r="T1026" s="42"/>
      <c r="U1026" s="42"/>
      <c r="V1026" s="42"/>
      <c r="W1026" s="42"/>
      <c r="X1026" s="42"/>
      <c r="Y1026" s="42"/>
      <c r="Z1026" s="42"/>
      <c r="AA1026" s="42"/>
      <c r="AB1026" s="42"/>
      <c r="AC1026" s="42"/>
      <c r="AD1026" s="37" t="s">
        <v>200</v>
      </c>
      <c r="AE1026" s="37" t="s">
        <v>200</v>
      </c>
      <c r="AF1026" s="37" t="s">
        <v>200</v>
      </c>
      <c r="AG1026" s="37"/>
      <c r="AI1026" s="24"/>
    </row>
    <row r="1027">
      <c r="A1027" s="11"/>
      <c r="B1027" s="23"/>
      <c r="C1027" s="23"/>
      <c r="D1027" s="23"/>
      <c r="E1027" s="23"/>
      <c r="F1027" s="1"/>
      <c r="G1027" s="23"/>
      <c r="H1027" s="23"/>
      <c r="I1027" s="23"/>
      <c r="J1027" s="2" t="s">
        <v>200</v>
      </c>
      <c r="K1027" s="2" t="s">
        <v>200</v>
      </c>
      <c r="L1027" s="40"/>
      <c r="M1027" s="40"/>
      <c r="N1027" s="40"/>
      <c r="O1027" s="2"/>
      <c r="P1027" s="42"/>
      <c r="Q1027" s="42"/>
      <c r="R1027" s="42"/>
      <c r="S1027" s="42"/>
      <c r="T1027" s="42"/>
      <c r="U1027" s="42"/>
      <c r="V1027" s="42"/>
      <c r="W1027" s="42"/>
      <c r="X1027" s="42"/>
      <c r="Y1027" s="42"/>
      <c r="Z1027" s="42"/>
      <c r="AA1027" s="42"/>
      <c r="AB1027" s="42"/>
      <c r="AC1027" s="42"/>
      <c r="AD1027" s="37" t="s">
        <v>200</v>
      </c>
      <c r="AE1027" s="37" t="s">
        <v>200</v>
      </c>
      <c r="AF1027" s="37" t="s">
        <v>200</v>
      </c>
      <c r="AG1027" s="37"/>
      <c r="AI1027" s="24"/>
    </row>
    <row r="1028">
      <c r="A1028" s="11"/>
      <c r="B1028" s="23"/>
      <c r="C1028" s="23"/>
      <c r="D1028" s="23"/>
      <c r="E1028" s="23"/>
      <c r="F1028" s="1"/>
      <c r="G1028" s="23"/>
      <c r="H1028" s="23"/>
      <c r="I1028" s="23"/>
      <c r="J1028" s="2" t="s">
        <v>200</v>
      </c>
      <c r="K1028" s="2" t="s">
        <v>200</v>
      </c>
      <c r="L1028" s="40"/>
      <c r="M1028" s="40"/>
      <c r="N1028" s="40"/>
      <c r="O1028" s="2"/>
      <c r="P1028" s="42"/>
      <c r="Q1028" s="42"/>
      <c r="R1028" s="42"/>
      <c r="S1028" s="42"/>
      <c r="T1028" s="42"/>
      <c r="U1028" s="42"/>
      <c r="V1028" s="42"/>
      <c r="W1028" s="42"/>
      <c r="X1028" s="42"/>
      <c r="Y1028" s="42"/>
      <c r="Z1028" s="42"/>
      <c r="AA1028" s="42"/>
      <c r="AB1028" s="42"/>
      <c r="AC1028" s="42"/>
      <c r="AD1028" s="37" t="s">
        <v>200</v>
      </c>
      <c r="AE1028" s="37" t="s">
        <v>200</v>
      </c>
      <c r="AF1028" s="37" t="s">
        <v>200</v>
      </c>
      <c r="AG1028" s="37"/>
      <c r="AI1028" s="24"/>
    </row>
    <row r="1029">
      <c r="A1029" s="11"/>
      <c r="B1029" s="23"/>
      <c r="C1029" s="23"/>
      <c r="D1029" s="23"/>
      <c r="E1029" s="23"/>
      <c r="F1029" s="1"/>
      <c r="G1029" s="23"/>
      <c r="H1029" s="23"/>
      <c r="I1029" s="23"/>
      <c r="J1029" s="2" t="s">
        <v>200</v>
      </c>
      <c r="K1029" s="2" t="s">
        <v>200</v>
      </c>
      <c r="L1029" s="40"/>
      <c r="M1029" s="40"/>
      <c r="N1029" s="40"/>
      <c r="O1029" s="2"/>
      <c r="P1029" s="42"/>
      <c r="Q1029" s="42"/>
      <c r="R1029" s="42"/>
      <c r="S1029" s="42"/>
      <c r="T1029" s="42"/>
      <c r="U1029" s="42"/>
      <c r="V1029" s="42"/>
      <c r="W1029" s="42"/>
      <c r="X1029" s="42"/>
      <c r="Y1029" s="42"/>
      <c r="Z1029" s="42"/>
      <c r="AA1029" s="42"/>
      <c r="AB1029" s="42"/>
      <c r="AC1029" s="42"/>
      <c r="AD1029" s="37" t="s">
        <v>200</v>
      </c>
      <c r="AE1029" s="37" t="s">
        <v>200</v>
      </c>
      <c r="AF1029" s="37" t="s">
        <v>200</v>
      </c>
      <c r="AG1029" s="37"/>
      <c r="AI1029" s="24"/>
    </row>
    <row r="1030">
      <c r="A1030" s="11"/>
      <c r="B1030" s="23"/>
      <c r="C1030" s="23"/>
      <c r="D1030" s="23"/>
      <c r="E1030" s="23"/>
      <c r="F1030" s="1"/>
      <c r="G1030" s="23"/>
      <c r="H1030" s="23"/>
      <c r="I1030" s="23"/>
      <c r="J1030" s="2" t="s">
        <v>200</v>
      </c>
      <c r="K1030" s="2" t="s">
        <v>200</v>
      </c>
      <c r="L1030" s="40"/>
      <c r="M1030" s="40"/>
      <c r="N1030" s="40"/>
      <c r="O1030" s="2"/>
      <c r="P1030" s="42"/>
      <c r="Q1030" s="42"/>
      <c r="R1030" s="42"/>
      <c r="S1030" s="42"/>
      <c r="T1030" s="42"/>
      <c r="U1030" s="42"/>
      <c r="V1030" s="42"/>
      <c r="W1030" s="42"/>
      <c r="X1030" s="42"/>
      <c r="Y1030" s="42"/>
      <c r="Z1030" s="42"/>
      <c r="AA1030" s="42"/>
      <c r="AB1030" s="42"/>
      <c r="AC1030" s="42"/>
      <c r="AD1030" s="37" t="s">
        <v>200</v>
      </c>
      <c r="AE1030" s="37" t="s">
        <v>200</v>
      </c>
      <c r="AF1030" s="37" t="s">
        <v>200</v>
      </c>
      <c r="AG1030" s="37"/>
      <c r="AI1030" s="24"/>
    </row>
    <row r="1031">
      <c r="A1031" s="11"/>
      <c r="B1031" s="23"/>
      <c r="C1031" s="23"/>
      <c r="D1031" s="23"/>
      <c r="E1031" s="23"/>
      <c r="F1031" s="1"/>
      <c r="G1031" s="23"/>
      <c r="H1031" s="23"/>
      <c r="I1031" s="23"/>
      <c r="J1031" s="2" t="s">
        <v>200</v>
      </c>
      <c r="K1031" s="2" t="s">
        <v>200</v>
      </c>
      <c r="L1031" s="40"/>
      <c r="M1031" s="40"/>
      <c r="N1031" s="40"/>
      <c r="O1031" s="2"/>
      <c r="P1031" s="42"/>
      <c r="Q1031" s="42"/>
      <c r="R1031" s="42"/>
      <c r="S1031" s="42"/>
      <c r="T1031" s="42"/>
      <c r="U1031" s="42"/>
      <c r="V1031" s="42"/>
      <c r="W1031" s="42"/>
      <c r="X1031" s="42"/>
      <c r="Y1031" s="42"/>
      <c r="Z1031" s="42"/>
      <c r="AA1031" s="42"/>
      <c r="AB1031" s="42"/>
      <c r="AC1031" s="42"/>
      <c r="AD1031" s="37" t="s">
        <v>200</v>
      </c>
      <c r="AE1031" s="37" t="s">
        <v>200</v>
      </c>
      <c r="AF1031" s="37" t="s">
        <v>200</v>
      </c>
      <c r="AG1031" s="37"/>
      <c r="AI1031" s="24"/>
    </row>
    <row r="1032">
      <c r="A1032" s="11"/>
      <c r="B1032" s="23"/>
      <c r="C1032" s="23"/>
      <c r="D1032" s="23"/>
      <c r="E1032" s="23"/>
      <c r="F1032" s="1"/>
      <c r="G1032" s="23"/>
      <c r="H1032" s="23"/>
      <c r="I1032" s="23"/>
      <c r="J1032" s="2" t="s">
        <v>200</v>
      </c>
      <c r="K1032" s="2" t="s">
        <v>200</v>
      </c>
      <c r="L1032" s="40"/>
      <c r="M1032" s="40"/>
      <c r="N1032" s="40"/>
      <c r="O1032" s="2"/>
      <c r="P1032" s="42"/>
      <c r="Q1032" s="42"/>
      <c r="R1032" s="42"/>
      <c r="S1032" s="42"/>
      <c r="T1032" s="42"/>
      <c r="U1032" s="42"/>
      <c r="V1032" s="42"/>
      <c r="W1032" s="42"/>
      <c r="X1032" s="42"/>
      <c r="Y1032" s="42"/>
      <c r="Z1032" s="42"/>
      <c r="AA1032" s="42"/>
      <c r="AB1032" s="42"/>
      <c r="AC1032" s="42"/>
      <c r="AD1032" s="37" t="s">
        <v>200</v>
      </c>
      <c r="AE1032" s="37" t="s">
        <v>200</v>
      </c>
      <c r="AF1032" s="37" t="s">
        <v>200</v>
      </c>
      <c r="AG1032" s="37"/>
      <c r="AI1032" s="24"/>
    </row>
    <row r="1033">
      <c r="A1033" s="11"/>
      <c r="B1033" s="23"/>
      <c r="C1033" s="23"/>
      <c r="D1033" s="23"/>
      <c r="E1033" s="23"/>
      <c r="F1033" s="1"/>
      <c r="G1033" s="23"/>
      <c r="H1033" s="23"/>
      <c r="I1033" s="23"/>
      <c r="J1033" s="2" t="s">
        <v>200</v>
      </c>
      <c r="K1033" s="2" t="s">
        <v>200</v>
      </c>
      <c r="L1033" s="40"/>
      <c r="M1033" s="40"/>
      <c r="N1033" s="40"/>
      <c r="O1033" s="2"/>
      <c r="P1033" s="42"/>
      <c r="Q1033" s="42"/>
      <c r="R1033" s="42"/>
      <c r="S1033" s="42"/>
      <c r="T1033" s="42"/>
      <c r="U1033" s="42"/>
      <c r="V1033" s="42"/>
      <c r="W1033" s="42"/>
      <c r="X1033" s="42"/>
      <c r="Y1033" s="42"/>
      <c r="Z1033" s="42"/>
      <c r="AA1033" s="42"/>
      <c r="AB1033" s="42"/>
      <c r="AC1033" s="42"/>
      <c r="AD1033" s="37" t="s">
        <v>200</v>
      </c>
      <c r="AE1033" s="37" t="s">
        <v>200</v>
      </c>
      <c r="AF1033" s="37" t="s">
        <v>200</v>
      </c>
      <c r="AG1033" s="37"/>
      <c r="AI1033" s="24"/>
    </row>
    <row r="1034">
      <c r="A1034" s="11"/>
      <c r="B1034" s="23"/>
      <c r="C1034" s="23"/>
      <c r="D1034" s="23"/>
      <c r="E1034" s="23"/>
      <c r="F1034" s="1"/>
      <c r="G1034" s="23"/>
      <c r="H1034" s="23"/>
      <c r="I1034" s="23"/>
      <c r="J1034" s="2" t="s">
        <v>200</v>
      </c>
      <c r="K1034" s="2" t="s">
        <v>200</v>
      </c>
      <c r="L1034" s="40"/>
      <c r="M1034" s="40"/>
      <c r="N1034" s="40"/>
      <c r="O1034" s="2"/>
      <c r="P1034" s="42"/>
      <c r="Q1034" s="42"/>
      <c r="R1034" s="42"/>
      <c r="S1034" s="42"/>
      <c r="T1034" s="42"/>
      <c r="U1034" s="42"/>
      <c r="V1034" s="42"/>
      <c r="W1034" s="42"/>
      <c r="X1034" s="42"/>
      <c r="Y1034" s="42"/>
      <c r="Z1034" s="42"/>
      <c r="AA1034" s="42"/>
      <c r="AB1034" s="42"/>
      <c r="AC1034" s="42"/>
      <c r="AD1034" s="37" t="s">
        <v>200</v>
      </c>
      <c r="AE1034" s="37" t="s">
        <v>200</v>
      </c>
      <c r="AF1034" s="37" t="s">
        <v>200</v>
      </c>
      <c r="AG1034" s="37"/>
      <c r="AI1034" s="24"/>
    </row>
    <row r="1035">
      <c r="A1035" s="11"/>
      <c r="B1035" s="23"/>
      <c r="C1035" s="23"/>
      <c r="D1035" s="23"/>
      <c r="E1035" s="23"/>
      <c r="F1035" s="1"/>
      <c r="G1035" s="23"/>
      <c r="H1035" s="23"/>
      <c r="I1035" s="23"/>
      <c r="J1035" s="2" t="s">
        <v>200</v>
      </c>
      <c r="K1035" s="2" t="s">
        <v>200</v>
      </c>
      <c r="L1035" s="40"/>
      <c r="M1035" s="40"/>
      <c r="N1035" s="40"/>
      <c r="O1035" s="2"/>
      <c r="P1035" s="42"/>
      <c r="Q1035" s="42"/>
      <c r="R1035" s="42"/>
      <c r="S1035" s="42"/>
      <c r="T1035" s="42"/>
      <c r="U1035" s="42"/>
      <c r="V1035" s="42"/>
      <c r="W1035" s="42"/>
      <c r="X1035" s="42"/>
      <c r="Y1035" s="42"/>
      <c r="Z1035" s="42"/>
      <c r="AA1035" s="42"/>
      <c r="AB1035" s="42"/>
      <c r="AC1035" s="42"/>
      <c r="AD1035" s="37" t="s">
        <v>200</v>
      </c>
      <c r="AE1035" s="37" t="s">
        <v>200</v>
      </c>
      <c r="AF1035" s="37" t="s">
        <v>200</v>
      </c>
      <c r="AG1035" s="37"/>
      <c r="AI1035" s="24"/>
    </row>
    <row r="1036">
      <c r="A1036" s="11"/>
      <c r="B1036" s="23"/>
      <c r="C1036" s="23"/>
      <c r="D1036" s="23"/>
      <c r="E1036" s="23"/>
      <c r="F1036" s="1"/>
      <c r="G1036" s="23"/>
      <c r="H1036" s="23"/>
      <c r="I1036" s="23"/>
      <c r="J1036" s="2" t="s">
        <v>200</v>
      </c>
      <c r="K1036" s="2" t="s">
        <v>200</v>
      </c>
      <c r="L1036" s="40"/>
      <c r="M1036" s="40"/>
      <c r="N1036" s="40"/>
      <c r="O1036" s="2"/>
      <c r="P1036" s="42"/>
      <c r="Q1036" s="42"/>
      <c r="R1036" s="42"/>
      <c r="S1036" s="42"/>
      <c r="T1036" s="42"/>
      <c r="U1036" s="42"/>
      <c r="V1036" s="42"/>
      <c r="W1036" s="42"/>
      <c r="X1036" s="42"/>
      <c r="Y1036" s="42"/>
      <c r="Z1036" s="42"/>
      <c r="AA1036" s="42"/>
      <c r="AB1036" s="42"/>
      <c r="AC1036" s="42"/>
      <c r="AD1036" s="37" t="s">
        <v>200</v>
      </c>
      <c r="AE1036" s="37" t="s">
        <v>200</v>
      </c>
      <c r="AF1036" s="37" t="s">
        <v>200</v>
      </c>
      <c r="AG1036" s="37"/>
      <c r="AI1036" s="24"/>
    </row>
    <row r="1037">
      <c r="A1037" s="11"/>
      <c r="B1037" s="23"/>
      <c r="C1037" s="23"/>
      <c r="D1037" s="23"/>
      <c r="E1037" s="23"/>
      <c r="F1037" s="1"/>
      <c r="G1037" s="23"/>
      <c r="H1037" s="23"/>
      <c r="I1037" s="23"/>
      <c r="J1037" s="2" t="s">
        <v>200</v>
      </c>
      <c r="K1037" s="2" t="s">
        <v>200</v>
      </c>
      <c r="L1037" s="40"/>
      <c r="M1037" s="40"/>
      <c r="N1037" s="40"/>
      <c r="O1037" s="2"/>
      <c r="P1037" s="42"/>
      <c r="Q1037" s="42"/>
      <c r="R1037" s="42"/>
      <c r="S1037" s="42"/>
      <c r="T1037" s="42"/>
      <c r="U1037" s="42"/>
      <c r="V1037" s="42"/>
      <c r="W1037" s="42"/>
      <c r="X1037" s="42"/>
      <c r="Y1037" s="42"/>
      <c r="Z1037" s="42"/>
      <c r="AA1037" s="42"/>
      <c r="AB1037" s="42"/>
      <c r="AC1037" s="42"/>
      <c r="AD1037" s="37" t="s">
        <v>200</v>
      </c>
      <c r="AE1037" s="37" t="s">
        <v>200</v>
      </c>
      <c r="AF1037" s="37" t="s">
        <v>200</v>
      </c>
      <c r="AG1037" s="37"/>
      <c r="AI1037" s="24"/>
    </row>
    <row r="1038">
      <c r="A1038" s="11"/>
      <c r="B1038" s="23"/>
      <c r="C1038" s="23"/>
      <c r="D1038" s="23"/>
      <c r="E1038" s="23"/>
      <c r="F1038" s="1"/>
      <c r="G1038" s="23"/>
      <c r="H1038" s="23"/>
      <c r="I1038" s="23"/>
      <c r="J1038" s="2" t="s">
        <v>200</v>
      </c>
      <c r="K1038" s="2" t="s">
        <v>200</v>
      </c>
      <c r="L1038" s="40"/>
      <c r="M1038" s="40"/>
      <c r="N1038" s="40"/>
      <c r="O1038" s="2"/>
      <c r="P1038" s="42"/>
      <c r="Q1038" s="42"/>
      <c r="R1038" s="42"/>
      <c r="S1038" s="42"/>
      <c r="T1038" s="42"/>
      <c r="U1038" s="42"/>
      <c r="V1038" s="42"/>
      <c r="W1038" s="42"/>
      <c r="X1038" s="42"/>
      <c r="Y1038" s="42"/>
      <c r="Z1038" s="42"/>
      <c r="AA1038" s="42"/>
      <c r="AB1038" s="42"/>
      <c r="AC1038" s="42"/>
      <c r="AD1038" s="37" t="s">
        <v>200</v>
      </c>
      <c r="AE1038" s="37" t="s">
        <v>200</v>
      </c>
      <c r="AF1038" s="37" t="s">
        <v>200</v>
      </c>
      <c r="AG1038" s="37"/>
      <c r="AI1038" s="24"/>
    </row>
    <row r="1039">
      <c r="A1039" s="11"/>
      <c r="B1039" s="23"/>
      <c r="C1039" s="23"/>
      <c r="D1039" s="23"/>
      <c r="E1039" s="23"/>
      <c r="F1039" s="1"/>
      <c r="G1039" s="23"/>
      <c r="H1039" s="23"/>
      <c r="I1039" s="23"/>
      <c r="J1039" s="2" t="s">
        <v>200</v>
      </c>
      <c r="K1039" s="2" t="s">
        <v>200</v>
      </c>
      <c r="L1039" s="40"/>
      <c r="M1039" s="40"/>
      <c r="N1039" s="40"/>
      <c r="O1039" s="2"/>
      <c r="P1039" s="42"/>
      <c r="Q1039" s="42"/>
      <c r="R1039" s="42"/>
      <c r="S1039" s="42"/>
      <c r="T1039" s="42"/>
      <c r="U1039" s="42"/>
      <c r="V1039" s="42"/>
      <c r="W1039" s="42"/>
      <c r="X1039" s="42"/>
      <c r="Y1039" s="42"/>
      <c r="Z1039" s="42"/>
      <c r="AA1039" s="42"/>
      <c r="AB1039" s="42"/>
      <c r="AC1039" s="42"/>
      <c r="AD1039" s="37" t="s">
        <v>200</v>
      </c>
      <c r="AE1039" s="37" t="s">
        <v>200</v>
      </c>
      <c r="AF1039" s="37" t="s">
        <v>200</v>
      </c>
      <c r="AG1039" s="37"/>
      <c r="AI1039" s="24"/>
    </row>
    <row r="1040">
      <c r="A1040" s="11"/>
      <c r="B1040" s="23"/>
      <c r="C1040" s="23"/>
      <c r="D1040" s="23"/>
      <c r="E1040" s="23"/>
      <c r="F1040" s="1"/>
      <c r="G1040" s="23"/>
      <c r="H1040" s="23"/>
      <c r="I1040" s="23"/>
      <c r="J1040" s="2" t="s">
        <v>200</v>
      </c>
      <c r="K1040" s="2" t="s">
        <v>200</v>
      </c>
      <c r="L1040" s="40"/>
      <c r="M1040" s="40"/>
      <c r="N1040" s="40"/>
      <c r="O1040" s="2"/>
      <c r="P1040" s="42"/>
      <c r="Q1040" s="42"/>
      <c r="R1040" s="42"/>
      <c r="S1040" s="42"/>
      <c r="T1040" s="42"/>
      <c r="U1040" s="42"/>
      <c r="V1040" s="42"/>
      <c r="W1040" s="42"/>
      <c r="X1040" s="42"/>
      <c r="Y1040" s="42"/>
      <c r="Z1040" s="42"/>
      <c r="AA1040" s="42"/>
      <c r="AB1040" s="42"/>
      <c r="AC1040" s="42"/>
      <c r="AD1040" s="37" t="s">
        <v>200</v>
      </c>
      <c r="AE1040" s="37" t="s">
        <v>200</v>
      </c>
      <c r="AF1040" s="37" t="s">
        <v>200</v>
      </c>
      <c r="AG1040" s="37"/>
      <c r="AI1040" s="24"/>
    </row>
    <row r="1041">
      <c r="A1041" s="11"/>
      <c r="B1041" s="23"/>
      <c r="C1041" s="23"/>
      <c r="D1041" s="23"/>
      <c r="E1041" s="23"/>
      <c r="F1041" s="1"/>
      <c r="G1041" s="23"/>
      <c r="H1041" s="23"/>
      <c r="I1041" s="23"/>
      <c r="J1041" s="2" t="s">
        <v>200</v>
      </c>
      <c r="K1041" s="2" t="s">
        <v>200</v>
      </c>
      <c r="L1041" s="40"/>
      <c r="M1041" s="40"/>
      <c r="N1041" s="40"/>
      <c r="O1041" s="2"/>
      <c r="P1041" s="42"/>
      <c r="Q1041" s="42"/>
      <c r="R1041" s="42"/>
      <c r="S1041" s="42"/>
      <c r="T1041" s="42"/>
      <c r="U1041" s="42"/>
      <c r="V1041" s="42"/>
      <c r="W1041" s="42"/>
      <c r="X1041" s="42"/>
      <c r="Y1041" s="42"/>
      <c r="Z1041" s="42"/>
      <c r="AA1041" s="42"/>
      <c r="AB1041" s="42"/>
      <c r="AC1041" s="42"/>
      <c r="AD1041" s="37" t="s">
        <v>200</v>
      </c>
      <c r="AE1041" s="37" t="s">
        <v>200</v>
      </c>
      <c r="AF1041" s="37" t="s">
        <v>200</v>
      </c>
      <c r="AG1041" s="37"/>
      <c r="AI1041" s="24"/>
    </row>
    <row r="1042">
      <c r="A1042" s="11"/>
      <c r="B1042" s="23"/>
      <c r="C1042" s="23"/>
      <c r="D1042" s="23"/>
      <c r="E1042" s="23"/>
      <c r="F1042" s="1"/>
      <c r="G1042" s="23"/>
      <c r="H1042" s="23"/>
      <c r="I1042" s="23"/>
      <c r="J1042" s="2" t="s">
        <v>200</v>
      </c>
      <c r="K1042" s="2" t="s">
        <v>200</v>
      </c>
      <c r="L1042" s="40"/>
      <c r="M1042" s="40"/>
      <c r="N1042" s="40"/>
      <c r="O1042" s="2"/>
      <c r="P1042" s="42"/>
      <c r="Q1042" s="42"/>
      <c r="R1042" s="42"/>
      <c r="S1042" s="42"/>
      <c r="T1042" s="42"/>
      <c r="U1042" s="42"/>
      <c r="V1042" s="42"/>
      <c r="W1042" s="42"/>
      <c r="X1042" s="42"/>
      <c r="Y1042" s="42"/>
      <c r="Z1042" s="42"/>
      <c r="AA1042" s="42"/>
      <c r="AB1042" s="42"/>
      <c r="AC1042" s="42"/>
      <c r="AD1042" s="37" t="s">
        <v>200</v>
      </c>
      <c r="AE1042" s="37" t="s">
        <v>200</v>
      </c>
      <c r="AF1042" s="37" t="s">
        <v>200</v>
      </c>
      <c r="AG1042" s="37"/>
      <c r="AI1042" s="24"/>
    </row>
    <row r="1043">
      <c r="A1043" s="11"/>
      <c r="B1043" s="23"/>
      <c r="C1043" s="23"/>
      <c r="D1043" s="23"/>
      <c r="E1043" s="23"/>
      <c r="F1043" s="1"/>
      <c r="G1043" s="23"/>
      <c r="H1043" s="23"/>
      <c r="I1043" s="23"/>
      <c r="J1043" s="2" t="s">
        <v>200</v>
      </c>
      <c r="K1043" s="2" t="s">
        <v>200</v>
      </c>
      <c r="L1043" s="40"/>
      <c r="M1043" s="40"/>
      <c r="N1043" s="40"/>
      <c r="O1043" s="2"/>
      <c r="P1043" s="42"/>
      <c r="Q1043" s="42"/>
      <c r="R1043" s="42"/>
      <c r="S1043" s="42"/>
      <c r="T1043" s="42"/>
      <c r="U1043" s="42"/>
      <c r="V1043" s="42"/>
      <c r="W1043" s="42"/>
      <c r="X1043" s="42"/>
      <c r="Y1043" s="42"/>
      <c r="Z1043" s="42"/>
      <c r="AA1043" s="42"/>
      <c r="AB1043" s="42"/>
      <c r="AC1043" s="42"/>
      <c r="AD1043" s="37" t="s">
        <v>200</v>
      </c>
      <c r="AE1043" s="37" t="s">
        <v>200</v>
      </c>
      <c r="AF1043" s="37" t="s">
        <v>200</v>
      </c>
      <c r="AG1043" s="37"/>
      <c r="AI1043" s="24"/>
    </row>
    <row r="1044">
      <c r="A1044" s="11"/>
      <c r="B1044" s="23"/>
      <c r="C1044" s="23"/>
      <c r="D1044" s="23"/>
      <c r="E1044" s="23"/>
      <c r="F1044" s="1"/>
      <c r="G1044" s="23"/>
      <c r="H1044" s="23"/>
      <c r="I1044" s="23"/>
      <c r="J1044" s="2" t="s">
        <v>200</v>
      </c>
      <c r="K1044" s="2" t="s">
        <v>200</v>
      </c>
      <c r="L1044" s="40"/>
      <c r="M1044" s="40"/>
      <c r="N1044" s="40"/>
      <c r="O1044" s="2"/>
      <c r="P1044" s="42"/>
      <c r="Q1044" s="42"/>
      <c r="R1044" s="42"/>
      <c r="S1044" s="42"/>
      <c r="T1044" s="42"/>
      <c r="U1044" s="42"/>
      <c r="V1044" s="42"/>
      <c r="W1044" s="42"/>
      <c r="X1044" s="42"/>
      <c r="Y1044" s="42"/>
      <c r="Z1044" s="42"/>
      <c r="AA1044" s="42"/>
      <c r="AB1044" s="42"/>
      <c r="AC1044" s="42"/>
      <c r="AD1044" s="37" t="s">
        <v>200</v>
      </c>
      <c r="AE1044" s="37" t="s">
        <v>200</v>
      </c>
      <c r="AF1044" s="37" t="s">
        <v>200</v>
      </c>
      <c r="AG1044" s="37"/>
      <c r="AI1044" s="24"/>
    </row>
    <row r="1045">
      <c r="A1045" s="11"/>
      <c r="B1045" s="23"/>
      <c r="C1045" s="23"/>
      <c r="D1045" s="23"/>
      <c r="E1045" s="23"/>
      <c r="F1045" s="1"/>
      <c r="G1045" s="23"/>
      <c r="H1045" s="23"/>
      <c r="I1045" s="23"/>
      <c r="J1045" s="2" t="s">
        <v>200</v>
      </c>
      <c r="K1045" s="2" t="s">
        <v>200</v>
      </c>
      <c r="L1045" s="40"/>
      <c r="M1045" s="40"/>
      <c r="N1045" s="40"/>
      <c r="O1045" s="2"/>
      <c r="P1045" s="42"/>
      <c r="Q1045" s="42"/>
      <c r="R1045" s="42"/>
      <c r="S1045" s="42"/>
      <c r="T1045" s="42"/>
      <c r="U1045" s="42"/>
      <c r="V1045" s="42"/>
      <c r="W1045" s="42"/>
      <c r="X1045" s="42"/>
      <c r="Y1045" s="42"/>
      <c r="Z1045" s="42"/>
      <c r="AA1045" s="42"/>
      <c r="AB1045" s="42"/>
      <c r="AC1045" s="42"/>
      <c r="AD1045" s="37" t="s">
        <v>200</v>
      </c>
      <c r="AE1045" s="37" t="s">
        <v>200</v>
      </c>
      <c r="AF1045" s="37" t="s">
        <v>200</v>
      </c>
      <c r="AG1045" s="37"/>
      <c r="AI1045" s="24"/>
    </row>
    <row r="1046">
      <c r="A1046" s="11"/>
      <c r="B1046" s="23"/>
      <c r="C1046" s="23"/>
      <c r="D1046" s="23"/>
      <c r="E1046" s="23"/>
      <c r="F1046" s="1"/>
      <c r="G1046" s="23"/>
      <c r="H1046" s="23"/>
      <c r="I1046" s="23"/>
      <c r="J1046" s="2" t="s">
        <v>200</v>
      </c>
      <c r="K1046" s="2" t="s">
        <v>200</v>
      </c>
      <c r="L1046" s="40"/>
      <c r="M1046" s="40"/>
      <c r="N1046" s="40"/>
      <c r="O1046" s="2"/>
      <c r="P1046" s="42"/>
      <c r="Q1046" s="42"/>
      <c r="R1046" s="42"/>
      <c r="S1046" s="42"/>
      <c r="T1046" s="42"/>
      <c r="U1046" s="42"/>
      <c r="V1046" s="42"/>
      <c r="W1046" s="42"/>
      <c r="X1046" s="42"/>
      <c r="Y1046" s="42"/>
      <c r="Z1046" s="42"/>
      <c r="AA1046" s="42"/>
      <c r="AB1046" s="42"/>
      <c r="AC1046" s="42"/>
      <c r="AD1046" s="37" t="s">
        <v>200</v>
      </c>
      <c r="AE1046" s="37" t="s">
        <v>200</v>
      </c>
      <c r="AF1046" s="37" t="s">
        <v>200</v>
      </c>
      <c r="AG1046" s="37"/>
      <c r="AI1046" s="24"/>
    </row>
    <row r="1047">
      <c r="A1047" s="11"/>
      <c r="B1047" s="23"/>
      <c r="C1047" s="23"/>
      <c r="D1047" s="23"/>
      <c r="E1047" s="23"/>
      <c r="F1047" s="1"/>
      <c r="G1047" s="23"/>
      <c r="H1047" s="23"/>
      <c r="I1047" s="23"/>
      <c r="J1047" s="2" t="s">
        <v>200</v>
      </c>
      <c r="K1047" s="2" t="s">
        <v>200</v>
      </c>
      <c r="L1047" s="40"/>
      <c r="M1047" s="40"/>
      <c r="N1047" s="40"/>
      <c r="O1047" s="2"/>
      <c r="P1047" s="42"/>
      <c r="Q1047" s="42"/>
      <c r="R1047" s="42"/>
      <c r="S1047" s="42"/>
      <c r="T1047" s="42"/>
      <c r="U1047" s="42"/>
      <c r="V1047" s="42"/>
      <c r="W1047" s="42"/>
      <c r="X1047" s="42"/>
      <c r="Y1047" s="42"/>
      <c r="Z1047" s="42"/>
      <c r="AA1047" s="42"/>
      <c r="AB1047" s="42"/>
      <c r="AC1047" s="42"/>
      <c r="AD1047" s="37" t="s">
        <v>200</v>
      </c>
      <c r="AE1047" s="37" t="s">
        <v>200</v>
      </c>
      <c r="AF1047" s="37" t="s">
        <v>200</v>
      </c>
      <c r="AG1047" s="37"/>
      <c r="AI1047" s="24"/>
    </row>
    <row r="1048">
      <c r="A1048" s="11"/>
      <c r="B1048" s="23"/>
      <c r="C1048" s="23"/>
      <c r="D1048" s="23"/>
      <c r="E1048" s="23"/>
      <c r="F1048" s="1"/>
      <c r="G1048" s="23"/>
      <c r="H1048" s="23"/>
      <c r="I1048" s="23"/>
      <c r="J1048" s="2" t="s">
        <v>200</v>
      </c>
      <c r="K1048" s="2" t="s">
        <v>200</v>
      </c>
      <c r="L1048" s="40"/>
      <c r="M1048" s="40"/>
      <c r="N1048" s="40"/>
      <c r="O1048" s="2"/>
      <c r="P1048" s="42"/>
      <c r="Q1048" s="42"/>
      <c r="R1048" s="42"/>
      <c r="S1048" s="42"/>
      <c r="T1048" s="42"/>
      <c r="U1048" s="42"/>
      <c r="V1048" s="42"/>
      <c r="W1048" s="42"/>
      <c r="X1048" s="42"/>
      <c r="Y1048" s="42"/>
      <c r="Z1048" s="42"/>
      <c r="AA1048" s="42"/>
      <c r="AB1048" s="42"/>
      <c r="AC1048" s="42"/>
      <c r="AD1048" s="37" t="s">
        <v>200</v>
      </c>
      <c r="AE1048" s="37" t="s">
        <v>200</v>
      </c>
      <c r="AF1048" s="37" t="s">
        <v>200</v>
      </c>
      <c r="AG1048" s="37"/>
      <c r="AI1048" s="24"/>
    </row>
    <row r="1049">
      <c r="A1049" s="11"/>
      <c r="B1049" s="23"/>
      <c r="C1049" s="23"/>
      <c r="D1049" s="23"/>
      <c r="E1049" s="23"/>
      <c r="F1049" s="1"/>
      <c r="G1049" s="23"/>
      <c r="H1049" s="23"/>
      <c r="I1049" s="23"/>
      <c r="J1049" s="2" t="s">
        <v>200</v>
      </c>
      <c r="K1049" s="2" t="s">
        <v>200</v>
      </c>
      <c r="L1049" s="40"/>
      <c r="M1049" s="40"/>
      <c r="N1049" s="40"/>
      <c r="O1049" s="2"/>
      <c r="P1049" s="42"/>
      <c r="Q1049" s="42"/>
      <c r="R1049" s="42"/>
      <c r="S1049" s="42"/>
      <c r="T1049" s="42"/>
      <c r="U1049" s="42"/>
      <c r="V1049" s="42"/>
      <c r="W1049" s="42"/>
      <c r="X1049" s="42"/>
      <c r="Y1049" s="42"/>
      <c r="Z1049" s="42"/>
      <c r="AA1049" s="42"/>
      <c r="AB1049" s="42"/>
      <c r="AC1049" s="42"/>
      <c r="AD1049" s="37" t="s">
        <v>200</v>
      </c>
      <c r="AE1049" s="37" t="s">
        <v>200</v>
      </c>
      <c r="AF1049" s="37" t="s">
        <v>200</v>
      </c>
      <c r="AG1049" s="37"/>
      <c r="AI1049" s="24"/>
    </row>
    <row r="1050">
      <c r="A1050" s="11"/>
      <c r="B1050" s="23"/>
      <c r="C1050" s="23"/>
      <c r="D1050" s="23"/>
      <c r="E1050" s="23"/>
      <c r="F1050" s="1"/>
      <c r="G1050" s="23"/>
      <c r="H1050" s="23"/>
      <c r="I1050" s="23"/>
      <c r="J1050" s="2" t="s">
        <v>200</v>
      </c>
      <c r="K1050" s="2" t="s">
        <v>200</v>
      </c>
      <c r="L1050" s="40"/>
      <c r="M1050" s="40"/>
      <c r="N1050" s="40"/>
      <c r="O1050" s="2"/>
      <c r="P1050" s="42"/>
      <c r="Q1050" s="42"/>
      <c r="R1050" s="42"/>
      <c r="S1050" s="42"/>
      <c r="T1050" s="42"/>
      <c r="U1050" s="42"/>
      <c r="V1050" s="42"/>
      <c r="W1050" s="42"/>
      <c r="X1050" s="42"/>
      <c r="Y1050" s="42"/>
      <c r="Z1050" s="42"/>
      <c r="AA1050" s="42"/>
      <c r="AB1050" s="42"/>
      <c r="AC1050" s="42"/>
      <c r="AD1050" s="37" t="s">
        <v>200</v>
      </c>
      <c r="AE1050" s="37" t="s">
        <v>200</v>
      </c>
      <c r="AF1050" s="37" t="s">
        <v>200</v>
      </c>
      <c r="AG1050" s="37"/>
      <c r="AI1050" s="24"/>
    </row>
    <row r="1051">
      <c r="A1051" s="11"/>
      <c r="B1051" s="23"/>
      <c r="C1051" s="23"/>
      <c r="D1051" s="23"/>
      <c r="E1051" s="23"/>
      <c r="F1051" s="1"/>
      <c r="G1051" s="23"/>
      <c r="H1051" s="23"/>
      <c r="I1051" s="23"/>
      <c r="J1051" s="2" t="s">
        <v>200</v>
      </c>
      <c r="K1051" s="2" t="s">
        <v>200</v>
      </c>
      <c r="L1051" s="40"/>
      <c r="M1051" s="40"/>
      <c r="N1051" s="40"/>
      <c r="O1051" s="2"/>
      <c r="P1051" s="42"/>
      <c r="Q1051" s="42"/>
      <c r="R1051" s="42"/>
      <c r="S1051" s="42"/>
      <c r="T1051" s="42"/>
      <c r="U1051" s="42"/>
      <c r="V1051" s="42"/>
      <c r="W1051" s="42"/>
      <c r="X1051" s="42"/>
      <c r="Y1051" s="42"/>
      <c r="Z1051" s="42"/>
      <c r="AA1051" s="42"/>
      <c r="AB1051" s="42"/>
      <c r="AC1051" s="42"/>
      <c r="AD1051" s="37" t="s">
        <v>200</v>
      </c>
      <c r="AE1051" s="37" t="s">
        <v>200</v>
      </c>
      <c r="AF1051" s="37" t="s">
        <v>200</v>
      </c>
      <c r="AG1051" s="37"/>
      <c r="AI1051" s="24"/>
    </row>
    <row r="1052">
      <c r="A1052" s="11"/>
      <c r="B1052" s="23"/>
      <c r="C1052" s="23"/>
      <c r="D1052" s="23"/>
      <c r="E1052" s="23"/>
      <c r="F1052" s="1"/>
      <c r="G1052" s="23"/>
      <c r="H1052" s="23"/>
      <c r="I1052" s="23"/>
      <c r="J1052" s="2" t="s">
        <v>200</v>
      </c>
      <c r="K1052" s="2" t="s">
        <v>200</v>
      </c>
      <c r="L1052" s="40"/>
      <c r="M1052" s="40"/>
      <c r="N1052" s="40"/>
      <c r="O1052" s="2"/>
      <c r="P1052" s="42"/>
      <c r="Q1052" s="42"/>
      <c r="R1052" s="42"/>
      <c r="S1052" s="42"/>
      <c r="T1052" s="42"/>
      <c r="U1052" s="42"/>
      <c r="V1052" s="42"/>
      <c r="W1052" s="42"/>
      <c r="X1052" s="42"/>
      <c r="Y1052" s="42"/>
      <c r="Z1052" s="42"/>
      <c r="AA1052" s="42"/>
      <c r="AB1052" s="42"/>
      <c r="AC1052" s="42"/>
      <c r="AD1052" s="37" t="s">
        <v>200</v>
      </c>
      <c r="AE1052" s="37" t="s">
        <v>200</v>
      </c>
      <c r="AF1052" s="37" t="s">
        <v>200</v>
      </c>
      <c r="AG1052" s="37"/>
      <c r="AI1052" s="24"/>
    </row>
    <row r="1053">
      <c r="A1053" s="11"/>
      <c r="B1053" s="23"/>
      <c r="C1053" s="23"/>
      <c r="D1053" s="23"/>
      <c r="E1053" s="23"/>
      <c r="F1053" s="1"/>
      <c r="G1053" s="23"/>
      <c r="H1053" s="23"/>
      <c r="I1053" s="23"/>
      <c r="J1053" s="2" t="s">
        <v>200</v>
      </c>
      <c r="K1053" s="2" t="s">
        <v>200</v>
      </c>
      <c r="L1053" s="40"/>
      <c r="M1053" s="40"/>
      <c r="N1053" s="40"/>
      <c r="O1053" s="2"/>
      <c r="P1053" s="42"/>
      <c r="Q1053" s="42"/>
      <c r="R1053" s="42"/>
      <c r="S1053" s="42"/>
      <c r="T1053" s="42"/>
      <c r="U1053" s="42"/>
      <c r="V1053" s="42"/>
      <c r="W1053" s="42"/>
      <c r="X1053" s="42"/>
      <c r="Y1053" s="42"/>
      <c r="Z1053" s="42"/>
      <c r="AA1053" s="42"/>
      <c r="AB1053" s="42"/>
      <c r="AC1053" s="42"/>
      <c r="AD1053" s="37" t="s">
        <v>200</v>
      </c>
      <c r="AE1053" s="37" t="s">
        <v>200</v>
      </c>
      <c r="AF1053" s="37" t="s">
        <v>200</v>
      </c>
      <c r="AG1053" s="37"/>
      <c r="AI1053" s="24"/>
    </row>
    <row r="1054">
      <c r="A1054" s="11"/>
      <c r="B1054" s="23"/>
      <c r="C1054" s="23"/>
      <c r="D1054" s="23"/>
      <c r="E1054" s="23"/>
      <c r="F1054" s="1"/>
      <c r="G1054" s="23"/>
      <c r="H1054" s="23"/>
      <c r="I1054" s="23"/>
      <c r="J1054" s="2" t="s">
        <v>200</v>
      </c>
      <c r="K1054" s="2" t="s">
        <v>200</v>
      </c>
      <c r="L1054" s="40"/>
      <c r="M1054" s="40"/>
      <c r="N1054" s="40"/>
      <c r="O1054" s="2"/>
      <c r="P1054" s="42"/>
      <c r="Q1054" s="42"/>
      <c r="R1054" s="42"/>
      <c r="S1054" s="42"/>
      <c r="T1054" s="42"/>
      <c r="U1054" s="42"/>
      <c r="V1054" s="42"/>
      <c r="W1054" s="42"/>
      <c r="X1054" s="42"/>
      <c r="Y1054" s="42"/>
      <c r="Z1054" s="42"/>
      <c r="AA1054" s="42"/>
      <c r="AB1054" s="42"/>
      <c r="AC1054" s="42"/>
      <c r="AD1054" s="37" t="s">
        <v>200</v>
      </c>
      <c r="AE1054" s="37" t="s">
        <v>200</v>
      </c>
      <c r="AF1054" s="37" t="s">
        <v>200</v>
      </c>
      <c r="AG1054" s="37"/>
      <c r="AI1054" s="24"/>
    </row>
    <row r="1055">
      <c r="A1055" s="11"/>
      <c r="B1055" s="23"/>
      <c r="C1055" s="23"/>
      <c r="D1055" s="23"/>
      <c r="E1055" s="23"/>
      <c r="F1055" s="1"/>
      <c r="G1055" s="23"/>
      <c r="H1055" s="23"/>
      <c r="I1055" s="23"/>
      <c r="J1055" s="2" t="s">
        <v>200</v>
      </c>
      <c r="K1055" s="2" t="s">
        <v>200</v>
      </c>
      <c r="L1055" s="40"/>
      <c r="M1055" s="40"/>
      <c r="N1055" s="40"/>
      <c r="O1055" s="2"/>
      <c r="P1055" s="42"/>
      <c r="Q1055" s="42"/>
      <c r="R1055" s="42"/>
      <c r="S1055" s="42"/>
      <c r="T1055" s="42"/>
      <c r="U1055" s="42"/>
      <c r="V1055" s="42"/>
      <c r="W1055" s="42"/>
      <c r="X1055" s="42"/>
      <c r="Y1055" s="42"/>
      <c r="Z1055" s="42"/>
      <c r="AA1055" s="42"/>
      <c r="AB1055" s="42"/>
      <c r="AC1055" s="42"/>
      <c r="AD1055" s="37" t="s">
        <v>200</v>
      </c>
      <c r="AE1055" s="37" t="s">
        <v>200</v>
      </c>
      <c r="AF1055" s="37" t="s">
        <v>200</v>
      </c>
      <c r="AG1055" s="37"/>
      <c r="AI1055" s="24"/>
    </row>
    <row r="1056">
      <c r="A1056" s="11"/>
      <c r="B1056" s="23"/>
      <c r="C1056" s="23"/>
      <c r="D1056" s="23"/>
      <c r="E1056" s="23"/>
      <c r="F1056" s="1"/>
      <c r="G1056" s="23"/>
      <c r="H1056" s="23"/>
      <c r="I1056" s="23"/>
      <c r="J1056" s="2" t="s">
        <v>200</v>
      </c>
      <c r="K1056" s="2" t="s">
        <v>200</v>
      </c>
      <c r="L1056" s="40"/>
      <c r="M1056" s="40"/>
      <c r="N1056" s="40"/>
      <c r="O1056" s="2"/>
      <c r="P1056" s="42"/>
      <c r="Q1056" s="42"/>
      <c r="R1056" s="42"/>
      <c r="S1056" s="42"/>
      <c r="T1056" s="42"/>
      <c r="U1056" s="42"/>
      <c r="V1056" s="42"/>
      <c r="W1056" s="42"/>
      <c r="X1056" s="42"/>
      <c r="Y1056" s="42"/>
      <c r="Z1056" s="42"/>
      <c r="AA1056" s="42"/>
      <c r="AB1056" s="42"/>
      <c r="AC1056" s="42"/>
      <c r="AD1056" s="37" t="s">
        <v>200</v>
      </c>
      <c r="AE1056" s="37" t="s">
        <v>200</v>
      </c>
      <c r="AF1056" s="37" t="s">
        <v>200</v>
      </c>
      <c r="AG1056" s="37"/>
      <c r="AI1056" s="24"/>
    </row>
    <row r="1057">
      <c r="A1057" s="11"/>
      <c r="B1057" s="23"/>
      <c r="C1057" s="23"/>
      <c r="D1057" s="23"/>
      <c r="E1057" s="23"/>
      <c r="F1057" s="1"/>
      <c r="G1057" s="23"/>
      <c r="H1057" s="23"/>
      <c r="I1057" s="23"/>
      <c r="J1057" s="2" t="s">
        <v>200</v>
      </c>
      <c r="K1057" s="2" t="s">
        <v>200</v>
      </c>
      <c r="L1057" s="40"/>
      <c r="M1057" s="40"/>
      <c r="N1057" s="40"/>
      <c r="O1057" s="2"/>
      <c r="P1057" s="42"/>
      <c r="Q1057" s="42"/>
      <c r="R1057" s="42"/>
      <c r="S1057" s="42"/>
      <c r="T1057" s="42"/>
      <c r="U1057" s="42"/>
      <c r="V1057" s="42"/>
      <c r="W1057" s="42"/>
      <c r="X1057" s="42"/>
      <c r="Y1057" s="42"/>
      <c r="Z1057" s="42"/>
      <c r="AA1057" s="42"/>
      <c r="AB1057" s="42"/>
      <c r="AC1057" s="42"/>
      <c r="AD1057" s="37" t="s">
        <v>200</v>
      </c>
      <c r="AE1057" s="37" t="s">
        <v>200</v>
      </c>
      <c r="AF1057" s="37" t="s">
        <v>200</v>
      </c>
      <c r="AG1057" s="37"/>
      <c r="AI1057" s="24"/>
    </row>
    <row r="1058">
      <c r="A1058" s="11"/>
      <c r="B1058" s="23"/>
      <c r="C1058" s="23"/>
      <c r="D1058" s="23"/>
      <c r="E1058" s="23"/>
      <c r="F1058" s="1"/>
      <c r="G1058" s="23"/>
      <c r="H1058" s="23"/>
      <c r="I1058" s="23"/>
      <c r="J1058" s="2" t="s">
        <v>200</v>
      </c>
      <c r="K1058" s="2" t="s">
        <v>200</v>
      </c>
      <c r="L1058" s="40"/>
      <c r="M1058" s="40"/>
      <c r="N1058" s="40"/>
      <c r="O1058" s="2"/>
      <c r="P1058" s="42"/>
      <c r="Q1058" s="42"/>
      <c r="R1058" s="42"/>
      <c r="S1058" s="42"/>
      <c r="T1058" s="42"/>
      <c r="U1058" s="42"/>
      <c r="V1058" s="42"/>
      <c r="W1058" s="42"/>
      <c r="X1058" s="42"/>
      <c r="Y1058" s="42"/>
      <c r="Z1058" s="42"/>
      <c r="AA1058" s="42"/>
      <c r="AB1058" s="42"/>
      <c r="AC1058" s="42"/>
      <c r="AD1058" s="37" t="s">
        <v>200</v>
      </c>
      <c r="AE1058" s="37" t="s">
        <v>200</v>
      </c>
      <c r="AF1058" s="37" t="s">
        <v>200</v>
      </c>
      <c r="AG1058" s="37"/>
      <c r="AI1058" s="24"/>
    </row>
    <row r="1059">
      <c r="A1059" s="11"/>
      <c r="B1059" s="23"/>
      <c r="C1059" s="23"/>
      <c r="D1059" s="23"/>
      <c r="E1059" s="23"/>
      <c r="F1059" s="1"/>
      <c r="G1059" s="23"/>
      <c r="H1059" s="23"/>
      <c r="I1059" s="23"/>
      <c r="J1059" s="2" t="s">
        <v>200</v>
      </c>
      <c r="K1059" s="2" t="s">
        <v>200</v>
      </c>
      <c r="L1059" s="40"/>
      <c r="M1059" s="40"/>
      <c r="N1059" s="40"/>
      <c r="O1059" s="2"/>
      <c r="P1059" s="42"/>
      <c r="Q1059" s="42"/>
      <c r="R1059" s="42"/>
      <c r="S1059" s="42"/>
      <c r="T1059" s="42"/>
      <c r="U1059" s="42"/>
      <c r="V1059" s="42"/>
      <c r="W1059" s="42"/>
      <c r="X1059" s="42"/>
      <c r="Y1059" s="42"/>
      <c r="Z1059" s="42"/>
      <c r="AA1059" s="42"/>
      <c r="AB1059" s="42"/>
      <c r="AC1059" s="42"/>
      <c r="AD1059" s="37" t="s">
        <v>200</v>
      </c>
      <c r="AE1059" s="37" t="s">
        <v>200</v>
      </c>
      <c r="AF1059" s="37" t="s">
        <v>200</v>
      </c>
      <c r="AG1059" s="37"/>
      <c r="AI1059" s="24"/>
    </row>
    <row r="1060">
      <c r="A1060" s="11"/>
      <c r="B1060" s="23"/>
      <c r="C1060" s="23"/>
      <c r="D1060" s="23"/>
      <c r="E1060" s="23"/>
      <c r="F1060" s="1"/>
      <c r="G1060" s="23"/>
      <c r="H1060" s="23"/>
      <c r="I1060" s="23"/>
      <c r="J1060" s="2" t="s">
        <v>200</v>
      </c>
      <c r="K1060" s="2" t="s">
        <v>200</v>
      </c>
      <c r="L1060" s="40"/>
      <c r="M1060" s="40"/>
      <c r="N1060" s="40"/>
      <c r="O1060" s="2"/>
      <c r="P1060" s="42"/>
      <c r="Q1060" s="42"/>
      <c r="R1060" s="42"/>
      <c r="S1060" s="42"/>
      <c r="T1060" s="42"/>
      <c r="U1060" s="42"/>
      <c r="V1060" s="42"/>
      <c r="W1060" s="42"/>
      <c r="X1060" s="42"/>
      <c r="Y1060" s="42"/>
      <c r="Z1060" s="42"/>
      <c r="AA1060" s="42"/>
      <c r="AB1060" s="42"/>
      <c r="AC1060" s="42"/>
      <c r="AD1060" s="37" t="s">
        <v>200</v>
      </c>
      <c r="AE1060" s="37" t="s">
        <v>200</v>
      </c>
      <c r="AF1060" s="37" t="s">
        <v>200</v>
      </c>
      <c r="AG1060" s="37"/>
      <c r="AI1060" s="24"/>
    </row>
    <row r="1061">
      <c r="A1061" s="11"/>
      <c r="B1061" s="23"/>
      <c r="C1061" s="23"/>
      <c r="D1061" s="23"/>
      <c r="E1061" s="23"/>
      <c r="F1061" s="1"/>
      <c r="G1061" s="23"/>
      <c r="H1061" s="23"/>
      <c r="I1061" s="23"/>
      <c r="J1061" s="2" t="s">
        <v>200</v>
      </c>
      <c r="K1061" s="2" t="s">
        <v>200</v>
      </c>
      <c r="L1061" s="40"/>
      <c r="M1061" s="40"/>
      <c r="N1061" s="40"/>
      <c r="O1061" s="2"/>
      <c r="P1061" s="42"/>
      <c r="Q1061" s="42"/>
      <c r="R1061" s="42"/>
      <c r="S1061" s="42"/>
      <c r="T1061" s="42"/>
      <c r="U1061" s="42"/>
      <c r="V1061" s="42"/>
      <c r="W1061" s="42"/>
      <c r="X1061" s="42"/>
      <c r="Y1061" s="42"/>
      <c r="Z1061" s="42"/>
      <c r="AA1061" s="42"/>
      <c r="AB1061" s="42"/>
      <c r="AC1061" s="42"/>
      <c r="AD1061" s="37" t="s">
        <v>200</v>
      </c>
      <c r="AE1061" s="37" t="s">
        <v>200</v>
      </c>
      <c r="AF1061" s="37" t="s">
        <v>200</v>
      </c>
      <c r="AG1061" s="37"/>
      <c r="AI1061" s="24"/>
    </row>
    <row r="1062">
      <c r="A1062" s="11"/>
      <c r="B1062" s="23"/>
      <c r="C1062" s="23"/>
      <c r="D1062" s="23"/>
      <c r="E1062" s="23"/>
      <c r="F1062" s="1"/>
      <c r="G1062" s="23"/>
      <c r="H1062" s="23"/>
      <c r="I1062" s="23"/>
      <c r="J1062" s="2" t="s">
        <v>200</v>
      </c>
      <c r="K1062" s="2" t="s">
        <v>200</v>
      </c>
      <c r="L1062" s="40"/>
      <c r="M1062" s="40"/>
      <c r="N1062" s="40"/>
      <c r="O1062" s="2"/>
      <c r="P1062" s="42"/>
      <c r="Q1062" s="42"/>
      <c r="R1062" s="42"/>
      <c r="S1062" s="42"/>
      <c r="T1062" s="42"/>
      <c r="U1062" s="42"/>
      <c r="V1062" s="42"/>
      <c r="W1062" s="42"/>
      <c r="X1062" s="42"/>
      <c r="Y1062" s="42"/>
      <c r="Z1062" s="42"/>
      <c r="AA1062" s="42"/>
      <c r="AB1062" s="42"/>
      <c r="AC1062" s="42"/>
      <c r="AD1062" s="37" t="s">
        <v>200</v>
      </c>
      <c r="AE1062" s="37" t="s">
        <v>200</v>
      </c>
      <c r="AF1062" s="37" t="s">
        <v>200</v>
      </c>
      <c r="AG1062" s="37"/>
      <c r="AI1062" s="24"/>
    </row>
    <row r="1063">
      <c r="A1063" s="11"/>
      <c r="B1063" s="23"/>
      <c r="C1063" s="23"/>
      <c r="D1063" s="23"/>
      <c r="E1063" s="23"/>
      <c r="F1063" s="1"/>
      <c r="G1063" s="23"/>
      <c r="H1063" s="23"/>
      <c r="I1063" s="23"/>
      <c r="J1063" s="2" t="s">
        <v>200</v>
      </c>
      <c r="K1063" s="2" t="s">
        <v>200</v>
      </c>
      <c r="L1063" s="40"/>
      <c r="M1063" s="40"/>
      <c r="N1063" s="40"/>
      <c r="O1063" s="2"/>
      <c r="P1063" s="42"/>
      <c r="Q1063" s="42"/>
      <c r="R1063" s="42"/>
      <c r="S1063" s="42"/>
      <c r="T1063" s="42"/>
      <c r="U1063" s="42"/>
      <c r="V1063" s="42"/>
      <c r="W1063" s="42"/>
      <c r="X1063" s="42"/>
      <c r="Y1063" s="42"/>
      <c r="Z1063" s="42"/>
      <c r="AA1063" s="42"/>
      <c r="AB1063" s="42"/>
      <c r="AC1063" s="42"/>
      <c r="AD1063" s="37" t="s">
        <v>200</v>
      </c>
      <c r="AE1063" s="37" t="s">
        <v>200</v>
      </c>
      <c r="AF1063" s="37" t="s">
        <v>200</v>
      </c>
      <c r="AG1063" s="37"/>
      <c r="AI1063" s="24"/>
    </row>
    <row r="1064">
      <c r="A1064" s="11"/>
      <c r="B1064" s="23"/>
      <c r="C1064" s="23"/>
      <c r="D1064" s="23"/>
      <c r="E1064" s="23"/>
      <c r="F1064" s="1"/>
      <c r="G1064" s="23"/>
      <c r="H1064" s="23"/>
      <c r="I1064" s="23"/>
      <c r="J1064" s="2" t="s">
        <v>200</v>
      </c>
      <c r="K1064" s="2" t="s">
        <v>200</v>
      </c>
      <c r="L1064" s="40"/>
      <c r="M1064" s="40"/>
      <c r="N1064" s="40"/>
      <c r="O1064" s="2"/>
      <c r="P1064" s="42"/>
      <c r="Q1064" s="42"/>
      <c r="R1064" s="42"/>
      <c r="S1064" s="42"/>
      <c r="T1064" s="42"/>
      <c r="U1064" s="42"/>
      <c r="V1064" s="42"/>
      <c r="W1064" s="42"/>
      <c r="X1064" s="42"/>
      <c r="Y1064" s="42"/>
      <c r="Z1064" s="42"/>
      <c r="AA1064" s="42"/>
      <c r="AB1064" s="42"/>
      <c r="AC1064" s="42"/>
      <c r="AD1064" s="37" t="s">
        <v>200</v>
      </c>
      <c r="AE1064" s="37" t="s">
        <v>200</v>
      </c>
      <c r="AF1064" s="37" t="s">
        <v>200</v>
      </c>
      <c r="AG1064" s="37"/>
      <c r="AI1064" s="24"/>
    </row>
    <row r="1065">
      <c r="A1065" s="11"/>
      <c r="B1065" s="23"/>
      <c r="C1065" s="23"/>
      <c r="D1065" s="23"/>
      <c r="E1065" s="23"/>
      <c r="F1065" s="1"/>
      <c r="G1065" s="23"/>
      <c r="H1065" s="23"/>
      <c r="I1065" s="23"/>
      <c r="J1065" s="2" t="s">
        <v>200</v>
      </c>
      <c r="K1065" s="2" t="s">
        <v>200</v>
      </c>
      <c r="L1065" s="40"/>
      <c r="M1065" s="40"/>
      <c r="N1065" s="40"/>
      <c r="O1065" s="2"/>
      <c r="P1065" s="42"/>
      <c r="Q1065" s="42"/>
      <c r="R1065" s="42"/>
      <c r="S1065" s="42"/>
      <c r="T1065" s="42"/>
      <c r="U1065" s="42"/>
      <c r="V1065" s="42"/>
      <c r="W1065" s="42"/>
      <c r="X1065" s="42"/>
      <c r="Y1065" s="42"/>
      <c r="Z1065" s="42"/>
      <c r="AA1065" s="42"/>
      <c r="AB1065" s="42"/>
      <c r="AC1065" s="42"/>
      <c r="AD1065" s="37" t="s">
        <v>200</v>
      </c>
      <c r="AE1065" s="37" t="s">
        <v>200</v>
      </c>
      <c r="AF1065" s="37" t="s">
        <v>200</v>
      </c>
      <c r="AG1065" s="37"/>
      <c r="AI1065" s="24"/>
    </row>
    <row r="1066">
      <c r="A1066" s="11"/>
      <c r="B1066" s="23"/>
      <c r="C1066" s="23"/>
      <c r="D1066" s="23"/>
      <c r="E1066" s="23"/>
      <c r="F1066" s="1"/>
      <c r="G1066" s="23"/>
      <c r="H1066" s="23"/>
      <c r="I1066" s="23"/>
      <c r="J1066" s="2" t="s">
        <v>200</v>
      </c>
      <c r="K1066" s="2" t="s">
        <v>200</v>
      </c>
      <c r="L1066" s="40"/>
      <c r="M1066" s="40"/>
      <c r="N1066" s="40"/>
      <c r="O1066" s="2"/>
      <c r="P1066" s="42"/>
      <c r="Q1066" s="42"/>
      <c r="R1066" s="42"/>
      <c r="S1066" s="42"/>
      <c r="T1066" s="42"/>
      <c r="U1066" s="42"/>
      <c r="V1066" s="42"/>
      <c r="W1066" s="42"/>
      <c r="X1066" s="42"/>
      <c r="Y1066" s="42"/>
      <c r="Z1066" s="42"/>
      <c r="AA1066" s="42"/>
      <c r="AB1066" s="42"/>
      <c r="AC1066" s="42"/>
      <c r="AD1066" s="37" t="s">
        <v>200</v>
      </c>
      <c r="AE1066" s="37" t="s">
        <v>200</v>
      </c>
      <c r="AF1066" s="37" t="s">
        <v>200</v>
      </c>
      <c r="AG1066" s="37"/>
      <c r="AI1066" s="24"/>
    </row>
    <row r="1067">
      <c r="A1067" s="11"/>
      <c r="B1067" s="23"/>
      <c r="C1067" s="23"/>
      <c r="D1067" s="23"/>
      <c r="E1067" s="23"/>
      <c r="F1067" s="1"/>
      <c r="G1067" s="23"/>
      <c r="H1067" s="23"/>
      <c r="I1067" s="23"/>
      <c r="J1067" s="2" t="s">
        <v>200</v>
      </c>
      <c r="K1067" s="2" t="s">
        <v>200</v>
      </c>
      <c r="L1067" s="40"/>
      <c r="M1067" s="40"/>
      <c r="N1067" s="40"/>
      <c r="O1067" s="2"/>
      <c r="P1067" s="42"/>
      <c r="Q1067" s="42"/>
      <c r="R1067" s="42"/>
      <c r="S1067" s="42"/>
      <c r="T1067" s="42"/>
      <c r="U1067" s="42"/>
      <c r="V1067" s="42"/>
      <c r="W1067" s="42"/>
      <c r="X1067" s="42"/>
      <c r="Y1067" s="42"/>
      <c r="Z1067" s="42"/>
      <c r="AA1067" s="42"/>
      <c r="AB1067" s="42"/>
      <c r="AC1067" s="42"/>
      <c r="AD1067" s="37" t="s">
        <v>200</v>
      </c>
      <c r="AE1067" s="37" t="s">
        <v>200</v>
      </c>
      <c r="AF1067" s="37" t="s">
        <v>200</v>
      </c>
      <c r="AG1067" s="37"/>
      <c r="AI1067" s="24"/>
    </row>
    <row r="1068">
      <c r="A1068" s="11"/>
      <c r="B1068" s="23"/>
      <c r="C1068" s="23"/>
      <c r="D1068" s="23"/>
      <c r="E1068" s="23"/>
      <c r="F1068" s="1"/>
      <c r="G1068" s="23"/>
      <c r="H1068" s="23"/>
      <c r="I1068" s="23"/>
      <c r="J1068" s="2" t="s">
        <v>200</v>
      </c>
      <c r="K1068" s="2" t="s">
        <v>200</v>
      </c>
      <c r="L1068" s="40"/>
      <c r="M1068" s="40"/>
      <c r="N1068" s="40"/>
      <c r="O1068" s="2"/>
      <c r="P1068" s="42"/>
      <c r="Q1068" s="42"/>
      <c r="R1068" s="42"/>
      <c r="S1068" s="42"/>
      <c r="T1068" s="42"/>
      <c r="U1068" s="42"/>
      <c r="V1068" s="42"/>
      <c r="W1068" s="42"/>
      <c r="X1068" s="42"/>
      <c r="Y1068" s="42"/>
      <c r="Z1068" s="42"/>
      <c r="AA1068" s="42"/>
      <c r="AB1068" s="42"/>
      <c r="AC1068" s="42"/>
      <c r="AD1068" s="37" t="s">
        <v>200</v>
      </c>
      <c r="AE1068" s="37" t="s">
        <v>200</v>
      </c>
      <c r="AF1068" s="37" t="s">
        <v>200</v>
      </c>
      <c r="AG1068" s="37"/>
      <c r="AI1068" s="24"/>
    </row>
    <row r="1069">
      <c r="A1069" s="11"/>
      <c r="B1069" s="23"/>
      <c r="C1069" s="23"/>
      <c r="D1069" s="23"/>
      <c r="E1069" s="23"/>
      <c r="F1069" s="1"/>
      <c r="G1069" s="23"/>
      <c r="H1069" s="23"/>
      <c r="I1069" s="23"/>
      <c r="J1069" s="2" t="s">
        <v>200</v>
      </c>
      <c r="K1069" s="2" t="s">
        <v>200</v>
      </c>
      <c r="L1069" s="40"/>
      <c r="M1069" s="40"/>
      <c r="N1069" s="40"/>
      <c r="O1069" s="2"/>
      <c r="P1069" s="42"/>
      <c r="Q1069" s="42"/>
      <c r="R1069" s="42"/>
      <c r="S1069" s="42"/>
      <c r="T1069" s="42"/>
      <c r="U1069" s="42"/>
      <c r="V1069" s="42"/>
      <c r="W1069" s="42"/>
      <c r="X1069" s="42"/>
      <c r="Y1069" s="42"/>
      <c r="Z1069" s="42"/>
      <c r="AA1069" s="42"/>
      <c r="AB1069" s="42"/>
      <c r="AC1069" s="42"/>
      <c r="AD1069" s="37" t="s">
        <v>200</v>
      </c>
      <c r="AE1069" s="37" t="s">
        <v>200</v>
      </c>
      <c r="AF1069" s="37" t="s">
        <v>200</v>
      </c>
      <c r="AG1069" s="37"/>
      <c r="AI1069" s="24"/>
    </row>
    <row r="1070">
      <c r="A1070" s="11"/>
      <c r="B1070" s="23"/>
      <c r="C1070" s="23"/>
      <c r="D1070" s="23"/>
      <c r="E1070" s="23"/>
      <c r="F1070" s="1"/>
      <c r="G1070" s="23"/>
      <c r="H1070" s="23"/>
      <c r="I1070" s="23"/>
      <c r="J1070" s="2" t="s">
        <v>200</v>
      </c>
      <c r="K1070" s="2" t="s">
        <v>200</v>
      </c>
      <c r="L1070" s="40"/>
      <c r="M1070" s="40"/>
      <c r="N1070" s="40"/>
      <c r="O1070" s="2"/>
      <c r="P1070" s="42"/>
      <c r="Q1070" s="42"/>
      <c r="R1070" s="42"/>
      <c r="S1070" s="42"/>
      <c r="T1070" s="42"/>
      <c r="U1070" s="42"/>
      <c r="V1070" s="42"/>
      <c r="W1070" s="42"/>
      <c r="X1070" s="42"/>
      <c r="Y1070" s="42"/>
      <c r="Z1070" s="42"/>
      <c r="AA1070" s="42"/>
      <c r="AB1070" s="42"/>
      <c r="AC1070" s="42"/>
      <c r="AD1070" s="37" t="s">
        <v>200</v>
      </c>
      <c r="AE1070" s="37" t="s">
        <v>200</v>
      </c>
      <c r="AF1070" s="37" t="s">
        <v>200</v>
      </c>
      <c r="AG1070" s="37"/>
      <c r="AI1070" s="24"/>
    </row>
    <row r="1071">
      <c r="A1071" s="11"/>
      <c r="B1071" s="23"/>
      <c r="C1071" s="23"/>
      <c r="D1071" s="23"/>
      <c r="E1071" s="23"/>
      <c r="F1071" s="1"/>
      <c r="G1071" s="23"/>
      <c r="H1071" s="23"/>
      <c r="I1071" s="23"/>
      <c r="J1071" s="2" t="s">
        <v>200</v>
      </c>
      <c r="K1071" s="2" t="s">
        <v>200</v>
      </c>
      <c r="L1071" s="40"/>
      <c r="M1071" s="40"/>
      <c r="N1071" s="40"/>
      <c r="O1071" s="2"/>
      <c r="P1071" s="42"/>
      <c r="Q1071" s="42"/>
      <c r="R1071" s="42"/>
      <c r="S1071" s="42"/>
      <c r="T1071" s="42"/>
      <c r="U1071" s="42"/>
      <c r="V1071" s="42"/>
      <c r="W1071" s="42"/>
      <c r="X1071" s="42"/>
      <c r="Y1071" s="42"/>
      <c r="Z1071" s="42"/>
      <c r="AA1071" s="42"/>
      <c r="AB1071" s="42"/>
      <c r="AC1071" s="42"/>
      <c r="AD1071" s="37" t="s">
        <v>200</v>
      </c>
      <c r="AE1071" s="37" t="s">
        <v>200</v>
      </c>
      <c r="AF1071" s="37" t="s">
        <v>200</v>
      </c>
      <c r="AG1071" s="37"/>
      <c r="AI1071" s="24"/>
    </row>
    <row r="1072">
      <c r="A1072" s="11"/>
      <c r="B1072" s="23"/>
      <c r="C1072" s="23"/>
      <c r="D1072" s="23"/>
      <c r="E1072" s="23"/>
      <c r="F1072" s="1"/>
      <c r="G1072" s="23"/>
      <c r="H1072" s="23"/>
      <c r="I1072" s="23"/>
      <c r="J1072" s="2" t="s">
        <v>200</v>
      </c>
      <c r="K1072" s="2" t="s">
        <v>200</v>
      </c>
      <c r="L1072" s="40"/>
      <c r="M1072" s="40"/>
      <c r="N1072" s="40"/>
      <c r="O1072" s="2"/>
      <c r="P1072" s="42"/>
      <c r="Q1072" s="42"/>
      <c r="R1072" s="42"/>
      <c r="S1072" s="42"/>
      <c r="T1072" s="42"/>
      <c r="U1072" s="42"/>
      <c r="V1072" s="42"/>
      <c r="W1072" s="42"/>
      <c r="X1072" s="42"/>
      <c r="Y1072" s="42"/>
      <c r="Z1072" s="42"/>
      <c r="AA1072" s="42"/>
      <c r="AB1072" s="42"/>
      <c r="AC1072" s="42"/>
      <c r="AD1072" s="37" t="s">
        <v>200</v>
      </c>
      <c r="AE1072" s="37" t="s">
        <v>200</v>
      </c>
      <c r="AF1072" s="37" t="s">
        <v>200</v>
      </c>
      <c r="AG1072" s="37"/>
      <c r="AI1072" s="24"/>
    </row>
    <row r="1073">
      <c r="A1073" s="11"/>
      <c r="B1073" s="23"/>
      <c r="C1073" s="23"/>
      <c r="D1073" s="23"/>
      <c r="E1073" s="23"/>
      <c r="F1073" s="1"/>
      <c r="G1073" s="23"/>
      <c r="H1073" s="23"/>
      <c r="I1073" s="23"/>
      <c r="J1073" s="2" t="s">
        <v>200</v>
      </c>
      <c r="K1073" s="2" t="s">
        <v>200</v>
      </c>
      <c r="L1073" s="40"/>
      <c r="M1073" s="40"/>
      <c r="N1073" s="40"/>
      <c r="O1073" s="2"/>
      <c r="P1073" s="42"/>
      <c r="Q1073" s="42"/>
      <c r="R1073" s="42"/>
      <c r="S1073" s="42"/>
      <c r="T1073" s="42"/>
      <c r="U1073" s="42"/>
      <c r="V1073" s="42"/>
      <c r="W1073" s="42"/>
      <c r="X1073" s="42"/>
      <c r="Y1073" s="42"/>
      <c r="Z1073" s="42"/>
      <c r="AA1073" s="42"/>
      <c r="AB1073" s="42"/>
      <c r="AC1073" s="42"/>
      <c r="AD1073" s="37" t="s">
        <v>200</v>
      </c>
      <c r="AE1073" s="37" t="s">
        <v>200</v>
      </c>
      <c r="AF1073" s="37" t="s">
        <v>200</v>
      </c>
      <c r="AG1073" s="37"/>
      <c r="AI1073" s="24"/>
    </row>
    <row r="1074">
      <c r="A1074" s="11"/>
      <c r="B1074" s="23"/>
      <c r="C1074" s="23"/>
      <c r="D1074" s="23"/>
      <c r="E1074" s="23"/>
      <c r="F1074" s="1"/>
      <c r="G1074" s="23"/>
      <c r="H1074" s="23"/>
      <c r="I1074" s="23"/>
      <c r="J1074" s="2" t="s">
        <v>200</v>
      </c>
      <c r="K1074" s="2" t="s">
        <v>200</v>
      </c>
      <c r="L1074" s="40"/>
      <c r="M1074" s="40"/>
      <c r="N1074" s="40"/>
      <c r="O1074" s="2"/>
      <c r="P1074" s="42"/>
      <c r="Q1074" s="42"/>
      <c r="R1074" s="42"/>
      <c r="S1074" s="42"/>
      <c r="T1074" s="42"/>
      <c r="U1074" s="42"/>
      <c r="V1074" s="42"/>
      <c r="W1074" s="42"/>
      <c r="X1074" s="42"/>
      <c r="Y1074" s="42"/>
      <c r="Z1074" s="42"/>
      <c r="AA1074" s="42"/>
      <c r="AB1074" s="42"/>
      <c r="AC1074" s="42"/>
      <c r="AD1074" s="37" t="s">
        <v>200</v>
      </c>
      <c r="AE1074" s="37" t="s">
        <v>200</v>
      </c>
      <c r="AF1074" s="37" t="s">
        <v>200</v>
      </c>
      <c r="AG1074" s="37"/>
      <c r="AI1074" s="24"/>
    </row>
    <row r="1075">
      <c r="A1075" s="11"/>
      <c r="B1075" s="23"/>
      <c r="C1075" s="23"/>
      <c r="D1075" s="23"/>
      <c r="E1075" s="23"/>
      <c r="F1075" s="1"/>
      <c r="G1075" s="23"/>
      <c r="H1075" s="23"/>
      <c r="I1075" s="23"/>
      <c r="J1075" s="2" t="s">
        <v>200</v>
      </c>
      <c r="K1075" s="2" t="s">
        <v>200</v>
      </c>
      <c r="L1075" s="40"/>
      <c r="M1075" s="40"/>
      <c r="N1075" s="40"/>
      <c r="O1075" s="2"/>
      <c r="P1075" s="42"/>
      <c r="Q1075" s="42"/>
      <c r="R1075" s="42"/>
      <c r="S1075" s="42"/>
      <c r="T1075" s="42"/>
      <c r="U1075" s="42"/>
      <c r="V1075" s="42"/>
      <c r="W1075" s="42"/>
      <c r="X1075" s="42"/>
      <c r="Y1075" s="42"/>
      <c r="Z1075" s="42"/>
      <c r="AA1075" s="42"/>
      <c r="AB1075" s="42"/>
      <c r="AC1075" s="42"/>
      <c r="AD1075" s="37" t="s">
        <v>200</v>
      </c>
      <c r="AE1075" s="37" t="s">
        <v>200</v>
      </c>
      <c r="AF1075" s="37" t="s">
        <v>200</v>
      </c>
      <c r="AG1075" s="37"/>
      <c r="AI1075" s="24"/>
    </row>
    <row r="1076">
      <c r="A1076" s="11"/>
      <c r="B1076" s="23"/>
      <c r="C1076" s="23"/>
      <c r="D1076" s="23"/>
      <c r="E1076" s="23"/>
      <c r="F1076" s="1"/>
      <c r="G1076" s="23"/>
      <c r="H1076" s="23"/>
      <c r="I1076" s="23"/>
      <c r="J1076" s="2" t="s">
        <v>200</v>
      </c>
      <c r="K1076" s="2" t="s">
        <v>200</v>
      </c>
      <c r="L1076" s="40"/>
      <c r="M1076" s="40"/>
      <c r="N1076" s="20"/>
      <c r="O1076" s="2"/>
      <c r="P1076" s="42"/>
      <c r="Q1076" s="42"/>
      <c r="R1076" s="42"/>
      <c r="S1076" s="42"/>
      <c r="T1076" s="42"/>
      <c r="U1076" s="42"/>
      <c r="V1076" s="42"/>
      <c r="W1076" s="42"/>
      <c r="X1076" s="42"/>
      <c r="Y1076" s="42"/>
      <c r="Z1076" s="42"/>
      <c r="AA1076" s="42"/>
      <c r="AB1076" s="42"/>
      <c r="AC1076" s="42"/>
      <c r="AD1076" s="37" t="s">
        <v>200</v>
      </c>
      <c r="AE1076" s="37" t="s">
        <v>200</v>
      </c>
      <c r="AF1076" s="37" t="s">
        <v>200</v>
      </c>
      <c r="AG1076" s="37"/>
      <c r="AI1076" s="24"/>
    </row>
  </sheetData>
  <dataValidations>
    <dataValidation type="list" allowBlank="1" showErrorMessage="1" sqref="O2:O1076">
      <formula1>"Pre test (diagnóstico),Post test (cierre)"</formula1>
    </dataValidation>
    <dataValidation type="list" allowBlank="1" showErrorMessage="1" sqref="F2:F1076">
      <formula1>IIEE[Institución educativa]</formula1>
    </dataValidation>
    <dataValidation type="list" allowBlank="1" showErrorMessage="1" sqref="AI2:AI1076">
      <formula1>Facilitador_a[Facilitador/a]</formula1>
    </dataValidation>
    <dataValidation type="list" allowBlank="1" showErrorMessage="1" sqref="L2:L1076">
      <formula1>"Madre,Padre,Otro"</formula1>
    </dataValidation>
  </dataValidations>
  <drawing r:id="rId1"/>
  <tableParts count="8">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8.63"/>
    <col customWidth="1" min="4" max="4" width="5.75"/>
    <col customWidth="1" min="5" max="5" width="2.88"/>
    <col customWidth="1" min="6" max="6" width="16.75"/>
    <col customWidth="1" min="7" max="10" width="14.38"/>
    <col customWidth="1" min="11" max="11" width="23.25"/>
    <col customWidth="1" min="12" max="12" width="22.25"/>
    <col customWidth="1" min="13" max="16" width="14.38"/>
    <col customWidth="1" min="17" max="17" width="20.0"/>
    <col customWidth="1" min="18" max="27" width="14.38"/>
    <col customWidth="1" min="28" max="28" width="45.75"/>
    <col customWidth="1" min="29" max="30" width="14.38"/>
    <col customWidth="1" min="31" max="31" width="16.75"/>
    <col customWidth="1" min="32" max="51" width="14.38"/>
  </cols>
  <sheetData>
    <row r="2">
      <c r="H2" s="2">
        <f t="array" ref="H2">SUM(IF(H4:H1578="",0,1))</f>
        <v>181</v>
      </c>
      <c r="I2" s="17" t="s">
        <v>1491</v>
      </c>
    </row>
    <row r="3">
      <c r="A3" s="17" t="s">
        <v>1492</v>
      </c>
      <c r="B3" s="2" t="str">
        <f>'Enc. Familias'!J1</f>
        <v>Apellidos y nombres</v>
      </c>
      <c r="C3" s="2">
        <f>COUNTA(C4:C1578)</f>
        <v>1075</v>
      </c>
      <c r="F3" s="42"/>
      <c r="G3" s="42"/>
      <c r="H3" s="42"/>
      <c r="I3" s="42"/>
      <c r="J3" s="16" t="s">
        <v>1493</v>
      </c>
      <c r="K3" s="16" t="s">
        <v>1494</v>
      </c>
      <c r="L3" s="16" t="s">
        <v>1495</v>
      </c>
      <c r="M3" s="16" t="s">
        <v>1496</v>
      </c>
      <c r="N3" s="42"/>
      <c r="O3" s="16" t="s">
        <v>1497</v>
      </c>
      <c r="P3" s="42"/>
      <c r="Q3" s="42"/>
      <c r="R3" s="42" t="str">
        <f>CONCATENATE(S5:V9)</f>
        <v>233</v>
      </c>
      <c r="S3" s="42"/>
      <c r="T3" s="42"/>
      <c r="U3" s="42"/>
      <c r="V3" s="42"/>
      <c r="W3" s="42"/>
      <c r="X3" s="42"/>
      <c r="Y3" s="42"/>
      <c r="Z3" s="42"/>
      <c r="AA3" s="42"/>
      <c r="AB3" s="42" t="str">
        <f>COUNTA(AB4:AB1578)/2&amp;" POR EVALUAR"</f>
        <v>28 POR EVALUAR</v>
      </c>
      <c r="AC3" s="42"/>
      <c r="AD3" s="42"/>
      <c r="AE3" s="42"/>
      <c r="AF3" s="42"/>
      <c r="AG3" s="42"/>
      <c r="AH3" s="42"/>
      <c r="AI3" s="42"/>
      <c r="AJ3" s="42"/>
      <c r="AK3" s="42" t="str">
        <f t="array" ref="AK3:BB3">'Enc. Familias'!P1:AG1</f>
        <v>TRUE - Cuando me enojo con mis hijos/as, me doy cuenta de cómo me siento.</v>
      </c>
      <c r="AL3" s="42" t="s">
        <v>171</v>
      </c>
      <c r="AM3" s="42" t="s">
        <v>172</v>
      </c>
      <c r="AN3" s="42" t="s">
        <v>173</v>
      </c>
      <c r="AO3" s="42" t="s">
        <v>174</v>
      </c>
      <c r="AP3" s="42" t="s">
        <v>175</v>
      </c>
      <c r="AQ3" s="42" t="s">
        <v>176</v>
      </c>
      <c r="AR3" s="42" t="s">
        <v>177</v>
      </c>
      <c r="AS3" s="42" t="s">
        <v>178</v>
      </c>
      <c r="AT3" s="42" t="s">
        <v>179</v>
      </c>
      <c r="AU3" s="42" t="s">
        <v>180</v>
      </c>
      <c r="AV3" s="42" t="s">
        <v>181</v>
      </c>
      <c r="AW3" s="42" t="s">
        <v>182</v>
      </c>
      <c r="AX3" s="42" t="s">
        <v>183</v>
      </c>
      <c r="AY3" s="42" t="s">
        <v>1498</v>
      </c>
      <c r="AZ3" s="2" t="s">
        <v>1499</v>
      </c>
      <c r="BA3" s="2" t="s">
        <v>1500</v>
      </c>
      <c r="BB3" s="2" t="s">
        <v>187</v>
      </c>
    </row>
    <row r="4">
      <c r="A4" s="17">
        <v>1.0</v>
      </c>
      <c r="B4" s="1" t="str">
        <f t="array" ref="B4:F1078">SORT(CHOOSECOLS('Enc. Familias'!G2:O1578,2,4,6,7,-1),2,false)</f>
        <v>0360305</v>
      </c>
      <c r="C4" s="2" t="s">
        <v>609</v>
      </c>
      <c r="D4" s="2" t="s">
        <v>193</v>
      </c>
      <c r="E4" s="2">
        <v>26.0</v>
      </c>
      <c r="F4" s="2" t="s">
        <v>194</v>
      </c>
      <c r="K4" s="2" t="str">
        <f>IFERROR(__xludf.DUMMYFUNCTION("TRIM(JOIN("" "",UNIQUE(TOCOL(ARRAYFORMULA(IF( SPLIT(C4,"" "")=TOCOL(SPLIT(C3,"" "")),SPLIT(C4,"" "")&amp;"" "",""""))))))"),"")</f>
        <v/>
      </c>
      <c r="L4" s="2" t="str">
        <f t="shared" ref="L4:L765" si="1">IF(((G4&lt;&gt;"")*(I4&lt;&gt;"")*(K4&lt;&gt;"")*( J4=FALSE)*( H4=""))&gt;=1,"EVALUAR","")&amp;IF(L5="EVALUAR","-&gt;WITH THIS","")</f>
        <v/>
      </c>
      <c r="M4" s="2">
        <f t="shared" ref="M4:M767" si="2">IF(H4="",A4,A3)</f>
        <v>1</v>
      </c>
      <c r="S4" s="17">
        <v>1.0</v>
      </c>
      <c r="T4" s="17">
        <v>23.0</v>
      </c>
      <c r="U4" s="17">
        <v>2.0</v>
      </c>
      <c r="V4" s="17">
        <v>3.0</v>
      </c>
      <c r="AA4" s="1" t="str">
        <f>IFERROR(__xludf.DUMMYFUNCTION("FILTER(B4:F1578,L4:L1578&lt;&gt;"""")"),"1505023")</f>
        <v>1505023</v>
      </c>
      <c r="AB4" s="2" t="str">
        <f>IFERROR(__xludf.DUMMYFUNCTION("""COMPUTED_VALUE"""),"YUDITH IRMA DAMIAN VALVERDE")</f>
        <v>YUDITH IRMA DAMIAN VALVERDE</v>
      </c>
      <c r="AC4" s="2" t="str">
        <f>IFERROR(__xludf.DUMMYFUNCTION("""COMPUTED_VALUE"""),"Madre")</f>
        <v>Madre</v>
      </c>
      <c r="AD4" s="2">
        <f>IFERROR(__xludf.DUMMYFUNCTION("""COMPUTED_VALUE"""),30.0)</f>
        <v>30</v>
      </c>
      <c r="AE4" s="2" t="str">
        <f>IFERROR(__xludf.DUMMYFUNCTION("""COMPUTED_VALUE"""),"Pre test (diagnóstico)")</f>
        <v>Pre test (diagnóstico)</v>
      </c>
      <c r="AK4" s="2">
        <f t="array" ref="AK4:AK9">SORT(UNIQUE('Enc. Familias'!P2:P1578))</f>
        <v>1</v>
      </c>
      <c r="AL4" s="2">
        <f t="array" ref="AL4:AL9">SORT(UNIQUE('Enc. Familias'!Q2:Q1578))</f>
        <v>1</v>
      </c>
      <c r="AM4" s="2">
        <f t="array" ref="AM4:AM9">SORT(UNIQUE('Enc. Familias'!R2:R1578))</f>
        <v>1</v>
      </c>
      <c r="AN4" s="2">
        <f t="array" ref="AN4:AN9">SORT(UNIQUE('Enc. Familias'!S2:S1578))</f>
        <v>1</v>
      </c>
      <c r="AO4" s="2">
        <f t="array" ref="AO4:AO9">SORT(UNIQUE('Enc. Familias'!T2:T1578))</f>
        <v>1</v>
      </c>
      <c r="AP4" s="2">
        <f t="array" ref="AP4:AP9">SORT(UNIQUE('Enc. Familias'!U2:U1578))</f>
        <v>1</v>
      </c>
      <c r="AQ4" s="2">
        <f t="array" ref="AQ4:AQ9">SORT(UNIQUE('Enc. Familias'!V2:V1578))</f>
        <v>1</v>
      </c>
      <c r="AR4" s="2">
        <f t="array" ref="AR4:AR10">SORT(UNIQUE('Enc. Familias'!W2:W1578))</f>
        <v>1</v>
      </c>
      <c r="AS4" s="2">
        <f t="array" ref="AS4:AS9">SORT(UNIQUE('Enc. Familias'!X2:X1578))</f>
        <v>1</v>
      </c>
      <c r="AT4" s="2">
        <f t="array" ref="AT4:AT9">SORT(UNIQUE('Enc. Familias'!Y2:Y1578))</f>
        <v>1</v>
      </c>
      <c r="AU4" s="2">
        <f t="array" ref="AU4:AU10">SORT(UNIQUE('Enc. Familias'!Z2:Z1578))</f>
        <v>0</v>
      </c>
      <c r="AV4" s="2">
        <f t="array" ref="AV4:AV9">SORT(UNIQUE('Enc. Familias'!AA2:AA1578))</f>
        <v>1</v>
      </c>
      <c r="AW4" s="2">
        <f t="array" ref="AW4:AW9">SORT(UNIQUE('Enc. Familias'!AB2:AB1578))</f>
        <v>1</v>
      </c>
      <c r="AX4" s="2">
        <f t="array" ref="AX4:AX9">SORT(UNIQUE('Enc. Familias'!AC2:AC1578))</f>
        <v>1</v>
      </c>
      <c r="AY4" s="2" t="str">
        <f t="array" ref="AY4:AY633">SORT(UNIQUE('Enc. Familias'!AG2:AG1578))</f>
        <v> A conversar con mi hija, preguntar como se siente</v>
      </c>
    </row>
    <row r="5">
      <c r="A5" s="2">
        <f t="shared" ref="A5:A767" si="3">1+A4</f>
        <v>2</v>
      </c>
      <c r="B5" s="1" t="s">
        <v>573</v>
      </c>
      <c r="C5" s="2" t="s">
        <v>1175</v>
      </c>
      <c r="D5" s="2" t="s">
        <v>193</v>
      </c>
      <c r="E5" s="2">
        <v>39.0</v>
      </c>
      <c r="F5" s="2" t="s">
        <v>428</v>
      </c>
      <c r="G5" s="2" t="str">
        <f t="shared" ref="G5:G767" si="4">IF(E4=E5,"misma edad","")</f>
        <v/>
      </c>
      <c r="H5" s="2" t="str">
        <f t="shared" ref="H5:H767" si="5">IF(C5=C4,"mismo nombre","")</f>
        <v/>
      </c>
      <c r="I5" s="2" t="str">
        <f t="shared" ref="I5:I767" si="6">IF(B4=B5,"mismo colegio","")</f>
        <v/>
      </c>
      <c r="J5" s="2" t="b">
        <f t="shared" ref="J5:J767" si="7">F5=F4</f>
        <v>0</v>
      </c>
      <c r="K5" s="2" t="str">
        <f>IFERROR(__xludf.DUMMYFUNCTION("TRIM(JOIN("" "",UNIQUE(TOCOL(ARRAYFORMULA(IF( SPLIT(C5,"" "")=TOCOL(SPLIT(C4,"" "")),SPLIT(C5,"" "")&amp;"" "",""""))))))"),"")</f>
        <v/>
      </c>
      <c r="L5" s="2" t="str">
        <f t="shared" si="1"/>
        <v/>
      </c>
      <c r="M5" s="2">
        <f t="shared" si="2"/>
        <v>2</v>
      </c>
      <c r="R5" s="17">
        <v>12.0</v>
      </c>
      <c r="S5" s="2" t="str">
        <f t="array" ref="S5:V9">IF(R5:R9=S4:V4,R5:R9,"")</f>
        <v/>
      </c>
      <c r="T5" s="2" t="s">
        <v>200</v>
      </c>
      <c r="U5" s="2" t="s">
        <v>200</v>
      </c>
      <c r="V5" s="2" t="s">
        <v>200</v>
      </c>
      <c r="AA5" s="1" t="str">
        <f>IFERROR(__xludf.DUMMYFUNCTION("""COMPUTED_VALUE"""),"1505023")</f>
        <v>1505023</v>
      </c>
      <c r="AB5" s="2" t="str">
        <f>IFERROR(__xludf.DUMMYFUNCTION("""COMPUTED_VALUE"""),"YUDITH DAMIAN VALVERDE")</f>
        <v>YUDITH DAMIAN VALVERDE</v>
      </c>
      <c r="AC5" s="2" t="str">
        <f>IFERROR(__xludf.DUMMYFUNCTION("""COMPUTED_VALUE"""),"Madre")</f>
        <v>Madre</v>
      </c>
      <c r="AD5" s="2">
        <f>IFERROR(__xludf.DUMMYFUNCTION("""COMPUTED_VALUE"""),30.0)</f>
        <v>30</v>
      </c>
      <c r="AE5" s="2" t="str">
        <f>IFERROR(__xludf.DUMMYFUNCTION("""COMPUTED_VALUE"""),"Post test (cierre)")</f>
        <v>Post test (cierre)</v>
      </c>
      <c r="AF5" s="2" t="str">
        <f>IFERROR(__xludf.DUMMYFUNCTION("TRIM(JOIN("" "",UNIQUE(TOCOL(ARRAYFORMULA(IF( SPLIT(AB5,"" "")=TOCOL(SPLIT(AB4,"" "")),SPLIT(AB5,"" "")&amp;"" "",""""))))))"),"YUDITH DAMIAN VALVERDE")</f>
        <v>YUDITH DAMIAN VALVERDE</v>
      </c>
      <c r="AK5" s="2">
        <v>2.0</v>
      </c>
      <c r="AL5" s="2">
        <v>2.0</v>
      </c>
      <c r="AM5" s="2">
        <v>2.0</v>
      </c>
      <c r="AN5" s="2">
        <v>2.0</v>
      </c>
      <c r="AO5" s="2">
        <v>2.0</v>
      </c>
      <c r="AP5" s="2">
        <v>2.0</v>
      </c>
      <c r="AQ5" s="2">
        <v>2.0</v>
      </c>
      <c r="AR5" s="2">
        <v>2.0</v>
      </c>
      <c r="AS5" s="2">
        <v>2.0</v>
      </c>
      <c r="AT5" s="2">
        <v>2.0</v>
      </c>
      <c r="AU5" s="2">
        <v>1.0</v>
      </c>
      <c r="AV5" s="2">
        <v>2.0</v>
      </c>
      <c r="AW5" s="2">
        <v>2.0</v>
      </c>
      <c r="AX5" s="2">
        <v>2.0</v>
      </c>
      <c r="AY5" s="2" t="s">
        <v>644</v>
      </c>
    </row>
    <row r="6">
      <c r="A6" s="2">
        <f t="shared" si="3"/>
        <v>3</v>
      </c>
      <c r="B6" s="1" t="s">
        <v>668</v>
      </c>
      <c r="C6" s="2" t="s">
        <v>674</v>
      </c>
      <c r="D6" s="2" t="s">
        <v>193</v>
      </c>
      <c r="E6" s="2">
        <v>39.0</v>
      </c>
      <c r="F6" s="2" t="s">
        <v>194</v>
      </c>
      <c r="G6" s="2" t="str">
        <f t="shared" si="4"/>
        <v>misma edad</v>
      </c>
      <c r="H6" s="2" t="str">
        <f t="shared" si="5"/>
        <v/>
      </c>
      <c r="I6" s="2" t="str">
        <f t="shared" si="6"/>
        <v/>
      </c>
      <c r="J6" s="2" t="b">
        <f t="shared" si="7"/>
        <v>0</v>
      </c>
      <c r="K6" s="2" t="str">
        <f>IFERROR(__xludf.DUMMYFUNCTION("TRIM(JOIN("" "",UNIQUE(TOCOL(ARRAYFORMULA(IF( SPLIT(C6,"" "")=TOCOL(SPLIT(C5,"" "")),SPLIT(C6,"" "")&amp;"" "",""""))))))"),"")</f>
        <v/>
      </c>
      <c r="L6" s="2" t="str">
        <f t="shared" si="1"/>
        <v/>
      </c>
      <c r="M6" s="2">
        <f t="shared" si="2"/>
        <v>3</v>
      </c>
      <c r="R6" s="17">
        <v>2.0</v>
      </c>
      <c r="S6" s="2" t="s">
        <v>200</v>
      </c>
      <c r="T6" s="2" t="s">
        <v>200</v>
      </c>
      <c r="U6" s="2">
        <v>2.0</v>
      </c>
      <c r="V6" s="2" t="s">
        <v>200</v>
      </c>
      <c r="AA6" s="1" t="str">
        <f>IFERROR(__xludf.DUMMYFUNCTION("""COMPUTED_VALUE"""),"0509711")</f>
        <v>0509711</v>
      </c>
      <c r="AB6" s="2" t="str">
        <f>IFERROR(__xludf.DUMMYFUNCTION("""COMPUTED_VALUE"""),"YANIRA RAMOS GUERRA")</f>
        <v>YANIRA RAMOS GUERRA</v>
      </c>
      <c r="AC6" s="2" t="str">
        <f>IFERROR(__xludf.DUMMYFUNCTION("""COMPUTED_VALUE"""),"Madre")</f>
        <v>Madre</v>
      </c>
      <c r="AD6" s="2">
        <f>IFERROR(__xludf.DUMMYFUNCTION("""COMPUTED_VALUE"""),39.0)</f>
        <v>39</v>
      </c>
      <c r="AE6" s="2" t="str">
        <f>IFERROR(__xludf.DUMMYFUNCTION("""COMPUTED_VALUE"""),"Pre test (diagnóstico)")</f>
        <v>Pre test (diagnóstico)</v>
      </c>
      <c r="AF6" s="2" t="str">
        <f>IFERROR(__xludf.DUMMYFUNCTION("TRIM(JOIN("" "",UNIQUE(TOCOL(ARRAYFORMULA(IF( SPLIT(AB6,"" "")=TOCOL(SPLIT(AB5,"" "")),SPLIT(AB6,"" "")&amp;"" "",""""))))))"),"")</f>
        <v/>
      </c>
      <c r="AK6" s="2">
        <v>3.0</v>
      </c>
      <c r="AL6" s="2">
        <v>3.0</v>
      </c>
      <c r="AM6" s="2">
        <v>3.0</v>
      </c>
      <c r="AN6" s="2">
        <v>3.0</v>
      </c>
      <c r="AO6" s="2">
        <v>3.0</v>
      </c>
      <c r="AP6" s="2">
        <v>3.0</v>
      </c>
      <c r="AQ6" s="2">
        <v>3.0</v>
      </c>
      <c r="AR6" s="2">
        <v>3.0</v>
      </c>
      <c r="AS6" s="2">
        <v>3.0</v>
      </c>
      <c r="AT6" s="2">
        <v>3.0</v>
      </c>
      <c r="AU6" s="2">
        <v>2.0</v>
      </c>
      <c r="AV6" s="2">
        <v>3.0</v>
      </c>
      <c r="AW6" s="2">
        <v>3.0</v>
      </c>
      <c r="AX6" s="2">
        <v>3.0</v>
      </c>
      <c r="AY6" s="2" t="s">
        <v>949</v>
      </c>
    </row>
    <row r="7">
      <c r="A7" s="2">
        <f t="shared" si="3"/>
        <v>4</v>
      </c>
      <c r="B7" s="1" t="s">
        <v>668</v>
      </c>
      <c r="C7" s="2" t="s">
        <v>674</v>
      </c>
      <c r="D7" s="2" t="s">
        <v>193</v>
      </c>
      <c r="E7" s="2">
        <v>39.0</v>
      </c>
      <c r="F7" s="2" t="s">
        <v>428</v>
      </c>
      <c r="G7" s="2" t="str">
        <f t="shared" si="4"/>
        <v>misma edad</v>
      </c>
      <c r="H7" s="2" t="str">
        <f t="shared" si="5"/>
        <v>mismo nombre</v>
      </c>
      <c r="I7" s="2" t="str">
        <f t="shared" si="6"/>
        <v>mismo colegio</v>
      </c>
      <c r="J7" s="2" t="b">
        <f t="shared" si="7"/>
        <v>0</v>
      </c>
      <c r="K7" s="2" t="str">
        <f>IFERROR(__xludf.DUMMYFUNCTION("TRIM(JOIN("" "",UNIQUE(TOCOL(ARRAYFORMULA(IF( SPLIT(C7,"" "")=TOCOL(SPLIT(C6,"" "")),SPLIT(C7,"" "")&amp;"" "",""""))))))"),"ZORRILLA BAZAN BEATRIZ")</f>
        <v>ZORRILLA BAZAN BEATRIZ</v>
      </c>
      <c r="L7" s="2" t="str">
        <f t="shared" si="1"/>
        <v/>
      </c>
      <c r="M7" s="2">
        <f t="shared" si="2"/>
        <v>3</v>
      </c>
      <c r="R7" s="17">
        <v>3.0</v>
      </c>
      <c r="S7" s="2" t="s">
        <v>200</v>
      </c>
      <c r="T7" s="2" t="s">
        <v>200</v>
      </c>
      <c r="U7" s="2" t="s">
        <v>200</v>
      </c>
      <c r="V7" s="2">
        <v>3.0</v>
      </c>
      <c r="AA7" s="1" t="str">
        <f>IFERROR(__xludf.DUMMYFUNCTION("""COMPUTED_VALUE"""),"0509711")</f>
        <v>0509711</v>
      </c>
      <c r="AB7" s="2" t="str">
        <f>IFERROR(__xludf.DUMMYFUNCTION("""COMPUTED_VALUE"""),"YANINA RAMOS GUERRA")</f>
        <v>YANINA RAMOS GUERRA</v>
      </c>
      <c r="AC7" s="2" t="str">
        <f>IFERROR(__xludf.DUMMYFUNCTION("""COMPUTED_VALUE"""),"Madre")</f>
        <v>Madre</v>
      </c>
      <c r="AD7" s="2">
        <f>IFERROR(__xludf.DUMMYFUNCTION("""COMPUTED_VALUE"""),39.0)</f>
        <v>39</v>
      </c>
      <c r="AE7" s="2" t="str">
        <f>IFERROR(__xludf.DUMMYFUNCTION("""COMPUTED_VALUE"""),"Post test (cierre)")</f>
        <v>Post test (cierre)</v>
      </c>
      <c r="AF7" s="2" t="str">
        <f>IFERROR(__xludf.DUMMYFUNCTION("TRIM(JOIN("" "",UNIQUE(TOCOL(ARRAYFORMULA(IF( SPLIT(AB7,"" "")=TOCOL(SPLIT(AB6,"" "")),SPLIT(AB7,"" "")&amp;"" "",""""))))))"),"RAMOS GUERRA")</f>
        <v>RAMOS GUERRA</v>
      </c>
      <c r="AK7" s="2">
        <v>4.0</v>
      </c>
      <c r="AL7" s="2">
        <v>4.0</v>
      </c>
      <c r="AM7" s="2">
        <v>4.0</v>
      </c>
      <c r="AN7" s="2">
        <v>4.0</v>
      </c>
      <c r="AO7" s="2">
        <v>4.0</v>
      </c>
      <c r="AP7" s="2">
        <v>4.0</v>
      </c>
      <c r="AQ7" s="2">
        <v>4.0</v>
      </c>
      <c r="AR7" s="2">
        <v>4.0</v>
      </c>
      <c r="AS7" s="2">
        <v>4.0</v>
      </c>
      <c r="AT7" s="2">
        <v>4.0</v>
      </c>
      <c r="AU7" s="2">
        <v>3.0</v>
      </c>
      <c r="AV7" s="2">
        <v>4.0</v>
      </c>
      <c r="AW7" s="2">
        <v>4.0</v>
      </c>
      <c r="AX7" s="2">
        <v>4.0</v>
      </c>
      <c r="AY7" s="2" t="s">
        <v>1283</v>
      </c>
    </row>
    <row r="8">
      <c r="A8" s="2">
        <f t="shared" si="3"/>
        <v>5</v>
      </c>
      <c r="B8" s="1" t="s">
        <v>928</v>
      </c>
      <c r="C8" s="2" t="s">
        <v>1318</v>
      </c>
      <c r="D8" s="2" t="s">
        <v>193</v>
      </c>
      <c r="E8" s="2">
        <v>32.0</v>
      </c>
      <c r="F8" s="2" t="s">
        <v>428</v>
      </c>
      <c r="G8" s="2" t="str">
        <f t="shared" si="4"/>
        <v/>
      </c>
      <c r="H8" s="2" t="str">
        <f t="shared" si="5"/>
        <v/>
      </c>
      <c r="I8" s="2" t="str">
        <f t="shared" si="6"/>
        <v/>
      </c>
      <c r="J8" s="2" t="b">
        <f t="shared" si="7"/>
        <v>1</v>
      </c>
      <c r="K8" s="2" t="str">
        <f>IFERROR(__xludf.DUMMYFUNCTION("TRIM(JOIN("" "",UNIQUE(TOCOL(ARRAYFORMULA(IF( SPLIT(C8,"" "")=TOCOL(SPLIT(C7,"" "")),SPLIT(C8,"" "")&amp;"" "",""""))))))"),"")</f>
        <v/>
      </c>
      <c r="L8" s="2" t="str">
        <f t="shared" si="1"/>
        <v/>
      </c>
      <c r="M8" s="2">
        <f t="shared" si="2"/>
        <v>5</v>
      </c>
      <c r="R8" s="17">
        <v>3.0</v>
      </c>
      <c r="S8" s="2" t="s">
        <v>200</v>
      </c>
      <c r="T8" s="2" t="s">
        <v>200</v>
      </c>
      <c r="U8" s="2" t="s">
        <v>200</v>
      </c>
      <c r="V8" s="2">
        <v>3.0</v>
      </c>
      <c r="AA8" s="1" t="str">
        <f>IFERROR(__xludf.DUMMYFUNCTION("""COMPUTED_VALUE"""),"0509711")</f>
        <v>0509711</v>
      </c>
      <c r="AB8" s="2" t="str">
        <f>IFERROR(__xludf.DUMMYFUNCTION("""COMPUTED_VALUE"""),"WILMER RIOS DIANES")</f>
        <v>WILMER RIOS DIANES</v>
      </c>
      <c r="AC8" s="2" t="str">
        <f>IFERROR(__xludf.DUMMYFUNCTION("""COMPUTED_VALUE"""),"Padre")</f>
        <v>Padre</v>
      </c>
      <c r="AD8" s="2">
        <f>IFERROR(__xludf.DUMMYFUNCTION("""COMPUTED_VALUE"""),38.0)</f>
        <v>38</v>
      </c>
      <c r="AE8" s="2" t="str">
        <f>IFERROR(__xludf.DUMMYFUNCTION("""COMPUTED_VALUE"""),"Pre test (diagnóstico)")</f>
        <v>Pre test (diagnóstico)</v>
      </c>
      <c r="AF8" s="2" t="str">
        <f>IFERROR(__xludf.DUMMYFUNCTION("TRIM(JOIN("" "",UNIQUE(TOCOL(ARRAYFORMULA(IF( SPLIT(AB8,"" "")=TOCOL(SPLIT(AB7,"" "")),SPLIT(AB8,"" "")&amp;"" "",""""))))))"),"")</f>
        <v/>
      </c>
      <c r="AK8" s="2">
        <v>5.0</v>
      </c>
      <c r="AL8" s="2">
        <v>5.0</v>
      </c>
      <c r="AM8" s="2">
        <v>5.0</v>
      </c>
      <c r="AN8" s="2">
        <v>5.0</v>
      </c>
      <c r="AO8" s="2">
        <v>5.0</v>
      </c>
      <c r="AP8" s="2">
        <v>5.0</v>
      </c>
      <c r="AQ8" s="2">
        <v>5.0</v>
      </c>
      <c r="AR8" s="2">
        <v>5.0</v>
      </c>
      <c r="AS8" s="2">
        <v>5.0</v>
      </c>
      <c r="AT8" s="2">
        <v>5.0</v>
      </c>
      <c r="AU8" s="2">
        <v>4.0</v>
      </c>
      <c r="AV8" s="2">
        <v>5.0</v>
      </c>
      <c r="AW8" s="2">
        <v>5.0</v>
      </c>
      <c r="AX8" s="2">
        <v>5.0</v>
      </c>
      <c r="AY8" s="2" t="s">
        <v>1180</v>
      </c>
    </row>
    <row r="9">
      <c r="A9" s="2">
        <f t="shared" si="3"/>
        <v>6</v>
      </c>
      <c r="B9" s="1" t="s">
        <v>968</v>
      </c>
      <c r="C9" s="2" t="s">
        <v>972</v>
      </c>
      <c r="D9" s="2" t="s">
        <v>193</v>
      </c>
      <c r="E9" s="2">
        <v>45.0</v>
      </c>
      <c r="F9" s="2" t="s">
        <v>194</v>
      </c>
      <c r="G9" s="2" t="str">
        <f t="shared" si="4"/>
        <v/>
      </c>
      <c r="H9" s="2" t="str">
        <f t="shared" si="5"/>
        <v/>
      </c>
      <c r="I9" s="2" t="str">
        <f t="shared" si="6"/>
        <v/>
      </c>
      <c r="J9" s="2" t="b">
        <f t="shared" si="7"/>
        <v>0</v>
      </c>
      <c r="K9" s="2" t="str">
        <f>IFERROR(__xludf.DUMMYFUNCTION("TRIM(JOIN("" "",UNIQUE(TOCOL(ARRAYFORMULA(IF( SPLIT(C9,"" "")=TOCOL(SPLIT(C8,"" "")),SPLIT(C9,"" "")&amp;"" "",""""))))))"),"ZORAIDA")</f>
        <v>ZORAIDA</v>
      </c>
      <c r="L9" s="2" t="str">
        <f t="shared" si="1"/>
        <v/>
      </c>
      <c r="M9" s="2">
        <f t="shared" si="2"/>
        <v>6</v>
      </c>
      <c r="R9" s="17">
        <v>434.0</v>
      </c>
      <c r="S9" s="2" t="s">
        <v>200</v>
      </c>
      <c r="T9" s="2" t="s">
        <v>200</v>
      </c>
      <c r="U9" s="2" t="s">
        <v>200</v>
      </c>
      <c r="V9" s="2" t="s">
        <v>200</v>
      </c>
      <c r="AA9" s="1" t="str">
        <f>IFERROR(__xludf.DUMMYFUNCTION("""COMPUTED_VALUE"""),"0509711")</f>
        <v>0509711</v>
      </c>
      <c r="AB9" s="2" t="str">
        <f>IFERROR(__xludf.DUMMYFUNCTION("""COMPUTED_VALUE"""),"WILMER RIOS CHAVEZ | ANGELICA DIAZ LLIUYA")</f>
        <v>WILMER RIOS CHAVEZ | ANGELICA DIAZ LLIUYA</v>
      </c>
      <c r="AC9" s="2" t="str">
        <f>IFERROR(__xludf.DUMMYFUNCTION("""COMPUTED_VALUE"""),"Padre")</f>
        <v>Padre</v>
      </c>
      <c r="AD9" s="2">
        <f>IFERROR(__xludf.DUMMYFUNCTION("""COMPUTED_VALUE"""),38.0)</f>
        <v>38</v>
      </c>
      <c r="AE9" s="2" t="str">
        <f>IFERROR(__xludf.DUMMYFUNCTION("""COMPUTED_VALUE"""),"Post test (cierre)")</f>
        <v>Post test (cierre)</v>
      </c>
      <c r="AF9" s="2" t="str">
        <f>IFERROR(__xludf.DUMMYFUNCTION("TRIM(JOIN("" "",UNIQUE(TOCOL(ARRAYFORMULA(IF( SPLIT(AB9,"" "")=TOCOL(SPLIT(AB8,"" "")),SPLIT(AB9,"" "")&amp;"" "",""""))))))"),"WILMER RIOS")</f>
        <v>WILMER RIOS</v>
      </c>
      <c r="AK9" s="2"/>
      <c r="AL9" s="2"/>
      <c r="AM9" s="2"/>
      <c r="AN9" s="2"/>
      <c r="AO9" s="2"/>
      <c r="AP9" s="2"/>
      <c r="AQ9" s="2"/>
      <c r="AR9" s="2">
        <v>8.0</v>
      </c>
      <c r="AS9" s="2"/>
      <c r="AT9" s="2"/>
      <c r="AU9" s="2">
        <v>5.0</v>
      </c>
      <c r="AV9" s="2"/>
      <c r="AW9" s="2"/>
      <c r="AX9" s="2"/>
      <c r="AY9" s="2" t="s">
        <v>1207</v>
      </c>
    </row>
    <row r="10">
      <c r="A10" s="2">
        <f t="shared" si="3"/>
        <v>7</v>
      </c>
      <c r="B10" s="1" t="s">
        <v>968</v>
      </c>
      <c r="C10" s="2" t="s">
        <v>972</v>
      </c>
      <c r="D10" s="2" t="s">
        <v>193</v>
      </c>
      <c r="E10" s="2">
        <v>45.0</v>
      </c>
      <c r="F10" s="2" t="s">
        <v>428</v>
      </c>
      <c r="G10" s="2" t="str">
        <f t="shared" si="4"/>
        <v>misma edad</v>
      </c>
      <c r="H10" s="2" t="str">
        <f t="shared" si="5"/>
        <v>mismo nombre</v>
      </c>
      <c r="I10" s="2" t="str">
        <f t="shared" si="6"/>
        <v>mismo colegio</v>
      </c>
      <c r="J10" s="2" t="b">
        <f t="shared" si="7"/>
        <v>0</v>
      </c>
      <c r="K10" s="2" t="str">
        <f>IFERROR(__xludf.DUMMYFUNCTION("TRIM(JOIN("" "",UNIQUE(TOCOL(ARRAYFORMULA(IF( SPLIT(C10,"" "")=TOCOL(SPLIT(C9,"" "")),SPLIT(C10,"" "")&amp;"" "",""""))))))"),"ZORAIDA JESUS TRINIDAD")</f>
        <v>ZORAIDA JESUS TRINIDAD</v>
      </c>
      <c r="L10" s="2" t="str">
        <f t="shared" si="1"/>
        <v/>
      </c>
      <c r="M10" s="2">
        <f t="shared" si="2"/>
        <v>6</v>
      </c>
      <c r="AA10" s="1" t="str">
        <f>IFERROR(__xludf.DUMMYFUNCTION("""COMPUTED_VALUE"""),"0509711")</f>
        <v>0509711</v>
      </c>
      <c r="AB10" s="2" t="str">
        <f>IFERROR(__xludf.DUMMYFUNCTION("""COMPUTED_VALUE"""),"WAGNER FERNANDEZ AIRA | FLOR HUERTA MALLQUI")</f>
        <v>WAGNER FERNANDEZ AIRA | FLOR HUERTA MALLQUI</v>
      </c>
      <c r="AC10" s="2" t="str">
        <f>IFERROR(__xludf.DUMMYFUNCTION("""COMPUTED_VALUE"""),"Madre")</f>
        <v>Madre</v>
      </c>
      <c r="AD10" s="2">
        <f>IFERROR(__xludf.DUMMYFUNCTION("""COMPUTED_VALUE"""),39.0)</f>
        <v>39</v>
      </c>
      <c r="AE10" s="2" t="str">
        <f>IFERROR(__xludf.DUMMYFUNCTION("""COMPUTED_VALUE"""),"Post test (cierre)")</f>
        <v>Post test (cierre)</v>
      </c>
      <c r="AF10" s="2" t="str">
        <f>IFERROR(__xludf.DUMMYFUNCTION("TRIM(JOIN("" "",UNIQUE(TOCOL(ARRAYFORMULA(IF( SPLIT(AB10,"" "")=TOCOL(SPLIT(AB9,"" "")),SPLIT(AB10,"" "")&amp;"" "",""""))))))"),"|")</f>
        <v>|</v>
      </c>
      <c r="AR10" s="2"/>
      <c r="AU10" s="2"/>
      <c r="AY10" s="2" t="s">
        <v>1251</v>
      </c>
    </row>
    <row r="11">
      <c r="A11" s="2">
        <f t="shared" si="3"/>
        <v>8</v>
      </c>
      <c r="B11" s="1" t="s">
        <v>105</v>
      </c>
      <c r="C11" s="2" t="s">
        <v>414</v>
      </c>
      <c r="D11" s="2" t="s">
        <v>193</v>
      </c>
      <c r="E11" s="2">
        <v>43.0</v>
      </c>
      <c r="F11" s="2" t="s">
        <v>194</v>
      </c>
      <c r="G11" s="2" t="str">
        <f t="shared" si="4"/>
        <v/>
      </c>
      <c r="H11" s="2" t="str">
        <f t="shared" si="5"/>
        <v/>
      </c>
      <c r="I11" s="2" t="str">
        <f t="shared" si="6"/>
        <v/>
      </c>
      <c r="J11" s="2" t="b">
        <f t="shared" si="7"/>
        <v>0</v>
      </c>
      <c r="K11" s="2" t="str">
        <f>IFERROR(__xludf.DUMMYFUNCTION("TRIM(JOIN("" "",UNIQUE(TOCOL(ARRAYFORMULA(IF( SPLIT(C11,"" "")=TOCOL(SPLIT(C10,"" "")),SPLIT(C11,"" "")&amp;"" "",""""))))))"),"")</f>
        <v/>
      </c>
      <c r="L11" s="2" t="str">
        <f t="shared" si="1"/>
        <v/>
      </c>
      <c r="M11" s="2">
        <f t="shared" si="2"/>
        <v>8</v>
      </c>
      <c r="O11" s="2" t="str">
        <f>IFERROR(__xludf.DUMMYFUNCTION("ARRAYFORMULA(IF( TOCOL(SPLIT(C21,"" ""))=(SPLIT(C20,"" "")),TOCOL(SPLIT(C21,"" ""))&amp;"" "",""""))"),"YUPA ")</f>
        <v>YUPA </v>
      </c>
      <c r="P11" s="2" t="str">
        <f>IFERROR(__xludf.DUMMYFUNCTION("""COMPUTED_VALUE"""),"")</f>
        <v/>
      </c>
      <c r="Q11" s="2" t="str">
        <f>IFERROR(__xludf.DUMMYFUNCTION("""COMPUTED_VALUE"""),"")</f>
        <v/>
      </c>
      <c r="AA11" s="1" t="str">
        <f>IFERROR(__xludf.DUMMYFUNCTION("""COMPUTED_VALUE"""),"0509711")</f>
        <v>0509711</v>
      </c>
      <c r="AB11" s="2" t="str">
        <f>IFERROR(__xludf.DUMMYFUNCTION("""COMPUTED_VALUE"""),"WAGNER FERNANDEZ AIRA")</f>
        <v>WAGNER FERNANDEZ AIRA</v>
      </c>
      <c r="AC11" s="2" t="str">
        <f>IFERROR(__xludf.DUMMYFUNCTION("""COMPUTED_VALUE"""),"Padre")</f>
        <v>Padre</v>
      </c>
      <c r="AD11" s="2">
        <f>IFERROR(__xludf.DUMMYFUNCTION("""COMPUTED_VALUE"""),39.0)</f>
        <v>39</v>
      </c>
      <c r="AE11" s="2" t="str">
        <f>IFERROR(__xludf.DUMMYFUNCTION("""COMPUTED_VALUE"""),"Pre test (diagnóstico)")</f>
        <v>Pre test (diagnóstico)</v>
      </c>
      <c r="AF11" s="2" t="str">
        <f>IFERROR(__xludf.DUMMYFUNCTION("TRIM(JOIN("" "",UNIQUE(TOCOL(ARRAYFORMULA(IF( SPLIT(AB11,"" "")=TOCOL(SPLIT(AB10,"" "")),SPLIT(AB11,"" "")&amp;"" "",""""))))))"),"WAGNER FERNANDEZ AIRA")</f>
        <v>WAGNER FERNANDEZ AIRA</v>
      </c>
      <c r="AY11" s="2" t="s">
        <v>1319</v>
      </c>
    </row>
    <row r="12">
      <c r="A12" s="2">
        <f t="shared" si="3"/>
        <v>9</v>
      </c>
      <c r="B12" s="1" t="s">
        <v>105</v>
      </c>
      <c r="C12" s="2" t="s">
        <v>414</v>
      </c>
      <c r="D12" s="2" t="s">
        <v>193</v>
      </c>
      <c r="E12" s="2">
        <v>43.0</v>
      </c>
      <c r="F12" s="2" t="s">
        <v>428</v>
      </c>
      <c r="G12" s="2" t="str">
        <f t="shared" si="4"/>
        <v>misma edad</v>
      </c>
      <c r="H12" s="2" t="str">
        <f t="shared" si="5"/>
        <v>mismo nombre</v>
      </c>
      <c r="I12" s="2" t="str">
        <f t="shared" si="6"/>
        <v>mismo colegio</v>
      </c>
      <c r="J12" s="2" t="b">
        <f t="shared" si="7"/>
        <v>0</v>
      </c>
      <c r="K12" s="2" t="str">
        <f>IFERROR(__xludf.DUMMYFUNCTION("TRIM(JOIN("" "",UNIQUE(TOCOL(ARRAYFORMULA(IF( SPLIT(C12,"" "")=TOCOL(SPLIT(C11,"" "")),SPLIT(C12,"" "")&amp;"" "",""""))))))"),"ZONIA MARGOT RIVERA CALDERÓN")</f>
        <v>ZONIA MARGOT RIVERA CALDERÓN</v>
      </c>
      <c r="L12" s="2" t="str">
        <f t="shared" si="1"/>
        <v/>
      </c>
      <c r="M12" s="2">
        <f t="shared" si="2"/>
        <v>8</v>
      </c>
      <c r="O12" s="2" t="str">
        <f>IFERROR(__xludf.DUMMYFUNCTION("""COMPUTED_VALUE"""),"")</f>
        <v/>
      </c>
      <c r="P12" s="2" t="str">
        <f>IFERROR(__xludf.DUMMYFUNCTION("""COMPUTED_VALUE"""),"PADILLA ")</f>
        <v>PADILLA </v>
      </c>
      <c r="Q12" s="2" t="str">
        <f>IFERROR(__xludf.DUMMYFUNCTION("""COMPUTED_VALUE"""),"")</f>
        <v/>
      </c>
      <c r="AA12" s="1" t="str">
        <f>IFERROR(__xludf.DUMMYFUNCTION("""COMPUTED_VALUE"""),"0509711")</f>
        <v>0509711</v>
      </c>
      <c r="AB12" s="2" t="str">
        <f>IFERROR(__xludf.DUMMYFUNCTION("""COMPUTED_VALUE"""),"SUSA GARAY FERNANDEZ | FRANKLYN GARAY ESPINOZA")</f>
        <v>SUSA GARAY FERNANDEZ | FRANKLYN GARAY ESPINOZA</v>
      </c>
      <c r="AC12" s="2" t="str">
        <f>IFERROR(__xludf.DUMMYFUNCTION("""COMPUTED_VALUE"""),"Padre")</f>
        <v>Padre</v>
      </c>
      <c r="AD12" s="2">
        <f>IFERROR(__xludf.DUMMYFUNCTION("""COMPUTED_VALUE"""),32.0)</f>
        <v>32</v>
      </c>
      <c r="AE12" s="2" t="str">
        <f>IFERROR(__xludf.DUMMYFUNCTION("""COMPUTED_VALUE"""),"Post test (cierre)")</f>
        <v>Post test (cierre)</v>
      </c>
      <c r="AF12" s="2" t="str">
        <f>IFERROR(__xludf.DUMMYFUNCTION("TRIM(JOIN("" "",UNIQUE(TOCOL(ARRAYFORMULA(IF( SPLIT(AB12,"" "")=TOCOL(SPLIT(AB11,"" "")),SPLIT(AB12,"" "")&amp;"" "",""""))))))"),"FERNANDEZ")</f>
        <v>FERNANDEZ</v>
      </c>
      <c r="AY12" s="2" t="s">
        <v>483</v>
      </c>
    </row>
    <row r="13">
      <c r="A13" s="2">
        <f t="shared" si="3"/>
        <v>10</v>
      </c>
      <c r="B13" s="1" t="s">
        <v>69</v>
      </c>
      <c r="C13" s="2" t="s">
        <v>401</v>
      </c>
      <c r="D13" s="2" t="s">
        <v>193</v>
      </c>
      <c r="E13" s="2">
        <v>38.0</v>
      </c>
      <c r="F13" s="2" t="s">
        <v>194</v>
      </c>
      <c r="G13" s="2" t="str">
        <f t="shared" si="4"/>
        <v/>
      </c>
      <c r="H13" s="2" t="str">
        <f t="shared" si="5"/>
        <v/>
      </c>
      <c r="I13" s="2" t="str">
        <f t="shared" si="6"/>
        <v/>
      </c>
      <c r="J13" s="2" t="b">
        <f t="shared" si="7"/>
        <v>0</v>
      </c>
      <c r="K13" s="2" t="str">
        <f>IFERROR(__xludf.DUMMYFUNCTION("TRIM(JOIN("" "",UNIQUE(TOCOL(ARRAYFORMULA(IF( SPLIT(C13,"" "")=TOCOL(SPLIT(C12,"" "")),SPLIT(C13,"" "")&amp;"" "",""""))))))"),"")</f>
        <v/>
      </c>
      <c r="L13" s="2" t="str">
        <f t="shared" si="1"/>
        <v/>
      </c>
      <c r="M13" s="2">
        <f t="shared" si="2"/>
        <v>10</v>
      </c>
      <c r="O13" s="2" t="str">
        <f>IFERROR(__xludf.DUMMYFUNCTION("""COMPUTED_VALUE"""),"")</f>
        <v/>
      </c>
      <c r="P13" s="2" t="str">
        <f>IFERROR(__xludf.DUMMYFUNCTION("""COMPUTED_VALUE"""),"")</f>
        <v/>
      </c>
      <c r="Q13" s="2" t="str">
        <f>IFERROR(__xludf.DUMMYFUNCTION("""COMPUTED_VALUE"""),"ELVA ")</f>
        <v>ELVA </v>
      </c>
      <c r="AA13" s="1" t="str">
        <f>IFERROR(__xludf.DUMMYFUNCTION("""COMPUTED_VALUE"""),"0509711")</f>
        <v>0509711</v>
      </c>
      <c r="AB13" s="2" t="str">
        <f>IFERROR(__xludf.DUMMYFUNCTION("""COMPUTED_VALUE"""),"SUSA GARAY FERNANDEZ")</f>
        <v>SUSA GARAY FERNANDEZ</v>
      </c>
      <c r="AC13" s="2" t="str">
        <f>IFERROR(__xludf.DUMMYFUNCTION("""COMPUTED_VALUE"""),"Madre")</f>
        <v>Madre</v>
      </c>
      <c r="AD13" s="2">
        <f>IFERROR(__xludf.DUMMYFUNCTION("""COMPUTED_VALUE"""),32.0)</f>
        <v>32</v>
      </c>
      <c r="AE13" s="2" t="str">
        <f>IFERROR(__xludf.DUMMYFUNCTION("""COMPUTED_VALUE"""),"Pre test (diagnóstico)")</f>
        <v>Pre test (diagnóstico)</v>
      </c>
      <c r="AF13" s="2" t="str">
        <f>IFERROR(__xludf.DUMMYFUNCTION("TRIM(JOIN("" "",UNIQUE(TOCOL(ARRAYFORMULA(IF( SPLIT(AB13,"" "")=TOCOL(SPLIT(AB12,"" "")),SPLIT(AB13,"" "")&amp;"" "",""""))))))"),"SUSA GARAY FERNANDEZ")</f>
        <v>SUSA GARAY FERNANDEZ</v>
      </c>
      <c r="AY13" s="2" t="s">
        <v>1315</v>
      </c>
    </row>
    <row r="14">
      <c r="A14" s="2">
        <f t="shared" si="3"/>
        <v>11</v>
      </c>
      <c r="B14" s="1" t="s">
        <v>928</v>
      </c>
      <c r="C14" s="2" t="s">
        <v>930</v>
      </c>
      <c r="D14" s="2" t="s">
        <v>193</v>
      </c>
      <c r="E14" s="2">
        <v>33.0</v>
      </c>
      <c r="F14" s="2" t="s">
        <v>194</v>
      </c>
      <c r="G14" s="2" t="str">
        <f t="shared" si="4"/>
        <v/>
      </c>
      <c r="H14" s="2" t="str">
        <f t="shared" si="5"/>
        <v/>
      </c>
      <c r="I14" s="2" t="str">
        <f t="shared" si="6"/>
        <v/>
      </c>
      <c r="J14" s="2" t="b">
        <f t="shared" si="7"/>
        <v>1</v>
      </c>
      <c r="K14" s="2" t="str">
        <f>IFERROR(__xludf.DUMMYFUNCTION("TRIM(JOIN("" "",UNIQUE(TOCOL(ARRAYFORMULA(IF( SPLIT(C14,"" "")=TOCOL(SPLIT(C13,"" "")),SPLIT(C14,"" "")&amp;"" "",""""))))))"),"")</f>
        <v/>
      </c>
      <c r="L14" s="2" t="str">
        <f t="shared" si="1"/>
        <v/>
      </c>
      <c r="M14" s="2">
        <f t="shared" si="2"/>
        <v>11</v>
      </c>
      <c r="AA14" s="1" t="str">
        <f>IFERROR(__xludf.DUMMYFUNCTION("""COMPUTED_VALUE"""),"1551738")</f>
        <v>1551738</v>
      </c>
      <c r="AB14" s="2" t="str">
        <f>IFERROR(__xludf.DUMMYFUNCTION("""COMPUTED_VALUE"""),"SANTA ANAYA PEÑA")</f>
        <v>SANTA ANAYA PEÑA</v>
      </c>
      <c r="AC14" s="2" t="str">
        <f>IFERROR(__xludf.DUMMYFUNCTION("""COMPUTED_VALUE"""),"Otro")</f>
        <v>Otro</v>
      </c>
      <c r="AD14" s="2">
        <f>IFERROR(__xludf.DUMMYFUNCTION("""COMPUTED_VALUE"""),52.0)</f>
        <v>52</v>
      </c>
      <c r="AE14" s="2" t="str">
        <f>IFERROR(__xludf.DUMMYFUNCTION("""COMPUTED_VALUE"""),"Post test (cierre)")</f>
        <v>Post test (cierre)</v>
      </c>
      <c r="AF14" s="2" t="str">
        <f>IFERROR(__xludf.DUMMYFUNCTION("TRIM(JOIN("" "",UNIQUE(TOCOL(ARRAYFORMULA(IF( SPLIT(AB14,"" "")=TOCOL(SPLIT(AB13,"" "")),SPLIT(AB14,"" "")&amp;"" "",""""))))))"),"")</f>
        <v/>
      </c>
      <c r="AY14" s="2" t="s">
        <v>1285</v>
      </c>
    </row>
    <row r="15">
      <c r="A15" s="2">
        <f t="shared" si="3"/>
        <v>12</v>
      </c>
      <c r="B15" s="1" t="s">
        <v>813</v>
      </c>
      <c r="C15" s="2" t="s">
        <v>1253</v>
      </c>
      <c r="D15" s="2" t="s">
        <v>222</v>
      </c>
      <c r="E15" s="2">
        <v>43.0</v>
      </c>
      <c r="F15" s="2" t="s">
        <v>428</v>
      </c>
      <c r="G15" s="2" t="str">
        <f t="shared" si="4"/>
        <v/>
      </c>
      <c r="H15" s="2" t="str">
        <f t="shared" si="5"/>
        <v/>
      </c>
      <c r="I15" s="2" t="str">
        <f t="shared" si="6"/>
        <v/>
      </c>
      <c r="J15" s="2" t="b">
        <f t="shared" si="7"/>
        <v>0</v>
      </c>
      <c r="K15" s="2" t="str">
        <f>IFERROR(__xludf.DUMMYFUNCTION("TRIM(JOIN("" "",UNIQUE(TOCOL(ARRAYFORMULA(IF( SPLIT(C15,"" "")=TOCOL(SPLIT(C14,"" "")),SPLIT(C15,"" "")&amp;"" "",""""))))))"),"")</f>
        <v/>
      </c>
      <c r="L15" s="2" t="str">
        <f t="shared" si="1"/>
        <v/>
      </c>
      <c r="M15" s="2">
        <f t="shared" si="2"/>
        <v>12</v>
      </c>
      <c r="AA15" s="1" t="str">
        <f>IFERROR(__xludf.DUMMYFUNCTION("""COMPUTED_VALUE"""),"1551738")</f>
        <v>1551738</v>
      </c>
      <c r="AB15" s="2" t="str">
        <f>IFERROR(__xludf.DUMMYFUNCTION("""COMPUTED_VALUE"""),"SANTA ANAYA")</f>
        <v>SANTA ANAYA</v>
      </c>
      <c r="AC15" s="2" t="str">
        <f>IFERROR(__xludf.DUMMYFUNCTION("""COMPUTED_VALUE"""),"Otro")</f>
        <v>Otro</v>
      </c>
      <c r="AD15" s="2">
        <f>IFERROR(__xludf.DUMMYFUNCTION("""COMPUTED_VALUE"""),52.0)</f>
        <v>52</v>
      </c>
      <c r="AE15" s="2" t="str">
        <f>IFERROR(__xludf.DUMMYFUNCTION("""COMPUTED_VALUE"""),"Pre test (diagnóstico)")</f>
        <v>Pre test (diagnóstico)</v>
      </c>
      <c r="AF15" s="2" t="str">
        <f>IFERROR(__xludf.DUMMYFUNCTION("TRIM(JOIN("" "",UNIQUE(TOCOL(ARRAYFORMULA(IF( SPLIT(AB15,"" "")=TOCOL(SPLIT(AB14,"" "")),SPLIT(AB15,"" "")&amp;"" "",""""))))))"),"SANTA ANAYA")</f>
        <v>SANTA ANAYA</v>
      </c>
      <c r="AY15" s="2" t="s">
        <v>427</v>
      </c>
    </row>
    <row r="16">
      <c r="A16" s="2">
        <f t="shared" si="3"/>
        <v>13</v>
      </c>
      <c r="B16" s="1" t="s">
        <v>813</v>
      </c>
      <c r="C16" s="2" t="s">
        <v>1247</v>
      </c>
      <c r="D16" s="2" t="s">
        <v>193</v>
      </c>
      <c r="E16" s="40"/>
      <c r="F16" s="2" t="s">
        <v>428</v>
      </c>
      <c r="G16" s="2" t="str">
        <f t="shared" si="4"/>
        <v/>
      </c>
      <c r="H16" s="2" t="str">
        <f t="shared" si="5"/>
        <v/>
      </c>
      <c r="I16" s="2" t="str">
        <f t="shared" si="6"/>
        <v>mismo colegio</v>
      </c>
      <c r="J16" s="2" t="b">
        <f t="shared" si="7"/>
        <v>1</v>
      </c>
      <c r="K16" s="2" t="str">
        <f>IFERROR(__xludf.DUMMYFUNCTION("TRIM(JOIN("" "",UNIQUE(TOCOL(ARRAYFORMULA(IF( SPLIT(C16,"" "")=TOCOL(SPLIT(C15,"" "")),SPLIT(C16,"" "")&amp;"" "",""""))))))"),"ZAMBRANO")</f>
        <v>ZAMBRANO</v>
      </c>
      <c r="L16" s="2" t="str">
        <f t="shared" si="1"/>
        <v/>
      </c>
      <c r="M16" s="2">
        <f t="shared" si="2"/>
        <v>13</v>
      </c>
      <c r="AA16" s="1" t="str">
        <f>IFERROR(__xludf.DUMMYFUNCTION("""COMPUTED_VALUE"""),"1551738")</f>
        <v>1551738</v>
      </c>
      <c r="AB16" s="2" t="str">
        <f>IFERROR(__xludf.DUMMYFUNCTION("""COMPUTED_VALUE"""),"ROSA BLAS VILLANUEVA | FELICIANO ROJAS SANCHEZ")</f>
        <v>ROSA BLAS VILLANUEVA | FELICIANO ROJAS SANCHEZ</v>
      </c>
      <c r="AC16" s="2" t="str">
        <f>IFERROR(__xludf.DUMMYFUNCTION("""COMPUTED_VALUE"""),"Padre")</f>
        <v>Padre</v>
      </c>
      <c r="AD16" s="2">
        <f>IFERROR(__xludf.DUMMYFUNCTION("""COMPUTED_VALUE"""),30.0)</f>
        <v>30</v>
      </c>
      <c r="AE16" s="2" t="str">
        <f>IFERROR(__xludf.DUMMYFUNCTION("""COMPUTED_VALUE"""),"Post test (cierre)")</f>
        <v>Post test (cierre)</v>
      </c>
      <c r="AF16" s="2" t="str">
        <f>IFERROR(__xludf.DUMMYFUNCTION("TRIM(JOIN("" "",UNIQUE(TOCOL(ARRAYFORMULA(IF( SPLIT(AB16,"" "")=TOCOL(SPLIT(AB15,"" "")),SPLIT(AB16,"" "")&amp;"" "",""""))))))"),"")</f>
        <v/>
      </c>
      <c r="AY16" s="2" t="s">
        <v>1108</v>
      </c>
    </row>
    <row r="17">
      <c r="A17" s="2">
        <f t="shared" si="3"/>
        <v>14</v>
      </c>
      <c r="B17" s="1" t="s">
        <v>813</v>
      </c>
      <c r="C17" s="2" t="s">
        <v>1255</v>
      </c>
      <c r="D17" s="2" t="s">
        <v>193</v>
      </c>
      <c r="E17" s="2">
        <v>32.0</v>
      </c>
      <c r="F17" s="2" t="s">
        <v>428</v>
      </c>
      <c r="G17" s="2" t="str">
        <f t="shared" si="4"/>
        <v/>
      </c>
      <c r="H17" s="2" t="str">
        <f t="shared" si="5"/>
        <v/>
      </c>
      <c r="I17" s="2" t="str">
        <f t="shared" si="6"/>
        <v>mismo colegio</v>
      </c>
      <c r="J17" s="2" t="b">
        <f t="shared" si="7"/>
        <v>1</v>
      </c>
      <c r="K17" s="2" t="str">
        <f>IFERROR(__xludf.DUMMYFUNCTION("TRIM(JOIN("" "",UNIQUE(TOCOL(ARRAYFORMULA(IF( SPLIT(C17,"" "")=TOCOL(SPLIT(C16,"" "")),SPLIT(C17,"" "")&amp;"" "",""""))))))"),"ZAMBRANO")</f>
        <v>ZAMBRANO</v>
      </c>
      <c r="L17" s="2" t="str">
        <f t="shared" si="1"/>
        <v/>
      </c>
      <c r="M17" s="2">
        <f t="shared" si="2"/>
        <v>14</v>
      </c>
      <c r="AA17" s="1" t="str">
        <f>IFERROR(__xludf.DUMMYFUNCTION("""COMPUTED_VALUE"""),"1551738")</f>
        <v>1551738</v>
      </c>
      <c r="AB17" s="2" t="str">
        <f>IFERROR(__xludf.DUMMYFUNCTION("""COMPUTED_VALUE"""),"ROSA BLAS VILLANUEVA")</f>
        <v>ROSA BLAS VILLANUEVA</v>
      </c>
      <c r="AC17" s="2" t="str">
        <f>IFERROR(__xludf.DUMMYFUNCTION("""COMPUTED_VALUE"""),"Madre")</f>
        <v>Madre</v>
      </c>
      <c r="AD17" s="2">
        <f>IFERROR(__xludf.DUMMYFUNCTION("""COMPUTED_VALUE"""),30.0)</f>
        <v>30</v>
      </c>
      <c r="AE17" s="2" t="str">
        <f>IFERROR(__xludf.DUMMYFUNCTION("""COMPUTED_VALUE"""),"Pre test (diagnóstico)")</f>
        <v>Pre test (diagnóstico)</v>
      </c>
      <c r="AF17" s="2" t="str">
        <f>IFERROR(__xludf.DUMMYFUNCTION("TRIM(JOIN("" "",UNIQUE(TOCOL(ARRAYFORMULA(IF( SPLIT(AB17,"" "")=TOCOL(SPLIT(AB16,"" "")),SPLIT(AB17,"" "")&amp;"" "",""""))))))"),"ROSA BLAS VILLANUEVA")</f>
        <v>ROSA BLAS VILLANUEVA</v>
      </c>
      <c r="AY17" s="2" t="s">
        <v>724</v>
      </c>
    </row>
    <row r="18">
      <c r="A18" s="2">
        <f t="shared" si="3"/>
        <v>15</v>
      </c>
      <c r="B18" s="1" t="s">
        <v>69</v>
      </c>
      <c r="C18" s="2" t="s">
        <v>399</v>
      </c>
      <c r="D18" s="2" t="s">
        <v>193</v>
      </c>
      <c r="E18" s="2">
        <v>18.0</v>
      </c>
      <c r="F18" s="2" t="s">
        <v>194</v>
      </c>
      <c r="G18" s="2" t="str">
        <f t="shared" si="4"/>
        <v/>
      </c>
      <c r="H18" s="2" t="str">
        <f t="shared" si="5"/>
        <v/>
      </c>
      <c r="I18" s="2" t="str">
        <f t="shared" si="6"/>
        <v/>
      </c>
      <c r="J18" s="2" t="b">
        <f t="shared" si="7"/>
        <v>0</v>
      </c>
      <c r="K18" s="2" t="str">
        <f>IFERROR(__xludf.DUMMYFUNCTION("TRIM(JOIN("" "",UNIQUE(TOCOL(ARRAYFORMULA(IF( SPLIT(C18,"" "")=TOCOL(SPLIT(C17,"" "")),SPLIT(C18,"" "")&amp;"" "",""""))))))"),"")</f>
        <v/>
      </c>
      <c r="L18" s="2" t="str">
        <f t="shared" si="1"/>
        <v/>
      </c>
      <c r="M18" s="2">
        <f t="shared" si="2"/>
        <v>15</v>
      </c>
      <c r="AA18" s="1" t="str">
        <f>IFERROR(__xludf.DUMMYFUNCTION("""COMPUTED_VALUE"""),"1515246")</f>
        <v>1515246</v>
      </c>
      <c r="AB18" s="2" t="str">
        <f>IFERROR(__xludf.DUMMYFUNCTION("""COMPUTED_VALUE"""),"RODOLFO AMADO CADILLO | JANETH BAÑEZ NAVARRO")</f>
        <v>RODOLFO AMADO CADILLO | JANETH BAÑEZ NAVARRO</v>
      </c>
      <c r="AC18" s="2" t="str">
        <f>IFERROR(__xludf.DUMMYFUNCTION("""COMPUTED_VALUE"""),"Padre")</f>
        <v>Padre</v>
      </c>
      <c r="AD18" s="2">
        <f>IFERROR(__xludf.DUMMYFUNCTION("""COMPUTED_VALUE"""),36.0)</f>
        <v>36</v>
      </c>
      <c r="AE18" s="2" t="str">
        <f>IFERROR(__xludf.DUMMYFUNCTION("""COMPUTED_VALUE"""),"Post test (cierre)")</f>
        <v>Post test (cierre)</v>
      </c>
      <c r="AF18" s="2" t="str">
        <f>IFERROR(__xludf.DUMMYFUNCTION("TRIM(JOIN("" "",UNIQUE(TOCOL(ARRAYFORMULA(IF( SPLIT(AB18,"" "")=TOCOL(SPLIT(AB17,"" "")),SPLIT(AB18,"" "")&amp;"" "",""""))))))"),"")</f>
        <v/>
      </c>
      <c r="AY18" s="2" t="s">
        <v>1077</v>
      </c>
    </row>
    <row r="19">
      <c r="A19" s="2">
        <f t="shared" si="3"/>
        <v>16</v>
      </c>
      <c r="B19" s="1" t="s">
        <v>144</v>
      </c>
      <c r="C19" s="2" t="s">
        <v>534</v>
      </c>
      <c r="D19" s="2" t="s">
        <v>222</v>
      </c>
      <c r="E19" s="2">
        <v>39.0</v>
      </c>
      <c r="F19" s="2" t="s">
        <v>194</v>
      </c>
      <c r="G19" s="2" t="str">
        <f t="shared" si="4"/>
        <v/>
      </c>
      <c r="H19" s="2" t="str">
        <f t="shared" si="5"/>
        <v/>
      </c>
      <c r="I19" s="2" t="str">
        <f t="shared" si="6"/>
        <v/>
      </c>
      <c r="J19" s="2" t="b">
        <f t="shared" si="7"/>
        <v>1</v>
      </c>
      <c r="K19" s="2" t="str">
        <f>IFERROR(__xludf.DUMMYFUNCTION("TRIM(JOIN("" "",UNIQUE(TOCOL(ARRAYFORMULA(IF( SPLIT(C19,"" "")=TOCOL(SPLIT(C18,"" "")),SPLIT(C19,"" "")&amp;"" "",""""))))))"),"")</f>
        <v/>
      </c>
      <c r="L19" s="2" t="str">
        <f t="shared" si="1"/>
        <v/>
      </c>
      <c r="M19" s="2">
        <f t="shared" si="2"/>
        <v>16</v>
      </c>
      <c r="O19" s="2" t="str">
        <f t="array" ref="O19:O22">UNIQUE(TOCOL(O11:Q13))</f>
        <v>YUPA </v>
      </c>
      <c r="AA19" s="1" t="str">
        <f>IFERROR(__xludf.DUMMYFUNCTION("""COMPUTED_VALUE"""),"1515246")</f>
        <v>1515246</v>
      </c>
      <c r="AB19" s="2" t="str">
        <f>IFERROR(__xludf.DUMMYFUNCTION("""COMPUTED_VALUE"""),"RODOLFO AMADO CADILLO")</f>
        <v>RODOLFO AMADO CADILLO</v>
      </c>
      <c r="AC19" s="2" t="str">
        <f>IFERROR(__xludf.DUMMYFUNCTION("""COMPUTED_VALUE"""),"Padre")</f>
        <v>Padre</v>
      </c>
      <c r="AD19" s="2">
        <f>IFERROR(__xludf.DUMMYFUNCTION("""COMPUTED_VALUE"""),36.0)</f>
        <v>36</v>
      </c>
      <c r="AE19" s="2" t="str">
        <f>IFERROR(__xludf.DUMMYFUNCTION("""COMPUTED_VALUE"""),"Pre test (diagnóstico)")</f>
        <v>Pre test (diagnóstico)</v>
      </c>
      <c r="AF19" s="2" t="str">
        <f>IFERROR(__xludf.DUMMYFUNCTION("TRIM(JOIN("" "",UNIQUE(TOCOL(ARRAYFORMULA(IF( SPLIT(AB19,"" "")=TOCOL(SPLIT(AB18,"" "")),SPLIT(AB19,"" "")&amp;"" "",""""))))))"),"RODOLFO AMADO CADILLO")</f>
        <v>RODOLFO AMADO CADILLO</v>
      </c>
      <c r="AY19" s="2" t="s">
        <v>1105</v>
      </c>
    </row>
    <row r="20">
      <c r="A20" s="2">
        <f t="shared" si="3"/>
        <v>17</v>
      </c>
      <c r="B20" s="1" t="s">
        <v>693</v>
      </c>
      <c r="C20" s="2" t="s">
        <v>707</v>
      </c>
      <c r="D20" s="2" t="s">
        <v>193</v>
      </c>
      <c r="E20" s="2">
        <v>30.0</v>
      </c>
      <c r="F20" s="2" t="s">
        <v>194</v>
      </c>
      <c r="G20" s="2" t="str">
        <f t="shared" si="4"/>
        <v/>
      </c>
      <c r="H20" s="2" t="str">
        <f t="shared" si="5"/>
        <v/>
      </c>
      <c r="I20" s="2" t="str">
        <f t="shared" si="6"/>
        <v/>
      </c>
      <c r="J20" s="2" t="b">
        <f t="shared" si="7"/>
        <v>1</v>
      </c>
      <c r="K20" s="2" t="str">
        <f>IFERROR(__xludf.DUMMYFUNCTION("TRIM(JOIN("" "",UNIQUE(TOCOL(ARRAYFORMULA(IF( SPLIT(C20,"" "")=TOCOL(SPLIT(C19,"" "")),SPLIT(C20,"" "")&amp;"" "",""""))))))"),"")</f>
        <v/>
      </c>
      <c r="L20" s="2" t="str">
        <f t="shared" si="1"/>
        <v/>
      </c>
      <c r="M20" s="2">
        <f t="shared" si="2"/>
        <v>17</v>
      </c>
      <c r="O20" s="2" t="s">
        <v>200</v>
      </c>
      <c r="AA20" s="1" t="str">
        <f>IFERROR(__xludf.DUMMYFUNCTION("""COMPUTED_VALUE"""),"1551720")</f>
        <v>1551720</v>
      </c>
      <c r="AB20" s="2" t="str">
        <f>IFERROR(__xludf.DUMMYFUNCTION("""COMPUTED_VALUE"""),"OSORIO BRIOSO ALICIA EDITHA")</f>
        <v>OSORIO BRIOSO ALICIA EDITHA</v>
      </c>
      <c r="AC20" s="2" t="str">
        <f>IFERROR(__xludf.DUMMYFUNCTION("""COMPUTED_VALUE"""),"Madre")</f>
        <v>Madre</v>
      </c>
      <c r="AD20" s="2">
        <f>IFERROR(__xludf.DUMMYFUNCTION("""COMPUTED_VALUE"""),39.0)</f>
        <v>39</v>
      </c>
      <c r="AE20" s="2" t="str">
        <f>IFERROR(__xludf.DUMMYFUNCTION("""COMPUTED_VALUE"""),"Pre test (diagnóstico)")</f>
        <v>Pre test (diagnóstico)</v>
      </c>
      <c r="AF20" s="2" t="str">
        <f>IFERROR(__xludf.DUMMYFUNCTION("TRIM(JOIN("" "",UNIQUE(TOCOL(ARRAYFORMULA(IF( SPLIT(AB20,"" "")=TOCOL(SPLIT(AB19,"" "")),SPLIT(AB20,"" "")&amp;"" "",""""))))))"),"")</f>
        <v/>
      </c>
      <c r="AY20" s="2" t="s">
        <v>784</v>
      </c>
    </row>
    <row r="21">
      <c r="A21" s="2">
        <f t="shared" si="3"/>
        <v>18</v>
      </c>
      <c r="B21" s="1" t="s">
        <v>693</v>
      </c>
      <c r="C21" s="2" t="s">
        <v>707</v>
      </c>
      <c r="D21" s="2" t="s">
        <v>193</v>
      </c>
      <c r="E21" s="2">
        <v>30.0</v>
      </c>
      <c r="F21" s="2" t="s">
        <v>428</v>
      </c>
      <c r="G21" s="2" t="str">
        <f t="shared" si="4"/>
        <v>misma edad</v>
      </c>
      <c r="H21" s="2" t="str">
        <f t="shared" si="5"/>
        <v>mismo nombre</v>
      </c>
      <c r="I21" s="2" t="str">
        <f t="shared" si="6"/>
        <v>mismo colegio</v>
      </c>
      <c r="J21" s="2" t="b">
        <f t="shared" si="7"/>
        <v>0</v>
      </c>
      <c r="K21" s="2" t="str">
        <f>IFERROR(__xludf.DUMMYFUNCTION("TRIM(JOIN("" "",UNIQUE(TOCOL(ARRAYFORMULA(IF( SPLIT(C21,"" "")=TOCOL(SPLIT(C20,"" "")),SPLIT(C21,"" "")&amp;"" "",""""))))))"),"YUPA PADILLA ELVA")</f>
        <v>YUPA PADILLA ELVA</v>
      </c>
      <c r="L21" s="2" t="str">
        <f t="shared" si="1"/>
        <v/>
      </c>
      <c r="M21" s="2">
        <f t="shared" si="2"/>
        <v>17</v>
      </c>
      <c r="O21" s="2" t="s">
        <v>1501</v>
      </c>
      <c r="AA21" s="1" t="str">
        <f>IFERROR(__xludf.DUMMYFUNCTION("""COMPUTED_VALUE"""),"1551720")</f>
        <v>1551720</v>
      </c>
      <c r="AB21" s="2" t="str">
        <f>IFERROR(__xludf.DUMMYFUNCTION("""COMPUTED_VALUE"""),"OSORIO BRIOSO ALICIA")</f>
        <v>OSORIO BRIOSO ALICIA</v>
      </c>
      <c r="AC21" s="2" t="str">
        <f>IFERROR(__xludf.DUMMYFUNCTION("""COMPUTED_VALUE"""),"Madre")</f>
        <v>Madre</v>
      </c>
      <c r="AD21" s="2">
        <f>IFERROR(__xludf.DUMMYFUNCTION("""COMPUTED_VALUE"""),39.0)</f>
        <v>39</v>
      </c>
      <c r="AE21" s="2" t="str">
        <f>IFERROR(__xludf.DUMMYFUNCTION("""COMPUTED_VALUE"""),"Post test (cierre)")</f>
        <v>Post test (cierre)</v>
      </c>
      <c r="AF21" s="2" t="str">
        <f>IFERROR(__xludf.DUMMYFUNCTION("TRIM(JOIN("" "",UNIQUE(TOCOL(ARRAYFORMULA(IF( SPLIT(AB21,"" "")=TOCOL(SPLIT(AB20,"" "")),SPLIT(AB21,"" "")&amp;"" "",""""))))))"),"OSORIO BRIOSO ALICIA")</f>
        <v>OSORIO BRIOSO ALICIA</v>
      </c>
      <c r="AY21" s="2" t="s">
        <v>420</v>
      </c>
    </row>
    <row r="22">
      <c r="A22" s="2">
        <f t="shared" si="3"/>
        <v>19</v>
      </c>
      <c r="B22" s="1" t="s">
        <v>144</v>
      </c>
      <c r="C22" s="2" t="s">
        <v>563</v>
      </c>
      <c r="D22" s="2" t="s">
        <v>193</v>
      </c>
      <c r="E22" s="2">
        <v>27.0</v>
      </c>
      <c r="F22" s="2" t="s">
        <v>194</v>
      </c>
      <c r="G22" s="2" t="str">
        <f t="shared" si="4"/>
        <v/>
      </c>
      <c r="H22" s="2" t="str">
        <f t="shared" si="5"/>
        <v/>
      </c>
      <c r="I22" s="2" t="str">
        <f t="shared" si="6"/>
        <v/>
      </c>
      <c r="J22" s="2" t="b">
        <f t="shared" si="7"/>
        <v>0</v>
      </c>
      <c r="K22" s="2" t="str">
        <f>IFERROR(__xludf.DUMMYFUNCTION("TRIM(JOIN("" "",UNIQUE(TOCOL(ARRAYFORMULA(IF( SPLIT(C22,"" "")=TOCOL(SPLIT(C21,"" "")),SPLIT(C22,"" "")&amp;"" "",""""))))))"),"YUPA")</f>
        <v>YUPA</v>
      </c>
      <c r="L22" s="2" t="str">
        <f t="shared" si="1"/>
        <v/>
      </c>
      <c r="M22" s="2">
        <f t="shared" si="2"/>
        <v>19</v>
      </c>
      <c r="O22" s="2" t="s">
        <v>1502</v>
      </c>
      <c r="AA22" s="1" t="str">
        <f>IFERROR(__xludf.DUMMYFUNCTION("""COMPUTED_VALUE"""),"1042829")</f>
        <v>1042829</v>
      </c>
      <c r="AB22" s="2" t="str">
        <f>IFERROR(__xludf.DUMMYFUNCTION("""COMPUTED_VALUE"""),"NURIA RUTH MINAYA PADILLA")</f>
        <v>NURIA RUTH MINAYA PADILLA</v>
      </c>
      <c r="AC22" s="2" t="str">
        <f>IFERROR(__xludf.DUMMYFUNCTION("""COMPUTED_VALUE"""),"Madre")</f>
        <v>Madre</v>
      </c>
      <c r="AD22" s="2">
        <f>IFERROR(__xludf.DUMMYFUNCTION("""COMPUTED_VALUE"""),36.0)</f>
        <v>36</v>
      </c>
      <c r="AE22" s="2" t="str">
        <f>IFERROR(__xludf.DUMMYFUNCTION("""COMPUTED_VALUE"""),"Pre test (diagnóstico)")</f>
        <v>Pre test (diagnóstico)</v>
      </c>
      <c r="AF22" s="2" t="str">
        <f>IFERROR(__xludf.DUMMYFUNCTION("TRIM(JOIN("" "",UNIQUE(TOCOL(ARRAYFORMULA(IF( SPLIT(AB22,"" "")=TOCOL(SPLIT(AB21,"" "")),SPLIT(AB22,"" "")&amp;"" "",""""))))))"),"")</f>
        <v/>
      </c>
      <c r="AY22" s="2" t="s">
        <v>1309</v>
      </c>
    </row>
    <row r="23">
      <c r="A23" s="2">
        <f t="shared" si="3"/>
        <v>20</v>
      </c>
      <c r="B23" s="1" t="s">
        <v>323</v>
      </c>
      <c r="C23" s="2" t="s">
        <v>1347</v>
      </c>
      <c r="D23" s="2" t="s">
        <v>193</v>
      </c>
      <c r="E23" s="2">
        <v>33.0</v>
      </c>
      <c r="F23" s="2" t="s">
        <v>428</v>
      </c>
      <c r="G23" s="2" t="str">
        <f t="shared" si="4"/>
        <v/>
      </c>
      <c r="H23" s="2" t="str">
        <f t="shared" si="5"/>
        <v/>
      </c>
      <c r="I23" s="2" t="str">
        <f t="shared" si="6"/>
        <v/>
      </c>
      <c r="J23" s="2" t="b">
        <f t="shared" si="7"/>
        <v>0</v>
      </c>
      <c r="K23" s="2" t="str">
        <f>IFERROR(__xludf.DUMMYFUNCTION("TRIM(JOIN("" "",UNIQUE(TOCOL(ARRAYFORMULA(IF( SPLIT(C23,"" "")=TOCOL(SPLIT(C22,"" "")),SPLIT(C23,"" "")&amp;"" "",""""))))))"),"")</f>
        <v/>
      </c>
      <c r="L23" s="2" t="str">
        <f t="shared" si="1"/>
        <v/>
      </c>
      <c r="M23" s="2">
        <f t="shared" si="2"/>
        <v>20</v>
      </c>
      <c r="AA23" s="1" t="str">
        <f>IFERROR(__xludf.DUMMYFUNCTION("""COMPUTED_VALUE"""),"1042829")</f>
        <v>1042829</v>
      </c>
      <c r="AB23" s="2" t="str">
        <f>IFERROR(__xludf.DUMMYFUNCTION("""COMPUTED_VALUE"""),"NURIA MINAYA PADILLA")</f>
        <v>NURIA MINAYA PADILLA</v>
      </c>
      <c r="AC23" s="2" t="str">
        <f>IFERROR(__xludf.DUMMYFUNCTION("""COMPUTED_VALUE"""),"Madre")</f>
        <v>Madre</v>
      </c>
      <c r="AD23" s="2">
        <f>IFERROR(__xludf.DUMMYFUNCTION("""COMPUTED_VALUE"""),36.0)</f>
        <v>36</v>
      </c>
      <c r="AE23" s="2" t="str">
        <f>IFERROR(__xludf.DUMMYFUNCTION("""COMPUTED_VALUE"""),"Post test (cierre)")</f>
        <v>Post test (cierre)</v>
      </c>
      <c r="AF23" s="2" t="str">
        <f>IFERROR(__xludf.DUMMYFUNCTION("TRIM(JOIN("" "",UNIQUE(TOCOL(ARRAYFORMULA(IF( SPLIT(AB23,"" "")=TOCOL(SPLIT(AB22,"" "")),SPLIT(AB23,"" "")&amp;"" "",""""))))))"),"NURIA MINAYA PADILLA")</f>
        <v>NURIA MINAYA PADILLA</v>
      </c>
      <c r="AY23" s="2" t="s">
        <v>1210</v>
      </c>
    </row>
    <row r="24">
      <c r="A24" s="2">
        <f t="shared" si="3"/>
        <v>21</v>
      </c>
      <c r="B24" s="1" t="s">
        <v>928</v>
      </c>
      <c r="C24" s="2" t="s">
        <v>1310</v>
      </c>
      <c r="D24" s="2" t="s">
        <v>193</v>
      </c>
      <c r="E24" s="2">
        <v>24.0</v>
      </c>
      <c r="F24" s="2" t="s">
        <v>428</v>
      </c>
      <c r="G24" s="2" t="str">
        <f t="shared" si="4"/>
        <v/>
      </c>
      <c r="H24" s="2" t="str">
        <f t="shared" si="5"/>
        <v/>
      </c>
      <c r="I24" s="2" t="str">
        <f t="shared" si="6"/>
        <v/>
      </c>
      <c r="J24" s="2" t="b">
        <f t="shared" si="7"/>
        <v>1</v>
      </c>
      <c r="K24" s="2" t="str">
        <f>IFERROR(__xludf.DUMMYFUNCTION("TRIM(JOIN("" "",UNIQUE(TOCOL(ARRAYFORMULA(IF( SPLIT(C24,"" "")=TOCOL(SPLIT(C23,"" "")),SPLIT(C24,"" "")&amp;"" "",""""))))))"),"")</f>
        <v/>
      </c>
      <c r="L24" s="2" t="str">
        <f t="shared" si="1"/>
        <v/>
      </c>
      <c r="M24" s="2">
        <f t="shared" si="2"/>
        <v>21</v>
      </c>
      <c r="AA24" s="1" t="str">
        <f>IFERROR(__xludf.DUMMYFUNCTION("""COMPUTED_VALUE"""),"0509711")</f>
        <v>0509711</v>
      </c>
      <c r="AB24" s="2" t="str">
        <f>IFERROR(__xludf.DUMMYFUNCTION("""COMPUTED_VALUE"""),"NAUN YESMER QUISPE UGARTE | LESLIE LISSELY VARGAS RAMIREZ")</f>
        <v>NAUN YESMER QUISPE UGARTE | LESLIE LISSELY VARGAS RAMIREZ</v>
      </c>
      <c r="AC24" s="2" t="str">
        <f>IFERROR(__xludf.DUMMYFUNCTION("""COMPUTED_VALUE"""),"Madre")</f>
        <v>Madre</v>
      </c>
      <c r="AD24" s="2">
        <f>IFERROR(__xludf.DUMMYFUNCTION("""COMPUTED_VALUE"""),32.0)</f>
        <v>32</v>
      </c>
      <c r="AE24" s="2" t="str">
        <f>IFERROR(__xludf.DUMMYFUNCTION("""COMPUTED_VALUE"""),"Post test (cierre)")</f>
        <v>Post test (cierre)</v>
      </c>
      <c r="AF24" s="2" t="str">
        <f>IFERROR(__xludf.DUMMYFUNCTION("TRIM(JOIN("" "",UNIQUE(TOCOL(ARRAYFORMULA(IF( SPLIT(AB24,"" "")=TOCOL(SPLIT(AB23,"" "")),SPLIT(AB24,"" "")&amp;"" "",""""))))))"),"")</f>
        <v/>
      </c>
      <c r="AY24" s="2" t="s">
        <v>943</v>
      </c>
    </row>
    <row r="25">
      <c r="A25" s="2">
        <f t="shared" si="3"/>
        <v>22</v>
      </c>
      <c r="B25" s="1" t="s">
        <v>323</v>
      </c>
      <c r="C25" s="2" t="s">
        <v>349</v>
      </c>
      <c r="D25" s="2" t="s">
        <v>193</v>
      </c>
      <c r="E25" s="2">
        <v>33.0</v>
      </c>
      <c r="F25" s="2" t="s">
        <v>194</v>
      </c>
      <c r="G25" s="2" t="str">
        <f t="shared" si="4"/>
        <v/>
      </c>
      <c r="H25" s="2" t="str">
        <f t="shared" si="5"/>
        <v/>
      </c>
      <c r="I25" s="2" t="str">
        <f t="shared" si="6"/>
        <v/>
      </c>
      <c r="J25" s="2" t="b">
        <f t="shared" si="7"/>
        <v>0</v>
      </c>
      <c r="K25" s="2" t="str">
        <f>IFERROR(__xludf.DUMMYFUNCTION("TRIM(JOIN("" "",UNIQUE(TOCOL(ARRAYFORMULA(IF( SPLIT(C25,"" "")=TOCOL(SPLIT(C24,"" "")),SPLIT(C25,"" "")&amp;"" "",""""))))))"),"")</f>
        <v/>
      </c>
      <c r="L25" s="2" t="str">
        <f t="shared" si="1"/>
        <v/>
      </c>
      <c r="M25" s="2">
        <f t="shared" si="2"/>
        <v>22</v>
      </c>
      <c r="AA25" s="1" t="str">
        <f>IFERROR(__xludf.DUMMYFUNCTION("""COMPUTED_VALUE"""),"0509711")</f>
        <v>0509711</v>
      </c>
      <c r="AB25" s="2" t="str">
        <f>IFERROR(__xludf.DUMMYFUNCTION("""COMPUTED_VALUE"""),"NAUN YESMER QUISPE UGARTE")</f>
        <v>NAUN YESMER QUISPE UGARTE</v>
      </c>
      <c r="AC25" s="2" t="str">
        <f>IFERROR(__xludf.DUMMYFUNCTION("""COMPUTED_VALUE"""),"Padre")</f>
        <v>Padre</v>
      </c>
      <c r="AD25" s="2">
        <f>IFERROR(__xludf.DUMMYFUNCTION("""COMPUTED_VALUE"""),32.0)</f>
        <v>32</v>
      </c>
      <c r="AE25" s="2" t="str">
        <f>IFERROR(__xludf.DUMMYFUNCTION("""COMPUTED_VALUE"""),"Pre test (diagnóstico)")</f>
        <v>Pre test (diagnóstico)</v>
      </c>
      <c r="AF25" s="2" t="str">
        <f>IFERROR(__xludf.DUMMYFUNCTION("TRIM(JOIN("" "",UNIQUE(TOCOL(ARRAYFORMULA(IF( SPLIT(AB25,"" "")=TOCOL(SPLIT(AB24,"" "")),SPLIT(AB25,"" "")&amp;"" "",""""))))))"),"NAUN YESMER QUISPE UGARTE")</f>
        <v>NAUN YESMER QUISPE UGARTE</v>
      </c>
      <c r="AY25" s="2" t="s">
        <v>1302</v>
      </c>
    </row>
    <row r="26">
      <c r="A26" s="2">
        <f t="shared" si="3"/>
        <v>23</v>
      </c>
      <c r="B26" s="1" t="s">
        <v>105</v>
      </c>
      <c r="C26" s="2" t="s">
        <v>417</v>
      </c>
      <c r="D26" s="2" t="s">
        <v>193</v>
      </c>
      <c r="E26" s="2">
        <v>35.0</v>
      </c>
      <c r="F26" s="2" t="s">
        <v>194</v>
      </c>
      <c r="G26" s="2" t="str">
        <f t="shared" si="4"/>
        <v/>
      </c>
      <c r="H26" s="2" t="str">
        <f t="shared" si="5"/>
        <v/>
      </c>
      <c r="I26" s="2" t="str">
        <f t="shared" si="6"/>
        <v/>
      </c>
      <c r="J26" s="2" t="b">
        <f t="shared" si="7"/>
        <v>1</v>
      </c>
      <c r="K26" s="2" t="str">
        <f>IFERROR(__xludf.DUMMYFUNCTION("TRIM(JOIN("" "",UNIQUE(TOCOL(ARRAYFORMULA(IF( SPLIT(C26,"" "")=TOCOL(SPLIT(C25,"" "")),SPLIT(C26,"" "")&amp;"" "",""""))))))"),"")</f>
        <v/>
      </c>
      <c r="L26" s="2" t="str">
        <f t="shared" si="1"/>
        <v/>
      </c>
      <c r="M26" s="2">
        <f t="shared" si="2"/>
        <v>23</v>
      </c>
      <c r="AA26" s="1" t="str">
        <f>IFERROR(__xludf.DUMMYFUNCTION("""COMPUTED_VALUE"""),"0509711")</f>
        <v>0509711</v>
      </c>
      <c r="AB26" s="2" t="str">
        <f>IFERROR(__xludf.DUMMYFUNCTION("""COMPUTED_VALUE"""),"NANCY GUERRA RAMIREZ")</f>
        <v>NANCY GUERRA RAMIREZ</v>
      </c>
      <c r="AC26" s="2" t="str">
        <f>IFERROR(__xludf.DUMMYFUNCTION("""COMPUTED_VALUE"""),"Madre")</f>
        <v>Madre</v>
      </c>
      <c r="AD26" s="2">
        <f>IFERROR(__xludf.DUMMYFUNCTION("""COMPUTED_VALUE"""),35.0)</f>
        <v>35</v>
      </c>
      <c r="AE26" s="2" t="str">
        <f>IFERROR(__xludf.DUMMYFUNCTION("""COMPUTED_VALUE"""),"Post test (cierre)")</f>
        <v>Post test (cierre)</v>
      </c>
      <c r="AF26" s="2" t="str">
        <f>IFERROR(__xludf.DUMMYFUNCTION("TRIM(JOIN("" "",UNIQUE(TOCOL(ARRAYFORMULA(IF( SPLIT(AB26,"" "")=TOCOL(SPLIT(AB25,"" "")),SPLIT(AB26,"" "")&amp;"" "",""""))))))"),"")</f>
        <v/>
      </c>
      <c r="AY26" s="2" t="s">
        <v>706</v>
      </c>
    </row>
    <row r="27">
      <c r="A27" s="2">
        <f t="shared" si="3"/>
        <v>24</v>
      </c>
      <c r="B27" s="1" t="s">
        <v>105</v>
      </c>
      <c r="C27" s="2" t="s">
        <v>417</v>
      </c>
      <c r="D27" s="2" t="s">
        <v>193</v>
      </c>
      <c r="E27" s="2">
        <v>35.0</v>
      </c>
      <c r="F27" s="2" t="s">
        <v>428</v>
      </c>
      <c r="G27" s="2" t="str">
        <f t="shared" si="4"/>
        <v>misma edad</v>
      </c>
      <c r="H27" s="2" t="str">
        <f t="shared" si="5"/>
        <v>mismo nombre</v>
      </c>
      <c r="I27" s="2" t="str">
        <f t="shared" si="6"/>
        <v>mismo colegio</v>
      </c>
      <c r="J27" s="2" t="b">
        <f t="shared" si="7"/>
        <v>0</v>
      </c>
      <c r="K27" s="2" t="str">
        <f>IFERROR(__xludf.DUMMYFUNCTION("TRIM(JOIN("" "",UNIQUE(TOCOL(ARRAYFORMULA(IF( SPLIT(C27,"" "")=TOCOL(SPLIT(C26,"" "")),SPLIT(C27,"" "")&amp;"" "",""""))))))"),"YULI VANEZA HERRADA EULOGIO")</f>
        <v>YULI VANEZA HERRADA EULOGIO</v>
      </c>
      <c r="L27" s="2" t="str">
        <f t="shared" si="1"/>
        <v/>
      </c>
      <c r="M27" s="2">
        <f t="shared" si="2"/>
        <v>23</v>
      </c>
      <c r="AA27" s="1" t="str">
        <f>IFERROR(__xludf.DUMMYFUNCTION("""COMPUTED_VALUE"""),"0509711")</f>
        <v>0509711</v>
      </c>
      <c r="AB27" s="2" t="str">
        <f>IFERROR(__xludf.DUMMYFUNCTION("""COMPUTED_VALUE"""),"NANCY CADILLO PAREDA")</f>
        <v>NANCY CADILLO PAREDA</v>
      </c>
      <c r="AC27" s="2" t="str">
        <f>IFERROR(__xludf.DUMMYFUNCTION("""COMPUTED_VALUE"""),"Madre")</f>
        <v>Madre</v>
      </c>
      <c r="AD27" s="2">
        <f>IFERROR(__xludf.DUMMYFUNCTION("""COMPUTED_VALUE"""),35.0)</f>
        <v>35</v>
      </c>
      <c r="AE27" s="2" t="str">
        <f>IFERROR(__xludf.DUMMYFUNCTION("""COMPUTED_VALUE"""),"Pre test (diagnóstico)")</f>
        <v>Pre test (diagnóstico)</v>
      </c>
      <c r="AF27" s="2" t="str">
        <f>IFERROR(__xludf.DUMMYFUNCTION("TRIM(JOIN("" "",UNIQUE(TOCOL(ARRAYFORMULA(IF( SPLIT(AB27,"" "")=TOCOL(SPLIT(AB26,"" "")),SPLIT(AB27,"" "")&amp;"" "",""""))))))"),"NANCY")</f>
        <v>NANCY</v>
      </c>
      <c r="AY27" s="2" t="s">
        <v>358</v>
      </c>
    </row>
    <row r="28">
      <c r="A28" s="2">
        <f t="shared" si="3"/>
        <v>25</v>
      </c>
      <c r="B28" s="1" t="s">
        <v>968</v>
      </c>
      <c r="C28" s="2" t="s">
        <v>970</v>
      </c>
      <c r="D28" s="2" t="s">
        <v>193</v>
      </c>
      <c r="E28" s="2">
        <v>30.0</v>
      </c>
      <c r="F28" s="2" t="s">
        <v>194</v>
      </c>
      <c r="G28" s="2" t="str">
        <f t="shared" si="4"/>
        <v/>
      </c>
      <c r="H28" s="2" t="str">
        <f t="shared" si="5"/>
        <v/>
      </c>
      <c r="I28" s="2" t="str">
        <f t="shared" si="6"/>
        <v/>
      </c>
      <c r="J28" s="2" t="b">
        <f t="shared" si="7"/>
        <v>0</v>
      </c>
      <c r="K28" s="2" t="str">
        <f>IFERROR(__xludf.DUMMYFUNCTION("TRIM(JOIN("" "",UNIQUE(TOCOL(ARRAYFORMULA(IF( SPLIT(C28,"" "")=TOCOL(SPLIT(C27,"" "")),SPLIT(C28,"" "")&amp;"" "",""""))))))"),"")</f>
        <v/>
      </c>
      <c r="L28" s="2" t="str">
        <f t="shared" si="1"/>
        <v>-&gt;WITH THIS</v>
      </c>
      <c r="M28" s="2">
        <f t="shared" si="2"/>
        <v>25</v>
      </c>
      <c r="AA28" s="1" t="str">
        <f>IFERROR(__xludf.DUMMYFUNCTION("""COMPUTED_VALUE"""),"0509711")</f>
        <v>0509711</v>
      </c>
      <c r="AB28" s="2" t="str">
        <f>IFERROR(__xludf.DUMMYFUNCTION("""COMPUTED_VALUE"""),"MIGUEL CHAVEZ DAVILA | LIDIA MALLQUI ARAUJO")</f>
        <v>MIGUEL CHAVEZ DAVILA | LIDIA MALLQUI ARAUJO</v>
      </c>
      <c r="AC28" s="2" t="str">
        <f>IFERROR(__xludf.DUMMYFUNCTION("""COMPUTED_VALUE"""),"Padre")</f>
        <v>Padre</v>
      </c>
      <c r="AD28" s="2">
        <f>IFERROR(__xludf.DUMMYFUNCTION("""COMPUTED_VALUE"""),32.0)</f>
        <v>32</v>
      </c>
      <c r="AE28" s="2" t="str">
        <f>IFERROR(__xludf.DUMMYFUNCTION("""COMPUTED_VALUE"""),"Post test (cierre)")</f>
        <v>Post test (cierre)</v>
      </c>
      <c r="AF28" s="2" t="str">
        <f>IFERROR(__xludf.DUMMYFUNCTION("TRIM(JOIN("" "",UNIQUE(TOCOL(ARRAYFORMULA(IF( SPLIT(AB28,"" "")=TOCOL(SPLIT(AB27,"" "")),SPLIT(AB28,"" "")&amp;"" "",""""))))))"),"")</f>
        <v/>
      </c>
      <c r="AY28" s="2" t="s">
        <v>1154</v>
      </c>
    </row>
    <row r="29">
      <c r="A29" s="2">
        <f t="shared" si="3"/>
        <v>26</v>
      </c>
      <c r="B29" s="1" t="s">
        <v>968</v>
      </c>
      <c r="C29" s="2" t="s">
        <v>1286</v>
      </c>
      <c r="D29" s="2" t="s">
        <v>193</v>
      </c>
      <c r="E29" s="2">
        <v>30.0</v>
      </c>
      <c r="F29" s="2" t="s">
        <v>428</v>
      </c>
      <c r="G29" s="2" t="str">
        <f t="shared" si="4"/>
        <v>misma edad</v>
      </c>
      <c r="H29" s="2" t="str">
        <f t="shared" si="5"/>
        <v/>
      </c>
      <c r="I29" s="2" t="str">
        <f t="shared" si="6"/>
        <v>mismo colegio</v>
      </c>
      <c r="J29" s="2" t="b">
        <f t="shared" si="7"/>
        <v>0</v>
      </c>
      <c r="K29" s="2" t="str">
        <f>IFERROR(__xludf.DUMMYFUNCTION("TRIM(JOIN("" "",UNIQUE(TOCOL(ARRAYFORMULA(IF( SPLIT(C29,"" "")=TOCOL(SPLIT(C28,"" "")),SPLIT(C29,"" "")&amp;"" "",""""))))))"),"YUDITH DAMIAN VALVERDE")</f>
        <v>YUDITH DAMIAN VALVERDE</v>
      </c>
      <c r="L29" s="2" t="str">
        <f t="shared" si="1"/>
        <v>EVALUAR</v>
      </c>
      <c r="M29" s="2">
        <f t="shared" si="2"/>
        <v>26</v>
      </c>
      <c r="AA29" s="1" t="str">
        <f>IFERROR(__xludf.DUMMYFUNCTION("""COMPUTED_VALUE"""),"0509711")</f>
        <v>0509711</v>
      </c>
      <c r="AB29" s="2" t="str">
        <f>IFERROR(__xludf.DUMMYFUNCTION("""COMPUTED_VALUE"""),"MIGUEL CHAVEZ DAVILA")</f>
        <v>MIGUEL CHAVEZ DAVILA</v>
      </c>
      <c r="AC29" s="2" t="str">
        <f>IFERROR(__xludf.DUMMYFUNCTION("""COMPUTED_VALUE"""),"Padre")</f>
        <v>Padre</v>
      </c>
      <c r="AD29" s="2">
        <f>IFERROR(__xludf.DUMMYFUNCTION("""COMPUTED_VALUE"""),32.0)</f>
        <v>32</v>
      </c>
      <c r="AE29" s="2" t="str">
        <f>IFERROR(__xludf.DUMMYFUNCTION("""COMPUTED_VALUE"""),"Pre test (diagnóstico)")</f>
        <v>Pre test (diagnóstico)</v>
      </c>
      <c r="AF29" s="2" t="str">
        <f>IFERROR(__xludf.DUMMYFUNCTION("TRIM(JOIN("" "",UNIQUE(TOCOL(ARRAYFORMULA(IF( SPLIT(AB29,"" "")=TOCOL(SPLIT(AB28,"" "")),SPLIT(AB29,"" "")&amp;"" "",""""))))))"),"MIGUEL CHAVEZ DAVILA")</f>
        <v>MIGUEL CHAVEZ DAVILA</v>
      </c>
      <c r="AY29" s="2" t="s">
        <v>1248</v>
      </c>
    </row>
    <row r="30">
      <c r="A30" s="2">
        <f t="shared" si="3"/>
        <v>27</v>
      </c>
      <c r="B30" s="1" t="s">
        <v>457</v>
      </c>
      <c r="C30" s="2" t="s">
        <v>468</v>
      </c>
      <c r="D30" s="2" t="s">
        <v>193</v>
      </c>
      <c r="E30" s="2">
        <v>36.0</v>
      </c>
      <c r="F30" s="2" t="s">
        <v>194</v>
      </c>
      <c r="G30" s="2" t="str">
        <f t="shared" si="4"/>
        <v/>
      </c>
      <c r="H30" s="2" t="str">
        <f t="shared" si="5"/>
        <v/>
      </c>
      <c r="I30" s="2" t="str">
        <f t="shared" si="6"/>
        <v/>
      </c>
      <c r="J30" s="2" t="b">
        <f t="shared" si="7"/>
        <v>0</v>
      </c>
      <c r="K30" s="2" t="str">
        <f>IFERROR(__xludf.DUMMYFUNCTION("TRIM(JOIN("" "",UNIQUE(TOCOL(ARRAYFORMULA(IF( SPLIT(C30,"" "")=TOCOL(SPLIT(C29,"" "")),SPLIT(C30,"" "")&amp;"" "",""""))))))"),"")</f>
        <v/>
      </c>
      <c r="L30" s="2" t="str">
        <f t="shared" si="1"/>
        <v/>
      </c>
      <c r="M30" s="2">
        <f t="shared" si="2"/>
        <v>27</v>
      </c>
      <c r="AA30" s="1" t="str">
        <f>IFERROR(__xludf.DUMMYFUNCTION("""COMPUTED_VALUE"""),"1515246")</f>
        <v>1515246</v>
      </c>
      <c r="AB30" s="2" t="str">
        <f>IFERROR(__xludf.DUMMYFUNCTION("""COMPUTED_VALUE"""),"MARÍA PAUCAR DAMIAN | NESTOR ELFRIN ARCE MEDINA")</f>
        <v>MARÍA PAUCAR DAMIAN | NESTOR ELFRIN ARCE MEDINA</v>
      </c>
      <c r="AC30" s="2" t="str">
        <f>IFERROR(__xludf.DUMMYFUNCTION("""COMPUTED_VALUE"""),"Madre")</f>
        <v>Madre</v>
      </c>
      <c r="AD30" s="2">
        <f>IFERROR(__xludf.DUMMYFUNCTION("""COMPUTED_VALUE"""),46.0)</f>
        <v>46</v>
      </c>
      <c r="AE30" s="2" t="str">
        <f>IFERROR(__xludf.DUMMYFUNCTION("""COMPUTED_VALUE"""),"Post test (cierre)")</f>
        <v>Post test (cierre)</v>
      </c>
      <c r="AF30" s="2" t="str">
        <f>IFERROR(__xludf.DUMMYFUNCTION("TRIM(JOIN("" "",UNIQUE(TOCOL(ARRAYFORMULA(IF( SPLIT(AB30,"" "")=TOCOL(SPLIT(AB29,"" "")),SPLIT(AB30,"" "")&amp;"" "",""""))))))"),"")</f>
        <v/>
      </c>
      <c r="AY30" s="2" t="s">
        <v>1243</v>
      </c>
    </row>
    <row r="31">
      <c r="A31" s="2">
        <f t="shared" si="3"/>
        <v>28</v>
      </c>
      <c r="B31" s="1" t="s">
        <v>457</v>
      </c>
      <c r="C31" s="2" t="s">
        <v>468</v>
      </c>
      <c r="D31" s="2" t="s">
        <v>193</v>
      </c>
      <c r="E31" s="2">
        <v>36.0</v>
      </c>
      <c r="F31" s="2" t="s">
        <v>428</v>
      </c>
      <c r="G31" s="2" t="str">
        <f t="shared" si="4"/>
        <v>misma edad</v>
      </c>
      <c r="H31" s="2" t="str">
        <f t="shared" si="5"/>
        <v>mismo nombre</v>
      </c>
      <c r="I31" s="2" t="str">
        <f t="shared" si="6"/>
        <v>mismo colegio</v>
      </c>
      <c r="J31" s="2" t="b">
        <f t="shared" si="7"/>
        <v>0</v>
      </c>
      <c r="K31" s="2" t="str">
        <f>IFERROR(__xludf.DUMMYFUNCTION("TRIM(JOIN("" "",UNIQUE(TOCOL(ARRAYFORMULA(IF( SPLIT(C31,"" "")=TOCOL(SPLIT(C30,"" "")),SPLIT(C31,"" "")&amp;"" "",""""))))))"),"YOVANA RAMIREZ ROSALES")</f>
        <v>YOVANA RAMIREZ ROSALES</v>
      </c>
      <c r="L31" s="2" t="str">
        <f t="shared" si="1"/>
        <v/>
      </c>
      <c r="M31" s="2">
        <f t="shared" si="2"/>
        <v>27</v>
      </c>
      <c r="AA31" s="1" t="str">
        <f>IFERROR(__xludf.DUMMYFUNCTION("""COMPUTED_VALUE"""),"1515246")</f>
        <v>1515246</v>
      </c>
      <c r="AB31" s="2" t="str">
        <f>IFERROR(__xludf.DUMMYFUNCTION("""COMPUTED_VALUE"""),"MARÍA PAUCAR DAMIAN")</f>
        <v>MARÍA PAUCAR DAMIAN</v>
      </c>
      <c r="AC31" s="2" t="str">
        <f>IFERROR(__xludf.DUMMYFUNCTION("""COMPUTED_VALUE"""),"Madre")</f>
        <v>Madre</v>
      </c>
      <c r="AD31" s="2">
        <f>IFERROR(__xludf.DUMMYFUNCTION("""COMPUTED_VALUE"""),46.0)</f>
        <v>46</v>
      </c>
      <c r="AE31" s="2" t="str">
        <f>IFERROR(__xludf.DUMMYFUNCTION("""COMPUTED_VALUE"""),"Pre test (diagnóstico)")</f>
        <v>Pre test (diagnóstico)</v>
      </c>
      <c r="AF31" s="2" t="str">
        <f>IFERROR(__xludf.DUMMYFUNCTION("TRIM(JOIN("" "",UNIQUE(TOCOL(ARRAYFORMULA(IF( SPLIT(AB31,"" "")=TOCOL(SPLIT(AB30,"" "")),SPLIT(AB31,"" "")&amp;"" "",""""))))))"),"MARÍA PAUCAR DAMIAN")</f>
        <v>MARÍA PAUCAR DAMIAN</v>
      </c>
      <c r="AY31" s="2" t="s">
        <v>726</v>
      </c>
    </row>
    <row r="32">
      <c r="A32" s="2">
        <f t="shared" si="3"/>
        <v>29</v>
      </c>
      <c r="B32" s="1" t="s">
        <v>911</v>
      </c>
      <c r="C32" s="2" t="s">
        <v>924</v>
      </c>
      <c r="D32" s="2" t="s">
        <v>193</v>
      </c>
      <c r="E32" s="40"/>
      <c r="F32" s="2" t="s">
        <v>194</v>
      </c>
      <c r="G32" s="2" t="str">
        <f t="shared" si="4"/>
        <v/>
      </c>
      <c r="H32" s="2" t="str">
        <f t="shared" si="5"/>
        <v/>
      </c>
      <c r="I32" s="2" t="str">
        <f t="shared" si="6"/>
        <v/>
      </c>
      <c r="J32" s="2" t="b">
        <f t="shared" si="7"/>
        <v>0</v>
      </c>
      <c r="K32" s="2" t="str">
        <f>IFERROR(__xludf.DUMMYFUNCTION("TRIM(JOIN("" "",UNIQUE(TOCOL(ARRAYFORMULA(IF( SPLIT(C32,"" "")=TOCOL(SPLIT(C31,"" "")),SPLIT(C32,"" "")&amp;"" "",""""))))))"),"")</f>
        <v/>
      </c>
      <c r="L32" s="2" t="str">
        <f t="shared" si="1"/>
        <v/>
      </c>
      <c r="M32" s="2">
        <f t="shared" si="2"/>
        <v>29</v>
      </c>
      <c r="AA32" s="1" t="str">
        <f>IFERROR(__xludf.DUMMYFUNCTION("""COMPUTED_VALUE"""),"0415869")</f>
        <v>0415869</v>
      </c>
      <c r="AB32" s="2" t="str">
        <f>IFERROR(__xludf.DUMMYFUNCTION("""COMPUTED_VALUE"""),"JUDITH HERRERA PADILLA")</f>
        <v>JUDITH HERRERA PADILLA</v>
      </c>
      <c r="AC32" s="2" t="str">
        <f>IFERROR(__xludf.DUMMYFUNCTION("""COMPUTED_VALUE"""),"Madre")</f>
        <v>Madre</v>
      </c>
      <c r="AD32" s="2">
        <f>IFERROR(__xludf.DUMMYFUNCTION("""COMPUTED_VALUE"""),37.0)</f>
        <v>37</v>
      </c>
      <c r="AE32" s="2" t="str">
        <f>IFERROR(__xludf.DUMMYFUNCTION("""COMPUTED_VALUE"""),"Post test (cierre)")</f>
        <v>Post test (cierre)</v>
      </c>
      <c r="AF32" s="2" t="str">
        <f>IFERROR(__xludf.DUMMYFUNCTION("TRIM(JOIN("" "",UNIQUE(TOCOL(ARRAYFORMULA(IF( SPLIT(AB32,"" "")=TOCOL(SPLIT(AB31,"" "")),SPLIT(AB32,"" "")&amp;"" "",""""))))))"),"")</f>
        <v/>
      </c>
      <c r="AY32" s="2" t="s">
        <v>338</v>
      </c>
    </row>
    <row r="33">
      <c r="A33" s="2">
        <f t="shared" si="3"/>
        <v>30</v>
      </c>
      <c r="B33" s="1" t="s">
        <v>69</v>
      </c>
      <c r="C33" s="2" t="s">
        <v>386</v>
      </c>
      <c r="D33" s="2" t="s">
        <v>193</v>
      </c>
      <c r="E33" s="2">
        <v>29.0</v>
      </c>
      <c r="F33" s="2" t="s">
        <v>194</v>
      </c>
      <c r="G33" s="2" t="str">
        <f t="shared" si="4"/>
        <v/>
      </c>
      <c r="H33" s="2" t="str">
        <f t="shared" si="5"/>
        <v/>
      </c>
      <c r="I33" s="2" t="str">
        <f t="shared" si="6"/>
        <v/>
      </c>
      <c r="J33" s="2" t="b">
        <f t="shared" si="7"/>
        <v>1</v>
      </c>
      <c r="K33" s="2" t="str">
        <f>IFERROR(__xludf.DUMMYFUNCTION("TRIM(JOIN("" "",UNIQUE(TOCOL(ARRAYFORMULA(IF( SPLIT(C33,"" "")=TOCOL(SPLIT(C32,"" "")),SPLIT(C33,"" "")&amp;"" "",""""))))))"),"")</f>
        <v/>
      </c>
      <c r="L33" s="2" t="str">
        <f t="shared" si="1"/>
        <v/>
      </c>
      <c r="M33" s="2">
        <f t="shared" si="2"/>
        <v>30</v>
      </c>
      <c r="AA33" s="1" t="str">
        <f>IFERROR(__xludf.DUMMYFUNCTION("""COMPUTED_VALUE"""),"0415869")</f>
        <v>0415869</v>
      </c>
      <c r="AB33" s="2" t="str">
        <f>IFERROR(__xludf.DUMMYFUNCTION("""COMPUTED_VALUE"""),"JUDITH HERRERA")</f>
        <v>JUDITH HERRERA</v>
      </c>
      <c r="AC33" s="2" t="str">
        <f>IFERROR(__xludf.DUMMYFUNCTION("""COMPUTED_VALUE"""),"Madre")</f>
        <v>Madre</v>
      </c>
      <c r="AD33" s="2">
        <f>IFERROR(__xludf.DUMMYFUNCTION("""COMPUTED_VALUE"""),37.0)</f>
        <v>37</v>
      </c>
      <c r="AE33" s="2" t="str">
        <f>IFERROR(__xludf.DUMMYFUNCTION("""COMPUTED_VALUE"""),"Pre test (diagnóstico)")</f>
        <v>Pre test (diagnóstico)</v>
      </c>
      <c r="AF33" s="2" t="str">
        <f>IFERROR(__xludf.DUMMYFUNCTION("TRIM(JOIN("" "",UNIQUE(TOCOL(ARRAYFORMULA(IF( SPLIT(AB33,"" "")=TOCOL(SPLIT(AB32,"" "")),SPLIT(AB33,"" "")&amp;"" "",""""))))))"),"JUDITH HERRERA")</f>
        <v>JUDITH HERRERA</v>
      </c>
      <c r="AY33" s="2" t="s">
        <v>765</v>
      </c>
    </row>
    <row r="34">
      <c r="A34" s="2">
        <f t="shared" si="3"/>
        <v>31</v>
      </c>
      <c r="B34" s="1" t="s">
        <v>69</v>
      </c>
      <c r="C34" s="2" t="s">
        <v>386</v>
      </c>
      <c r="D34" s="2" t="s">
        <v>193</v>
      </c>
      <c r="E34" s="2">
        <v>29.0</v>
      </c>
      <c r="F34" s="2" t="s">
        <v>428</v>
      </c>
      <c r="G34" s="2" t="str">
        <f t="shared" si="4"/>
        <v>misma edad</v>
      </c>
      <c r="H34" s="2" t="str">
        <f t="shared" si="5"/>
        <v>mismo nombre</v>
      </c>
      <c r="I34" s="2" t="str">
        <f t="shared" si="6"/>
        <v>mismo colegio</v>
      </c>
      <c r="J34" s="2" t="b">
        <f t="shared" si="7"/>
        <v>0</v>
      </c>
      <c r="K34" s="2" t="str">
        <f>IFERROR(__xludf.DUMMYFUNCTION("TRIM(JOIN("" "",UNIQUE(TOCOL(ARRAYFORMULA(IF( SPLIT(C34,"" "")=TOCOL(SPLIT(C33,"" "")),SPLIT(C34,"" "")&amp;"" "",""""))))))"),"YOMIRA HUAYTA VARGAS")</f>
        <v>YOMIRA HUAYTA VARGAS</v>
      </c>
      <c r="L34" s="2" t="str">
        <f t="shared" si="1"/>
        <v/>
      </c>
      <c r="M34" s="2">
        <f t="shared" si="2"/>
        <v>30</v>
      </c>
      <c r="AA34" s="1" t="str">
        <f>IFERROR(__xludf.DUMMYFUNCTION("""COMPUTED_VALUE"""),"0509711")</f>
        <v>0509711</v>
      </c>
      <c r="AB34" s="2" t="str">
        <f>IFERROR(__xludf.DUMMYFUNCTION("""COMPUTED_VALUE"""),"JUAN DAVID QUISPE VARGAS | CLARA RIOS CHAVEZ")</f>
        <v>JUAN DAVID QUISPE VARGAS | CLARA RIOS CHAVEZ</v>
      </c>
      <c r="AC34" s="2" t="str">
        <f>IFERROR(__xludf.DUMMYFUNCTION("""COMPUTED_VALUE"""),"Madre")</f>
        <v>Madre</v>
      </c>
      <c r="AD34" s="2">
        <f>IFERROR(__xludf.DUMMYFUNCTION("""COMPUTED_VALUE"""),32.0)</f>
        <v>32</v>
      </c>
      <c r="AE34" s="2" t="str">
        <f>IFERROR(__xludf.DUMMYFUNCTION("""COMPUTED_VALUE"""),"Post test (cierre)")</f>
        <v>Post test (cierre)</v>
      </c>
      <c r="AF34" s="2" t="str">
        <f>IFERROR(__xludf.DUMMYFUNCTION("TRIM(JOIN("" "",UNIQUE(TOCOL(ARRAYFORMULA(IF( SPLIT(AB34,"" "")=TOCOL(SPLIT(AB33,"" "")),SPLIT(AB34,"" "")&amp;"" "",""""))))))"),"")</f>
        <v/>
      </c>
      <c r="AY34" s="2" t="s">
        <v>757</v>
      </c>
    </row>
    <row r="35">
      <c r="A35" s="2">
        <f t="shared" si="3"/>
        <v>32</v>
      </c>
      <c r="B35" s="1" t="s">
        <v>105</v>
      </c>
      <c r="C35" s="2" t="s">
        <v>424</v>
      </c>
      <c r="D35" s="2" t="s">
        <v>222</v>
      </c>
      <c r="E35" s="2">
        <v>27.0</v>
      </c>
      <c r="F35" s="2" t="s">
        <v>194</v>
      </c>
      <c r="G35" s="2" t="str">
        <f t="shared" si="4"/>
        <v/>
      </c>
      <c r="H35" s="2" t="str">
        <f t="shared" si="5"/>
        <v/>
      </c>
      <c r="I35" s="2" t="str">
        <f t="shared" si="6"/>
        <v/>
      </c>
      <c r="J35" s="2" t="b">
        <f t="shared" si="7"/>
        <v>0</v>
      </c>
      <c r="K35" s="2" t="str">
        <f>IFERROR(__xludf.DUMMYFUNCTION("TRIM(JOIN("" "",UNIQUE(TOCOL(ARRAYFORMULA(IF( SPLIT(C35,"" "")=TOCOL(SPLIT(C34,"" "")),SPLIT(C35,"" "")&amp;"" "",""""))))))"),"")</f>
        <v/>
      </c>
      <c r="L35" s="2" t="str">
        <f t="shared" si="1"/>
        <v/>
      </c>
      <c r="M35" s="2">
        <f t="shared" si="2"/>
        <v>32</v>
      </c>
      <c r="AA35" s="1" t="str">
        <f>IFERROR(__xludf.DUMMYFUNCTION("""COMPUTED_VALUE"""),"0509711")</f>
        <v>0509711</v>
      </c>
      <c r="AB35" s="2" t="str">
        <f>IFERROR(__xludf.DUMMYFUNCTION("""COMPUTED_VALUE"""),"JUAN DAVID QUISPE VARGAS")</f>
        <v>JUAN DAVID QUISPE VARGAS</v>
      </c>
      <c r="AC35" s="2" t="str">
        <f>IFERROR(__xludf.DUMMYFUNCTION("""COMPUTED_VALUE"""),"Padre")</f>
        <v>Padre</v>
      </c>
      <c r="AD35" s="2">
        <f>IFERROR(__xludf.DUMMYFUNCTION("""COMPUTED_VALUE"""),32.0)</f>
        <v>32</v>
      </c>
      <c r="AE35" s="2" t="str">
        <f>IFERROR(__xludf.DUMMYFUNCTION("""COMPUTED_VALUE"""),"Pre test (diagnóstico)")</f>
        <v>Pre test (diagnóstico)</v>
      </c>
      <c r="AF35" s="2" t="str">
        <f>IFERROR(__xludf.DUMMYFUNCTION("TRIM(JOIN("" "",UNIQUE(TOCOL(ARRAYFORMULA(IF( SPLIT(AB35,"" "")=TOCOL(SPLIT(AB34,"" "")),SPLIT(AB35,"" "")&amp;"" "",""""))))))"),"JUAN DAVID QUISPE VARGAS")</f>
        <v>JUAN DAVID QUISPE VARGAS</v>
      </c>
      <c r="AY35" s="2" t="s">
        <v>751</v>
      </c>
    </row>
    <row r="36">
      <c r="A36" s="2">
        <f t="shared" si="3"/>
        <v>33</v>
      </c>
      <c r="B36" s="1" t="s">
        <v>122</v>
      </c>
      <c r="C36" s="2" t="s">
        <v>453</v>
      </c>
      <c r="D36" s="2" t="s">
        <v>193</v>
      </c>
      <c r="E36" s="2">
        <v>33.0</v>
      </c>
      <c r="F36" s="2" t="s">
        <v>428</v>
      </c>
      <c r="G36" s="2" t="str">
        <f t="shared" si="4"/>
        <v/>
      </c>
      <c r="H36" s="2" t="str">
        <f t="shared" si="5"/>
        <v/>
      </c>
      <c r="I36" s="2" t="str">
        <f t="shared" si="6"/>
        <v/>
      </c>
      <c r="J36" s="2" t="b">
        <f t="shared" si="7"/>
        <v>0</v>
      </c>
      <c r="K36" s="2" t="str">
        <f>IFERROR(__xludf.DUMMYFUNCTION("TRIM(JOIN("" "",UNIQUE(TOCOL(ARRAYFORMULA(IF( SPLIT(C36,"" "")=TOCOL(SPLIT(C35,"" "")),SPLIT(C36,"" "")&amp;"" "",""""))))))"),"")</f>
        <v/>
      </c>
      <c r="L36" s="2" t="str">
        <f t="shared" si="1"/>
        <v/>
      </c>
      <c r="M36" s="2">
        <f t="shared" si="2"/>
        <v>33</v>
      </c>
      <c r="AA36" s="1" t="str">
        <f>IFERROR(__xludf.DUMMYFUNCTION("""COMPUTED_VALUE"""),"0415869")</f>
        <v>0415869</v>
      </c>
      <c r="AB36" s="2" t="str">
        <f>IFERROR(__xludf.DUMMYFUNCTION("""COMPUTED_VALUE"""),"JEYSI VALVERDE GREGORIO")</f>
        <v>JEYSI VALVERDE GREGORIO</v>
      </c>
      <c r="AC36" s="2" t="str">
        <f>IFERROR(__xludf.DUMMYFUNCTION("""COMPUTED_VALUE"""),"Madre")</f>
        <v>Madre</v>
      </c>
      <c r="AD36" s="2">
        <f>IFERROR(__xludf.DUMMYFUNCTION("""COMPUTED_VALUE"""),31.0)</f>
        <v>31</v>
      </c>
      <c r="AE36" s="2" t="str">
        <f>IFERROR(__xludf.DUMMYFUNCTION("""COMPUTED_VALUE"""),"Pre test (diagnóstico)")</f>
        <v>Pre test (diagnóstico)</v>
      </c>
      <c r="AF36" s="2" t="str">
        <f>IFERROR(__xludf.DUMMYFUNCTION("TRIM(JOIN("" "",UNIQUE(TOCOL(ARRAYFORMULA(IF( SPLIT(AB36,"" "")=TOCOL(SPLIT(AB35,"" "")),SPLIT(AB36,"" "")&amp;"" "",""""))))))"),"")</f>
        <v/>
      </c>
      <c r="AY36" s="2" t="s">
        <v>1371</v>
      </c>
    </row>
    <row r="37">
      <c r="A37" s="2">
        <f t="shared" si="3"/>
        <v>34</v>
      </c>
      <c r="B37" s="1" t="s">
        <v>205</v>
      </c>
      <c r="C37" s="2" t="s">
        <v>1146</v>
      </c>
      <c r="D37" s="2" t="s">
        <v>193</v>
      </c>
      <c r="E37" s="2">
        <v>25.0</v>
      </c>
      <c r="F37" s="2" t="s">
        <v>428</v>
      </c>
      <c r="G37" s="2" t="str">
        <f t="shared" si="4"/>
        <v/>
      </c>
      <c r="H37" s="2" t="str">
        <f t="shared" si="5"/>
        <v/>
      </c>
      <c r="I37" s="2" t="str">
        <f t="shared" si="6"/>
        <v/>
      </c>
      <c r="J37" s="2" t="b">
        <f t="shared" si="7"/>
        <v>1</v>
      </c>
      <c r="K37" s="2" t="str">
        <f>IFERROR(__xludf.DUMMYFUNCTION("TRIM(JOIN("" "",UNIQUE(TOCOL(ARRAYFORMULA(IF( SPLIT(C37,"" "")=TOCOL(SPLIT(C36,"" "")),SPLIT(C37,"" "")&amp;"" "",""""))))))"),"YOLANDA")</f>
        <v>YOLANDA</v>
      </c>
      <c r="L37" s="2" t="str">
        <f t="shared" si="1"/>
        <v/>
      </c>
      <c r="M37" s="2">
        <f t="shared" si="2"/>
        <v>34</v>
      </c>
      <c r="AA37" s="1" t="str">
        <f>IFERROR(__xludf.DUMMYFUNCTION("""COMPUTED_VALUE"""),"0415869")</f>
        <v>0415869</v>
      </c>
      <c r="AB37" s="2" t="str">
        <f>IFERROR(__xludf.DUMMYFUNCTION("""COMPUTED_VALUE"""),"JEYDI VALVERDE GREGORIO")</f>
        <v>JEYDI VALVERDE GREGORIO</v>
      </c>
      <c r="AC37" s="2" t="str">
        <f>IFERROR(__xludf.DUMMYFUNCTION("""COMPUTED_VALUE"""),"Madre")</f>
        <v>Madre</v>
      </c>
      <c r="AD37" s="2">
        <f>IFERROR(__xludf.DUMMYFUNCTION("""COMPUTED_VALUE"""),31.0)</f>
        <v>31</v>
      </c>
      <c r="AE37" s="2" t="str">
        <f>IFERROR(__xludf.DUMMYFUNCTION("""COMPUTED_VALUE"""),"Post test (cierre)")</f>
        <v>Post test (cierre)</v>
      </c>
      <c r="AF37" s="2" t="str">
        <f>IFERROR(__xludf.DUMMYFUNCTION("TRIM(JOIN("" "",UNIQUE(TOCOL(ARRAYFORMULA(IF( SPLIT(AB37,"" "")=TOCOL(SPLIT(AB36,"" "")),SPLIT(AB37,"" "")&amp;"" "",""""))))))"),"VALVERDE GREGORIO")</f>
        <v>VALVERDE GREGORIO</v>
      </c>
      <c r="AY37" s="2" t="s">
        <v>722</v>
      </c>
    </row>
    <row r="38">
      <c r="A38" s="2">
        <f t="shared" si="3"/>
        <v>35</v>
      </c>
      <c r="B38" s="1" t="s">
        <v>226</v>
      </c>
      <c r="C38" s="2" t="s">
        <v>259</v>
      </c>
      <c r="D38" s="2" t="s">
        <v>193</v>
      </c>
      <c r="E38" s="2">
        <v>25.0</v>
      </c>
      <c r="F38" s="2" t="s">
        <v>194</v>
      </c>
      <c r="G38" s="2" t="str">
        <f t="shared" si="4"/>
        <v>misma edad</v>
      </c>
      <c r="H38" s="2" t="str">
        <f t="shared" si="5"/>
        <v/>
      </c>
      <c r="I38" s="2" t="str">
        <f t="shared" si="6"/>
        <v/>
      </c>
      <c r="J38" s="2" t="b">
        <f t="shared" si="7"/>
        <v>0</v>
      </c>
      <c r="K38" s="2" t="str">
        <f>IFERROR(__xludf.DUMMYFUNCTION("TRIM(JOIN("" "",UNIQUE(TOCOL(ARRAYFORMULA(IF( SPLIT(C38,"" "")=TOCOL(SPLIT(C37,"" "")),SPLIT(C38,"" "")&amp;"" "",""""))))))"),"")</f>
        <v/>
      </c>
      <c r="L38" s="2" t="str">
        <f t="shared" si="1"/>
        <v/>
      </c>
      <c r="M38" s="2">
        <f t="shared" si="2"/>
        <v>35</v>
      </c>
      <c r="AA38" s="1" t="str">
        <f>IFERROR(__xludf.DUMMYFUNCTION("""COMPUTED_VALUE"""),"1675032")</f>
        <v>1675032</v>
      </c>
      <c r="AB38" s="2" t="str">
        <f>IFERROR(__xludf.DUMMYFUNCTION("""COMPUTED_VALUE"""),"HUERTA OBREGON MELVA VALERIANA")</f>
        <v>HUERTA OBREGON MELVA VALERIANA</v>
      </c>
      <c r="AC38" s="2" t="str">
        <f>IFERROR(__xludf.DUMMYFUNCTION("""COMPUTED_VALUE"""),"Madre")</f>
        <v>Madre</v>
      </c>
      <c r="AD38" s="2">
        <f>IFERROR(__xludf.DUMMYFUNCTION("""COMPUTED_VALUE"""),26.0)</f>
        <v>26</v>
      </c>
      <c r="AE38" s="2" t="str">
        <f>IFERROR(__xludf.DUMMYFUNCTION("""COMPUTED_VALUE"""),"Pre test (diagnóstico)")</f>
        <v>Pre test (diagnóstico)</v>
      </c>
      <c r="AF38" s="2" t="str">
        <f>IFERROR(__xludf.DUMMYFUNCTION("TRIM(JOIN("" "",UNIQUE(TOCOL(ARRAYFORMULA(IF( SPLIT(AB38,"" "")=TOCOL(SPLIT(AB37,"" "")),SPLIT(AB38,"" "")&amp;"" "",""""))))))"),"")</f>
        <v/>
      </c>
      <c r="AY38" s="2" t="s">
        <v>769</v>
      </c>
    </row>
    <row r="39">
      <c r="A39" s="2">
        <f t="shared" si="3"/>
        <v>36</v>
      </c>
      <c r="B39" s="1" t="s">
        <v>226</v>
      </c>
      <c r="C39" s="2" t="s">
        <v>259</v>
      </c>
      <c r="D39" s="2" t="s">
        <v>193</v>
      </c>
      <c r="E39" s="2">
        <v>25.0</v>
      </c>
      <c r="F39" s="2" t="s">
        <v>428</v>
      </c>
      <c r="G39" s="2" t="str">
        <f t="shared" si="4"/>
        <v>misma edad</v>
      </c>
      <c r="H39" s="2" t="str">
        <f t="shared" si="5"/>
        <v>mismo nombre</v>
      </c>
      <c r="I39" s="2" t="str">
        <f t="shared" si="6"/>
        <v>mismo colegio</v>
      </c>
      <c r="J39" s="2" t="b">
        <f t="shared" si="7"/>
        <v>0</v>
      </c>
      <c r="K39" s="2" t="str">
        <f>IFERROR(__xludf.DUMMYFUNCTION("TRIM(JOIN("" "",UNIQUE(TOCOL(ARRAYFORMULA(IF( SPLIT(C39,"" "")=TOCOL(SPLIT(C38,"" "")),SPLIT(C39,"" "")&amp;"" "",""""))))))"),"YISSELA TICLO GUERRA")</f>
        <v>YISSELA TICLO GUERRA</v>
      </c>
      <c r="L39" s="2" t="str">
        <f t="shared" si="1"/>
        <v/>
      </c>
      <c r="M39" s="2">
        <f t="shared" si="2"/>
        <v>35</v>
      </c>
      <c r="AA39" s="1" t="str">
        <f>IFERROR(__xludf.DUMMYFUNCTION("""COMPUTED_VALUE"""),"1675032")</f>
        <v>1675032</v>
      </c>
      <c r="AB39" s="2" t="str">
        <f>IFERROR(__xludf.DUMMYFUNCTION("""COMPUTED_VALUE"""),"HUERTA OBREGON MELVA")</f>
        <v>HUERTA OBREGON MELVA</v>
      </c>
      <c r="AC39" s="2" t="str">
        <f>IFERROR(__xludf.DUMMYFUNCTION("""COMPUTED_VALUE"""),"Madre")</f>
        <v>Madre</v>
      </c>
      <c r="AD39" s="2">
        <f>IFERROR(__xludf.DUMMYFUNCTION("""COMPUTED_VALUE"""),26.0)</f>
        <v>26</v>
      </c>
      <c r="AE39" s="2" t="str">
        <f>IFERROR(__xludf.DUMMYFUNCTION("""COMPUTED_VALUE"""),"Post test (cierre)")</f>
        <v>Post test (cierre)</v>
      </c>
      <c r="AF39" s="2" t="str">
        <f>IFERROR(__xludf.DUMMYFUNCTION("TRIM(JOIN("" "",UNIQUE(TOCOL(ARRAYFORMULA(IF( SPLIT(AB39,"" "")=TOCOL(SPLIT(AB38,"" "")),SPLIT(AB39,"" "")&amp;"" "",""""))))))"),"HUERTA OBREGON MELVA")</f>
        <v>HUERTA OBREGON MELVA</v>
      </c>
      <c r="AY39" s="2" t="s">
        <v>939</v>
      </c>
    </row>
    <row r="40">
      <c r="A40" s="2">
        <f t="shared" si="3"/>
        <v>37</v>
      </c>
      <c r="B40" s="1" t="s">
        <v>69</v>
      </c>
      <c r="C40" s="2" t="s">
        <v>390</v>
      </c>
      <c r="D40" s="2" t="s">
        <v>193</v>
      </c>
      <c r="E40" s="2">
        <v>30.0</v>
      </c>
      <c r="F40" s="2" t="s">
        <v>194</v>
      </c>
      <c r="G40" s="2" t="str">
        <f t="shared" si="4"/>
        <v/>
      </c>
      <c r="H40" s="2" t="str">
        <f t="shared" si="5"/>
        <v/>
      </c>
      <c r="I40" s="2" t="str">
        <f t="shared" si="6"/>
        <v/>
      </c>
      <c r="J40" s="2" t="b">
        <f t="shared" si="7"/>
        <v>0</v>
      </c>
      <c r="K40" s="2" t="str">
        <f>IFERROR(__xludf.DUMMYFUNCTION("TRIM(JOIN("" "",UNIQUE(TOCOL(ARRAYFORMULA(IF( SPLIT(C40,"" "")=TOCOL(SPLIT(C39,"" "")),SPLIT(C40,"" "")&amp;"" "",""""))))))"),"")</f>
        <v/>
      </c>
      <c r="L40" s="2" t="str">
        <f t="shared" si="1"/>
        <v/>
      </c>
      <c r="M40" s="2">
        <f t="shared" si="2"/>
        <v>37</v>
      </c>
      <c r="AA40" s="1" t="str">
        <f>IFERROR(__xludf.DUMMYFUNCTION("""COMPUTED_VALUE"""),"0469999")</f>
        <v>0469999</v>
      </c>
      <c r="AB40" s="2" t="str">
        <f>IFERROR(__xludf.DUMMYFUNCTION("""COMPUTED_VALUE"""),"HERRERA SIPAN, AISSA NAYSHA")</f>
        <v>HERRERA SIPAN, AISSA NAYSHA</v>
      </c>
      <c r="AC40" s="2" t="str">
        <f>IFERROR(__xludf.DUMMYFUNCTION("""COMPUTED_VALUE"""),"Madre")</f>
        <v>Madre</v>
      </c>
      <c r="AD40" s="2">
        <f>IFERROR(__xludf.DUMMYFUNCTION("""COMPUTED_VALUE"""),27.0)</f>
        <v>27</v>
      </c>
      <c r="AE40" s="2" t="str">
        <f>IFERROR(__xludf.DUMMYFUNCTION("""COMPUTED_VALUE"""),"Post test (cierre)")</f>
        <v>Post test (cierre)</v>
      </c>
      <c r="AF40" s="2" t="str">
        <f>IFERROR(__xludf.DUMMYFUNCTION("TRIM(JOIN("" "",UNIQUE(TOCOL(ARRAYFORMULA(IF( SPLIT(AB40,"" "")=TOCOL(SPLIT(AB39,"" "")),SPLIT(AB40,"" "")&amp;"" "",""""))))))"),"")</f>
        <v/>
      </c>
      <c r="AY40" s="2" t="s">
        <v>1213</v>
      </c>
    </row>
    <row r="41">
      <c r="A41" s="2">
        <f t="shared" si="3"/>
        <v>38</v>
      </c>
      <c r="B41" s="1" t="s">
        <v>69</v>
      </c>
      <c r="C41" s="2" t="s">
        <v>390</v>
      </c>
      <c r="D41" s="2" t="s">
        <v>193</v>
      </c>
      <c r="E41" s="2">
        <v>30.0</v>
      </c>
      <c r="F41" s="2" t="s">
        <v>428</v>
      </c>
      <c r="G41" s="2" t="str">
        <f t="shared" si="4"/>
        <v>misma edad</v>
      </c>
      <c r="H41" s="2" t="str">
        <f t="shared" si="5"/>
        <v>mismo nombre</v>
      </c>
      <c r="I41" s="2" t="str">
        <f t="shared" si="6"/>
        <v>mismo colegio</v>
      </c>
      <c r="J41" s="2" t="b">
        <f t="shared" si="7"/>
        <v>0</v>
      </c>
      <c r="K41" s="2" t="str">
        <f>IFERROR(__xludf.DUMMYFUNCTION("TRIM(JOIN("" "",UNIQUE(TOCOL(ARRAYFORMULA(IF( SPLIT(C41,"" "")=TOCOL(SPLIT(C40,"" "")),SPLIT(C41,"" "")&amp;"" "",""""))))))"),"YENY ROJAS BAZAM")</f>
        <v>YENY ROJAS BAZAM</v>
      </c>
      <c r="L41" s="2" t="str">
        <f t="shared" si="1"/>
        <v/>
      </c>
      <c r="M41" s="2">
        <f t="shared" si="2"/>
        <v>37</v>
      </c>
      <c r="AA41" s="1" t="str">
        <f>IFERROR(__xludf.DUMMYFUNCTION("""COMPUTED_VALUE"""),"0469999")</f>
        <v>0469999</v>
      </c>
      <c r="AB41" s="2" t="str">
        <f>IFERROR(__xludf.DUMMYFUNCTION("""COMPUTED_VALUE"""),"HERRERA SIPAN, AISSA")</f>
        <v>HERRERA SIPAN, AISSA</v>
      </c>
      <c r="AC41" s="2" t="str">
        <f>IFERROR(__xludf.DUMMYFUNCTION("""COMPUTED_VALUE"""),"Madre")</f>
        <v>Madre</v>
      </c>
      <c r="AD41" s="2">
        <f>IFERROR(__xludf.DUMMYFUNCTION("""COMPUTED_VALUE"""),27.0)</f>
        <v>27</v>
      </c>
      <c r="AE41" s="2" t="str">
        <f>IFERROR(__xludf.DUMMYFUNCTION("""COMPUTED_VALUE"""),"Pre test (diagnóstico)")</f>
        <v>Pre test (diagnóstico)</v>
      </c>
      <c r="AF41" s="2" t="str">
        <f>IFERROR(__xludf.DUMMYFUNCTION("TRIM(JOIN("" "",UNIQUE(TOCOL(ARRAYFORMULA(IF( SPLIT(AB41,"" "")=TOCOL(SPLIT(AB40,"" "")),SPLIT(AB41,"" "")&amp;"" "",""""))))))"),"HERRERA SIPAN, AISSA")</f>
        <v>HERRERA SIPAN, AISSA</v>
      </c>
      <c r="AY41" s="2" t="s">
        <v>1281</v>
      </c>
    </row>
    <row r="42">
      <c r="A42" s="2">
        <f t="shared" si="3"/>
        <v>39</v>
      </c>
      <c r="B42" s="1" t="s">
        <v>190</v>
      </c>
      <c r="C42" s="2" t="s">
        <v>198</v>
      </c>
      <c r="D42" s="2" t="s">
        <v>193</v>
      </c>
      <c r="E42" s="2">
        <v>34.0</v>
      </c>
      <c r="F42" s="2" t="s">
        <v>194</v>
      </c>
      <c r="G42" s="2" t="str">
        <f t="shared" si="4"/>
        <v/>
      </c>
      <c r="H42" s="2" t="str">
        <f t="shared" si="5"/>
        <v/>
      </c>
      <c r="I42" s="2" t="str">
        <f t="shared" si="6"/>
        <v/>
      </c>
      <c r="J42" s="2" t="b">
        <f t="shared" si="7"/>
        <v>0</v>
      </c>
      <c r="K42" s="2" t="str">
        <f>IFERROR(__xludf.DUMMYFUNCTION("TRIM(JOIN("" "",UNIQUE(TOCOL(ARRAYFORMULA(IF( SPLIT(C42,"" "")=TOCOL(SPLIT(C41,"" "")),SPLIT(C42,"" "")&amp;"" "",""""))))))"),"")</f>
        <v/>
      </c>
      <c r="L42" s="2" t="str">
        <f t="shared" si="1"/>
        <v/>
      </c>
      <c r="M42" s="2">
        <f t="shared" si="2"/>
        <v>39</v>
      </c>
      <c r="AA42" s="1" t="str">
        <f>IFERROR(__xludf.DUMMYFUNCTION("""COMPUTED_VALUE"""),"1675032")</f>
        <v>1675032</v>
      </c>
      <c r="AB42" s="2" t="str">
        <f>IFERROR(__xludf.DUMMYFUNCTION("""COMPUTED_VALUE"""),"GOMEZ HUAYTAN YANET ABENCIA")</f>
        <v>GOMEZ HUAYTAN YANET ABENCIA</v>
      </c>
      <c r="AC42" s="2" t="str">
        <f>IFERROR(__xludf.DUMMYFUNCTION("""COMPUTED_VALUE"""),"Madre")</f>
        <v>Madre</v>
      </c>
      <c r="AD42" s="2">
        <f>IFERROR(__xludf.DUMMYFUNCTION("""COMPUTED_VALUE"""),24.0)</f>
        <v>24</v>
      </c>
      <c r="AE42" s="2" t="str">
        <f>IFERROR(__xludf.DUMMYFUNCTION("""COMPUTED_VALUE"""),"Pre test (diagnóstico)")</f>
        <v>Pre test (diagnóstico)</v>
      </c>
      <c r="AF42" s="2" t="str">
        <f>IFERROR(__xludf.DUMMYFUNCTION("TRIM(JOIN("" "",UNIQUE(TOCOL(ARRAYFORMULA(IF( SPLIT(AB42,"" "")=TOCOL(SPLIT(AB41,"" "")),SPLIT(AB42,"" "")&amp;"" "",""""))))))"),"")</f>
        <v/>
      </c>
      <c r="AY42" s="2" t="s">
        <v>971</v>
      </c>
    </row>
    <row r="43">
      <c r="A43" s="2">
        <f t="shared" si="3"/>
        <v>40</v>
      </c>
      <c r="B43" s="1" t="s">
        <v>190</v>
      </c>
      <c r="C43" s="2" t="s">
        <v>198</v>
      </c>
      <c r="D43" s="2" t="s">
        <v>193</v>
      </c>
      <c r="E43" s="2">
        <v>34.0</v>
      </c>
      <c r="F43" s="2" t="s">
        <v>428</v>
      </c>
      <c r="G43" s="2" t="str">
        <f t="shared" si="4"/>
        <v>misma edad</v>
      </c>
      <c r="H43" s="2" t="str">
        <f t="shared" si="5"/>
        <v>mismo nombre</v>
      </c>
      <c r="I43" s="2" t="str">
        <f t="shared" si="6"/>
        <v>mismo colegio</v>
      </c>
      <c r="J43" s="2" t="b">
        <f t="shared" si="7"/>
        <v>0</v>
      </c>
      <c r="K43" s="2" t="str">
        <f>IFERROR(__xludf.DUMMYFUNCTION("TRIM(JOIN("" "",UNIQUE(TOCOL(ARRAYFORMULA(IF( SPLIT(C43,"" "")=TOCOL(SPLIT(C42,"" "")),SPLIT(C43,"" "")&amp;"" "",""""))))))"),"YENI MINAYA MIRANDA")</f>
        <v>YENI MINAYA MIRANDA</v>
      </c>
      <c r="L43" s="2" t="str">
        <f t="shared" si="1"/>
        <v/>
      </c>
      <c r="M43" s="2">
        <f t="shared" si="2"/>
        <v>39</v>
      </c>
      <c r="AA43" s="1" t="str">
        <f>IFERROR(__xludf.DUMMYFUNCTION("""COMPUTED_VALUE"""),"1675032")</f>
        <v>1675032</v>
      </c>
      <c r="AB43" s="2" t="str">
        <f>IFERROR(__xludf.DUMMYFUNCTION("""COMPUTED_VALUE"""),"GOMEZ HUAYTAN YANET")</f>
        <v>GOMEZ HUAYTAN YANET</v>
      </c>
      <c r="AC43" s="2" t="str">
        <f>IFERROR(__xludf.DUMMYFUNCTION("""COMPUTED_VALUE"""),"Madre")</f>
        <v>Madre</v>
      </c>
      <c r="AD43" s="2">
        <f>IFERROR(__xludf.DUMMYFUNCTION("""COMPUTED_VALUE"""),24.0)</f>
        <v>24</v>
      </c>
      <c r="AE43" s="2" t="str">
        <f>IFERROR(__xludf.DUMMYFUNCTION("""COMPUTED_VALUE"""),"Post test (cierre)")</f>
        <v>Post test (cierre)</v>
      </c>
      <c r="AF43" s="2" t="str">
        <f>IFERROR(__xludf.DUMMYFUNCTION("TRIM(JOIN("" "",UNIQUE(TOCOL(ARRAYFORMULA(IF( SPLIT(AB43,"" "")=TOCOL(SPLIT(AB42,"" "")),SPLIT(AB43,"" "")&amp;"" "",""""))))))"),"GOMEZ HUAYTAN YANET")</f>
        <v>GOMEZ HUAYTAN YANET</v>
      </c>
      <c r="AY43" s="2" t="s">
        <v>749</v>
      </c>
    </row>
    <row r="44">
      <c r="A44" s="2">
        <f t="shared" si="3"/>
        <v>41</v>
      </c>
      <c r="B44" s="1" t="s">
        <v>994</v>
      </c>
      <c r="C44" s="2" t="s">
        <v>1012</v>
      </c>
      <c r="D44" s="2" t="s">
        <v>193</v>
      </c>
      <c r="E44" s="2">
        <v>30.0</v>
      </c>
      <c r="F44" s="2" t="s">
        <v>194</v>
      </c>
      <c r="G44" s="2" t="str">
        <f t="shared" si="4"/>
        <v/>
      </c>
      <c r="H44" s="2" t="str">
        <f t="shared" si="5"/>
        <v/>
      </c>
      <c r="I44" s="2" t="str">
        <f t="shared" si="6"/>
        <v/>
      </c>
      <c r="J44" s="2" t="b">
        <f t="shared" si="7"/>
        <v>0</v>
      </c>
      <c r="K44" s="2" t="str">
        <f>IFERROR(__xludf.DUMMYFUNCTION("TRIM(JOIN("" "",UNIQUE(TOCOL(ARRAYFORMULA(IF( SPLIT(C44,"" "")=TOCOL(SPLIT(C43,"" "")),SPLIT(C44,"" "")&amp;"" "",""""))))))"),"")</f>
        <v/>
      </c>
      <c r="L44" s="2" t="str">
        <f t="shared" si="1"/>
        <v/>
      </c>
      <c r="M44" s="2">
        <f t="shared" si="2"/>
        <v>41</v>
      </c>
      <c r="AA44" s="1" t="str">
        <f>IFERROR(__xludf.DUMMYFUNCTION("""COMPUTED_VALUE"""),"1675032")</f>
        <v>1675032</v>
      </c>
      <c r="AB44" s="2" t="str">
        <f>IFERROR(__xludf.DUMMYFUNCTION("""COMPUTED_VALUE"""),"GOMEZ HUAYTAN ANITA FLORCITA")</f>
        <v>GOMEZ HUAYTAN ANITA FLORCITA</v>
      </c>
      <c r="AC44" s="2" t="str">
        <f>IFERROR(__xludf.DUMMYFUNCTION("""COMPUTED_VALUE"""),"Madre")</f>
        <v>Madre</v>
      </c>
      <c r="AD44" s="2">
        <f>IFERROR(__xludf.DUMMYFUNCTION("""COMPUTED_VALUE"""),27.0)</f>
        <v>27</v>
      </c>
      <c r="AE44" s="2" t="str">
        <f>IFERROR(__xludf.DUMMYFUNCTION("""COMPUTED_VALUE"""),"Post test (cierre)")</f>
        <v>Post test (cierre)</v>
      </c>
      <c r="AF44" s="2" t="str">
        <f>IFERROR(__xludf.DUMMYFUNCTION("TRIM(JOIN("" "",UNIQUE(TOCOL(ARRAYFORMULA(IF( SPLIT(AB44,"" "")=TOCOL(SPLIT(AB43,"" "")),SPLIT(AB44,"" "")&amp;"" "",""""))))))"),"GOMEZ HUAYTAN")</f>
        <v>GOMEZ HUAYTAN</v>
      </c>
      <c r="AY44" s="2" t="s">
        <v>679</v>
      </c>
    </row>
    <row r="45">
      <c r="A45" s="2">
        <f t="shared" si="3"/>
        <v>42</v>
      </c>
      <c r="B45" s="1" t="s">
        <v>994</v>
      </c>
      <c r="C45" s="2" t="s">
        <v>1012</v>
      </c>
      <c r="D45" s="2" t="s">
        <v>193</v>
      </c>
      <c r="E45" s="2">
        <v>30.0</v>
      </c>
      <c r="F45" s="2" t="s">
        <v>428</v>
      </c>
      <c r="G45" s="2" t="str">
        <f t="shared" si="4"/>
        <v>misma edad</v>
      </c>
      <c r="H45" s="2" t="str">
        <f t="shared" si="5"/>
        <v>mismo nombre</v>
      </c>
      <c r="I45" s="2" t="str">
        <f t="shared" si="6"/>
        <v>mismo colegio</v>
      </c>
      <c r="J45" s="2" t="b">
        <f t="shared" si="7"/>
        <v>0</v>
      </c>
      <c r="K45" s="2" t="str">
        <f>IFERROR(__xludf.DUMMYFUNCTION("TRIM(JOIN("" "",UNIQUE(TOCOL(ARRAYFORMULA(IF( SPLIT(C45,"" "")=TOCOL(SPLIT(C44,"" "")),SPLIT(C45,"" "")&amp;"" "",""""))))))"),"YAURI ESPINOZA, KELLY")</f>
        <v>YAURI ESPINOZA, KELLY</v>
      </c>
      <c r="L45" s="2" t="str">
        <f t="shared" si="1"/>
        <v/>
      </c>
      <c r="M45" s="2">
        <f t="shared" si="2"/>
        <v>41</v>
      </c>
      <c r="AA45" s="1" t="str">
        <f>IFERROR(__xludf.DUMMYFUNCTION("""COMPUTED_VALUE"""),"1675032")</f>
        <v>1675032</v>
      </c>
      <c r="AB45" s="2" t="str">
        <f>IFERROR(__xludf.DUMMYFUNCTION("""COMPUTED_VALUE"""),"GOMEZ HUAYTAN ANITA")</f>
        <v>GOMEZ HUAYTAN ANITA</v>
      </c>
      <c r="AC45" s="2" t="str">
        <f>IFERROR(__xludf.DUMMYFUNCTION("""COMPUTED_VALUE"""),"Madre")</f>
        <v>Madre</v>
      </c>
      <c r="AD45" s="2">
        <f>IFERROR(__xludf.DUMMYFUNCTION("""COMPUTED_VALUE"""),27.0)</f>
        <v>27</v>
      </c>
      <c r="AE45" s="2" t="str">
        <f>IFERROR(__xludf.DUMMYFUNCTION("""COMPUTED_VALUE"""),"Pre test (diagnóstico)")</f>
        <v>Pre test (diagnóstico)</v>
      </c>
      <c r="AF45" s="2" t="str">
        <f>IFERROR(__xludf.DUMMYFUNCTION("TRIM(JOIN("" "",UNIQUE(TOCOL(ARRAYFORMULA(IF( SPLIT(AB45,"" "")=TOCOL(SPLIT(AB44,"" "")),SPLIT(AB45,"" "")&amp;"" "",""""))))))"),"GOMEZ HUAYTAN ANITA")</f>
        <v>GOMEZ HUAYTAN ANITA</v>
      </c>
      <c r="AY45" s="2" t="s">
        <v>798</v>
      </c>
    </row>
    <row r="46">
      <c r="A46" s="2">
        <f t="shared" si="3"/>
        <v>43</v>
      </c>
      <c r="B46" s="1" t="s">
        <v>226</v>
      </c>
      <c r="C46" s="2" t="s">
        <v>254</v>
      </c>
      <c r="D46" s="2" t="s">
        <v>193</v>
      </c>
      <c r="E46" s="2">
        <v>39.0</v>
      </c>
      <c r="F46" s="2" t="s">
        <v>194</v>
      </c>
      <c r="G46" s="2" t="str">
        <f t="shared" si="4"/>
        <v/>
      </c>
      <c r="H46" s="2" t="str">
        <f t="shared" si="5"/>
        <v/>
      </c>
      <c r="I46" s="2" t="str">
        <f t="shared" si="6"/>
        <v/>
      </c>
      <c r="J46" s="2" t="b">
        <f t="shared" si="7"/>
        <v>0</v>
      </c>
      <c r="K46" s="2" t="str">
        <f>IFERROR(__xludf.DUMMYFUNCTION("TRIM(JOIN("" "",UNIQUE(TOCOL(ARRAYFORMULA(IF( SPLIT(C46,"" "")=TOCOL(SPLIT(C45,"" "")),SPLIT(C46,"" "")&amp;"" "",""""))))))"),"")</f>
        <v/>
      </c>
      <c r="L46" s="2" t="str">
        <f t="shared" si="1"/>
        <v>-&gt;WITH THIS</v>
      </c>
      <c r="M46" s="2">
        <f t="shared" si="2"/>
        <v>43</v>
      </c>
      <c r="AA46" s="1" t="str">
        <f>IFERROR(__xludf.DUMMYFUNCTION("""COMPUTED_VALUE"""),"1597608")</f>
        <v>1597608</v>
      </c>
      <c r="AB46" s="2" t="str">
        <f>IFERROR(__xludf.DUMMYFUNCTION("""COMPUTED_VALUE"""),"GARAY ROJAS LILIANA")</f>
        <v>GARAY ROJAS LILIANA</v>
      </c>
      <c r="AC46" s="2" t="str">
        <f>IFERROR(__xludf.DUMMYFUNCTION("""COMPUTED_VALUE"""),"Madre")</f>
        <v>Madre</v>
      </c>
      <c r="AD46" s="2">
        <f>IFERROR(__xludf.DUMMYFUNCTION("""COMPUTED_VALUE"""),26.0)</f>
        <v>26</v>
      </c>
      <c r="AE46" s="2" t="str">
        <f>IFERROR(__xludf.DUMMYFUNCTION("""COMPUTED_VALUE"""),"Post test (cierre)")</f>
        <v>Post test (cierre)</v>
      </c>
      <c r="AF46" s="2" t="str">
        <f>IFERROR(__xludf.DUMMYFUNCTION("TRIM(JOIN("" "",UNIQUE(TOCOL(ARRAYFORMULA(IF( SPLIT(AB46,"" "")=TOCOL(SPLIT(AB45,"" "")),SPLIT(AB46,"" "")&amp;"" "",""""))))))"),"")</f>
        <v/>
      </c>
      <c r="AY46" s="2" t="s">
        <v>512</v>
      </c>
    </row>
    <row r="47">
      <c r="A47" s="2">
        <f t="shared" si="3"/>
        <v>44</v>
      </c>
      <c r="B47" s="1" t="s">
        <v>226</v>
      </c>
      <c r="C47" s="2" t="s">
        <v>1093</v>
      </c>
      <c r="D47" s="2" t="s">
        <v>193</v>
      </c>
      <c r="E47" s="2">
        <v>39.0</v>
      </c>
      <c r="F47" s="2" t="s">
        <v>428</v>
      </c>
      <c r="G47" s="2" t="str">
        <f t="shared" si="4"/>
        <v>misma edad</v>
      </c>
      <c r="H47" s="2" t="str">
        <f t="shared" si="5"/>
        <v/>
      </c>
      <c r="I47" s="2" t="str">
        <f t="shared" si="6"/>
        <v>mismo colegio</v>
      </c>
      <c r="J47" s="2" t="b">
        <f t="shared" si="7"/>
        <v>0</v>
      </c>
      <c r="K47" s="2" t="str">
        <f>IFERROR(__xludf.DUMMYFUNCTION("TRIM(JOIN("" "",UNIQUE(TOCOL(ARRAYFORMULA(IF( SPLIT(C47,"" "")=TOCOL(SPLIT(C46,"" "")),SPLIT(C47,"" "")&amp;"" "",""""))))))"),"RAMOS GUERRA")</f>
        <v>RAMOS GUERRA</v>
      </c>
      <c r="L47" s="2" t="str">
        <f t="shared" si="1"/>
        <v>EVALUAR</v>
      </c>
      <c r="M47" s="2">
        <f t="shared" si="2"/>
        <v>44</v>
      </c>
      <c r="AA47" s="1" t="str">
        <f>IFERROR(__xludf.DUMMYFUNCTION("""COMPUTED_VALUE"""),"1597608")</f>
        <v>1597608</v>
      </c>
      <c r="AB47" s="2" t="str">
        <f>IFERROR(__xludf.DUMMYFUNCTION("""COMPUTED_VALUE"""),"GARAY RIOS MAVILA LILIANA")</f>
        <v>GARAY RIOS MAVILA LILIANA</v>
      </c>
      <c r="AC47" s="2" t="str">
        <f>IFERROR(__xludf.DUMMYFUNCTION("""COMPUTED_VALUE"""),"Madre")</f>
        <v>Madre</v>
      </c>
      <c r="AD47" s="2">
        <f>IFERROR(__xludf.DUMMYFUNCTION("""COMPUTED_VALUE"""),26.0)</f>
        <v>26</v>
      </c>
      <c r="AE47" s="2" t="str">
        <f>IFERROR(__xludf.DUMMYFUNCTION("""COMPUTED_VALUE"""),"Pre test (diagnóstico)")</f>
        <v>Pre test (diagnóstico)</v>
      </c>
      <c r="AF47" s="2" t="str">
        <f>IFERROR(__xludf.DUMMYFUNCTION("TRIM(JOIN("" "",UNIQUE(TOCOL(ARRAYFORMULA(IF( SPLIT(AB47,"" "")=TOCOL(SPLIT(AB46,"" "")),SPLIT(AB47,"" "")&amp;"" "",""""))))))"),"GARAY LILIANA")</f>
        <v>GARAY LILIANA</v>
      </c>
      <c r="AY47" s="2" t="s">
        <v>953</v>
      </c>
    </row>
    <row r="48">
      <c r="A48" s="2">
        <f t="shared" si="3"/>
        <v>45</v>
      </c>
      <c r="B48" s="1" t="s">
        <v>69</v>
      </c>
      <c r="C48" s="2" t="s">
        <v>382</v>
      </c>
      <c r="D48" s="2" t="s">
        <v>193</v>
      </c>
      <c r="E48" s="2">
        <v>33.0</v>
      </c>
      <c r="F48" s="2" t="s">
        <v>194</v>
      </c>
      <c r="G48" s="2" t="str">
        <f t="shared" si="4"/>
        <v/>
      </c>
      <c r="H48" s="2" t="str">
        <f t="shared" si="5"/>
        <v/>
      </c>
      <c r="I48" s="2" t="str">
        <f t="shared" si="6"/>
        <v/>
      </c>
      <c r="J48" s="2" t="b">
        <f t="shared" si="7"/>
        <v>0</v>
      </c>
      <c r="K48" s="2" t="str">
        <f>IFERROR(__xludf.DUMMYFUNCTION("TRIM(JOIN("" "",UNIQUE(TOCOL(ARRAYFORMULA(IF( SPLIT(C48,"" "")=TOCOL(SPLIT(C47,"" "")),SPLIT(C48,"" "")&amp;"" "",""""))))))"),"")</f>
        <v/>
      </c>
      <c r="L48" s="2" t="str">
        <f t="shared" si="1"/>
        <v/>
      </c>
      <c r="M48" s="2">
        <f t="shared" si="2"/>
        <v>45</v>
      </c>
      <c r="AA48" s="1" t="str">
        <f>IFERROR(__xludf.DUMMYFUNCTION("""COMPUTED_VALUE"""),"0469999")</f>
        <v>0469999</v>
      </c>
      <c r="AB48" s="2" t="str">
        <f>IFERROR(__xludf.DUMMYFUNCTION("""COMPUTED_VALUE"""),"FLORES CANTO, ERIKA")</f>
        <v>FLORES CANTO, ERIKA</v>
      </c>
      <c r="AC48" s="2" t="str">
        <f>IFERROR(__xludf.DUMMYFUNCTION("""COMPUTED_VALUE"""),"Madre")</f>
        <v>Madre</v>
      </c>
      <c r="AD48" s="2">
        <f>IFERROR(__xludf.DUMMYFUNCTION("""COMPUTED_VALUE"""),42.0)</f>
        <v>42</v>
      </c>
      <c r="AE48" s="2" t="str">
        <f>IFERROR(__xludf.DUMMYFUNCTION("""COMPUTED_VALUE"""),"Post test (cierre)")</f>
        <v>Post test (cierre)</v>
      </c>
      <c r="AF48" s="2" t="str">
        <f>IFERROR(__xludf.DUMMYFUNCTION("TRIM(JOIN("" "",UNIQUE(TOCOL(ARRAYFORMULA(IF( SPLIT(AB48,"" "")=TOCOL(SPLIT(AB47,"" "")),SPLIT(AB48,"" "")&amp;"" "",""""))))))"),"")</f>
        <v/>
      </c>
      <c r="AY48" s="2" t="s">
        <v>1193</v>
      </c>
    </row>
    <row r="49">
      <c r="A49" s="2">
        <f t="shared" si="3"/>
        <v>46</v>
      </c>
      <c r="B49" s="1" t="s">
        <v>69</v>
      </c>
      <c r="C49" s="2" t="s">
        <v>382</v>
      </c>
      <c r="D49" s="2" t="s">
        <v>193</v>
      </c>
      <c r="E49" s="2">
        <v>33.0</v>
      </c>
      <c r="F49" s="2" t="s">
        <v>428</v>
      </c>
      <c r="G49" s="2" t="str">
        <f t="shared" si="4"/>
        <v>misma edad</v>
      </c>
      <c r="H49" s="2" t="str">
        <f t="shared" si="5"/>
        <v>mismo nombre</v>
      </c>
      <c r="I49" s="2" t="str">
        <f t="shared" si="6"/>
        <v>mismo colegio</v>
      </c>
      <c r="J49" s="2" t="b">
        <f t="shared" si="7"/>
        <v>0</v>
      </c>
      <c r="K49" s="2" t="str">
        <f>IFERROR(__xludf.DUMMYFUNCTION("TRIM(JOIN("" "",UNIQUE(TOCOL(ARRAYFORMULA(IF( SPLIT(C49,"" "")=TOCOL(SPLIT(C48,"" "")),SPLIT(C49,"" "")&amp;"" "",""""))))))"),"YANETH MILAGROS ALVARO CHAVEZ")</f>
        <v>YANETH MILAGROS ALVARO CHAVEZ</v>
      </c>
      <c r="L49" s="2" t="str">
        <f t="shared" si="1"/>
        <v/>
      </c>
      <c r="M49" s="2">
        <f t="shared" si="2"/>
        <v>45</v>
      </c>
      <c r="AA49" s="1" t="str">
        <f>IFERROR(__xludf.DUMMYFUNCTION("""COMPUTED_VALUE"""),"0469999")</f>
        <v>0469999</v>
      </c>
      <c r="AB49" s="2" t="str">
        <f>IFERROR(__xludf.DUMMYFUNCTION("""COMPUTED_VALUE"""),"FLORES CANTI, ERIKA")</f>
        <v>FLORES CANTI, ERIKA</v>
      </c>
      <c r="AC49" s="2" t="str">
        <f>IFERROR(__xludf.DUMMYFUNCTION("""COMPUTED_VALUE"""),"Madre")</f>
        <v>Madre</v>
      </c>
      <c r="AD49" s="2">
        <f>IFERROR(__xludf.DUMMYFUNCTION("""COMPUTED_VALUE"""),42.0)</f>
        <v>42</v>
      </c>
      <c r="AE49" s="2" t="str">
        <f>IFERROR(__xludf.DUMMYFUNCTION("""COMPUTED_VALUE"""),"Pre test (diagnóstico)")</f>
        <v>Pre test (diagnóstico)</v>
      </c>
      <c r="AF49" s="2" t="str">
        <f>IFERROR(__xludf.DUMMYFUNCTION("TRIM(JOIN("" "",UNIQUE(TOCOL(ARRAYFORMULA(IF( SPLIT(AB49,"" "")=TOCOL(SPLIT(AB48,"" "")),SPLIT(AB49,"" "")&amp;"" "",""""))))))"),"FLORES ERIKA")</f>
        <v>FLORES ERIKA</v>
      </c>
      <c r="AY49" s="2" t="s">
        <v>661</v>
      </c>
    </row>
    <row r="50">
      <c r="A50" s="2">
        <f t="shared" si="3"/>
        <v>47</v>
      </c>
      <c r="B50" s="1" t="s">
        <v>105</v>
      </c>
      <c r="C50" s="2" t="s">
        <v>409</v>
      </c>
      <c r="D50" s="2" t="s">
        <v>193</v>
      </c>
      <c r="E50" s="2">
        <v>24.0</v>
      </c>
      <c r="F50" s="2" t="s">
        <v>194</v>
      </c>
      <c r="G50" s="2" t="str">
        <f t="shared" si="4"/>
        <v/>
      </c>
      <c r="H50" s="2" t="str">
        <f t="shared" si="5"/>
        <v/>
      </c>
      <c r="I50" s="2" t="str">
        <f t="shared" si="6"/>
        <v/>
      </c>
      <c r="J50" s="2" t="b">
        <f t="shared" si="7"/>
        <v>0</v>
      </c>
      <c r="K50" s="2" t="str">
        <f>IFERROR(__xludf.DUMMYFUNCTION("TRIM(JOIN("" "",UNIQUE(TOCOL(ARRAYFORMULA(IF( SPLIT(C50,"" "")=TOCOL(SPLIT(C49,"" "")),SPLIT(C50,"" "")&amp;"" "",""""))))))"),"YANETH")</f>
        <v>YANETH</v>
      </c>
      <c r="L50" s="2" t="str">
        <f t="shared" si="1"/>
        <v/>
      </c>
      <c r="M50" s="2">
        <f t="shared" si="2"/>
        <v>47</v>
      </c>
      <c r="AA50" s="1" t="str">
        <f>IFERROR(__xludf.DUMMYFUNCTION("""COMPUTED_VALUE"""),"0415869")</f>
        <v>0415869</v>
      </c>
      <c r="AB50" s="2" t="str">
        <f>IFERROR(__xludf.DUMMYFUNCTION("""COMPUTED_VALUE"""),"ENITH NELLY MORALES CACHA")</f>
        <v>ENITH NELLY MORALES CACHA</v>
      </c>
      <c r="AC50" s="2" t="str">
        <f>IFERROR(__xludf.DUMMYFUNCTION("""COMPUTED_VALUE"""),"Madre")</f>
        <v>Madre</v>
      </c>
      <c r="AD50" s="2">
        <f>IFERROR(__xludf.DUMMYFUNCTION("""COMPUTED_VALUE"""),33.0)</f>
        <v>33</v>
      </c>
      <c r="AE50" s="2" t="str">
        <f>IFERROR(__xludf.DUMMYFUNCTION("""COMPUTED_VALUE"""),"Post test (cierre)")</f>
        <v>Post test (cierre)</v>
      </c>
      <c r="AF50" s="2" t="str">
        <f>IFERROR(__xludf.DUMMYFUNCTION("TRIM(JOIN("" "",UNIQUE(TOCOL(ARRAYFORMULA(IF( SPLIT(AB50,"" "")=TOCOL(SPLIT(AB49,"" "")),SPLIT(AB50,"" "")&amp;"" "",""""))))))"),"")</f>
        <v/>
      </c>
      <c r="AY50" s="2" t="s">
        <v>352</v>
      </c>
    </row>
    <row r="51">
      <c r="A51" s="2">
        <f t="shared" si="3"/>
        <v>48</v>
      </c>
      <c r="B51" s="1" t="s">
        <v>105</v>
      </c>
      <c r="C51" s="2" t="s">
        <v>409</v>
      </c>
      <c r="D51" s="2" t="s">
        <v>193</v>
      </c>
      <c r="E51" s="2">
        <v>24.0</v>
      </c>
      <c r="F51" s="2" t="s">
        <v>428</v>
      </c>
      <c r="G51" s="2" t="str">
        <f t="shared" si="4"/>
        <v>misma edad</v>
      </c>
      <c r="H51" s="2" t="str">
        <f t="shared" si="5"/>
        <v>mismo nombre</v>
      </c>
      <c r="I51" s="2" t="str">
        <f t="shared" si="6"/>
        <v>mismo colegio</v>
      </c>
      <c r="J51" s="2" t="b">
        <f t="shared" si="7"/>
        <v>0</v>
      </c>
      <c r="K51" s="2" t="str">
        <f>IFERROR(__xludf.DUMMYFUNCTION("TRIM(JOIN("" "",UNIQUE(TOCOL(ARRAYFORMULA(IF( SPLIT(C51,"" "")=TOCOL(SPLIT(C50,"" "")),SPLIT(C51,"" "")&amp;"" "",""""))))))"),"YANETH AGUIRRE VEGA")</f>
        <v>YANETH AGUIRRE VEGA</v>
      </c>
      <c r="L51" s="2" t="str">
        <f t="shared" si="1"/>
        <v/>
      </c>
      <c r="M51" s="2">
        <f t="shared" si="2"/>
        <v>47</v>
      </c>
      <c r="AA51" s="1" t="str">
        <f>IFERROR(__xludf.DUMMYFUNCTION("""COMPUTED_VALUE"""),"0415869")</f>
        <v>0415869</v>
      </c>
      <c r="AB51" s="2" t="str">
        <f>IFERROR(__xludf.DUMMYFUNCTION("""COMPUTED_VALUE"""),"ENITH MORALES CACHA")</f>
        <v>ENITH MORALES CACHA</v>
      </c>
      <c r="AC51" s="2" t="str">
        <f>IFERROR(__xludf.DUMMYFUNCTION("""COMPUTED_VALUE"""),"Madre")</f>
        <v>Madre</v>
      </c>
      <c r="AD51" s="2">
        <f>IFERROR(__xludf.DUMMYFUNCTION("""COMPUTED_VALUE"""),33.0)</f>
        <v>33</v>
      </c>
      <c r="AE51" s="2" t="str">
        <f>IFERROR(__xludf.DUMMYFUNCTION("""COMPUTED_VALUE"""),"Pre test (diagnóstico)")</f>
        <v>Pre test (diagnóstico)</v>
      </c>
      <c r="AF51" s="2" t="str">
        <f>IFERROR(__xludf.DUMMYFUNCTION("TRIM(JOIN("" "",UNIQUE(TOCOL(ARRAYFORMULA(IF( SPLIT(AB51,"" "")=TOCOL(SPLIT(AB50,"" "")),SPLIT(AB51,"" "")&amp;"" "",""""))))))"),"ENITH MORALES CACHA")</f>
        <v>ENITH MORALES CACHA</v>
      </c>
      <c r="AY51" s="2" t="s">
        <v>461</v>
      </c>
    </row>
    <row r="52">
      <c r="A52" s="2">
        <f t="shared" si="3"/>
        <v>49</v>
      </c>
      <c r="B52" s="1" t="s">
        <v>105</v>
      </c>
      <c r="C52" s="2" t="s">
        <v>419</v>
      </c>
      <c r="D52" s="2" t="s">
        <v>193</v>
      </c>
      <c r="E52" s="2">
        <v>21.0</v>
      </c>
      <c r="F52" s="2" t="s">
        <v>194</v>
      </c>
      <c r="G52" s="2" t="str">
        <f t="shared" si="4"/>
        <v/>
      </c>
      <c r="H52" s="2" t="str">
        <f t="shared" si="5"/>
        <v/>
      </c>
      <c r="I52" s="2" t="str">
        <f t="shared" si="6"/>
        <v>mismo colegio</v>
      </c>
      <c r="J52" s="2" t="b">
        <f t="shared" si="7"/>
        <v>0</v>
      </c>
      <c r="K52" s="2" t="str">
        <f>IFERROR(__xludf.DUMMYFUNCTION("TRIM(JOIN("" "",UNIQUE(TOCOL(ARRAYFORMULA(IF( SPLIT(C52,"" "")=TOCOL(SPLIT(C51,"" "")),SPLIT(C52,"" "")&amp;"" "",""""))))))"),"")</f>
        <v/>
      </c>
      <c r="L52" s="2" t="str">
        <f t="shared" si="1"/>
        <v/>
      </c>
      <c r="M52" s="2">
        <f t="shared" si="2"/>
        <v>49</v>
      </c>
      <c r="AA52" s="1" t="str">
        <f>IFERROR(__xludf.DUMMYFUNCTION("""COMPUTED_VALUE"""),"1675032")</f>
        <v>1675032</v>
      </c>
      <c r="AB52" s="2" t="str">
        <f>IFERROR(__xludf.DUMMYFUNCTION("""COMPUTED_VALUE"""),"DIAZ ZORRILLA LESLY DENISSA")</f>
        <v>DIAZ ZORRILLA LESLY DENISSA</v>
      </c>
      <c r="AC52" s="2" t="str">
        <f>IFERROR(__xludf.DUMMYFUNCTION("""COMPUTED_VALUE"""),"Madre")</f>
        <v>Madre</v>
      </c>
      <c r="AD52" s="2">
        <f>IFERROR(__xludf.DUMMYFUNCTION("""COMPUTED_VALUE"""),28.0)</f>
        <v>28</v>
      </c>
      <c r="AE52" s="2" t="str">
        <f>IFERROR(__xludf.DUMMYFUNCTION("""COMPUTED_VALUE"""),"Post test (cierre)")</f>
        <v>Post test (cierre)</v>
      </c>
      <c r="AF52" s="2" t="str">
        <f>IFERROR(__xludf.DUMMYFUNCTION("TRIM(JOIN("" "",UNIQUE(TOCOL(ARRAYFORMULA(IF( SPLIT(AB52,"" "")=TOCOL(SPLIT(AB51,"" "")),SPLIT(AB52,"" "")&amp;"" "",""""))))))"),"")</f>
        <v/>
      </c>
      <c r="AY52" s="2" t="s">
        <v>606</v>
      </c>
    </row>
    <row r="53">
      <c r="A53" s="2">
        <f t="shared" si="3"/>
        <v>50</v>
      </c>
      <c r="B53" s="1" t="s">
        <v>105</v>
      </c>
      <c r="C53" s="2" t="s">
        <v>419</v>
      </c>
      <c r="D53" s="2" t="s">
        <v>193</v>
      </c>
      <c r="E53" s="2">
        <v>21.0</v>
      </c>
      <c r="F53" s="2" t="s">
        <v>428</v>
      </c>
      <c r="G53" s="2" t="str">
        <f t="shared" si="4"/>
        <v>misma edad</v>
      </c>
      <c r="H53" s="2" t="str">
        <f t="shared" si="5"/>
        <v>mismo nombre</v>
      </c>
      <c r="I53" s="2" t="str">
        <f t="shared" si="6"/>
        <v>mismo colegio</v>
      </c>
      <c r="J53" s="2" t="b">
        <f t="shared" si="7"/>
        <v>0</v>
      </c>
      <c r="K53" s="2" t="str">
        <f>IFERROR(__xludf.DUMMYFUNCTION("TRIM(JOIN("" "",UNIQUE(TOCOL(ARRAYFORMULA(IF( SPLIT(C53,"" "")=TOCOL(SPLIT(C52,"" "")),SPLIT(C53,"" "")&amp;"" "",""""))))))"),"YANET LUZ RAMIREZ ANAYA")</f>
        <v>YANET LUZ RAMIREZ ANAYA</v>
      </c>
      <c r="L53" s="2" t="str">
        <f t="shared" si="1"/>
        <v/>
      </c>
      <c r="M53" s="2">
        <f t="shared" si="2"/>
        <v>49</v>
      </c>
      <c r="AA53" s="1" t="str">
        <f>IFERROR(__xludf.DUMMYFUNCTION("""COMPUTED_VALUE"""),"1675032")</f>
        <v>1675032</v>
      </c>
      <c r="AB53" s="2" t="str">
        <f>IFERROR(__xludf.DUMMYFUNCTION("""COMPUTED_VALUE"""),"DIAZ ZORRILLA LESLY")</f>
        <v>DIAZ ZORRILLA LESLY</v>
      </c>
      <c r="AC53" s="2" t="str">
        <f>IFERROR(__xludf.DUMMYFUNCTION("""COMPUTED_VALUE"""),"Madre")</f>
        <v>Madre</v>
      </c>
      <c r="AD53" s="2">
        <f>IFERROR(__xludf.DUMMYFUNCTION("""COMPUTED_VALUE"""),28.0)</f>
        <v>28</v>
      </c>
      <c r="AE53" s="2" t="str">
        <f>IFERROR(__xludf.DUMMYFUNCTION("""COMPUTED_VALUE"""),"Pre test (diagnóstico)")</f>
        <v>Pre test (diagnóstico)</v>
      </c>
      <c r="AF53" s="2" t="str">
        <f>IFERROR(__xludf.DUMMYFUNCTION("TRIM(JOIN("" "",UNIQUE(TOCOL(ARRAYFORMULA(IF( SPLIT(AB53,"" "")=TOCOL(SPLIT(AB52,"" "")),SPLIT(AB53,"" "")&amp;"" "",""""))))))"),"DIAZ ZORRILLA LESLY")</f>
        <v>DIAZ ZORRILLA LESLY</v>
      </c>
      <c r="AY53" s="2" t="s">
        <v>1075</v>
      </c>
    </row>
    <row r="54">
      <c r="A54" s="2">
        <f t="shared" si="3"/>
        <v>51</v>
      </c>
      <c r="B54" s="1" t="s">
        <v>226</v>
      </c>
      <c r="C54" s="2" t="s">
        <v>283</v>
      </c>
      <c r="D54" s="2" t="s">
        <v>193</v>
      </c>
      <c r="E54" s="2">
        <v>35.0</v>
      </c>
      <c r="F54" s="2" t="s">
        <v>194</v>
      </c>
      <c r="G54" s="2" t="str">
        <f t="shared" si="4"/>
        <v/>
      </c>
      <c r="H54" s="2" t="str">
        <f t="shared" si="5"/>
        <v/>
      </c>
      <c r="I54" s="2" t="str">
        <f t="shared" si="6"/>
        <v/>
      </c>
      <c r="J54" s="2" t="b">
        <f t="shared" si="7"/>
        <v>0</v>
      </c>
      <c r="K54" s="2" t="str">
        <f>IFERROR(__xludf.DUMMYFUNCTION("TRIM(JOIN("" "",UNIQUE(TOCOL(ARRAYFORMULA(IF( SPLIT(C54,"" "")=TOCOL(SPLIT(C53,"" "")),SPLIT(C54,"" "")&amp;"" "",""""))))))"),"YANET")</f>
        <v>YANET</v>
      </c>
      <c r="L54" s="2" t="str">
        <f t="shared" si="1"/>
        <v/>
      </c>
      <c r="M54" s="2">
        <f t="shared" si="2"/>
        <v>51</v>
      </c>
      <c r="AA54" s="1" t="str">
        <f>IFERROR(__xludf.DUMMYFUNCTION("""COMPUTED_VALUE"""),"0415745")</f>
        <v>0415745</v>
      </c>
      <c r="AB54" s="2" t="str">
        <f>IFERROR(__xludf.DUMMYFUNCTION("""COMPUTED_VALUE"""),"DANIEL JOEL MONTES FLORES | LUCY PAUCAR")</f>
        <v>DANIEL JOEL MONTES FLORES | LUCY PAUCAR</v>
      </c>
      <c r="AC54" s="2" t="str">
        <f>IFERROR(__xludf.DUMMYFUNCTION("""COMPUTED_VALUE"""),"Padre")</f>
        <v>Padre</v>
      </c>
      <c r="AD54" s="2">
        <f>IFERROR(__xludf.DUMMYFUNCTION("""COMPUTED_VALUE"""),32.0)</f>
        <v>32</v>
      </c>
      <c r="AE54" s="2" t="str">
        <f>IFERROR(__xludf.DUMMYFUNCTION("""COMPUTED_VALUE"""),"Post test (cierre)")</f>
        <v>Post test (cierre)</v>
      </c>
      <c r="AF54" s="2" t="str">
        <f>IFERROR(__xludf.DUMMYFUNCTION("TRIM(JOIN("" "",UNIQUE(TOCOL(ARRAYFORMULA(IF( SPLIT(AB54,"" "")=TOCOL(SPLIT(AB53,"" "")),SPLIT(AB54,"" "")&amp;"" "",""""))))))"),"")</f>
        <v/>
      </c>
      <c r="AY54" s="2" t="s">
        <v>1401</v>
      </c>
    </row>
    <row r="55">
      <c r="A55" s="2">
        <f t="shared" si="3"/>
        <v>52</v>
      </c>
      <c r="B55" s="1" t="s">
        <v>226</v>
      </c>
      <c r="C55" s="2" t="s">
        <v>283</v>
      </c>
      <c r="D55" s="2" t="s">
        <v>193</v>
      </c>
      <c r="E55" s="2">
        <v>35.0</v>
      </c>
      <c r="F55" s="2" t="s">
        <v>428</v>
      </c>
      <c r="G55" s="2" t="str">
        <f t="shared" si="4"/>
        <v>misma edad</v>
      </c>
      <c r="H55" s="2" t="str">
        <f t="shared" si="5"/>
        <v>mismo nombre</v>
      </c>
      <c r="I55" s="2" t="str">
        <f t="shared" si="6"/>
        <v>mismo colegio</v>
      </c>
      <c r="J55" s="2" t="b">
        <f t="shared" si="7"/>
        <v>0</v>
      </c>
      <c r="K55" s="2" t="str">
        <f>IFERROR(__xludf.DUMMYFUNCTION("TRIM(JOIN("" "",UNIQUE(TOCOL(ARRAYFORMULA(IF( SPLIT(C55,"" "")=TOCOL(SPLIT(C54,"" "")),SPLIT(C55,"" "")&amp;"" "",""""))))))"),"YANET DIAZ CASTRO")</f>
        <v>YANET DIAZ CASTRO</v>
      </c>
      <c r="L55" s="2" t="str">
        <f t="shared" si="1"/>
        <v/>
      </c>
      <c r="M55" s="2">
        <f t="shared" si="2"/>
        <v>51</v>
      </c>
      <c r="AA55" s="1" t="str">
        <f>IFERROR(__xludf.DUMMYFUNCTION("""COMPUTED_VALUE"""),"0415745")</f>
        <v>0415745</v>
      </c>
      <c r="AB55" s="2" t="str">
        <f>IFERROR(__xludf.DUMMYFUNCTION("""COMPUTED_VALUE"""),"DANIEL JOEL MONTES FLORES")</f>
        <v>DANIEL JOEL MONTES FLORES</v>
      </c>
      <c r="AC55" s="2" t="str">
        <f>IFERROR(__xludf.DUMMYFUNCTION("""COMPUTED_VALUE"""),"Madre")</f>
        <v>Madre</v>
      </c>
      <c r="AD55" s="2">
        <f>IFERROR(__xludf.DUMMYFUNCTION("""COMPUTED_VALUE"""),32.0)</f>
        <v>32</v>
      </c>
      <c r="AE55" s="2" t="str">
        <f>IFERROR(__xludf.DUMMYFUNCTION("""COMPUTED_VALUE"""),"Pre test (diagnóstico)")</f>
        <v>Pre test (diagnóstico)</v>
      </c>
      <c r="AF55" s="2" t="str">
        <f>IFERROR(__xludf.DUMMYFUNCTION("TRIM(JOIN("" "",UNIQUE(TOCOL(ARRAYFORMULA(IF( SPLIT(AB55,"" "")=TOCOL(SPLIT(AB54,"" "")),SPLIT(AB55,"" "")&amp;"" "",""""))))))"),"DANIEL JOEL MONTES FLORES")</f>
        <v>DANIEL JOEL MONTES FLORES</v>
      </c>
      <c r="AY55" s="2" t="s">
        <v>1173</v>
      </c>
    </row>
    <row r="56">
      <c r="A56" s="2">
        <f t="shared" si="3"/>
        <v>53</v>
      </c>
      <c r="B56" s="1" t="s">
        <v>226</v>
      </c>
      <c r="C56" s="2" t="s">
        <v>309</v>
      </c>
      <c r="D56" s="2" t="s">
        <v>222</v>
      </c>
      <c r="E56" s="2">
        <v>38.0</v>
      </c>
      <c r="F56" s="2" t="s">
        <v>194</v>
      </c>
      <c r="G56" s="2" t="str">
        <f t="shared" si="4"/>
        <v/>
      </c>
      <c r="H56" s="2" t="str">
        <f t="shared" si="5"/>
        <v/>
      </c>
      <c r="I56" s="2" t="str">
        <f t="shared" si="6"/>
        <v>mismo colegio</v>
      </c>
      <c r="J56" s="2" t="b">
        <f t="shared" si="7"/>
        <v>0</v>
      </c>
      <c r="K56" s="2" t="str">
        <f>IFERROR(__xludf.DUMMYFUNCTION("TRIM(JOIN("" "",UNIQUE(TOCOL(ARRAYFORMULA(IF( SPLIT(C56,"" "")=TOCOL(SPLIT(C55,"" "")),SPLIT(C56,"" "")&amp;"" "",""""))))))"),"")</f>
        <v/>
      </c>
      <c r="L56" s="2" t="str">
        <f t="shared" si="1"/>
        <v>-&gt;WITH THIS</v>
      </c>
      <c r="M56" s="2">
        <f t="shared" si="2"/>
        <v>53</v>
      </c>
      <c r="AA56" s="1" t="str">
        <f>IFERROR(__xludf.DUMMYFUNCTION("""COMPUTED_VALUE"""),"0509711")</f>
        <v>0509711</v>
      </c>
      <c r="AB56" s="2" t="str">
        <f>IFERROR(__xludf.DUMMYFUNCTION("""COMPUTED_VALUE"""),"BRAYAN CARHUAPOMA TARAZONA | MILAGROS GUERRA RAMIREZ")</f>
        <v>BRAYAN CARHUAPOMA TARAZONA | MILAGROS GUERRA RAMIREZ</v>
      </c>
      <c r="AC56" s="2" t="str">
        <f>IFERROR(__xludf.DUMMYFUNCTION("""COMPUTED_VALUE"""),"Madre")</f>
        <v>Madre</v>
      </c>
      <c r="AD56" s="2">
        <f>IFERROR(__xludf.DUMMYFUNCTION("""COMPUTED_VALUE"""),24.0)</f>
        <v>24</v>
      </c>
      <c r="AE56" s="2" t="str">
        <f>IFERROR(__xludf.DUMMYFUNCTION("""COMPUTED_VALUE"""),"Post test (cierre)")</f>
        <v>Post test (cierre)</v>
      </c>
      <c r="AF56" s="2" t="str">
        <f>IFERROR(__xludf.DUMMYFUNCTION("TRIM(JOIN("" "",UNIQUE(TOCOL(ARRAYFORMULA(IF( SPLIT(AB56,"" "")=TOCOL(SPLIT(AB55,"" "")),SPLIT(AB56,"" "")&amp;"" "",""""))))))"),"")</f>
        <v/>
      </c>
      <c r="AY56" s="2" t="s">
        <v>879</v>
      </c>
    </row>
    <row r="57">
      <c r="A57" s="2">
        <f t="shared" si="3"/>
        <v>54</v>
      </c>
      <c r="B57" s="1" t="s">
        <v>226</v>
      </c>
      <c r="C57" s="2" t="s">
        <v>1130</v>
      </c>
      <c r="D57" s="2" t="s">
        <v>222</v>
      </c>
      <c r="E57" s="2">
        <v>38.0</v>
      </c>
      <c r="F57" s="2" t="s">
        <v>428</v>
      </c>
      <c r="G57" s="2" t="str">
        <f t="shared" si="4"/>
        <v>misma edad</v>
      </c>
      <c r="H57" s="2" t="str">
        <f t="shared" si="5"/>
        <v/>
      </c>
      <c r="I57" s="2" t="str">
        <f t="shared" si="6"/>
        <v>mismo colegio</v>
      </c>
      <c r="J57" s="2" t="b">
        <f t="shared" si="7"/>
        <v>0</v>
      </c>
      <c r="K57" s="2" t="str">
        <f>IFERROR(__xludf.DUMMYFUNCTION("TRIM(JOIN("" "",UNIQUE(TOCOL(ARRAYFORMULA(IF( SPLIT(C57,"" "")=TOCOL(SPLIT(C56,"" "")),SPLIT(C57,"" "")&amp;"" "",""""))))))"),"WILMER RIOS")</f>
        <v>WILMER RIOS</v>
      </c>
      <c r="L57" s="2" t="str">
        <f t="shared" si="1"/>
        <v>EVALUAR</v>
      </c>
      <c r="M57" s="2">
        <f t="shared" si="2"/>
        <v>54</v>
      </c>
      <c r="AA57" s="1" t="str">
        <f>IFERROR(__xludf.DUMMYFUNCTION("""COMPUTED_VALUE"""),"0509711")</f>
        <v>0509711</v>
      </c>
      <c r="AB57" s="2" t="str">
        <f>IFERROR(__xludf.DUMMYFUNCTION("""COMPUTED_VALUE"""),"BRAYAN CARHUAPOMA TARAZONA")</f>
        <v>BRAYAN CARHUAPOMA TARAZONA</v>
      </c>
      <c r="AC57" s="2" t="str">
        <f>IFERROR(__xludf.DUMMYFUNCTION("""COMPUTED_VALUE"""),"Padre")</f>
        <v>Padre</v>
      </c>
      <c r="AD57" s="2">
        <f>IFERROR(__xludf.DUMMYFUNCTION("""COMPUTED_VALUE"""),24.0)</f>
        <v>24</v>
      </c>
      <c r="AE57" s="2" t="str">
        <f>IFERROR(__xludf.DUMMYFUNCTION("""COMPUTED_VALUE"""),"Pre test (diagnóstico)")</f>
        <v>Pre test (diagnóstico)</v>
      </c>
      <c r="AF57" s="2" t="str">
        <f>IFERROR(__xludf.DUMMYFUNCTION("TRIM(JOIN("" "",UNIQUE(TOCOL(ARRAYFORMULA(IF( SPLIT(AB57,"" "")=TOCOL(SPLIT(AB56,"" "")),SPLIT(AB57,"" "")&amp;"" "",""""))))))"),"BRAYAN CARHUAPOMA TARAZONA")</f>
        <v>BRAYAN CARHUAPOMA TARAZONA</v>
      </c>
      <c r="AY57" s="2" t="s">
        <v>1338</v>
      </c>
    </row>
    <row r="58">
      <c r="A58" s="2">
        <f t="shared" si="3"/>
        <v>55</v>
      </c>
      <c r="B58" s="1" t="s">
        <v>226</v>
      </c>
      <c r="C58" s="2" t="s">
        <v>1114</v>
      </c>
      <c r="D58" s="2" t="s">
        <v>193</v>
      </c>
      <c r="E58" s="2">
        <v>39.0</v>
      </c>
      <c r="F58" s="2" t="s">
        <v>428</v>
      </c>
      <c r="G58" s="2" t="str">
        <f t="shared" si="4"/>
        <v/>
      </c>
      <c r="H58" s="2" t="str">
        <f t="shared" si="5"/>
        <v/>
      </c>
      <c r="I58" s="2" t="str">
        <f t="shared" si="6"/>
        <v>mismo colegio</v>
      </c>
      <c r="J58" s="2" t="b">
        <f t="shared" si="7"/>
        <v>1</v>
      </c>
      <c r="K58" s="2" t="str">
        <f>IFERROR(__xludf.DUMMYFUNCTION("TRIM(JOIN("" "",UNIQUE(TOCOL(ARRAYFORMULA(IF( SPLIT(C58,"" "")=TOCOL(SPLIT(C57,"" "")),SPLIT(C58,"" "")&amp;"" "",""""))))))"),"|")</f>
        <v>|</v>
      </c>
      <c r="L58" s="2" t="str">
        <f t="shared" si="1"/>
        <v>-&gt;WITH THIS</v>
      </c>
      <c r="M58" s="2">
        <f t="shared" si="2"/>
        <v>55</v>
      </c>
      <c r="AA58" s="1" t="str">
        <f>IFERROR(__xludf.DUMMYFUNCTION("""COMPUTED_VALUE"""),"1675032")</f>
        <v>1675032</v>
      </c>
      <c r="AB58" s="2" t="str">
        <f>IFERROR(__xludf.DUMMYFUNCTION("""COMPUTED_VALUE"""),"ALMERCON VERAMENDI BETY MAGDALENA")</f>
        <v>ALMERCON VERAMENDI BETY MAGDALENA</v>
      </c>
      <c r="AC58" s="2" t="str">
        <f>IFERROR(__xludf.DUMMYFUNCTION("""COMPUTED_VALUE"""),"Madre")</f>
        <v>Madre</v>
      </c>
      <c r="AD58" s="2">
        <f>IFERROR(__xludf.DUMMYFUNCTION("""COMPUTED_VALUE"""),29.0)</f>
        <v>29</v>
      </c>
      <c r="AE58" s="2" t="str">
        <f>IFERROR(__xludf.DUMMYFUNCTION("""COMPUTED_VALUE"""),"Post test (cierre)")</f>
        <v>Post test (cierre)</v>
      </c>
      <c r="AF58" s="2" t="str">
        <f>IFERROR(__xludf.DUMMYFUNCTION("TRIM(JOIN("" "",UNIQUE(TOCOL(ARRAYFORMULA(IF( SPLIT(AB58,"" "")=TOCOL(SPLIT(AB57,"" "")),SPLIT(AB58,"" "")&amp;"" "",""""))))))"),"")</f>
        <v/>
      </c>
      <c r="AY58" s="2" t="s">
        <v>443</v>
      </c>
    </row>
    <row r="59">
      <c r="A59" s="2">
        <f t="shared" si="3"/>
        <v>56</v>
      </c>
      <c r="B59" s="1" t="s">
        <v>226</v>
      </c>
      <c r="C59" s="2" t="s">
        <v>290</v>
      </c>
      <c r="D59" s="2" t="s">
        <v>222</v>
      </c>
      <c r="E59" s="2">
        <v>39.0</v>
      </c>
      <c r="F59" s="2" t="s">
        <v>194</v>
      </c>
      <c r="G59" s="2" t="str">
        <f t="shared" si="4"/>
        <v>misma edad</v>
      </c>
      <c r="H59" s="2" t="str">
        <f t="shared" si="5"/>
        <v/>
      </c>
      <c r="I59" s="2" t="str">
        <f t="shared" si="6"/>
        <v>mismo colegio</v>
      </c>
      <c r="J59" s="2" t="b">
        <f t="shared" si="7"/>
        <v>0</v>
      </c>
      <c r="K59" s="2" t="str">
        <f>IFERROR(__xludf.DUMMYFUNCTION("TRIM(JOIN("" "",UNIQUE(TOCOL(ARRAYFORMULA(IF( SPLIT(C59,"" "")=TOCOL(SPLIT(C58,"" "")),SPLIT(C59,"" "")&amp;"" "",""""))))))"),"WAGNER FERNANDEZ AIRA")</f>
        <v>WAGNER FERNANDEZ AIRA</v>
      </c>
      <c r="L59" s="2" t="str">
        <f t="shared" si="1"/>
        <v>EVALUAR</v>
      </c>
      <c r="M59" s="2">
        <f t="shared" si="2"/>
        <v>56</v>
      </c>
      <c r="AA59" s="1" t="str">
        <f>IFERROR(__xludf.DUMMYFUNCTION("""COMPUTED_VALUE"""),"1675032")</f>
        <v>1675032</v>
      </c>
      <c r="AB59" s="2" t="str">
        <f>IFERROR(__xludf.DUMMYFUNCTION("""COMPUTED_VALUE"""),"ALMERCON VERAMENDI BETY")</f>
        <v>ALMERCON VERAMENDI BETY</v>
      </c>
      <c r="AC59" s="2" t="str">
        <f>IFERROR(__xludf.DUMMYFUNCTION("""COMPUTED_VALUE"""),"Madre")</f>
        <v>Madre</v>
      </c>
      <c r="AD59" s="2">
        <f>IFERROR(__xludf.DUMMYFUNCTION("""COMPUTED_VALUE"""),29.0)</f>
        <v>29</v>
      </c>
      <c r="AE59" s="2" t="str">
        <f>IFERROR(__xludf.DUMMYFUNCTION("""COMPUTED_VALUE"""),"Pre test (diagnóstico)")</f>
        <v>Pre test (diagnóstico)</v>
      </c>
      <c r="AF59" s="2" t="str">
        <f>IFERROR(__xludf.DUMMYFUNCTION("TRIM(JOIN("" "",UNIQUE(TOCOL(ARRAYFORMULA(IF( SPLIT(AB59,"" "")=TOCOL(SPLIT(AB58,"" "")),SPLIT(AB59,"" "")&amp;"" "",""""))))))"),"ALMERCON VERAMENDI BETY")</f>
        <v>ALMERCON VERAMENDI BETY</v>
      </c>
      <c r="AY59" s="2" t="s">
        <v>1363</v>
      </c>
    </row>
    <row r="60">
      <c r="A60" s="2">
        <f t="shared" si="3"/>
        <v>57</v>
      </c>
      <c r="B60" s="1" t="s">
        <v>954</v>
      </c>
      <c r="C60" s="2" t="s">
        <v>958</v>
      </c>
      <c r="D60" s="2" t="s">
        <v>193</v>
      </c>
      <c r="E60" s="2">
        <v>24.0</v>
      </c>
      <c r="F60" s="2" t="s">
        <v>194</v>
      </c>
      <c r="G60" s="2" t="str">
        <f t="shared" si="4"/>
        <v/>
      </c>
      <c r="H60" s="2" t="str">
        <f t="shared" si="5"/>
        <v/>
      </c>
      <c r="I60" s="2" t="str">
        <f t="shared" si="6"/>
        <v/>
      </c>
      <c r="J60" s="2" t="b">
        <f t="shared" si="7"/>
        <v>1</v>
      </c>
      <c r="K60" s="2" t="str">
        <f>IFERROR(__xludf.DUMMYFUNCTION("TRIM(JOIN("" "",UNIQUE(TOCOL(ARRAYFORMULA(IF( SPLIT(C60,"" "")=TOCOL(SPLIT(C59,"" "")),SPLIT(C60,"" "")&amp;"" "",""""))))))"),"")</f>
        <v/>
      </c>
      <c r="L60" s="2" t="str">
        <f t="shared" si="1"/>
        <v/>
      </c>
      <c r="M60" s="2">
        <f t="shared" si="2"/>
        <v>57</v>
      </c>
      <c r="AY60" s="2" t="s">
        <v>496</v>
      </c>
    </row>
    <row r="61">
      <c r="A61" s="2">
        <f t="shared" si="3"/>
        <v>58</v>
      </c>
      <c r="B61" s="1" t="s">
        <v>226</v>
      </c>
      <c r="C61" s="2" t="s">
        <v>299</v>
      </c>
      <c r="D61" s="2" t="s">
        <v>193</v>
      </c>
      <c r="E61" s="2">
        <v>30.0</v>
      </c>
      <c r="F61" s="2" t="s">
        <v>194</v>
      </c>
      <c r="G61" s="2" t="str">
        <f t="shared" si="4"/>
        <v/>
      </c>
      <c r="H61" s="2" t="str">
        <f t="shared" si="5"/>
        <v/>
      </c>
      <c r="I61" s="2" t="str">
        <f t="shared" si="6"/>
        <v/>
      </c>
      <c r="J61" s="2" t="b">
        <f t="shared" si="7"/>
        <v>1</v>
      </c>
      <c r="K61" s="2" t="str">
        <f>IFERROR(__xludf.DUMMYFUNCTION("TRIM(JOIN("" "",UNIQUE(TOCOL(ARRAYFORMULA(IF( SPLIT(C61,"" "")=TOCOL(SPLIT(C60,"" "")),SPLIT(C61,"" "")&amp;"" "",""""))))))"),"")</f>
        <v/>
      </c>
      <c r="L61" s="2" t="str">
        <f t="shared" si="1"/>
        <v/>
      </c>
      <c r="M61" s="2">
        <f t="shared" si="2"/>
        <v>58</v>
      </c>
      <c r="AY61" s="2" t="s">
        <v>495</v>
      </c>
    </row>
    <row r="62">
      <c r="A62" s="2">
        <f t="shared" si="3"/>
        <v>59</v>
      </c>
      <c r="B62" s="1" t="s">
        <v>226</v>
      </c>
      <c r="C62" s="2" t="s">
        <v>299</v>
      </c>
      <c r="D62" s="2" t="s">
        <v>193</v>
      </c>
      <c r="E62" s="2">
        <v>30.0</v>
      </c>
      <c r="F62" s="2" t="s">
        <v>428</v>
      </c>
      <c r="G62" s="2" t="str">
        <f t="shared" si="4"/>
        <v>misma edad</v>
      </c>
      <c r="H62" s="2" t="str">
        <f t="shared" si="5"/>
        <v>mismo nombre</v>
      </c>
      <c r="I62" s="2" t="str">
        <f t="shared" si="6"/>
        <v>mismo colegio</v>
      </c>
      <c r="J62" s="2" t="b">
        <f t="shared" si="7"/>
        <v>0</v>
      </c>
      <c r="K62" s="2" t="str">
        <f>IFERROR(__xludf.DUMMYFUNCTION("TRIM(JOIN("" "",UNIQUE(TOCOL(ARRAYFORMULA(IF( SPLIT(C62,"" "")=TOCOL(SPLIT(C61,"" "")),SPLIT(C62,"" "")&amp;"" "",""""))))))"),"VIONE CATIRE ENRIQUE")</f>
        <v>VIONE CATIRE ENRIQUE</v>
      </c>
      <c r="L62" s="2" t="str">
        <f t="shared" si="1"/>
        <v/>
      </c>
      <c r="M62" s="2">
        <f t="shared" si="2"/>
        <v>58</v>
      </c>
      <c r="AY62" s="2" t="s">
        <v>1168</v>
      </c>
    </row>
    <row r="63">
      <c r="A63" s="2">
        <f t="shared" si="3"/>
        <v>60</v>
      </c>
      <c r="B63" s="1" t="s">
        <v>226</v>
      </c>
      <c r="C63" s="2" t="s">
        <v>263</v>
      </c>
      <c r="D63" s="2" t="s">
        <v>193</v>
      </c>
      <c r="E63" s="2">
        <v>37.0</v>
      </c>
      <c r="F63" s="2" t="s">
        <v>194</v>
      </c>
      <c r="G63" s="2" t="str">
        <f t="shared" si="4"/>
        <v/>
      </c>
      <c r="H63" s="2" t="str">
        <f t="shared" si="5"/>
        <v/>
      </c>
      <c r="I63" s="2" t="str">
        <f t="shared" si="6"/>
        <v>mismo colegio</v>
      </c>
      <c r="J63" s="2" t="b">
        <f t="shared" si="7"/>
        <v>0</v>
      </c>
      <c r="K63" s="2" t="str">
        <f>IFERROR(__xludf.DUMMYFUNCTION("TRIM(JOIN("" "",UNIQUE(TOCOL(ARRAYFORMULA(IF( SPLIT(C63,"" "")=TOCOL(SPLIT(C62,"" "")),SPLIT(C63,"" "")&amp;"" "",""""))))))"),"")</f>
        <v/>
      </c>
      <c r="L63" s="2" t="str">
        <f t="shared" si="1"/>
        <v/>
      </c>
      <c r="M63" s="2">
        <f t="shared" si="2"/>
        <v>60</v>
      </c>
      <c r="AY63" s="2" t="s">
        <v>535</v>
      </c>
    </row>
    <row r="64">
      <c r="A64" s="2">
        <f t="shared" si="3"/>
        <v>61</v>
      </c>
      <c r="B64" s="1" t="s">
        <v>226</v>
      </c>
      <c r="C64" s="2" t="s">
        <v>263</v>
      </c>
      <c r="D64" s="2" t="s">
        <v>193</v>
      </c>
      <c r="E64" s="2">
        <v>37.0</v>
      </c>
      <c r="F64" s="2" t="s">
        <v>428</v>
      </c>
      <c r="G64" s="2" t="str">
        <f t="shared" si="4"/>
        <v>misma edad</v>
      </c>
      <c r="H64" s="2" t="str">
        <f t="shared" si="5"/>
        <v>mismo nombre</v>
      </c>
      <c r="I64" s="2" t="str">
        <f t="shared" si="6"/>
        <v>mismo colegio</v>
      </c>
      <c r="J64" s="2" t="b">
        <f t="shared" si="7"/>
        <v>0</v>
      </c>
      <c r="K64" s="2" t="str">
        <f>IFERROR(__xludf.DUMMYFUNCTION("TRIM(JOIN("" "",UNIQUE(TOCOL(ARRAYFORMULA(IF( SPLIT(C64,"" "")=TOCOL(SPLIT(C63,"" "")),SPLIT(C64,"" "")&amp;"" "",""""))))))"),"VIOLETA AMADO SALAZAR")</f>
        <v>VIOLETA AMADO SALAZAR</v>
      </c>
      <c r="L64" s="2" t="str">
        <f t="shared" si="1"/>
        <v/>
      </c>
      <c r="M64" s="2">
        <f t="shared" si="2"/>
        <v>60</v>
      </c>
      <c r="AY64" s="2" t="s">
        <v>1116</v>
      </c>
    </row>
    <row r="65">
      <c r="A65" s="2">
        <f t="shared" si="3"/>
        <v>62</v>
      </c>
      <c r="B65" s="1" t="s">
        <v>144</v>
      </c>
      <c r="C65" s="2" t="s">
        <v>544</v>
      </c>
      <c r="D65" s="2" t="s">
        <v>193</v>
      </c>
      <c r="E65" s="2">
        <v>22.0</v>
      </c>
      <c r="F65" s="2" t="s">
        <v>194</v>
      </c>
      <c r="G65" s="2" t="str">
        <f t="shared" si="4"/>
        <v/>
      </c>
      <c r="H65" s="2" t="str">
        <f t="shared" si="5"/>
        <v/>
      </c>
      <c r="I65" s="2" t="str">
        <f t="shared" si="6"/>
        <v/>
      </c>
      <c r="J65" s="2" t="b">
        <f t="shared" si="7"/>
        <v>0</v>
      </c>
      <c r="K65" s="2" t="str">
        <f>IFERROR(__xludf.DUMMYFUNCTION("TRIM(JOIN("" "",UNIQUE(TOCOL(ARRAYFORMULA(IF( SPLIT(C65,"" "")=TOCOL(SPLIT(C64,"" "")),SPLIT(C65,"" "")&amp;"" "",""""))))))"),"")</f>
        <v/>
      </c>
      <c r="L65" s="2" t="str">
        <f t="shared" si="1"/>
        <v/>
      </c>
      <c r="M65" s="2">
        <f t="shared" si="2"/>
        <v>62</v>
      </c>
      <c r="AY65" s="2" t="s">
        <v>1063</v>
      </c>
    </row>
    <row r="66">
      <c r="A66" s="2">
        <f t="shared" si="3"/>
        <v>63</v>
      </c>
      <c r="B66" s="1" t="s">
        <v>830</v>
      </c>
      <c r="C66" s="2" t="s">
        <v>878</v>
      </c>
      <c r="D66" s="2" t="s">
        <v>193</v>
      </c>
      <c r="E66" s="2">
        <v>35.0</v>
      </c>
      <c r="F66" s="2" t="s">
        <v>194</v>
      </c>
      <c r="G66" s="2" t="str">
        <f t="shared" si="4"/>
        <v/>
      </c>
      <c r="H66" s="2" t="str">
        <f t="shared" si="5"/>
        <v/>
      </c>
      <c r="I66" s="2" t="str">
        <f t="shared" si="6"/>
        <v/>
      </c>
      <c r="J66" s="2" t="b">
        <f t="shared" si="7"/>
        <v>1</v>
      </c>
      <c r="K66" s="2" t="str">
        <f>IFERROR(__xludf.DUMMYFUNCTION("TRIM(JOIN("" "",UNIQUE(TOCOL(ARRAYFORMULA(IF( SPLIT(C66,"" "")=TOCOL(SPLIT(C65,"" "")),SPLIT(C66,"" "")&amp;"" "",""""))))))"),"")</f>
        <v/>
      </c>
      <c r="L66" s="2" t="str">
        <f t="shared" si="1"/>
        <v/>
      </c>
      <c r="M66" s="2">
        <f t="shared" si="2"/>
        <v>63</v>
      </c>
      <c r="AY66" s="2" t="s">
        <v>898</v>
      </c>
    </row>
    <row r="67">
      <c r="A67" s="2">
        <f t="shared" si="3"/>
        <v>64</v>
      </c>
      <c r="B67" s="1" t="s">
        <v>830</v>
      </c>
      <c r="C67" s="2" t="s">
        <v>878</v>
      </c>
      <c r="D67" s="2" t="s">
        <v>193</v>
      </c>
      <c r="E67" s="2">
        <v>35.0</v>
      </c>
      <c r="F67" s="2" t="s">
        <v>428</v>
      </c>
      <c r="G67" s="2" t="str">
        <f t="shared" si="4"/>
        <v>misma edad</v>
      </c>
      <c r="H67" s="2" t="str">
        <f t="shared" si="5"/>
        <v>mismo nombre</v>
      </c>
      <c r="I67" s="2" t="str">
        <f t="shared" si="6"/>
        <v>mismo colegio</v>
      </c>
      <c r="J67" s="2" t="b">
        <f t="shared" si="7"/>
        <v>0</v>
      </c>
      <c r="K67" s="2" t="str">
        <f>IFERROR(__xludf.DUMMYFUNCTION("TRIM(JOIN("" "",UNIQUE(TOCOL(ARRAYFORMULA(IF( SPLIT(C67,"" "")=TOCOL(SPLIT(C66,"" "")),SPLIT(C67,"" "")&amp;"" "",""""))))))"),"VILLAFUERTE PAJUELO, KELY MARINA")</f>
        <v>VILLAFUERTE PAJUELO, KELY MARINA</v>
      </c>
      <c r="L67" s="2" t="str">
        <f t="shared" si="1"/>
        <v/>
      </c>
      <c r="M67" s="2">
        <f t="shared" si="2"/>
        <v>63</v>
      </c>
      <c r="AY67" s="2" t="s">
        <v>592</v>
      </c>
    </row>
    <row r="68">
      <c r="A68" s="2">
        <f t="shared" si="3"/>
        <v>65</v>
      </c>
      <c r="B68" s="1" t="s">
        <v>634</v>
      </c>
      <c r="C68" s="2" t="s">
        <v>652</v>
      </c>
      <c r="D68" s="2" t="s">
        <v>222</v>
      </c>
      <c r="E68" s="2">
        <v>39.0</v>
      </c>
      <c r="F68" s="2" t="s">
        <v>194</v>
      </c>
      <c r="G68" s="2" t="str">
        <f t="shared" si="4"/>
        <v/>
      </c>
      <c r="H68" s="2" t="str">
        <f t="shared" si="5"/>
        <v/>
      </c>
      <c r="I68" s="2" t="str">
        <f t="shared" si="6"/>
        <v/>
      </c>
      <c r="J68" s="2" t="b">
        <f t="shared" si="7"/>
        <v>0</v>
      </c>
      <c r="K68" s="2" t="str">
        <f>IFERROR(__xludf.DUMMYFUNCTION("TRIM(JOIN("" "",UNIQUE(TOCOL(ARRAYFORMULA(IF( SPLIT(C68,"" "")=TOCOL(SPLIT(C67,"" "")),SPLIT(C68,"" "")&amp;"" "",""""))))))"),"")</f>
        <v/>
      </c>
      <c r="L68" s="2" t="str">
        <f t="shared" si="1"/>
        <v/>
      </c>
      <c r="M68" s="2">
        <f t="shared" si="2"/>
        <v>65</v>
      </c>
      <c r="AY68" s="2" t="s">
        <v>615</v>
      </c>
    </row>
    <row r="69">
      <c r="A69" s="2">
        <f t="shared" si="3"/>
        <v>66</v>
      </c>
      <c r="B69" s="1" t="s">
        <v>122</v>
      </c>
      <c r="C69" s="2" t="s">
        <v>446</v>
      </c>
      <c r="D69" s="2" t="s">
        <v>193</v>
      </c>
      <c r="E69" s="2">
        <v>22.0</v>
      </c>
      <c r="F69" s="2" t="s">
        <v>194</v>
      </c>
      <c r="G69" s="2" t="str">
        <f t="shared" si="4"/>
        <v/>
      </c>
      <c r="H69" s="2" t="str">
        <f t="shared" si="5"/>
        <v/>
      </c>
      <c r="I69" s="2" t="str">
        <f t="shared" si="6"/>
        <v/>
      </c>
      <c r="J69" s="2" t="b">
        <f t="shared" si="7"/>
        <v>1</v>
      </c>
      <c r="K69" s="2" t="str">
        <f>IFERROR(__xludf.DUMMYFUNCTION("TRIM(JOIN("" "",UNIQUE(TOCOL(ARRAYFORMULA(IF( SPLIT(C69,"" "")=TOCOL(SPLIT(C68,"" "")),SPLIT(C69,"" "")&amp;"" "",""""))))))"),"")</f>
        <v/>
      </c>
      <c r="L69" s="2" t="str">
        <f t="shared" si="1"/>
        <v/>
      </c>
      <c r="M69" s="2">
        <f t="shared" si="2"/>
        <v>66</v>
      </c>
      <c r="AY69" s="2" t="s">
        <v>527</v>
      </c>
    </row>
    <row r="70">
      <c r="A70" s="2">
        <f t="shared" si="3"/>
        <v>67</v>
      </c>
      <c r="B70" s="1" t="s">
        <v>122</v>
      </c>
      <c r="C70" s="2" t="s">
        <v>446</v>
      </c>
      <c r="D70" s="2" t="s">
        <v>193</v>
      </c>
      <c r="E70" s="2"/>
      <c r="F70" s="2" t="s">
        <v>428</v>
      </c>
      <c r="G70" s="2" t="str">
        <f t="shared" si="4"/>
        <v/>
      </c>
      <c r="H70" s="2" t="str">
        <f t="shared" si="5"/>
        <v>mismo nombre</v>
      </c>
      <c r="I70" s="2" t="str">
        <f t="shared" si="6"/>
        <v>mismo colegio</v>
      </c>
      <c r="J70" s="2" t="b">
        <f t="shared" si="7"/>
        <v>0</v>
      </c>
      <c r="K70" s="2" t="str">
        <f>IFERROR(__xludf.DUMMYFUNCTION("TRIM(JOIN("" "",UNIQUE(TOCOL(ARRAYFORMULA(IF( SPLIT(C70,"" "")=TOCOL(SPLIT(C69,"" "")),SPLIT(C70,"" "")&amp;"" "",""""))))))"),"VICTORIO AYDE AQUINO LOARTE")</f>
        <v>VICTORIO AYDE AQUINO LOARTE</v>
      </c>
      <c r="L70" s="2" t="str">
        <f t="shared" si="1"/>
        <v/>
      </c>
      <c r="M70" s="2">
        <f t="shared" si="2"/>
        <v>66</v>
      </c>
      <c r="AY70" s="2" t="s">
        <v>529</v>
      </c>
    </row>
    <row r="71">
      <c r="A71" s="2">
        <f t="shared" si="3"/>
        <v>68</v>
      </c>
      <c r="B71" s="1" t="s">
        <v>69</v>
      </c>
      <c r="C71" s="2" t="s">
        <v>393</v>
      </c>
      <c r="D71" s="2" t="s">
        <v>193</v>
      </c>
      <c r="E71" s="2">
        <v>33.0</v>
      </c>
      <c r="F71" s="2" t="s">
        <v>194</v>
      </c>
      <c r="G71" s="2" t="str">
        <f t="shared" si="4"/>
        <v/>
      </c>
      <c r="H71" s="2" t="str">
        <f t="shared" si="5"/>
        <v/>
      </c>
      <c r="I71" s="2" t="str">
        <f t="shared" si="6"/>
        <v/>
      </c>
      <c r="J71" s="2" t="b">
        <f t="shared" si="7"/>
        <v>0</v>
      </c>
      <c r="K71" s="2" t="str">
        <f>IFERROR(__xludf.DUMMYFUNCTION("TRIM(JOIN("" "",UNIQUE(TOCOL(ARRAYFORMULA(IF( SPLIT(C71,"" "")=TOCOL(SPLIT(C70,"" "")),SPLIT(C71,"" "")&amp;"" "",""""))))))"),"")</f>
        <v/>
      </c>
      <c r="L71" s="2" t="str">
        <f t="shared" si="1"/>
        <v/>
      </c>
      <c r="M71" s="2">
        <f t="shared" si="2"/>
        <v>68</v>
      </c>
      <c r="AY71" s="2" t="s">
        <v>1367</v>
      </c>
    </row>
    <row r="72">
      <c r="A72" s="2">
        <f t="shared" si="3"/>
        <v>69</v>
      </c>
      <c r="B72" s="1" t="s">
        <v>69</v>
      </c>
      <c r="C72" s="2" t="s">
        <v>393</v>
      </c>
      <c r="D72" s="2" t="s">
        <v>193</v>
      </c>
      <c r="E72" s="2">
        <v>33.0</v>
      </c>
      <c r="F72" s="2" t="s">
        <v>428</v>
      </c>
      <c r="G72" s="2" t="str">
        <f t="shared" si="4"/>
        <v>misma edad</v>
      </c>
      <c r="H72" s="2" t="str">
        <f t="shared" si="5"/>
        <v>mismo nombre</v>
      </c>
      <c r="I72" s="2" t="str">
        <f t="shared" si="6"/>
        <v>mismo colegio</v>
      </c>
      <c r="J72" s="2" t="b">
        <f t="shared" si="7"/>
        <v>0</v>
      </c>
      <c r="K72" s="2" t="str">
        <f>IFERROR(__xludf.DUMMYFUNCTION("TRIM(JOIN("" "",UNIQUE(TOCOL(ARRAYFORMULA(IF( SPLIT(C72,"" "")=TOCOL(SPLIT(C71,"" "")),SPLIT(C72,"" "")&amp;"" "",""""))))))"),"VICTORIA OBREGON FLORES")</f>
        <v>VICTORIA OBREGON FLORES</v>
      </c>
      <c r="L72" s="2" t="str">
        <f t="shared" si="1"/>
        <v/>
      </c>
      <c r="M72" s="2">
        <f t="shared" si="2"/>
        <v>68</v>
      </c>
      <c r="AY72" s="2" t="s">
        <v>1334</v>
      </c>
    </row>
    <row r="73">
      <c r="A73" s="2">
        <f t="shared" si="3"/>
        <v>70</v>
      </c>
      <c r="B73" s="1" t="s">
        <v>457</v>
      </c>
      <c r="C73" s="2" t="s">
        <v>477</v>
      </c>
      <c r="D73" s="2" t="s">
        <v>193</v>
      </c>
      <c r="E73" s="2">
        <v>45.0</v>
      </c>
      <c r="F73" s="2" t="s">
        <v>194</v>
      </c>
      <c r="G73" s="2" t="str">
        <f t="shared" si="4"/>
        <v/>
      </c>
      <c r="H73" s="2" t="str">
        <f t="shared" si="5"/>
        <v/>
      </c>
      <c r="I73" s="2" t="str">
        <f t="shared" si="6"/>
        <v/>
      </c>
      <c r="J73" s="2" t="b">
        <f t="shared" si="7"/>
        <v>0</v>
      </c>
      <c r="K73" s="2" t="str">
        <f>IFERROR(__xludf.DUMMYFUNCTION("TRIM(JOIN("" "",UNIQUE(TOCOL(ARRAYFORMULA(IF( SPLIT(C73,"" "")=TOCOL(SPLIT(C72,"" "")),SPLIT(C73,"" "")&amp;"" "",""""))))))"),"VICTORIA")</f>
        <v>VICTORIA</v>
      </c>
      <c r="L73" s="2" t="str">
        <f t="shared" si="1"/>
        <v/>
      </c>
      <c r="M73" s="2">
        <f t="shared" si="2"/>
        <v>70</v>
      </c>
      <c r="AY73" s="2" t="s">
        <v>647</v>
      </c>
    </row>
    <row r="74">
      <c r="A74" s="2">
        <f t="shared" si="3"/>
        <v>71</v>
      </c>
      <c r="B74" s="1" t="s">
        <v>457</v>
      </c>
      <c r="C74" s="2" t="s">
        <v>477</v>
      </c>
      <c r="D74" s="2" t="s">
        <v>193</v>
      </c>
      <c r="E74" s="2">
        <v>45.0</v>
      </c>
      <c r="F74" s="2" t="s">
        <v>428</v>
      </c>
      <c r="G74" s="2" t="str">
        <f t="shared" si="4"/>
        <v>misma edad</v>
      </c>
      <c r="H74" s="2" t="str">
        <f t="shared" si="5"/>
        <v>mismo nombre</v>
      </c>
      <c r="I74" s="2" t="str">
        <f t="shared" si="6"/>
        <v>mismo colegio</v>
      </c>
      <c r="J74" s="2" t="b">
        <f t="shared" si="7"/>
        <v>0</v>
      </c>
      <c r="K74" s="2" t="str">
        <f>IFERROR(__xludf.DUMMYFUNCTION("TRIM(JOIN("" "",UNIQUE(TOCOL(ARRAYFORMULA(IF( SPLIT(C74,"" "")=TOCOL(SPLIT(C73,"" "")),SPLIT(C74,"" "")&amp;"" "",""""))))))"),"VICTORIA GARAY CABALLERO")</f>
        <v>VICTORIA GARAY CABALLERO</v>
      </c>
      <c r="L74" s="2" t="str">
        <f t="shared" si="1"/>
        <v/>
      </c>
      <c r="M74" s="2">
        <f t="shared" si="2"/>
        <v>70</v>
      </c>
      <c r="AY74" s="2" t="s">
        <v>590</v>
      </c>
    </row>
    <row r="75">
      <c r="A75" s="2">
        <f t="shared" si="3"/>
        <v>72</v>
      </c>
      <c r="B75" s="1" t="s">
        <v>226</v>
      </c>
      <c r="C75" s="2" t="s">
        <v>1125</v>
      </c>
      <c r="D75" s="2" t="s">
        <v>193</v>
      </c>
      <c r="E75" s="2">
        <v>25.0</v>
      </c>
      <c r="F75" s="2" t="s">
        <v>428</v>
      </c>
      <c r="G75" s="2" t="str">
        <f t="shared" si="4"/>
        <v/>
      </c>
      <c r="H75" s="2" t="str">
        <f t="shared" si="5"/>
        <v/>
      </c>
      <c r="I75" s="2" t="str">
        <f t="shared" si="6"/>
        <v/>
      </c>
      <c r="J75" s="2" t="b">
        <f t="shared" si="7"/>
        <v>1</v>
      </c>
      <c r="K75" s="2" t="str">
        <f>IFERROR(__xludf.DUMMYFUNCTION("TRIM(JOIN("" "",UNIQUE(TOCOL(ARRAYFORMULA(IF( SPLIT(C75,"" "")=TOCOL(SPLIT(C74,"" "")),SPLIT(C75,"" "")&amp;"" "",""""))))))"),"VICTORIA")</f>
        <v>VICTORIA</v>
      </c>
      <c r="L75" s="2" t="str">
        <f t="shared" si="1"/>
        <v/>
      </c>
      <c r="M75" s="2">
        <f t="shared" si="2"/>
        <v>72</v>
      </c>
      <c r="AY75" s="2" t="s">
        <v>975</v>
      </c>
    </row>
    <row r="76">
      <c r="A76" s="2">
        <f t="shared" si="3"/>
        <v>73</v>
      </c>
      <c r="B76" s="1" t="s">
        <v>226</v>
      </c>
      <c r="C76" s="2" t="s">
        <v>1112</v>
      </c>
      <c r="D76" s="2" t="s">
        <v>193</v>
      </c>
      <c r="E76" s="2">
        <v>34.0</v>
      </c>
      <c r="F76" s="2" t="s">
        <v>428</v>
      </c>
      <c r="G76" s="2" t="str">
        <f t="shared" si="4"/>
        <v/>
      </c>
      <c r="H76" s="2" t="str">
        <f t="shared" si="5"/>
        <v/>
      </c>
      <c r="I76" s="2" t="str">
        <f t="shared" si="6"/>
        <v>mismo colegio</v>
      </c>
      <c r="J76" s="2" t="b">
        <f t="shared" si="7"/>
        <v>1</v>
      </c>
      <c r="K76" s="2" t="str">
        <f>IFERROR(__xludf.DUMMYFUNCTION("TRIM(JOIN("" "",UNIQUE(TOCOL(ARRAYFORMULA(IF( SPLIT(C76,"" "")=TOCOL(SPLIT(C75,"" "")),SPLIT(C76,"" "")&amp;"" "",""""))))))"),"")</f>
        <v/>
      </c>
      <c r="L76" s="2" t="str">
        <f t="shared" si="1"/>
        <v/>
      </c>
      <c r="M76" s="2">
        <f t="shared" si="2"/>
        <v>73</v>
      </c>
      <c r="AY76" s="2" t="s">
        <v>977</v>
      </c>
    </row>
    <row r="77">
      <c r="A77" s="2">
        <f t="shared" si="3"/>
        <v>74</v>
      </c>
      <c r="B77" s="1" t="s">
        <v>226</v>
      </c>
      <c r="C77" s="2" t="s">
        <v>288</v>
      </c>
      <c r="D77" s="2" t="s">
        <v>222</v>
      </c>
      <c r="E77" s="2">
        <v>40.0</v>
      </c>
      <c r="F77" s="2" t="s">
        <v>194</v>
      </c>
      <c r="G77" s="2" t="str">
        <f t="shared" si="4"/>
        <v/>
      </c>
      <c r="H77" s="2" t="str">
        <f t="shared" si="5"/>
        <v/>
      </c>
      <c r="I77" s="2" t="str">
        <f t="shared" si="6"/>
        <v>mismo colegio</v>
      </c>
      <c r="J77" s="2" t="b">
        <f t="shared" si="7"/>
        <v>0</v>
      </c>
      <c r="K77" s="2" t="str">
        <f>IFERROR(__xludf.DUMMYFUNCTION("TRIM(JOIN("" "",UNIQUE(TOCOL(ARRAYFORMULA(IF( SPLIT(C77,"" "")=TOCOL(SPLIT(C76,"" "")),SPLIT(C77,"" "")&amp;"" "",""""))))))"),"VICTOR ADRIANO LEÓN")</f>
        <v>VICTOR ADRIANO LEÓN</v>
      </c>
      <c r="L77" s="2" t="str">
        <f t="shared" si="1"/>
        <v/>
      </c>
      <c r="M77" s="2">
        <f t="shared" si="2"/>
        <v>74</v>
      </c>
      <c r="AY77" s="2" t="s">
        <v>1339</v>
      </c>
    </row>
    <row r="78">
      <c r="A78" s="2">
        <f t="shared" si="3"/>
        <v>75</v>
      </c>
      <c r="B78" s="1" t="s">
        <v>595</v>
      </c>
      <c r="C78" s="2" t="s">
        <v>607</v>
      </c>
      <c r="D78" s="2" t="s">
        <v>193</v>
      </c>
      <c r="E78" s="2">
        <v>38.0</v>
      </c>
      <c r="F78" s="2" t="s">
        <v>194</v>
      </c>
      <c r="G78" s="2" t="str">
        <f t="shared" si="4"/>
        <v/>
      </c>
      <c r="H78" s="2" t="str">
        <f t="shared" si="5"/>
        <v/>
      </c>
      <c r="I78" s="2" t="str">
        <f t="shared" si="6"/>
        <v/>
      </c>
      <c r="J78" s="2" t="b">
        <f t="shared" si="7"/>
        <v>1</v>
      </c>
      <c r="K78" s="2" t="str">
        <f>IFERROR(__xludf.DUMMYFUNCTION("TRIM(JOIN("" "",UNIQUE(TOCOL(ARRAYFORMULA(IF( SPLIT(C78,"" "")=TOCOL(SPLIT(C77,"" "")),SPLIT(C78,"" "")&amp;"" "",""""))))))"),"")</f>
        <v/>
      </c>
      <c r="L78" s="2" t="str">
        <f t="shared" si="1"/>
        <v/>
      </c>
      <c r="M78" s="2">
        <f t="shared" si="2"/>
        <v>75</v>
      </c>
      <c r="AY78" s="2" t="s">
        <v>502</v>
      </c>
    </row>
    <row r="79">
      <c r="A79" s="2">
        <f t="shared" si="3"/>
        <v>76</v>
      </c>
      <c r="B79" s="1" t="s">
        <v>323</v>
      </c>
      <c r="C79" s="2" t="s">
        <v>341</v>
      </c>
      <c r="D79" s="2" t="s">
        <v>193</v>
      </c>
      <c r="E79" s="2">
        <v>44.0</v>
      </c>
      <c r="F79" s="2" t="s">
        <v>194</v>
      </c>
      <c r="G79" s="2" t="str">
        <f t="shared" si="4"/>
        <v/>
      </c>
      <c r="H79" s="2" t="str">
        <f t="shared" si="5"/>
        <v/>
      </c>
      <c r="I79" s="2" t="str">
        <f t="shared" si="6"/>
        <v/>
      </c>
      <c r="J79" s="2" t="b">
        <f t="shared" si="7"/>
        <v>1</v>
      </c>
      <c r="K79" s="2" t="str">
        <f>IFERROR(__xludf.DUMMYFUNCTION("TRIM(JOIN("" "",UNIQUE(TOCOL(ARRAYFORMULA(IF( SPLIT(C79,"" "")=TOCOL(SPLIT(C78,"" "")),SPLIT(C79,"" "")&amp;"" "",""""))))))"),"")</f>
        <v/>
      </c>
      <c r="L79" s="2" t="str">
        <f t="shared" si="1"/>
        <v/>
      </c>
      <c r="M79" s="2">
        <f t="shared" si="2"/>
        <v>76</v>
      </c>
      <c r="AY79" s="2" t="s">
        <v>262</v>
      </c>
    </row>
    <row r="80">
      <c r="A80" s="2">
        <f t="shared" si="3"/>
        <v>77</v>
      </c>
      <c r="B80" s="1" t="s">
        <v>668</v>
      </c>
      <c r="C80" s="2" t="s">
        <v>684</v>
      </c>
      <c r="D80" s="2" t="s">
        <v>193</v>
      </c>
      <c r="E80" s="2">
        <v>35.0</v>
      </c>
      <c r="F80" s="2" t="s">
        <v>194</v>
      </c>
      <c r="G80" s="2" t="str">
        <f t="shared" si="4"/>
        <v/>
      </c>
      <c r="H80" s="2" t="str">
        <f t="shared" si="5"/>
        <v/>
      </c>
      <c r="I80" s="2" t="str">
        <f t="shared" si="6"/>
        <v/>
      </c>
      <c r="J80" s="2" t="b">
        <f t="shared" si="7"/>
        <v>1</v>
      </c>
      <c r="K80" s="2" t="str">
        <f>IFERROR(__xludf.DUMMYFUNCTION("TRIM(JOIN("" "",UNIQUE(TOCOL(ARRAYFORMULA(IF( SPLIT(C80,"" "")=TOCOL(SPLIT(C79,"" "")),SPLIT(C80,"" "")&amp;"" "",""""))))))"),"")</f>
        <v/>
      </c>
      <c r="L80" s="2" t="str">
        <f t="shared" si="1"/>
        <v/>
      </c>
      <c r="M80" s="2">
        <f t="shared" si="2"/>
        <v>77</v>
      </c>
      <c r="AY80" s="2" t="s">
        <v>1311</v>
      </c>
    </row>
    <row r="81">
      <c r="A81" s="2">
        <f t="shared" si="3"/>
        <v>78</v>
      </c>
      <c r="B81" s="1" t="s">
        <v>668</v>
      </c>
      <c r="C81" s="2" t="s">
        <v>684</v>
      </c>
      <c r="D81" s="2" t="s">
        <v>193</v>
      </c>
      <c r="E81" s="2">
        <v>35.0</v>
      </c>
      <c r="F81" s="2" t="s">
        <v>428</v>
      </c>
      <c r="G81" s="2" t="str">
        <f t="shared" si="4"/>
        <v>misma edad</v>
      </c>
      <c r="H81" s="2" t="str">
        <f t="shared" si="5"/>
        <v>mismo nombre</v>
      </c>
      <c r="I81" s="2" t="str">
        <f t="shared" si="6"/>
        <v>mismo colegio</v>
      </c>
      <c r="J81" s="2" t="b">
        <f t="shared" si="7"/>
        <v>0</v>
      </c>
      <c r="K81" s="2" t="str">
        <f>IFERROR(__xludf.DUMMYFUNCTION("TRIM(JOIN("" "",UNIQUE(TOCOL(ARRAYFORMULA(IF( SPLIT(C81,"" "")=TOCOL(SPLIT(C80,"" "")),SPLIT(C81,"" "")&amp;"" "",""""))))))"),"VERAMENDI TRUJILLO ANTONIA")</f>
        <v>VERAMENDI TRUJILLO ANTONIA</v>
      </c>
      <c r="L81" s="2" t="str">
        <f t="shared" si="1"/>
        <v/>
      </c>
      <c r="M81" s="2">
        <f t="shared" si="2"/>
        <v>77</v>
      </c>
      <c r="AY81" s="2" t="s">
        <v>571</v>
      </c>
    </row>
    <row r="82">
      <c r="A82" s="2">
        <f t="shared" si="3"/>
        <v>79</v>
      </c>
      <c r="B82" s="1" t="s">
        <v>719</v>
      </c>
      <c r="C82" s="2" t="s">
        <v>744</v>
      </c>
      <c r="D82" s="2" t="s">
        <v>193</v>
      </c>
      <c r="E82" s="2">
        <v>26.0</v>
      </c>
      <c r="F82" s="2" t="s">
        <v>194</v>
      </c>
      <c r="G82" s="2" t="str">
        <f t="shared" si="4"/>
        <v/>
      </c>
      <c r="H82" s="2" t="str">
        <f t="shared" si="5"/>
        <v/>
      </c>
      <c r="I82" s="2" t="str">
        <f t="shared" si="6"/>
        <v/>
      </c>
      <c r="J82" s="2" t="b">
        <f t="shared" si="7"/>
        <v>0</v>
      </c>
      <c r="K82" s="2" t="str">
        <f>IFERROR(__xludf.DUMMYFUNCTION("TRIM(JOIN("" "",UNIQUE(TOCOL(ARRAYFORMULA(IF( SPLIT(C82,"" "")=TOCOL(SPLIT(C81,"" "")),SPLIT(C82,"" "")&amp;"" "",""""))))))"),"VERAMENDI")</f>
        <v>VERAMENDI</v>
      </c>
      <c r="L82" s="2" t="str">
        <f t="shared" si="1"/>
        <v/>
      </c>
      <c r="M82" s="2">
        <f t="shared" si="2"/>
        <v>79</v>
      </c>
      <c r="AY82" s="2" t="s">
        <v>1476</v>
      </c>
    </row>
    <row r="83">
      <c r="A83" s="2">
        <f t="shared" si="3"/>
        <v>80</v>
      </c>
      <c r="B83" s="1" t="s">
        <v>634</v>
      </c>
      <c r="C83" s="2" t="s">
        <v>648</v>
      </c>
      <c r="D83" s="2" t="s">
        <v>193</v>
      </c>
      <c r="E83" s="2">
        <v>42.0</v>
      </c>
      <c r="F83" s="2" t="s">
        <v>194</v>
      </c>
      <c r="G83" s="2" t="str">
        <f t="shared" si="4"/>
        <v/>
      </c>
      <c r="H83" s="2" t="str">
        <f t="shared" si="5"/>
        <v/>
      </c>
      <c r="I83" s="2" t="str">
        <f t="shared" si="6"/>
        <v/>
      </c>
      <c r="J83" s="2" t="b">
        <f t="shared" si="7"/>
        <v>1</v>
      </c>
      <c r="K83" s="2" t="str">
        <f>IFERROR(__xludf.DUMMYFUNCTION("TRIM(JOIN("" "",UNIQUE(TOCOL(ARRAYFORMULA(IF( SPLIT(C83,"" "")=TOCOL(SPLIT(C82,"" "")),SPLIT(C83,"" "")&amp;"" "",""""))))))"),"VERAMENDI")</f>
        <v>VERAMENDI</v>
      </c>
      <c r="L83" s="2" t="str">
        <f t="shared" si="1"/>
        <v/>
      </c>
      <c r="M83" s="2">
        <f t="shared" si="2"/>
        <v>80</v>
      </c>
      <c r="AY83" s="2" t="s">
        <v>642</v>
      </c>
    </row>
    <row r="84">
      <c r="A84" s="2">
        <f t="shared" si="3"/>
        <v>81</v>
      </c>
      <c r="B84" s="1" t="s">
        <v>719</v>
      </c>
      <c r="C84" s="2" t="s">
        <v>648</v>
      </c>
      <c r="D84" s="2" t="s">
        <v>193</v>
      </c>
      <c r="E84" s="2">
        <v>38.0</v>
      </c>
      <c r="F84" s="2" t="s">
        <v>428</v>
      </c>
      <c r="G84" s="2" t="str">
        <f t="shared" si="4"/>
        <v/>
      </c>
      <c r="H84" s="2" t="str">
        <f t="shared" si="5"/>
        <v>mismo nombre</v>
      </c>
      <c r="I84" s="2" t="str">
        <f t="shared" si="6"/>
        <v/>
      </c>
      <c r="J84" s="2" t="b">
        <f t="shared" si="7"/>
        <v>0</v>
      </c>
      <c r="K84" s="2" t="str">
        <f>IFERROR(__xludf.DUMMYFUNCTION("TRIM(JOIN("" "",UNIQUE(TOCOL(ARRAYFORMULA(IF( SPLIT(C84,"" "")=TOCOL(SPLIT(C83,"" "")),SPLIT(C84,"" "")&amp;"" "",""""))))))"),"VERAMENDI CASTRO JULIA")</f>
        <v>VERAMENDI CASTRO JULIA</v>
      </c>
      <c r="L84" s="2" t="str">
        <f t="shared" si="1"/>
        <v/>
      </c>
      <c r="M84" s="2">
        <f t="shared" si="2"/>
        <v>80</v>
      </c>
      <c r="AY84" s="2" t="s">
        <v>983</v>
      </c>
    </row>
    <row r="85">
      <c r="A85" s="2">
        <f t="shared" si="3"/>
        <v>82</v>
      </c>
      <c r="B85" s="1" t="s">
        <v>634</v>
      </c>
      <c r="C85" s="2" t="s">
        <v>648</v>
      </c>
      <c r="D85" s="2" t="s">
        <v>193</v>
      </c>
      <c r="E85" s="40"/>
      <c r="F85" s="2" t="s">
        <v>428</v>
      </c>
      <c r="G85" s="2" t="str">
        <f t="shared" si="4"/>
        <v/>
      </c>
      <c r="H85" s="2" t="str">
        <f t="shared" si="5"/>
        <v>mismo nombre</v>
      </c>
      <c r="I85" s="2" t="str">
        <f t="shared" si="6"/>
        <v/>
      </c>
      <c r="J85" s="2" t="b">
        <f t="shared" si="7"/>
        <v>1</v>
      </c>
      <c r="K85" s="2" t="str">
        <f>IFERROR(__xludf.DUMMYFUNCTION("TRIM(JOIN("" "",UNIQUE(TOCOL(ARRAYFORMULA(IF( SPLIT(C85,"" "")=TOCOL(SPLIT(C84,"" "")),SPLIT(C85,"" "")&amp;"" "",""""))))))"),"VERAMENDI CASTRO JULIA")</f>
        <v>VERAMENDI CASTRO JULIA</v>
      </c>
      <c r="L85" s="2" t="str">
        <f t="shared" si="1"/>
        <v/>
      </c>
      <c r="M85" s="2">
        <f t="shared" si="2"/>
        <v>81</v>
      </c>
      <c r="AY85" s="2" t="s">
        <v>1078</v>
      </c>
    </row>
    <row r="86">
      <c r="A86" s="2">
        <f t="shared" si="3"/>
        <v>83</v>
      </c>
      <c r="B86" s="1" t="s">
        <v>634</v>
      </c>
      <c r="C86" s="2" t="s">
        <v>643</v>
      </c>
      <c r="D86" s="2" t="s">
        <v>193</v>
      </c>
      <c r="E86" s="2" t="s">
        <v>644</v>
      </c>
      <c r="F86" s="2" t="s">
        <v>194</v>
      </c>
      <c r="G86" s="2" t="str">
        <f t="shared" si="4"/>
        <v/>
      </c>
      <c r="H86" s="2" t="str">
        <f t="shared" si="5"/>
        <v/>
      </c>
      <c r="I86" s="2" t="str">
        <f t="shared" si="6"/>
        <v>mismo colegio</v>
      </c>
      <c r="J86" s="2" t="b">
        <f t="shared" si="7"/>
        <v>0</v>
      </c>
      <c r="K86" s="2" t="str">
        <f>IFERROR(__xludf.DUMMYFUNCTION("TRIM(JOIN("" "",UNIQUE(TOCOL(ARRAYFORMULA(IF( SPLIT(C86,"" "")=TOCOL(SPLIT(C85,"" "")),SPLIT(C86,"" "")&amp;"" "",""""))))))"),"VERAMENDI CASTRO")</f>
        <v>VERAMENDI CASTRO</v>
      </c>
      <c r="L86" s="2" t="str">
        <f t="shared" si="1"/>
        <v/>
      </c>
      <c r="M86" s="2">
        <f t="shared" si="2"/>
        <v>83</v>
      </c>
      <c r="AY86" s="2" t="s">
        <v>985</v>
      </c>
    </row>
    <row r="87">
      <c r="A87" s="2">
        <f t="shared" si="3"/>
        <v>84</v>
      </c>
      <c r="B87" s="1" t="s">
        <v>634</v>
      </c>
      <c r="C87" s="2" t="s">
        <v>643</v>
      </c>
      <c r="D87" s="2" t="s">
        <v>193</v>
      </c>
      <c r="E87" s="40"/>
      <c r="F87" s="2" t="s">
        <v>428</v>
      </c>
      <c r="G87" s="2" t="str">
        <f t="shared" si="4"/>
        <v/>
      </c>
      <c r="H87" s="2" t="str">
        <f t="shared" si="5"/>
        <v>mismo nombre</v>
      </c>
      <c r="I87" s="2" t="str">
        <f t="shared" si="6"/>
        <v>mismo colegio</v>
      </c>
      <c r="J87" s="2" t="b">
        <f t="shared" si="7"/>
        <v>0</v>
      </c>
      <c r="K87" s="2" t="str">
        <f>IFERROR(__xludf.DUMMYFUNCTION("TRIM(JOIN("" "",UNIQUE(TOCOL(ARRAYFORMULA(IF( SPLIT(C87,"" "")=TOCOL(SPLIT(C86,"" "")),SPLIT(C87,"" "")&amp;"" "",""""))))))"),"VERAMENDI CASTRO GLORIA")</f>
        <v>VERAMENDI CASTRO GLORIA</v>
      </c>
      <c r="L87" s="2" t="str">
        <f t="shared" si="1"/>
        <v/>
      </c>
      <c r="M87" s="2">
        <f t="shared" si="2"/>
        <v>83</v>
      </c>
      <c r="AY87" s="2" t="s">
        <v>1227</v>
      </c>
    </row>
    <row r="88">
      <c r="A88" s="2">
        <f t="shared" si="3"/>
        <v>85</v>
      </c>
      <c r="B88" s="1" t="s">
        <v>775</v>
      </c>
      <c r="C88" s="2" t="s">
        <v>1463</v>
      </c>
      <c r="D88" s="2" t="s">
        <v>193</v>
      </c>
      <c r="E88" s="40"/>
      <c r="F88" s="2" t="s">
        <v>428</v>
      </c>
      <c r="G88" s="2" t="str">
        <f t="shared" si="4"/>
        <v>misma edad</v>
      </c>
      <c r="H88" s="2" t="str">
        <f t="shared" si="5"/>
        <v/>
      </c>
      <c r="I88" s="2" t="str">
        <f t="shared" si="6"/>
        <v/>
      </c>
      <c r="J88" s="2" t="b">
        <f t="shared" si="7"/>
        <v>1</v>
      </c>
      <c r="K88" s="2" t="str">
        <f>IFERROR(__xludf.DUMMYFUNCTION("TRIM(JOIN("" "",UNIQUE(TOCOL(ARRAYFORMULA(IF( SPLIT(C88,"" "")=TOCOL(SPLIT(C87,"" "")),SPLIT(C88,"" "")&amp;"" "",""""))))))"),"VERAMENDI")</f>
        <v>VERAMENDI</v>
      </c>
      <c r="L88" s="2" t="str">
        <f t="shared" si="1"/>
        <v/>
      </c>
      <c r="M88" s="2">
        <f t="shared" si="2"/>
        <v>85</v>
      </c>
      <c r="AY88" s="2" t="s">
        <v>383</v>
      </c>
    </row>
    <row r="89">
      <c r="A89" s="2">
        <f t="shared" si="3"/>
        <v>86</v>
      </c>
      <c r="B89" s="1" t="s">
        <v>830</v>
      </c>
      <c r="C89" s="2" t="s">
        <v>850</v>
      </c>
      <c r="D89" s="2" t="s">
        <v>193</v>
      </c>
      <c r="E89" s="2"/>
      <c r="F89" s="2" t="s">
        <v>194</v>
      </c>
      <c r="G89" s="2" t="str">
        <f t="shared" si="4"/>
        <v>misma edad</v>
      </c>
      <c r="H89" s="2" t="str">
        <f t="shared" si="5"/>
        <v/>
      </c>
      <c r="I89" s="2" t="str">
        <f t="shared" si="6"/>
        <v/>
      </c>
      <c r="J89" s="2" t="b">
        <f t="shared" si="7"/>
        <v>0</v>
      </c>
      <c r="K89" s="2" t="str">
        <f>IFERROR(__xludf.DUMMYFUNCTION("TRIM(JOIN("" "",UNIQUE(TOCOL(ARRAYFORMULA(IF( SPLIT(C89,"" "")=TOCOL(SPLIT(C88,"" "")),SPLIT(C89,"" "")&amp;"" "",""""))))))"),"")</f>
        <v/>
      </c>
      <c r="L89" s="2" t="str">
        <f t="shared" si="1"/>
        <v/>
      </c>
      <c r="M89" s="2">
        <f t="shared" si="2"/>
        <v>86</v>
      </c>
      <c r="AY89" s="2" t="s">
        <v>1278</v>
      </c>
    </row>
    <row r="90">
      <c r="A90" s="2">
        <f t="shared" si="3"/>
        <v>87</v>
      </c>
      <c r="B90" s="1" t="s">
        <v>830</v>
      </c>
      <c r="C90" s="2" t="s">
        <v>850</v>
      </c>
      <c r="D90" s="2" t="s">
        <v>193</v>
      </c>
      <c r="E90" s="40"/>
      <c r="F90" s="2" t="s">
        <v>428</v>
      </c>
      <c r="G90" s="2" t="str">
        <f t="shared" si="4"/>
        <v>misma edad</v>
      </c>
      <c r="H90" s="2" t="str">
        <f t="shared" si="5"/>
        <v>mismo nombre</v>
      </c>
      <c r="I90" s="2" t="str">
        <f t="shared" si="6"/>
        <v>mismo colegio</v>
      </c>
      <c r="J90" s="2" t="b">
        <f t="shared" si="7"/>
        <v>0</v>
      </c>
      <c r="K90" s="2" t="str">
        <f>IFERROR(__xludf.DUMMYFUNCTION("TRIM(JOIN("" "",UNIQUE(TOCOL(ARRAYFORMULA(IF( SPLIT(C90,"" "")=TOCOL(SPLIT(C89,"" "")),SPLIT(C90,"" "")&amp;"" "",""""))))))"),"VENTURO SILVA, CARMEN")</f>
        <v>VENTURO SILVA, CARMEN</v>
      </c>
      <c r="L90" s="2" t="str">
        <f t="shared" si="1"/>
        <v/>
      </c>
      <c r="M90" s="2">
        <f t="shared" si="2"/>
        <v>86</v>
      </c>
      <c r="AY90" s="2" t="s">
        <v>763</v>
      </c>
    </row>
    <row r="91">
      <c r="A91" s="2">
        <f t="shared" si="3"/>
        <v>88</v>
      </c>
      <c r="B91" s="1" t="s">
        <v>693</v>
      </c>
      <c r="C91" s="2" t="s">
        <v>1364</v>
      </c>
      <c r="D91" s="2" t="s">
        <v>193</v>
      </c>
      <c r="E91" s="2">
        <v>51.0</v>
      </c>
      <c r="F91" s="2" t="s">
        <v>428</v>
      </c>
      <c r="G91" s="2" t="str">
        <f t="shared" si="4"/>
        <v/>
      </c>
      <c r="H91" s="2" t="str">
        <f t="shared" si="5"/>
        <v/>
      </c>
      <c r="I91" s="2" t="str">
        <f t="shared" si="6"/>
        <v/>
      </c>
      <c r="J91" s="2" t="b">
        <f t="shared" si="7"/>
        <v>1</v>
      </c>
      <c r="K91" s="2" t="str">
        <f>IFERROR(__xludf.DUMMYFUNCTION("TRIM(JOIN("" "",UNIQUE(TOCOL(ARRAYFORMULA(IF( SPLIT(C91,"" "")=TOCOL(SPLIT(C90,"" "")),SPLIT(C91,"" "")&amp;"" "",""""))))))"),"")</f>
        <v/>
      </c>
      <c r="L91" s="2" t="str">
        <f t="shared" si="1"/>
        <v/>
      </c>
      <c r="M91" s="2">
        <f t="shared" si="2"/>
        <v>88</v>
      </c>
      <c r="AY91" s="2" t="s">
        <v>685</v>
      </c>
    </row>
    <row r="92">
      <c r="A92" s="2">
        <f t="shared" si="3"/>
        <v>89</v>
      </c>
      <c r="B92" s="1" t="s">
        <v>693</v>
      </c>
      <c r="C92" s="2" t="s">
        <v>1394</v>
      </c>
      <c r="D92" s="2" t="s">
        <v>193</v>
      </c>
      <c r="E92" s="2">
        <v>30.0</v>
      </c>
      <c r="F92" s="2" t="s">
        <v>428</v>
      </c>
      <c r="G92" s="2" t="str">
        <f t="shared" si="4"/>
        <v/>
      </c>
      <c r="H92" s="2" t="str">
        <f t="shared" si="5"/>
        <v/>
      </c>
      <c r="I92" s="2" t="str">
        <f t="shared" si="6"/>
        <v>mismo colegio</v>
      </c>
      <c r="J92" s="2" t="b">
        <f t="shared" si="7"/>
        <v>1</v>
      </c>
      <c r="K92" s="2" t="str">
        <f>IFERROR(__xludf.DUMMYFUNCTION("TRIM(JOIN("" "",UNIQUE(TOCOL(ARRAYFORMULA(IF( SPLIT(C92,"" "")=TOCOL(SPLIT(C91,"" "")),SPLIT(C92,"" "")&amp;"" "",""""))))))"),"VASQUEZ")</f>
        <v>VASQUEZ</v>
      </c>
      <c r="L92" s="2" t="str">
        <f t="shared" si="1"/>
        <v/>
      </c>
      <c r="M92" s="2">
        <f t="shared" si="2"/>
        <v>89</v>
      </c>
      <c r="AY92" s="2" t="s">
        <v>1442</v>
      </c>
    </row>
    <row r="93">
      <c r="A93" s="2">
        <f t="shared" si="3"/>
        <v>90</v>
      </c>
      <c r="B93" s="1" t="s">
        <v>205</v>
      </c>
      <c r="C93" s="2" t="s">
        <v>1138</v>
      </c>
      <c r="D93" s="2" t="s">
        <v>222</v>
      </c>
      <c r="E93" s="2">
        <v>30.0</v>
      </c>
      <c r="F93" s="2" t="s">
        <v>428</v>
      </c>
      <c r="G93" s="2" t="str">
        <f t="shared" si="4"/>
        <v>misma edad</v>
      </c>
      <c r="H93" s="2" t="str">
        <f t="shared" si="5"/>
        <v/>
      </c>
      <c r="I93" s="2" t="str">
        <f t="shared" si="6"/>
        <v/>
      </c>
      <c r="J93" s="2" t="b">
        <f t="shared" si="7"/>
        <v>1</v>
      </c>
      <c r="K93" s="2" t="str">
        <f>IFERROR(__xludf.DUMMYFUNCTION("TRIM(JOIN("" "",UNIQUE(TOCOL(ARRAYFORMULA(IF( SPLIT(C93,"" "")=TOCOL(SPLIT(C92,"" "")),SPLIT(C93,"" "")&amp;"" "",""""))))))"),"")</f>
        <v/>
      </c>
      <c r="L93" s="2" t="str">
        <f t="shared" si="1"/>
        <v/>
      </c>
      <c r="M93" s="2">
        <f t="shared" si="2"/>
        <v>90</v>
      </c>
      <c r="AY93" s="2" t="s">
        <v>742</v>
      </c>
    </row>
    <row r="94">
      <c r="A94" s="2">
        <f t="shared" si="3"/>
        <v>91</v>
      </c>
      <c r="B94" s="1" t="s">
        <v>595</v>
      </c>
      <c r="C94" s="2" t="s">
        <v>610</v>
      </c>
      <c r="D94" s="2" t="s">
        <v>193</v>
      </c>
      <c r="E94" s="2">
        <v>22.0</v>
      </c>
      <c r="F94" s="2" t="s">
        <v>194</v>
      </c>
      <c r="G94" s="2" t="str">
        <f t="shared" si="4"/>
        <v/>
      </c>
      <c r="H94" s="2" t="str">
        <f t="shared" si="5"/>
        <v/>
      </c>
      <c r="I94" s="2" t="str">
        <f t="shared" si="6"/>
        <v/>
      </c>
      <c r="J94" s="2" t="b">
        <f t="shared" si="7"/>
        <v>0</v>
      </c>
      <c r="K94" s="2" t="str">
        <f>IFERROR(__xludf.DUMMYFUNCTION("TRIM(JOIN("" "",UNIQUE(TOCOL(ARRAYFORMULA(IF( SPLIT(C94,"" "")=TOCOL(SPLIT(C93,"" "")),SPLIT(C94,"" "")&amp;"" "",""""))))))"),"")</f>
        <v/>
      </c>
      <c r="L94" s="2" t="str">
        <f t="shared" si="1"/>
        <v/>
      </c>
      <c r="M94" s="2">
        <f t="shared" si="2"/>
        <v>91</v>
      </c>
      <c r="AY94" s="2" t="s">
        <v>274</v>
      </c>
    </row>
    <row r="95">
      <c r="A95" s="2">
        <f t="shared" si="3"/>
        <v>92</v>
      </c>
      <c r="B95" s="1" t="s">
        <v>595</v>
      </c>
      <c r="C95" s="2" t="s">
        <v>610</v>
      </c>
      <c r="D95" s="2" t="s">
        <v>193</v>
      </c>
      <c r="E95" s="2">
        <v>22.0</v>
      </c>
      <c r="F95" s="2" t="s">
        <v>428</v>
      </c>
      <c r="G95" s="2" t="str">
        <f t="shared" si="4"/>
        <v>misma edad</v>
      </c>
      <c r="H95" s="2" t="str">
        <f t="shared" si="5"/>
        <v>mismo nombre</v>
      </c>
      <c r="I95" s="2" t="str">
        <f t="shared" si="6"/>
        <v>mismo colegio</v>
      </c>
      <c r="J95" s="2" t="b">
        <f t="shared" si="7"/>
        <v>0</v>
      </c>
      <c r="K95" s="2" t="str">
        <f>IFERROR(__xludf.DUMMYFUNCTION("TRIM(JOIN("" "",UNIQUE(TOCOL(ARRAYFORMULA(IF( SPLIT(C95,"" "")=TOCOL(SPLIT(C94,"" "")),SPLIT(C95,"" "")&amp;"" "",""""))))))"),"VARA MEJÍA YASMELY")</f>
        <v>VARA MEJÍA YASMELY</v>
      </c>
      <c r="L95" s="2" t="str">
        <f t="shared" si="1"/>
        <v/>
      </c>
      <c r="M95" s="2">
        <f t="shared" si="2"/>
        <v>91</v>
      </c>
      <c r="AY95" s="2" t="s">
        <v>488</v>
      </c>
    </row>
    <row r="96">
      <c r="A96" s="2">
        <f t="shared" si="3"/>
        <v>93</v>
      </c>
      <c r="B96" s="1" t="s">
        <v>573</v>
      </c>
      <c r="C96" s="2" t="s">
        <v>582</v>
      </c>
      <c r="D96" s="2" t="s">
        <v>193</v>
      </c>
      <c r="E96" s="2">
        <v>24.0</v>
      </c>
      <c r="F96" s="2" t="s">
        <v>194</v>
      </c>
      <c r="G96" s="2" t="str">
        <f t="shared" si="4"/>
        <v/>
      </c>
      <c r="H96" s="2" t="str">
        <f t="shared" si="5"/>
        <v/>
      </c>
      <c r="I96" s="2" t="str">
        <f t="shared" si="6"/>
        <v/>
      </c>
      <c r="J96" s="2" t="b">
        <f t="shared" si="7"/>
        <v>0</v>
      </c>
      <c r="K96" s="2" t="str">
        <f>IFERROR(__xludf.DUMMYFUNCTION("TRIM(JOIN("" "",UNIQUE(TOCOL(ARRAYFORMULA(IF( SPLIT(C96,"" "")=TOCOL(SPLIT(C95,"" "")),SPLIT(C96,"" "")&amp;"" "",""""))))))"),"")</f>
        <v/>
      </c>
      <c r="L96" s="2" t="str">
        <f t="shared" si="1"/>
        <v/>
      </c>
      <c r="M96" s="2">
        <f t="shared" si="2"/>
        <v>93</v>
      </c>
      <c r="AY96" s="2" t="s">
        <v>780</v>
      </c>
    </row>
    <row r="97">
      <c r="A97" s="2">
        <f t="shared" si="3"/>
        <v>94</v>
      </c>
      <c r="B97" s="1" t="s">
        <v>69</v>
      </c>
      <c r="C97" s="2" t="s">
        <v>407</v>
      </c>
      <c r="D97" s="2" t="s">
        <v>193</v>
      </c>
      <c r="E97" s="2">
        <v>42.0</v>
      </c>
      <c r="F97" s="2" t="s">
        <v>194</v>
      </c>
      <c r="G97" s="2" t="str">
        <f t="shared" si="4"/>
        <v/>
      </c>
      <c r="H97" s="2" t="str">
        <f t="shared" si="5"/>
        <v/>
      </c>
      <c r="I97" s="2" t="str">
        <f t="shared" si="6"/>
        <v/>
      </c>
      <c r="J97" s="2" t="b">
        <f t="shared" si="7"/>
        <v>1</v>
      </c>
      <c r="K97" s="2" t="str">
        <f>IFERROR(__xludf.DUMMYFUNCTION("TRIM(JOIN("" "",UNIQUE(TOCOL(ARRAYFORMULA(IF( SPLIT(C97,"" "")=TOCOL(SPLIT(C96,"" "")),SPLIT(C97,"" "")&amp;"" "",""""))))))"),"")</f>
        <v/>
      </c>
      <c r="L97" s="2" t="str">
        <f t="shared" si="1"/>
        <v/>
      </c>
      <c r="M97" s="2">
        <f t="shared" si="2"/>
        <v>94</v>
      </c>
      <c r="AY97" s="2" t="s">
        <v>1199</v>
      </c>
    </row>
    <row r="98">
      <c r="A98" s="2">
        <f t="shared" si="3"/>
        <v>95</v>
      </c>
      <c r="B98" s="1" t="s">
        <v>69</v>
      </c>
      <c r="C98" s="2" t="s">
        <v>407</v>
      </c>
      <c r="D98" s="2" t="s">
        <v>193</v>
      </c>
      <c r="E98" s="2">
        <v>42.0</v>
      </c>
      <c r="F98" s="2" t="s">
        <v>428</v>
      </c>
      <c r="G98" s="2" t="str">
        <f t="shared" si="4"/>
        <v>misma edad</v>
      </c>
      <c r="H98" s="2" t="str">
        <f t="shared" si="5"/>
        <v>mismo nombre</v>
      </c>
      <c r="I98" s="2" t="str">
        <f t="shared" si="6"/>
        <v>mismo colegio</v>
      </c>
      <c r="J98" s="2" t="b">
        <f t="shared" si="7"/>
        <v>0</v>
      </c>
      <c r="K98" s="2" t="str">
        <f>IFERROR(__xludf.DUMMYFUNCTION("TRIM(JOIN("" "",UNIQUE(TOCOL(ARRAYFORMULA(IF( SPLIT(C98,"" "")=TOCOL(SPLIT(C97,"" "")),SPLIT(C98,"" "")&amp;"" "",""""))))))"),"VALENTINA ROJAS LOARTE")</f>
        <v>VALENTINA ROJAS LOARTE</v>
      </c>
      <c r="L98" s="2" t="str">
        <f t="shared" si="1"/>
        <v/>
      </c>
      <c r="M98" s="2">
        <f t="shared" si="2"/>
        <v>94</v>
      </c>
      <c r="AY98" s="2" t="s">
        <v>1333</v>
      </c>
    </row>
    <row r="99">
      <c r="A99" s="2">
        <f t="shared" si="3"/>
        <v>96</v>
      </c>
      <c r="B99" s="1" t="s">
        <v>122</v>
      </c>
      <c r="C99" s="2" t="s">
        <v>448</v>
      </c>
      <c r="D99" s="2" t="s">
        <v>222</v>
      </c>
      <c r="E99" s="2">
        <v>33.0</v>
      </c>
      <c r="F99" s="2" t="s">
        <v>194</v>
      </c>
      <c r="G99" s="2" t="str">
        <f t="shared" si="4"/>
        <v/>
      </c>
      <c r="H99" s="2" t="str">
        <f t="shared" si="5"/>
        <v/>
      </c>
      <c r="I99" s="2" t="str">
        <f t="shared" si="6"/>
        <v/>
      </c>
      <c r="J99" s="2" t="b">
        <f t="shared" si="7"/>
        <v>0</v>
      </c>
      <c r="K99" s="2" t="str">
        <f>IFERROR(__xludf.DUMMYFUNCTION("TRIM(JOIN("" "",UNIQUE(TOCOL(ARRAYFORMULA(IF( SPLIT(C99,"" "")=TOCOL(SPLIT(C98,"" "")),SPLIT(C99,"" "")&amp;"" "",""""))))))"),"")</f>
        <v/>
      </c>
      <c r="L99" s="2" t="str">
        <f t="shared" si="1"/>
        <v/>
      </c>
      <c r="M99" s="2">
        <f t="shared" si="2"/>
        <v>96</v>
      </c>
      <c r="AY99" s="2" t="s">
        <v>218</v>
      </c>
    </row>
    <row r="100">
      <c r="A100" s="2">
        <f t="shared" si="3"/>
        <v>97</v>
      </c>
      <c r="B100" s="1" t="s">
        <v>122</v>
      </c>
      <c r="C100" s="2" t="s">
        <v>448</v>
      </c>
      <c r="D100" s="2" t="s">
        <v>222</v>
      </c>
      <c r="E100" s="2">
        <v>33.0</v>
      </c>
      <c r="F100" s="2" t="s">
        <v>428</v>
      </c>
      <c r="G100" s="2" t="str">
        <f t="shared" si="4"/>
        <v>misma edad</v>
      </c>
      <c r="H100" s="2" t="str">
        <f t="shared" si="5"/>
        <v>mismo nombre</v>
      </c>
      <c r="I100" s="2" t="str">
        <f t="shared" si="6"/>
        <v>mismo colegio</v>
      </c>
      <c r="J100" s="2" t="b">
        <f t="shared" si="7"/>
        <v>0</v>
      </c>
      <c r="K100" s="2" t="str">
        <f>IFERROR(__xludf.DUMMYFUNCTION("TRIM(JOIN("" "",UNIQUE(TOCOL(ARRAYFORMULA(IF( SPLIT(C100,"" "")=TOCOL(SPLIT(C99,"" "")),SPLIT(C100,"" "")&amp;"" "",""""))))))"),"VALENTIN MELGAREJO OBREGÓN")</f>
        <v>VALENTIN MELGAREJO OBREGÓN</v>
      </c>
      <c r="L100" s="2" t="str">
        <f t="shared" si="1"/>
        <v/>
      </c>
      <c r="M100" s="2">
        <f t="shared" si="2"/>
        <v>96</v>
      </c>
      <c r="AY100" s="2" t="s">
        <v>435</v>
      </c>
    </row>
    <row r="101">
      <c r="A101" s="2">
        <f t="shared" si="3"/>
        <v>98</v>
      </c>
      <c r="B101" s="1" t="s">
        <v>457</v>
      </c>
      <c r="C101" s="2" t="s">
        <v>479</v>
      </c>
      <c r="D101" s="2" t="s">
        <v>193</v>
      </c>
      <c r="E101" s="2">
        <v>23.0</v>
      </c>
      <c r="F101" s="2" t="s">
        <v>194</v>
      </c>
      <c r="G101" s="2" t="str">
        <f t="shared" si="4"/>
        <v/>
      </c>
      <c r="H101" s="2" t="str">
        <f t="shared" si="5"/>
        <v/>
      </c>
      <c r="I101" s="2" t="str">
        <f t="shared" si="6"/>
        <v/>
      </c>
      <c r="J101" s="2" t="b">
        <f t="shared" si="7"/>
        <v>0</v>
      </c>
      <c r="K101" s="2" t="str">
        <f>IFERROR(__xludf.DUMMYFUNCTION("TRIM(JOIN("" "",UNIQUE(TOCOL(ARRAYFORMULA(IF( SPLIT(C101,"" "")=TOCOL(SPLIT(C100,"" "")),SPLIT(C101,"" "")&amp;"" "",""""))))))"),"")</f>
        <v/>
      </c>
      <c r="L101" s="2" t="str">
        <f t="shared" si="1"/>
        <v/>
      </c>
      <c r="M101" s="2">
        <f t="shared" si="2"/>
        <v>98</v>
      </c>
      <c r="AY101" s="2" t="s">
        <v>543</v>
      </c>
    </row>
    <row r="102">
      <c r="A102" s="2">
        <f t="shared" si="3"/>
        <v>99</v>
      </c>
      <c r="B102" s="1" t="s">
        <v>668</v>
      </c>
      <c r="C102" s="2" t="s">
        <v>690</v>
      </c>
      <c r="D102" s="2" t="s">
        <v>222</v>
      </c>
      <c r="E102" s="2" t="s">
        <v>644</v>
      </c>
      <c r="F102" s="2" t="s">
        <v>194</v>
      </c>
      <c r="G102" s="2" t="str">
        <f t="shared" si="4"/>
        <v/>
      </c>
      <c r="H102" s="2" t="str">
        <f t="shared" si="5"/>
        <v/>
      </c>
      <c r="I102" s="2" t="str">
        <f t="shared" si="6"/>
        <v/>
      </c>
      <c r="J102" s="2" t="b">
        <f t="shared" si="7"/>
        <v>1</v>
      </c>
      <c r="K102" s="2" t="str">
        <f>IFERROR(__xludf.DUMMYFUNCTION("TRIM(JOIN("" "",UNIQUE(TOCOL(ARRAYFORMULA(IF( SPLIT(C102,"" "")=TOCOL(SPLIT(C101,"" "")),SPLIT(C102,"" "")&amp;"" "",""""))))))"),"")</f>
        <v/>
      </c>
      <c r="L102" s="2" t="str">
        <f t="shared" si="1"/>
        <v/>
      </c>
      <c r="M102" s="2">
        <f t="shared" si="2"/>
        <v>99</v>
      </c>
      <c r="AY102" s="2" t="s">
        <v>294</v>
      </c>
    </row>
    <row r="103">
      <c r="A103" s="2">
        <f t="shared" si="3"/>
        <v>100</v>
      </c>
      <c r="B103" s="1" t="s">
        <v>775</v>
      </c>
      <c r="C103" s="2" t="s">
        <v>777</v>
      </c>
      <c r="D103" s="2" t="s">
        <v>193</v>
      </c>
      <c r="E103" s="2">
        <v>31.0</v>
      </c>
      <c r="F103" s="2" t="s">
        <v>194</v>
      </c>
      <c r="G103" s="2" t="str">
        <f t="shared" si="4"/>
        <v/>
      </c>
      <c r="H103" s="2" t="str">
        <f t="shared" si="5"/>
        <v/>
      </c>
      <c r="I103" s="2" t="str">
        <f t="shared" si="6"/>
        <v/>
      </c>
      <c r="J103" s="2" t="b">
        <f t="shared" si="7"/>
        <v>1</v>
      </c>
      <c r="K103" s="2" t="str">
        <f>IFERROR(__xludf.DUMMYFUNCTION("TRIM(JOIN("" "",UNIQUE(TOCOL(ARRAYFORMULA(IF( SPLIT(C103,"" "")=TOCOL(SPLIT(C102,"" "")),SPLIT(C103,"" "")&amp;"" "",""""))))))"),"UGARTE")</f>
        <v>UGARTE</v>
      </c>
      <c r="L103" s="2" t="str">
        <f t="shared" si="1"/>
        <v/>
      </c>
      <c r="M103" s="2">
        <f t="shared" si="2"/>
        <v>100</v>
      </c>
      <c r="AY103" s="2" t="s">
        <v>1129</v>
      </c>
    </row>
    <row r="104">
      <c r="A104" s="2">
        <f t="shared" si="3"/>
        <v>101</v>
      </c>
      <c r="B104" s="1" t="s">
        <v>775</v>
      </c>
      <c r="C104" s="2" t="s">
        <v>777</v>
      </c>
      <c r="D104" s="2" t="s">
        <v>193</v>
      </c>
      <c r="E104" s="2">
        <v>31.0</v>
      </c>
      <c r="F104" s="2" t="s">
        <v>428</v>
      </c>
      <c r="G104" s="2" t="str">
        <f t="shared" si="4"/>
        <v>misma edad</v>
      </c>
      <c r="H104" s="2" t="str">
        <f t="shared" si="5"/>
        <v>mismo nombre</v>
      </c>
      <c r="I104" s="2" t="str">
        <f t="shared" si="6"/>
        <v>mismo colegio</v>
      </c>
      <c r="J104" s="2" t="b">
        <f t="shared" si="7"/>
        <v>0</v>
      </c>
      <c r="K104" s="2" t="str">
        <f>IFERROR(__xludf.DUMMYFUNCTION("TRIM(JOIN("" "",UNIQUE(TOCOL(ARRAYFORMULA(IF( SPLIT(C104,"" "")=TOCOL(SPLIT(C103,"" "")),SPLIT(C104,"" "")&amp;"" "",""""))))))"),"UGARTE REYNOSO ELIZABETH")</f>
        <v>UGARTE REYNOSO ELIZABETH</v>
      </c>
      <c r="L104" s="2" t="str">
        <f t="shared" si="1"/>
        <v/>
      </c>
      <c r="M104" s="2">
        <f t="shared" si="2"/>
        <v>100</v>
      </c>
      <c r="AY104" s="2" t="s">
        <v>914</v>
      </c>
    </row>
    <row r="105">
      <c r="A105" s="2">
        <f t="shared" si="3"/>
        <v>102</v>
      </c>
      <c r="B105" s="1" t="s">
        <v>668</v>
      </c>
      <c r="C105" s="2" t="s">
        <v>672</v>
      </c>
      <c r="D105" s="2" t="s">
        <v>193</v>
      </c>
      <c r="E105" s="2">
        <v>30.0</v>
      </c>
      <c r="F105" s="2" t="s">
        <v>194</v>
      </c>
      <c r="G105" s="2" t="str">
        <f t="shared" si="4"/>
        <v/>
      </c>
      <c r="H105" s="2" t="str">
        <f t="shared" si="5"/>
        <v/>
      </c>
      <c r="I105" s="2" t="str">
        <f t="shared" si="6"/>
        <v/>
      </c>
      <c r="J105" s="2" t="b">
        <f t="shared" si="7"/>
        <v>0</v>
      </c>
      <c r="K105" s="2" t="str">
        <f>IFERROR(__xludf.DUMMYFUNCTION("TRIM(JOIN("" "",UNIQUE(TOCOL(ARRAYFORMULA(IF( SPLIT(C105,"" "")=TOCOL(SPLIT(C104,"" "")),SPLIT(C105,"" "")&amp;"" "",""""))))))"),"UGARTE")</f>
        <v>UGARTE</v>
      </c>
      <c r="L105" s="2" t="str">
        <f t="shared" si="1"/>
        <v/>
      </c>
      <c r="M105" s="2">
        <f t="shared" si="2"/>
        <v>102</v>
      </c>
      <c r="AY105" s="2" t="s">
        <v>373</v>
      </c>
    </row>
    <row r="106">
      <c r="A106" s="2">
        <f t="shared" si="3"/>
        <v>103</v>
      </c>
      <c r="B106" s="1" t="s">
        <v>668</v>
      </c>
      <c r="C106" s="2" t="s">
        <v>672</v>
      </c>
      <c r="D106" s="2" t="s">
        <v>193</v>
      </c>
      <c r="E106" s="2">
        <v>30.0</v>
      </c>
      <c r="F106" s="2" t="s">
        <v>428</v>
      </c>
      <c r="G106" s="2" t="str">
        <f t="shared" si="4"/>
        <v>misma edad</v>
      </c>
      <c r="H106" s="2" t="str">
        <f t="shared" si="5"/>
        <v>mismo nombre</v>
      </c>
      <c r="I106" s="2" t="str">
        <f t="shared" si="6"/>
        <v>mismo colegio</v>
      </c>
      <c r="J106" s="2" t="b">
        <f t="shared" si="7"/>
        <v>0</v>
      </c>
      <c r="K106" s="2" t="str">
        <f>IFERROR(__xludf.DUMMYFUNCTION("TRIM(JOIN("" "",UNIQUE(TOCOL(ARRAYFORMULA(IF( SPLIT(C106,"" "")=TOCOL(SPLIT(C105,"" "")),SPLIT(C106,"" "")&amp;"" "",""""))))))"),"UGARTE GOMEZ YESICA")</f>
        <v>UGARTE GOMEZ YESICA</v>
      </c>
      <c r="L106" s="2" t="str">
        <f t="shared" si="1"/>
        <v/>
      </c>
      <c r="M106" s="2">
        <f t="shared" si="2"/>
        <v>102</v>
      </c>
      <c r="AY106" s="2" t="s">
        <v>270</v>
      </c>
    </row>
    <row r="107">
      <c r="A107" s="2">
        <f t="shared" si="3"/>
        <v>104</v>
      </c>
      <c r="B107" s="1" t="s">
        <v>693</v>
      </c>
      <c r="C107" s="2" t="s">
        <v>711</v>
      </c>
      <c r="D107" s="2" t="s">
        <v>250</v>
      </c>
      <c r="E107" s="2" t="s">
        <v>644</v>
      </c>
      <c r="F107" s="2" t="s">
        <v>194</v>
      </c>
      <c r="G107" s="2" t="str">
        <f t="shared" si="4"/>
        <v/>
      </c>
      <c r="H107" s="2" t="str">
        <f t="shared" si="5"/>
        <v/>
      </c>
      <c r="I107" s="2" t="str">
        <f t="shared" si="6"/>
        <v/>
      </c>
      <c r="J107" s="2" t="b">
        <f t="shared" si="7"/>
        <v>0</v>
      </c>
      <c r="K107" s="2" t="str">
        <f>IFERROR(__xludf.DUMMYFUNCTION("TRIM(JOIN("" "",UNIQUE(TOCOL(ARRAYFORMULA(IF( SPLIT(C107,"" "")=TOCOL(SPLIT(C106,"" "")),SPLIT(C107,"" "")&amp;"" "",""""))))))"),"UGARTE")</f>
        <v>UGARTE</v>
      </c>
      <c r="L107" s="2" t="str">
        <f t="shared" si="1"/>
        <v/>
      </c>
      <c r="M107" s="2">
        <f t="shared" si="2"/>
        <v>104</v>
      </c>
      <c r="AY107" s="2" t="s">
        <v>1035</v>
      </c>
    </row>
    <row r="108">
      <c r="A108" s="2">
        <f t="shared" si="3"/>
        <v>105</v>
      </c>
      <c r="B108" s="1" t="s">
        <v>693</v>
      </c>
      <c r="C108" s="2" t="s">
        <v>711</v>
      </c>
      <c r="D108" s="2" t="s">
        <v>193</v>
      </c>
      <c r="E108" s="2">
        <v>26.0</v>
      </c>
      <c r="F108" s="2" t="s">
        <v>428</v>
      </c>
      <c r="G108" s="2" t="str">
        <f t="shared" si="4"/>
        <v/>
      </c>
      <c r="H108" s="2" t="str">
        <f t="shared" si="5"/>
        <v>mismo nombre</v>
      </c>
      <c r="I108" s="2" t="str">
        <f t="shared" si="6"/>
        <v>mismo colegio</v>
      </c>
      <c r="J108" s="2" t="b">
        <f t="shared" si="7"/>
        <v>0</v>
      </c>
      <c r="K108" s="2" t="str">
        <f>IFERROR(__xludf.DUMMYFUNCTION("TRIM(JOIN("" "",UNIQUE(TOCOL(ARRAYFORMULA(IF( SPLIT(C108,"" "")=TOCOL(SPLIT(C107,"" "")),SPLIT(C108,"" "")&amp;"" "",""""))))))"),"UGARTE GOMERO ESTHER")</f>
        <v>UGARTE GOMERO ESTHER</v>
      </c>
      <c r="L108" s="2" t="str">
        <f t="shared" si="1"/>
        <v/>
      </c>
      <c r="M108" s="2">
        <f t="shared" si="2"/>
        <v>104</v>
      </c>
      <c r="AY108" s="2" t="s">
        <v>871</v>
      </c>
    </row>
    <row r="109">
      <c r="A109" s="2">
        <f t="shared" si="3"/>
        <v>106</v>
      </c>
      <c r="B109" s="1" t="s">
        <v>693</v>
      </c>
      <c r="C109" s="2" t="s">
        <v>1400</v>
      </c>
      <c r="D109" s="2" t="s">
        <v>193</v>
      </c>
      <c r="E109" s="2">
        <v>34.0</v>
      </c>
      <c r="F109" s="2" t="s">
        <v>428</v>
      </c>
      <c r="G109" s="2" t="str">
        <f t="shared" si="4"/>
        <v/>
      </c>
      <c r="H109" s="2" t="str">
        <f t="shared" si="5"/>
        <v/>
      </c>
      <c r="I109" s="2" t="str">
        <f t="shared" si="6"/>
        <v>mismo colegio</v>
      </c>
      <c r="J109" s="2" t="b">
        <f t="shared" si="7"/>
        <v>1</v>
      </c>
      <c r="K109" s="2" t="str">
        <f>IFERROR(__xludf.DUMMYFUNCTION("TRIM(JOIN("" "",UNIQUE(TOCOL(ARRAYFORMULA(IF( SPLIT(C109,"" "")=TOCOL(SPLIT(C108,"" "")),SPLIT(C109,"" "")&amp;"" "",""""))))))"),"UGARTE")</f>
        <v>UGARTE</v>
      </c>
      <c r="L109" s="2" t="str">
        <f t="shared" si="1"/>
        <v/>
      </c>
      <c r="M109" s="2">
        <f t="shared" si="2"/>
        <v>106</v>
      </c>
      <c r="AY109" s="2" t="s">
        <v>1258</v>
      </c>
    </row>
    <row r="110">
      <c r="A110" s="2">
        <f t="shared" si="3"/>
        <v>107</v>
      </c>
      <c r="B110" s="1" t="s">
        <v>719</v>
      </c>
      <c r="C110" s="2" t="s">
        <v>721</v>
      </c>
      <c r="D110" s="2" t="s">
        <v>193</v>
      </c>
      <c r="E110" s="2">
        <v>26.0</v>
      </c>
      <c r="F110" s="2" t="s">
        <v>194</v>
      </c>
      <c r="G110" s="2" t="str">
        <f t="shared" si="4"/>
        <v/>
      </c>
      <c r="H110" s="2" t="str">
        <f t="shared" si="5"/>
        <v/>
      </c>
      <c r="I110" s="2" t="str">
        <f t="shared" si="6"/>
        <v/>
      </c>
      <c r="J110" s="2" t="b">
        <f t="shared" si="7"/>
        <v>0</v>
      </c>
      <c r="K110" s="2" t="str">
        <f>IFERROR(__xludf.DUMMYFUNCTION("TRIM(JOIN("" "",UNIQUE(TOCOL(ARRAYFORMULA(IF( SPLIT(C110,"" "")=TOCOL(SPLIT(C109,"" "")),SPLIT(C110,"" "")&amp;"" "",""""))))))"),"")</f>
        <v/>
      </c>
      <c r="L110" s="2" t="str">
        <f t="shared" si="1"/>
        <v/>
      </c>
      <c r="M110" s="2">
        <f t="shared" si="2"/>
        <v>107</v>
      </c>
      <c r="AY110" s="2" t="s">
        <v>306</v>
      </c>
    </row>
    <row r="111">
      <c r="A111" s="2">
        <f t="shared" si="3"/>
        <v>108</v>
      </c>
      <c r="B111" s="1" t="s">
        <v>154</v>
      </c>
      <c r="C111" s="2" t="s">
        <v>519</v>
      </c>
      <c r="D111" s="2" t="s">
        <v>193</v>
      </c>
      <c r="E111" s="2">
        <v>28.0</v>
      </c>
      <c r="F111" s="2" t="s">
        <v>428</v>
      </c>
      <c r="G111" s="2" t="str">
        <f t="shared" si="4"/>
        <v/>
      </c>
      <c r="H111" s="2" t="str">
        <f t="shared" si="5"/>
        <v/>
      </c>
      <c r="I111" s="2" t="str">
        <f t="shared" si="6"/>
        <v/>
      </c>
      <c r="J111" s="2" t="b">
        <f t="shared" si="7"/>
        <v>0</v>
      </c>
      <c r="K111" s="2" t="str">
        <f>IFERROR(__xludf.DUMMYFUNCTION("TRIM(JOIN("" "",UNIQUE(TOCOL(ARRAYFORMULA(IF( SPLIT(C111,"" "")=TOCOL(SPLIT(C110,"" "")),SPLIT(C111,"" "")&amp;"" "",""""))))))"),"")</f>
        <v/>
      </c>
      <c r="L111" s="2" t="str">
        <f t="shared" si="1"/>
        <v/>
      </c>
      <c r="M111" s="2">
        <f t="shared" si="2"/>
        <v>108</v>
      </c>
      <c r="AY111" s="2" t="s">
        <v>412</v>
      </c>
    </row>
    <row r="112">
      <c r="A112" s="2">
        <f t="shared" si="3"/>
        <v>109</v>
      </c>
      <c r="B112" s="1" t="s">
        <v>634</v>
      </c>
      <c r="C112" s="2" t="s">
        <v>1486</v>
      </c>
      <c r="D112" s="2" t="s">
        <v>193</v>
      </c>
      <c r="E112" s="2">
        <v>26.0</v>
      </c>
      <c r="F112" s="2" t="s">
        <v>428</v>
      </c>
      <c r="G112" s="2" t="str">
        <f t="shared" si="4"/>
        <v/>
      </c>
      <c r="H112" s="2" t="str">
        <f t="shared" si="5"/>
        <v/>
      </c>
      <c r="I112" s="2" t="str">
        <f t="shared" si="6"/>
        <v/>
      </c>
      <c r="J112" s="2" t="b">
        <f t="shared" si="7"/>
        <v>1</v>
      </c>
      <c r="K112" s="2" t="str">
        <f>IFERROR(__xludf.DUMMYFUNCTION("TRIM(JOIN("" "",UNIQUE(TOCOL(ARRAYFORMULA(IF( SPLIT(C112,"" "")=TOCOL(SPLIT(C111,"" "")),SPLIT(C112,"" "")&amp;"" "",""""))))))"),"")</f>
        <v/>
      </c>
      <c r="L112" s="2" t="str">
        <f t="shared" si="1"/>
        <v/>
      </c>
      <c r="M112" s="2">
        <f t="shared" si="2"/>
        <v>109</v>
      </c>
      <c r="AY112" s="2" t="s">
        <v>883</v>
      </c>
    </row>
    <row r="113">
      <c r="A113" s="2">
        <f t="shared" si="3"/>
        <v>110</v>
      </c>
      <c r="B113" s="1" t="s">
        <v>693</v>
      </c>
      <c r="C113" s="2" t="s">
        <v>1385</v>
      </c>
      <c r="D113" s="2" t="s">
        <v>222</v>
      </c>
      <c r="E113" s="2">
        <v>29.0</v>
      </c>
      <c r="F113" s="2" t="s">
        <v>428</v>
      </c>
      <c r="G113" s="2" t="str">
        <f t="shared" si="4"/>
        <v/>
      </c>
      <c r="H113" s="2" t="str">
        <f t="shared" si="5"/>
        <v/>
      </c>
      <c r="I113" s="2" t="str">
        <f t="shared" si="6"/>
        <v/>
      </c>
      <c r="J113" s="2" t="b">
        <f t="shared" si="7"/>
        <v>1</v>
      </c>
      <c r="K113" s="2" t="str">
        <f>IFERROR(__xludf.DUMMYFUNCTION("TRIM(JOIN("" "",UNIQUE(TOCOL(ARRAYFORMULA(IF( SPLIT(C113,"" "")=TOCOL(SPLIT(C112,"" "")),SPLIT(C113,"" "")&amp;"" "",""""))))))"),"TOLENTINO")</f>
        <v>TOLENTINO</v>
      </c>
      <c r="L113" s="2" t="str">
        <f t="shared" si="1"/>
        <v/>
      </c>
      <c r="M113" s="2">
        <f t="shared" si="2"/>
        <v>110</v>
      </c>
      <c r="AY113" s="2" t="s">
        <v>264</v>
      </c>
    </row>
    <row r="114">
      <c r="A114" s="2">
        <f t="shared" si="3"/>
        <v>111</v>
      </c>
      <c r="B114" s="1" t="s">
        <v>595</v>
      </c>
      <c r="C114" s="2" t="s">
        <v>601</v>
      </c>
      <c r="D114" s="2" t="s">
        <v>222</v>
      </c>
      <c r="E114" s="2">
        <v>46.0</v>
      </c>
      <c r="F114" s="2" t="s">
        <v>194</v>
      </c>
      <c r="G114" s="2" t="str">
        <f t="shared" si="4"/>
        <v/>
      </c>
      <c r="H114" s="2" t="str">
        <f t="shared" si="5"/>
        <v/>
      </c>
      <c r="I114" s="2" t="str">
        <f t="shared" si="6"/>
        <v/>
      </c>
      <c r="J114" s="2" t="b">
        <f t="shared" si="7"/>
        <v>0</v>
      </c>
      <c r="K114" s="2" t="str">
        <f>IFERROR(__xludf.DUMMYFUNCTION("TRIM(JOIN("" "",UNIQUE(TOCOL(ARRAYFORMULA(IF( SPLIT(C114,"" "")=TOCOL(SPLIT(C113,"" "")),SPLIT(C114,"" "")&amp;"" "",""""))))))"),"")</f>
        <v/>
      </c>
      <c r="L114" s="2" t="str">
        <f t="shared" si="1"/>
        <v/>
      </c>
      <c r="M114" s="2">
        <f t="shared" si="2"/>
        <v>111</v>
      </c>
      <c r="AY114" s="2" t="s">
        <v>1132</v>
      </c>
    </row>
    <row r="115">
      <c r="A115" s="2">
        <f t="shared" si="3"/>
        <v>112</v>
      </c>
      <c r="B115" s="1" t="s">
        <v>626</v>
      </c>
      <c r="C115" s="2" t="s">
        <v>890</v>
      </c>
      <c r="D115" s="2" t="s">
        <v>193</v>
      </c>
      <c r="E115" s="2">
        <v>43.0</v>
      </c>
      <c r="F115" s="2" t="s">
        <v>194</v>
      </c>
      <c r="G115" s="2" t="str">
        <f t="shared" si="4"/>
        <v/>
      </c>
      <c r="H115" s="2" t="str">
        <f t="shared" si="5"/>
        <v/>
      </c>
      <c r="I115" s="2" t="str">
        <f t="shared" si="6"/>
        <v/>
      </c>
      <c r="J115" s="2" t="b">
        <f t="shared" si="7"/>
        <v>1</v>
      </c>
      <c r="K115" s="2" t="str">
        <f>IFERROR(__xludf.DUMMYFUNCTION("TRIM(JOIN("" "",UNIQUE(TOCOL(ARRAYFORMULA(IF( SPLIT(C115,"" "")=TOCOL(SPLIT(C114,"" "")),SPLIT(C115,"" "")&amp;"" "",""""))))))"),"TIPIANI")</f>
        <v>TIPIANI</v>
      </c>
      <c r="L115" s="2" t="str">
        <f t="shared" si="1"/>
        <v/>
      </c>
      <c r="M115" s="2">
        <f t="shared" si="2"/>
        <v>112</v>
      </c>
      <c r="AY115" s="2" t="s">
        <v>1084</v>
      </c>
    </row>
    <row r="116">
      <c r="A116" s="2">
        <f t="shared" si="3"/>
        <v>113</v>
      </c>
      <c r="B116" s="1" t="s">
        <v>626</v>
      </c>
      <c r="C116" s="2" t="s">
        <v>890</v>
      </c>
      <c r="D116" s="2" t="s">
        <v>193</v>
      </c>
      <c r="E116" s="2">
        <v>43.0</v>
      </c>
      <c r="F116" s="2" t="s">
        <v>428</v>
      </c>
      <c r="G116" s="2" t="str">
        <f t="shared" si="4"/>
        <v>misma edad</v>
      </c>
      <c r="H116" s="2" t="str">
        <f t="shared" si="5"/>
        <v>mismo nombre</v>
      </c>
      <c r="I116" s="2" t="str">
        <f t="shared" si="6"/>
        <v>mismo colegio</v>
      </c>
      <c r="J116" s="2" t="b">
        <f t="shared" si="7"/>
        <v>0</v>
      </c>
      <c r="K116" s="2" t="str">
        <f>IFERROR(__xludf.DUMMYFUNCTION("TRIM(JOIN("" "",UNIQUE(TOCOL(ARRAYFORMULA(IF( SPLIT(C116,"" "")=TOCOL(SPLIT(C115,"" "")),SPLIT(C116,"" "")&amp;"" "",""""))))))"),"TIPIANI BAZALAR KARLA ZULEYMA")</f>
        <v>TIPIANI BAZALAR KARLA ZULEYMA</v>
      </c>
      <c r="L116" s="2" t="str">
        <f t="shared" si="1"/>
        <v/>
      </c>
      <c r="M116" s="2">
        <f t="shared" si="2"/>
        <v>112</v>
      </c>
      <c r="AY116" s="2" t="s">
        <v>702</v>
      </c>
    </row>
    <row r="117">
      <c r="A117" s="2">
        <f t="shared" si="3"/>
        <v>114</v>
      </c>
      <c r="B117" s="1" t="s">
        <v>634</v>
      </c>
      <c r="C117" s="2" t="s">
        <v>646</v>
      </c>
      <c r="D117" s="2" t="s">
        <v>193</v>
      </c>
      <c r="E117" s="2">
        <v>35.0</v>
      </c>
      <c r="F117" s="2" t="s">
        <v>194</v>
      </c>
      <c r="G117" s="2" t="str">
        <f t="shared" si="4"/>
        <v/>
      </c>
      <c r="H117" s="2" t="str">
        <f t="shared" si="5"/>
        <v/>
      </c>
      <c r="I117" s="2" t="str">
        <f t="shared" si="6"/>
        <v/>
      </c>
      <c r="J117" s="2" t="b">
        <f t="shared" si="7"/>
        <v>0</v>
      </c>
      <c r="K117" s="2" t="str">
        <f>IFERROR(__xludf.DUMMYFUNCTION("TRIM(JOIN("" "",UNIQUE(TOCOL(ARRAYFORMULA(IF( SPLIT(C117,"" "")=TOCOL(SPLIT(C116,"" "")),SPLIT(C117,"" "")&amp;"" "",""""))))))"),"")</f>
        <v/>
      </c>
      <c r="L117" s="2" t="str">
        <f t="shared" si="1"/>
        <v/>
      </c>
      <c r="M117" s="2">
        <f t="shared" si="2"/>
        <v>114</v>
      </c>
      <c r="AY117" s="2" t="s">
        <v>1056</v>
      </c>
    </row>
    <row r="118">
      <c r="A118" s="2">
        <f t="shared" si="3"/>
        <v>115</v>
      </c>
      <c r="B118" s="1" t="s">
        <v>144</v>
      </c>
      <c r="C118" s="2" t="s">
        <v>555</v>
      </c>
      <c r="D118" s="2" t="s">
        <v>193</v>
      </c>
      <c r="E118" s="2">
        <v>50.0</v>
      </c>
      <c r="F118" s="2" t="s">
        <v>194</v>
      </c>
      <c r="G118" s="2" t="str">
        <f t="shared" si="4"/>
        <v/>
      </c>
      <c r="H118" s="2" t="str">
        <f t="shared" si="5"/>
        <v/>
      </c>
      <c r="I118" s="2" t="str">
        <f t="shared" si="6"/>
        <v/>
      </c>
      <c r="J118" s="2" t="b">
        <f t="shared" si="7"/>
        <v>1</v>
      </c>
      <c r="K118" s="2" t="str">
        <f>IFERROR(__xludf.DUMMYFUNCTION("TRIM(JOIN("" "",UNIQUE(TOCOL(ARRAYFORMULA(IF( SPLIT(C118,"" "")=TOCOL(SPLIT(C117,"" "")),SPLIT(C118,"" "")&amp;"" "",""""))))))"),"")</f>
        <v/>
      </c>
      <c r="L118" s="2" t="str">
        <f t="shared" si="1"/>
        <v/>
      </c>
      <c r="M118" s="2">
        <f t="shared" si="2"/>
        <v>115</v>
      </c>
      <c r="AY118" s="2" t="s">
        <v>867</v>
      </c>
    </row>
    <row r="119">
      <c r="A119" s="2">
        <f t="shared" si="3"/>
        <v>116</v>
      </c>
      <c r="B119" s="1" t="s">
        <v>226</v>
      </c>
      <c r="C119" s="2" t="s">
        <v>249</v>
      </c>
      <c r="D119" s="2" t="s">
        <v>250</v>
      </c>
      <c r="E119" s="2">
        <v>53.0</v>
      </c>
      <c r="F119" s="2" t="s">
        <v>194</v>
      </c>
      <c r="G119" s="2" t="str">
        <f t="shared" si="4"/>
        <v/>
      </c>
      <c r="H119" s="2" t="str">
        <f t="shared" si="5"/>
        <v/>
      </c>
      <c r="I119" s="2" t="str">
        <f t="shared" si="6"/>
        <v/>
      </c>
      <c r="J119" s="2" t="b">
        <f t="shared" si="7"/>
        <v>1</v>
      </c>
      <c r="K119" s="2" t="str">
        <f>IFERROR(__xludf.DUMMYFUNCTION("TRIM(JOIN("" "",UNIQUE(TOCOL(ARRAYFORMULA(IF( SPLIT(C119,"" "")=TOCOL(SPLIT(C118,"" "")),SPLIT(C119,"" "")&amp;"" "",""""))))))"),"")</f>
        <v/>
      </c>
      <c r="L119" s="2" t="str">
        <f t="shared" si="1"/>
        <v/>
      </c>
      <c r="M119" s="2">
        <f t="shared" si="2"/>
        <v>116</v>
      </c>
      <c r="AY119" s="2" t="s">
        <v>613</v>
      </c>
    </row>
    <row r="120">
      <c r="A120" s="2">
        <f t="shared" si="3"/>
        <v>117</v>
      </c>
      <c r="B120" s="1" t="s">
        <v>226</v>
      </c>
      <c r="C120" s="2" t="s">
        <v>249</v>
      </c>
      <c r="D120" s="2" t="s">
        <v>250</v>
      </c>
      <c r="E120" s="2">
        <v>53.0</v>
      </c>
      <c r="F120" s="2" t="s">
        <v>428</v>
      </c>
      <c r="G120" s="2" t="str">
        <f t="shared" si="4"/>
        <v>misma edad</v>
      </c>
      <c r="H120" s="2" t="str">
        <f t="shared" si="5"/>
        <v>mismo nombre</v>
      </c>
      <c r="I120" s="2" t="str">
        <f t="shared" si="6"/>
        <v>mismo colegio</v>
      </c>
      <c r="J120" s="2" t="b">
        <f t="shared" si="7"/>
        <v>0</v>
      </c>
      <c r="K120" s="2" t="str">
        <f>IFERROR(__xludf.DUMMYFUNCTION("TRIM(JOIN("" "",UNIQUE(TOCOL(ARRAYFORMULA(IF( SPLIT(C120,"" "")=TOCOL(SPLIT(C119,"" "")),SPLIT(C120,"" "")&amp;"" "",""""))))))"),"TEODORA ARAUJO SOLIS")</f>
        <v>TEODORA ARAUJO SOLIS</v>
      </c>
      <c r="L120" s="2" t="str">
        <f t="shared" si="1"/>
        <v/>
      </c>
      <c r="M120" s="2">
        <f t="shared" si="2"/>
        <v>116</v>
      </c>
      <c r="AY120" s="2" t="s">
        <v>1351</v>
      </c>
    </row>
    <row r="121">
      <c r="A121" s="2">
        <f t="shared" si="3"/>
        <v>118</v>
      </c>
      <c r="B121" s="1" t="s">
        <v>719</v>
      </c>
      <c r="C121" s="2" t="s">
        <v>739</v>
      </c>
      <c r="D121" s="2" t="s">
        <v>193</v>
      </c>
      <c r="E121" s="2">
        <v>21.0</v>
      </c>
      <c r="F121" s="2" t="s">
        <v>194</v>
      </c>
      <c r="G121" s="2" t="str">
        <f t="shared" si="4"/>
        <v/>
      </c>
      <c r="H121" s="2" t="str">
        <f t="shared" si="5"/>
        <v/>
      </c>
      <c r="I121" s="2" t="str">
        <f t="shared" si="6"/>
        <v/>
      </c>
      <c r="J121" s="2" t="b">
        <f t="shared" si="7"/>
        <v>0</v>
      </c>
      <c r="K121" s="2" t="str">
        <f>IFERROR(__xludf.DUMMYFUNCTION("TRIM(JOIN("" "",UNIQUE(TOCOL(ARRAYFORMULA(IF( SPLIT(C121,"" "")=TOCOL(SPLIT(C120,"" "")),SPLIT(C121,"" "")&amp;"" "",""""))))))"),"")</f>
        <v/>
      </c>
      <c r="L121" s="2" t="str">
        <f t="shared" si="1"/>
        <v/>
      </c>
      <c r="M121" s="2">
        <f t="shared" si="2"/>
        <v>118</v>
      </c>
      <c r="AY121" s="2" t="s">
        <v>1279</v>
      </c>
    </row>
    <row r="122">
      <c r="A122" s="2">
        <f t="shared" si="3"/>
        <v>119</v>
      </c>
      <c r="B122" s="1" t="s">
        <v>205</v>
      </c>
      <c r="C122" s="2" t="s">
        <v>1148</v>
      </c>
      <c r="D122" s="2" t="s">
        <v>193</v>
      </c>
      <c r="E122" s="2">
        <v>20.0</v>
      </c>
      <c r="F122" s="2" t="s">
        <v>428</v>
      </c>
      <c r="G122" s="2" t="str">
        <f t="shared" si="4"/>
        <v/>
      </c>
      <c r="H122" s="2" t="str">
        <f t="shared" si="5"/>
        <v/>
      </c>
      <c r="I122" s="2" t="str">
        <f t="shared" si="6"/>
        <v/>
      </c>
      <c r="J122" s="2" t="b">
        <f t="shared" si="7"/>
        <v>0</v>
      </c>
      <c r="K122" s="2" t="str">
        <f>IFERROR(__xludf.DUMMYFUNCTION("TRIM(JOIN("" "",UNIQUE(TOCOL(ARRAYFORMULA(IF( SPLIT(C122,"" "")=TOCOL(SPLIT(C121,"" "")),SPLIT(C122,"" "")&amp;"" "",""""))))))"),"")</f>
        <v/>
      </c>
      <c r="L122" s="2" t="str">
        <f t="shared" si="1"/>
        <v/>
      </c>
      <c r="M122" s="2">
        <f t="shared" si="2"/>
        <v>119</v>
      </c>
      <c r="AY122" s="2" t="s">
        <v>1092</v>
      </c>
    </row>
    <row r="123">
      <c r="A123" s="2">
        <f t="shared" si="3"/>
        <v>120</v>
      </c>
      <c r="B123" s="1" t="s">
        <v>928</v>
      </c>
      <c r="C123" s="2" t="s">
        <v>942</v>
      </c>
      <c r="D123" s="2" t="s">
        <v>193</v>
      </c>
      <c r="E123" s="2">
        <v>42.0</v>
      </c>
      <c r="F123" s="2" t="s">
        <v>194</v>
      </c>
      <c r="G123" s="2" t="str">
        <f t="shared" si="4"/>
        <v/>
      </c>
      <c r="H123" s="2" t="str">
        <f t="shared" si="5"/>
        <v/>
      </c>
      <c r="I123" s="2" t="str">
        <f t="shared" si="6"/>
        <v/>
      </c>
      <c r="J123" s="2" t="b">
        <f t="shared" si="7"/>
        <v>0</v>
      </c>
      <c r="K123" s="2" t="str">
        <f>IFERROR(__xludf.DUMMYFUNCTION("TRIM(JOIN("" "",UNIQUE(TOCOL(ARRAYFORMULA(IF( SPLIT(C123,"" "")=TOCOL(SPLIT(C122,"" "")),SPLIT(C123,"" "")&amp;"" "",""""))))))"),"")</f>
        <v/>
      </c>
      <c r="L123" s="2" t="str">
        <f t="shared" si="1"/>
        <v/>
      </c>
      <c r="M123" s="2">
        <f t="shared" si="2"/>
        <v>120</v>
      </c>
      <c r="AY123" s="2" t="s">
        <v>1061</v>
      </c>
    </row>
    <row r="124">
      <c r="A124" s="2">
        <f t="shared" si="3"/>
        <v>121</v>
      </c>
      <c r="B124" s="1" t="s">
        <v>323</v>
      </c>
      <c r="C124" s="2" t="s">
        <v>327</v>
      </c>
      <c r="D124" s="2" t="s">
        <v>193</v>
      </c>
      <c r="E124" s="2">
        <v>33.0</v>
      </c>
      <c r="F124" s="2" t="s">
        <v>194</v>
      </c>
      <c r="G124" s="2" t="str">
        <f t="shared" si="4"/>
        <v/>
      </c>
      <c r="H124" s="2" t="str">
        <f t="shared" si="5"/>
        <v/>
      </c>
      <c r="I124" s="2" t="str">
        <f t="shared" si="6"/>
        <v/>
      </c>
      <c r="J124" s="2" t="b">
        <f t="shared" si="7"/>
        <v>1</v>
      </c>
      <c r="K124" s="2" t="str">
        <f>IFERROR(__xludf.DUMMYFUNCTION("TRIM(JOIN("" "",UNIQUE(TOCOL(ARRAYFORMULA(IF( SPLIT(C124,"" "")=TOCOL(SPLIT(C123,"" "")),SPLIT(C124,"" "")&amp;"" "",""""))))))"),"SUSANA")</f>
        <v>SUSANA</v>
      </c>
      <c r="L124" s="2" t="str">
        <f t="shared" si="1"/>
        <v/>
      </c>
      <c r="M124" s="2">
        <f t="shared" si="2"/>
        <v>121</v>
      </c>
      <c r="AY124" s="2" t="s">
        <v>869</v>
      </c>
    </row>
    <row r="125">
      <c r="A125" s="2">
        <f t="shared" si="3"/>
        <v>122</v>
      </c>
      <c r="B125" s="1" t="s">
        <v>226</v>
      </c>
      <c r="C125" s="2" t="s">
        <v>1121</v>
      </c>
      <c r="D125" s="2" t="s">
        <v>222</v>
      </c>
      <c r="E125" s="2">
        <v>32.0</v>
      </c>
      <c r="F125" s="2" t="s">
        <v>428</v>
      </c>
      <c r="G125" s="2" t="str">
        <f t="shared" si="4"/>
        <v/>
      </c>
      <c r="H125" s="2" t="str">
        <f t="shared" si="5"/>
        <v/>
      </c>
      <c r="I125" s="2" t="str">
        <f t="shared" si="6"/>
        <v/>
      </c>
      <c r="J125" s="2" t="b">
        <f t="shared" si="7"/>
        <v>0</v>
      </c>
      <c r="K125" s="2" t="str">
        <f>IFERROR(__xludf.DUMMYFUNCTION("TRIM(JOIN("" "",UNIQUE(TOCOL(ARRAYFORMULA(IF( SPLIT(C125,"" "")=TOCOL(SPLIT(C124,"" "")),SPLIT(C125,"" "")&amp;"" "",""""))))))"),"")</f>
        <v/>
      </c>
      <c r="L125" s="2" t="str">
        <f t="shared" si="1"/>
        <v>-&gt;WITH THIS</v>
      </c>
      <c r="M125" s="2">
        <f t="shared" si="2"/>
        <v>122</v>
      </c>
      <c r="AY125" s="2" t="s">
        <v>330</v>
      </c>
    </row>
    <row r="126">
      <c r="A126" s="2">
        <f t="shared" si="3"/>
        <v>123</v>
      </c>
      <c r="B126" s="1" t="s">
        <v>226</v>
      </c>
      <c r="C126" s="2" t="s">
        <v>297</v>
      </c>
      <c r="D126" s="2" t="s">
        <v>193</v>
      </c>
      <c r="E126" s="2">
        <v>32.0</v>
      </c>
      <c r="F126" s="2" t="s">
        <v>194</v>
      </c>
      <c r="G126" s="2" t="str">
        <f t="shared" si="4"/>
        <v>misma edad</v>
      </c>
      <c r="H126" s="2" t="str">
        <f t="shared" si="5"/>
        <v/>
      </c>
      <c r="I126" s="2" t="str">
        <f t="shared" si="6"/>
        <v>mismo colegio</v>
      </c>
      <c r="J126" s="2" t="b">
        <f t="shared" si="7"/>
        <v>0</v>
      </c>
      <c r="K126" s="2" t="str">
        <f>IFERROR(__xludf.DUMMYFUNCTION("TRIM(JOIN("" "",UNIQUE(TOCOL(ARRAYFORMULA(IF( SPLIT(C126,"" "")=TOCOL(SPLIT(C125,"" "")),SPLIT(C126,"" "")&amp;"" "",""""))))))"),"SUSA GARAY FERNANDEZ")</f>
        <v>SUSA GARAY FERNANDEZ</v>
      </c>
      <c r="L126" s="2" t="str">
        <f t="shared" si="1"/>
        <v>EVALUAR</v>
      </c>
      <c r="M126" s="2">
        <f t="shared" si="2"/>
        <v>123</v>
      </c>
      <c r="AY126" s="2" t="s">
        <v>1325</v>
      </c>
    </row>
    <row r="127">
      <c r="A127" s="2">
        <f t="shared" si="3"/>
        <v>124</v>
      </c>
      <c r="B127" s="1" t="s">
        <v>457</v>
      </c>
      <c r="C127" s="2" t="s">
        <v>494</v>
      </c>
      <c r="D127" s="2" t="s">
        <v>193</v>
      </c>
      <c r="E127" s="2"/>
      <c r="F127" s="2" t="s">
        <v>428</v>
      </c>
      <c r="G127" s="2" t="str">
        <f t="shared" si="4"/>
        <v/>
      </c>
      <c r="H127" s="2" t="str">
        <f t="shared" si="5"/>
        <v/>
      </c>
      <c r="I127" s="2" t="str">
        <f t="shared" si="6"/>
        <v/>
      </c>
      <c r="J127" s="2" t="b">
        <f t="shared" si="7"/>
        <v>0</v>
      </c>
      <c r="K127" s="2" t="str">
        <f>IFERROR(__xludf.DUMMYFUNCTION("TRIM(JOIN("" "",UNIQUE(TOCOL(ARRAYFORMULA(IF( SPLIT(C127,"" "")=TOCOL(SPLIT(C126,"" "")),SPLIT(C127,"" "")&amp;"" "",""""))))))"),"")</f>
        <v/>
      </c>
      <c r="L127" s="2" t="str">
        <f t="shared" si="1"/>
        <v/>
      </c>
      <c r="M127" s="2">
        <f t="shared" si="2"/>
        <v>124</v>
      </c>
      <c r="AY127" s="2" t="s">
        <v>1135</v>
      </c>
    </row>
    <row r="128">
      <c r="A128" s="2">
        <f t="shared" si="3"/>
        <v>125</v>
      </c>
      <c r="B128" s="1" t="s">
        <v>190</v>
      </c>
      <c r="C128" s="2" t="s">
        <v>195</v>
      </c>
      <c r="D128" s="2" t="s">
        <v>193</v>
      </c>
      <c r="E128" s="2">
        <v>26.0</v>
      </c>
      <c r="F128" s="2" t="s">
        <v>194</v>
      </c>
      <c r="G128" s="2" t="str">
        <f t="shared" si="4"/>
        <v/>
      </c>
      <c r="H128" s="2" t="str">
        <f t="shared" si="5"/>
        <v/>
      </c>
      <c r="I128" s="2" t="str">
        <f t="shared" si="6"/>
        <v/>
      </c>
      <c r="J128" s="2" t="b">
        <f t="shared" si="7"/>
        <v>0</v>
      </c>
      <c r="K128" s="2" t="str">
        <f>IFERROR(__xludf.DUMMYFUNCTION("TRIM(JOIN("" "",UNIQUE(TOCOL(ARRAYFORMULA(IF( SPLIT(C128,"" "")=TOCOL(SPLIT(C127,"" "")),SPLIT(C128,"" "")&amp;"" "",""""))))))"),"")</f>
        <v/>
      </c>
      <c r="L128" s="2" t="str">
        <f t="shared" si="1"/>
        <v/>
      </c>
      <c r="M128" s="2">
        <f t="shared" si="2"/>
        <v>125</v>
      </c>
      <c r="AY128" s="2" t="s">
        <v>289</v>
      </c>
    </row>
    <row r="129">
      <c r="A129" s="2">
        <f t="shared" si="3"/>
        <v>126</v>
      </c>
      <c r="B129" s="1" t="s">
        <v>190</v>
      </c>
      <c r="C129" s="2" t="s">
        <v>195</v>
      </c>
      <c r="D129" s="2" t="s">
        <v>193</v>
      </c>
      <c r="E129" s="2">
        <v>26.0</v>
      </c>
      <c r="F129" s="2" t="s">
        <v>428</v>
      </c>
      <c r="G129" s="2" t="str">
        <f t="shared" si="4"/>
        <v>misma edad</v>
      </c>
      <c r="H129" s="2" t="str">
        <f t="shared" si="5"/>
        <v>mismo nombre</v>
      </c>
      <c r="I129" s="2" t="str">
        <f t="shared" si="6"/>
        <v>mismo colegio</v>
      </c>
      <c r="J129" s="2" t="b">
        <f t="shared" si="7"/>
        <v>0</v>
      </c>
      <c r="K129" s="2" t="str">
        <f>IFERROR(__xludf.DUMMYFUNCTION("TRIM(JOIN("" "",UNIQUE(TOCOL(ARRAYFORMULA(IF( SPLIT(C129,"" "")=TOCOL(SPLIT(C128,"" "")),SPLIT(C129,"" "")&amp;"" "",""""))))))"),"SONIA RIMAC BALABARCA")</f>
        <v>SONIA RIMAC BALABARCA</v>
      </c>
      <c r="L129" s="2" t="str">
        <f t="shared" si="1"/>
        <v/>
      </c>
      <c r="M129" s="2">
        <f t="shared" si="2"/>
        <v>125</v>
      </c>
      <c r="AY129" s="2" t="s">
        <v>1298</v>
      </c>
    </row>
    <row r="130">
      <c r="A130" s="2">
        <f t="shared" si="3"/>
        <v>127</v>
      </c>
      <c r="B130" s="1" t="s">
        <v>719</v>
      </c>
      <c r="C130" s="2" t="s">
        <v>731</v>
      </c>
      <c r="D130" s="2" t="s">
        <v>193</v>
      </c>
      <c r="E130" s="2">
        <v>26.0</v>
      </c>
      <c r="F130" s="2" t="s">
        <v>194</v>
      </c>
      <c r="G130" s="2" t="str">
        <f t="shared" si="4"/>
        <v>misma edad</v>
      </c>
      <c r="H130" s="2" t="str">
        <f t="shared" si="5"/>
        <v/>
      </c>
      <c r="I130" s="2" t="str">
        <f t="shared" si="6"/>
        <v/>
      </c>
      <c r="J130" s="2" t="b">
        <f t="shared" si="7"/>
        <v>0</v>
      </c>
      <c r="K130" s="2" t="str">
        <f>IFERROR(__xludf.DUMMYFUNCTION("TRIM(JOIN("" "",UNIQUE(TOCOL(ARRAYFORMULA(IF( SPLIT(C130,"" "")=TOCOL(SPLIT(C129,"" "")),SPLIT(C130,"" "")&amp;"" "",""""))))))"),"")</f>
        <v/>
      </c>
      <c r="L130" s="2" t="str">
        <f t="shared" si="1"/>
        <v/>
      </c>
      <c r="M130" s="2">
        <f t="shared" si="2"/>
        <v>127</v>
      </c>
      <c r="AY130" s="2" t="s">
        <v>1383</v>
      </c>
    </row>
    <row r="131">
      <c r="A131" s="2">
        <f t="shared" si="3"/>
        <v>128</v>
      </c>
      <c r="B131" s="1" t="s">
        <v>719</v>
      </c>
      <c r="C131" s="2" t="s">
        <v>731</v>
      </c>
      <c r="D131" s="2" t="s">
        <v>193</v>
      </c>
      <c r="E131" s="40"/>
      <c r="F131" s="2" t="s">
        <v>428</v>
      </c>
      <c r="G131" s="2" t="str">
        <f t="shared" si="4"/>
        <v/>
      </c>
      <c r="H131" s="2" t="str">
        <f t="shared" si="5"/>
        <v>mismo nombre</v>
      </c>
      <c r="I131" s="2" t="str">
        <f t="shared" si="6"/>
        <v>mismo colegio</v>
      </c>
      <c r="J131" s="2" t="b">
        <f t="shared" si="7"/>
        <v>0</v>
      </c>
      <c r="K131" s="2" t="str">
        <f>IFERROR(__xludf.DUMMYFUNCTION("TRIM(JOIN("" "",UNIQUE(TOCOL(ARRAYFORMULA(IF( SPLIT(C131,"" "")=TOCOL(SPLIT(C130,"" "")),SPLIT(C131,"" "")&amp;"" "",""""))))))"),"SOLORZANO MALLQUI ERICKA")</f>
        <v>SOLORZANO MALLQUI ERICKA</v>
      </c>
      <c r="L131" s="2" t="str">
        <f t="shared" si="1"/>
        <v/>
      </c>
      <c r="M131" s="2">
        <f t="shared" si="2"/>
        <v>127</v>
      </c>
      <c r="AY131" s="2" t="s">
        <v>486</v>
      </c>
    </row>
    <row r="132">
      <c r="A132" s="2">
        <f t="shared" si="3"/>
        <v>129</v>
      </c>
      <c r="B132" s="1" t="s">
        <v>205</v>
      </c>
      <c r="C132" s="2" t="s">
        <v>369</v>
      </c>
      <c r="D132" s="2" t="s">
        <v>250</v>
      </c>
      <c r="E132" s="2">
        <v>88.0</v>
      </c>
      <c r="F132" s="2" t="s">
        <v>194</v>
      </c>
      <c r="G132" s="2" t="str">
        <f t="shared" si="4"/>
        <v/>
      </c>
      <c r="H132" s="2" t="str">
        <f t="shared" si="5"/>
        <v/>
      </c>
      <c r="I132" s="2" t="str">
        <f t="shared" si="6"/>
        <v/>
      </c>
      <c r="J132" s="2" t="b">
        <f t="shared" si="7"/>
        <v>0</v>
      </c>
      <c r="K132" s="2" t="str">
        <f>IFERROR(__xludf.DUMMYFUNCTION("TRIM(JOIN("" "",UNIQUE(TOCOL(ARRAYFORMULA(IF( SPLIT(C132,"" "")=TOCOL(SPLIT(C131,"" "")),SPLIT(C132,"" "")&amp;"" "",""""))))))"),"")</f>
        <v/>
      </c>
      <c r="L132" s="2" t="str">
        <f t="shared" si="1"/>
        <v/>
      </c>
      <c r="M132" s="2">
        <f t="shared" si="2"/>
        <v>129</v>
      </c>
      <c r="AY132" s="2" t="s">
        <v>1080</v>
      </c>
    </row>
    <row r="133">
      <c r="A133" s="2">
        <f t="shared" si="3"/>
        <v>130</v>
      </c>
      <c r="B133" s="1" t="s">
        <v>595</v>
      </c>
      <c r="C133" s="2" t="s">
        <v>597</v>
      </c>
      <c r="D133" s="2" t="s">
        <v>193</v>
      </c>
      <c r="E133" s="2">
        <v>27.0</v>
      </c>
      <c r="F133" s="2" t="s">
        <v>194</v>
      </c>
      <c r="G133" s="2" t="str">
        <f t="shared" si="4"/>
        <v/>
      </c>
      <c r="H133" s="2" t="str">
        <f t="shared" si="5"/>
        <v/>
      </c>
      <c r="I133" s="2" t="str">
        <f t="shared" si="6"/>
        <v/>
      </c>
      <c r="J133" s="2" t="b">
        <f t="shared" si="7"/>
        <v>1</v>
      </c>
      <c r="K133" s="2" t="str">
        <f>IFERROR(__xludf.DUMMYFUNCTION("TRIM(JOIN("" "",UNIQUE(TOCOL(ARRAYFORMULA(IF( SPLIT(C133,"" "")=TOCOL(SPLIT(C132,"" "")),SPLIT(C133,"" "")&amp;"" "",""""))))))"),"SOLIS")</f>
        <v>SOLIS</v>
      </c>
      <c r="L133" s="2" t="str">
        <f t="shared" si="1"/>
        <v/>
      </c>
      <c r="M133" s="2">
        <f t="shared" si="2"/>
        <v>130</v>
      </c>
      <c r="AY133" s="2" t="s">
        <v>1232</v>
      </c>
    </row>
    <row r="134">
      <c r="A134" s="2">
        <f t="shared" si="3"/>
        <v>131</v>
      </c>
      <c r="B134" s="1" t="s">
        <v>954</v>
      </c>
      <c r="C134" s="2" t="s">
        <v>966</v>
      </c>
      <c r="D134" s="2" t="s">
        <v>193</v>
      </c>
      <c r="E134" s="2">
        <v>19.0</v>
      </c>
      <c r="F134" s="2" t="s">
        <v>194</v>
      </c>
      <c r="G134" s="2" t="str">
        <f t="shared" si="4"/>
        <v/>
      </c>
      <c r="H134" s="2" t="str">
        <f t="shared" si="5"/>
        <v/>
      </c>
      <c r="I134" s="2" t="str">
        <f t="shared" si="6"/>
        <v/>
      </c>
      <c r="J134" s="2" t="b">
        <f t="shared" si="7"/>
        <v>1</v>
      </c>
      <c r="K134" s="2" t="str">
        <f>IFERROR(__xludf.DUMMYFUNCTION("TRIM(JOIN("" "",UNIQUE(TOCOL(ARRAYFORMULA(IF( SPLIT(C134,"" "")=TOCOL(SPLIT(C133,"" "")),SPLIT(C134,"" "")&amp;"" "",""""))))))"),"")</f>
        <v/>
      </c>
      <c r="L134" s="2" t="str">
        <f t="shared" si="1"/>
        <v/>
      </c>
      <c r="M134" s="2">
        <f t="shared" si="2"/>
        <v>131</v>
      </c>
      <c r="AY134" s="2" t="s">
        <v>1172</v>
      </c>
    </row>
    <row r="135">
      <c r="A135" s="2">
        <f t="shared" si="3"/>
        <v>132</v>
      </c>
      <c r="B135" s="1" t="s">
        <v>954</v>
      </c>
      <c r="C135" s="2" t="s">
        <v>966</v>
      </c>
      <c r="D135" s="2" t="s">
        <v>193</v>
      </c>
      <c r="E135" s="2">
        <v>20.0</v>
      </c>
      <c r="F135" s="2" t="s">
        <v>428</v>
      </c>
      <c r="G135" s="2" t="str">
        <f t="shared" si="4"/>
        <v/>
      </c>
      <c r="H135" s="2" t="str">
        <f t="shared" si="5"/>
        <v>mismo nombre</v>
      </c>
      <c r="I135" s="2" t="str">
        <f t="shared" si="6"/>
        <v>mismo colegio</v>
      </c>
      <c r="J135" s="2" t="b">
        <f t="shared" si="7"/>
        <v>0</v>
      </c>
      <c r="K135" s="2" t="str">
        <f>IFERROR(__xludf.DUMMYFUNCTION("TRIM(JOIN("" "",UNIQUE(TOCOL(ARRAYFORMULA(IF( SPLIT(C135,"" "")=TOCOL(SPLIT(C134,"" "")),SPLIT(C135,"" "")&amp;"" "",""""))))))"),"SOLEDAD DE PAZ GONZALES")</f>
        <v>SOLEDAD DE PAZ GONZALES</v>
      </c>
      <c r="L135" s="2" t="str">
        <f t="shared" si="1"/>
        <v/>
      </c>
      <c r="M135" s="2">
        <f t="shared" si="2"/>
        <v>131</v>
      </c>
      <c r="AY135" s="2" t="s">
        <v>1237</v>
      </c>
    </row>
    <row r="136">
      <c r="A136" s="2">
        <f t="shared" si="3"/>
        <v>133</v>
      </c>
      <c r="B136" s="1" t="s">
        <v>830</v>
      </c>
      <c r="C136" s="2" t="s">
        <v>848</v>
      </c>
      <c r="D136" s="2" t="s">
        <v>193</v>
      </c>
      <c r="E136" s="2"/>
      <c r="F136" s="2" t="s">
        <v>194</v>
      </c>
      <c r="G136" s="2" t="str">
        <f t="shared" si="4"/>
        <v/>
      </c>
      <c r="H136" s="2" t="str">
        <f t="shared" si="5"/>
        <v/>
      </c>
      <c r="I136" s="2" t="str">
        <f t="shared" si="6"/>
        <v/>
      </c>
      <c r="J136" s="2" t="b">
        <f t="shared" si="7"/>
        <v>0</v>
      </c>
      <c r="K136" s="2" t="str">
        <f>IFERROR(__xludf.DUMMYFUNCTION("TRIM(JOIN("" "",UNIQUE(TOCOL(ARRAYFORMULA(IF( SPLIT(C136,"" "")=TOCOL(SPLIT(C135,"" "")),SPLIT(C136,"" "")&amp;"" "",""""))))))"),"")</f>
        <v/>
      </c>
      <c r="L136" s="2" t="str">
        <f t="shared" si="1"/>
        <v/>
      </c>
      <c r="M136" s="2">
        <f t="shared" si="2"/>
        <v>133</v>
      </c>
      <c r="AY136" s="2" t="s">
        <v>1009</v>
      </c>
    </row>
    <row r="137">
      <c r="A137" s="2">
        <f t="shared" si="3"/>
        <v>134</v>
      </c>
      <c r="B137" s="1" t="s">
        <v>830</v>
      </c>
      <c r="C137" s="2" t="s">
        <v>848</v>
      </c>
      <c r="D137" s="2" t="s">
        <v>193</v>
      </c>
      <c r="E137" s="2">
        <v>36.0</v>
      </c>
      <c r="F137" s="2" t="s">
        <v>428</v>
      </c>
      <c r="G137" s="2" t="str">
        <f t="shared" si="4"/>
        <v/>
      </c>
      <c r="H137" s="2" t="str">
        <f t="shared" si="5"/>
        <v>mismo nombre</v>
      </c>
      <c r="I137" s="2" t="str">
        <f t="shared" si="6"/>
        <v>mismo colegio</v>
      </c>
      <c r="J137" s="2" t="b">
        <f t="shared" si="7"/>
        <v>0</v>
      </c>
      <c r="K137" s="2" t="str">
        <f>IFERROR(__xludf.DUMMYFUNCTION("TRIM(JOIN("" "",UNIQUE(TOCOL(ARRAYFORMULA(IF( SPLIT(C137,"" "")=TOCOL(SPLIT(C136,"" "")),SPLIT(C137,"" "")&amp;"" "",""""))))))"),"SOLANO CHINCHAY, MERCEDES YULIANA")</f>
        <v>SOLANO CHINCHAY, MERCEDES YULIANA</v>
      </c>
      <c r="L137" s="2" t="str">
        <f t="shared" si="1"/>
        <v/>
      </c>
      <c r="M137" s="2">
        <f t="shared" si="2"/>
        <v>133</v>
      </c>
      <c r="AY137" s="2" t="s">
        <v>1123</v>
      </c>
    </row>
    <row r="138">
      <c r="A138" s="2">
        <f t="shared" si="3"/>
        <v>135</v>
      </c>
      <c r="B138" s="1" t="s">
        <v>323</v>
      </c>
      <c r="C138" s="2" t="s">
        <v>331</v>
      </c>
      <c r="D138" s="2" t="s">
        <v>193</v>
      </c>
      <c r="E138" s="2">
        <v>38.0</v>
      </c>
      <c r="F138" s="2" t="s">
        <v>194</v>
      </c>
      <c r="G138" s="2" t="str">
        <f t="shared" si="4"/>
        <v/>
      </c>
      <c r="H138" s="2" t="str">
        <f t="shared" si="5"/>
        <v/>
      </c>
      <c r="I138" s="2" t="str">
        <f t="shared" si="6"/>
        <v/>
      </c>
      <c r="J138" s="2" t="b">
        <f t="shared" si="7"/>
        <v>0</v>
      </c>
      <c r="K138" s="2" t="str">
        <f>IFERROR(__xludf.DUMMYFUNCTION("TRIM(JOIN("" "",UNIQUE(TOCOL(ARRAYFORMULA(IF( SPLIT(C138,"" "")=TOCOL(SPLIT(C137,"" "")),SPLIT(C138,"" "")&amp;"" "",""""))))))"),"")</f>
        <v/>
      </c>
      <c r="L138" s="2" t="str">
        <f t="shared" si="1"/>
        <v/>
      </c>
      <c r="M138" s="2">
        <f t="shared" si="2"/>
        <v>135</v>
      </c>
      <c r="AY138" s="2" t="s">
        <v>336</v>
      </c>
    </row>
    <row r="139">
      <c r="A139" s="2">
        <f t="shared" si="3"/>
        <v>136</v>
      </c>
      <c r="B139" s="1" t="s">
        <v>693</v>
      </c>
      <c r="C139" s="2" t="s">
        <v>709</v>
      </c>
      <c r="D139" s="2" t="s">
        <v>193</v>
      </c>
      <c r="E139" s="2">
        <v>34.0</v>
      </c>
      <c r="F139" s="2" t="s">
        <v>194</v>
      </c>
      <c r="G139" s="2" t="str">
        <f t="shared" si="4"/>
        <v/>
      </c>
      <c r="H139" s="2" t="str">
        <f t="shared" si="5"/>
        <v/>
      </c>
      <c r="I139" s="2" t="str">
        <f t="shared" si="6"/>
        <v/>
      </c>
      <c r="J139" s="2" t="b">
        <f t="shared" si="7"/>
        <v>1</v>
      </c>
      <c r="K139" s="2" t="str">
        <f>IFERROR(__xludf.DUMMYFUNCTION("TRIM(JOIN("" "",UNIQUE(TOCOL(ARRAYFORMULA(IF( SPLIT(C139,"" "")=TOCOL(SPLIT(C138,"" "")),SPLIT(C139,"" "")&amp;"" "",""""))))))"),"")</f>
        <v/>
      </c>
      <c r="L139" s="2" t="str">
        <f t="shared" si="1"/>
        <v/>
      </c>
      <c r="M139" s="2">
        <f t="shared" si="2"/>
        <v>136</v>
      </c>
      <c r="AY139" s="2" t="s">
        <v>1235</v>
      </c>
    </row>
    <row r="140">
      <c r="A140" s="2">
        <f t="shared" si="3"/>
        <v>137</v>
      </c>
      <c r="B140" s="1" t="s">
        <v>226</v>
      </c>
      <c r="C140" s="2" t="s">
        <v>285</v>
      </c>
      <c r="D140" s="2" t="s">
        <v>193</v>
      </c>
      <c r="E140" s="2">
        <v>23.0</v>
      </c>
      <c r="F140" s="2" t="s">
        <v>194</v>
      </c>
      <c r="G140" s="2" t="str">
        <f t="shared" si="4"/>
        <v/>
      </c>
      <c r="H140" s="2" t="str">
        <f t="shared" si="5"/>
        <v/>
      </c>
      <c r="I140" s="2" t="str">
        <f t="shared" si="6"/>
        <v/>
      </c>
      <c r="J140" s="2" t="b">
        <f t="shared" si="7"/>
        <v>1</v>
      </c>
      <c r="K140" s="2" t="str">
        <f>IFERROR(__xludf.DUMMYFUNCTION("TRIM(JOIN("" "",UNIQUE(TOCOL(ARRAYFORMULA(IF( SPLIT(C140,"" "")=TOCOL(SPLIT(C139,"" "")),SPLIT(C140,"" "")&amp;"" "",""""))))))"),"")</f>
        <v/>
      </c>
      <c r="L140" s="2" t="str">
        <f t="shared" si="1"/>
        <v/>
      </c>
      <c r="M140" s="2">
        <f t="shared" si="2"/>
        <v>137</v>
      </c>
      <c r="AY140" s="2" t="s">
        <v>425</v>
      </c>
    </row>
    <row r="141">
      <c r="A141" s="2">
        <f t="shared" si="3"/>
        <v>138</v>
      </c>
      <c r="B141" s="1" t="s">
        <v>226</v>
      </c>
      <c r="C141" s="2" t="s">
        <v>285</v>
      </c>
      <c r="D141" s="2" t="s">
        <v>193</v>
      </c>
      <c r="E141" s="2">
        <v>23.0</v>
      </c>
      <c r="F141" s="2" t="s">
        <v>428</v>
      </c>
      <c r="G141" s="2" t="str">
        <f t="shared" si="4"/>
        <v>misma edad</v>
      </c>
      <c r="H141" s="2" t="str">
        <f t="shared" si="5"/>
        <v>mismo nombre</v>
      </c>
      <c r="I141" s="2" t="str">
        <f t="shared" si="6"/>
        <v>mismo colegio</v>
      </c>
      <c r="J141" s="2" t="b">
        <f t="shared" si="7"/>
        <v>0</v>
      </c>
      <c r="K141" s="2" t="str">
        <f>IFERROR(__xludf.DUMMYFUNCTION("TRIM(JOIN("" "",UNIQUE(TOCOL(ARRAYFORMULA(IF( SPLIT(C141,"" "")=TOCOL(SPLIT(C140,"" "")),SPLIT(C141,"" "")&amp;"" "",""""))))))"),"SARITA GARAY ESPINOZA")</f>
        <v>SARITA GARAY ESPINOZA</v>
      </c>
      <c r="L141" s="2" t="str">
        <f t="shared" si="1"/>
        <v/>
      </c>
      <c r="M141" s="2">
        <f t="shared" si="2"/>
        <v>137</v>
      </c>
      <c r="AY141" s="2" t="s">
        <v>579</v>
      </c>
    </row>
    <row r="142">
      <c r="A142" s="2">
        <f t="shared" si="3"/>
        <v>139</v>
      </c>
      <c r="B142" s="1" t="s">
        <v>226</v>
      </c>
      <c r="C142" s="2" t="s">
        <v>233</v>
      </c>
      <c r="D142" s="2" t="s">
        <v>193</v>
      </c>
      <c r="E142" s="2">
        <v>35.0</v>
      </c>
      <c r="F142" s="2" t="s">
        <v>194</v>
      </c>
      <c r="G142" s="2" t="str">
        <f t="shared" si="4"/>
        <v/>
      </c>
      <c r="H142" s="2" t="str">
        <f t="shared" si="5"/>
        <v/>
      </c>
      <c r="I142" s="2" t="str">
        <f t="shared" si="6"/>
        <v>mismo colegio</v>
      </c>
      <c r="J142" s="2" t="b">
        <f t="shared" si="7"/>
        <v>0</v>
      </c>
      <c r="K142" s="2" t="str">
        <f>IFERROR(__xludf.DUMMYFUNCTION("TRIM(JOIN("" "",UNIQUE(TOCOL(ARRAYFORMULA(IF( SPLIT(C142,"" "")=TOCOL(SPLIT(C141,"" "")),SPLIT(C142,"" "")&amp;"" "",""""))))))"),"")</f>
        <v/>
      </c>
      <c r="L142" s="2" t="str">
        <f t="shared" si="1"/>
        <v/>
      </c>
      <c r="M142" s="2">
        <f t="shared" si="2"/>
        <v>139</v>
      </c>
      <c r="AY142" s="2" t="s">
        <v>1191</v>
      </c>
    </row>
    <row r="143">
      <c r="A143" s="2">
        <f t="shared" si="3"/>
        <v>140</v>
      </c>
      <c r="B143" s="1" t="s">
        <v>668</v>
      </c>
      <c r="C143" s="2" t="s">
        <v>686</v>
      </c>
      <c r="D143" s="2" t="s">
        <v>193</v>
      </c>
      <c r="E143" s="2">
        <v>31.0</v>
      </c>
      <c r="F143" s="2" t="s">
        <v>194</v>
      </c>
      <c r="G143" s="2" t="str">
        <f t="shared" si="4"/>
        <v/>
      </c>
      <c r="H143" s="2" t="str">
        <f t="shared" si="5"/>
        <v/>
      </c>
      <c r="I143" s="2" t="str">
        <f t="shared" si="6"/>
        <v/>
      </c>
      <c r="J143" s="2" t="b">
        <f t="shared" si="7"/>
        <v>1</v>
      </c>
      <c r="K143" s="2" t="str">
        <f>IFERROR(__xludf.DUMMYFUNCTION("TRIM(JOIN("" "",UNIQUE(TOCOL(ARRAYFORMULA(IF( SPLIT(C143,"" "")=TOCOL(SPLIT(C142,"" "")),SPLIT(C143,"" "")&amp;"" "",""""))))))"),"")</f>
        <v/>
      </c>
      <c r="L143" s="2" t="str">
        <f t="shared" si="1"/>
        <v/>
      </c>
      <c r="M143" s="2">
        <f t="shared" si="2"/>
        <v>140</v>
      </c>
      <c r="AY143" s="2" t="s">
        <v>1103</v>
      </c>
    </row>
    <row r="144">
      <c r="A144" s="2">
        <f t="shared" si="3"/>
        <v>141</v>
      </c>
      <c r="B144" s="1" t="s">
        <v>668</v>
      </c>
      <c r="C144" s="2" t="s">
        <v>686</v>
      </c>
      <c r="D144" s="2" t="s">
        <v>193</v>
      </c>
      <c r="E144" s="2">
        <v>32.0</v>
      </c>
      <c r="F144" s="2" t="s">
        <v>428</v>
      </c>
      <c r="G144" s="2" t="str">
        <f t="shared" si="4"/>
        <v/>
      </c>
      <c r="H144" s="2" t="str">
        <f t="shared" si="5"/>
        <v>mismo nombre</v>
      </c>
      <c r="I144" s="2" t="str">
        <f t="shared" si="6"/>
        <v>mismo colegio</v>
      </c>
      <c r="J144" s="2" t="b">
        <f t="shared" si="7"/>
        <v>0</v>
      </c>
      <c r="K144" s="2" t="str">
        <f>IFERROR(__xludf.DUMMYFUNCTION("TRIM(JOIN("" "",UNIQUE(TOCOL(ARRAYFORMULA(IF( SPLIT(C144,"" "")=TOCOL(SPLIT(C143,"" "")),SPLIT(C144,"" "")&amp;"" "",""""))))))"),"SANTILLAN RIMAC JUSTINA")</f>
        <v>SANTILLAN RIMAC JUSTINA</v>
      </c>
      <c r="L144" s="2" t="str">
        <f t="shared" si="1"/>
        <v/>
      </c>
      <c r="M144" s="2">
        <f t="shared" si="2"/>
        <v>140</v>
      </c>
      <c r="AY144" s="2" t="s">
        <v>947</v>
      </c>
    </row>
    <row r="145">
      <c r="A145" s="2">
        <f t="shared" si="3"/>
        <v>142</v>
      </c>
      <c r="B145" s="1" t="s">
        <v>693</v>
      </c>
      <c r="C145" s="2" t="s">
        <v>1376</v>
      </c>
      <c r="D145" s="2" t="s">
        <v>193</v>
      </c>
      <c r="E145" s="2">
        <v>37.0</v>
      </c>
      <c r="F145" s="2" t="s">
        <v>428</v>
      </c>
      <c r="G145" s="2" t="str">
        <f t="shared" si="4"/>
        <v/>
      </c>
      <c r="H145" s="2" t="str">
        <f t="shared" si="5"/>
        <v/>
      </c>
      <c r="I145" s="2" t="str">
        <f t="shared" si="6"/>
        <v/>
      </c>
      <c r="J145" s="2" t="b">
        <f t="shared" si="7"/>
        <v>1</v>
      </c>
      <c r="K145" s="2" t="str">
        <f>IFERROR(__xludf.DUMMYFUNCTION("TRIM(JOIN("" "",UNIQUE(TOCOL(ARRAYFORMULA(IF( SPLIT(C145,"" "")=TOCOL(SPLIT(C144,"" "")),SPLIT(C145,"" "")&amp;"" "",""""))))))"),"")</f>
        <v/>
      </c>
      <c r="L145" s="2" t="str">
        <f t="shared" si="1"/>
        <v/>
      </c>
      <c r="M145" s="2">
        <f t="shared" si="2"/>
        <v>142</v>
      </c>
      <c r="AY145" s="2" t="s">
        <v>1307</v>
      </c>
    </row>
    <row r="146">
      <c r="A146" s="2">
        <f t="shared" si="3"/>
        <v>143</v>
      </c>
      <c r="B146" s="1" t="s">
        <v>693</v>
      </c>
      <c r="C146" s="2" t="s">
        <v>1398</v>
      </c>
      <c r="D146" s="2" t="s">
        <v>193</v>
      </c>
      <c r="E146" s="2">
        <v>22.0</v>
      </c>
      <c r="F146" s="2" t="s">
        <v>428</v>
      </c>
      <c r="G146" s="2" t="str">
        <f t="shared" si="4"/>
        <v/>
      </c>
      <c r="H146" s="2" t="str">
        <f t="shared" si="5"/>
        <v/>
      </c>
      <c r="I146" s="2" t="str">
        <f t="shared" si="6"/>
        <v>mismo colegio</v>
      </c>
      <c r="J146" s="2" t="b">
        <f t="shared" si="7"/>
        <v>1</v>
      </c>
      <c r="K146" s="2" t="str">
        <f>IFERROR(__xludf.DUMMYFUNCTION("TRIM(JOIN("" "",UNIQUE(TOCOL(ARRAYFORMULA(IF( SPLIT(C146,"" "")=TOCOL(SPLIT(C145,"" "")),SPLIT(C146,"" "")&amp;"" "",""""))))))"),"")</f>
        <v/>
      </c>
      <c r="L146" s="2" t="str">
        <f t="shared" si="1"/>
        <v/>
      </c>
      <c r="M146" s="2">
        <f t="shared" si="2"/>
        <v>143</v>
      </c>
      <c r="AY146" s="2" t="s">
        <v>891</v>
      </c>
    </row>
    <row r="147">
      <c r="A147" s="2">
        <f t="shared" si="3"/>
        <v>144</v>
      </c>
      <c r="B147" s="1" t="s">
        <v>69</v>
      </c>
      <c r="C147" s="2" t="s">
        <v>388</v>
      </c>
      <c r="D147" s="2" t="s">
        <v>193</v>
      </c>
      <c r="E147" s="2">
        <v>27.0</v>
      </c>
      <c r="F147" s="2" t="s">
        <v>194</v>
      </c>
      <c r="G147" s="2" t="str">
        <f t="shared" si="4"/>
        <v/>
      </c>
      <c r="H147" s="2" t="str">
        <f t="shared" si="5"/>
        <v/>
      </c>
      <c r="I147" s="2" t="str">
        <f t="shared" si="6"/>
        <v/>
      </c>
      <c r="J147" s="2" t="b">
        <f t="shared" si="7"/>
        <v>0</v>
      </c>
      <c r="K147" s="2" t="str">
        <f>IFERROR(__xludf.DUMMYFUNCTION("TRIM(JOIN("" "",UNIQUE(TOCOL(ARRAYFORMULA(IF( SPLIT(C147,"" "")=TOCOL(SPLIT(C146,"" "")),SPLIT(C147,"" "")&amp;"" "",""""))))))"),"")</f>
        <v/>
      </c>
      <c r="L147" s="2" t="str">
        <f t="shared" si="1"/>
        <v/>
      </c>
      <c r="M147" s="2">
        <f t="shared" si="2"/>
        <v>144</v>
      </c>
      <c r="AY147" s="2" t="s">
        <v>1425</v>
      </c>
    </row>
    <row r="148">
      <c r="A148" s="2">
        <f t="shared" si="3"/>
        <v>145</v>
      </c>
      <c r="B148" s="1" t="s">
        <v>69</v>
      </c>
      <c r="C148" s="2" t="s">
        <v>388</v>
      </c>
      <c r="D148" s="2" t="s">
        <v>193</v>
      </c>
      <c r="E148" s="2">
        <v>27.0</v>
      </c>
      <c r="F148" s="2" t="s">
        <v>428</v>
      </c>
      <c r="G148" s="2" t="str">
        <f t="shared" si="4"/>
        <v>misma edad</v>
      </c>
      <c r="H148" s="2" t="str">
        <f t="shared" si="5"/>
        <v>mismo nombre</v>
      </c>
      <c r="I148" s="2" t="str">
        <f t="shared" si="6"/>
        <v>mismo colegio</v>
      </c>
      <c r="J148" s="2" t="b">
        <f t="shared" si="7"/>
        <v>0</v>
      </c>
      <c r="K148" s="2" t="str">
        <f>IFERROR(__xludf.DUMMYFUNCTION("TRIM(JOIN("" "",UNIQUE(TOCOL(ARRAYFORMULA(IF( SPLIT(C148,"" "")=TOCOL(SPLIT(C147,"" "")),SPLIT(C148,"" "")&amp;"" "",""""))))))"),"SANTA NIEVES RIVAS RAMIREZ")</f>
        <v>SANTA NIEVES RIVAS RAMIREZ</v>
      </c>
      <c r="L148" s="2" t="str">
        <f t="shared" si="1"/>
        <v/>
      </c>
      <c r="M148" s="2">
        <f t="shared" si="2"/>
        <v>144</v>
      </c>
      <c r="AY148" s="2" t="s">
        <v>396</v>
      </c>
    </row>
    <row r="149">
      <c r="A149" s="2">
        <f t="shared" si="3"/>
        <v>146</v>
      </c>
      <c r="B149" s="1" t="s">
        <v>693</v>
      </c>
      <c r="C149" s="2" t="s">
        <v>701</v>
      </c>
      <c r="D149" s="2" t="s">
        <v>193</v>
      </c>
      <c r="E149" s="2">
        <v>35.0</v>
      </c>
      <c r="F149" s="2" t="s">
        <v>194</v>
      </c>
      <c r="G149" s="2" t="str">
        <f t="shared" si="4"/>
        <v/>
      </c>
      <c r="H149" s="2" t="str">
        <f t="shared" si="5"/>
        <v/>
      </c>
      <c r="I149" s="2" t="str">
        <f t="shared" si="6"/>
        <v/>
      </c>
      <c r="J149" s="2" t="b">
        <f t="shared" si="7"/>
        <v>0</v>
      </c>
      <c r="K149" s="2" t="str">
        <f>IFERROR(__xludf.DUMMYFUNCTION("TRIM(JOIN("" "",UNIQUE(TOCOL(ARRAYFORMULA(IF( SPLIT(C149,"" "")=TOCOL(SPLIT(C148,"" "")),SPLIT(C149,"" "")&amp;"" "",""""))))))"),"SANTA")</f>
        <v>SANTA</v>
      </c>
      <c r="L149" s="2" t="str">
        <f t="shared" si="1"/>
        <v/>
      </c>
      <c r="M149" s="2">
        <f t="shared" si="2"/>
        <v>146</v>
      </c>
      <c r="AY149" s="2" t="s">
        <v>714</v>
      </c>
    </row>
    <row r="150">
      <c r="A150" s="2">
        <f t="shared" si="3"/>
        <v>147</v>
      </c>
      <c r="B150" s="1" t="s">
        <v>69</v>
      </c>
      <c r="C150" s="2" t="s">
        <v>1167</v>
      </c>
      <c r="D150" s="2" t="s">
        <v>250</v>
      </c>
      <c r="E150" s="2">
        <v>52.0</v>
      </c>
      <c r="F150" s="2" t="s">
        <v>428</v>
      </c>
      <c r="G150" s="2" t="str">
        <f t="shared" si="4"/>
        <v/>
      </c>
      <c r="H150" s="2" t="str">
        <f t="shared" si="5"/>
        <v/>
      </c>
      <c r="I150" s="2" t="str">
        <f t="shared" si="6"/>
        <v/>
      </c>
      <c r="J150" s="2" t="b">
        <f t="shared" si="7"/>
        <v>0</v>
      </c>
      <c r="K150" s="2" t="str">
        <f>IFERROR(__xludf.DUMMYFUNCTION("TRIM(JOIN("" "",UNIQUE(TOCOL(ARRAYFORMULA(IF( SPLIT(C150,"" "")=TOCOL(SPLIT(C149,"" "")),SPLIT(C150,"" "")&amp;"" "",""""))))))"),"SANTA")</f>
        <v>SANTA</v>
      </c>
      <c r="L150" s="2" t="str">
        <f t="shared" si="1"/>
        <v>-&gt;WITH THIS</v>
      </c>
      <c r="M150" s="2">
        <f t="shared" si="2"/>
        <v>147</v>
      </c>
      <c r="AY150" s="2" t="s">
        <v>1346</v>
      </c>
    </row>
    <row r="151">
      <c r="A151" s="2">
        <f t="shared" si="3"/>
        <v>148</v>
      </c>
      <c r="B151" s="1" t="s">
        <v>69</v>
      </c>
      <c r="C151" s="2" t="s">
        <v>403</v>
      </c>
      <c r="D151" s="2" t="s">
        <v>250</v>
      </c>
      <c r="E151" s="2">
        <v>52.0</v>
      </c>
      <c r="F151" s="2" t="s">
        <v>194</v>
      </c>
      <c r="G151" s="2" t="str">
        <f t="shared" si="4"/>
        <v>misma edad</v>
      </c>
      <c r="H151" s="2" t="str">
        <f t="shared" si="5"/>
        <v/>
      </c>
      <c r="I151" s="2" t="str">
        <f t="shared" si="6"/>
        <v>mismo colegio</v>
      </c>
      <c r="J151" s="2" t="b">
        <f t="shared" si="7"/>
        <v>0</v>
      </c>
      <c r="K151" s="2" t="str">
        <f>IFERROR(__xludf.DUMMYFUNCTION("TRIM(JOIN("" "",UNIQUE(TOCOL(ARRAYFORMULA(IF( SPLIT(C151,"" "")=TOCOL(SPLIT(C150,"" "")),SPLIT(C151,"" "")&amp;"" "",""""))))))"),"SANTA ANAYA")</f>
        <v>SANTA ANAYA</v>
      </c>
      <c r="L151" s="2" t="str">
        <f t="shared" si="1"/>
        <v>EVALUAR</v>
      </c>
      <c r="M151" s="2">
        <f t="shared" si="2"/>
        <v>148</v>
      </c>
      <c r="AY151" s="2" t="s">
        <v>1458</v>
      </c>
    </row>
    <row r="152">
      <c r="A152" s="2">
        <f t="shared" si="3"/>
        <v>149</v>
      </c>
      <c r="B152" s="1" t="s">
        <v>226</v>
      </c>
      <c r="C152" s="2" t="s">
        <v>245</v>
      </c>
      <c r="D152" s="2" t="s">
        <v>193</v>
      </c>
      <c r="E152" s="2">
        <v>34.0</v>
      </c>
      <c r="F152" s="2" t="s">
        <v>194</v>
      </c>
      <c r="G152" s="2" t="str">
        <f t="shared" si="4"/>
        <v/>
      </c>
      <c r="H152" s="2" t="str">
        <f t="shared" si="5"/>
        <v/>
      </c>
      <c r="I152" s="2" t="str">
        <f t="shared" si="6"/>
        <v/>
      </c>
      <c r="J152" s="2" t="b">
        <f t="shared" si="7"/>
        <v>1</v>
      </c>
      <c r="K152" s="2" t="str">
        <f>IFERROR(__xludf.DUMMYFUNCTION("TRIM(JOIN("" "",UNIQUE(TOCOL(ARRAYFORMULA(IF( SPLIT(C152,"" "")=TOCOL(SPLIT(C151,"" "")),SPLIT(C152,"" "")&amp;"" "",""""))))))"),"")</f>
        <v/>
      </c>
      <c r="L152" s="2" t="str">
        <f t="shared" si="1"/>
        <v/>
      </c>
      <c r="M152" s="2">
        <f t="shared" si="2"/>
        <v>149</v>
      </c>
      <c r="AY152" s="2" t="s">
        <v>885</v>
      </c>
    </row>
    <row r="153">
      <c r="A153" s="2">
        <f t="shared" si="3"/>
        <v>150</v>
      </c>
      <c r="B153" s="1" t="s">
        <v>226</v>
      </c>
      <c r="C153" s="2" t="s">
        <v>273</v>
      </c>
      <c r="D153" s="2" t="s">
        <v>193</v>
      </c>
      <c r="E153" s="2">
        <v>24.0</v>
      </c>
      <c r="F153" s="2" t="s">
        <v>194</v>
      </c>
      <c r="G153" s="2" t="str">
        <f t="shared" si="4"/>
        <v/>
      </c>
      <c r="H153" s="2" t="str">
        <f t="shared" si="5"/>
        <v/>
      </c>
      <c r="I153" s="2" t="str">
        <f t="shared" si="6"/>
        <v>mismo colegio</v>
      </c>
      <c r="J153" s="2" t="b">
        <f t="shared" si="7"/>
        <v>1</v>
      </c>
      <c r="K153" s="2" t="str">
        <f>IFERROR(__xludf.DUMMYFUNCTION("TRIM(JOIN("" "",UNIQUE(TOCOL(ARRAYFORMULA(IF( SPLIT(C153,"" "")=TOCOL(SPLIT(C152,"" "")),SPLIT(C153,"" "")&amp;"" "",""""))))))"),"SANDRA")</f>
        <v>SANDRA</v>
      </c>
      <c r="L153" s="2" t="str">
        <f t="shared" si="1"/>
        <v/>
      </c>
      <c r="M153" s="2">
        <f t="shared" si="2"/>
        <v>150</v>
      </c>
      <c r="AY153" s="2" t="s">
        <v>993</v>
      </c>
    </row>
    <row r="154">
      <c r="A154" s="2">
        <f t="shared" si="3"/>
        <v>151</v>
      </c>
      <c r="B154" s="1" t="s">
        <v>226</v>
      </c>
      <c r="C154" s="2" t="s">
        <v>273</v>
      </c>
      <c r="D154" s="2" t="s">
        <v>193</v>
      </c>
      <c r="E154" s="2">
        <v>24.0</v>
      </c>
      <c r="F154" s="2" t="s">
        <v>428</v>
      </c>
      <c r="G154" s="2" t="str">
        <f t="shared" si="4"/>
        <v>misma edad</v>
      </c>
      <c r="H154" s="2" t="str">
        <f t="shared" si="5"/>
        <v>mismo nombre</v>
      </c>
      <c r="I154" s="2" t="str">
        <f t="shared" si="6"/>
        <v>mismo colegio</v>
      </c>
      <c r="J154" s="2" t="b">
        <f t="shared" si="7"/>
        <v>0</v>
      </c>
      <c r="K154" s="2" t="str">
        <f>IFERROR(__xludf.DUMMYFUNCTION("TRIM(JOIN("" "",UNIQUE(TOCOL(ARRAYFORMULA(IF( SPLIT(C154,"" "")=TOCOL(SPLIT(C153,"" "")),SPLIT(C154,"" "")&amp;"" "",""""))))))"),"SANDRA CLAUDIO FERNANDEZ")</f>
        <v>SANDRA CLAUDIO FERNANDEZ</v>
      </c>
      <c r="L154" s="2" t="str">
        <f t="shared" si="1"/>
        <v/>
      </c>
      <c r="M154" s="2">
        <f t="shared" si="2"/>
        <v>150</v>
      </c>
      <c r="AY154" s="2" t="s">
        <v>1441</v>
      </c>
    </row>
    <row r="155">
      <c r="A155" s="2">
        <f t="shared" si="3"/>
        <v>152</v>
      </c>
      <c r="B155" s="1" t="s">
        <v>226</v>
      </c>
      <c r="C155" s="2" t="s">
        <v>311</v>
      </c>
      <c r="D155" s="2" t="s">
        <v>193</v>
      </c>
      <c r="E155" s="2">
        <v>37.0</v>
      </c>
      <c r="F155" s="2" t="s">
        <v>194</v>
      </c>
      <c r="G155" s="2" t="str">
        <f t="shared" si="4"/>
        <v/>
      </c>
      <c r="H155" s="2" t="str">
        <f t="shared" si="5"/>
        <v/>
      </c>
      <c r="I155" s="2" t="str">
        <f t="shared" si="6"/>
        <v>mismo colegio</v>
      </c>
      <c r="J155" s="2" t="b">
        <f t="shared" si="7"/>
        <v>0</v>
      </c>
      <c r="K155" s="2" t="str">
        <f>IFERROR(__xludf.DUMMYFUNCTION("TRIM(JOIN("" "",UNIQUE(TOCOL(ARRAYFORMULA(IF( SPLIT(C155,"" "")=TOCOL(SPLIT(C154,"" "")),SPLIT(C155,"" "")&amp;"" "",""""))))))"),"SANDRA")</f>
        <v>SANDRA</v>
      </c>
      <c r="L155" s="2" t="str">
        <f t="shared" si="1"/>
        <v/>
      </c>
      <c r="M155" s="2">
        <f t="shared" si="2"/>
        <v>152</v>
      </c>
      <c r="AY155" s="2" t="s">
        <v>825</v>
      </c>
    </row>
    <row r="156">
      <c r="A156" s="2">
        <f t="shared" si="3"/>
        <v>153</v>
      </c>
      <c r="B156" s="1" t="s">
        <v>226</v>
      </c>
      <c r="C156" s="2" t="s">
        <v>311</v>
      </c>
      <c r="D156" s="2" t="s">
        <v>193</v>
      </c>
      <c r="E156" s="2">
        <v>37.0</v>
      </c>
      <c r="F156" s="2" t="s">
        <v>428</v>
      </c>
      <c r="G156" s="2" t="str">
        <f t="shared" si="4"/>
        <v>misma edad</v>
      </c>
      <c r="H156" s="2" t="str">
        <f t="shared" si="5"/>
        <v>mismo nombre</v>
      </c>
      <c r="I156" s="2" t="str">
        <f t="shared" si="6"/>
        <v>mismo colegio</v>
      </c>
      <c r="J156" s="2" t="b">
        <f t="shared" si="7"/>
        <v>0</v>
      </c>
      <c r="K156" s="2" t="str">
        <f>IFERROR(__xludf.DUMMYFUNCTION("TRIM(JOIN("" "",UNIQUE(TOCOL(ARRAYFORMULA(IF( SPLIT(C156,"" "")=TOCOL(SPLIT(C155,"" "")),SPLIT(C156,"" "")&amp;"" "",""""))))))"),"SANDRA CHAVEZ LIÑAN")</f>
        <v>SANDRA CHAVEZ LIÑAN</v>
      </c>
      <c r="L156" s="2" t="str">
        <f t="shared" si="1"/>
        <v/>
      </c>
      <c r="M156" s="2">
        <f t="shared" si="2"/>
        <v>152</v>
      </c>
      <c r="AY156" s="2" t="s">
        <v>716</v>
      </c>
    </row>
    <row r="157">
      <c r="A157" s="2">
        <f t="shared" si="3"/>
        <v>154</v>
      </c>
      <c r="B157" s="1" t="s">
        <v>830</v>
      </c>
      <c r="C157" s="2" t="s">
        <v>876</v>
      </c>
      <c r="D157" s="2" t="s">
        <v>250</v>
      </c>
      <c r="E157" s="2">
        <v>43.0</v>
      </c>
      <c r="F157" s="2" t="s">
        <v>194</v>
      </c>
      <c r="G157" s="2" t="str">
        <f t="shared" si="4"/>
        <v/>
      </c>
      <c r="H157" s="2" t="str">
        <f t="shared" si="5"/>
        <v/>
      </c>
      <c r="I157" s="2" t="str">
        <f t="shared" si="6"/>
        <v/>
      </c>
      <c r="J157" s="2" t="b">
        <f t="shared" si="7"/>
        <v>0</v>
      </c>
      <c r="K157" s="2" t="str">
        <f>IFERROR(__xludf.DUMMYFUNCTION("TRIM(JOIN("" "",UNIQUE(TOCOL(ARRAYFORMULA(IF( SPLIT(C157,"" "")=TOCOL(SPLIT(C156,"" "")),SPLIT(C157,"" "")&amp;"" "",""""))))))"),"")</f>
        <v/>
      </c>
      <c r="L157" s="2" t="str">
        <f t="shared" si="1"/>
        <v/>
      </c>
      <c r="M157" s="2">
        <f t="shared" si="2"/>
        <v>154</v>
      </c>
      <c r="AY157" s="2" t="s">
        <v>387</v>
      </c>
    </row>
    <row r="158">
      <c r="A158" s="2">
        <f t="shared" si="3"/>
        <v>155</v>
      </c>
      <c r="B158" s="1" t="s">
        <v>994</v>
      </c>
      <c r="C158" s="2" t="s">
        <v>1185</v>
      </c>
      <c r="D158" s="2" t="s">
        <v>222</v>
      </c>
      <c r="E158" s="2">
        <v>27.0</v>
      </c>
      <c r="F158" s="2" t="s">
        <v>428</v>
      </c>
      <c r="G158" s="2" t="str">
        <f t="shared" si="4"/>
        <v/>
      </c>
      <c r="H158" s="2" t="str">
        <f t="shared" si="5"/>
        <v/>
      </c>
      <c r="I158" s="2" t="str">
        <f t="shared" si="6"/>
        <v/>
      </c>
      <c r="J158" s="2" t="b">
        <f t="shared" si="7"/>
        <v>0</v>
      </c>
      <c r="K158" s="2" t="str">
        <f>IFERROR(__xludf.DUMMYFUNCTION("TRIM(JOIN("" "",UNIQUE(TOCOL(ARRAYFORMULA(IF( SPLIT(C158,"" "")=TOCOL(SPLIT(C157,"" "")),SPLIT(C158,"" "")&amp;"" "",""""))))))"),"")</f>
        <v/>
      </c>
      <c r="L158" s="2" t="str">
        <f t="shared" si="1"/>
        <v/>
      </c>
      <c r="M158" s="2">
        <f t="shared" si="2"/>
        <v>155</v>
      </c>
      <c r="AY158" s="2" t="s">
        <v>849</v>
      </c>
    </row>
    <row r="159">
      <c r="A159" s="2">
        <f t="shared" si="3"/>
        <v>156</v>
      </c>
      <c r="B159" s="1" t="s">
        <v>994</v>
      </c>
      <c r="C159" s="2" t="s">
        <v>1032</v>
      </c>
      <c r="D159" s="40" t="s">
        <v>193</v>
      </c>
      <c r="E159" s="2">
        <v>45.0</v>
      </c>
      <c r="F159" s="2" t="s">
        <v>194</v>
      </c>
      <c r="G159" s="2" t="str">
        <f t="shared" si="4"/>
        <v/>
      </c>
      <c r="H159" s="2" t="str">
        <f t="shared" si="5"/>
        <v/>
      </c>
      <c r="I159" s="2" t="str">
        <f t="shared" si="6"/>
        <v>mismo colegio</v>
      </c>
      <c r="J159" s="2" t="b">
        <f t="shared" si="7"/>
        <v>0</v>
      </c>
      <c r="K159" s="2" t="str">
        <f>IFERROR(__xludf.DUMMYFUNCTION("TRIM(JOIN("" "",UNIQUE(TOCOL(ARRAYFORMULA(IF( SPLIT(C159,"" "")=TOCOL(SPLIT(C158,"" "")),SPLIT(C159,"" "")&amp;"" "",""""))))))"),"")</f>
        <v/>
      </c>
      <c r="L159" s="2" t="str">
        <f t="shared" si="1"/>
        <v/>
      </c>
      <c r="M159" s="2">
        <f t="shared" si="2"/>
        <v>156</v>
      </c>
      <c r="AY159" s="2" t="s">
        <v>1137</v>
      </c>
    </row>
    <row r="160">
      <c r="A160" s="2">
        <f t="shared" si="3"/>
        <v>157</v>
      </c>
      <c r="B160" s="1" t="s">
        <v>994</v>
      </c>
      <c r="C160" s="2" t="s">
        <v>1204</v>
      </c>
      <c r="D160" s="2" t="s">
        <v>193</v>
      </c>
      <c r="E160" s="2">
        <v>45.0</v>
      </c>
      <c r="F160" s="2" t="s">
        <v>428</v>
      </c>
      <c r="G160" s="2" t="str">
        <f t="shared" si="4"/>
        <v>misma edad</v>
      </c>
      <c r="H160" s="2" t="str">
        <f t="shared" si="5"/>
        <v/>
      </c>
      <c r="I160" s="2" t="str">
        <f t="shared" si="6"/>
        <v>mismo colegio</v>
      </c>
      <c r="J160" s="2" t="b">
        <f t="shared" si="7"/>
        <v>0</v>
      </c>
      <c r="K160" s="2" t="str">
        <f>IFERROR(__xludf.DUMMYFUNCTION("TRIM(JOIN("" "",UNIQUE(TOCOL(ARRAYFORMULA(IF( SPLIT(C160,"" "")=TOCOL(SPLIT(C159,"" "")),SPLIT(C160,"" "")&amp;"" "",""""))))))"),"")</f>
        <v/>
      </c>
      <c r="L160" s="2" t="str">
        <f t="shared" si="1"/>
        <v/>
      </c>
      <c r="M160" s="2">
        <f t="shared" si="2"/>
        <v>157</v>
      </c>
      <c r="AY160" s="2" t="s">
        <v>917</v>
      </c>
    </row>
    <row r="161">
      <c r="A161" s="2">
        <f t="shared" si="3"/>
        <v>158</v>
      </c>
      <c r="B161" s="1" t="s">
        <v>595</v>
      </c>
      <c r="C161" s="2" t="s">
        <v>897</v>
      </c>
      <c r="D161" s="2" t="s">
        <v>193</v>
      </c>
      <c r="E161" s="2">
        <v>23.0</v>
      </c>
      <c r="F161" s="2" t="s">
        <v>194</v>
      </c>
      <c r="G161" s="2" t="str">
        <f t="shared" si="4"/>
        <v/>
      </c>
      <c r="H161" s="2" t="str">
        <f t="shared" si="5"/>
        <v/>
      </c>
      <c r="I161" s="2" t="str">
        <f t="shared" si="6"/>
        <v/>
      </c>
      <c r="J161" s="2" t="b">
        <f t="shared" si="7"/>
        <v>0</v>
      </c>
      <c r="K161" s="2" t="str">
        <f>IFERROR(__xludf.DUMMYFUNCTION("TRIM(JOIN("" "",UNIQUE(TOCOL(ARRAYFORMULA(IF( SPLIT(C161,"" "")=TOCOL(SPLIT(C160,"" "")),SPLIT(C161,"" "")&amp;"" "",""""))))))"),"SANCHEZ")</f>
        <v>SANCHEZ</v>
      </c>
      <c r="L161" s="2" t="str">
        <f t="shared" si="1"/>
        <v/>
      </c>
      <c r="M161" s="2">
        <f t="shared" si="2"/>
        <v>158</v>
      </c>
      <c r="AY161" s="2" t="s">
        <v>1090</v>
      </c>
    </row>
    <row r="162">
      <c r="A162" s="2">
        <f t="shared" si="3"/>
        <v>159</v>
      </c>
      <c r="B162" s="1" t="s">
        <v>719</v>
      </c>
      <c r="C162" s="2" t="s">
        <v>1421</v>
      </c>
      <c r="D162" s="2" t="s">
        <v>193</v>
      </c>
      <c r="E162" s="40"/>
      <c r="F162" s="2" t="s">
        <v>428</v>
      </c>
      <c r="G162" s="2" t="str">
        <f t="shared" si="4"/>
        <v/>
      </c>
      <c r="H162" s="2" t="str">
        <f t="shared" si="5"/>
        <v/>
      </c>
      <c r="I162" s="2" t="str">
        <f t="shared" si="6"/>
        <v/>
      </c>
      <c r="J162" s="2" t="b">
        <f t="shared" si="7"/>
        <v>0</v>
      </c>
      <c r="K162" s="2" t="str">
        <f>IFERROR(__xludf.DUMMYFUNCTION("TRIM(JOIN("" "",UNIQUE(TOCOL(ARRAYFORMULA(IF( SPLIT(C162,"" "")=TOCOL(SPLIT(C161,"" "")),SPLIT(C162,"" "")&amp;"" "",""""))))))"),"")</f>
        <v/>
      </c>
      <c r="L162" s="2" t="str">
        <f t="shared" si="1"/>
        <v/>
      </c>
      <c r="M162" s="2">
        <f t="shared" si="2"/>
        <v>159</v>
      </c>
      <c r="AY162" s="2" t="s">
        <v>877</v>
      </c>
    </row>
    <row r="163">
      <c r="A163" s="2">
        <f t="shared" si="3"/>
        <v>160</v>
      </c>
      <c r="B163" s="1" t="s">
        <v>775</v>
      </c>
      <c r="C163" s="2" t="s">
        <v>795</v>
      </c>
      <c r="D163" s="2" t="s">
        <v>193</v>
      </c>
      <c r="E163" s="2">
        <v>33.0</v>
      </c>
      <c r="F163" s="2" t="s">
        <v>194</v>
      </c>
      <c r="G163" s="2" t="str">
        <f t="shared" si="4"/>
        <v/>
      </c>
      <c r="H163" s="2" t="str">
        <f t="shared" si="5"/>
        <v/>
      </c>
      <c r="I163" s="2" t="str">
        <f t="shared" si="6"/>
        <v/>
      </c>
      <c r="J163" s="2" t="b">
        <f t="shared" si="7"/>
        <v>0</v>
      </c>
      <c r="K163" s="2" t="str">
        <f>IFERROR(__xludf.DUMMYFUNCTION("TRIM(JOIN("" "",UNIQUE(TOCOL(ARRAYFORMULA(IF( SPLIT(C163,"" "")=TOCOL(SPLIT(C162,"" "")),SPLIT(C163,"" "")&amp;"" "",""""))))))"),"SALVADOR")</f>
        <v>SALVADOR</v>
      </c>
      <c r="L163" s="2" t="str">
        <f t="shared" si="1"/>
        <v/>
      </c>
      <c r="M163" s="2">
        <f t="shared" si="2"/>
        <v>160</v>
      </c>
      <c r="AY163" s="2" t="s">
        <v>1438</v>
      </c>
    </row>
    <row r="164">
      <c r="A164" s="2">
        <f t="shared" si="3"/>
        <v>161</v>
      </c>
      <c r="B164" s="1" t="s">
        <v>775</v>
      </c>
      <c r="C164" s="2" t="s">
        <v>795</v>
      </c>
      <c r="D164" s="2" t="s">
        <v>193</v>
      </c>
      <c r="E164" s="2">
        <v>33.0</v>
      </c>
      <c r="F164" s="2" t="s">
        <v>428</v>
      </c>
      <c r="G164" s="2" t="str">
        <f t="shared" si="4"/>
        <v>misma edad</v>
      </c>
      <c r="H164" s="2" t="str">
        <f t="shared" si="5"/>
        <v>mismo nombre</v>
      </c>
      <c r="I164" s="2" t="str">
        <f t="shared" si="6"/>
        <v>mismo colegio</v>
      </c>
      <c r="J164" s="2" t="b">
        <f t="shared" si="7"/>
        <v>0</v>
      </c>
      <c r="K164" s="2" t="str">
        <f>IFERROR(__xludf.DUMMYFUNCTION("TRIM(JOIN("" "",UNIQUE(TOCOL(ARRAYFORMULA(IF( SPLIT(C164,"" "")=TOCOL(SPLIT(C163,"" "")),SPLIT(C164,"" "")&amp;"" "",""""))))))"),"SALVADOR CAMPOS DELIA")</f>
        <v>SALVADOR CAMPOS DELIA</v>
      </c>
      <c r="L164" s="2" t="str">
        <f t="shared" si="1"/>
        <v/>
      </c>
      <c r="M164" s="2">
        <f t="shared" si="2"/>
        <v>160</v>
      </c>
      <c r="AY164" s="2" t="s">
        <v>1440</v>
      </c>
    </row>
    <row r="165">
      <c r="A165" s="2">
        <f t="shared" si="3"/>
        <v>162</v>
      </c>
      <c r="B165" s="1" t="s">
        <v>830</v>
      </c>
      <c r="C165" s="2" t="s">
        <v>864</v>
      </c>
      <c r="D165" s="2" t="s">
        <v>193</v>
      </c>
      <c r="E165" s="2">
        <v>21.0</v>
      </c>
      <c r="F165" s="2" t="s">
        <v>194</v>
      </c>
      <c r="G165" s="2" t="str">
        <f t="shared" si="4"/>
        <v/>
      </c>
      <c r="H165" s="2" t="str">
        <f t="shared" si="5"/>
        <v/>
      </c>
      <c r="I165" s="2" t="str">
        <f t="shared" si="6"/>
        <v/>
      </c>
      <c r="J165" s="2" t="b">
        <f t="shared" si="7"/>
        <v>0</v>
      </c>
      <c r="K165" s="2" t="str">
        <f>IFERROR(__xludf.DUMMYFUNCTION("TRIM(JOIN("" "",UNIQUE(TOCOL(ARRAYFORMULA(IF( SPLIT(C165,"" "")=TOCOL(SPLIT(C164,"" "")),SPLIT(C165,"" "")&amp;"" "",""""))))))"),"")</f>
        <v/>
      </c>
      <c r="L165" s="2" t="str">
        <f t="shared" si="1"/>
        <v/>
      </c>
      <c r="M165" s="2">
        <f t="shared" si="2"/>
        <v>162</v>
      </c>
      <c r="AY165" s="2" t="s">
        <v>835</v>
      </c>
    </row>
    <row r="166">
      <c r="A166" s="2">
        <f t="shared" si="3"/>
        <v>163</v>
      </c>
      <c r="B166" s="1" t="s">
        <v>830</v>
      </c>
      <c r="C166" s="2" t="s">
        <v>864</v>
      </c>
      <c r="D166" s="2" t="s">
        <v>193</v>
      </c>
      <c r="E166" s="2">
        <v>21.0</v>
      </c>
      <c r="F166" s="2" t="s">
        <v>428</v>
      </c>
      <c r="G166" s="2" t="str">
        <f t="shared" si="4"/>
        <v>misma edad</v>
      </c>
      <c r="H166" s="2" t="str">
        <f t="shared" si="5"/>
        <v>mismo nombre</v>
      </c>
      <c r="I166" s="2" t="str">
        <f t="shared" si="6"/>
        <v>mismo colegio</v>
      </c>
      <c r="J166" s="2" t="b">
        <f t="shared" si="7"/>
        <v>0</v>
      </c>
      <c r="K166" s="2" t="str">
        <f>IFERROR(__xludf.DUMMYFUNCTION("TRIM(JOIN("" "",UNIQUE(TOCOL(ARRAYFORMULA(IF( SPLIT(C166,"" "")=TOCOL(SPLIT(C165,"" "")),SPLIT(C166,"" "")&amp;"" "",""""))))))"),"SALCEDO OROPEZA, NAYDU")</f>
        <v>SALCEDO OROPEZA, NAYDU</v>
      </c>
      <c r="L166" s="2" t="str">
        <f t="shared" si="1"/>
        <v/>
      </c>
      <c r="M166" s="2">
        <f t="shared" si="2"/>
        <v>162</v>
      </c>
      <c r="AY166" s="2" t="s">
        <v>863</v>
      </c>
    </row>
    <row r="167">
      <c r="A167" s="2">
        <f t="shared" si="3"/>
        <v>164</v>
      </c>
      <c r="B167" s="1" t="s">
        <v>719</v>
      </c>
      <c r="C167" s="2" t="s">
        <v>1413</v>
      </c>
      <c r="D167" s="2" t="s">
        <v>193</v>
      </c>
      <c r="E167" s="2">
        <v>33.0</v>
      </c>
      <c r="F167" s="2" t="s">
        <v>428</v>
      </c>
      <c r="G167" s="2" t="str">
        <f t="shared" si="4"/>
        <v/>
      </c>
      <c r="H167" s="2" t="str">
        <f t="shared" si="5"/>
        <v/>
      </c>
      <c r="I167" s="2" t="str">
        <f t="shared" si="6"/>
        <v/>
      </c>
      <c r="J167" s="2" t="b">
        <f t="shared" si="7"/>
        <v>1</v>
      </c>
      <c r="K167" s="2" t="str">
        <f>IFERROR(__xludf.DUMMYFUNCTION("TRIM(JOIN("" "",UNIQUE(TOCOL(ARRAYFORMULA(IF( SPLIT(C167,"" "")=TOCOL(SPLIT(C166,"" "")),SPLIT(C167,"" "")&amp;"" "",""""))))))"),"")</f>
        <v/>
      </c>
      <c r="L167" s="2" t="str">
        <f t="shared" si="1"/>
        <v/>
      </c>
      <c r="M167" s="2">
        <f t="shared" si="2"/>
        <v>164</v>
      </c>
      <c r="AY167" s="2" t="s">
        <v>1392</v>
      </c>
    </row>
    <row r="168">
      <c r="A168" s="2">
        <f t="shared" si="3"/>
        <v>165</v>
      </c>
      <c r="B168" s="1" t="s">
        <v>154</v>
      </c>
      <c r="C168" s="2" t="s">
        <v>503</v>
      </c>
      <c r="D168" s="2" t="s">
        <v>193</v>
      </c>
      <c r="E168" s="40"/>
      <c r="F168" s="2" t="s">
        <v>194</v>
      </c>
      <c r="G168" s="2" t="str">
        <f t="shared" si="4"/>
        <v/>
      </c>
      <c r="H168" s="2" t="str">
        <f t="shared" si="5"/>
        <v/>
      </c>
      <c r="I168" s="2" t="str">
        <f t="shared" si="6"/>
        <v/>
      </c>
      <c r="J168" s="2" t="b">
        <f t="shared" si="7"/>
        <v>0</v>
      </c>
      <c r="K168" s="2" t="str">
        <f>IFERROR(__xludf.DUMMYFUNCTION("TRIM(JOIN("" "",UNIQUE(TOCOL(ARRAYFORMULA(IF( SPLIT(C168,"" "")=TOCOL(SPLIT(C167,"" "")),SPLIT(C168,"" "")&amp;"" "",""""))))))"),"")</f>
        <v/>
      </c>
      <c r="L168" s="2" t="str">
        <f t="shared" si="1"/>
        <v/>
      </c>
      <c r="M168" s="2">
        <f t="shared" si="2"/>
        <v>165</v>
      </c>
      <c r="AY168" s="2" t="s">
        <v>570</v>
      </c>
    </row>
    <row r="169">
      <c r="A169" s="2">
        <f t="shared" si="3"/>
        <v>166</v>
      </c>
      <c r="B169" s="1" t="s">
        <v>205</v>
      </c>
      <c r="C169" s="2" t="s">
        <v>371</v>
      </c>
      <c r="D169" s="2" t="s">
        <v>250</v>
      </c>
      <c r="E169" s="2">
        <v>49.0</v>
      </c>
      <c r="F169" s="2" t="s">
        <v>194</v>
      </c>
      <c r="G169" s="2" t="str">
        <f t="shared" si="4"/>
        <v/>
      </c>
      <c r="H169" s="2" t="str">
        <f t="shared" si="5"/>
        <v/>
      </c>
      <c r="I169" s="2" t="str">
        <f t="shared" si="6"/>
        <v/>
      </c>
      <c r="J169" s="2" t="b">
        <f t="shared" si="7"/>
        <v>1</v>
      </c>
      <c r="K169" s="2" t="str">
        <f>IFERROR(__xludf.DUMMYFUNCTION("TRIM(JOIN("" "",UNIQUE(TOCOL(ARRAYFORMULA(IF( SPLIT(C169,"" "")=TOCOL(SPLIT(C168,"" "")),SPLIT(C169,"" "")&amp;"" "",""""))))))"),"")</f>
        <v/>
      </c>
      <c r="L169" s="2" t="str">
        <f t="shared" si="1"/>
        <v/>
      </c>
      <c r="M169" s="2">
        <f t="shared" si="2"/>
        <v>166</v>
      </c>
      <c r="AY169" s="2" t="s">
        <v>829</v>
      </c>
    </row>
    <row r="170">
      <c r="A170" s="2">
        <f t="shared" si="3"/>
        <v>167</v>
      </c>
      <c r="B170" s="1" t="s">
        <v>323</v>
      </c>
      <c r="C170" s="2" t="s">
        <v>1357</v>
      </c>
      <c r="D170" s="2" t="s">
        <v>193</v>
      </c>
      <c r="E170" s="2">
        <v>39.0</v>
      </c>
      <c r="F170" s="2" t="s">
        <v>428</v>
      </c>
      <c r="G170" s="2" t="str">
        <f t="shared" si="4"/>
        <v/>
      </c>
      <c r="H170" s="2" t="str">
        <f t="shared" si="5"/>
        <v/>
      </c>
      <c r="I170" s="2" t="str">
        <f t="shared" si="6"/>
        <v/>
      </c>
      <c r="J170" s="2" t="b">
        <f t="shared" si="7"/>
        <v>0</v>
      </c>
      <c r="K170" s="2" t="str">
        <f>IFERROR(__xludf.DUMMYFUNCTION("TRIM(JOIN("" "",UNIQUE(TOCOL(ARRAYFORMULA(IF( SPLIT(C170,"" "")=TOCOL(SPLIT(C169,"" "")),SPLIT(C170,"" "")&amp;"" "",""""))))))"),"")</f>
        <v/>
      </c>
      <c r="L170" s="2" t="str">
        <f t="shared" si="1"/>
        <v/>
      </c>
      <c r="M170" s="2">
        <f t="shared" si="2"/>
        <v>167</v>
      </c>
      <c r="AY170" s="2" t="s">
        <v>833</v>
      </c>
    </row>
    <row r="171">
      <c r="A171" s="2">
        <f t="shared" si="3"/>
        <v>168</v>
      </c>
      <c r="B171" s="1" t="s">
        <v>911</v>
      </c>
      <c r="C171" s="2" t="s">
        <v>1036</v>
      </c>
      <c r="D171" s="2" t="s">
        <v>193</v>
      </c>
      <c r="E171" s="2">
        <v>33.0</v>
      </c>
      <c r="F171" s="2" t="s">
        <v>194</v>
      </c>
      <c r="G171" s="2" t="str">
        <f t="shared" si="4"/>
        <v/>
      </c>
      <c r="H171" s="2" t="str">
        <f t="shared" si="5"/>
        <v/>
      </c>
      <c r="I171" s="2" t="str">
        <f t="shared" si="6"/>
        <v/>
      </c>
      <c r="J171" s="2" t="b">
        <f t="shared" si="7"/>
        <v>0</v>
      </c>
      <c r="K171" s="2" t="str">
        <f>IFERROR(__xludf.DUMMYFUNCTION("TRIM(JOIN("" "",UNIQUE(TOCOL(ARRAYFORMULA(IF( SPLIT(C171,"" "")=TOCOL(SPLIT(C170,"" "")),SPLIT(C171,"" "")&amp;"" "",""""))))))"),"")</f>
        <v/>
      </c>
      <c r="L171" s="2" t="str">
        <f t="shared" si="1"/>
        <v/>
      </c>
      <c r="M171" s="2">
        <f t="shared" si="2"/>
        <v>168</v>
      </c>
      <c r="AY171" s="2" t="s">
        <v>1015</v>
      </c>
    </row>
    <row r="172">
      <c r="A172" s="2">
        <f t="shared" si="3"/>
        <v>169</v>
      </c>
      <c r="B172" s="1" t="s">
        <v>595</v>
      </c>
      <c r="C172" s="2" t="s">
        <v>614</v>
      </c>
      <c r="D172" s="2" t="s">
        <v>193</v>
      </c>
      <c r="E172" s="2">
        <v>26.0</v>
      </c>
      <c r="F172" s="2" t="s">
        <v>194</v>
      </c>
      <c r="G172" s="2" t="str">
        <f t="shared" si="4"/>
        <v/>
      </c>
      <c r="H172" s="2" t="str">
        <f t="shared" si="5"/>
        <v/>
      </c>
      <c r="I172" s="2" t="str">
        <f t="shared" si="6"/>
        <v/>
      </c>
      <c r="J172" s="2" t="b">
        <f t="shared" si="7"/>
        <v>1</v>
      </c>
      <c r="K172" s="2" t="str">
        <f>IFERROR(__xludf.DUMMYFUNCTION("TRIM(JOIN("" "",UNIQUE(TOCOL(ARRAYFORMULA(IF( SPLIT(C172,"" "")=TOCOL(SPLIT(C171,"" "")),SPLIT(C172,"" "")&amp;"" "",""""))))))"),"")</f>
        <v/>
      </c>
      <c r="L172" s="2" t="str">
        <f t="shared" si="1"/>
        <v/>
      </c>
      <c r="M172" s="2">
        <f t="shared" si="2"/>
        <v>169</v>
      </c>
      <c r="AY172" s="2" t="s">
        <v>1013</v>
      </c>
    </row>
    <row r="173">
      <c r="A173" s="2">
        <f t="shared" si="3"/>
        <v>170</v>
      </c>
      <c r="B173" s="1" t="s">
        <v>626</v>
      </c>
      <c r="C173" s="2" t="s">
        <v>630</v>
      </c>
      <c r="D173" s="2" t="s">
        <v>193</v>
      </c>
      <c r="E173" s="2">
        <v>38.0</v>
      </c>
      <c r="F173" s="2" t="s">
        <v>194</v>
      </c>
      <c r="G173" s="2" t="str">
        <f t="shared" si="4"/>
        <v/>
      </c>
      <c r="H173" s="2" t="str">
        <f t="shared" si="5"/>
        <v/>
      </c>
      <c r="I173" s="2" t="str">
        <f t="shared" si="6"/>
        <v/>
      </c>
      <c r="J173" s="2" t="b">
        <f t="shared" si="7"/>
        <v>1</v>
      </c>
      <c r="K173" s="2" t="str">
        <f>IFERROR(__xludf.DUMMYFUNCTION("TRIM(JOIN("" "",UNIQUE(TOCOL(ARRAYFORMULA(IF( SPLIT(C173,"" "")=TOCOL(SPLIT(C172,"" "")),SPLIT(C173,"" "")&amp;"" "",""""))))))"),"ROSALES")</f>
        <v>ROSALES</v>
      </c>
      <c r="L173" s="2" t="str">
        <f t="shared" si="1"/>
        <v/>
      </c>
      <c r="M173" s="2">
        <f t="shared" si="2"/>
        <v>170</v>
      </c>
      <c r="AY173" s="2" t="s">
        <v>545</v>
      </c>
    </row>
    <row r="174">
      <c r="A174" s="2">
        <f t="shared" si="3"/>
        <v>171</v>
      </c>
      <c r="B174" s="1" t="s">
        <v>626</v>
      </c>
      <c r="C174" s="2" t="s">
        <v>630</v>
      </c>
      <c r="D174" s="2" t="s">
        <v>193</v>
      </c>
      <c r="E174" s="2">
        <v>38.0</v>
      </c>
      <c r="F174" s="2" t="s">
        <v>428</v>
      </c>
      <c r="G174" s="2" t="str">
        <f t="shared" si="4"/>
        <v>misma edad</v>
      </c>
      <c r="H174" s="2" t="str">
        <f t="shared" si="5"/>
        <v>mismo nombre</v>
      </c>
      <c r="I174" s="2" t="str">
        <f t="shared" si="6"/>
        <v>mismo colegio</v>
      </c>
      <c r="J174" s="2" t="b">
        <f t="shared" si="7"/>
        <v>0</v>
      </c>
      <c r="K174" s="2" t="str">
        <f>IFERROR(__xludf.DUMMYFUNCTION("TRIM(JOIN("" "",UNIQUE(TOCOL(ARRAYFORMULA(IF( SPLIT(C174,"" "")=TOCOL(SPLIT(C173,"" "")),SPLIT(C174,"" "")&amp;"" "",""""))))))"),"ROSALES JULCA LOURDES PILAR")</f>
        <v>ROSALES JULCA LOURDES PILAR</v>
      </c>
      <c r="L174" s="2" t="str">
        <f t="shared" si="1"/>
        <v/>
      </c>
      <c r="M174" s="2">
        <f t="shared" si="2"/>
        <v>170</v>
      </c>
      <c r="AY174" s="2" t="s">
        <v>1331</v>
      </c>
    </row>
    <row r="175">
      <c r="A175" s="2">
        <f t="shared" si="3"/>
        <v>172</v>
      </c>
      <c r="B175" s="1" t="s">
        <v>69</v>
      </c>
      <c r="C175" s="2" t="s">
        <v>1161</v>
      </c>
      <c r="D175" s="2" t="s">
        <v>222</v>
      </c>
      <c r="E175" s="2">
        <v>30.0</v>
      </c>
      <c r="F175" s="2" t="s">
        <v>428</v>
      </c>
      <c r="G175" s="2" t="str">
        <f t="shared" si="4"/>
        <v/>
      </c>
      <c r="H175" s="2" t="str">
        <f t="shared" si="5"/>
        <v/>
      </c>
      <c r="I175" s="2" t="str">
        <f t="shared" si="6"/>
        <v/>
      </c>
      <c r="J175" s="2" t="b">
        <f t="shared" si="7"/>
        <v>1</v>
      </c>
      <c r="K175" s="2" t="str">
        <f>IFERROR(__xludf.DUMMYFUNCTION("TRIM(JOIN("" "",UNIQUE(TOCOL(ARRAYFORMULA(IF( SPLIT(C175,"" "")=TOCOL(SPLIT(C174,"" "")),SPLIT(C175,"" "")&amp;"" "",""""))))))"),"")</f>
        <v/>
      </c>
      <c r="L175" s="2" t="str">
        <f t="shared" si="1"/>
        <v>-&gt;WITH THIS</v>
      </c>
      <c r="M175" s="2">
        <f t="shared" si="2"/>
        <v>172</v>
      </c>
      <c r="AY175" s="2" t="s">
        <v>1305</v>
      </c>
    </row>
    <row r="176">
      <c r="A176" s="2">
        <f t="shared" si="3"/>
        <v>173</v>
      </c>
      <c r="B176" s="1" t="s">
        <v>69</v>
      </c>
      <c r="C176" s="2" t="s">
        <v>392</v>
      </c>
      <c r="D176" s="2" t="s">
        <v>193</v>
      </c>
      <c r="E176" s="2">
        <v>30.0</v>
      </c>
      <c r="F176" s="2" t="s">
        <v>194</v>
      </c>
      <c r="G176" s="2" t="str">
        <f t="shared" si="4"/>
        <v>misma edad</v>
      </c>
      <c r="H176" s="2" t="str">
        <f t="shared" si="5"/>
        <v/>
      </c>
      <c r="I176" s="2" t="str">
        <f t="shared" si="6"/>
        <v>mismo colegio</v>
      </c>
      <c r="J176" s="2" t="b">
        <f t="shared" si="7"/>
        <v>0</v>
      </c>
      <c r="K176" s="2" t="str">
        <f>IFERROR(__xludf.DUMMYFUNCTION("TRIM(JOIN("" "",UNIQUE(TOCOL(ARRAYFORMULA(IF( SPLIT(C176,"" "")=TOCOL(SPLIT(C175,"" "")),SPLIT(C176,"" "")&amp;"" "",""""))))))"),"ROSA BLAS VILLANUEVA")</f>
        <v>ROSA BLAS VILLANUEVA</v>
      </c>
      <c r="L176" s="2" t="str">
        <f t="shared" si="1"/>
        <v>EVALUAR</v>
      </c>
      <c r="M176" s="2">
        <f t="shared" si="2"/>
        <v>173</v>
      </c>
      <c r="AY176" s="2" t="s">
        <v>1406</v>
      </c>
    </row>
    <row r="177">
      <c r="A177" s="2">
        <f t="shared" si="3"/>
        <v>174</v>
      </c>
      <c r="B177" s="1" t="s">
        <v>573</v>
      </c>
      <c r="C177" s="2" t="s">
        <v>580</v>
      </c>
      <c r="D177" s="2" t="s">
        <v>193</v>
      </c>
      <c r="E177" s="2">
        <v>21.0</v>
      </c>
      <c r="F177" s="2" t="s">
        <v>194</v>
      </c>
      <c r="G177" s="2" t="str">
        <f t="shared" si="4"/>
        <v/>
      </c>
      <c r="H177" s="2" t="str">
        <f t="shared" si="5"/>
        <v/>
      </c>
      <c r="I177" s="2" t="str">
        <f t="shared" si="6"/>
        <v/>
      </c>
      <c r="J177" s="2" t="b">
        <f t="shared" si="7"/>
        <v>1</v>
      </c>
      <c r="K177" s="2" t="str">
        <f>IFERROR(__xludf.DUMMYFUNCTION("TRIM(JOIN("" "",UNIQUE(TOCOL(ARRAYFORMULA(IF( SPLIT(C177,"" "")=TOCOL(SPLIT(C176,"" "")),SPLIT(C177,"" "")&amp;"" "",""""))))))"),"")</f>
        <v/>
      </c>
      <c r="L177" s="2" t="str">
        <f t="shared" si="1"/>
        <v/>
      </c>
      <c r="M177" s="2">
        <f t="shared" si="2"/>
        <v>174</v>
      </c>
      <c r="AY177" s="2" t="s">
        <v>1329</v>
      </c>
    </row>
    <row r="178">
      <c r="A178" s="2">
        <f t="shared" si="3"/>
        <v>175</v>
      </c>
      <c r="B178" s="1" t="s">
        <v>573</v>
      </c>
      <c r="C178" s="2" t="s">
        <v>580</v>
      </c>
      <c r="D178" s="2" t="s">
        <v>193</v>
      </c>
      <c r="E178" s="2">
        <v>22.0</v>
      </c>
      <c r="F178" s="2" t="s">
        <v>428</v>
      </c>
      <c r="G178" s="2" t="str">
        <f t="shared" si="4"/>
        <v/>
      </c>
      <c r="H178" s="2" t="str">
        <f t="shared" si="5"/>
        <v>mismo nombre</v>
      </c>
      <c r="I178" s="2" t="str">
        <f t="shared" si="6"/>
        <v>mismo colegio</v>
      </c>
      <c r="J178" s="2" t="b">
        <f t="shared" si="7"/>
        <v>0</v>
      </c>
      <c r="K178" s="2" t="str">
        <f>IFERROR(__xludf.DUMMYFUNCTION("TRIM(JOIN("" "",UNIQUE(TOCOL(ARRAYFORMULA(IF( SPLIT(C178,"" "")=TOCOL(SPLIT(C177,"" "")),SPLIT(C178,"" "")&amp;"" "",""""))))))"),"ROQUE GONSALES, SARAI")</f>
        <v>ROQUE GONSALES, SARAI</v>
      </c>
      <c r="L178" s="2" t="str">
        <f t="shared" si="1"/>
        <v/>
      </c>
      <c r="M178" s="2">
        <f t="shared" si="2"/>
        <v>174</v>
      </c>
      <c r="AY178" s="2" t="s">
        <v>961</v>
      </c>
    </row>
    <row r="179">
      <c r="A179" s="2">
        <f t="shared" si="3"/>
        <v>176</v>
      </c>
      <c r="B179" s="1" t="s">
        <v>190</v>
      </c>
      <c r="C179" s="2" t="s">
        <v>1064</v>
      </c>
      <c r="D179" s="2" t="s">
        <v>222</v>
      </c>
      <c r="E179" s="2">
        <v>28.0</v>
      </c>
      <c r="F179" s="2" t="s">
        <v>428</v>
      </c>
      <c r="G179" s="2" t="str">
        <f t="shared" si="4"/>
        <v/>
      </c>
      <c r="H179" s="2" t="str">
        <f t="shared" si="5"/>
        <v/>
      </c>
      <c r="I179" s="2" t="str">
        <f t="shared" si="6"/>
        <v/>
      </c>
      <c r="J179" s="2" t="b">
        <f t="shared" si="7"/>
        <v>1</v>
      </c>
      <c r="K179" s="2" t="str">
        <f>IFERROR(__xludf.DUMMYFUNCTION("TRIM(JOIN("" "",UNIQUE(TOCOL(ARRAYFORMULA(IF( SPLIT(C179,"" "")=TOCOL(SPLIT(C178,"" "")),SPLIT(C179,"" "")&amp;"" "",""""))))))"),"")</f>
        <v/>
      </c>
      <c r="L179" s="2" t="str">
        <f t="shared" si="1"/>
        <v/>
      </c>
      <c r="M179" s="2">
        <f t="shared" si="2"/>
        <v>176</v>
      </c>
      <c r="AY179" s="2" t="s">
        <v>1344</v>
      </c>
    </row>
    <row r="180">
      <c r="A180" s="2">
        <f t="shared" si="3"/>
        <v>177</v>
      </c>
      <c r="B180" s="1" t="s">
        <v>323</v>
      </c>
      <c r="C180" s="2" t="s">
        <v>333</v>
      </c>
      <c r="D180" s="2" t="s">
        <v>222</v>
      </c>
      <c r="E180" s="2">
        <v>37.0</v>
      </c>
      <c r="F180" s="2" t="s">
        <v>194</v>
      </c>
      <c r="G180" s="2" t="str">
        <f t="shared" si="4"/>
        <v/>
      </c>
      <c r="H180" s="2" t="str">
        <f t="shared" si="5"/>
        <v/>
      </c>
      <c r="I180" s="2" t="str">
        <f t="shared" si="6"/>
        <v/>
      </c>
      <c r="J180" s="2" t="b">
        <f t="shared" si="7"/>
        <v>0</v>
      </c>
      <c r="K180" s="2" t="str">
        <f>IFERROR(__xludf.DUMMYFUNCTION("TRIM(JOIN("" "",UNIQUE(TOCOL(ARRAYFORMULA(IF( SPLIT(C180,"" "")=TOCOL(SPLIT(C179,"" "")),SPLIT(C180,"" "")&amp;"" "",""""))))))"),"")</f>
        <v/>
      </c>
      <c r="L180" s="2" t="str">
        <f t="shared" si="1"/>
        <v/>
      </c>
      <c r="M180" s="2">
        <f t="shared" si="2"/>
        <v>177</v>
      </c>
      <c r="AY180" s="2" t="s">
        <v>1226</v>
      </c>
    </row>
    <row r="181">
      <c r="A181" s="2">
        <f t="shared" si="3"/>
        <v>178</v>
      </c>
      <c r="B181" s="1" t="s">
        <v>801</v>
      </c>
      <c r="C181" s="2" t="s">
        <v>1241</v>
      </c>
      <c r="D181" s="2" t="s">
        <v>222</v>
      </c>
      <c r="E181" s="2">
        <v>40.0</v>
      </c>
      <c r="F181" s="2" t="s">
        <v>428</v>
      </c>
      <c r="G181" s="2" t="str">
        <f t="shared" si="4"/>
        <v/>
      </c>
      <c r="H181" s="2" t="str">
        <f t="shared" si="5"/>
        <v/>
      </c>
      <c r="I181" s="2" t="str">
        <f t="shared" si="6"/>
        <v/>
      </c>
      <c r="J181" s="2" t="b">
        <f t="shared" si="7"/>
        <v>0</v>
      </c>
      <c r="K181" s="2" t="str">
        <f>IFERROR(__xludf.DUMMYFUNCTION("TRIM(JOIN("" "",UNIQUE(TOCOL(ARRAYFORMULA(IF( SPLIT(C181,"" "")=TOCOL(SPLIT(C180,"" "")),SPLIT(C181,"" "")&amp;"" "",""""))))))"),"")</f>
        <v/>
      </c>
      <c r="L181" s="2" t="str">
        <f t="shared" si="1"/>
        <v/>
      </c>
      <c r="M181" s="2">
        <f t="shared" si="2"/>
        <v>178</v>
      </c>
      <c r="AY181" s="2" t="s">
        <v>875</v>
      </c>
    </row>
    <row r="182">
      <c r="A182" s="2">
        <f t="shared" si="3"/>
        <v>179</v>
      </c>
      <c r="B182" s="1" t="s">
        <v>226</v>
      </c>
      <c r="C182" s="2" t="s">
        <v>257</v>
      </c>
      <c r="D182" s="2" t="s">
        <v>193</v>
      </c>
      <c r="E182" s="2">
        <v>29.0</v>
      </c>
      <c r="F182" s="2" t="s">
        <v>194</v>
      </c>
      <c r="G182" s="2" t="str">
        <f t="shared" si="4"/>
        <v/>
      </c>
      <c r="H182" s="2" t="str">
        <f t="shared" si="5"/>
        <v/>
      </c>
      <c r="I182" s="2" t="str">
        <f t="shared" si="6"/>
        <v/>
      </c>
      <c r="J182" s="2" t="b">
        <f t="shared" si="7"/>
        <v>0</v>
      </c>
      <c r="K182" s="2" t="str">
        <f>IFERROR(__xludf.DUMMYFUNCTION("TRIM(JOIN("" "",UNIQUE(TOCOL(ARRAYFORMULA(IF( SPLIT(C182,"" "")=TOCOL(SPLIT(C181,"" "")),SPLIT(C182,"" "")&amp;"" "",""""))))))"),"")</f>
        <v/>
      </c>
      <c r="L182" s="2" t="str">
        <f t="shared" si="1"/>
        <v/>
      </c>
      <c r="M182" s="2">
        <f t="shared" si="2"/>
        <v>179</v>
      </c>
      <c r="AY182" s="2" t="s">
        <v>286</v>
      </c>
    </row>
    <row r="183">
      <c r="A183" s="2">
        <f t="shared" si="3"/>
        <v>180</v>
      </c>
      <c r="B183" s="1" t="s">
        <v>693</v>
      </c>
      <c r="C183" s="2" t="s">
        <v>697</v>
      </c>
      <c r="D183" s="2" t="s">
        <v>222</v>
      </c>
      <c r="E183" s="2">
        <v>41.0</v>
      </c>
      <c r="F183" s="2" t="s">
        <v>194</v>
      </c>
      <c r="G183" s="2" t="str">
        <f t="shared" si="4"/>
        <v/>
      </c>
      <c r="H183" s="2" t="str">
        <f t="shared" si="5"/>
        <v/>
      </c>
      <c r="I183" s="2" t="str">
        <f t="shared" si="6"/>
        <v/>
      </c>
      <c r="J183" s="2" t="b">
        <f t="shared" si="7"/>
        <v>1</v>
      </c>
      <c r="K183" s="2" t="str">
        <f>IFERROR(__xludf.DUMMYFUNCTION("TRIM(JOIN("" "",UNIQUE(TOCOL(ARRAYFORMULA(IF( SPLIT(C183,"" "")=TOCOL(SPLIT(C182,"" "")),SPLIT(C183,"" "")&amp;"" "",""""))))))"),"")</f>
        <v/>
      </c>
      <c r="L183" s="2" t="str">
        <f t="shared" si="1"/>
        <v/>
      </c>
      <c r="M183" s="2">
        <f t="shared" si="2"/>
        <v>180</v>
      </c>
      <c r="AY183" s="2" t="s">
        <v>356</v>
      </c>
    </row>
    <row r="184">
      <c r="A184" s="2">
        <f t="shared" si="3"/>
        <v>181</v>
      </c>
      <c r="B184" s="1" t="s">
        <v>573</v>
      </c>
      <c r="C184" s="2" t="s">
        <v>575</v>
      </c>
      <c r="D184" s="2" t="s">
        <v>193</v>
      </c>
      <c r="E184" s="2">
        <v>36.0</v>
      </c>
      <c r="F184" s="2" t="s">
        <v>194</v>
      </c>
      <c r="G184" s="2" t="str">
        <f t="shared" si="4"/>
        <v/>
      </c>
      <c r="H184" s="2" t="str">
        <f t="shared" si="5"/>
        <v/>
      </c>
      <c r="I184" s="2" t="str">
        <f t="shared" si="6"/>
        <v/>
      </c>
      <c r="J184" s="2" t="b">
        <f t="shared" si="7"/>
        <v>1</v>
      </c>
      <c r="K184" s="2" t="str">
        <f>IFERROR(__xludf.DUMMYFUNCTION("TRIM(JOIN("" "",UNIQUE(TOCOL(ARRAYFORMULA(IF( SPLIT(C184,"" "")=TOCOL(SPLIT(C183,"" "")),SPLIT(C184,"" "")&amp;"" "",""""))))))"),"ROJAS")</f>
        <v>ROJAS</v>
      </c>
      <c r="L184" s="2" t="str">
        <f t="shared" si="1"/>
        <v/>
      </c>
      <c r="M184" s="2">
        <f t="shared" si="2"/>
        <v>181</v>
      </c>
      <c r="AY184" s="2" t="s">
        <v>282</v>
      </c>
    </row>
    <row r="185">
      <c r="A185" s="2">
        <f t="shared" si="3"/>
        <v>182</v>
      </c>
      <c r="B185" s="1" t="s">
        <v>573</v>
      </c>
      <c r="C185" s="2" t="s">
        <v>575</v>
      </c>
      <c r="D185" s="2" t="s">
        <v>193</v>
      </c>
      <c r="E185" s="2">
        <v>36.0</v>
      </c>
      <c r="F185" s="2" t="s">
        <v>428</v>
      </c>
      <c r="G185" s="2" t="str">
        <f t="shared" si="4"/>
        <v>misma edad</v>
      </c>
      <c r="H185" s="2" t="str">
        <f t="shared" si="5"/>
        <v>mismo nombre</v>
      </c>
      <c r="I185" s="2" t="str">
        <f t="shared" si="6"/>
        <v>mismo colegio</v>
      </c>
      <c r="J185" s="2" t="b">
        <f t="shared" si="7"/>
        <v>0</v>
      </c>
      <c r="K185" s="2" t="str">
        <f>IFERROR(__xludf.DUMMYFUNCTION("TRIM(JOIN("" "",UNIQUE(TOCOL(ARRAYFORMULA(IF( SPLIT(C185,"" "")=TOCOL(SPLIT(C184,"" "")),SPLIT(C185,"" "")&amp;"" "",""""))))))"),"ROJAS TURPO, MARICRUZ")</f>
        <v>ROJAS TURPO, MARICRUZ</v>
      </c>
      <c r="L185" s="2" t="str">
        <f t="shared" si="1"/>
        <v/>
      </c>
      <c r="M185" s="2">
        <f t="shared" si="2"/>
        <v>181</v>
      </c>
      <c r="AY185" s="2" t="s">
        <v>1273</v>
      </c>
    </row>
    <row r="186">
      <c r="A186" s="2">
        <f t="shared" si="3"/>
        <v>183</v>
      </c>
      <c r="B186" s="1" t="s">
        <v>994</v>
      </c>
      <c r="C186" s="2" t="s">
        <v>1024</v>
      </c>
      <c r="D186" s="40" t="s">
        <v>193</v>
      </c>
      <c r="E186" s="2">
        <v>32.0</v>
      </c>
      <c r="F186" s="2" t="s">
        <v>194</v>
      </c>
      <c r="G186" s="2" t="str">
        <f t="shared" si="4"/>
        <v/>
      </c>
      <c r="H186" s="2" t="str">
        <f t="shared" si="5"/>
        <v/>
      </c>
      <c r="I186" s="2" t="str">
        <f t="shared" si="6"/>
        <v/>
      </c>
      <c r="J186" s="2" t="b">
        <f t="shared" si="7"/>
        <v>0</v>
      </c>
      <c r="K186" s="2" t="str">
        <f>IFERROR(__xludf.DUMMYFUNCTION("TRIM(JOIN("" "",UNIQUE(TOCOL(ARRAYFORMULA(IF( SPLIT(C186,"" "")=TOCOL(SPLIT(C185,"" "")),SPLIT(C186,"" "")&amp;"" "",""""))))))"),"ROJAS")</f>
        <v>ROJAS</v>
      </c>
      <c r="L186" s="2" t="str">
        <f t="shared" si="1"/>
        <v/>
      </c>
      <c r="M186" s="2">
        <f t="shared" si="2"/>
        <v>183</v>
      </c>
      <c r="AY186" s="2" t="s">
        <v>230</v>
      </c>
    </row>
    <row r="187">
      <c r="A187" s="2">
        <f t="shared" si="3"/>
        <v>184</v>
      </c>
      <c r="B187" s="1" t="s">
        <v>719</v>
      </c>
      <c r="C187" s="2" t="s">
        <v>1420</v>
      </c>
      <c r="D187" s="2" t="s">
        <v>193</v>
      </c>
      <c r="E187" s="40"/>
      <c r="F187" s="2" t="s">
        <v>428</v>
      </c>
      <c r="G187" s="2" t="str">
        <f t="shared" si="4"/>
        <v/>
      </c>
      <c r="H187" s="2" t="str">
        <f t="shared" si="5"/>
        <v/>
      </c>
      <c r="I187" s="2" t="str">
        <f t="shared" si="6"/>
        <v/>
      </c>
      <c r="J187" s="2" t="b">
        <f t="shared" si="7"/>
        <v>0</v>
      </c>
      <c r="K187" s="2" t="str">
        <f>IFERROR(__xludf.DUMMYFUNCTION("TRIM(JOIN("" "",UNIQUE(TOCOL(ARRAYFORMULA(IF( SPLIT(C187,"" "")=TOCOL(SPLIT(C186,"" "")),SPLIT(C187,"" "")&amp;"" "",""""))))))"),"ROJAS")</f>
        <v>ROJAS</v>
      </c>
      <c r="L187" s="2" t="str">
        <f t="shared" si="1"/>
        <v/>
      </c>
      <c r="M187" s="2">
        <f t="shared" si="2"/>
        <v>184</v>
      </c>
      <c r="AY187" s="2" t="s">
        <v>312</v>
      </c>
    </row>
    <row r="188">
      <c r="A188" s="2">
        <f t="shared" si="3"/>
        <v>185</v>
      </c>
      <c r="B188" s="1" t="s">
        <v>719</v>
      </c>
      <c r="C188" s="2" t="s">
        <v>743</v>
      </c>
      <c r="D188" s="2" t="s">
        <v>250</v>
      </c>
      <c r="E188" s="2">
        <v>68.0</v>
      </c>
      <c r="F188" s="2" t="s">
        <v>194</v>
      </c>
      <c r="G188" s="2" t="str">
        <f t="shared" si="4"/>
        <v/>
      </c>
      <c r="H188" s="2" t="str">
        <f t="shared" si="5"/>
        <v/>
      </c>
      <c r="I188" s="2" t="str">
        <f t="shared" si="6"/>
        <v>mismo colegio</v>
      </c>
      <c r="J188" s="2" t="b">
        <f t="shared" si="7"/>
        <v>0</v>
      </c>
      <c r="K188" s="2" t="str">
        <f>IFERROR(__xludf.DUMMYFUNCTION("TRIM(JOIN("" "",UNIQUE(TOCOL(ARRAYFORMULA(IF( SPLIT(C188,"" "")=TOCOL(SPLIT(C187,"" "")),SPLIT(C188,"" "")&amp;"" "",""""))))))"),"ROJAS")</f>
        <v>ROJAS</v>
      </c>
      <c r="L188" s="2" t="str">
        <f t="shared" si="1"/>
        <v/>
      </c>
      <c r="M188" s="2">
        <f t="shared" si="2"/>
        <v>185</v>
      </c>
      <c r="AY188" s="2" t="s">
        <v>1079</v>
      </c>
    </row>
    <row r="189">
      <c r="A189" s="2">
        <f t="shared" si="3"/>
        <v>186</v>
      </c>
      <c r="B189" s="1" t="s">
        <v>626</v>
      </c>
      <c r="C189" s="2" t="s">
        <v>1341</v>
      </c>
      <c r="D189" s="2" t="s">
        <v>193</v>
      </c>
      <c r="E189" s="2">
        <v>28.0</v>
      </c>
      <c r="F189" s="2" t="s">
        <v>428</v>
      </c>
      <c r="G189" s="2" t="str">
        <f t="shared" si="4"/>
        <v/>
      </c>
      <c r="H189" s="2" t="str">
        <f t="shared" si="5"/>
        <v/>
      </c>
      <c r="I189" s="2" t="str">
        <f t="shared" si="6"/>
        <v/>
      </c>
      <c r="J189" s="2" t="b">
        <f t="shared" si="7"/>
        <v>0</v>
      </c>
      <c r="K189" s="2" t="str">
        <f>IFERROR(__xludf.DUMMYFUNCTION("TRIM(JOIN("" "",UNIQUE(TOCOL(ARRAYFORMULA(IF( SPLIT(C189,"" "")=TOCOL(SPLIT(C188,"" "")),SPLIT(C189,"" "")&amp;"" "",""""))))))"),"")</f>
        <v/>
      </c>
      <c r="L189" s="2" t="str">
        <f t="shared" si="1"/>
        <v/>
      </c>
      <c r="M189" s="2">
        <f t="shared" si="2"/>
        <v>186</v>
      </c>
      <c r="AY189" s="2" t="s">
        <v>1041</v>
      </c>
    </row>
    <row r="190">
      <c r="A190" s="2">
        <f t="shared" si="3"/>
        <v>187</v>
      </c>
      <c r="B190" s="1" t="s">
        <v>830</v>
      </c>
      <c r="C190" s="2" t="s">
        <v>853</v>
      </c>
      <c r="D190" s="2" t="s">
        <v>193</v>
      </c>
      <c r="E190" s="2">
        <v>43.0</v>
      </c>
      <c r="F190" s="2" t="s">
        <v>194</v>
      </c>
      <c r="G190" s="2" t="str">
        <f t="shared" si="4"/>
        <v/>
      </c>
      <c r="H190" s="2" t="str">
        <f t="shared" si="5"/>
        <v/>
      </c>
      <c r="I190" s="2" t="str">
        <f t="shared" si="6"/>
        <v/>
      </c>
      <c r="J190" s="2" t="b">
        <f t="shared" si="7"/>
        <v>0</v>
      </c>
      <c r="K190" s="2" t="str">
        <f>IFERROR(__xludf.DUMMYFUNCTION("TRIM(JOIN("" "",UNIQUE(TOCOL(ARRAYFORMULA(IF( SPLIT(C190,"" "")=TOCOL(SPLIT(C189,"" "")),SPLIT(C190,"" "")&amp;"" "",""""))))))"),"")</f>
        <v/>
      </c>
      <c r="L190" s="2" t="str">
        <f t="shared" si="1"/>
        <v/>
      </c>
      <c r="M190" s="2">
        <f t="shared" si="2"/>
        <v>187</v>
      </c>
      <c r="AY190" s="2" t="s">
        <v>1277</v>
      </c>
    </row>
    <row r="191">
      <c r="A191" s="2">
        <f t="shared" si="3"/>
        <v>188</v>
      </c>
      <c r="B191" s="1" t="s">
        <v>830</v>
      </c>
      <c r="C191" s="2" t="s">
        <v>853</v>
      </c>
      <c r="D191" s="2" t="s">
        <v>193</v>
      </c>
      <c r="E191" s="40"/>
      <c r="F191" s="2" t="s">
        <v>428</v>
      </c>
      <c r="G191" s="2" t="str">
        <f t="shared" si="4"/>
        <v/>
      </c>
      <c r="H191" s="2" t="str">
        <f t="shared" si="5"/>
        <v>mismo nombre</v>
      </c>
      <c r="I191" s="2" t="str">
        <f t="shared" si="6"/>
        <v>mismo colegio</v>
      </c>
      <c r="J191" s="2" t="b">
        <f t="shared" si="7"/>
        <v>0</v>
      </c>
      <c r="K191" s="2" t="str">
        <f>IFERROR(__xludf.DUMMYFUNCTION("TRIM(JOIN("" "",UNIQUE(TOCOL(ARRAYFORMULA(IF( SPLIT(C191,"" "")=TOCOL(SPLIT(C190,"" "")),SPLIT(C191,"" "")&amp;"" "",""""))))))"),"RODRIGUEZ IPARRAGUIRRE, DOMINGA GIOVANA")</f>
        <v>RODRIGUEZ IPARRAGUIRRE, DOMINGA GIOVANA</v>
      </c>
      <c r="L191" s="2" t="str">
        <f t="shared" si="1"/>
        <v/>
      </c>
      <c r="M191" s="2">
        <f t="shared" si="2"/>
        <v>187</v>
      </c>
      <c r="AY191" s="2" t="s">
        <v>1395</v>
      </c>
    </row>
    <row r="192">
      <c r="A192" s="2">
        <f t="shared" si="3"/>
        <v>189</v>
      </c>
      <c r="B192" s="1" t="s">
        <v>902</v>
      </c>
      <c r="C192" s="2" t="s">
        <v>907</v>
      </c>
      <c r="D192" s="2" t="s">
        <v>193</v>
      </c>
      <c r="E192" s="2">
        <v>31.0</v>
      </c>
      <c r="F192" s="2" t="s">
        <v>194</v>
      </c>
      <c r="G192" s="2" t="str">
        <f t="shared" si="4"/>
        <v/>
      </c>
      <c r="H192" s="2" t="str">
        <f t="shared" si="5"/>
        <v/>
      </c>
      <c r="I192" s="2" t="str">
        <f t="shared" si="6"/>
        <v/>
      </c>
      <c r="J192" s="2" t="b">
        <f t="shared" si="7"/>
        <v>0</v>
      </c>
      <c r="K192" s="2" t="str">
        <f>IFERROR(__xludf.DUMMYFUNCTION("TRIM(JOIN("" "",UNIQUE(TOCOL(ARRAYFORMULA(IF( SPLIT(C192,"" "")=TOCOL(SPLIT(C191,"" "")),SPLIT(C192,"" "")&amp;"" "",""""))))))"),"RODRIGUEZ")</f>
        <v>RODRIGUEZ</v>
      </c>
      <c r="L192" s="2" t="str">
        <f t="shared" si="1"/>
        <v/>
      </c>
      <c r="M192" s="2">
        <f t="shared" si="2"/>
        <v>189</v>
      </c>
      <c r="AY192" s="2" t="s">
        <v>1408</v>
      </c>
    </row>
    <row r="193">
      <c r="A193" s="2">
        <f t="shared" si="3"/>
        <v>190</v>
      </c>
      <c r="B193" s="1" t="s">
        <v>190</v>
      </c>
      <c r="C193" s="2" t="s">
        <v>1068</v>
      </c>
      <c r="D193" s="2" t="s">
        <v>222</v>
      </c>
      <c r="E193" s="2">
        <v>36.0</v>
      </c>
      <c r="F193" s="2" t="s">
        <v>428</v>
      </c>
      <c r="G193" s="2" t="str">
        <f t="shared" si="4"/>
        <v/>
      </c>
      <c r="H193" s="2" t="str">
        <f t="shared" si="5"/>
        <v/>
      </c>
      <c r="I193" s="2" t="str">
        <f t="shared" si="6"/>
        <v/>
      </c>
      <c r="J193" s="2" t="b">
        <f t="shared" si="7"/>
        <v>0</v>
      </c>
      <c r="K193" s="2" t="str">
        <f>IFERROR(__xludf.DUMMYFUNCTION("TRIM(JOIN("" "",UNIQUE(TOCOL(ARRAYFORMULA(IF( SPLIT(C193,"" "")=TOCOL(SPLIT(C192,"" "")),SPLIT(C193,"" "")&amp;"" "",""""))))))"),"")</f>
        <v/>
      </c>
      <c r="L193" s="2" t="str">
        <f t="shared" si="1"/>
        <v>-&gt;WITH THIS</v>
      </c>
      <c r="M193" s="2">
        <f t="shared" si="2"/>
        <v>190</v>
      </c>
      <c r="AY193" s="2" t="s">
        <v>308</v>
      </c>
    </row>
    <row r="194">
      <c r="A194" s="2">
        <f t="shared" si="3"/>
        <v>191</v>
      </c>
      <c r="B194" s="1" t="s">
        <v>190</v>
      </c>
      <c r="C194" s="2" t="s">
        <v>221</v>
      </c>
      <c r="D194" s="2" t="s">
        <v>222</v>
      </c>
      <c r="E194" s="2">
        <v>36.0</v>
      </c>
      <c r="F194" s="2" t="s">
        <v>194</v>
      </c>
      <c r="G194" s="2" t="str">
        <f t="shared" si="4"/>
        <v>misma edad</v>
      </c>
      <c r="H194" s="2" t="str">
        <f t="shared" si="5"/>
        <v/>
      </c>
      <c r="I194" s="2" t="str">
        <f t="shared" si="6"/>
        <v>mismo colegio</v>
      </c>
      <c r="J194" s="2" t="b">
        <f t="shared" si="7"/>
        <v>0</v>
      </c>
      <c r="K194" s="2" t="str">
        <f>IFERROR(__xludf.DUMMYFUNCTION("TRIM(JOIN("" "",UNIQUE(TOCOL(ARRAYFORMULA(IF( SPLIT(C194,"" "")=TOCOL(SPLIT(C193,"" "")),SPLIT(C194,"" "")&amp;"" "",""""))))))"),"RODOLFO AMADO CADILLO")</f>
        <v>RODOLFO AMADO CADILLO</v>
      </c>
      <c r="L194" s="2" t="str">
        <f t="shared" si="1"/>
        <v>EVALUAR</v>
      </c>
      <c r="M194" s="2">
        <f t="shared" si="2"/>
        <v>191</v>
      </c>
      <c r="AY194" s="2" t="s">
        <v>957</v>
      </c>
    </row>
    <row r="195">
      <c r="A195" s="2">
        <f t="shared" si="3"/>
        <v>192</v>
      </c>
      <c r="B195" s="1" t="s">
        <v>69</v>
      </c>
      <c r="C195" s="2" t="s">
        <v>397</v>
      </c>
      <c r="D195" s="2" t="s">
        <v>193</v>
      </c>
      <c r="E195" s="2">
        <v>29.0</v>
      </c>
      <c r="F195" s="2" t="s">
        <v>194</v>
      </c>
      <c r="G195" s="2" t="str">
        <f t="shared" si="4"/>
        <v/>
      </c>
      <c r="H195" s="2" t="str">
        <f t="shared" si="5"/>
        <v/>
      </c>
      <c r="I195" s="2" t="str">
        <f t="shared" si="6"/>
        <v/>
      </c>
      <c r="J195" s="2" t="b">
        <f t="shared" si="7"/>
        <v>1</v>
      </c>
      <c r="K195" s="2" t="str">
        <f>IFERROR(__xludf.DUMMYFUNCTION("TRIM(JOIN("" "",UNIQUE(TOCOL(ARRAYFORMULA(IF( SPLIT(C195,"" "")=TOCOL(SPLIT(C194,"" "")),SPLIT(C195,"" "")&amp;"" "",""""))))))"),"")</f>
        <v/>
      </c>
      <c r="L195" s="2" t="str">
        <f t="shared" si="1"/>
        <v/>
      </c>
      <c r="M195" s="2">
        <f t="shared" si="2"/>
        <v>192</v>
      </c>
      <c r="AY195" s="2" t="s">
        <v>712</v>
      </c>
    </row>
    <row r="196">
      <c r="A196" s="2">
        <f t="shared" si="3"/>
        <v>193</v>
      </c>
      <c r="B196" s="1" t="s">
        <v>323</v>
      </c>
      <c r="C196" s="2" t="s">
        <v>1350</v>
      </c>
      <c r="D196" s="2" t="s">
        <v>193</v>
      </c>
      <c r="E196" s="2">
        <v>41.0</v>
      </c>
      <c r="F196" s="2" t="s">
        <v>428</v>
      </c>
      <c r="G196" s="2" t="str">
        <f t="shared" si="4"/>
        <v/>
      </c>
      <c r="H196" s="2" t="str">
        <f t="shared" si="5"/>
        <v/>
      </c>
      <c r="I196" s="2" t="str">
        <f t="shared" si="6"/>
        <v/>
      </c>
      <c r="J196" s="2" t="b">
        <f t="shared" si="7"/>
        <v>0</v>
      </c>
      <c r="K196" s="2" t="str">
        <f>IFERROR(__xludf.DUMMYFUNCTION("TRIM(JOIN("" "",UNIQUE(TOCOL(ARRAYFORMULA(IF( SPLIT(C196,"" "")=TOCOL(SPLIT(C195,"" "")),SPLIT(C196,"" "")&amp;"" "",""""))))))"),"ROCIO")</f>
        <v>ROCIO</v>
      </c>
      <c r="L196" s="2" t="str">
        <f t="shared" si="1"/>
        <v/>
      </c>
      <c r="M196" s="2">
        <f t="shared" si="2"/>
        <v>193</v>
      </c>
      <c r="AY196" s="2" t="s">
        <v>437</v>
      </c>
    </row>
    <row r="197">
      <c r="A197" s="2">
        <f t="shared" si="3"/>
        <v>194</v>
      </c>
      <c r="B197" s="1" t="s">
        <v>69</v>
      </c>
      <c r="C197" s="2" t="s">
        <v>1165</v>
      </c>
      <c r="D197" s="2" t="s">
        <v>193</v>
      </c>
      <c r="E197" s="2">
        <v>29.0</v>
      </c>
      <c r="F197" s="2" t="s">
        <v>428</v>
      </c>
      <c r="G197" s="2" t="str">
        <f t="shared" si="4"/>
        <v/>
      </c>
      <c r="H197" s="2" t="str">
        <f t="shared" si="5"/>
        <v/>
      </c>
      <c r="I197" s="2" t="str">
        <f t="shared" si="6"/>
        <v/>
      </c>
      <c r="J197" s="2" t="b">
        <f t="shared" si="7"/>
        <v>1</v>
      </c>
      <c r="K197" s="2" t="str">
        <f>IFERROR(__xludf.DUMMYFUNCTION("TRIM(JOIN("" "",UNIQUE(TOCOL(ARRAYFORMULA(IF( SPLIT(C197,"" "")=TOCOL(SPLIT(C196,"" "")),SPLIT(C197,"" "")&amp;"" "",""""))))))"),"")</f>
        <v/>
      </c>
      <c r="L197" s="2" t="str">
        <f t="shared" si="1"/>
        <v/>
      </c>
      <c r="M197" s="2">
        <f t="shared" si="2"/>
        <v>194</v>
      </c>
      <c r="AY197" s="2" t="s">
        <v>389</v>
      </c>
    </row>
    <row r="198">
      <c r="A198" s="2">
        <f t="shared" si="3"/>
        <v>195</v>
      </c>
      <c r="B198" s="1" t="s">
        <v>830</v>
      </c>
      <c r="C198" s="2" t="s">
        <v>870</v>
      </c>
      <c r="D198" s="2" t="s">
        <v>193</v>
      </c>
      <c r="E198" s="2">
        <v>31.0</v>
      </c>
      <c r="F198" s="2" t="s">
        <v>194</v>
      </c>
      <c r="G198" s="2" t="str">
        <f t="shared" si="4"/>
        <v/>
      </c>
      <c r="H198" s="2" t="str">
        <f t="shared" si="5"/>
        <v/>
      </c>
      <c r="I198" s="2" t="str">
        <f t="shared" si="6"/>
        <v/>
      </c>
      <c r="J198" s="2" t="b">
        <f t="shared" si="7"/>
        <v>0</v>
      </c>
      <c r="K198" s="2" t="str">
        <f>IFERROR(__xludf.DUMMYFUNCTION("TRIM(JOIN("" "",UNIQUE(TOCOL(ARRAYFORMULA(IF( SPLIT(C198,"" "")=TOCOL(SPLIT(C197,"" "")),SPLIT(C198,"" "")&amp;"" "",""""))))))"),"")</f>
        <v/>
      </c>
      <c r="L198" s="2" t="str">
        <f t="shared" si="1"/>
        <v/>
      </c>
      <c r="M198" s="2">
        <f t="shared" si="2"/>
        <v>195</v>
      </c>
      <c r="AY198" s="2" t="s">
        <v>1252</v>
      </c>
    </row>
    <row r="199">
      <c r="A199" s="2">
        <f t="shared" si="3"/>
        <v>196</v>
      </c>
      <c r="B199" s="1" t="s">
        <v>830</v>
      </c>
      <c r="C199" s="2" t="s">
        <v>870</v>
      </c>
      <c r="D199" s="2" t="s">
        <v>193</v>
      </c>
      <c r="E199" s="2">
        <v>31.0</v>
      </c>
      <c r="F199" s="2" t="s">
        <v>428</v>
      </c>
      <c r="G199" s="2" t="str">
        <f t="shared" si="4"/>
        <v>misma edad</v>
      </c>
      <c r="H199" s="2" t="str">
        <f t="shared" si="5"/>
        <v>mismo nombre</v>
      </c>
      <c r="I199" s="2" t="str">
        <f t="shared" si="6"/>
        <v>mismo colegio</v>
      </c>
      <c r="J199" s="2" t="b">
        <f t="shared" si="7"/>
        <v>0</v>
      </c>
      <c r="K199" s="2" t="str">
        <f>IFERROR(__xludf.DUMMYFUNCTION("TRIM(JOIN("" "",UNIQUE(TOCOL(ARRAYFORMULA(IF( SPLIT(C199,"" "")=TOCOL(SPLIT(C198,"" "")),SPLIT(C199,"" "")&amp;"" "",""""))))))"),"ROCA ESPINOZA, STEPHANY EMILIA")</f>
        <v>ROCA ESPINOZA, STEPHANY EMILIA</v>
      </c>
      <c r="L199" s="2" t="str">
        <f t="shared" si="1"/>
        <v/>
      </c>
      <c r="M199" s="2">
        <f t="shared" si="2"/>
        <v>195</v>
      </c>
      <c r="AY199" s="2" t="s">
        <v>819</v>
      </c>
    </row>
    <row r="200">
      <c r="A200" s="2">
        <f t="shared" si="3"/>
        <v>197</v>
      </c>
      <c r="B200" s="1" t="s">
        <v>719</v>
      </c>
      <c r="C200" s="2" t="s">
        <v>766</v>
      </c>
      <c r="D200" s="2" t="s">
        <v>193</v>
      </c>
      <c r="E200" s="2">
        <v>31.0</v>
      </c>
      <c r="F200" s="2" t="s">
        <v>194</v>
      </c>
      <c r="G200" s="2" t="str">
        <f t="shared" si="4"/>
        <v>misma edad</v>
      </c>
      <c r="H200" s="2" t="str">
        <f t="shared" si="5"/>
        <v/>
      </c>
      <c r="I200" s="2" t="str">
        <f t="shared" si="6"/>
        <v/>
      </c>
      <c r="J200" s="2" t="b">
        <f t="shared" si="7"/>
        <v>0</v>
      </c>
      <c r="K200" s="2" t="str">
        <f>IFERROR(__xludf.DUMMYFUNCTION("TRIM(JOIN("" "",UNIQUE(TOCOL(ARRAYFORMULA(IF( SPLIT(C200,"" "")=TOCOL(SPLIT(C199,"" "")),SPLIT(C200,"" "")&amp;"" "",""""))))))"),"")</f>
        <v/>
      </c>
      <c r="L200" s="2" t="str">
        <f t="shared" si="1"/>
        <v/>
      </c>
      <c r="M200" s="2">
        <f t="shared" si="2"/>
        <v>197</v>
      </c>
      <c r="AY200" s="2" t="s">
        <v>857</v>
      </c>
    </row>
    <row r="201">
      <c r="A201" s="2">
        <f t="shared" si="3"/>
        <v>198</v>
      </c>
      <c r="B201" s="1" t="s">
        <v>719</v>
      </c>
      <c r="C201" s="2" t="s">
        <v>766</v>
      </c>
      <c r="D201" s="2" t="s">
        <v>193</v>
      </c>
      <c r="E201" s="2">
        <v>34.0</v>
      </c>
      <c r="F201" s="2" t="s">
        <v>428</v>
      </c>
      <c r="G201" s="2" t="str">
        <f t="shared" si="4"/>
        <v/>
      </c>
      <c r="H201" s="2" t="str">
        <f t="shared" si="5"/>
        <v>mismo nombre</v>
      </c>
      <c r="I201" s="2" t="str">
        <f t="shared" si="6"/>
        <v>mismo colegio</v>
      </c>
      <c r="J201" s="2" t="b">
        <f t="shared" si="7"/>
        <v>0</v>
      </c>
      <c r="K201" s="2" t="str">
        <f>IFERROR(__xludf.DUMMYFUNCTION("TRIM(JOIN("" "",UNIQUE(TOCOL(ARRAYFORMULA(IF( SPLIT(C201,"" "")=TOCOL(SPLIT(C200,"" "")),SPLIT(C201,"" "")&amp;"" "",""""))))))"),"ROBLES REYES CARMEN")</f>
        <v>ROBLES REYES CARMEN</v>
      </c>
      <c r="L201" s="2" t="str">
        <f t="shared" si="1"/>
        <v/>
      </c>
      <c r="M201" s="2">
        <f t="shared" si="2"/>
        <v>197</v>
      </c>
      <c r="AY201" s="2" t="s">
        <v>965</v>
      </c>
    </row>
    <row r="202">
      <c r="A202" s="2">
        <f t="shared" si="3"/>
        <v>199</v>
      </c>
      <c r="B202" s="1" t="s">
        <v>634</v>
      </c>
      <c r="C202" s="2" t="s">
        <v>639</v>
      </c>
      <c r="D202" s="2" t="s">
        <v>193</v>
      </c>
      <c r="E202" s="2">
        <v>27.0</v>
      </c>
      <c r="F202" s="2" t="s">
        <v>194</v>
      </c>
      <c r="G202" s="2" t="str">
        <f t="shared" si="4"/>
        <v/>
      </c>
      <c r="H202" s="2" t="str">
        <f t="shared" si="5"/>
        <v/>
      </c>
      <c r="I202" s="2" t="str">
        <f t="shared" si="6"/>
        <v/>
      </c>
      <c r="J202" s="2" t="b">
        <f t="shared" si="7"/>
        <v>0</v>
      </c>
      <c r="K202" s="2" t="str">
        <f>IFERROR(__xludf.DUMMYFUNCTION("TRIM(JOIN("" "",UNIQUE(TOCOL(ARRAYFORMULA(IF( SPLIT(C202,"" "")=TOCOL(SPLIT(C201,"" "")),SPLIT(C202,"" "")&amp;"" "",""""))))))"),"")</f>
        <v/>
      </c>
      <c r="L202" s="2" t="str">
        <f t="shared" si="1"/>
        <v/>
      </c>
      <c r="M202" s="2">
        <f t="shared" si="2"/>
        <v>199</v>
      </c>
      <c r="AY202" s="2" t="s">
        <v>1447</v>
      </c>
    </row>
    <row r="203">
      <c r="A203" s="2">
        <f t="shared" si="3"/>
        <v>200</v>
      </c>
      <c r="B203" s="1" t="s">
        <v>634</v>
      </c>
      <c r="C203" s="2" t="s">
        <v>639</v>
      </c>
      <c r="D203" s="2" t="s">
        <v>193</v>
      </c>
      <c r="E203" s="2">
        <v>28.0</v>
      </c>
      <c r="F203" s="2" t="s">
        <v>428</v>
      </c>
      <c r="G203" s="2" t="str">
        <f t="shared" si="4"/>
        <v/>
      </c>
      <c r="H203" s="2" t="str">
        <f t="shared" si="5"/>
        <v>mismo nombre</v>
      </c>
      <c r="I203" s="2" t="str">
        <f t="shared" si="6"/>
        <v>mismo colegio</v>
      </c>
      <c r="J203" s="2" t="b">
        <f t="shared" si="7"/>
        <v>0</v>
      </c>
      <c r="K203" s="2" t="str">
        <f>IFERROR(__xludf.DUMMYFUNCTION("TRIM(JOIN("" "",UNIQUE(TOCOL(ARRAYFORMULA(IF( SPLIT(C203,"" "")=TOCOL(SPLIT(C202,"" "")),SPLIT(C203,"" "")&amp;"" "",""""))))))"),"RIVERA RAMIREZ RUT DEYSI")</f>
        <v>RIVERA RAMIREZ RUT DEYSI</v>
      </c>
      <c r="L203" s="2" t="str">
        <f t="shared" si="1"/>
        <v/>
      </c>
      <c r="M203" s="2">
        <f t="shared" si="2"/>
        <v>199</v>
      </c>
      <c r="AY203" s="2" t="s">
        <v>1106</v>
      </c>
    </row>
    <row r="204">
      <c r="A204" s="2">
        <f t="shared" si="3"/>
        <v>201</v>
      </c>
      <c r="B204" s="1" t="s">
        <v>693</v>
      </c>
      <c r="C204" s="2" t="s">
        <v>1389</v>
      </c>
      <c r="D204" s="2" t="s">
        <v>193</v>
      </c>
      <c r="E204" s="2">
        <v>30.0</v>
      </c>
      <c r="F204" s="2" t="s">
        <v>428</v>
      </c>
      <c r="G204" s="2" t="str">
        <f t="shared" si="4"/>
        <v/>
      </c>
      <c r="H204" s="2" t="str">
        <f t="shared" si="5"/>
        <v/>
      </c>
      <c r="I204" s="2" t="str">
        <f t="shared" si="6"/>
        <v/>
      </c>
      <c r="J204" s="2" t="b">
        <f t="shared" si="7"/>
        <v>1</v>
      </c>
      <c r="K204" s="2" t="str">
        <f>IFERROR(__xludf.DUMMYFUNCTION("TRIM(JOIN("" "",UNIQUE(TOCOL(ARRAYFORMULA(IF( SPLIT(C204,"" "")=TOCOL(SPLIT(C203,"" "")),SPLIT(C204,"" "")&amp;"" "",""""))))))"),"RIVERA")</f>
        <v>RIVERA</v>
      </c>
      <c r="L204" s="2" t="str">
        <f t="shared" si="1"/>
        <v/>
      </c>
      <c r="M204" s="2">
        <f t="shared" si="2"/>
        <v>201</v>
      </c>
      <c r="AY204" s="2" t="s">
        <v>1211</v>
      </c>
    </row>
    <row r="205">
      <c r="A205" s="2">
        <f t="shared" si="3"/>
        <v>202</v>
      </c>
      <c r="B205" s="1" t="s">
        <v>144</v>
      </c>
      <c r="C205" s="2" t="s">
        <v>564</v>
      </c>
      <c r="D205" s="2" t="s">
        <v>193</v>
      </c>
      <c r="E205" s="2">
        <v>26.0</v>
      </c>
      <c r="F205" s="2" t="s">
        <v>194</v>
      </c>
      <c r="G205" s="2" t="str">
        <f t="shared" si="4"/>
        <v/>
      </c>
      <c r="H205" s="2" t="str">
        <f t="shared" si="5"/>
        <v/>
      </c>
      <c r="I205" s="2" t="str">
        <f t="shared" si="6"/>
        <v/>
      </c>
      <c r="J205" s="2" t="b">
        <f t="shared" si="7"/>
        <v>0</v>
      </c>
      <c r="K205" s="2" t="str">
        <f>IFERROR(__xludf.DUMMYFUNCTION("TRIM(JOIN("" "",UNIQUE(TOCOL(ARRAYFORMULA(IF( SPLIT(C205,"" "")=TOCOL(SPLIT(C204,"" "")),SPLIT(C205,"" "")&amp;"" "",""""))))))"),"")</f>
        <v/>
      </c>
      <c r="L205" s="2" t="str">
        <f t="shared" si="1"/>
        <v/>
      </c>
      <c r="M205" s="2">
        <f t="shared" si="2"/>
        <v>202</v>
      </c>
      <c r="AY205" s="2" t="s">
        <v>1111</v>
      </c>
    </row>
    <row r="206">
      <c r="A206" s="2">
        <f t="shared" si="3"/>
        <v>203</v>
      </c>
      <c r="B206" s="1" t="s">
        <v>668</v>
      </c>
      <c r="C206" s="2" t="s">
        <v>678</v>
      </c>
      <c r="D206" s="2" t="s">
        <v>193</v>
      </c>
      <c r="E206" s="2">
        <v>30.0</v>
      </c>
      <c r="F206" s="2" t="s">
        <v>194</v>
      </c>
      <c r="G206" s="2" t="str">
        <f t="shared" si="4"/>
        <v/>
      </c>
      <c r="H206" s="2" t="str">
        <f t="shared" si="5"/>
        <v/>
      </c>
      <c r="I206" s="2" t="str">
        <f t="shared" si="6"/>
        <v/>
      </c>
      <c r="J206" s="2" t="b">
        <f t="shared" si="7"/>
        <v>1</v>
      </c>
      <c r="K206" s="2" t="str">
        <f>IFERROR(__xludf.DUMMYFUNCTION("TRIM(JOIN("" "",UNIQUE(TOCOL(ARRAYFORMULA(IF( SPLIT(C206,"" "")=TOCOL(SPLIT(C205,"" "")),SPLIT(C206,"" "")&amp;"" "",""""))))))"),"")</f>
        <v/>
      </c>
      <c r="L206" s="2" t="str">
        <f t="shared" si="1"/>
        <v/>
      </c>
      <c r="M206" s="2">
        <f t="shared" si="2"/>
        <v>203</v>
      </c>
      <c r="AY206" s="2" t="s">
        <v>1300</v>
      </c>
    </row>
    <row r="207">
      <c r="A207" s="2">
        <f t="shared" si="3"/>
        <v>204</v>
      </c>
      <c r="B207" s="1" t="s">
        <v>813</v>
      </c>
      <c r="C207" s="2" t="s">
        <v>826</v>
      </c>
      <c r="D207" s="2" t="s">
        <v>193</v>
      </c>
      <c r="E207" s="2">
        <v>20.0</v>
      </c>
      <c r="F207" s="2" t="s">
        <v>194</v>
      </c>
      <c r="G207" s="2" t="str">
        <f t="shared" si="4"/>
        <v/>
      </c>
      <c r="H207" s="2" t="str">
        <f t="shared" si="5"/>
        <v/>
      </c>
      <c r="I207" s="2" t="str">
        <f t="shared" si="6"/>
        <v/>
      </c>
      <c r="J207" s="2" t="b">
        <f t="shared" si="7"/>
        <v>1</v>
      </c>
      <c r="K207" s="2" t="str">
        <f>IFERROR(__xludf.DUMMYFUNCTION("TRIM(JOIN("" "",UNIQUE(TOCOL(ARRAYFORMULA(IF( SPLIT(C207,"" "")=TOCOL(SPLIT(C206,"" "")),SPLIT(C207,"" "")&amp;"" "",""""))))))"),"")</f>
        <v/>
      </c>
      <c r="L207" s="2" t="str">
        <f t="shared" si="1"/>
        <v/>
      </c>
      <c r="M207" s="2">
        <f t="shared" si="2"/>
        <v>204</v>
      </c>
      <c r="AY207" s="2" t="s">
        <v>1209</v>
      </c>
    </row>
    <row r="208">
      <c r="A208" s="2">
        <f t="shared" si="3"/>
        <v>205</v>
      </c>
      <c r="B208" s="1" t="s">
        <v>813</v>
      </c>
      <c r="C208" s="2" t="s">
        <v>826</v>
      </c>
      <c r="D208" s="2" t="s">
        <v>193</v>
      </c>
      <c r="E208" s="2">
        <v>21.0</v>
      </c>
      <c r="F208" s="2" t="s">
        <v>428</v>
      </c>
      <c r="G208" s="2" t="str">
        <f t="shared" si="4"/>
        <v/>
      </c>
      <c r="H208" s="2" t="str">
        <f t="shared" si="5"/>
        <v>mismo nombre</v>
      </c>
      <c r="I208" s="2" t="str">
        <f t="shared" si="6"/>
        <v>mismo colegio</v>
      </c>
      <c r="J208" s="2" t="b">
        <f t="shared" si="7"/>
        <v>0</v>
      </c>
      <c r="K208" s="2" t="str">
        <f>IFERROR(__xludf.DUMMYFUNCTION("TRIM(JOIN("" "",UNIQUE(TOCOL(ARRAYFORMULA(IF( SPLIT(C208,"" "")=TOCOL(SPLIT(C207,"" "")),SPLIT(C208,"" "")&amp;"" "",""""))))))"),"REYES SOTELO, ALISSON")</f>
        <v>REYES SOTELO, ALISSON</v>
      </c>
      <c r="L208" s="2" t="str">
        <f t="shared" si="1"/>
        <v/>
      </c>
      <c r="M208" s="2">
        <f t="shared" si="2"/>
        <v>204</v>
      </c>
      <c r="AY208" s="2" t="s">
        <v>1242</v>
      </c>
    </row>
    <row r="209">
      <c r="A209" s="2">
        <f t="shared" si="3"/>
        <v>206</v>
      </c>
      <c r="B209" s="1" t="s">
        <v>668</v>
      </c>
      <c r="C209" s="2" t="s">
        <v>1470</v>
      </c>
      <c r="D209" s="2" t="s">
        <v>193</v>
      </c>
      <c r="E209" s="2">
        <v>50.0</v>
      </c>
      <c r="F209" s="2" t="s">
        <v>428</v>
      </c>
      <c r="G209" s="2" t="str">
        <f t="shared" si="4"/>
        <v/>
      </c>
      <c r="H209" s="2" t="str">
        <f t="shared" si="5"/>
        <v/>
      </c>
      <c r="I209" s="2" t="str">
        <f t="shared" si="6"/>
        <v/>
      </c>
      <c r="J209" s="2" t="b">
        <f t="shared" si="7"/>
        <v>1</v>
      </c>
      <c r="K209" s="2" t="str">
        <f>IFERROR(__xludf.DUMMYFUNCTION("TRIM(JOIN("" "",UNIQUE(TOCOL(ARRAYFORMULA(IF( SPLIT(C209,"" "")=TOCOL(SPLIT(C208,"" "")),SPLIT(C209,"" "")&amp;"" "",""""))))))"),"REYES")</f>
        <v>REYES</v>
      </c>
      <c r="L209" s="2" t="str">
        <f t="shared" si="1"/>
        <v/>
      </c>
      <c r="M209" s="2">
        <f t="shared" si="2"/>
        <v>206</v>
      </c>
      <c r="AY209" s="2" t="s">
        <v>583</v>
      </c>
    </row>
    <row r="210">
      <c r="A210" s="2">
        <f t="shared" si="3"/>
        <v>207</v>
      </c>
      <c r="B210" s="1" t="s">
        <v>693</v>
      </c>
      <c r="C210" s="2" t="s">
        <v>1396</v>
      </c>
      <c r="D210" s="2" t="s">
        <v>222</v>
      </c>
      <c r="E210" s="2">
        <v>27.0</v>
      </c>
      <c r="F210" s="2" t="s">
        <v>428</v>
      </c>
      <c r="G210" s="2" t="str">
        <f t="shared" si="4"/>
        <v/>
      </c>
      <c r="H210" s="2" t="str">
        <f t="shared" si="5"/>
        <v/>
      </c>
      <c r="I210" s="2" t="str">
        <f t="shared" si="6"/>
        <v/>
      </c>
      <c r="J210" s="2" t="b">
        <f t="shared" si="7"/>
        <v>1</v>
      </c>
      <c r="K210" s="2" t="str">
        <f>IFERROR(__xludf.DUMMYFUNCTION("TRIM(JOIN("" "",UNIQUE(TOCOL(ARRAYFORMULA(IF( SPLIT(C210,"" "")=TOCOL(SPLIT(C209,"" "")),SPLIT(C210,"" "")&amp;"" "",""""))))))"),"REYES")</f>
        <v>REYES</v>
      </c>
      <c r="L210" s="2" t="str">
        <f t="shared" si="1"/>
        <v/>
      </c>
      <c r="M210" s="2">
        <f t="shared" si="2"/>
        <v>207</v>
      </c>
      <c r="AY210" s="2" t="s">
        <v>348</v>
      </c>
    </row>
    <row r="211">
      <c r="A211" s="2">
        <f t="shared" si="3"/>
        <v>208</v>
      </c>
      <c r="B211" s="1" t="s">
        <v>634</v>
      </c>
      <c r="C211" s="2" t="s">
        <v>1489</v>
      </c>
      <c r="D211" s="2" t="s">
        <v>193</v>
      </c>
      <c r="E211" s="2">
        <v>40.0</v>
      </c>
      <c r="F211" s="2" t="s">
        <v>428</v>
      </c>
      <c r="G211" s="2" t="str">
        <f t="shared" si="4"/>
        <v/>
      </c>
      <c r="H211" s="2" t="str">
        <f t="shared" si="5"/>
        <v/>
      </c>
      <c r="I211" s="2" t="str">
        <f t="shared" si="6"/>
        <v/>
      </c>
      <c r="J211" s="2" t="b">
        <f t="shared" si="7"/>
        <v>1</v>
      </c>
      <c r="K211" s="2" t="str">
        <f>IFERROR(__xludf.DUMMYFUNCTION("TRIM(JOIN("" "",UNIQUE(TOCOL(ARRAYFORMULA(IF( SPLIT(C211,"" "")=TOCOL(SPLIT(C210,"" "")),SPLIT(C211,"" "")&amp;"" "",""""))))))"),"REYES")</f>
        <v>REYES</v>
      </c>
      <c r="L211" s="2" t="str">
        <f t="shared" si="1"/>
        <v/>
      </c>
      <c r="M211" s="2">
        <f t="shared" si="2"/>
        <v>208</v>
      </c>
      <c r="AY211" s="2" t="s">
        <v>1156</v>
      </c>
    </row>
    <row r="212">
      <c r="A212" s="2">
        <f t="shared" si="3"/>
        <v>209</v>
      </c>
      <c r="B212" s="1" t="s">
        <v>994</v>
      </c>
      <c r="C212" s="2" t="s">
        <v>1020</v>
      </c>
      <c r="D212" s="40" t="s">
        <v>193</v>
      </c>
      <c r="E212" s="2">
        <v>34.0</v>
      </c>
      <c r="F212" s="2" t="s">
        <v>194</v>
      </c>
      <c r="G212" s="2" t="str">
        <f t="shared" si="4"/>
        <v/>
      </c>
      <c r="H212" s="2" t="str">
        <f t="shared" si="5"/>
        <v/>
      </c>
      <c r="I212" s="2" t="str">
        <f t="shared" si="6"/>
        <v/>
      </c>
      <c r="J212" s="2" t="b">
        <f t="shared" si="7"/>
        <v>0</v>
      </c>
      <c r="K212" s="2" t="str">
        <f>IFERROR(__xludf.DUMMYFUNCTION("TRIM(JOIN("" "",UNIQUE(TOCOL(ARRAYFORMULA(IF( SPLIT(C212,"" "")=TOCOL(SPLIT(C211,"" "")),SPLIT(C212,"" "")&amp;"" "",""""))))))"),"")</f>
        <v/>
      </c>
      <c r="L212" s="2" t="str">
        <f t="shared" si="1"/>
        <v/>
      </c>
      <c r="M212" s="2">
        <f t="shared" si="2"/>
        <v>209</v>
      </c>
      <c r="AY212" s="2" t="s">
        <v>445</v>
      </c>
    </row>
    <row r="213">
      <c r="A213" s="2">
        <f t="shared" si="3"/>
        <v>210</v>
      </c>
      <c r="B213" s="1" t="s">
        <v>595</v>
      </c>
      <c r="C213" s="2" t="s">
        <v>618</v>
      </c>
      <c r="D213" s="2" t="s">
        <v>193</v>
      </c>
      <c r="E213" s="2">
        <v>33.0</v>
      </c>
      <c r="F213" s="2" t="s">
        <v>194</v>
      </c>
      <c r="G213" s="2" t="str">
        <f t="shared" si="4"/>
        <v/>
      </c>
      <c r="H213" s="2" t="str">
        <f t="shared" si="5"/>
        <v/>
      </c>
      <c r="I213" s="2" t="str">
        <f t="shared" si="6"/>
        <v/>
      </c>
      <c r="J213" s="2" t="b">
        <f t="shared" si="7"/>
        <v>1</v>
      </c>
      <c r="K213" s="2" t="str">
        <f>IFERROR(__xludf.DUMMYFUNCTION("TRIM(JOIN("" "",UNIQUE(TOCOL(ARRAYFORMULA(IF( SPLIT(C213,"" "")=TOCOL(SPLIT(C212,"" "")),SPLIT(C213,"" "")&amp;"" "",""""))))))"),"")</f>
        <v/>
      </c>
      <c r="L213" s="2" t="str">
        <f t="shared" si="1"/>
        <v/>
      </c>
      <c r="M213" s="2">
        <f t="shared" si="2"/>
        <v>210</v>
      </c>
      <c r="AY213" s="2" t="s">
        <v>812</v>
      </c>
    </row>
    <row r="214">
      <c r="A214" s="2">
        <f t="shared" si="3"/>
        <v>211</v>
      </c>
      <c r="B214" s="1" t="s">
        <v>830</v>
      </c>
      <c r="C214" s="2" t="s">
        <v>836</v>
      </c>
      <c r="D214" s="2" t="s">
        <v>193</v>
      </c>
      <c r="E214" s="2"/>
      <c r="F214" s="2" t="s">
        <v>194</v>
      </c>
      <c r="G214" s="2" t="str">
        <f t="shared" si="4"/>
        <v/>
      </c>
      <c r="H214" s="2" t="str">
        <f t="shared" si="5"/>
        <v/>
      </c>
      <c r="I214" s="2" t="str">
        <f t="shared" si="6"/>
        <v/>
      </c>
      <c r="J214" s="2" t="b">
        <f t="shared" si="7"/>
        <v>1</v>
      </c>
      <c r="K214" s="2" t="str">
        <f>IFERROR(__xludf.DUMMYFUNCTION("TRIM(JOIN("" "",UNIQUE(TOCOL(ARRAYFORMULA(IF( SPLIT(C214,"" "")=TOCOL(SPLIT(C213,"" "")),SPLIT(C214,"" "")&amp;"" "",""""))))))"),"")</f>
        <v/>
      </c>
      <c r="L214" s="2" t="str">
        <f t="shared" si="1"/>
        <v/>
      </c>
      <c r="M214" s="2">
        <f t="shared" si="2"/>
        <v>211</v>
      </c>
      <c r="AY214" s="2" t="s">
        <v>1265</v>
      </c>
    </row>
    <row r="215">
      <c r="A215" s="2">
        <f t="shared" si="3"/>
        <v>212</v>
      </c>
      <c r="B215" s="1" t="s">
        <v>830</v>
      </c>
      <c r="C215" s="2" t="s">
        <v>836</v>
      </c>
      <c r="D215" s="2" t="s">
        <v>193</v>
      </c>
      <c r="E215" s="2">
        <v>36.0</v>
      </c>
      <c r="F215" s="2" t="s">
        <v>428</v>
      </c>
      <c r="G215" s="2" t="str">
        <f t="shared" si="4"/>
        <v/>
      </c>
      <c r="H215" s="2" t="str">
        <f t="shared" si="5"/>
        <v>mismo nombre</v>
      </c>
      <c r="I215" s="2" t="str">
        <f t="shared" si="6"/>
        <v>mismo colegio</v>
      </c>
      <c r="J215" s="2" t="b">
        <f t="shared" si="7"/>
        <v>0</v>
      </c>
      <c r="K215" s="2" t="str">
        <f>IFERROR(__xludf.DUMMYFUNCTION("TRIM(JOIN("" "",UNIQUE(TOCOL(ARRAYFORMULA(IF( SPLIT(C215,"" "")=TOCOL(SPLIT(C214,"" "")),SPLIT(C215,"" "")&amp;"" "",""""))))))"),"REQUENA CASTILLO, FLOR")</f>
        <v>REQUENA CASTILLO, FLOR</v>
      </c>
      <c r="L215" s="2" t="str">
        <f t="shared" si="1"/>
        <v/>
      </c>
      <c r="M215" s="2">
        <f t="shared" si="2"/>
        <v>211</v>
      </c>
      <c r="AY215" s="2" t="s">
        <v>1045</v>
      </c>
    </row>
    <row r="216">
      <c r="A216" s="2">
        <f t="shared" si="3"/>
        <v>213</v>
      </c>
      <c r="B216" s="1" t="s">
        <v>994</v>
      </c>
      <c r="C216" s="2" t="s">
        <v>1026</v>
      </c>
      <c r="D216" s="40" t="s">
        <v>193</v>
      </c>
      <c r="E216" s="2">
        <v>22.0</v>
      </c>
      <c r="F216" s="2" t="s">
        <v>194</v>
      </c>
      <c r="G216" s="2" t="str">
        <f t="shared" si="4"/>
        <v/>
      </c>
      <c r="H216" s="2" t="str">
        <f t="shared" si="5"/>
        <v/>
      </c>
      <c r="I216" s="2" t="str">
        <f t="shared" si="6"/>
        <v/>
      </c>
      <c r="J216" s="2" t="b">
        <f t="shared" si="7"/>
        <v>0</v>
      </c>
      <c r="K216" s="2" t="str">
        <f>IFERROR(__xludf.DUMMYFUNCTION("TRIM(JOIN("" "",UNIQUE(TOCOL(ARRAYFORMULA(IF( SPLIT(C216,"" "")=TOCOL(SPLIT(C215,"" "")),SPLIT(C216,"" "")&amp;"" "",""""))))))"),"")</f>
        <v/>
      </c>
      <c r="L216" s="2" t="str">
        <f t="shared" si="1"/>
        <v/>
      </c>
      <c r="M216" s="2">
        <f t="shared" si="2"/>
        <v>213</v>
      </c>
      <c r="AY216" s="2" t="s">
        <v>449</v>
      </c>
    </row>
    <row r="217">
      <c r="A217" s="2">
        <f t="shared" si="3"/>
        <v>214</v>
      </c>
      <c r="B217" s="1" t="s">
        <v>928</v>
      </c>
      <c r="C217" s="2" t="s">
        <v>944</v>
      </c>
      <c r="D217" s="2" t="s">
        <v>193</v>
      </c>
      <c r="E217" s="2">
        <v>42.0</v>
      </c>
      <c r="F217" s="2" t="s">
        <v>194</v>
      </c>
      <c r="G217" s="2" t="str">
        <f t="shared" si="4"/>
        <v/>
      </c>
      <c r="H217" s="2" t="str">
        <f t="shared" si="5"/>
        <v/>
      </c>
      <c r="I217" s="2" t="str">
        <f t="shared" si="6"/>
        <v/>
      </c>
      <c r="J217" s="2" t="b">
        <f t="shared" si="7"/>
        <v>1</v>
      </c>
      <c r="K217" s="2" t="str">
        <f>IFERROR(__xludf.DUMMYFUNCTION("TRIM(JOIN("" "",UNIQUE(TOCOL(ARRAYFORMULA(IF( SPLIT(C217,"" "")=TOCOL(SPLIT(C216,"" "")),SPLIT(C217,"" "")&amp;"" "",""""))))))"),"")</f>
        <v/>
      </c>
      <c r="L217" s="2" t="str">
        <f t="shared" si="1"/>
        <v/>
      </c>
      <c r="M217" s="2">
        <f t="shared" si="2"/>
        <v>214</v>
      </c>
      <c r="AY217" s="2" t="s">
        <v>451</v>
      </c>
    </row>
    <row r="218">
      <c r="A218" s="2">
        <f t="shared" si="3"/>
        <v>215</v>
      </c>
      <c r="B218" s="1" t="s">
        <v>226</v>
      </c>
      <c r="C218" s="2" t="s">
        <v>1087</v>
      </c>
      <c r="D218" s="2" t="s">
        <v>222</v>
      </c>
      <c r="E218" s="2">
        <v>31.0</v>
      </c>
      <c r="F218" s="2" t="s">
        <v>428</v>
      </c>
      <c r="G218" s="2" t="str">
        <f t="shared" si="4"/>
        <v/>
      </c>
      <c r="H218" s="2" t="str">
        <f t="shared" si="5"/>
        <v/>
      </c>
      <c r="I218" s="2" t="str">
        <f t="shared" si="6"/>
        <v/>
      </c>
      <c r="J218" s="2" t="b">
        <f t="shared" si="7"/>
        <v>0</v>
      </c>
      <c r="K218" s="2" t="str">
        <f>IFERROR(__xludf.DUMMYFUNCTION("TRIM(JOIN("" "",UNIQUE(TOCOL(ARRAYFORMULA(IF( SPLIT(C218,"" "")=TOCOL(SPLIT(C217,"" "")),SPLIT(C218,"" "")&amp;"" "",""""))))))"),"")</f>
        <v/>
      </c>
      <c r="L218" s="2" t="str">
        <f t="shared" si="1"/>
        <v/>
      </c>
      <c r="M218" s="2">
        <f t="shared" si="2"/>
        <v>215</v>
      </c>
      <c r="AY218" s="2" t="s">
        <v>979</v>
      </c>
    </row>
    <row r="219">
      <c r="A219" s="2">
        <f t="shared" si="3"/>
        <v>216</v>
      </c>
      <c r="B219" s="1" t="s">
        <v>693</v>
      </c>
      <c r="C219" s="2" t="s">
        <v>1372</v>
      </c>
      <c r="D219" s="2" t="s">
        <v>222</v>
      </c>
      <c r="E219" s="2">
        <v>40.0</v>
      </c>
      <c r="F219" s="2" t="s">
        <v>428</v>
      </c>
      <c r="G219" s="2" t="str">
        <f t="shared" si="4"/>
        <v/>
      </c>
      <c r="H219" s="2" t="str">
        <f t="shared" si="5"/>
        <v/>
      </c>
      <c r="I219" s="2" t="str">
        <f t="shared" si="6"/>
        <v/>
      </c>
      <c r="J219" s="2" t="b">
        <f t="shared" si="7"/>
        <v>1</v>
      </c>
      <c r="K219" s="2" t="str">
        <f>IFERROR(__xludf.DUMMYFUNCTION("TRIM(JOIN("" "",UNIQUE(TOCOL(ARRAYFORMULA(IF( SPLIT(C219,"" "")=TOCOL(SPLIT(C218,"" "")),SPLIT(C219,"" "")&amp;"" "",""""))))))"),"")</f>
        <v/>
      </c>
      <c r="L219" s="2" t="str">
        <f t="shared" si="1"/>
        <v/>
      </c>
      <c r="M219" s="2">
        <f t="shared" si="2"/>
        <v>216</v>
      </c>
      <c r="AY219" s="2" t="s">
        <v>704</v>
      </c>
    </row>
    <row r="220">
      <c r="A220" s="2">
        <f t="shared" si="3"/>
        <v>217</v>
      </c>
      <c r="B220" s="1" t="s">
        <v>144</v>
      </c>
      <c r="C220" s="2" t="s">
        <v>551</v>
      </c>
      <c r="D220" s="2" t="s">
        <v>193</v>
      </c>
      <c r="E220" s="2">
        <v>22.0</v>
      </c>
      <c r="F220" s="2" t="s">
        <v>194</v>
      </c>
      <c r="G220" s="2" t="str">
        <f t="shared" si="4"/>
        <v/>
      </c>
      <c r="H220" s="2" t="str">
        <f t="shared" si="5"/>
        <v/>
      </c>
      <c r="I220" s="2" t="str">
        <f t="shared" si="6"/>
        <v/>
      </c>
      <c r="J220" s="2" t="b">
        <f t="shared" si="7"/>
        <v>0</v>
      </c>
      <c r="K220" s="2" t="str">
        <f>IFERROR(__xludf.DUMMYFUNCTION("TRIM(JOIN("" "",UNIQUE(TOCOL(ARRAYFORMULA(IF( SPLIT(C220,"" "")=TOCOL(SPLIT(C219,"" "")),SPLIT(C220,"" "")&amp;"" "",""""))))))"),"")</f>
        <v/>
      </c>
      <c r="L220" s="2" t="str">
        <f t="shared" si="1"/>
        <v/>
      </c>
      <c r="M220" s="2">
        <f t="shared" si="2"/>
        <v>217</v>
      </c>
      <c r="AY220" s="2" t="s">
        <v>1332</v>
      </c>
    </row>
    <row r="221">
      <c r="A221" s="2">
        <f t="shared" si="3"/>
        <v>218</v>
      </c>
      <c r="B221" s="1" t="s">
        <v>144</v>
      </c>
      <c r="C221" s="2" t="s">
        <v>552</v>
      </c>
      <c r="D221" s="2" t="s">
        <v>193</v>
      </c>
      <c r="E221" s="2">
        <v>27.0</v>
      </c>
      <c r="F221" s="2" t="s">
        <v>194</v>
      </c>
      <c r="G221" s="2" t="str">
        <f t="shared" si="4"/>
        <v/>
      </c>
      <c r="H221" s="2" t="str">
        <f t="shared" si="5"/>
        <v/>
      </c>
      <c r="I221" s="2" t="str">
        <f t="shared" si="6"/>
        <v>mismo colegio</v>
      </c>
      <c r="J221" s="2" t="b">
        <f t="shared" si="7"/>
        <v>1</v>
      </c>
      <c r="K221" s="2" t="str">
        <f>IFERROR(__xludf.DUMMYFUNCTION("TRIM(JOIN("" "",UNIQUE(TOCOL(ARRAYFORMULA(IF( SPLIT(C221,"" "")=TOCOL(SPLIT(C220,"" "")),SPLIT(C221,"" "")&amp;"" "",""""))))))"),"RAMIREZ")</f>
        <v>RAMIREZ</v>
      </c>
      <c r="L221" s="2" t="str">
        <f t="shared" si="1"/>
        <v/>
      </c>
      <c r="M221" s="2">
        <f t="shared" si="2"/>
        <v>218</v>
      </c>
      <c r="AY221" s="2" t="s">
        <v>201</v>
      </c>
    </row>
    <row r="222">
      <c r="A222" s="2">
        <f t="shared" si="3"/>
        <v>219</v>
      </c>
      <c r="B222" s="1" t="s">
        <v>154</v>
      </c>
      <c r="C222" s="2" t="s">
        <v>517</v>
      </c>
      <c r="D222" s="2" t="s">
        <v>193</v>
      </c>
      <c r="E222" s="2">
        <v>30.0</v>
      </c>
      <c r="F222" s="2" t="s">
        <v>428</v>
      </c>
      <c r="G222" s="2" t="str">
        <f t="shared" si="4"/>
        <v/>
      </c>
      <c r="H222" s="2" t="str">
        <f t="shared" si="5"/>
        <v/>
      </c>
      <c r="I222" s="2" t="str">
        <f t="shared" si="6"/>
        <v/>
      </c>
      <c r="J222" s="2" t="b">
        <f t="shared" si="7"/>
        <v>0</v>
      </c>
      <c r="K222" s="2" t="str">
        <f>IFERROR(__xludf.DUMMYFUNCTION("TRIM(JOIN("" "",UNIQUE(TOCOL(ARRAYFORMULA(IF( SPLIT(C222,"" "")=TOCOL(SPLIT(C221,"" "")),SPLIT(C222,"" "")&amp;"" "",""""))))))"),"RAMIREZ")</f>
        <v>RAMIREZ</v>
      </c>
      <c r="L222" s="2" t="str">
        <f t="shared" si="1"/>
        <v/>
      </c>
      <c r="M222" s="2">
        <f t="shared" si="2"/>
        <v>219</v>
      </c>
      <c r="AY222" s="2" t="s">
        <v>1086</v>
      </c>
    </row>
    <row r="223">
      <c r="A223" s="2">
        <f t="shared" si="3"/>
        <v>220</v>
      </c>
      <c r="B223" s="1" t="s">
        <v>634</v>
      </c>
      <c r="C223" s="2" t="s">
        <v>662</v>
      </c>
      <c r="D223" s="2" t="s">
        <v>222</v>
      </c>
      <c r="E223" s="2">
        <v>30.0</v>
      </c>
      <c r="F223" s="2" t="s">
        <v>194</v>
      </c>
      <c r="G223" s="2" t="str">
        <f t="shared" si="4"/>
        <v>misma edad</v>
      </c>
      <c r="H223" s="2" t="str">
        <f t="shared" si="5"/>
        <v/>
      </c>
      <c r="I223" s="2" t="str">
        <f t="shared" si="6"/>
        <v/>
      </c>
      <c r="J223" s="2" t="b">
        <f t="shared" si="7"/>
        <v>0</v>
      </c>
      <c r="K223" s="2" t="str">
        <f>IFERROR(__xludf.DUMMYFUNCTION("TRIM(JOIN("" "",UNIQUE(TOCOL(ARRAYFORMULA(IF( SPLIT(C223,"" "")=TOCOL(SPLIT(C222,"" "")),SPLIT(C223,"" "")&amp;"" "",""""))))))"),"RAMIREZ")</f>
        <v>RAMIREZ</v>
      </c>
      <c r="L223" s="2" t="str">
        <f t="shared" si="1"/>
        <v/>
      </c>
      <c r="M223" s="2">
        <f t="shared" si="2"/>
        <v>220</v>
      </c>
      <c r="AY223" s="2" t="s">
        <v>256</v>
      </c>
    </row>
    <row r="224">
      <c r="A224" s="2">
        <f t="shared" si="3"/>
        <v>221</v>
      </c>
      <c r="B224" s="1" t="s">
        <v>457</v>
      </c>
      <c r="C224" s="2" t="s">
        <v>471</v>
      </c>
      <c r="D224" s="2" t="s">
        <v>193</v>
      </c>
      <c r="E224" s="2">
        <v>36.0</v>
      </c>
      <c r="F224" s="2" t="s">
        <v>194</v>
      </c>
      <c r="G224" s="2" t="str">
        <f t="shared" si="4"/>
        <v/>
      </c>
      <c r="H224" s="2" t="str">
        <f t="shared" si="5"/>
        <v/>
      </c>
      <c r="I224" s="2" t="str">
        <f t="shared" si="6"/>
        <v/>
      </c>
      <c r="J224" s="2" t="b">
        <f t="shared" si="7"/>
        <v>1</v>
      </c>
      <c r="K224" s="2" t="str">
        <f>IFERROR(__xludf.DUMMYFUNCTION("TRIM(JOIN("" "",UNIQUE(TOCOL(ARRAYFORMULA(IF( SPLIT(C224,"" "")=TOCOL(SPLIT(C223,"" "")),SPLIT(C224,"" "")&amp;"" "",""""))))))"),"RAMIREZ")</f>
        <v>RAMIREZ</v>
      </c>
      <c r="L224" s="2" t="str">
        <f t="shared" si="1"/>
        <v/>
      </c>
      <c r="M224" s="2">
        <f t="shared" si="2"/>
        <v>221</v>
      </c>
      <c r="AY224" s="2" t="s">
        <v>525</v>
      </c>
    </row>
    <row r="225">
      <c r="A225" s="2">
        <f t="shared" si="3"/>
        <v>222</v>
      </c>
      <c r="B225" s="1" t="s">
        <v>994</v>
      </c>
      <c r="C225" s="2" t="s">
        <v>1010</v>
      </c>
      <c r="D225" s="2" t="s">
        <v>193</v>
      </c>
      <c r="E225" s="2">
        <v>29.0</v>
      </c>
      <c r="F225" s="2" t="s">
        <v>194</v>
      </c>
      <c r="G225" s="2" t="str">
        <f t="shared" si="4"/>
        <v/>
      </c>
      <c r="H225" s="2" t="str">
        <f t="shared" si="5"/>
        <v/>
      </c>
      <c r="I225" s="2" t="str">
        <f t="shared" si="6"/>
        <v/>
      </c>
      <c r="J225" s="2" t="b">
        <f t="shared" si="7"/>
        <v>1</v>
      </c>
      <c r="K225" s="2" t="str">
        <f>IFERROR(__xludf.DUMMYFUNCTION("TRIM(JOIN("" "",UNIQUE(TOCOL(ARRAYFORMULA(IF( SPLIT(C225,"" "")=TOCOL(SPLIT(C224,"" "")),SPLIT(C225,"" "")&amp;"" "",""""))))))"),"RAMIREZ")</f>
        <v>RAMIREZ</v>
      </c>
      <c r="L225" s="2" t="str">
        <f t="shared" si="1"/>
        <v/>
      </c>
      <c r="M225" s="2">
        <f t="shared" si="2"/>
        <v>222</v>
      </c>
      <c r="AY225" s="2" t="s">
        <v>1145</v>
      </c>
    </row>
    <row r="226">
      <c r="A226" s="2">
        <f t="shared" si="3"/>
        <v>223</v>
      </c>
      <c r="B226" s="1" t="s">
        <v>668</v>
      </c>
      <c r="C226" s="2" t="s">
        <v>670</v>
      </c>
      <c r="D226" s="2" t="s">
        <v>193</v>
      </c>
      <c r="E226" s="2">
        <v>50.0</v>
      </c>
      <c r="F226" s="2" t="s">
        <v>194</v>
      </c>
      <c r="G226" s="2" t="str">
        <f t="shared" si="4"/>
        <v/>
      </c>
      <c r="H226" s="2" t="str">
        <f t="shared" si="5"/>
        <v/>
      </c>
      <c r="I226" s="2" t="str">
        <f t="shared" si="6"/>
        <v/>
      </c>
      <c r="J226" s="2" t="b">
        <f t="shared" si="7"/>
        <v>1</v>
      </c>
      <c r="K226" s="2" t="str">
        <f>IFERROR(__xludf.DUMMYFUNCTION("TRIM(JOIN("" "",UNIQUE(TOCOL(ARRAYFORMULA(IF( SPLIT(C226,"" "")=TOCOL(SPLIT(C225,"" "")),SPLIT(C226,"" "")&amp;"" "",""""))))))"),"RAMIREZ")</f>
        <v>RAMIREZ</v>
      </c>
      <c r="L226" s="2" t="str">
        <f t="shared" si="1"/>
        <v/>
      </c>
      <c r="M226" s="2">
        <f t="shared" si="2"/>
        <v>223</v>
      </c>
      <c r="AY226" s="2" t="s">
        <v>859</v>
      </c>
    </row>
    <row r="227">
      <c r="A227" s="2">
        <f t="shared" si="3"/>
        <v>224</v>
      </c>
      <c r="B227" s="1" t="s">
        <v>994</v>
      </c>
      <c r="C227" s="2" t="s">
        <v>1198</v>
      </c>
      <c r="D227" s="2" t="s">
        <v>193</v>
      </c>
      <c r="E227" s="2">
        <v>29.0</v>
      </c>
      <c r="F227" s="2" t="s">
        <v>428</v>
      </c>
      <c r="G227" s="2" t="str">
        <f t="shared" si="4"/>
        <v/>
      </c>
      <c r="H227" s="2" t="str">
        <f t="shared" si="5"/>
        <v/>
      </c>
      <c r="I227" s="2" t="str">
        <f t="shared" si="6"/>
        <v/>
      </c>
      <c r="J227" s="2" t="b">
        <f t="shared" si="7"/>
        <v>0</v>
      </c>
      <c r="K227" s="2" t="str">
        <f>IFERROR(__xludf.DUMMYFUNCTION("TRIM(JOIN("" "",UNIQUE(TOCOL(ARRAYFORMULA(IF( SPLIT(C227,"" "")=TOCOL(SPLIT(C226,"" "")),SPLIT(C227,"" "")&amp;"" "",""""))))))"),"")</f>
        <v/>
      </c>
      <c r="L227" s="2" t="str">
        <f t="shared" si="1"/>
        <v/>
      </c>
      <c r="M227" s="2">
        <f t="shared" si="2"/>
        <v>224</v>
      </c>
      <c r="AY227" s="2" t="s">
        <v>1023</v>
      </c>
    </row>
    <row r="228">
      <c r="A228" s="2">
        <f t="shared" si="3"/>
        <v>225</v>
      </c>
      <c r="B228" s="1" t="s">
        <v>994</v>
      </c>
      <c r="C228" s="2" t="s">
        <v>1187</v>
      </c>
      <c r="D228" s="2" t="s">
        <v>193</v>
      </c>
      <c r="E228" s="40"/>
      <c r="F228" s="2" t="s">
        <v>428</v>
      </c>
      <c r="G228" s="2" t="str">
        <f t="shared" si="4"/>
        <v/>
      </c>
      <c r="H228" s="2" t="str">
        <f t="shared" si="5"/>
        <v/>
      </c>
      <c r="I228" s="2" t="str">
        <f t="shared" si="6"/>
        <v>mismo colegio</v>
      </c>
      <c r="J228" s="2" t="b">
        <f t="shared" si="7"/>
        <v>1</v>
      </c>
      <c r="K228" s="2" t="str">
        <f>IFERROR(__xludf.DUMMYFUNCTION("TRIM(JOIN("" "",UNIQUE(TOCOL(ARRAYFORMULA(IF( SPLIT(C228,"" "")=TOCOL(SPLIT(C227,"" "")),SPLIT(C228,"" "")&amp;"" "",""""))))))"),"")</f>
        <v/>
      </c>
      <c r="L228" s="2" t="str">
        <f t="shared" si="1"/>
        <v/>
      </c>
      <c r="M228" s="2">
        <f t="shared" si="2"/>
        <v>225</v>
      </c>
      <c r="AY228" s="2" t="s">
        <v>1393</v>
      </c>
    </row>
    <row r="229">
      <c r="A229" s="2">
        <f t="shared" si="3"/>
        <v>226</v>
      </c>
      <c r="B229" s="1" t="s">
        <v>801</v>
      </c>
      <c r="C229" s="2" t="s">
        <v>811</v>
      </c>
      <c r="D229" s="2" t="s">
        <v>193</v>
      </c>
      <c r="E229" s="2">
        <v>37.0</v>
      </c>
      <c r="F229" s="2" t="s">
        <v>194</v>
      </c>
      <c r="G229" s="2" t="str">
        <f t="shared" si="4"/>
        <v/>
      </c>
      <c r="H229" s="2" t="str">
        <f t="shared" si="5"/>
        <v/>
      </c>
      <c r="I229" s="2" t="str">
        <f t="shared" si="6"/>
        <v/>
      </c>
      <c r="J229" s="2" t="b">
        <f t="shared" si="7"/>
        <v>0</v>
      </c>
      <c r="K229" s="2" t="str">
        <f>IFERROR(__xludf.DUMMYFUNCTION("TRIM(JOIN("" "",UNIQUE(TOCOL(ARRAYFORMULA(IF( SPLIT(C229,"" "")=TOCOL(SPLIT(C228,"" "")),SPLIT(C229,"" "")&amp;"" "",""""))))))"),"")</f>
        <v/>
      </c>
      <c r="L229" s="2" t="str">
        <f t="shared" si="1"/>
        <v/>
      </c>
      <c r="M229" s="2">
        <f t="shared" si="2"/>
        <v>226</v>
      </c>
      <c r="AY229" s="2" t="s">
        <v>572</v>
      </c>
    </row>
    <row r="230">
      <c r="A230" s="2">
        <f t="shared" si="3"/>
        <v>227</v>
      </c>
      <c r="B230" s="1" t="s">
        <v>801</v>
      </c>
      <c r="C230" s="2" t="s">
        <v>811</v>
      </c>
      <c r="D230" s="2" t="s">
        <v>193</v>
      </c>
      <c r="E230" s="2">
        <v>37.0</v>
      </c>
      <c r="F230" s="2" t="s">
        <v>428</v>
      </c>
      <c r="G230" s="2" t="str">
        <f t="shared" si="4"/>
        <v>misma edad</v>
      </c>
      <c r="H230" s="2" t="str">
        <f t="shared" si="5"/>
        <v>mismo nombre</v>
      </c>
      <c r="I230" s="2" t="str">
        <f t="shared" si="6"/>
        <v>mismo colegio</v>
      </c>
      <c r="J230" s="2" t="b">
        <f t="shared" si="7"/>
        <v>0</v>
      </c>
      <c r="K230" s="2" t="str">
        <f>IFERROR(__xludf.DUMMYFUNCTION("TRIM(JOIN("" "",UNIQUE(TOCOL(ARRAYFORMULA(IF( SPLIT(C230,"" "")=TOCOL(SPLIT(C229,"" "")),SPLIT(C230,"" "")&amp;"" "",""""))))))"),"PORTILLA RODRIGUEZ, LUZ DEYSI")</f>
        <v>PORTILLA RODRIGUEZ, LUZ DEYSI</v>
      </c>
      <c r="L230" s="2" t="str">
        <f t="shared" si="1"/>
        <v/>
      </c>
      <c r="M230" s="2">
        <f t="shared" si="2"/>
        <v>226</v>
      </c>
      <c r="AY230" s="2" t="s">
        <v>747</v>
      </c>
    </row>
    <row r="231">
      <c r="A231" s="2">
        <f t="shared" si="3"/>
        <v>228</v>
      </c>
      <c r="B231" s="1" t="s">
        <v>584</v>
      </c>
      <c r="C231" s="2" t="s">
        <v>586</v>
      </c>
      <c r="D231" s="2" t="s">
        <v>193</v>
      </c>
      <c r="E231" s="2">
        <v>26.0</v>
      </c>
      <c r="F231" s="2" t="s">
        <v>194</v>
      </c>
      <c r="G231" s="2" t="str">
        <f t="shared" si="4"/>
        <v/>
      </c>
      <c r="H231" s="2" t="str">
        <f t="shared" si="5"/>
        <v/>
      </c>
      <c r="I231" s="2" t="str">
        <f t="shared" si="6"/>
        <v/>
      </c>
      <c r="J231" s="2" t="b">
        <f t="shared" si="7"/>
        <v>0</v>
      </c>
      <c r="K231" s="2" t="str">
        <f>IFERROR(__xludf.DUMMYFUNCTION("TRIM(JOIN("" "",UNIQUE(TOCOL(ARRAYFORMULA(IF( SPLIT(C231,"" "")=TOCOL(SPLIT(C230,"" "")),SPLIT(C231,"" "")&amp;"" "",""""))))))"),"")</f>
        <v/>
      </c>
      <c r="L231" s="2" t="str">
        <f t="shared" si="1"/>
        <v/>
      </c>
      <c r="M231" s="2">
        <f t="shared" si="2"/>
        <v>228</v>
      </c>
      <c r="AY231" s="2" t="s">
        <v>1246</v>
      </c>
    </row>
    <row r="232">
      <c r="A232" s="2">
        <f t="shared" si="3"/>
        <v>229</v>
      </c>
      <c r="B232" s="1" t="s">
        <v>584</v>
      </c>
      <c r="C232" s="2" t="s">
        <v>586</v>
      </c>
      <c r="D232" s="2" t="s">
        <v>193</v>
      </c>
      <c r="E232" s="2">
        <v>26.0</v>
      </c>
      <c r="F232" s="2" t="s">
        <v>428</v>
      </c>
      <c r="G232" s="2" t="str">
        <f t="shared" si="4"/>
        <v>misma edad</v>
      </c>
      <c r="H232" s="2" t="str">
        <f t="shared" si="5"/>
        <v>mismo nombre</v>
      </c>
      <c r="I232" s="2" t="str">
        <f t="shared" si="6"/>
        <v>mismo colegio</v>
      </c>
      <c r="J232" s="2" t="b">
        <f t="shared" si="7"/>
        <v>0</v>
      </c>
      <c r="K232" s="2" t="str">
        <f>IFERROR(__xludf.DUMMYFUNCTION("TRIM(JOIN("" "",UNIQUE(TOCOL(ARRAYFORMULA(IF( SPLIT(C232,"" "")=TOCOL(SPLIT(C231,"" "")),SPLIT(C232,"" "")&amp;"" "",""""))))))"),"POMIANO YTA ROSARINDA")</f>
        <v>POMIANO YTA ROSARINDA</v>
      </c>
      <c r="L232" s="2" t="str">
        <f t="shared" si="1"/>
        <v/>
      </c>
      <c r="M232" s="2">
        <f t="shared" si="2"/>
        <v>228</v>
      </c>
      <c r="AY232" s="2" t="s">
        <v>1189</v>
      </c>
    </row>
    <row r="233">
      <c r="A233" s="2">
        <f t="shared" si="3"/>
        <v>230</v>
      </c>
      <c r="B233" s="1" t="s">
        <v>190</v>
      </c>
      <c r="C233" s="2" t="s">
        <v>1062</v>
      </c>
      <c r="D233" s="2" t="s">
        <v>193</v>
      </c>
      <c r="E233" s="2">
        <v>39.0</v>
      </c>
      <c r="F233" s="2" t="s">
        <v>428</v>
      </c>
      <c r="G233" s="2" t="str">
        <f t="shared" si="4"/>
        <v/>
      </c>
      <c r="H233" s="2" t="str">
        <f t="shared" si="5"/>
        <v/>
      </c>
      <c r="I233" s="2" t="str">
        <f t="shared" si="6"/>
        <v/>
      </c>
      <c r="J233" s="2" t="b">
        <f t="shared" si="7"/>
        <v>1</v>
      </c>
      <c r="K233" s="2" t="str">
        <f>IFERROR(__xludf.DUMMYFUNCTION("TRIM(JOIN("" "",UNIQUE(TOCOL(ARRAYFORMULA(IF( SPLIT(C233,"" "")=TOCOL(SPLIT(C232,"" "")),SPLIT(C233,"" "")&amp;"" "",""""))))))"),"")</f>
        <v/>
      </c>
      <c r="L233" s="2" t="str">
        <f t="shared" si="1"/>
        <v/>
      </c>
      <c r="M233" s="2">
        <f t="shared" si="2"/>
        <v>230</v>
      </c>
      <c r="AY233" s="2" t="s">
        <v>821</v>
      </c>
    </row>
    <row r="234">
      <c r="A234" s="2">
        <f t="shared" si="3"/>
        <v>231</v>
      </c>
      <c r="B234" s="1" t="s">
        <v>693</v>
      </c>
      <c r="C234" s="2" t="s">
        <v>1378</v>
      </c>
      <c r="D234" s="2" t="s">
        <v>193</v>
      </c>
      <c r="E234" s="2">
        <v>24.0</v>
      </c>
      <c r="F234" s="2" t="s">
        <v>428</v>
      </c>
      <c r="G234" s="2" t="str">
        <f t="shared" si="4"/>
        <v/>
      </c>
      <c r="H234" s="2" t="str">
        <f t="shared" si="5"/>
        <v/>
      </c>
      <c r="I234" s="2" t="str">
        <f t="shared" si="6"/>
        <v/>
      </c>
      <c r="J234" s="2" t="b">
        <f t="shared" si="7"/>
        <v>1</v>
      </c>
      <c r="K234" s="2" t="str">
        <f>IFERROR(__xludf.DUMMYFUNCTION("TRIM(JOIN("" "",UNIQUE(TOCOL(ARRAYFORMULA(IF( SPLIT(C234,"" "")=TOCOL(SPLIT(C233,"" "")),SPLIT(C234,"" "")&amp;"" "",""""))))))"),"")</f>
        <v/>
      </c>
      <c r="L234" s="2" t="str">
        <f t="shared" si="1"/>
        <v/>
      </c>
      <c r="M234" s="2">
        <f t="shared" si="2"/>
        <v>231</v>
      </c>
      <c r="AY234" s="2" t="s">
        <v>1131</v>
      </c>
    </row>
    <row r="235">
      <c r="A235" s="2">
        <f t="shared" si="3"/>
        <v>232</v>
      </c>
      <c r="B235" s="1" t="s">
        <v>634</v>
      </c>
      <c r="C235" s="2" t="s">
        <v>658</v>
      </c>
      <c r="D235" s="2" t="s">
        <v>193</v>
      </c>
      <c r="E235" s="2">
        <v>34.0</v>
      </c>
      <c r="F235" s="2" t="s">
        <v>194</v>
      </c>
      <c r="G235" s="2" t="str">
        <f t="shared" si="4"/>
        <v/>
      </c>
      <c r="H235" s="2" t="str">
        <f t="shared" si="5"/>
        <v/>
      </c>
      <c r="I235" s="2" t="str">
        <f t="shared" si="6"/>
        <v/>
      </c>
      <c r="J235" s="2" t="b">
        <f t="shared" si="7"/>
        <v>0</v>
      </c>
      <c r="K235" s="2" t="str">
        <f>IFERROR(__xludf.DUMMYFUNCTION("TRIM(JOIN("" "",UNIQUE(TOCOL(ARRAYFORMULA(IF( SPLIT(C235,"" "")=TOCOL(SPLIT(C234,"" "")),SPLIT(C235,"" "")&amp;"" "",""""))))))"),"PINEDA")</f>
        <v>PINEDA</v>
      </c>
      <c r="L235" s="2" t="str">
        <f t="shared" si="1"/>
        <v/>
      </c>
      <c r="M235" s="2">
        <f t="shared" si="2"/>
        <v>232</v>
      </c>
      <c r="AY235" s="2" t="s">
        <v>490</v>
      </c>
    </row>
    <row r="236">
      <c r="A236" s="2">
        <f t="shared" si="3"/>
        <v>233</v>
      </c>
      <c r="B236" s="1" t="s">
        <v>634</v>
      </c>
      <c r="C236" s="2" t="s">
        <v>658</v>
      </c>
      <c r="D236" s="2" t="s">
        <v>193</v>
      </c>
      <c r="E236" s="2">
        <v>35.0</v>
      </c>
      <c r="F236" s="2" t="s">
        <v>428</v>
      </c>
      <c r="G236" s="2" t="str">
        <f t="shared" si="4"/>
        <v/>
      </c>
      <c r="H236" s="2" t="str">
        <f t="shared" si="5"/>
        <v>mismo nombre</v>
      </c>
      <c r="I236" s="2" t="str">
        <f t="shared" si="6"/>
        <v>mismo colegio</v>
      </c>
      <c r="J236" s="2" t="b">
        <f t="shared" si="7"/>
        <v>0</v>
      </c>
      <c r="K236" s="2" t="str">
        <f>IFERROR(__xludf.DUMMYFUNCTION("TRIM(JOIN("" "",UNIQUE(TOCOL(ARRAYFORMULA(IF( SPLIT(C236,"" "")=TOCOL(SPLIT(C235,"" "")),SPLIT(C236,"" "")&amp;"" "",""""))))))"),"PINEDA FERNANDEZ LACIDA TEOFILA")</f>
        <v>PINEDA FERNANDEZ LACIDA TEOFILA</v>
      </c>
      <c r="L236" s="2" t="str">
        <f t="shared" si="1"/>
        <v/>
      </c>
      <c r="M236" s="2">
        <f t="shared" si="2"/>
        <v>232</v>
      </c>
      <c r="AY236" s="2" t="s">
        <v>404</v>
      </c>
    </row>
    <row r="237">
      <c r="A237" s="2">
        <f t="shared" si="3"/>
        <v>234</v>
      </c>
      <c r="B237" s="1" t="s">
        <v>144</v>
      </c>
      <c r="C237" s="2" t="s">
        <v>546</v>
      </c>
      <c r="D237" s="2" t="s">
        <v>222</v>
      </c>
      <c r="E237" s="2">
        <v>30.0</v>
      </c>
      <c r="F237" s="2" t="s">
        <v>194</v>
      </c>
      <c r="G237" s="2" t="str">
        <f t="shared" si="4"/>
        <v/>
      </c>
      <c r="H237" s="2" t="str">
        <f t="shared" si="5"/>
        <v/>
      </c>
      <c r="I237" s="2" t="str">
        <f t="shared" si="6"/>
        <v/>
      </c>
      <c r="J237" s="2" t="b">
        <f t="shared" si="7"/>
        <v>0</v>
      </c>
      <c r="K237" s="2" t="str">
        <f>IFERROR(__xludf.DUMMYFUNCTION("TRIM(JOIN("" "",UNIQUE(TOCOL(ARRAYFORMULA(IF( SPLIT(C237,"" "")=TOCOL(SPLIT(C236,"" "")),SPLIT(C237,"" "")&amp;"" "",""""))))))"),"")</f>
        <v/>
      </c>
      <c r="L237" s="2" t="str">
        <f t="shared" si="1"/>
        <v/>
      </c>
      <c r="M237" s="2">
        <f t="shared" si="2"/>
        <v>234</v>
      </c>
      <c r="AY237" s="2" t="s">
        <v>617</v>
      </c>
    </row>
    <row r="238">
      <c r="A238" s="2">
        <f t="shared" si="3"/>
        <v>235</v>
      </c>
      <c r="B238" s="1" t="s">
        <v>911</v>
      </c>
      <c r="C238" s="2" t="s">
        <v>1048</v>
      </c>
      <c r="D238" s="2" t="s">
        <v>193</v>
      </c>
      <c r="E238" s="2">
        <v>41.0</v>
      </c>
      <c r="F238" s="2" t="s">
        <v>194</v>
      </c>
      <c r="G238" s="2" t="str">
        <f t="shared" si="4"/>
        <v/>
      </c>
      <c r="H238" s="2" t="str">
        <f t="shared" si="5"/>
        <v/>
      </c>
      <c r="I238" s="2" t="str">
        <f t="shared" si="6"/>
        <v/>
      </c>
      <c r="J238" s="2" t="b">
        <f t="shared" si="7"/>
        <v>1</v>
      </c>
      <c r="K238" s="2" t="str">
        <f>IFERROR(__xludf.DUMMYFUNCTION("TRIM(JOIN("" "",UNIQUE(TOCOL(ARRAYFORMULA(IF( SPLIT(C238,"" "")=TOCOL(SPLIT(C237,"" "")),SPLIT(C238,"" "")&amp;"" "",""""))))))"),"")</f>
        <v/>
      </c>
      <c r="L238" s="2" t="str">
        <f t="shared" si="1"/>
        <v/>
      </c>
      <c r="M238" s="2">
        <f t="shared" si="2"/>
        <v>235</v>
      </c>
      <c r="AY238" s="2" t="s">
        <v>991</v>
      </c>
    </row>
    <row r="239">
      <c r="A239" s="2">
        <f t="shared" si="3"/>
        <v>236</v>
      </c>
      <c r="B239" s="1" t="s">
        <v>911</v>
      </c>
      <c r="C239" s="2" t="s">
        <v>1048</v>
      </c>
      <c r="D239" s="2" t="s">
        <v>193</v>
      </c>
      <c r="E239" s="2">
        <v>41.0</v>
      </c>
      <c r="F239" s="2" t="s">
        <v>428</v>
      </c>
      <c r="G239" s="2" t="str">
        <f t="shared" si="4"/>
        <v>misma edad</v>
      </c>
      <c r="H239" s="2" t="str">
        <f t="shared" si="5"/>
        <v>mismo nombre</v>
      </c>
      <c r="I239" s="2" t="str">
        <f t="shared" si="6"/>
        <v>mismo colegio</v>
      </c>
      <c r="J239" s="2" t="b">
        <f t="shared" si="7"/>
        <v>0</v>
      </c>
      <c r="K239" s="2" t="str">
        <f>IFERROR(__xludf.DUMMYFUNCTION("TRIM(JOIN("" "",UNIQUE(TOCOL(ARRAYFORMULA(IF( SPLIT(C239,"" "")=TOCOL(SPLIT(C238,"" "")),SPLIT(C239,"" "")&amp;"" "",""""))))))"),"PAULINA MOLINA POLINAR")</f>
        <v>PAULINA MOLINA POLINAR</v>
      </c>
      <c r="L239" s="2" t="str">
        <f t="shared" si="1"/>
        <v/>
      </c>
      <c r="M239" s="2">
        <f t="shared" si="2"/>
        <v>235</v>
      </c>
      <c r="AY239" s="2" t="s">
        <v>1157</v>
      </c>
    </row>
    <row r="240">
      <c r="A240" s="2">
        <f t="shared" si="3"/>
        <v>237</v>
      </c>
      <c r="B240" s="1" t="s">
        <v>830</v>
      </c>
      <c r="C240" s="2" t="s">
        <v>851</v>
      </c>
      <c r="D240" s="2" t="s">
        <v>193</v>
      </c>
      <c r="E240" s="2">
        <v>24.0</v>
      </c>
      <c r="F240" s="2" t="s">
        <v>194</v>
      </c>
      <c r="G240" s="2" t="str">
        <f t="shared" si="4"/>
        <v/>
      </c>
      <c r="H240" s="2" t="str">
        <f t="shared" si="5"/>
        <v/>
      </c>
      <c r="I240" s="2" t="str">
        <f t="shared" si="6"/>
        <v/>
      </c>
      <c r="J240" s="2" t="b">
        <f t="shared" si="7"/>
        <v>0</v>
      </c>
      <c r="K240" s="2" t="str">
        <f>IFERROR(__xludf.DUMMYFUNCTION("TRIM(JOIN("" "",UNIQUE(TOCOL(ARRAYFORMULA(IF( SPLIT(C240,"" "")=TOCOL(SPLIT(C239,"" "")),SPLIT(C240,"" "")&amp;"" "",""""))))))"),"")</f>
        <v/>
      </c>
      <c r="L240" s="2" t="str">
        <f t="shared" si="1"/>
        <v/>
      </c>
      <c r="M240" s="2">
        <f t="shared" si="2"/>
        <v>237</v>
      </c>
      <c r="AY240" s="2" t="s">
        <v>989</v>
      </c>
    </row>
    <row r="241">
      <c r="A241" s="2">
        <f t="shared" si="3"/>
        <v>238</v>
      </c>
      <c r="B241" s="1" t="s">
        <v>830</v>
      </c>
      <c r="C241" s="2" t="s">
        <v>1228</v>
      </c>
      <c r="D241" s="2" t="s">
        <v>193</v>
      </c>
      <c r="E241" s="2">
        <v>23.0</v>
      </c>
      <c r="F241" s="2" t="s">
        <v>428</v>
      </c>
      <c r="G241" s="2" t="str">
        <f t="shared" si="4"/>
        <v/>
      </c>
      <c r="H241" s="2" t="str">
        <f t="shared" si="5"/>
        <v/>
      </c>
      <c r="I241" s="2" t="str">
        <f t="shared" si="6"/>
        <v>mismo colegio</v>
      </c>
      <c r="J241" s="2" t="b">
        <f t="shared" si="7"/>
        <v>0</v>
      </c>
      <c r="K241" s="2" t="str">
        <f>IFERROR(__xludf.DUMMYFUNCTION("TRIM(JOIN("" "",UNIQUE(TOCOL(ARRAYFORMULA(IF( SPLIT(C241,"" "")=TOCOL(SPLIT(C240,"" "")),SPLIT(C241,"" "")&amp;"" "",""""))))))"),"CLARA")</f>
        <v>CLARA</v>
      </c>
      <c r="L241" s="2" t="str">
        <f t="shared" si="1"/>
        <v/>
      </c>
      <c r="M241" s="2">
        <f t="shared" si="2"/>
        <v>238</v>
      </c>
      <c r="AY241" s="2" t="s">
        <v>1091</v>
      </c>
    </row>
    <row r="242">
      <c r="A242" s="2">
        <f t="shared" si="3"/>
        <v>239</v>
      </c>
      <c r="B242" s="1" t="s">
        <v>968</v>
      </c>
      <c r="C242" s="2" t="s">
        <v>1276</v>
      </c>
      <c r="D242" s="2" t="s">
        <v>193</v>
      </c>
      <c r="E242" s="2">
        <v>40.0</v>
      </c>
      <c r="F242" s="2" t="s">
        <v>428</v>
      </c>
      <c r="G242" s="2" t="str">
        <f t="shared" si="4"/>
        <v/>
      </c>
      <c r="H242" s="2" t="str">
        <f t="shared" si="5"/>
        <v/>
      </c>
      <c r="I242" s="2" t="str">
        <f t="shared" si="6"/>
        <v/>
      </c>
      <c r="J242" s="2" t="b">
        <f t="shared" si="7"/>
        <v>1</v>
      </c>
      <c r="K242" s="2" t="str">
        <f>IFERROR(__xludf.DUMMYFUNCTION("TRIM(JOIN("" "",UNIQUE(TOCOL(ARRAYFORMULA(IF( SPLIT(C242,"" "")=TOCOL(SPLIT(C241,"" "")),SPLIT(C242,"" "")&amp;"" "",""""))))))"),"")</f>
        <v/>
      </c>
      <c r="L242" s="2" t="str">
        <f t="shared" si="1"/>
        <v/>
      </c>
      <c r="M242" s="2">
        <f t="shared" si="2"/>
        <v>239</v>
      </c>
      <c r="AY242" s="2" t="s">
        <v>531</v>
      </c>
    </row>
    <row r="243">
      <c r="A243" s="2">
        <f t="shared" si="3"/>
        <v>240</v>
      </c>
      <c r="B243" s="1" t="s">
        <v>830</v>
      </c>
      <c r="C243" s="2" t="s">
        <v>1231</v>
      </c>
      <c r="D243" s="2" t="s">
        <v>193</v>
      </c>
      <c r="E243" s="2">
        <v>37.0</v>
      </c>
      <c r="F243" s="2" t="s">
        <v>428</v>
      </c>
      <c r="G243" s="2" t="str">
        <f t="shared" si="4"/>
        <v/>
      </c>
      <c r="H243" s="2" t="str">
        <f t="shared" si="5"/>
        <v/>
      </c>
      <c r="I243" s="2" t="str">
        <f t="shared" si="6"/>
        <v/>
      </c>
      <c r="J243" s="2" t="b">
        <f t="shared" si="7"/>
        <v>1</v>
      </c>
      <c r="K243" s="2" t="str">
        <f>IFERROR(__xludf.DUMMYFUNCTION("TRIM(JOIN("" "",UNIQUE(TOCOL(ARRAYFORMULA(IF( SPLIT(C243,"" "")=TOCOL(SPLIT(C242,"" "")),SPLIT(C243,"" "")&amp;"" "",""""))))))"),"PAREDES")</f>
        <v>PAREDES</v>
      </c>
      <c r="L243" s="2" t="str">
        <f t="shared" si="1"/>
        <v/>
      </c>
      <c r="M243" s="2">
        <f t="shared" si="2"/>
        <v>240</v>
      </c>
      <c r="AY243" s="2" t="s">
        <v>533</v>
      </c>
    </row>
    <row r="244">
      <c r="A244" s="2">
        <f t="shared" si="3"/>
        <v>241</v>
      </c>
      <c r="B244" s="1" t="s">
        <v>830</v>
      </c>
      <c r="C244" s="2" t="s">
        <v>838</v>
      </c>
      <c r="D244" s="2" t="s">
        <v>193</v>
      </c>
      <c r="E244" s="2"/>
      <c r="F244" s="2" t="s">
        <v>194</v>
      </c>
      <c r="G244" s="2" t="str">
        <f t="shared" si="4"/>
        <v/>
      </c>
      <c r="H244" s="2" t="str">
        <f t="shared" si="5"/>
        <v/>
      </c>
      <c r="I244" s="2" t="str">
        <f t="shared" si="6"/>
        <v>mismo colegio</v>
      </c>
      <c r="J244" s="2" t="b">
        <f t="shared" si="7"/>
        <v>0</v>
      </c>
      <c r="K244" s="2" t="str">
        <f>IFERROR(__xludf.DUMMYFUNCTION("TRIM(JOIN("" "",UNIQUE(TOCOL(ARRAYFORMULA(IF( SPLIT(C244,"" "")=TOCOL(SPLIT(C243,"" "")),SPLIT(C244,"" "")&amp;"" "",""""))))))"),"")</f>
        <v/>
      </c>
      <c r="L244" s="2" t="str">
        <f t="shared" si="1"/>
        <v/>
      </c>
      <c r="M244" s="2">
        <f t="shared" si="2"/>
        <v>241</v>
      </c>
      <c r="AY244" s="2" t="s">
        <v>506</v>
      </c>
    </row>
    <row r="245">
      <c r="A245" s="2">
        <f t="shared" si="3"/>
        <v>242</v>
      </c>
      <c r="B245" s="1" t="s">
        <v>190</v>
      </c>
      <c r="C245" s="2" t="s">
        <v>192</v>
      </c>
      <c r="D245" s="2" t="s">
        <v>193</v>
      </c>
      <c r="E245" s="2">
        <v>36.0</v>
      </c>
      <c r="F245" s="2" t="s">
        <v>194</v>
      </c>
      <c r="G245" s="2" t="str">
        <f t="shared" si="4"/>
        <v/>
      </c>
      <c r="H245" s="2" t="str">
        <f t="shared" si="5"/>
        <v/>
      </c>
      <c r="I245" s="2" t="str">
        <f t="shared" si="6"/>
        <v/>
      </c>
      <c r="J245" s="2" t="b">
        <f t="shared" si="7"/>
        <v>1</v>
      </c>
      <c r="K245" s="2" t="str">
        <f>IFERROR(__xludf.DUMMYFUNCTION("TRIM(JOIN("" "",UNIQUE(TOCOL(ARRAYFORMULA(IF( SPLIT(C245,"" "")=TOCOL(SPLIT(C244,"" "")),SPLIT(C245,"" "")&amp;"" "",""""))))))"),"")</f>
        <v/>
      </c>
      <c r="L245" s="2" t="str">
        <f t="shared" si="1"/>
        <v/>
      </c>
      <c r="M245" s="2">
        <f t="shared" si="2"/>
        <v>242</v>
      </c>
      <c r="AY245" s="2" t="s">
        <v>677</v>
      </c>
    </row>
    <row r="246">
      <c r="A246" s="2">
        <f t="shared" si="3"/>
        <v>243</v>
      </c>
      <c r="B246" s="1" t="s">
        <v>190</v>
      </c>
      <c r="C246" s="2" t="s">
        <v>192</v>
      </c>
      <c r="D246" s="2" t="s">
        <v>193</v>
      </c>
      <c r="E246" s="2">
        <v>36.0</v>
      </c>
      <c r="F246" s="2" t="s">
        <v>428</v>
      </c>
      <c r="G246" s="2" t="str">
        <f t="shared" si="4"/>
        <v>misma edad</v>
      </c>
      <c r="H246" s="2" t="str">
        <f t="shared" si="5"/>
        <v>mismo nombre</v>
      </c>
      <c r="I246" s="2" t="str">
        <f t="shared" si="6"/>
        <v>mismo colegio</v>
      </c>
      <c r="J246" s="2" t="b">
        <f t="shared" si="7"/>
        <v>0</v>
      </c>
      <c r="K246" s="2" t="str">
        <f>IFERROR(__xludf.DUMMYFUNCTION("TRIM(JOIN("" "",UNIQUE(TOCOL(ARRAYFORMULA(IF( SPLIT(C246,"" "")=TOCOL(SPLIT(C245,"" "")),SPLIT(C246,"" "")&amp;"" "",""""))))))"),"PAOLA VICTORIA TOLENTITNO")</f>
        <v>PAOLA VICTORIA TOLENTITNO</v>
      </c>
      <c r="L246" s="2" t="str">
        <f t="shared" si="1"/>
        <v/>
      </c>
      <c r="M246" s="2">
        <f t="shared" si="2"/>
        <v>242</v>
      </c>
      <c r="AY246" s="2" t="s">
        <v>931</v>
      </c>
    </row>
    <row r="247">
      <c r="A247" s="2">
        <f t="shared" si="3"/>
        <v>244</v>
      </c>
      <c r="B247" s="1" t="s">
        <v>190</v>
      </c>
      <c r="C247" s="2" t="s">
        <v>209</v>
      </c>
      <c r="D247" s="2" t="s">
        <v>193</v>
      </c>
      <c r="E247" s="2">
        <v>24.0</v>
      </c>
      <c r="F247" s="2" t="s">
        <v>194</v>
      </c>
      <c r="G247" s="2" t="str">
        <f t="shared" si="4"/>
        <v/>
      </c>
      <c r="H247" s="2" t="str">
        <f t="shared" si="5"/>
        <v/>
      </c>
      <c r="I247" s="2" t="str">
        <f t="shared" si="6"/>
        <v>mismo colegio</v>
      </c>
      <c r="J247" s="2" t="b">
        <f t="shared" si="7"/>
        <v>0</v>
      </c>
      <c r="K247" s="2" t="str">
        <f>IFERROR(__xludf.DUMMYFUNCTION("TRIM(JOIN("" "",UNIQUE(TOCOL(ARRAYFORMULA(IF( SPLIT(C247,"" "")=TOCOL(SPLIT(C246,"" "")),SPLIT(C247,"" "")&amp;"" "",""""))))))"),"PAOLA")</f>
        <v>PAOLA</v>
      </c>
      <c r="L247" s="2" t="str">
        <f t="shared" si="1"/>
        <v/>
      </c>
      <c r="M247" s="2">
        <f t="shared" si="2"/>
        <v>244</v>
      </c>
      <c r="AY247" s="2" t="s">
        <v>334</v>
      </c>
    </row>
    <row r="248">
      <c r="A248" s="2">
        <f t="shared" si="3"/>
        <v>245</v>
      </c>
      <c r="B248" s="1" t="s">
        <v>994</v>
      </c>
      <c r="C248" s="2" t="s">
        <v>1022</v>
      </c>
      <c r="D248" s="40" t="s">
        <v>193</v>
      </c>
      <c r="E248" s="2">
        <v>28.0</v>
      </c>
      <c r="F248" s="2" t="s">
        <v>194</v>
      </c>
      <c r="G248" s="2" t="str">
        <f t="shared" si="4"/>
        <v/>
      </c>
      <c r="H248" s="2" t="str">
        <f t="shared" si="5"/>
        <v/>
      </c>
      <c r="I248" s="2" t="str">
        <f t="shared" si="6"/>
        <v/>
      </c>
      <c r="J248" s="2" t="b">
        <f t="shared" si="7"/>
        <v>1</v>
      </c>
      <c r="K248" s="2" t="str">
        <f>IFERROR(__xludf.DUMMYFUNCTION("TRIM(JOIN("" "",UNIQUE(TOCOL(ARRAYFORMULA(IF( SPLIT(C248,"" "")=TOCOL(SPLIT(C247,"" "")),SPLIT(C248,"" "")&amp;"" "",""""))))))"),"")</f>
        <v/>
      </c>
      <c r="L248" s="2" t="str">
        <f t="shared" si="1"/>
        <v/>
      </c>
      <c r="M248" s="2">
        <f t="shared" si="2"/>
        <v>245</v>
      </c>
      <c r="AY248" s="2" t="s">
        <v>1047</v>
      </c>
    </row>
    <row r="249">
      <c r="A249" s="2">
        <f t="shared" si="3"/>
        <v>246</v>
      </c>
      <c r="B249" s="1" t="s">
        <v>813</v>
      </c>
      <c r="C249" s="2" t="s">
        <v>815</v>
      </c>
      <c r="D249" s="2" t="s">
        <v>193</v>
      </c>
      <c r="E249" s="2">
        <v>31.0</v>
      </c>
      <c r="F249" s="2" t="s">
        <v>194</v>
      </c>
      <c r="G249" s="2" t="str">
        <f t="shared" si="4"/>
        <v/>
      </c>
      <c r="H249" s="2" t="str">
        <f t="shared" si="5"/>
        <v/>
      </c>
      <c r="I249" s="2" t="str">
        <f t="shared" si="6"/>
        <v/>
      </c>
      <c r="J249" s="2" t="b">
        <f t="shared" si="7"/>
        <v>1</v>
      </c>
      <c r="K249" s="2" t="str">
        <f>IFERROR(__xludf.DUMMYFUNCTION("TRIM(JOIN("" "",UNIQUE(TOCOL(ARRAYFORMULA(IF( SPLIT(C249,"" "")=TOCOL(SPLIT(C248,"" "")),SPLIT(C249,"" "")&amp;"" "",""""))))))"),"")</f>
        <v/>
      </c>
      <c r="L249" s="2" t="str">
        <f t="shared" si="1"/>
        <v/>
      </c>
      <c r="M249" s="2">
        <f t="shared" si="2"/>
        <v>246</v>
      </c>
      <c r="AY249" s="2" t="s">
        <v>611</v>
      </c>
    </row>
    <row r="250">
      <c r="A250" s="2">
        <f t="shared" si="3"/>
        <v>247</v>
      </c>
      <c r="B250" s="1" t="s">
        <v>813</v>
      </c>
      <c r="C250" s="2" t="s">
        <v>815</v>
      </c>
      <c r="D250" s="2" t="s">
        <v>193</v>
      </c>
      <c r="E250" s="2">
        <v>31.0</v>
      </c>
      <c r="F250" s="2" t="s">
        <v>428</v>
      </c>
      <c r="G250" s="2" t="str">
        <f t="shared" si="4"/>
        <v>misma edad</v>
      </c>
      <c r="H250" s="2" t="str">
        <f t="shared" si="5"/>
        <v>mismo nombre</v>
      </c>
      <c r="I250" s="2" t="str">
        <f t="shared" si="6"/>
        <v>mismo colegio</v>
      </c>
      <c r="J250" s="2" t="b">
        <f t="shared" si="7"/>
        <v>0</v>
      </c>
      <c r="K250" s="2" t="str">
        <f>IFERROR(__xludf.DUMMYFUNCTION("TRIM(JOIN("" "",UNIQUE(TOCOL(ARRAYFORMULA(IF( SPLIT(C250,"" "")=TOCOL(SPLIT(C249,"" "")),SPLIT(C250,"" "")&amp;"" "",""""))))))"),"PALOMINO VILCA, ANA")</f>
        <v>PALOMINO VILCA, ANA</v>
      </c>
      <c r="L250" s="2" t="str">
        <f t="shared" si="1"/>
        <v/>
      </c>
      <c r="M250" s="2">
        <f t="shared" si="2"/>
        <v>246</v>
      </c>
      <c r="AY250" s="2" t="s">
        <v>296</v>
      </c>
    </row>
    <row r="251">
      <c r="A251" s="2">
        <f t="shared" si="3"/>
        <v>248</v>
      </c>
      <c r="B251" s="1" t="s">
        <v>719</v>
      </c>
      <c r="C251" s="2" t="s">
        <v>1432</v>
      </c>
      <c r="D251" s="2" t="s">
        <v>193</v>
      </c>
      <c r="E251" s="2">
        <v>27.0</v>
      </c>
      <c r="F251" s="2" t="s">
        <v>428</v>
      </c>
      <c r="G251" s="2" t="str">
        <f t="shared" si="4"/>
        <v/>
      </c>
      <c r="H251" s="2" t="str">
        <f t="shared" si="5"/>
        <v/>
      </c>
      <c r="I251" s="2" t="str">
        <f t="shared" si="6"/>
        <v/>
      </c>
      <c r="J251" s="2" t="b">
        <f t="shared" si="7"/>
        <v>1</v>
      </c>
      <c r="K251" s="2" t="str">
        <f>IFERROR(__xludf.DUMMYFUNCTION("TRIM(JOIN("" "",UNIQUE(TOCOL(ARRAYFORMULA(IF( SPLIT(C251,"" "")=TOCOL(SPLIT(C250,"" "")),SPLIT(C251,"" "")&amp;"" "",""""))))))"),"")</f>
        <v/>
      </c>
      <c r="L251" s="2" t="str">
        <f t="shared" si="1"/>
        <v/>
      </c>
      <c r="M251" s="2">
        <f t="shared" si="2"/>
        <v>248</v>
      </c>
      <c r="AY251" s="2" t="s">
        <v>1414</v>
      </c>
    </row>
    <row r="252">
      <c r="A252" s="2">
        <f t="shared" si="3"/>
        <v>249</v>
      </c>
      <c r="B252" s="1" t="s">
        <v>719</v>
      </c>
      <c r="C252" s="2" t="s">
        <v>748</v>
      </c>
      <c r="D252" s="2" t="s">
        <v>222</v>
      </c>
      <c r="E252" s="2">
        <v>26.0</v>
      </c>
      <c r="F252" s="2" t="s">
        <v>194</v>
      </c>
      <c r="G252" s="2" t="str">
        <f t="shared" si="4"/>
        <v/>
      </c>
      <c r="H252" s="2" t="str">
        <f t="shared" si="5"/>
        <v/>
      </c>
      <c r="I252" s="2" t="str">
        <f t="shared" si="6"/>
        <v>mismo colegio</v>
      </c>
      <c r="J252" s="2" t="b">
        <f t="shared" si="7"/>
        <v>0</v>
      </c>
      <c r="K252" s="2" t="str">
        <f>IFERROR(__xludf.DUMMYFUNCTION("TRIM(JOIN("" "",UNIQUE(TOCOL(ARRAYFORMULA(IF( SPLIT(C252,"" "")=TOCOL(SPLIT(C251,"" "")),SPLIT(C252,"" "")&amp;"" "",""""))))))"),"PALACIOS")</f>
        <v>PALACIOS</v>
      </c>
      <c r="L252" s="2" t="str">
        <f t="shared" si="1"/>
        <v/>
      </c>
      <c r="M252" s="2">
        <f t="shared" si="2"/>
        <v>249</v>
      </c>
      <c r="AY252" s="2" t="s">
        <v>332</v>
      </c>
    </row>
    <row r="253">
      <c r="A253" s="2">
        <f t="shared" si="3"/>
        <v>250</v>
      </c>
      <c r="B253" s="1" t="s">
        <v>801</v>
      </c>
      <c r="C253" s="2" t="s">
        <v>803</v>
      </c>
      <c r="D253" s="2" t="s">
        <v>193</v>
      </c>
      <c r="E253" s="2">
        <v>38.0</v>
      </c>
      <c r="F253" s="2" t="s">
        <v>194</v>
      </c>
      <c r="G253" s="2" t="str">
        <f t="shared" si="4"/>
        <v/>
      </c>
      <c r="H253" s="2" t="str">
        <f t="shared" si="5"/>
        <v/>
      </c>
      <c r="I253" s="2" t="str">
        <f t="shared" si="6"/>
        <v/>
      </c>
      <c r="J253" s="2" t="b">
        <f t="shared" si="7"/>
        <v>1</v>
      </c>
      <c r="K253" s="2" t="str">
        <f>IFERROR(__xludf.DUMMYFUNCTION("TRIM(JOIN("" "",UNIQUE(TOCOL(ARRAYFORMULA(IF( SPLIT(C253,"" "")=TOCOL(SPLIT(C252,"" "")),SPLIT(C253,"" "")&amp;"" "",""""))))))"),"")</f>
        <v/>
      </c>
      <c r="L253" s="2" t="str">
        <f t="shared" si="1"/>
        <v/>
      </c>
      <c r="M253" s="2">
        <f t="shared" si="2"/>
        <v>250</v>
      </c>
      <c r="AY253" s="2" t="s">
        <v>1164</v>
      </c>
    </row>
    <row r="254">
      <c r="A254" s="2">
        <f t="shared" si="3"/>
        <v>251</v>
      </c>
      <c r="B254" s="1" t="s">
        <v>801</v>
      </c>
      <c r="C254" s="2" t="s">
        <v>803</v>
      </c>
      <c r="D254" s="2" t="s">
        <v>193</v>
      </c>
      <c r="E254" s="2">
        <v>38.0</v>
      </c>
      <c r="F254" s="2" t="s">
        <v>428</v>
      </c>
      <c r="G254" s="2" t="str">
        <f t="shared" si="4"/>
        <v>misma edad</v>
      </c>
      <c r="H254" s="2" t="str">
        <f t="shared" si="5"/>
        <v>mismo nombre</v>
      </c>
      <c r="I254" s="2" t="str">
        <f t="shared" si="6"/>
        <v>mismo colegio</v>
      </c>
      <c r="J254" s="2" t="b">
        <f t="shared" si="7"/>
        <v>0</v>
      </c>
      <c r="K254" s="2" t="str">
        <f>IFERROR(__xludf.DUMMYFUNCTION("TRIM(JOIN("" "",UNIQUE(TOCOL(ARRAYFORMULA(IF( SPLIT(C254,"" "")=TOCOL(SPLIT(C253,"" "")),SPLIT(C254,"" "")&amp;"" "",""""))))))"),"PAICO TRUJILLO, JESSICA")</f>
        <v>PAICO TRUJILLO, JESSICA</v>
      </c>
      <c r="L254" s="2" t="str">
        <f t="shared" si="1"/>
        <v/>
      </c>
      <c r="M254" s="2">
        <f t="shared" si="2"/>
        <v>250</v>
      </c>
      <c r="AY254" s="2" t="s">
        <v>1094</v>
      </c>
    </row>
    <row r="255">
      <c r="A255" s="2">
        <f t="shared" si="3"/>
        <v>252</v>
      </c>
      <c r="B255" s="1" t="s">
        <v>323</v>
      </c>
      <c r="C255" s="2" t="s">
        <v>355</v>
      </c>
      <c r="D255" s="2" t="s">
        <v>222</v>
      </c>
      <c r="E255" s="2">
        <v>50.0</v>
      </c>
      <c r="F255" s="2" t="s">
        <v>194</v>
      </c>
      <c r="G255" s="2" t="str">
        <f t="shared" si="4"/>
        <v/>
      </c>
      <c r="H255" s="2" t="str">
        <f t="shared" si="5"/>
        <v/>
      </c>
      <c r="I255" s="2" t="str">
        <f t="shared" si="6"/>
        <v/>
      </c>
      <c r="J255" s="2" t="b">
        <f t="shared" si="7"/>
        <v>0</v>
      </c>
      <c r="K255" s="2" t="str">
        <f>IFERROR(__xludf.DUMMYFUNCTION("TRIM(JOIN("" "",UNIQUE(TOCOL(ARRAYFORMULA(IF( SPLIT(C255,"" "")=TOCOL(SPLIT(C254,"" "")),SPLIT(C255,"" "")&amp;"" "",""""))))))"),"")</f>
        <v/>
      </c>
      <c r="L255" s="2" t="str">
        <f t="shared" si="1"/>
        <v/>
      </c>
      <c r="M255" s="2">
        <f t="shared" si="2"/>
        <v>252</v>
      </c>
      <c r="AY255" s="2" t="s">
        <v>1222</v>
      </c>
    </row>
    <row r="256">
      <c r="A256" s="2">
        <f t="shared" si="3"/>
        <v>253</v>
      </c>
      <c r="B256" s="1" t="s">
        <v>719</v>
      </c>
      <c r="C256" s="2" t="s">
        <v>746</v>
      </c>
      <c r="D256" s="2" t="s">
        <v>193</v>
      </c>
      <c r="E256" s="2">
        <v>39.0</v>
      </c>
      <c r="F256" s="2" t="s">
        <v>194</v>
      </c>
      <c r="G256" s="2" t="str">
        <f t="shared" si="4"/>
        <v/>
      </c>
      <c r="H256" s="2" t="str">
        <f t="shared" si="5"/>
        <v/>
      </c>
      <c r="I256" s="2" t="str">
        <f t="shared" si="6"/>
        <v/>
      </c>
      <c r="J256" s="2" t="b">
        <f t="shared" si="7"/>
        <v>1</v>
      </c>
      <c r="K256" s="2" t="str">
        <f>IFERROR(__xludf.DUMMYFUNCTION("TRIM(JOIN("" "",UNIQUE(TOCOL(ARRAYFORMULA(IF( SPLIT(C256,"" "")=TOCOL(SPLIT(C255,"" "")),SPLIT(C256,"" "")&amp;"" "",""""))))))"),"")</f>
        <v/>
      </c>
      <c r="L256" s="2" t="str">
        <f t="shared" si="1"/>
        <v>-&gt;WITH THIS</v>
      </c>
      <c r="M256" s="2">
        <f t="shared" si="2"/>
        <v>253</v>
      </c>
      <c r="AY256" s="2" t="s">
        <v>1159</v>
      </c>
    </row>
    <row r="257">
      <c r="A257" s="2">
        <f t="shared" si="3"/>
        <v>254</v>
      </c>
      <c r="B257" s="1" t="s">
        <v>719</v>
      </c>
      <c r="C257" s="2" t="s">
        <v>1424</v>
      </c>
      <c r="D257" s="2" t="s">
        <v>193</v>
      </c>
      <c r="E257" s="2">
        <v>39.0</v>
      </c>
      <c r="F257" s="2" t="s">
        <v>428</v>
      </c>
      <c r="G257" s="2" t="str">
        <f t="shared" si="4"/>
        <v>misma edad</v>
      </c>
      <c r="H257" s="2" t="str">
        <f t="shared" si="5"/>
        <v/>
      </c>
      <c r="I257" s="2" t="str">
        <f t="shared" si="6"/>
        <v>mismo colegio</v>
      </c>
      <c r="J257" s="2" t="b">
        <f t="shared" si="7"/>
        <v>0</v>
      </c>
      <c r="K257" s="2" t="str">
        <f>IFERROR(__xludf.DUMMYFUNCTION("TRIM(JOIN("" "",UNIQUE(TOCOL(ARRAYFORMULA(IF( SPLIT(C257,"" "")=TOCOL(SPLIT(C256,"" "")),SPLIT(C257,"" "")&amp;"" "",""""))))))"),"OSORIO BRIOSO ALICIA")</f>
        <v>OSORIO BRIOSO ALICIA</v>
      </c>
      <c r="L257" s="2" t="str">
        <f t="shared" si="1"/>
        <v>EVALUAR</v>
      </c>
      <c r="M257" s="2">
        <f t="shared" si="2"/>
        <v>254</v>
      </c>
      <c r="AY257" s="2" t="s">
        <v>1099</v>
      </c>
    </row>
    <row r="258">
      <c r="A258" s="2">
        <f t="shared" si="3"/>
        <v>255</v>
      </c>
      <c r="B258" s="1" t="s">
        <v>830</v>
      </c>
      <c r="C258" s="2" t="s">
        <v>843</v>
      </c>
      <c r="D258" s="2" t="s">
        <v>193</v>
      </c>
      <c r="E258" s="2"/>
      <c r="F258" s="2" t="s">
        <v>194</v>
      </c>
      <c r="G258" s="2" t="str">
        <f t="shared" si="4"/>
        <v/>
      </c>
      <c r="H258" s="2" t="str">
        <f t="shared" si="5"/>
        <v/>
      </c>
      <c r="I258" s="2" t="str">
        <f t="shared" si="6"/>
        <v/>
      </c>
      <c r="J258" s="2" t="b">
        <f t="shared" si="7"/>
        <v>0</v>
      </c>
      <c r="K258" s="2" t="str">
        <f>IFERROR(__xludf.DUMMYFUNCTION("TRIM(JOIN("" "",UNIQUE(TOCOL(ARRAYFORMULA(IF( SPLIT(C258,"" "")=TOCOL(SPLIT(C257,"" "")),SPLIT(C258,"" "")&amp;"" "",""""))))))"),"")</f>
        <v/>
      </c>
      <c r="L258" s="2" t="str">
        <f t="shared" si="1"/>
        <v/>
      </c>
      <c r="M258" s="2">
        <f t="shared" si="2"/>
        <v>255</v>
      </c>
      <c r="AY258" s="2" t="s">
        <v>681</v>
      </c>
    </row>
    <row r="259">
      <c r="A259" s="2">
        <f t="shared" si="3"/>
        <v>256</v>
      </c>
      <c r="B259" s="1" t="s">
        <v>830</v>
      </c>
      <c r="C259" s="2" t="s">
        <v>843</v>
      </c>
      <c r="D259" s="2" t="s">
        <v>193</v>
      </c>
      <c r="E259" s="2">
        <v>38.0</v>
      </c>
      <c r="F259" s="2" t="s">
        <v>428</v>
      </c>
      <c r="G259" s="2" t="str">
        <f t="shared" si="4"/>
        <v/>
      </c>
      <c r="H259" s="2" t="str">
        <f t="shared" si="5"/>
        <v>mismo nombre</v>
      </c>
      <c r="I259" s="2" t="str">
        <f t="shared" si="6"/>
        <v>mismo colegio</v>
      </c>
      <c r="J259" s="2" t="b">
        <f t="shared" si="7"/>
        <v>0</v>
      </c>
      <c r="K259" s="2" t="str">
        <f>IFERROR(__xludf.DUMMYFUNCTION("TRIM(JOIN("" "",UNIQUE(TOCOL(ARRAYFORMULA(IF( SPLIT(C259,"" "")=TOCOL(SPLIT(C258,"" "")),SPLIT(C259,"" "")&amp;"" "",""""))))))"),"ORTIZ MONTALVO, MARIA")</f>
        <v>ORTIZ MONTALVO, MARIA</v>
      </c>
      <c r="L259" s="2" t="str">
        <f t="shared" si="1"/>
        <v/>
      </c>
      <c r="M259" s="2">
        <f t="shared" si="2"/>
        <v>255</v>
      </c>
      <c r="AY259" s="2" t="s">
        <v>1388</v>
      </c>
    </row>
    <row r="260">
      <c r="A260" s="2">
        <f t="shared" si="3"/>
        <v>257</v>
      </c>
      <c r="B260" s="1" t="s">
        <v>205</v>
      </c>
      <c r="C260" s="2" t="s">
        <v>1144</v>
      </c>
      <c r="D260" s="2" t="s">
        <v>193</v>
      </c>
      <c r="E260" s="2">
        <v>26.0</v>
      </c>
      <c r="F260" s="2" t="s">
        <v>428</v>
      </c>
      <c r="G260" s="2" t="str">
        <f t="shared" si="4"/>
        <v/>
      </c>
      <c r="H260" s="2" t="str">
        <f t="shared" si="5"/>
        <v/>
      </c>
      <c r="I260" s="2" t="str">
        <f t="shared" si="6"/>
        <v/>
      </c>
      <c r="J260" s="2" t="b">
        <f t="shared" si="7"/>
        <v>1</v>
      </c>
      <c r="K260" s="2" t="str">
        <f>IFERROR(__xludf.DUMMYFUNCTION("TRIM(JOIN("" "",UNIQUE(TOCOL(ARRAYFORMULA(IF( SPLIT(C260,"" "")=TOCOL(SPLIT(C259,"" "")),SPLIT(C260,"" "")&amp;"" "",""""))))))"),"")</f>
        <v/>
      </c>
      <c r="L260" s="2" t="str">
        <f t="shared" si="1"/>
        <v/>
      </c>
      <c r="M260" s="2">
        <f t="shared" si="2"/>
        <v>257</v>
      </c>
      <c r="AY260" s="2" t="s">
        <v>208</v>
      </c>
    </row>
    <row r="261">
      <c r="A261" s="2">
        <f t="shared" si="3"/>
        <v>258</v>
      </c>
      <c r="B261" s="1" t="s">
        <v>994</v>
      </c>
      <c r="C261" s="2" t="s">
        <v>1000</v>
      </c>
      <c r="D261" s="2" t="s">
        <v>193</v>
      </c>
      <c r="E261" s="2">
        <v>38.0</v>
      </c>
      <c r="F261" s="2" t="s">
        <v>194</v>
      </c>
      <c r="G261" s="2" t="str">
        <f t="shared" si="4"/>
        <v/>
      </c>
      <c r="H261" s="2" t="str">
        <f t="shared" si="5"/>
        <v/>
      </c>
      <c r="I261" s="2" t="str">
        <f t="shared" si="6"/>
        <v/>
      </c>
      <c r="J261" s="2" t="b">
        <f t="shared" si="7"/>
        <v>0</v>
      </c>
      <c r="K261" s="2" t="str">
        <f>IFERROR(__xludf.DUMMYFUNCTION("TRIM(JOIN("" "",UNIQUE(TOCOL(ARRAYFORMULA(IF( SPLIT(C261,"" "")=TOCOL(SPLIT(C260,"" "")),SPLIT(C261,"" "")&amp;"" "",""""))))))"),"")</f>
        <v/>
      </c>
      <c r="L261" s="2" t="str">
        <f t="shared" si="1"/>
        <v/>
      </c>
      <c r="M261" s="2">
        <f t="shared" si="2"/>
        <v>258</v>
      </c>
      <c r="AY261" s="2" t="s">
        <v>547</v>
      </c>
    </row>
    <row r="262">
      <c r="A262" s="2">
        <f t="shared" si="3"/>
        <v>259</v>
      </c>
      <c r="B262" s="1" t="s">
        <v>693</v>
      </c>
      <c r="C262" s="2" t="s">
        <v>713</v>
      </c>
      <c r="D262" s="2" t="s">
        <v>250</v>
      </c>
      <c r="E262" s="2">
        <v>55.0</v>
      </c>
      <c r="F262" s="2" t="s">
        <v>194</v>
      </c>
      <c r="G262" s="2" t="str">
        <f t="shared" si="4"/>
        <v/>
      </c>
      <c r="H262" s="2" t="str">
        <f t="shared" si="5"/>
        <v/>
      </c>
      <c r="I262" s="2" t="str">
        <f t="shared" si="6"/>
        <v/>
      </c>
      <c r="J262" s="2" t="b">
        <f t="shared" si="7"/>
        <v>1</v>
      </c>
      <c r="K262" s="2" t="str">
        <f>IFERROR(__xludf.DUMMYFUNCTION("TRIM(JOIN("" "",UNIQUE(TOCOL(ARRAYFORMULA(IF( SPLIT(C262,"" "")=TOCOL(SPLIT(C261,"" "")),SPLIT(C262,"" "")&amp;"" "",""""))))))"),"")</f>
        <v/>
      </c>
      <c r="L262" s="2" t="str">
        <f t="shared" si="1"/>
        <v/>
      </c>
      <c r="M262" s="2">
        <f t="shared" si="2"/>
        <v>259</v>
      </c>
      <c r="AY262" s="2" t="s">
        <v>1178</v>
      </c>
    </row>
    <row r="263">
      <c r="A263" s="2">
        <f t="shared" si="3"/>
        <v>260</v>
      </c>
      <c r="B263" s="1" t="s">
        <v>968</v>
      </c>
      <c r="C263" s="2" t="s">
        <v>1274</v>
      </c>
      <c r="D263" s="2" t="s">
        <v>193</v>
      </c>
      <c r="E263" s="2">
        <v>42.0</v>
      </c>
      <c r="F263" s="2" t="s">
        <v>428</v>
      </c>
      <c r="G263" s="2" t="str">
        <f t="shared" si="4"/>
        <v/>
      </c>
      <c r="H263" s="2" t="str">
        <f t="shared" si="5"/>
        <v/>
      </c>
      <c r="I263" s="2" t="str">
        <f t="shared" si="6"/>
        <v/>
      </c>
      <c r="J263" s="2" t="b">
        <f t="shared" si="7"/>
        <v>0</v>
      </c>
      <c r="K263" s="2" t="str">
        <f>IFERROR(__xludf.DUMMYFUNCTION("TRIM(JOIN("" "",UNIQUE(TOCOL(ARRAYFORMULA(IF( SPLIT(C263,"" "")=TOCOL(SPLIT(C262,"" "")),SPLIT(C263,"" "")&amp;"" "",""""))))))"),"")</f>
        <v/>
      </c>
      <c r="L263" s="2" t="str">
        <f t="shared" si="1"/>
        <v/>
      </c>
      <c r="M263" s="2">
        <f t="shared" si="2"/>
        <v>260</v>
      </c>
      <c r="AY263" s="2" t="s">
        <v>1423</v>
      </c>
    </row>
    <row r="264">
      <c r="A264" s="2">
        <f t="shared" si="3"/>
        <v>261</v>
      </c>
      <c r="B264" s="1" t="s">
        <v>226</v>
      </c>
      <c r="C264" s="2" t="s">
        <v>247</v>
      </c>
      <c r="D264" s="2" t="s">
        <v>193</v>
      </c>
      <c r="E264" s="2">
        <v>28.0</v>
      </c>
      <c r="F264" s="2" t="s">
        <v>194</v>
      </c>
      <c r="G264" s="2" t="str">
        <f t="shared" si="4"/>
        <v/>
      </c>
      <c r="H264" s="2" t="str">
        <f t="shared" si="5"/>
        <v/>
      </c>
      <c r="I264" s="2" t="str">
        <f t="shared" si="6"/>
        <v/>
      </c>
      <c r="J264" s="2" t="b">
        <f t="shared" si="7"/>
        <v>0</v>
      </c>
      <c r="K264" s="2" t="str">
        <f>IFERROR(__xludf.DUMMYFUNCTION("TRIM(JOIN("" "",UNIQUE(TOCOL(ARRAYFORMULA(IF( SPLIT(C264,"" "")=TOCOL(SPLIT(C263,"" "")),SPLIT(C264,"" "")&amp;"" "",""""))))))"),"OLINDA")</f>
        <v>OLINDA</v>
      </c>
      <c r="L264" s="2" t="str">
        <f t="shared" si="1"/>
        <v/>
      </c>
      <c r="M264" s="2">
        <f t="shared" si="2"/>
        <v>261</v>
      </c>
      <c r="AY264" s="2" t="s">
        <v>418</v>
      </c>
    </row>
    <row r="265">
      <c r="A265" s="2">
        <f t="shared" si="3"/>
        <v>262</v>
      </c>
      <c r="B265" s="1" t="s">
        <v>226</v>
      </c>
      <c r="C265" s="2" t="s">
        <v>247</v>
      </c>
      <c r="D265" s="2" t="s">
        <v>193</v>
      </c>
      <c r="E265" s="2">
        <v>28.0</v>
      </c>
      <c r="F265" s="2" t="s">
        <v>428</v>
      </c>
      <c r="G265" s="2" t="str">
        <f t="shared" si="4"/>
        <v>misma edad</v>
      </c>
      <c r="H265" s="2" t="str">
        <f t="shared" si="5"/>
        <v>mismo nombre</v>
      </c>
      <c r="I265" s="2" t="str">
        <f t="shared" si="6"/>
        <v>mismo colegio</v>
      </c>
      <c r="J265" s="2" t="b">
        <f t="shared" si="7"/>
        <v>0</v>
      </c>
      <c r="K265" s="2" t="str">
        <f>IFERROR(__xludf.DUMMYFUNCTION("TRIM(JOIN("" "",UNIQUE(TOCOL(ARRAYFORMULA(IF( SPLIT(C265,"" "")=TOCOL(SPLIT(C264,"" "")),SPLIT(C265,"" "")&amp;"" "",""""))))))"),"OLINDA RAMOS GARGATE")</f>
        <v>OLINDA RAMOS GARGATE</v>
      </c>
      <c r="L265" s="2" t="str">
        <f t="shared" si="1"/>
        <v/>
      </c>
      <c r="M265" s="2">
        <f t="shared" si="2"/>
        <v>261</v>
      </c>
      <c r="AY265" s="2" t="s">
        <v>1249</v>
      </c>
    </row>
    <row r="266">
      <c r="A266" s="2">
        <f t="shared" si="3"/>
        <v>263</v>
      </c>
      <c r="B266" s="1" t="s">
        <v>457</v>
      </c>
      <c r="C266" s="2" t="s">
        <v>473</v>
      </c>
      <c r="D266" s="2" t="s">
        <v>193</v>
      </c>
      <c r="E266" s="2">
        <v>39.0</v>
      </c>
      <c r="F266" s="2" t="s">
        <v>194</v>
      </c>
      <c r="G266" s="2" t="str">
        <f t="shared" si="4"/>
        <v/>
      </c>
      <c r="H266" s="2" t="str">
        <f t="shared" si="5"/>
        <v/>
      </c>
      <c r="I266" s="2" t="str">
        <f t="shared" si="6"/>
        <v/>
      </c>
      <c r="J266" s="2" t="b">
        <f t="shared" si="7"/>
        <v>0</v>
      </c>
      <c r="K266" s="2" t="str">
        <f>IFERROR(__xludf.DUMMYFUNCTION("TRIM(JOIN("" "",UNIQUE(TOCOL(ARRAYFORMULA(IF( SPLIT(C266,"" "")=TOCOL(SPLIT(C265,"" "")),SPLIT(C266,"" "")&amp;"" "",""""))))))"),"OLINDA")</f>
        <v>OLINDA</v>
      </c>
      <c r="L266" s="2" t="str">
        <f t="shared" si="1"/>
        <v/>
      </c>
      <c r="M266" s="2">
        <f t="shared" si="2"/>
        <v>263</v>
      </c>
      <c r="AY266" s="2" t="s">
        <v>1058</v>
      </c>
    </row>
    <row r="267">
      <c r="A267" s="2">
        <f t="shared" si="3"/>
        <v>264</v>
      </c>
      <c r="B267" s="1" t="s">
        <v>457</v>
      </c>
      <c r="C267" s="2" t="s">
        <v>473</v>
      </c>
      <c r="D267" s="2" t="s">
        <v>193</v>
      </c>
      <c r="E267" s="2">
        <v>39.0</v>
      </c>
      <c r="F267" s="2" t="s">
        <v>428</v>
      </c>
      <c r="G267" s="2" t="str">
        <f t="shared" si="4"/>
        <v>misma edad</v>
      </c>
      <c r="H267" s="2" t="str">
        <f t="shared" si="5"/>
        <v>mismo nombre</v>
      </c>
      <c r="I267" s="2" t="str">
        <f t="shared" si="6"/>
        <v>mismo colegio</v>
      </c>
      <c r="J267" s="2" t="b">
        <f t="shared" si="7"/>
        <v>0</v>
      </c>
      <c r="K267" s="2" t="str">
        <f>IFERROR(__xludf.DUMMYFUNCTION("TRIM(JOIN("" "",UNIQUE(TOCOL(ARRAYFORMULA(IF( SPLIT(C267,"" "")=TOCOL(SPLIT(C266,"" "")),SPLIT(C267,"" "")&amp;"" "",""""))))))"),"OLINDA CASTRO MELGAREJO")</f>
        <v>OLINDA CASTRO MELGAREJO</v>
      </c>
      <c r="L267" s="2" t="str">
        <f t="shared" si="1"/>
        <v/>
      </c>
      <c r="M267" s="2">
        <f t="shared" si="2"/>
        <v>263</v>
      </c>
      <c r="AY267" s="2" t="s">
        <v>235</v>
      </c>
    </row>
    <row r="268">
      <c r="A268" s="2">
        <f t="shared" si="3"/>
        <v>265</v>
      </c>
      <c r="B268" s="1" t="s">
        <v>457</v>
      </c>
      <c r="C268" s="2" t="s">
        <v>499</v>
      </c>
      <c r="D268" s="2" t="s">
        <v>193</v>
      </c>
      <c r="E268" s="2"/>
      <c r="F268" s="2" t="s">
        <v>428</v>
      </c>
      <c r="G268" s="2" t="str">
        <f t="shared" si="4"/>
        <v/>
      </c>
      <c r="H268" s="2" t="str">
        <f t="shared" si="5"/>
        <v/>
      </c>
      <c r="I268" s="2" t="str">
        <f t="shared" si="6"/>
        <v>mismo colegio</v>
      </c>
      <c r="J268" s="2" t="b">
        <f t="shared" si="7"/>
        <v>1</v>
      </c>
      <c r="K268" s="2" t="str">
        <f>IFERROR(__xludf.DUMMYFUNCTION("TRIM(JOIN("" "",UNIQUE(TOCOL(ARRAYFORMULA(IF( SPLIT(C268,"" "")=TOCOL(SPLIT(C267,"" "")),SPLIT(C268,"" "")&amp;"" "",""""))))))"),"")</f>
        <v/>
      </c>
      <c r="L268" s="2" t="str">
        <f t="shared" si="1"/>
        <v/>
      </c>
      <c r="M268" s="2">
        <f t="shared" si="2"/>
        <v>265</v>
      </c>
      <c r="AY268" s="2" t="s">
        <v>416</v>
      </c>
    </row>
    <row r="269">
      <c r="A269" s="2">
        <f t="shared" si="3"/>
        <v>266</v>
      </c>
      <c r="B269" s="1" t="s">
        <v>144</v>
      </c>
      <c r="C269" s="2" t="s">
        <v>557</v>
      </c>
      <c r="D269" s="2" t="s">
        <v>222</v>
      </c>
      <c r="E269" s="2">
        <v>33.0</v>
      </c>
      <c r="F269" s="2" t="s">
        <v>194</v>
      </c>
      <c r="G269" s="2" t="str">
        <f t="shared" si="4"/>
        <v/>
      </c>
      <c r="H269" s="2" t="str">
        <f t="shared" si="5"/>
        <v/>
      </c>
      <c r="I269" s="2" t="str">
        <f t="shared" si="6"/>
        <v/>
      </c>
      <c r="J269" s="2" t="b">
        <f t="shared" si="7"/>
        <v>0</v>
      </c>
      <c r="K269" s="2" t="str">
        <f>IFERROR(__xludf.DUMMYFUNCTION("TRIM(JOIN("" "",UNIQUE(TOCOL(ARRAYFORMULA(IF( SPLIT(C269,"" "")=TOCOL(SPLIT(C268,"" "")),SPLIT(C269,"" "")&amp;"" "",""""))))))"),"")</f>
        <v/>
      </c>
      <c r="L269" s="2" t="str">
        <f t="shared" si="1"/>
        <v/>
      </c>
      <c r="M269" s="2">
        <f t="shared" si="2"/>
        <v>266</v>
      </c>
      <c r="AY269" s="2" t="s">
        <v>493</v>
      </c>
    </row>
    <row r="270">
      <c r="A270" s="2">
        <f t="shared" si="3"/>
        <v>267</v>
      </c>
      <c r="B270" s="1" t="s">
        <v>144</v>
      </c>
      <c r="C270" s="2" t="s">
        <v>562</v>
      </c>
      <c r="D270" s="2" t="s">
        <v>222</v>
      </c>
      <c r="E270" s="2">
        <v>26.0</v>
      </c>
      <c r="F270" s="2" t="s">
        <v>194</v>
      </c>
      <c r="G270" s="2" t="str">
        <f t="shared" si="4"/>
        <v/>
      </c>
      <c r="H270" s="2" t="str">
        <f t="shared" si="5"/>
        <v/>
      </c>
      <c r="I270" s="2" t="str">
        <f t="shared" si="6"/>
        <v>mismo colegio</v>
      </c>
      <c r="J270" s="2" t="b">
        <f t="shared" si="7"/>
        <v>1</v>
      </c>
      <c r="K270" s="2" t="str">
        <f>IFERROR(__xludf.DUMMYFUNCTION("TRIM(JOIN("" "",UNIQUE(TOCOL(ARRAYFORMULA(IF( SPLIT(C270,"" "")=TOCOL(SPLIT(C269,"" "")),SPLIT(C270,"" "")&amp;"" "",""""))))))"),"OBREGÓN RAMIREZ")</f>
        <v>OBREGÓN RAMIREZ</v>
      </c>
      <c r="L270" s="2" t="str">
        <f t="shared" si="1"/>
        <v/>
      </c>
      <c r="M270" s="2">
        <f t="shared" si="2"/>
        <v>267</v>
      </c>
      <c r="AY270" s="2" t="s">
        <v>839</v>
      </c>
    </row>
    <row r="271">
      <c r="A271" s="2">
        <f t="shared" si="3"/>
        <v>268</v>
      </c>
      <c r="B271" s="1" t="s">
        <v>144</v>
      </c>
      <c r="C271" s="2" t="s">
        <v>542</v>
      </c>
      <c r="D271" s="2" t="s">
        <v>193</v>
      </c>
      <c r="E271" s="2">
        <v>42.0</v>
      </c>
      <c r="F271" s="2" t="s">
        <v>194</v>
      </c>
      <c r="G271" s="2" t="str">
        <f t="shared" si="4"/>
        <v/>
      </c>
      <c r="H271" s="2" t="str">
        <f t="shared" si="5"/>
        <v/>
      </c>
      <c r="I271" s="2" t="str">
        <f t="shared" si="6"/>
        <v>mismo colegio</v>
      </c>
      <c r="J271" s="2" t="b">
        <f t="shared" si="7"/>
        <v>1</v>
      </c>
      <c r="K271" s="2" t="str">
        <f>IFERROR(__xludf.DUMMYFUNCTION("TRIM(JOIN("" "",UNIQUE(TOCOL(ARRAYFORMULA(IF( SPLIT(C271,"" "")=TOCOL(SPLIT(C270,"" "")),SPLIT(C271,"" "")&amp;"" "",""""))))))"),"OBREGÓN RAMIREZ")</f>
        <v>OBREGÓN RAMIREZ</v>
      </c>
      <c r="L271" s="2" t="str">
        <f t="shared" si="1"/>
        <v/>
      </c>
      <c r="M271" s="2">
        <f t="shared" si="2"/>
        <v>268</v>
      </c>
      <c r="AY271" s="2" t="s">
        <v>360</v>
      </c>
    </row>
    <row r="272">
      <c r="A272" s="2">
        <f t="shared" si="3"/>
        <v>269</v>
      </c>
      <c r="B272" s="1" t="s">
        <v>144</v>
      </c>
      <c r="C272" s="2" t="s">
        <v>530</v>
      </c>
      <c r="D272" s="2" t="s">
        <v>222</v>
      </c>
      <c r="E272" s="2">
        <v>39.0</v>
      </c>
      <c r="F272" s="2" t="s">
        <v>194</v>
      </c>
      <c r="G272" s="2" t="str">
        <f t="shared" si="4"/>
        <v/>
      </c>
      <c r="H272" s="2" t="str">
        <f t="shared" si="5"/>
        <v/>
      </c>
      <c r="I272" s="2" t="str">
        <f t="shared" si="6"/>
        <v>mismo colegio</v>
      </c>
      <c r="J272" s="2" t="b">
        <f t="shared" si="7"/>
        <v>1</v>
      </c>
      <c r="K272" s="2" t="str">
        <f>IFERROR(__xludf.DUMMYFUNCTION("TRIM(JOIN("" "",UNIQUE(TOCOL(ARRAYFORMULA(IF( SPLIT(C272,"" "")=TOCOL(SPLIT(C271,"" "")),SPLIT(C272,"" "")&amp;"" "",""""))))))"),"OBREGÓN RAMIREZ")</f>
        <v>OBREGÓN RAMIREZ</v>
      </c>
      <c r="L272" s="2" t="str">
        <f t="shared" si="1"/>
        <v/>
      </c>
      <c r="M272" s="2">
        <f t="shared" si="2"/>
        <v>269</v>
      </c>
      <c r="AY272" s="2" t="s">
        <v>900</v>
      </c>
    </row>
    <row r="273">
      <c r="A273" s="2">
        <f t="shared" si="3"/>
        <v>270</v>
      </c>
      <c r="B273" s="1" t="s">
        <v>144</v>
      </c>
      <c r="C273" s="2" t="s">
        <v>530</v>
      </c>
      <c r="D273" s="2" t="s">
        <v>222</v>
      </c>
      <c r="E273" s="2">
        <v>39.0</v>
      </c>
      <c r="F273" s="2" t="s">
        <v>428</v>
      </c>
      <c r="G273" s="2" t="str">
        <f t="shared" si="4"/>
        <v>misma edad</v>
      </c>
      <c r="H273" s="2" t="str">
        <f t="shared" si="5"/>
        <v>mismo nombre</v>
      </c>
      <c r="I273" s="2" t="str">
        <f t="shared" si="6"/>
        <v>mismo colegio</v>
      </c>
      <c r="J273" s="2" t="b">
        <f t="shared" si="7"/>
        <v>0</v>
      </c>
      <c r="K273" s="2" t="str">
        <f>IFERROR(__xludf.DUMMYFUNCTION("TRIM(JOIN("" "",UNIQUE(TOCOL(ARRAYFORMULA(IF( SPLIT(C273,"" "")=TOCOL(SPLIT(C272,"" "")),SPLIT(C273,"" "")&amp;"" "",""""))))))"),"OBREGÓN RAMIREZ JAIME EDWIN")</f>
        <v>OBREGÓN RAMIREZ JAIME EDWIN</v>
      </c>
      <c r="L273" s="2" t="str">
        <f t="shared" si="1"/>
        <v/>
      </c>
      <c r="M273" s="2">
        <f t="shared" si="2"/>
        <v>269</v>
      </c>
      <c r="AY273" s="2" t="s">
        <v>806</v>
      </c>
    </row>
    <row r="274">
      <c r="A274" s="2">
        <f t="shared" si="3"/>
        <v>271</v>
      </c>
      <c r="B274" s="1" t="s">
        <v>144</v>
      </c>
      <c r="C274" s="2" t="s">
        <v>532</v>
      </c>
      <c r="D274" s="2" t="s">
        <v>222</v>
      </c>
      <c r="E274" s="2">
        <v>35.0</v>
      </c>
      <c r="F274" s="2" t="s">
        <v>194</v>
      </c>
      <c r="G274" s="2" t="str">
        <f t="shared" si="4"/>
        <v/>
      </c>
      <c r="H274" s="2" t="str">
        <f t="shared" si="5"/>
        <v/>
      </c>
      <c r="I274" s="2" t="str">
        <f t="shared" si="6"/>
        <v>mismo colegio</v>
      </c>
      <c r="J274" s="2" t="b">
        <f t="shared" si="7"/>
        <v>0</v>
      </c>
      <c r="K274" s="2" t="str">
        <f>IFERROR(__xludf.DUMMYFUNCTION("TRIM(JOIN("" "",UNIQUE(TOCOL(ARRAYFORMULA(IF( SPLIT(C274,"" "")=TOCOL(SPLIT(C273,"" "")),SPLIT(C274,"" "")&amp;"" "",""""))))))"),"OBREGÓN")</f>
        <v>OBREGÓN</v>
      </c>
      <c r="L274" s="2" t="str">
        <f t="shared" si="1"/>
        <v/>
      </c>
      <c r="M274" s="2">
        <f t="shared" si="2"/>
        <v>271</v>
      </c>
      <c r="AY274" s="2" t="s">
        <v>1053</v>
      </c>
    </row>
    <row r="275">
      <c r="A275" s="2">
        <f t="shared" si="3"/>
        <v>272</v>
      </c>
      <c r="B275" s="1" t="s">
        <v>144</v>
      </c>
      <c r="C275" s="2" t="s">
        <v>528</v>
      </c>
      <c r="D275" s="2" t="s">
        <v>222</v>
      </c>
      <c r="E275" s="2">
        <v>32.0</v>
      </c>
      <c r="F275" s="2" t="s">
        <v>194</v>
      </c>
      <c r="G275" s="2" t="str">
        <f t="shared" si="4"/>
        <v/>
      </c>
      <c r="H275" s="2" t="str">
        <f t="shared" si="5"/>
        <v/>
      </c>
      <c r="I275" s="2" t="str">
        <f t="shared" si="6"/>
        <v>mismo colegio</v>
      </c>
      <c r="J275" s="2" t="b">
        <f t="shared" si="7"/>
        <v>1</v>
      </c>
      <c r="K275" s="2" t="str">
        <f>IFERROR(__xludf.DUMMYFUNCTION("TRIM(JOIN("" "",UNIQUE(TOCOL(ARRAYFORMULA(IF( SPLIT(C275,"" "")=TOCOL(SPLIT(C274,"" "")),SPLIT(C275,"" "")&amp;"" "",""""))))))"),"OBREGÓN")</f>
        <v>OBREGÓN</v>
      </c>
      <c r="L275" s="2" t="str">
        <f t="shared" si="1"/>
        <v/>
      </c>
      <c r="M275" s="2">
        <f t="shared" si="2"/>
        <v>272</v>
      </c>
      <c r="AY275" s="2" t="s">
        <v>981</v>
      </c>
    </row>
    <row r="276">
      <c r="A276" s="2">
        <f t="shared" si="3"/>
        <v>273</v>
      </c>
      <c r="B276" s="1" t="s">
        <v>144</v>
      </c>
      <c r="C276" s="2" t="s">
        <v>548</v>
      </c>
      <c r="D276" s="2" t="s">
        <v>193</v>
      </c>
      <c r="E276" s="2">
        <v>30.0</v>
      </c>
      <c r="F276" s="2" t="s">
        <v>194</v>
      </c>
      <c r="G276" s="2" t="str">
        <f t="shared" si="4"/>
        <v/>
      </c>
      <c r="H276" s="2" t="str">
        <f t="shared" si="5"/>
        <v/>
      </c>
      <c r="I276" s="2" t="str">
        <f t="shared" si="6"/>
        <v>mismo colegio</v>
      </c>
      <c r="J276" s="2" t="b">
        <f t="shared" si="7"/>
        <v>1</v>
      </c>
      <c r="K276" s="2" t="str">
        <f>IFERROR(__xludf.DUMMYFUNCTION("TRIM(JOIN("" "",UNIQUE(TOCOL(ARRAYFORMULA(IF( SPLIT(C276,"" "")=TOCOL(SPLIT(C275,"" "")),SPLIT(C276,"" "")&amp;"" "",""""))))))"),"")</f>
        <v/>
      </c>
      <c r="L276" s="2" t="str">
        <f t="shared" si="1"/>
        <v/>
      </c>
      <c r="M276" s="2">
        <f t="shared" si="2"/>
        <v>273</v>
      </c>
      <c r="AY276" s="2" t="s">
        <v>973</v>
      </c>
    </row>
    <row r="277">
      <c r="A277" s="2">
        <f t="shared" si="3"/>
        <v>274</v>
      </c>
      <c r="B277" s="1" t="s">
        <v>911</v>
      </c>
      <c r="C277" s="2" t="s">
        <v>1050</v>
      </c>
      <c r="D277" s="2" t="s">
        <v>193</v>
      </c>
      <c r="E277" s="2">
        <v>36.0</v>
      </c>
      <c r="F277" s="2" t="s">
        <v>194</v>
      </c>
      <c r="G277" s="2" t="str">
        <f t="shared" si="4"/>
        <v/>
      </c>
      <c r="H277" s="2" t="str">
        <f t="shared" si="5"/>
        <v/>
      </c>
      <c r="I277" s="2" t="str">
        <f t="shared" si="6"/>
        <v/>
      </c>
      <c r="J277" s="2" t="b">
        <f t="shared" si="7"/>
        <v>1</v>
      </c>
      <c r="K277" s="2" t="str">
        <f>IFERROR(__xludf.DUMMYFUNCTION("TRIM(JOIN("" "",UNIQUE(TOCOL(ARRAYFORMULA(IF( SPLIT(C277,"" "")=TOCOL(SPLIT(C276,"" "")),SPLIT(C277,"" "")&amp;"" "",""""))))))"),"")</f>
        <v/>
      </c>
      <c r="L277" s="2" t="str">
        <f t="shared" si="1"/>
        <v>-&gt;WITH THIS</v>
      </c>
      <c r="M277" s="2">
        <f t="shared" si="2"/>
        <v>274</v>
      </c>
      <c r="AY277" s="2" t="s">
        <v>344</v>
      </c>
    </row>
    <row r="278">
      <c r="A278" s="2">
        <f t="shared" si="3"/>
        <v>275</v>
      </c>
      <c r="B278" s="1" t="s">
        <v>911</v>
      </c>
      <c r="C278" s="2" t="s">
        <v>1267</v>
      </c>
      <c r="D278" s="2" t="s">
        <v>193</v>
      </c>
      <c r="E278" s="2">
        <v>36.0</v>
      </c>
      <c r="F278" s="2" t="s">
        <v>428</v>
      </c>
      <c r="G278" s="2" t="str">
        <f t="shared" si="4"/>
        <v>misma edad</v>
      </c>
      <c r="H278" s="2" t="str">
        <f t="shared" si="5"/>
        <v/>
      </c>
      <c r="I278" s="2" t="str">
        <f t="shared" si="6"/>
        <v>mismo colegio</v>
      </c>
      <c r="J278" s="2" t="b">
        <f t="shared" si="7"/>
        <v>0</v>
      </c>
      <c r="K278" s="2" t="str">
        <f>IFERROR(__xludf.DUMMYFUNCTION("TRIM(JOIN("" "",UNIQUE(TOCOL(ARRAYFORMULA(IF( SPLIT(C278,"" "")=TOCOL(SPLIT(C277,"" "")),SPLIT(C278,"" "")&amp;"" "",""""))))))"),"NURIA MINAYA PADILLA")</f>
        <v>NURIA MINAYA PADILLA</v>
      </c>
      <c r="L278" s="2" t="str">
        <f t="shared" si="1"/>
        <v>EVALUAR</v>
      </c>
      <c r="M278" s="2">
        <f t="shared" si="2"/>
        <v>275</v>
      </c>
      <c r="AY278" s="2" t="s">
        <v>1336</v>
      </c>
    </row>
    <row r="279">
      <c r="A279" s="2">
        <f t="shared" si="3"/>
        <v>276</v>
      </c>
      <c r="B279" s="1" t="s">
        <v>968</v>
      </c>
      <c r="C279" s="2" t="s">
        <v>1284</v>
      </c>
      <c r="D279" s="2" t="s">
        <v>193</v>
      </c>
      <c r="E279" s="2">
        <v>22.0</v>
      </c>
      <c r="F279" s="2" t="s">
        <v>428</v>
      </c>
      <c r="G279" s="2" t="str">
        <f t="shared" si="4"/>
        <v/>
      </c>
      <c r="H279" s="2" t="str">
        <f t="shared" si="5"/>
        <v/>
      </c>
      <c r="I279" s="2" t="str">
        <f t="shared" si="6"/>
        <v/>
      </c>
      <c r="J279" s="2" t="b">
        <f t="shared" si="7"/>
        <v>1</v>
      </c>
      <c r="K279" s="2" t="str">
        <f>IFERROR(__xludf.DUMMYFUNCTION("TRIM(JOIN("" "",UNIQUE(TOCOL(ARRAYFORMULA(IF( SPLIT(C279,"" "")=TOCOL(SPLIT(C278,"" "")),SPLIT(C279,"" "")&amp;"" "",""""))))))"),"")</f>
        <v/>
      </c>
      <c r="L279" s="2" t="str">
        <f t="shared" si="1"/>
        <v/>
      </c>
      <c r="M279" s="2">
        <f t="shared" si="2"/>
        <v>276</v>
      </c>
      <c r="AY279" s="2" t="s">
        <v>602</v>
      </c>
    </row>
    <row r="280">
      <c r="A280" s="2">
        <f t="shared" si="3"/>
        <v>277</v>
      </c>
      <c r="B280" s="1" t="s">
        <v>911</v>
      </c>
      <c r="C280" s="2" t="s">
        <v>920</v>
      </c>
      <c r="D280" s="2" t="s">
        <v>193</v>
      </c>
      <c r="E280" s="2">
        <v>30.0</v>
      </c>
      <c r="F280" s="2" t="s">
        <v>194</v>
      </c>
      <c r="G280" s="2" t="str">
        <f t="shared" si="4"/>
        <v/>
      </c>
      <c r="H280" s="2" t="str">
        <f t="shared" si="5"/>
        <v/>
      </c>
      <c r="I280" s="2" t="str">
        <f t="shared" si="6"/>
        <v/>
      </c>
      <c r="J280" s="2" t="b">
        <f t="shared" si="7"/>
        <v>0</v>
      </c>
      <c r="K280" s="2" t="str">
        <f>IFERROR(__xludf.DUMMYFUNCTION("TRIM(JOIN("" "",UNIQUE(TOCOL(ARRAYFORMULA(IF( SPLIT(C280,"" "")=TOCOL(SPLIT(C279,"" "")),SPLIT(C280,"" "")&amp;"" "",""""))))))"),"NILDA")</f>
        <v>NILDA</v>
      </c>
      <c r="L280" s="2" t="str">
        <f t="shared" si="1"/>
        <v/>
      </c>
      <c r="M280" s="2">
        <f t="shared" si="2"/>
        <v>277</v>
      </c>
      <c r="AY280" s="2" t="s">
        <v>370</v>
      </c>
    </row>
    <row r="281">
      <c r="A281" s="2">
        <f t="shared" si="3"/>
        <v>278</v>
      </c>
      <c r="B281" s="1" t="s">
        <v>323</v>
      </c>
      <c r="C281" s="2" t="s">
        <v>1359</v>
      </c>
      <c r="D281" s="2" t="s">
        <v>193</v>
      </c>
      <c r="E281" s="2">
        <v>29.0</v>
      </c>
      <c r="F281" s="2" t="s">
        <v>428</v>
      </c>
      <c r="G281" s="2" t="str">
        <f t="shared" si="4"/>
        <v/>
      </c>
      <c r="H281" s="2" t="str">
        <f t="shared" si="5"/>
        <v/>
      </c>
      <c r="I281" s="2" t="str">
        <f t="shared" si="6"/>
        <v/>
      </c>
      <c r="J281" s="2" t="b">
        <f t="shared" si="7"/>
        <v>0</v>
      </c>
      <c r="K281" s="2" t="str">
        <f>IFERROR(__xludf.DUMMYFUNCTION("TRIM(JOIN("" "",UNIQUE(TOCOL(ARRAYFORMULA(IF( SPLIT(C281,"" "")=TOCOL(SPLIT(C280,"" "")),SPLIT(C281,"" "")&amp;"" "",""""))))))"),"")</f>
        <v/>
      </c>
      <c r="L281" s="2" t="str">
        <f t="shared" si="1"/>
        <v/>
      </c>
      <c r="M281" s="2">
        <f t="shared" si="2"/>
        <v>278</v>
      </c>
      <c r="AY281" s="2" t="s">
        <v>621</v>
      </c>
    </row>
    <row r="282">
      <c r="A282" s="2">
        <f t="shared" si="3"/>
        <v>279</v>
      </c>
      <c r="B282" s="1" t="s">
        <v>226</v>
      </c>
      <c r="C282" s="2" t="s">
        <v>319</v>
      </c>
      <c r="D282" s="2" t="s">
        <v>193</v>
      </c>
      <c r="E282" s="2">
        <v>21.0</v>
      </c>
      <c r="F282" s="2" t="s">
        <v>194</v>
      </c>
      <c r="G282" s="2" t="str">
        <f t="shared" si="4"/>
        <v/>
      </c>
      <c r="H282" s="2" t="str">
        <f t="shared" si="5"/>
        <v/>
      </c>
      <c r="I282" s="2" t="str">
        <f t="shared" si="6"/>
        <v/>
      </c>
      <c r="J282" s="2" t="b">
        <f t="shared" si="7"/>
        <v>0</v>
      </c>
      <c r="K282" s="2" t="str">
        <f>IFERROR(__xludf.DUMMYFUNCTION("TRIM(JOIN("" "",UNIQUE(TOCOL(ARRAYFORMULA(IF( SPLIT(C282,"" "")=TOCOL(SPLIT(C281,"" "")),SPLIT(C282,"" "")&amp;"" "",""""))))))"),"")</f>
        <v/>
      </c>
      <c r="L282" s="2" t="str">
        <f t="shared" si="1"/>
        <v/>
      </c>
      <c r="M282" s="2">
        <f t="shared" si="2"/>
        <v>279</v>
      </c>
      <c r="AY282" s="2" t="s">
        <v>251</v>
      </c>
    </row>
    <row r="283">
      <c r="A283" s="2">
        <f t="shared" si="3"/>
        <v>280</v>
      </c>
      <c r="B283" s="1" t="s">
        <v>226</v>
      </c>
      <c r="C283" s="2" t="s">
        <v>319</v>
      </c>
      <c r="D283" s="2" t="s">
        <v>250</v>
      </c>
      <c r="E283" s="2">
        <v>23.0</v>
      </c>
      <c r="F283" s="2" t="s">
        <v>428</v>
      </c>
      <c r="G283" s="2" t="str">
        <f t="shared" si="4"/>
        <v/>
      </c>
      <c r="H283" s="2" t="str">
        <f t="shared" si="5"/>
        <v>mismo nombre</v>
      </c>
      <c r="I283" s="2" t="str">
        <f t="shared" si="6"/>
        <v>mismo colegio</v>
      </c>
      <c r="J283" s="2" t="b">
        <f t="shared" si="7"/>
        <v>0</v>
      </c>
      <c r="K283" s="2" t="str">
        <f>IFERROR(__xludf.DUMMYFUNCTION("TRIM(JOIN("" "",UNIQUE(TOCOL(ARRAYFORMULA(IF( SPLIT(C283,"" "")=TOCOL(SPLIT(C282,"" "")),SPLIT(C283,"" "")&amp;"" "",""""))))))"),"NAYBETH ZUMAYDA BAR ROJAS")</f>
        <v>NAYBETH ZUMAYDA BAR ROJAS</v>
      </c>
      <c r="L283" s="2" t="str">
        <f t="shared" si="1"/>
        <v/>
      </c>
      <c r="M283" s="2">
        <f t="shared" si="2"/>
        <v>279</v>
      </c>
      <c r="AY283" s="2" t="s">
        <v>1031</v>
      </c>
    </row>
    <row r="284">
      <c r="A284" s="2">
        <f t="shared" si="3"/>
        <v>281</v>
      </c>
      <c r="B284" s="1" t="s">
        <v>226</v>
      </c>
      <c r="C284" s="2" t="s">
        <v>1117</v>
      </c>
      <c r="D284" s="2" t="s">
        <v>193</v>
      </c>
      <c r="E284" s="2">
        <v>32.0</v>
      </c>
      <c r="F284" s="2" t="s">
        <v>428</v>
      </c>
      <c r="G284" s="2" t="str">
        <f t="shared" si="4"/>
        <v/>
      </c>
      <c r="H284" s="2" t="str">
        <f t="shared" si="5"/>
        <v/>
      </c>
      <c r="I284" s="2" t="str">
        <f t="shared" si="6"/>
        <v>mismo colegio</v>
      </c>
      <c r="J284" s="2" t="b">
        <f t="shared" si="7"/>
        <v>1</v>
      </c>
      <c r="K284" s="2" t="str">
        <f>IFERROR(__xludf.DUMMYFUNCTION("TRIM(JOIN("" "",UNIQUE(TOCOL(ARRAYFORMULA(IF( SPLIT(C284,"" "")=TOCOL(SPLIT(C283,"" "")),SPLIT(C284,"" "")&amp;"" "",""""))))))"),"")</f>
        <v/>
      </c>
      <c r="L284" s="2" t="str">
        <f t="shared" si="1"/>
        <v>-&gt;WITH THIS</v>
      </c>
      <c r="M284" s="2">
        <f t="shared" si="2"/>
        <v>281</v>
      </c>
      <c r="AY284" s="2" t="s">
        <v>439</v>
      </c>
    </row>
    <row r="285">
      <c r="A285" s="2">
        <f t="shared" si="3"/>
        <v>282</v>
      </c>
      <c r="B285" s="1" t="s">
        <v>226</v>
      </c>
      <c r="C285" s="2" t="s">
        <v>293</v>
      </c>
      <c r="D285" s="2" t="s">
        <v>222</v>
      </c>
      <c r="E285" s="2">
        <v>32.0</v>
      </c>
      <c r="F285" s="2" t="s">
        <v>194</v>
      </c>
      <c r="G285" s="2" t="str">
        <f t="shared" si="4"/>
        <v>misma edad</v>
      </c>
      <c r="H285" s="2" t="str">
        <f t="shared" si="5"/>
        <v/>
      </c>
      <c r="I285" s="2" t="str">
        <f t="shared" si="6"/>
        <v>mismo colegio</v>
      </c>
      <c r="J285" s="2" t="b">
        <f t="shared" si="7"/>
        <v>0</v>
      </c>
      <c r="K285" s="2" t="str">
        <f>IFERROR(__xludf.DUMMYFUNCTION("TRIM(JOIN("" "",UNIQUE(TOCOL(ARRAYFORMULA(IF( SPLIT(C285,"" "")=TOCOL(SPLIT(C284,"" "")),SPLIT(C285,"" "")&amp;"" "",""""))))))"),"NAUN YESMER QUISPE UGARTE")</f>
        <v>NAUN YESMER QUISPE UGARTE</v>
      </c>
      <c r="L285" s="2" t="str">
        <f t="shared" si="1"/>
        <v>EVALUAR</v>
      </c>
      <c r="M285" s="2">
        <f t="shared" si="2"/>
        <v>282</v>
      </c>
      <c r="AY285" s="2" t="s">
        <v>1266</v>
      </c>
    </row>
    <row r="286">
      <c r="A286" s="2">
        <f t="shared" si="3"/>
        <v>283</v>
      </c>
      <c r="B286" s="1" t="s">
        <v>190</v>
      </c>
      <c r="C286" s="2" t="s">
        <v>202</v>
      </c>
      <c r="D286" s="2" t="s">
        <v>193</v>
      </c>
      <c r="E286" s="2">
        <v>30.0</v>
      </c>
      <c r="F286" s="2" t="s">
        <v>194</v>
      </c>
      <c r="G286" s="2" t="str">
        <f t="shared" si="4"/>
        <v/>
      </c>
      <c r="H286" s="2" t="str">
        <f t="shared" si="5"/>
        <v/>
      </c>
      <c r="I286" s="2" t="str">
        <f t="shared" si="6"/>
        <v/>
      </c>
      <c r="J286" s="2" t="b">
        <f t="shared" si="7"/>
        <v>1</v>
      </c>
      <c r="K286" s="2" t="str">
        <f>IFERROR(__xludf.DUMMYFUNCTION("TRIM(JOIN("" "",UNIQUE(TOCOL(ARRAYFORMULA(IF( SPLIT(C286,"" "")=TOCOL(SPLIT(C285,"" "")),SPLIT(C286,"" "")&amp;"" "",""""))))))"),"")</f>
        <v/>
      </c>
      <c r="L286" s="2" t="str">
        <f t="shared" si="1"/>
        <v/>
      </c>
      <c r="M286" s="2">
        <f t="shared" si="2"/>
        <v>283</v>
      </c>
      <c r="AY286" s="2" t="s">
        <v>433</v>
      </c>
    </row>
    <row r="287">
      <c r="A287" s="2">
        <f t="shared" si="3"/>
        <v>284</v>
      </c>
      <c r="B287" s="1" t="s">
        <v>190</v>
      </c>
      <c r="C287" s="2" t="s">
        <v>202</v>
      </c>
      <c r="D287" s="2" t="s">
        <v>193</v>
      </c>
      <c r="E287" s="2">
        <v>30.0</v>
      </c>
      <c r="F287" s="2" t="s">
        <v>428</v>
      </c>
      <c r="G287" s="2" t="str">
        <f t="shared" si="4"/>
        <v>misma edad</v>
      </c>
      <c r="H287" s="2" t="str">
        <f t="shared" si="5"/>
        <v>mismo nombre</v>
      </c>
      <c r="I287" s="2" t="str">
        <f t="shared" si="6"/>
        <v>mismo colegio</v>
      </c>
      <c r="J287" s="2" t="b">
        <f t="shared" si="7"/>
        <v>0</v>
      </c>
      <c r="K287" s="2" t="str">
        <f>IFERROR(__xludf.DUMMYFUNCTION("TRIM(JOIN("" "",UNIQUE(TOCOL(ARRAYFORMULA(IF( SPLIT(C287,"" "")=TOCOL(SPLIT(C286,"" "")),SPLIT(C287,"" "")&amp;"" "",""""))))))"),"NARCIZA CUEVA TREJO")</f>
        <v>NARCIZA CUEVA TREJO</v>
      </c>
      <c r="L287" s="2" t="str">
        <f t="shared" si="1"/>
        <v/>
      </c>
      <c r="M287" s="2">
        <f t="shared" si="2"/>
        <v>283</v>
      </c>
      <c r="AY287" s="2" t="s">
        <v>1224</v>
      </c>
    </row>
    <row r="288">
      <c r="A288" s="2">
        <f t="shared" si="3"/>
        <v>285</v>
      </c>
      <c r="B288" s="1" t="s">
        <v>226</v>
      </c>
      <c r="C288" s="2" t="s">
        <v>238</v>
      </c>
      <c r="D288" s="2" t="s">
        <v>193</v>
      </c>
      <c r="E288" s="2">
        <v>35.0</v>
      </c>
      <c r="F288" s="2" t="s">
        <v>194</v>
      </c>
      <c r="G288" s="2" t="str">
        <f t="shared" si="4"/>
        <v/>
      </c>
      <c r="H288" s="2" t="str">
        <f t="shared" si="5"/>
        <v/>
      </c>
      <c r="I288" s="2" t="str">
        <f t="shared" si="6"/>
        <v/>
      </c>
      <c r="J288" s="2" t="b">
        <f t="shared" si="7"/>
        <v>0</v>
      </c>
      <c r="K288" s="2" t="str">
        <f>IFERROR(__xludf.DUMMYFUNCTION("TRIM(JOIN("" "",UNIQUE(TOCOL(ARRAYFORMULA(IF( SPLIT(C288,"" "")=TOCOL(SPLIT(C287,"" "")),SPLIT(C288,"" "")&amp;"" "",""""))))))"),"")</f>
        <v/>
      </c>
      <c r="L288" s="2" t="str">
        <f t="shared" si="1"/>
        <v/>
      </c>
      <c r="M288" s="2">
        <f t="shared" si="2"/>
        <v>285</v>
      </c>
      <c r="AY288" s="2" t="s">
        <v>1011</v>
      </c>
    </row>
    <row r="289">
      <c r="A289" s="2">
        <f t="shared" si="3"/>
        <v>286</v>
      </c>
      <c r="B289" s="1" t="s">
        <v>226</v>
      </c>
      <c r="C289" s="2" t="s">
        <v>238</v>
      </c>
      <c r="D289" s="2" t="s">
        <v>193</v>
      </c>
      <c r="E289" s="2">
        <v>35.0</v>
      </c>
      <c r="F289" s="2" t="s">
        <v>428</v>
      </c>
      <c r="G289" s="2" t="str">
        <f t="shared" si="4"/>
        <v>misma edad</v>
      </c>
      <c r="H289" s="2" t="str">
        <f t="shared" si="5"/>
        <v>mismo nombre</v>
      </c>
      <c r="I289" s="2" t="str">
        <f t="shared" si="6"/>
        <v>mismo colegio</v>
      </c>
      <c r="J289" s="2" t="b">
        <f t="shared" si="7"/>
        <v>0</v>
      </c>
      <c r="K289" s="2" t="str">
        <f>IFERROR(__xludf.DUMMYFUNCTION("TRIM(JOIN("" "",UNIQUE(TOCOL(ARRAYFORMULA(IF( SPLIT(C289,"" "")=TOCOL(SPLIT(C288,"" "")),SPLIT(C289,"" "")&amp;"" "",""""))))))"),"NANCY GUERRA RAMIREZ")</f>
        <v>NANCY GUERRA RAMIREZ</v>
      </c>
      <c r="L289" s="2" t="str">
        <f t="shared" si="1"/>
        <v>-&gt;WITH THIS</v>
      </c>
      <c r="M289" s="2">
        <f t="shared" si="2"/>
        <v>285</v>
      </c>
      <c r="AY289" s="2" t="s">
        <v>398</v>
      </c>
    </row>
    <row r="290">
      <c r="A290" s="2">
        <f t="shared" si="3"/>
        <v>287</v>
      </c>
      <c r="B290" s="1" t="s">
        <v>226</v>
      </c>
      <c r="C290" s="2" t="s">
        <v>287</v>
      </c>
      <c r="D290" s="2" t="s">
        <v>193</v>
      </c>
      <c r="E290" s="2">
        <v>35.0</v>
      </c>
      <c r="F290" s="2" t="s">
        <v>194</v>
      </c>
      <c r="G290" s="2" t="str">
        <f t="shared" si="4"/>
        <v>misma edad</v>
      </c>
      <c r="H290" s="2" t="str">
        <f t="shared" si="5"/>
        <v/>
      </c>
      <c r="I290" s="2" t="str">
        <f t="shared" si="6"/>
        <v>mismo colegio</v>
      </c>
      <c r="J290" s="2" t="b">
        <f t="shared" si="7"/>
        <v>0</v>
      </c>
      <c r="K290" s="2" t="str">
        <f>IFERROR(__xludf.DUMMYFUNCTION("TRIM(JOIN("" "",UNIQUE(TOCOL(ARRAYFORMULA(IF( SPLIT(C290,"" "")=TOCOL(SPLIT(C289,"" "")),SPLIT(C290,"" "")&amp;"" "",""""))))))"),"NANCY")</f>
        <v>NANCY</v>
      </c>
      <c r="L290" s="2" t="str">
        <f t="shared" si="1"/>
        <v>EVALUAR</v>
      </c>
      <c r="M290" s="2">
        <f t="shared" si="2"/>
        <v>287</v>
      </c>
      <c r="AY290" s="2" t="s">
        <v>1397</v>
      </c>
    </row>
    <row r="291">
      <c r="A291" s="2">
        <f t="shared" si="3"/>
        <v>288</v>
      </c>
      <c r="B291" s="1" t="s">
        <v>830</v>
      </c>
      <c r="C291" s="2" t="s">
        <v>1221</v>
      </c>
      <c r="D291" s="2" t="s">
        <v>193</v>
      </c>
      <c r="E291" s="2">
        <v>29.0</v>
      </c>
      <c r="F291" s="2" t="s">
        <v>428</v>
      </c>
      <c r="G291" s="2" t="str">
        <f t="shared" si="4"/>
        <v/>
      </c>
      <c r="H291" s="2" t="str">
        <f t="shared" si="5"/>
        <v/>
      </c>
      <c r="I291" s="2" t="str">
        <f t="shared" si="6"/>
        <v/>
      </c>
      <c r="J291" s="2" t="b">
        <f t="shared" si="7"/>
        <v>0</v>
      </c>
      <c r="K291" s="2" t="str">
        <f>IFERROR(__xludf.DUMMYFUNCTION("TRIM(JOIN("" "",UNIQUE(TOCOL(ARRAYFORMULA(IF( SPLIT(C291,"" "")=TOCOL(SPLIT(C290,"" "")),SPLIT(C291,"" "")&amp;"" "",""""))))))"),"")</f>
        <v/>
      </c>
      <c r="L291" s="2" t="str">
        <f t="shared" si="1"/>
        <v/>
      </c>
      <c r="M291" s="2">
        <f t="shared" si="2"/>
        <v>288</v>
      </c>
      <c r="AY291" s="2" t="s">
        <v>1027</v>
      </c>
    </row>
    <row r="292">
      <c r="A292" s="2">
        <f t="shared" si="3"/>
        <v>289</v>
      </c>
      <c r="B292" s="1" t="s">
        <v>830</v>
      </c>
      <c r="C292" s="2" t="s">
        <v>872</v>
      </c>
      <c r="D292" s="2" t="s">
        <v>193</v>
      </c>
      <c r="E292" s="2">
        <v>36.0</v>
      </c>
      <c r="F292" s="2" t="s">
        <v>194</v>
      </c>
      <c r="G292" s="2" t="str">
        <f t="shared" si="4"/>
        <v/>
      </c>
      <c r="H292" s="2" t="str">
        <f t="shared" si="5"/>
        <v/>
      </c>
      <c r="I292" s="2" t="str">
        <f t="shared" si="6"/>
        <v>mismo colegio</v>
      </c>
      <c r="J292" s="2" t="b">
        <f t="shared" si="7"/>
        <v>0</v>
      </c>
      <c r="K292" s="2" t="str">
        <f>IFERROR(__xludf.DUMMYFUNCTION("TRIM(JOIN("" "",UNIQUE(TOCOL(ARRAYFORMULA(IF( SPLIT(C292,"" "")=TOCOL(SPLIT(C291,"" "")),SPLIT(C292,"" "")&amp;"" "",""""))))))"),"MORENO")</f>
        <v>MORENO</v>
      </c>
      <c r="L292" s="2" t="str">
        <f t="shared" si="1"/>
        <v/>
      </c>
      <c r="M292" s="2">
        <f t="shared" si="2"/>
        <v>289</v>
      </c>
      <c r="AY292" s="2" t="s">
        <v>316</v>
      </c>
    </row>
    <row r="293">
      <c r="A293" s="2">
        <f t="shared" si="3"/>
        <v>290</v>
      </c>
      <c r="B293" s="1" t="s">
        <v>830</v>
      </c>
      <c r="C293" s="2" t="s">
        <v>872</v>
      </c>
      <c r="D293" s="2" t="s">
        <v>193</v>
      </c>
      <c r="E293" s="2">
        <v>37.0</v>
      </c>
      <c r="F293" s="2" t="s">
        <v>428</v>
      </c>
      <c r="G293" s="2" t="str">
        <f t="shared" si="4"/>
        <v/>
      </c>
      <c r="H293" s="2" t="str">
        <f t="shared" si="5"/>
        <v>mismo nombre</v>
      </c>
      <c r="I293" s="2" t="str">
        <f t="shared" si="6"/>
        <v>mismo colegio</v>
      </c>
      <c r="J293" s="2" t="b">
        <f t="shared" si="7"/>
        <v>0</v>
      </c>
      <c r="K293" s="2" t="str">
        <f>IFERROR(__xludf.DUMMYFUNCTION("TRIM(JOIN("" "",UNIQUE(TOCOL(ARRAYFORMULA(IF( SPLIT(C293,"" "")=TOCOL(SPLIT(C292,"" "")),SPLIT(C293,"" "")&amp;"" "",""""))))))"),"MORENO DOLORES, ROMELY NOIMÍ")</f>
        <v>MORENO DOLORES, ROMELY NOIMÍ</v>
      </c>
      <c r="L293" s="2" t="str">
        <f t="shared" si="1"/>
        <v/>
      </c>
      <c r="M293" s="2">
        <f t="shared" si="2"/>
        <v>289</v>
      </c>
      <c r="AY293" s="2" t="s">
        <v>881</v>
      </c>
    </row>
    <row r="294">
      <c r="A294" s="2">
        <f t="shared" si="3"/>
        <v>291</v>
      </c>
      <c r="B294" s="1" t="s">
        <v>626</v>
      </c>
      <c r="C294" s="2" t="s">
        <v>628</v>
      </c>
      <c r="D294" s="2" t="s">
        <v>193</v>
      </c>
      <c r="E294" s="2">
        <v>42.0</v>
      </c>
      <c r="F294" s="2" t="s">
        <v>194</v>
      </c>
      <c r="G294" s="2" t="str">
        <f t="shared" si="4"/>
        <v/>
      </c>
      <c r="H294" s="2" t="str">
        <f t="shared" si="5"/>
        <v/>
      </c>
      <c r="I294" s="2" t="str">
        <f t="shared" si="6"/>
        <v/>
      </c>
      <c r="J294" s="2" t="b">
        <f t="shared" si="7"/>
        <v>0</v>
      </c>
      <c r="K294" s="2" t="str">
        <f>IFERROR(__xludf.DUMMYFUNCTION("TRIM(JOIN("" "",UNIQUE(TOCOL(ARRAYFORMULA(IF( SPLIT(C294,"" "")=TOCOL(SPLIT(C293,"" "")),SPLIT(C294,"" "")&amp;"" "",""""))))))"),"")</f>
        <v/>
      </c>
      <c r="L294" s="2" t="str">
        <f t="shared" si="1"/>
        <v/>
      </c>
      <c r="M294" s="2">
        <f t="shared" si="2"/>
        <v>291</v>
      </c>
      <c r="AY294" s="2" t="s">
        <v>1434</v>
      </c>
    </row>
    <row r="295">
      <c r="A295" s="2">
        <f t="shared" si="3"/>
        <v>292</v>
      </c>
      <c r="B295" s="1" t="s">
        <v>595</v>
      </c>
      <c r="C295" s="2" t="s">
        <v>599</v>
      </c>
      <c r="D295" s="2" t="s">
        <v>193</v>
      </c>
      <c r="E295" s="2">
        <v>27.0</v>
      </c>
      <c r="F295" s="2" t="s">
        <v>194</v>
      </c>
      <c r="G295" s="2" t="str">
        <f t="shared" si="4"/>
        <v/>
      </c>
      <c r="H295" s="2" t="str">
        <f t="shared" si="5"/>
        <v/>
      </c>
      <c r="I295" s="2" t="str">
        <f t="shared" si="6"/>
        <v/>
      </c>
      <c r="J295" s="2" t="b">
        <f t="shared" si="7"/>
        <v>1</v>
      </c>
      <c r="K295" s="2" t="str">
        <f>IFERROR(__xludf.DUMMYFUNCTION("TRIM(JOIN("" "",UNIQUE(TOCOL(ARRAYFORMULA(IF( SPLIT(C295,"" "")=TOCOL(SPLIT(C294,"" "")),SPLIT(C295,"" "")&amp;"" "",""""))))))"),"")</f>
        <v/>
      </c>
      <c r="L295" s="2" t="str">
        <f t="shared" si="1"/>
        <v/>
      </c>
      <c r="M295" s="2">
        <f t="shared" si="2"/>
        <v>292</v>
      </c>
      <c r="AY295" s="2" t="s">
        <v>1379</v>
      </c>
    </row>
    <row r="296">
      <c r="A296" s="2">
        <f t="shared" si="3"/>
        <v>293</v>
      </c>
      <c r="B296" s="1" t="s">
        <v>205</v>
      </c>
      <c r="C296" s="2" t="s">
        <v>363</v>
      </c>
      <c r="D296" s="2" t="s">
        <v>193</v>
      </c>
      <c r="E296" s="2">
        <v>34.0</v>
      </c>
      <c r="F296" s="2" t="s">
        <v>194</v>
      </c>
      <c r="G296" s="2" t="str">
        <f t="shared" si="4"/>
        <v/>
      </c>
      <c r="H296" s="2" t="str">
        <f t="shared" si="5"/>
        <v/>
      </c>
      <c r="I296" s="2" t="str">
        <f t="shared" si="6"/>
        <v/>
      </c>
      <c r="J296" s="2" t="b">
        <f t="shared" si="7"/>
        <v>1</v>
      </c>
      <c r="K296" s="2" t="str">
        <f>IFERROR(__xludf.DUMMYFUNCTION("TRIM(JOIN("" "",UNIQUE(TOCOL(ARRAYFORMULA(IF( SPLIT(C296,"" "")=TOCOL(SPLIT(C295,"" "")),SPLIT(C296,"" "")&amp;"" "",""""))))))"),"")</f>
        <v/>
      </c>
      <c r="L296" s="2" t="str">
        <f t="shared" si="1"/>
        <v/>
      </c>
      <c r="M296" s="2">
        <f t="shared" si="2"/>
        <v>293</v>
      </c>
      <c r="AY296" s="2" t="s">
        <v>1256</v>
      </c>
    </row>
    <row r="297">
      <c r="A297" s="2">
        <f t="shared" si="3"/>
        <v>294</v>
      </c>
      <c r="B297" s="1" t="s">
        <v>205</v>
      </c>
      <c r="C297" s="2" t="s">
        <v>363</v>
      </c>
      <c r="D297" s="2" t="s">
        <v>193</v>
      </c>
      <c r="E297" s="2">
        <v>34.0</v>
      </c>
      <c r="F297" s="2" t="s">
        <v>428</v>
      </c>
      <c r="G297" s="2" t="str">
        <f t="shared" si="4"/>
        <v>misma edad</v>
      </c>
      <c r="H297" s="2" t="str">
        <f t="shared" si="5"/>
        <v>mismo nombre</v>
      </c>
      <c r="I297" s="2" t="str">
        <f t="shared" si="6"/>
        <v>mismo colegio</v>
      </c>
      <c r="J297" s="2" t="b">
        <f t="shared" si="7"/>
        <v>0</v>
      </c>
      <c r="K297" s="2" t="str">
        <f>IFERROR(__xludf.DUMMYFUNCTION("TRIM(JOIN("" "",UNIQUE(TOCOL(ARRAYFORMULA(IF( SPLIT(C297,"" "")=TOCOL(SPLIT(C296,"" "")),SPLIT(C297,"" "")&amp;"" "",""""))))))"),"MILCA RAMOS SANCHEZ")</f>
        <v>MILCA RAMOS SANCHEZ</v>
      </c>
      <c r="L297" s="2" t="str">
        <f t="shared" si="1"/>
        <v/>
      </c>
      <c r="M297" s="2">
        <f t="shared" si="2"/>
        <v>293</v>
      </c>
      <c r="AY297" s="2" t="s">
        <v>246</v>
      </c>
    </row>
    <row r="298">
      <c r="A298" s="2">
        <f t="shared" si="3"/>
        <v>295</v>
      </c>
      <c r="B298" s="1" t="s">
        <v>911</v>
      </c>
      <c r="C298" s="2" t="s">
        <v>1264</v>
      </c>
      <c r="D298" s="2" t="s">
        <v>193</v>
      </c>
      <c r="E298" s="40"/>
      <c r="F298" s="2" t="s">
        <v>428</v>
      </c>
      <c r="G298" s="2" t="str">
        <f t="shared" si="4"/>
        <v/>
      </c>
      <c r="H298" s="2" t="str">
        <f t="shared" si="5"/>
        <v/>
      </c>
      <c r="I298" s="2" t="str">
        <f t="shared" si="6"/>
        <v/>
      </c>
      <c r="J298" s="2" t="b">
        <f t="shared" si="7"/>
        <v>1</v>
      </c>
      <c r="K298" s="2" t="str">
        <f>IFERROR(__xludf.DUMMYFUNCTION("TRIM(JOIN("" "",UNIQUE(TOCOL(ARRAYFORMULA(IF( SPLIT(C298,"" "")=TOCOL(SPLIT(C297,"" "")),SPLIT(C298,"" "")&amp;"" "",""""))))))"),"")</f>
        <v/>
      </c>
      <c r="L298" s="2" t="str">
        <f t="shared" si="1"/>
        <v/>
      </c>
      <c r="M298" s="2">
        <f t="shared" si="2"/>
        <v>295</v>
      </c>
      <c r="AY298" s="2" t="s">
        <v>1356</v>
      </c>
    </row>
    <row r="299">
      <c r="A299" s="2">
        <f t="shared" si="3"/>
        <v>296</v>
      </c>
      <c r="B299" s="1" t="s">
        <v>911</v>
      </c>
      <c r="C299" s="2" t="s">
        <v>922</v>
      </c>
      <c r="D299" s="2" t="s">
        <v>193</v>
      </c>
      <c r="E299" s="2">
        <v>24.0</v>
      </c>
      <c r="F299" s="2" t="s">
        <v>194</v>
      </c>
      <c r="G299" s="2" t="str">
        <f t="shared" si="4"/>
        <v/>
      </c>
      <c r="H299" s="2" t="str">
        <f t="shared" si="5"/>
        <v/>
      </c>
      <c r="I299" s="2" t="str">
        <f t="shared" si="6"/>
        <v>mismo colegio</v>
      </c>
      <c r="J299" s="2" t="b">
        <f t="shared" si="7"/>
        <v>0</v>
      </c>
      <c r="K299" s="2" t="str">
        <f>IFERROR(__xludf.DUMMYFUNCTION("TRIM(JOIN("" "",UNIQUE(TOCOL(ARRAYFORMULA(IF( SPLIT(C299,"" "")=TOCOL(SPLIT(C298,"" "")),SPLIT(C299,"" "")&amp;"" "",""""))))))"),"MILAGROS COCHACHIN")</f>
        <v>MILAGROS COCHACHIN</v>
      </c>
      <c r="L299" s="2" t="str">
        <f t="shared" si="1"/>
        <v/>
      </c>
      <c r="M299" s="2">
        <f t="shared" si="2"/>
        <v>296</v>
      </c>
      <c r="AY299" s="2" t="s">
        <v>1037</v>
      </c>
    </row>
    <row r="300">
      <c r="A300" s="2">
        <f t="shared" si="3"/>
        <v>297</v>
      </c>
      <c r="B300" s="1" t="s">
        <v>226</v>
      </c>
      <c r="C300" s="2" t="s">
        <v>301</v>
      </c>
      <c r="D300" s="2" t="s">
        <v>193</v>
      </c>
      <c r="E300" s="2">
        <v>28.0</v>
      </c>
      <c r="F300" s="2" t="s">
        <v>194</v>
      </c>
      <c r="G300" s="2" t="str">
        <f t="shared" si="4"/>
        <v/>
      </c>
      <c r="H300" s="2" t="str">
        <f t="shared" si="5"/>
        <v/>
      </c>
      <c r="I300" s="2" t="str">
        <f t="shared" si="6"/>
        <v/>
      </c>
      <c r="J300" s="2" t="b">
        <f t="shared" si="7"/>
        <v>1</v>
      </c>
      <c r="K300" s="2" t="str">
        <f>IFERROR(__xludf.DUMMYFUNCTION("TRIM(JOIN("" "",UNIQUE(TOCOL(ARRAYFORMULA(IF( SPLIT(C300,"" "")=TOCOL(SPLIT(C299,"" "")),SPLIT(C300,"" "")&amp;"" "",""""))))))"),"")</f>
        <v/>
      </c>
      <c r="L300" s="2" t="str">
        <f t="shared" si="1"/>
        <v/>
      </c>
      <c r="M300" s="2">
        <f t="shared" si="2"/>
        <v>297</v>
      </c>
      <c r="AY300" s="2" t="s">
        <v>732</v>
      </c>
    </row>
    <row r="301">
      <c r="A301" s="2">
        <f t="shared" si="3"/>
        <v>298</v>
      </c>
      <c r="B301" s="1" t="s">
        <v>226</v>
      </c>
      <c r="C301" s="2" t="s">
        <v>301</v>
      </c>
      <c r="D301" s="2" t="s">
        <v>193</v>
      </c>
      <c r="E301" s="2">
        <v>28.0</v>
      </c>
      <c r="F301" s="2" t="s">
        <v>428</v>
      </c>
      <c r="G301" s="2" t="str">
        <f t="shared" si="4"/>
        <v>misma edad</v>
      </c>
      <c r="H301" s="2" t="str">
        <f t="shared" si="5"/>
        <v>mismo nombre</v>
      </c>
      <c r="I301" s="2" t="str">
        <f t="shared" si="6"/>
        <v>mismo colegio</v>
      </c>
      <c r="J301" s="2" t="b">
        <f t="shared" si="7"/>
        <v>0</v>
      </c>
      <c r="K301" s="2" t="str">
        <f>IFERROR(__xludf.DUMMYFUNCTION("TRIM(JOIN("" "",UNIQUE(TOCOL(ARRAYFORMULA(IF( SPLIT(C301,"" "")=TOCOL(SPLIT(C300,"" "")),SPLIT(C301,"" "")&amp;"" "",""""))))))"),"MILAGRITOS EUDALIA VILLANUEVA MARIÑO")</f>
        <v>MILAGRITOS EUDALIA VILLANUEVA MARIÑO</v>
      </c>
      <c r="L301" s="2" t="str">
        <f t="shared" si="1"/>
        <v/>
      </c>
      <c r="M301" s="2">
        <f t="shared" si="2"/>
        <v>297</v>
      </c>
      <c r="AY301" s="2" t="s">
        <v>1007</v>
      </c>
    </row>
    <row r="302">
      <c r="A302" s="2">
        <f t="shared" si="3"/>
        <v>299</v>
      </c>
      <c r="B302" s="1" t="s">
        <v>226</v>
      </c>
      <c r="C302" s="2" t="s">
        <v>1127</v>
      </c>
      <c r="D302" s="2" t="s">
        <v>222</v>
      </c>
      <c r="E302" s="2">
        <v>32.0</v>
      </c>
      <c r="F302" s="2" t="s">
        <v>428</v>
      </c>
      <c r="G302" s="2" t="str">
        <f t="shared" si="4"/>
        <v/>
      </c>
      <c r="H302" s="2" t="str">
        <f t="shared" si="5"/>
        <v/>
      </c>
      <c r="I302" s="2" t="str">
        <f t="shared" si="6"/>
        <v>mismo colegio</v>
      </c>
      <c r="J302" s="2" t="b">
        <f t="shared" si="7"/>
        <v>1</v>
      </c>
      <c r="K302" s="2" t="str">
        <f>IFERROR(__xludf.DUMMYFUNCTION("TRIM(JOIN("" "",UNIQUE(TOCOL(ARRAYFORMULA(IF( SPLIT(C302,"" "")=TOCOL(SPLIT(C301,"" "")),SPLIT(C302,"" "")&amp;"" "",""""))))))"),"")</f>
        <v/>
      </c>
      <c r="L302" s="2" t="str">
        <f t="shared" si="1"/>
        <v>-&gt;WITH THIS</v>
      </c>
      <c r="M302" s="2">
        <f t="shared" si="2"/>
        <v>299</v>
      </c>
      <c r="AY302" s="2" t="s">
        <v>385</v>
      </c>
    </row>
    <row r="303">
      <c r="A303" s="2">
        <f t="shared" si="3"/>
        <v>300</v>
      </c>
      <c r="B303" s="1" t="s">
        <v>226</v>
      </c>
      <c r="C303" s="2" t="s">
        <v>305</v>
      </c>
      <c r="D303" s="2" t="s">
        <v>222</v>
      </c>
      <c r="E303" s="2">
        <v>32.0</v>
      </c>
      <c r="F303" s="2" t="s">
        <v>194</v>
      </c>
      <c r="G303" s="2" t="str">
        <f t="shared" si="4"/>
        <v>misma edad</v>
      </c>
      <c r="H303" s="2" t="str">
        <f t="shared" si="5"/>
        <v/>
      </c>
      <c r="I303" s="2" t="str">
        <f t="shared" si="6"/>
        <v>mismo colegio</v>
      </c>
      <c r="J303" s="2" t="b">
        <f t="shared" si="7"/>
        <v>0</v>
      </c>
      <c r="K303" s="2" t="str">
        <f>IFERROR(__xludf.DUMMYFUNCTION("TRIM(JOIN("" "",UNIQUE(TOCOL(ARRAYFORMULA(IF( SPLIT(C303,"" "")=TOCOL(SPLIT(C302,"" "")),SPLIT(C303,"" "")&amp;"" "",""""))))))"),"MIGUEL CHAVEZ DAVILA")</f>
        <v>MIGUEL CHAVEZ DAVILA</v>
      </c>
      <c r="L303" s="2" t="str">
        <f t="shared" si="1"/>
        <v>EVALUAR</v>
      </c>
      <c r="M303" s="2">
        <f t="shared" si="2"/>
        <v>300</v>
      </c>
      <c r="AY303" s="2" t="s">
        <v>272</v>
      </c>
    </row>
    <row r="304">
      <c r="A304" s="2">
        <f t="shared" si="3"/>
        <v>301</v>
      </c>
      <c r="B304" s="1" t="s">
        <v>205</v>
      </c>
      <c r="C304" s="2" t="s">
        <v>374</v>
      </c>
      <c r="D304" s="2" t="s">
        <v>193</v>
      </c>
      <c r="E304" s="2">
        <v>29.0</v>
      </c>
      <c r="F304" s="2" t="s">
        <v>194</v>
      </c>
      <c r="G304" s="2" t="str">
        <f t="shared" si="4"/>
        <v/>
      </c>
      <c r="H304" s="2" t="str">
        <f t="shared" si="5"/>
        <v/>
      </c>
      <c r="I304" s="2" t="str">
        <f t="shared" si="6"/>
        <v/>
      </c>
      <c r="J304" s="2" t="b">
        <f t="shared" si="7"/>
        <v>1</v>
      </c>
      <c r="K304" s="2" t="str">
        <f>IFERROR(__xludf.DUMMYFUNCTION("TRIM(JOIN("" "",UNIQUE(TOCOL(ARRAYFORMULA(IF( SPLIT(C304,"" "")=TOCOL(SPLIT(C303,"" "")),SPLIT(C304,"" "")&amp;"" "",""""))))))"),"")</f>
        <v/>
      </c>
      <c r="L304" s="2" t="str">
        <f t="shared" si="1"/>
        <v/>
      </c>
      <c r="M304" s="2">
        <f t="shared" si="2"/>
        <v>301</v>
      </c>
      <c r="AY304" s="2" t="s">
        <v>823</v>
      </c>
    </row>
    <row r="305">
      <c r="A305" s="2">
        <f t="shared" si="3"/>
        <v>302</v>
      </c>
      <c r="B305" s="1" t="s">
        <v>205</v>
      </c>
      <c r="C305" s="2" t="s">
        <v>374</v>
      </c>
      <c r="D305" s="2" t="s">
        <v>193</v>
      </c>
      <c r="E305" s="2">
        <v>29.0</v>
      </c>
      <c r="F305" s="2" t="s">
        <v>428</v>
      </c>
      <c r="G305" s="2" t="str">
        <f t="shared" si="4"/>
        <v>misma edad</v>
      </c>
      <c r="H305" s="2" t="str">
        <f t="shared" si="5"/>
        <v>mismo nombre</v>
      </c>
      <c r="I305" s="2" t="str">
        <f t="shared" si="6"/>
        <v>mismo colegio</v>
      </c>
      <c r="J305" s="2" t="b">
        <f t="shared" si="7"/>
        <v>0</v>
      </c>
      <c r="K305" s="2" t="str">
        <f>IFERROR(__xludf.DUMMYFUNCTION("TRIM(JOIN("" "",UNIQUE(TOCOL(ARRAYFORMULA(IF( SPLIT(C305,"" "")=TOCOL(SPLIT(C304,"" "")),SPLIT(C305,"" "")&amp;"" "",""""))))))"),"MENDIETA GUIZABALO GUADALUPE")</f>
        <v>MENDIETA GUIZABALO GUADALUPE</v>
      </c>
      <c r="L305" s="2" t="str">
        <f t="shared" si="1"/>
        <v/>
      </c>
      <c r="M305" s="2">
        <f t="shared" si="2"/>
        <v>301</v>
      </c>
      <c r="AY305" s="2" t="s">
        <v>1245</v>
      </c>
    </row>
    <row r="306">
      <c r="A306" s="2">
        <f t="shared" si="3"/>
        <v>303</v>
      </c>
      <c r="B306" s="1" t="s">
        <v>626</v>
      </c>
      <c r="C306" s="2" t="s">
        <v>886</v>
      </c>
      <c r="D306" s="2" t="s">
        <v>193</v>
      </c>
      <c r="E306" s="2">
        <v>37.0</v>
      </c>
      <c r="F306" s="2" t="s">
        <v>194</v>
      </c>
      <c r="G306" s="2" t="str">
        <f t="shared" si="4"/>
        <v/>
      </c>
      <c r="H306" s="2" t="str">
        <f t="shared" si="5"/>
        <v/>
      </c>
      <c r="I306" s="2" t="str">
        <f t="shared" si="6"/>
        <v/>
      </c>
      <c r="J306" s="2" t="b">
        <f t="shared" si="7"/>
        <v>0</v>
      </c>
      <c r="K306" s="2" t="str">
        <f>IFERROR(__xludf.DUMMYFUNCTION("TRIM(JOIN("" "",UNIQUE(TOCOL(ARRAYFORMULA(IF( SPLIT(C306,"" "")=TOCOL(SPLIT(C305,"" "")),SPLIT(C306,"" "")&amp;"" "",""""))))))"),"")</f>
        <v/>
      </c>
      <c r="L306" s="2" t="str">
        <f t="shared" si="1"/>
        <v/>
      </c>
      <c r="M306" s="2">
        <f t="shared" si="2"/>
        <v>303</v>
      </c>
      <c r="AY306" s="2" t="s">
        <v>1337</v>
      </c>
    </row>
    <row r="307">
      <c r="A307" s="2">
        <f t="shared" si="3"/>
        <v>304</v>
      </c>
      <c r="B307" s="1" t="s">
        <v>626</v>
      </c>
      <c r="C307" s="2" t="s">
        <v>886</v>
      </c>
      <c r="D307" s="2" t="s">
        <v>193</v>
      </c>
      <c r="E307" s="2">
        <v>37.0</v>
      </c>
      <c r="F307" s="2" t="s">
        <v>428</v>
      </c>
      <c r="G307" s="2" t="str">
        <f t="shared" si="4"/>
        <v>misma edad</v>
      </c>
      <c r="H307" s="2" t="str">
        <f t="shared" si="5"/>
        <v>mismo nombre</v>
      </c>
      <c r="I307" s="2" t="str">
        <f t="shared" si="6"/>
        <v>mismo colegio</v>
      </c>
      <c r="J307" s="2" t="b">
        <f t="shared" si="7"/>
        <v>0</v>
      </c>
      <c r="K307" s="2" t="str">
        <f>IFERROR(__xludf.DUMMYFUNCTION("TRIM(JOIN("" "",UNIQUE(TOCOL(ARRAYFORMULA(IF( SPLIT(C307,"" "")=TOCOL(SPLIT(C306,"" "")),SPLIT(C307,"" "")&amp;"" "",""""))))))"),"MENDEZ ROJAS JESSICA")</f>
        <v>MENDEZ ROJAS JESSICA</v>
      </c>
      <c r="L307" s="2" t="str">
        <f t="shared" si="1"/>
        <v/>
      </c>
      <c r="M307" s="2">
        <f t="shared" si="2"/>
        <v>303</v>
      </c>
      <c r="AY307" s="2" t="s">
        <v>1473</v>
      </c>
    </row>
    <row r="308">
      <c r="A308" s="2">
        <f t="shared" si="3"/>
        <v>305</v>
      </c>
      <c r="B308" s="1" t="s">
        <v>457</v>
      </c>
      <c r="C308" s="2" t="s">
        <v>480</v>
      </c>
      <c r="D308" s="2" t="s">
        <v>193</v>
      </c>
      <c r="E308" s="2">
        <v>27.0</v>
      </c>
      <c r="F308" s="2" t="s">
        <v>194</v>
      </c>
      <c r="G308" s="2" t="str">
        <f t="shared" si="4"/>
        <v/>
      </c>
      <c r="H308" s="2" t="str">
        <f t="shared" si="5"/>
        <v/>
      </c>
      <c r="I308" s="2" t="str">
        <f t="shared" si="6"/>
        <v/>
      </c>
      <c r="J308" s="2" t="b">
        <f t="shared" si="7"/>
        <v>0</v>
      </c>
      <c r="K308" s="2" t="str">
        <f>IFERROR(__xludf.DUMMYFUNCTION("TRIM(JOIN("" "",UNIQUE(TOCOL(ARRAYFORMULA(IF( SPLIT(C308,"" "")=TOCOL(SPLIT(C307,"" "")),SPLIT(C308,"" "")&amp;"" "",""""))))))"),"")</f>
        <v/>
      </c>
      <c r="L308" s="2" t="str">
        <f t="shared" si="1"/>
        <v/>
      </c>
      <c r="M308" s="2">
        <f t="shared" si="2"/>
        <v>305</v>
      </c>
      <c r="AY308" s="2" t="s">
        <v>844</v>
      </c>
    </row>
    <row r="309">
      <c r="A309" s="2">
        <f t="shared" si="3"/>
        <v>306</v>
      </c>
      <c r="B309" s="1" t="s">
        <v>205</v>
      </c>
      <c r="C309" s="2" t="s">
        <v>376</v>
      </c>
      <c r="D309" s="2" t="s">
        <v>193</v>
      </c>
      <c r="E309" s="2">
        <v>22.0</v>
      </c>
      <c r="F309" s="2" t="s">
        <v>194</v>
      </c>
      <c r="G309" s="2" t="str">
        <f t="shared" si="4"/>
        <v/>
      </c>
      <c r="H309" s="2" t="str">
        <f t="shared" si="5"/>
        <v/>
      </c>
      <c r="I309" s="2" t="str">
        <f t="shared" si="6"/>
        <v/>
      </c>
      <c r="J309" s="2" t="b">
        <f t="shared" si="7"/>
        <v>1</v>
      </c>
      <c r="K309" s="2" t="str">
        <f>IFERROR(__xludf.DUMMYFUNCTION("TRIM(JOIN("" "",UNIQUE(TOCOL(ARRAYFORMULA(IF( SPLIT(C309,"" "")=TOCOL(SPLIT(C308,"" "")),SPLIT(C309,"" "")&amp;"" "",""""))))))"),"")</f>
        <v/>
      </c>
      <c r="L309" s="2" t="str">
        <f t="shared" si="1"/>
        <v/>
      </c>
      <c r="M309" s="2">
        <f t="shared" si="2"/>
        <v>306</v>
      </c>
      <c r="AY309" s="2" t="s">
        <v>1381</v>
      </c>
    </row>
    <row r="310">
      <c r="A310" s="2">
        <f t="shared" si="3"/>
        <v>307</v>
      </c>
      <c r="B310" s="1" t="s">
        <v>205</v>
      </c>
      <c r="C310" s="2" t="s">
        <v>376</v>
      </c>
      <c r="D310" s="2" t="s">
        <v>193</v>
      </c>
      <c r="E310" s="2">
        <v>22.0</v>
      </c>
      <c r="F310" s="2" t="s">
        <v>428</v>
      </c>
      <c r="G310" s="2" t="str">
        <f t="shared" si="4"/>
        <v>misma edad</v>
      </c>
      <c r="H310" s="2" t="str">
        <f t="shared" si="5"/>
        <v>mismo nombre</v>
      </c>
      <c r="I310" s="2" t="str">
        <f t="shared" si="6"/>
        <v>mismo colegio</v>
      </c>
      <c r="J310" s="2" t="b">
        <f t="shared" si="7"/>
        <v>0</v>
      </c>
      <c r="K310" s="2" t="str">
        <f>IFERROR(__xludf.DUMMYFUNCTION("TRIM(JOIN("" "",UNIQUE(TOCOL(ARRAYFORMULA(IF( SPLIT(C310,"" "")=TOCOL(SPLIT(C309,"" "")),SPLIT(C310,"" "")&amp;"" "",""""))))))"),"MELISA SALAZAR LAGUNA")</f>
        <v>MELISA SALAZAR LAGUNA</v>
      </c>
      <c r="L310" s="2" t="str">
        <f t="shared" si="1"/>
        <v/>
      </c>
      <c r="M310" s="2">
        <f t="shared" si="2"/>
        <v>306</v>
      </c>
      <c r="AY310" s="2" t="s">
        <v>734</v>
      </c>
    </row>
    <row r="311">
      <c r="A311" s="2">
        <f t="shared" si="3"/>
        <v>308</v>
      </c>
      <c r="B311" s="1" t="s">
        <v>226</v>
      </c>
      <c r="C311" s="2" t="s">
        <v>1085</v>
      </c>
      <c r="D311" s="2" t="s">
        <v>193</v>
      </c>
      <c r="E311" s="2">
        <v>32.0</v>
      </c>
      <c r="F311" s="2" t="s">
        <v>428</v>
      </c>
      <c r="G311" s="2" t="str">
        <f t="shared" si="4"/>
        <v/>
      </c>
      <c r="H311" s="2" t="str">
        <f t="shared" si="5"/>
        <v/>
      </c>
      <c r="I311" s="2" t="str">
        <f t="shared" si="6"/>
        <v/>
      </c>
      <c r="J311" s="2" t="b">
        <f t="shared" si="7"/>
        <v>1</v>
      </c>
      <c r="K311" s="2" t="str">
        <f>IFERROR(__xludf.DUMMYFUNCTION("TRIM(JOIN("" "",UNIQUE(TOCOL(ARRAYFORMULA(IF( SPLIT(C311,"" "")=TOCOL(SPLIT(C310,"" "")),SPLIT(C311,"" "")&amp;"" "",""""))))))"),"")</f>
        <v/>
      </c>
      <c r="L311" s="2" t="str">
        <f t="shared" si="1"/>
        <v/>
      </c>
      <c r="M311" s="2">
        <f t="shared" si="2"/>
        <v>308</v>
      </c>
      <c r="AY311" s="2" t="s">
        <v>1323</v>
      </c>
    </row>
    <row r="312">
      <c r="A312" s="2">
        <f t="shared" si="3"/>
        <v>309</v>
      </c>
      <c r="B312" s="1" t="s">
        <v>144</v>
      </c>
      <c r="C312" s="2" t="s">
        <v>522</v>
      </c>
      <c r="D312" s="2" t="s">
        <v>222</v>
      </c>
      <c r="E312" s="2"/>
      <c r="F312" s="2" t="s">
        <v>194</v>
      </c>
      <c r="G312" s="2" t="str">
        <f t="shared" si="4"/>
        <v/>
      </c>
      <c r="H312" s="2" t="str">
        <f t="shared" si="5"/>
        <v/>
      </c>
      <c r="I312" s="2" t="str">
        <f t="shared" si="6"/>
        <v/>
      </c>
      <c r="J312" s="2" t="b">
        <f t="shared" si="7"/>
        <v>0</v>
      </c>
      <c r="K312" s="2" t="str">
        <f>IFERROR(__xludf.DUMMYFUNCTION("TRIM(JOIN("" "",UNIQUE(TOCOL(ARRAYFORMULA(IF( SPLIT(C312,"" "")=TOCOL(SPLIT(C311,"" "")),SPLIT(C312,"" "")&amp;"" "",""""))))))"),"")</f>
        <v/>
      </c>
      <c r="L312" s="2" t="str">
        <f t="shared" si="1"/>
        <v/>
      </c>
      <c r="M312" s="2">
        <f t="shared" si="2"/>
        <v>309</v>
      </c>
      <c r="AY312" s="2" t="s">
        <v>1250</v>
      </c>
    </row>
    <row r="313">
      <c r="A313" s="2">
        <f t="shared" si="3"/>
        <v>310</v>
      </c>
      <c r="B313" s="1" t="s">
        <v>719</v>
      </c>
      <c r="C313" s="2" t="s">
        <v>737</v>
      </c>
      <c r="D313" s="2" t="s">
        <v>193</v>
      </c>
      <c r="E313" s="2">
        <v>23.0</v>
      </c>
      <c r="F313" s="2" t="s">
        <v>194</v>
      </c>
      <c r="G313" s="2" t="str">
        <f t="shared" si="4"/>
        <v/>
      </c>
      <c r="H313" s="2" t="str">
        <f t="shared" si="5"/>
        <v/>
      </c>
      <c r="I313" s="2" t="str">
        <f t="shared" si="6"/>
        <v/>
      </c>
      <c r="J313" s="2" t="b">
        <f t="shared" si="7"/>
        <v>1</v>
      </c>
      <c r="K313" s="2" t="str">
        <f>IFERROR(__xludf.DUMMYFUNCTION("TRIM(JOIN("" "",UNIQUE(TOCOL(ARRAYFORMULA(IF( SPLIT(C313,"" "")=TOCOL(SPLIT(C312,"" "")),SPLIT(C313,"" "")&amp;"" "",""""))))))"),"")</f>
        <v/>
      </c>
      <c r="L313" s="2" t="str">
        <f t="shared" si="1"/>
        <v/>
      </c>
      <c r="M313" s="2">
        <f t="shared" si="2"/>
        <v>310</v>
      </c>
      <c r="AY313" s="2" t="s">
        <v>1244</v>
      </c>
    </row>
    <row r="314">
      <c r="A314" s="2">
        <f t="shared" si="3"/>
        <v>311</v>
      </c>
      <c r="B314" s="1" t="s">
        <v>719</v>
      </c>
      <c r="C314" s="2" t="s">
        <v>737</v>
      </c>
      <c r="D314" s="2" t="s">
        <v>193</v>
      </c>
      <c r="E314" s="2">
        <v>23.0</v>
      </c>
      <c r="F314" s="2" t="s">
        <v>428</v>
      </c>
      <c r="G314" s="2" t="str">
        <f t="shared" si="4"/>
        <v>misma edad</v>
      </c>
      <c r="H314" s="2" t="str">
        <f t="shared" si="5"/>
        <v>mismo nombre</v>
      </c>
      <c r="I314" s="2" t="str">
        <f t="shared" si="6"/>
        <v>mismo colegio</v>
      </c>
      <c r="J314" s="2" t="b">
        <f t="shared" si="7"/>
        <v>0</v>
      </c>
      <c r="K314" s="2" t="str">
        <f>IFERROR(__xludf.DUMMYFUNCTION("TRIM(JOIN("" "",UNIQUE(TOCOL(ARRAYFORMULA(IF( SPLIT(C314,"" "")=TOCOL(SPLIT(C313,"" "")),SPLIT(C314,"" "")&amp;"" "",""""))))))"),"MEJIA HUAYTA LUZ DALILA")</f>
        <v>MEJIA HUAYTA LUZ DALILA</v>
      </c>
      <c r="L314" s="2" t="str">
        <f t="shared" si="1"/>
        <v/>
      </c>
      <c r="M314" s="2">
        <f t="shared" si="2"/>
        <v>310</v>
      </c>
      <c r="AY314" s="2" t="s">
        <v>935</v>
      </c>
    </row>
    <row r="315">
      <c r="A315" s="2">
        <f t="shared" si="3"/>
        <v>312</v>
      </c>
      <c r="B315" s="1" t="s">
        <v>693</v>
      </c>
      <c r="C315" s="2" t="s">
        <v>1387</v>
      </c>
      <c r="D315" s="2" t="s">
        <v>222</v>
      </c>
      <c r="E315" s="2">
        <v>40.0</v>
      </c>
      <c r="F315" s="2" t="s">
        <v>428</v>
      </c>
      <c r="G315" s="2" t="str">
        <f t="shared" si="4"/>
        <v/>
      </c>
      <c r="H315" s="2" t="str">
        <f t="shared" si="5"/>
        <v/>
      </c>
      <c r="I315" s="2" t="str">
        <f t="shared" si="6"/>
        <v/>
      </c>
      <c r="J315" s="2" t="b">
        <f t="shared" si="7"/>
        <v>1</v>
      </c>
      <c r="K315" s="2" t="str">
        <f>IFERROR(__xludf.DUMMYFUNCTION("TRIM(JOIN("" "",UNIQUE(TOCOL(ARRAYFORMULA(IF( SPLIT(C315,"" "")=TOCOL(SPLIT(C314,"" "")),SPLIT(C315,"" "")&amp;"" "",""""))))))"),"MEJIA")</f>
        <v>MEJIA</v>
      </c>
      <c r="L315" s="2" t="str">
        <f t="shared" si="1"/>
        <v/>
      </c>
      <c r="M315" s="2">
        <f t="shared" si="2"/>
        <v>312</v>
      </c>
      <c r="AY315" s="2" t="s">
        <v>350</v>
      </c>
    </row>
    <row r="316">
      <c r="A316" s="2">
        <f t="shared" si="3"/>
        <v>313</v>
      </c>
      <c r="B316" s="1" t="s">
        <v>693</v>
      </c>
      <c r="C316" s="2" t="s">
        <v>1374</v>
      </c>
      <c r="D316" s="2" t="s">
        <v>193</v>
      </c>
      <c r="E316" s="2">
        <v>36.0</v>
      </c>
      <c r="F316" s="2" t="s">
        <v>428</v>
      </c>
      <c r="G316" s="2" t="str">
        <f t="shared" si="4"/>
        <v/>
      </c>
      <c r="H316" s="2" t="str">
        <f t="shared" si="5"/>
        <v/>
      </c>
      <c r="I316" s="2" t="str">
        <f t="shared" si="6"/>
        <v>mismo colegio</v>
      </c>
      <c r="J316" s="2" t="b">
        <f t="shared" si="7"/>
        <v>1</v>
      </c>
      <c r="K316" s="2" t="str">
        <f>IFERROR(__xludf.DUMMYFUNCTION("TRIM(JOIN("" "",UNIQUE(TOCOL(ARRAYFORMULA(IF( SPLIT(C316,"" "")=TOCOL(SPLIT(C315,"" "")),SPLIT(C316,"" "")&amp;"" "",""""))))))"),"")</f>
        <v/>
      </c>
      <c r="L316" s="2" t="str">
        <f t="shared" si="1"/>
        <v/>
      </c>
      <c r="M316" s="2">
        <f t="shared" si="2"/>
        <v>313</v>
      </c>
      <c r="AY316" s="2" t="s">
        <v>1313</v>
      </c>
    </row>
    <row r="317">
      <c r="A317" s="2">
        <f t="shared" si="3"/>
        <v>314</v>
      </c>
      <c r="B317" s="1" t="s">
        <v>323</v>
      </c>
      <c r="C317" s="2" t="s">
        <v>359</v>
      </c>
      <c r="D317" s="2" t="s">
        <v>193</v>
      </c>
      <c r="E317" s="2">
        <v>20.0</v>
      </c>
      <c r="F317" s="2" t="s">
        <v>194</v>
      </c>
      <c r="G317" s="2" t="str">
        <f t="shared" si="4"/>
        <v/>
      </c>
      <c r="H317" s="2" t="str">
        <f t="shared" si="5"/>
        <v/>
      </c>
      <c r="I317" s="2" t="str">
        <f t="shared" si="6"/>
        <v/>
      </c>
      <c r="J317" s="2" t="b">
        <f t="shared" si="7"/>
        <v>0</v>
      </c>
      <c r="K317" s="2" t="str">
        <f>IFERROR(__xludf.DUMMYFUNCTION("TRIM(JOIN("" "",UNIQUE(TOCOL(ARRAYFORMULA(IF( SPLIT(C317,"" "")=TOCOL(SPLIT(C316,"" "")),SPLIT(C317,"" "")&amp;"" "",""""))))))"),"")</f>
        <v/>
      </c>
      <c r="L317" s="2" t="str">
        <f t="shared" si="1"/>
        <v/>
      </c>
      <c r="M317" s="2">
        <f t="shared" si="2"/>
        <v>314</v>
      </c>
      <c r="AY317" s="2" t="s">
        <v>302</v>
      </c>
    </row>
    <row r="318">
      <c r="A318" s="2">
        <f t="shared" si="3"/>
        <v>315</v>
      </c>
      <c r="B318" s="1" t="s">
        <v>226</v>
      </c>
      <c r="C318" s="2" t="s">
        <v>1071</v>
      </c>
      <c r="D318" s="2" t="s">
        <v>250</v>
      </c>
      <c r="E318" s="2">
        <v>23.0</v>
      </c>
      <c r="F318" s="2" t="s">
        <v>428</v>
      </c>
      <c r="G318" s="2" t="str">
        <f t="shared" si="4"/>
        <v/>
      </c>
      <c r="H318" s="2" t="str">
        <f t="shared" si="5"/>
        <v/>
      </c>
      <c r="I318" s="2" t="str">
        <f t="shared" si="6"/>
        <v/>
      </c>
      <c r="J318" s="2" t="b">
        <f t="shared" si="7"/>
        <v>0</v>
      </c>
      <c r="K318" s="2" t="str">
        <f>IFERROR(__xludf.DUMMYFUNCTION("TRIM(JOIN("" "",UNIQUE(TOCOL(ARRAYFORMULA(IF( SPLIT(C318,"" "")=TOCOL(SPLIT(C317,"" "")),SPLIT(C318,"" "")&amp;"" "",""""))))))"),"")</f>
        <v/>
      </c>
      <c r="L318" s="2" t="str">
        <f t="shared" si="1"/>
        <v/>
      </c>
      <c r="M318" s="2">
        <f t="shared" si="2"/>
        <v>315</v>
      </c>
      <c r="AY318" s="2" t="s">
        <v>1212</v>
      </c>
    </row>
    <row r="319">
      <c r="A319" s="2">
        <f t="shared" si="3"/>
        <v>316</v>
      </c>
      <c r="B319" s="1" t="s">
        <v>226</v>
      </c>
      <c r="C319" s="2" t="s">
        <v>228</v>
      </c>
      <c r="D319" s="2" t="s">
        <v>222</v>
      </c>
      <c r="E319" s="2">
        <v>30.0</v>
      </c>
      <c r="F319" s="2" t="s">
        <v>194</v>
      </c>
      <c r="G319" s="2" t="str">
        <f t="shared" si="4"/>
        <v/>
      </c>
      <c r="H319" s="2" t="str">
        <f t="shared" si="5"/>
        <v/>
      </c>
      <c r="I319" s="2" t="str">
        <f t="shared" si="6"/>
        <v>mismo colegio</v>
      </c>
      <c r="J319" s="2" t="b">
        <f t="shared" si="7"/>
        <v>0</v>
      </c>
      <c r="K319" s="2" t="str">
        <f>IFERROR(__xludf.DUMMYFUNCTION("TRIM(JOIN("" "",UNIQUE(TOCOL(ARRAYFORMULA(IF( SPLIT(C319,"" "")=TOCOL(SPLIT(C318,"" "")),SPLIT(C319,"" "")&amp;"" "",""""))))))"),"MAXIMO CUYA NARRO")</f>
        <v>MAXIMO CUYA NARRO</v>
      </c>
      <c r="L319" s="2" t="str">
        <f t="shared" si="1"/>
        <v/>
      </c>
      <c r="M319" s="2">
        <f t="shared" si="2"/>
        <v>316</v>
      </c>
      <c r="AY319" s="2" t="s">
        <v>1115</v>
      </c>
    </row>
    <row r="320">
      <c r="A320" s="2">
        <f t="shared" si="3"/>
        <v>317</v>
      </c>
      <c r="B320" s="1" t="s">
        <v>226</v>
      </c>
      <c r="C320" s="2" t="s">
        <v>1083</v>
      </c>
      <c r="D320" s="2" t="s">
        <v>222</v>
      </c>
      <c r="E320" s="2">
        <v>50.0</v>
      </c>
      <c r="F320" s="2" t="s">
        <v>428</v>
      </c>
      <c r="G320" s="2" t="str">
        <f t="shared" si="4"/>
        <v/>
      </c>
      <c r="H320" s="2" t="str">
        <f t="shared" si="5"/>
        <v/>
      </c>
      <c r="I320" s="2" t="str">
        <f t="shared" si="6"/>
        <v>mismo colegio</v>
      </c>
      <c r="J320" s="2" t="b">
        <f t="shared" si="7"/>
        <v>0</v>
      </c>
      <c r="K320" s="2" t="str">
        <f>IFERROR(__xludf.DUMMYFUNCTION("TRIM(JOIN("" "",UNIQUE(TOCOL(ARRAYFORMULA(IF( SPLIT(C320,"" "")=TOCOL(SPLIT(C319,"" "")),SPLIT(C320,"" "")&amp;"" "",""""))))))"),"")</f>
        <v/>
      </c>
      <c r="L320" s="2" t="str">
        <f t="shared" si="1"/>
        <v/>
      </c>
      <c r="M320" s="2">
        <f t="shared" si="2"/>
        <v>317</v>
      </c>
      <c r="AY320" s="2" t="s">
        <v>1466</v>
      </c>
    </row>
    <row r="321">
      <c r="A321" s="2">
        <f t="shared" si="3"/>
        <v>318</v>
      </c>
      <c r="B321" s="1" t="s">
        <v>719</v>
      </c>
      <c r="C321" s="2" t="s">
        <v>750</v>
      </c>
      <c r="D321" s="2" t="s">
        <v>193</v>
      </c>
      <c r="E321" s="2">
        <v>39.0</v>
      </c>
      <c r="F321" s="2" t="s">
        <v>194</v>
      </c>
      <c r="G321" s="2" t="str">
        <f t="shared" si="4"/>
        <v/>
      </c>
      <c r="H321" s="2" t="str">
        <f t="shared" si="5"/>
        <v/>
      </c>
      <c r="I321" s="2" t="str">
        <f t="shared" si="6"/>
        <v/>
      </c>
      <c r="J321" s="2" t="b">
        <f t="shared" si="7"/>
        <v>0</v>
      </c>
      <c r="K321" s="2" t="str">
        <f>IFERROR(__xludf.DUMMYFUNCTION("TRIM(JOIN("" "",UNIQUE(TOCOL(ARRAYFORMULA(IF( SPLIT(C321,"" "")=TOCOL(SPLIT(C320,"" "")),SPLIT(C321,"" "")&amp;"" "",""""))))))"),"")</f>
        <v/>
      </c>
      <c r="L321" s="2" t="str">
        <f t="shared" si="1"/>
        <v/>
      </c>
      <c r="M321" s="2">
        <f t="shared" si="2"/>
        <v>318</v>
      </c>
      <c r="AY321" s="2" t="s">
        <v>1152</v>
      </c>
    </row>
    <row r="322">
      <c r="A322" s="2">
        <f t="shared" si="3"/>
        <v>319</v>
      </c>
      <c r="B322" s="1" t="s">
        <v>968</v>
      </c>
      <c r="C322" s="2" t="s">
        <v>988</v>
      </c>
      <c r="D322" s="2" t="s">
        <v>193</v>
      </c>
      <c r="E322" s="2">
        <v>38.0</v>
      </c>
      <c r="F322" s="2" t="s">
        <v>194</v>
      </c>
      <c r="G322" s="2" t="str">
        <f t="shared" si="4"/>
        <v/>
      </c>
      <c r="H322" s="2" t="str">
        <f t="shared" si="5"/>
        <v/>
      </c>
      <c r="I322" s="2" t="str">
        <f t="shared" si="6"/>
        <v/>
      </c>
      <c r="J322" s="2" t="b">
        <f t="shared" si="7"/>
        <v>1</v>
      </c>
      <c r="K322" s="2" t="str">
        <f>IFERROR(__xludf.DUMMYFUNCTION("TRIM(JOIN("" "",UNIQUE(TOCOL(ARRAYFORMULA(IF( SPLIT(C322,"" "")=TOCOL(SPLIT(C321,"" "")),SPLIT(C322,"" "")&amp;"" "",""""))))))"),"")</f>
        <v/>
      </c>
      <c r="L322" s="2" t="str">
        <f t="shared" si="1"/>
        <v/>
      </c>
      <c r="M322" s="2">
        <f t="shared" si="2"/>
        <v>319</v>
      </c>
      <c r="AY322" s="2" t="s">
        <v>1490</v>
      </c>
    </row>
    <row r="323">
      <c r="A323" s="2">
        <f t="shared" si="3"/>
        <v>320</v>
      </c>
      <c r="B323" s="1" t="s">
        <v>968</v>
      </c>
      <c r="C323" s="2" t="s">
        <v>988</v>
      </c>
      <c r="D323" s="2" t="s">
        <v>193</v>
      </c>
      <c r="E323" s="2">
        <v>32.0</v>
      </c>
      <c r="F323" s="2" t="s">
        <v>428</v>
      </c>
      <c r="G323" s="2" t="str">
        <f t="shared" si="4"/>
        <v/>
      </c>
      <c r="H323" s="2" t="str">
        <f t="shared" si="5"/>
        <v>mismo nombre</v>
      </c>
      <c r="I323" s="2" t="str">
        <f t="shared" si="6"/>
        <v>mismo colegio</v>
      </c>
      <c r="J323" s="2" t="b">
        <f t="shared" si="7"/>
        <v>0</v>
      </c>
      <c r="K323" s="2" t="str">
        <f>IFERROR(__xludf.DUMMYFUNCTION("TRIM(JOIN("" "",UNIQUE(TOCOL(ARRAYFORMULA(IF( SPLIT(C323,"" "")=TOCOL(SPLIT(C322,"" "")),SPLIT(C323,"" "")&amp;"" "",""""))))))"),"MARY VILLAR RAYMUNDO")</f>
        <v>MARY VILLAR RAYMUNDO</v>
      </c>
      <c r="L323" s="2" t="str">
        <f t="shared" si="1"/>
        <v/>
      </c>
      <c r="M323" s="2">
        <f t="shared" si="2"/>
        <v>319</v>
      </c>
      <c r="AY323" s="2" t="s">
        <v>1262</v>
      </c>
    </row>
    <row r="324">
      <c r="A324" s="2">
        <f t="shared" si="3"/>
        <v>321</v>
      </c>
      <c r="B324" s="1" t="s">
        <v>154</v>
      </c>
      <c r="C324" s="2" t="s">
        <v>501</v>
      </c>
      <c r="D324" s="2" t="s">
        <v>193</v>
      </c>
      <c r="E324" s="2">
        <v>44.0</v>
      </c>
      <c r="F324" s="2" t="s">
        <v>194</v>
      </c>
      <c r="G324" s="2" t="str">
        <f t="shared" si="4"/>
        <v/>
      </c>
      <c r="H324" s="2" t="str">
        <f t="shared" si="5"/>
        <v/>
      </c>
      <c r="I324" s="2" t="str">
        <f t="shared" si="6"/>
        <v/>
      </c>
      <c r="J324" s="2" t="b">
        <f t="shared" si="7"/>
        <v>0</v>
      </c>
      <c r="K324" s="2" t="str">
        <f>IFERROR(__xludf.DUMMYFUNCTION("TRIM(JOIN("" "",UNIQUE(TOCOL(ARRAYFORMULA(IF( SPLIT(C324,"" "")=TOCOL(SPLIT(C323,"" "")),SPLIT(C324,"" "")&amp;"" "",""""))))))"),"MARY")</f>
        <v>MARY</v>
      </c>
      <c r="L324" s="2" t="str">
        <f t="shared" si="1"/>
        <v/>
      </c>
      <c r="M324" s="2">
        <f t="shared" si="2"/>
        <v>321</v>
      </c>
      <c r="AY324" s="2" t="s">
        <v>1201</v>
      </c>
    </row>
    <row r="325">
      <c r="A325" s="2">
        <f t="shared" si="3"/>
        <v>322</v>
      </c>
      <c r="B325" s="1" t="s">
        <v>323</v>
      </c>
      <c r="C325" s="2" t="s">
        <v>337</v>
      </c>
      <c r="D325" s="2" t="s">
        <v>193</v>
      </c>
      <c r="E325" s="2">
        <v>21.0</v>
      </c>
      <c r="F325" s="2" t="s">
        <v>194</v>
      </c>
      <c r="G325" s="2" t="str">
        <f t="shared" si="4"/>
        <v/>
      </c>
      <c r="H325" s="2" t="str">
        <f t="shared" si="5"/>
        <v/>
      </c>
      <c r="I325" s="2" t="str">
        <f t="shared" si="6"/>
        <v/>
      </c>
      <c r="J325" s="2" t="b">
        <f t="shared" si="7"/>
        <v>1</v>
      </c>
      <c r="K325" s="2" t="str">
        <f>IFERROR(__xludf.DUMMYFUNCTION("TRIM(JOIN("" "",UNIQUE(TOCOL(ARRAYFORMULA(IF( SPLIT(C325,"" "")=TOCOL(SPLIT(C324,"" "")),SPLIT(C325,"" "")&amp;"" "",""""))))))"),"MARY")</f>
        <v>MARY</v>
      </c>
      <c r="L325" s="2" t="str">
        <f t="shared" si="1"/>
        <v/>
      </c>
      <c r="M325" s="2">
        <f t="shared" si="2"/>
        <v>322</v>
      </c>
      <c r="AY325" s="2" t="s">
        <v>484</v>
      </c>
    </row>
    <row r="326">
      <c r="A326" s="2">
        <f t="shared" si="3"/>
        <v>323</v>
      </c>
      <c r="B326" s="1" t="s">
        <v>226</v>
      </c>
      <c r="C326" s="2" t="s">
        <v>307</v>
      </c>
      <c r="D326" s="2" t="s">
        <v>193</v>
      </c>
      <c r="E326" s="2">
        <v>33.0</v>
      </c>
      <c r="F326" s="2" t="s">
        <v>194</v>
      </c>
      <c r="G326" s="2" t="str">
        <f t="shared" si="4"/>
        <v/>
      </c>
      <c r="H326" s="2" t="str">
        <f t="shared" si="5"/>
        <v/>
      </c>
      <c r="I326" s="2" t="str">
        <f t="shared" si="6"/>
        <v/>
      </c>
      <c r="J326" s="2" t="b">
        <f t="shared" si="7"/>
        <v>1</v>
      </c>
      <c r="K326" s="2" t="str">
        <f>IFERROR(__xludf.DUMMYFUNCTION("TRIM(JOIN("" "",UNIQUE(TOCOL(ARRAYFORMULA(IF( SPLIT(C326,"" "")=TOCOL(SPLIT(C325,"" "")),SPLIT(C326,"" "")&amp;"" "",""""))))))"),"")</f>
        <v/>
      </c>
      <c r="L326" s="2" t="str">
        <f t="shared" si="1"/>
        <v/>
      </c>
      <c r="M326" s="2">
        <f t="shared" si="2"/>
        <v>323</v>
      </c>
      <c r="AY326" s="2" t="s">
        <v>1160</v>
      </c>
    </row>
    <row r="327">
      <c r="A327" s="2">
        <f t="shared" si="3"/>
        <v>324</v>
      </c>
      <c r="B327" s="1" t="s">
        <v>226</v>
      </c>
      <c r="C327" s="2" t="s">
        <v>307</v>
      </c>
      <c r="D327" s="2" t="s">
        <v>193</v>
      </c>
      <c r="E327" s="2">
        <v>33.0</v>
      </c>
      <c r="F327" s="2" t="s">
        <v>428</v>
      </c>
      <c r="G327" s="2" t="str">
        <f t="shared" si="4"/>
        <v>misma edad</v>
      </c>
      <c r="H327" s="2" t="str">
        <f t="shared" si="5"/>
        <v>mismo nombre</v>
      </c>
      <c r="I327" s="2" t="str">
        <f t="shared" si="6"/>
        <v>mismo colegio</v>
      </c>
      <c r="J327" s="2" t="b">
        <f t="shared" si="7"/>
        <v>0</v>
      </c>
      <c r="K327" s="2" t="str">
        <f>IFERROR(__xludf.DUMMYFUNCTION("TRIM(JOIN("" "",UNIQUE(TOCOL(ARRAYFORMULA(IF( SPLIT(C327,"" "")=TOCOL(SPLIT(C326,"" "")),SPLIT(C327,"" "")&amp;"" "",""""))))))"),"MARUJA GUERRA HUERTA")</f>
        <v>MARUJA GUERRA HUERTA</v>
      </c>
      <c r="L327" s="2" t="str">
        <f t="shared" si="1"/>
        <v/>
      </c>
      <c r="M327" s="2">
        <f t="shared" si="2"/>
        <v>323</v>
      </c>
      <c r="AY327" s="2" t="s">
        <v>808</v>
      </c>
    </row>
    <row r="328">
      <c r="A328" s="2">
        <f t="shared" si="3"/>
        <v>325</v>
      </c>
      <c r="B328" s="1" t="s">
        <v>122</v>
      </c>
      <c r="C328" s="2" t="s">
        <v>450</v>
      </c>
      <c r="D328" s="2" t="s">
        <v>222</v>
      </c>
      <c r="E328" s="2">
        <v>31.0</v>
      </c>
      <c r="F328" s="2" t="s">
        <v>194</v>
      </c>
      <c r="G328" s="2" t="str">
        <f t="shared" si="4"/>
        <v/>
      </c>
      <c r="H328" s="2" t="str">
        <f t="shared" si="5"/>
        <v/>
      </c>
      <c r="I328" s="2" t="str">
        <f t="shared" si="6"/>
        <v/>
      </c>
      <c r="J328" s="2" t="b">
        <f t="shared" si="7"/>
        <v>0</v>
      </c>
      <c r="K328" s="2" t="str">
        <f>IFERROR(__xludf.DUMMYFUNCTION("TRIM(JOIN("" "",UNIQUE(TOCOL(ARRAYFORMULA(IF( SPLIT(C328,"" "")=TOCOL(SPLIT(C327,"" "")),SPLIT(C328,"" "")&amp;"" "",""""))))))"),"")</f>
        <v/>
      </c>
      <c r="L328" s="2" t="str">
        <f t="shared" si="1"/>
        <v/>
      </c>
      <c r="M328" s="2">
        <f t="shared" si="2"/>
        <v>325</v>
      </c>
      <c r="AY328" s="2" t="s">
        <v>651</v>
      </c>
    </row>
    <row r="329">
      <c r="A329" s="2">
        <f t="shared" si="3"/>
        <v>326</v>
      </c>
      <c r="B329" s="1" t="s">
        <v>122</v>
      </c>
      <c r="C329" s="2" t="s">
        <v>450</v>
      </c>
      <c r="D329" s="2" t="s">
        <v>222</v>
      </c>
      <c r="E329" s="2">
        <v>31.0</v>
      </c>
      <c r="F329" s="2" t="s">
        <v>428</v>
      </c>
      <c r="G329" s="2" t="str">
        <f t="shared" si="4"/>
        <v>misma edad</v>
      </c>
      <c r="H329" s="2" t="str">
        <f t="shared" si="5"/>
        <v>mismo nombre</v>
      </c>
      <c r="I329" s="2" t="str">
        <f t="shared" si="6"/>
        <v>mismo colegio</v>
      </c>
      <c r="J329" s="2" t="b">
        <f t="shared" si="7"/>
        <v>0</v>
      </c>
      <c r="K329" s="2" t="str">
        <f>IFERROR(__xludf.DUMMYFUNCTION("TRIM(JOIN("" "",UNIQUE(TOCOL(ARRAYFORMULA(IF( SPLIT(C329,"" "")=TOCOL(SPLIT(C328,"" "")),SPLIT(C329,"" "")&amp;"" "",""""))))))"),"MARTIN MELGAREJO OBREGÓN")</f>
        <v>MARTIN MELGAREJO OBREGÓN</v>
      </c>
      <c r="L329" s="2" t="str">
        <f t="shared" si="1"/>
        <v/>
      </c>
      <c r="M329" s="2">
        <f t="shared" si="2"/>
        <v>325</v>
      </c>
      <c r="AY329" s="2" t="s">
        <v>1234</v>
      </c>
    </row>
    <row r="330">
      <c r="A330" s="2">
        <f t="shared" si="3"/>
        <v>327</v>
      </c>
      <c r="B330" s="1" t="s">
        <v>595</v>
      </c>
      <c r="C330" s="2" t="s">
        <v>899</v>
      </c>
      <c r="D330" s="2" t="s">
        <v>193</v>
      </c>
      <c r="E330" s="2">
        <v>30.0</v>
      </c>
      <c r="F330" s="2" t="s">
        <v>194</v>
      </c>
      <c r="G330" s="2" t="str">
        <f t="shared" si="4"/>
        <v/>
      </c>
      <c r="H330" s="2" t="str">
        <f t="shared" si="5"/>
        <v/>
      </c>
      <c r="I330" s="2" t="str">
        <f t="shared" si="6"/>
        <v/>
      </c>
      <c r="J330" s="2" t="b">
        <f t="shared" si="7"/>
        <v>0</v>
      </c>
      <c r="K330" s="2" t="str">
        <f>IFERROR(__xludf.DUMMYFUNCTION("TRIM(JOIN("" "",UNIQUE(TOCOL(ARRAYFORMULA(IF( SPLIT(C330,"" "")=TOCOL(SPLIT(C329,"" "")),SPLIT(C330,"" "")&amp;"" "",""""))))))"),"")</f>
        <v/>
      </c>
      <c r="L330" s="2" t="str">
        <f t="shared" si="1"/>
        <v/>
      </c>
      <c r="M330" s="2">
        <f t="shared" si="2"/>
        <v>327</v>
      </c>
      <c r="AY330" s="2" t="s">
        <v>1166</v>
      </c>
    </row>
    <row r="331">
      <c r="A331" s="2">
        <f t="shared" si="3"/>
        <v>328</v>
      </c>
      <c r="B331" s="1" t="s">
        <v>457</v>
      </c>
      <c r="C331" s="2" t="s">
        <v>498</v>
      </c>
      <c r="D331" s="2" t="s">
        <v>193</v>
      </c>
      <c r="E331" s="2"/>
      <c r="F331" s="2" t="s">
        <v>428</v>
      </c>
      <c r="G331" s="2" t="str">
        <f t="shared" si="4"/>
        <v/>
      </c>
      <c r="H331" s="2" t="str">
        <f t="shared" si="5"/>
        <v/>
      </c>
      <c r="I331" s="2" t="str">
        <f t="shared" si="6"/>
        <v/>
      </c>
      <c r="J331" s="2" t="b">
        <f t="shared" si="7"/>
        <v>0</v>
      </c>
      <c r="K331" s="2" t="str">
        <f>IFERROR(__xludf.DUMMYFUNCTION("TRIM(JOIN("" "",UNIQUE(TOCOL(ARRAYFORMULA(IF( SPLIT(C331,"" "")=TOCOL(SPLIT(C330,"" "")),SPLIT(C331,"" "")&amp;"" "",""""))))))"),"")</f>
        <v/>
      </c>
      <c r="L331" s="2" t="str">
        <f t="shared" si="1"/>
        <v/>
      </c>
      <c r="M331" s="2">
        <f t="shared" si="2"/>
        <v>328</v>
      </c>
      <c r="AY331" s="2" t="s">
        <v>406</v>
      </c>
    </row>
    <row r="332">
      <c r="A332" s="2">
        <f t="shared" si="3"/>
        <v>329</v>
      </c>
      <c r="B332" s="1" t="s">
        <v>911</v>
      </c>
      <c r="C332" s="2" t="s">
        <v>918</v>
      </c>
      <c r="D332" s="2" t="s">
        <v>193</v>
      </c>
      <c r="E332" s="2">
        <v>31.0</v>
      </c>
      <c r="F332" s="2" t="s">
        <v>194</v>
      </c>
      <c r="G332" s="2" t="str">
        <f t="shared" si="4"/>
        <v/>
      </c>
      <c r="H332" s="2" t="str">
        <f t="shared" si="5"/>
        <v/>
      </c>
      <c r="I332" s="2" t="str">
        <f t="shared" si="6"/>
        <v/>
      </c>
      <c r="J332" s="2" t="b">
        <f t="shared" si="7"/>
        <v>0</v>
      </c>
      <c r="K332" s="2" t="str">
        <f>IFERROR(__xludf.DUMMYFUNCTION("TRIM(JOIN("" "",UNIQUE(TOCOL(ARRAYFORMULA(IF( SPLIT(C332,"" "")=TOCOL(SPLIT(C331,"" "")),SPLIT(C332,"" "")&amp;"" "",""""))))))"),"")</f>
        <v/>
      </c>
      <c r="L332" s="2" t="str">
        <f t="shared" si="1"/>
        <v/>
      </c>
      <c r="M332" s="2">
        <f t="shared" si="2"/>
        <v>329</v>
      </c>
      <c r="AY332" s="2" t="s">
        <v>1304</v>
      </c>
    </row>
    <row r="333">
      <c r="A333" s="2">
        <f t="shared" si="3"/>
        <v>330</v>
      </c>
      <c r="B333" s="1" t="s">
        <v>226</v>
      </c>
      <c r="C333" s="2" t="s">
        <v>236</v>
      </c>
      <c r="D333" s="2" t="s">
        <v>193</v>
      </c>
      <c r="E333" s="2">
        <v>32.0</v>
      </c>
      <c r="F333" s="2" t="s">
        <v>194</v>
      </c>
      <c r="G333" s="2" t="str">
        <f t="shared" si="4"/>
        <v/>
      </c>
      <c r="H333" s="2" t="str">
        <f t="shared" si="5"/>
        <v/>
      </c>
      <c r="I333" s="2" t="str">
        <f t="shared" si="6"/>
        <v/>
      </c>
      <c r="J333" s="2" t="b">
        <f t="shared" si="7"/>
        <v>1</v>
      </c>
      <c r="K333" s="2" t="str">
        <f>IFERROR(__xludf.DUMMYFUNCTION("TRIM(JOIN("" "",UNIQUE(TOCOL(ARRAYFORMULA(IF( SPLIT(C333,"" "")=TOCOL(SPLIT(C332,"" "")),SPLIT(C333,"" "")&amp;"" "",""""))))))"),"")</f>
        <v/>
      </c>
      <c r="L333" s="2" t="str">
        <f t="shared" si="1"/>
        <v/>
      </c>
      <c r="M333" s="2">
        <f t="shared" si="2"/>
        <v>330</v>
      </c>
      <c r="AY333" s="2" t="s">
        <v>1475</v>
      </c>
    </row>
    <row r="334">
      <c r="A334" s="2">
        <f t="shared" si="3"/>
        <v>331</v>
      </c>
      <c r="B334" s="1" t="s">
        <v>226</v>
      </c>
      <c r="C334" s="2" t="s">
        <v>236</v>
      </c>
      <c r="D334" s="2" t="s">
        <v>193</v>
      </c>
      <c r="E334" s="2">
        <v>32.0</v>
      </c>
      <c r="F334" s="2" t="s">
        <v>428</v>
      </c>
      <c r="G334" s="2" t="str">
        <f t="shared" si="4"/>
        <v>misma edad</v>
      </c>
      <c r="H334" s="2" t="str">
        <f t="shared" si="5"/>
        <v>mismo nombre</v>
      </c>
      <c r="I334" s="2" t="str">
        <f t="shared" si="6"/>
        <v>mismo colegio</v>
      </c>
      <c r="J334" s="2" t="b">
        <f t="shared" si="7"/>
        <v>0</v>
      </c>
      <c r="K334" s="2" t="str">
        <f>IFERROR(__xludf.DUMMYFUNCTION("TRIM(JOIN("" "",UNIQUE(TOCOL(ARRAYFORMULA(IF( SPLIT(C334,"" "")=TOCOL(SPLIT(C333,"" "")),SPLIT(C334,"" "")&amp;"" "",""""))))))"),"MARICRUZ ROMERO CASTRO")</f>
        <v>MARICRUZ ROMERO CASTRO</v>
      </c>
      <c r="L334" s="2" t="str">
        <f t="shared" si="1"/>
        <v/>
      </c>
      <c r="M334" s="2">
        <f t="shared" si="2"/>
        <v>330</v>
      </c>
      <c r="AY334" s="2" t="s">
        <v>470</v>
      </c>
    </row>
    <row r="335">
      <c r="A335" s="2">
        <f t="shared" si="3"/>
        <v>332</v>
      </c>
      <c r="B335" s="1" t="s">
        <v>457</v>
      </c>
      <c r="C335" s="2" t="s">
        <v>459</v>
      </c>
      <c r="D335" s="2" t="s">
        <v>193</v>
      </c>
      <c r="E335" s="2">
        <v>31.0</v>
      </c>
      <c r="F335" s="2" t="s">
        <v>194</v>
      </c>
      <c r="G335" s="2" t="str">
        <f t="shared" si="4"/>
        <v/>
      </c>
      <c r="H335" s="2" t="str">
        <f t="shared" si="5"/>
        <v/>
      </c>
      <c r="I335" s="2" t="str">
        <f t="shared" si="6"/>
        <v/>
      </c>
      <c r="J335" s="2" t="b">
        <f t="shared" si="7"/>
        <v>0</v>
      </c>
      <c r="K335" s="2" t="str">
        <f>IFERROR(__xludf.DUMMYFUNCTION("TRIM(JOIN("" "",UNIQUE(TOCOL(ARRAYFORMULA(IF( SPLIT(C335,"" "")=TOCOL(SPLIT(C334,"" "")),SPLIT(C335,"" "")&amp;"" "",""""))))))"),"")</f>
        <v/>
      </c>
      <c r="L335" s="2" t="str">
        <f t="shared" si="1"/>
        <v/>
      </c>
      <c r="M335" s="2">
        <f t="shared" si="2"/>
        <v>332</v>
      </c>
      <c r="AY335" s="2" t="s">
        <v>340</v>
      </c>
    </row>
    <row r="336">
      <c r="A336" s="2">
        <f t="shared" si="3"/>
        <v>333</v>
      </c>
      <c r="B336" s="1" t="s">
        <v>226</v>
      </c>
      <c r="C336" s="2" t="s">
        <v>231</v>
      </c>
      <c r="D336" s="2" t="s">
        <v>193</v>
      </c>
      <c r="E336" s="2">
        <v>30.0</v>
      </c>
      <c r="F336" s="2" t="s">
        <v>194</v>
      </c>
      <c r="G336" s="2" t="str">
        <f t="shared" si="4"/>
        <v/>
      </c>
      <c r="H336" s="2" t="str">
        <f t="shared" si="5"/>
        <v/>
      </c>
      <c r="I336" s="2" t="str">
        <f t="shared" si="6"/>
        <v/>
      </c>
      <c r="J336" s="2" t="b">
        <f t="shared" si="7"/>
        <v>1</v>
      </c>
      <c r="K336" s="2" t="str">
        <f>IFERROR(__xludf.DUMMYFUNCTION("TRIM(JOIN("" "",UNIQUE(TOCOL(ARRAYFORMULA(IF( SPLIT(C336,"" "")=TOCOL(SPLIT(C335,"" "")),SPLIT(C336,"" "")&amp;"" "",""""))))))"),"MARIBEL")</f>
        <v>MARIBEL</v>
      </c>
      <c r="L336" s="2" t="str">
        <f t="shared" si="1"/>
        <v/>
      </c>
      <c r="M336" s="2">
        <f t="shared" si="2"/>
        <v>333</v>
      </c>
      <c r="AY336" s="2" t="s">
        <v>1430</v>
      </c>
    </row>
    <row r="337">
      <c r="A337" s="2">
        <f t="shared" si="3"/>
        <v>334</v>
      </c>
      <c r="B337" s="1" t="s">
        <v>226</v>
      </c>
      <c r="C337" s="2" t="s">
        <v>231</v>
      </c>
      <c r="D337" s="2" t="s">
        <v>193</v>
      </c>
      <c r="E337" s="2">
        <v>30.0</v>
      </c>
      <c r="F337" s="2" t="s">
        <v>428</v>
      </c>
      <c r="G337" s="2" t="str">
        <f t="shared" si="4"/>
        <v>misma edad</v>
      </c>
      <c r="H337" s="2" t="str">
        <f t="shared" si="5"/>
        <v>mismo nombre</v>
      </c>
      <c r="I337" s="2" t="str">
        <f t="shared" si="6"/>
        <v>mismo colegio</v>
      </c>
      <c r="J337" s="2" t="b">
        <f t="shared" si="7"/>
        <v>0</v>
      </c>
      <c r="K337" s="2" t="str">
        <f>IFERROR(__xludf.DUMMYFUNCTION("TRIM(JOIN("" "",UNIQUE(TOCOL(ARRAYFORMULA(IF( SPLIT(C337,"" "")=TOCOL(SPLIT(C336,"" "")),SPLIT(C337,"" "")&amp;"" "",""""))))))"),"MARIBEL HARO SALAZAR")</f>
        <v>MARIBEL HARO SALAZAR</v>
      </c>
      <c r="L337" s="2" t="str">
        <f t="shared" si="1"/>
        <v/>
      </c>
      <c r="M337" s="2">
        <f t="shared" si="2"/>
        <v>333</v>
      </c>
      <c r="AY337" s="2" t="s">
        <v>745</v>
      </c>
    </row>
    <row r="338">
      <c r="A338" s="2">
        <f t="shared" si="3"/>
        <v>335</v>
      </c>
      <c r="B338" s="1" t="s">
        <v>190</v>
      </c>
      <c r="C338" s="2" t="s">
        <v>1066</v>
      </c>
      <c r="D338" s="2" t="s">
        <v>193</v>
      </c>
      <c r="E338" s="2">
        <v>46.0</v>
      </c>
      <c r="F338" s="2" t="s">
        <v>428</v>
      </c>
      <c r="G338" s="2" t="str">
        <f t="shared" si="4"/>
        <v/>
      </c>
      <c r="H338" s="2" t="str">
        <f t="shared" si="5"/>
        <v/>
      </c>
      <c r="I338" s="2" t="str">
        <f t="shared" si="6"/>
        <v/>
      </c>
      <c r="J338" s="2" t="b">
        <f t="shared" si="7"/>
        <v>1</v>
      </c>
      <c r="K338" s="2" t="str">
        <f>IFERROR(__xludf.DUMMYFUNCTION("TRIM(JOIN("" "",UNIQUE(TOCOL(ARRAYFORMULA(IF( SPLIT(C338,"" "")=TOCOL(SPLIT(C337,"" "")),SPLIT(C338,"" "")&amp;"" "",""""))))))"),"")</f>
        <v/>
      </c>
      <c r="L338" s="2" t="str">
        <f t="shared" si="1"/>
        <v>-&gt;WITH THIS</v>
      </c>
      <c r="M338" s="2">
        <f t="shared" si="2"/>
        <v>335</v>
      </c>
      <c r="AY338" s="2" t="s">
        <v>342</v>
      </c>
    </row>
    <row r="339">
      <c r="A339" s="2">
        <f t="shared" si="3"/>
        <v>336</v>
      </c>
      <c r="B339" s="1" t="s">
        <v>190</v>
      </c>
      <c r="C339" s="2" t="s">
        <v>219</v>
      </c>
      <c r="D339" s="2" t="s">
        <v>193</v>
      </c>
      <c r="E339" s="2">
        <v>46.0</v>
      </c>
      <c r="F339" s="2" t="s">
        <v>194</v>
      </c>
      <c r="G339" s="2" t="str">
        <f t="shared" si="4"/>
        <v>misma edad</v>
      </c>
      <c r="H339" s="2" t="str">
        <f t="shared" si="5"/>
        <v/>
      </c>
      <c r="I339" s="2" t="str">
        <f t="shared" si="6"/>
        <v>mismo colegio</v>
      </c>
      <c r="J339" s="2" t="b">
        <f t="shared" si="7"/>
        <v>0</v>
      </c>
      <c r="K339" s="2" t="str">
        <f>IFERROR(__xludf.DUMMYFUNCTION("TRIM(JOIN("" "",UNIQUE(TOCOL(ARRAYFORMULA(IF( SPLIT(C339,"" "")=TOCOL(SPLIT(C338,"" "")),SPLIT(C339,"" "")&amp;"" "",""""))))))"),"MARÍA PAUCAR DAMIAN")</f>
        <v>MARÍA PAUCAR DAMIAN</v>
      </c>
      <c r="L339" s="2" t="str">
        <f t="shared" si="1"/>
        <v>EVALUAR</v>
      </c>
      <c r="M339" s="2">
        <f t="shared" si="2"/>
        <v>336</v>
      </c>
      <c r="AY339" s="2" t="s">
        <v>1488</v>
      </c>
    </row>
    <row r="340">
      <c r="A340" s="2">
        <f t="shared" si="3"/>
        <v>337</v>
      </c>
      <c r="B340" s="1" t="s">
        <v>928</v>
      </c>
      <c r="C340" s="2" t="s">
        <v>1306</v>
      </c>
      <c r="D340" s="2" t="s">
        <v>193</v>
      </c>
      <c r="E340" s="2">
        <v>53.0</v>
      </c>
      <c r="F340" s="2" t="s">
        <v>428</v>
      </c>
      <c r="G340" s="2" t="str">
        <f t="shared" si="4"/>
        <v/>
      </c>
      <c r="H340" s="2" t="str">
        <f t="shared" si="5"/>
        <v/>
      </c>
      <c r="I340" s="2" t="str">
        <f t="shared" si="6"/>
        <v/>
      </c>
      <c r="J340" s="2" t="b">
        <f t="shared" si="7"/>
        <v>0</v>
      </c>
      <c r="K340" s="2" t="str">
        <f>IFERROR(__xludf.DUMMYFUNCTION("TRIM(JOIN("" "",UNIQUE(TOCOL(ARRAYFORMULA(IF( SPLIT(C340,"" "")=TOCOL(SPLIT(C339,"" "")),SPLIT(C340,"" "")&amp;"" "",""""))))))"),"")</f>
        <v/>
      </c>
      <c r="L340" s="2" t="str">
        <f t="shared" si="1"/>
        <v/>
      </c>
      <c r="M340" s="2">
        <f t="shared" si="2"/>
        <v>337</v>
      </c>
      <c r="AY340" s="2" t="s">
        <v>675</v>
      </c>
    </row>
    <row r="341">
      <c r="A341" s="2">
        <f t="shared" si="3"/>
        <v>338</v>
      </c>
      <c r="B341" s="1" t="s">
        <v>994</v>
      </c>
      <c r="C341" s="2" t="s">
        <v>1006</v>
      </c>
      <c r="D341" s="2" t="s">
        <v>193</v>
      </c>
      <c r="E341" s="2">
        <v>29.0</v>
      </c>
      <c r="F341" s="2" t="s">
        <v>194</v>
      </c>
      <c r="G341" s="2" t="str">
        <f t="shared" si="4"/>
        <v/>
      </c>
      <c r="H341" s="2" t="str">
        <f t="shared" si="5"/>
        <v/>
      </c>
      <c r="I341" s="2" t="str">
        <f t="shared" si="6"/>
        <v/>
      </c>
      <c r="J341" s="2" t="b">
        <f t="shared" si="7"/>
        <v>0</v>
      </c>
      <c r="K341" s="2" t="str">
        <f>IFERROR(__xludf.DUMMYFUNCTION("TRIM(JOIN("" "",UNIQUE(TOCOL(ARRAYFORMULA(IF( SPLIT(C341,"" "")=TOCOL(SPLIT(C340,"" "")),SPLIT(C341,"" "")&amp;"" "",""""))))))"),"")</f>
        <v/>
      </c>
      <c r="L341" s="2" t="str">
        <f t="shared" si="1"/>
        <v/>
      </c>
      <c r="M341" s="2">
        <f t="shared" si="2"/>
        <v>338</v>
      </c>
      <c r="AY341" s="2" t="s">
        <v>1410</v>
      </c>
    </row>
    <row r="342">
      <c r="A342" s="2">
        <f t="shared" si="3"/>
        <v>339</v>
      </c>
      <c r="B342" s="1" t="s">
        <v>87</v>
      </c>
      <c r="C342" s="2" t="s">
        <v>432</v>
      </c>
      <c r="D342" s="2" t="s">
        <v>222</v>
      </c>
      <c r="E342" s="2">
        <v>28.0</v>
      </c>
      <c r="F342" s="2" t="s">
        <v>194</v>
      </c>
      <c r="G342" s="2" t="str">
        <f t="shared" si="4"/>
        <v/>
      </c>
      <c r="H342" s="2" t="str">
        <f t="shared" si="5"/>
        <v/>
      </c>
      <c r="I342" s="2" t="str">
        <f t="shared" si="6"/>
        <v/>
      </c>
      <c r="J342" s="2" t="b">
        <f t="shared" si="7"/>
        <v>1</v>
      </c>
      <c r="K342" s="2" t="str">
        <f>IFERROR(__xludf.DUMMYFUNCTION("TRIM(JOIN("" "",UNIQUE(TOCOL(ARRAYFORMULA(IF( SPLIT(C342,"" "")=TOCOL(SPLIT(C341,"" "")),SPLIT(C342,"" "")&amp;"" "",""""))))))"),"")</f>
        <v/>
      </c>
      <c r="L342" s="2" t="str">
        <f t="shared" si="1"/>
        <v/>
      </c>
      <c r="M342" s="2">
        <f t="shared" si="2"/>
        <v>339</v>
      </c>
      <c r="AY342" s="2" t="s">
        <v>400</v>
      </c>
    </row>
    <row r="343">
      <c r="A343" s="2">
        <f t="shared" si="3"/>
        <v>340</v>
      </c>
      <c r="B343" s="1" t="s">
        <v>69</v>
      </c>
      <c r="C343" s="2" t="s">
        <v>378</v>
      </c>
      <c r="D343" s="2" t="s">
        <v>193</v>
      </c>
      <c r="E343" s="2">
        <v>41.0</v>
      </c>
      <c r="F343" s="2" t="s">
        <v>194</v>
      </c>
      <c r="G343" s="2" t="str">
        <f t="shared" si="4"/>
        <v/>
      </c>
      <c r="H343" s="2" t="str">
        <f t="shared" si="5"/>
        <v/>
      </c>
      <c r="I343" s="2" t="str">
        <f t="shared" si="6"/>
        <v/>
      </c>
      <c r="J343" s="2" t="b">
        <f t="shared" si="7"/>
        <v>1</v>
      </c>
      <c r="K343" s="2" t="str">
        <f>IFERROR(__xludf.DUMMYFUNCTION("TRIM(JOIN("" "",UNIQUE(TOCOL(ARRAYFORMULA(IF( SPLIT(C343,"" "")=TOCOL(SPLIT(C342,"" "")),SPLIT(C343,"" "")&amp;"" "",""""))))))"),"")</f>
        <v/>
      </c>
      <c r="L343" s="2" t="str">
        <f t="shared" si="1"/>
        <v/>
      </c>
      <c r="M343" s="2">
        <f t="shared" si="2"/>
        <v>340</v>
      </c>
      <c r="AY343" s="2" t="s">
        <v>736</v>
      </c>
    </row>
    <row r="344">
      <c r="A344" s="2">
        <f t="shared" si="3"/>
        <v>341</v>
      </c>
      <c r="B344" s="1" t="s">
        <v>69</v>
      </c>
      <c r="C344" s="2" t="s">
        <v>378</v>
      </c>
      <c r="D344" s="2" t="s">
        <v>193</v>
      </c>
      <c r="E344" s="2">
        <v>41.0</v>
      </c>
      <c r="F344" s="2" t="s">
        <v>428</v>
      </c>
      <c r="G344" s="2" t="str">
        <f t="shared" si="4"/>
        <v>misma edad</v>
      </c>
      <c r="H344" s="2" t="str">
        <f t="shared" si="5"/>
        <v>mismo nombre</v>
      </c>
      <c r="I344" s="2" t="str">
        <f t="shared" si="6"/>
        <v>mismo colegio</v>
      </c>
      <c r="J344" s="2" t="b">
        <f t="shared" si="7"/>
        <v>0</v>
      </c>
      <c r="K344" s="2" t="str">
        <f>IFERROR(__xludf.DUMMYFUNCTION("TRIM(JOIN("" "",UNIQUE(TOCOL(ARRAYFORMULA(IF( SPLIT(C344,"" "")=TOCOL(SPLIT(C343,"" "")),SPLIT(C344,"" "")&amp;"" "",""""))))))"),"MARCELINA DOMINGUEZ PALACIOS")</f>
        <v>MARCELINA DOMINGUEZ PALACIOS</v>
      </c>
      <c r="L344" s="2" t="str">
        <f t="shared" si="1"/>
        <v/>
      </c>
      <c r="M344" s="2">
        <f t="shared" si="2"/>
        <v>340</v>
      </c>
      <c r="AY344" s="2" t="s">
        <v>1358</v>
      </c>
    </row>
    <row r="345">
      <c r="A345" s="2">
        <f t="shared" si="3"/>
        <v>342</v>
      </c>
      <c r="B345" s="1" t="s">
        <v>994</v>
      </c>
      <c r="C345" s="2" t="s">
        <v>1194</v>
      </c>
      <c r="D345" s="2" t="s">
        <v>193</v>
      </c>
      <c r="E345" s="2">
        <v>42.0</v>
      </c>
      <c r="F345" s="2" t="s">
        <v>428</v>
      </c>
      <c r="G345" s="2" t="str">
        <f t="shared" si="4"/>
        <v/>
      </c>
      <c r="H345" s="2" t="str">
        <f t="shared" si="5"/>
        <v/>
      </c>
      <c r="I345" s="2" t="str">
        <f t="shared" si="6"/>
        <v/>
      </c>
      <c r="J345" s="2" t="b">
        <f t="shared" si="7"/>
        <v>1</v>
      </c>
      <c r="K345" s="2" t="str">
        <f>IFERROR(__xludf.DUMMYFUNCTION("TRIM(JOIN("" "",UNIQUE(TOCOL(ARRAYFORMULA(IF( SPLIT(C345,"" "")=TOCOL(SPLIT(C344,"" "")),SPLIT(C345,"" "")&amp;"" "",""""))))))"),"")</f>
        <v/>
      </c>
      <c r="L345" s="2" t="str">
        <f t="shared" si="1"/>
        <v/>
      </c>
      <c r="M345" s="2">
        <f t="shared" si="2"/>
        <v>342</v>
      </c>
      <c r="AY345" s="2" t="s">
        <v>242</v>
      </c>
    </row>
    <row r="346">
      <c r="A346" s="2">
        <f t="shared" si="3"/>
        <v>343</v>
      </c>
      <c r="B346" s="1" t="s">
        <v>105</v>
      </c>
      <c r="C346" s="2" t="s">
        <v>426</v>
      </c>
      <c r="D346" s="2" t="s">
        <v>222</v>
      </c>
      <c r="E346" s="2">
        <v>40.0</v>
      </c>
      <c r="F346" s="2" t="s">
        <v>194</v>
      </c>
      <c r="G346" s="2" t="str">
        <f t="shared" si="4"/>
        <v/>
      </c>
      <c r="H346" s="2" t="str">
        <f t="shared" si="5"/>
        <v/>
      </c>
      <c r="I346" s="2" t="str">
        <f t="shared" si="6"/>
        <v/>
      </c>
      <c r="J346" s="2" t="b">
        <f t="shared" si="7"/>
        <v>0</v>
      </c>
      <c r="K346" s="2" t="str">
        <f>IFERROR(__xludf.DUMMYFUNCTION("TRIM(JOIN("" "",UNIQUE(TOCOL(ARRAYFORMULA(IF( SPLIT(C346,"" "")=TOCOL(SPLIT(C345,"" "")),SPLIT(C346,"" "")&amp;"" "",""""))))))"),"")</f>
        <v/>
      </c>
      <c r="L346" s="2" t="str">
        <f t="shared" si="1"/>
        <v/>
      </c>
      <c r="M346" s="2">
        <f t="shared" si="2"/>
        <v>343</v>
      </c>
      <c r="AY346" s="2" t="s">
        <v>1412</v>
      </c>
    </row>
    <row r="347">
      <c r="A347" s="2">
        <f t="shared" si="3"/>
        <v>344</v>
      </c>
      <c r="B347" s="1" t="s">
        <v>105</v>
      </c>
      <c r="C347" s="2" t="s">
        <v>426</v>
      </c>
      <c r="D347" s="2" t="s">
        <v>222</v>
      </c>
      <c r="E347" s="2">
        <v>40.0</v>
      </c>
      <c r="F347" s="2" t="s">
        <v>428</v>
      </c>
      <c r="G347" s="2" t="str">
        <f t="shared" si="4"/>
        <v>misma edad</v>
      </c>
      <c r="H347" s="2" t="str">
        <f t="shared" si="5"/>
        <v>mismo nombre</v>
      </c>
      <c r="I347" s="2" t="str">
        <f t="shared" si="6"/>
        <v>mismo colegio</v>
      </c>
      <c r="J347" s="2" t="b">
        <f t="shared" si="7"/>
        <v>0</v>
      </c>
      <c r="K347" s="2" t="str">
        <f>IFERROR(__xludf.DUMMYFUNCTION("TRIM(JOIN("" "",UNIQUE(TOCOL(ARRAYFORMULA(IF( SPLIT(C347,"" "")=TOCOL(SPLIT(C346,"" "")),SPLIT(C347,"" "")&amp;"" "",""""))))))"),"MANESCO GARGATE OBREGÓN")</f>
        <v>MANESCO GARGATE OBREGÓN</v>
      </c>
      <c r="L347" s="2" t="str">
        <f t="shared" si="1"/>
        <v/>
      </c>
      <c r="M347" s="2">
        <f t="shared" si="2"/>
        <v>343</v>
      </c>
      <c r="AY347" s="2" t="s">
        <v>1088</v>
      </c>
    </row>
    <row r="348">
      <c r="A348" s="2">
        <f t="shared" si="3"/>
        <v>345</v>
      </c>
      <c r="B348" s="1" t="s">
        <v>830</v>
      </c>
      <c r="C348" s="2" t="s">
        <v>846</v>
      </c>
      <c r="D348" s="2" t="s">
        <v>193</v>
      </c>
      <c r="E348" s="2"/>
      <c r="F348" s="2" t="s">
        <v>194</v>
      </c>
      <c r="G348" s="2" t="str">
        <f t="shared" si="4"/>
        <v/>
      </c>
      <c r="H348" s="2" t="str">
        <f t="shared" si="5"/>
        <v/>
      </c>
      <c r="I348" s="2" t="str">
        <f t="shared" si="6"/>
        <v/>
      </c>
      <c r="J348" s="2" t="b">
        <f t="shared" si="7"/>
        <v>0</v>
      </c>
      <c r="K348" s="2" t="str">
        <f>IFERROR(__xludf.DUMMYFUNCTION("TRIM(JOIN("" "",UNIQUE(TOCOL(ARRAYFORMULA(IF( SPLIT(C348,"" "")=TOCOL(SPLIT(C347,"" "")),SPLIT(C348,"" "")&amp;"" "",""""))))))"),"")</f>
        <v/>
      </c>
      <c r="L348" s="2" t="str">
        <f t="shared" si="1"/>
        <v/>
      </c>
      <c r="M348" s="2">
        <f t="shared" si="2"/>
        <v>345</v>
      </c>
      <c r="AY348" s="2" t="s">
        <v>368</v>
      </c>
    </row>
    <row r="349">
      <c r="A349" s="2">
        <f t="shared" si="3"/>
        <v>346</v>
      </c>
      <c r="B349" s="1" t="s">
        <v>830</v>
      </c>
      <c r="C349" s="2" t="s">
        <v>846</v>
      </c>
      <c r="D349" s="2" t="s">
        <v>193</v>
      </c>
      <c r="E349" s="2">
        <v>31.0</v>
      </c>
      <c r="F349" s="2" t="s">
        <v>428</v>
      </c>
      <c r="G349" s="2" t="str">
        <f t="shared" si="4"/>
        <v/>
      </c>
      <c r="H349" s="2" t="str">
        <f t="shared" si="5"/>
        <v>mismo nombre</v>
      </c>
      <c r="I349" s="2" t="str">
        <f t="shared" si="6"/>
        <v>mismo colegio</v>
      </c>
      <c r="J349" s="2" t="b">
        <f t="shared" si="7"/>
        <v>0</v>
      </c>
      <c r="K349" s="2" t="str">
        <f>IFERROR(__xludf.DUMMYFUNCTION("TRIM(JOIN("" "",UNIQUE(TOCOL(ARRAYFORMULA(IF( SPLIT(C349,"" "")=TOCOL(SPLIT(C348,"" "")),SPLIT(C349,"" "")&amp;"" "",""""))))))"),"MAGUIÑA COSME, YANET")</f>
        <v>MAGUIÑA COSME, YANET</v>
      </c>
      <c r="L349" s="2" t="str">
        <f t="shared" si="1"/>
        <v/>
      </c>
      <c r="M349" s="2">
        <f t="shared" si="2"/>
        <v>345</v>
      </c>
      <c r="AY349" s="2" t="s">
        <v>1072</v>
      </c>
    </row>
    <row r="350">
      <c r="A350" s="2">
        <f t="shared" si="3"/>
        <v>347</v>
      </c>
      <c r="B350" s="1" t="s">
        <v>968</v>
      </c>
      <c r="C350" s="2" t="s">
        <v>1282</v>
      </c>
      <c r="D350" s="2" t="s">
        <v>193</v>
      </c>
      <c r="E350" s="2">
        <v>26.0</v>
      </c>
      <c r="F350" s="2" t="s">
        <v>428</v>
      </c>
      <c r="G350" s="2" t="str">
        <f t="shared" si="4"/>
        <v/>
      </c>
      <c r="H350" s="2" t="str">
        <f t="shared" si="5"/>
        <v/>
      </c>
      <c r="I350" s="2" t="str">
        <f t="shared" si="6"/>
        <v/>
      </c>
      <c r="J350" s="2" t="b">
        <f t="shared" si="7"/>
        <v>1</v>
      </c>
      <c r="K350" s="2" t="str">
        <f>IFERROR(__xludf.DUMMYFUNCTION("TRIM(JOIN("" "",UNIQUE(TOCOL(ARRAYFORMULA(IF( SPLIT(C350,"" "")=TOCOL(SPLIT(C349,"" "")),SPLIT(C350,"" "")&amp;"" "",""""))))))"),"")</f>
        <v/>
      </c>
      <c r="L350" s="2" t="str">
        <f t="shared" si="1"/>
        <v/>
      </c>
      <c r="M350" s="2">
        <f t="shared" si="2"/>
        <v>347</v>
      </c>
      <c r="AY350" s="2" t="s">
        <v>1428</v>
      </c>
    </row>
    <row r="351">
      <c r="A351" s="2">
        <f t="shared" si="3"/>
        <v>348</v>
      </c>
      <c r="B351" s="1" t="s">
        <v>457</v>
      </c>
      <c r="C351" s="2" t="s">
        <v>476</v>
      </c>
      <c r="D351" s="2" t="s">
        <v>193</v>
      </c>
      <c r="E351" s="2">
        <v>28.0</v>
      </c>
      <c r="F351" s="2" t="s">
        <v>194</v>
      </c>
      <c r="G351" s="2" t="str">
        <f t="shared" si="4"/>
        <v/>
      </c>
      <c r="H351" s="2" t="str">
        <f t="shared" si="5"/>
        <v/>
      </c>
      <c r="I351" s="2" t="str">
        <f t="shared" si="6"/>
        <v/>
      </c>
      <c r="J351" s="2" t="b">
        <f t="shared" si="7"/>
        <v>0</v>
      </c>
      <c r="K351" s="2" t="str">
        <f>IFERROR(__xludf.DUMMYFUNCTION("TRIM(JOIN("" "",UNIQUE(TOCOL(ARRAYFORMULA(IF( SPLIT(C351,"" "")=TOCOL(SPLIT(C350,"" "")),SPLIT(C351,"" "")&amp;"" "",""""))))))"),"")</f>
        <v/>
      </c>
      <c r="L351" s="2" t="str">
        <f t="shared" si="1"/>
        <v/>
      </c>
      <c r="M351" s="2">
        <f t="shared" si="2"/>
        <v>348</v>
      </c>
      <c r="AY351" s="2" t="s">
        <v>937</v>
      </c>
    </row>
    <row r="352">
      <c r="A352" s="2">
        <f t="shared" si="3"/>
        <v>349</v>
      </c>
      <c r="B352" s="1" t="s">
        <v>323</v>
      </c>
      <c r="C352" s="2" t="s">
        <v>343</v>
      </c>
      <c r="D352" s="2" t="s">
        <v>193</v>
      </c>
      <c r="E352" s="2">
        <v>39.0</v>
      </c>
      <c r="F352" s="2" t="s">
        <v>194</v>
      </c>
      <c r="G352" s="2" t="str">
        <f t="shared" si="4"/>
        <v/>
      </c>
      <c r="H352" s="2" t="str">
        <f t="shared" si="5"/>
        <v/>
      </c>
      <c r="I352" s="2" t="str">
        <f t="shared" si="6"/>
        <v/>
      </c>
      <c r="J352" s="2" t="b">
        <f t="shared" si="7"/>
        <v>1</v>
      </c>
      <c r="K352" s="2" t="str">
        <f>IFERROR(__xludf.DUMMYFUNCTION("TRIM(JOIN("" "",UNIQUE(TOCOL(ARRAYFORMULA(IF( SPLIT(C352,"" "")=TOCOL(SPLIT(C351,"" "")),SPLIT(C352,"" "")&amp;"" "",""""))))))"),"")</f>
        <v/>
      </c>
      <c r="L352" s="2" t="str">
        <f t="shared" si="1"/>
        <v/>
      </c>
      <c r="M352" s="2">
        <f t="shared" si="2"/>
        <v>349</v>
      </c>
      <c r="AY352" s="2" t="s">
        <v>1067</v>
      </c>
    </row>
    <row r="353">
      <c r="A353" s="2">
        <f t="shared" si="3"/>
        <v>350</v>
      </c>
      <c r="B353" s="1" t="s">
        <v>226</v>
      </c>
      <c r="C353" s="2" t="s">
        <v>1101</v>
      </c>
      <c r="D353" s="2" t="s">
        <v>193</v>
      </c>
      <c r="E353" s="2">
        <v>26.0</v>
      </c>
      <c r="F353" s="2" t="s">
        <v>428</v>
      </c>
      <c r="G353" s="2" t="str">
        <f t="shared" si="4"/>
        <v/>
      </c>
      <c r="H353" s="2" t="str">
        <f t="shared" si="5"/>
        <v/>
      </c>
      <c r="I353" s="2" t="str">
        <f t="shared" si="6"/>
        <v/>
      </c>
      <c r="J353" s="2" t="b">
        <f t="shared" si="7"/>
        <v>0</v>
      </c>
      <c r="K353" s="2" t="str">
        <f>IFERROR(__xludf.DUMMYFUNCTION("TRIM(JOIN("" "",UNIQUE(TOCOL(ARRAYFORMULA(IF( SPLIT(C353,"" "")=TOCOL(SPLIT(C352,"" "")),SPLIT(C353,"" "")&amp;"" "",""""))))))"),"")</f>
        <v/>
      </c>
      <c r="L353" s="2" t="str">
        <f t="shared" si="1"/>
        <v/>
      </c>
      <c r="M353" s="2">
        <f t="shared" si="2"/>
        <v>350</v>
      </c>
      <c r="AY353" s="2" t="s">
        <v>1384</v>
      </c>
    </row>
    <row r="354">
      <c r="A354" s="2">
        <f t="shared" si="3"/>
        <v>351</v>
      </c>
      <c r="B354" s="1" t="s">
        <v>226</v>
      </c>
      <c r="C354" s="2" t="s">
        <v>317</v>
      </c>
      <c r="D354" s="2" t="s">
        <v>193</v>
      </c>
      <c r="E354" s="2">
        <v>29.0</v>
      </c>
      <c r="F354" s="2" t="s">
        <v>194</v>
      </c>
      <c r="G354" s="2" t="str">
        <f t="shared" si="4"/>
        <v/>
      </c>
      <c r="H354" s="2" t="str">
        <f t="shared" si="5"/>
        <v/>
      </c>
      <c r="I354" s="2" t="str">
        <f t="shared" si="6"/>
        <v>mismo colegio</v>
      </c>
      <c r="J354" s="2" t="b">
        <f t="shared" si="7"/>
        <v>0</v>
      </c>
      <c r="K354" s="2" t="str">
        <f>IFERROR(__xludf.DUMMYFUNCTION("TRIM(JOIN("" "",UNIQUE(TOCOL(ARRAYFORMULA(IF( SPLIT(C354,"" "")=TOCOL(SPLIT(C353,"" "")),SPLIT(C354,"" "")&amp;"" "",""""))))))"),"")</f>
        <v/>
      </c>
      <c r="L354" s="2" t="str">
        <f t="shared" si="1"/>
        <v/>
      </c>
      <c r="M354" s="2">
        <f t="shared" si="2"/>
        <v>351</v>
      </c>
      <c r="AY354" s="2" t="s">
        <v>1197</v>
      </c>
    </row>
    <row r="355">
      <c r="A355" s="2">
        <f t="shared" si="3"/>
        <v>352</v>
      </c>
      <c r="B355" s="1" t="s">
        <v>226</v>
      </c>
      <c r="C355" s="2" t="s">
        <v>317</v>
      </c>
      <c r="D355" s="2" t="s">
        <v>193</v>
      </c>
      <c r="E355" s="2">
        <v>29.0</v>
      </c>
      <c r="F355" s="2" t="s">
        <v>428</v>
      </c>
      <c r="G355" s="2" t="str">
        <f t="shared" si="4"/>
        <v>misma edad</v>
      </c>
      <c r="H355" s="2" t="str">
        <f t="shared" si="5"/>
        <v>mismo nombre</v>
      </c>
      <c r="I355" s="2" t="str">
        <f t="shared" si="6"/>
        <v>mismo colegio</v>
      </c>
      <c r="J355" s="2" t="b">
        <f t="shared" si="7"/>
        <v>0</v>
      </c>
      <c r="K355" s="2" t="str">
        <f>IFERROR(__xludf.DUMMYFUNCTION("TRIM(JOIN("" "",UNIQUE(TOCOL(ARRAYFORMULA(IF( SPLIT(C355,"" "")=TOCOL(SPLIT(C354,"" "")),SPLIT(C355,"" "")&amp;"" "",""""))))))"),"LUCILA FERNANDEZ AGURTO")</f>
        <v>LUCILA FERNANDEZ AGURTO</v>
      </c>
      <c r="L355" s="2" t="str">
        <f t="shared" si="1"/>
        <v/>
      </c>
      <c r="M355" s="2">
        <f t="shared" si="2"/>
        <v>351</v>
      </c>
      <c r="AY355" s="2" t="s">
        <v>1107</v>
      </c>
    </row>
    <row r="356">
      <c r="A356" s="2">
        <f t="shared" si="3"/>
        <v>353</v>
      </c>
      <c r="B356" s="1" t="s">
        <v>994</v>
      </c>
      <c r="C356" s="2" t="s">
        <v>1008</v>
      </c>
      <c r="D356" s="2" t="s">
        <v>193</v>
      </c>
      <c r="E356" s="2">
        <v>25.0</v>
      </c>
      <c r="F356" s="2" t="s">
        <v>194</v>
      </c>
      <c r="G356" s="2" t="str">
        <f t="shared" si="4"/>
        <v/>
      </c>
      <c r="H356" s="2" t="str">
        <f t="shared" si="5"/>
        <v/>
      </c>
      <c r="I356" s="2" t="str">
        <f t="shared" si="6"/>
        <v/>
      </c>
      <c r="J356" s="2" t="b">
        <f t="shared" si="7"/>
        <v>0</v>
      </c>
      <c r="K356" s="2" t="str">
        <f>IFERROR(__xludf.DUMMYFUNCTION("TRIM(JOIN("" "",UNIQUE(TOCOL(ARRAYFORMULA(IF( SPLIT(C356,"" "")=TOCOL(SPLIT(C355,"" "")),SPLIT(C356,"" "")&amp;"" "",""""))))))"),"")</f>
        <v/>
      </c>
      <c r="L356" s="2" t="str">
        <f t="shared" si="1"/>
        <v/>
      </c>
      <c r="M356" s="2">
        <f t="shared" si="2"/>
        <v>353</v>
      </c>
      <c r="AY356" s="2" t="s">
        <v>1386</v>
      </c>
    </row>
    <row r="357">
      <c r="A357" s="2">
        <f t="shared" si="3"/>
        <v>354</v>
      </c>
      <c r="B357" s="1" t="s">
        <v>323</v>
      </c>
      <c r="C357" s="2" t="s">
        <v>361</v>
      </c>
      <c r="D357" s="2" t="s">
        <v>193</v>
      </c>
      <c r="E357" s="2">
        <v>39.0</v>
      </c>
      <c r="F357" s="2" t="s">
        <v>194</v>
      </c>
      <c r="G357" s="2" t="str">
        <f t="shared" si="4"/>
        <v/>
      </c>
      <c r="H357" s="2" t="str">
        <f t="shared" si="5"/>
        <v/>
      </c>
      <c r="I357" s="2" t="str">
        <f t="shared" si="6"/>
        <v/>
      </c>
      <c r="J357" s="2" t="b">
        <f t="shared" si="7"/>
        <v>1</v>
      </c>
      <c r="K357" s="2" t="str">
        <f>IFERROR(__xludf.DUMMYFUNCTION("TRIM(JOIN("" "",UNIQUE(TOCOL(ARRAYFORMULA(IF( SPLIT(C357,"" "")=TOCOL(SPLIT(C356,"" "")),SPLIT(C357,"" "")&amp;"" "",""""))))))"),"")</f>
        <v/>
      </c>
      <c r="L357" s="2" t="str">
        <f t="shared" si="1"/>
        <v/>
      </c>
      <c r="M357" s="2">
        <f t="shared" si="2"/>
        <v>354</v>
      </c>
      <c r="AY357" s="2" t="s">
        <v>1096</v>
      </c>
    </row>
    <row r="358">
      <c r="A358" s="2">
        <f t="shared" si="3"/>
        <v>355</v>
      </c>
      <c r="B358" s="1" t="s">
        <v>323</v>
      </c>
      <c r="C358" s="2" t="s">
        <v>361</v>
      </c>
      <c r="D358" s="2" t="s">
        <v>193</v>
      </c>
      <c r="E358" s="40"/>
      <c r="F358" s="2" t="s">
        <v>428</v>
      </c>
      <c r="G358" s="2" t="str">
        <f t="shared" si="4"/>
        <v/>
      </c>
      <c r="H358" s="2" t="str">
        <f t="shared" si="5"/>
        <v>mismo nombre</v>
      </c>
      <c r="I358" s="2" t="str">
        <f t="shared" si="6"/>
        <v>mismo colegio</v>
      </c>
      <c r="J358" s="2" t="b">
        <f t="shared" si="7"/>
        <v>0</v>
      </c>
      <c r="K358" s="2" t="str">
        <f>IFERROR(__xludf.DUMMYFUNCTION("TRIM(JOIN("" "",UNIQUE(TOCOL(ARRAYFORMULA(IF( SPLIT(C358,"" "")=TOCOL(SPLIT(C357,"" "")),SPLIT(C358,"" "")&amp;"" "",""""))))))"),"LOIDA BELINDA RAMIREZ COURINO")</f>
        <v>LOIDA BELINDA RAMIREZ COURINO</v>
      </c>
      <c r="L358" s="2" t="str">
        <f t="shared" si="1"/>
        <v/>
      </c>
      <c r="M358" s="2">
        <f t="shared" si="2"/>
        <v>354</v>
      </c>
      <c r="AY358" s="2" t="s">
        <v>1141</v>
      </c>
    </row>
    <row r="359">
      <c r="A359" s="2">
        <f t="shared" si="3"/>
        <v>356</v>
      </c>
      <c r="B359" s="1" t="s">
        <v>719</v>
      </c>
      <c r="C359" s="2" t="s">
        <v>1435</v>
      </c>
      <c r="D359" s="2" t="s">
        <v>193</v>
      </c>
      <c r="E359" s="2">
        <v>26.0</v>
      </c>
      <c r="F359" s="2" t="s">
        <v>428</v>
      </c>
      <c r="G359" s="2" t="str">
        <f t="shared" si="4"/>
        <v/>
      </c>
      <c r="H359" s="2" t="str">
        <f t="shared" si="5"/>
        <v/>
      </c>
      <c r="I359" s="2" t="str">
        <f t="shared" si="6"/>
        <v/>
      </c>
      <c r="J359" s="2" t="b">
        <f t="shared" si="7"/>
        <v>1</v>
      </c>
      <c r="K359" s="2" t="str">
        <f>IFERROR(__xludf.DUMMYFUNCTION("TRIM(JOIN("" "",UNIQUE(TOCOL(ARRAYFORMULA(IF( SPLIT(C359,"" "")=TOCOL(SPLIT(C358,"" "")),SPLIT(C359,"" "")&amp;"" "",""""))))))"),"")</f>
        <v/>
      </c>
      <c r="L359" s="2" t="str">
        <f t="shared" si="1"/>
        <v/>
      </c>
      <c r="M359" s="2">
        <f t="shared" si="2"/>
        <v>356</v>
      </c>
      <c r="AY359" s="2" t="s">
        <v>1102</v>
      </c>
    </row>
    <row r="360">
      <c r="A360" s="2">
        <f t="shared" si="3"/>
        <v>357</v>
      </c>
      <c r="B360" s="1" t="s">
        <v>323</v>
      </c>
      <c r="C360" s="2" t="s">
        <v>345</v>
      </c>
      <c r="D360" s="2" t="s">
        <v>193</v>
      </c>
      <c r="E360" s="2">
        <v>36.0</v>
      </c>
      <c r="F360" s="2" t="s">
        <v>194</v>
      </c>
      <c r="G360" s="2" t="str">
        <f t="shared" si="4"/>
        <v/>
      </c>
      <c r="H360" s="2" t="str">
        <f t="shared" si="5"/>
        <v/>
      </c>
      <c r="I360" s="2" t="str">
        <f t="shared" si="6"/>
        <v/>
      </c>
      <c r="J360" s="2" t="b">
        <f t="shared" si="7"/>
        <v>0</v>
      </c>
      <c r="K360" s="2" t="str">
        <f>IFERROR(__xludf.DUMMYFUNCTION("TRIM(JOIN("" "",UNIQUE(TOCOL(ARRAYFORMULA(IF( SPLIT(C360,"" "")=TOCOL(SPLIT(C359,"" "")),SPLIT(C360,"" "")&amp;"" "",""""))))))"),"")</f>
        <v/>
      </c>
      <c r="L360" s="2" t="str">
        <f t="shared" si="1"/>
        <v/>
      </c>
      <c r="M360" s="2">
        <f t="shared" si="2"/>
        <v>357</v>
      </c>
      <c r="AY360" s="2" t="s">
        <v>1215</v>
      </c>
    </row>
    <row r="361">
      <c r="A361" s="2">
        <f t="shared" si="3"/>
        <v>358</v>
      </c>
      <c r="B361" s="1" t="s">
        <v>323</v>
      </c>
      <c r="C361" s="2" t="s">
        <v>345</v>
      </c>
      <c r="D361" s="2" t="s">
        <v>193</v>
      </c>
      <c r="E361" s="2">
        <v>36.0</v>
      </c>
      <c r="F361" s="2" t="s">
        <v>428</v>
      </c>
      <c r="G361" s="2" t="str">
        <f t="shared" si="4"/>
        <v>misma edad</v>
      </c>
      <c r="H361" s="2" t="str">
        <f t="shared" si="5"/>
        <v>mismo nombre</v>
      </c>
      <c r="I361" s="2" t="str">
        <f t="shared" si="6"/>
        <v>mismo colegio</v>
      </c>
      <c r="J361" s="2" t="b">
        <f t="shared" si="7"/>
        <v>0</v>
      </c>
      <c r="K361" s="2" t="str">
        <f>IFERROR(__xludf.DUMMYFUNCTION("TRIM(JOIN("" "",UNIQUE(TOCOL(ARRAYFORMULA(IF( SPLIT(C361,"" "")=TOCOL(SPLIT(C360,"" "")),SPLIT(C361,"" "")&amp;"" "",""""))))))"),"LIZZETH MARIBEL RAMIREZ MELGAREJO")</f>
        <v>LIZZETH MARIBEL RAMIREZ MELGAREJO</v>
      </c>
      <c r="L361" s="2" t="str">
        <f t="shared" si="1"/>
        <v/>
      </c>
      <c r="M361" s="2">
        <f t="shared" si="2"/>
        <v>357</v>
      </c>
      <c r="AY361" s="2" t="s">
        <v>1059</v>
      </c>
    </row>
    <row r="362">
      <c r="A362" s="2">
        <f t="shared" si="3"/>
        <v>359</v>
      </c>
      <c r="B362" s="1" t="s">
        <v>968</v>
      </c>
      <c r="C362" s="2" t="s">
        <v>980</v>
      </c>
      <c r="D362" s="2" t="s">
        <v>193</v>
      </c>
      <c r="E362" s="2">
        <v>28.0</v>
      </c>
      <c r="F362" s="2" t="s">
        <v>194</v>
      </c>
      <c r="G362" s="2" t="str">
        <f t="shared" si="4"/>
        <v/>
      </c>
      <c r="H362" s="2" t="str">
        <f t="shared" si="5"/>
        <v/>
      </c>
      <c r="I362" s="2" t="str">
        <f t="shared" si="6"/>
        <v/>
      </c>
      <c r="J362" s="2" t="b">
        <f t="shared" si="7"/>
        <v>0</v>
      </c>
      <c r="K362" s="2" t="str">
        <f>IFERROR(__xludf.DUMMYFUNCTION("TRIM(JOIN("" "",UNIQUE(TOCOL(ARRAYFORMULA(IF( SPLIT(C362,"" "")=TOCOL(SPLIT(C361,"" "")),SPLIT(C362,"" "")&amp;"" "",""""))))))"),"")</f>
        <v/>
      </c>
      <c r="L362" s="2" t="str">
        <f t="shared" si="1"/>
        <v/>
      </c>
      <c r="M362" s="2">
        <f t="shared" si="2"/>
        <v>359</v>
      </c>
      <c r="AY362" s="2" t="s">
        <v>284</v>
      </c>
    </row>
    <row r="363">
      <c r="A363" s="2">
        <f t="shared" si="3"/>
        <v>360</v>
      </c>
      <c r="B363" s="1" t="s">
        <v>954</v>
      </c>
      <c r="C363" s="2" t="s">
        <v>962</v>
      </c>
      <c r="D363" s="2" t="s">
        <v>222</v>
      </c>
      <c r="E363" s="2">
        <v>45.0</v>
      </c>
      <c r="F363" s="2" t="s">
        <v>194</v>
      </c>
      <c r="G363" s="2" t="str">
        <f t="shared" si="4"/>
        <v/>
      </c>
      <c r="H363" s="2" t="str">
        <f t="shared" si="5"/>
        <v/>
      </c>
      <c r="I363" s="2" t="str">
        <f t="shared" si="6"/>
        <v/>
      </c>
      <c r="J363" s="2" t="b">
        <f t="shared" si="7"/>
        <v>1</v>
      </c>
      <c r="K363" s="2" t="str">
        <f>IFERROR(__xludf.DUMMYFUNCTION("TRIM(JOIN("" "",UNIQUE(TOCOL(ARRAYFORMULA(IF( SPLIT(C363,"" "")=TOCOL(SPLIT(C362,"" "")),SPLIT(C363,"" "")&amp;"" "",""""))))))"),"")</f>
        <v/>
      </c>
      <c r="L363" s="2" t="str">
        <f t="shared" si="1"/>
        <v/>
      </c>
      <c r="M363" s="2">
        <f t="shared" si="2"/>
        <v>360</v>
      </c>
      <c r="AY363" s="2" t="s">
        <v>1074</v>
      </c>
    </row>
    <row r="364">
      <c r="A364" s="2">
        <f t="shared" si="3"/>
        <v>361</v>
      </c>
      <c r="B364" s="1" t="s">
        <v>928</v>
      </c>
      <c r="C364" s="2" t="s">
        <v>1308</v>
      </c>
      <c r="D364" s="2" t="s">
        <v>193</v>
      </c>
      <c r="E364" s="2">
        <v>37.0</v>
      </c>
      <c r="F364" s="2" t="s">
        <v>428</v>
      </c>
      <c r="G364" s="2" t="str">
        <f t="shared" si="4"/>
        <v/>
      </c>
      <c r="H364" s="2" t="str">
        <f t="shared" si="5"/>
        <v/>
      </c>
      <c r="I364" s="2" t="str">
        <f t="shared" si="6"/>
        <v/>
      </c>
      <c r="J364" s="2" t="b">
        <f t="shared" si="7"/>
        <v>0</v>
      </c>
      <c r="K364" s="2" t="str">
        <f>IFERROR(__xludf.DUMMYFUNCTION("TRIM(JOIN("" "",UNIQUE(TOCOL(ARRAYFORMULA(IF( SPLIT(C364,"" "")=TOCOL(SPLIT(C363,"" "")),SPLIT(C364,"" "")&amp;"" "",""""))))))"),"")</f>
        <v/>
      </c>
      <c r="L364" s="2" t="str">
        <f t="shared" si="1"/>
        <v/>
      </c>
      <c r="M364" s="2">
        <f t="shared" si="2"/>
        <v>361</v>
      </c>
      <c r="AY364" s="2" t="s">
        <v>237</v>
      </c>
    </row>
    <row r="365">
      <c r="A365" s="2">
        <f t="shared" si="3"/>
        <v>362</v>
      </c>
      <c r="B365" s="1" t="s">
        <v>968</v>
      </c>
      <c r="C365" s="2" t="s">
        <v>982</v>
      </c>
      <c r="D365" s="2" t="s">
        <v>193</v>
      </c>
      <c r="E365" s="2">
        <v>25.0</v>
      </c>
      <c r="F365" s="2" t="s">
        <v>194</v>
      </c>
      <c r="G365" s="2" t="str">
        <f t="shared" si="4"/>
        <v/>
      </c>
      <c r="H365" s="2" t="str">
        <f t="shared" si="5"/>
        <v/>
      </c>
      <c r="I365" s="2" t="str">
        <f t="shared" si="6"/>
        <v/>
      </c>
      <c r="J365" s="2" t="b">
        <f t="shared" si="7"/>
        <v>0</v>
      </c>
      <c r="K365" s="2" t="str">
        <f>IFERROR(__xludf.DUMMYFUNCTION("TRIM(JOIN("" "",UNIQUE(TOCOL(ARRAYFORMULA(IF( SPLIT(C365,"" "")=TOCOL(SPLIT(C364,"" "")),SPLIT(C365,"" "")&amp;"" "",""""))))))"),"LILIANA")</f>
        <v>LILIANA</v>
      </c>
      <c r="L365" s="2" t="str">
        <f t="shared" si="1"/>
        <v/>
      </c>
      <c r="M365" s="2">
        <f t="shared" si="2"/>
        <v>362</v>
      </c>
      <c r="AY365" s="2" t="s">
        <v>239</v>
      </c>
    </row>
    <row r="366">
      <c r="A366" s="2">
        <f t="shared" si="3"/>
        <v>363</v>
      </c>
      <c r="B366" s="1" t="s">
        <v>226</v>
      </c>
      <c r="C366" s="2" t="s">
        <v>241</v>
      </c>
      <c r="D366" s="2" t="s">
        <v>193</v>
      </c>
      <c r="E366" s="2">
        <v>36.0</v>
      </c>
      <c r="F366" s="2" t="s">
        <v>194</v>
      </c>
      <c r="G366" s="2" t="str">
        <f t="shared" si="4"/>
        <v/>
      </c>
      <c r="H366" s="2" t="str">
        <f t="shared" si="5"/>
        <v/>
      </c>
      <c r="I366" s="2" t="str">
        <f t="shared" si="6"/>
        <v/>
      </c>
      <c r="J366" s="2" t="b">
        <f t="shared" si="7"/>
        <v>1</v>
      </c>
      <c r="K366" s="2" t="str">
        <f>IFERROR(__xludf.DUMMYFUNCTION("TRIM(JOIN("" "",UNIQUE(TOCOL(ARRAYFORMULA(IF( SPLIT(C366,"" "")=TOCOL(SPLIT(C365,"" "")),SPLIT(C366,"" "")&amp;"" "",""""))))))"),"")</f>
        <v/>
      </c>
      <c r="L366" s="2" t="str">
        <f t="shared" si="1"/>
        <v/>
      </c>
      <c r="M366" s="2">
        <f t="shared" si="2"/>
        <v>363</v>
      </c>
      <c r="AY366" s="2" t="s">
        <v>1150</v>
      </c>
    </row>
    <row r="367">
      <c r="A367" s="2">
        <f t="shared" si="3"/>
        <v>364</v>
      </c>
      <c r="B367" s="1" t="s">
        <v>226</v>
      </c>
      <c r="C367" s="2" t="s">
        <v>241</v>
      </c>
      <c r="D367" s="2" t="s">
        <v>193</v>
      </c>
      <c r="E367" s="2">
        <v>36.0</v>
      </c>
      <c r="F367" s="2" t="s">
        <v>428</v>
      </c>
      <c r="G367" s="2" t="str">
        <f t="shared" si="4"/>
        <v>misma edad</v>
      </c>
      <c r="H367" s="2" t="str">
        <f t="shared" si="5"/>
        <v>mismo nombre</v>
      </c>
      <c r="I367" s="2" t="str">
        <f t="shared" si="6"/>
        <v>mismo colegio</v>
      </c>
      <c r="J367" s="2" t="b">
        <f t="shared" si="7"/>
        <v>0</v>
      </c>
      <c r="K367" s="2" t="str">
        <f>IFERROR(__xludf.DUMMYFUNCTION("TRIM(JOIN("" "",UNIQUE(TOCOL(ARRAYFORMULA(IF( SPLIT(C367,"" "")=TOCOL(SPLIT(C366,"" "")),SPLIT(C367,"" "")&amp;"" "",""""))))))"),"LIDIA ZORRILA FONSECA")</f>
        <v>LIDIA ZORRILA FONSECA</v>
      </c>
      <c r="L367" s="2" t="str">
        <f t="shared" si="1"/>
        <v/>
      </c>
      <c r="M367" s="2">
        <f t="shared" si="2"/>
        <v>363</v>
      </c>
      <c r="AY367" s="2" t="s">
        <v>1464</v>
      </c>
    </row>
    <row r="368">
      <c r="A368" s="2">
        <f t="shared" si="3"/>
        <v>365</v>
      </c>
      <c r="B368" s="1" t="s">
        <v>626</v>
      </c>
      <c r="C368" s="2" t="s">
        <v>880</v>
      </c>
      <c r="D368" s="2" t="s">
        <v>193</v>
      </c>
      <c r="E368" s="2">
        <v>30.0</v>
      </c>
      <c r="F368" s="2" t="s">
        <v>194</v>
      </c>
      <c r="G368" s="2" t="str">
        <f t="shared" si="4"/>
        <v/>
      </c>
      <c r="H368" s="2" t="str">
        <f t="shared" si="5"/>
        <v/>
      </c>
      <c r="I368" s="2" t="str">
        <f t="shared" si="6"/>
        <v/>
      </c>
      <c r="J368" s="2" t="b">
        <f t="shared" si="7"/>
        <v>0</v>
      </c>
      <c r="K368" s="2" t="str">
        <f>IFERROR(__xludf.DUMMYFUNCTION("TRIM(JOIN("" "",UNIQUE(TOCOL(ARRAYFORMULA(IF( SPLIT(C368,"" "")=TOCOL(SPLIT(C367,"" "")),SPLIT(C368,"" "")&amp;"" "",""""))))))"),"")</f>
        <v/>
      </c>
      <c r="L368" s="2" t="str">
        <f t="shared" si="1"/>
        <v/>
      </c>
      <c r="M368" s="2">
        <f t="shared" si="2"/>
        <v>365</v>
      </c>
      <c r="AY368" s="2" t="s">
        <v>354</v>
      </c>
    </row>
    <row r="369">
      <c r="A369" s="2">
        <f t="shared" si="3"/>
        <v>366</v>
      </c>
      <c r="B369" s="1" t="s">
        <v>190</v>
      </c>
      <c r="C369" s="2" t="s">
        <v>213</v>
      </c>
      <c r="D369" s="2" t="s">
        <v>193</v>
      </c>
      <c r="E369" s="2">
        <v>24.0</v>
      </c>
      <c r="F369" s="2" t="s">
        <v>194</v>
      </c>
      <c r="G369" s="2" t="str">
        <f t="shared" si="4"/>
        <v/>
      </c>
      <c r="H369" s="2" t="str">
        <f t="shared" si="5"/>
        <v/>
      </c>
      <c r="I369" s="2" t="str">
        <f t="shared" si="6"/>
        <v/>
      </c>
      <c r="J369" s="2" t="b">
        <f t="shared" si="7"/>
        <v>1</v>
      </c>
      <c r="K369" s="2" t="str">
        <f>IFERROR(__xludf.DUMMYFUNCTION("TRIM(JOIN("" "",UNIQUE(TOCOL(ARRAYFORMULA(IF( SPLIT(C369,"" "")=TOCOL(SPLIT(C368,"" "")),SPLIT(C369,"" "")&amp;"" "",""""))))))"),"")</f>
        <v/>
      </c>
      <c r="L369" s="2" t="str">
        <f t="shared" si="1"/>
        <v/>
      </c>
      <c r="M369" s="2">
        <f t="shared" si="2"/>
        <v>366</v>
      </c>
      <c r="AY369" s="2" t="s">
        <v>663</v>
      </c>
    </row>
    <row r="370">
      <c r="A370" s="2">
        <f t="shared" si="3"/>
        <v>367</v>
      </c>
      <c r="B370" s="1" t="s">
        <v>190</v>
      </c>
      <c r="C370" s="2" t="s">
        <v>213</v>
      </c>
      <c r="D370" s="2" t="s">
        <v>193</v>
      </c>
      <c r="E370" s="2">
        <v>24.0</v>
      </c>
      <c r="F370" s="2" t="s">
        <v>428</v>
      </c>
      <c r="G370" s="2" t="str">
        <f t="shared" si="4"/>
        <v>misma edad</v>
      </c>
      <c r="H370" s="2" t="str">
        <f t="shared" si="5"/>
        <v>mismo nombre</v>
      </c>
      <c r="I370" s="2" t="str">
        <f t="shared" si="6"/>
        <v>mismo colegio</v>
      </c>
      <c r="J370" s="2" t="b">
        <f t="shared" si="7"/>
        <v>0</v>
      </c>
      <c r="K370" s="2" t="str">
        <f>IFERROR(__xludf.DUMMYFUNCTION("TRIM(JOIN("" "",UNIQUE(TOCOL(ARRAYFORMULA(IF( SPLIT(C370,"" "")=TOCOL(SPLIT(C369,"" "")),SPLIT(C370,"" "")&amp;"" "",""""))))))"),"LETICIA FRIDA SOLORZANO SIFUENTES")</f>
        <v>LETICIA FRIDA SOLORZANO SIFUENTES</v>
      </c>
      <c r="L370" s="2" t="str">
        <f t="shared" si="1"/>
        <v/>
      </c>
      <c r="M370" s="2">
        <f t="shared" si="2"/>
        <v>366</v>
      </c>
      <c r="AY370" s="2" t="s">
        <v>1483</v>
      </c>
    </row>
    <row r="371">
      <c r="A371" s="2">
        <f t="shared" si="3"/>
        <v>368</v>
      </c>
      <c r="B371" s="1" t="s">
        <v>626</v>
      </c>
      <c r="C371" s="2" t="s">
        <v>895</v>
      </c>
      <c r="D371" s="2" t="s">
        <v>193</v>
      </c>
      <c r="E371" s="2">
        <v>36.0</v>
      </c>
      <c r="F371" s="2" t="s">
        <v>194</v>
      </c>
      <c r="G371" s="2" t="str">
        <f t="shared" si="4"/>
        <v/>
      </c>
      <c r="H371" s="2" t="str">
        <f t="shared" si="5"/>
        <v/>
      </c>
      <c r="I371" s="2" t="str">
        <f t="shared" si="6"/>
        <v/>
      </c>
      <c r="J371" s="2" t="b">
        <f t="shared" si="7"/>
        <v>0</v>
      </c>
      <c r="K371" s="2" t="str">
        <f>IFERROR(__xludf.DUMMYFUNCTION("TRIM(JOIN("" "",UNIQUE(TOCOL(ARRAYFORMULA(IF( SPLIT(C371,"" "")=TOCOL(SPLIT(C370,"" "")),SPLIT(C371,"" "")&amp;"" "",""""))))))"),"")</f>
        <v/>
      </c>
      <c r="L371" s="2" t="str">
        <f t="shared" si="1"/>
        <v/>
      </c>
      <c r="M371" s="2">
        <f t="shared" si="2"/>
        <v>368</v>
      </c>
      <c r="AY371" s="2" t="s">
        <v>391</v>
      </c>
    </row>
    <row r="372">
      <c r="A372" s="2">
        <f t="shared" si="3"/>
        <v>369</v>
      </c>
      <c r="B372" s="1" t="s">
        <v>154</v>
      </c>
      <c r="C372" s="2" t="s">
        <v>500</v>
      </c>
      <c r="D372" s="2" t="s">
        <v>222</v>
      </c>
      <c r="E372" s="2">
        <v>26.0</v>
      </c>
      <c r="F372" s="2" t="s">
        <v>194</v>
      </c>
      <c r="G372" s="2" t="str">
        <f t="shared" si="4"/>
        <v/>
      </c>
      <c r="H372" s="2" t="str">
        <f t="shared" si="5"/>
        <v/>
      </c>
      <c r="I372" s="2" t="str">
        <f t="shared" si="6"/>
        <v/>
      </c>
      <c r="J372" s="2" t="b">
        <f t="shared" si="7"/>
        <v>1</v>
      </c>
      <c r="K372" s="2" t="str">
        <f>IFERROR(__xludf.DUMMYFUNCTION("TRIM(JOIN("" "",UNIQUE(TOCOL(ARRAYFORMULA(IF( SPLIT(C372,"" "")=TOCOL(SPLIT(C371,"" "")),SPLIT(C372,"" "")&amp;"" "",""""))))))"),"")</f>
        <v/>
      </c>
      <c r="L372" s="2" t="str">
        <f t="shared" si="1"/>
        <v/>
      </c>
      <c r="M372" s="2">
        <f t="shared" si="2"/>
        <v>369</v>
      </c>
      <c r="AY372" s="2" t="s">
        <v>1124</v>
      </c>
    </row>
    <row r="373">
      <c r="A373" s="2">
        <f t="shared" si="3"/>
        <v>370</v>
      </c>
      <c r="B373" s="1" t="s">
        <v>122</v>
      </c>
      <c r="C373" s="2" t="s">
        <v>444</v>
      </c>
      <c r="D373" s="2" t="s">
        <v>222</v>
      </c>
      <c r="E373" s="2">
        <v>29.0</v>
      </c>
      <c r="F373" s="2" t="s">
        <v>194</v>
      </c>
      <c r="G373" s="2" t="str">
        <f t="shared" si="4"/>
        <v/>
      </c>
      <c r="H373" s="2" t="str">
        <f t="shared" si="5"/>
        <v/>
      </c>
      <c r="I373" s="2" t="str">
        <f t="shared" si="6"/>
        <v/>
      </c>
      <c r="J373" s="2" t="b">
        <f t="shared" si="7"/>
        <v>1</v>
      </c>
      <c r="K373" s="2" t="str">
        <f>IFERROR(__xludf.DUMMYFUNCTION("TRIM(JOIN("" "",UNIQUE(TOCOL(ARRAYFORMULA(IF( SPLIT(C373,"" "")=TOCOL(SPLIT(C372,"" "")),SPLIT(C373,"" "")&amp;"" "",""""))))))"),"")</f>
        <v/>
      </c>
      <c r="L373" s="2" t="str">
        <f t="shared" si="1"/>
        <v/>
      </c>
      <c r="M373" s="2">
        <f t="shared" si="2"/>
        <v>370</v>
      </c>
      <c r="AY373" s="2" t="s">
        <v>1436</v>
      </c>
    </row>
    <row r="374">
      <c r="A374" s="2">
        <f t="shared" si="3"/>
        <v>371</v>
      </c>
      <c r="B374" s="1" t="s">
        <v>154</v>
      </c>
      <c r="C374" s="2" t="s">
        <v>513</v>
      </c>
      <c r="D374" s="2" t="s">
        <v>193</v>
      </c>
      <c r="E374" s="2">
        <v>18.0</v>
      </c>
      <c r="F374" s="2" t="s">
        <v>194</v>
      </c>
      <c r="G374" s="2" t="str">
        <f t="shared" si="4"/>
        <v/>
      </c>
      <c r="H374" s="2" t="str">
        <f t="shared" si="5"/>
        <v/>
      </c>
      <c r="I374" s="2" t="str">
        <f t="shared" si="6"/>
        <v/>
      </c>
      <c r="J374" s="2" t="b">
        <f t="shared" si="7"/>
        <v>1</v>
      </c>
      <c r="K374" s="2" t="str">
        <f>IFERROR(__xludf.DUMMYFUNCTION("TRIM(JOIN("" "",UNIQUE(TOCOL(ARRAYFORMULA(IF( SPLIT(C374,"" "")=TOCOL(SPLIT(C373,"" "")),SPLIT(C374,"" "")&amp;"" "",""""))))))"),"")</f>
        <v/>
      </c>
      <c r="L374" s="2" t="str">
        <f t="shared" si="1"/>
        <v/>
      </c>
      <c r="M374" s="2">
        <f t="shared" si="2"/>
        <v>371</v>
      </c>
      <c r="AY374" s="2" t="s">
        <v>328</v>
      </c>
    </row>
    <row r="375">
      <c r="A375" s="2">
        <f t="shared" si="3"/>
        <v>372</v>
      </c>
      <c r="B375" s="1" t="s">
        <v>190</v>
      </c>
      <c r="C375" s="2" t="s">
        <v>211</v>
      </c>
      <c r="D375" s="2" t="s">
        <v>193</v>
      </c>
      <c r="E375" s="2">
        <v>26.0</v>
      </c>
      <c r="F375" s="2" t="s">
        <v>194</v>
      </c>
      <c r="G375" s="2" t="str">
        <f t="shared" si="4"/>
        <v/>
      </c>
      <c r="H375" s="2" t="str">
        <f t="shared" si="5"/>
        <v/>
      </c>
      <c r="I375" s="2" t="str">
        <f t="shared" si="6"/>
        <v/>
      </c>
      <c r="J375" s="2" t="b">
        <f t="shared" si="7"/>
        <v>1</v>
      </c>
      <c r="K375" s="2" t="str">
        <f>IFERROR(__xludf.DUMMYFUNCTION("TRIM(JOIN("" "",UNIQUE(TOCOL(ARRAYFORMULA(IF( SPLIT(C375,"" "")=TOCOL(SPLIT(C374,"" "")),SPLIT(C375,"" "")&amp;"" "",""""))))))"),"")</f>
        <v/>
      </c>
      <c r="L375" s="2" t="str">
        <f t="shared" si="1"/>
        <v/>
      </c>
      <c r="M375" s="2">
        <f t="shared" si="2"/>
        <v>372</v>
      </c>
      <c r="AY375" s="2" t="s">
        <v>1182</v>
      </c>
    </row>
    <row r="376">
      <c r="A376" s="2">
        <f t="shared" si="3"/>
        <v>373</v>
      </c>
      <c r="B376" s="1" t="s">
        <v>190</v>
      </c>
      <c r="C376" s="2" t="s">
        <v>211</v>
      </c>
      <c r="D376" s="2" t="s">
        <v>193</v>
      </c>
      <c r="E376" s="2">
        <v>26.0</v>
      </c>
      <c r="F376" s="2" t="s">
        <v>428</v>
      </c>
      <c r="G376" s="2" t="str">
        <f t="shared" si="4"/>
        <v>misma edad</v>
      </c>
      <c r="H376" s="2" t="str">
        <f t="shared" si="5"/>
        <v>mismo nombre</v>
      </c>
      <c r="I376" s="2" t="str">
        <f t="shared" si="6"/>
        <v>mismo colegio</v>
      </c>
      <c r="J376" s="2" t="b">
        <f t="shared" si="7"/>
        <v>0</v>
      </c>
      <c r="K376" s="2" t="str">
        <f>IFERROR(__xludf.DUMMYFUNCTION("TRIM(JOIN("" "",UNIQUE(TOCOL(ARRAYFORMULA(IF( SPLIT(C376,"" "")=TOCOL(SPLIT(C375,"" "")),SPLIT(C376,"" "")&amp;"" "",""""))))))"),"KELY MERCEDES VARGAS SOLIS")</f>
        <v>KELY MERCEDES VARGAS SOLIS</v>
      </c>
      <c r="L376" s="2" t="str">
        <f t="shared" si="1"/>
        <v/>
      </c>
      <c r="M376" s="2">
        <f t="shared" si="2"/>
        <v>372</v>
      </c>
      <c r="AY376" s="2" t="s">
        <v>1126</v>
      </c>
    </row>
    <row r="377">
      <c r="A377" s="2">
        <f t="shared" si="3"/>
        <v>374</v>
      </c>
      <c r="B377" s="1" t="s">
        <v>226</v>
      </c>
      <c r="C377" s="2" t="s">
        <v>281</v>
      </c>
      <c r="D377" s="2" t="s">
        <v>193</v>
      </c>
      <c r="E377" s="2">
        <v>28.0</v>
      </c>
      <c r="F377" s="2" t="s">
        <v>194</v>
      </c>
      <c r="G377" s="2" t="str">
        <f t="shared" si="4"/>
        <v/>
      </c>
      <c r="H377" s="2" t="str">
        <f t="shared" si="5"/>
        <v/>
      </c>
      <c r="I377" s="2" t="str">
        <f t="shared" si="6"/>
        <v/>
      </c>
      <c r="J377" s="2" t="b">
        <f t="shared" si="7"/>
        <v>0</v>
      </c>
      <c r="K377" s="2" t="str">
        <f>IFERROR(__xludf.DUMMYFUNCTION("TRIM(JOIN("" "",UNIQUE(TOCOL(ARRAYFORMULA(IF( SPLIT(C377,"" "")=TOCOL(SPLIT(C376,"" "")),SPLIT(C377,"" "")&amp;"" "",""""))))))"),"KELY")</f>
        <v>KELY</v>
      </c>
      <c r="L377" s="2" t="str">
        <f t="shared" si="1"/>
        <v/>
      </c>
      <c r="M377" s="2">
        <f t="shared" si="2"/>
        <v>374</v>
      </c>
      <c r="AY377" s="2" t="s">
        <v>761</v>
      </c>
    </row>
    <row r="378">
      <c r="A378" s="2">
        <f t="shared" si="3"/>
        <v>375</v>
      </c>
      <c r="B378" s="1" t="s">
        <v>226</v>
      </c>
      <c r="C378" s="2" t="s">
        <v>281</v>
      </c>
      <c r="D378" s="2" t="s">
        <v>193</v>
      </c>
      <c r="E378" s="2">
        <v>28.0</v>
      </c>
      <c r="F378" s="2" t="s">
        <v>428</v>
      </c>
      <c r="G378" s="2" t="str">
        <f t="shared" si="4"/>
        <v>misma edad</v>
      </c>
      <c r="H378" s="2" t="str">
        <f t="shared" si="5"/>
        <v>mismo nombre</v>
      </c>
      <c r="I378" s="2" t="str">
        <f t="shared" si="6"/>
        <v>mismo colegio</v>
      </c>
      <c r="J378" s="2" t="b">
        <f t="shared" si="7"/>
        <v>0</v>
      </c>
      <c r="K378" s="2" t="str">
        <f>IFERROR(__xludf.DUMMYFUNCTION("TRIM(JOIN("" "",UNIQUE(TOCOL(ARRAYFORMULA(IF( SPLIT(C378,"" "")=TOCOL(SPLIT(C377,"" "")),SPLIT(C378,"" "")&amp;"" "",""""))))))"),"KELY ENRIQUE GOMEZ")</f>
        <v>KELY ENRIQUE GOMEZ</v>
      </c>
      <c r="L378" s="2" t="str">
        <f t="shared" si="1"/>
        <v/>
      </c>
      <c r="M378" s="2">
        <f t="shared" si="2"/>
        <v>374</v>
      </c>
      <c r="AY378" s="2" t="s">
        <v>1220</v>
      </c>
    </row>
    <row r="379">
      <c r="A379" s="2">
        <f t="shared" si="3"/>
        <v>376</v>
      </c>
      <c r="B379" s="1" t="s">
        <v>928</v>
      </c>
      <c r="C379" s="2" t="s">
        <v>1322</v>
      </c>
      <c r="D379" s="2" t="s">
        <v>193</v>
      </c>
      <c r="E379" s="2">
        <v>26.0</v>
      </c>
      <c r="F379" s="2" t="s">
        <v>428</v>
      </c>
      <c r="G379" s="2" t="str">
        <f t="shared" si="4"/>
        <v/>
      </c>
      <c r="H379" s="2" t="str">
        <f t="shared" si="5"/>
        <v/>
      </c>
      <c r="I379" s="2" t="str">
        <f t="shared" si="6"/>
        <v/>
      </c>
      <c r="J379" s="2" t="b">
        <f t="shared" si="7"/>
        <v>1</v>
      </c>
      <c r="K379" s="2" t="str">
        <f>IFERROR(__xludf.DUMMYFUNCTION("TRIM(JOIN("" "",UNIQUE(TOCOL(ARRAYFORMULA(IF( SPLIT(C379,"" "")=TOCOL(SPLIT(C378,"" "")),SPLIT(C379,"" "")&amp;"" "",""""))))))"),"")</f>
        <v/>
      </c>
      <c r="L379" s="2" t="str">
        <f t="shared" si="1"/>
        <v/>
      </c>
      <c r="M379" s="2">
        <f t="shared" si="2"/>
        <v>376</v>
      </c>
      <c r="AY379" s="2" t="s">
        <v>1419</v>
      </c>
    </row>
    <row r="380">
      <c r="A380" s="2">
        <f t="shared" si="3"/>
        <v>377</v>
      </c>
      <c r="B380" s="1" t="s">
        <v>323</v>
      </c>
      <c r="C380" s="2" t="s">
        <v>347</v>
      </c>
      <c r="D380" s="2" t="s">
        <v>193</v>
      </c>
      <c r="E380" s="2">
        <v>29.0</v>
      </c>
      <c r="F380" s="2" t="s">
        <v>194</v>
      </c>
      <c r="G380" s="2" t="str">
        <f t="shared" si="4"/>
        <v/>
      </c>
      <c r="H380" s="2" t="str">
        <f t="shared" si="5"/>
        <v/>
      </c>
      <c r="I380" s="2" t="str">
        <f t="shared" si="6"/>
        <v/>
      </c>
      <c r="J380" s="2" t="b">
        <f t="shared" si="7"/>
        <v>0</v>
      </c>
      <c r="K380" s="2" t="str">
        <f>IFERROR(__xludf.DUMMYFUNCTION("TRIM(JOIN("" "",UNIQUE(TOCOL(ARRAYFORMULA(IF( SPLIT(C380,"" "")=TOCOL(SPLIT(C379,"" "")),SPLIT(C380,"" "")&amp;"" "",""""))))))"),"")</f>
        <v/>
      </c>
      <c r="L380" s="2" t="str">
        <f t="shared" si="1"/>
        <v/>
      </c>
      <c r="M380" s="2">
        <f t="shared" si="2"/>
        <v>377</v>
      </c>
      <c r="AY380" s="2" t="s">
        <v>941</v>
      </c>
    </row>
    <row r="381">
      <c r="A381" s="2">
        <f t="shared" si="3"/>
        <v>378</v>
      </c>
      <c r="B381" s="1" t="s">
        <v>911</v>
      </c>
      <c r="C381" s="2" t="s">
        <v>1040</v>
      </c>
      <c r="D381" s="2" t="s">
        <v>193</v>
      </c>
      <c r="E381" s="2">
        <v>24.0</v>
      </c>
      <c r="F381" s="2" t="s">
        <v>194</v>
      </c>
      <c r="G381" s="2" t="str">
        <f t="shared" si="4"/>
        <v/>
      </c>
      <c r="H381" s="2" t="str">
        <f t="shared" si="5"/>
        <v/>
      </c>
      <c r="I381" s="2" t="str">
        <f t="shared" si="6"/>
        <v/>
      </c>
      <c r="J381" s="2" t="b">
        <f t="shared" si="7"/>
        <v>1</v>
      </c>
      <c r="K381" s="2" t="str">
        <f>IFERROR(__xludf.DUMMYFUNCTION("TRIM(JOIN("" "",UNIQUE(TOCOL(ARRAYFORMULA(IF( SPLIT(C381,"" "")=TOCOL(SPLIT(C380,"" "")),SPLIT(C381,"" "")&amp;"" "",""""))))))"),"")</f>
        <v/>
      </c>
      <c r="L381" s="2" t="str">
        <f t="shared" si="1"/>
        <v/>
      </c>
      <c r="M381" s="2">
        <f t="shared" si="2"/>
        <v>378</v>
      </c>
      <c r="AY381" s="2" t="s">
        <v>1477</v>
      </c>
    </row>
    <row r="382">
      <c r="A382" s="2">
        <f t="shared" si="3"/>
        <v>379</v>
      </c>
      <c r="B382" s="1" t="s">
        <v>911</v>
      </c>
      <c r="C382" s="2" t="s">
        <v>1040</v>
      </c>
      <c r="D382" s="2" t="s">
        <v>193</v>
      </c>
      <c r="E382" s="2">
        <v>24.0</v>
      </c>
      <c r="F382" s="2" t="s">
        <v>428</v>
      </c>
      <c r="G382" s="2" t="str">
        <f t="shared" si="4"/>
        <v>misma edad</v>
      </c>
      <c r="H382" s="2" t="str">
        <f t="shared" si="5"/>
        <v>mismo nombre</v>
      </c>
      <c r="I382" s="2" t="str">
        <f t="shared" si="6"/>
        <v>mismo colegio</v>
      </c>
      <c r="J382" s="2" t="b">
        <f t="shared" si="7"/>
        <v>0</v>
      </c>
      <c r="K382" s="2" t="str">
        <f>IFERROR(__xludf.DUMMYFUNCTION("TRIM(JOIN("" "",UNIQUE(TOCOL(ARRAYFORMULA(IF( SPLIT(C382,"" "")=TOCOL(SPLIT(C381,"" "")),SPLIT(C382,"" "")&amp;"" "",""""))))))"),"KATERIN GONZALES BENITES")</f>
        <v>KATERIN GONZALES BENITES</v>
      </c>
      <c r="L382" s="2" t="str">
        <f t="shared" si="1"/>
        <v/>
      </c>
      <c r="M382" s="2">
        <f t="shared" si="2"/>
        <v>378</v>
      </c>
      <c r="AY382" s="2" t="s">
        <v>927</v>
      </c>
    </row>
    <row r="383">
      <c r="A383" s="2">
        <f t="shared" si="3"/>
        <v>380</v>
      </c>
      <c r="B383" s="1" t="s">
        <v>69</v>
      </c>
      <c r="C383" s="2" t="s">
        <v>380</v>
      </c>
      <c r="D383" s="2" t="s">
        <v>193</v>
      </c>
      <c r="E383" s="2">
        <v>34.0</v>
      </c>
      <c r="F383" s="2" t="s">
        <v>194</v>
      </c>
      <c r="G383" s="2" t="str">
        <f t="shared" si="4"/>
        <v/>
      </c>
      <c r="H383" s="2" t="str">
        <f t="shared" si="5"/>
        <v/>
      </c>
      <c r="I383" s="2" t="str">
        <f t="shared" si="6"/>
        <v/>
      </c>
      <c r="J383" s="2" t="b">
        <f t="shared" si="7"/>
        <v>0</v>
      </c>
      <c r="K383" s="2" t="str">
        <f>IFERROR(__xludf.DUMMYFUNCTION("TRIM(JOIN("" "",UNIQUE(TOCOL(ARRAYFORMULA(IF( SPLIT(C383,"" "")=TOCOL(SPLIT(C382,"" "")),SPLIT(C383,"" "")&amp;"" "",""""))))))"),"")</f>
        <v/>
      </c>
      <c r="L383" s="2" t="str">
        <f t="shared" si="1"/>
        <v/>
      </c>
      <c r="M383" s="2">
        <f t="shared" si="2"/>
        <v>380</v>
      </c>
      <c r="AY383" s="2" t="s">
        <v>1039</v>
      </c>
    </row>
    <row r="384">
      <c r="A384" s="2">
        <f t="shared" si="3"/>
        <v>381</v>
      </c>
      <c r="B384" s="1" t="s">
        <v>69</v>
      </c>
      <c r="C384" s="2" t="s">
        <v>380</v>
      </c>
      <c r="D384" s="2" t="s">
        <v>193</v>
      </c>
      <c r="E384" s="2">
        <v>34.0</v>
      </c>
      <c r="F384" s="2" t="s">
        <v>428</v>
      </c>
      <c r="G384" s="2" t="str">
        <f t="shared" si="4"/>
        <v>misma edad</v>
      </c>
      <c r="H384" s="2" t="str">
        <f t="shared" si="5"/>
        <v>mismo nombre</v>
      </c>
      <c r="I384" s="2" t="str">
        <f t="shared" si="6"/>
        <v>mismo colegio</v>
      </c>
      <c r="J384" s="2" t="b">
        <f t="shared" si="7"/>
        <v>0</v>
      </c>
      <c r="K384" s="2" t="str">
        <f>IFERROR(__xludf.DUMMYFUNCTION("TRIM(JOIN("" "",UNIQUE(TOCOL(ARRAYFORMULA(IF( SPLIT(C384,"" "")=TOCOL(SPLIT(C383,"" "")),SPLIT(C384,"" "")&amp;"" "",""""))))))"),"JUSTINA OBREGON FLORES")</f>
        <v>JUSTINA OBREGON FLORES</v>
      </c>
      <c r="L384" s="2" t="str">
        <f t="shared" si="1"/>
        <v/>
      </c>
      <c r="M384" s="2">
        <f t="shared" si="2"/>
        <v>380</v>
      </c>
      <c r="AY384" s="2" t="s">
        <v>1465</v>
      </c>
    </row>
    <row r="385">
      <c r="A385" s="2">
        <f t="shared" si="3"/>
        <v>382</v>
      </c>
      <c r="B385" s="1" t="s">
        <v>994</v>
      </c>
      <c r="C385" s="2" t="s">
        <v>1208</v>
      </c>
      <c r="D385" s="2" t="s">
        <v>193</v>
      </c>
      <c r="E385" s="2">
        <v>25.0</v>
      </c>
      <c r="F385" s="2" t="s">
        <v>428</v>
      </c>
      <c r="G385" s="2" t="str">
        <f t="shared" si="4"/>
        <v/>
      </c>
      <c r="H385" s="2" t="str">
        <f t="shared" si="5"/>
        <v/>
      </c>
      <c r="I385" s="2" t="str">
        <f t="shared" si="6"/>
        <v/>
      </c>
      <c r="J385" s="2" t="b">
        <f t="shared" si="7"/>
        <v>1</v>
      </c>
      <c r="K385" s="2" t="str">
        <f>IFERROR(__xludf.DUMMYFUNCTION("TRIM(JOIN("" "",UNIQUE(TOCOL(ARRAYFORMULA(IF( SPLIT(C385,"" "")=TOCOL(SPLIT(C384,"" "")),SPLIT(C385,"" "")&amp;"" "",""""))))))"),"")</f>
        <v/>
      </c>
      <c r="L385" s="2" t="str">
        <f t="shared" si="1"/>
        <v/>
      </c>
      <c r="M385" s="2">
        <f t="shared" si="2"/>
        <v>382</v>
      </c>
      <c r="AY385" s="2" t="s">
        <v>1236</v>
      </c>
    </row>
    <row r="386">
      <c r="A386" s="2">
        <f t="shared" si="3"/>
        <v>383</v>
      </c>
      <c r="B386" s="1" t="s">
        <v>323</v>
      </c>
      <c r="C386" s="2" t="s">
        <v>325</v>
      </c>
      <c r="D386" s="2" t="s">
        <v>193</v>
      </c>
      <c r="E386" s="2">
        <v>36.0</v>
      </c>
      <c r="F386" s="2" t="s">
        <v>194</v>
      </c>
      <c r="G386" s="2" t="str">
        <f t="shared" si="4"/>
        <v/>
      </c>
      <c r="H386" s="2" t="str">
        <f t="shared" si="5"/>
        <v/>
      </c>
      <c r="I386" s="2" t="str">
        <f t="shared" si="6"/>
        <v/>
      </c>
      <c r="J386" s="2" t="b">
        <f t="shared" si="7"/>
        <v>0</v>
      </c>
      <c r="K386" s="2" t="str">
        <f>IFERROR(__xludf.DUMMYFUNCTION("TRIM(JOIN("" "",UNIQUE(TOCOL(ARRAYFORMULA(IF( SPLIT(C386,"" "")=TOCOL(SPLIT(C385,"" "")),SPLIT(C386,"" "")&amp;"" "",""""))))))"),"")</f>
        <v/>
      </c>
      <c r="L386" s="2" t="str">
        <f t="shared" si="1"/>
        <v/>
      </c>
      <c r="M386" s="2">
        <f t="shared" si="2"/>
        <v>383</v>
      </c>
      <c r="AY386" s="2" t="s">
        <v>1043</v>
      </c>
    </row>
    <row r="387">
      <c r="A387" s="2">
        <f t="shared" si="3"/>
        <v>384</v>
      </c>
      <c r="B387" s="1" t="s">
        <v>928</v>
      </c>
      <c r="C387" s="2" t="s">
        <v>938</v>
      </c>
      <c r="D387" s="2" t="s">
        <v>193</v>
      </c>
      <c r="E387" s="2">
        <v>23.0</v>
      </c>
      <c r="F387" s="2" t="s">
        <v>194</v>
      </c>
      <c r="G387" s="2" t="str">
        <f t="shared" si="4"/>
        <v/>
      </c>
      <c r="H387" s="2" t="str">
        <f t="shared" si="5"/>
        <v/>
      </c>
      <c r="I387" s="2" t="str">
        <f t="shared" si="6"/>
        <v/>
      </c>
      <c r="J387" s="2" t="b">
        <f t="shared" si="7"/>
        <v>1</v>
      </c>
      <c r="K387" s="2" t="str">
        <f>IFERROR(__xludf.DUMMYFUNCTION("TRIM(JOIN("" "",UNIQUE(TOCOL(ARRAYFORMULA(IF( SPLIT(C387,"" "")=TOCOL(SPLIT(C386,"" "")),SPLIT(C387,"" "")&amp;"" "",""""))))))"),"")</f>
        <v/>
      </c>
      <c r="L387" s="2" t="str">
        <f t="shared" si="1"/>
        <v/>
      </c>
      <c r="M387" s="2">
        <f t="shared" si="2"/>
        <v>384</v>
      </c>
      <c r="AY387" s="2" t="s">
        <v>504</v>
      </c>
    </row>
    <row r="388">
      <c r="A388" s="2">
        <f t="shared" si="3"/>
        <v>385</v>
      </c>
      <c r="B388" s="1" t="s">
        <v>968</v>
      </c>
      <c r="C388" s="2" t="s">
        <v>976</v>
      </c>
      <c r="D388" s="2" t="s">
        <v>193</v>
      </c>
      <c r="E388" s="2">
        <v>27.0</v>
      </c>
      <c r="F388" s="2" t="s">
        <v>194</v>
      </c>
      <c r="G388" s="2" t="str">
        <f t="shared" si="4"/>
        <v/>
      </c>
      <c r="H388" s="2" t="str">
        <f t="shared" si="5"/>
        <v/>
      </c>
      <c r="I388" s="2" t="str">
        <f t="shared" si="6"/>
        <v/>
      </c>
      <c r="J388" s="2" t="b">
        <f t="shared" si="7"/>
        <v>1</v>
      </c>
      <c r="K388" s="2" t="str">
        <f>IFERROR(__xludf.DUMMYFUNCTION("TRIM(JOIN("" "",UNIQUE(TOCOL(ARRAYFORMULA(IF( SPLIT(C388,"" "")=TOCOL(SPLIT(C387,"" "")),SPLIT(C388,"" "")&amp;"" "",""""))))))"),"")</f>
        <v/>
      </c>
      <c r="L388" s="2" t="str">
        <f t="shared" si="1"/>
        <v/>
      </c>
      <c r="M388" s="2">
        <f t="shared" si="2"/>
        <v>385</v>
      </c>
      <c r="AY388" s="2" t="s">
        <v>1365</v>
      </c>
    </row>
    <row r="389">
      <c r="A389" s="2">
        <f t="shared" si="3"/>
        <v>386</v>
      </c>
      <c r="B389" s="1" t="s">
        <v>668</v>
      </c>
      <c r="C389" s="2" t="s">
        <v>680</v>
      </c>
      <c r="D389" s="2" t="s">
        <v>193</v>
      </c>
      <c r="E389" s="2">
        <v>34.0</v>
      </c>
      <c r="F389" s="2" t="s">
        <v>194</v>
      </c>
      <c r="G389" s="2" t="str">
        <f t="shared" si="4"/>
        <v/>
      </c>
      <c r="H389" s="2" t="str">
        <f t="shared" si="5"/>
        <v/>
      </c>
      <c r="I389" s="2" t="str">
        <f t="shared" si="6"/>
        <v/>
      </c>
      <c r="J389" s="2" t="b">
        <f t="shared" si="7"/>
        <v>1</v>
      </c>
      <c r="K389" s="2" t="str">
        <f>IFERROR(__xludf.DUMMYFUNCTION("TRIM(JOIN("" "",UNIQUE(TOCOL(ARRAYFORMULA(IF( SPLIT(C389,"" "")=TOCOL(SPLIT(C388,"" "")),SPLIT(C389,"" "")&amp;"" "",""""))))))"),"")</f>
        <v/>
      </c>
      <c r="L389" s="2" t="str">
        <f t="shared" si="1"/>
        <v/>
      </c>
      <c r="M389" s="2">
        <f t="shared" si="2"/>
        <v>386</v>
      </c>
      <c r="AY389" s="2" t="s">
        <v>489</v>
      </c>
    </row>
    <row r="390">
      <c r="A390" s="2">
        <f t="shared" si="3"/>
        <v>387</v>
      </c>
      <c r="B390" s="1" t="s">
        <v>668</v>
      </c>
      <c r="C390" s="2" t="s">
        <v>680</v>
      </c>
      <c r="D390" s="2" t="s">
        <v>193</v>
      </c>
      <c r="E390" s="2">
        <v>34.0</v>
      </c>
      <c r="F390" s="2" t="s">
        <v>428</v>
      </c>
      <c r="G390" s="2" t="str">
        <f t="shared" si="4"/>
        <v>misma edad</v>
      </c>
      <c r="H390" s="2" t="str">
        <f t="shared" si="5"/>
        <v>mismo nombre</v>
      </c>
      <c r="I390" s="2" t="str">
        <f t="shared" si="6"/>
        <v>mismo colegio</v>
      </c>
      <c r="J390" s="2" t="b">
        <f t="shared" si="7"/>
        <v>0</v>
      </c>
      <c r="K390" s="2" t="str">
        <f>IFERROR(__xludf.DUMMYFUNCTION("TRIM(JOIN("" "",UNIQUE(TOCOL(ARRAYFORMULA(IF( SPLIT(C390,"" "")=TOCOL(SPLIT(C389,"" "")),SPLIT(C390,"" "")&amp;"" "",""""))))))"),"JULCA CRUZ RINA MARIBEL")</f>
        <v>JULCA CRUZ RINA MARIBEL</v>
      </c>
      <c r="L390" s="2" t="str">
        <f t="shared" si="1"/>
        <v/>
      </c>
      <c r="M390" s="2">
        <f t="shared" si="2"/>
        <v>386</v>
      </c>
      <c r="AY390" s="2" t="s">
        <v>753</v>
      </c>
    </row>
    <row r="391">
      <c r="A391" s="2">
        <f t="shared" si="3"/>
        <v>388</v>
      </c>
      <c r="B391" s="1" t="s">
        <v>928</v>
      </c>
      <c r="C391" s="2" t="s">
        <v>1324</v>
      </c>
      <c r="D391" s="2" t="s">
        <v>193</v>
      </c>
      <c r="E391" s="2">
        <v>37.0</v>
      </c>
      <c r="F391" s="2" t="s">
        <v>428</v>
      </c>
      <c r="G391" s="2" t="str">
        <f t="shared" si="4"/>
        <v/>
      </c>
      <c r="H391" s="2" t="str">
        <f t="shared" si="5"/>
        <v/>
      </c>
      <c r="I391" s="2" t="str">
        <f t="shared" si="6"/>
        <v/>
      </c>
      <c r="J391" s="2" t="b">
        <f t="shared" si="7"/>
        <v>1</v>
      </c>
      <c r="K391" s="2" t="str">
        <f>IFERROR(__xludf.DUMMYFUNCTION("TRIM(JOIN("" "",UNIQUE(TOCOL(ARRAYFORMULA(IF( SPLIT(C391,"" "")=TOCOL(SPLIT(C390,"" "")),SPLIT(C391,"" "")&amp;"" "",""""))))))"),"")</f>
        <v/>
      </c>
      <c r="L391" s="2" t="str">
        <f t="shared" si="1"/>
        <v>-&gt;WITH THIS</v>
      </c>
      <c r="M391" s="2">
        <f t="shared" si="2"/>
        <v>388</v>
      </c>
      <c r="AY391" s="2" t="s">
        <v>759</v>
      </c>
    </row>
    <row r="392">
      <c r="A392" s="2">
        <f t="shared" si="3"/>
        <v>389</v>
      </c>
      <c r="B392" s="1" t="s">
        <v>928</v>
      </c>
      <c r="C392" s="2" t="s">
        <v>948</v>
      </c>
      <c r="D392" s="2" t="s">
        <v>193</v>
      </c>
      <c r="E392" s="2">
        <v>37.0</v>
      </c>
      <c r="F392" s="2" t="s">
        <v>194</v>
      </c>
      <c r="G392" s="2" t="str">
        <f t="shared" si="4"/>
        <v>misma edad</v>
      </c>
      <c r="H392" s="2" t="str">
        <f t="shared" si="5"/>
        <v/>
      </c>
      <c r="I392" s="2" t="str">
        <f t="shared" si="6"/>
        <v>mismo colegio</v>
      </c>
      <c r="J392" s="2" t="b">
        <f t="shared" si="7"/>
        <v>0</v>
      </c>
      <c r="K392" s="2" t="str">
        <f>IFERROR(__xludf.DUMMYFUNCTION("TRIM(JOIN("" "",UNIQUE(TOCOL(ARRAYFORMULA(IF( SPLIT(C392,"" "")=TOCOL(SPLIT(C391,"" "")),SPLIT(C392,"" "")&amp;"" "",""""))))))"),"JUDITH HERRERA")</f>
        <v>JUDITH HERRERA</v>
      </c>
      <c r="L392" s="2" t="str">
        <f t="shared" si="1"/>
        <v>EVALUAR</v>
      </c>
      <c r="M392" s="2">
        <f t="shared" si="2"/>
        <v>389</v>
      </c>
      <c r="AY392" s="2" t="s">
        <v>772</v>
      </c>
    </row>
    <row r="393">
      <c r="A393" s="2">
        <f t="shared" si="3"/>
        <v>390</v>
      </c>
      <c r="B393" s="1" t="s">
        <v>457</v>
      </c>
      <c r="C393" s="2" t="s">
        <v>462</v>
      </c>
      <c r="D393" s="2" t="s">
        <v>193</v>
      </c>
      <c r="E393" s="2">
        <v>39.0</v>
      </c>
      <c r="F393" s="2" t="s">
        <v>194</v>
      </c>
      <c r="G393" s="2" t="str">
        <f t="shared" si="4"/>
        <v/>
      </c>
      <c r="H393" s="2" t="str">
        <f t="shared" si="5"/>
        <v/>
      </c>
      <c r="I393" s="2" t="str">
        <f t="shared" si="6"/>
        <v/>
      </c>
      <c r="J393" s="2" t="b">
        <f t="shared" si="7"/>
        <v>1</v>
      </c>
      <c r="K393" s="2" t="str">
        <f>IFERROR(__xludf.DUMMYFUNCTION("TRIM(JOIN("" "",UNIQUE(TOCOL(ARRAYFORMULA(IF( SPLIT(C393,"" "")=TOCOL(SPLIT(C392,"" "")),SPLIT(C393,"" "")&amp;"" "",""""))))))"),"")</f>
        <v/>
      </c>
      <c r="L393" s="2" t="str">
        <f t="shared" si="1"/>
        <v/>
      </c>
      <c r="M393" s="2">
        <f t="shared" si="2"/>
        <v>390</v>
      </c>
      <c r="AY393" s="2" t="s">
        <v>740</v>
      </c>
    </row>
    <row r="394">
      <c r="A394" s="2">
        <f t="shared" si="3"/>
        <v>391</v>
      </c>
      <c r="B394" s="1" t="s">
        <v>457</v>
      </c>
      <c r="C394" s="2" t="s">
        <v>462</v>
      </c>
      <c r="D394" s="2" t="s">
        <v>193</v>
      </c>
      <c r="E394" s="2">
        <v>39.0</v>
      </c>
      <c r="F394" s="2" t="s">
        <v>428</v>
      </c>
      <c r="G394" s="2" t="str">
        <f t="shared" si="4"/>
        <v>misma edad</v>
      </c>
      <c r="H394" s="2" t="str">
        <f t="shared" si="5"/>
        <v>mismo nombre</v>
      </c>
      <c r="I394" s="2" t="str">
        <f t="shared" si="6"/>
        <v>mismo colegio</v>
      </c>
      <c r="J394" s="2" t="b">
        <f t="shared" si="7"/>
        <v>0</v>
      </c>
      <c r="K394" s="2" t="str">
        <f>IFERROR(__xludf.DUMMYFUNCTION("TRIM(JOIN("" "",UNIQUE(TOCOL(ARRAYFORMULA(IF( SPLIT(C394,"" "")=TOCOL(SPLIT(C393,"" "")),SPLIT(C394,"" "")&amp;"" "",""""))))))"),"JUANA RIMAC UGARTE")</f>
        <v>JUANA RIMAC UGARTE</v>
      </c>
      <c r="L394" s="2" t="str">
        <f t="shared" si="1"/>
        <v/>
      </c>
      <c r="M394" s="2">
        <f t="shared" si="2"/>
        <v>390</v>
      </c>
      <c r="AY394" s="2" t="s">
        <v>730</v>
      </c>
    </row>
    <row r="395">
      <c r="A395" s="2">
        <f t="shared" si="3"/>
        <v>392</v>
      </c>
      <c r="B395" s="1" t="s">
        <v>911</v>
      </c>
      <c r="C395" s="2" t="s">
        <v>1046</v>
      </c>
      <c r="D395" s="2" t="s">
        <v>222</v>
      </c>
      <c r="E395" s="2">
        <v>33.0</v>
      </c>
      <c r="F395" s="2" t="s">
        <v>194</v>
      </c>
      <c r="G395" s="2" t="str">
        <f t="shared" si="4"/>
        <v/>
      </c>
      <c r="H395" s="2" t="str">
        <f t="shared" si="5"/>
        <v/>
      </c>
      <c r="I395" s="2" t="str">
        <f t="shared" si="6"/>
        <v/>
      </c>
      <c r="J395" s="2" t="b">
        <f t="shared" si="7"/>
        <v>0</v>
      </c>
      <c r="K395" s="2" t="str">
        <f>IFERROR(__xludf.DUMMYFUNCTION("TRIM(JOIN("" "",UNIQUE(TOCOL(ARRAYFORMULA(IF( SPLIT(C395,"" "")=TOCOL(SPLIT(C394,"" "")),SPLIT(C395,"" "")&amp;"" "",""""))))))"),"")</f>
        <v/>
      </c>
      <c r="L395" s="2" t="str">
        <f t="shared" si="1"/>
        <v/>
      </c>
      <c r="M395" s="2">
        <f t="shared" si="2"/>
        <v>392</v>
      </c>
      <c r="AY395" s="2" t="s">
        <v>485</v>
      </c>
    </row>
    <row r="396">
      <c r="A396" s="2">
        <f t="shared" si="3"/>
        <v>393</v>
      </c>
      <c r="B396" s="1" t="s">
        <v>911</v>
      </c>
      <c r="C396" s="2" t="s">
        <v>1046</v>
      </c>
      <c r="D396" s="2" t="s">
        <v>222</v>
      </c>
      <c r="E396" s="2">
        <v>34.0</v>
      </c>
      <c r="F396" s="2" t="s">
        <v>428</v>
      </c>
      <c r="G396" s="2" t="str">
        <f t="shared" si="4"/>
        <v/>
      </c>
      <c r="H396" s="2" t="str">
        <f t="shared" si="5"/>
        <v>mismo nombre</v>
      </c>
      <c r="I396" s="2" t="str">
        <f t="shared" si="6"/>
        <v>mismo colegio</v>
      </c>
      <c r="J396" s="2" t="b">
        <f t="shared" si="7"/>
        <v>0</v>
      </c>
      <c r="K396" s="2" t="str">
        <f>IFERROR(__xludf.DUMMYFUNCTION("TRIM(JOIN("" "",UNIQUE(TOCOL(ARRAYFORMULA(IF( SPLIT(C396,"" "")=TOCOL(SPLIT(C395,"" "")),SPLIT(C396,"" "")&amp;"" "",""""))))))"),"JUAN ERICK SOTELO ESPINOZA")</f>
        <v>JUAN ERICK SOTELO ESPINOZA</v>
      </c>
      <c r="L396" s="2" t="str">
        <f t="shared" si="1"/>
        <v/>
      </c>
      <c r="M396" s="2">
        <f t="shared" si="2"/>
        <v>392</v>
      </c>
      <c r="AY396" s="2" t="s">
        <v>710</v>
      </c>
    </row>
    <row r="397">
      <c r="A397" s="2">
        <f t="shared" si="3"/>
        <v>394</v>
      </c>
      <c r="B397" s="1" t="s">
        <v>226</v>
      </c>
      <c r="C397" s="2" t="s">
        <v>1081</v>
      </c>
      <c r="D397" s="2" t="s">
        <v>193</v>
      </c>
      <c r="E397" s="2">
        <v>32.0</v>
      </c>
      <c r="F397" s="2" t="s">
        <v>428</v>
      </c>
      <c r="G397" s="2" t="str">
        <f t="shared" si="4"/>
        <v/>
      </c>
      <c r="H397" s="2" t="str">
        <f t="shared" si="5"/>
        <v/>
      </c>
      <c r="I397" s="2" t="str">
        <f t="shared" si="6"/>
        <v/>
      </c>
      <c r="J397" s="2" t="b">
        <f t="shared" si="7"/>
        <v>1</v>
      </c>
      <c r="K397" s="2" t="str">
        <f>IFERROR(__xludf.DUMMYFUNCTION("TRIM(JOIN("" "",UNIQUE(TOCOL(ARRAYFORMULA(IF( SPLIT(C397,"" "")=TOCOL(SPLIT(C396,"" "")),SPLIT(C397,"" "")&amp;"" "",""""))))))"),"JUAN")</f>
        <v>JUAN</v>
      </c>
      <c r="L397" s="2" t="str">
        <f t="shared" si="1"/>
        <v>-&gt;WITH THIS</v>
      </c>
      <c r="M397" s="2">
        <f t="shared" si="2"/>
        <v>394</v>
      </c>
      <c r="AY397" s="2" t="s">
        <v>683</v>
      </c>
    </row>
    <row r="398">
      <c r="A398" s="2">
        <f t="shared" si="3"/>
        <v>395</v>
      </c>
      <c r="B398" s="1" t="s">
        <v>226</v>
      </c>
      <c r="C398" s="2" t="s">
        <v>243</v>
      </c>
      <c r="D398" s="2" t="s">
        <v>222</v>
      </c>
      <c r="E398" s="2">
        <v>32.0</v>
      </c>
      <c r="F398" s="2" t="s">
        <v>194</v>
      </c>
      <c r="G398" s="2" t="str">
        <f t="shared" si="4"/>
        <v>misma edad</v>
      </c>
      <c r="H398" s="2" t="str">
        <f t="shared" si="5"/>
        <v/>
      </c>
      <c r="I398" s="2" t="str">
        <f t="shared" si="6"/>
        <v>mismo colegio</v>
      </c>
      <c r="J398" s="2" t="b">
        <f t="shared" si="7"/>
        <v>0</v>
      </c>
      <c r="K398" s="2" t="str">
        <f>IFERROR(__xludf.DUMMYFUNCTION("TRIM(JOIN("" "",UNIQUE(TOCOL(ARRAYFORMULA(IF( SPLIT(C398,"" "")=TOCOL(SPLIT(C397,"" "")),SPLIT(C398,"" "")&amp;"" "",""""))))))"),"JUAN DAVID QUISPE VARGAS")</f>
        <v>JUAN DAVID QUISPE VARGAS</v>
      </c>
      <c r="L398" s="2" t="str">
        <f t="shared" si="1"/>
        <v>EVALUAR</v>
      </c>
      <c r="M398" s="2">
        <f t="shared" si="2"/>
        <v>395</v>
      </c>
      <c r="AY398" s="2" t="s">
        <v>782</v>
      </c>
    </row>
    <row r="399">
      <c r="A399" s="2">
        <f t="shared" si="3"/>
        <v>396</v>
      </c>
      <c r="B399" s="1" t="s">
        <v>154</v>
      </c>
      <c r="C399" s="2" t="s">
        <v>505</v>
      </c>
      <c r="D399" s="2" t="s">
        <v>222</v>
      </c>
      <c r="E399" s="2">
        <v>31.0</v>
      </c>
      <c r="F399" s="2" t="s">
        <v>194</v>
      </c>
      <c r="G399" s="2" t="str">
        <f t="shared" si="4"/>
        <v/>
      </c>
      <c r="H399" s="2" t="str">
        <f t="shared" si="5"/>
        <v/>
      </c>
      <c r="I399" s="2" t="str">
        <f t="shared" si="6"/>
        <v/>
      </c>
      <c r="J399" s="2" t="b">
        <f t="shared" si="7"/>
        <v>1</v>
      </c>
      <c r="K399" s="2" t="str">
        <f>IFERROR(__xludf.DUMMYFUNCTION("TRIM(JOIN("" "",UNIQUE(TOCOL(ARRAYFORMULA(IF( SPLIT(C399,"" "")=TOCOL(SPLIT(C398,"" "")),SPLIT(C399,"" "")&amp;"" "",""""))))))"),"")</f>
        <v/>
      </c>
      <c r="L399" s="2" t="str">
        <f t="shared" si="1"/>
        <v/>
      </c>
      <c r="M399" s="2">
        <f t="shared" si="2"/>
        <v>396</v>
      </c>
      <c r="AY399" s="2" t="s">
        <v>1451</v>
      </c>
    </row>
    <row r="400">
      <c r="A400" s="2">
        <f t="shared" si="3"/>
        <v>397</v>
      </c>
      <c r="B400" s="1" t="s">
        <v>830</v>
      </c>
      <c r="C400" s="2" t="s">
        <v>856</v>
      </c>
      <c r="D400" s="2" t="s">
        <v>193</v>
      </c>
      <c r="E400" s="2">
        <v>30.0</v>
      </c>
      <c r="F400" s="2" t="s">
        <v>194</v>
      </c>
      <c r="G400" s="2" t="str">
        <f t="shared" si="4"/>
        <v/>
      </c>
      <c r="H400" s="2" t="str">
        <f t="shared" si="5"/>
        <v/>
      </c>
      <c r="I400" s="2" t="str">
        <f t="shared" si="6"/>
        <v/>
      </c>
      <c r="J400" s="2" t="b">
        <f t="shared" si="7"/>
        <v>1</v>
      </c>
      <c r="K400" s="2" t="str">
        <f>IFERROR(__xludf.DUMMYFUNCTION("TRIM(JOIN("" "",UNIQUE(TOCOL(ARRAYFORMULA(IF( SPLIT(C400,"" "")=TOCOL(SPLIT(C399,"" "")),SPLIT(C400,"" "")&amp;"" "",""""))))))"),"")</f>
        <v/>
      </c>
      <c r="L400" s="2" t="str">
        <f t="shared" si="1"/>
        <v/>
      </c>
      <c r="M400" s="2">
        <f t="shared" si="2"/>
        <v>397</v>
      </c>
      <c r="AY400" s="2" t="s">
        <v>1446</v>
      </c>
    </row>
    <row r="401">
      <c r="A401" s="2">
        <f t="shared" si="3"/>
        <v>398</v>
      </c>
      <c r="B401" s="1" t="s">
        <v>830</v>
      </c>
      <c r="C401" s="2" t="s">
        <v>856</v>
      </c>
      <c r="D401" s="2" t="s">
        <v>193</v>
      </c>
      <c r="E401" s="2">
        <v>31.0</v>
      </c>
      <c r="F401" s="2" t="s">
        <v>428</v>
      </c>
      <c r="G401" s="2" t="str">
        <f t="shared" si="4"/>
        <v/>
      </c>
      <c r="H401" s="2" t="str">
        <f t="shared" si="5"/>
        <v>mismo nombre</v>
      </c>
      <c r="I401" s="2" t="str">
        <f t="shared" si="6"/>
        <v>mismo colegio</v>
      </c>
      <c r="J401" s="2" t="b">
        <f t="shared" si="7"/>
        <v>0</v>
      </c>
      <c r="K401" s="2" t="str">
        <f>IFERROR(__xludf.DUMMYFUNCTION("TRIM(JOIN("" "",UNIQUE(TOCOL(ARRAYFORMULA(IF( SPLIT(C401,"" "")=TOCOL(SPLIT(C400,"" "")),SPLIT(C401,"" "")&amp;"" "",""""))))))"),"JIMENEZ JESÚS, MIRIAM")</f>
        <v>JIMENEZ JESÚS, MIRIAM</v>
      </c>
      <c r="L401" s="2" t="str">
        <f t="shared" si="1"/>
        <v/>
      </c>
      <c r="M401" s="2">
        <f t="shared" si="2"/>
        <v>397</v>
      </c>
      <c r="AY401" s="2" t="s">
        <v>1355</v>
      </c>
    </row>
    <row r="402">
      <c r="A402" s="2">
        <f t="shared" si="3"/>
        <v>399</v>
      </c>
      <c r="B402" s="1" t="s">
        <v>87</v>
      </c>
      <c r="C402" s="2" t="s">
        <v>436</v>
      </c>
      <c r="D402" s="2" t="s">
        <v>250</v>
      </c>
      <c r="E402" s="2">
        <v>27.0</v>
      </c>
      <c r="F402" s="2" t="s">
        <v>194</v>
      </c>
      <c r="G402" s="2" t="str">
        <f t="shared" si="4"/>
        <v/>
      </c>
      <c r="H402" s="2" t="str">
        <f t="shared" si="5"/>
        <v/>
      </c>
      <c r="I402" s="2" t="str">
        <f t="shared" si="6"/>
        <v/>
      </c>
      <c r="J402" s="2" t="b">
        <f t="shared" si="7"/>
        <v>0</v>
      </c>
      <c r="K402" s="2" t="str">
        <f>IFERROR(__xludf.DUMMYFUNCTION("TRIM(JOIN("" "",UNIQUE(TOCOL(ARRAYFORMULA(IF( SPLIT(C402,"" "")=TOCOL(SPLIT(C401,"" "")),SPLIT(C402,"" "")&amp;"" "",""""))))))"),"")</f>
        <v/>
      </c>
      <c r="L402" s="2" t="str">
        <f t="shared" si="1"/>
        <v/>
      </c>
      <c r="M402" s="2">
        <f t="shared" si="2"/>
        <v>399</v>
      </c>
      <c r="AY402" s="2" t="s">
        <v>346</v>
      </c>
    </row>
    <row r="403">
      <c r="A403" s="2">
        <f t="shared" si="3"/>
        <v>400</v>
      </c>
      <c r="B403" s="1" t="s">
        <v>87</v>
      </c>
      <c r="C403" s="2" t="s">
        <v>436</v>
      </c>
      <c r="D403" s="2" t="s">
        <v>222</v>
      </c>
      <c r="E403" s="2">
        <v>27.0</v>
      </c>
      <c r="F403" s="2" t="s">
        <v>428</v>
      </c>
      <c r="G403" s="2" t="str">
        <f t="shared" si="4"/>
        <v>misma edad</v>
      </c>
      <c r="H403" s="2" t="str">
        <f t="shared" si="5"/>
        <v>mismo nombre</v>
      </c>
      <c r="I403" s="2" t="str">
        <f t="shared" si="6"/>
        <v>mismo colegio</v>
      </c>
      <c r="J403" s="2" t="b">
        <f t="shared" si="7"/>
        <v>0</v>
      </c>
      <c r="K403" s="2" t="str">
        <f>IFERROR(__xludf.DUMMYFUNCTION("TRIM(JOIN("" "",UNIQUE(TOCOL(ARRAYFORMULA(IF( SPLIT(C403,"" "")=TOCOL(SPLIT(C402,"" "")),SPLIT(C403,"" "")&amp;"" "",""""))))))"),"JHON GARAY RIOS")</f>
        <v>JHON GARAY RIOS</v>
      </c>
      <c r="L403" s="2" t="str">
        <f t="shared" si="1"/>
        <v/>
      </c>
      <c r="M403" s="2">
        <f t="shared" si="2"/>
        <v>399</v>
      </c>
      <c r="AY403" s="2" t="s">
        <v>1427</v>
      </c>
    </row>
    <row r="404">
      <c r="A404" s="2">
        <f t="shared" si="3"/>
        <v>401</v>
      </c>
      <c r="B404" s="1" t="s">
        <v>928</v>
      </c>
      <c r="C404" s="2" t="s">
        <v>936</v>
      </c>
      <c r="D404" s="2" t="s">
        <v>193</v>
      </c>
      <c r="E404" s="2">
        <v>31.0</v>
      </c>
      <c r="F404" s="2" t="s">
        <v>194</v>
      </c>
      <c r="G404" s="2" t="str">
        <f t="shared" si="4"/>
        <v/>
      </c>
      <c r="H404" s="2" t="str">
        <f t="shared" si="5"/>
        <v/>
      </c>
      <c r="I404" s="2" t="str">
        <f t="shared" si="6"/>
        <v/>
      </c>
      <c r="J404" s="2" t="b">
        <f t="shared" si="7"/>
        <v>0</v>
      </c>
      <c r="K404" s="2" t="str">
        <f>IFERROR(__xludf.DUMMYFUNCTION("TRIM(JOIN("" "",UNIQUE(TOCOL(ARRAYFORMULA(IF( SPLIT(C404,"" "")=TOCOL(SPLIT(C403,"" "")),SPLIT(C404,"" "")&amp;"" "",""""))))))"),"")</f>
        <v/>
      </c>
      <c r="L404" s="2" t="str">
        <f t="shared" si="1"/>
        <v>-&gt;WITH THIS</v>
      </c>
      <c r="M404" s="2">
        <f t="shared" si="2"/>
        <v>401</v>
      </c>
      <c r="AY404" s="2" t="s">
        <v>796</v>
      </c>
    </row>
    <row r="405">
      <c r="A405" s="2">
        <f t="shared" si="3"/>
        <v>402</v>
      </c>
      <c r="B405" s="1" t="s">
        <v>928</v>
      </c>
      <c r="C405" s="2" t="s">
        <v>1320</v>
      </c>
      <c r="D405" s="2" t="s">
        <v>193</v>
      </c>
      <c r="E405" s="2">
        <v>31.0</v>
      </c>
      <c r="F405" s="2" t="s">
        <v>428</v>
      </c>
      <c r="G405" s="2" t="str">
        <f t="shared" si="4"/>
        <v>misma edad</v>
      </c>
      <c r="H405" s="2" t="str">
        <f t="shared" si="5"/>
        <v/>
      </c>
      <c r="I405" s="2" t="str">
        <f t="shared" si="6"/>
        <v>mismo colegio</v>
      </c>
      <c r="J405" s="2" t="b">
        <f t="shared" si="7"/>
        <v>0</v>
      </c>
      <c r="K405" s="2" t="str">
        <f>IFERROR(__xludf.DUMMYFUNCTION("TRIM(JOIN("" "",UNIQUE(TOCOL(ARRAYFORMULA(IF( SPLIT(C405,"" "")=TOCOL(SPLIT(C404,"" "")),SPLIT(C405,"" "")&amp;"" "",""""))))))"),"VALVERDE GREGORIO")</f>
        <v>VALVERDE GREGORIO</v>
      </c>
      <c r="L405" s="2" t="str">
        <f t="shared" si="1"/>
        <v>EVALUAR</v>
      </c>
      <c r="M405" s="2">
        <f t="shared" si="2"/>
        <v>402</v>
      </c>
      <c r="AY405" s="2" t="s">
        <v>786</v>
      </c>
    </row>
    <row r="406">
      <c r="A406" s="2">
        <f t="shared" si="3"/>
        <v>403</v>
      </c>
      <c r="B406" s="1" t="s">
        <v>968</v>
      </c>
      <c r="C406" s="2" t="s">
        <v>978</v>
      </c>
      <c r="D406" s="2" t="s">
        <v>193</v>
      </c>
      <c r="E406" s="2">
        <v>27.0</v>
      </c>
      <c r="F406" s="2" t="s">
        <v>194</v>
      </c>
      <c r="G406" s="2" t="str">
        <f t="shared" si="4"/>
        <v/>
      </c>
      <c r="H406" s="2" t="str">
        <f t="shared" si="5"/>
        <v/>
      </c>
      <c r="I406" s="2" t="str">
        <f t="shared" si="6"/>
        <v/>
      </c>
      <c r="J406" s="2" t="b">
        <f t="shared" si="7"/>
        <v>0</v>
      </c>
      <c r="K406" s="2" t="str">
        <f>IFERROR(__xludf.DUMMYFUNCTION("TRIM(JOIN("" "",UNIQUE(TOCOL(ARRAYFORMULA(IF( SPLIT(C406,"" "")=TOCOL(SPLIT(C405,"" "")),SPLIT(C406,"" "")&amp;"" "",""""))))))"),"")</f>
        <v/>
      </c>
      <c r="L406" s="2" t="str">
        <f t="shared" si="1"/>
        <v/>
      </c>
      <c r="M406" s="2">
        <f t="shared" si="2"/>
        <v>403</v>
      </c>
      <c r="AY406" s="2" t="s">
        <v>794</v>
      </c>
    </row>
    <row r="407">
      <c r="A407" s="2">
        <f t="shared" si="3"/>
        <v>404</v>
      </c>
      <c r="B407" s="1" t="s">
        <v>122</v>
      </c>
      <c r="C407" s="2" t="s">
        <v>454</v>
      </c>
      <c r="D407" s="2" t="s">
        <v>193</v>
      </c>
      <c r="E407" s="2"/>
      <c r="F407" s="2" t="s">
        <v>428</v>
      </c>
      <c r="G407" s="2" t="str">
        <f t="shared" si="4"/>
        <v/>
      </c>
      <c r="H407" s="2" t="str">
        <f t="shared" si="5"/>
        <v/>
      </c>
      <c r="I407" s="2" t="str">
        <f t="shared" si="6"/>
        <v/>
      </c>
      <c r="J407" s="2" t="b">
        <f t="shared" si="7"/>
        <v>0</v>
      </c>
      <c r="K407" s="2" t="str">
        <f>IFERROR(__xludf.DUMMYFUNCTION("TRIM(JOIN("" "",UNIQUE(TOCOL(ARRAYFORMULA(IF( SPLIT(C407,"" "")=TOCOL(SPLIT(C406,"" "")),SPLIT(C407,"" "")&amp;"" "",""""))))))"),"")</f>
        <v/>
      </c>
      <c r="L407" s="2" t="str">
        <f t="shared" si="1"/>
        <v/>
      </c>
      <c r="M407" s="2">
        <f t="shared" si="2"/>
        <v>404</v>
      </c>
      <c r="AY407" s="2" t="s">
        <v>1109</v>
      </c>
    </row>
    <row r="408">
      <c r="A408" s="2">
        <f t="shared" si="3"/>
        <v>405</v>
      </c>
      <c r="B408" s="1" t="s">
        <v>911</v>
      </c>
      <c r="C408" s="2" t="s">
        <v>1271</v>
      </c>
      <c r="D408" s="2" t="s">
        <v>193</v>
      </c>
      <c r="E408" s="2">
        <v>48.0</v>
      </c>
      <c r="F408" s="2" t="s">
        <v>428</v>
      </c>
      <c r="G408" s="2" t="str">
        <f t="shared" si="4"/>
        <v/>
      </c>
      <c r="H408" s="2" t="str">
        <f t="shared" si="5"/>
        <v/>
      </c>
      <c r="I408" s="2" t="str">
        <f t="shared" si="6"/>
        <v/>
      </c>
      <c r="J408" s="2" t="b">
        <f t="shared" si="7"/>
        <v>1</v>
      </c>
      <c r="K408" s="2" t="str">
        <f>IFERROR(__xludf.DUMMYFUNCTION("TRIM(JOIN("" "",UNIQUE(TOCOL(ARRAYFORMULA(IF( SPLIT(C408,"" "")=TOCOL(SPLIT(C407,"" "")),SPLIT(C408,"" "")&amp;"" "",""""))))))"),"")</f>
        <v/>
      </c>
      <c r="L408" s="2" t="str">
        <f t="shared" si="1"/>
        <v/>
      </c>
      <c r="M408" s="2">
        <f t="shared" si="2"/>
        <v>405</v>
      </c>
      <c r="AY408" s="2" t="s">
        <v>576</v>
      </c>
    </row>
    <row r="409">
      <c r="A409" s="2">
        <f t="shared" si="3"/>
        <v>406</v>
      </c>
      <c r="B409" s="1" t="s">
        <v>457</v>
      </c>
      <c r="C409" s="2" t="s">
        <v>491</v>
      </c>
      <c r="D409" s="2" t="s">
        <v>193</v>
      </c>
      <c r="E409" s="2"/>
      <c r="F409" s="2" t="s">
        <v>428</v>
      </c>
      <c r="G409" s="2" t="str">
        <f t="shared" si="4"/>
        <v/>
      </c>
      <c r="H409" s="2" t="str">
        <f t="shared" si="5"/>
        <v/>
      </c>
      <c r="I409" s="2" t="str">
        <f t="shared" si="6"/>
        <v/>
      </c>
      <c r="J409" s="2" t="b">
        <f t="shared" si="7"/>
        <v>1</v>
      </c>
      <c r="K409" s="2" t="str">
        <f>IFERROR(__xludf.DUMMYFUNCTION("TRIM(JOIN("" "",UNIQUE(TOCOL(ARRAYFORMULA(IF( SPLIT(C409,"" "")=TOCOL(SPLIT(C408,"" "")),SPLIT(C409,"" "")&amp;"" "",""""))))))"),"")</f>
        <v/>
      </c>
      <c r="L409" s="2" t="str">
        <f t="shared" si="1"/>
        <v/>
      </c>
      <c r="M409" s="2">
        <f t="shared" si="2"/>
        <v>406</v>
      </c>
      <c r="AY409" s="2" t="s">
        <v>1140</v>
      </c>
    </row>
    <row r="410">
      <c r="A410" s="2">
        <f t="shared" si="3"/>
        <v>407</v>
      </c>
      <c r="B410" s="1" t="s">
        <v>144</v>
      </c>
      <c r="C410" s="2" t="s">
        <v>568</v>
      </c>
      <c r="D410" s="2" t="s">
        <v>193</v>
      </c>
      <c r="E410" s="2"/>
      <c r="F410" s="2" t="s">
        <v>194</v>
      </c>
      <c r="G410" s="2" t="str">
        <f t="shared" si="4"/>
        <v>misma edad</v>
      </c>
      <c r="H410" s="2" t="str">
        <f t="shared" si="5"/>
        <v/>
      </c>
      <c r="I410" s="2" t="str">
        <f t="shared" si="6"/>
        <v/>
      </c>
      <c r="J410" s="2" t="b">
        <f t="shared" si="7"/>
        <v>0</v>
      </c>
      <c r="K410" s="2" t="str">
        <f>IFERROR(__xludf.DUMMYFUNCTION("TRIM(JOIN("" "",UNIQUE(TOCOL(ARRAYFORMULA(IF( SPLIT(C410,"" "")=TOCOL(SPLIT(C409,"" "")),SPLIT(C410,"" "")&amp;"" "",""""))))))"),"JAVIER")</f>
        <v>JAVIER</v>
      </c>
      <c r="L410" s="2" t="str">
        <f t="shared" si="1"/>
        <v/>
      </c>
      <c r="M410" s="2">
        <f t="shared" si="2"/>
        <v>407</v>
      </c>
      <c r="AY410" s="2" t="s">
        <v>539</v>
      </c>
    </row>
    <row r="411">
      <c r="A411" s="2">
        <f t="shared" si="3"/>
        <v>408</v>
      </c>
      <c r="B411" s="1" t="s">
        <v>226</v>
      </c>
      <c r="C411" s="2" t="s">
        <v>275</v>
      </c>
      <c r="D411" s="2" t="s">
        <v>193</v>
      </c>
      <c r="E411" s="2">
        <v>27.0</v>
      </c>
      <c r="F411" s="2" t="s">
        <v>194</v>
      </c>
      <c r="G411" s="2" t="str">
        <f t="shared" si="4"/>
        <v/>
      </c>
      <c r="H411" s="2" t="str">
        <f t="shared" si="5"/>
        <v/>
      </c>
      <c r="I411" s="2" t="str">
        <f t="shared" si="6"/>
        <v/>
      </c>
      <c r="J411" s="2" t="b">
        <f t="shared" si="7"/>
        <v>1</v>
      </c>
      <c r="K411" s="2" t="str">
        <f>IFERROR(__xludf.DUMMYFUNCTION("TRIM(JOIN("" "",UNIQUE(TOCOL(ARRAYFORMULA(IF( SPLIT(C411,"" "")=TOCOL(SPLIT(C410,"" "")),SPLIT(C411,"" "")&amp;"" "",""""))))))"),"")</f>
        <v/>
      </c>
      <c r="L411" s="2" t="str">
        <f t="shared" si="1"/>
        <v/>
      </c>
      <c r="M411" s="2">
        <f t="shared" si="2"/>
        <v>408</v>
      </c>
      <c r="AY411" s="2" t="s">
        <v>708</v>
      </c>
    </row>
    <row r="412">
      <c r="A412" s="2">
        <f t="shared" si="3"/>
        <v>409</v>
      </c>
      <c r="B412" s="1" t="s">
        <v>226</v>
      </c>
      <c r="C412" s="2" t="s">
        <v>275</v>
      </c>
      <c r="D412" s="2" t="s">
        <v>193</v>
      </c>
      <c r="E412" s="2">
        <v>27.0</v>
      </c>
      <c r="F412" s="2" t="s">
        <v>428</v>
      </c>
      <c r="G412" s="2" t="str">
        <f t="shared" si="4"/>
        <v>misma edad</v>
      </c>
      <c r="H412" s="2" t="str">
        <f t="shared" si="5"/>
        <v>mismo nombre</v>
      </c>
      <c r="I412" s="2" t="str">
        <f t="shared" si="6"/>
        <v>mismo colegio</v>
      </c>
      <c r="J412" s="2" t="b">
        <f t="shared" si="7"/>
        <v>0</v>
      </c>
      <c r="K412" s="2" t="str">
        <f>IFERROR(__xludf.DUMMYFUNCTION("TRIM(JOIN("" "",UNIQUE(TOCOL(ARRAYFORMULA(IF( SPLIT(C412,"" "")=TOCOL(SPLIT(C411,"" "")),SPLIT(C412,"" "")&amp;"" "",""""))))))"),"JASMINA PALACIOS GAMARRA")</f>
        <v>JASMINA PALACIOS GAMARRA</v>
      </c>
      <c r="L412" s="2" t="str">
        <f t="shared" si="1"/>
        <v/>
      </c>
      <c r="M412" s="2">
        <f t="shared" si="2"/>
        <v>408</v>
      </c>
      <c r="AY412" s="2" t="s">
        <v>1155</v>
      </c>
    </row>
    <row r="413">
      <c r="A413" s="2">
        <f t="shared" si="3"/>
        <v>410</v>
      </c>
      <c r="B413" s="1" t="s">
        <v>830</v>
      </c>
      <c r="C413" s="2" t="s">
        <v>860</v>
      </c>
      <c r="D413" s="2" t="s">
        <v>193</v>
      </c>
      <c r="E413" s="2">
        <v>32.0</v>
      </c>
      <c r="F413" s="2" t="s">
        <v>194</v>
      </c>
      <c r="G413" s="2" t="str">
        <f t="shared" si="4"/>
        <v/>
      </c>
      <c r="H413" s="2" t="str">
        <f t="shared" si="5"/>
        <v/>
      </c>
      <c r="I413" s="2" t="str">
        <f t="shared" si="6"/>
        <v/>
      </c>
      <c r="J413" s="2" t="b">
        <f t="shared" si="7"/>
        <v>0</v>
      </c>
      <c r="K413" s="2" t="str">
        <f>IFERROR(__xludf.DUMMYFUNCTION("TRIM(JOIN("" "",UNIQUE(TOCOL(ARRAYFORMULA(IF( SPLIT(C413,"" "")=TOCOL(SPLIT(C412,"" "")),SPLIT(C413,"" "")&amp;"" "",""""))))))"),"")</f>
        <v/>
      </c>
      <c r="L413" s="2" t="str">
        <f t="shared" si="1"/>
        <v/>
      </c>
      <c r="M413" s="2">
        <f t="shared" si="2"/>
        <v>410</v>
      </c>
      <c r="AY413" s="2" t="s">
        <v>514</v>
      </c>
    </row>
    <row r="414">
      <c r="A414" s="2">
        <f t="shared" si="3"/>
        <v>411</v>
      </c>
      <c r="B414" s="1" t="s">
        <v>87</v>
      </c>
      <c r="C414" s="2" t="s">
        <v>438</v>
      </c>
      <c r="D414" s="2" t="s">
        <v>193</v>
      </c>
      <c r="E414" s="2">
        <v>27.0</v>
      </c>
      <c r="F414" s="2" t="s">
        <v>194</v>
      </c>
      <c r="G414" s="2" t="str">
        <f t="shared" si="4"/>
        <v/>
      </c>
      <c r="H414" s="2" t="str">
        <f t="shared" si="5"/>
        <v/>
      </c>
      <c r="I414" s="2" t="str">
        <f t="shared" si="6"/>
        <v/>
      </c>
      <c r="J414" s="2" t="b">
        <f t="shared" si="7"/>
        <v>1</v>
      </c>
      <c r="K414" s="2" t="str">
        <f>IFERROR(__xludf.DUMMYFUNCTION("TRIM(JOIN("" "",UNIQUE(TOCOL(ARRAYFORMULA(IF( SPLIT(C414,"" "")=TOCOL(SPLIT(C413,"" "")),SPLIT(C414,"" "")&amp;"" "",""""))))))"),"")</f>
        <v/>
      </c>
      <c r="L414" s="2" t="str">
        <f t="shared" si="1"/>
        <v/>
      </c>
      <c r="M414" s="2">
        <f t="shared" si="2"/>
        <v>411</v>
      </c>
      <c r="AY414" s="2" t="s">
        <v>653</v>
      </c>
    </row>
    <row r="415">
      <c r="A415" s="2">
        <f t="shared" si="3"/>
        <v>412</v>
      </c>
      <c r="B415" s="1" t="s">
        <v>87</v>
      </c>
      <c r="C415" s="2" t="s">
        <v>438</v>
      </c>
      <c r="D415" s="2" t="s">
        <v>193</v>
      </c>
      <c r="E415" s="2">
        <v>27.0</v>
      </c>
      <c r="F415" s="2" t="s">
        <v>428</v>
      </c>
      <c r="G415" s="2" t="str">
        <f t="shared" si="4"/>
        <v>misma edad</v>
      </c>
      <c r="H415" s="2" t="str">
        <f t="shared" si="5"/>
        <v>mismo nombre</v>
      </c>
      <c r="I415" s="2" t="str">
        <f t="shared" si="6"/>
        <v>mismo colegio</v>
      </c>
      <c r="J415" s="2" t="b">
        <f t="shared" si="7"/>
        <v>0</v>
      </c>
      <c r="K415" s="2" t="str">
        <f>IFERROR(__xludf.DUMMYFUNCTION("TRIM(JOIN("" "",UNIQUE(TOCOL(ARRAYFORMULA(IF( SPLIT(C415,"" "")=TOCOL(SPLIT(C414,"" "")),SPLIT(C415,"" "")&amp;"" "",""""))))))"),"JANETH FERNANDEZ")</f>
        <v>JANETH FERNANDEZ</v>
      </c>
      <c r="L415" s="2" t="str">
        <f t="shared" si="1"/>
        <v/>
      </c>
      <c r="M415" s="2">
        <f t="shared" si="2"/>
        <v>411</v>
      </c>
      <c r="AY415" s="2" t="s">
        <v>665</v>
      </c>
    </row>
    <row r="416">
      <c r="A416" s="2">
        <f t="shared" si="3"/>
        <v>413</v>
      </c>
      <c r="B416" s="1" t="s">
        <v>226</v>
      </c>
      <c r="C416" s="2" t="s">
        <v>252</v>
      </c>
      <c r="D416" s="2" t="s">
        <v>193</v>
      </c>
      <c r="E416" s="2">
        <v>32.0</v>
      </c>
      <c r="F416" s="2" t="s">
        <v>194</v>
      </c>
      <c r="G416" s="2" t="str">
        <f t="shared" si="4"/>
        <v/>
      </c>
      <c r="H416" s="2" t="str">
        <f t="shared" si="5"/>
        <v/>
      </c>
      <c r="I416" s="2" t="str">
        <f t="shared" si="6"/>
        <v/>
      </c>
      <c r="J416" s="2" t="b">
        <f t="shared" si="7"/>
        <v>0</v>
      </c>
      <c r="K416" s="2" t="str">
        <f>IFERROR(__xludf.DUMMYFUNCTION("TRIM(JOIN("" "",UNIQUE(TOCOL(ARRAYFORMULA(IF( SPLIT(C416,"" "")=TOCOL(SPLIT(C415,"" "")),SPLIT(C416,"" "")&amp;"" "",""""))))))"),"")</f>
        <v/>
      </c>
      <c r="L416" s="2" t="str">
        <f t="shared" si="1"/>
        <v/>
      </c>
      <c r="M416" s="2">
        <f t="shared" si="2"/>
        <v>413</v>
      </c>
      <c r="AY416" s="2" t="s">
        <v>767</v>
      </c>
    </row>
    <row r="417">
      <c r="A417" s="2">
        <f t="shared" si="3"/>
        <v>414</v>
      </c>
      <c r="B417" s="1" t="s">
        <v>226</v>
      </c>
      <c r="C417" s="2" t="s">
        <v>252</v>
      </c>
      <c r="D417" s="2" t="s">
        <v>193</v>
      </c>
      <c r="E417" s="2">
        <v>32.0</v>
      </c>
      <c r="F417" s="2" t="s">
        <v>428</v>
      </c>
      <c r="G417" s="2" t="str">
        <f t="shared" si="4"/>
        <v>misma edad</v>
      </c>
      <c r="H417" s="2" t="str">
        <f t="shared" si="5"/>
        <v>mismo nombre</v>
      </c>
      <c r="I417" s="2" t="str">
        <f t="shared" si="6"/>
        <v>mismo colegio</v>
      </c>
      <c r="J417" s="2" t="b">
        <f t="shared" si="7"/>
        <v>0</v>
      </c>
      <c r="K417" s="2" t="str">
        <f>IFERROR(__xludf.DUMMYFUNCTION("TRIM(JOIN("" "",UNIQUE(TOCOL(ARRAYFORMULA(IF( SPLIT(C417,"" "")=TOCOL(SPLIT(C416,"" "")),SPLIT(C417,"" "")&amp;"" "",""""))))))"),"JAKELINE GUERRA ALFARO")</f>
        <v>JAKELINE GUERRA ALFARO</v>
      </c>
      <c r="L417" s="2" t="str">
        <f t="shared" si="1"/>
        <v/>
      </c>
      <c r="M417" s="2">
        <f t="shared" si="2"/>
        <v>413</v>
      </c>
      <c r="AY417" s="2" t="s">
        <v>698</v>
      </c>
    </row>
    <row r="418">
      <c r="A418" s="2">
        <f t="shared" si="3"/>
        <v>415</v>
      </c>
      <c r="B418" s="1" t="s">
        <v>801</v>
      </c>
      <c r="C418" s="2" t="s">
        <v>805</v>
      </c>
      <c r="D418" s="2" t="s">
        <v>222</v>
      </c>
      <c r="E418" s="2">
        <v>45.0</v>
      </c>
      <c r="F418" s="2" t="s">
        <v>194</v>
      </c>
      <c r="G418" s="2" t="str">
        <f t="shared" si="4"/>
        <v/>
      </c>
      <c r="H418" s="2" t="str">
        <f t="shared" si="5"/>
        <v/>
      </c>
      <c r="I418" s="2" t="str">
        <f t="shared" si="6"/>
        <v/>
      </c>
      <c r="J418" s="2" t="b">
        <f t="shared" si="7"/>
        <v>0</v>
      </c>
      <c r="K418" s="2" t="str">
        <f>IFERROR(__xludf.DUMMYFUNCTION("TRIM(JOIN("" "",UNIQUE(TOCOL(ARRAYFORMULA(IF( SPLIT(C418,"" "")=TOCOL(SPLIT(C417,"" "")),SPLIT(C418,"" "")&amp;"" "",""""))))))"),"")</f>
        <v/>
      </c>
      <c r="L418" s="2" t="str">
        <f t="shared" si="1"/>
        <v/>
      </c>
      <c r="M418" s="2">
        <f t="shared" si="2"/>
        <v>415</v>
      </c>
      <c r="AY418" s="2" t="s">
        <v>755</v>
      </c>
    </row>
    <row r="419">
      <c r="A419" s="2">
        <f t="shared" si="3"/>
        <v>416</v>
      </c>
      <c r="B419" s="1" t="s">
        <v>928</v>
      </c>
      <c r="C419" s="2" t="s">
        <v>932</v>
      </c>
      <c r="D419" s="2" t="s">
        <v>193</v>
      </c>
      <c r="E419" s="40"/>
      <c r="F419" s="2" t="s">
        <v>194</v>
      </c>
      <c r="G419" s="2" t="str">
        <f t="shared" si="4"/>
        <v/>
      </c>
      <c r="H419" s="2" t="str">
        <f t="shared" si="5"/>
        <v/>
      </c>
      <c r="I419" s="2" t="str">
        <f t="shared" si="6"/>
        <v/>
      </c>
      <c r="J419" s="2" t="b">
        <f t="shared" si="7"/>
        <v>1</v>
      </c>
      <c r="K419" s="2" t="str">
        <f>IFERROR(__xludf.DUMMYFUNCTION("TRIM(JOIN("" "",UNIQUE(TOCOL(ARRAYFORMULA(IF( SPLIT(C419,"" "")=TOCOL(SPLIT(C418,"" "")),SPLIT(C419,"" "")&amp;"" "",""""))))))"),"")</f>
        <v/>
      </c>
      <c r="L419" s="2" t="str">
        <f t="shared" si="1"/>
        <v/>
      </c>
      <c r="M419" s="2">
        <f t="shared" si="2"/>
        <v>416</v>
      </c>
      <c r="AY419" s="2" t="s">
        <v>689</v>
      </c>
    </row>
    <row r="420">
      <c r="A420" s="2">
        <f t="shared" si="3"/>
        <v>417</v>
      </c>
      <c r="B420" s="1" t="s">
        <v>928</v>
      </c>
      <c r="C420" s="2" t="s">
        <v>1328</v>
      </c>
      <c r="D420" s="2" t="s">
        <v>193</v>
      </c>
      <c r="E420" s="2">
        <v>38.0</v>
      </c>
      <c r="F420" s="2" t="s">
        <v>428</v>
      </c>
      <c r="G420" s="2" t="str">
        <f t="shared" si="4"/>
        <v/>
      </c>
      <c r="H420" s="2" t="str">
        <f t="shared" si="5"/>
        <v/>
      </c>
      <c r="I420" s="2" t="str">
        <f t="shared" si="6"/>
        <v>mismo colegio</v>
      </c>
      <c r="J420" s="2" t="b">
        <f t="shared" si="7"/>
        <v>0</v>
      </c>
      <c r="K420" s="2" t="str">
        <f>IFERROR(__xludf.DUMMYFUNCTION("TRIM(JOIN("" "",UNIQUE(TOCOL(ARRAYFORMULA(IF( SPLIT(C420,"" "")=TOCOL(SPLIT(C419,"" "")),SPLIT(C420,"" "")&amp;"" "",""""))))))"),"IRMA ABARCA")</f>
        <v>IRMA ABARCA</v>
      </c>
      <c r="L420" s="2" t="str">
        <f t="shared" si="1"/>
        <v/>
      </c>
      <c r="M420" s="2">
        <f t="shared" si="2"/>
        <v>417</v>
      </c>
      <c r="AY420" s="2" t="s">
        <v>671</v>
      </c>
    </row>
    <row r="421">
      <c r="A421" s="2">
        <f t="shared" si="3"/>
        <v>418</v>
      </c>
      <c r="B421" s="1" t="s">
        <v>457</v>
      </c>
      <c r="C421" s="2" t="s">
        <v>469</v>
      </c>
      <c r="D421" s="2" t="s">
        <v>193</v>
      </c>
      <c r="E421" s="2">
        <v>40.0</v>
      </c>
      <c r="F421" s="2" t="s">
        <v>194</v>
      </c>
      <c r="G421" s="2" t="str">
        <f t="shared" si="4"/>
        <v/>
      </c>
      <c r="H421" s="2" t="str">
        <f t="shared" si="5"/>
        <v/>
      </c>
      <c r="I421" s="2" t="str">
        <f t="shared" si="6"/>
        <v/>
      </c>
      <c r="J421" s="2" t="b">
        <f t="shared" si="7"/>
        <v>0</v>
      </c>
      <c r="K421" s="2" t="str">
        <f>IFERROR(__xludf.DUMMYFUNCTION("TRIM(JOIN("" "",UNIQUE(TOCOL(ARRAYFORMULA(IF( SPLIT(C421,"" "")=TOCOL(SPLIT(C420,"" "")),SPLIT(C421,"" "")&amp;"" "",""""))))))"),"")</f>
        <v/>
      </c>
      <c r="L421" s="2" t="str">
        <f t="shared" si="1"/>
        <v/>
      </c>
      <c r="M421" s="2">
        <f t="shared" si="2"/>
        <v>418</v>
      </c>
      <c r="AY421" s="2" t="s">
        <v>659</v>
      </c>
    </row>
    <row r="422">
      <c r="A422" s="2">
        <f t="shared" si="3"/>
        <v>419</v>
      </c>
      <c r="B422" s="1" t="s">
        <v>457</v>
      </c>
      <c r="C422" s="2" t="s">
        <v>469</v>
      </c>
      <c r="D422" s="2" t="s">
        <v>193</v>
      </c>
      <c r="E422" s="2">
        <v>40.0</v>
      </c>
      <c r="F422" s="2" t="s">
        <v>428</v>
      </c>
      <c r="G422" s="2" t="str">
        <f t="shared" si="4"/>
        <v>misma edad</v>
      </c>
      <c r="H422" s="2" t="str">
        <f t="shared" si="5"/>
        <v>mismo nombre</v>
      </c>
      <c r="I422" s="2" t="str">
        <f t="shared" si="6"/>
        <v>mismo colegio</v>
      </c>
      <c r="J422" s="2" t="b">
        <f t="shared" si="7"/>
        <v>0</v>
      </c>
      <c r="K422" s="2" t="str">
        <f>IFERROR(__xludf.DUMMYFUNCTION("TRIM(JOIN("" "",UNIQUE(TOCOL(ARRAYFORMULA(IF( SPLIT(C422,"" "")=TOCOL(SPLIT(C421,"" "")),SPLIT(C422,"" "")&amp;"" "",""""))))))"),"IRCELIA PEÑA FERNANDEZ")</f>
        <v>IRCELIA PEÑA FERNANDEZ</v>
      </c>
      <c r="L422" s="2" t="str">
        <f t="shared" si="1"/>
        <v/>
      </c>
      <c r="M422" s="2">
        <f t="shared" si="2"/>
        <v>418</v>
      </c>
      <c r="AY422" s="2" t="s">
        <v>905</v>
      </c>
    </row>
    <row r="423">
      <c r="A423" s="2">
        <f t="shared" si="3"/>
        <v>420</v>
      </c>
      <c r="B423" s="1" t="s">
        <v>693</v>
      </c>
      <c r="C423" s="2" t="s">
        <v>1362</v>
      </c>
      <c r="D423" s="2" t="s">
        <v>193</v>
      </c>
      <c r="E423" s="2">
        <v>30.0</v>
      </c>
      <c r="F423" s="2" t="s">
        <v>428</v>
      </c>
      <c r="G423" s="2" t="str">
        <f t="shared" si="4"/>
        <v/>
      </c>
      <c r="H423" s="2" t="str">
        <f t="shared" si="5"/>
        <v/>
      </c>
      <c r="I423" s="2" t="str">
        <f t="shared" si="6"/>
        <v/>
      </c>
      <c r="J423" s="2" t="b">
        <f t="shared" si="7"/>
        <v>1</v>
      </c>
      <c r="K423" s="2" t="str">
        <f>IFERROR(__xludf.DUMMYFUNCTION("TRIM(JOIN("" "",UNIQUE(TOCOL(ARRAYFORMULA(IF( SPLIT(C423,"" "")=TOCOL(SPLIT(C422,"" "")),SPLIT(C423,"" "")&amp;"" "",""""))))))"),"")</f>
        <v/>
      </c>
      <c r="L423" s="2" t="str">
        <f t="shared" si="1"/>
        <v/>
      </c>
      <c r="M423" s="2">
        <f t="shared" si="2"/>
        <v>420</v>
      </c>
      <c r="AY423" s="2" t="s">
        <v>1188</v>
      </c>
    </row>
    <row r="424">
      <c r="A424" s="2">
        <f t="shared" si="3"/>
        <v>421</v>
      </c>
      <c r="B424" s="1" t="s">
        <v>626</v>
      </c>
      <c r="C424" s="2" t="s">
        <v>1343</v>
      </c>
      <c r="D424" s="2" t="s">
        <v>193</v>
      </c>
      <c r="E424" s="2">
        <v>43.0</v>
      </c>
      <c r="F424" s="2" t="s">
        <v>428</v>
      </c>
      <c r="G424" s="2" t="str">
        <f t="shared" si="4"/>
        <v/>
      </c>
      <c r="H424" s="2" t="str">
        <f t="shared" si="5"/>
        <v/>
      </c>
      <c r="I424" s="2" t="str">
        <f t="shared" si="6"/>
        <v/>
      </c>
      <c r="J424" s="2" t="b">
        <f t="shared" si="7"/>
        <v>1</v>
      </c>
      <c r="K424" s="2" t="str">
        <f>IFERROR(__xludf.DUMMYFUNCTION("TRIM(JOIN("" "",UNIQUE(TOCOL(ARRAYFORMULA(IF( SPLIT(C424,"" "")=TOCOL(SPLIT(C423,"" "")),SPLIT(C424,"" "")&amp;"" "",""""))))))"),"")</f>
        <v/>
      </c>
      <c r="L424" s="2" t="str">
        <f t="shared" si="1"/>
        <v/>
      </c>
      <c r="M424" s="2">
        <f t="shared" si="2"/>
        <v>421</v>
      </c>
      <c r="AY424" s="2" t="s">
        <v>1206</v>
      </c>
    </row>
    <row r="425">
      <c r="A425" s="2">
        <f t="shared" si="3"/>
        <v>422</v>
      </c>
      <c r="B425" s="1" t="s">
        <v>457</v>
      </c>
      <c r="C425" s="2" t="s">
        <v>466</v>
      </c>
      <c r="D425" s="2" t="s">
        <v>193</v>
      </c>
      <c r="E425" s="40"/>
      <c r="F425" s="2" t="s">
        <v>194</v>
      </c>
      <c r="G425" s="2" t="str">
        <f t="shared" si="4"/>
        <v/>
      </c>
      <c r="H425" s="2" t="str">
        <f t="shared" si="5"/>
        <v/>
      </c>
      <c r="I425" s="2" t="str">
        <f t="shared" si="6"/>
        <v/>
      </c>
      <c r="J425" s="2" t="b">
        <f t="shared" si="7"/>
        <v>0</v>
      </c>
      <c r="K425" s="2" t="str">
        <f>IFERROR(__xludf.DUMMYFUNCTION("TRIM(JOIN("" "",UNIQUE(TOCOL(ARRAYFORMULA(IF( SPLIT(C425,"" "")=TOCOL(SPLIT(C424,"" "")),SPLIT(C425,"" "")&amp;"" "",""""))))))"),"")</f>
        <v/>
      </c>
      <c r="L425" s="2" t="str">
        <f t="shared" si="1"/>
        <v/>
      </c>
      <c r="M425" s="2">
        <f t="shared" si="2"/>
        <v>422</v>
      </c>
      <c r="AY425" s="2" t="s">
        <v>1270</v>
      </c>
    </row>
    <row r="426">
      <c r="A426" s="2">
        <f t="shared" si="3"/>
        <v>423</v>
      </c>
      <c r="B426" s="1" t="s">
        <v>457</v>
      </c>
      <c r="C426" s="2" t="s">
        <v>466</v>
      </c>
      <c r="D426" s="2" t="s">
        <v>193</v>
      </c>
      <c r="E426" s="40"/>
      <c r="F426" s="2" t="s">
        <v>428</v>
      </c>
      <c r="G426" s="2" t="str">
        <f t="shared" si="4"/>
        <v>misma edad</v>
      </c>
      <c r="H426" s="2" t="str">
        <f t="shared" si="5"/>
        <v>mismo nombre</v>
      </c>
      <c r="I426" s="2" t="str">
        <f t="shared" si="6"/>
        <v>mismo colegio</v>
      </c>
      <c r="J426" s="2" t="b">
        <f t="shared" si="7"/>
        <v>0</v>
      </c>
      <c r="K426" s="2" t="str">
        <f>IFERROR(__xludf.DUMMYFUNCTION("TRIM(JOIN("" "",UNIQUE(TOCOL(ARRAYFORMULA(IF( SPLIT(C426,"" "")=TOCOL(SPLIT(C425,"" "")),SPLIT(C426,"" "")&amp;"" "",""""))))))"),"ILDA UGARTE FERNANDEZ")</f>
        <v>ILDA UGARTE FERNANDEZ</v>
      </c>
      <c r="L426" s="2" t="str">
        <f t="shared" si="1"/>
        <v/>
      </c>
      <c r="M426" s="2">
        <f t="shared" si="2"/>
        <v>422</v>
      </c>
      <c r="AY426" s="2" t="s">
        <v>623</v>
      </c>
    </row>
    <row r="427">
      <c r="A427" s="2">
        <f t="shared" si="3"/>
        <v>424</v>
      </c>
      <c r="B427" s="1" t="s">
        <v>457</v>
      </c>
      <c r="C427" s="2" t="s">
        <v>474</v>
      </c>
      <c r="D427" s="2" t="s">
        <v>193</v>
      </c>
      <c r="E427" s="2">
        <v>29.0</v>
      </c>
      <c r="F427" s="2" t="s">
        <v>194</v>
      </c>
      <c r="G427" s="2" t="str">
        <f t="shared" si="4"/>
        <v/>
      </c>
      <c r="H427" s="2" t="str">
        <f t="shared" si="5"/>
        <v/>
      </c>
      <c r="I427" s="2" t="str">
        <f t="shared" si="6"/>
        <v>mismo colegio</v>
      </c>
      <c r="J427" s="2" t="b">
        <f t="shared" si="7"/>
        <v>0</v>
      </c>
      <c r="K427" s="2" t="str">
        <f>IFERROR(__xludf.DUMMYFUNCTION("TRIM(JOIN("" "",UNIQUE(TOCOL(ARRAYFORMULA(IF( SPLIT(C427,"" "")=TOCOL(SPLIT(C426,"" "")),SPLIT(C427,"" "")&amp;"" "",""""))))))"),"")</f>
        <v/>
      </c>
      <c r="L427" s="2" t="str">
        <f t="shared" si="1"/>
        <v/>
      </c>
      <c r="M427" s="2">
        <f t="shared" si="2"/>
        <v>424</v>
      </c>
      <c r="AY427" s="2" t="s">
        <v>919</v>
      </c>
    </row>
    <row r="428">
      <c r="A428" s="2">
        <f t="shared" si="3"/>
        <v>425</v>
      </c>
      <c r="B428" s="1" t="s">
        <v>457</v>
      </c>
      <c r="C428" s="2" t="s">
        <v>474</v>
      </c>
      <c r="D428" s="2" t="s">
        <v>193</v>
      </c>
      <c r="E428" s="2">
        <v>29.0</v>
      </c>
      <c r="F428" s="2" t="s">
        <v>428</v>
      </c>
      <c r="G428" s="2" t="str">
        <f t="shared" si="4"/>
        <v>misma edad</v>
      </c>
      <c r="H428" s="2" t="str">
        <f t="shared" si="5"/>
        <v>mismo nombre</v>
      </c>
      <c r="I428" s="2" t="str">
        <f t="shared" si="6"/>
        <v>mismo colegio</v>
      </c>
      <c r="J428" s="2" t="b">
        <f t="shared" si="7"/>
        <v>0</v>
      </c>
      <c r="K428" s="2" t="str">
        <f>IFERROR(__xludf.DUMMYFUNCTION("TRIM(JOIN("" "",UNIQUE(TOCOL(ARRAYFORMULA(IF( SPLIT(C428,"" "")=TOCOL(SPLIT(C427,"" "")),SPLIT(C428,"" "")&amp;"" "",""""))))))"),"IDA AQUINO GARAY")</f>
        <v>IDA AQUINO GARAY</v>
      </c>
      <c r="L428" s="2" t="str">
        <f t="shared" si="1"/>
        <v/>
      </c>
      <c r="M428" s="2">
        <f t="shared" si="2"/>
        <v>424</v>
      </c>
      <c r="AY428" s="2" t="s">
        <v>629</v>
      </c>
    </row>
    <row r="429">
      <c r="A429" s="2">
        <f t="shared" si="3"/>
        <v>426</v>
      </c>
      <c r="B429" s="1" t="s">
        <v>595</v>
      </c>
      <c r="C429" s="2" t="s">
        <v>622</v>
      </c>
      <c r="D429" s="2" t="s">
        <v>193</v>
      </c>
      <c r="E429" s="2">
        <v>38.0</v>
      </c>
      <c r="F429" s="2" t="s">
        <v>194</v>
      </c>
      <c r="G429" s="2" t="str">
        <f t="shared" si="4"/>
        <v/>
      </c>
      <c r="H429" s="2" t="str">
        <f t="shared" si="5"/>
        <v/>
      </c>
      <c r="I429" s="2" t="str">
        <f t="shared" si="6"/>
        <v/>
      </c>
      <c r="J429" s="2" t="b">
        <f t="shared" si="7"/>
        <v>0</v>
      </c>
      <c r="K429" s="2" t="str">
        <f>IFERROR(__xludf.DUMMYFUNCTION("TRIM(JOIN("" "",UNIQUE(TOCOL(ARRAYFORMULA(IF( SPLIT(C429,"" "")=TOCOL(SPLIT(C428,"" "")),SPLIT(C429,"" "")&amp;"" "",""""))))))"),"")</f>
        <v/>
      </c>
      <c r="L429" s="2" t="str">
        <f t="shared" si="1"/>
        <v/>
      </c>
      <c r="M429" s="2">
        <f t="shared" si="2"/>
        <v>426</v>
      </c>
      <c r="AY429" s="2" t="s">
        <v>1218</v>
      </c>
    </row>
    <row r="430">
      <c r="A430" s="2">
        <f t="shared" si="3"/>
        <v>427</v>
      </c>
      <c r="B430" s="1" t="s">
        <v>719</v>
      </c>
      <c r="C430" s="2" t="s">
        <v>770</v>
      </c>
      <c r="D430" s="2" t="s">
        <v>250</v>
      </c>
      <c r="E430" s="2">
        <v>65.0</v>
      </c>
      <c r="F430" s="2" t="s">
        <v>194</v>
      </c>
      <c r="G430" s="2" t="str">
        <f t="shared" si="4"/>
        <v/>
      </c>
      <c r="H430" s="2" t="str">
        <f t="shared" si="5"/>
        <v/>
      </c>
      <c r="I430" s="2" t="str">
        <f t="shared" si="6"/>
        <v/>
      </c>
      <c r="J430" s="2" t="b">
        <f t="shared" si="7"/>
        <v>1</v>
      </c>
      <c r="K430" s="2" t="str">
        <f>IFERROR(__xludf.DUMMYFUNCTION("TRIM(JOIN("" "",UNIQUE(TOCOL(ARRAYFORMULA(IF( SPLIT(C430,"" "")=TOCOL(SPLIT(C429,"" "")),SPLIT(C430,"" "")&amp;"" "",""""))))))"),"")</f>
        <v/>
      </c>
      <c r="L430" s="2" t="str">
        <f t="shared" si="1"/>
        <v/>
      </c>
      <c r="M430" s="2">
        <f t="shared" si="2"/>
        <v>427</v>
      </c>
      <c r="AY430" s="2" t="s">
        <v>1113</v>
      </c>
    </row>
    <row r="431">
      <c r="A431" s="2">
        <f t="shared" si="3"/>
        <v>428</v>
      </c>
      <c r="B431" s="1" t="s">
        <v>775</v>
      </c>
      <c r="C431" s="2" t="s">
        <v>783</v>
      </c>
      <c r="D431" s="2" t="s">
        <v>193</v>
      </c>
      <c r="E431" s="2">
        <v>26.0</v>
      </c>
      <c r="F431" s="2" t="s">
        <v>194</v>
      </c>
      <c r="G431" s="2" t="str">
        <f t="shared" si="4"/>
        <v/>
      </c>
      <c r="H431" s="2" t="str">
        <f t="shared" si="5"/>
        <v/>
      </c>
      <c r="I431" s="2" t="str">
        <f t="shared" si="6"/>
        <v/>
      </c>
      <c r="J431" s="2" t="b">
        <f t="shared" si="7"/>
        <v>1</v>
      </c>
      <c r="K431" s="2" t="str">
        <f>IFERROR(__xludf.DUMMYFUNCTION("TRIM(JOIN("" "",UNIQUE(TOCOL(ARRAYFORMULA(IF( SPLIT(C431,"" "")=TOCOL(SPLIT(C430,"" "")),SPLIT(C431,"" "")&amp;"" "",""""))))))"),"HUERTA")</f>
        <v>HUERTA</v>
      </c>
      <c r="L431" s="2" t="str">
        <f t="shared" si="1"/>
        <v>-&gt;WITH THIS</v>
      </c>
      <c r="M431" s="2">
        <f t="shared" si="2"/>
        <v>428</v>
      </c>
      <c r="AY431" s="2" t="s">
        <v>1203</v>
      </c>
    </row>
    <row r="432">
      <c r="A432" s="2">
        <f t="shared" si="3"/>
        <v>429</v>
      </c>
      <c r="B432" s="1" t="s">
        <v>775</v>
      </c>
      <c r="C432" s="2" t="s">
        <v>1459</v>
      </c>
      <c r="D432" s="2" t="s">
        <v>193</v>
      </c>
      <c r="E432" s="2">
        <v>26.0</v>
      </c>
      <c r="F432" s="2" t="s">
        <v>428</v>
      </c>
      <c r="G432" s="2" t="str">
        <f t="shared" si="4"/>
        <v>misma edad</v>
      </c>
      <c r="H432" s="2" t="str">
        <f t="shared" si="5"/>
        <v/>
      </c>
      <c r="I432" s="2" t="str">
        <f t="shared" si="6"/>
        <v>mismo colegio</v>
      </c>
      <c r="J432" s="2" t="b">
        <f t="shared" si="7"/>
        <v>0</v>
      </c>
      <c r="K432" s="2" t="str">
        <f>IFERROR(__xludf.DUMMYFUNCTION("TRIM(JOIN("" "",UNIQUE(TOCOL(ARRAYFORMULA(IF( SPLIT(C432,"" "")=TOCOL(SPLIT(C431,"" "")),SPLIT(C432,"" "")&amp;"" "",""""))))))"),"HUERTA OBREGON MELVA")</f>
        <v>HUERTA OBREGON MELVA</v>
      </c>
      <c r="L432" s="2" t="str">
        <f t="shared" si="1"/>
        <v>EVALUAR</v>
      </c>
      <c r="M432" s="2">
        <f t="shared" si="2"/>
        <v>429</v>
      </c>
      <c r="AY432" s="2" t="s">
        <v>1348</v>
      </c>
    </row>
    <row r="433">
      <c r="A433" s="2">
        <f t="shared" si="3"/>
        <v>430</v>
      </c>
      <c r="B433" s="1" t="s">
        <v>994</v>
      </c>
      <c r="C433" s="2" t="s">
        <v>996</v>
      </c>
      <c r="D433" s="2" t="s">
        <v>193</v>
      </c>
      <c r="E433" s="2">
        <v>34.0</v>
      </c>
      <c r="F433" s="2" t="s">
        <v>194</v>
      </c>
      <c r="G433" s="2" t="str">
        <f t="shared" si="4"/>
        <v/>
      </c>
      <c r="H433" s="2" t="str">
        <f t="shared" si="5"/>
        <v/>
      </c>
      <c r="I433" s="2" t="str">
        <f t="shared" si="6"/>
        <v/>
      </c>
      <c r="J433" s="2" t="b">
        <f t="shared" si="7"/>
        <v>0</v>
      </c>
      <c r="K433" s="2" t="str">
        <f>IFERROR(__xludf.DUMMYFUNCTION("TRIM(JOIN("" "",UNIQUE(TOCOL(ARRAYFORMULA(IF( SPLIT(C433,"" "")=TOCOL(SPLIT(C432,"" "")),SPLIT(C433,"" "")&amp;"" "",""""))))))"),"")</f>
        <v/>
      </c>
      <c r="L433" s="2" t="str">
        <f t="shared" si="1"/>
        <v/>
      </c>
      <c r="M433" s="2">
        <f t="shared" si="2"/>
        <v>430</v>
      </c>
      <c r="AY433" s="2" t="s">
        <v>925</v>
      </c>
    </row>
    <row r="434">
      <c r="A434" s="2">
        <f t="shared" si="3"/>
        <v>431</v>
      </c>
      <c r="B434" s="1" t="s">
        <v>994</v>
      </c>
      <c r="C434" s="2" t="s">
        <v>996</v>
      </c>
      <c r="D434" s="2" t="s">
        <v>193</v>
      </c>
      <c r="E434" s="2">
        <v>35.0</v>
      </c>
      <c r="F434" s="2" t="s">
        <v>428</v>
      </c>
      <c r="G434" s="2" t="str">
        <f t="shared" si="4"/>
        <v/>
      </c>
      <c r="H434" s="2" t="str">
        <f t="shared" si="5"/>
        <v>mismo nombre</v>
      </c>
      <c r="I434" s="2" t="str">
        <f t="shared" si="6"/>
        <v>mismo colegio</v>
      </c>
      <c r="J434" s="2" t="b">
        <f t="shared" si="7"/>
        <v>0</v>
      </c>
      <c r="K434" s="2" t="str">
        <f>IFERROR(__xludf.DUMMYFUNCTION("TRIM(JOIN("" "",UNIQUE(TOCOL(ARRAYFORMULA(IF( SPLIT(C434,"" "")=TOCOL(SPLIT(C433,"" "")),SPLIT(C434,"" "")&amp;"" "",""""))))))"),"HUARANCCA VASQUEZ, MARILYN")</f>
        <v>HUARANCCA VASQUEZ, MARILYN</v>
      </c>
      <c r="L434" s="2" t="str">
        <f t="shared" si="1"/>
        <v/>
      </c>
      <c r="M434" s="2">
        <f t="shared" si="2"/>
        <v>430</v>
      </c>
      <c r="AY434" s="2" t="s">
        <v>248</v>
      </c>
    </row>
    <row r="435">
      <c r="A435" s="2">
        <f t="shared" si="3"/>
        <v>432</v>
      </c>
      <c r="B435" s="1" t="s">
        <v>144</v>
      </c>
      <c r="C435" s="2" t="s">
        <v>560</v>
      </c>
      <c r="D435" s="2" t="s">
        <v>193</v>
      </c>
      <c r="E435" s="2">
        <v>20.0</v>
      </c>
      <c r="F435" s="2" t="s">
        <v>194</v>
      </c>
      <c r="G435" s="2" t="str">
        <f t="shared" si="4"/>
        <v/>
      </c>
      <c r="H435" s="2" t="str">
        <f t="shared" si="5"/>
        <v/>
      </c>
      <c r="I435" s="2" t="str">
        <f t="shared" si="6"/>
        <v/>
      </c>
      <c r="J435" s="2" t="b">
        <f t="shared" si="7"/>
        <v>0</v>
      </c>
      <c r="K435" s="2" t="str">
        <f>IFERROR(__xludf.DUMMYFUNCTION("TRIM(JOIN("" "",UNIQUE(TOCOL(ARRAYFORMULA(IF( SPLIT(C435,"" "")=TOCOL(SPLIT(C434,"" "")),SPLIT(C435,"" "")&amp;"" "",""""))))))"),"")</f>
        <v/>
      </c>
      <c r="L435" s="2" t="str">
        <f t="shared" si="1"/>
        <v/>
      </c>
      <c r="M435" s="2">
        <f t="shared" si="2"/>
        <v>432</v>
      </c>
      <c r="AY435" s="2" t="s">
        <v>1216</v>
      </c>
    </row>
    <row r="436">
      <c r="A436" s="2">
        <f t="shared" si="3"/>
        <v>433</v>
      </c>
      <c r="B436" s="1" t="s">
        <v>830</v>
      </c>
      <c r="C436" s="2" t="s">
        <v>1223</v>
      </c>
      <c r="D436" s="2" t="s">
        <v>193</v>
      </c>
      <c r="E436" s="2">
        <v>34.0</v>
      </c>
      <c r="F436" s="2" t="s">
        <v>428</v>
      </c>
      <c r="G436" s="2" t="str">
        <f t="shared" si="4"/>
        <v/>
      </c>
      <c r="H436" s="2" t="str">
        <f t="shared" si="5"/>
        <v/>
      </c>
      <c r="I436" s="2" t="str">
        <f t="shared" si="6"/>
        <v/>
      </c>
      <c r="J436" s="2" t="b">
        <f t="shared" si="7"/>
        <v>0</v>
      </c>
      <c r="K436" s="2" t="str">
        <f>IFERROR(__xludf.DUMMYFUNCTION("TRIM(JOIN("" "",UNIQUE(TOCOL(ARRAYFORMULA(IF( SPLIT(C436,"" "")=TOCOL(SPLIT(C435,"" "")),SPLIT(C436,"" "")&amp;"" "",""""))))))"),"")</f>
        <v/>
      </c>
      <c r="L436" s="2" t="str">
        <f t="shared" si="1"/>
        <v/>
      </c>
      <c r="M436" s="2">
        <f t="shared" si="2"/>
        <v>433</v>
      </c>
      <c r="AY436" s="2" t="s">
        <v>631</v>
      </c>
    </row>
    <row r="437">
      <c r="A437" s="2">
        <f t="shared" si="3"/>
        <v>434</v>
      </c>
      <c r="B437" s="1" t="s">
        <v>994</v>
      </c>
      <c r="C437" s="2" t="s">
        <v>1179</v>
      </c>
      <c r="D437" s="2" t="s">
        <v>250</v>
      </c>
      <c r="E437" s="2">
        <v>55.0</v>
      </c>
      <c r="F437" s="2" t="s">
        <v>428</v>
      </c>
      <c r="G437" s="2" t="str">
        <f t="shared" si="4"/>
        <v/>
      </c>
      <c r="H437" s="2" t="str">
        <f t="shared" si="5"/>
        <v/>
      </c>
      <c r="I437" s="2" t="str">
        <f t="shared" si="6"/>
        <v/>
      </c>
      <c r="J437" s="2" t="b">
        <f t="shared" si="7"/>
        <v>1</v>
      </c>
      <c r="K437" s="2" t="str">
        <f>IFERROR(__xludf.DUMMYFUNCTION("TRIM(JOIN("" "",UNIQUE(TOCOL(ARRAYFORMULA(IF( SPLIT(C437,"" "")=TOCOL(SPLIT(C436,"" "")),SPLIT(C437,"" "")&amp;"" "",""""))))))"),"")</f>
        <v/>
      </c>
      <c r="L437" s="2" t="str">
        <f t="shared" si="1"/>
        <v/>
      </c>
      <c r="M437" s="2">
        <f t="shared" si="2"/>
        <v>434</v>
      </c>
      <c r="AY437" s="2" t="s">
        <v>640</v>
      </c>
    </row>
    <row r="438">
      <c r="A438" s="2">
        <f t="shared" si="3"/>
        <v>435</v>
      </c>
      <c r="B438" s="1" t="s">
        <v>626</v>
      </c>
      <c r="C438" s="2" t="s">
        <v>884</v>
      </c>
      <c r="D438" s="2" t="s">
        <v>193</v>
      </c>
      <c r="E438" s="2">
        <v>41.0</v>
      </c>
      <c r="F438" s="2" t="s">
        <v>194</v>
      </c>
      <c r="G438" s="2" t="str">
        <f t="shared" si="4"/>
        <v/>
      </c>
      <c r="H438" s="2" t="str">
        <f t="shared" si="5"/>
        <v/>
      </c>
      <c r="I438" s="2" t="str">
        <f t="shared" si="6"/>
        <v/>
      </c>
      <c r="J438" s="2" t="b">
        <f t="shared" si="7"/>
        <v>0</v>
      </c>
      <c r="K438" s="2" t="str">
        <f>IFERROR(__xludf.DUMMYFUNCTION("TRIM(JOIN("" "",UNIQUE(TOCOL(ARRAYFORMULA(IF( SPLIT(C438,"" "")=TOCOL(SPLIT(C437,"" "")),SPLIT(C438,"" "")&amp;"" "",""""))))))"),"HUAMAN")</f>
        <v>HUAMAN</v>
      </c>
      <c r="L438" s="2" t="str">
        <f t="shared" si="1"/>
        <v/>
      </c>
      <c r="M438" s="2">
        <f t="shared" si="2"/>
        <v>435</v>
      </c>
      <c r="AY438" s="2" t="s">
        <v>951</v>
      </c>
    </row>
    <row r="439">
      <c r="A439" s="2">
        <f t="shared" si="3"/>
        <v>436</v>
      </c>
      <c r="B439" s="1" t="s">
        <v>626</v>
      </c>
      <c r="C439" s="2" t="s">
        <v>882</v>
      </c>
      <c r="D439" s="2" t="s">
        <v>193</v>
      </c>
      <c r="E439" s="2">
        <v>25.0</v>
      </c>
      <c r="F439" s="2" t="s">
        <v>194</v>
      </c>
      <c r="G439" s="2" t="str">
        <f t="shared" si="4"/>
        <v/>
      </c>
      <c r="H439" s="2" t="str">
        <f t="shared" si="5"/>
        <v/>
      </c>
      <c r="I439" s="2" t="str">
        <f t="shared" si="6"/>
        <v>mismo colegio</v>
      </c>
      <c r="J439" s="2" t="b">
        <f t="shared" si="7"/>
        <v>1</v>
      </c>
      <c r="K439" s="2" t="str">
        <f>IFERROR(__xludf.DUMMYFUNCTION("TRIM(JOIN("" "",UNIQUE(TOCOL(ARRAYFORMULA(IF( SPLIT(C439,"" "")=TOCOL(SPLIT(C438,"" "")),SPLIT(C439,"" "")&amp;"" "",""""))))))"),"HUAMAN")</f>
        <v>HUAMAN</v>
      </c>
      <c r="L439" s="2" t="str">
        <f t="shared" si="1"/>
        <v/>
      </c>
      <c r="M439" s="2">
        <f t="shared" si="2"/>
        <v>436</v>
      </c>
      <c r="AY439" s="2" t="s">
        <v>1342</v>
      </c>
    </row>
    <row r="440">
      <c r="A440" s="2">
        <f t="shared" si="3"/>
        <v>437</v>
      </c>
      <c r="B440" s="1" t="s">
        <v>994</v>
      </c>
      <c r="C440" s="2" t="s">
        <v>1004</v>
      </c>
      <c r="D440" s="2" t="s">
        <v>193</v>
      </c>
      <c r="E440" s="2">
        <v>42.0</v>
      </c>
      <c r="F440" s="2" t="s">
        <v>194</v>
      </c>
      <c r="G440" s="2" t="str">
        <f t="shared" si="4"/>
        <v/>
      </c>
      <c r="H440" s="2" t="str">
        <f t="shared" si="5"/>
        <v/>
      </c>
      <c r="I440" s="2" t="str">
        <f t="shared" si="6"/>
        <v/>
      </c>
      <c r="J440" s="2" t="b">
        <f t="shared" si="7"/>
        <v>1</v>
      </c>
      <c r="K440" s="2" t="str">
        <f>IFERROR(__xludf.DUMMYFUNCTION("TRIM(JOIN("" "",UNIQUE(TOCOL(ARRAYFORMULA(IF( SPLIT(C440,"" "")=TOCOL(SPLIT(C439,"" "")),SPLIT(C440,"" "")&amp;"" "",""""))))))"),"HUAMAN")</f>
        <v>HUAMAN</v>
      </c>
      <c r="L440" s="2" t="str">
        <f t="shared" si="1"/>
        <v/>
      </c>
      <c r="M440" s="2">
        <f t="shared" si="2"/>
        <v>437</v>
      </c>
      <c r="AY440" s="2" t="s">
        <v>1240</v>
      </c>
    </row>
    <row r="441">
      <c r="A441" s="2">
        <f t="shared" si="3"/>
        <v>438</v>
      </c>
      <c r="B441" s="1" t="s">
        <v>226</v>
      </c>
      <c r="C441" s="2" t="s">
        <v>1089</v>
      </c>
      <c r="D441" s="2" t="s">
        <v>250</v>
      </c>
      <c r="E441" s="2"/>
      <c r="F441" s="2" t="s">
        <v>428</v>
      </c>
      <c r="G441" s="2" t="str">
        <f t="shared" si="4"/>
        <v/>
      </c>
      <c r="H441" s="2" t="str">
        <f t="shared" si="5"/>
        <v/>
      </c>
      <c r="I441" s="2" t="str">
        <f t="shared" si="6"/>
        <v/>
      </c>
      <c r="J441" s="2" t="b">
        <f t="shared" si="7"/>
        <v>0</v>
      </c>
      <c r="K441" s="2" t="str">
        <f>IFERROR(__xludf.DUMMYFUNCTION("TRIM(JOIN("" "",UNIQUE(TOCOL(ARRAYFORMULA(IF( SPLIT(C441,"" "")=TOCOL(SPLIT(C440,"" "")),SPLIT(C441,"" "")&amp;"" "",""""))))))"),"")</f>
        <v/>
      </c>
      <c r="L441" s="2" t="str">
        <f t="shared" si="1"/>
        <v/>
      </c>
      <c r="M441" s="2">
        <f t="shared" si="2"/>
        <v>438</v>
      </c>
      <c r="AY441" s="2" t="s">
        <v>310</v>
      </c>
    </row>
    <row r="442">
      <c r="A442" s="2">
        <f t="shared" si="3"/>
        <v>439</v>
      </c>
      <c r="B442" s="1" t="s">
        <v>226</v>
      </c>
      <c r="C442" s="2" t="s">
        <v>279</v>
      </c>
      <c r="D442" s="2" t="s">
        <v>193</v>
      </c>
      <c r="E442" s="2">
        <v>25.0</v>
      </c>
      <c r="F442" s="2" t="s">
        <v>194</v>
      </c>
      <c r="G442" s="2" t="str">
        <f t="shared" si="4"/>
        <v/>
      </c>
      <c r="H442" s="2" t="str">
        <f t="shared" si="5"/>
        <v/>
      </c>
      <c r="I442" s="2" t="str">
        <f t="shared" si="6"/>
        <v>mismo colegio</v>
      </c>
      <c r="J442" s="2" t="b">
        <f t="shared" si="7"/>
        <v>0</v>
      </c>
      <c r="K442" s="2" t="str">
        <f>IFERROR(__xludf.DUMMYFUNCTION("TRIM(JOIN("" "",UNIQUE(TOCOL(ARRAYFORMULA(IF( SPLIT(C442,"" "")=TOCOL(SPLIT(C441,"" "")),SPLIT(C442,"" "")&amp;"" "",""""))))))"),"HILDA")</f>
        <v>HILDA</v>
      </c>
      <c r="L442" s="2" t="str">
        <f t="shared" si="1"/>
        <v/>
      </c>
      <c r="M442" s="2">
        <f t="shared" si="2"/>
        <v>439</v>
      </c>
      <c r="AY442" s="2" t="s">
        <v>810</v>
      </c>
    </row>
    <row r="443">
      <c r="A443" s="2">
        <f t="shared" si="3"/>
        <v>440</v>
      </c>
      <c r="B443" s="1" t="s">
        <v>226</v>
      </c>
      <c r="C443" s="2" t="s">
        <v>279</v>
      </c>
      <c r="D443" s="2" t="s">
        <v>193</v>
      </c>
      <c r="E443" s="2">
        <v>25.0</v>
      </c>
      <c r="F443" s="2" t="s">
        <v>428</v>
      </c>
      <c r="G443" s="2" t="str">
        <f t="shared" si="4"/>
        <v>misma edad</v>
      </c>
      <c r="H443" s="2" t="str">
        <f t="shared" si="5"/>
        <v>mismo nombre</v>
      </c>
      <c r="I443" s="2" t="str">
        <f t="shared" si="6"/>
        <v>mismo colegio</v>
      </c>
      <c r="J443" s="2" t="b">
        <f t="shared" si="7"/>
        <v>0</v>
      </c>
      <c r="K443" s="2" t="str">
        <f>IFERROR(__xludf.DUMMYFUNCTION("TRIM(JOIN("" "",UNIQUE(TOCOL(ARRAYFORMULA(IF( SPLIT(C443,"" "")=TOCOL(SPLIT(C442,"" "")),SPLIT(C443,"" "")&amp;"" "",""""))))))"),"HILDA GUERRA RAMIREZ")</f>
        <v>HILDA GUERRA RAMIREZ</v>
      </c>
      <c r="L443" s="2" t="str">
        <f t="shared" si="1"/>
        <v/>
      </c>
      <c r="M443" s="2">
        <f t="shared" si="2"/>
        <v>439</v>
      </c>
      <c r="AY443" s="2" t="s">
        <v>1110</v>
      </c>
    </row>
    <row r="444">
      <c r="A444" s="2">
        <f t="shared" si="3"/>
        <v>441</v>
      </c>
      <c r="B444" s="1" t="s">
        <v>457</v>
      </c>
      <c r="C444" s="2" t="s">
        <v>481</v>
      </c>
      <c r="D444" s="2" t="s">
        <v>193</v>
      </c>
      <c r="E444" s="2">
        <v>41.0</v>
      </c>
      <c r="F444" s="2" t="s">
        <v>194</v>
      </c>
      <c r="G444" s="2" t="str">
        <f t="shared" si="4"/>
        <v/>
      </c>
      <c r="H444" s="2" t="str">
        <f t="shared" si="5"/>
        <v/>
      </c>
      <c r="I444" s="2" t="str">
        <f t="shared" si="6"/>
        <v/>
      </c>
      <c r="J444" s="2" t="b">
        <f t="shared" si="7"/>
        <v>0</v>
      </c>
      <c r="K444" s="2" t="str">
        <f>IFERROR(__xludf.DUMMYFUNCTION("TRIM(JOIN("" "",UNIQUE(TOCOL(ARRAYFORMULA(IF( SPLIT(C444,"" "")=TOCOL(SPLIT(C443,"" "")),SPLIT(C444,"" "")&amp;"" "",""""))))))"),"HILDA")</f>
        <v>HILDA</v>
      </c>
      <c r="L444" s="2" t="str">
        <f t="shared" si="1"/>
        <v/>
      </c>
      <c r="M444" s="2">
        <f t="shared" si="2"/>
        <v>441</v>
      </c>
      <c r="AY444" s="2" t="s">
        <v>1195</v>
      </c>
    </row>
    <row r="445">
      <c r="A445" s="2">
        <f t="shared" si="3"/>
        <v>442</v>
      </c>
      <c r="B445" s="1" t="s">
        <v>226</v>
      </c>
      <c r="C445" s="2" t="s">
        <v>234</v>
      </c>
      <c r="D445" s="2" t="s">
        <v>193</v>
      </c>
      <c r="E445" s="2">
        <v>40.0</v>
      </c>
      <c r="F445" s="2" t="s">
        <v>194</v>
      </c>
      <c r="G445" s="2" t="str">
        <f t="shared" si="4"/>
        <v/>
      </c>
      <c r="H445" s="2" t="str">
        <f t="shared" si="5"/>
        <v/>
      </c>
      <c r="I445" s="2" t="str">
        <f t="shared" si="6"/>
        <v/>
      </c>
      <c r="J445" s="2" t="b">
        <f t="shared" si="7"/>
        <v>1</v>
      </c>
      <c r="K445" s="2" t="str">
        <f>IFERROR(__xludf.DUMMYFUNCTION("TRIM(JOIN("" "",UNIQUE(TOCOL(ARRAYFORMULA(IF( SPLIT(C445,"" "")=TOCOL(SPLIT(C444,"" "")),SPLIT(C445,"" "")&amp;"" "",""""))))))"),"")</f>
        <v/>
      </c>
      <c r="L445" s="2" t="str">
        <f t="shared" si="1"/>
        <v/>
      </c>
      <c r="M445" s="2">
        <f t="shared" si="2"/>
        <v>442</v>
      </c>
      <c r="AY445" s="2" t="s">
        <v>1238</v>
      </c>
    </row>
    <row r="446">
      <c r="A446" s="2">
        <f t="shared" si="3"/>
        <v>443</v>
      </c>
      <c r="B446" s="1" t="s">
        <v>226</v>
      </c>
      <c r="C446" s="2" t="s">
        <v>234</v>
      </c>
      <c r="D446" s="2" t="s">
        <v>193</v>
      </c>
      <c r="E446" s="2">
        <v>40.0</v>
      </c>
      <c r="F446" s="2" t="s">
        <v>428</v>
      </c>
      <c r="G446" s="2" t="str">
        <f t="shared" si="4"/>
        <v>misma edad</v>
      </c>
      <c r="H446" s="2" t="str">
        <f t="shared" si="5"/>
        <v>mismo nombre</v>
      </c>
      <c r="I446" s="2" t="str">
        <f t="shared" si="6"/>
        <v>mismo colegio</v>
      </c>
      <c r="J446" s="2" t="b">
        <f t="shared" si="7"/>
        <v>0</v>
      </c>
      <c r="K446" s="2" t="str">
        <f>IFERROR(__xludf.DUMMYFUNCTION("TRIM(JOIN("" "",UNIQUE(TOCOL(ARRAYFORMULA(IF( SPLIT(C446,"" "")=TOCOL(SPLIT(C445,"" "")),SPLIT(C446,"" "")&amp;"" "",""""))))))"),"HILARIA SANTA ESPINOZA GUERRA")</f>
        <v>HILARIA SANTA ESPINOZA GUERRA</v>
      </c>
      <c r="L446" s="2" t="str">
        <f t="shared" si="1"/>
        <v/>
      </c>
      <c r="M446" s="2">
        <f t="shared" si="2"/>
        <v>442</v>
      </c>
      <c r="AY446" s="2" t="s">
        <v>1448</v>
      </c>
    </row>
    <row r="447">
      <c r="A447" s="2">
        <f t="shared" si="3"/>
        <v>444</v>
      </c>
      <c r="B447" s="1" t="s">
        <v>205</v>
      </c>
      <c r="C447" s="2" t="s">
        <v>207</v>
      </c>
      <c r="D447" s="2" t="s">
        <v>193</v>
      </c>
      <c r="E447" s="2">
        <v>48.0</v>
      </c>
      <c r="F447" s="2" t="s">
        <v>194</v>
      </c>
      <c r="G447" s="2" t="str">
        <f t="shared" si="4"/>
        <v/>
      </c>
      <c r="H447" s="2" t="str">
        <f t="shared" si="5"/>
        <v/>
      </c>
      <c r="I447" s="2" t="str">
        <f t="shared" si="6"/>
        <v/>
      </c>
      <c r="J447" s="2" t="b">
        <f t="shared" si="7"/>
        <v>0</v>
      </c>
      <c r="K447" s="2" t="str">
        <f>IFERROR(__xludf.DUMMYFUNCTION("TRIM(JOIN("" "",UNIQUE(TOCOL(ARRAYFORMULA(IF( SPLIT(C447,"" "")=TOCOL(SPLIT(C446,"" "")),SPLIT(C447,"" "")&amp;"" "",""""))))))"),"HILARIA ESPINOZA")</f>
        <v>HILARIA ESPINOZA</v>
      </c>
      <c r="L447" s="2" t="str">
        <f t="shared" si="1"/>
        <v/>
      </c>
      <c r="M447" s="2">
        <f t="shared" si="2"/>
        <v>444</v>
      </c>
      <c r="AY447" s="2" t="s">
        <v>1289</v>
      </c>
    </row>
    <row r="448">
      <c r="A448" s="2">
        <f t="shared" si="3"/>
        <v>445</v>
      </c>
      <c r="B448" s="1" t="s">
        <v>205</v>
      </c>
      <c r="C448" s="2" t="s">
        <v>207</v>
      </c>
      <c r="D448" s="2" t="s">
        <v>193</v>
      </c>
      <c r="E448" s="2">
        <v>42.0</v>
      </c>
      <c r="F448" s="2" t="s">
        <v>428</v>
      </c>
      <c r="G448" s="2" t="str">
        <f t="shared" si="4"/>
        <v/>
      </c>
      <c r="H448" s="2" t="str">
        <f t="shared" si="5"/>
        <v>mismo nombre</v>
      </c>
      <c r="I448" s="2" t="str">
        <f t="shared" si="6"/>
        <v>mismo colegio</v>
      </c>
      <c r="J448" s="2" t="b">
        <f t="shared" si="7"/>
        <v>0</v>
      </c>
      <c r="K448" s="2" t="str">
        <f>IFERROR(__xludf.DUMMYFUNCTION("TRIM(JOIN("" "",UNIQUE(TOCOL(ARRAYFORMULA(IF( SPLIT(C448,"" "")=TOCOL(SPLIT(C447,"" "")),SPLIT(C448,"" "")&amp;"" "",""""))))))"),"HILARIA ESPINOZA SALVADOR")</f>
        <v>HILARIA ESPINOZA SALVADOR</v>
      </c>
      <c r="L448" s="2" t="str">
        <f t="shared" si="1"/>
        <v/>
      </c>
      <c r="M448" s="2">
        <f t="shared" si="2"/>
        <v>444</v>
      </c>
      <c r="AY448" s="2" t="s">
        <v>1468</v>
      </c>
    </row>
    <row r="449">
      <c r="A449" s="2">
        <f t="shared" si="3"/>
        <v>446</v>
      </c>
      <c r="B449" s="1" t="s">
        <v>994</v>
      </c>
      <c r="C449" s="2" t="s">
        <v>1192</v>
      </c>
      <c r="D449" s="2" t="s">
        <v>193</v>
      </c>
      <c r="E449" s="2">
        <v>27.0</v>
      </c>
      <c r="F449" s="2" t="s">
        <v>428</v>
      </c>
      <c r="G449" s="2" t="str">
        <f t="shared" si="4"/>
        <v/>
      </c>
      <c r="H449" s="2" t="str">
        <f t="shared" si="5"/>
        <v/>
      </c>
      <c r="I449" s="2" t="str">
        <f t="shared" si="6"/>
        <v/>
      </c>
      <c r="J449" s="2" t="b">
        <f t="shared" si="7"/>
        <v>1</v>
      </c>
      <c r="K449" s="2" t="str">
        <f>IFERROR(__xludf.DUMMYFUNCTION("TRIM(JOIN("" "",UNIQUE(TOCOL(ARRAYFORMULA(IF( SPLIT(C449,"" "")=TOCOL(SPLIT(C448,"" "")),SPLIT(C449,"" "")&amp;"" "",""""))))))"),"")</f>
        <v/>
      </c>
      <c r="L449" s="2" t="str">
        <f t="shared" si="1"/>
        <v>-&gt;WITH THIS</v>
      </c>
      <c r="M449" s="2">
        <f t="shared" si="2"/>
        <v>446</v>
      </c>
      <c r="AY449" s="2" t="s">
        <v>1471</v>
      </c>
    </row>
    <row r="450">
      <c r="A450" s="2">
        <f t="shared" si="3"/>
        <v>447</v>
      </c>
      <c r="B450" s="1" t="s">
        <v>994</v>
      </c>
      <c r="C450" s="2" t="s">
        <v>1002</v>
      </c>
      <c r="D450" s="2" t="s">
        <v>193</v>
      </c>
      <c r="E450" s="2">
        <v>27.0</v>
      </c>
      <c r="F450" s="2" t="s">
        <v>194</v>
      </c>
      <c r="G450" s="2" t="str">
        <f t="shared" si="4"/>
        <v>misma edad</v>
      </c>
      <c r="H450" s="2" t="str">
        <f t="shared" si="5"/>
        <v/>
      </c>
      <c r="I450" s="2" t="str">
        <f t="shared" si="6"/>
        <v>mismo colegio</v>
      </c>
      <c r="J450" s="2" t="b">
        <f t="shared" si="7"/>
        <v>0</v>
      </c>
      <c r="K450" s="2" t="str">
        <f>IFERROR(__xludf.DUMMYFUNCTION("TRIM(JOIN("" "",UNIQUE(TOCOL(ARRAYFORMULA(IF( SPLIT(C450,"" "")=TOCOL(SPLIT(C449,"" "")),SPLIT(C450,"" "")&amp;"" "",""""))))))"),"HERRERA SIPAN, AISSA")</f>
        <v>HERRERA SIPAN, AISSA</v>
      </c>
      <c r="L450" s="2" t="str">
        <f t="shared" si="1"/>
        <v>EVALUAR</v>
      </c>
      <c r="M450" s="2">
        <f t="shared" si="2"/>
        <v>447</v>
      </c>
      <c r="AY450" s="2" t="s">
        <v>649</v>
      </c>
    </row>
    <row r="451">
      <c r="A451" s="2">
        <f t="shared" si="3"/>
        <v>448</v>
      </c>
      <c r="B451" s="1" t="s">
        <v>154</v>
      </c>
      <c r="C451" s="2" t="s">
        <v>515</v>
      </c>
      <c r="D451" s="2" t="s">
        <v>193</v>
      </c>
      <c r="E451" s="2">
        <v>40.0</v>
      </c>
      <c r="F451" s="2" t="s">
        <v>194</v>
      </c>
      <c r="G451" s="2" t="str">
        <f t="shared" si="4"/>
        <v/>
      </c>
      <c r="H451" s="2" t="str">
        <f t="shared" si="5"/>
        <v/>
      </c>
      <c r="I451" s="2" t="str">
        <f t="shared" si="6"/>
        <v/>
      </c>
      <c r="J451" s="2" t="b">
        <f t="shared" si="7"/>
        <v>1</v>
      </c>
      <c r="K451" s="2" t="str">
        <f>IFERROR(__xludf.DUMMYFUNCTION("TRIM(JOIN("" "",UNIQUE(TOCOL(ARRAYFORMULA(IF( SPLIT(C451,"" "")=TOCOL(SPLIT(C450,"" "")),SPLIT(C451,"" "")&amp;"" "",""""))))))"),"")</f>
        <v/>
      </c>
      <c r="L451" s="2" t="str">
        <f t="shared" si="1"/>
        <v/>
      </c>
      <c r="M451" s="2">
        <f t="shared" si="2"/>
        <v>448</v>
      </c>
      <c r="AY451" s="2" t="s">
        <v>778</v>
      </c>
    </row>
    <row r="452">
      <c r="A452" s="2">
        <f t="shared" si="3"/>
        <v>449</v>
      </c>
      <c r="B452" s="1" t="s">
        <v>154</v>
      </c>
      <c r="C452" s="2" t="s">
        <v>515</v>
      </c>
      <c r="D452" s="2" t="s">
        <v>193</v>
      </c>
      <c r="E452" s="2"/>
      <c r="F452" s="2" t="s">
        <v>428</v>
      </c>
      <c r="G452" s="2" t="str">
        <f t="shared" si="4"/>
        <v/>
      </c>
      <c r="H452" s="2" t="str">
        <f t="shared" si="5"/>
        <v>mismo nombre</v>
      </c>
      <c r="I452" s="2" t="str">
        <f t="shared" si="6"/>
        <v>mismo colegio</v>
      </c>
      <c r="J452" s="2" t="b">
        <f t="shared" si="7"/>
        <v>0</v>
      </c>
      <c r="K452" s="2" t="str">
        <f>IFERROR(__xludf.DUMMYFUNCTION("TRIM(JOIN("" "",UNIQUE(TOCOL(ARRAYFORMULA(IF( SPLIT(C452,"" "")=TOCOL(SPLIT(C451,"" "")),SPLIT(C452,"" "")&amp;"" "",""""))))))"),"HERMELINDA UGARTE VALENZUELA")</f>
        <v>HERMELINDA UGARTE VALENZUELA</v>
      </c>
      <c r="L452" s="2" t="str">
        <f t="shared" si="1"/>
        <v/>
      </c>
      <c r="M452" s="2">
        <f t="shared" si="2"/>
        <v>448</v>
      </c>
      <c r="AY452" s="2" t="s">
        <v>997</v>
      </c>
    </row>
    <row r="453">
      <c r="A453" s="2">
        <f t="shared" si="3"/>
        <v>450</v>
      </c>
      <c r="B453" s="1" t="s">
        <v>154</v>
      </c>
      <c r="C453" s="2" t="s">
        <v>516</v>
      </c>
      <c r="D453" s="2" t="s">
        <v>222</v>
      </c>
      <c r="E453" s="2">
        <v>34.0</v>
      </c>
      <c r="F453" s="2" t="s">
        <v>194</v>
      </c>
      <c r="G453" s="2" t="str">
        <f t="shared" si="4"/>
        <v/>
      </c>
      <c r="H453" s="2" t="str">
        <f t="shared" si="5"/>
        <v/>
      </c>
      <c r="I453" s="2" t="str">
        <f t="shared" si="6"/>
        <v>mismo colegio</v>
      </c>
      <c r="J453" s="2" t="b">
        <f t="shared" si="7"/>
        <v>0</v>
      </c>
      <c r="K453" s="2" t="str">
        <f>IFERROR(__xludf.DUMMYFUNCTION("TRIM(JOIN("" "",UNIQUE(TOCOL(ARRAYFORMULA(IF( SPLIT(C453,"" "")=TOCOL(SPLIT(C452,"" "")),SPLIT(C453,"" "")&amp;"" "",""""))))))"),"")</f>
        <v/>
      </c>
      <c r="L453" s="2" t="str">
        <f t="shared" si="1"/>
        <v/>
      </c>
      <c r="M453" s="2">
        <f t="shared" si="2"/>
        <v>450</v>
      </c>
      <c r="AY453" s="2" t="s">
        <v>1456</v>
      </c>
    </row>
    <row r="454">
      <c r="A454" s="2">
        <f t="shared" si="3"/>
        <v>451</v>
      </c>
      <c r="B454" s="1" t="s">
        <v>928</v>
      </c>
      <c r="C454" s="2" t="s">
        <v>950</v>
      </c>
      <c r="D454" s="2" t="s">
        <v>193</v>
      </c>
      <c r="E454" s="2">
        <v>23.0</v>
      </c>
      <c r="F454" s="2" t="s">
        <v>194</v>
      </c>
      <c r="G454" s="2" t="str">
        <f t="shared" si="4"/>
        <v/>
      </c>
      <c r="H454" s="2" t="str">
        <f t="shared" si="5"/>
        <v/>
      </c>
      <c r="I454" s="2" t="str">
        <f t="shared" si="6"/>
        <v/>
      </c>
      <c r="J454" s="2" t="b">
        <f t="shared" si="7"/>
        <v>1</v>
      </c>
      <c r="K454" s="2" t="str">
        <f>IFERROR(__xludf.DUMMYFUNCTION("TRIM(JOIN("" "",UNIQUE(TOCOL(ARRAYFORMULA(IF( SPLIT(C454,"" "")=TOCOL(SPLIT(C453,"" "")),SPLIT(C454,"" "")&amp;"" "",""""))))))"),"")</f>
        <v/>
      </c>
      <c r="L454" s="2" t="str">
        <f t="shared" si="1"/>
        <v/>
      </c>
      <c r="M454" s="2">
        <f t="shared" si="2"/>
        <v>451</v>
      </c>
      <c r="AY454" s="2" t="s">
        <v>861</v>
      </c>
    </row>
    <row r="455">
      <c r="A455" s="2">
        <f t="shared" si="3"/>
        <v>452</v>
      </c>
      <c r="B455" s="1" t="s">
        <v>69</v>
      </c>
      <c r="C455" s="2" t="s">
        <v>384</v>
      </c>
      <c r="D455" s="2" t="s">
        <v>193</v>
      </c>
      <c r="E455" s="2">
        <v>32.0</v>
      </c>
      <c r="F455" s="2" t="s">
        <v>194</v>
      </c>
      <c r="G455" s="2" t="str">
        <f t="shared" si="4"/>
        <v/>
      </c>
      <c r="H455" s="2" t="str">
        <f t="shared" si="5"/>
        <v/>
      </c>
      <c r="I455" s="2" t="str">
        <f t="shared" si="6"/>
        <v/>
      </c>
      <c r="J455" s="2" t="b">
        <f t="shared" si="7"/>
        <v>1</v>
      </c>
      <c r="K455" s="2" t="str">
        <f>IFERROR(__xludf.DUMMYFUNCTION("TRIM(JOIN("" "",UNIQUE(TOCOL(ARRAYFORMULA(IF( SPLIT(C455,"" "")=TOCOL(SPLIT(C454,"" "")),SPLIT(C455,"" "")&amp;"" "",""""))))))"),"")</f>
        <v/>
      </c>
      <c r="L455" s="2" t="str">
        <f t="shared" si="1"/>
        <v/>
      </c>
      <c r="M455" s="2">
        <f t="shared" si="2"/>
        <v>452</v>
      </c>
      <c r="AY455" s="2" t="s">
        <v>292</v>
      </c>
    </row>
    <row r="456">
      <c r="A456" s="2">
        <f t="shared" si="3"/>
        <v>453</v>
      </c>
      <c r="B456" s="1" t="s">
        <v>69</v>
      </c>
      <c r="C456" s="2" t="s">
        <v>384</v>
      </c>
      <c r="D456" s="2" t="s">
        <v>193</v>
      </c>
      <c r="E456" s="2">
        <v>32.0</v>
      </c>
      <c r="F456" s="2" t="s">
        <v>428</v>
      </c>
      <c r="G456" s="2" t="str">
        <f t="shared" si="4"/>
        <v>misma edad</v>
      </c>
      <c r="H456" s="2" t="str">
        <f t="shared" si="5"/>
        <v>mismo nombre</v>
      </c>
      <c r="I456" s="2" t="str">
        <f t="shared" si="6"/>
        <v>mismo colegio</v>
      </c>
      <c r="J456" s="2" t="b">
        <f t="shared" si="7"/>
        <v>0</v>
      </c>
      <c r="K456" s="2" t="str">
        <f>IFERROR(__xludf.DUMMYFUNCTION("TRIM(JOIN("" "",UNIQUE(TOCOL(ARRAYFORMULA(IF( SPLIT(C456,"" "")=TOCOL(SPLIT(C455,"" "")),SPLIT(C456,"" "")&amp;"" "",""""))))))"),"GUISELA SAYDA ALVARO CHAVEZ")</f>
        <v>GUISELA SAYDA ALVARO CHAVEZ</v>
      </c>
      <c r="L456" s="2" t="str">
        <f t="shared" si="1"/>
        <v/>
      </c>
      <c r="M456" s="2">
        <f t="shared" si="2"/>
        <v>452</v>
      </c>
      <c r="AY456" s="2" t="s">
        <v>1239</v>
      </c>
    </row>
    <row r="457">
      <c r="A457" s="2">
        <f t="shared" si="3"/>
        <v>454</v>
      </c>
      <c r="B457" s="1" t="s">
        <v>105</v>
      </c>
      <c r="C457" s="2" t="s">
        <v>413</v>
      </c>
      <c r="D457" s="2" t="s">
        <v>193</v>
      </c>
      <c r="E457" s="2">
        <v>29.0</v>
      </c>
      <c r="F457" s="2" t="s">
        <v>194</v>
      </c>
      <c r="G457" s="2" t="str">
        <f t="shared" si="4"/>
        <v/>
      </c>
      <c r="H457" s="2" t="str">
        <f t="shared" si="5"/>
        <v/>
      </c>
      <c r="I457" s="2" t="str">
        <f t="shared" si="6"/>
        <v/>
      </c>
      <c r="J457" s="2" t="b">
        <f t="shared" si="7"/>
        <v>0</v>
      </c>
      <c r="K457" s="2" t="str">
        <f>IFERROR(__xludf.DUMMYFUNCTION("TRIM(JOIN("" "",UNIQUE(TOCOL(ARRAYFORMULA(IF( SPLIT(C457,"" "")=TOCOL(SPLIT(C456,"" "")),SPLIT(C457,"" "")&amp;"" "",""""))))))"),"GUISELA")</f>
        <v>GUISELA</v>
      </c>
      <c r="L457" s="2" t="str">
        <f t="shared" si="1"/>
        <v/>
      </c>
      <c r="M457" s="2">
        <f t="shared" si="2"/>
        <v>454</v>
      </c>
      <c r="AY457" s="2" t="s">
        <v>1260</v>
      </c>
    </row>
    <row r="458">
      <c r="A458" s="2">
        <f t="shared" si="3"/>
        <v>455</v>
      </c>
      <c r="B458" s="1" t="s">
        <v>105</v>
      </c>
      <c r="C458" s="2" t="s">
        <v>413</v>
      </c>
      <c r="D458" s="2" t="s">
        <v>193</v>
      </c>
      <c r="E458" s="2">
        <v>29.0</v>
      </c>
      <c r="F458" s="2" t="s">
        <v>428</v>
      </c>
      <c r="G458" s="2" t="str">
        <f t="shared" si="4"/>
        <v>misma edad</v>
      </c>
      <c r="H458" s="2" t="str">
        <f t="shared" si="5"/>
        <v>mismo nombre</v>
      </c>
      <c r="I458" s="2" t="str">
        <f t="shared" si="6"/>
        <v>mismo colegio</v>
      </c>
      <c r="J458" s="2" t="b">
        <f t="shared" si="7"/>
        <v>0</v>
      </c>
      <c r="K458" s="2" t="str">
        <f>IFERROR(__xludf.DUMMYFUNCTION("TRIM(JOIN("" "",UNIQUE(TOCOL(ARRAYFORMULA(IF( SPLIT(C458,"" "")=TOCOL(SPLIT(C457,"" "")),SPLIT(C458,"" "")&amp;"" "",""""))))))"),"GUISELA FERNANDEZ FLORES")</f>
        <v>GUISELA FERNANDEZ FLORES</v>
      </c>
      <c r="L458" s="2" t="str">
        <f t="shared" si="1"/>
        <v/>
      </c>
      <c r="M458" s="2">
        <f t="shared" si="2"/>
        <v>454</v>
      </c>
      <c r="AY458" s="2" t="s">
        <v>1174</v>
      </c>
    </row>
    <row r="459">
      <c r="A459" s="2">
        <f t="shared" si="3"/>
        <v>456</v>
      </c>
      <c r="B459" s="1" t="s">
        <v>87</v>
      </c>
      <c r="C459" s="2" t="s">
        <v>430</v>
      </c>
      <c r="D459" s="2" t="s">
        <v>193</v>
      </c>
      <c r="E459" s="2">
        <v>33.0</v>
      </c>
      <c r="F459" s="2" t="s">
        <v>194</v>
      </c>
      <c r="G459" s="2" t="str">
        <f t="shared" si="4"/>
        <v/>
      </c>
      <c r="H459" s="2" t="str">
        <f t="shared" si="5"/>
        <v/>
      </c>
      <c r="I459" s="2" t="str">
        <f t="shared" si="6"/>
        <v/>
      </c>
      <c r="J459" s="2" t="b">
        <f t="shared" si="7"/>
        <v>0</v>
      </c>
      <c r="K459" s="2" t="str">
        <f>IFERROR(__xludf.DUMMYFUNCTION("TRIM(JOIN("" "",UNIQUE(TOCOL(ARRAYFORMULA(IF( SPLIT(C459,"" "")=TOCOL(SPLIT(C458,"" "")),SPLIT(C459,"" "")&amp;"" "",""""))))))"),"GUISELA")</f>
        <v>GUISELA</v>
      </c>
      <c r="L459" s="2" t="str">
        <f t="shared" si="1"/>
        <v/>
      </c>
      <c r="M459" s="2">
        <f t="shared" si="2"/>
        <v>456</v>
      </c>
      <c r="AY459" s="2" t="s">
        <v>1390</v>
      </c>
    </row>
    <row r="460">
      <c r="A460" s="2">
        <f t="shared" si="3"/>
        <v>457</v>
      </c>
      <c r="B460" s="1" t="s">
        <v>87</v>
      </c>
      <c r="C460" s="2" t="s">
        <v>430</v>
      </c>
      <c r="D460" s="2" t="s">
        <v>193</v>
      </c>
      <c r="E460" s="2">
        <v>33.0</v>
      </c>
      <c r="F460" s="2" t="s">
        <v>428</v>
      </c>
      <c r="G460" s="2" t="str">
        <f t="shared" si="4"/>
        <v>misma edad</v>
      </c>
      <c r="H460" s="2" t="str">
        <f t="shared" si="5"/>
        <v>mismo nombre</v>
      </c>
      <c r="I460" s="2" t="str">
        <f t="shared" si="6"/>
        <v>mismo colegio</v>
      </c>
      <c r="J460" s="2" t="b">
        <f t="shared" si="7"/>
        <v>0</v>
      </c>
      <c r="K460" s="2" t="str">
        <f>IFERROR(__xludf.DUMMYFUNCTION("TRIM(JOIN("" "",UNIQUE(TOCOL(ARRAYFORMULA(IF( SPLIT(C460,"" "")=TOCOL(SPLIT(C459,"" "")),SPLIT(C460,"" "")&amp;"" "",""""))))))"),"GUISELA FELIX LEÓN")</f>
        <v>GUISELA FELIX LEÓN</v>
      </c>
      <c r="L460" s="2" t="str">
        <f t="shared" si="1"/>
        <v/>
      </c>
      <c r="M460" s="2">
        <f t="shared" si="2"/>
        <v>456</v>
      </c>
      <c r="AY460" s="2" t="s">
        <v>581</v>
      </c>
    </row>
    <row r="461">
      <c r="A461" s="2">
        <f t="shared" si="3"/>
        <v>458</v>
      </c>
      <c r="B461" s="1" t="s">
        <v>693</v>
      </c>
      <c r="C461" s="2" t="s">
        <v>1405</v>
      </c>
      <c r="D461" s="2" t="s">
        <v>193</v>
      </c>
      <c r="E461" s="2">
        <v>37.0</v>
      </c>
      <c r="F461" s="2" t="s">
        <v>428</v>
      </c>
      <c r="G461" s="2" t="str">
        <f t="shared" si="4"/>
        <v/>
      </c>
      <c r="H461" s="2" t="str">
        <f t="shared" si="5"/>
        <v/>
      </c>
      <c r="I461" s="2" t="str">
        <f t="shared" si="6"/>
        <v/>
      </c>
      <c r="J461" s="2" t="b">
        <f t="shared" si="7"/>
        <v>1</v>
      </c>
      <c r="K461" s="2" t="str">
        <f>IFERROR(__xludf.DUMMYFUNCTION("TRIM(JOIN("" "",UNIQUE(TOCOL(ARRAYFORMULA(IF( SPLIT(C461,"" "")=TOCOL(SPLIT(C460,"" "")),SPLIT(C461,"" "")&amp;"" "",""""))))))"),"")</f>
        <v/>
      </c>
      <c r="L461" s="2" t="str">
        <f t="shared" si="1"/>
        <v/>
      </c>
      <c r="M461" s="2">
        <f t="shared" si="2"/>
        <v>458</v>
      </c>
      <c r="AY461" s="2" t="s">
        <v>298</v>
      </c>
    </row>
    <row r="462">
      <c r="A462" s="2">
        <f t="shared" si="3"/>
        <v>459</v>
      </c>
      <c r="B462" s="1" t="s">
        <v>105</v>
      </c>
      <c r="C462" s="2" t="s">
        <v>422</v>
      </c>
      <c r="D462" s="2" t="s">
        <v>222</v>
      </c>
      <c r="E462" s="2">
        <v>42.0</v>
      </c>
      <c r="F462" s="2" t="s">
        <v>194</v>
      </c>
      <c r="G462" s="2" t="str">
        <f t="shared" si="4"/>
        <v/>
      </c>
      <c r="H462" s="2" t="str">
        <f t="shared" si="5"/>
        <v/>
      </c>
      <c r="I462" s="2" t="str">
        <f t="shared" si="6"/>
        <v/>
      </c>
      <c r="J462" s="2" t="b">
        <f t="shared" si="7"/>
        <v>0</v>
      </c>
      <c r="K462" s="2" t="str">
        <f>IFERROR(__xludf.DUMMYFUNCTION("TRIM(JOIN("" "",UNIQUE(TOCOL(ARRAYFORMULA(IF( SPLIT(C462,"" "")=TOCOL(SPLIT(C461,"" "")),SPLIT(C462,"" "")&amp;"" "",""""))))))"),"GUILLERMO")</f>
        <v>GUILLERMO</v>
      </c>
      <c r="L462" s="2" t="str">
        <f t="shared" si="1"/>
        <v/>
      </c>
      <c r="M462" s="2">
        <f t="shared" si="2"/>
        <v>459</v>
      </c>
      <c r="AY462" s="2" t="s">
        <v>837</v>
      </c>
    </row>
    <row r="463">
      <c r="A463" s="2">
        <f t="shared" si="3"/>
        <v>460</v>
      </c>
      <c r="B463" s="1" t="s">
        <v>105</v>
      </c>
      <c r="C463" s="2" t="s">
        <v>422</v>
      </c>
      <c r="D463" s="2" t="s">
        <v>222</v>
      </c>
      <c r="E463" s="2">
        <v>42.0</v>
      </c>
      <c r="F463" s="2" t="s">
        <v>428</v>
      </c>
      <c r="G463" s="2" t="str">
        <f t="shared" si="4"/>
        <v>misma edad</v>
      </c>
      <c r="H463" s="2" t="str">
        <f t="shared" si="5"/>
        <v>mismo nombre</v>
      </c>
      <c r="I463" s="2" t="str">
        <f t="shared" si="6"/>
        <v>mismo colegio</v>
      </c>
      <c r="J463" s="2" t="b">
        <f t="shared" si="7"/>
        <v>0</v>
      </c>
      <c r="K463" s="2" t="str">
        <f>IFERROR(__xludf.DUMMYFUNCTION("TRIM(JOIN("" "",UNIQUE(TOCOL(ARRAYFORMULA(IF( SPLIT(C463,"" "")=TOCOL(SPLIT(C462,"" "")),SPLIT(C463,"" "")&amp;"" "",""""))))))"),"GUILLERMO QUISPE")</f>
        <v>GUILLERMO QUISPE</v>
      </c>
      <c r="L463" s="2" t="str">
        <f t="shared" si="1"/>
        <v/>
      </c>
      <c r="M463" s="2">
        <f t="shared" si="2"/>
        <v>459</v>
      </c>
      <c r="AY463" s="2" t="s">
        <v>1033</v>
      </c>
    </row>
    <row r="464">
      <c r="A464" s="2">
        <f t="shared" si="3"/>
        <v>461</v>
      </c>
      <c r="B464" s="1" t="s">
        <v>902</v>
      </c>
      <c r="C464" s="2" t="s">
        <v>904</v>
      </c>
      <c r="D464" s="2" t="s">
        <v>222</v>
      </c>
      <c r="E464" s="2">
        <v>32.0</v>
      </c>
      <c r="F464" s="2" t="s">
        <v>194</v>
      </c>
      <c r="G464" s="2" t="str">
        <f t="shared" si="4"/>
        <v/>
      </c>
      <c r="H464" s="2" t="str">
        <f t="shared" si="5"/>
        <v/>
      </c>
      <c r="I464" s="2" t="str">
        <f t="shared" si="6"/>
        <v/>
      </c>
      <c r="J464" s="2" t="b">
        <f t="shared" si="7"/>
        <v>0</v>
      </c>
      <c r="K464" s="2" t="str">
        <f>IFERROR(__xludf.DUMMYFUNCTION("TRIM(JOIN("" "",UNIQUE(TOCOL(ARRAYFORMULA(IF( SPLIT(C464,"" "")=TOCOL(SPLIT(C463,"" "")),SPLIT(C464,"" "")&amp;"" "",""""))))))"),"")</f>
        <v/>
      </c>
      <c r="L464" s="2" t="str">
        <f t="shared" si="1"/>
        <v/>
      </c>
      <c r="M464" s="2">
        <f t="shared" si="2"/>
        <v>461</v>
      </c>
      <c r="AY464" s="2" t="s">
        <v>1369</v>
      </c>
    </row>
    <row r="465">
      <c r="A465" s="2">
        <f t="shared" si="3"/>
        <v>462</v>
      </c>
      <c r="B465" s="1" t="s">
        <v>719</v>
      </c>
      <c r="C465" s="2" t="s">
        <v>1415</v>
      </c>
      <c r="D465" s="2" t="s">
        <v>193</v>
      </c>
      <c r="E465" s="2">
        <v>48.0</v>
      </c>
      <c r="F465" s="2" t="s">
        <v>428</v>
      </c>
      <c r="G465" s="2" t="str">
        <f t="shared" si="4"/>
        <v/>
      </c>
      <c r="H465" s="2" t="str">
        <f t="shared" si="5"/>
        <v/>
      </c>
      <c r="I465" s="2" t="str">
        <f t="shared" si="6"/>
        <v/>
      </c>
      <c r="J465" s="2" t="b">
        <f t="shared" si="7"/>
        <v>0</v>
      </c>
      <c r="K465" s="2" t="str">
        <f>IFERROR(__xludf.DUMMYFUNCTION("TRIM(JOIN("" "",UNIQUE(TOCOL(ARRAYFORMULA(IF( SPLIT(C465,"" "")=TOCOL(SPLIT(C464,"" "")),SPLIT(C465,"" "")&amp;"" "",""""))))))"),"")</f>
        <v/>
      </c>
      <c r="L465" s="2" t="str">
        <f t="shared" si="1"/>
        <v/>
      </c>
      <c r="M465" s="2">
        <f t="shared" si="2"/>
        <v>462</v>
      </c>
      <c r="AY465" s="2" t="s">
        <v>1057</v>
      </c>
    </row>
    <row r="466">
      <c r="A466" s="2">
        <f t="shared" si="3"/>
        <v>463</v>
      </c>
      <c r="B466" s="1" t="s">
        <v>693</v>
      </c>
      <c r="C466" s="2" t="s">
        <v>1403</v>
      </c>
      <c r="D466" s="2" t="s">
        <v>193</v>
      </c>
      <c r="E466" s="2"/>
      <c r="F466" s="2" t="s">
        <v>428</v>
      </c>
      <c r="G466" s="2" t="str">
        <f t="shared" si="4"/>
        <v/>
      </c>
      <c r="H466" s="2" t="str">
        <f t="shared" si="5"/>
        <v/>
      </c>
      <c r="I466" s="2" t="str">
        <f t="shared" si="6"/>
        <v/>
      </c>
      <c r="J466" s="2" t="b">
        <f t="shared" si="7"/>
        <v>1</v>
      </c>
      <c r="K466" s="2" t="str">
        <f>IFERROR(__xludf.DUMMYFUNCTION("TRIM(JOIN("" "",UNIQUE(TOCOL(ARRAYFORMULA(IF( SPLIT(C466,"" "")=TOCOL(SPLIT(C465,"" "")),SPLIT(C466,"" "")&amp;"" "",""""))))))"),"GUERRA")</f>
        <v>GUERRA</v>
      </c>
      <c r="L466" s="2" t="str">
        <f t="shared" si="1"/>
        <v/>
      </c>
      <c r="M466" s="2">
        <f t="shared" si="2"/>
        <v>463</v>
      </c>
      <c r="AY466" s="2" t="s">
        <v>508</v>
      </c>
    </row>
    <row r="467">
      <c r="A467" s="2">
        <f t="shared" si="3"/>
        <v>464</v>
      </c>
      <c r="B467" s="1" t="s">
        <v>154</v>
      </c>
      <c r="C467" s="2" t="s">
        <v>520</v>
      </c>
      <c r="D467" s="2" t="s">
        <v>222</v>
      </c>
      <c r="E467" s="2">
        <v>37.0</v>
      </c>
      <c r="F467" s="2" t="s">
        <v>428</v>
      </c>
      <c r="G467" s="2" t="str">
        <f t="shared" si="4"/>
        <v/>
      </c>
      <c r="H467" s="2" t="str">
        <f t="shared" si="5"/>
        <v/>
      </c>
      <c r="I467" s="2" t="str">
        <f t="shared" si="6"/>
        <v/>
      </c>
      <c r="J467" s="2" t="b">
        <f t="shared" si="7"/>
        <v>1</v>
      </c>
      <c r="K467" s="2" t="str">
        <f>IFERROR(__xludf.DUMMYFUNCTION("TRIM(JOIN("" "",UNIQUE(TOCOL(ARRAYFORMULA(IF( SPLIT(C467,"" "")=TOCOL(SPLIT(C466,"" "")),SPLIT(C467,"" "")&amp;"" "",""""))))))"),"GUERRA")</f>
        <v>GUERRA</v>
      </c>
      <c r="L467" s="2" t="str">
        <f t="shared" si="1"/>
        <v/>
      </c>
      <c r="M467" s="2">
        <f t="shared" si="2"/>
        <v>464</v>
      </c>
      <c r="AY467" s="2" t="s">
        <v>1069</v>
      </c>
    </row>
    <row r="468">
      <c r="A468" s="2">
        <f t="shared" si="3"/>
        <v>465</v>
      </c>
      <c r="B468" s="1" t="s">
        <v>457</v>
      </c>
      <c r="C468" s="2" t="s">
        <v>482</v>
      </c>
      <c r="D468" s="2" t="s">
        <v>193</v>
      </c>
      <c r="E468" s="2"/>
      <c r="F468" s="2" t="s">
        <v>428</v>
      </c>
      <c r="G468" s="2" t="str">
        <f t="shared" si="4"/>
        <v/>
      </c>
      <c r="H468" s="2" t="str">
        <f t="shared" si="5"/>
        <v/>
      </c>
      <c r="I468" s="2" t="str">
        <f t="shared" si="6"/>
        <v/>
      </c>
      <c r="J468" s="2" t="b">
        <f t="shared" si="7"/>
        <v>1</v>
      </c>
      <c r="K468" s="2" t="str">
        <f>IFERROR(__xludf.DUMMYFUNCTION("TRIM(JOIN("" "",UNIQUE(TOCOL(ARRAYFORMULA(IF( SPLIT(C468,"" "")=TOCOL(SPLIT(C467,"" "")),SPLIT(C468,"" "")&amp;"" "",""""))))))"),"GUERRA")</f>
        <v>GUERRA</v>
      </c>
      <c r="L468" s="2" t="str">
        <f t="shared" si="1"/>
        <v/>
      </c>
      <c r="M468" s="2">
        <f t="shared" si="2"/>
        <v>465</v>
      </c>
      <c r="AY468" s="2" t="s">
        <v>472</v>
      </c>
    </row>
    <row r="469">
      <c r="A469" s="2">
        <f t="shared" si="3"/>
        <v>466</v>
      </c>
      <c r="B469" s="1" t="s">
        <v>668</v>
      </c>
      <c r="C469" s="2" t="s">
        <v>682</v>
      </c>
      <c r="D469" s="2" t="s">
        <v>193</v>
      </c>
      <c r="E469" s="2">
        <v>22.0</v>
      </c>
      <c r="F469" s="2" t="s">
        <v>194</v>
      </c>
      <c r="G469" s="2" t="str">
        <f t="shared" si="4"/>
        <v/>
      </c>
      <c r="H469" s="2" t="str">
        <f t="shared" si="5"/>
        <v/>
      </c>
      <c r="I469" s="2" t="str">
        <f t="shared" si="6"/>
        <v/>
      </c>
      <c r="J469" s="2" t="b">
        <f t="shared" si="7"/>
        <v>0</v>
      </c>
      <c r="K469" s="2" t="str">
        <f>IFERROR(__xludf.DUMMYFUNCTION("TRIM(JOIN("" "",UNIQUE(TOCOL(ARRAYFORMULA(IF( SPLIT(C469,"" "")=TOCOL(SPLIT(C468,"" "")),SPLIT(C469,"" "")&amp;"" "",""""))))))"),"")</f>
        <v/>
      </c>
      <c r="L469" s="2" t="str">
        <f t="shared" si="1"/>
        <v/>
      </c>
      <c r="M469" s="2">
        <f t="shared" si="2"/>
        <v>466</v>
      </c>
      <c r="AY469" s="2" t="s">
        <v>510</v>
      </c>
    </row>
    <row r="470">
      <c r="A470" s="2">
        <f t="shared" si="3"/>
        <v>467</v>
      </c>
      <c r="B470" s="1" t="s">
        <v>595</v>
      </c>
      <c r="C470" s="2" t="s">
        <v>901</v>
      </c>
      <c r="D470" s="2" t="s">
        <v>193</v>
      </c>
      <c r="E470" s="2">
        <v>30.0</v>
      </c>
      <c r="F470" s="2" t="s">
        <v>194</v>
      </c>
      <c r="G470" s="2" t="str">
        <f t="shared" si="4"/>
        <v/>
      </c>
      <c r="H470" s="2" t="str">
        <f t="shared" si="5"/>
        <v/>
      </c>
      <c r="I470" s="2" t="str">
        <f t="shared" si="6"/>
        <v/>
      </c>
      <c r="J470" s="2" t="b">
        <f t="shared" si="7"/>
        <v>1</v>
      </c>
      <c r="K470" s="2" t="str">
        <f>IFERROR(__xludf.DUMMYFUNCTION("TRIM(JOIN("" "",UNIQUE(TOCOL(ARRAYFORMULA(IF( SPLIT(C470,"" "")=TOCOL(SPLIT(C469,"" "")),SPLIT(C470,"" "")&amp;"" "",""""))))))"),"GONZALES")</f>
        <v>GONZALES</v>
      </c>
      <c r="L470" s="2" t="str">
        <f t="shared" si="1"/>
        <v/>
      </c>
      <c r="M470" s="2">
        <f t="shared" si="2"/>
        <v>467</v>
      </c>
      <c r="AY470" s="2" t="s">
        <v>1429</v>
      </c>
    </row>
    <row r="471">
      <c r="A471" s="2">
        <f t="shared" si="3"/>
        <v>468</v>
      </c>
      <c r="B471" s="1" t="s">
        <v>775</v>
      </c>
      <c r="C471" s="2" t="s">
        <v>791</v>
      </c>
      <c r="D471" s="2" t="s">
        <v>193</v>
      </c>
      <c r="E471" s="2">
        <v>24.0</v>
      </c>
      <c r="F471" s="2" t="s">
        <v>194</v>
      </c>
      <c r="G471" s="2" t="str">
        <f t="shared" si="4"/>
        <v/>
      </c>
      <c r="H471" s="2" t="str">
        <f t="shared" si="5"/>
        <v/>
      </c>
      <c r="I471" s="2" t="str">
        <f t="shared" si="6"/>
        <v/>
      </c>
      <c r="J471" s="2" t="b">
        <f t="shared" si="7"/>
        <v>1</v>
      </c>
      <c r="K471" s="2" t="str">
        <f>IFERROR(__xludf.DUMMYFUNCTION("TRIM(JOIN("" "",UNIQUE(TOCOL(ARRAYFORMULA(IF( SPLIT(C471,"" "")=TOCOL(SPLIT(C470,"" "")),SPLIT(C471,"" "")&amp;"" "",""""))))))"),"")</f>
        <v/>
      </c>
      <c r="L471" s="2" t="str">
        <f t="shared" si="1"/>
        <v>-&gt;WITH THIS</v>
      </c>
      <c r="M471" s="2">
        <f t="shared" si="2"/>
        <v>468</v>
      </c>
      <c r="AY471" s="2" t="s">
        <v>1060</v>
      </c>
    </row>
    <row r="472">
      <c r="A472" s="2">
        <f t="shared" si="3"/>
        <v>469</v>
      </c>
      <c r="B472" s="1" t="s">
        <v>775</v>
      </c>
      <c r="C472" s="2" t="s">
        <v>1457</v>
      </c>
      <c r="D472" s="2" t="s">
        <v>193</v>
      </c>
      <c r="E472" s="2">
        <v>24.0</v>
      </c>
      <c r="F472" s="2" t="s">
        <v>428</v>
      </c>
      <c r="G472" s="2" t="str">
        <f t="shared" si="4"/>
        <v>misma edad</v>
      </c>
      <c r="H472" s="2" t="str">
        <f t="shared" si="5"/>
        <v/>
      </c>
      <c r="I472" s="2" t="str">
        <f t="shared" si="6"/>
        <v>mismo colegio</v>
      </c>
      <c r="J472" s="2" t="b">
        <f t="shared" si="7"/>
        <v>0</v>
      </c>
      <c r="K472" s="2" t="str">
        <f>IFERROR(__xludf.DUMMYFUNCTION("TRIM(JOIN("" "",UNIQUE(TOCOL(ARRAYFORMULA(IF( SPLIT(C472,"" "")=TOCOL(SPLIT(C471,"" "")),SPLIT(C472,"" "")&amp;"" "",""""))))))"),"GOMEZ HUAYTAN YANET")</f>
        <v>GOMEZ HUAYTAN YANET</v>
      </c>
      <c r="L472" s="2" t="str">
        <f t="shared" si="1"/>
        <v>EVALUAR</v>
      </c>
      <c r="M472" s="2">
        <f t="shared" si="2"/>
        <v>469</v>
      </c>
      <c r="AY472" s="2" t="s">
        <v>278</v>
      </c>
    </row>
    <row r="473">
      <c r="A473" s="2">
        <f t="shared" si="3"/>
        <v>470</v>
      </c>
      <c r="B473" s="1" t="s">
        <v>775</v>
      </c>
      <c r="C473" s="2" t="s">
        <v>1455</v>
      </c>
      <c r="D473" s="2" t="s">
        <v>193</v>
      </c>
      <c r="E473" s="2">
        <v>27.0</v>
      </c>
      <c r="F473" s="2" t="s">
        <v>428</v>
      </c>
      <c r="G473" s="2" t="str">
        <f t="shared" si="4"/>
        <v/>
      </c>
      <c r="H473" s="2" t="str">
        <f t="shared" si="5"/>
        <v/>
      </c>
      <c r="I473" s="2" t="str">
        <f t="shared" si="6"/>
        <v>mismo colegio</v>
      </c>
      <c r="J473" s="2" t="b">
        <f t="shared" si="7"/>
        <v>1</v>
      </c>
      <c r="K473" s="2" t="str">
        <f>IFERROR(__xludf.DUMMYFUNCTION("TRIM(JOIN("" "",UNIQUE(TOCOL(ARRAYFORMULA(IF( SPLIT(C473,"" "")=TOCOL(SPLIT(C472,"" "")),SPLIT(C473,"" "")&amp;"" "",""""))))))"),"GOMEZ HUAYTAN")</f>
        <v>GOMEZ HUAYTAN</v>
      </c>
      <c r="L473" s="2" t="str">
        <f t="shared" si="1"/>
        <v>-&gt;WITH THIS</v>
      </c>
      <c r="M473" s="2">
        <f t="shared" si="2"/>
        <v>470</v>
      </c>
      <c r="AY473" s="2" t="s">
        <v>1480</v>
      </c>
    </row>
    <row r="474">
      <c r="A474" s="2">
        <f t="shared" si="3"/>
        <v>471</v>
      </c>
      <c r="B474" s="1" t="s">
        <v>775</v>
      </c>
      <c r="C474" s="2" t="s">
        <v>789</v>
      </c>
      <c r="D474" s="2" t="s">
        <v>193</v>
      </c>
      <c r="E474" s="2">
        <v>27.0</v>
      </c>
      <c r="F474" s="2" t="s">
        <v>194</v>
      </c>
      <c r="G474" s="2" t="str">
        <f t="shared" si="4"/>
        <v>misma edad</v>
      </c>
      <c r="H474" s="2" t="str">
        <f t="shared" si="5"/>
        <v/>
      </c>
      <c r="I474" s="2" t="str">
        <f t="shared" si="6"/>
        <v>mismo colegio</v>
      </c>
      <c r="J474" s="2" t="b">
        <f t="shared" si="7"/>
        <v>0</v>
      </c>
      <c r="K474" s="2" t="str">
        <f>IFERROR(__xludf.DUMMYFUNCTION("TRIM(JOIN("" "",UNIQUE(TOCOL(ARRAYFORMULA(IF( SPLIT(C474,"" "")=TOCOL(SPLIT(C473,"" "")),SPLIT(C474,"" "")&amp;"" "",""""))))))"),"GOMEZ HUAYTAN ANITA")</f>
        <v>GOMEZ HUAYTAN ANITA</v>
      </c>
      <c r="L474" s="2" t="str">
        <f t="shared" si="1"/>
        <v>EVALUAR</v>
      </c>
      <c r="M474" s="2">
        <f t="shared" si="2"/>
        <v>471</v>
      </c>
      <c r="AY474" s="2" t="s">
        <v>827</v>
      </c>
    </row>
    <row r="475">
      <c r="A475" s="2">
        <f t="shared" si="3"/>
        <v>472</v>
      </c>
      <c r="B475" s="1" t="s">
        <v>668</v>
      </c>
      <c r="C475" s="2" t="s">
        <v>688</v>
      </c>
      <c r="D475" s="2" t="s">
        <v>193</v>
      </c>
      <c r="E475" s="2">
        <v>39.0</v>
      </c>
      <c r="F475" s="2" t="s">
        <v>194</v>
      </c>
      <c r="G475" s="2" t="str">
        <f t="shared" si="4"/>
        <v/>
      </c>
      <c r="H475" s="2" t="str">
        <f t="shared" si="5"/>
        <v/>
      </c>
      <c r="I475" s="2" t="str">
        <f t="shared" si="6"/>
        <v/>
      </c>
      <c r="J475" s="2" t="b">
        <f t="shared" si="7"/>
        <v>1</v>
      </c>
      <c r="K475" s="2" t="str">
        <f>IFERROR(__xludf.DUMMYFUNCTION("TRIM(JOIN("" "",UNIQUE(TOCOL(ARRAYFORMULA(IF( SPLIT(C475,"" "")=TOCOL(SPLIT(C474,"" "")),SPLIT(C475,"" "")&amp;"" "",""""))))))"),"GOMEZ")</f>
        <v>GOMEZ</v>
      </c>
      <c r="L475" s="2" t="str">
        <f t="shared" si="1"/>
        <v/>
      </c>
      <c r="M475" s="2">
        <f t="shared" si="2"/>
        <v>472</v>
      </c>
      <c r="AY475" s="2" t="s">
        <v>933</v>
      </c>
    </row>
    <row r="476">
      <c r="A476" s="2">
        <f t="shared" si="3"/>
        <v>473</v>
      </c>
      <c r="B476" s="1" t="s">
        <v>668</v>
      </c>
      <c r="C476" s="2" t="s">
        <v>688</v>
      </c>
      <c r="D476" s="2" t="s">
        <v>193</v>
      </c>
      <c r="E476" s="2">
        <v>38.0</v>
      </c>
      <c r="F476" s="2" t="s">
        <v>428</v>
      </c>
      <c r="G476" s="2" t="str">
        <f t="shared" si="4"/>
        <v/>
      </c>
      <c r="H476" s="2" t="str">
        <f t="shared" si="5"/>
        <v>mismo nombre</v>
      </c>
      <c r="I476" s="2" t="str">
        <f t="shared" si="6"/>
        <v>mismo colegio</v>
      </c>
      <c r="J476" s="2" t="b">
        <f t="shared" si="7"/>
        <v>0</v>
      </c>
      <c r="K476" s="2" t="str">
        <f>IFERROR(__xludf.DUMMYFUNCTION("TRIM(JOIN("" "",UNIQUE(TOCOL(ARRAYFORMULA(IF( SPLIT(C476,"" "")=TOCOL(SPLIT(C475,"" "")),SPLIT(C476,"" "")&amp;"" "",""""))))))"),"GOMEZ CAMILOAGA EUSEBIA")</f>
        <v>GOMEZ CAMILOAGA EUSEBIA</v>
      </c>
      <c r="L476" s="2" t="str">
        <f t="shared" si="1"/>
        <v/>
      </c>
      <c r="M476" s="2">
        <f t="shared" si="2"/>
        <v>472</v>
      </c>
      <c r="AY476" s="2" t="s">
        <v>1317</v>
      </c>
    </row>
    <row r="477">
      <c r="A477" s="2">
        <f t="shared" si="3"/>
        <v>474</v>
      </c>
      <c r="B477" s="1" t="s">
        <v>902</v>
      </c>
      <c r="C477" s="2" t="s">
        <v>906</v>
      </c>
      <c r="D477" s="2" t="s">
        <v>193</v>
      </c>
      <c r="E477" s="2">
        <v>40.0</v>
      </c>
      <c r="F477" s="2" t="s">
        <v>194</v>
      </c>
      <c r="G477" s="2" t="str">
        <f t="shared" si="4"/>
        <v/>
      </c>
      <c r="H477" s="2" t="str">
        <f t="shared" si="5"/>
        <v/>
      </c>
      <c r="I477" s="2" t="str">
        <f t="shared" si="6"/>
        <v/>
      </c>
      <c r="J477" s="2" t="b">
        <f t="shared" si="7"/>
        <v>0</v>
      </c>
      <c r="K477" s="2" t="str">
        <f>IFERROR(__xludf.DUMMYFUNCTION("TRIM(JOIN("" "",UNIQUE(TOCOL(ARRAYFORMULA(IF( SPLIT(C477,"" "")=TOCOL(SPLIT(C476,"" "")),SPLIT(C477,"" "")&amp;"" "",""""))))))"),"")</f>
        <v/>
      </c>
      <c r="L477" s="2" t="str">
        <f t="shared" si="1"/>
        <v/>
      </c>
      <c r="M477" s="2">
        <f t="shared" si="2"/>
        <v>474</v>
      </c>
      <c r="AY477" s="2" t="s">
        <v>1019</v>
      </c>
    </row>
    <row r="478">
      <c r="A478" s="2">
        <f t="shared" si="3"/>
        <v>475</v>
      </c>
      <c r="B478" s="1" t="s">
        <v>902</v>
      </c>
      <c r="C478" s="2" t="s">
        <v>906</v>
      </c>
      <c r="D478" s="2" t="s">
        <v>193</v>
      </c>
      <c r="E478" s="2">
        <v>40.0</v>
      </c>
      <c r="F478" s="2" t="s">
        <v>428</v>
      </c>
      <c r="G478" s="2" t="str">
        <f t="shared" si="4"/>
        <v>misma edad</v>
      </c>
      <c r="H478" s="2" t="str">
        <f t="shared" si="5"/>
        <v>mismo nombre</v>
      </c>
      <c r="I478" s="2" t="str">
        <f t="shared" si="6"/>
        <v>mismo colegio</v>
      </c>
      <c r="J478" s="2" t="b">
        <f t="shared" si="7"/>
        <v>0</v>
      </c>
      <c r="K478" s="2" t="str">
        <f>IFERROR(__xludf.DUMMYFUNCTION("TRIM(JOIN("" "",UNIQUE(TOCOL(ARRAYFORMULA(IF( SPLIT(C478,"" "")=TOCOL(SPLIT(C477,"" "")),SPLIT(C478,"" "")&amp;"" "",""""))))))"),"GOMERO VICENCIO SONIA")</f>
        <v>GOMERO VICENCIO SONIA</v>
      </c>
      <c r="L478" s="2" t="str">
        <f t="shared" si="1"/>
        <v/>
      </c>
      <c r="M478" s="2">
        <f t="shared" si="2"/>
        <v>474</v>
      </c>
      <c r="AY478" s="2" t="s">
        <v>921</v>
      </c>
    </row>
    <row r="479">
      <c r="A479" s="2">
        <f t="shared" si="3"/>
        <v>476</v>
      </c>
      <c r="B479" s="1" t="s">
        <v>323</v>
      </c>
      <c r="C479" s="2" t="s">
        <v>357</v>
      </c>
      <c r="D479" s="2" t="s">
        <v>193</v>
      </c>
      <c r="E479" s="2">
        <v>28.0</v>
      </c>
      <c r="F479" s="2" t="s">
        <v>194</v>
      </c>
      <c r="G479" s="2" t="str">
        <f t="shared" si="4"/>
        <v/>
      </c>
      <c r="H479" s="2" t="str">
        <f t="shared" si="5"/>
        <v/>
      </c>
      <c r="I479" s="2" t="str">
        <f t="shared" si="6"/>
        <v/>
      </c>
      <c r="J479" s="2" t="b">
        <f t="shared" si="7"/>
        <v>0</v>
      </c>
      <c r="K479" s="2" t="str">
        <f>IFERROR(__xludf.DUMMYFUNCTION("TRIM(JOIN("" "",UNIQUE(TOCOL(ARRAYFORMULA(IF( SPLIT(C479,"" "")=TOCOL(SPLIT(C478,"" "")),SPLIT(C479,"" "")&amp;"" "",""""))))))"),"")</f>
        <v/>
      </c>
      <c r="L479" s="2" t="str">
        <f t="shared" si="1"/>
        <v/>
      </c>
      <c r="M479" s="2">
        <f t="shared" si="2"/>
        <v>476</v>
      </c>
      <c r="AY479" s="2" t="s">
        <v>1402</v>
      </c>
    </row>
    <row r="480">
      <c r="A480" s="2">
        <f t="shared" si="3"/>
        <v>477</v>
      </c>
      <c r="B480" s="1" t="s">
        <v>323</v>
      </c>
      <c r="C480" s="2" t="s">
        <v>357</v>
      </c>
      <c r="D480" s="2" t="s">
        <v>193</v>
      </c>
      <c r="E480" s="40"/>
      <c r="F480" s="2" t="s">
        <v>428</v>
      </c>
      <c r="G480" s="2" t="str">
        <f t="shared" si="4"/>
        <v/>
      </c>
      <c r="H480" s="2" t="str">
        <f t="shared" si="5"/>
        <v>mismo nombre</v>
      </c>
      <c r="I480" s="2" t="str">
        <f t="shared" si="6"/>
        <v>mismo colegio</v>
      </c>
      <c r="J480" s="2" t="b">
        <f t="shared" si="7"/>
        <v>0</v>
      </c>
      <c r="K480" s="2" t="str">
        <f>IFERROR(__xludf.DUMMYFUNCTION("TRIM(JOIN("" "",UNIQUE(TOCOL(ARRAYFORMULA(IF( SPLIT(C480,"" "")=TOCOL(SPLIT(C479,"" "")),SPLIT(C480,"" "")&amp;"" "",""""))))))"),"GLORIA PADILLA MORENO")</f>
        <v>GLORIA PADILLA MORENO</v>
      </c>
      <c r="L480" s="2" t="str">
        <f t="shared" si="1"/>
        <v/>
      </c>
      <c r="M480" s="2">
        <f t="shared" si="2"/>
        <v>476</v>
      </c>
      <c r="AY480" s="2" t="s">
        <v>1327</v>
      </c>
    </row>
    <row r="481">
      <c r="A481" s="2">
        <f t="shared" si="3"/>
        <v>478</v>
      </c>
      <c r="B481" s="1" t="s">
        <v>954</v>
      </c>
      <c r="C481" s="2" t="s">
        <v>960</v>
      </c>
      <c r="D481" s="2" t="s">
        <v>193</v>
      </c>
      <c r="E481" s="2">
        <v>39.0</v>
      </c>
      <c r="F481" s="2" t="s">
        <v>194</v>
      </c>
      <c r="G481" s="2" t="str">
        <f t="shared" si="4"/>
        <v/>
      </c>
      <c r="H481" s="2" t="str">
        <f t="shared" si="5"/>
        <v/>
      </c>
      <c r="I481" s="2" t="str">
        <f t="shared" si="6"/>
        <v/>
      </c>
      <c r="J481" s="2" t="b">
        <f t="shared" si="7"/>
        <v>0</v>
      </c>
      <c r="K481" s="2" t="str">
        <f>IFERROR(__xludf.DUMMYFUNCTION("TRIM(JOIN("" "",UNIQUE(TOCOL(ARRAYFORMULA(IF( SPLIT(C481,"" "")=TOCOL(SPLIT(C480,"" "")),SPLIT(C481,"" "")&amp;"" "",""""))))))"),"GLORIA")</f>
        <v>GLORIA</v>
      </c>
      <c r="L481" s="2" t="str">
        <f t="shared" si="1"/>
        <v/>
      </c>
      <c r="M481" s="2">
        <f t="shared" si="2"/>
        <v>478</v>
      </c>
      <c r="AY481" s="2" t="s">
        <v>258</v>
      </c>
    </row>
    <row r="482">
      <c r="A482" s="2">
        <f t="shared" si="3"/>
        <v>479</v>
      </c>
      <c r="B482" s="1" t="s">
        <v>954</v>
      </c>
      <c r="C482" s="2" t="s">
        <v>960</v>
      </c>
      <c r="D482" s="2" t="s">
        <v>193</v>
      </c>
      <c r="E482" s="40"/>
      <c r="F482" s="2" t="s">
        <v>428</v>
      </c>
      <c r="G482" s="2" t="str">
        <f t="shared" si="4"/>
        <v/>
      </c>
      <c r="H482" s="2" t="str">
        <f t="shared" si="5"/>
        <v>mismo nombre</v>
      </c>
      <c r="I482" s="2" t="str">
        <f t="shared" si="6"/>
        <v>mismo colegio</v>
      </c>
      <c r="J482" s="2" t="b">
        <f t="shared" si="7"/>
        <v>0</v>
      </c>
      <c r="K482" s="2" t="str">
        <f>IFERROR(__xludf.DUMMYFUNCTION("TRIM(JOIN("" "",UNIQUE(TOCOL(ARRAYFORMULA(IF( SPLIT(C482,"" "")=TOCOL(SPLIT(C481,"" "")),SPLIT(C482,"" "")&amp;"" "",""""))))))"),"GLORIA ESPINOZA FRANCISCO")</f>
        <v>GLORIA ESPINOZA FRANCISCO</v>
      </c>
      <c r="L482" s="2" t="str">
        <f t="shared" si="1"/>
        <v/>
      </c>
      <c r="M482" s="2">
        <f t="shared" si="2"/>
        <v>478</v>
      </c>
      <c r="AY482" s="2" t="s">
        <v>1375</v>
      </c>
    </row>
    <row r="483">
      <c r="A483" s="2">
        <f t="shared" si="3"/>
        <v>480</v>
      </c>
      <c r="B483" s="1" t="s">
        <v>190</v>
      </c>
      <c r="C483" s="2" t="s">
        <v>197</v>
      </c>
      <c r="D483" s="2" t="s">
        <v>193</v>
      </c>
      <c r="E483" s="2">
        <v>40.0</v>
      </c>
      <c r="F483" s="2" t="s">
        <v>194</v>
      </c>
      <c r="G483" s="2" t="str">
        <f t="shared" si="4"/>
        <v/>
      </c>
      <c r="H483" s="2" t="str">
        <f t="shared" si="5"/>
        <v/>
      </c>
      <c r="I483" s="2" t="str">
        <f t="shared" si="6"/>
        <v/>
      </c>
      <c r="J483" s="2" t="b">
        <f t="shared" si="7"/>
        <v>0</v>
      </c>
      <c r="K483" s="2" t="str">
        <f>IFERROR(__xludf.DUMMYFUNCTION("TRIM(JOIN("" "",UNIQUE(TOCOL(ARRAYFORMULA(IF( SPLIT(C483,"" "")=TOCOL(SPLIT(C482,"" "")),SPLIT(C483,"" "")&amp;"" "",""""))))))"),"GLORIA")</f>
        <v>GLORIA</v>
      </c>
      <c r="L483" s="2" t="str">
        <f t="shared" si="1"/>
        <v/>
      </c>
      <c r="M483" s="2">
        <f t="shared" si="2"/>
        <v>480</v>
      </c>
      <c r="AY483" s="2" t="s">
        <v>1065</v>
      </c>
    </row>
    <row r="484">
      <c r="A484" s="2">
        <f t="shared" si="3"/>
        <v>481</v>
      </c>
      <c r="B484" s="1" t="s">
        <v>190</v>
      </c>
      <c r="C484" s="2" t="s">
        <v>197</v>
      </c>
      <c r="D484" s="2" t="s">
        <v>193</v>
      </c>
      <c r="E484" s="2">
        <v>40.0</v>
      </c>
      <c r="F484" s="2" t="s">
        <v>428</v>
      </c>
      <c r="G484" s="2" t="str">
        <f t="shared" si="4"/>
        <v>misma edad</v>
      </c>
      <c r="H484" s="2" t="str">
        <f t="shared" si="5"/>
        <v>mismo nombre</v>
      </c>
      <c r="I484" s="2" t="str">
        <f t="shared" si="6"/>
        <v>mismo colegio</v>
      </c>
      <c r="J484" s="2" t="b">
        <f t="shared" si="7"/>
        <v>0</v>
      </c>
      <c r="K484" s="2" t="str">
        <f>IFERROR(__xludf.DUMMYFUNCTION("TRIM(JOIN("" "",UNIQUE(TOCOL(ARRAYFORMULA(IF( SPLIT(C484,"" "")=TOCOL(SPLIT(C483,"" "")),SPLIT(C484,"" "")&amp;"" "",""""))))))"),"GLORIA CERPA POMA")</f>
        <v>GLORIA CERPA POMA</v>
      </c>
      <c r="L484" s="2" t="str">
        <f t="shared" si="1"/>
        <v/>
      </c>
      <c r="M484" s="2">
        <f t="shared" si="2"/>
        <v>480</v>
      </c>
      <c r="AY484" s="2" t="s">
        <v>1259</v>
      </c>
    </row>
    <row r="485">
      <c r="A485" s="2">
        <f t="shared" si="3"/>
        <v>482</v>
      </c>
      <c r="B485" s="1" t="s">
        <v>911</v>
      </c>
      <c r="C485" s="2" t="s">
        <v>1052</v>
      </c>
      <c r="D485" s="2" t="s">
        <v>193</v>
      </c>
      <c r="E485" s="2">
        <v>49.0</v>
      </c>
      <c r="F485" s="2" t="s">
        <v>194</v>
      </c>
      <c r="G485" s="2" t="str">
        <f t="shared" si="4"/>
        <v/>
      </c>
      <c r="H485" s="2" t="str">
        <f t="shared" si="5"/>
        <v/>
      </c>
      <c r="I485" s="2" t="str">
        <f t="shared" si="6"/>
        <v/>
      </c>
      <c r="J485" s="2" t="b">
        <f t="shared" si="7"/>
        <v>0</v>
      </c>
      <c r="K485" s="2" t="str">
        <f>IFERROR(__xludf.DUMMYFUNCTION("TRIM(JOIN("" "",UNIQUE(TOCOL(ARRAYFORMULA(IF( SPLIT(C485,"" "")=TOCOL(SPLIT(C484,"" "")),SPLIT(C485,"" "")&amp;"" "",""""))))))"),"")</f>
        <v/>
      </c>
      <c r="L485" s="2" t="str">
        <f t="shared" si="1"/>
        <v/>
      </c>
      <c r="M485" s="2">
        <f t="shared" si="2"/>
        <v>482</v>
      </c>
      <c r="AY485" s="2" t="s">
        <v>1269</v>
      </c>
    </row>
    <row r="486">
      <c r="A486" s="2">
        <f t="shared" si="3"/>
        <v>483</v>
      </c>
      <c r="B486" s="1" t="s">
        <v>154</v>
      </c>
      <c r="C486" s="2" t="s">
        <v>509</v>
      </c>
      <c r="D486" s="2" t="s">
        <v>193</v>
      </c>
      <c r="E486" s="2">
        <v>22.0</v>
      </c>
      <c r="F486" s="2" t="s">
        <v>194</v>
      </c>
      <c r="G486" s="2" t="str">
        <f t="shared" si="4"/>
        <v/>
      </c>
      <c r="H486" s="2" t="str">
        <f t="shared" si="5"/>
        <v/>
      </c>
      <c r="I486" s="2" t="str">
        <f t="shared" si="6"/>
        <v/>
      </c>
      <c r="J486" s="2" t="b">
        <f t="shared" si="7"/>
        <v>1</v>
      </c>
      <c r="K486" s="2" t="str">
        <f>IFERROR(__xludf.DUMMYFUNCTION("TRIM(JOIN("" "",UNIQUE(TOCOL(ARRAYFORMULA(IF( SPLIT(C486,"" "")=TOCOL(SPLIT(C485,"" "")),SPLIT(C486,"" "")&amp;"" "",""""))))))"),"")</f>
        <v/>
      </c>
      <c r="L486" s="2" t="str">
        <f t="shared" si="1"/>
        <v/>
      </c>
      <c r="M486" s="2">
        <f t="shared" si="2"/>
        <v>483</v>
      </c>
      <c r="AY486" s="2" t="s">
        <v>1049</v>
      </c>
    </row>
    <row r="487">
      <c r="A487" s="2">
        <f t="shared" si="3"/>
        <v>484</v>
      </c>
      <c r="B487" s="1" t="s">
        <v>928</v>
      </c>
      <c r="C487" s="2" t="s">
        <v>1312</v>
      </c>
      <c r="D487" s="2" t="s">
        <v>193</v>
      </c>
      <c r="E487" s="2">
        <v>27.0</v>
      </c>
      <c r="F487" s="2" t="s">
        <v>428</v>
      </c>
      <c r="G487" s="2" t="str">
        <f t="shared" si="4"/>
        <v/>
      </c>
      <c r="H487" s="2" t="str">
        <f t="shared" si="5"/>
        <v/>
      </c>
      <c r="I487" s="2" t="str">
        <f t="shared" si="6"/>
        <v/>
      </c>
      <c r="J487" s="2" t="b">
        <f t="shared" si="7"/>
        <v>0</v>
      </c>
      <c r="K487" s="2" t="str">
        <f>IFERROR(__xludf.DUMMYFUNCTION("TRIM(JOIN("" "",UNIQUE(TOCOL(ARRAYFORMULA(IF( SPLIT(C487,"" "")=TOCOL(SPLIT(C486,"" "")),SPLIT(C487,"" "")&amp;"" "",""""))))))"),"")</f>
        <v/>
      </c>
      <c r="L487" s="2" t="str">
        <f t="shared" si="1"/>
        <v/>
      </c>
      <c r="M487" s="2">
        <f t="shared" si="2"/>
        <v>484</v>
      </c>
      <c r="AY487" s="2" t="s">
        <v>896</v>
      </c>
    </row>
    <row r="488">
      <c r="A488" s="2">
        <f t="shared" si="3"/>
        <v>485</v>
      </c>
      <c r="B488" s="1" t="s">
        <v>968</v>
      </c>
      <c r="C488" s="2" t="s">
        <v>1293</v>
      </c>
      <c r="D488" s="2" t="s">
        <v>193</v>
      </c>
      <c r="E488" s="2">
        <v>27.0</v>
      </c>
      <c r="F488" s="2" t="s">
        <v>428</v>
      </c>
      <c r="G488" s="2" t="str">
        <f t="shared" si="4"/>
        <v>misma edad</v>
      </c>
      <c r="H488" s="2" t="str">
        <f t="shared" si="5"/>
        <v/>
      </c>
      <c r="I488" s="2" t="str">
        <f t="shared" si="6"/>
        <v/>
      </c>
      <c r="J488" s="2" t="b">
        <f t="shared" si="7"/>
        <v>1</v>
      </c>
      <c r="K488" s="2" t="str">
        <f>IFERROR(__xludf.DUMMYFUNCTION("TRIM(JOIN("" "",UNIQUE(TOCOL(ARRAYFORMULA(IF( SPLIT(C488,"" "")=TOCOL(SPLIT(C487,"" "")),SPLIT(C488,"" "")&amp;"" "",""""))))))"),"")</f>
        <v/>
      </c>
      <c r="L488" s="2" t="str">
        <f t="shared" si="1"/>
        <v/>
      </c>
      <c r="M488" s="2">
        <f t="shared" si="2"/>
        <v>485</v>
      </c>
      <c r="AY488" s="2" t="s">
        <v>276</v>
      </c>
    </row>
    <row r="489">
      <c r="A489" s="2">
        <f t="shared" si="3"/>
        <v>486</v>
      </c>
      <c r="B489" s="1" t="s">
        <v>457</v>
      </c>
      <c r="C489" s="2" t="s">
        <v>497</v>
      </c>
      <c r="D489" s="2" t="s">
        <v>193</v>
      </c>
      <c r="E489" s="2"/>
      <c r="F489" s="2" t="s">
        <v>428</v>
      </c>
      <c r="G489" s="2" t="str">
        <f t="shared" si="4"/>
        <v/>
      </c>
      <c r="H489" s="2" t="str">
        <f t="shared" si="5"/>
        <v/>
      </c>
      <c r="I489" s="2" t="str">
        <f t="shared" si="6"/>
        <v/>
      </c>
      <c r="J489" s="2" t="b">
        <f t="shared" si="7"/>
        <v>1</v>
      </c>
      <c r="K489" s="2" t="str">
        <f>IFERROR(__xludf.DUMMYFUNCTION("TRIM(JOIN("" "",UNIQUE(TOCOL(ARRAYFORMULA(IF( SPLIT(C489,"" "")=TOCOL(SPLIT(C488,"" "")),SPLIT(C489,"" "")&amp;"" "",""""))))))"),"")</f>
        <v/>
      </c>
      <c r="L489" s="2" t="str">
        <f t="shared" si="1"/>
        <v/>
      </c>
      <c r="M489" s="2">
        <f t="shared" si="2"/>
        <v>486</v>
      </c>
      <c r="AY489" s="2" t="s">
        <v>1025</v>
      </c>
    </row>
    <row r="490">
      <c r="A490" s="2">
        <f t="shared" si="3"/>
        <v>487</v>
      </c>
      <c r="B490" s="1" t="s">
        <v>144</v>
      </c>
      <c r="C490" s="2" t="s">
        <v>553</v>
      </c>
      <c r="D490" s="2" t="s">
        <v>193</v>
      </c>
      <c r="E490" s="2">
        <v>28.0</v>
      </c>
      <c r="F490" s="2" t="s">
        <v>194</v>
      </c>
      <c r="G490" s="2" t="str">
        <f t="shared" si="4"/>
        <v/>
      </c>
      <c r="H490" s="2" t="str">
        <f t="shared" si="5"/>
        <v/>
      </c>
      <c r="I490" s="2" t="str">
        <f t="shared" si="6"/>
        <v/>
      </c>
      <c r="J490" s="2" t="b">
        <f t="shared" si="7"/>
        <v>0</v>
      </c>
      <c r="K490" s="2" t="str">
        <f>IFERROR(__xludf.DUMMYFUNCTION("TRIM(JOIN("" "",UNIQUE(TOCOL(ARRAYFORMULA(IF( SPLIT(C490,"" "")=TOCOL(SPLIT(C489,"" "")),SPLIT(C490,"" "")&amp;"" "",""""))))))"),"GARGATE RENTERA")</f>
        <v>GARGATE RENTERA</v>
      </c>
      <c r="L490" s="2" t="str">
        <f t="shared" si="1"/>
        <v/>
      </c>
      <c r="M490" s="2">
        <f t="shared" si="2"/>
        <v>487</v>
      </c>
      <c r="AY490" s="2" t="s">
        <v>1354</v>
      </c>
    </row>
    <row r="491">
      <c r="A491" s="2">
        <f t="shared" si="3"/>
        <v>488</v>
      </c>
      <c r="B491" s="1" t="s">
        <v>144</v>
      </c>
      <c r="C491" s="2" t="s">
        <v>538</v>
      </c>
      <c r="D491" s="2" t="s">
        <v>193</v>
      </c>
      <c r="E491" s="2"/>
      <c r="F491" s="2" t="s">
        <v>194</v>
      </c>
      <c r="G491" s="2" t="str">
        <f t="shared" si="4"/>
        <v/>
      </c>
      <c r="H491" s="2" t="str">
        <f t="shared" si="5"/>
        <v/>
      </c>
      <c r="I491" s="2" t="str">
        <f t="shared" si="6"/>
        <v>mismo colegio</v>
      </c>
      <c r="J491" s="2" t="b">
        <f t="shared" si="7"/>
        <v>1</v>
      </c>
      <c r="K491" s="2" t="str">
        <f>IFERROR(__xludf.DUMMYFUNCTION("TRIM(JOIN("" "",UNIQUE(TOCOL(ARRAYFORMULA(IF( SPLIT(C491,"" "")=TOCOL(SPLIT(C490,"" "")),SPLIT(C491,"" "")&amp;"" "",""""))))))"),"GARGATE")</f>
        <v>GARGATE</v>
      </c>
      <c r="L491" s="2" t="str">
        <f t="shared" si="1"/>
        <v/>
      </c>
      <c r="M491" s="2">
        <f t="shared" si="2"/>
        <v>488</v>
      </c>
      <c r="AY491" s="2" t="s">
        <v>1321</v>
      </c>
    </row>
    <row r="492">
      <c r="A492" s="2">
        <f t="shared" si="3"/>
        <v>489</v>
      </c>
      <c r="B492" s="1" t="s">
        <v>634</v>
      </c>
      <c r="C492" s="2" t="s">
        <v>636</v>
      </c>
      <c r="D492" s="2" t="s">
        <v>193</v>
      </c>
      <c r="E492" s="2">
        <v>27.0</v>
      </c>
      <c r="F492" s="2" t="s">
        <v>194</v>
      </c>
      <c r="G492" s="2" t="str">
        <f t="shared" si="4"/>
        <v/>
      </c>
      <c r="H492" s="2" t="str">
        <f t="shared" si="5"/>
        <v/>
      </c>
      <c r="I492" s="2" t="str">
        <f t="shared" si="6"/>
        <v/>
      </c>
      <c r="J492" s="2" t="b">
        <f t="shared" si="7"/>
        <v>1</v>
      </c>
      <c r="K492" s="2" t="str">
        <f>IFERROR(__xludf.DUMMYFUNCTION("TRIM(JOIN("" "",UNIQUE(TOCOL(ARRAYFORMULA(IF( SPLIT(C492,"" "")=TOCOL(SPLIT(C491,"" "")),SPLIT(C492,"" "")&amp;"" "",""""))))))"),"")</f>
        <v/>
      </c>
      <c r="L492" s="2" t="str">
        <f t="shared" si="1"/>
        <v/>
      </c>
      <c r="M492" s="2">
        <f t="shared" si="2"/>
        <v>489</v>
      </c>
      <c r="AY492" s="2" t="s">
        <v>696</v>
      </c>
    </row>
    <row r="493">
      <c r="A493" s="2">
        <f t="shared" si="3"/>
        <v>490</v>
      </c>
      <c r="B493" s="1" t="s">
        <v>634</v>
      </c>
      <c r="C493" s="2" t="s">
        <v>636</v>
      </c>
      <c r="D493" s="2" t="s">
        <v>193</v>
      </c>
      <c r="E493" s="2">
        <v>26.0</v>
      </c>
      <c r="F493" s="2" t="s">
        <v>428</v>
      </c>
      <c r="G493" s="2" t="str">
        <f t="shared" si="4"/>
        <v/>
      </c>
      <c r="H493" s="2" t="str">
        <f t="shared" si="5"/>
        <v>mismo nombre</v>
      </c>
      <c r="I493" s="2" t="str">
        <f t="shared" si="6"/>
        <v>mismo colegio</v>
      </c>
      <c r="J493" s="2" t="b">
        <f t="shared" si="7"/>
        <v>0</v>
      </c>
      <c r="K493" s="2" t="str">
        <f>IFERROR(__xludf.DUMMYFUNCTION("TRIM(JOIN("" "",UNIQUE(TOCOL(ARRAYFORMULA(IF( SPLIT(C493,"" "")=TOCOL(SPLIT(C492,"" "")),SPLIT(C493,"" "")&amp;"" "",""""))))))"),"GARAY ROJAS LILIANA")</f>
        <v>GARAY ROJAS LILIANA</v>
      </c>
      <c r="L493" s="2" t="str">
        <f t="shared" si="1"/>
        <v>-&gt;WITH THIS</v>
      </c>
      <c r="M493" s="2">
        <f t="shared" si="2"/>
        <v>489</v>
      </c>
      <c r="AY493" s="2" t="s">
        <v>300</v>
      </c>
    </row>
    <row r="494">
      <c r="A494" s="2">
        <f t="shared" si="3"/>
        <v>491</v>
      </c>
      <c r="B494" s="1" t="s">
        <v>634</v>
      </c>
      <c r="C494" s="2" t="s">
        <v>664</v>
      </c>
      <c r="D494" s="2" t="s">
        <v>193</v>
      </c>
      <c r="E494" s="2">
        <v>26.0</v>
      </c>
      <c r="F494" s="2" t="s">
        <v>194</v>
      </c>
      <c r="G494" s="2" t="str">
        <f t="shared" si="4"/>
        <v>misma edad</v>
      </c>
      <c r="H494" s="2" t="str">
        <f t="shared" si="5"/>
        <v/>
      </c>
      <c r="I494" s="2" t="str">
        <f t="shared" si="6"/>
        <v>mismo colegio</v>
      </c>
      <c r="J494" s="2" t="b">
        <f t="shared" si="7"/>
        <v>0</v>
      </c>
      <c r="K494" s="2" t="str">
        <f>IFERROR(__xludf.DUMMYFUNCTION("TRIM(JOIN("" "",UNIQUE(TOCOL(ARRAYFORMULA(IF( SPLIT(C494,"" "")=TOCOL(SPLIT(C493,"" "")),SPLIT(C494,"" "")&amp;"" "",""""))))))"),"GARAY LILIANA")</f>
        <v>GARAY LILIANA</v>
      </c>
      <c r="L494" s="2" t="str">
        <f t="shared" si="1"/>
        <v>EVALUAR</v>
      </c>
      <c r="M494" s="2">
        <f t="shared" si="2"/>
        <v>491</v>
      </c>
      <c r="AY494" s="2" t="s">
        <v>1254</v>
      </c>
    </row>
    <row r="495">
      <c r="A495" s="2">
        <f t="shared" si="3"/>
        <v>492</v>
      </c>
      <c r="B495" s="1" t="s">
        <v>775</v>
      </c>
      <c r="C495" s="2" t="s">
        <v>799</v>
      </c>
      <c r="D495" s="2" t="s">
        <v>193</v>
      </c>
      <c r="E495" s="2">
        <v>25.0</v>
      </c>
      <c r="F495" s="2" t="s">
        <v>194</v>
      </c>
      <c r="G495" s="2" t="str">
        <f t="shared" si="4"/>
        <v/>
      </c>
      <c r="H495" s="2" t="str">
        <f t="shared" si="5"/>
        <v/>
      </c>
      <c r="I495" s="2" t="str">
        <f t="shared" si="6"/>
        <v/>
      </c>
      <c r="J495" s="2" t="b">
        <f t="shared" si="7"/>
        <v>1</v>
      </c>
      <c r="K495" s="2" t="str">
        <f>IFERROR(__xludf.DUMMYFUNCTION("TRIM(JOIN("" "",UNIQUE(TOCOL(ARRAYFORMULA(IF( SPLIT(C495,"" "")=TOCOL(SPLIT(C494,"" "")),SPLIT(C495,"" "")&amp;"" "",""""))))))"),"GARAY")</f>
        <v>GARAY</v>
      </c>
      <c r="L495" s="2" t="str">
        <f t="shared" si="1"/>
        <v/>
      </c>
      <c r="M495" s="2">
        <f t="shared" si="2"/>
        <v>492</v>
      </c>
      <c r="AY495" s="2" t="s">
        <v>847</v>
      </c>
    </row>
    <row r="496">
      <c r="A496" s="2">
        <f t="shared" si="3"/>
        <v>493</v>
      </c>
      <c r="B496" s="1" t="s">
        <v>775</v>
      </c>
      <c r="C496" s="2" t="s">
        <v>799</v>
      </c>
      <c r="D496" s="2" t="s">
        <v>193</v>
      </c>
      <c r="E496" s="2">
        <v>25.0</v>
      </c>
      <c r="F496" s="2" t="s">
        <v>428</v>
      </c>
      <c r="G496" s="2" t="str">
        <f t="shared" si="4"/>
        <v>misma edad</v>
      </c>
      <c r="H496" s="2" t="str">
        <f t="shared" si="5"/>
        <v>mismo nombre</v>
      </c>
      <c r="I496" s="2" t="str">
        <f t="shared" si="6"/>
        <v>mismo colegio</v>
      </c>
      <c r="J496" s="2" t="b">
        <f t="shared" si="7"/>
        <v>0</v>
      </c>
      <c r="K496" s="2" t="str">
        <f>IFERROR(__xludf.DUMMYFUNCTION("TRIM(JOIN("" "",UNIQUE(TOCOL(ARRAYFORMULA(IF( SPLIT(C496,"" "")=TOCOL(SPLIT(C495,"" "")),SPLIT(C496,"" "")&amp;"" "",""""))))))"),"GARAY RAMIREZ ROSMERY")</f>
        <v>GARAY RAMIREZ ROSMERY</v>
      </c>
      <c r="L496" s="2" t="str">
        <f t="shared" si="1"/>
        <v/>
      </c>
      <c r="M496" s="2">
        <f t="shared" si="2"/>
        <v>492</v>
      </c>
      <c r="AY496" s="2" t="s">
        <v>1118</v>
      </c>
    </row>
    <row r="497">
      <c r="A497" s="2">
        <f t="shared" si="3"/>
        <v>494</v>
      </c>
      <c r="B497" s="1" t="s">
        <v>626</v>
      </c>
      <c r="C497" s="2" t="s">
        <v>888</v>
      </c>
      <c r="D497" s="2" t="s">
        <v>193</v>
      </c>
      <c r="E497" s="2">
        <v>31.0</v>
      </c>
      <c r="F497" s="2" t="s">
        <v>194</v>
      </c>
      <c r="G497" s="2" t="str">
        <f t="shared" si="4"/>
        <v/>
      </c>
      <c r="H497" s="2" t="str">
        <f t="shared" si="5"/>
        <v/>
      </c>
      <c r="I497" s="2" t="str">
        <f t="shared" si="6"/>
        <v/>
      </c>
      <c r="J497" s="2" t="b">
        <f t="shared" si="7"/>
        <v>0</v>
      </c>
      <c r="K497" s="2" t="str">
        <f>IFERROR(__xludf.DUMMYFUNCTION("TRIM(JOIN("" "",UNIQUE(TOCOL(ARRAYFORMULA(IF( SPLIT(C497,"" "")=TOCOL(SPLIT(C496,"" "")),SPLIT(C497,"" "")&amp;"" "",""""))))))"),"")</f>
        <v/>
      </c>
      <c r="L497" s="2" t="str">
        <f t="shared" si="1"/>
        <v/>
      </c>
      <c r="M497" s="2">
        <f t="shared" si="2"/>
        <v>494</v>
      </c>
      <c r="AY497" s="2" t="s">
        <v>379</v>
      </c>
    </row>
    <row r="498">
      <c r="A498" s="2">
        <f t="shared" si="3"/>
        <v>495</v>
      </c>
      <c r="B498" s="1" t="s">
        <v>928</v>
      </c>
      <c r="C498" s="2" t="s">
        <v>1314</v>
      </c>
      <c r="D498" s="2" t="s">
        <v>193</v>
      </c>
      <c r="E498" s="2">
        <v>33.0</v>
      </c>
      <c r="F498" s="2" t="s">
        <v>428</v>
      </c>
      <c r="G498" s="2" t="str">
        <f t="shared" si="4"/>
        <v/>
      </c>
      <c r="H498" s="2" t="str">
        <f t="shared" si="5"/>
        <v/>
      </c>
      <c r="I498" s="2" t="str">
        <f t="shared" si="6"/>
        <v/>
      </c>
      <c r="J498" s="2" t="b">
        <f t="shared" si="7"/>
        <v>0</v>
      </c>
      <c r="K498" s="2" t="str">
        <f>IFERROR(__xludf.DUMMYFUNCTION("TRIM(JOIN("" "",UNIQUE(TOCOL(ARRAYFORMULA(IF( SPLIT(C498,"" "")=TOCOL(SPLIT(C497,"" "")),SPLIT(C498,"" "")&amp;"" "",""""))))))"),"MORALES")</f>
        <v>MORALES</v>
      </c>
      <c r="L498" s="2" t="str">
        <f t="shared" si="1"/>
        <v/>
      </c>
      <c r="M498" s="2">
        <f t="shared" si="2"/>
        <v>495</v>
      </c>
      <c r="AY498" s="2" t="s">
        <v>854</v>
      </c>
    </row>
    <row r="499">
      <c r="A499" s="2">
        <f t="shared" si="3"/>
        <v>496</v>
      </c>
      <c r="B499" s="1" t="s">
        <v>928</v>
      </c>
      <c r="C499" s="2" t="s">
        <v>952</v>
      </c>
      <c r="D499" s="2" t="s">
        <v>193</v>
      </c>
      <c r="E499" s="2">
        <v>32.0</v>
      </c>
      <c r="F499" s="2" t="s">
        <v>194</v>
      </c>
      <c r="G499" s="2" t="str">
        <f t="shared" si="4"/>
        <v/>
      </c>
      <c r="H499" s="2" t="str">
        <f t="shared" si="5"/>
        <v/>
      </c>
      <c r="I499" s="2" t="str">
        <f t="shared" si="6"/>
        <v>mismo colegio</v>
      </c>
      <c r="J499" s="2" t="b">
        <f t="shared" si="7"/>
        <v>0</v>
      </c>
      <c r="K499" s="2" t="str">
        <f>IFERROR(__xludf.DUMMYFUNCTION("TRIM(JOIN("" "",UNIQUE(TOCOL(ARRAYFORMULA(IF( SPLIT(C499,"" "")=TOCOL(SPLIT(C498,"" "")),SPLIT(C499,"" "")&amp;"" "",""""))))))"),"GABRIELA MORALES")</f>
        <v>GABRIELA MORALES</v>
      </c>
      <c r="L499" s="2" t="str">
        <f t="shared" si="1"/>
        <v/>
      </c>
      <c r="M499" s="2">
        <f t="shared" si="2"/>
        <v>496</v>
      </c>
      <c r="AY499" s="2" t="s">
        <v>1001</v>
      </c>
    </row>
    <row r="500">
      <c r="A500" s="2">
        <f t="shared" si="3"/>
        <v>497</v>
      </c>
      <c r="B500" s="1" t="s">
        <v>144</v>
      </c>
      <c r="C500" s="2" t="s">
        <v>556</v>
      </c>
      <c r="D500" s="2" t="s">
        <v>193</v>
      </c>
      <c r="E500" s="2">
        <v>19.0</v>
      </c>
      <c r="F500" s="2" t="s">
        <v>194</v>
      </c>
      <c r="G500" s="2" t="str">
        <f t="shared" si="4"/>
        <v/>
      </c>
      <c r="H500" s="2" t="str">
        <f t="shared" si="5"/>
        <v/>
      </c>
      <c r="I500" s="2" t="str">
        <f t="shared" si="6"/>
        <v/>
      </c>
      <c r="J500" s="2" t="b">
        <f t="shared" si="7"/>
        <v>1</v>
      </c>
      <c r="K500" s="2" t="str">
        <f>IFERROR(__xludf.DUMMYFUNCTION("TRIM(JOIN("" "",UNIQUE(TOCOL(ARRAYFORMULA(IF( SPLIT(C500,"" "")=TOCOL(SPLIT(C499,"" "")),SPLIT(C500,"" "")&amp;"" "",""""))))))"),"")</f>
        <v/>
      </c>
      <c r="L500" s="2" t="str">
        <f t="shared" si="1"/>
        <v/>
      </c>
      <c r="M500" s="2">
        <f t="shared" si="2"/>
        <v>497</v>
      </c>
      <c r="AY500" s="2" t="s">
        <v>1005</v>
      </c>
    </row>
    <row r="501">
      <c r="A501" s="2">
        <f t="shared" si="3"/>
        <v>498</v>
      </c>
      <c r="B501" s="1" t="s">
        <v>954</v>
      </c>
      <c r="C501" s="2" t="s">
        <v>1261</v>
      </c>
      <c r="D501" s="2" t="s">
        <v>222</v>
      </c>
      <c r="E501" s="40"/>
      <c r="F501" s="2" t="s">
        <v>428</v>
      </c>
      <c r="G501" s="2" t="str">
        <f t="shared" si="4"/>
        <v/>
      </c>
      <c r="H501" s="2" t="str">
        <f t="shared" si="5"/>
        <v/>
      </c>
      <c r="I501" s="2" t="str">
        <f t="shared" si="6"/>
        <v/>
      </c>
      <c r="J501" s="2" t="b">
        <f t="shared" si="7"/>
        <v>0</v>
      </c>
      <c r="K501" s="2" t="str">
        <f>IFERROR(__xludf.DUMMYFUNCTION("TRIM(JOIN("" "",UNIQUE(TOCOL(ARRAYFORMULA(IF( SPLIT(C501,"" "")=TOCOL(SPLIT(C500,"" "")),SPLIT(C501,"" "")&amp;"" "",""""))))))"),"")</f>
        <v/>
      </c>
      <c r="L501" s="2" t="str">
        <f t="shared" si="1"/>
        <v/>
      </c>
      <c r="M501" s="2">
        <f t="shared" si="2"/>
        <v>498</v>
      </c>
      <c r="AY501" s="2" t="s">
        <v>1361</v>
      </c>
    </row>
    <row r="502">
      <c r="A502" s="2">
        <f t="shared" si="3"/>
        <v>499</v>
      </c>
      <c r="B502" s="1" t="s">
        <v>144</v>
      </c>
      <c r="C502" s="2" t="s">
        <v>558</v>
      </c>
      <c r="D502" s="2" t="s">
        <v>193</v>
      </c>
      <c r="E502" s="2">
        <v>30.0</v>
      </c>
      <c r="F502" s="2" t="s">
        <v>194</v>
      </c>
      <c r="G502" s="2" t="str">
        <f t="shared" si="4"/>
        <v/>
      </c>
      <c r="H502" s="2" t="str">
        <f t="shared" si="5"/>
        <v/>
      </c>
      <c r="I502" s="2" t="str">
        <f t="shared" si="6"/>
        <v/>
      </c>
      <c r="J502" s="2" t="b">
        <f t="shared" si="7"/>
        <v>0</v>
      </c>
      <c r="K502" s="2" t="str">
        <f>IFERROR(__xludf.DUMMYFUNCTION("TRIM(JOIN("" "",UNIQUE(TOCOL(ARRAYFORMULA(IF( SPLIT(C502,"" "")=TOCOL(SPLIT(C501,"" "")),SPLIT(C502,"" "")&amp;"" "",""""))))))"),"FRANCISCO")</f>
        <v>FRANCISCO</v>
      </c>
      <c r="L502" s="2" t="str">
        <f t="shared" si="1"/>
        <v/>
      </c>
      <c r="M502" s="2">
        <f t="shared" si="2"/>
        <v>499</v>
      </c>
      <c r="AY502" s="2" t="s">
        <v>318</v>
      </c>
    </row>
    <row r="503">
      <c r="A503" s="2">
        <f t="shared" si="3"/>
        <v>500</v>
      </c>
      <c r="B503" s="1" t="s">
        <v>144</v>
      </c>
      <c r="C503" s="2" t="s">
        <v>558</v>
      </c>
      <c r="D503" s="2" t="s">
        <v>193</v>
      </c>
      <c r="E503" s="2">
        <v>30.0</v>
      </c>
      <c r="F503" s="2" t="s">
        <v>428</v>
      </c>
      <c r="G503" s="2" t="str">
        <f t="shared" si="4"/>
        <v>misma edad</v>
      </c>
      <c r="H503" s="2" t="str">
        <f t="shared" si="5"/>
        <v>mismo nombre</v>
      </c>
      <c r="I503" s="2" t="str">
        <f t="shared" si="6"/>
        <v>mismo colegio</v>
      </c>
      <c r="J503" s="2" t="b">
        <f t="shared" si="7"/>
        <v>0</v>
      </c>
      <c r="K503" s="2" t="str">
        <f>IFERROR(__xludf.DUMMYFUNCTION("TRIM(JOIN("" "",UNIQUE(TOCOL(ARRAYFORMULA(IF( SPLIT(C503,"" "")=TOCOL(SPLIT(C502,"" "")),SPLIT(C503,"" "")&amp;"" "",""""))))))"),"FRANCISCO AQUINO NURIA")</f>
        <v>FRANCISCO AQUINO NURIA</v>
      </c>
      <c r="L503" s="2" t="str">
        <f t="shared" si="1"/>
        <v/>
      </c>
      <c r="M503" s="2">
        <f t="shared" si="2"/>
        <v>499</v>
      </c>
      <c r="AY503" s="2" t="s">
        <v>728</v>
      </c>
    </row>
    <row r="504">
      <c r="A504" s="2">
        <f t="shared" si="3"/>
        <v>501</v>
      </c>
      <c r="B504" s="1" t="s">
        <v>775</v>
      </c>
      <c r="C504" s="2" t="s">
        <v>779</v>
      </c>
      <c r="D504" s="2" t="s">
        <v>222</v>
      </c>
      <c r="E504" s="2">
        <v>54.0</v>
      </c>
      <c r="F504" s="2" t="s">
        <v>194</v>
      </c>
      <c r="G504" s="2" t="str">
        <f t="shared" si="4"/>
        <v/>
      </c>
      <c r="H504" s="2" t="str">
        <f t="shared" si="5"/>
        <v/>
      </c>
      <c r="I504" s="2" t="str">
        <f t="shared" si="6"/>
        <v/>
      </c>
      <c r="J504" s="2" t="b">
        <f t="shared" si="7"/>
        <v>0</v>
      </c>
      <c r="K504" s="2" t="str">
        <f>IFERROR(__xludf.DUMMYFUNCTION("TRIM(JOIN("" "",UNIQUE(TOCOL(ARRAYFORMULA(IF( SPLIT(C504,"" "")=TOCOL(SPLIT(C503,"" "")),SPLIT(C504,"" "")&amp;"" "",""""))))))"),"")</f>
        <v/>
      </c>
      <c r="L504" s="2" t="str">
        <f t="shared" si="1"/>
        <v/>
      </c>
      <c r="M504" s="2">
        <f t="shared" si="2"/>
        <v>501</v>
      </c>
      <c r="AY504" s="2" t="s">
        <v>1143</v>
      </c>
    </row>
    <row r="505">
      <c r="A505" s="2">
        <f t="shared" si="3"/>
        <v>502</v>
      </c>
      <c r="B505" s="1" t="s">
        <v>634</v>
      </c>
      <c r="C505" s="2" t="s">
        <v>641</v>
      </c>
      <c r="D505" s="2" t="s">
        <v>193</v>
      </c>
      <c r="E505" s="2">
        <v>30.0</v>
      </c>
      <c r="F505" s="2" t="s">
        <v>194</v>
      </c>
      <c r="G505" s="2" t="str">
        <f t="shared" si="4"/>
        <v/>
      </c>
      <c r="H505" s="2" t="str">
        <f t="shared" si="5"/>
        <v/>
      </c>
      <c r="I505" s="2" t="str">
        <f t="shared" si="6"/>
        <v/>
      </c>
      <c r="J505" s="2" t="b">
        <f t="shared" si="7"/>
        <v>1</v>
      </c>
      <c r="K505" s="2" t="str">
        <f>IFERROR(__xludf.DUMMYFUNCTION("TRIM(JOIN("" "",UNIQUE(TOCOL(ARRAYFORMULA(IF( SPLIT(C505,"" "")=TOCOL(SPLIT(C504,"" "")),SPLIT(C505,"" "")&amp;"" "",""""))))))"),"")</f>
        <v/>
      </c>
      <c r="L505" s="2" t="str">
        <f t="shared" si="1"/>
        <v/>
      </c>
      <c r="M505" s="2">
        <f t="shared" si="2"/>
        <v>502</v>
      </c>
      <c r="AY505" s="2" t="s">
        <v>1268</v>
      </c>
    </row>
    <row r="506">
      <c r="A506" s="2">
        <f t="shared" si="3"/>
        <v>503</v>
      </c>
      <c r="B506" s="1" t="s">
        <v>813</v>
      </c>
      <c r="C506" s="2" t="s">
        <v>820</v>
      </c>
      <c r="D506" s="2" t="s">
        <v>193</v>
      </c>
      <c r="E506" s="2">
        <v>33.0</v>
      </c>
      <c r="F506" s="2" t="s">
        <v>194</v>
      </c>
      <c r="G506" s="2" t="str">
        <f t="shared" si="4"/>
        <v/>
      </c>
      <c r="H506" s="2" t="str">
        <f t="shared" si="5"/>
        <v/>
      </c>
      <c r="I506" s="2" t="str">
        <f t="shared" si="6"/>
        <v/>
      </c>
      <c r="J506" s="2" t="b">
        <f t="shared" si="7"/>
        <v>1</v>
      </c>
      <c r="K506" s="2" t="str">
        <f>IFERROR(__xludf.DUMMYFUNCTION("TRIM(JOIN("" "",UNIQUE(TOCOL(ARRAYFORMULA(IF( SPLIT(C506,"" "")=TOCOL(SPLIT(C505,"" "")),SPLIT(C506,"" "")&amp;"" "",""""))))))"),"FLORES")</f>
        <v>FLORES</v>
      </c>
      <c r="L506" s="2" t="str">
        <f t="shared" si="1"/>
        <v/>
      </c>
      <c r="M506" s="2">
        <f t="shared" si="2"/>
        <v>503</v>
      </c>
      <c r="AY506" s="2" t="s">
        <v>1404</v>
      </c>
    </row>
    <row r="507">
      <c r="A507" s="2">
        <f t="shared" si="3"/>
        <v>504</v>
      </c>
      <c r="B507" s="1" t="s">
        <v>813</v>
      </c>
      <c r="C507" s="2" t="s">
        <v>820</v>
      </c>
      <c r="D507" s="2" t="s">
        <v>193</v>
      </c>
      <c r="E507" s="2">
        <v>33.0</v>
      </c>
      <c r="F507" s="2" t="s">
        <v>428</v>
      </c>
      <c r="G507" s="2" t="str">
        <f t="shared" si="4"/>
        <v>misma edad</v>
      </c>
      <c r="H507" s="2" t="str">
        <f t="shared" si="5"/>
        <v>mismo nombre</v>
      </c>
      <c r="I507" s="2" t="str">
        <f t="shared" si="6"/>
        <v>mismo colegio</v>
      </c>
      <c r="J507" s="2" t="b">
        <f t="shared" si="7"/>
        <v>0</v>
      </c>
      <c r="K507" s="2" t="str">
        <f>IFERROR(__xludf.DUMMYFUNCTION("TRIM(JOIN("" "",UNIQUE(TOCOL(ARRAYFORMULA(IF( SPLIT(C507,"" "")=TOCOL(SPLIT(C506,"" "")),SPLIT(C507,"" "")&amp;"" "",""""))))))"),"FLORES DÍAZ, ISELA")</f>
        <v>FLORES DÍAZ, ISELA</v>
      </c>
      <c r="L507" s="2" t="str">
        <f t="shared" si="1"/>
        <v/>
      </c>
      <c r="M507" s="2">
        <f t="shared" si="2"/>
        <v>503</v>
      </c>
      <c r="AY507" s="2" t="s">
        <v>1417</v>
      </c>
    </row>
    <row r="508">
      <c r="A508" s="2">
        <f t="shared" si="3"/>
        <v>505</v>
      </c>
      <c r="B508" s="1" t="s">
        <v>994</v>
      </c>
      <c r="C508" s="2" t="s">
        <v>1181</v>
      </c>
      <c r="D508" s="2" t="s">
        <v>193</v>
      </c>
      <c r="E508" s="2">
        <v>42.0</v>
      </c>
      <c r="F508" s="2" t="s">
        <v>428</v>
      </c>
      <c r="G508" s="2" t="str">
        <f t="shared" si="4"/>
        <v/>
      </c>
      <c r="H508" s="2" t="str">
        <f t="shared" si="5"/>
        <v/>
      </c>
      <c r="I508" s="2" t="str">
        <f t="shared" si="6"/>
        <v/>
      </c>
      <c r="J508" s="2" t="b">
        <f t="shared" si="7"/>
        <v>1</v>
      </c>
      <c r="K508" s="2" t="str">
        <f>IFERROR(__xludf.DUMMYFUNCTION("TRIM(JOIN("" "",UNIQUE(TOCOL(ARRAYFORMULA(IF( SPLIT(C508,"" "")=TOCOL(SPLIT(C507,"" "")),SPLIT(C508,"" "")&amp;"" "",""""))))))"),"FLORES")</f>
        <v>FLORES</v>
      </c>
      <c r="L508" s="2" t="str">
        <f t="shared" si="1"/>
        <v>-&gt;WITH THIS</v>
      </c>
      <c r="M508" s="2">
        <f t="shared" si="2"/>
        <v>505</v>
      </c>
      <c r="AY508" s="2" t="s">
        <v>1128</v>
      </c>
    </row>
    <row r="509">
      <c r="A509" s="2">
        <f t="shared" si="3"/>
        <v>506</v>
      </c>
      <c r="B509" s="1" t="s">
        <v>994</v>
      </c>
      <c r="C509" s="2" t="s">
        <v>1014</v>
      </c>
      <c r="D509" s="2" t="s">
        <v>193</v>
      </c>
      <c r="E509" s="2">
        <v>42.0</v>
      </c>
      <c r="F509" s="2" t="s">
        <v>194</v>
      </c>
      <c r="G509" s="2" t="str">
        <f t="shared" si="4"/>
        <v>misma edad</v>
      </c>
      <c r="H509" s="2" t="str">
        <f t="shared" si="5"/>
        <v/>
      </c>
      <c r="I509" s="2" t="str">
        <f t="shared" si="6"/>
        <v>mismo colegio</v>
      </c>
      <c r="J509" s="2" t="b">
        <f t="shared" si="7"/>
        <v>0</v>
      </c>
      <c r="K509" s="2" t="str">
        <f>IFERROR(__xludf.DUMMYFUNCTION("TRIM(JOIN("" "",UNIQUE(TOCOL(ARRAYFORMULA(IF( SPLIT(C509,"" "")=TOCOL(SPLIT(C508,"" "")),SPLIT(C509,"" "")&amp;"" "",""""))))))"),"FLORES ERIKA")</f>
        <v>FLORES ERIKA</v>
      </c>
      <c r="L509" s="2" t="str">
        <f t="shared" si="1"/>
        <v>EVALUAR</v>
      </c>
      <c r="M509" s="2">
        <f t="shared" si="2"/>
        <v>506</v>
      </c>
      <c r="AY509" s="2" t="s">
        <v>423</v>
      </c>
    </row>
    <row r="510">
      <c r="A510" s="2">
        <f t="shared" si="3"/>
        <v>507</v>
      </c>
      <c r="B510" s="1" t="s">
        <v>122</v>
      </c>
      <c r="C510" s="2" t="s">
        <v>452</v>
      </c>
      <c r="D510" s="2" t="s">
        <v>193</v>
      </c>
      <c r="E510" s="2">
        <v>34.0</v>
      </c>
      <c r="F510" s="2" t="s">
        <v>428</v>
      </c>
      <c r="G510" s="2" t="str">
        <f t="shared" si="4"/>
        <v/>
      </c>
      <c r="H510" s="2" t="str">
        <f t="shared" si="5"/>
        <v/>
      </c>
      <c r="I510" s="2" t="str">
        <f t="shared" si="6"/>
        <v/>
      </c>
      <c r="J510" s="2" t="b">
        <f t="shared" si="7"/>
        <v>0</v>
      </c>
      <c r="K510" s="2" t="str">
        <f>IFERROR(__xludf.DUMMYFUNCTION("TRIM(JOIN("" "",UNIQUE(TOCOL(ARRAYFORMULA(IF( SPLIT(C510,"" "")=TOCOL(SPLIT(C509,"" "")),SPLIT(C510,"" "")&amp;"" "",""""))))))"),"")</f>
        <v/>
      </c>
      <c r="L510" s="2" t="str">
        <f t="shared" si="1"/>
        <v/>
      </c>
      <c r="M510" s="2">
        <f t="shared" si="2"/>
        <v>507</v>
      </c>
      <c r="AY510" s="2" t="s">
        <v>1158</v>
      </c>
    </row>
    <row r="511">
      <c r="A511" s="2">
        <f t="shared" si="3"/>
        <v>508</v>
      </c>
      <c r="B511" s="1" t="s">
        <v>457</v>
      </c>
      <c r="C511" s="2" t="s">
        <v>460</v>
      </c>
      <c r="D511" s="2" t="s">
        <v>193</v>
      </c>
      <c r="E511" s="40"/>
      <c r="F511" s="2" t="s">
        <v>194</v>
      </c>
      <c r="G511" s="2" t="str">
        <f t="shared" si="4"/>
        <v/>
      </c>
      <c r="H511" s="2" t="str">
        <f t="shared" si="5"/>
        <v/>
      </c>
      <c r="I511" s="2" t="str">
        <f t="shared" si="6"/>
        <v/>
      </c>
      <c r="J511" s="2" t="b">
        <f t="shared" si="7"/>
        <v>0</v>
      </c>
      <c r="K511" s="2" t="str">
        <f>IFERROR(__xludf.DUMMYFUNCTION("TRIM(JOIN("" "",UNIQUE(TOCOL(ARRAYFORMULA(IF( SPLIT(C511,"" "")=TOCOL(SPLIT(C510,"" "")),SPLIT(C511,"" "")&amp;"" "",""""))))))"),"FLOR")</f>
        <v>FLOR</v>
      </c>
      <c r="L511" s="2" t="str">
        <f t="shared" si="1"/>
        <v/>
      </c>
      <c r="M511" s="2">
        <f t="shared" si="2"/>
        <v>508</v>
      </c>
      <c r="AY511" s="2" t="s">
        <v>1186</v>
      </c>
    </row>
    <row r="512">
      <c r="A512" s="2">
        <f t="shared" si="3"/>
        <v>509</v>
      </c>
      <c r="B512" s="1" t="s">
        <v>457</v>
      </c>
      <c r="C512" s="2" t="s">
        <v>460</v>
      </c>
      <c r="D512" s="2" t="s">
        <v>193</v>
      </c>
      <c r="E512" s="40"/>
      <c r="F512" s="2" t="s">
        <v>428</v>
      </c>
      <c r="G512" s="2" t="str">
        <f t="shared" si="4"/>
        <v>misma edad</v>
      </c>
      <c r="H512" s="2" t="str">
        <f t="shared" si="5"/>
        <v>mismo nombre</v>
      </c>
      <c r="I512" s="2" t="str">
        <f t="shared" si="6"/>
        <v>mismo colegio</v>
      </c>
      <c r="J512" s="2" t="b">
        <f t="shared" si="7"/>
        <v>0</v>
      </c>
      <c r="K512" s="2" t="str">
        <f>IFERROR(__xludf.DUMMYFUNCTION("TRIM(JOIN("" "",UNIQUE(TOCOL(ARRAYFORMULA(IF( SPLIT(C512,"" "")=TOCOL(SPLIT(C511,"" "")),SPLIT(C512,"" "")&amp;"" "",""""))))))"),"FLOR CALDERÓN UGARTE")</f>
        <v>FLOR CALDERÓN UGARTE</v>
      </c>
      <c r="L512" s="2" t="str">
        <f t="shared" si="1"/>
        <v/>
      </c>
      <c r="M512" s="2">
        <f t="shared" si="2"/>
        <v>508</v>
      </c>
      <c r="AY512" s="2" t="s">
        <v>1184</v>
      </c>
    </row>
    <row r="513">
      <c r="A513" s="2">
        <f t="shared" si="3"/>
        <v>510</v>
      </c>
      <c r="B513" s="1" t="s">
        <v>719</v>
      </c>
      <c r="C513" s="2" t="s">
        <v>725</v>
      </c>
      <c r="D513" s="2" t="s">
        <v>193</v>
      </c>
      <c r="E513" s="2">
        <v>42.0</v>
      </c>
      <c r="F513" s="2" t="s">
        <v>194</v>
      </c>
      <c r="G513" s="2" t="str">
        <f t="shared" si="4"/>
        <v/>
      </c>
      <c r="H513" s="2" t="str">
        <f t="shared" si="5"/>
        <v/>
      </c>
      <c r="I513" s="2" t="str">
        <f t="shared" si="6"/>
        <v/>
      </c>
      <c r="J513" s="2" t="b">
        <f t="shared" si="7"/>
        <v>0</v>
      </c>
      <c r="K513" s="2" t="str">
        <f>IFERROR(__xludf.DUMMYFUNCTION("TRIM(JOIN("" "",UNIQUE(TOCOL(ARRAYFORMULA(IF( SPLIT(C513,"" "")=TOCOL(SPLIT(C512,"" "")),SPLIT(C513,"" "")&amp;"" "",""""))))))"),"")</f>
        <v/>
      </c>
      <c r="L513" s="2" t="str">
        <f t="shared" si="1"/>
        <v/>
      </c>
      <c r="M513" s="2">
        <f t="shared" si="2"/>
        <v>510</v>
      </c>
      <c r="AY513" s="2" t="s">
        <v>1460</v>
      </c>
    </row>
    <row r="514">
      <c r="A514" s="2">
        <f t="shared" si="3"/>
        <v>511</v>
      </c>
      <c r="B514" s="1" t="s">
        <v>719</v>
      </c>
      <c r="C514" s="2" t="s">
        <v>725</v>
      </c>
      <c r="D514" s="2" t="s">
        <v>193</v>
      </c>
      <c r="E514" s="40"/>
      <c r="F514" s="2" t="s">
        <v>428</v>
      </c>
      <c r="G514" s="2" t="str">
        <f t="shared" si="4"/>
        <v/>
      </c>
      <c r="H514" s="2" t="str">
        <f t="shared" si="5"/>
        <v>mismo nombre</v>
      </c>
      <c r="I514" s="2" t="str">
        <f t="shared" si="6"/>
        <v>mismo colegio</v>
      </c>
      <c r="J514" s="2" t="b">
        <f t="shared" si="7"/>
        <v>0</v>
      </c>
      <c r="K514" s="2" t="str">
        <f>IFERROR(__xludf.DUMMYFUNCTION("TRIM(JOIN("" "",UNIQUE(TOCOL(ARRAYFORMULA(IF( SPLIT(C514,"" "")=TOCOL(SPLIT(C513,"" "")),SPLIT(C514,"" "")&amp;"" "",""""))))))"),"FIERRO CHAVEZ VANESA")</f>
        <v>FIERRO CHAVEZ VANESA</v>
      </c>
      <c r="L514" s="2" t="str">
        <f t="shared" si="1"/>
        <v/>
      </c>
      <c r="M514" s="2">
        <f t="shared" si="2"/>
        <v>510</v>
      </c>
      <c r="AY514" s="2" t="s">
        <v>804</v>
      </c>
    </row>
    <row r="515">
      <c r="A515" s="2">
        <f t="shared" si="3"/>
        <v>512</v>
      </c>
      <c r="B515" s="1" t="s">
        <v>323</v>
      </c>
      <c r="C515" s="2" t="s">
        <v>353</v>
      </c>
      <c r="D515" s="2" t="s">
        <v>222</v>
      </c>
      <c r="E515" s="2">
        <v>32.0</v>
      </c>
      <c r="F515" s="2" t="s">
        <v>194</v>
      </c>
      <c r="G515" s="2" t="str">
        <f t="shared" si="4"/>
        <v/>
      </c>
      <c r="H515" s="2" t="str">
        <f t="shared" si="5"/>
        <v/>
      </c>
      <c r="I515" s="2" t="str">
        <f t="shared" si="6"/>
        <v/>
      </c>
      <c r="J515" s="2" t="b">
        <f t="shared" si="7"/>
        <v>0</v>
      </c>
      <c r="K515" s="2" t="str">
        <f>IFERROR(__xludf.DUMMYFUNCTION("TRIM(JOIN("" "",UNIQUE(TOCOL(ARRAYFORMULA(IF( SPLIT(C515,"" "")=TOCOL(SPLIT(C514,"" "")),SPLIT(C515,"" "")&amp;"" "",""""))))))"),"CHAVEZ")</f>
        <v>CHAVEZ</v>
      </c>
      <c r="L515" s="2" t="str">
        <f t="shared" si="1"/>
        <v/>
      </c>
      <c r="M515" s="2">
        <f t="shared" si="2"/>
        <v>512</v>
      </c>
      <c r="AY515" s="2" t="s">
        <v>1136</v>
      </c>
    </row>
    <row r="516">
      <c r="A516" s="2">
        <f t="shared" si="3"/>
        <v>513</v>
      </c>
      <c r="B516" s="1" t="s">
        <v>323</v>
      </c>
      <c r="C516" s="2" t="s">
        <v>353</v>
      </c>
      <c r="D516" s="2" t="s">
        <v>222</v>
      </c>
      <c r="E516" s="40"/>
      <c r="F516" s="2" t="s">
        <v>428</v>
      </c>
      <c r="G516" s="2" t="str">
        <f t="shared" si="4"/>
        <v/>
      </c>
      <c r="H516" s="2" t="str">
        <f t="shared" si="5"/>
        <v>mismo nombre</v>
      </c>
      <c r="I516" s="2" t="str">
        <f t="shared" si="6"/>
        <v>mismo colegio</v>
      </c>
      <c r="J516" s="2" t="b">
        <f t="shared" si="7"/>
        <v>0</v>
      </c>
      <c r="K516" s="2" t="str">
        <f>IFERROR(__xludf.DUMMYFUNCTION("TRIM(JOIN("" "",UNIQUE(TOCOL(ARRAYFORMULA(IF( SPLIT(C516,"" "")=TOCOL(SPLIT(C515,"" "")),SPLIT(C516,"" "")&amp;"" "",""""))))))"),"FERNANDO TORRES CHAVEZ")</f>
        <v>FERNANDO TORRES CHAVEZ</v>
      </c>
      <c r="L516" s="2" t="str">
        <f t="shared" si="1"/>
        <v/>
      </c>
      <c r="M516" s="2">
        <f t="shared" si="2"/>
        <v>512</v>
      </c>
      <c r="AY516" s="2" t="s">
        <v>244</v>
      </c>
    </row>
    <row r="517">
      <c r="A517" s="2">
        <f t="shared" si="3"/>
        <v>514</v>
      </c>
      <c r="B517" s="1" t="s">
        <v>87</v>
      </c>
      <c r="C517" s="2" t="s">
        <v>440</v>
      </c>
      <c r="D517" s="2" t="s">
        <v>193</v>
      </c>
      <c r="E517" s="2"/>
      <c r="F517" s="2" t="s">
        <v>428</v>
      </c>
      <c r="G517" s="2" t="str">
        <f t="shared" si="4"/>
        <v>misma edad</v>
      </c>
      <c r="H517" s="2" t="str">
        <f t="shared" si="5"/>
        <v/>
      </c>
      <c r="I517" s="2" t="str">
        <f t="shared" si="6"/>
        <v/>
      </c>
      <c r="J517" s="2" t="b">
        <f t="shared" si="7"/>
        <v>1</v>
      </c>
      <c r="K517" s="2" t="str">
        <f>IFERROR(__xludf.DUMMYFUNCTION("TRIM(JOIN("" "",UNIQUE(TOCOL(ARRAYFORMULA(IF( SPLIT(C517,"" "")=TOCOL(SPLIT(C516,"" "")),SPLIT(C517,"" "")&amp;"" "",""""))))))"),"")</f>
        <v/>
      </c>
      <c r="L517" s="2" t="str">
        <f t="shared" si="1"/>
        <v/>
      </c>
      <c r="M517" s="2">
        <f t="shared" si="2"/>
        <v>514</v>
      </c>
      <c r="AY517" s="2" t="s">
        <v>1461</v>
      </c>
    </row>
    <row r="518">
      <c r="A518" s="2">
        <f t="shared" si="3"/>
        <v>515</v>
      </c>
      <c r="B518" s="1" t="s">
        <v>105</v>
      </c>
      <c r="C518" s="2" t="s">
        <v>421</v>
      </c>
      <c r="D518" s="2" t="s">
        <v>222</v>
      </c>
      <c r="E518" s="2">
        <v>45.0</v>
      </c>
      <c r="F518" s="2" t="s">
        <v>194</v>
      </c>
      <c r="G518" s="2" t="str">
        <f t="shared" si="4"/>
        <v/>
      </c>
      <c r="H518" s="2" t="str">
        <f t="shared" si="5"/>
        <v/>
      </c>
      <c r="I518" s="2" t="str">
        <f t="shared" si="6"/>
        <v/>
      </c>
      <c r="J518" s="2" t="b">
        <f t="shared" si="7"/>
        <v>0</v>
      </c>
      <c r="K518" s="2" t="str">
        <f>IFERROR(__xludf.DUMMYFUNCTION("TRIM(JOIN("" "",UNIQUE(TOCOL(ARRAYFORMULA(IF( SPLIT(C518,"" "")=TOCOL(SPLIT(C517,"" "")),SPLIT(C518,"" "")&amp;"" "",""""))))))"),"")</f>
        <v/>
      </c>
      <c r="L518" s="2" t="str">
        <f t="shared" si="1"/>
        <v/>
      </c>
      <c r="M518" s="2">
        <f t="shared" si="2"/>
        <v>515</v>
      </c>
      <c r="AY518" s="2" t="s">
        <v>967</v>
      </c>
    </row>
    <row r="519">
      <c r="A519" s="2">
        <f t="shared" si="3"/>
        <v>516</v>
      </c>
      <c r="B519" s="1" t="s">
        <v>105</v>
      </c>
      <c r="C519" s="2" t="s">
        <v>421</v>
      </c>
      <c r="D519" s="2" t="s">
        <v>222</v>
      </c>
      <c r="E519" s="2">
        <v>45.0</v>
      </c>
      <c r="F519" s="2" t="s">
        <v>428</v>
      </c>
      <c r="G519" s="2" t="str">
        <f t="shared" si="4"/>
        <v>misma edad</v>
      </c>
      <c r="H519" s="2" t="str">
        <f t="shared" si="5"/>
        <v>mismo nombre</v>
      </c>
      <c r="I519" s="2" t="str">
        <f t="shared" si="6"/>
        <v>mismo colegio</v>
      </c>
      <c r="J519" s="2" t="b">
        <f t="shared" si="7"/>
        <v>0</v>
      </c>
      <c r="K519" s="2" t="str">
        <f>IFERROR(__xludf.DUMMYFUNCTION("TRIM(JOIN("" "",UNIQUE(TOCOL(ARRAYFORMULA(IF( SPLIT(C519,"" "")=TOCOL(SPLIT(C518,"" "")),SPLIT(C519,"" "")&amp;"" "",""""))))))"),"FERIOL CASTRO GARAY")</f>
        <v>FERIOL CASTRO GARAY</v>
      </c>
      <c r="L519" s="2" t="str">
        <f t="shared" si="1"/>
        <v/>
      </c>
      <c r="M519" s="2">
        <f t="shared" si="2"/>
        <v>515</v>
      </c>
      <c r="AY519" s="2" t="s">
        <v>1082</v>
      </c>
    </row>
    <row r="520">
      <c r="A520" s="2">
        <f t="shared" si="3"/>
        <v>517</v>
      </c>
      <c r="B520" s="1" t="s">
        <v>226</v>
      </c>
      <c r="C520" s="2" t="s">
        <v>271</v>
      </c>
      <c r="D520" s="2" t="s">
        <v>193</v>
      </c>
      <c r="E520" s="2">
        <v>36.0</v>
      </c>
      <c r="F520" s="2" t="s">
        <v>194</v>
      </c>
      <c r="G520" s="2" t="str">
        <f t="shared" si="4"/>
        <v/>
      </c>
      <c r="H520" s="2" t="str">
        <f t="shared" si="5"/>
        <v/>
      </c>
      <c r="I520" s="2" t="str">
        <f t="shared" si="6"/>
        <v/>
      </c>
      <c r="J520" s="2" t="b">
        <f t="shared" si="7"/>
        <v>0</v>
      </c>
      <c r="K520" s="2" t="str">
        <f>IFERROR(__xludf.DUMMYFUNCTION("TRIM(JOIN("" "",UNIQUE(TOCOL(ARRAYFORMULA(IF( SPLIT(C520,"" "")=TOCOL(SPLIT(C519,"" "")),SPLIT(C520,"" "")&amp;"" "",""""))))))"),"")</f>
        <v/>
      </c>
      <c r="L520" s="2" t="str">
        <f t="shared" si="1"/>
        <v/>
      </c>
      <c r="M520" s="2">
        <f t="shared" si="2"/>
        <v>517</v>
      </c>
      <c r="AY520" s="2" t="s">
        <v>842</v>
      </c>
    </row>
    <row r="521">
      <c r="A521" s="2">
        <f t="shared" si="3"/>
        <v>518</v>
      </c>
      <c r="B521" s="1" t="s">
        <v>226</v>
      </c>
      <c r="C521" s="2" t="s">
        <v>271</v>
      </c>
      <c r="D521" s="2" t="s">
        <v>193</v>
      </c>
      <c r="E521" s="2">
        <v>36.0</v>
      </c>
      <c r="F521" s="2" t="s">
        <v>428</v>
      </c>
      <c r="G521" s="2" t="str">
        <f t="shared" si="4"/>
        <v>misma edad</v>
      </c>
      <c r="H521" s="2" t="str">
        <f t="shared" si="5"/>
        <v>mismo nombre</v>
      </c>
      <c r="I521" s="2" t="str">
        <f t="shared" si="6"/>
        <v>mismo colegio</v>
      </c>
      <c r="J521" s="2" t="b">
        <f t="shared" si="7"/>
        <v>0</v>
      </c>
      <c r="K521" s="2" t="str">
        <f>IFERROR(__xludf.DUMMYFUNCTION("TRIM(JOIN("" "",UNIQUE(TOCOL(ARRAYFORMULA(IF( SPLIT(C521,"" "")=TOCOL(SPLIT(C520,"" "")),SPLIT(C521,"" "")&amp;"" "",""""))))))"),"FELICITAS ACEVEDO TRUJILLO")</f>
        <v>FELICITAS ACEVEDO TRUJILLO</v>
      </c>
      <c r="L521" s="2" t="str">
        <f t="shared" si="1"/>
        <v/>
      </c>
      <c r="M521" s="2">
        <f t="shared" si="2"/>
        <v>517</v>
      </c>
      <c r="AY521" s="2" t="s">
        <v>893</v>
      </c>
    </row>
    <row r="522">
      <c r="A522" s="2">
        <f t="shared" si="3"/>
        <v>519</v>
      </c>
      <c r="B522" s="1" t="s">
        <v>226</v>
      </c>
      <c r="C522" s="2" t="s">
        <v>265</v>
      </c>
      <c r="D522" s="2" t="s">
        <v>193</v>
      </c>
      <c r="E522" s="2">
        <v>36.0</v>
      </c>
      <c r="F522" s="2" t="s">
        <v>194</v>
      </c>
      <c r="G522" s="2" t="str">
        <f t="shared" si="4"/>
        <v>misma edad</v>
      </c>
      <c r="H522" s="2" t="str">
        <f t="shared" si="5"/>
        <v/>
      </c>
      <c r="I522" s="2" t="str">
        <f t="shared" si="6"/>
        <v>mismo colegio</v>
      </c>
      <c r="J522" s="2" t="b">
        <f t="shared" si="7"/>
        <v>0</v>
      </c>
      <c r="K522" s="2" t="str">
        <f>IFERROR(__xludf.DUMMYFUNCTION("TRIM(JOIN("" "",UNIQUE(TOCOL(ARRAYFORMULA(IF( SPLIT(C522,"" "")=TOCOL(SPLIT(C521,"" "")),SPLIT(C522,"" "")&amp;"" "",""""))))))"),"")</f>
        <v/>
      </c>
      <c r="L522" s="2" t="str">
        <f t="shared" si="1"/>
        <v/>
      </c>
      <c r="M522" s="2">
        <f t="shared" si="2"/>
        <v>519</v>
      </c>
      <c r="AY522" s="2" t="s">
        <v>987</v>
      </c>
    </row>
    <row r="523">
      <c r="A523" s="2">
        <f t="shared" si="3"/>
        <v>520</v>
      </c>
      <c r="B523" s="1" t="s">
        <v>226</v>
      </c>
      <c r="C523" s="2" t="s">
        <v>265</v>
      </c>
      <c r="D523" s="2" t="s">
        <v>193</v>
      </c>
      <c r="E523" s="2">
        <v>36.0</v>
      </c>
      <c r="F523" s="2" t="s">
        <v>428</v>
      </c>
      <c r="G523" s="2" t="str">
        <f t="shared" si="4"/>
        <v>misma edad</v>
      </c>
      <c r="H523" s="2" t="str">
        <f t="shared" si="5"/>
        <v>mismo nombre</v>
      </c>
      <c r="I523" s="2" t="str">
        <f t="shared" si="6"/>
        <v>mismo colegio</v>
      </c>
      <c r="J523" s="2" t="b">
        <f t="shared" si="7"/>
        <v>0</v>
      </c>
      <c r="K523" s="2" t="str">
        <f>IFERROR(__xludf.DUMMYFUNCTION("TRIM(JOIN("" "",UNIQUE(TOCOL(ARRAYFORMULA(IF( SPLIT(C523,"" "")=TOCOL(SPLIT(C522,"" "")),SPLIT(C523,"" "")&amp;"" "",""""))))))"),"FELENA MALLQUI ARAUJO")</f>
        <v>FELENA MALLQUI ARAUJO</v>
      </c>
      <c r="L523" s="2" t="str">
        <f t="shared" si="1"/>
        <v/>
      </c>
      <c r="M523" s="2">
        <f t="shared" si="2"/>
        <v>519</v>
      </c>
      <c r="AY523" s="2" t="s">
        <v>364</v>
      </c>
    </row>
    <row r="524">
      <c r="A524" s="2">
        <f t="shared" si="3"/>
        <v>521</v>
      </c>
      <c r="B524" s="1" t="s">
        <v>457</v>
      </c>
      <c r="C524" s="2" t="s">
        <v>467</v>
      </c>
      <c r="D524" s="2" t="s">
        <v>193</v>
      </c>
      <c r="E524" s="40"/>
      <c r="F524" s="2" t="s">
        <v>194</v>
      </c>
      <c r="G524" s="2" t="str">
        <f t="shared" si="4"/>
        <v/>
      </c>
      <c r="H524" s="2" t="str">
        <f t="shared" si="5"/>
        <v/>
      </c>
      <c r="I524" s="2" t="str">
        <f t="shared" si="6"/>
        <v/>
      </c>
      <c r="J524" s="2" t="b">
        <f t="shared" si="7"/>
        <v>0</v>
      </c>
      <c r="K524" s="2" t="str">
        <f>IFERROR(__xludf.DUMMYFUNCTION("TRIM(JOIN("" "",UNIQUE(TOCOL(ARRAYFORMULA(IF( SPLIT(C524,"" "")=TOCOL(SPLIT(C523,"" "")),SPLIT(C524,"" "")&amp;"" "",""""))))))"),"")</f>
        <v/>
      </c>
      <c r="L524" s="2" t="str">
        <f t="shared" si="1"/>
        <v/>
      </c>
      <c r="M524" s="2">
        <f t="shared" si="2"/>
        <v>521</v>
      </c>
      <c r="AY524" s="2" t="s">
        <v>1055</v>
      </c>
    </row>
    <row r="525">
      <c r="A525" s="2">
        <f t="shared" si="3"/>
        <v>522</v>
      </c>
      <c r="B525" s="1" t="s">
        <v>122</v>
      </c>
      <c r="C525" s="2" t="s">
        <v>442</v>
      </c>
      <c r="D525" s="2" t="s">
        <v>222</v>
      </c>
      <c r="E525" s="2">
        <v>32.0</v>
      </c>
      <c r="F525" s="2" t="s">
        <v>194</v>
      </c>
      <c r="G525" s="2" t="str">
        <f t="shared" si="4"/>
        <v/>
      </c>
      <c r="H525" s="2" t="str">
        <f t="shared" si="5"/>
        <v/>
      </c>
      <c r="I525" s="2" t="str">
        <f t="shared" si="6"/>
        <v/>
      </c>
      <c r="J525" s="2" t="b">
        <f t="shared" si="7"/>
        <v>1</v>
      </c>
      <c r="K525" s="2" t="str">
        <f>IFERROR(__xludf.DUMMYFUNCTION("TRIM(JOIN("" "",UNIQUE(TOCOL(ARRAYFORMULA(IF( SPLIT(C525,"" "")=TOCOL(SPLIT(C524,"" "")),SPLIT(C525,"" "")&amp;"" "",""""))))))"),"")</f>
        <v/>
      </c>
      <c r="L525" s="2" t="str">
        <f t="shared" si="1"/>
        <v/>
      </c>
      <c r="M525" s="2">
        <f t="shared" si="2"/>
        <v>522</v>
      </c>
      <c r="AY525" s="2" t="s">
        <v>1263</v>
      </c>
    </row>
    <row r="526">
      <c r="A526" s="2">
        <f t="shared" si="3"/>
        <v>523</v>
      </c>
      <c r="B526" s="1" t="s">
        <v>911</v>
      </c>
      <c r="C526" s="2" t="s">
        <v>1042</v>
      </c>
      <c r="D526" s="2" t="s">
        <v>193</v>
      </c>
      <c r="E526" s="2">
        <v>26.0</v>
      </c>
      <c r="F526" s="2" t="s">
        <v>194</v>
      </c>
      <c r="G526" s="2" t="str">
        <f t="shared" si="4"/>
        <v/>
      </c>
      <c r="H526" s="2" t="str">
        <f t="shared" si="5"/>
        <v/>
      </c>
      <c r="I526" s="2" t="str">
        <f t="shared" si="6"/>
        <v/>
      </c>
      <c r="J526" s="2" t="b">
        <f t="shared" si="7"/>
        <v>1</v>
      </c>
      <c r="K526" s="2" t="str">
        <f>IFERROR(__xludf.DUMMYFUNCTION("TRIM(JOIN("" "",UNIQUE(TOCOL(ARRAYFORMULA(IF( SPLIT(C526,"" "")=TOCOL(SPLIT(C525,"" "")),SPLIT(C526,"" "")&amp;"" "",""""))))))"),"")</f>
        <v/>
      </c>
      <c r="L526" s="2" t="str">
        <f t="shared" si="1"/>
        <v/>
      </c>
      <c r="M526" s="2">
        <f t="shared" si="2"/>
        <v>523</v>
      </c>
      <c r="AY526" s="2" t="s">
        <v>608</v>
      </c>
    </row>
    <row r="527">
      <c r="A527" s="2">
        <f t="shared" si="3"/>
        <v>524</v>
      </c>
      <c r="B527" s="1" t="s">
        <v>595</v>
      </c>
      <c r="C527" s="2" t="s">
        <v>605</v>
      </c>
      <c r="D527" s="2" t="s">
        <v>193</v>
      </c>
      <c r="E527" s="2">
        <v>27.0</v>
      </c>
      <c r="F527" s="2" t="s">
        <v>194</v>
      </c>
      <c r="G527" s="2" t="str">
        <f t="shared" si="4"/>
        <v/>
      </c>
      <c r="H527" s="2" t="str">
        <f t="shared" si="5"/>
        <v/>
      </c>
      <c r="I527" s="2" t="str">
        <f t="shared" si="6"/>
        <v/>
      </c>
      <c r="J527" s="2" t="b">
        <f t="shared" si="7"/>
        <v>1</v>
      </c>
      <c r="K527" s="2" t="str">
        <f>IFERROR(__xludf.DUMMYFUNCTION("TRIM(JOIN("" "",UNIQUE(TOCOL(ARRAYFORMULA(IF( SPLIT(C527,"" "")=TOCOL(SPLIT(C526,"" "")),SPLIT(C527,"" "")&amp;"" "",""""))))))"),"")</f>
        <v/>
      </c>
      <c r="L527" s="2" t="str">
        <f t="shared" si="1"/>
        <v/>
      </c>
      <c r="M527" s="2">
        <f t="shared" si="2"/>
        <v>524</v>
      </c>
      <c r="AY527" s="2" t="s">
        <v>873</v>
      </c>
    </row>
    <row r="528">
      <c r="A528" s="2">
        <f t="shared" si="3"/>
        <v>525</v>
      </c>
      <c r="B528" s="1" t="s">
        <v>830</v>
      </c>
      <c r="C528" s="2" t="s">
        <v>834</v>
      </c>
      <c r="D528" s="2" t="s">
        <v>193</v>
      </c>
      <c r="E528" s="2">
        <v>25.0</v>
      </c>
      <c r="F528" s="2" t="s">
        <v>194</v>
      </c>
      <c r="G528" s="2" t="str">
        <f t="shared" si="4"/>
        <v/>
      </c>
      <c r="H528" s="2" t="str">
        <f t="shared" si="5"/>
        <v/>
      </c>
      <c r="I528" s="2" t="str">
        <f t="shared" si="6"/>
        <v/>
      </c>
      <c r="J528" s="2" t="b">
        <f t="shared" si="7"/>
        <v>1</v>
      </c>
      <c r="K528" s="2" t="str">
        <f>IFERROR(__xludf.DUMMYFUNCTION("TRIM(JOIN("" "",UNIQUE(TOCOL(ARRAYFORMULA(IF( SPLIT(C528,"" "")=TOCOL(SPLIT(C527,"" "")),SPLIT(C528,"" "")&amp;"" "",""""))))))"),"")</f>
        <v/>
      </c>
      <c r="L528" s="2" t="str">
        <f t="shared" si="1"/>
        <v/>
      </c>
      <c r="M528" s="2">
        <f t="shared" si="2"/>
        <v>525</v>
      </c>
      <c r="AY528" s="2" t="s">
        <v>908</v>
      </c>
    </row>
    <row r="529">
      <c r="A529" s="2">
        <f t="shared" si="3"/>
        <v>526</v>
      </c>
      <c r="B529" s="1" t="s">
        <v>719</v>
      </c>
      <c r="C529" s="2" t="s">
        <v>1418</v>
      </c>
      <c r="D529" s="2" t="s">
        <v>193</v>
      </c>
      <c r="E529" s="2">
        <v>28.0</v>
      </c>
      <c r="F529" s="2" t="s">
        <v>428</v>
      </c>
      <c r="G529" s="2" t="str">
        <f t="shared" si="4"/>
        <v/>
      </c>
      <c r="H529" s="2" t="str">
        <f t="shared" si="5"/>
        <v/>
      </c>
      <c r="I529" s="2" t="str">
        <f t="shared" si="6"/>
        <v/>
      </c>
      <c r="J529" s="2" t="b">
        <f t="shared" si="7"/>
        <v>0</v>
      </c>
      <c r="K529" s="2" t="str">
        <f>IFERROR(__xludf.DUMMYFUNCTION("TRIM(JOIN("" "",UNIQUE(TOCOL(ARRAYFORMULA(IF( SPLIT(C529,"" "")=TOCOL(SPLIT(C528,"" "")),SPLIT(C529,"" "")&amp;"" "",""""))))))"),"")</f>
        <v/>
      </c>
      <c r="L529" s="2" t="str">
        <f t="shared" si="1"/>
        <v/>
      </c>
      <c r="M529" s="2">
        <f t="shared" si="2"/>
        <v>526</v>
      </c>
      <c r="AY529" s="2" t="s">
        <v>1170</v>
      </c>
    </row>
    <row r="530">
      <c r="A530" s="2">
        <f t="shared" si="3"/>
        <v>527</v>
      </c>
      <c r="B530" s="1" t="s">
        <v>584</v>
      </c>
      <c r="C530" s="2" t="s">
        <v>1335</v>
      </c>
      <c r="D530" s="2" t="s">
        <v>250</v>
      </c>
      <c r="E530" s="2">
        <v>57.0</v>
      </c>
      <c r="F530" s="2" t="s">
        <v>428</v>
      </c>
      <c r="G530" s="2" t="str">
        <f t="shared" si="4"/>
        <v/>
      </c>
      <c r="H530" s="2" t="str">
        <f t="shared" si="5"/>
        <v/>
      </c>
      <c r="I530" s="2" t="str">
        <f t="shared" si="6"/>
        <v/>
      </c>
      <c r="J530" s="2" t="b">
        <f t="shared" si="7"/>
        <v>1</v>
      </c>
      <c r="K530" s="2" t="str">
        <f>IFERROR(__xludf.DUMMYFUNCTION("TRIM(JOIN("" "",UNIQUE(TOCOL(ARRAYFORMULA(IF( SPLIT(C530,"" "")=TOCOL(SPLIT(C529,"" "")),SPLIT(C530,"" "")&amp;"" "",""""))))))"),"")</f>
        <v/>
      </c>
      <c r="L530" s="2" t="str">
        <f t="shared" si="1"/>
        <v/>
      </c>
      <c r="M530" s="2">
        <f t="shared" si="2"/>
        <v>527</v>
      </c>
      <c r="AY530" s="2" t="s">
        <v>1122</v>
      </c>
    </row>
    <row r="531">
      <c r="A531" s="2">
        <f t="shared" si="3"/>
        <v>528</v>
      </c>
      <c r="B531" s="1" t="s">
        <v>968</v>
      </c>
      <c r="C531" s="2" t="s">
        <v>1288</v>
      </c>
      <c r="D531" s="2" t="s">
        <v>193</v>
      </c>
      <c r="E531" s="2">
        <v>29.0</v>
      </c>
      <c r="F531" s="2" t="s">
        <v>428</v>
      </c>
      <c r="G531" s="2" t="str">
        <f t="shared" si="4"/>
        <v/>
      </c>
      <c r="H531" s="2" t="str">
        <f t="shared" si="5"/>
        <v/>
      </c>
      <c r="I531" s="2" t="str">
        <f t="shared" si="6"/>
        <v/>
      </c>
      <c r="J531" s="2" t="b">
        <f t="shared" si="7"/>
        <v>1</v>
      </c>
      <c r="K531" s="2" t="str">
        <f>IFERROR(__xludf.DUMMYFUNCTION("TRIM(JOIN("" "",UNIQUE(TOCOL(ARRAYFORMULA(IF( SPLIT(C531,"" "")=TOCOL(SPLIT(C530,"" "")),SPLIT(C531,"" "")&amp;"" "",""""))))))"),"")</f>
        <v/>
      </c>
      <c r="L531" s="2" t="str">
        <f t="shared" si="1"/>
        <v/>
      </c>
      <c r="M531" s="2">
        <f t="shared" si="2"/>
        <v>528</v>
      </c>
      <c r="AY531" s="2" t="s">
        <v>537</v>
      </c>
    </row>
    <row r="532">
      <c r="A532" s="2">
        <f t="shared" si="3"/>
        <v>529</v>
      </c>
      <c r="B532" s="1" t="s">
        <v>323</v>
      </c>
      <c r="C532" s="2" t="s">
        <v>329</v>
      </c>
      <c r="D532" s="2" t="s">
        <v>222</v>
      </c>
      <c r="E532" s="2">
        <v>37.0</v>
      </c>
      <c r="F532" s="2" t="s">
        <v>194</v>
      </c>
      <c r="G532" s="2" t="str">
        <f t="shared" si="4"/>
        <v/>
      </c>
      <c r="H532" s="2" t="str">
        <f t="shared" si="5"/>
        <v/>
      </c>
      <c r="I532" s="2" t="str">
        <f t="shared" si="6"/>
        <v/>
      </c>
      <c r="J532" s="2" t="b">
        <f t="shared" si="7"/>
        <v>0</v>
      </c>
      <c r="K532" s="2" t="str">
        <f>IFERROR(__xludf.DUMMYFUNCTION("TRIM(JOIN("" "",UNIQUE(TOCOL(ARRAYFORMULA(IF( SPLIT(C532,"" "")=TOCOL(SPLIT(C531,"" "")),SPLIT(C532,"" "")&amp;"" "",""""))))))"),"")</f>
        <v/>
      </c>
      <c r="L532" s="2" t="str">
        <f t="shared" si="1"/>
        <v/>
      </c>
      <c r="M532" s="2">
        <f t="shared" si="2"/>
        <v>529</v>
      </c>
      <c r="AY532" s="2" t="s">
        <v>1275</v>
      </c>
    </row>
    <row r="533">
      <c r="A533" s="2">
        <f t="shared" si="3"/>
        <v>530</v>
      </c>
      <c r="B533" s="1" t="s">
        <v>105</v>
      </c>
      <c r="C533" s="2" t="s">
        <v>411</v>
      </c>
      <c r="D533" s="2" t="s">
        <v>250</v>
      </c>
      <c r="E533" s="2">
        <v>58.0</v>
      </c>
      <c r="F533" s="2" t="s">
        <v>194</v>
      </c>
      <c r="G533" s="2" t="str">
        <f t="shared" si="4"/>
        <v/>
      </c>
      <c r="H533" s="2" t="str">
        <f t="shared" si="5"/>
        <v/>
      </c>
      <c r="I533" s="2" t="str">
        <f t="shared" si="6"/>
        <v/>
      </c>
      <c r="J533" s="2" t="b">
        <f t="shared" si="7"/>
        <v>1</v>
      </c>
      <c r="K533" s="2" t="str">
        <f>IFERROR(__xludf.DUMMYFUNCTION("TRIM(JOIN("" "",UNIQUE(TOCOL(ARRAYFORMULA(IF( SPLIT(C533,"" "")=TOCOL(SPLIT(C532,"" "")),SPLIT(C533,"" "")&amp;"" "",""""))))))"),"")</f>
        <v/>
      </c>
      <c r="L533" s="2" t="str">
        <f t="shared" si="1"/>
        <v/>
      </c>
      <c r="M533" s="2">
        <f t="shared" si="2"/>
        <v>530</v>
      </c>
      <c r="AY533" s="2" t="s">
        <v>1257</v>
      </c>
    </row>
    <row r="534">
      <c r="A534" s="2">
        <f t="shared" si="3"/>
        <v>531</v>
      </c>
      <c r="B534" s="1" t="s">
        <v>105</v>
      </c>
      <c r="C534" s="2" t="s">
        <v>411</v>
      </c>
      <c r="D534" s="2" t="s">
        <v>250</v>
      </c>
      <c r="E534" s="2">
        <v>58.0</v>
      </c>
      <c r="F534" s="2" t="s">
        <v>428</v>
      </c>
      <c r="G534" s="2" t="str">
        <f t="shared" si="4"/>
        <v>misma edad</v>
      </c>
      <c r="H534" s="2" t="str">
        <f t="shared" si="5"/>
        <v>mismo nombre</v>
      </c>
      <c r="I534" s="2" t="str">
        <f t="shared" si="6"/>
        <v>mismo colegio</v>
      </c>
      <c r="J534" s="2" t="b">
        <f t="shared" si="7"/>
        <v>0</v>
      </c>
      <c r="K534" s="2" t="str">
        <f>IFERROR(__xludf.DUMMYFUNCTION("TRIM(JOIN("" "",UNIQUE(TOCOL(ARRAYFORMULA(IF( SPLIT(C534,"" "")=TOCOL(SPLIT(C533,"" "")),SPLIT(C534,"" "")&amp;"" "",""""))))))"),"EUGENIO CASTRO OBREGÓN")</f>
        <v>EUGENIO CASTRO OBREGÓN</v>
      </c>
      <c r="L534" s="2" t="str">
        <f t="shared" si="1"/>
        <v/>
      </c>
      <c r="M534" s="2">
        <f t="shared" si="2"/>
        <v>530</v>
      </c>
      <c r="AY534" s="2" t="s">
        <v>314</v>
      </c>
    </row>
    <row r="535">
      <c r="A535" s="2">
        <f t="shared" si="3"/>
        <v>532</v>
      </c>
      <c r="B535" s="1" t="s">
        <v>205</v>
      </c>
      <c r="C535" s="2" t="s">
        <v>1153</v>
      </c>
      <c r="D535" s="2" t="s">
        <v>193</v>
      </c>
      <c r="E535" s="2">
        <v>23.0</v>
      </c>
      <c r="F535" s="2" t="s">
        <v>428</v>
      </c>
      <c r="G535" s="2" t="str">
        <f t="shared" si="4"/>
        <v/>
      </c>
      <c r="H535" s="2" t="str">
        <f t="shared" si="5"/>
        <v/>
      </c>
      <c r="I535" s="2" t="str">
        <f t="shared" si="6"/>
        <v/>
      </c>
      <c r="J535" s="2" t="b">
        <f t="shared" si="7"/>
        <v>1</v>
      </c>
      <c r="K535" s="2" t="str">
        <f>IFERROR(__xludf.DUMMYFUNCTION("TRIM(JOIN("" "",UNIQUE(TOCOL(ARRAYFORMULA(IF( SPLIT(C535,"" "")=TOCOL(SPLIT(C534,"" "")),SPLIT(C535,"" "")&amp;"" "",""""))))))"),"")</f>
        <v/>
      </c>
      <c r="L535" s="2" t="str">
        <f t="shared" si="1"/>
        <v/>
      </c>
      <c r="M535" s="2">
        <f t="shared" si="2"/>
        <v>532</v>
      </c>
      <c r="AY535" s="2" t="s">
        <v>326</v>
      </c>
    </row>
    <row r="536">
      <c r="A536" s="2">
        <f t="shared" si="3"/>
        <v>533</v>
      </c>
      <c r="B536" s="1" t="s">
        <v>226</v>
      </c>
      <c r="C536" s="2" t="s">
        <v>277</v>
      </c>
      <c r="D536" s="2" t="s">
        <v>193</v>
      </c>
      <c r="E536" s="2">
        <v>25.0</v>
      </c>
      <c r="F536" s="2" t="s">
        <v>194</v>
      </c>
      <c r="G536" s="2" t="str">
        <f t="shared" si="4"/>
        <v/>
      </c>
      <c r="H536" s="2" t="str">
        <f t="shared" si="5"/>
        <v/>
      </c>
      <c r="I536" s="2" t="str">
        <f t="shared" si="6"/>
        <v/>
      </c>
      <c r="J536" s="2" t="b">
        <f t="shared" si="7"/>
        <v>0</v>
      </c>
      <c r="K536" s="2" t="str">
        <f>IFERROR(__xludf.DUMMYFUNCTION("TRIM(JOIN("" "",UNIQUE(TOCOL(ARRAYFORMULA(IF( SPLIT(C536,"" "")=TOCOL(SPLIT(C535,"" "")),SPLIT(C536,"" "")&amp;"" "",""""))))))"),"")</f>
        <v/>
      </c>
      <c r="L536" s="2" t="str">
        <f t="shared" si="1"/>
        <v/>
      </c>
      <c r="M536" s="2">
        <f t="shared" si="2"/>
        <v>533</v>
      </c>
      <c r="AY536" s="2" t="s">
        <v>1229</v>
      </c>
    </row>
    <row r="537">
      <c r="A537" s="2">
        <f t="shared" si="3"/>
        <v>534</v>
      </c>
      <c r="B537" s="1" t="s">
        <v>226</v>
      </c>
      <c r="C537" s="2" t="s">
        <v>277</v>
      </c>
      <c r="D537" s="2" t="s">
        <v>193</v>
      </c>
      <c r="E537" s="2">
        <v>25.0</v>
      </c>
      <c r="F537" s="2" t="s">
        <v>428</v>
      </c>
      <c r="G537" s="2" t="str">
        <f t="shared" si="4"/>
        <v>misma edad</v>
      </c>
      <c r="H537" s="2" t="str">
        <f t="shared" si="5"/>
        <v>mismo nombre</v>
      </c>
      <c r="I537" s="2" t="str">
        <f t="shared" si="6"/>
        <v>mismo colegio</v>
      </c>
      <c r="J537" s="2" t="b">
        <f t="shared" si="7"/>
        <v>0</v>
      </c>
      <c r="K537" s="2" t="str">
        <f>IFERROR(__xludf.DUMMYFUNCTION("TRIM(JOIN("" "",UNIQUE(TOCOL(ARRAYFORMULA(IF( SPLIT(C537,"" "")=TOCOL(SPLIT(C536,"" "")),SPLIT(C537,"" "")&amp;"" "",""""))))))"),"ESTHER RAMIREZ PRUDENCIO")</f>
        <v>ESTHER RAMIREZ PRUDENCIO</v>
      </c>
      <c r="L537" s="2" t="str">
        <f t="shared" si="1"/>
        <v/>
      </c>
      <c r="M537" s="2">
        <f t="shared" si="2"/>
        <v>533</v>
      </c>
      <c r="AY537" s="2" t="s">
        <v>999</v>
      </c>
    </row>
    <row r="538">
      <c r="A538" s="2">
        <f t="shared" si="3"/>
        <v>535</v>
      </c>
      <c r="B538" s="1" t="s">
        <v>968</v>
      </c>
      <c r="C538" s="2" t="s">
        <v>1290</v>
      </c>
      <c r="D538" s="2" t="s">
        <v>193</v>
      </c>
      <c r="E538" s="2">
        <v>27.0</v>
      </c>
      <c r="F538" s="2" t="s">
        <v>428</v>
      </c>
      <c r="G538" s="2" t="str">
        <f t="shared" si="4"/>
        <v/>
      </c>
      <c r="H538" s="2" t="str">
        <f t="shared" si="5"/>
        <v/>
      </c>
      <c r="I538" s="2" t="str">
        <f t="shared" si="6"/>
        <v/>
      </c>
      <c r="J538" s="2" t="b">
        <f t="shared" si="7"/>
        <v>1</v>
      </c>
      <c r="K538" s="2" t="str">
        <f>IFERROR(__xludf.DUMMYFUNCTION("TRIM(JOIN("" "",UNIQUE(TOCOL(ARRAYFORMULA(IF( SPLIT(C538,"" "")=TOCOL(SPLIT(C537,"" "")),SPLIT(C538,"" "")&amp;"" "",""""))))))"),"ESTHER")</f>
        <v>ESTHER</v>
      </c>
      <c r="L538" s="2" t="str">
        <f t="shared" si="1"/>
        <v/>
      </c>
      <c r="M538" s="2">
        <f t="shared" si="2"/>
        <v>535</v>
      </c>
      <c r="AY538" s="2" t="s">
        <v>1134</v>
      </c>
    </row>
    <row r="539">
      <c r="A539" s="2">
        <f t="shared" si="3"/>
        <v>536</v>
      </c>
      <c r="B539" s="1" t="s">
        <v>668</v>
      </c>
      <c r="C539" s="2" t="s">
        <v>1474</v>
      </c>
      <c r="D539" s="2" t="s">
        <v>193</v>
      </c>
      <c r="E539" s="2">
        <v>29.0</v>
      </c>
      <c r="F539" s="2" t="s">
        <v>428</v>
      </c>
      <c r="G539" s="2" t="str">
        <f t="shared" si="4"/>
        <v/>
      </c>
      <c r="H539" s="2" t="str">
        <f t="shared" si="5"/>
        <v/>
      </c>
      <c r="I539" s="2" t="str">
        <f t="shared" si="6"/>
        <v/>
      </c>
      <c r="J539" s="2" t="b">
        <f t="shared" si="7"/>
        <v>1</v>
      </c>
      <c r="K539" s="2" t="str">
        <f>IFERROR(__xludf.DUMMYFUNCTION("TRIM(JOIN("" "",UNIQUE(TOCOL(ARRAYFORMULA(IF( SPLIT(C539,"" "")=TOCOL(SPLIT(C538,"" "")),SPLIT(C539,"" "")&amp;"" "",""""))))))"),"")</f>
        <v/>
      </c>
      <c r="L539" s="2" t="str">
        <f t="shared" si="1"/>
        <v/>
      </c>
      <c r="M539" s="2">
        <f t="shared" si="2"/>
        <v>536</v>
      </c>
      <c r="AY539" s="2" t="s">
        <v>852</v>
      </c>
    </row>
    <row r="540">
      <c r="A540" s="2">
        <f t="shared" si="3"/>
        <v>537</v>
      </c>
      <c r="B540" s="1" t="s">
        <v>144</v>
      </c>
      <c r="C540" s="2" t="s">
        <v>541</v>
      </c>
      <c r="D540" s="2" t="s">
        <v>193</v>
      </c>
      <c r="E540" s="2">
        <v>35.0</v>
      </c>
      <c r="F540" s="2" t="s">
        <v>194</v>
      </c>
      <c r="G540" s="2" t="str">
        <f t="shared" si="4"/>
        <v/>
      </c>
      <c r="H540" s="2" t="str">
        <f t="shared" si="5"/>
        <v/>
      </c>
      <c r="I540" s="2" t="str">
        <f t="shared" si="6"/>
        <v/>
      </c>
      <c r="J540" s="2" t="b">
        <f t="shared" si="7"/>
        <v>0</v>
      </c>
      <c r="K540" s="2" t="str">
        <f>IFERROR(__xludf.DUMMYFUNCTION("TRIM(JOIN("" "",UNIQUE(TOCOL(ARRAYFORMULA(IF( SPLIT(C540,"" "")=TOCOL(SPLIT(C539,"" "")),SPLIT(C540,"" "")&amp;"" "",""""))))))"),"ESPINOZA")</f>
        <v>ESPINOZA</v>
      </c>
      <c r="L540" s="2" t="str">
        <f t="shared" si="1"/>
        <v/>
      </c>
      <c r="M540" s="2">
        <f t="shared" si="2"/>
        <v>537</v>
      </c>
      <c r="AY540" s="2" t="s">
        <v>816</v>
      </c>
    </row>
    <row r="541">
      <c r="A541" s="2">
        <f t="shared" si="3"/>
        <v>538</v>
      </c>
      <c r="B541" s="1" t="s">
        <v>573</v>
      </c>
      <c r="C541" s="2" t="s">
        <v>578</v>
      </c>
      <c r="D541" s="2" t="s">
        <v>193</v>
      </c>
      <c r="E541" s="2">
        <v>40.0</v>
      </c>
      <c r="F541" s="2" t="s">
        <v>194</v>
      </c>
      <c r="G541" s="2" t="str">
        <f t="shared" si="4"/>
        <v/>
      </c>
      <c r="H541" s="2" t="str">
        <f t="shared" si="5"/>
        <v/>
      </c>
      <c r="I541" s="2" t="str">
        <f t="shared" si="6"/>
        <v/>
      </c>
      <c r="J541" s="2" t="b">
        <f t="shared" si="7"/>
        <v>1</v>
      </c>
      <c r="K541" s="2" t="str">
        <f>IFERROR(__xludf.DUMMYFUNCTION("TRIM(JOIN("" "",UNIQUE(TOCOL(ARRAYFORMULA(IF( SPLIT(C541,"" "")=TOCOL(SPLIT(C540,"" "")),SPLIT(C541,"" "")&amp;"" "",""""))))))"),"")</f>
        <v/>
      </c>
      <c r="L541" s="2" t="str">
        <f t="shared" si="1"/>
        <v/>
      </c>
      <c r="M541" s="2">
        <f t="shared" si="2"/>
        <v>538</v>
      </c>
      <c r="AY541" s="2" t="s">
        <v>945</v>
      </c>
    </row>
    <row r="542">
      <c r="A542" s="2">
        <f t="shared" si="3"/>
        <v>539</v>
      </c>
      <c r="B542" s="1" t="s">
        <v>595</v>
      </c>
      <c r="C542" s="2" t="s">
        <v>603</v>
      </c>
      <c r="D542" s="2" t="s">
        <v>193</v>
      </c>
      <c r="E542" s="2">
        <v>30.0</v>
      </c>
      <c r="F542" s="2" t="s">
        <v>194</v>
      </c>
      <c r="G542" s="2" t="str">
        <f t="shared" si="4"/>
        <v/>
      </c>
      <c r="H542" s="2" t="str">
        <f t="shared" si="5"/>
        <v/>
      </c>
      <c r="I542" s="2" t="str">
        <f t="shared" si="6"/>
        <v/>
      </c>
      <c r="J542" s="2" t="b">
        <f t="shared" si="7"/>
        <v>1</v>
      </c>
      <c r="K542" s="2" t="str">
        <f>IFERROR(__xludf.DUMMYFUNCTION("TRIM(JOIN("" "",UNIQUE(TOCOL(ARRAYFORMULA(IF( SPLIT(C542,"" "")=TOCOL(SPLIT(C541,"" "")),SPLIT(C542,"" "")&amp;"" "",""""))))))"),"")</f>
        <v/>
      </c>
      <c r="L542" s="2" t="str">
        <f t="shared" si="1"/>
        <v/>
      </c>
      <c r="M542" s="2">
        <f t="shared" si="2"/>
        <v>539</v>
      </c>
      <c r="AY542" s="2" t="s">
        <v>887</v>
      </c>
    </row>
    <row r="543">
      <c r="A543" s="2">
        <f t="shared" si="3"/>
        <v>540</v>
      </c>
      <c r="B543" s="1" t="s">
        <v>595</v>
      </c>
      <c r="C543" s="2" t="s">
        <v>603</v>
      </c>
      <c r="D543" s="2" t="s">
        <v>193</v>
      </c>
      <c r="E543" s="2">
        <v>30.0</v>
      </c>
      <c r="F543" s="2" t="s">
        <v>428</v>
      </c>
      <c r="G543" s="2" t="str">
        <f t="shared" si="4"/>
        <v>misma edad</v>
      </c>
      <c r="H543" s="2" t="str">
        <f t="shared" si="5"/>
        <v>mismo nombre</v>
      </c>
      <c r="I543" s="2" t="str">
        <f t="shared" si="6"/>
        <v>mismo colegio</v>
      </c>
      <c r="J543" s="2" t="b">
        <f t="shared" si="7"/>
        <v>0</v>
      </c>
      <c r="K543" s="2" t="str">
        <f>IFERROR(__xludf.DUMMYFUNCTION("TRIM(JOIN("" "",UNIQUE(TOCOL(ARRAYFORMULA(IF( SPLIT(C543,"" "")=TOCOL(SPLIT(C542,"" "")),SPLIT(C543,"" "")&amp;"" "",""""))))))"),"ESCOBAR CARRANZA BRIGITTE FRANCIS")</f>
        <v>ESCOBAR CARRANZA BRIGITTE FRANCIS</v>
      </c>
      <c r="L543" s="2" t="str">
        <f t="shared" si="1"/>
        <v/>
      </c>
      <c r="M543" s="2">
        <f t="shared" si="2"/>
        <v>539</v>
      </c>
      <c r="AY543" s="2" t="s">
        <v>260</v>
      </c>
    </row>
    <row r="544">
      <c r="A544" s="2">
        <f t="shared" si="3"/>
        <v>541</v>
      </c>
      <c r="B544" s="1" t="s">
        <v>954</v>
      </c>
      <c r="C544" s="2" t="s">
        <v>964</v>
      </c>
      <c r="D544" s="2" t="s">
        <v>193</v>
      </c>
      <c r="E544" s="2">
        <v>28.0</v>
      </c>
      <c r="F544" s="2" t="s">
        <v>194</v>
      </c>
      <c r="G544" s="2" t="str">
        <f t="shared" si="4"/>
        <v/>
      </c>
      <c r="H544" s="2" t="str">
        <f t="shared" si="5"/>
        <v/>
      </c>
      <c r="I544" s="2" t="str">
        <f t="shared" si="6"/>
        <v/>
      </c>
      <c r="J544" s="2" t="b">
        <f t="shared" si="7"/>
        <v>0</v>
      </c>
      <c r="K544" s="2" t="str">
        <f>IFERROR(__xludf.DUMMYFUNCTION("TRIM(JOIN("" "",UNIQUE(TOCOL(ARRAYFORMULA(IF( SPLIT(C544,"" "")=TOCOL(SPLIT(C543,"" "")),SPLIT(C544,"" "")&amp;"" "",""""))))))"),"")</f>
        <v/>
      </c>
      <c r="L544" s="2" t="str">
        <f t="shared" si="1"/>
        <v/>
      </c>
      <c r="M544" s="2">
        <f t="shared" si="2"/>
        <v>541</v>
      </c>
      <c r="AY544" s="2" t="s">
        <v>1097</v>
      </c>
    </row>
    <row r="545">
      <c r="A545" s="2">
        <f t="shared" si="3"/>
        <v>542</v>
      </c>
      <c r="B545" s="1" t="s">
        <v>954</v>
      </c>
      <c r="C545" s="2" t="s">
        <v>964</v>
      </c>
      <c r="D545" s="2" t="s">
        <v>193</v>
      </c>
      <c r="E545" s="2">
        <v>29.0</v>
      </c>
      <c r="F545" s="2" t="s">
        <v>428</v>
      </c>
      <c r="G545" s="2" t="str">
        <f t="shared" si="4"/>
        <v/>
      </c>
      <c r="H545" s="2" t="str">
        <f t="shared" si="5"/>
        <v>mismo nombre</v>
      </c>
      <c r="I545" s="2" t="str">
        <f t="shared" si="6"/>
        <v>mismo colegio</v>
      </c>
      <c r="J545" s="2" t="b">
        <f t="shared" si="7"/>
        <v>0</v>
      </c>
      <c r="K545" s="2" t="str">
        <f>IFERROR(__xludf.DUMMYFUNCTION("TRIM(JOIN("" "",UNIQUE(TOCOL(ARRAYFORMULA(IF( SPLIT(C545,"" "")=TOCOL(SPLIT(C544,"" "")),SPLIT(C545,"" "")&amp;"" "",""""))))))"),"ERIKA PAOLA MONTESINOS ISIDRO")</f>
        <v>ERIKA PAOLA MONTESINOS ISIDRO</v>
      </c>
      <c r="L545" s="2" t="str">
        <f t="shared" si="1"/>
        <v/>
      </c>
      <c r="M545" s="2">
        <f t="shared" si="2"/>
        <v>541</v>
      </c>
      <c r="AY545" s="2" t="s">
        <v>619</v>
      </c>
    </row>
    <row r="546">
      <c r="A546" s="2">
        <f t="shared" si="3"/>
        <v>543</v>
      </c>
      <c r="B546" s="1" t="s">
        <v>928</v>
      </c>
      <c r="C546" s="2" t="s">
        <v>1301</v>
      </c>
      <c r="D546" s="2" t="s">
        <v>193</v>
      </c>
      <c r="E546" s="2">
        <v>33.0</v>
      </c>
      <c r="F546" s="2" t="s">
        <v>428</v>
      </c>
      <c r="G546" s="2" t="str">
        <f t="shared" si="4"/>
        <v/>
      </c>
      <c r="H546" s="2" t="str">
        <f t="shared" si="5"/>
        <v/>
      </c>
      <c r="I546" s="2" t="str">
        <f t="shared" si="6"/>
        <v/>
      </c>
      <c r="J546" s="2" t="b">
        <f t="shared" si="7"/>
        <v>1</v>
      </c>
      <c r="K546" s="2" t="str">
        <f>IFERROR(__xludf.DUMMYFUNCTION("TRIM(JOIN("" "",UNIQUE(TOCOL(ARRAYFORMULA(IF( SPLIT(C546,"" "")=TOCOL(SPLIT(C545,"" "")),SPLIT(C546,"" "")&amp;"" "",""""))))))"),"")</f>
        <v/>
      </c>
      <c r="L546" s="2" t="str">
        <f t="shared" si="1"/>
        <v>-&gt;WITH THIS</v>
      </c>
      <c r="M546" s="2">
        <f t="shared" si="2"/>
        <v>543</v>
      </c>
      <c r="AY546" s="2" t="s">
        <v>402</v>
      </c>
    </row>
    <row r="547">
      <c r="A547" s="2">
        <f t="shared" si="3"/>
        <v>544</v>
      </c>
      <c r="B547" s="1" t="s">
        <v>928</v>
      </c>
      <c r="C547" s="2" t="s">
        <v>940</v>
      </c>
      <c r="D547" s="2" t="s">
        <v>193</v>
      </c>
      <c r="E547" s="2">
        <v>33.0</v>
      </c>
      <c r="F547" s="2" t="s">
        <v>194</v>
      </c>
      <c r="G547" s="2" t="str">
        <f t="shared" si="4"/>
        <v>misma edad</v>
      </c>
      <c r="H547" s="2" t="str">
        <f t="shared" si="5"/>
        <v/>
      </c>
      <c r="I547" s="2" t="str">
        <f t="shared" si="6"/>
        <v>mismo colegio</v>
      </c>
      <c r="J547" s="2" t="b">
        <f t="shared" si="7"/>
        <v>0</v>
      </c>
      <c r="K547" s="2" t="str">
        <f>IFERROR(__xludf.DUMMYFUNCTION("TRIM(JOIN("" "",UNIQUE(TOCOL(ARRAYFORMULA(IF( SPLIT(C547,"" "")=TOCOL(SPLIT(C546,"" "")),SPLIT(C547,"" "")&amp;"" "",""""))))))"),"ENITH MORALES CACHA")</f>
        <v>ENITH MORALES CACHA</v>
      </c>
      <c r="L547" s="2" t="str">
        <f t="shared" si="1"/>
        <v>EVALUAR</v>
      </c>
      <c r="M547" s="2">
        <f t="shared" si="2"/>
        <v>544</v>
      </c>
      <c r="AY547" s="2" t="s">
        <v>1462</v>
      </c>
    </row>
    <row r="548">
      <c r="A548" s="2">
        <f t="shared" si="3"/>
        <v>545</v>
      </c>
      <c r="B548" s="1" t="s">
        <v>911</v>
      </c>
      <c r="C548" s="2" t="s">
        <v>1054</v>
      </c>
      <c r="D548" s="2" t="s">
        <v>193</v>
      </c>
      <c r="E548" s="2">
        <v>33.0</v>
      </c>
      <c r="F548" s="2" t="s">
        <v>194</v>
      </c>
      <c r="G548" s="2" t="str">
        <f t="shared" si="4"/>
        <v>misma edad</v>
      </c>
      <c r="H548" s="2" t="str">
        <f t="shared" si="5"/>
        <v/>
      </c>
      <c r="I548" s="2" t="str">
        <f t="shared" si="6"/>
        <v/>
      </c>
      <c r="J548" s="2" t="b">
        <f t="shared" si="7"/>
        <v>1</v>
      </c>
      <c r="K548" s="2" t="str">
        <f>IFERROR(__xludf.DUMMYFUNCTION("TRIM(JOIN("" "",UNIQUE(TOCOL(ARRAYFORMULA(IF( SPLIT(C548,"" "")=TOCOL(SPLIT(C547,"" "")),SPLIT(C548,"" "")&amp;"" "",""""))))))"),"")</f>
        <v/>
      </c>
      <c r="L548" s="2" t="str">
        <f t="shared" si="1"/>
        <v/>
      </c>
      <c r="M548" s="2">
        <f t="shared" si="2"/>
        <v>545</v>
      </c>
      <c r="AY548" s="2" t="s">
        <v>381</v>
      </c>
    </row>
    <row r="549">
      <c r="A549" s="2">
        <f t="shared" si="3"/>
        <v>546</v>
      </c>
      <c r="B549" s="1" t="s">
        <v>911</v>
      </c>
      <c r="C549" s="2" t="s">
        <v>1054</v>
      </c>
      <c r="D549" s="2" t="s">
        <v>193</v>
      </c>
      <c r="E549" s="2">
        <v>33.0</v>
      </c>
      <c r="F549" s="2" t="s">
        <v>428</v>
      </c>
      <c r="G549" s="2" t="str">
        <f t="shared" si="4"/>
        <v>misma edad</v>
      </c>
      <c r="H549" s="2" t="str">
        <f t="shared" si="5"/>
        <v>mismo nombre</v>
      </c>
      <c r="I549" s="2" t="str">
        <f t="shared" si="6"/>
        <v>mismo colegio</v>
      </c>
      <c r="J549" s="2" t="b">
        <f t="shared" si="7"/>
        <v>0</v>
      </c>
      <c r="K549" s="2" t="str">
        <f>IFERROR(__xludf.DUMMYFUNCTION("TRIM(JOIN("" "",UNIQUE(TOCOL(ARRAYFORMULA(IF( SPLIT(C549,"" "")=TOCOL(SPLIT(C548,"" "")),SPLIT(C549,"" "")&amp;"" "",""""))))))"),"ENA CASTILLO BAUTISTA")</f>
        <v>ENA CASTILLO BAUTISTA</v>
      </c>
      <c r="L549" s="2" t="str">
        <f t="shared" si="1"/>
        <v/>
      </c>
      <c r="M549" s="2">
        <f t="shared" si="2"/>
        <v>545</v>
      </c>
      <c r="AY549" s="2" t="s">
        <v>394</v>
      </c>
    </row>
    <row r="550">
      <c r="A550" s="2">
        <f t="shared" si="3"/>
        <v>547</v>
      </c>
      <c r="B550" s="1" t="s">
        <v>87</v>
      </c>
      <c r="C550" s="2" t="s">
        <v>434</v>
      </c>
      <c r="D550" s="2" t="s">
        <v>193</v>
      </c>
      <c r="E550" s="2">
        <v>30.0</v>
      </c>
      <c r="F550" s="2" t="s">
        <v>194</v>
      </c>
      <c r="G550" s="2" t="str">
        <f t="shared" si="4"/>
        <v/>
      </c>
      <c r="H550" s="2" t="str">
        <f t="shared" si="5"/>
        <v/>
      </c>
      <c r="I550" s="2" t="str">
        <f t="shared" si="6"/>
        <v/>
      </c>
      <c r="J550" s="2" t="b">
        <f t="shared" si="7"/>
        <v>0</v>
      </c>
      <c r="K550" s="2" t="str">
        <f>IFERROR(__xludf.DUMMYFUNCTION("TRIM(JOIN("" "",UNIQUE(TOCOL(ARRAYFORMULA(IF( SPLIT(C550,"" "")=TOCOL(SPLIT(C549,"" "")),SPLIT(C550,"" "")&amp;"" "",""""))))))"),"")</f>
        <v/>
      </c>
      <c r="L550" s="2" t="str">
        <f t="shared" si="1"/>
        <v/>
      </c>
      <c r="M550" s="2">
        <f t="shared" si="2"/>
        <v>547</v>
      </c>
      <c r="AY550" s="2" t="s">
        <v>700</v>
      </c>
    </row>
    <row r="551">
      <c r="A551" s="2">
        <f t="shared" si="3"/>
        <v>548</v>
      </c>
      <c r="B551" s="1" t="s">
        <v>911</v>
      </c>
      <c r="C551" s="2" t="s">
        <v>1038</v>
      </c>
      <c r="D551" s="2" t="s">
        <v>193</v>
      </c>
      <c r="E551" s="2">
        <v>58.0</v>
      </c>
      <c r="F551" s="2" t="s">
        <v>194</v>
      </c>
      <c r="G551" s="2" t="str">
        <f t="shared" si="4"/>
        <v/>
      </c>
      <c r="H551" s="2" t="str">
        <f t="shared" si="5"/>
        <v/>
      </c>
      <c r="I551" s="2" t="str">
        <f t="shared" si="6"/>
        <v/>
      </c>
      <c r="J551" s="2" t="b">
        <f t="shared" si="7"/>
        <v>1</v>
      </c>
      <c r="K551" s="2" t="str">
        <f>IFERROR(__xludf.DUMMYFUNCTION("TRIM(JOIN("" "",UNIQUE(TOCOL(ARRAYFORMULA(IF( SPLIT(C551,"" "")=TOCOL(SPLIT(C550,"" "")),SPLIT(C551,"" "")&amp;"" "",""""))))))"),"")</f>
        <v/>
      </c>
      <c r="L551" s="2" t="str">
        <f t="shared" si="1"/>
        <v/>
      </c>
      <c r="M551" s="2">
        <f t="shared" si="2"/>
        <v>548</v>
      </c>
      <c r="AY551" s="2" t="s">
        <v>1233</v>
      </c>
    </row>
    <row r="552">
      <c r="A552" s="2">
        <f t="shared" si="3"/>
        <v>549</v>
      </c>
      <c r="B552" s="1" t="s">
        <v>911</v>
      </c>
      <c r="C552" s="2" t="s">
        <v>1038</v>
      </c>
      <c r="D552" s="2" t="s">
        <v>193</v>
      </c>
      <c r="E552" s="2">
        <v>59.0</v>
      </c>
      <c r="F552" s="2" t="s">
        <v>428</v>
      </c>
      <c r="G552" s="2" t="str">
        <f t="shared" si="4"/>
        <v/>
      </c>
      <c r="H552" s="2" t="str">
        <f t="shared" si="5"/>
        <v>mismo nombre</v>
      </c>
      <c r="I552" s="2" t="str">
        <f t="shared" si="6"/>
        <v>mismo colegio</v>
      </c>
      <c r="J552" s="2" t="b">
        <f t="shared" si="7"/>
        <v>0</v>
      </c>
      <c r="K552" s="2" t="str">
        <f>IFERROR(__xludf.DUMMYFUNCTION("TRIM(JOIN("" "",UNIQUE(TOCOL(ARRAYFORMULA(IF( SPLIT(C552,"" "")=TOCOL(SPLIT(C551,"" "")),SPLIT(C552,"" "")&amp;"" "",""""))))))"),"EMILIA DIAZ")</f>
        <v>EMILIA DIAZ</v>
      </c>
      <c r="L552" s="2" t="str">
        <f t="shared" si="1"/>
        <v/>
      </c>
      <c r="M552" s="2">
        <f t="shared" si="2"/>
        <v>548</v>
      </c>
      <c r="AY552" s="2" t="s">
        <v>923</v>
      </c>
    </row>
    <row r="553">
      <c r="A553" s="2">
        <f t="shared" si="3"/>
        <v>550</v>
      </c>
      <c r="B553" s="1" t="s">
        <v>226</v>
      </c>
      <c r="C553" s="2" t="s">
        <v>315</v>
      </c>
      <c r="D553" s="2" t="s">
        <v>222</v>
      </c>
      <c r="E553" s="2">
        <v>36.0</v>
      </c>
      <c r="F553" s="2" t="s">
        <v>194</v>
      </c>
      <c r="G553" s="2" t="str">
        <f t="shared" si="4"/>
        <v/>
      </c>
      <c r="H553" s="2" t="str">
        <f t="shared" si="5"/>
        <v/>
      </c>
      <c r="I553" s="2" t="str">
        <f t="shared" si="6"/>
        <v/>
      </c>
      <c r="J553" s="2" t="b">
        <f t="shared" si="7"/>
        <v>0</v>
      </c>
      <c r="K553" s="2" t="str">
        <f>IFERROR(__xludf.DUMMYFUNCTION("TRIM(JOIN("" "",UNIQUE(TOCOL(ARRAYFORMULA(IF( SPLIT(C553,"" "")=TOCOL(SPLIT(C552,"" "")),SPLIT(C553,"" "")&amp;"" "",""""))))))"),"")</f>
        <v/>
      </c>
      <c r="L553" s="2" t="str">
        <f t="shared" si="1"/>
        <v/>
      </c>
      <c r="M553" s="2">
        <f t="shared" si="2"/>
        <v>550</v>
      </c>
      <c r="AY553" s="2" t="s">
        <v>523</v>
      </c>
    </row>
    <row r="554">
      <c r="A554" s="2">
        <f t="shared" si="3"/>
        <v>551</v>
      </c>
      <c r="B554" s="1" t="s">
        <v>226</v>
      </c>
      <c r="C554" s="2" t="s">
        <v>315</v>
      </c>
      <c r="D554" s="2" t="s">
        <v>250</v>
      </c>
      <c r="E554" s="2">
        <v>36.0</v>
      </c>
      <c r="F554" s="2" t="s">
        <v>428</v>
      </c>
      <c r="G554" s="2" t="str">
        <f t="shared" si="4"/>
        <v>misma edad</v>
      </c>
      <c r="H554" s="2" t="str">
        <f t="shared" si="5"/>
        <v>mismo nombre</v>
      </c>
      <c r="I554" s="2" t="str">
        <f t="shared" si="6"/>
        <v>mismo colegio</v>
      </c>
      <c r="J554" s="2" t="b">
        <f t="shared" si="7"/>
        <v>0</v>
      </c>
      <c r="K554" s="2" t="str">
        <f>IFERROR(__xludf.DUMMYFUNCTION("TRIM(JOIN("" "",UNIQUE(TOCOL(ARRAYFORMULA(IF( SPLIT(C554,"" "")=TOCOL(SPLIT(C553,"" "")),SPLIT(C554,"" "")&amp;"" "",""""))))))"),"EMIL SALAZAR MORY")</f>
        <v>EMIL SALAZAR MORY</v>
      </c>
      <c r="L554" s="2" t="str">
        <f t="shared" si="1"/>
        <v/>
      </c>
      <c r="M554" s="2">
        <f t="shared" si="2"/>
        <v>550</v>
      </c>
      <c r="AY554" s="2" t="s">
        <v>1162</v>
      </c>
    </row>
    <row r="555">
      <c r="A555" s="2">
        <f t="shared" si="3"/>
        <v>552</v>
      </c>
      <c r="B555" s="1" t="s">
        <v>968</v>
      </c>
      <c r="C555" s="2" t="s">
        <v>1295</v>
      </c>
      <c r="D555" s="2" t="s">
        <v>193</v>
      </c>
      <c r="E555" s="2">
        <v>25.0</v>
      </c>
      <c r="F555" s="2" t="s">
        <v>428</v>
      </c>
      <c r="G555" s="2" t="str">
        <f t="shared" si="4"/>
        <v/>
      </c>
      <c r="H555" s="2" t="str">
        <f t="shared" si="5"/>
        <v/>
      </c>
      <c r="I555" s="2" t="str">
        <f t="shared" si="6"/>
        <v/>
      </c>
      <c r="J555" s="2" t="b">
        <f t="shared" si="7"/>
        <v>1</v>
      </c>
      <c r="K555" s="2" t="str">
        <f>IFERROR(__xludf.DUMMYFUNCTION("TRIM(JOIN("" "",UNIQUE(TOCOL(ARRAYFORMULA(IF( SPLIT(C555,"" "")=TOCOL(SPLIT(C554,"" "")),SPLIT(C555,"" "")&amp;"" "",""""))))))"),"")</f>
        <v/>
      </c>
      <c r="L555" s="2" t="str">
        <f t="shared" si="1"/>
        <v/>
      </c>
      <c r="M555" s="2">
        <f t="shared" si="2"/>
        <v>552</v>
      </c>
      <c r="AY555" s="2" t="s">
        <v>657</v>
      </c>
    </row>
    <row r="556">
      <c r="A556" s="2">
        <f t="shared" si="3"/>
        <v>553</v>
      </c>
      <c r="B556" s="1" t="s">
        <v>154</v>
      </c>
      <c r="C556" s="2" t="s">
        <v>521</v>
      </c>
      <c r="D556" s="2" t="s">
        <v>193</v>
      </c>
      <c r="E556" s="2"/>
      <c r="F556" s="2" t="s">
        <v>428</v>
      </c>
      <c r="G556" s="2" t="str">
        <f t="shared" si="4"/>
        <v/>
      </c>
      <c r="H556" s="2" t="str">
        <f t="shared" si="5"/>
        <v/>
      </c>
      <c r="I556" s="2" t="str">
        <f t="shared" si="6"/>
        <v/>
      </c>
      <c r="J556" s="2" t="b">
        <f t="shared" si="7"/>
        <v>1</v>
      </c>
      <c r="K556" s="2" t="str">
        <f>IFERROR(__xludf.DUMMYFUNCTION("TRIM(JOIN("" "",UNIQUE(TOCOL(ARRAYFORMULA(IF( SPLIT(C556,"" "")=TOCOL(SPLIT(C555,"" "")),SPLIT(C556,"" "")&amp;"" "",""""))))))"),"")</f>
        <v/>
      </c>
      <c r="L556" s="2" t="str">
        <f t="shared" si="1"/>
        <v/>
      </c>
      <c r="M556" s="2">
        <f t="shared" si="2"/>
        <v>553</v>
      </c>
      <c r="AY556" s="2" t="s">
        <v>1104</v>
      </c>
    </row>
    <row r="557">
      <c r="A557" s="2">
        <f t="shared" si="3"/>
        <v>554</v>
      </c>
      <c r="B557" s="1" t="s">
        <v>968</v>
      </c>
      <c r="C557" s="2" t="s">
        <v>986</v>
      </c>
      <c r="D557" s="2" t="s">
        <v>193</v>
      </c>
      <c r="E557" s="2">
        <v>30.0</v>
      </c>
      <c r="F557" s="2" t="s">
        <v>194</v>
      </c>
      <c r="G557" s="2" t="str">
        <f t="shared" si="4"/>
        <v/>
      </c>
      <c r="H557" s="2" t="str">
        <f t="shared" si="5"/>
        <v/>
      </c>
      <c r="I557" s="2" t="str">
        <f t="shared" si="6"/>
        <v/>
      </c>
      <c r="J557" s="2" t="b">
        <f t="shared" si="7"/>
        <v>0</v>
      </c>
      <c r="K557" s="2" t="str">
        <f>IFERROR(__xludf.DUMMYFUNCTION("TRIM(JOIN("" "",UNIQUE(TOCOL(ARRAYFORMULA(IF( SPLIT(C557,"" "")=TOCOL(SPLIT(C556,"" "")),SPLIT(C557,"" "")&amp;"" "",""""))))))"),"")</f>
        <v/>
      </c>
      <c r="L557" s="2" t="str">
        <f t="shared" si="1"/>
        <v/>
      </c>
      <c r="M557" s="2">
        <f t="shared" si="2"/>
        <v>554</v>
      </c>
      <c r="AY557" s="2" t="s">
        <v>1469</v>
      </c>
    </row>
    <row r="558">
      <c r="A558" s="2">
        <f t="shared" si="3"/>
        <v>555</v>
      </c>
      <c r="B558" s="1" t="s">
        <v>968</v>
      </c>
      <c r="C558" s="2" t="s">
        <v>986</v>
      </c>
      <c r="D558" s="2" t="s">
        <v>193</v>
      </c>
      <c r="E558" s="2">
        <v>30.0</v>
      </c>
      <c r="F558" s="2" t="s">
        <v>428</v>
      </c>
      <c r="G558" s="2" t="str">
        <f t="shared" si="4"/>
        <v>misma edad</v>
      </c>
      <c r="H558" s="2" t="str">
        <f t="shared" si="5"/>
        <v>mismo nombre</v>
      </c>
      <c r="I558" s="2" t="str">
        <f t="shared" si="6"/>
        <v>mismo colegio</v>
      </c>
      <c r="J558" s="2" t="b">
        <f t="shared" si="7"/>
        <v>0</v>
      </c>
      <c r="K558" s="2" t="str">
        <f>IFERROR(__xludf.DUMMYFUNCTION("TRIM(JOIN("" "",UNIQUE(TOCOL(ARRAYFORMULA(IF( SPLIT(C558,"" "")=TOCOL(SPLIT(C557,"" "")),SPLIT(C558,"" "")&amp;"" "",""""))))))"),"ELSA ISIDRO DE PAZ")</f>
        <v>ELSA ISIDRO DE PAZ</v>
      </c>
      <c r="L558" s="2" t="str">
        <f t="shared" si="1"/>
        <v/>
      </c>
      <c r="M558" s="2">
        <f t="shared" si="2"/>
        <v>554</v>
      </c>
      <c r="AY558" s="2" t="s">
        <v>910</v>
      </c>
    </row>
    <row r="559">
      <c r="A559" s="2">
        <f t="shared" si="3"/>
        <v>556</v>
      </c>
      <c r="B559" s="1" t="s">
        <v>226</v>
      </c>
      <c r="C559" s="2" t="s">
        <v>1119</v>
      </c>
      <c r="D559" s="2" t="s">
        <v>193</v>
      </c>
      <c r="E559" s="2">
        <v>29.0</v>
      </c>
      <c r="F559" s="2" t="s">
        <v>428</v>
      </c>
      <c r="G559" s="2" t="str">
        <f t="shared" si="4"/>
        <v/>
      </c>
      <c r="H559" s="2" t="str">
        <f t="shared" si="5"/>
        <v/>
      </c>
      <c r="I559" s="2" t="str">
        <f t="shared" si="6"/>
        <v/>
      </c>
      <c r="J559" s="2" t="b">
        <f t="shared" si="7"/>
        <v>1</v>
      </c>
      <c r="K559" s="2" t="str">
        <f>IFERROR(__xludf.DUMMYFUNCTION("TRIM(JOIN("" "",UNIQUE(TOCOL(ARRAYFORMULA(IF( SPLIT(C559,"" "")=TOCOL(SPLIT(C558,"" "")),SPLIT(C559,"" "")&amp;"" "",""""))))))"),"")</f>
        <v/>
      </c>
      <c r="L559" s="2" t="str">
        <f t="shared" si="1"/>
        <v/>
      </c>
      <c r="M559" s="2">
        <f t="shared" si="2"/>
        <v>556</v>
      </c>
      <c r="AY559" s="2" t="s">
        <v>1373</v>
      </c>
    </row>
    <row r="560">
      <c r="A560" s="2">
        <f t="shared" si="3"/>
        <v>557</v>
      </c>
      <c r="B560" s="1" t="s">
        <v>226</v>
      </c>
      <c r="C560" s="2" t="s">
        <v>295</v>
      </c>
      <c r="D560" s="2" t="s">
        <v>222</v>
      </c>
      <c r="E560" s="2">
        <v>36.0</v>
      </c>
      <c r="F560" s="2" t="s">
        <v>194</v>
      </c>
      <c r="G560" s="2" t="str">
        <f t="shared" si="4"/>
        <v/>
      </c>
      <c r="H560" s="2" t="str">
        <f t="shared" si="5"/>
        <v/>
      </c>
      <c r="I560" s="2" t="str">
        <f t="shared" si="6"/>
        <v>mismo colegio</v>
      </c>
      <c r="J560" s="2" t="b">
        <f t="shared" si="7"/>
        <v>0</v>
      </c>
      <c r="K560" s="2" t="str">
        <f>IFERROR(__xludf.DUMMYFUNCTION("TRIM(JOIN("" "",UNIQUE(TOCOL(ARRAYFORMULA(IF( SPLIT(C560,"" "")=TOCOL(SPLIT(C559,"" "")),SPLIT(C560,"" "")&amp;"" "",""""))))))"),"ELMER ZORRILLA GUERRA")</f>
        <v>ELMER ZORRILLA GUERRA</v>
      </c>
      <c r="L560" s="2" t="str">
        <f t="shared" si="1"/>
        <v/>
      </c>
      <c r="M560" s="2">
        <f t="shared" si="2"/>
        <v>557</v>
      </c>
      <c r="AY560" s="2" t="s">
        <v>408</v>
      </c>
    </row>
    <row r="561">
      <c r="A561" s="2">
        <f t="shared" si="3"/>
        <v>558</v>
      </c>
      <c r="B561" s="1" t="s">
        <v>911</v>
      </c>
      <c r="C561" s="2" t="s">
        <v>1034</v>
      </c>
      <c r="D561" s="2" t="s">
        <v>222</v>
      </c>
      <c r="E561" s="2">
        <v>38.0</v>
      </c>
      <c r="F561" s="2" t="s">
        <v>194</v>
      </c>
      <c r="G561" s="2" t="str">
        <f t="shared" si="4"/>
        <v/>
      </c>
      <c r="H561" s="2" t="str">
        <f t="shared" si="5"/>
        <v/>
      </c>
      <c r="I561" s="2" t="str">
        <f t="shared" si="6"/>
        <v/>
      </c>
      <c r="J561" s="2" t="b">
        <f t="shared" si="7"/>
        <v>1</v>
      </c>
      <c r="K561" s="2" t="str">
        <f>IFERROR(__xludf.DUMMYFUNCTION("TRIM(JOIN("" "",UNIQUE(TOCOL(ARRAYFORMULA(IF( SPLIT(C561,"" "")=TOCOL(SPLIT(C560,"" "")),SPLIT(C561,"" "")&amp;"" "",""""))))))"),"ELMER")</f>
        <v>ELMER</v>
      </c>
      <c r="L561" s="2" t="str">
        <f t="shared" si="1"/>
        <v/>
      </c>
      <c r="M561" s="2">
        <f t="shared" si="2"/>
        <v>558</v>
      </c>
      <c r="AY561" s="2" t="s">
        <v>447</v>
      </c>
    </row>
    <row r="562">
      <c r="A562" s="2">
        <f t="shared" si="3"/>
        <v>559</v>
      </c>
      <c r="B562" s="1" t="s">
        <v>205</v>
      </c>
      <c r="C562" s="2" t="s">
        <v>372</v>
      </c>
      <c r="D562" s="2" t="s">
        <v>193</v>
      </c>
      <c r="E562" s="2">
        <v>24.0</v>
      </c>
      <c r="F562" s="2" t="s">
        <v>194</v>
      </c>
      <c r="G562" s="2" t="str">
        <f t="shared" si="4"/>
        <v/>
      </c>
      <c r="H562" s="2" t="str">
        <f t="shared" si="5"/>
        <v/>
      </c>
      <c r="I562" s="2" t="str">
        <f t="shared" si="6"/>
        <v/>
      </c>
      <c r="J562" s="2" t="b">
        <f t="shared" si="7"/>
        <v>1</v>
      </c>
      <c r="K562" s="2" t="str">
        <f>IFERROR(__xludf.DUMMYFUNCTION("TRIM(JOIN("" "",UNIQUE(TOCOL(ARRAYFORMULA(IF( SPLIT(C562,"" "")=TOCOL(SPLIT(C561,"" "")),SPLIT(C562,"" "")&amp;"" "",""""))))))"),"")</f>
        <v/>
      </c>
      <c r="L562" s="2" t="str">
        <f t="shared" si="1"/>
        <v/>
      </c>
      <c r="M562" s="2">
        <f t="shared" si="2"/>
        <v>559</v>
      </c>
      <c r="AY562" s="2" t="s">
        <v>1133</v>
      </c>
    </row>
    <row r="563">
      <c r="A563" s="2">
        <f t="shared" si="3"/>
        <v>560</v>
      </c>
      <c r="B563" s="1" t="s">
        <v>205</v>
      </c>
      <c r="C563" s="2" t="s">
        <v>372</v>
      </c>
      <c r="D563" s="2" t="s">
        <v>193</v>
      </c>
      <c r="E563" s="2">
        <v>24.0</v>
      </c>
      <c r="F563" s="2" t="s">
        <v>428</v>
      </c>
      <c r="G563" s="2" t="str">
        <f t="shared" si="4"/>
        <v>misma edad</v>
      </c>
      <c r="H563" s="2" t="str">
        <f t="shared" si="5"/>
        <v>mismo nombre</v>
      </c>
      <c r="I563" s="2" t="str">
        <f t="shared" si="6"/>
        <v>mismo colegio</v>
      </c>
      <c r="J563" s="2" t="b">
        <f t="shared" si="7"/>
        <v>0</v>
      </c>
      <c r="K563" s="2" t="str">
        <f>IFERROR(__xludf.DUMMYFUNCTION("TRIM(JOIN("" "",UNIQUE(TOCOL(ARRAYFORMULA(IF( SPLIT(C563,"" "")=TOCOL(SPLIT(C562,"" "")),SPLIT(C563,"" "")&amp;"" "",""""))))))"),"ELIZABETH ARAUJO COTRINA")</f>
        <v>ELIZABETH ARAUJO COTRINA</v>
      </c>
      <c r="L563" s="2" t="str">
        <f t="shared" si="1"/>
        <v/>
      </c>
      <c r="M563" s="2">
        <f t="shared" si="2"/>
        <v>559</v>
      </c>
      <c r="AY563" s="2" t="s">
        <v>1120</v>
      </c>
    </row>
    <row r="564">
      <c r="A564" s="2">
        <f t="shared" si="3"/>
        <v>561</v>
      </c>
      <c r="B564" s="1" t="s">
        <v>226</v>
      </c>
      <c r="C564" s="2" t="s">
        <v>255</v>
      </c>
      <c r="D564" s="2" t="s">
        <v>193</v>
      </c>
      <c r="E564" s="2">
        <v>30.0</v>
      </c>
      <c r="F564" s="2" t="s">
        <v>194</v>
      </c>
      <c r="G564" s="2" t="str">
        <f t="shared" si="4"/>
        <v/>
      </c>
      <c r="H564" s="2" t="str">
        <f t="shared" si="5"/>
        <v/>
      </c>
      <c r="I564" s="2" t="str">
        <f t="shared" si="6"/>
        <v/>
      </c>
      <c r="J564" s="2" t="b">
        <f t="shared" si="7"/>
        <v>0</v>
      </c>
      <c r="K564" s="2" t="str">
        <f>IFERROR(__xludf.DUMMYFUNCTION("TRIM(JOIN("" "",UNIQUE(TOCOL(ARRAYFORMULA(IF( SPLIT(C564,"" "")=TOCOL(SPLIT(C563,"" "")),SPLIT(C564,"" "")&amp;"" "",""""))))))"),"")</f>
        <v/>
      </c>
      <c r="L564" s="2" t="str">
        <f t="shared" si="1"/>
        <v/>
      </c>
      <c r="M564" s="2">
        <f t="shared" si="2"/>
        <v>561</v>
      </c>
      <c r="AY564" s="2" t="s">
        <v>1029</v>
      </c>
    </row>
    <row r="565">
      <c r="A565" s="2">
        <f t="shared" si="3"/>
        <v>562</v>
      </c>
      <c r="B565" s="1" t="s">
        <v>226</v>
      </c>
      <c r="C565" s="2" t="s">
        <v>255</v>
      </c>
      <c r="D565" s="2" t="s">
        <v>193</v>
      </c>
      <c r="E565" s="2">
        <v>30.0</v>
      </c>
      <c r="F565" s="2" t="s">
        <v>428</v>
      </c>
      <c r="G565" s="2" t="str">
        <f t="shared" si="4"/>
        <v>misma edad</v>
      </c>
      <c r="H565" s="2" t="str">
        <f t="shared" si="5"/>
        <v>mismo nombre</v>
      </c>
      <c r="I565" s="2" t="str">
        <f t="shared" si="6"/>
        <v>mismo colegio</v>
      </c>
      <c r="J565" s="2" t="b">
        <f t="shared" si="7"/>
        <v>0</v>
      </c>
      <c r="K565" s="2" t="str">
        <f>IFERROR(__xludf.DUMMYFUNCTION("TRIM(JOIN("" "",UNIQUE(TOCOL(ARRAYFORMULA(IF( SPLIT(C565,"" "")=TOCOL(SPLIT(C564,"" "")),SPLIT(C565,"" "")&amp;"" "",""""))))))"),"ELISA GUERRA LAGUNA")</f>
        <v>ELISA GUERRA LAGUNA</v>
      </c>
      <c r="L565" s="2" t="str">
        <f t="shared" si="1"/>
        <v/>
      </c>
      <c r="M565" s="2">
        <f t="shared" si="2"/>
        <v>561</v>
      </c>
      <c r="AY565" s="2" t="s">
        <v>220</v>
      </c>
    </row>
    <row r="566">
      <c r="A566" s="2">
        <f t="shared" si="3"/>
        <v>563</v>
      </c>
      <c r="B566" s="1" t="s">
        <v>457</v>
      </c>
      <c r="C566" s="2" t="s">
        <v>463</v>
      </c>
      <c r="D566" s="2" t="s">
        <v>193</v>
      </c>
      <c r="E566" s="2">
        <v>40.0</v>
      </c>
      <c r="F566" s="2" t="s">
        <v>194</v>
      </c>
      <c r="G566" s="2" t="str">
        <f t="shared" si="4"/>
        <v/>
      </c>
      <c r="H566" s="2" t="str">
        <f t="shared" si="5"/>
        <v/>
      </c>
      <c r="I566" s="2" t="str">
        <f t="shared" si="6"/>
        <v/>
      </c>
      <c r="J566" s="2" t="b">
        <f t="shared" si="7"/>
        <v>0</v>
      </c>
      <c r="K566" s="2" t="str">
        <f>IFERROR(__xludf.DUMMYFUNCTION("TRIM(JOIN("" "",UNIQUE(TOCOL(ARRAYFORMULA(IF( SPLIT(C566,"" "")=TOCOL(SPLIT(C565,"" "")),SPLIT(C566,"" "")&amp;"" "",""""))))))"),"")</f>
        <v/>
      </c>
      <c r="L566" s="2" t="str">
        <f t="shared" si="1"/>
        <v/>
      </c>
      <c r="M566" s="2">
        <f t="shared" si="2"/>
        <v>563</v>
      </c>
      <c r="AY566" s="2" t="s">
        <v>604</v>
      </c>
    </row>
    <row r="567">
      <c r="A567" s="2">
        <f t="shared" si="3"/>
        <v>564</v>
      </c>
      <c r="B567" s="1" t="s">
        <v>457</v>
      </c>
      <c r="C567" s="2" t="s">
        <v>463</v>
      </c>
      <c r="D567" s="2" t="s">
        <v>193</v>
      </c>
      <c r="E567" s="2">
        <v>40.0</v>
      </c>
      <c r="F567" s="2" t="s">
        <v>428</v>
      </c>
      <c r="G567" s="2" t="str">
        <f t="shared" si="4"/>
        <v>misma edad</v>
      </c>
      <c r="H567" s="2" t="str">
        <f t="shared" si="5"/>
        <v>mismo nombre</v>
      </c>
      <c r="I567" s="2" t="str">
        <f t="shared" si="6"/>
        <v>mismo colegio</v>
      </c>
      <c r="J567" s="2" t="b">
        <f t="shared" si="7"/>
        <v>0</v>
      </c>
      <c r="K567" s="2" t="str">
        <f>IFERROR(__xludf.DUMMYFUNCTION("TRIM(JOIN("" "",UNIQUE(TOCOL(ARRAYFORMULA(IF( SPLIT(C567,"" "")=TOCOL(SPLIT(C566,"" "")),SPLIT(C567,"" "")&amp;"" "",""""))))))"),"ELIA GARAY MAUTINO")</f>
        <v>ELIA GARAY MAUTINO</v>
      </c>
      <c r="L567" s="2" t="str">
        <f t="shared" si="1"/>
        <v/>
      </c>
      <c r="M567" s="2">
        <f t="shared" si="2"/>
        <v>563</v>
      </c>
      <c r="AY567" s="2" t="s">
        <v>196</v>
      </c>
    </row>
    <row r="568">
      <c r="A568" s="2">
        <f t="shared" si="3"/>
        <v>565</v>
      </c>
      <c r="B568" s="1" t="s">
        <v>154</v>
      </c>
      <c r="C568" s="2" t="s">
        <v>507</v>
      </c>
      <c r="D568" s="2" t="s">
        <v>193</v>
      </c>
      <c r="E568" s="2">
        <v>22.0</v>
      </c>
      <c r="F568" s="2" t="s">
        <v>194</v>
      </c>
      <c r="G568" s="2" t="str">
        <f t="shared" si="4"/>
        <v/>
      </c>
      <c r="H568" s="2" t="str">
        <f t="shared" si="5"/>
        <v/>
      </c>
      <c r="I568" s="2" t="str">
        <f t="shared" si="6"/>
        <v/>
      </c>
      <c r="J568" s="2" t="b">
        <f t="shared" si="7"/>
        <v>0</v>
      </c>
      <c r="K568" s="2" t="str">
        <f>IFERROR(__xludf.DUMMYFUNCTION("TRIM(JOIN("" "",UNIQUE(TOCOL(ARRAYFORMULA(IF( SPLIT(C568,"" "")=TOCOL(SPLIT(C567,"" "")),SPLIT(C568,"" "")&amp;"" "",""""))))))"),"ELIA")</f>
        <v>ELIA</v>
      </c>
      <c r="L568" s="2" t="str">
        <f t="shared" si="1"/>
        <v/>
      </c>
      <c r="M568" s="2">
        <f t="shared" si="2"/>
        <v>565</v>
      </c>
      <c r="AY568" s="2" t="s">
        <v>1176</v>
      </c>
    </row>
    <row r="569">
      <c r="A569" s="2">
        <f t="shared" si="3"/>
        <v>566</v>
      </c>
      <c r="B569" s="1" t="s">
        <v>928</v>
      </c>
      <c r="C569" s="2" t="s">
        <v>1303</v>
      </c>
      <c r="D569" s="2" t="s">
        <v>193</v>
      </c>
      <c r="E569" s="2">
        <v>32.0</v>
      </c>
      <c r="F569" s="2" t="s">
        <v>428</v>
      </c>
      <c r="G569" s="2" t="str">
        <f t="shared" si="4"/>
        <v/>
      </c>
      <c r="H569" s="2" t="str">
        <f t="shared" si="5"/>
        <v/>
      </c>
      <c r="I569" s="2" t="str">
        <f t="shared" si="6"/>
        <v/>
      </c>
      <c r="J569" s="2" t="b">
        <f t="shared" si="7"/>
        <v>0</v>
      </c>
      <c r="K569" s="2" t="str">
        <f>IFERROR(__xludf.DUMMYFUNCTION("TRIM(JOIN("" "",UNIQUE(TOCOL(ARRAYFORMULA(IF( SPLIT(C569,"" "")=TOCOL(SPLIT(C568,"" "")),SPLIT(C569,"" "")&amp;"" "",""""))))))"),"")</f>
        <v/>
      </c>
      <c r="L569" s="2" t="str">
        <f t="shared" si="1"/>
        <v/>
      </c>
      <c r="M569" s="2">
        <f t="shared" si="2"/>
        <v>566</v>
      </c>
      <c r="AY569" s="2" t="s">
        <v>673</v>
      </c>
    </row>
    <row r="570">
      <c r="A570" s="2">
        <f t="shared" si="3"/>
        <v>567</v>
      </c>
      <c r="B570" s="1" t="s">
        <v>911</v>
      </c>
      <c r="C570" s="2" t="s">
        <v>926</v>
      </c>
      <c r="D570" s="2" t="s">
        <v>193</v>
      </c>
      <c r="E570" s="2">
        <v>40.0</v>
      </c>
      <c r="F570" s="2" t="s">
        <v>194</v>
      </c>
      <c r="G570" s="2" t="str">
        <f t="shared" si="4"/>
        <v/>
      </c>
      <c r="H570" s="2" t="str">
        <f t="shared" si="5"/>
        <v/>
      </c>
      <c r="I570" s="2" t="str">
        <f t="shared" si="6"/>
        <v/>
      </c>
      <c r="J570" s="2" t="b">
        <f t="shared" si="7"/>
        <v>0</v>
      </c>
      <c r="K570" s="2" t="str">
        <f>IFERROR(__xludf.DUMMYFUNCTION("TRIM(JOIN("" "",UNIQUE(TOCOL(ARRAYFORMULA(IF( SPLIT(C570,"" "")=TOCOL(SPLIT(C569,"" "")),SPLIT(C570,"" "")&amp;"" "",""""))))))"),"")</f>
        <v/>
      </c>
      <c r="L570" s="2" t="str">
        <f t="shared" si="1"/>
        <v/>
      </c>
      <c r="M570" s="2">
        <f t="shared" si="2"/>
        <v>567</v>
      </c>
      <c r="AY570" s="2" t="s">
        <v>1051</v>
      </c>
    </row>
    <row r="571">
      <c r="A571" s="2">
        <f t="shared" si="3"/>
        <v>568</v>
      </c>
      <c r="B571" s="1" t="s">
        <v>190</v>
      </c>
      <c r="C571" s="2" t="s">
        <v>215</v>
      </c>
      <c r="D571" s="2" t="s">
        <v>193</v>
      </c>
      <c r="E571" s="2">
        <v>41.0</v>
      </c>
      <c r="F571" s="2" t="s">
        <v>194</v>
      </c>
      <c r="G571" s="2" t="str">
        <f t="shared" si="4"/>
        <v/>
      </c>
      <c r="H571" s="2" t="str">
        <f t="shared" si="5"/>
        <v/>
      </c>
      <c r="I571" s="2" t="str">
        <f t="shared" si="6"/>
        <v/>
      </c>
      <c r="J571" s="2" t="b">
        <f t="shared" si="7"/>
        <v>1</v>
      </c>
      <c r="K571" s="2" t="str">
        <f>IFERROR(__xludf.DUMMYFUNCTION("TRIM(JOIN("" "",UNIQUE(TOCOL(ARRAYFORMULA(IF( SPLIT(C571,"" "")=TOCOL(SPLIT(C570,"" "")),SPLIT(C571,"" "")&amp;"" "",""""))))))"),"ELENA")</f>
        <v>ELENA</v>
      </c>
      <c r="L571" s="2" t="str">
        <f t="shared" si="1"/>
        <v/>
      </c>
      <c r="M571" s="2">
        <f t="shared" si="2"/>
        <v>568</v>
      </c>
      <c r="AY571" s="2" t="s">
        <v>1340</v>
      </c>
    </row>
    <row r="572">
      <c r="A572" s="2">
        <f t="shared" si="3"/>
        <v>569</v>
      </c>
      <c r="B572" s="1" t="s">
        <v>190</v>
      </c>
      <c r="C572" s="2" t="s">
        <v>215</v>
      </c>
      <c r="D572" s="2" t="s">
        <v>193</v>
      </c>
      <c r="E572" s="2">
        <v>41.0</v>
      </c>
      <c r="F572" s="2" t="s">
        <v>428</v>
      </c>
      <c r="G572" s="2" t="str">
        <f t="shared" si="4"/>
        <v>misma edad</v>
      </c>
      <c r="H572" s="2" t="str">
        <f t="shared" si="5"/>
        <v>mismo nombre</v>
      </c>
      <c r="I572" s="2" t="str">
        <f t="shared" si="6"/>
        <v>mismo colegio</v>
      </c>
      <c r="J572" s="2" t="b">
        <f t="shared" si="7"/>
        <v>0</v>
      </c>
      <c r="K572" s="2" t="str">
        <f>IFERROR(__xludf.DUMMYFUNCTION("TRIM(JOIN("" "",UNIQUE(TOCOL(ARRAYFORMULA(IF( SPLIT(C572,"" "")=TOCOL(SPLIT(C571,"" "")),SPLIT(C572,"" "")&amp;"" "",""""))))))"),"ELENA SIGUEÑAS ABARCA")</f>
        <v>ELENA SIGUEÑAS ABARCA</v>
      </c>
      <c r="L572" s="2" t="str">
        <f t="shared" si="1"/>
        <v/>
      </c>
      <c r="M572" s="2">
        <f t="shared" si="2"/>
        <v>568</v>
      </c>
      <c r="AY572" s="2" t="s">
        <v>598</v>
      </c>
    </row>
    <row r="573">
      <c r="A573" s="2">
        <f t="shared" si="3"/>
        <v>570</v>
      </c>
      <c r="B573" s="1" t="s">
        <v>928</v>
      </c>
      <c r="C573" s="2" t="s">
        <v>946</v>
      </c>
      <c r="D573" s="2" t="s">
        <v>193</v>
      </c>
      <c r="E573" s="2">
        <v>31.0</v>
      </c>
      <c r="F573" s="2" t="s">
        <v>194</v>
      </c>
      <c r="G573" s="2" t="str">
        <f t="shared" si="4"/>
        <v/>
      </c>
      <c r="H573" s="2" t="str">
        <f t="shared" si="5"/>
        <v/>
      </c>
      <c r="I573" s="2" t="str">
        <f t="shared" si="6"/>
        <v/>
      </c>
      <c r="J573" s="2" t="b">
        <f t="shared" si="7"/>
        <v>0</v>
      </c>
      <c r="K573" s="2" t="str">
        <f>IFERROR(__xludf.DUMMYFUNCTION("TRIM(JOIN("" "",UNIQUE(TOCOL(ARRAYFORMULA(IF( SPLIT(C573,"" "")=TOCOL(SPLIT(C572,"" "")),SPLIT(C573,"" "")&amp;"" "",""""))))))"),"ELENA")</f>
        <v>ELENA</v>
      </c>
      <c r="L573" s="2" t="str">
        <f t="shared" si="1"/>
        <v/>
      </c>
      <c r="M573" s="2">
        <f t="shared" si="2"/>
        <v>570</v>
      </c>
      <c r="AY573" s="2" t="s">
        <v>1409</v>
      </c>
    </row>
    <row r="574">
      <c r="A574" s="2">
        <f t="shared" si="3"/>
        <v>571</v>
      </c>
      <c r="B574" s="1" t="s">
        <v>226</v>
      </c>
      <c r="C574" s="2" t="s">
        <v>240</v>
      </c>
      <c r="D574" s="2" t="s">
        <v>193</v>
      </c>
      <c r="E574" s="2">
        <v>35.0</v>
      </c>
      <c r="F574" s="2" t="s">
        <v>194</v>
      </c>
      <c r="G574" s="2" t="str">
        <f t="shared" si="4"/>
        <v/>
      </c>
      <c r="H574" s="2" t="str">
        <f t="shared" si="5"/>
        <v/>
      </c>
      <c r="I574" s="2" t="str">
        <f t="shared" si="6"/>
        <v/>
      </c>
      <c r="J574" s="2" t="b">
        <f t="shared" si="7"/>
        <v>1</v>
      </c>
      <c r="K574" s="2" t="str">
        <f>IFERROR(__xludf.DUMMYFUNCTION("TRIM(JOIN("" "",UNIQUE(TOCOL(ARRAYFORMULA(IF( SPLIT(C574,"" "")=TOCOL(SPLIT(C573,"" "")),SPLIT(C574,"" "")&amp;"" "",""""))))))"),"ELENA")</f>
        <v>ELENA</v>
      </c>
      <c r="L574" s="2" t="str">
        <f t="shared" si="1"/>
        <v/>
      </c>
      <c r="M574" s="2">
        <f t="shared" si="2"/>
        <v>571</v>
      </c>
      <c r="AY574" s="2" t="s">
        <v>216</v>
      </c>
    </row>
    <row r="575">
      <c r="A575" s="2">
        <f t="shared" si="3"/>
        <v>572</v>
      </c>
      <c r="B575" s="1" t="s">
        <v>968</v>
      </c>
      <c r="C575" s="2" t="s">
        <v>1297</v>
      </c>
      <c r="D575" s="2" t="s">
        <v>193</v>
      </c>
      <c r="E575" s="2">
        <v>29.0</v>
      </c>
      <c r="F575" s="2" t="s">
        <v>428</v>
      </c>
      <c r="G575" s="2" t="str">
        <f t="shared" si="4"/>
        <v/>
      </c>
      <c r="H575" s="2" t="str">
        <f t="shared" si="5"/>
        <v/>
      </c>
      <c r="I575" s="2" t="str">
        <f t="shared" si="6"/>
        <v/>
      </c>
      <c r="J575" s="2" t="b">
        <f t="shared" si="7"/>
        <v>0</v>
      </c>
      <c r="K575" s="2" t="str">
        <f>IFERROR(__xludf.DUMMYFUNCTION("TRIM(JOIN("" "",UNIQUE(TOCOL(ARRAYFORMULA(IF( SPLIT(C575,"" "")=TOCOL(SPLIT(C574,"" "")),SPLIT(C575,"" "")&amp;"" "",""""))))))"),"")</f>
        <v/>
      </c>
      <c r="L575" s="2" t="str">
        <f t="shared" si="1"/>
        <v/>
      </c>
      <c r="M575" s="2">
        <f t="shared" si="2"/>
        <v>572</v>
      </c>
      <c r="AY575" s="2" t="s">
        <v>362</v>
      </c>
    </row>
    <row r="576">
      <c r="A576" s="2">
        <f t="shared" si="3"/>
        <v>573</v>
      </c>
      <c r="B576" s="1" t="s">
        <v>323</v>
      </c>
      <c r="C576" s="2" t="s">
        <v>335</v>
      </c>
      <c r="D576" s="2" t="s">
        <v>193</v>
      </c>
      <c r="E576" s="2">
        <v>33.0</v>
      </c>
      <c r="F576" s="2" t="s">
        <v>194</v>
      </c>
      <c r="G576" s="2" t="str">
        <f t="shared" si="4"/>
        <v/>
      </c>
      <c r="H576" s="2" t="str">
        <f t="shared" si="5"/>
        <v/>
      </c>
      <c r="I576" s="2" t="str">
        <f t="shared" si="6"/>
        <v/>
      </c>
      <c r="J576" s="2" t="b">
        <f t="shared" si="7"/>
        <v>0</v>
      </c>
      <c r="K576" s="2" t="str">
        <f>IFERROR(__xludf.DUMMYFUNCTION("TRIM(JOIN("" "",UNIQUE(TOCOL(ARRAYFORMULA(IF( SPLIT(C576,"" "")=TOCOL(SPLIT(C575,"" "")),SPLIT(C576,"" "")&amp;"" "",""""))))))"),"EDITH")</f>
        <v>EDITH</v>
      </c>
      <c r="L576" s="2" t="str">
        <f t="shared" si="1"/>
        <v/>
      </c>
      <c r="M576" s="2">
        <f t="shared" si="2"/>
        <v>573</v>
      </c>
      <c r="AY576" s="2" t="s">
        <v>1217</v>
      </c>
    </row>
    <row r="577">
      <c r="A577" s="2">
        <f t="shared" si="3"/>
        <v>574</v>
      </c>
      <c r="B577" s="1" t="s">
        <v>968</v>
      </c>
      <c r="C577" s="2" t="s">
        <v>990</v>
      </c>
      <c r="D577" s="2" t="s">
        <v>193</v>
      </c>
      <c r="E577" s="2">
        <v>29.0</v>
      </c>
      <c r="F577" s="2" t="s">
        <v>194</v>
      </c>
      <c r="G577" s="2" t="str">
        <f t="shared" si="4"/>
        <v/>
      </c>
      <c r="H577" s="2" t="str">
        <f t="shared" si="5"/>
        <v/>
      </c>
      <c r="I577" s="2" t="str">
        <f t="shared" si="6"/>
        <v/>
      </c>
      <c r="J577" s="2" t="b">
        <f t="shared" si="7"/>
        <v>1</v>
      </c>
      <c r="K577" s="2" t="str">
        <f>IFERROR(__xludf.DUMMYFUNCTION("TRIM(JOIN("" "",UNIQUE(TOCOL(ARRAYFORMULA(IF( SPLIT(C577,"" "")=TOCOL(SPLIT(C576,"" "")),SPLIT(C577,"" "")&amp;"" "",""""))))))"),"EDITH")</f>
        <v>EDITH</v>
      </c>
      <c r="L577" s="2" t="str">
        <f t="shared" si="1"/>
        <v/>
      </c>
      <c r="M577" s="2">
        <f t="shared" si="2"/>
        <v>574</v>
      </c>
      <c r="AY577" s="2" t="s">
        <v>199</v>
      </c>
    </row>
    <row r="578">
      <c r="A578" s="2">
        <f t="shared" si="3"/>
        <v>575</v>
      </c>
      <c r="B578" s="1" t="s">
        <v>69</v>
      </c>
      <c r="C578" s="2" t="s">
        <v>405</v>
      </c>
      <c r="D578" s="2" t="s">
        <v>193</v>
      </c>
      <c r="E578" s="2">
        <v>38.0</v>
      </c>
      <c r="F578" s="2" t="s">
        <v>194</v>
      </c>
      <c r="G578" s="2" t="str">
        <f t="shared" si="4"/>
        <v/>
      </c>
      <c r="H578" s="2" t="str">
        <f t="shared" si="5"/>
        <v/>
      </c>
      <c r="I578" s="2" t="str">
        <f t="shared" si="6"/>
        <v/>
      </c>
      <c r="J578" s="2" t="b">
        <f t="shared" si="7"/>
        <v>1</v>
      </c>
      <c r="K578" s="2" t="str">
        <f>IFERROR(__xludf.DUMMYFUNCTION("TRIM(JOIN("" "",UNIQUE(TOCOL(ARRAYFORMULA(IF( SPLIT(C578,"" "")=TOCOL(SPLIT(C577,"" "")),SPLIT(C578,"" "")&amp;"" "",""""))))))"),"EDITH")</f>
        <v>EDITH</v>
      </c>
      <c r="L578" s="2" t="str">
        <f t="shared" si="1"/>
        <v/>
      </c>
      <c r="M578" s="2">
        <f t="shared" si="2"/>
        <v>575</v>
      </c>
      <c r="AY578" s="2" t="s">
        <v>375</v>
      </c>
    </row>
    <row r="579">
      <c r="A579" s="2">
        <f t="shared" si="3"/>
        <v>576</v>
      </c>
      <c r="B579" s="1" t="s">
        <v>69</v>
      </c>
      <c r="C579" s="2" t="s">
        <v>405</v>
      </c>
      <c r="D579" s="2" t="s">
        <v>193</v>
      </c>
      <c r="E579" s="2">
        <v>38.0</v>
      </c>
      <c r="F579" s="2" t="s">
        <v>428</v>
      </c>
      <c r="G579" s="2" t="str">
        <f t="shared" si="4"/>
        <v>misma edad</v>
      </c>
      <c r="H579" s="2" t="str">
        <f t="shared" si="5"/>
        <v>mismo nombre</v>
      </c>
      <c r="I579" s="2" t="str">
        <f t="shared" si="6"/>
        <v>mismo colegio</v>
      </c>
      <c r="J579" s="2" t="b">
        <f t="shared" si="7"/>
        <v>0</v>
      </c>
      <c r="K579" s="2" t="str">
        <f>IFERROR(__xludf.DUMMYFUNCTION("TRIM(JOIN("" "",UNIQUE(TOCOL(ARRAYFORMULA(IF( SPLIT(C579,"" "")=TOCOL(SPLIT(C578,"" "")),SPLIT(C579,"" "")&amp;"" "",""""))))))"),"EDITH CASTRO VERAMENDI")</f>
        <v>EDITH CASTRO VERAMENDI</v>
      </c>
      <c r="L579" s="2" t="str">
        <f t="shared" si="1"/>
        <v/>
      </c>
      <c r="M579" s="2">
        <f t="shared" si="2"/>
        <v>575</v>
      </c>
      <c r="AY579" s="2" t="s">
        <v>431</v>
      </c>
    </row>
    <row r="580">
      <c r="A580" s="2">
        <f t="shared" si="3"/>
        <v>577</v>
      </c>
      <c r="B580" s="1" t="s">
        <v>69</v>
      </c>
      <c r="C580" s="2" t="s">
        <v>395</v>
      </c>
      <c r="D580" s="2" t="s">
        <v>193</v>
      </c>
      <c r="E580" s="2">
        <v>31.0</v>
      </c>
      <c r="F580" s="2" t="s">
        <v>194</v>
      </c>
      <c r="G580" s="2" t="str">
        <f t="shared" si="4"/>
        <v/>
      </c>
      <c r="H580" s="2" t="str">
        <f t="shared" si="5"/>
        <v/>
      </c>
      <c r="I580" s="2" t="str">
        <f t="shared" si="6"/>
        <v>mismo colegio</v>
      </c>
      <c r="J580" s="2" t="b">
        <f t="shared" si="7"/>
        <v>0</v>
      </c>
      <c r="K580" s="2" t="str">
        <f>IFERROR(__xludf.DUMMYFUNCTION("TRIM(JOIN("" "",UNIQUE(TOCOL(ARRAYFORMULA(IF( SPLIT(C580,"" "")=TOCOL(SPLIT(C579,"" "")),SPLIT(C580,"" "")&amp;"" "",""""))))))"),"")</f>
        <v/>
      </c>
      <c r="L580" s="2" t="str">
        <f t="shared" si="1"/>
        <v/>
      </c>
      <c r="M580" s="2">
        <f t="shared" si="2"/>
        <v>577</v>
      </c>
      <c r="AY580" s="2" t="s">
        <v>963</v>
      </c>
    </row>
    <row r="581">
      <c r="A581" s="2">
        <f t="shared" si="3"/>
        <v>578</v>
      </c>
      <c r="B581" s="1" t="s">
        <v>69</v>
      </c>
      <c r="C581" s="2" t="s">
        <v>395</v>
      </c>
      <c r="D581" s="2" t="s">
        <v>193</v>
      </c>
      <c r="E581" s="2">
        <v>31.0</v>
      </c>
      <c r="F581" s="2" t="s">
        <v>428</v>
      </c>
      <c r="G581" s="2" t="str">
        <f t="shared" si="4"/>
        <v>misma edad</v>
      </c>
      <c r="H581" s="2" t="str">
        <f t="shared" si="5"/>
        <v>mismo nombre</v>
      </c>
      <c r="I581" s="2" t="str">
        <f t="shared" si="6"/>
        <v>mismo colegio</v>
      </c>
      <c r="J581" s="2" t="b">
        <f t="shared" si="7"/>
        <v>0</v>
      </c>
      <c r="K581" s="2" t="str">
        <f>IFERROR(__xludf.DUMMYFUNCTION("TRIM(JOIN("" "",UNIQUE(TOCOL(ARRAYFORMULA(IF( SPLIT(C581,"" "")=TOCOL(SPLIT(C580,"" "")),SPLIT(C581,"" "")&amp;"" "",""""))))))"),"EDITA GARAY FERNANDEZ")</f>
        <v>EDITA GARAY FERNANDEZ</v>
      </c>
      <c r="L581" s="2" t="str">
        <f t="shared" si="1"/>
        <v/>
      </c>
      <c r="M581" s="2">
        <f t="shared" si="2"/>
        <v>577</v>
      </c>
      <c r="AY581" s="2" t="s">
        <v>600</v>
      </c>
    </row>
    <row r="582">
      <c r="A582" s="2">
        <f t="shared" si="3"/>
        <v>579</v>
      </c>
      <c r="B582" s="1" t="s">
        <v>584</v>
      </c>
      <c r="C582" s="2" t="s">
        <v>589</v>
      </c>
      <c r="D582" s="2" t="s">
        <v>193</v>
      </c>
      <c r="E582" s="2">
        <v>32.0</v>
      </c>
      <c r="F582" s="2" t="s">
        <v>194</v>
      </c>
      <c r="G582" s="2" t="str">
        <f t="shared" si="4"/>
        <v/>
      </c>
      <c r="H582" s="2" t="str">
        <f t="shared" si="5"/>
        <v/>
      </c>
      <c r="I582" s="2" t="str">
        <f t="shared" si="6"/>
        <v/>
      </c>
      <c r="J582" s="2" t="b">
        <f t="shared" si="7"/>
        <v>0</v>
      </c>
      <c r="K582" s="2" t="str">
        <f>IFERROR(__xludf.DUMMYFUNCTION("TRIM(JOIN("" "",UNIQUE(TOCOL(ARRAYFORMULA(IF( SPLIT(C582,"" "")=TOCOL(SPLIT(C581,"" "")),SPLIT(C582,"" "")&amp;"" "",""""))))))"),"")</f>
        <v/>
      </c>
      <c r="L582" s="2" t="str">
        <f t="shared" si="1"/>
        <v/>
      </c>
      <c r="M582" s="2">
        <f t="shared" si="2"/>
        <v>579</v>
      </c>
      <c r="AY582" s="2" t="s">
        <v>1017</v>
      </c>
    </row>
    <row r="583">
      <c r="A583" s="2">
        <f t="shared" si="3"/>
        <v>580</v>
      </c>
      <c r="B583" s="1" t="s">
        <v>584</v>
      </c>
      <c r="C583" s="2" t="s">
        <v>589</v>
      </c>
      <c r="D583" s="2" t="s">
        <v>193</v>
      </c>
      <c r="E583" s="2">
        <v>32.0</v>
      </c>
      <c r="F583" s="2" t="s">
        <v>428</v>
      </c>
      <c r="G583" s="2" t="str">
        <f t="shared" si="4"/>
        <v>misma edad</v>
      </c>
      <c r="H583" s="2" t="str">
        <f t="shared" si="5"/>
        <v>mismo nombre</v>
      </c>
      <c r="I583" s="2" t="str">
        <f t="shared" si="6"/>
        <v>mismo colegio</v>
      </c>
      <c r="J583" s="2" t="b">
        <f t="shared" si="7"/>
        <v>0</v>
      </c>
      <c r="K583" s="2" t="str">
        <f>IFERROR(__xludf.DUMMYFUNCTION("TRIM(JOIN("" "",UNIQUE(TOCOL(ARRAYFORMULA(IF( SPLIT(C583,"" "")=TOCOL(SPLIT(C582,"" "")),SPLIT(C583,"" "")&amp;"" "",""""))))))"),"DOLORES KARLA")</f>
        <v>DOLORES KARLA</v>
      </c>
      <c r="L583" s="2" t="str">
        <f t="shared" si="1"/>
        <v/>
      </c>
      <c r="M583" s="2">
        <f t="shared" si="2"/>
        <v>579</v>
      </c>
      <c r="AY583" s="2" t="s">
        <v>377</v>
      </c>
    </row>
    <row r="584">
      <c r="A584" s="2">
        <f t="shared" si="3"/>
        <v>581</v>
      </c>
      <c r="B584" s="1" t="s">
        <v>226</v>
      </c>
      <c r="C584" s="2" t="s">
        <v>1098</v>
      </c>
      <c r="D584" s="2" t="s">
        <v>193</v>
      </c>
      <c r="E584" s="2">
        <v>26.0</v>
      </c>
      <c r="F584" s="2" t="s">
        <v>428</v>
      </c>
      <c r="G584" s="2" t="str">
        <f t="shared" si="4"/>
        <v/>
      </c>
      <c r="H584" s="2" t="str">
        <f t="shared" si="5"/>
        <v/>
      </c>
      <c r="I584" s="2" t="str">
        <f t="shared" si="6"/>
        <v/>
      </c>
      <c r="J584" s="2" t="b">
        <f t="shared" si="7"/>
        <v>1</v>
      </c>
      <c r="K584" s="2" t="str">
        <f>IFERROR(__xludf.DUMMYFUNCTION("TRIM(JOIN("" "",UNIQUE(TOCOL(ARRAYFORMULA(IF( SPLIT(C584,"" "")=TOCOL(SPLIT(C583,"" "")),SPLIT(C584,"" "")&amp;"" "",""""))))))"),"")</f>
        <v/>
      </c>
      <c r="L584" s="2" t="str">
        <f t="shared" si="1"/>
        <v/>
      </c>
      <c r="M584" s="2">
        <f t="shared" si="2"/>
        <v>581</v>
      </c>
      <c r="AY584" s="2" t="s">
        <v>1163</v>
      </c>
    </row>
    <row r="585">
      <c r="A585" s="2">
        <f t="shared" si="3"/>
        <v>582</v>
      </c>
      <c r="B585" s="1" t="s">
        <v>226</v>
      </c>
      <c r="C585" s="2" t="s">
        <v>261</v>
      </c>
      <c r="D585" s="2" t="s">
        <v>250</v>
      </c>
      <c r="E585" s="2">
        <v>19.0</v>
      </c>
      <c r="F585" s="2" t="s">
        <v>194</v>
      </c>
      <c r="G585" s="2" t="str">
        <f t="shared" si="4"/>
        <v/>
      </c>
      <c r="H585" s="2" t="str">
        <f t="shared" si="5"/>
        <v/>
      </c>
      <c r="I585" s="2" t="str">
        <f t="shared" si="6"/>
        <v>mismo colegio</v>
      </c>
      <c r="J585" s="2" t="b">
        <f t="shared" si="7"/>
        <v>0</v>
      </c>
      <c r="K585" s="2" t="str">
        <f>IFERROR(__xludf.DUMMYFUNCTION("TRIM(JOIN("" "",UNIQUE(TOCOL(ARRAYFORMULA(IF( SPLIT(C585,"" "")=TOCOL(SPLIT(C584,"" "")),SPLIT(C585,"" "")&amp;"" "",""""))))))"),"DIONY YLLARY MARQUEZ CHAVEZ")</f>
        <v>DIONY YLLARY MARQUEZ CHAVEZ</v>
      </c>
      <c r="L585" s="2" t="str">
        <f t="shared" si="1"/>
        <v/>
      </c>
      <c r="M585" s="2">
        <f t="shared" si="2"/>
        <v>582</v>
      </c>
      <c r="AY585" s="2" t="s">
        <v>1100</v>
      </c>
    </row>
    <row r="586">
      <c r="A586" s="2">
        <f t="shared" si="3"/>
        <v>583</v>
      </c>
      <c r="B586" s="1" t="s">
        <v>775</v>
      </c>
      <c r="C586" s="2" t="s">
        <v>1452</v>
      </c>
      <c r="D586" s="2" t="s">
        <v>193</v>
      </c>
      <c r="E586" s="2">
        <v>28.0</v>
      </c>
      <c r="F586" s="2" t="s">
        <v>428</v>
      </c>
      <c r="G586" s="2" t="str">
        <f t="shared" si="4"/>
        <v/>
      </c>
      <c r="H586" s="2" t="str">
        <f t="shared" si="5"/>
        <v/>
      </c>
      <c r="I586" s="2" t="str">
        <f t="shared" si="6"/>
        <v/>
      </c>
      <c r="J586" s="2" t="b">
        <f t="shared" si="7"/>
        <v>0</v>
      </c>
      <c r="K586" s="2" t="str">
        <f>IFERROR(__xludf.DUMMYFUNCTION("TRIM(JOIN("" "",UNIQUE(TOCOL(ARRAYFORMULA(IF( SPLIT(C586,"" "")=TOCOL(SPLIT(C585,"" "")),SPLIT(C586,"" "")&amp;"" "",""""))))))"),"")</f>
        <v/>
      </c>
      <c r="L586" s="2" t="str">
        <f t="shared" si="1"/>
        <v>-&gt;WITH THIS</v>
      </c>
      <c r="M586" s="2">
        <f t="shared" si="2"/>
        <v>583</v>
      </c>
      <c r="AY586" s="2" t="s">
        <v>268</v>
      </c>
    </row>
    <row r="587">
      <c r="A587" s="2">
        <f t="shared" si="3"/>
        <v>584</v>
      </c>
      <c r="B587" s="1" t="s">
        <v>775</v>
      </c>
      <c r="C587" s="2" t="s">
        <v>781</v>
      </c>
      <c r="D587" s="2" t="s">
        <v>193</v>
      </c>
      <c r="E587" s="2">
        <v>28.0</v>
      </c>
      <c r="F587" s="2" t="s">
        <v>194</v>
      </c>
      <c r="G587" s="2" t="str">
        <f t="shared" si="4"/>
        <v>misma edad</v>
      </c>
      <c r="H587" s="2" t="str">
        <f t="shared" si="5"/>
        <v/>
      </c>
      <c r="I587" s="2" t="str">
        <f t="shared" si="6"/>
        <v>mismo colegio</v>
      </c>
      <c r="J587" s="2" t="b">
        <f t="shared" si="7"/>
        <v>0</v>
      </c>
      <c r="K587" s="2" t="str">
        <f>IFERROR(__xludf.DUMMYFUNCTION("TRIM(JOIN("" "",UNIQUE(TOCOL(ARRAYFORMULA(IF( SPLIT(C587,"" "")=TOCOL(SPLIT(C586,"" "")),SPLIT(C587,"" "")&amp;"" "",""""))))))"),"DIAZ ZORRILLA LESLY")</f>
        <v>DIAZ ZORRILLA LESLY</v>
      </c>
      <c r="L587" s="2" t="str">
        <f t="shared" si="1"/>
        <v>EVALUAR</v>
      </c>
      <c r="M587" s="2">
        <f t="shared" si="2"/>
        <v>584</v>
      </c>
      <c r="AY587" s="2" t="s">
        <v>1444</v>
      </c>
    </row>
    <row r="588">
      <c r="A588" s="2">
        <f t="shared" si="3"/>
        <v>585</v>
      </c>
      <c r="B588" s="1" t="s">
        <v>994</v>
      </c>
      <c r="C588" s="2" t="s">
        <v>1016</v>
      </c>
      <c r="D588" s="2" t="s">
        <v>193</v>
      </c>
      <c r="E588" s="2">
        <v>29.0</v>
      </c>
      <c r="F588" s="2" t="s">
        <v>194</v>
      </c>
      <c r="G588" s="2" t="str">
        <f t="shared" si="4"/>
        <v/>
      </c>
      <c r="H588" s="2" t="str">
        <f t="shared" si="5"/>
        <v/>
      </c>
      <c r="I588" s="2" t="str">
        <f t="shared" si="6"/>
        <v/>
      </c>
      <c r="J588" s="2" t="b">
        <f t="shared" si="7"/>
        <v>1</v>
      </c>
      <c r="K588" s="2" t="str">
        <f>IFERROR(__xludf.DUMMYFUNCTION("TRIM(JOIN("" "",UNIQUE(TOCOL(ARRAYFORMULA(IF( SPLIT(C588,"" "")=TOCOL(SPLIT(C587,"" "")),SPLIT(C588,"" "")&amp;"" "",""""))))))"),"")</f>
        <v/>
      </c>
      <c r="L588" s="2" t="str">
        <f t="shared" si="1"/>
        <v/>
      </c>
      <c r="M588" s="2">
        <f t="shared" si="2"/>
        <v>585</v>
      </c>
      <c r="AY588" s="2" t="s">
        <v>266</v>
      </c>
    </row>
    <row r="589">
      <c r="A589" s="2">
        <f t="shared" si="3"/>
        <v>586</v>
      </c>
      <c r="B589" s="1" t="s">
        <v>813</v>
      </c>
      <c r="C589" s="2" t="s">
        <v>818</v>
      </c>
      <c r="D589" s="2" t="s">
        <v>193</v>
      </c>
      <c r="E589" s="2">
        <v>40.0</v>
      </c>
      <c r="F589" s="2" t="s">
        <v>194</v>
      </c>
      <c r="G589" s="2" t="str">
        <f t="shared" si="4"/>
        <v/>
      </c>
      <c r="H589" s="2" t="str">
        <f t="shared" si="5"/>
        <v/>
      </c>
      <c r="I589" s="2" t="str">
        <f t="shared" si="6"/>
        <v/>
      </c>
      <c r="J589" s="2" t="b">
        <f t="shared" si="7"/>
        <v>1</v>
      </c>
      <c r="K589" s="2" t="str">
        <f>IFERROR(__xludf.DUMMYFUNCTION("TRIM(JOIN("" "",UNIQUE(TOCOL(ARRAYFORMULA(IF( SPLIT(C589,"" "")=TOCOL(SPLIT(C588,"" "")),SPLIT(C589,"" "")&amp;"" "",""""))))))"),"")</f>
        <v/>
      </c>
      <c r="L589" s="2" t="str">
        <f t="shared" si="1"/>
        <v/>
      </c>
      <c r="M589" s="2">
        <f t="shared" si="2"/>
        <v>586</v>
      </c>
      <c r="AY589" s="2" t="s">
        <v>253</v>
      </c>
    </row>
    <row r="590">
      <c r="A590" s="2">
        <f t="shared" si="3"/>
        <v>587</v>
      </c>
      <c r="B590" s="1" t="s">
        <v>813</v>
      </c>
      <c r="C590" s="2" t="s">
        <v>818</v>
      </c>
      <c r="D590" s="2" t="s">
        <v>193</v>
      </c>
      <c r="E590" s="2">
        <v>40.0</v>
      </c>
      <c r="F590" s="2" t="s">
        <v>428</v>
      </c>
      <c r="G590" s="2" t="str">
        <f t="shared" si="4"/>
        <v>misma edad</v>
      </c>
      <c r="H590" s="2" t="str">
        <f t="shared" si="5"/>
        <v>mismo nombre</v>
      </c>
      <c r="I590" s="2" t="str">
        <f t="shared" si="6"/>
        <v>mismo colegio</v>
      </c>
      <c r="J590" s="2" t="b">
        <f t="shared" si="7"/>
        <v>0</v>
      </c>
      <c r="K590" s="2" t="str">
        <f>IFERROR(__xludf.DUMMYFUNCTION("TRIM(JOIN("" "",UNIQUE(TOCOL(ARRAYFORMULA(IF( SPLIT(C590,"" "")=TOCOL(SPLIT(C589,"" "")),SPLIT(C590,"" "")&amp;"" "",""""))))))"),"DIAZ SALINAS, CELY FLOR")</f>
        <v>DIAZ SALINAS, CELY FLOR</v>
      </c>
      <c r="L590" s="2" t="str">
        <f t="shared" si="1"/>
        <v/>
      </c>
      <c r="M590" s="2">
        <f t="shared" si="2"/>
        <v>586</v>
      </c>
      <c r="AY590" s="2" t="s">
        <v>959</v>
      </c>
    </row>
    <row r="591">
      <c r="A591" s="2">
        <f t="shared" si="3"/>
        <v>588</v>
      </c>
      <c r="B591" s="1" t="s">
        <v>719</v>
      </c>
      <c r="C591" s="2" t="s">
        <v>1426</v>
      </c>
      <c r="D591" s="2" t="s">
        <v>193</v>
      </c>
      <c r="E591" s="2">
        <v>26.0</v>
      </c>
      <c r="F591" s="2" t="s">
        <v>428</v>
      </c>
      <c r="G591" s="2" t="str">
        <f t="shared" si="4"/>
        <v/>
      </c>
      <c r="H591" s="2" t="str">
        <f t="shared" si="5"/>
        <v/>
      </c>
      <c r="I591" s="2" t="str">
        <f t="shared" si="6"/>
        <v/>
      </c>
      <c r="J591" s="2" t="b">
        <f t="shared" si="7"/>
        <v>1</v>
      </c>
      <c r="K591" s="2" t="str">
        <f>IFERROR(__xludf.DUMMYFUNCTION("TRIM(JOIN("" "",UNIQUE(TOCOL(ARRAYFORMULA(IF( SPLIT(C591,"" "")=TOCOL(SPLIT(C590,"" "")),SPLIT(C591,"" "")&amp;"" "",""""))))))"),"DIAZ")</f>
        <v>DIAZ</v>
      </c>
      <c r="L591" s="2" t="str">
        <f t="shared" si="1"/>
        <v/>
      </c>
      <c r="M591" s="2">
        <f t="shared" si="2"/>
        <v>588</v>
      </c>
      <c r="AY591" s="2" t="s">
        <v>1070</v>
      </c>
    </row>
    <row r="592">
      <c r="A592" s="2">
        <f t="shared" si="3"/>
        <v>589</v>
      </c>
      <c r="B592" s="1" t="s">
        <v>994</v>
      </c>
      <c r="C592" s="2" t="s">
        <v>1030</v>
      </c>
      <c r="D592" s="40" t="s">
        <v>193</v>
      </c>
      <c r="E592" s="2">
        <v>30.0</v>
      </c>
      <c r="F592" s="2" t="s">
        <v>194</v>
      </c>
      <c r="G592" s="2" t="str">
        <f t="shared" si="4"/>
        <v/>
      </c>
      <c r="H592" s="2" t="str">
        <f t="shared" si="5"/>
        <v/>
      </c>
      <c r="I592" s="2" t="str">
        <f t="shared" si="6"/>
        <v/>
      </c>
      <c r="J592" s="2" t="b">
        <f t="shared" si="7"/>
        <v>0</v>
      </c>
      <c r="K592" s="2" t="str">
        <f>IFERROR(__xludf.DUMMYFUNCTION("TRIM(JOIN("" "",UNIQUE(TOCOL(ARRAYFORMULA(IF( SPLIT(C592,"" "")=TOCOL(SPLIT(C591,"" "")),SPLIT(C592,"" "")&amp;"" "",""""))))))"),"")</f>
        <v/>
      </c>
      <c r="L592" s="2" t="str">
        <f t="shared" si="1"/>
        <v/>
      </c>
      <c r="M592" s="2">
        <f t="shared" si="2"/>
        <v>589</v>
      </c>
      <c r="AY592" s="2" t="s">
        <v>645</v>
      </c>
    </row>
    <row r="593">
      <c r="A593" s="2">
        <f t="shared" si="3"/>
        <v>590</v>
      </c>
      <c r="B593" s="1" t="s">
        <v>994</v>
      </c>
      <c r="C593" s="2" t="s">
        <v>1018</v>
      </c>
      <c r="D593" s="40" t="s">
        <v>193</v>
      </c>
      <c r="E593" s="2">
        <v>23.0</v>
      </c>
      <c r="F593" s="2" t="s">
        <v>194</v>
      </c>
      <c r="G593" s="2" t="str">
        <f t="shared" si="4"/>
        <v/>
      </c>
      <c r="H593" s="2" t="str">
        <f t="shared" si="5"/>
        <v/>
      </c>
      <c r="I593" s="2" t="str">
        <f t="shared" si="6"/>
        <v>mismo colegio</v>
      </c>
      <c r="J593" s="2" t="b">
        <f t="shared" si="7"/>
        <v>1</v>
      </c>
      <c r="K593" s="2" t="str">
        <f>IFERROR(__xludf.DUMMYFUNCTION("TRIM(JOIN("" "",UNIQUE(TOCOL(ARRAYFORMULA(IF( SPLIT(C593,"" "")=TOCOL(SPLIT(C592,"" "")),SPLIT(C593,"" "")&amp;"" "",""""))))))"),"")</f>
        <v/>
      </c>
      <c r="L593" s="2" t="str">
        <f t="shared" si="1"/>
        <v/>
      </c>
      <c r="M593" s="2">
        <f t="shared" si="2"/>
        <v>590</v>
      </c>
      <c r="AY593" s="2" t="s">
        <v>1485</v>
      </c>
    </row>
    <row r="594">
      <c r="A594" s="2">
        <f t="shared" si="3"/>
        <v>591</v>
      </c>
      <c r="B594" s="1" t="s">
        <v>928</v>
      </c>
      <c r="C594" s="2" t="s">
        <v>934</v>
      </c>
      <c r="D594" s="2" t="s">
        <v>193</v>
      </c>
      <c r="E594" s="2">
        <v>33.0</v>
      </c>
      <c r="F594" s="2" t="s">
        <v>194</v>
      </c>
      <c r="G594" s="2" t="str">
        <f t="shared" si="4"/>
        <v/>
      </c>
      <c r="H594" s="2" t="str">
        <f t="shared" si="5"/>
        <v/>
      </c>
      <c r="I594" s="2" t="str">
        <f t="shared" si="6"/>
        <v/>
      </c>
      <c r="J594" s="2" t="b">
        <f t="shared" si="7"/>
        <v>1</v>
      </c>
      <c r="K594" s="2" t="str">
        <f>IFERROR(__xludf.DUMMYFUNCTION("TRIM(JOIN("" "",UNIQUE(TOCOL(ARRAYFORMULA(IF( SPLIT(C594,"" "")=TOCOL(SPLIT(C593,"" "")),SPLIT(C594,"" "")&amp;"" "",""""))))))"),"")</f>
        <v/>
      </c>
      <c r="L594" s="2" t="str">
        <f t="shared" si="1"/>
        <v/>
      </c>
      <c r="M594" s="2">
        <f t="shared" si="2"/>
        <v>591</v>
      </c>
      <c r="AY594" s="2" t="s">
        <v>1478</v>
      </c>
    </row>
    <row r="595">
      <c r="A595" s="2">
        <f t="shared" si="3"/>
        <v>592</v>
      </c>
      <c r="B595" s="1" t="s">
        <v>457</v>
      </c>
      <c r="C595" s="2" t="s">
        <v>465</v>
      </c>
      <c r="D595" s="2" t="s">
        <v>193</v>
      </c>
      <c r="E595" s="2">
        <v>27.0</v>
      </c>
      <c r="F595" s="2" t="s">
        <v>194</v>
      </c>
      <c r="G595" s="2" t="str">
        <f t="shared" si="4"/>
        <v/>
      </c>
      <c r="H595" s="2" t="str">
        <f t="shared" si="5"/>
        <v/>
      </c>
      <c r="I595" s="2" t="str">
        <f t="shared" si="6"/>
        <v/>
      </c>
      <c r="J595" s="2" t="b">
        <f t="shared" si="7"/>
        <v>1</v>
      </c>
      <c r="K595" s="2" t="str">
        <f>IFERROR(__xludf.DUMMYFUNCTION("TRIM(JOIN("" "",UNIQUE(TOCOL(ARRAYFORMULA(IF( SPLIT(C595,"" "")=TOCOL(SPLIT(C594,"" "")),SPLIT(C595,"" "")&amp;"" "",""""))))))"),"DIANA")</f>
        <v>DIANA</v>
      </c>
      <c r="L595" s="2" t="str">
        <f t="shared" si="1"/>
        <v/>
      </c>
      <c r="M595" s="2">
        <f t="shared" si="2"/>
        <v>592</v>
      </c>
      <c r="AY595" s="2" t="s">
        <v>280</v>
      </c>
    </row>
    <row r="596">
      <c r="A596" s="2">
        <f t="shared" si="3"/>
        <v>593</v>
      </c>
      <c r="B596" s="1" t="s">
        <v>457</v>
      </c>
      <c r="C596" s="2" t="s">
        <v>465</v>
      </c>
      <c r="D596" s="2" t="s">
        <v>193</v>
      </c>
      <c r="E596" s="2">
        <v>27.0</v>
      </c>
      <c r="F596" s="2" t="s">
        <v>428</v>
      </c>
      <c r="G596" s="2" t="str">
        <f t="shared" si="4"/>
        <v>misma edad</v>
      </c>
      <c r="H596" s="2" t="str">
        <f t="shared" si="5"/>
        <v>mismo nombre</v>
      </c>
      <c r="I596" s="2" t="str">
        <f t="shared" si="6"/>
        <v>mismo colegio</v>
      </c>
      <c r="J596" s="2" t="b">
        <f t="shared" si="7"/>
        <v>0</v>
      </c>
      <c r="K596" s="2" t="str">
        <f>IFERROR(__xludf.DUMMYFUNCTION("TRIM(JOIN("" "",UNIQUE(TOCOL(ARRAYFORMULA(IF( SPLIT(C596,"" "")=TOCOL(SPLIT(C595,"" "")),SPLIT(C596,"" "")&amp;"" "",""""))))))"),"DIANA LEUST TRUJILLO GARAY")</f>
        <v>DIANA LEUST TRUJILLO GARAY</v>
      </c>
      <c r="L596" s="2" t="str">
        <f t="shared" si="1"/>
        <v/>
      </c>
      <c r="M596" s="2">
        <f t="shared" si="2"/>
        <v>592</v>
      </c>
      <c r="AY596" s="2" t="s">
        <v>1377</v>
      </c>
    </row>
    <row r="597">
      <c r="A597" s="2">
        <f t="shared" si="3"/>
        <v>594</v>
      </c>
      <c r="B597" s="1" t="s">
        <v>928</v>
      </c>
      <c r="C597" s="2" t="s">
        <v>1326</v>
      </c>
      <c r="D597" s="2" t="s">
        <v>193</v>
      </c>
      <c r="E597" s="2">
        <v>34.0</v>
      </c>
      <c r="F597" s="2" t="s">
        <v>428</v>
      </c>
      <c r="G597" s="2" t="str">
        <f t="shared" si="4"/>
        <v/>
      </c>
      <c r="H597" s="2" t="str">
        <f t="shared" si="5"/>
        <v/>
      </c>
      <c r="I597" s="2" t="str">
        <f t="shared" si="6"/>
        <v/>
      </c>
      <c r="J597" s="2" t="b">
        <f t="shared" si="7"/>
        <v>1</v>
      </c>
      <c r="K597" s="2" t="str">
        <f>IFERROR(__xludf.DUMMYFUNCTION("TRIM(JOIN("" "",UNIQUE(TOCOL(ARRAYFORMULA(IF( SPLIT(C597,"" "")=TOCOL(SPLIT(C596,"" "")),SPLIT(C597,"" "")&amp;"" "",""""))))))"),"DIANA")</f>
        <v>DIANA</v>
      </c>
      <c r="L597" s="2" t="str">
        <f t="shared" si="1"/>
        <v/>
      </c>
      <c r="M597" s="2">
        <f t="shared" si="2"/>
        <v>594</v>
      </c>
      <c r="AY597" s="2" t="s">
        <v>304</v>
      </c>
    </row>
    <row r="598">
      <c r="A598" s="2">
        <f t="shared" si="3"/>
        <v>595</v>
      </c>
      <c r="B598" s="1" t="s">
        <v>226</v>
      </c>
      <c r="C598" s="2" t="s">
        <v>269</v>
      </c>
      <c r="D598" s="2" t="s">
        <v>193</v>
      </c>
      <c r="E598" s="2">
        <v>29.0</v>
      </c>
      <c r="F598" s="2" t="s">
        <v>194</v>
      </c>
      <c r="G598" s="2" t="str">
        <f t="shared" si="4"/>
        <v/>
      </c>
      <c r="H598" s="2" t="str">
        <f t="shared" si="5"/>
        <v/>
      </c>
      <c r="I598" s="2" t="str">
        <f t="shared" si="6"/>
        <v/>
      </c>
      <c r="J598" s="2" t="b">
        <f t="shared" si="7"/>
        <v>0</v>
      </c>
      <c r="K598" s="2" t="str">
        <f>IFERROR(__xludf.DUMMYFUNCTION("TRIM(JOIN("" "",UNIQUE(TOCOL(ARRAYFORMULA(IF( SPLIT(C598,"" "")=TOCOL(SPLIT(C597,"" "")),SPLIT(C598,"" "")&amp;"" "",""""))))))"),"")</f>
        <v/>
      </c>
      <c r="L598" s="2" t="str">
        <f t="shared" si="1"/>
        <v/>
      </c>
      <c r="M598" s="2">
        <f t="shared" si="2"/>
        <v>595</v>
      </c>
      <c r="AY598" s="2" t="s">
        <v>1003</v>
      </c>
    </row>
    <row r="599">
      <c r="A599" s="2">
        <f t="shared" si="3"/>
        <v>596</v>
      </c>
      <c r="B599" s="1" t="s">
        <v>226</v>
      </c>
      <c r="C599" s="2" t="s">
        <v>269</v>
      </c>
      <c r="D599" s="2" t="s">
        <v>193</v>
      </c>
      <c r="E599" s="2">
        <v>29.0</v>
      </c>
      <c r="F599" s="2" t="s">
        <v>428</v>
      </c>
      <c r="G599" s="2" t="str">
        <f t="shared" si="4"/>
        <v>misma edad</v>
      </c>
      <c r="H599" s="2" t="str">
        <f t="shared" si="5"/>
        <v>mismo nombre</v>
      </c>
      <c r="I599" s="2" t="str">
        <f t="shared" si="6"/>
        <v>mismo colegio</v>
      </c>
      <c r="J599" s="2" t="b">
        <f t="shared" si="7"/>
        <v>0</v>
      </c>
      <c r="K599" s="2" t="str">
        <f>IFERROR(__xludf.DUMMYFUNCTION("TRIM(JOIN("" "",UNIQUE(TOCOL(ARRAYFORMULA(IF( SPLIT(C599,"" "")=TOCOL(SPLIT(C598,"" "")),SPLIT(C599,"" "")&amp;"" "",""""))))))"),"DEYSI SALAZAR VALVERDE")</f>
        <v>DEYSI SALAZAR VALVERDE</v>
      </c>
      <c r="L599" s="2" t="str">
        <f t="shared" si="1"/>
        <v/>
      </c>
      <c r="M599" s="2">
        <f t="shared" si="2"/>
        <v>595</v>
      </c>
      <c r="AY599" s="2" t="s">
        <v>790</v>
      </c>
    </row>
    <row r="600">
      <c r="A600" s="2">
        <f t="shared" si="3"/>
        <v>597</v>
      </c>
      <c r="B600" s="1" t="s">
        <v>595</v>
      </c>
      <c r="C600" s="2" t="s">
        <v>620</v>
      </c>
      <c r="D600" s="2" t="s">
        <v>193</v>
      </c>
      <c r="E600" s="2">
        <v>35.0</v>
      </c>
      <c r="F600" s="2" t="s">
        <v>194</v>
      </c>
      <c r="G600" s="2" t="str">
        <f t="shared" si="4"/>
        <v/>
      </c>
      <c r="H600" s="2" t="str">
        <f t="shared" si="5"/>
        <v/>
      </c>
      <c r="I600" s="2" t="str">
        <f t="shared" si="6"/>
        <v/>
      </c>
      <c r="J600" s="2" t="b">
        <f t="shared" si="7"/>
        <v>0</v>
      </c>
      <c r="K600" s="2" t="str">
        <f>IFERROR(__xludf.DUMMYFUNCTION("TRIM(JOIN("" "",UNIQUE(TOCOL(ARRAYFORMULA(IF( SPLIT(C600,"" "")=TOCOL(SPLIT(C599,"" "")),SPLIT(C600,"" "")&amp;"" "",""""))))))"),"")</f>
        <v/>
      </c>
      <c r="L600" s="2" t="str">
        <f t="shared" si="1"/>
        <v/>
      </c>
      <c r="M600" s="2">
        <f t="shared" si="2"/>
        <v>597</v>
      </c>
      <c r="AY600" s="2" t="s">
        <v>865</v>
      </c>
    </row>
    <row r="601">
      <c r="A601" s="2">
        <f t="shared" si="3"/>
        <v>598</v>
      </c>
      <c r="B601" s="1" t="s">
        <v>830</v>
      </c>
      <c r="C601" s="2" t="s">
        <v>862</v>
      </c>
      <c r="D601" s="2" t="s">
        <v>193</v>
      </c>
      <c r="E601" s="2">
        <v>37.0</v>
      </c>
      <c r="F601" s="2" t="s">
        <v>194</v>
      </c>
      <c r="G601" s="2" t="str">
        <f t="shared" si="4"/>
        <v/>
      </c>
      <c r="H601" s="2" t="str">
        <f t="shared" si="5"/>
        <v/>
      </c>
      <c r="I601" s="2" t="str">
        <f t="shared" si="6"/>
        <v/>
      </c>
      <c r="J601" s="2" t="b">
        <f t="shared" si="7"/>
        <v>1</v>
      </c>
      <c r="K601" s="2" t="str">
        <f>IFERROR(__xludf.DUMMYFUNCTION("TRIM(JOIN("" "",UNIQUE(TOCOL(ARRAYFORMULA(IF( SPLIT(C601,"" "")=TOCOL(SPLIT(C600,"" "")),SPLIT(C601,"" "")&amp;"" "",""""))))))"),"")</f>
        <v/>
      </c>
      <c r="L601" s="2" t="str">
        <f t="shared" si="1"/>
        <v/>
      </c>
      <c r="M601" s="2">
        <f t="shared" si="2"/>
        <v>598</v>
      </c>
      <c r="AY601" s="2" t="s">
        <v>1472</v>
      </c>
    </row>
    <row r="602">
      <c r="A602" s="2">
        <f t="shared" si="3"/>
        <v>599</v>
      </c>
      <c r="B602" s="1" t="s">
        <v>830</v>
      </c>
      <c r="C602" s="2" t="s">
        <v>862</v>
      </c>
      <c r="D602" s="2" t="s">
        <v>193</v>
      </c>
      <c r="E602" s="2">
        <v>37.0</v>
      </c>
      <c r="F602" s="2" t="s">
        <v>428</v>
      </c>
      <c r="G602" s="2" t="str">
        <f t="shared" si="4"/>
        <v>misma edad</v>
      </c>
      <c r="H602" s="2" t="str">
        <f t="shared" si="5"/>
        <v>mismo nombre</v>
      </c>
      <c r="I602" s="2" t="str">
        <f t="shared" si="6"/>
        <v>mismo colegio</v>
      </c>
      <c r="J602" s="2" t="b">
        <f t="shared" si="7"/>
        <v>0</v>
      </c>
      <c r="K602" s="2" t="str">
        <f>IFERROR(__xludf.DUMMYFUNCTION("TRIM(JOIN("" "",UNIQUE(TOCOL(ARRAYFORMULA(IF( SPLIT(C602,"" "")=TOCOL(SPLIT(C601,"" "")),SPLIT(C602,"" "")&amp;"" "",""""))))))"),"DEPAZ SILVA, EDIT")</f>
        <v>DEPAZ SILVA, EDIT</v>
      </c>
      <c r="L602" s="2" t="str">
        <f t="shared" si="1"/>
        <v/>
      </c>
      <c r="M602" s="2">
        <f t="shared" si="2"/>
        <v>598</v>
      </c>
      <c r="AY602" s="2" t="s">
        <v>1021</v>
      </c>
    </row>
    <row r="603">
      <c r="A603" s="2">
        <f t="shared" si="3"/>
        <v>600</v>
      </c>
      <c r="B603" s="1" t="s">
        <v>830</v>
      </c>
      <c r="C603" s="2" t="s">
        <v>858</v>
      </c>
      <c r="D603" s="2" t="s">
        <v>193</v>
      </c>
      <c r="E603" s="2">
        <v>40.0</v>
      </c>
      <c r="F603" s="2" t="s">
        <v>194</v>
      </c>
      <c r="G603" s="2" t="str">
        <f t="shared" si="4"/>
        <v/>
      </c>
      <c r="H603" s="2" t="str">
        <f t="shared" si="5"/>
        <v/>
      </c>
      <c r="I603" s="2" t="str">
        <f t="shared" si="6"/>
        <v>mismo colegio</v>
      </c>
      <c r="J603" s="2" t="b">
        <f t="shared" si="7"/>
        <v>0</v>
      </c>
      <c r="K603" s="2" t="str">
        <f>IFERROR(__xludf.DUMMYFUNCTION("TRIM(JOIN("" "",UNIQUE(TOCOL(ARRAYFORMULA(IF( SPLIT(C603,"" "")=TOCOL(SPLIT(C602,"" "")),SPLIT(C603,"" "")&amp;"" "",""""))))))"),"DEPAZ")</f>
        <v>DEPAZ</v>
      </c>
      <c r="L603" s="2" t="str">
        <f t="shared" si="1"/>
        <v/>
      </c>
      <c r="M603" s="2">
        <f t="shared" si="2"/>
        <v>600</v>
      </c>
      <c r="AY603" s="2" t="s">
        <v>1272</v>
      </c>
    </row>
    <row r="604">
      <c r="A604" s="2">
        <f t="shared" si="3"/>
        <v>601</v>
      </c>
      <c r="B604" s="1" t="s">
        <v>830</v>
      </c>
      <c r="C604" s="2" t="s">
        <v>858</v>
      </c>
      <c r="D604" s="2" t="s">
        <v>193</v>
      </c>
      <c r="E604" s="2">
        <v>40.0</v>
      </c>
      <c r="F604" s="2" t="s">
        <v>428</v>
      </c>
      <c r="G604" s="2" t="str">
        <f t="shared" si="4"/>
        <v>misma edad</v>
      </c>
      <c r="H604" s="2" t="str">
        <f t="shared" si="5"/>
        <v>mismo nombre</v>
      </c>
      <c r="I604" s="2" t="str">
        <f t="shared" si="6"/>
        <v>mismo colegio</v>
      </c>
      <c r="J604" s="2" t="b">
        <f t="shared" si="7"/>
        <v>0</v>
      </c>
      <c r="K604" s="2" t="str">
        <f>IFERROR(__xludf.DUMMYFUNCTION("TRIM(JOIN("" "",UNIQUE(TOCOL(ARRAYFORMULA(IF( SPLIT(C604,"" "")=TOCOL(SPLIT(C603,"" "")),SPLIT(C604,"" "")&amp;"" "",""""))))))"),"DEPAZ SALOME, LUZ")</f>
        <v>DEPAZ SALOME, LUZ</v>
      </c>
      <c r="L604" s="2" t="str">
        <f t="shared" si="1"/>
        <v/>
      </c>
      <c r="M604" s="2">
        <f t="shared" si="2"/>
        <v>600</v>
      </c>
      <c r="AY604" s="2" t="s">
        <v>320</v>
      </c>
    </row>
    <row r="605">
      <c r="A605" s="2">
        <f t="shared" si="3"/>
        <v>602</v>
      </c>
      <c r="B605" s="1" t="s">
        <v>226</v>
      </c>
      <c r="C605" s="2" t="s">
        <v>1073</v>
      </c>
      <c r="D605" s="2" t="s">
        <v>193</v>
      </c>
      <c r="E605" s="2">
        <v>34.0</v>
      </c>
      <c r="F605" s="2" t="s">
        <v>428</v>
      </c>
      <c r="G605" s="2" t="str">
        <f t="shared" si="4"/>
        <v/>
      </c>
      <c r="H605" s="2" t="str">
        <f t="shared" si="5"/>
        <v/>
      </c>
      <c r="I605" s="2" t="str">
        <f t="shared" si="6"/>
        <v/>
      </c>
      <c r="J605" s="2" t="b">
        <f t="shared" si="7"/>
        <v>1</v>
      </c>
      <c r="K605" s="2" t="str">
        <f>IFERROR(__xludf.DUMMYFUNCTION("TRIM(JOIN("" "",UNIQUE(TOCOL(ARRAYFORMULA(IF( SPLIT(C605,"" "")=TOCOL(SPLIT(C604,"" "")),SPLIT(C605,"" "")&amp;"" "",""""))))))"),"")</f>
        <v/>
      </c>
      <c r="L605" s="2" t="str">
        <f t="shared" si="1"/>
        <v/>
      </c>
      <c r="M605" s="2">
        <f t="shared" si="2"/>
        <v>602</v>
      </c>
      <c r="AY605" s="2" t="s">
        <v>1482</v>
      </c>
    </row>
    <row r="606">
      <c r="A606" s="2">
        <f t="shared" si="3"/>
        <v>603</v>
      </c>
      <c r="B606" s="1" t="s">
        <v>205</v>
      </c>
      <c r="C606" s="2" t="s">
        <v>367</v>
      </c>
      <c r="D606" s="2" t="s">
        <v>193</v>
      </c>
      <c r="E606" s="2">
        <v>29.0</v>
      </c>
      <c r="F606" s="2" t="s">
        <v>194</v>
      </c>
      <c r="G606" s="2" t="str">
        <f t="shared" si="4"/>
        <v/>
      </c>
      <c r="H606" s="2" t="str">
        <f t="shared" si="5"/>
        <v/>
      </c>
      <c r="I606" s="2" t="str">
        <f t="shared" si="6"/>
        <v/>
      </c>
      <c r="J606" s="2" t="b">
        <f t="shared" si="7"/>
        <v>0</v>
      </c>
      <c r="K606" s="2" t="str">
        <f>IFERROR(__xludf.DUMMYFUNCTION("TRIM(JOIN("" "",UNIQUE(TOCOL(ARRAYFORMULA(IF( SPLIT(C606,"" "")=TOCOL(SPLIT(C605,"" "")),SPLIT(C606,"" "")&amp;"" "",""""))))))"),"")</f>
        <v/>
      </c>
      <c r="L606" s="2" t="str">
        <f t="shared" si="1"/>
        <v/>
      </c>
      <c r="M606" s="2">
        <f t="shared" si="2"/>
        <v>603</v>
      </c>
      <c r="AY606" s="2" t="s">
        <v>800</v>
      </c>
    </row>
    <row r="607">
      <c r="A607" s="2">
        <f t="shared" si="3"/>
        <v>604</v>
      </c>
      <c r="B607" s="1" t="s">
        <v>226</v>
      </c>
      <c r="C607" s="2" t="s">
        <v>229</v>
      </c>
      <c r="D607" s="2" t="s">
        <v>193</v>
      </c>
      <c r="E607" s="2">
        <v>34.0</v>
      </c>
      <c r="F607" s="2" t="s">
        <v>194</v>
      </c>
      <c r="G607" s="2" t="str">
        <f t="shared" si="4"/>
        <v/>
      </c>
      <c r="H607" s="2" t="str">
        <f t="shared" si="5"/>
        <v/>
      </c>
      <c r="I607" s="2" t="str">
        <f t="shared" si="6"/>
        <v/>
      </c>
      <c r="J607" s="2" t="b">
        <f t="shared" si="7"/>
        <v>1</v>
      </c>
      <c r="K607" s="2" t="str">
        <f>IFERROR(__xludf.DUMMYFUNCTION("TRIM(JOIN("" "",UNIQUE(TOCOL(ARRAYFORMULA(IF( SPLIT(C607,"" "")=TOCOL(SPLIT(C606,"" "")),SPLIT(C607,"" "")&amp;"" "",""""))))))"),"DELIA")</f>
        <v>DELIA</v>
      </c>
      <c r="L607" s="2" t="str">
        <f t="shared" si="1"/>
        <v/>
      </c>
      <c r="M607" s="2">
        <f t="shared" si="2"/>
        <v>604</v>
      </c>
      <c r="AY607" s="2" t="s">
        <v>1147</v>
      </c>
    </row>
    <row r="608">
      <c r="A608" s="2">
        <f t="shared" si="3"/>
        <v>605</v>
      </c>
      <c r="B608" s="1" t="s">
        <v>154</v>
      </c>
      <c r="C608" s="2" t="s">
        <v>511</v>
      </c>
      <c r="D608" s="2" t="s">
        <v>193</v>
      </c>
      <c r="E608" s="2">
        <v>24.0</v>
      </c>
      <c r="F608" s="2" t="s">
        <v>194</v>
      </c>
      <c r="G608" s="2" t="str">
        <f t="shared" si="4"/>
        <v/>
      </c>
      <c r="H608" s="2" t="str">
        <f t="shared" si="5"/>
        <v/>
      </c>
      <c r="I608" s="2" t="str">
        <f t="shared" si="6"/>
        <v/>
      </c>
      <c r="J608" s="2" t="b">
        <f t="shared" si="7"/>
        <v>1</v>
      </c>
      <c r="K608" s="2" t="str">
        <f>IFERROR(__xludf.DUMMYFUNCTION("TRIM(JOIN("" "",UNIQUE(TOCOL(ARRAYFORMULA(IF( SPLIT(C608,"" "")=TOCOL(SPLIT(C607,"" "")),SPLIT(C608,"" "")&amp;"" "",""""))))))"),"")</f>
        <v/>
      </c>
      <c r="L608" s="2" t="str">
        <f t="shared" si="1"/>
        <v/>
      </c>
      <c r="M608" s="2">
        <f t="shared" si="2"/>
        <v>605</v>
      </c>
      <c r="AY608" s="2" t="s">
        <v>687</v>
      </c>
    </row>
    <row r="609">
      <c r="A609" s="2">
        <f t="shared" si="3"/>
        <v>606</v>
      </c>
      <c r="B609" s="1" t="s">
        <v>693</v>
      </c>
      <c r="C609" s="2" t="s">
        <v>703</v>
      </c>
      <c r="D609" s="2" t="s">
        <v>222</v>
      </c>
      <c r="E609" s="2">
        <v>42.0</v>
      </c>
      <c r="F609" s="2" t="s">
        <v>194</v>
      </c>
      <c r="G609" s="2" t="str">
        <f t="shared" si="4"/>
        <v/>
      </c>
      <c r="H609" s="2" t="str">
        <f t="shared" si="5"/>
        <v/>
      </c>
      <c r="I609" s="2" t="str">
        <f t="shared" si="6"/>
        <v/>
      </c>
      <c r="J609" s="2" t="b">
        <f t="shared" si="7"/>
        <v>1</v>
      </c>
      <c r="K609" s="2" t="str">
        <f>IFERROR(__xludf.DUMMYFUNCTION("TRIM(JOIN("" "",UNIQUE(TOCOL(ARRAYFORMULA(IF( SPLIT(C609,"" "")=TOCOL(SPLIT(C608,"" "")),SPLIT(C609,"" "")&amp;"" "",""""))))))"),"")</f>
        <v/>
      </c>
      <c r="L609" s="2" t="str">
        <f t="shared" si="1"/>
        <v/>
      </c>
      <c r="M609" s="2">
        <f t="shared" si="2"/>
        <v>606</v>
      </c>
      <c r="AY609" s="2" t="s">
        <v>210</v>
      </c>
    </row>
    <row r="610">
      <c r="A610" s="2">
        <f t="shared" si="3"/>
        <v>607</v>
      </c>
      <c r="B610" s="1" t="s">
        <v>693</v>
      </c>
      <c r="C610" s="2" t="s">
        <v>703</v>
      </c>
      <c r="D610" s="2" t="s">
        <v>222</v>
      </c>
      <c r="E610" s="2">
        <v>40.0</v>
      </c>
      <c r="F610" s="2" t="s">
        <v>428</v>
      </c>
      <c r="G610" s="2" t="str">
        <f t="shared" si="4"/>
        <v/>
      </c>
      <c r="H610" s="2" t="str">
        <f t="shared" si="5"/>
        <v>mismo nombre</v>
      </c>
      <c r="I610" s="2" t="str">
        <f t="shared" si="6"/>
        <v>mismo colegio</v>
      </c>
      <c r="J610" s="2" t="b">
        <f t="shared" si="7"/>
        <v>0</v>
      </c>
      <c r="K610" s="2" t="str">
        <f>IFERROR(__xludf.DUMMYFUNCTION("TRIM(JOIN("" "",UNIQUE(TOCOL(ARRAYFORMULA(IF( SPLIT(C610,"" "")=TOCOL(SPLIT(C609,"" "")),SPLIT(C610,"" "")&amp;"" "",""""))))))"),"DAVILA ROJAS ORLANDO")</f>
        <v>DAVILA ROJAS ORLANDO</v>
      </c>
      <c r="L610" s="2" t="str">
        <f t="shared" si="1"/>
        <v/>
      </c>
      <c r="M610" s="2">
        <f t="shared" si="2"/>
        <v>606</v>
      </c>
      <c r="AY610" s="2" t="s">
        <v>637</v>
      </c>
    </row>
    <row r="611">
      <c r="A611" s="2">
        <f t="shared" si="3"/>
        <v>608</v>
      </c>
      <c r="B611" s="1" t="s">
        <v>226</v>
      </c>
      <c r="C611" s="2" t="s">
        <v>303</v>
      </c>
      <c r="D611" s="2" t="s">
        <v>193</v>
      </c>
      <c r="E611" s="2">
        <v>25.0</v>
      </c>
      <c r="F611" s="2" t="s">
        <v>194</v>
      </c>
      <c r="G611" s="2" t="str">
        <f t="shared" si="4"/>
        <v/>
      </c>
      <c r="H611" s="2" t="str">
        <f t="shared" si="5"/>
        <v/>
      </c>
      <c r="I611" s="2" t="str">
        <f t="shared" si="6"/>
        <v/>
      </c>
      <c r="J611" s="2" t="b">
        <f t="shared" si="7"/>
        <v>0</v>
      </c>
      <c r="K611" s="2" t="str">
        <f>IFERROR(__xludf.DUMMYFUNCTION("TRIM(JOIN("" "",UNIQUE(TOCOL(ARRAYFORMULA(IF( SPLIT(C611,"" "")=TOCOL(SPLIT(C610,"" "")),SPLIT(C611,"" "")&amp;"" "",""""))))))"),"DAVILA")</f>
        <v>DAVILA</v>
      </c>
      <c r="L611" s="2" t="str">
        <f t="shared" si="1"/>
        <v/>
      </c>
      <c r="M611" s="2">
        <f t="shared" si="2"/>
        <v>608</v>
      </c>
      <c r="AY611" s="2" t="s">
        <v>587</v>
      </c>
    </row>
    <row r="612">
      <c r="A612" s="2">
        <f t="shared" si="3"/>
        <v>609</v>
      </c>
      <c r="B612" s="1" t="s">
        <v>323</v>
      </c>
      <c r="C612" s="2" t="s">
        <v>1353</v>
      </c>
      <c r="D612" s="2" t="s">
        <v>222</v>
      </c>
      <c r="E612" s="2">
        <v>32.0</v>
      </c>
      <c r="F612" s="2" t="s">
        <v>428</v>
      </c>
      <c r="G612" s="2" t="str">
        <f t="shared" si="4"/>
        <v/>
      </c>
      <c r="H612" s="2" t="str">
        <f t="shared" si="5"/>
        <v/>
      </c>
      <c r="I612" s="2" t="str">
        <f t="shared" si="6"/>
        <v/>
      </c>
      <c r="J612" s="2" t="b">
        <f t="shared" si="7"/>
        <v>0</v>
      </c>
      <c r="K612" s="2" t="str">
        <f>IFERROR(__xludf.DUMMYFUNCTION("TRIM(JOIN("" "",UNIQUE(TOCOL(ARRAYFORMULA(IF( SPLIT(C612,"" "")=TOCOL(SPLIT(C611,"" "")),SPLIT(C612,"" "")&amp;"" "",""""))))))"),"")</f>
        <v/>
      </c>
      <c r="L612" s="2" t="str">
        <f t="shared" si="1"/>
        <v>-&gt;WITH THIS</v>
      </c>
      <c r="M612" s="2">
        <f t="shared" si="2"/>
        <v>609</v>
      </c>
      <c r="AY612" s="2" t="s">
        <v>1484</v>
      </c>
    </row>
    <row r="613">
      <c r="A613" s="2">
        <f t="shared" si="3"/>
        <v>610</v>
      </c>
      <c r="B613" s="1" t="s">
        <v>323</v>
      </c>
      <c r="C613" s="2" t="s">
        <v>339</v>
      </c>
      <c r="D613" s="2" t="s">
        <v>193</v>
      </c>
      <c r="E613" s="2">
        <v>32.0</v>
      </c>
      <c r="F613" s="2" t="s">
        <v>194</v>
      </c>
      <c r="G613" s="2" t="str">
        <f t="shared" si="4"/>
        <v>misma edad</v>
      </c>
      <c r="H613" s="2" t="str">
        <f t="shared" si="5"/>
        <v/>
      </c>
      <c r="I613" s="2" t="str">
        <f t="shared" si="6"/>
        <v>mismo colegio</v>
      </c>
      <c r="J613" s="2" t="b">
        <f t="shared" si="7"/>
        <v>0</v>
      </c>
      <c r="K613" s="2" t="str">
        <f>IFERROR(__xludf.DUMMYFUNCTION("TRIM(JOIN("" "",UNIQUE(TOCOL(ARRAYFORMULA(IF( SPLIT(C613,"" "")=TOCOL(SPLIT(C612,"" "")),SPLIT(C613,"" "")&amp;"" "",""""))))))"),"DANIEL JOEL MONTES FLORES")</f>
        <v>DANIEL JOEL MONTES FLORES</v>
      </c>
      <c r="L613" s="2" t="str">
        <f t="shared" si="1"/>
        <v>EVALUAR</v>
      </c>
      <c r="M613" s="2">
        <f t="shared" si="2"/>
        <v>610</v>
      </c>
      <c r="AY613" s="2" t="s">
        <v>1230</v>
      </c>
    </row>
    <row r="614">
      <c r="A614" s="2">
        <f t="shared" si="3"/>
        <v>611</v>
      </c>
      <c r="B614" s="1" t="s">
        <v>968</v>
      </c>
      <c r="C614" s="2" t="s">
        <v>992</v>
      </c>
      <c r="D614" s="2" t="s">
        <v>193</v>
      </c>
      <c r="E614" s="2">
        <v>40.0</v>
      </c>
      <c r="F614" s="2" t="s">
        <v>194</v>
      </c>
      <c r="G614" s="2" t="str">
        <f t="shared" si="4"/>
        <v/>
      </c>
      <c r="H614" s="2" t="str">
        <f t="shared" si="5"/>
        <v/>
      </c>
      <c r="I614" s="2" t="str">
        <f t="shared" si="6"/>
        <v/>
      </c>
      <c r="J614" s="2" t="b">
        <f t="shared" si="7"/>
        <v>1</v>
      </c>
      <c r="K614" s="2" t="str">
        <f>IFERROR(__xludf.DUMMYFUNCTION("TRIM(JOIN("" "",UNIQUE(TOCOL(ARRAYFORMULA(IF( SPLIT(C614,"" "")=TOCOL(SPLIT(C613,"" "")),SPLIT(C614,"" "")&amp;"" "",""""))))))"),"")</f>
        <v/>
      </c>
      <c r="L614" s="2" t="str">
        <f t="shared" si="1"/>
        <v/>
      </c>
      <c r="M614" s="2">
        <f t="shared" si="2"/>
        <v>611</v>
      </c>
      <c r="AY614" s="2" t="s">
        <v>212</v>
      </c>
    </row>
    <row r="615">
      <c r="A615" s="2">
        <f t="shared" si="3"/>
        <v>612</v>
      </c>
      <c r="B615" s="1" t="s">
        <v>457</v>
      </c>
      <c r="C615" s="2" t="s">
        <v>478</v>
      </c>
      <c r="D615" s="2" t="s">
        <v>193</v>
      </c>
      <c r="E615" s="2">
        <v>30.0</v>
      </c>
      <c r="F615" s="2" t="s">
        <v>194</v>
      </c>
      <c r="G615" s="2" t="str">
        <f t="shared" si="4"/>
        <v/>
      </c>
      <c r="H615" s="2" t="str">
        <f t="shared" si="5"/>
        <v/>
      </c>
      <c r="I615" s="2" t="str">
        <f t="shared" si="6"/>
        <v/>
      </c>
      <c r="J615" s="2" t="b">
        <f t="shared" si="7"/>
        <v>1</v>
      </c>
      <c r="K615" s="2" t="str">
        <f>IFERROR(__xludf.DUMMYFUNCTION("TRIM(JOIN("" "",UNIQUE(TOCOL(ARRAYFORMULA(IF( SPLIT(C615,"" "")=TOCOL(SPLIT(C614,"" "")),SPLIT(C615,"" "")&amp;"" "",""""))))))"),"")</f>
        <v/>
      </c>
      <c r="L615" s="2" t="str">
        <f t="shared" si="1"/>
        <v/>
      </c>
      <c r="M615" s="2">
        <f t="shared" si="2"/>
        <v>612</v>
      </c>
      <c r="AY615" s="2" t="s">
        <v>214</v>
      </c>
    </row>
    <row r="616">
      <c r="A616" s="2">
        <f t="shared" si="3"/>
        <v>613</v>
      </c>
      <c r="B616" s="1" t="s">
        <v>457</v>
      </c>
      <c r="C616" s="2" t="s">
        <v>478</v>
      </c>
      <c r="D616" s="2" t="s">
        <v>193</v>
      </c>
      <c r="E616" s="2">
        <v>30.0</v>
      </c>
      <c r="F616" s="2" t="s">
        <v>428</v>
      </c>
      <c r="G616" s="2" t="str">
        <f t="shared" si="4"/>
        <v>misma edad</v>
      </c>
      <c r="H616" s="2" t="str">
        <f t="shared" si="5"/>
        <v>mismo nombre</v>
      </c>
      <c r="I616" s="2" t="str">
        <f t="shared" si="6"/>
        <v>mismo colegio</v>
      </c>
      <c r="J616" s="2" t="b">
        <f t="shared" si="7"/>
        <v>0</v>
      </c>
      <c r="K616" s="2" t="str">
        <f>IFERROR(__xludf.DUMMYFUNCTION("TRIM(JOIN("" "",UNIQUE(TOCOL(ARRAYFORMULA(IF( SPLIT(C616,"" "")=TOCOL(SPLIT(C615,"" "")),SPLIT(C616,"" "")&amp;"" "",""""))))))"),"DALIA GUERRA GARAY")</f>
        <v>DALIA GUERRA GARAY</v>
      </c>
      <c r="L616" s="2" t="str">
        <f t="shared" si="1"/>
        <v/>
      </c>
      <c r="M616" s="2">
        <f t="shared" si="2"/>
        <v>612</v>
      </c>
      <c r="AY616" s="2" t="s">
        <v>889</v>
      </c>
    </row>
    <row r="617">
      <c r="A617" s="2">
        <f t="shared" si="3"/>
        <v>614</v>
      </c>
      <c r="B617" s="1" t="s">
        <v>719</v>
      </c>
      <c r="C617" s="2" t="s">
        <v>1433</v>
      </c>
      <c r="D617" s="2" t="s">
        <v>193</v>
      </c>
      <c r="E617" s="40"/>
      <c r="F617" s="2" t="s">
        <v>428</v>
      </c>
      <c r="G617" s="2" t="str">
        <f t="shared" si="4"/>
        <v/>
      </c>
      <c r="H617" s="2" t="str">
        <f t="shared" si="5"/>
        <v/>
      </c>
      <c r="I617" s="2" t="str">
        <f t="shared" si="6"/>
        <v/>
      </c>
      <c r="J617" s="2" t="b">
        <f t="shared" si="7"/>
        <v>1</v>
      </c>
      <c r="K617" s="2" t="str">
        <f>IFERROR(__xludf.DUMMYFUNCTION("TRIM(JOIN("" "",UNIQUE(TOCOL(ARRAYFORMULA(IF( SPLIT(C617,"" "")=TOCOL(SPLIT(C616,"" "")),SPLIT(C617,"" "")&amp;"" "",""""))))))"),"")</f>
        <v/>
      </c>
      <c r="L617" s="2" t="str">
        <f t="shared" si="1"/>
        <v/>
      </c>
      <c r="M617" s="2">
        <f t="shared" si="2"/>
        <v>614</v>
      </c>
      <c r="AY617" s="2" t="s">
        <v>1454</v>
      </c>
    </row>
    <row r="618">
      <c r="A618" s="2">
        <f t="shared" si="3"/>
        <v>615</v>
      </c>
      <c r="B618" s="1" t="s">
        <v>813</v>
      </c>
      <c r="C618" s="2" t="s">
        <v>824</v>
      </c>
      <c r="D618" s="2" t="s">
        <v>193</v>
      </c>
      <c r="E618" s="2">
        <v>36.0</v>
      </c>
      <c r="F618" s="2" t="s">
        <v>194</v>
      </c>
      <c r="G618" s="2" t="str">
        <f t="shared" si="4"/>
        <v/>
      </c>
      <c r="H618" s="2" t="str">
        <f t="shared" si="5"/>
        <v/>
      </c>
      <c r="I618" s="2" t="str">
        <f t="shared" si="6"/>
        <v/>
      </c>
      <c r="J618" s="2" t="b">
        <f t="shared" si="7"/>
        <v>0</v>
      </c>
      <c r="K618" s="2" t="str">
        <f>IFERROR(__xludf.DUMMYFUNCTION("TRIM(JOIN("" "",UNIQUE(TOCOL(ARRAYFORMULA(IF( SPLIT(C618,"" "")=TOCOL(SPLIT(C617,"" "")),SPLIT(C618,"" "")&amp;"" "",""""))))))"),"")</f>
        <v/>
      </c>
      <c r="L618" s="2" t="str">
        <f t="shared" si="1"/>
        <v/>
      </c>
      <c r="M618" s="2">
        <f t="shared" si="2"/>
        <v>615</v>
      </c>
      <c r="AY618" s="2" t="s">
        <v>1453</v>
      </c>
    </row>
    <row r="619">
      <c r="A619" s="2">
        <f t="shared" si="3"/>
        <v>616</v>
      </c>
      <c r="B619" s="1" t="s">
        <v>813</v>
      </c>
      <c r="C619" s="2" t="s">
        <v>824</v>
      </c>
      <c r="D619" s="2" t="s">
        <v>193</v>
      </c>
      <c r="E619" s="2">
        <v>37.0</v>
      </c>
      <c r="F619" s="2" t="s">
        <v>428</v>
      </c>
      <c r="G619" s="2" t="str">
        <f t="shared" si="4"/>
        <v/>
      </c>
      <c r="H619" s="2" t="str">
        <f t="shared" si="5"/>
        <v>mismo nombre</v>
      </c>
      <c r="I619" s="2" t="str">
        <f t="shared" si="6"/>
        <v>mismo colegio</v>
      </c>
      <c r="J619" s="2" t="b">
        <f t="shared" si="7"/>
        <v>0</v>
      </c>
      <c r="K619" s="2" t="str">
        <f>IFERROR(__xludf.DUMMYFUNCTION("TRIM(JOIN("" "",UNIQUE(TOCOL(ARRAYFORMULA(IF( SPLIT(C619,"" "")=TOCOL(SPLIT(C618,"" "")),SPLIT(C619,"" "")&amp;"" "",""""))))))"),"CUEVA ZAMBRANO, LUZ")</f>
        <v>CUEVA ZAMBRANO, LUZ</v>
      </c>
      <c r="L619" s="2" t="str">
        <f t="shared" si="1"/>
        <v/>
      </c>
      <c r="M619" s="2">
        <f t="shared" si="2"/>
        <v>615</v>
      </c>
      <c r="AY619" s="2" t="s">
        <v>366</v>
      </c>
    </row>
    <row r="620">
      <c r="A620" s="2">
        <f t="shared" si="3"/>
        <v>617</v>
      </c>
      <c r="B620" s="1" t="s">
        <v>693</v>
      </c>
      <c r="C620" s="2" t="s">
        <v>715</v>
      </c>
      <c r="D620" s="2" t="s">
        <v>193</v>
      </c>
      <c r="E620" s="2">
        <v>54.0</v>
      </c>
      <c r="F620" s="2" t="s">
        <v>194</v>
      </c>
      <c r="G620" s="2" t="str">
        <f t="shared" si="4"/>
        <v/>
      </c>
      <c r="H620" s="2" t="str">
        <f t="shared" si="5"/>
        <v/>
      </c>
      <c r="I620" s="2" t="str">
        <f t="shared" si="6"/>
        <v/>
      </c>
      <c r="J620" s="2" t="b">
        <f t="shared" si="7"/>
        <v>0</v>
      </c>
      <c r="K620" s="2" t="str">
        <f>IFERROR(__xludf.DUMMYFUNCTION("TRIM(JOIN("" "",UNIQUE(TOCOL(ARRAYFORMULA(IF( SPLIT(C620,"" "")=TOCOL(SPLIT(C619,"" "")),SPLIT(C620,"" "")&amp;"" "",""""))))))"),"CUEVA")</f>
        <v>CUEVA</v>
      </c>
      <c r="L620" s="2" t="str">
        <f t="shared" si="1"/>
        <v/>
      </c>
      <c r="M620" s="2">
        <f t="shared" si="2"/>
        <v>617</v>
      </c>
      <c r="AY620" s="2" t="s">
        <v>655</v>
      </c>
    </row>
    <row r="621">
      <c r="A621" s="2">
        <f t="shared" si="3"/>
        <v>618</v>
      </c>
      <c r="B621" s="1" t="s">
        <v>801</v>
      </c>
      <c r="C621" s="2" t="s">
        <v>807</v>
      </c>
      <c r="D621" s="2" t="s">
        <v>193</v>
      </c>
      <c r="E621" s="2">
        <v>32.0</v>
      </c>
      <c r="F621" s="2" t="s">
        <v>194</v>
      </c>
      <c r="G621" s="2" t="str">
        <f t="shared" si="4"/>
        <v/>
      </c>
      <c r="H621" s="2" t="str">
        <f t="shared" si="5"/>
        <v/>
      </c>
      <c r="I621" s="2" t="str">
        <f t="shared" si="6"/>
        <v/>
      </c>
      <c r="J621" s="2" t="b">
        <f t="shared" si="7"/>
        <v>1</v>
      </c>
      <c r="K621" s="2" t="str">
        <f>IFERROR(__xludf.DUMMYFUNCTION("TRIM(JOIN("" "",UNIQUE(TOCOL(ARRAYFORMULA(IF( SPLIT(C621,"" "")=TOCOL(SPLIT(C620,"" "")),SPLIT(C621,"" "")&amp;"" "",""""))))))"),"CUEVA")</f>
        <v>CUEVA</v>
      </c>
      <c r="L621" s="2" t="str">
        <f t="shared" si="1"/>
        <v/>
      </c>
      <c r="M621" s="2">
        <f t="shared" si="2"/>
        <v>618</v>
      </c>
      <c r="AY621" s="2" t="s">
        <v>1416</v>
      </c>
    </row>
    <row r="622">
      <c r="A622" s="2">
        <f t="shared" si="3"/>
        <v>619</v>
      </c>
      <c r="B622" s="1" t="s">
        <v>968</v>
      </c>
      <c r="C622" s="2" t="s">
        <v>974</v>
      </c>
      <c r="D622" s="2" t="s">
        <v>193</v>
      </c>
      <c r="E622" s="2">
        <v>25.0</v>
      </c>
      <c r="F622" s="2" t="s">
        <v>194</v>
      </c>
      <c r="G622" s="2" t="str">
        <f t="shared" si="4"/>
        <v/>
      </c>
      <c r="H622" s="2" t="str">
        <f t="shared" si="5"/>
        <v/>
      </c>
      <c r="I622" s="2" t="str">
        <f t="shared" si="6"/>
        <v/>
      </c>
      <c r="J622" s="2" t="b">
        <f t="shared" si="7"/>
        <v>1</v>
      </c>
      <c r="K622" s="2" t="str">
        <f>IFERROR(__xludf.DUMMYFUNCTION("TRIM(JOIN("" "",UNIQUE(TOCOL(ARRAYFORMULA(IF( SPLIT(C622,"" "")=TOCOL(SPLIT(C621,"" "")),SPLIT(C622,"" "")&amp;"" "",""""))))))"),"")</f>
        <v/>
      </c>
      <c r="L622" s="2" t="str">
        <f t="shared" si="1"/>
        <v/>
      </c>
      <c r="M622" s="2">
        <f t="shared" si="2"/>
        <v>619</v>
      </c>
      <c r="AY622" s="2" t="s">
        <v>1487</v>
      </c>
    </row>
    <row r="623">
      <c r="A623" s="2">
        <f t="shared" si="3"/>
        <v>620</v>
      </c>
      <c r="B623" s="1" t="s">
        <v>994</v>
      </c>
      <c r="C623" s="2" t="s">
        <v>1196</v>
      </c>
      <c r="D623" s="2" t="s">
        <v>193</v>
      </c>
      <c r="E623" s="2">
        <v>35.0</v>
      </c>
      <c r="F623" s="2" t="s">
        <v>428</v>
      </c>
      <c r="G623" s="2" t="str">
        <f t="shared" si="4"/>
        <v/>
      </c>
      <c r="H623" s="2" t="str">
        <f t="shared" si="5"/>
        <v/>
      </c>
      <c r="I623" s="2" t="str">
        <f t="shared" si="6"/>
        <v/>
      </c>
      <c r="J623" s="2" t="b">
        <f t="shared" si="7"/>
        <v>0</v>
      </c>
      <c r="K623" s="2" t="str">
        <f>IFERROR(__xludf.DUMMYFUNCTION("TRIM(JOIN("" "",UNIQUE(TOCOL(ARRAYFORMULA(IF( SPLIT(C623,"" "")=TOCOL(SPLIT(C622,"" "")),SPLIT(C623,"" "")&amp;"" "",""""))))))"),"")</f>
        <v/>
      </c>
      <c r="L623" s="2" t="str">
        <f t="shared" si="1"/>
        <v/>
      </c>
      <c r="M623" s="2">
        <f t="shared" si="2"/>
        <v>620</v>
      </c>
      <c r="AY623" s="2" t="s">
        <v>1291</v>
      </c>
    </row>
    <row r="624">
      <c r="A624" s="2">
        <f t="shared" si="3"/>
        <v>621</v>
      </c>
      <c r="B624" s="1" t="s">
        <v>719</v>
      </c>
      <c r="C624" s="2" t="s">
        <v>1431</v>
      </c>
      <c r="D624" s="2" t="s">
        <v>193</v>
      </c>
      <c r="E624" s="2">
        <v>35.0</v>
      </c>
      <c r="F624" s="2" t="s">
        <v>428</v>
      </c>
      <c r="G624" s="2" t="str">
        <f t="shared" si="4"/>
        <v>misma edad</v>
      </c>
      <c r="H624" s="2" t="str">
        <f t="shared" si="5"/>
        <v/>
      </c>
      <c r="I624" s="2" t="str">
        <f t="shared" si="6"/>
        <v/>
      </c>
      <c r="J624" s="2" t="b">
        <f t="shared" si="7"/>
        <v>1</v>
      </c>
      <c r="K624" s="2" t="str">
        <f>IFERROR(__xludf.DUMMYFUNCTION("TRIM(JOIN("" "",UNIQUE(TOCOL(ARRAYFORMULA(IF( SPLIT(C624,"" "")=TOCOL(SPLIT(C623,"" "")),SPLIT(C624,"" "")&amp;"" "",""""))))))"),"")</f>
        <v/>
      </c>
      <c r="L624" s="2" t="str">
        <f t="shared" si="1"/>
        <v/>
      </c>
      <c r="M624" s="2">
        <f t="shared" si="2"/>
        <v>621</v>
      </c>
      <c r="AY624" s="2" t="s">
        <v>1296</v>
      </c>
    </row>
    <row r="625">
      <c r="A625" s="2">
        <f t="shared" si="3"/>
        <v>622</v>
      </c>
      <c r="B625" s="1" t="s">
        <v>105</v>
      </c>
      <c r="C625" s="2" t="s">
        <v>415</v>
      </c>
      <c r="D625" s="2" t="s">
        <v>193</v>
      </c>
      <c r="E625" s="2">
        <v>29.0</v>
      </c>
      <c r="F625" s="2" t="s">
        <v>194</v>
      </c>
      <c r="G625" s="2" t="str">
        <f t="shared" si="4"/>
        <v/>
      </c>
      <c r="H625" s="2" t="str">
        <f t="shared" si="5"/>
        <v/>
      </c>
      <c r="I625" s="2" t="str">
        <f t="shared" si="6"/>
        <v/>
      </c>
      <c r="J625" s="2" t="b">
        <f t="shared" si="7"/>
        <v>0</v>
      </c>
      <c r="K625" s="2" t="str">
        <f>IFERROR(__xludf.DUMMYFUNCTION("TRIM(JOIN("" "",UNIQUE(TOCOL(ARRAYFORMULA(IF( SPLIT(C625,"" "")=TOCOL(SPLIT(C624,"" "")),SPLIT(C625,"" "")&amp;"" "",""""))))))"),"")</f>
        <v/>
      </c>
      <c r="L625" s="2" t="str">
        <f t="shared" si="1"/>
        <v/>
      </c>
      <c r="M625" s="2">
        <f t="shared" si="2"/>
        <v>622</v>
      </c>
      <c r="AY625" s="2" t="s">
        <v>792</v>
      </c>
    </row>
    <row r="626">
      <c r="A626" s="2">
        <f t="shared" si="3"/>
        <v>623</v>
      </c>
      <c r="B626" s="1" t="s">
        <v>105</v>
      </c>
      <c r="C626" s="2" t="s">
        <v>415</v>
      </c>
      <c r="D626" s="2" t="s">
        <v>193</v>
      </c>
      <c r="E626" s="2">
        <v>29.0</v>
      </c>
      <c r="F626" s="2" t="s">
        <v>428</v>
      </c>
      <c r="G626" s="2" t="str">
        <f t="shared" si="4"/>
        <v>misma edad</v>
      </c>
      <c r="H626" s="2" t="str">
        <f t="shared" si="5"/>
        <v>mismo nombre</v>
      </c>
      <c r="I626" s="2" t="str">
        <f t="shared" si="6"/>
        <v>mismo colegio</v>
      </c>
      <c r="J626" s="2" t="b">
        <f t="shared" si="7"/>
        <v>0</v>
      </c>
      <c r="K626" s="2" t="str">
        <f>IFERROR(__xludf.DUMMYFUNCTION("TRIM(JOIN("" "",UNIQUE(TOCOL(ARRAYFORMULA(IF( SPLIT(C626,"" "")=TOCOL(SPLIT(C625,"" "")),SPLIT(C626,"" "")&amp;"" "",""""))))))"),"CLERINDA EVANGELISTA CAQUI")</f>
        <v>CLERINDA EVANGELISTA CAQUI</v>
      </c>
      <c r="L626" s="2" t="str">
        <f t="shared" si="1"/>
        <v/>
      </c>
      <c r="M626" s="2">
        <f t="shared" si="2"/>
        <v>622</v>
      </c>
      <c r="AY626" s="2" t="s">
        <v>1287</v>
      </c>
    </row>
    <row r="627">
      <c r="A627" s="2">
        <f t="shared" si="3"/>
        <v>624</v>
      </c>
      <c r="B627" s="1" t="s">
        <v>323</v>
      </c>
      <c r="C627" s="2" t="s">
        <v>351</v>
      </c>
      <c r="D627" s="2" t="s">
        <v>193</v>
      </c>
      <c r="E627" s="2">
        <v>47.0</v>
      </c>
      <c r="F627" s="2" t="s">
        <v>194</v>
      </c>
      <c r="G627" s="2" t="str">
        <f t="shared" si="4"/>
        <v/>
      </c>
      <c r="H627" s="2" t="str">
        <f t="shared" si="5"/>
        <v/>
      </c>
      <c r="I627" s="2" t="str">
        <f t="shared" si="6"/>
        <v/>
      </c>
      <c r="J627" s="2" t="b">
        <f t="shared" si="7"/>
        <v>0</v>
      </c>
      <c r="K627" s="2" t="str">
        <f>IFERROR(__xludf.DUMMYFUNCTION("TRIM(JOIN("" "",UNIQUE(TOCOL(ARRAYFORMULA(IF( SPLIT(C627,"" "")=TOCOL(SPLIT(C626,"" "")),SPLIT(C627,"" "")&amp;"" "",""""))))))"),"")</f>
        <v/>
      </c>
      <c r="L627" s="2" t="str">
        <f t="shared" si="1"/>
        <v/>
      </c>
      <c r="M627" s="2">
        <f t="shared" si="2"/>
        <v>624</v>
      </c>
      <c r="AY627" s="2" t="s">
        <v>1294</v>
      </c>
    </row>
    <row r="628">
      <c r="A628" s="2">
        <f t="shared" si="3"/>
        <v>625</v>
      </c>
      <c r="B628" s="1" t="s">
        <v>205</v>
      </c>
      <c r="C628" s="2" t="s">
        <v>1142</v>
      </c>
      <c r="D628" s="2" t="s">
        <v>193</v>
      </c>
      <c r="E628" s="2">
        <v>35.0</v>
      </c>
      <c r="F628" s="2" t="s">
        <v>428</v>
      </c>
      <c r="G628" s="2" t="str">
        <f t="shared" si="4"/>
        <v/>
      </c>
      <c r="H628" s="2" t="str">
        <f t="shared" si="5"/>
        <v/>
      </c>
      <c r="I628" s="2" t="str">
        <f t="shared" si="6"/>
        <v/>
      </c>
      <c r="J628" s="2" t="b">
        <f t="shared" si="7"/>
        <v>0</v>
      </c>
      <c r="K628" s="2" t="str">
        <f>IFERROR(__xludf.DUMMYFUNCTION("TRIM(JOIN("" "",UNIQUE(TOCOL(ARRAYFORMULA(IF( SPLIT(C628,"" "")=TOCOL(SPLIT(C627,"" "")),SPLIT(C628,"" "")&amp;"" "",""""))))))"),"")</f>
        <v/>
      </c>
      <c r="L628" s="2" t="str">
        <f t="shared" si="1"/>
        <v/>
      </c>
      <c r="M628" s="2">
        <f t="shared" si="2"/>
        <v>625</v>
      </c>
      <c r="AY628" s="2" t="s">
        <v>1292</v>
      </c>
    </row>
    <row r="629">
      <c r="A629" s="2">
        <f t="shared" si="3"/>
        <v>626</v>
      </c>
      <c r="B629" s="1" t="s">
        <v>205</v>
      </c>
      <c r="C629" s="2" t="s">
        <v>1149</v>
      </c>
      <c r="D629" s="2" t="s">
        <v>193</v>
      </c>
      <c r="E629" s="2">
        <v>43.0</v>
      </c>
      <c r="F629" s="2" t="s">
        <v>428</v>
      </c>
      <c r="G629" s="2" t="str">
        <f t="shared" si="4"/>
        <v/>
      </c>
      <c r="H629" s="2" t="str">
        <f t="shared" si="5"/>
        <v/>
      </c>
      <c r="I629" s="2" t="str">
        <f t="shared" si="6"/>
        <v>mismo colegio</v>
      </c>
      <c r="J629" s="2" t="b">
        <f t="shared" si="7"/>
        <v>1</v>
      </c>
      <c r="K629" s="2" t="str">
        <f>IFERROR(__xludf.DUMMYFUNCTION("TRIM(JOIN("" "",UNIQUE(TOCOL(ARRAYFORMULA(IF( SPLIT(C629,"" "")=TOCOL(SPLIT(C628,"" "")),SPLIT(C629,"" "")&amp;"" "",""""))))))"),"")</f>
        <v/>
      </c>
      <c r="L629" s="2" t="str">
        <f t="shared" si="1"/>
        <v/>
      </c>
      <c r="M629" s="2">
        <f t="shared" si="2"/>
        <v>626</v>
      </c>
      <c r="AY629" s="2" t="s">
        <v>738</v>
      </c>
    </row>
    <row r="630">
      <c r="A630" s="2">
        <f t="shared" si="3"/>
        <v>627</v>
      </c>
      <c r="B630" s="1" t="s">
        <v>775</v>
      </c>
      <c r="C630" s="2" t="s">
        <v>797</v>
      </c>
      <c r="D630" s="2" t="s">
        <v>193</v>
      </c>
      <c r="E630" s="2">
        <v>22.0</v>
      </c>
      <c r="F630" s="2" t="s">
        <v>194</v>
      </c>
      <c r="G630" s="2" t="str">
        <f t="shared" si="4"/>
        <v/>
      </c>
      <c r="H630" s="2" t="str">
        <f t="shared" si="5"/>
        <v/>
      </c>
      <c r="I630" s="2" t="str">
        <f t="shared" si="6"/>
        <v/>
      </c>
      <c r="J630" s="2" t="b">
        <f t="shared" si="7"/>
        <v>0</v>
      </c>
      <c r="K630" s="2" t="str">
        <f>IFERROR(__xludf.DUMMYFUNCTION("TRIM(JOIN("" "",UNIQUE(TOCOL(ARRAYFORMULA(IF( SPLIT(C630,"" "")=TOCOL(SPLIT(C629,"" "")),SPLIT(C630,"" "")&amp;"" "",""""))))))"),"")</f>
        <v/>
      </c>
      <c r="L630" s="2" t="str">
        <f t="shared" si="1"/>
        <v/>
      </c>
      <c r="M630" s="2">
        <f t="shared" si="2"/>
        <v>627</v>
      </c>
      <c r="AY630" s="2" t="s">
        <v>410</v>
      </c>
    </row>
    <row r="631">
      <c r="A631" s="2">
        <f t="shared" si="3"/>
        <v>628</v>
      </c>
      <c r="B631" s="1" t="s">
        <v>775</v>
      </c>
      <c r="C631" s="2" t="s">
        <v>797</v>
      </c>
      <c r="D631" s="2" t="s">
        <v>193</v>
      </c>
      <c r="E631" s="2">
        <v>22.0</v>
      </c>
      <c r="F631" s="2" t="s">
        <v>428</v>
      </c>
      <c r="G631" s="2" t="str">
        <f t="shared" si="4"/>
        <v>misma edad</v>
      </c>
      <c r="H631" s="2" t="str">
        <f t="shared" si="5"/>
        <v>mismo nombre</v>
      </c>
      <c r="I631" s="2" t="str">
        <f t="shared" si="6"/>
        <v>mismo colegio</v>
      </c>
      <c r="J631" s="2" t="b">
        <f t="shared" si="7"/>
        <v>0</v>
      </c>
      <c r="K631" s="2" t="str">
        <f>IFERROR(__xludf.DUMMYFUNCTION("TRIM(JOIN("" "",UNIQUE(TOCOL(ARRAYFORMULA(IF( SPLIT(C631,"" "")=TOCOL(SPLIT(C630,"" "")),SPLIT(C631,"" "")&amp;"" "",""""))))))"),"CIPRIAN HUAMAN MILAGROS")</f>
        <v>CIPRIAN HUAMAN MILAGROS</v>
      </c>
      <c r="L631" s="2" t="str">
        <f t="shared" si="1"/>
        <v/>
      </c>
      <c r="M631" s="2">
        <f t="shared" si="2"/>
        <v>627</v>
      </c>
      <c r="AY631" s="2" t="s">
        <v>1449</v>
      </c>
    </row>
    <row r="632">
      <c r="A632" s="2">
        <f t="shared" si="3"/>
        <v>629</v>
      </c>
      <c r="B632" s="1" t="s">
        <v>457</v>
      </c>
      <c r="C632" s="2" t="s">
        <v>492</v>
      </c>
      <c r="D632" s="2" t="s">
        <v>193</v>
      </c>
      <c r="E632" s="2"/>
      <c r="F632" s="2" t="s">
        <v>428</v>
      </c>
      <c r="G632" s="2" t="str">
        <f t="shared" si="4"/>
        <v/>
      </c>
      <c r="H632" s="2" t="str">
        <f t="shared" si="5"/>
        <v/>
      </c>
      <c r="I632" s="2" t="str">
        <f t="shared" si="6"/>
        <v/>
      </c>
      <c r="J632" s="2" t="b">
        <f t="shared" si="7"/>
        <v>1</v>
      </c>
      <c r="K632" s="2" t="str">
        <f>IFERROR(__xludf.DUMMYFUNCTION("TRIM(JOIN("" "",UNIQUE(TOCOL(ARRAYFORMULA(IF( SPLIT(C632,"" "")=TOCOL(SPLIT(C631,"" "")),SPLIT(C632,"" "")&amp;"" "",""""))))))"),"")</f>
        <v/>
      </c>
      <c r="L632" s="2" t="str">
        <f t="shared" si="1"/>
        <v/>
      </c>
      <c r="M632" s="2">
        <f t="shared" si="2"/>
        <v>629</v>
      </c>
      <c r="AY632" s="2" t="s">
        <v>788</v>
      </c>
    </row>
    <row r="633">
      <c r="A633" s="2">
        <f t="shared" si="3"/>
        <v>630</v>
      </c>
      <c r="B633" s="1" t="s">
        <v>693</v>
      </c>
      <c r="C633" s="2" t="s">
        <v>1360</v>
      </c>
      <c r="D633" s="2" t="s">
        <v>193</v>
      </c>
      <c r="E633" s="2">
        <v>38.0</v>
      </c>
      <c r="F633" s="2" t="s">
        <v>428</v>
      </c>
      <c r="G633" s="2" t="str">
        <f t="shared" si="4"/>
        <v/>
      </c>
      <c r="H633" s="2" t="str">
        <f t="shared" si="5"/>
        <v/>
      </c>
      <c r="I633" s="2" t="str">
        <f t="shared" si="6"/>
        <v/>
      </c>
      <c r="J633" s="2" t="b">
        <f t="shared" si="7"/>
        <v>1</v>
      </c>
      <c r="K633" s="2" t="str">
        <f>IFERROR(__xludf.DUMMYFUNCTION("TRIM(JOIN("" "",UNIQUE(TOCOL(ARRAYFORMULA(IF( SPLIT(C633,"" "")=TOCOL(SPLIT(C632,"" "")),SPLIT(C633,"" "")&amp;"" "",""""))))))"),"CHAVEZ")</f>
        <v>CHAVEZ</v>
      </c>
      <c r="L633" s="2" t="str">
        <f t="shared" si="1"/>
        <v/>
      </c>
      <c r="M633" s="2">
        <f t="shared" si="2"/>
        <v>630</v>
      </c>
      <c r="AY633" s="2"/>
    </row>
    <row r="634">
      <c r="A634" s="2">
        <f t="shared" si="3"/>
        <v>631</v>
      </c>
      <c r="B634" s="1" t="s">
        <v>634</v>
      </c>
      <c r="C634" s="2" t="s">
        <v>1479</v>
      </c>
      <c r="D634" s="2" t="s">
        <v>193</v>
      </c>
      <c r="E634" s="2">
        <v>24.0</v>
      </c>
      <c r="F634" s="2" t="s">
        <v>428</v>
      </c>
      <c r="G634" s="2" t="str">
        <f t="shared" si="4"/>
        <v/>
      </c>
      <c r="H634" s="2" t="str">
        <f t="shared" si="5"/>
        <v/>
      </c>
      <c r="I634" s="2" t="str">
        <f t="shared" si="6"/>
        <v/>
      </c>
      <c r="J634" s="2" t="b">
        <f t="shared" si="7"/>
        <v>1</v>
      </c>
      <c r="K634" s="2" t="str">
        <f>IFERROR(__xludf.DUMMYFUNCTION("TRIM(JOIN("" "",UNIQUE(TOCOL(ARRAYFORMULA(IF( SPLIT(C634,"" "")=TOCOL(SPLIT(C633,"" "")),SPLIT(C634,"" "")&amp;"" "",""""))))))"),"CHAVEZ")</f>
        <v>CHAVEZ</v>
      </c>
      <c r="L634" s="2" t="str">
        <f t="shared" si="1"/>
        <v/>
      </c>
      <c r="M634" s="2">
        <f t="shared" si="2"/>
        <v>631</v>
      </c>
    </row>
    <row r="635">
      <c r="A635" s="2">
        <f t="shared" si="3"/>
        <v>632</v>
      </c>
      <c r="B635" s="1" t="s">
        <v>994</v>
      </c>
      <c r="C635" s="2" t="s">
        <v>1200</v>
      </c>
      <c r="D635" s="2" t="s">
        <v>222</v>
      </c>
      <c r="E635" s="2">
        <v>28.0</v>
      </c>
      <c r="F635" s="2" t="s">
        <v>428</v>
      </c>
      <c r="G635" s="2" t="str">
        <f t="shared" si="4"/>
        <v/>
      </c>
      <c r="H635" s="2" t="str">
        <f t="shared" si="5"/>
        <v/>
      </c>
      <c r="I635" s="2" t="str">
        <f t="shared" si="6"/>
        <v/>
      </c>
      <c r="J635" s="2" t="b">
        <f t="shared" si="7"/>
        <v>1</v>
      </c>
      <c r="K635" s="2" t="str">
        <f>IFERROR(__xludf.DUMMYFUNCTION("TRIM(JOIN("" "",UNIQUE(TOCOL(ARRAYFORMULA(IF( SPLIT(C635,"" "")=TOCOL(SPLIT(C634,"" "")),SPLIT(C635,"" "")&amp;"" "",""""))))))"),"CHAVEZ")</f>
        <v>CHAVEZ</v>
      </c>
      <c r="L635" s="2" t="str">
        <f t="shared" si="1"/>
        <v/>
      </c>
      <c r="M635" s="2">
        <f t="shared" si="2"/>
        <v>632</v>
      </c>
    </row>
    <row r="636">
      <c r="A636" s="2">
        <f t="shared" si="3"/>
        <v>633</v>
      </c>
      <c r="B636" s="1" t="s">
        <v>144</v>
      </c>
      <c r="C636" s="2" t="s">
        <v>549</v>
      </c>
      <c r="D636" s="2" t="s">
        <v>222</v>
      </c>
      <c r="E636" s="2">
        <v>40.0</v>
      </c>
      <c r="F636" s="2" t="s">
        <v>194</v>
      </c>
      <c r="G636" s="2" t="str">
        <f t="shared" si="4"/>
        <v/>
      </c>
      <c r="H636" s="2" t="str">
        <f t="shared" si="5"/>
        <v/>
      </c>
      <c r="I636" s="2" t="str">
        <f t="shared" si="6"/>
        <v/>
      </c>
      <c r="J636" s="2" t="b">
        <f t="shared" si="7"/>
        <v>0</v>
      </c>
      <c r="K636" s="2" t="str">
        <f>IFERROR(__xludf.DUMMYFUNCTION("TRIM(JOIN("" "",UNIQUE(TOCOL(ARRAYFORMULA(IF( SPLIT(C636,"" "")=TOCOL(SPLIT(C635,"" "")),SPLIT(C636,"" "")&amp;"" "",""""))))))"),"CHAVEZ")</f>
        <v>CHAVEZ</v>
      </c>
      <c r="L636" s="2" t="str">
        <f t="shared" si="1"/>
        <v/>
      </c>
      <c r="M636" s="2">
        <f t="shared" si="2"/>
        <v>633</v>
      </c>
    </row>
    <row r="637">
      <c r="A637" s="2">
        <f t="shared" si="3"/>
        <v>634</v>
      </c>
      <c r="B637" s="1" t="s">
        <v>968</v>
      </c>
      <c r="C637" s="2" t="s">
        <v>1280</v>
      </c>
      <c r="D637" s="2" t="s">
        <v>193</v>
      </c>
      <c r="E637" s="2">
        <v>38.0</v>
      </c>
      <c r="F637" s="2" t="s">
        <v>428</v>
      </c>
      <c r="G637" s="2" t="str">
        <f t="shared" si="4"/>
        <v/>
      </c>
      <c r="H637" s="2" t="str">
        <f t="shared" si="5"/>
        <v/>
      </c>
      <c r="I637" s="2" t="str">
        <f t="shared" si="6"/>
        <v/>
      </c>
      <c r="J637" s="2" t="b">
        <f t="shared" si="7"/>
        <v>0</v>
      </c>
      <c r="K637" s="2" t="str">
        <f>IFERROR(__xludf.DUMMYFUNCTION("TRIM(JOIN("" "",UNIQUE(TOCOL(ARRAYFORMULA(IF( SPLIT(C637,"" "")=TOCOL(SPLIT(C636,"" "")),SPLIT(C637,"" "")&amp;"" "",""""))))))"),"")</f>
        <v/>
      </c>
      <c r="L637" s="2" t="str">
        <f t="shared" si="1"/>
        <v/>
      </c>
      <c r="M637" s="2">
        <f t="shared" si="2"/>
        <v>634</v>
      </c>
    </row>
    <row r="638">
      <c r="A638" s="2">
        <f t="shared" si="3"/>
        <v>635</v>
      </c>
      <c r="B638" s="1" t="s">
        <v>830</v>
      </c>
      <c r="C638" s="2" t="s">
        <v>1219</v>
      </c>
      <c r="D638" s="2" t="s">
        <v>193</v>
      </c>
      <c r="E638" s="2">
        <v>45.0</v>
      </c>
      <c r="F638" s="2" t="s">
        <v>428</v>
      </c>
      <c r="G638" s="2" t="str">
        <f t="shared" si="4"/>
        <v/>
      </c>
      <c r="H638" s="2" t="str">
        <f t="shared" si="5"/>
        <v/>
      </c>
      <c r="I638" s="2" t="str">
        <f t="shared" si="6"/>
        <v/>
      </c>
      <c r="J638" s="2" t="b">
        <f t="shared" si="7"/>
        <v>1</v>
      </c>
      <c r="K638" s="2" t="str">
        <f>IFERROR(__xludf.DUMMYFUNCTION("TRIM(JOIN("" "",UNIQUE(TOCOL(ARRAYFORMULA(IF( SPLIT(C638,"" "")=TOCOL(SPLIT(C637,"" "")),SPLIT(C638,"" "")&amp;"" "",""""))))))"),"")</f>
        <v/>
      </c>
      <c r="L638" s="2" t="str">
        <f t="shared" si="1"/>
        <v/>
      </c>
      <c r="M638" s="2">
        <f t="shared" si="2"/>
        <v>635</v>
      </c>
    </row>
    <row r="639">
      <c r="A639" s="2">
        <f t="shared" si="3"/>
        <v>636</v>
      </c>
      <c r="B639" s="1" t="s">
        <v>830</v>
      </c>
      <c r="C639" s="2" t="s">
        <v>841</v>
      </c>
      <c r="D639" s="2" t="s">
        <v>193</v>
      </c>
      <c r="E639" s="2"/>
      <c r="F639" s="2" t="s">
        <v>194</v>
      </c>
      <c r="G639" s="2" t="str">
        <f t="shared" si="4"/>
        <v/>
      </c>
      <c r="H639" s="2" t="str">
        <f t="shared" si="5"/>
        <v/>
      </c>
      <c r="I639" s="2" t="str">
        <f t="shared" si="6"/>
        <v>mismo colegio</v>
      </c>
      <c r="J639" s="2" t="b">
        <f t="shared" si="7"/>
        <v>0</v>
      </c>
      <c r="K639" s="2" t="str">
        <f>IFERROR(__xludf.DUMMYFUNCTION("TRIM(JOIN("" "",UNIQUE(TOCOL(ARRAYFORMULA(IF( SPLIT(C639,"" "")=TOCOL(SPLIT(C638,"" "")),SPLIT(C639,"" "")&amp;"" "",""""))))))"),"CELESTINO MATILDE")</f>
        <v>CELESTINO MATILDE</v>
      </c>
      <c r="L639" s="2" t="str">
        <f t="shared" si="1"/>
        <v/>
      </c>
      <c r="M639" s="2">
        <f t="shared" si="2"/>
        <v>636</v>
      </c>
    </row>
    <row r="640">
      <c r="A640" s="2">
        <f t="shared" si="3"/>
        <v>637</v>
      </c>
      <c r="B640" s="1" t="s">
        <v>928</v>
      </c>
      <c r="C640" s="2" t="s">
        <v>1330</v>
      </c>
      <c r="D640" s="2" t="s">
        <v>193</v>
      </c>
      <c r="E640" s="2">
        <v>54.0</v>
      </c>
      <c r="F640" s="2" t="s">
        <v>428</v>
      </c>
      <c r="G640" s="2" t="str">
        <f t="shared" si="4"/>
        <v/>
      </c>
      <c r="H640" s="2" t="str">
        <f t="shared" si="5"/>
        <v/>
      </c>
      <c r="I640" s="2" t="str">
        <f t="shared" si="6"/>
        <v/>
      </c>
      <c r="J640" s="2" t="b">
        <f t="shared" si="7"/>
        <v>0</v>
      </c>
      <c r="K640" s="2" t="str">
        <f>IFERROR(__xludf.DUMMYFUNCTION("TRIM(JOIN("" "",UNIQUE(TOCOL(ARRAYFORMULA(IF( SPLIT(C640,"" "")=TOCOL(SPLIT(C639,"" "")),SPLIT(C640,"" "")&amp;"" "",""""))))))"),"")</f>
        <v/>
      </c>
      <c r="L640" s="2" t="str">
        <f t="shared" si="1"/>
        <v/>
      </c>
      <c r="M640" s="2">
        <f t="shared" si="2"/>
        <v>637</v>
      </c>
    </row>
    <row r="641">
      <c r="A641" s="2">
        <f t="shared" si="3"/>
        <v>638</v>
      </c>
      <c r="B641" s="1" t="s">
        <v>813</v>
      </c>
      <c r="C641" s="2" t="s">
        <v>828</v>
      </c>
      <c r="D641" s="2" t="s">
        <v>193</v>
      </c>
      <c r="E641" s="2">
        <v>34.0</v>
      </c>
      <c r="F641" s="2" t="s">
        <v>194</v>
      </c>
      <c r="G641" s="2" t="str">
        <f t="shared" si="4"/>
        <v/>
      </c>
      <c r="H641" s="2" t="str">
        <f t="shared" si="5"/>
        <v/>
      </c>
      <c r="I641" s="2" t="str">
        <f t="shared" si="6"/>
        <v/>
      </c>
      <c r="J641" s="2" t="b">
        <f t="shared" si="7"/>
        <v>0</v>
      </c>
      <c r="K641" s="2" t="str">
        <f>IFERROR(__xludf.DUMMYFUNCTION("TRIM(JOIN("" "",UNIQUE(TOCOL(ARRAYFORMULA(IF( SPLIT(C641,"" "")=TOCOL(SPLIT(C640,"" "")),SPLIT(C641,"" "")&amp;"" "",""""))))))"),"")</f>
        <v/>
      </c>
      <c r="L641" s="2" t="str">
        <f t="shared" si="1"/>
        <v/>
      </c>
      <c r="M641" s="2">
        <f t="shared" si="2"/>
        <v>638</v>
      </c>
    </row>
    <row r="642">
      <c r="A642" s="2">
        <f t="shared" si="3"/>
        <v>639</v>
      </c>
      <c r="B642" s="1" t="s">
        <v>813</v>
      </c>
      <c r="C642" s="2" t="s">
        <v>828</v>
      </c>
      <c r="D642" s="2" t="s">
        <v>193</v>
      </c>
      <c r="E642" s="2">
        <v>34.0</v>
      </c>
      <c r="F642" s="2" t="s">
        <v>428</v>
      </c>
      <c r="G642" s="2" t="str">
        <f t="shared" si="4"/>
        <v>misma edad</v>
      </c>
      <c r="H642" s="2" t="str">
        <f t="shared" si="5"/>
        <v>mismo nombre</v>
      </c>
      <c r="I642" s="2" t="str">
        <f t="shared" si="6"/>
        <v>mismo colegio</v>
      </c>
      <c r="J642" s="2" t="b">
        <f t="shared" si="7"/>
        <v>0</v>
      </c>
      <c r="K642" s="2" t="str">
        <f>IFERROR(__xludf.DUMMYFUNCTION("TRIM(JOIN("" "",UNIQUE(TOCOL(ARRAYFORMULA(IF( SPLIT(C642,"" "")=TOCOL(SPLIT(C641,"" "")),SPLIT(C642,"" "")&amp;"" "",""""))))))"),"CASTROMONTE ZAMBRANO, CLARA SUSANA")</f>
        <v>CASTROMONTE ZAMBRANO, CLARA SUSANA</v>
      </c>
      <c r="L642" s="2" t="str">
        <f t="shared" si="1"/>
        <v/>
      </c>
      <c r="M642" s="2">
        <f t="shared" si="2"/>
        <v>638</v>
      </c>
    </row>
    <row r="643">
      <c r="A643" s="2">
        <f t="shared" si="3"/>
        <v>640</v>
      </c>
      <c r="B643" s="1" t="s">
        <v>719</v>
      </c>
      <c r="C643" s="2" t="s">
        <v>727</v>
      </c>
      <c r="D643" s="2" t="s">
        <v>193</v>
      </c>
      <c r="E643" s="2">
        <v>43.0</v>
      </c>
      <c r="F643" s="2" t="s">
        <v>194</v>
      </c>
      <c r="G643" s="2" t="str">
        <f t="shared" si="4"/>
        <v/>
      </c>
      <c r="H643" s="2" t="str">
        <f t="shared" si="5"/>
        <v/>
      </c>
      <c r="I643" s="2" t="str">
        <f t="shared" si="6"/>
        <v/>
      </c>
      <c r="J643" s="2" t="b">
        <f t="shared" si="7"/>
        <v>0</v>
      </c>
      <c r="K643" s="2" t="str">
        <f>IFERROR(__xludf.DUMMYFUNCTION("TRIM(JOIN("" "",UNIQUE(TOCOL(ARRAYFORMULA(IF( SPLIT(C643,"" "")=TOCOL(SPLIT(C642,"" "")),SPLIT(C643,"" "")&amp;"" "",""""))))))"),"")</f>
        <v/>
      </c>
      <c r="L643" s="2" t="str">
        <f t="shared" si="1"/>
        <v/>
      </c>
      <c r="M643" s="2">
        <f t="shared" si="2"/>
        <v>640</v>
      </c>
    </row>
    <row r="644">
      <c r="A644" s="2">
        <f t="shared" si="3"/>
        <v>641</v>
      </c>
      <c r="B644" s="1" t="s">
        <v>719</v>
      </c>
      <c r="C644" s="2" t="s">
        <v>727</v>
      </c>
      <c r="D644" s="2" t="s">
        <v>193</v>
      </c>
      <c r="E644" s="2">
        <v>42.0</v>
      </c>
      <c r="F644" s="2" t="s">
        <v>428</v>
      </c>
      <c r="G644" s="2" t="str">
        <f t="shared" si="4"/>
        <v/>
      </c>
      <c r="H644" s="2" t="str">
        <f t="shared" si="5"/>
        <v>mismo nombre</v>
      </c>
      <c r="I644" s="2" t="str">
        <f t="shared" si="6"/>
        <v>mismo colegio</v>
      </c>
      <c r="J644" s="2" t="b">
        <f t="shared" si="7"/>
        <v>0</v>
      </c>
      <c r="K644" s="2" t="str">
        <f>IFERROR(__xludf.DUMMYFUNCTION("TRIM(JOIN("" "",UNIQUE(TOCOL(ARRAYFORMULA(IF( SPLIT(C644,"" "")=TOCOL(SPLIT(C643,"" "")),SPLIT(C644,"" "")&amp;"" "",""""))))))"),"CASTRO VERAMENDI SANTA")</f>
        <v>CASTRO VERAMENDI SANTA</v>
      </c>
      <c r="L644" s="2" t="str">
        <f t="shared" si="1"/>
        <v/>
      </c>
      <c r="M644" s="2">
        <f t="shared" si="2"/>
        <v>640</v>
      </c>
    </row>
    <row r="645">
      <c r="A645" s="2">
        <f t="shared" si="3"/>
        <v>642</v>
      </c>
      <c r="B645" s="1" t="s">
        <v>457</v>
      </c>
      <c r="C645" s="2" t="s">
        <v>487</v>
      </c>
      <c r="D645" s="2" t="s">
        <v>222</v>
      </c>
      <c r="E645" s="2"/>
      <c r="F645" s="2" t="s">
        <v>428</v>
      </c>
      <c r="G645" s="2" t="str">
        <f t="shared" si="4"/>
        <v/>
      </c>
      <c r="H645" s="2" t="str">
        <f t="shared" si="5"/>
        <v/>
      </c>
      <c r="I645" s="2" t="str">
        <f t="shared" si="6"/>
        <v/>
      </c>
      <c r="J645" s="2" t="b">
        <f t="shared" si="7"/>
        <v>1</v>
      </c>
      <c r="K645" s="2" t="str">
        <f>IFERROR(__xludf.DUMMYFUNCTION("TRIM(JOIN("" "",UNIQUE(TOCOL(ARRAYFORMULA(IF( SPLIT(C645,"" "")=TOCOL(SPLIT(C644,"" "")),SPLIT(C645,"" "")&amp;"" "",""""))))))"),"CASTRO")</f>
        <v>CASTRO</v>
      </c>
      <c r="L645" s="2" t="str">
        <f t="shared" si="1"/>
        <v/>
      </c>
      <c r="M645" s="2">
        <f t="shared" si="2"/>
        <v>642</v>
      </c>
    </row>
    <row r="646">
      <c r="A646" s="2">
        <f t="shared" si="3"/>
        <v>643</v>
      </c>
      <c r="B646" s="1" t="s">
        <v>719</v>
      </c>
      <c r="C646" s="2" t="s">
        <v>754</v>
      </c>
      <c r="D646" s="2" t="s">
        <v>250</v>
      </c>
      <c r="E646" s="2">
        <v>55.0</v>
      </c>
      <c r="F646" s="2" t="s">
        <v>194</v>
      </c>
      <c r="G646" s="2" t="str">
        <f t="shared" si="4"/>
        <v/>
      </c>
      <c r="H646" s="2" t="str">
        <f t="shared" si="5"/>
        <v/>
      </c>
      <c r="I646" s="2" t="str">
        <f t="shared" si="6"/>
        <v/>
      </c>
      <c r="J646" s="2" t="b">
        <f t="shared" si="7"/>
        <v>0</v>
      </c>
      <c r="K646" s="2" t="str">
        <f>IFERROR(__xludf.DUMMYFUNCTION("TRIM(JOIN("" "",UNIQUE(TOCOL(ARRAYFORMULA(IF( SPLIT(C646,"" "")=TOCOL(SPLIT(C645,"" "")),SPLIT(C646,"" "")&amp;"" "",""""))))))"),"CASTRO")</f>
        <v>CASTRO</v>
      </c>
      <c r="L646" s="2" t="str">
        <f t="shared" si="1"/>
        <v/>
      </c>
      <c r="M646" s="2">
        <f t="shared" si="2"/>
        <v>643</v>
      </c>
    </row>
    <row r="647">
      <c r="A647" s="2">
        <f t="shared" si="3"/>
        <v>644</v>
      </c>
      <c r="B647" s="1" t="s">
        <v>775</v>
      </c>
      <c r="C647" s="2" t="s">
        <v>1450</v>
      </c>
      <c r="D647" s="2" t="s">
        <v>193</v>
      </c>
      <c r="E647" s="40"/>
      <c r="F647" s="2" t="s">
        <v>428</v>
      </c>
      <c r="G647" s="2" t="str">
        <f t="shared" si="4"/>
        <v/>
      </c>
      <c r="H647" s="2" t="str">
        <f t="shared" si="5"/>
        <v/>
      </c>
      <c r="I647" s="2" t="str">
        <f t="shared" si="6"/>
        <v/>
      </c>
      <c r="J647" s="2" t="b">
        <f t="shared" si="7"/>
        <v>0</v>
      </c>
      <c r="K647" s="2" t="str">
        <f>IFERROR(__xludf.DUMMYFUNCTION("TRIM(JOIN("" "",UNIQUE(TOCOL(ARRAYFORMULA(IF( SPLIT(C647,"" "")=TOCOL(SPLIT(C646,"" "")),SPLIT(C647,"" "")&amp;"" "",""""))))))"),"CASTRO")</f>
        <v>CASTRO</v>
      </c>
      <c r="L647" s="2" t="str">
        <f t="shared" si="1"/>
        <v/>
      </c>
      <c r="M647" s="2">
        <f t="shared" si="2"/>
        <v>644</v>
      </c>
    </row>
    <row r="648">
      <c r="A648" s="2">
        <f t="shared" si="3"/>
        <v>645</v>
      </c>
      <c r="B648" s="1" t="s">
        <v>154</v>
      </c>
      <c r="C648" s="2" t="s">
        <v>518</v>
      </c>
      <c r="D648" s="2" t="s">
        <v>193</v>
      </c>
      <c r="E648" s="2">
        <v>44.0</v>
      </c>
      <c r="F648" s="2" t="s">
        <v>428</v>
      </c>
      <c r="G648" s="2" t="str">
        <f t="shared" si="4"/>
        <v/>
      </c>
      <c r="H648" s="2" t="str">
        <f t="shared" si="5"/>
        <v/>
      </c>
      <c r="I648" s="2" t="str">
        <f t="shared" si="6"/>
        <v/>
      </c>
      <c r="J648" s="2" t="b">
        <f t="shared" si="7"/>
        <v>1</v>
      </c>
      <c r="K648" s="2" t="str">
        <f>IFERROR(__xludf.DUMMYFUNCTION("TRIM(JOIN("" "",UNIQUE(TOCOL(ARRAYFORMULA(IF( SPLIT(C648,"" "")=TOCOL(SPLIT(C647,"" "")),SPLIT(C648,"" "")&amp;"" "",""""))))))"),"CASTRO")</f>
        <v>CASTRO</v>
      </c>
      <c r="L648" s="2" t="str">
        <f t="shared" si="1"/>
        <v/>
      </c>
      <c r="M648" s="2">
        <f t="shared" si="2"/>
        <v>645</v>
      </c>
    </row>
    <row r="649">
      <c r="A649" s="2">
        <f t="shared" si="3"/>
        <v>646</v>
      </c>
      <c r="B649" s="1" t="s">
        <v>144</v>
      </c>
      <c r="C649" s="2" t="s">
        <v>559</v>
      </c>
      <c r="D649" s="2" t="s">
        <v>193</v>
      </c>
      <c r="E649" s="2">
        <v>28.0</v>
      </c>
      <c r="F649" s="2" t="s">
        <v>194</v>
      </c>
      <c r="G649" s="2" t="str">
        <f t="shared" si="4"/>
        <v/>
      </c>
      <c r="H649" s="2" t="str">
        <f t="shared" si="5"/>
        <v/>
      </c>
      <c r="I649" s="2" t="str">
        <f t="shared" si="6"/>
        <v/>
      </c>
      <c r="J649" s="2" t="b">
        <f t="shared" si="7"/>
        <v>0</v>
      </c>
      <c r="K649" s="2" t="str">
        <f>IFERROR(__xludf.DUMMYFUNCTION("TRIM(JOIN("" "",UNIQUE(TOCOL(ARRAYFORMULA(IF( SPLIT(C649,"" "")=TOCOL(SPLIT(C648,"" "")),SPLIT(C649,"" "")&amp;"" "",""""))))))"),"CASTRO")</f>
        <v>CASTRO</v>
      </c>
      <c r="L649" s="2" t="str">
        <f t="shared" si="1"/>
        <v/>
      </c>
      <c r="M649" s="2">
        <f t="shared" si="2"/>
        <v>646</v>
      </c>
    </row>
    <row r="650">
      <c r="A650" s="2">
        <f t="shared" si="3"/>
        <v>647</v>
      </c>
      <c r="B650" s="1" t="s">
        <v>144</v>
      </c>
      <c r="C650" s="2" t="s">
        <v>569</v>
      </c>
      <c r="D650" s="2" t="s">
        <v>193</v>
      </c>
      <c r="E650" s="2"/>
      <c r="F650" s="2" t="s">
        <v>428</v>
      </c>
      <c r="G650" s="2" t="str">
        <f t="shared" si="4"/>
        <v/>
      </c>
      <c r="H650" s="2" t="str">
        <f t="shared" si="5"/>
        <v/>
      </c>
      <c r="I650" s="2" t="str">
        <f t="shared" si="6"/>
        <v>mismo colegio</v>
      </c>
      <c r="J650" s="2" t="b">
        <f t="shared" si="7"/>
        <v>0</v>
      </c>
      <c r="K650" s="2" t="str">
        <f>IFERROR(__xludf.DUMMYFUNCTION("TRIM(JOIN("" "",UNIQUE(TOCOL(ARRAYFORMULA(IF( SPLIT(C650,"" "")=TOCOL(SPLIT(C649,"" "")),SPLIT(C650,"" "")&amp;"" "",""""))))))"),"CASTRO")</f>
        <v>CASTRO</v>
      </c>
      <c r="L650" s="2" t="str">
        <f t="shared" si="1"/>
        <v/>
      </c>
      <c r="M650" s="2">
        <f t="shared" si="2"/>
        <v>647</v>
      </c>
    </row>
    <row r="651">
      <c r="A651" s="2">
        <f t="shared" si="3"/>
        <v>648</v>
      </c>
      <c r="B651" s="1" t="s">
        <v>144</v>
      </c>
      <c r="C651" s="2" t="s">
        <v>550</v>
      </c>
      <c r="D651" s="2" t="s">
        <v>193</v>
      </c>
      <c r="E651" s="2">
        <v>30.0</v>
      </c>
      <c r="F651" s="2" t="s">
        <v>194</v>
      </c>
      <c r="G651" s="2" t="str">
        <f t="shared" si="4"/>
        <v/>
      </c>
      <c r="H651" s="2" t="str">
        <f t="shared" si="5"/>
        <v/>
      </c>
      <c r="I651" s="2" t="str">
        <f t="shared" si="6"/>
        <v>mismo colegio</v>
      </c>
      <c r="J651" s="2" t="b">
        <f t="shared" si="7"/>
        <v>0</v>
      </c>
      <c r="K651" s="2" t="str">
        <f>IFERROR(__xludf.DUMMYFUNCTION("TRIM(JOIN("" "",UNIQUE(TOCOL(ARRAYFORMULA(IF( SPLIT(C651,"" "")=TOCOL(SPLIT(C650,"" "")),SPLIT(C651,"" "")&amp;"" "",""""))))))"),"CASTRO")</f>
        <v>CASTRO</v>
      </c>
      <c r="L651" s="2" t="str">
        <f t="shared" si="1"/>
        <v/>
      </c>
      <c r="M651" s="2">
        <f t="shared" si="2"/>
        <v>648</v>
      </c>
    </row>
    <row r="652">
      <c r="A652" s="2">
        <f t="shared" si="3"/>
        <v>649</v>
      </c>
      <c r="B652" s="1" t="s">
        <v>719</v>
      </c>
      <c r="C652" s="2" t="s">
        <v>756</v>
      </c>
      <c r="D652" s="2" t="s">
        <v>193</v>
      </c>
      <c r="E652" s="2">
        <v>40.0</v>
      </c>
      <c r="F652" s="2" t="s">
        <v>194</v>
      </c>
      <c r="G652" s="2" t="str">
        <f t="shared" si="4"/>
        <v/>
      </c>
      <c r="H652" s="2" t="str">
        <f t="shared" si="5"/>
        <v/>
      </c>
      <c r="I652" s="2" t="str">
        <f t="shared" si="6"/>
        <v/>
      </c>
      <c r="J652" s="2" t="b">
        <f t="shared" si="7"/>
        <v>1</v>
      </c>
      <c r="K652" s="2" t="str">
        <f>IFERROR(__xludf.DUMMYFUNCTION("TRIM(JOIN("" "",UNIQUE(TOCOL(ARRAYFORMULA(IF( SPLIT(C652,"" "")=TOCOL(SPLIT(C651,"" "")),SPLIT(C652,"" "")&amp;"" "",""""))))))"),"CASTRO")</f>
        <v>CASTRO</v>
      </c>
      <c r="L652" s="2" t="str">
        <f t="shared" si="1"/>
        <v/>
      </c>
      <c r="M652" s="2">
        <f t="shared" si="2"/>
        <v>649</v>
      </c>
    </row>
    <row r="653">
      <c r="A653" s="2">
        <f t="shared" si="3"/>
        <v>650</v>
      </c>
      <c r="B653" s="1" t="s">
        <v>719</v>
      </c>
      <c r="C653" s="2" t="s">
        <v>756</v>
      </c>
      <c r="D653" s="2" t="s">
        <v>193</v>
      </c>
      <c r="E653" s="40"/>
      <c r="F653" s="2" t="s">
        <v>428</v>
      </c>
      <c r="G653" s="2" t="str">
        <f t="shared" si="4"/>
        <v/>
      </c>
      <c r="H653" s="2" t="str">
        <f t="shared" si="5"/>
        <v>mismo nombre</v>
      </c>
      <c r="I653" s="2" t="str">
        <f t="shared" si="6"/>
        <v>mismo colegio</v>
      </c>
      <c r="J653" s="2" t="b">
        <f t="shared" si="7"/>
        <v>0</v>
      </c>
      <c r="K653" s="2" t="str">
        <f>IFERROR(__xludf.DUMMYFUNCTION("TRIM(JOIN("" "",UNIQUE(TOCOL(ARRAYFORMULA(IF( SPLIT(C653,"" "")=TOCOL(SPLIT(C652,"" "")),SPLIT(C653,"" "")&amp;"" "",""""))))))"),"CASTRO ALBORNOZ ELVA")</f>
        <v>CASTRO ALBORNOZ ELVA</v>
      </c>
      <c r="L653" s="2" t="str">
        <f t="shared" si="1"/>
        <v/>
      </c>
      <c r="M653" s="2">
        <f t="shared" si="2"/>
        <v>649</v>
      </c>
    </row>
    <row r="654">
      <c r="A654" s="2">
        <f t="shared" si="3"/>
        <v>651</v>
      </c>
      <c r="B654" s="1" t="s">
        <v>813</v>
      </c>
      <c r="C654" s="2" t="s">
        <v>822</v>
      </c>
      <c r="D654" s="2" t="s">
        <v>193</v>
      </c>
      <c r="E654" s="2">
        <v>23.0</v>
      </c>
      <c r="F654" s="2" t="s">
        <v>194</v>
      </c>
      <c r="G654" s="2" t="str">
        <f t="shared" si="4"/>
        <v/>
      </c>
      <c r="H654" s="2" t="str">
        <f t="shared" si="5"/>
        <v/>
      </c>
      <c r="I654" s="2" t="str">
        <f t="shared" si="6"/>
        <v/>
      </c>
      <c r="J654" s="2" t="b">
        <f t="shared" si="7"/>
        <v>0</v>
      </c>
      <c r="K654" s="2" t="str">
        <f>IFERROR(__xludf.DUMMYFUNCTION("TRIM(JOIN("" "",UNIQUE(TOCOL(ARRAYFORMULA(IF( SPLIT(C654,"" "")=TOCOL(SPLIT(C653,"" "")),SPLIT(C654,"" "")&amp;"" "",""""))))))"),"")</f>
        <v/>
      </c>
      <c r="L654" s="2" t="str">
        <f t="shared" si="1"/>
        <v/>
      </c>
      <c r="M654" s="2">
        <f t="shared" si="2"/>
        <v>651</v>
      </c>
    </row>
    <row r="655">
      <c r="A655" s="2">
        <f t="shared" si="3"/>
        <v>652</v>
      </c>
      <c r="B655" s="1" t="s">
        <v>813</v>
      </c>
      <c r="C655" s="2" t="s">
        <v>822</v>
      </c>
      <c r="D655" s="2" t="s">
        <v>193</v>
      </c>
      <c r="E655" s="2">
        <v>23.0</v>
      </c>
      <c r="F655" s="2" t="s">
        <v>428</v>
      </c>
      <c r="G655" s="2" t="str">
        <f t="shared" si="4"/>
        <v>misma edad</v>
      </c>
      <c r="H655" s="2" t="str">
        <f t="shared" si="5"/>
        <v>mismo nombre</v>
      </c>
      <c r="I655" s="2" t="str">
        <f t="shared" si="6"/>
        <v>mismo colegio</v>
      </c>
      <c r="J655" s="2" t="b">
        <f t="shared" si="7"/>
        <v>0</v>
      </c>
      <c r="K655" s="2" t="str">
        <f>IFERROR(__xludf.DUMMYFUNCTION("TRIM(JOIN("" "",UNIQUE(TOCOL(ARRAYFORMULA(IF( SPLIT(C655,"" "")=TOCOL(SPLIT(C654,"" "")),SPLIT(C655,"" "")&amp;"" "",""""))))))"),"CASTILLO TORRES, ISABEL")</f>
        <v>CASTILLO TORRES, ISABEL</v>
      </c>
      <c r="L655" s="2" t="str">
        <f t="shared" si="1"/>
        <v/>
      </c>
      <c r="M655" s="2">
        <f t="shared" si="2"/>
        <v>651</v>
      </c>
    </row>
    <row r="656">
      <c r="A656" s="2">
        <f t="shared" si="3"/>
        <v>653</v>
      </c>
      <c r="B656" s="1" t="s">
        <v>595</v>
      </c>
      <c r="C656" s="2" t="s">
        <v>612</v>
      </c>
      <c r="D656" s="2" t="s">
        <v>222</v>
      </c>
      <c r="E656" s="2">
        <v>35.0</v>
      </c>
      <c r="F656" s="2" t="s">
        <v>194</v>
      </c>
      <c r="G656" s="2" t="str">
        <f t="shared" si="4"/>
        <v/>
      </c>
      <c r="H656" s="2" t="str">
        <f t="shared" si="5"/>
        <v/>
      </c>
      <c r="I656" s="2" t="str">
        <f t="shared" si="6"/>
        <v/>
      </c>
      <c r="J656" s="2" t="b">
        <f t="shared" si="7"/>
        <v>0</v>
      </c>
      <c r="K656" s="2" t="str">
        <f>IFERROR(__xludf.DUMMYFUNCTION("TRIM(JOIN("" "",UNIQUE(TOCOL(ARRAYFORMULA(IF( SPLIT(C656,"" "")=TOCOL(SPLIT(C655,"" "")),SPLIT(C656,"" "")&amp;"" "",""""))))))"),"CASTILLO")</f>
        <v>CASTILLO</v>
      </c>
      <c r="L656" s="2" t="str">
        <f t="shared" si="1"/>
        <v/>
      </c>
      <c r="M656" s="2">
        <f t="shared" si="2"/>
        <v>653</v>
      </c>
    </row>
    <row r="657">
      <c r="A657" s="2">
        <f t="shared" si="3"/>
        <v>654</v>
      </c>
      <c r="B657" s="1" t="s">
        <v>775</v>
      </c>
      <c r="C657" s="2" t="s">
        <v>787</v>
      </c>
      <c r="D657" s="2" t="s">
        <v>193</v>
      </c>
      <c r="E657" s="2">
        <v>41.0</v>
      </c>
      <c r="F657" s="2" t="s">
        <v>194</v>
      </c>
      <c r="G657" s="2" t="str">
        <f t="shared" si="4"/>
        <v/>
      </c>
      <c r="H657" s="2" t="str">
        <f t="shared" si="5"/>
        <v/>
      </c>
      <c r="I657" s="2" t="str">
        <f t="shared" si="6"/>
        <v/>
      </c>
      <c r="J657" s="2" t="b">
        <f t="shared" si="7"/>
        <v>1</v>
      </c>
      <c r="K657" s="2" t="str">
        <f>IFERROR(__xludf.DUMMYFUNCTION("TRIM(JOIN("" "",UNIQUE(TOCOL(ARRAYFORMULA(IF( SPLIT(C657,"" "")=TOCOL(SPLIT(C656,"" "")),SPLIT(C657,"" "")&amp;"" "",""""))))))"),"CASTILLO")</f>
        <v>CASTILLO</v>
      </c>
      <c r="L657" s="2" t="str">
        <f t="shared" si="1"/>
        <v/>
      </c>
      <c r="M657" s="2">
        <f t="shared" si="2"/>
        <v>654</v>
      </c>
    </row>
    <row r="658">
      <c r="A658" s="2">
        <f t="shared" si="3"/>
        <v>655</v>
      </c>
      <c r="B658" s="1" t="s">
        <v>775</v>
      </c>
      <c r="C658" s="2" t="s">
        <v>787</v>
      </c>
      <c r="D658" s="2" t="s">
        <v>193</v>
      </c>
      <c r="E658" s="2">
        <v>41.0</v>
      </c>
      <c r="F658" s="2" t="s">
        <v>428</v>
      </c>
      <c r="G658" s="2" t="str">
        <f t="shared" si="4"/>
        <v>misma edad</v>
      </c>
      <c r="H658" s="2" t="str">
        <f t="shared" si="5"/>
        <v>mismo nombre</v>
      </c>
      <c r="I658" s="2" t="str">
        <f t="shared" si="6"/>
        <v>mismo colegio</v>
      </c>
      <c r="J658" s="2" t="b">
        <f t="shared" si="7"/>
        <v>0</v>
      </c>
      <c r="K658" s="2" t="str">
        <f>IFERROR(__xludf.DUMMYFUNCTION("TRIM(JOIN("" "",UNIQUE(TOCOL(ARRAYFORMULA(IF( SPLIT(C658,"" "")=TOCOL(SPLIT(C657,"" "")),SPLIT(C658,"" "")&amp;"" "",""""))))))"),"CASTILLO AGUIRRE CELIA")</f>
        <v>CASTILLO AGUIRRE CELIA</v>
      </c>
      <c r="L658" s="2" t="str">
        <f t="shared" si="1"/>
        <v/>
      </c>
      <c r="M658" s="2">
        <f t="shared" si="2"/>
        <v>654</v>
      </c>
    </row>
    <row r="659">
      <c r="A659" s="2">
        <f t="shared" si="3"/>
        <v>656</v>
      </c>
      <c r="B659" s="1" t="s">
        <v>573</v>
      </c>
      <c r="C659" s="2" t="s">
        <v>1177</v>
      </c>
      <c r="D659" s="2" t="s">
        <v>193</v>
      </c>
      <c r="E659" s="2">
        <v>26.0</v>
      </c>
      <c r="F659" s="2" t="s">
        <v>428</v>
      </c>
      <c r="G659" s="2" t="str">
        <f t="shared" si="4"/>
        <v/>
      </c>
      <c r="H659" s="2" t="str">
        <f t="shared" si="5"/>
        <v/>
      </c>
      <c r="I659" s="2" t="str">
        <f t="shared" si="6"/>
        <v/>
      </c>
      <c r="J659" s="2" t="b">
        <f t="shared" si="7"/>
        <v>1</v>
      </c>
      <c r="K659" s="2" t="str">
        <f>IFERROR(__xludf.DUMMYFUNCTION("TRIM(JOIN("" "",UNIQUE(TOCOL(ARRAYFORMULA(IF( SPLIT(C659,"" "")=TOCOL(SPLIT(C658,"" "")),SPLIT(C659,"" "")&amp;"" "",""""))))))"),"")</f>
        <v/>
      </c>
      <c r="L659" s="2" t="str">
        <f t="shared" si="1"/>
        <v/>
      </c>
      <c r="M659" s="2">
        <f t="shared" si="2"/>
        <v>656</v>
      </c>
    </row>
    <row r="660">
      <c r="A660" s="2">
        <f t="shared" si="3"/>
        <v>657</v>
      </c>
      <c r="B660" s="1" t="s">
        <v>634</v>
      </c>
      <c r="C660" s="2" t="s">
        <v>1481</v>
      </c>
      <c r="D660" s="2" t="s">
        <v>193</v>
      </c>
      <c r="E660" s="2">
        <v>22.0</v>
      </c>
      <c r="F660" s="2" t="s">
        <v>428</v>
      </c>
      <c r="G660" s="2" t="str">
        <f t="shared" si="4"/>
        <v/>
      </c>
      <c r="H660" s="2" t="str">
        <f t="shared" si="5"/>
        <v/>
      </c>
      <c r="I660" s="2" t="str">
        <f t="shared" si="6"/>
        <v/>
      </c>
      <c r="J660" s="2" t="b">
        <f t="shared" si="7"/>
        <v>1</v>
      </c>
      <c r="K660" s="2" t="str">
        <f>IFERROR(__xludf.DUMMYFUNCTION("TRIM(JOIN("" "",UNIQUE(TOCOL(ARRAYFORMULA(IF( SPLIT(C660,"" "")=TOCOL(SPLIT(C659,"" "")),SPLIT(C660,"" "")&amp;"" "",""""))))))"),"")</f>
        <v/>
      </c>
      <c r="L660" s="2" t="str">
        <f t="shared" si="1"/>
        <v/>
      </c>
      <c r="M660" s="2">
        <f t="shared" si="2"/>
        <v>657</v>
      </c>
    </row>
    <row r="661">
      <c r="A661" s="2">
        <f t="shared" si="3"/>
        <v>658</v>
      </c>
      <c r="B661" s="1" t="s">
        <v>226</v>
      </c>
      <c r="C661" s="2" t="s">
        <v>313</v>
      </c>
      <c r="D661" s="2" t="s">
        <v>193</v>
      </c>
      <c r="E661" s="2">
        <v>30.0</v>
      </c>
      <c r="F661" s="2" t="s">
        <v>194</v>
      </c>
      <c r="G661" s="2" t="str">
        <f t="shared" si="4"/>
        <v/>
      </c>
      <c r="H661" s="2" t="str">
        <f t="shared" si="5"/>
        <v/>
      </c>
      <c r="I661" s="2" t="str">
        <f t="shared" si="6"/>
        <v/>
      </c>
      <c r="J661" s="2" t="b">
        <f t="shared" si="7"/>
        <v>0</v>
      </c>
      <c r="K661" s="2" t="str">
        <f>IFERROR(__xludf.DUMMYFUNCTION("TRIM(JOIN("" "",UNIQUE(TOCOL(ARRAYFORMULA(IF( SPLIT(C661,"" "")=TOCOL(SPLIT(C660,"" "")),SPLIT(C661,"" "")&amp;"" "",""""))))))"),"")</f>
        <v/>
      </c>
      <c r="L661" s="2" t="str">
        <f t="shared" si="1"/>
        <v/>
      </c>
      <c r="M661" s="2">
        <f t="shared" si="2"/>
        <v>658</v>
      </c>
    </row>
    <row r="662">
      <c r="A662" s="2">
        <f t="shared" si="3"/>
        <v>659</v>
      </c>
      <c r="B662" s="1" t="s">
        <v>226</v>
      </c>
      <c r="C662" s="2" t="s">
        <v>313</v>
      </c>
      <c r="D662" s="2" t="s">
        <v>193</v>
      </c>
      <c r="E662" s="2">
        <v>30.0</v>
      </c>
      <c r="F662" s="2" t="s">
        <v>428</v>
      </c>
      <c r="G662" s="2" t="str">
        <f t="shared" si="4"/>
        <v>misma edad</v>
      </c>
      <c r="H662" s="2" t="str">
        <f t="shared" si="5"/>
        <v>mismo nombre</v>
      </c>
      <c r="I662" s="2" t="str">
        <f t="shared" si="6"/>
        <v>mismo colegio</v>
      </c>
      <c r="J662" s="2" t="b">
        <f t="shared" si="7"/>
        <v>0</v>
      </c>
      <c r="K662" s="2" t="str">
        <f>IFERROR(__xludf.DUMMYFUNCTION("TRIM(JOIN("" "",UNIQUE(TOCOL(ARRAYFORMULA(IF( SPLIT(C662,"" "")=TOCOL(SPLIT(C661,"" "")),SPLIT(C662,"" "")&amp;"" "",""""))))))"),"CARMEN GARAY ZERPA")</f>
        <v>CARMEN GARAY ZERPA</v>
      </c>
      <c r="L662" s="2" t="str">
        <f t="shared" si="1"/>
        <v/>
      </c>
      <c r="M662" s="2">
        <f t="shared" si="2"/>
        <v>658</v>
      </c>
    </row>
    <row r="663">
      <c r="A663" s="2">
        <f t="shared" si="3"/>
        <v>660</v>
      </c>
      <c r="B663" s="1" t="s">
        <v>911</v>
      </c>
      <c r="C663" s="2" t="s">
        <v>1044</v>
      </c>
      <c r="D663" s="2" t="s">
        <v>193</v>
      </c>
      <c r="E663" s="2">
        <v>48.0</v>
      </c>
      <c r="F663" s="2" t="s">
        <v>194</v>
      </c>
      <c r="G663" s="2" t="str">
        <f t="shared" si="4"/>
        <v/>
      </c>
      <c r="H663" s="2" t="str">
        <f t="shared" si="5"/>
        <v/>
      </c>
      <c r="I663" s="2" t="str">
        <f t="shared" si="6"/>
        <v/>
      </c>
      <c r="J663" s="2" t="b">
        <f t="shared" si="7"/>
        <v>0</v>
      </c>
      <c r="K663" s="2" t="str">
        <f>IFERROR(__xludf.DUMMYFUNCTION("TRIM(JOIN("" "",UNIQUE(TOCOL(ARRAYFORMULA(IF( SPLIT(C663,"" "")=TOCOL(SPLIT(C662,"" "")),SPLIT(C663,"" "")&amp;"" "",""""))))))"),"CARMEN")</f>
        <v>CARMEN</v>
      </c>
      <c r="L663" s="2" t="str">
        <f t="shared" si="1"/>
        <v/>
      </c>
      <c r="M663" s="2">
        <f t="shared" si="2"/>
        <v>660</v>
      </c>
    </row>
    <row r="664">
      <c r="A664" s="2">
        <f t="shared" si="3"/>
        <v>661</v>
      </c>
      <c r="B664" s="1" t="s">
        <v>144</v>
      </c>
      <c r="C664" s="2" t="s">
        <v>526</v>
      </c>
      <c r="D664" s="2" t="s">
        <v>193</v>
      </c>
      <c r="E664" s="2">
        <v>25.0</v>
      </c>
      <c r="F664" s="2" t="s">
        <v>194</v>
      </c>
      <c r="G664" s="2" t="str">
        <f t="shared" si="4"/>
        <v/>
      </c>
      <c r="H664" s="2" t="str">
        <f t="shared" si="5"/>
        <v/>
      </c>
      <c r="I664" s="2" t="str">
        <f t="shared" si="6"/>
        <v/>
      </c>
      <c r="J664" s="2" t="b">
        <f t="shared" si="7"/>
        <v>1</v>
      </c>
      <c r="K664" s="2" t="str">
        <f>IFERROR(__xludf.DUMMYFUNCTION("TRIM(JOIN("" "",UNIQUE(TOCOL(ARRAYFORMULA(IF( SPLIT(C664,"" "")=TOCOL(SPLIT(C663,"" "")),SPLIT(C664,"" "")&amp;"" "",""""))))))"),"")</f>
        <v/>
      </c>
      <c r="L664" s="2" t="str">
        <f t="shared" si="1"/>
        <v/>
      </c>
      <c r="M664" s="2">
        <f t="shared" si="2"/>
        <v>661</v>
      </c>
    </row>
    <row r="665">
      <c r="A665" s="2">
        <f t="shared" si="3"/>
        <v>662</v>
      </c>
      <c r="B665" s="1" t="s">
        <v>719</v>
      </c>
      <c r="C665" s="2" t="s">
        <v>1437</v>
      </c>
      <c r="D665" s="2" t="s">
        <v>193</v>
      </c>
      <c r="E665" s="2">
        <v>32.0</v>
      </c>
      <c r="F665" s="2" t="s">
        <v>428</v>
      </c>
      <c r="G665" s="2" t="str">
        <f t="shared" si="4"/>
        <v/>
      </c>
      <c r="H665" s="2" t="str">
        <f t="shared" si="5"/>
        <v/>
      </c>
      <c r="I665" s="2" t="str">
        <f t="shared" si="6"/>
        <v/>
      </c>
      <c r="J665" s="2" t="b">
        <f t="shared" si="7"/>
        <v>0</v>
      </c>
      <c r="K665" s="2" t="str">
        <f>IFERROR(__xludf.DUMMYFUNCTION("TRIM(JOIN("" "",UNIQUE(TOCOL(ARRAYFORMULA(IF( SPLIT(C665,"" "")=TOCOL(SPLIT(C664,"" "")),SPLIT(C665,"" "")&amp;"" "",""""))))))"),"")</f>
        <v/>
      </c>
      <c r="L665" s="2" t="str">
        <f t="shared" si="1"/>
        <v/>
      </c>
      <c r="M665" s="2">
        <f t="shared" si="2"/>
        <v>662</v>
      </c>
    </row>
    <row r="666">
      <c r="A666" s="2">
        <f t="shared" si="3"/>
        <v>663</v>
      </c>
      <c r="B666" s="1" t="s">
        <v>994</v>
      </c>
      <c r="C666" s="2" t="s">
        <v>1202</v>
      </c>
      <c r="D666" s="2" t="s">
        <v>222</v>
      </c>
      <c r="E666" s="2">
        <v>40.0</v>
      </c>
      <c r="F666" s="2" t="s">
        <v>428</v>
      </c>
      <c r="G666" s="2" t="str">
        <f t="shared" si="4"/>
        <v/>
      </c>
      <c r="H666" s="2" t="str">
        <f t="shared" si="5"/>
        <v/>
      </c>
      <c r="I666" s="2" t="str">
        <f t="shared" si="6"/>
        <v/>
      </c>
      <c r="J666" s="2" t="b">
        <f t="shared" si="7"/>
        <v>1</v>
      </c>
      <c r="K666" s="2" t="str">
        <f>IFERROR(__xludf.DUMMYFUNCTION("TRIM(JOIN("" "",UNIQUE(TOCOL(ARRAYFORMULA(IF( SPLIT(C666,"" "")=TOCOL(SPLIT(C665,"" "")),SPLIT(C666,"" "")&amp;"" "",""""))))))"),"")</f>
        <v/>
      </c>
      <c r="L666" s="2" t="str">
        <f t="shared" si="1"/>
        <v/>
      </c>
      <c r="M666" s="2">
        <f t="shared" si="2"/>
        <v>663</v>
      </c>
    </row>
    <row r="667">
      <c r="A667" s="2">
        <f t="shared" si="3"/>
        <v>664</v>
      </c>
      <c r="B667" s="1" t="s">
        <v>634</v>
      </c>
      <c r="C667" s="2" t="s">
        <v>656</v>
      </c>
      <c r="D667" s="2" t="s">
        <v>193</v>
      </c>
      <c r="E667" s="2">
        <v>22.0</v>
      </c>
      <c r="F667" s="2" t="s">
        <v>194</v>
      </c>
      <c r="G667" s="2" t="str">
        <f t="shared" si="4"/>
        <v/>
      </c>
      <c r="H667" s="2" t="str">
        <f t="shared" si="5"/>
        <v/>
      </c>
      <c r="I667" s="2" t="str">
        <f t="shared" si="6"/>
        <v/>
      </c>
      <c r="J667" s="2" t="b">
        <f t="shared" si="7"/>
        <v>0</v>
      </c>
      <c r="K667" s="2" t="str">
        <f>IFERROR(__xludf.DUMMYFUNCTION("TRIM(JOIN("" "",UNIQUE(TOCOL(ARRAYFORMULA(IF( SPLIT(C667,"" "")=TOCOL(SPLIT(C666,"" "")),SPLIT(C667,"" "")&amp;"" "",""""))))))"),"")</f>
        <v/>
      </c>
      <c r="L667" s="2" t="str">
        <f t="shared" si="1"/>
        <v/>
      </c>
      <c r="M667" s="2">
        <f t="shared" si="2"/>
        <v>664</v>
      </c>
    </row>
    <row r="668">
      <c r="A668" s="2">
        <f t="shared" si="3"/>
        <v>665</v>
      </c>
      <c r="B668" s="1" t="s">
        <v>634</v>
      </c>
      <c r="C668" s="2" t="s">
        <v>656</v>
      </c>
      <c r="D668" s="2" t="s">
        <v>193</v>
      </c>
      <c r="E668" s="2">
        <v>22.0</v>
      </c>
      <c r="F668" s="2" t="s">
        <v>428</v>
      </c>
      <c r="G668" s="2" t="str">
        <f t="shared" si="4"/>
        <v>misma edad</v>
      </c>
      <c r="H668" s="2" t="str">
        <f t="shared" si="5"/>
        <v>mismo nombre</v>
      </c>
      <c r="I668" s="2" t="str">
        <f t="shared" si="6"/>
        <v>mismo colegio</v>
      </c>
      <c r="J668" s="2" t="b">
        <f t="shared" si="7"/>
        <v>0</v>
      </c>
      <c r="K668" s="2" t="str">
        <f>IFERROR(__xludf.DUMMYFUNCTION("TRIM(JOIN("" "",UNIQUE(TOCOL(ARRAYFORMULA(IF( SPLIT(C668,"" "")=TOCOL(SPLIT(C667,"" "")),SPLIT(C668,"" "")&amp;"" "",""""))))))"),"CAMILOAGA RAMIREZ KATY LUZ")</f>
        <v>CAMILOAGA RAMIREZ KATY LUZ</v>
      </c>
      <c r="L668" s="2" t="str">
        <f t="shared" si="1"/>
        <v/>
      </c>
      <c r="M668" s="2">
        <f t="shared" si="2"/>
        <v>664</v>
      </c>
    </row>
    <row r="669">
      <c r="A669" s="2">
        <f t="shared" si="3"/>
        <v>666</v>
      </c>
      <c r="B669" s="1" t="s">
        <v>634</v>
      </c>
      <c r="C669" s="2" t="s">
        <v>654</v>
      </c>
      <c r="D669" s="2" t="s">
        <v>222</v>
      </c>
      <c r="E669" s="2">
        <v>49.0</v>
      </c>
      <c r="F669" s="2" t="s">
        <v>194</v>
      </c>
      <c r="G669" s="2" t="str">
        <f t="shared" si="4"/>
        <v/>
      </c>
      <c r="H669" s="2" t="str">
        <f t="shared" si="5"/>
        <v/>
      </c>
      <c r="I669" s="2" t="str">
        <f t="shared" si="6"/>
        <v>mismo colegio</v>
      </c>
      <c r="J669" s="2" t="b">
        <f t="shared" si="7"/>
        <v>0</v>
      </c>
      <c r="K669" s="2" t="str">
        <f>IFERROR(__xludf.DUMMYFUNCTION("TRIM(JOIN("" "",UNIQUE(TOCOL(ARRAYFORMULA(IF( SPLIT(C669,"" "")=TOCOL(SPLIT(C668,"" "")),SPLIT(C669,"" "")&amp;"" "",""""))))))"),"CAMILOAGA")</f>
        <v>CAMILOAGA</v>
      </c>
      <c r="L669" s="2" t="str">
        <f t="shared" si="1"/>
        <v/>
      </c>
      <c r="M669" s="2">
        <f t="shared" si="2"/>
        <v>666</v>
      </c>
    </row>
    <row r="670">
      <c r="A670" s="2">
        <f t="shared" si="3"/>
        <v>667</v>
      </c>
      <c r="B670" s="1" t="s">
        <v>693</v>
      </c>
      <c r="C670" s="2" t="s">
        <v>1368</v>
      </c>
      <c r="D670" s="2" t="s">
        <v>193</v>
      </c>
      <c r="E670" s="2">
        <v>35.0</v>
      </c>
      <c r="F670" s="2" t="s">
        <v>428</v>
      </c>
      <c r="G670" s="2" t="str">
        <f t="shared" si="4"/>
        <v/>
      </c>
      <c r="H670" s="2" t="str">
        <f t="shared" si="5"/>
        <v/>
      </c>
      <c r="I670" s="2" t="str">
        <f t="shared" si="6"/>
        <v/>
      </c>
      <c r="J670" s="2" t="b">
        <f t="shared" si="7"/>
        <v>0</v>
      </c>
      <c r="K670" s="2" t="str">
        <f>IFERROR(__xludf.DUMMYFUNCTION("TRIM(JOIN("" "",UNIQUE(TOCOL(ARRAYFORMULA(IF( SPLIT(C670,"" "")=TOCOL(SPLIT(C669,"" "")),SPLIT(C670,"" "")&amp;"" "",""""))))))"),"")</f>
        <v/>
      </c>
      <c r="L670" s="2" t="str">
        <f t="shared" si="1"/>
        <v/>
      </c>
      <c r="M670" s="2">
        <f t="shared" si="2"/>
        <v>667</v>
      </c>
    </row>
    <row r="671">
      <c r="A671" s="2">
        <f t="shared" si="3"/>
        <v>668</v>
      </c>
      <c r="B671" s="1" t="s">
        <v>830</v>
      </c>
      <c r="C671" s="2" t="s">
        <v>1225</v>
      </c>
      <c r="D671" s="2" t="s">
        <v>193</v>
      </c>
      <c r="E671" s="2">
        <v>26.0</v>
      </c>
      <c r="F671" s="2" t="s">
        <v>428</v>
      </c>
      <c r="G671" s="2" t="str">
        <f t="shared" si="4"/>
        <v/>
      </c>
      <c r="H671" s="2" t="str">
        <f t="shared" si="5"/>
        <v/>
      </c>
      <c r="I671" s="2" t="str">
        <f t="shared" si="6"/>
        <v/>
      </c>
      <c r="J671" s="2" t="b">
        <f t="shared" si="7"/>
        <v>1</v>
      </c>
      <c r="K671" s="2" t="str">
        <f>IFERROR(__xludf.DUMMYFUNCTION("TRIM(JOIN("" "",UNIQUE(TOCOL(ARRAYFORMULA(IF( SPLIT(C671,"" "")=TOCOL(SPLIT(C670,"" "")),SPLIT(C671,"" "")&amp;"" "",""""))))))"),"")</f>
        <v/>
      </c>
      <c r="L671" s="2" t="str">
        <f t="shared" si="1"/>
        <v/>
      </c>
      <c r="M671" s="2">
        <f t="shared" si="2"/>
        <v>668</v>
      </c>
    </row>
    <row r="672">
      <c r="A672" s="2">
        <f t="shared" si="3"/>
        <v>669</v>
      </c>
      <c r="B672" s="1" t="s">
        <v>693</v>
      </c>
      <c r="C672" s="2" t="s">
        <v>695</v>
      </c>
      <c r="D672" s="2" t="s">
        <v>222</v>
      </c>
      <c r="E672" s="2">
        <v>30.0</v>
      </c>
      <c r="F672" s="2" t="s">
        <v>194</v>
      </c>
      <c r="G672" s="2" t="str">
        <f t="shared" si="4"/>
        <v/>
      </c>
      <c r="H672" s="2" t="str">
        <f t="shared" si="5"/>
        <v/>
      </c>
      <c r="I672" s="2" t="str">
        <f t="shared" si="6"/>
        <v/>
      </c>
      <c r="J672" s="2" t="b">
        <f t="shared" si="7"/>
        <v>0</v>
      </c>
      <c r="K672" s="2" t="str">
        <f>IFERROR(__xludf.DUMMYFUNCTION("TRIM(JOIN("" "",UNIQUE(TOCOL(ARRAYFORMULA(IF( SPLIT(C672,"" "")=TOCOL(SPLIT(C671,"" "")),SPLIT(C672,"" "")&amp;"" "",""""))))))"),"")</f>
        <v/>
      </c>
      <c r="L672" s="2" t="str">
        <f t="shared" si="1"/>
        <v/>
      </c>
      <c r="M672" s="2">
        <f t="shared" si="2"/>
        <v>669</v>
      </c>
    </row>
    <row r="673">
      <c r="A673" s="2">
        <f t="shared" si="3"/>
        <v>670</v>
      </c>
      <c r="B673" s="1" t="s">
        <v>719</v>
      </c>
      <c r="C673" s="2" t="s">
        <v>1411</v>
      </c>
      <c r="D673" s="2" t="s">
        <v>193</v>
      </c>
      <c r="E673" s="2">
        <v>25.0</v>
      </c>
      <c r="F673" s="2" t="s">
        <v>428</v>
      </c>
      <c r="G673" s="2" t="str">
        <f t="shared" si="4"/>
        <v/>
      </c>
      <c r="H673" s="2" t="str">
        <f t="shared" si="5"/>
        <v/>
      </c>
      <c r="I673" s="2" t="str">
        <f t="shared" si="6"/>
        <v/>
      </c>
      <c r="J673" s="2" t="b">
        <f t="shared" si="7"/>
        <v>0</v>
      </c>
      <c r="K673" s="2" t="str">
        <f>IFERROR(__xludf.DUMMYFUNCTION("TRIM(JOIN("" "",UNIQUE(TOCOL(ARRAYFORMULA(IF( SPLIT(C673,"" "")=TOCOL(SPLIT(C672,"" "")),SPLIT(C673,"" "")&amp;"" "",""""))))))"),"CALDERON")</f>
        <v>CALDERON</v>
      </c>
      <c r="L673" s="2" t="str">
        <f t="shared" si="1"/>
        <v/>
      </c>
      <c r="M673" s="2">
        <f t="shared" si="2"/>
        <v>670</v>
      </c>
    </row>
    <row r="674">
      <c r="A674" s="2">
        <f t="shared" si="3"/>
        <v>671</v>
      </c>
      <c r="B674" s="1" t="s">
        <v>693</v>
      </c>
      <c r="C674" s="2" t="s">
        <v>705</v>
      </c>
      <c r="D674" s="2" t="s">
        <v>193</v>
      </c>
      <c r="E674" s="2">
        <v>26.0</v>
      </c>
      <c r="F674" s="2" t="s">
        <v>194</v>
      </c>
      <c r="G674" s="2" t="str">
        <f t="shared" si="4"/>
        <v/>
      </c>
      <c r="H674" s="2" t="str">
        <f t="shared" si="5"/>
        <v/>
      </c>
      <c r="I674" s="2" t="str">
        <f t="shared" si="6"/>
        <v/>
      </c>
      <c r="J674" s="2" t="b">
        <f t="shared" si="7"/>
        <v>0</v>
      </c>
      <c r="K674" s="2" t="str">
        <f>IFERROR(__xludf.DUMMYFUNCTION("TRIM(JOIN("" "",UNIQUE(TOCOL(ARRAYFORMULA(IF( SPLIT(C674,"" "")=TOCOL(SPLIT(C673,"" "")),SPLIT(C674,"" "")&amp;"" "",""""))))))"),"")</f>
        <v/>
      </c>
      <c r="L674" s="2" t="str">
        <f t="shared" si="1"/>
        <v/>
      </c>
      <c r="M674" s="2">
        <f t="shared" si="2"/>
        <v>671</v>
      </c>
    </row>
    <row r="675">
      <c r="A675" s="2">
        <f t="shared" si="3"/>
        <v>672</v>
      </c>
      <c r="B675" s="1" t="s">
        <v>626</v>
      </c>
      <c r="C675" s="2" t="s">
        <v>892</v>
      </c>
      <c r="D675" s="2" t="s">
        <v>193</v>
      </c>
      <c r="E675" s="2">
        <v>37.0</v>
      </c>
      <c r="F675" s="2" t="s">
        <v>194</v>
      </c>
      <c r="G675" s="2" t="str">
        <f t="shared" si="4"/>
        <v/>
      </c>
      <c r="H675" s="2" t="str">
        <f t="shared" si="5"/>
        <v/>
      </c>
      <c r="I675" s="2" t="str">
        <f t="shared" si="6"/>
        <v/>
      </c>
      <c r="J675" s="2" t="b">
        <f t="shared" si="7"/>
        <v>1</v>
      </c>
      <c r="K675" s="2" t="str">
        <f>IFERROR(__xludf.DUMMYFUNCTION("TRIM(JOIN("" "",UNIQUE(TOCOL(ARRAYFORMULA(IF( SPLIT(C675,"" "")=TOCOL(SPLIT(C674,"" "")),SPLIT(C675,"" "")&amp;"" "",""""))))))"),"")</f>
        <v/>
      </c>
      <c r="L675" s="2" t="str">
        <f t="shared" si="1"/>
        <v/>
      </c>
      <c r="M675" s="2">
        <f t="shared" si="2"/>
        <v>672</v>
      </c>
    </row>
    <row r="676">
      <c r="A676" s="2">
        <f t="shared" si="3"/>
        <v>673</v>
      </c>
      <c r="B676" s="1" t="s">
        <v>626</v>
      </c>
      <c r="C676" s="2" t="s">
        <v>892</v>
      </c>
      <c r="D676" s="2" t="s">
        <v>193</v>
      </c>
      <c r="E676" s="2">
        <v>37.0</v>
      </c>
      <c r="F676" s="2" t="s">
        <v>428</v>
      </c>
      <c r="G676" s="2" t="str">
        <f t="shared" si="4"/>
        <v>misma edad</v>
      </c>
      <c r="H676" s="2" t="str">
        <f t="shared" si="5"/>
        <v>mismo nombre</v>
      </c>
      <c r="I676" s="2" t="str">
        <f t="shared" si="6"/>
        <v>mismo colegio</v>
      </c>
      <c r="J676" s="2" t="b">
        <f t="shared" si="7"/>
        <v>0</v>
      </c>
      <c r="K676" s="2" t="str">
        <f>IFERROR(__xludf.DUMMYFUNCTION("TRIM(JOIN("" "",UNIQUE(TOCOL(ARRAYFORMULA(IF( SPLIT(C676,"" "")=TOCOL(SPLIT(C675,"" "")),SPLIT(C676,"" "")&amp;"" "",""""))))))"),"CADILLO PALACIOS ESTHER")</f>
        <v>CADILLO PALACIOS ESTHER</v>
      </c>
      <c r="L676" s="2" t="str">
        <f t="shared" si="1"/>
        <v/>
      </c>
      <c r="M676" s="2">
        <f t="shared" si="2"/>
        <v>672</v>
      </c>
    </row>
    <row r="677">
      <c r="A677" s="2">
        <f t="shared" si="3"/>
        <v>674</v>
      </c>
      <c r="B677" s="1" t="s">
        <v>902</v>
      </c>
      <c r="C677" s="2" t="s">
        <v>909</v>
      </c>
      <c r="D677" s="2" t="s">
        <v>193</v>
      </c>
      <c r="E677" s="2">
        <v>35.0</v>
      </c>
      <c r="F677" s="2" t="s">
        <v>194</v>
      </c>
      <c r="G677" s="2" t="str">
        <f t="shared" si="4"/>
        <v/>
      </c>
      <c r="H677" s="2" t="str">
        <f t="shared" si="5"/>
        <v/>
      </c>
      <c r="I677" s="2" t="str">
        <f t="shared" si="6"/>
        <v/>
      </c>
      <c r="J677" s="2" t="b">
        <f t="shared" si="7"/>
        <v>0</v>
      </c>
      <c r="K677" s="2" t="str">
        <f>IFERROR(__xludf.DUMMYFUNCTION("TRIM(JOIN("" "",UNIQUE(TOCOL(ARRAYFORMULA(IF( SPLIT(C677,"" "")=TOCOL(SPLIT(C676,"" "")),SPLIT(C677,"" "")&amp;"" "",""""))))))"),"CADILLO")</f>
        <v>CADILLO</v>
      </c>
      <c r="L677" s="2" t="str">
        <f t="shared" si="1"/>
        <v/>
      </c>
      <c r="M677" s="2">
        <f t="shared" si="2"/>
        <v>674</v>
      </c>
    </row>
    <row r="678">
      <c r="A678" s="2">
        <f t="shared" si="3"/>
        <v>675</v>
      </c>
      <c r="B678" s="1" t="s">
        <v>902</v>
      </c>
      <c r="C678" s="2" t="s">
        <v>909</v>
      </c>
      <c r="D678" s="2" t="s">
        <v>193</v>
      </c>
      <c r="E678" s="2">
        <v>35.0</v>
      </c>
      <c r="F678" s="2" t="s">
        <v>428</v>
      </c>
      <c r="G678" s="2" t="str">
        <f t="shared" si="4"/>
        <v>misma edad</v>
      </c>
      <c r="H678" s="2" t="str">
        <f t="shared" si="5"/>
        <v>mismo nombre</v>
      </c>
      <c r="I678" s="2" t="str">
        <f t="shared" si="6"/>
        <v>mismo colegio</v>
      </c>
      <c r="J678" s="2" t="b">
        <f t="shared" si="7"/>
        <v>0</v>
      </c>
      <c r="K678" s="2" t="str">
        <f>IFERROR(__xludf.DUMMYFUNCTION("TRIM(JOIN("" "",UNIQUE(TOCOL(ARRAYFORMULA(IF( SPLIT(C678,"" "")=TOCOL(SPLIT(C677,"" "")),SPLIT(C678,"" "")&amp;"" "",""""))))))"),"CADILLO ELENA")</f>
        <v>CADILLO ELENA</v>
      </c>
      <c r="L678" s="2" t="str">
        <f t="shared" si="1"/>
        <v/>
      </c>
      <c r="M678" s="2">
        <f t="shared" si="2"/>
        <v>674</v>
      </c>
    </row>
    <row r="679">
      <c r="A679" s="2">
        <f t="shared" si="3"/>
        <v>676</v>
      </c>
      <c r="B679" s="1" t="s">
        <v>144</v>
      </c>
      <c r="C679" s="2" t="s">
        <v>540</v>
      </c>
      <c r="D679" s="2" t="s">
        <v>193</v>
      </c>
      <c r="E679" s="2">
        <v>60.0</v>
      </c>
      <c r="F679" s="2" t="s">
        <v>194</v>
      </c>
      <c r="G679" s="2" t="str">
        <f t="shared" si="4"/>
        <v/>
      </c>
      <c r="H679" s="2" t="str">
        <f t="shared" si="5"/>
        <v/>
      </c>
      <c r="I679" s="2" t="str">
        <f t="shared" si="6"/>
        <v/>
      </c>
      <c r="J679" s="2" t="b">
        <f t="shared" si="7"/>
        <v>0</v>
      </c>
      <c r="K679" s="2" t="str">
        <f>IFERROR(__xludf.DUMMYFUNCTION("TRIM(JOIN("" "",UNIQUE(TOCOL(ARRAYFORMULA(IF( SPLIT(C679,"" "")=TOCOL(SPLIT(C678,"" "")),SPLIT(C679,"" "")&amp;"" "",""""))))))"),"")</f>
        <v/>
      </c>
      <c r="L679" s="2" t="str">
        <f t="shared" si="1"/>
        <v/>
      </c>
      <c r="M679" s="2">
        <f t="shared" si="2"/>
        <v>676</v>
      </c>
    </row>
    <row r="680">
      <c r="A680" s="2">
        <f t="shared" si="3"/>
        <v>677</v>
      </c>
      <c r="B680" s="1" t="s">
        <v>830</v>
      </c>
      <c r="C680" s="2" t="s">
        <v>832</v>
      </c>
      <c r="D680" s="2" t="s">
        <v>193</v>
      </c>
      <c r="E680" s="2">
        <v>34.0</v>
      </c>
      <c r="F680" s="2" t="s">
        <v>194</v>
      </c>
      <c r="G680" s="2" t="str">
        <f t="shared" si="4"/>
        <v/>
      </c>
      <c r="H680" s="2" t="str">
        <f t="shared" si="5"/>
        <v/>
      </c>
      <c r="I680" s="2" t="str">
        <f t="shared" si="6"/>
        <v/>
      </c>
      <c r="J680" s="2" t="b">
        <f t="shared" si="7"/>
        <v>1</v>
      </c>
      <c r="K680" s="2" t="str">
        <f>IFERROR(__xludf.DUMMYFUNCTION("TRIM(JOIN("" "",UNIQUE(TOCOL(ARRAYFORMULA(IF( SPLIT(C680,"" "")=TOCOL(SPLIT(C679,"" "")),SPLIT(C680,"" "")&amp;"" "",""""))))))"),"CABRERA")</f>
        <v>CABRERA</v>
      </c>
      <c r="L680" s="2" t="str">
        <f t="shared" si="1"/>
        <v/>
      </c>
      <c r="M680" s="2">
        <f t="shared" si="2"/>
        <v>677</v>
      </c>
    </row>
    <row r="681">
      <c r="A681" s="2">
        <f t="shared" si="3"/>
        <v>678</v>
      </c>
      <c r="B681" s="1" t="s">
        <v>830</v>
      </c>
      <c r="C681" s="2" t="s">
        <v>832</v>
      </c>
      <c r="D681" s="2" t="s">
        <v>193</v>
      </c>
      <c r="E681" s="2">
        <v>35.0</v>
      </c>
      <c r="F681" s="2" t="s">
        <v>428</v>
      </c>
      <c r="G681" s="2" t="str">
        <f t="shared" si="4"/>
        <v/>
      </c>
      <c r="H681" s="2" t="str">
        <f t="shared" si="5"/>
        <v>mismo nombre</v>
      </c>
      <c r="I681" s="2" t="str">
        <f t="shared" si="6"/>
        <v>mismo colegio</v>
      </c>
      <c r="J681" s="2" t="b">
        <f t="shared" si="7"/>
        <v>0</v>
      </c>
      <c r="K681" s="2" t="str">
        <f>IFERROR(__xludf.DUMMYFUNCTION("TRIM(JOIN("" "",UNIQUE(TOCOL(ARRAYFORMULA(IF( SPLIT(C681,"" "")=TOCOL(SPLIT(C680,"" "")),SPLIT(C681,"" "")&amp;"" "",""""))))))"),"CABRERA LAGUNA, RAISA")</f>
        <v>CABRERA LAGUNA, RAISA</v>
      </c>
      <c r="L681" s="2" t="str">
        <f t="shared" si="1"/>
        <v/>
      </c>
      <c r="M681" s="2">
        <f t="shared" si="2"/>
        <v>677</v>
      </c>
    </row>
    <row r="682">
      <c r="A682" s="2">
        <f t="shared" si="3"/>
        <v>679</v>
      </c>
      <c r="B682" s="1" t="s">
        <v>144</v>
      </c>
      <c r="C682" s="2" t="s">
        <v>536</v>
      </c>
      <c r="D682" s="2" t="s">
        <v>193</v>
      </c>
      <c r="E682" s="2">
        <v>22.0</v>
      </c>
      <c r="F682" s="2" t="s">
        <v>194</v>
      </c>
      <c r="G682" s="2" t="str">
        <f t="shared" si="4"/>
        <v/>
      </c>
      <c r="H682" s="2" t="str">
        <f t="shared" si="5"/>
        <v/>
      </c>
      <c r="I682" s="2" t="str">
        <f t="shared" si="6"/>
        <v/>
      </c>
      <c r="J682" s="2" t="b">
        <f t="shared" si="7"/>
        <v>0</v>
      </c>
      <c r="K682" s="2" t="str">
        <f>IFERROR(__xludf.DUMMYFUNCTION("TRIM(JOIN("" "",UNIQUE(TOCOL(ARRAYFORMULA(IF( SPLIT(C682,"" "")=TOCOL(SPLIT(C681,"" "")),SPLIT(C682,"" "")&amp;"" "",""""))))))"),"")</f>
        <v/>
      </c>
      <c r="L682" s="2" t="str">
        <f t="shared" si="1"/>
        <v/>
      </c>
      <c r="M682" s="2">
        <f t="shared" si="2"/>
        <v>679</v>
      </c>
    </row>
    <row r="683">
      <c r="A683" s="2">
        <f t="shared" si="3"/>
        <v>680</v>
      </c>
      <c r="B683" s="1" t="s">
        <v>830</v>
      </c>
      <c r="C683" s="2" t="s">
        <v>868</v>
      </c>
      <c r="D683" s="2" t="s">
        <v>193</v>
      </c>
      <c r="E683" s="2">
        <v>21.0</v>
      </c>
      <c r="F683" s="2" t="s">
        <v>194</v>
      </c>
      <c r="G683" s="2" t="str">
        <f t="shared" si="4"/>
        <v/>
      </c>
      <c r="H683" s="2" t="str">
        <f t="shared" si="5"/>
        <v/>
      </c>
      <c r="I683" s="2" t="str">
        <f t="shared" si="6"/>
        <v/>
      </c>
      <c r="J683" s="2" t="b">
        <f t="shared" si="7"/>
        <v>1</v>
      </c>
      <c r="K683" s="2" t="str">
        <f>IFERROR(__xludf.DUMMYFUNCTION("TRIM(JOIN("" "",UNIQUE(TOCOL(ARRAYFORMULA(IF( SPLIT(C683,"" "")=TOCOL(SPLIT(C682,"" "")),SPLIT(C683,"" "")&amp;"" "",""""))))))"),"")</f>
        <v/>
      </c>
      <c r="L683" s="2" t="str">
        <f t="shared" si="1"/>
        <v/>
      </c>
      <c r="M683" s="2">
        <f t="shared" si="2"/>
        <v>680</v>
      </c>
    </row>
    <row r="684">
      <c r="A684" s="2">
        <f t="shared" si="3"/>
        <v>681</v>
      </c>
      <c r="B684" s="1" t="s">
        <v>830</v>
      </c>
      <c r="C684" s="2" t="s">
        <v>868</v>
      </c>
      <c r="D684" s="2" t="s">
        <v>193</v>
      </c>
      <c r="E684" s="2">
        <v>21.0</v>
      </c>
      <c r="F684" s="2" t="s">
        <v>428</v>
      </c>
      <c r="G684" s="2" t="str">
        <f t="shared" si="4"/>
        <v>misma edad</v>
      </c>
      <c r="H684" s="2" t="str">
        <f t="shared" si="5"/>
        <v>mismo nombre</v>
      </c>
      <c r="I684" s="2" t="str">
        <f t="shared" si="6"/>
        <v>mismo colegio</v>
      </c>
      <c r="J684" s="2" t="b">
        <f t="shared" si="7"/>
        <v>0</v>
      </c>
      <c r="K684" s="2" t="str">
        <f>IFERROR(__xludf.DUMMYFUNCTION("TRIM(JOIN("" "",UNIQUE(TOCOL(ARRAYFORMULA(IF( SPLIT(C684,"" "")=TOCOL(SPLIT(C683,"" "")),SPLIT(C684,"" "")&amp;"" "",""""))))))"),"BUSTOS SALCEDO, ZADITH STEPHANIE")</f>
        <v>BUSTOS SALCEDO, ZADITH STEPHANIE</v>
      </c>
      <c r="L684" s="2" t="str">
        <f t="shared" si="1"/>
        <v/>
      </c>
      <c r="M684" s="2">
        <f t="shared" si="2"/>
        <v>680</v>
      </c>
    </row>
    <row r="685">
      <c r="A685" s="2">
        <f t="shared" si="3"/>
        <v>682</v>
      </c>
      <c r="B685" s="1" t="s">
        <v>830</v>
      </c>
      <c r="C685" s="2" t="s">
        <v>874</v>
      </c>
      <c r="D685" s="2" t="s">
        <v>193</v>
      </c>
      <c r="E685" s="2">
        <v>27.0</v>
      </c>
      <c r="F685" s="2" t="s">
        <v>194</v>
      </c>
      <c r="G685" s="2" t="str">
        <f t="shared" si="4"/>
        <v/>
      </c>
      <c r="H685" s="2" t="str">
        <f t="shared" si="5"/>
        <v/>
      </c>
      <c r="I685" s="2" t="str">
        <f t="shared" si="6"/>
        <v>mismo colegio</v>
      </c>
      <c r="J685" s="2" t="b">
        <f t="shared" si="7"/>
        <v>0</v>
      </c>
      <c r="K685" s="2" t="str">
        <f>IFERROR(__xludf.DUMMYFUNCTION("TRIM(JOIN("" "",UNIQUE(TOCOL(ARRAYFORMULA(IF( SPLIT(C685,"" "")=TOCOL(SPLIT(C684,"" "")),SPLIT(C685,"" "")&amp;"" "",""""))))))"),"BUSTOS SALCEDO,")</f>
        <v>BUSTOS SALCEDO,</v>
      </c>
      <c r="L685" s="2" t="str">
        <f t="shared" si="1"/>
        <v/>
      </c>
      <c r="M685" s="2">
        <f t="shared" si="2"/>
        <v>682</v>
      </c>
    </row>
    <row r="686">
      <c r="A686" s="2">
        <f t="shared" si="3"/>
        <v>683</v>
      </c>
      <c r="B686" s="1" t="s">
        <v>830</v>
      </c>
      <c r="C686" s="2" t="s">
        <v>874</v>
      </c>
      <c r="D686" s="2" t="s">
        <v>193</v>
      </c>
      <c r="E686" s="2">
        <v>27.0</v>
      </c>
      <c r="F686" s="2" t="s">
        <v>428</v>
      </c>
      <c r="G686" s="2" t="str">
        <f t="shared" si="4"/>
        <v>misma edad</v>
      </c>
      <c r="H686" s="2" t="str">
        <f t="shared" si="5"/>
        <v>mismo nombre</v>
      </c>
      <c r="I686" s="2" t="str">
        <f t="shared" si="6"/>
        <v>mismo colegio</v>
      </c>
      <c r="J686" s="2" t="b">
        <f t="shared" si="7"/>
        <v>0</v>
      </c>
      <c r="K686" s="2" t="str">
        <f>IFERROR(__xludf.DUMMYFUNCTION("TRIM(JOIN("" "",UNIQUE(TOCOL(ARRAYFORMULA(IF( SPLIT(C686,"" "")=TOCOL(SPLIT(C685,"" "")),SPLIT(C686,"" "")&amp;"" "",""""))))))"),"BUSTOS SALCEDO, JUVI MIRELLA")</f>
        <v>BUSTOS SALCEDO, JUVI MIRELLA</v>
      </c>
      <c r="L686" s="2" t="str">
        <f t="shared" si="1"/>
        <v/>
      </c>
      <c r="M686" s="2">
        <f t="shared" si="2"/>
        <v>682</v>
      </c>
    </row>
    <row r="687">
      <c r="A687" s="2">
        <f t="shared" si="3"/>
        <v>684</v>
      </c>
      <c r="B687" s="1" t="s">
        <v>719</v>
      </c>
      <c r="C687" s="2" t="s">
        <v>752</v>
      </c>
      <c r="D687" s="2" t="s">
        <v>250</v>
      </c>
      <c r="E687" s="2">
        <v>22.0</v>
      </c>
      <c r="F687" s="2" t="s">
        <v>194</v>
      </c>
      <c r="G687" s="2" t="str">
        <f t="shared" si="4"/>
        <v/>
      </c>
      <c r="H687" s="2" t="str">
        <f t="shared" si="5"/>
        <v/>
      </c>
      <c r="I687" s="2" t="str">
        <f t="shared" si="6"/>
        <v/>
      </c>
      <c r="J687" s="2" t="b">
        <f t="shared" si="7"/>
        <v>0</v>
      </c>
      <c r="K687" s="2" t="str">
        <f>IFERROR(__xludf.DUMMYFUNCTION("TRIM(JOIN("" "",UNIQUE(TOCOL(ARRAYFORMULA(IF( SPLIT(C687,"" "")=TOCOL(SPLIT(C686,"" "")),SPLIT(C687,"" "")&amp;"" "",""""))))))"),"")</f>
        <v/>
      </c>
      <c r="L687" s="2" t="str">
        <f t="shared" si="1"/>
        <v/>
      </c>
      <c r="M687" s="2">
        <f t="shared" si="2"/>
        <v>684</v>
      </c>
    </row>
    <row r="688">
      <c r="A688" s="2">
        <f t="shared" si="3"/>
        <v>685</v>
      </c>
      <c r="B688" s="1" t="s">
        <v>719</v>
      </c>
      <c r="C688" s="2" t="s">
        <v>771</v>
      </c>
      <c r="D688" s="2" t="s">
        <v>193</v>
      </c>
      <c r="E688" s="2" t="s">
        <v>644</v>
      </c>
      <c r="F688" s="2" t="s">
        <v>194</v>
      </c>
      <c r="G688" s="2" t="str">
        <f t="shared" si="4"/>
        <v/>
      </c>
      <c r="H688" s="2" t="str">
        <f t="shared" si="5"/>
        <v/>
      </c>
      <c r="I688" s="2" t="str">
        <f t="shared" si="6"/>
        <v>mismo colegio</v>
      </c>
      <c r="J688" s="2" t="b">
        <f t="shared" si="7"/>
        <v>1</v>
      </c>
      <c r="K688" s="2" t="str">
        <f>IFERROR(__xludf.DUMMYFUNCTION("TRIM(JOIN("" "",UNIQUE(TOCOL(ARRAYFORMULA(IF( SPLIT(C688,"" "")=TOCOL(SPLIT(C687,"" "")),SPLIT(C688,"" "")&amp;"" "",""""))))))"),"BRIOSO")</f>
        <v>BRIOSO</v>
      </c>
      <c r="L688" s="2" t="str">
        <f t="shared" si="1"/>
        <v/>
      </c>
      <c r="M688" s="2">
        <f t="shared" si="2"/>
        <v>685</v>
      </c>
    </row>
    <row r="689">
      <c r="A689" s="2">
        <f t="shared" si="3"/>
        <v>686</v>
      </c>
      <c r="B689" s="1" t="s">
        <v>719</v>
      </c>
      <c r="C689" s="2" t="s">
        <v>771</v>
      </c>
      <c r="D689" s="2" t="s">
        <v>193</v>
      </c>
      <c r="E689" s="40"/>
      <c r="F689" s="2" t="s">
        <v>428</v>
      </c>
      <c r="G689" s="2" t="str">
        <f t="shared" si="4"/>
        <v/>
      </c>
      <c r="H689" s="2" t="str">
        <f t="shared" si="5"/>
        <v>mismo nombre</v>
      </c>
      <c r="I689" s="2" t="str">
        <f t="shared" si="6"/>
        <v>mismo colegio</v>
      </c>
      <c r="J689" s="2" t="b">
        <f t="shared" si="7"/>
        <v>0</v>
      </c>
      <c r="K689" s="2" t="str">
        <f>IFERROR(__xludf.DUMMYFUNCTION("TRIM(JOIN("" "",UNIQUE(TOCOL(ARRAYFORMULA(IF( SPLIT(C689,"" "")=TOCOL(SPLIT(C688,"" "")),SPLIT(C689,"" "")&amp;"" "",""""))))))"),"BRIOSO ANAYA LILI")</f>
        <v>BRIOSO ANAYA LILI</v>
      </c>
      <c r="L689" s="2" t="str">
        <f t="shared" si="1"/>
        <v/>
      </c>
      <c r="M689" s="2">
        <f t="shared" si="2"/>
        <v>685</v>
      </c>
    </row>
    <row r="690">
      <c r="A690" s="2">
        <f t="shared" si="3"/>
        <v>687</v>
      </c>
      <c r="B690" s="1" t="s">
        <v>226</v>
      </c>
      <c r="C690" s="2" t="s">
        <v>1076</v>
      </c>
      <c r="D690" s="2" t="s">
        <v>193</v>
      </c>
      <c r="E690" s="2">
        <v>24.0</v>
      </c>
      <c r="F690" s="2" t="s">
        <v>428</v>
      </c>
      <c r="G690" s="2" t="str">
        <f t="shared" si="4"/>
        <v/>
      </c>
      <c r="H690" s="2" t="str">
        <f t="shared" si="5"/>
        <v/>
      </c>
      <c r="I690" s="2" t="str">
        <f t="shared" si="6"/>
        <v/>
      </c>
      <c r="J690" s="2" t="b">
        <f t="shared" si="7"/>
        <v>1</v>
      </c>
      <c r="K690" s="2" t="str">
        <f>IFERROR(__xludf.DUMMYFUNCTION("TRIM(JOIN("" "",UNIQUE(TOCOL(ARRAYFORMULA(IF( SPLIT(C690,"" "")=TOCOL(SPLIT(C689,"" "")),SPLIT(C690,"" "")&amp;"" "",""""))))))"),"")</f>
        <v/>
      </c>
      <c r="L690" s="2" t="str">
        <f t="shared" si="1"/>
        <v>-&gt;WITH THIS</v>
      </c>
      <c r="M690" s="2">
        <f t="shared" si="2"/>
        <v>687</v>
      </c>
    </row>
    <row r="691">
      <c r="A691" s="2">
        <f t="shared" si="3"/>
        <v>688</v>
      </c>
      <c r="B691" s="1" t="s">
        <v>226</v>
      </c>
      <c r="C691" s="2" t="s">
        <v>232</v>
      </c>
      <c r="D691" s="2" t="s">
        <v>222</v>
      </c>
      <c r="E691" s="2">
        <v>24.0</v>
      </c>
      <c r="F691" s="2" t="s">
        <v>194</v>
      </c>
      <c r="G691" s="2" t="str">
        <f t="shared" si="4"/>
        <v>misma edad</v>
      </c>
      <c r="H691" s="2" t="str">
        <f t="shared" si="5"/>
        <v/>
      </c>
      <c r="I691" s="2" t="str">
        <f t="shared" si="6"/>
        <v>mismo colegio</v>
      </c>
      <c r="J691" s="2" t="b">
        <f t="shared" si="7"/>
        <v>0</v>
      </c>
      <c r="K691" s="2" t="str">
        <f>IFERROR(__xludf.DUMMYFUNCTION("TRIM(JOIN("" "",UNIQUE(TOCOL(ARRAYFORMULA(IF( SPLIT(C691,"" "")=TOCOL(SPLIT(C690,"" "")),SPLIT(C691,"" "")&amp;"" "",""""))))))"),"BRAYAN CARHUAPOMA TARAZONA")</f>
        <v>BRAYAN CARHUAPOMA TARAZONA</v>
      </c>
      <c r="L691" s="2" t="str">
        <f t="shared" si="1"/>
        <v>EVALUAR</v>
      </c>
      <c r="M691" s="2">
        <f t="shared" si="2"/>
        <v>688</v>
      </c>
    </row>
    <row r="692">
      <c r="A692" s="2">
        <f t="shared" si="3"/>
        <v>689</v>
      </c>
      <c r="B692" s="1" t="s">
        <v>584</v>
      </c>
      <c r="C692" s="2" t="s">
        <v>591</v>
      </c>
      <c r="D692" s="2" t="s">
        <v>193</v>
      </c>
      <c r="E692" s="2">
        <v>41.0</v>
      </c>
      <c r="F692" s="2" t="s">
        <v>194</v>
      </c>
      <c r="G692" s="2" t="str">
        <f t="shared" si="4"/>
        <v/>
      </c>
      <c r="H692" s="2" t="str">
        <f t="shared" si="5"/>
        <v/>
      </c>
      <c r="I692" s="2" t="str">
        <f t="shared" si="6"/>
        <v/>
      </c>
      <c r="J692" s="2" t="b">
        <f t="shared" si="7"/>
        <v>1</v>
      </c>
      <c r="K692" s="2" t="str">
        <f>IFERROR(__xludf.DUMMYFUNCTION("TRIM(JOIN("" "",UNIQUE(TOCOL(ARRAYFORMULA(IF( SPLIT(C692,"" "")=TOCOL(SPLIT(C691,"" "")),SPLIT(C692,"" "")&amp;"" "",""""))))))"),"")</f>
        <v/>
      </c>
      <c r="L692" s="2" t="str">
        <f t="shared" si="1"/>
        <v/>
      </c>
      <c r="M692" s="2">
        <f t="shared" si="2"/>
        <v>689</v>
      </c>
    </row>
    <row r="693">
      <c r="A693" s="2">
        <f t="shared" si="3"/>
        <v>690</v>
      </c>
      <c r="B693" s="1" t="s">
        <v>584</v>
      </c>
      <c r="C693" s="2" t="s">
        <v>591</v>
      </c>
      <c r="D693" s="2" t="s">
        <v>193</v>
      </c>
      <c r="E693" s="2">
        <v>41.0</v>
      </c>
      <c r="F693" s="2" t="s">
        <v>428</v>
      </c>
      <c r="G693" s="2" t="str">
        <f t="shared" si="4"/>
        <v>misma edad</v>
      </c>
      <c r="H693" s="2" t="str">
        <f t="shared" si="5"/>
        <v>mismo nombre</v>
      </c>
      <c r="I693" s="2" t="str">
        <f t="shared" si="6"/>
        <v>mismo colegio</v>
      </c>
      <c r="J693" s="2" t="b">
        <f t="shared" si="7"/>
        <v>0</v>
      </c>
      <c r="K693" s="2" t="str">
        <f>IFERROR(__xludf.DUMMYFUNCTION("TRIM(JOIN("" "",UNIQUE(TOCOL(ARRAYFORMULA(IF( SPLIT(C693,"" "")=TOCOL(SPLIT(C692,"" "")),SPLIT(C693,"" "")&amp;"" "",""""))))))"),"BLAZ HUERTA VILMA NANCY")</f>
        <v>BLAZ HUERTA VILMA NANCY</v>
      </c>
      <c r="L693" s="2" t="str">
        <f t="shared" si="1"/>
        <v/>
      </c>
      <c r="M693" s="2">
        <f t="shared" si="2"/>
        <v>689</v>
      </c>
    </row>
    <row r="694">
      <c r="A694" s="2">
        <f t="shared" si="3"/>
        <v>691</v>
      </c>
      <c r="B694" s="1" t="s">
        <v>693</v>
      </c>
      <c r="C694" s="2" t="s">
        <v>699</v>
      </c>
      <c r="D694" s="2" t="s">
        <v>222</v>
      </c>
      <c r="E694" s="2">
        <v>39.0</v>
      </c>
      <c r="F694" s="2" t="s">
        <v>194</v>
      </c>
      <c r="G694" s="2" t="str">
        <f t="shared" si="4"/>
        <v/>
      </c>
      <c r="H694" s="2" t="str">
        <f t="shared" si="5"/>
        <v/>
      </c>
      <c r="I694" s="2" t="str">
        <f t="shared" si="6"/>
        <v/>
      </c>
      <c r="J694" s="2" t="b">
        <f t="shared" si="7"/>
        <v>0</v>
      </c>
      <c r="K694" s="2" t="str">
        <f>IFERROR(__xludf.DUMMYFUNCTION("TRIM(JOIN("" "",UNIQUE(TOCOL(ARRAYFORMULA(IF( SPLIT(C694,"" "")=TOCOL(SPLIT(C693,"" "")),SPLIT(C694,"" "")&amp;"" "",""""))))))"),"")</f>
        <v/>
      </c>
      <c r="L694" s="2" t="str">
        <f t="shared" si="1"/>
        <v/>
      </c>
      <c r="M694" s="2">
        <f t="shared" si="2"/>
        <v>691</v>
      </c>
    </row>
    <row r="695">
      <c r="A695" s="2">
        <f t="shared" si="3"/>
        <v>692</v>
      </c>
      <c r="B695" s="1" t="s">
        <v>719</v>
      </c>
      <c r="C695" s="2" t="s">
        <v>733</v>
      </c>
      <c r="D695" s="2" t="s">
        <v>193</v>
      </c>
      <c r="E695" s="2">
        <v>36.0</v>
      </c>
      <c r="F695" s="2" t="s">
        <v>194</v>
      </c>
      <c r="G695" s="2" t="str">
        <f t="shared" si="4"/>
        <v/>
      </c>
      <c r="H695" s="2" t="str">
        <f t="shared" si="5"/>
        <v/>
      </c>
      <c r="I695" s="2" t="str">
        <f t="shared" si="6"/>
        <v/>
      </c>
      <c r="J695" s="2" t="b">
        <f t="shared" si="7"/>
        <v>1</v>
      </c>
      <c r="K695" s="2" t="str">
        <f>IFERROR(__xludf.DUMMYFUNCTION("TRIM(JOIN("" "",UNIQUE(TOCOL(ARRAYFORMULA(IF( SPLIT(C695,"" "")=TOCOL(SPLIT(C694,"" "")),SPLIT(C695,"" "")&amp;"" "",""""))))))"),"BLAS")</f>
        <v>BLAS</v>
      </c>
      <c r="L695" s="2" t="str">
        <f t="shared" si="1"/>
        <v/>
      </c>
      <c r="M695" s="2">
        <f t="shared" si="2"/>
        <v>692</v>
      </c>
    </row>
    <row r="696">
      <c r="A696" s="2">
        <f t="shared" si="3"/>
        <v>693</v>
      </c>
      <c r="B696" s="1" t="s">
        <v>719</v>
      </c>
      <c r="C696" s="2" t="s">
        <v>733</v>
      </c>
      <c r="D696" s="2" t="s">
        <v>193</v>
      </c>
      <c r="E696" s="2">
        <v>36.0</v>
      </c>
      <c r="F696" s="2" t="s">
        <v>428</v>
      </c>
      <c r="G696" s="2" t="str">
        <f t="shared" si="4"/>
        <v>misma edad</v>
      </c>
      <c r="H696" s="2" t="str">
        <f t="shared" si="5"/>
        <v>mismo nombre</v>
      </c>
      <c r="I696" s="2" t="str">
        <f t="shared" si="6"/>
        <v>mismo colegio</v>
      </c>
      <c r="J696" s="2" t="b">
        <f t="shared" si="7"/>
        <v>0</v>
      </c>
      <c r="K696" s="2" t="str">
        <f>IFERROR(__xludf.DUMMYFUNCTION("TRIM(JOIN("" "",UNIQUE(TOCOL(ARRAYFORMULA(IF( SPLIT(C696,"" "")=TOCOL(SPLIT(C695,"" "")),SPLIT(C696,"" "")&amp;"" "",""""))))))"),"BLAS HUATA MACARIA")</f>
        <v>BLAS HUATA MACARIA</v>
      </c>
      <c r="L696" s="2" t="str">
        <f t="shared" si="1"/>
        <v/>
      </c>
      <c r="M696" s="2">
        <f t="shared" si="2"/>
        <v>692</v>
      </c>
    </row>
    <row r="697">
      <c r="A697" s="2">
        <f t="shared" si="3"/>
        <v>694</v>
      </c>
      <c r="B697" s="1" t="s">
        <v>954</v>
      </c>
      <c r="C697" s="2" t="s">
        <v>956</v>
      </c>
      <c r="D697" s="2" t="s">
        <v>193</v>
      </c>
      <c r="E697" s="2">
        <v>45.0</v>
      </c>
      <c r="F697" s="2" t="s">
        <v>194</v>
      </c>
      <c r="G697" s="2" t="str">
        <f t="shared" si="4"/>
        <v/>
      </c>
      <c r="H697" s="2" t="str">
        <f t="shared" si="5"/>
        <v/>
      </c>
      <c r="I697" s="2" t="str">
        <f t="shared" si="6"/>
        <v/>
      </c>
      <c r="J697" s="2" t="b">
        <f t="shared" si="7"/>
        <v>0</v>
      </c>
      <c r="K697" s="2" t="str">
        <f>IFERROR(__xludf.DUMMYFUNCTION("TRIM(JOIN("" "",UNIQUE(TOCOL(ARRAYFORMULA(IF( SPLIT(C697,"" "")=TOCOL(SPLIT(C696,"" "")),SPLIT(C697,"" "")&amp;"" "",""""))))))"),"")</f>
        <v/>
      </c>
      <c r="L697" s="2" t="str">
        <f t="shared" si="1"/>
        <v/>
      </c>
      <c r="M697" s="2">
        <f t="shared" si="2"/>
        <v>694</v>
      </c>
    </row>
    <row r="698">
      <c r="A698" s="2">
        <f t="shared" si="3"/>
        <v>695</v>
      </c>
      <c r="B698" s="1" t="s">
        <v>954</v>
      </c>
      <c r="C698" s="2" t="s">
        <v>956</v>
      </c>
      <c r="D698" s="2" t="s">
        <v>193</v>
      </c>
      <c r="E698" s="2">
        <v>45.0</v>
      </c>
      <c r="F698" s="2" t="s">
        <v>428</v>
      </c>
      <c r="G698" s="2" t="str">
        <f t="shared" si="4"/>
        <v>misma edad</v>
      </c>
      <c r="H698" s="2" t="str">
        <f t="shared" si="5"/>
        <v>mismo nombre</v>
      </c>
      <c r="I698" s="2" t="str">
        <f t="shared" si="6"/>
        <v>mismo colegio</v>
      </c>
      <c r="J698" s="2" t="b">
        <f t="shared" si="7"/>
        <v>0</v>
      </c>
      <c r="K698" s="2" t="str">
        <f>IFERROR(__xludf.DUMMYFUNCTION("TRIM(JOIN("" "",UNIQUE(TOCOL(ARRAYFORMULA(IF( SPLIT(C698,"" "")=TOCOL(SPLIT(C697,"" "")),SPLIT(C698,"" "")&amp;"" "",""""))))))"),"BLANCA ISIDRO TOSCANO")</f>
        <v>BLANCA ISIDRO TOSCANO</v>
      </c>
      <c r="L698" s="2" t="str">
        <f t="shared" si="1"/>
        <v/>
      </c>
      <c r="M698" s="2">
        <f t="shared" si="2"/>
        <v>694</v>
      </c>
    </row>
    <row r="699">
      <c r="A699" s="2">
        <f t="shared" si="3"/>
        <v>696</v>
      </c>
      <c r="B699" s="1" t="s">
        <v>719</v>
      </c>
      <c r="C699" s="2" t="s">
        <v>741</v>
      </c>
      <c r="D699" s="2" t="s">
        <v>193</v>
      </c>
      <c r="E699" s="2">
        <v>26.0</v>
      </c>
      <c r="F699" s="2" t="s">
        <v>194</v>
      </c>
      <c r="G699" s="2" t="str">
        <f t="shared" si="4"/>
        <v/>
      </c>
      <c r="H699" s="2" t="str">
        <f t="shared" si="5"/>
        <v/>
      </c>
      <c r="I699" s="2" t="str">
        <f t="shared" si="6"/>
        <v/>
      </c>
      <c r="J699" s="2" t="b">
        <f t="shared" si="7"/>
        <v>0</v>
      </c>
      <c r="K699" s="2" t="str">
        <f>IFERROR(__xludf.DUMMYFUNCTION("TRIM(JOIN("" "",UNIQUE(TOCOL(ARRAYFORMULA(IF( SPLIT(C699,"" "")=TOCOL(SPLIT(C698,"" "")),SPLIT(C699,"" "")&amp;"" "",""""))))))"),"")</f>
        <v/>
      </c>
      <c r="L699" s="2" t="str">
        <f t="shared" si="1"/>
        <v/>
      </c>
      <c r="M699" s="2">
        <f t="shared" si="2"/>
        <v>696</v>
      </c>
    </row>
    <row r="700">
      <c r="A700" s="2">
        <f t="shared" si="3"/>
        <v>697</v>
      </c>
      <c r="B700" s="1" t="s">
        <v>457</v>
      </c>
      <c r="C700" s="2" t="s">
        <v>475</v>
      </c>
      <c r="D700" s="2" t="s">
        <v>193</v>
      </c>
      <c r="E700" s="2">
        <v>37.0</v>
      </c>
      <c r="F700" s="2" t="s">
        <v>194</v>
      </c>
      <c r="G700" s="2" t="str">
        <f t="shared" si="4"/>
        <v/>
      </c>
      <c r="H700" s="2" t="str">
        <f t="shared" si="5"/>
        <v/>
      </c>
      <c r="I700" s="2" t="str">
        <f t="shared" si="6"/>
        <v/>
      </c>
      <c r="J700" s="2" t="b">
        <f t="shared" si="7"/>
        <v>1</v>
      </c>
      <c r="K700" s="2" t="str">
        <f>IFERROR(__xludf.DUMMYFUNCTION("TRIM(JOIN("" "",UNIQUE(TOCOL(ARRAYFORMULA(IF( SPLIT(C700,"" "")=TOCOL(SPLIT(C699,"" "")),SPLIT(C700,"" "")&amp;"" "",""""))))))"),"")</f>
        <v/>
      </c>
      <c r="L700" s="2" t="str">
        <f t="shared" si="1"/>
        <v/>
      </c>
      <c r="M700" s="2">
        <f t="shared" si="2"/>
        <v>697</v>
      </c>
    </row>
    <row r="701">
      <c r="A701" s="2">
        <f t="shared" si="3"/>
        <v>698</v>
      </c>
      <c r="B701" s="1" t="s">
        <v>457</v>
      </c>
      <c r="C701" s="2" t="s">
        <v>475</v>
      </c>
      <c r="D701" s="2" t="s">
        <v>193</v>
      </c>
      <c r="E701" s="2">
        <v>37.0</v>
      </c>
      <c r="F701" s="2" t="s">
        <v>428</v>
      </c>
      <c r="G701" s="2" t="str">
        <f t="shared" si="4"/>
        <v>misma edad</v>
      </c>
      <c r="H701" s="2" t="str">
        <f t="shared" si="5"/>
        <v>mismo nombre</v>
      </c>
      <c r="I701" s="2" t="str">
        <f t="shared" si="6"/>
        <v>mismo colegio</v>
      </c>
      <c r="J701" s="2" t="b">
        <f t="shared" si="7"/>
        <v>0</v>
      </c>
      <c r="K701" s="2" t="str">
        <f>IFERROR(__xludf.DUMMYFUNCTION("TRIM(JOIN("" "",UNIQUE(TOCOL(ARRAYFORMULA(IF( SPLIT(C701,"" "")=TOCOL(SPLIT(C700,"" "")),SPLIT(C701,"" "")&amp;"" "",""""))))))"),"BETSABE OBREGÓN CABRERA")</f>
        <v>BETSABE OBREGÓN CABRERA</v>
      </c>
      <c r="L701" s="2" t="str">
        <f t="shared" si="1"/>
        <v/>
      </c>
      <c r="M701" s="2">
        <f t="shared" si="2"/>
        <v>697</v>
      </c>
    </row>
    <row r="702">
      <c r="A702" s="2">
        <f t="shared" si="3"/>
        <v>699</v>
      </c>
      <c r="B702" s="1" t="s">
        <v>205</v>
      </c>
      <c r="C702" s="2" t="s">
        <v>365</v>
      </c>
      <c r="D702" s="2" t="s">
        <v>222</v>
      </c>
      <c r="E702" s="2">
        <v>32.0</v>
      </c>
      <c r="F702" s="2" t="s">
        <v>194</v>
      </c>
      <c r="G702" s="2" t="str">
        <f t="shared" si="4"/>
        <v/>
      </c>
      <c r="H702" s="2" t="str">
        <f t="shared" si="5"/>
        <v/>
      </c>
      <c r="I702" s="2" t="str">
        <f t="shared" si="6"/>
        <v/>
      </c>
      <c r="J702" s="2" t="b">
        <f t="shared" si="7"/>
        <v>0</v>
      </c>
      <c r="K702" s="2" t="str">
        <f>IFERROR(__xludf.DUMMYFUNCTION("TRIM(JOIN("" "",UNIQUE(TOCOL(ARRAYFORMULA(IF( SPLIT(C702,"" "")=TOCOL(SPLIT(C701,"" "")),SPLIT(C702,"" "")&amp;"" "",""""))))))"),"")</f>
        <v/>
      </c>
      <c r="L702" s="2" t="str">
        <f t="shared" si="1"/>
        <v/>
      </c>
      <c r="M702" s="2">
        <f t="shared" si="2"/>
        <v>699</v>
      </c>
    </row>
    <row r="703">
      <c r="A703" s="2">
        <f t="shared" si="3"/>
        <v>700</v>
      </c>
      <c r="B703" s="1" t="s">
        <v>994</v>
      </c>
      <c r="C703" s="2" t="s">
        <v>998</v>
      </c>
      <c r="D703" s="2" t="s">
        <v>193</v>
      </c>
      <c r="E703" s="2">
        <v>24.0</v>
      </c>
      <c r="F703" s="2" t="s">
        <v>194</v>
      </c>
      <c r="G703" s="2" t="str">
        <f t="shared" si="4"/>
        <v/>
      </c>
      <c r="H703" s="2" t="str">
        <f t="shared" si="5"/>
        <v/>
      </c>
      <c r="I703" s="2" t="str">
        <f t="shared" si="6"/>
        <v/>
      </c>
      <c r="J703" s="2" t="b">
        <f t="shared" si="7"/>
        <v>1</v>
      </c>
      <c r="K703" s="2" t="str">
        <f>IFERROR(__xludf.DUMMYFUNCTION("TRIM(JOIN("" "",UNIQUE(TOCOL(ARRAYFORMULA(IF( SPLIT(C703,"" "")=TOCOL(SPLIT(C702,"" "")),SPLIT(C703,"" "")&amp;"" "",""""))))))"),"")</f>
        <v/>
      </c>
      <c r="L703" s="2" t="str">
        <f t="shared" si="1"/>
        <v/>
      </c>
      <c r="M703" s="2">
        <f t="shared" si="2"/>
        <v>700</v>
      </c>
    </row>
    <row r="704">
      <c r="A704" s="2">
        <f t="shared" si="3"/>
        <v>701</v>
      </c>
      <c r="B704" s="1" t="s">
        <v>830</v>
      </c>
      <c r="C704" s="2" t="s">
        <v>866</v>
      </c>
      <c r="D704" s="2" t="s">
        <v>193</v>
      </c>
      <c r="E704" s="2">
        <v>37.0</v>
      </c>
      <c r="F704" s="2" t="s">
        <v>194</v>
      </c>
      <c r="G704" s="2" t="str">
        <f t="shared" si="4"/>
        <v/>
      </c>
      <c r="H704" s="2" t="str">
        <f t="shared" si="5"/>
        <v/>
      </c>
      <c r="I704" s="2" t="str">
        <f t="shared" si="6"/>
        <v/>
      </c>
      <c r="J704" s="2" t="b">
        <f t="shared" si="7"/>
        <v>1</v>
      </c>
      <c r="K704" s="2" t="str">
        <f>IFERROR(__xludf.DUMMYFUNCTION("TRIM(JOIN("" "",UNIQUE(TOCOL(ARRAYFORMULA(IF( SPLIT(C704,"" "")=TOCOL(SPLIT(C703,"" "")),SPLIT(C704,"" "")&amp;"" "",""""))))))"),"")</f>
        <v/>
      </c>
      <c r="L704" s="2" t="str">
        <f t="shared" si="1"/>
        <v/>
      </c>
      <c r="M704" s="2">
        <f t="shared" si="2"/>
        <v>701</v>
      </c>
    </row>
    <row r="705">
      <c r="A705" s="2">
        <f t="shared" si="3"/>
        <v>702</v>
      </c>
      <c r="B705" s="1" t="s">
        <v>830</v>
      </c>
      <c r="C705" s="2" t="s">
        <v>866</v>
      </c>
      <c r="D705" s="2" t="s">
        <v>193</v>
      </c>
      <c r="E705" s="2">
        <v>37.0</v>
      </c>
      <c r="F705" s="2" t="s">
        <v>428</v>
      </c>
      <c r="G705" s="2" t="str">
        <f t="shared" si="4"/>
        <v>misma edad</v>
      </c>
      <c r="H705" s="2" t="str">
        <f t="shared" si="5"/>
        <v>mismo nombre</v>
      </c>
      <c r="I705" s="2" t="str">
        <f t="shared" si="6"/>
        <v>mismo colegio</v>
      </c>
      <c r="J705" s="2" t="b">
        <f t="shared" si="7"/>
        <v>0</v>
      </c>
      <c r="K705" s="2" t="str">
        <f>IFERROR(__xludf.DUMMYFUNCTION("TRIM(JOIN("" "",UNIQUE(TOCOL(ARRAYFORMULA(IF( SPLIT(C705,"" "")=TOCOL(SPLIT(C704,"" "")),SPLIT(C705,"" "")&amp;"" "",""""))))))"),"BELLO ZORRILLA, NELY")</f>
        <v>BELLO ZORRILLA, NELY</v>
      </c>
      <c r="L705" s="2" t="str">
        <f t="shared" si="1"/>
        <v/>
      </c>
      <c r="M705" s="2">
        <f t="shared" si="2"/>
        <v>701</v>
      </c>
    </row>
    <row r="706">
      <c r="A706" s="2">
        <f t="shared" si="3"/>
        <v>703</v>
      </c>
      <c r="B706" s="1" t="s">
        <v>226</v>
      </c>
      <c r="C706" s="2" t="s">
        <v>291</v>
      </c>
      <c r="D706" s="2" t="s">
        <v>193</v>
      </c>
      <c r="E706" s="2">
        <v>36.0</v>
      </c>
      <c r="F706" s="2" t="s">
        <v>194</v>
      </c>
      <c r="G706" s="2" t="str">
        <f t="shared" si="4"/>
        <v/>
      </c>
      <c r="H706" s="2" t="str">
        <f t="shared" si="5"/>
        <v/>
      </c>
      <c r="I706" s="2" t="str">
        <f t="shared" si="6"/>
        <v/>
      </c>
      <c r="J706" s="2" t="b">
        <f t="shared" si="7"/>
        <v>0</v>
      </c>
      <c r="K706" s="2" t="str">
        <f>IFERROR(__xludf.DUMMYFUNCTION("TRIM(JOIN("" "",UNIQUE(TOCOL(ARRAYFORMULA(IF( SPLIT(C706,"" "")=TOCOL(SPLIT(C705,"" "")),SPLIT(C706,"" "")&amp;"" "",""""))))))"),"")</f>
        <v/>
      </c>
      <c r="L706" s="2" t="str">
        <f t="shared" si="1"/>
        <v/>
      </c>
      <c r="M706" s="2">
        <f t="shared" si="2"/>
        <v>703</v>
      </c>
    </row>
    <row r="707">
      <c r="A707" s="2">
        <f t="shared" si="3"/>
        <v>704</v>
      </c>
      <c r="B707" s="1" t="s">
        <v>226</v>
      </c>
      <c r="C707" s="2" t="s">
        <v>291</v>
      </c>
      <c r="D707" s="2" t="s">
        <v>193</v>
      </c>
      <c r="E707" s="2">
        <v>36.0</v>
      </c>
      <c r="F707" s="2" t="s">
        <v>428</v>
      </c>
      <c r="G707" s="2" t="str">
        <f t="shared" si="4"/>
        <v>misma edad</v>
      </c>
      <c r="H707" s="2" t="str">
        <f t="shared" si="5"/>
        <v>mismo nombre</v>
      </c>
      <c r="I707" s="2" t="str">
        <f t="shared" si="6"/>
        <v>mismo colegio</v>
      </c>
      <c r="J707" s="2" t="b">
        <f t="shared" si="7"/>
        <v>0</v>
      </c>
      <c r="K707" s="2" t="str">
        <f>IFERROR(__xludf.DUMMYFUNCTION("TRIM(JOIN("" "",UNIQUE(TOCOL(ARRAYFORMULA(IF( SPLIT(C707,"" "")=TOCOL(SPLIT(C706,"" "")),SPLIT(C707,"" "")&amp;"" "",""""))))))"),"BELINDA GARAY LEYVA")</f>
        <v>BELINDA GARAY LEYVA</v>
      </c>
      <c r="L707" s="2" t="str">
        <f t="shared" si="1"/>
        <v/>
      </c>
      <c r="M707" s="2">
        <f t="shared" si="2"/>
        <v>703</v>
      </c>
    </row>
    <row r="708">
      <c r="A708" s="2">
        <f t="shared" si="3"/>
        <v>705</v>
      </c>
      <c r="B708" s="1" t="s">
        <v>911</v>
      </c>
      <c r="C708" s="2" t="s">
        <v>913</v>
      </c>
      <c r="D708" s="2" t="s">
        <v>193</v>
      </c>
      <c r="E708" s="2">
        <v>35.0</v>
      </c>
      <c r="F708" s="2" t="s">
        <v>194</v>
      </c>
      <c r="G708" s="2" t="str">
        <f t="shared" si="4"/>
        <v/>
      </c>
      <c r="H708" s="2" t="str">
        <f t="shared" si="5"/>
        <v/>
      </c>
      <c r="I708" s="2" t="str">
        <f t="shared" si="6"/>
        <v/>
      </c>
      <c r="J708" s="2" t="b">
        <f t="shared" si="7"/>
        <v>0</v>
      </c>
      <c r="K708" s="2" t="str">
        <f>IFERROR(__xludf.DUMMYFUNCTION("TRIM(JOIN("" "",UNIQUE(TOCOL(ARRAYFORMULA(IF( SPLIT(C708,"" "")=TOCOL(SPLIT(C707,"" "")),SPLIT(C708,"" "")&amp;"" "",""""))))))"),"")</f>
        <v/>
      </c>
      <c r="L708" s="2" t="str">
        <f t="shared" si="1"/>
        <v/>
      </c>
      <c r="M708" s="2">
        <f t="shared" si="2"/>
        <v>705</v>
      </c>
    </row>
    <row r="709">
      <c r="A709" s="2">
        <f t="shared" si="3"/>
        <v>706</v>
      </c>
      <c r="B709" s="1" t="s">
        <v>595</v>
      </c>
      <c r="C709" s="2" t="s">
        <v>616</v>
      </c>
      <c r="D709" s="2" t="s">
        <v>193</v>
      </c>
      <c r="E709" s="2">
        <v>45.0</v>
      </c>
      <c r="F709" s="2" t="s">
        <v>194</v>
      </c>
      <c r="G709" s="2" t="str">
        <f t="shared" si="4"/>
        <v/>
      </c>
      <c r="H709" s="2" t="str">
        <f t="shared" si="5"/>
        <v/>
      </c>
      <c r="I709" s="2" t="str">
        <f t="shared" si="6"/>
        <v/>
      </c>
      <c r="J709" s="2" t="b">
        <f t="shared" si="7"/>
        <v>1</v>
      </c>
      <c r="K709" s="2" t="str">
        <f>IFERROR(__xludf.DUMMYFUNCTION("TRIM(JOIN("" "",UNIQUE(TOCOL(ARRAYFORMULA(IF( SPLIT(C709,"" "")=TOCOL(SPLIT(C708,"" "")),SPLIT(C709,"" "")&amp;"" "",""""))))))"),"")</f>
        <v/>
      </c>
      <c r="L709" s="2" t="str">
        <f t="shared" si="1"/>
        <v/>
      </c>
      <c r="M709" s="2">
        <f t="shared" si="2"/>
        <v>706</v>
      </c>
    </row>
    <row r="710">
      <c r="A710" s="2">
        <f t="shared" si="3"/>
        <v>707</v>
      </c>
      <c r="B710" s="1" t="s">
        <v>693</v>
      </c>
      <c r="C710" s="2" t="s">
        <v>1370</v>
      </c>
      <c r="D710" s="2" t="s">
        <v>193</v>
      </c>
      <c r="E710" s="2">
        <v>32.0</v>
      </c>
      <c r="F710" s="2" t="s">
        <v>428</v>
      </c>
      <c r="G710" s="2" t="str">
        <f t="shared" si="4"/>
        <v/>
      </c>
      <c r="H710" s="2" t="str">
        <f t="shared" si="5"/>
        <v/>
      </c>
      <c r="I710" s="2" t="str">
        <f t="shared" si="6"/>
        <v/>
      </c>
      <c r="J710" s="2" t="b">
        <f t="shared" si="7"/>
        <v>0</v>
      </c>
      <c r="K710" s="2" t="str">
        <f>IFERROR(__xludf.DUMMYFUNCTION("TRIM(JOIN("" "",UNIQUE(TOCOL(ARRAYFORMULA(IF( SPLIT(C710,"" "")=TOCOL(SPLIT(C709,"" "")),SPLIT(C710,"" "")&amp;"" "",""""))))))"),"")</f>
        <v/>
      </c>
      <c r="L710" s="2" t="str">
        <f t="shared" si="1"/>
        <v/>
      </c>
      <c r="M710" s="2">
        <f t="shared" si="2"/>
        <v>707</v>
      </c>
    </row>
    <row r="711">
      <c r="A711" s="2">
        <f t="shared" si="3"/>
        <v>708</v>
      </c>
      <c r="B711" s="1" t="s">
        <v>719</v>
      </c>
      <c r="C711" s="2" t="s">
        <v>1422</v>
      </c>
      <c r="D711" s="2" t="s">
        <v>193</v>
      </c>
      <c r="E711" s="40"/>
      <c r="F711" s="2" t="s">
        <v>428</v>
      </c>
      <c r="G711" s="2" t="str">
        <f t="shared" si="4"/>
        <v/>
      </c>
      <c r="H711" s="2" t="str">
        <f t="shared" si="5"/>
        <v/>
      </c>
      <c r="I711" s="2" t="str">
        <f t="shared" si="6"/>
        <v/>
      </c>
      <c r="J711" s="2" t="b">
        <f t="shared" si="7"/>
        <v>1</v>
      </c>
      <c r="K711" s="2" t="str">
        <f>IFERROR(__xludf.DUMMYFUNCTION("TRIM(JOIN("" "",UNIQUE(TOCOL(ARRAYFORMULA(IF( SPLIT(C711,"" "")=TOCOL(SPLIT(C710,"" "")),SPLIT(C711,"" "")&amp;"" "",""""))))))"),"")</f>
        <v/>
      </c>
      <c r="L711" s="2" t="str">
        <f t="shared" si="1"/>
        <v/>
      </c>
      <c r="M711" s="2">
        <f t="shared" si="2"/>
        <v>708</v>
      </c>
    </row>
    <row r="712">
      <c r="A712" s="2">
        <f t="shared" si="3"/>
        <v>709</v>
      </c>
      <c r="B712" s="1" t="s">
        <v>801</v>
      </c>
      <c r="C712" s="2" t="s">
        <v>809</v>
      </c>
      <c r="D712" s="2" t="s">
        <v>193</v>
      </c>
      <c r="E712" s="2">
        <v>31.0</v>
      </c>
      <c r="F712" s="2" t="s">
        <v>194</v>
      </c>
      <c r="G712" s="2" t="str">
        <f t="shared" si="4"/>
        <v/>
      </c>
      <c r="H712" s="2" t="str">
        <f t="shared" si="5"/>
        <v/>
      </c>
      <c r="I712" s="2" t="str">
        <f t="shared" si="6"/>
        <v/>
      </c>
      <c r="J712" s="2" t="b">
        <f t="shared" si="7"/>
        <v>0</v>
      </c>
      <c r="K712" s="2" t="str">
        <f>IFERROR(__xludf.DUMMYFUNCTION("TRIM(JOIN("" "",UNIQUE(TOCOL(ARRAYFORMULA(IF( SPLIT(C712,"" "")=TOCOL(SPLIT(C711,"" "")),SPLIT(C712,"" "")&amp;"" "",""""))))))"),"")</f>
        <v/>
      </c>
      <c r="L712" s="2" t="str">
        <f t="shared" si="1"/>
        <v/>
      </c>
      <c r="M712" s="2">
        <f t="shared" si="2"/>
        <v>709</v>
      </c>
    </row>
    <row r="713">
      <c r="A713" s="2">
        <f t="shared" si="3"/>
        <v>710</v>
      </c>
      <c r="B713" s="1" t="s">
        <v>801</v>
      </c>
      <c r="C713" s="2" t="s">
        <v>809</v>
      </c>
      <c r="D713" s="2" t="s">
        <v>193</v>
      </c>
      <c r="E713" s="2">
        <v>33.0</v>
      </c>
      <c r="F713" s="2" t="s">
        <v>428</v>
      </c>
      <c r="G713" s="2" t="str">
        <f t="shared" si="4"/>
        <v/>
      </c>
      <c r="H713" s="2" t="str">
        <f t="shared" si="5"/>
        <v>mismo nombre</v>
      </c>
      <c r="I713" s="2" t="str">
        <f t="shared" si="6"/>
        <v>mismo colegio</v>
      </c>
      <c r="J713" s="2" t="b">
        <f t="shared" si="7"/>
        <v>0</v>
      </c>
      <c r="K713" s="2" t="str">
        <f>IFERROR(__xludf.DUMMYFUNCTION("TRIM(JOIN("" "",UNIQUE(TOCOL(ARRAYFORMULA(IF( SPLIT(C713,"" "")=TOCOL(SPLIT(C712,"" "")),SPLIT(C713,"" "")&amp;"" "",""""))))))"),"BACA ESPINOZA, MARIBEL")</f>
        <v>BACA ESPINOZA, MARIBEL</v>
      </c>
      <c r="L713" s="2" t="str">
        <f t="shared" si="1"/>
        <v/>
      </c>
      <c r="M713" s="2">
        <f t="shared" si="2"/>
        <v>709</v>
      </c>
    </row>
    <row r="714">
      <c r="A714" s="2">
        <f t="shared" si="3"/>
        <v>711</v>
      </c>
      <c r="B714" s="1" t="s">
        <v>994</v>
      </c>
      <c r="C714" s="2" t="s">
        <v>1190</v>
      </c>
      <c r="D714" s="2" t="s">
        <v>193</v>
      </c>
      <c r="E714" s="2">
        <v>38.0</v>
      </c>
      <c r="F714" s="2" t="s">
        <v>428</v>
      </c>
      <c r="G714" s="2" t="str">
        <f t="shared" si="4"/>
        <v/>
      </c>
      <c r="H714" s="2" t="str">
        <f t="shared" si="5"/>
        <v/>
      </c>
      <c r="I714" s="2" t="str">
        <f t="shared" si="6"/>
        <v/>
      </c>
      <c r="J714" s="2" t="b">
        <f t="shared" si="7"/>
        <v>1</v>
      </c>
      <c r="K714" s="2" t="str">
        <f>IFERROR(__xludf.DUMMYFUNCTION("TRIM(JOIN("" "",UNIQUE(TOCOL(ARRAYFORMULA(IF( SPLIT(C714,"" "")=TOCOL(SPLIT(C713,"" "")),SPLIT(C714,"" "")&amp;"" "",""""))))))"),"")</f>
        <v/>
      </c>
      <c r="L714" s="2" t="str">
        <f t="shared" si="1"/>
        <v/>
      </c>
      <c r="M714" s="2">
        <f t="shared" si="2"/>
        <v>711</v>
      </c>
    </row>
    <row r="715">
      <c r="A715" s="2">
        <f t="shared" si="3"/>
        <v>712</v>
      </c>
      <c r="B715" s="1" t="s">
        <v>457</v>
      </c>
      <c r="C715" s="2" t="s">
        <v>464</v>
      </c>
      <c r="D715" s="2" t="s">
        <v>193</v>
      </c>
      <c r="E715" s="2">
        <v>36.0</v>
      </c>
      <c r="F715" s="2" t="s">
        <v>194</v>
      </c>
      <c r="G715" s="2" t="str">
        <f t="shared" si="4"/>
        <v/>
      </c>
      <c r="H715" s="2" t="str">
        <f t="shared" si="5"/>
        <v/>
      </c>
      <c r="I715" s="2" t="str">
        <f t="shared" si="6"/>
        <v/>
      </c>
      <c r="J715" s="2" t="b">
        <f t="shared" si="7"/>
        <v>0</v>
      </c>
      <c r="K715" s="2" t="str">
        <f>IFERROR(__xludf.DUMMYFUNCTION("TRIM(JOIN("" "",UNIQUE(TOCOL(ARRAYFORMULA(IF( SPLIT(C715,"" "")=TOCOL(SPLIT(C714,"" "")),SPLIT(C715,"" "")&amp;"" "",""""))))))"),"")</f>
        <v/>
      </c>
      <c r="L715" s="2" t="str">
        <f t="shared" si="1"/>
        <v/>
      </c>
      <c r="M715" s="2">
        <f t="shared" si="2"/>
        <v>712</v>
      </c>
    </row>
    <row r="716">
      <c r="A716" s="2">
        <f t="shared" si="3"/>
        <v>713</v>
      </c>
      <c r="B716" s="1" t="s">
        <v>457</v>
      </c>
      <c r="C716" s="2" t="s">
        <v>464</v>
      </c>
      <c r="D716" s="2" t="s">
        <v>193</v>
      </c>
      <c r="E716" s="2">
        <v>36.0</v>
      </c>
      <c r="F716" s="2" t="s">
        <v>428</v>
      </c>
      <c r="G716" s="2" t="str">
        <f t="shared" si="4"/>
        <v>misma edad</v>
      </c>
      <c r="H716" s="2" t="str">
        <f t="shared" si="5"/>
        <v>mismo nombre</v>
      </c>
      <c r="I716" s="2" t="str">
        <f t="shared" si="6"/>
        <v>mismo colegio</v>
      </c>
      <c r="J716" s="2" t="b">
        <f t="shared" si="7"/>
        <v>0</v>
      </c>
      <c r="K716" s="2" t="str">
        <f>IFERROR(__xludf.DUMMYFUNCTION("TRIM(JOIN("" "",UNIQUE(TOCOL(ARRAYFORMULA(IF( SPLIT(C716,"" "")=TOCOL(SPLIT(C715,"" "")),SPLIT(C716,"" "")&amp;"" "",""""))))))"),"AUREA CUQUI REYES")</f>
        <v>AUREA CUQUI REYES</v>
      </c>
      <c r="L716" s="2" t="str">
        <f t="shared" si="1"/>
        <v/>
      </c>
      <c r="M716" s="2">
        <f t="shared" si="2"/>
        <v>712</v>
      </c>
    </row>
    <row r="717">
      <c r="A717" s="2">
        <f t="shared" si="3"/>
        <v>714</v>
      </c>
      <c r="B717" s="1" t="s">
        <v>693</v>
      </c>
      <c r="C717" s="2" t="s">
        <v>1391</v>
      </c>
      <c r="D717" s="2" t="s">
        <v>193</v>
      </c>
      <c r="E717" s="2">
        <v>35.0</v>
      </c>
      <c r="F717" s="2" t="s">
        <v>428</v>
      </c>
      <c r="G717" s="2" t="str">
        <f t="shared" si="4"/>
        <v/>
      </c>
      <c r="H717" s="2" t="str">
        <f t="shared" si="5"/>
        <v/>
      </c>
      <c r="I717" s="2" t="str">
        <f t="shared" si="6"/>
        <v/>
      </c>
      <c r="J717" s="2" t="b">
        <f t="shared" si="7"/>
        <v>1</v>
      </c>
      <c r="K717" s="2" t="str">
        <f>IFERROR(__xludf.DUMMYFUNCTION("TRIM(JOIN("" "",UNIQUE(TOCOL(ARRAYFORMULA(IF( SPLIT(C717,"" "")=TOCOL(SPLIT(C716,"" "")),SPLIT(C717,"" "")&amp;"" "",""""))))))"),"")</f>
        <v/>
      </c>
      <c r="L717" s="2" t="str">
        <f t="shared" si="1"/>
        <v/>
      </c>
      <c r="M717" s="2">
        <f t="shared" si="2"/>
        <v>714</v>
      </c>
    </row>
    <row r="718">
      <c r="A718" s="2">
        <f t="shared" si="3"/>
        <v>715</v>
      </c>
      <c r="B718" s="1" t="s">
        <v>693</v>
      </c>
      <c r="C718" s="2" t="s">
        <v>1382</v>
      </c>
      <c r="D718" s="2" t="s">
        <v>193</v>
      </c>
      <c r="E718" s="2">
        <v>30.0</v>
      </c>
      <c r="F718" s="2" t="s">
        <v>428</v>
      </c>
      <c r="G718" s="2" t="str">
        <f t="shared" si="4"/>
        <v/>
      </c>
      <c r="H718" s="2" t="str">
        <f t="shared" si="5"/>
        <v/>
      </c>
      <c r="I718" s="2" t="str">
        <f t="shared" si="6"/>
        <v>mismo colegio</v>
      </c>
      <c r="J718" s="2" t="b">
        <f t="shared" si="7"/>
        <v>1</v>
      </c>
      <c r="K718" s="2" t="str">
        <f>IFERROR(__xludf.DUMMYFUNCTION("TRIM(JOIN("" "",UNIQUE(TOCOL(ARRAYFORMULA(IF( SPLIT(C718,"" "")=TOCOL(SPLIT(C717,"" "")),SPLIT(C718,"" "")&amp;"" "",""""))))))"),"")</f>
        <v/>
      </c>
      <c r="L718" s="2" t="str">
        <f t="shared" si="1"/>
        <v/>
      </c>
      <c r="M718" s="2">
        <f t="shared" si="2"/>
        <v>715</v>
      </c>
    </row>
    <row r="719">
      <c r="A719" s="2">
        <f t="shared" si="3"/>
        <v>716</v>
      </c>
      <c r="B719" s="1" t="s">
        <v>226</v>
      </c>
      <c r="C719" s="2" t="s">
        <v>267</v>
      </c>
      <c r="D719" s="2" t="s">
        <v>193</v>
      </c>
      <c r="E719" s="2">
        <v>26.0</v>
      </c>
      <c r="F719" s="2" t="s">
        <v>194</v>
      </c>
      <c r="G719" s="2" t="str">
        <f t="shared" si="4"/>
        <v/>
      </c>
      <c r="H719" s="2" t="str">
        <f t="shared" si="5"/>
        <v/>
      </c>
      <c r="I719" s="2" t="str">
        <f t="shared" si="6"/>
        <v/>
      </c>
      <c r="J719" s="2" t="b">
        <f t="shared" si="7"/>
        <v>0</v>
      </c>
      <c r="K719" s="2" t="str">
        <f>IFERROR(__xludf.DUMMYFUNCTION("TRIM(JOIN("" "",UNIQUE(TOCOL(ARRAYFORMULA(IF( SPLIT(C719,"" "")=TOCOL(SPLIT(C718,"" "")),SPLIT(C719,"" "")&amp;"" "",""""))))))"),"")</f>
        <v/>
      </c>
      <c r="L719" s="2" t="str">
        <f t="shared" si="1"/>
        <v/>
      </c>
      <c r="M719" s="2">
        <f t="shared" si="2"/>
        <v>716</v>
      </c>
    </row>
    <row r="720">
      <c r="A720" s="2">
        <f t="shared" si="3"/>
        <v>717</v>
      </c>
      <c r="B720" s="1" t="s">
        <v>144</v>
      </c>
      <c r="C720" s="2" t="s">
        <v>554</v>
      </c>
      <c r="D720" s="2" t="s">
        <v>193</v>
      </c>
      <c r="E720" s="2">
        <v>23.0</v>
      </c>
      <c r="F720" s="2" t="s">
        <v>194</v>
      </c>
      <c r="G720" s="2" t="str">
        <f t="shared" si="4"/>
        <v/>
      </c>
      <c r="H720" s="2" t="str">
        <f t="shared" si="5"/>
        <v/>
      </c>
      <c r="I720" s="2" t="str">
        <f t="shared" si="6"/>
        <v/>
      </c>
      <c r="J720" s="2" t="b">
        <f t="shared" si="7"/>
        <v>1</v>
      </c>
      <c r="K720" s="2" t="str">
        <f>IFERROR(__xludf.DUMMYFUNCTION("TRIM(JOIN("" "",UNIQUE(TOCOL(ARRAYFORMULA(IF( SPLIT(C720,"" "")=TOCOL(SPLIT(C719,"" "")),SPLIT(C720,"" "")&amp;"" "",""""))))))"),"")</f>
        <v/>
      </c>
      <c r="L720" s="2" t="str">
        <f t="shared" si="1"/>
        <v/>
      </c>
      <c r="M720" s="2">
        <f t="shared" si="2"/>
        <v>717</v>
      </c>
    </row>
    <row r="721">
      <c r="A721" s="2">
        <f t="shared" si="3"/>
        <v>718</v>
      </c>
      <c r="B721" s="1" t="s">
        <v>144</v>
      </c>
      <c r="C721" s="2" t="s">
        <v>566</v>
      </c>
      <c r="D721" s="2" t="s">
        <v>193</v>
      </c>
      <c r="E721" s="2">
        <v>23.0</v>
      </c>
      <c r="F721" s="2" t="s">
        <v>194</v>
      </c>
      <c r="G721" s="2" t="str">
        <f t="shared" si="4"/>
        <v>misma edad</v>
      </c>
      <c r="H721" s="2" t="str">
        <f t="shared" si="5"/>
        <v/>
      </c>
      <c r="I721" s="2" t="str">
        <f t="shared" si="6"/>
        <v>mismo colegio</v>
      </c>
      <c r="J721" s="2" t="b">
        <f t="shared" si="7"/>
        <v>1</v>
      </c>
      <c r="K721" s="2" t="str">
        <f>IFERROR(__xludf.DUMMYFUNCTION("TRIM(JOIN("" "",UNIQUE(TOCOL(ARRAYFORMULA(IF( SPLIT(C721,"" "")=TOCOL(SPLIT(C720,"" "")),SPLIT(C721,"" "")&amp;"" "",""""))))))"),"AQUINO")</f>
        <v>AQUINO</v>
      </c>
      <c r="L721" s="2" t="str">
        <f t="shared" si="1"/>
        <v/>
      </c>
      <c r="M721" s="2">
        <f t="shared" si="2"/>
        <v>718</v>
      </c>
    </row>
    <row r="722">
      <c r="A722" s="2">
        <f t="shared" si="3"/>
        <v>719</v>
      </c>
      <c r="B722" s="1" t="s">
        <v>144</v>
      </c>
      <c r="C722" s="2" t="s">
        <v>566</v>
      </c>
      <c r="D722" s="2" t="s">
        <v>193</v>
      </c>
      <c r="E722" s="2">
        <v>23.0</v>
      </c>
      <c r="F722" s="2" t="s">
        <v>428</v>
      </c>
      <c r="G722" s="2" t="str">
        <f t="shared" si="4"/>
        <v>misma edad</v>
      </c>
      <c r="H722" s="2" t="str">
        <f t="shared" si="5"/>
        <v>mismo nombre</v>
      </c>
      <c r="I722" s="2" t="str">
        <f t="shared" si="6"/>
        <v>mismo colegio</v>
      </c>
      <c r="J722" s="2" t="b">
        <f t="shared" si="7"/>
        <v>0</v>
      </c>
      <c r="K722" s="2" t="str">
        <f>IFERROR(__xludf.DUMMYFUNCTION("TRIM(JOIN("" "",UNIQUE(TOCOL(ARRAYFORMULA(IF( SPLIT(C722,"" "")=TOCOL(SPLIT(C721,"" "")),SPLIT(C722,"" "")&amp;"" "",""""))))))"),"AQUINO CASTRO ZARELA")</f>
        <v>AQUINO CASTRO ZARELA</v>
      </c>
      <c r="L722" s="2" t="str">
        <f t="shared" si="1"/>
        <v/>
      </c>
      <c r="M722" s="2">
        <f t="shared" si="2"/>
        <v>718</v>
      </c>
    </row>
    <row r="723">
      <c r="A723" s="2">
        <f t="shared" si="3"/>
        <v>720</v>
      </c>
      <c r="B723" s="1" t="s">
        <v>144</v>
      </c>
      <c r="C723" s="2" t="s">
        <v>567</v>
      </c>
      <c r="D723" s="2" t="s">
        <v>222</v>
      </c>
      <c r="E723" s="2">
        <v>50.0</v>
      </c>
      <c r="F723" s="2" t="s">
        <v>194</v>
      </c>
      <c r="G723" s="2" t="str">
        <f t="shared" si="4"/>
        <v/>
      </c>
      <c r="H723" s="2" t="str">
        <f t="shared" si="5"/>
        <v/>
      </c>
      <c r="I723" s="2" t="str">
        <f t="shared" si="6"/>
        <v>mismo colegio</v>
      </c>
      <c r="J723" s="2" t="b">
        <f t="shared" si="7"/>
        <v>0</v>
      </c>
      <c r="K723" s="2" t="str">
        <f>IFERROR(__xludf.DUMMYFUNCTION("TRIM(JOIN("" "",UNIQUE(TOCOL(ARRAYFORMULA(IF( SPLIT(C723,"" "")=TOCOL(SPLIT(C722,"" "")),SPLIT(C723,"" "")&amp;"" "",""""))))))"),"AQUINO")</f>
        <v>AQUINO</v>
      </c>
      <c r="L723" s="2" t="str">
        <f t="shared" si="1"/>
        <v/>
      </c>
      <c r="M723" s="2">
        <f t="shared" si="2"/>
        <v>720</v>
      </c>
    </row>
    <row r="724">
      <c r="A724" s="2">
        <f t="shared" si="3"/>
        <v>721</v>
      </c>
      <c r="B724" s="1" t="s">
        <v>668</v>
      </c>
      <c r="C724" s="2" t="s">
        <v>676</v>
      </c>
      <c r="D724" s="2" t="s">
        <v>193</v>
      </c>
      <c r="E724" s="2">
        <v>22.0</v>
      </c>
      <c r="F724" s="2" t="s">
        <v>194</v>
      </c>
      <c r="G724" s="2" t="str">
        <f t="shared" si="4"/>
        <v/>
      </c>
      <c r="H724" s="2" t="str">
        <f t="shared" si="5"/>
        <v/>
      </c>
      <c r="I724" s="2" t="str">
        <f t="shared" si="6"/>
        <v/>
      </c>
      <c r="J724" s="2" t="b">
        <f t="shared" si="7"/>
        <v>1</v>
      </c>
      <c r="K724" s="2" t="str">
        <f>IFERROR(__xludf.DUMMYFUNCTION("TRIM(JOIN("" "",UNIQUE(TOCOL(ARRAYFORMULA(IF( SPLIT(C724,"" "")=TOCOL(SPLIT(C723,"" "")),SPLIT(C724,"" "")&amp;"" "",""""))))))"),"")</f>
        <v/>
      </c>
      <c r="L724" s="2" t="str">
        <f t="shared" si="1"/>
        <v/>
      </c>
      <c r="M724" s="2">
        <f t="shared" si="2"/>
        <v>721</v>
      </c>
    </row>
    <row r="725">
      <c r="A725" s="2">
        <f t="shared" si="3"/>
        <v>722</v>
      </c>
      <c r="B725" s="1" t="s">
        <v>105</v>
      </c>
      <c r="C725" s="2" t="s">
        <v>429</v>
      </c>
      <c r="D725" s="2" t="s">
        <v>250</v>
      </c>
      <c r="E725" s="2"/>
      <c r="F725" s="2" t="s">
        <v>428</v>
      </c>
      <c r="G725" s="2" t="str">
        <f t="shared" si="4"/>
        <v/>
      </c>
      <c r="H725" s="2" t="str">
        <f t="shared" si="5"/>
        <v/>
      </c>
      <c r="I725" s="2" t="str">
        <f t="shared" si="6"/>
        <v/>
      </c>
      <c r="J725" s="2" t="b">
        <f t="shared" si="7"/>
        <v>0</v>
      </c>
      <c r="K725" s="2" t="str">
        <f>IFERROR(__xludf.DUMMYFUNCTION("TRIM(JOIN("" "",UNIQUE(TOCOL(ARRAYFORMULA(IF( SPLIT(C725,"" "")=TOCOL(SPLIT(C724,"" "")),SPLIT(C725,"" "")&amp;"" "",""""))))))"),"")</f>
        <v/>
      </c>
      <c r="L725" s="2" t="str">
        <f t="shared" si="1"/>
        <v/>
      </c>
      <c r="M725" s="2">
        <f t="shared" si="2"/>
        <v>722</v>
      </c>
    </row>
    <row r="726">
      <c r="A726" s="2">
        <f t="shared" si="3"/>
        <v>723</v>
      </c>
      <c r="B726" s="1" t="s">
        <v>69</v>
      </c>
      <c r="C726" s="2" t="s">
        <v>1169</v>
      </c>
      <c r="D726" s="2" t="s">
        <v>193</v>
      </c>
      <c r="E726" s="2">
        <v>35.0</v>
      </c>
      <c r="F726" s="2" t="s">
        <v>428</v>
      </c>
      <c r="G726" s="2" t="str">
        <f t="shared" si="4"/>
        <v/>
      </c>
      <c r="H726" s="2" t="str">
        <f t="shared" si="5"/>
        <v/>
      </c>
      <c r="I726" s="2" t="str">
        <f t="shared" si="6"/>
        <v/>
      </c>
      <c r="J726" s="2" t="b">
        <f t="shared" si="7"/>
        <v>1</v>
      </c>
      <c r="K726" s="2" t="str">
        <f>IFERROR(__xludf.DUMMYFUNCTION("TRIM(JOIN("" "",UNIQUE(TOCOL(ARRAYFORMULA(IF( SPLIT(C726,"" "")=TOCOL(SPLIT(C725,"" "")),SPLIT(C726,"" "")&amp;"" "",""""))))))"),"")</f>
        <v/>
      </c>
      <c r="L726" s="2" t="str">
        <f t="shared" si="1"/>
        <v/>
      </c>
      <c r="M726" s="2">
        <f t="shared" si="2"/>
        <v>723</v>
      </c>
    </row>
    <row r="727">
      <c r="A727" s="2">
        <f t="shared" si="3"/>
        <v>724</v>
      </c>
      <c r="B727" s="1" t="s">
        <v>190</v>
      </c>
      <c r="C727" s="2" t="s">
        <v>217</v>
      </c>
      <c r="D727" s="2" t="s">
        <v>193</v>
      </c>
      <c r="E727" s="2">
        <v>23.0</v>
      </c>
      <c r="F727" s="2" t="s">
        <v>194</v>
      </c>
      <c r="G727" s="2" t="str">
        <f t="shared" si="4"/>
        <v/>
      </c>
      <c r="H727" s="2" t="str">
        <f t="shared" si="5"/>
        <v/>
      </c>
      <c r="I727" s="2" t="str">
        <f t="shared" si="6"/>
        <v/>
      </c>
      <c r="J727" s="2" t="b">
        <f t="shared" si="7"/>
        <v>0</v>
      </c>
      <c r="K727" s="2" t="str">
        <f>IFERROR(__xludf.DUMMYFUNCTION("TRIM(JOIN("" "",UNIQUE(TOCOL(ARRAYFORMULA(IF( SPLIT(C727,"" "")=TOCOL(SPLIT(C726,"" "")),SPLIT(C727,"" "")&amp;"" "",""""))))))"),"")</f>
        <v/>
      </c>
      <c r="L727" s="2" t="str">
        <f t="shared" si="1"/>
        <v/>
      </c>
      <c r="M727" s="2">
        <f t="shared" si="2"/>
        <v>724</v>
      </c>
    </row>
    <row r="728">
      <c r="A728" s="2">
        <f t="shared" si="3"/>
        <v>725</v>
      </c>
      <c r="B728" s="1" t="s">
        <v>775</v>
      </c>
      <c r="C728" s="2" t="s">
        <v>793</v>
      </c>
      <c r="D728" s="2" t="s">
        <v>193</v>
      </c>
      <c r="E728" s="2">
        <v>23.0</v>
      </c>
      <c r="F728" s="2" t="s">
        <v>194</v>
      </c>
      <c r="G728" s="2" t="str">
        <f t="shared" si="4"/>
        <v>misma edad</v>
      </c>
      <c r="H728" s="2" t="str">
        <f t="shared" si="5"/>
        <v/>
      </c>
      <c r="I728" s="2" t="str">
        <f t="shared" si="6"/>
        <v/>
      </c>
      <c r="J728" s="2" t="b">
        <f t="shared" si="7"/>
        <v>1</v>
      </c>
      <c r="K728" s="2" t="str">
        <f>IFERROR(__xludf.DUMMYFUNCTION("TRIM(JOIN("" "",UNIQUE(TOCOL(ARRAYFORMULA(IF( SPLIT(C728,"" "")=TOCOL(SPLIT(C727,"" "")),SPLIT(C728,"" "")&amp;"" "",""""))))))"),"")</f>
        <v/>
      </c>
      <c r="L728" s="2" t="str">
        <f t="shared" si="1"/>
        <v/>
      </c>
      <c r="M728" s="2">
        <f t="shared" si="2"/>
        <v>725</v>
      </c>
    </row>
    <row r="729">
      <c r="A729" s="2">
        <f t="shared" si="3"/>
        <v>726</v>
      </c>
      <c r="B729" s="1" t="s">
        <v>775</v>
      </c>
      <c r="C729" s="2" t="s">
        <v>793</v>
      </c>
      <c r="D729" s="2" t="s">
        <v>193</v>
      </c>
      <c r="E729" s="2">
        <v>23.0</v>
      </c>
      <c r="F729" s="2" t="s">
        <v>428</v>
      </c>
      <c r="G729" s="2" t="str">
        <f t="shared" si="4"/>
        <v>misma edad</v>
      </c>
      <c r="H729" s="2" t="str">
        <f t="shared" si="5"/>
        <v>mismo nombre</v>
      </c>
      <c r="I729" s="2" t="str">
        <f t="shared" si="6"/>
        <v>mismo colegio</v>
      </c>
      <c r="J729" s="2" t="b">
        <f t="shared" si="7"/>
        <v>0</v>
      </c>
      <c r="K729" s="2" t="str">
        <f>IFERROR(__xludf.DUMMYFUNCTION("TRIM(JOIN("" "",UNIQUE(TOCOL(ARRAYFORMULA(IF( SPLIT(C729,"" "")=TOCOL(SPLIT(C728,"" "")),SPLIT(C729,"" "")&amp;"" "",""""))))))"),"ANAYA UGARTE SANTA ANA")</f>
        <v>ANAYA UGARTE SANTA ANA</v>
      </c>
      <c r="L729" s="2" t="str">
        <f t="shared" si="1"/>
        <v/>
      </c>
      <c r="M729" s="2">
        <f t="shared" si="2"/>
        <v>725</v>
      </c>
    </row>
    <row r="730">
      <c r="A730" s="2">
        <f t="shared" si="3"/>
        <v>727</v>
      </c>
      <c r="B730" s="1" t="s">
        <v>144</v>
      </c>
      <c r="C730" s="2" t="s">
        <v>524</v>
      </c>
      <c r="D730" s="2" t="s">
        <v>193</v>
      </c>
      <c r="E730" s="2">
        <v>23.0</v>
      </c>
      <c r="F730" s="2" t="s">
        <v>194</v>
      </c>
      <c r="G730" s="2" t="str">
        <f t="shared" si="4"/>
        <v>misma edad</v>
      </c>
      <c r="H730" s="2" t="str">
        <f t="shared" si="5"/>
        <v/>
      </c>
      <c r="I730" s="2" t="str">
        <f t="shared" si="6"/>
        <v/>
      </c>
      <c r="J730" s="2" t="b">
        <f t="shared" si="7"/>
        <v>0</v>
      </c>
      <c r="K730" s="2" t="str">
        <f>IFERROR(__xludf.DUMMYFUNCTION("TRIM(JOIN("" "",UNIQUE(TOCOL(ARRAYFORMULA(IF( SPLIT(C730,"" "")=TOCOL(SPLIT(C729,"" "")),SPLIT(C730,"" "")&amp;"" "",""""))))))"),"ANAYA")</f>
        <v>ANAYA</v>
      </c>
      <c r="L730" s="2" t="str">
        <f t="shared" si="1"/>
        <v/>
      </c>
      <c r="M730" s="2">
        <f t="shared" si="2"/>
        <v>727</v>
      </c>
    </row>
    <row r="731">
      <c r="A731" s="2">
        <f t="shared" si="3"/>
        <v>728</v>
      </c>
      <c r="B731" s="1" t="s">
        <v>719</v>
      </c>
      <c r="C731" s="2" t="s">
        <v>1407</v>
      </c>
      <c r="D731" s="2" t="s">
        <v>193</v>
      </c>
      <c r="E731" s="40"/>
      <c r="F731" s="2" t="s">
        <v>428</v>
      </c>
      <c r="G731" s="2" t="str">
        <f t="shared" si="4"/>
        <v/>
      </c>
      <c r="H731" s="2" t="str">
        <f t="shared" si="5"/>
        <v/>
      </c>
      <c r="I731" s="2" t="str">
        <f t="shared" si="6"/>
        <v/>
      </c>
      <c r="J731" s="2" t="b">
        <f t="shared" si="7"/>
        <v>0</v>
      </c>
      <c r="K731" s="2" t="str">
        <f>IFERROR(__xludf.DUMMYFUNCTION("TRIM(JOIN("" "",UNIQUE(TOCOL(ARRAYFORMULA(IF( SPLIT(C731,"" "")=TOCOL(SPLIT(C730,"" "")),SPLIT(C731,"" "")&amp;"" "",""""))))))"),"ANAYA")</f>
        <v>ANAYA</v>
      </c>
      <c r="L731" s="2" t="str">
        <f t="shared" si="1"/>
        <v/>
      </c>
      <c r="M731" s="2">
        <f t="shared" si="2"/>
        <v>728</v>
      </c>
    </row>
    <row r="732">
      <c r="A732" s="2">
        <f t="shared" si="3"/>
        <v>729</v>
      </c>
      <c r="B732" s="1" t="s">
        <v>719</v>
      </c>
      <c r="C732" s="2" t="s">
        <v>764</v>
      </c>
      <c r="D732" s="2" t="s">
        <v>193</v>
      </c>
      <c r="E732" s="2">
        <v>32.0</v>
      </c>
      <c r="F732" s="2" t="s">
        <v>194</v>
      </c>
      <c r="G732" s="2" t="str">
        <f t="shared" si="4"/>
        <v/>
      </c>
      <c r="H732" s="2" t="str">
        <f t="shared" si="5"/>
        <v/>
      </c>
      <c r="I732" s="2" t="str">
        <f t="shared" si="6"/>
        <v>mismo colegio</v>
      </c>
      <c r="J732" s="2" t="b">
        <f t="shared" si="7"/>
        <v>0</v>
      </c>
      <c r="K732" s="2" t="str">
        <f>IFERROR(__xludf.DUMMYFUNCTION("TRIM(JOIN("" "",UNIQUE(TOCOL(ARRAYFORMULA(IF( SPLIT(C732,"" "")=TOCOL(SPLIT(C731,"" "")),SPLIT(C732,"" "")&amp;"" "",""""))))))"),"ANAYA OLIVAS MARITZA")</f>
        <v>ANAYA OLIVAS MARITZA</v>
      </c>
      <c r="L732" s="2" t="str">
        <f t="shared" si="1"/>
        <v/>
      </c>
      <c r="M732" s="2">
        <f t="shared" si="2"/>
        <v>729</v>
      </c>
    </row>
    <row r="733">
      <c r="A733" s="2">
        <f t="shared" si="3"/>
        <v>730</v>
      </c>
      <c r="B733" s="1" t="s">
        <v>719</v>
      </c>
      <c r="C733" s="2" t="s">
        <v>1443</v>
      </c>
      <c r="D733" s="2" t="s">
        <v>193</v>
      </c>
      <c r="E733" s="40"/>
      <c r="F733" s="2" t="s">
        <v>428</v>
      </c>
      <c r="G733" s="2" t="str">
        <f t="shared" si="4"/>
        <v/>
      </c>
      <c r="H733" s="2" t="str">
        <f t="shared" si="5"/>
        <v/>
      </c>
      <c r="I733" s="2" t="str">
        <f t="shared" si="6"/>
        <v>mismo colegio</v>
      </c>
      <c r="J733" s="2" t="b">
        <f t="shared" si="7"/>
        <v>0</v>
      </c>
      <c r="K733" s="2" t="str">
        <f>IFERROR(__xludf.DUMMYFUNCTION("TRIM(JOIN("" "",UNIQUE(TOCOL(ARRAYFORMULA(IF( SPLIT(C733,"" "")=TOCOL(SPLIT(C732,"" "")),SPLIT(C733,"" "")&amp;"" "",""""))))))"),"ANAYA")</f>
        <v>ANAYA</v>
      </c>
      <c r="L733" s="2" t="str">
        <f t="shared" si="1"/>
        <v/>
      </c>
      <c r="M733" s="2">
        <f t="shared" si="2"/>
        <v>730</v>
      </c>
    </row>
    <row r="734">
      <c r="A734" s="2">
        <f t="shared" si="3"/>
        <v>731</v>
      </c>
      <c r="B734" s="1" t="s">
        <v>719</v>
      </c>
      <c r="C734" s="2" t="s">
        <v>760</v>
      </c>
      <c r="D734" s="2" t="s">
        <v>193</v>
      </c>
      <c r="E734" s="2">
        <v>39.0</v>
      </c>
      <c r="F734" s="2" t="s">
        <v>194</v>
      </c>
      <c r="G734" s="2" t="str">
        <f t="shared" si="4"/>
        <v/>
      </c>
      <c r="H734" s="2" t="str">
        <f t="shared" si="5"/>
        <v/>
      </c>
      <c r="I734" s="2" t="str">
        <f t="shared" si="6"/>
        <v>mismo colegio</v>
      </c>
      <c r="J734" s="2" t="b">
        <f t="shared" si="7"/>
        <v>0</v>
      </c>
      <c r="K734" s="2" t="str">
        <f>IFERROR(__xludf.DUMMYFUNCTION("TRIM(JOIN("" "",UNIQUE(TOCOL(ARRAYFORMULA(IF( SPLIT(C734,"" "")=TOCOL(SPLIT(C733,"" "")),SPLIT(C734,"" "")&amp;"" "",""""))))))"),"ANAYA")</f>
        <v>ANAYA</v>
      </c>
      <c r="L734" s="2" t="str">
        <f t="shared" si="1"/>
        <v/>
      </c>
      <c r="M734" s="2">
        <f t="shared" si="2"/>
        <v>731</v>
      </c>
    </row>
    <row r="735">
      <c r="A735" s="2">
        <f t="shared" si="3"/>
        <v>732</v>
      </c>
      <c r="B735" s="1" t="s">
        <v>719</v>
      </c>
      <c r="C735" s="2" t="s">
        <v>729</v>
      </c>
      <c r="D735" s="2" t="s">
        <v>193</v>
      </c>
      <c r="E735" s="2">
        <v>36.0</v>
      </c>
      <c r="F735" s="2" t="s">
        <v>194</v>
      </c>
      <c r="G735" s="2" t="str">
        <f t="shared" si="4"/>
        <v/>
      </c>
      <c r="H735" s="2" t="str">
        <f t="shared" si="5"/>
        <v/>
      </c>
      <c r="I735" s="2" t="str">
        <f t="shared" si="6"/>
        <v>mismo colegio</v>
      </c>
      <c r="J735" s="2" t="b">
        <f t="shared" si="7"/>
        <v>1</v>
      </c>
      <c r="K735" s="2" t="str">
        <f>IFERROR(__xludf.DUMMYFUNCTION("TRIM(JOIN("" "",UNIQUE(TOCOL(ARRAYFORMULA(IF( SPLIT(C735,"" "")=TOCOL(SPLIT(C734,"" "")),SPLIT(C735,"" "")&amp;"" "",""""))))))"),"ANAYA LOARTE")</f>
        <v>ANAYA LOARTE</v>
      </c>
      <c r="L735" s="2" t="str">
        <f t="shared" si="1"/>
        <v/>
      </c>
      <c r="M735" s="2">
        <f t="shared" si="2"/>
        <v>732</v>
      </c>
    </row>
    <row r="736">
      <c r="A736" s="2">
        <f t="shared" si="3"/>
        <v>733</v>
      </c>
      <c r="B736" s="1" t="s">
        <v>693</v>
      </c>
      <c r="C736" s="2" t="s">
        <v>1366</v>
      </c>
      <c r="D736" s="2" t="s">
        <v>193</v>
      </c>
      <c r="E736" s="2">
        <v>25.0</v>
      </c>
      <c r="F736" s="2" t="s">
        <v>428</v>
      </c>
      <c r="G736" s="2" t="str">
        <f t="shared" si="4"/>
        <v/>
      </c>
      <c r="H736" s="2" t="str">
        <f t="shared" si="5"/>
        <v/>
      </c>
      <c r="I736" s="2" t="str">
        <f t="shared" si="6"/>
        <v/>
      </c>
      <c r="J736" s="2" t="b">
        <f t="shared" si="7"/>
        <v>0</v>
      </c>
      <c r="K736" s="2" t="str">
        <f>IFERROR(__xludf.DUMMYFUNCTION("TRIM(JOIN("" "",UNIQUE(TOCOL(ARRAYFORMULA(IF( SPLIT(C736,"" "")=TOCOL(SPLIT(C735,"" "")),SPLIT(C736,"" "")&amp;"" "",""""))))))"),"ANAYA")</f>
        <v>ANAYA</v>
      </c>
      <c r="L736" s="2" t="str">
        <f t="shared" si="1"/>
        <v/>
      </c>
      <c r="M736" s="2">
        <f t="shared" si="2"/>
        <v>733</v>
      </c>
    </row>
    <row r="737">
      <c r="A737" s="2">
        <f t="shared" si="3"/>
        <v>734</v>
      </c>
      <c r="B737" s="1" t="s">
        <v>693</v>
      </c>
      <c r="C737" s="2" t="s">
        <v>1380</v>
      </c>
      <c r="D737" s="2" t="s">
        <v>193</v>
      </c>
      <c r="E737" s="2">
        <v>25.0</v>
      </c>
      <c r="F737" s="2" t="s">
        <v>428</v>
      </c>
      <c r="G737" s="2" t="str">
        <f t="shared" si="4"/>
        <v>misma edad</v>
      </c>
      <c r="H737" s="2" t="str">
        <f t="shared" si="5"/>
        <v/>
      </c>
      <c r="I737" s="2" t="str">
        <f t="shared" si="6"/>
        <v>mismo colegio</v>
      </c>
      <c r="J737" s="2" t="b">
        <f t="shared" si="7"/>
        <v>1</v>
      </c>
      <c r="K737" s="2" t="str">
        <f>IFERROR(__xludf.DUMMYFUNCTION("TRIM(JOIN("" "",UNIQUE(TOCOL(ARRAYFORMULA(IF( SPLIT(C737,"" "")=TOCOL(SPLIT(C736,"" "")),SPLIT(C737,"" "")&amp;"" "",""""))))))"),"ANAYA DAVILA")</f>
        <v>ANAYA DAVILA</v>
      </c>
      <c r="L737" s="2" t="str">
        <f t="shared" si="1"/>
        <v/>
      </c>
      <c r="M737" s="2">
        <f t="shared" si="2"/>
        <v>734</v>
      </c>
    </row>
    <row r="738">
      <c r="A738" s="2">
        <f t="shared" si="3"/>
        <v>735</v>
      </c>
      <c r="B738" s="1" t="s">
        <v>719</v>
      </c>
      <c r="C738" s="2" t="s">
        <v>758</v>
      </c>
      <c r="D738" s="2" t="s">
        <v>193</v>
      </c>
      <c r="E738" s="2">
        <v>24.0</v>
      </c>
      <c r="F738" s="2" t="s">
        <v>194</v>
      </c>
      <c r="G738" s="2" t="str">
        <f t="shared" si="4"/>
        <v/>
      </c>
      <c r="H738" s="2" t="str">
        <f t="shared" si="5"/>
        <v/>
      </c>
      <c r="I738" s="2" t="str">
        <f t="shared" si="6"/>
        <v/>
      </c>
      <c r="J738" s="2" t="b">
        <f t="shared" si="7"/>
        <v>0</v>
      </c>
      <c r="K738" s="2" t="str">
        <f>IFERROR(__xludf.DUMMYFUNCTION("TRIM(JOIN("" "",UNIQUE(TOCOL(ARRAYFORMULA(IF( SPLIT(C738,"" "")=TOCOL(SPLIT(C737,"" "")),SPLIT(C738,"" "")&amp;"" "",""""))))))"),"ANAYA")</f>
        <v>ANAYA</v>
      </c>
      <c r="L738" s="2" t="str">
        <f t="shared" si="1"/>
        <v/>
      </c>
      <c r="M738" s="2">
        <f t="shared" si="2"/>
        <v>735</v>
      </c>
    </row>
    <row r="739">
      <c r="A739" s="2">
        <f t="shared" si="3"/>
        <v>736</v>
      </c>
      <c r="B739" s="1" t="s">
        <v>719</v>
      </c>
      <c r="C739" s="2" t="s">
        <v>758</v>
      </c>
      <c r="D739" s="2" t="s">
        <v>193</v>
      </c>
      <c r="E739" s="2">
        <v>24.0</v>
      </c>
      <c r="F739" s="2" t="s">
        <v>428</v>
      </c>
      <c r="G739" s="2" t="str">
        <f t="shared" si="4"/>
        <v>misma edad</v>
      </c>
      <c r="H739" s="2" t="str">
        <f t="shared" si="5"/>
        <v>mismo nombre</v>
      </c>
      <c r="I739" s="2" t="str">
        <f t="shared" si="6"/>
        <v>mismo colegio</v>
      </c>
      <c r="J739" s="2" t="b">
        <f t="shared" si="7"/>
        <v>0</v>
      </c>
      <c r="K739" s="2" t="str">
        <f>IFERROR(__xludf.DUMMYFUNCTION("TRIM(JOIN("" "",UNIQUE(TOCOL(ARRAYFORMULA(IF( SPLIT(C739,"" "")=TOCOL(SPLIT(C738,"" "")),SPLIT(C739,"" "")&amp;"" "",""""))))))"),"ANAYA CRUZ LILA")</f>
        <v>ANAYA CRUZ LILA</v>
      </c>
      <c r="L739" s="2" t="str">
        <f t="shared" si="1"/>
        <v/>
      </c>
      <c r="M739" s="2">
        <f t="shared" si="2"/>
        <v>735</v>
      </c>
    </row>
    <row r="740">
      <c r="A740" s="2">
        <f t="shared" si="3"/>
        <v>737</v>
      </c>
      <c r="B740" s="1" t="s">
        <v>719</v>
      </c>
      <c r="C740" s="2" t="s">
        <v>768</v>
      </c>
      <c r="D740" s="2" t="s">
        <v>193</v>
      </c>
      <c r="E740" s="2">
        <v>28.0</v>
      </c>
      <c r="F740" s="2" t="s">
        <v>194</v>
      </c>
      <c r="G740" s="2" t="str">
        <f t="shared" si="4"/>
        <v/>
      </c>
      <c r="H740" s="2" t="str">
        <f t="shared" si="5"/>
        <v/>
      </c>
      <c r="I740" s="2" t="str">
        <f t="shared" si="6"/>
        <v>mismo colegio</v>
      </c>
      <c r="J740" s="2" t="b">
        <f t="shared" si="7"/>
        <v>0</v>
      </c>
      <c r="K740" s="2" t="str">
        <f>IFERROR(__xludf.DUMMYFUNCTION("TRIM(JOIN("" "",UNIQUE(TOCOL(ARRAYFORMULA(IF( SPLIT(C740,"" "")=TOCOL(SPLIT(C739,"" "")),SPLIT(C740,"" "")&amp;"" "",""""))))))"),"ANAYA")</f>
        <v>ANAYA</v>
      </c>
      <c r="L740" s="2" t="str">
        <f t="shared" si="1"/>
        <v/>
      </c>
      <c r="M740" s="2">
        <f t="shared" si="2"/>
        <v>737</v>
      </c>
    </row>
    <row r="741">
      <c r="A741" s="2">
        <f t="shared" si="3"/>
        <v>738</v>
      </c>
      <c r="B741" s="1" t="s">
        <v>719</v>
      </c>
      <c r="C741" s="2" t="s">
        <v>768</v>
      </c>
      <c r="D741" s="2" t="s">
        <v>193</v>
      </c>
      <c r="E741" s="2">
        <v>55.0</v>
      </c>
      <c r="F741" s="2" t="s">
        <v>428</v>
      </c>
      <c r="G741" s="2" t="str">
        <f t="shared" si="4"/>
        <v/>
      </c>
      <c r="H741" s="2" t="str">
        <f t="shared" si="5"/>
        <v>mismo nombre</v>
      </c>
      <c r="I741" s="2" t="str">
        <f t="shared" si="6"/>
        <v>mismo colegio</v>
      </c>
      <c r="J741" s="2" t="b">
        <f t="shared" si="7"/>
        <v>0</v>
      </c>
      <c r="K741" s="2" t="str">
        <f>IFERROR(__xludf.DUMMYFUNCTION("TRIM(JOIN("" "",UNIQUE(TOCOL(ARRAYFORMULA(IF( SPLIT(C741,"" "")=TOCOL(SPLIT(C740,"" "")),SPLIT(C741,"" "")&amp;"" "",""""))))))"),"ANAYA BRIOSO DALIA")</f>
        <v>ANAYA BRIOSO DALIA</v>
      </c>
      <c r="L741" s="2" t="str">
        <f t="shared" si="1"/>
        <v/>
      </c>
      <c r="M741" s="2">
        <f t="shared" si="2"/>
        <v>737</v>
      </c>
    </row>
    <row r="742">
      <c r="A742" s="2">
        <f t="shared" si="3"/>
        <v>739</v>
      </c>
      <c r="B742" s="1" t="s">
        <v>719</v>
      </c>
      <c r="C742" s="2" t="s">
        <v>723</v>
      </c>
      <c r="D742" s="2" t="s">
        <v>222</v>
      </c>
      <c r="E742" s="2">
        <v>35.0</v>
      </c>
      <c r="F742" s="2" t="s">
        <v>194</v>
      </c>
      <c r="G742" s="2" t="str">
        <f t="shared" si="4"/>
        <v/>
      </c>
      <c r="H742" s="2" t="str">
        <f t="shared" si="5"/>
        <v/>
      </c>
      <c r="I742" s="2" t="str">
        <f t="shared" si="6"/>
        <v>mismo colegio</v>
      </c>
      <c r="J742" s="2" t="b">
        <f t="shared" si="7"/>
        <v>0</v>
      </c>
      <c r="K742" s="2" t="str">
        <f>IFERROR(__xludf.DUMMYFUNCTION("TRIM(JOIN("" "",UNIQUE(TOCOL(ARRAYFORMULA(IF( SPLIT(C742,"" "")=TOCOL(SPLIT(C741,"" "")),SPLIT(C742,"" "")&amp;"" "",""""))))))"),"ANAYA")</f>
        <v>ANAYA</v>
      </c>
      <c r="L742" s="2" t="str">
        <f t="shared" si="1"/>
        <v/>
      </c>
      <c r="M742" s="2">
        <f t="shared" si="2"/>
        <v>739</v>
      </c>
    </row>
    <row r="743">
      <c r="A743" s="2">
        <f t="shared" si="3"/>
        <v>740</v>
      </c>
      <c r="B743" s="1" t="s">
        <v>911</v>
      </c>
      <c r="C743" s="2" t="s">
        <v>916</v>
      </c>
      <c r="D743" s="2" t="s">
        <v>193</v>
      </c>
      <c r="E743" s="2">
        <v>26.0</v>
      </c>
      <c r="F743" s="2" t="s">
        <v>194</v>
      </c>
      <c r="G743" s="2" t="str">
        <f t="shared" si="4"/>
        <v/>
      </c>
      <c r="H743" s="2" t="str">
        <f t="shared" si="5"/>
        <v/>
      </c>
      <c r="I743" s="2" t="str">
        <f t="shared" si="6"/>
        <v/>
      </c>
      <c r="J743" s="2" t="b">
        <f t="shared" si="7"/>
        <v>1</v>
      </c>
      <c r="K743" s="2" t="str">
        <f>IFERROR(__xludf.DUMMYFUNCTION("TRIM(JOIN("" "",UNIQUE(TOCOL(ARRAYFORMULA(IF( SPLIT(C743,"" "")=TOCOL(SPLIT(C742,"" "")),SPLIT(C743,"" "")&amp;"" "",""""))))))"),"")</f>
        <v/>
      </c>
      <c r="L743" s="2" t="str">
        <f t="shared" si="1"/>
        <v/>
      </c>
      <c r="M743" s="2">
        <f t="shared" si="2"/>
        <v>740</v>
      </c>
    </row>
    <row r="744">
      <c r="A744" s="2">
        <f t="shared" si="3"/>
        <v>741</v>
      </c>
      <c r="B744" s="1" t="s">
        <v>634</v>
      </c>
      <c r="C744" s="2" t="s">
        <v>650</v>
      </c>
      <c r="D744" s="2" t="s">
        <v>193</v>
      </c>
      <c r="E744" s="2">
        <v>25.0</v>
      </c>
      <c r="F744" s="2" t="s">
        <v>194</v>
      </c>
      <c r="G744" s="2" t="str">
        <f t="shared" si="4"/>
        <v/>
      </c>
      <c r="H744" s="2" t="str">
        <f t="shared" si="5"/>
        <v/>
      </c>
      <c r="I744" s="2" t="str">
        <f t="shared" si="6"/>
        <v/>
      </c>
      <c r="J744" s="2" t="b">
        <f t="shared" si="7"/>
        <v>1</v>
      </c>
      <c r="K744" s="2" t="str">
        <f>IFERROR(__xludf.DUMMYFUNCTION("TRIM(JOIN("" "",UNIQUE(TOCOL(ARRAYFORMULA(IF( SPLIT(C744,"" "")=TOCOL(SPLIT(C743,"" "")),SPLIT(C744,"" "")&amp;"" "",""""))))))"),"")</f>
        <v/>
      </c>
      <c r="L744" s="2" t="str">
        <f t="shared" si="1"/>
        <v/>
      </c>
      <c r="M744" s="2">
        <f t="shared" si="2"/>
        <v>741</v>
      </c>
    </row>
    <row r="745">
      <c r="A745" s="2">
        <f t="shared" si="3"/>
        <v>742</v>
      </c>
      <c r="B745" s="1" t="s">
        <v>634</v>
      </c>
      <c r="C745" s="2" t="s">
        <v>650</v>
      </c>
      <c r="D745" s="2" t="s">
        <v>193</v>
      </c>
      <c r="E745" s="2">
        <v>26.0</v>
      </c>
      <c r="F745" s="2" t="s">
        <v>428</v>
      </c>
      <c r="G745" s="2" t="str">
        <f t="shared" si="4"/>
        <v/>
      </c>
      <c r="H745" s="2" t="str">
        <f t="shared" si="5"/>
        <v>mismo nombre</v>
      </c>
      <c r="I745" s="2" t="str">
        <f t="shared" si="6"/>
        <v>mismo colegio</v>
      </c>
      <c r="J745" s="2" t="b">
        <f t="shared" si="7"/>
        <v>0</v>
      </c>
      <c r="K745" s="2" t="str">
        <f>IFERROR(__xludf.DUMMYFUNCTION("TRIM(JOIN("" "",UNIQUE(TOCOL(ARRAYFORMULA(IF( SPLIT(C745,"" "")=TOCOL(SPLIT(C744,"" "")),SPLIT(C745,"" "")&amp;"" "",""""))))))"),"AMARO VALDIVIA KATHERINE")</f>
        <v>AMARO VALDIVIA KATHERINE</v>
      </c>
      <c r="L745" s="2" t="str">
        <f t="shared" si="1"/>
        <v/>
      </c>
      <c r="M745" s="2">
        <f t="shared" si="2"/>
        <v>741</v>
      </c>
    </row>
    <row r="746">
      <c r="A746" s="2">
        <f t="shared" si="3"/>
        <v>743</v>
      </c>
      <c r="B746" s="1" t="s">
        <v>634</v>
      </c>
      <c r="C746" s="2" t="s">
        <v>660</v>
      </c>
      <c r="D746" s="2" t="s">
        <v>193</v>
      </c>
      <c r="E746" s="2">
        <v>21.0</v>
      </c>
      <c r="F746" s="2" t="s">
        <v>194</v>
      </c>
      <c r="G746" s="2" t="str">
        <f t="shared" si="4"/>
        <v/>
      </c>
      <c r="H746" s="2" t="str">
        <f t="shared" si="5"/>
        <v/>
      </c>
      <c r="I746" s="2" t="str">
        <f t="shared" si="6"/>
        <v>mismo colegio</v>
      </c>
      <c r="J746" s="2" t="b">
        <f t="shared" si="7"/>
        <v>0</v>
      </c>
      <c r="K746" s="2" t="str">
        <f>IFERROR(__xludf.DUMMYFUNCTION("TRIM(JOIN("" "",UNIQUE(TOCOL(ARRAYFORMULA(IF( SPLIT(C746,"" "")=TOCOL(SPLIT(C745,"" "")),SPLIT(C746,"" "")&amp;"" "",""""))))))"),"")</f>
        <v/>
      </c>
      <c r="L746" s="2" t="str">
        <f t="shared" si="1"/>
        <v/>
      </c>
      <c r="M746" s="2">
        <f t="shared" si="2"/>
        <v>743</v>
      </c>
    </row>
    <row r="747">
      <c r="A747" s="2">
        <f t="shared" si="3"/>
        <v>744</v>
      </c>
      <c r="B747" s="1" t="s">
        <v>87</v>
      </c>
      <c r="C747" s="2" t="s">
        <v>441</v>
      </c>
      <c r="D747" s="2" t="s">
        <v>193</v>
      </c>
      <c r="E747" s="2"/>
      <c r="F747" s="2" t="s">
        <v>428</v>
      </c>
      <c r="G747" s="2" t="str">
        <f t="shared" si="4"/>
        <v/>
      </c>
      <c r="H747" s="2" t="str">
        <f t="shared" si="5"/>
        <v/>
      </c>
      <c r="I747" s="2" t="str">
        <f t="shared" si="6"/>
        <v/>
      </c>
      <c r="J747" s="2" t="b">
        <f t="shared" si="7"/>
        <v>0</v>
      </c>
      <c r="K747" s="2" t="str">
        <f>IFERROR(__xludf.DUMMYFUNCTION("TRIM(JOIN("" "",UNIQUE(TOCOL(ARRAYFORMULA(IF( SPLIT(C747,"" "")=TOCOL(SPLIT(C746,"" "")),SPLIT(C747,"" "")&amp;"" "",""""))))))"),"")</f>
        <v/>
      </c>
      <c r="L747" s="2" t="str">
        <f t="shared" si="1"/>
        <v/>
      </c>
      <c r="M747" s="2">
        <f t="shared" si="2"/>
        <v>744</v>
      </c>
    </row>
    <row r="748">
      <c r="A748" s="2">
        <f t="shared" si="3"/>
        <v>745</v>
      </c>
      <c r="B748" s="1" t="s">
        <v>775</v>
      </c>
      <c r="C748" s="2" t="s">
        <v>1445</v>
      </c>
      <c r="D748" s="2" t="s">
        <v>193</v>
      </c>
      <c r="E748" s="2">
        <v>29.0</v>
      </c>
      <c r="F748" s="2" t="s">
        <v>428</v>
      </c>
      <c r="G748" s="2" t="str">
        <f t="shared" si="4"/>
        <v/>
      </c>
      <c r="H748" s="2" t="str">
        <f t="shared" si="5"/>
        <v/>
      </c>
      <c r="I748" s="2" t="str">
        <f t="shared" si="6"/>
        <v/>
      </c>
      <c r="J748" s="2" t="b">
        <f t="shared" si="7"/>
        <v>1</v>
      </c>
      <c r="K748" s="2" t="str">
        <f>IFERROR(__xludf.DUMMYFUNCTION("TRIM(JOIN("" "",UNIQUE(TOCOL(ARRAYFORMULA(IF( SPLIT(C748,"" "")=TOCOL(SPLIT(C747,"" "")),SPLIT(C748,"" "")&amp;"" "",""""))))))"),"")</f>
        <v/>
      </c>
      <c r="L748" s="2" t="str">
        <f t="shared" si="1"/>
        <v>-&gt;WITH THIS</v>
      </c>
      <c r="M748" s="2">
        <f t="shared" si="2"/>
        <v>745</v>
      </c>
    </row>
    <row r="749">
      <c r="A749" s="2">
        <f t="shared" si="3"/>
        <v>746</v>
      </c>
      <c r="B749" s="1" t="s">
        <v>775</v>
      </c>
      <c r="C749" s="2" t="s">
        <v>785</v>
      </c>
      <c r="D749" s="2" t="s">
        <v>193</v>
      </c>
      <c r="E749" s="2">
        <v>29.0</v>
      </c>
      <c r="F749" s="2" t="s">
        <v>194</v>
      </c>
      <c r="G749" s="2" t="str">
        <f t="shared" si="4"/>
        <v>misma edad</v>
      </c>
      <c r="H749" s="2" t="str">
        <f t="shared" si="5"/>
        <v/>
      </c>
      <c r="I749" s="2" t="str">
        <f t="shared" si="6"/>
        <v>mismo colegio</v>
      </c>
      <c r="J749" s="2" t="b">
        <f t="shared" si="7"/>
        <v>0</v>
      </c>
      <c r="K749" s="2" t="str">
        <f>IFERROR(__xludf.DUMMYFUNCTION("TRIM(JOIN("" "",UNIQUE(TOCOL(ARRAYFORMULA(IF( SPLIT(C749,"" "")=TOCOL(SPLIT(C748,"" "")),SPLIT(C749,"" "")&amp;"" "",""""))))))"),"ALMERCON VERAMENDI BETY")</f>
        <v>ALMERCON VERAMENDI BETY</v>
      </c>
      <c r="L749" s="2" t="str">
        <f t="shared" si="1"/>
        <v>EVALUAR</v>
      </c>
      <c r="M749" s="2">
        <f t="shared" si="2"/>
        <v>746</v>
      </c>
    </row>
    <row r="750">
      <c r="A750" s="2">
        <f t="shared" si="3"/>
        <v>747</v>
      </c>
      <c r="B750" s="1" t="s">
        <v>928</v>
      </c>
      <c r="C750" s="2" t="s">
        <v>1316</v>
      </c>
      <c r="D750" s="2" t="s">
        <v>193</v>
      </c>
      <c r="E750" s="2">
        <v>38.0</v>
      </c>
      <c r="F750" s="2" t="s">
        <v>428</v>
      </c>
      <c r="G750" s="2" t="str">
        <f t="shared" si="4"/>
        <v/>
      </c>
      <c r="H750" s="2" t="str">
        <f t="shared" si="5"/>
        <v/>
      </c>
      <c r="I750" s="2" t="str">
        <f t="shared" si="6"/>
        <v/>
      </c>
      <c r="J750" s="2" t="b">
        <f t="shared" si="7"/>
        <v>0</v>
      </c>
      <c r="K750" s="2" t="str">
        <f>IFERROR(__xludf.DUMMYFUNCTION("TRIM(JOIN("" "",UNIQUE(TOCOL(ARRAYFORMULA(IF( SPLIT(C750,"" "")=TOCOL(SPLIT(C749,"" "")),SPLIT(C750,"" "")&amp;"" "",""""))))))"),"")</f>
        <v/>
      </c>
      <c r="L750" s="2" t="str">
        <f t="shared" si="1"/>
        <v/>
      </c>
      <c r="M750" s="2">
        <f t="shared" si="2"/>
        <v>747</v>
      </c>
    </row>
    <row r="751">
      <c r="A751" s="2">
        <f t="shared" si="3"/>
        <v>748</v>
      </c>
      <c r="B751" s="1" t="s">
        <v>226</v>
      </c>
      <c r="C751" s="2" t="s">
        <v>1095</v>
      </c>
      <c r="D751" s="2" t="s">
        <v>193</v>
      </c>
      <c r="E751" s="2">
        <v>30.0</v>
      </c>
      <c r="F751" s="2" t="s">
        <v>428</v>
      </c>
      <c r="G751" s="2" t="str">
        <f t="shared" si="4"/>
        <v/>
      </c>
      <c r="H751" s="2" t="str">
        <f t="shared" si="5"/>
        <v/>
      </c>
      <c r="I751" s="2" t="str">
        <f t="shared" si="6"/>
        <v/>
      </c>
      <c r="J751" s="2" t="b">
        <f t="shared" si="7"/>
        <v>1</v>
      </c>
      <c r="K751" s="2" t="str">
        <f>IFERROR(__xludf.DUMMYFUNCTION("TRIM(JOIN("" "",UNIQUE(TOCOL(ARRAYFORMULA(IF( SPLIT(C751,"" "")=TOCOL(SPLIT(C750,"" "")),SPLIT(C751,"" "")&amp;"" "",""""))))))"),"ALICIA")</f>
        <v>ALICIA</v>
      </c>
      <c r="L751" s="2" t="str">
        <f t="shared" si="1"/>
        <v/>
      </c>
      <c r="M751" s="2">
        <f t="shared" si="2"/>
        <v>748</v>
      </c>
    </row>
    <row r="752">
      <c r="A752" s="2">
        <f t="shared" si="3"/>
        <v>749</v>
      </c>
      <c r="B752" s="1" t="s">
        <v>994</v>
      </c>
      <c r="C752" s="2" t="s">
        <v>1205</v>
      </c>
      <c r="D752" s="2" t="s">
        <v>193</v>
      </c>
      <c r="E752" s="2">
        <v>41.0</v>
      </c>
      <c r="F752" s="2" t="s">
        <v>428</v>
      </c>
      <c r="G752" s="2" t="str">
        <f t="shared" si="4"/>
        <v/>
      </c>
      <c r="H752" s="2" t="str">
        <f t="shared" si="5"/>
        <v/>
      </c>
      <c r="I752" s="2" t="str">
        <f t="shared" si="6"/>
        <v/>
      </c>
      <c r="J752" s="2" t="b">
        <f t="shared" si="7"/>
        <v>1</v>
      </c>
      <c r="K752" s="2" t="str">
        <f>IFERROR(__xludf.DUMMYFUNCTION("TRIM(JOIN("" "",UNIQUE(TOCOL(ARRAYFORMULA(IF( SPLIT(C752,"" "")=TOCOL(SPLIT(C751,"" "")),SPLIT(C752,"" "")&amp;"" "",""""))))))"),"")</f>
        <v/>
      </c>
      <c r="L752" s="2" t="str">
        <f t="shared" si="1"/>
        <v/>
      </c>
      <c r="M752" s="2">
        <f t="shared" si="2"/>
        <v>749</v>
      </c>
    </row>
    <row r="753">
      <c r="A753" s="2">
        <f t="shared" si="3"/>
        <v>750</v>
      </c>
      <c r="B753" s="1" t="s">
        <v>968</v>
      </c>
      <c r="C753" s="2" t="s">
        <v>984</v>
      </c>
      <c r="D753" s="2" t="s">
        <v>193</v>
      </c>
      <c r="E753" s="2">
        <v>26.0</v>
      </c>
      <c r="F753" s="2" t="s">
        <v>194</v>
      </c>
      <c r="G753" s="2" t="str">
        <f t="shared" si="4"/>
        <v/>
      </c>
      <c r="H753" s="2" t="str">
        <f t="shared" si="5"/>
        <v/>
      </c>
      <c r="I753" s="2" t="str">
        <f t="shared" si="6"/>
        <v/>
      </c>
      <c r="J753" s="2" t="b">
        <f t="shared" si="7"/>
        <v>0</v>
      </c>
      <c r="K753" s="2" t="str">
        <f>IFERROR(__xludf.DUMMYFUNCTION("TRIM(JOIN("" "",UNIQUE(TOCOL(ARRAYFORMULA(IF( SPLIT(C753,"" "")=TOCOL(SPLIT(C752,"" "")),SPLIT(C753,"" "")&amp;"" "",""""))))))"),"")</f>
        <v/>
      </c>
      <c r="L753" s="2" t="str">
        <f t="shared" si="1"/>
        <v/>
      </c>
      <c r="M753" s="2">
        <f t="shared" si="2"/>
        <v>750</v>
      </c>
    </row>
    <row r="754">
      <c r="A754" s="2">
        <f t="shared" si="3"/>
        <v>751</v>
      </c>
      <c r="B754" s="1" t="s">
        <v>668</v>
      </c>
      <c r="C754" s="2" t="s">
        <v>1467</v>
      </c>
      <c r="D754" s="2" t="s">
        <v>193</v>
      </c>
      <c r="E754" s="2">
        <v>29.0</v>
      </c>
      <c r="F754" s="2" t="s">
        <v>428</v>
      </c>
      <c r="G754" s="2" t="str">
        <f t="shared" si="4"/>
        <v/>
      </c>
      <c r="H754" s="2" t="str">
        <f t="shared" si="5"/>
        <v/>
      </c>
      <c r="I754" s="2" t="str">
        <f t="shared" si="6"/>
        <v/>
      </c>
      <c r="J754" s="2" t="b">
        <f t="shared" si="7"/>
        <v>0</v>
      </c>
      <c r="K754" s="2" t="str">
        <f>IFERROR(__xludf.DUMMYFUNCTION("TRIM(JOIN("" "",UNIQUE(TOCOL(ARRAYFORMULA(IF( SPLIT(C754,"" "")=TOCOL(SPLIT(C753,"" "")),SPLIT(C754,"" "")&amp;"" "",""""))))))"),"")</f>
        <v/>
      </c>
      <c r="L754" s="2" t="str">
        <f t="shared" si="1"/>
        <v/>
      </c>
      <c r="M754" s="2">
        <f t="shared" si="2"/>
        <v>751</v>
      </c>
    </row>
    <row r="755">
      <c r="A755" s="2">
        <f t="shared" si="3"/>
        <v>752</v>
      </c>
      <c r="B755" s="1" t="s">
        <v>719</v>
      </c>
      <c r="C755" s="2" t="s">
        <v>735</v>
      </c>
      <c r="D755" s="2" t="s">
        <v>193</v>
      </c>
      <c r="E755" s="2">
        <v>26.0</v>
      </c>
      <c r="F755" s="2" t="s">
        <v>194</v>
      </c>
      <c r="G755" s="2" t="str">
        <f t="shared" si="4"/>
        <v/>
      </c>
      <c r="H755" s="2" t="str">
        <f t="shared" si="5"/>
        <v/>
      </c>
      <c r="I755" s="2" t="str">
        <f t="shared" si="6"/>
        <v/>
      </c>
      <c r="J755" s="2" t="b">
        <f t="shared" si="7"/>
        <v>0</v>
      </c>
      <c r="K755" s="2" t="str">
        <f>IFERROR(__xludf.DUMMYFUNCTION("TRIM(JOIN("" "",UNIQUE(TOCOL(ARRAYFORMULA(IF( SPLIT(C755,"" "")=TOCOL(SPLIT(C754,"" "")),SPLIT(C755,"" "")&amp;"" "",""""))))))"),"ALBORNOZ")</f>
        <v>ALBORNOZ</v>
      </c>
      <c r="L755" s="2" t="str">
        <f t="shared" si="1"/>
        <v/>
      </c>
      <c r="M755" s="2">
        <f t="shared" si="2"/>
        <v>752</v>
      </c>
    </row>
    <row r="756">
      <c r="A756" s="2">
        <f t="shared" si="3"/>
        <v>753</v>
      </c>
      <c r="B756" s="1" t="s">
        <v>719</v>
      </c>
      <c r="C756" s="2" t="s">
        <v>735</v>
      </c>
      <c r="D756" s="2" t="s">
        <v>193</v>
      </c>
      <c r="E756" s="2">
        <v>26.0</v>
      </c>
      <c r="F756" s="2" t="s">
        <v>428</v>
      </c>
      <c r="G756" s="2" t="str">
        <f t="shared" si="4"/>
        <v>misma edad</v>
      </c>
      <c r="H756" s="2" t="str">
        <f t="shared" si="5"/>
        <v>mismo nombre</v>
      </c>
      <c r="I756" s="2" t="str">
        <f t="shared" si="6"/>
        <v>mismo colegio</v>
      </c>
      <c r="J756" s="2" t="b">
        <f t="shared" si="7"/>
        <v>0</v>
      </c>
      <c r="K756" s="2" t="str">
        <f>IFERROR(__xludf.DUMMYFUNCTION("TRIM(JOIN("" "",UNIQUE(TOCOL(ARRAYFORMULA(IF( SPLIT(C756,"" "")=TOCOL(SPLIT(C755,"" "")),SPLIT(C756,"" "")&amp;"" "",""""))))))"),"ALBORNOZ GOMEZ DELCI")</f>
        <v>ALBORNOZ GOMEZ DELCI</v>
      </c>
      <c r="L756" s="2" t="str">
        <f t="shared" si="1"/>
        <v/>
      </c>
      <c r="M756" s="2">
        <f t="shared" si="2"/>
        <v>752</v>
      </c>
    </row>
    <row r="757">
      <c r="A757" s="2">
        <f t="shared" si="3"/>
        <v>754</v>
      </c>
      <c r="B757" s="1" t="s">
        <v>994</v>
      </c>
      <c r="C757" s="2" t="s">
        <v>1028</v>
      </c>
      <c r="D757" s="40" t="s">
        <v>193</v>
      </c>
      <c r="E757" s="2">
        <v>30.0</v>
      </c>
      <c r="F757" s="2" t="s">
        <v>194</v>
      </c>
      <c r="G757" s="2" t="str">
        <f t="shared" si="4"/>
        <v/>
      </c>
      <c r="H757" s="2" t="str">
        <f t="shared" si="5"/>
        <v/>
      </c>
      <c r="I757" s="2" t="str">
        <f t="shared" si="6"/>
        <v/>
      </c>
      <c r="J757" s="2" t="b">
        <f t="shared" si="7"/>
        <v>0</v>
      </c>
      <c r="K757" s="2" t="str">
        <f>IFERROR(__xludf.DUMMYFUNCTION("TRIM(JOIN("" "",UNIQUE(TOCOL(ARRAYFORMULA(IF( SPLIT(C757,"" "")=TOCOL(SPLIT(C756,"" "")),SPLIT(C757,"" "")&amp;"" "",""""))))))"),"")</f>
        <v/>
      </c>
      <c r="L757" s="2" t="str">
        <f t="shared" si="1"/>
        <v/>
      </c>
      <c r="M757" s="2">
        <f t="shared" si="2"/>
        <v>754</v>
      </c>
    </row>
    <row r="758">
      <c r="A758" s="2">
        <f t="shared" si="3"/>
        <v>755</v>
      </c>
      <c r="B758" s="1" t="s">
        <v>994</v>
      </c>
      <c r="C758" s="2" t="s">
        <v>1183</v>
      </c>
      <c r="D758" s="2" t="s">
        <v>193</v>
      </c>
      <c r="E758" s="2">
        <v>31.0</v>
      </c>
      <c r="F758" s="2" t="s">
        <v>428</v>
      </c>
      <c r="G758" s="2" t="str">
        <f t="shared" si="4"/>
        <v/>
      </c>
      <c r="H758" s="2" t="str">
        <f t="shared" si="5"/>
        <v/>
      </c>
      <c r="I758" s="2" t="str">
        <f t="shared" si="6"/>
        <v>mismo colegio</v>
      </c>
      <c r="J758" s="2" t="b">
        <f t="shared" si="7"/>
        <v>0</v>
      </c>
      <c r="K758" s="2" t="str">
        <f>IFERROR(__xludf.DUMMYFUNCTION("TRIM(JOIN("" "",UNIQUE(TOCOL(ARRAYFORMULA(IF( SPLIT(C758,"" "")=TOCOL(SPLIT(C757,"" "")),SPLIT(C758,"" "")&amp;"" "",""""))))))"),"ALARCÓN MARÍA DEL CARMEN")</f>
        <v>ALARCÓN MARÍA DEL CARMEN</v>
      </c>
      <c r="L758" s="2" t="str">
        <f t="shared" si="1"/>
        <v/>
      </c>
      <c r="M758" s="2">
        <f t="shared" si="2"/>
        <v>755</v>
      </c>
    </row>
    <row r="759">
      <c r="A759" s="2">
        <f t="shared" si="3"/>
        <v>756</v>
      </c>
      <c r="B759" s="1" t="s">
        <v>190</v>
      </c>
      <c r="C759" s="2" t="s">
        <v>223</v>
      </c>
      <c r="D759" s="2" t="s">
        <v>193</v>
      </c>
      <c r="E759" s="2">
        <v>24.0</v>
      </c>
      <c r="F759" s="2" t="s">
        <v>194</v>
      </c>
      <c r="G759" s="2" t="str">
        <f t="shared" si="4"/>
        <v/>
      </c>
      <c r="H759" s="2" t="str">
        <f t="shared" si="5"/>
        <v/>
      </c>
      <c r="I759" s="2" t="str">
        <f t="shared" si="6"/>
        <v/>
      </c>
      <c r="J759" s="2" t="b">
        <f t="shared" si="7"/>
        <v>0</v>
      </c>
      <c r="K759" s="2" t="str">
        <f>IFERROR(__xludf.DUMMYFUNCTION("TRIM(JOIN("" "",UNIQUE(TOCOL(ARRAYFORMULA(IF( SPLIT(C759,"" "")=TOCOL(SPLIT(C758,"" "")),SPLIT(C759,"" "")&amp;"" "",""""))))))"),"")</f>
        <v/>
      </c>
      <c r="L759" s="2" t="str">
        <f t="shared" si="1"/>
        <v/>
      </c>
      <c r="M759" s="2">
        <f t="shared" si="2"/>
        <v>756</v>
      </c>
    </row>
    <row r="760">
      <c r="A760" s="2">
        <f t="shared" si="3"/>
        <v>757</v>
      </c>
      <c r="B760" s="1" t="s">
        <v>190</v>
      </c>
      <c r="C760" s="2" t="s">
        <v>223</v>
      </c>
      <c r="D760" s="2" t="s">
        <v>193</v>
      </c>
      <c r="E760" s="2">
        <v>24.0</v>
      </c>
      <c r="F760" s="2" t="s">
        <v>428</v>
      </c>
      <c r="G760" s="2" t="str">
        <f t="shared" si="4"/>
        <v>misma edad</v>
      </c>
      <c r="H760" s="2" t="str">
        <f t="shared" si="5"/>
        <v>mismo nombre</v>
      </c>
      <c r="I760" s="2" t="str">
        <f t="shared" si="6"/>
        <v>mismo colegio</v>
      </c>
      <c r="J760" s="2" t="b">
        <f t="shared" si="7"/>
        <v>0</v>
      </c>
      <c r="K760" s="2" t="str">
        <f>IFERROR(__xludf.DUMMYFUNCTION("TRIM(JOIN("" "",UNIQUE(TOCOL(ARRAYFORMULA(IF( SPLIT(C760,"" "")=TOCOL(SPLIT(C759,"" "")),SPLIT(C760,"" "")&amp;"" "",""""))))))"),"AIDA FLOR RIVERA VALENZUELA")</f>
        <v>AIDA FLOR RIVERA VALENZUELA</v>
      </c>
      <c r="L760" s="2" t="str">
        <f t="shared" si="1"/>
        <v/>
      </c>
      <c r="M760" s="2">
        <f t="shared" si="2"/>
        <v>756</v>
      </c>
    </row>
    <row r="761">
      <c r="A761" s="2">
        <f t="shared" si="3"/>
        <v>758</v>
      </c>
      <c r="B761" s="1" t="s">
        <v>719</v>
      </c>
      <c r="C761" s="2" t="s">
        <v>1439</v>
      </c>
      <c r="D761" s="2" t="s">
        <v>193</v>
      </c>
      <c r="E761" s="2">
        <v>39.0</v>
      </c>
      <c r="F761" s="2" t="s">
        <v>428</v>
      </c>
      <c r="G761" s="2" t="str">
        <f t="shared" si="4"/>
        <v/>
      </c>
      <c r="H761" s="2" t="str">
        <f t="shared" si="5"/>
        <v/>
      </c>
      <c r="I761" s="2" t="str">
        <f t="shared" si="6"/>
        <v/>
      </c>
      <c r="J761" s="2" t="b">
        <f t="shared" si="7"/>
        <v>1</v>
      </c>
      <c r="K761" s="2" t="str">
        <f>IFERROR(__xludf.DUMMYFUNCTION("TRIM(JOIN("" "",UNIQUE(TOCOL(ARRAYFORMULA(IF( SPLIT(C761,"" "")=TOCOL(SPLIT(C760,"" "")),SPLIT(C761,"" "")&amp;"" "",""""))))))"),"")</f>
        <v/>
      </c>
      <c r="L761" s="2" t="str">
        <f t="shared" si="1"/>
        <v/>
      </c>
      <c r="M761" s="2">
        <f t="shared" si="2"/>
        <v>758</v>
      </c>
    </row>
    <row r="762">
      <c r="A762" s="2">
        <f t="shared" si="3"/>
        <v>759</v>
      </c>
      <c r="B762" s="1" t="s">
        <v>719</v>
      </c>
      <c r="C762" s="2" t="s">
        <v>762</v>
      </c>
      <c r="D762" s="2" t="s">
        <v>193</v>
      </c>
      <c r="E762" s="2" t="s">
        <v>644</v>
      </c>
      <c r="F762" s="2" t="s">
        <v>194</v>
      </c>
      <c r="G762" s="2" t="str">
        <f t="shared" si="4"/>
        <v/>
      </c>
      <c r="H762" s="2" t="str">
        <f t="shared" si="5"/>
        <v/>
      </c>
      <c r="I762" s="2" t="str">
        <f t="shared" si="6"/>
        <v>mismo colegio</v>
      </c>
      <c r="J762" s="2" t="b">
        <f t="shared" si="7"/>
        <v>0</v>
      </c>
      <c r="K762" s="2" t="str">
        <f>IFERROR(__xludf.DUMMYFUNCTION("TRIM(JOIN("" "",UNIQUE(TOCOL(ARRAYFORMULA(IF( SPLIT(C762,"" "")=TOCOL(SPLIT(C761,"" "")),SPLIT(C762,"" "")&amp;"" "",""""))))))"),"")</f>
        <v/>
      </c>
      <c r="L762" s="2" t="str">
        <f t="shared" si="1"/>
        <v/>
      </c>
      <c r="M762" s="2">
        <f t="shared" si="2"/>
        <v>759</v>
      </c>
    </row>
    <row r="763">
      <c r="A763" s="2">
        <f t="shared" si="3"/>
        <v>760</v>
      </c>
      <c r="B763" s="1" t="s">
        <v>144</v>
      </c>
      <c r="C763" s="2" t="s">
        <v>561</v>
      </c>
      <c r="D763" s="2" t="s">
        <v>193</v>
      </c>
      <c r="E763" s="2">
        <v>25.0</v>
      </c>
      <c r="F763" s="2" t="s">
        <v>194</v>
      </c>
      <c r="G763" s="2" t="str">
        <f t="shared" si="4"/>
        <v/>
      </c>
      <c r="H763" s="2" t="str">
        <f t="shared" si="5"/>
        <v/>
      </c>
      <c r="I763" s="2" t="str">
        <f t="shared" si="6"/>
        <v/>
      </c>
      <c r="J763" s="2" t="b">
        <f t="shared" si="7"/>
        <v>1</v>
      </c>
      <c r="K763" s="2" t="str">
        <f>IFERROR(__xludf.DUMMYFUNCTION("TRIM(JOIN("" "",UNIQUE(TOCOL(ARRAYFORMULA(IF( SPLIT(C763,"" "")=TOCOL(SPLIT(C762,"" "")),SPLIT(C763,"" "")&amp;"" "",""""))))))"),"AGUIRRE CASTRO")</f>
        <v>AGUIRRE CASTRO</v>
      </c>
      <c r="L763" s="2" t="str">
        <f t="shared" si="1"/>
        <v/>
      </c>
      <c r="M763" s="2">
        <f t="shared" si="2"/>
        <v>760</v>
      </c>
    </row>
    <row r="764">
      <c r="A764" s="2">
        <f t="shared" si="3"/>
        <v>761</v>
      </c>
      <c r="B764" s="1" t="s">
        <v>144</v>
      </c>
      <c r="C764" s="2" t="s">
        <v>565</v>
      </c>
      <c r="D764" s="2" t="s">
        <v>193</v>
      </c>
      <c r="E764" s="2">
        <v>25.0</v>
      </c>
      <c r="F764" s="2" t="s">
        <v>194</v>
      </c>
      <c r="G764" s="2" t="str">
        <f t="shared" si="4"/>
        <v>misma edad</v>
      </c>
      <c r="H764" s="2" t="str">
        <f t="shared" si="5"/>
        <v/>
      </c>
      <c r="I764" s="2" t="str">
        <f t="shared" si="6"/>
        <v>mismo colegio</v>
      </c>
      <c r="J764" s="2" t="b">
        <f t="shared" si="7"/>
        <v>1</v>
      </c>
      <c r="K764" s="2" t="str">
        <f>IFERROR(__xludf.DUMMYFUNCTION("TRIM(JOIN("" "",UNIQUE(TOCOL(ARRAYFORMULA(IF( SPLIT(C764,"" "")=TOCOL(SPLIT(C763,"" "")),SPLIT(C764,"" "")&amp;"" "",""""))))))"),"AGUIRRE CASTRO")</f>
        <v>AGUIRRE CASTRO</v>
      </c>
      <c r="L764" s="2" t="str">
        <f t="shared" si="1"/>
        <v/>
      </c>
      <c r="M764" s="2">
        <f t="shared" si="2"/>
        <v>761</v>
      </c>
    </row>
    <row r="765">
      <c r="A765" s="2">
        <f t="shared" si="3"/>
        <v>762</v>
      </c>
      <c r="B765" s="1" t="s">
        <v>968</v>
      </c>
      <c r="C765" s="2" t="s">
        <v>1299</v>
      </c>
      <c r="D765" s="2" t="s">
        <v>193</v>
      </c>
      <c r="E765" s="2">
        <v>35.0</v>
      </c>
      <c r="F765" s="2" t="s">
        <v>428</v>
      </c>
      <c r="G765" s="2" t="str">
        <f t="shared" si="4"/>
        <v/>
      </c>
      <c r="H765" s="2" t="str">
        <f t="shared" si="5"/>
        <v/>
      </c>
      <c r="I765" s="2" t="str">
        <f t="shared" si="6"/>
        <v/>
      </c>
      <c r="J765" s="2" t="b">
        <f t="shared" si="7"/>
        <v>0</v>
      </c>
      <c r="K765" s="2" t="str">
        <f>IFERROR(__xludf.DUMMYFUNCTION("TRIM(JOIN("" "",UNIQUE(TOCOL(ARRAYFORMULA(IF( SPLIT(C765,"" "")=TOCOL(SPLIT(C764,"" "")),SPLIT(C765,"" "")&amp;"" "",""""))))))"),"")</f>
        <v/>
      </c>
      <c r="L765" s="2" t="str">
        <f t="shared" si="1"/>
        <v/>
      </c>
      <c r="M765" s="2">
        <f t="shared" si="2"/>
        <v>762</v>
      </c>
    </row>
    <row r="766">
      <c r="A766" s="2">
        <f t="shared" si="3"/>
        <v>763</v>
      </c>
      <c r="B766" s="1" t="s">
        <v>190</v>
      </c>
      <c r="C766" s="1" t="s">
        <v>200</v>
      </c>
      <c r="D766" s="2" t="s">
        <v>193</v>
      </c>
      <c r="E766" s="40"/>
      <c r="F766" s="2" t="s">
        <v>194</v>
      </c>
      <c r="G766" s="2" t="str">
        <f t="shared" si="4"/>
        <v/>
      </c>
      <c r="H766" s="2" t="str">
        <f t="shared" si="5"/>
        <v/>
      </c>
      <c r="I766" s="2" t="str">
        <f t="shared" si="6"/>
        <v/>
      </c>
      <c r="J766" s="2" t="b">
        <f t="shared" si="7"/>
        <v>0</v>
      </c>
      <c r="K766" s="2" t="str">
        <f>IFERROR(__xludf.DUMMYFUNCTION("TRIM(JOIN("" "",UNIQUE(TOCOL(ARRAYFORMULA(IF( SPLIT(C766,"" "")=TOCOL(SPLIT(C765,"" "")),SPLIT(C766,"" "")&amp;"" "",""""))))))"),"#VALUE!")</f>
        <v>#VALUE!</v>
      </c>
      <c r="L766" s="2" t="str">
        <f t="shared" ref="L766:L767" si="8">IF((G766&lt;&gt;"")*(I766&lt;&gt;"")*( H766="")&gt;=1,"EVALUAR","")&amp;IF(L767="EVALUAR","_WITH THIS","")</f>
        <v/>
      </c>
      <c r="M766" s="2">
        <f t="shared" si="2"/>
        <v>763</v>
      </c>
    </row>
    <row r="767">
      <c r="A767" s="2">
        <f t="shared" si="3"/>
        <v>764</v>
      </c>
      <c r="B767" s="1" t="s">
        <v>928</v>
      </c>
      <c r="C767" s="2" t="s">
        <v>200</v>
      </c>
      <c r="D767" s="2" t="s">
        <v>193</v>
      </c>
      <c r="E767" s="2">
        <v>33.0</v>
      </c>
      <c r="F767" s="2" t="s">
        <v>428</v>
      </c>
      <c r="G767" s="2" t="str">
        <f t="shared" si="4"/>
        <v/>
      </c>
      <c r="H767" s="2" t="str">
        <f t="shared" si="5"/>
        <v>mismo nombre</v>
      </c>
      <c r="I767" s="2" t="str">
        <f t="shared" si="6"/>
        <v/>
      </c>
      <c r="J767" s="2" t="b">
        <f t="shared" si="7"/>
        <v>0</v>
      </c>
      <c r="K767" s="2" t="str">
        <f>IFERROR(__xludf.DUMMYFUNCTION("TRIM(JOIN("" "",UNIQUE(TOCOL(ARRAYFORMULA(IF( SPLIT(C767,"" "")=TOCOL(SPLIT(C766,"" "")),SPLIT(C767,"" "")&amp;"" "",""""))))))"),"#VALUE!")</f>
        <v>#VALUE!</v>
      </c>
      <c r="L767" s="2" t="str">
        <f t="shared" si="8"/>
        <v/>
      </c>
      <c r="M767" s="2">
        <f t="shared" si="2"/>
        <v>763</v>
      </c>
    </row>
    <row r="768">
      <c r="B768" s="1"/>
      <c r="C768" s="2" t="s">
        <v>200</v>
      </c>
      <c r="D768" s="40"/>
      <c r="E768" s="40"/>
      <c r="F768" s="2"/>
    </row>
    <row r="769">
      <c r="B769" s="1"/>
      <c r="C769" s="2" t="s">
        <v>200</v>
      </c>
      <c r="D769" s="40"/>
      <c r="E769" s="40"/>
      <c r="F769" s="2"/>
    </row>
    <row r="770">
      <c r="B770" s="1"/>
      <c r="C770" s="2" t="s">
        <v>200</v>
      </c>
      <c r="D770" s="40"/>
      <c r="E770" s="40"/>
      <c r="F770" s="2"/>
    </row>
    <row r="771">
      <c r="B771" s="1"/>
      <c r="C771" s="2" t="s">
        <v>200</v>
      </c>
      <c r="D771" s="40"/>
      <c r="E771" s="40"/>
      <c r="F771" s="2"/>
    </row>
    <row r="772">
      <c r="B772" s="1"/>
      <c r="C772" s="2" t="s">
        <v>200</v>
      </c>
      <c r="D772" s="40"/>
      <c r="E772" s="40"/>
      <c r="F772" s="2"/>
    </row>
    <row r="773">
      <c r="B773" s="1"/>
      <c r="C773" s="2" t="s">
        <v>200</v>
      </c>
      <c r="D773" s="40"/>
      <c r="E773" s="40"/>
      <c r="F773" s="2"/>
    </row>
    <row r="774">
      <c r="B774" s="1"/>
      <c r="C774" s="2" t="s">
        <v>200</v>
      </c>
      <c r="D774" s="40"/>
      <c r="E774" s="40"/>
      <c r="F774" s="2"/>
    </row>
    <row r="775">
      <c r="B775" s="1"/>
      <c r="C775" s="2" t="s">
        <v>200</v>
      </c>
      <c r="D775" s="40"/>
      <c r="E775" s="40"/>
      <c r="F775" s="2"/>
    </row>
    <row r="776">
      <c r="B776" s="1"/>
      <c r="C776" s="2" t="s">
        <v>200</v>
      </c>
      <c r="D776" s="40"/>
      <c r="E776" s="40"/>
      <c r="F776" s="2"/>
    </row>
    <row r="777">
      <c r="B777" s="1"/>
      <c r="C777" s="2" t="s">
        <v>200</v>
      </c>
      <c r="D777" s="40"/>
      <c r="E777" s="40"/>
      <c r="F777" s="2"/>
    </row>
    <row r="778">
      <c r="B778" s="1"/>
      <c r="C778" s="2" t="s">
        <v>200</v>
      </c>
      <c r="D778" s="40"/>
      <c r="E778" s="40"/>
      <c r="F778" s="2"/>
    </row>
    <row r="779">
      <c r="B779" s="1"/>
      <c r="C779" s="2" t="s">
        <v>200</v>
      </c>
      <c r="D779" s="40"/>
      <c r="E779" s="40"/>
      <c r="F779" s="2"/>
    </row>
    <row r="780">
      <c r="B780" s="1"/>
      <c r="C780" s="2" t="s">
        <v>200</v>
      </c>
      <c r="D780" s="40"/>
      <c r="E780" s="40"/>
      <c r="F780" s="2"/>
    </row>
    <row r="781">
      <c r="B781" s="1"/>
      <c r="C781" s="2" t="s">
        <v>200</v>
      </c>
      <c r="D781" s="40"/>
      <c r="E781" s="40"/>
      <c r="F781" s="2"/>
    </row>
    <row r="782">
      <c r="B782" s="1"/>
      <c r="C782" s="2" t="s">
        <v>200</v>
      </c>
      <c r="D782" s="40"/>
      <c r="E782" s="40"/>
      <c r="F782" s="2"/>
    </row>
    <row r="783">
      <c r="B783" s="1"/>
      <c r="C783" s="2" t="s">
        <v>200</v>
      </c>
      <c r="D783" s="40"/>
      <c r="E783" s="40"/>
      <c r="F783" s="2"/>
    </row>
    <row r="784">
      <c r="B784" s="1"/>
      <c r="C784" s="2" t="s">
        <v>200</v>
      </c>
      <c r="D784" s="40"/>
      <c r="E784" s="40"/>
      <c r="F784" s="2"/>
    </row>
    <row r="785">
      <c r="B785" s="1"/>
      <c r="C785" s="2" t="s">
        <v>200</v>
      </c>
      <c r="D785" s="40"/>
      <c r="E785" s="40"/>
      <c r="F785" s="2"/>
    </row>
    <row r="786">
      <c r="B786" s="1"/>
      <c r="C786" s="2" t="s">
        <v>200</v>
      </c>
      <c r="D786" s="40"/>
      <c r="E786" s="40"/>
      <c r="F786" s="2"/>
    </row>
    <row r="787">
      <c r="B787" s="1"/>
      <c r="C787" s="2" t="s">
        <v>200</v>
      </c>
      <c r="D787" s="40"/>
      <c r="E787" s="40"/>
      <c r="F787" s="2"/>
    </row>
    <row r="788">
      <c r="B788" s="1"/>
      <c r="C788" s="2" t="s">
        <v>200</v>
      </c>
      <c r="D788" s="40"/>
      <c r="E788" s="40"/>
      <c r="F788" s="2"/>
    </row>
    <row r="789">
      <c r="B789" s="1"/>
      <c r="C789" s="2" t="s">
        <v>200</v>
      </c>
      <c r="D789" s="40"/>
      <c r="E789" s="40"/>
      <c r="F789" s="2"/>
    </row>
    <row r="790">
      <c r="B790" s="1"/>
      <c r="C790" s="2" t="s">
        <v>200</v>
      </c>
      <c r="D790" s="40"/>
      <c r="E790" s="40"/>
      <c r="F790" s="2"/>
    </row>
    <row r="791">
      <c r="B791" s="1"/>
      <c r="C791" s="2" t="s">
        <v>200</v>
      </c>
      <c r="D791" s="40"/>
      <c r="E791" s="40"/>
      <c r="F791" s="2"/>
    </row>
    <row r="792">
      <c r="B792" s="1"/>
      <c r="C792" s="2" t="s">
        <v>200</v>
      </c>
      <c r="D792" s="40"/>
      <c r="E792" s="40"/>
      <c r="F792" s="2"/>
    </row>
    <row r="793">
      <c r="B793" s="1"/>
      <c r="C793" s="2" t="s">
        <v>200</v>
      </c>
      <c r="D793" s="40"/>
      <c r="E793" s="40"/>
      <c r="F793" s="2"/>
    </row>
    <row r="794">
      <c r="B794" s="1"/>
      <c r="C794" s="2" t="s">
        <v>200</v>
      </c>
      <c r="D794" s="40"/>
      <c r="E794" s="40"/>
      <c r="F794" s="2"/>
    </row>
    <row r="795">
      <c r="B795" s="1"/>
      <c r="C795" s="2" t="s">
        <v>200</v>
      </c>
      <c r="D795" s="40"/>
      <c r="E795" s="40"/>
      <c r="F795" s="2"/>
    </row>
    <row r="796">
      <c r="B796" s="1"/>
      <c r="C796" s="2" t="s">
        <v>200</v>
      </c>
      <c r="D796" s="40"/>
      <c r="E796" s="40"/>
      <c r="F796" s="2"/>
    </row>
    <row r="797">
      <c r="B797" s="1"/>
      <c r="C797" s="2" t="s">
        <v>200</v>
      </c>
      <c r="D797" s="40"/>
      <c r="E797" s="40"/>
      <c r="F797" s="2"/>
    </row>
    <row r="798">
      <c r="B798" s="1"/>
      <c r="C798" s="2" t="s">
        <v>200</v>
      </c>
      <c r="D798" s="40"/>
      <c r="E798" s="40"/>
      <c r="F798" s="2"/>
    </row>
    <row r="799">
      <c r="B799" s="1"/>
      <c r="C799" s="2" t="s">
        <v>200</v>
      </c>
      <c r="D799" s="40"/>
      <c r="E799" s="40"/>
      <c r="F799" s="2"/>
    </row>
    <row r="800">
      <c r="B800" s="1"/>
      <c r="C800" s="2" t="s">
        <v>200</v>
      </c>
      <c r="D800" s="40"/>
      <c r="E800" s="40"/>
      <c r="F800" s="2"/>
    </row>
    <row r="801">
      <c r="B801" s="1"/>
      <c r="C801" s="2" t="s">
        <v>200</v>
      </c>
      <c r="D801" s="40"/>
      <c r="E801" s="40"/>
      <c r="F801" s="2"/>
    </row>
    <row r="802">
      <c r="B802" s="1"/>
      <c r="C802" s="2" t="s">
        <v>200</v>
      </c>
      <c r="D802" s="40"/>
      <c r="E802" s="40"/>
      <c r="F802" s="2"/>
    </row>
    <row r="803">
      <c r="B803" s="1"/>
      <c r="C803" s="2" t="s">
        <v>200</v>
      </c>
      <c r="D803" s="40"/>
      <c r="E803" s="40"/>
      <c r="F803" s="2"/>
    </row>
    <row r="804">
      <c r="B804" s="1"/>
      <c r="C804" s="2" t="s">
        <v>200</v>
      </c>
      <c r="D804" s="40"/>
      <c r="E804" s="40"/>
      <c r="F804" s="2"/>
    </row>
    <row r="805">
      <c r="B805" s="1"/>
      <c r="C805" s="2" t="s">
        <v>200</v>
      </c>
      <c r="D805" s="40"/>
      <c r="E805" s="40"/>
      <c r="F805" s="2"/>
    </row>
    <row r="806">
      <c r="B806" s="1"/>
      <c r="C806" s="2" t="s">
        <v>200</v>
      </c>
      <c r="D806" s="40"/>
      <c r="E806" s="40"/>
      <c r="F806" s="2"/>
    </row>
    <row r="807">
      <c r="B807" s="1"/>
      <c r="C807" s="2" t="s">
        <v>200</v>
      </c>
      <c r="D807" s="40"/>
      <c r="E807" s="40"/>
      <c r="F807" s="2"/>
    </row>
    <row r="808">
      <c r="B808" s="1"/>
      <c r="C808" s="2" t="s">
        <v>200</v>
      </c>
      <c r="D808" s="40"/>
      <c r="E808" s="40"/>
      <c r="F808" s="2"/>
    </row>
    <row r="809">
      <c r="B809" s="1"/>
      <c r="C809" s="2" t="s">
        <v>200</v>
      </c>
      <c r="D809" s="40"/>
      <c r="E809" s="40"/>
      <c r="F809" s="2"/>
    </row>
    <row r="810">
      <c r="B810" s="1"/>
      <c r="C810" s="2" t="s">
        <v>200</v>
      </c>
      <c r="D810" s="40"/>
      <c r="E810" s="40"/>
      <c r="F810" s="2"/>
    </row>
    <row r="811">
      <c r="B811" s="1"/>
      <c r="C811" s="2" t="s">
        <v>200</v>
      </c>
      <c r="D811" s="40"/>
      <c r="E811" s="40"/>
      <c r="F811" s="2"/>
    </row>
    <row r="812">
      <c r="B812" s="1"/>
      <c r="C812" s="2" t="s">
        <v>200</v>
      </c>
      <c r="D812" s="40"/>
      <c r="E812" s="40"/>
      <c r="F812" s="2"/>
    </row>
    <row r="813">
      <c r="B813" s="1"/>
      <c r="C813" s="2" t="s">
        <v>200</v>
      </c>
      <c r="D813" s="40"/>
      <c r="E813" s="40"/>
      <c r="F813" s="2"/>
    </row>
    <row r="814">
      <c r="B814" s="1"/>
      <c r="C814" s="2" t="s">
        <v>200</v>
      </c>
      <c r="D814" s="40"/>
      <c r="E814" s="40"/>
      <c r="F814" s="2"/>
    </row>
    <row r="815">
      <c r="B815" s="1"/>
      <c r="C815" s="2" t="s">
        <v>200</v>
      </c>
      <c r="D815" s="40"/>
      <c r="E815" s="40"/>
      <c r="F815" s="2"/>
    </row>
    <row r="816">
      <c r="B816" s="1"/>
      <c r="C816" s="2" t="s">
        <v>200</v>
      </c>
      <c r="D816" s="40"/>
      <c r="E816" s="40"/>
      <c r="F816" s="2"/>
    </row>
    <row r="817">
      <c r="B817" s="1"/>
      <c r="C817" s="2" t="s">
        <v>200</v>
      </c>
      <c r="D817" s="40"/>
      <c r="E817" s="40"/>
      <c r="F817" s="2"/>
    </row>
    <row r="818">
      <c r="B818" s="1"/>
      <c r="C818" s="2" t="s">
        <v>200</v>
      </c>
      <c r="D818" s="40"/>
      <c r="E818" s="40"/>
      <c r="F818" s="2"/>
    </row>
    <row r="819">
      <c r="B819" s="1"/>
      <c r="C819" s="2" t="s">
        <v>200</v>
      </c>
      <c r="D819" s="40"/>
      <c r="E819" s="40"/>
      <c r="F819" s="2"/>
    </row>
    <row r="820">
      <c r="B820" s="1"/>
      <c r="C820" s="2" t="s">
        <v>200</v>
      </c>
      <c r="D820" s="40"/>
      <c r="E820" s="40"/>
      <c r="F820" s="2"/>
    </row>
    <row r="821">
      <c r="B821" s="1"/>
      <c r="C821" s="2" t="s">
        <v>200</v>
      </c>
      <c r="D821" s="40"/>
      <c r="E821" s="40"/>
      <c r="F821" s="2"/>
    </row>
    <row r="822">
      <c r="B822" s="1"/>
      <c r="C822" s="2" t="s">
        <v>200</v>
      </c>
      <c r="D822" s="40"/>
      <c r="E822" s="40"/>
      <c r="F822" s="2"/>
    </row>
    <row r="823">
      <c r="B823" s="1"/>
      <c r="C823" s="2" t="s">
        <v>200</v>
      </c>
      <c r="D823" s="40"/>
      <c r="E823" s="40"/>
      <c r="F823" s="2"/>
    </row>
    <row r="824">
      <c r="B824" s="1"/>
      <c r="C824" s="2" t="s">
        <v>200</v>
      </c>
      <c r="D824" s="40"/>
      <c r="E824" s="40"/>
      <c r="F824" s="2"/>
    </row>
    <row r="825">
      <c r="B825" s="1"/>
      <c r="C825" s="2" t="s">
        <v>200</v>
      </c>
      <c r="D825" s="40"/>
      <c r="E825" s="40"/>
      <c r="F825" s="2"/>
    </row>
    <row r="826">
      <c r="B826" s="1"/>
      <c r="C826" s="2" t="s">
        <v>200</v>
      </c>
      <c r="D826" s="40"/>
      <c r="E826" s="40"/>
      <c r="F826" s="2"/>
    </row>
    <row r="827">
      <c r="B827" s="1"/>
      <c r="C827" s="2" t="s">
        <v>200</v>
      </c>
      <c r="D827" s="40"/>
      <c r="E827" s="40"/>
      <c r="F827" s="2"/>
    </row>
    <row r="828">
      <c r="B828" s="1"/>
      <c r="C828" s="2" t="s">
        <v>200</v>
      </c>
      <c r="D828" s="40"/>
      <c r="E828" s="40"/>
      <c r="F828" s="2"/>
    </row>
    <row r="829">
      <c r="B829" s="1"/>
      <c r="C829" s="2" t="s">
        <v>200</v>
      </c>
      <c r="D829" s="40"/>
      <c r="E829" s="40"/>
      <c r="F829" s="2"/>
    </row>
    <row r="830">
      <c r="B830" s="1"/>
      <c r="C830" s="2" t="s">
        <v>200</v>
      </c>
      <c r="D830" s="40"/>
      <c r="E830" s="40"/>
      <c r="F830" s="2"/>
    </row>
    <row r="831">
      <c r="B831" s="1"/>
      <c r="C831" s="2" t="s">
        <v>200</v>
      </c>
      <c r="D831" s="40"/>
      <c r="E831" s="40"/>
      <c r="F831" s="2"/>
    </row>
    <row r="832">
      <c r="B832" s="1"/>
      <c r="C832" s="2" t="s">
        <v>200</v>
      </c>
      <c r="D832" s="40"/>
      <c r="E832" s="40"/>
      <c r="F832" s="2"/>
    </row>
    <row r="833">
      <c r="B833" s="1"/>
      <c r="C833" s="2" t="s">
        <v>200</v>
      </c>
      <c r="D833" s="40"/>
      <c r="E833" s="40"/>
      <c r="F833" s="2"/>
    </row>
    <row r="834">
      <c r="B834" s="1"/>
      <c r="C834" s="2" t="s">
        <v>200</v>
      </c>
      <c r="D834" s="40"/>
      <c r="E834" s="40"/>
      <c r="F834" s="2"/>
    </row>
    <row r="835">
      <c r="B835" s="1"/>
      <c r="C835" s="2" t="s">
        <v>200</v>
      </c>
      <c r="D835" s="40"/>
      <c r="E835" s="40"/>
      <c r="F835" s="2"/>
    </row>
    <row r="836">
      <c r="B836" s="1"/>
      <c r="C836" s="2" t="s">
        <v>200</v>
      </c>
      <c r="D836" s="40"/>
      <c r="E836" s="40"/>
      <c r="F836" s="2"/>
    </row>
    <row r="837">
      <c r="B837" s="1"/>
      <c r="C837" s="2" t="s">
        <v>200</v>
      </c>
      <c r="D837" s="40"/>
      <c r="E837" s="40"/>
      <c r="F837" s="2"/>
    </row>
    <row r="838">
      <c r="B838" s="1"/>
      <c r="C838" s="2" t="s">
        <v>200</v>
      </c>
      <c r="D838" s="40"/>
      <c r="E838" s="40"/>
      <c r="F838" s="2"/>
    </row>
    <row r="839">
      <c r="B839" s="1"/>
      <c r="C839" s="2" t="s">
        <v>200</v>
      </c>
      <c r="D839" s="40"/>
      <c r="E839" s="40"/>
      <c r="F839" s="2"/>
    </row>
    <row r="840">
      <c r="B840" s="1"/>
      <c r="C840" s="2" t="s">
        <v>200</v>
      </c>
      <c r="D840" s="40"/>
      <c r="E840" s="40"/>
      <c r="F840" s="2"/>
    </row>
    <row r="841">
      <c r="B841" s="1"/>
      <c r="C841" s="2" t="s">
        <v>200</v>
      </c>
      <c r="D841" s="40"/>
      <c r="E841" s="40"/>
      <c r="F841" s="2"/>
    </row>
    <row r="842">
      <c r="B842" s="1"/>
      <c r="C842" s="2" t="s">
        <v>200</v>
      </c>
      <c r="D842" s="40"/>
      <c r="E842" s="40"/>
      <c r="F842" s="2"/>
    </row>
    <row r="843">
      <c r="B843" s="1"/>
      <c r="C843" s="2" t="s">
        <v>200</v>
      </c>
      <c r="D843" s="40"/>
      <c r="E843" s="40"/>
      <c r="F843" s="2"/>
    </row>
    <row r="844">
      <c r="B844" s="1"/>
      <c r="C844" s="2" t="s">
        <v>200</v>
      </c>
      <c r="D844" s="40"/>
      <c r="E844" s="40"/>
      <c r="F844" s="2"/>
    </row>
    <row r="845">
      <c r="B845" s="1"/>
      <c r="C845" s="2" t="s">
        <v>200</v>
      </c>
      <c r="D845" s="40"/>
      <c r="E845" s="40"/>
      <c r="F845" s="2"/>
    </row>
    <row r="846">
      <c r="B846" s="1"/>
      <c r="C846" s="2" t="s">
        <v>200</v>
      </c>
      <c r="D846" s="40"/>
      <c r="E846" s="40"/>
      <c r="F846" s="2"/>
    </row>
    <row r="847">
      <c r="B847" s="1"/>
      <c r="C847" s="2" t="s">
        <v>200</v>
      </c>
      <c r="D847" s="40"/>
      <c r="E847" s="40"/>
      <c r="F847" s="2"/>
    </row>
    <row r="848">
      <c r="B848" s="1"/>
      <c r="C848" s="2" t="s">
        <v>200</v>
      </c>
      <c r="D848" s="40"/>
      <c r="E848" s="40"/>
      <c r="F848" s="2"/>
    </row>
    <row r="849">
      <c r="B849" s="1"/>
      <c r="C849" s="2" t="s">
        <v>200</v>
      </c>
      <c r="D849" s="40"/>
      <c r="E849" s="40"/>
      <c r="F849" s="2"/>
    </row>
    <row r="850">
      <c r="B850" s="1"/>
      <c r="C850" s="2" t="s">
        <v>200</v>
      </c>
      <c r="D850" s="40"/>
      <c r="E850" s="40"/>
      <c r="F850" s="2"/>
    </row>
    <row r="851">
      <c r="B851" s="1"/>
      <c r="C851" s="2" t="s">
        <v>200</v>
      </c>
      <c r="D851" s="40"/>
      <c r="E851" s="40"/>
      <c r="F851" s="2"/>
    </row>
    <row r="852">
      <c r="B852" s="1"/>
      <c r="C852" s="2" t="s">
        <v>200</v>
      </c>
      <c r="D852" s="40"/>
      <c r="E852" s="40"/>
      <c r="F852" s="2"/>
    </row>
    <row r="853">
      <c r="B853" s="1"/>
      <c r="C853" s="2" t="s">
        <v>200</v>
      </c>
      <c r="D853" s="40"/>
      <c r="E853" s="40"/>
      <c r="F853" s="2"/>
    </row>
    <row r="854">
      <c r="B854" s="1"/>
      <c r="C854" s="2" t="s">
        <v>200</v>
      </c>
      <c r="D854" s="40"/>
      <c r="E854" s="40"/>
      <c r="F854" s="2"/>
    </row>
    <row r="855">
      <c r="B855" s="1"/>
      <c r="C855" s="2" t="s">
        <v>200</v>
      </c>
      <c r="D855" s="40"/>
      <c r="E855" s="40"/>
      <c r="F855" s="2"/>
    </row>
    <row r="856">
      <c r="B856" s="1"/>
      <c r="C856" s="2" t="s">
        <v>200</v>
      </c>
      <c r="D856" s="40"/>
      <c r="E856" s="40"/>
      <c r="F856" s="2"/>
    </row>
    <row r="857">
      <c r="B857" s="1"/>
      <c r="C857" s="2" t="s">
        <v>200</v>
      </c>
      <c r="D857" s="40"/>
      <c r="E857" s="40"/>
      <c r="F857" s="2"/>
    </row>
    <row r="858">
      <c r="B858" s="1"/>
      <c r="C858" s="2" t="s">
        <v>200</v>
      </c>
      <c r="D858" s="40"/>
      <c r="E858" s="40"/>
      <c r="F858" s="2"/>
    </row>
    <row r="859">
      <c r="B859" s="1"/>
      <c r="C859" s="2" t="s">
        <v>200</v>
      </c>
      <c r="D859" s="40"/>
      <c r="E859" s="40"/>
      <c r="F859" s="2"/>
    </row>
    <row r="860">
      <c r="B860" s="1"/>
      <c r="C860" s="2" t="s">
        <v>200</v>
      </c>
      <c r="D860" s="40"/>
      <c r="E860" s="40"/>
      <c r="F860" s="2"/>
    </row>
    <row r="861">
      <c r="B861" s="1"/>
      <c r="C861" s="2" t="s">
        <v>200</v>
      </c>
      <c r="D861" s="40"/>
      <c r="E861" s="40"/>
      <c r="F861" s="2"/>
    </row>
    <row r="862">
      <c r="B862" s="1"/>
      <c r="C862" s="2" t="s">
        <v>200</v>
      </c>
      <c r="D862" s="40"/>
      <c r="E862" s="40"/>
      <c r="F862" s="2"/>
    </row>
    <row r="863">
      <c r="B863" s="1"/>
      <c r="C863" s="2" t="s">
        <v>200</v>
      </c>
      <c r="D863" s="40"/>
      <c r="E863" s="40"/>
      <c r="F863" s="2"/>
    </row>
    <row r="864">
      <c r="B864" s="1"/>
      <c r="C864" s="2" t="s">
        <v>200</v>
      </c>
      <c r="D864" s="40"/>
      <c r="E864" s="40"/>
      <c r="F864" s="2"/>
    </row>
    <row r="865">
      <c r="B865" s="1"/>
      <c r="C865" s="2" t="s">
        <v>200</v>
      </c>
      <c r="D865" s="40"/>
      <c r="E865" s="40"/>
      <c r="F865" s="2"/>
    </row>
    <row r="866">
      <c r="B866" s="1"/>
      <c r="C866" s="2" t="s">
        <v>200</v>
      </c>
      <c r="D866" s="40"/>
      <c r="E866" s="40"/>
      <c r="F866" s="2"/>
    </row>
    <row r="867">
      <c r="B867" s="1"/>
      <c r="C867" s="2" t="s">
        <v>200</v>
      </c>
      <c r="D867" s="40"/>
      <c r="E867" s="40"/>
      <c r="F867" s="2"/>
    </row>
    <row r="868">
      <c r="B868" s="1"/>
      <c r="C868" s="2" t="s">
        <v>200</v>
      </c>
      <c r="D868" s="40"/>
      <c r="E868" s="40"/>
      <c r="F868" s="2"/>
    </row>
    <row r="869">
      <c r="B869" s="1"/>
      <c r="C869" s="2" t="s">
        <v>200</v>
      </c>
      <c r="D869" s="40"/>
      <c r="E869" s="40"/>
      <c r="F869" s="2"/>
    </row>
    <row r="870">
      <c r="B870" s="1"/>
      <c r="C870" s="2" t="s">
        <v>200</v>
      </c>
      <c r="D870" s="40"/>
      <c r="E870" s="40"/>
      <c r="F870" s="2"/>
    </row>
    <row r="871">
      <c r="B871" s="1"/>
      <c r="C871" s="2" t="s">
        <v>200</v>
      </c>
      <c r="D871" s="40"/>
      <c r="E871" s="40"/>
      <c r="F871" s="2"/>
    </row>
    <row r="872">
      <c r="B872" s="1"/>
      <c r="C872" s="2" t="s">
        <v>200</v>
      </c>
      <c r="D872" s="40"/>
      <c r="E872" s="40"/>
      <c r="F872" s="2"/>
    </row>
    <row r="873">
      <c r="B873" s="1"/>
      <c r="C873" s="2" t="s">
        <v>200</v>
      </c>
      <c r="D873" s="40"/>
      <c r="E873" s="40"/>
      <c r="F873" s="2"/>
    </row>
    <row r="874">
      <c r="B874" s="1"/>
      <c r="C874" s="2" t="s">
        <v>200</v>
      </c>
      <c r="D874" s="40"/>
      <c r="E874" s="40"/>
      <c r="F874" s="2"/>
    </row>
    <row r="875">
      <c r="B875" s="1"/>
      <c r="C875" s="2" t="s">
        <v>200</v>
      </c>
      <c r="D875" s="40"/>
      <c r="E875" s="40"/>
      <c r="F875" s="2"/>
    </row>
    <row r="876">
      <c r="B876" s="1"/>
      <c r="C876" s="2" t="s">
        <v>200</v>
      </c>
      <c r="D876" s="40"/>
      <c r="E876" s="40"/>
      <c r="F876" s="2"/>
    </row>
    <row r="877">
      <c r="B877" s="1"/>
      <c r="C877" s="2" t="s">
        <v>200</v>
      </c>
      <c r="D877" s="40"/>
      <c r="E877" s="40"/>
      <c r="F877" s="2"/>
    </row>
    <row r="878">
      <c r="B878" s="1"/>
      <c r="C878" s="2" t="s">
        <v>200</v>
      </c>
      <c r="D878" s="40"/>
      <c r="E878" s="40"/>
      <c r="F878" s="2"/>
    </row>
    <row r="879">
      <c r="B879" s="1"/>
      <c r="C879" s="2" t="s">
        <v>200</v>
      </c>
      <c r="D879" s="40"/>
      <c r="E879" s="40"/>
      <c r="F879" s="2"/>
    </row>
    <row r="880">
      <c r="B880" s="1"/>
      <c r="C880" s="2" t="s">
        <v>200</v>
      </c>
      <c r="D880" s="40"/>
      <c r="E880" s="40"/>
      <c r="F880" s="2"/>
    </row>
    <row r="881">
      <c r="B881" s="1"/>
      <c r="C881" s="2" t="s">
        <v>200</v>
      </c>
      <c r="D881" s="40"/>
      <c r="E881" s="40"/>
      <c r="F881" s="2"/>
    </row>
    <row r="882">
      <c r="B882" s="1"/>
      <c r="C882" s="2" t="s">
        <v>200</v>
      </c>
      <c r="D882" s="40"/>
      <c r="E882" s="40"/>
      <c r="F882" s="2"/>
    </row>
    <row r="883">
      <c r="B883" s="1"/>
      <c r="C883" s="2" t="s">
        <v>200</v>
      </c>
      <c r="D883" s="40"/>
      <c r="E883" s="40"/>
      <c r="F883" s="2"/>
    </row>
    <row r="884">
      <c r="B884" s="1"/>
      <c r="C884" s="2" t="s">
        <v>200</v>
      </c>
      <c r="D884" s="40"/>
      <c r="E884" s="40"/>
      <c r="F884" s="2"/>
    </row>
    <row r="885">
      <c r="B885" s="1"/>
      <c r="C885" s="2" t="s">
        <v>200</v>
      </c>
      <c r="D885" s="40"/>
      <c r="E885" s="40"/>
      <c r="F885" s="2"/>
    </row>
    <row r="886">
      <c r="B886" s="1"/>
      <c r="C886" s="2" t="s">
        <v>200</v>
      </c>
      <c r="D886" s="40"/>
      <c r="E886" s="40"/>
      <c r="F886" s="2"/>
    </row>
    <row r="887">
      <c r="B887" s="1"/>
      <c r="C887" s="2" t="s">
        <v>200</v>
      </c>
      <c r="D887" s="40"/>
      <c r="E887" s="40"/>
      <c r="F887" s="2"/>
    </row>
    <row r="888">
      <c r="B888" s="1"/>
      <c r="C888" s="2" t="s">
        <v>200</v>
      </c>
      <c r="D888" s="40"/>
      <c r="E888" s="40"/>
      <c r="F888" s="2"/>
    </row>
    <row r="889">
      <c r="B889" s="1"/>
      <c r="C889" s="2" t="s">
        <v>200</v>
      </c>
      <c r="D889" s="40"/>
      <c r="E889" s="40"/>
      <c r="F889" s="2"/>
    </row>
    <row r="890">
      <c r="B890" s="1"/>
      <c r="C890" s="2" t="s">
        <v>200</v>
      </c>
      <c r="D890" s="40"/>
      <c r="E890" s="40"/>
      <c r="F890" s="2"/>
    </row>
    <row r="891">
      <c r="B891" s="1"/>
      <c r="C891" s="2" t="s">
        <v>200</v>
      </c>
      <c r="D891" s="40"/>
      <c r="E891" s="40"/>
      <c r="F891" s="2"/>
    </row>
    <row r="892">
      <c r="B892" s="1"/>
      <c r="C892" s="2" t="s">
        <v>200</v>
      </c>
      <c r="D892" s="40"/>
      <c r="E892" s="40"/>
      <c r="F892" s="2"/>
    </row>
    <row r="893">
      <c r="B893" s="1"/>
      <c r="C893" s="2" t="s">
        <v>200</v>
      </c>
      <c r="D893" s="40"/>
      <c r="E893" s="40"/>
      <c r="F893" s="2"/>
    </row>
    <row r="894">
      <c r="B894" s="1"/>
      <c r="C894" s="2" t="s">
        <v>200</v>
      </c>
      <c r="D894" s="40"/>
      <c r="E894" s="40"/>
      <c r="F894" s="2"/>
    </row>
    <row r="895">
      <c r="B895" s="1"/>
      <c r="C895" s="2" t="s">
        <v>200</v>
      </c>
      <c r="D895" s="40"/>
      <c r="E895" s="40"/>
      <c r="F895" s="2"/>
    </row>
    <row r="896">
      <c r="B896" s="1"/>
      <c r="C896" s="2" t="s">
        <v>200</v>
      </c>
      <c r="D896" s="40"/>
      <c r="E896" s="40"/>
      <c r="F896" s="2"/>
    </row>
    <row r="897">
      <c r="B897" s="1"/>
      <c r="C897" s="2" t="s">
        <v>200</v>
      </c>
      <c r="D897" s="40"/>
      <c r="E897" s="40"/>
      <c r="F897" s="2"/>
    </row>
    <row r="898">
      <c r="B898" s="1"/>
      <c r="C898" s="2" t="s">
        <v>200</v>
      </c>
      <c r="D898" s="40"/>
      <c r="E898" s="40"/>
      <c r="F898" s="2"/>
    </row>
    <row r="899">
      <c r="B899" s="1"/>
      <c r="C899" s="2" t="s">
        <v>200</v>
      </c>
      <c r="D899" s="40"/>
      <c r="E899" s="40"/>
      <c r="F899" s="2"/>
    </row>
    <row r="900">
      <c r="B900" s="1"/>
      <c r="C900" s="2" t="s">
        <v>200</v>
      </c>
      <c r="D900" s="40"/>
      <c r="E900" s="40"/>
      <c r="F900" s="2"/>
    </row>
    <row r="901">
      <c r="B901" s="1"/>
      <c r="C901" s="2" t="s">
        <v>200</v>
      </c>
      <c r="D901" s="40"/>
      <c r="E901" s="40"/>
      <c r="F901" s="2"/>
    </row>
    <row r="902">
      <c r="B902" s="1"/>
      <c r="C902" s="2" t="s">
        <v>200</v>
      </c>
      <c r="D902" s="40"/>
      <c r="E902" s="40"/>
      <c r="F902" s="2"/>
    </row>
    <row r="903">
      <c r="B903" s="1"/>
      <c r="C903" s="2" t="s">
        <v>200</v>
      </c>
      <c r="D903" s="40"/>
      <c r="E903" s="40"/>
      <c r="F903" s="2"/>
    </row>
    <row r="904">
      <c r="B904" s="1"/>
      <c r="C904" s="2" t="s">
        <v>200</v>
      </c>
      <c r="D904" s="40"/>
      <c r="E904" s="40"/>
      <c r="F904" s="2"/>
    </row>
    <row r="905">
      <c r="B905" s="1"/>
      <c r="C905" s="2" t="s">
        <v>200</v>
      </c>
      <c r="D905" s="40"/>
      <c r="E905" s="40"/>
      <c r="F905" s="2"/>
    </row>
    <row r="906">
      <c r="B906" s="1"/>
      <c r="C906" s="2" t="s">
        <v>200</v>
      </c>
      <c r="D906" s="40"/>
      <c r="E906" s="40"/>
      <c r="F906" s="2"/>
    </row>
    <row r="907">
      <c r="B907" s="1"/>
      <c r="C907" s="2" t="s">
        <v>200</v>
      </c>
      <c r="D907" s="40"/>
      <c r="E907" s="40"/>
      <c r="F907" s="2"/>
    </row>
    <row r="908">
      <c r="B908" s="1"/>
      <c r="C908" s="2" t="s">
        <v>200</v>
      </c>
      <c r="D908" s="40"/>
      <c r="E908" s="40"/>
      <c r="F908" s="2"/>
    </row>
    <row r="909">
      <c r="B909" s="1"/>
      <c r="C909" s="2" t="s">
        <v>200</v>
      </c>
      <c r="D909" s="40"/>
      <c r="E909" s="40"/>
      <c r="F909" s="2"/>
    </row>
    <row r="910">
      <c r="B910" s="1"/>
      <c r="C910" s="2" t="s">
        <v>200</v>
      </c>
      <c r="D910" s="40"/>
      <c r="E910" s="40"/>
      <c r="F910" s="2"/>
    </row>
    <row r="911">
      <c r="B911" s="1"/>
      <c r="C911" s="2" t="s">
        <v>200</v>
      </c>
      <c r="D911" s="40"/>
      <c r="E911" s="40"/>
      <c r="F911" s="2"/>
    </row>
    <row r="912">
      <c r="B912" s="1"/>
      <c r="C912" s="2" t="s">
        <v>200</v>
      </c>
      <c r="D912" s="40"/>
      <c r="E912" s="40"/>
      <c r="F912" s="2"/>
    </row>
    <row r="913">
      <c r="B913" s="1"/>
      <c r="C913" s="2" t="s">
        <v>200</v>
      </c>
      <c r="D913" s="40"/>
      <c r="E913" s="40"/>
      <c r="F913" s="2"/>
    </row>
    <row r="914">
      <c r="B914" s="1"/>
      <c r="C914" s="2" t="s">
        <v>200</v>
      </c>
      <c r="D914" s="40"/>
      <c r="E914" s="40"/>
      <c r="F914" s="2"/>
    </row>
    <row r="915">
      <c r="B915" s="1"/>
      <c r="C915" s="2" t="s">
        <v>200</v>
      </c>
      <c r="D915" s="40"/>
      <c r="E915" s="40"/>
      <c r="F915" s="2"/>
    </row>
    <row r="916">
      <c r="B916" s="1"/>
      <c r="C916" s="2" t="s">
        <v>200</v>
      </c>
      <c r="D916" s="40"/>
      <c r="E916" s="40"/>
      <c r="F916" s="2"/>
    </row>
    <row r="917">
      <c r="B917" s="1"/>
      <c r="C917" s="2" t="s">
        <v>200</v>
      </c>
      <c r="D917" s="40"/>
      <c r="E917" s="40"/>
      <c r="F917" s="2"/>
    </row>
    <row r="918">
      <c r="B918" s="1"/>
      <c r="C918" s="2" t="s">
        <v>200</v>
      </c>
      <c r="D918" s="40"/>
      <c r="E918" s="40"/>
      <c r="F918" s="2"/>
    </row>
    <row r="919">
      <c r="B919" s="1"/>
      <c r="C919" s="2" t="s">
        <v>200</v>
      </c>
      <c r="D919" s="40"/>
      <c r="E919" s="40"/>
      <c r="F919" s="2"/>
    </row>
    <row r="920">
      <c r="B920" s="1"/>
      <c r="C920" s="2" t="s">
        <v>200</v>
      </c>
      <c r="D920" s="40"/>
      <c r="E920" s="40"/>
      <c r="F920" s="2"/>
    </row>
    <row r="921">
      <c r="B921" s="1"/>
      <c r="C921" s="2" t="s">
        <v>200</v>
      </c>
      <c r="D921" s="40"/>
      <c r="E921" s="40"/>
      <c r="F921" s="2"/>
    </row>
    <row r="922">
      <c r="B922" s="1"/>
      <c r="C922" s="2" t="s">
        <v>200</v>
      </c>
      <c r="D922" s="40"/>
      <c r="E922" s="40"/>
      <c r="F922" s="2"/>
    </row>
    <row r="923">
      <c r="B923" s="1"/>
      <c r="C923" s="2" t="s">
        <v>200</v>
      </c>
      <c r="D923" s="40"/>
      <c r="E923" s="40"/>
      <c r="F923" s="2"/>
    </row>
    <row r="924">
      <c r="B924" s="1"/>
      <c r="C924" s="2" t="s">
        <v>200</v>
      </c>
      <c r="D924" s="40"/>
      <c r="E924" s="40"/>
      <c r="F924" s="2"/>
    </row>
    <row r="925">
      <c r="B925" s="1"/>
      <c r="C925" s="2" t="s">
        <v>200</v>
      </c>
      <c r="D925" s="40"/>
      <c r="E925" s="40"/>
      <c r="F925" s="2"/>
    </row>
    <row r="926">
      <c r="B926" s="1"/>
      <c r="C926" s="2" t="s">
        <v>200</v>
      </c>
      <c r="D926" s="40"/>
      <c r="E926" s="40"/>
      <c r="F926" s="2"/>
    </row>
    <row r="927">
      <c r="B927" s="1"/>
      <c r="C927" s="2" t="s">
        <v>200</v>
      </c>
      <c r="D927" s="40"/>
      <c r="E927" s="40"/>
      <c r="F927" s="2"/>
    </row>
    <row r="928">
      <c r="B928" s="1"/>
      <c r="C928" s="2" t="s">
        <v>200</v>
      </c>
      <c r="D928" s="40"/>
      <c r="E928" s="40"/>
      <c r="F928" s="2"/>
    </row>
    <row r="929">
      <c r="B929" s="1"/>
      <c r="C929" s="2" t="s">
        <v>200</v>
      </c>
      <c r="D929" s="40"/>
      <c r="E929" s="40"/>
      <c r="F929" s="2"/>
    </row>
    <row r="930">
      <c r="B930" s="1"/>
      <c r="C930" s="2" t="s">
        <v>200</v>
      </c>
      <c r="D930" s="40"/>
      <c r="E930" s="40"/>
      <c r="F930" s="2"/>
    </row>
    <row r="931">
      <c r="B931" s="1"/>
      <c r="C931" s="2" t="s">
        <v>200</v>
      </c>
      <c r="D931" s="40"/>
      <c r="E931" s="40"/>
      <c r="F931" s="2"/>
    </row>
    <row r="932">
      <c r="B932" s="1"/>
      <c r="C932" s="2" t="s">
        <v>200</v>
      </c>
      <c r="D932" s="40"/>
      <c r="E932" s="40"/>
      <c r="F932" s="2"/>
    </row>
    <row r="933">
      <c r="B933" s="1"/>
      <c r="C933" s="2" t="s">
        <v>200</v>
      </c>
      <c r="D933" s="40"/>
      <c r="E933" s="40"/>
      <c r="F933" s="2"/>
    </row>
    <row r="934">
      <c r="B934" s="1"/>
      <c r="C934" s="2" t="s">
        <v>200</v>
      </c>
      <c r="D934" s="40"/>
      <c r="E934" s="40"/>
      <c r="F934" s="2"/>
    </row>
    <row r="935">
      <c r="B935" s="1"/>
      <c r="C935" s="2" t="s">
        <v>200</v>
      </c>
      <c r="D935" s="40"/>
      <c r="E935" s="40"/>
      <c r="F935" s="2"/>
    </row>
    <row r="936">
      <c r="B936" s="1"/>
      <c r="C936" s="2" t="s">
        <v>200</v>
      </c>
      <c r="D936" s="40"/>
      <c r="E936" s="40"/>
      <c r="F936" s="2"/>
    </row>
    <row r="937">
      <c r="B937" s="1"/>
      <c r="C937" s="2" t="s">
        <v>200</v>
      </c>
      <c r="D937" s="40"/>
      <c r="E937" s="40"/>
      <c r="F937" s="2"/>
    </row>
    <row r="938">
      <c r="B938" s="1"/>
      <c r="C938" s="2" t="s">
        <v>200</v>
      </c>
      <c r="D938" s="40"/>
      <c r="E938" s="40"/>
      <c r="F938" s="2"/>
    </row>
    <row r="939">
      <c r="B939" s="1"/>
      <c r="C939" s="2" t="s">
        <v>200</v>
      </c>
      <c r="D939" s="40"/>
      <c r="E939" s="40"/>
      <c r="F939" s="2"/>
    </row>
    <row r="940">
      <c r="B940" s="1"/>
      <c r="C940" s="2" t="s">
        <v>200</v>
      </c>
      <c r="D940" s="40"/>
      <c r="E940" s="40"/>
      <c r="F940" s="2"/>
    </row>
    <row r="941">
      <c r="B941" s="1"/>
      <c r="C941" s="2" t="s">
        <v>200</v>
      </c>
      <c r="D941" s="40"/>
      <c r="E941" s="40"/>
      <c r="F941" s="2"/>
    </row>
    <row r="942">
      <c r="B942" s="1"/>
      <c r="C942" s="2" t="s">
        <v>200</v>
      </c>
      <c r="D942" s="40"/>
      <c r="E942" s="40"/>
      <c r="F942" s="2"/>
    </row>
    <row r="943">
      <c r="B943" s="1"/>
      <c r="C943" s="2" t="s">
        <v>200</v>
      </c>
      <c r="D943" s="40"/>
      <c r="E943" s="40"/>
      <c r="F943" s="2"/>
    </row>
    <row r="944">
      <c r="B944" s="1"/>
      <c r="C944" s="2" t="s">
        <v>200</v>
      </c>
      <c r="D944" s="40"/>
      <c r="E944" s="40"/>
      <c r="F944" s="2"/>
    </row>
    <row r="945">
      <c r="B945" s="1"/>
      <c r="C945" s="2" t="s">
        <v>200</v>
      </c>
      <c r="D945" s="40"/>
      <c r="E945" s="40"/>
      <c r="F945" s="2"/>
    </row>
    <row r="946">
      <c r="B946" s="1"/>
      <c r="C946" s="2" t="s">
        <v>200</v>
      </c>
      <c r="D946" s="40"/>
      <c r="E946" s="40"/>
      <c r="F946" s="2"/>
    </row>
    <row r="947">
      <c r="B947" s="1"/>
      <c r="C947" s="2" t="s">
        <v>200</v>
      </c>
      <c r="D947" s="40"/>
      <c r="E947" s="40"/>
      <c r="F947" s="2"/>
    </row>
    <row r="948">
      <c r="B948" s="1"/>
      <c r="C948" s="2" t="s">
        <v>200</v>
      </c>
      <c r="D948" s="40"/>
      <c r="E948" s="40"/>
      <c r="F948" s="2"/>
    </row>
    <row r="949">
      <c r="B949" s="1"/>
      <c r="C949" s="2" t="s">
        <v>200</v>
      </c>
      <c r="D949" s="40"/>
      <c r="E949" s="40"/>
      <c r="F949" s="2"/>
    </row>
    <row r="950">
      <c r="B950" s="1"/>
      <c r="C950" s="2" t="s">
        <v>200</v>
      </c>
      <c r="D950" s="40"/>
      <c r="E950" s="40"/>
      <c r="F950" s="2"/>
    </row>
    <row r="951">
      <c r="B951" s="1"/>
      <c r="C951" s="2" t="s">
        <v>200</v>
      </c>
      <c r="D951" s="40"/>
      <c r="E951" s="40"/>
      <c r="F951" s="2"/>
    </row>
    <row r="952">
      <c r="B952" s="1"/>
      <c r="C952" s="2" t="s">
        <v>200</v>
      </c>
      <c r="D952" s="40"/>
      <c r="E952" s="40"/>
      <c r="F952" s="2"/>
    </row>
    <row r="953">
      <c r="B953" s="1"/>
      <c r="C953" s="2" t="s">
        <v>200</v>
      </c>
      <c r="D953" s="40"/>
      <c r="E953" s="40"/>
      <c r="F953" s="2"/>
    </row>
    <row r="954">
      <c r="B954" s="1"/>
      <c r="C954" s="2" t="s">
        <v>200</v>
      </c>
      <c r="D954" s="40"/>
      <c r="E954" s="40"/>
      <c r="F954" s="2"/>
    </row>
    <row r="955">
      <c r="B955" s="1"/>
      <c r="C955" s="2" t="s">
        <v>200</v>
      </c>
      <c r="D955" s="40"/>
      <c r="E955" s="40"/>
      <c r="F955" s="2"/>
    </row>
    <row r="956">
      <c r="B956" s="1"/>
      <c r="C956" s="2" t="s">
        <v>200</v>
      </c>
      <c r="D956" s="40"/>
      <c r="E956" s="40"/>
      <c r="F956" s="2"/>
    </row>
    <row r="957">
      <c r="B957" s="1"/>
      <c r="C957" s="2" t="s">
        <v>200</v>
      </c>
      <c r="D957" s="40"/>
      <c r="E957" s="40"/>
      <c r="F957" s="2"/>
    </row>
    <row r="958">
      <c r="B958" s="1"/>
      <c r="C958" s="2" t="s">
        <v>200</v>
      </c>
      <c r="D958" s="40"/>
      <c r="E958" s="40"/>
      <c r="F958" s="2"/>
    </row>
    <row r="959">
      <c r="B959" s="1"/>
      <c r="C959" s="2" t="s">
        <v>200</v>
      </c>
      <c r="D959" s="40"/>
      <c r="E959" s="40"/>
      <c r="F959" s="2"/>
    </row>
    <row r="960">
      <c r="B960" s="1"/>
      <c r="C960" s="2" t="s">
        <v>200</v>
      </c>
      <c r="D960" s="40"/>
      <c r="E960" s="40"/>
      <c r="F960" s="2"/>
    </row>
    <row r="961">
      <c r="B961" s="1"/>
      <c r="C961" s="2" t="s">
        <v>200</v>
      </c>
      <c r="D961" s="40"/>
      <c r="E961" s="40"/>
      <c r="F961" s="2"/>
    </row>
    <row r="962">
      <c r="B962" s="1"/>
      <c r="C962" s="2" t="s">
        <v>200</v>
      </c>
      <c r="D962" s="40"/>
      <c r="E962" s="40"/>
      <c r="F962" s="2"/>
    </row>
    <row r="963">
      <c r="B963" s="1"/>
      <c r="C963" s="2" t="s">
        <v>200</v>
      </c>
      <c r="D963" s="40"/>
      <c r="E963" s="40"/>
      <c r="F963" s="2"/>
    </row>
    <row r="964">
      <c r="B964" s="1"/>
      <c r="C964" s="2" t="s">
        <v>200</v>
      </c>
      <c r="D964" s="40"/>
      <c r="E964" s="40"/>
      <c r="F964" s="2"/>
    </row>
    <row r="965">
      <c r="B965" s="1"/>
      <c r="C965" s="2" t="s">
        <v>200</v>
      </c>
      <c r="D965" s="40"/>
      <c r="E965" s="40"/>
      <c r="F965" s="2"/>
    </row>
    <row r="966">
      <c r="B966" s="1"/>
      <c r="C966" s="2" t="s">
        <v>200</v>
      </c>
      <c r="D966" s="40"/>
      <c r="E966" s="40"/>
      <c r="F966" s="2"/>
    </row>
    <row r="967">
      <c r="B967" s="1"/>
      <c r="C967" s="2" t="s">
        <v>200</v>
      </c>
      <c r="D967" s="40"/>
      <c r="E967" s="40"/>
      <c r="F967" s="2"/>
    </row>
    <row r="968">
      <c r="B968" s="1"/>
      <c r="C968" s="2" t="s">
        <v>200</v>
      </c>
      <c r="D968" s="40"/>
      <c r="E968" s="40"/>
      <c r="F968" s="2"/>
    </row>
    <row r="969">
      <c r="B969" s="1"/>
      <c r="C969" s="2" t="s">
        <v>200</v>
      </c>
      <c r="D969" s="40"/>
      <c r="E969" s="40"/>
      <c r="F969" s="2"/>
    </row>
    <row r="970">
      <c r="B970" s="1"/>
      <c r="C970" s="2" t="s">
        <v>200</v>
      </c>
      <c r="D970" s="40"/>
      <c r="E970" s="40"/>
      <c r="F970" s="2"/>
    </row>
    <row r="971">
      <c r="B971" s="1"/>
      <c r="C971" s="2" t="s">
        <v>200</v>
      </c>
      <c r="D971" s="40"/>
      <c r="E971" s="40"/>
      <c r="F971" s="2"/>
    </row>
    <row r="972">
      <c r="B972" s="1"/>
      <c r="C972" s="2" t="s">
        <v>200</v>
      </c>
      <c r="D972" s="40"/>
      <c r="E972" s="40"/>
      <c r="F972" s="2"/>
    </row>
    <row r="973">
      <c r="B973" s="1"/>
      <c r="C973" s="2" t="s">
        <v>200</v>
      </c>
      <c r="D973" s="40"/>
      <c r="E973" s="40"/>
      <c r="F973" s="2"/>
    </row>
    <row r="974">
      <c r="B974" s="1"/>
      <c r="C974" s="2" t="s">
        <v>200</v>
      </c>
      <c r="D974" s="40"/>
      <c r="E974" s="40"/>
      <c r="F974" s="2"/>
    </row>
    <row r="975">
      <c r="B975" s="1"/>
      <c r="C975" s="2" t="s">
        <v>200</v>
      </c>
      <c r="D975" s="40"/>
      <c r="E975" s="40"/>
      <c r="F975" s="2"/>
    </row>
    <row r="976">
      <c r="B976" s="1"/>
      <c r="C976" s="2" t="s">
        <v>200</v>
      </c>
      <c r="D976" s="40"/>
      <c r="E976" s="40"/>
      <c r="F976" s="2"/>
    </row>
    <row r="977">
      <c r="B977" s="1"/>
      <c r="C977" s="2" t="s">
        <v>200</v>
      </c>
      <c r="D977" s="40"/>
      <c r="E977" s="40"/>
      <c r="F977" s="2"/>
    </row>
    <row r="978">
      <c r="B978" s="1"/>
      <c r="C978" s="2" t="s">
        <v>200</v>
      </c>
      <c r="D978" s="40"/>
      <c r="E978" s="40"/>
      <c r="F978" s="2"/>
    </row>
    <row r="979">
      <c r="B979" s="1"/>
      <c r="C979" s="2" t="s">
        <v>200</v>
      </c>
      <c r="D979" s="40"/>
      <c r="E979" s="40"/>
      <c r="F979" s="2"/>
    </row>
    <row r="980">
      <c r="B980" s="1"/>
      <c r="C980" s="2" t="s">
        <v>200</v>
      </c>
      <c r="D980" s="40"/>
      <c r="E980" s="40"/>
      <c r="F980" s="2"/>
    </row>
    <row r="981">
      <c r="B981" s="1"/>
      <c r="C981" s="2" t="s">
        <v>200</v>
      </c>
      <c r="D981" s="40"/>
      <c r="E981" s="40"/>
      <c r="F981" s="2"/>
    </row>
    <row r="982">
      <c r="B982" s="1"/>
      <c r="C982" s="2" t="s">
        <v>200</v>
      </c>
      <c r="D982" s="40"/>
      <c r="E982" s="40"/>
      <c r="F982" s="2"/>
    </row>
    <row r="983">
      <c r="B983" s="1"/>
      <c r="C983" s="2" t="s">
        <v>200</v>
      </c>
      <c r="D983" s="40"/>
      <c r="E983" s="40"/>
      <c r="F983" s="2"/>
    </row>
    <row r="984">
      <c r="B984" s="1"/>
      <c r="C984" s="2" t="s">
        <v>200</v>
      </c>
      <c r="D984" s="40"/>
      <c r="E984" s="40"/>
      <c r="F984" s="2"/>
    </row>
    <row r="985">
      <c r="B985" s="1"/>
      <c r="C985" s="2" t="s">
        <v>200</v>
      </c>
      <c r="D985" s="40"/>
      <c r="E985" s="40"/>
      <c r="F985" s="2"/>
    </row>
    <row r="986">
      <c r="B986" s="1"/>
      <c r="C986" s="2" t="s">
        <v>200</v>
      </c>
      <c r="D986" s="40"/>
      <c r="E986" s="40"/>
      <c r="F986" s="2"/>
    </row>
    <row r="987">
      <c r="B987" s="1"/>
      <c r="C987" s="2" t="s">
        <v>200</v>
      </c>
      <c r="D987" s="40"/>
      <c r="E987" s="40"/>
      <c r="F987" s="2"/>
    </row>
    <row r="988">
      <c r="B988" s="1"/>
      <c r="C988" s="2" t="s">
        <v>200</v>
      </c>
      <c r="D988" s="40"/>
      <c r="E988" s="40"/>
      <c r="F988" s="2"/>
    </row>
    <row r="989">
      <c r="B989" s="1"/>
      <c r="C989" s="2" t="s">
        <v>200</v>
      </c>
      <c r="D989" s="40"/>
      <c r="E989" s="40"/>
      <c r="F989" s="2"/>
    </row>
    <row r="990">
      <c r="B990" s="1"/>
      <c r="C990" s="2" t="s">
        <v>200</v>
      </c>
      <c r="D990" s="40"/>
      <c r="E990" s="40"/>
      <c r="F990" s="2"/>
    </row>
    <row r="991">
      <c r="B991" s="1"/>
      <c r="C991" s="2" t="s">
        <v>200</v>
      </c>
      <c r="D991" s="40"/>
      <c r="E991" s="40"/>
      <c r="F991" s="2"/>
    </row>
    <row r="992">
      <c r="B992" s="1"/>
      <c r="C992" s="2" t="s">
        <v>200</v>
      </c>
      <c r="D992" s="40"/>
      <c r="E992" s="40"/>
      <c r="F992" s="2"/>
    </row>
    <row r="993">
      <c r="B993" s="1"/>
      <c r="C993" s="2" t="s">
        <v>200</v>
      </c>
      <c r="D993" s="40"/>
      <c r="E993" s="40"/>
      <c r="F993" s="2"/>
    </row>
    <row r="994">
      <c r="B994" s="1"/>
      <c r="C994" s="2" t="s">
        <v>200</v>
      </c>
      <c r="D994" s="40"/>
      <c r="E994" s="40"/>
      <c r="F994" s="2"/>
    </row>
    <row r="995">
      <c r="B995" s="1"/>
      <c r="C995" s="2" t="s">
        <v>200</v>
      </c>
      <c r="D995" s="40"/>
      <c r="E995" s="40"/>
      <c r="F995" s="2"/>
    </row>
    <row r="996">
      <c r="B996" s="1"/>
      <c r="C996" s="2" t="s">
        <v>200</v>
      </c>
      <c r="D996" s="40"/>
      <c r="E996" s="40"/>
      <c r="F996" s="2"/>
    </row>
    <row r="997">
      <c r="B997" s="1"/>
      <c r="C997" s="2" t="s">
        <v>200</v>
      </c>
      <c r="D997" s="40"/>
      <c r="E997" s="40"/>
      <c r="F997" s="2"/>
    </row>
    <row r="998">
      <c r="B998" s="1"/>
      <c r="C998" s="2" t="s">
        <v>200</v>
      </c>
      <c r="D998" s="40"/>
      <c r="E998" s="40"/>
      <c r="F998" s="2"/>
    </row>
    <row r="999">
      <c r="B999" s="1"/>
      <c r="C999" s="2" t="s">
        <v>200</v>
      </c>
      <c r="D999" s="40"/>
      <c r="E999" s="40"/>
      <c r="F999" s="2"/>
    </row>
    <row r="1000">
      <c r="B1000" s="1"/>
      <c r="C1000" s="2" t="s">
        <v>200</v>
      </c>
      <c r="D1000" s="40"/>
      <c r="E1000" s="40"/>
      <c r="F1000" s="2"/>
    </row>
    <row r="1001">
      <c r="B1001" s="1"/>
      <c r="C1001" s="2" t="s">
        <v>200</v>
      </c>
      <c r="D1001" s="40"/>
      <c r="E1001" s="40"/>
      <c r="F1001" s="2"/>
    </row>
    <row r="1002">
      <c r="B1002" s="1"/>
      <c r="C1002" s="2" t="s">
        <v>200</v>
      </c>
      <c r="D1002" s="40"/>
      <c r="E1002" s="40"/>
      <c r="F1002" s="2"/>
    </row>
    <row r="1003">
      <c r="B1003" s="1"/>
      <c r="C1003" s="2" t="s">
        <v>200</v>
      </c>
      <c r="D1003" s="40"/>
      <c r="E1003" s="40"/>
      <c r="F1003" s="2"/>
    </row>
    <row r="1004">
      <c r="B1004" s="1"/>
      <c r="C1004" s="2" t="s">
        <v>200</v>
      </c>
      <c r="D1004" s="40"/>
      <c r="E1004" s="40"/>
      <c r="F1004" s="2"/>
    </row>
    <row r="1005">
      <c r="B1005" s="1"/>
      <c r="C1005" s="2" t="s">
        <v>200</v>
      </c>
      <c r="D1005" s="40"/>
      <c r="E1005" s="40"/>
      <c r="F1005" s="2"/>
    </row>
    <row r="1006">
      <c r="B1006" s="1"/>
      <c r="C1006" s="2" t="s">
        <v>200</v>
      </c>
      <c r="D1006" s="40"/>
      <c r="E1006" s="40"/>
      <c r="F1006" s="2"/>
    </row>
    <row r="1007">
      <c r="B1007" s="1"/>
      <c r="C1007" s="2" t="s">
        <v>200</v>
      </c>
      <c r="D1007" s="40"/>
      <c r="E1007" s="40"/>
      <c r="F1007" s="2"/>
    </row>
    <row r="1008">
      <c r="B1008" s="1"/>
      <c r="C1008" s="2" t="s">
        <v>200</v>
      </c>
      <c r="D1008" s="40"/>
      <c r="E1008" s="40"/>
      <c r="F1008" s="2"/>
    </row>
    <row r="1009">
      <c r="B1009" s="1"/>
      <c r="C1009" s="2" t="s">
        <v>200</v>
      </c>
      <c r="D1009" s="40"/>
      <c r="E1009" s="40"/>
      <c r="F1009" s="2"/>
    </row>
    <row r="1010">
      <c r="B1010" s="1"/>
      <c r="C1010" s="2" t="s">
        <v>200</v>
      </c>
      <c r="D1010" s="40"/>
      <c r="E1010" s="40"/>
      <c r="F1010" s="2"/>
    </row>
    <row r="1011">
      <c r="B1011" s="1"/>
      <c r="C1011" s="2" t="s">
        <v>200</v>
      </c>
      <c r="D1011" s="40"/>
      <c r="E1011" s="40"/>
      <c r="F1011" s="2"/>
    </row>
    <row r="1012">
      <c r="B1012" s="1"/>
      <c r="C1012" s="2" t="s">
        <v>200</v>
      </c>
      <c r="D1012" s="40"/>
      <c r="E1012" s="40"/>
      <c r="F1012" s="2"/>
    </row>
    <row r="1013">
      <c r="B1013" s="1"/>
      <c r="C1013" s="2" t="s">
        <v>200</v>
      </c>
      <c r="D1013" s="40"/>
      <c r="E1013" s="40"/>
      <c r="F1013" s="2"/>
    </row>
    <row r="1014">
      <c r="B1014" s="1"/>
      <c r="C1014" s="2" t="s">
        <v>200</v>
      </c>
      <c r="D1014" s="40"/>
      <c r="E1014" s="40"/>
      <c r="F1014" s="2"/>
    </row>
    <row r="1015">
      <c r="B1015" s="1"/>
      <c r="C1015" s="2" t="s">
        <v>200</v>
      </c>
      <c r="D1015" s="40"/>
      <c r="E1015" s="40"/>
      <c r="F1015" s="2"/>
    </row>
    <row r="1016">
      <c r="B1016" s="1"/>
      <c r="C1016" s="2" t="s">
        <v>200</v>
      </c>
      <c r="D1016" s="40"/>
      <c r="E1016" s="40"/>
      <c r="F1016" s="2"/>
    </row>
    <row r="1017">
      <c r="B1017" s="1"/>
      <c r="C1017" s="2" t="s">
        <v>200</v>
      </c>
      <c r="D1017" s="40"/>
      <c r="E1017" s="40"/>
      <c r="F1017" s="2"/>
    </row>
    <row r="1018">
      <c r="B1018" s="1"/>
      <c r="C1018" s="2" t="s">
        <v>200</v>
      </c>
      <c r="D1018" s="40"/>
      <c r="E1018" s="40"/>
      <c r="F1018" s="2"/>
    </row>
    <row r="1019">
      <c r="B1019" s="1"/>
      <c r="C1019" s="2" t="s">
        <v>200</v>
      </c>
      <c r="D1019" s="40"/>
      <c r="E1019" s="40"/>
      <c r="F1019" s="2"/>
    </row>
    <row r="1020">
      <c r="B1020" s="1"/>
      <c r="C1020" s="2" t="s">
        <v>200</v>
      </c>
      <c r="D1020" s="40"/>
      <c r="E1020" s="40"/>
      <c r="F1020" s="2"/>
    </row>
    <row r="1021">
      <c r="B1021" s="1"/>
      <c r="C1021" s="2" t="s">
        <v>200</v>
      </c>
      <c r="D1021" s="40"/>
      <c r="E1021" s="40"/>
      <c r="F1021" s="2"/>
    </row>
    <row r="1022">
      <c r="B1022" s="1"/>
      <c r="C1022" s="2" t="s">
        <v>200</v>
      </c>
      <c r="D1022" s="40"/>
      <c r="E1022" s="40"/>
      <c r="F1022" s="2"/>
    </row>
    <row r="1023">
      <c r="B1023" s="1"/>
      <c r="C1023" s="2" t="s">
        <v>200</v>
      </c>
      <c r="D1023" s="40"/>
      <c r="E1023" s="40"/>
      <c r="F1023" s="2"/>
    </row>
    <row r="1024">
      <c r="B1024" s="1"/>
      <c r="C1024" s="2" t="s">
        <v>200</v>
      </c>
      <c r="D1024" s="40"/>
      <c r="E1024" s="40"/>
      <c r="F1024" s="2"/>
    </row>
    <row r="1025">
      <c r="B1025" s="1"/>
      <c r="C1025" s="2" t="s">
        <v>200</v>
      </c>
      <c r="D1025" s="40"/>
      <c r="E1025" s="40"/>
      <c r="F1025" s="2"/>
    </row>
    <row r="1026">
      <c r="B1026" s="1"/>
      <c r="C1026" s="2" t="s">
        <v>200</v>
      </c>
      <c r="D1026" s="40"/>
      <c r="E1026" s="40"/>
      <c r="F1026" s="2"/>
    </row>
    <row r="1027">
      <c r="B1027" s="1"/>
      <c r="C1027" s="2" t="s">
        <v>200</v>
      </c>
      <c r="D1027" s="40"/>
      <c r="E1027" s="40"/>
      <c r="F1027" s="2"/>
    </row>
    <row r="1028">
      <c r="B1028" s="1"/>
      <c r="C1028" s="2" t="s">
        <v>200</v>
      </c>
      <c r="D1028" s="40"/>
      <c r="E1028" s="40"/>
      <c r="F1028" s="2"/>
    </row>
    <row r="1029">
      <c r="B1029" s="1"/>
      <c r="C1029" s="2" t="s">
        <v>200</v>
      </c>
      <c r="D1029" s="40"/>
      <c r="E1029" s="40"/>
      <c r="F1029" s="2"/>
    </row>
    <row r="1030">
      <c r="B1030" s="1"/>
      <c r="C1030" s="2" t="s">
        <v>200</v>
      </c>
      <c r="D1030" s="40"/>
      <c r="E1030" s="40"/>
      <c r="F1030" s="2"/>
    </row>
    <row r="1031">
      <c r="B1031" s="1"/>
      <c r="C1031" s="2" t="s">
        <v>200</v>
      </c>
      <c r="D1031" s="40"/>
      <c r="E1031" s="40"/>
      <c r="F1031" s="2"/>
    </row>
    <row r="1032">
      <c r="B1032" s="1"/>
      <c r="C1032" s="2" t="s">
        <v>200</v>
      </c>
      <c r="D1032" s="40"/>
      <c r="E1032" s="40"/>
      <c r="F1032" s="2"/>
    </row>
    <row r="1033">
      <c r="B1033" s="1"/>
      <c r="C1033" s="2" t="s">
        <v>200</v>
      </c>
      <c r="D1033" s="40"/>
      <c r="E1033" s="40"/>
      <c r="F1033" s="2"/>
    </row>
    <row r="1034">
      <c r="B1034" s="1"/>
      <c r="C1034" s="2" t="s">
        <v>200</v>
      </c>
      <c r="D1034" s="40"/>
      <c r="E1034" s="40"/>
      <c r="F1034" s="2"/>
    </row>
    <row r="1035">
      <c r="B1035" s="1"/>
      <c r="C1035" s="2" t="s">
        <v>200</v>
      </c>
      <c r="D1035" s="40"/>
      <c r="E1035" s="40"/>
      <c r="F1035" s="2"/>
    </row>
    <row r="1036">
      <c r="B1036" s="1"/>
      <c r="C1036" s="2" t="s">
        <v>200</v>
      </c>
      <c r="D1036" s="40"/>
      <c r="E1036" s="40"/>
      <c r="F1036" s="2"/>
    </row>
    <row r="1037">
      <c r="B1037" s="1"/>
      <c r="C1037" s="2" t="s">
        <v>200</v>
      </c>
      <c r="D1037" s="40"/>
      <c r="E1037" s="40"/>
      <c r="F1037" s="2"/>
    </row>
    <row r="1038">
      <c r="B1038" s="1"/>
      <c r="C1038" s="2" t="s">
        <v>200</v>
      </c>
      <c r="D1038" s="40"/>
      <c r="E1038" s="40"/>
      <c r="F1038" s="2"/>
    </row>
    <row r="1039">
      <c r="B1039" s="1"/>
      <c r="C1039" s="2" t="s">
        <v>200</v>
      </c>
      <c r="D1039" s="40"/>
      <c r="E1039" s="40"/>
      <c r="F1039" s="2"/>
    </row>
    <row r="1040">
      <c r="B1040" s="1"/>
      <c r="C1040" s="2" t="s">
        <v>200</v>
      </c>
      <c r="D1040" s="40"/>
      <c r="E1040" s="40"/>
      <c r="F1040" s="2"/>
    </row>
    <row r="1041">
      <c r="B1041" s="1"/>
      <c r="C1041" s="2" t="s">
        <v>200</v>
      </c>
      <c r="D1041" s="40"/>
      <c r="E1041" s="40"/>
      <c r="F1041" s="2"/>
    </row>
    <row r="1042">
      <c r="B1042" s="1"/>
      <c r="C1042" s="2" t="s">
        <v>200</v>
      </c>
      <c r="D1042" s="40"/>
      <c r="E1042" s="40"/>
      <c r="F1042" s="2"/>
    </row>
    <row r="1043">
      <c r="B1043" s="1"/>
      <c r="C1043" s="2" t="s">
        <v>200</v>
      </c>
      <c r="D1043" s="40"/>
      <c r="E1043" s="40"/>
      <c r="F1043" s="2"/>
    </row>
    <row r="1044">
      <c r="B1044" s="1"/>
      <c r="C1044" s="2" t="s">
        <v>200</v>
      </c>
      <c r="D1044" s="40"/>
      <c r="E1044" s="40"/>
      <c r="F1044" s="2"/>
    </row>
    <row r="1045">
      <c r="B1045" s="1"/>
      <c r="C1045" s="2" t="s">
        <v>200</v>
      </c>
      <c r="D1045" s="40"/>
      <c r="E1045" s="40"/>
      <c r="F1045" s="2"/>
    </row>
    <row r="1046">
      <c r="B1046" s="1"/>
      <c r="C1046" s="2" t="s">
        <v>200</v>
      </c>
      <c r="D1046" s="40"/>
      <c r="E1046" s="40"/>
      <c r="F1046" s="2"/>
    </row>
    <row r="1047">
      <c r="B1047" s="1"/>
      <c r="C1047" s="2" t="s">
        <v>200</v>
      </c>
      <c r="D1047" s="40"/>
      <c r="E1047" s="40"/>
      <c r="F1047" s="2"/>
    </row>
    <row r="1048">
      <c r="B1048" s="1"/>
      <c r="C1048" s="2" t="s">
        <v>200</v>
      </c>
      <c r="D1048" s="40"/>
      <c r="E1048" s="40"/>
      <c r="F1048" s="2"/>
    </row>
    <row r="1049">
      <c r="B1049" s="1"/>
      <c r="C1049" s="2" t="s">
        <v>200</v>
      </c>
      <c r="D1049" s="40"/>
      <c r="E1049" s="40"/>
      <c r="F1049" s="2"/>
    </row>
    <row r="1050">
      <c r="B1050" s="1"/>
      <c r="C1050" s="2" t="s">
        <v>200</v>
      </c>
      <c r="D1050" s="40"/>
      <c r="E1050" s="40"/>
      <c r="F1050" s="2"/>
    </row>
    <row r="1051">
      <c r="B1051" s="1"/>
      <c r="C1051" s="2" t="s">
        <v>200</v>
      </c>
      <c r="D1051" s="40"/>
      <c r="E1051" s="40"/>
      <c r="F1051" s="2"/>
    </row>
    <row r="1052">
      <c r="B1052" s="1"/>
      <c r="C1052" s="2" t="s">
        <v>200</v>
      </c>
      <c r="D1052" s="40"/>
      <c r="E1052" s="40"/>
      <c r="F1052" s="2"/>
    </row>
    <row r="1053">
      <c r="B1053" s="1"/>
      <c r="C1053" s="2" t="s">
        <v>200</v>
      </c>
      <c r="D1053" s="40"/>
      <c r="E1053" s="40"/>
      <c r="F1053" s="2"/>
    </row>
    <row r="1054">
      <c r="B1054" s="1"/>
      <c r="C1054" s="2" t="s">
        <v>200</v>
      </c>
      <c r="D1054" s="40"/>
      <c r="E1054" s="40"/>
      <c r="F1054" s="2"/>
    </row>
    <row r="1055">
      <c r="B1055" s="1"/>
      <c r="C1055" s="2" t="s">
        <v>200</v>
      </c>
      <c r="D1055" s="40"/>
      <c r="E1055" s="40"/>
      <c r="F1055" s="2"/>
    </row>
    <row r="1056">
      <c r="B1056" s="1"/>
      <c r="C1056" s="2" t="s">
        <v>200</v>
      </c>
      <c r="D1056" s="40"/>
      <c r="E1056" s="40"/>
      <c r="F1056" s="2"/>
    </row>
    <row r="1057">
      <c r="B1057" s="1"/>
      <c r="C1057" s="2" t="s">
        <v>200</v>
      </c>
      <c r="D1057" s="40"/>
      <c r="E1057" s="40"/>
      <c r="F1057" s="2"/>
    </row>
    <row r="1058">
      <c r="B1058" s="1"/>
      <c r="C1058" s="2" t="s">
        <v>200</v>
      </c>
      <c r="D1058" s="40"/>
      <c r="E1058" s="40"/>
      <c r="F1058" s="2"/>
    </row>
    <row r="1059">
      <c r="B1059" s="1"/>
      <c r="C1059" s="2" t="s">
        <v>200</v>
      </c>
      <c r="D1059" s="40"/>
      <c r="E1059" s="40"/>
      <c r="F1059" s="2"/>
    </row>
    <row r="1060">
      <c r="B1060" s="1"/>
      <c r="C1060" s="2" t="s">
        <v>200</v>
      </c>
      <c r="D1060" s="40"/>
      <c r="E1060" s="40"/>
      <c r="F1060" s="2"/>
    </row>
    <row r="1061">
      <c r="B1061" s="1"/>
      <c r="C1061" s="2" t="s">
        <v>200</v>
      </c>
      <c r="D1061" s="40"/>
      <c r="E1061" s="40"/>
      <c r="F1061" s="2"/>
    </row>
    <row r="1062">
      <c r="B1062" s="1"/>
      <c r="C1062" s="2" t="s">
        <v>200</v>
      </c>
      <c r="D1062" s="40"/>
      <c r="E1062" s="40"/>
      <c r="F1062" s="2"/>
    </row>
    <row r="1063">
      <c r="B1063" s="1"/>
      <c r="C1063" s="2" t="s">
        <v>200</v>
      </c>
      <c r="D1063" s="40"/>
      <c r="E1063" s="40"/>
      <c r="F1063" s="2"/>
    </row>
    <row r="1064">
      <c r="B1064" s="1"/>
      <c r="C1064" s="2" t="s">
        <v>200</v>
      </c>
      <c r="D1064" s="40"/>
      <c r="E1064" s="40"/>
      <c r="F1064" s="2"/>
    </row>
    <row r="1065">
      <c r="B1065" s="1"/>
      <c r="C1065" s="2" t="s">
        <v>200</v>
      </c>
      <c r="D1065" s="40"/>
      <c r="E1065" s="40"/>
      <c r="F1065" s="2"/>
    </row>
    <row r="1066">
      <c r="B1066" s="1"/>
      <c r="C1066" s="2" t="s">
        <v>200</v>
      </c>
      <c r="D1066" s="40"/>
      <c r="E1066" s="40"/>
      <c r="F1066" s="2"/>
    </row>
    <row r="1067">
      <c r="B1067" s="1"/>
      <c r="C1067" s="2" t="s">
        <v>200</v>
      </c>
      <c r="D1067" s="40"/>
      <c r="E1067" s="40"/>
      <c r="F1067" s="2"/>
    </row>
    <row r="1068">
      <c r="B1068" s="1"/>
      <c r="C1068" s="2" t="s">
        <v>200</v>
      </c>
      <c r="D1068" s="40"/>
      <c r="E1068" s="40"/>
      <c r="F1068" s="2"/>
    </row>
    <row r="1069">
      <c r="B1069" s="1"/>
      <c r="C1069" s="2" t="s">
        <v>200</v>
      </c>
      <c r="D1069" s="40"/>
      <c r="E1069" s="40"/>
      <c r="F1069" s="2"/>
    </row>
    <row r="1070">
      <c r="B1070" s="1"/>
      <c r="C1070" s="2" t="s">
        <v>200</v>
      </c>
      <c r="D1070" s="40"/>
      <c r="E1070" s="40"/>
      <c r="F1070" s="2"/>
    </row>
    <row r="1071">
      <c r="B1071" s="1"/>
      <c r="C1071" s="2" t="s">
        <v>200</v>
      </c>
      <c r="D1071" s="40"/>
      <c r="E1071" s="40"/>
      <c r="F1071" s="2"/>
    </row>
    <row r="1072">
      <c r="B1072" s="1"/>
      <c r="C1072" s="2" t="s">
        <v>200</v>
      </c>
      <c r="D1072" s="40"/>
      <c r="E1072" s="40"/>
      <c r="F1072" s="2"/>
    </row>
    <row r="1073">
      <c r="B1073" s="1"/>
      <c r="C1073" s="2" t="s">
        <v>200</v>
      </c>
      <c r="D1073" s="40"/>
      <c r="E1073" s="40"/>
      <c r="F1073" s="2"/>
    </row>
    <row r="1074">
      <c r="B1074" s="1"/>
      <c r="C1074" s="2" t="s">
        <v>200</v>
      </c>
      <c r="D1074" s="40"/>
      <c r="E1074" s="40"/>
      <c r="F1074" s="2"/>
    </row>
    <row r="1075">
      <c r="B1075" s="1"/>
      <c r="C1075" s="2" t="s">
        <v>200</v>
      </c>
      <c r="D1075" s="40"/>
      <c r="E1075" s="40"/>
      <c r="F1075" s="2"/>
    </row>
    <row r="1076">
      <c r="B1076" s="1"/>
      <c r="C1076" s="2" t="s">
        <v>200</v>
      </c>
      <c r="D1076" s="40"/>
      <c r="E1076" s="40"/>
      <c r="F1076" s="2"/>
    </row>
    <row r="1077">
      <c r="B1077" s="1"/>
      <c r="C1077" s="2" t="s">
        <v>200</v>
      </c>
      <c r="D1077" s="40"/>
      <c r="E1077" s="40"/>
      <c r="F1077" s="2"/>
    </row>
    <row r="1078">
      <c r="B1078" s="1"/>
      <c r="C1078" s="2" t="s">
        <v>200</v>
      </c>
      <c r="D1078" s="40"/>
      <c r="E1078" s="40"/>
      <c r="F1078"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6.13"/>
    <col customWidth="1" min="3" max="3" width="10.88"/>
    <col customWidth="1" min="4" max="4" width="19.88"/>
    <col customWidth="1" min="5" max="5" width="23.38"/>
    <col customWidth="1" min="6" max="6" width="28.0"/>
    <col customWidth="1" min="7" max="7" width="17.88"/>
    <col customWidth="1" min="8" max="8" width="11.25"/>
    <col customWidth="1" min="9" max="9" width="8.5"/>
    <col customWidth="1" min="10" max="11" width="11.5"/>
    <col customWidth="1" min="12" max="12" width="26.0"/>
    <col customWidth="1" min="13" max="13" width="16.88"/>
    <col customWidth="1" min="14" max="14" width="21.63"/>
    <col customWidth="1" min="15" max="17" width="14.75"/>
    <col customWidth="1" min="18" max="20" width="15.25"/>
    <col customWidth="1" min="21" max="23" width="16.5"/>
    <col customWidth="1" min="24" max="26" width="21.88"/>
    <col customWidth="1" min="27" max="29" width="29.38"/>
    <col customWidth="1" min="30" max="30" width="44.5"/>
    <col customWidth="1" min="31" max="31" width="21.5"/>
    <col customWidth="1" hidden="1" min="32" max="39" width="21.5"/>
  </cols>
  <sheetData>
    <row r="1">
      <c r="A1" s="3"/>
      <c r="B1" s="4" t="s">
        <v>0</v>
      </c>
      <c r="C1" s="4" t="s">
        <v>1</v>
      </c>
      <c r="D1" s="4" t="s">
        <v>2</v>
      </c>
      <c r="E1" s="4" t="s">
        <v>3</v>
      </c>
      <c r="F1" s="5" t="s">
        <v>4</v>
      </c>
      <c r="G1" s="4" t="s">
        <v>52</v>
      </c>
      <c r="H1" s="4" t="s">
        <v>53</v>
      </c>
      <c r="I1" s="4" t="s">
        <v>54</v>
      </c>
      <c r="J1" s="7" t="s">
        <v>59</v>
      </c>
      <c r="K1" s="6" t="s">
        <v>60</v>
      </c>
      <c r="L1" s="7" t="s">
        <v>56</v>
      </c>
      <c r="M1" s="6" t="s">
        <v>168</v>
      </c>
      <c r="N1" s="6" t="s">
        <v>169</v>
      </c>
      <c r="O1" s="85" t="s">
        <v>1503</v>
      </c>
      <c r="P1" s="85" t="s">
        <v>1504</v>
      </c>
      <c r="Q1" s="85" t="s">
        <v>1505</v>
      </c>
      <c r="R1" s="85" t="s">
        <v>1506</v>
      </c>
      <c r="S1" s="85" t="s">
        <v>1507</v>
      </c>
      <c r="T1" s="85" t="s">
        <v>1508</v>
      </c>
      <c r="U1" s="85" t="s">
        <v>1509</v>
      </c>
      <c r="V1" s="85" t="s">
        <v>1510</v>
      </c>
      <c r="W1" s="85" t="s">
        <v>1511</v>
      </c>
      <c r="X1" s="85" t="s">
        <v>1512</v>
      </c>
      <c r="Y1" s="85" t="s">
        <v>1513</v>
      </c>
      <c r="Z1" s="85" t="s">
        <v>1514</v>
      </c>
      <c r="AA1" s="85" t="s">
        <v>1515</v>
      </c>
      <c r="AB1" s="85" t="s">
        <v>1516</v>
      </c>
      <c r="AC1" s="85" t="s">
        <v>1517</v>
      </c>
      <c r="AD1" s="86" t="s">
        <v>63</v>
      </c>
      <c r="AE1" s="10" t="s">
        <v>64</v>
      </c>
      <c r="AF1" s="87"/>
      <c r="AG1" s="87"/>
      <c r="AH1" s="87"/>
      <c r="AI1" s="87"/>
      <c r="AJ1" s="87"/>
      <c r="AK1" s="87"/>
      <c r="AL1" s="87"/>
      <c r="AM1" s="87"/>
    </row>
    <row r="2">
      <c r="A2" s="11"/>
      <c r="B2" s="12" t="s">
        <v>34</v>
      </c>
      <c r="C2" s="12" t="s">
        <v>65</v>
      </c>
      <c r="D2" s="12" t="s">
        <v>43</v>
      </c>
      <c r="E2" s="12" t="s">
        <v>224</v>
      </c>
      <c r="F2" s="33" t="s">
        <v>225</v>
      </c>
      <c r="G2" s="12" t="s">
        <v>68</v>
      </c>
      <c r="H2" s="12" t="s">
        <v>226</v>
      </c>
      <c r="I2" s="12" t="s">
        <v>227</v>
      </c>
      <c r="J2" s="17" t="s">
        <v>112</v>
      </c>
      <c r="K2" s="17" t="s">
        <v>113</v>
      </c>
      <c r="L2" s="16" t="s">
        <v>1518</v>
      </c>
      <c r="M2" s="20">
        <v>45852.0</v>
      </c>
      <c r="N2" s="17" t="s">
        <v>194</v>
      </c>
      <c r="O2" s="88" t="s">
        <v>1519</v>
      </c>
      <c r="P2" s="88" t="s">
        <v>1520</v>
      </c>
      <c r="Q2" s="88" t="s">
        <v>1519</v>
      </c>
      <c r="R2" s="88" t="s">
        <v>1519</v>
      </c>
      <c r="S2" s="88" t="s">
        <v>1519</v>
      </c>
      <c r="T2" s="88" t="s">
        <v>1520</v>
      </c>
      <c r="U2" s="88" t="s">
        <v>1519</v>
      </c>
      <c r="V2" s="88" t="s">
        <v>1519</v>
      </c>
      <c r="W2" s="88" t="s">
        <v>1520</v>
      </c>
      <c r="X2" s="88" t="s">
        <v>1520</v>
      </c>
      <c r="Y2" s="88" t="s">
        <v>1520</v>
      </c>
      <c r="Z2" s="88" t="s">
        <v>1521</v>
      </c>
      <c r="AA2" s="88" t="s">
        <v>1519</v>
      </c>
      <c r="AB2" s="88" t="s">
        <v>1520</v>
      </c>
      <c r="AC2" s="88" t="s">
        <v>1520</v>
      </c>
      <c r="AD2" s="89"/>
      <c r="AE2" s="18" t="s">
        <v>76</v>
      </c>
      <c r="AF2" s="18"/>
      <c r="AG2" s="18"/>
      <c r="AH2" s="18"/>
      <c r="AI2" s="18"/>
      <c r="AJ2" s="18"/>
      <c r="AK2" s="18"/>
      <c r="AL2" s="18"/>
      <c r="AM2" s="18"/>
    </row>
    <row r="3">
      <c r="A3" s="11"/>
      <c r="B3" s="12" t="s">
        <v>34</v>
      </c>
      <c r="C3" s="12" t="s">
        <v>65</v>
      </c>
      <c r="D3" s="12" t="s">
        <v>43</v>
      </c>
      <c r="E3" s="12" t="s">
        <v>224</v>
      </c>
      <c r="F3" s="33" t="s">
        <v>225</v>
      </c>
      <c r="G3" s="12" t="s">
        <v>68</v>
      </c>
      <c r="H3" s="12" t="s">
        <v>226</v>
      </c>
      <c r="I3" s="12" t="s">
        <v>227</v>
      </c>
      <c r="J3" s="17" t="s">
        <v>112</v>
      </c>
      <c r="K3" s="17" t="s">
        <v>113</v>
      </c>
      <c r="L3" s="16" t="s">
        <v>1522</v>
      </c>
      <c r="M3" s="20">
        <v>45852.0</v>
      </c>
      <c r="N3" s="17" t="s">
        <v>194</v>
      </c>
      <c r="O3" s="88" t="s">
        <v>1519</v>
      </c>
      <c r="P3" s="88" t="s">
        <v>1519</v>
      </c>
      <c r="Q3" s="88" t="s">
        <v>1519</v>
      </c>
      <c r="R3" s="88" t="s">
        <v>1519</v>
      </c>
      <c r="S3" s="88" t="s">
        <v>1519</v>
      </c>
      <c r="T3" s="88" t="s">
        <v>1519</v>
      </c>
      <c r="U3" s="88" t="s">
        <v>1519</v>
      </c>
      <c r="V3" s="88" t="s">
        <v>1519</v>
      </c>
      <c r="W3" s="88" t="s">
        <v>1519</v>
      </c>
      <c r="X3" s="88" t="s">
        <v>1519</v>
      </c>
      <c r="Y3" s="88" t="s">
        <v>1520</v>
      </c>
      <c r="Z3" s="88" t="s">
        <v>1521</v>
      </c>
      <c r="AA3" s="88" t="s">
        <v>1519</v>
      </c>
      <c r="AB3" s="88" t="s">
        <v>1519</v>
      </c>
      <c r="AC3" s="88" t="s">
        <v>1519</v>
      </c>
      <c r="AD3" s="89"/>
      <c r="AE3" s="18" t="s">
        <v>76</v>
      </c>
      <c r="AF3" s="18"/>
      <c r="AG3" s="18"/>
      <c r="AH3" s="18"/>
      <c r="AI3" s="18"/>
      <c r="AJ3" s="18"/>
      <c r="AK3" s="18"/>
      <c r="AL3" s="18"/>
      <c r="AM3" s="18"/>
    </row>
    <row r="4">
      <c r="A4" s="11"/>
      <c r="B4" s="12" t="s">
        <v>34</v>
      </c>
      <c r="C4" s="12" t="s">
        <v>65</v>
      </c>
      <c r="D4" s="12" t="s">
        <v>43</v>
      </c>
      <c r="E4" s="12" t="s">
        <v>224</v>
      </c>
      <c r="F4" s="33" t="s">
        <v>225</v>
      </c>
      <c r="G4" s="12" t="s">
        <v>68</v>
      </c>
      <c r="H4" s="12" t="s">
        <v>226</v>
      </c>
      <c r="I4" s="12" t="s">
        <v>227</v>
      </c>
      <c r="J4" s="17" t="s">
        <v>112</v>
      </c>
      <c r="K4" s="17" t="s">
        <v>113</v>
      </c>
      <c r="L4" s="16" t="s">
        <v>1523</v>
      </c>
      <c r="M4" s="20">
        <v>45852.0</v>
      </c>
      <c r="N4" s="17" t="s">
        <v>194</v>
      </c>
      <c r="O4" s="88" t="s">
        <v>1519</v>
      </c>
      <c r="P4" s="88" t="s">
        <v>1519</v>
      </c>
      <c r="Q4" s="88" t="s">
        <v>1519</v>
      </c>
      <c r="R4" s="88" t="s">
        <v>1519</v>
      </c>
      <c r="S4" s="88" t="s">
        <v>1519</v>
      </c>
      <c r="T4" s="88" t="s">
        <v>1521</v>
      </c>
      <c r="U4" s="88" t="s">
        <v>1519</v>
      </c>
      <c r="V4" s="88" t="s">
        <v>1520</v>
      </c>
      <c r="W4" s="88" t="s">
        <v>1520</v>
      </c>
      <c r="X4" s="88" t="s">
        <v>1519</v>
      </c>
      <c r="Y4" s="88" t="s">
        <v>1520</v>
      </c>
      <c r="Z4" s="88" t="s">
        <v>1521</v>
      </c>
      <c r="AA4" s="88" t="s">
        <v>1519</v>
      </c>
      <c r="AB4" s="88" t="s">
        <v>1520</v>
      </c>
      <c r="AC4" s="88" t="s">
        <v>1521</v>
      </c>
      <c r="AD4" s="89"/>
      <c r="AE4" s="18" t="s">
        <v>76</v>
      </c>
      <c r="AF4" s="18"/>
      <c r="AG4" s="18"/>
      <c r="AH4" s="18"/>
      <c r="AI4" s="18"/>
      <c r="AJ4" s="18"/>
      <c r="AK4" s="18"/>
      <c r="AL4" s="18"/>
      <c r="AM4" s="18"/>
    </row>
    <row r="5">
      <c r="A5" s="11"/>
      <c r="B5" s="12" t="s">
        <v>34</v>
      </c>
      <c r="C5" s="12" t="s">
        <v>65</v>
      </c>
      <c r="D5" s="12" t="s">
        <v>43</v>
      </c>
      <c r="E5" s="12" t="s">
        <v>224</v>
      </c>
      <c r="F5" s="33" t="s">
        <v>225</v>
      </c>
      <c r="G5" s="12" t="s">
        <v>68</v>
      </c>
      <c r="H5" s="12" t="s">
        <v>226</v>
      </c>
      <c r="I5" s="12" t="s">
        <v>227</v>
      </c>
      <c r="J5" s="17" t="s">
        <v>112</v>
      </c>
      <c r="K5" s="17" t="s">
        <v>113</v>
      </c>
      <c r="L5" s="17" t="s">
        <v>1524</v>
      </c>
      <c r="M5" s="20">
        <v>45852.0</v>
      </c>
      <c r="N5" s="17" t="s">
        <v>194</v>
      </c>
      <c r="O5" s="88" t="s">
        <v>1519</v>
      </c>
      <c r="P5" s="88" t="s">
        <v>1519</v>
      </c>
      <c r="Q5" s="88" t="s">
        <v>1519</v>
      </c>
      <c r="R5" s="88" t="s">
        <v>1519</v>
      </c>
      <c r="S5" s="88" t="s">
        <v>1519</v>
      </c>
      <c r="T5" s="88" t="s">
        <v>1519</v>
      </c>
      <c r="U5" s="88" t="s">
        <v>1519</v>
      </c>
      <c r="V5" s="88" t="s">
        <v>1519</v>
      </c>
      <c r="W5" s="88" t="s">
        <v>1520</v>
      </c>
      <c r="X5" s="88" t="s">
        <v>1519</v>
      </c>
      <c r="Y5" s="88" t="s">
        <v>1519</v>
      </c>
      <c r="Z5" s="88" t="s">
        <v>1520</v>
      </c>
      <c r="AA5" s="88" t="s">
        <v>1519</v>
      </c>
      <c r="AB5" s="88" t="s">
        <v>1519</v>
      </c>
      <c r="AC5" s="88" t="s">
        <v>1519</v>
      </c>
      <c r="AD5" s="89"/>
      <c r="AE5" s="18" t="s">
        <v>76</v>
      </c>
      <c r="AF5" s="18"/>
      <c r="AG5" s="18"/>
      <c r="AH5" s="18"/>
      <c r="AI5" s="18"/>
      <c r="AJ5" s="18"/>
      <c r="AK5" s="18"/>
      <c r="AL5" s="18"/>
      <c r="AM5" s="18"/>
    </row>
    <row r="6">
      <c r="A6" s="11"/>
      <c r="B6" s="12" t="s">
        <v>34</v>
      </c>
      <c r="C6" s="12" t="s">
        <v>65</v>
      </c>
      <c r="D6" s="12" t="s">
        <v>43</v>
      </c>
      <c r="E6" s="12" t="s">
        <v>224</v>
      </c>
      <c r="F6" s="33" t="s">
        <v>225</v>
      </c>
      <c r="G6" s="12" t="s">
        <v>68</v>
      </c>
      <c r="H6" s="12" t="s">
        <v>226</v>
      </c>
      <c r="I6" s="12" t="s">
        <v>227</v>
      </c>
      <c r="J6" s="17" t="s">
        <v>112</v>
      </c>
      <c r="K6" s="17" t="s">
        <v>113</v>
      </c>
      <c r="L6" s="16" t="s">
        <v>1525</v>
      </c>
      <c r="M6" s="20">
        <v>45852.0</v>
      </c>
      <c r="N6" s="17" t="s">
        <v>194</v>
      </c>
      <c r="O6" s="88" t="s">
        <v>1519</v>
      </c>
      <c r="P6" s="88" t="s">
        <v>1519</v>
      </c>
      <c r="Q6" s="88" t="s">
        <v>1519</v>
      </c>
      <c r="R6" s="88" t="s">
        <v>1519</v>
      </c>
      <c r="S6" s="88" t="s">
        <v>1519</v>
      </c>
      <c r="T6" s="88" t="s">
        <v>1519</v>
      </c>
      <c r="U6" s="88" t="s">
        <v>1519</v>
      </c>
      <c r="V6" s="88" t="s">
        <v>1519</v>
      </c>
      <c r="W6" s="88" t="s">
        <v>1521</v>
      </c>
      <c r="X6" s="88" t="s">
        <v>1520</v>
      </c>
      <c r="Y6" s="88" t="s">
        <v>1519</v>
      </c>
      <c r="Z6" s="88" t="s">
        <v>1520</v>
      </c>
      <c r="AA6" s="88" t="s">
        <v>1519</v>
      </c>
      <c r="AB6" s="88" t="s">
        <v>1519</v>
      </c>
      <c r="AC6" s="88" t="s">
        <v>1520</v>
      </c>
      <c r="AD6" s="89"/>
      <c r="AE6" s="18" t="s">
        <v>76</v>
      </c>
      <c r="AF6" s="18"/>
      <c r="AG6" s="18"/>
      <c r="AH6" s="18"/>
      <c r="AI6" s="18"/>
      <c r="AJ6" s="18"/>
      <c r="AK6" s="18"/>
      <c r="AL6" s="18"/>
      <c r="AM6" s="18"/>
    </row>
    <row r="7">
      <c r="A7" s="11"/>
      <c r="B7" s="12" t="s">
        <v>34</v>
      </c>
      <c r="C7" s="12" t="s">
        <v>65</v>
      </c>
      <c r="D7" s="12" t="s">
        <v>43</v>
      </c>
      <c r="E7" s="12" t="s">
        <v>224</v>
      </c>
      <c r="F7" s="33" t="s">
        <v>225</v>
      </c>
      <c r="G7" s="12" t="s">
        <v>68</v>
      </c>
      <c r="H7" s="12" t="s">
        <v>226</v>
      </c>
      <c r="I7" s="12" t="s">
        <v>227</v>
      </c>
      <c r="J7" s="17" t="s">
        <v>112</v>
      </c>
      <c r="K7" s="17" t="s">
        <v>113</v>
      </c>
      <c r="L7" s="16" t="s">
        <v>1526</v>
      </c>
      <c r="M7" s="20">
        <v>45852.0</v>
      </c>
      <c r="N7" s="17" t="s">
        <v>194</v>
      </c>
      <c r="O7" s="88" t="s">
        <v>1519</v>
      </c>
      <c r="P7" s="88" t="s">
        <v>1519</v>
      </c>
      <c r="Q7" s="88" t="s">
        <v>1519</v>
      </c>
      <c r="R7" s="88" t="s">
        <v>1519</v>
      </c>
      <c r="S7" s="88" t="s">
        <v>1519</v>
      </c>
      <c r="T7" s="88" t="s">
        <v>1519</v>
      </c>
      <c r="U7" s="88" t="s">
        <v>1519</v>
      </c>
      <c r="V7" s="88" t="s">
        <v>1519</v>
      </c>
      <c r="W7" s="88" t="s">
        <v>1519</v>
      </c>
      <c r="X7" s="88" t="s">
        <v>1519</v>
      </c>
      <c r="Y7" s="88" t="s">
        <v>1519</v>
      </c>
      <c r="Z7" s="88" t="s">
        <v>1520</v>
      </c>
      <c r="AA7" s="88" t="s">
        <v>1519</v>
      </c>
      <c r="AB7" s="88" t="s">
        <v>1519</v>
      </c>
      <c r="AC7" s="88" t="s">
        <v>1519</v>
      </c>
      <c r="AD7" s="89"/>
      <c r="AE7" s="18" t="s">
        <v>76</v>
      </c>
      <c r="AF7" s="18"/>
      <c r="AG7" s="18"/>
      <c r="AH7" s="18"/>
      <c r="AI7" s="18"/>
      <c r="AJ7" s="18"/>
      <c r="AK7" s="18"/>
      <c r="AL7" s="18"/>
      <c r="AM7" s="18"/>
    </row>
    <row r="8">
      <c r="A8" s="11"/>
      <c r="B8" s="12" t="s">
        <v>34</v>
      </c>
      <c r="C8" s="12" t="s">
        <v>65</v>
      </c>
      <c r="D8" s="12" t="s">
        <v>43</v>
      </c>
      <c r="E8" s="12" t="s">
        <v>224</v>
      </c>
      <c r="F8" s="33" t="s">
        <v>225</v>
      </c>
      <c r="G8" s="12" t="s">
        <v>68</v>
      </c>
      <c r="H8" s="12" t="s">
        <v>226</v>
      </c>
      <c r="I8" s="12" t="s">
        <v>227</v>
      </c>
      <c r="J8" s="17" t="s">
        <v>112</v>
      </c>
      <c r="K8" s="17" t="s">
        <v>113</v>
      </c>
      <c r="L8" s="16" t="s">
        <v>1527</v>
      </c>
      <c r="M8" s="20">
        <v>45852.0</v>
      </c>
      <c r="N8" s="17" t="s">
        <v>194</v>
      </c>
      <c r="O8" s="88" t="s">
        <v>1519</v>
      </c>
      <c r="P8" s="88" t="s">
        <v>1520</v>
      </c>
      <c r="Q8" s="88" t="s">
        <v>1520</v>
      </c>
      <c r="R8" s="88" t="s">
        <v>1519</v>
      </c>
      <c r="S8" s="88" t="s">
        <v>1519</v>
      </c>
      <c r="T8" s="88" t="s">
        <v>1520</v>
      </c>
      <c r="U8" s="88" t="s">
        <v>1519</v>
      </c>
      <c r="V8" s="88" t="s">
        <v>1519</v>
      </c>
      <c r="W8" s="88" t="s">
        <v>1520</v>
      </c>
      <c r="X8" s="88" t="s">
        <v>1519</v>
      </c>
      <c r="Y8" s="88" t="s">
        <v>1519</v>
      </c>
      <c r="Z8" s="88" t="s">
        <v>1520</v>
      </c>
      <c r="AA8" s="88" t="s">
        <v>1519</v>
      </c>
      <c r="AB8" s="88" t="s">
        <v>1519</v>
      </c>
      <c r="AC8" s="88" t="s">
        <v>1521</v>
      </c>
      <c r="AD8" s="89"/>
      <c r="AE8" s="18" t="s">
        <v>76</v>
      </c>
      <c r="AF8" s="18"/>
      <c r="AG8" s="18"/>
      <c r="AH8" s="18"/>
      <c r="AI8" s="18"/>
      <c r="AJ8" s="18"/>
      <c r="AK8" s="18"/>
      <c r="AL8" s="18"/>
      <c r="AM8" s="18"/>
    </row>
    <row r="9">
      <c r="A9" s="11"/>
      <c r="B9" s="12" t="s">
        <v>34</v>
      </c>
      <c r="C9" s="12" t="s">
        <v>65</v>
      </c>
      <c r="D9" s="12" t="s">
        <v>43</v>
      </c>
      <c r="E9" s="12" t="s">
        <v>224</v>
      </c>
      <c r="F9" s="33" t="s">
        <v>225</v>
      </c>
      <c r="G9" s="12" t="s">
        <v>68</v>
      </c>
      <c r="H9" s="12" t="s">
        <v>226</v>
      </c>
      <c r="I9" s="12" t="s">
        <v>227</v>
      </c>
      <c r="J9" s="17" t="s">
        <v>112</v>
      </c>
      <c r="K9" s="17" t="s">
        <v>113</v>
      </c>
      <c r="L9" s="16" t="s">
        <v>1528</v>
      </c>
      <c r="M9" s="20">
        <v>45852.0</v>
      </c>
      <c r="N9" s="17" t="s">
        <v>194</v>
      </c>
      <c r="O9" s="88" t="s">
        <v>1519</v>
      </c>
      <c r="P9" s="88" t="s">
        <v>1519</v>
      </c>
      <c r="Q9" s="88" t="s">
        <v>1519</v>
      </c>
      <c r="R9" s="88" t="s">
        <v>1519</v>
      </c>
      <c r="S9" s="88" t="s">
        <v>1519</v>
      </c>
      <c r="T9" s="88" t="s">
        <v>1520</v>
      </c>
      <c r="U9" s="88" t="s">
        <v>1519</v>
      </c>
      <c r="V9" s="88" t="s">
        <v>1519</v>
      </c>
      <c r="W9" s="88" t="s">
        <v>1520</v>
      </c>
      <c r="X9" s="88" t="s">
        <v>1519</v>
      </c>
      <c r="Y9" s="88" t="s">
        <v>1520</v>
      </c>
      <c r="Z9" s="88" t="s">
        <v>1520</v>
      </c>
      <c r="AA9" s="88" t="s">
        <v>1519</v>
      </c>
      <c r="AB9" s="88" t="s">
        <v>1519</v>
      </c>
      <c r="AC9" s="88" t="s">
        <v>1520</v>
      </c>
      <c r="AD9" s="89"/>
      <c r="AE9" s="18" t="s">
        <v>76</v>
      </c>
      <c r="AF9" s="18"/>
      <c r="AG9" s="18"/>
      <c r="AH9" s="18"/>
      <c r="AI9" s="18"/>
      <c r="AJ9" s="18"/>
      <c r="AK9" s="18"/>
      <c r="AL9" s="18"/>
      <c r="AM9" s="18"/>
    </row>
    <row r="10">
      <c r="A10" s="11"/>
      <c r="B10" s="12" t="s">
        <v>34</v>
      </c>
      <c r="C10" s="12" t="s">
        <v>65</v>
      </c>
      <c r="D10" s="12" t="s">
        <v>43</v>
      </c>
      <c r="E10" s="12" t="s">
        <v>224</v>
      </c>
      <c r="F10" s="33" t="s">
        <v>225</v>
      </c>
      <c r="G10" s="12" t="s">
        <v>68</v>
      </c>
      <c r="H10" s="12" t="s">
        <v>226</v>
      </c>
      <c r="I10" s="12" t="s">
        <v>227</v>
      </c>
      <c r="J10" s="17" t="s">
        <v>112</v>
      </c>
      <c r="K10" s="17" t="s">
        <v>113</v>
      </c>
      <c r="L10" s="16" t="s">
        <v>1529</v>
      </c>
      <c r="M10" s="20">
        <v>45852.0</v>
      </c>
      <c r="N10" s="17" t="s">
        <v>194</v>
      </c>
      <c r="O10" s="88" t="s">
        <v>1519</v>
      </c>
      <c r="P10" s="88" t="s">
        <v>1519</v>
      </c>
      <c r="Q10" s="88" t="s">
        <v>1519</v>
      </c>
      <c r="R10" s="88" t="s">
        <v>1519</v>
      </c>
      <c r="S10" s="88" t="s">
        <v>1519</v>
      </c>
      <c r="T10" s="88" t="s">
        <v>1519</v>
      </c>
      <c r="U10" s="88" t="s">
        <v>1519</v>
      </c>
      <c r="V10" s="88" t="s">
        <v>1519</v>
      </c>
      <c r="W10" s="88" t="s">
        <v>1521</v>
      </c>
      <c r="X10" s="88" t="s">
        <v>1519</v>
      </c>
      <c r="Y10" s="88" t="s">
        <v>1520</v>
      </c>
      <c r="Z10" s="88" t="s">
        <v>1520</v>
      </c>
      <c r="AA10" s="88" t="s">
        <v>1519</v>
      </c>
      <c r="AB10" s="88" t="s">
        <v>1519</v>
      </c>
      <c r="AC10" s="88" t="s">
        <v>1520</v>
      </c>
      <c r="AD10" s="89"/>
      <c r="AE10" s="18" t="s">
        <v>76</v>
      </c>
      <c r="AF10" s="18"/>
      <c r="AG10" s="18"/>
      <c r="AH10" s="18"/>
      <c r="AI10" s="18"/>
      <c r="AJ10" s="18"/>
      <c r="AK10" s="18"/>
      <c r="AL10" s="18"/>
      <c r="AM10" s="18"/>
    </row>
    <row r="11">
      <c r="A11" s="11"/>
      <c r="B11" s="12" t="s">
        <v>34</v>
      </c>
      <c r="C11" s="12" t="s">
        <v>65</v>
      </c>
      <c r="D11" s="12" t="s">
        <v>43</v>
      </c>
      <c r="E11" s="12" t="s">
        <v>224</v>
      </c>
      <c r="F11" s="33" t="s">
        <v>225</v>
      </c>
      <c r="G11" s="12" t="s">
        <v>68</v>
      </c>
      <c r="H11" s="12" t="s">
        <v>226</v>
      </c>
      <c r="I11" s="12" t="s">
        <v>227</v>
      </c>
      <c r="J11" s="17" t="s">
        <v>112</v>
      </c>
      <c r="K11" s="17" t="s">
        <v>113</v>
      </c>
      <c r="L11" s="16" t="s">
        <v>1530</v>
      </c>
      <c r="M11" s="20">
        <v>45852.0</v>
      </c>
      <c r="N11" s="17" t="s">
        <v>194</v>
      </c>
      <c r="O11" s="88" t="s">
        <v>1519</v>
      </c>
      <c r="P11" s="88" t="s">
        <v>1519</v>
      </c>
      <c r="Q11" s="88" t="s">
        <v>1519</v>
      </c>
      <c r="R11" s="88" t="s">
        <v>1520</v>
      </c>
      <c r="S11" s="88" t="s">
        <v>1519</v>
      </c>
      <c r="T11" s="88" t="s">
        <v>1519</v>
      </c>
      <c r="U11" s="88" t="s">
        <v>1519</v>
      </c>
      <c r="V11" s="88" t="s">
        <v>1519</v>
      </c>
      <c r="W11" s="88" t="s">
        <v>1519</v>
      </c>
      <c r="X11" s="88" t="s">
        <v>1520</v>
      </c>
      <c r="Y11" s="88" t="s">
        <v>1520</v>
      </c>
      <c r="Z11" s="88" t="s">
        <v>1520</v>
      </c>
      <c r="AA11" s="88" t="s">
        <v>1519</v>
      </c>
      <c r="AB11" s="88" t="s">
        <v>1520</v>
      </c>
      <c r="AC11" s="88" t="s">
        <v>1520</v>
      </c>
      <c r="AD11" s="89"/>
      <c r="AE11" s="18" t="s">
        <v>76</v>
      </c>
      <c r="AF11" s="18"/>
      <c r="AG11" s="18"/>
      <c r="AH11" s="18"/>
      <c r="AI11" s="18"/>
      <c r="AJ11" s="18"/>
      <c r="AK11" s="18"/>
      <c r="AL11" s="18"/>
      <c r="AM11" s="18"/>
    </row>
    <row r="12">
      <c r="A12" s="11"/>
      <c r="B12" s="12" t="s">
        <v>34</v>
      </c>
      <c r="C12" s="12" t="s">
        <v>65</v>
      </c>
      <c r="D12" s="12" t="s">
        <v>43</v>
      </c>
      <c r="E12" s="12" t="s">
        <v>224</v>
      </c>
      <c r="F12" s="33" t="s">
        <v>225</v>
      </c>
      <c r="G12" s="12" t="s">
        <v>68</v>
      </c>
      <c r="H12" s="12" t="s">
        <v>226</v>
      </c>
      <c r="I12" s="12" t="s">
        <v>227</v>
      </c>
      <c r="J12" s="17" t="s">
        <v>112</v>
      </c>
      <c r="K12" s="17" t="s">
        <v>113</v>
      </c>
      <c r="L12" s="16" t="s">
        <v>1531</v>
      </c>
      <c r="M12" s="20">
        <v>45852.0</v>
      </c>
      <c r="N12" s="17" t="s">
        <v>194</v>
      </c>
      <c r="O12" s="88" t="s">
        <v>1519</v>
      </c>
      <c r="P12" s="88" t="s">
        <v>1520</v>
      </c>
      <c r="Q12" s="88" t="s">
        <v>1521</v>
      </c>
      <c r="R12" s="88" t="s">
        <v>1520</v>
      </c>
      <c r="S12" s="88" t="s">
        <v>1520</v>
      </c>
      <c r="T12" s="88" t="s">
        <v>1521</v>
      </c>
      <c r="U12" s="88" t="s">
        <v>1521</v>
      </c>
      <c r="V12" s="88" t="s">
        <v>1521</v>
      </c>
      <c r="W12" s="88" t="s">
        <v>1521</v>
      </c>
      <c r="X12" s="88" t="s">
        <v>1519</v>
      </c>
      <c r="Y12" s="88" t="s">
        <v>1520</v>
      </c>
      <c r="Z12" s="88" t="s">
        <v>1520</v>
      </c>
      <c r="AA12" s="88" t="s">
        <v>1521</v>
      </c>
      <c r="AB12" s="88" t="s">
        <v>1521</v>
      </c>
      <c r="AC12" s="88" t="s">
        <v>1521</v>
      </c>
      <c r="AD12" s="89"/>
      <c r="AE12" s="18" t="s">
        <v>76</v>
      </c>
      <c r="AF12" s="18"/>
      <c r="AG12" s="18"/>
      <c r="AH12" s="18"/>
      <c r="AI12" s="18"/>
      <c r="AJ12" s="18"/>
      <c r="AK12" s="18"/>
      <c r="AL12" s="18"/>
      <c r="AM12" s="18"/>
    </row>
    <row r="13">
      <c r="A13" s="11"/>
      <c r="B13" s="12" t="s">
        <v>34</v>
      </c>
      <c r="C13" s="12" t="s">
        <v>65</v>
      </c>
      <c r="D13" s="12" t="s">
        <v>43</v>
      </c>
      <c r="E13" s="12" t="s">
        <v>224</v>
      </c>
      <c r="F13" s="33" t="s">
        <v>225</v>
      </c>
      <c r="G13" s="12" t="s">
        <v>68</v>
      </c>
      <c r="H13" s="12" t="s">
        <v>226</v>
      </c>
      <c r="I13" s="12" t="s">
        <v>227</v>
      </c>
      <c r="J13" s="17" t="s">
        <v>112</v>
      </c>
      <c r="K13" s="17" t="s">
        <v>113</v>
      </c>
      <c r="L13" s="16" t="s">
        <v>1532</v>
      </c>
      <c r="M13" s="20">
        <v>45852.0</v>
      </c>
      <c r="N13" s="17" t="s">
        <v>194</v>
      </c>
      <c r="O13" s="88" t="s">
        <v>1519</v>
      </c>
      <c r="P13" s="88" t="s">
        <v>1519</v>
      </c>
      <c r="Q13" s="88" t="s">
        <v>1519</v>
      </c>
      <c r="R13" s="88" t="s">
        <v>1519</v>
      </c>
      <c r="S13" s="88" t="s">
        <v>1520</v>
      </c>
      <c r="T13" s="88" t="s">
        <v>1520</v>
      </c>
      <c r="U13" s="88" t="s">
        <v>1519</v>
      </c>
      <c r="V13" s="88" t="s">
        <v>1519</v>
      </c>
      <c r="W13" s="88" t="s">
        <v>1520</v>
      </c>
      <c r="X13" s="88" t="s">
        <v>1520</v>
      </c>
      <c r="Y13" s="88" t="s">
        <v>1520</v>
      </c>
      <c r="Z13" s="88" t="s">
        <v>1520</v>
      </c>
      <c r="AA13" s="88" t="s">
        <v>1519</v>
      </c>
      <c r="AB13" s="88" t="s">
        <v>1520</v>
      </c>
      <c r="AC13" s="88" t="s">
        <v>1520</v>
      </c>
      <c r="AD13" s="89"/>
      <c r="AE13" s="18" t="s">
        <v>76</v>
      </c>
      <c r="AF13" s="18"/>
      <c r="AG13" s="18"/>
      <c r="AH13" s="18"/>
      <c r="AI13" s="18"/>
      <c r="AJ13" s="18"/>
      <c r="AK13" s="18"/>
      <c r="AL13" s="18"/>
      <c r="AM13" s="18"/>
    </row>
    <row r="14">
      <c r="A14" s="11"/>
      <c r="B14" s="12" t="s">
        <v>34</v>
      </c>
      <c r="C14" s="12" t="s">
        <v>65</v>
      </c>
      <c r="D14" s="12" t="s">
        <v>43</v>
      </c>
      <c r="E14" s="12" t="s">
        <v>224</v>
      </c>
      <c r="F14" s="33" t="s">
        <v>225</v>
      </c>
      <c r="G14" s="12" t="s">
        <v>68</v>
      </c>
      <c r="H14" s="12" t="s">
        <v>226</v>
      </c>
      <c r="I14" s="12" t="s">
        <v>227</v>
      </c>
      <c r="J14" s="17" t="s">
        <v>112</v>
      </c>
      <c r="K14" s="17" t="s">
        <v>113</v>
      </c>
      <c r="L14" s="16" t="s">
        <v>1533</v>
      </c>
      <c r="M14" s="20">
        <v>45852.0</v>
      </c>
      <c r="N14" s="17" t="s">
        <v>194</v>
      </c>
      <c r="O14" s="88" t="s">
        <v>1519</v>
      </c>
      <c r="P14" s="88" t="s">
        <v>1519</v>
      </c>
      <c r="Q14" s="88" t="s">
        <v>1519</v>
      </c>
      <c r="R14" s="88" t="s">
        <v>1519</v>
      </c>
      <c r="S14" s="88" t="s">
        <v>1519</v>
      </c>
      <c r="T14" s="88" t="s">
        <v>1519</v>
      </c>
      <c r="U14" s="88" t="s">
        <v>1519</v>
      </c>
      <c r="V14" s="88" t="s">
        <v>1519</v>
      </c>
      <c r="W14" s="88" t="s">
        <v>1519</v>
      </c>
      <c r="X14" s="88" t="s">
        <v>1520</v>
      </c>
      <c r="Y14" s="88" t="s">
        <v>1520</v>
      </c>
      <c r="Z14" s="88" t="s">
        <v>1520</v>
      </c>
      <c r="AA14" s="88" t="s">
        <v>1519</v>
      </c>
      <c r="AB14" s="88" t="s">
        <v>1520</v>
      </c>
      <c r="AC14" s="88" t="s">
        <v>1520</v>
      </c>
      <c r="AD14" s="89"/>
      <c r="AE14" s="18" t="s">
        <v>76</v>
      </c>
      <c r="AF14" s="18"/>
      <c r="AG14" s="18"/>
      <c r="AH14" s="18"/>
      <c r="AI14" s="18"/>
      <c r="AJ14" s="18"/>
      <c r="AK14" s="18"/>
      <c r="AL14" s="18"/>
      <c r="AM14" s="18"/>
    </row>
    <row r="15">
      <c r="A15" s="11"/>
      <c r="B15" s="12" t="s">
        <v>34</v>
      </c>
      <c r="C15" s="12" t="s">
        <v>65</v>
      </c>
      <c r="D15" s="12" t="s">
        <v>43</v>
      </c>
      <c r="E15" s="12" t="s">
        <v>224</v>
      </c>
      <c r="F15" s="33" t="s">
        <v>225</v>
      </c>
      <c r="G15" s="12" t="s">
        <v>68</v>
      </c>
      <c r="H15" s="12" t="s">
        <v>226</v>
      </c>
      <c r="I15" s="12" t="s">
        <v>227</v>
      </c>
      <c r="J15" s="17" t="s">
        <v>112</v>
      </c>
      <c r="K15" s="17" t="s">
        <v>113</v>
      </c>
      <c r="L15" s="16" t="s">
        <v>1534</v>
      </c>
      <c r="M15" s="20">
        <v>45852.0</v>
      </c>
      <c r="N15" s="17" t="s">
        <v>194</v>
      </c>
      <c r="O15" s="88" t="s">
        <v>1519</v>
      </c>
      <c r="P15" s="88" t="s">
        <v>1519</v>
      </c>
      <c r="Q15" s="88" t="s">
        <v>1519</v>
      </c>
      <c r="R15" s="88" t="s">
        <v>1520</v>
      </c>
      <c r="S15" s="88" t="s">
        <v>1519</v>
      </c>
      <c r="T15" s="88" t="s">
        <v>1521</v>
      </c>
      <c r="U15" s="88" t="s">
        <v>1519</v>
      </c>
      <c r="V15" s="88" t="s">
        <v>1519</v>
      </c>
      <c r="W15" s="88" t="s">
        <v>1521</v>
      </c>
      <c r="X15" s="88" t="s">
        <v>1520</v>
      </c>
      <c r="Y15" s="88" t="s">
        <v>1520</v>
      </c>
      <c r="Z15" s="88" t="s">
        <v>1520</v>
      </c>
      <c r="AA15" s="88" t="s">
        <v>1520</v>
      </c>
      <c r="AB15" s="88" t="s">
        <v>1520</v>
      </c>
      <c r="AC15" s="88" t="s">
        <v>1520</v>
      </c>
      <c r="AD15" s="90"/>
      <c r="AE15" s="18" t="s">
        <v>76</v>
      </c>
      <c r="AF15" s="18"/>
      <c r="AG15" s="18"/>
      <c r="AH15" s="18"/>
      <c r="AI15" s="18"/>
      <c r="AJ15" s="18"/>
      <c r="AK15" s="18"/>
      <c r="AL15" s="18"/>
      <c r="AM15" s="18"/>
    </row>
    <row r="16">
      <c r="A16" s="11"/>
      <c r="B16" s="12" t="s">
        <v>34</v>
      </c>
      <c r="C16" s="12" t="s">
        <v>65</v>
      </c>
      <c r="D16" s="12" t="s">
        <v>43</v>
      </c>
      <c r="E16" s="12" t="s">
        <v>224</v>
      </c>
      <c r="F16" s="33" t="s">
        <v>225</v>
      </c>
      <c r="G16" s="12" t="s">
        <v>68</v>
      </c>
      <c r="H16" s="12" t="s">
        <v>226</v>
      </c>
      <c r="I16" s="12" t="s">
        <v>227</v>
      </c>
      <c r="J16" s="17" t="s">
        <v>112</v>
      </c>
      <c r="K16" s="17" t="s">
        <v>113</v>
      </c>
      <c r="L16" s="16" t="s">
        <v>1535</v>
      </c>
      <c r="M16" s="20">
        <v>45852.0</v>
      </c>
      <c r="N16" s="17" t="s">
        <v>194</v>
      </c>
      <c r="O16" s="88" t="s">
        <v>1519</v>
      </c>
      <c r="P16" s="88" t="s">
        <v>1519</v>
      </c>
      <c r="Q16" s="88" t="s">
        <v>1519</v>
      </c>
      <c r="R16" s="88" t="s">
        <v>1519</v>
      </c>
      <c r="S16" s="88" t="s">
        <v>1519</v>
      </c>
      <c r="T16" s="88" t="s">
        <v>1519</v>
      </c>
      <c r="U16" s="88" t="s">
        <v>1519</v>
      </c>
      <c r="V16" s="88" t="s">
        <v>1519</v>
      </c>
      <c r="W16" s="88" t="s">
        <v>1520</v>
      </c>
      <c r="X16" s="88" t="s">
        <v>1519</v>
      </c>
      <c r="Y16" s="88" t="s">
        <v>1520</v>
      </c>
      <c r="Z16" s="88" t="s">
        <v>1520</v>
      </c>
      <c r="AA16" s="88" t="s">
        <v>1519</v>
      </c>
      <c r="AB16" s="88" t="s">
        <v>1520</v>
      </c>
      <c r="AC16" s="88" t="s">
        <v>1520</v>
      </c>
      <c r="AD16" s="90"/>
      <c r="AE16" s="18" t="s">
        <v>76</v>
      </c>
      <c r="AF16" s="18"/>
      <c r="AG16" s="18"/>
      <c r="AH16" s="18"/>
      <c r="AI16" s="18"/>
      <c r="AJ16" s="18"/>
      <c r="AK16" s="18"/>
      <c r="AL16" s="18"/>
      <c r="AM16" s="18"/>
    </row>
    <row r="17" ht="26.25" customHeight="1">
      <c r="A17" s="11"/>
      <c r="B17" s="12" t="s">
        <v>34</v>
      </c>
      <c r="C17" s="12" t="s">
        <v>65</v>
      </c>
      <c r="D17" s="12" t="s">
        <v>43</v>
      </c>
      <c r="E17" s="12" t="s">
        <v>224</v>
      </c>
      <c r="F17" s="33" t="s">
        <v>225</v>
      </c>
      <c r="G17" s="12" t="s">
        <v>68</v>
      </c>
      <c r="H17" s="12" t="s">
        <v>226</v>
      </c>
      <c r="I17" s="12" t="s">
        <v>227</v>
      </c>
      <c r="J17" s="17" t="s">
        <v>112</v>
      </c>
      <c r="K17" s="17" t="s">
        <v>113</v>
      </c>
      <c r="L17" s="16" t="s">
        <v>1536</v>
      </c>
      <c r="M17" s="20">
        <v>45852.0</v>
      </c>
      <c r="N17" s="17" t="s">
        <v>194</v>
      </c>
      <c r="O17" s="88" t="s">
        <v>1519</v>
      </c>
      <c r="P17" s="88" t="s">
        <v>1521</v>
      </c>
      <c r="Q17" s="88" t="s">
        <v>1521</v>
      </c>
      <c r="R17" s="88" t="s">
        <v>1521</v>
      </c>
      <c r="S17" s="88" t="s">
        <v>1519</v>
      </c>
      <c r="T17" s="88" t="s">
        <v>1521</v>
      </c>
      <c r="U17" s="88" t="s">
        <v>1520</v>
      </c>
      <c r="V17" s="88" t="s">
        <v>1520</v>
      </c>
      <c r="W17" s="88" t="s">
        <v>1521</v>
      </c>
      <c r="X17" s="88" t="s">
        <v>1519</v>
      </c>
      <c r="Y17" s="88" t="s">
        <v>1520</v>
      </c>
      <c r="Z17" s="88" t="s">
        <v>1520</v>
      </c>
      <c r="AA17" s="88" t="s">
        <v>1521</v>
      </c>
      <c r="AB17" s="88" t="s">
        <v>1521</v>
      </c>
      <c r="AC17" s="88" t="s">
        <v>1521</v>
      </c>
      <c r="AD17" s="90"/>
      <c r="AE17" s="18" t="s">
        <v>76</v>
      </c>
      <c r="AF17" s="18"/>
      <c r="AG17" s="18"/>
      <c r="AH17" s="18"/>
      <c r="AI17" s="18"/>
      <c r="AJ17" s="18"/>
      <c r="AK17" s="18"/>
      <c r="AL17" s="18"/>
      <c r="AM17" s="18"/>
    </row>
    <row r="18">
      <c r="A18" s="11"/>
      <c r="B18" s="12" t="s">
        <v>43</v>
      </c>
      <c r="C18" s="12" t="s">
        <v>65</v>
      </c>
      <c r="D18" s="12" t="s">
        <v>321</v>
      </c>
      <c r="E18" s="12" t="s">
        <v>321</v>
      </c>
      <c r="F18" s="33" t="s">
        <v>322</v>
      </c>
      <c r="G18" s="12" t="s">
        <v>68</v>
      </c>
      <c r="H18" s="12" t="s">
        <v>323</v>
      </c>
      <c r="I18" s="12" t="s">
        <v>324</v>
      </c>
      <c r="J18" s="17" t="s">
        <v>108</v>
      </c>
      <c r="K18" s="17" t="s">
        <v>1537</v>
      </c>
      <c r="L18" s="16" t="s">
        <v>1538</v>
      </c>
      <c r="M18" s="20">
        <v>45849.0</v>
      </c>
      <c r="N18" s="17" t="s">
        <v>194</v>
      </c>
      <c r="O18" s="88" t="s">
        <v>1519</v>
      </c>
      <c r="P18" s="88" t="s">
        <v>1519</v>
      </c>
      <c r="Q18" s="88" t="s">
        <v>1519</v>
      </c>
      <c r="R18" s="88" t="s">
        <v>1519</v>
      </c>
      <c r="S18" s="88" t="s">
        <v>1519</v>
      </c>
      <c r="T18" s="88" t="s">
        <v>1520</v>
      </c>
      <c r="U18" s="88" t="s">
        <v>1519</v>
      </c>
      <c r="V18" s="88" t="s">
        <v>1519</v>
      </c>
      <c r="W18" s="88" t="s">
        <v>1520</v>
      </c>
      <c r="X18" s="88" t="s">
        <v>1519</v>
      </c>
      <c r="Y18" s="88" t="s">
        <v>1519</v>
      </c>
      <c r="Z18" s="88" t="s">
        <v>1519</v>
      </c>
      <c r="AA18" s="88" t="s">
        <v>1519</v>
      </c>
      <c r="AB18" s="88" t="s">
        <v>1519</v>
      </c>
      <c r="AC18" s="88" t="s">
        <v>1520</v>
      </c>
      <c r="AD18" s="90"/>
      <c r="AE18" s="18" t="s">
        <v>76</v>
      </c>
      <c r="AF18" s="18"/>
      <c r="AG18" s="18"/>
      <c r="AH18" s="18"/>
      <c r="AI18" s="18"/>
      <c r="AJ18" s="18"/>
      <c r="AK18" s="18"/>
      <c r="AL18" s="18"/>
      <c r="AM18" s="18"/>
    </row>
    <row r="19">
      <c r="A19" s="11"/>
      <c r="B19" s="12" t="s">
        <v>43</v>
      </c>
      <c r="C19" s="12" t="s">
        <v>65</v>
      </c>
      <c r="D19" s="12" t="s">
        <v>321</v>
      </c>
      <c r="E19" s="12" t="s">
        <v>321</v>
      </c>
      <c r="F19" s="33" t="s">
        <v>322</v>
      </c>
      <c r="G19" s="12" t="s">
        <v>68</v>
      </c>
      <c r="H19" s="12" t="s">
        <v>323</v>
      </c>
      <c r="I19" s="12" t="s">
        <v>324</v>
      </c>
      <c r="J19" s="17" t="s">
        <v>108</v>
      </c>
      <c r="K19" s="17" t="s">
        <v>1537</v>
      </c>
      <c r="L19" s="73" t="s">
        <v>1539</v>
      </c>
      <c r="M19" s="20">
        <v>45849.0</v>
      </c>
      <c r="N19" s="17" t="s">
        <v>194</v>
      </c>
      <c r="O19" s="88" t="s">
        <v>1519</v>
      </c>
      <c r="P19" s="88" t="s">
        <v>1520</v>
      </c>
      <c r="Q19" s="88" t="s">
        <v>1519</v>
      </c>
      <c r="R19" s="88" t="s">
        <v>1519</v>
      </c>
      <c r="S19" s="88" t="s">
        <v>1519</v>
      </c>
      <c r="T19" s="88" t="s">
        <v>1520</v>
      </c>
      <c r="U19" s="88" t="s">
        <v>1519</v>
      </c>
      <c r="V19" s="88" t="s">
        <v>1519</v>
      </c>
      <c r="W19" s="88" t="s">
        <v>1520</v>
      </c>
      <c r="X19" s="88" t="s">
        <v>1519</v>
      </c>
      <c r="Y19" s="88" t="s">
        <v>1519</v>
      </c>
      <c r="Z19" s="88" t="s">
        <v>1519</v>
      </c>
      <c r="AA19" s="88" t="s">
        <v>1519</v>
      </c>
      <c r="AB19" s="88" t="s">
        <v>1519</v>
      </c>
      <c r="AC19" s="88" t="s">
        <v>1520</v>
      </c>
      <c r="AD19" s="90"/>
      <c r="AE19" s="18" t="s">
        <v>76</v>
      </c>
      <c r="AF19" s="18"/>
      <c r="AG19" s="18"/>
      <c r="AH19" s="18"/>
      <c r="AI19" s="18"/>
      <c r="AJ19" s="18"/>
      <c r="AK19" s="18"/>
      <c r="AL19" s="18"/>
      <c r="AM19" s="18"/>
    </row>
    <row r="20">
      <c r="A20" s="11"/>
      <c r="B20" s="12" t="s">
        <v>43</v>
      </c>
      <c r="C20" s="12" t="s">
        <v>65</v>
      </c>
      <c r="D20" s="12" t="s">
        <v>321</v>
      </c>
      <c r="E20" s="12" t="s">
        <v>321</v>
      </c>
      <c r="F20" s="33" t="s">
        <v>322</v>
      </c>
      <c r="G20" s="12" t="s">
        <v>68</v>
      </c>
      <c r="H20" s="12" t="s">
        <v>323</v>
      </c>
      <c r="I20" s="12" t="s">
        <v>324</v>
      </c>
      <c r="J20" s="17" t="s">
        <v>108</v>
      </c>
      <c r="K20" s="17" t="s">
        <v>1537</v>
      </c>
      <c r="L20" s="73" t="s">
        <v>1540</v>
      </c>
      <c r="M20" s="20">
        <v>45849.0</v>
      </c>
      <c r="N20" s="17" t="s">
        <v>194</v>
      </c>
      <c r="O20" s="88" t="s">
        <v>1519</v>
      </c>
      <c r="P20" s="88" t="s">
        <v>1519</v>
      </c>
      <c r="Q20" s="88" t="s">
        <v>1520</v>
      </c>
      <c r="R20" s="88" t="s">
        <v>1519</v>
      </c>
      <c r="S20" s="88" t="s">
        <v>1519</v>
      </c>
      <c r="T20" s="88" t="s">
        <v>1520</v>
      </c>
      <c r="U20" s="88" t="s">
        <v>1519</v>
      </c>
      <c r="V20" s="88" t="s">
        <v>1519</v>
      </c>
      <c r="W20" s="88" t="s">
        <v>1520</v>
      </c>
      <c r="X20" s="88" t="s">
        <v>1519</v>
      </c>
      <c r="Y20" s="88" t="s">
        <v>1519</v>
      </c>
      <c r="Z20" s="88" t="s">
        <v>1519</v>
      </c>
      <c r="AA20" s="88" t="s">
        <v>1519</v>
      </c>
      <c r="AB20" s="88" t="s">
        <v>1520</v>
      </c>
      <c r="AC20" s="88" t="s">
        <v>1520</v>
      </c>
      <c r="AD20" s="90"/>
      <c r="AE20" s="18" t="s">
        <v>76</v>
      </c>
      <c r="AF20" s="18"/>
      <c r="AG20" s="18"/>
      <c r="AH20" s="18"/>
      <c r="AI20" s="18"/>
      <c r="AJ20" s="18"/>
      <c r="AK20" s="18"/>
      <c r="AL20" s="18"/>
      <c r="AM20" s="18"/>
    </row>
    <row r="21">
      <c r="A21" s="11"/>
      <c r="B21" s="12" t="s">
        <v>43</v>
      </c>
      <c r="C21" s="12" t="s">
        <v>65</v>
      </c>
      <c r="D21" s="12" t="s">
        <v>321</v>
      </c>
      <c r="E21" s="12" t="s">
        <v>321</v>
      </c>
      <c r="F21" s="33" t="s">
        <v>322</v>
      </c>
      <c r="G21" s="12" t="s">
        <v>68</v>
      </c>
      <c r="H21" s="12" t="s">
        <v>323</v>
      </c>
      <c r="I21" s="12" t="s">
        <v>324</v>
      </c>
      <c r="J21" s="17" t="s">
        <v>108</v>
      </c>
      <c r="K21" s="17" t="s">
        <v>1537</v>
      </c>
      <c r="L21" s="73" t="s">
        <v>1541</v>
      </c>
      <c r="M21" s="20">
        <v>45843.0</v>
      </c>
      <c r="N21" s="17" t="s">
        <v>194</v>
      </c>
      <c r="O21" s="88" t="s">
        <v>1519</v>
      </c>
      <c r="P21" s="88" t="s">
        <v>1519</v>
      </c>
      <c r="Q21" s="88" t="s">
        <v>1519</v>
      </c>
      <c r="R21" s="88" t="s">
        <v>1519</v>
      </c>
      <c r="S21" s="88" t="s">
        <v>1519</v>
      </c>
      <c r="T21" s="88" t="s">
        <v>1520</v>
      </c>
      <c r="U21" s="88" t="s">
        <v>1519</v>
      </c>
      <c r="V21" s="88" t="s">
        <v>1519</v>
      </c>
      <c r="W21" s="88" t="s">
        <v>1520</v>
      </c>
      <c r="X21" s="88" t="s">
        <v>1519</v>
      </c>
      <c r="Y21" s="88" t="s">
        <v>1519</v>
      </c>
      <c r="Z21" s="88" t="s">
        <v>1519</v>
      </c>
      <c r="AA21" s="88" t="s">
        <v>1519</v>
      </c>
      <c r="AB21" s="88" t="s">
        <v>1520</v>
      </c>
      <c r="AC21" s="88" t="s">
        <v>1520</v>
      </c>
      <c r="AD21" s="90"/>
      <c r="AE21" s="18" t="s">
        <v>76</v>
      </c>
      <c r="AF21" s="18"/>
      <c r="AG21" s="18"/>
      <c r="AH21" s="18"/>
      <c r="AI21" s="18"/>
      <c r="AJ21" s="18"/>
      <c r="AK21" s="18"/>
      <c r="AL21" s="18"/>
      <c r="AM21" s="18"/>
    </row>
    <row r="22">
      <c r="A22" s="11"/>
      <c r="B22" s="12" t="s">
        <v>43</v>
      </c>
      <c r="C22" s="12" t="s">
        <v>65</v>
      </c>
      <c r="D22" s="12" t="s">
        <v>321</v>
      </c>
      <c r="E22" s="12" t="s">
        <v>321</v>
      </c>
      <c r="F22" s="33" t="s">
        <v>322</v>
      </c>
      <c r="G22" s="12" t="s">
        <v>68</v>
      </c>
      <c r="H22" s="12" t="s">
        <v>323</v>
      </c>
      <c r="I22" s="12" t="s">
        <v>324</v>
      </c>
      <c r="J22" s="17" t="s">
        <v>108</v>
      </c>
      <c r="K22" s="17" t="s">
        <v>1537</v>
      </c>
      <c r="L22" s="73" t="s">
        <v>1542</v>
      </c>
      <c r="M22" s="20">
        <v>45843.0</v>
      </c>
      <c r="N22" s="17" t="s">
        <v>194</v>
      </c>
      <c r="O22" s="88" t="s">
        <v>1519</v>
      </c>
      <c r="P22" s="88" t="s">
        <v>1519</v>
      </c>
      <c r="Q22" s="88" t="s">
        <v>1519</v>
      </c>
      <c r="R22" s="88" t="s">
        <v>1519</v>
      </c>
      <c r="S22" s="88" t="s">
        <v>1519</v>
      </c>
      <c r="T22" s="88" t="s">
        <v>1519</v>
      </c>
      <c r="U22" s="88" t="s">
        <v>1519</v>
      </c>
      <c r="V22" s="88" t="s">
        <v>1519</v>
      </c>
      <c r="W22" s="88" t="s">
        <v>1519</v>
      </c>
      <c r="X22" s="88" t="s">
        <v>1519</v>
      </c>
      <c r="Y22" s="88" t="s">
        <v>1520</v>
      </c>
      <c r="Z22" s="88" t="s">
        <v>1519</v>
      </c>
      <c r="AA22" s="88" t="s">
        <v>1519</v>
      </c>
      <c r="AB22" s="88" t="s">
        <v>1519</v>
      </c>
      <c r="AC22" s="88" t="s">
        <v>1519</v>
      </c>
      <c r="AD22" s="90"/>
      <c r="AE22" s="18" t="s">
        <v>76</v>
      </c>
      <c r="AF22" s="18"/>
      <c r="AG22" s="18"/>
      <c r="AH22" s="18"/>
      <c r="AI22" s="18"/>
      <c r="AJ22" s="18"/>
      <c r="AK22" s="18"/>
      <c r="AL22" s="18"/>
      <c r="AM22" s="18"/>
    </row>
    <row r="23">
      <c r="A23" s="11"/>
      <c r="B23" s="12" t="s">
        <v>43</v>
      </c>
      <c r="C23" s="12" t="s">
        <v>65</v>
      </c>
      <c r="D23" s="12" t="s">
        <v>321</v>
      </c>
      <c r="E23" s="12" t="s">
        <v>321</v>
      </c>
      <c r="F23" s="33" t="s">
        <v>322</v>
      </c>
      <c r="G23" s="12" t="s">
        <v>68</v>
      </c>
      <c r="H23" s="12" t="s">
        <v>323</v>
      </c>
      <c r="I23" s="12" t="s">
        <v>324</v>
      </c>
      <c r="J23" s="17" t="s">
        <v>108</v>
      </c>
      <c r="K23" s="17" t="s">
        <v>1537</v>
      </c>
      <c r="L23" s="16" t="s">
        <v>1543</v>
      </c>
      <c r="M23" s="20">
        <v>45843.0</v>
      </c>
      <c r="N23" s="17" t="s">
        <v>194</v>
      </c>
      <c r="O23" s="88" t="s">
        <v>1519</v>
      </c>
      <c r="P23" s="88" t="s">
        <v>1519</v>
      </c>
      <c r="Q23" s="88" t="s">
        <v>1519</v>
      </c>
      <c r="R23" s="88" t="s">
        <v>1519</v>
      </c>
      <c r="S23" s="88" t="s">
        <v>1519</v>
      </c>
      <c r="T23" s="88" t="s">
        <v>1519</v>
      </c>
      <c r="U23" s="88" t="s">
        <v>1519</v>
      </c>
      <c r="V23" s="88" t="s">
        <v>1519</v>
      </c>
      <c r="W23" s="88" t="s">
        <v>1520</v>
      </c>
      <c r="X23" s="88" t="s">
        <v>1519</v>
      </c>
      <c r="Y23" s="88" t="s">
        <v>1519</v>
      </c>
      <c r="Z23" s="88" t="s">
        <v>1519</v>
      </c>
      <c r="AA23" s="88" t="s">
        <v>1519</v>
      </c>
      <c r="AB23" s="88" t="s">
        <v>1520</v>
      </c>
      <c r="AC23" s="88" t="s">
        <v>1520</v>
      </c>
      <c r="AD23" s="90"/>
      <c r="AE23" s="18" t="s">
        <v>76</v>
      </c>
      <c r="AF23" s="18"/>
      <c r="AG23" s="18"/>
      <c r="AH23" s="18"/>
      <c r="AI23" s="18"/>
      <c r="AJ23" s="18"/>
      <c r="AK23" s="18"/>
      <c r="AL23" s="18"/>
      <c r="AM23" s="18"/>
    </row>
    <row r="24">
      <c r="A24" s="11"/>
      <c r="B24" s="12" t="s">
        <v>43</v>
      </c>
      <c r="C24" s="12" t="s">
        <v>65</v>
      </c>
      <c r="D24" s="12" t="s">
        <v>321</v>
      </c>
      <c r="E24" s="12" t="s">
        <v>321</v>
      </c>
      <c r="F24" s="33" t="s">
        <v>322</v>
      </c>
      <c r="G24" s="12" t="s">
        <v>68</v>
      </c>
      <c r="H24" s="12" t="s">
        <v>323</v>
      </c>
      <c r="I24" s="12" t="s">
        <v>324</v>
      </c>
      <c r="J24" s="17" t="s">
        <v>73</v>
      </c>
      <c r="K24" s="17" t="s">
        <v>1544</v>
      </c>
      <c r="L24" s="16" t="s">
        <v>1545</v>
      </c>
      <c r="M24" s="20">
        <v>45843.0</v>
      </c>
      <c r="N24" s="17" t="s">
        <v>194</v>
      </c>
      <c r="O24" s="88" t="s">
        <v>1519</v>
      </c>
      <c r="P24" s="88" t="s">
        <v>1519</v>
      </c>
      <c r="Q24" s="88" t="s">
        <v>1519</v>
      </c>
      <c r="R24" s="88" t="s">
        <v>1519</v>
      </c>
      <c r="S24" s="88" t="s">
        <v>1519</v>
      </c>
      <c r="T24" s="88" t="s">
        <v>1519</v>
      </c>
      <c r="U24" s="88" t="s">
        <v>1519</v>
      </c>
      <c r="V24" s="88" t="s">
        <v>1519</v>
      </c>
      <c r="W24" s="88" t="s">
        <v>1519</v>
      </c>
      <c r="X24" s="88" t="s">
        <v>1519</v>
      </c>
      <c r="Y24" s="88" t="s">
        <v>1519</v>
      </c>
      <c r="Z24" s="88" t="s">
        <v>1519</v>
      </c>
      <c r="AA24" s="88" t="s">
        <v>1519</v>
      </c>
      <c r="AB24" s="88" t="s">
        <v>1520</v>
      </c>
      <c r="AC24" s="88" t="s">
        <v>1520</v>
      </c>
      <c r="AD24" s="90"/>
      <c r="AE24" s="18" t="s">
        <v>76</v>
      </c>
      <c r="AF24" s="18"/>
      <c r="AG24" s="18"/>
      <c r="AH24" s="18"/>
      <c r="AI24" s="18"/>
      <c r="AJ24" s="18"/>
      <c r="AK24" s="18"/>
      <c r="AL24" s="18"/>
      <c r="AM24" s="18"/>
    </row>
    <row r="25">
      <c r="A25" s="11"/>
      <c r="B25" s="12" t="s">
        <v>43</v>
      </c>
      <c r="C25" s="12" t="s">
        <v>65</v>
      </c>
      <c r="D25" s="12" t="s">
        <v>321</v>
      </c>
      <c r="E25" s="12" t="s">
        <v>321</v>
      </c>
      <c r="F25" s="33" t="s">
        <v>322</v>
      </c>
      <c r="G25" s="12" t="s">
        <v>68</v>
      </c>
      <c r="H25" s="12" t="s">
        <v>323</v>
      </c>
      <c r="I25" s="12" t="s">
        <v>324</v>
      </c>
      <c r="J25" s="17" t="s">
        <v>73</v>
      </c>
      <c r="K25" s="17" t="s">
        <v>1544</v>
      </c>
      <c r="L25" s="16" t="s">
        <v>1546</v>
      </c>
      <c r="M25" s="20">
        <v>45843.0</v>
      </c>
      <c r="N25" s="17" t="s">
        <v>194</v>
      </c>
      <c r="O25" s="88" t="s">
        <v>1519</v>
      </c>
      <c r="P25" s="88" t="s">
        <v>1519</v>
      </c>
      <c r="Q25" s="88" t="s">
        <v>1519</v>
      </c>
      <c r="R25" s="88" t="s">
        <v>1519</v>
      </c>
      <c r="S25" s="88" t="s">
        <v>1519</v>
      </c>
      <c r="T25" s="88" t="s">
        <v>1520</v>
      </c>
      <c r="U25" s="88" t="s">
        <v>1519</v>
      </c>
      <c r="V25" s="88" t="s">
        <v>1519</v>
      </c>
      <c r="W25" s="88" t="s">
        <v>1520</v>
      </c>
      <c r="X25" s="88" t="s">
        <v>1519</v>
      </c>
      <c r="Y25" s="88" t="s">
        <v>1519</v>
      </c>
      <c r="Z25" s="88" t="s">
        <v>1519</v>
      </c>
      <c r="AA25" s="88" t="s">
        <v>1519</v>
      </c>
      <c r="AB25" s="88" t="s">
        <v>1520</v>
      </c>
      <c r="AC25" s="88" t="s">
        <v>1520</v>
      </c>
      <c r="AD25" s="90"/>
      <c r="AE25" s="18" t="s">
        <v>76</v>
      </c>
      <c r="AF25" s="18"/>
      <c r="AG25" s="18"/>
      <c r="AH25" s="18"/>
      <c r="AI25" s="18"/>
      <c r="AJ25" s="18"/>
      <c r="AK25" s="18"/>
      <c r="AL25" s="18"/>
      <c r="AM25" s="18"/>
    </row>
    <row r="26">
      <c r="A26" s="11"/>
      <c r="B26" s="12" t="s">
        <v>43</v>
      </c>
      <c r="C26" s="12" t="s">
        <v>65</v>
      </c>
      <c r="D26" s="12" t="s">
        <v>321</v>
      </c>
      <c r="E26" s="12" t="s">
        <v>321</v>
      </c>
      <c r="F26" s="33" t="s">
        <v>322</v>
      </c>
      <c r="G26" s="12" t="s">
        <v>68</v>
      </c>
      <c r="H26" s="12" t="s">
        <v>323</v>
      </c>
      <c r="I26" s="12" t="s">
        <v>324</v>
      </c>
      <c r="J26" s="17" t="s">
        <v>73</v>
      </c>
      <c r="K26" s="17" t="s">
        <v>1544</v>
      </c>
      <c r="L26" s="16" t="s">
        <v>1547</v>
      </c>
      <c r="M26" s="20">
        <v>45843.0</v>
      </c>
      <c r="N26" s="17" t="s">
        <v>194</v>
      </c>
      <c r="O26" s="88" t="s">
        <v>1519</v>
      </c>
      <c r="P26" s="88" t="s">
        <v>1519</v>
      </c>
      <c r="Q26" s="88" t="s">
        <v>1519</v>
      </c>
      <c r="R26" s="88" t="s">
        <v>1519</v>
      </c>
      <c r="S26" s="88" t="s">
        <v>1519</v>
      </c>
      <c r="T26" s="88" t="s">
        <v>1519</v>
      </c>
      <c r="U26" s="88" t="s">
        <v>1519</v>
      </c>
      <c r="V26" s="88" t="s">
        <v>1519</v>
      </c>
      <c r="W26" s="88" t="s">
        <v>1519</v>
      </c>
      <c r="X26" s="88" t="s">
        <v>1519</v>
      </c>
      <c r="Y26" s="88" t="s">
        <v>1519</v>
      </c>
      <c r="Z26" s="88" t="s">
        <v>1519</v>
      </c>
      <c r="AA26" s="88" t="s">
        <v>1519</v>
      </c>
      <c r="AB26" s="88" t="s">
        <v>1520</v>
      </c>
      <c r="AC26" s="88" t="s">
        <v>1520</v>
      </c>
      <c r="AD26" s="90"/>
      <c r="AE26" s="18" t="s">
        <v>76</v>
      </c>
      <c r="AF26" s="18"/>
      <c r="AG26" s="18"/>
      <c r="AH26" s="18"/>
      <c r="AI26" s="18"/>
      <c r="AJ26" s="18"/>
      <c r="AK26" s="18"/>
      <c r="AL26" s="18"/>
      <c r="AM26" s="18"/>
    </row>
    <row r="27">
      <c r="A27" s="11"/>
      <c r="B27" s="12" t="s">
        <v>43</v>
      </c>
      <c r="C27" s="12" t="s">
        <v>65</v>
      </c>
      <c r="D27" s="12" t="s">
        <v>321</v>
      </c>
      <c r="E27" s="12" t="s">
        <v>321</v>
      </c>
      <c r="F27" s="33" t="s">
        <v>322</v>
      </c>
      <c r="G27" s="12" t="s">
        <v>68</v>
      </c>
      <c r="H27" s="12" t="s">
        <v>323</v>
      </c>
      <c r="I27" s="12" t="s">
        <v>324</v>
      </c>
      <c r="J27" s="17" t="s">
        <v>112</v>
      </c>
      <c r="K27" s="17" t="s">
        <v>1548</v>
      </c>
      <c r="L27" s="16" t="s">
        <v>1549</v>
      </c>
      <c r="M27" s="20">
        <v>45843.0</v>
      </c>
      <c r="N27" s="17" t="s">
        <v>194</v>
      </c>
      <c r="O27" s="88" t="s">
        <v>1519</v>
      </c>
      <c r="P27" s="88" t="s">
        <v>1519</v>
      </c>
      <c r="Q27" s="88" t="s">
        <v>1519</v>
      </c>
      <c r="R27" s="88" t="s">
        <v>1519</v>
      </c>
      <c r="S27" s="88" t="s">
        <v>1519</v>
      </c>
      <c r="T27" s="88" t="s">
        <v>1519</v>
      </c>
      <c r="U27" s="88" t="s">
        <v>1519</v>
      </c>
      <c r="V27" s="88" t="s">
        <v>1520</v>
      </c>
      <c r="W27" s="88" t="s">
        <v>1520</v>
      </c>
      <c r="X27" s="88" t="s">
        <v>1519</v>
      </c>
      <c r="Y27" s="88" t="s">
        <v>1520</v>
      </c>
      <c r="Z27" s="88" t="s">
        <v>1519</v>
      </c>
      <c r="AA27" s="88" t="s">
        <v>1519</v>
      </c>
      <c r="AB27" s="88" t="s">
        <v>1519</v>
      </c>
      <c r="AC27" s="88" t="s">
        <v>1520</v>
      </c>
      <c r="AD27" s="90"/>
      <c r="AE27" s="18" t="s">
        <v>76</v>
      </c>
      <c r="AF27" s="18"/>
      <c r="AG27" s="18"/>
      <c r="AH27" s="18"/>
      <c r="AI27" s="18"/>
      <c r="AJ27" s="18"/>
      <c r="AK27" s="18"/>
      <c r="AL27" s="18"/>
      <c r="AM27" s="18"/>
    </row>
    <row r="28">
      <c r="A28" s="11"/>
      <c r="B28" s="12" t="s">
        <v>43</v>
      </c>
      <c r="C28" s="12" t="s">
        <v>65</v>
      </c>
      <c r="D28" s="12" t="s">
        <v>321</v>
      </c>
      <c r="E28" s="12" t="s">
        <v>321</v>
      </c>
      <c r="F28" s="33" t="s">
        <v>322</v>
      </c>
      <c r="G28" s="12" t="s">
        <v>68</v>
      </c>
      <c r="H28" s="12" t="s">
        <v>323</v>
      </c>
      <c r="I28" s="12" t="s">
        <v>324</v>
      </c>
      <c r="J28" s="17" t="s">
        <v>112</v>
      </c>
      <c r="K28" s="17" t="s">
        <v>1548</v>
      </c>
      <c r="L28" s="16" t="s">
        <v>1550</v>
      </c>
      <c r="M28" s="20">
        <v>45843.0</v>
      </c>
      <c r="N28" s="17" t="s">
        <v>194</v>
      </c>
      <c r="O28" s="88" t="s">
        <v>1519</v>
      </c>
      <c r="P28" s="88" t="s">
        <v>1519</v>
      </c>
      <c r="Q28" s="88" t="s">
        <v>1519</v>
      </c>
      <c r="R28" s="88" t="s">
        <v>1519</v>
      </c>
      <c r="S28" s="88" t="s">
        <v>1519</v>
      </c>
      <c r="T28" s="88" t="s">
        <v>1520</v>
      </c>
      <c r="U28" s="88" t="s">
        <v>1519</v>
      </c>
      <c r="V28" s="88" t="s">
        <v>1520</v>
      </c>
      <c r="W28" s="88" t="s">
        <v>1520</v>
      </c>
      <c r="X28" s="88" t="s">
        <v>1519</v>
      </c>
      <c r="Y28" s="88" t="s">
        <v>1519</v>
      </c>
      <c r="Z28" s="88" t="s">
        <v>1519</v>
      </c>
      <c r="AA28" s="88" t="s">
        <v>1519</v>
      </c>
      <c r="AB28" s="88" t="s">
        <v>1520</v>
      </c>
      <c r="AC28" s="88" t="s">
        <v>1520</v>
      </c>
      <c r="AD28" s="90"/>
      <c r="AE28" s="18" t="s">
        <v>76</v>
      </c>
      <c r="AF28" s="18"/>
      <c r="AG28" s="18"/>
      <c r="AH28" s="18"/>
      <c r="AI28" s="18"/>
      <c r="AJ28" s="18"/>
      <c r="AK28" s="18"/>
      <c r="AL28" s="18"/>
      <c r="AM28" s="18"/>
    </row>
    <row r="29">
      <c r="A29" s="11"/>
      <c r="B29" s="12" t="s">
        <v>43</v>
      </c>
      <c r="C29" s="12" t="s">
        <v>65</v>
      </c>
      <c r="D29" s="12" t="s">
        <v>321</v>
      </c>
      <c r="E29" s="12" t="s">
        <v>321</v>
      </c>
      <c r="F29" s="33" t="s">
        <v>322</v>
      </c>
      <c r="G29" s="12" t="s">
        <v>68</v>
      </c>
      <c r="H29" s="12" t="s">
        <v>323</v>
      </c>
      <c r="I29" s="12" t="s">
        <v>324</v>
      </c>
      <c r="J29" s="17" t="s">
        <v>73</v>
      </c>
      <c r="K29" s="17" t="s">
        <v>1551</v>
      </c>
      <c r="L29" s="16" t="s">
        <v>1552</v>
      </c>
      <c r="M29" s="20">
        <v>45843.0</v>
      </c>
      <c r="N29" s="17" t="s">
        <v>194</v>
      </c>
      <c r="O29" s="88" t="s">
        <v>1519</v>
      </c>
      <c r="P29" s="88" t="s">
        <v>1519</v>
      </c>
      <c r="Q29" s="88" t="s">
        <v>1519</v>
      </c>
      <c r="R29" s="88" t="s">
        <v>1519</v>
      </c>
      <c r="S29" s="88" t="s">
        <v>1519</v>
      </c>
      <c r="T29" s="88" t="s">
        <v>1519</v>
      </c>
      <c r="U29" s="88" t="s">
        <v>1519</v>
      </c>
      <c r="V29" s="88" t="s">
        <v>1519</v>
      </c>
      <c r="W29" s="88" t="s">
        <v>1519</v>
      </c>
      <c r="X29" s="88" t="s">
        <v>1519</v>
      </c>
      <c r="Y29" s="88" t="s">
        <v>1519</v>
      </c>
      <c r="Z29" s="88" t="s">
        <v>1519</v>
      </c>
      <c r="AA29" s="88" t="s">
        <v>1519</v>
      </c>
      <c r="AB29" s="88" t="s">
        <v>1519</v>
      </c>
      <c r="AC29" s="88" t="s">
        <v>1519</v>
      </c>
      <c r="AD29" s="90"/>
      <c r="AE29" s="18" t="s">
        <v>76</v>
      </c>
      <c r="AF29" s="18"/>
      <c r="AG29" s="18"/>
      <c r="AH29" s="18"/>
      <c r="AI29" s="18"/>
      <c r="AJ29" s="18"/>
      <c r="AK29" s="18"/>
      <c r="AL29" s="18"/>
      <c r="AM29" s="18"/>
    </row>
    <row r="30">
      <c r="A30" s="11"/>
      <c r="B30" s="12" t="s">
        <v>43</v>
      </c>
      <c r="C30" s="12" t="s">
        <v>65</v>
      </c>
      <c r="D30" s="12" t="s">
        <v>321</v>
      </c>
      <c r="E30" s="12" t="s">
        <v>321</v>
      </c>
      <c r="F30" s="33" t="s">
        <v>322</v>
      </c>
      <c r="G30" s="12" t="s">
        <v>68</v>
      </c>
      <c r="H30" s="12" t="s">
        <v>323</v>
      </c>
      <c r="I30" s="12" t="s">
        <v>324</v>
      </c>
      <c r="J30" s="17" t="s">
        <v>73</v>
      </c>
      <c r="K30" s="17" t="s">
        <v>1551</v>
      </c>
      <c r="L30" s="16" t="s">
        <v>1553</v>
      </c>
      <c r="M30" s="20">
        <v>45843.0</v>
      </c>
      <c r="N30" s="17" t="s">
        <v>194</v>
      </c>
      <c r="O30" s="88" t="s">
        <v>1519</v>
      </c>
      <c r="P30" s="88" t="s">
        <v>1519</v>
      </c>
      <c r="Q30" s="88" t="s">
        <v>1519</v>
      </c>
      <c r="R30" s="88" t="s">
        <v>1519</v>
      </c>
      <c r="S30" s="88" t="s">
        <v>1519</v>
      </c>
      <c r="T30" s="88" t="s">
        <v>1520</v>
      </c>
      <c r="U30" s="88" t="s">
        <v>1519</v>
      </c>
      <c r="V30" s="88" t="s">
        <v>1520</v>
      </c>
      <c r="W30" s="88" t="s">
        <v>1520</v>
      </c>
      <c r="X30" s="88" t="s">
        <v>1519</v>
      </c>
      <c r="Y30" s="88" t="s">
        <v>1519</v>
      </c>
      <c r="Z30" s="88" t="s">
        <v>1519</v>
      </c>
      <c r="AA30" s="88" t="s">
        <v>1519</v>
      </c>
      <c r="AB30" s="88" t="s">
        <v>1520</v>
      </c>
      <c r="AC30" s="88" t="s">
        <v>1520</v>
      </c>
      <c r="AD30" s="90"/>
      <c r="AE30" s="18" t="s">
        <v>76</v>
      </c>
      <c r="AF30" s="18"/>
      <c r="AG30" s="18"/>
      <c r="AH30" s="18"/>
      <c r="AI30" s="18"/>
      <c r="AJ30" s="18"/>
      <c r="AK30" s="18"/>
      <c r="AL30" s="18"/>
      <c r="AM30" s="18"/>
    </row>
    <row r="31">
      <c r="A31" s="11"/>
      <c r="B31" s="12" t="s">
        <v>43</v>
      </c>
      <c r="C31" s="12" t="s">
        <v>65</v>
      </c>
      <c r="D31" s="12" t="s">
        <v>321</v>
      </c>
      <c r="E31" s="12" t="s">
        <v>321</v>
      </c>
      <c r="F31" s="33" t="s">
        <v>322</v>
      </c>
      <c r="G31" s="12" t="s">
        <v>68</v>
      </c>
      <c r="H31" s="12" t="s">
        <v>323</v>
      </c>
      <c r="I31" s="12" t="s">
        <v>324</v>
      </c>
      <c r="J31" s="17" t="s">
        <v>108</v>
      </c>
      <c r="K31" s="17" t="s">
        <v>1554</v>
      </c>
      <c r="L31" s="16" t="s">
        <v>1555</v>
      </c>
      <c r="M31" s="20">
        <v>45843.0</v>
      </c>
      <c r="N31" s="17" t="s">
        <v>194</v>
      </c>
      <c r="O31" s="88" t="s">
        <v>1519</v>
      </c>
      <c r="P31" s="88" t="s">
        <v>1519</v>
      </c>
      <c r="Q31" s="88" t="s">
        <v>1520</v>
      </c>
      <c r="R31" s="88" t="s">
        <v>1519</v>
      </c>
      <c r="S31" s="88" t="s">
        <v>1519</v>
      </c>
      <c r="T31" s="88" t="s">
        <v>1520</v>
      </c>
      <c r="U31" s="88" t="s">
        <v>1519</v>
      </c>
      <c r="V31" s="88" t="s">
        <v>1519</v>
      </c>
      <c r="W31" s="88" t="s">
        <v>1519</v>
      </c>
      <c r="X31" s="88" t="s">
        <v>1519</v>
      </c>
      <c r="Y31" s="88" t="s">
        <v>1519</v>
      </c>
      <c r="Z31" s="88" t="s">
        <v>1519</v>
      </c>
      <c r="AA31" s="88" t="s">
        <v>1519</v>
      </c>
      <c r="AB31" s="88" t="s">
        <v>1520</v>
      </c>
      <c r="AC31" s="88" t="s">
        <v>1520</v>
      </c>
      <c r="AD31" s="89"/>
      <c r="AE31" s="18" t="s">
        <v>76</v>
      </c>
      <c r="AF31" s="18"/>
      <c r="AG31" s="18"/>
      <c r="AH31" s="18"/>
      <c r="AI31" s="18"/>
      <c r="AJ31" s="18"/>
      <c r="AK31" s="18"/>
      <c r="AL31" s="18"/>
      <c r="AM31" s="18"/>
    </row>
    <row r="32">
      <c r="A32" s="11"/>
      <c r="B32" s="12" t="s">
        <v>43</v>
      </c>
      <c r="C32" s="12" t="s">
        <v>65</v>
      </c>
      <c r="D32" s="12" t="s">
        <v>321</v>
      </c>
      <c r="E32" s="12" t="s">
        <v>321</v>
      </c>
      <c r="F32" s="33" t="s">
        <v>322</v>
      </c>
      <c r="G32" s="12" t="s">
        <v>68</v>
      </c>
      <c r="H32" s="12" t="s">
        <v>323</v>
      </c>
      <c r="I32" s="12" t="s">
        <v>324</v>
      </c>
      <c r="J32" s="17" t="s">
        <v>108</v>
      </c>
      <c r="K32" s="17" t="s">
        <v>1554</v>
      </c>
      <c r="L32" s="16" t="s">
        <v>1556</v>
      </c>
      <c r="M32" s="20">
        <v>45843.0</v>
      </c>
      <c r="N32" s="17" t="s">
        <v>194</v>
      </c>
      <c r="O32" s="88" t="s">
        <v>1519</v>
      </c>
      <c r="P32" s="88" t="s">
        <v>1519</v>
      </c>
      <c r="Q32" s="88" t="s">
        <v>1519</v>
      </c>
      <c r="R32" s="88" t="s">
        <v>1519</v>
      </c>
      <c r="S32" s="88" t="s">
        <v>1519</v>
      </c>
      <c r="T32" s="88" t="s">
        <v>1519</v>
      </c>
      <c r="U32" s="88" t="s">
        <v>1519</v>
      </c>
      <c r="V32" s="88" t="s">
        <v>1519</v>
      </c>
      <c r="W32" s="88" t="s">
        <v>1519</v>
      </c>
      <c r="X32" s="88" t="s">
        <v>1519</v>
      </c>
      <c r="Y32" s="88" t="s">
        <v>1519</v>
      </c>
      <c r="Z32" s="88" t="s">
        <v>1519</v>
      </c>
      <c r="AA32" s="88" t="s">
        <v>1519</v>
      </c>
      <c r="AB32" s="88" t="s">
        <v>1519</v>
      </c>
      <c r="AC32" s="88" t="s">
        <v>1519</v>
      </c>
      <c r="AD32" s="89"/>
      <c r="AE32" s="18" t="s">
        <v>76</v>
      </c>
      <c r="AF32" s="18"/>
      <c r="AG32" s="18"/>
      <c r="AH32" s="18"/>
      <c r="AI32" s="18"/>
      <c r="AJ32" s="18"/>
      <c r="AK32" s="18"/>
      <c r="AL32" s="18"/>
      <c r="AM32" s="18"/>
    </row>
    <row r="33">
      <c r="A33" s="11"/>
      <c r="B33" s="12" t="s">
        <v>43</v>
      </c>
      <c r="C33" s="12" t="s">
        <v>65</v>
      </c>
      <c r="D33" s="12" t="s">
        <v>321</v>
      </c>
      <c r="E33" s="12" t="s">
        <v>321</v>
      </c>
      <c r="F33" s="33" t="s">
        <v>322</v>
      </c>
      <c r="G33" s="12" t="s">
        <v>68</v>
      </c>
      <c r="H33" s="12" t="s">
        <v>323</v>
      </c>
      <c r="I33" s="12" t="s">
        <v>324</v>
      </c>
      <c r="J33" s="17" t="s">
        <v>108</v>
      </c>
      <c r="K33" s="17" t="s">
        <v>1554</v>
      </c>
      <c r="L33" s="16" t="s">
        <v>1557</v>
      </c>
      <c r="M33" s="20">
        <v>45843.0</v>
      </c>
      <c r="N33" s="17" t="s">
        <v>194</v>
      </c>
      <c r="O33" s="88" t="s">
        <v>1519</v>
      </c>
      <c r="P33" s="88" t="s">
        <v>1520</v>
      </c>
      <c r="Q33" s="88" t="s">
        <v>1520</v>
      </c>
      <c r="R33" s="88" t="s">
        <v>1519</v>
      </c>
      <c r="S33" s="88" t="s">
        <v>1519</v>
      </c>
      <c r="T33" s="88" t="s">
        <v>1520</v>
      </c>
      <c r="U33" s="88" t="s">
        <v>1519</v>
      </c>
      <c r="V33" s="88" t="s">
        <v>1520</v>
      </c>
      <c r="W33" s="88" t="s">
        <v>1520</v>
      </c>
      <c r="X33" s="88" t="s">
        <v>1519</v>
      </c>
      <c r="Y33" s="88" t="s">
        <v>1519</v>
      </c>
      <c r="Z33" s="88" t="s">
        <v>1519</v>
      </c>
      <c r="AA33" s="88" t="s">
        <v>1519</v>
      </c>
      <c r="AB33" s="88" t="s">
        <v>1520</v>
      </c>
      <c r="AC33" s="88" t="s">
        <v>1520</v>
      </c>
      <c r="AD33" s="89"/>
      <c r="AE33" s="18" t="s">
        <v>76</v>
      </c>
      <c r="AF33" s="18"/>
      <c r="AG33" s="18"/>
      <c r="AH33" s="18"/>
      <c r="AI33" s="18"/>
      <c r="AJ33" s="18"/>
      <c r="AK33" s="18"/>
      <c r="AL33" s="18"/>
      <c r="AM33" s="18"/>
    </row>
    <row r="34">
      <c r="A34" s="11"/>
      <c r="B34" s="12" t="s">
        <v>43</v>
      </c>
      <c r="C34" s="12" t="s">
        <v>65</v>
      </c>
      <c r="D34" s="12" t="s">
        <v>43</v>
      </c>
      <c r="E34" s="12" t="s">
        <v>203</v>
      </c>
      <c r="F34" s="13" t="s">
        <v>204</v>
      </c>
      <c r="G34" s="12" t="s">
        <v>68</v>
      </c>
      <c r="H34" s="12" t="s">
        <v>205</v>
      </c>
      <c r="I34" s="12" t="s">
        <v>206</v>
      </c>
      <c r="J34" s="17" t="s">
        <v>108</v>
      </c>
      <c r="K34" s="17" t="s">
        <v>109</v>
      </c>
      <c r="L34" s="16" t="s">
        <v>1558</v>
      </c>
      <c r="M34" s="20">
        <v>45853.0</v>
      </c>
      <c r="N34" s="17" t="s">
        <v>194</v>
      </c>
      <c r="O34" s="88" t="s">
        <v>1519</v>
      </c>
      <c r="P34" s="88" t="s">
        <v>1519</v>
      </c>
      <c r="Q34" s="88" t="s">
        <v>1519</v>
      </c>
      <c r="R34" s="88" t="s">
        <v>1519</v>
      </c>
      <c r="S34" s="88" t="s">
        <v>1519</v>
      </c>
      <c r="T34" s="88" t="s">
        <v>1520</v>
      </c>
      <c r="U34" s="88" t="s">
        <v>1519</v>
      </c>
      <c r="V34" s="88" t="s">
        <v>1519</v>
      </c>
      <c r="W34" s="88" t="s">
        <v>1521</v>
      </c>
      <c r="X34" s="88" t="s">
        <v>1520</v>
      </c>
      <c r="Y34" s="88" t="s">
        <v>1521</v>
      </c>
      <c r="Z34" s="88" t="s">
        <v>1521</v>
      </c>
      <c r="AA34" s="88" t="s">
        <v>1519</v>
      </c>
      <c r="AB34" s="88" t="s">
        <v>1520</v>
      </c>
      <c r="AC34" s="88" t="s">
        <v>1520</v>
      </c>
      <c r="AD34" s="89"/>
      <c r="AE34" s="18" t="s">
        <v>76</v>
      </c>
      <c r="AF34" s="18"/>
      <c r="AG34" s="18"/>
      <c r="AH34" s="18"/>
      <c r="AI34" s="18"/>
      <c r="AJ34" s="18"/>
      <c r="AK34" s="18"/>
      <c r="AL34" s="18"/>
      <c r="AM34" s="18"/>
    </row>
    <row r="35">
      <c r="A35" s="11"/>
      <c r="B35" s="12" t="s">
        <v>43</v>
      </c>
      <c r="C35" s="12" t="s">
        <v>65</v>
      </c>
      <c r="D35" s="12" t="s">
        <v>43</v>
      </c>
      <c r="E35" s="12" t="s">
        <v>203</v>
      </c>
      <c r="F35" s="13" t="s">
        <v>204</v>
      </c>
      <c r="G35" s="12" t="s">
        <v>68</v>
      </c>
      <c r="H35" s="12" t="s">
        <v>205</v>
      </c>
      <c r="I35" s="12" t="s">
        <v>206</v>
      </c>
      <c r="J35" s="17" t="s">
        <v>108</v>
      </c>
      <c r="K35" s="17" t="s">
        <v>109</v>
      </c>
      <c r="L35" s="16" t="s">
        <v>1559</v>
      </c>
      <c r="M35" s="20">
        <v>45853.0</v>
      </c>
      <c r="N35" s="17" t="s">
        <v>194</v>
      </c>
      <c r="O35" s="88" t="s">
        <v>1519</v>
      </c>
      <c r="P35" s="88" t="s">
        <v>1519</v>
      </c>
      <c r="Q35" s="88" t="s">
        <v>1519</v>
      </c>
      <c r="R35" s="88" t="s">
        <v>1519</v>
      </c>
      <c r="S35" s="88" t="s">
        <v>1519</v>
      </c>
      <c r="T35" s="88" t="s">
        <v>1520</v>
      </c>
      <c r="U35" s="88" t="s">
        <v>1519</v>
      </c>
      <c r="V35" s="88" t="s">
        <v>1519</v>
      </c>
      <c r="W35" s="88" t="s">
        <v>1520</v>
      </c>
      <c r="X35" s="88" t="s">
        <v>1520</v>
      </c>
      <c r="Y35" s="88" t="s">
        <v>1520</v>
      </c>
      <c r="Z35" s="88" t="s">
        <v>1519</v>
      </c>
      <c r="AA35" s="88" t="s">
        <v>1520</v>
      </c>
      <c r="AB35" s="88" t="s">
        <v>1519</v>
      </c>
      <c r="AC35" s="88" t="s">
        <v>1520</v>
      </c>
      <c r="AD35" s="89"/>
      <c r="AE35" s="18" t="s">
        <v>76</v>
      </c>
      <c r="AF35" s="18"/>
      <c r="AG35" s="18"/>
      <c r="AH35" s="18"/>
      <c r="AI35" s="18"/>
      <c r="AJ35" s="18"/>
      <c r="AK35" s="18"/>
      <c r="AL35" s="18"/>
      <c r="AM35" s="18"/>
    </row>
    <row r="36">
      <c r="A36" s="11"/>
      <c r="B36" s="12" t="s">
        <v>43</v>
      </c>
      <c r="C36" s="12" t="s">
        <v>65</v>
      </c>
      <c r="D36" s="12" t="s">
        <v>43</v>
      </c>
      <c r="E36" s="12" t="s">
        <v>203</v>
      </c>
      <c r="F36" s="13" t="s">
        <v>204</v>
      </c>
      <c r="G36" s="12" t="s">
        <v>68</v>
      </c>
      <c r="H36" s="12" t="s">
        <v>205</v>
      </c>
      <c r="I36" s="12" t="s">
        <v>206</v>
      </c>
      <c r="J36" s="17" t="s">
        <v>108</v>
      </c>
      <c r="K36" s="17" t="s">
        <v>109</v>
      </c>
      <c r="L36" s="16" t="s">
        <v>1560</v>
      </c>
      <c r="M36" s="20">
        <v>45853.0</v>
      </c>
      <c r="N36" s="17" t="s">
        <v>194</v>
      </c>
      <c r="O36" s="88" t="s">
        <v>1519</v>
      </c>
      <c r="P36" s="88" t="s">
        <v>1519</v>
      </c>
      <c r="Q36" s="88" t="s">
        <v>1519</v>
      </c>
      <c r="R36" s="88" t="s">
        <v>1519</v>
      </c>
      <c r="S36" s="88" t="s">
        <v>1519</v>
      </c>
      <c r="T36" s="88" t="s">
        <v>1520</v>
      </c>
      <c r="U36" s="88" t="s">
        <v>1519</v>
      </c>
      <c r="V36" s="88" t="s">
        <v>1519</v>
      </c>
      <c r="W36" s="88" t="s">
        <v>1521</v>
      </c>
      <c r="X36" s="88" t="s">
        <v>1521</v>
      </c>
      <c r="Y36" s="88" t="s">
        <v>1521</v>
      </c>
      <c r="Z36" s="88" t="s">
        <v>1521</v>
      </c>
      <c r="AA36" s="88" t="s">
        <v>1520</v>
      </c>
      <c r="AB36" s="88" t="s">
        <v>1520</v>
      </c>
      <c r="AC36" s="88" t="s">
        <v>1520</v>
      </c>
      <c r="AD36" s="89"/>
      <c r="AE36" s="18" t="s">
        <v>76</v>
      </c>
      <c r="AF36" s="18"/>
      <c r="AG36" s="18"/>
      <c r="AH36" s="18"/>
      <c r="AI36" s="18"/>
      <c r="AJ36" s="18"/>
      <c r="AK36" s="18"/>
      <c r="AL36" s="18"/>
      <c r="AM36" s="18"/>
    </row>
    <row r="37">
      <c r="A37" s="11"/>
      <c r="B37" s="12" t="s">
        <v>43</v>
      </c>
      <c r="C37" s="12" t="s">
        <v>65</v>
      </c>
      <c r="D37" s="12" t="s">
        <v>43</v>
      </c>
      <c r="E37" s="12" t="s">
        <v>203</v>
      </c>
      <c r="F37" s="13" t="s">
        <v>204</v>
      </c>
      <c r="G37" s="12" t="s">
        <v>68</v>
      </c>
      <c r="H37" s="12" t="s">
        <v>205</v>
      </c>
      <c r="I37" s="12" t="s">
        <v>206</v>
      </c>
      <c r="J37" s="17" t="s">
        <v>108</v>
      </c>
      <c r="K37" s="17" t="s">
        <v>109</v>
      </c>
      <c r="L37" s="16" t="s">
        <v>1561</v>
      </c>
      <c r="M37" s="20">
        <v>45853.0</v>
      </c>
      <c r="N37" s="17" t="s">
        <v>194</v>
      </c>
      <c r="O37" s="88" t="s">
        <v>1519</v>
      </c>
      <c r="P37" s="88" t="s">
        <v>1519</v>
      </c>
      <c r="Q37" s="88" t="s">
        <v>1519</v>
      </c>
      <c r="R37" s="88" t="s">
        <v>1519</v>
      </c>
      <c r="S37" s="88" t="s">
        <v>1519</v>
      </c>
      <c r="T37" s="88" t="s">
        <v>1519</v>
      </c>
      <c r="U37" s="88" t="s">
        <v>1520</v>
      </c>
      <c r="V37" s="88" t="s">
        <v>1519</v>
      </c>
      <c r="W37" s="88" t="s">
        <v>1519</v>
      </c>
      <c r="X37" s="88" t="s">
        <v>1519</v>
      </c>
      <c r="Y37" s="88" t="s">
        <v>1519</v>
      </c>
      <c r="Z37" s="88" t="s">
        <v>1519</v>
      </c>
      <c r="AA37" s="88" t="s">
        <v>1519</v>
      </c>
      <c r="AB37" s="88" t="s">
        <v>1520</v>
      </c>
      <c r="AC37" s="88" t="s">
        <v>1520</v>
      </c>
      <c r="AD37" s="89"/>
      <c r="AE37" s="18" t="s">
        <v>76</v>
      </c>
      <c r="AF37" s="18"/>
      <c r="AG37" s="18"/>
      <c r="AH37" s="18"/>
      <c r="AI37" s="18"/>
      <c r="AJ37" s="18"/>
      <c r="AK37" s="18"/>
      <c r="AL37" s="18"/>
      <c r="AM37" s="18"/>
    </row>
    <row r="38">
      <c r="A38" s="11"/>
      <c r="B38" s="12" t="s">
        <v>43</v>
      </c>
      <c r="C38" s="12" t="s">
        <v>65</v>
      </c>
      <c r="D38" s="12" t="s">
        <v>43</v>
      </c>
      <c r="E38" s="12" t="s">
        <v>203</v>
      </c>
      <c r="F38" s="13" t="s">
        <v>204</v>
      </c>
      <c r="G38" s="12" t="s">
        <v>68</v>
      </c>
      <c r="H38" s="12" t="s">
        <v>205</v>
      </c>
      <c r="I38" s="12" t="s">
        <v>206</v>
      </c>
      <c r="J38" s="17" t="s">
        <v>108</v>
      </c>
      <c r="K38" s="17" t="s">
        <v>109</v>
      </c>
      <c r="L38" s="16" t="s">
        <v>1562</v>
      </c>
      <c r="M38" s="20">
        <v>45853.0</v>
      </c>
      <c r="N38" s="17" t="s">
        <v>194</v>
      </c>
      <c r="O38" s="88" t="s">
        <v>1519</v>
      </c>
      <c r="P38" s="88" t="s">
        <v>1519</v>
      </c>
      <c r="Q38" s="88" t="s">
        <v>1519</v>
      </c>
      <c r="R38" s="88" t="s">
        <v>1519</v>
      </c>
      <c r="S38" s="88" t="s">
        <v>1519</v>
      </c>
      <c r="T38" s="88" t="s">
        <v>1519</v>
      </c>
      <c r="U38" s="88" t="s">
        <v>1519</v>
      </c>
      <c r="V38" s="88" t="s">
        <v>1519</v>
      </c>
      <c r="W38" s="88" t="s">
        <v>1521</v>
      </c>
      <c r="X38" s="88" t="s">
        <v>1519</v>
      </c>
      <c r="Y38" s="88" t="s">
        <v>1520</v>
      </c>
      <c r="Z38" s="88" t="s">
        <v>1519</v>
      </c>
      <c r="AA38" s="88" t="s">
        <v>1520</v>
      </c>
      <c r="AB38" s="88" t="s">
        <v>1519</v>
      </c>
      <c r="AC38" s="88" t="s">
        <v>1520</v>
      </c>
      <c r="AD38" s="89"/>
      <c r="AE38" s="18" t="s">
        <v>76</v>
      </c>
      <c r="AF38" s="18"/>
      <c r="AG38" s="18"/>
      <c r="AH38" s="18"/>
      <c r="AI38" s="18"/>
      <c r="AJ38" s="18"/>
      <c r="AK38" s="18"/>
      <c r="AL38" s="18"/>
      <c r="AM38" s="18"/>
    </row>
    <row r="39">
      <c r="A39" s="11"/>
      <c r="B39" s="12" t="s">
        <v>43</v>
      </c>
      <c r="C39" s="12" t="s">
        <v>65</v>
      </c>
      <c r="D39" s="12" t="s">
        <v>43</v>
      </c>
      <c r="E39" s="12" t="s">
        <v>203</v>
      </c>
      <c r="F39" s="13" t="s">
        <v>204</v>
      </c>
      <c r="G39" s="12" t="s">
        <v>68</v>
      </c>
      <c r="H39" s="12" t="s">
        <v>205</v>
      </c>
      <c r="I39" s="12" t="s">
        <v>206</v>
      </c>
      <c r="J39" s="17" t="s">
        <v>108</v>
      </c>
      <c r="K39" s="17" t="s">
        <v>109</v>
      </c>
      <c r="L39" s="16" t="s">
        <v>1563</v>
      </c>
      <c r="M39" s="20">
        <v>45853.0</v>
      </c>
      <c r="N39" s="17" t="s">
        <v>194</v>
      </c>
      <c r="O39" s="88" t="s">
        <v>1519</v>
      </c>
      <c r="P39" s="88" t="s">
        <v>1519</v>
      </c>
      <c r="Q39" s="88" t="s">
        <v>1519</v>
      </c>
      <c r="R39" s="88" t="s">
        <v>1519</v>
      </c>
      <c r="S39" s="88" t="s">
        <v>1519</v>
      </c>
      <c r="T39" s="88" t="s">
        <v>1519</v>
      </c>
      <c r="U39" s="88" t="s">
        <v>1519</v>
      </c>
      <c r="V39" s="88" t="s">
        <v>1519</v>
      </c>
      <c r="W39" s="88" t="s">
        <v>1519</v>
      </c>
      <c r="X39" s="88" t="s">
        <v>1520</v>
      </c>
      <c r="Y39" s="88" t="s">
        <v>1520</v>
      </c>
      <c r="Z39" s="88" t="s">
        <v>1519</v>
      </c>
      <c r="AA39" s="88" t="s">
        <v>1520</v>
      </c>
      <c r="AB39" s="88" t="s">
        <v>1519</v>
      </c>
      <c r="AC39" s="88" t="s">
        <v>1520</v>
      </c>
      <c r="AD39" s="89"/>
      <c r="AE39" s="18" t="s">
        <v>76</v>
      </c>
      <c r="AF39" s="18"/>
      <c r="AG39" s="18"/>
      <c r="AH39" s="18"/>
      <c r="AI39" s="18"/>
      <c r="AJ39" s="18"/>
      <c r="AK39" s="18"/>
      <c r="AL39" s="18"/>
      <c r="AM39" s="18"/>
    </row>
    <row r="40">
      <c r="A40" s="11"/>
      <c r="B40" s="12" t="s">
        <v>43</v>
      </c>
      <c r="C40" s="12" t="s">
        <v>65</v>
      </c>
      <c r="D40" s="12" t="s">
        <v>43</v>
      </c>
      <c r="E40" s="12" t="s">
        <v>203</v>
      </c>
      <c r="F40" s="13" t="s">
        <v>204</v>
      </c>
      <c r="G40" s="12" t="s">
        <v>68</v>
      </c>
      <c r="H40" s="12" t="s">
        <v>205</v>
      </c>
      <c r="I40" s="12" t="s">
        <v>206</v>
      </c>
      <c r="J40" s="17" t="s">
        <v>108</v>
      </c>
      <c r="K40" s="17" t="s">
        <v>109</v>
      </c>
      <c r="L40" s="16" t="s">
        <v>1564</v>
      </c>
      <c r="M40" s="20">
        <v>45853.0</v>
      </c>
      <c r="N40" s="17" t="s">
        <v>194</v>
      </c>
      <c r="O40" s="88" t="s">
        <v>1519</v>
      </c>
      <c r="P40" s="88" t="s">
        <v>1519</v>
      </c>
      <c r="Q40" s="88" t="s">
        <v>1519</v>
      </c>
      <c r="R40" s="88" t="s">
        <v>1519</v>
      </c>
      <c r="S40" s="88" t="s">
        <v>1519</v>
      </c>
      <c r="T40" s="88" t="s">
        <v>1519</v>
      </c>
      <c r="U40" s="88" t="s">
        <v>1519</v>
      </c>
      <c r="V40" s="88" t="s">
        <v>1519</v>
      </c>
      <c r="W40" s="88" t="s">
        <v>1520</v>
      </c>
      <c r="X40" s="88" t="s">
        <v>1519</v>
      </c>
      <c r="Y40" s="88" t="s">
        <v>1519</v>
      </c>
      <c r="Z40" s="88" t="s">
        <v>1519</v>
      </c>
      <c r="AA40" s="88" t="s">
        <v>1519</v>
      </c>
      <c r="AB40" s="88" t="s">
        <v>1520</v>
      </c>
      <c r="AC40" s="88" t="s">
        <v>1520</v>
      </c>
      <c r="AD40" s="89"/>
      <c r="AE40" s="18" t="s">
        <v>76</v>
      </c>
      <c r="AF40" s="18"/>
      <c r="AG40" s="18"/>
      <c r="AH40" s="18"/>
      <c r="AI40" s="18"/>
      <c r="AJ40" s="18"/>
      <c r="AK40" s="18"/>
      <c r="AL40" s="18"/>
      <c r="AM40" s="18"/>
    </row>
    <row r="41">
      <c r="A41" s="11"/>
      <c r="B41" s="12" t="s">
        <v>43</v>
      </c>
      <c r="C41" s="12" t="s">
        <v>65</v>
      </c>
      <c r="D41" s="12" t="s">
        <v>43</v>
      </c>
      <c r="E41" s="12" t="s">
        <v>203</v>
      </c>
      <c r="F41" s="13" t="s">
        <v>204</v>
      </c>
      <c r="G41" s="12" t="s">
        <v>68</v>
      </c>
      <c r="H41" s="12" t="s">
        <v>205</v>
      </c>
      <c r="I41" s="12" t="s">
        <v>206</v>
      </c>
      <c r="J41" s="17" t="s">
        <v>108</v>
      </c>
      <c r="K41" s="17" t="s">
        <v>109</v>
      </c>
      <c r="L41" s="16" t="s">
        <v>1565</v>
      </c>
      <c r="M41" s="20">
        <v>45853.0</v>
      </c>
      <c r="N41" s="17" t="s">
        <v>194</v>
      </c>
      <c r="O41" s="88" t="s">
        <v>1519</v>
      </c>
      <c r="P41" s="88" t="s">
        <v>1519</v>
      </c>
      <c r="Q41" s="88" t="s">
        <v>1519</v>
      </c>
      <c r="R41" s="88" t="s">
        <v>1519</v>
      </c>
      <c r="S41" s="88" t="s">
        <v>1519</v>
      </c>
      <c r="T41" s="88" t="s">
        <v>1519</v>
      </c>
      <c r="U41" s="88" t="s">
        <v>1519</v>
      </c>
      <c r="V41" s="88" t="s">
        <v>1519</v>
      </c>
      <c r="W41" s="88" t="s">
        <v>1519</v>
      </c>
      <c r="X41" s="88" t="s">
        <v>1519</v>
      </c>
      <c r="Y41" s="88" t="s">
        <v>1519</v>
      </c>
      <c r="Z41" s="88" t="s">
        <v>1519</v>
      </c>
      <c r="AA41" s="88" t="s">
        <v>1519</v>
      </c>
      <c r="AB41" s="88" t="s">
        <v>1519</v>
      </c>
      <c r="AC41" s="88" t="s">
        <v>1519</v>
      </c>
      <c r="AD41" s="89"/>
      <c r="AE41" s="18" t="s">
        <v>76</v>
      </c>
      <c r="AF41" s="18"/>
      <c r="AG41" s="18"/>
      <c r="AH41" s="18"/>
      <c r="AI41" s="18"/>
      <c r="AJ41" s="18"/>
      <c r="AK41" s="18"/>
      <c r="AL41" s="18"/>
      <c r="AM41" s="18"/>
    </row>
    <row r="42">
      <c r="A42" s="11"/>
      <c r="B42" s="12" t="s">
        <v>43</v>
      </c>
      <c r="C42" s="12" t="s">
        <v>65</v>
      </c>
      <c r="D42" s="12" t="s">
        <v>43</v>
      </c>
      <c r="E42" s="12" t="s">
        <v>203</v>
      </c>
      <c r="F42" s="13" t="s">
        <v>204</v>
      </c>
      <c r="G42" s="12" t="s">
        <v>68</v>
      </c>
      <c r="H42" s="12" t="s">
        <v>205</v>
      </c>
      <c r="I42" s="12" t="s">
        <v>206</v>
      </c>
      <c r="J42" s="17" t="s">
        <v>108</v>
      </c>
      <c r="K42" s="17" t="s">
        <v>109</v>
      </c>
      <c r="L42" s="16" t="s">
        <v>1566</v>
      </c>
      <c r="M42" s="20">
        <v>45853.0</v>
      </c>
      <c r="N42" s="17" t="s">
        <v>194</v>
      </c>
      <c r="O42" s="88" t="s">
        <v>1519</v>
      </c>
      <c r="P42" s="88" t="s">
        <v>1519</v>
      </c>
      <c r="Q42" s="88" t="s">
        <v>1519</v>
      </c>
      <c r="R42" s="88" t="s">
        <v>1519</v>
      </c>
      <c r="S42" s="88" t="s">
        <v>1519</v>
      </c>
      <c r="T42" s="88" t="s">
        <v>1519</v>
      </c>
      <c r="U42" s="88" t="s">
        <v>1519</v>
      </c>
      <c r="V42" s="88" t="s">
        <v>1519</v>
      </c>
      <c r="W42" s="88" t="s">
        <v>1519</v>
      </c>
      <c r="X42" s="88" t="s">
        <v>1520</v>
      </c>
      <c r="Y42" s="88" t="s">
        <v>1520</v>
      </c>
      <c r="Z42" s="88" t="s">
        <v>1519</v>
      </c>
      <c r="AA42" s="88" t="s">
        <v>1519</v>
      </c>
      <c r="AB42" s="88" t="s">
        <v>1519</v>
      </c>
      <c r="AC42" s="88" t="s">
        <v>1519</v>
      </c>
      <c r="AD42" s="89"/>
      <c r="AE42" s="18" t="s">
        <v>76</v>
      </c>
      <c r="AF42" s="18"/>
      <c r="AG42" s="18"/>
      <c r="AH42" s="18"/>
      <c r="AI42" s="18"/>
      <c r="AJ42" s="18"/>
      <c r="AK42" s="18"/>
      <c r="AL42" s="18"/>
      <c r="AM42" s="18"/>
    </row>
    <row r="43">
      <c r="A43" s="11"/>
      <c r="B43" s="12" t="s">
        <v>43</v>
      </c>
      <c r="C43" s="12" t="s">
        <v>65</v>
      </c>
      <c r="D43" s="12" t="s">
        <v>43</v>
      </c>
      <c r="E43" s="12" t="s">
        <v>203</v>
      </c>
      <c r="F43" s="13" t="s">
        <v>204</v>
      </c>
      <c r="G43" s="12" t="s">
        <v>68</v>
      </c>
      <c r="H43" s="12" t="s">
        <v>205</v>
      </c>
      <c r="I43" s="12" t="s">
        <v>206</v>
      </c>
      <c r="J43" s="15" t="s">
        <v>112</v>
      </c>
      <c r="K43" s="17" t="s">
        <v>113</v>
      </c>
      <c r="L43" s="73" t="s">
        <v>1567</v>
      </c>
      <c r="M43" s="20">
        <v>45853.0</v>
      </c>
      <c r="N43" s="17" t="s">
        <v>194</v>
      </c>
      <c r="O43" s="88" t="s">
        <v>1519</v>
      </c>
      <c r="P43" s="88" t="s">
        <v>1520</v>
      </c>
      <c r="Q43" s="88" t="s">
        <v>1520</v>
      </c>
      <c r="R43" s="88" t="s">
        <v>1520</v>
      </c>
      <c r="S43" s="88" t="s">
        <v>1520</v>
      </c>
      <c r="T43" s="88" t="s">
        <v>1520</v>
      </c>
      <c r="U43" s="88" t="s">
        <v>1520</v>
      </c>
      <c r="V43" s="88" t="s">
        <v>1520</v>
      </c>
      <c r="W43" s="88" t="s">
        <v>1520</v>
      </c>
      <c r="X43" s="88" t="s">
        <v>1519</v>
      </c>
      <c r="Y43" s="88" t="s">
        <v>1519</v>
      </c>
      <c r="Z43" s="88" t="s">
        <v>1520</v>
      </c>
      <c r="AA43" s="88" t="s">
        <v>1520</v>
      </c>
      <c r="AB43" s="88" t="s">
        <v>1520</v>
      </c>
      <c r="AC43" s="88" t="s">
        <v>1521</v>
      </c>
      <c r="AD43" s="91" t="s">
        <v>1568</v>
      </c>
      <c r="AE43" s="18" t="s">
        <v>76</v>
      </c>
      <c r="AF43" s="18"/>
      <c r="AG43" s="18"/>
      <c r="AH43" s="18"/>
      <c r="AI43" s="18"/>
      <c r="AJ43" s="18"/>
      <c r="AK43" s="18"/>
      <c r="AL43" s="18"/>
      <c r="AM43" s="18"/>
    </row>
    <row r="44">
      <c r="A44" s="11"/>
      <c r="B44" s="12" t="s">
        <v>43</v>
      </c>
      <c r="C44" s="12" t="s">
        <v>65</v>
      </c>
      <c r="D44" s="12" t="s">
        <v>43</v>
      </c>
      <c r="E44" s="12" t="s">
        <v>66</v>
      </c>
      <c r="F44" s="13" t="s">
        <v>67</v>
      </c>
      <c r="G44" s="12" t="s">
        <v>68</v>
      </c>
      <c r="H44" s="12" t="s">
        <v>69</v>
      </c>
      <c r="I44" s="12" t="s">
        <v>70</v>
      </c>
      <c r="J44" s="15" t="s">
        <v>108</v>
      </c>
      <c r="K44" s="17" t="s">
        <v>109</v>
      </c>
      <c r="L44" s="73" t="s">
        <v>1569</v>
      </c>
      <c r="M44" s="20">
        <v>45841.0</v>
      </c>
      <c r="N44" s="17" t="s">
        <v>194</v>
      </c>
      <c r="O44" s="88" t="s">
        <v>1519</v>
      </c>
      <c r="P44" s="88" t="s">
        <v>1519</v>
      </c>
      <c r="Q44" s="88" t="s">
        <v>1520</v>
      </c>
      <c r="R44" s="88" t="s">
        <v>1519</v>
      </c>
      <c r="S44" s="88" t="s">
        <v>1519</v>
      </c>
      <c r="T44" s="88" t="s">
        <v>1520</v>
      </c>
      <c r="U44" s="88" t="s">
        <v>1519</v>
      </c>
      <c r="V44" s="88" t="s">
        <v>1520</v>
      </c>
      <c r="W44" s="88" t="s">
        <v>1520</v>
      </c>
      <c r="X44" s="88" t="s">
        <v>1519</v>
      </c>
      <c r="Y44" s="88" t="s">
        <v>1519</v>
      </c>
      <c r="Z44" s="88" t="s">
        <v>1519</v>
      </c>
      <c r="AA44" s="88" t="s">
        <v>1519</v>
      </c>
      <c r="AB44" s="88" t="s">
        <v>1520</v>
      </c>
      <c r="AC44" s="88" t="s">
        <v>1520</v>
      </c>
      <c r="AD44" s="92"/>
      <c r="AE44" s="18" t="s">
        <v>76</v>
      </c>
      <c r="AF44" s="18"/>
      <c r="AG44" s="18"/>
      <c r="AH44" s="18"/>
      <c r="AI44" s="18"/>
      <c r="AJ44" s="18"/>
      <c r="AK44" s="18"/>
      <c r="AL44" s="18"/>
      <c r="AM44" s="18"/>
    </row>
    <row r="45">
      <c r="A45" s="11"/>
      <c r="B45" s="12" t="s">
        <v>43</v>
      </c>
      <c r="C45" s="12" t="s">
        <v>65</v>
      </c>
      <c r="D45" s="12" t="s">
        <v>43</v>
      </c>
      <c r="E45" s="12" t="s">
        <v>66</v>
      </c>
      <c r="F45" s="13" t="s">
        <v>67</v>
      </c>
      <c r="G45" s="12" t="s">
        <v>68</v>
      </c>
      <c r="H45" s="12" t="s">
        <v>69</v>
      </c>
      <c r="I45" s="12" t="s">
        <v>70</v>
      </c>
      <c r="J45" s="17" t="s">
        <v>108</v>
      </c>
      <c r="K45" s="17" t="s">
        <v>109</v>
      </c>
      <c r="L45" s="16" t="s">
        <v>1570</v>
      </c>
      <c r="M45" s="20">
        <v>45841.0</v>
      </c>
      <c r="N45" s="17" t="s">
        <v>194</v>
      </c>
      <c r="O45" s="88" t="s">
        <v>1519</v>
      </c>
      <c r="P45" s="88" t="s">
        <v>1519</v>
      </c>
      <c r="Q45" s="88" t="s">
        <v>1520</v>
      </c>
      <c r="R45" s="88" t="s">
        <v>1519</v>
      </c>
      <c r="S45" s="88" t="s">
        <v>1519</v>
      </c>
      <c r="T45" s="88" t="s">
        <v>1520</v>
      </c>
      <c r="U45" s="88" t="s">
        <v>1519</v>
      </c>
      <c r="V45" s="88" t="s">
        <v>1520</v>
      </c>
      <c r="W45" s="88" t="s">
        <v>1520</v>
      </c>
      <c r="X45" s="88" t="s">
        <v>1519</v>
      </c>
      <c r="Y45" s="88" t="s">
        <v>1519</v>
      </c>
      <c r="Z45" s="88" t="s">
        <v>1519</v>
      </c>
      <c r="AA45" s="88" t="s">
        <v>1519</v>
      </c>
      <c r="AB45" s="88" t="s">
        <v>1520</v>
      </c>
      <c r="AC45" s="88" t="s">
        <v>1520</v>
      </c>
      <c r="AD45" s="89"/>
      <c r="AE45" s="18" t="s">
        <v>76</v>
      </c>
      <c r="AF45" s="18"/>
      <c r="AG45" s="18"/>
      <c r="AH45" s="18"/>
      <c r="AI45" s="18"/>
      <c r="AJ45" s="18"/>
      <c r="AK45" s="18"/>
      <c r="AL45" s="18"/>
      <c r="AM45" s="18"/>
    </row>
    <row r="46">
      <c r="A46" s="11"/>
      <c r="B46" s="12" t="s">
        <v>43</v>
      </c>
      <c r="C46" s="12" t="s">
        <v>65</v>
      </c>
      <c r="D46" s="12" t="s">
        <v>43</v>
      </c>
      <c r="E46" s="12" t="s">
        <v>66</v>
      </c>
      <c r="F46" s="13" t="s">
        <v>67</v>
      </c>
      <c r="G46" s="12" t="s">
        <v>68</v>
      </c>
      <c r="H46" s="12" t="s">
        <v>69</v>
      </c>
      <c r="I46" s="12" t="s">
        <v>70</v>
      </c>
      <c r="J46" s="17" t="s">
        <v>108</v>
      </c>
      <c r="K46" s="17" t="s">
        <v>109</v>
      </c>
      <c r="L46" s="16" t="s">
        <v>1571</v>
      </c>
      <c r="M46" s="20">
        <v>45841.0</v>
      </c>
      <c r="N46" s="17" t="s">
        <v>194</v>
      </c>
      <c r="O46" s="88" t="s">
        <v>1519</v>
      </c>
      <c r="P46" s="88" t="s">
        <v>1519</v>
      </c>
      <c r="Q46" s="88" t="s">
        <v>1519</v>
      </c>
      <c r="R46" s="88" t="s">
        <v>1519</v>
      </c>
      <c r="S46" s="88" t="s">
        <v>1519</v>
      </c>
      <c r="T46" s="88" t="s">
        <v>1519</v>
      </c>
      <c r="U46" s="88" t="s">
        <v>1519</v>
      </c>
      <c r="V46" s="88" t="s">
        <v>1519</v>
      </c>
      <c r="W46" s="88" t="s">
        <v>1519</v>
      </c>
      <c r="X46" s="88" t="s">
        <v>1519</v>
      </c>
      <c r="Y46" s="88" t="s">
        <v>1519</v>
      </c>
      <c r="Z46" s="88" t="s">
        <v>1519</v>
      </c>
      <c r="AA46" s="88" t="s">
        <v>1519</v>
      </c>
      <c r="AB46" s="88" t="s">
        <v>1519</v>
      </c>
      <c r="AC46" s="88" t="s">
        <v>1520</v>
      </c>
      <c r="AD46" s="89"/>
      <c r="AE46" s="18" t="s">
        <v>76</v>
      </c>
      <c r="AF46" s="18"/>
      <c r="AG46" s="18"/>
      <c r="AH46" s="18"/>
      <c r="AI46" s="18"/>
      <c r="AJ46" s="18"/>
      <c r="AK46" s="18"/>
      <c r="AL46" s="18"/>
      <c r="AM46" s="18"/>
    </row>
    <row r="47">
      <c r="A47" s="11"/>
      <c r="B47" s="12" t="s">
        <v>43</v>
      </c>
      <c r="C47" s="12" t="s">
        <v>65</v>
      </c>
      <c r="D47" s="12" t="s">
        <v>43</v>
      </c>
      <c r="E47" s="12" t="s">
        <v>66</v>
      </c>
      <c r="F47" s="13" t="s">
        <v>67</v>
      </c>
      <c r="G47" s="12" t="s">
        <v>68</v>
      </c>
      <c r="H47" s="12" t="s">
        <v>69</v>
      </c>
      <c r="I47" s="12" t="s">
        <v>70</v>
      </c>
      <c r="J47" s="17" t="s">
        <v>108</v>
      </c>
      <c r="K47" s="17" t="s">
        <v>109</v>
      </c>
      <c r="L47" s="16" t="s">
        <v>1572</v>
      </c>
      <c r="M47" s="20">
        <v>45841.0</v>
      </c>
      <c r="N47" s="17" t="s">
        <v>194</v>
      </c>
      <c r="O47" s="88" t="s">
        <v>1519</v>
      </c>
      <c r="P47" s="88" t="s">
        <v>1519</v>
      </c>
      <c r="Q47" s="88" t="s">
        <v>1519</v>
      </c>
      <c r="R47" s="88" t="s">
        <v>1519</v>
      </c>
      <c r="S47" s="88" t="s">
        <v>1519</v>
      </c>
      <c r="T47" s="88" t="s">
        <v>1519</v>
      </c>
      <c r="U47" s="88" t="s">
        <v>1519</v>
      </c>
      <c r="V47" s="88" t="s">
        <v>1519</v>
      </c>
      <c r="W47" s="88" t="s">
        <v>1519</v>
      </c>
      <c r="X47" s="88" t="s">
        <v>1519</v>
      </c>
      <c r="Y47" s="88" t="s">
        <v>1519</v>
      </c>
      <c r="Z47" s="88" t="s">
        <v>1519</v>
      </c>
      <c r="AA47" s="88" t="s">
        <v>1519</v>
      </c>
      <c r="AB47" s="88" t="s">
        <v>1519</v>
      </c>
      <c r="AC47" s="88" t="s">
        <v>1520</v>
      </c>
      <c r="AD47" s="89"/>
      <c r="AE47" s="18" t="s">
        <v>76</v>
      </c>
      <c r="AF47" s="18"/>
      <c r="AG47" s="18"/>
      <c r="AH47" s="18"/>
      <c r="AI47" s="18"/>
      <c r="AJ47" s="18"/>
      <c r="AK47" s="18"/>
      <c r="AL47" s="18"/>
      <c r="AM47" s="18"/>
    </row>
    <row r="48">
      <c r="A48" s="11"/>
      <c r="B48" s="12" t="s">
        <v>43</v>
      </c>
      <c r="C48" s="12" t="s">
        <v>65</v>
      </c>
      <c r="D48" s="12" t="s">
        <v>43</v>
      </c>
      <c r="E48" s="12" t="s">
        <v>66</v>
      </c>
      <c r="F48" s="13" t="s">
        <v>67</v>
      </c>
      <c r="G48" s="12" t="s">
        <v>68</v>
      </c>
      <c r="H48" s="12" t="s">
        <v>69</v>
      </c>
      <c r="I48" s="12" t="s">
        <v>70</v>
      </c>
      <c r="J48" s="17" t="s">
        <v>108</v>
      </c>
      <c r="K48" s="17" t="s">
        <v>109</v>
      </c>
      <c r="L48" s="16" t="s">
        <v>1573</v>
      </c>
      <c r="M48" s="20">
        <v>45841.0</v>
      </c>
      <c r="N48" s="17" t="s">
        <v>194</v>
      </c>
      <c r="O48" s="88" t="s">
        <v>1519</v>
      </c>
      <c r="P48" s="88" t="s">
        <v>1519</v>
      </c>
      <c r="Q48" s="88" t="s">
        <v>1519</v>
      </c>
      <c r="R48" s="88" t="s">
        <v>1519</v>
      </c>
      <c r="S48" s="88" t="s">
        <v>1519</v>
      </c>
      <c r="T48" s="88" t="s">
        <v>1519</v>
      </c>
      <c r="U48" s="88" t="s">
        <v>1519</v>
      </c>
      <c r="V48" s="88" t="s">
        <v>1519</v>
      </c>
      <c r="W48" s="88" t="s">
        <v>1519</v>
      </c>
      <c r="X48" s="88" t="s">
        <v>1519</v>
      </c>
      <c r="Y48" s="88" t="s">
        <v>1519</v>
      </c>
      <c r="Z48" s="88" t="s">
        <v>1519</v>
      </c>
      <c r="AA48" s="88" t="s">
        <v>1519</v>
      </c>
      <c r="AB48" s="88" t="s">
        <v>1519</v>
      </c>
      <c r="AC48" s="88" t="s">
        <v>1519</v>
      </c>
      <c r="AD48" s="89"/>
      <c r="AE48" s="18" t="s">
        <v>76</v>
      </c>
      <c r="AF48" s="18"/>
      <c r="AG48" s="18"/>
      <c r="AH48" s="18"/>
      <c r="AI48" s="18"/>
      <c r="AJ48" s="18"/>
      <c r="AK48" s="18"/>
      <c r="AL48" s="18"/>
      <c r="AM48" s="18"/>
    </row>
    <row r="49">
      <c r="A49" s="11"/>
      <c r="B49" s="12" t="s">
        <v>43</v>
      </c>
      <c r="C49" s="12" t="s">
        <v>65</v>
      </c>
      <c r="D49" s="12" t="s">
        <v>43</v>
      </c>
      <c r="E49" s="12" t="s">
        <v>66</v>
      </c>
      <c r="F49" s="13" t="s">
        <v>67</v>
      </c>
      <c r="G49" s="12" t="s">
        <v>68</v>
      </c>
      <c r="H49" s="12" t="s">
        <v>69</v>
      </c>
      <c r="I49" s="12" t="s">
        <v>70</v>
      </c>
      <c r="J49" s="17" t="s">
        <v>73</v>
      </c>
      <c r="K49" s="17" t="s">
        <v>74</v>
      </c>
      <c r="L49" s="16" t="s">
        <v>1574</v>
      </c>
      <c r="M49" s="20">
        <v>45841.0</v>
      </c>
      <c r="N49" s="17" t="s">
        <v>194</v>
      </c>
      <c r="O49" s="88" t="s">
        <v>1519</v>
      </c>
      <c r="P49" s="88" t="s">
        <v>1519</v>
      </c>
      <c r="Q49" s="88" t="s">
        <v>1521</v>
      </c>
      <c r="R49" s="88" t="s">
        <v>1520</v>
      </c>
      <c r="S49" s="88" t="s">
        <v>1519</v>
      </c>
      <c r="T49" s="88" t="s">
        <v>1520</v>
      </c>
      <c r="U49" s="88" t="s">
        <v>1519</v>
      </c>
      <c r="V49" s="88" t="s">
        <v>1520</v>
      </c>
      <c r="W49" s="88" t="s">
        <v>1519</v>
      </c>
      <c r="X49" s="88" t="s">
        <v>1519</v>
      </c>
      <c r="Y49" s="88" t="s">
        <v>1520</v>
      </c>
      <c r="Z49" s="88" t="s">
        <v>1519</v>
      </c>
      <c r="AA49" s="88" t="s">
        <v>1519</v>
      </c>
      <c r="AB49" s="88" t="s">
        <v>1520</v>
      </c>
      <c r="AC49" s="88" t="s">
        <v>1520</v>
      </c>
      <c r="AD49" s="89"/>
      <c r="AE49" s="18" t="s">
        <v>76</v>
      </c>
      <c r="AF49" s="18"/>
      <c r="AG49" s="18"/>
      <c r="AH49" s="18"/>
      <c r="AI49" s="18"/>
      <c r="AJ49" s="18"/>
      <c r="AK49" s="18"/>
      <c r="AL49" s="18"/>
      <c r="AM49" s="18"/>
    </row>
    <row r="50">
      <c r="A50" s="11"/>
      <c r="B50" s="12" t="s">
        <v>43</v>
      </c>
      <c r="C50" s="12" t="s">
        <v>65</v>
      </c>
      <c r="D50" s="12" t="s">
        <v>43</v>
      </c>
      <c r="E50" s="12" t="s">
        <v>66</v>
      </c>
      <c r="F50" s="13" t="s">
        <v>67</v>
      </c>
      <c r="G50" s="12" t="s">
        <v>68</v>
      </c>
      <c r="H50" s="12" t="s">
        <v>69</v>
      </c>
      <c r="I50" s="12" t="s">
        <v>70</v>
      </c>
      <c r="J50" s="17" t="s">
        <v>73</v>
      </c>
      <c r="K50" s="17" t="s">
        <v>74</v>
      </c>
      <c r="L50" s="16" t="s">
        <v>1575</v>
      </c>
      <c r="M50" s="20">
        <v>45841.0</v>
      </c>
      <c r="N50" s="17" t="s">
        <v>194</v>
      </c>
      <c r="O50" s="88" t="s">
        <v>1519</v>
      </c>
      <c r="P50" s="88" t="s">
        <v>1519</v>
      </c>
      <c r="Q50" s="88" t="s">
        <v>1521</v>
      </c>
      <c r="R50" s="88" t="s">
        <v>1520</v>
      </c>
      <c r="S50" s="88" t="s">
        <v>1519</v>
      </c>
      <c r="T50" s="88" t="s">
        <v>1520</v>
      </c>
      <c r="U50" s="88" t="s">
        <v>1519</v>
      </c>
      <c r="V50" s="88" t="s">
        <v>1519</v>
      </c>
      <c r="W50" s="88" t="s">
        <v>1519</v>
      </c>
      <c r="X50" s="88" t="s">
        <v>1520</v>
      </c>
      <c r="Y50" s="88" t="s">
        <v>1519</v>
      </c>
      <c r="Z50" s="88" t="s">
        <v>1519</v>
      </c>
      <c r="AA50" s="88" t="s">
        <v>1519</v>
      </c>
      <c r="AB50" s="88" t="s">
        <v>1520</v>
      </c>
      <c r="AC50" s="88" t="s">
        <v>1520</v>
      </c>
      <c r="AD50" s="89"/>
      <c r="AE50" s="18" t="s">
        <v>76</v>
      </c>
      <c r="AF50" s="18"/>
      <c r="AG50" s="18"/>
      <c r="AH50" s="18"/>
      <c r="AI50" s="18"/>
      <c r="AJ50" s="18"/>
      <c r="AK50" s="18"/>
      <c r="AL50" s="18"/>
      <c r="AM50" s="18"/>
    </row>
    <row r="51">
      <c r="A51" s="11"/>
      <c r="B51" s="12" t="s">
        <v>43</v>
      </c>
      <c r="C51" s="12" t="s">
        <v>65</v>
      </c>
      <c r="D51" s="12" t="s">
        <v>43</v>
      </c>
      <c r="E51" s="12" t="s">
        <v>66</v>
      </c>
      <c r="F51" s="13" t="s">
        <v>67</v>
      </c>
      <c r="G51" s="12" t="s">
        <v>68</v>
      </c>
      <c r="H51" s="12" t="s">
        <v>69</v>
      </c>
      <c r="I51" s="12" t="s">
        <v>70</v>
      </c>
      <c r="J51" s="17" t="s">
        <v>73</v>
      </c>
      <c r="K51" s="17" t="s">
        <v>74</v>
      </c>
      <c r="L51" s="16" t="s">
        <v>78</v>
      </c>
      <c r="M51" s="20">
        <v>45841.0</v>
      </c>
      <c r="N51" s="17" t="s">
        <v>194</v>
      </c>
      <c r="O51" s="88" t="s">
        <v>1519</v>
      </c>
      <c r="P51" s="88" t="s">
        <v>1519</v>
      </c>
      <c r="Q51" s="88" t="s">
        <v>1521</v>
      </c>
      <c r="R51" s="88" t="s">
        <v>1520</v>
      </c>
      <c r="S51" s="88" t="s">
        <v>1519</v>
      </c>
      <c r="T51" s="88" t="s">
        <v>1521</v>
      </c>
      <c r="U51" s="88" t="s">
        <v>1519</v>
      </c>
      <c r="V51" s="88" t="s">
        <v>1519</v>
      </c>
      <c r="W51" s="88" t="s">
        <v>1520</v>
      </c>
      <c r="X51" s="88" t="s">
        <v>1520</v>
      </c>
      <c r="Y51" s="88" t="s">
        <v>1519</v>
      </c>
      <c r="Z51" s="88" t="s">
        <v>1519</v>
      </c>
      <c r="AA51" s="88" t="s">
        <v>1520</v>
      </c>
      <c r="AB51" s="88" t="s">
        <v>1521</v>
      </c>
      <c r="AC51" s="88" t="s">
        <v>1521</v>
      </c>
      <c r="AD51" s="89"/>
      <c r="AE51" s="18" t="s">
        <v>76</v>
      </c>
      <c r="AF51" s="18"/>
      <c r="AG51" s="18"/>
      <c r="AH51" s="18"/>
      <c r="AI51" s="18"/>
      <c r="AJ51" s="18"/>
      <c r="AK51" s="18"/>
      <c r="AL51" s="18"/>
      <c r="AM51" s="18"/>
    </row>
    <row r="52">
      <c r="A52" s="11"/>
      <c r="B52" s="12" t="s">
        <v>43</v>
      </c>
      <c r="C52" s="12" t="s">
        <v>65</v>
      </c>
      <c r="D52" s="12" t="s">
        <v>43</v>
      </c>
      <c r="E52" s="12" t="s">
        <v>66</v>
      </c>
      <c r="F52" s="13" t="s">
        <v>67</v>
      </c>
      <c r="G52" s="12" t="s">
        <v>68</v>
      </c>
      <c r="H52" s="12" t="s">
        <v>69</v>
      </c>
      <c r="I52" s="12" t="s">
        <v>70</v>
      </c>
      <c r="J52" s="17" t="s">
        <v>73</v>
      </c>
      <c r="K52" s="17" t="s">
        <v>74</v>
      </c>
      <c r="L52" s="16" t="s">
        <v>1576</v>
      </c>
      <c r="M52" s="20">
        <v>45841.0</v>
      </c>
      <c r="N52" s="17" t="s">
        <v>194</v>
      </c>
      <c r="O52" s="88" t="s">
        <v>1519</v>
      </c>
      <c r="P52" s="88" t="s">
        <v>1519</v>
      </c>
      <c r="Q52" s="88" t="s">
        <v>1521</v>
      </c>
      <c r="R52" s="88" t="s">
        <v>1520</v>
      </c>
      <c r="S52" s="88" t="s">
        <v>1519</v>
      </c>
      <c r="T52" s="88" t="s">
        <v>1521</v>
      </c>
      <c r="U52" s="88" t="s">
        <v>1519</v>
      </c>
      <c r="V52" s="88" t="s">
        <v>1519</v>
      </c>
      <c r="W52" s="88" t="s">
        <v>1520</v>
      </c>
      <c r="X52" s="88" t="s">
        <v>1520</v>
      </c>
      <c r="Y52" s="88" t="s">
        <v>1519</v>
      </c>
      <c r="Z52" s="88" t="s">
        <v>1519</v>
      </c>
      <c r="AA52" s="88" t="s">
        <v>1520</v>
      </c>
      <c r="AB52" s="88" t="s">
        <v>1521</v>
      </c>
      <c r="AC52" s="88" t="s">
        <v>1521</v>
      </c>
      <c r="AD52" s="89"/>
      <c r="AE52" s="18" t="s">
        <v>76</v>
      </c>
      <c r="AF52" s="18"/>
      <c r="AG52" s="18"/>
      <c r="AH52" s="18"/>
      <c r="AI52" s="18"/>
      <c r="AJ52" s="18"/>
      <c r="AK52" s="18"/>
      <c r="AL52" s="18"/>
      <c r="AM52" s="18"/>
    </row>
    <row r="53">
      <c r="A53" s="11"/>
      <c r="B53" s="12" t="s">
        <v>43</v>
      </c>
      <c r="C53" s="12" t="s">
        <v>65</v>
      </c>
      <c r="D53" s="12" t="s">
        <v>43</v>
      </c>
      <c r="E53" s="12" t="s">
        <v>66</v>
      </c>
      <c r="F53" s="13" t="s">
        <v>67</v>
      </c>
      <c r="G53" s="12" t="s">
        <v>68</v>
      </c>
      <c r="H53" s="12" t="s">
        <v>69</v>
      </c>
      <c r="I53" s="12" t="s">
        <v>70</v>
      </c>
      <c r="J53" s="17" t="s">
        <v>73</v>
      </c>
      <c r="K53" s="17" t="s">
        <v>74</v>
      </c>
      <c r="L53" s="16" t="s">
        <v>72</v>
      </c>
      <c r="M53" s="20">
        <v>45841.0</v>
      </c>
      <c r="N53" s="17" t="s">
        <v>194</v>
      </c>
      <c r="O53" s="88" t="s">
        <v>1519</v>
      </c>
      <c r="P53" s="88" t="s">
        <v>1519</v>
      </c>
      <c r="Q53" s="88" t="s">
        <v>1520</v>
      </c>
      <c r="R53" s="88" t="s">
        <v>1519</v>
      </c>
      <c r="S53" s="88" t="s">
        <v>1519</v>
      </c>
      <c r="T53" s="88" t="s">
        <v>1521</v>
      </c>
      <c r="U53" s="88" t="s">
        <v>1519</v>
      </c>
      <c r="V53" s="88" t="s">
        <v>1520</v>
      </c>
      <c r="W53" s="88" t="s">
        <v>1521</v>
      </c>
      <c r="X53" s="88" t="s">
        <v>1519</v>
      </c>
      <c r="Y53" s="88" t="s">
        <v>1520</v>
      </c>
      <c r="Z53" s="88" t="s">
        <v>1520</v>
      </c>
      <c r="AA53" s="88" t="s">
        <v>1520</v>
      </c>
      <c r="AB53" s="88" t="s">
        <v>1520</v>
      </c>
      <c r="AC53" s="88" t="s">
        <v>1520</v>
      </c>
      <c r="AD53" s="89"/>
      <c r="AE53" s="18" t="s">
        <v>76</v>
      </c>
      <c r="AF53" s="18"/>
      <c r="AG53" s="18"/>
      <c r="AH53" s="18"/>
      <c r="AI53" s="18"/>
      <c r="AJ53" s="18"/>
      <c r="AK53" s="18"/>
      <c r="AL53" s="18"/>
      <c r="AM53" s="18"/>
    </row>
    <row r="54">
      <c r="A54" s="11"/>
      <c r="B54" s="12" t="s">
        <v>43</v>
      </c>
      <c r="C54" s="12" t="s">
        <v>65</v>
      </c>
      <c r="D54" s="12" t="s">
        <v>43</v>
      </c>
      <c r="E54" s="12" t="s">
        <v>66</v>
      </c>
      <c r="F54" s="13" t="s">
        <v>67</v>
      </c>
      <c r="G54" s="12" t="s">
        <v>68</v>
      </c>
      <c r="H54" s="12" t="s">
        <v>69</v>
      </c>
      <c r="I54" s="12" t="s">
        <v>70</v>
      </c>
      <c r="J54" s="17" t="s">
        <v>73</v>
      </c>
      <c r="K54" s="17" t="s">
        <v>74</v>
      </c>
      <c r="L54" s="16" t="s">
        <v>81</v>
      </c>
      <c r="M54" s="20">
        <v>45841.0</v>
      </c>
      <c r="N54" s="17" t="s">
        <v>194</v>
      </c>
      <c r="O54" s="88" t="s">
        <v>1519</v>
      </c>
      <c r="P54" s="88" t="s">
        <v>1519</v>
      </c>
      <c r="Q54" s="88" t="s">
        <v>1521</v>
      </c>
      <c r="R54" s="88" t="s">
        <v>1519</v>
      </c>
      <c r="S54" s="88" t="s">
        <v>1519</v>
      </c>
      <c r="T54" s="88" t="s">
        <v>1521</v>
      </c>
      <c r="U54" s="88" t="s">
        <v>1519</v>
      </c>
      <c r="V54" s="88" t="s">
        <v>1519</v>
      </c>
      <c r="W54" s="88" t="s">
        <v>1520</v>
      </c>
      <c r="X54" s="88" t="s">
        <v>1519</v>
      </c>
      <c r="Y54" s="88" t="s">
        <v>1519</v>
      </c>
      <c r="Z54" s="88" t="s">
        <v>1519</v>
      </c>
      <c r="AA54" s="88" t="s">
        <v>1520</v>
      </c>
      <c r="AB54" s="88" t="s">
        <v>1520</v>
      </c>
      <c r="AC54" s="88" t="s">
        <v>1520</v>
      </c>
      <c r="AD54" s="89"/>
      <c r="AE54" s="18" t="s">
        <v>76</v>
      </c>
      <c r="AF54" s="18"/>
      <c r="AG54" s="18"/>
      <c r="AH54" s="18"/>
      <c r="AI54" s="18"/>
      <c r="AJ54" s="18"/>
      <c r="AK54" s="18"/>
      <c r="AL54" s="18"/>
      <c r="AM54" s="18"/>
    </row>
    <row r="55">
      <c r="A55" s="11"/>
      <c r="B55" s="12" t="s">
        <v>43</v>
      </c>
      <c r="C55" s="12" t="s">
        <v>65</v>
      </c>
      <c r="D55" s="12" t="s">
        <v>43</v>
      </c>
      <c r="E55" s="12" t="s">
        <v>66</v>
      </c>
      <c r="F55" s="13" t="s">
        <v>67</v>
      </c>
      <c r="G55" s="12" t="s">
        <v>68</v>
      </c>
      <c r="H55" s="12" t="s">
        <v>69</v>
      </c>
      <c r="I55" s="12" t="s">
        <v>70</v>
      </c>
      <c r="J55" s="17" t="s">
        <v>73</v>
      </c>
      <c r="K55" s="17" t="s">
        <v>74</v>
      </c>
      <c r="L55" s="16" t="s">
        <v>1577</v>
      </c>
      <c r="M55" s="20">
        <v>45841.0</v>
      </c>
      <c r="N55" s="17" t="s">
        <v>194</v>
      </c>
      <c r="O55" s="88" t="s">
        <v>1519</v>
      </c>
      <c r="P55" s="88" t="s">
        <v>1519</v>
      </c>
      <c r="Q55" s="88" t="s">
        <v>1521</v>
      </c>
      <c r="R55" s="88" t="s">
        <v>1521</v>
      </c>
      <c r="S55" s="88" t="s">
        <v>1519</v>
      </c>
      <c r="T55" s="88" t="s">
        <v>1520</v>
      </c>
      <c r="U55" s="88" t="s">
        <v>1519</v>
      </c>
      <c r="V55" s="88" t="s">
        <v>1519</v>
      </c>
      <c r="W55" s="88" t="s">
        <v>1520</v>
      </c>
      <c r="X55" s="88" t="s">
        <v>1519</v>
      </c>
      <c r="Y55" s="88" t="s">
        <v>1519</v>
      </c>
      <c r="Z55" s="88" t="s">
        <v>1519</v>
      </c>
      <c r="AA55" s="88" t="s">
        <v>1520</v>
      </c>
      <c r="AB55" s="88" t="s">
        <v>1520</v>
      </c>
      <c r="AC55" s="88" t="s">
        <v>1520</v>
      </c>
      <c r="AD55" s="89"/>
      <c r="AE55" s="18" t="s">
        <v>76</v>
      </c>
      <c r="AF55" s="18"/>
      <c r="AG55" s="18"/>
      <c r="AH55" s="18"/>
      <c r="AI55" s="18"/>
      <c r="AJ55" s="18"/>
      <c r="AK55" s="18"/>
      <c r="AL55" s="18"/>
      <c r="AM55" s="18"/>
    </row>
    <row r="56">
      <c r="A56" s="11"/>
      <c r="B56" s="12" t="s">
        <v>43</v>
      </c>
      <c r="C56" s="12" t="s">
        <v>65</v>
      </c>
      <c r="D56" s="12" t="s">
        <v>43</v>
      </c>
      <c r="E56" s="12" t="s">
        <v>66</v>
      </c>
      <c r="F56" s="13" t="s">
        <v>67</v>
      </c>
      <c r="G56" s="12" t="s">
        <v>68</v>
      </c>
      <c r="H56" s="12" t="s">
        <v>69</v>
      </c>
      <c r="I56" s="12" t="s">
        <v>70</v>
      </c>
      <c r="J56" s="17" t="s">
        <v>73</v>
      </c>
      <c r="K56" s="17" t="s">
        <v>74</v>
      </c>
      <c r="L56" s="16" t="s">
        <v>1578</v>
      </c>
      <c r="M56" s="20">
        <v>45841.0</v>
      </c>
      <c r="N56" s="17" t="s">
        <v>194</v>
      </c>
      <c r="O56" s="88" t="s">
        <v>1519</v>
      </c>
      <c r="P56" s="88" t="s">
        <v>1519</v>
      </c>
      <c r="Q56" s="88" t="s">
        <v>1521</v>
      </c>
      <c r="R56" s="88" t="s">
        <v>1521</v>
      </c>
      <c r="S56" s="88" t="s">
        <v>1519</v>
      </c>
      <c r="T56" s="88" t="s">
        <v>1520</v>
      </c>
      <c r="U56" s="88" t="s">
        <v>1519</v>
      </c>
      <c r="V56" s="88" t="s">
        <v>1519</v>
      </c>
      <c r="W56" s="88" t="s">
        <v>1520</v>
      </c>
      <c r="X56" s="88" t="s">
        <v>1519</v>
      </c>
      <c r="Y56" s="88" t="s">
        <v>1520</v>
      </c>
      <c r="Z56" s="88" t="s">
        <v>1520</v>
      </c>
      <c r="AA56" s="88" t="s">
        <v>1519</v>
      </c>
      <c r="AB56" s="88" t="s">
        <v>1520</v>
      </c>
      <c r="AC56" s="88" t="s">
        <v>1520</v>
      </c>
      <c r="AD56" s="89"/>
      <c r="AE56" s="18" t="s">
        <v>76</v>
      </c>
      <c r="AF56" s="18"/>
      <c r="AG56" s="18"/>
      <c r="AH56" s="18"/>
      <c r="AI56" s="18"/>
      <c r="AJ56" s="18"/>
      <c r="AK56" s="18"/>
      <c r="AL56" s="18"/>
      <c r="AM56" s="18"/>
    </row>
    <row r="57">
      <c r="A57" s="11"/>
      <c r="B57" s="12" t="s">
        <v>43</v>
      </c>
      <c r="C57" s="12" t="s">
        <v>65</v>
      </c>
      <c r="D57" s="12" t="s">
        <v>43</v>
      </c>
      <c r="E57" s="12" t="s">
        <v>66</v>
      </c>
      <c r="F57" s="13" t="s">
        <v>67</v>
      </c>
      <c r="G57" s="12" t="s">
        <v>68</v>
      </c>
      <c r="H57" s="12" t="s">
        <v>69</v>
      </c>
      <c r="I57" s="12" t="s">
        <v>70</v>
      </c>
      <c r="J57" s="17" t="s">
        <v>73</v>
      </c>
      <c r="K57" s="17" t="s">
        <v>74</v>
      </c>
      <c r="L57" s="16" t="s">
        <v>1579</v>
      </c>
      <c r="M57" s="20">
        <v>45841.0</v>
      </c>
      <c r="N57" s="17" t="s">
        <v>194</v>
      </c>
      <c r="O57" s="88" t="s">
        <v>1519</v>
      </c>
      <c r="P57" s="88" t="s">
        <v>1519</v>
      </c>
      <c r="Q57" s="88" t="s">
        <v>1520</v>
      </c>
      <c r="R57" s="88" t="s">
        <v>1521</v>
      </c>
      <c r="S57" s="88" t="s">
        <v>1519</v>
      </c>
      <c r="T57" s="88" t="s">
        <v>1520</v>
      </c>
      <c r="U57" s="88" t="s">
        <v>1519</v>
      </c>
      <c r="V57" s="88" t="s">
        <v>1519</v>
      </c>
      <c r="W57" s="88" t="s">
        <v>1519</v>
      </c>
      <c r="X57" s="88" t="s">
        <v>1519</v>
      </c>
      <c r="Y57" s="88" t="s">
        <v>1519</v>
      </c>
      <c r="Z57" s="88" t="s">
        <v>1519</v>
      </c>
      <c r="AA57" s="88" t="s">
        <v>1519</v>
      </c>
      <c r="AB57" s="88" t="s">
        <v>1520</v>
      </c>
      <c r="AC57" s="88" t="s">
        <v>1520</v>
      </c>
      <c r="AD57" s="89"/>
      <c r="AE57" s="18" t="s">
        <v>76</v>
      </c>
      <c r="AF57" s="18"/>
      <c r="AG57" s="18"/>
      <c r="AH57" s="18"/>
      <c r="AI57" s="18"/>
      <c r="AJ57" s="18"/>
      <c r="AK57" s="18"/>
      <c r="AL57" s="18"/>
      <c r="AM57" s="18"/>
    </row>
    <row r="58">
      <c r="A58" s="11"/>
      <c r="B58" s="12" t="s">
        <v>43</v>
      </c>
      <c r="C58" s="12" t="s">
        <v>65</v>
      </c>
      <c r="D58" s="12" t="s">
        <v>43</v>
      </c>
      <c r="E58" s="12" t="s">
        <v>66</v>
      </c>
      <c r="F58" s="13" t="s">
        <v>67</v>
      </c>
      <c r="G58" s="12" t="s">
        <v>68</v>
      </c>
      <c r="H58" s="12" t="s">
        <v>69</v>
      </c>
      <c r="I58" s="12" t="s">
        <v>70</v>
      </c>
      <c r="J58" s="17" t="s">
        <v>112</v>
      </c>
      <c r="K58" s="17" t="s">
        <v>113</v>
      </c>
      <c r="L58" s="16" t="s">
        <v>1580</v>
      </c>
      <c r="M58" s="20">
        <v>45841.0</v>
      </c>
      <c r="N58" s="17" t="s">
        <v>194</v>
      </c>
      <c r="O58" s="88" t="s">
        <v>1519</v>
      </c>
      <c r="P58" s="88" t="s">
        <v>1519</v>
      </c>
      <c r="Q58" s="88" t="s">
        <v>1521</v>
      </c>
      <c r="R58" s="88" t="s">
        <v>1521</v>
      </c>
      <c r="S58" s="88" t="s">
        <v>1519</v>
      </c>
      <c r="T58" s="88" t="s">
        <v>1521</v>
      </c>
      <c r="U58" s="88" t="s">
        <v>1519</v>
      </c>
      <c r="V58" s="88" t="s">
        <v>1519</v>
      </c>
      <c r="W58" s="88" t="s">
        <v>1521</v>
      </c>
      <c r="X58" s="88" t="s">
        <v>1519</v>
      </c>
      <c r="Y58" s="88" t="s">
        <v>1520</v>
      </c>
      <c r="Z58" s="88" t="s">
        <v>1519</v>
      </c>
      <c r="AA58" s="88" t="s">
        <v>1519</v>
      </c>
      <c r="AB58" s="88" t="s">
        <v>1520</v>
      </c>
      <c r="AC58" s="88" t="s">
        <v>1520</v>
      </c>
      <c r="AD58" s="89"/>
      <c r="AE58" s="18" t="s">
        <v>76</v>
      </c>
      <c r="AF58" s="18"/>
      <c r="AG58" s="18"/>
      <c r="AH58" s="18"/>
      <c r="AI58" s="18"/>
      <c r="AJ58" s="18"/>
      <c r="AK58" s="18"/>
      <c r="AL58" s="18"/>
      <c r="AM58" s="18"/>
    </row>
    <row r="59">
      <c r="A59" s="11"/>
      <c r="B59" s="12" t="s">
        <v>43</v>
      </c>
      <c r="C59" s="12" t="s">
        <v>65</v>
      </c>
      <c r="D59" s="12" t="s">
        <v>43</v>
      </c>
      <c r="E59" s="12" t="s">
        <v>66</v>
      </c>
      <c r="F59" s="13" t="s">
        <v>67</v>
      </c>
      <c r="G59" s="12" t="s">
        <v>68</v>
      </c>
      <c r="H59" s="12" t="s">
        <v>69</v>
      </c>
      <c r="I59" s="12" t="s">
        <v>70</v>
      </c>
      <c r="J59" s="17" t="s">
        <v>112</v>
      </c>
      <c r="K59" s="17" t="s">
        <v>113</v>
      </c>
      <c r="L59" s="16" t="s">
        <v>1581</v>
      </c>
      <c r="M59" s="20">
        <v>45841.0</v>
      </c>
      <c r="N59" s="17" t="s">
        <v>194</v>
      </c>
      <c r="O59" s="88" t="s">
        <v>1519</v>
      </c>
      <c r="P59" s="88" t="s">
        <v>1519</v>
      </c>
      <c r="Q59" s="88" t="s">
        <v>1521</v>
      </c>
      <c r="R59" s="88" t="s">
        <v>1521</v>
      </c>
      <c r="S59" s="88" t="s">
        <v>1519</v>
      </c>
      <c r="T59" s="88" t="s">
        <v>1520</v>
      </c>
      <c r="U59" s="88" t="s">
        <v>1519</v>
      </c>
      <c r="V59" s="88" t="s">
        <v>1520</v>
      </c>
      <c r="W59" s="88" t="s">
        <v>1521</v>
      </c>
      <c r="X59" s="88" t="s">
        <v>1519</v>
      </c>
      <c r="Y59" s="88" t="s">
        <v>1519</v>
      </c>
      <c r="Z59" s="88" t="s">
        <v>1519</v>
      </c>
      <c r="AA59" s="88" t="s">
        <v>1519</v>
      </c>
      <c r="AB59" s="88" t="s">
        <v>1520</v>
      </c>
      <c r="AC59" s="88" t="s">
        <v>1520</v>
      </c>
      <c r="AD59" s="89"/>
      <c r="AE59" s="18" t="s">
        <v>76</v>
      </c>
      <c r="AF59" s="18"/>
      <c r="AG59" s="18"/>
      <c r="AH59" s="18"/>
      <c r="AI59" s="18"/>
      <c r="AJ59" s="18"/>
      <c r="AK59" s="18"/>
      <c r="AL59" s="18"/>
      <c r="AM59" s="18"/>
    </row>
    <row r="60">
      <c r="A60" s="11"/>
      <c r="B60" s="12" t="s">
        <v>43</v>
      </c>
      <c r="C60" s="12" t="s">
        <v>65</v>
      </c>
      <c r="D60" s="12" t="s">
        <v>43</v>
      </c>
      <c r="E60" s="12" t="s">
        <v>66</v>
      </c>
      <c r="F60" s="13" t="s">
        <v>67</v>
      </c>
      <c r="G60" s="12" t="s">
        <v>68</v>
      </c>
      <c r="H60" s="12" t="s">
        <v>69</v>
      </c>
      <c r="I60" s="12" t="s">
        <v>70</v>
      </c>
      <c r="J60" s="17" t="s">
        <v>112</v>
      </c>
      <c r="K60" s="17" t="s">
        <v>113</v>
      </c>
      <c r="L60" s="16" t="s">
        <v>1582</v>
      </c>
      <c r="M60" s="20">
        <v>45841.0</v>
      </c>
      <c r="N60" s="17" t="s">
        <v>194</v>
      </c>
      <c r="O60" s="88" t="s">
        <v>1519</v>
      </c>
      <c r="P60" s="88" t="s">
        <v>1519</v>
      </c>
      <c r="Q60" s="88" t="s">
        <v>1520</v>
      </c>
      <c r="R60" s="88" t="s">
        <v>1521</v>
      </c>
      <c r="S60" s="88" t="s">
        <v>1519</v>
      </c>
      <c r="T60" s="88" t="s">
        <v>1520</v>
      </c>
      <c r="U60" s="88" t="s">
        <v>1519</v>
      </c>
      <c r="V60" s="88" t="s">
        <v>1520</v>
      </c>
      <c r="W60" s="88" t="s">
        <v>1521</v>
      </c>
      <c r="X60" s="88" t="s">
        <v>1519</v>
      </c>
      <c r="Y60" s="88" t="s">
        <v>1519</v>
      </c>
      <c r="Z60" s="88" t="s">
        <v>1520</v>
      </c>
      <c r="AA60" s="88" t="s">
        <v>1519</v>
      </c>
      <c r="AB60" s="88" t="s">
        <v>1520</v>
      </c>
      <c r="AC60" s="88" t="s">
        <v>1520</v>
      </c>
      <c r="AD60" s="89"/>
      <c r="AE60" s="18" t="s">
        <v>76</v>
      </c>
      <c r="AF60" s="18"/>
      <c r="AG60" s="18"/>
      <c r="AH60" s="18"/>
      <c r="AI60" s="18"/>
      <c r="AJ60" s="18"/>
      <c r="AK60" s="18"/>
      <c r="AL60" s="18"/>
      <c r="AM60" s="18"/>
    </row>
    <row r="61">
      <c r="A61" s="11"/>
      <c r="B61" s="12" t="s">
        <v>43</v>
      </c>
      <c r="C61" s="12" t="s">
        <v>65</v>
      </c>
      <c r="D61" s="12" t="s">
        <v>43</v>
      </c>
      <c r="E61" s="12" t="s">
        <v>66</v>
      </c>
      <c r="F61" s="13" t="s">
        <v>67</v>
      </c>
      <c r="G61" s="12" t="s">
        <v>68</v>
      </c>
      <c r="H61" s="12" t="s">
        <v>69</v>
      </c>
      <c r="I61" s="12" t="s">
        <v>70</v>
      </c>
      <c r="J61" s="17" t="s">
        <v>112</v>
      </c>
      <c r="K61" s="17" t="s">
        <v>113</v>
      </c>
      <c r="L61" s="16" t="s">
        <v>1583</v>
      </c>
      <c r="M61" s="20">
        <v>45841.0</v>
      </c>
      <c r="N61" s="17" t="s">
        <v>194</v>
      </c>
      <c r="O61" s="88" t="s">
        <v>1519</v>
      </c>
      <c r="P61" s="88" t="s">
        <v>1519</v>
      </c>
      <c r="Q61" s="88" t="s">
        <v>1520</v>
      </c>
      <c r="R61" s="88" t="s">
        <v>1521</v>
      </c>
      <c r="S61" s="88" t="s">
        <v>1519</v>
      </c>
      <c r="T61" s="88" t="s">
        <v>1521</v>
      </c>
      <c r="U61" s="88" t="s">
        <v>1519</v>
      </c>
      <c r="V61" s="88" t="s">
        <v>1520</v>
      </c>
      <c r="W61" s="88" t="s">
        <v>1520</v>
      </c>
      <c r="X61" s="88" t="s">
        <v>1519</v>
      </c>
      <c r="Y61" s="88" t="s">
        <v>1520</v>
      </c>
      <c r="Z61" s="88" t="s">
        <v>1519</v>
      </c>
      <c r="AA61" s="88" t="s">
        <v>1519</v>
      </c>
      <c r="AB61" s="88" t="s">
        <v>1521</v>
      </c>
      <c r="AC61" s="88" t="s">
        <v>1521</v>
      </c>
      <c r="AD61" s="89"/>
      <c r="AE61" s="18" t="s">
        <v>76</v>
      </c>
      <c r="AF61" s="18"/>
      <c r="AG61" s="18"/>
      <c r="AH61" s="18"/>
      <c r="AI61" s="18"/>
      <c r="AJ61" s="18"/>
      <c r="AK61" s="18"/>
      <c r="AL61" s="18"/>
      <c r="AM61" s="18"/>
    </row>
    <row r="62">
      <c r="A62" s="11"/>
      <c r="B62" s="12" t="s">
        <v>43</v>
      </c>
      <c r="C62" s="12" t="s">
        <v>65</v>
      </c>
      <c r="D62" s="12" t="s">
        <v>43</v>
      </c>
      <c r="E62" s="12" t="s">
        <v>66</v>
      </c>
      <c r="F62" s="13" t="s">
        <v>67</v>
      </c>
      <c r="G62" s="12" t="s">
        <v>68</v>
      </c>
      <c r="H62" s="12" t="s">
        <v>69</v>
      </c>
      <c r="I62" s="12" t="s">
        <v>70</v>
      </c>
      <c r="J62" s="17" t="s">
        <v>112</v>
      </c>
      <c r="K62" s="17" t="s">
        <v>113</v>
      </c>
      <c r="L62" s="16" t="s">
        <v>1584</v>
      </c>
      <c r="M62" s="20">
        <v>45841.0</v>
      </c>
      <c r="N62" s="17" t="s">
        <v>194</v>
      </c>
      <c r="O62" s="88" t="s">
        <v>1519</v>
      </c>
      <c r="P62" s="88" t="s">
        <v>1519</v>
      </c>
      <c r="Q62" s="88" t="s">
        <v>1520</v>
      </c>
      <c r="R62" s="88" t="s">
        <v>1521</v>
      </c>
      <c r="S62" s="88" t="s">
        <v>1519</v>
      </c>
      <c r="T62" s="88" t="s">
        <v>1521</v>
      </c>
      <c r="U62" s="88" t="s">
        <v>1519</v>
      </c>
      <c r="V62" s="88" t="s">
        <v>1520</v>
      </c>
      <c r="W62" s="88" t="s">
        <v>1521</v>
      </c>
      <c r="X62" s="88" t="s">
        <v>1519</v>
      </c>
      <c r="Y62" s="88" t="s">
        <v>1519</v>
      </c>
      <c r="Z62" s="88" t="s">
        <v>1520</v>
      </c>
      <c r="AA62" s="88" t="s">
        <v>1519</v>
      </c>
      <c r="AB62" s="88" t="s">
        <v>1521</v>
      </c>
      <c r="AC62" s="88" t="s">
        <v>1521</v>
      </c>
      <c r="AD62" s="89"/>
      <c r="AE62" s="18" t="s">
        <v>76</v>
      </c>
      <c r="AF62" s="18"/>
      <c r="AG62" s="18"/>
      <c r="AH62" s="18"/>
      <c r="AI62" s="18"/>
      <c r="AJ62" s="18"/>
      <c r="AK62" s="18"/>
      <c r="AL62" s="18"/>
      <c r="AM62" s="18"/>
    </row>
    <row r="63">
      <c r="A63" s="11"/>
      <c r="B63" s="12" t="s">
        <v>43</v>
      </c>
      <c r="C63" s="12" t="s">
        <v>65</v>
      </c>
      <c r="D63" s="12" t="s">
        <v>43</v>
      </c>
      <c r="E63" s="12" t="s">
        <v>66</v>
      </c>
      <c r="F63" s="13" t="s">
        <v>67</v>
      </c>
      <c r="G63" s="12" t="s">
        <v>68</v>
      </c>
      <c r="H63" s="12" t="s">
        <v>69</v>
      </c>
      <c r="I63" s="12" t="s">
        <v>70</v>
      </c>
      <c r="J63" s="17" t="s">
        <v>112</v>
      </c>
      <c r="K63" s="17" t="s">
        <v>113</v>
      </c>
      <c r="L63" s="16" t="s">
        <v>1585</v>
      </c>
      <c r="M63" s="20">
        <v>45841.0</v>
      </c>
      <c r="N63" s="17" t="s">
        <v>194</v>
      </c>
      <c r="O63" s="88" t="s">
        <v>1519</v>
      </c>
      <c r="P63" s="88" t="s">
        <v>1519</v>
      </c>
      <c r="Q63" s="88" t="s">
        <v>1520</v>
      </c>
      <c r="R63" s="88" t="s">
        <v>1521</v>
      </c>
      <c r="S63" s="88" t="s">
        <v>1519</v>
      </c>
      <c r="T63" s="88" t="s">
        <v>1521</v>
      </c>
      <c r="U63" s="88" t="s">
        <v>1519</v>
      </c>
      <c r="V63" s="88" t="s">
        <v>1519</v>
      </c>
      <c r="W63" s="88" t="s">
        <v>1520</v>
      </c>
      <c r="X63" s="88" t="s">
        <v>1519</v>
      </c>
      <c r="Y63" s="88" t="s">
        <v>1520</v>
      </c>
      <c r="Z63" s="88" t="s">
        <v>1519</v>
      </c>
      <c r="AA63" s="88" t="s">
        <v>1519</v>
      </c>
      <c r="AB63" s="88" t="s">
        <v>1521</v>
      </c>
      <c r="AC63" s="88" t="s">
        <v>1521</v>
      </c>
      <c r="AD63" s="89"/>
      <c r="AE63" s="18" t="s">
        <v>76</v>
      </c>
      <c r="AF63" s="18"/>
      <c r="AG63" s="18"/>
      <c r="AH63" s="18"/>
      <c r="AI63" s="18"/>
      <c r="AJ63" s="18"/>
      <c r="AK63" s="18"/>
      <c r="AL63" s="18"/>
      <c r="AM63" s="18"/>
    </row>
    <row r="64">
      <c r="A64" s="11"/>
      <c r="B64" s="12" t="s">
        <v>43</v>
      </c>
      <c r="C64" s="12" t="s">
        <v>65</v>
      </c>
      <c r="D64" s="12" t="s">
        <v>43</v>
      </c>
      <c r="E64" s="12" t="s">
        <v>66</v>
      </c>
      <c r="F64" s="13" t="s">
        <v>67</v>
      </c>
      <c r="G64" s="12" t="s">
        <v>68</v>
      </c>
      <c r="H64" s="12" t="s">
        <v>69</v>
      </c>
      <c r="I64" s="12" t="s">
        <v>70</v>
      </c>
      <c r="J64" s="17" t="s">
        <v>112</v>
      </c>
      <c r="K64" s="17" t="s">
        <v>113</v>
      </c>
      <c r="L64" s="16" t="s">
        <v>1586</v>
      </c>
      <c r="M64" s="20">
        <v>45841.0</v>
      </c>
      <c r="N64" s="17" t="s">
        <v>194</v>
      </c>
      <c r="O64" s="88" t="s">
        <v>1519</v>
      </c>
      <c r="P64" s="88" t="s">
        <v>1519</v>
      </c>
      <c r="Q64" s="88" t="s">
        <v>1521</v>
      </c>
      <c r="R64" s="88" t="s">
        <v>1521</v>
      </c>
      <c r="S64" s="88" t="s">
        <v>1519</v>
      </c>
      <c r="T64" s="88" t="s">
        <v>1521</v>
      </c>
      <c r="U64" s="88" t="s">
        <v>1519</v>
      </c>
      <c r="V64" s="88" t="s">
        <v>1519</v>
      </c>
      <c r="W64" s="88" t="s">
        <v>1520</v>
      </c>
      <c r="X64" s="88" t="s">
        <v>1519</v>
      </c>
      <c r="Y64" s="88" t="s">
        <v>1519</v>
      </c>
      <c r="Z64" s="88" t="s">
        <v>1520</v>
      </c>
      <c r="AA64" s="88" t="s">
        <v>1519</v>
      </c>
      <c r="AB64" s="88" t="s">
        <v>1521</v>
      </c>
      <c r="AC64" s="88" t="s">
        <v>1521</v>
      </c>
      <c r="AD64" s="89"/>
      <c r="AE64" s="18" t="s">
        <v>76</v>
      </c>
      <c r="AF64" s="18"/>
      <c r="AG64" s="18"/>
      <c r="AH64" s="18"/>
      <c r="AI64" s="18"/>
      <c r="AJ64" s="18"/>
      <c r="AK64" s="18"/>
      <c r="AL64" s="18"/>
      <c r="AM64" s="18"/>
    </row>
    <row r="65">
      <c r="A65" s="11"/>
      <c r="B65" s="12" t="s">
        <v>43</v>
      </c>
      <c r="C65" s="12" t="s">
        <v>65</v>
      </c>
      <c r="D65" s="12" t="s">
        <v>43</v>
      </c>
      <c r="E65" s="12" t="s">
        <v>188</v>
      </c>
      <c r="F65" s="13" t="s">
        <v>189</v>
      </c>
      <c r="G65" s="12" t="s">
        <v>68</v>
      </c>
      <c r="H65" s="12" t="s">
        <v>190</v>
      </c>
      <c r="I65" s="12" t="s">
        <v>191</v>
      </c>
      <c r="J65" s="17" t="s">
        <v>73</v>
      </c>
      <c r="K65" s="17" t="s">
        <v>74</v>
      </c>
      <c r="L65" s="16" t="s">
        <v>1587</v>
      </c>
      <c r="M65" s="20">
        <v>45840.0</v>
      </c>
      <c r="N65" s="17" t="s">
        <v>194</v>
      </c>
      <c r="O65" s="88" t="s">
        <v>1519</v>
      </c>
      <c r="P65" s="88" t="s">
        <v>1519</v>
      </c>
      <c r="Q65" s="88" t="s">
        <v>1519</v>
      </c>
      <c r="R65" s="88" t="s">
        <v>1520</v>
      </c>
      <c r="S65" s="88" t="s">
        <v>1519</v>
      </c>
      <c r="T65" s="88" t="s">
        <v>1520</v>
      </c>
      <c r="U65" s="88" t="s">
        <v>1519</v>
      </c>
      <c r="V65" s="88" t="s">
        <v>1520</v>
      </c>
      <c r="W65" s="88" t="s">
        <v>1520</v>
      </c>
      <c r="X65" s="88" t="s">
        <v>1519</v>
      </c>
      <c r="Y65" s="88" t="s">
        <v>1519</v>
      </c>
      <c r="Z65" s="88" t="s">
        <v>1519</v>
      </c>
      <c r="AA65" s="88" t="s">
        <v>1519</v>
      </c>
      <c r="AB65" s="88" t="s">
        <v>1520</v>
      </c>
      <c r="AC65" s="88" t="s">
        <v>1521</v>
      </c>
      <c r="AD65" s="89"/>
      <c r="AE65" s="18" t="s">
        <v>76</v>
      </c>
      <c r="AF65" s="18"/>
      <c r="AG65" s="18"/>
      <c r="AH65" s="18"/>
      <c r="AI65" s="18"/>
      <c r="AJ65" s="18"/>
      <c r="AK65" s="18"/>
      <c r="AL65" s="18"/>
      <c r="AM65" s="18"/>
    </row>
    <row r="66">
      <c r="A66" s="11"/>
      <c r="B66" s="12" t="s">
        <v>43</v>
      </c>
      <c r="C66" s="12" t="s">
        <v>65</v>
      </c>
      <c r="D66" s="12" t="s">
        <v>43</v>
      </c>
      <c r="E66" s="12" t="s">
        <v>188</v>
      </c>
      <c r="F66" s="13" t="s">
        <v>189</v>
      </c>
      <c r="G66" s="12" t="s">
        <v>68</v>
      </c>
      <c r="H66" s="12" t="s">
        <v>190</v>
      </c>
      <c r="I66" s="12" t="s">
        <v>191</v>
      </c>
      <c r="J66" s="17" t="s">
        <v>73</v>
      </c>
      <c r="K66" s="17" t="s">
        <v>74</v>
      </c>
      <c r="L66" s="16" t="s">
        <v>1588</v>
      </c>
      <c r="M66" s="20">
        <v>45840.0</v>
      </c>
      <c r="N66" s="17" t="s">
        <v>194</v>
      </c>
      <c r="O66" s="88" t="s">
        <v>1519</v>
      </c>
      <c r="P66" s="88" t="s">
        <v>1519</v>
      </c>
      <c r="Q66" s="88" t="s">
        <v>1519</v>
      </c>
      <c r="R66" s="88" t="s">
        <v>1519</v>
      </c>
      <c r="S66" s="88" t="s">
        <v>1519</v>
      </c>
      <c r="T66" s="88" t="s">
        <v>1520</v>
      </c>
      <c r="U66" s="88" t="s">
        <v>1519</v>
      </c>
      <c r="V66" s="88" t="s">
        <v>1519</v>
      </c>
      <c r="W66" s="88" t="s">
        <v>1520</v>
      </c>
      <c r="X66" s="88" t="s">
        <v>1519</v>
      </c>
      <c r="Y66" s="88" t="s">
        <v>1519</v>
      </c>
      <c r="Z66" s="88" t="s">
        <v>1519</v>
      </c>
      <c r="AA66" s="88" t="s">
        <v>1519</v>
      </c>
      <c r="AB66" s="88" t="s">
        <v>1520</v>
      </c>
      <c r="AC66" s="88" t="s">
        <v>1520</v>
      </c>
      <c r="AD66" s="89"/>
      <c r="AE66" s="18" t="s">
        <v>76</v>
      </c>
      <c r="AF66" s="18"/>
      <c r="AG66" s="18"/>
      <c r="AH66" s="18"/>
      <c r="AI66" s="18"/>
      <c r="AJ66" s="18"/>
      <c r="AK66" s="18"/>
      <c r="AL66" s="18"/>
      <c r="AM66" s="18"/>
    </row>
    <row r="67">
      <c r="A67" s="11"/>
      <c r="B67" s="12" t="s">
        <v>43</v>
      </c>
      <c r="C67" s="12" t="s">
        <v>65</v>
      </c>
      <c r="D67" s="12" t="s">
        <v>43</v>
      </c>
      <c r="E67" s="12" t="s">
        <v>188</v>
      </c>
      <c r="F67" s="13" t="s">
        <v>189</v>
      </c>
      <c r="G67" s="12" t="s">
        <v>68</v>
      </c>
      <c r="H67" s="12" t="s">
        <v>190</v>
      </c>
      <c r="I67" s="12" t="s">
        <v>191</v>
      </c>
      <c r="J67" s="17" t="s">
        <v>73</v>
      </c>
      <c r="K67" s="17" t="s">
        <v>1589</v>
      </c>
      <c r="L67" s="16" t="s">
        <v>1590</v>
      </c>
      <c r="M67" s="20">
        <v>45840.0</v>
      </c>
      <c r="N67" s="17" t="s">
        <v>194</v>
      </c>
      <c r="O67" s="88" t="s">
        <v>1519</v>
      </c>
      <c r="P67" s="88" t="s">
        <v>1519</v>
      </c>
      <c r="Q67" s="88" t="s">
        <v>1519</v>
      </c>
      <c r="R67" s="88" t="s">
        <v>1519</v>
      </c>
      <c r="S67" s="88" t="s">
        <v>1519</v>
      </c>
      <c r="T67" s="88" t="s">
        <v>1519</v>
      </c>
      <c r="U67" s="88" t="s">
        <v>1519</v>
      </c>
      <c r="V67" s="88" t="s">
        <v>1519</v>
      </c>
      <c r="W67" s="88" t="s">
        <v>1520</v>
      </c>
      <c r="X67" s="88" t="s">
        <v>1519</v>
      </c>
      <c r="Y67" s="88" t="s">
        <v>1519</v>
      </c>
      <c r="Z67" s="88" t="s">
        <v>1519</v>
      </c>
      <c r="AA67" s="88" t="s">
        <v>1519</v>
      </c>
      <c r="AB67" s="88" t="s">
        <v>1520</v>
      </c>
      <c r="AC67" s="88" t="s">
        <v>1520</v>
      </c>
      <c r="AD67" s="89"/>
      <c r="AE67" s="18" t="s">
        <v>76</v>
      </c>
      <c r="AF67" s="18"/>
      <c r="AG67" s="18"/>
      <c r="AH67" s="18"/>
      <c r="AI67" s="18"/>
      <c r="AJ67" s="18"/>
      <c r="AK67" s="18"/>
      <c r="AL67" s="18"/>
      <c r="AM67" s="18"/>
    </row>
    <row r="68">
      <c r="A68" s="11"/>
      <c r="B68" s="12" t="s">
        <v>43</v>
      </c>
      <c r="C68" s="12" t="s">
        <v>65</v>
      </c>
      <c r="D68" s="12" t="s">
        <v>43</v>
      </c>
      <c r="E68" s="12" t="s">
        <v>188</v>
      </c>
      <c r="F68" s="13" t="s">
        <v>189</v>
      </c>
      <c r="G68" s="12" t="s">
        <v>68</v>
      </c>
      <c r="H68" s="12" t="s">
        <v>190</v>
      </c>
      <c r="I68" s="12" t="s">
        <v>191</v>
      </c>
      <c r="J68" s="17" t="s">
        <v>73</v>
      </c>
      <c r="K68" s="17" t="s">
        <v>74</v>
      </c>
      <c r="L68" s="16" t="s">
        <v>1591</v>
      </c>
      <c r="M68" s="20">
        <v>45840.0</v>
      </c>
      <c r="N68" s="17" t="s">
        <v>194</v>
      </c>
      <c r="O68" s="88" t="s">
        <v>1519</v>
      </c>
      <c r="P68" s="88" t="s">
        <v>1519</v>
      </c>
      <c r="Q68" s="88" t="s">
        <v>1519</v>
      </c>
      <c r="R68" s="88" t="s">
        <v>1519</v>
      </c>
      <c r="S68" s="88" t="s">
        <v>1519</v>
      </c>
      <c r="T68" s="88" t="s">
        <v>1519</v>
      </c>
      <c r="U68" s="88" t="s">
        <v>1519</v>
      </c>
      <c r="V68" s="88" t="s">
        <v>1519</v>
      </c>
      <c r="W68" s="88" t="s">
        <v>1520</v>
      </c>
      <c r="X68" s="88" t="s">
        <v>1519</v>
      </c>
      <c r="Y68" s="88" t="s">
        <v>1519</v>
      </c>
      <c r="Z68" s="88" t="s">
        <v>1519</v>
      </c>
      <c r="AA68" s="88" t="s">
        <v>1519</v>
      </c>
      <c r="AB68" s="88" t="s">
        <v>1520</v>
      </c>
      <c r="AC68" s="88" t="s">
        <v>1520</v>
      </c>
      <c r="AD68" s="89"/>
      <c r="AE68" s="18" t="s">
        <v>76</v>
      </c>
      <c r="AF68" s="18"/>
      <c r="AG68" s="18"/>
      <c r="AH68" s="18"/>
      <c r="AI68" s="18"/>
      <c r="AJ68" s="18"/>
      <c r="AK68" s="18"/>
      <c r="AL68" s="18"/>
      <c r="AM68" s="18"/>
    </row>
    <row r="69">
      <c r="A69" s="11"/>
      <c r="B69" s="12" t="s">
        <v>43</v>
      </c>
      <c r="C69" s="12" t="s">
        <v>65</v>
      </c>
      <c r="D69" s="12" t="s">
        <v>43</v>
      </c>
      <c r="E69" s="12" t="s">
        <v>188</v>
      </c>
      <c r="F69" s="13" t="s">
        <v>189</v>
      </c>
      <c r="G69" s="12" t="s">
        <v>68</v>
      </c>
      <c r="H69" s="12" t="s">
        <v>190</v>
      </c>
      <c r="I69" s="12" t="s">
        <v>191</v>
      </c>
      <c r="J69" s="17" t="s">
        <v>73</v>
      </c>
      <c r="K69" s="17" t="s">
        <v>74</v>
      </c>
      <c r="L69" s="16" t="s">
        <v>1592</v>
      </c>
      <c r="M69" s="20">
        <v>45840.0</v>
      </c>
      <c r="N69" s="17" t="s">
        <v>194</v>
      </c>
      <c r="O69" s="88" t="s">
        <v>1519</v>
      </c>
      <c r="P69" s="88" t="s">
        <v>1519</v>
      </c>
      <c r="Q69" s="88" t="s">
        <v>1520</v>
      </c>
      <c r="R69" s="88" t="s">
        <v>1520</v>
      </c>
      <c r="S69" s="88" t="s">
        <v>1519</v>
      </c>
      <c r="T69" s="88" t="s">
        <v>1520</v>
      </c>
      <c r="U69" s="88" t="s">
        <v>1519</v>
      </c>
      <c r="V69" s="88" t="s">
        <v>1520</v>
      </c>
      <c r="W69" s="88" t="s">
        <v>1520</v>
      </c>
      <c r="X69" s="88" t="s">
        <v>1519</v>
      </c>
      <c r="Y69" s="88" t="s">
        <v>1519</v>
      </c>
      <c r="Z69" s="88" t="s">
        <v>1519</v>
      </c>
      <c r="AA69" s="88" t="s">
        <v>1519</v>
      </c>
      <c r="AB69" s="88" t="s">
        <v>1520</v>
      </c>
      <c r="AC69" s="88" t="s">
        <v>1521</v>
      </c>
      <c r="AD69" s="89"/>
      <c r="AE69" s="18" t="s">
        <v>76</v>
      </c>
      <c r="AF69" s="18"/>
      <c r="AG69" s="18"/>
      <c r="AH69" s="18"/>
      <c r="AI69" s="18"/>
      <c r="AJ69" s="18"/>
      <c r="AK69" s="18"/>
      <c r="AL69" s="18"/>
      <c r="AM69" s="18"/>
    </row>
    <row r="70">
      <c r="A70" s="11"/>
      <c r="B70" s="12" t="s">
        <v>34</v>
      </c>
      <c r="C70" s="12" t="s">
        <v>65</v>
      </c>
      <c r="D70" s="12" t="s">
        <v>102</v>
      </c>
      <c r="E70" s="12" t="s">
        <v>103</v>
      </c>
      <c r="F70" s="13" t="s">
        <v>104</v>
      </c>
      <c r="G70" s="12" t="s">
        <v>68</v>
      </c>
      <c r="H70" s="12" t="s">
        <v>105</v>
      </c>
      <c r="I70" s="12" t="s">
        <v>106</v>
      </c>
      <c r="J70" s="17" t="s">
        <v>73</v>
      </c>
      <c r="K70" s="17" t="s">
        <v>74</v>
      </c>
      <c r="L70" s="17" t="s">
        <v>1593</v>
      </c>
      <c r="M70" s="20">
        <v>45842.0</v>
      </c>
      <c r="N70" s="17" t="s">
        <v>194</v>
      </c>
      <c r="O70" s="88" t="s">
        <v>1520</v>
      </c>
      <c r="P70" s="88" t="s">
        <v>1521</v>
      </c>
      <c r="Q70" s="88" t="s">
        <v>1521</v>
      </c>
      <c r="R70" s="88" t="s">
        <v>1521</v>
      </c>
      <c r="S70" s="88" t="s">
        <v>1520</v>
      </c>
      <c r="T70" s="88" t="s">
        <v>1521</v>
      </c>
      <c r="U70" s="88" t="s">
        <v>1521</v>
      </c>
      <c r="V70" s="88" t="s">
        <v>1521</v>
      </c>
      <c r="W70" s="88" t="s">
        <v>1521</v>
      </c>
      <c r="X70" s="88" t="s">
        <v>1521</v>
      </c>
      <c r="Y70" s="88" t="s">
        <v>1521</v>
      </c>
      <c r="Z70" s="88" t="s">
        <v>1521</v>
      </c>
      <c r="AA70" s="88" t="s">
        <v>1521</v>
      </c>
      <c r="AB70" s="88" t="s">
        <v>1521</v>
      </c>
      <c r="AC70" s="88" t="s">
        <v>1521</v>
      </c>
      <c r="AD70" s="89"/>
      <c r="AE70" s="18" t="s">
        <v>92</v>
      </c>
      <c r="AF70" s="18"/>
      <c r="AG70" s="18"/>
      <c r="AH70" s="18"/>
      <c r="AI70" s="18"/>
      <c r="AJ70" s="18"/>
      <c r="AK70" s="18"/>
      <c r="AL70" s="18"/>
      <c r="AM70" s="18"/>
    </row>
    <row r="71">
      <c r="A71" s="11"/>
      <c r="B71" s="12" t="s">
        <v>34</v>
      </c>
      <c r="C71" s="12" t="s">
        <v>65</v>
      </c>
      <c r="D71" s="12" t="s">
        <v>102</v>
      </c>
      <c r="E71" s="12" t="s">
        <v>103</v>
      </c>
      <c r="F71" s="13" t="s">
        <v>104</v>
      </c>
      <c r="G71" s="12" t="s">
        <v>68</v>
      </c>
      <c r="H71" s="12" t="s">
        <v>105</v>
      </c>
      <c r="I71" s="12" t="s">
        <v>106</v>
      </c>
      <c r="J71" s="17" t="s">
        <v>73</v>
      </c>
      <c r="K71" s="17" t="s">
        <v>74</v>
      </c>
      <c r="L71" s="17" t="s">
        <v>1594</v>
      </c>
      <c r="M71" s="20">
        <v>45842.0</v>
      </c>
      <c r="N71" s="17" t="s">
        <v>194</v>
      </c>
      <c r="O71" s="88" t="s">
        <v>1521</v>
      </c>
      <c r="P71" s="88" t="s">
        <v>1521</v>
      </c>
      <c r="Q71" s="88" t="s">
        <v>1521</v>
      </c>
      <c r="R71" s="88" t="s">
        <v>1521</v>
      </c>
      <c r="S71" s="88" t="s">
        <v>1519</v>
      </c>
      <c r="T71" s="88" t="s">
        <v>1521</v>
      </c>
      <c r="U71" s="88" t="s">
        <v>1520</v>
      </c>
      <c r="V71" s="88" t="s">
        <v>1520</v>
      </c>
      <c r="W71" s="88" t="s">
        <v>1520</v>
      </c>
      <c r="X71" s="88" t="s">
        <v>1520</v>
      </c>
      <c r="Y71" s="88" t="s">
        <v>1521</v>
      </c>
      <c r="Z71" s="88" t="s">
        <v>1521</v>
      </c>
      <c r="AA71" s="88" t="s">
        <v>1521</v>
      </c>
      <c r="AB71" s="88" t="s">
        <v>1521</v>
      </c>
      <c r="AC71" s="88" t="s">
        <v>1521</v>
      </c>
      <c r="AD71" s="89"/>
      <c r="AE71" s="18" t="s">
        <v>92</v>
      </c>
      <c r="AF71" s="18"/>
      <c r="AG71" s="18"/>
      <c r="AH71" s="18"/>
      <c r="AI71" s="18"/>
      <c r="AJ71" s="18"/>
      <c r="AK71" s="18"/>
      <c r="AL71" s="18"/>
      <c r="AM71" s="18"/>
    </row>
    <row r="72">
      <c r="A72" s="11"/>
      <c r="B72" s="12" t="s">
        <v>34</v>
      </c>
      <c r="C72" s="12" t="s">
        <v>65</v>
      </c>
      <c r="D72" s="12" t="s">
        <v>102</v>
      </c>
      <c r="E72" s="12" t="s">
        <v>103</v>
      </c>
      <c r="F72" s="13" t="s">
        <v>104</v>
      </c>
      <c r="G72" s="12" t="s">
        <v>68</v>
      </c>
      <c r="H72" s="12" t="s">
        <v>105</v>
      </c>
      <c r="I72" s="12" t="s">
        <v>106</v>
      </c>
      <c r="J72" s="17" t="s">
        <v>73</v>
      </c>
      <c r="K72" s="17" t="s">
        <v>74</v>
      </c>
      <c r="L72" s="17" t="s">
        <v>1595</v>
      </c>
      <c r="M72" s="20">
        <v>45842.0</v>
      </c>
      <c r="N72" s="17" t="s">
        <v>194</v>
      </c>
      <c r="O72" s="88" t="s">
        <v>1521</v>
      </c>
      <c r="P72" s="88" t="s">
        <v>1521</v>
      </c>
      <c r="Q72" s="88" t="s">
        <v>1521</v>
      </c>
      <c r="R72" s="88" t="s">
        <v>1521</v>
      </c>
      <c r="S72" s="88" t="s">
        <v>1519</v>
      </c>
      <c r="T72" s="88" t="s">
        <v>1521</v>
      </c>
      <c r="U72" s="88" t="s">
        <v>1521</v>
      </c>
      <c r="V72" s="88" t="s">
        <v>1520</v>
      </c>
      <c r="W72" s="88" t="s">
        <v>1521</v>
      </c>
      <c r="X72" s="88" t="s">
        <v>1520</v>
      </c>
      <c r="Y72" s="88" t="s">
        <v>1520</v>
      </c>
      <c r="Z72" s="88" t="s">
        <v>1521</v>
      </c>
      <c r="AA72" s="88" t="s">
        <v>1521</v>
      </c>
      <c r="AB72" s="88" t="s">
        <v>1521</v>
      </c>
      <c r="AC72" s="88" t="s">
        <v>1521</v>
      </c>
      <c r="AD72" s="89"/>
      <c r="AE72" s="18" t="s">
        <v>92</v>
      </c>
      <c r="AF72" s="18"/>
      <c r="AG72" s="18"/>
      <c r="AH72" s="18"/>
      <c r="AI72" s="18"/>
      <c r="AJ72" s="18"/>
      <c r="AK72" s="18"/>
      <c r="AL72" s="18"/>
      <c r="AM72" s="18"/>
    </row>
    <row r="73">
      <c r="A73" s="11"/>
      <c r="B73" s="12" t="s">
        <v>34</v>
      </c>
      <c r="C73" s="12" t="s">
        <v>65</v>
      </c>
      <c r="D73" s="12" t="s">
        <v>102</v>
      </c>
      <c r="E73" s="12" t="s">
        <v>103</v>
      </c>
      <c r="F73" s="13" t="s">
        <v>104</v>
      </c>
      <c r="G73" s="12" t="s">
        <v>68</v>
      </c>
      <c r="H73" s="12" t="s">
        <v>105</v>
      </c>
      <c r="I73" s="12" t="s">
        <v>106</v>
      </c>
      <c r="J73" s="17" t="s">
        <v>108</v>
      </c>
      <c r="K73" s="17" t="s">
        <v>109</v>
      </c>
      <c r="L73" s="17" t="s">
        <v>1596</v>
      </c>
      <c r="M73" s="20">
        <v>45842.0</v>
      </c>
      <c r="N73" s="17" t="s">
        <v>194</v>
      </c>
      <c r="O73" s="88" t="s">
        <v>1519</v>
      </c>
      <c r="P73" s="88" t="s">
        <v>1521</v>
      </c>
      <c r="Q73" s="88" t="s">
        <v>1520</v>
      </c>
      <c r="R73" s="88" t="s">
        <v>1521</v>
      </c>
      <c r="S73" s="88" t="s">
        <v>1519</v>
      </c>
      <c r="T73" s="88" t="s">
        <v>1521</v>
      </c>
      <c r="U73" s="88" t="s">
        <v>1520</v>
      </c>
      <c r="V73" s="88" t="s">
        <v>1520</v>
      </c>
      <c r="W73" s="88" t="s">
        <v>1520</v>
      </c>
      <c r="X73" s="88" t="s">
        <v>1520</v>
      </c>
      <c r="Y73" s="88" t="s">
        <v>1520</v>
      </c>
      <c r="Z73" s="88" t="s">
        <v>1520</v>
      </c>
      <c r="AA73" s="88" t="s">
        <v>1520</v>
      </c>
      <c r="AB73" s="88" t="s">
        <v>1521</v>
      </c>
      <c r="AC73" s="88" t="s">
        <v>1521</v>
      </c>
      <c r="AD73" s="89"/>
      <c r="AE73" s="18" t="s">
        <v>92</v>
      </c>
      <c r="AF73" s="18"/>
      <c r="AG73" s="18"/>
      <c r="AH73" s="18"/>
      <c r="AI73" s="18"/>
      <c r="AJ73" s="18"/>
      <c r="AK73" s="18"/>
      <c r="AL73" s="18"/>
      <c r="AM73" s="18"/>
    </row>
    <row r="74">
      <c r="A74" s="11"/>
      <c r="B74" s="12" t="s">
        <v>34</v>
      </c>
      <c r="C74" s="12" t="s">
        <v>65</v>
      </c>
      <c r="D74" s="12" t="s">
        <v>102</v>
      </c>
      <c r="E74" s="12" t="s">
        <v>103</v>
      </c>
      <c r="F74" s="13" t="s">
        <v>104</v>
      </c>
      <c r="G74" s="12" t="s">
        <v>68</v>
      </c>
      <c r="H74" s="12" t="s">
        <v>105</v>
      </c>
      <c r="I74" s="12" t="s">
        <v>106</v>
      </c>
      <c r="J74" s="17" t="s">
        <v>108</v>
      </c>
      <c r="K74" s="17" t="s">
        <v>109</v>
      </c>
      <c r="L74" s="17" t="s">
        <v>1597</v>
      </c>
      <c r="M74" s="20">
        <v>45842.0</v>
      </c>
      <c r="N74" s="17" t="s">
        <v>194</v>
      </c>
      <c r="O74" s="88" t="s">
        <v>1519</v>
      </c>
      <c r="P74" s="88" t="s">
        <v>1519</v>
      </c>
      <c r="Q74" s="88" t="s">
        <v>1520</v>
      </c>
      <c r="R74" s="88" t="s">
        <v>1521</v>
      </c>
      <c r="S74" s="88" t="s">
        <v>1519</v>
      </c>
      <c r="T74" s="88" t="s">
        <v>1521</v>
      </c>
      <c r="U74" s="88" t="s">
        <v>1519</v>
      </c>
      <c r="V74" s="88" t="s">
        <v>1520</v>
      </c>
      <c r="W74" s="88" t="s">
        <v>1521</v>
      </c>
      <c r="X74" s="88" t="s">
        <v>1519</v>
      </c>
      <c r="Y74" s="88" t="s">
        <v>1521</v>
      </c>
      <c r="Z74" s="88" t="s">
        <v>1521</v>
      </c>
      <c r="AA74" s="88" t="s">
        <v>1520</v>
      </c>
      <c r="AB74" s="88" t="s">
        <v>1521</v>
      </c>
      <c r="AC74" s="88" t="s">
        <v>1521</v>
      </c>
      <c r="AD74" s="89"/>
      <c r="AE74" s="18" t="s">
        <v>92</v>
      </c>
      <c r="AF74" s="18"/>
      <c r="AG74" s="18"/>
      <c r="AH74" s="18"/>
      <c r="AI74" s="18"/>
      <c r="AJ74" s="18"/>
      <c r="AK74" s="18"/>
      <c r="AL74" s="18"/>
      <c r="AM74" s="18"/>
    </row>
    <row r="75">
      <c r="A75" s="11"/>
      <c r="B75" s="12" t="s">
        <v>34</v>
      </c>
      <c r="C75" s="12" t="s">
        <v>65</v>
      </c>
      <c r="D75" s="12" t="s">
        <v>102</v>
      </c>
      <c r="E75" s="12" t="s">
        <v>103</v>
      </c>
      <c r="F75" s="13" t="s">
        <v>104</v>
      </c>
      <c r="G75" s="12" t="s">
        <v>68</v>
      </c>
      <c r="H75" s="12" t="s">
        <v>105</v>
      </c>
      <c r="I75" s="12" t="s">
        <v>106</v>
      </c>
      <c r="J75" s="17" t="s">
        <v>108</v>
      </c>
      <c r="K75" s="17" t="s">
        <v>109</v>
      </c>
      <c r="L75" s="17" t="s">
        <v>1598</v>
      </c>
      <c r="M75" s="20">
        <v>45842.0</v>
      </c>
      <c r="N75" s="17" t="s">
        <v>194</v>
      </c>
      <c r="O75" s="88" t="s">
        <v>1519</v>
      </c>
      <c r="P75" s="88" t="s">
        <v>1520</v>
      </c>
      <c r="Q75" s="88" t="s">
        <v>1521</v>
      </c>
      <c r="R75" s="88">
        <v>3.0</v>
      </c>
      <c r="S75" s="88" t="s">
        <v>1519</v>
      </c>
      <c r="T75" s="88" t="s">
        <v>1521</v>
      </c>
      <c r="U75" s="88" t="s">
        <v>1521</v>
      </c>
      <c r="V75" s="88" t="s">
        <v>1520</v>
      </c>
      <c r="W75" s="88" t="s">
        <v>1520</v>
      </c>
      <c r="X75" s="88" t="s">
        <v>1520</v>
      </c>
      <c r="Y75" s="88" t="s">
        <v>1520</v>
      </c>
      <c r="Z75" s="88" t="s">
        <v>1520</v>
      </c>
      <c r="AA75" s="88" t="s">
        <v>1521</v>
      </c>
      <c r="AB75" s="88" t="s">
        <v>1521</v>
      </c>
      <c r="AC75" s="88" t="s">
        <v>1521</v>
      </c>
      <c r="AD75" s="89"/>
      <c r="AE75" s="18" t="s">
        <v>92</v>
      </c>
      <c r="AF75" s="18"/>
      <c r="AG75" s="18"/>
      <c r="AH75" s="18"/>
      <c r="AI75" s="18"/>
      <c r="AJ75" s="18"/>
      <c r="AK75" s="18"/>
      <c r="AL75" s="18"/>
      <c r="AM75" s="18"/>
    </row>
    <row r="76">
      <c r="A76" s="11"/>
      <c r="B76" s="12" t="s">
        <v>34</v>
      </c>
      <c r="C76" s="12" t="s">
        <v>65</v>
      </c>
      <c r="D76" s="12" t="s">
        <v>102</v>
      </c>
      <c r="E76" s="12" t="s">
        <v>103</v>
      </c>
      <c r="F76" s="13" t="s">
        <v>104</v>
      </c>
      <c r="G76" s="12" t="s">
        <v>68</v>
      </c>
      <c r="H76" s="12" t="s">
        <v>105</v>
      </c>
      <c r="I76" s="12" t="s">
        <v>106</v>
      </c>
      <c r="J76" s="17" t="s">
        <v>108</v>
      </c>
      <c r="K76" s="17" t="s">
        <v>109</v>
      </c>
      <c r="L76" s="17" t="s">
        <v>1599</v>
      </c>
      <c r="M76" s="20">
        <v>45842.0</v>
      </c>
      <c r="N76" s="17" t="s">
        <v>194</v>
      </c>
      <c r="O76" s="88" t="s">
        <v>1519</v>
      </c>
      <c r="P76" s="88" t="s">
        <v>1519</v>
      </c>
      <c r="Q76" s="88" t="s">
        <v>1519</v>
      </c>
      <c r="R76" s="88" t="s">
        <v>1520</v>
      </c>
      <c r="S76" s="88" t="s">
        <v>1519</v>
      </c>
      <c r="T76" s="88" t="s">
        <v>1521</v>
      </c>
      <c r="U76" s="88" t="s">
        <v>1521</v>
      </c>
      <c r="V76" s="88" t="s">
        <v>1519</v>
      </c>
      <c r="W76" s="88" t="s">
        <v>1519</v>
      </c>
      <c r="X76" s="88" t="s">
        <v>1519</v>
      </c>
      <c r="Y76" s="88" t="s">
        <v>1519</v>
      </c>
      <c r="Z76" s="88" t="s">
        <v>1521</v>
      </c>
      <c r="AA76" s="88" t="s">
        <v>1521</v>
      </c>
      <c r="AB76" s="88" t="s">
        <v>1519</v>
      </c>
      <c r="AC76" s="88" t="s">
        <v>1521</v>
      </c>
      <c r="AD76" s="89"/>
      <c r="AE76" s="18" t="s">
        <v>92</v>
      </c>
      <c r="AF76" s="18"/>
      <c r="AG76" s="18"/>
      <c r="AH76" s="18"/>
      <c r="AI76" s="18"/>
      <c r="AJ76" s="18"/>
      <c r="AK76" s="18"/>
      <c r="AL76" s="18"/>
      <c r="AM76" s="18"/>
    </row>
    <row r="77">
      <c r="A77" s="11"/>
      <c r="B77" s="12" t="s">
        <v>34</v>
      </c>
      <c r="C77" s="12" t="s">
        <v>65</v>
      </c>
      <c r="D77" s="12" t="s">
        <v>102</v>
      </c>
      <c r="E77" s="12" t="s">
        <v>103</v>
      </c>
      <c r="F77" s="13" t="s">
        <v>104</v>
      </c>
      <c r="G77" s="12" t="s">
        <v>68</v>
      </c>
      <c r="H77" s="12" t="s">
        <v>105</v>
      </c>
      <c r="I77" s="12" t="s">
        <v>106</v>
      </c>
      <c r="J77" s="17" t="s">
        <v>108</v>
      </c>
      <c r="K77" s="17" t="s">
        <v>109</v>
      </c>
      <c r="L77" s="17" t="s">
        <v>1600</v>
      </c>
      <c r="M77" s="20">
        <v>45842.0</v>
      </c>
      <c r="N77" s="17" t="s">
        <v>194</v>
      </c>
      <c r="O77" s="88" t="s">
        <v>1519</v>
      </c>
      <c r="P77" s="88" t="s">
        <v>1519</v>
      </c>
      <c r="Q77" s="88" t="s">
        <v>1519</v>
      </c>
      <c r="R77" s="88" t="s">
        <v>1520</v>
      </c>
      <c r="S77" s="88" t="s">
        <v>1519</v>
      </c>
      <c r="T77" s="88" t="s">
        <v>1521</v>
      </c>
      <c r="U77" s="88" t="s">
        <v>1519</v>
      </c>
      <c r="V77" s="88" t="s">
        <v>1519</v>
      </c>
      <c r="W77" s="88" t="s">
        <v>1519</v>
      </c>
      <c r="X77" s="88" t="s">
        <v>1521</v>
      </c>
      <c r="Y77" s="88" t="s">
        <v>1521</v>
      </c>
      <c r="Z77" s="88" t="s">
        <v>1521</v>
      </c>
      <c r="AA77" s="88" t="s">
        <v>1520</v>
      </c>
      <c r="AB77" s="88" t="s">
        <v>1520</v>
      </c>
      <c r="AC77" s="88" t="s">
        <v>1521</v>
      </c>
      <c r="AD77" s="89"/>
      <c r="AE77" s="18" t="s">
        <v>92</v>
      </c>
      <c r="AF77" s="18"/>
      <c r="AG77" s="18"/>
      <c r="AH77" s="18"/>
      <c r="AI77" s="18"/>
      <c r="AJ77" s="18"/>
      <c r="AK77" s="18"/>
      <c r="AL77" s="18"/>
      <c r="AM77" s="18"/>
    </row>
    <row r="78">
      <c r="A78" s="11"/>
      <c r="B78" s="12" t="s">
        <v>34</v>
      </c>
      <c r="C78" s="12" t="s">
        <v>65</v>
      </c>
      <c r="D78" s="12" t="s">
        <v>102</v>
      </c>
      <c r="E78" s="12" t="s">
        <v>103</v>
      </c>
      <c r="F78" s="13" t="s">
        <v>104</v>
      </c>
      <c r="G78" s="12" t="s">
        <v>68</v>
      </c>
      <c r="H78" s="12" t="s">
        <v>105</v>
      </c>
      <c r="I78" s="12" t="s">
        <v>106</v>
      </c>
      <c r="J78" s="17" t="s">
        <v>73</v>
      </c>
      <c r="K78" s="17" t="s">
        <v>74</v>
      </c>
      <c r="L78" s="17" t="s">
        <v>1593</v>
      </c>
      <c r="M78" s="20">
        <v>45965.0</v>
      </c>
      <c r="N78" s="17" t="s">
        <v>428</v>
      </c>
      <c r="O78" s="88" t="s">
        <v>1519</v>
      </c>
      <c r="P78" s="88" t="s">
        <v>1520</v>
      </c>
      <c r="Q78" s="88" t="s">
        <v>1519</v>
      </c>
      <c r="R78" s="88" t="s">
        <v>1520</v>
      </c>
      <c r="S78" s="88" t="s">
        <v>1519</v>
      </c>
      <c r="T78" s="88" t="s">
        <v>1519</v>
      </c>
      <c r="U78" s="88" t="s">
        <v>1519</v>
      </c>
      <c r="V78" s="88" t="s">
        <v>1519</v>
      </c>
      <c r="W78" s="88" t="s">
        <v>1519</v>
      </c>
      <c r="X78" s="88" t="s">
        <v>1520</v>
      </c>
      <c r="Y78" s="88" t="s">
        <v>1520</v>
      </c>
      <c r="Z78" s="88" t="s">
        <v>1519</v>
      </c>
      <c r="AA78" s="88" t="s">
        <v>1519</v>
      </c>
      <c r="AB78" s="88" t="s">
        <v>1519</v>
      </c>
      <c r="AC78" s="88" t="s">
        <v>1519</v>
      </c>
      <c r="AD78" s="89"/>
      <c r="AE78" s="18" t="s">
        <v>92</v>
      </c>
      <c r="AF78" s="18"/>
      <c r="AG78" s="18"/>
      <c r="AH78" s="18"/>
      <c r="AI78" s="18"/>
      <c r="AJ78" s="18"/>
      <c r="AK78" s="18"/>
      <c r="AL78" s="18"/>
      <c r="AM78" s="18"/>
    </row>
    <row r="79">
      <c r="A79" s="11"/>
      <c r="B79" s="12" t="s">
        <v>34</v>
      </c>
      <c r="C79" s="12" t="s">
        <v>65</v>
      </c>
      <c r="D79" s="12" t="s">
        <v>102</v>
      </c>
      <c r="E79" s="12" t="s">
        <v>103</v>
      </c>
      <c r="F79" s="13" t="s">
        <v>104</v>
      </c>
      <c r="G79" s="12" t="s">
        <v>68</v>
      </c>
      <c r="H79" s="12" t="s">
        <v>105</v>
      </c>
      <c r="I79" s="12" t="s">
        <v>106</v>
      </c>
      <c r="J79" s="17" t="s">
        <v>73</v>
      </c>
      <c r="K79" s="17" t="s">
        <v>74</v>
      </c>
      <c r="L79" s="17" t="s">
        <v>1594</v>
      </c>
      <c r="M79" s="20">
        <v>45965.0</v>
      </c>
      <c r="N79" s="17" t="s">
        <v>428</v>
      </c>
      <c r="O79" s="88" t="s">
        <v>1519</v>
      </c>
      <c r="P79" s="88" t="s">
        <v>1520</v>
      </c>
      <c r="Q79" s="88" t="s">
        <v>1519</v>
      </c>
      <c r="R79" s="88" t="s">
        <v>1520</v>
      </c>
      <c r="S79" s="88" t="s">
        <v>1519</v>
      </c>
      <c r="T79" s="88" t="s">
        <v>1519</v>
      </c>
      <c r="U79" s="88" t="s">
        <v>1520</v>
      </c>
      <c r="V79" s="88" t="s">
        <v>1519</v>
      </c>
      <c r="W79" s="88" t="s">
        <v>1519</v>
      </c>
      <c r="X79" s="88" t="s">
        <v>1520</v>
      </c>
      <c r="Y79" s="88" t="s">
        <v>1520</v>
      </c>
      <c r="Z79" s="88" t="s">
        <v>1519</v>
      </c>
      <c r="AA79" s="88" t="s">
        <v>1519</v>
      </c>
      <c r="AB79" s="88" t="s">
        <v>1519</v>
      </c>
      <c r="AC79" s="88" t="s">
        <v>1519</v>
      </c>
      <c r="AD79" s="89"/>
      <c r="AE79" s="18" t="s">
        <v>92</v>
      </c>
      <c r="AF79" s="18"/>
      <c r="AG79" s="18"/>
      <c r="AH79" s="18"/>
      <c r="AI79" s="18"/>
      <c r="AJ79" s="18"/>
      <c r="AK79" s="18"/>
      <c r="AL79" s="18"/>
      <c r="AM79" s="18"/>
    </row>
    <row r="80">
      <c r="A80" s="11"/>
      <c r="B80" s="12" t="s">
        <v>34</v>
      </c>
      <c r="C80" s="12" t="s">
        <v>65</v>
      </c>
      <c r="D80" s="12" t="s">
        <v>102</v>
      </c>
      <c r="E80" s="12" t="s">
        <v>103</v>
      </c>
      <c r="F80" s="13" t="s">
        <v>104</v>
      </c>
      <c r="G80" s="12" t="s">
        <v>68</v>
      </c>
      <c r="H80" s="12" t="s">
        <v>105</v>
      </c>
      <c r="I80" s="12" t="s">
        <v>106</v>
      </c>
      <c r="J80" s="17" t="s">
        <v>73</v>
      </c>
      <c r="K80" s="17" t="s">
        <v>74</v>
      </c>
      <c r="L80" s="17" t="s">
        <v>1595</v>
      </c>
      <c r="M80" s="20">
        <v>45965.0</v>
      </c>
      <c r="N80" s="17" t="s">
        <v>428</v>
      </c>
      <c r="O80" s="88" t="s">
        <v>1520</v>
      </c>
      <c r="P80" s="88" t="s">
        <v>1520</v>
      </c>
      <c r="Q80" s="88" t="s">
        <v>1519</v>
      </c>
      <c r="R80" s="88" t="s">
        <v>1520</v>
      </c>
      <c r="S80" s="88" t="s">
        <v>1519</v>
      </c>
      <c r="T80" s="88" t="s">
        <v>1521</v>
      </c>
      <c r="U80" s="88" t="s">
        <v>1519</v>
      </c>
      <c r="V80" s="88" t="s">
        <v>1519</v>
      </c>
      <c r="W80" s="88" t="s">
        <v>1519</v>
      </c>
      <c r="X80" s="88" t="s">
        <v>1519</v>
      </c>
      <c r="Y80" s="88" t="s">
        <v>1519</v>
      </c>
      <c r="Z80" s="88" t="s">
        <v>1519</v>
      </c>
      <c r="AA80" s="88" t="s">
        <v>1519</v>
      </c>
      <c r="AB80" s="88" t="s">
        <v>1519</v>
      </c>
      <c r="AC80" s="88" t="s">
        <v>1519</v>
      </c>
      <c r="AD80" s="89"/>
      <c r="AE80" s="18" t="s">
        <v>92</v>
      </c>
      <c r="AF80" s="18"/>
      <c r="AG80" s="18"/>
      <c r="AH80" s="18"/>
      <c r="AI80" s="18"/>
      <c r="AJ80" s="18"/>
      <c r="AK80" s="18"/>
      <c r="AL80" s="18"/>
      <c r="AM80" s="18"/>
    </row>
    <row r="81">
      <c r="A81" s="11"/>
      <c r="B81" s="12" t="s">
        <v>34</v>
      </c>
      <c r="C81" s="12" t="s">
        <v>65</v>
      </c>
      <c r="D81" s="12" t="s">
        <v>102</v>
      </c>
      <c r="E81" s="12" t="s">
        <v>103</v>
      </c>
      <c r="F81" s="13" t="s">
        <v>104</v>
      </c>
      <c r="G81" s="12" t="s">
        <v>68</v>
      </c>
      <c r="H81" s="12" t="s">
        <v>105</v>
      </c>
      <c r="I81" s="12" t="s">
        <v>106</v>
      </c>
      <c r="J81" s="17" t="s">
        <v>73</v>
      </c>
      <c r="K81" s="17" t="s">
        <v>74</v>
      </c>
      <c r="L81" s="17" t="s">
        <v>1601</v>
      </c>
      <c r="M81" s="20">
        <v>45965.0</v>
      </c>
      <c r="N81" s="17" t="s">
        <v>428</v>
      </c>
      <c r="O81" s="88" t="s">
        <v>1521</v>
      </c>
      <c r="P81" s="88" t="s">
        <v>1519</v>
      </c>
      <c r="Q81" s="88" t="s">
        <v>1519</v>
      </c>
      <c r="R81" s="88" t="s">
        <v>1520</v>
      </c>
      <c r="S81" s="88" t="s">
        <v>1519</v>
      </c>
      <c r="T81" s="88" t="s">
        <v>1521</v>
      </c>
      <c r="U81" s="88" t="s">
        <v>1521</v>
      </c>
      <c r="V81" s="88" t="s">
        <v>1520</v>
      </c>
      <c r="W81" s="88" t="s">
        <v>1520</v>
      </c>
      <c r="X81" s="88" t="s">
        <v>1519</v>
      </c>
      <c r="Y81" s="88" t="s">
        <v>1519</v>
      </c>
      <c r="Z81" s="88" t="s">
        <v>1519</v>
      </c>
      <c r="AA81" s="88" t="s">
        <v>1520</v>
      </c>
      <c r="AB81" s="88" t="s">
        <v>1520</v>
      </c>
      <c r="AC81" s="88" t="s">
        <v>1519</v>
      </c>
      <c r="AD81" s="89"/>
      <c r="AE81" s="18"/>
      <c r="AF81" s="18"/>
      <c r="AG81" s="18"/>
      <c r="AH81" s="18"/>
      <c r="AI81" s="18"/>
      <c r="AJ81" s="18"/>
      <c r="AK81" s="18"/>
      <c r="AL81" s="18"/>
      <c r="AM81" s="18"/>
    </row>
    <row r="82">
      <c r="A82" s="11"/>
      <c r="B82" s="12" t="s">
        <v>34</v>
      </c>
      <c r="C82" s="12" t="s">
        <v>65</v>
      </c>
      <c r="D82" s="12" t="s">
        <v>102</v>
      </c>
      <c r="E82" s="12" t="s">
        <v>103</v>
      </c>
      <c r="F82" s="13" t="s">
        <v>104</v>
      </c>
      <c r="G82" s="12" t="s">
        <v>68</v>
      </c>
      <c r="H82" s="12" t="s">
        <v>105</v>
      </c>
      <c r="I82" s="12" t="s">
        <v>106</v>
      </c>
      <c r="J82" s="17" t="s">
        <v>112</v>
      </c>
      <c r="K82" s="17" t="s">
        <v>109</v>
      </c>
      <c r="L82" s="17" t="s">
        <v>1596</v>
      </c>
      <c r="M82" s="20">
        <v>45965.0</v>
      </c>
      <c r="N82" s="17" t="s">
        <v>428</v>
      </c>
      <c r="O82" s="88" t="s">
        <v>1519</v>
      </c>
      <c r="P82" s="88" t="s">
        <v>1519</v>
      </c>
      <c r="Q82" s="88" t="s">
        <v>1519</v>
      </c>
      <c r="R82" s="88" t="s">
        <v>1521</v>
      </c>
      <c r="S82" s="88" t="s">
        <v>1519</v>
      </c>
      <c r="T82" s="88" t="s">
        <v>1519</v>
      </c>
      <c r="U82" s="88" t="s">
        <v>1519</v>
      </c>
      <c r="V82" s="88" t="s">
        <v>1519</v>
      </c>
      <c r="W82" s="88" t="s">
        <v>1520</v>
      </c>
      <c r="X82" s="88" t="s">
        <v>1520</v>
      </c>
      <c r="Y82" s="88" t="s">
        <v>1520</v>
      </c>
      <c r="Z82" s="88" t="s">
        <v>1520</v>
      </c>
      <c r="AA82" s="88" t="s">
        <v>1520</v>
      </c>
      <c r="AB82" s="88" t="s">
        <v>1519</v>
      </c>
      <c r="AC82" s="88" t="s">
        <v>1519</v>
      </c>
      <c r="AD82" s="89"/>
      <c r="AE82" s="18" t="s">
        <v>92</v>
      </c>
      <c r="AF82" s="18"/>
      <c r="AG82" s="18"/>
      <c r="AH82" s="18"/>
      <c r="AI82" s="18"/>
      <c r="AJ82" s="18"/>
      <c r="AK82" s="18"/>
      <c r="AL82" s="18"/>
      <c r="AM82" s="18"/>
    </row>
    <row r="83">
      <c r="A83" s="11"/>
      <c r="B83" s="12" t="s">
        <v>34</v>
      </c>
      <c r="C83" s="12" t="s">
        <v>65</v>
      </c>
      <c r="D83" s="12" t="s">
        <v>102</v>
      </c>
      <c r="E83" s="12" t="s">
        <v>103</v>
      </c>
      <c r="F83" s="13" t="s">
        <v>104</v>
      </c>
      <c r="G83" s="12" t="s">
        <v>68</v>
      </c>
      <c r="H83" s="12" t="s">
        <v>105</v>
      </c>
      <c r="I83" s="12" t="s">
        <v>106</v>
      </c>
      <c r="J83" s="17" t="s">
        <v>108</v>
      </c>
      <c r="K83" s="17" t="s">
        <v>109</v>
      </c>
      <c r="L83" s="17" t="s">
        <v>1602</v>
      </c>
      <c r="M83" s="20">
        <v>45965.0</v>
      </c>
      <c r="N83" s="17" t="s">
        <v>428</v>
      </c>
      <c r="O83" s="88" t="s">
        <v>1519</v>
      </c>
      <c r="P83" s="88" t="s">
        <v>1519</v>
      </c>
      <c r="Q83" s="88" t="s">
        <v>1519</v>
      </c>
      <c r="R83" s="88" t="s">
        <v>1520</v>
      </c>
      <c r="S83" s="88" t="s">
        <v>1519</v>
      </c>
      <c r="T83" s="88" t="s">
        <v>1519</v>
      </c>
      <c r="U83" s="88" t="s">
        <v>1519</v>
      </c>
      <c r="V83" s="88" t="s">
        <v>1520</v>
      </c>
      <c r="W83" s="88" t="s">
        <v>1520</v>
      </c>
      <c r="X83" s="88" t="s">
        <v>1519</v>
      </c>
      <c r="Y83" s="88" t="s">
        <v>1519</v>
      </c>
      <c r="Z83" s="88" t="s">
        <v>1519</v>
      </c>
      <c r="AA83" s="88" t="s">
        <v>1519</v>
      </c>
      <c r="AB83" s="88" t="s">
        <v>1519</v>
      </c>
      <c r="AC83" s="88" t="s">
        <v>1519</v>
      </c>
      <c r="AD83" s="89"/>
      <c r="AE83" s="18" t="s">
        <v>92</v>
      </c>
      <c r="AF83" s="18"/>
      <c r="AG83" s="18"/>
      <c r="AH83" s="18"/>
      <c r="AI83" s="18"/>
      <c r="AJ83" s="18"/>
      <c r="AK83" s="18"/>
      <c r="AL83" s="18"/>
      <c r="AM83" s="18"/>
    </row>
    <row r="84">
      <c r="A84" s="11"/>
      <c r="B84" s="12" t="s">
        <v>34</v>
      </c>
      <c r="C84" s="12" t="s">
        <v>65</v>
      </c>
      <c r="D84" s="12" t="s">
        <v>102</v>
      </c>
      <c r="E84" s="12" t="s">
        <v>103</v>
      </c>
      <c r="F84" s="13" t="s">
        <v>104</v>
      </c>
      <c r="G84" s="12" t="s">
        <v>68</v>
      </c>
      <c r="H84" s="12" t="s">
        <v>105</v>
      </c>
      <c r="I84" s="12" t="s">
        <v>106</v>
      </c>
      <c r="J84" s="17" t="s">
        <v>112</v>
      </c>
      <c r="K84" s="17" t="s">
        <v>109</v>
      </c>
      <c r="L84" s="17" t="s">
        <v>1598</v>
      </c>
      <c r="M84" s="20">
        <v>45965.0</v>
      </c>
      <c r="N84" s="17" t="s">
        <v>428</v>
      </c>
      <c r="O84" s="88" t="s">
        <v>1519</v>
      </c>
      <c r="P84" s="88" t="s">
        <v>1519</v>
      </c>
      <c r="Q84" s="88" t="s">
        <v>1519</v>
      </c>
      <c r="R84" s="88" t="s">
        <v>1519</v>
      </c>
      <c r="S84" s="88" t="s">
        <v>1519</v>
      </c>
      <c r="T84" s="88" t="s">
        <v>1519</v>
      </c>
      <c r="U84" s="88" t="s">
        <v>1519</v>
      </c>
      <c r="V84" s="88" t="s">
        <v>1519</v>
      </c>
      <c r="W84" s="88" t="s">
        <v>1520</v>
      </c>
      <c r="X84" s="88" t="s">
        <v>1519</v>
      </c>
      <c r="Y84" s="88" t="s">
        <v>1519</v>
      </c>
      <c r="Z84" s="88" t="s">
        <v>1520</v>
      </c>
      <c r="AA84" s="88" t="s">
        <v>1519</v>
      </c>
      <c r="AB84" s="88" t="s">
        <v>1519</v>
      </c>
      <c r="AC84" s="88" t="s">
        <v>1519</v>
      </c>
      <c r="AD84" s="89"/>
      <c r="AE84" s="18" t="s">
        <v>92</v>
      </c>
      <c r="AF84" s="18"/>
      <c r="AG84" s="18"/>
      <c r="AH84" s="18"/>
      <c r="AI84" s="18"/>
      <c r="AJ84" s="18"/>
      <c r="AK84" s="18"/>
      <c r="AL84" s="18"/>
      <c r="AM84" s="18"/>
    </row>
    <row r="85">
      <c r="A85" s="11"/>
      <c r="B85" s="12" t="s">
        <v>34</v>
      </c>
      <c r="C85" s="12" t="s">
        <v>65</v>
      </c>
      <c r="D85" s="12" t="s">
        <v>102</v>
      </c>
      <c r="E85" s="12" t="s">
        <v>103</v>
      </c>
      <c r="F85" s="13" t="s">
        <v>104</v>
      </c>
      <c r="G85" s="12" t="s">
        <v>68</v>
      </c>
      <c r="H85" s="12" t="s">
        <v>105</v>
      </c>
      <c r="I85" s="12" t="s">
        <v>106</v>
      </c>
      <c r="J85" s="17" t="s">
        <v>112</v>
      </c>
      <c r="K85" s="17" t="s">
        <v>109</v>
      </c>
      <c r="L85" s="17" t="s">
        <v>1599</v>
      </c>
      <c r="M85" s="20">
        <v>45965.0</v>
      </c>
      <c r="N85" s="17" t="s">
        <v>428</v>
      </c>
      <c r="O85" s="88" t="s">
        <v>1519</v>
      </c>
      <c r="P85" s="88" t="s">
        <v>1519</v>
      </c>
      <c r="Q85" s="88" t="s">
        <v>1519</v>
      </c>
      <c r="R85" s="88" t="s">
        <v>1519</v>
      </c>
      <c r="S85" s="88" t="s">
        <v>1519</v>
      </c>
      <c r="T85" s="88" t="s">
        <v>1519</v>
      </c>
      <c r="U85" s="88" t="s">
        <v>1519</v>
      </c>
      <c r="V85" s="88" t="s">
        <v>1519</v>
      </c>
      <c r="W85" s="88" t="s">
        <v>1519</v>
      </c>
      <c r="X85" s="88" t="s">
        <v>1519</v>
      </c>
      <c r="Y85" s="88" t="s">
        <v>1519</v>
      </c>
      <c r="Z85" s="88" t="s">
        <v>1519</v>
      </c>
      <c r="AA85" s="88" t="s">
        <v>1519</v>
      </c>
      <c r="AB85" s="88" t="s">
        <v>1519</v>
      </c>
      <c r="AC85" s="88" t="s">
        <v>1519</v>
      </c>
      <c r="AD85" s="89"/>
      <c r="AE85" s="18" t="s">
        <v>92</v>
      </c>
      <c r="AF85" s="18"/>
      <c r="AG85" s="18"/>
      <c r="AH85" s="18"/>
      <c r="AI85" s="18"/>
      <c r="AJ85" s="18"/>
      <c r="AK85" s="18"/>
      <c r="AL85" s="18"/>
      <c r="AM85" s="18"/>
    </row>
    <row r="86">
      <c r="A86" s="11"/>
      <c r="B86" s="12" t="s">
        <v>34</v>
      </c>
      <c r="C86" s="12" t="s">
        <v>65</v>
      </c>
      <c r="D86" s="12" t="s">
        <v>102</v>
      </c>
      <c r="E86" s="12" t="s">
        <v>103</v>
      </c>
      <c r="F86" s="13" t="s">
        <v>104</v>
      </c>
      <c r="G86" s="12" t="s">
        <v>68</v>
      </c>
      <c r="H86" s="12" t="s">
        <v>105</v>
      </c>
      <c r="I86" s="12" t="s">
        <v>106</v>
      </c>
      <c r="J86" s="17" t="s">
        <v>112</v>
      </c>
      <c r="K86" s="17" t="s">
        <v>109</v>
      </c>
      <c r="L86" s="17" t="s">
        <v>1600</v>
      </c>
      <c r="M86" s="20">
        <v>45965.0</v>
      </c>
      <c r="N86" s="17" t="s">
        <v>428</v>
      </c>
      <c r="O86" s="88" t="s">
        <v>1519</v>
      </c>
      <c r="P86" s="88" t="s">
        <v>1519</v>
      </c>
      <c r="Q86" s="88" t="s">
        <v>1519</v>
      </c>
      <c r="R86" s="88" t="s">
        <v>1520</v>
      </c>
      <c r="S86" s="88" t="s">
        <v>1519</v>
      </c>
      <c r="T86" s="88" t="s">
        <v>1519</v>
      </c>
      <c r="U86" s="88" t="s">
        <v>1519</v>
      </c>
      <c r="V86" s="88" t="s">
        <v>1519</v>
      </c>
      <c r="W86" s="88" t="s">
        <v>1519</v>
      </c>
      <c r="X86" s="88" t="s">
        <v>1519</v>
      </c>
      <c r="Y86" s="88" t="s">
        <v>1519</v>
      </c>
      <c r="Z86" s="88" t="s">
        <v>1519</v>
      </c>
      <c r="AA86" s="88" t="s">
        <v>1519</v>
      </c>
      <c r="AB86" s="88" t="s">
        <v>1519</v>
      </c>
      <c r="AC86" s="88" t="s">
        <v>1519</v>
      </c>
      <c r="AD86" s="89"/>
      <c r="AE86" s="18" t="s">
        <v>92</v>
      </c>
      <c r="AF86" s="18"/>
      <c r="AG86" s="18"/>
      <c r="AH86" s="18"/>
      <c r="AI86" s="18"/>
      <c r="AJ86" s="18"/>
      <c r="AK86" s="18"/>
      <c r="AL86" s="18"/>
      <c r="AM86" s="18"/>
    </row>
    <row r="87">
      <c r="A87" s="11"/>
      <c r="B87" s="12" t="s">
        <v>34</v>
      </c>
      <c r="C87" s="12" t="s">
        <v>65</v>
      </c>
      <c r="D87" s="12" t="s">
        <v>102</v>
      </c>
      <c r="E87" s="12" t="s">
        <v>103</v>
      </c>
      <c r="F87" s="13" t="s">
        <v>104</v>
      </c>
      <c r="G87" s="12" t="s">
        <v>68</v>
      </c>
      <c r="H87" s="12" t="s">
        <v>105</v>
      </c>
      <c r="I87" s="12" t="s">
        <v>106</v>
      </c>
      <c r="J87" s="17" t="s">
        <v>108</v>
      </c>
      <c r="K87" s="17" t="s">
        <v>109</v>
      </c>
      <c r="L87" s="17" t="s">
        <v>1603</v>
      </c>
      <c r="M87" s="20">
        <v>45965.0</v>
      </c>
      <c r="N87" s="17" t="s">
        <v>428</v>
      </c>
      <c r="O87" s="88" t="s">
        <v>1519</v>
      </c>
      <c r="P87" s="88" t="s">
        <v>1519</v>
      </c>
      <c r="Q87" s="88" t="s">
        <v>1519</v>
      </c>
      <c r="R87" s="88" t="s">
        <v>1519</v>
      </c>
      <c r="S87" s="88" t="s">
        <v>1519</v>
      </c>
      <c r="T87" s="88" t="s">
        <v>1519</v>
      </c>
      <c r="U87" s="88" t="s">
        <v>1519</v>
      </c>
      <c r="V87" s="88" t="s">
        <v>1519</v>
      </c>
      <c r="W87" s="88" t="s">
        <v>1519</v>
      </c>
      <c r="X87" s="88" t="s">
        <v>1519</v>
      </c>
      <c r="Y87" s="88" t="s">
        <v>1519</v>
      </c>
      <c r="Z87" s="88" t="s">
        <v>1519</v>
      </c>
      <c r="AA87" s="88" t="s">
        <v>1519</v>
      </c>
      <c r="AB87" s="88" t="s">
        <v>1519</v>
      </c>
      <c r="AC87" s="88" t="s">
        <v>1519</v>
      </c>
      <c r="AD87" s="89"/>
      <c r="AE87" s="18"/>
      <c r="AF87" s="18"/>
      <c r="AG87" s="18"/>
      <c r="AH87" s="18"/>
      <c r="AI87" s="18"/>
      <c r="AJ87" s="18"/>
      <c r="AK87" s="18"/>
      <c r="AL87" s="18"/>
      <c r="AM87" s="18"/>
    </row>
    <row r="88">
      <c r="A88" s="11"/>
      <c r="B88" s="12" t="s">
        <v>34</v>
      </c>
      <c r="C88" s="12" t="s">
        <v>65</v>
      </c>
      <c r="D88" s="12" t="s">
        <v>102</v>
      </c>
      <c r="E88" s="12" t="s">
        <v>103</v>
      </c>
      <c r="F88" s="13" t="s">
        <v>104</v>
      </c>
      <c r="G88" s="12" t="s">
        <v>68</v>
      </c>
      <c r="H88" s="12" t="s">
        <v>105</v>
      </c>
      <c r="I88" s="12" t="s">
        <v>106</v>
      </c>
      <c r="J88" s="17" t="s">
        <v>108</v>
      </c>
      <c r="K88" s="17" t="s">
        <v>109</v>
      </c>
      <c r="L88" s="17" t="s">
        <v>1604</v>
      </c>
      <c r="M88" s="20">
        <v>45965.0</v>
      </c>
      <c r="N88" s="17" t="s">
        <v>428</v>
      </c>
      <c r="O88" s="88" t="s">
        <v>1519</v>
      </c>
      <c r="P88" s="88" t="s">
        <v>1519</v>
      </c>
      <c r="Q88" s="88" t="s">
        <v>1519</v>
      </c>
      <c r="R88" s="88" t="s">
        <v>1520</v>
      </c>
      <c r="S88" s="88" t="s">
        <v>1519</v>
      </c>
      <c r="T88" s="88" t="s">
        <v>1519</v>
      </c>
      <c r="U88" s="88" t="s">
        <v>1519</v>
      </c>
      <c r="V88" s="88" t="s">
        <v>1519</v>
      </c>
      <c r="W88" s="88" t="s">
        <v>1519</v>
      </c>
      <c r="X88" s="88" t="s">
        <v>1519</v>
      </c>
      <c r="Y88" s="88" t="s">
        <v>1519</v>
      </c>
      <c r="Z88" s="88" t="s">
        <v>1519</v>
      </c>
      <c r="AA88" s="88" t="s">
        <v>1519</v>
      </c>
      <c r="AB88" s="88" t="s">
        <v>1519</v>
      </c>
      <c r="AC88" s="88" t="s">
        <v>1519</v>
      </c>
      <c r="AD88" s="89"/>
      <c r="AE88" s="18"/>
      <c r="AF88" s="18"/>
      <c r="AG88" s="18"/>
      <c r="AH88" s="18"/>
      <c r="AI88" s="18"/>
      <c r="AJ88" s="18"/>
      <c r="AK88" s="18"/>
      <c r="AL88" s="18"/>
      <c r="AM88" s="18"/>
    </row>
    <row r="89">
      <c r="A89" s="11"/>
      <c r="B89" s="12" t="s">
        <v>34</v>
      </c>
      <c r="C89" s="12" t="s">
        <v>65</v>
      </c>
      <c r="D89" s="12" t="s">
        <v>102</v>
      </c>
      <c r="E89" s="12" t="s">
        <v>103</v>
      </c>
      <c r="F89" s="13" t="s">
        <v>104</v>
      </c>
      <c r="G89" s="12" t="s">
        <v>68</v>
      </c>
      <c r="H89" s="12" t="s">
        <v>105</v>
      </c>
      <c r="I89" s="12" t="s">
        <v>106</v>
      </c>
      <c r="J89" s="17" t="s">
        <v>112</v>
      </c>
      <c r="K89" s="17" t="s">
        <v>109</v>
      </c>
      <c r="L89" s="17" t="s">
        <v>1605</v>
      </c>
      <c r="M89" s="20">
        <v>45965.0</v>
      </c>
      <c r="N89" s="17" t="s">
        <v>428</v>
      </c>
      <c r="O89" s="88" t="s">
        <v>1519</v>
      </c>
      <c r="P89" s="88" t="s">
        <v>1520</v>
      </c>
      <c r="Q89" s="88" t="s">
        <v>1519</v>
      </c>
      <c r="R89" s="88" t="s">
        <v>1520</v>
      </c>
      <c r="S89" s="88" t="s">
        <v>1519</v>
      </c>
      <c r="T89" s="88" t="s">
        <v>1519</v>
      </c>
      <c r="U89" s="88" t="s">
        <v>1519</v>
      </c>
      <c r="V89" s="88" t="s">
        <v>1520</v>
      </c>
      <c r="W89" s="88" t="s">
        <v>1520</v>
      </c>
      <c r="X89" s="88" t="s">
        <v>1519</v>
      </c>
      <c r="Y89" s="88" t="s">
        <v>1520</v>
      </c>
      <c r="Z89" s="88" t="s">
        <v>1520</v>
      </c>
      <c r="AA89" s="88" t="s">
        <v>1519</v>
      </c>
      <c r="AB89" s="88" t="s">
        <v>1519</v>
      </c>
      <c r="AC89" s="88" t="s">
        <v>1519</v>
      </c>
      <c r="AD89" s="89"/>
      <c r="AE89" s="18"/>
      <c r="AF89" s="18"/>
      <c r="AG89" s="18"/>
      <c r="AH89" s="18"/>
      <c r="AI89" s="18"/>
      <c r="AJ89" s="18"/>
      <c r="AK89" s="18"/>
      <c r="AL89" s="18"/>
      <c r="AM89" s="18"/>
    </row>
    <row r="90">
      <c r="A90" s="11"/>
      <c r="B90" s="12" t="s">
        <v>34</v>
      </c>
      <c r="C90" s="12" t="s">
        <v>65</v>
      </c>
      <c r="D90" s="12" t="s">
        <v>102</v>
      </c>
      <c r="E90" s="12" t="s">
        <v>103</v>
      </c>
      <c r="F90" s="13" t="s">
        <v>104</v>
      </c>
      <c r="G90" s="12" t="s">
        <v>68</v>
      </c>
      <c r="H90" s="12" t="s">
        <v>105</v>
      </c>
      <c r="I90" s="12" t="s">
        <v>106</v>
      </c>
      <c r="J90" s="17" t="s">
        <v>112</v>
      </c>
      <c r="K90" s="17" t="s">
        <v>109</v>
      </c>
      <c r="L90" s="17" t="s">
        <v>1606</v>
      </c>
      <c r="M90" s="20">
        <v>45965.0</v>
      </c>
      <c r="N90" s="17" t="s">
        <v>428</v>
      </c>
      <c r="O90" s="88" t="s">
        <v>1519</v>
      </c>
      <c r="P90" s="88" t="s">
        <v>1519</v>
      </c>
      <c r="Q90" s="88" t="s">
        <v>1519</v>
      </c>
      <c r="R90" s="88" t="s">
        <v>1519</v>
      </c>
      <c r="S90" s="88" t="s">
        <v>1519</v>
      </c>
      <c r="T90" s="88" t="s">
        <v>1519</v>
      </c>
      <c r="U90" s="88" t="s">
        <v>1519</v>
      </c>
      <c r="V90" s="88" t="s">
        <v>1519</v>
      </c>
      <c r="W90" s="88" t="s">
        <v>1519</v>
      </c>
      <c r="X90" s="88" t="s">
        <v>1519</v>
      </c>
      <c r="Y90" s="88" t="s">
        <v>1520</v>
      </c>
      <c r="Z90" s="88" t="s">
        <v>1520</v>
      </c>
      <c r="AA90" s="88" t="s">
        <v>1519</v>
      </c>
      <c r="AB90" s="88" t="s">
        <v>1519</v>
      </c>
      <c r="AC90" s="88" t="s">
        <v>1519</v>
      </c>
      <c r="AD90" s="89"/>
      <c r="AE90" s="18"/>
      <c r="AF90" s="18"/>
      <c r="AG90" s="18"/>
      <c r="AH90" s="18"/>
      <c r="AI90" s="18"/>
      <c r="AJ90" s="18"/>
      <c r="AK90" s="18"/>
      <c r="AL90" s="18"/>
      <c r="AM90" s="18"/>
    </row>
    <row r="91">
      <c r="A91" s="11"/>
      <c r="B91" s="12" t="s">
        <v>34</v>
      </c>
      <c r="C91" s="12" t="s">
        <v>65</v>
      </c>
      <c r="D91" s="12" t="s">
        <v>83</v>
      </c>
      <c r="E91" s="12" t="s">
        <v>84</v>
      </c>
      <c r="F91" s="13" t="s">
        <v>85</v>
      </c>
      <c r="G91" s="12" t="s">
        <v>86</v>
      </c>
      <c r="H91" s="12" t="s">
        <v>87</v>
      </c>
      <c r="I91" s="12"/>
      <c r="J91" s="17" t="s">
        <v>112</v>
      </c>
      <c r="K91" s="17" t="s">
        <v>1607</v>
      </c>
      <c r="L91" s="17" t="s">
        <v>1608</v>
      </c>
      <c r="M91" s="20">
        <v>45840.0</v>
      </c>
      <c r="N91" s="17" t="s">
        <v>194</v>
      </c>
      <c r="O91" s="88" t="s">
        <v>1519</v>
      </c>
      <c r="P91" s="88" t="s">
        <v>1519</v>
      </c>
      <c r="Q91" s="88" t="s">
        <v>1520</v>
      </c>
      <c r="R91" s="88" t="s">
        <v>1521</v>
      </c>
      <c r="S91" s="88" t="s">
        <v>1519</v>
      </c>
      <c r="T91" s="88" t="s">
        <v>1519</v>
      </c>
      <c r="U91" s="88" t="s">
        <v>1519</v>
      </c>
      <c r="V91" s="88" t="s">
        <v>1520</v>
      </c>
      <c r="W91" s="88" t="s">
        <v>1521</v>
      </c>
      <c r="X91" s="88" t="s">
        <v>1520</v>
      </c>
      <c r="Y91" s="88" t="s">
        <v>1520</v>
      </c>
      <c r="Z91" s="88" t="s">
        <v>1520</v>
      </c>
      <c r="AA91" s="88" t="s">
        <v>1521</v>
      </c>
      <c r="AB91" s="88" t="s">
        <v>1521</v>
      </c>
      <c r="AC91" s="88" t="s">
        <v>1521</v>
      </c>
      <c r="AD91" s="89"/>
      <c r="AE91" s="18" t="s">
        <v>92</v>
      </c>
      <c r="AF91" s="18"/>
      <c r="AG91" s="18"/>
      <c r="AH91" s="18"/>
      <c r="AI91" s="18"/>
      <c r="AJ91" s="18"/>
      <c r="AK91" s="18"/>
      <c r="AL91" s="18"/>
      <c r="AM91" s="18"/>
    </row>
    <row r="92">
      <c r="A92" s="11"/>
      <c r="B92" s="12" t="s">
        <v>34</v>
      </c>
      <c r="C92" s="12" t="s">
        <v>65</v>
      </c>
      <c r="D92" s="12" t="s">
        <v>83</v>
      </c>
      <c r="E92" s="12" t="s">
        <v>84</v>
      </c>
      <c r="F92" s="13" t="s">
        <v>85</v>
      </c>
      <c r="G92" s="12" t="s">
        <v>86</v>
      </c>
      <c r="H92" s="12" t="s">
        <v>87</v>
      </c>
      <c r="I92" s="12"/>
      <c r="J92" s="17" t="s">
        <v>112</v>
      </c>
      <c r="K92" s="17" t="s">
        <v>1607</v>
      </c>
      <c r="L92" s="17" t="s">
        <v>94</v>
      </c>
      <c r="M92" s="20">
        <v>45840.0</v>
      </c>
      <c r="N92" s="17" t="s">
        <v>194</v>
      </c>
      <c r="O92" s="88" t="s">
        <v>1519</v>
      </c>
      <c r="P92" s="88" t="s">
        <v>1521</v>
      </c>
      <c r="Q92" s="88" t="s">
        <v>1520</v>
      </c>
      <c r="R92" s="88" t="s">
        <v>1521</v>
      </c>
      <c r="S92" s="88" t="s">
        <v>1519</v>
      </c>
      <c r="T92" s="88" t="s">
        <v>1521</v>
      </c>
      <c r="U92" s="88" t="s">
        <v>1519</v>
      </c>
      <c r="V92" s="88" t="s">
        <v>1520</v>
      </c>
      <c r="W92" s="88" t="s">
        <v>1521</v>
      </c>
      <c r="X92" s="88" t="s">
        <v>1520</v>
      </c>
      <c r="Y92" s="88" t="s">
        <v>1521</v>
      </c>
      <c r="Z92" s="88" t="s">
        <v>1521</v>
      </c>
      <c r="AA92" s="88" t="s">
        <v>1521</v>
      </c>
      <c r="AB92" s="88" t="s">
        <v>1521</v>
      </c>
      <c r="AC92" s="88" t="s">
        <v>1521</v>
      </c>
      <c r="AD92" s="89"/>
      <c r="AE92" s="18" t="s">
        <v>92</v>
      </c>
      <c r="AF92" s="18"/>
      <c r="AG92" s="18"/>
      <c r="AH92" s="18"/>
      <c r="AI92" s="18"/>
      <c r="AJ92" s="18"/>
      <c r="AK92" s="18"/>
      <c r="AL92" s="18"/>
      <c r="AM92" s="18"/>
    </row>
    <row r="93">
      <c r="A93" s="11"/>
      <c r="B93" s="12" t="s">
        <v>34</v>
      </c>
      <c r="C93" s="12" t="s">
        <v>65</v>
      </c>
      <c r="D93" s="12" t="s">
        <v>83</v>
      </c>
      <c r="E93" s="12" t="s">
        <v>84</v>
      </c>
      <c r="F93" s="13" t="s">
        <v>85</v>
      </c>
      <c r="G93" s="12" t="s">
        <v>86</v>
      </c>
      <c r="H93" s="12" t="s">
        <v>87</v>
      </c>
      <c r="I93" s="12"/>
      <c r="J93" s="17" t="s">
        <v>112</v>
      </c>
      <c r="K93" s="17" t="s">
        <v>1607</v>
      </c>
      <c r="L93" s="17" t="s">
        <v>97</v>
      </c>
      <c r="M93" s="20">
        <v>45840.0</v>
      </c>
      <c r="N93" s="17" t="s">
        <v>194</v>
      </c>
      <c r="O93" s="88" t="s">
        <v>1519</v>
      </c>
      <c r="P93" s="88" t="s">
        <v>1519</v>
      </c>
      <c r="Q93" s="88" t="s">
        <v>1520</v>
      </c>
      <c r="R93" s="88" t="s">
        <v>1521</v>
      </c>
      <c r="S93" s="88" t="s">
        <v>1519</v>
      </c>
      <c r="T93" s="88" t="s">
        <v>1521</v>
      </c>
      <c r="U93" s="88" t="s">
        <v>1519</v>
      </c>
      <c r="V93" s="88" t="s">
        <v>1519</v>
      </c>
      <c r="W93" s="88" t="s">
        <v>1521</v>
      </c>
      <c r="X93" s="88" t="s">
        <v>1520</v>
      </c>
      <c r="Y93" s="88" t="s">
        <v>1520</v>
      </c>
      <c r="Z93" s="88" t="s">
        <v>1520</v>
      </c>
      <c r="AA93" s="88" t="s">
        <v>1519</v>
      </c>
      <c r="AB93" s="88" t="s">
        <v>1521</v>
      </c>
      <c r="AC93" s="88" t="s">
        <v>1521</v>
      </c>
      <c r="AD93" s="89"/>
      <c r="AE93" s="18" t="s">
        <v>92</v>
      </c>
      <c r="AF93" s="18"/>
      <c r="AG93" s="18"/>
      <c r="AH93" s="18"/>
      <c r="AI93" s="18"/>
      <c r="AJ93" s="18"/>
      <c r="AK93" s="18"/>
      <c r="AL93" s="18"/>
      <c r="AM93" s="18"/>
    </row>
    <row r="94">
      <c r="A94" s="11"/>
      <c r="B94" s="12" t="s">
        <v>34</v>
      </c>
      <c r="C94" s="12" t="s">
        <v>65</v>
      </c>
      <c r="D94" s="12" t="s">
        <v>83</v>
      </c>
      <c r="E94" s="12" t="s">
        <v>84</v>
      </c>
      <c r="F94" s="13" t="s">
        <v>85</v>
      </c>
      <c r="G94" s="12" t="s">
        <v>86</v>
      </c>
      <c r="H94" s="12" t="s">
        <v>87</v>
      </c>
      <c r="I94" s="12"/>
      <c r="J94" s="17" t="s">
        <v>73</v>
      </c>
      <c r="K94" s="17" t="s">
        <v>1607</v>
      </c>
      <c r="L94" s="17" t="s">
        <v>100</v>
      </c>
      <c r="M94" s="20">
        <v>45840.0</v>
      </c>
      <c r="N94" s="17" t="s">
        <v>194</v>
      </c>
      <c r="O94" s="88" t="s">
        <v>1520</v>
      </c>
      <c r="P94" s="88" t="s">
        <v>1520</v>
      </c>
      <c r="Q94" s="88" t="s">
        <v>1520</v>
      </c>
      <c r="R94" s="88" t="s">
        <v>1521</v>
      </c>
      <c r="S94" s="88" t="s">
        <v>1519</v>
      </c>
      <c r="T94" s="88" t="s">
        <v>1521</v>
      </c>
      <c r="U94" s="88" t="s">
        <v>1519</v>
      </c>
      <c r="V94" s="88" t="s">
        <v>1519</v>
      </c>
      <c r="W94" s="88" t="s">
        <v>1519</v>
      </c>
      <c r="X94" s="88" t="s">
        <v>1520</v>
      </c>
      <c r="Y94" s="88" t="s">
        <v>1520</v>
      </c>
      <c r="Z94" s="88" t="s">
        <v>1520</v>
      </c>
      <c r="AA94" s="88" t="s">
        <v>1521</v>
      </c>
      <c r="AB94" s="88" t="s">
        <v>1521</v>
      </c>
      <c r="AC94" s="88" t="s">
        <v>1521</v>
      </c>
      <c r="AD94" s="89"/>
      <c r="AE94" s="18" t="s">
        <v>92</v>
      </c>
      <c r="AF94" s="18"/>
      <c r="AG94" s="18"/>
      <c r="AH94" s="18"/>
      <c r="AI94" s="18"/>
      <c r="AJ94" s="18"/>
      <c r="AK94" s="18"/>
      <c r="AL94" s="18"/>
      <c r="AM94" s="18"/>
    </row>
    <row r="95">
      <c r="A95" s="11"/>
      <c r="B95" s="12" t="s">
        <v>34</v>
      </c>
      <c r="C95" s="12" t="s">
        <v>65</v>
      </c>
      <c r="D95" s="12" t="s">
        <v>83</v>
      </c>
      <c r="E95" s="12" t="s">
        <v>84</v>
      </c>
      <c r="F95" s="13" t="s">
        <v>85</v>
      </c>
      <c r="G95" s="12" t="s">
        <v>86</v>
      </c>
      <c r="H95" s="12" t="s">
        <v>87</v>
      </c>
      <c r="I95" s="12"/>
      <c r="J95" s="17" t="s">
        <v>112</v>
      </c>
      <c r="K95" s="17" t="s">
        <v>1607</v>
      </c>
      <c r="L95" s="17" t="s">
        <v>1609</v>
      </c>
      <c r="M95" s="20">
        <v>45840.0</v>
      </c>
      <c r="N95" s="17" t="s">
        <v>194</v>
      </c>
      <c r="O95" s="88" t="s">
        <v>1519</v>
      </c>
      <c r="P95" s="88" t="s">
        <v>1520</v>
      </c>
      <c r="Q95" s="88" t="s">
        <v>1520</v>
      </c>
      <c r="R95" s="88" t="s">
        <v>1521</v>
      </c>
      <c r="S95" s="88" t="s">
        <v>1519</v>
      </c>
      <c r="T95" s="88" t="s">
        <v>1521</v>
      </c>
      <c r="U95" s="88" t="s">
        <v>1519</v>
      </c>
      <c r="V95" s="88" t="s">
        <v>1519</v>
      </c>
      <c r="W95" s="88" t="s">
        <v>1521</v>
      </c>
      <c r="X95" s="88" t="s">
        <v>1520</v>
      </c>
      <c r="Y95" s="88" t="s">
        <v>1521</v>
      </c>
      <c r="Z95" s="88" t="s">
        <v>1520</v>
      </c>
      <c r="AA95" s="88" t="s">
        <v>1521</v>
      </c>
      <c r="AB95" s="88" t="s">
        <v>1521</v>
      </c>
      <c r="AC95" s="88" t="s">
        <v>1521</v>
      </c>
      <c r="AD95" s="89"/>
      <c r="AE95" s="18" t="s">
        <v>92</v>
      </c>
      <c r="AF95" s="18"/>
      <c r="AG95" s="18"/>
      <c r="AH95" s="18"/>
      <c r="AI95" s="18"/>
      <c r="AJ95" s="18"/>
      <c r="AK95" s="18"/>
      <c r="AL95" s="18"/>
      <c r="AM95" s="18"/>
    </row>
    <row r="96">
      <c r="A96" s="11"/>
      <c r="B96" s="12" t="s">
        <v>34</v>
      </c>
      <c r="C96" s="12" t="s">
        <v>65</v>
      </c>
      <c r="D96" s="12" t="s">
        <v>83</v>
      </c>
      <c r="E96" s="12" t="s">
        <v>84</v>
      </c>
      <c r="F96" s="13" t="s">
        <v>85</v>
      </c>
      <c r="G96" s="12" t="s">
        <v>86</v>
      </c>
      <c r="H96" s="12" t="s">
        <v>87</v>
      </c>
      <c r="I96" s="12"/>
      <c r="J96" s="17" t="s">
        <v>73</v>
      </c>
      <c r="K96" s="17" t="s">
        <v>1607</v>
      </c>
      <c r="L96" s="17" t="s">
        <v>1610</v>
      </c>
      <c r="M96" s="20">
        <v>45840.0</v>
      </c>
      <c r="N96" s="17" t="s">
        <v>194</v>
      </c>
      <c r="O96" s="88" t="s">
        <v>1519</v>
      </c>
      <c r="P96" s="88" t="s">
        <v>1519</v>
      </c>
      <c r="Q96" s="88" t="s">
        <v>1520</v>
      </c>
      <c r="R96" s="88" t="s">
        <v>1521</v>
      </c>
      <c r="S96" s="88" t="s">
        <v>1519</v>
      </c>
      <c r="T96" s="88" t="s">
        <v>1521</v>
      </c>
      <c r="U96" s="88" t="s">
        <v>1519</v>
      </c>
      <c r="V96" s="88" t="s">
        <v>1519</v>
      </c>
      <c r="W96" s="88" t="s">
        <v>1519</v>
      </c>
      <c r="X96" s="88" t="s">
        <v>1520</v>
      </c>
      <c r="Y96" s="88" t="s">
        <v>1520</v>
      </c>
      <c r="Z96" s="88" t="s">
        <v>1520</v>
      </c>
      <c r="AA96" s="88" t="s">
        <v>1519</v>
      </c>
      <c r="AB96" s="88" t="s">
        <v>1521</v>
      </c>
      <c r="AC96" s="88" t="s">
        <v>1521</v>
      </c>
      <c r="AD96" s="89"/>
      <c r="AE96" s="18" t="s">
        <v>92</v>
      </c>
      <c r="AF96" s="18"/>
      <c r="AG96" s="18"/>
      <c r="AH96" s="18"/>
      <c r="AI96" s="18"/>
      <c r="AJ96" s="18"/>
      <c r="AK96" s="18"/>
      <c r="AL96" s="18"/>
      <c r="AM96" s="18"/>
    </row>
    <row r="97">
      <c r="A97" s="11"/>
      <c r="B97" s="12" t="s">
        <v>34</v>
      </c>
      <c r="C97" s="12" t="s">
        <v>65</v>
      </c>
      <c r="D97" s="12" t="s">
        <v>83</v>
      </c>
      <c r="E97" s="12" t="s">
        <v>84</v>
      </c>
      <c r="F97" s="13" t="s">
        <v>85</v>
      </c>
      <c r="G97" s="12" t="s">
        <v>86</v>
      </c>
      <c r="H97" s="12" t="s">
        <v>87</v>
      </c>
      <c r="I97" s="12"/>
      <c r="J97" s="17" t="s">
        <v>112</v>
      </c>
      <c r="K97" s="17" t="s">
        <v>1607</v>
      </c>
      <c r="L97" s="17" t="s">
        <v>1611</v>
      </c>
      <c r="M97" s="20">
        <v>45840.0</v>
      </c>
      <c r="N97" s="17" t="s">
        <v>194</v>
      </c>
      <c r="O97" s="88" t="s">
        <v>1520</v>
      </c>
      <c r="P97" s="88" t="s">
        <v>1519</v>
      </c>
      <c r="Q97" s="88" t="s">
        <v>1520</v>
      </c>
      <c r="R97" s="88" t="s">
        <v>1521</v>
      </c>
      <c r="S97" s="88" t="s">
        <v>1519</v>
      </c>
      <c r="T97" s="88" t="s">
        <v>1519</v>
      </c>
      <c r="U97" s="88" t="s">
        <v>1519</v>
      </c>
      <c r="V97" s="88" t="s">
        <v>1519</v>
      </c>
      <c r="W97" s="88" t="s">
        <v>1519</v>
      </c>
      <c r="X97" s="88" t="s">
        <v>1519</v>
      </c>
      <c r="Y97" s="88" t="s">
        <v>1520</v>
      </c>
      <c r="Z97" s="88" t="s">
        <v>1520</v>
      </c>
      <c r="AA97" s="88" t="s">
        <v>1519</v>
      </c>
      <c r="AB97" s="88" t="s">
        <v>1519</v>
      </c>
      <c r="AC97" s="88" t="s">
        <v>1521</v>
      </c>
      <c r="AD97" s="89"/>
      <c r="AE97" s="18" t="s">
        <v>92</v>
      </c>
      <c r="AF97" s="18"/>
      <c r="AG97" s="18"/>
      <c r="AH97" s="18"/>
      <c r="AI97" s="18"/>
      <c r="AJ97" s="18"/>
      <c r="AK97" s="18"/>
      <c r="AL97" s="18"/>
      <c r="AM97" s="18"/>
    </row>
    <row r="98">
      <c r="A98" s="11"/>
      <c r="B98" s="12" t="s">
        <v>34</v>
      </c>
      <c r="C98" s="12" t="s">
        <v>65</v>
      </c>
      <c r="D98" s="12" t="s">
        <v>83</v>
      </c>
      <c r="E98" s="12" t="s">
        <v>84</v>
      </c>
      <c r="F98" s="13" t="s">
        <v>85</v>
      </c>
      <c r="G98" s="12" t="s">
        <v>86</v>
      </c>
      <c r="H98" s="12" t="s">
        <v>87</v>
      </c>
      <c r="I98" s="12"/>
      <c r="J98" s="17" t="s">
        <v>112</v>
      </c>
      <c r="K98" s="17" t="s">
        <v>1607</v>
      </c>
      <c r="L98" s="17" t="s">
        <v>1608</v>
      </c>
      <c r="M98" s="20">
        <v>45966.0</v>
      </c>
      <c r="N98" s="17" t="s">
        <v>428</v>
      </c>
      <c r="O98" s="88" t="s">
        <v>1519</v>
      </c>
      <c r="P98" s="88" t="s">
        <v>1519</v>
      </c>
      <c r="Q98" s="88" t="s">
        <v>1519</v>
      </c>
      <c r="R98" s="88" t="s">
        <v>1520</v>
      </c>
      <c r="S98" s="88" t="s">
        <v>1519</v>
      </c>
      <c r="T98" s="88" t="s">
        <v>1519</v>
      </c>
      <c r="U98" s="88" t="s">
        <v>1519</v>
      </c>
      <c r="V98" s="88" t="s">
        <v>1520</v>
      </c>
      <c r="W98" s="88" t="s">
        <v>1519</v>
      </c>
      <c r="X98" s="88" t="s">
        <v>1519</v>
      </c>
      <c r="Y98" s="88" t="s">
        <v>1519</v>
      </c>
      <c r="Z98" s="88" t="s">
        <v>1519</v>
      </c>
      <c r="AA98" s="88" t="s">
        <v>1519</v>
      </c>
      <c r="AB98" s="88" t="s">
        <v>1519</v>
      </c>
      <c r="AC98" s="88" t="s">
        <v>1519</v>
      </c>
      <c r="AD98" s="89"/>
      <c r="AE98" s="18" t="s">
        <v>92</v>
      </c>
      <c r="AF98" s="18"/>
      <c r="AG98" s="18"/>
      <c r="AH98" s="18"/>
      <c r="AI98" s="18"/>
      <c r="AJ98" s="18"/>
      <c r="AK98" s="18"/>
      <c r="AL98" s="18"/>
      <c r="AM98" s="18"/>
    </row>
    <row r="99">
      <c r="A99" s="11"/>
      <c r="B99" s="12" t="s">
        <v>34</v>
      </c>
      <c r="C99" s="12" t="s">
        <v>65</v>
      </c>
      <c r="D99" s="12" t="s">
        <v>83</v>
      </c>
      <c r="E99" s="12" t="s">
        <v>84</v>
      </c>
      <c r="F99" s="13" t="s">
        <v>85</v>
      </c>
      <c r="G99" s="12" t="s">
        <v>86</v>
      </c>
      <c r="H99" s="12" t="s">
        <v>87</v>
      </c>
      <c r="I99" s="12"/>
      <c r="J99" s="17" t="s">
        <v>112</v>
      </c>
      <c r="K99" s="17" t="s">
        <v>1607</v>
      </c>
      <c r="L99" s="17" t="s">
        <v>94</v>
      </c>
      <c r="M99" s="20">
        <v>45966.0</v>
      </c>
      <c r="N99" s="17" t="s">
        <v>428</v>
      </c>
      <c r="O99" s="88" t="s">
        <v>1519</v>
      </c>
      <c r="P99" s="88" t="s">
        <v>1519</v>
      </c>
      <c r="Q99" s="88" t="s">
        <v>1519</v>
      </c>
      <c r="R99" s="88" t="s">
        <v>1519</v>
      </c>
      <c r="S99" s="88" t="s">
        <v>1519</v>
      </c>
      <c r="T99" s="88" t="s">
        <v>1519</v>
      </c>
      <c r="U99" s="88" t="s">
        <v>1519</v>
      </c>
      <c r="V99" s="88" t="s">
        <v>1519</v>
      </c>
      <c r="W99" s="88" t="s">
        <v>1519</v>
      </c>
      <c r="X99" s="88" t="s">
        <v>1519</v>
      </c>
      <c r="Y99" s="88" t="s">
        <v>1519</v>
      </c>
      <c r="Z99" s="88" t="s">
        <v>1519</v>
      </c>
      <c r="AA99" s="88" t="s">
        <v>1519</v>
      </c>
      <c r="AB99" s="88" t="s">
        <v>1519</v>
      </c>
      <c r="AC99" s="88" t="s">
        <v>1519</v>
      </c>
      <c r="AD99" s="89"/>
      <c r="AE99" s="18" t="s">
        <v>92</v>
      </c>
      <c r="AF99" s="18"/>
      <c r="AG99" s="18"/>
      <c r="AH99" s="18"/>
      <c r="AI99" s="18"/>
      <c r="AJ99" s="18"/>
      <c r="AK99" s="18"/>
      <c r="AL99" s="18"/>
      <c r="AM99" s="18"/>
    </row>
    <row r="100">
      <c r="A100" s="11"/>
      <c r="B100" s="12" t="s">
        <v>34</v>
      </c>
      <c r="C100" s="12" t="s">
        <v>65</v>
      </c>
      <c r="D100" s="12" t="s">
        <v>83</v>
      </c>
      <c r="E100" s="12" t="s">
        <v>84</v>
      </c>
      <c r="F100" s="13" t="s">
        <v>85</v>
      </c>
      <c r="G100" s="12" t="s">
        <v>86</v>
      </c>
      <c r="H100" s="12" t="s">
        <v>87</v>
      </c>
      <c r="I100" s="12"/>
      <c r="J100" s="17" t="s">
        <v>112</v>
      </c>
      <c r="K100" s="17" t="s">
        <v>1607</v>
      </c>
      <c r="L100" s="17" t="s">
        <v>1609</v>
      </c>
      <c r="M100" s="20">
        <v>45966.0</v>
      </c>
      <c r="N100" s="17" t="s">
        <v>428</v>
      </c>
      <c r="O100" s="88" t="s">
        <v>1519</v>
      </c>
      <c r="P100" s="88" t="s">
        <v>1519</v>
      </c>
      <c r="Q100" s="88" t="s">
        <v>1519</v>
      </c>
      <c r="R100" s="88" t="s">
        <v>1520</v>
      </c>
      <c r="S100" s="88" t="s">
        <v>1519</v>
      </c>
      <c r="T100" s="88" t="s">
        <v>1519</v>
      </c>
      <c r="U100" s="88" t="s">
        <v>1519</v>
      </c>
      <c r="V100" s="88" t="s">
        <v>1519</v>
      </c>
      <c r="W100" s="88" t="s">
        <v>1519</v>
      </c>
      <c r="X100" s="88" t="s">
        <v>1520</v>
      </c>
      <c r="Y100" s="88" t="s">
        <v>1520</v>
      </c>
      <c r="Z100" s="88" t="s">
        <v>1519</v>
      </c>
      <c r="AA100" s="88" t="s">
        <v>1519</v>
      </c>
      <c r="AB100" s="88" t="s">
        <v>1519</v>
      </c>
      <c r="AC100" s="88" t="s">
        <v>1519</v>
      </c>
      <c r="AD100" s="89"/>
      <c r="AE100" s="18" t="s">
        <v>92</v>
      </c>
      <c r="AF100" s="18"/>
      <c r="AG100" s="18"/>
      <c r="AH100" s="18"/>
      <c r="AI100" s="18"/>
      <c r="AJ100" s="18"/>
      <c r="AK100" s="18"/>
      <c r="AL100" s="18"/>
      <c r="AM100" s="18"/>
    </row>
    <row r="101">
      <c r="A101" s="11"/>
      <c r="B101" s="12" t="s">
        <v>34</v>
      </c>
      <c r="C101" s="12" t="s">
        <v>65</v>
      </c>
      <c r="D101" s="12" t="s">
        <v>83</v>
      </c>
      <c r="E101" s="12" t="s">
        <v>84</v>
      </c>
      <c r="F101" s="13" t="s">
        <v>85</v>
      </c>
      <c r="G101" s="12" t="s">
        <v>86</v>
      </c>
      <c r="H101" s="12" t="s">
        <v>87</v>
      </c>
      <c r="I101" s="12"/>
      <c r="J101" s="17" t="s">
        <v>112</v>
      </c>
      <c r="K101" s="17" t="s">
        <v>1607</v>
      </c>
      <c r="L101" s="17" t="s">
        <v>97</v>
      </c>
      <c r="M101" s="20">
        <v>45966.0</v>
      </c>
      <c r="N101" s="17" t="s">
        <v>428</v>
      </c>
      <c r="O101" s="88" t="s">
        <v>1519</v>
      </c>
      <c r="P101" s="88" t="s">
        <v>1519</v>
      </c>
      <c r="Q101" s="88" t="s">
        <v>1519</v>
      </c>
      <c r="R101" s="88" t="s">
        <v>1519</v>
      </c>
      <c r="S101" s="88" t="s">
        <v>1519</v>
      </c>
      <c r="T101" s="88" t="s">
        <v>1519</v>
      </c>
      <c r="U101" s="88" t="s">
        <v>1519</v>
      </c>
      <c r="V101" s="88" t="s">
        <v>1519</v>
      </c>
      <c r="W101" s="88" t="s">
        <v>1519</v>
      </c>
      <c r="X101" s="88" t="s">
        <v>1519</v>
      </c>
      <c r="Y101" s="88" t="s">
        <v>1519</v>
      </c>
      <c r="Z101" s="88" t="s">
        <v>1520</v>
      </c>
      <c r="AA101" s="88" t="s">
        <v>1519</v>
      </c>
      <c r="AB101" s="88" t="s">
        <v>1520</v>
      </c>
      <c r="AC101" s="88" t="s">
        <v>1520</v>
      </c>
      <c r="AD101" s="89"/>
      <c r="AE101" s="18" t="s">
        <v>92</v>
      </c>
      <c r="AF101" s="18"/>
      <c r="AG101" s="18"/>
      <c r="AH101" s="18"/>
      <c r="AI101" s="18"/>
      <c r="AJ101" s="18"/>
      <c r="AK101" s="18"/>
      <c r="AL101" s="18"/>
      <c r="AM101" s="18"/>
    </row>
    <row r="102">
      <c r="A102" s="11"/>
      <c r="B102" s="12" t="s">
        <v>34</v>
      </c>
      <c r="C102" s="12" t="s">
        <v>65</v>
      </c>
      <c r="D102" s="12" t="s">
        <v>83</v>
      </c>
      <c r="E102" s="12" t="s">
        <v>84</v>
      </c>
      <c r="F102" s="13" t="s">
        <v>85</v>
      </c>
      <c r="G102" s="12" t="s">
        <v>86</v>
      </c>
      <c r="H102" s="12" t="s">
        <v>87</v>
      </c>
      <c r="I102" s="12"/>
      <c r="J102" s="17" t="s">
        <v>112</v>
      </c>
      <c r="K102" s="17" t="s">
        <v>1607</v>
      </c>
      <c r="L102" s="17" t="s">
        <v>89</v>
      </c>
      <c r="M102" s="20">
        <v>45966.0</v>
      </c>
      <c r="N102" s="17" t="s">
        <v>428</v>
      </c>
      <c r="O102" s="88" t="s">
        <v>1519</v>
      </c>
      <c r="P102" s="88" t="s">
        <v>1519</v>
      </c>
      <c r="Q102" s="88" t="s">
        <v>1519</v>
      </c>
      <c r="R102" s="88" t="s">
        <v>1520</v>
      </c>
      <c r="S102" s="88" t="s">
        <v>1519</v>
      </c>
      <c r="T102" s="88" t="s">
        <v>1519</v>
      </c>
      <c r="U102" s="88" t="s">
        <v>1519</v>
      </c>
      <c r="V102" s="88" t="s">
        <v>1520</v>
      </c>
      <c r="W102" s="88" t="s">
        <v>1519</v>
      </c>
      <c r="X102" s="88" t="s">
        <v>1519</v>
      </c>
      <c r="Y102" s="88" t="s">
        <v>1519</v>
      </c>
      <c r="Z102" s="88" t="s">
        <v>1519</v>
      </c>
      <c r="AA102" s="88" t="s">
        <v>1519</v>
      </c>
      <c r="AB102" s="88" t="s">
        <v>1519</v>
      </c>
      <c r="AC102" s="88" t="s">
        <v>1519</v>
      </c>
      <c r="AD102" s="89"/>
      <c r="AE102" s="18" t="s">
        <v>92</v>
      </c>
      <c r="AF102" s="18"/>
      <c r="AG102" s="18"/>
      <c r="AH102" s="18"/>
      <c r="AI102" s="18"/>
      <c r="AJ102" s="18"/>
      <c r="AK102" s="18"/>
      <c r="AL102" s="18"/>
      <c r="AM102" s="18"/>
    </row>
    <row r="103">
      <c r="A103" s="11"/>
      <c r="B103" s="12" t="s">
        <v>34</v>
      </c>
      <c r="C103" s="12" t="s">
        <v>65</v>
      </c>
      <c r="D103" s="12" t="s">
        <v>83</v>
      </c>
      <c r="E103" s="12" t="s">
        <v>120</v>
      </c>
      <c r="F103" s="13" t="s">
        <v>121</v>
      </c>
      <c r="G103" s="12" t="s">
        <v>68</v>
      </c>
      <c r="H103" s="12" t="s">
        <v>122</v>
      </c>
      <c r="I103" s="12" t="s">
        <v>123</v>
      </c>
      <c r="J103" s="17" t="s">
        <v>108</v>
      </c>
      <c r="K103" s="17" t="s">
        <v>109</v>
      </c>
      <c r="L103" s="17" t="s">
        <v>1612</v>
      </c>
      <c r="M103" s="20">
        <v>45831.0</v>
      </c>
      <c r="N103" s="17" t="s">
        <v>194</v>
      </c>
      <c r="O103" s="88" t="s">
        <v>1519</v>
      </c>
      <c r="P103" s="88" t="s">
        <v>1519</v>
      </c>
      <c r="Q103" s="88" t="s">
        <v>1520</v>
      </c>
      <c r="R103" s="88" t="s">
        <v>1520</v>
      </c>
      <c r="S103" s="88" t="s">
        <v>1519</v>
      </c>
      <c r="T103" s="88" t="s">
        <v>1521</v>
      </c>
      <c r="U103" s="88" t="s">
        <v>1521</v>
      </c>
      <c r="V103" s="88" t="s">
        <v>1519</v>
      </c>
      <c r="W103" s="88" t="s">
        <v>1519</v>
      </c>
      <c r="X103" s="88" t="s">
        <v>1520</v>
      </c>
      <c r="Y103" s="88" t="s">
        <v>1520</v>
      </c>
      <c r="Z103" s="88" t="s">
        <v>1520</v>
      </c>
      <c r="AA103" s="88" t="s">
        <v>1520</v>
      </c>
      <c r="AB103" s="88" t="s">
        <v>1520</v>
      </c>
      <c r="AC103" s="88" t="s">
        <v>1521</v>
      </c>
      <c r="AD103" s="89"/>
      <c r="AE103" s="18" t="s">
        <v>92</v>
      </c>
      <c r="AF103" s="18"/>
      <c r="AG103" s="18"/>
      <c r="AH103" s="18"/>
      <c r="AI103" s="18"/>
      <c r="AJ103" s="18"/>
      <c r="AK103" s="18"/>
      <c r="AL103" s="18"/>
      <c r="AM103" s="18"/>
    </row>
    <row r="104">
      <c r="A104" s="11"/>
      <c r="B104" s="12" t="s">
        <v>34</v>
      </c>
      <c r="C104" s="12" t="s">
        <v>65</v>
      </c>
      <c r="D104" s="12" t="s">
        <v>83</v>
      </c>
      <c r="E104" s="12" t="s">
        <v>120</v>
      </c>
      <c r="F104" s="13" t="s">
        <v>121</v>
      </c>
      <c r="G104" s="12" t="s">
        <v>68</v>
      </c>
      <c r="H104" s="12" t="s">
        <v>122</v>
      </c>
      <c r="I104" s="12" t="s">
        <v>123</v>
      </c>
      <c r="J104" s="17" t="s">
        <v>73</v>
      </c>
      <c r="K104" s="17" t="s">
        <v>74</v>
      </c>
      <c r="L104" s="17" t="s">
        <v>140</v>
      </c>
      <c r="M104" s="20">
        <v>45831.0</v>
      </c>
      <c r="N104" s="17" t="s">
        <v>194</v>
      </c>
      <c r="O104" s="88" t="s">
        <v>1519</v>
      </c>
      <c r="P104" s="88" t="s">
        <v>1520</v>
      </c>
      <c r="Q104" s="88" t="s">
        <v>1521</v>
      </c>
      <c r="R104" s="88" t="s">
        <v>1521</v>
      </c>
      <c r="S104" s="88" t="s">
        <v>1519</v>
      </c>
      <c r="T104" s="88" t="s">
        <v>1521</v>
      </c>
      <c r="U104" s="88" t="s">
        <v>1520</v>
      </c>
      <c r="V104" s="88" t="s">
        <v>1519</v>
      </c>
      <c r="W104" s="88" t="s">
        <v>1521</v>
      </c>
      <c r="X104" s="88" t="s">
        <v>1521</v>
      </c>
      <c r="Y104" s="88" t="s">
        <v>1521</v>
      </c>
      <c r="Z104" s="88" t="s">
        <v>1521</v>
      </c>
      <c r="AA104" s="88" t="s">
        <v>1520</v>
      </c>
      <c r="AB104" s="88" t="s">
        <v>1521</v>
      </c>
      <c r="AC104" s="88" t="s">
        <v>1521</v>
      </c>
      <c r="AD104" s="89"/>
      <c r="AE104" s="18" t="s">
        <v>92</v>
      </c>
      <c r="AF104" s="18"/>
      <c r="AG104" s="18"/>
      <c r="AH104" s="18"/>
      <c r="AI104" s="18"/>
      <c r="AJ104" s="18"/>
      <c r="AK104" s="18"/>
      <c r="AL104" s="18"/>
      <c r="AM104" s="18"/>
    </row>
    <row r="105">
      <c r="A105" s="11"/>
      <c r="B105" s="12" t="s">
        <v>34</v>
      </c>
      <c r="C105" s="12" t="s">
        <v>65</v>
      </c>
      <c r="D105" s="12" t="s">
        <v>83</v>
      </c>
      <c r="E105" s="12" t="s">
        <v>120</v>
      </c>
      <c r="F105" s="13" t="s">
        <v>121</v>
      </c>
      <c r="G105" s="12" t="s">
        <v>68</v>
      </c>
      <c r="H105" s="12" t="s">
        <v>122</v>
      </c>
      <c r="I105" s="12" t="s">
        <v>123</v>
      </c>
      <c r="J105" s="17" t="s">
        <v>108</v>
      </c>
      <c r="K105" s="17" t="s">
        <v>109</v>
      </c>
      <c r="L105" s="17" t="s">
        <v>131</v>
      </c>
      <c r="M105" s="20">
        <v>45831.0</v>
      </c>
      <c r="N105" s="17" t="s">
        <v>194</v>
      </c>
      <c r="O105" s="88" t="s">
        <v>1519</v>
      </c>
      <c r="P105" s="88" t="s">
        <v>1519</v>
      </c>
      <c r="Q105" s="88" t="s">
        <v>1521</v>
      </c>
      <c r="R105" s="88" t="s">
        <v>1520</v>
      </c>
      <c r="S105" s="88" t="s">
        <v>1519</v>
      </c>
      <c r="T105" s="88" t="s">
        <v>1521</v>
      </c>
      <c r="U105" s="88" t="s">
        <v>1520</v>
      </c>
      <c r="V105" s="88" t="s">
        <v>1520</v>
      </c>
      <c r="W105" s="88" t="s">
        <v>1521</v>
      </c>
      <c r="X105" s="88" t="s">
        <v>1520</v>
      </c>
      <c r="Y105" s="88" t="s">
        <v>1519</v>
      </c>
      <c r="Z105" s="88" t="s">
        <v>1521</v>
      </c>
      <c r="AA105" s="88" t="s">
        <v>1520</v>
      </c>
      <c r="AB105" s="88" t="s">
        <v>1521</v>
      </c>
      <c r="AC105" s="88" t="s">
        <v>1521</v>
      </c>
      <c r="AD105" s="89"/>
      <c r="AE105" s="18" t="s">
        <v>92</v>
      </c>
      <c r="AF105" s="18"/>
      <c r="AG105" s="18"/>
      <c r="AH105" s="18"/>
      <c r="AI105" s="18"/>
      <c r="AJ105" s="18"/>
      <c r="AK105" s="18"/>
      <c r="AL105" s="18"/>
      <c r="AM105" s="18"/>
    </row>
    <row r="106">
      <c r="A106" s="11"/>
      <c r="B106" s="12" t="s">
        <v>34</v>
      </c>
      <c r="C106" s="12" t="s">
        <v>65</v>
      </c>
      <c r="D106" s="12" t="s">
        <v>83</v>
      </c>
      <c r="E106" s="12" t="s">
        <v>120</v>
      </c>
      <c r="F106" s="13" t="s">
        <v>121</v>
      </c>
      <c r="G106" s="12" t="s">
        <v>68</v>
      </c>
      <c r="H106" s="12" t="s">
        <v>122</v>
      </c>
      <c r="I106" s="12" t="s">
        <v>123</v>
      </c>
      <c r="J106" s="17" t="s">
        <v>112</v>
      </c>
      <c r="K106" s="17" t="s">
        <v>113</v>
      </c>
      <c r="L106" s="17" t="s">
        <v>128</v>
      </c>
      <c r="M106" s="20">
        <v>45831.0</v>
      </c>
      <c r="N106" s="17" t="s">
        <v>194</v>
      </c>
      <c r="O106" s="88" t="s">
        <v>1519</v>
      </c>
      <c r="P106" s="88" t="s">
        <v>1520</v>
      </c>
      <c r="Q106" s="88" t="s">
        <v>1521</v>
      </c>
      <c r="R106" s="88" t="s">
        <v>1520</v>
      </c>
      <c r="S106" s="88" t="s">
        <v>1520</v>
      </c>
      <c r="T106" s="88" t="s">
        <v>1521</v>
      </c>
      <c r="U106" s="88" t="s">
        <v>1520</v>
      </c>
      <c r="V106" s="88" t="s">
        <v>1520</v>
      </c>
      <c r="W106" s="88" t="s">
        <v>1520</v>
      </c>
      <c r="X106" s="88" t="s">
        <v>1519</v>
      </c>
      <c r="Y106" s="88" t="s">
        <v>1519</v>
      </c>
      <c r="Z106" s="88" t="s">
        <v>1521</v>
      </c>
      <c r="AA106" s="88" t="s">
        <v>1520</v>
      </c>
      <c r="AB106" s="88" t="s">
        <v>1521</v>
      </c>
      <c r="AC106" s="88" t="s">
        <v>1521</v>
      </c>
      <c r="AD106" s="89"/>
      <c r="AE106" s="18" t="s">
        <v>92</v>
      </c>
      <c r="AF106" s="18"/>
      <c r="AG106" s="18"/>
      <c r="AH106" s="18"/>
      <c r="AI106" s="18"/>
      <c r="AJ106" s="18"/>
      <c r="AK106" s="18"/>
      <c r="AL106" s="18"/>
      <c r="AM106" s="18"/>
    </row>
    <row r="107">
      <c r="A107" s="11"/>
      <c r="B107" s="12" t="s">
        <v>34</v>
      </c>
      <c r="C107" s="12" t="s">
        <v>65</v>
      </c>
      <c r="D107" s="12" t="s">
        <v>83</v>
      </c>
      <c r="E107" s="12" t="s">
        <v>120</v>
      </c>
      <c r="F107" s="13" t="s">
        <v>121</v>
      </c>
      <c r="G107" s="12" t="s">
        <v>68</v>
      </c>
      <c r="H107" s="12" t="s">
        <v>122</v>
      </c>
      <c r="I107" s="12" t="s">
        <v>123</v>
      </c>
      <c r="J107" s="17" t="s">
        <v>112</v>
      </c>
      <c r="K107" s="17" t="s">
        <v>113</v>
      </c>
      <c r="L107" s="17" t="s">
        <v>125</v>
      </c>
      <c r="M107" s="20">
        <v>45831.0</v>
      </c>
      <c r="N107" s="17" t="s">
        <v>194</v>
      </c>
      <c r="O107" s="88" t="s">
        <v>1519</v>
      </c>
      <c r="P107" s="88" t="s">
        <v>1519</v>
      </c>
      <c r="Q107" s="88" t="s">
        <v>1521</v>
      </c>
      <c r="R107" s="88" t="s">
        <v>1520</v>
      </c>
      <c r="S107" s="88" t="s">
        <v>1521</v>
      </c>
      <c r="T107" s="88" t="s">
        <v>1519</v>
      </c>
      <c r="U107" s="88" t="s">
        <v>1520</v>
      </c>
      <c r="V107" s="88" t="s">
        <v>1520</v>
      </c>
      <c r="W107" s="88" t="s">
        <v>1520</v>
      </c>
      <c r="X107" s="88" t="s">
        <v>1519</v>
      </c>
      <c r="Y107" s="88" t="s">
        <v>1520</v>
      </c>
      <c r="Z107" s="88" t="s">
        <v>1519</v>
      </c>
      <c r="AA107" s="88" t="s">
        <v>1520</v>
      </c>
      <c r="AB107" s="88" t="s">
        <v>1520</v>
      </c>
      <c r="AC107" s="88" t="s">
        <v>1521</v>
      </c>
      <c r="AD107" s="89"/>
      <c r="AE107" s="18" t="s">
        <v>92</v>
      </c>
      <c r="AF107" s="18"/>
      <c r="AG107" s="18"/>
      <c r="AH107" s="18"/>
      <c r="AI107" s="18"/>
      <c r="AJ107" s="18"/>
      <c r="AK107" s="18"/>
      <c r="AL107" s="18"/>
      <c r="AM107" s="18"/>
    </row>
    <row r="108">
      <c r="A108" s="11"/>
      <c r="B108" s="12" t="s">
        <v>34</v>
      </c>
      <c r="C108" s="12" t="s">
        <v>65</v>
      </c>
      <c r="D108" s="12" t="s">
        <v>83</v>
      </c>
      <c r="E108" s="12" t="s">
        <v>120</v>
      </c>
      <c r="F108" s="13" t="s">
        <v>121</v>
      </c>
      <c r="G108" s="12" t="s">
        <v>68</v>
      </c>
      <c r="H108" s="12" t="s">
        <v>122</v>
      </c>
      <c r="I108" s="12" t="s">
        <v>123</v>
      </c>
      <c r="J108" s="17" t="s">
        <v>73</v>
      </c>
      <c r="K108" s="17" t="s">
        <v>74</v>
      </c>
      <c r="L108" s="17" t="s">
        <v>134</v>
      </c>
      <c r="M108" s="20">
        <v>45831.0</v>
      </c>
      <c r="N108" s="17" t="s">
        <v>194</v>
      </c>
      <c r="O108" s="88" t="s">
        <v>1519</v>
      </c>
      <c r="P108" s="88" t="s">
        <v>1519</v>
      </c>
      <c r="Q108" s="88" t="s">
        <v>1521</v>
      </c>
      <c r="R108" s="88" t="s">
        <v>1520</v>
      </c>
      <c r="S108" s="88" t="s">
        <v>1519</v>
      </c>
      <c r="T108" s="88" t="s">
        <v>1520</v>
      </c>
      <c r="U108" s="88" t="s">
        <v>1520</v>
      </c>
      <c r="V108" s="88" t="s">
        <v>1520</v>
      </c>
      <c r="W108" s="88" t="s">
        <v>1521</v>
      </c>
      <c r="X108" s="88" t="s">
        <v>1519</v>
      </c>
      <c r="Y108" s="88" t="s">
        <v>1519</v>
      </c>
      <c r="Z108" s="88" t="s">
        <v>1520</v>
      </c>
      <c r="AA108" s="88" t="s">
        <v>1519</v>
      </c>
      <c r="AB108" s="88" t="s">
        <v>1520</v>
      </c>
      <c r="AC108" s="88" t="s">
        <v>1521</v>
      </c>
      <c r="AD108" s="89"/>
      <c r="AE108" s="18" t="s">
        <v>92</v>
      </c>
      <c r="AF108" s="18"/>
      <c r="AG108" s="18"/>
      <c r="AH108" s="18"/>
      <c r="AI108" s="18"/>
      <c r="AJ108" s="18"/>
      <c r="AK108" s="18"/>
      <c r="AL108" s="18"/>
      <c r="AM108" s="18"/>
    </row>
    <row r="109">
      <c r="A109" s="11"/>
      <c r="B109" s="12" t="s">
        <v>34</v>
      </c>
      <c r="C109" s="12" t="s">
        <v>65</v>
      </c>
      <c r="D109" s="12" t="s">
        <v>83</v>
      </c>
      <c r="E109" s="12" t="s">
        <v>120</v>
      </c>
      <c r="F109" s="13" t="s">
        <v>121</v>
      </c>
      <c r="G109" s="12" t="s">
        <v>68</v>
      </c>
      <c r="H109" s="12" t="s">
        <v>122</v>
      </c>
      <c r="I109" s="12" t="s">
        <v>123</v>
      </c>
      <c r="J109" s="17" t="s">
        <v>73</v>
      </c>
      <c r="K109" s="17" t="s">
        <v>74</v>
      </c>
      <c r="L109" s="17" t="s">
        <v>137</v>
      </c>
      <c r="M109" s="20">
        <v>45831.0</v>
      </c>
      <c r="N109" s="17" t="s">
        <v>194</v>
      </c>
      <c r="O109" s="88" t="s">
        <v>1519</v>
      </c>
      <c r="P109" s="88" t="s">
        <v>1519</v>
      </c>
      <c r="Q109" s="88" t="s">
        <v>1520</v>
      </c>
      <c r="R109" s="88" t="s">
        <v>1520</v>
      </c>
      <c r="S109" s="88" t="s">
        <v>1519</v>
      </c>
      <c r="T109" s="88" t="s">
        <v>1520</v>
      </c>
      <c r="U109" s="88" t="s">
        <v>1520</v>
      </c>
      <c r="V109" s="88" t="s">
        <v>1521</v>
      </c>
      <c r="W109" s="88" t="s">
        <v>1519</v>
      </c>
      <c r="X109" s="88" t="s">
        <v>1519</v>
      </c>
      <c r="Y109" s="88" t="s">
        <v>1520</v>
      </c>
      <c r="Z109" s="88" t="s">
        <v>1519</v>
      </c>
      <c r="AA109" s="88" t="s">
        <v>1519</v>
      </c>
      <c r="AB109" s="88" t="s">
        <v>1521</v>
      </c>
      <c r="AC109" s="88" t="s">
        <v>1521</v>
      </c>
      <c r="AD109" s="89"/>
      <c r="AE109" s="18" t="s">
        <v>92</v>
      </c>
      <c r="AF109" s="18"/>
      <c r="AG109" s="18"/>
      <c r="AH109" s="18"/>
      <c r="AI109" s="18"/>
      <c r="AJ109" s="18"/>
      <c r="AK109" s="18"/>
      <c r="AL109" s="18"/>
      <c r="AM109" s="18"/>
    </row>
    <row r="110">
      <c r="A110" s="11"/>
      <c r="B110" s="12" t="s">
        <v>34</v>
      </c>
      <c r="C110" s="12" t="s">
        <v>65</v>
      </c>
      <c r="D110" s="12" t="s">
        <v>83</v>
      </c>
      <c r="E110" s="12" t="s">
        <v>120</v>
      </c>
      <c r="F110" s="13" t="s">
        <v>121</v>
      </c>
      <c r="G110" s="12" t="s">
        <v>68</v>
      </c>
      <c r="H110" s="12" t="s">
        <v>122</v>
      </c>
      <c r="I110" s="12" t="s">
        <v>123</v>
      </c>
      <c r="J110" s="17" t="s">
        <v>73</v>
      </c>
      <c r="K110" s="17" t="s">
        <v>74</v>
      </c>
      <c r="L110" s="17" t="s">
        <v>1613</v>
      </c>
      <c r="M110" s="20">
        <v>45831.0</v>
      </c>
      <c r="N110" s="17" t="s">
        <v>194</v>
      </c>
      <c r="O110" s="88" t="s">
        <v>1519</v>
      </c>
      <c r="P110" s="88" t="s">
        <v>1519</v>
      </c>
      <c r="Q110" s="88" t="s">
        <v>1521</v>
      </c>
      <c r="R110" s="88" t="s">
        <v>1519</v>
      </c>
      <c r="S110" s="88" t="s">
        <v>1521</v>
      </c>
      <c r="T110" s="88" t="s">
        <v>1520</v>
      </c>
      <c r="U110" s="88" t="s">
        <v>1520</v>
      </c>
      <c r="V110" s="88" t="s">
        <v>1520</v>
      </c>
      <c r="W110" s="88" t="s">
        <v>1520</v>
      </c>
      <c r="X110" s="88" t="s">
        <v>1520</v>
      </c>
      <c r="Y110" s="88" t="s">
        <v>1520</v>
      </c>
      <c r="Z110" s="88" t="s">
        <v>1521</v>
      </c>
      <c r="AA110" s="88" t="s">
        <v>1520</v>
      </c>
      <c r="AB110" s="88" t="s">
        <v>1519</v>
      </c>
      <c r="AC110" s="88" t="s">
        <v>1520</v>
      </c>
      <c r="AD110" s="89"/>
      <c r="AE110" s="18" t="s">
        <v>92</v>
      </c>
      <c r="AF110" s="18"/>
      <c r="AG110" s="18"/>
      <c r="AH110" s="18"/>
      <c r="AI110" s="18"/>
      <c r="AJ110" s="18"/>
      <c r="AK110" s="18"/>
      <c r="AL110" s="18"/>
      <c r="AM110" s="18"/>
    </row>
    <row r="111">
      <c r="A111" s="11"/>
      <c r="B111" s="12" t="s">
        <v>34</v>
      </c>
      <c r="C111" s="12" t="s">
        <v>65</v>
      </c>
      <c r="D111" s="12" t="s">
        <v>83</v>
      </c>
      <c r="E111" s="12" t="s">
        <v>120</v>
      </c>
      <c r="F111" s="13" t="s">
        <v>121</v>
      </c>
      <c r="G111" s="12" t="s">
        <v>68</v>
      </c>
      <c r="H111" s="12" t="s">
        <v>122</v>
      </c>
      <c r="I111" s="12" t="s">
        <v>123</v>
      </c>
      <c r="J111" s="17" t="s">
        <v>73</v>
      </c>
      <c r="K111" s="17" t="s">
        <v>74</v>
      </c>
      <c r="L111" s="17" t="s">
        <v>140</v>
      </c>
      <c r="M111" s="20">
        <v>45968.0</v>
      </c>
      <c r="N111" s="17" t="s">
        <v>428</v>
      </c>
      <c r="O111" s="88" t="s">
        <v>1519</v>
      </c>
      <c r="P111" s="88" t="s">
        <v>1520</v>
      </c>
      <c r="Q111" s="88" t="s">
        <v>1520</v>
      </c>
      <c r="R111" s="88" t="s">
        <v>1520</v>
      </c>
      <c r="S111" s="88" t="s">
        <v>1519</v>
      </c>
      <c r="T111" s="88" t="s">
        <v>1520</v>
      </c>
      <c r="U111" s="88" t="s">
        <v>1519</v>
      </c>
      <c r="V111" s="88" t="s">
        <v>1519</v>
      </c>
      <c r="W111" s="88" t="s">
        <v>1519</v>
      </c>
      <c r="X111" s="88" t="s">
        <v>1520</v>
      </c>
      <c r="Y111" s="88" t="s">
        <v>1520</v>
      </c>
      <c r="Z111" s="88" t="s">
        <v>1520</v>
      </c>
      <c r="AA111" s="88" t="s">
        <v>1520</v>
      </c>
      <c r="AB111" s="88" t="s">
        <v>1519</v>
      </c>
      <c r="AC111" s="88" t="s">
        <v>1519</v>
      </c>
      <c r="AD111" s="89"/>
      <c r="AE111" s="18" t="s">
        <v>92</v>
      </c>
      <c r="AF111" s="18"/>
      <c r="AG111" s="18"/>
      <c r="AH111" s="18"/>
      <c r="AI111" s="18"/>
      <c r="AJ111" s="18"/>
      <c r="AK111" s="18"/>
      <c r="AL111" s="18"/>
      <c r="AM111" s="18"/>
    </row>
    <row r="112">
      <c r="A112" s="11"/>
      <c r="B112" s="12" t="s">
        <v>34</v>
      </c>
      <c r="C112" s="12" t="s">
        <v>65</v>
      </c>
      <c r="D112" s="12" t="s">
        <v>83</v>
      </c>
      <c r="E112" s="12" t="s">
        <v>120</v>
      </c>
      <c r="F112" s="13" t="s">
        <v>121</v>
      </c>
      <c r="G112" s="12" t="s">
        <v>68</v>
      </c>
      <c r="H112" s="12" t="s">
        <v>122</v>
      </c>
      <c r="I112" s="12" t="s">
        <v>123</v>
      </c>
      <c r="J112" s="17" t="s">
        <v>108</v>
      </c>
      <c r="K112" s="17" t="s">
        <v>109</v>
      </c>
      <c r="L112" s="17" t="s">
        <v>131</v>
      </c>
      <c r="M112" s="20">
        <v>45968.0</v>
      </c>
      <c r="N112" s="17" t="s">
        <v>428</v>
      </c>
      <c r="O112" s="88" t="s">
        <v>1519</v>
      </c>
      <c r="P112" s="88" t="s">
        <v>1519</v>
      </c>
      <c r="Q112" s="88" t="s">
        <v>1519</v>
      </c>
      <c r="R112" s="88" t="s">
        <v>1520</v>
      </c>
      <c r="S112" s="88" t="s">
        <v>1519</v>
      </c>
      <c r="T112" s="88" t="s">
        <v>1519</v>
      </c>
      <c r="U112" s="88" t="s">
        <v>1519</v>
      </c>
      <c r="V112" s="88" t="s">
        <v>1519</v>
      </c>
      <c r="W112" s="88" t="s">
        <v>1519</v>
      </c>
      <c r="X112" s="88" t="s">
        <v>1520</v>
      </c>
      <c r="Y112" s="88" t="s">
        <v>1519</v>
      </c>
      <c r="Z112" s="88" t="s">
        <v>1520</v>
      </c>
      <c r="AA112" s="88" t="s">
        <v>1519</v>
      </c>
      <c r="AB112" s="88" t="s">
        <v>1519</v>
      </c>
      <c r="AC112" s="88" t="s">
        <v>1519</v>
      </c>
      <c r="AD112" s="89"/>
      <c r="AE112" s="18" t="s">
        <v>92</v>
      </c>
      <c r="AF112" s="18"/>
      <c r="AG112" s="18"/>
      <c r="AH112" s="18"/>
      <c r="AI112" s="18"/>
      <c r="AJ112" s="18"/>
      <c r="AK112" s="18"/>
      <c r="AL112" s="18"/>
      <c r="AM112" s="18"/>
    </row>
    <row r="113">
      <c r="A113" s="11"/>
      <c r="B113" s="12" t="s">
        <v>34</v>
      </c>
      <c r="C113" s="12" t="s">
        <v>65</v>
      </c>
      <c r="D113" s="12" t="s">
        <v>83</v>
      </c>
      <c r="E113" s="12" t="s">
        <v>120</v>
      </c>
      <c r="F113" s="13" t="s">
        <v>121</v>
      </c>
      <c r="G113" s="12" t="s">
        <v>68</v>
      </c>
      <c r="H113" s="12" t="s">
        <v>122</v>
      </c>
      <c r="I113" s="12" t="s">
        <v>123</v>
      </c>
      <c r="J113" s="17" t="s">
        <v>112</v>
      </c>
      <c r="K113" s="17" t="s">
        <v>113</v>
      </c>
      <c r="L113" s="17" t="s">
        <v>128</v>
      </c>
      <c r="M113" s="20">
        <v>45968.0</v>
      </c>
      <c r="N113" s="17" t="s">
        <v>428</v>
      </c>
      <c r="O113" s="88" t="s">
        <v>1519</v>
      </c>
      <c r="P113" s="88" t="s">
        <v>1519</v>
      </c>
      <c r="Q113" s="88" t="s">
        <v>1519</v>
      </c>
      <c r="R113" s="88" t="s">
        <v>1520</v>
      </c>
      <c r="S113" s="88" t="s">
        <v>1519</v>
      </c>
      <c r="T113" s="88" t="s">
        <v>1519</v>
      </c>
      <c r="U113" s="88" t="s">
        <v>1520</v>
      </c>
      <c r="V113" s="88" t="s">
        <v>1519</v>
      </c>
      <c r="W113" s="88" t="s">
        <v>1519</v>
      </c>
      <c r="X113" s="88" t="s">
        <v>1519</v>
      </c>
      <c r="Y113" s="88" t="s">
        <v>1519</v>
      </c>
      <c r="Z113" s="88" t="s">
        <v>1519</v>
      </c>
      <c r="AA113" s="88" t="s">
        <v>1519</v>
      </c>
      <c r="AB113" s="88" t="s">
        <v>1519</v>
      </c>
      <c r="AC113" s="88" t="s">
        <v>1519</v>
      </c>
      <c r="AD113" s="89"/>
      <c r="AE113" s="18" t="s">
        <v>92</v>
      </c>
      <c r="AF113" s="18"/>
      <c r="AG113" s="18"/>
      <c r="AH113" s="18"/>
      <c r="AI113" s="18"/>
      <c r="AJ113" s="18"/>
      <c r="AK113" s="18"/>
      <c r="AL113" s="18"/>
      <c r="AM113" s="18"/>
    </row>
    <row r="114">
      <c r="A114" s="11"/>
      <c r="B114" s="12" t="s">
        <v>34</v>
      </c>
      <c r="C114" s="12" t="s">
        <v>65</v>
      </c>
      <c r="D114" s="12" t="s">
        <v>83</v>
      </c>
      <c r="E114" s="12" t="s">
        <v>120</v>
      </c>
      <c r="F114" s="13" t="s">
        <v>121</v>
      </c>
      <c r="G114" s="12" t="s">
        <v>68</v>
      </c>
      <c r="H114" s="12" t="s">
        <v>122</v>
      </c>
      <c r="I114" s="12" t="s">
        <v>123</v>
      </c>
      <c r="J114" s="17" t="s">
        <v>112</v>
      </c>
      <c r="K114" s="17" t="s">
        <v>113</v>
      </c>
      <c r="L114" s="17" t="s">
        <v>125</v>
      </c>
      <c r="M114" s="20">
        <v>45968.0</v>
      </c>
      <c r="N114" s="17" t="s">
        <v>428</v>
      </c>
      <c r="O114" s="88" t="s">
        <v>1519</v>
      </c>
      <c r="P114" s="88" t="s">
        <v>1519</v>
      </c>
      <c r="Q114" s="88" t="s">
        <v>1519</v>
      </c>
      <c r="R114" s="88" t="s">
        <v>1519</v>
      </c>
      <c r="S114" s="88" t="s">
        <v>1519</v>
      </c>
      <c r="T114" s="88" t="s">
        <v>1519</v>
      </c>
      <c r="U114" s="88" t="s">
        <v>1519</v>
      </c>
      <c r="V114" s="88" t="s">
        <v>1519</v>
      </c>
      <c r="W114" s="88" t="s">
        <v>1519</v>
      </c>
      <c r="X114" s="88" t="s">
        <v>1519</v>
      </c>
      <c r="Y114" s="88" t="s">
        <v>1519</v>
      </c>
      <c r="Z114" s="88" t="s">
        <v>1519</v>
      </c>
      <c r="AA114" s="88" t="s">
        <v>1519</v>
      </c>
      <c r="AB114" s="88" t="s">
        <v>1519</v>
      </c>
      <c r="AC114" s="88" t="s">
        <v>1519</v>
      </c>
      <c r="AD114" s="89"/>
      <c r="AE114" s="18" t="s">
        <v>92</v>
      </c>
      <c r="AF114" s="18"/>
      <c r="AG114" s="18"/>
      <c r="AH114" s="18"/>
      <c r="AI114" s="18"/>
      <c r="AJ114" s="18"/>
      <c r="AK114" s="18"/>
      <c r="AL114" s="18"/>
      <c r="AM114" s="18"/>
    </row>
    <row r="115">
      <c r="A115" s="11"/>
      <c r="B115" s="12" t="s">
        <v>34</v>
      </c>
      <c r="C115" s="12" t="s">
        <v>65</v>
      </c>
      <c r="D115" s="12" t="s">
        <v>83</v>
      </c>
      <c r="E115" s="12" t="s">
        <v>120</v>
      </c>
      <c r="F115" s="13" t="s">
        <v>121</v>
      </c>
      <c r="G115" s="12" t="s">
        <v>68</v>
      </c>
      <c r="H115" s="12" t="s">
        <v>122</v>
      </c>
      <c r="I115" s="12" t="s">
        <v>123</v>
      </c>
      <c r="J115" s="17" t="s">
        <v>73</v>
      </c>
      <c r="K115" s="17" t="s">
        <v>74</v>
      </c>
      <c r="L115" s="17" t="s">
        <v>134</v>
      </c>
      <c r="M115" s="20">
        <v>45968.0</v>
      </c>
      <c r="N115" s="17" t="s">
        <v>428</v>
      </c>
      <c r="O115" s="88" t="s">
        <v>1519</v>
      </c>
      <c r="P115" s="88" t="s">
        <v>1519</v>
      </c>
      <c r="Q115" s="88" t="s">
        <v>1520</v>
      </c>
      <c r="R115" s="88" t="s">
        <v>1520</v>
      </c>
      <c r="S115" s="88" t="s">
        <v>1519</v>
      </c>
      <c r="T115" s="88" t="s">
        <v>1519</v>
      </c>
      <c r="U115" s="88" t="s">
        <v>1520</v>
      </c>
      <c r="V115" s="88" t="s">
        <v>1519</v>
      </c>
      <c r="W115" s="88" t="s">
        <v>1519</v>
      </c>
      <c r="X115" s="88" t="s">
        <v>1519</v>
      </c>
      <c r="Y115" s="88" t="s">
        <v>1520</v>
      </c>
      <c r="Z115" s="88" t="s">
        <v>1520</v>
      </c>
      <c r="AA115" s="88" t="s">
        <v>1519</v>
      </c>
      <c r="AB115" s="88" t="s">
        <v>1520</v>
      </c>
      <c r="AC115" s="88" t="s">
        <v>1520</v>
      </c>
      <c r="AD115" s="89"/>
      <c r="AE115" s="18" t="s">
        <v>92</v>
      </c>
      <c r="AF115" s="18"/>
      <c r="AG115" s="18"/>
      <c r="AH115" s="18"/>
      <c r="AI115" s="18"/>
      <c r="AJ115" s="18"/>
      <c r="AK115" s="18"/>
      <c r="AL115" s="18"/>
      <c r="AM115" s="18"/>
    </row>
    <row r="116">
      <c r="A116" s="11"/>
      <c r="B116" s="12" t="s">
        <v>34</v>
      </c>
      <c r="C116" s="12" t="s">
        <v>65</v>
      </c>
      <c r="D116" s="12" t="s">
        <v>83</v>
      </c>
      <c r="E116" s="12" t="s">
        <v>120</v>
      </c>
      <c r="F116" s="13" t="s">
        <v>121</v>
      </c>
      <c r="G116" s="12" t="s">
        <v>68</v>
      </c>
      <c r="H116" s="12" t="s">
        <v>122</v>
      </c>
      <c r="I116" s="12" t="s">
        <v>123</v>
      </c>
      <c r="J116" s="17" t="s">
        <v>73</v>
      </c>
      <c r="K116" s="17" t="s">
        <v>74</v>
      </c>
      <c r="L116" s="17" t="s">
        <v>137</v>
      </c>
      <c r="M116" s="20">
        <v>45968.0</v>
      </c>
      <c r="N116" s="17" t="s">
        <v>428</v>
      </c>
      <c r="O116" s="88" t="s">
        <v>1519</v>
      </c>
      <c r="P116" s="88" t="s">
        <v>1519</v>
      </c>
      <c r="Q116" s="88" t="s">
        <v>1519</v>
      </c>
      <c r="R116" s="88" t="s">
        <v>1520</v>
      </c>
      <c r="S116" s="88" t="s">
        <v>1519</v>
      </c>
      <c r="T116" s="88" t="s">
        <v>1519</v>
      </c>
      <c r="U116" s="88" t="s">
        <v>1520</v>
      </c>
      <c r="V116" s="88" t="s">
        <v>1519</v>
      </c>
      <c r="W116" s="88" t="s">
        <v>1519</v>
      </c>
      <c r="X116" s="88" t="s">
        <v>1519</v>
      </c>
      <c r="Y116" s="88" t="s">
        <v>1519</v>
      </c>
      <c r="Z116" s="88" t="s">
        <v>1519</v>
      </c>
      <c r="AA116" s="88" t="s">
        <v>1519</v>
      </c>
      <c r="AB116" s="88" t="s">
        <v>1519</v>
      </c>
      <c r="AC116" s="88" t="s">
        <v>1519</v>
      </c>
      <c r="AD116" s="89"/>
      <c r="AE116" s="18" t="s">
        <v>92</v>
      </c>
      <c r="AF116" s="18"/>
      <c r="AG116" s="18"/>
      <c r="AH116" s="18"/>
      <c r="AI116" s="18"/>
      <c r="AJ116" s="18"/>
      <c r="AK116" s="18"/>
      <c r="AL116" s="18"/>
      <c r="AM116" s="18"/>
    </row>
    <row r="117">
      <c r="A117" s="11"/>
      <c r="B117" s="12" t="s">
        <v>34</v>
      </c>
      <c r="C117" s="12" t="s">
        <v>65</v>
      </c>
      <c r="D117" s="12" t="s">
        <v>83</v>
      </c>
      <c r="E117" s="12" t="s">
        <v>120</v>
      </c>
      <c r="F117" s="13" t="s">
        <v>121</v>
      </c>
      <c r="G117" s="12" t="s">
        <v>68</v>
      </c>
      <c r="H117" s="12" t="s">
        <v>122</v>
      </c>
      <c r="I117" s="12" t="s">
        <v>123</v>
      </c>
      <c r="J117" s="17" t="s">
        <v>73</v>
      </c>
      <c r="K117" s="17" t="s">
        <v>74</v>
      </c>
      <c r="L117" s="17" t="s">
        <v>1613</v>
      </c>
      <c r="M117" s="20">
        <v>45968.0</v>
      </c>
      <c r="N117" s="17" t="s">
        <v>428</v>
      </c>
      <c r="O117" s="88" t="s">
        <v>1519</v>
      </c>
      <c r="P117" s="88" t="s">
        <v>1519</v>
      </c>
      <c r="Q117" s="88" t="s">
        <v>1521</v>
      </c>
      <c r="R117" s="88" t="s">
        <v>1519</v>
      </c>
      <c r="S117" s="88" t="s">
        <v>1519</v>
      </c>
      <c r="T117" s="88" t="s">
        <v>1519</v>
      </c>
      <c r="U117" s="88" t="s">
        <v>1519</v>
      </c>
      <c r="V117" s="88" t="s">
        <v>1519</v>
      </c>
      <c r="W117" s="88" t="s">
        <v>1520</v>
      </c>
      <c r="X117" s="88" t="s">
        <v>1519</v>
      </c>
      <c r="Y117" s="88" t="s">
        <v>1520</v>
      </c>
      <c r="Z117" s="88" t="s">
        <v>1519</v>
      </c>
      <c r="AA117" s="88" t="s">
        <v>1520</v>
      </c>
      <c r="AB117" s="88" t="s">
        <v>1519</v>
      </c>
      <c r="AC117" s="88" t="s">
        <v>1520</v>
      </c>
      <c r="AD117" s="89"/>
      <c r="AE117" s="18" t="s">
        <v>92</v>
      </c>
      <c r="AF117" s="18"/>
      <c r="AG117" s="18"/>
      <c r="AH117" s="18"/>
      <c r="AI117" s="18"/>
      <c r="AJ117" s="18"/>
      <c r="AK117" s="18"/>
      <c r="AL117" s="18"/>
      <c r="AM117" s="18"/>
    </row>
    <row r="118">
      <c r="A118" s="11"/>
      <c r="B118" s="12" t="s">
        <v>34</v>
      </c>
      <c r="C118" s="12" t="s">
        <v>65</v>
      </c>
      <c r="D118" s="12" t="s">
        <v>102</v>
      </c>
      <c r="E118" s="12" t="s">
        <v>455</v>
      </c>
      <c r="F118" s="13" t="s">
        <v>456</v>
      </c>
      <c r="G118" s="12" t="s">
        <v>68</v>
      </c>
      <c r="H118" s="12" t="s">
        <v>457</v>
      </c>
      <c r="I118" s="12" t="s">
        <v>458</v>
      </c>
      <c r="J118" s="17" t="s">
        <v>108</v>
      </c>
      <c r="K118" s="17" t="s">
        <v>109</v>
      </c>
      <c r="L118" s="17" t="s">
        <v>1614</v>
      </c>
      <c r="M118" s="20">
        <v>45840.0</v>
      </c>
      <c r="N118" s="17" t="s">
        <v>194</v>
      </c>
      <c r="O118" s="88" t="s">
        <v>1519</v>
      </c>
      <c r="P118" s="88" t="s">
        <v>1519</v>
      </c>
      <c r="Q118" s="88" t="s">
        <v>1519</v>
      </c>
      <c r="R118" s="88" t="s">
        <v>1519</v>
      </c>
      <c r="S118" s="88" t="s">
        <v>1519</v>
      </c>
      <c r="T118" s="88" t="s">
        <v>1520</v>
      </c>
      <c r="U118" s="88" t="s">
        <v>1519</v>
      </c>
      <c r="V118" s="88" t="s">
        <v>1521</v>
      </c>
      <c r="W118" s="88" t="s">
        <v>1519</v>
      </c>
      <c r="X118" s="88" t="s">
        <v>1519</v>
      </c>
      <c r="Y118" s="88" t="s">
        <v>1519</v>
      </c>
      <c r="Z118" s="88" t="s">
        <v>1519</v>
      </c>
      <c r="AA118" s="88" t="s">
        <v>1521</v>
      </c>
      <c r="AB118" s="88" t="s">
        <v>1521</v>
      </c>
      <c r="AC118" s="88" t="s">
        <v>1521</v>
      </c>
      <c r="AD118" s="89"/>
      <c r="AE118" s="18" t="s">
        <v>92</v>
      </c>
      <c r="AF118" s="18"/>
      <c r="AG118" s="18"/>
      <c r="AH118" s="18"/>
      <c r="AI118" s="18"/>
      <c r="AJ118" s="18"/>
      <c r="AK118" s="18"/>
      <c r="AL118" s="18"/>
      <c r="AM118" s="18"/>
    </row>
    <row r="119">
      <c r="A119" s="11"/>
      <c r="B119" s="12" t="s">
        <v>34</v>
      </c>
      <c r="C119" s="12" t="s">
        <v>65</v>
      </c>
      <c r="D119" s="12" t="s">
        <v>102</v>
      </c>
      <c r="E119" s="12" t="s">
        <v>455</v>
      </c>
      <c r="F119" s="13" t="s">
        <v>456</v>
      </c>
      <c r="G119" s="12" t="s">
        <v>68</v>
      </c>
      <c r="H119" s="12" t="s">
        <v>457</v>
      </c>
      <c r="I119" s="12" t="s">
        <v>458</v>
      </c>
      <c r="J119" s="17" t="s">
        <v>108</v>
      </c>
      <c r="K119" s="17" t="s">
        <v>109</v>
      </c>
      <c r="L119" s="17" t="s">
        <v>1615</v>
      </c>
      <c r="M119" s="20">
        <v>45840.0</v>
      </c>
      <c r="N119" s="17" t="s">
        <v>194</v>
      </c>
      <c r="O119" s="88" t="s">
        <v>1519</v>
      </c>
      <c r="P119" s="88" t="s">
        <v>1519</v>
      </c>
      <c r="Q119" s="88" t="s">
        <v>1521</v>
      </c>
      <c r="R119" s="88" t="s">
        <v>1520</v>
      </c>
      <c r="S119" s="88" t="s">
        <v>1519</v>
      </c>
      <c r="T119" s="88" t="s">
        <v>1520</v>
      </c>
      <c r="U119" s="88" t="s">
        <v>1519</v>
      </c>
      <c r="V119" s="88" t="s">
        <v>1521</v>
      </c>
      <c r="W119" s="88" t="s">
        <v>1519</v>
      </c>
      <c r="X119" s="88" t="s">
        <v>1519</v>
      </c>
      <c r="Y119" s="88" t="s">
        <v>1519</v>
      </c>
      <c r="Z119" s="88" t="s">
        <v>1519</v>
      </c>
      <c r="AA119" s="88" t="s">
        <v>1519</v>
      </c>
      <c r="AB119" s="88" t="s">
        <v>1519</v>
      </c>
      <c r="AC119" s="88" t="s">
        <v>1521</v>
      </c>
      <c r="AD119" s="89"/>
      <c r="AE119" s="18" t="s">
        <v>92</v>
      </c>
      <c r="AF119" s="18"/>
      <c r="AG119" s="18"/>
      <c r="AH119" s="18"/>
      <c r="AI119" s="18"/>
      <c r="AJ119" s="18"/>
      <c r="AK119" s="18"/>
      <c r="AL119" s="18"/>
      <c r="AM119" s="18"/>
    </row>
    <row r="120">
      <c r="A120" s="11"/>
      <c r="B120" s="12" t="s">
        <v>34</v>
      </c>
      <c r="C120" s="12" t="s">
        <v>65</v>
      </c>
      <c r="D120" s="12" t="s">
        <v>102</v>
      </c>
      <c r="E120" s="12" t="s">
        <v>455</v>
      </c>
      <c r="F120" s="13" t="s">
        <v>456</v>
      </c>
      <c r="G120" s="12" t="s">
        <v>68</v>
      </c>
      <c r="H120" s="12" t="s">
        <v>457</v>
      </c>
      <c r="I120" s="12" t="s">
        <v>458</v>
      </c>
      <c r="J120" s="17" t="s">
        <v>108</v>
      </c>
      <c r="K120" s="17" t="s">
        <v>109</v>
      </c>
      <c r="L120" s="17" t="s">
        <v>1616</v>
      </c>
      <c r="M120" s="20">
        <v>45840.0</v>
      </c>
      <c r="N120" s="17" t="s">
        <v>194</v>
      </c>
      <c r="O120" s="88" t="s">
        <v>1519</v>
      </c>
      <c r="P120" s="88" t="s">
        <v>1519</v>
      </c>
      <c r="Q120" s="88" t="s">
        <v>1521</v>
      </c>
      <c r="R120" s="88" t="s">
        <v>1519</v>
      </c>
      <c r="S120" s="88" t="s">
        <v>1519</v>
      </c>
      <c r="T120" s="88" t="s">
        <v>1520</v>
      </c>
      <c r="U120" s="88" t="s">
        <v>1519</v>
      </c>
      <c r="V120" s="88" t="s">
        <v>1521</v>
      </c>
      <c r="W120" s="88" t="s">
        <v>1521</v>
      </c>
      <c r="X120" s="88" t="s">
        <v>1519</v>
      </c>
      <c r="Y120" s="88" t="s">
        <v>1519</v>
      </c>
      <c r="Z120" s="88" t="s">
        <v>1520</v>
      </c>
      <c r="AA120" s="88" t="s">
        <v>1521</v>
      </c>
      <c r="AB120" s="88" t="s">
        <v>1520</v>
      </c>
      <c r="AC120" s="88" t="s">
        <v>1520</v>
      </c>
      <c r="AD120" s="89"/>
      <c r="AE120" s="18" t="s">
        <v>92</v>
      </c>
      <c r="AF120" s="18"/>
      <c r="AG120" s="18"/>
      <c r="AH120" s="18"/>
      <c r="AI120" s="18"/>
      <c r="AJ120" s="18"/>
      <c r="AK120" s="18"/>
      <c r="AL120" s="18"/>
      <c r="AM120" s="18"/>
    </row>
    <row r="121">
      <c r="A121" s="11"/>
      <c r="B121" s="12" t="s">
        <v>34</v>
      </c>
      <c r="C121" s="12" t="s">
        <v>65</v>
      </c>
      <c r="D121" s="12" t="s">
        <v>102</v>
      </c>
      <c r="E121" s="12" t="s">
        <v>455</v>
      </c>
      <c r="F121" s="13" t="s">
        <v>456</v>
      </c>
      <c r="G121" s="12" t="s">
        <v>68</v>
      </c>
      <c r="H121" s="12" t="s">
        <v>457</v>
      </c>
      <c r="I121" s="12" t="s">
        <v>458</v>
      </c>
      <c r="J121" s="17" t="s">
        <v>108</v>
      </c>
      <c r="K121" s="17" t="s">
        <v>109</v>
      </c>
      <c r="L121" s="17" t="s">
        <v>1617</v>
      </c>
      <c r="M121" s="20">
        <v>45840.0</v>
      </c>
      <c r="N121" s="17" t="s">
        <v>194</v>
      </c>
      <c r="O121" s="88" t="s">
        <v>1519</v>
      </c>
      <c r="P121" s="88" t="s">
        <v>1519</v>
      </c>
      <c r="Q121" s="88" t="s">
        <v>1521</v>
      </c>
      <c r="R121" s="88" t="s">
        <v>1520</v>
      </c>
      <c r="S121" s="88" t="s">
        <v>1519</v>
      </c>
      <c r="T121" s="88" t="s">
        <v>1520</v>
      </c>
      <c r="U121" s="88" t="s">
        <v>1519</v>
      </c>
      <c r="V121" s="88" t="s">
        <v>1521</v>
      </c>
      <c r="W121" s="88" t="s">
        <v>1519</v>
      </c>
      <c r="X121" s="88" t="s">
        <v>1519</v>
      </c>
      <c r="Y121" s="88" t="s">
        <v>1520</v>
      </c>
      <c r="Z121" s="88" t="s">
        <v>1519</v>
      </c>
      <c r="AA121" s="88" t="s">
        <v>1521</v>
      </c>
      <c r="AB121" s="88" t="s">
        <v>1521</v>
      </c>
      <c r="AC121" s="88" t="s">
        <v>1521</v>
      </c>
      <c r="AD121" s="89"/>
      <c r="AE121" s="18" t="s">
        <v>92</v>
      </c>
      <c r="AF121" s="18"/>
      <c r="AG121" s="18"/>
      <c r="AH121" s="18"/>
      <c r="AI121" s="18"/>
      <c r="AJ121" s="18"/>
      <c r="AK121" s="18"/>
      <c r="AL121" s="18"/>
      <c r="AM121" s="18"/>
    </row>
    <row r="122">
      <c r="A122" s="11"/>
      <c r="B122" s="12" t="s">
        <v>34</v>
      </c>
      <c r="C122" s="12" t="s">
        <v>65</v>
      </c>
      <c r="D122" s="12" t="s">
        <v>102</v>
      </c>
      <c r="E122" s="12" t="s">
        <v>455</v>
      </c>
      <c r="F122" s="13" t="s">
        <v>456</v>
      </c>
      <c r="G122" s="12" t="s">
        <v>68</v>
      </c>
      <c r="H122" s="12" t="s">
        <v>457</v>
      </c>
      <c r="I122" s="12" t="s">
        <v>458</v>
      </c>
      <c r="J122" s="17" t="s">
        <v>108</v>
      </c>
      <c r="K122" s="17" t="s">
        <v>109</v>
      </c>
      <c r="L122" s="17" t="s">
        <v>1618</v>
      </c>
      <c r="M122" s="20">
        <v>45840.0</v>
      </c>
      <c r="N122" s="17" t="s">
        <v>194</v>
      </c>
      <c r="O122" s="88" t="s">
        <v>1519</v>
      </c>
      <c r="P122" s="88" t="s">
        <v>1519</v>
      </c>
      <c r="Q122" s="88" t="s">
        <v>1519</v>
      </c>
      <c r="R122" s="88" t="s">
        <v>1519</v>
      </c>
      <c r="S122" s="88" t="s">
        <v>1519</v>
      </c>
      <c r="T122" s="88" t="s">
        <v>1520</v>
      </c>
      <c r="U122" s="88" t="s">
        <v>1519</v>
      </c>
      <c r="V122" s="88" t="s">
        <v>1521</v>
      </c>
      <c r="W122" s="88" t="s">
        <v>1520</v>
      </c>
      <c r="X122" s="88" t="s">
        <v>1519</v>
      </c>
      <c r="Y122" s="88" t="s">
        <v>1520</v>
      </c>
      <c r="Z122" s="88" t="s">
        <v>1519</v>
      </c>
      <c r="AA122" s="88" t="s">
        <v>1519</v>
      </c>
      <c r="AB122" s="88" t="s">
        <v>1521</v>
      </c>
      <c r="AC122" s="88" t="s">
        <v>1520</v>
      </c>
      <c r="AD122" s="89"/>
      <c r="AE122" s="18" t="s">
        <v>92</v>
      </c>
      <c r="AF122" s="18"/>
      <c r="AG122" s="18"/>
      <c r="AH122" s="18"/>
      <c r="AI122" s="18"/>
      <c r="AJ122" s="18"/>
      <c r="AK122" s="18"/>
      <c r="AL122" s="18"/>
      <c r="AM122" s="18"/>
    </row>
    <row r="123">
      <c r="A123" s="11"/>
      <c r="B123" s="12" t="s">
        <v>34</v>
      </c>
      <c r="C123" s="12" t="s">
        <v>65</v>
      </c>
      <c r="D123" s="12" t="s">
        <v>102</v>
      </c>
      <c r="E123" s="12" t="s">
        <v>455</v>
      </c>
      <c r="F123" s="13" t="s">
        <v>456</v>
      </c>
      <c r="G123" s="12" t="s">
        <v>68</v>
      </c>
      <c r="H123" s="12" t="s">
        <v>457</v>
      </c>
      <c r="I123" s="12" t="s">
        <v>458</v>
      </c>
      <c r="J123" s="17" t="s">
        <v>108</v>
      </c>
      <c r="K123" s="17" t="s">
        <v>109</v>
      </c>
      <c r="L123" s="17" t="s">
        <v>1619</v>
      </c>
      <c r="M123" s="20">
        <v>45840.0</v>
      </c>
      <c r="N123" s="17" t="s">
        <v>194</v>
      </c>
      <c r="O123" s="88" t="s">
        <v>1519</v>
      </c>
      <c r="P123" s="88" t="s">
        <v>1519</v>
      </c>
      <c r="Q123" s="88" t="s">
        <v>1519</v>
      </c>
      <c r="R123" s="88" t="s">
        <v>1520</v>
      </c>
      <c r="S123" s="88" t="s">
        <v>1519</v>
      </c>
      <c r="T123" s="88" t="s">
        <v>1520</v>
      </c>
      <c r="U123" s="88" t="s">
        <v>1519</v>
      </c>
      <c r="V123" s="88" t="s">
        <v>1521</v>
      </c>
      <c r="W123" s="88" t="s">
        <v>1519</v>
      </c>
      <c r="X123" s="88" t="s">
        <v>1519</v>
      </c>
      <c r="Y123" s="88" t="s">
        <v>1519</v>
      </c>
      <c r="Z123" s="88" t="s">
        <v>1520</v>
      </c>
      <c r="AA123" s="88" t="s">
        <v>1520</v>
      </c>
      <c r="AB123" s="88" t="s">
        <v>1521</v>
      </c>
      <c r="AC123" s="88" t="s">
        <v>1521</v>
      </c>
      <c r="AD123" s="89"/>
      <c r="AE123" s="18" t="s">
        <v>92</v>
      </c>
      <c r="AF123" s="18"/>
      <c r="AG123" s="18"/>
      <c r="AH123" s="18"/>
      <c r="AI123" s="18"/>
      <c r="AJ123" s="18"/>
      <c r="AK123" s="18"/>
      <c r="AL123" s="18"/>
      <c r="AM123" s="18"/>
    </row>
    <row r="124">
      <c r="A124" s="11"/>
      <c r="B124" s="12" t="s">
        <v>34</v>
      </c>
      <c r="C124" s="12" t="s">
        <v>65</v>
      </c>
      <c r="D124" s="12" t="s">
        <v>102</v>
      </c>
      <c r="E124" s="12" t="s">
        <v>455</v>
      </c>
      <c r="F124" s="13" t="s">
        <v>456</v>
      </c>
      <c r="G124" s="12" t="s">
        <v>68</v>
      </c>
      <c r="H124" s="12" t="s">
        <v>457</v>
      </c>
      <c r="I124" s="12" t="s">
        <v>458</v>
      </c>
      <c r="J124" s="17" t="s">
        <v>108</v>
      </c>
      <c r="K124" s="17" t="s">
        <v>109</v>
      </c>
      <c r="L124" s="17" t="s">
        <v>1620</v>
      </c>
      <c r="M124" s="20">
        <v>45840.0</v>
      </c>
      <c r="N124" s="17" t="s">
        <v>194</v>
      </c>
      <c r="O124" s="88" t="s">
        <v>1519</v>
      </c>
      <c r="P124" s="88" t="s">
        <v>1519</v>
      </c>
      <c r="Q124" s="88" t="s">
        <v>1520</v>
      </c>
      <c r="R124" s="88" t="s">
        <v>1519</v>
      </c>
      <c r="S124" s="88" t="s">
        <v>1519</v>
      </c>
      <c r="T124" s="88" t="s">
        <v>1520</v>
      </c>
      <c r="U124" s="88" t="s">
        <v>1519</v>
      </c>
      <c r="V124" s="88" t="s">
        <v>1521</v>
      </c>
      <c r="W124" s="88" t="s">
        <v>1519</v>
      </c>
      <c r="X124" s="88" t="s">
        <v>1519</v>
      </c>
      <c r="Y124" s="88" t="s">
        <v>1519</v>
      </c>
      <c r="Z124" s="88" t="s">
        <v>1519</v>
      </c>
      <c r="AA124" s="88" t="s">
        <v>1521</v>
      </c>
      <c r="AB124" s="88" t="s">
        <v>1521</v>
      </c>
      <c r="AC124" s="88" t="s">
        <v>1521</v>
      </c>
      <c r="AD124" s="89"/>
      <c r="AE124" s="18" t="s">
        <v>92</v>
      </c>
      <c r="AF124" s="18"/>
      <c r="AG124" s="18"/>
      <c r="AH124" s="18"/>
      <c r="AI124" s="18"/>
      <c r="AJ124" s="18"/>
      <c r="AK124" s="18"/>
      <c r="AL124" s="18"/>
      <c r="AM124" s="18"/>
    </row>
    <row r="125">
      <c r="A125" s="11"/>
      <c r="B125" s="12" t="s">
        <v>34</v>
      </c>
      <c r="C125" s="12" t="s">
        <v>65</v>
      </c>
      <c r="D125" s="12" t="s">
        <v>102</v>
      </c>
      <c r="E125" s="12" t="s">
        <v>455</v>
      </c>
      <c r="F125" s="13" t="s">
        <v>456</v>
      </c>
      <c r="G125" s="12" t="s">
        <v>68</v>
      </c>
      <c r="H125" s="12" t="s">
        <v>457</v>
      </c>
      <c r="I125" s="12" t="s">
        <v>458</v>
      </c>
      <c r="J125" s="17" t="s">
        <v>108</v>
      </c>
      <c r="K125" s="17" t="s">
        <v>109</v>
      </c>
      <c r="L125" s="17" t="s">
        <v>1621</v>
      </c>
      <c r="M125" s="20">
        <v>45840.0</v>
      </c>
      <c r="N125" s="17" t="s">
        <v>194</v>
      </c>
      <c r="O125" s="88" t="s">
        <v>1519</v>
      </c>
      <c r="P125" s="88" t="s">
        <v>1519</v>
      </c>
      <c r="Q125" s="88" t="s">
        <v>1520</v>
      </c>
      <c r="R125" s="88" t="s">
        <v>1519</v>
      </c>
      <c r="S125" s="88" t="s">
        <v>1519</v>
      </c>
      <c r="T125" s="88" t="s">
        <v>1520</v>
      </c>
      <c r="U125" s="88" t="s">
        <v>1519</v>
      </c>
      <c r="V125" s="88" t="s">
        <v>1521</v>
      </c>
      <c r="W125" s="88" t="s">
        <v>1521</v>
      </c>
      <c r="X125" s="88" t="s">
        <v>1519</v>
      </c>
      <c r="Y125" s="88" t="s">
        <v>1519</v>
      </c>
      <c r="Z125" s="88" t="s">
        <v>1519</v>
      </c>
      <c r="AA125" s="88" t="s">
        <v>1521</v>
      </c>
      <c r="AB125" s="88" t="s">
        <v>1521</v>
      </c>
      <c r="AC125" s="88" t="s">
        <v>1521</v>
      </c>
      <c r="AD125" s="89"/>
      <c r="AE125" s="18" t="s">
        <v>92</v>
      </c>
      <c r="AF125" s="18"/>
      <c r="AG125" s="18"/>
      <c r="AH125" s="18"/>
      <c r="AI125" s="18"/>
      <c r="AJ125" s="18"/>
      <c r="AK125" s="18"/>
      <c r="AL125" s="18"/>
      <c r="AM125" s="18"/>
    </row>
    <row r="126">
      <c r="A126" s="11"/>
      <c r="B126" s="12" t="s">
        <v>34</v>
      </c>
      <c r="C126" s="12" t="s">
        <v>65</v>
      </c>
      <c r="D126" s="12" t="s">
        <v>102</v>
      </c>
      <c r="E126" s="12" t="s">
        <v>455</v>
      </c>
      <c r="F126" s="13" t="s">
        <v>456</v>
      </c>
      <c r="G126" s="12" t="s">
        <v>68</v>
      </c>
      <c r="H126" s="12" t="s">
        <v>457</v>
      </c>
      <c r="I126" s="12" t="s">
        <v>458</v>
      </c>
      <c r="J126" s="17" t="s">
        <v>112</v>
      </c>
      <c r="K126" s="17" t="s">
        <v>113</v>
      </c>
      <c r="L126" s="17" t="s">
        <v>1622</v>
      </c>
      <c r="M126" s="20">
        <v>45840.0</v>
      </c>
      <c r="N126" s="17" t="s">
        <v>194</v>
      </c>
      <c r="O126" s="88" t="s">
        <v>1519</v>
      </c>
      <c r="P126" s="88" t="s">
        <v>1519</v>
      </c>
      <c r="Q126" s="88" t="s">
        <v>1521</v>
      </c>
      <c r="R126" s="88" t="s">
        <v>1521</v>
      </c>
      <c r="S126" s="88" t="s">
        <v>1519</v>
      </c>
      <c r="T126" s="88" t="s">
        <v>1521</v>
      </c>
      <c r="U126" s="88" t="s">
        <v>1519</v>
      </c>
      <c r="V126" s="88" t="s">
        <v>1521</v>
      </c>
      <c r="W126" s="88" t="s">
        <v>1521</v>
      </c>
      <c r="X126" s="88" t="s">
        <v>1519</v>
      </c>
      <c r="Y126" s="88" t="s">
        <v>1520</v>
      </c>
      <c r="Z126" s="88" t="s">
        <v>1519</v>
      </c>
      <c r="AA126" s="88" t="s">
        <v>1521</v>
      </c>
      <c r="AB126" s="88" t="s">
        <v>1521</v>
      </c>
      <c r="AC126" s="88" t="s">
        <v>1521</v>
      </c>
      <c r="AD126" s="89"/>
      <c r="AE126" s="18" t="s">
        <v>92</v>
      </c>
      <c r="AF126" s="18"/>
      <c r="AG126" s="18"/>
      <c r="AH126" s="18"/>
      <c r="AI126" s="18"/>
      <c r="AJ126" s="18"/>
      <c r="AK126" s="18"/>
      <c r="AL126" s="18"/>
      <c r="AM126" s="18"/>
    </row>
    <row r="127">
      <c r="A127" s="11"/>
      <c r="B127" s="12" t="s">
        <v>34</v>
      </c>
      <c r="C127" s="12" t="s">
        <v>65</v>
      </c>
      <c r="D127" s="12" t="s">
        <v>102</v>
      </c>
      <c r="E127" s="12" t="s">
        <v>455</v>
      </c>
      <c r="F127" s="13" t="s">
        <v>456</v>
      </c>
      <c r="G127" s="12" t="s">
        <v>68</v>
      </c>
      <c r="H127" s="12" t="s">
        <v>457</v>
      </c>
      <c r="I127" s="12" t="s">
        <v>458</v>
      </c>
      <c r="J127" s="17" t="s">
        <v>112</v>
      </c>
      <c r="K127" s="17" t="s">
        <v>113</v>
      </c>
      <c r="L127" s="17" t="s">
        <v>1623</v>
      </c>
      <c r="M127" s="20">
        <v>45840.0</v>
      </c>
      <c r="N127" s="17" t="s">
        <v>194</v>
      </c>
      <c r="O127" s="88" t="s">
        <v>1519</v>
      </c>
      <c r="P127" s="88" t="s">
        <v>1519</v>
      </c>
      <c r="Q127" s="88" t="s">
        <v>1520</v>
      </c>
      <c r="R127" s="88" t="s">
        <v>1520</v>
      </c>
      <c r="S127" s="88" t="s">
        <v>1519</v>
      </c>
      <c r="T127" s="88" t="s">
        <v>1521</v>
      </c>
      <c r="U127" s="88" t="s">
        <v>1519</v>
      </c>
      <c r="V127" s="88" t="s">
        <v>1521</v>
      </c>
      <c r="W127" s="88" t="s">
        <v>1521</v>
      </c>
      <c r="X127" s="88" t="s">
        <v>1520</v>
      </c>
      <c r="Y127" s="88" t="s">
        <v>1519</v>
      </c>
      <c r="Z127" s="88" t="s">
        <v>1519</v>
      </c>
      <c r="AA127" s="88" t="s">
        <v>1521</v>
      </c>
      <c r="AB127" s="88" t="s">
        <v>1521</v>
      </c>
      <c r="AC127" s="88" t="s">
        <v>1521</v>
      </c>
      <c r="AD127" s="89"/>
      <c r="AE127" s="18" t="s">
        <v>92</v>
      </c>
      <c r="AF127" s="18"/>
      <c r="AG127" s="18"/>
      <c r="AH127" s="18"/>
      <c r="AI127" s="18"/>
      <c r="AJ127" s="18"/>
      <c r="AK127" s="18"/>
      <c r="AL127" s="18"/>
      <c r="AM127" s="18"/>
    </row>
    <row r="128">
      <c r="A128" s="11"/>
      <c r="B128" s="12" t="s">
        <v>34</v>
      </c>
      <c r="C128" s="12" t="s">
        <v>65</v>
      </c>
      <c r="D128" s="12" t="s">
        <v>102</v>
      </c>
      <c r="E128" s="12" t="s">
        <v>455</v>
      </c>
      <c r="F128" s="13" t="s">
        <v>456</v>
      </c>
      <c r="G128" s="12" t="s">
        <v>68</v>
      </c>
      <c r="H128" s="12" t="s">
        <v>457</v>
      </c>
      <c r="I128" s="12" t="s">
        <v>458</v>
      </c>
      <c r="J128" s="17" t="s">
        <v>112</v>
      </c>
      <c r="K128" s="17" t="s">
        <v>113</v>
      </c>
      <c r="L128" s="17" t="s">
        <v>1624</v>
      </c>
      <c r="M128" s="20">
        <v>45840.0</v>
      </c>
      <c r="N128" s="17" t="s">
        <v>194</v>
      </c>
      <c r="O128" s="88" t="s">
        <v>1519</v>
      </c>
      <c r="P128" s="88" t="s">
        <v>1519</v>
      </c>
      <c r="Q128" s="88" t="s">
        <v>1521</v>
      </c>
      <c r="R128" s="88" t="s">
        <v>1521</v>
      </c>
      <c r="S128" s="88" t="s">
        <v>1519</v>
      </c>
      <c r="T128" s="88" t="s">
        <v>1521</v>
      </c>
      <c r="U128" s="88" t="s">
        <v>1519</v>
      </c>
      <c r="V128" s="88">
        <v>4.0</v>
      </c>
      <c r="W128" s="88">
        <v>4.0</v>
      </c>
      <c r="X128" s="88" t="s">
        <v>1520</v>
      </c>
      <c r="Y128" s="88" t="s">
        <v>1519</v>
      </c>
      <c r="Z128" s="88" t="s">
        <v>1519</v>
      </c>
      <c r="AA128" s="88" t="s">
        <v>1519</v>
      </c>
      <c r="AB128" s="88" t="s">
        <v>1519</v>
      </c>
      <c r="AC128" s="88" t="s">
        <v>1519</v>
      </c>
      <c r="AD128" s="89"/>
      <c r="AE128" s="18" t="s">
        <v>92</v>
      </c>
      <c r="AF128" s="18"/>
      <c r="AG128" s="18"/>
      <c r="AH128" s="18"/>
      <c r="AI128" s="18"/>
      <c r="AJ128" s="18"/>
      <c r="AK128" s="18"/>
      <c r="AL128" s="18"/>
      <c r="AM128" s="18"/>
    </row>
    <row r="129">
      <c r="A129" s="11"/>
      <c r="B129" s="12" t="s">
        <v>34</v>
      </c>
      <c r="C129" s="12" t="s">
        <v>65</v>
      </c>
      <c r="D129" s="12" t="s">
        <v>102</v>
      </c>
      <c r="E129" s="12" t="s">
        <v>455</v>
      </c>
      <c r="F129" s="13" t="s">
        <v>456</v>
      </c>
      <c r="G129" s="12" t="s">
        <v>68</v>
      </c>
      <c r="H129" s="12" t="s">
        <v>457</v>
      </c>
      <c r="I129" s="12" t="s">
        <v>458</v>
      </c>
      <c r="J129" s="17" t="s">
        <v>112</v>
      </c>
      <c r="K129" s="17" t="s">
        <v>113</v>
      </c>
      <c r="L129" s="17" t="s">
        <v>1625</v>
      </c>
      <c r="M129" s="20">
        <v>45840.0</v>
      </c>
      <c r="N129" s="17" t="s">
        <v>194</v>
      </c>
      <c r="O129" s="88" t="s">
        <v>1519</v>
      </c>
      <c r="P129" s="88" t="s">
        <v>1519</v>
      </c>
      <c r="Q129" s="88" t="s">
        <v>1521</v>
      </c>
      <c r="R129" s="88" t="s">
        <v>1520</v>
      </c>
      <c r="S129" s="88" t="s">
        <v>1519</v>
      </c>
      <c r="T129" s="88" t="s">
        <v>1521</v>
      </c>
      <c r="U129" s="88" t="s">
        <v>1519</v>
      </c>
      <c r="V129" s="88">
        <v>4.0</v>
      </c>
      <c r="W129" s="88">
        <v>4.0</v>
      </c>
      <c r="X129" s="88" t="s">
        <v>1520</v>
      </c>
      <c r="Y129" s="88" t="s">
        <v>1519</v>
      </c>
      <c r="Z129" s="88" t="s">
        <v>1519</v>
      </c>
      <c r="AA129" s="88" t="s">
        <v>1519</v>
      </c>
      <c r="AB129" s="88" t="s">
        <v>1520</v>
      </c>
      <c r="AC129" s="88" t="s">
        <v>1520</v>
      </c>
      <c r="AD129" s="89"/>
      <c r="AE129" s="18" t="s">
        <v>92</v>
      </c>
      <c r="AF129" s="18"/>
      <c r="AG129" s="18"/>
      <c r="AH129" s="18"/>
      <c r="AI129" s="18"/>
      <c r="AJ129" s="18"/>
      <c r="AK129" s="18"/>
      <c r="AL129" s="18"/>
      <c r="AM129" s="18"/>
    </row>
    <row r="130">
      <c r="A130" s="11"/>
      <c r="B130" s="12" t="s">
        <v>34</v>
      </c>
      <c r="C130" s="12" t="s">
        <v>65</v>
      </c>
      <c r="D130" s="12" t="s">
        <v>102</v>
      </c>
      <c r="E130" s="12" t="s">
        <v>455</v>
      </c>
      <c r="F130" s="13" t="s">
        <v>456</v>
      </c>
      <c r="G130" s="12" t="s">
        <v>68</v>
      </c>
      <c r="H130" s="12" t="s">
        <v>457</v>
      </c>
      <c r="I130" s="12" t="s">
        <v>458</v>
      </c>
      <c r="J130" s="17" t="s">
        <v>112</v>
      </c>
      <c r="K130" s="17" t="s">
        <v>113</v>
      </c>
      <c r="L130" s="17" t="s">
        <v>1626</v>
      </c>
      <c r="M130" s="20">
        <v>45840.0</v>
      </c>
      <c r="N130" s="17" t="s">
        <v>194</v>
      </c>
      <c r="O130" s="88" t="s">
        <v>1520</v>
      </c>
      <c r="P130" s="88" t="s">
        <v>1521</v>
      </c>
      <c r="Q130" s="88" t="s">
        <v>1521</v>
      </c>
      <c r="R130" s="88" t="s">
        <v>1521</v>
      </c>
      <c r="S130" s="88" t="s">
        <v>1519</v>
      </c>
      <c r="T130" s="88" t="s">
        <v>1521</v>
      </c>
      <c r="U130" s="88" t="s">
        <v>1519</v>
      </c>
      <c r="V130" s="88">
        <v>4.0</v>
      </c>
      <c r="W130" s="88">
        <v>4.0</v>
      </c>
      <c r="X130" s="88" t="s">
        <v>1519</v>
      </c>
      <c r="Y130" s="88" t="s">
        <v>1519</v>
      </c>
      <c r="Z130" s="88" t="s">
        <v>1519</v>
      </c>
      <c r="AA130" s="88" t="s">
        <v>1519</v>
      </c>
      <c r="AB130" s="88" t="s">
        <v>1521</v>
      </c>
      <c r="AC130" s="88" t="s">
        <v>1521</v>
      </c>
      <c r="AD130" s="89"/>
      <c r="AE130" s="18" t="s">
        <v>92</v>
      </c>
      <c r="AF130" s="18"/>
      <c r="AG130" s="18"/>
      <c r="AH130" s="18"/>
      <c r="AI130" s="18"/>
      <c r="AJ130" s="18"/>
      <c r="AK130" s="18"/>
      <c r="AL130" s="18"/>
      <c r="AM130" s="18"/>
    </row>
    <row r="131">
      <c r="A131" s="11"/>
      <c r="B131" s="12" t="s">
        <v>34</v>
      </c>
      <c r="C131" s="12" t="s">
        <v>65</v>
      </c>
      <c r="D131" s="12" t="s">
        <v>102</v>
      </c>
      <c r="E131" s="12" t="s">
        <v>455</v>
      </c>
      <c r="F131" s="13" t="s">
        <v>456</v>
      </c>
      <c r="G131" s="12" t="s">
        <v>68</v>
      </c>
      <c r="H131" s="12" t="s">
        <v>457</v>
      </c>
      <c r="I131" s="12" t="s">
        <v>458</v>
      </c>
      <c r="J131" s="17" t="s">
        <v>112</v>
      </c>
      <c r="K131" s="17" t="s">
        <v>113</v>
      </c>
      <c r="L131" s="17" t="s">
        <v>1627</v>
      </c>
      <c r="M131" s="20">
        <v>45840.0</v>
      </c>
      <c r="N131" s="17" t="s">
        <v>194</v>
      </c>
      <c r="O131" s="88" t="s">
        <v>1521</v>
      </c>
      <c r="P131" s="88" t="s">
        <v>1521</v>
      </c>
      <c r="Q131" s="88" t="s">
        <v>1521</v>
      </c>
      <c r="R131" s="88" t="s">
        <v>1521</v>
      </c>
      <c r="S131" s="88" t="s">
        <v>1521</v>
      </c>
      <c r="T131" s="88" t="s">
        <v>1521</v>
      </c>
      <c r="U131" s="88" t="s">
        <v>1519</v>
      </c>
      <c r="V131" s="88" t="s">
        <v>1521</v>
      </c>
      <c r="W131" s="88" t="s">
        <v>1521</v>
      </c>
      <c r="X131" s="88" t="s">
        <v>1519</v>
      </c>
      <c r="Y131" s="88" t="s">
        <v>1520</v>
      </c>
      <c r="Z131" s="88" t="s">
        <v>1519</v>
      </c>
      <c r="AA131" s="88" t="s">
        <v>1521</v>
      </c>
      <c r="AB131" s="88" t="s">
        <v>1521</v>
      </c>
      <c r="AC131" s="88" t="s">
        <v>1521</v>
      </c>
      <c r="AD131" s="89"/>
      <c r="AE131" s="18" t="s">
        <v>92</v>
      </c>
      <c r="AF131" s="18"/>
      <c r="AG131" s="18"/>
      <c r="AH131" s="18"/>
      <c r="AI131" s="18"/>
      <c r="AJ131" s="18"/>
      <c r="AK131" s="18"/>
      <c r="AL131" s="18"/>
      <c r="AM131" s="18"/>
    </row>
    <row r="132">
      <c r="A132" s="11"/>
      <c r="B132" s="12" t="s">
        <v>34</v>
      </c>
      <c r="C132" s="12" t="s">
        <v>65</v>
      </c>
      <c r="D132" s="12" t="s">
        <v>102</v>
      </c>
      <c r="E132" s="12" t="s">
        <v>455</v>
      </c>
      <c r="F132" s="13" t="s">
        <v>456</v>
      </c>
      <c r="G132" s="12" t="s">
        <v>68</v>
      </c>
      <c r="H132" s="12" t="s">
        <v>457</v>
      </c>
      <c r="I132" s="12" t="s">
        <v>458</v>
      </c>
      <c r="J132" s="17" t="s">
        <v>112</v>
      </c>
      <c r="K132" s="17" t="s">
        <v>113</v>
      </c>
      <c r="L132" s="17" t="s">
        <v>1628</v>
      </c>
      <c r="M132" s="20">
        <v>45840.0</v>
      </c>
      <c r="N132" s="17" t="s">
        <v>194</v>
      </c>
      <c r="O132" s="88" t="s">
        <v>1519</v>
      </c>
      <c r="P132" s="88" t="s">
        <v>1520</v>
      </c>
      <c r="Q132" s="88" t="s">
        <v>1521</v>
      </c>
      <c r="R132" s="88" t="s">
        <v>1521</v>
      </c>
      <c r="S132" s="88" t="s">
        <v>1519</v>
      </c>
      <c r="T132" s="88" t="s">
        <v>1521</v>
      </c>
      <c r="U132" s="88" t="s">
        <v>1519</v>
      </c>
      <c r="V132" s="88" t="s">
        <v>1521</v>
      </c>
      <c r="W132" s="88" t="s">
        <v>1521</v>
      </c>
      <c r="X132" s="88" t="s">
        <v>1520</v>
      </c>
      <c r="Y132" s="88" t="s">
        <v>1520</v>
      </c>
      <c r="Z132" s="88" t="s">
        <v>1519</v>
      </c>
      <c r="AA132" s="88" t="s">
        <v>1521</v>
      </c>
      <c r="AB132" s="88" t="s">
        <v>1520</v>
      </c>
      <c r="AC132" s="88" t="s">
        <v>1520</v>
      </c>
      <c r="AD132" s="89"/>
      <c r="AE132" s="18" t="s">
        <v>92</v>
      </c>
      <c r="AF132" s="18"/>
      <c r="AG132" s="18"/>
      <c r="AH132" s="18"/>
      <c r="AI132" s="18"/>
      <c r="AJ132" s="18"/>
      <c r="AK132" s="18"/>
      <c r="AL132" s="18"/>
      <c r="AM132" s="18"/>
    </row>
    <row r="133">
      <c r="A133" s="11"/>
      <c r="B133" s="12" t="s">
        <v>34</v>
      </c>
      <c r="C133" s="12" t="s">
        <v>65</v>
      </c>
      <c r="D133" s="12" t="s">
        <v>102</v>
      </c>
      <c r="E133" s="12" t="s">
        <v>455</v>
      </c>
      <c r="F133" s="13" t="s">
        <v>456</v>
      </c>
      <c r="G133" s="12" t="s">
        <v>68</v>
      </c>
      <c r="H133" s="12" t="s">
        <v>457</v>
      </c>
      <c r="I133" s="12" t="s">
        <v>458</v>
      </c>
      <c r="J133" s="17" t="s">
        <v>112</v>
      </c>
      <c r="K133" s="17" t="s">
        <v>113</v>
      </c>
      <c r="L133" s="17" t="s">
        <v>1629</v>
      </c>
      <c r="M133" s="20">
        <v>45840.0</v>
      </c>
      <c r="N133" s="17" t="s">
        <v>194</v>
      </c>
      <c r="O133" s="88" t="s">
        <v>1520</v>
      </c>
      <c r="P133" s="88" t="s">
        <v>1521</v>
      </c>
      <c r="Q133" s="88" t="s">
        <v>1521</v>
      </c>
      <c r="R133" s="88" t="s">
        <v>1521</v>
      </c>
      <c r="S133" s="88" t="s">
        <v>1519</v>
      </c>
      <c r="T133" s="88" t="s">
        <v>1521</v>
      </c>
      <c r="U133" s="88" t="s">
        <v>1519</v>
      </c>
      <c r="V133" s="88" t="s">
        <v>1521</v>
      </c>
      <c r="W133" s="88" t="s">
        <v>1521</v>
      </c>
      <c r="X133" s="88" t="s">
        <v>1519</v>
      </c>
      <c r="Y133" s="88" t="s">
        <v>1520</v>
      </c>
      <c r="Z133" s="88" t="s">
        <v>1519</v>
      </c>
      <c r="AA133" s="88" t="s">
        <v>1521</v>
      </c>
      <c r="AB133" s="88" t="s">
        <v>1521</v>
      </c>
      <c r="AC133" s="88" t="s">
        <v>1521</v>
      </c>
      <c r="AD133" s="89"/>
      <c r="AE133" s="18" t="s">
        <v>92</v>
      </c>
      <c r="AF133" s="18"/>
      <c r="AG133" s="18"/>
      <c r="AH133" s="18"/>
      <c r="AI133" s="18"/>
      <c r="AJ133" s="18"/>
      <c r="AK133" s="18"/>
      <c r="AL133" s="18"/>
      <c r="AM133" s="18"/>
    </row>
    <row r="134">
      <c r="A134" s="11"/>
      <c r="B134" s="12" t="s">
        <v>34</v>
      </c>
      <c r="C134" s="12" t="s">
        <v>65</v>
      </c>
      <c r="D134" s="12" t="s">
        <v>102</v>
      </c>
      <c r="E134" s="12" t="s">
        <v>455</v>
      </c>
      <c r="F134" s="13" t="s">
        <v>456</v>
      </c>
      <c r="G134" s="12" t="s">
        <v>68</v>
      </c>
      <c r="H134" s="12" t="s">
        <v>457</v>
      </c>
      <c r="I134" s="12" t="s">
        <v>458</v>
      </c>
      <c r="J134" s="17" t="s">
        <v>73</v>
      </c>
      <c r="K134" s="17" t="s">
        <v>1589</v>
      </c>
      <c r="L134" s="17" t="s">
        <v>1630</v>
      </c>
      <c r="M134" s="20">
        <v>45840.0</v>
      </c>
      <c r="N134" s="17" t="s">
        <v>194</v>
      </c>
      <c r="O134" s="88" t="s">
        <v>1520</v>
      </c>
      <c r="P134" s="88" t="s">
        <v>1521</v>
      </c>
      <c r="Q134" s="88" t="s">
        <v>1521</v>
      </c>
      <c r="R134" s="88" t="s">
        <v>1521</v>
      </c>
      <c r="S134" s="88" t="s">
        <v>1519</v>
      </c>
      <c r="T134" s="88" t="s">
        <v>1521</v>
      </c>
      <c r="U134" s="88" t="s">
        <v>1519</v>
      </c>
      <c r="V134" s="88" t="s">
        <v>1521</v>
      </c>
      <c r="W134" s="88" t="s">
        <v>1521</v>
      </c>
      <c r="X134" s="88" t="s">
        <v>1521</v>
      </c>
      <c r="Y134" s="88" t="s">
        <v>1521</v>
      </c>
      <c r="Z134" s="88" t="s">
        <v>1521</v>
      </c>
      <c r="AA134" s="88" t="s">
        <v>1521</v>
      </c>
      <c r="AB134" s="88" t="s">
        <v>1521</v>
      </c>
      <c r="AC134" s="88" t="s">
        <v>1521</v>
      </c>
      <c r="AD134" s="89"/>
      <c r="AE134" s="18" t="s">
        <v>92</v>
      </c>
      <c r="AF134" s="18"/>
      <c r="AG134" s="18"/>
      <c r="AH134" s="18"/>
      <c r="AI134" s="18"/>
      <c r="AJ134" s="18"/>
      <c r="AK134" s="18"/>
      <c r="AL134" s="18"/>
      <c r="AM134" s="18"/>
    </row>
    <row r="135">
      <c r="A135" s="11"/>
      <c r="B135" s="12" t="s">
        <v>34</v>
      </c>
      <c r="C135" s="12" t="s">
        <v>65</v>
      </c>
      <c r="D135" s="12" t="s">
        <v>102</v>
      </c>
      <c r="E135" s="12" t="s">
        <v>455</v>
      </c>
      <c r="F135" s="13" t="s">
        <v>456</v>
      </c>
      <c r="G135" s="12" t="s">
        <v>68</v>
      </c>
      <c r="H135" s="12" t="s">
        <v>457</v>
      </c>
      <c r="I135" s="12" t="s">
        <v>458</v>
      </c>
      <c r="J135" s="17" t="s">
        <v>73</v>
      </c>
      <c r="K135" s="17" t="s">
        <v>1589</v>
      </c>
      <c r="L135" s="17" t="s">
        <v>1631</v>
      </c>
      <c r="M135" s="20">
        <v>45840.0</v>
      </c>
      <c r="N135" s="17" t="s">
        <v>194</v>
      </c>
      <c r="O135" s="88" t="s">
        <v>1520</v>
      </c>
      <c r="P135" s="88" t="s">
        <v>1519</v>
      </c>
      <c r="Q135" s="88" t="s">
        <v>1521</v>
      </c>
      <c r="R135" s="88" t="s">
        <v>1521</v>
      </c>
      <c r="S135" s="88" t="s">
        <v>1519</v>
      </c>
      <c r="T135" s="88" t="s">
        <v>1521</v>
      </c>
      <c r="U135" s="88" t="s">
        <v>1521</v>
      </c>
      <c r="V135" s="88" t="s">
        <v>1521</v>
      </c>
      <c r="W135" s="88" t="s">
        <v>1521</v>
      </c>
      <c r="X135" s="88" t="s">
        <v>1521</v>
      </c>
      <c r="Y135" s="88" t="s">
        <v>1520</v>
      </c>
      <c r="Z135" s="88" t="s">
        <v>1519</v>
      </c>
      <c r="AA135" s="88" t="s">
        <v>1521</v>
      </c>
      <c r="AB135" s="88" t="s">
        <v>1521</v>
      </c>
      <c r="AC135" s="88" t="s">
        <v>1521</v>
      </c>
      <c r="AD135" s="89"/>
      <c r="AE135" s="18" t="s">
        <v>92</v>
      </c>
      <c r="AF135" s="18"/>
      <c r="AG135" s="18"/>
      <c r="AH135" s="18"/>
      <c r="AI135" s="18"/>
      <c r="AJ135" s="18"/>
      <c r="AK135" s="18"/>
      <c r="AL135" s="18"/>
      <c r="AM135" s="18"/>
    </row>
    <row r="136">
      <c r="A136" s="11"/>
      <c r="B136" s="12" t="s">
        <v>34</v>
      </c>
      <c r="C136" s="12" t="s">
        <v>65</v>
      </c>
      <c r="D136" s="12" t="s">
        <v>102</v>
      </c>
      <c r="E136" s="12" t="s">
        <v>455</v>
      </c>
      <c r="F136" s="13" t="s">
        <v>456</v>
      </c>
      <c r="G136" s="12" t="s">
        <v>68</v>
      </c>
      <c r="H136" s="12" t="s">
        <v>457</v>
      </c>
      <c r="I136" s="12" t="s">
        <v>458</v>
      </c>
      <c r="J136" s="17" t="s">
        <v>73</v>
      </c>
      <c r="K136" s="17" t="s">
        <v>1589</v>
      </c>
      <c r="L136" s="17" t="s">
        <v>1632</v>
      </c>
      <c r="M136" s="20">
        <v>45840.0</v>
      </c>
      <c r="N136" s="17" t="s">
        <v>194</v>
      </c>
      <c r="O136" s="88" t="s">
        <v>1519</v>
      </c>
      <c r="P136" s="88" t="s">
        <v>1521</v>
      </c>
      <c r="Q136" s="88" t="s">
        <v>1520</v>
      </c>
      <c r="R136" s="88" t="s">
        <v>1521</v>
      </c>
      <c r="S136" s="88" t="s">
        <v>1519</v>
      </c>
      <c r="T136" s="88" t="s">
        <v>1519</v>
      </c>
      <c r="U136" s="88" t="s">
        <v>1519</v>
      </c>
      <c r="V136" s="88" t="s">
        <v>1519</v>
      </c>
      <c r="W136" s="88" t="s">
        <v>1521</v>
      </c>
      <c r="X136" s="88" t="s">
        <v>1520</v>
      </c>
      <c r="Y136" s="88" t="s">
        <v>1521</v>
      </c>
      <c r="Z136" s="88" t="s">
        <v>1521</v>
      </c>
      <c r="AA136" s="88" t="s">
        <v>1521</v>
      </c>
      <c r="AB136" s="88" t="s">
        <v>1521</v>
      </c>
      <c r="AC136" s="88" t="s">
        <v>1521</v>
      </c>
      <c r="AD136" s="89"/>
      <c r="AE136" s="18" t="s">
        <v>92</v>
      </c>
      <c r="AF136" s="18"/>
      <c r="AG136" s="18"/>
      <c r="AH136" s="18"/>
      <c r="AI136" s="18"/>
      <c r="AJ136" s="18"/>
      <c r="AK136" s="18"/>
      <c r="AL136" s="18"/>
      <c r="AM136" s="18"/>
    </row>
    <row r="137">
      <c r="A137" s="11"/>
      <c r="B137" s="12" t="s">
        <v>34</v>
      </c>
      <c r="C137" s="12" t="s">
        <v>65</v>
      </c>
      <c r="D137" s="12" t="s">
        <v>102</v>
      </c>
      <c r="E137" s="12" t="s">
        <v>455</v>
      </c>
      <c r="F137" s="13" t="s">
        <v>456</v>
      </c>
      <c r="G137" s="12" t="s">
        <v>68</v>
      </c>
      <c r="H137" s="12" t="s">
        <v>457</v>
      </c>
      <c r="I137" s="12" t="s">
        <v>458</v>
      </c>
      <c r="J137" s="17" t="s">
        <v>73</v>
      </c>
      <c r="K137" s="17" t="s">
        <v>1589</v>
      </c>
      <c r="L137" s="17" t="s">
        <v>1633</v>
      </c>
      <c r="M137" s="20">
        <v>45840.0</v>
      </c>
      <c r="N137" s="17" t="s">
        <v>194</v>
      </c>
      <c r="O137" s="88" t="s">
        <v>1519</v>
      </c>
      <c r="P137" s="88" t="s">
        <v>1520</v>
      </c>
      <c r="Q137" s="88" t="s">
        <v>1519</v>
      </c>
      <c r="R137" s="88" t="s">
        <v>1521</v>
      </c>
      <c r="S137" s="88" t="s">
        <v>1519</v>
      </c>
      <c r="T137" s="88" t="s">
        <v>1521</v>
      </c>
      <c r="U137" s="88" t="s">
        <v>1521</v>
      </c>
      <c r="V137" s="88" t="s">
        <v>1520</v>
      </c>
      <c r="W137" s="88" t="s">
        <v>1521</v>
      </c>
      <c r="X137" s="88" t="s">
        <v>1519</v>
      </c>
      <c r="Y137" s="88" t="s">
        <v>1520</v>
      </c>
      <c r="Z137" s="88" t="s">
        <v>1519</v>
      </c>
      <c r="AA137" s="88" t="s">
        <v>1519</v>
      </c>
      <c r="AB137" s="88" t="s">
        <v>1519</v>
      </c>
      <c r="AC137" s="88" t="s">
        <v>1521</v>
      </c>
      <c r="AD137" s="89"/>
      <c r="AE137" s="18" t="s">
        <v>92</v>
      </c>
      <c r="AF137" s="18"/>
      <c r="AG137" s="18"/>
      <c r="AH137" s="18"/>
      <c r="AI137" s="18"/>
      <c r="AJ137" s="18"/>
      <c r="AK137" s="18"/>
      <c r="AL137" s="18"/>
      <c r="AM137" s="18"/>
    </row>
    <row r="138">
      <c r="A138" s="11"/>
      <c r="B138" s="12" t="s">
        <v>34</v>
      </c>
      <c r="C138" s="12" t="s">
        <v>65</v>
      </c>
      <c r="D138" s="12" t="s">
        <v>102</v>
      </c>
      <c r="E138" s="12" t="s">
        <v>455</v>
      </c>
      <c r="F138" s="13" t="s">
        <v>456</v>
      </c>
      <c r="G138" s="12" t="s">
        <v>68</v>
      </c>
      <c r="H138" s="12" t="s">
        <v>457</v>
      </c>
      <c r="I138" s="12" t="s">
        <v>458</v>
      </c>
      <c r="J138" s="17" t="s">
        <v>73</v>
      </c>
      <c r="K138" s="17" t="s">
        <v>1589</v>
      </c>
      <c r="L138" s="17" t="s">
        <v>1634</v>
      </c>
      <c r="M138" s="20">
        <v>45840.0</v>
      </c>
      <c r="N138" s="17" t="s">
        <v>194</v>
      </c>
      <c r="O138" s="88" t="s">
        <v>1520</v>
      </c>
      <c r="P138" s="88" t="s">
        <v>1521</v>
      </c>
      <c r="Q138" s="88" t="s">
        <v>1521</v>
      </c>
      <c r="R138" s="88" t="s">
        <v>1521</v>
      </c>
      <c r="S138" s="88" t="s">
        <v>1519</v>
      </c>
      <c r="T138" s="88" t="s">
        <v>1521</v>
      </c>
      <c r="U138" s="88" t="s">
        <v>1521</v>
      </c>
      <c r="V138" s="88" t="s">
        <v>1521</v>
      </c>
      <c r="W138" s="88" t="s">
        <v>1521</v>
      </c>
      <c r="X138" s="88" t="s">
        <v>1520</v>
      </c>
      <c r="Y138" s="88" t="s">
        <v>1521</v>
      </c>
      <c r="Z138" s="88" t="s">
        <v>1519</v>
      </c>
      <c r="AA138" s="88" t="s">
        <v>1521</v>
      </c>
      <c r="AB138" s="88" t="s">
        <v>1521</v>
      </c>
      <c r="AC138" s="88" t="s">
        <v>1521</v>
      </c>
      <c r="AD138" s="89"/>
      <c r="AE138" s="18" t="s">
        <v>92</v>
      </c>
      <c r="AF138" s="18"/>
      <c r="AG138" s="18"/>
      <c r="AH138" s="18"/>
      <c r="AI138" s="18"/>
      <c r="AJ138" s="18"/>
      <c r="AK138" s="18"/>
      <c r="AL138" s="18"/>
      <c r="AM138" s="18"/>
    </row>
    <row r="139">
      <c r="A139" s="11"/>
      <c r="B139" s="12" t="s">
        <v>34</v>
      </c>
      <c r="C139" s="12" t="s">
        <v>65</v>
      </c>
      <c r="D139" s="12" t="s">
        <v>102</v>
      </c>
      <c r="E139" s="12" t="s">
        <v>455</v>
      </c>
      <c r="F139" s="13" t="s">
        <v>456</v>
      </c>
      <c r="G139" s="12" t="s">
        <v>68</v>
      </c>
      <c r="H139" s="12" t="s">
        <v>457</v>
      </c>
      <c r="I139" s="12" t="s">
        <v>458</v>
      </c>
      <c r="J139" s="17" t="s">
        <v>73</v>
      </c>
      <c r="K139" s="17" t="s">
        <v>1589</v>
      </c>
      <c r="L139" s="17" t="s">
        <v>1635</v>
      </c>
      <c r="M139" s="20">
        <v>45840.0</v>
      </c>
      <c r="N139" s="17" t="s">
        <v>194</v>
      </c>
      <c r="O139" s="88" t="s">
        <v>1519</v>
      </c>
      <c r="P139" s="88" t="s">
        <v>1521</v>
      </c>
      <c r="Q139" s="88" t="s">
        <v>1519</v>
      </c>
      <c r="R139" s="88" t="s">
        <v>1521</v>
      </c>
      <c r="S139" s="88" t="s">
        <v>1519</v>
      </c>
      <c r="T139" s="88" t="s">
        <v>1521</v>
      </c>
      <c r="U139" s="88" t="s">
        <v>1519</v>
      </c>
      <c r="V139" s="88" t="s">
        <v>1519</v>
      </c>
      <c r="W139" s="88" t="s">
        <v>1521</v>
      </c>
      <c r="X139" s="88" t="s">
        <v>1519</v>
      </c>
      <c r="Y139" s="88" t="s">
        <v>1520</v>
      </c>
      <c r="Z139" s="88" t="s">
        <v>1519</v>
      </c>
      <c r="AA139" s="88" t="s">
        <v>1521</v>
      </c>
      <c r="AB139" s="88" t="s">
        <v>1521</v>
      </c>
      <c r="AC139" s="88" t="s">
        <v>1521</v>
      </c>
      <c r="AD139" s="89"/>
      <c r="AE139" s="18" t="s">
        <v>92</v>
      </c>
      <c r="AF139" s="18"/>
      <c r="AG139" s="18"/>
      <c r="AH139" s="18"/>
      <c r="AI139" s="18"/>
      <c r="AJ139" s="18"/>
      <c r="AK139" s="18"/>
      <c r="AL139" s="18"/>
      <c r="AM139" s="18"/>
    </row>
    <row r="140">
      <c r="A140" s="11"/>
      <c r="B140" s="12" t="s">
        <v>34</v>
      </c>
      <c r="C140" s="12" t="s">
        <v>65</v>
      </c>
      <c r="D140" s="12" t="s">
        <v>102</v>
      </c>
      <c r="E140" s="12" t="s">
        <v>455</v>
      </c>
      <c r="F140" s="13" t="s">
        <v>456</v>
      </c>
      <c r="G140" s="12" t="s">
        <v>68</v>
      </c>
      <c r="H140" s="12" t="s">
        <v>457</v>
      </c>
      <c r="I140" s="12" t="s">
        <v>458</v>
      </c>
      <c r="J140" s="17" t="s">
        <v>73</v>
      </c>
      <c r="K140" s="17" t="s">
        <v>1589</v>
      </c>
      <c r="L140" s="17" t="s">
        <v>1636</v>
      </c>
      <c r="M140" s="20">
        <v>45840.0</v>
      </c>
      <c r="N140" s="17" t="s">
        <v>194</v>
      </c>
      <c r="O140" s="88" t="s">
        <v>1521</v>
      </c>
      <c r="P140" s="88" t="s">
        <v>1521</v>
      </c>
      <c r="Q140" s="88" t="s">
        <v>1521</v>
      </c>
      <c r="R140" s="88" t="s">
        <v>1521</v>
      </c>
      <c r="S140" s="88" t="s">
        <v>1519</v>
      </c>
      <c r="T140" s="88" t="s">
        <v>1521</v>
      </c>
      <c r="U140" s="88" t="s">
        <v>1521</v>
      </c>
      <c r="V140" s="88" t="s">
        <v>1520</v>
      </c>
      <c r="W140" s="88" t="s">
        <v>1521</v>
      </c>
      <c r="X140" s="88" t="s">
        <v>1519</v>
      </c>
      <c r="Y140" s="88" t="s">
        <v>1521</v>
      </c>
      <c r="Z140" s="88" t="s">
        <v>1519</v>
      </c>
      <c r="AA140" s="88" t="s">
        <v>1521</v>
      </c>
      <c r="AB140" s="88" t="s">
        <v>1521</v>
      </c>
      <c r="AC140" s="88" t="s">
        <v>1521</v>
      </c>
      <c r="AD140" s="89"/>
      <c r="AE140" s="18" t="s">
        <v>92</v>
      </c>
      <c r="AF140" s="18"/>
      <c r="AG140" s="18"/>
      <c r="AH140" s="18"/>
      <c r="AI140" s="18"/>
      <c r="AJ140" s="18"/>
      <c r="AK140" s="18"/>
      <c r="AL140" s="18"/>
      <c r="AM140" s="18"/>
    </row>
    <row r="141">
      <c r="A141" s="11"/>
      <c r="B141" s="12" t="s">
        <v>34</v>
      </c>
      <c r="C141" s="12" t="s">
        <v>65</v>
      </c>
      <c r="D141" s="12" t="s">
        <v>102</v>
      </c>
      <c r="E141" s="12" t="s">
        <v>455</v>
      </c>
      <c r="F141" s="13" t="s">
        <v>456</v>
      </c>
      <c r="G141" s="12" t="s">
        <v>68</v>
      </c>
      <c r="H141" s="12" t="s">
        <v>457</v>
      </c>
      <c r="I141" s="12" t="s">
        <v>458</v>
      </c>
      <c r="J141" s="17" t="s">
        <v>73</v>
      </c>
      <c r="K141" s="17" t="s">
        <v>1589</v>
      </c>
      <c r="L141" s="17" t="s">
        <v>1637</v>
      </c>
      <c r="M141" s="20">
        <v>45840.0</v>
      </c>
      <c r="N141" s="17" t="s">
        <v>194</v>
      </c>
      <c r="O141" s="88" t="s">
        <v>1520</v>
      </c>
      <c r="P141" s="88" t="s">
        <v>1520</v>
      </c>
      <c r="Q141" s="88" t="s">
        <v>1521</v>
      </c>
      <c r="R141" s="88" t="s">
        <v>1521</v>
      </c>
      <c r="S141" s="88" t="s">
        <v>1519</v>
      </c>
      <c r="T141" s="88" t="s">
        <v>1521</v>
      </c>
      <c r="U141" s="88" t="s">
        <v>1521</v>
      </c>
      <c r="V141" s="88" t="s">
        <v>1521</v>
      </c>
      <c r="W141" s="88" t="s">
        <v>1521</v>
      </c>
      <c r="X141" s="88" t="s">
        <v>1521</v>
      </c>
      <c r="Y141" s="88" t="s">
        <v>1520</v>
      </c>
      <c r="Z141" s="88" t="s">
        <v>1519</v>
      </c>
      <c r="AA141" s="88" t="s">
        <v>1521</v>
      </c>
      <c r="AB141" s="88" t="s">
        <v>1521</v>
      </c>
      <c r="AC141" s="88" t="s">
        <v>1521</v>
      </c>
      <c r="AD141" s="89"/>
      <c r="AE141" s="18" t="s">
        <v>92</v>
      </c>
      <c r="AF141" s="18"/>
      <c r="AG141" s="18"/>
      <c r="AH141" s="18"/>
      <c r="AI141" s="18"/>
      <c r="AJ141" s="18"/>
      <c r="AK141" s="18"/>
      <c r="AL141" s="18"/>
      <c r="AM141" s="18"/>
    </row>
    <row r="142">
      <c r="A142" s="11"/>
      <c r="B142" s="12" t="s">
        <v>34</v>
      </c>
      <c r="C142" s="12" t="s">
        <v>65</v>
      </c>
      <c r="D142" s="12" t="s">
        <v>102</v>
      </c>
      <c r="E142" s="12" t="s">
        <v>455</v>
      </c>
      <c r="F142" s="13" t="s">
        <v>456</v>
      </c>
      <c r="G142" s="12" t="s">
        <v>68</v>
      </c>
      <c r="H142" s="12" t="s">
        <v>457</v>
      </c>
      <c r="I142" s="12" t="s">
        <v>458</v>
      </c>
      <c r="J142" s="17" t="s">
        <v>73</v>
      </c>
      <c r="K142" s="17" t="s">
        <v>1589</v>
      </c>
      <c r="L142" s="17" t="s">
        <v>1638</v>
      </c>
      <c r="M142" s="20">
        <v>45840.0</v>
      </c>
      <c r="N142" s="17" t="s">
        <v>194</v>
      </c>
      <c r="O142" s="88" t="s">
        <v>1521</v>
      </c>
      <c r="P142" s="88" t="s">
        <v>1521</v>
      </c>
      <c r="Q142" s="88" t="s">
        <v>1521</v>
      </c>
      <c r="R142" s="88" t="s">
        <v>1521</v>
      </c>
      <c r="S142" s="88" t="s">
        <v>1519</v>
      </c>
      <c r="T142" s="88" t="s">
        <v>1521</v>
      </c>
      <c r="U142" s="88" t="s">
        <v>1521</v>
      </c>
      <c r="V142" s="88" t="s">
        <v>1521</v>
      </c>
      <c r="W142" s="88" t="s">
        <v>1521</v>
      </c>
      <c r="X142" s="88" t="s">
        <v>1519</v>
      </c>
      <c r="Y142" s="88" t="s">
        <v>1521</v>
      </c>
      <c r="Z142" s="88" t="s">
        <v>1519</v>
      </c>
      <c r="AA142" s="88" t="s">
        <v>1521</v>
      </c>
      <c r="AB142" s="88" t="s">
        <v>1521</v>
      </c>
      <c r="AC142" s="88" t="s">
        <v>1521</v>
      </c>
      <c r="AD142" s="89"/>
      <c r="AE142" s="18" t="s">
        <v>92</v>
      </c>
      <c r="AF142" s="18"/>
      <c r="AG142" s="18"/>
      <c r="AH142" s="18"/>
      <c r="AI142" s="18"/>
      <c r="AJ142" s="18"/>
      <c r="AK142" s="18"/>
      <c r="AL142" s="18"/>
      <c r="AM142" s="18"/>
    </row>
    <row r="143">
      <c r="A143" s="11"/>
      <c r="B143" s="12" t="s">
        <v>34</v>
      </c>
      <c r="C143" s="12" t="s">
        <v>65</v>
      </c>
      <c r="D143" s="12" t="s">
        <v>102</v>
      </c>
      <c r="E143" s="12" t="s">
        <v>455</v>
      </c>
      <c r="F143" s="13" t="s">
        <v>456</v>
      </c>
      <c r="G143" s="12" t="s">
        <v>68</v>
      </c>
      <c r="H143" s="12" t="s">
        <v>457</v>
      </c>
      <c r="I143" s="12" t="s">
        <v>458</v>
      </c>
      <c r="J143" s="17" t="s">
        <v>108</v>
      </c>
      <c r="K143" s="17" t="s">
        <v>109</v>
      </c>
      <c r="L143" s="17" t="s">
        <v>1620</v>
      </c>
      <c r="M143" s="20">
        <v>45972.0</v>
      </c>
      <c r="N143" s="17" t="s">
        <v>428</v>
      </c>
      <c r="O143" s="88" t="s">
        <v>1519</v>
      </c>
      <c r="P143" s="88" t="s">
        <v>1519</v>
      </c>
      <c r="Q143" s="88" t="s">
        <v>1519</v>
      </c>
      <c r="R143" s="88" t="s">
        <v>1519</v>
      </c>
      <c r="S143" s="88" t="s">
        <v>1519</v>
      </c>
      <c r="T143" s="88" t="s">
        <v>1519</v>
      </c>
      <c r="U143" s="88" t="s">
        <v>1519</v>
      </c>
      <c r="V143" s="88" t="s">
        <v>1519</v>
      </c>
      <c r="W143" s="88" t="s">
        <v>1519</v>
      </c>
      <c r="X143" s="88" t="s">
        <v>1519</v>
      </c>
      <c r="Y143" s="88" t="s">
        <v>1519</v>
      </c>
      <c r="Z143" s="88" t="s">
        <v>1519</v>
      </c>
      <c r="AA143" s="88" t="s">
        <v>1519</v>
      </c>
      <c r="AB143" s="88" t="s">
        <v>1519</v>
      </c>
      <c r="AC143" s="88" t="s">
        <v>1519</v>
      </c>
      <c r="AD143" s="89"/>
      <c r="AE143" s="18" t="s">
        <v>92</v>
      </c>
      <c r="AF143" s="18"/>
      <c r="AG143" s="18"/>
      <c r="AH143" s="18"/>
      <c r="AI143" s="18"/>
      <c r="AJ143" s="18"/>
      <c r="AK143" s="18"/>
      <c r="AL143" s="18"/>
      <c r="AM143" s="18"/>
    </row>
    <row r="144">
      <c r="A144" s="11"/>
      <c r="B144" s="12" t="s">
        <v>34</v>
      </c>
      <c r="C144" s="12" t="s">
        <v>65</v>
      </c>
      <c r="D144" s="12" t="s">
        <v>102</v>
      </c>
      <c r="E144" s="12" t="s">
        <v>455</v>
      </c>
      <c r="F144" s="13" t="s">
        <v>456</v>
      </c>
      <c r="G144" s="12" t="s">
        <v>68</v>
      </c>
      <c r="H144" s="12" t="s">
        <v>457</v>
      </c>
      <c r="I144" s="12" t="s">
        <v>458</v>
      </c>
      <c r="J144" s="17" t="s">
        <v>108</v>
      </c>
      <c r="K144" s="17" t="s">
        <v>109</v>
      </c>
      <c r="L144" s="17" t="s">
        <v>1617</v>
      </c>
      <c r="M144" s="20">
        <v>45972.0</v>
      </c>
      <c r="N144" s="17" t="s">
        <v>428</v>
      </c>
      <c r="O144" s="88" t="s">
        <v>1519</v>
      </c>
      <c r="P144" s="88" t="s">
        <v>1519</v>
      </c>
      <c r="Q144" s="88" t="s">
        <v>1520</v>
      </c>
      <c r="R144" s="88" t="s">
        <v>1520</v>
      </c>
      <c r="S144" s="88" t="s">
        <v>1519</v>
      </c>
      <c r="T144" s="88" t="s">
        <v>1519</v>
      </c>
      <c r="U144" s="88" t="s">
        <v>1519</v>
      </c>
      <c r="V144" s="88" t="s">
        <v>1519</v>
      </c>
      <c r="W144" s="88" t="s">
        <v>1520</v>
      </c>
      <c r="X144" s="88" t="s">
        <v>1519</v>
      </c>
      <c r="Y144" s="88" t="s">
        <v>1520</v>
      </c>
      <c r="Z144" s="88" t="s">
        <v>1519</v>
      </c>
      <c r="AA144" s="88" t="s">
        <v>1520</v>
      </c>
      <c r="AB144" s="88" t="s">
        <v>1520</v>
      </c>
      <c r="AC144" s="88" t="s">
        <v>1520</v>
      </c>
      <c r="AD144" s="89"/>
      <c r="AE144" s="18" t="s">
        <v>92</v>
      </c>
      <c r="AF144" s="18"/>
      <c r="AG144" s="18"/>
      <c r="AH144" s="18"/>
      <c r="AI144" s="18"/>
      <c r="AJ144" s="18"/>
      <c r="AK144" s="18"/>
      <c r="AL144" s="18"/>
      <c r="AM144" s="18"/>
    </row>
    <row r="145">
      <c r="A145" s="11"/>
      <c r="B145" s="12" t="s">
        <v>34</v>
      </c>
      <c r="C145" s="12" t="s">
        <v>65</v>
      </c>
      <c r="D145" s="12" t="s">
        <v>102</v>
      </c>
      <c r="E145" s="12" t="s">
        <v>455</v>
      </c>
      <c r="F145" s="13" t="s">
        <v>456</v>
      </c>
      <c r="G145" s="12" t="s">
        <v>68</v>
      </c>
      <c r="H145" s="12" t="s">
        <v>457</v>
      </c>
      <c r="I145" s="12" t="s">
        <v>458</v>
      </c>
      <c r="J145" s="17" t="s">
        <v>108</v>
      </c>
      <c r="K145" s="17" t="s">
        <v>109</v>
      </c>
      <c r="L145" s="17" t="s">
        <v>1619</v>
      </c>
      <c r="M145" s="20">
        <v>45972.0</v>
      </c>
      <c r="N145" s="17" t="s">
        <v>428</v>
      </c>
      <c r="O145" s="88" t="s">
        <v>1519</v>
      </c>
      <c r="P145" s="88" t="s">
        <v>1519</v>
      </c>
      <c r="Q145" s="88" t="s">
        <v>1519</v>
      </c>
      <c r="R145" s="88" t="s">
        <v>1519</v>
      </c>
      <c r="S145" s="88" t="s">
        <v>1519</v>
      </c>
      <c r="T145" s="88" t="s">
        <v>1519</v>
      </c>
      <c r="U145" s="88" t="s">
        <v>1519</v>
      </c>
      <c r="V145" s="88" t="s">
        <v>1519</v>
      </c>
      <c r="W145" s="88" t="s">
        <v>1519</v>
      </c>
      <c r="X145" s="88" t="s">
        <v>1519</v>
      </c>
      <c r="Y145" s="88" t="s">
        <v>1519</v>
      </c>
      <c r="Z145" s="88" t="s">
        <v>1519</v>
      </c>
      <c r="AA145" s="88" t="s">
        <v>1519</v>
      </c>
      <c r="AB145" s="88" t="s">
        <v>1519</v>
      </c>
      <c r="AC145" s="88" t="s">
        <v>1519</v>
      </c>
      <c r="AD145" s="89"/>
      <c r="AE145" s="18" t="s">
        <v>92</v>
      </c>
      <c r="AF145" s="18"/>
      <c r="AG145" s="18"/>
      <c r="AH145" s="18"/>
      <c r="AI145" s="18"/>
      <c r="AJ145" s="18"/>
      <c r="AK145" s="18"/>
      <c r="AL145" s="18"/>
      <c r="AM145" s="18"/>
    </row>
    <row r="146">
      <c r="A146" s="11"/>
      <c r="B146" s="12" t="s">
        <v>34</v>
      </c>
      <c r="C146" s="12" t="s">
        <v>65</v>
      </c>
      <c r="D146" s="12" t="s">
        <v>102</v>
      </c>
      <c r="E146" s="12" t="s">
        <v>455</v>
      </c>
      <c r="F146" s="13" t="s">
        <v>456</v>
      </c>
      <c r="G146" s="12" t="s">
        <v>68</v>
      </c>
      <c r="H146" s="12" t="s">
        <v>457</v>
      </c>
      <c r="I146" s="12" t="s">
        <v>458</v>
      </c>
      <c r="J146" s="17" t="s">
        <v>108</v>
      </c>
      <c r="K146" s="17" t="s">
        <v>109</v>
      </c>
      <c r="L146" s="17" t="s">
        <v>1615</v>
      </c>
      <c r="M146" s="20">
        <v>45972.0</v>
      </c>
      <c r="N146" s="17" t="s">
        <v>428</v>
      </c>
      <c r="O146" s="88" t="s">
        <v>1519</v>
      </c>
      <c r="P146" s="88" t="s">
        <v>1519</v>
      </c>
      <c r="Q146" s="88" t="s">
        <v>1519</v>
      </c>
      <c r="R146" s="88" t="s">
        <v>1519</v>
      </c>
      <c r="S146" s="88" t="s">
        <v>1519</v>
      </c>
      <c r="T146" s="88" t="s">
        <v>1519</v>
      </c>
      <c r="U146" s="88" t="s">
        <v>1519</v>
      </c>
      <c r="V146" s="88" t="s">
        <v>1519</v>
      </c>
      <c r="W146" s="88" t="s">
        <v>1519</v>
      </c>
      <c r="X146" s="88" t="s">
        <v>1519</v>
      </c>
      <c r="Y146" s="88" t="s">
        <v>1519</v>
      </c>
      <c r="Z146" s="88" t="s">
        <v>1519</v>
      </c>
      <c r="AA146" s="88" t="s">
        <v>1519</v>
      </c>
      <c r="AB146" s="88" t="s">
        <v>1519</v>
      </c>
      <c r="AC146" s="88" t="s">
        <v>1520</v>
      </c>
      <c r="AD146" s="89"/>
      <c r="AE146" s="18" t="s">
        <v>92</v>
      </c>
      <c r="AF146" s="18"/>
      <c r="AG146" s="18"/>
      <c r="AH146" s="18"/>
      <c r="AI146" s="18"/>
      <c r="AJ146" s="18"/>
      <c r="AK146" s="18"/>
      <c r="AL146" s="18"/>
      <c r="AM146" s="18"/>
    </row>
    <row r="147">
      <c r="A147" s="11"/>
      <c r="B147" s="12" t="s">
        <v>34</v>
      </c>
      <c r="C147" s="12" t="s">
        <v>65</v>
      </c>
      <c r="D147" s="12" t="s">
        <v>102</v>
      </c>
      <c r="E147" s="12" t="s">
        <v>455</v>
      </c>
      <c r="F147" s="13" t="s">
        <v>456</v>
      </c>
      <c r="G147" s="12" t="s">
        <v>68</v>
      </c>
      <c r="H147" s="12" t="s">
        <v>457</v>
      </c>
      <c r="I147" s="12" t="s">
        <v>458</v>
      </c>
      <c r="J147" s="17" t="s">
        <v>108</v>
      </c>
      <c r="K147" s="17" t="s">
        <v>109</v>
      </c>
      <c r="L147" s="17" t="s">
        <v>1621</v>
      </c>
      <c r="M147" s="20">
        <v>45972.0</v>
      </c>
      <c r="N147" s="17" t="s">
        <v>428</v>
      </c>
      <c r="O147" s="88" t="s">
        <v>1519</v>
      </c>
      <c r="P147" s="88" t="s">
        <v>1519</v>
      </c>
      <c r="Q147" s="88" t="s">
        <v>1519</v>
      </c>
      <c r="R147" s="88" t="s">
        <v>1519</v>
      </c>
      <c r="S147" s="88" t="s">
        <v>1519</v>
      </c>
      <c r="T147" s="88" t="s">
        <v>1520</v>
      </c>
      <c r="U147" s="88" t="s">
        <v>1519</v>
      </c>
      <c r="V147" s="88" t="s">
        <v>1520</v>
      </c>
      <c r="W147" s="88" t="s">
        <v>1520</v>
      </c>
      <c r="X147" s="88" t="s">
        <v>1519</v>
      </c>
      <c r="Y147" s="88" t="s">
        <v>1519</v>
      </c>
      <c r="Z147" s="88" t="s">
        <v>1519</v>
      </c>
      <c r="AA147" s="88" t="s">
        <v>1520</v>
      </c>
      <c r="AB147" s="88" t="s">
        <v>1520</v>
      </c>
      <c r="AC147" s="88" t="s">
        <v>1520</v>
      </c>
      <c r="AD147" s="89"/>
      <c r="AE147" s="18" t="s">
        <v>92</v>
      </c>
      <c r="AF147" s="18"/>
      <c r="AG147" s="18"/>
      <c r="AH147" s="18"/>
      <c r="AI147" s="18"/>
      <c r="AJ147" s="18"/>
      <c r="AK147" s="18"/>
      <c r="AL147" s="18"/>
      <c r="AM147" s="18"/>
    </row>
    <row r="148">
      <c r="A148" s="11"/>
      <c r="B148" s="12" t="s">
        <v>34</v>
      </c>
      <c r="C148" s="12" t="s">
        <v>65</v>
      </c>
      <c r="D148" s="12" t="s">
        <v>102</v>
      </c>
      <c r="E148" s="12" t="s">
        <v>455</v>
      </c>
      <c r="F148" s="13" t="s">
        <v>456</v>
      </c>
      <c r="G148" s="12" t="s">
        <v>68</v>
      </c>
      <c r="H148" s="12" t="s">
        <v>457</v>
      </c>
      <c r="I148" s="12" t="s">
        <v>458</v>
      </c>
      <c r="J148" s="17" t="s">
        <v>108</v>
      </c>
      <c r="K148" s="17" t="s">
        <v>109</v>
      </c>
      <c r="L148" s="17" t="s">
        <v>1618</v>
      </c>
      <c r="M148" s="20">
        <v>45972.0</v>
      </c>
      <c r="N148" s="17" t="s">
        <v>428</v>
      </c>
      <c r="O148" s="88" t="s">
        <v>1519</v>
      </c>
      <c r="P148" s="88" t="s">
        <v>1519</v>
      </c>
      <c r="Q148" s="88" t="s">
        <v>1519</v>
      </c>
      <c r="R148" s="88" t="s">
        <v>1519</v>
      </c>
      <c r="S148" s="88" t="s">
        <v>1519</v>
      </c>
      <c r="T148" s="88" t="s">
        <v>1520</v>
      </c>
      <c r="U148" s="88" t="s">
        <v>1519</v>
      </c>
      <c r="V148" s="88" t="s">
        <v>1520</v>
      </c>
      <c r="W148" s="88" t="s">
        <v>1520</v>
      </c>
      <c r="X148" s="88" t="s">
        <v>1519</v>
      </c>
      <c r="Y148" s="88" t="s">
        <v>1520</v>
      </c>
      <c r="Z148" s="88" t="s">
        <v>1519</v>
      </c>
      <c r="AA148" s="88" t="s">
        <v>1519</v>
      </c>
      <c r="AB148" s="88" t="s">
        <v>1520</v>
      </c>
      <c r="AC148" s="88" t="s">
        <v>1520</v>
      </c>
      <c r="AD148" s="89"/>
      <c r="AE148" s="18" t="s">
        <v>92</v>
      </c>
      <c r="AF148" s="18"/>
      <c r="AG148" s="18"/>
      <c r="AH148" s="18"/>
      <c r="AI148" s="18"/>
      <c r="AJ148" s="18"/>
      <c r="AK148" s="18"/>
      <c r="AL148" s="18"/>
      <c r="AM148" s="18"/>
    </row>
    <row r="149">
      <c r="A149" s="11"/>
      <c r="B149" s="12" t="s">
        <v>34</v>
      </c>
      <c r="C149" s="12" t="s">
        <v>65</v>
      </c>
      <c r="D149" s="12" t="s">
        <v>102</v>
      </c>
      <c r="E149" s="12" t="s">
        <v>455</v>
      </c>
      <c r="F149" s="13" t="s">
        <v>456</v>
      </c>
      <c r="G149" s="12" t="s">
        <v>68</v>
      </c>
      <c r="H149" s="12" t="s">
        <v>457</v>
      </c>
      <c r="I149" s="12" t="s">
        <v>458</v>
      </c>
      <c r="J149" s="17" t="s">
        <v>108</v>
      </c>
      <c r="K149" s="17" t="s">
        <v>109</v>
      </c>
      <c r="L149" s="17" t="s">
        <v>1639</v>
      </c>
      <c r="M149" s="20">
        <v>45972.0</v>
      </c>
      <c r="N149" s="17" t="s">
        <v>428</v>
      </c>
      <c r="O149" s="88" t="s">
        <v>1519</v>
      </c>
      <c r="P149" s="88" t="s">
        <v>1519</v>
      </c>
      <c r="Q149" s="88" t="s">
        <v>1519</v>
      </c>
      <c r="R149" s="88" t="s">
        <v>1519</v>
      </c>
      <c r="S149" s="88" t="s">
        <v>1519</v>
      </c>
      <c r="T149" s="88" t="s">
        <v>1519</v>
      </c>
      <c r="U149" s="88" t="s">
        <v>1519</v>
      </c>
      <c r="V149" s="88" t="s">
        <v>1519</v>
      </c>
      <c r="W149" s="88" t="s">
        <v>1519</v>
      </c>
      <c r="X149" s="88" t="s">
        <v>1519</v>
      </c>
      <c r="Y149" s="88" t="s">
        <v>1519</v>
      </c>
      <c r="Z149" s="88" t="s">
        <v>1519</v>
      </c>
      <c r="AA149" s="88" t="s">
        <v>1519</v>
      </c>
      <c r="AB149" s="88" t="s">
        <v>1519</v>
      </c>
      <c r="AC149" s="88" t="s">
        <v>1519</v>
      </c>
      <c r="AD149" s="89"/>
      <c r="AE149" s="18" t="s">
        <v>92</v>
      </c>
      <c r="AF149" s="18"/>
      <c r="AG149" s="18"/>
      <c r="AH149" s="18"/>
      <c r="AI149" s="18"/>
      <c r="AJ149" s="18"/>
      <c r="AK149" s="18"/>
      <c r="AL149" s="18"/>
      <c r="AM149" s="18"/>
    </row>
    <row r="150">
      <c r="A150" s="11"/>
      <c r="B150" s="12" t="s">
        <v>34</v>
      </c>
      <c r="C150" s="12" t="s">
        <v>65</v>
      </c>
      <c r="D150" s="12" t="s">
        <v>102</v>
      </c>
      <c r="E150" s="12" t="s">
        <v>455</v>
      </c>
      <c r="F150" s="13" t="s">
        <v>456</v>
      </c>
      <c r="G150" s="12" t="s">
        <v>68</v>
      </c>
      <c r="H150" s="12" t="s">
        <v>457</v>
      </c>
      <c r="I150" s="12" t="s">
        <v>458</v>
      </c>
      <c r="J150" s="17" t="s">
        <v>108</v>
      </c>
      <c r="K150" s="17" t="s">
        <v>109</v>
      </c>
      <c r="L150" s="17" t="s">
        <v>1616</v>
      </c>
      <c r="M150" s="20">
        <v>45972.0</v>
      </c>
      <c r="N150" s="17" t="s">
        <v>428</v>
      </c>
      <c r="O150" s="88" t="s">
        <v>1519</v>
      </c>
      <c r="P150" s="88" t="s">
        <v>1519</v>
      </c>
      <c r="Q150" s="88" t="s">
        <v>1520</v>
      </c>
      <c r="R150" s="88" t="s">
        <v>1519</v>
      </c>
      <c r="S150" s="88" t="s">
        <v>1519</v>
      </c>
      <c r="T150" s="88" t="s">
        <v>1519</v>
      </c>
      <c r="U150" s="88" t="s">
        <v>1519</v>
      </c>
      <c r="V150" s="88" t="s">
        <v>1520</v>
      </c>
      <c r="W150" s="88" t="s">
        <v>1520</v>
      </c>
      <c r="X150" s="88" t="s">
        <v>1519</v>
      </c>
      <c r="Y150" s="88" t="s">
        <v>1519</v>
      </c>
      <c r="Z150" s="88" t="s">
        <v>1520</v>
      </c>
      <c r="AA150" s="88" t="s">
        <v>1520</v>
      </c>
      <c r="AB150" s="88" t="s">
        <v>1520</v>
      </c>
      <c r="AC150" s="88" t="s">
        <v>1520</v>
      </c>
      <c r="AD150" s="89"/>
      <c r="AE150" s="18" t="s">
        <v>92</v>
      </c>
      <c r="AF150" s="18"/>
      <c r="AG150" s="18"/>
      <c r="AH150" s="18"/>
      <c r="AI150" s="18"/>
      <c r="AJ150" s="18"/>
      <c r="AK150" s="18"/>
      <c r="AL150" s="18"/>
      <c r="AM150" s="18"/>
    </row>
    <row r="151">
      <c r="A151" s="11"/>
      <c r="B151" s="12" t="s">
        <v>34</v>
      </c>
      <c r="C151" s="12" t="s">
        <v>65</v>
      </c>
      <c r="D151" s="12" t="s">
        <v>102</v>
      </c>
      <c r="E151" s="12" t="s">
        <v>455</v>
      </c>
      <c r="F151" s="13" t="s">
        <v>456</v>
      </c>
      <c r="G151" s="12" t="s">
        <v>68</v>
      </c>
      <c r="H151" s="12" t="s">
        <v>457</v>
      </c>
      <c r="I151" s="12" t="s">
        <v>458</v>
      </c>
      <c r="J151" s="17" t="s">
        <v>73</v>
      </c>
      <c r="K151" s="17" t="s">
        <v>1589</v>
      </c>
      <c r="L151" s="17" t="s">
        <v>1630</v>
      </c>
      <c r="M151" s="20">
        <v>45972.0</v>
      </c>
      <c r="N151" s="17" t="s">
        <v>428</v>
      </c>
      <c r="O151" s="88" t="s">
        <v>1520</v>
      </c>
      <c r="P151" s="88" t="s">
        <v>1519</v>
      </c>
      <c r="Q151" s="88" t="s">
        <v>1520</v>
      </c>
      <c r="R151" s="88" t="s">
        <v>1520</v>
      </c>
      <c r="S151" s="88" t="s">
        <v>1519</v>
      </c>
      <c r="T151" s="88" t="s">
        <v>1519</v>
      </c>
      <c r="U151" s="88" t="s">
        <v>1519</v>
      </c>
      <c r="V151" s="88" t="s">
        <v>1519</v>
      </c>
      <c r="W151" s="88" t="s">
        <v>1519</v>
      </c>
      <c r="X151" s="88" t="s">
        <v>1520</v>
      </c>
      <c r="Y151" s="88" t="s">
        <v>1519</v>
      </c>
      <c r="Z151" s="88" t="s">
        <v>1519</v>
      </c>
      <c r="AA151" s="88" t="s">
        <v>1519</v>
      </c>
      <c r="AB151" s="88" t="s">
        <v>1520</v>
      </c>
      <c r="AC151" s="88" t="s">
        <v>1520</v>
      </c>
      <c r="AD151" s="89"/>
      <c r="AE151" s="18" t="s">
        <v>92</v>
      </c>
      <c r="AF151" s="18"/>
      <c r="AG151" s="18"/>
      <c r="AH151" s="18"/>
      <c r="AI151" s="18"/>
      <c r="AJ151" s="18"/>
      <c r="AK151" s="18"/>
      <c r="AL151" s="18"/>
      <c r="AM151" s="18"/>
    </row>
    <row r="152">
      <c r="A152" s="11"/>
      <c r="B152" s="12" t="s">
        <v>34</v>
      </c>
      <c r="C152" s="12" t="s">
        <v>65</v>
      </c>
      <c r="D152" s="12" t="s">
        <v>102</v>
      </c>
      <c r="E152" s="12" t="s">
        <v>455</v>
      </c>
      <c r="F152" s="13" t="s">
        <v>456</v>
      </c>
      <c r="G152" s="12" t="s">
        <v>68</v>
      </c>
      <c r="H152" s="12" t="s">
        <v>457</v>
      </c>
      <c r="I152" s="12" t="s">
        <v>458</v>
      </c>
      <c r="J152" s="17" t="s">
        <v>73</v>
      </c>
      <c r="K152" s="17" t="s">
        <v>1589</v>
      </c>
      <c r="L152" s="17" t="s">
        <v>1631</v>
      </c>
      <c r="M152" s="20">
        <v>45972.0</v>
      </c>
      <c r="N152" s="17" t="s">
        <v>428</v>
      </c>
      <c r="O152" s="88" t="s">
        <v>1520</v>
      </c>
      <c r="P152" s="88" t="s">
        <v>1519</v>
      </c>
      <c r="Q152" s="88" t="s">
        <v>1520</v>
      </c>
      <c r="R152" s="88" t="s">
        <v>1520</v>
      </c>
      <c r="S152" s="88" t="s">
        <v>1519</v>
      </c>
      <c r="T152" s="88" t="s">
        <v>1520</v>
      </c>
      <c r="U152" s="88" t="s">
        <v>1520</v>
      </c>
      <c r="V152" s="88" t="s">
        <v>1520</v>
      </c>
      <c r="W152" s="88" t="s">
        <v>1520</v>
      </c>
      <c r="X152" s="88" t="s">
        <v>1520</v>
      </c>
      <c r="Y152" s="88" t="s">
        <v>1520</v>
      </c>
      <c r="Z152" s="88" t="s">
        <v>1519</v>
      </c>
      <c r="AA152" s="88" t="s">
        <v>1520</v>
      </c>
      <c r="AB152" s="88" t="s">
        <v>1520</v>
      </c>
      <c r="AC152" s="88" t="s">
        <v>1520</v>
      </c>
      <c r="AD152" s="89"/>
      <c r="AE152" s="18" t="s">
        <v>92</v>
      </c>
      <c r="AF152" s="18"/>
      <c r="AG152" s="18"/>
      <c r="AH152" s="18"/>
      <c r="AI152" s="18"/>
      <c r="AJ152" s="18"/>
      <c r="AK152" s="18"/>
      <c r="AL152" s="18"/>
      <c r="AM152" s="18"/>
    </row>
    <row r="153">
      <c r="A153" s="11"/>
      <c r="B153" s="12" t="s">
        <v>34</v>
      </c>
      <c r="C153" s="12" t="s">
        <v>65</v>
      </c>
      <c r="D153" s="12" t="s">
        <v>102</v>
      </c>
      <c r="E153" s="12" t="s">
        <v>455</v>
      </c>
      <c r="F153" s="13" t="s">
        <v>456</v>
      </c>
      <c r="G153" s="12" t="s">
        <v>68</v>
      </c>
      <c r="H153" s="12" t="s">
        <v>457</v>
      </c>
      <c r="I153" s="12" t="s">
        <v>458</v>
      </c>
      <c r="J153" s="17" t="s">
        <v>73</v>
      </c>
      <c r="K153" s="17" t="s">
        <v>1589</v>
      </c>
      <c r="L153" s="17" t="s">
        <v>1632</v>
      </c>
      <c r="M153" s="20">
        <v>45972.0</v>
      </c>
      <c r="N153" s="17" t="s">
        <v>428</v>
      </c>
      <c r="O153" s="88" t="s">
        <v>1519</v>
      </c>
      <c r="P153" s="88" t="s">
        <v>1519</v>
      </c>
      <c r="Q153" s="88" t="s">
        <v>1519</v>
      </c>
      <c r="R153" s="88" t="s">
        <v>1519</v>
      </c>
      <c r="S153" s="88" t="s">
        <v>1519</v>
      </c>
      <c r="T153" s="88" t="s">
        <v>1519</v>
      </c>
      <c r="U153" s="88" t="s">
        <v>1519</v>
      </c>
      <c r="V153" s="88" t="s">
        <v>1519</v>
      </c>
      <c r="W153" s="88" t="s">
        <v>1519</v>
      </c>
      <c r="X153" s="88" t="s">
        <v>1520</v>
      </c>
      <c r="Y153" s="88" t="s">
        <v>1519</v>
      </c>
      <c r="Z153" s="88" t="s">
        <v>1519</v>
      </c>
      <c r="AA153" s="88" t="s">
        <v>1519</v>
      </c>
      <c r="AB153" s="88" t="s">
        <v>1519</v>
      </c>
      <c r="AC153" s="88" t="s">
        <v>1519</v>
      </c>
      <c r="AD153" s="89"/>
      <c r="AE153" s="18" t="s">
        <v>92</v>
      </c>
      <c r="AF153" s="18"/>
      <c r="AG153" s="18"/>
      <c r="AH153" s="18"/>
      <c r="AI153" s="18"/>
      <c r="AJ153" s="18"/>
      <c r="AK153" s="18"/>
      <c r="AL153" s="18"/>
      <c r="AM153" s="18"/>
    </row>
    <row r="154">
      <c r="A154" s="11"/>
      <c r="B154" s="12" t="s">
        <v>34</v>
      </c>
      <c r="C154" s="12" t="s">
        <v>65</v>
      </c>
      <c r="D154" s="12" t="s">
        <v>102</v>
      </c>
      <c r="E154" s="12" t="s">
        <v>455</v>
      </c>
      <c r="F154" s="13" t="s">
        <v>456</v>
      </c>
      <c r="G154" s="12" t="s">
        <v>68</v>
      </c>
      <c r="H154" s="12" t="s">
        <v>457</v>
      </c>
      <c r="I154" s="12" t="s">
        <v>458</v>
      </c>
      <c r="J154" s="17" t="s">
        <v>73</v>
      </c>
      <c r="K154" s="17" t="s">
        <v>1589</v>
      </c>
      <c r="L154" s="17" t="s">
        <v>1633</v>
      </c>
      <c r="M154" s="20">
        <v>45972.0</v>
      </c>
      <c r="N154" s="17" t="s">
        <v>428</v>
      </c>
      <c r="O154" s="88" t="s">
        <v>1519</v>
      </c>
      <c r="P154" s="88" t="s">
        <v>1520</v>
      </c>
      <c r="Q154" s="88" t="s">
        <v>1519</v>
      </c>
      <c r="R154" s="88" t="s">
        <v>1519</v>
      </c>
      <c r="S154" s="88" t="s">
        <v>1519</v>
      </c>
      <c r="T154" s="88" t="s">
        <v>1519</v>
      </c>
      <c r="U154" s="88" t="s">
        <v>1519</v>
      </c>
      <c r="V154" s="88" t="s">
        <v>1520</v>
      </c>
      <c r="W154" s="88" t="s">
        <v>1519</v>
      </c>
      <c r="X154" s="88" t="s">
        <v>1519</v>
      </c>
      <c r="Y154" s="88" t="s">
        <v>1519</v>
      </c>
      <c r="Z154" s="88" t="s">
        <v>1519</v>
      </c>
      <c r="AA154" s="88" t="s">
        <v>1519</v>
      </c>
      <c r="AB154" s="88" t="s">
        <v>1519</v>
      </c>
      <c r="AC154" s="88" t="s">
        <v>1519</v>
      </c>
      <c r="AD154" s="89"/>
      <c r="AE154" s="18" t="s">
        <v>92</v>
      </c>
      <c r="AF154" s="18"/>
      <c r="AG154" s="18"/>
      <c r="AH154" s="18"/>
      <c r="AI154" s="18"/>
      <c r="AJ154" s="18"/>
      <c r="AK154" s="18"/>
      <c r="AL154" s="18"/>
      <c r="AM154" s="18"/>
    </row>
    <row r="155">
      <c r="A155" s="11"/>
      <c r="B155" s="12" t="s">
        <v>34</v>
      </c>
      <c r="C155" s="12" t="s">
        <v>65</v>
      </c>
      <c r="D155" s="12" t="s">
        <v>102</v>
      </c>
      <c r="E155" s="12" t="s">
        <v>455</v>
      </c>
      <c r="F155" s="13" t="s">
        <v>456</v>
      </c>
      <c r="G155" s="12" t="s">
        <v>68</v>
      </c>
      <c r="H155" s="12" t="s">
        <v>457</v>
      </c>
      <c r="I155" s="12" t="s">
        <v>458</v>
      </c>
      <c r="J155" s="17" t="s">
        <v>73</v>
      </c>
      <c r="K155" s="17" t="s">
        <v>1589</v>
      </c>
      <c r="L155" s="17" t="s">
        <v>1640</v>
      </c>
      <c r="M155" s="20">
        <v>45972.0</v>
      </c>
      <c r="N155" s="17" t="s">
        <v>428</v>
      </c>
      <c r="O155" s="88" t="s">
        <v>1520</v>
      </c>
      <c r="P155" s="88" t="s">
        <v>1520</v>
      </c>
      <c r="Q155" s="88" t="s">
        <v>1519</v>
      </c>
      <c r="R155" s="88" t="s">
        <v>1520</v>
      </c>
      <c r="S155" s="88" t="s">
        <v>1519</v>
      </c>
      <c r="T155" s="88" t="s">
        <v>1520</v>
      </c>
      <c r="U155" s="88" t="s">
        <v>1520</v>
      </c>
      <c r="V155" s="88" t="s">
        <v>1519</v>
      </c>
      <c r="W155" s="88" t="s">
        <v>1520</v>
      </c>
      <c r="X155" s="88" t="s">
        <v>1520</v>
      </c>
      <c r="Y155" s="88" t="s">
        <v>1520</v>
      </c>
      <c r="Z155" s="88" t="s">
        <v>1519</v>
      </c>
      <c r="AA155" s="88" t="s">
        <v>1520</v>
      </c>
      <c r="AB155" s="88" t="s">
        <v>1520</v>
      </c>
      <c r="AC155" s="88" t="s">
        <v>1520</v>
      </c>
      <c r="AD155" s="89"/>
      <c r="AE155" s="18" t="s">
        <v>92</v>
      </c>
      <c r="AF155" s="18"/>
      <c r="AG155" s="18"/>
      <c r="AH155" s="18"/>
      <c r="AI155" s="18"/>
      <c r="AJ155" s="18"/>
      <c r="AK155" s="18"/>
      <c r="AL155" s="18"/>
      <c r="AM155" s="18"/>
    </row>
    <row r="156">
      <c r="A156" s="11"/>
      <c r="B156" s="12" t="s">
        <v>34</v>
      </c>
      <c r="C156" s="12" t="s">
        <v>65</v>
      </c>
      <c r="D156" s="12" t="s">
        <v>102</v>
      </c>
      <c r="E156" s="12" t="s">
        <v>455</v>
      </c>
      <c r="F156" s="13" t="s">
        <v>456</v>
      </c>
      <c r="G156" s="12" t="s">
        <v>68</v>
      </c>
      <c r="H156" s="12" t="s">
        <v>457</v>
      </c>
      <c r="I156" s="12" t="s">
        <v>458</v>
      </c>
      <c r="J156" s="17" t="s">
        <v>73</v>
      </c>
      <c r="K156" s="17" t="s">
        <v>1589</v>
      </c>
      <c r="L156" s="17" t="s">
        <v>1635</v>
      </c>
      <c r="M156" s="20">
        <v>45972.0</v>
      </c>
      <c r="N156" s="17" t="s">
        <v>428</v>
      </c>
      <c r="O156" s="88" t="s">
        <v>1519</v>
      </c>
      <c r="P156" s="88" t="s">
        <v>1520</v>
      </c>
      <c r="Q156" s="88" t="s">
        <v>1519</v>
      </c>
      <c r="R156" s="88" t="s">
        <v>1520</v>
      </c>
      <c r="S156" s="88" t="s">
        <v>1519</v>
      </c>
      <c r="T156" s="88" t="s">
        <v>1520</v>
      </c>
      <c r="U156" s="88" t="s">
        <v>1519</v>
      </c>
      <c r="V156" s="88" t="s">
        <v>1519</v>
      </c>
      <c r="W156" s="88" t="s">
        <v>1520</v>
      </c>
      <c r="X156" s="88" t="s">
        <v>1519</v>
      </c>
      <c r="Y156" s="88" t="s">
        <v>1520</v>
      </c>
      <c r="Z156" s="88" t="s">
        <v>1519</v>
      </c>
      <c r="AA156" s="88" t="s">
        <v>1520</v>
      </c>
      <c r="AB156" s="88" t="s">
        <v>1520</v>
      </c>
      <c r="AC156" s="88" t="s">
        <v>1520</v>
      </c>
      <c r="AD156" s="89"/>
      <c r="AE156" s="18" t="s">
        <v>92</v>
      </c>
      <c r="AF156" s="18"/>
      <c r="AG156" s="18"/>
      <c r="AH156" s="18"/>
      <c r="AI156" s="18"/>
      <c r="AJ156" s="18"/>
      <c r="AK156" s="18"/>
      <c r="AL156" s="18"/>
      <c r="AM156" s="18"/>
    </row>
    <row r="157">
      <c r="A157" s="11"/>
      <c r="B157" s="12" t="s">
        <v>34</v>
      </c>
      <c r="C157" s="12" t="s">
        <v>65</v>
      </c>
      <c r="D157" s="12" t="s">
        <v>102</v>
      </c>
      <c r="E157" s="12" t="s">
        <v>455</v>
      </c>
      <c r="F157" s="13" t="s">
        <v>456</v>
      </c>
      <c r="G157" s="12" t="s">
        <v>68</v>
      </c>
      <c r="H157" s="12" t="s">
        <v>457</v>
      </c>
      <c r="I157" s="12" t="s">
        <v>458</v>
      </c>
      <c r="J157" s="17" t="s">
        <v>73</v>
      </c>
      <c r="K157" s="17" t="s">
        <v>1589</v>
      </c>
      <c r="L157" s="17" t="s">
        <v>1636</v>
      </c>
      <c r="M157" s="20">
        <v>45972.0</v>
      </c>
      <c r="N157" s="17" t="s">
        <v>428</v>
      </c>
      <c r="O157" s="88" t="s">
        <v>1520</v>
      </c>
      <c r="P157" s="88" t="s">
        <v>1520</v>
      </c>
      <c r="Q157" s="88" t="s">
        <v>1520</v>
      </c>
      <c r="R157" s="88" t="s">
        <v>1520</v>
      </c>
      <c r="S157" s="88" t="s">
        <v>1519</v>
      </c>
      <c r="T157" s="88" t="s">
        <v>1520</v>
      </c>
      <c r="U157" s="88" t="s">
        <v>1520</v>
      </c>
      <c r="V157" s="88" t="s">
        <v>1520</v>
      </c>
      <c r="W157" s="88" t="s">
        <v>1520</v>
      </c>
      <c r="X157" s="88" t="s">
        <v>1519</v>
      </c>
      <c r="Y157" s="88" t="s">
        <v>1520</v>
      </c>
      <c r="Z157" s="88" t="s">
        <v>1519</v>
      </c>
      <c r="AA157" s="88" t="s">
        <v>1520</v>
      </c>
      <c r="AB157" s="88" t="s">
        <v>1520</v>
      </c>
      <c r="AC157" s="88" t="s">
        <v>1520</v>
      </c>
      <c r="AD157" s="89"/>
      <c r="AE157" s="18" t="s">
        <v>92</v>
      </c>
      <c r="AF157" s="18"/>
      <c r="AG157" s="18"/>
      <c r="AH157" s="18"/>
      <c r="AI157" s="18"/>
      <c r="AJ157" s="18"/>
      <c r="AK157" s="18"/>
      <c r="AL157" s="18"/>
      <c r="AM157" s="18"/>
    </row>
    <row r="158">
      <c r="A158" s="11"/>
      <c r="B158" s="12" t="s">
        <v>34</v>
      </c>
      <c r="C158" s="12" t="s">
        <v>65</v>
      </c>
      <c r="D158" s="12" t="s">
        <v>102</v>
      </c>
      <c r="E158" s="12" t="s">
        <v>455</v>
      </c>
      <c r="F158" s="13" t="s">
        <v>456</v>
      </c>
      <c r="G158" s="12" t="s">
        <v>68</v>
      </c>
      <c r="H158" s="12" t="s">
        <v>457</v>
      </c>
      <c r="I158" s="12" t="s">
        <v>458</v>
      </c>
      <c r="J158" s="17" t="s">
        <v>73</v>
      </c>
      <c r="K158" s="17" t="s">
        <v>1589</v>
      </c>
      <c r="L158" s="17" t="s">
        <v>1641</v>
      </c>
      <c r="M158" s="20">
        <v>45972.0</v>
      </c>
      <c r="N158" s="17" t="s">
        <v>428</v>
      </c>
      <c r="O158" s="88" t="s">
        <v>1520</v>
      </c>
      <c r="P158" s="88" t="s">
        <v>1520</v>
      </c>
      <c r="Q158" s="88" t="s">
        <v>1520</v>
      </c>
      <c r="R158" s="88" t="s">
        <v>1520</v>
      </c>
      <c r="S158" s="88" t="s">
        <v>1519</v>
      </c>
      <c r="T158" s="88" t="s">
        <v>1520</v>
      </c>
      <c r="U158" s="88" t="s">
        <v>1520</v>
      </c>
      <c r="V158" s="88" t="s">
        <v>1520</v>
      </c>
      <c r="W158" s="88" t="s">
        <v>1520</v>
      </c>
      <c r="X158" s="88" t="s">
        <v>1520</v>
      </c>
      <c r="Y158" s="88" t="s">
        <v>1520</v>
      </c>
      <c r="Z158" s="88" t="s">
        <v>1519</v>
      </c>
      <c r="AA158" s="88" t="s">
        <v>1520</v>
      </c>
      <c r="AB158" s="88" t="s">
        <v>1520</v>
      </c>
      <c r="AC158" s="88" t="s">
        <v>1520</v>
      </c>
      <c r="AD158" s="93" t="s">
        <v>1642</v>
      </c>
      <c r="AE158" s="18" t="s">
        <v>92</v>
      </c>
      <c r="AF158" s="18"/>
      <c r="AG158" s="18"/>
      <c r="AH158" s="18"/>
      <c r="AI158" s="18"/>
      <c r="AJ158" s="18"/>
      <c r="AK158" s="18"/>
      <c r="AL158" s="18"/>
      <c r="AM158" s="18"/>
    </row>
    <row r="159">
      <c r="A159" s="11"/>
      <c r="B159" s="12" t="s">
        <v>34</v>
      </c>
      <c r="C159" s="12" t="s">
        <v>65</v>
      </c>
      <c r="D159" s="12" t="s">
        <v>102</v>
      </c>
      <c r="E159" s="12" t="s">
        <v>455</v>
      </c>
      <c r="F159" s="13" t="s">
        <v>456</v>
      </c>
      <c r="G159" s="12" t="s">
        <v>68</v>
      </c>
      <c r="H159" s="12" t="s">
        <v>457</v>
      </c>
      <c r="I159" s="12" t="s">
        <v>458</v>
      </c>
      <c r="J159" s="17" t="s">
        <v>73</v>
      </c>
      <c r="K159" s="17" t="s">
        <v>1589</v>
      </c>
      <c r="L159" s="17" t="s">
        <v>1638</v>
      </c>
      <c r="M159" s="20">
        <v>45972.0</v>
      </c>
      <c r="N159" s="17" t="s">
        <v>428</v>
      </c>
      <c r="O159" s="88" t="s">
        <v>1520</v>
      </c>
      <c r="P159" s="88" t="s">
        <v>1520</v>
      </c>
      <c r="Q159" s="88" t="s">
        <v>1520</v>
      </c>
      <c r="R159" s="88" t="s">
        <v>1520</v>
      </c>
      <c r="S159" s="88" t="s">
        <v>1519</v>
      </c>
      <c r="T159" s="88" t="s">
        <v>1520</v>
      </c>
      <c r="U159" s="88" t="s">
        <v>1519</v>
      </c>
      <c r="V159" s="88" t="s">
        <v>1520</v>
      </c>
      <c r="W159" s="88" t="s">
        <v>1519</v>
      </c>
      <c r="X159" s="88" t="s">
        <v>1519</v>
      </c>
      <c r="Y159" s="88" t="s">
        <v>1520</v>
      </c>
      <c r="Z159" s="88" t="s">
        <v>1519</v>
      </c>
      <c r="AA159" s="88" t="s">
        <v>1520</v>
      </c>
      <c r="AB159" s="88" t="s">
        <v>1520</v>
      </c>
      <c r="AC159" s="88" t="s">
        <v>1520</v>
      </c>
      <c r="AD159" s="89"/>
      <c r="AE159" s="18" t="s">
        <v>92</v>
      </c>
      <c r="AF159" s="18"/>
      <c r="AG159" s="18"/>
      <c r="AH159" s="18"/>
      <c r="AI159" s="18"/>
      <c r="AJ159" s="18"/>
      <c r="AK159" s="18"/>
      <c r="AL159" s="18"/>
      <c r="AM159" s="18"/>
    </row>
    <row r="160">
      <c r="A160" s="11"/>
      <c r="B160" s="12" t="s">
        <v>34</v>
      </c>
      <c r="C160" s="12" t="s">
        <v>65</v>
      </c>
      <c r="D160" s="12" t="s">
        <v>102</v>
      </c>
      <c r="E160" s="12" t="s">
        <v>455</v>
      </c>
      <c r="F160" s="13" t="s">
        <v>456</v>
      </c>
      <c r="G160" s="12" t="s">
        <v>68</v>
      </c>
      <c r="H160" s="12" t="s">
        <v>457</v>
      </c>
      <c r="I160" s="12" t="s">
        <v>458</v>
      </c>
      <c r="J160" s="17" t="s">
        <v>73</v>
      </c>
      <c r="K160" s="17" t="s">
        <v>1589</v>
      </c>
      <c r="L160" s="17" t="s">
        <v>1643</v>
      </c>
      <c r="M160" s="20">
        <v>45972.0</v>
      </c>
      <c r="N160" s="17" t="s">
        <v>428</v>
      </c>
      <c r="O160" s="88" t="s">
        <v>1519</v>
      </c>
      <c r="P160" s="88" t="s">
        <v>1519</v>
      </c>
      <c r="Q160" s="88" t="s">
        <v>1519</v>
      </c>
      <c r="R160" s="88" t="s">
        <v>1519</v>
      </c>
      <c r="S160" s="88" t="s">
        <v>1519</v>
      </c>
      <c r="T160" s="88" t="s">
        <v>1520</v>
      </c>
      <c r="U160" s="88" t="s">
        <v>1519</v>
      </c>
      <c r="V160" s="88" t="s">
        <v>1519</v>
      </c>
      <c r="W160" s="88" t="s">
        <v>1519</v>
      </c>
      <c r="X160" s="88" t="s">
        <v>1520</v>
      </c>
      <c r="Y160" s="88" t="s">
        <v>1519</v>
      </c>
      <c r="Z160" s="88" t="s">
        <v>1519</v>
      </c>
      <c r="AA160" s="88" t="s">
        <v>1519</v>
      </c>
      <c r="AB160" s="88" t="s">
        <v>1519</v>
      </c>
      <c r="AC160" s="88" t="s">
        <v>1519</v>
      </c>
      <c r="AD160" s="93" t="s">
        <v>1642</v>
      </c>
      <c r="AE160" s="18" t="s">
        <v>92</v>
      </c>
      <c r="AF160" s="18"/>
      <c r="AG160" s="18"/>
      <c r="AH160" s="18"/>
      <c r="AI160" s="18"/>
      <c r="AJ160" s="18"/>
      <c r="AK160" s="18"/>
      <c r="AL160" s="18"/>
      <c r="AM160" s="18"/>
    </row>
    <row r="161">
      <c r="A161" s="11"/>
      <c r="B161" s="12" t="s">
        <v>34</v>
      </c>
      <c r="C161" s="12" t="s">
        <v>65</v>
      </c>
      <c r="D161" s="12" t="s">
        <v>102</v>
      </c>
      <c r="E161" s="12" t="s">
        <v>455</v>
      </c>
      <c r="F161" s="13" t="s">
        <v>456</v>
      </c>
      <c r="G161" s="12" t="s">
        <v>68</v>
      </c>
      <c r="H161" s="12" t="s">
        <v>457</v>
      </c>
      <c r="I161" s="12" t="s">
        <v>458</v>
      </c>
      <c r="J161" s="17" t="s">
        <v>73</v>
      </c>
      <c r="K161" s="17" t="s">
        <v>1589</v>
      </c>
      <c r="L161" s="17" t="s">
        <v>1644</v>
      </c>
      <c r="M161" s="20">
        <v>45972.0</v>
      </c>
      <c r="N161" s="17" t="s">
        <v>428</v>
      </c>
      <c r="O161" s="88" t="s">
        <v>1519</v>
      </c>
      <c r="P161" s="88" t="s">
        <v>1519</v>
      </c>
      <c r="Q161" s="88" t="s">
        <v>1520</v>
      </c>
      <c r="R161" s="88" t="s">
        <v>1519</v>
      </c>
      <c r="S161" s="88" t="s">
        <v>1519</v>
      </c>
      <c r="T161" s="88" t="s">
        <v>1519</v>
      </c>
      <c r="U161" s="88" t="s">
        <v>1519</v>
      </c>
      <c r="V161" s="88" t="s">
        <v>1519</v>
      </c>
      <c r="W161" s="88" t="s">
        <v>1519</v>
      </c>
      <c r="X161" s="88" t="s">
        <v>1519</v>
      </c>
      <c r="Y161" s="88" t="s">
        <v>1519</v>
      </c>
      <c r="Z161" s="88" t="s">
        <v>1519</v>
      </c>
      <c r="AA161" s="88" t="s">
        <v>1519</v>
      </c>
      <c r="AB161" s="88" t="s">
        <v>1519</v>
      </c>
      <c r="AC161" s="88" t="s">
        <v>1519</v>
      </c>
      <c r="AD161" s="89"/>
      <c r="AE161" s="18" t="s">
        <v>92</v>
      </c>
      <c r="AF161" s="18"/>
      <c r="AG161" s="18"/>
      <c r="AH161" s="18"/>
      <c r="AI161" s="18"/>
      <c r="AJ161" s="18"/>
      <c r="AK161" s="18"/>
      <c r="AL161" s="18"/>
      <c r="AM161" s="18"/>
    </row>
    <row r="162">
      <c r="A162" s="11"/>
      <c r="B162" s="12" t="s">
        <v>34</v>
      </c>
      <c r="C162" s="12" t="s">
        <v>65</v>
      </c>
      <c r="D162" s="12" t="s">
        <v>102</v>
      </c>
      <c r="E162" s="12" t="s">
        <v>455</v>
      </c>
      <c r="F162" s="13" t="s">
        <v>456</v>
      </c>
      <c r="G162" s="12" t="s">
        <v>68</v>
      </c>
      <c r="H162" s="12" t="s">
        <v>457</v>
      </c>
      <c r="I162" s="12" t="s">
        <v>458</v>
      </c>
      <c r="J162" s="17" t="s">
        <v>112</v>
      </c>
      <c r="K162" s="17" t="s">
        <v>113</v>
      </c>
      <c r="L162" s="17" t="s">
        <v>1622</v>
      </c>
      <c r="M162" s="20">
        <v>45972.0</v>
      </c>
      <c r="N162" s="17" t="s">
        <v>428</v>
      </c>
      <c r="O162" s="88" t="s">
        <v>1519</v>
      </c>
      <c r="P162" s="88" t="s">
        <v>1519</v>
      </c>
      <c r="Q162" s="88" t="s">
        <v>1519</v>
      </c>
      <c r="R162" s="88" t="s">
        <v>1520</v>
      </c>
      <c r="S162" s="88" t="s">
        <v>1519</v>
      </c>
      <c r="T162" s="88" t="s">
        <v>1520</v>
      </c>
      <c r="U162" s="88" t="s">
        <v>1519</v>
      </c>
      <c r="V162" s="88" t="s">
        <v>1519</v>
      </c>
      <c r="W162" s="88" t="s">
        <v>1519</v>
      </c>
      <c r="X162" s="88" t="s">
        <v>1519</v>
      </c>
      <c r="Y162" s="88" t="s">
        <v>1520</v>
      </c>
      <c r="Z162" s="88" t="s">
        <v>1519</v>
      </c>
      <c r="AA162" s="88" t="s">
        <v>1519</v>
      </c>
      <c r="AB162" s="88" t="s">
        <v>1520</v>
      </c>
      <c r="AC162" s="88" t="s">
        <v>1520</v>
      </c>
      <c r="AD162" s="89"/>
      <c r="AE162" s="18" t="s">
        <v>92</v>
      </c>
      <c r="AF162" s="18"/>
      <c r="AG162" s="18"/>
      <c r="AH162" s="18"/>
      <c r="AI162" s="18"/>
      <c r="AJ162" s="18"/>
      <c r="AK162" s="18"/>
      <c r="AL162" s="18"/>
      <c r="AM162" s="18"/>
    </row>
    <row r="163">
      <c r="A163" s="11"/>
      <c r="B163" s="12" t="s">
        <v>34</v>
      </c>
      <c r="C163" s="12" t="s">
        <v>65</v>
      </c>
      <c r="D163" s="12" t="s">
        <v>102</v>
      </c>
      <c r="E163" s="12" t="s">
        <v>455</v>
      </c>
      <c r="F163" s="13" t="s">
        <v>456</v>
      </c>
      <c r="G163" s="12" t="s">
        <v>68</v>
      </c>
      <c r="H163" s="12" t="s">
        <v>457</v>
      </c>
      <c r="I163" s="12" t="s">
        <v>458</v>
      </c>
      <c r="J163" s="17" t="s">
        <v>112</v>
      </c>
      <c r="K163" s="17" t="s">
        <v>113</v>
      </c>
      <c r="L163" s="17" t="s">
        <v>1624</v>
      </c>
      <c r="M163" s="20">
        <v>45972.0</v>
      </c>
      <c r="N163" s="17" t="s">
        <v>428</v>
      </c>
      <c r="O163" s="88" t="s">
        <v>1519</v>
      </c>
      <c r="P163" s="88" t="s">
        <v>1519</v>
      </c>
      <c r="Q163" s="88" t="s">
        <v>1519</v>
      </c>
      <c r="R163" s="88" t="s">
        <v>1520</v>
      </c>
      <c r="S163" s="88" t="s">
        <v>1519</v>
      </c>
      <c r="T163" s="88" t="s">
        <v>1519</v>
      </c>
      <c r="U163" s="88" t="s">
        <v>1519</v>
      </c>
      <c r="V163" s="88">
        <v>4.0</v>
      </c>
      <c r="W163" s="88">
        <v>4.0</v>
      </c>
      <c r="X163" s="88" t="s">
        <v>1520</v>
      </c>
      <c r="Y163" s="88" t="s">
        <v>1519</v>
      </c>
      <c r="Z163" s="88" t="s">
        <v>1519</v>
      </c>
      <c r="AA163" s="88" t="s">
        <v>1519</v>
      </c>
      <c r="AB163" s="88" t="s">
        <v>1519</v>
      </c>
      <c r="AC163" s="88" t="s">
        <v>1519</v>
      </c>
      <c r="AD163" s="89"/>
      <c r="AE163" s="18" t="s">
        <v>92</v>
      </c>
      <c r="AF163" s="18"/>
      <c r="AG163" s="18"/>
      <c r="AH163" s="18"/>
      <c r="AI163" s="18"/>
      <c r="AJ163" s="18"/>
      <c r="AK163" s="18"/>
      <c r="AL163" s="18"/>
      <c r="AM163" s="18"/>
    </row>
    <row r="164">
      <c r="A164" s="11"/>
      <c r="B164" s="12" t="s">
        <v>34</v>
      </c>
      <c r="C164" s="12" t="s">
        <v>65</v>
      </c>
      <c r="D164" s="12" t="s">
        <v>102</v>
      </c>
      <c r="E164" s="12" t="s">
        <v>455</v>
      </c>
      <c r="F164" s="13" t="s">
        <v>456</v>
      </c>
      <c r="G164" s="12" t="s">
        <v>68</v>
      </c>
      <c r="H164" s="12" t="s">
        <v>457</v>
      </c>
      <c r="I164" s="12" t="s">
        <v>458</v>
      </c>
      <c r="J164" s="17" t="s">
        <v>112</v>
      </c>
      <c r="K164" s="17" t="s">
        <v>113</v>
      </c>
      <c r="L164" s="17" t="s">
        <v>1626</v>
      </c>
      <c r="M164" s="20">
        <v>45972.0</v>
      </c>
      <c r="N164" s="17" t="s">
        <v>428</v>
      </c>
      <c r="O164" s="88" t="s">
        <v>1520</v>
      </c>
      <c r="P164" s="88" t="s">
        <v>1520</v>
      </c>
      <c r="Q164" s="88" t="s">
        <v>1519</v>
      </c>
      <c r="R164" s="88" t="s">
        <v>1519</v>
      </c>
      <c r="S164" s="88" t="s">
        <v>1519</v>
      </c>
      <c r="T164" s="88" t="s">
        <v>1519</v>
      </c>
      <c r="U164" s="88" t="s">
        <v>1519</v>
      </c>
      <c r="V164" s="88">
        <v>4.0</v>
      </c>
      <c r="W164" s="88">
        <v>4.0</v>
      </c>
      <c r="X164" s="88" t="s">
        <v>1519</v>
      </c>
      <c r="Y164" s="88" t="s">
        <v>1519</v>
      </c>
      <c r="Z164" s="88" t="s">
        <v>1519</v>
      </c>
      <c r="AA164" s="88" t="s">
        <v>1519</v>
      </c>
      <c r="AB164" s="88" t="s">
        <v>1519</v>
      </c>
      <c r="AC164" s="88" t="s">
        <v>1520</v>
      </c>
      <c r="AD164" s="89"/>
      <c r="AE164" s="18" t="s">
        <v>92</v>
      </c>
      <c r="AF164" s="18"/>
      <c r="AG164" s="18"/>
      <c r="AH164" s="18"/>
      <c r="AI164" s="18"/>
      <c r="AJ164" s="18"/>
      <c r="AK164" s="18"/>
      <c r="AL164" s="18"/>
      <c r="AM164" s="18"/>
    </row>
    <row r="165">
      <c r="A165" s="11"/>
      <c r="B165" s="12" t="s">
        <v>34</v>
      </c>
      <c r="C165" s="12" t="s">
        <v>65</v>
      </c>
      <c r="D165" s="12" t="s">
        <v>102</v>
      </c>
      <c r="E165" s="12" t="s">
        <v>455</v>
      </c>
      <c r="F165" s="13" t="s">
        <v>456</v>
      </c>
      <c r="G165" s="12" t="s">
        <v>68</v>
      </c>
      <c r="H165" s="12" t="s">
        <v>457</v>
      </c>
      <c r="I165" s="12" t="s">
        <v>458</v>
      </c>
      <c r="J165" s="17" t="s">
        <v>112</v>
      </c>
      <c r="K165" s="17" t="s">
        <v>113</v>
      </c>
      <c r="L165" s="17" t="s">
        <v>1627</v>
      </c>
      <c r="M165" s="20">
        <v>45972.0</v>
      </c>
      <c r="N165" s="17" t="s">
        <v>428</v>
      </c>
      <c r="O165" s="88" t="s">
        <v>1520</v>
      </c>
      <c r="P165" s="88" t="s">
        <v>1520</v>
      </c>
      <c r="Q165" s="88" t="s">
        <v>1520</v>
      </c>
      <c r="R165" s="88" t="s">
        <v>1519</v>
      </c>
      <c r="S165" s="88" t="s">
        <v>1519</v>
      </c>
      <c r="T165" s="88" t="s">
        <v>1520</v>
      </c>
      <c r="U165" s="88" t="s">
        <v>1519</v>
      </c>
      <c r="V165" s="88" t="s">
        <v>1519</v>
      </c>
      <c r="W165" s="88" t="s">
        <v>1519</v>
      </c>
      <c r="X165" s="88" t="s">
        <v>1519</v>
      </c>
      <c r="Y165" s="88" t="s">
        <v>1519</v>
      </c>
      <c r="Z165" s="88" t="s">
        <v>1519</v>
      </c>
      <c r="AA165" s="88" t="s">
        <v>1519</v>
      </c>
      <c r="AB165" s="88" t="s">
        <v>1519</v>
      </c>
      <c r="AC165" s="88" t="s">
        <v>1519</v>
      </c>
      <c r="AD165" s="89"/>
      <c r="AE165" s="18" t="s">
        <v>92</v>
      </c>
      <c r="AF165" s="18"/>
      <c r="AG165" s="18"/>
      <c r="AH165" s="18"/>
      <c r="AI165" s="18"/>
      <c r="AJ165" s="18"/>
      <c r="AK165" s="18"/>
      <c r="AL165" s="18"/>
      <c r="AM165" s="18"/>
    </row>
    <row r="166">
      <c r="A166" s="11"/>
      <c r="B166" s="12" t="s">
        <v>34</v>
      </c>
      <c r="C166" s="12" t="s">
        <v>65</v>
      </c>
      <c r="D166" s="12" t="s">
        <v>102</v>
      </c>
      <c r="E166" s="12" t="s">
        <v>455</v>
      </c>
      <c r="F166" s="13" t="s">
        <v>456</v>
      </c>
      <c r="G166" s="12" t="s">
        <v>68</v>
      </c>
      <c r="H166" s="12" t="s">
        <v>457</v>
      </c>
      <c r="I166" s="12" t="s">
        <v>458</v>
      </c>
      <c r="J166" s="17" t="s">
        <v>112</v>
      </c>
      <c r="K166" s="17" t="s">
        <v>113</v>
      </c>
      <c r="L166" s="17" t="s">
        <v>1628</v>
      </c>
      <c r="M166" s="20">
        <v>45972.0</v>
      </c>
      <c r="N166" s="17" t="s">
        <v>428</v>
      </c>
      <c r="O166" s="88" t="s">
        <v>1519</v>
      </c>
      <c r="P166" s="88" t="s">
        <v>1520</v>
      </c>
      <c r="Q166" s="88" t="s">
        <v>1519</v>
      </c>
      <c r="R166" s="88" t="s">
        <v>1520</v>
      </c>
      <c r="S166" s="88" t="s">
        <v>1519</v>
      </c>
      <c r="T166" s="88" t="s">
        <v>1520</v>
      </c>
      <c r="U166" s="88" t="s">
        <v>1519</v>
      </c>
      <c r="V166" s="88" t="s">
        <v>1519</v>
      </c>
      <c r="W166" s="88" t="s">
        <v>1519</v>
      </c>
      <c r="X166" s="88" t="s">
        <v>1519</v>
      </c>
      <c r="Y166" s="88" t="s">
        <v>1519</v>
      </c>
      <c r="Z166" s="88" t="s">
        <v>1519</v>
      </c>
      <c r="AA166" s="88" t="s">
        <v>1519</v>
      </c>
      <c r="AB166" s="88" t="s">
        <v>1519</v>
      </c>
      <c r="AC166" s="88" t="s">
        <v>1519</v>
      </c>
      <c r="AD166" s="89"/>
      <c r="AE166" s="18" t="s">
        <v>92</v>
      </c>
      <c r="AF166" s="18"/>
      <c r="AG166" s="18"/>
      <c r="AH166" s="18"/>
      <c r="AI166" s="18"/>
      <c r="AJ166" s="18"/>
      <c r="AK166" s="18"/>
      <c r="AL166" s="18"/>
      <c r="AM166" s="18"/>
    </row>
    <row r="167">
      <c r="A167" s="11"/>
      <c r="B167" s="12" t="s">
        <v>34</v>
      </c>
      <c r="C167" s="12" t="s">
        <v>65</v>
      </c>
      <c r="D167" s="12" t="s">
        <v>102</v>
      </c>
      <c r="E167" s="12" t="s">
        <v>455</v>
      </c>
      <c r="F167" s="13" t="s">
        <v>456</v>
      </c>
      <c r="G167" s="12" t="s">
        <v>68</v>
      </c>
      <c r="H167" s="12" t="s">
        <v>457</v>
      </c>
      <c r="I167" s="12" t="s">
        <v>458</v>
      </c>
      <c r="J167" s="17" t="s">
        <v>112</v>
      </c>
      <c r="K167" s="17" t="s">
        <v>113</v>
      </c>
      <c r="L167" s="17" t="s">
        <v>1629</v>
      </c>
      <c r="M167" s="20">
        <v>45972.0</v>
      </c>
      <c r="N167" s="17" t="s">
        <v>428</v>
      </c>
      <c r="O167" s="88" t="s">
        <v>1520</v>
      </c>
      <c r="P167" s="88" t="s">
        <v>1520</v>
      </c>
      <c r="Q167" s="88" t="s">
        <v>1519</v>
      </c>
      <c r="R167" s="88" t="s">
        <v>1520</v>
      </c>
      <c r="S167" s="88" t="s">
        <v>1519</v>
      </c>
      <c r="T167" s="88" t="s">
        <v>1520</v>
      </c>
      <c r="U167" s="88" t="s">
        <v>1519</v>
      </c>
      <c r="V167" s="88" t="s">
        <v>1519</v>
      </c>
      <c r="W167" s="88" t="s">
        <v>1519</v>
      </c>
      <c r="X167" s="88" t="s">
        <v>1519</v>
      </c>
      <c r="Y167" s="88" t="s">
        <v>1520</v>
      </c>
      <c r="Z167" s="88" t="s">
        <v>1519</v>
      </c>
      <c r="AA167" s="88" t="s">
        <v>1519</v>
      </c>
      <c r="AB167" s="88" t="s">
        <v>1519</v>
      </c>
      <c r="AC167" s="88" t="s">
        <v>1519</v>
      </c>
      <c r="AD167" s="89"/>
      <c r="AE167" s="18" t="s">
        <v>92</v>
      </c>
      <c r="AF167" s="18"/>
      <c r="AG167" s="18"/>
      <c r="AH167" s="18"/>
      <c r="AI167" s="18"/>
      <c r="AJ167" s="18"/>
      <c r="AK167" s="18"/>
      <c r="AL167" s="18"/>
      <c r="AM167" s="18"/>
    </row>
    <row r="168">
      <c r="A168" s="11"/>
      <c r="B168" s="12" t="s">
        <v>34</v>
      </c>
      <c r="C168" s="12" t="s">
        <v>65</v>
      </c>
      <c r="D168" s="12" t="s">
        <v>102</v>
      </c>
      <c r="E168" s="12" t="s">
        <v>142</v>
      </c>
      <c r="F168" s="13" t="s">
        <v>143</v>
      </c>
      <c r="G168" s="12" t="s">
        <v>68</v>
      </c>
      <c r="H168" s="12" t="s">
        <v>144</v>
      </c>
      <c r="I168" s="12" t="s">
        <v>145</v>
      </c>
      <c r="J168" s="17" t="s">
        <v>108</v>
      </c>
      <c r="K168" s="17" t="s">
        <v>109</v>
      </c>
      <c r="L168" s="17" t="s">
        <v>1645</v>
      </c>
      <c r="M168" s="20">
        <v>45841.0</v>
      </c>
      <c r="N168" s="17" t="s">
        <v>194</v>
      </c>
      <c r="O168" s="88" t="s">
        <v>1519</v>
      </c>
      <c r="P168" s="88" t="s">
        <v>1519</v>
      </c>
      <c r="Q168" s="88" t="s">
        <v>1519</v>
      </c>
      <c r="R168" s="88" t="s">
        <v>1521</v>
      </c>
      <c r="S168" s="88" t="s">
        <v>1519</v>
      </c>
      <c r="T168" s="88" t="s">
        <v>1521</v>
      </c>
      <c r="U168" s="88" t="s">
        <v>1521</v>
      </c>
      <c r="V168" s="88" t="s">
        <v>1521</v>
      </c>
      <c r="W168" s="88" t="s">
        <v>1521</v>
      </c>
      <c r="X168" s="88" t="s">
        <v>1521</v>
      </c>
      <c r="Y168" s="88" t="s">
        <v>1521</v>
      </c>
      <c r="Z168" s="88" t="s">
        <v>1519</v>
      </c>
      <c r="AA168" s="88" t="s">
        <v>1521</v>
      </c>
      <c r="AB168" s="88" t="s">
        <v>1519</v>
      </c>
      <c r="AC168" s="88" t="s">
        <v>1521</v>
      </c>
      <c r="AD168" s="89"/>
      <c r="AE168" s="18" t="s">
        <v>92</v>
      </c>
      <c r="AF168" s="18"/>
      <c r="AG168" s="18"/>
      <c r="AH168" s="18"/>
      <c r="AI168" s="18"/>
      <c r="AJ168" s="18"/>
      <c r="AK168" s="18"/>
      <c r="AL168" s="18"/>
      <c r="AM168" s="18"/>
    </row>
    <row r="169">
      <c r="A169" s="11"/>
      <c r="B169" s="12" t="s">
        <v>34</v>
      </c>
      <c r="C169" s="12" t="s">
        <v>65</v>
      </c>
      <c r="D169" s="12" t="s">
        <v>102</v>
      </c>
      <c r="E169" s="12" t="s">
        <v>142</v>
      </c>
      <c r="F169" s="13" t="s">
        <v>143</v>
      </c>
      <c r="G169" s="12" t="s">
        <v>68</v>
      </c>
      <c r="H169" s="12" t="s">
        <v>144</v>
      </c>
      <c r="I169" s="12" t="s">
        <v>145</v>
      </c>
      <c r="J169" s="17" t="s">
        <v>108</v>
      </c>
      <c r="K169" s="17" t="s">
        <v>109</v>
      </c>
      <c r="L169" s="17" t="s">
        <v>1646</v>
      </c>
      <c r="M169" s="20">
        <v>45841.0</v>
      </c>
      <c r="N169" s="17" t="s">
        <v>194</v>
      </c>
      <c r="O169" s="88" t="s">
        <v>1519</v>
      </c>
      <c r="P169" s="88" t="s">
        <v>1519</v>
      </c>
      <c r="Q169" s="88" t="s">
        <v>1519</v>
      </c>
      <c r="R169" s="88" t="s">
        <v>1521</v>
      </c>
      <c r="S169" s="88" t="s">
        <v>1519</v>
      </c>
      <c r="T169" s="88" t="s">
        <v>1520</v>
      </c>
      <c r="U169" s="88" t="s">
        <v>1521</v>
      </c>
      <c r="V169" s="88" t="s">
        <v>1519</v>
      </c>
      <c r="W169" s="88" t="s">
        <v>1519</v>
      </c>
      <c r="X169" s="88" t="s">
        <v>1520</v>
      </c>
      <c r="Y169" s="88" t="s">
        <v>1520</v>
      </c>
      <c r="Z169" s="88" t="s">
        <v>1519</v>
      </c>
      <c r="AA169" s="88" t="s">
        <v>1521</v>
      </c>
      <c r="AB169" s="88" t="s">
        <v>1519</v>
      </c>
      <c r="AC169" s="88" t="s">
        <v>1520</v>
      </c>
      <c r="AD169" s="89"/>
      <c r="AE169" s="18" t="s">
        <v>92</v>
      </c>
      <c r="AF169" s="18"/>
      <c r="AG169" s="18"/>
      <c r="AH169" s="18"/>
      <c r="AI169" s="18"/>
      <c r="AJ169" s="18"/>
      <c r="AK169" s="18"/>
      <c r="AL169" s="18"/>
      <c r="AM169" s="18"/>
    </row>
    <row r="170">
      <c r="A170" s="11"/>
      <c r="B170" s="12" t="s">
        <v>34</v>
      </c>
      <c r="C170" s="12" t="s">
        <v>65</v>
      </c>
      <c r="D170" s="12" t="s">
        <v>102</v>
      </c>
      <c r="E170" s="12" t="s">
        <v>142</v>
      </c>
      <c r="F170" s="13" t="s">
        <v>143</v>
      </c>
      <c r="G170" s="12" t="s">
        <v>68</v>
      </c>
      <c r="H170" s="12" t="s">
        <v>144</v>
      </c>
      <c r="I170" s="12" t="s">
        <v>145</v>
      </c>
      <c r="J170" s="17" t="s">
        <v>108</v>
      </c>
      <c r="K170" s="17" t="s">
        <v>109</v>
      </c>
      <c r="L170" s="17" t="s">
        <v>1647</v>
      </c>
      <c r="M170" s="20">
        <v>45841.0</v>
      </c>
      <c r="N170" s="17" t="s">
        <v>194</v>
      </c>
      <c r="O170" s="88" t="s">
        <v>1521</v>
      </c>
      <c r="P170" s="88" t="s">
        <v>1519</v>
      </c>
      <c r="Q170" s="88" t="s">
        <v>1519</v>
      </c>
      <c r="R170" s="88" t="s">
        <v>1521</v>
      </c>
      <c r="S170" s="88" t="s">
        <v>1519</v>
      </c>
      <c r="T170" s="88" t="s">
        <v>1520</v>
      </c>
      <c r="U170" s="88" t="s">
        <v>1519</v>
      </c>
      <c r="V170" s="88" t="s">
        <v>1519</v>
      </c>
      <c r="W170" s="88" t="s">
        <v>1520</v>
      </c>
      <c r="X170" s="88" t="s">
        <v>1519</v>
      </c>
      <c r="Y170" s="88" t="s">
        <v>1519</v>
      </c>
      <c r="Z170" s="88" t="s">
        <v>1519</v>
      </c>
      <c r="AA170" s="88" t="s">
        <v>1521</v>
      </c>
      <c r="AB170" s="88" t="s">
        <v>1519</v>
      </c>
      <c r="AC170" s="88" t="s">
        <v>1519</v>
      </c>
      <c r="AD170" s="89"/>
      <c r="AE170" s="18" t="s">
        <v>92</v>
      </c>
      <c r="AF170" s="18"/>
      <c r="AG170" s="18"/>
      <c r="AH170" s="18"/>
      <c r="AI170" s="18"/>
      <c r="AJ170" s="18"/>
      <c r="AK170" s="18"/>
      <c r="AL170" s="18"/>
      <c r="AM170" s="18"/>
    </row>
    <row r="171">
      <c r="A171" s="11"/>
      <c r="B171" s="12" t="s">
        <v>34</v>
      </c>
      <c r="C171" s="12" t="s">
        <v>65</v>
      </c>
      <c r="D171" s="12" t="s">
        <v>102</v>
      </c>
      <c r="E171" s="12" t="s">
        <v>142</v>
      </c>
      <c r="F171" s="13" t="s">
        <v>143</v>
      </c>
      <c r="G171" s="12" t="s">
        <v>68</v>
      </c>
      <c r="H171" s="12" t="s">
        <v>144</v>
      </c>
      <c r="I171" s="12" t="s">
        <v>145</v>
      </c>
      <c r="J171" s="17" t="s">
        <v>108</v>
      </c>
      <c r="K171" s="17" t="s">
        <v>109</v>
      </c>
      <c r="L171" s="17" t="s">
        <v>1648</v>
      </c>
      <c r="M171" s="20">
        <v>45841.0</v>
      </c>
      <c r="N171" s="17" t="s">
        <v>194</v>
      </c>
      <c r="O171" s="88" t="s">
        <v>1519</v>
      </c>
      <c r="P171" s="88" t="s">
        <v>1519</v>
      </c>
      <c r="Q171" s="88" t="s">
        <v>1519</v>
      </c>
      <c r="R171" s="88" t="s">
        <v>1521</v>
      </c>
      <c r="S171" s="88" t="s">
        <v>1519</v>
      </c>
      <c r="T171" s="88" t="s">
        <v>1521</v>
      </c>
      <c r="U171" s="88" t="s">
        <v>1521</v>
      </c>
      <c r="V171" s="88" t="s">
        <v>1521</v>
      </c>
      <c r="W171" s="88" t="s">
        <v>1519</v>
      </c>
      <c r="X171" s="88" t="s">
        <v>1519</v>
      </c>
      <c r="Y171" s="88" t="s">
        <v>1519</v>
      </c>
      <c r="Z171" s="88" t="s">
        <v>1519</v>
      </c>
      <c r="AA171" s="88" t="s">
        <v>1521</v>
      </c>
      <c r="AB171" s="88" t="s">
        <v>1519</v>
      </c>
      <c r="AC171" s="88" t="s">
        <v>1519</v>
      </c>
      <c r="AD171" s="89"/>
      <c r="AE171" s="18" t="s">
        <v>92</v>
      </c>
      <c r="AF171" s="18"/>
      <c r="AG171" s="18"/>
      <c r="AH171" s="18"/>
      <c r="AI171" s="18"/>
      <c r="AJ171" s="18"/>
      <c r="AK171" s="18"/>
      <c r="AL171" s="18"/>
      <c r="AM171" s="18"/>
    </row>
    <row r="172">
      <c r="A172" s="11"/>
      <c r="B172" s="12" t="s">
        <v>34</v>
      </c>
      <c r="C172" s="12" t="s">
        <v>65</v>
      </c>
      <c r="D172" s="12" t="s">
        <v>102</v>
      </c>
      <c r="E172" s="12" t="s">
        <v>142</v>
      </c>
      <c r="F172" s="13" t="s">
        <v>143</v>
      </c>
      <c r="G172" s="12" t="s">
        <v>68</v>
      </c>
      <c r="H172" s="12" t="s">
        <v>144</v>
      </c>
      <c r="I172" s="12" t="s">
        <v>145</v>
      </c>
      <c r="J172" s="17" t="s">
        <v>108</v>
      </c>
      <c r="K172" s="17" t="s">
        <v>109</v>
      </c>
      <c r="L172" s="17" t="s">
        <v>1649</v>
      </c>
      <c r="M172" s="20">
        <v>45841.0</v>
      </c>
      <c r="N172" s="17" t="s">
        <v>194</v>
      </c>
      <c r="O172" s="88" t="s">
        <v>1521</v>
      </c>
      <c r="P172" s="88" t="s">
        <v>1519</v>
      </c>
      <c r="Q172" s="88" t="s">
        <v>1519</v>
      </c>
      <c r="R172" s="88" t="s">
        <v>1521</v>
      </c>
      <c r="S172" s="88" t="s">
        <v>1519</v>
      </c>
      <c r="T172" s="88" t="s">
        <v>1519</v>
      </c>
      <c r="U172" s="88" t="s">
        <v>1519</v>
      </c>
      <c r="V172" s="88" t="s">
        <v>1519</v>
      </c>
      <c r="W172" s="88" t="s">
        <v>1520</v>
      </c>
      <c r="X172" s="88" t="s">
        <v>1519</v>
      </c>
      <c r="Y172" s="88" t="s">
        <v>1520</v>
      </c>
      <c r="Z172" s="88" t="s">
        <v>1519</v>
      </c>
      <c r="AA172" s="88" t="s">
        <v>1520</v>
      </c>
      <c r="AB172" s="88" t="s">
        <v>1519</v>
      </c>
      <c r="AC172" s="88" t="s">
        <v>1520</v>
      </c>
      <c r="AD172" s="89"/>
      <c r="AE172" s="18" t="s">
        <v>92</v>
      </c>
      <c r="AF172" s="18"/>
      <c r="AG172" s="18"/>
      <c r="AH172" s="18"/>
      <c r="AI172" s="18"/>
      <c r="AJ172" s="18"/>
      <c r="AK172" s="18"/>
      <c r="AL172" s="18"/>
      <c r="AM172" s="18"/>
    </row>
    <row r="173">
      <c r="A173" s="11"/>
      <c r="B173" s="12" t="s">
        <v>34</v>
      </c>
      <c r="C173" s="12" t="s">
        <v>65</v>
      </c>
      <c r="D173" s="12" t="s">
        <v>102</v>
      </c>
      <c r="E173" s="12" t="s">
        <v>142</v>
      </c>
      <c r="F173" s="13" t="s">
        <v>143</v>
      </c>
      <c r="G173" s="12" t="s">
        <v>68</v>
      </c>
      <c r="H173" s="12" t="s">
        <v>144</v>
      </c>
      <c r="I173" s="12" t="s">
        <v>145</v>
      </c>
      <c r="J173" s="17" t="s">
        <v>108</v>
      </c>
      <c r="K173" s="17" t="s">
        <v>109</v>
      </c>
      <c r="L173" s="17" t="s">
        <v>1650</v>
      </c>
      <c r="M173" s="20">
        <v>45841.0</v>
      </c>
      <c r="N173" s="17" t="s">
        <v>194</v>
      </c>
      <c r="O173" s="88" t="s">
        <v>1519</v>
      </c>
      <c r="P173" s="88" t="s">
        <v>1519</v>
      </c>
      <c r="Q173" s="88" t="s">
        <v>1519</v>
      </c>
      <c r="R173" s="88" t="s">
        <v>1521</v>
      </c>
      <c r="S173" s="88" t="s">
        <v>1519</v>
      </c>
      <c r="T173" s="88" t="s">
        <v>1519</v>
      </c>
      <c r="U173" s="88" t="s">
        <v>1521</v>
      </c>
      <c r="V173" s="88" t="s">
        <v>1519</v>
      </c>
      <c r="W173" s="88" t="s">
        <v>1519</v>
      </c>
      <c r="X173" s="88" t="s">
        <v>1519</v>
      </c>
      <c r="Y173" s="88" t="s">
        <v>1521</v>
      </c>
      <c r="Z173" s="88" t="s">
        <v>1519</v>
      </c>
      <c r="AA173" s="88" t="s">
        <v>1519</v>
      </c>
      <c r="AB173" s="88" t="s">
        <v>1520</v>
      </c>
      <c r="AC173" s="88" t="s">
        <v>1519</v>
      </c>
      <c r="AD173" s="89"/>
      <c r="AE173" s="18" t="s">
        <v>92</v>
      </c>
      <c r="AF173" s="18"/>
      <c r="AG173" s="18"/>
      <c r="AH173" s="18"/>
      <c r="AI173" s="18"/>
      <c r="AJ173" s="18"/>
      <c r="AK173" s="18"/>
      <c r="AL173" s="18"/>
      <c r="AM173" s="18"/>
    </row>
    <row r="174">
      <c r="A174" s="11"/>
      <c r="B174" s="12" t="s">
        <v>34</v>
      </c>
      <c r="C174" s="12" t="s">
        <v>65</v>
      </c>
      <c r="D174" s="12" t="s">
        <v>102</v>
      </c>
      <c r="E174" s="12" t="s">
        <v>142</v>
      </c>
      <c r="F174" s="13" t="s">
        <v>143</v>
      </c>
      <c r="G174" s="12" t="s">
        <v>68</v>
      </c>
      <c r="H174" s="12" t="s">
        <v>144</v>
      </c>
      <c r="I174" s="12" t="s">
        <v>145</v>
      </c>
      <c r="J174" s="17" t="s">
        <v>108</v>
      </c>
      <c r="K174" s="17" t="s">
        <v>109</v>
      </c>
      <c r="L174" s="17" t="s">
        <v>1651</v>
      </c>
      <c r="M174" s="20">
        <v>45841.0</v>
      </c>
      <c r="N174" s="17" t="s">
        <v>194</v>
      </c>
      <c r="O174" s="88" t="s">
        <v>1521</v>
      </c>
      <c r="P174" s="88" t="s">
        <v>1519</v>
      </c>
      <c r="Q174" s="88" t="s">
        <v>1519</v>
      </c>
      <c r="R174" s="88" t="s">
        <v>1521</v>
      </c>
      <c r="S174" s="88" t="s">
        <v>1519</v>
      </c>
      <c r="T174" s="88" t="s">
        <v>1520</v>
      </c>
      <c r="U174" s="88" t="s">
        <v>1519</v>
      </c>
      <c r="V174" s="88" t="s">
        <v>1520</v>
      </c>
      <c r="W174" s="88" t="s">
        <v>1521</v>
      </c>
      <c r="X174" s="88" t="s">
        <v>1519</v>
      </c>
      <c r="Y174" s="88" t="s">
        <v>1519</v>
      </c>
      <c r="Z174" s="88" t="s">
        <v>1519</v>
      </c>
      <c r="AA174" s="88" t="s">
        <v>1519</v>
      </c>
      <c r="AB174" s="88" t="s">
        <v>1519</v>
      </c>
      <c r="AC174" s="88" t="s">
        <v>1520</v>
      </c>
      <c r="AD174" s="89"/>
      <c r="AE174" s="18" t="s">
        <v>92</v>
      </c>
      <c r="AF174" s="18"/>
      <c r="AG174" s="18"/>
      <c r="AH174" s="18"/>
      <c r="AI174" s="18"/>
      <c r="AJ174" s="18"/>
      <c r="AK174" s="18"/>
      <c r="AL174" s="18"/>
      <c r="AM174" s="18"/>
    </row>
    <row r="175">
      <c r="A175" s="11"/>
      <c r="B175" s="12" t="s">
        <v>34</v>
      </c>
      <c r="C175" s="12" t="s">
        <v>65</v>
      </c>
      <c r="D175" s="12" t="s">
        <v>102</v>
      </c>
      <c r="E175" s="12" t="s">
        <v>142</v>
      </c>
      <c r="F175" s="13" t="s">
        <v>143</v>
      </c>
      <c r="G175" s="12" t="s">
        <v>68</v>
      </c>
      <c r="H175" s="12" t="s">
        <v>144</v>
      </c>
      <c r="I175" s="12" t="s">
        <v>145</v>
      </c>
      <c r="J175" s="17" t="s">
        <v>108</v>
      </c>
      <c r="K175" s="17" t="s">
        <v>109</v>
      </c>
      <c r="L175" s="17" t="s">
        <v>1652</v>
      </c>
      <c r="M175" s="20">
        <v>45841.0</v>
      </c>
      <c r="N175" s="17" t="s">
        <v>194</v>
      </c>
      <c r="O175" s="88" t="s">
        <v>1519</v>
      </c>
      <c r="P175" s="88" t="s">
        <v>1520</v>
      </c>
      <c r="Q175" s="88" t="s">
        <v>1521</v>
      </c>
      <c r="R175" s="88" t="s">
        <v>1521</v>
      </c>
      <c r="S175" s="88" t="s">
        <v>1519</v>
      </c>
      <c r="T175" s="88" t="s">
        <v>1521</v>
      </c>
      <c r="U175" s="88" t="s">
        <v>1521</v>
      </c>
      <c r="V175" s="88" t="s">
        <v>1519</v>
      </c>
      <c r="W175" s="88" t="s">
        <v>1521</v>
      </c>
      <c r="X175" s="88" t="s">
        <v>1520</v>
      </c>
      <c r="Y175" s="88" t="s">
        <v>1520</v>
      </c>
      <c r="Z175" s="88" t="s">
        <v>1519</v>
      </c>
      <c r="AA175" s="88" t="s">
        <v>1520</v>
      </c>
      <c r="AB175" s="88" t="s">
        <v>1520</v>
      </c>
      <c r="AC175" s="88" t="s">
        <v>1521</v>
      </c>
      <c r="AD175" s="89"/>
      <c r="AE175" s="18" t="s">
        <v>92</v>
      </c>
      <c r="AF175" s="18"/>
      <c r="AG175" s="18"/>
      <c r="AH175" s="18"/>
      <c r="AI175" s="18"/>
      <c r="AJ175" s="18"/>
      <c r="AK175" s="18"/>
      <c r="AL175" s="18"/>
      <c r="AM175" s="18"/>
    </row>
    <row r="176">
      <c r="A176" s="11"/>
      <c r="B176" s="12" t="s">
        <v>34</v>
      </c>
      <c r="C176" s="12" t="s">
        <v>65</v>
      </c>
      <c r="D176" s="12" t="s">
        <v>102</v>
      </c>
      <c r="E176" s="12" t="s">
        <v>142</v>
      </c>
      <c r="F176" s="13" t="s">
        <v>143</v>
      </c>
      <c r="G176" s="12" t="s">
        <v>68</v>
      </c>
      <c r="H176" s="12" t="s">
        <v>144</v>
      </c>
      <c r="I176" s="12" t="s">
        <v>145</v>
      </c>
      <c r="J176" s="17" t="s">
        <v>108</v>
      </c>
      <c r="K176" s="17" t="s">
        <v>109</v>
      </c>
      <c r="L176" s="17" t="s">
        <v>1653</v>
      </c>
      <c r="M176" s="20">
        <v>45841.0</v>
      </c>
      <c r="N176" s="17" t="s">
        <v>194</v>
      </c>
      <c r="O176" s="88" t="s">
        <v>1519</v>
      </c>
      <c r="P176" s="88" t="s">
        <v>1520</v>
      </c>
      <c r="Q176" s="88" t="s">
        <v>1521</v>
      </c>
      <c r="R176" s="88" t="s">
        <v>1521</v>
      </c>
      <c r="S176" s="88" t="s">
        <v>1519</v>
      </c>
      <c r="T176" s="88" t="s">
        <v>1521</v>
      </c>
      <c r="U176" s="88" t="s">
        <v>1521</v>
      </c>
      <c r="V176" s="88" t="s">
        <v>1521</v>
      </c>
      <c r="W176" s="88" t="s">
        <v>1520</v>
      </c>
      <c r="X176" s="88" t="s">
        <v>1520</v>
      </c>
      <c r="Y176" s="88" t="s">
        <v>1519</v>
      </c>
      <c r="Z176" s="88" t="s">
        <v>1519</v>
      </c>
      <c r="AA176" s="88" t="s">
        <v>1521</v>
      </c>
      <c r="AB176" s="88" t="s">
        <v>1521</v>
      </c>
      <c r="AC176" s="88" t="s">
        <v>1520</v>
      </c>
      <c r="AD176" s="89"/>
      <c r="AE176" s="18" t="s">
        <v>92</v>
      </c>
      <c r="AF176" s="18"/>
      <c r="AG176" s="18"/>
      <c r="AH176" s="18"/>
      <c r="AI176" s="18"/>
      <c r="AJ176" s="18"/>
      <c r="AK176" s="18"/>
      <c r="AL176" s="18"/>
      <c r="AM176" s="18"/>
    </row>
    <row r="177">
      <c r="A177" s="11"/>
      <c r="B177" s="12" t="s">
        <v>34</v>
      </c>
      <c r="C177" s="12" t="s">
        <v>65</v>
      </c>
      <c r="D177" s="12" t="s">
        <v>102</v>
      </c>
      <c r="E177" s="12" t="s">
        <v>142</v>
      </c>
      <c r="F177" s="13" t="s">
        <v>143</v>
      </c>
      <c r="G177" s="12" t="s">
        <v>68</v>
      </c>
      <c r="H177" s="12" t="s">
        <v>144</v>
      </c>
      <c r="I177" s="12" t="s">
        <v>145</v>
      </c>
      <c r="J177" s="17" t="s">
        <v>108</v>
      </c>
      <c r="K177" s="17" t="s">
        <v>109</v>
      </c>
      <c r="L177" s="17" t="s">
        <v>1654</v>
      </c>
      <c r="M177" s="20">
        <v>45841.0</v>
      </c>
      <c r="N177" s="17" t="s">
        <v>194</v>
      </c>
      <c r="O177" s="88" t="s">
        <v>1519</v>
      </c>
      <c r="P177" s="88" t="s">
        <v>1520</v>
      </c>
      <c r="Q177" s="88" t="s">
        <v>1521</v>
      </c>
      <c r="R177" s="88" t="s">
        <v>1521</v>
      </c>
      <c r="S177" s="88" t="s">
        <v>1519</v>
      </c>
      <c r="T177" s="88" t="s">
        <v>1520</v>
      </c>
      <c r="U177" s="88" t="s">
        <v>1520</v>
      </c>
      <c r="V177" s="88" t="s">
        <v>1520</v>
      </c>
      <c r="W177" s="88" t="s">
        <v>1519</v>
      </c>
      <c r="X177" s="88" t="s">
        <v>1519</v>
      </c>
      <c r="Y177" s="88" t="s">
        <v>1519</v>
      </c>
      <c r="Z177" s="88" t="s">
        <v>1519</v>
      </c>
      <c r="AA177" s="88" t="s">
        <v>1520</v>
      </c>
      <c r="AB177" s="88" t="s">
        <v>1519</v>
      </c>
      <c r="AC177" s="88" t="s">
        <v>1519</v>
      </c>
      <c r="AD177" s="89"/>
      <c r="AE177" s="18" t="s">
        <v>92</v>
      </c>
      <c r="AF177" s="18"/>
      <c r="AG177" s="18"/>
      <c r="AH177" s="18"/>
      <c r="AI177" s="18"/>
      <c r="AJ177" s="18"/>
      <c r="AK177" s="18"/>
      <c r="AL177" s="18"/>
      <c r="AM177" s="18"/>
    </row>
    <row r="178">
      <c r="A178" s="11"/>
      <c r="B178" s="12" t="s">
        <v>34</v>
      </c>
      <c r="C178" s="12" t="s">
        <v>65</v>
      </c>
      <c r="D178" s="12" t="s">
        <v>102</v>
      </c>
      <c r="E178" s="12" t="s">
        <v>142</v>
      </c>
      <c r="F178" s="13" t="s">
        <v>143</v>
      </c>
      <c r="G178" s="12" t="s">
        <v>68</v>
      </c>
      <c r="H178" s="12" t="s">
        <v>144</v>
      </c>
      <c r="I178" s="12" t="s">
        <v>145</v>
      </c>
      <c r="J178" s="17" t="s">
        <v>108</v>
      </c>
      <c r="K178" s="17" t="s">
        <v>109</v>
      </c>
      <c r="L178" s="17" t="s">
        <v>1655</v>
      </c>
      <c r="M178" s="20">
        <v>45841.0</v>
      </c>
      <c r="N178" s="17" t="s">
        <v>194</v>
      </c>
      <c r="O178" s="88" t="s">
        <v>1519</v>
      </c>
      <c r="P178" s="88" t="s">
        <v>1520</v>
      </c>
      <c r="Q178" s="88" t="s">
        <v>1521</v>
      </c>
      <c r="R178" s="88" t="s">
        <v>1521</v>
      </c>
      <c r="S178" s="88" t="s">
        <v>1519</v>
      </c>
      <c r="T178" s="88" t="s">
        <v>1519</v>
      </c>
      <c r="U178" s="88" t="s">
        <v>1521</v>
      </c>
      <c r="V178" s="88" t="s">
        <v>1519</v>
      </c>
      <c r="W178" s="88" t="s">
        <v>1519</v>
      </c>
      <c r="X178" s="88" t="s">
        <v>1519</v>
      </c>
      <c r="Y178" s="88" t="s">
        <v>1519</v>
      </c>
      <c r="Z178" s="88" t="s">
        <v>1519</v>
      </c>
      <c r="AA178" s="88" t="s">
        <v>1521</v>
      </c>
      <c r="AB178" s="88" t="s">
        <v>1519</v>
      </c>
      <c r="AC178" s="88" t="s">
        <v>1520</v>
      </c>
      <c r="AD178" s="89"/>
      <c r="AE178" s="18" t="s">
        <v>92</v>
      </c>
      <c r="AF178" s="18"/>
      <c r="AG178" s="18"/>
      <c r="AH178" s="18"/>
      <c r="AI178" s="18"/>
      <c r="AJ178" s="18"/>
      <c r="AK178" s="18"/>
      <c r="AL178" s="18"/>
      <c r="AM178" s="18"/>
    </row>
    <row r="179">
      <c r="A179" s="11"/>
      <c r="B179" s="12" t="s">
        <v>34</v>
      </c>
      <c r="C179" s="12" t="s">
        <v>65</v>
      </c>
      <c r="D179" s="12" t="s">
        <v>102</v>
      </c>
      <c r="E179" s="12" t="s">
        <v>142</v>
      </c>
      <c r="F179" s="13" t="s">
        <v>143</v>
      </c>
      <c r="G179" s="12" t="s">
        <v>68</v>
      </c>
      <c r="H179" s="12" t="s">
        <v>144</v>
      </c>
      <c r="I179" s="12" t="s">
        <v>145</v>
      </c>
      <c r="J179" s="17" t="s">
        <v>108</v>
      </c>
      <c r="K179" s="17" t="s">
        <v>109</v>
      </c>
      <c r="L179" s="17" t="s">
        <v>1656</v>
      </c>
      <c r="M179" s="20">
        <v>45841.0</v>
      </c>
      <c r="N179" s="17" t="s">
        <v>194</v>
      </c>
      <c r="O179" s="88" t="s">
        <v>1519</v>
      </c>
      <c r="P179" s="88" t="s">
        <v>1519</v>
      </c>
      <c r="Q179" s="88" t="s">
        <v>1519</v>
      </c>
      <c r="R179" s="88" t="s">
        <v>1521</v>
      </c>
      <c r="S179" s="88" t="s">
        <v>1519</v>
      </c>
      <c r="T179" s="88" t="s">
        <v>1521</v>
      </c>
      <c r="U179" s="88" t="s">
        <v>1521</v>
      </c>
      <c r="V179" s="88" t="s">
        <v>1520</v>
      </c>
      <c r="W179" s="88" t="s">
        <v>1519</v>
      </c>
      <c r="X179" s="88" t="s">
        <v>1520</v>
      </c>
      <c r="Y179" s="88" t="s">
        <v>1519</v>
      </c>
      <c r="Z179" s="88" t="s">
        <v>1519</v>
      </c>
      <c r="AA179" s="88" t="s">
        <v>1520</v>
      </c>
      <c r="AB179" s="88" t="s">
        <v>1519</v>
      </c>
      <c r="AC179" s="88" t="s">
        <v>1520</v>
      </c>
      <c r="AD179" s="89"/>
      <c r="AE179" s="18" t="s">
        <v>92</v>
      </c>
      <c r="AF179" s="18"/>
      <c r="AG179" s="18"/>
      <c r="AH179" s="18"/>
      <c r="AI179" s="18"/>
      <c r="AJ179" s="18"/>
      <c r="AK179" s="18"/>
      <c r="AL179" s="18"/>
      <c r="AM179" s="18"/>
    </row>
    <row r="180">
      <c r="A180" s="11"/>
      <c r="B180" s="12" t="s">
        <v>34</v>
      </c>
      <c r="C180" s="12" t="s">
        <v>65</v>
      </c>
      <c r="D180" s="12" t="s">
        <v>102</v>
      </c>
      <c r="E180" s="12" t="s">
        <v>142</v>
      </c>
      <c r="F180" s="13" t="s">
        <v>143</v>
      </c>
      <c r="G180" s="12" t="s">
        <v>68</v>
      </c>
      <c r="H180" s="12" t="s">
        <v>144</v>
      </c>
      <c r="I180" s="12" t="s">
        <v>145</v>
      </c>
      <c r="J180" s="17" t="s">
        <v>108</v>
      </c>
      <c r="K180" s="17" t="s">
        <v>109</v>
      </c>
      <c r="L180" s="17" t="s">
        <v>1657</v>
      </c>
      <c r="M180" s="20">
        <v>45841.0</v>
      </c>
      <c r="N180" s="17" t="s">
        <v>194</v>
      </c>
      <c r="O180" s="88" t="s">
        <v>1519</v>
      </c>
      <c r="P180" s="88" t="s">
        <v>1519</v>
      </c>
      <c r="Q180" s="88" t="s">
        <v>1519</v>
      </c>
      <c r="R180" s="88" t="s">
        <v>1521</v>
      </c>
      <c r="S180" s="88" t="s">
        <v>1519</v>
      </c>
      <c r="T180" s="88" t="s">
        <v>1521</v>
      </c>
      <c r="U180" s="88" t="s">
        <v>1521</v>
      </c>
      <c r="V180" s="88" t="s">
        <v>1519</v>
      </c>
      <c r="W180" s="88" t="s">
        <v>1520</v>
      </c>
      <c r="X180" s="88" t="s">
        <v>1519</v>
      </c>
      <c r="Y180" s="88" t="s">
        <v>1519</v>
      </c>
      <c r="Z180" s="88" t="s">
        <v>1519</v>
      </c>
      <c r="AA180" s="88" t="s">
        <v>1520</v>
      </c>
      <c r="AB180" s="88" t="s">
        <v>1519</v>
      </c>
      <c r="AC180" s="88">
        <v>3.0</v>
      </c>
      <c r="AD180" s="89"/>
      <c r="AE180" s="18" t="s">
        <v>92</v>
      </c>
      <c r="AF180" s="18"/>
      <c r="AG180" s="18"/>
      <c r="AH180" s="18"/>
      <c r="AI180" s="18"/>
      <c r="AJ180" s="18"/>
      <c r="AK180" s="18"/>
      <c r="AL180" s="18"/>
      <c r="AM180" s="18"/>
    </row>
    <row r="181">
      <c r="A181" s="11"/>
      <c r="B181" s="12" t="s">
        <v>34</v>
      </c>
      <c r="C181" s="12" t="s">
        <v>65</v>
      </c>
      <c r="D181" s="12" t="s">
        <v>102</v>
      </c>
      <c r="E181" s="12" t="s">
        <v>142</v>
      </c>
      <c r="F181" s="13" t="s">
        <v>143</v>
      </c>
      <c r="G181" s="12" t="s">
        <v>68</v>
      </c>
      <c r="H181" s="12" t="s">
        <v>144</v>
      </c>
      <c r="I181" s="12" t="s">
        <v>145</v>
      </c>
      <c r="J181" s="17" t="s">
        <v>112</v>
      </c>
      <c r="K181" s="17" t="s">
        <v>113</v>
      </c>
      <c r="L181" s="17" t="s">
        <v>1658</v>
      </c>
      <c r="M181" s="20">
        <v>45841.0</v>
      </c>
      <c r="N181" s="17" t="s">
        <v>194</v>
      </c>
      <c r="O181" s="88" t="s">
        <v>1519</v>
      </c>
      <c r="P181" s="88" t="s">
        <v>1519</v>
      </c>
      <c r="Q181" s="88" t="s">
        <v>1519</v>
      </c>
      <c r="R181" s="88" t="s">
        <v>1519</v>
      </c>
      <c r="S181" s="88" t="s">
        <v>1519</v>
      </c>
      <c r="T181" s="88" t="s">
        <v>1521</v>
      </c>
      <c r="U181" s="88" t="s">
        <v>1519</v>
      </c>
      <c r="V181" s="88" t="s">
        <v>1519</v>
      </c>
      <c r="W181" s="88" t="s">
        <v>1519</v>
      </c>
      <c r="X181" s="88" t="s">
        <v>1519</v>
      </c>
      <c r="Y181" s="88" t="s">
        <v>1521</v>
      </c>
      <c r="Z181" s="88" t="s">
        <v>1519</v>
      </c>
      <c r="AA181" s="88" t="s">
        <v>1521</v>
      </c>
      <c r="AB181" s="88" t="s">
        <v>1521</v>
      </c>
      <c r="AC181" s="88" t="s">
        <v>1520</v>
      </c>
      <c r="AD181" s="89"/>
      <c r="AE181" s="18" t="s">
        <v>92</v>
      </c>
      <c r="AF181" s="18"/>
      <c r="AG181" s="18"/>
      <c r="AH181" s="18"/>
      <c r="AI181" s="18"/>
      <c r="AJ181" s="18"/>
      <c r="AK181" s="18"/>
      <c r="AL181" s="18"/>
      <c r="AM181" s="18"/>
    </row>
    <row r="182">
      <c r="A182" s="11"/>
      <c r="B182" s="12" t="s">
        <v>34</v>
      </c>
      <c r="C182" s="12" t="s">
        <v>65</v>
      </c>
      <c r="D182" s="12" t="s">
        <v>102</v>
      </c>
      <c r="E182" s="12" t="s">
        <v>142</v>
      </c>
      <c r="F182" s="13" t="s">
        <v>143</v>
      </c>
      <c r="G182" s="12" t="s">
        <v>68</v>
      </c>
      <c r="H182" s="12" t="s">
        <v>144</v>
      </c>
      <c r="I182" s="12" t="s">
        <v>145</v>
      </c>
      <c r="J182" s="17" t="s">
        <v>112</v>
      </c>
      <c r="K182" s="17" t="s">
        <v>113</v>
      </c>
      <c r="L182" s="17" t="s">
        <v>1659</v>
      </c>
      <c r="M182" s="20">
        <v>45841.0</v>
      </c>
      <c r="N182" s="17" t="s">
        <v>194</v>
      </c>
      <c r="O182" s="88" t="s">
        <v>1519</v>
      </c>
      <c r="P182" s="88" t="s">
        <v>1520</v>
      </c>
      <c r="Q182" s="88" t="s">
        <v>1521</v>
      </c>
      <c r="R182" s="88" t="s">
        <v>1519</v>
      </c>
      <c r="S182" s="88" t="s">
        <v>1519</v>
      </c>
      <c r="T182" s="88" t="s">
        <v>1521</v>
      </c>
      <c r="U182" s="88" t="s">
        <v>1519</v>
      </c>
      <c r="V182" s="88" t="s">
        <v>1519</v>
      </c>
      <c r="W182" s="88" t="s">
        <v>1519</v>
      </c>
      <c r="X182" s="88" t="s">
        <v>1520</v>
      </c>
      <c r="Y182" s="88" t="s">
        <v>1521</v>
      </c>
      <c r="Z182" s="88" t="s">
        <v>1520</v>
      </c>
      <c r="AA182" s="88" t="s">
        <v>1521</v>
      </c>
      <c r="AB182" s="88" t="s">
        <v>1521</v>
      </c>
      <c r="AC182" s="88" t="s">
        <v>1521</v>
      </c>
      <c r="AD182" s="89"/>
      <c r="AE182" s="18" t="s">
        <v>92</v>
      </c>
      <c r="AF182" s="18"/>
      <c r="AG182" s="18"/>
      <c r="AH182" s="18"/>
      <c r="AI182" s="18"/>
      <c r="AJ182" s="18"/>
      <c r="AK182" s="18"/>
      <c r="AL182" s="18"/>
      <c r="AM182" s="18"/>
    </row>
    <row r="183">
      <c r="A183" s="11"/>
      <c r="B183" s="12" t="s">
        <v>34</v>
      </c>
      <c r="C183" s="12" t="s">
        <v>65</v>
      </c>
      <c r="D183" s="12" t="s">
        <v>102</v>
      </c>
      <c r="E183" s="12" t="s">
        <v>142</v>
      </c>
      <c r="F183" s="13" t="s">
        <v>143</v>
      </c>
      <c r="G183" s="12" t="s">
        <v>68</v>
      </c>
      <c r="H183" s="12" t="s">
        <v>144</v>
      </c>
      <c r="I183" s="12" t="s">
        <v>145</v>
      </c>
      <c r="J183" s="17" t="s">
        <v>112</v>
      </c>
      <c r="K183" s="17" t="s">
        <v>113</v>
      </c>
      <c r="L183" s="17" t="s">
        <v>1660</v>
      </c>
      <c r="M183" s="20">
        <v>45841.0</v>
      </c>
      <c r="N183" s="17" t="s">
        <v>194</v>
      </c>
      <c r="O183" s="88" t="s">
        <v>1519</v>
      </c>
      <c r="P183" s="88" t="s">
        <v>1520</v>
      </c>
      <c r="Q183" s="88" t="s">
        <v>1521</v>
      </c>
      <c r="R183" s="88" t="s">
        <v>1519</v>
      </c>
      <c r="S183" s="88" t="s">
        <v>1519</v>
      </c>
      <c r="T183" s="88" t="s">
        <v>1521</v>
      </c>
      <c r="U183" s="88" t="s">
        <v>1520</v>
      </c>
      <c r="V183" s="88" t="s">
        <v>1520</v>
      </c>
      <c r="W183" s="88" t="s">
        <v>1519</v>
      </c>
      <c r="X183" s="88" t="s">
        <v>1521</v>
      </c>
      <c r="Y183" s="88" t="s">
        <v>1521</v>
      </c>
      <c r="Z183" s="88" t="s">
        <v>1520</v>
      </c>
      <c r="AA183" s="88" t="s">
        <v>1520</v>
      </c>
      <c r="AB183" s="88" t="s">
        <v>1520</v>
      </c>
      <c r="AC183" s="88" t="s">
        <v>1520</v>
      </c>
      <c r="AD183" s="89"/>
      <c r="AE183" s="18" t="s">
        <v>92</v>
      </c>
      <c r="AF183" s="18"/>
      <c r="AG183" s="18"/>
      <c r="AH183" s="18"/>
      <c r="AI183" s="18"/>
      <c r="AJ183" s="18"/>
      <c r="AK183" s="18"/>
      <c r="AL183" s="18"/>
      <c r="AM183" s="18"/>
    </row>
    <row r="184">
      <c r="A184" s="11"/>
      <c r="B184" s="12" t="s">
        <v>34</v>
      </c>
      <c r="C184" s="12" t="s">
        <v>65</v>
      </c>
      <c r="D184" s="12" t="s">
        <v>102</v>
      </c>
      <c r="E184" s="12" t="s">
        <v>142</v>
      </c>
      <c r="F184" s="13" t="s">
        <v>143</v>
      </c>
      <c r="G184" s="12" t="s">
        <v>68</v>
      </c>
      <c r="H184" s="12" t="s">
        <v>144</v>
      </c>
      <c r="I184" s="12" t="s">
        <v>145</v>
      </c>
      <c r="J184" s="17" t="s">
        <v>112</v>
      </c>
      <c r="K184" s="17" t="s">
        <v>113</v>
      </c>
      <c r="L184" s="17" t="s">
        <v>1661</v>
      </c>
      <c r="M184" s="20">
        <v>45841.0</v>
      </c>
      <c r="N184" s="17" t="s">
        <v>194</v>
      </c>
      <c r="O184" s="88" t="s">
        <v>1519</v>
      </c>
      <c r="P184" s="88" t="s">
        <v>1519</v>
      </c>
      <c r="Q184" s="88" t="s">
        <v>1521</v>
      </c>
      <c r="R184" s="88" t="s">
        <v>1519</v>
      </c>
      <c r="S184" s="88" t="s">
        <v>1519</v>
      </c>
      <c r="T184" s="88" t="s">
        <v>1521</v>
      </c>
      <c r="U184" s="88" t="s">
        <v>1519</v>
      </c>
      <c r="V184" s="88" t="s">
        <v>1520</v>
      </c>
      <c r="W184" s="88" t="s">
        <v>1519</v>
      </c>
      <c r="X184" s="88" t="s">
        <v>1520</v>
      </c>
      <c r="Y184" s="88" t="s">
        <v>1520</v>
      </c>
      <c r="Z184" s="88" t="s">
        <v>1520</v>
      </c>
      <c r="AA184" s="88" t="s">
        <v>1519</v>
      </c>
      <c r="AB184" s="88" t="s">
        <v>1519</v>
      </c>
      <c r="AC184" s="88" t="s">
        <v>1519</v>
      </c>
      <c r="AD184" s="89"/>
      <c r="AE184" s="18" t="s">
        <v>92</v>
      </c>
      <c r="AF184" s="18"/>
      <c r="AG184" s="18"/>
      <c r="AH184" s="18"/>
      <c r="AI184" s="18"/>
      <c r="AJ184" s="18"/>
      <c r="AK184" s="18"/>
      <c r="AL184" s="18"/>
      <c r="AM184" s="18"/>
    </row>
    <row r="185">
      <c r="A185" s="11"/>
      <c r="B185" s="12" t="s">
        <v>34</v>
      </c>
      <c r="C185" s="12" t="s">
        <v>65</v>
      </c>
      <c r="D185" s="12" t="s">
        <v>102</v>
      </c>
      <c r="E185" s="12" t="s">
        <v>142</v>
      </c>
      <c r="F185" s="13" t="s">
        <v>143</v>
      </c>
      <c r="G185" s="12" t="s">
        <v>68</v>
      </c>
      <c r="H185" s="12" t="s">
        <v>144</v>
      </c>
      <c r="I185" s="12" t="s">
        <v>145</v>
      </c>
      <c r="J185" s="17" t="s">
        <v>112</v>
      </c>
      <c r="K185" s="17" t="s">
        <v>113</v>
      </c>
      <c r="L185" s="17" t="s">
        <v>1662</v>
      </c>
      <c r="M185" s="20">
        <v>45841.0</v>
      </c>
      <c r="N185" s="17" t="s">
        <v>194</v>
      </c>
      <c r="O185" s="88" t="s">
        <v>1519</v>
      </c>
      <c r="P185" s="88" t="s">
        <v>1520</v>
      </c>
      <c r="Q185" s="88" t="s">
        <v>1521</v>
      </c>
      <c r="R185" s="88" t="s">
        <v>1519</v>
      </c>
      <c r="S185" s="88" t="s">
        <v>1519</v>
      </c>
      <c r="T185" s="88" t="s">
        <v>1521</v>
      </c>
      <c r="U185" s="88" t="s">
        <v>1519</v>
      </c>
      <c r="V185" s="88" t="s">
        <v>1521</v>
      </c>
      <c r="W185" s="88" t="s">
        <v>1519</v>
      </c>
      <c r="X185" s="88" t="s">
        <v>1519</v>
      </c>
      <c r="Y185" s="88" t="s">
        <v>1519</v>
      </c>
      <c r="Z185" s="88" t="s">
        <v>1521</v>
      </c>
      <c r="AA185" s="88" t="s">
        <v>1519</v>
      </c>
      <c r="AB185" s="88" t="s">
        <v>1521</v>
      </c>
      <c r="AC185" s="88" t="s">
        <v>1521</v>
      </c>
      <c r="AD185" s="89"/>
      <c r="AE185" s="18" t="s">
        <v>92</v>
      </c>
      <c r="AF185" s="18"/>
      <c r="AG185" s="18"/>
      <c r="AH185" s="18"/>
      <c r="AI185" s="18"/>
      <c r="AJ185" s="18"/>
      <c r="AK185" s="18"/>
      <c r="AL185" s="18"/>
      <c r="AM185" s="18"/>
    </row>
    <row r="186">
      <c r="A186" s="11"/>
      <c r="B186" s="12" t="s">
        <v>34</v>
      </c>
      <c r="C186" s="12" t="s">
        <v>65</v>
      </c>
      <c r="D186" s="12" t="s">
        <v>102</v>
      </c>
      <c r="E186" s="12" t="s">
        <v>142</v>
      </c>
      <c r="F186" s="13" t="s">
        <v>143</v>
      </c>
      <c r="G186" s="12" t="s">
        <v>68</v>
      </c>
      <c r="H186" s="12" t="s">
        <v>144</v>
      </c>
      <c r="I186" s="12" t="s">
        <v>145</v>
      </c>
      <c r="J186" s="17" t="s">
        <v>112</v>
      </c>
      <c r="K186" s="17" t="s">
        <v>113</v>
      </c>
      <c r="L186" s="17" t="s">
        <v>1663</v>
      </c>
      <c r="M186" s="20">
        <v>45841.0</v>
      </c>
      <c r="N186" s="17" t="s">
        <v>194</v>
      </c>
      <c r="O186" s="88" t="s">
        <v>1520</v>
      </c>
      <c r="P186" s="88" t="s">
        <v>1520</v>
      </c>
      <c r="Q186" s="88" t="s">
        <v>1520</v>
      </c>
      <c r="R186" s="88" t="s">
        <v>1519</v>
      </c>
      <c r="S186" s="88" t="s">
        <v>1519</v>
      </c>
      <c r="T186" s="88" t="s">
        <v>1521</v>
      </c>
      <c r="U186" s="88" t="s">
        <v>1520</v>
      </c>
      <c r="V186" s="88" t="s">
        <v>1520</v>
      </c>
      <c r="W186" s="88" t="s">
        <v>1519</v>
      </c>
      <c r="X186" s="88" t="s">
        <v>1519</v>
      </c>
      <c r="Y186" s="88" t="s">
        <v>1521</v>
      </c>
      <c r="Z186" s="88" t="s">
        <v>1519</v>
      </c>
      <c r="AA186" s="88" t="s">
        <v>1519</v>
      </c>
      <c r="AB186" s="88" t="s">
        <v>1521</v>
      </c>
      <c r="AC186" s="88" t="s">
        <v>1521</v>
      </c>
      <c r="AD186" s="89"/>
      <c r="AE186" s="18" t="s">
        <v>92</v>
      </c>
      <c r="AF186" s="18"/>
      <c r="AG186" s="18"/>
      <c r="AH186" s="18"/>
      <c r="AI186" s="18"/>
      <c r="AJ186" s="18"/>
      <c r="AK186" s="18"/>
      <c r="AL186" s="18"/>
      <c r="AM186" s="18"/>
    </row>
    <row r="187">
      <c r="A187" s="11"/>
      <c r="B187" s="12" t="s">
        <v>34</v>
      </c>
      <c r="C187" s="12" t="s">
        <v>65</v>
      </c>
      <c r="D187" s="12" t="s">
        <v>102</v>
      </c>
      <c r="E187" s="12" t="s">
        <v>142</v>
      </c>
      <c r="F187" s="13" t="s">
        <v>143</v>
      </c>
      <c r="G187" s="12" t="s">
        <v>68</v>
      </c>
      <c r="H187" s="12" t="s">
        <v>144</v>
      </c>
      <c r="I187" s="12" t="s">
        <v>145</v>
      </c>
      <c r="J187" s="17" t="s">
        <v>112</v>
      </c>
      <c r="K187" s="17" t="s">
        <v>113</v>
      </c>
      <c r="L187" s="17" t="s">
        <v>1664</v>
      </c>
      <c r="M187" s="20">
        <v>45841.0</v>
      </c>
      <c r="N187" s="17" t="s">
        <v>194</v>
      </c>
      <c r="O187" s="88" t="s">
        <v>1519</v>
      </c>
      <c r="P187" s="88" t="s">
        <v>1520</v>
      </c>
      <c r="Q187" s="88" t="s">
        <v>1521</v>
      </c>
      <c r="R187" s="88" t="s">
        <v>1519</v>
      </c>
      <c r="S187" s="88" t="s">
        <v>1519</v>
      </c>
      <c r="T187" s="88" t="s">
        <v>1521</v>
      </c>
      <c r="U187" s="88" t="s">
        <v>1519</v>
      </c>
      <c r="V187" s="88" t="s">
        <v>1519</v>
      </c>
      <c r="W187" s="88" t="s">
        <v>1519</v>
      </c>
      <c r="X187" s="88" t="s">
        <v>1521</v>
      </c>
      <c r="Y187" s="88" t="s">
        <v>1521</v>
      </c>
      <c r="Z187" s="88" t="s">
        <v>1521</v>
      </c>
      <c r="AA187" s="88" t="s">
        <v>1521</v>
      </c>
      <c r="AB187" s="88" t="s">
        <v>1520</v>
      </c>
      <c r="AC187" s="88" t="s">
        <v>1521</v>
      </c>
      <c r="AD187" s="89"/>
      <c r="AE187" s="18" t="s">
        <v>92</v>
      </c>
      <c r="AF187" s="18"/>
      <c r="AG187" s="18"/>
      <c r="AH187" s="18"/>
      <c r="AI187" s="18"/>
      <c r="AJ187" s="18"/>
      <c r="AK187" s="18"/>
      <c r="AL187" s="18"/>
      <c r="AM187" s="18"/>
    </row>
    <row r="188">
      <c r="A188" s="11"/>
      <c r="B188" s="12" t="s">
        <v>34</v>
      </c>
      <c r="C188" s="12" t="s">
        <v>65</v>
      </c>
      <c r="D188" s="12" t="s">
        <v>102</v>
      </c>
      <c r="E188" s="12" t="s">
        <v>142</v>
      </c>
      <c r="F188" s="13" t="s">
        <v>143</v>
      </c>
      <c r="G188" s="12" t="s">
        <v>68</v>
      </c>
      <c r="H188" s="12" t="s">
        <v>144</v>
      </c>
      <c r="I188" s="12" t="s">
        <v>145</v>
      </c>
      <c r="J188" s="17" t="s">
        <v>112</v>
      </c>
      <c r="K188" s="17" t="s">
        <v>113</v>
      </c>
      <c r="L188" s="17" t="s">
        <v>1665</v>
      </c>
      <c r="M188" s="20">
        <v>45841.0</v>
      </c>
      <c r="N188" s="17" t="s">
        <v>194</v>
      </c>
      <c r="O188" s="88" t="s">
        <v>1519</v>
      </c>
      <c r="P188" s="88" t="s">
        <v>1519</v>
      </c>
      <c r="Q188" s="88" t="s">
        <v>1519</v>
      </c>
      <c r="R188" s="88" t="s">
        <v>1519</v>
      </c>
      <c r="S188" s="88" t="s">
        <v>1519</v>
      </c>
      <c r="T188" s="88" t="s">
        <v>1521</v>
      </c>
      <c r="U188" s="88" t="s">
        <v>1519</v>
      </c>
      <c r="V188" s="88" t="s">
        <v>1519</v>
      </c>
      <c r="W188" s="88" t="s">
        <v>1519</v>
      </c>
      <c r="X188" s="88" t="s">
        <v>1520</v>
      </c>
      <c r="Y188" s="88" t="s">
        <v>1521</v>
      </c>
      <c r="Z188" s="88" t="s">
        <v>1521</v>
      </c>
      <c r="AA188" s="88" t="s">
        <v>1521</v>
      </c>
      <c r="AB188" s="88" t="s">
        <v>1520</v>
      </c>
      <c r="AC188" s="88" t="s">
        <v>1521</v>
      </c>
      <c r="AD188" s="89"/>
      <c r="AE188" s="18" t="s">
        <v>92</v>
      </c>
      <c r="AF188" s="18"/>
      <c r="AG188" s="18"/>
      <c r="AH188" s="18"/>
      <c r="AI188" s="18"/>
      <c r="AJ188" s="18"/>
      <c r="AK188" s="18"/>
      <c r="AL188" s="18"/>
      <c r="AM188" s="18"/>
    </row>
    <row r="189">
      <c r="A189" s="11"/>
      <c r="B189" s="12" t="s">
        <v>34</v>
      </c>
      <c r="C189" s="12" t="s">
        <v>65</v>
      </c>
      <c r="D189" s="12" t="s">
        <v>102</v>
      </c>
      <c r="E189" s="12" t="s">
        <v>142</v>
      </c>
      <c r="F189" s="13" t="s">
        <v>143</v>
      </c>
      <c r="G189" s="12" t="s">
        <v>68</v>
      </c>
      <c r="H189" s="12" t="s">
        <v>144</v>
      </c>
      <c r="I189" s="12" t="s">
        <v>145</v>
      </c>
      <c r="J189" s="17" t="s">
        <v>73</v>
      </c>
      <c r="K189" s="17" t="s">
        <v>74</v>
      </c>
      <c r="L189" s="17" t="s">
        <v>1666</v>
      </c>
      <c r="M189" s="20">
        <v>45841.0</v>
      </c>
      <c r="N189" s="17" t="s">
        <v>194</v>
      </c>
      <c r="O189" s="88" t="s">
        <v>1521</v>
      </c>
      <c r="P189" s="88" t="s">
        <v>1521</v>
      </c>
      <c r="Q189" s="88" t="s">
        <v>1521</v>
      </c>
      <c r="R189" s="88" t="s">
        <v>1519</v>
      </c>
      <c r="S189" s="88" t="s">
        <v>1519</v>
      </c>
      <c r="T189" s="88" t="s">
        <v>1520</v>
      </c>
      <c r="U189" s="88" t="s">
        <v>1520</v>
      </c>
      <c r="V189" s="88" t="s">
        <v>1521</v>
      </c>
      <c r="W189" s="88" t="s">
        <v>1521</v>
      </c>
      <c r="X189" s="88" t="s">
        <v>1521</v>
      </c>
      <c r="Y189" s="88" t="s">
        <v>1521</v>
      </c>
      <c r="Z189" s="88" t="s">
        <v>1520</v>
      </c>
      <c r="AA189" s="88" t="s">
        <v>1521</v>
      </c>
      <c r="AB189" s="88" t="s">
        <v>1520</v>
      </c>
      <c r="AC189" s="88" t="s">
        <v>1521</v>
      </c>
      <c r="AD189" s="89"/>
      <c r="AE189" s="18" t="s">
        <v>92</v>
      </c>
      <c r="AF189" s="18"/>
      <c r="AG189" s="18"/>
      <c r="AH189" s="18"/>
      <c r="AI189" s="18"/>
      <c r="AJ189" s="18"/>
      <c r="AK189" s="18"/>
      <c r="AL189" s="18"/>
      <c r="AM189" s="18"/>
    </row>
    <row r="190">
      <c r="A190" s="11"/>
      <c r="B190" s="12" t="s">
        <v>34</v>
      </c>
      <c r="C190" s="12" t="s">
        <v>65</v>
      </c>
      <c r="D190" s="12" t="s">
        <v>102</v>
      </c>
      <c r="E190" s="12" t="s">
        <v>142</v>
      </c>
      <c r="F190" s="13" t="s">
        <v>143</v>
      </c>
      <c r="G190" s="12" t="s">
        <v>68</v>
      </c>
      <c r="H190" s="12" t="s">
        <v>144</v>
      </c>
      <c r="I190" s="12" t="s">
        <v>145</v>
      </c>
      <c r="J190" s="17" t="s">
        <v>73</v>
      </c>
      <c r="K190" s="17" t="s">
        <v>74</v>
      </c>
      <c r="L190" s="17" t="s">
        <v>1667</v>
      </c>
      <c r="M190" s="20">
        <v>45841.0</v>
      </c>
      <c r="N190" s="17" t="s">
        <v>194</v>
      </c>
      <c r="O190" s="88" t="s">
        <v>1520</v>
      </c>
      <c r="P190" s="88" t="s">
        <v>1521</v>
      </c>
      <c r="Q190" s="88" t="s">
        <v>1519</v>
      </c>
      <c r="R190" s="88" t="s">
        <v>1519</v>
      </c>
      <c r="S190" s="88" t="s">
        <v>1519</v>
      </c>
      <c r="T190" s="88" t="s">
        <v>1521</v>
      </c>
      <c r="U190" s="88" t="s">
        <v>1521</v>
      </c>
      <c r="V190" s="88" t="s">
        <v>1521</v>
      </c>
      <c r="W190" s="88" t="s">
        <v>1521</v>
      </c>
      <c r="X190" s="88" t="s">
        <v>1521</v>
      </c>
      <c r="Y190" s="88" t="s">
        <v>1521</v>
      </c>
      <c r="Z190" s="88" t="s">
        <v>1520</v>
      </c>
      <c r="AA190" s="88" t="s">
        <v>1520</v>
      </c>
      <c r="AB190" s="88" t="s">
        <v>1521</v>
      </c>
      <c r="AC190" s="88" t="s">
        <v>1521</v>
      </c>
      <c r="AD190" s="89"/>
      <c r="AE190" s="18" t="s">
        <v>92</v>
      </c>
      <c r="AF190" s="18"/>
      <c r="AG190" s="18"/>
      <c r="AH190" s="18"/>
      <c r="AI190" s="18"/>
      <c r="AJ190" s="18"/>
      <c r="AK190" s="18"/>
      <c r="AL190" s="18"/>
      <c r="AM190" s="18"/>
    </row>
    <row r="191">
      <c r="A191" s="11"/>
      <c r="B191" s="12" t="s">
        <v>34</v>
      </c>
      <c r="C191" s="12" t="s">
        <v>65</v>
      </c>
      <c r="D191" s="12" t="s">
        <v>102</v>
      </c>
      <c r="E191" s="12" t="s">
        <v>142</v>
      </c>
      <c r="F191" s="13" t="s">
        <v>143</v>
      </c>
      <c r="G191" s="12" t="s">
        <v>68</v>
      </c>
      <c r="H191" s="12" t="s">
        <v>144</v>
      </c>
      <c r="I191" s="12" t="s">
        <v>145</v>
      </c>
      <c r="J191" s="17" t="s">
        <v>73</v>
      </c>
      <c r="K191" s="17" t="s">
        <v>74</v>
      </c>
      <c r="L191" s="17" t="s">
        <v>1668</v>
      </c>
      <c r="M191" s="20">
        <v>45841.0</v>
      </c>
      <c r="N191" s="17" t="s">
        <v>194</v>
      </c>
      <c r="O191" s="88" t="s">
        <v>1519</v>
      </c>
      <c r="P191" s="88" t="s">
        <v>1521</v>
      </c>
      <c r="Q191" s="88" t="s">
        <v>1521</v>
      </c>
      <c r="R191" s="88" t="s">
        <v>1519</v>
      </c>
      <c r="S191" s="88" t="s">
        <v>1520</v>
      </c>
      <c r="T191" s="88" t="s">
        <v>1521</v>
      </c>
      <c r="U191" s="88" t="s">
        <v>1521</v>
      </c>
      <c r="V191" s="88" t="s">
        <v>1520</v>
      </c>
      <c r="W191" s="88" t="s">
        <v>1521</v>
      </c>
      <c r="X191" s="88" t="s">
        <v>1521</v>
      </c>
      <c r="Y191" s="88" t="s">
        <v>1521</v>
      </c>
      <c r="Z191" s="88" t="s">
        <v>1519</v>
      </c>
      <c r="AA191" s="88" t="s">
        <v>1521</v>
      </c>
      <c r="AB191" s="88" t="s">
        <v>1521</v>
      </c>
      <c r="AC191" s="88" t="s">
        <v>1521</v>
      </c>
      <c r="AD191" s="89"/>
      <c r="AE191" s="18" t="s">
        <v>92</v>
      </c>
      <c r="AF191" s="18"/>
      <c r="AG191" s="18"/>
      <c r="AH191" s="18"/>
      <c r="AI191" s="18"/>
      <c r="AJ191" s="18"/>
      <c r="AK191" s="18"/>
      <c r="AL191" s="18"/>
      <c r="AM191" s="18"/>
    </row>
    <row r="192">
      <c r="A192" s="11"/>
      <c r="B192" s="12" t="s">
        <v>34</v>
      </c>
      <c r="C192" s="12" t="s">
        <v>65</v>
      </c>
      <c r="D192" s="12" t="s">
        <v>102</v>
      </c>
      <c r="E192" s="12" t="s">
        <v>142</v>
      </c>
      <c r="F192" s="13" t="s">
        <v>143</v>
      </c>
      <c r="G192" s="12" t="s">
        <v>68</v>
      </c>
      <c r="H192" s="12" t="s">
        <v>144</v>
      </c>
      <c r="I192" s="12" t="s">
        <v>145</v>
      </c>
      <c r="J192" s="17" t="s">
        <v>73</v>
      </c>
      <c r="K192" s="17" t="s">
        <v>74</v>
      </c>
      <c r="L192" s="17" t="s">
        <v>1669</v>
      </c>
      <c r="M192" s="20">
        <v>45841.0</v>
      </c>
      <c r="N192" s="17" t="s">
        <v>194</v>
      </c>
      <c r="O192" s="88" t="s">
        <v>1519</v>
      </c>
      <c r="P192" s="88" t="s">
        <v>1520</v>
      </c>
      <c r="Q192" s="88" t="s">
        <v>1520</v>
      </c>
      <c r="R192" s="88" t="s">
        <v>1519</v>
      </c>
      <c r="S192" s="88" t="s">
        <v>1519</v>
      </c>
      <c r="T192" s="88" t="s">
        <v>1521</v>
      </c>
      <c r="U192" s="88" t="s">
        <v>1521</v>
      </c>
      <c r="V192" s="88" t="s">
        <v>1521</v>
      </c>
      <c r="W192" s="88" t="s">
        <v>1521</v>
      </c>
      <c r="X192" s="88" t="s">
        <v>1520</v>
      </c>
      <c r="Y192" s="88" t="s">
        <v>1521</v>
      </c>
      <c r="Z192" s="88" t="s">
        <v>1520</v>
      </c>
      <c r="AA192" s="88" t="s">
        <v>1521</v>
      </c>
      <c r="AB192" s="88" t="s">
        <v>1521</v>
      </c>
      <c r="AC192" s="88" t="s">
        <v>1521</v>
      </c>
      <c r="AD192" s="89"/>
      <c r="AE192" s="18" t="s">
        <v>92</v>
      </c>
      <c r="AF192" s="18"/>
      <c r="AG192" s="18"/>
      <c r="AH192" s="18"/>
      <c r="AI192" s="18"/>
      <c r="AJ192" s="18"/>
      <c r="AK192" s="18"/>
      <c r="AL192" s="18"/>
      <c r="AM192" s="18"/>
    </row>
    <row r="193">
      <c r="A193" s="11"/>
      <c r="B193" s="12" t="s">
        <v>34</v>
      </c>
      <c r="C193" s="12" t="s">
        <v>65</v>
      </c>
      <c r="D193" s="12" t="s">
        <v>102</v>
      </c>
      <c r="E193" s="12" t="s">
        <v>142</v>
      </c>
      <c r="F193" s="13" t="s">
        <v>143</v>
      </c>
      <c r="G193" s="12" t="s">
        <v>68</v>
      </c>
      <c r="H193" s="12" t="s">
        <v>144</v>
      </c>
      <c r="I193" s="12" t="s">
        <v>145</v>
      </c>
      <c r="J193" s="17" t="s">
        <v>73</v>
      </c>
      <c r="K193" s="17" t="s">
        <v>74</v>
      </c>
      <c r="L193" s="17" t="s">
        <v>1670</v>
      </c>
      <c r="M193" s="20">
        <v>45841.0</v>
      </c>
      <c r="N193" s="17" t="s">
        <v>194</v>
      </c>
      <c r="O193" s="88" t="s">
        <v>1519</v>
      </c>
      <c r="P193" s="88" t="s">
        <v>1519</v>
      </c>
      <c r="Q193" s="88" t="s">
        <v>1520</v>
      </c>
      <c r="R193" s="88" t="s">
        <v>1519</v>
      </c>
      <c r="S193" s="88" t="s">
        <v>1519</v>
      </c>
      <c r="T193" s="88" t="s">
        <v>1521</v>
      </c>
      <c r="U193" s="88" t="s">
        <v>1519</v>
      </c>
      <c r="V193" s="88" t="s">
        <v>1521</v>
      </c>
      <c r="W193" s="88" t="s">
        <v>1521</v>
      </c>
      <c r="X193" s="88" t="s">
        <v>1521</v>
      </c>
      <c r="Y193" s="88" t="s">
        <v>1521</v>
      </c>
      <c r="Z193" s="88" t="s">
        <v>1521</v>
      </c>
      <c r="AA193" s="88" t="s">
        <v>1520</v>
      </c>
      <c r="AB193" s="88" t="s">
        <v>1520</v>
      </c>
      <c r="AC193" s="88" t="s">
        <v>1521</v>
      </c>
      <c r="AD193" s="89"/>
      <c r="AE193" s="18" t="s">
        <v>92</v>
      </c>
      <c r="AF193" s="18"/>
      <c r="AG193" s="18"/>
      <c r="AH193" s="18"/>
      <c r="AI193" s="18"/>
      <c r="AJ193" s="18"/>
      <c r="AK193" s="18"/>
      <c r="AL193" s="18"/>
      <c r="AM193" s="18"/>
    </row>
    <row r="194">
      <c r="A194" s="11"/>
      <c r="B194" s="12" t="s">
        <v>34</v>
      </c>
      <c r="C194" s="12" t="s">
        <v>65</v>
      </c>
      <c r="D194" s="12" t="s">
        <v>102</v>
      </c>
      <c r="E194" s="12" t="s">
        <v>142</v>
      </c>
      <c r="F194" s="13" t="s">
        <v>143</v>
      </c>
      <c r="G194" s="12" t="s">
        <v>68</v>
      </c>
      <c r="H194" s="12" t="s">
        <v>144</v>
      </c>
      <c r="I194" s="12" t="s">
        <v>145</v>
      </c>
      <c r="J194" s="17" t="s">
        <v>73</v>
      </c>
      <c r="K194" s="17" t="s">
        <v>74</v>
      </c>
      <c r="L194" s="17" t="s">
        <v>1671</v>
      </c>
      <c r="M194" s="20">
        <v>45841.0</v>
      </c>
      <c r="N194" s="17" t="s">
        <v>194</v>
      </c>
      <c r="O194" s="88" t="s">
        <v>1519</v>
      </c>
      <c r="P194" s="88" t="s">
        <v>1521</v>
      </c>
      <c r="Q194" s="88" t="s">
        <v>1521</v>
      </c>
      <c r="R194" s="88" t="s">
        <v>1521</v>
      </c>
      <c r="S194" s="88" t="s">
        <v>1521</v>
      </c>
      <c r="T194" s="88" t="s">
        <v>1520</v>
      </c>
      <c r="U194" s="88" t="s">
        <v>1520</v>
      </c>
      <c r="V194" s="88" t="s">
        <v>1519</v>
      </c>
      <c r="W194" s="88" t="s">
        <v>1521</v>
      </c>
      <c r="X194" s="88" t="s">
        <v>1521</v>
      </c>
      <c r="Y194" s="88" t="s">
        <v>1521</v>
      </c>
      <c r="Z194" s="88" t="s">
        <v>1520</v>
      </c>
      <c r="AA194" s="88" t="s">
        <v>1520</v>
      </c>
      <c r="AB194" s="88" t="s">
        <v>1519</v>
      </c>
      <c r="AC194" s="88" t="s">
        <v>1521</v>
      </c>
      <c r="AD194" s="89"/>
      <c r="AE194" s="18" t="s">
        <v>92</v>
      </c>
      <c r="AF194" s="18"/>
      <c r="AG194" s="18"/>
      <c r="AH194" s="18"/>
      <c r="AI194" s="18"/>
      <c r="AJ194" s="18"/>
      <c r="AK194" s="18"/>
      <c r="AL194" s="18"/>
      <c r="AM194" s="18"/>
    </row>
    <row r="195">
      <c r="A195" s="11"/>
      <c r="B195" s="12" t="s">
        <v>34</v>
      </c>
      <c r="C195" s="12" t="s">
        <v>65</v>
      </c>
      <c r="D195" s="12" t="s">
        <v>102</v>
      </c>
      <c r="E195" s="12" t="s">
        <v>142</v>
      </c>
      <c r="F195" s="13" t="s">
        <v>143</v>
      </c>
      <c r="G195" s="12" t="s">
        <v>68</v>
      </c>
      <c r="H195" s="12" t="s">
        <v>144</v>
      </c>
      <c r="I195" s="12" t="s">
        <v>145</v>
      </c>
      <c r="J195" s="17" t="s">
        <v>73</v>
      </c>
      <c r="K195" s="17" t="s">
        <v>74</v>
      </c>
      <c r="L195" s="17" t="s">
        <v>1672</v>
      </c>
      <c r="M195" s="20">
        <v>45841.0</v>
      </c>
      <c r="N195" s="17" t="s">
        <v>194</v>
      </c>
      <c r="O195" s="88" t="s">
        <v>1519</v>
      </c>
      <c r="P195" s="88" t="s">
        <v>1520</v>
      </c>
      <c r="Q195" s="88" t="s">
        <v>1521</v>
      </c>
      <c r="R195" s="88" t="s">
        <v>1519</v>
      </c>
      <c r="S195" s="88" t="s">
        <v>1519</v>
      </c>
      <c r="T195" s="88" t="s">
        <v>1521</v>
      </c>
      <c r="U195" s="88" t="s">
        <v>1519</v>
      </c>
      <c r="V195" s="88" t="s">
        <v>1519</v>
      </c>
      <c r="W195" s="88" t="s">
        <v>1521</v>
      </c>
      <c r="X195" s="88" t="s">
        <v>1520</v>
      </c>
      <c r="Y195" s="88" t="s">
        <v>1521</v>
      </c>
      <c r="Z195" s="88" t="s">
        <v>1521</v>
      </c>
      <c r="AA195" s="88" t="s">
        <v>1520</v>
      </c>
      <c r="AB195" s="88" t="s">
        <v>1521</v>
      </c>
      <c r="AC195" s="88" t="s">
        <v>1521</v>
      </c>
      <c r="AD195" s="89"/>
      <c r="AE195" s="18" t="s">
        <v>92</v>
      </c>
      <c r="AF195" s="18"/>
      <c r="AG195" s="18"/>
      <c r="AH195" s="18"/>
      <c r="AI195" s="18"/>
      <c r="AJ195" s="18"/>
      <c r="AK195" s="18"/>
      <c r="AL195" s="18"/>
      <c r="AM195" s="18"/>
    </row>
    <row r="196">
      <c r="A196" s="11"/>
      <c r="B196" s="12" t="s">
        <v>34</v>
      </c>
      <c r="C196" s="12" t="s">
        <v>65</v>
      </c>
      <c r="D196" s="12" t="s">
        <v>102</v>
      </c>
      <c r="E196" s="12" t="s">
        <v>142</v>
      </c>
      <c r="F196" s="13" t="s">
        <v>143</v>
      </c>
      <c r="G196" s="12" t="s">
        <v>68</v>
      </c>
      <c r="H196" s="12" t="s">
        <v>144</v>
      </c>
      <c r="I196" s="12" t="s">
        <v>145</v>
      </c>
      <c r="J196" s="17" t="s">
        <v>73</v>
      </c>
      <c r="K196" s="17" t="s">
        <v>74</v>
      </c>
      <c r="L196" s="17" t="s">
        <v>1673</v>
      </c>
      <c r="M196" s="20">
        <v>45841.0</v>
      </c>
      <c r="N196" s="17" t="s">
        <v>194</v>
      </c>
      <c r="O196" s="88" t="s">
        <v>1519</v>
      </c>
      <c r="P196" s="88" t="s">
        <v>1519</v>
      </c>
      <c r="Q196" s="88" t="s">
        <v>1520</v>
      </c>
      <c r="R196" s="88" t="s">
        <v>1519</v>
      </c>
      <c r="S196" s="88" t="s">
        <v>1519</v>
      </c>
      <c r="T196" s="88" t="s">
        <v>1521</v>
      </c>
      <c r="U196" s="88" t="s">
        <v>1519</v>
      </c>
      <c r="V196" s="88" t="s">
        <v>1521</v>
      </c>
      <c r="W196" s="88" t="s">
        <v>1521</v>
      </c>
      <c r="X196" s="88" t="s">
        <v>1521</v>
      </c>
      <c r="Y196" s="88" t="s">
        <v>1521</v>
      </c>
      <c r="Z196" s="88" t="s">
        <v>1520</v>
      </c>
      <c r="AA196" s="88" t="s">
        <v>1519</v>
      </c>
      <c r="AB196" s="88" t="s">
        <v>1520</v>
      </c>
      <c r="AC196" s="88" t="s">
        <v>1521</v>
      </c>
      <c r="AD196" s="89"/>
      <c r="AE196" s="18" t="s">
        <v>92</v>
      </c>
      <c r="AF196" s="18"/>
      <c r="AG196" s="18"/>
      <c r="AH196" s="18"/>
      <c r="AI196" s="18"/>
      <c r="AJ196" s="18"/>
      <c r="AK196" s="18"/>
      <c r="AL196" s="18"/>
      <c r="AM196" s="18"/>
    </row>
    <row r="197">
      <c r="A197" s="11"/>
      <c r="B197" s="12" t="s">
        <v>34</v>
      </c>
      <c r="C197" s="12" t="s">
        <v>65</v>
      </c>
      <c r="D197" s="12" t="s">
        <v>102</v>
      </c>
      <c r="E197" s="12" t="s">
        <v>142</v>
      </c>
      <c r="F197" s="13" t="s">
        <v>143</v>
      </c>
      <c r="G197" s="12" t="s">
        <v>68</v>
      </c>
      <c r="H197" s="12" t="s">
        <v>144</v>
      </c>
      <c r="I197" s="12" t="s">
        <v>145</v>
      </c>
      <c r="J197" s="17" t="s">
        <v>73</v>
      </c>
      <c r="K197" s="17" t="s">
        <v>74</v>
      </c>
      <c r="L197" s="17" t="s">
        <v>1674</v>
      </c>
      <c r="M197" s="20">
        <v>45841.0</v>
      </c>
      <c r="N197" s="17" t="s">
        <v>194</v>
      </c>
      <c r="O197" s="88" t="s">
        <v>1519</v>
      </c>
      <c r="P197" s="88" t="s">
        <v>1520</v>
      </c>
      <c r="Q197" s="88" t="s">
        <v>1521</v>
      </c>
      <c r="R197" s="88" t="s">
        <v>1519</v>
      </c>
      <c r="S197" s="88" t="s">
        <v>1519</v>
      </c>
      <c r="T197" s="88" t="s">
        <v>1520</v>
      </c>
      <c r="U197" s="88" t="s">
        <v>1520</v>
      </c>
      <c r="V197" s="88" t="s">
        <v>1521</v>
      </c>
      <c r="W197" s="88" t="s">
        <v>1521</v>
      </c>
      <c r="X197" s="88" t="s">
        <v>1521</v>
      </c>
      <c r="Y197" s="88" t="s">
        <v>1521</v>
      </c>
      <c r="Z197" s="88" t="s">
        <v>1519</v>
      </c>
      <c r="AA197" s="88" t="s">
        <v>1521</v>
      </c>
      <c r="AB197" s="88" t="s">
        <v>1520</v>
      </c>
      <c r="AC197" s="88" t="s">
        <v>1521</v>
      </c>
      <c r="AD197" s="89"/>
      <c r="AE197" s="18" t="s">
        <v>92</v>
      </c>
      <c r="AF197" s="18"/>
      <c r="AG197" s="18"/>
      <c r="AH197" s="18"/>
      <c r="AI197" s="18"/>
      <c r="AJ197" s="18"/>
      <c r="AK197" s="18"/>
      <c r="AL197" s="18"/>
      <c r="AM197" s="18"/>
    </row>
    <row r="198">
      <c r="A198" s="11"/>
      <c r="B198" s="12" t="s">
        <v>34</v>
      </c>
      <c r="C198" s="12" t="s">
        <v>65</v>
      </c>
      <c r="D198" s="12" t="s">
        <v>102</v>
      </c>
      <c r="E198" s="12" t="s">
        <v>142</v>
      </c>
      <c r="F198" s="13" t="s">
        <v>143</v>
      </c>
      <c r="G198" s="12" t="s">
        <v>68</v>
      </c>
      <c r="H198" s="12" t="s">
        <v>144</v>
      </c>
      <c r="I198" s="12" t="s">
        <v>145</v>
      </c>
      <c r="J198" s="17" t="s">
        <v>73</v>
      </c>
      <c r="K198" s="17" t="s">
        <v>74</v>
      </c>
      <c r="L198" s="17" t="s">
        <v>1675</v>
      </c>
      <c r="M198" s="20">
        <v>45841.0</v>
      </c>
      <c r="N198" s="17" t="s">
        <v>194</v>
      </c>
      <c r="O198" s="88" t="s">
        <v>1519</v>
      </c>
      <c r="P198" s="88" t="s">
        <v>1519</v>
      </c>
      <c r="Q198" s="88" t="s">
        <v>1519</v>
      </c>
      <c r="R198" s="88" t="s">
        <v>1519</v>
      </c>
      <c r="S198" s="88" t="s">
        <v>1519</v>
      </c>
      <c r="T198" s="88" t="s">
        <v>1521</v>
      </c>
      <c r="U198" s="88" t="s">
        <v>1519</v>
      </c>
      <c r="V198" s="88" t="s">
        <v>1520</v>
      </c>
      <c r="W198" s="88" t="s">
        <v>1521</v>
      </c>
      <c r="X198" s="88" t="s">
        <v>1521</v>
      </c>
      <c r="Y198" s="88" t="s">
        <v>1521</v>
      </c>
      <c r="Z198" s="88" t="s">
        <v>1521</v>
      </c>
      <c r="AA198" s="88" t="s">
        <v>1520</v>
      </c>
      <c r="AB198" s="88" t="s">
        <v>1521</v>
      </c>
      <c r="AC198" s="88" t="s">
        <v>1521</v>
      </c>
      <c r="AD198" s="89"/>
      <c r="AE198" s="18" t="s">
        <v>92</v>
      </c>
      <c r="AF198" s="18"/>
      <c r="AG198" s="18"/>
      <c r="AH198" s="18"/>
      <c r="AI198" s="18"/>
      <c r="AJ198" s="18"/>
      <c r="AK198" s="18"/>
      <c r="AL198" s="18"/>
      <c r="AM198" s="18"/>
    </row>
    <row r="199">
      <c r="A199" s="11"/>
      <c r="B199" s="12" t="s">
        <v>34</v>
      </c>
      <c r="C199" s="12" t="s">
        <v>65</v>
      </c>
      <c r="D199" s="12" t="s">
        <v>102</v>
      </c>
      <c r="E199" s="12" t="s">
        <v>142</v>
      </c>
      <c r="F199" s="13" t="s">
        <v>143</v>
      </c>
      <c r="G199" s="12" t="s">
        <v>68</v>
      </c>
      <c r="H199" s="12" t="s">
        <v>144</v>
      </c>
      <c r="I199" s="12" t="s">
        <v>145</v>
      </c>
      <c r="J199" s="17" t="s">
        <v>73</v>
      </c>
      <c r="K199" s="17" t="s">
        <v>74</v>
      </c>
      <c r="L199" s="17" t="s">
        <v>1676</v>
      </c>
      <c r="M199" s="20">
        <v>45841.0</v>
      </c>
      <c r="N199" s="17" t="s">
        <v>194</v>
      </c>
      <c r="O199" s="88" t="s">
        <v>1520</v>
      </c>
      <c r="P199" s="88" t="s">
        <v>1521</v>
      </c>
      <c r="Q199" s="88" t="s">
        <v>1521</v>
      </c>
      <c r="R199" s="88" t="s">
        <v>1519</v>
      </c>
      <c r="S199" s="88" t="s">
        <v>1519</v>
      </c>
      <c r="T199" s="88" t="s">
        <v>1520</v>
      </c>
      <c r="U199" s="88" t="s">
        <v>1520</v>
      </c>
      <c r="V199" s="88" t="s">
        <v>1521</v>
      </c>
      <c r="W199" s="88" t="s">
        <v>1521</v>
      </c>
      <c r="X199" s="88" t="s">
        <v>1521</v>
      </c>
      <c r="Y199" s="88" t="s">
        <v>1521</v>
      </c>
      <c r="Z199" s="88" t="s">
        <v>1521</v>
      </c>
      <c r="AA199" s="88" t="s">
        <v>1521</v>
      </c>
      <c r="AB199" s="88" t="s">
        <v>1520</v>
      </c>
      <c r="AC199" s="88" t="s">
        <v>1521</v>
      </c>
      <c r="AD199" s="89"/>
      <c r="AE199" s="18" t="s">
        <v>92</v>
      </c>
      <c r="AF199" s="18"/>
      <c r="AG199" s="18"/>
      <c r="AH199" s="18"/>
      <c r="AI199" s="18"/>
      <c r="AJ199" s="18"/>
      <c r="AK199" s="18"/>
      <c r="AL199" s="18"/>
      <c r="AM199" s="18"/>
    </row>
    <row r="200">
      <c r="A200" s="11"/>
      <c r="B200" s="12" t="s">
        <v>34</v>
      </c>
      <c r="C200" s="12" t="s">
        <v>65</v>
      </c>
      <c r="D200" s="12" t="s">
        <v>102</v>
      </c>
      <c r="E200" s="12" t="s">
        <v>142</v>
      </c>
      <c r="F200" s="13" t="s">
        <v>143</v>
      </c>
      <c r="G200" s="12" t="s">
        <v>68</v>
      </c>
      <c r="H200" s="12" t="s">
        <v>144</v>
      </c>
      <c r="I200" s="12" t="s">
        <v>145</v>
      </c>
      <c r="J200" s="17" t="s">
        <v>73</v>
      </c>
      <c r="K200" s="17" t="s">
        <v>74</v>
      </c>
      <c r="L200" s="17" t="s">
        <v>1677</v>
      </c>
      <c r="M200" s="20">
        <v>45841.0</v>
      </c>
      <c r="N200" s="17" t="s">
        <v>194</v>
      </c>
      <c r="O200" s="88" t="s">
        <v>1519</v>
      </c>
      <c r="P200" s="88" t="s">
        <v>1519</v>
      </c>
      <c r="Q200" s="88" t="s">
        <v>1519</v>
      </c>
      <c r="R200" s="88" t="s">
        <v>1519</v>
      </c>
      <c r="S200" s="88" t="s">
        <v>1519</v>
      </c>
      <c r="T200" s="88" t="s">
        <v>1520</v>
      </c>
      <c r="U200" s="88" t="s">
        <v>1520</v>
      </c>
      <c r="V200" s="88" t="s">
        <v>1519</v>
      </c>
      <c r="W200" s="88" t="s">
        <v>1520</v>
      </c>
      <c r="X200" s="88" t="s">
        <v>1520</v>
      </c>
      <c r="Y200" s="88" t="s">
        <v>1520</v>
      </c>
      <c r="Z200" s="88" t="s">
        <v>1519</v>
      </c>
      <c r="AA200" s="88" t="s">
        <v>1519</v>
      </c>
      <c r="AB200" s="88" t="s">
        <v>1519</v>
      </c>
      <c r="AC200" s="88" t="s">
        <v>1520</v>
      </c>
      <c r="AD200" s="89"/>
      <c r="AE200" s="18" t="s">
        <v>92</v>
      </c>
      <c r="AF200" s="18"/>
      <c r="AG200" s="18"/>
      <c r="AH200" s="18"/>
      <c r="AI200" s="18"/>
      <c r="AJ200" s="18"/>
      <c r="AK200" s="18"/>
      <c r="AL200" s="18"/>
      <c r="AM200" s="18"/>
    </row>
    <row r="201">
      <c r="A201" s="11"/>
      <c r="B201" s="12" t="s">
        <v>34</v>
      </c>
      <c r="C201" s="12" t="s">
        <v>65</v>
      </c>
      <c r="D201" s="12" t="s">
        <v>102</v>
      </c>
      <c r="E201" s="12" t="s">
        <v>142</v>
      </c>
      <c r="F201" s="13" t="s">
        <v>143</v>
      </c>
      <c r="G201" s="12" t="s">
        <v>68</v>
      </c>
      <c r="H201" s="12" t="s">
        <v>144</v>
      </c>
      <c r="I201" s="12" t="s">
        <v>145</v>
      </c>
      <c r="J201" s="17" t="s">
        <v>108</v>
      </c>
      <c r="K201" s="17" t="s">
        <v>109</v>
      </c>
      <c r="L201" s="17" t="s">
        <v>1645</v>
      </c>
      <c r="M201" s="19">
        <v>45973.0</v>
      </c>
      <c r="N201" s="17" t="s">
        <v>428</v>
      </c>
      <c r="O201" s="88" t="s">
        <v>1519</v>
      </c>
      <c r="P201" s="88" t="s">
        <v>1519</v>
      </c>
      <c r="Q201" s="88" t="s">
        <v>1519</v>
      </c>
      <c r="R201" s="88" t="s">
        <v>1520</v>
      </c>
      <c r="S201" s="88" t="s">
        <v>1519</v>
      </c>
      <c r="T201" s="88" t="s">
        <v>1520</v>
      </c>
      <c r="U201" s="88" t="s">
        <v>1520</v>
      </c>
      <c r="V201" s="88" t="s">
        <v>1520</v>
      </c>
      <c r="W201" s="88" t="s">
        <v>1519</v>
      </c>
      <c r="X201" s="88" t="s">
        <v>1519</v>
      </c>
      <c r="Y201" s="88" t="s">
        <v>1519</v>
      </c>
      <c r="Z201" s="88" t="s">
        <v>1519</v>
      </c>
      <c r="AA201" s="88" t="s">
        <v>1520</v>
      </c>
      <c r="AB201" s="88" t="s">
        <v>1519</v>
      </c>
      <c r="AC201" s="88" t="s">
        <v>1519</v>
      </c>
      <c r="AD201" s="89"/>
      <c r="AE201" s="18" t="s">
        <v>92</v>
      </c>
      <c r="AF201" s="18"/>
      <c r="AG201" s="18"/>
      <c r="AH201" s="18"/>
      <c r="AI201" s="18"/>
      <c r="AJ201" s="18"/>
      <c r="AK201" s="18"/>
      <c r="AL201" s="18"/>
      <c r="AM201" s="18"/>
    </row>
    <row r="202">
      <c r="A202" s="11"/>
      <c r="B202" s="12" t="s">
        <v>34</v>
      </c>
      <c r="C202" s="12" t="s">
        <v>65</v>
      </c>
      <c r="D202" s="12" t="s">
        <v>102</v>
      </c>
      <c r="E202" s="12" t="s">
        <v>142</v>
      </c>
      <c r="F202" s="13" t="s">
        <v>143</v>
      </c>
      <c r="G202" s="12" t="s">
        <v>68</v>
      </c>
      <c r="H202" s="12" t="s">
        <v>144</v>
      </c>
      <c r="I202" s="12" t="s">
        <v>145</v>
      </c>
      <c r="J202" s="17" t="s">
        <v>108</v>
      </c>
      <c r="K202" s="17" t="s">
        <v>109</v>
      </c>
      <c r="L202" s="17" t="s">
        <v>1646</v>
      </c>
      <c r="M202" s="19">
        <v>45973.0</v>
      </c>
      <c r="N202" s="17" t="s">
        <v>428</v>
      </c>
      <c r="O202" s="88" t="s">
        <v>1519</v>
      </c>
      <c r="P202" s="88" t="s">
        <v>1519</v>
      </c>
      <c r="Q202" s="88" t="s">
        <v>1519</v>
      </c>
      <c r="R202" s="88" t="s">
        <v>1519</v>
      </c>
      <c r="S202" s="88" t="s">
        <v>1519</v>
      </c>
      <c r="T202" s="88" t="s">
        <v>1519</v>
      </c>
      <c r="U202" s="88" t="s">
        <v>1519</v>
      </c>
      <c r="V202" s="88" t="s">
        <v>1519</v>
      </c>
      <c r="W202" s="88" t="s">
        <v>1519</v>
      </c>
      <c r="X202" s="88" t="s">
        <v>1519</v>
      </c>
      <c r="Y202" s="88" t="s">
        <v>1519</v>
      </c>
      <c r="Z202" s="88" t="s">
        <v>1519</v>
      </c>
      <c r="AA202" s="88" t="s">
        <v>1519</v>
      </c>
      <c r="AB202" s="88" t="s">
        <v>1519</v>
      </c>
      <c r="AC202" s="88" t="s">
        <v>1519</v>
      </c>
      <c r="AD202" s="89"/>
      <c r="AE202" s="18" t="s">
        <v>92</v>
      </c>
      <c r="AF202" s="18"/>
      <c r="AG202" s="18"/>
      <c r="AH202" s="18"/>
      <c r="AI202" s="18"/>
      <c r="AJ202" s="18"/>
      <c r="AK202" s="18"/>
      <c r="AL202" s="18"/>
      <c r="AM202" s="18"/>
    </row>
    <row r="203">
      <c r="A203" s="11"/>
      <c r="B203" s="12" t="s">
        <v>34</v>
      </c>
      <c r="C203" s="12" t="s">
        <v>65</v>
      </c>
      <c r="D203" s="12" t="s">
        <v>102</v>
      </c>
      <c r="E203" s="12" t="s">
        <v>142</v>
      </c>
      <c r="F203" s="13" t="s">
        <v>143</v>
      </c>
      <c r="G203" s="12" t="s">
        <v>68</v>
      </c>
      <c r="H203" s="12" t="s">
        <v>144</v>
      </c>
      <c r="I203" s="12" t="s">
        <v>145</v>
      </c>
      <c r="J203" s="17" t="s">
        <v>108</v>
      </c>
      <c r="K203" s="17" t="s">
        <v>109</v>
      </c>
      <c r="L203" s="17" t="s">
        <v>1647</v>
      </c>
      <c r="M203" s="19">
        <v>45973.0</v>
      </c>
      <c r="N203" s="17" t="s">
        <v>428</v>
      </c>
      <c r="O203" s="88" t="s">
        <v>1520</v>
      </c>
      <c r="P203" s="88" t="s">
        <v>1519</v>
      </c>
      <c r="Q203" s="88" t="s">
        <v>1519</v>
      </c>
      <c r="R203" s="88" t="s">
        <v>1520</v>
      </c>
      <c r="S203" s="88" t="s">
        <v>1519</v>
      </c>
      <c r="T203" s="88" t="s">
        <v>1520</v>
      </c>
      <c r="U203" s="88" t="s">
        <v>1519</v>
      </c>
      <c r="V203" s="88" t="s">
        <v>1519</v>
      </c>
      <c r="W203" s="88" t="s">
        <v>1520</v>
      </c>
      <c r="X203" s="88" t="s">
        <v>1519</v>
      </c>
      <c r="Y203" s="88" t="s">
        <v>1519</v>
      </c>
      <c r="Z203" s="88" t="s">
        <v>1519</v>
      </c>
      <c r="AA203" s="88" t="s">
        <v>1520</v>
      </c>
      <c r="AB203" s="88" t="s">
        <v>1519</v>
      </c>
      <c r="AC203" s="88" t="s">
        <v>1519</v>
      </c>
      <c r="AD203" s="89"/>
      <c r="AE203" s="18" t="s">
        <v>92</v>
      </c>
      <c r="AF203" s="18"/>
      <c r="AG203" s="18"/>
      <c r="AH203" s="18"/>
      <c r="AI203" s="18"/>
      <c r="AJ203" s="18"/>
      <c r="AK203" s="18"/>
      <c r="AL203" s="18"/>
      <c r="AM203" s="18"/>
    </row>
    <row r="204">
      <c r="A204" s="11"/>
      <c r="B204" s="12" t="s">
        <v>34</v>
      </c>
      <c r="C204" s="12" t="s">
        <v>65</v>
      </c>
      <c r="D204" s="12" t="s">
        <v>102</v>
      </c>
      <c r="E204" s="12" t="s">
        <v>142</v>
      </c>
      <c r="F204" s="13" t="s">
        <v>143</v>
      </c>
      <c r="G204" s="12" t="s">
        <v>68</v>
      </c>
      <c r="H204" s="12" t="s">
        <v>144</v>
      </c>
      <c r="I204" s="12" t="s">
        <v>145</v>
      </c>
      <c r="J204" s="17" t="s">
        <v>108</v>
      </c>
      <c r="K204" s="17" t="s">
        <v>109</v>
      </c>
      <c r="L204" s="17" t="s">
        <v>1649</v>
      </c>
      <c r="M204" s="19">
        <v>45973.0</v>
      </c>
      <c r="N204" s="17" t="s">
        <v>428</v>
      </c>
      <c r="O204" s="88" t="s">
        <v>1520</v>
      </c>
      <c r="P204" s="88" t="s">
        <v>1519</v>
      </c>
      <c r="Q204" s="88" t="s">
        <v>1519</v>
      </c>
      <c r="R204" s="88" t="s">
        <v>1520</v>
      </c>
      <c r="S204" s="88" t="s">
        <v>1519</v>
      </c>
      <c r="T204" s="88" t="s">
        <v>1519</v>
      </c>
      <c r="U204" s="88" t="s">
        <v>1519</v>
      </c>
      <c r="V204" s="88" t="s">
        <v>1519</v>
      </c>
      <c r="W204" s="88" t="s">
        <v>1520</v>
      </c>
      <c r="X204" s="88" t="s">
        <v>1519</v>
      </c>
      <c r="Y204" s="88" t="s">
        <v>1520</v>
      </c>
      <c r="Z204" s="88" t="s">
        <v>1519</v>
      </c>
      <c r="AA204" s="88" t="s">
        <v>1520</v>
      </c>
      <c r="AB204" s="88" t="s">
        <v>1519</v>
      </c>
      <c r="AC204" s="88" t="s">
        <v>1520</v>
      </c>
      <c r="AD204" s="89"/>
      <c r="AE204" s="18" t="s">
        <v>92</v>
      </c>
      <c r="AF204" s="18"/>
      <c r="AG204" s="18"/>
      <c r="AH204" s="18"/>
      <c r="AI204" s="18"/>
      <c r="AJ204" s="18"/>
      <c r="AK204" s="18"/>
      <c r="AL204" s="18"/>
      <c r="AM204" s="18"/>
    </row>
    <row r="205">
      <c r="A205" s="11"/>
      <c r="B205" s="12" t="s">
        <v>34</v>
      </c>
      <c r="C205" s="12" t="s">
        <v>65</v>
      </c>
      <c r="D205" s="12" t="s">
        <v>102</v>
      </c>
      <c r="E205" s="12" t="s">
        <v>142</v>
      </c>
      <c r="F205" s="13" t="s">
        <v>143</v>
      </c>
      <c r="G205" s="12" t="s">
        <v>68</v>
      </c>
      <c r="H205" s="12" t="s">
        <v>144</v>
      </c>
      <c r="I205" s="12" t="s">
        <v>145</v>
      </c>
      <c r="J205" s="17" t="s">
        <v>108</v>
      </c>
      <c r="K205" s="17" t="s">
        <v>109</v>
      </c>
      <c r="L205" s="17" t="s">
        <v>1650</v>
      </c>
      <c r="M205" s="19">
        <v>45973.0</v>
      </c>
      <c r="N205" s="17" t="s">
        <v>428</v>
      </c>
      <c r="O205" s="88" t="s">
        <v>1519</v>
      </c>
      <c r="P205" s="88" t="s">
        <v>1519</v>
      </c>
      <c r="Q205" s="88" t="s">
        <v>1519</v>
      </c>
      <c r="R205" s="88" t="s">
        <v>1519</v>
      </c>
      <c r="S205" s="88" t="s">
        <v>1519</v>
      </c>
      <c r="T205" s="88" t="s">
        <v>1519</v>
      </c>
      <c r="U205" s="88" t="s">
        <v>1520</v>
      </c>
      <c r="V205" s="88" t="s">
        <v>1519</v>
      </c>
      <c r="W205" s="88" t="s">
        <v>1519</v>
      </c>
      <c r="X205" s="88" t="s">
        <v>1519</v>
      </c>
      <c r="Y205" s="88" t="s">
        <v>1519</v>
      </c>
      <c r="Z205" s="88" t="s">
        <v>1519</v>
      </c>
      <c r="AA205" s="88" t="s">
        <v>1519</v>
      </c>
      <c r="AB205" s="88" t="s">
        <v>1520</v>
      </c>
      <c r="AC205" s="88" t="s">
        <v>1519</v>
      </c>
      <c r="AD205" s="89"/>
      <c r="AE205" s="18" t="s">
        <v>92</v>
      </c>
      <c r="AF205" s="18"/>
      <c r="AG205" s="18"/>
      <c r="AH205" s="18"/>
      <c r="AI205" s="18"/>
      <c r="AJ205" s="18"/>
      <c r="AK205" s="18"/>
      <c r="AL205" s="18"/>
      <c r="AM205" s="18"/>
    </row>
    <row r="206">
      <c r="A206" s="11"/>
      <c r="B206" s="12" t="s">
        <v>34</v>
      </c>
      <c r="C206" s="12" t="s">
        <v>65</v>
      </c>
      <c r="D206" s="12" t="s">
        <v>102</v>
      </c>
      <c r="E206" s="12" t="s">
        <v>142</v>
      </c>
      <c r="F206" s="13" t="s">
        <v>143</v>
      </c>
      <c r="G206" s="12" t="s">
        <v>68</v>
      </c>
      <c r="H206" s="12" t="s">
        <v>144</v>
      </c>
      <c r="I206" s="12" t="s">
        <v>145</v>
      </c>
      <c r="J206" s="17" t="s">
        <v>108</v>
      </c>
      <c r="K206" s="17" t="s">
        <v>109</v>
      </c>
      <c r="L206" s="17" t="s">
        <v>1651</v>
      </c>
      <c r="M206" s="19">
        <v>45973.0</v>
      </c>
      <c r="N206" s="17" t="s">
        <v>428</v>
      </c>
      <c r="O206" s="88" t="s">
        <v>1520</v>
      </c>
      <c r="P206" s="88" t="s">
        <v>1519</v>
      </c>
      <c r="Q206" s="88" t="s">
        <v>1519</v>
      </c>
      <c r="R206" s="88" t="s">
        <v>1519</v>
      </c>
      <c r="S206" s="88" t="s">
        <v>1519</v>
      </c>
      <c r="T206" s="88" t="s">
        <v>1519</v>
      </c>
      <c r="U206" s="88" t="s">
        <v>1519</v>
      </c>
      <c r="V206" s="88" t="s">
        <v>1520</v>
      </c>
      <c r="W206" s="88" t="s">
        <v>1519</v>
      </c>
      <c r="X206" s="88" t="s">
        <v>1519</v>
      </c>
      <c r="Y206" s="88" t="s">
        <v>1519</v>
      </c>
      <c r="Z206" s="88" t="s">
        <v>1519</v>
      </c>
      <c r="AA206" s="88" t="s">
        <v>1519</v>
      </c>
      <c r="AB206" s="88" t="s">
        <v>1519</v>
      </c>
      <c r="AC206" s="88" t="s">
        <v>1520</v>
      </c>
      <c r="AD206" s="89"/>
      <c r="AE206" s="18" t="s">
        <v>92</v>
      </c>
      <c r="AF206" s="18"/>
      <c r="AG206" s="18"/>
      <c r="AH206" s="18"/>
      <c r="AI206" s="18"/>
      <c r="AJ206" s="18"/>
      <c r="AK206" s="18"/>
      <c r="AL206" s="18"/>
      <c r="AM206" s="18"/>
    </row>
    <row r="207">
      <c r="A207" s="11"/>
      <c r="B207" s="12" t="s">
        <v>34</v>
      </c>
      <c r="C207" s="12" t="s">
        <v>65</v>
      </c>
      <c r="D207" s="12" t="s">
        <v>102</v>
      </c>
      <c r="E207" s="12" t="s">
        <v>142</v>
      </c>
      <c r="F207" s="13" t="s">
        <v>143</v>
      </c>
      <c r="G207" s="12" t="s">
        <v>68</v>
      </c>
      <c r="H207" s="12" t="s">
        <v>144</v>
      </c>
      <c r="I207" s="12" t="s">
        <v>145</v>
      </c>
      <c r="J207" s="17" t="s">
        <v>108</v>
      </c>
      <c r="K207" s="17" t="s">
        <v>109</v>
      </c>
      <c r="L207" s="17" t="s">
        <v>1678</v>
      </c>
      <c r="M207" s="19">
        <v>45973.0</v>
      </c>
      <c r="N207" s="17" t="s">
        <v>428</v>
      </c>
      <c r="O207" s="88" t="s">
        <v>1520</v>
      </c>
      <c r="P207" s="88" t="s">
        <v>1519</v>
      </c>
      <c r="Q207" s="88" t="s">
        <v>1519</v>
      </c>
      <c r="R207" s="88" t="s">
        <v>1520</v>
      </c>
      <c r="S207" s="88" t="s">
        <v>1519</v>
      </c>
      <c r="T207" s="88" t="s">
        <v>1519</v>
      </c>
      <c r="U207" s="88" t="s">
        <v>1519</v>
      </c>
      <c r="V207" s="88" t="s">
        <v>1520</v>
      </c>
      <c r="W207" s="88" t="s">
        <v>1519</v>
      </c>
      <c r="X207" s="88" t="s">
        <v>1519</v>
      </c>
      <c r="Y207" s="88" t="s">
        <v>1519</v>
      </c>
      <c r="Z207" s="88" t="s">
        <v>1519</v>
      </c>
      <c r="AA207" s="88" t="s">
        <v>1519</v>
      </c>
      <c r="AB207" s="88" t="s">
        <v>1519</v>
      </c>
      <c r="AC207" s="88" t="s">
        <v>1520</v>
      </c>
      <c r="AD207" s="89"/>
      <c r="AE207" s="18" t="s">
        <v>92</v>
      </c>
      <c r="AF207" s="18"/>
      <c r="AG207" s="18"/>
      <c r="AH207" s="18"/>
      <c r="AI207" s="18"/>
      <c r="AJ207" s="18"/>
      <c r="AK207" s="18"/>
      <c r="AL207" s="18"/>
      <c r="AM207" s="18"/>
    </row>
    <row r="208">
      <c r="A208" s="11"/>
      <c r="B208" s="12" t="s">
        <v>34</v>
      </c>
      <c r="C208" s="12" t="s">
        <v>65</v>
      </c>
      <c r="D208" s="12" t="s">
        <v>102</v>
      </c>
      <c r="E208" s="12" t="s">
        <v>142</v>
      </c>
      <c r="F208" s="13" t="s">
        <v>143</v>
      </c>
      <c r="G208" s="12" t="s">
        <v>68</v>
      </c>
      <c r="H208" s="12" t="s">
        <v>144</v>
      </c>
      <c r="I208" s="12" t="s">
        <v>145</v>
      </c>
      <c r="J208" s="17" t="s">
        <v>108</v>
      </c>
      <c r="K208" s="17" t="s">
        <v>109</v>
      </c>
      <c r="L208" s="17" t="s">
        <v>1679</v>
      </c>
      <c r="M208" s="19">
        <v>45973.0</v>
      </c>
      <c r="N208" s="17" t="s">
        <v>428</v>
      </c>
      <c r="O208" s="88" t="s">
        <v>1520</v>
      </c>
      <c r="P208" s="88" t="s">
        <v>1519</v>
      </c>
      <c r="Q208" s="88" t="s">
        <v>1519</v>
      </c>
      <c r="R208" s="88" t="s">
        <v>1520</v>
      </c>
      <c r="S208" s="88" t="s">
        <v>1519</v>
      </c>
      <c r="T208" s="88" t="s">
        <v>1520</v>
      </c>
      <c r="U208" s="88" t="s">
        <v>1519</v>
      </c>
      <c r="V208" s="88" t="s">
        <v>1520</v>
      </c>
      <c r="W208" s="88" t="s">
        <v>1519</v>
      </c>
      <c r="X208" s="88" t="s">
        <v>1519</v>
      </c>
      <c r="Y208" s="88" t="s">
        <v>1519</v>
      </c>
      <c r="Z208" s="88" t="s">
        <v>1519</v>
      </c>
      <c r="AA208" s="88" t="s">
        <v>1519</v>
      </c>
      <c r="AB208" s="88" t="s">
        <v>1519</v>
      </c>
      <c r="AC208" s="88" t="s">
        <v>1520</v>
      </c>
      <c r="AD208" s="89"/>
      <c r="AE208" s="18" t="s">
        <v>92</v>
      </c>
      <c r="AF208" s="18"/>
      <c r="AG208" s="18"/>
      <c r="AH208" s="18"/>
      <c r="AI208" s="18"/>
      <c r="AJ208" s="18"/>
      <c r="AK208" s="18"/>
      <c r="AL208" s="18"/>
      <c r="AM208" s="18"/>
    </row>
    <row r="209">
      <c r="A209" s="11"/>
      <c r="B209" s="12" t="s">
        <v>34</v>
      </c>
      <c r="C209" s="12" t="s">
        <v>65</v>
      </c>
      <c r="D209" s="12" t="s">
        <v>102</v>
      </c>
      <c r="E209" s="12" t="s">
        <v>142</v>
      </c>
      <c r="F209" s="13" t="s">
        <v>143</v>
      </c>
      <c r="G209" s="12" t="s">
        <v>68</v>
      </c>
      <c r="H209" s="12" t="s">
        <v>144</v>
      </c>
      <c r="I209" s="12" t="s">
        <v>145</v>
      </c>
      <c r="J209" s="17" t="s">
        <v>108</v>
      </c>
      <c r="K209" s="17" t="s">
        <v>109</v>
      </c>
      <c r="L209" s="17" t="s">
        <v>1680</v>
      </c>
      <c r="M209" s="19">
        <v>45973.0</v>
      </c>
      <c r="N209" s="17" t="s">
        <v>428</v>
      </c>
      <c r="O209" s="88" t="s">
        <v>1519</v>
      </c>
      <c r="P209" s="88" t="s">
        <v>1519</v>
      </c>
      <c r="Q209" s="88" t="s">
        <v>1519</v>
      </c>
      <c r="R209" s="88" t="s">
        <v>1519</v>
      </c>
      <c r="S209" s="88" t="s">
        <v>1519</v>
      </c>
      <c r="T209" s="88" t="s">
        <v>1520</v>
      </c>
      <c r="U209" s="88" t="s">
        <v>1519</v>
      </c>
      <c r="V209" s="88" t="s">
        <v>1519</v>
      </c>
      <c r="W209" s="88" t="s">
        <v>1519</v>
      </c>
      <c r="X209" s="88" t="s">
        <v>1519</v>
      </c>
      <c r="Y209" s="88" t="s">
        <v>1519</v>
      </c>
      <c r="Z209" s="88" t="s">
        <v>1519</v>
      </c>
      <c r="AA209" s="88" t="s">
        <v>1519</v>
      </c>
      <c r="AB209" s="88" t="s">
        <v>1519</v>
      </c>
      <c r="AC209" s="88" t="s">
        <v>1519</v>
      </c>
      <c r="AD209" s="89"/>
      <c r="AE209" s="18" t="s">
        <v>92</v>
      </c>
      <c r="AF209" s="18"/>
      <c r="AG209" s="18"/>
      <c r="AH209" s="18"/>
      <c r="AI209" s="18"/>
      <c r="AJ209" s="18"/>
      <c r="AK209" s="18"/>
      <c r="AL209" s="18"/>
      <c r="AM209" s="18"/>
    </row>
    <row r="210">
      <c r="A210" s="11"/>
      <c r="B210" s="12" t="s">
        <v>34</v>
      </c>
      <c r="C210" s="12" t="s">
        <v>65</v>
      </c>
      <c r="D210" s="12" t="s">
        <v>102</v>
      </c>
      <c r="E210" s="12" t="s">
        <v>142</v>
      </c>
      <c r="F210" s="13" t="s">
        <v>143</v>
      </c>
      <c r="G210" s="12" t="s">
        <v>68</v>
      </c>
      <c r="H210" s="12" t="s">
        <v>144</v>
      </c>
      <c r="I210" s="12" t="s">
        <v>145</v>
      </c>
      <c r="J210" s="17" t="s">
        <v>108</v>
      </c>
      <c r="K210" s="17" t="s">
        <v>109</v>
      </c>
      <c r="L210" s="17" t="s">
        <v>1652</v>
      </c>
      <c r="M210" s="19">
        <v>45973.0</v>
      </c>
      <c r="N210" s="17" t="s">
        <v>428</v>
      </c>
      <c r="O210" s="88" t="s">
        <v>1519</v>
      </c>
      <c r="P210" s="88" t="s">
        <v>1519</v>
      </c>
      <c r="Q210" s="88" t="s">
        <v>1520</v>
      </c>
      <c r="R210" s="88" t="s">
        <v>1519</v>
      </c>
      <c r="S210" s="88" t="s">
        <v>1519</v>
      </c>
      <c r="T210" s="88" t="s">
        <v>1520</v>
      </c>
      <c r="U210" s="88" t="s">
        <v>1519</v>
      </c>
      <c r="V210" s="88" t="s">
        <v>1519</v>
      </c>
      <c r="W210" s="88" t="s">
        <v>1520</v>
      </c>
      <c r="X210" s="88" t="s">
        <v>1519</v>
      </c>
      <c r="Y210" s="88" t="s">
        <v>1519</v>
      </c>
      <c r="Z210" s="88" t="s">
        <v>1519</v>
      </c>
      <c r="AA210" s="88" t="s">
        <v>1520</v>
      </c>
      <c r="AB210" s="88" t="s">
        <v>1520</v>
      </c>
      <c r="AC210" s="88" t="s">
        <v>1520</v>
      </c>
      <c r="AD210" s="89"/>
      <c r="AE210" s="18" t="s">
        <v>92</v>
      </c>
      <c r="AF210" s="18"/>
      <c r="AG210" s="18"/>
      <c r="AH210" s="18"/>
      <c r="AI210" s="18"/>
      <c r="AJ210" s="18"/>
      <c r="AK210" s="18"/>
      <c r="AL210" s="18"/>
      <c r="AM210" s="18"/>
    </row>
    <row r="211">
      <c r="A211" s="11"/>
      <c r="B211" s="12" t="s">
        <v>34</v>
      </c>
      <c r="C211" s="12" t="s">
        <v>65</v>
      </c>
      <c r="D211" s="12" t="s">
        <v>102</v>
      </c>
      <c r="E211" s="12" t="s">
        <v>142</v>
      </c>
      <c r="F211" s="13" t="s">
        <v>143</v>
      </c>
      <c r="G211" s="12" t="s">
        <v>68</v>
      </c>
      <c r="H211" s="12" t="s">
        <v>144</v>
      </c>
      <c r="I211" s="12" t="s">
        <v>145</v>
      </c>
      <c r="J211" s="17" t="s">
        <v>108</v>
      </c>
      <c r="K211" s="17" t="s">
        <v>109</v>
      </c>
      <c r="L211" s="17" t="s">
        <v>1653</v>
      </c>
      <c r="M211" s="19">
        <v>45973.0</v>
      </c>
      <c r="N211" s="17" t="s">
        <v>428</v>
      </c>
      <c r="O211" s="88" t="s">
        <v>1519</v>
      </c>
      <c r="P211" s="88" t="s">
        <v>1519</v>
      </c>
      <c r="Q211" s="88" t="s">
        <v>1520</v>
      </c>
      <c r="R211" s="88" t="s">
        <v>1520</v>
      </c>
      <c r="S211" s="88" t="s">
        <v>1519</v>
      </c>
      <c r="T211" s="88" t="s">
        <v>1519</v>
      </c>
      <c r="U211" s="88" t="s">
        <v>1519</v>
      </c>
      <c r="V211" s="88" t="s">
        <v>1520</v>
      </c>
      <c r="W211" s="88" t="s">
        <v>1519</v>
      </c>
      <c r="X211" s="88" t="s">
        <v>1519</v>
      </c>
      <c r="Y211" s="88" t="s">
        <v>1519</v>
      </c>
      <c r="Z211" s="88" t="s">
        <v>1519</v>
      </c>
      <c r="AA211" s="88" t="s">
        <v>1519</v>
      </c>
      <c r="AB211" s="88" t="s">
        <v>1520</v>
      </c>
      <c r="AC211" s="88" t="s">
        <v>1520</v>
      </c>
      <c r="AD211" s="89"/>
      <c r="AE211" s="18" t="s">
        <v>92</v>
      </c>
      <c r="AF211" s="18"/>
      <c r="AG211" s="18"/>
      <c r="AH211" s="18"/>
      <c r="AI211" s="18"/>
      <c r="AJ211" s="18"/>
      <c r="AK211" s="18"/>
      <c r="AL211" s="18"/>
      <c r="AM211" s="18"/>
    </row>
    <row r="212">
      <c r="A212" s="11"/>
      <c r="B212" s="12" t="s">
        <v>34</v>
      </c>
      <c r="C212" s="12" t="s">
        <v>65</v>
      </c>
      <c r="D212" s="12" t="s">
        <v>102</v>
      </c>
      <c r="E212" s="12" t="s">
        <v>142</v>
      </c>
      <c r="F212" s="13" t="s">
        <v>143</v>
      </c>
      <c r="G212" s="12" t="s">
        <v>68</v>
      </c>
      <c r="H212" s="12" t="s">
        <v>144</v>
      </c>
      <c r="I212" s="12" t="s">
        <v>145</v>
      </c>
      <c r="J212" s="17" t="s">
        <v>108</v>
      </c>
      <c r="K212" s="17" t="s">
        <v>109</v>
      </c>
      <c r="L212" s="17" t="s">
        <v>1654</v>
      </c>
      <c r="M212" s="19">
        <v>45973.0</v>
      </c>
      <c r="N212" s="17" t="s">
        <v>428</v>
      </c>
      <c r="O212" s="88" t="s">
        <v>1519</v>
      </c>
      <c r="P212" s="88" t="s">
        <v>1519</v>
      </c>
      <c r="Q212" s="88" t="s">
        <v>1520</v>
      </c>
      <c r="R212" s="88" t="s">
        <v>1520</v>
      </c>
      <c r="S212" s="88" t="s">
        <v>1519</v>
      </c>
      <c r="T212" s="88" t="s">
        <v>1520</v>
      </c>
      <c r="U212" s="88" t="s">
        <v>1520</v>
      </c>
      <c r="V212" s="88" t="s">
        <v>1519</v>
      </c>
      <c r="W212" s="88" t="s">
        <v>1519</v>
      </c>
      <c r="X212" s="88" t="s">
        <v>1519</v>
      </c>
      <c r="Y212" s="88" t="s">
        <v>1519</v>
      </c>
      <c r="Z212" s="88" t="s">
        <v>1519</v>
      </c>
      <c r="AA212" s="88" t="s">
        <v>1519</v>
      </c>
      <c r="AB212" s="88" t="s">
        <v>1519</v>
      </c>
      <c r="AC212" s="88" t="s">
        <v>1519</v>
      </c>
      <c r="AD212" s="89"/>
      <c r="AE212" s="18" t="s">
        <v>92</v>
      </c>
      <c r="AF212" s="18"/>
      <c r="AG212" s="18"/>
      <c r="AH212" s="18"/>
      <c r="AI212" s="18"/>
      <c r="AJ212" s="18"/>
      <c r="AK212" s="18"/>
      <c r="AL212" s="18"/>
      <c r="AM212" s="18"/>
    </row>
    <row r="213">
      <c r="A213" s="11"/>
      <c r="B213" s="12" t="s">
        <v>34</v>
      </c>
      <c r="C213" s="12" t="s">
        <v>65</v>
      </c>
      <c r="D213" s="12" t="s">
        <v>102</v>
      </c>
      <c r="E213" s="12" t="s">
        <v>142</v>
      </c>
      <c r="F213" s="13" t="s">
        <v>143</v>
      </c>
      <c r="G213" s="12" t="s">
        <v>68</v>
      </c>
      <c r="H213" s="12" t="s">
        <v>144</v>
      </c>
      <c r="I213" s="12" t="s">
        <v>145</v>
      </c>
      <c r="J213" s="17" t="s">
        <v>108</v>
      </c>
      <c r="K213" s="17" t="s">
        <v>109</v>
      </c>
      <c r="L213" s="17" t="s">
        <v>1655</v>
      </c>
      <c r="M213" s="19">
        <v>45973.0</v>
      </c>
      <c r="N213" s="17" t="s">
        <v>428</v>
      </c>
      <c r="O213" s="88" t="s">
        <v>1519</v>
      </c>
      <c r="P213" s="88" t="s">
        <v>1519</v>
      </c>
      <c r="Q213" s="88" t="s">
        <v>1520</v>
      </c>
      <c r="R213" s="88" t="s">
        <v>1520</v>
      </c>
      <c r="S213" s="88" t="s">
        <v>1519</v>
      </c>
      <c r="T213" s="88" t="s">
        <v>1519</v>
      </c>
      <c r="U213" s="88" t="s">
        <v>1519</v>
      </c>
      <c r="V213" s="88" t="s">
        <v>1519</v>
      </c>
      <c r="W213" s="88" t="s">
        <v>1519</v>
      </c>
      <c r="X213" s="88" t="s">
        <v>1519</v>
      </c>
      <c r="Y213" s="88" t="s">
        <v>1519</v>
      </c>
      <c r="Z213" s="88" t="s">
        <v>1519</v>
      </c>
      <c r="AA213" s="88" t="s">
        <v>1520</v>
      </c>
      <c r="AB213" s="88" t="s">
        <v>1519</v>
      </c>
      <c r="AC213" s="88" t="s">
        <v>1520</v>
      </c>
      <c r="AD213" s="89"/>
      <c r="AE213" s="18" t="s">
        <v>92</v>
      </c>
      <c r="AF213" s="18"/>
      <c r="AG213" s="18"/>
      <c r="AH213" s="18"/>
      <c r="AI213" s="18"/>
      <c r="AJ213" s="18"/>
      <c r="AK213" s="18"/>
      <c r="AL213" s="18"/>
      <c r="AM213" s="18"/>
    </row>
    <row r="214">
      <c r="A214" s="11"/>
      <c r="B214" s="12" t="s">
        <v>34</v>
      </c>
      <c r="C214" s="12" t="s">
        <v>65</v>
      </c>
      <c r="D214" s="12" t="s">
        <v>102</v>
      </c>
      <c r="E214" s="12" t="s">
        <v>142</v>
      </c>
      <c r="F214" s="13" t="s">
        <v>143</v>
      </c>
      <c r="G214" s="12" t="s">
        <v>68</v>
      </c>
      <c r="H214" s="12" t="s">
        <v>144</v>
      </c>
      <c r="I214" s="12" t="s">
        <v>145</v>
      </c>
      <c r="J214" s="17" t="s">
        <v>108</v>
      </c>
      <c r="K214" s="17" t="s">
        <v>109</v>
      </c>
      <c r="L214" s="17" t="s">
        <v>1656</v>
      </c>
      <c r="M214" s="19">
        <v>45973.0</v>
      </c>
      <c r="N214" s="17" t="s">
        <v>428</v>
      </c>
      <c r="O214" s="88" t="s">
        <v>1519</v>
      </c>
      <c r="P214" s="88" t="s">
        <v>1519</v>
      </c>
      <c r="Q214" s="88" t="s">
        <v>1519</v>
      </c>
      <c r="R214" s="88" t="s">
        <v>1520</v>
      </c>
      <c r="S214" s="88" t="s">
        <v>1519</v>
      </c>
      <c r="T214" s="88" t="s">
        <v>1519</v>
      </c>
      <c r="U214" s="88" t="s">
        <v>1520</v>
      </c>
      <c r="V214" s="88" t="s">
        <v>1519</v>
      </c>
      <c r="W214" s="88" t="s">
        <v>1519</v>
      </c>
      <c r="X214" s="88" t="s">
        <v>1519</v>
      </c>
      <c r="Y214" s="88" t="s">
        <v>1519</v>
      </c>
      <c r="Z214" s="88" t="s">
        <v>1519</v>
      </c>
      <c r="AA214" s="88" t="s">
        <v>1520</v>
      </c>
      <c r="AB214" s="88" t="s">
        <v>1519</v>
      </c>
      <c r="AC214" s="88" t="s">
        <v>1519</v>
      </c>
      <c r="AD214" s="89"/>
      <c r="AE214" s="18" t="s">
        <v>92</v>
      </c>
      <c r="AF214" s="18"/>
      <c r="AG214" s="18"/>
      <c r="AH214" s="18"/>
      <c r="AI214" s="18"/>
      <c r="AJ214" s="18"/>
      <c r="AK214" s="18"/>
      <c r="AL214" s="18"/>
      <c r="AM214" s="18"/>
    </row>
    <row r="215">
      <c r="A215" s="11"/>
      <c r="B215" s="12" t="s">
        <v>34</v>
      </c>
      <c r="C215" s="12" t="s">
        <v>65</v>
      </c>
      <c r="D215" s="12" t="s">
        <v>102</v>
      </c>
      <c r="E215" s="12" t="s">
        <v>142</v>
      </c>
      <c r="F215" s="13" t="s">
        <v>143</v>
      </c>
      <c r="G215" s="12" t="s">
        <v>68</v>
      </c>
      <c r="H215" s="12" t="s">
        <v>144</v>
      </c>
      <c r="I215" s="12" t="s">
        <v>145</v>
      </c>
      <c r="J215" s="17" t="s">
        <v>108</v>
      </c>
      <c r="K215" s="17" t="s">
        <v>109</v>
      </c>
      <c r="L215" s="17" t="s">
        <v>1657</v>
      </c>
      <c r="M215" s="19">
        <v>45973.0</v>
      </c>
      <c r="N215" s="17" t="s">
        <v>428</v>
      </c>
      <c r="O215" s="88" t="s">
        <v>1519</v>
      </c>
      <c r="P215" s="88" t="s">
        <v>1519</v>
      </c>
      <c r="Q215" s="88" t="s">
        <v>1519</v>
      </c>
      <c r="R215" s="88" t="s">
        <v>1520</v>
      </c>
      <c r="S215" s="88" t="s">
        <v>1519</v>
      </c>
      <c r="T215" s="88" t="s">
        <v>1519</v>
      </c>
      <c r="U215" s="88" t="s">
        <v>1519</v>
      </c>
      <c r="V215" s="88" t="s">
        <v>1519</v>
      </c>
      <c r="W215" s="88" t="s">
        <v>1520</v>
      </c>
      <c r="X215" s="88" t="s">
        <v>1519</v>
      </c>
      <c r="Y215" s="88" t="s">
        <v>1519</v>
      </c>
      <c r="Z215" s="88" t="s">
        <v>1519</v>
      </c>
      <c r="AA215" s="88" t="s">
        <v>1520</v>
      </c>
      <c r="AB215" s="88" t="s">
        <v>1519</v>
      </c>
      <c r="AC215" s="88" t="s">
        <v>1519</v>
      </c>
      <c r="AD215" s="89"/>
      <c r="AE215" s="18" t="s">
        <v>92</v>
      </c>
      <c r="AF215" s="18"/>
      <c r="AG215" s="18"/>
      <c r="AH215" s="18"/>
      <c r="AI215" s="18"/>
      <c r="AJ215" s="18"/>
      <c r="AK215" s="18"/>
      <c r="AL215" s="18"/>
      <c r="AM215" s="18"/>
    </row>
    <row r="216">
      <c r="A216" s="11"/>
      <c r="B216" s="12" t="s">
        <v>34</v>
      </c>
      <c r="C216" s="12" t="s">
        <v>65</v>
      </c>
      <c r="D216" s="12" t="s">
        <v>102</v>
      </c>
      <c r="E216" s="12" t="s">
        <v>142</v>
      </c>
      <c r="F216" s="13" t="s">
        <v>143</v>
      </c>
      <c r="G216" s="12" t="s">
        <v>68</v>
      </c>
      <c r="H216" s="12" t="s">
        <v>144</v>
      </c>
      <c r="I216" s="12" t="s">
        <v>145</v>
      </c>
      <c r="J216" s="17" t="s">
        <v>108</v>
      </c>
      <c r="K216" s="17" t="s">
        <v>109</v>
      </c>
      <c r="L216" s="17" t="s">
        <v>1648</v>
      </c>
      <c r="M216" s="19">
        <v>45973.0</v>
      </c>
      <c r="N216" s="17" t="s">
        <v>428</v>
      </c>
      <c r="O216" s="88" t="s">
        <v>1519</v>
      </c>
      <c r="P216" s="88" t="s">
        <v>1519</v>
      </c>
      <c r="Q216" s="88" t="s">
        <v>1519</v>
      </c>
      <c r="R216" s="88" t="s">
        <v>1519</v>
      </c>
      <c r="S216" s="88" t="s">
        <v>1519</v>
      </c>
      <c r="T216" s="88" t="s">
        <v>1519</v>
      </c>
      <c r="U216" s="88" t="s">
        <v>1520</v>
      </c>
      <c r="V216" s="88" t="s">
        <v>1519</v>
      </c>
      <c r="W216" s="88" t="s">
        <v>1519</v>
      </c>
      <c r="X216" s="88" t="s">
        <v>1519</v>
      </c>
      <c r="Y216" s="88" t="s">
        <v>1519</v>
      </c>
      <c r="Z216" s="88" t="s">
        <v>1519</v>
      </c>
      <c r="AA216" s="88" t="s">
        <v>1519</v>
      </c>
      <c r="AB216" s="88" t="s">
        <v>1519</v>
      </c>
      <c r="AC216" s="88" t="s">
        <v>1519</v>
      </c>
      <c r="AD216" s="89"/>
      <c r="AE216" s="18" t="s">
        <v>92</v>
      </c>
      <c r="AF216" s="18"/>
      <c r="AG216" s="18"/>
      <c r="AH216" s="18"/>
      <c r="AI216" s="18"/>
      <c r="AJ216" s="18"/>
      <c r="AK216" s="18"/>
      <c r="AL216" s="18"/>
      <c r="AM216" s="18"/>
    </row>
    <row r="217">
      <c r="A217" s="11"/>
      <c r="B217" s="12" t="s">
        <v>34</v>
      </c>
      <c r="C217" s="12" t="s">
        <v>65</v>
      </c>
      <c r="D217" s="12" t="s">
        <v>102</v>
      </c>
      <c r="E217" s="12" t="s">
        <v>142</v>
      </c>
      <c r="F217" s="13" t="s">
        <v>143</v>
      </c>
      <c r="G217" s="12" t="s">
        <v>68</v>
      </c>
      <c r="H217" s="12" t="s">
        <v>144</v>
      </c>
      <c r="I217" s="12" t="s">
        <v>145</v>
      </c>
      <c r="J217" s="17" t="s">
        <v>108</v>
      </c>
      <c r="K217" s="17" t="s">
        <v>109</v>
      </c>
      <c r="L217" s="17" t="s">
        <v>1681</v>
      </c>
      <c r="M217" s="19">
        <v>45973.0</v>
      </c>
      <c r="N217" s="17" t="s">
        <v>428</v>
      </c>
      <c r="O217" s="88" t="s">
        <v>1519</v>
      </c>
      <c r="P217" s="88" t="s">
        <v>1519</v>
      </c>
      <c r="Q217" s="88" t="s">
        <v>1519</v>
      </c>
      <c r="R217" s="88" t="s">
        <v>1519</v>
      </c>
      <c r="S217" s="88" t="s">
        <v>1519</v>
      </c>
      <c r="T217" s="88" t="s">
        <v>1519</v>
      </c>
      <c r="U217" s="88" t="s">
        <v>1519</v>
      </c>
      <c r="V217" s="88" t="s">
        <v>1519</v>
      </c>
      <c r="W217" s="88" t="s">
        <v>1519</v>
      </c>
      <c r="X217" s="88" t="s">
        <v>1519</v>
      </c>
      <c r="Y217" s="88" t="s">
        <v>1519</v>
      </c>
      <c r="Z217" s="88" t="s">
        <v>1519</v>
      </c>
      <c r="AA217" s="88" t="s">
        <v>1519</v>
      </c>
      <c r="AB217" s="88" t="s">
        <v>1519</v>
      </c>
      <c r="AC217" s="88" t="s">
        <v>1519</v>
      </c>
      <c r="AD217" s="89"/>
      <c r="AE217" s="18" t="s">
        <v>92</v>
      </c>
      <c r="AF217" s="18"/>
      <c r="AG217" s="18"/>
      <c r="AH217" s="18"/>
      <c r="AI217" s="18"/>
      <c r="AJ217" s="18"/>
      <c r="AK217" s="18"/>
      <c r="AL217" s="18"/>
      <c r="AM217" s="18"/>
    </row>
    <row r="218">
      <c r="A218" s="11"/>
      <c r="B218" s="12" t="s">
        <v>34</v>
      </c>
      <c r="C218" s="12" t="s">
        <v>65</v>
      </c>
      <c r="D218" s="12" t="s">
        <v>102</v>
      </c>
      <c r="E218" s="12" t="s">
        <v>142</v>
      </c>
      <c r="F218" s="13" t="s">
        <v>143</v>
      </c>
      <c r="G218" s="12" t="s">
        <v>68</v>
      </c>
      <c r="H218" s="12" t="s">
        <v>144</v>
      </c>
      <c r="I218" s="12" t="s">
        <v>145</v>
      </c>
      <c r="J218" s="17" t="s">
        <v>108</v>
      </c>
      <c r="K218" s="17" t="s">
        <v>109</v>
      </c>
      <c r="L218" s="17" t="s">
        <v>1682</v>
      </c>
      <c r="M218" s="19">
        <v>45973.0</v>
      </c>
      <c r="N218" s="17" t="s">
        <v>428</v>
      </c>
      <c r="O218" s="88" t="s">
        <v>1519</v>
      </c>
      <c r="P218" s="88" t="s">
        <v>1519</v>
      </c>
      <c r="Q218" s="88" t="s">
        <v>1519</v>
      </c>
      <c r="R218" s="88" t="s">
        <v>1520</v>
      </c>
      <c r="S218" s="88" t="s">
        <v>1519</v>
      </c>
      <c r="T218" s="88" t="s">
        <v>1520</v>
      </c>
      <c r="U218" s="88" t="s">
        <v>1520</v>
      </c>
      <c r="V218" s="88" t="s">
        <v>1520</v>
      </c>
      <c r="W218" s="88" t="s">
        <v>1519</v>
      </c>
      <c r="X218" s="88" t="s">
        <v>1519</v>
      </c>
      <c r="Y218" s="88" t="s">
        <v>1519</v>
      </c>
      <c r="Z218" s="88" t="s">
        <v>1519</v>
      </c>
      <c r="AA218" s="88" t="s">
        <v>1519</v>
      </c>
      <c r="AB218" s="88" t="s">
        <v>1519</v>
      </c>
      <c r="AC218" s="88" t="s">
        <v>1519</v>
      </c>
      <c r="AD218" s="89"/>
      <c r="AE218" s="18" t="s">
        <v>92</v>
      </c>
      <c r="AF218" s="18"/>
      <c r="AG218" s="18"/>
      <c r="AH218" s="18"/>
      <c r="AI218" s="18"/>
      <c r="AJ218" s="18"/>
      <c r="AK218" s="18"/>
      <c r="AL218" s="18"/>
      <c r="AM218" s="18"/>
    </row>
    <row r="219">
      <c r="A219" s="11"/>
      <c r="B219" s="12" t="s">
        <v>34</v>
      </c>
      <c r="C219" s="12" t="s">
        <v>65</v>
      </c>
      <c r="D219" s="12" t="s">
        <v>102</v>
      </c>
      <c r="E219" s="12" t="s">
        <v>142</v>
      </c>
      <c r="F219" s="13" t="s">
        <v>143</v>
      </c>
      <c r="G219" s="12" t="s">
        <v>68</v>
      </c>
      <c r="H219" s="12" t="s">
        <v>144</v>
      </c>
      <c r="I219" s="12" t="s">
        <v>145</v>
      </c>
      <c r="J219" s="17" t="s">
        <v>112</v>
      </c>
      <c r="K219" s="17" t="s">
        <v>113</v>
      </c>
      <c r="L219" s="17" t="s">
        <v>1658</v>
      </c>
      <c r="M219" s="19">
        <v>45973.0</v>
      </c>
      <c r="N219" s="17" t="s">
        <v>428</v>
      </c>
      <c r="O219" s="88" t="s">
        <v>1519</v>
      </c>
      <c r="P219" s="88" t="s">
        <v>1519</v>
      </c>
      <c r="Q219" s="88" t="s">
        <v>1519</v>
      </c>
      <c r="R219" s="88" t="s">
        <v>1519</v>
      </c>
      <c r="S219" s="88" t="s">
        <v>1519</v>
      </c>
      <c r="T219" s="88" t="s">
        <v>1520</v>
      </c>
      <c r="U219" s="88" t="s">
        <v>1519</v>
      </c>
      <c r="V219" s="88" t="s">
        <v>1519</v>
      </c>
      <c r="W219" s="88" t="s">
        <v>1519</v>
      </c>
      <c r="X219" s="88" t="s">
        <v>1519</v>
      </c>
      <c r="Y219" s="88" t="s">
        <v>1520</v>
      </c>
      <c r="Z219" s="88" t="s">
        <v>1519</v>
      </c>
      <c r="AA219" s="88" t="s">
        <v>1520</v>
      </c>
      <c r="AB219" s="88" t="s">
        <v>1520</v>
      </c>
      <c r="AC219" s="88" t="s">
        <v>1520</v>
      </c>
      <c r="AD219" s="89"/>
      <c r="AE219" s="18" t="s">
        <v>92</v>
      </c>
      <c r="AF219" s="18"/>
      <c r="AG219" s="18"/>
      <c r="AH219" s="18"/>
      <c r="AI219" s="18"/>
      <c r="AJ219" s="18"/>
      <c r="AK219" s="18"/>
      <c r="AL219" s="18"/>
      <c r="AM219" s="18"/>
    </row>
    <row r="220">
      <c r="A220" s="11"/>
      <c r="B220" s="12" t="s">
        <v>34</v>
      </c>
      <c r="C220" s="12" t="s">
        <v>65</v>
      </c>
      <c r="D220" s="12" t="s">
        <v>102</v>
      </c>
      <c r="E220" s="12" t="s">
        <v>142</v>
      </c>
      <c r="F220" s="13" t="s">
        <v>143</v>
      </c>
      <c r="G220" s="12" t="s">
        <v>68</v>
      </c>
      <c r="H220" s="12" t="s">
        <v>144</v>
      </c>
      <c r="I220" s="12" t="s">
        <v>145</v>
      </c>
      <c r="J220" s="17" t="s">
        <v>112</v>
      </c>
      <c r="K220" s="17" t="s">
        <v>113</v>
      </c>
      <c r="L220" s="17" t="s">
        <v>1683</v>
      </c>
      <c r="M220" s="19">
        <v>45973.0</v>
      </c>
      <c r="N220" s="17" t="s">
        <v>428</v>
      </c>
      <c r="O220" s="88" t="s">
        <v>1519</v>
      </c>
      <c r="P220" s="88" t="s">
        <v>1519</v>
      </c>
      <c r="Q220" s="88" t="s">
        <v>1519</v>
      </c>
      <c r="R220" s="88" t="s">
        <v>1519</v>
      </c>
      <c r="S220" s="88" t="s">
        <v>1519</v>
      </c>
      <c r="T220" s="88" t="s">
        <v>1519</v>
      </c>
      <c r="U220" s="88" t="s">
        <v>1519</v>
      </c>
      <c r="V220" s="88" t="s">
        <v>1519</v>
      </c>
      <c r="W220" s="88" t="s">
        <v>1519</v>
      </c>
      <c r="X220" s="88" t="s">
        <v>1520</v>
      </c>
      <c r="Y220" s="88" t="s">
        <v>1520</v>
      </c>
      <c r="Z220" s="88" t="s">
        <v>1520</v>
      </c>
      <c r="AA220" s="88" t="s">
        <v>1519</v>
      </c>
      <c r="AB220" s="88" t="s">
        <v>1520</v>
      </c>
      <c r="AC220" s="88" t="s">
        <v>1519</v>
      </c>
      <c r="AD220" s="89"/>
      <c r="AE220" s="18" t="s">
        <v>92</v>
      </c>
      <c r="AF220" s="18"/>
      <c r="AG220" s="18"/>
      <c r="AH220" s="18"/>
      <c r="AI220" s="18"/>
      <c r="AJ220" s="18"/>
      <c r="AK220" s="18"/>
      <c r="AL220" s="18"/>
      <c r="AM220" s="18"/>
    </row>
    <row r="221">
      <c r="A221" s="11"/>
      <c r="B221" s="12" t="s">
        <v>34</v>
      </c>
      <c r="C221" s="12" t="s">
        <v>65</v>
      </c>
      <c r="D221" s="12" t="s">
        <v>102</v>
      </c>
      <c r="E221" s="12" t="s">
        <v>142</v>
      </c>
      <c r="F221" s="13" t="s">
        <v>143</v>
      </c>
      <c r="G221" s="12" t="s">
        <v>68</v>
      </c>
      <c r="H221" s="12" t="s">
        <v>144</v>
      </c>
      <c r="I221" s="12" t="s">
        <v>145</v>
      </c>
      <c r="J221" s="17" t="s">
        <v>112</v>
      </c>
      <c r="K221" s="17" t="s">
        <v>113</v>
      </c>
      <c r="L221" s="17" t="s">
        <v>1684</v>
      </c>
      <c r="M221" s="19">
        <v>45973.0</v>
      </c>
      <c r="N221" s="17" t="s">
        <v>428</v>
      </c>
      <c r="O221" s="88" t="s">
        <v>1519</v>
      </c>
      <c r="P221" s="88" t="s">
        <v>1519</v>
      </c>
      <c r="Q221" s="88" t="s">
        <v>1519</v>
      </c>
      <c r="R221" s="88" t="s">
        <v>1519</v>
      </c>
      <c r="S221" s="88" t="s">
        <v>1519</v>
      </c>
      <c r="T221" s="88" t="s">
        <v>1519</v>
      </c>
      <c r="U221" s="88" t="s">
        <v>1520</v>
      </c>
      <c r="V221" s="88" t="s">
        <v>1520</v>
      </c>
      <c r="W221" s="88" t="s">
        <v>1519</v>
      </c>
      <c r="X221" s="88" t="s">
        <v>1520</v>
      </c>
      <c r="Y221" s="88" t="s">
        <v>1519</v>
      </c>
      <c r="Z221" s="88" t="s">
        <v>1519</v>
      </c>
      <c r="AA221" s="88" t="s">
        <v>1520</v>
      </c>
      <c r="AB221" s="88" t="s">
        <v>1519</v>
      </c>
      <c r="AC221" s="88" t="s">
        <v>1519</v>
      </c>
      <c r="AD221" s="89"/>
      <c r="AE221" s="18" t="s">
        <v>92</v>
      </c>
      <c r="AF221" s="18"/>
      <c r="AG221" s="18"/>
      <c r="AH221" s="18"/>
      <c r="AI221" s="18"/>
      <c r="AJ221" s="18"/>
      <c r="AK221" s="18"/>
      <c r="AL221" s="18"/>
      <c r="AM221" s="18"/>
    </row>
    <row r="222">
      <c r="A222" s="11"/>
      <c r="B222" s="12" t="s">
        <v>34</v>
      </c>
      <c r="C222" s="12" t="s">
        <v>65</v>
      </c>
      <c r="D222" s="12" t="s">
        <v>102</v>
      </c>
      <c r="E222" s="12" t="s">
        <v>142</v>
      </c>
      <c r="F222" s="13" t="s">
        <v>143</v>
      </c>
      <c r="G222" s="12" t="s">
        <v>68</v>
      </c>
      <c r="H222" s="12" t="s">
        <v>144</v>
      </c>
      <c r="I222" s="12" t="s">
        <v>145</v>
      </c>
      <c r="J222" s="17" t="s">
        <v>112</v>
      </c>
      <c r="K222" s="17" t="s">
        <v>113</v>
      </c>
      <c r="L222" s="17" t="s">
        <v>1661</v>
      </c>
      <c r="M222" s="19">
        <v>45973.0</v>
      </c>
      <c r="N222" s="17" t="s">
        <v>428</v>
      </c>
      <c r="O222" s="88" t="s">
        <v>1519</v>
      </c>
      <c r="P222" s="88" t="s">
        <v>1520</v>
      </c>
      <c r="Q222" s="88" t="s">
        <v>1520</v>
      </c>
      <c r="R222" s="88" t="s">
        <v>1519</v>
      </c>
      <c r="S222" s="88" t="s">
        <v>1519</v>
      </c>
      <c r="T222" s="88" t="s">
        <v>1520</v>
      </c>
      <c r="U222" s="88" t="s">
        <v>1519</v>
      </c>
      <c r="V222" s="88" t="s">
        <v>1519</v>
      </c>
      <c r="W222" s="88" t="s">
        <v>1519</v>
      </c>
      <c r="X222" s="88" t="s">
        <v>1519</v>
      </c>
      <c r="Y222" s="88" t="s">
        <v>1520</v>
      </c>
      <c r="Z222" s="88" t="s">
        <v>1520</v>
      </c>
      <c r="AA222" s="88" t="s">
        <v>1519</v>
      </c>
      <c r="AB222" s="88" t="s">
        <v>1519</v>
      </c>
      <c r="AC222" s="88" t="s">
        <v>1519</v>
      </c>
      <c r="AD222" s="89"/>
      <c r="AE222" s="18" t="s">
        <v>92</v>
      </c>
      <c r="AF222" s="18"/>
      <c r="AG222" s="18"/>
      <c r="AH222" s="18"/>
      <c r="AI222" s="18"/>
      <c r="AJ222" s="18"/>
      <c r="AK222" s="18"/>
      <c r="AL222" s="18"/>
      <c r="AM222" s="18"/>
    </row>
    <row r="223">
      <c r="A223" s="11"/>
      <c r="B223" s="12" t="s">
        <v>34</v>
      </c>
      <c r="C223" s="12" t="s">
        <v>65</v>
      </c>
      <c r="D223" s="12" t="s">
        <v>102</v>
      </c>
      <c r="E223" s="12" t="s">
        <v>142</v>
      </c>
      <c r="F223" s="13" t="s">
        <v>143</v>
      </c>
      <c r="G223" s="12" t="s">
        <v>68</v>
      </c>
      <c r="H223" s="12" t="s">
        <v>144</v>
      </c>
      <c r="I223" s="12" t="s">
        <v>145</v>
      </c>
      <c r="J223" s="17" t="s">
        <v>112</v>
      </c>
      <c r="K223" s="17" t="s">
        <v>113</v>
      </c>
      <c r="L223" s="17" t="s">
        <v>1662</v>
      </c>
      <c r="M223" s="19">
        <v>45973.0</v>
      </c>
      <c r="N223" s="17" t="s">
        <v>428</v>
      </c>
      <c r="O223" s="88" t="s">
        <v>1519</v>
      </c>
      <c r="P223" s="88" t="s">
        <v>1519</v>
      </c>
      <c r="Q223" s="88" t="s">
        <v>1520</v>
      </c>
      <c r="R223" s="88" t="s">
        <v>1519</v>
      </c>
      <c r="S223" s="88" t="s">
        <v>1519</v>
      </c>
      <c r="T223" s="88" t="s">
        <v>1519</v>
      </c>
      <c r="U223" s="88" t="s">
        <v>1519</v>
      </c>
      <c r="V223" s="88" t="s">
        <v>1520</v>
      </c>
      <c r="W223" s="88" t="s">
        <v>1519</v>
      </c>
      <c r="X223" s="88" t="s">
        <v>1519</v>
      </c>
      <c r="Y223" s="88" t="s">
        <v>1519</v>
      </c>
      <c r="Z223" s="88" t="s">
        <v>1519</v>
      </c>
      <c r="AA223" s="88" t="s">
        <v>1519</v>
      </c>
      <c r="AB223" s="88" t="s">
        <v>1520</v>
      </c>
      <c r="AC223" s="88" t="s">
        <v>1520</v>
      </c>
      <c r="AD223" s="89"/>
      <c r="AE223" s="18" t="s">
        <v>92</v>
      </c>
      <c r="AF223" s="18"/>
      <c r="AG223" s="18"/>
      <c r="AH223" s="18"/>
      <c r="AI223" s="18"/>
      <c r="AJ223" s="18"/>
      <c r="AK223" s="18"/>
      <c r="AL223" s="18"/>
      <c r="AM223" s="18"/>
    </row>
    <row r="224">
      <c r="A224" s="11"/>
      <c r="B224" s="12" t="s">
        <v>34</v>
      </c>
      <c r="C224" s="12" t="s">
        <v>65</v>
      </c>
      <c r="D224" s="12" t="s">
        <v>102</v>
      </c>
      <c r="E224" s="12" t="s">
        <v>142</v>
      </c>
      <c r="F224" s="13" t="s">
        <v>143</v>
      </c>
      <c r="G224" s="12" t="s">
        <v>68</v>
      </c>
      <c r="H224" s="12" t="s">
        <v>144</v>
      </c>
      <c r="I224" s="12" t="s">
        <v>145</v>
      </c>
      <c r="J224" s="17" t="s">
        <v>112</v>
      </c>
      <c r="K224" s="17" t="s">
        <v>113</v>
      </c>
      <c r="L224" s="17" t="s">
        <v>1685</v>
      </c>
      <c r="M224" s="19">
        <v>45973.0</v>
      </c>
      <c r="N224" s="17" t="s">
        <v>428</v>
      </c>
      <c r="O224" s="88" t="s">
        <v>1520</v>
      </c>
      <c r="P224" s="88" t="s">
        <v>1519</v>
      </c>
      <c r="Q224" s="88" t="s">
        <v>1520</v>
      </c>
      <c r="R224" s="88" t="s">
        <v>1519</v>
      </c>
      <c r="S224" s="88" t="s">
        <v>1519</v>
      </c>
      <c r="T224" s="88" t="s">
        <v>1520</v>
      </c>
      <c r="U224" s="88" t="s">
        <v>1520</v>
      </c>
      <c r="V224" s="88" t="s">
        <v>1520</v>
      </c>
      <c r="W224" s="88" t="s">
        <v>1519</v>
      </c>
      <c r="X224" s="88" t="s">
        <v>1519</v>
      </c>
      <c r="Y224" s="88" t="s">
        <v>1520</v>
      </c>
      <c r="Z224" s="88" t="s">
        <v>1519</v>
      </c>
      <c r="AA224" s="88" t="s">
        <v>1519</v>
      </c>
      <c r="AB224" s="88" t="s">
        <v>1519</v>
      </c>
      <c r="AC224" s="88" t="s">
        <v>1520</v>
      </c>
      <c r="AD224" s="89"/>
      <c r="AE224" s="18" t="s">
        <v>92</v>
      </c>
      <c r="AF224" s="18"/>
      <c r="AG224" s="18"/>
      <c r="AH224" s="18"/>
      <c r="AI224" s="18"/>
      <c r="AJ224" s="18"/>
      <c r="AK224" s="18"/>
      <c r="AL224" s="18"/>
      <c r="AM224" s="18"/>
    </row>
    <row r="225">
      <c r="A225" s="11"/>
      <c r="B225" s="12" t="s">
        <v>34</v>
      </c>
      <c r="C225" s="12" t="s">
        <v>65</v>
      </c>
      <c r="D225" s="12" t="s">
        <v>102</v>
      </c>
      <c r="E225" s="12" t="s">
        <v>142</v>
      </c>
      <c r="F225" s="13" t="s">
        <v>143</v>
      </c>
      <c r="G225" s="12" t="s">
        <v>68</v>
      </c>
      <c r="H225" s="12" t="s">
        <v>144</v>
      </c>
      <c r="I225" s="12" t="s">
        <v>145</v>
      </c>
      <c r="J225" s="17" t="s">
        <v>112</v>
      </c>
      <c r="K225" s="17" t="s">
        <v>113</v>
      </c>
      <c r="L225" s="17" t="s">
        <v>1686</v>
      </c>
      <c r="M225" s="19">
        <v>45973.0</v>
      </c>
      <c r="N225" s="17" t="s">
        <v>428</v>
      </c>
      <c r="O225" s="88" t="s">
        <v>1519</v>
      </c>
      <c r="P225" s="88" t="s">
        <v>1519</v>
      </c>
      <c r="Q225" s="88" t="s">
        <v>1519</v>
      </c>
      <c r="R225" s="88" t="s">
        <v>1519</v>
      </c>
      <c r="S225" s="88" t="s">
        <v>1519</v>
      </c>
      <c r="T225" s="88" t="s">
        <v>1519</v>
      </c>
      <c r="U225" s="88" t="s">
        <v>1519</v>
      </c>
      <c r="V225" s="88" t="s">
        <v>1519</v>
      </c>
      <c r="W225" s="88" t="s">
        <v>1519</v>
      </c>
      <c r="X225" s="88" t="s">
        <v>1519</v>
      </c>
      <c r="Y225" s="88" t="s">
        <v>1519</v>
      </c>
      <c r="Z225" s="88" t="s">
        <v>1520</v>
      </c>
      <c r="AA225" s="88" t="s">
        <v>1520</v>
      </c>
      <c r="AB225" s="88" t="s">
        <v>1519</v>
      </c>
      <c r="AC225" s="88" t="s">
        <v>1519</v>
      </c>
      <c r="AD225" s="89"/>
      <c r="AE225" s="18" t="s">
        <v>92</v>
      </c>
      <c r="AF225" s="18"/>
      <c r="AG225" s="18"/>
      <c r="AH225" s="18"/>
      <c r="AI225" s="18"/>
      <c r="AJ225" s="18"/>
      <c r="AK225" s="18"/>
      <c r="AL225" s="18"/>
      <c r="AM225" s="18"/>
    </row>
    <row r="226">
      <c r="A226" s="11"/>
      <c r="B226" s="12" t="s">
        <v>34</v>
      </c>
      <c r="C226" s="12" t="s">
        <v>65</v>
      </c>
      <c r="D226" s="12" t="s">
        <v>102</v>
      </c>
      <c r="E226" s="12" t="s">
        <v>142</v>
      </c>
      <c r="F226" s="13" t="s">
        <v>143</v>
      </c>
      <c r="G226" s="12" t="s">
        <v>68</v>
      </c>
      <c r="H226" s="12" t="s">
        <v>144</v>
      </c>
      <c r="I226" s="12" t="s">
        <v>145</v>
      </c>
      <c r="J226" s="17" t="s">
        <v>112</v>
      </c>
      <c r="K226" s="17" t="s">
        <v>113</v>
      </c>
      <c r="L226" s="17" t="s">
        <v>1665</v>
      </c>
      <c r="M226" s="19">
        <v>45973.0</v>
      </c>
      <c r="N226" s="17" t="s">
        <v>428</v>
      </c>
      <c r="O226" s="88" t="s">
        <v>1519</v>
      </c>
      <c r="P226" s="88" t="s">
        <v>1519</v>
      </c>
      <c r="Q226" s="88" t="s">
        <v>1519</v>
      </c>
      <c r="R226" s="88" t="s">
        <v>1519</v>
      </c>
      <c r="S226" s="88" t="s">
        <v>1519</v>
      </c>
      <c r="T226" s="88" t="s">
        <v>1520</v>
      </c>
      <c r="U226" s="88" t="s">
        <v>1519</v>
      </c>
      <c r="V226" s="88" t="s">
        <v>1519</v>
      </c>
      <c r="W226" s="88" t="s">
        <v>1519</v>
      </c>
      <c r="X226" s="88" t="s">
        <v>1519</v>
      </c>
      <c r="Y226" s="88" t="s">
        <v>1519</v>
      </c>
      <c r="Z226" s="88" t="s">
        <v>1520</v>
      </c>
      <c r="AA226" s="88" t="s">
        <v>1519</v>
      </c>
      <c r="AB226" s="88" t="s">
        <v>1519</v>
      </c>
      <c r="AC226" s="88" t="s">
        <v>1519</v>
      </c>
      <c r="AD226" s="89"/>
      <c r="AE226" s="18" t="s">
        <v>92</v>
      </c>
      <c r="AF226" s="18"/>
      <c r="AG226" s="18"/>
      <c r="AH226" s="18"/>
      <c r="AI226" s="18"/>
      <c r="AJ226" s="18"/>
      <c r="AK226" s="18"/>
      <c r="AL226" s="18"/>
      <c r="AM226" s="18"/>
    </row>
    <row r="227">
      <c r="A227" s="11"/>
      <c r="B227" s="12" t="s">
        <v>34</v>
      </c>
      <c r="C227" s="12" t="s">
        <v>65</v>
      </c>
      <c r="D227" s="12" t="s">
        <v>102</v>
      </c>
      <c r="E227" s="12" t="s">
        <v>142</v>
      </c>
      <c r="F227" s="13" t="s">
        <v>143</v>
      </c>
      <c r="G227" s="12" t="s">
        <v>68</v>
      </c>
      <c r="H227" s="12" t="s">
        <v>144</v>
      </c>
      <c r="I227" s="12" t="s">
        <v>145</v>
      </c>
      <c r="J227" s="17" t="s">
        <v>112</v>
      </c>
      <c r="K227" s="17" t="s">
        <v>113</v>
      </c>
      <c r="L227" s="17" t="s">
        <v>1687</v>
      </c>
      <c r="M227" s="19">
        <v>45973.0</v>
      </c>
      <c r="N227" s="17" t="s">
        <v>428</v>
      </c>
      <c r="O227" s="88" t="s">
        <v>1519</v>
      </c>
      <c r="P227" s="88" t="s">
        <v>1519</v>
      </c>
      <c r="Q227" s="88" t="s">
        <v>1519</v>
      </c>
      <c r="R227" s="88" t="s">
        <v>1519</v>
      </c>
      <c r="S227" s="88" t="s">
        <v>1519</v>
      </c>
      <c r="T227" s="88" t="s">
        <v>1519</v>
      </c>
      <c r="U227" s="88" t="s">
        <v>1519</v>
      </c>
      <c r="V227" s="88" t="s">
        <v>1519</v>
      </c>
      <c r="W227" s="88" t="s">
        <v>1519</v>
      </c>
      <c r="X227" s="88" t="s">
        <v>1520</v>
      </c>
      <c r="Y227" s="88" t="s">
        <v>1520</v>
      </c>
      <c r="Z227" s="88" t="s">
        <v>1519</v>
      </c>
      <c r="AA227" s="88" t="s">
        <v>1519</v>
      </c>
      <c r="AB227" s="88" t="s">
        <v>1520</v>
      </c>
      <c r="AC227" s="88" t="s">
        <v>1519</v>
      </c>
      <c r="AD227" s="89"/>
      <c r="AE227" s="18" t="s">
        <v>92</v>
      </c>
      <c r="AF227" s="18"/>
      <c r="AG227" s="18"/>
      <c r="AH227" s="18"/>
      <c r="AI227" s="18"/>
      <c r="AJ227" s="18"/>
      <c r="AK227" s="18"/>
      <c r="AL227" s="18"/>
      <c r="AM227" s="18"/>
    </row>
    <row r="228">
      <c r="A228" s="11"/>
      <c r="B228" s="12" t="s">
        <v>34</v>
      </c>
      <c r="C228" s="12" t="s">
        <v>65</v>
      </c>
      <c r="D228" s="12" t="s">
        <v>102</v>
      </c>
      <c r="E228" s="12" t="s">
        <v>142</v>
      </c>
      <c r="F228" s="13" t="s">
        <v>143</v>
      </c>
      <c r="G228" s="12" t="s">
        <v>68</v>
      </c>
      <c r="H228" s="12" t="s">
        <v>144</v>
      </c>
      <c r="I228" s="12" t="s">
        <v>145</v>
      </c>
      <c r="J228" s="17" t="s">
        <v>73</v>
      </c>
      <c r="K228" s="17" t="s">
        <v>74</v>
      </c>
      <c r="L228" s="17" t="s">
        <v>1666</v>
      </c>
      <c r="M228" s="19">
        <v>45973.0</v>
      </c>
      <c r="N228" s="17" t="s">
        <v>428</v>
      </c>
      <c r="O228" s="88" t="s">
        <v>1520</v>
      </c>
      <c r="P228" s="88" t="s">
        <v>1519</v>
      </c>
      <c r="Q228" s="88" t="s">
        <v>1519</v>
      </c>
      <c r="R228" s="88" t="s">
        <v>1519</v>
      </c>
      <c r="S228" s="88" t="s">
        <v>1519</v>
      </c>
      <c r="T228" s="88" t="s">
        <v>1520</v>
      </c>
      <c r="U228" s="88" t="s">
        <v>1519</v>
      </c>
      <c r="V228" s="88" t="s">
        <v>1520</v>
      </c>
      <c r="W228" s="88" t="s">
        <v>1519</v>
      </c>
      <c r="X228" s="88" t="s">
        <v>1520</v>
      </c>
      <c r="Y228" s="88" t="s">
        <v>1519</v>
      </c>
      <c r="Z228" s="88" t="s">
        <v>1519</v>
      </c>
      <c r="AA228" s="88" t="s">
        <v>1519</v>
      </c>
      <c r="AB228" s="88" t="s">
        <v>1520</v>
      </c>
      <c r="AC228" s="88" t="s">
        <v>1519</v>
      </c>
      <c r="AD228" s="89"/>
      <c r="AE228" s="18" t="s">
        <v>92</v>
      </c>
      <c r="AF228" s="18"/>
      <c r="AG228" s="18"/>
      <c r="AH228" s="18"/>
      <c r="AI228" s="18"/>
      <c r="AJ228" s="18"/>
      <c r="AK228" s="18"/>
      <c r="AL228" s="18"/>
      <c r="AM228" s="18"/>
    </row>
    <row r="229">
      <c r="A229" s="11"/>
      <c r="B229" s="12" t="s">
        <v>34</v>
      </c>
      <c r="C229" s="12" t="s">
        <v>65</v>
      </c>
      <c r="D229" s="12" t="s">
        <v>102</v>
      </c>
      <c r="E229" s="12" t="s">
        <v>142</v>
      </c>
      <c r="F229" s="13" t="s">
        <v>143</v>
      </c>
      <c r="G229" s="12" t="s">
        <v>68</v>
      </c>
      <c r="H229" s="12" t="s">
        <v>144</v>
      </c>
      <c r="I229" s="12" t="s">
        <v>145</v>
      </c>
      <c r="J229" s="17" t="s">
        <v>73</v>
      </c>
      <c r="K229" s="17" t="s">
        <v>74</v>
      </c>
      <c r="L229" s="17" t="s">
        <v>1667</v>
      </c>
      <c r="M229" s="19">
        <v>45973.0</v>
      </c>
      <c r="N229" s="17" t="s">
        <v>428</v>
      </c>
      <c r="O229" s="88" t="s">
        <v>1520</v>
      </c>
      <c r="P229" s="88" t="s">
        <v>1519</v>
      </c>
      <c r="Q229" s="88" t="s">
        <v>1519</v>
      </c>
      <c r="R229" s="88" t="s">
        <v>1519</v>
      </c>
      <c r="S229" s="88" t="s">
        <v>1519</v>
      </c>
      <c r="T229" s="88" t="s">
        <v>1520</v>
      </c>
      <c r="U229" s="88" t="s">
        <v>1519</v>
      </c>
      <c r="V229" s="88" t="s">
        <v>1519</v>
      </c>
      <c r="W229" s="88" t="s">
        <v>1520</v>
      </c>
      <c r="X229" s="88" t="s">
        <v>1519</v>
      </c>
      <c r="Y229" s="88" t="s">
        <v>1519</v>
      </c>
      <c r="Z229" s="88" t="s">
        <v>1519</v>
      </c>
      <c r="AA229" s="88" t="s">
        <v>1519</v>
      </c>
      <c r="AB229" s="88" t="s">
        <v>1520</v>
      </c>
      <c r="AC229" s="88" t="s">
        <v>1519</v>
      </c>
      <c r="AD229" s="89"/>
      <c r="AE229" s="18" t="s">
        <v>92</v>
      </c>
      <c r="AF229" s="18"/>
      <c r="AG229" s="18"/>
      <c r="AH229" s="18"/>
      <c r="AI229" s="18"/>
      <c r="AJ229" s="18"/>
      <c r="AK229" s="18"/>
      <c r="AL229" s="18"/>
      <c r="AM229" s="18"/>
    </row>
    <row r="230">
      <c r="A230" s="11"/>
      <c r="B230" s="12" t="s">
        <v>34</v>
      </c>
      <c r="C230" s="12" t="s">
        <v>65</v>
      </c>
      <c r="D230" s="12" t="s">
        <v>102</v>
      </c>
      <c r="E230" s="12" t="s">
        <v>142</v>
      </c>
      <c r="F230" s="13" t="s">
        <v>143</v>
      </c>
      <c r="G230" s="12" t="s">
        <v>68</v>
      </c>
      <c r="H230" s="12" t="s">
        <v>144</v>
      </c>
      <c r="I230" s="12" t="s">
        <v>145</v>
      </c>
      <c r="J230" s="17" t="s">
        <v>73</v>
      </c>
      <c r="K230" s="17" t="s">
        <v>74</v>
      </c>
      <c r="L230" s="17" t="s">
        <v>1668</v>
      </c>
      <c r="M230" s="19">
        <v>45973.0</v>
      </c>
      <c r="N230" s="17" t="s">
        <v>428</v>
      </c>
      <c r="O230" s="88" t="s">
        <v>1519</v>
      </c>
      <c r="P230" s="88" t="s">
        <v>1520</v>
      </c>
      <c r="Q230" s="88" t="s">
        <v>1520</v>
      </c>
      <c r="R230" s="88" t="s">
        <v>1519</v>
      </c>
      <c r="S230" s="88" t="s">
        <v>1520</v>
      </c>
      <c r="T230" s="88" t="s">
        <v>1520</v>
      </c>
      <c r="U230" s="88" t="s">
        <v>1520</v>
      </c>
      <c r="V230" s="88" t="s">
        <v>1520</v>
      </c>
      <c r="W230" s="88" t="s">
        <v>1520</v>
      </c>
      <c r="X230" s="88" t="s">
        <v>1520</v>
      </c>
      <c r="Y230" s="88" t="s">
        <v>1520</v>
      </c>
      <c r="Z230" s="88" t="s">
        <v>1519</v>
      </c>
      <c r="AA230" s="88" t="s">
        <v>1520</v>
      </c>
      <c r="AB230" s="88" t="s">
        <v>1519</v>
      </c>
      <c r="AC230" s="88" t="s">
        <v>1519</v>
      </c>
      <c r="AD230" s="89"/>
      <c r="AE230" s="18" t="s">
        <v>92</v>
      </c>
      <c r="AF230" s="18"/>
      <c r="AG230" s="18"/>
      <c r="AH230" s="18"/>
      <c r="AI230" s="18"/>
      <c r="AJ230" s="18"/>
      <c r="AK230" s="18"/>
      <c r="AL230" s="18"/>
      <c r="AM230" s="18"/>
    </row>
    <row r="231">
      <c r="A231" s="11"/>
      <c r="B231" s="12" t="s">
        <v>34</v>
      </c>
      <c r="C231" s="12" t="s">
        <v>65</v>
      </c>
      <c r="D231" s="12" t="s">
        <v>102</v>
      </c>
      <c r="E231" s="12" t="s">
        <v>142</v>
      </c>
      <c r="F231" s="13" t="s">
        <v>143</v>
      </c>
      <c r="G231" s="12" t="s">
        <v>68</v>
      </c>
      <c r="H231" s="12" t="s">
        <v>144</v>
      </c>
      <c r="I231" s="12" t="s">
        <v>145</v>
      </c>
      <c r="J231" s="17" t="s">
        <v>73</v>
      </c>
      <c r="K231" s="17" t="s">
        <v>74</v>
      </c>
      <c r="L231" s="17" t="s">
        <v>1669</v>
      </c>
      <c r="M231" s="19">
        <v>45973.0</v>
      </c>
      <c r="N231" s="17" t="s">
        <v>428</v>
      </c>
      <c r="O231" s="88" t="s">
        <v>1519</v>
      </c>
      <c r="P231" s="88" t="s">
        <v>1519</v>
      </c>
      <c r="Q231" s="88" t="s">
        <v>1519</v>
      </c>
      <c r="R231" s="88" t="s">
        <v>1519</v>
      </c>
      <c r="S231" s="88" t="s">
        <v>1519</v>
      </c>
      <c r="T231" s="88" t="s">
        <v>1520</v>
      </c>
      <c r="U231" s="88" t="s">
        <v>1519</v>
      </c>
      <c r="V231" s="88" t="s">
        <v>1520</v>
      </c>
      <c r="W231" s="88" t="s">
        <v>1519</v>
      </c>
      <c r="X231" s="88" t="s">
        <v>1520</v>
      </c>
      <c r="Y231" s="88" t="s">
        <v>1519</v>
      </c>
      <c r="Z231" s="88" t="s">
        <v>1520</v>
      </c>
      <c r="AA231" s="88" t="s">
        <v>1520</v>
      </c>
      <c r="AB231" s="88" t="s">
        <v>1519</v>
      </c>
      <c r="AC231" s="88" t="s">
        <v>1520</v>
      </c>
      <c r="AD231" s="89"/>
      <c r="AE231" s="18" t="s">
        <v>92</v>
      </c>
      <c r="AF231" s="18"/>
      <c r="AG231" s="18"/>
      <c r="AH231" s="18"/>
      <c r="AI231" s="18"/>
      <c r="AJ231" s="18"/>
      <c r="AK231" s="18"/>
      <c r="AL231" s="18"/>
      <c r="AM231" s="18"/>
    </row>
    <row r="232">
      <c r="A232" s="11"/>
      <c r="B232" s="12" t="s">
        <v>34</v>
      </c>
      <c r="C232" s="12" t="s">
        <v>65</v>
      </c>
      <c r="D232" s="12" t="s">
        <v>102</v>
      </c>
      <c r="E232" s="12" t="s">
        <v>142</v>
      </c>
      <c r="F232" s="13" t="s">
        <v>143</v>
      </c>
      <c r="G232" s="12" t="s">
        <v>68</v>
      </c>
      <c r="H232" s="12" t="s">
        <v>144</v>
      </c>
      <c r="I232" s="12" t="s">
        <v>145</v>
      </c>
      <c r="J232" s="17" t="s">
        <v>73</v>
      </c>
      <c r="K232" s="17" t="s">
        <v>74</v>
      </c>
      <c r="L232" s="17" t="s">
        <v>1670</v>
      </c>
      <c r="M232" s="19">
        <v>45973.0</v>
      </c>
      <c r="N232" s="17" t="s">
        <v>428</v>
      </c>
      <c r="O232" s="88" t="s">
        <v>1519</v>
      </c>
      <c r="P232" s="88" t="s">
        <v>1519</v>
      </c>
      <c r="Q232" s="88" t="s">
        <v>1519</v>
      </c>
      <c r="R232" s="88" t="s">
        <v>1519</v>
      </c>
      <c r="S232" s="88" t="s">
        <v>1519</v>
      </c>
      <c r="T232" s="88" t="s">
        <v>1519</v>
      </c>
      <c r="U232" s="88" t="s">
        <v>1519</v>
      </c>
      <c r="V232" s="88" t="s">
        <v>1520</v>
      </c>
      <c r="W232" s="88" t="s">
        <v>1520</v>
      </c>
      <c r="X232" s="88" t="s">
        <v>1519</v>
      </c>
      <c r="Y232" s="88" t="s">
        <v>1520</v>
      </c>
      <c r="Z232" s="88" t="s">
        <v>1519</v>
      </c>
      <c r="AA232" s="88" t="s">
        <v>1519</v>
      </c>
      <c r="AB232" s="88" t="s">
        <v>1519</v>
      </c>
      <c r="AC232" s="88" t="s">
        <v>1520</v>
      </c>
      <c r="AD232" s="89"/>
      <c r="AE232" s="18" t="s">
        <v>92</v>
      </c>
      <c r="AF232" s="18"/>
      <c r="AG232" s="18"/>
      <c r="AH232" s="18"/>
      <c r="AI232" s="18"/>
      <c r="AJ232" s="18"/>
      <c r="AK232" s="18"/>
      <c r="AL232" s="18"/>
      <c r="AM232" s="18"/>
    </row>
    <row r="233">
      <c r="A233" s="11"/>
      <c r="B233" s="12" t="s">
        <v>34</v>
      </c>
      <c r="C233" s="12" t="s">
        <v>65</v>
      </c>
      <c r="D233" s="12" t="s">
        <v>102</v>
      </c>
      <c r="E233" s="12" t="s">
        <v>142</v>
      </c>
      <c r="F233" s="13" t="s">
        <v>143</v>
      </c>
      <c r="G233" s="12" t="s">
        <v>68</v>
      </c>
      <c r="H233" s="12" t="s">
        <v>144</v>
      </c>
      <c r="I233" s="12" t="s">
        <v>145</v>
      </c>
      <c r="J233" s="17" t="s">
        <v>73</v>
      </c>
      <c r="K233" s="17" t="s">
        <v>74</v>
      </c>
      <c r="L233" s="17" t="s">
        <v>1688</v>
      </c>
      <c r="M233" s="19">
        <v>45973.0</v>
      </c>
      <c r="N233" s="17" t="s">
        <v>428</v>
      </c>
      <c r="O233" s="88" t="s">
        <v>1519</v>
      </c>
      <c r="P233" s="88" t="s">
        <v>1520</v>
      </c>
      <c r="Q233" s="88" t="s">
        <v>1520</v>
      </c>
      <c r="R233" s="88" t="s">
        <v>1520</v>
      </c>
      <c r="S233" s="88" t="s">
        <v>1519</v>
      </c>
      <c r="T233" s="88" t="s">
        <v>1520</v>
      </c>
      <c r="U233" s="88" t="s">
        <v>1520</v>
      </c>
      <c r="V233" s="88" t="s">
        <v>1519</v>
      </c>
      <c r="W233" s="88" t="s">
        <v>1520</v>
      </c>
      <c r="X233" s="88" t="s">
        <v>1520</v>
      </c>
      <c r="Y233" s="88" t="s">
        <v>1519</v>
      </c>
      <c r="Z233" s="88" t="s">
        <v>1520</v>
      </c>
      <c r="AA233" s="88" t="s">
        <v>1520</v>
      </c>
      <c r="AB233" s="88" t="s">
        <v>1519</v>
      </c>
      <c r="AC233" s="88" t="s">
        <v>1520</v>
      </c>
      <c r="AD233" s="89"/>
      <c r="AE233" s="18" t="s">
        <v>92</v>
      </c>
      <c r="AF233" s="18"/>
      <c r="AG233" s="18"/>
      <c r="AH233" s="18"/>
      <c r="AI233" s="18"/>
      <c r="AJ233" s="18"/>
      <c r="AK233" s="18"/>
      <c r="AL233" s="18"/>
      <c r="AM233" s="18"/>
    </row>
    <row r="234">
      <c r="A234" s="11"/>
      <c r="B234" s="12" t="s">
        <v>34</v>
      </c>
      <c r="C234" s="12" t="s">
        <v>65</v>
      </c>
      <c r="D234" s="12" t="s">
        <v>102</v>
      </c>
      <c r="E234" s="12" t="s">
        <v>142</v>
      </c>
      <c r="F234" s="13" t="s">
        <v>143</v>
      </c>
      <c r="G234" s="12" t="s">
        <v>68</v>
      </c>
      <c r="H234" s="12" t="s">
        <v>144</v>
      </c>
      <c r="I234" s="12" t="s">
        <v>145</v>
      </c>
      <c r="J234" s="17" t="s">
        <v>73</v>
      </c>
      <c r="K234" s="17" t="s">
        <v>74</v>
      </c>
      <c r="L234" s="17" t="s">
        <v>1689</v>
      </c>
      <c r="M234" s="19">
        <v>45973.0</v>
      </c>
      <c r="N234" s="17" t="s">
        <v>428</v>
      </c>
      <c r="O234" s="88" t="s">
        <v>1519</v>
      </c>
      <c r="P234" s="88" t="s">
        <v>1520</v>
      </c>
      <c r="Q234" s="88" t="s">
        <v>1520</v>
      </c>
      <c r="R234" s="88" t="s">
        <v>1519</v>
      </c>
      <c r="S234" s="88" t="s">
        <v>1519</v>
      </c>
      <c r="T234" s="88" t="s">
        <v>1520</v>
      </c>
      <c r="U234" s="88" t="s">
        <v>1519</v>
      </c>
      <c r="V234" s="88" t="s">
        <v>1519</v>
      </c>
      <c r="W234" s="88" t="s">
        <v>1519</v>
      </c>
      <c r="X234" s="88" t="s">
        <v>1520</v>
      </c>
      <c r="Y234" s="88" t="s">
        <v>1520</v>
      </c>
      <c r="Z234" s="88" t="s">
        <v>1520</v>
      </c>
      <c r="AA234" s="88" t="s">
        <v>1520</v>
      </c>
      <c r="AB234" s="88" t="s">
        <v>1520</v>
      </c>
      <c r="AC234" s="88" t="s">
        <v>1520</v>
      </c>
      <c r="AD234" s="89"/>
      <c r="AE234" s="18" t="s">
        <v>92</v>
      </c>
      <c r="AF234" s="18"/>
      <c r="AG234" s="18"/>
      <c r="AH234" s="18"/>
      <c r="AI234" s="18"/>
      <c r="AJ234" s="18"/>
      <c r="AK234" s="18"/>
      <c r="AL234" s="18"/>
      <c r="AM234" s="18"/>
    </row>
    <row r="235">
      <c r="A235" s="11"/>
      <c r="B235" s="12" t="s">
        <v>34</v>
      </c>
      <c r="C235" s="12" t="s">
        <v>65</v>
      </c>
      <c r="D235" s="12" t="s">
        <v>102</v>
      </c>
      <c r="E235" s="12" t="s">
        <v>142</v>
      </c>
      <c r="F235" s="13" t="s">
        <v>143</v>
      </c>
      <c r="G235" s="12" t="s">
        <v>68</v>
      </c>
      <c r="H235" s="12" t="s">
        <v>144</v>
      </c>
      <c r="I235" s="12" t="s">
        <v>145</v>
      </c>
      <c r="J235" s="17" t="s">
        <v>73</v>
      </c>
      <c r="K235" s="17" t="s">
        <v>74</v>
      </c>
      <c r="L235" s="17" t="s">
        <v>1690</v>
      </c>
      <c r="M235" s="19">
        <v>45973.0</v>
      </c>
      <c r="N235" s="17" t="s">
        <v>428</v>
      </c>
      <c r="O235" s="88" t="s">
        <v>1519</v>
      </c>
      <c r="P235" s="88" t="s">
        <v>1519</v>
      </c>
      <c r="Q235" s="88" t="s">
        <v>1520</v>
      </c>
      <c r="R235" s="88" t="s">
        <v>1519</v>
      </c>
      <c r="S235" s="88" t="s">
        <v>1519</v>
      </c>
      <c r="T235" s="88" t="s">
        <v>1520</v>
      </c>
      <c r="U235" s="88" t="s">
        <v>1519</v>
      </c>
      <c r="V235" s="88" t="s">
        <v>1520</v>
      </c>
      <c r="W235" s="88" t="s">
        <v>1520</v>
      </c>
      <c r="X235" s="88" t="s">
        <v>1519</v>
      </c>
      <c r="Y235" s="88" t="s">
        <v>1519</v>
      </c>
      <c r="Z235" s="88" t="s">
        <v>1519</v>
      </c>
      <c r="AA235" s="88" t="s">
        <v>1519</v>
      </c>
      <c r="AB235" s="88" t="s">
        <v>1520</v>
      </c>
      <c r="AC235" s="88" t="s">
        <v>1520</v>
      </c>
      <c r="AD235" s="89"/>
      <c r="AE235" s="18" t="s">
        <v>92</v>
      </c>
      <c r="AF235" s="18"/>
      <c r="AG235" s="18"/>
      <c r="AH235" s="18"/>
      <c r="AI235" s="18"/>
      <c r="AJ235" s="18"/>
      <c r="AK235" s="18"/>
      <c r="AL235" s="18"/>
      <c r="AM235" s="18"/>
    </row>
    <row r="236">
      <c r="A236" s="11"/>
      <c r="B236" s="12" t="s">
        <v>34</v>
      </c>
      <c r="C236" s="12" t="s">
        <v>65</v>
      </c>
      <c r="D236" s="12" t="s">
        <v>102</v>
      </c>
      <c r="E236" s="12" t="s">
        <v>142</v>
      </c>
      <c r="F236" s="13" t="s">
        <v>143</v>
      </c>
      <c r="G236" s="12" t="s">
        <v>68</v>
      </c>
      <c r="H236" s="12" t="s">
        <v>144</v>
      </c>
      <c r="I236" s="12" t="s">
        <v>145</v>
      </c>
      <c r="J236" s="17" t="s">
        <v>73</v>
      </c>
      <c r="K236" s="17" t="s">
        <v>74</v>
      </c>
      <c r="L236" s="17" t="s">
        <v>1691</v>
      </c>
      <c r="M236" s="19">
        <v>45973.0</v>
      </c>
      <c r="N236" s="17" t="s">
        <v>428</v>
      </c>
      <c r="O236" s="88" t="s">
        <v>1519</v>
      </c>
      <c r="P236" s="88" t="s">
        <v>1520</v>
      </c>
      <c r="Q236" s="88" t="s">
        <v>1520</v>
      </c>
      <c r="R236" s="88" t="s">
        <v>1519</v>
      </c>
      <c r="S236" s="88" t="s">
        <v>1519</v>
      </c>
      <c r="T236" s="88" t="s">
        <v>1520</v>
      </c>
      <c r="U236" s="88" t="s">
        <v>1520</v>
      </c>
      <c r="V236" s="88" t="s">
        <v>1520</v>
      </c>
      <c r="W236" s="88" t="s">
        <v>1520</v>
      </c>
      <c r="X236" s="88" t="s">
        <v>1520</v>
      </c>
      <c r="Y236" s="88" t="s">
        <v>1520</v>
      </c>
      <c r="Z236" s="88" t="s">
        <v>1519</v>
      </c>
      <c r="AA236" s="88" t="s">
        <v>1520</v>
      </c>
      <c r="AB236" s="88" t="s">
        <v>1520</v>
      </c>
      <c r="AC236" s="88" t="s">
        <v>1520</v>
      </c>
      <c r="AD236" s="89"/>
      <c r="AE236" s="18" t="s">
        <v>92</v>
      </c>
      <c r="AF236" s="18"/>
      <c r="AG236" s="18"/>
      <c r="AH236" s="18"/>
      <c r="AI236" s="18"/>
      <c r="AJ236" s="18"/>
      <c r="AK236" s="18"/>
      <c r="AL236" s="18"/>
      <c r="AM236" s="18"/>
    </row>
    <row r="237">
      <c r="A237" s="11"/>
      <c r="B237" s="12" t="s">
        <v>34</v>
      </c>
      <c r="C237" s="12" t="s">
        <v>65</v>
      </c>
      <c r="D237" s="12" t="s">
        <v>102</v>
      </c>
      <c r="E237" s="12" t="s">
        <v>142</v>
      </c>
      <c r="F237" s="13" t="s">
        <v>143</v>
      </c>
      <c r="G237" s="12" t="s">
        <v>68</v>
      </c>
      <c r="H237" s="12" t="s">
        <v>144</v>
      </c>
      <c r="I237" s="12" t="s">
        <v>145</v>
      </c>
      <c r="J237" s="17" t="s">
        <v>73</v>
      </c>
      <c r="K237" s="17" t="s">
        <v>74</v>
      </c>
      <c r="L237" s="17" t="s">
        <v>1692</v>
      </c>
      <c r="M237" s="19">
        <v>45973.0</v>
      </c>
      <c r="N237" s="17" t="s">
        <v>428</v>
      </c>
      <c r="O237" s="88" t="s">
        <v>1519</v>
      </c>
      <c r="P237" s="88" t="s">
        <v>1519</v>
      </c>
      <c r="Q237" s="88" t="s">
        <v>1519</v>
      </c>
      <c r="R237" s="88" t="s">
        <v>1519</v>
      </c>
      <c r="S237" s="88" t="s">
        <v>1519</v>
      </c>
      <c r="T237" s="88" t="s">
        <v>1520</v>
      </c>
      <c r="U237" s="88" t="s">
        <v>1519</v>
      </c>
      <c r="V237" s="88" t="s">
        <v>1520</v>
      </c>
      <c r="W237" s="88" t="s">
        <v>1519</v>
      </c>
      <c r="X237" s="88" t="s">
        <v>1519</v>
      </c>
      <c r="Y237" s="88" t="s">
        <v>1520</v>
      </c>
      <c r="Z237" s="88" t="s">
        <v>1519</v>
      </c>
      <c r="AA237" s="88" t="s">
        <v>1519</v>
      </c>
      <c r="AB237" s="88" t="s">
        <v>1520</v>
      </c>
      <c r="AC237" s="88" t="s">
        <v>1519</v>
      </c>
      <c r="AD237" s="89"/>
      <c r="AE237" s="18" t="s">
        <v>92</v>
      </c>
      <c r="AF237" s="18"/>
      <c r="AG237" s="18"/>
      <c r="AH237" s="18"/>
      <c r="AI237" s="18"/>
      <c r="AJ237" s="18"/>
      <c r="AK237" s="18"/>
      <c r="AL237" s="18"/>
      <c r="AM237" s="18"/>
    </row>
    <row r="238">
      <c r="A238" s="11"/>
      <c r="B238" s="12" t="s">
        <v>34</v>
      </c>
      <c r="C238" s="12" t="s">
        <v>65</v>
      </c>
      <c r="D238" s="12" t="s">
        <v>102</v>
      </c>
      <c r="E238" s="12" t="s">
        <v>142</v>
      </c>
      <c r="F238" s="13" t="s">
        <v>143</v>
      </c>
      <c r="G238" s="12" t="s">
        <v>68</v>
      </c>
      <c r="H238" s="12" t="s">
        <v>144</v>
      </c>
      <c r="I238" s="12" t="s">
        <v>145</v>
      </c>
      <c r="J238" s="17" t="s">
        <v>73</v>
      </c>
      <c r="K238" s="17" t="s">
        <v>74</v>
      </c>
      <c r="L238" s="17" t="s">
        <v>1693</v>
      </c>
      <c r="M238" s="19">
        <v>45973.0</v>
      </c>
      <c r="N238" s="17" t="s">
        <v>428</v>
      </c>
      <c r="O238" s="88" t="s">
        <v>1520</v>
      </c>
      <c r="P238" s="88" t="s">
        <v>1519</v>
      </c>
      <c r="Q238" s="88" t="s">
        <v>1520</v>
      </c>
      <c r="R238" s="88" t="s">
        <v>1519</v>
      </c>
      <c r="S238" s="88" t="s">
        <v>1519</v>
      </c>
      <c r="T238" s="88" t="s">
        <v>1520</v>
      </c>
      <c r="U238" s="88" t="s">
        <v>1520</v>
      </c>
      <c r="V238" s="88" t="s">
        <v>1520</v>
      </c>
      <c r="W238" s="88" t="s">
        <v>1520</v>
      </c>
      <c r="X238" s="88" t="s">
        <v>1520</v>
      </c>
      <c r="Y238" s="88" t="s">
        <v>1519</v>
      </c>
      <c r="Z238" s="88" t="s">
        <v>1519</v>
      </c>
      <c r="AA238" s="88" t="s">
        <v>1519</v>
      </c>
      <c r="AB238" s="88" t="s">
        <v>1519</v>
      </c>
      <c r="AC238" s="88" t="s">
        <v>1520</v>
      </c>
      <c r="AD238" s="89"/>
      <c r="AE238" s="18" t="s">
        <v>92</v>
      </c>
      <c r="AF238" s="18"/>
      <c r="AG238" s="18"/>
      <c r="AH238" s="18"/>
      <c r="AI238" s="18"/>
      <c r="AJ238" s="18"/>
      <c r="AK238" s="18"/>
      <c r="AL238" s="18"/>
      <c r="AM238" s="18"/>
    </row>
    <row r="239">
      <c r="A239" s="11"/>
      <c r="B239" s="12" t="s">
        <v>34</v>
      </c>
      <c r="C239" s="12" t="s">
        <v>65</v>
      </c>
      <c r="D239" s="12" t="s">
        <v>102</v>
      </c>
      <c r="E239" s="12" t="s">
        <v>142</v>
      </c>
      <c r="F239" s="13" t="s">
        <v>143</v>
      </c>
      <c r="G239" s="12" t="s">
        <v>68</v>
      </c>
      <c r="H239" s="12" t="s">
        <v>144</v>
      </c>
      <c r="I239" s="12" t="s">
        <v>145</v>
      </c>
      <c r="J239" s="17" t="s">
        <v>73</v>
      </c>
      <c r="K239" s="17" t="s">
        <v>74</v>
      </c>
      <c r="L239" s="17" t="s">
        <v>1694</v>
      </c>
      <c r="M239" s="19">
        <v>45973.0</v>
      </c>
      <c r="N239" s="17" t="s">
        <v>428</v>
      </c>
      <c r="O239" s="88" t="s">
        <v>1519</v>
      </c>
      <c r="P239" s="88" t="s">
        <v>1519</v>
      </c>
      <c r="Q239" s="88" t="s">
        <v>1519</v>
      </c>
      <c r="R239" s="88" t="s">
        <v>1519</v>
      </c>
      <c r="S239" s="88" t="s">
        <v>1519</v>
      </c>
      <c r="T239" s="88" t="s">
        <v>1519</v>
      </c>
      <c r="U239" s="88" t="s">
        <v>1519</v>
      </c>
      <c r="V239" s="88" t="s">
        <v>1519</v>
      </c>
      <c r="W239" s="88" t="s">
        <v>1520</v>
      </c>
      <c r="X239" s="88" t="s">
        <v>1519</v>
      </c>
      <c r="Y239" s="88" t="s">
        <v>1519</v>
      </c>
      <c r="Z239" s="88" t="s">
        <v>1519</v>
      </c>
      <c r="AA239" s="88" t="s">
        <v>1519</v>
      </c>
      <c r="AB239" s="88" t="s">
        <v>1519</v>
      </c>
      <c r="AC239" s="88" t="s">
        <v>1519</v>
      </c>
      <c r="AD239" s="89"/>
      <c r="AE239" s="18" t="s">
        <v>92</v>
      </c>
      <c r="AF239" s="18"/>
      <c r="AG239" s="18"/>
      <c r="AH239" s="18"/>
      <c r="AI239" s="18"/>
      <c r="AJ239" s="18"/>
      <c r="AK239" s="18"/>
      <c r="AL239" s="18"/>
      <c r="AM239" s="18"/>
    </row>
    <row r="240">
      <c r="A240" s="11"/>
      <c r="B240" s="12" t="s">
        <v>34</v>
      </c>
      <c r="C240" s="12" t="s">
        <v>65</v>
      </c>
      <c r="D240" s="12" t="s">
        <v>102</v>
      </c>
      <c r="E240" s="12" t="s">
        <v>142</v>
      </c>
      <c r="F240" s="13" t="s">
        <v>143</v>
      </c>
      <c r="G240" s="12" t="s">
        <v>68</v>
      </c>
      <c r="H240" s="12" t="s">
        <v>144</v>
      </c>
      <c r="I240" s="12" t="s">
        <v>145</v>
      </c>
      <c r="J240" s="17" t="s">
        <v>73</v>
      </c>
      <c r="K240" s="17" t="s">
        <v>74</v>
      </c>
      <c r="L240" s="17" t="s">
        <v>1695</v>
      </c>
      <c r="M240" s="19">
        <v>45973.0</v>
      </c>
      <c r="N240" s="17" t="s">
        <v>428</v>
      </c>
      <c r="O240" s="88" t="s">
        <v>1519</v>
      </c>
      <c r="P240" s="88" t="s">
        <v>1519</v>
      </c>
      <c r="Q240" s="88" t="s">
        <v>1519</v>
      </c>
      <c r="R240" s="88" t="s">
        <v>1519</v>
      </c>
      <c r="S240" s="88" t="s">
        <v>1519</v>
      </c>
      <c r="T240" s="88" t="s">
        <v>1520</v>
      </c>
      <c r="U240" s="88" t="s">
        <v>1520</v>
      </c>
      <c r="V240" s="88" t="s">
        <v>1519</v>
      </c>
      <c r="W240" s="88" t="s">
        <v>1520</v>
      </c>
      <c r="X240" s="88" t="s">
        <v>1520</v>
      </c>
      <c r="Y240" s="88" t="s">
        <v>1520</v>
      </c>
      <c r="Z240" s="88" t="s">
        <v>1519</v>
      </c>
      <c r="AA240" s="88" t="s">
        <v>1519</v>
      </c>
      <c r="AB240" s="88" t="s">
        <v>1519</v>
      </c>
      <c r="AC240" s="88" t="s">
        <v>1520</v>
      </c>
      <c r="AD240" s="89"/>
      <c r="AE240" s="18" t="s">
        <v>92</v>
      </c>
      <c r="AF240" s="18"/>
      <c r="AG240" s="18"/>
      <c r="AH240" s="18"/>
      <c r="AI240" s="18"/>
      <c r="AJ240" s="18"/>
      <c r="AK240" s="18"/>
      <c r="AL240" s="18"/>
      <c r="AM240" s="18"/>
    </row>
    <row r="241">
      <c r="A241" s="11"/>
      <c r="B241" s="12" t="s">
        <v>34</v>
      </c>
      <c r="C241" s="12" t="s">
        <v>65</v>
      </c>
      <c r="D241" s="12" t="s">
        <v>102</v>
      </c>
      <c r="E241" s="12" t="s">
        <v>152</v>
      </c>
      <c r="F241" s="13" t="s">
        <v>153</v>
      </c>
      <c r="G241" s="12" t="s">
        <v>68</v>
      </c>
      <c r="H241" s="12" t="s">
        <v>154</v>
      </c>
      <c r="I241" s="12" t="s">
        <v>155</v>
      </c>
      <c r="J241" s="17" t="s">
        <v>73</v>
      </c>
      <c r="K241" s="17" t="s">
        <v>74</v>
      </c>
      <c r="L241" s="17" t="s">
        <v>1696</v>
      </c>
      <c r="M241" s="20">
        <v>45888.0</v>
      </c>
      <c r="N241" s="17" t="s">
        <v>194</v>
      </c>
      <c r="O241" s="88" t="s">
        <v>1521</v>
      </c>
      <c r="P241" s="88" t="s">
        <v>1521</v>
      </c>
      <c r="Q241" s="88" t="s">
        <v>1521</v>
      </c>
      <c r="R241" s="88" t="s">
        <v>1521</v>
      </c>
      <c r="S241" s="88" t="s">
        <v>1520</v>
      </c>
      <c r="T241" s="88" t="s">
        <v>1521</v>
      </c>
      <c r="U241" s="88" t="s">
        <v>1520</v>
      </c>
      <c r="V241" s="88" t="s">
        <v>1520</v>
      </c>
      <c r="W241" s="88" t="s">
        <v>1520</v>
      </c>
      <c r="X241" s="88" t="s">
        <v>1521</v>
      </c>
      <c r="Y241" s="88" t="s">
        <v>1521</v>
      </c>
      <c r="Z241" s="88" t="s">
        <v>1521</v>
      </c>
      <c r="AA241" s="88" t="s">
        <v>1521</v>
      </c>
      <c r="AB241" s="88" t="s">
        <v>1521</v>
      </c>
      <c r="AC241" s="88" t="s">
        <v>1521</v>
      </c>
      <c r="AD241" s="89"/>
      <c r="AE241" s="18" t="s">
        <v>92</v>
      </c>
      <c r="AF241" s="18"/>
      <c r="AG241" s="18"/>
      <c r="AH241" s="18"/>
      <c r="AI241" s="18"/>
      <c r="AJ241" s="18"/>
      <c r="AK241" s="18"/>
      <c r="AL241" s="18"/>
      <c r="AM241" s="18"/>
    </row>
    <row r="242">
      <c r="A242" s="11"/>
      <c r="B242" s="12" t="s">
        <v>34</v>
      </c>
      <c r="C242" s="12" t="s">
        <v>65</v>
      </c>
      <c r="D242" s="12" t="s">
        <v>102</v>
      </c>
      <c r="E242" s="12" t="s">
        <v>152</v>
      </c>
      <c r="F242" s="13" t="s">
        <v>153</v>
      </c>
      <c r="G242" s="12" t="s">
        <v>68</v>
      </c>
      <c r="H242" s="12" t="s">
        <v>154</v>
      </c>
      <c r="I242" s="12" t="s">
        <v>155</v>
      </c>
      <c r="J242" s="17" t="s">
        <v>73</v>
      </c>
      <c r="K242" s="17" t="s">
        <v>74</v>
      </c>
      <c r="L242" s="17" t="s">
        <v>1697</v>
      </c>
      <c r="M242" s="20">
        <v>45888.0</v>
      </c>
      <c r="N242" s="17" t="s">
        <v>194</v>
      </c>
      <c r="O242" s="88" t="s">
        <v>1521</v>
      </c>
      <c r="P242" s="88" t="s">
        <v>1521</v>
      </c>
      <c r="Q242" s="88" t="s">
        <v>1521</v>
      </c>
      <c r="R242" s="88" t="s">
        <v>1521</v>
      </c>
      <c r="S242" s="88" t="s">
        <v>1520</v>
      </c>
      <c r="T242" s="88" t="s">
        <v>1521</v>
      </c>
      <c r="U242" s="88" t="s">
        <v>1520</v>
      </c>
      <c r="V242" s="88" t="s">
        <v>1520</v>
      </c>
      <c r="W242" s="88" t="s">
        <v>1521</v>
      </c>
      <c r="X242" s="88" t="s">
        <v>1520</v>
      </c>
      <c r="Y242" s="88" t="s">
        <v>1520</v>
      </c>
      <c r="Z242" s="88" t="s">
        <v>1520</v>
      </c>
      <c r="AA242" s="88" t="s">
        <v>1521</v>
      </c>
      <c r="AB242" s="88" t="s">
        <v>1521</v>
      </c>
      <c r="AC242" s="88" t="s">
        <v>1521</v>
      </c>
      <c r="AD242" s="89"/>
      <c r="AE242" s="18" t="s">
        <v>92</v>
      </c>
      <c r="AF242" s="18"/>
      <c r="AG242" s="18"/>
      <c r="AH242" s="18"/>
      <c r="AI242" s="18"/>
      <c r="AJ242" s="18"/>
      <c r="AK242" s="18"/>
      <c r="AL242" s="18"/>
      <c r="AM242" s="18"/>
    </row>
    <row r="243">
      <c r="A243" s="11"/>
      <c r="B243" s="12" t="s">
        <v>34</v>
      </c>
      <c r="C243" s="12" t="s">
        <v>65</v>
      </c>
      <c r="D243" s="12" t="s">
        <v>102</v>
      </c>
      <c r="E243" s="12" t="s">
        <v>152</v>
      </c>
      <c r="F243" s="13" t="s">
        <v>153</v>
      </c>
      <c r="G243" s="12" t="s">
        <v>68</v>
      </c>
      <c r="H243" s="12" t="s">
        <v>154</v>
      </c>
      <c r="I243" s="12" t="s">
        <v>155</v>
      </c>
      <c r="J243" s="17" t="s">
        <v>73</v>
      </c>
      <c r="K243" s="17" t="s">
        <v>74</v>
      </c>
      <c r="L243" s="17" t="s">
        <v>1698</v>
      </c>
      <c r="M243" s="20">
        <v>45888.0</v>
      </c>
      <c r="N243" s="17" t="s">
        <v>194</v>
      </c>
      <c r="O243" s="88" t="s">
        <v>1521</v>
      </c>
      <c r="P243" s="88" t="s">
        <v>1521</v>
      </c>
      <c r="Q243" s="88" t="s">
        <v>1521</v>
      </c>
      <c r="R243" s="88" t="s">
        <v>1521</v>
      </c>
      <c r="S243" s="88" t="s">
        <v>1520</v>
      </c>
      <c r="T243" s="88" t="s">
        <v>1521</v>
      </c>
      <c r="U243" s="88" t="s">
        <v>1520</v>
      </c>
      <c r="V243" s="88" t="s">
        <v>1520</v>
      </c>
      <c r="W243" s="88" t="s">
        <v>1521</v>
      </c>
      <c r="X243" s="88" t="s">
        <v>1520</v>
      </c>
      <c r="Y243" s="88" t="s">
        <v>1520</v>
      </c>
      <c r="Z243" s="88" t="s">
        <v>1520</v>
      </c>
      <c r="AA243" s="88" t="s">
        <v>1521</v>
      </c>
      <c r="AB243" s="88" t="s">
        <v>1521</v>
      </c>
      <c r="AC243" s="88" t="s">
        <v>1521</v>
      </c>
      <c r="AD243" s="89"/>
      <c r="AE243" s="18" t="s">
        <v>92</v>
      </c>
      <c r="AF243" s="18"/>
      <c r="AG243" s="18"/>
      <c r="AH243" s="18"/>
      <c r="AI243" s="18"/>
      <c r="AJ243" s="18"/>
      <c r="AK243" s="18"/>
      <c r="AL243" s="18"/>
      <c r="AM243" s="18"/>
    </row>
    <row r="244">
      <c r="A244" s="11"/>
      <c r="B244" s="12" t="s">
        <v>34</v>
      </c>
      <c r="C244" s="12" t="s">
        <v>65</v>
      </c>
      <c r="D244" s="12" t="s">
        <v>102</v>
      </c>
      <c r="E244" s="12" t="s">
        <v>152</v>
      </c>
      <c r="F244" s="13" t="s">
        <v>153</v>
      </c>
      <c r="G244" s="12" t="s">
        <v>68</v>
      </c>
      <c r="H244" s="12" t="s">
        <v>154</v>
      </c>
      <c r="I244" s="12" t="s">
        <v>155</v>
      </c>
      <c r="J244" s="17" t="s">
        <v>73</v>
      </c>
      <c r="K244" s="17" t="s">
        <v>74</v>
      </c>
      <c r="L244" s="17" t="s">
        <v>1699</v>
      </c>
      <c r="M244" s="20">
        <v>45888.0</v>
      </c>
      <c r="N244" s="17" t="s">
        <v>194</v>
      </c>
      <c r="O244" s="88" t="s">
        <v>1521</v>
      </c>
      <c r="P244" s="88" t="s">
        <v>1521</v>
      </c>
      <c r="Q244" s="88" t="s">
        <v>1521</v>
      </c>
      <c r="R244" s="88" t="s">
        <v>1521</v>
      </c>
      <c r="S244" s="88" t="s">
        <v>1520</v>
      </c>
      <c r="T244" s="88" t="s">
        <v>1521</v>
      </c>
      <c r="U244" s="88" t="s">
        <v>1520</v>
      </c>
      <c r="V244" s="88" t="s">
        <v>1520</v>
      </c>
      <c r="W244" s="88" t="s">
        <v>1520</v>
      </c>
      <c r="X244" s="88" t="s">
        <v>1519</v>
      </c>
      <c r="Y244" s="88" t="s">
        <v>1519</v>
      </c>
      <c r="Z244" s="88" t="s">
        <v>1519</v>
      </c>
      <c r="AA244" s="88" t="s">
        <v>1521</v>
      </c>
      <c r="AB244" s="88" t="s">
        <v>1521</v>
      </c>
      <c r="AC244" s="88" t="s">
        <v>1521</v>
      </c>
      <c r="AD244" s="89"/>
      <c r="AE244" s="18" t="s">
        <v>92</v>
      </c>
      <c r="AF244" s="18"/>
      <c r="AG244" s="18"/>
      <c r="AH244" s="18"/>
      <c r="AI244" s="18"/>
      <c r="AJ244" s="18"/>
      <c r="AK244" s="18"/>
      <c r="AL244" s="18"/>
      <c r="AM244" s="18"/>
    </row>
    <row r="245">
      <c r="A245" s="11"/>
      <c r="B245" s="12" t="s">
        <v>34</v>
      </c>
      <c r="C245" s="12" t="s">
        <v>65</v>
      </c>
      <c r="D245" s="12" t="s">
        <v>102</v>
      </c>
      <c r="E245" s="12" t="s">
        <v>152</v>
      </c>
      <c r="F245" s="13" t="s">
        <v>153</v>
      </c>
      <c r="G245" s="12" t="s">
        <v>68</v>
      </c>
      <c r="H245" s="12" t="s">
        <v>154</v>
      </c>
      <c r="I245" s="12" t="s">
        <v>155</v>
      </c>
      <c r="J245" s="17" t="s">
        <v>73</v>
      </c>
      <c r="K245" s="17" t="s">
        <v>74</v>
      </c>
      <c r="L245" s="17" t="s">
        <v>1700</v>
      </c>
      <c r="M245" s="20">
        <v>45888.0</v>
      </c>
      <c r="N245" s="17" t="s">
        <v>194</v>
      </c>
      <c r="O245" s="88" t="s">
        <v>1521</v>
      </c>
      <c r="P245" s="88" t="s">
        <v>1521</v>
      </c>
      <c r="Q245" s="88" t="s">
        <v>1521</v>
      </c>
      <c r="R245" s="88" t="s">
        <v>1521</v>
      </c>
      <c r="S245" s="88" t="s">
        <v>1519</v>
      </c>
      <c r="T245" s="88" t="s">
        <v>1521</v>
      </c>
      <c r="U245" s="88" t="s">
        <v>1519</v>
      </c>
      <c r="V245" s="88" t="s">
        <v>1519</v>
      </c>
      <c r="W245" s="88" t="s">
        <v>1521</v>
      </c>
      <c r="X245" s="88" t="s">
        <v>1521</v>
      </c>
      <c r="Y245" s="88" t="s">
        <v>1521</v>
      </c>
      <c r="Z245" s="88" t="s">
        <v>1521</v>
      </c>
      <c r="AA245" s="88" t="s">
        <v>1521</v>
      </c>
      <c r="AB245" s="88" t="s">
        <v>1521</v>
      </c>
      <c r="AC245" s="88" t="s">
        <v>1521</v>
      </c>
      <c r="AD245" s="89"/>
      <c r="AE245" s="18" t="s">
        <v>92</v>
      </c>
      <c r="AF245" s="18"/>
      <c r="AG245" s="18"/>
      <c r="AH245" s="18"/>
      <c r="AI245" s="18"/>
      <c r="AJ245" s="18"/>
      <c r="AK245" s="18"/>
      <c r="AL245" s="18"/>
      <c r="AM245" s="18"/>
    </row>
    <row r="246">
      <c r="A246" s="11"/>
      <c r="B246" s="12" t="s">
        <v>34</v>
      </c>
      <c r="C246" s="12" t="s">
        <v>65</v>
      </c>
      <c r="D246" s="12" t="s">
        <v>102</v>
      </c>
      <c r="E246" s="12" t="s">
        <v>152</v>
      </c>
      <c r="F246" s="13" t="s">
        <v>153</v>
      </c>
      <c r="G246" s="12" t="s">
        <v>68</v>
      </c>
      <c r="H246" s="12" t="s">
        <v>154</v>
      </c>
      <c r="I246" s="12" t="s">
        <v>155</v>
      </c>
      <c r="J246" s="17" t="s">
        <v>73</v>
      </c>
      <c r="K246" s="17" t="s">
        <v>74</v>
      </c>
      <c r="L246" s="17" t="s">
        <v>1701</v>
      </c>
      <c r="M246" s="20">
        <v>45888.0</v>
      </c>
      <c r="N246" s="17" t="s">
        <v>194</v>
      </c>
      <c r="O246" s="88" t="s">
        <v>1521</v>
      </c>
      <c r="P246" s="88" t="s">
        <v>1521</v>
      </c>
      <c r="Q246" s="88" t="s">
        <v>1521</v>
      </c>
      <c r="R246" s="88" t="s">
        <v>1521</v>
      </c>
      <c r="S246" s="88" t="s">
        <v>1520</v>
      </c>
      <c r="T246" s="88" t="s">
        <v>1521</v>
      </c>
      <c r="U246" s="88" t="s">
        <v>1520</v>
      </c>
      <c r="V246" s="88" t="s">
        <v>1520</v>
      </c>
      <c r="W246" s="88" t="s">
        <v>1520</v>
      </c>
      <c r="X246" s="88" t="s">
        <v>1519</v>
      </c>
      <c r="Y246" s="88" t="s">
        <v>1519</v>
      </c>
      <c r="Z246" s="88" t="s">
        <v>1519</v>
      </c>
      <c r="AA246" s="88" t="s">
        <v>1519</v>
      </c>
      <c r="AB246" s="88" t="s">
        <v>1519</v>
      </c>
      <c r="AC246" s="88" t="s">
        <v>1521</v>
      </c>
      <c r="AD246" s="89"/>
      <c r="AE246" s="18" t="s">
        <v>92</v>
      </c>
      <c r="AF246" s="18"/>
      <c r="AG246" s="18"/>
      <c r="AH246" s="18"/>
      <c r="AI246" s="18"/>
      <c r="AJ246" s="18"/>
      <c r="AK246" s="18"/>
      <c r="AL246" s="18"/>
      <c r="AM246" s="18"/>
    </row>
    <row r="247">
      <c r="A247" s="11"/>
      <c r="B247" s="12" t="s">
        <v>34</v>
      </c>
      <c r="C247" s="12" t="s">
        <v>65</v>
      </c>
      <c r="D247" s="12" t="s">
        <v>102</v>
      </c>
      <c r="E247" s="12" t="s">
        <v>152</v>
      </c>
      <c r="F247" s="13" t="s">
        <v>153</v>
      </c>
      <c r="G247" s="12" t="s">
        <v>68</v>
      </c>
      <c r="H247" s="12" t="s">
        <v>154</v>
      </c>
      <c r="I247" s="12" t="s">
        <v>155</v>
      </c>
      <c r="J247" s="17" t="s">
        <v>73</v>
      </c>
      <c r="K247" s="17" t="s">
        <v>74</v>
      </c>
      <c r="L247" s="17" t="s">
        <v>1702</v>
      </c>
      <c r="M247" s="20">
        <v>45888.0</v>
      </c>
      <c r="N247" s="17" t="s">
        <v>194</v>
      </c>
      <c r="O247" s="88" t="s">
        <v>1521</v>
      </c>
      <c r="P247" s="88" t="s">
        <v>1521</v>
      </c>
      <c r="Q247" s="88" t="s">
        <v>1521</v>
      </c>
      <c r="R247" s="88" t="s">
        <v>1521</v>
      </c>
      <c r="S247" s="88" t="s">
        <v>1519</v>
      </c>
      <c r="T247" s="88" t="s">
        <v>1521</v>
      </c>
      <c r="U247" s="88" t="s">
        <v>1520</v>
      </c>
      <c r="V247" s="88" t="s">
        <v>1520</v>
      </c>
      <c r="W247" s="88" t="s">
        <v>1521</v>
      </c>
      <c r="X247" s="88" t="s">
        <v>1519</v>
      </c>
      <c r="Y247" s="88" t="s">
        <v>1519</v>
      </c>
      <c r="Z247" s="88" t="s">
        <v>1519</v>
      </c>
      <c r="AA247" s="88" t="s">
        <v>1521</v>
      </c>
      <c r="AB247" s="88" t="s">
        <v>1521</v>
      </c>
      <c r="AC247" s="88" t="s">
        <v>1521</v>
      </c>
      <c r="AD247" s="89"/>
      <c r="AE247" s="18" t="s">
        <v>92</v>
      </c>
      <c r="AF247" s="18"/>
      <c r="AG247" s="18"/>
      <c r="AH247" s="18"/>
      <c r="AI247" s="18"/>
      <c r="AJ247" s="18"/>
      <c r="AK247" s="18"/>
      <c r="AL247" s="18"/>
      <c r="AM247" s="18"/>
    </row>
    <row r="248">
      <c r="A248" s="11"/>
      <c r="B248" s="12" t="s">
        <v>34</v>
      </c>
      <c r="C248" s="12" t="s">
        <v>65</v>
      </c>
      <c r="D248" s="12" t="s">
        <v>102</v>
      </c>
      <c r="E248" s="12" t="s">
        <v>152</v>
      </c>
      <c r="F248" s="13" t="s">
        <v>153</v>
      </c>
      <c r="G248" s="12" t="s">
        <v>68</v>
      </c>
      <c r="H248" s="12" t="s">
        <v>154</v>
      </c>
      <c r="I248" s="12" t="s">
        <v>155</v>
      </c>
      <c r="J248" s="17" t="s">
        <v>112</v>
      </c>
      <c r="K248" s="17" t="s">
        <v>113</v>
      </c>
      <c r="L248" s="17" t="s">
        <v>1703</v>
      </c>
      <c r="M248" s="20">
        <v>45888.0</v>
      </c>
      <c r="N248" s="17" t="s">
        <v>194</v>
      </c>
      <c r="O248" s="88" t="s">
        <v>1521</v>
      </c>
      <c r="P248" s="88" t="s">
        <v>1521</v>
      </c>
      <c r="Q248" s="88" t="s">
        <v>1521</v>
      </c>
      <c r="R248" s="88" t="s">
        <v>1521</v>
      </c>
      <c r="S248" s="88" t="s">
        <v>1520</v>
      </c>
      <c r="T248" s="88" t="s">
        <v>1520</v>
      </c>
      <c r="U248" s="88" t="s">
        <v>1521</v>
      </c>
      <c r="V248" s="88" t="s">
        <v>1521</v>
      </c>
      <c r="W248" s="88" t="s">
        <v>1521</v>
      </c>
      <c r="X248" s="88" t="s">
        <v>1521</v>
      </c>
      <c r="Y248" s="88" t="s">
        <v>1521</v>
      </c>
      <c r="Z248" s="88" t="s">
        <v>1521</v>
      </c>
      <c r="AA248" s="88" t="s">
        <v>1520</v>
      </c>
      <c r="AB248" s="88" t="s">
        <v>1520</v>
      </c>
      <c r="AC248" s="88" t="s">
        <v>1521</v>
      </c>
      <c r="AD248" s="89"/>
      <c r="AE248" s="18" t="s">
        <v>92</v>
      </c>
      <c r="AF248" s="18"/>
      <c r="AG248" s="18"/>
      <c r="AH248" s="18"/>
      <c r="AI248" s="18"/>
      <c r="AJ248" s="18"/>
      <c r="AK248" s="18"/>
      <c r="AL248" s="18"/>
      <c r="AM248" s="18"/>
    </row>
    <row r="249">
      <c r="A249" s="11"/>
      <c r="B249" s="12" t="s">
        <v>34</v>
      </c>
      <c r="C249" s="12" t="s">
        <v>65</v>
      </c>
      <c r="D249" s="12" t="s">
        <v>102</v>
      </c>
      <c r="E249" s="12" t="s">
        <v>152</v>
      </c>
      <c r="F249" s="13" t="s">
        <v>153</v>
      </c>
      <c r="G249" s="12" t="s">
        <v>68</v>
      </c>
      <c r="H249" s="12" t="s">
        <v>154</v>
      </c>
      <c r="I249" s="12" t="s">
        <v>155</v>
      </c>
      <c r="J249" s="17" t="s">
        <v>112</v>
      </c>
      <c r="K249" s="17" t="s">
        <v>113</v>
      </c>
      <c r="L249" s="17" t="s">
        <v>1704</v>
      </c>
      <c r="M249" s="20">
        <v>45888.0</v>
      </c>
      <c r="N249" s="17" t="s">
        <v>194</v>
      </c>
      <c r="O249" s="88" t="s">
        <v>1521</v>
      </c>
      <c r="P249" s="88" t="s">
        <v>1519</v>
      </c>
      <c r="Q249" s="88" t="s">
        <v>1521</v>
      </c>
      <c r="R249" s="88" t="s">
        <v>1519</v>
      </c>
      <c r="S249" s="88" t="s">
        <v>1519</v>
      </c>
      <c r="T249" s="88" t="s">
        <v>1520</v>
      </c>
      <c r="U249" s="88" t="s">
        <v>1519</v>
      </c>
      <c r="V249" s="88" t="s">
        <v>1520</v>
      </c>
      <c r="W249" s="88" t="s">
        <v>1519</v>
      </c>
      <c r="X249" s="88" t="s">
        <v>1520</v>
      </c>
      <c r="Y249" s="88" t="s">
        <v>1519</v>
      </c>
      <c r="Z249" s="88" t="s">
        <v>1521</v>
      </c>
      <c r="AA249" s="88" t="s">
        <v>1520</v>
      </c>
      <c r="AB249" s="88" t="s">
        <v>1519</v>
      </c>
      <c r="AC249" s="88" t="s">
        <v>1521</v>
      </c>
      <c r="AD249" s="89"/>
      <c r="AE249" s="18" t="s">
        <v>92</v>
      </c>
      <c r="AF249" s="18"/>
      <c r="AG249" s="18"/>
      <c r="AH249" s="18"/>
      <c r="AI249" s="18"/>
      <c r="AJ249" s="18"/>
      <c r="AK249" s="18"/>
      <c r="AL249" s="18"/>
      <c r="AM249" s="18"/>
    </row>
    <row r="250">
      <c r="A250" s="11"/>
      <c r="B250" s="12" t="s">
        <v>34</v>
      </c>
      <c r="C250" s="12" t="s">
        <v>65</v>
      </c>
      <c r="D250" s="12" t="s">
        <v>102</v>
      </c>
      <c r="E250" s="12" t="s">
        <v>152</v>
      </c>
      <c r="F250" s="13" t="s">
        <v>153</v>
      </c>
      <c r="G250" s="12" t="s">
        <v>68</v>
      </c>
      <c r="H250" s="12" t="s">
        <v>154</v>
      </c>
      <c r="I250" s="12" t="s">
        <v>155</v>
      </c>
      <c r="J250" s="17" t="s">
        <v>112</v>
      </c>
      <c r="K250" s="17" t="s">
        <v>113</v>
      </c>
      <c r="L250" s="17" t="s">
        <v>1705</v>
      </c>
      <c r="M250" s="20">
        <v>45888.0</v>
      </c>
      <c r="N250" s="17" t="s">
        <v>194</v>
      </c>
      <c r="O250" s="88" t="s">
        <v>1520</v>
      </c>
      <c r="P250" s="88" t="s">
        <v>1519</v>
      </c>
      <c r="Q250" s="88" t="s">
        <v>1520</v>
      </c>
      <c r="R250" s="88" t="s">
        <v>1521</v>
      </c>
      <c r="S250" s="88" t="s">
        <v>1520</v>
      </c>
      <c r="T250" s="88" t="s">
        <v>1520</v>
      </c>
      <c r="U250" s="88" t="s">
        <v>1521</v>
      </c>
      <c r="V250" s="88" t="s">
        <v>1520</v>
      </c>
      <c r="W250" s="88" t="s">
        <v>1521</v>
      </c>
      <c r="X250" s="88" t="s">
        <v>1520</v>
      </c>
      <c r="Y250" s="88" t="s">
        <v>1521</v>
      </c>
      <c r="Z250" s="88" t="s">
        <v>1521</v>
      </c>
      <c r="AA250" s="88" t="s">
        <v>1520</v>
      </c>
      <c r="AB250" s="88" t="s">
        <v>1521</v>
      </c>
      <c r="AC250" s="88" t="s">
        <v>1521</v>
      </c>
      <c r="AD250" s="89"/>
      <c r="AE250" s="18" t="s">
        <v>92</v>
      </c>
      <c r="AF250" s="18"/>
      <c r="AG250" s="18"/>
      <c r="AH250" s="18"/>
      <c r="AI250" s="18"/>
      <c r="AJ250" s="18"/>
      <c r="AK250" s="18"/>
      <c r="AL250" s="18"/>
      <c r="AM250" s="18"/>
    </row>
    <row r="251">
      <c r="A251" s="11"/>
      <c r="B251" s="12" t="s">
        <v>34</v>
      </c>
      <c r="C251" s="12" t="s">
        <v>65</v>
      </c>
      <c r="D251" s="12" t="s">
        <v>102</v>
      </c>
      <c r="E251" s="12" t="s">
        <v>152</v>
      </c>
      <c r="F251" s="13" t="s">
        <v>153</v>
      </c>
      <c r="G251" s="12" t="s">
        <v>68</v>
      </c>
      <c r="H251" s="12" t="s">
        <v>154</v>
      </c>
      <c r="I251" s="12" t="s">
        <v>155</v>
      </c>
      <c r="J251" s="17" t="s">
        <v>112</v>
      </c>
      <c r="K251" s="17" t="s">
        <v>113</v>
      </c>
      <c r="L251" s="17" t="s">
        <v>1706</v>
      </c>
      <c r="M251" s="20">
        <v>45888.0</v>
      </c>
      <c r="N251" s="17" t="s">
        <v>194</v>
      </c>
      <c r="O251" s="88" t="s">
        <v>1520</v>
      </c>
      <c r="P251" s="88" t="s">
        <v>1519</v>
      </c>
      <c r="Q251" s="88" t="s">
        <v>1519</v>
      </c>
      <c r="R251" s="88" t="s">
        <v>1520</v>
      </c>
      <c r="S251" s="88" t="s">
        <v>1519</v>
      </c>
      <c r="T251" s="88" t="s">
        <v>1519</v>
      </c>
      <c r="U251" s="88" t="s">
        <v>1520</v>
      </c>
      <c r="V251" s="88" t="s">
        <v>1519</v>
      </c>
      <c r="W251" s="88" t="s">
        <v>1521</v>
      </c>
      <c r="X251" s="88" t="s">
        <v>1519</v>
      </c>
      <c r="Y251" s="88" t="s">
        <v>1521</v>
      </c>
      <c r="Z251" s="88" t="s">
        <v>1521</v>
      </c>
      <c r="AA251" s="88" t="s">
        <v>1519</v>
      </c>
      <c r="AB251" s="88" t="s">
        <v>1521</v>
      </c>
      <c r="AC251" s="88" t="s">
        <v>1521</v>
      </c>
      <c r="AD251" s="89"/>
      <c r="AE251" s="18" t="s">
        <v>92</v>
      </c>
      <c r="AF251" s="18"/>
      <c r="AG251" s="18"/>
      <c r="AH251" s="18"/>
      <c r="AI251" s="18"/>
      <c r="AJ251" s="18"/>
      <c r="AK251" s="18"/>
      <c r="AL251" s="18"/>
      <c r="AM251" s="18"/>
    </row>
    <row r="252">
      <c r="A252" s="11"/>
      <c r="B252" s="12" t="s">
        <v>34</v>
      </c>
      <c r="C252" s="12" t="s">
        <v>65</v>
      </c>
      <c r="D252" s="12" t="s">
        <v>102</v>
      </c>
      <c r="E252" s="12" t="s">
        <v>152</v>
      </c>
      <c r="F252" s="13" t="s">
        <v>153</v>
      </c>
      <c r="G252" s="12" t="s">
        <v>68</v>
      </c>
      <c r="H252" s="12" t="s">
        <v>154</v>
      </c>
      <c r="I252" s="12" t="s">
        <v>155</v>
      </c>
      <c r="J252" s="17" t="s">
        <v>112</v>
      </c>
      <c r="K252" s="17" t="s">
        <v>113</v>
      </c>
      <c r="L252" s="17" t="s">
        <v>1707</v>
      </c>
      <c r="M252" s="20">
        <v>45888.0</v>
      </c>
      <c r="N252" s="17" t="s">
        <v>194</v>
      </c>
      <c r="O252" s="88" t="s">
        <v>1520</v>
      </c>
      <c r="P252" s="88" t="s">
        <v>1520</v>
      </c>
      <c r="Q252" s="88" t="s">
        <v>1520</v>
      </c>
      <c r="R252" s="88" t="s">
        <v>1521</v>
      </c>
      <c r="S252" s="88" t="s">
        <v>1521</v>
      </c>
      <c r="T252" s="88" t="s">
        <v>1520</v>
      </c>
      <c r="U252" s="88" t="s">
        <v>1521</v>
      </c>
      <c r="V252" s="88" t="s">
        <v>1519</v>
      </c>
      <c r="W252" s="88" t="s">
        <v>1520</v>
      </c>
      <c r="X252" s="88" t="s">
        <v>1521</v>
      </c>
      <c r="Y252" s="88" t="s">
        <v>1521</v>
      </c>
      <c r="Z252" s="88" t="s">
        <v>1521</v>
      </c>
      <c r="AA252" s="88" t="s">
        <v>1519</v>
      </c>
      <c r="AB252" s="88" t="s">
        <v>1521</v>
      </c>
      <c r="AC252" s="88" t="s">
        <v>1521</v>
      </c>
      <c r="AD252" s="89"/>
      <c r="AE252" s="18" t="s">
        <v>92</v>
      </c>
      <c r="AF252" s="18"/>
      <c r="AG252" s="18"/>
      <c r="AH252" s="18"/>
      <c r="AI252" s="18"/>
      <c r="AJ252" s="18"/>
      <c r="AK252" s="18"/>
      <c r="AL252" s="18"/>
      <c r="AM252" s="18"/>
    </row>
    <row r="253">
      <c r="A253" s="11"/>
      <c r="B253" s="12" t="s">
        <v>34</v>
      </c>
      <c r="C253" s="12" t="s">
        <v>65</v>
      </c>
      <c r="D253" s="12" t="s">
        <v>102</v>
      </c>
      <c r="E253" s="12" t="s">
        <v>152</v>
      </c>
      <c r="F253" s="13" t="s">
        <v>153</v>
      </c>
      <c r="G253" s="12" t="s">
        <v>68</v>
      </c>
      <c r="H253" s="12" t="s">
        <v>154</v>
      </c>
      <c r="I253" s="12" t="s">
        <v>155</v>
      </c>
      <c r="J253" s="17" t="s">
        <v>112</v>
      </c>
      <c r="K253" s="17" t="s">
        <v>113</v>
      </c>
      <c r="L253" s="17" t="s">
        <v>1708</v>
      </c>
      <c r="M253" s="20">
        <v>45888.0</v>
      </c>
      <c r="N253" s="17" t="s">
        <v>194</v>
      </c>
      <c r="O253" s="88" t="s">
        <v>1520</v>
      </c>
      <c r="P253" s="88" t="s">
        <v>1519</v>
      </c>
      <c r="Q253" s="88" t="s">
        <v>1520</v>
      </c>
      <c r="R253" s="88" t="s">
        <v>1519</v>
      </c>
      <c r="S253" s="88" t="s">
        <v>1520</v>
      </c>
      <c r="T253" s="88" t="s">
        <v>1521</v>
      </c>
      <c r="U253" s="88" t="s">
        <v>1519</v>
      </c>
      <c r="V253" s="88" t="s">
        <v>1519</v>
      </c>
      <c r="W253" s="88" t="s">
        <v>1520</v>
      </c>
      <c r="X253" s="88" t="s">
        <v>1519</v>
      </c>
      <c r="Y253" s="88" t="s">
        <v>1519</v>
      </c>
      <c r="Z253" s="88" t="s">
        <v>1521</v>
      </c>
      <c r="AA253" s="88" t="s">
        <v>1519</v>
      </c>
      <c r="AB253" s="88" t="s">
        <v>1519</v>
      </c>
      <c r="AC253" s="88" t="s">
        <v>1521</v>
      </c>
      <c r="AD253" s="89"/>
      <c r="AE253" s="18" t="s">
        <v>92</v>
      </c>
      <c r="AF253" s="18"/>
      <c r="AG253" s="18"/>
      <c r="AH253" s="18"/>
      <c r="AI253" s="18"/>
      <c r="AJ253" s="18"/>
      <c r="AK253" s="18"/>
      <c r="AL253" s="18"/>
      <c r="AM253" s="18"/>
    </row>
    <row r="254">
      <c r="A254" s="11"/>
      <c r="B254" s="12" t="s">
        <v>34</v>
      </c>
      <c r="C254" s="12" t="s">
        <v>65</v>
      </c>
      <c r="D254" s="12" t="s">
        <v>102</v>
      </c>
      <c r="E254" s="12" t="s">
        <v>152</v>
      </c>
      <c r="F254" s="13" t="s">
        <v>153</v>
      </c>
      <c r="G254" s="12" t="s">
        <v>68</v>
      </c>
      <c r="H254" s="12" t="s">
        <v>154</v>
      </c>
      <c r="I254" s="12" t="s">
        <v>155</v>
      </c>
      <c r="J254" s="17" t="s">
        <v>108</v>
      </c>
      <c r="K254" s="17" t="s">
        <v>109</v>
      </c>
      <c r="L254" s="17" t="s">
        <v>1709</v>
      </c>
      <c r="M254" s="20">
        <v>45888.0</v>
      </c>
      <c r="N254" s="17" t="s">
        <v>194</v>
      </c>
      <c r="O254" s="88" t="s">
        <v>1519</v>
      </c>
      <c r="P254" s="88" t="s">
        <v>1520</v>
      </c>
      <c r="Q254" s="88" t="s">
        <v>1519</v>
      </c>
      <c r="R254" s="88" t="s">
        <v>1520</v>
      </c>
      <c r="S254" s="88" t="s">
        <v>1519</v>
      </c>
      <c r="T254" s="88" t="s">
        <v>1520</v>
      </c>
      <c r="U254" s="88" t="s">
        <v>1519</v>
      </c>
      <c r="V254" s="88" t="s">
        <v>1520</v>
      </c>
      <c r="W254" s="88" t="s">
        <v>1520</v>
      </c>
      <c r="X254" s="88" t="s">
        <v>1519</v>
      </c>
      <c r="Y254" s="88" t="s">
        <v>1520</v>
      </c>
      <c r="Z254" s="88" t="s">
        <v>1520</v>
      </c>
      <c r="AA254" s="88" t="s">
        <v>1519</v>
      </c>
      <c r="AB254" s="88" t="s">
        <v>1519</v>
      </c>
      <c r="AC254" s="88" t="s">
        <v>1519</v>
      </c>
      <c r="AD254" s="89"/>
      <c r="AE254" s="18" t="s">
        <v>92</v>
      </c>
      <c r="AF254" s="18"/>
      <c r="AG254" s="18"/>
      <c r="AH254" s="18"/>
      <c r="AI254" s="18"/>
      <c r="AJ254" s="18"/>
      <c r="AK254" s="18"/>
      <c r="AL254" s="18"/>
      <c r="AM254" s="18"/>
    </row>
    <row r="255">
      <c r="A255" s="11"/>
      <c r="B255" s="12" t="s">
        <v>34</v>
      </c>
      <c r="C255" s="12" t="s">
        <v>65</v>
      </c>
      <c r="D255" s="12" t="s">
        <v>102</v>
      </c>
      <c r="E255" s="12" t="s">
        <v>152</v>
      </c>
      <c r="F255" s="13" t="s">
        <v>153</v>
      </c>
      <c r="G255" s="12" t="s">
        <v>68</v>
      </c>
      <c r="H255" s="12" t="s">
        <v>154</v>
      </c>
      <c r="I255" s="12" t="s">
        <v>155</v>
      </c>
      <c r="J255" s="17" t="s">
        <v>108</v>
      </c>
      <c r="K255" s="17" t="s">
        <v>109</v>
      </c>
      <c r="L255" s="17" t="s">
        <v>1710</v>
      </c>
      <c r="M255" s="20">
        <v>45888.0</v>
      </c>
      <c r="N255" s="17" t="s">
        <v>194</v>
      </c>
      <c r="O255" s="88" t="s">
        <v>1521</v>
      </c>
      <c r="P255" s="88" t="s">
        <v>1521</v>
      </c>
      <c r="Q255" s="88" t="s">
        <v>1521</v>
      </c>
      <c r="R255" s="88" t="s">
        <v>1521</v>
      </c>
      <c r="S255" s="88" t="s">
        <v>1521</v>
      </c>
      <c r="T255" s="88" t="s">
        <v>1521</v>
      </c>
      <c r="U255" s="88" t="s">
        <v>1521</v>
      </c>
      <c r="V255" s="88" t="s">
        <v>1521</v>
      </c>
      <c r="W255" s="88" t="s">
        <v>1521</v>
      </c>
      <c r="X255" s="88" t="s">
        <v>1521</v>
      </c>
      <c r="Y255" s="88" t="s">
        <v>1521</v>
      </c>
      <c r="Z255" s="88" t="s">
        <v>1521</v>
      </c>
      <c r="AA255" s="88" t="s">
        <v>1521</v>
      </c>
      <c r="AB255" s="88" t="s">
        <v>1521</v>
      </c>
      <c r="AC255" s="88" t="s">
        <v>1521</v>
      </c>
      <c r="AD255" s="89"/>
      <c r="AE255" s="18" t="s">
        <v>92</v>
      </c>
      <c r="AF255" s="18"/>
      <c r="AG255" s="18"/>
      <c r="AH255" s="18"/>
      <c r="AI255" s="18"/>
      <c r="AJ255" s="18"/>
      <c r="AK255" s="18"/>
      <c r="AL255" s="18"/>
      <c r="AM255" s="18"/>
    </row>
    <row r="256">
      <c r="A256" s="11"/>
      <c r="B256" s="12" t="s">
        <v>34</v>
      </c>
      <c r="C256" s="12" t="s">
        <v>65</v>
      </c>
      <c r="D256" s="12" t="s">
        <v>102</v>
      </c>
      <c r="E256" s="12" t="s">
        <v>152</v>
      </c>
      <c r="F256" s="13" t="s">
        <v>153</v>
      </c>
      <c r="G256" s="12" t="s">
        <v>68</v>
      </c>
      <c r="H256" s="12" t="s">
        <v>154</v>
      </c>
      <c r="I256" s="12" t="s">
        <v>155</v>
      </c>
      <c r="J256" s="17" t="s">
        <v>108</v>
      </c>
      <c r="K256" s="17" t="s">
        <v>109</v>
      </c>
      <c r="L256" s="17" t="s">
        <v>1711</v>
      </c>
      <c r="M256" s="20">
        <v>45888.0</v>
      </c>
      <c r="N256" s="17" t="s">
        <v>194</v>
      </c>
      <c r="O256" s="88" t="s">
        <v>1519</v>
      </c>
      <c r="P256" s="88" t="s">
        <v>1519</v>
      </c>
      <c r="Q256" s="88" t="s">
        <v>1519</v>
      </c>
      <c r="R256" s="88" t="s">
        <v>1520</v>
      </c>
      <c r="S256" s="88" t="s">
        <v>1519</v>
      </c>
      <c r="T256" s="88" t="s">
        <v>1520</v>
      </c>
      <c r="U256" s="88" t="s">
        <v>1519</v>
      </c>
      <c r="V256" s="88" t="s">
        <v>1520</v>
      </c>
      <c r="W256" s="88" t="s">
        <v>1521</v>
      </c>
      <c r="X256" s="88" t="s">
        <v>1519</v>
      </c>
      <c r="Y256" s="88" t="s">
        <v>1519</v>
      </c>
      <c r="Z256" s="88" t="s">
        <v>1520</v>
      </c>
      <c r="AA256" s="88" t="s">
        <v>1520</v>
      </c>
      <c r="AB256" s="88" t="s">
        <v>1520</v>
      </c>
      <c r="AC256" s="88" t="s">
        <v>1520</v>
      </c>
      <c r="AD256" s="89"/>
      <c r="AE256" s="18" t="s">
        <v>92</v>
      </c>
      <c r="AF256" s="18"/>
      <c r="AG256" s="18"/>
      <c r="AH256" s="18"/>
      <c r="AI256" s="18"/>
      <c r="AJ256" s="18"/>
      <c r="AK256" s="18"/>
      <c r="AL256" s="18"/>
      <c r="AM256" s="18"/>
    </row>
    <row r="257">
      <c r="A257" s="11"/>
      <c r="B257" s="12" t="s">
        <v>34</v>
      </c>
      <c r="C257" s="12" t="s">
        <v>65</v>
      </c>
      <c r="D257" s="12" t="s">
        <v>102</v>
      </c>
      <c r="E257" s="12" t="s">
        <v>152</v>
      </c>
      <c r="F257" s="13" t="s">
        <v>153</v>
      </c>
      <c r="G257" s="12" t="s">
        <v>68</v>
      </c>
      <c r="H257" s="12" t="s">
        <v>154</v>
      </c>
      <c r="I257" s="12" t="s">
        <v>155</v>
      </c>
      <c r="J257" s="17" t="s">
        <v>108</v>
      </c>
      <c r="K257" s="17" t="s">
        <v>109</v>
      </c>
      <c r="L257" s="17" t="s">
        <v>1712</v>
      </c>
      <c r="M257" s="20">
        <v>45888.0</v>
      </c>
      <c r="N257" s="17" t="s">
        <v>194</v>
      </c>
      <c r="O257" s="88" t="s">
        <v>1519</v>
      </c>
      <c r="P257" s="88" t="s">
        <v>1520</v>
      </c>
      <c r="Q257" s="88" t="s">
        <v>1521</v>
      </c>
      <c r="R257" s="88" t="s">
        <v>1521</v>
      </c>
      <c r="S257" s="88" t="s">
        <v>1519</v>
      </c>
      <c r="T257" s="88" t="s">
        <v>1520</v>
      </c>
      <c r="U257" s="88" t="s">
        <v>1519</v>
      </c>
      <c r="V257" s="88" t="s">
        <v>1520</v>
      </c>
      <c r="W257" s="88" t="s">
        <v>1521</v>
      </c>
      <c r="X257" s="88" t="s">
        <v>1520</v>
      </c>
      <c r="Y257" s="88" t="s">
        <v>1520</v>
      </c>
      <c r="Z257" s="88" t="s">
        <v>1520</v>
      </c>
      <c r="AA257" s="88" t="s">
        <v>1520</v>
      </c>
      <c r="AB257" s="88" t="s">
        <v>1520</v>
      </c>
      <c r="AC257" s="88" t="s">
        <v>1520</v>
      </c>
      <c r="AD257" s="89"/>
      <c r="AE257" s="18" t="s">
        <v>92</v>
      </c>
      <c r="AF257" s="18"/>
      <c r="AG257" s="18"/>
      <c r="AH257" s="18"/>
      <c r="AI257" s="18"/>
      <c r="AJ257" s="18"/>
      <c r="AK257" s="18"/>
      <c r="AL257" s="18"/>
      <c r="AM257" s="18"/>
    </row>
    <row r="258">
      <c r="A258" s="11"/>
      <c r="B258" s="12" t="s">
        <v>34</v>
      </c>
      <c r="C258" s="12" t="s">
        <v>65</v>
      </c>
      <c r="D258" s="12" t="s">
        <v>102</v>
      </c>
      <c r="E258" s="12" t="s">
        <v>152</v>
      </c>
      <c r="F258" s="13" t="s">
        <v>153</v>
      </c>
      <c r="G258" s="12" t="s">
        <v>68</v>
      </c>
      <c r="H258" s="12" t="s">
        <v>154</v>
      </c>
      <c r="I258" s="12" t="s">
        <v>155</v>
      </c>
      <c r="J258" s="17" t="s">
        <v>108</v>
      </c>
      <c r="K258" s="17" t="s">
        <v>109</v>
      </c>
      <c r="L258" s="17" t="s">
        <v>1713</v>
      </c>
      <c r="M258" s="20">
        <v>45888.0</v>
      </c>
      <c r="N258" s="17" t="s">
        <v>194</v>
      </c>
      <c r="O258" s="88" t="s">
        <v>1519</v>
      </c>
      <c r="P258" s="88" t="s">
        <v>1519</v>
      </c>
      <c r="Q258" s="88" t="s">
        <v>1519</v>
      </c>
      <c r="R258" s="88" t="s">
        <v>1521</v>
      </c>
      <c r="S258" s="88" t="s">
        <v>1519</v>
      </c>
      <c r="T258" s="88" t="s">
        <v>1520</v>
      </c>
      <c r="U258" s="88" t="s">
        <v>1519</v>
      </c>
      <c r="V258" s="88" t="s">
        <v>1521</v>
      </c>
      <c r="W258" s="88" t="s">
        <v>1520</v>
      </c>
      <c r="X258" s="88" t="s">
        <v>1521</v>
      </c>
      <c r="Y258" s="88" t="s">
        <v>1521</v>
      </c>
      <c r="Z258" s="88" t="s">
        <v>1520</v>
      </c>
      <c r="AA258" s="88" t="s">
        <v>1520</v>
      </c>
      <c r="AB258" s="88" t="s">
        <v>1520</v>
      </c>
      <c r="AC258" s="88" t="s">
        <v>1520</v>
      </c>
      <c r="AD258" s="89"/>
      <c r="AE258" s="18" t="s">
        <v>92</v>
      </c>
      <c r="AF258" s="18"/>
      <c r="AG258" s="18"/>
      <c r="AH258" s="18"/>
      <c r="AI258" s="18"/>
      <c r="AJ258" s="18"/>
      <c r="AK258" s="18"/>
      <c r="AL258" s="18"/>
      <c r="AM258" s="18"/>
    </row>
    <row r="259">
      <c r="A259" s="11"/>
      <c r="B259" s="12" t="s">
        <v>34</v>
      </c>
      <c r="C259" s="12" t="s">
        <v>65</v>
      </c>
      <c r="D259" s="12" t="s">
        <v>102</v>
      </c>
      <c r="E259" s="12" t="s">
        <v>152</v>
      </c>
      <c r="F259" s="13" t="s">
        <v>153</v>
      </c>
      <c r="G259" s="12" t="s">
        <v>68</v>
      </c>
      <c r="H259" s="12" t="s">
        <v>154</v>
      </c>
      <c r="I259" s="12" t="s">
        <v>155</v>
      </c>
      <c r="J259" s="17" t="s">
        <v>108</v>
      </c>
      <c r="K259" s="17" t="s">
        <v>109</v>
      </c>
      <c r="L259" s="17" t="s">
        <v>1714</v>
      </c>
      <c r="M259" s="20">
        <v>45888.0</v>
      </c>
      <c r="N259" s="17" t="s">
        <v>194</v>
      </c>
      <c r="O259" s="88" t="s">
        <v>1519</v>
      </c>
      <c r="P259" s="88" t="s">
        <v>1519</v>
      </c>
      <c r="Q259" s="88" t="s">
        <v>1519</v>
      </c>
      <c r="R259" s="88" t="s">
        <v>1521</v>
      </c>
      <c r="S259" s="88" t="s">
        <v>1519</v>
      </c>
      <c r="T259" s="88" t="s">
        <v>1520</v>
      </c>
      <c r="U259" s="88" t="s">
        <v>1519</v>
      </c>
      <c r="V259" s="88" t="s">
        <v>1520</v>
      </c>
      <c r="W259" s="88" t="s">
        <v>1520</v>
      </c>
      <c r="X259" s="88" t="s">
        <v>1521</v>
      </c>
      <c r="Y259" s="88" t="s">
        <v>1521</v>
      </c>
      <c r="Z259" s="88" t="s">
        <v>1520</v>
      </c>
      <c r="AA259" s="88" t="s">
        <v>1520</v>
      </c>
      <c r="AB259" s="88" t="s">
        <v>1520</v>
      </c>
      <c r="AC259" s="88" t="s">
        <v>1520</v>
      </c>
      <c r="AD259" s="89"/>
      <c r="AE259" s="18" t="s">
        <v>92</v>
      </c>
      <c r="AF259" s="18"/>
      <c r="AG259" s="18"/>
      <c r="AH259" s="18"/>
      <c r="AI259" s="18"/>
      <c r="AJ259" s="18"/>
      <c r="AK259" s="18"/>
      <c r="AL259" s="18"/>
      <c r="AM259" s="18"/>
    </row>
    <row r="260">
      <c r="A260" s="11"/>
      <c r="B260" s="12" t="s">
        <v>34</v>
      </c>
      <c r="C260" s="12" t="s">
        <v>65</v>
      </c>
      <c r="D260" s="12" t="s">
        <v>102</v>
      </c>
      <c r="E260" s="12" t="s">
        <v>152</v>
      </c>
      <c r="F260" s="13" t="s">
        <v>153</v>
      </c>
      <c r="G260" s="12" t="s">
        <v>68</v>
      </c>
      <c r="H260" s="12" t="s">
        <v>154</v>
      </c>
      <c r="I260" s="12" t="s">
        <v>155</v>
      </c>
      <c r="J260" s="17" t="s">
        <v>108</v>
      </c>
      <c r="K260" s="17" t="s">
        <v>109</v>
      </c>
      <c r="L260" s="17" t="s">
        <v>1715</v>
      </c>
      <c r="M260" s="20">
        <v>45888.0</v>
      </c>
      <c r="N260" s="17" t="s">
        <v>194</v>
      </c>
      <c r="O260" s="88" t="s">
        <v>1519</v>
      </c>
      <c r="P260" s="88" t="s">
        <v>1519</v>
      </c>
      <c r="Q260" s="88" t="s">
        <v>1519</v>
      </c>
      <c r="R260" s="88" t="s">
        <v>1521</v>
      </c>
      <c r="S260" s="88" t="s">
        <v>1519</v>
      </c>
      <c r="T260" s="88" t="s">
        <v>1520</v>
      </c>
      <c r="U260" s="88" t="s">
        <v>1519</v>
      </c>
      <c r="V260" s="88" t="s">
        <v>1521</v>
      </c>
      <c r="W260" s="88" t="s">
        <v>1521</v>
      </c>
      <c r="X260" s="88" t="s">
        <v>1519</v>
      </c>
      <c r="Y260" s="88" t="s">
        <v>1520</v>
      </c>
      <c r="Z260" s="88" t="s">
        <v>1520</v>
      </c>
      <c r="AA260" s="88" t="s">
        <v>1519</v>
      </c>
      <c r="AB260" s="88" t="s">
        <v>1519</v>
      </c>
      <c r="AC260" s="88" t="s">
        <v>1519</v>
      </c>
      <c r="AD260" s="89"/>
      <c r="AE260" s="18" t="s">
        <v>92</v>
      </c>
      <c r="AF260" s="18"/>
      <c r="AG260" s="18"/>
      <c r="AH260" s="18"/>
      <c r="AI260" s="18"/>
      <c r="AJ260" s="18"/>
      <c r="AK260" s="18"/>
      <c r="AL260" s="18"/>
      <c r="AM260" s="18"/>
    </row>
    <row r="261">
      <c r="A261" s="11"/>
      <c r="B261" s="12" t="s">
        <v>34</v>
      </c>
      <c r="C261" s="12" t="s">
        <v>65</v>
      </c>
      <c r="D261" s="12" t="s">
        <v>102</v>
      </c>
      <c r="E261" s="12" t="s">
        <v>152</v>
      </c>
      <c r="F261" s="13" t="s">
        <v>153</v>
      </c>
      <c r="G261" s="12" t="s">
        <v>68</v>
      </c>
      <c r="H261" s="12" t="s">
        <v>154</v>
      </c>
      <c r="I261" s="12" t="s">
        <v>155</v>
      </c>
      <c r="J261" s="17" t="s">
        <v>108</v>
      </c>
      <c r="K261" s="17" t="s">
        <v>109</v>
      </c>
      <c r="L261" s="17" t="s">
        <v>1716</v>
      </c>
      <c r="M261" s="20">
        <v>45888.0</v>
      </c>
      <c r="N261" s="17" t="s">
        <v>194</v>
      </c>
      <c r="O261" s="88" t="s">
        <v>1519</v>
      </c>
      <c r="P261" s="88" t="s">
        <v>1520</v>
      </c>
      <c r="Q261" s="88" t="s">
        <v>1521</v>
      </c>
      <c r="R261" s="88" t="s">
        <v>1521</v>
      </c>
      <c r="S261" s="88" t="s">
        <v>1519</v>
      </c>
      <c r="T261" s="88" t="s">
        <v>1520</v>
      </c>
      <c r="U261" s="88" t="s">
        <v>1519</v>
      </c>
      <c r="V261" s="88" t="s">
        <v>1521</v>
      </c>
      <c r="W261" s="88" t="s">
        <v>1521</v>
      </c>
      <c r="X261" s="88" t="s">
        <v>1519</v>
      </c>
      <c r="Y261" s="88" t="s">
        <v>1519</v>
      </c>
      <c r="Z261" s="88" t="s">
        <v>1520</v>
      </c>
      <c r="AA261" s="88" t="s">
        <v>1519</v>
      </c>
      <c r="AB261" s="88" t="s">
        <v>1519</v>
      </c>
      <c r="AC261" s="88" t="s">
        <v>1519</v>
      </c>
      <c r="AD261" s="89"/>
      <c r="AE261" s="18" t="s">
        <v>92</v>
      </c>
      <c r="AF261" s="18"/>
      <c r="AG261" s="18"/>
      <c r="AH261" s="18"/>
      <c r="AI261" s="18"/>
      <c r="AJ261" s="18"/>
      <c r="AK261" s="18"/>
      <c r="AL261" s="18"/>
      <c r="AM261" s="18"/>
    </row>
    <row r="262">
      <c r="A262" s="11"/>
      <c r="B262" s="12" t="s">
        <v>34</v>
      </c>
      <c r="C262" s="12" t="s">
        <v>65</v>
      </c>
      <c r="D262" s="12" t="s">
        <v>102</v>
      </c>
      <c r="E262" s="12" t="s">
        <v>152</v>
      </c>
      <c r="F262" s="13" t="s">
        <v>153</v>
      </c>
      <c r="G262" s="12" t="s">
        <v>68</v>
      </c>
      <c r="H262" s="12" t="s">
        <v>154</v>
      </c>
      <c r="I262" s="12" t="s">
        <v>155</v>
      </c>
      <c r="J262" s="17" t="s">
        <v>108</v>
      </c>
      <c r="K262" s="17" t="s">
        <v>109</v>
      </c>
      <c r="L262" s="17" t="s">
        <v>1717</v>
      </c>
      <c r="M262" s="20">
        <v>45888.0</v>
      </c>
      <c r="N262" s="17" t="s">
        <v>194</v>
      </c>
      <c r="O262" s="88" t="s">
        <v>1519</v>
      </c>
      <c r="P262" s="88" t="s">
        <v>1520</v>
      </c>
      <c r="Q262" s="88" t="s">
        <v>1519</v>
      </c>
      <c r="R262" s="88" t="s">
        <v>1521</v>
      </c>
      <c r="S262" s="88" t="s">
        <v>1519</v>
      </c>
      <c r="T262" s="88" t="s">
        <v>1520</v>
      </c>
      <c r="U262" s="88" t="s">
        <v>1519</v>
      </c>
      <c r="V262" s="88" t="s">
        <v>1520</v>
      </c>
      <c r="W262" s="88" t="s">
        <v>1520</v>
      </c>
      <c r="X262" s="88" t="s">
        <v>1519</v>
      </c>
      <c r="Y262" s="88" t="s">
        <v>1520</v>
      </c>
      <c r="Z262" s="88" t="s">
        <v>1520</v>
      </c>
      <c r="AA262" s="88" t="s">
        <v>1520</v>
      </c>
      <c r="AB262" s="88" t="s">
        <v>1520</v>
      </c>
      <c r="AC262" s="88" t="s">
        <v>1520</v>
      </c>
      <c r="AD262" s="89"/>
      <c r="AE262" s="18" t="s">
        <v>92</v>
      </c>
      <c r="AF262" s="18"/>
      <c r="AG262" s="18"/>
      <c r="AH262" s="18"/>
      <c r="AI262" s="18"/>
      <c r="AJ262" s="18"/>
      <c r="AK262" s="18"/>
      <c r="AL262" s="18"/>
      <c r="AM262" s="18"/>
    </row>
    <row r="263">
      <c r="A263" s="11"/>
      <c r="B263" s="12" t="s">
        <v>34</v>
      </c>
      <c r="C263" s="12" t="s">
        <v>65</v>
      </c>
      <c r="D263" s="12" t="s">
        <v>102</v>
      </c>
      <c r="E263" s="12" t="s">
        <v>152</v>
      </c>
      <c r="F263" s="13" t="s">
        <v>153</v>
      </c>
      <c r="G263" s="12" t="s">
        <v>68</v>
      </c>
      <c r="H263" s="12" t="s">
        <v>154</v>
      </c>
      <c r="I263" s="12" t="s">
        <v>155</v>
      </c>
      <c r="J263" s="17" t="s">
        <v>108</v>
      </c>
      <c r="K263" s="17" t="s">
        <v>109</v>
      </c>
      <c r="L263" s="17" t="s">
        <v>1718</v>
      </c>
      <c r="M263" s="20">
        <v>45888.0</v>
      </c>
      <c r="N263" s="17" t="s">
        <v>194</v>
      </c>
      <c r="O263" s="88" t="s">
        <v>1519</v>
      </c>
      <c r="P263" s="88" t="s">
        <v>1520</v>
      </c>
      <c r="Q263" s="88" t="s">
        <v>1520</v>
      </c>
      <c r="R263" s="88" t="s">
        <v>1521</v>
      </c>
      <c r="S263" s="88" t="s">
        <v>1519</v>
      </c>
      <c r="T263" s="88" t="s">
        <v>1520</v>
      </c>
      <c r="U263" s="88" t="s">
        <v>1519</v>
      </c>
      <c r="V263" s="88" t="s">
        <v>1521</v>
      </c>
      <c r="W263" s="88" t="s">
        <v>1521</v>
      </c>
      <c r="X263" s="88" t="s">
        <v>1519</v>
      </c>
      <c r="Y263" s="88" t="s">
        <v>1519</v>
      </c>
      <c r="Z263" s="88" t="s">
        <v>1520</v>
      </c>
      <c r="AA263" s="88" t="s">
        <v>1519</v>
      </c>
      <c r="AB263" s="88" t="s">
        <v>1519</v>
      </c>
      <c r="AC263" s="88" t="s">
        <v>1519</v>
      </c>
      <c r="AD263" s="89"/>
      <c r="AE263" s="18" t="s">
        <v>92</v>
      </c>
      <c r="AF263" s="18"/>
      <c r="AG263" s="18"/>
      <c r="AH263" s="18"/>
      <c r="AI263" s="18"/>
      <c r="AJ263" s="18"/>
      <c r="AK263" s="18"/>
      <c r="AL263" s="18"/>
      <c r="AM263" s="18"/>
    </row>
    <row r="264">
      <c r="A264" s="11"/>
      <c r="B264" s="12" t="s">
        <v>34</v>
      </c>
      <c r="C264" s="12" t="s">
        <v>65</v>
      </c>
      <c r="D264" s="12" t="s">
        <v>102</v>
      </c>
      <c r="E264" s="12" t="s">
        <v>152</v>
      </c>
      <c r="F264" s="13" t="s">
        <v>153</v>
      </c>
      <c r="G264" s="12" t="s">
        <v>68</v>
      </c>
      <c r="H264" s="12" t="s">
        <v>154</v>
      </c>
      <c r="I264" s="12" t="s">
        <v>155</v>
      </c>
      <c r="J264" s="17" t="s">
        <v>108</v>
      </c>
      <c r="K264" s="17" t="s">
        <v>109</v>
      </c>
      <c r="L264" s="17" t="s">
        <v>1719</v>
      </c>
      <c r="M264" s="20">
        <v>45888.0</v>
      </c>
      <c r="N264" s="17" t="s">
        <v>194</v>
      </c>
      <c r="O264" s="88" t="s">
        <v>1519</v>
      </c>
      <c r="P264" s="88" t="s">
        <v>1519</v>
      </c>
      <c r="Q264" s="88" t="s">
        <v>1519</v>
      </c>
      <c r="R264" s="88" t="s">
        <v>1521</v>
      </c>
      <c r="S264" s="88" t="s">
        <v>1519</v>
      </c>
      <c r="T264" s="88" t="s">
        <v>1520</v>
      </c>
      <c r="U264" s="88" t="s">
        <v>1519</v>
      </c>
      <c r="V264" s="88" t="s">
        <v>1520</v>
      </c>
      <c r="W264" s="88" t="s">
        <v>1520</v>
      </c>
      <c r="X264" s="88" t="s">
        <v>1519</v>
      </c>
      <c r="Y264" s="88" t="s">
        <v>1520</v>
      </c>
      <c r="Z264" s="88" t="s">
        <v>1520</v>
      </c>
      <c r="AA264" s="88" t="s">
        <v>1519</v>
      </c>
      <c r="AB264" s="88" t="s">
        <v>1519</v>
      </c>
      <c r="AC264" s="88" t="s">
        <v>1519</v>
      </c>
      <c r="AD264" s="89"/>
      <c r="AE264" s="18" t="s">
        <v>92</v>
      </c>
      <c r="AF264" s="18"/>
      <c r="AG264" s="18"/>
      <c r="AH264" s="18"/>
      <c r="AI264" s="18"/>
      <c r="AJ264" s="18"/>
      <c r="AK264" s="18"/>
      <c r="AL264" s="18"/>
      <c r="AM264" s="18"/>
    </row>
    <row r="265">
      <c r="A265" s="11"/>
      <c r="B265" s="12" t="s">
        <v>34</v>
      </c>
      <c r="C265" s="12" t="s">
        <v>65</v>
      </c>
      <c r="D265" s="12" t="s">
        <v>102</v>
      </c>
      <c r="E265" s="12" t="s">
        <v>152</v>
      </c>
      <c r="F265" s="13" t="s">
        <v>153</v>
      </c>
      <c r="G265" s="12" t="s">
        <v>68</v>
      </c>
      <c r="H265" s="12" t="s">
        <v>154</v>
      </c>
      <c r="I265" s="12" t="s">
        <v>155</v>
      </c>
      <c r="J265" s="17" t="s">
        <v>108</v>
      </c>
      <c r="K265" s="17" t="s">
        <v>109</v>
      </c>
      <c r="L265" s="17" t="s">
        <v>1720</v>
      </c>
      <c r="M265" s="20">
        <v>45888.0</v>
      </c>
      <c r="N265" s="17" t="s">
        <v>194</v>
      </c>
      <c r="O265" s="88" t="s">
        <v>1519</v>
      </c>
      <c r="P265" s="88" t="s">
        <v>1519</v>
      </c>
      <c r="Q265" s="88" t="s">
        <v>1519</v>
      </c>
      <c r="R265" s="88" t="s">
        <v>1521</v>
      </c>
      <c r="S265" s="88" t="s">
        <v>1519</v>
      </c>
      <c r="T265" s="88" t="s">
        <v>1520</v>
      </c>
      <c r="U265" s="88" t="s">
        <v>1519</v>
      </c>
      <c r="V265" s="88" t="s">
        <v>1520</v>
      </c>
      <c r="W265" s="88" t="s">
        <v>1520</v>
      </c>
      <c r="X265" s="88" t="s">
        <v>1520</v>
      </c>
      <c r="Y265" s="88" t="s">
        <v>1521</v>
      </c>
      <c r="Z265" s="88" t="s">
        <v>1520</v>
      </c>
      <c r="AA265" s="88" t="s">
        <v>1520</v>
      </c>
      <c r="AB265" s="88" t="s">
        <v>1520</v>
      </c>
      <c r="AC265" s="88" t="s">
        <v>1520</v>
      </c>
      <c r="AD265" s="89"/>
      <c r="AE265" s="18" t="s">
        <v>92</v>
      </c>
      <c r="AF265" s="18"/>
      <c r="AG265" s="18"/>
      <c r="AH265" s="18"/>
      <c r="AI265" s="18"/>
      <c r="AJ265" s="18"/>
      <c r="AK265" s="18"/>
      <c r="AL265" s="18"/>
      <c r="AM265" s="18"/>
    </row>
    <row r="266">
      <c r="A266" s="11"/>
      <c r="B266" s="12" t="s">
        <v>34</v>
      </c>
      <c r="C266" s="12" t="s">
        <v>65</v>
      </c>
      <c r="D266" s="12" t="s">
        <v>102</v>
      </c>
      <c r="E266" s="12" t="s">
        <v>152</v>
      </c>
      <c r="F266" s="13" t="s">
        <v>153</v>
      </c>
      <c r="G266" s="12" t="s">
        <v>68</v>
      </c>
      <c r="H266" s="12" t="s">
        <v>154</v>
      </c>
      <c r="I266" s="12" t="s">
        <v>155</v>
      </c>
      <c r="J266" s="17" t="s">
        <v>73</v>
      </c>
      <c r="K266" s="17" t="s">
        <v>74</v>
      </c>
      <c r="L266" s="17" t="s">
        <v>1696</v>
      </c>
      <c r="M266" s="20">
        <v>45980.0</v>
      </c>
      <c r="N266" s="17" t="s">
        <v>428</v>
      </c>
      <c r="O266" s="88" t="s">
        <v>1520</v>
      </c>
      <c r="P266" s="88" t="s">
        <v>1520</v>
      </c>
      <c r="Q266" s="88" t="s">
        <v>1520</v>
      </c>
      <c r="R266" s="88" t="s">
        <v>1520</v>
      </c>
      <c r="S266" s="88" t="s">
        <v>1520</v>
      </c>
      <c r="T266" s="88" t="s">
        <v>1520</v>
      </c>
      <c r="U266" s="88" t="s">
        <v>1520</v>
      </c>
      <c r="V266" s="88" t="s">
        <v>1520</v>
      </c>
      <c r="W266" s="88" t="s">
        <v>1520</v>
      </c>
      <c r="X266" s="88" t="s">
        <v>1519</v>
      </c>
      <c r="Y266" s="88" t="s">
        <v>1519</v>
      </c>
      <c r="Z266" s="88" t="s">
        <v>1519</v>
      </c>
      <c r="AA266" s="88" t="s">
        <v>1520</v>
      </c>
      <c r="AB266" s="88" t="s">
        <v>1520</v>
      </c>
      <c r="AC266" s="88" t="s">
        <v>1520</v>
      </c>
      <c r="AD266" s="89"/>
      <c r="AE266" s="18" t="s">
        <v>92</v>
      </c>
      <c r="AF266" s="18"/>
      <c r="AG266" s="18"/>
      <c r="AH266" s="18"/>
      <c r="AI266" s="18"/>
      <c r="AJ266" s="18"/>
      <c r="AK266" s="18"/>
      <c r="AL266" s="18"/>
      <c r="AM266" s="18"/>
    </row>
    <row r="267">
      <c r="A267" s="11"/>
      <c r="B267" s="12" t="s">
        <v>34</v>
      </c>
      <c r="C267" s="12" t="s">
        <v>65</v>
      </c>
      <c r="D267" s="12" t="s">
        <v>102</v>
      </c>
      <c r="E267" s="12" t="s">
        <v>152</v>
      </c>
      <c r="F267" s="13" t="s">
        <v>153</v>
      </c>
      <c r="G267" s="12" t="s">
        <v>68</v>
      </c>
      <c r="H267" s="12" t="s">
        <v>154</v>
      </c>
      <c r="I267" s="12" t="s">
        <v>155</v>
      </c>
      <c r="J267" s="17" t="s">
        <v>73</v>
      </c>
      <c r="K267" s="17" t="s">
        <v>74</v>
      </c>
      <c r="L267" s="17" t="s">
        <v>1721</v>
      </c>
      <c r="M267" s="20">
        <v>45980.0</v>
      </c>
      <c r="N267" s="17" t="s">
        <v>428</v>
      </c>
      <c r="O267" s="88" t="s">
        <v>1519</v>
      </c>
      <c r="P267" s="88" t="s">
        <v>1519</v>
      </c>
      <c r="Q267" s="88" t="s">
        <v>1519</v>
      </c>
      <c r="R267" s="88" t="s">
        <v>1520</v>
      </c>
      <c r="S267" s="88" t="s">
        <v>1519</v>
      </c>
      <c r="T267" s="88" t="s">
        <v>1520</v>
      </c>
      <c r="U267" s="88" t="s">
        <v>1519</v>
      </c>
      <c r="V267" s="88" t="s">
        <v>1519</v>
      </c>
      <c r="W267" s="88" t="s">
        <v>1519</v>
      </c>
      <c r="X267" s="88" t="s">
        <v>1520</v>
      </c>
      <c r="Y267" s="88" t="s">
        <v>1519</v>
      </c>
      <c r="Z267" s="88" t="s">
        <v>1520</v>
      </c>
      <c r="AA267" s="88" t="s">
        <v>1519</v>
      </c>
      <c r="AB267" s="88" t="s">
        <v>1520</v>
      </c>
      <c r="AC267" s="88" t="s">
        <v>1519</v>
      </c>
      <c r="AD267" s="89"/>
      <c r="AE267" s="18" t="s">
        <v>92</v>
      </c>
      <c r="AF267" s="18"/>
      <c r="AG267" s="18"/>
      <c r="AH267" s="18"/>
      <c r="AI267" s="18"/>
      <c r="AJ267" s="18"/>
      <c r="AK267" s="18"/>
      <c r="AL267" s="18"/>
      <c r="AM267" s="18"/>
    </row>
    <row r="268">
      <c r="A268" s="11"/>
      <c r="B268" s="12" t="s">
        <v>34</v>
      </c>
      <c r="C268" s="12" t="s">
        <v>65</v>
      </c>
      <c r="D268" s="12" t="s">
        <v>102</v>
      </c>
      <c r="E268" s="12" t="s">
        <v>152</v>
      </c>
      <c r="F268" s="13" t="s">
        <v>153</v>
      </c>
      <c r="G268" s="12" t="s">
        <v>68</v>
      </c>
      <c r="H268" s="12" t="s">
        <v>154</v>
      </c>
      <c r="I268" s="12" t="s">
        <v>155</v>
      </c>
      <c r="J268" s="17" t="s">
        <v>73</v>
      </c>
      <c r="K268" s="17" t="s">
        <v>74</v>
      </c>
      <c r="L268" s="17" t="s">
        <v>1698</v>
      </c>
      <c r="M268" s="20">
        <v>45980.0</v>
      </c>
      <c r="N268" s="17" t="s">
        <v>428</v>
      </c>
      <c r="O268" s="88" t="s">
        <v>1520</v>
      </c>
      <c r="P268" s="88" t="s">
        <v>1520</v>
      </c>
      <c r="Q268" s="88" t="s">
        <v>1520</v>
      </c>
      <c r="R268" s="88" t="s">
        <v>1520</v>
      </c>
      <c r="S268" s="88" t="s">
        <v>1520</v>
      </c>
      <c r="T268" s="88" t="s">
        <v>1520</v>
      </c>
      <c r="U268" s="88" t="s">
        <v>1520</v>
      </c>
      <c r="V268" s="88" t="s">
        <v>1520</v>
      </c>
      <c r="W268" s="88" t="s">
        <v>1520</v>
      </c>
      <c r="X268" s="88" t="s">
        <v>1520</v>
      </c>
      <c r="Y268" s="88" t="s">
        <v>1520</v>
      </c>
      <c r="Z268" s="88" t="s">
        <v>1519</v>
      </c>
      <c r="AA268" s="88" t="s">
        <v>1519</v>
      </c>
      <c r="AB268" s="88" t="s">
        <v>1520</v>
      </c>
      <c r="AC268" s="88" t="s">
        <v>1520</v>
      </c>
      <c r="AD268" s="89"/>
      <c r="AE268" s="18" t="s">
        <v>92</v>
      </c>
      <c r="AF268" s="18"/>
      <c r="AG268" s="18"/>
      <c r="AH268" s="18"/>
      <c r="AI268" s="18"/>
      <c r="AJ268" s="18"/>
      <c r="AK268" s="18"/>
      <c r="AL268" s="18"/>
      <c r="AM268" s="18"/>
    </row>
    <row r="269">
      <c r="A269" s="11"/>
      <c r="B269" s="12" t="s">
        <v>34</v>
      </c>
      <c r="C269" s="12" t="s">
        <v>65</v>
      </c>
      <c r="D269" s="12" t="s">
        <v>102</v>
      </c>
      <c r="E269" s="12" t="s">
        <v>152</v>
      </c>
      <c r="F269" s="13" t="s">
        <v>153</v>
      </c>
      <c r="G269" s="12" t="s">
        <v>68</v>
      </c>
      <c r="H269" s="12" t="s">
        <v>154</v>
      </c>
      <c r="I269" s="12" t="s">
        <v>155</v>
      </c>
      <c r="J269" s="17" t="s">
        <v>73</v>
      </c>
      <c r="K269" s="17" t="s">
        <v>74</v>
      </c>
      <c r="L269" s="17" t="s">
        <v>1699</v>
      </c>
      <c r="M269" s="20">
        <v>45980.0</v>
      </c>
      <c r="N269" s="17" t="s">
        <v>428</v>
      </c>
      <c r="O269" s="88" t="s">
        <v>1520</v>
      </c>
      <c r="P269" s="88" t="s">
        <v>1520</v>
      </c>
      <c r="Q269" s="88" t="s">
        <v>1520</v>
      </c>
      <c r="R269" s="88" t="s">
        <v>1520</v>
      </c>
      <c r="S269" s="88" t="s">
        <v>1520</v>
      </c>
      <c r="T269" s="88" t="s">
        <v>1520</v>
      </c>
      <c r="U269" s="88" t="s">
        <v>1520</v>
      </c>
      <c r="V269" s="88" t="s">
        <v>1520</v>
      </c>
      <c r="W269" s="88" t="s">
        <v>1520</v>
      </c>
      <c r="X269" s="88" t="s">
        <v>1519</v>
      </c>
      <c r="Y269" s="88" t="s">
        <v>1519</v>
      </c>
      <c r="Z269" s="88" t="s">
        <v>1519</v>
      </c>
      <c r="AA269" s="88" t="s">
        <v>1520</v>
      </c>
      <c r="AB269" s="88" t="s">
        <v>1520</v>
      </c>
      <c r="AC269" s="88" t="s">
        <v>1520</v>
      </c>
      <c r="AD269" s="89"/>
      <c r="AE269" s="18" t="s">
        <v>92</v>
      </c>
      <c r="AF269" s="18"/>
      <c r="AG269" s="18"/>
      <c r="AH269" s="18"/>
      <c r="AI269" s="18"/>
      <c r="AJ269" s="18"/>
      <c r="AK269" s="18"/>
      <c r="AL269" s="18"/>
      <c r="AM269" s="18"/>
    </row>
    <row r="270">
      <c r="A270" s="11"/>
      <c r="B270" s="12" t="s">
        <v>34</v>
      </c>
      <c r="C270" s="12" t="s">
        <v>65</v>
      </c>
      <c r="D270" s="12" t="s">
        <v>102</v>
      </c>
      <c r="E270" s="12" t="s">
        <v>152</v>
      </c>
      <c r="F270" s="13" t="s">
        <v>153</v>
      </c>
      <c r="G270" s="12" t="s">
        <v>68</v>
      </c>
      <c r="H270" s="12" t="s">
        <v>154</v>
      </c>
      <c r="I270" s="12" t="s">
        <v>155</v>
      </c>
      <c r="J270" s="17" t="s">
        <v>73</v>
      </c>
      <c r="K270" s="17" t="s">
        <v>74</v>
      </c>
      <c r="L270" s="17" t="s">
        <v>1700</v>
      </c>
      <c r="M270" s="20">
        <v>45980.0</v>
      </c>
      <c r="N270" s="17" t="s">
        <v>428</v>
      </c>
      <c r="O270" s="88" t="s">
        <v>1520</v>
      </c>
      <c r="P270" s="88" t="s">
        <v>1519</v>
      </c>
      <c r="Q270" s="88" t="s">
        <v>1519</v>
      </c>
      <c r="R270" s="88" t="s">
        <v>1520</v>
      </c>
      <c r="S270" s="88" t="s">
        <v>1519</v>
      </c>
      <c r="T270" s="88" t="s">
        <v>1519</v>
      </c>
      <c r="U270" s="88" t="s">
        <v>1519</v>
      </c>
      <c r="V270" s="88" t="s">
        <v>1519</v>
      </c>
      <c r="W270" s="88" t="s">
        <v>1519</v>
      </c>
      <c r="X270" s="88" t="s">
        <v>1519</v>
      </c>
      <c r="Y270" s="88" t="s">
        <v>1519</v>
      </c>
      <c r="Z270" s="88" t="s">
        <v>1519</v>
      </c>
      <c r="AA270" s="88" t="s">
        <v>1519</v>
      </c>
      <c r="AB270" s="88" t="s">
        <v>1519</v>
      </c>
      <c r="AC270" s="88" t="s">
        <v>1520</v>
      </c>
      <c r="AD270" s="89"/>
      <c r="AE270" s="18" t="s">
        <v>92</v>
      </c>
      <c r="AF270" s="18"/>
      <c r="AG270" s="18"/>
      <c r="AH270" s="18"/>
      <c r="AI270" s="18"/>
      <c r="AJ270" s="18"/>
      <c r="AK270" s="18"/>
      <c r="AL270" s="18"/>
      <c r="AM270" s="18"/>
    </row>
    <row r="271">
      <c r="A271" s="11"/>
      <c r="B271" s="12" t="s">
        <v>34</v>
      </c>
      <c r="C271" s="12" t="s">
        <v>65</v>
      </c>
      <c r="D271" s="12" t="s">
        <v>102</v>
      </c>
      <c r="E271" s="12" t="s">
        <v>152</v>
      </c>
      <c r="F271" s="13" t="s">
        <v>153</v>
      </c>
      <c r="G271" s="12" t="s">
        <v>68</v>
      </c>
      <c r="H271" s="12" t="s">
        <v>154</v>
      </c>
      <c r="I271" s="12" t="s">
        <v>155</v>
      </c>
      <c r="J271" s="17" t="s">
        <v>73</v>
      </c>
      <c r="K271" s="17" t="s">
        <v>74</v>
      </c>
      <c r="L271" s="17" t="s">
        <v>1701</v>
      </c>
      <c r="M271" s="20">
        <v>45980.0</v>
      </c>
      <c r="N271" s="17" t="s">
        <v>428</v>
      </c>
      <c r="O271" s="88" t="s">
        <v>1519</v>
      </c>
      <c r="P271" s="88" t="s">
        <v>1519</v>
      </c>
      <c r="Q271" s="88" t="s">
        <v>1519</v>
      </c>
      <c r="R271" s="88" t="s">
        <v>1520</v>
      </c>
      <c r="S271" s="88" t="s">
        <v>1519</v>
      </c>
      <c r="T271" s="88" t="s">
        <v>1519</v>
      </c>
      <c r="U271" s="88" t="s">
        <v>1520</v>
      </c>
      <c r="V271" s="88" t="s">
        <v>1519</v>
      </c>
      <c r="W271" s="88" t="s">
        <v>1519</v>
      </c>
      <c r="X271" s="88" t="s">
        <v>1519</v>
      </c>
      <c r="Y271" s="88" t="s">
        <v>1519</v>
      </c>
      <c r="Z271" s="88" t="s">
        <v>1519</v>
      </c>
      <c r="AA271" s="88" t="s">
        <v>1519</v>
      </c>
      <c r="AB271" s="88" t="s">
        <v>1519</v>
      </c>
      <c r="AC271" s="88" t="s">
        <v>1519</v>
      </c>
      <c r="AD271" s="89"/>
      <c r="AE271" s="18" t="s">
        <v>92</v>
      </c>
      <c r="AF271" s="18"/>
      <c r="AG271" s="18"/>
      <c r="AH271" s="18"/>
      <c r="AI271" s="18"/>
      <c r="AJ271" s="18"/>
      <c r="AK271" s="18"/>
      <c r="AL271" s="18"/>
      <c r="AM271" s="18"/>
    </row>
    <row r="272">
      <c r="A272" s="11"/>
      <c r="B272" s="12" t="s">
        <v>34</v>
      </c>
      <c r="C272" s="12" t="s">
        <v>65</v>
      </c>
      <c r="D272" s="12" t="s">
        <v>102</v>
      </c>
      <c r="E272" s="12" t="s">
        <v>152</v>
      </c>
      <c r="F272" s="13" t="s">
        <v>153</v>
      </c>
      <c r="G272" s="12" t="s">
        <v>68</v>
      </c>
      <c r="H272" s="12" t="s">
        <v>154</v>
      </c>
      <c r="I272" s="12" t="s">
        <v>155</v>
      </c>
      <c r="J272" s="17" t="s">
        <v>73</v>
      </c>
      <c r="K272" s="17" t="s">
        <v>74</v>
      </c>
      <c r="L272" s="17" t="s">
        <v>1702</v>
      </c>
      <c r="M272" s="20">
        <v>45980.0</v>
      </c>
      <c r="N272" s="17" t="s">
        <v>428</v>
      </c>
      <c r="O272" s="88" t="s">
        <v>1520</v>
      </c>
      <c r="P272" s="88" t="s">
        <v>1519</v>
      </c>
      <c r="Q272" s="88" t="s">
        <v>1519</v>
      </c>
      <c r="R272" s="88" t="s">
        <v>1520</v>
      </c>
      <c r="S272" s="88" t="s">
        <v>1519</v>
      </c>
      <c r="T272" s="88" t="s">
        <v>1519</v>
      </c>
      <c r="U272" s="88" t="s">
        <v>1520</v>
      </c>
      <c r="V272" s="88" t="s">
        <v>1519</v>
      </c>
      <c r="W272" s="88" t="s">
        <v>1519</v>
      </c>
      <c r="X272" s="88" t="s">
        <v>1519</v>
      </c>
      <c r="Y272" s="88" t="s">
        <v>1519</v>
      </c>
      <c r="Z272" s="88" t="s">
        <v>1519</v>
      </c>
      <c r="AA272" s="88" t="s">
        <v>1520</v>
      </c>
      <c r="AB272" s="88" t="s">
        <v>1520</v>
      </c>
      <c r="AC272" s="88" t="s">
        <v>1520</v>
      </c>
      <c r="AD272" s="89"/>
      <c r="AE272" s="18" t="s">
        <v>92</v>
      </c>
      <c r="AF272" s="18"/>
      <c r="AG272" s="18"/>
      <c r="AH272" s="18"/>
      <c r="AI272" s="18"/>
      <c r="AJ272" s="18"/>
      <c r="AK272" s="18"/>
      <c r="AL272" s="18"/>
      <c r="AM272" s="18"/>
    </row>
    <row r="273">
      <c r="A273" s="11"/>
      <c r="B273" s="12" t="s">
        <v>34</v>
      </c>
      <c r="C273" s="12" t="s">
        <v>65</v>
      </c>
      <c r="D273" s="12" t="s">
        <v>102</v>
      </c>
      <c r="E273" s="12" t="s">
        <v>152</v>
      </c>
      <c r="F273" s="13" t="s">
        <v>153</v>
      </c>
      <c r="G273" s="12" t="s">
        <v>68</v>
      </c>
      <c r="H273" s="12" t="s">
        <v>154</v>
      </c>
      <c r="I273" s="12" t="s">
        <v>155</v>
      </c>
      <c r="J273" s="17" t="s">
        <v>112</v>
      </c>
      <c r="K273" s="17" t="s">
        <v>113</v>
      </c>
      <c r="L273" s="17" t="s">
        <v>1703</v>
      </c>
      <c r="M273" s="20">
        <v>45980.0</v>
      </c>
      <c r="N273" s="17" t="s">
        <v>428</v>
      </c>
      <c r="O273" s="88" t="s">
        <v>1519</v>
      </c>
      <c r="P273" s="88" t="s">
        <v>1519</v>
      </c>
      <c r="Q273" s="88" t="s">
        <v>1519</v>
      </c>
      <c r="R273" s="88" t="s">
        <v>1519</v>
      </c>
      <c r="S273" s="88" t="s">
        <v>1519</v>
      </c>
      <c r="T273" s="88" t="s">
        <v>1519</v>
      </c>
      <c r="U273" s="88" t="s">
        <v>1519</v>
      </c>
      <c r="V273" s="88" t="s">
        <v>1519</v>
      </c>
      <c r="W273" s="88" t="s">
        <v>1519</v>
      </c>
      <c r="X273" s="88" t="s">
        <v>1520</v>
      </c>
      <c r="Y273" s="88" t="s">
        <v>1519</v>
      </c>
      <c r="Z273" s="88" t="s">
        <v>1519</v>
      </c>
      <c r="AA273" s="88" t="s">
        <v>1519</v>
      </c>
      <c r="AB273" s="88" t="s">
        <v>1519</v>
      </c>
      <c r="AC273" s="88" t="s">
        <v>1520</v>
      </c>
      <c r="AD273" s="89"/>
      <c r="AE273" s="18" t="s">
        <v>92</v>
      </c>
      <c r="AF273" s="18"/>
      <c r="AG273" s="18"/>
      <c r="AH273" s="18"/>
      <c r="AI273" s="18"/>
      <c r="AJ273" s="18"/>
      <c r="AK273" s="18"/>
      <c r="AL273" s="18"/>
      <c r="AM273" s="18"/>
    </row>
    <row r="274">
      <c r="A274" s="11"/>
      <c r="B274" s="12" t="s">
        <v>34</v>
      </c>
      <c r="C274" s="12" t="s">
        <v>65</v>
      </c>
      <c r="D274" s="12" t="s">
        <v>102</v>
      </c>
      <c r="E274" s="12" t="s">
        <v>152</v>
      </c>
      <c r="F274" s="13" t="s">
        <v>153</v>
      </c>
      <c r="G274" s="12" t="s">
        <v>68</v>
      </c>
      <c r="H274" s="12" t="s">
        <v>154</v>
      </c>
      <c r="I274" s="12" t="s">
        <v>155</v>
      </c>
      <c r="J274" s="17" t="s">
        <v>112</v>
      </c>
      <c r="K274" s="17" t="s">
        <v>113</v>
      </c>
      <c r="L274" s="17" t="s">
        <v>1704</v>
      </c>
      <c r="M274" s="20">
        <v>45980.0</v>
      </c>
      <c r="N274" s="17" t="s">
        <v>428</v>
      </c>
      <c r="O274" s="88" t="s">
        <v>1520</v>
      </c>
      <c r="P274" s="88" t="s">
        <v>1519</v>
      </c>
      <c r="Q274" s="88" t="s">
        <v>1519</v>
      </c>
      <c r="R274" s="88" t="s">
        <v>1519</v>
      </c>
      <c r="S274" s="88" t="s">
        <v>1519</v>
      </c>
      <c r="T274" s="88" t="s">
        <v>1519</v>
      </c>
      <c r="U274" s="88" t="s">
        <v>1519</v>
      </c>
      <c r="V274" s="88" t="s">
        <v>1519</v>
      </c>
      <c r="W274" s="88" t="s">
        <v>1519</v>
      </c>
      <c r="X274" s="88" t="s">
        <v>1519</v>
      </c>
      <c r="Y274" s="88" t="s">
        <v>1519</v>
      </c>
      <c r="Z274" s="88" t="s">
        <v>1519</v>
      </c>
      <c r="AA274" s="88" t="s">
        <v>1519</v>
      </c>
      <c r="AB274" s="88" t="s">
        <v>1519</v>
      </c>
      <c r="AC274" s="88" t="s">
        <v>1520</v>
      </c>
      <c r="AD274" s="89"/>
      <c r="AE274" s="18" t="s">
        <v>92</v>
      </c>
      <c r="AF274" s="18"/>
      <c r="AG274" s="18"/>
      <c r="AH274" s="18"/>
      <c r="AI274" s="18"/>
      <c r="AJ274" s="18"/>
      <c r="AK274" s="18"/>
      <c r="AL274" s="18"/>
      <c r="AM274" s="18"/>
    </row>
    <row r="275">
      <c r="A275" s="11"/>
      <c r="B275" s="12" t="s">
        <v>34</v>
      </c>
      <c r="C275" s="12" t="s">
        <v>65</v>
      </c>
      <c r="D275" s="12" t="s">
        <v>102</v>
      </c>
      <c r="E275" s="12" t="s">
        <v>152</v>
      </c>
      <c r="F275" s="13" t="s">
        <v>153</v>
      </c>
      <c r="G275" s="12" t="s">
        <v>68</v>
      </c>
      <c r="H275" s="12" t="s">
        <v>154</v>
      </c>
      <c r="I275" s="12" t="s">
        <v>155</v>
      </c>
      <c r="J275" s="17" t="s">
        <v>112</v>
      </c>
      <c r="K275" s="17" t="s">
        <v>113</v>
      </c>
      <c r="L275" s="17" t="s">
        <v>1705</v>
      </c>
      <c r="M275" s="20">
        <v>45980.0</v>
      </c>
      <c r="N275" s="17" t="s">
        <v>428</v>
      </c>
      <c r="O275" s="88" t="s">
        <v>1520</v>
      </c>
      <c r="P275" s="88" t="s">
        <v>1519</v>
      </c>
      <c r="Q275" s="88" t="s">
        <v>1520</v>
      </c>
      <c r="R275" s="88" t="s">
        <v>1520</v>
      </c>
      <c r="S275" s="88" t="s">
        <v>1520</v>
      </c>
      <c r="T275" s="88" t="s">
        <v>1520</v>
      </c>
      <c r="U275" s="88" t="s">
        <v>1520</v>
      </c>
      <c r="V275" s="88" t="s">
        <v>1520</v>
      </c>
      <c r="W275" s="88" t="s">
        <v>1520</v>
      </c>
      <c r="X275" s="88" t="s">
        <v>1520</v>
      </c>
      <c r="Y275" s="88" t="s">
        <v>1519</v>
      </c>
      <c r="Z275" s="88" t="s">
        <v>1519</v>
      </c>
      <c r="AA275" s="88" t="s">
        <v>1520</v>
      </c>
      <c r="AB275" s="88" t="s">
        <v>1520</v>
      </c>
      <c r="AC275" s="88" t="s">
        <v>1520</v>
      </c>
      <c r="AD275" s="89"/>
      <c r="AE275" s="18" t="s">
        <v>92</v>
      </c>
      <c r="AF275" s="18"/>
      <c r="AG275" s="18"/>
      <c r="AH275" s="18"/>
      <c r="AI275" s="18"/>
      <c r="AJ275" s="18"/>
      <c r="AK275" s="18"/>
      <c r="AL275" s="18"/>
      <c r="AM275" s="18"/>
    </row>
    <row r="276">
      <c r="A276" s="11"/>
      <c r="B276" s="12" t="s">
        <v>34</v>
      </c>
      <c r="C276" s="12" t="s">
        <v>65</v>
      </c>
      <c r="D276" s="12" t="s">
        <v>102</v>
      </c>
      <c r="E276" s="12" t="s">
        <v>152</v>
      </c>
      <c r="F276" s="13" t="s">
        <v>153</v>
      </c>
      <c r="G276" s="12" t="s">
        <v>68</v>
      </c>
      <c r="H276" s="12" t="s">
        <v>154</v>
      </c>
      <c r="I276" s="12" t="s">
        <v>155</v>
      </c>
      <c r="J276" s="17" t="s">
        <v>112</v>
      </c>
      <c r="K276" s="17" t="s">
        <v>113</v>
      </c>
      <c r="L276" s="17" t="s">
        <v>1706</v>
      </c>
      <c r="M276" s="20">
        <v>45980.0</v>
      </c>
      <c r="N276" s="17" t="s">
        <v>428</v>
      </c>
      <c r="O276" s="88" t="s">
        <v>1519</v>
      </c>
      <c r="P276" s="88" t="s">
        <v>1519</v>
      </c>
      <c r="Q276" s="88" t="s">
        <v>1519</v>
      </c>
      <c r="R276" s="88" t="s">
        <v>1519</v>
      </c>
      <c r="S276" s="88" t="s">
        <v>1519</v>
      </c>
      <c r="T276" s="88" t="s">
        <v>1519</v>
      </c>
      <c r="U276" s="88" t="s">
        <v>1519</v>
      </c>
      <c r="V276" s="88" t="s">
        <v>1519</v>
      </c>
      <c r="W276" s="88" t="s">
        <v>1519</v>
      </c>
      <c r="X276" s="88" t="s">
        <v>1519</v>
      </c>
      <c r="Y276" s="88" t="s">
        <v>1519</v>
      </c>
      <c r="Z276" s="88" t="s">
        <v>1519</v>
      </c>
      <c r="AA276" s="88" t="s">
        <v>1519</v>
      </c>
      <c r="AB276" s="88" t="s">
        <v>1519</v>
      </c>
      <c r="AC276" s="88" t="s">
        <v>1520</v>
      </c>
      <c r="AD276" s="89"/>
      <c r="AE276" s="18" t="s">
        <v>92</v>
      </c>
      <c r="AF276" s="18"/>
      <c r="AG276" s="18"/>
      <c r="AH276" s="18"/>
      <c r="AI276" s="18"/>
      <c r="AJ276" s="18"/>
      <c r="AK276" s="18"/>
      <c r="AL276" s="18"/>
      <c r="AM276" s="18"/>
    </row>
    <row r="277">
      <c r="A277" s="11"/>
      <c r="B277" s="12" t="s">
        <v>34</v>
      </c>
      <c r="C277" s="12" t="s">
        <v>65</v>
      </c>
      <c r="D277" s="12" t="s">
        <v>102</v>
      </c>
      <c r="E277" s="12" t="s">
        <v>152</v>
      </c>
      <c r="F277" s="13" t="s">
        <v>153</v>
      </c>
      <c r="G277" s="12" t="s">
        <v>68</v>
      </c>
      <c r="H277" s="12" t="s">
        <v>154</v>
      </c>
      <c r="I277" s="12" t="s">
        <v>155</v>
      </c>
      <c r="J277" s="17" t="s">
        <v>112</v>
      </c>
      <c r="K277" s="17" t="s">
        <v>113</v>
      </c>
      <c r="L277" s="17" t="s">
        <v>1707</v>
      </c>
      <c r="M277" s="20">
        <v>45980.0</v>
      </c>
      <c r="N277" s="17" t="s">
        <v>428</v>
      </c>
      <c r="O277" s="88" t="s">
        <v>1520</v>
      </c>
      <c r="P277" s="88" t="s">
        <v>1519</v>
      </c>
      <c r="Q277" s="88" t="s">
        <v>1520</v>
      </c>
      <c r="R277" s="88" t="s">
        <v>1521</v>
      </c>
      <c r="S277" s="88" t="s">
        <v>1519</v>
      </c>
      <c r="T277" s="88" t="s">
        <v>1520</v>
      </c>
      <c r="U277" s="88" t="s">
        <v>1520</v>
      </c>
      <c r="V277" s="88" t="s">
        <v>1519</v>
      </c>
      <c r="W277" s="88" t="s">
        <v>1519</v>
      </c>
      <c r="X277" s="88" t="s">
        <v>1520</v>
      </c>
      <c r="Y277" s="88" t="s">
        <v>1520</v>
      </c>
      <c r="Z277" s="88" t="s">
        <v>1520</v>
      </c>
      <c r="AA277" s="88" t="s">
        <v>1519</v>
      </c>
      <c r="AB277" s="88" t="s">
        <v>1520</v>
      </c>
      <c r="AC277" s="88" t="s">
        <v>1520</v>
      </c>
      <c r="AD277" s="89"/>
      <c r="AE277" s="18" t="s">
        <v>92</v>
      </c>
      <c r="AF277" s="18"/>
      <c r="AG277" s="18"/>
      <c r="AH277" s="18"/>
      <c r="AI277" s="18"/>
      <c r="AJ277" s="18"/>
      <c r="AK277" s="18"/>
      <c r="AL277" s="18"/>
      <c r="AM277" s="18"/>
    </row>
    <row r="278">
      <c r="A278" s="11"/>
      <c r="B278" s="12" t="s">
        <v>34</v>
      </c>
      <c r="C278" s="12" t="s">
        <v>65</v>
      </c>
      <c r="D278" s="12" t="s">
        <v>102</v>
      </c>
      <c r="E278" s="12" t="s">
        <v>152</v>
      </c>
      <c r="F278" s="13" t="s">
        <v>153</v>
      </c>
      <c r="G278" s="12" t="s">
        <v>68</v>
      </c>
      <c r="H278" s="12" t="s">
        <v>154</v>
      </c>
      <c r="I278" s="12" t="s">
        <v>155</v>
      </c>
      <c r="J278" s="17" t="s">
        <v>112</v>
      </c>
      <c r="K278" s="17" t="s">
        <v>113</v>
      </c>
      <c r="L278" s="17" t="s">
        <v>1708</v>
      </c>
      <c r="M278" s="20">
        <v>45980.0</v>
      </c>
      <c r="N278" s="17" t="s">
        <v>428</v>
      </c>
      <c r="O278" s="88" t="s">
        <v>1520</v>
      </c>
      <c r="P278" s="88" t="s">
        <v>1519</v>
      </c>
      <c r="Q278" s="88" t="s">
        <v>1520</v>
      </c>
      <c r="R278" s="88" t="s">
        <v>1519</v>
      </c>
      <c r="S278" s="88" t="s">
        <v>1520</v>
      </c>
      <c r="T278" s="88" t="s">
        <v>1520</v>
      </c>
      <c r="U278" s="88" t="s">
        <v>1519</v>
      </c>
      <c r="V278" s="88" t="s">
        <v>1520</v>
      </c>
      <c r="W278" s="88" t="s">
        <v>1520</v>
      </c>
      <c r="X278" s="88" t="s">
        <v>1519</v>
      </c>
      <c r="Y278" s="88" t="s">
        <v>1519</v>
      </c>
      <c r="Z278" s="88" t="s">
        <v>1520</v>
      </c>
      <c r="AA278" s="88" t="s">
        <v>1519</v>
      </c>
      <c r="AB278" s="88" t="s">
        <v>1519</v>
      </c>
      <c r="AC278" s="88" t="s">
        <v>1520</v>
      </c>
      <c r="AD278" s="89"/>
      <c r="AE278" s="18" t="s">
        <v>92</v>
      </c>
      <c r="AF278" s="18"/>
      <c r="AG278" s="18"/>
      <c r="AH278" s="18"/>
      <c r="AI278" s="18"/>
      <c r="AJ278" s="18"/>
      <c r="AK278" s="18"/>
      <c r="AL278" s="18"/>
      <c r="AM278" s="18"/>
    </row>
    <row r="279">
      <c r="A279" s="11"/>
      <c r="B279" s="12" t="s">
        <v>34</v>
      </c>
      <c r="C279" s="12" t="s">
        <v>65</v>
      </c>
      <c r="D279" s="12" t="s">
        <v>102</v>
      </c>
      <c r="E279" s="12" t="s">
        <v>152</v>
      </c>
      <c r="F279" s="13" t="s">
        <v>153</v>
      </c>
      <c r="G279" s="12" t="s">
        <v>68</v>
      </c>
      <c r="H279" s="12" t="s">
        <v>154</v>
      </c>
      <c r="I279" s="12" t="s">
        <v>155</v>
      </c>
      <c r="J279" s="17" t="s">
        <v>112</v>
      </c>
      <c r="K279" s="17" t="s">
        <v>113</v>
      </c>
      <c r="L279" s="17" t="s">
        <v>1722</v>
      </c>
      <c r="M279" s="20">
        <v>45980.0</v>
      </c>
      <c r="N279" s="17" t="s">
        <v>428</v>
      </c>
      <c r="O279" s="88" t="s">
        <v>1520</v>
      </c>
      <c r="P279" s="88" t="s">
        <v>1520</v>
      </c>
      <c r="Q279" s="88" t="s">
        <v>1520</v>
      </c>
      <c r="R279" s="88" t="s">
        <v>1520</v>
      </c>
      <c r="S279" s="88" t="s">
        <v>1519</v>
      </c>
      <c r="T279" s="88" t="s">
        <v>1520</v>
      </c>
      <c r="U279" s="88" t="s">
        <v>1520</v>
      </c>
      <c r="V279" s="88" t="s">
        <v>1520</v>
      </c>
      <c r="W279" s="88" t="s">
        <v>1520</v>
      </c>
      <c r="X279" s="88" t="s">
        <v>1519</v>
      </c>
      <c r="Y279" s="88" t="s">
        <v>1519</v>
      </c>
      <c r="Z279" s="88" t="s">
        <v>1519</v>
      </c>
      <c r="AA279" s="88" t="s">
        <v>1520</v>
      </c>
      <c r="AB279" s="88" t="s">
        <v>1520</v>
      </c>
      <c r="AC279" s="88" t="s">
        <v>1520</v>
      </c>
      <c r="AD279" s="89"/>
      <c r="AE279" s="18" t="s">
        <v>92</v>
      </c>
      <c r="AF279" s="18"/>
      <c r="AG279" s="18"/>
      <c r="AH279" s="18"/>
      <c r="AI279" s="18"/>
      <c r="AJ279" s="18"/>
      <c r="AK279" s="18"/>
      <c r="AL279" s="18"/>
      <c r="AM279" s="18"/>
    </row>
    <row r="280">
      <c r="A280" s="11"/>
      <c r="B280" s="12" t="s">
        <v>34</v>
      </c>
      <c r="C280" s="12" t="s">
        <v>65</v>
      </c>
      <c r="D280" s="12" t="s">
        <v>102</v>
      </c>
      <c r="E280" s="12" t="s">
        <v>152</v>
      </c>
      <c r="F280" s="13" t="s">
        <v>153</v>
      </c>
      <c r="G280" s="12" t="s">
        <v>68</v>
      </c>
      <c r="H280" s="12" t="s">
        <v>154</v>
      </c>
      <c r="I280" s="12" t="s">
        <v>155</v>
      </c>
      <c r="J280" s="17" t="s">
        <v>108</v>
      </c>
      <c r="K280" s="17" t="s">
        <v>109</v>
      </c>
      <c r="L280" s="17" t="s">
        <v>1709</v>
      </c>
      <c r="M280" s="20">
        <v>45980.0</v>
      </c>
      <c r="N280" s="17" t="s">
        <v>428</v>
      </c>
      <c r="O280" s="88" t="s">
        <v>1519</v>
      </c>
      <c r="P280" s="88" t="s">
        <v>1519</v>
      </c>
      <c r="Q280" s="88" t="s">
        <v>1519</v>
      </c>
      <c r="R280" s="88" t="s">
        <v>1519</v>
      </c>
      <c r="S280" s="88" t="s">
        <v>1519</v>
      </c>
      <c r="T280" s="88" t="s">
        <v>1519</v>
      </c>
      <c r="U280" s="88" t="s">
        <v>1519</v>
      </c>
      <c r="V280" s="88" t="s">
        <v>1519</v>
      </c>
      <c r="W280" s="88" t="s">
        <v>1519</v>
      </c>
      <c r="X280" s="88" t="s">
        <v>1519</v>
      </c>
      <c r="Y280" s="88" t="s">
        <v>1519</v>
      </c>
      <c r="Z280" s="88" t="s">
        <v>1519</v>
      </c>
      <c r="AA280" s="88" t="s">
        <v>1519</v>
      </c>
      <c r="AB280" s="88" t="s">
        <v>1519</v>
      </c>
      <c r="AC280" s="88" t="s">
        <v>1519</v>
      </c>
      <c r="AD280" s="89"/>
      <c r="AE280" s="18" t="s">
        <v>92</v>
      </c>
      <c r="AF280" s="18"/>
      <c r="AG280" s="18"/>
      <c r="AH280" s="18"/>
      <c r="AI280" s="18"/>
      <c r="AJ280" s="18"/>
      <c r="AK280" s="18"/>
      <c r="AL280" s="18"/>
      <c r="AM280" s="18"/>
    </row>
    <row r="281">
      <c r="A281" s="11"/>
      <c r="B281" s="12" t="s">
        <v>34</v>
      </c>
      <c r="C281" s="12" t="s">
        <v>65</v>
      </c>
      <c r="D281" s="12" t="s">
        <v>102</v>
      </c>
      <c r="E281" s="12" t="s">
        <v>152</v>
      </c>
      <c r="F281" s="13" t="s">
        <v>153</v>
      </c>
      <c r="G281" s="12" t="s">
        <v>68</v>
      </c>
      <c r="H281" s="12" t="s">
        <v>154</v>
      </c>
      <c r="I281" s="12" t="s">
        <v>155</v>
      </c>
      <c r="J281" s="17" t="s">
        <v>108</v>
      </c>
      <c r="K281" s="17" t="s">
        <v>109</v>
      </c>
      <c r="L281" s="17" t="s">
        <v>1713</v>
      </c>
      <c r="M281" s="20">
        <v>45980.0</v>
      </c>
      <c r="N281" s="17" t="s">
        <v>428</v>
      </c>
      <c r="O281" s="88" t="s">
        <v>1519</v>
      </c>
      <c r="P281" s="88" t="s">
        <v>1519</v>
      </c>
      <c r="Q281" s="88" t="s">
        <v>1519</v>
      </c>
      <c r="R281" s="88" t="s">
        <v>1520</v>
      </c>
      <c r="S281" s="88" t="s">
        <v>1519</v>
      </c>
      <c r="T281" s="88" t="s">
        <v>1520</v>
      </c>
      <c r="U281" s="88" t="s">
        <v>1519</v>
      </c>
      <c r="V281" s="88" t="s">
        <v>1520</v>
      </c>
      <c r="W281" s="88" t="s">
        <v>1519</v>
      </c>
      <c r="X281" s="88" t="s">
        <v>1520</v>
      </c>
      <c r="Y281" s="88" t="s">
        <v>1520</v>
      </c>
      <c r="Z281" s="88" t="s">
        <v>1520</v>
      </c>
      <c r="AA281" s="88" t="s">
        <v>1520</v>
      </c>
      <c r="AB281" s="88" t="s">
        <v>1520</v>
      </c>
      <c r="AC281" s="88" t="s">
        <v>1520</v>
      </c>
      <c r="AD281" s="89"/>
      <c r="AE281" s="18" t="s">
        <v>92</v>
      </c>
      <c r="AF281" s="18"/>
      <c r="AG281" s="18"/>
      <c r="AH281" s="18"/>
      <c r="AI281" s="18"/>
      <c r="AJ281" s="18"/>
      <c r="AK281" s="18"/>
      <c r="AL281" s="18"/>
      <c r="AM281" s="18"/>
    </row>
    <row r="282">
      <c r="A282" s="11"/>
      <c r="B282" s="12" t="s">
        <v>34</v>
      </c>
      <c r="C282" s="12" t="s">
        <v>65</v>
      </c>
      <c r="D282" s="12" t="s">
        <v>102</v>
      </c>
      <c r="E282" s="12" t="s">
        <v>152</v>
      </c>
      <c r="F282" s="13" t="s">
        <v>153</v>
      </c>
      <c r="G282" s="12" t="s">
        <v>68</v>
      </c>
      <c r="H282" s="12" t="s">
        <v>154</v>
      </c>
      <c r="I282" s="12" t="s">
        <v>155</v>
      </c>
      <c r="J282" s="17" t="s">
        <v>108</v>
      </c>
      <c r="K282" s="17" t="s">
        <v>109</v>
      </c>
      <c r="L282" s="17" t="s">
        <v>1714</v>
      </c>
      <c r="M282" s="20">
        <v>45980.0</v>
      </c>
      <c r="N282" s="17" t="s">
        <v>428</v>
      </c>
      <c r="O282" s="88" t="s">
        <v>1519</v>
      </c>
      <c r="P282" s="88" t="s">
        <v>1519</v>
      </c>
      <c r="Q282" s="88" t="s">
        <v>1519</v>
      </c>
      <c r="R282" s="88" t="s">
        <v>1520</v>
      </c>
      <c r="S282" s="88" t="s">
        <v>1519</v>
      </c>
      <c r="T282" s="88" t="s">
        <v>1520</v>
      </c>
      <c r="U282" s="88" t="s">
        <v>1519</v>
      </c>
      <c r="V282" s="88" t="s">
        <v>1520</v>
      </c>
      <c r="W282" s="88" t="s">
        <v>1520</v>
      </c>
      <c r="X282" s="88" t="s">
        <v>1519</v>
      </c>
      <c r="Y282" s="88" t="s">
        <v>1520</v>
      </c>
      <c r="Z282" s="88" t="s">
        <v>1519</v>
      </c>
      <c r="AA282" s="88" t="s">
        <v>1519</v>
      </c>
      <c r="AB282" s="88" t="s">
        <v>1519</v>
      </c>
      <c r="AC282" s="88" t="s">
        <v>1520</v>
      </c>
      <c r="AD282" s="89"/>
      <c r="AE282" s="18" t="s">
        <v>92</v>
      </c>
      <c r="AF282" s="18"/>
      <c r="AG282" s="18"/>
      <c r="AH282" s="18"/>
      <c r="AI282" s="18"/>
      <c r="AJ282" s="18"/>
      <c r="AK282" s="18"/>
      <c r="AL282" s="18"/>
      <c r="AM282" s="18"/>
    </row>
    <row r="283">
      <c r="A283" s="11"/>
      <c r="B283" s="12" t="s">
        <v>34</v>
      </c>
      <c r="C283" s="12" t="s">
        <v>65</v>
      </c>
      <c r="D283" s="12" t="s">
        <v>102</v>
      </c>
      <c r="E283" s="12" t="s">
        <v>152</v>
      </c>
      <c r="F283" s="13" t="s">
        <v>153</v>
      </c>
      <c r="G283" s="12" t="s">
        <v>68</v>
      </c>
      <c r="H283" s="12" t="s">
        <v>154</v>
      </c>
      <c r="I283" s="12" t="s">
        <v>155</v>
      </c>
      <c r="J283" s="17" t="s">
        <v>108</v>
      </c>
      <c r="K283" s="17" t="s">
        <v>109</v>
      </c>
      <c r="L283" s="17" t="s">
        <v>1715</v>
      </c>
      <c r="M283" s="20">
        <v>45980.0</v>
      </c>
      <c r="N283" s="17" t="s">
        <v>428</v>
      </c>
      <c r="O283" s="88" t="s">
        <v>1519</v>
      </c>
      <c r="P283" s="88" t="s">
        <v>1519</v>
      </c>
      <c r="Q283" s="88" t="s">
        <v>1519</v>
      </c>
      <c r="R283" s="88" t="s">
        <v>1519</v>
      </c>
      <c r="S283" s="88" t="s">
        <v>1519</v>
      </c>
      <c r="T283" s="88" t="s">
        <v>1519</v>
      </c>
      <c r="U283" s="88" t="s">
        <v>1519</v>
      </c>
      <c r="V283" s="88" t="s">
        <v>1519</v>
      </c>
      <c r="W283" s="88" t="s">
        <v>1519</v>
      </c>
      <c r="X283" s="88" t="s">
        <v>1519</v>
      </c>
      <c r="Y283" s="88" t="s">
        <v>1519</v>
      </c>
      <c r="Z283" s="88" t="s">
        <v>1519</v>
      </c>
      <c r="AA283" s="88" t="s">
        <v>1519</v>
      </c>
      <c r="AB283" s="88" t="s">
        <v>1519</v>
      </c>
      <c r="AC283" s="88" t="s">
        <v>1519</v>
      </c>
      <c r="AD283" s="89"/>
      <c r="AE283" s="18" t="s">
        <v>92</v>
      </c>
      <c r="AF283" s="18"/>
      <c r="AG283" s="18"/>
      <c r="AH283" s="18"/>
      <c r="AI283" s="18"/>
      <c r="AJ283" s="18"/>
      <c r="AK283" s="18"/>
      <c r="AL283" s="18"/>
      <c r="AM283" s="18"/>
    </row>
    <row r="284">
      <c r="A284" s="11"/>
      <c r="B284" s="12" t="s">
        <v>34</v>
      </c>
      <c r="C284" s="12" t="s">
        <v>65</v>
      </c>
      <c r="D284" s="12" t="s">
        <v>102</v>
      </c>
      <c r="E284" s="12" t="s">
        <v>152</v>
      </c>
      <c r="F284" s="13" t="s">
        <v>153</v>
      </c>
      <c r="G284" s="12" t="s">
        <v>68</v>
      </c>
      <c r="H284" s="12" t="s">
        <v>154</v>
      </c>
      <c r="I284" s="12" t="s">
        <v>155</v>
      </c>
      <c r="J284" s="17" t="s">
        <v>108</v>
      </c>
      <c r="K284" s="17" t="s">
        <v>109</v>
      </c>
      <c r="L284" s="17" t="s">
        <v>1716</v>
      </c>
      <c r="M284" s="20">
        <v>45980.0</v>
      </c>
      <c r="N284" s="17" t="s">
        <v>428</v>
      </c>
      <c r="O284" s="88" t="s">
        <v>1519</v>
      </c>
      <c r="P284" s="88" t="s">
        <v>1520</v>
      </c>
      <c r="Q284" s="88" t="s">
        <v>1519</v>
      </c>
      <c r="R284" s="88" t="s">
        <v>1520</v>
      </c>
      <c r="S284" s="88" t="s">
        <v>1519</v>
      </c>
      <c r="T284" s="88" t="s">
        <v>1519</v>
      </c>
      <c r="U284" s="88" t="s">
        <v>1519</v>
      </c>
      <c r="V284" s="88" t="s">
        <v>1519</v>
      </c>
      <c r="W284" s="88" t="s">
        <v>1519</v>
      </c>
      <c r="X284" s="88" t="s">
        <v>1519</v>
      </c>
      <c r="Y284" s="88" t="s">
        <v>1519</v>
      </c>
      <c r="Z284" s="88" t="s">
        <v>1520</v>
      </c>
      <c r="AA284" s="88" t="s">
        <v>1519</v>
      </c>
      <c r="AB284" s="88" t="s">
        <v>1519</v>
      </c>
      <c r="AC284" s="88" t="s">
        <v>1519</v>
      </c>
      <c r="AD284" s="89"/>
      <c r="AE284" s="18" t="s">
        <v>92</v>
      </c>
      <c r="AF284" s="18"/>
      <c r="AG284" s="18"/>
      <c r="AH284" s="18"/>
      <c r="AI284" s="18"/>
      <c r="AJ284" s="18"/>
      <c r="AK284" s="18"/>
      <c r="AL284" s="18"/>
      <c r="AM284" s="18"/>
    </row>
    <row r="285">
      <c r="A285" s="11"/>
      <c r="B285" s="12" t="s">
        <v>34</v>
      </c>
      <c r="C285" s="12" t="s">
        <v>65</v>
      </c>
      <c r="D285" s="12" t="s">
        <v>102</v>
      </c>
      <c r="E285" s="12" t="s">
        <v>152</v>
      </c>
      <c r="F285" s="13" t="s">
        <v>153</v>
      </c>
      <c r="G285" s="12" t="s">
        <v>68</v>
      </c>
      <c r="H285" s="12" t="s">
        <v>154</v>
      </c>
      <c r="I285" s="12" t="s">
        <v>155</v>
      </c>
      <c r="J285" s="17" t="s">
        <v>108</v>
      </c>
      <c r="K285" s="17" t="s">
        <v>109</v>
      </c>
      <c r="L285" s="17" t="s">
        <v>1717</v>
      </c>
      <c r="M285" s="20">
        <v>45980.0</v>
      </c>
      <c r="N285" s="17" t="s">
        <v>428</v>
      </c>
      <c r="O285" s="88" t="s">
        <v>1519</v>
      </c>
      <c r="P285" s="88" t="s">
        <v>1519</v>
      </c>
      <c r="Q285" s="88" t="s">
        <v>1519</v>
      </c>
      <c r="R285" s="88" t="s">
        <v>1520</v>
      </c>
      <c r="S285" s="88" t="s">
        <v>1519</v>
      </c>
      <c r="T285" s="88" t="s">
        <v>1520</v>
      </c>
      <c r="U285" s="88" t="s">
        <v>1519</v>
      </c>
      <c r="V285" s="88" t="s">
        <v>1519</v>
      </c>
      <c r="W285" s="88" t="s">
        <v>1520</v>
      </c>
      <c r="X285" s="88" t="s">
        <v>1519</v>
      </c>
      <c r="Y285" s="88" t="s">
        <v>1520</v>
      </c>
      <c r="Z285" s="88" t="s">
        <v>1520</v>
      </c>
      <c r="AA285" s="88" t="s">
        <v>1519</v>
      </c>
      <c r="AB285" s="88" t="s">
        <v>1519</v>
      </c>
      <c r="AC285" s="88" t="s">
        <v>1520</v>
      </c>
      <c r="AD285" s="89"/>
      <c r="AE285" s="18" t="s">
        <v>92</v>
      </c>
      <c r="AF285" s="18"/>
      <c r="AG285" s="18"/>
      <c r="AH285" s="18"/>
      <c r="AI285" s="18"/>
      <c r="AJ285" s="18"/>
      <c r="AK285" s="18"/>
      <c r="AL285" s="18"/>
      <c r="AM285" s="18"/>
    </row>
    <row r="286">
      <c r="A286" s="11"/>
      <c r="B286" s="12" t="s">
        <v>34</v>
      </c>
      <c r="C286" s="12" t="s">
        <v>65</v>
      </c>
      <c r="D286" s="12" t="s">
        <v>102</v>
      </c>
      <c r="E286" s="12" t="s">
        <v>152</v>
      </c>
      <c r="F286" s="13" t="s">
        <v>153</v>
      </c>
      <c r="G286" s="12" t="s">
        <v>68</v>
      </c>
      <c r="H286" s="12" t="s">
        <v>154</v>
      </c>
      <c r="I286" s="12" t="s">
        <v>155</v>
      </c>
      <c r="J286" s="17" t="s">
        <v>108</v>
      </c>
      <c r="K286" s="17" t="s">
        <v>109</v>
      </c>
      <c r="L286" s="17" t="s">
        <v>1718</v>
      </c>
      <c r="M286" s="20">
        <v>45980.0</v>
      </c>
      <c r="N286" s="17" t="s">
        <v>428</v>
      </c>
      <c r="O286" s="88" t="s">
        <v>1519</v>
      </c>
      <c r="P286" s="88" t="s">
        <v>1519</v>
      </c>
      <c r="Q286" s="88" t="s">
        <v>1520</v>
      </c>
      <c r="R286" s="88" t="s">
        <v>1520</v>
      </c>
      <c r="S286" s="88" t="s">
        <v>1519</v>
      </c>
      <c r="T286" s="88" t="s">
        <v>1520</v>
      </c>
      <c r="U286" s="88" t="s">
        <v>1519</v>
      </c>
      <c r="V286" s="88" t="s">
        <v>1520</v>
      </c>
      <c r="W286" s="88" t="s">
        <v>1520</v>
      </c>
      <c r="X286" s="88" t="s">
        <v>1519</v>
      </c>
      <c r="Y286" s="88" t="s">
        <v>1519</v>
      </c>
      <c r="Z286" s="88" t="s">
        <v>1520</v>
      </c>
      <c r="AA286" s="88" t="s">
        <v>1519</v>
      </c>
      <c r="AB286" s="88" t="s">
        <v>1519</v>
      </c>
      <c r="AC286" s="88" t="s">
        <v>1519</v>
      </c>
      <c r="AD286" s="89"/>
      <c r="AE286" s="18" t="s">
        <v>92</v>
      </c>
      <c r="AF286" s="18"/>
      <c r="AG286" s="18"/>
      <c r="AH286" s="18"/>
      <c r="AI286" s="18"/>
      <c r="AJ286" s="18"/>
      <c r="AK286" s="18"/>
      <c r="AL286" s="18"/>
      <c r="AM286" s="18"/>
    </row>
    <row r="287">
      <c r="A287" s="11"/>
      <c r="B287" s="12" t="s">
        <v>34</v>
      </c>
      <c r="C287" s="12" t="s">
        <v>65</v>
      </c>
      <c r="D287" s="12" t="s">
        <v>102</v>
      </c>
      <c r="E287" s="12" t="s">
        <v>152</v>
      </c>
      <c r="F287" s="13" t="s">
        <v>153</v>
      </c>
      <c r="G287" s="12" t="s">
        <v>68</v>
      </c>
      <c r="H287" s="12" t="s">
        <v>154</v>
      </c>
      <c r="I287" s="12" t="s">
        <v>155</v>
      </c>
      <c r="J287" s="17" t="s">
        <v>108</v>
      </c>
      <c r="K287" s="17" t="s">
        <v>109</v>
      </c>
      <c r="L287" s="17" t="s">
        <v>1719</v>
      </c>
      <c r="M287" s="20">
        <v>45980.0</v>
      </c>
      <c r="N287" s="17" t="s">
        <v>428</v>
      </c>
      <c r="O287" s="88" t="s">
        <v>1520</v>
      </c>
      <c r="P287" s="88" t="s">
        <v>1519</v>
      </c>
      <c r="Q287" s="88" t="s">
        <v>1519</v>
      </c>
      <c r="R287" s="88" t="s">
        <v>1520</v>
      </c>
      <c r="S287" s="88" t="s">
        <v>1519</v>
      </c>
      <c r="T287" s="88" t="s">
        <v>1520</v>
      </c>
      <c r="U287" s="88" t="s">
        <v>1519</v>
      </c>
      <c r="V287" s="88" t="s">
        <v>1520</v>
      </c>
      <c r="W287" s="88" t="s">
        <v>1520</v>
      </c>
      <c r="X287" s="88" t="s">
        <v>1519</v>
      </c>
      <c r="Y287" s="88" t="s">
        <v>1520</v>
      </c>
      <c r="Z287" s="88" t="s">
        <v>1520</v>
      </c>
      <c r="AA287" s="88" t="s">
        <v>1519</v>
      </c>
      <c r="AB287" s="88" t="s">
        <v>1519</v>
      </c>
      <c r="AC287" s="88" t="s">
        <v>1519</v>
      </c>
      <c r="AD287" s="89"/>
      <c r="AE287" s="18" t="s">
        <v>92</v>
      </c>
      <c r="AF287" s="18"/>
      <c r="AG287" s="18"/>
      <c r="AH287" s="18"/>
      <c r="AI287" s="18"/>
      <c r="AJ287" s="18"/>
      <c r="AK287" s="18"/>
      <c r="AL287" s="18"/>
      <c r="AM287" s="18"/>
    </row>
    <row r="288">
      <c r="A288" s="11"/>
      <c r="B288" s="12" t="s">
        <v>34</v>
      </c>
      <c r="C288" s="12" t="s">
        <v>65</v>
      </c>
      <c r="D288" s="12" t="s">
        <v>102</v>
      </c>
      <c r="E288" s="12" t="s">
        <v>152</v>
      </c>
      <c r="F288" s="13" t="s">
        <v>153</v>
      </c>
      <c r="G288" s="12" t="s">
        <v>68</v>
      </c>
      <c r="H288" s="12" t="s">
        <v>154</v>
      </c>
      <c r="I288" s="12" t="s">
        <v>155</v>
      </c>
      <c r="J288" s="17" t="s">
        <v>108</v>
      </c>
      <c r="K288" s="17" t="s">
        <v>109</v>
      </c>
      <c r="L288" s="17" t="s">
        <v>1720</v>
      </c>
      <c r="M288" s="20">
        <v>45980.0</v>
      </c>
      <c r="N288" s="17" t="s">
        <v>428</v>
      </c>
      <c r="O288" s="88" t="s">
        <v>1519</v>
      </c>
      <c r="P288" s="88" t="s">
        <v>1519</v>
      </c>
      <c r="Q288" s="88" t="s">
        <v>1519</v>
      </c>
      <c r="R288" s="88" t="s">
        <v>1520</v>
      </c>
      <c r="S288" s="88" t="s">
        <v>1519</v>
      </c>
      <c r="T288" s="88" t="s">
        <v>1519</v>
      </c>
      <c r="U288" s="88" t="s">
        <v>1519</v>
      </c>
      <c r="V288" s="88" t="s">
        <v>1519</v>
      </c>
      <c r="W288" s="88" t="s">
        <v>1520</v>
      </c>
      <c r="X288" s="88" t="s">
        <v>1520</v>
      </c>
      <c r="Y288" s="88" t="s">
        <v>1520</v>
      </c>
      <c r="Z288" s="88" t="s">
        <v>1520</v>
      </c>
      <c r="AA288" s="88" t="s">
        <v>1520</v>
      </c>
      <c r="AB288" s="88" t="s">
        <v>1520</v>
      </c>
      <c r="AC288" s="88" t="s">
        <v>1520</v>
      </c>
      <c r="AD288" s="89"/>
      <c r="AE288" s="18" t="s">
        <v>92</v>
      </c>
      <c r="AF288" s="18"/>
      <c r="AG288" s="18"/>
      <c r="AH288" s="18"/>
      <c r="AI288" s="18"/>
      <c r="AJ288" s="18"/>
      <c r="AK288" s="18"/>
      <c r="AL288" s="18"/>
      <c r="AM288" s="18"/>
    </row>
    <row r="289">
      <c r="A289" s="11"/>
      <c r="B289" s="12" t="s">
        <v>22</v>
      </c>
      <c r="C289" s="12" t="s">
        <v>22</v>
      </c>
      <c r="D289" s="12" t="s">
        <v>22</v>
      </c>
      <c r="E289" s="12" t="s">
        <v>624</v>
      </c>
      <c r="F289" s="13" t="s">
        <v>625</v>
      </c>
      <c r="G289" s="12" t="s">
        <v>68</v>
      </c>
      <c r="H289" s="12" t="s">
        <v>626</v>
      </c>
      <c r="I289" s="12" t="s">
        <v>627</v>
      </c>
      <c r="J289" s="17" t="s">
        <v>73</v>
      </c>
      <c r="K289" s="17" t="s">
        <v>74</v>
      </c>
      <c r="L289" s="17" t="s">
        <v>1723</v>
      </c>
      <c r="M289" s="20">
        <v>45833.0</v>
      </c>
      <c r="N289" s="17" t="s">
        <v>194</v>
      </c>
      <c r="O289" s="88" t="s">
        <v>1519</v>
      </c>
      <c r="P289" s="88" t="s">
        <v>1519</v>
      </c>
      <c r="Q289" s="88" t="s">
        <v>1519</v>
      </c>
      <c r="R289" s="88" t="s">
        <v>1520</v>
      </c>
      <c r="S289" s="88" t="s">
        <v>1520</v>
      </c>
      <c r="T289" s="88" t="s">
        <v>1520</v>
      </c>
      <c r="U289" s="88" t="s">
        <v>1519</v>
      </c>
      <c r="V289" s="88" t="s">
        <v>1519</v>
      </c>
      <c r="W289" s="88" t="s">
        <v>1519</v>
      </c>
      <c r="X289" s="88" t="s">
        <v>1519</v>
      </c>
      <c r="Y289" s="88" t="s">
        <v>1520</v>
      </c>
      <c r="Z289" s="88" t="s">
        <v>1521</v>
      </c>
      <c r="AA289" s="88" t="s">
        <v>1519</v>
      </c>
      <c r="AB289" s="88" t="s">
        <v>1519</v>
      </c>
      <c r="AC289" s="88" t="s">
        <v>1519</v>
      </c>
      <c r="AD289" s="89"/>
      <c r="AE289" s="18" t="s">
        <v>588</v>
      </c>
      <c r="AF289" s="18"/>
      <c r="AG289" s="18"/>
      <c r="AH289" s="18"/>
      <c r="AI289" s="18"/>
      <c r="AJ289" s="18"/>
      <c r="AK289" s="18"/>
      <c r="AL289" s="18"/>
      <c r="AM289" s="18"/>
    </row>
    <row r="290">
      <c r="A290" s="11"/>
      <c r="B290" s="12" t="s">
        <v>22</v>
      </c>
      <c r="C290" s="12" t="s">
        <v>22</v>
      </c>
      <c r="D290" s="12" t="s">
        <v>22</v>
      </c>
      <c r="E290" s="12" t="s">
        <v>624</v>
      </c>
      <c r="F290" s="13" t="s">
        <v>625</v>
      </c>
      <c r="G290" s="12" t="s">
        <v>68</v>
      </c>
      <c r="H290" s="12" t="s">
        <v>626</v>
      </c>
      <c r="I290" s="12" t="s">
        <v>627</v>
      </c>
      <c r="J290" s="17" t="s">
        <v>73</v>
      </c>
      <c r="K290" s="17" t="s">
        <v>74</v>
      </c>
      <c r="L290" s="17" t="s">
        <v>1724</v>
      </c>
      <c r="M290" s="20">
        <v>45833.0</v>
      </c>
      <c r="N290" s="17" t="s">
        <v>194</v>
      </c>
      <c r="O290" s="88" t="s">
        <v>1519</v>
      </c>
      <c r="P290" s="88" t="s">
        <v>1519</v>
      </c>
      <c r="Q290" s="88" t="s">
        <v>1519</v>
      </c>
      <c r="R290" s="88" t="s">
        <v>1519</v>
      </c>
      <c r="S290" s="88" t="s">
        <v>1520</v>
      </c>
      <c r="T290" s="88" t="s">
        <v>1520</v>
      </c>
      <c r="U290" s="88" t="s">
        <v>1519</v>
      </c>
      <c r="V290" s="88" t="s">
        <v>1520</v>
      </c>
      <c r="W290" s="88" t="s">
        <v>1520</v>
      </c>
      <c r="X290" s="88" t="s">
        <v>1520</v>
      </c>
      <c r="Y290" s="88" t="s">
        <v>1521</v>
      </c>
      <c r="Z290" s="88" t="s">
        <v>1521</v>
      </c>
      <c r="AA290" s="88" t="s">
        <v>1520</v>
      </c>
      <c r="AB290" s="88" t="s">
        <v>1520</v>
      </c>
      <c r="AC290" s="88" t="s">
        <v>1520</v>
      </c>
      <c r="AD290" s="89"/>
      <c r="AE290" s="18" t="s">
        <v>588</v>
      </c>
      <c r="AF290" s="18"/>
      <c r="AG290" s="18"/>
      <c r="AH290" s="18"/>
      <c r="AI290" s="18"/>
      <c r="AJ290" s="18"/>
      <c r="AK290" s="18"/>
      <c r="AL290" s="18"/>
      <c r="AM290" s="18"/>
    </row>
    <row r="291">
      <c r="A291" s="11"/>
      <c r="B291" s="12" t="s">
        <v>22</v>
      </c>
      <c r="C291" s="12" t="s">
        <v>22</v>
      </c>
      <c r="D291" s="12" t="s">
        <v>22</v>
      </c>
      <c r="E291" s="12" t="s">
        <v>624</v>
      </c>
      <c r="F291" s="13" t="s">
        <v>625</v>
      </c>
      <c r="G291" s="12" t="s">
        <v>68</v>
      </c>
      <c r="H291" s="12" t="s">
        <v>626</v>
      </c>
      <c r="I291" s="12" t="s">
        <v>627</v>
      </c>
      <c r="J291" s="17" t="s">
        <v>73</v>
      </c>
      <c r="K291" s="17" t="s">
        <v>74</v>
      </c>
      <c r="L291" s="17" t="s">
        <v>1725</v>
      </c>
      <c r="M291" s="20">
        <v>45833.0</v>
      </c>
      <c r="N291" s="17" t="s">
        <v>194</v>
      </c>
      <c r="O291" s="88" t="s">
        <v>1519</v>
      </c>
      <c r="P291" s="88" t="s">
        <v>1519</v>
      </c>
      <c r="Q291" s="88" t="s">
        <v>1519</v>
      </c>
      <c r="R291" s="88" t="s">
        <v>1519</v>
      </c>
      <c r="S291" s="88" t="s">
        <v>1520</v>
      </c>
      <c r="T291" s="88" t="s">
        <v>1520</v>
      </c>
      <c r="U291" s="88" t="s">
        <v>1519</v>
      </c>
      <c r="V291" s="88" t="s">
        <v>1520</v>
      </c>
      <c r="W291" s="88" t="s">
        <v>1520</v>
      </c>
      <c r="X291" s="88" t="s">
        <v>1520</v>
      </c>
      <c r="Y291" s="88" t="s">
        <v>1520</v>
      </c>
      <c r="Z291" s="88" t="s">
        <v>1520</v>
      </c>
      <c r="AA291" s="88" t="s">
        <v>1521</v>
      </c>
      <c r="AB291" s="88" t="s">
        <v>1521</v>
      </c>
      <c r="AC291" s="88" t="s">
        <v>1521</v>
      </c>
      <c r="AD291" s="89"/>
      <c r="AE291" s="18" t="s">
        <v>588</v>
      </c>
      <c r="AF291" s="18"/>
      <c r="AG291" s="18"/>
      <c r="AH291" s="18"/>
      <c r="AI291" s="18"/>
      <c r="AJ291" s="18"/>
      <c r="AK291" s="18"/>
      <c r="AL291" s="18"/>
      <c r="AM291" s="18"/>
    </row>
    <row r="292">
      <c r="A292" s="11"/>
      <c r="B292" s="12" t="s">
        <v>22</v>
      </c>
      <c r="C292" s="12" t="s">
        <v>22</v>
      </c>
      <c r="D292" s="12" t="s">
        <v>22</v>
      </c>
      <c r="E292" s="12" t="s">
        <v>624</v>
      </c>
      <c r="F292" s="13" t="s">
        <v>625</v>
      </c>
      <c r="G292" s="12" t="s">
        <v>68</v>
      </c>
      <c r="H292" s="12" t="s">
        <v>626</v>
      </c>
      <c r="I292" s="12" t="s">
        <v>627</v>
      </c>
      <c r="J292" s="17" t="s">
        <v>73</v>
      </c>
      <c r="K292" s="17" t="s">
        <v>74</v>
      </c>
      <c r="L292" s="17" t="s">
        <v>1726</v>
      </c>
      <c r="M292" s="20">
        <v>45833.0</v>
      </c>
      <c r="N292" s="17" t="s">
        <v>194</v>
      </c>
      <c r="O292" s="88" t="s">
        <v>1521</v>
      </c>
      <c r="P292" s="88" t="s">
        <v>1521</v>
      </c>
      <c r="Q292" s="88" t="s">
        <v>1521</v>
      </c>
      <c r="R292" s="88" t="s">
        <v>1521</v>
      </c>
      <c r="S292" s="88" t="s">
        <v>1521</v>
      </c>
      <c r="T292" s="88" t="s">
        <v>1521</v>
      </c>
      <c r="U292" s="88" t="s">
        <v>1521</v>
      </c>
      <c r="V292" s="88" t="s">
        <v>1521</v>
      </c>
      <c r="W292" s="88" t="s">
        <v>1521</v>
      </c>
      <c r="X292" s="88" t="s">
        <v>1521</v>
      </c>
      <c r="Y292" s="88" t="s">
        <v>1521</v>
      </c>
      <c r="Z292" s="88" t="s">
        <v>1521</v>
      </c>
      <c r="AA292" s="88" t="s">
        <v>1521</v>
      </c>
      <c r="AB292" s="88" t="s">
        <v>1521</v>
      </c>
      <c r="AC292" s="88" t="s">
        <v>1521</v>
      </c>
      <c r="AD292" s="93" t="s">
        <v>1727</v>
      </c>
      <c r="AE292" s="18" t="s">
        <v>588</v>
      </c>
      <c r="AF292" s="18"/>
      <c r="AG292" s="18"/>
      <c r="AH292" s="18"/>
      <c r="AI292" s="18"/>
      <c r="AJ292" s="18"/>
      <c r="AK292" s="18"/>
      <c r="AL292" s="18"/>
      <c r="AM292" s="18"/>
    </row>
    <row r="293">
      <c r="A293" s="11"/>
      <c r="B293" s="12" t="s">
        <v>22</v>
      </c>
      <c r="C293" s="12" t="s">
        <v>22</v>
      </c>
      <c r="D293" s="12" t="s">
        <v>22</v>
      </c>
      <c r="E293" s="12" t="s">
        <v>624</v>
      </c>
      <c r="F293" s="13" t="s">
        <v>625</v>
      </c>
      <c r="G293" s="12" t="s">
        <v>68</v>
      </c>
      <c r="H293" s="12" t="s">
        <v>626</v>
      </c>
      <c r="I293" s="12" t="s">
        <v>627</v>
      </c>
      <c r="J293" s="17" t="s">
        <v>108</v>
      </c>
      <c r="K293" s="17" t="s">
        <v>109</v>
      </c>
      <c r="L293" s="17" t="s">
        <v>1728</v>
      </c>
      <c r="M293" s="20">
        <v>45833.0</v>
      </c>
      <c r="N293" s="17" t="s">
        <v>194</v>
      </c>
      <c r="O293" s="88" t="s">
        <v>1519</v>
      </c>
      <c r="P293" s="88" t="s">
        <v>1519</v>
      </c>
      <c r="Q293" s="88" t="s">
        <v>1519</v>
      </c>
      <c r="R293" s="88" t="s">
        <v>1519</v>
      </c>
      <c r="S293" s="88" t="s">
        <v>1519</v>
      </c>
      <c r="T293" s="88" t="s">
        <v>1519</v>
      </c>
      <c r="U293" s="88" t="s">
        <v>1519</v>
      </c>
      <c r="V293" s="88" t="s">
        <v>1519</v>
      </c>
      <c r="W293" s="88" t="s">
        <v>1519</v>
      </c>
      <c r="X293" s="88" t="s">
        <v>1519</v>
      </c>
      <c r="Y293" s="88" t="s">
        <v>1519</v>
      </c>
      <c r="Z293" s="88" t="s">
        <v>1519</v>
      </c>
      <c r="AA293" s="88" t="s">
        <v>1519</v>
      </c>
      <c r="AB293" s="88" t="s">
        <v>1519</v>
      </c>
      <c r="AC293" s="88" t="s">
        <v>1519</v>
      </c>
      <c r="AD293" s="93" t="s">
        <v>1729</v>
      </c>
      <c r="AE293" s="18" t="s">
        <v>588</v>
      </c>
      <c r="AF293" s="18"/>
      <c r="AG293" s="18"/>
      <c r="AH293" s="18"/>
      <c r="AI293" s="18"/>
      <c r="AJ293" s="18"/>
      <c r="AK293" s="18"/>
      <c r="AL293" s="18"/>
      <c r="AM293" s="18"/>
    </row>
    <row r="294">
      <c r="A294" s="11"/>
      <c r="B294" s="12" t="s">
        <v>22</v>
      </c>
      <c r="C294" s="12" t="s">
        <v>22</v>
      </c>
      <c r="D294" s="12" t="s">
        <v>22</v>
      </c>
      <c r="E294" s="12" t="s">
        <v>624</v>
      </c>
      <c r="F294" s="13" t="s">
        <v>625</v>
      </c>
      <c r="G294" s="12" t="s">
        <v>68</v>
      </c>
      <c r="H294" s="12" t="s">
        <v>626</v>
      </c>
      <c r="I294" s="12" t="s">
        <v>627</v>
      </c>
      <c r="J294" s="17" t="s">
        <v>108</v>
      </c>
      <c r="K294" s="17" t="s">
        <v>109</v>
      </c>
      <c r="L294" s="17" t="s">
        <v>1730</v>
      </c>
      <c r="M294" s="20">
        <v>45833.0</v>
      </c>
      <c r="N294" s="17" t="s">
        <v>194</v>
      </c>
      <c r="O294" s="88" t="s">
        <v>1521</v>
      </c>
      <c r="P294" s="88" t="s">
        <v>1521</v>
      </c>
      <c r="Q294" s="88" t="s">
        <v>1521</v>
      </c>
      <c r="R294" s="88" t="s">
        <v>1519</v>
      </c>
      <c r="S294" s="88" t="s">
        <v>1520</v>
      </c>
      <c r="T294" s="88" t="s">
        <v>1520</v>
      </c>
      <c r="U294" s="88" t="s">
        <v>1519</v>
      </c>
      <c r="V294" s="88" t="s">
        <v>1519</v>
      </c>
      <c r="W294" s="88" t="s">
        <v>1519</v>
      </c>
      <c r="X294" s="88" t="s">
        <v>1521</v>
      </c>
      <c r="Y294" s="88" t="s">
        <v>1521</v>
      </c>
      <c r="Z294" s="88" t="s">
        <v>1521</v>
      </c>
      <c r="AA294" s="88" t="s">
        <v>1519</v>
      </c>
      <c r="AB294" s="88" t="s">
        <v>1519</v>
      </c>
      <c r="AC294" s="88" t="s">
        <v>1519</v>
      </c>
      <c r="AD294" s="93" t="s">
        <v>1729</v>
      </c>
      <c r="AE294" s="18" t="s">
        <v>588</v>
      </c>
      <c r="AF294" s="18"/>
      <c r="AG294" s="18"/>
      <c r="AH294" s="18"/>
      <c r="AI294" s="18"/>
      <c r="AJ294" s="18"/>
      <c r="AK294" s="18"/>
      <c r="AL294" s="18"/>
      <c r="AM294" s="18"/>
    </row>
    <row r="295">
      <c r="A295" s="11"/>
      <c r="B295" s="12" t="s">
        <v>22</v>
      </c>
      <c r="C295" s="12" t="s">
        <v>22</v>
      </c>
      <c r="D295" s="12" t="s">
        <v>22</v>
      </c>
      <c r="E295" s="12" t="s">
        <v>624</v>
      </c>
      <c r="F295" s="13" t="s">
        <v>625</v>
      </c>
      <c r="G295" s="12" t="s">
        <v>68</v>
      </c>
      <c r="H295" s="12" t="s">
        <v>626</v>
      </c>
      <c r="I295" s="12" t="s">
        <v>627</v>
      </c>
      <c r="J295" s="17" t="s">
        <v>108</v>
      </c>
      <c r="K295" s="17" t="s">
        <v>109</v>
      </c>
      <c r="L295" s="17" t="s">
        <v>1731</v>
      </c>
      <c r="M295" s="20">
        <v>45833.0</v>
      </c>
      <c r="N295" s="17" t="s">
        <v>194</v>
      </c>
      <c r="O295" s="88" t="s">
        <v>1519</v>
      </c>
      <c r="P295" s="88" t="s">
        <v>1519</v>
      </c>
      <c r="Q295" s="88" t="s">
        <v>1519</v>
      </c>
      <c r="R295" s="88" t="s">
        <v>1520</v>
      </c>
      <c r="S295" s="88" t="s">
        <v>1520</v>
      </c>
      <c r="T295" s="88" t="s">
        <v>1520</v>
      </c>
      <c r="U295" s="88" t="s">
        <v>1519</v>
      </c>
      <c r="V295" s="88" t="s">
        <v>1519</v>
      </c>
      <c r="W295" s="88" t="s">
        <v>1519</v>
      </c>
      <c r="X295" s="88" t="s">
        <v>1521</v>
      </c>
      <c r="Y295" s="88" t="s">
        <v>1521</v>
      </c>
      <c r="Z295" s="88" t="s">
        <v>1521</v>
      </c>
      <c r="AA295" s="88" t="s">
        <v>1519</v>
      </c>
      <c r="AB295" s="88" t="s">
        <v>1519</v>
      </c>
      <c r="AC295" s="88" t="s">
        <v>1519</v>
      </c>
      <c r="AD295" s="89"/>
      <c r="AE295" s="18" t="s">
        <v>588</v>
      </c>
      <c r="AF295" s="18"/>
      <c r="AG295" s="18"/>
      <c r="AH295" s="18"/>
      <c r="AI295" s="18"/>
      <c r="AJ295" s="18"/>
      <c r="AK295" s="18"/>
      <c r="AL295" s="18"/>
      <c r="AM295" s="18"/>
    </row>
    <row r="296">
      <c r="A296" s="11"/>
      <c r="B296" s="12" t="s">
        <v>22</v>
      </c>
      <c r="C296" s="12" t="s">
        <v>22</v>
      </c>
      <c r="D296" s="12" t="s">
        <v>22</v>
      </c>
      <c r="E296" s="12" t="s">
        <v>624</v>
      </c>
      <c r="F296" s="13" t="s">
        <v>625</v>
      </c>
      <c r="G296" s="12" t="s">
        <v>68</v>
      </c>
      <c r="H296" s="12" t="s">
        <v>626</v>
      </c>
      <c r="I296" s="12" t="s">
        <v>627</v>
      </c>
      <c r="J296" s="17" t="s">
        <v>108</v>
      </c>
      <c r="K296" s="17" t="s">
        <v>109</v>
      </c>
      <c r="L296" s="17" t="s">
        <v>1732</v>
      </c>
      <c r="M296" s="20">
        <v>45833.0</v>
      </c>
      <c r="N296" s="17" t="s">
        <v>194</v>
      </c>
      <c r="O296" s="88" t="s">
        <v>1520</v>
      </c>
      <c r="P296" s="88" t="s">
        <v>1520</v>
      </c>
      <c r="Q296" s="88" t="s">
        <v>1520</v>
      </c>
      <c r="R296" s="88" t="s">
        <v>1520</v>
      </c>
      <c r="S296" s="88" t="s">
        <v>1520</v>
      </c>
      <c r="T296" s="88" t="s">
        <v>1520</v>
      </c>
      <c r="U296" s="88" t="s">
        <v>1521</v>
      </c>
      <c r="V296" s="88" t="s">
        <v>1521</v>
      </c>
      <c r="W296" s="88" t="s">
        <v>1521</v>
      </c>
      <c r="X296" s="88" t="s">
        <v>1521</v>
      </c>
      <c r="Y296" s="88" t="s">
        <v>1521</v>
      </c>
      <c r="Z296" s="88" t="s">
        <v>1521</v>
      </c>
      <c r="AA296" s="88" t="s">
        <v>1519</v>
      </c>
      <c r="AB296" s="88" t="s">
        <v>1519</v>
      </c>
      <c r="AC296" s="88" t="s">
        <v>1519</v>
      </c>
      <c r="AD296" s="89"/>
      <c r="AE296" s="18" t="s">
        <v>588</v>
      </c>
      <c r="AF296" s="18"/>
      <c r="AG296" s="18"/>
      <c r="AH296" s="18"/>
      <c r="AI296" s="18"/>
      <c r="AJ296" s="18"/>
      <c r="AK296" s="18"/>
      <c r="AL296" s="18"/>
      <c r="AM296" s="18"/>
    </row>
    <row r="297">
      <c r="A297" s="11"/>
      <c r="B297" s="12" t="s">
        <v>22</v>
      </c>
      <c r="C297" s="12" t="s">
        <v>22</v>
      </c>
      <c r="D297" s="12" t="s">
        <v>22</v>
      </c>
      <c r="E297" s="12" t="s">
        <v>624</v>
      </c>
      <c r="F297" s="13" t="s">
        <v>625</v>
      </c>
      <c r="G297" s="12" t="s">
        <v>68</v>
      </c>
      <c r="H297" s="12" t="s">
        <v>626</v>
      </c>
      <c r="I297" s="12" t="s">
        <v>627</v>
      </c>
      <c r="J297" s="17" t="s">
        <v>108</v>
      </c>
      <c r="K297" s="17" t="s">
        <v>109</v>
      </c>
      <c r="L297" s="17" t="s">
        <v>1733</v>
      </c>
      <c r="M297" s="20">
        <v>45833.0</v>
      </c>
      <c r="N297" s="17" t="s">
        <v>194</v>
      </c>
      <c r="O297" s="88" t="s">
        <v>1520</v>
      </c>
      <c r="P297" s="88" t="s">
        <v>1520</v>
      </c>
      <c r="Q297" s="88" t="s">
        <v>1520</v>
      </c>
      <c r="R297" s="88" t="s">
        <v>1521</v>
      </c>
      <c r="S297" s="88" t="s">
        <v>1521</v>
      </c>
      <c r="T297" s="88" t="s">
        <v>1521</v>
      </c>
      <c r="U297" s="88" t="s">
        <v>1520</v>
      </c>
      <c r="V297" s="88" t="s">
        <v>1520</v>
      </c>
      <c r="W297" s="88" t="s">
        <v>1520</v>
      </c>
      <c r="X297" s="88" t="s">
        <v>1521</v>
      </c>
      <c r="Y297" s="88" t="s">
        <v>1521</v>
      </c>
      <c r="Z297" s="88" t="s">
        <v>1521</v>
      </c>
      <c r="AA297" s="88" t="s">
        <v>1519</v>
      </c>
      <c r="AB297" s="88" t="s">
        <v>1519</v>
      </c>
      <c r="AC297" s="88" t="s">
        <v>1519</v>
      </c>
      <c r="AD297" s="89"/>
      <c r="AE297" s="18" t="s">
        <v>588</v>
      </c>
      <c r="AF297" s="18"/>
      <c r="AG297" s="18"/>
      <c r="AH297" s="18"/>
      <c r="AI297" s="18"/>
      <c r="AJ297" s="18"/>
      <c r="AK297" s="18"/>
      <c r="AL297" s="18"/>
      <c r="AM297" s="18"/>
    </row>
    <row r="298">
      <c r="A298" s="11"/>
      <c r="B298" s="12" t="s">
        <v>22</v>
      </c>
      <c r="C298" s="12" t="s">
        <v>22</v>
      </c>
      <c r="D298" s="12" t="s">
        <v>22</v>
      </c>
      <c r="E298" s="12" t="s">
        <v>593</v>
      </c>
      <c r="F298" s="13" t="s">
        <v>594</v>
      </c>
      <c r="G298" s="12" t="s">
        <v>68</v>
      </c>
      <c r="H298" s="12" t="s">
        <v>595</v>
      </c>
      <c r="I298" s="12" t="s">
        <v>596</v>
      </c>
      <c r="J298" s="17" t="s">
        <v>73</v>
      </c>
      <c r="K298" s="17" t="s">
        <v>74</v>
      </c>
      <c r="L298" s="17" t="s">
        <v>1734</v>
      </c>
      <c r="M298" s="20">
        <v>45831.0</v>
      </c>
      <c r="N298" s="17" t="s">
        <v>194</v>
      </c>
      <c r="O298" s="88" t="s">
        <v>1519</v>
      </c>
      <c r="P298" s="88" t="s">
        <v>1520</v>
      </c>
      <c r="Q298" s="88" t="s">
        <v>1520</v>
      </c>
      <c r="R298" s="88" t="s">
        <v>1519</v>
      </c>
      <c r="S298" s="88" t="s">
        <v>1519</v>
      </c>
      <c r="T298" s="88" t="s">
        <v>1519</v>
      </c>
      <c r="U298" s="88" t="s">
        <v>1519</v>
      </c>
      <c r="V298" s="88" t="s">
        <v>1519</v>
      </c>
      <c r="W298" s="88" t="s">
        <v>1519</v>
      </c>
      <c r="X298" s="88" t="s">
        <v>1521</v>
      </c>
      <c r="Y298" s="88" t="s">
        <v>1521</v>
      </c>
      <c r="Z298" s="88" t="s">
        <v>1521</v>
      </c>
      <c r="AA298" s="88" t="s">
        <v>1519</v>
      </c>
      <c r="AB298" s="88" t="s">
        <v>1519</v>
      </c>
      <c r="AC298" s="88" t="s">
        <v>1519</v>
      </c>
      <c r="AD298" s="89"/>
      <c r="AE298" s="18" t="s">
        <v>588</v>
      </c>
      <c r="AF298" s="18"/>
      <c r="AG298" s="18"/>
      <c r="AH298" s="18"/>
      <c r="AI298" s="18"/>
      <c r="AJ298" s="18"/>
      <c r="AK298" s="18"/>
      <c r="AL298" s="18"/>
      <c r="AM298" s="18"/>
    </row>
    <row r="299">
      <c r="A299" s="11"/>
      <c r="B299" s="12" t="s">
        <v>22</v>
      </c>
      <c r="C299" s="12" t="s">
        <v>22</v>
      </c>
      <c r="D299" s="12" t="s">
        <v>22</v>
      </c>
      <c r="E299" s="12" t="s">
        <v>593</v>
      </c>
      <c r="F299" s="13" t="s">
        <v>594</v>
      </c>
      <c r="G299" s="12" t="s">
        <v>68</v>
      </c>
      <c r="H299" s="12" t="s">
        <v>595</v>
      </c>
      <c r="I299" s="12" t="s">
        <v>596</v>
      </c>
      <c r="J299" s="17" t="s">
        <v>73</v>
      </c>
      <c r="K299" s="17" t="s">
        <v>74</v>
      </c>
      <c r="L299" s="17" t="s">
        <v>1735</v>
      </c>
      <c r="M299" s="20">
        <v>45831.0</v>
      </c>
      <c r="N299" s="17" t="s">
        <v>194</v>
      </c>
      <c r="O299" s="88" t="s">
        <v>1519</v>
      </c>
      <c r="P299" s="88" t="s">
        <v>1520</v>
      </c>
      <c r="Q299" s="88" t="s">
        <v>1520</v>
      </c>
      <c r="R299" s="88" t="s">
        <v>1520</v>
      </c>
      <c r="S299" s="88" t="s">
        <v>1521</v>
      </c>
      <c r="T299" s="88" t="s">
        <v>1521</v>
      </c>
      <c r="U299" s="88" t="s">
        <v>1521</v>
      </c>
      <c r="V299" s="88" t="s">
        <v>1521</v>
      </c>
      <c r="W299" s="88" t="s">
        <v>1521</v>
      </c>
      <c r="X299" s="88" t="s">
        <v>1521</v>
      </c>
      <c r="Y299" s="88" t="s">
        <v>1521</v>
      </c>
      <c r="Z299" s="88" t="s">
        <v>1521</v>
      </c>
      <c r="AA299" s="88" t="s">
        <v>1520</v>
      </c>
      <c r="AB299" s="88" t="s">
        <v>1520</v>
      </c>
      <c r="AC299" s="88" t="s">
        <v>1519</v>
      </c>
      <c r="AD299" s="89"/>
      <c r="AE299" s="18" t="s">
        <v>588</v>
      </c>
      <c r="AF299" s="18"/>
      <c r="AG299" s="18"/>
      <c r="AH299" s="18"/>
      <c r="AI299" s="18"/>
      <c r="AJ299" s="18"/>
      <c r="AK299" s="18"/>
      <c r="AL299" s="18"/>
      <c r="AM299" s="18"/>
    </row>
    <row r="300">
      <c r="A300" s="11"/>
      <c r="B300" s="12" t="s">
        <v>22</v>
      </c>
      <c r="C300" s="12" t="s">
        <v>22</v>
      </c>
      <c r="D300" s="12" t="s">
        <v>22</v>
      </c>
      <c r="E300" s="12" t="s">
        <v>593</v>
      </c>
      <c r="F300" s="13" t="s">
        <v>594</v>
      </c>
      <c r="G300" s="12" t="s">
        <v>68</v>
      </c>
      <c r="H300" s="12" t="s">
        <v>595</v>
      </c>
      <c r="I300" s="12" t="s">
        <v>596</v>
      </c>
      <c r="J300" s="17" t="s">
        <v>73</v>
      </c>
      <c r="K300" s="17" t="s">
        <v>74</v>
      </c>
      <c r="L300" s="17" t="s">
        <v>1736</v>
      </c>
      <c r="M300" s="20">
        <v>45831.0</v>
      </c>
      <c r="N300" s="17" t="s">
        <v>194</v>
      </c>
      <c r="O300" s="88" t="s">
        <v>1520</v>
      </c>
      <c r="P300" s="88" t="s">
        <v>1520</v>
      </c>
      <c r="Q300" s="88" t="s">
        <v>1520</v>
      </c>
      <c r="R300" s="88" t="s">
        <v>1521</v>
      </c>
      <c r="S300" s="88" t="s">
        <v>1521</v>
      </c>
      <c r="T300" s="88" t="s">
        <v>1521</v>
      </c>
      <c r="U300" s="88" t="s">
        <v>1521</v>
      </c>
      <c r="V300" s="88" t="s">
        <v>1521</v>
      </c>
      <c r="W300" s="88" t="s">
        <v>1521</v>
      </c>
      <c r="X300" s="88" t="s">
        <v>1521</v>
      </c>
      <c r="Y300" s="88" t="s">
        <v>1521</v>
      </c>
      <c r="Z300" s="88" t="s">
        <v>1521</v>
      </c>
      <c r="AA300" s="88" t="s">
        <v>1520</v>
      </c>
      <c r="AB300" s="88" t="s">
        <v>1520</v>
      </c>
      <c r="AC300" s="88" t="s">
        <v>1521</v>
      </c>
      <c r="AD300" s="89"/>
      <c r="AE300" s="18" t="s">
        <v>588</v>
      </c>
      <c r="AF300" s="18"/>
      <c r="AG300" s="18"/>
      <c r="AH300" s="18"/>
      <c r="AI300" s="18"/>
      <c r="AJ300" s="18"/>
      <c r="AK300" s="18"/>
      <c r="AL300" s="18"/>
      <c r="AM300" s="18"/>
    </row>
    <row r="301">
      <c r="A301" s="11"/>
      <c r="B301" s="12" t="s">
        <v>22</v>
      </c>
      <c r="C301" s="12" t="s">
        <v>22</v>
      </c>
      <c r="D301" s="12" t="s">
        <v>22</v>
      </c>
      <c r="E301" s="12" t="s">
        <v>593</v>
      </c>
      <c r="F301" s="13" t="s">
        <v>594</v>
      </c>
      <c r="G301" s="12" t="s">
        <v>68</v>
      </c>
      <c r="H301" s="12" t="s">
        <v>595</v>
      </c>
      <c r="I301" s="12" t="s">
        <v>596</v>
      </c>
      <c r="J301" s="17" t="s">
        <v>73</v>
      </c>
      <c r="K301" s="17" t="s">
        <v>74</v>
      </c>
      <c r="L301" s="17" t="s">
        <v>1737</v>
      </c>
      <c r="M301" s="20">
        <v>45831.0</v>
      </c>
      <c r="N301" s="17" t="s">
        <v>194</v>
      </c>
      <c r="O301" s="88" t="s">
        <v>1519</v>
      </c>
      <c r="P301" s="88" t="s">
        <v>1520</v>
      </c>
      <c r="Q301" s="88" t="s">
        <v>1520</v>
      </c>
      <c r="R301" s="88" t="s">
        <v>1521</v>
      </c>
      <c r="S301" s="88" t="s">
        <v>1521</v>
      </c>
      <c r="T301" s="88" t="s">
        <v>1521</v>
      </c>
      <c r="U301" s="88" t="s">
        <v>1521</v>
      </c>
      <c r="V301" s="88" t="s">
        <v>1521</v>
      </c>
      <c r="W301" s="88" t="s">
        <v>1521</v>
      </c>
      <c r="X301" s="88" t="s">
        <v>1521</v>
      </c>
      <c r="Y301" s="88" t="s">
        <v>1521</v>
      </c>
      <c r="Z301" s="88" t="s">
        <v>1521</v>
      </c>
      <c r="AA301" s="88" t="s">
        <v>1520</v>
      </c>
      <c r="AB301" s="88" t="s">
        <v>1520</v>
      </c>
      <c r="AC301" s="88" t="s">
        <v>1521</v>
      </c>
      <c r="AD301" s="89"/>
      <c r="AE301" s="18" t="s">
        <v>588</v>
      </c>
      <c r="AF301" s="18"/>
      <c r="AG301" s="18"/>
      <c r="AH301" s="18"/>
      <c r="AI301" s="18"/>
      <c r="AJ301" s="18"/>
      <c r="AK301" s="18"/>
      <c r="AL301" s="18"/>
      <c r="AM301" s="18"/>
    </row>
    <row r="302">
      <c r="A302" s="11"/>
      <c r="B302" s="12" t="s">
        <v>22</v>
      </c>
      <c r="C302" s="12" t="s">
        <v>22</v>
      </c>
      <c r="D302" s="12" t="s">
        <v>22</v>
      </c>
      <c r="E302" s="12" t="s">
        <v>593</v>
      </c>
      <c r="F302" s="13" t="s">
        <v>594</v>
      </c>
      <c r="G302" s="12" t="s">
        <v>68</v>
      </c>
      <c r="H302" s="12" t="s">
        <v>595</v>
      </c>
      <c r="I302" s="12" t="s">
        <v>596</v>
      </c>
      <c r="J302" s="17" t="s">
        <v>73</v>
      </c>
      <c r="K302" s="17" t="s">
        <v>74</v>
      </c>
      <c r="L302" s="17" t="s">
        <v>1738</v>
      </c>
      <c r="M302" s="20">
        <v>45831.0</v>
      </c>
      <c r="N302" s="17" t="s">
        <v>194</v>
      </c>
      <c r="O302" s="88" t="s">
        <v>1519</v>
      </c>
      <c r="P302" s="88" t="s">
        <v>1520</v>
      </c>
      <c r="Q302" s="88" t="s">
        <v>1520</v>
      </c>
      <c r="R302" s="88" t="s">
        <v>1521</v>
      </c>
      <c r="S302" s="88" t="s">
        <v>1521</v>
      </c>
      <c r="T302" s="88" t="s">
        <v>1521</v>
      </c>
      <c r="U302" s="88" t="s">
        <v>1521</v>
      </c>
      <c r="V302" s="88" t="s">
        <v>1521</v>
      </c>
      <c r="W302" s="88" t="s">
        <v>1521</v>
      </c>
      <c r="X302" s="88" t="s">
        <v>1521</v>
      </c>
      <c r="Y302" s="88" t="s">
        <v>1521</v>
      </c>
      <c r="Z302" s="88" t="s">
        <v>1521</v>
      </c>
      <c r="AA302" s="88" t="s">
        <v>1521</v>
      </c>
      <c r="AB302" s="88" t="s">
        <v>1521</v>
      </c>
      <c r="AC302" s="88" t="s">
        <v>1521</v>
      </c>
      <c r="AD302" s="89"/>
      <c r="AE302" s="18" t="s">
        <v>588</v>
      </c>
      <c r="AF302" s="18"/>
      <c r="AG302" s="18"/>
      <c r="AH302" s="18"/>
      <c r="AI302" s="18"/>
      <c r="AJ302" s="18"/>
      <c r="AK302" s="18"/>
      <c r="AL302" s="18"/>
      <c r="AM302" s="18"/>
    </row>
    <row r="303">
      <c r="A303" s="11"/>
      <c r="B303" s="12" t="s">
        <v>22</v>
      </c>
      <c r="C303" s="12" t="s">
        <v>22</v>
      </c>
      <c r="D303" s="12" t="s">
        <v>22</v>
      </c>
      <c r="E303" s="12" t="s">
        <v>593</v>
      </c>
      <c r="F303" s="13" t="s">
        <v>594</v>
      </c>
      <c r="G303" s="12" t="s">
        <v>68</v>
      </c>
      <c r="H303" s="12" t="s">
        <v>595</v>
      </c>
      <c r="I303" s="12" t="s">
        <v>596</v>
      </c>
      <c r="J303" s="17" t="s">
        <v>73</v>
      </c>
      <c r="K303" s="17" t="s">
        <v>74</v>
      </c>
      <c r="L303" s="17" t="s">
        <v>1739</v>
      </c>
      <c r="M303" s="20">
        <v>45831.0</v>
      </c>
      <c r="N303" s="17" t="s">
        <v>194</v>
      </c>
      <c r="O303" s="88" t="s">
        <v>1519</v>
      </c>
      <c r="P303" s="88" t="s">
        <v>1520</v>
      </c>
      <c r="Q303" s="88" t="s">
        <v>1520</v>
      </c>
      <c r="R303" s="88" t="s">
        <v>1521</v>
      </c>
      <c r="S303" s="88" t="s">
        <v>1521</v>
      </c>
      <c r="T303" s="88" t="s">
        <v>1521</v>
      </c>
      <c r="U303" s="88" t="s">
        <v>1521</v>
      </c>
      <c r="V303" s="88" t="s">
        <v>1521</v>
      </c>
      <c r="W303" s="88" t="s">
        <v>1521</v>
      </c>
      <c r="X303" s="88" t="s">
        <v>1521</v>
      </c>
      <c r="Y303" s="88" t="s">
        <v>1521</v>
      </c>
      <c r="Z303" s="88" t="s">
        <v>1521</v>
      </c>
      <c r="AA303" s="88" t="s">
        <v>1521</v>
      </c>
      <c r="AB303" s="88" t="s">
        <v>1521</v>
      </c>
      <c r="AC303" s="88" t="s">
        <v>1521</v>
      </c>
      <c r="AD303" s="89"/>
      <c r="AE303" s="18" t="s">
        <v>588</v>
      </c>
      <c r="AF303" s="18"/>
      <c r="AG303" s="18"/>
      <c r="AH303" s="18"/>
      <c r="AI303" s="18"/>
      <c r="AJ303" s="18"/>
      <c r="AK303" s="18"/>
      <c r="AL303" s="18"/>
      <c r="AM303" s="18"/>
    </row>
    <row r="304">
      <c r="A304" s="11"/>
      <c r="B304" s="12" t="s">
        <v>22</v>
      </c>
      <c r="C304" s="12" t="s">
        <v>22</v>
      </c>
      <c r="D304" s="12" t="s">
        <v>22</v>
      </c>
      <c r="E304" s="12" t="s">
        <v>593</v>
      </c>
      <c r="F304" s="13" t="s">
        <v>594</v>
      </c>
      <c r="G304" s="12" t="s">
        <v>68</v>
      </c>
      <c r="H304" s="12" t="s">
        <v>595</v>
      </c>
      <c r="I304" s="12" t="s">
        <v>596</v>
      </c>
      <c r="J304" s="17" t="s">
        <v>73</v>
      </c>
      <c r="K304" s="17" t="s">
        <v>74</v>
      </c>
      <c r="L304" s="17" t="s">
        <v>1740</v>
      </c>
      <c r="M304" s="20">
        <v>45831.0</v>
      </c>
      <c r="N304" s="17" t="s">
        <v>194</v>
      </c>
      <c r="O304" s="88" t="s">
        <v>1519</v>
      </c>
      <c r="P304" s="88" t="s">
        <v>1520</v>
      </c>
      <c r="Q304" s="88" t="s">
        <v>1520</v>
      </c>
      <c r="R304" s="88" t="s">
        <v>1521</v>
      </c>
      <c r="S304" s="88" t="s">
        <v>1521</v>
      </c>
      <c r="T304" s="88" t="s">
        <v>1521</v>
      </c>
      <c r="U304" s="88" t="s">
        <v>1521</v>
      </c>
      <c r="V304" s="88" t="s">
        <v>1521</v>
      </c>
      <c r="W304" s="88" t="s">
        <v>1521</v>
      </c>
      <c r="X304" s="88" t="s">
        <v>1521</v>
      </c>
      <c r="Y304" s="88" t="s">
        <v>1521</v>
      </c>
      <c r="Z304" s="88" t="s">
        <v>1521</v>
      </c>
      <c r="AA304" s="88" t="s">
        <v>1520</v>
      </c>
      <c r="AB304" s="88" t="s">
        <v>1520</v>
      </c>
      <c r="AC304" s="88" t="s">
        <v>1521</v>
      </c>
      <c r="AD304" s="89"/>
      <c r="AE304" s="18" t="s">
        <v>588</v>
      </c>
      <c r="AF304" s="18"/>
      <c r="AG304" s="18"/>
      <c r="AH304" s="18"/>
      <c r="AI304" s="18"/>
      <c r="AJ304" s="18"/>
      <c r="AK304" s="18"/>
      <c r="AL304" s="18"/>
      <c r="AM304" s="18"/>
    </row>
    <row r="305">
      <c r="A305" s="11"/>
      <c r="B305" s="12" t="s">
        <v>22</v>
      </c>
      <c r="C305" s="12" t="s">
        <v>22</v>
      </c>
      <c r="D305" s="12" t="s">
        <v>22</v>
      </c>
      <c r="E305" s="12" t="s">
        <v>593</v>
      </c>
      <c r="F305" s="13" t="s">
        <v>594</v>
      </c>
      <c r="G305" s="12" t="s">
        <v>68</v>
      </c>
      <c r="H305" s="12" t="s">
        <v>595</v>
      </c>
      <c r="I305" s="12" t="s">
        <v>596</v>
      </c>
      <c r="J305" s="17" t="s">
        <v>73</v>
      </c>
      <c r="K305" s="17" t="s">
        <v>74</v>
      </c>
      <c r="L305" s="17" t="s">
        <v>1741</v>
      </c>
      <c r="M305" s="20">
        <v>45831.0</v>
      </c>
      <c r="N305" s="17" t="s">
        <v>194</v>
      </c>
      <c r="O305" s="88" t="s">
        <v>1519</v>
      </c>
      <c r="P305" s="88" t="s">
        <v>1520</v>
      </c>
      <c r="Q305" s="88" t="s">
        <v>1520</v>
      </c>
      <c r="R305" s="88" t="s">
        <v>1521</v>
      </c>
      <c r="S305" s="88" t="s">
        <v>1521</v>
      </c>
      <c r="T305" s="88" t="s">
        <v>1521</v>
      </c>
      <c r="U305" s="88" t="s">
        <v>1521</v>
      </c>
      <c r="V305" s="88" t="s">
        <v>1521</v>
      </c>
      <c r="W305" s="88" t="s">
        <v>1521</v>
      </c>
      <c r="X305" s="88" t="s">
        <v>1521</v>
      </c>
      <c r="Y305" s="88" t="s">
        <v>1521</v>
      </c>
      <c r="Z305" s="88" t="s">
        <v>1521</v>
      </c>
      <c r="AA305" s="88" t="s">
        <v>1520</v>
      </c>
      <c r="AB305" s="88" t="s">
        <v>1521</v>
      </c>
      <c r="AC305" s="88" t="s">
        <v>1520</v>
      </c>
      <c r="AD305" s="89"/>
      <c r="AE305" s="18" t="s">
        <v>588</v>
      </c>
      <c r="AF305" s="18"/>
      <c r="AG305" s="18"/>
      <c r="AH305" s="18"/>
      <c r="AI305" s="18"/>
      <c r="AJ305" s="18"/>
      <c r="AK305" s="18"/>
      <c r="AL305" s="18"/>
      <c r="AM305" s="18"/>
    </row>
    <row r="306">
      <c r="A306" s="11"/>
      <c r="B306" s="12" t="s">
        <v>22</v>
      </c>
      <c r="C306" s="12" t="s">
        <v>22</v>
      </c>
      <c r="D306" s="12" t="s">
        <v>22</v>
      </c>
      <c r="E306" s="12" t="s">
        <v>593</v>
      </c>
      <c r="F306" s="13" t="s">
        <v>594</v>
      </c>
      <c r="G306" s="12" t="s">
        <v>68</v>
      </c>
      <c r="H306" s="12" t="s">
        <v>595</v>
      </c>
      <c r="I306" s="12" t="s">
        <v>596</v>
      </c>
      <c r="J306" s="17" t="s">
        <v>73</v>
      </c>
      <c r="K306" s="17" t="s">
        <v>74</v>
      </c>
      <c r="L306" s="17" t="s">
        <v>1742</v>
      </c>
      <c r="M306" s="20">
        <v>45831.0</v>
      </c>
      <c r="N306" s="17" t="s">
        <v>194</v>
      </c>
      <c r="O306" s="88" t="s">
        <v>1519</v>
      </c>
      <c r="P306" s="88" t="s">
        <v>1520</v>
      </c>
      <c r="Q306" s="88" t="s">
        <v>1520</v>
      </c>
      <c r="R306" s="88" t="s">
        <v>1521</v>
      </c>
      <c r="S306" s="88" t="s">
        <v>1521</v>
      </c>
      <c r="T306" s="88" t="s">
        <v>1521</v>
      </c>
      <c r="U306" s="88" t="s">
        <v>1521</v>
      </c>
      <c r="V306" s="88" t="s">
        <v>1521</v>
      </c>
      <c r="W306" s="88" t="s">
        <v>1521</v>
      </c>
      <c r="X306" s="88" t="s">
        <v>1521</v>
      </c>
      <c r="Y306" s="88" t="s">
        <v>1521</v>
      </c>
      <c r="Z306" s="88" t="s">
        <v>1521</v>
      </c>
      <c r="AA306" s="88" t="s">
        <v>1521</v>
      </c>
      <c r="AB306" s="88" t="s">
        <v>1521</v>
      </c>
      <c r="AC306" s="88" t="s">
        <v>1521</v>
      </c>
      <c r="AD306" s="89"/>
      <c r="AE306" s="18" t="s">
        <v>588</v>
      </c>
      <c r="AF306" s="18"/>
      <c r="AG306" s="18"/>
      <c r="AH306" s="18"/>
      <c r="AI306" s="18"/>
      <c r="AJ306" s="18"/>
      <c r="AK306" s="18"/>
      <c r="AL306" s="18"/>
      <c r="AM306" s="18"/>
    </row>
    <row r="307">
      <c r="A307" s="11"/>
      <c r="B307" s="12" t="s">
        <v>22</v>
      </c>
      <c r="C307" s="12" t="s">
        <v>22</v>
      </c>
      <c r="D307" s="12" t="s">
        <v>22</v>
      </c>
      <c r="E307" s="12" t="s">
        <v>593</v>
      </c>
      <c r="F307" s="13" t="s">
        <v>594</v>
      </c>
      <c r="G307" s="12" t="s">
        <v>68</v>
      </c>
      <c r="H307" s="12" t="s">
        <v>595</v>
      </c>
      <c r="I307" s="12" t="s">
        <v>596</v>
      </c>
      <c r="J307" s="17" t="s">
        <v>73</v>
      </c>
      <c r="K307" s="17" t="s">
        <v>74</v>
      </c>
      <c r="L307" s="17" t="s">
        <v>1743</v>
      </c>
      <c r="M307" s="20">
        <v>45831.0</v>
      </c>
      <c r="N307" s="17" t="s">
        <v>194</v>
      </c>
      <c r="O307" s="88" t="s">
        <v>1519</v>
      </c>
      <c r="P307" s="88" t="s">
        <v>1520</v>
      </c>
      <c r="Q307" s="88" t="s">
        <v>1520</v>
      </c>
      <c r="R307" s="88" t="s">
        <v>1520</v>
      </c>
      <c r="S307" s="88" t="s">
        <v>1519</v>
      </c>
      <c r="T307" s="88" t="s">
        <v>1519</v>
      </c>
      <c r="U307" s="88" t="s">
        <v>1521</v>
      </c>
      <c r="V307" s="88" t="s">
        <v>1521</v>
      </c>
      <c r="W307" s="88" t="s">
        <v>1521</v>
      </c>
      <c r="X307" s="88" t="s">
        <v>1521</v>
      </c>
      <c r="Y307" s="88" t="s">
        <v>1521</v>
      </c>
      <c r="Z307" s="88" t="s">
        <v>1521</v>
      </c>
      <c r="AA307" s="88" t="s">
        <v>1521</v>
      </c>
      <c r="AB307" s="88" t="s">
        <v>1521</v>
      </c>
      <c r="AC307" s="88" t="s">
        <v>1521</v>
      </c>
      <c r="AD307" s="89"/>
      <c r="AE307" s="18" t="s">
        <v>588</v>
      </c>
      <c r="AF307" s="18"/>
      <c r="AG307" s="18"/>
      <c r="AH307" s="18"/>
      <c r="AI307" s="18"/>
      <c r="AJ307" s="18"/>
      <c r="AK307" s="18"/>
      <c r="AL307" s="18"/>
      <c r="AM307" s="18"/>
    </row>
    <row r="308">
      <c r="A308" s="11"/>
      <c r="B308" s="12" t="s">
        <v>22</v>
      </c>
      <c r="C308" s="12" t="s">
        <v>22</v>
      </c>
      <c r="D308" s="12" t="s">
        <v>22</v>
      </c>
      <c r="E308" s="12" t="s">
        <v>593</v>
      </c>
      <c r="F308" s="13" t="s">
        <v>594</v>
      </c>
      <c r="G308" s="12" t="s">
        <v>68</v>
      </c>
      <c r="H308" s="12" t="s">
        <v>595</v>
      </c>
      <c r="I308" s="12" t="s">
        <v>596</v>
      </c>
      <c r="J308" s="17" t="s">
        <v>73</v>
      </c>
      <c r="K308" s="17" t="s">
        <v>74</v>
      </c>
      <c r="L308" s="17" t="s">
        <v>1744</v>
      </c>
      <c r="M308" s="20">
        <v>45831.0</v>
      </c>
      <c r="N308" s="17" t="s">
        <v>194</v>
      </c>
      <c r="O308" s="88" t="s">
        <v>1519</v>
      </c>
      <c r="P308" s="88" t="s">
        <v>1520</v>
      </c>
      <c r="Q308" s="88" t="s">
        <v>1520</v>
      </c>
      <c r="R308" s="88" t="s">
        <v>1520</v>
      </c>
      <c r="S308" s="88" t="s">
        <v>1519</v>
      </c>
      <c r="T308" s="88" t="s">
        <v>1519</v>
      </c>
      <c r="U308" s="88" t="s">
        <v>1521</v>
      </c>
      <c r="V308" s="88" t="s">
        <v>1521</v>
      </c>
      <c r="W308" s="88" t="s">
        <v>1521</v>
      </c>
      <c r="X308" s="88" t="s">
        <v>1521</v>
      </c>
      <c r="Y308" s="88" t="s">
        <v>1521</v>
      </c>
      <c r="Z308" s="88" t="s">
        <v>1521</v>
      </c>
      <c r="AA308" s="88" t="s">
        <v>1520</v>
      </c>
      <c r="AB308" s="88" t="s">
        <v>1520</v>
      </c>
      <c r="AC308" s="88" t="s">
        <v>1520</v>
      </c>
      <c r="AD308" s="89"/>
      <c r="AE308" s="18" t="s">
        <v>588</v>
      </c>
      <c r="AF308" s="18"/>
      <c r="AG308" s="18"/>
      <c r="AH308" s="18"/>
      <c r="AI308" s="18"/>
      <c r="AJ308" s="18"/>
      <c r="AK308" s="18"/>
      <c r="AL308" s="18"/>
      <c r="AM308" s="18"/>
    </row>
    <row r="309">
      <c r="A309" s="11"/>
      <c r="B309" s="12" t="s">
        <v>22</v>
      </c>
      <c r="C309" s="12" t="s">
        <v>22</v>
      </c>
      <c r="D309" s="12" t="s">
        <v>22</v>
      </c>
      <c r="E309" s="12" t="s">
        <v>593</v>
      </c>
      <c r="F309" s="13" t="s">
        <v>594</v>
      </c>
      <c r="G309" s="12" t="s">
        <v>68</v>
      </c>
      <c r="H309" s="12" t="s">
        <v>595</v>
      </c>
      <c r="I309" s="12" t="s">
        <v>596</v>
      </c>
      <c r="J309" s="17" t="s">
        <v>73</v>
      </c>
      <c r="K309" s="17" t="s">
        <v>74</v>
      </c>
      <c r="L309" s="17" t="s">
        <v>1745</v>
      </c>
      <c r="M309" s="20">
        <v>45831.0</v>
      </c>
      <c r="N309" s="17" t="s">
        <v>194</v>
      </c>
      <c r="O309" s="88" t="s">
        <v>1520</v>
      </c>
      <c r="P309" s="88" t="s">
        <v>1520</v>
      </c>
      <c r="Q309" s="88" t="s">
        <v>1520</v>
      </c>
      <c r="R309" s="88" t="s">
        <v>1520</v>
      </c>
      <c r="S309" s="88" t="s">
        <v>1519</v>
      </c>
      <c r="T309" s="88" t="s">
        <v>1519</v>
      </c>
      <c r="U309" s="88" t="s">
        <v>1521</v>
      </c>
      <c r="V309" s="88" t="s">
        <v>1521</v>
      </c>
      <c r="W309" s="88" t="s">
        <v>1521</v>
      </c>
      <c r="X309" s="88" t="s">
        <v>1521</v>
      </c>
      <c r="Y309" s="88" t="s">
        <v>1521</v>
      </c>
      <c r="Z309" s="88" t="s">
        <v>1521</v>
      </c>
      <c r="AA309" s="88" t="s">
        <v>1520</v>
      </c>
      <c r="AB309" s="88" t="s">
        <v>1520</v>
      </c>
      <c r="AC309" s="88" t="s">
        <v>1520</v>
      </c>
      <c r="AD309" s="89"/>
      <c r="AE309" s="18" t="s">
        <v>588</v>
      </c>
      <c r="AF309" s="18"/>
      <c r="AG309" s="18"/>
      <c r="AH309" s="18"/>
      <c r="AI309" s="18"/>
      <c r="AJ309" s="18"/>
      <c r="AK309" s="18"/>
      <c r="AL309" s="18"/>
      <c r="AM309" s="18"/>
    </row>
    <row r="310">
      <c r="A310" s="11"/>
      <c r="B310" s="12" t="s">
        <v>22</v>
      </c>
      <c r="C310" s="12" t="s">
        <v>22</v>
      </c>
      <c r="D310" s="12" t="s">
        <v>22</v>
      </c>
      <c r="E310" s="12" t="s">
        <v>593</v>
      </c>
      <c r="F310" s="13" t="s">
        <v>594</v>
      </c>
      <c r="G310" s="12" t="s">
        <v>68</v>
      </c>
      <c r="H310" s="12" t="s">
        <v>595</v>
      </c>
      <c r="I310" s="12" t="s">
        <v>596</v>
      </c>
      <c r="J310" s="17" t="s">
        <v>73</v>
      </c>
      <c r="K310" s="17" t="s">
        <v>74</v>
      </c>
      <c r="L310" s="17" t="s">
        <v>1746</v>
      </c>
      <c r="M310" s="20">
        <v>45831.0</v>
      </c>
      <c r="N310" s="17" t="s">
        <v>194</v>
      </c>
      <c r="O310" s="88" t="s">
        <v>1519</v>
      </c>
      <c r="P310" s="88" t="s">
        <v>1519</v>
      </c>
      <c r="Q310" s="88" t="s">
        <v>1519</v>
      </c>
      <c r="R310" s="88" t="s">
        <v>1520</v>
      </c>
      <c r="S310" s="88" t="s">
        <v>1519</v>
      </c>
      <c r="T310" s="88" t="s">
        <v>1519</v>
      </c>
      <c r="U310" s="88" t="s">
        <v>1521</v>
      </c>
      <c r="V310" s="88" t="s">
        <v>1521</v>
      </c>
      <c r="W310" s="88" t="s">
        <v>1521</v>
      </c>
      <c r="X310" s="88" t="s">
        <v>1521</v>
      </c>
      <c r="Y310" s="88" t="s">
        <v>1521</v>
      </c>
      <c r="Z310" s="88" t="s">
        <v>1521</v>
      </c>
      <c r="AA310" s="88" t="s">
        <v>1520</v>
      </c>
      <c r="AB310" s="88" t="s">
        <v>1520</v>
      </c>
      <c r="AC310" s="88" t="s">
        <v>1520</v>
      </c>
      <c r="AD310" s="89"/>
      <c r="AE310" s="18" t="s">
        <v>588</v>
      </c>
      <c r="AF310" s="18"/>
      <c r="AG310" s="18"/>
      <c r="AH310" s="18"/>
      <c r="AI310" s="18"/>
      <c r="AJ310" s="18"/>
      <c r="AK310" s="18"/>
      <c r="AL310" s="18"/>
      <c r="AM310" s="18"/>
    </row>
    <row r="311">
      <c r="A311" s="11"/>
      <c r="B311" s="12" t="s">
        <v>22</v>
      </c>
      <c r="C311" s="12" t="s">
        <v>22</v>
      </c>
      <c r="D311" s="12" t="s">
        <v>22</v>
      </c>
      <c r="E311" s="12" t="s">
        <v>593</v>
      </c>
      <c r="F311" s="13" t="s">
        <v>594</v>
      </c>
      <c r="G311" s="12" t="s">
        <v>68</v>
      </c>
      <c r="H311" s="12" t="s">
        <v>595</v>
      </c>
      <c r="I311" s="12" t="s">
        <v>596</v>
      </c>
      <c r="J311" s="17" t="s">
        <v>73</v>
      </c>
      <c r="K311" s="17" t="s">
        <v>74</v>
      </c>
      <c r="L311" s="17" t="s">
        <v>1747</v>
      </c>
      <c r="M311" s="20">
        <v>45831.0</v>
      </c>
      <c r="N311" s="17" t="s">
        <v>194</v>
      </c>
      <c r="O311" s="88" t="s">
        <v>1519</v>
      </c>
      <c r="P311" s="88" t="s">
        <v>1519</v>
      </c>
      <c r="Q311" s="88" t="s">
        <v>1519</v>
      </c>
      <c r="R311" s="88" t="s">
        <v>1520</v>
      </c>
      <c r="S311" s="88" t="s">
        <v>1519</v>
      </c>
      <c r="T311" s="88" t="s">
        <v>1519</v>
      </c>
      <c r="U311" s="88" t="s">
        <v>1521</v>
      </c>
      <c r="V311" s="88" t="s">
        <v>1521</v>
      </c>
      <c r="W311" s="88" t="s">
        <v>1521</v>
      </c>
      <c r="X311" s="88" t="s">
        <v>1521</v>
      </c>
      <c r="Y311" s="88" t="s">
        <v>1521</v>
      </c>
      <c r="Z311" s="88" t="s">
        <v>1521</v>
      </c>
      <c r="AA311" s="88" t="s">
        <v>1520</v>
      </c>
      <c r="AB311" s="88" t="s">
        <v>1520</v>
      </c>
      <c r="AC311" s="88" t="s">
        <v>1520</v>
      </c>
      <c r="AD311" s="89"/>
      <c r="AE311" s="18" t="s">
        <v>588</v>
      </c>
      <c r="AF311" s="18"/>
      <c r="AG311" s="18"/>
      <c r="AH311" s="18"/>
      <c r="AI311" s="18"/>
      <c r="AJ311" s="18"/>
      <c r="AK311" s="18"/>
      <c r="AL311" s="18"/>
      <c r="AM311" s="18"/>
    </row>
    <row r="312">
      <c r="A312" s="11"/>
      <c r="B312" s="12" t="s">
        <v>22</v>
      </c>
      <c r="C312" s="12" t="s">
        <v>22</v>
      </c>
      <c r="D312" s="12" t="s">
        <v>22</v>
      </c>
      <c r="E312" s="12" t="s">
        <v>593</v>
      </c>
      <c r="F312" s="13" t="s">
        <v>594</v>
      </c>
      <c r="G312" s="12" t="s">
        <v>68</v>
      </c>
      <c r="H312" s="12" t="s">
        <v>595</v>
      </c>
      <c r="I312" s="12" t="s">
        <v>596</v>
      </c>
      <c r="J312" s="17" t="s">
        <v>112</v>
      </c>
      <c r="K312" s="17" t="s">
        <v>113</v>
      </c>
      <c r="L312" s="17" t="s">
        <v>1748</v>
      </c>
      <c r="M312" s="20">
        <v>45831.0</v>
      </c>
      <c r="N312" s="17" t="s">
        <v>194</v>
      </c>
      <c r="O312" s="88" t="s">
        <v>1519</v>
      </c>
      <c r="P312" s="88" t="s">
        <v>1519</v>
      </c>
      <c r="Q312" s="88" t="s">
        <v>1519</v>
      </c>
      <c r="R312" s="88" t="s">
        <v>1519</v>
      </c>
      <c r="S312" s="88" t="s">
        <v>1519</v>
      </c>
      <c r="T312" s="88" t="s">
        <v>1519</v>
      </c>
      <c r="U312" s="88" t="s">
        <v>1519</v>
      </c>
      <c r="V312" s="88" t="s">
        <v>1519</v>
      </c>
      <c r="W312" s="88" t="s">
        <v>1519</v>
      </c>
      <c r="X312" s="88" t="s">
        <v>1521</v>
      </c>
      <c r="Y312" s="88" t="s">
        <v>1521</v>
      </c>
      <c r="Z312" s="88" t="s">
        <v>1521</v>
      </c>
      <c r="AA312" s="88" t="s">
        <v>1520</v>
      </c>
      <c r="AB312" s="88" t="s">
        <v>1520</v>
      </c>
      <c r="AC312" s="88" t="s">
        <v>1520</v>
      </c>
      <c r="AD312" s="89"/>
      <c r="AE312" s="18" t="s">
        <v>588</v>
      </c>
      <c r="AF312" s="18"/>
      <c r="AG312" s="18"/>
      <c r="AH312" s="18"/>
      <c r="AI312" s="18"/>
      <c r="AJ312" s="18"/>
      <c r="AK312" s="18"/>
      <c r="AL312" s="18"/>
      <c r="AM312" s="18"/>
    </row>
    <row r="313">
      <c r="A313" s="11"/>
      <c r="B313" s="12" t="s">
        <v>22</v>
      </c>
      <c r="C313" s="12" t="s">
        <v>22</v>
      </c>
      <c r="D313" s="12" t="s">
        <v>22</v>
      </c>
      <c r="E313" s="12" t="s">
        <v>593</v>
      </c>
      <c r="F313" s="13" t="s">
        <v>594</v>
      </c>
      <c r="G313" s="12" t="s">
        <v>68</v>
      </c>
      <c r="H313" s="12" t="s">
        <v>595</v>
      </c>
      <c r="I313" s="12" t="s">
        <v>596</v>
      </c>
      <c r="J313" s="17" t="s">
        <v>112</v>
      </c>
      <c r="K313" s="17" t="s">
        <v>113</v>
      </c>
      <c r="L313" s="17" t="s">
        <v>1749</v>
      </c>
      <c r="M313" s="20">
        <v>45831.0</v>
      </c>
      <c r="N313" s="17" t="s">
        <v>194</v>
      </c>
      <c r="O313" s="88" t="s">
        <v>1520</v>
      </c>
      <c r="P313" s="88" t="s">
        <v>1520</v>
      </c>
      <c r="Q313" s="88" t="s">
        <v>1520</v>
      </c>
      <c r="R313" s="88" t="s">
        <v>1520</v>
      </c>
      <c r="S313" s="88" t="s">
        <v>1520</v>
      </c>
      <c r="T313" s="88" t="s">
        <v>1520</v>
      </c>
      <c r="U313" s="88" t="s">
        <v>1520</v>
      </c>
      <c r="V313" s="88" t="s">
        <v>1520</v>
      </c>
      <c r="W313" s="88" t="s">
        <v>1520</v>
      </c>
      <c r="X313" s="88" t="s">
        <v>1521</v>
      </c>
      <c r="Y313" s="88" t="s">
        <v>1521</v>
      </c>
      <c r="Z313" s="88" t="s">
        <v>1521</v>
      </c>
      <c r="AA313" s="88" t="s">
        <v>1520</v>
      </c>
      <c r="AB313" s="88" t="s">
        <v>1520</v>
      </c>
      <c r="AC313" s="88" t="s">
        <v>1520</v>
      </c>
      <c r="AD313" s="89"/>
      <c r="AE313" s="18" t="s">
        <v>588</v>
      </c>
      <c r="AF313" s="18"/>
      <c r="AG313" s="18"/>
      <c r="AH313" s="18"/>
      <c r="AI313" s="18"/>
      <c r="AJ313" s="18"/>
      <c r="AK313" s="18"/>
      <c r="AL313" s="18"/>
      <c r="AM313" s="18"/>
    </row>
    <row r="314">
      <c r="A314" s="11"/>
      <c r="B314" s="12" t="s">
        <v>22</v>
      </c>
      <c r="C314" s="12" t="s">
        <v>22</v>
      </c>
      <c r="D314" s="12" t="s">
        <v>22</v>
      </c>
      <c r="E314" s="12" t="s">
        <v>593</v>
      </c>
      <c r="F314" s="45" t="s">
        <v>594</v>
      </c>
      <c r="G314" s="12" t="s">
        <v>68</v>
      </c>
      <c r="H314" s="12" t="s">
        <v>595</v>
      </c>
      <c r="I314" s="12" t="s">
        <v>596</v>
      </c>
      <c r="J314" s="17" t="s">
        <v>112</v>
      </c>
      <c r="K314" s="17" t="s">
        <v>113</v>
      </c>
      <c r="L314" s="17" t="s">
        <v>1750</v>
      </c>
      <c r="M314" s="20">
        <v>45831.0</v>
      </c>
      <c r="N314" s="17" t="s">
        <v>194</v>
      </c>
      <c r="O314" s="88" t="s">
        <v>1521</v>
      </c>
      <c r="P314" s="88" t="s">
        <v>1521</v>
      </c>
      <c r="Q314" s="88" t="s">
        <v>1521</v>
      </c>
      <c r="R314" s="88" t="s">
        <v>1521</v>
      </c>
      <c r="S314" s="88" t="s">
        <v>1521</v>
      </c>
      <c r="T314" s="88" t="s">
        <v>1521</v>
      </c>
      <c r="U314" s="88" t="s">
        <v>1521</v>
      </c>
      <c r="V314" s="88" t="s">
        <v>1521</v>
      </c>
      <c r="W314" s="88" t="s">
        <v>1521</v>
      </c>
      <c r="X314" s="88" t="s">
        <v>1521</v>
      </c>
      <c r="Y314" s="88" t="s">
        <v>1521</v>
      </c>
      <c r="Z314" s="88" t="s">
        <v>1521</v>
      </c>
      <c r="AA314" s="88" t="s">
        <v>1521</v>
      </c>
      <c r="AB314" s="88" t="s">
        <v>1521</v>
      </c>
      <c r="AC314" s="88" t="s">
        <v>1521</v>
      </c>
      <c r="AD314" s="89"/>
      <c r="AE314" s="18" t="s">
        <v>588</v>
      </c>
      <c r="AF314" s="18"/>
      <c r="AG314" s="18"/>
      <c r="AH314" s="18"/>
      <c r="AI314" s="18"/>
      <c r="AJ314" s="18"/>
      <c r="AK314" s="18"/>
      <c r="AL314" s="18"/>
      <c r="AM314" s="18"/>
    </row>
    <row r="315">
      <c r="A315" s="11"/>
      <c r="B315" s="12" t="s">
        <v>22</v>
      </c>
      <c r="C315" s="12" t="s">
        <v>22</v>
      </c>
      <c r="D315" s="12" t="s">
        <v>22</v>
      </c>
      <c r="E315" s="12" t="s">
        <v>593</v>
      </c>
      <c r="F315" s="45" t="s">
        <v>594</v>
      </c>
      <c r="G315" s="12" t="s">
        <v>68</v>
      </c>
      <c r="H315" s="12" t="s">
        <v>595</v>
      </c>
      <c r="I315" s="12" t="s">
        <v>596</v>
      </c>
      <c r="J315" s="17" t="s">
        <v>112</v>
      </c>
      <c r="K315" s="17" t="s">
        <v>113</v>
      </c>
      <c r="L315" s="17" t="s">
        <v>1751</v>
      </c>
      <c r="M315" s="20">
        <v>45831.0</v>
      </c>
      <c r="N315" s="17" t="s">
        <v>194</v>
      </c>
      <c r="O315" s="88" t="s">
        <v>1519</v>
      </c>
      <c r="P315" s="88" t="s">
        <v>1519</v>
      </c>
      <c r="Q315" s="88" t="s">
        <v>1519</v>
      </c>
      <c r="R315" s="88" t="s">
        <v>1519</v>
      </c>
      <c r="S315" s="88" t="s">
        <v>1519</v>
      </c>
      <c r="T315" s="88" t="s">
        <v>1519</v>
      </c>
      <c r="U315" s="88" t="s">
        <v>1519</v>
      </c>
      <c r="V315" s="88" t="s">
        <v>1519</v>
      </c>
      <c r="W315" s="88" t="s">
        <v>1519</v>
      </c>
      <c r="X315" s="88" t="s">
        <v>1521</v>
      </c>
      <c r="Y315" s="88" t="s">
        <v>1521</v>
      </c>
      <c r="Z315" s="88" t="s">
        <v>1521</v>
      </c>
      <c r="AA315" s="88" t="s">
        <v>1520</v>
      </c>
      <c r="AB315" s="88" t="s">
        <v>1520</v>
      </c>
      <c r="AC315" s="88" t="s">
        <v>1520</v>
      </c>
      <c r="AD315" s="89"/>
      <c r="AE315" s="18" t="s">
        <v>588</v>
      </c>
      <c r="AF315" s="18"/>
      <c r="AG315" s="18"/>
      <c r="AH315" s="18"/>
      <c r="AI315" s="18"/>
      <c r="AJ315" s="18"/>
      <c r="AK315" s="18"/>
      <c r="AL315" s="18"/>
      <c r="AM315" s="18"/>
    </row>
    <row r="316">
      <c r="A316" s="11"/>
      <c r="B316" s="12" t="s">
        <v>22</v>
      </c>
      <c r="C316" s="12" t="s">
        <v>22</v>
      </c>
      <c r="D316" s="12" t="s">
        <v>22</v>
      </c>
      <c r="E316" s="12" t="s">
        <v>593</v>
      </c>
      <c r="F316" s="45" t="s">
        <v>594</v>
      </c>
      <c r="G316" s="12" t="s">
        <v>68</v>
      </c>
      <c r="H316" s="12" t="s">
        <v>595</v>
      </c>
      <c r="I316" s="12" t="s">
        <v>596</v>
      </c>
      <c r="J316" s="17" t="s">
        <v>112</v>
      </c>
      <c r="K316" s="17" t="s">
        <v>113</v>
      </c>
      <c r="L316" s="17" t="s">
        <v>1752</v>
      </c>
      <c r="M316" s="20">
        <v>45831.0</v>
      </c>
      <c r="N316" s="17" t="s">
        <v>194</v>
      </c>
      <c r="O316" s="88" t="s">
        <v>1519</v>
      </c>
      <c r="P316" s="88" t="s">
        <v>1519</v>
      </c>
      <c r="Q316" s="88" t="s">
        <v>1519</v>
      </c>
      <c r="R316" s="88" t="s">
        <v>1519</v>
      </c>
      <c r="S316" s="88" t="s">
        <v>1519</v>
      </c>
      <c r="T316" s="88" t="s">
        <v>1519</v>
      </c>
      <c r="U316" s="88" t="s">
        <v>1519</v>
      </c>
      <c r="V316" s="88" t="s">
        <v>1519</v>
      </c>
      <c r="W316" s="88" t="s">
        <v>1519</v>
      </c>
      <c r="X316" s="88" t="s">
        <v>1521</v>
      </c>
      <c r="Y316" s="88" t="s">
        <v>1521</v>
      </c>
      <c r="Z316" s="88" t="s">
        <v>1521</v>
      </c>
      <c r="AA316" s="88" t="s">
        <v>1520</v>
      </c>
      <c r="AB316" s="88" t="s">
        <v>1520</v>
      </c>
      <c r="AC316" s="88" t="s">
        <v>1520</v>
      </c>
      <c r="AD316" s="89"/>
      <c r="AE316" s="18" t="s">
        <v>588</v>
      </c>
      <c r="AF316" s="18"/>
      <c r="AG316" s="18"/>
      <c r="AH316" s="18"/>
      <c r="AI316" s="18"/>
      <c r="AJ316" s="18"/>
      <c r="AK316" s="18"/>
      <c r="AL316" s="18"/>
      <c r="AM316" s="18"/>
    </row>
    <row r="317">
      <c r="A317" s="11"/>
      <c r="B317" s="12" t="s">
        <v>22</v>
      </c>
      <c r="C317" s="12" t="s">
        <v>22</v>
      </c>
      <c r="D317" s="12" t="s">
        <v>22</v>
      </c>
      <c r="E317" s="12" t="s">
        <v>593</v>
      </c>
      <c r="F317" s="45" t="s">
        <v>594</v>
      </c>
      <c r="G317" s="12" t="s">
        <v>68</v>
      </c>
      <c r="H317" s="12" t="s">
        <v>595</v>
      </c>
      <c r="I317" s="12" t="s">
        <v>596</v>
      </c>
      <c r="J317" s="17" t="s">
        <v>112</v>
      </c>
      <c r="K317" s="17" t="s">
        <v>113</v>
      </c>
      <c r="L317" s="17" t="s">
        <v>1753</v>
      </c>
      <c r="M317" s="20">
        <v>45831.0</v>
      </c>
      <c r="N317" s="17" t="s">
        <v>194</v>
      </c>
      <c r="O317" s="88" t="s">
        <v>1519</v>
      </c>
      <c r="P317" s="88" t="s">
        <v>1519</v>
      </c>
      <c r="Q317" s="88" t="s">
        <v>1519</v>
      </c>
      <c r="R317" s="88" t="s">
        <v>1519</v>
      </c>
      <c r="S317" s="88" t="s">
        <v>1519</v>
      </c>
      <c r="T317" s="88" t="s">
        <v>1519</v>
      </c>
      <c r="U317" s="88" t="s">
        <v>1519</v>
      </c>
      <c r="V317" s="88" t="s">
        <v>1519</v>
      </c>
      <c r="W317" s="88" t="s">
        <v>1519</v>
      </c>
      <c r="X317" s="88" t="s">
        <v>1521</v>
      </c>
      <c r="Y317" s="88" t="s">
        <v>1521</v>
      </c>
      <c r="Z317" s="88" t="s">
        <v>1521</v>
      </c>
      <c r="AA317" s="88" t="s">
        <v>1520</v>
      </c>
      <c r="AB317" s="88" t="s">
        <v>1520</v>
      </c>
      <c r="AC317" s="88" t="s">
        <v>1520</v>
      </c>
      <c r="AD317" s="89"/>
      <c r="AE317" s="18" t="s">
        <v>588</v>
      </c>
      <c r="AF317" s="18"/>
      <c r="AG317" s="18"/>
      <c r="AH317" s="18"/>
      <c r="AI317" s="18"/>
      <c r="AJ317" s="18"/>
      <c r="AK317" s="18"/>
      <c r="AL317" s="18"/>
      <c r="AM317" s="18"/>
    </row>
    <row r="318">
      <c r="A318" s="11"/>
      <c r="B318" s="12" t="s">
        <v>22</v>
      </c>
      <c r="C318" s="12" t="s">
        <v>22</v>
      </c>
      <c r="D318" s="12" t="s">
        <v>22</v>
      </c>
      <c r="E318" s="12" t="s">
        <v>593</v>
      </c>
      <c r="F318" s="13" t="s">
        <v>594</v>
      </c>
      <c r="G318" s="12" t="s">
        <v>68</v>
      </c>
      <c r="H318" s="12" t="s">
        <v>595</v>
      </c>
      <c r="I318" s="12" t="s">
        <v>596</v>
      </c>
      <c r="J318" s="17" t="s">
        <v>112</v>
      </c>
      <c r="K318" s="17" t="s">
        <v>113</v>
      </c>
      <c r="L318" s="17" t="s">
        <v>1754</v>
      </c>
      <c r="M318" s="20">
        <v>45831.0</v>
      </c>
      <c r="N318" s="17" t="s">
        <v>194</v>
      </c>
      <c r="O318" s="88" t="s">
        <v>1519</v>
      </c>
      <c r="P318" s="88" t="s">
        <v>1519</v>
      </c>
      <c r="Q318" s="88" t="s">
        <v>1519</v>
      </c>
      <c r="R318" s="88" t="s">
        <v>1519</v>
      </c>
      <c r="S318" s="88" t="s">
        <v>1519</v>
      </c>
      <c r="T318" s="88" t="s">
        <v>1519</v>
      </c>
      <c r="U318" s="88" t="s">
        <v>1520</v>
      </c>
      <c r="V318" s="88" t="s">
        <v>1520</v>
      </c>
      <c r="W318" s="88" t="s">
        <v>1520</v>
      </c>
      <c r="X318" s="88" t="s">
        <v>1520</v>
      </c>
      <c r="Y318" s="88" t="s">
        <v>1520</v>
      </c>
      <c r="Z318" s="88" t="s">
        <v>1520</v>
      </c>
      <c r="AA318" s="88" t="s">
        <v>1521</v>
      </c>
      <c r="AB318" s="88" t="s">
        <v>1521</v>
      </c>
      <c r="AC318" s="88" t="s">
        <v>1521</v>
      </c>
      <c r="AD318" s="89"/>
      <c r="AE318" s="18" t="s">
        <v>588</v>
      </c>
      <c r="AF318" s="18"/>
      <c r="AG318" s="18"/>
      <c r="AH318" s="18"/>
      <c r="AI318" s="18"/>
      <c r="AJ318" s="18"/>
      <c r="AK318" s="18"/>
      <c r="AL318" s="18"/>
      <c r="AM318" s="18"/>
    </row>
    <row r="319">
      <c r="A319" s="11"/>
      <c r="B319" s="12" t="s">
        <v>22</v>
      </c>
      <c r="C319" s="12" t="s">
        <v>22</v>
      </c>
      <c r="D319" s="12" t="s">
        <v>22</v>
      </c>
      <c r="E319" s="12" t="s">
        <v>593</v>
      </c>
      <c r="F319" s="13" t="s">
        <v>594</v>
      </c>
      <c r="G319" s="12" t="s">
        <v>68</v>
      </c>
      <c r="H319" s="12" t="s">
        <v>595</v>
      </c>
      <c r="I319" s="12" t="s">
        <v>596</v>
      </c>
      <c r="J319" s="17" t="s">
        <v>112</v>
      </c>
      <c r="K319" s="17" t="s">
        <v>113</v>
      </c>
      <c r="L319" s="17" t="s">
        <v>1755</v>
      </c>
      <c r="M319" s="20">
        <v>45831.0</v>
      </c>
      <c r="N319" s="17" t="s">
        <v>194</v>
      </c>
      <c r="O319" s="88" t="s">
        <v>1519</v>
      </c>
      <c r="P319" s="88" t="s">
        <v>1519</v>
      </c>
      <c r="Q319" s="88" t="s">
        <v>1519</v>
      </c>
      <c r="R319" s="88" t="s">
        <v>1519</v>
      </c>
      <c r="S319" s="88" t="s">
        <v>1519</v>
      </c>
      <c r="T319" s="88" t="s">
        <v>1519</v>
      </c>
      <c r="U319" s="88" t="s">
        <v>1520</v>
      </c>
      <c r="V319" s="88" t="s">
        <v>1520</v>
      </c>
      <c r="W319" s="88" t="s">
        <v>1520</v>
      </c>
      <c r="X319" s="88" t="s">
        <v>1520</v>
      </c>
      <c r="Y319" s="88" t="s">
        <v>1520</v>
      </c>
      <c r="Z319" s="88" t="s">
        <v>1520</v>
      </c>
      <c r="AA319" s="88" t="s">
        <v>1521</v>
      </c>
      <c r="AB319" s="88" t="s">
        <v>1521</v>
      </c>
      <c r="AC319" s="88" t="s">
        <v>1521</v>
      </c>
      <c r="AD319" s="89"/>
      <c r="AE319" s="18" t="s">
        <v>588</v>
      </c>
      <c r="AF319" s="18"/>
      <c r="AG319" s="18"/>
      <c r="AH319" s="18"/>
      <c r="AI319" s="18"/>
      <c r="AJ319" s="18"/>
      <c r="AK319" s="18"/>
      <c r="AL319" s="18"/>
      <c r="AM319" s="18"/>
    </row>
    <row r="320">
      <c r="A320" s="11"/>
      <c r="B320" s="12" t="s">
        <v>22</v>
      </c>
      <c r="C320" s="12" t="s">
        <v>22</v>
      </c>
      <c r="D320" s="12" t="s">
        <v>22</v>
      </c>
      <c r="E320" s="12" t="s">
        <v>593</v>
      </c>
      <c r="F320" s="13" t="s">
        <v>594</v>
      </c>
      <c r="G320" s="12" t="s">
        <v>68</v>
      </c>
      <c r="H320" s="12" t="s">
        <v>595</v>
      </c>
      <c r="I320" s="12" t="s">
        <v>596</v>
      </c>
      <c r="J320" s="17" t="s">
        <v>112</v>
      </c>
      <c r="K320" s="17" t="s">
        <v>113</v>
      </c>
      <c r="L320" s="17" t="s">
        <v>1756</v>
      </c>
      <c r="M320" s="20">
        <v>45831.0</v>
      </c>
      <c r="N320" s="17" t="s">
        <v>194</v>
      </c>
      <c r="O320" s="88" t="s">
        <v>1519</v>
      </c>
      <c r="P320" s="88" t="s">
        <v>1519</v>
      </c>
      <c r="Q320" s="88" t="s">
        <v>1519</v>
      </c>
      <c r="R320" s="88" t="s">
        <v>1519</v>
      </c>
      <c r="S320" s="88" t="s">
        <v>1519</v>
      </c>
      <c r="T320" s="88" t="s">
        <v>1519</v>
      </c>
      <c r="U320" s="88" t="s">
        <v>1520</v>
      </c>
      <c r="V320" s="88" t="s">
        <v>1520</v>
      </c>
      <c r="W320" s="88" t="s">
        <v>1520</v>
      </c>
      <c r="X320" s="88" t="s">
        <v>1520</v>
      </c>
      <c r="Y320" s="88" t="s">
        <v>1520</v>
      </c>
      <c r="Z320" s="88" t="s">
        <v>1520</v>
      </c>
      <c r="AA320" s="88" t="s">
        <v>1521</v>
      </c>
      <c r="AB320" s="88" t="s">
        <v>1521</v>
      </c>
      <c r="AC320" s="88" t="s">
        <v>1521</v>
      </c>
      <c r="AD320" s="89"/>
      <c r="AE320" s="18" t="s">
        <v>588</v>
      </c>
      <c r="AF320" s="18"/>
      <c r="AG320" s="18"/>
      <c r="AH320" s="18"/>
      <c r="AI320" s="18"/>
      <c r="AJ320" s="18"/>
      <c r="AK320" s="18"/>
      <c r="AL320" s="18"/>
      <c r="AM320" s="18"/>
    </row>
    <row r="321">
      <c r="A321" s="11"/>
      <c r="B321" s="12" t="s">
        <v>22</v>
      </c>
      <c r="C321" s="12" t="s">
        <v>22</v>
      </c>
      <c r="D321" s="12" t="s">
        <v>22</v>
      </c>
      <c r="E321" s="12" t="s">
        <v>593</v>
      </c>
      <c r="F321" s="13" t="s">
        <v>594</v>
      </c>
      <c r="G321" s="12" t="s">
        <v>68</v>
      </c>
      <c r="H321" s="12" t="s">
        <v>595</v>
      </c>
      <c r="I321" s="12" t="s">
        <v>596</v>
      </c>
      <c r="J321" s="17" t="s">
        <v>112</v>
      </c>
      <c r="K321" s="17" t="s">
        <v>113</v>
      </c>
      <c r="L321" s="17" t="s">
        <v>1757</v>
      </c>
      <c r="M321" s="20">
        <v>45831.0</v>
      </c>
      <c r="N321" s="17" t="s">
        <v>194</v>
      </c>
      <c r="O321" s="88" t="s">
        <v>1519</v>
      </c>
      <c r="P321" s="88" t="s">
        <v>1519</v>
      </c>
      <c r="Q321" s="88" t="s">
        <v>1519</v>
      </c>
      <c r="R321" s="88" t="s">
        <v>1520</v>
      </c>
      <c r="S321" s="88" t="s">
        <v>1520</v>
      </c>
      <c r="T321" s="88" t="s">
        <v>1520</v>
      </c>
      <c r="U321" s="88" t="s">
        <v>1520</v>
      </c>
      <c r="V321" s="88" t="s">
        <v>1520</v>
      </c>
      <c r="W321" s="88" t="s">
        <v>1520</v>
      </c>
      <c r="X321" s="88" t="s">
        <v>1520</v>
      </c>
      <c r="Y321" s="88" t="s">
        <v>1520</v>
      </c>
      <c r="Z321" s="88" t="s">
        <v>1520</v>
      </c>
      <c r="AA321" s="88" t="s">
        <v>1521</v>
      </c>
      <c r="AB321" s="88" t="s">
        <v>1521</v>
      </c>
      <c r="AC321" s="88" t="s">
        <v>1521</v>
      </c>
      <c r="AD321" s="89"/>
      <c r="AE321" s="18" t="s">
        <v>588</v>
      </c>
      <c r="AF321" s="18"/>
      <c r="AG321" s="18"/>
      <c r="AH321" s="18"/>
      <c r="AI321" s="18"/>
      <c r="AJ321" s="18"/>
      <c r="AK321" s="18"/>
      <c r="AL321" s="18"/>
      <c r="AM321" s="18"/>
    </row>
    <row r="322">
      <c r="A322" s="11"/>
      <c r="B322" s="12" t="s">
        <v>22</v>
      </c>
      <c r="C322" s="12" t="s">
        <v>22</v>
      </c>
      <c r="D322" s="12" t="s">
        <v>22</v>
      </c>
      <c r="E322" s="12" t="s">
        <v>593</v>
      </c>
      <c r="F322" s="13" t="s">
        <v>594</v>
      </c>
      <c r="G322" s="12" t="s">
        <v>68</v>
      </c>
      <c r="H322" s="12" t="s">
        <v>595</v>
      </c>
      <c r="I322" s="12" t="s">
        <v>596</v>
      </c>
      <c r="J322" s="17" t="s">
        <v>112</v>
      </c>
      <c r="K322" s="17" t="s">
        <v>113</v>
      </c>
      <c r="L322" s="17" t="s">
        <v>1758</v>
      </c>
      <c r="M322" s="20">
        <v>45831.0</v>
      </c>
      <c r="N322" s="17" t="s">
        <v>194</v>
      </c>
      <c r="O322" s="88" t="s">
        <v>1519</v>
      </c>
      <c r="P322" s="88" t="s">
        <v>1519</v>
      </c>
      <c r="Q322" s="88" t="s">
        <v>1519</v>
      </c>
      <c r="R322" s="88" t="s">
        <v>1519</v>
      </c>
      <c r="S322" s="88" t="s">
        <v>1519</v>
      </c>
      <c r="T322" s="88" t="s">
        <v>1519</v>
      </c>
      <c r="U322" s="88" t="s">
        <v>1519</v>
      </c>
      <c r="V322" s="88" t="s">
        <v>1519</v>
      </c>
      <c r="W322" s="88" t="s">
        <v>1519</v>
      </c>
      <c r="X322" s="88" t="s">
        <v>1519</v>
      </c>
      <c r="Y322" s="88" t="s">
        <v>1519</v>
      </c>
      <c r="Z322" s="88" t="s">
        <v>1519</v>
      </c>
      <c r="AA322" s="88" t="s">
        <v>1521</v>
      </c>
      <c r="AB322" s="88" t="s">
        <v>1521</v>
      </c>
      <c r="AC322" s="88" t="s">
        <v>1521</v>
      </c>
      <c r="AD322" s="89"/>
      <c r="AE322" s="18" t="s">
        <v>588</v>
      </c>
      <c r="AF322" s="18"/>
      <c r="AG322" s="18"/>
      <c r="AH322" s="18"/>
      <c r="AI322" s="18"/>
      <c r="AJ322" s="18"/>
      <c r="AK322" s="18"/>
      <c r="AL322" s="18"/>
      <c r="AM322" s="18"/>
    </row>
    <row r="323">
      <c r="A323" s="11"/>
      <c r="B323" s="12" t="s">
        <v>22</v>
      </c>
      <c r="C323" s="12" t="s">
        <v>22</v>
      </c>
      <c r="D323" s="12" t="s">
        <v>22</v>
      </c>
      <c r="E323" s="12" t="s">
        <v>593</v>
      </c>
      <c r="F323" s="13" t="s">
        <v>594</v>
      </c>
      <c r="G323" s="12" t="s">
        <v>68</v>
      </c>
      <c r="H323" s="12" t="s">
        <v>595</v>
      </c>
      <c r="I323" s="12" t="s">
        <v>596</v>
      </c>
      <c r="J323" s="17" t="s">
        <v>112</v>
      </c>
      <c r="K323" s="17" t="s">
        <v>113</v>
      </c>
      <c r="L323" s="17" t="s">
        <v>1759</v>
      </c>
      <c r="M323" s="20">
        <v>45831.0</v>
      </c>
      <c r="N323" s="17" t="s">
        <v>194</v>
      </c>
      <c r="O323" s="88" t="s">
        <v>1519</v>
      </c>
      <c r="P323" s="88" t="s">
        <v>1519</v>
      </c>
      <c r="Q323" s="88" t="s">
        <v>1519</v>
      </c>
      <c r="R323" s="88" t="s">
        <v>1520</v>
      </c>
      <c r="S323" s="88" t="s">
        <v>1520</v>
      </c>
      <c r="T323" s="88" t="s">
        <v>1520</v>
      </c>
      <c r="U323" s="88" t="s">
        <v>1520</v>
      </c>
      <c r="V323" s="88" t="s">
        <v>1520</v>
      </c>
      <c r="W323" s="88" t="s">
        <v>1520</v>
      </c>
      <c r="X323" s="88" t="s">
        <v>1520</v>
      </c>
      <c r="Y323" s="88" t="s">
        <v>1520</v>
      </c>
      <c r="Z323" s="88" t="s">
        <v>1520</v>
      </c>
      <c r="AA323" s="88" t="s">
        <v>1521</v>
      </c>
      <c r="AB323" s="88" t="s">
        <v>1521</v>
      </c>
      <c r="AC323" s="88" t="s">
        <v>1521</v>
      </c>
      <c r="AD323" s="89"/>
      <c r="AE323" s="18" t="s">
        <v>588</v>
      </c>
      <c r="AF323" s="18"/>
      <c r="AG323" s="18"/>
      <c r="AH323" s="18"/>
      <c r="AI323" s="18"/>
      <c r="AJ323" s="18"/>
      <c r="AK323" s="18"/>
      <c r="AL323" s="18"/>
      <c r="AM323" s="18"/>
    </row>
    <row r="324">
      <c r="A324" s="11"/>
      <c r="B324" s="12" t="s">
        <v>22</v>
      </c>
      <c r="C324" s="12" t="s">
        <v>22</v>
      </c>
      <c r="D324" s="12" t="s">
        <v>22</v>
      </c>
      <c r="E324" s="12" t="s">
        <v>593</v>
      </c>
      <c r="F324" s="13" t="s">
        <v>594</v>
      </c>
      <c r="G324" s="12" t="s">
        <v>68</v>
      </c>
      <c r="H324" s="12" t="s">
        <v>595</v>
      </c>
      <c r="I324" s="12" t="s">
        <v>596</v>
      </c>
      <c r="J324" s="17" t="s">
        <v>112</v>
      </c>
      <c r="K324" s="17" t="s">
        <v>113</v>
      </c>
      <c r="L324" s="17" t="s">
        <v>1760</v>
      </c>
      <c r="M324" s="20">
        <v>45831.0</v>
      </c>
      <c r="N324" s="17" t="s">
        <v>194</v>
      </c>
      <c r="O324" s="88" t="s">
        <v>1519</v>
      </c>
      <c r="P324" s="88" t="s">
        <v>1519</v>
      </c>
      <c r="Q324" s="88" t="s">
        <v>1519</v>
      </c>
      <c r="R324" s="88" t="s">
        <v>1520</v>
      </c>
      <c r="S324" s="88" t="s">
        <v>1520</v>
      </c>
      <c r="T324" s="88" t="s">
        <v>1520</v>
      </c>
      <c r="U324" s="88" t="s">
        <v>1520</v>
      </c>
      <c r="V324" s="88" t="s">
        <v>1520</v>
      </c>
      <c r="W324" s="88" t="s">
        <v>1520</v>
      </c>
      <c r="X324" s="88" t="s">
        <v>1520</v>
      </c>
      <c r="Y324" s="88" t="s">
        <v>1520</v>
      </c>
      <c r="Z324" s="88" t="s">
        <v>1520</v>
      </c>
      <c r="AA324" s="88" t="s">
        <v>1521</v>
      </c>
      <c r="AB324" s="88" t="s">
        <v>1521</v>
      </c>
      <c r="AC324" s="88" t="s">
        <v>1521</v>
      </c>
      <c r="AD324" s="89"/>
      <c r="AE324" s="18" t="s">
        <v>588</v>
      </c>
      <c r="AF324" s="18"/>
      <c r="AG324" s="18"/>
      <c r="AH324" s="18"/>
      <c r="AI324" s="18"/>
      <c r="AJ324" s="18"/>
      <c r="AK324" s="18"/>
      <c r="AL324" s="18"/>
      <c r="AM324" s="18"/>
    </row>
    <row r="325">
      <c r="A325" s="11"/>
      <c r="B325" s="12" t="s">
        <v>22</v>
      </c>
      <c r="C325" s="12" t="s">
        <v>22</v>
      </c>
      <c r="D325" s="12" t="s">
        <v>22</v>
      </c>
      <c r="E325" s="12" t="s">
        <v>593</v>
      </c>
      <c r="F325" s="13" t="s">
        <v>594</v>
      </c>
      <c r="G325" s="12" t="s">
        <v>68</v>
      </c>
      <c r="H325" s="12" t="s">
        <v>595</v>
      </c>
      <c r="I325" s="12" t="s">
        <v>596</v>
      </c>
      <c r="J325" s="17" t="s">
        <v>112</v>
      </c>
      <c r="K325" s="17" t="s">
        <v>113</v>
      </c>
      <c r="L325" s="17" t="s">
        <v>1761</v>
      </c>
      <c r="M325" s="20">
        <v>45831.0</v>
      </c>
      <c r="N325" s="17" t="s">
        <v>194</v>
      </c>
      <c r="O325" s="88" t="s">
        <v>1519</v>
      </c>
      <c r="P325" s="88" t="s">
        <v>1519</v>
      </c>
      <c r="Q325" s="88" t="s">
        <v>1519</v>
      </c>
      <c r="R325" s="88" t="s">
        <v>1520</v>
      </c>
      <c r="S325" s="88" t="s">
        <v>1520</v>
      </c>
      <c r="T325" s="88" t="s">
        <v>1520</v>
      </c>
      <c r="U325" s="88" t="s">
        <v>1520</v>
      </c>
      <c r="V325" s="88" t="s">
        <v>1520</v>
      </c>
      <c r="W325" s="88" t="s">
        <v>1520</v>
      </c>
      <c r="X325" s="88" t="s">
        <v>1520</v>
      </c>
      <c r="Y325" s="88" t="s">
        <v>1520</v>
      </c>
      <c r="Z325" s="88" t="s">
        <v>1520</v>
      </c>
      <c r="AA325" s="88" t="s">
        <v>1521</v>
      </c>
      <c r="AB325" s="88" t="s">
        <v>1521</v>
      </c>
      <c r="AC325" s="88" t="s">
        <v>1521</v>
      </c>
      <c r="AD325" s="89"/>
      <c r="AE325" s="18" t="s">
        <v>588</v>
      </c>
      <c r="AF325" s="18"/>
      <c r="AG325" s="18"/>
      <c r="AH325" s="18"/>
      <c r="AI325" s="18"/>
      <c r="AJ325" s="18"/>
      <c r="AK325" s="18"/>
      <c r="AL325" s="18"/>
      <c r="AM325" s="18"/>
    </row>
    <row r="326">
      <c r="A326" s="11"/>
      <c r="B326" s="12" t="s">
        <v>22</v>
      </c>
      <c r="C326" s="12" t="s">
        <v>22</v>
      </c>
      <c r="D326" s="12" t="s">
        <v>22</v>
      </c>
      <c r="E326" s="12" t="s">
        <v>593</v>
      </c>
      <c r="F326" s="13" t="s">
        <v>594</v>
      </c>
      <c r="G326" s="12" t="s">
        <v>68</v>
      </c>
      <c r="H326" s="12" t="s">
        <v>595</v>
      </c>
      <c r="I326" s="12" t="s">
        <v>596</v>
      </c>
      <c r="J326" s="17" t="s">
        <v>112</v>
      </c>
      <c r="K326" s="17" t="s">
        <v>113</v>
      </c>
      <c r="L326" s="17" t="s">
        <v>1762</v>
      </c>
      <c r="M326" s="20">
        <v>45831.0</v>
      </c>
      <c r="N326" s="17" t="s">
        <v>194</v>
      </c>
      <c r="O326" s="88" t="s">
        <v>1519</v>
      </c>
      <c r="P326" s="88" t="s">
        <v>1519</v>
      </c>
      <c r="Q326" s="88" t="s">
        <v>1519</v>
      </c>
      <c r="R326" s="88" t="s">
        <v>1519</v>
      </c>
      <c r="S326" s="88" t="s">
        <v>1519</v>
      </c>
      <c r="T326" s="88" t="s">
        <v>1519</v>
      </c>
      <c r="U326" s="88" t="s">
        <v>1519</v>
      </c>
      <c r="V326" s="88" t="s">
        <v>1519</v>
      </c>
      <c r="W326" s="88" t="s">
        <v>1519</v>
      </c>
      <c r="X326" s="88" t="s">
        <v>1519</v>
      </c>
      <c r="Y326" s="88" t="s">
        <v>1519</v>
      </c>
      <c r="Z326" s="88" t="s">
        <v>1519</v>
      </c>
      <c r="AA326" s="88" t="s">
        <v>1521</v>
      </c>
      <c r="AB326" s="88" t="s">
        <v>1521</v>
      </c>
      <c r="AC326" s="88" t="s">
        <v>1521</v>
      </c>
      <c r="AD326" s="89"/>
      <c r="AE326" s="18" t="s">
        <v>588</v>
      </c>
      <c r="AF326" s="18"/>
      <c r="AG326" s="18"/>
      <c r="AH326" s="18"/>
      <c r="AI326" s="18"/>
      <c r="AJ326" s="18"/>
      <c r="AK326" s="18"/>
      <c r="AL326" s="18"/>
      <c r="AM326" s="18"/>
    </row>
    <row r="327">
      <c r="A327" s="11"/>
      <c r="B327" s="12" t="s">
        <v>22</v>
      </c>
      <c r="C327" s="12" t="s">
        <v>22</v>
      </c>
      <c r="D327" s="12" t="s">
        <v>22</v>
      </c>
      <c r="E327" s="12" t="s">
        <v>593</v>
      </c>
      <c r="F327" s="13" t="s">
        <v>594</v>
      </c>
      <c r="G327" s="12" t="s">
        <v>68</v>
      </c>
      <c r="H327" s="12" t="s">
        <v>595</v>
      </c>
      <c r="I327" s="12" t="s">
        <v>596</v>
      </c>
      <c r="J327" s="17" t="s">
        <v>108</v>
      </c>
      <c r="K327" s="17" t="s">
        <v>109</v>
      </c>
      <c r="L327" s="17" t="s">
        <v>1763</v>
      </c>
      <c r="M327" s="20">
        <v>45831.0</v>
      </c>
      <c r="N327" s="17" t="s">
        <v>194</v>
      </c>
      <c r="O327" s="88" t="s">
        <v>1519</v>
      </c>
      <c r="P327" s="88" t="s">
        <v>1519</v>
      </c>
      <c r="Q327" s="88" t="s">
        <v>1519</v>
      </c>
      <c r="R327" s="88" t="s">
        <v>1519</v>
      </c>
      <c r="S327" s="88" t="s">
        <v>1519</v>
      </c>
      <c r="T327" s="88" t="s">
        <v>1519</v>
      </c>
      <c r="U327" s="88" t="s">
        <v>1519</v>
      </c>
      <c r="V327" s="88" t="s">
        <v>1519</v>
      </c>
      <c r="W327" s="88" t="s">
        <v>1519</v>
      </c>
      <c r="X327" s="88" t="s">
        <v>1519</v>
      </c>
      <c r="Y327" s="88" t="s">
        <v>1519</v>
      </c>
      <c r="Z327" s="88" t="s">
        <v>1519</v>
      </c>
      <c r="AA327" s="88" t="s">
        <v>1519</v>
      </c>
      <c r="AB327" s="88" t="s">
        <v>1519</v>
      </c>
      <c r="AC327" s="88" t="s">
        <v>1519</v>
      </c>
      <c r="AD327" s="89"/>
      <c r="AE327" s="18" t="s">
        <v>588</v>
      </c>
      <c r="AF327" s="18"/>
      <c r="AG327" s="18"/>
      <c r="AH327" s="18"/>
      <c r="AI327" s="18"/>
      <c r="AJ327" s="18"/>
      <c r="AK327" s="18"/>
      <c r="AL327" s="18"/>
      <c r="AM327" s="18"/>
    </row>
    <row r="328">
      <c r="A328" s="11"/>
      <c r="B328" s="12" t="s">
        <v>22</v>
      </c>
      <c r="C328" s="12" t="s">
        <v>22</v>
      </c>
      <c r="D328" s="12" t="s">
        <v>22</v>
      </c>
      <c r="E328" s="12" t="s">
        <v>593</v>
      </c>
      <c r="F328" s="13" t="s">
        <v>594</v>
      </c>
      <c r="G328" s="12" t="s">
        <v>68</v>
      </c>
      <c r="H328" s="12" t="s">
        <v>595</v>
      </c>
      <c r="I328" s="12" t="s">
        <v>596</v>
      </c>
      <c r="J328" s="17" t="s">
        <v>108</v>
      </c>
      <c r="K328" s="17" t="s">
        <v>109</v>
      </c>
      <c r="L328" s="17" t="s">
        <v>1764</v>
      </c>
      <c r="M328" s="20">
        <v>45831.0</v>
      </c>
      <c r="N328" s="17" t="s">
        <v>194</v>
      </c>
      <c r="O328" s="88" t="s">
        <v>1519</v>
      </c>
      <c r="P328" s="88" t="s">
        <v>1519</v>
      </c>
      <c r="Q328" s="88" t="s">
        <v>1519</v>
      </c>
      <c r="R328" s="88" t="s">
        <v>1519</v>
      </c>
      <c r="S328" s="88" t="s">
        <v>1519</v>
      </c>
      <c r="T328" s="88" t="s">
        <v>1519</v>
      </c>
      <c r="U328" s="88" t="s">
        <v>1519</v>
      </c>
      <c r="V328" s="88" t="s">
        <v>1519</v>
      </c>
      <c r="W328" s="88" t="s">
        <v>1519</v>
      </c>
      <c r="X328" s="88" t="s">
        <v>1519</v>
      </c>
      <c r="Y328" s="88" t="s">
        <v>1519</v>
      </c>
      <c r="Z328" s="88" t="s">
        <v>1519</v>
      </c>
      <c r="AA328" s="88" t="s">
        <v>1519</v>
      </c>
      <c r="AB328" s="88" t="s">
        <v>1519</v>
      </c>
      <c r="AC328" s="88" t="s">
        <v>1519</v>
      </c>
      <c r="AD328" s="89"/>
      <c r="AE328" s="18" t="s">
        <v>588</v>
      </c>
      <c r="AF328" s="18"/>
      <c r="AG328" s="18"/>
      <c r="AH328" s="18"/>
      <c r="AI328" s="18"/>
      <c r="AJ328" s="18"/>
      <c r="AK328" s="18"/>
      <c r="AL328" s="18"/>
      <c r="AM328" s="18"/>
    </row>
    <row r="329">
      <c r="A329" s="11"/>
      <c r="B329" s="12" t="s">
        <v>22</v>
      </c>
      <c r="C329" s="12" t="s">
        <v>22</v>
      </c>
      <c r="D329" s="12" t="s">
        <v>22</v>
      </c>
      <c r="E329" s="12" t="s">
        <v>593</v>
      </c>
      <c r="F329" s="13" t="s">
        <v>594</v>
      </c>
      <c r="G329" s="12" t="s">
        <v>68</v>
      </c>
      <c r="H329" s="12" t="s">
        <v>595</v>
      </c>
      <c r="I329" s="12" t="s">
        <v>596</v>
      </c>
      <c r="J329" s="17" t="s">
        <v>108</v>
      </c>
      <c r="K329" s="17" t="s">
        <v>109</v>
      </c>
      <c r="L329" s="17" t="s">
        <v>1765</v>
      </c>
      <c r="M329" s="20">
        <v>45831.0</v>
      </c>
      <c r="N329" s="17" t="s">
        <v>194</v>
      </c>
      <c r="O329" s="88" t="s">
        <v>1519</v>
      </c>
      <c r="P329" s="88" t="s">
        <v>1519</v>
      </c>
      <c r="Q329" s="88" t="s">
        <v>1519</v>
      </c>
      <c r="R329" s="88" t="s">
        <v>1519</v>
      </c>
      <c r="S329" s="88" t="s">
        <v>1519</v>
      </c>
      <c r="T329" s="88" t="s">
        <v>1519</v>
      </c>
      <c r="U329" s="88" t="s">
        <v>1519</v>
      </c>
      <c r="V329" s="88" t="s">
        <v>1519</v>
      </c>
      <c r="W329" s="88" t="s">
        <v>1519</v>
      </c>
      <c r="X329" s="88" t="s">
        <v>1519</v>
      </c>
      <c r="Y329" s="88" t="s">
        <v>1519</v>
      </c>
      <c r="Z329" s="88" t="s">
        <v>1519</v>
      </c>
      <c r="AA329" s="88" t="s">
        <v>1519</v>
      </c>
      <c r="AB329" s="88" t="s">
        <v>1519</v>
      </c>
      <c r="AC329" s="88" t="s">
        <v>1519</v>
      </c>
      <c r="AD329" s="89"/>
      <c r="AE329" s="18" t="s">
        <v>588</v>
      </c>
      <c r="AF329" s="18"/>
      <c r="AG329" s="18"/>
      <c r="AH329" s="18"/>
      <c r="AI329" s="18"/>
      <c r="AJ329" s="18"/>
      <c r="AK329" s="18"/>
      <c r="AL329" s="18"/>
      <c r="AM329" s="18"/>
    </row>
    <row r="330">
      <c r="A330" s="11"/>
      <c r="B330" s="12" t="s">
        <v>22</v>
      </c>
      <c r="C330" s="12" t="s">
        <v>22</v>
      </c>
      <c r="D330" s="12" t="s">
        <v>22</v>
      </c>
      <c r="E330" s="12" t="s">
        <v>593</v>
      </c>
      <c r="F330" s="13" t="s">
        <v>594</v>
      </c>
      <c r="G330" s="12" t="s">
        <v>68</v>
      </c>
      <c r="H330" s="12" t="s">
        <v>595</v>
      </c>
      <c r="I330" s="12" t="s">
        <v>596</v>
      </c>
      <c r="J330" s="17" t="s">
        <v>108</v>
      </c>
      <c r="K330" s="17" t="s">
        <v>109</v>
      </c>
      <c r="L330" s="17" t="s">
        <v>1766</v>
      </c>
      <c r="M330" s="20">
        <v>45831.0</v>
      </c>
      <c r="N330" s="17" t="s">
        <v>194</v>
      </c>
      <c r="O330" s="88" t="s">
        <v>1519</v>
      </c>
      <c r="P330" s="88" t="s">
        <v>1519</v>
      </c>
      <c r="Q330" s="88" t="s">
        <v>1519</v>
      </c>
      <c r="R330" s="88" t="s">
        <v>1520</v>
      </c>
      <c r="S330" s="88" t="s">
        <v>1520</v>
      </c>
      <c r="T330" s="88" t="s">
        <v>1520</v>
      </c>
      <c r="U330" s="88" t="s">
        <v>1521</v>
      </c>
      <c r="V330" s="88" t="s">
        <v>1521</v>
      </c>
      <c r="W330" s="88" t="s">
        <v>1521</v>
      </c>
      <c r="X330" s="88" t="s">
        <v>1521</v>
      </c>
      <c r="Y330" s="88" t="s">
        <v>1521</v>
      </c>
      <c r="Z330" s="88" t="s">
        <v>1521</v>
      </c>
      <c r="AA330" s="88" t="s">
        <v>1521</v>
      </c>
      <c r="AB330" s="88" t="s">
        <v>1521</v>
      </c>
      <c r="AC330" s="88" t="s">
        <v>1521</v>
      </c>
      <c r="AD330" s="93" t="s">
        <v>1729</v>
      </c>
      <c r="AE330" s="18" t="s">
        <v>588</v>
      </c>
      <c r="AF330" s="18"/>
      <c r="AG330" s="18"/>
      <c r="AH330" s="18"/>
      <c r="AI330" s="18"/>
      <c r="AJ330" s="18"/>
      <c r="AK330" s="18"/>
      <c r="AL330" s="18"/>
      <c r="AM330" s="18"/>
    </row>
    <row r="331">
      <c r="A331" s="11"/>
      <c r="B331" s="12" t="s">
        <v>22</v>
      </c>
      <c r="C331" s="12" t="s">
        <v>22</v>
      </c>
      <c r="D331" s="12" t="s">
        <v>22</v>
      </c>
      <c r="E331" s="12" t="s">
        <v>593</v>
      </c>
      <c r="F331" s="13" t="s">
        <v>594</v>
      </c>
      <c r="G331" s="12" t="s">
        <v>68</v>
      </c>
      <c r="H331" s="12" t="s">
        <v>595</v>
      </c>
      <c r="I331" s="12" t="s">
        <v>596</v>
      </c>
      <c r="J331" s="17" t="s">
        <v>108</v>
      </c>
      <c r="K331" s="17" t="s">
        <v>109</v>
      </c>
      <c r="L331" s="17" t="s">
        <v>1767</v>
      </c>
      <c r="M331" s="20">
        <v>45831.0</v>
      </c>
      <c r="N331" s="17" t="s">
        <v>194</v>
      </c>
      <c r="O331" s="88" t="s">
        <v>1519</v>
      </c>
      <c r="P331" s="88" t="s">
        <v>1519</v>
      </c>
      <c r="Q331" s="88" t="s">
        <v>1519</v>
      </c>
      <c r="R331" s="88" t="s">
        <v>1519</v>
      </c>
      <c r="S331" s="88" t="s">
        <v>1519</v>
      </c>
      <c r="T331" s="88" t="s">
        <v>1519</v>
      </c>
      <c r="U331" s="88" t="s">
        <v>1519</v>
      </c>
      <c r="V331" s="88" t="s">
        <v>1519</v>
      </c>
      <c r="W331" s="88" t="s">
        <v>1519</v>
      </c>
      <c r="X331" s="88" t="s">
        <v>1519</v>
      </c>
      <c r="Y331" s="88" t="s">
        <v>1519</v>
      </c>
      <c r="Z331" s="88" t="s">
        <v>1519</v>
      </c>
      <c r="AA331" s="88" t="s">
        <v>1519</v>
      </c>
      <c r="AB331" s="88" t="s">
        <v>1519</v>
      </c>
      <c r="AC331" s="88" t="s">
        <v>1519</v>
      </c>
      <c r="AD331" s="89"/>
      <c r="AE331" s="18" t="s">
        <v>588</v>
      </c>
      <c r="AF331" s="18"/>
      <c r="AG331" s="18"/>
      <c r="AH331" s="18"/>
      <c r="AI331" s="18"/>
      <c r="AJ331" s="18"/>
      <c r="AK331" s="18"/>
      <c r="AL331" s="18"/>
      <c r="AM331" s="18"/>
    </row>
    <row r="332">
      <c r="A332" s="11"/>
      <c r="B332" s="12" t="s">
        <v>22</v>
      </c>
      <c r="C332" s="12" t="s">
        <v>22</v>
      </c>
      <c r="D332" s="12" t="s">
        <v>22</v>
      </c>
      <c r="E332" s="12" t="s">
        <v>593</v>
      </c>
      <c r="F332" s="13" t="s">
        <v>594</v>
      </c>
      <c r="G332" s="12" t="s">
        <v>68</v>
      </c>
      <c r="H332" s="12" t="s">
        <v>595</v>
      </c>
      <c r="I332" s="12" t="s">
        <v>596</v>
      </c>
      <c r="J332" s="17" t="s">
        <v>108</v>
      </c>
      <c r="K332" s="17" t="s">
        <v>109</v>
      </c>
      <c r="L332" s="17" t="s">
        <v>1768</v>
      </c>
      <c r="M332" s="20">
        <v>45831.0</v>
      </c>
      <c r="N332" s="17" t="s">
        <v>194</v>
      </c>
      <c r="O332" s="88" t="s">
        <v>1521</v>
      </c>
      <c r="P332" s="88" t="s">
        <v>1521</v>
      </c>
      <c r="Q332" s="88" t="s">
        <v>1521</v>
      </c>
      <c r="R332" s="88" t="s">
        <v>1521</v>
      </c>
      <c r="S332" s="88" t="s">
        <v>1521</v>
      </c>
      <c r="T332" s="88" t="s">
        <v>1521</v>
      </c>
      <c r="U332" s="88" t="s">
        <v>1521</v>
      </c>
      <c r="V332" s="88" t="s">
        <v>1521</v>
      </c>
      <c r="W332" s="88" t="s">
        <v>1521</v>
      </c>
      <c r="X332" s="88" t="s">
        <v>1521</v>
      </c>
      <c r="Y332" s="88" t="s">
        <v>1521</v>
      </c>
      <c r="Z332" s="88" t="s">
        <v>1521</v>
      </c>
      <c r="AA332" s="88" t="s">
        <v>1521</v>
      </c>
      <c r="AB332" s="88" t="s">
        <v>1521</v>
      </c>
      <c r="AC332" s="88" t="s">
        <v>1521</v>
      </c>
      <c r="AD332" s="93" t="s">
        <v>1729</v>
      </c>
      <c r="AE332" s="18" t="s">
        <v>588</v>
      </c>
      <c r="AF332" s="18"/>
      <c r="AG332" s="18"/>
      <c r="AH332" s="18"/>
      <c r="AI332" s="18"/>
      <c r="AJ332" s="18"/>
      <c r="AK332" s="18"/>
      <c r="AL332" s="18"/>
      <c r="AM332" s="18"/>
    </row>
    <row r="333">
      <c r="A333" s="11"/>
      <c r="B333" s="12" t="s">
        <v>7</v>
      </c>
      <c r="C333" s="12" t="s">
        <v>37</v>
      </c>
      <c r="D333" s="12" t="s">
        <v>38</v>
      </c>
      <c r="E333" s="12" t="s">
        <v>41</v>
      </c>
      <c r="F333" s="13" t="s">
        <v>39</v>
      </c>
      <c r="G333" s="12" t="s">
        <v>68</v>
      </c>
      <c r="H333" s="12" t="s">
        <v>902</v>
      </c>
      <c r="I333" s="12" t="s">
        <v>903</v>
      </c>
      <c r="J333" s="17" t="s">
        <v>112</v>
      </c>
      <c r="K333" s="17" t="s">
        <v>113</v>
      </c>
      <c r="L333" s="17" t="s">
        <v>1769</v>
      </c>
      <c r="M333" s="20">
        <v>45826.0</v>
      </c>
      <c r="N333" s="17" t="s">
        <v>194</v>
      </c>
      <c r="O333" s="88" t="s">
        <v>1519</v>
      </c>
      <c r="P333" s="88" t="s">
        <v>1519</v>
      </c>
      <c r="Q333" s="88" t="s">
        <v>1519</v>
      </c>
      <c r="R333" s="88" t="s">
        <v>1519</v>
      </c>
      <c r="S333" s="88" t="s">
        <v>1519</v>
      </c>
      <c r="T333" s="88" t="s">
        <v>1519</v>
      </c>
      <c r="U333" s="88" t="s">
        <v>1519</v>
      </c>
      <c r="V333" s="88" t="s">
        <v>1519</v>
      </c>
      <c r="W333" s="88" t="s">
        <v>1519</v>
      </c>
      <c r="X333" s="88" t="s">
        <v>1519</v>
      </c>
      <c r="Y333" s="88" t="s">
        <v>1520</v>
      </c>
      <c r="Z333" s="88" t="s">
        <v>1520</v>
      </c>
      <c r="AA333" s="88" t="s">
        <v>1519</v>
      </c>
      <c r="AB333" s="88" t="s">
        <v>1519</v>
      </c>
      <c r="AC333" s="88" t="s">
        <v>1519</v>
      </c>
      <c r="AD333" s="89"/>
      <c r="AE333" s="18" t="s">
        <v>588</v>
      </c>
      <c r="AF333" s="18"/>
      <c r="AG333" s="18"/>
      <c r="AH333" s="18"/>
      <c r="AI333" s="18"/>
      <c r="AJ333" s="18"/>
      <c r="AK333" s="18"/>
      <c r="AL333" s="18"/>
      <c r="AM333" s="18"/>
    </row>
    <row r="334">
      <c r="A334" s="11"/>
      <c r="B334" s="12" t="s">
        <v>7</v>
      </c>
      <c r="C334" s="12" t="s">
        <v>37</v>
      </c>
      <c r="D334" s="12" t="s">
        <v>38</v>
      </c>
      <c r="E334" s="12" t="s">
        <v>41</v>
      </c>
      <c r="F334" s="13" t="s">
        <v>39</v>
      </c>
      <c r="G334" s="12" t="s">
        <v>68</v>
      </c>
      <c r="H334" s="12" t="s">
        <v>902</v>
      </c>
      <c r="I334" s="12" t="s">
        <v>903</v>
      </c>
      <c r="J334" s="17" t="s">
        <v>112</v>
      </c>
      <c r="K334" s="17" t="s">
        <v>113</v>
      </c>
      <c r="L334" s="17" t="s">
        <v>1770</v>
      </c>
      <c r="M334" s="20">
        <v>45826.0</v>
      </c>
      <c r="N334" s="17" t="s">
        <v>194</v>
      </c>
      <c r="O334" s="88" t="s">
        <v>1519</v>
      </c>
      <c r="P334" s="88" t="s">
        <v>1519</v>
      </c>
      <c r="Q334" s="88" t="s">
        <v>1519</v>
      </c>
      <c r="R334" s="88" t="s">
        <v>1519</v>
      </c>
      <c r="S334" s="88" t="s">
        <v>1519</v>
      </c>
      <c r="T334" s="88" t="s">
        <v>1519</v>
      </c>
      <c r="U334" s="88" t="s">
        <v>1519</v>
      </c>
      <c r="V334" s="88" t="s">
        <v>1519</v>
      </c>
      <c r="W334" s="88" t="s">
        <v>1519</v>
      </c>
      <c r="X334" s="88" t="s">
        <v>1519</v>
      </c>
      <c r="Y334" s="88" t="s">
        <v>1519</v>
      </c>
      <c r="Z334" s="88" t="s">
        <v>1519</v>
      </c>
      <c r="AA334" s="88" t="s">
        <v>1519</v>
      </c>
      <c r="AB334" s="88" t="s">
        <v>1519</v>
      </c>
      <c r="AC334" s="88" t="s">
        <v>1519</v>
      </c>
      <c r="AD334" s="89"/>
      <c r="AE334" s="18" t="s">
        <v>588</v>
      </c>
      <c r="AF334" s="18"/>
      <c r="AG334" s="18"/>
      <c r="AH334" s="18"/>
      <c r="AI334" s="18"/>
      <c r="AJ334" s="18"/>
      <c r="AK334" s="18"/>
      <c r="AL334" s="18"/>
      <c r="AM334" s="18"/>
    </row>
    <row r="335">
      <c r="A335" s="11"/>
      <c r="B335" s="12" t="s">
        <v>7</v>
      </c>
      <c r="C335" s="12" t="s">
        <v>37</v>
      </c>
      <c r="D335" s="12" t="s">
        <v>38</v>
      </c>
      <c r="E335" s="12" t="s">
        <v>41</v>
      </c>
      <c r="F335" s="13" t="s">
        <v>39</v>
      </c>
      <c r="G335" s="12" t="s">
        <v>68</v>
      </c>
      <c r="H335" s="12" t="s">
        <v>902</v>
      </c>
      <c r="I335" s="12" t="s">
        <v>903</v>
      </c>
      <c r="J335" s="17" t="s">
        <v>112</v>
      </c>
      <c r="K335" s="17" t="s">
        <v>113</v>
      </c>
      <c r="L335" s="17" t="s">
        <v>1771</v>
      </c>
      <c r="M335" s="20">
        <v>45826.0</v>
      </c>
      <c r="N335" s="17" t="s">
        <v>194</v>
      </c>
      <c r="O335" s="88" t="s">
        <v>1519</v>
      </c>
      <c r="P335" s="88" t="s">
        <v>1520</v>
      </c>
      <c r="Q335" s="88" t="s">
        <v>1520</v>
      </c>
      <c r="R335" s="88" t="s">
        <v>1519</v>
      </c>
      <c r="S335" s="88" t="s">
        <v>1519</v>
      </c>
      <c r="T335" s="88" t="s">
        <v>1519</v>
      </c>
      <c r="U335" s="88" t="s">
        <v>1519</v>
      </c>
      <c r="V335" s="88" t="s">
        <v>1519</v>
      </c>
      <c r="W335" s="88" t="s">
        <v>1519</v>
      </c>
      <c r="X335" s="88" t="s">
        <v>1519</v>
      </c>
      <c r="Y335" s="88" t="s">
        <v>1519</v>
      </c>
      <c r="Z335" s="88" t="s">
        <v>1519</v>
      </c>
      <c r="AA335" s="88" t="s">
        <v>1519</v>
      </c>
      <c r="AB335" s="88" t="s">
        <v>1519</v>
      </c>
      <c r="AC335" s="88" t="s">
        <v>1519</v>
      </c>
      <c r="AD335" s="89"/>
      <c r="AE335" s="18" t="s">
        <v>588</v>
      </c>
      <c r="AF335" s="18"/>
      <c r="AG335" s="18"/>
      <c r="AH335" s="18"/>
      <c r="AI335" s="18"/>
      <c r="AJ335" s="18"/>
      <c r="AK335" s="18"/>
      <c r="AL335" s="18"/>
      <c r="AM335" s="18"/>
    </row>
    <row r="336">
      <c r="A336" s="11"/>
      <c r="B336" s="12" t="s">
        <v>7</v>
      </c>
      <c r="C336" s="12" t="s">
        <v>37</v>
      </c>
      <c r="D336" s="12" t="s">
        <v>38</v>
      </c>
      <c r="E336" s="12" t="s">
        <v>41</v>
      </c>
      <c r="F336" s="13" t="s">
        <v>39</v>
      </c>
      <c r="G336" s="12" t="s">
        <v>68</v>
      </c>
      <c r="H336" s="12" t="s">
        <v>902</v>
      </c>
      <c r="I336" s="12" t="s">
        <v>903</v>
      </c>
      <c r="J336" s="17" t="s">
        <v>112</v>
      </c>
      <c r="K336" s="17" t="s">
        <v>113</v>
      </c>
      <c r="L336" s="17" t="s">
        <v>1772</v>
      </c>
      <c r="M336" s="20">
        <v>45826.0</v>
      </c>
      <c r="N336" s="17" t="s">
        <v>194</v>
      </c>
      <c r="O336" s="88" t="s">
        <v>1519</v>
      </c>
      <c r="P336" s="88" t="s">
        <v>1520</v>
      </c>
      <c r="Q336" s="88" t="s">
        <v>1520</v>
      </c>
      <c r="R336" s="88" t="s">
        <v>1519</v>
      </c>
      <c r="S336" s="88" t="s">
        <v>1519</v>
      </c>
      <c r="T336" s="88" t="s">
        <v>1519</v>
      </c>
      <c r="U336" s="88" t="s">
        <v>1519</v>
      </c>
      <c r="V336" s="88" t="s">
        <v>1519</v>
      </c>
      <c r="W336" s="88" t="s">
        <v>1519</v>
      </c>
      <c r="X336" s="88" t="s">
        <v>1519</v>
      </c>
      <c r="Y336" s="88" t="s">
        <v>1519</v>
      </c>
      <c r="Z336" s="88" t="s">
        <v>1519</v>
      </c>
      <c r="AA336" s="88" t="s">
        <v>1519</v>
      </c>
      <c r="AB336" s="88" t="s">
        <v>1519</v>
      </c>
      <c r="AC336" s="88" t="s">
        <v>1519</v>
      </c>
      <c r="AD336" s="89"/>
      <c r="AE336" s="18" t="s">
        <v>588</v>
      </c>
      <c r="AF336" s="18"/>
      <c r="AG336" s="18"/>
      <c r="AH336" s="18"/>
      <c r="AI336" s="18"/>
      <c r="AJ336" s="18"/>
      <c r="AK336" s="18"/>
      <c r="AL336" s="18"/>
      <c r="AM336" s="18"/>
    </row>
    <row r="337">
      <c r="A337" s="11"/>
      <c r="B337" s="12" t="s">
        <v>7</v>
      </c>
      <c r="C337" s="12" t="s">
        <v>37</v>
      </c>
      <c r="D337" s="12" t="s">
        <v>38</v>
      </c>
      <c r="E337" s="12" t="s">
        <v>41</v>
      </c>
      <c r="F337" s="13" t="s">
        <v>39</v>
      </c>
      <c r="G337" s="12" t="s">
        <v>68</v>
      </c>
      <c r="H337" s="12" t="s">
        <v>902</v>
      </c>
      <c r="I337" s="12" t="s">
        <v>903</v>
      </c>
      <c r="J337" s="17" t="s">
        <v>112</v>
      </c>
      <c r="K337" s="17" t="s">
        <v>113</v>
      </c>
      <c r="L337" s="17" t="s">
        <v>1773</v>
      </c>
      <c r="M337" s="20">
        <v>45826.0</v>
      </c>
      <c r="N337" s="17" t="s">
        <v>194</v>
      </c>
      <c r="O337" s="88" t="s">
        <v>1519</v>
      </c>
      <c r="P337" s="88" t="s">
        <v>1520</v>
      </c>
      <c r="Q337" s="88" t="s">
        <v>1520</v>
      </c>
      <c r="R337" s="88" t="s">
        <v>1519</v>
      </c>
      <c r="S337" s="88" t="s">
        <v>1519</v>
      </c>
      <c r="T337" s="88" t="s">
        <v>1519</v>
      </c>
      <c r="U337" s="88" t="s">
        <v>1519</v>
      </c>
      <c r="V337" s="88" t="s">
        <v>1519</v>
      </c>
      <c r="W337" s="88" t="s">
        <v>1519</v>
      </c>
      <c r="X337" s="88" t="s">
        <v>1519</v>
      </c>
      <c r="Y337" s="88" t="s">
        <v>1519</v>
      </c>
      <c r="Z337" s="88" t="s">
        <v>1519</v>
      </c>
      <c r="AA337" s="88" t="s">
        <v>1519</v>
      </c>
      <c r="AB337" s="88" t="s">
        <v>1519</v>
      </c>
      <c r="AC337" s="88" t="s">
        <v>1519</v>
      </c>
      <c r="AD337" s="89"/>
      <c r="AE337" s="18" t="s">
        <v>588</v>
      </c>
      <c r="AF337" s="18"/>
      <c r="AG337" s="18"/>
      <c r="AH337" s="18"/>
      <c r="AI337" s="18"/>
      <c r="AJ337" s="18"/>
      <c r="AK337" s="18"/>
      <c r="AL337" s="18"/>
      <c r="AM337" s="18"/>
    </row>
    <row r="338">
      <c r="A338" s="11"/>
      <c r="B338" s="12" t="s">
        <v>7</v>
      </c>
      <c r="C338" s="12" t="s">
        <v>37</v>
      </c>
      <c r="D338" s="12" t="s">
        <v>38</v>
      </c>
      <c r="E338" s="12" t="s">
        <v>41</v>
      </c>
      <c r="F338" s="13" t="s">
        <v>39</v>
      </c>
      <c r="G338" s="12" t="s">
        <v>68</v>
      </c>
      <c r="H338" s="12" t="s">
        <v>902</v>
      </c>
      <c r="I338" s="12" t="s">
        <v>903</v>
      </c>
      <c r="J338" s="17" t="s">
        <v>108</v>
      </c>
      <c r="K338" s="17" t="s">
        <v>109</v>
      </c>
      <c r="L338" s="17" t="s">
        <v>1774</v>
      </c>
      <c r="M338" s="20">
        <v>45826.0</v>
      </c>
      <c r="N338" s="17" t="s">
        <v>194</v>
      </c>
      <c r="O338" s="88" t="s">
        <v>1519</v>
      </c>
      <c r="P338" s="88" t="s">
        <v>1519</v>
      </c>
      <c r="Q338" s="88" t="s">
        <v>1519</v>
      </c>
      <c r="R338" s="88" t="s">
        <v>1519</v>
      </c>
      <c r="S338" s="88" t="s">
        <v>1519</v>
      </c>
      <c r="T338" s="88" t="s">
        <v>1519</v>
      </c>
      <c r="U338" s="88" t="s">
        <v>1519</v>
      </c>
      <c r="V338" s="88" t="s">
        <v>1519</v>
      </c>
      <c r="W338" s="88" t="s">
        <v>1519</v>
      </c>
      <c r="X338" s="88" t="s">
        <v>1519</v>
      </c>
      <c r="Y338" s="88" t="s">
        <v>1519</v>
      </c>
      <c r="Z338" s="88" t="s">
        <v>1519</v>
      </c>
      <c r="AA338" s="88" t="s">
        <v>1519</v>
      </c>
      <c r="AB338" s="88" t="s">
        <v>1519</v>
      </c>
      <c r="AC338" s="88" t="s">
        <v>1519</v>
      </c>
      <c r="AD338" s="89"/>
      <c r="AE338" s="18" t="s">
        <v>588</v>
      </c>
      <c r="AF338" s="18"/>
      <c r="AG338" s="18"/>
      <c r="AH338" s="18"/>
      <c r="AI338" s="18"/>
      <c r="AJ338" s="18"/>
      <c r="AK338" s="18"/>
      <c r="AL338" s="18"/>
      <c r="AM338" s="18"/>
    </row>
    <row r="339">
      <c r="A339" s="11"/>
      <c r="B339" s="12" t="s">
        <v>7</v>
      </c>
      <c r="C339" s="12" t="s">
        <v>37</v>
      </c>
      <c r="D339" s="12" t="s">
        <v>38</v>
      </c>
      <c r="E339" s="12" t="s">
        <v>38</v>
      </c>
      <c r="F339" s="13" t="s">
        <v>42</v>
      </c>
      <c r="G339" s="12" t="s">
        <v>68</v>
      </c>
      <c r="H339" s="12" t="s">
        <v>584</v>
      </c>
      <c r="I339" s="12" t="s">
        <v>585</v>
      </c>
      <c r="J339" s="17" t="s">
        <v>108</v>
      </c>
      <c r="K339" s="17" t="s">
        <v>1775</v>
      </c>
      <c r="L339" s="17" t="s">
        <v>1776</v>
      </c>
      <c r="M339" s="20">
        <v>45828.0</v>
      </c>
      <c r="N339" s="17" t="s">
        <v>194</v>
      </c>
      <c r="O339" s="88" t="s">
        <v>1519</v>
      </c>
      <c r="P339" s="88" t="s">
        <v>1520</v>
      </c>
      <c r="Q339" s="88" t="s">
        <v>1520</v>
      </c>
      <c r="R339" s="88" t="s">
        <v>1519</v>
      </c>
      <c r="S339" s="88" t="s">
        <v>1520</v>
      </c>
      <c r="T339" s="88" t="s">
        <v>1520</v>
      </c>
      <c r="U339" s="88" t="s">
        <v>1519</v>
      </c>
      <c r="V339" s="88" t="s">
        <v>1519</v>
      </c>
      <c r="W339" s="88" t="s">
        <v>1519</v>
      </c>
      <c r="X339" s="88" t="s">
        <v>1519</v>
      </c>
      <c r="Y339" s="88" t="s">
        <v>1519</v>
      </c>
      <c r="Z339" s="88" t="s">
        <v>1519</v>
      </c>
      <c r="AA339" s="88" t="s">
        <v>1519</v>
      </c>
      <c r="AB339" s="88" t="s">
        <v>1519</v>
      </c>
      <c r="AC339" s="88" t="s">
        <v>1519</v>
      </c>
      <c r="AD339" s="89"/>
      <c r="AE339" s="18" t="s">
        <v>588</v>
      </c>
      <c r="AF339" s="18"/>
      <c r="AG339" s="18"/>
      <c r="AH339" s="18"/>
      <c r="AI339" s="18"/>
      <c r="AJ339" s="18"/>
      <c r="AK339" s="18"/>
      <c r="AL339" s="18"/>
      <c r="AM339" s="18"/>
    </row>
    <row r="340">
      <c r="A340" s="11"/>
      <c r="B340" s="12" t="s">
        <v>7</v>
      </c>
      <c r="C340" s="12" t="s">
        <v>37</v>
      </c>
      <c r="D340" s="12" t="s">
        <v>38</v>
      </c>
      <c r="E340" s="12" t="s">
        <v>38</v>
      </c>
      <c r="F340" s="13" t="s">
        <v>42</v>
      </c>
      <c r="G340" s="12" t="s">
        <v>68</v>
      </c>
      <c r="H340" s="12" t="s">
        <v>584</v>
      </c>
      <c r="I340" s="12" t="s">
        <v>585</v>
      </c>
      <c r="J340" s="17" t="s">
        <v>108</v>
      </c>
      <c r="K340" s="17" t="s">
        <v>1775</v>
      </c>
      <c r="L340" s="17" t="s">
        <v>1777</v>
      </c>
      <c r="M340" s="20">
        <v>45828.0</v>
      </c>
      <c r="N340" s="17" t="s">
        <v>194</v>
      </c>
      <c r="O340" s="88" t="s">
        <v>1519</v>
      </c>
      <c r="P340" s="88" t="s">
        <v>1520</v>
      </c>
      <c r="Q340" s="88" t="s">
        <v>1520</v>
      </c>
      <c r="R340" s="88" t="s">
        <v>1519</v>
      </c>
      <c r="S340" s="88" t="s">
        <v>1520</v>
      </c>
      <c r="T340" s="88" t="s">
        <v>1520</v>
      </c>
      <c r="U340" s="88" t="s">
        <v>1519</v>
      </c>
      <c r="V340" s="88" t="s">
        <v>1519</v>
      </c>
      <c r="W340" s="88" t="s">
        <v>1519</v>
      </c>
      <c r="X340" s="88" t="s">
        <v>1519</v>
      </c>
      <c r="Y340" s="88" t="s">
        <v>1519</v>
      </c>
      <c r="Z340" s="88" t="s">
        <v>1519</v>
      </c>
      <c r="AA340" s="88" t="s">
        <v>1519</v>
      </c>
      <c r="AB340" s="88" t="s">
        <v>1519</v>
      </c>
      <c r="AC340" s="88" t="s">
        <v>1519</v>
      </c>
      <c r="AD340" s="89"/>
      <c r="AE340" s="18" t="s">
        <v>588</v>
      </c>
      <c r="AF340" s="18"/>
      <c r="AG340" s="18"/>
      <c r="AH340" s="18"/>
      <c r="AI340" s="18"/>
      <c r="AJ340" s="18"/>
      <c r="AK340" s="18"/>
      <c r="AL340" s="18"/>
      <c r="AM340" s="18"/>
    </row>
    <row r="341">
      <c r="A341" s="11"/>
      <c r="B341" s="12" t="s">
        <v>7</v>
      </c>
      <c r="C341" s="12" t="s">
        <v>37</v>
      </c>
      <c r="D341" s="12" t="s">
        <v>38</v>
      </c>
      <c r="E341" s="12" t="s">
        <v>38</v>
      </c>
      <c r="F341" s="13" t="s">
        <v>42</v>
      </c>
      <c r="G341" s="12" t="s">
        <v>68</v>
      </c>
      <c r="H341" s="12" t="s">
        <v>584</v>
      </c>
      <c r="I341" s="12" t="s">
        <v>585</v>
      </c>
      <c r="J341" s="17" t="s">
        <v>108</v>
      </c>
      <c r="K341" s="17" t="s">
        <v>1775</v>
      </c>
      <c r="L341" s="17" t="s">
        <v>1778</v>
      </c>
      <c r="M341" s="20">
        <v>45828.0</v>
      </c>
      <c r="N341" s="17" t="s">
        <v>194</v>
      </c>
      <c r="O341" s="88" t="s">
        <v>1520</v>
      </c>
      <c r="P341" s="88" t="s">
        <v>1521</v>
      </c>
      <c r="Q341" s="88" t="s">
        <v>1521</v>
      </c>
      <c r="R341" s="88" t="s">
        <v>1519</v>
      </c>
      <c r="S341" s="88" t="s">
        <v>1520</v>
      </c>
      <c r="T341" s="88" t="s">
        <v>1520</v>
      </c>
      <c r="U341" s="88" t="s">
        <v>1519</v>
      </c>
      <c r="V341" s="88" t="s">
        <v>1519</v>
      </c>
      <c r="W341" s="88" t="s">
        <v>1519</v>
      </c>
      <c r="X341" s="88" t="s">
        <v>1519</v>
      </c>
      <c r="Y341" s="88" t="s">
        <v>1519</v>
      </c>
      <c r="Z341" s="88" t="s">
        <v>1519</v>
      </c>
      <c r="AA341" s="88" t="s">
        <v>1519</v>
      </c>
      <c r="AB341" s="88" t="s">
        <v>1519</v>
      </c>
      <c r="AC341" s="88" t="s">
        <v>1519</v>
      </c>
      <c r="AD341" s="89"/>
      <c r="AE341" s="18" t="s">
        <v>588</v>
      </c>
      <c r="AF341" s="18"/>
      <c r="AG341" s="18"/>
      <c r="AH341" s="18"/>
      <c r="AI341" s="18"/>
      <c r="AJ341" s="18"/>
      <c r="AK341" s="18"/>
      <c r="AL341" s="18"/>
      <c r="AM341" s="18"/>
    </row>
    <row r="342">
      <c r="A342" s="11"/>
      <c r="B342" s="12" t="s">
        <v>7</v>
      </c>
      <c r="C342" s="12" t="s">
        <v>8</v>
      </c>
      <c r="D342" s="12" t="s">
        <v>24</v>
      </c>
      <c r="E342" s="12" t="s">
        <v>32</v>
      </c>
      <c r="F342" s="94" t="s">
        <v>30</v>
      </c>
      <c r="G342" s="12" t="s">
        <v>68</v>
      </c>
      <c r="H342" s="12" t="s">
        <v>1779</v>
      </c>
      <c r="I342" s="12" t="s">
        <v>1780</v>
      </c>
      <c r="J342" s="15" t="s">
        <v>108</v>
      </c>
      <c r="K342" s="15" t="s">
        <v>1781</v>
      </c>
      <c r="L342" s="15" t="s">
        <v>1782</v>
      </c>
      <c r="M342" s="79">
        <v>45827.0</v>
      </c>
      <c r="N342" s="15" t="s">
        <v>194</v>
      </c>
      <c r="O342" s="95" t="s">
        <v>1519</v>
      </c>
      <c r="P342" s="95" t="s">
        <v>1519</v>
      </c>
      <c r="Q342" s="95" t="s">
        <v>1519</v>
      </c>
      <c r="R342" s="95" t="s">
        <v>1519</v>
      </c>
      <c r="S342" s="95" t="s">
        <v>1520</v>
      </c>
      <c r="T342" s="95" t="s">
        <v>1520</v>
      </c>
      <c r="U342" s="95" t="s">
        <v>1519</v>
      </c>
      <c r="V342" s="95" t="s">
        <v>1519</v>
      </c>
      <c r="W342" s="95" t="s">
        <v>1519</v>
      </c>
      <c r="X342" s="95" t="s">
        <v>1519</v>
      </c>
      <c r="Y342" s="95" t="s">
        <v>1520</v>
      </c>
      <c r="Z342" s="95" t="s">
        <v>1520</v>
      </c>
      <c r="AA342" s="95" t="s">
        <v>1519</v>
      </c>
      <c r="AB342" s="95" t="s">
        <v>1519</v>
      </c>
      <c r="AC342" s="95" t="s">
        <v>1519</v>
      </c>
      <c r="AD342" s="96"/>
      <c r="AE342" s="97" t="s">
        <v>577</v>
      </c>
      <c r="AF342" s="97"/>
      <c r="AG342" s="97"/>
      <c r="AH342" s="97"/>
      <c r="AI342" s="97"/>
      <c r="AJ342" s="97"/>
      <c r="AK342" s="97"/>
      <c r="AL342" s="97"/>
      <c r="AM342" s="97"/>
    </row>
    <row r="343">
      <c r="A343" s="11"/>
      <c r="B343" s="12" t="s">
        <v>7</v>
      </c>
      <c r="C343" s="12" t="s">
        <v>8</v>
      </c>
      <c r="D343" s="12" t="s">
        <v>24</v>
      </c>
      <c r="E343" s="12" t="s">
        <v>32</v>
      </c>
      <c r="F343" s="94" t="s">
        <v>30</v>
      </c>
      <c r="G343" s="12" t="s">
        <v>68</v>
      </c>
      <c r="H343" s="12" t="s">
        <v>1783</v>
      </c>
      <c r="I343" s="12" t="s">
        <v>1784</v>
      </c>
      <c r="J343" s="15" t="s">
        <v>112</v>
      </c>
      <c r="K343" s="15" t="s">
        <v>1781</v>
      </c>
      <c r="L343" s="15" t="s">
        <v>1785</v>
      </c>
      <c r="M343" s="79">
        <v>45827.0</v>
      </c>
      <c r="N343" s="15" t="s">
        <v>194</v>
      </c>
      <c r="O343" s="95" t="s">
        <v>1520</v>
      </c>
      <c r="P343" s="95" t="s">
        <v>1520</v>
      </c>
      <c r="Q343" s="95" t="s">
        <v>1521</v>
      </c>
      <c r="R343" s="95" t="s">
        <v>1520</v>
      </c>
      <c r="S343" s="95" t="s">
        <v>1520</v>
      </c>
      <c r="T343" s="95" t="s">
        <v>1520</v>
      </c>
      <c r="U343" s="95" t="s">
        <v>1520</v>
      </c>
      <c r="V343" s="95" t="s">
        <v>1520</v>
      </c>
      <c r="W343" s="95" t="s">
        <v>1519</v>
      </c>
      <c r="X343" s="95" t="s">
        <v>1519</v>
      </c>
      <c r="Y343" s="95" t="s">
        <v>1519</v>
      </c>
      <c r="Z343" s="95" t="s">
        <v>1519</v>
      </c>
      <c r="AA343" s="95" t="s">
        <v>1519</v>
      </c>
      <c r="AB343" s="95" t="s">
        <v>1519</v>
      </c>
      <c r="AC343" s="95" t="s">
        <v>1519</v>
      </c>
      <c r="AD343" s="96"/>
      <c r="AE343" s="97" t="s">
        <v>577</v>
      </c>
      <c r="AF343" s="97"/>
      <c r="AG343" s="97"/>
      <c r="AH343" s="97"/>
      <c r="AI343" s="97"/>
      <c r="AJ343" s="97"/>
      <c r="AK343" s="97"/>
      <c r="AL343" s="97"/>
      <c r="AM343" s="97"/>
    </row>
    <row r="344">
      <c r="A344" s="11"/>
      <c r="B344" s="12" t="s">
        <v>7</v>
      </c>
      <c r="C344" s="12" t="s">
        <v>8</v>
      </c>
      <c r="D344" s="12" t="s">
        <v>24</v>
      </c>
      <c r="E344" s="12" t="s">
        <v>32</v>
      </c>
      <c r="F344" s="13" t="s">
        <v>30</v>
      </c>
      <c r="G344" s="12" t="s">
        <v>68</v>
      </c>
      <c r="H344" s="12" t="s">
        <v>573</v>
      </c>
      <c r="I344" s="12" t="s">
        <v>574</v>
      </c>
      <c r="J344" s="17" t="s">
        <v>73</v>
      </c>
      <c r="K344" s="17" t="s">
        <v>1781</v>
      </c>
      <c r="L344" s="17" t="s">
        <v>1786</v>
      </c>
      <c r="M344" s="20">
        <v>45827.0</v>
      </c>
      <c r="N344" s="17" t="s">
        <v>194</v>
      </c>
      <c r="O344" s="88" t="s">
        <v>1520</v>
      </c>
      <c r="P344" s="88" t="s">
        <v>1520</v>
      </c>
      <c r="Q344" s="88" t="s">
        <v>1519</v>
      </c>
      <c r="R344" s="88" t="s">
        <v>1520</v>
      </c>
      <c r="S344" s="88" t="s">
        <v>1520</v>
      </c>
      <c r="T344" s="88" t="s">
        <v>1520</v>
      </c>
      <c r="U344" s="88" t="s">
        <v>1520</v>
      </c>
      <c r="V344" s="88" t="s">
        <v>1520</v>
      </c>
      <c r="W344" s="88" t="s">
        <v>1520</v>
      </c>
      <c r="X344" s="88" t="s">
        <v>1519</v>
      </c>
      <c r="Y344" s="88" t="s">
        <v>1519</v>
      </c>
      <c r="Z344" s="88" t="s">
        <v>1519</v>
      </c>
      <c r="AA344" s="88" t="s">
        <v>1521</v>
      </c>
      <c r="AB344" s="88" t="s">
        <v>1521</v>
      </c>
      <c r="AC344" s="88" t="s">
        <v>1521</v>
      </c>
      <c r="AD344" s="89"/>
      <c r="AE344" s="18" t="s">
        <v>577</v>
      </c>
      <c r="AF344" s="18"/>
      <c r="AG344" s="18"/>
      <c r="AH344" s="18"/>
      <c r="AI344" s="18"/>
      <c r="AJ344" s="18"/>
      <c r="AK344" s="18"/>
      <c r="AL344" s="18"/>
      <c r="AM344" s="18"/>
    </row>
    <row r="345">
      <c r="A345" s="98"/>
      <c r="B345" s="12" t="s">
        <v>7</v>
      </c>
      <c r="C345" s="12" t="s">
        <v>8</v>
      </c>
      <c r="D345" s="12" t="s">
        <v>24</v>
      </c>
      <c r="E345" s="12" t="s">
        <v>32</v>
      </c>
      <c r="F345" s="94" t="s">
        <v>30</v>
      </c>
      <c r="G345" s="12" t="s">
        <v>68</v>
      </c>
      <c r="H345" s="12" t="s">
        <v>1787</v>
      </c>
      <c r="I345" s="12" t="s">
        <v>1784</v>
      </c>
      <c r="J345" s="15" t="s">
        <v>108</v>
      </c>
      <c r="K345" s="15" t="s">
        <v>1781</v>
      </c>
      <c r="L345" s="15" t="s">
        <v>1788</v>
      </c>
      <c r="M345" s="79">
        <v>45827.0</v>
      </c>
      <c r="N345" s="15" t="s">
        <v>194</v>
      </c>
      <c r="O345" s="95" t="s">
        <v>1519</v>
      </c>
      <c r="P345" s="95" t="s">
        <v>1519</v>
      </c>
      <c r="Q345" s="95" t="s">
        <v>1519</v>
      </c>
      <c r="R345" s="95" t="s">
        <v>1519</v>
      </c>
      <c r="S345" s="95" t="s">
        <v>1520</v>
      </c>
      <c r="T345" s="95" t="s">
        <v>1520</v>
      </c>
      <c r="U345" s="95" t="s">
        <v>1519</v>
      </c>
      <c r="V345" s="95" t="s">
        <v>1519</v>
      </c>
      <c r="W345" s="95" t="s">
        <v>1519</v>
      </c>
      <c r="X345" s="95" t="s">
        <v>1519</v>
      </c>
      <c r="Y345" s="95" t="s">
        <v>1519</v>
      </c>
      <c r="Z345" s="95" t="s">
        <v>1519</v>
      </c>
      <c r="AA345" s="95" t="s">
        <v>1520</v>
      </c>
      <c r="AB345" s="95" t="s">
        <v>1519</v>
      </c>
      <c r="AC345" s="95" t="s">
        <v>1519</v>
      </c>
      <c r="AD345" s="96"/>
      <c r="AE345" s="97" t="s">
        <v>577</v>
      </c>
      <c r="AF345" s="97"/>
      <c r="AG345" s="97"/>
      <c r="AH345" s="97"/>
      <c r="AI345" s="97"/>
      <c r="AJ345" s="97"/>
      <c r="AK345" s="97"/>
      <c r="AL345" s="97"/>
      <c r="AM345" s="97"/>
    </row>
    <row r="346">
      <c r="A346" s="11"/>
      <c r="B346" s="12" t="s">
        <v>7</v>
      </c>
      <c r="C346" s="12" t="s">
        <v>8</v>
      </c>
      <c r="D346" s="12" t="s">
        <v>24</v>
      </c>
      <c r="E346" s="12" t="s">
        <v>29</v>
      </c>
      <c r="F346" s="13" t="s">
        <v>27</v>
      </c>
      <c r="G346" s="12" t="s">
        <v>68</v>
      </c>
      <c r="H346" s="12" t="s">
        <v>801</v>
      </c>
      <c r="I346" s="12" t="s">
        <v>802</v>
      </c>
      <c r="J346" s="17" t="s">
        <v>108</v>
      </c>
      <c r="K346" s="17" t="s">
        <v>1789</v>
      </c>
      <c r="L346" s="17" t="s">
        <v>1790</v>
      </c>
      <c r="M346" s="20">
        <v>45828.0</v>
      </c>
      <c r="N346" s="17" t="s">
        <v>194</v>
      </c>
      <c r="O346" s="88" t="s">
        <v>1519</v>
      </c>
      <c r="P346" s="88" t="s">
        <v>1519</v>
      </c>
      <c r="Q346" s="88" t="s">
        <v>1519</v>
      </c>
      <c r="R346" s="88" t="s">
        <v>1521</v>
      </c>
      <c r="S346" s="88" t="s">
        <v>1519</v>
      </c>
      <c r="T346" s="88" t="s">
        <v>1519</v>
      </c>
      <c r="U346" s="88" t="s">
        <v>1519</v>
      </c>
      <c r="V346" s="88" t="s">
        <v>1519</v>
      </c>
      <c r="W346" s="88" t="s">
        <v>1519</v>
      </c>
      <c r="X346" s="88" t="s">
        <v>1519</v>
      </c>
      <c r="Y346" s="88" t="s">
        <v>1519</v>
      </c>
      <c r="Z346" s="88" t="s">
        <v>1519</v>
      </c>
      <c r="AA346" s="88" t="s">
        <v>1519</v>
      </c>
      <c r="AB346" s="88" t="s">
        <v>1519</v>
      </c>
      <c r="AC346" s="88" t="s">
        <v>1519</v>
      </c>
      <c r="AD346" s="89"/>
      <c r="AE346" s="18" t="s">
        <v>577</v>
      </c>
      <c r="AF346" s="18"/>
      <c r="AG346" s="18"/>
      <c r="AH346" s="18"/>
      <c r="AI346" s="18"/>
      <c r="AJ346" s="18"/>
      <c r="AK346" s="18"/>
      <c r="AL346" s="18"/>
      <c r="AM346" s="18"/>
    </row>
    <row r="347">
      <c r="A347" s="11"/>
      <c r="B347" s="12" t="s">
        <v>7</v>
      </c>
      <c r="C347" s="12" t="s">
        <v>8</v>
      </c>
      <c r="D347" s="12" t="s">
        <v>24</v>
      </c>
      <c r="E347" s="12" t="s">
        <v>29</v>
      </c>
      <c r="F347" s="13" t="s">
        <v>27</v>
      </c>
      <c r="G347" s="12" t="s">
        <v>68</v>
      </c>
      <c r="H347" s="12" t="s">
        <v>801</v>
      </c>
      <c r="I347" s="12" t="s">
        <v>802</v>
      </c>
      <c r="J347" s="17" t="s">
        <v>108</v>
      </c>
      <c r="K347" s="17" t="s">
        <v>1789</v>
      </c>
      <c r="L347" s="17" t="s">
        <v>1791</v>
      </c>
      <c r="M347" s="20">
        <v>45828.0</v>
      </c>
      <c r="N347" s="17" t="s">
        <v>194</v>
      </c>
      <c r="O347" s="88" t="s">
        <v>1520</v>
      </c>
      <c r="P347" s="88" t="s">
        <v>1520</v>
      </c>
      <c r="Q347" s="88" t="s">
        <v>1520</v>
      </c>
      <c r="R347" s="88" t="s">
        <v>1521</v>
      </c>
      <c r="S347" s="88" t="s">
        <v>1519</v>
      </c>
      <c r="T347" s="88" t="s">
        <v>1519</v>
      </c>
      <c r="U347" s="88" t="s">
        <v>1519</v>
      </c>
      <c r="V347" s="88" t="s">
        <v>1519</v>
      </c>
      <c r="W347" s="88" t="s">
        <v>1519</v>
      </c>
      <c r="X347" s="88" t="s">
        <v>1519</v>
      </c>
      <c r="Y347" s="88" t="s">
        <v>1519</v>
      </c>
      <c r="Z347" s="88" t="s">
        <v>1519</v>
      </c>
      <c r="AA347" s="88" t="s">
        <v>1520</v>
      </c>
      <c r="AB347" s="88" t="s">
        <v>1520</v>
      </c>
      <c r="AC347" s="88" t="s">
        <v>1520</v>
      </c>
      <c r="AD347" s="89"/>
      <c r="AE347" s="18" t="s">
        <v>577</v>
      </c>
      <c r="AF347" s="18"/>
      <c r="AG347" s="18"/>
      <c r="AH347" s="18"/>
      <c r="AI347" s="18"/>
      <c r="AJ347" s="18"/>
      <c r="AK347" s="18"/>
      <c r="AL347" s="18"/>
      <c r="AM347" s="18"/>
    </row>
    <row r="348">
      <c r="A348" s="11"/>
      <c r="B348" s="12" t="s">
        <v>7</v>
      </c>
      <c r="C348" s="12" t="s">
        <v>8</v>
      </c>
      <c r="D348" s="12" t="s">
        <v>24</v>
      </c>
      <c r="E348" s="12" t="s">
        <v>29</v>
      </c>
      <c r="F348" s="13" t="s">
        <v>27</v>
      </c>
      <c r="G348" s="12" t="s">
        <v>68</v>
      </c>
      <c r="H348" s="12" t="s">
        <v>801</v>
      </c>
      <c r="I348" s="12" t="s">
        <v>802</v>
      </c>
      <c r="J348" s="17" t="s">
        <v>108</v>
      </c>
      <c r="K348" s="17" t="s">
        <v>1789</v>
      </c>
      <c r="L348" s="17" t="s">
        <v>1792</v>
      </c>
      <c r="M348" s="20">
        <v>45828.0</v>
      </c>
      <c r="N348" s="17" t="s">
        <v>194</v>
      </c>
      <c r="O348" s="88" t="s">
        <v>1520</v>
      </c>
      <c r="P348" s="88" t="s">
        <v>1520</v>
      </c>
      <c r="Q348" s="88" t="s">
        <v>1519</v>
      </c>
      <c r="R348" s="88" t="s">
        <v>1521</v>
      </c>
      <c r="S348" s="88" t="s">
        <v>1519</v>
      </c>
      <c r="T348" s="88" t="s">
        <v>1519</v>
      </c>
      <c r="U348" s="88" t="s">
        <v>1519</v>
      </c>
      <c r="V348" s="88" t="s">
        <v>1519</v>
      </c>
      <c r="W348" s="88" t="s">
        <v>1520</v>
      </c>
      <c r="X348" s="88" t="s">
        <v>1519</v>
      </c>
      <c r="Y348" s="88" t="s">
        <v>1519</v>
      </c>
      <c r="Z348" s="88" t="s">
        <v>1519</v>
      </c>
      <c r="AA348" s="88" t="s">
        <v>1519</v>
      </c>
      <c r="AB348" s="88" t="s">
        <v>1520</v>
      </c>
      <c r="AC348" s="88" t="s">
        <v>1520</v>
      </c>
      <c r="AD348" s="89"/>
      <c r="AE348" s="18" t="s">
        <v>577</v>
      </c>
      <c r="AF348" s="18"/>
      <c r="AG348" s="18"/>
      <c r="AH348" s="18"/>
      <c r="AI348" s="18"/>
      <c r="AJ348" s="18"/>
      <c r="AK348" s="18"/>
      <c r="AL348" s="18"/>
      <c r="AM348" s="18"/>
    </row>
    <row r="349">
      <c r="A349" s="11"/>
      <c r="B349" s="12" t="s">
        <v>7</v>
      </c>
      <c r="C349" s="12" t="s">
        <v>8</v>
      </c>
      <c r="D349" s="12" t="s">
        <v>24</v>
      </c>
      <c r="E349" s="12" t="s">
        <v>29</v>
      </c>
      <c r="F349" s="13" t="s">
        <v>27</v>
      </c>
      <c r="G349" s="12" t="s">
        <v>68</v>
      </c>
      <c r="H349" s="12" t="s">
        <v>801</v>
      </c>
      <c r="I349" s="12" t="s">
        <v>802</v>
      </c>
      <c r="J349" s="17" t="s">
        <v>108</v>
      </c>
      <c r="K349" s="17" t="s">
        <v>1789</v>
      </c>
      <c r="L349" s="17" t="s">
        <v>1793</v>
      </c>
      <c r="M349" s="20">
        <v>45828.0</v>
      </c>
      <c r="N349" s="17" t="s">
        <v>194</v>
      </c>
      <c r="O349" s="88" t="s">
        <v>1519</v>
      </c>
      <c r="P349" s="88" t="s">
        <v>1519</v>
      </c>
      <c r="Q349" s="88" t="s">
        <v>1520</v>
      </c>
      <c r="R349" s="88" t="s">
        <v>1521</v>
      </c>
      <c r="S349" s="88" t="s">
        <v>1519</v>
      </c>
      <c r="T349" s="88" t="s">
        <v>1519</v>
      </c>
      <c r="U349" s="88" t="s">
        <v>1519</v>
      </c>
      <c r="V349" s="88" t="s">
        <v>1519</v>
      </c>
      <c r="W349" s="88" t="s">
        <v>1520</v>
      </c>
      <c r="X349" s="88" t="s">
        <v>1519</v>
      </c>
      <c r="Y349" s="88" t="s">
        <v>1519</v>
      </c>
      <c r="Z349" s="88" t="s">
        <v>1519</v>
      </c>
      <c r="AA349" s="88" t="s">
        <v>1519</v>
      </c>
      <c r="AB349" s="88" t="s">
        <v>1520</v>
      </c>
      <c r="AC349" s="88" t="s">
        <v>1520</v>
      </c>
      <c r="AD349" s="89"/>
      <c r="AE349" s="18" t="s">
        <v>577</v>
      </c>
      <c r="AF349" s="18"/>
      <c r="AG349" s="18"/>
      <c r="AH349" s="18"/>
      <c r="AI349" s="18"/>
      <c r="AJ349" s="18"/>
      <c r="AK349" s="18"/>
      <c r="AL349" s="18"/>
      <c r="AM349" s="18"/>
    </row>
    <row r="350">
      <c r="A350" s="11"/>
      <c r="B350" s="12" t="s">
        <v>7</v>
      </c>
      <c r="C350" s="12" t="s">
        <v>8</v>
      </c>
      <c r="D350" s="12" t="s">
        <v>24</v>
      </c>
      <c r="E350" s="12" t="s">
        <v>29</v>
      </c>
      <c r="F350" s="13" t="s">
        <v>27</v>
      </c>
      <c r="G350" s="12" t="s">
        <v>68</v>
      </c>
      <c r="H350" s="12" t="s">
        <v>801</v>
      </c>
      <c r="I350" s="12" t="s">
        <v>802</v>
      </c>
      <c r="J350" s="17" t="s">
        <v>112</v>
      </c>
      <c r="K350" s="17" t="s">
        <v>1789</v>
      </c>
      <c r="L350" s="17" t="s">
        <v>1794</v>
      </c>
      <c r="M350" s="20">
        <v>45828.0</v>
      </c>
      <c r="N350" s="17" t="s">
        <v>194</v>
      </c>
      <c r="O350" s="88" t="s">
        <v>1520</v>
      </c>
      <c r="P350" s="88" t="s">
        <v>1520</v>
      </c>
      <c r="Q350" s="88" t="s">
        <v>1519</v>
      </c>
      <c r="R350" s="88" t="s">
        <v>1521</v>
      </c>
      <c r="S350" s="88" t="s">
        <v>1520</v>
      </c>
      <c r="T350" s="88" t="s">
        <v>1520</v>
      </c>
      <c r="U350" s="88" t="s">
        <v>1520</v>
      </c>
      <c r="V350" s="88" t="s">
        <v>1520</v>
      </c>
      <c r="W350" s="88" t="s">
        <v>1520</v>
      </c>
      <c r="X350" s="88" t="s">
        <v>1520</v>
      </c>
      <c r="Y350" s="88" t="s">
        <v>1520</v>
      </c>
      <c r="Z350" s="88" t="s">
        <v>1520</v>
      </c>
      <c r="AA350" s="88" t="s">
        <v>1520</v>
      </c>
      <c r="AB350" s="88" t="s">
        <v>1521</v>
      </c>
      <c r="AC350" s="88" t="s">
        <v>1521</v>
      </c>
      <c r="AD350" s="89"/>
      <c r="AE350" s="18" t="s">
        <v>577</v>
      </c>
      <c r="AF350" s="18"/>
      <c r="AG350" s="18"/>
      <c r="AH350" s="18"/>
      <c r="AI350" s="18"/>
      <c r="AJ350" s="18"/>
      <c r="AK350" s="18"/>
      <c r="AL350" s="18"/>
      <c r="AM350" s="18"/>
    </row>
    <row r="351">
      <c r="A351" s="11"/>
      <c r="B351" s="12" t="s">
        <v>7</v>
      </c>
      <c r="C351" s="12" t="s">
        <v>8</v>
      </c>
      <c r="D351" s="12" t="s">
        <v>24</v>
      </c>
      <c r="E351" s="12" t="s">
        <v>35</v>
      </c>
      <c r="F351" s="13" t="s">
        <v>33</v>
      </c>
      <c r="G351" s="12" t="s">
        <v>68</v>
      </c>
      <c r="H351" s="12" t="s">
        <v>813</v>
      </c>
      <c r="I351" s="12" t="s">
        <v>814</v>
      </c>
      <c r="J351" s="17" t="s">
        <v>108</v>
      </c>
      <c r="K351" s="17" t="s">
        <v>109</v>
      </c>
      <c r="L351" s="17" t="s">
        <v>1795</v>
      </c>
      <c r="M351" s="20">
        <v>45834.0</v>
      </c>
      <c r="N351" s="17" t="s">
        <v>194</v>
      </c>
      <c r="O351" s="88" t="s">
        <v>1519</v>
      </c>
      <c r="P351" s="88" t="s">
        <v>1519</v>
      </c>
      <c r="Q351" s="88" t="s">
        <v>1520</v>
      </c>
      <c r="R351" s="88" t="s">
        <v>1521</v>
      </c>
      <c r="S351" s="88" t="s">
        <v>1520</v>
      </c>
      <c r="T351" s="88" t="s">
        <v>1520</v>
      </c>
      <c r="U351" s="88" t="s">
        <v>1520</v>
      </c>
      <c r="V351" s="88" t="s">
        <v>1520</v>
      </c>
      <c r="W351" s="88" t="s">
        <v>1520</v>
      </c>
      <c r="X351" s="88" t="s">
        <v>1520</v>
      </c>
      <c r="Y351" s="88" t="s">
        <v>1520</v>
      </c>
      <c r="Z351" s="88" t="s">
        <v>1520</v>
      </c>
      <c r="AA351" s="88" t="s">
        <v>1520</v>
      </c>
      <c r="AB351" s="88" t="s">
        <v>1520</v>
      </c>
      <c r="AC351" s="88" t="s">
        <v>1520</v>
      </c>
      <c r="AD351" s="89"/>
      <c r="AE351" s="18" t="s">
        <v>577</v>
      </c>
      <c r="AF351" s="18"/>
      <c r="AG351" s="18"/>
      <c r="AH351" s="18"/>
      <c r="AI351" s="18"/>
      <c r="AJ351" s="18"/>
      <c r="AK351" s="18"/>
      <c r="AL351" s="18"/>
      <c r="AM351" s="18"/>
    </row>
    <row r="352">
      <c r="A352" s="11"/>
      <c r="B352" s="12" t="s">
        <v>7</v>
      </c>
      <c r="C352" s="12" t="s">
        <v>8</v>
      </c>
      <c r="D352" s="12" t="s">
        <v>24</v>
      </c>
      <c r="E352" s="12" t="s">
        <v>35</v>
      </c>
      <c r="F352" s="13" t="s">
        <v>33</v>
      </c>
      <c r="G352" s="12" t="s">
        <v>68</v>
      </c>
      <c r="H352" s="12" t="s">
        <v>813</v>
      </c>
      <c r="I352" s="12" t="s">
        <v>814</v>
      </c>
      <c r="J352" s="17" t="s">
        <v>108</v>
      </c>
      <c r="K352" s="17" t="s">
        <v>109</v>
      </c>
      <c r="L352" s="17" t="s">
        <v>1796</v>
      </c>
      <c r="M352" s="20">
        <v>45834.0</v>
      </c>
      <c r="N352" s="17" t="s">
        <v>194</v>
      </c>
      <c r="O352" s="88" t="s">
        <v>1520</v>
      </c>
      <c r="P352" s="88" t="s">
        <v>1520</v>
      </c>
      <c r="Q352" s="88" t="s">
        <v>1520</v>
      </c>
      <c r="R352" s="88" t="s">
        <v>1521</v>
      </c>
      <c r="S352" s="88" t="s">
        <v>1520</v>
      </c>
      <c r="T352" s="88" t="s">
        <v>1520</v>
      </c>
      <c r="U352" s="88" t="s">
        <v>1519</v>
      </c>
      <c r="V352" s="88" t="s">
        <v>1519</v>
      </c>
      <c r="W352" s="88" t="s">
        <v>1520</v>
      </c>
      <c r="X352" s="88" t="s">
        <v>1520</v>
      </c>
      <c r="Y352" s="88" t="s">
        <v>1521</v>
      </c>
      <c r="Z352" s="88" t="s">
        <v>1521</v>
      </c>
      <c r="AA352" s="88" t="s">
        <v>1519</v>
      </c>
      <c r="AB352" s="88" t="s">
        <v>1520</v>
      </c>
      <c r="AC352" s="88" t="s">
        <v>1520</v>
      </c>
      <c r="AD352" s="89"/>
      <c r="AE352" s="18" t="s">
        <v>577</v>
      </c>
      <c r="AF352" s="18"/>
      <c r="AG352" s="18"/>
      <c r="AH352" s="18"/>
      <c r="AI352" s="18"/>
      <c r="AJ352" s="18"/>
      <c r="AK352" s="18"/>
      <c r="AL352" s="18"/>
      <c r="AM352" s="18"/>
    </row>
    <row r="353">
      <c r="A353" s="11"/>
      <c r="B353" s="12" t="s">
        <v>7</v>
      </c>
      <c r="C353" s="12" t="s">
        <v>8</v>
      </c>
      <c r="D353" s="12" t="s">
        <v>24</v>
      </c>
      <c r="E353" s="12" t="s">
        <v>35</v>
      </c>
      <c r="F353" s="13" t="s">
        <v>33</v>
      </c>
      <c r="G353" s="12" t="s">
        <v>68</v>
      </c>
      <c r="H353" s="12" t="s">
        <v>813</v>
      </c>
      <c r="I353" s="12" t="s">
        <v>814</v>
      </c>
      <c r="J353" s="17" t="s">
        <v>112</v>
      </c>
      <c r="K353" s="17" t="s">
        <v>1797</v>
      </c>
      <c r="L353" s="17" t="s">
        <v>1798</v>
      </c>
      <c r="M353" s="20">
        <v>45834.0</v>
      </c>
      <c r="N353" s="17" t="s">
        <v>194</v>
      </c>
      <c r="O353" s="88" t="s">
        <v>1520</v>
      </c>
      <c r="P353" s="88" t="s">
        <v>1520</v>
      </c>
      <c r="Q353" s="88" t="s">
        <v>1520</v>
      </c>
      <c r="R353" s="88" t="s">
        <v>1521</v>
      </c>
      <c r="S353" s="88" t="s">
        <v>1520</v>
      </c>
      <c r="T353" s="88" t="s">
        <v>1520</v>
      </c>
      <c r="U353" s="88" t="s">
        <v>1520</v>
      </c>
      <c r="V353" s="88" t="s">
        <v>1520</v>
      </c>
      <c r="W353" s="88" t="s">
        <v>1520</v>
      </c>
      <c r="X353" s="88" t="s">
        <v>1520</v>
      </c>
      <c r="Y353" s="88" t="s">
        <v>1520</v>
      </c>
      <c r="Z353" s="88" t="s">
        <v>1520</v>
      </c>
      <c r="AA353" s="88" t="s">
        <v>1520</v>
      </c>
      <c r="AB353" s="88" t="s">
        <v>1520</v>
      </c>
      <c r="AC353" s="88" t="s">
        <v>1520</v>
      </c>
      <c r="AD353" s="89"/>
      <c r="AE353" s="18" t="s">
        <v>577</v>
      </c>
      <c r="AF353" s="18"/>
      <c r="AG353" s="18"/>
      <c r="AH353" s="18"/>
      <c r="AI353" s="18"/>
      <c r="AJ353" s="18"/>
      <c r="AK353" s="18"/>
      <c r="AL353" s="18"/>
      <c r="AM353" s="18"/>
    </row>
    <row r="354">
      <c r="A354" s="11"/>
      <c r="B354" s="12" t="s">
        <v>7</v>
      </c>
      <c r="C354" s="12" t="s">
        <v>8</v>
      </c>
      <c r="D354" s="12" t="s">
        <v>24</v>
      </c>
      <c r="E354" s="12" t="s">
        <v>35</v>
      </c>
      <c r="F354" s="13" t="s">
        <v>33</v>
      </c>
      <c r="G354" s="12" t="s">
        <v>68</v>
      </c>
      <c r="H354" s="12" t="s">
        <v>813</v>
      </c>
      <c r="I354" s="12" t="s">
        <v>814</v>
      </c>
      <c r="J354" s="17" t="s">
        <v>112</v>
      </c>
      <c r="K354" s="17" t="s">
        <v>1797</v>
      </c>
      <c r="L354" s="17" t="s">
        <v>1799</v>
      </c>
      <c r="M354" s="20">
        <v>45834.0</v>
      </c>
      <c r="N354" s="17" t="s">
        <v>194</v>
      </c>
      <c r="O354" s="88" t="s">
        <v>1519</v>
      </c>
      <c r="P354" s="88" t="s">
        <v>1519</v>
      </c>
      <c r="Q354" s="88" t="s">
        <v>1519</v>
      </c>
      <c r="R354" s="88" t="s">
        <v>1521</v>
      </c>
      <c r="S354" s="88" t="s">
        <v>1520</v>
      </c>
      <c r="T354" s="88" t="s">
        <v>1520</v>
      </c>
      <c r="U354" s="88" t="s">
        <v>1519</v>
      </c>
      <c r="V354" s="88" t="s">
        <v>1519</v>
      </c>
      <c r="W354" s="88" t="s">
        <v>1520</v>
      </c>
      <c r="X354" s="88" t="s">
        <v>1520</v>
      </c>
      <c r="Y354" s="88" t="s">
        <v>1520</v>
      </c>
      <c r="Z354" s="88" t="s">
        <v>1520</v>
      </c>
      <c r="AA354" s="88" t="s">
        <v>1519</v>
      </c>
      <c r="AB354" s="88" t="s">
        <v>1520</v>
      </c>
      <c r="AC354" s="88" t="s">
        <v>1520</v>
      </c>
      <c r="AD354" s="89"/>
      <c r="AE354" s="18" t="s">
        <v>577</v>
      </c>
      <c r="AF354" s="18"/>
      <c r="AG354" s="18"/>
      <c r="AH354" s="18"/>
      <c r="AI354" s="18"/>
      <c r="AJ354" s="18"/>
      <c r="AK354" s="18"/>
      <c r="AL354" s="18"/>
      <c r="AM354" s="18"/>
    </row>
    <row r="355">
      <c r="A355" s="11"/>
      <c r="B355" s="12" t="s">
        <v>7</v>
      </c>
      <c r="C355" s="12" t="s">
        <v>8</v>
      </c>
      <c r="D355" s="12" t="s">
        <v>24</v>
      </c>
      <c r="E355" s="12" t="s">
        <v>35</v>
      </c>
      <c r="F355" s="13" t="s">
        <v>33</v>
      </c>
      <c r="G355" s="12" t="s">
        <v>68</v>
      </c>
      <c r="H355" s="12" t="s">
        <v>813</v>
      </c>
      <c r="I355" s="12" t="s">
        <v>814</v>
      </c>
      <c r="J355" s="17" t="s">
        <v>112</v>
      </c>
      <c r="K355" s="17" t="s">
        <v>1797</v>
      </c>
      <c r="L355" s="17" t="s">
        <v>1800</v>
      </c>
      <c r="M355" s="20">
        <v>45834.0</v>
      </c>
      <c r="N355" s="17" t="s">
        <v>194</v>
      </c>
      <c r="O355" s="88" t="s">
        <v>1519</v>
      </c>
      <c r="P355" s="88" t="s">
        <v>1519</v>
      </c>
      <c r="Q355" s="88" t="s">
        <v>1520</v>
      </c>
      <c r="R355" s="88" t="s">
        <v>1521</v>
      </c>
      <c r="S355" s="88" t="s">
        <v>1520</v>
      </c>
      <c r="T355" s="88" t="s">
        <v>1520</v>
      </c>
      <c r="U355" s="88" t="s">
        <v>1520</v>
      </c>
      <c r="V355" s="88" t="s">
        <v>1520</v>
      </c>
      <c r="W355" s="88" t="s">
        <v>1520</v>
      </c>
      <c r="X355" s="88" t="s">
        <v>1520</v>
      </c>
      <c r="Y355" s="88" t="s">
        <v>1521</v>
      </c>
      <c r="Z355" s="88" t="s">
        <v>1521</v>
      </c>
      <c r="AA355" s="88" t="s">
        <v>1520</v>
      </c>
      <c r="AB355" s="88" t="s">
        <v>1520</v>
      </c>
      <c r="AC355" s="88" t="s">
        <v>1520</v>
      </c>
      <c r="AD355" s="89"/>
      <c r="AE355" s="18" t="s">
        <v>577</v>
      </c>
      <c r="AF355" s="18"/>
      <c r="AG355" s="18"/>
      <c r="AH355" s="18"/>
      <c r="AI355" s="18"/>
      <c r="AJ355" s="18"/>
      <c r="AK355" s="18"/>
      <c r="AL355" s="18"/>
      <c r="AM355" s="18"/>
    </row>
    <row r="356">
      <c r="A356" s="11"/>
      <c r="B356" s="12" t="s">
        <v>7</v>
      </c>
      <c r="C356" s="12" t="s">
        <v>8</v>
      </c>
      <c r="D356" s="12" t="s">
        <v>24</v>
      </c>
      <c r="E356" s="12" t="s">
        <v>35</v>
      </c>
      <c r="F356" s="13" t="s">
        <v>33</v>
      </c>
      <c r="G356" s="12" t="s">
        <v>68</v>
      </c>
      <c r="H356" s="12" t="s">
        <v>813</v>
      </c>
      <c r="I356" s="12" t="s">
        <v>814</v>
      </c>
      <c r="J356" s="17" t="s">
        <v>73</v>
      </c>
      <c r="K356" s="17" t="s">
        <v>1797</v>
      </c>
      <c r="L356" s="17" t="s">
        <v>1801</v>
      </c>
      <c r="M356" s="20">
        <v>45834.0</v>
      </c>
      <c r="N356" s="17" t="s">
        <v>194</v>
      </c>
      <c r="O356" s="88" t="s">
        <v>1520</v>
      </c>
      <c r="P356" s="88" t="s">
        <v>1520</v>
      </c>
      <c r="Q356" s="88" t="s">
        <v>1521</v>
      </c>
      <c r="R356" s="88" t="s">
        <v>1521</v>
      </c>
      <c r="S356" s="88" t="s">
        <v>1521</v>
      </c>
      <c r="T356" s="88" t="s">
        <v>1521</v>
      </c>
      <c r="U356" s="88" t="s">
        <v>1521</v>
      </c>
      <c r="V356" s="88" t="s">
        <v>1521</v>
      </c>
      <c r="W356" s="88" t="s">
        <v>1521</v>
      </c>
      <c r="X356" s="88" t="s">
        <v>1521</v>
      </c>
      <c r="Y356" s="88" t="s">
        <v>1521</v>
      </c>
      <c r="Z356" s="88" t="s">
        <v>1521</v>
      </c>
      <c r="AA356" s="88" t="s">
        <v>1521</v>
      </c>
      <c r="AB356" s="88" t="s">
        <v>1521</v>
      </c>
      <c r="AC356" s="88" t="s">
        <v>1521</v>
      </c>
      <c r="AD356" s="93" t="s">
        <v>1802</v>
      </c>
      <c r="AE356" s="18" t="s">
        <v>577</v>
      </c>
      <c r="AF356" s="18"/>
      <c r="AG356" s="18"/>
      <c r="AH356" s="18"/>
      <c r="AI356" s="18"/>
      <c r="AJ356" s="18"/>
      <c r="AK356" s="18"/>
      <c r="AL356" s="18"/>
      <c r="AM356" s="18"/>
    </row>
    <row r="357">
      <c r="A357" s="11"/>
      <c r="B357" s="12" t="s">
        <v>7</v>
      </c>
      <c r="C357" s="12" t="s">
        <v>8</v>
      </c>
      <c r="D357" s="12" t="s">
        <v>24</v>
      </c>
      <c r="E357" s="12" t="s">
        <v>35</v>
      </c>
      <c r="F357" s="13" t="s">
        <v>33</v>
      </c>
      <c r="G357" s="12" t="s">
        <v>68</v>
      </c>
      <c r="H357" s="12" t="s">
        <v>813</v>
      </c>
      <c r="I357" s="12" t="s">
        <v>814</v>
      </c>
      <c r="J357" s="17" t="s">
        <v>108</v>
      </c>
      <c r="K357" s="17" t="s">
        <v>109</v>
      </c>
      <c r="L357" s="17" t="s">
        <v>1803</v>
      </c>
      <c r="M357" s="20">
        <v>45834.0</v>
      </c>
      <c r="N357" s="17" t="s">
        <v>194</v>
      </c>
      <c r="O357" s="88" t="s">
        <v>1519</v>
      </c>
      <c r="P357" s="88" t="s">
        <v>1519</v>
      </c>
      <c r="Q357" s="88" t="s">
        <v>1520</v>
      </c>
      <c r="R357" s="88" t="s">
        <v>1521</v>
      </c>
      <c r="S357" s="88" t="s">
        <v>1520</v>
      </c>
      <c r="T357" s="88" t="s">
        <v>1520</v>
      </c>
      <c r="U357" s="88" t="s">
        <v>1520</v>
      </c>
      <c r="V357" s="88" t="s">
        <v>1520</v>
      </c>
      <c r="W357" s="88" t="s">
        <v>1520</v>
      </c>
      <c r="X357" s="88" t="s">
        <v>1520</v>
      </c>
      <c r="Y357" s="88" t="s">
        <v>1520</v>
      </c>
      <c r="Z357" s="88" t="s">
        <v>1520</v>
      </c>
      <c r="AA357" s="88" t="s">
        <v>1520</v>
      </c>
      <c r="AB357" s="88" t="s">
        <v>1520</v>
      </c>
      <c r="AC357" s="88" t="s">
        <v>1520</v>
      </c>
      <c r="AD357" s="89"/>
      <c r="AE357" s="18" t="s">
        <v>577</v>
      </c>
      <c r="AF357" s="18"/>
      <c r="AG357" s="18"/>
      <c r="AH357" s="18"/>
      <c r="AI357" s="18"/>
      <c r="AJ357" s="18"/>
      <c r="AK357" s="18"/>
      <c r="AL357" s="18"/>
      <c r="AM357" s="18"/>
    </row>
    <row r="358">
      <c r="A358" s="11"/>
      <c r="B358" s="12" t="s">
        <v>7</v>
      </c>
      <c r="C358" s="12" t="s">
        <v>37</v>
      </c>
      <c r="D358" s="12" t="s">
        <v>38</v>
      </c>
      <c r="E358" s="12" t="s">
        <v>45</v>
      </c>
      <c r="F358" s="13" t="s">
        <v>44</v>
      </c>
      <c r="G358" s="12" t="s">
        <v>68</v>
      </c>
      <c r="H358" s="99" t="s">
        <v>830</v>
      </c>
      <c r="I358" s="99" t="s">
        <v>831</v>
      </c>
      <c r="J358" s="17" t="s">
        <v>73</v>
      </c>
      <c r="K358" s="17" t="s">
        <v>74</v>
      </c>
      <c r="L358" s="17" t="s">
        <v>1804</v>
      </c>
      <c r="M358" s="20">
        <v>45832.0</v>
      </c>
      <c r="N358" s="17" t="s">
        <v>194</v>
      </c>
      <c r="O358" s="88" t="s">
        <v>1520</v>
      </c>
      <c r="P358" s="88" t="s">
        <v>1520</v>
      </c>
      <c r="Q358" s="88" t="s">
        <v>1520</v>
      </c>
      <c r="R358" s="88" t="s">
        <v>1521</v>
      </c>
      <c r="S358" s="88" t="s">
        <v>1520</v>
      </c>
      <c r="T358" s="88" t="s">
        <v>1520</v>
      </c>
      <c r="U358" s="88" t="s">
        <v>1520</v>
      </c>
      <c r="V358" s="88" t="s">
        <v>1520</v>
      </c>
      <c r="W358" s="88" t="s">
        <v>1520</v>
      </c>
      <c r="X358" s="88" t="s">
        <v>1520</v>
      </c>
      <c r="Y358" s="88" t="s">
        <v>1520</v>
      </c>
      <c r="Z358" s="88" t="s">
        <v>1520</v>
      </c>
      <c r="AA358" s="88" t="s">
        <v>1520</v>
      </c>
      <c r="AB358" s="88" t="s">
        <v>1520</v>
      </c>
      <c r="AC358" s="88" t="s">
        <v>1520</v>
      </c>
      <c r="AD358" s="89"/>
      <c r="AE358" s="18" t="s">
        <v>577</v>
      </c>
      <c r="AF358" s="18"/>
      <c r="AG358" s="18"/>
      <c r="AH358" s="18"/>
      <c r="AI358" s="18"/>
      <c r="AJ358" s="18"/>
      <c r="AK358" s="18"/>
      <c r="AL358" s="18"/>
      <c r="AM358" s="18"/>
    </row>
    <row r="359">
      <c r="A359" s="11"/>
      <c r="B359" s="12" t="s">
        <v>7</v>
      </c>
      <c r="C359" s="12" t="s">
        <v>37</v>
      </c>
      <c r="D359" s="12" t="s">
        <v>38</v>
      </c>
      <c r="E359" s="12" t="s">
        <v>45</v>
      </c>
      <c r="F359" s="13" t="s">
        <v>44</v>
      </c>
      <c r="G359" s="12" t="s">
        <v>68</v>
      </c>
      <c r="H359" s="99" t="s">
        <v>830</v>
      </c>
      <c r="I359" s="99" t="s">
        <v>831</v>
      </c>
      <c r="J359" s="17" t="s">
        <v>73</v>
      </c>
      <c r="K359" s="17" t="s">
        <v>74</v>
      </c>
      <c r="L359" s="17" t="s">
        <v>1805</v>
      </c>
      <c r="M359" s="20">
        <v>45832.0</v>
      </c>
      <c r="N359" s="17" t="s">
        <v>194</v>
      </c>
      <c r="O359" s="88" t="s">
        <v>1520</v>
      </c>
      <c r="P359" s="88" t="s">
        <v>1520</v>
      </c>
      <c r="Q359" s="88" t="s">
        <v>1520</v>
      </c>
      <c r="R359" s="88" t="s">
        <v>1521</v>
      </c>
      <c r="S359" s="88" t="s">
        <v>1520</v>
      </c>
      <c r="T359" s="88" t="s">
        <v>1520</v>
      </c>
      <c r="U359" s="88" t="s">
        <v>1520</v>
      </c>
      <c r="V359" s="88" t="s">
        <v>1520</v>
      </c>
      <c r="W359" s="88" t="s">
        <v>1520</v>
      </c>
      <c r="X359" s="88" t="s">
        <v>1520</v>
      </c>
      <c r="Y359" s="88" t="s">
        <v>1520</v>
      </c>
      <c r="Z359" s="88" t="s">
        <v>1520</v>
      </c>
      <c r="AA359" s="88" t="s">
        <v>1520</v>
      </c>
      <c r="AB359" s="88" t="s">
        <v>1520</v>
      </c>
      <c r="AC359" s="88" t="s">
        <v>1520</v>
      </c>
      <c r="AD359" s="89"/>
      <c r="AE359" s="18" t="s">
        <v>577</v>
      </c>
      <c r="AF359" s="18"/>
      <c r="AG359" s="18"/>
      <c r="AH359" s="18"/>
      <c r="AI359" s="18"/>
      <c r="AJ359" s="18"/>
      <c r="AK359" s="18"/>
      <c r="AL359" s="18"/>
      <c r="AM359" s="18"/>
    </row>
    <row r="360">
      <c r="A360" s="11"/>
      <c r="B360" s="12" t="s">
        <v>7</v>
      </c>
      <c r="C360" s="12" t="s">
        <v>37</v>
      </c>
      <c r="D360" s="12" t="s">
        <v>38</v>
      </c>
      <c r="E360" s="12" t="s">
        <v>45</v>
      </c>
      <c r="F360" s="13" t="s">
        <v>44</v>
      </c>
      <c r="G360" s="12" t="s">
        <v>68</v>
      </c>
      <c r="H360" s="99" t="s">
        <v>830</v>
      </c>
      <c r="I360" s="99" t="s">
        <v>831</v>
      </c>
      <c r="J360" s="17" t="s">
        <v>73</v>
      </c>
      <c r="K360" s="17" t="s">
        <v>74</v>
      </c>
      <c r="L360" s="17" t="s">
        <v>1806</v>
      </c>
      <c r="M360" s="20">
        <v>45832.0</v>
      </c>
      <c r="N360" s="17" t="s">
        <v>194</v>
      </c>
      <c r="O360" s="88" t="s">
        <v>1520</v>
      </c>
      <c r="P360" s="88" t="s">
        <v>1520</v>
      </c>
      <c r="Q360" s="88" t="s">
        <v>1520</v>
      </c>
      <c r="R360" s="88" t="s">
        <v>1521</v>
      </c>
      <c r="S360" s="88" t="s">
        <v>1520</v>
      </c>
      <c r="T360" s="88" t="s">
        <v>1520</v>
      </c>
      <c r="U360" s="88" t="s">
        <v>1520</v>
      </c>
      <c r="V360" s="88" t="s">
        <v>1520</v>
      </c>
      <c r="W360" s="88" t="s">
        <v>1520</v>
      </c>
      <c r="X360" s="88" t="s">
        <v>1520</v>
      </c>
      <c r="Y360" s="88" t="s">
        <v>1520</v>
      </c>
      <c r="Z360" s="88" t="s">
        <v>1520</v>
      </c>
      <c r="AA360" s="88" t="s">
        <v>1520</v>
      </c>
      <c r="AB360" s="88" t="s">
        <v>1520</v>
      </c>
      <c r="AC360" s="88" t="s">
        <v>1520</v>
      </c>
      <c r="AD360" s="89"/>
      <c r="AE360" s="18" t="s">
        <v>577</v>
      </c>
      <c r="AF360" s="18"/>
      <c r="AG360" s="18"/>
      <c r="AH360" s="18"/>
      <c r="AI360" s="18"/>
      <c r="AJ360" s="18"/>
      <c r="AK360" s="18"/>
      <c r="AL360" s="18"/>
      <c r="AM360" s="18"/>
    </row>
    <row r="361">
      <c r="A361" s="98"/>
      <c r="B361" s="12" t="s">
        <v>7</v>
      </c>
      <c r="C361" s="12" t="s">
        <v>37</v>
      </c>
      <c r="D361" s="12" t="s">
        <v>38</v>
      </c>
      <c r="E361" s="12" t="s">
        <v>45</v>
      </c>
      <c r="F361" s="94" t="s">
        <v>44</v>
      </c>
      <c r="G361" s="12" t="s">
        <v>68</v>
      </c>
      <c r="H361" s="99" t="s">
        <v>1807</v>
      </c>
      <c r="I361" s="99" t="s">
        <v>1808</v>
      </c>
      <c r="J361" s="15" t="s">
        <v>73</v>
      </c>
      <c r="K361" s="15" t="s">
        <v>74</v>
      </c>
      <c r="L361" s="15" t="s">
        <v>1809</v>
      </c>
      <c r="M361" s="79">
        <v>45832.0</v>
      </c>
      <c r="N361" s="15" t="s">
        <v>194</v>
      </c>
      <c r="O361" s="95" t="s">
        <v>1519</v>
      </c>
      <c r="P361" s="95" t="s">
        <v>1520</v>
      </c>
      <c r="Q361" s="95" t="s">
        <v>1520</v>
      </c>
      <c r="R361" s="95" t="s">
        <v>1521</v>
      </c>
      <c r="S361" s="95" t="s">
        <v>1520</v>
      </c>
      <c r="T361" s="95" t="s">
        <v>1520</v>
      </c>
      <c r="U361" s="95" t="s">
        <v>1520</v>
      </c>
      <c r="V361" s="95" t="s">
        <v>1520</v>
      </c>
      <c r="W361" s="95" t="s">
        <v>1520</v>
      </c>
      <c r="X361" s="95" t="s">
        <v>1520</v>
      </c>
      <c r="Y361" s="95" t="s">
        <v>1520</v>
      </c>
      <c r="Z361" s="95" t="s">
        <v>1520</v>
      </c>
      <c r="AA361" s="95" t="s">
        <v>1520</v>
      </c>
      <c r="AB361" s="95" t="s">
        <v>1520</v>
      </c>
      <c r="AC361" s="95" t="s">
        <v>1520</v>
      </c>
      <c r="AD361" s="96"/>
      <c r="AE361" s="97" t="s">
        <v>577</v>
      </c>
      <c r="AF361" s="97"/>
      <c r="AG361" s="97"/>
      <c r="AH361" s="97"/>
      <c r="AI361" s="97"/>
      <c r="AJ361" s="97"/>
      <c r="AK361" s="97"/>
      <c r="AL361" s="97"/>
      <c r="AM361" s="97"/>
    </row>
    <row r="362">
      <c r="A362" s="11"/>
      <c r="B362" s="12" t="s">
        <v>7</v>
      </c>
      <c r="C362" s="12" t="s">
        <v>37</v>
      </c>
      <c r="D362" s="12" t="s">
        <v>38</v>
      </c>
      <c r="E362" s="12" t="s">
        <v>45</v>
      </c>
      <c r="F362" s="13" t="s">
        <v>44</v>
      </c>
      <c r="G362" s="12" t="s">
        <v>68</v>
      </c>
      <c r="H362" s="99" t="s">
        <v>1810</v>
      </c>
      <c r="I362" s="99" t="s">
        <v>1811</v>
      </c>
      <c r="J362" s="17" t="s">
        <v>73</v>
      </c>
      <c r="K362" s="17" t="s">
        <v>74</v>
      </c>
      <c r="L362" s="17" t="s">
        <v>1812</v>
      </c>
      <c r="M362" s="20">
        <v>45832.0</v>
      </c>
      <c r="N362" s="17" t="s">
        <v>194</v>
      </c>
      <c r="O362" s="88" t="s">
        <v>1520</v>
      </c>
      <c r="P362" s="88" t="s">
        <v>1520</v>
      </c>
      <c r="Q362" s="88" t="s">
        <v>1520</v>
      </c>
      <c r="R362" s="88" t="s">
        <v>1521</v>
      </c>
      <c r="S362" s="88" t="s">
        <v>1520</v>
      </c>
      <c r="T362" s="88" t="s">
        <v>1520</v>
      </c>
      <c r="U362" s="88" t="s">
        <v>1520</v>
      </c>
      <c r="V362" s="88" t="s">
        <v>1520</v>
      </c>
      <c r="W362" s="88" t="s">
        <v>1520</v>
      </c>
      <c r="X362" s="88" t="s">
        <v>1520</v>
      </c>
      <c r="Y362" s="88" t="s">
        <v>1520</v>
      </c>
      <c r="Z362" s="88" t="s">
        <v>1520</v>
      </c>
      <c r="AA362" s="88" t="s">
        <v>1520</v>
      </c>
      <c r="AB362" s="88" t="s">
        <v>1520</v>
      </c>
      <c r="AC362" s="88" t="s">
        <v>1520</v>
      </c>
      <c r="AD362" s="89"/>
      <c r="AE362" s="18" t="s">
        <v>577</v>
      </c>
      <c r="AF362" s="18"/>
      <c r="AG362" s="18"/>
      <c r="AH362" s="18"/>
      <c r="AI362" s="18"/>
      <c r="AJ362" s="18"/>
      <c r="AK362" s="18"/>
      <c r="AL362" s="18"/>
      <c r="AM362" s="18"/>
    </row>
    <row r="363">
      <c r="A363" s="98"/>
      <c r="B363" s="12" t="s">
        <v>7</v>
      </c>
      <c r="C363" s="12" t="s">
        <v>37</v>
      </c>
      <c r="D363" s="12" t="s">
        <v>38</v>
      </c>
      <c r="E363" s="12" t="s">
        <v>45</v>
      </c>
      <c r="F363" s="94" t="s">
        <v>44</v>
      </c>
      <c r="G363" s="12" t="s">
        <v>68</v>
      </c>
      <c r="H363" s="99" t="s">
        <v>1813</v>
      </c>
      <c r="I363" s="99" t="s">
        <v>1814</v>
      </c>
      <c r="J363" s="15" t="s">
        <v>73</v>
      </c>
      <c r="K363" s="15" t="s">
        <v>74</v>
      </c>
      <c r="L363" s="15" t="s">
        <v>1815</v>
      </c>
      <c r="M363" s="79">
        <v>45832.0</v>
      </c>
      <c r="N363" s="15" t="s">
        <v>194</v>
      </c>
      <c r="O363" s="95" t="s">
        <v>1520</v>
      </c>
      <c r="P363" s="95" t="s">
        <v>1520</v>
      </c>
      <c r="Q363" s="95" t="s">
        <v>1520</v>
      </c>
      <c r="R363" s="95" t="s">
        <v>1521</v>
      </c>
      <c r="S363" s="95" t="s">
        <v>1520</v>
      </c>
      <c r="T363" s="95" t="s">
        <v>1520</v>
      </c>
      <c r="U363" s="95" t="s">
        <v>1520</v>
      </c>
      <c r="V363" s="95" t="s">
        <v>1520</v>
      </c>
      <c r="W363" s="95" t="s">
        <v>1520</v>
      </c>
      <c r="X363" s="95" t="s">
        <v>1520</v>
      </c>
      <c r="Y363" s="95" t="s">
        <v>1520</v>
      </c>
      <c r="Z363" s="95" t="s">
        <v>1520</v>
      </c>
      <c r="AA363" s="95" t="s">
        <v>1520</v>
      </c>
      <c r="AB363" s="95" t="s">
        <v>1520</v>
      </c>
      <c r="AC363" s="95" t="s">
        <v>1520</v>
      </c>
      <c r="AD363" s="96"/>
      <c r="AE363" s="97" t="s">
        <v>577</v>
      </c>
      <c r="AF363" s="97"/>
      <c r="AG363" s="97"/>
      <c r="AH363" s="97"/>
      <c r="AI363" s="97"/>
      <c r="AJ363" s="97"/>
      <c r="AK363" s="97"/>
      <c r="AL363" s="97"/>
      <c r="AM363" s="97"/>
    </row>
    <row r="364">
      <c r="A364" s="98"/>
      <c r="B364" s="12" t="s">
        <v>7</v>
      </c>
      <c r="C364" s="12" t="s">
        <v>37</v>
      </c>
      <c r="D364" s="12" t="s">
        <v>38</v>
      </c>
      <c r="E364" s="12" t="s">
        <v>45</v>
      </c>
      <c r="F364" s="94" t="s">
        <v>44</v>
      </c>
      <c r="G364" s="12" t="s">
        <v>68</v>
      </c>
      <c r="H364" s="99" t="s">
        <v>1816</v>
      </c>
      <c r="I364" s="99" t="s">
        <v>1817</v>
      </c>
      <c r="J364" s="15" t="s">
        <v>112</v>
      </c>
      <c r="K364" s="15" t="s">
        <v>113</v>
      </c>
      <c r="L364" s="15" t="s">
        <v>1818</v>
      </c>
      <c r="M364" s="79">
        <v>45832.0</v>
      </c>
      <c r="N364" s="15" t="s">
        <v>194</v>
      </c>
      <c r="O364" s="95" t="s">
        <v>1519</v>
      </c>
      <c r="P364" s="95" t="s">
        <v>1520</v>
      </c>
      <c r="Q364" s="95" t="s">
        <v>1519</v>
      </c>
      <c r="R364" s="95" t="s">
        <v>1521</v>
      </c>
      <c r="S364" s="95" t="s">
        <v>1519</v>
      </c>
      <c r="T364" s="95" t="s">
        <v>1519</v>
      </c>
      <c r="U364" s="95" t="s">
        <v>1519</v>
      </c>
      <c r="V364" s="95" t="s">
        <v>1519</v>
      </c>
      <c r="W364" s="95" t="s">
        <v>1519</v>
      </c>
      <c r="X364" s="95" t="s">
        <v>1519</v>
      </c>
      <c r="Y364" s="95" t="s">
        <v>1519</v>
      </c>
      <c r="Z364" s="95" t="s">
        <v>1519</v>
      </c>
      <c r="AA364" s="95" t="s">
        <v>1519</v>
      </c>
      <c r="AB364" s="95" t="s">
        <v>1520</v>
      </c>
      <c r="AC364" s="95" t="s">
        <v>1520</v>
      </c>
      <c r="AD364" s="96"/>
      <c r="AE364" s="97" t="s">
        <v>577</v>
      </c>
      <c r="AF364" s="97"/>
      <c r="AG364" s="97"/>
      <c r="AH364" s="97"/>
      <c r="AI364" s="97"/>
      <c r="AJ364" s="97"/>
      <c r="AK364" s="97"/>
      <c r="AL364" s="97"/>
      <c r="AM364" s="97"/>
    </row>
    <row r="365">
      <c r="A365" s="11"/>
      <c r="B365" s="12" t="s">
        <v>7</v>
      </c>
      <c r="C365" s="12" t="s">
        <v>37</v>
      </c>
      <c r="D365" s="12" t="s">
        <v>38</v>
      </c>
      <c r="E365" s="12" t="s">
        <v>45</v>
      </c>
      <c r="F365" s="13" t="s">
        <v>44</v>
      </c>
      <c r="G365" s="12" t="s">
        <v>68</v>
      </c>
      <c r="H365" s="99" t="s">
        <v>830</v>
      </c>
      <c r="I365" s="99" t="s">
        <v>831</v>
      </c>
      <c r="J365" s="17" t="s">
        <v>112</v>
      </c>
      <c r="K365" s="17" t="s">
        <v>113</v>
      </c>
      <c r="L365" s="17" t="s">
        <v>1819</v>
      </c>
      <c r="M365" s="20">
        <v>45832.0</v>
      </c>
      <c r="N365" s="17" t="s">
        <v>194</v>
      </c>
      <c r="O365" s="88" t="s">
        <v>1519</v>
      </c>
      <c r="P365" s="88" t="s">
        <v>1520</v>
      </c>
      <c r="Q365" s="88" t="s">
        <v>1520</v>
      </c>
      <c r="R365" s="88" t="s">
        <v>1521</v>
      </c>
      <c r="S365" s="88" t="s">
        <v>1520</v>
      </c>
      <c r="T365" s="88" t="s">
        <v>1520</v>
      </c>
      <c r="U365" s="88" t="s">
        <v>1519</v>
      </c>
      <c r="V365" s="88" t="s">
        <v>1519</v>
      </c>
      <c r="W365" s="88" t="s">
        <v>1519</v>
      </c>
      <c r="X365" s="88" t="s">
        <v>1519</v>
      </c>
      <c r="Y365" s="88" t="s">
        <v>1519</v>
      </c>
      <c r="Z365" s="88" t="s">
        <v>1519</v>
      </c>
      <c r="AA365" s="88" t="s">
        <v>1519</v>
      </c>
      <c r="AB365" s="88" t="s">
        <v>1520</v>
      </c>
      <c r="AC365" s="88" t="s">
        <v>1520</v>
      </c>
      <c r="AD365" s="89"/>
      <c r="AE365" s="18" t="s">
        <v>577</v>
      </c>
      <c r="AF365" s="18"/>
      <c r="AG365" s="18"/>
      <c r="AH365" s="18"/>
      <c r="AI365" s="18"/>
      <c r="AJ365" s="18"/>
      <c r="AK365" s="18"/>
      <c r="AL365" s="18"/>
      <c r="AM365" s="18"/>
    </row>
    <row r="366">
      <c r="A366" s="11"/>
      <c r="B366" s="12" t="s">
        <v>7</v>
      </c>
      <c r="C366" s="12" t="s">
        <v>37</v>
      </c>
      <c r="D366" s="12" t="s">
        <v>38</v>
      </c>
      <c r="E366" s="12" t="s">
        <v>45</v>
      </c>
      <c r="F366" s="13" t="s">
        <v>44</v>
      </c>
      <c r="G366" s="12" t="s">
        <v>68</v>
      </c>
      <c r="H366" s="99" t="s">
        <v>830</v>
      </c>
      <c r="I366" s="99" t="s">
        <v>831</v>
      </c>
      <c r="J366" s="17" t="s">
        <v>112</v>
      </c>
      <c r="K366" s="17" t="s">
        <v>113</v>
      </c>
      <c r="L366" s="17" t="s">
        <v>1820</v>
      </c>
      <c r="M366" s="20">
        <v>45832.0</v>
      </c>
      <c r="N366" s="17" t="s">
        <v>194</v>
      </c>
      <c r="O366" s="88" t="s">
        <v>1519</v>
      </c>
      <c r="P366" s="88" t="s">
        <v>1520</v>
      </c>
      <c r="Q366" s="88" t="s">
        <v>1520</v>
      </c>
      <c r="R366" s="88" t="s">
        <v>1521</v>
      </c>
      <c r="S366" s="88" t="s">
        <v>1520</v>
      </c>
      <c r="T366" s="88" t="s">
        <v>1520</v>
      </c>
      <c r="U366" s="88" t="s">
        <v>1519</v>
      </c>
      <c r="V366" s="88" t="s">
        <v>1519</v>
      </c>
      <c r="W366" s="88" t="s">
        <v>1519</v>
      </c>
      <c r="X366" s="88" t="s">
        <v>1519</v>
      </c>
      <c r="Y366" s="88" t="s">
        <v>1519</v>
      </c>
      <c r="Z366" s="88" t="s">
        <v>1519</v>
      </c>
      <c r="AA366" s="88" t="s">
        <v>1519</v>
      </c>
      <c r="AB366" s="88" t="s">
        <v>1520</v>
      </c>
      <c r="AC366" s="88" t="s">
        <v>1520</v>
      </c>
      <c r="AD366" s="89"/>
      <c r="AE366" s="18" t="s">
        <v>577</v>
      </c>
      <c r="AF366" s="18"/>
      <c r="AG366" s="18"/>
      <c r="AH366" s="18"/>
      <c r="AI366" s="18"/>
      <c r="AJ366" s="18"/>
      <c r="AK366" s="18"/>
      <c r="AL366" s="18"/>
      <c r="AM366" s="18"/>
    </row>
    <row r="367">
      <c r="A367" s="11"/>
      <c r="B367" s="12" t="s">
        <v>7</v>
      </c>
      <c r="C367" s="12" t="s">
        <v>37</v>
      </c>
      <c r="D367" s="12" t="s">
        <v>38</v>
      </c>
      <c r="E367" s="12" t="s">
        <v>45</v>
      </c>
      <c r="F367" s="13" t="s">
        <v>44</v>
      </c>
      <c r="G367" s="12" t="s">
        <v>68</v>
      </c>
      <c r="H367" s="99" t="s">
        <v>830</v>
      </c>
      <c r="I367" s="99" t="s">
        <v>831</v>
      </c>
      <c r="J367" s="17" t="s">
        <v>112</v>
      </c>
      <c r="K367" s="17" t="s">
        <v>113</v>
      </c>
      <c r="L367" s="17" t="s">
        <v>1821</v>
      </c>
      <c r="M367" s="20">
        <v>45832.0</v>
      </c>
      <c r="N367" s="17" t="s">
        <v>194</v>
      </c>
      <c r="O367" s="88" t="s">
        <v>1520</v>
      </c>
      <c r="P367" s="88" t="s">
        <v>1520</v>
      </c>
      <c r="Q367" s="88" t="s">
        <v>1520</v>
      </c>
      <c r="R367" s="88" t="s">
        <v>1521</v>
      </c>
      <c r="S367" s="88" t="s">
        <v>1520</v>
      </c>
      <c r="T367" s="88" t="s">
        <v>1520</v>
      </c>
      <c r="U367" s="88" t="s">
        <v>1520</v>
      </c>
      <c r="V367" s="88" t="s">
        <v>1520</v>
      </c>
      <c r="W367" s="88" t="s">
        <v>1520</v>
      </c>
      <c r="X367" s="88" t="s">
        <v>1519</v>
      </c>
      <c r="Y367" s="88" t="s">
        <v>1519</v>
      </c>
      <c r="Z367" s="88" t="s">
        <v>1519</v>
      </c>
      <c r="AA367" s="88" t="s">
        <v>1520</v>
      </c>
      <c r="AB367" s="88" t="s">
        <v>1520</v>
      </c>
      <c r="AC367" s="88" t="s">
        <v>1520</v>
      </c>
      <c r="AD367" s="89"/>
      <c r="AE367" s="18" t="s">
        <v>577</v>
      </c>
      <c r="AF367" s="18"/>
      <c r="AG367" s="18"/>
      <c r="AH367" s="18"/>
      <c r="AI367" s="18"/>
      <c r="AJ367" s="18"/>
      <c r="AK367" s="18"/>
      <c r="AL367" s="18"/>
      <c r="AM367" s="18"/>
    </row>
    <row r="368">
      <c r="A368" s="11"/>
      <c r="B368" s="12" t="s">
        <v>7</v>
      </c>
      <c r="C368" s="12" t="s">
        <v>37</v>
      </c>
      <c r="D368" s="12" t="s">
        <v>38</v>
      </c>
      <c r="E368" s="12" t="s">
        <v>45</v>
      </c>
      <c r="F368" s="13" t="s">
        <v>44</v>
      </c>
      <c r="G368" s="12" t="s">
        <v>68</v>
      </c>
      <c r="H368" s="99" t="s">
        <v>830</v>
      </c>
      <c r="I368" s="99" t="s">
        <v>831</v>
      </c>
      <c r="J368" s="17" t="s">
        <v>108</v>
      </c>
      <c r="K368" s="17" t="s">
        <v>109</v>
      </c>
      <c r="L368" s="17" t="s">
        <v>1822</v>
      </c>
      <c r="M368" s="20">
        <v>45832.0</v>
      </c>
      <c r="N368" s="17" t="s">
        <v>194</v>
      </c>
      <c r="O368" s="88" t="s">
        <v>1519</v>
      </c>
      <c r="P368" s="88" t="s">
        <v>1519</v>
      </c>
      <c r="Q368" s="88" t="s">
        <v>1519</v>
      </c>
      <c r="R368" s="88" t="s">
        <v>1520</v>
      </c>
      <c r="S368" s="88" t="s">
        <v>1520</v>
      </c>
      <c r="T368" s="88" t="s">
        <v>1520</v>
      </c>
      <c r="U368" s="88" t="s">
        <v>1519</v>
      </c>
      <c r="V368" s="88" t="s">
        <v>1519</v>
      </c>
      <c r="W368" s="88" t="s">
        <v>1520</v>
      </c>
      <c r="X368" s="88" t="s">
        <v>1519</v>
      </c>
      <c r="Y368" s="88" t="s">
        <v>1519</v>
      </c>
      <c r="Z368" s="88" t="s">
        <v>1519</v>
      </c>
      <c r="AA368" s="88" t="s">
        <v>1520</v>
      </c>
      <c r="AB368" s="88" t="s">
        <v>1520</v>
      </c>
      <c r="AC368" s="88" t="s">
        <v>1520</v>
      </c>
      <c r="AD368" s="89"/>
      <c r="AE368" s="18" t="s">
        <v>577</v>
      </c>
      <c r="AF368" s="18"/>
      <c r="AG368" s="18"/>
      <c r="AH368" s="18"/>
      <c r="AI368" s="18"/>
      <c r="AJ368" s="18"/>
      <c r="AK368" s="18"/>
      <c r="AL368" s="18"/>
      <c r="AM368" s="18"/>
    </row>
    <row r="369">
      <c r="A369" s="11"/>
      <c r="B369" s="12" t="s">
        <v>7</v>
      </c>
      <c r="C369" s="12" t="s">
        <v>37</v>
      </c>
      <c r="D369" s="12" t="s">
        <v>38</v>
      </c>
      <c r="E369" s="12" t="s">
        <v>45</v>
      </c>
      <c r="F369" s="13" t="s">
        <v>44</v>
      </c>
      <c r="G369" s="12" t="s">
        <v>68</v>
      </c>
      <c r="H369" s="99" t="s">
        <v>830</v>
      </c>
      <c r="I369" s="99" t="s">
        <v>831</v>
      </c>
      <c r="J369" s="17" t="s">
        <v>108</v>
      </c>
      <c r="K369" s="17" t="s">
        <v>109</v>
      </c>
      <c r="L369" s="17" t="s">
        <v>1823</v>
      </c>
      <c r="M369" s="20">
        <v>45832.0</v>
      </c>
      <c r="N369" s="17" t="s">
        <v>194</v>
      </c>
      <c r="O369" s="88" t="s">
        <v>1519</v>
      </c>
      <c r="P369" s="88" t="s">
        <v>1519</v>
      </c>
      <c r="Q369" s="88" t="s">
        <v>1520</v>
      </c>
      <c r="R369" s="88" t="s">
        <v>1520</v>
      </c>
      <c r="S369" s="88" t="s">
        <v>1520</v>
      </c>
      <c r="T369" s="88" t="s">
        <v>1520</v>
      </c>
      <c r="U369" s="88" t="s">
        <v>1519</v>
      </c>
      <c r="V369" s="88" t="s">
        <v>1519</v>
      </c>
      <c r="W369" s="88" t="s">
        <v>1520</v>
      </c>
      <c r="X369" s="88" t="s">
        <v>1519</v>
      </c>
      <c r="Y369" s="88" t="s">
        <v>1519</v>
      </c>
      <c r="Z369" s="88" t="s">
        <v>1519</v>
      </c>
      <c r="AA369" s="88" t="s">
        <v>1520</v>
      </c>
      <c r="AB369" s="88" t="s">
        <v>1520</v>
      </c>
      <c r="AC369" s="88" t="s">
        <v>1520</v>
      </c>
      <c r="AD369" s="89"/>
      <c r="AE369" s="18" t="s">
        <v>577</v>
      </c>
      <c r="AF369" s="18"/>
      <c r="AG369" s="18"/>
      <c r="AH369" s="18"/>
      <c r="AI369" s="18"/>
      <c r="AJ369" s="18"/>
      <c r="AK369" s="18"/>
      <c r="AL369" s="18"/>
      <c r="AM369" s="18"/>
    </row>
    <row r="370">
      <c r="A370" s="11"/>
      <c r="B370" s="12" t="s">
        <v>7</v>
      </c>
      <c r="C370" s="12" t="s">
        <v>37</v>
      </c>
      <c r="D370" s="12" t="s">
        <v>38</v>
      </c>
      <c r="E370" s="12" t="s">
        <v>45</v>
      </c>
      <c r="F370" s="13" t="s">
        <v>44</v>
      </c>
      <c r="G370" s="12" t="s">
        <v>68</v>
      </c>
      <c r="H370" s="99" t="s">
        <v>830</v>
      </c>
      <c r="I370" s="99" t="s">
        <v>831</v>
      </c>
      <c r="J370" s="17" t="s">
        <v>108</v>
      </c>
      <c r="K370" s="17" t="s">
        <v>109</v>
      </c>
      <c r="L370" s="17" t="s">
        <v>1824</v>
      </c>
      <c r="M370" s="20">
        <v>45832.0</v>
      </c>
      <c r="N370" s="17" t="s">
        <v>194</v>
      </c>
      <c r="O370" s="88" t="s">
        <v>1519</v>
      </c>
      <c r="P370" s="88" t="s">
        <v>1519</v>
      </c>
      <c r="Q370" s="88" t="s">
        <v>1520</v>
      </c>
      <c r="R370" s="88" t="s">
        <v>1520</v>
      </c>
      <c r="S370" s="88" t="s">
        <v>1520</v>
      </c>
      <c r="T370" s="88" t="s">
        <v>1520</v>
      </c>
      <c r="U370" s="88" t="s">
        <v>1519</v>
      </c>
      <c r="V370" s="88" t="s">
        <v>1519</v>
      </c>
      <c r="W370" s="88" t="s">
        <v>1520</v>
      </c>
      <c r="X370" s="88" t="s">
        <v>1519</v>
      </c>
      <c r="Y370" s="88" t="s">
        <v>1519</v>
      </c>
      <c r="Z370" s="88" t="s">
        <v>1519</v>
      </c>
      <c r="AA370" s="88" t="s">
        <v>1520</v>
      </c>
      <c r="AB370" s="88" t="s">
        <v>1519</v>
      </c>
      <c r="AC370" s="88" t="s">
        <v>1519</v>
      </c>
      <c r="AD370" s="89"/>
      <c r="AE370" s="18" t="s">
        <v>577</v>
      </c>
      <c r="AF370" s="18"/>
      <c r="AG370" s="18"/>
      <c r="AH370" s="18"/>
      <c r="AI370" s="18"/>
      <c r="AJ370" s="18"/>
      <c r="AK370" s="18"/>
      <c r="AL370" s="18"/>
      <c r="AM370" s="18"/>
    </row>
    <row r="371">
      <c r="A371" s="11"/>
      <c r="B371" s="12" t="s">
        <v>7</v>
      </c>
      <c r="C371" s="12" t="s">
        <v>37</v>
      </c>
      <c r="D371" s="12" t="s">
        <v>38</v>
      </c>
      <c r="E371" s="12" t="s">
        <v>45</v>
      </c>
      <c r="F371" s="13" t="s">
        <v>44</v>
      </c>
      <c r="G371" s="12" t="s">
        <v>68</v>
      </c>
      <c r="H371" s="99" t="s">
        <v>830</v>
      </c>
      <c r="I371" s="99" t="s">
        <v>831</v>
      </c>
      <c r="J371" s="17" t="s">
        <v>108</v>
      </c>
      <c r="K371" s="17" t="s">
        <v>109</v>
      </c>
      <c r="L371" s="17" t="s">
        <v>1825</v>
      </c>
      <c r="M371" s="20">
        <v>45832.0</v>
      </c>
      <c r="N371" s="17" t="s">
        <v>194</v>
      </c>
      <c r="O371" s="88" t="s">
        <v>1519</v>
      </c>
      <c r="P371" s="88" t="s">
        <v>1519</v>
      </c>
      <c r="Q371" s="88" t="s">
        <v>1520</v>
      </c>
      <c r="R371" s="88" t="s">
        <v>1520</v>
      </c>
      <c r="S371" s="88" t="s">
        <v>1520</v>
      </c>
      <c r="T371" s="88" t="s">
        <v>1520</v>
      </c>
      <c r="U371" s="88" t="s">
        <v>1519</v>
      </c>
      <c r="V371" s="88" t="s">
        <v>1519</v>
      </c>
      <c r="W371" s="88" t="s">
        <v>1520</v>
      </c>
      <c r="X371" s="88" t="s">
        <v>1521</v>
      </c>
      <c r="Y371" s="88" t="s">
        <v>1520</v>
      </c>
      <c r="Z371" s="88" t="s">
        <v>1520</v>
      </c>
      <c r="AA371" s="88" t="s">
        <v>1521</v>
      </c>
      <c r="AB371" s="88" t="s">
        <v>1520</v>
      </c>
      <c r="AC371" s="88" t="s">
        <v>1520</v>
      </c>
      <c r="AD371" s="89"/>
      <c r="AE371" s="18" t="s">
        <v>577</v>
      </c>
      <c r="AF371" s="18"/>
      <c r="AG371" s="18"/>
      <c r="AH371" s="18"/>
      <c r="AI371" s="18"/>
      <c r="AJ371" s="18"/>
      <c r="AK371" s="18"/>
      <c r="AL371" s="18"/>
      <c r="AM371" s="18"/>
    </row>
    <row r="372">
      <c r="A372" s="11"/>
      <c r="B372" s="12" t="s">
        <v>7</v>
      </c>
      <c r="C372" s="12" t="s">
        <v>37</v>
      </c>
      <c r="D372" s="12" t="s">
        <v>38</v>
      </c>
      <c r="E372" s="12" t="s">
        <v>45</v>
      </c>
      <c r="F372" s="13" t="s">
        <v>44</v>
      </c>
      <c r="G372" s="12" t="s">
        <v>68</v>
      </c>
      <c r="H372" s="99" t="s">
        <v>830</v>
      </c>
      <c r="I372" s="99" t="s">
        <v>831</v>
      </c>
      <c r="J372" s="17" t="s">
        <v>108</v>
      </c>
      <c r="K372" s="17" t="s">
        <v>109</v>
      </c>
      <c r="L372" s="17" t="s">
        <v>1826</v>
      </c>
      <c r="M372" s="20">
        <v>45832.0</v>
      </c>
      <c r="N372" s="17" t="s">
        <v>194</v>
      </c>
      <c r="O372" s="88" t="s">
        <v>1519</v>
      </c>
      <c r="P372" s="88" t="s">
        <v>1519</v>
      </c>
      <c r="Q372" s="88" t="s">
        <v>1520</v>
      </c>
      <c r="R372" s="88" t="s">
        <v>1520</v>
      </c>
      <c r="S372" s="88" t="s">
        <v>1520</v>
      </c>
      <c r="T372" s="88" t="s">
        <v>1520</v>
      </c>
      <c r="U372" s="88" t="s">
        <v>1519</v>
      </c>
      <c r="V372" s="88" t="s">
        <v>1519</v>
      </c>
      <c r="W372" s="88" t="s">
        <v>1520</v>
      </c>
      <c r="X372" s="88" t="s">
        <v>1520</v>
      </c>
      <c r="Y372" s="88" t="s">
        <v>1520</v>
      </c>
      <c r="Z372" s="88" t="s">
        <v>1520</v>
      </c>
      <c r="AA372" s="88" t="s">
        <v>1521</v>
      </c>
      <c r="AB372" s="88" t="s">
        <v>1520</v>
      </c>
      <c r="AC372" s="88" t="s">
        <v>1520</v>
      </c>
      <c r="AD372" s="89"/>
      <c r="AE372" s="18" t="s">
        <v>577</v>
      </c>
      <c r="AF372" s="18"/>
      <c r="AG372" s="18"/>
      <c r="AH372" s="18"/>
      <c r="AI372" s="18"/>
      <c r="AJ372" s="18"/>
      <c r="AK372" s="18"/>
      <c r="AL372" s="18"/>
      <c r="AM372" s="18"/>
    </row>
    <row r="373">
      <c r="A373" s="11"/>
      <c r="B373" s="12" t="s">
        <v>7</v>
      </c>
      <c r="C373" s="12" t="s">
        <v>37</v>
      </c>
      <c r="D373" s="12" t="s">
        <v>38</v>
      </c>
      <c r="E373" s="12" t="s">
        <v>45</v>
      </c>
      <c r="F373" s="13" t="s">
        <v>44</v>
      </c>
      <c r="G373" s="12" t="s">
        <v>68</v>
      </c>
      <c r="H373" s="99" t="s">
        <v>830</v>
      </c>
      <c r="I373" s="99" t="s">
        <v>831</v>
      </c>
      <c r="J373" s="17" t="s">
        <v>108</v>
      </c>
      <c r="K373" s="17" t="s">
        <v>109</v>
      </c>
      <c r="L373" s="17" t="s">
        <v>1827</v>
      </c>
      <c r="M373" s="20">
        <v>45832.0</v>
      </c>
      <c r="N373" s="17" t="s">
        <v>194</v>
      </c>
      <c r="O373" s="88" t="s">
        <v>1519</v>
      </c>
      <c r="P373" s="88" t="s">
        <v>1519</v>
      </c>
      <c r="Q373" s="88" t="s">
        <v>1519</v>
      </c>
      <c r="R373" s="88" t="s">
        <v>1520</v>
      </c>
      <c r="S373" s="88" t="s">
        <v>1520</v>
      </c>
      <c r="T373" s="88" t="s">
        <v>1520</v>
      </c>
      <c r="U373" s="88" t="s">
        <v>1519</v>
      </c>
      <c r="V373" s="88" t="s">
        <v>1519</v>
      </c>
      <c r="W373" s="88" t="s">
        <v>1520</v>
      </c>
      <c r="X373" s="88" t="s">
        <v>1519</v>
      </c>
      <c r="Y373" s="88" t="s">
        <v>1519</v>
      </c>
      <c r="Z373" s="88" t="s">
        <v>1519</v>
      </c>
      <c r="AA373" s="88" t="s">
        <v>1520</v>
      </c>
      <c r="AB373" s="88" t="s">
        <v>1520</v>
      </c>
      <c r="AC373" s="88" t="s">
        <v>1520</v>
      </c>
      <c r="AD373" s="89"/>
      <c r="AE373" s="18" t="s">
        <v>577</v>
      </c>
      <c r="AF373" s="18"/>
      <c r="AG373" s="18"/>
      <c r="AH373" s="18"/>
      <c r="AI373" s="18"/>
      <c r="AJ373" s="18"/>
      <c r="AK373" s="18"/>
      <c r="AL373" s="18"/>
      <c r="AM373" s="18"/>
    </row>
    <row r="374">
      <c r="A374" s="11"/>
      <c r="B374" s="12" t="s">
        <v>7</v>
      </c>
      <c r="C374" s="12" t="s">
        <v>37</v>
      </c>
      <c r="D374" s="12" t="s">
        <v>38</v>
      </c>
      <c r="E374" s="12" t="s">
        <v>45</v>
      </c>
      <c r="F374" s="13" t="s">
        <v>44</v>
      </c>
      <c r="G374" s="12" t="s">
        <v>68</v>
      </c>
      <c r="H374" s="99" t="s">
        <v>830</v>
      </c>
      <c r="I374" s="99" t="s">
        <v>831</v>
      </c>
      <c r="J374" s="17" t="s">
        <v>108</v>
      </c>
      <c r="K374" s="17" t="s">
        <v>109</v>
      </c>
      <c r="L374" s="17" t="s">
        <v>1828</v>
      </c>
      <c r="M374" s="20">
        <v>45832.0</v>
      </c>
      <c r="N374" s="17" t="s">
        <v>194</v>
      </c>
      <c r="O374" s="88" t="s">
        <v>1519</v>
      </c>
      <c r="P374" s="88" t="s">
        <v>1519</v>
      </c>
      <c r="Q374" s="88" t="s">
        <v>1519</v>
      </c>
      <c r="R374" s="88" t="s">
        <v>1520</v>
      </c>
      <c r="S374" s="88" t="s">
        <v>1520</v>
      </c>
      <c r="T374" s="88" t="s">
        <v>1520</v>
      </c>
      <c r="U374" s="88" t="s">
        <v>1519</v>
      </c>
      <c r="V374" s="88" t="s">
        <v>1519</v>
      </c>
      <c r="W374" s="88" t="s">
        <v>1520</v>
      </c>
      <c r="X374" s="88" t="s">
        <v>1519</v>
      </c>
      <c r="Y374" s="88" t="s">
        <v>1519</v>
      </c>
      <c r="Z374" s="88" t="s">
        <v>1519</v>
      </c>
      <c r="AA374" s="88" t="s">
        <v>1520</v>
      </c>
      <c r="AB374" s="88" t="s">
        <v>1520</v>
      </c>
      <c r="AC374" s="88" t="s">
        <v>1520</v>
      </c>
      <c r="AD374" s="89"/>
      <c r="AE374" s="18" t="s">
        <v>577</v>
      </c>
      <c r="AF374" s="18"/>
      <c r="AG374" s="18"/>
      <c r="AH374" s="18"/>
      <c r="AI374" s="18"/>
      <c r="AJ374" s="18"/>
      <c r="AK374" s="18"/>
      <c r="AL374" s="18"/>
      <c r="AM374" s="18"/>
    </row>
    <row r="375">
      <c r="A375" s="11"/>
      <c r="B375" s="12" t="s">
        <v>7</v>
      </c>
      <c r="C375" s="12" t="s">
        <v>37</v>
      </c>
      <c r="D375" s="12" t="s">
        <v>38</v>
      </c>
      <c r="E375" s="12" t="s">
        <v>45</v>
      </c>
      <c r="F375" s="13" t="s">
        <v>44</v>
      </c>
      <c r="G375" s="12" t="s">
        <v>68</v>
      </c>
      <c r="H375" s="99" t="s">
        <v>830</v>
      </c>
      <c r="I375" s="99" t="s">
        <v>831</v>
      </c>
      <c r="J375" s="17" t="s">
        <v>108</v>
      </c>
      <c r="K375" s="17" t="s">
        <v>109</v>
      </c>
      <c r="L375" s="17" t="s">
        <v>1829</v>
      </c>
      <c r="M375" s="20">
        <v>45832.0</v>
      </c>
      <c r="N375" s="17" t="s">
        <v>194</v>
      </c>
      <c r="O375" s="88" t="s">
        <v>1519</v>
      </c>
      <c r="P375" s="88" t="s">
        <v>1519</v>
      </c>
      <c r="Q375" s="88" t="s">
        <v>1521</v>
      </c>
      <c r="R375" s="88" t="s">
        <v>1520</v>
      </c>
      <c r="S375" s="88" t="s">
        <v>1520</v>
      </c>
      <c r="T375" s="88" t="s">
        <v>1520</v>
      </c>
      <c r="U375" s="88" t="s">
        <v>1519</v>
      </c>
      <c r="V375" s="88" t="s">
        <v>1519</v>
      </c>
      <c r="W375" s="88" t="s">
        <v>1520</v>
      </c>
      <c r="X375" s="88" t="s">
        <v>1519</v>
      </c>
      <c r="Y375" s="88" t="s">
        <v>1519</v>
      </c>
      <c r="Z375" s="88" t="s">
        <v>1519</v>
      </c>
      <c r="AA375" s="88" t="s">
        <v>1520</v>
      </c>
      <c r="AB375" s="88" t="s">
        <v>1520</v>
      </c>
      <c r="AC375" s="88" t="s">
        <v>1520</v>
      </c>
      <c r="AD375" s="89"/>
      <c r="AE375" s="18" t="s">
        <v>577</v>
      </c>
      <c r="AF375" s="18"/>
      <c r="AG375" s="18"/>
      <c r="AH375" s="18"/>
      <c r="AI375" s="18"/>
      <c r="AJ375" s="18"/>
      <c r="AK375" s="18"/>
      <c r="AL375" s="18"/>
      <c r="AM375" s="18"/>
    </row>
    <row r="376">
      <c r="A376" s="11"/>
      <c r="B376" s="12" t="s">
        <v>7</v>
      </c>
      <c r="C376" s="12" t="s">
        <v>37</v>
      </c>
      <c r="D376" s="12" t="s">
        <v>38</v>
      </c>
      <c r="E376" s="12" t="s">
        <v>45</v>
      </c>
      <c r="F376" s="13" t="s">
        <v>44</v>
      </c>
      <c r="G376" s="12" t="s">
        <v>68</v>
      </c>
      <c r="H376" s="99" t="s">
        <v>830</v>
      </c>
      <c r="I376" s="99" t="s">
        <v>831</v>
      </c>
      <c r="J376" s="17" t="s">
        <v>108</v>
      </c>
      <c r="K376" s="17" t="s">
        <v>109</v>
      </c>
      <c r="L376" s="17" t="s">
        <v>1830</v>
      </c>
      <c r="M376" s="20">
        <v>45832.0</v>
      </c>
      <c r="N376" s="17" t="s">
        <v>194</v>
      </c>
      <c r="O376" s="88" t="s">
        <v>1519</v>
      </c>
      <c r="P376" s="88" t="s">
        <v>1519</v>
      </c>
      <c r="Q376" s="88" t="s">
        <v>1520</v>
      </c>
      <c r="R376" s="88" t="s">
        <v>1520</v>
      </c>
      <c r="S376" s="88" t="s">
        <v>1519</v>
      </c>
      <c r="T376" s="88" t="s">
        <v>1519</v>
      </c>
      <c r="U376" s="88" t="s">
        <v>1519</v>
      </c>
      <c r="V376" s="88" t="s">
        <v>1519</v>
      </c>
      <c r="W376" s="88" t="s">
        <v>1520</v>
      </c>
      <c r="X376" s="88" t="s">
        <v>1519</v>
      </c>
      <c r="Y376" s="88" t="s">
        <v>1519</v>
      </c>
      <c r="Z376" s="88" t="s">
        <v>1519</v>
      </c>
      <c r="AA376" s="88" t="s">
        <v>1520</v>
      </c>
      <c r="AB376" s="88" t="s">
        <v>1519</v>
      </c>
      <c r="AC376" s="88" t="s">
        <v>1519</v>
      </c>
      <c r="AD376" s="89"/>
      <c r="AE376" s="18" t="s">
        <v>577</v>
      </c>
      <c r="AF376" s="18"/>
      <c r="AG376" s="18"/>
      <c r="AH376" s="18"/>
      <c r="AI376" s="18"/>
      <c r="AJ376" s="18"/>
      <c r="AK376" s="18"/>
      <c r="AL376" s="18"/>
      <c r="AM376" s="18"/>
    </row>
    <row r="377">
      <c r="A377" s="11"/>
      <c r="B377" s="12" t="s">
        <v>34</v>
      </c>
      <c r="C377" s="12" t="s">
        <v>65</v>
      </c>
      <c r="D377" s="12" t="s">
        <v>83</v>
      </c>
      <c r="E377" s="12" t="s">
        <v>632</v>
      </c>
      <c r="F377" s="13" t="s">
        <v>633</v>
      </c>
      <c r="G377" s="12" t="s">
        <v>68</v>
      </c>
      <c r="H377" s="12" t="s">
        <v>634</v>
      </c>
      <c r="I377" s="12" t="s">
        <v>635</v>
      </c>
      <c r="J377" s="17" t="s">
        <v>73</v>
      </c>
      <c r="K377" s="17" t="s">
        <v>74</v>
      </c>
      <c r="L377" s="100" t="s">
        <v>1831</v>
      </c>
      <c r="M377" s="20">
        <v>45847.0</v>
      </c>
      <c r="N377" s="17" t="s">
        <v>194</v>
      </c>
      <c r="O377" s="88" t="s">
        <v>1520</v>
      </c>
      <c r="P377" s="88" t="s">
        <v>1521</v>
      </c>
      <c r="Q377" s="88" t="s">
        <v>1521</v>
      </c>
      <c r="R377" s="88" t="s">
        <v>1520</v>
      </c>
      <c r="S377" s="88" t="s">
        <v>1519</v>
      </c>
      <c r="T377" s="88" t="s">
        <v>1520</v>
      </c>
      <c r="U377" s="88" t="s">
        <v>1521</v>
      </c>
      <c r="V377" s="88" t="s">
        <v>1521</v>
      </c>
      <c r="W377" s="88" t="s">
        <v>1521</v>
      </c>
      <c r="X377" s="88" t="s">
        <v>1520</v>
      </c>
      <c r="Y377" s="88" t="s">
        <v>1521</v>
      </c>
      <c r="Z377" s="88" t="s">
        <v>1520</v>
      </c>
      <c r="AA377" s="88" t="s">
        <v>1520</v>
      </c>
      <c r="AB377" s="88" t="s">
        <v>1521</v>
      </c>
      <c r="AC377" s="88" t="s">
        <v>1521</v>
      </c>
      <c r="AD377" s="89"/>
      <c r="AE377" s="18" t="s">
        <v>638</v>
      </c>
      <c r="AF377" s="24"/>
      <c r="AG377" s="24"/>
      <c r="AH377" s="24"/>
      <c r="AI377" s="24"/>
      <c r="AJ377" s="24"/>
      <c r="AK377" s="24"/>
      <c r="AL377" s="24"/>
      <c r="AM377" s="24"/>
    </row>
    <row r="378">
      <c r="A378" s="11"/>
      <c r="B378" s="12" t="s">
        <v>34</v>
      </c>
      <c r="C378" s="12" t="s">
        <v>65</v>
      </c>
      <c r="D378" s="12" t="s">
        <v>83</v>
      </c>
      <c r="E378" s="12" t="s">
        <v>632</v>
      </c>
      <c r="F378" s="13" t="s">
        <v>633</v>
      </c>
      <c r="G378" s="12" t="s">
        <v>68</v>
      </c>
      <c r="H378" s="12" t="s">
        <v>634</v>
      </c>
      <c r="I378" s="12" t="s">
        <v>635</v>
      </c>
      <c r="J378" s="17" t="s">
        <v>73</v>
      </c>
      <c r="K378" s="17" t="s">
        <v>74</v>
      </c>
      <c r="L378" s="100" t="s">
        <v>1832</v>
      </c>
      <c r="M378" s="20">
        <v>45847.0</v>
      </c>
      <c r="N378" s="17" t="s">
        <v>194</v>
      </c>
      <c r="O378" s="88" t="s">
        <v>1521</v>
      </c>
      <c r="P378" s="88" t="s">
        <v>1521</v>
      </c>
      <c r="Q378" s="88" t="s">
        <v>1521</v>
      </c>
      <c r="R378" s="88" t="s">
        <v>1521</v>
      </c>
      <c r="S378" s="88" t="s">
        <v>1521</v>
      </c>
      <c r="T378" s="88" t="s">
        <v>1521</v>
      </c>
      <c r="U378" s="88" t="s">
        <v>1521</v>
      </c>
      <c r="V378" s="88" t="s">
        <v>1521</v>
      </c>
      <c r="W378" s="88" t="s">
        <v>1521</v>
      </c>
      <c r="X378" s="88" t="s">
        <v>1521</v>
      </c>
      <c r="Y378" s="88" t="s">
        <v>1521</v>
      </c>
      <c r="Z378" s="88" t="s">
        <v>1521</v>
      </c>
      <c r="AA378" s="88" t="s">
        <v>1521</v>
      </c>
      <c r="AB378" s="88" t="s">
        <v>1521</v>
      </c>
      <c r="AC378" s="88" t="s">
        <v>1521</v>
      </c>
      <c r="AD378" s="90"/>
      <c r="AE378" s="18" t="s">
        <v>638</v>
      </c>
      <c r="AF378" s="24"/>
      <c r="AG378" s="24"/>
      <c r="AH378" s="24"/>
      <c r="AI378" s="24"/>
      <c r="AJ378" s="24"/>
      <c r="AK378" s="24"/>
      <c r="AL378" s="24"/>
      <c r="AM378" s="24"/>
    </row>
    <row r="379">
      <c r="A379" s="11"/>
      <c r="B379" s="12" t="s">
        <v>34</v>
      </c>
      <c r="C379" s="12" t="s">
        <v>65</v>
      </c>
      <c r="D379" s="12" t="s">
        <v>83</v>
      </c>
      <c r="E379" s="12" t="s">
        <v>632</v>
      </c>
      <c r="F379" s="13" t="s">
        <v>633</v>
      </c>
      <c r="G379" s="12" t="s">
        <v>68</v>
      </c>
      <c r="H379" s="12" t="s">
        <v>634</v>
      </c>
      <c r="I379" s="12" t="s">
        <v>635</v>
      </c>
      <c r="J379" s="17" t="s">
        <v>73</v>
      </c>
      <c r="K379" s="17" t="s">
        <v>74</v>
      </c>
      <c r="L379" s="100" t="s">
        <v>1833</v>
      </c>
      <c r="M379" s="20">
        <v>45847.0</v>
      </c>
      <c r="N379" s="17" t="s">
        <v>194</v>
      </c>
      <c r="O379" s="88" t="s">
        <v>1520</v>
      </c>
      <c r="P379" s="88" t="s">
        <v>1520</v>
      </c>
      <c r="Q379" s="88" t="s">
        <v>1520</v>
      </c>
      <c r="R379" s="88" t="s">
        <v>1521</v>
      </c>
      <c r="S379" s="88" t="s">
        <v>1521</v>
      </c>
      <c r="T379" s="88" t="s">
        <v>1521</v>
      </c>
      <c r="U379" s="88" t="s">
        <v>1521</v>
      </c>
      <c r="V379" s="88" t="s">
        <v>1521</v>
      </c>
      <c r="W379" s="88" t="s">
        <v>1521</v>
      </c>
      <c r="X379" s="88" t="s">
        <v>1521</v>
      </c>
      <c r="Y379" s="88" t="s">
        <v>1521</v>
      </c>
      <c r="Z379" s="88" t="s">
        <v>1521</v>
      </c>
      <c r="AA379" s="88" t="s">
        <v>1521</v>
      </c>
      <c r="AB379" s="88" t="s">
        <v>1521</v>
      </c>
      <c r="AC379" s="88" t="s">
        <v>1521</v>
      </c>
      <c r="AD379" s="90"/>
      <c r="AE379" s="18" t="s">
        <v>638</v>
      </c>
      <c r="AF379" s="24"/>
      <c r="AG379" s="24"/>
      <c r="AH379" s="24"/>
      <c r="AI379" s="24"/>
      <c r="AJ379" s="24"/>
      <c r="AK379" s="24"/>
      <c r="AL379" s="24"/>
      <c r="AM379" s="24"/>
    </row>
    <row r="380">
      <c r="A380" s="11"/>
      <c r="B380" s="12" t="s">
        <v>34</v>
      </c>
      <c r="C380" s="12" t="s">
        <v>65</v>
      </c>
      <c r="D380" s="12" t="s">
        <v>83</v>
      </c>
      <c r="E380" s="12" t="s">
        <v>632</v>
      </c>
      <c r="F380" s="13" t="s">
        <v>633</v>
      </c>
      <c r="G380" s="12" t="s">
        <v>68</v>
      </c>
      <c r="H380" s="12" t="s">
        <v>634</v>
      </c>
      <c r="I380" s="12" t="s">
        <v>635</v>
      </c>
      <c r="J380" s="17" t="s">
        <v>73</v>
      </c>
      <c r="K380" s="17" t="s">
        <v>74</v>
      </c>
      <c r="L380" s="100" t="s">
        <v>1834</v>
      </c>
      <c r="M380" s="20">
        <v>45847.0</v>
      </c>
      <c r="N380" s="17" t="s">
        <v>194</v>
      </c>
      <c r="O380" s="88" t="s">
        <v>1520</v>
      </c>
      <c r="P380" s="88" t="s">
        <v>1521</v>
      </c>
      <c r="Q380" s="88" t="s">
        <v>1520</v>
      </c>
      <c r="R380" s="88" t="s">
        <v>1520</v>
      </c>
      <c r="S380" s="88" t="s">
        <v>1519</v>
      </c>
      <c r="T380" s="88" t="s">
        <v>1520</v>
      </c>
      <c r="U380" s="88" t="s">
        <v>1521</v>
      </c>
      <c r="V380" s="88" t="s">
        <v>1521</v>
      </c>
      <c r="W380" s="88" t="s">
        <v>1521</v>
      </c>
      <c r="X380" s="88" t="s">
        <v>1520</v>
      </c>
      <c r="Y380" s="88" t="s">
        <v>1521</v>
      </c>
      <c r="Z380" s="88" t="s">
        <v>1520</v>
      </c>
      <c r="AA380" s="88" t="s">
        <v>1521</v>
      </c>
      <c r="AB380" s="88" t="s">
        <v>1521</v>
      </c>
      <c r="AC380" s="88" t="s">
        <v>1521</v>
      </c>
      <c r="AD380" s="89"/>
      <c r="AE380" s="18" t="s">
        <v>638</v>
      </c>
      <c r="AF380" s="24"/>
      <c r="AG380" s="24"/>
      <c r="AH380" s="24"/>
      <c r="AI380" s="24"/>
      <c r="AJ380" s="24"/>
      <c r="AK380" s="24"/>
      <c r="AL380" s="24"/>
      <c r="AM380" s="24"/>
    </row>
    <row r="381">
      <c r="A381" s="11"/>
      <c r="B381" s="12" t="s">
        <v>34</v>
      </c>
      <c r="C381" s="12" t="s">
        <v>65</v>
      </c>
      <c r="D381" s="12" t="s">
        <v>83</v>
      </c>
      <c r="E381" s="12" t="s">
        <v>632</v>
      </c>
      <c r="F381" s="13" t="s">
        <v>633</v>
      </c>
      <c r="G381" s="12" t="s">
        <v>68</v>
      </c>
      <c r="H381" s="12" t="s">
        <v>634</v>
      </c>
      <c r="I381" s="12" t="s">
        <v>635</v>
      </c>
      <c r="J381" s="17" t="s">
        <v>112</v>
      </c>
      <c r="K381" s="17" t="s">
        <v>113</v>
      </c>
      <c r="L381" s="100" t="s">
        <v>1835</v>
      </c>
      <c r="M381" s="20">
        <v>45847.0</v>
      </c>
      <c r="N381" s="17" t="s">
        <v>194</v>
      </c>
      <c r="O381" s="88" t="s">
        <v>1520</v>
      </c>
      <c r="P381" s="88" t="s">
        <v>1521</v>
      </c>
      <c r="Q381" s="88" t="s">
        <v>1521</v>
      </c>
      <c r="R381" s="88" t="s">
        <v>1521</v>
      </c>
      <c r="S381" s="88" t="s">
        <v>1521</v>
      </c>
      <c r="T381" s="88" t="s">
        <v>1521</v>
      </c>
      <c r="U381" s="88" t="s">
        <v>1521</v>
      </c>
      <c r="V381" s="88" t="s">
        <v>1521</v>
      </c>
      <c r="W381" s="88" t="s">
        <v>1521</v>
      </c>
      <c r="X381" s="88" t="s">
        <v>1521</v>
      </c>
      <c r="Y381" s="88" t="s">
        <v>1521</v>
      </c>
      <c r="Z381" s="88" t="s">
        <v>1521</v>
      </c>
      <c r="AA381" s="88" t="s">
        <v>1521</v>
      </c>
      <c r="AB381" s="88" t="s">
        <v>1521</v>
      </c>
      <c r="AC381" s="88" t="s">
        <v>1521</v>
      </c>
      <c r="AD381" s="89"/>
      <c r="AE381" s="18" t="s">
        <v>638</v>
      </c>
      <c r="AF381" s="24"/>
      <c r="AG381" s="24"/>
      <c r="AH381" s="24"/>
      <c r="AI381" s="24"/>
      <c r="AJ381" s="24"/>
      <c r="AK381" s="24"/>
      <c r="AL381" s="24"/>
      <c r="AM381" s="24"/>
    </row>
    <row r="382">
      <c r="A382" s="11"/>
      <c r="B382" s="12" t="s">
        <v>34</v>
      </c>
      <c r="C382" s="12" t="s">
        <v>65</v>
      </c>
      <c r="D382" s="12" t="s">
        <v>83</v>
      </c>
      <c r="E382" s="12" t="s">
        <v>632</v>
      </c>
      <c r="F382" s="13" t="s">
        <v>633</v>
      </c>
      <c r="G382" s="12" t="s">
        <v>68</v>
      </c>
      <c r="H382" s="12" t="s">
        <v>634</v>
      </c>
      <c r="I382" s="12" t="s">
        <v>635</v>
      </c>
      <c r="J382" s="17" t="s">
        <v>112</v>
      </c>
      <c r="K382" s="17" t="s">
        <v>113</v>
      </c>
      <c r="L382" s="100" t="s">
        <v>1836</v>
      </c>
      <c r="M382" s="20">
        <v>45847.0</v>
      </c>
      <c r="N382" s="17" t="s">
        <v>194</v>
      </c>
      <c r="O382" s="88" t="s">
        <v>1520</v>
      </c>
      <c r="P382" s="88" t="s">
        <v>1521</v>
      </c>
      <c r="Q382" s="88" t="s">
        <v>1521</v>
      </c>
      <c r="R382" s="88" t="s">
        <v>1521</v>
      </c>
      <c r="S382" s="88" t="s">
        <v>1521</v>
      </c>
      <c r="T382" s="88" t="s">
        <v>1521</v>
      </c>
      <c r="U382" s="88" t="s">
        <v>1521</v>
      </c>
      <c r="V382" s="88" t="s">
        <v>1521</v>
      </c>
      <c r="W382" s="88" t="s">
        <v>1521</v>
      </c>
      <c r="X382" s="88" t="s">
        <v>1521</v>
      </c>
      <c r="Y382" s="88" t="s">
        <v>1521</v>
      </c>
      <c r="Z382" s="88" t="s">
        <v>1521</v>
      </c>
      <c r="AA382" s="88" t="s">
        <v>1521</v>
      </c>
      <c r="AB382" s="88" t="s">
        <v>1521</v>
      </c>
      <c r="AC382" s="88" t="s">
        <v>1521</v>
      </c>
      <c r="AD382" s="89"/>
      <c r="AE382" s="18" t="s">
        <v>638</v>
      </c>
      <c r="AF382" s="24"/>
      <c r="AG382" s="24"/>
      <c r="AH382" s="24"/>
      <c r="AI382" s="24"/>
      <c r="AJ382" s="24"/>
      <c r="AK382" s="24"/>
      <c r="AL382" s="24"/>
      <c r="AM382" s="24"/>
    </row>
    <row r="383">
      <c r="A383" s="11"/>
      <c r="B383" s="12" t="s">
        <v>34</v>
      </c>
      <c r="C383" s="12" t="s">
        <v>65</v>
      </c>
      <c r="D383" s="12" t="s">
        <v>83</v>
      </c>
      <c r="E383" s="12" t="s">
        <v>632</v>
      </c>
      <c r="F383" s="13" t="s">
        <v>633</v>
      </c>
      <c r="G383" s="12" t="s">
        <v>68</v>
      </c>
      <c r="H383" s="12" t="s">
        <v>634</v>
      </c>
      <c r="I383" s="12" t="s">
        <v>635</v>
      </c>
      <c r="J383" s="17" t="s">
        <v>112</v>
      </c>
      <c r="K383" s="17" t="s">
        <v>113</v>
      </c>
      <c r="L383" s="100" t="s">
        <v>1837</v>
      </c>
      <c r="M383" s="20">
        <v>45847.0</v>
      </c>
      <c r="N383" s="17" t="s">
        <v>194</v>
      </c>
      <c r="O383" s="88" t="s">
        <v>1520</v>
      </c>
      <c r="P383" s="88" t="s">
        <v>1521</v>
      </c>
      <c r="Q383" s="88" t="s">
        <v>1521</v>
      </c>
      <c r="R383" s="88" t="s">
        <v>1521</v>
      </c>
      <c r="S383" s="88" t="s">
        <v>1521</v>
      </c>
      <c r="T383" s="88" t="s">
        <v>1521</v>
      </c>
      <c r="U383" s="88" t="s">
        <v>1521</v>
      </c>
      <c r="V383" s="88" t="s">
        <v>1521</v>
      </c>
      <c r="W383" s="88" t="s">
        <v>1521</v>
      </c>
      <c r="X383" s="88" t="s">
        <v>1521</v>
      </c>
      <c r="Y383" s="88" t="s">
        <v>1521</v>
      </c>
      <c r="Z383" s="88" t="s">
        <v>1521</v>
      </c>
      <c r="AA383" s="88" t="s">
        <v>1521</v>
      </c>
      <c r="AB383" s="88" t="s">
        <v>1521</v>
      </c>
      <c r="AC383" s="88" t="s">
        <v>1521</v>
      </c>
      <c r="AD383" s="89"/>
      <c r="AE383" s="18" t="s">
        <v>638</v>
      </c>
      <c r="AF383" s="24"/>
      <c r="AG383" s="24"/>
      <c r="AH383" s="24"/>
      <c r="AI383" s="24"/>
      <c r="AJ383" s="24"/>
      <c r="AK383" s="24"/>
      <c r="AL383" s="24"/>
      <c r="AM383" s="24"/>
    </row>
    <row r="384">
      <c r="A384" s="11"/>
      <c r="B384" s="12" t="s">
        <v>34</v>
      </c>
      <c r="C384" s="12" t="s">
        <v>65</v>
      </c>
      <c r="D384" s="12" t="s">
        <v>83</v>
      </c>
      <c r="E384" s="12" t="s">
        <v>632</v>
      </c>
      <c r="F384" s="13" t="s">
        <v>633</v>
      </c>
      <c r="G384" s="12" t="s">
        <v>68</v>
      </c>
      <c r="H384" s="12" t="s">
        <v>634</v>
      </c>
      <c r="I384" s="12" t="s">
        <v>635</v>
      </c>
      <c r="J384" s="17" t="s">
        <v>112</v>
      </c>
      <c r="K384" s="17" t="s">
        <v>113</v>
      </c>
      <c r="L384" s="100" t="s">
        <v>1838</v>
      </c>
      <c r="M384" s="20">
        <v>45847.0</v>
      </c>
      <c r="N384" s="17" t="s">
        <v>194</v>
      </c>
      <c r="O384" s="88" t="s">
        <v>1520</v>
      </c>
      <c r="P384" s="88" t="s">
        <v>1520</v>
      </c>
      <c r="Q384" s="88" t="s">
        <v>1519</v>
      </c>
      <c r="R384" s="88" t="s">
        <v>1520</v>
      </c>
      <c r="S384" s="88" t="s">
        <v>1520</v>
      </c>
      <c r="T384" s="88" t="s">
        <v>1519</v>
      </c>
      <c r="U384" s="88" t="s">
        <v>1520</v>
      </c>
      <c r="V384" s="88" t="s">
        <v>1520</v>
      </c>
      <c r="W384" s="88" t="s">
        <v>1520</v>
      </c>
      <c r="X384" s="88" t="s">
        <v>1520</v>
      </c>
      <c r="Y384" s="88" t="s">
        <v>1520</v>
      </c>
      <c r="Z384" s="88" t="s">
        <v>1520</v>
      </c>
      <c r="AA384" s="88" t="s">
        <v>1520</v>
      </c>
      <c r="AB384" s="88" t="s">
        <v>1520</v>
      </c>
      <c r="AC384" s="88" t="s">
        <v>1520</v>
      </c>
      <c r="AD384" s="89"/>
      <c r="AE384" s="18" t="s">
        <v>638</v>
      </c>
      <c r="AF384" s="24"/>
      <c r="AG384" s="24"/>
      <c r="AH384" s="24"/>
      <c r="AI384" s="24"/>
      <c r="AJ384" s="24"/>
      <c r="AK384" s="24"/>
      <c r="AL384" s="24"/>
      <c r="AM384" s="24"/>
    </row>
    <row r="385">
      <c r="A385" s="11"/>
      <c r="B385" s="12" t="s">
        <v>34</v>
      </c>
      <c r="C385" s="12" t="s">
        <v>65</v>
      </c>
      <c r="D385" s="12" t="s">
        <v>83</v>
      </c>
      <c r="E385" s="12" t="s">
        <v>632</v>
      </c>
      <c r="F385" s="13" t="s">
        <v>633</v>
      </c>
      <c r="G385" s="12" t="s">
        <v>68</v>
      </c>
      <c r="H385" s="12" t="s">
        <v>634</v>
      </c>
      <c r="I385" s="12" t="s">
        <v>635</v>
      </c>
      <c r="J385" s="17" t="s">
        <v>112</v>
      </c>
      <c r="K385" s="17" t="s">
        <v>113</v>
      </c>
      <c r="L385" s="100" t="s">
        <v>1839</v>
      </c>
      <c r="M385" s="20">
        <v>45847.0</v>
      </c>
      <c r="N385" s="17" t="s">
        <v>194</v>
      </c>
      <c r="O385" s="88" t="s">
        <v>1521</v>
      </c>
      <c r="P385" s="88" t="s">
        <v>1520</v>
      </c>
      <c r="Q385" s="88" t="s">
        <v>1521</v>
      </c>
      <c r="R385" s="88" t="s">
        <v>1521</v>
      </c>
      <c r="S385" s="88" t="s">
        <v>1521</v>
      </c>
      <c r="T385" s="88" t="s">
        <v>1521</v>
      </c>
      <c r="U385" s="88" t="s">
        <v>1521</v>
      </c>
      <c r="V385" s="88" t="s">
        <v>1521</v>
      </c>
      <c r="W385" s="88" t="s">
        <v>1521</v>
      </c>
      <c r="X385" s="88" t="s">
        <v>1521</v>
      </c>
      <c r="Y385" s="88" t="s">
        <v>1521</v>
      </c>
      <c r="Z385" s="88" t="s">
        <v>1521</v>
      </c>
      <c r="AA385" s="88" t="s">
        <v>1521</v>
      </c>
      <c r="AB385" s="88" t="s">
        <v>1521</v>
      </c>
      <c r="AC385" s="88" t="s">
        <v>1521</v>
      </c>
      <c r="AD385" s="89"/>
      <c r="AE385" s="18" t="s">
        <v>638</v>
      </c>
      <c r="AF385" s="24"/>
      <c r="AG385" s="24"/>
      <c r="AH385" s="24"/>
      <c r="AI385" s="24"/>
      <c r="AJ385" s="24"/>
      <c r="AK385" s="24"/>
      <c r="AL385" s="24"/>
      <c r="AM385" s="24"/>
    </row>
    <row r="386">
      <c r="A386" s="11"/>
      <c r="B386" s="12" t="s">
        <v>34</v>
      </c>
      <c r="C386" s="12" t="s">
        <v>65</v>
      </c>
      <c r="D386" s="12" t="s">
        <v>83</v>
      </c>
      <c r="E386" s="12" t="s">
        <v>632</v>
      </c>
      <c r="F386" s="13" t="s">
        <v>633</v>
      </c>
      <c r="G386" s="12" t="s">
        <v>68</v>
      </c>
      <c r="H386" s="12" t="s">
        <v>634</v>
      </c>
      <c r="I386" s="12" t="s">
        <v>635</v>
      </c>
      <c r="J386" s="17" t="s">
        <v>112</v>
      </c>
      <c r="K386" s="17" t="s">
        <v>113</v>
      </c>
      <c r="L386" s="100" t="s">
        <v>1840</v>
      </c>
      <c r="M386" s="20">
        <v>45847.0</v>
      </c>
      <c r="N386" s="17" t="s">
        <v>194</v>
      </c>
      <c r="O386" s="88" t="s">
        <v>1520</v>
      </c>
      <c r="P386" s="88" t="s">
        <v>1521</v>
      </c>
      <c r="Q386" s="88" t="s">
        <v>1521</v>
      </c>
      <c r="R386" s="88" t="s">
        <v>1521</v>
      </c>
      <c r="S386" s="88" t="s">
        <v>1521</v>
      </c>
      <c r="T386" s="88" t="s">
        <v>1521</v>
      </c>
      <c r="U386" s="88" t="s">
        <v>1521</v>
      </c>
      <c r="V386" s="88" t="s">
        <v>1521</v>
      </c>
      <c r="W386" s="88" t="s">
        <v>1521</v>
      </c>
      <c r="X386" s="88" t="s">
        <v>1521</v>
      </c>
      <c r="Y386" s="88" t="s">
        <v>1521</v>
      </c>
      <c r="Z386" s="88" t="s">
        <v>1521</v>
      </c>
      <c r="AA386" s="88" t="s">
        <v>1521</v>
      </c>
      <c r="AB386" s="88" t="s">
        <v>1521</v>
      </c>
      <c r="AC386" s="88" t="s">
        <v>1521</v>
      </c>
      <c r="AD386" s="89"/>
      <c r="AE386" s="18" t="s">
        <v>638</v>
      </c>
      <c r="AF386" s="24"/>
      <c r="AG386" s="24"/>
      <c r="AH386" s="24"/>
      <c r="AI386" s="24"/>
      <c r="AJ386" s="24"/>
      <c r="AK386" s="24"/>
      <c r="AL386" s="24"/>
      <c r="AM386" s="24"/>
    </row>
    <row r="387">
      <c r="A387" s="11"/>
      <c r="B387" s="12" t="s">
        <v>34</v>
      </c>
      <c r="C387" s="12" t="s">
        <v>65</v>
      </c>
      <c r="D387" s="12" t="s">
        <v>83</v>
      </c>
      <c r="E387" s="12" t="s">
        <v>632</v>
      </c>
      <c r="F387" s="13" t="s">
        <v>633</v>
      </c>
      <c r="G387" s="12" t="s">
        <v>68</v>
      </c>
      <c r="H387" s="12" t="s">
        <v>634</v>
      </c>
      <c r="I387" s="12" t="s">
        <v>635</v>
      </c>
      <c r="J387" s="17" t="s">
        <v>112</v>
      </c>
      <c r="K387" s="17" t="s">
        <v>113</v>
      </c>
      <c r="L387" s="100" t="s">
        <v>1841</v>
      </c>
      <c r="M387" s="20">
        <v>45847.0</v>
      </c>
      <c r="N387" s="17" t="s">
        <v>194</v>
      </c>
      <c r="O387" s="88" t="s">
        <v>1521</v>
      </c>
      <c r="P387" s="88" t="s">
        <v>1521</v>
      </c>
      <c r="Q387" s="88" t="s">
        <v>1520</v>
      </c>
      <c r="R387" s="88" t="s">
        <v>1521</v>
      </c>
      <c r="S387" s="88" t="s">
        <v>1521</v>
      </c>
      <c r="T387" s="88" t="s">
        <v>1521</v>
      </c>
      <c r="U387" s="88" t="s">
        <v>1521</v>
      </c>
      <c r="V387" s="88" t="s">
        <v>1521</v>
      </c>
      <c r="W387" s="88" t="s">
        <v>1521</v>
      </c>
      <c r="X387" s="88" t="s">
        <v>1521</v>
      </c>
      <c r="Y387" s="88" t="s">
        <v>1521</v>
      </c>
      <c r="Z387" s="88" t="s">
        <v>1521</v>
      </c>
      <c r="AA387" s="88" t="s">
        <v>1521</v>
      </c>
      <c r="AB387" s="88" t="s">
        <v>1521</v>
      </c>
      <c r="AC387" s="88" t="s">
        <v>1521</v>
      </c>
      <c r="AD387" s="89"/>
      <c r="AE387" s="18" t="s">
        <v>638</v>
      </c>
      <c r="AF387" s="24"/>
      <c r="AG387" s="24"/>
      <c r="AH387" s="24"/>
      <c r="AI387" s="24"/>
      <c r="AJ387" s="24"/>
      <c r="AK387" s="24"/>
      <c r="AL387" s="24"/>
      <c r="AM387" s="24"/>
    </row>
    <row r="388">
      <c r="A388" s="11"/>
      <c r="B388" s="12" t="s">
        <v>34</v>
      </c>
      <c r="C388" s="12" t="s">
        <v>65</v>
      </c>
      <c r="D388" s="12" t="s">
        <v>83</v>
      </c>
      <c r="E388" s="12" t="s">
        <v>632</v>
      </c>
      <c r="F388" s="13" t="s">
        <v>633</v>
      </c>
      <c r="G388" s="12" t="s">
        <v>68</v>
      </c>
      <c r="H388" s="12" t="s">
        <v>634</v>
      </c>
      <c r="I388" s="12" t="s">
        <v>635</v>
      </c>
      <c r="J388" s="17" t="s">
        <v>112</v>
      </c>
      <c r="K388" s="17" t="s">
        <v>113</v>
      </c>
      <c r="L388" s="100" t="s">
        <v>1842</v>
      </c>
      <c r="M388" s="20">
        <v>45847.0</v>
      </c>
      <c r="N388" s="17" t="s">
        <v>194</v>
      </c>
      <c r="O388" s="88" t="s">
        <v>1520</v>
      </c>
      <c r="P388" s="88" t="s">
        <v>1521</v>
      </c>
      <c r="Q388" s="88" t="s">
        <v>1521</v>
      </c>
      <c r="R388" s="88" t="s">
        <v>1521</v>
      </c>
      <c r="S388" s="88" t="s">
        <v>1521</v>
      </c>
      <c r="T388" s="88" t="s">
        <v>1521</v>
      </c>
      <c r="U388" s="88" t="s">
        <v>1521</v>
      </c>
      <c r="V388" s="88" t="s">
        <v>1521</v>
      </c>
      <c r="W388" s="88" t="s">
        <v>1521</v>
      </c>
      <c r="X388" s="88" t="s">
        <v>1521</v>
      </c>
      <c r="Y388" s="88" t="s">
        <v>1521</v>
      </c>
      <c r="Z388" s="88" t="s">
        <v>1521</v>
      </c>
      <c r="AA388" s="88" t="s">
        <v>1521</v>
      </c>
      <c r="AB388" s="88" t="s">
        <v>1521</v>
      </c>
      <c r="AC388" s="88" t="s">
        <v>1521</v>
      </c>
      <c r="AD388" s="89"/>
      <c r="AE388" s="18" t="s">
        <v>638</v>
      </c>
      <c r="AF388" s="24"/>
      <c r="AG388" s="24"/>
      <c r="AH388" s="24"/>
      <c r="AI388" s="24"/>
      <c r="AJ388" s="24"/>
      <c r="AK388" s="24"/>
      <c r="AL388" s="24"/>
      <c r="AM388" s="24"/>
    </row>
    <row r="389">
      <c r="A389" s="11"/>
      <c r="B389" s="12" t="s">
        <v>34</v>
      </c>
      <c r="C389" s="12" t="s">
        <v>65</v>
      </c>
      <c r="D389" s="12" t="s">
        <v>83</v>
      </c>
      <c r="E389" s="12" t="s">
        <v>632</v>
      </c>
      <c r="F389" s="13" t="s">
        <v>633</v>
      </c>
      <c r="G389" s="12" t="s">
        <v>68</v>
      </c>
      <c r="H389" s="12" t="s">
        <v>634</v>
      </c>
      <c r="I389" s="12" t="s">
        <v>635</v>
      </c>
      <c r="J389" s="17" t="s">
        <v>112</v>
      </c>
      <c r="K389" s="17" t="s">
        <v>113</v>
      </c>
      <c r="L389" s="100" t="s">
        <v>1843</v>
      </c>
      <c r="M389" s="20">
        <v>45847.0</v>
      </c>
      <c r="N389" s="17" t="s">
        <v>194</v>
      </c>
      <c r="O389" s="88" t="s">
        <v>1520</v>
      </c>
      <c r="P389" s="88" t="s">
        <v>1521</v>
      </c>
      <c r="Q389" s="88" t="s">
        <v>1520</v>
      </c>
      <c r="R389" s="88" t="s">
        <v>1521</v>
      </c>
      <c r="S389" s="88" t="s">
        <v>1521</v>
      </c>
      <c r="T389" s="88" t="s">
        <v>1521</v>
      </c>
      <c r="U389" s="88" t="s">
        <v>1521</v>
      </c>
      <c r="V389" s="88" t="s">
        <v>1521</v>
      </c>
      <c r="W389" s="88" t="s">
        <v>1521</v>
      </c>
      <c r="X389" s="88" t="s">
        <v>1521</v>
      </c>
      <c r="Y389" s="88" t="s">
        <v>1521</v>
      </c>
      <c r="Z389" s="88" t="s">
        <v>1521</v>
      </c>
      <c r="AA389" s="88" t="s">
        <v>1521</v>
      </c>
      <c r="AB389" s="88" t="s">
        <v>1521</v>
      </c>
      <c r="AC389" s="88" t="s">
        <v>1521</v>
      </c>
      <c r="AD389" s="89"/>
      <c r="AE389" s="18" t="s">
        <v>638</v>
      </c>
      <c r="AF389" s="24"/>
      <c r="AG389" s="24"/>
      <c r="AH389" s="24"/>
      <c r="AI389" s="24"/>
      <c r="AJ389" s="24"/>
      <c r="AK389" s="24"/>
      <c r="AL389" s="24"/>
      <c r="AM389" s="24"/>
    </row>
    <row r="390">
      <c r="A390" s="11"/>
      <c r="B390" s="12" t="s">
        <v>34</v>
      </c>
      <c r="C390" s="12" t="s">
        <v>65</v>
      </c>
      <c r="D390" s="12" t="s">
        <v>83</v>
      </c>
      <c r="E390" s="12" t="s">
        <v>632</v>
      </c>
      <c r="F390" s="13" t="s">
        <v>633</v>
      </c>
      <c r="G390" s="12" t="s">
        <v>68</v>
      </c>
      <c r="H390" s="12" t="s">
        <v>634</v>
      </c>
      <c r="I390" s="12" t="s">
        <v>635</v>
      </c>
      <c r="J390" s="17" t="s">
        <v>112</v>
      </c>
      <c r="K390" s="17" t="s">
        <v>113</v>
      </c>
      <c r="L390" s="100" t="s">
        <v>1844</v>
      </c>
      <c r="M390" s="20">
        <v>45847.0</v>
      </c>
      <c r="N390" s="17" t="s">
        <v>194</v>
      </c>
      <c r="O390" s="88" t="s">
        <v>1521</v>
      </c>
      <c r="P390" s="88" t="s">
        <v>1521</v>
      </c>
      <c r="Q390" s="88" t="s">
        <v>1521</v>
      </c>
      <c r="R390" s="88" t="s">
        <v>1521</v>
      </c>
      <c r="S390" s="88" t="s">
        <v>1521</v>
      </c>
      <c r="T390" s="88" t="s">
        <v>1521</v>
      </c>
      <c r="U390" s="88" t="s">
        <v>1521</v>
      </c>
      <c r="V390" s="88" t="s">
        <v>1521</v>
      </c>
      <c r="W390" s="88" t="s">
        <v>1521</v>
      </c>
      <c r="X390" s="88" t="s">
        <v>1521</v>
      </c>
      <c r="Y390" s="88" t="s">
        <v>1521</v>
      </c>
      <c r="Z390" s="88" t="s">
        <v>1521</v>
      </c>
      <c r="AA390" s="88" t="s">
        <v>1521</v>
      </c>
      <c r="AB390" s="88" t="s">
        <v>1521</v>
      </c>
      <c r="AC390" s="88" t="s">
        <v>1521</v>
      </c>
      <c r="AD390" s="89"/>
      <c r="AE390" s="18" t="s">
        <v>638</v>
      </c>
      <c r="AF390" s="24"/>
      <c r="AG390" s="24"/>
      <c r="AH390" s="24"/>
      <c r="AI390" s="24"/>
      <c r="AJ390" s="24"/>
      <c r="AK390" s="24"/>
      <c r="AL390" s="24"/>
      <c r="AM390" s="24"/>
    </row>
    <row r="391">
      <c r="A391" s="11"/>
      <c r="B391" s="12" t="s">
        <v>34</v>
      </c>
      <c r="C391" s="12" t="s">
        <v>65</v>
      </c>
      <c r="D391" s="12" t="s">
        <v>83</v>
      </c>
      <c r="E391" s="12" t="s">
        <v>632</v>
      </c>
      <c r="F391" s="13" t="s">
        <v>633</v>
      </c>
      <c r="G391" s="12" t="s">
        <v>68</v>
      </c>
      <c r="H391" s="12" t="s">
        <v>634</v>
      </c>
      <c r="I391" s="12" t="s">
        <v>635</v>
      </c>
      <c r="J391" s="17" t="s">
        <v>112</v>
      </c>
      <c r="K391" s="17" t="s">
        <v>113</v>
      </c>
      <c r="L391" s="100" t="s">
        <v>1845</v>
      </c>
      <c r="M391" s="20">
        <v>45847.0</v>
      </c>
      <c r="N391" s="17" t="s">
        <v>194</v>
      </c>
      <c r="O391" s="88" t="s">
        <v>1520</v>
      </c>
      <c r="P391" s="88" t="s">
        <v>1521</v>
      </c>
      <c r="Q391" s="88" t="s">
        <v>1521</v>
      </c>
      <c r="R391" s="88" t="s">
        <v>1521</v>
      </c>
      <c r="S391" s="88" t="s">
        <v>1521</v>
      </c>
      <c r="T391" s="88" t="s">
        <v>1521</v>
      </c>
      <c r="U391" s="88" t="s">
        <v>1521</v>
      </c>
      <c r="V391" s="88" t="s">
        <v>1521</v>
      </c>
      <c r="W391" s="88" t="s">
        <v>1521</v>
      </c>
      <c r="X391" s="88" t="s">
        <v>1521</v>
      </c>
      <c r="Y391" s="88" t="s">
        <v>1521</v>
      </c>
      <c r="Z391" s="88" t="s">
        <v>1521</v>
      </c>
      <c r="AA391" s="88" t="s">
        <v>1521</v>
      </c>
      <c r="AB391" s="88" t="s">
        <v>1521</v>
      </c>
      <c r="AC391" s="88" t="s">
        <v>1521</v>
      </c>
      <c r="AD391" s="89"/>
      <c r="AE391" s="18" t="s">
        <v>638</v>
      </c>
      <c r="AF391" s="24"/>
      <c r="AG391" s="24"/>
      <c r="AH391" s="24"/>
      <c r="AI391" s="24"/>
      <c r="AJ391" s="24"/>
      <c r="AK391" s="24"/>
      <c r="AL391" s="24"/>
      <c r="AM391" s="24"/>
    </row>
    <row r="392">
      <c r="A392" s="11"/>
      <c r="B392" s="12" t="s">
        <v>34</v>
      </c>
      <c r="C392" s="12" t="s">
        <v>65</v>
      </c>
      <c r="D392" s="12" t="s">
        <v>83</v>
      </c>
      <c r="E392" s="12" t="s">
        <v>632</v>
      </c>
      <c r="F392" s="13" t="s">
        <v>633</v>
      </c>
      <c r="G392" s="12" t="s">
        <v>68</v>
      </c>
      <c r="H392" s="12" t="s">
        <v>634</v>
      </c>
      <c r="I392" s="12" t="s">
        <v>635</v>
      </c>
      <c r="J392" s="17" t="s">
        <v>112</v>
      </c>
      <c r="K392" s="17" t="s">
        <v>113</v>
      </c>
      <c r="L392" s="100" t="s">
        <v>1846</v>
      </c>
      <c r="M392" s="20">
        <v>45847.0</v>
      </c>
      <c r="N392" s="17" t="s">
        <v>194</v>
      </c>
      <c r="O392" s="88" t="s">
        <v>1520</v>
      </c>
      <c r="P392" s="88" t="s">
        <v>1521</v>
      </c>
      <c r="Q392" s="88" t="s">
        <v>1521</v>
      </c>
      <c r="R392" s="88" t="s">
        <v>1521</v>
      </c>
      <c r="S392" s="88" t="s">
        <v>1521</v>
      </c>
      <c r="T392" s="88" t="s">
        <v>1521</v>
      </c>
      <c r="U392" s="88" t="s">
        <v>1521</v>
      </c>
      <c r="V392" s="88" t="s">
        <v>1521</v>
      </c>
      <c r="W392" s="88" t="s">
        <v>1521</v>
      </c>
      <c r="X392" s="88" t="s">
        <v>1520</v>
      </c>
      <c r="Y392" s="88" t="s">
        <v>1521</v>
      </c>
      <c r="Z392" s="88" t="s">
        <v>1521</v>
      </c>
      <c r="AA392" s="88" t="s">
        <v>1521</v>
      </c>
      <c r="AB392" s="88" t="s">
        <v>1521</v>
      </c>
      <c r="AC392" s="88" t="s">
        <v>1521</v>
      </c>
      <c r="AD392" s="89"/>
      <c r="AE392" s="18" t="s">
        <v>638</v>
      </c>
      <c r="AF392" s="24"/>
      <c r="AG392" s="24"/>
      <c r="AH392" s="24"/>
      <c r="AI392" s="24"/>
      <c r="AJ392" s="24"/>
      <c r="AK392" s="24"/>
      <c r="AL392" s="24"/>
      <c r="AM392" s="24"/>
    </row>
    <row r="393">
      <c r="A393" s="11"/>
      <c r="B393" s="12" t="s">
        <v>34</v>
      </c>
      <c r="C393" s="12" t="s">
        <v>65</v>
      </c>
      <c r="D393" s="12" t="s">
        <v>83</v>
      </c>
      <c r="E393" s="12" t="s">
        <v>632</v>
      </c>
      <c r="F393" s="13" t="s">
        <v>633</v>
      </c>
      <c r="G393" s="12" t="s">
        <v>68</v>
      </c>
      <c r="H393" s="12" t="s">
        <v>634</v>
      </c>
      <c r="I393" s="12" t="s">
        <v>635</v>
      </c>
      <c r="J393" s="17" t="s">
        <v>112</v>
      </c>
      <c r="K393" s="17" t="s">
        <v>113</v>
      </c>
      <c r="L393" s="100" t="s">
        <v>1847</v>
      </c>
      <c r="M393" s="20">
        <v>45847.0</v>
      </c>
      <c r="N393" s="17" t="s">
        <v>194</v>
      </c>
      <c r="O393" s="88" t="s">
        <v>1520</v>
      </c>
      <c r="P393" s="88" t="s">
        <v>1521</v>
      </c>
      <c r="Q393" s="88" t="s">
        <v>1521</v>
      </c>
      <c r="R393" s="88" t="s">
        <v>1521</v>
      </c>
      <c r="S393" s="88" t="s">
        <v>1521</v>
      </c>
      <c r="T393" s="88" t="s">
        <v>1521</v>
      </c>
      <c r="U393" s="88" t="s">
        <v>1521</v>
      </c>
      <c r="V393" s="88" t="s">
        <v>1521</v>
      </c>
      <c r="W393" s="88" t="s">
        <v>1521</v>
      </c>
      <c r="X393" s="88" t="s">
        <v>1521</v>
      </c>
      <c r="Y393" s="88" t="s">
        <v>1521</v>
      </c>
      <c r="Z393" s="88" t="s">
        <v>1521</v>
      </c>
      <c r="AA393" s="88" t="s">
        <v>1521</v>
      </c>
      <c r="AB393" s="88" t="s">
        <v>1521</v>
      </c>
      <c r="AC393" s="88" t="s">
        <v>1521</v>
      </c>
      <c r="AD393" s="89"/>
      <c r="AE393" s="18" t="s">
        <v>638</v>
      </c>
      <c r="AF393" s="24"/>
      <c r="AG393" s="24"/>
      <c r="AH393" s="24"/>
      <c r="AI393" s="24"/>
      <c r="AJ393" s="24"/>
      <c r="AK393" s="24"/>
      <c r="AL393" s="24"/>
      <c r="AM393" s="24"/>
    </row>
    <row r="394">
      <c r="A394" s="11"/>
      <c r="B394" s="12" t="s">
        <v>34</v>
      </c>
      <c r="C394" s="12" t="s">
        <v>65</v>
      </c>
      <c r="D394" s="12" t="s">
        <v>83</v>
      </c>
      <c r="E394" s="12" t="s">
        <v>632</v>
      </c>
      <c r="F394" s="13" t="s">
        <v>633</v>
      </c>
      <c r="G394" s="12" t="s">
        <v>68</v>
      </c>
      <c r="H394" s="12" t="s">
        <v>634</v>
      </c>
      <c r="I394" s="12" t="s">
        <v>635</v>
      </c>
      <c r="J394" s="17" t="s">
        <v>112</v>
      </c>
      <c r="K394" s="17" t="s">
        <v>113</v>
      </c>
      <c r="L394" s="100" t="s">
        <v>1848</v>
      </c>
      <c r="M394" s="20">
        <v>45847.0</v>
      </c>
      <c r="N394" s="17" t="s">
        <v>194</v>
      </c>
      <c r="O394" s="88" t="s">
        <v>1521</v>
      </c>
      <c r="P394" s="88" t="s">
        <v>1521</v>
      </c>
      <c r="Q394" s="88" t="s">
        <v>1521</v>
      </c>
      <c r="R394" s="88" t="s">
        <v>1521</v>
      </c>
      <c r="S394" s="88" t="s">
        <v>1521</v>
      </c>
      <c r="T394" s="88" t="s">
        <v>1521</v>
      </c>
      <c r="U394" s="88" t="s">
        <v>1521</v>
      </c>
      <c r="V394" s="88" t="s">
        <v>1521</v>
      </c>
      <c r="W394" s="88" t="s">
        <v>1521</v>
      </c>
      <c r="X394" s="88" t="s">
        <v>1521</v>
      </c>
      <c r="Y394" s="88" t="s">
        <v>1521</v>
      </c>
      <c r="Z394" s="88" t="s">
        <v>1521</v>
      </c>
      <c r="AA394" s="88" t="s">
        <v>1521</v>
      </c>
      <c r="AB394" s="88" t="s">
        <v>1521</v>
      </c>
      <c r="AC394" s="88" t="s">
        <v>1521</v>
      </c>
      <c r="AD394" s="89"/>
      <c r="AE394" s="18" t="s">
        <v>638</v>
      </c>
      <c r="AF394" s="24"/>
      <c r="AG394" s="24"/>
      <c r="AH394" s="24"/>
      <c r="AI394" s="24"/>
      <c r="AJ394" s="24"/>
      <c r="AK394" s="24"/>
      <c r="AL394" s="24"/>
      <c r="AM394" s="24"/>
    </row>
    <row r="395">
      <c r="A395" s="11"/>
      <c r="B395" s="12" t="s">
        <v>34</v>
      </c>
      <c r="C395" s="12" t="s">
        <v>65</v>
      </c>
      <c r="D395" s="12" t="s">
        <v>83</v>
      </c>
      <c r="E395" s="12" t="s">
        <v>632</v>
      </c>
      <c r="F395" s="13" t="s">
        <v>633</v>
      </c>
      <c r="G395" s="12" t="s">
        <v>68</v>
      </c>
      <c r="H395" s="12" t="s">
        <v>634</v>
      </c>
      <c r="I395" s="12" t="s">
        <v>635</v>
      </c>
      <c r="J395" s="17" t="s">
        <v>108</v>
      </c>
      <c r="K395" s="17" t="s">
        <v>109</v>
      </c>
      <c r="L395" s="100" t="s">
        <v>1849</v>
      </c>
      <c r="M395" s="20">
        <v>45847.0</v>
      </c>
      <c r="N395" s="17" t="s">
        <v>194</v>
      </c>
      <c r="O395" s="88" t="s">
        <v>1521</v>
      </c>
      <c r="P395" s="88" t="s">
        <v>1521</v>
      </c>
      <c r="Q395" s="88" t="s">
        <v>1521</v>
      </c>
      <c r="R395" s="88" t="s">
        <v>1521</v>
      </c>
      <c r="S395" s="88" t="s">
        <v>1521</v>
      </c>
      <c r="T395" s="88" t="s">
        <v>1521</v>
      </c>
      <c r="U395" s="88" t="s">
        <v>1521</v>
      </c>
      <c r="V395" s="88" t="s">
        <v>1521</v>
      </c>
      <c r="W395" s="88" t="s">
        <v>1521</v>
      </c>
      <c r="X395" s="88" t="s">
        <v>1521</v>
      </c>
      <c r="Y395" s="88" t="s">
        <v>1520</v>
      </c>
      <c r="Z395" s="88" t="s">
        <v>1521</v>
      </c>
      <c r="AA395" s="88" t="s">
        <v>1521</v>
      </c>
      <c r="AB395" s="88" t="s">
        <v>1521</v>
      </c>
      <c r="AC395" s="88" t="s">
        <v>1521</v>
      </c>
      <c r="AD395" s="89"/>
      <c r="AE395" s="18" t="s">
        <v>638</v>
      </c>
      <c r="AF395" s="24"/>
      <c r="AG395" s="24"/>
      <c r="AH395" s="24"/>
      <c r="AI395" s="24"/>
      <c r="AJ395" s="24"/>
      <c r="AK395" s="24"/>
      <c r="AL395" s="24"/>
      <c r="AM395" s="24"/>
    </row>
    <row r="396">
      <c r="A396" s="11"/>
      <c r="B396" s="12" t="s">
        <v>34</v>
      </c>
      <c r="C396" s="12" t="s">
        <v>65</v>
      </c>
      <c r="D396" s="12" t="s">
        <v>83</v>
      </c>
      <c r="E396" s="12" t="s">
        <v>632</v>
      </c>
      <c r="F396" s="13" t="s">
        <v>633</v>
      </c>
      <c r="G396" s="12" t="s">
        <v>68</v>
      </c>
      <c r="H396" s="12" t="s">
        <v>634</v>
      </c>
      <c r="I396" s="12" t="s">
        <v>635</v>
      </c>
      <c r="J396" s="17" t="s">
        <v>108</v>
      </c>
      <c r="K396" s="17" t="s">
        <v>109</v>
      </c>
      <c r="L396" s="100" t="s">
        <v>1850</v>
      </c>
      <c r="M396" s="20">
        <v>45847.0</v>
      </c>
      <c r="N396" s="17" t="s">
        <v>194</v>
      </c>
      <c r="O396" s="88" t="s">
        <v>1520</v>
      </c>
      <c r="P396" s="88" t="s">
        <v>1520</v>
      </c>
      <c r="Q396" s="88" t="s">
        <v>1520</v>
      </c>
      <c r="R396" s="88" t="s">
        <v>1521</v>
      </c>
      <c r="S396" s="88" t="s">
        <v>1521</v>
      </c>
      <c r="T396" s="88" t="s">
        <v>1521</v>
      </c>
      <c r="U396" s="88" t="s">
        <v>1521</v>
      </c>
      <c r="V396" s="88" t="s">
        <v>1521</v>
      </c>
      <c r="W396" s="88" t="s">
        <v>1521</v>
      </c>
      <c r="X396" s="88" t="s">
        <v>1521</v>
      </c>
      <c r="Y396" s="88" t="s">
        <v>1521</v>
      </c>
      <c r="Z396" s="88" t="s">
        <v>1521</v>
      </c>
      <c r="AA396" s="88" t="s">
        <v>1521</v>
      </c>
      <c r="AB396" s="88" t="s">
        <v>1521</v>
      </c>
      <c r="AC396" s="88" t="s">
        <v>1521</v>
      </c>
      <c r="AD396" s="89"/>
      <c r="AE396" s="18" t="s">
        <v>638</v>
      </c>
      <c r="AF396" s="24"/>
      <c r="AG396" s="24"/>
      <c r="AH396" s="24"/>
      <c r="AI396" s="24"/>
      <c r="AJ396" s="24"/>
      <c r="AK396" s="24"/>
      <c r="AL396" s="24"/>
      <c r="AM396" s="24"/>
    </row>
    <row r="397">
      <c r="A397" s="11"/>
      <c r="B397" s="12" t="s">
        <v>34</v>
      </c>
      <c r="C397" s="12" t="s">
        <v>65</v>
      </c>
      <c r="D397" s="12" t="s">
        <v>83</v>
      </c>
      <c r="E397" s="12" t="s">
        <v>632</v>
      </c>
      <c r="F397" s="13" t="s">
        <v>633</v>
      </c>
      <c r="G397" s="12" t="s">
        <v>68</v>
      </c>
      <c r="H397" s="12" t="s">
        <v>634</v>
      </c>
      <c r="I397" s="12" t="s">
        <v>635</v>
      </c>
      <c r="J397" s="17" t="s">
        <v>108</v>
      </c>
      <c r="K397" s="17" t="s">
        <v>109</v>
      </c>
      <c r="L397" s="100" t="s">
        <v>1851</v>
      </c>
      <c r="M397" s="20">
        <v>45847.0</v>
      </c>
      <c r="N397" s="17" t="s">
        <v>194</v>
      </c>
      <c r="O397" s="88" t="s">
        <v>1520</v>
      </c>
      <c r="P397" s="88" t="s">
        <v>1520</v>
      </c>
      <c r="Q397" s="88" t="s">
        <v>1519</v>
      </c>
      <c r="R397" s="88" t="s">
        <v>1519</v>
      </c>
      <c r="S397" s="88" t="s">
        <v>1520</v>
      </c>
      <c r="T397" s="88" t="s">
        <v>1519</v>
      </c>
      <c r="U397" s="88" t="s">
        <v>1520</v>
      </c>
      <c r="V397" s="88" t="s">
        <v>1520</v>
      </c>
      <c r="W397" s="88" t="s">
        <v>1520</v>
      </c>
      <c r="X397" s="88" t="s">
        <v>1520</v>
      </c>
      <c r="Y397" s="88" t="s">
        <v>1520</v>
      </c>
      <c r="Z397" s="88" t="s">
        <v>1519</v>
      </c>
      <c r="AA397" s="88" t="s">
        <v>1520</v>
      </c>
      <c r="AB397" s="88" t="s">
        <v>1520</v>
      </c>
      <c r="AC397" s="88" t="s">
        <v>1520</v>
      </c>
      <c r="AD397" s="89"/>
      <c r="AE397" s="18" t="s">
        <v>638</v>
      </c>
      <c r="AF397" s="24"/>
      <c r="AG397" s="24"/>
      <c r="AH397" s="24"/>
      <c r="AI397" s="24"/>
      <c r="AJ397" s="24"/>
      <c r="AK397" s="24"/>
      <c r="AL397" s="24"/>
      <c r="AM397" s="24"/>
    </row>
    <row r="398">
      <c r="A398" s="11"/>
      <c r="B398" s="12" t="s">
        <v>34</v>
      </c>
      <c r="C398" s="12" t="s">
        <v>65</v>
      </c>
      <c r="D398" s="12" t="s">
        <v>83</v>
      </c>
      <c r="E398" s="12" t="s">
        <v>632</v>
      </c>
      <c r="F398" s="13" t="s">
        <v>633</v>
      </c>
      <c r="G398" s="12" t="s">
        <v>68</v>
      </c>
      <c r="H398" s="12" t="s">
        <v>634</v>
      </c>
      <c r="I398" s="12" t="s">
        <v>635</v>
      </c>
      <c r="J398" s="17" t="s">
        <v>108</v>
      </c>
      <c r="K398" s="17" t="s">
        <v>109</v>
      </c>
      <c r="L398" s="100" t="s">
        <v>1852</v>
      </c>
      <c r="M398" s="20">
        <v>45847.0</v>
      </c>
      <c r="N398" s="17" t="s">
        <v>194</v>
      </c>
      <c r="O398" s="88" t="s">
        <v>1521</v>
      </c>
      <c r="P398" s="88" t="s">
        <v>1521</v>
      </c>
      <c r="Q398" s="88" t="s">
        <v>1521</v>
      </c>
      <c r="R398" s="88" t="s">
        <v>1521</v>
      </c>
      <c r="S398" s="88" t="s">
        <v>1521</v>
      </c>
      <c r="T398" s="88" t="s">
        <v>1521</v>
      </c>
      <c r="U398" s="88" t="s">
        <v>1521</v>
      </c>
      <c r="V398" s="88" t="s">
        <v>1521</v>
      </c>
      <c r="W398" s="88" t="s">
        <v>1521</v>
      </c>
      <c r="X398" s="88" t="s">
        <v>1521</v>
      </c>
      <c r="Y398" s="88" t="s">
        <v>1521</v>
      </c>
      <c r="Z398" s="88" t="s">
        <v>1521</v>
      </c>
      <c r="AA398" s="88" t="s">
        <v>1521</v>
      </c>
      <c r="AB398" s="88" t="s">
        <v>1521</v>
      </c>
      <c r="AC398" s="88" t="s">
        <v>1521</v>
      </c>
      <c r="AD398" s="90"/>
      <c r="AE398" s="18" t="s">
        <v>638</v>
      </c>
      <c r="AF398" s="18"/>
      <c r="AG398" s="18"/>
      <c r="AH398" s="18"/>
      <c r="AI398" s="18"/>
      <c r="AJ398" s="18"/>
      <c r="AK398" s="24"/>
      <c r="AL398" s="24"/>
      <c r="AM398" s="24"/>
    </row>
    <row r="399">
      <c r="A399" s="11"/>
      <c r="B399" s="12" t="s">
        <v>34</v>
      </c>
      <c r="C399" s="12" t="s">
        <v>65</v>
      </c>
      <c r="D399" s="12" t="s">
        <v>43</v>
      </c>
      <c r="E399" s="12" t="s">
        <v>717</v>
      </c>
      <c r="F399" s="13" t="s">
        <v>718</v>
      </c>
      <c r="G399" s="12" t="s">
        <v>68</v>
      </c>
      <c r="H399" s="12" t="s">
        <v>719</v>
      </c>
      <c r="I399" s="12" t="s">
        <v>720</v>
      </c>
      <c r="J399" s="17" t="s">
        <v>73</v>
      </c>
      <c r="K399" s="17" t="s">
        <v>74</v>
      </c>
      <c r="L399" s="100" t="s">
        <v>1853</v>
      </c>
      <c r="M399" s="20">
        <v>45853.0</v>
      </c>
      <c r="N399" s="17" t="s">
        <v>194</v>
      </c>
      <c r="O399" s="88" t="s">
        <v>1521</v>
      </c>
      <c r="P399" s="88" t="s">
        <v>1520</v>
      </c>
      <c r="Q399" s="88" t="s">
        <v>1521</v>
      </c>
      <c r="R399" s="88" t="s">
        <v>1521</v>
      </c>
      <c r="S399" s="88" t="s">
        <v>1521</v>
      </c>
      <c r="T399" s="88" t="s">
        <v>1521</v>
      </c>
      <c r="U399" s="88" t="s">
        <v>1520</v>
      </c>
      <c r="V399" s="88" t="s">
        <v>1521</v>
      </c>
      <c r="W399" s="88" t="s">
        <v>1520</v>
      </c>
      <c r="X399" s="88" t="s">
        <v>1521</v>
      </c>
      <c r="Y399" s="88" t="s">
        <v>1521</v>
      </c>
      <c r="Z399" s="88" t="s">
        <v>1521</v>
      </c>
      <c r="AA399" s="88" t="s">
        <v>1520</v>
      </c>
      <c r="AB399" s="88" t="s">
        <v>1521</v>
      </c>
      <c r="AC399" s="88" t="s">
        <v>1521</v>
      </c>
      <c r="AD399" s="89"/>
      <c r="AE399" s="18" t="s">
        <v>638</v>
      </c>
      <c r="AF399" s="24"/>
      <c r="AG399" s="24"/>
      <c r="AH399" s="24"/>
      <c r="AI399" s="24"/>
      <c r="AJ399" s="24"/>
      <c r="AK399" s="24"/>
      <c r="AL399" s="24"/>
      <c r="AM399" s="24"/>
    </row>
    <row r="400">
      <c r="A400" s="11"/>
      <c r="B400" s="12" t="s">
        <v>34</v>
      </c>
      <c r="C400" s="12" t="s">
        <v>65</v>
      </c>
      <c r="D400" s="12" t="s">
        <v>43</v>
      </c>
      <c r="E400" s="12" t="s">
        <v>717</v>
      </c>
      <c r="F400" s="13" t="s">
        <v>718</v>
      </c>
      <c r="G400" s="12" t="s">
        <v>68</v>
      </c>
      <c r="H400" s="12" t="s">
        <v>719</v>
      </c>
      <c r="I400" s="12" t="s">
        <v>720</v>
      </c>
      <c r="J400" s="17" t="s">
        <v>73</v>
      </c>
      <c r="K400" s="17" t="s">
        <v>74</v>
      </c>
      <c r="L400" s="100" t="s">
        <v>1854</v>
      </c>
      <c r="M400" s="20">
        <v>45853.0</v>
      </c>
      <c r="N400" s="17" t="s">
        <v>194</v>
      </c>
      <c r="O400" s="88" t="s">
        <v>1521</v>
      </c>
      <c r="P400" s="88" t="s">
        <v>1521</v>
      </c>
      <c r="Q400" s="88" t="s">
        <v>1521</v>
      </c>
      <c r="R400" s="88" t="s">
        <v>1520</v>
      </c>
      <c r="S400" s="88" t="s">
        <v>1521</v>
      </c>
      <c r="T400" s="88" t="s">
        <v>1520</v>
      </c>
      <c r="U400" s="88" t="s">
        <v>1521</v>
      </c>
      <c r="V400" s="88" t="s">
        <v>1520</v>
      </c>
      <c r="W400" s="88" t="s">
        <v>1521</v>
      </c>
      <c r="X400" s="88" t="s">
        <v>1520</v>
      </c>
      <c r="Y400" s="88" t="s">
        <v>1521</v>
      </c>
      <c r="Z400" s="88" t="s">
        <v>1521</v>
      </c>
      <c r="AA400" s="88" t="s">
        <v>1521</v>
      </c>
      <c r="AB400" s="88" t="s">
        <v>1521</v>
      </c>
      <c r="AC400" s="88" t="s">
        <v>1521</v>
      </c>
      <c r="AD400" s="89"/>
      <c r="AE400" s="18" t="s">
        <v>638</v>
      </c>
      <c r="AF400" s="24"/>
      <c r="AG400" s="24"/>
      <c r="AH400" s="24"/>
      <c r="AI400" s="24"/>
      <c r="AJ400" s="24"/>
      <c r="AK400" s="24"/>
      <c r="AL400" s="24"/>
      <c r="AM400" s="24"/>
    </row>
    <row r="401">
      <c r="A401" s="11"/>
      <c r="B401" s="12" t="s">
        <v>34</v>
      </c>
      <c r="C401" s="12" t="s">
        <v>65</v>
      </c>
      <c r="D401" s="12" t="s">
        <v>43</v>
      </c>
      <c r="E401" s="12" t="s">
        <v>717</v>
      </c>
      <c r="F401" s="13" t="s">
        <v>718</v>
      </c>
      <c r="G401" s="12" t="s">
        <v>68</v>
      </c>
      <c r="H401" s="12" t="s">
        <v>719</v>
      </c>
      <c r="I401" s="12" t="s">
        <v>720</v>
      </c>
      <c r="J401" s="17" t="s">
        <v>73</v>
      </c>
      <c r="K401" s="17" t="s">
        <v>74</v>
      </c>
      <c r="L401" s="100" t="s">
        <v>1855</v>
      </c>
      <c r="M401" s="20">
        <v>45853.0</v>
      </c>
      <c r="N401" s="17" t="s">
        <v>194</v>
      </c>
      <c r="O401" s="88" t="s">
        <v>1520</v>
      </c>
      <c r="P401" s="88" t="s">
        <v>1521</v>
      </c>
      <c r="Q401" s="88" t="s">
        <v>1521</v>
      </c>
      <c r="R401" s="88" t="s">
        <v>1521</v>
      </c>
      <c r="S401" s="88" t="s">
        <v>1521</v>
      </c>
      <c r="T401" s="88" t="s">
        <v>1521</v>
      </c>
      <c r="U401" s="88" t="s">
        <v>1521</v>
      </c>
      <c r="V401" s="88" t="s">
        <v>1521</v>
      </c>
      <c r="W401" s="88" t="s">
        <v>1521</v>
      </c>
      <c r="X401" s="88" t="s">
        <v>1521</v>
      </c>
      <c r="Y401" s="88" t="s">
        <v>1521</v>
      </c>
      <c r="Z401" s="88" t="s">
        <v>1521</v>
      </c>
      <c r="AA401" s="88" t="s">
        <v>1521</v>
      </c>
      <c r="AB401" s="88" t="s">
        <v>1520</v>
      </c>
      <c r="AC401" s="88" t="s">
        <v>1521</v>
      </c>
      <c r="AD401" s="89"/>
      <c r="AE401" s="18" t="s">
        <v>638</v>
      </c>
      <c r="AF401" s="24"/>
      <c r="AG401" s="24"/>
      <c r="AH401" s="24"/>
      <c r="AI401" s="24"/>
      <c r="AJ401" s="24"/>
      <c r="AK401" s="24"/>
      <c r="AL401" s="24"/>
      <c r="AM401" s="24"/>
    </row>
    <row r="402">
      <c r="A402" s="11"/>
      <c r="B402" s="12" t="s">
        <v>34</v>
      </c>
      <c r="C402" s="12" t="s">
        <v>65</v>
      </c>
      <c r="D402" s="12" t="s">
        <v>43</v>
      </c>
      <c r="E402" s="12" t="s">
        <v>717</v>
      </c>
      <c r="F402" s="13" t="s">
        <v>718</v>
      </c>
      <c r="G402" s="12" t="s">
        <v>68</v>
      </c>
      <c r="H402" s="12" t="s">
        <v>719</v>
      </c>
      <c r="I402" s="12" t="s">
        <v>720</v>
      </c>
      <c r="J402" s="17" t="s">
        <v>73</v>
      </c>
      <c r="K402" s="17" t="s">
        <v>74</v>
      </c>
      <c r="L402" s="100" t="s">
        <v>1856</v>
      </c>
      <c r="M402" s="20">
        <v>45853.0</v>
      </c>
      <c r="N402" s="17" t="s">
        <v>194</v>
      </c>
      <c r="O402" s="88" t="s">
        <v>1520</v>
      </c>
      <c r="P402" s="88" t="s">
        <v>1521</v>
      </c>
      <c r="Q402" s="88" t="s">
        <v>1520</v>
      </c>
      <c r="R402" s="88" t="s">
        <v>1521</v>
      </c>
      <c r="S402" s="88" t="s">
        <v>1521</v>
      </c>
      <c r="T402" s="88" t="s">
        <v>1521</v>
      </c>
      <c r="U402" s="88" t="s">
        <v>1521</v>
      </c>
      <c r="V402" s="88" t="s">
        <v>1521</v>
      </c>
      <c r="W402" s="88" t="s">
        <v>1521</v>
      </c>
      <c r="X402" s="88" t="s">
        <v>1521</v>
      </c>
      <c r="Y402" s="88" t="s">
        <v>1521</v>
      </c>
      <c r="Z402" s="88" t="s">
        <v>1521</v>
      </c>
      <c r="AA402" s="88" t="s">
        <v>1521</v>
      </c>
      <c r="AB402" s="88" t="s">
        <v>1521</v>
      </c>
      <c r="AC402" s="88" t="s">
        <v>1521</v>
      </c>
      <c r="AD402" s="89"/>
      <c r="AE402" s="18" t="s">
        <v>638</v>
      </c>
      <c r="AF402" s="24"/>
      <c r="AG402" s="24"/>
      <c r="AH402" s="24"/>
      <c r="AI402" s="24"/>
      <c r="AJ402" s="24"/>
      <c r="AK402" s="24"/>
      <c r="AL402" s="24"/>
      <c r="AM402" s="24"/>
    </row>
    <row r="403">
      <c r="A403" s="11"/>
      <c r="B403" s="12" t="s">
        <v>34</v>
      </c>
      <c r="C403" s="12" t="s">
        <v>65</v>
      </c>
      <c r="D403" s="12" t="s">
        <v>43</v>
      </c>
      <c r="E403" s="12" t="s">
        <v>717</v>
      </c>
      <c r="F403" s="13" t="s">
        <v>718</v>
      </c>
      <c r="G403" s="12" t="s">
        <v>68</v>
      </c>
      <c r="H403" s="12" t="s">
        <v>719</v>
      </c>
      <c r="I403" s="12" t="s">
        <v>720</v>
      </c>
      <c r="J403" s="17" t="s">
        <v>73</v>
      </c>
      <c r="K403" s="17" t="s">
        <v>74</v>
      </c>
      <c r="L403" s="100" t="s">
        <v>1857</v>
      </c>
      <c r="M403" s="20">
        <v>45853.0</v>
      </c>
      <c r="N403" s="17" t="s">
        <v>194</v>
      </c>
      <c r="O403" s="88" t="s">
        <v>1521</v>
      </c>
      <c r="P403" s="88" t="s">
        <v>1521</v>
      </c>
      <c r="Q403" s="88" t="s">
        <v>1521</v>
      </c>
      <c r="R403" s="88" t="s">
        <v>1521</v>
      </c>
      <c r="S403" s="88" t="s">
        <v>1521</v>
      </c>
      <c r="T403" s="88" t="s">
        <v>1521</v>
      </c>
      <c r="U403" s="88" t="s">
        <v>1521</v>
      </c>
      <c r="V403" s="88" t="s">
        <v>1521</v>
      </c>
      <c r="W403" s="88" t="s">
        <v>1521</v>
      </c>
      <c r="X403" s="88" t="s">
        <v>1520</v>
      </c>
      <c r="Y403" s="88" t="s">
        <v>1521</v>
      </c>
      <c r="Z403" s="88" t="s">
        <v>1521</v>
      </c>
      <c r="AA403" s="88" t="s">
        <v>1521</v>
      </c>
      <c r="AB403" s="88" t="s">
        <v>1521</v>
      </c>
      <c r="AC403" s="88" t="s">
        <v>1521</v>
      </c>
      <c r="AD403" s="89"/>
      <c r="AE403" s="18" t="s">
        <v>638</v>
      </c>
      <c r="AF403" s="24"/>
      <c r="AG403" s="24"/>
      <c r="AH403" s="24"/>
      <c r="AI403" s="24"/>
      <c r="AJ403" s="24"/>
      <c r="AK403" s="24"/>
      <c r="AL403" s="24"/>
      <c r="AM403" s="24"/>
    </row>
    <row r="404">
      <c r="A404" s="11"/>
      <c r="B404" s="12" t="s">
        <v>34</v>
      </c>
      <c r="C404" s="12" t="s">
        <v>65</v>
      </c>
      <c r="D404" s="12" t="s">
        <v>43</v>
      </c>
      <c r="E404" s="12" t="s">
        <v>717</v>
      </c>
      <c r="F404" s="13" t="s">
        <v>718</v>
      </c>
      <c r="G404" s="12" t="s">
        <v>68</v>
      </c>
      <c r="H404" s="12" t="s">
        <v>719</v>
      </c>
      <c r="I404" s="12" t="s">
        <v>720</v>
      </c>
      <c r="J404" s="17" t="s">
        <v>73</v>
      </c>
      <c r="K404" s="17" t="s">
        <v>74</v>
      </c>
      <c r="L404" s="100" t="s">
        <v>1858</v>
      </c>
      <c r="M404" s="20">
        <v>45853.0</v>
      </c>
      <c r="N404" s="17" t="s">
        <v>194</v>
      </c>
      <c r="O404" s="88" t="s">
        <v>1520</v>
      </c>
      <c r="P404" s="88" t="s">
        <v>1521</v>
      </c>
      <c r="Q404" s="88" t="s">
        <v>1521</v>
      </c>
      <c r="R404" s="88" t="s">
        <v>1521</v>
      </c>
      <c r="S404" s="88" t="s">
        <v>1521</v>
      </c>
      <c r="T404" s="88" t="s">
        <v>1521</v>
      </c>
      <c r="U404" s="88" t="s">
        <v>1521</v>
      </c>
      <c r="V404" s="88" t="s">
        <v>1521</v>
      </c>
      <c r="W404" s="88" t="s">
        <v>1521</v>
      </c>
      <c r="X404" s="88" t="s">
        <v>1521</v>
      </c>
      <c r="Y404" s="88" t="s">
        <v>1521</v>
      </c>
      <c r="Z404" s="88" t="s">
        <v>1521</v>
      </c>
      <c r="AA404" s="88" t="s">
        <v>1521</v>
      </c>
      <c r="AB404" s="88" t="s">
        <v>1520</v>
      </c>
      <c r="AC404" s="88" t="s">
        <v>1521</v>
      </c>
      <c r="AD404" s="89"/>
      <c r="AE404" s="18" t="s">
        <v>638</v>
      </c>
      <c r="AF404" s="24"/>
      <c r="AG404" s="24"/>
      <c r="AH404" s="24"/>
      <c r="AI404" s="24"/>
      <c r="AJ404" s="24"/>
      <c r="AK404" s="24"/>
      <c r="AL404" s="24"/>
      <c r="AM404" s="24"/>
    </row>
    <row r="405">
      <c r="A405" s="11"/>
      <c r="B405" s="12" t="s">
        <v>34</v>
      </c>
      <c r="C405" s="12" t="s">
        <v>65</v>
      </c>
      <c r="D405" s="12" t="s">
        <v>43</v>
      </c>
      <c r="E405" s="12" t="s">
        <v>717</v>
      </c>
      <c r="F405" s="13" t="s">
        <v>718</v>
      </c>
      <c r="G405" s="12" t="s">
        <v>68</v>
      </c>
      <c r="H405" s="12" t="s">
        <v>719</v>
      </c>
      <c r="I405" s="12" t="s">
        <v>720</v>
      </c>
      <c r="J405" s="17" t="s">
        <v>73</v>
      </c>
      <c r="K405" s="17" t="s">
        <v>74</v>
      </c>
      <c r="L405" s="100" t="s">
        <v>1859</v>
      </c>
      <c r="M405" s="20">
        <v>45853.0</v>
      </c>
      <c r="N405" s="17" t="s">
        <v>194</v>
      </c>
      <c r="O405" s="88" t="s">
        <v>1520</v>
      </c>
      <c r="P405" s="88" t="s">
        <v>1521</v>
      </c>
      <c r="Q405" s="88" t="s">
        <v>1520</v>
      </c>
      <c r="R405" s="88" t="s">
        <v>1521</v>
      </c>
      <c r="S405" s="88" t="s">
        <v>1521</v>
      </c>
      <c r="T405" s="88" t="s">
        <v>1521</v>
      </c>
      <c r="U405" s="88" t="s">
        <v>1521</v>
      </c>
      <c r="V405" s="88" t="s">
        <v>1521</v>
      </c>
      <c r="W405" s="88" t="s">
        <v>1521</v>
      </c>
      <c r="X405" s="88" t="s">
        <v>1521</v>
      </c>
      <c r="Y405" s="88" t="s">
        <v>1521</v>
      </c>
      <c r="Z405" s="88" t="s">
        <v>1521</v>
      </c>
      <c r="AA405" s="88" t="s">
        <v>1521</v>
      </c>
      <c r="AB405" s="88" t="s">
        <v>1521</v>
      </c>
      <c r="AC405" s="88" t="s">
        <v>1521</v>
      </c>
      <c r="AD405" s="89"/>
      <c r="AE405" s="18" t="s">
        <v>638</v>
      </c>
      <c r="AF405" s="24"/>
      <c r="AG405" s="24"/>
      <c r="AH405" s="24"/>
      <c r="AI405" s="24"/>
      <c r="AJ405" s="24"/>
      <c r="AK405" s="24"/>
      <c r="AL405" s="24"/>
      <c r="AM405" s="24"/>
    </row>
    <row r="406">
      <c r="A406" s="11"/>
      <c r="B406" s="12" t="s">
        <v>34</v>
      </c>
      <c r="C406" s="12" t="s">
        <v>65</v>
      </c>
      <c r="D406" s="12" t="s">
        <v>43</v>
      </c>
      <c r="E406" s="12" t="s">
        <v>717</v>
      </c>
      <c r="F406" s="13" t="s">
        <v>718</v>
      </c>
      <c r="G406" s="12" t="s">
        <v>68</v>
      </c>
      <c r="H406" s="12" t="s">
        <v>719</v>
      </c>
      <c r="I406" s="12" t="s">
        <v>720</v>
      </c>
      <c r="J406" s="17" t="s">
        <v>73</v>
      </c>
      <c r="K406" s="17" t="s">
        <v>74</v>
      </c>
      <c r="L406" s="100" t="s">
        <v>1860</v>
      </c>
      <c r="M406" s="20">
        <v>45853.0</v>
      </c>
      <c r="N406" s="17" t="s">
        <v>194</v>
      </c>
      <c r="O406" s="88" t="s">
        <v>1520</v>
      </c>
      <c r="P406" s="88" t="s">
        <v>1521</v>
      </c>
      <c r="Q406" s="88" t="s">
        <v>1521</v>
      </c>
      <c r="R406" s="88" t="s">
        <v>1521</v>
      </c>
      <c r="S406" s="88" t="s">
        <v>1521</v>
      </c>
      <c r="T406" s="88" t="s">
        <v>1521</v>
      </c>
      <c r="U406" s="88" t="s">
        <v>1521</v>
      </c>
      <c r="V406" s="88" t="s">
        <v>1521</v>
      </c>
      <c r="W406" s="88" t="s">
        <v>1521</v>
      </c>
      <c r="X406" s="88" t="s">
        <v>1521</v>
      </c>
      <c r="Y406" s="88" t="s">
        <v>1521</v>
      </c>
      <c r="Z406" s="88" t="s">
        <v>1521</v>
      </c>
      <c r="AA406" s="88" t="s">
        <v>1521</v>
      </c>
      <c r="AB406" s="88" t="s">
        <v>1521</v>
      </c>
      <c r="AC406" s="88" t="s">
        <v>1521</v>
      </c>
      <c r="AD406" s="89"/>
      <c r="AE406" s="18" t="s">
        <v>638</v>
      </c>
      <c r="AF406" s="24"/>
      <c r="AG406" s="24"/>
      <c r="AH406" s="24"/>
      <c r="AI406" s="24"/>
      <c r="AJ406" s="24"/>
      <c r="AK406" s="24"/>
      <c r="AL406" s="24"/>
      <c r="AM406" s="24"/>
    </row>
    <row r="407">
      <c r="A407" s="11"/>
      <c r="B407" s="12" t="s">
        <v>34</v>
      </c>
      <c r="C407" s="12" t="s">
        <v>65</v>
      </c>
      <c r="D407" s="12" t="s">
        <v>43</v>
      </c>
      <c r="E407" s="12" t="s">
        <v>717</v>
      </c>
      <c r="F407" s="13" t="s">
        <v>718</v>
      </c>
      <c r="G407" s="12" t="s">
        <v>68</v>
      </c>
      <c r="H407" s="12" t="s">
        <v>719</v>
      </c>
      <c r="I407" s="12" t="s">
        <v>720</v>
      </c>
      <c r="J407" s="17" t="s">
        <v>73</v>
      </c>
      <c r="K407" s="17" t="s">
        <v>74</v>
      </c>
      <c r="L407" s="100" t="s">
        <v>1861</v>
      </c>
      <c r="M407" s="20">
        <v>45853.0</v>
      </c>
      <c r="N407" s="17" t="s">
        <v>194</v>
      </c>
      <c r="O407" s="88" t="s">
        <v>1521</v>
      </c>
      <c r="P407" s="88" t="s">
        <v>1521</v>
      </c>
      <c r="Q407" s="88" t="s">
        <v>1521</v>
      </c>
      <c r="R407" s="88" t="s">
        <v>1521</v>
      </c>
      <c r="S407" s="88" t="s">
        <v>1521</v>
      </c>
      <c r="T407" s="88" t="s">
        <v>1521</v>
      </c>
      <c r="U407" s="88" t="s">
        <v>1521</v>
      </c>
      <c r="V407" s="88" t="s">
        <v>1521</v>
      </c>
      <c r="W407" s="88" t="s">
        <v>1521</v>
      </c>
      <c r="X407" s="88" t="s">
        <v>1521</v>
      </c>
      <c r="Y407" s="88" t="s">
        <v>1521</v>
      </c>
      <c r="Z407" s="88" t="s">
        <v>1521</v>
      </c>
      <c r="AA407" s="88" t="s">
        <v>1521</v>
      </c>
      <c r="AB407" s="88" t="s">
        <v>1521</v>
      </c>
      <c r="AC407" s="88" t="s">
        <v>1521</v>
      </c>
      <c r="AD407" s="89"/>
      <c r="AE407" s="18" t="s">
        <v>638</v>
      </c>
      <c r="AF407" s="24"/>
      <c r="AG407" s="24"/>
      <c r="AH407" s="24"/>
      <c r="AI407" s="24"/>
      <c r="AJ407" s="24"/>
      <c r="AK407" s="24"/>
      <c r="AL407" s="24"/>
      <c r="AM407" s="24"/>
    </row>
    <row r="408">
      <c r="A408" s="11"/>
      <c r="B408" s="12" t="s">
        <v>34</v>
      </c>
      <c r="C408" s="12" t="s">
        <v>65</v>
      </c>
      <c r="D408" s="12" t="s">
        <v>43</v>
      </c>
      <c r="E408" s="12" t="s">
        <v>717</v>
      </c>
      <c r="F408" s="13" t="s">
        <v>718</v>
      </c>
      <c r="G408" s="12" t="s">
        <v>68</v>
      </c>
      <c r="H408" s="12" t="s">
        <v>719</v>
      </c>
      <c r="I408" s="12" t="s">
        <v>720</v>
      </c>
      <c r="J408" s="17" t="s">
        <v>73</v>
      </c>
      <c r="K408" s="17" t="s">
        <v>74</v>
      </c>
      <c r="L408" s="100" t="s">
        <v>1862</v>
      </c>
      <c r="M408" s="20">
        <v>45853.0</v>
      </c>
      <c r="N408" s="17" t="s">
        <v>194</v>
      </c>
      <c r="O408" s="88" t="s">
        <v>1520</v>
      </c>
      <c r="P408" s="88" t="s">
        <v>1521</v>
      </c>
      <c r="Q408" s="88" t="s">
        <v>1521</v>
      </c>
      <c r="R408" s="88" t="s">
        <v>1521</v>
      </c>
      <c r="S408" s="88" t="s">
        <v>1521</v>
      </c>
      <c r="T408" s="88" t="s">
        <v>1521</v>
      </c>
      <c r="U408" s="88" t="s">
        <v>1521</v>
      </c>
      <c r="V408" s="88" t="s">
        <v>1521</v>
      </c>
      <c r="W408" s="88" t="s">
        <v>1521</v>
      </c>
      <c r="X408" s="88" t="s">
        <v>1521</v>
      </c>
      <c r="Y408" s="88" t="s">
        <v>1521</v>
      </c>
      <c r="Z408" s="88" t="s">
        <v>1521</v>
      </c>
      <c r="AA408" s="88" t="s">
        <v>1521</v>
      </c>
      <c r="AB408" s="88" t="s">
        <v>1520</v>
      </c>
      <c r="AC408" s="88" t="s">
        <v>1521</v>
      </c>
      <c r="AD408" s="89"/>
      <c r="AE408" s="18" t="s">
        <v>638</v>
      </c>
      <c r="AF408" s="24"/>
      <c r="AG408" s="24"/>
      <c r="AH408" s="24"/>
      <c r="AI408" s="24"/>
      <c r="AJ408" s="24"/>
      <c r="AK408" s="24"/>
      <c r="AL408" s="24"/>
      <c r="AM408" s="24"/>
    </row>
    <row r="409">
      <c r="A409" s="11"/>
      <c r="B409" s="12" t="s">
        <v>34</v>
      </c>
      <c r="C409" s="12" t="s">
        <v>65</v>
      </c>
      <c r="D409" s="12" t="s">
        <v>43</v>
      </c>
      <c r="E409" s="12" t="s">
        <v>717</v>
      </c>
      <c r="F409" s="13" t="s">
        <v>718</v>
      </c>
      <c r="G409" s="12" t="s">
        <v>68</v>
      </c>
      <c r="H409" s="12" t="s">
        <v>719</v>
      </c>
      <c r="I409" s="12" t="s">
        <v>720</v>
      </c>
      <c r="J409" s="17" t="s">
        <v>73</v>
      </c>
      <c r="K409" s="17" t="s">
        <v>74</v>
      </c>
      <c r="L409" s="100" t="s">
        <v>1863</v>
      </c>
      <c r="M409" s="20">
        <v>45853.0</v>
      </c>
      <c r="N409" s="17" t="s">
        <v>194</v>
      </c>
      <c r="O409" s="88" t="s">
        <v>1521</v>
      </c>
      <c r="P409" s="88" t="s">
        <v>1521</v>
      </c>
      <c r="Q409" s="88" t="s">
        <v>1521</v>
      </c>
      <c r="R409" s="88" t="s">
        <v>1520</v>
      </c>
      <c r="S409" s="88" t="s">
        <v>1521</v>
      </c>
      <c r="T409" s="88" t="s">
        <v>1521</v>
      </c>
      <c r="U409" s="88" t="s">
        <v>1521</v>
      </c>
      <c r="V409" s="88" t="s">
        <v>1521</v>
      </c>
      <c r="W409" s="88" t="s">
        <v>1521</v>
      </c>
      <c r="X409" s="88" t="s">
        <v>1521</v>
      </c>
      <c r="Y409" s="88" t="s">
        <v>1521</v>
      </c>
      <c r="Z409" s="88" t="s">
        <v>1521</v>
      </c>
      <c r="AA409" s="88" t="s">
        <v>1521</v>
      </c>
      <c r="AB409" s="88" t="s">
        <v>1521</v>
      </c>
      <c r="AC409" s="88" t="s">
        <v>1521</v>
      </c>
      <c r="AD409" s="89"/>
      <c r="AE409" s="18" t="s">
        <v>638</v>
      </c>
      <c r="AF409" s="24"/>
      <c r="AG409" s="24"/>
      <c r="AH409" s="24"/>
      <c r="AI409" s="24"/>
      <c r="AJ409" s="24"/>
      <c r="AK409" s="24"/>
      <c r="AL409" s="24"/>
      <c r="AM409" s="24"/>
    </row>
    <row r="410">
      <c r="A410" s="11"/>
      <c r="B410" s="12" t="s">
        <v>34</v>
      </c>
      <c r="C410" s="12" t="s">
        <v>65</v>
      </c>
      <c r="D410" s="12" t="s">
        <v>43</v>
      </c>
      <c r="E410" s="12" t="s">
        <v>717</v>
      </c>
      <c r="F410" s="13" t="s">
        <v>718</v>
      </c>
      <c r="G410" s="12" t="s">
        <v>68</v>
      </c>
      <c r="H410" s="12" t="s">
        <v>719</v>
      </c>
      <c r="I410" s="12" t="s">
        <v>720</v>
      </c>
      <c r="J410" s="17" t="s">
        <v>73</v>
      </c>
      <c r="K410" s="17" t="s">
        <v>74</v>
      </c>
      <c r="L410" s="100" t="s">
        <v>1864</v>
      </c>
      <c r="M410" s="20">
        <v>45853.0</v>
      </c>
      <c r="N410" s="17" t="s">
        <v>194</v>
      </c>
      <c r="O410" s="88" t="s">
        <v>1521</v>
      </c>
      <c r="P410" s="88" t="s">
        <v>1521</v>
      </c>
      <c r="Q410" s="88" t="s">
        <v>1520</v>
      </c>
      <c r="R410" s="88" t="s">
        <v>1521</v>
      </c>
      <c r="S410" s="88" t="s">
        <v>1521</v>
      </c>
      <c r="T410" s="88" t="s">
        <v>1521</v>
      </c>
      <c r="U410" s="88" t="s">
        <v>1520</v>
      </c>
      <c r="V410" s="88" t="s">
        <v>1521</v>
      </c>
      <c r="W410" s="88" t="s">
        <v>1521</v>
      </c>
      <c r="X410" s="88" t="s">
        <v>1521</v>
      </c>
      <c r="Y410" s="88" t="s">
        <v>1521</v>
      </c>
      <c r="Z410" s="88" t="s">
        <v>1521</v>
      </c>
      <c r="AA410" s="88" t="s">
        <v>1521</v>
      </c>
      <c r="AB410" s="88" t="s">
        <v>1521</v>
      </c>
      <c r="AC410" s="88" t="s">
        <v>1521</v>
      </c>
      <c r="AD410" s="89"/>
      <c r="AE410" s="18" t="s">
        <v>638</v>
      </c>
      <c r="AF410" s="24"/>
      <c r="AG410" s="24"/>
      <c r="AH410" s="24"/>
      <c r="AI410" s="24"/>
      <c r="AJ410" s="24"/>
      <c r="AK410" s="24"/>
      <c r="AL410" s="24"/>
      <c r="AM410" s="24"/>
    </row>
    <row r="411">
      <c r="A411" s="11"/>
      <c r="B411" s="12" t="s">
        <v>34</v>
      </c>
      <c r="C411" s="12" t="s">
        <v>65</v>
      </c>
      <c r="D411" s="12" t="s">
        <v>43</v>
      </c>
      <c r="E411" s="12" t="s">
        <v>717</v>
      </c>
      <c r="F411" s="13" t="s">
        <v>718</v>
      </c>
      <c r="G411" s="12" t="s">
        <v>68</v>
      </c>
      <c r="H411" s="12" t="s">
        <v>719</v>
      </c>
      <c r="I411" s="12" t="s">
        <v>720</v>
      </c>
      <c r="J411" s="17" t="s">
        <v>73</v>
      </c>
      <c r="K411" s="17" t="s">
        <v>74</v>
      </c>
      <c r="L411" s="100" t="s">
        <v>1865</v>
      </c>
      <c r="M411" s="20">
        <v>45853.0</v>
      </c>
      <c r="N411" s="17" t="s">
        <v>194</v>
      </c>
      <c r="O411" s="88" t="s">
        <v>1520</v>
      </c>
      <c r="P411" s="88" t="s">
        <v>1521</v>
      </c>
      <c r="Q411" s="88" t="s">
        <v>1521</v>
      </c>
      <c r="R411" s="88" t="s">
        <v>1521</v>
      </c>
      <c r="S411" s="88" t="s">
        <v>1521</v>
      </c>
      <c r="T411" s="88" t="s">
        <v>1521</v>
      </c>
      <c r="U411" s="88" t="s">
        <v>1521</v>
      </c>
      <c r="V411" s="88" t="s">
        <v>1521</v>
      </c>
      <c r="W411" s="88" t="s">
        <v>1521</v>
      </c>
      <c r="X411" s="88" t="s">
        <v>1521</v>
      </c>
      <c r="Y411" s="88" t="s">
        <v>1521</v>
      </c>
      <c r="Z411" s="88" t="s">
        <v>1521</v>
      </c>
      <c r="AA411" s="88" t="s">
        <v>1521</v>
      </c>
      <c r="AB411" s="88" t="s">
        <v>1521</v>
      </c>
      <c r="AC411" s="88" t="s">
        <v>1521</v>
      </c>
      <c r="AD411" s="89"/>
      <c r="AE411" s="18" t="s">
        <v>638</v>
      </c>
      <c r="AF411" s="24"/>
      <c r="AG411" s="24"/>
      <c r="AH411" s="24"/>
      <c r="AI411" s="24"/>
      <c r="AJ411" s="24"/>
      <c r="AK411" s="24"/>
      <c r="AL411" s="24"/>
      <c r="AM411" s="24"/>
    </row>
    <row r="412">
      <c r="A412" s="11"/>
      <c r="B412" s="12" t="s">
        <v>34</v>
      </c>
      <c r="C412" s="12" t="s">
        <v>65</v>
      </c>
      <c r="D412" s="12" t="s">
        <v>43</v>
      </c>
      <c r="E412" s="12" t="s">
        <v>717</v>
      </c>
      <c r="F412" s="13" t="s">
        <v>718</v>
      </c>
      <c r="G412" s="12" t="s">
        <v>68</v>
      </c>
      <c r="H412" s="12" t="s">
        <v>719</v>
      </c>
      <c r="I412" s="12" t="s">
        <v>720</v>
      </c>
      <c r="J412" s="17" t="s">
        <v>73</v>
      </c>
      <c r="K412" s="17" t="s">
        <v>74</v>
      </c>
      <c r="L412" s="100" t="s">
        <v>1866</v>
      </c>
      <c r="M412" s="20">
        <v>45853.0</v>
      </c>
      <c r="N412" s="17" t="s">
        <v>194</v>
      </c>
      <c r="O412" s="88" t="s">
        <v>1521</v>
      </c>
      <c r="P412" s="88" t="s">
        <v>1521</v>
      </c>
      <c r="Q412" s="88" t="s">
        <v>1521</v>
      </c>
      <c r="R412" s="88" t="s">
        <v>1521</v>
      </c>
      <c r="S412" s="88" t="s">
        <v>1521</v>
      </c>
      <c r="T412" s="88" t="s">
        <v>1521</v>
      </c>
      <c r="U412" s="88" t="s">
        <v>1521</v>
      </c>
      <c r="V412" s="88" t="s">
        <v>1520</v>
      </c>
      <c r="W412" s="88" t="s">
        <v>1521</v>
      </c>
      <c r="X412" s="88" t="s">
        <v>1520</v>
      </c>
      <c r="Y412" s="88" t="s">
        <v>1521</v>
      </c>
      <c r="Z412" s="88" t="s">
        <v>1521</v>
      </c>
      <c r="AA412" s="88" t="s">
        <v>1521</v>
      </c>
      <c r="AB412" s="88" t="s">
        <v>1520</v>
      </c>
      <c r="AC412" s="88" t="s">
        <v>1521</v>
      </c>
      <c r="AD412" s="89"/>
      <c r="AE412" s="18" t="s">
        <v>638</v>
      </c>
      <c r="AF412" s="24"/>
      <c r="AG412" s="24"/>
      <c r="AH412" s="24"/>
      <c r="AI412" s="24"/>
      <c r="AJ412" s="24"/>
      <c r="AK412" s="24"/>
      <c r="AL412" s="24"/>
      <c r="AM412" s="24"/>
    </row>
    <row r="413">
      <c r="A413" s="11"/>
      <c r="B413" s="12" t="s">
        <v>34</v>
      </c>
      <c r="C413" s="12" t="s">
        <v>65</v>
      </c>
      <c r="D413" s="12" t="s">
        <v>43</v>
      </c>
      <c r="E413" s="12" t="s">
        <v>717</v>
      </c>
      <c r="F413" s="13" t="s">
        <v>718</v>
      </c>
      <c r="G413" s="12" t="s">
        <v>68</v>
      </c>
      <c r="H413" s="12" t="s">
        <v>719</v>
      </c>
      <c r="I413" s="12" t="s">
        <v>720</v>
      </c>
      <c r="J413" s="17" t="s">
        <v>73</v>
      </c>
      <c r="K413" s="17" t="s">
        <v>74</v>
      </c>
      <c r="L413" s="100" t="s">
        <v>1867</v>
      </c>
      <c r="M413" s="20">
        <v>45853.0</v>
      </c>
      <c r="N413" s="17" t="s">
        <v>194</v>
      </c>
      <c r="O413" s="88" t="s">
        <v>1521</v>
      </c>
      <c r="P413" s="88" t="s">
        <v>1521</v>
      </c>
      <c r="Q413" s="88" t="s">
        <v>1520</v>
      </c>
      <c r="R413" s="88" t="s">
        <v>1521</v>
      </c>
      <c r="S413" s="88" t="s">
        <v>1521</v>
      </c>
      <c r="T413" s="88" t="s">
        <v>1521</v>
      </c>
      <c r="U413" s="88" t="s">
        <v>1521</v>
      </c>
      <c r="V413" s="88" t="s">
        <v>1521</v>
      </c>
      <c r="W413" s="88" t="s">
        <v>1521</v>
      </c>
      <c r="X413" s="88" t="s">
        <v>1521</v>
      </c>
      <c r="Y413" s="88" t="s">
        <v>1521</v>
      </c>
      <c r="Z413" s="88" t="s">
        <v>1520</v>
      </c>
      <c r="AA413" s="88" t="s">
        <v>1521</v>
      </c>
      <c r="AB413" s="88" t="s">
        <v>1521</v>
      </c>
      <c r="AC413" s="88" t="s">
        <v>1521</v>
      </c>
      <c r="AD413" s="89"/>
      <c r="AE413" s="18" t="s">
        <v>638</v>
      </c>
      <c r="AF413" s="24"/>
      <c r="AG413" s="24"/>
      <c r="AH413" s="24"/>
      <c r="AI413" s="24"/>
      <c r="AJ413" s="24"/>
      <c r="AK413" s="24"/>
      <c r="AL413" s="24"/>
      <c r="AM413" s="24"/>
    </row>
    <row r="414">
      <c r="A414" s="11"/>
      <c r="B414" s="12" t="s">
        <v>34</v>
      </c>
      <c r="C414" s="12" t="s">
        <v>65</v>
      </c>
      <c r="D414" s="12" t="s">
        <v>43</v>
      </c>
      <c r="E414" s="12" t="s">
        <v>717</v>
      </c>
      <c r="F414" s="13" t="s">
        <v>718</v>
      </c>
      <c r="G414" s="12" t="s">
        <v>68</v>
      </c>
      <c r="H414" s="12" t="s">
        <v>719</v>
      </c>
      <c r="I414" s="12" t="s">
        <v>720</v>
      </c>
      <c r="J414" s="17" t="s">
        <v>73</v>
      </c>
      <c r="K414" s="17" t="s">
        <v>74</v>
      </c>
      <c r="L414" s="100" t="s">
        <v>1868</v>
      </c>
      <c r="M414" s="20">
        <v>45853.0</v>
      </c>
      <c r="N414" s="17" t="s">
        <v>194</v>
      </c>
      <c r="O414" s="88" t="s">
        <v>1521</v>
      </c>
      <c r="P414" s="88" t="s">
        <v>1520</v>
      </c>
      <c r="Q414" s="88" t="s">
        <v>1521</v>
      </c>
      <c r="R414" s="88" t="s">
        <v>1521</v>
      </c>
      <c r="S414" s="88" t="s">
        <v>1521</v>
      </c>
      <c r="T414" s="88" t="s">
        <v>1521</v>
      </c>
      <c r="U414" s="88" t="s">
        <v>1521</v>
      </c>
      <c r="V414" s="88" t="s">
        <v>1521</v>
      </c>
      <c r="W414" s="88" t="s">
        <v>1521</v>
      </c>
      <c r="X414" s="88" t="s">
        <v>1521</v>
      </c>
      <c r="Y414" s="88" t="s">
        <v>1521</v>
      </c>
      <c r="Z414" s="88" t="s">
        <v>1521</v>
      </c>
      <c r="AA414" s="88" t="s">
        <v>1521</v>
      </c>
      <c r="AB414" s="88" t="s">
        <v>1521</v>
      </c>
      <c r="AC414" s="88" t="s">
        <v>1521</v>
      </c>
      <c r="AD414" s="89"/>
      <c r="AE414" s="18" t="s">
        <v>638</v>
      </c>
      <c r="AF414" s="24"/>
      <c r="AG414" s="24"/>
      <c r="AH414" s="24"/>
      <c r="AI414" s="24"/>
      <c r="AJ414" s="24"/>
      <c r="AK414" s="24"/>
      <c r="AL414" s="24"/>
      <c r="AM414" s="24"/>
    </row>
    <row r="415">
      <c r="A415" s="11"/>
      <c r="B415" s="12" t="s">
        <v>34</v>
      </c>
      <c r="C415" s="12" t="s">
        <v>65</v>
      </c>
      <c r="D415" s="12" t="s">
        <v>43</v>
      </c>
      <c r="E415" s="12" t="s">
        <v>717</v>
      </c>
      <c r="F415" s="13" t="s">
        <v>718</v>
      </c>
      <c r="G415" s="12" t="s">
        <v>68</v>
      </c>
      <c r="H415" s="12" t="s">
        <v>719</v>
      </c>
      <c r="I415" s="12" t="s">
        <v>720</v>
      </c>
      <c r="J415" s="17" t="s">
        <v>73</v>
      </c>
      <c r="K415" s="17" t="s">
        <v>74</v>
      </c>
      <c r="L415" s="100" t="s">
        <v>1869</v>
      </c>
      <c r="M415" s="20">
        <v>45853.0</v>
      </c>
      <c r="N415" s="17" t="s">
        <v>194</v>
      </c>
      <c r="O415" s="88" t="s">
        <v>1521</v>
      </c>
      <c r="P415" s="88" t="s">
        <v>1521</v>
      </c>
      <c r="Q415" s="88" t="s">
        <v>1521</v>
      </c>
      <c r="R415" s="88" t="s">
        <v>1521</v>
      </c>
      <c r="S415" s="88" t="s">
        <v>1521</v>
      </c>
      <c r="T415" s="88" t="s">
        <v>1520</v>
      </c>
      <c r="U415" s="88" t="s">
        <v>1521</v>
      </c>
      <c r="V415" s="88" t="s">
        <v>1521</v>
      </c>
      <c r="W415" s="88" t="s">
        <v>1521</v>
      </c>
      <c r="X415" s="88" t="s">
        <v>1520</v>
      </c>
      <c r="Y415" s="88" t="s">
        <v>1521</v>
      </c>
      <c r="Z415" s="88" t="s">
        <v>1521</v>
      </c>
      <c r="AA415" s="88" t="s">
        <v>1521</v>
      </c>
      <c r="AB415" s="88" t="s">
        <v>1521</v>
      </c>
      <c r="AC415" s="88" t="s">
        <v>1521</v>
      </c>
      <c r="AD415" s="89"/>
      <c r="AE415" s="18" t="s">
        <v>638</v>
      </c>
      <c r="AF415" s="24"/>
      <c r="AG415" s="24"/>
      <c r="AH415" s="24"/>
      <c r="AI415" s="24"/>
      <c r="AJ415" s="24"/>
      <c r="AK415" s="24"/>
      <c r="AL415" s="24"/>
      <c r="AM415" s="24"/>
    </row>
    <row r="416">
      <c r="A416" s="11"/>
      <c r="B416" s="12" t="s">
        <v>34</v>
      </c>
      <c r="C416" s="12" t="s">
        <v>65</v>
      </c>
      <c r="D416" s="12" t="s">
        <v>43</v>
      </c>
      <c r="E416" s="12" t="s">
        <v>717</v>
      </c>
      <c r="F416" s="13" t="s">
        <v>718</v>
      </c>
      <c r="G416" s="12" t="s">
        <v>68</v>
      </c>
      <c r="H416" s="12" t="s">
        <v>719</v>
      </c>
      <c r="I416" s="12" t="s">
        <v>720</v>
      </c>
      <c r="J416" s="17" t="s">
        <v>112</v>
      </c>
      <c r="K416" s="17" t="s">
        <v>113</v>
      </c>
      <c r="L416" s="100" t="s">
        <v>1870</v>
      </c>
      <c r="M416" s="20">
        <v>45853.0</v>
      </c>
      <c r="N416" s="17" t="s">
        <v>194</v>
      </c>
      <c r="O416" s="88" t="s">
        <v>1521</v>
      </c>
      <c r="P416" s="88" t="s">
        <v>1520</v>
      </c>
      <c r="Q416" s="88" t="s">
        <v>1521</v>
      </c>
      <c r="R416" s="88" t="s">
        <v>1521</v>
      </c>
      <c r="S416" s="88" t="s">
        <v>1521</v>
      </c>
      <c r="T416" s="88" t="s">
        <v>1521</v>
      </c>
      <c r="U416" s="88" t="s">
        <v>1521</v>
      </c>
      <c r="V416" s="88" t="s">
        <v>1521</v>
      </c>
      <c r="W416" s="88" t="s">
        <v>1521</v>
      </c>
      <c r="X416" s="88" t="s">
        <v>1521</v>
      </c>
      <c r="Y416" s="88" t="s">
        <v>1521</v>
      </c>
      <c r="Z416" s="88" t="s">
        <v>1521</v>
      </c>
      <c r="AA416" s="88" t="s">
        <v>1521</v>
      </c>
      <c r="AB416" s="88" t="s">
        <v>1520</v>
      </c>
      <c r="AC416" s="88" t="s">
        <v>1521</v>
      </c>
      <c r="AD416" s="89"/>
      <c r="AE416" s="18" t="s">
        <v>638</v>
      </c>
      <c r="AF416" s="24"/>
      <c r="AG416" s="24"/>
      <c r="AH416" s="24"/>
      <c r="AI416" s="24"/>
      <c r="AJ416" s="24"/>
      <c r="AK416" s="24"/>
      <c r="AL416" s="24"/>
      <c r="AM416" s="24"/>
    </row>
    <row r="417">
      <c r="A417" s="11"/>
      <c r="B417" s="12" t="s">
        <v>34</v>
      </c>
      <c r="C417" s="12" t="s">
        <v>65</v>
      </c>
      <c r="D417" s="12" t="s">
        <v>43</v>
      </c>
      <c r="E417" s="12" t="s">
        <v>717</v>
      </c>
      <c r="F417" s="13" t="s">
        <v>718</v>
      </c>
      <c r="G417" s="12" t="s">
        <v>68</v>
      </c>
      <c r="H417" s="12" t="s">
        <v>719</v>
      </c>
      <c r="I417" s="12" t="s">
        <v>720</v>
      </c>
      <c r="J417" s="17" t="s">
        <v>112</v>
      </c>
      <c r="K417" s="17" t="s">
        <v>113</v>
      </c>
      <c r="L417" s="100" t="s">
        <v>1871</v>
      </c>
      <c r="M417" s="20">
        <v>45853.0</v>
      </c>
      <c r="N417" s="17" t="s">
        <v>194</v>
      </c>
      <c r="O417" s="88" t="s">
        <v>1521</v>
      </c>
      <c r="P417" s="88" t="s">
        <v>1520</v>
      </c>
      <c r="Q417" s="88" t="s">
        <v>1521</v>
      </c>
      <c r="R417" s="88" t="s">
        <v>1521</v>
      </c>
      <c r="S417" s="88" t="s">
        <v>1521</v>
      </c>
      <c r="T417" s="88" t="s">
        <v>1521</v>
      </c>
      <c r="U417" s="88" t="s">
        <v>1521</v>
      </c>
      <c r="V417" s="88" t="s">
        <v>1521</v>
      </c>
      <c r="W417" s="88" t="s">
        <v>1521</v>
      </c>
      <c r="X417" s="88" t="s">
        <v>1521</v>
      </c>
      <c r="Y417" s="88" t="s">
        <v>1521</v>
      </c>
      <c r="Z417" s="88" t="s">
        <v>1521</v>
      </c>
      <c r="AA417" s="88" t="s">
        <v>1521</v>
      </c>
      <c r="AB417" s="88" t="s">
        <v>1521</v>
      </c>
      <c r="AC417" s="88" t="s">
        <v>1521</v>
      </c>
      <c r="AD417" s="89"/>
      <c r="AE417" s="18" t="s">
        <v>638</v>
      </c>
      <c r="AF417" s="24"/>
      <c r="AG417" s="24"/>
      <c r="AH417" s="24"/>
      <c r="AI417" s="24"/>
      <c r="AJ417" s="24"/>
      <c r="AK417" s="24"/>
      <c r="AL417" s="24"/>
      <c r="AM417" s="24"/>
    </row>
    <row r="418">
      <c r="A418" s="11"/>
      <c r="B418" s="12" t="s">
        <v>34</v>
      </c>
      <c r="C418" s="12" t="s">
        <v>65</v>
      </c>
      <c r="D418" s="12" t="s">
        <v>43</v>
      </c>
      <c r="E418" s="12" t="s">
        <v>717</v>
      </c>
      <c r="F418" s="13" t="s">
        <v>718</v>
      </c>
      <c r="G418" s="12" t="s">
        <v>68</v>
      </c>
      <c r="H418" s="12" t="s">
        <v>719</v>
      </c>
      <c r="I418" s="12" t="s">
        <v>720</v>
      </c>
      <c r="J418" s="17" t="s">
        <v>112</v>
      </c>
      <c r="K418" s="17" t="s">
        <v>113</v>
      </c>
      <c r="L418" s="100" t="s">
        <v>1872</v>
      </c>
      <c r="M418" s="20">
        <v>45853.0</v>
      </c>
      <c r="N418" s="17" t="s">
        <v>194</v>
      </c>
      <c r="O418" s="88" t="s">
        <v>1521</v>
      </c>
      <c r="P418" s="88" t="s">
        <v>1521</v>
      </c>
      <c r="Q418" s="88" t="s">
        <v>1521</v>
      </c>
      <c r="R418" s="88" t="s">
        <v>1521</v>
      </c>
      <c r="S418" s="88" t="s">
        <v>1521</v>
      </c>
      <c r="T418" s="88" t="s">
        <v>1520</v>
      </c>
      <c r="U418" s="88" t="s">
        <v>1521</v>
      </c>
      <c r="V418" s="88" t="s">
        <v>1521</v>
      </c>
      <c r="W418" s="88" t="s">
        <v>1521</v>
      </c>
      <c r="X418" s="88" t="s">
        <v>1521</v>
      </c>
      <c r="Y418" s="88" t="s">
        <v>1521</v>
      </c>
      <c r="Z418" s="88" t="s">
        <v>1521</v>
      </c>
      <c r="AA418" s="88" t="s">
        <v>1521</v>
      </c>
      <c r="AB418" s="88" t="s">
        <v>1521</v>
      </c>
      <c r="AC418" s="88" t="s">
        <v>1521</v>
      </c>
      <c r="AD418" s="89"/>
      <c r="AE418" s="18" t="s">
        <v>638</v>
      </c>
      <c r="AF418" s="24"/>
      <c r="AG418" s="24"/>
      <c r="AH418" s="24"/>
      <c r="AI418" s="24"/>
      <c r="AJ418" s="24"/>
      <c r="AK418" s="24"/>
      <c r="AL418" s="24"/>
      <c r="AM418" s="24"/>
    </row>
    <row r="419">
      <c r="A419" s="11"/>
      <c r="B419" s="12" t="s">
        <v>34</v>
      </c>
      <c r="C419" s="12" t="s">
        <v>65</v>
      </c>
      <c r="D419" s="12" t="s">
        <v>43</v>
      </c>
      <c r="E419" s="12" t="s">
        <v>717</v>
      </c>
      <c r="F419" s="13" t="s">
        <v>718</v>
      </c>
      <c r="G419" s="12" t="s">
        <v>68</v>
      </c>
      <c r="H419" s="12" t="s">
        <v>719</v>
      </c>
      <c r="I419" s="12" t="s">
        <v>720</v>
      </c>
      <c r="J419" s="17" t="s">
        <v>112</v>
      </c>
      <c r="K419" s="17" t="s">
        <v>113</v>
      </c>
      <c r="L419" s="100" t="s">
        <v>1873</v>
      </c>
      <c r="M419" s="20">
        <v>45853.0</v>
      </c>
      <c r="N419" s="17" t="s">
        <v>194</v>
      </c>
      <c r="O419" s="88" t="s">
        <v>1521</v>
      </c>
      <c r="P419" s="88" t="s">
        <v>1520</v>
      </c>
      <c r="Q419" s="88" t="s">
        <v>1521</v>
      </c>
      <c r="R419" s="88" t="s">
        <v>1521</v>
      </c>
      <c r="S419" s="88" t="s">
        <v>1521</v>
      </c>
      <c r="T419" s="88" t="s">
        <v>1520</v>
      </c>
      <c r="U419" s="88" t="s">
        <v>1521</v>
      </c>
      <c r="V419" s="88" t="s">
        <v>1521</v>
      </c>
      <c r="W419" s="88" t="s">
        <v>1521</v>
      </c>
      <c r="X419" s="88" t="s">
        <v>1521</v>
      </c>
      <c r="Y419" s="88" t="s">
        <v>1520</v>
      </c>
      <c r="Z419" s="88" t="s">
        <v>1520</v>
      </c>
      <c r="AA419" s="88" t="s">
        <v>1520</v>
      </c>
      <c r="AB419" s="88" t="s">
        <v>1521</v>
      </c>
      <c r="AC419" s="88" t="s">
        <v>1521</v>
      </c>
      <c r="AD419" s="89"/>
      <c r="AE419" s="18" t="s">
        <v>638</v>
      </c>
      <c r="AF419" s="24"/>
      <c r="AG419" s="24"/>
      <c r="AH419" s="24"/>
      <c r="AI419" s="24"/>
      <c r="AJ419" s="24"/>
      <c r="AK419" s="24"/>
      <c r="AL419" s="24"/>
      <c r="AM419" s="24"/>
    </row>
    <row r="420">
      <c r="A420" s="11"/>
      <c r="B420" s="12" t="s">
        <v>34</v>
      </c>
      <c r="C420" s="12" t="s">
        <v>65</v>
      </c>
      <c r="D420" s="12" t="s">
        <v>43</v>
      </c>
      <c r="E420" s="12" t="s">
        <v>717</v>
      </c>
      <c r="F420" s="13" t="s">
        <v>718</v>
      </c>
      <c r="G420" s="12" t="s">
        <v>68</v>
      </c>
      <c r="H420" s="12" t="s">
        <v>719</v>
      </c>
      <c r="I420" s="12" t="s">
        <v>720</v>
      </c>
      <c r="J420" s="17" t="s">
        <v>112</v>
      </c>
      <c r="K420" s="17" t="s">
        <v>113</v>
      </c>
      <c r="L420" s="100" t="s">
        <v>1874</v>
      </c>
      <c r="M420" s="20">
        <v>45853.0</v>
      </c>
      <c r="N420" s="17" t="s">
        <v>194</v>
      </c>
      <c r="O420" s="88" t="s">
        <v>1521</v>
      </c>
      <c r="P420" s="88" t="s">
        <v>1521</v>
      </c>
      <c r="Q420" s="88" t="s">
        <v>1521</v>
      </c>
      <c r="R420" s="88" t="s">
        <v>1521</v>
      </c>
      <c r="S420" s="88" t="s">
        <v>1521</v>
      </c>
      <c r="T420" s="88" t="s">
        <v>1521</v>
      </c>
      <c r="U420" s="88" t="s">
        <v>1521</v>
      </c>
      <c r="V420" s="88" t="s">
        <v>1521</v>
      </c>
      <c r="W420" s="88" t="s">
        <v>1521</v>
      </c>
      <c r="X420" s="88" t="s">
        <v>1520</v>
      </c>
      <c r="Y420" s="88" t="s">
        <v>1521</v>
      </c>
      <c r="Z420" s="88" t="s">
        <v>1521</v>
      </c>
      <c r="AA420" s="88" t="s">
        <v>1521</v>
      </c>
      <c r="AB420" s="88" t="s">
        <v>1521</v>
      </c>
      <c r="AC420" s="88" t="s">
        <v>1521</v>
      </c>
      <c r="AD420" s="89"/>
      <c r="AE420" s="18" t="s">
        <v>638</v>
      </c>
      <c r="AF420" s="24"/>
      <c r="AG420" s="24"/>
      <c r="AH420" s="24"/>
      <c r="AI420" s="24"/>
      <c r="AJ420" s="24"/>
      <c r="AK420" s="24"/>
      <c r="AL420" s="24"/>
      <c r="AM420" s="24"/>
    </row>
    <row r="421">
      <c r="A421" s="11"/>
      <c r="B421" s="12" t="s">
        <v>34</v>
      </c>
      <c r="C421" s="12" t="s">
        <v>65</v>
      </c>
      <c r="D421" s="12" t="s">
        <v>43</v>
      </c>
      <c r="E421" s="12" t="s">
        <v>717</v>
      </c>
      <c r="F421" s="13" t="s">
        <v>718</v>
      </c>
      <c r="G421" s="12" t="s">
        <v>68</v>
      </c>
      <c r="H421" s="12" t="s">
        <v>719</v>
      </c>
      <c r="I421" s="12" t="s">
        <v>720</v>
      </c>
      <c r="J421" s="17" t="s">
        <v>112</v>
      </c>
      <c r="K421" s="17" t="s">
        <v>113</v>
      </c>
      <c r="L421" s="100" t="s">
        <v>1875</v>
      </c>
      <c r="M421" s="20">
        <v>45853.0</v>
      </c>
      <c r="N421" s="17" t="s">
        <v>194</v>
      </c>
      <c r="O421" s="88" t="s">
        <v>1520</v>
      </c>
      <c r="P421" s="88" t="s">
        <v>1521</v>
      </c>
      <c r="Q421" s="88" t="s">
        <v>1520</v>
      </c>
      <c r="R421" s="88" t="s">
        <v>1521</v>
      </c>
      <c r="S421" s="88" t="s">
        <v>1521</v>
      </c>
      <c r="T421" s="88" t="s">
        <v>1521</v>
      </c>
      <c r="U421" s="88" t="s">
        <v>1521</v>
      </c>
      <c r="V421" s="88" t="s">
        <v>1521</v>
      </c>
      <c r="W421" s="88" t="s">
        <v>1521</v>
      </c>
      <c r="X421" s="88" t="s">
        <v>1521</v>
      </c>
      <c r="Y421" s="88" t="s">
        <v>1521</v>
      </c>
      <c r="Z421" s="88" t="s">
        <v>1521</v>
      </c>
      <c r="AA421" s="88" t="s">
        <v>1521</v>
      </c>
      <c r="AB421" s="88" t="s">
        <v>1521</v>
      </c>
      <c r="AC421" s="88" t="s">
        <v>1521</v>
      </c>
      <c r="AD421" s="89"/>
      <c r="AE421" s="18" t="s">
        <v>638</v>
      </c>
      <c r="AF421" s="24"/>
      <c r="AG421" s="24"/>
      <c r="AH421" s="24"/>
      <c r="AI421" s="24"/>
      <c r="AJ421" s="24"/>
      <c r="AK421" s="24"/>
      <c r="AL421" s="24"/>
      <c r="AM421" s="24"/>
    </row>
    <row r="422">
      <c r="A422" s="11"/>
      <c r="B422" s="12" t="s">
        <v>34</v>
      </c>
      <c r="C422" s="12" t="s">
        <v>65</v>
      </c>
      <c r="D422" s="12" t="s">
        <v>43</v>
      </c>
      <c r="E422" s="12" t="s">
        <v>717</v>
      </c>
      <c r="F422" s="13" t="s">
        <v>718</v>
      </c>
      <c r="G422" s="12" t="s">
        <v>68</v>
      </c>
      <c r="H422" s="12" t="s">
        <v>719</v>
      </c>
      <c r="I422" s="12" t="s">
        <v>720</v>
      </c>
      <c r="J422" s="17" t="s">
        <v>112</v>
      </c>
      <c r="K422" s="17" t="s">
        <v>113</v>
      </c>
      <c r="L422" s="100" t="s">
        <v>1876</v>
      </c>
      <c r="M422" s="20">
        <v>45853.0</v>
      </c>
      <c r="N422" s="17" t="s">
        <v>194</v>
      </c>
      <c r="O422" s="88" t="s">
        <v>1521</v>
      </c>
      <c r="P422" s="88" t="s">
        <v>1520</v>
      </c>
      <c r="Q422" s="88" t="s">
        <v>1521</v>
      </c>
      <c r="R422" s="88" t="s">
        <v>1521</v>
      </c>
      <c r="S422" s="88" t="s">
        <v>1521</v>
      </c>
      <c r="T422" s="88" t="s">
        <v>1521</v>
      </c>
      <c r="U422" s="88" t="s">
        <v>1521</v>
      </c>
      <c r="V422" s="88" t="s">
        <v>1521</v>
      </c>
      <c r="W422" s="88" t="s">
        <v>1521</v>
      </c>
      <c r="X422" s="88" t="s">
        <v>1520</v>
      </c>
      <c r="Y422" s="88" t="s">
        <v>1521</v>
      </c>
      <c r="Z422" s="88" t="s">
        <v>1521</v>
      </c>
      <c r="AA422" s="88" t="s">
        <v>1520</v>
      </c>
      <c r="AB422" s="88" t="s">
        <v>1521</v>
      </c>
      <c r="AC422" s="88" t="s">
        <v>1521</v>
      </c>
      <c r="AD422" s="89"/>
      <c r="AE422" s="18" t="s">
        <v>638</v>
      </c>
      <c r="AF422" s="24"/>
      <c r="AG422" s="24"/>
      <c r="AH422" s="24"/>
      <c r="AI422" s="24"/>
      <c r="AJ422" s="24"/>
      <c r="AK422" s="24"/>
      <c r="AL422" s="24"/>
      <c r="AM422" s="24"/>
    </row>
    <row r="423">
      <c r="A423" s="11"/>
      <c r="B423" s="12" t="s">
        <v>34</v>
      </c>
      <c r="C423" s="12" t="s">
        <v>65</v>
      </c>
      <c r="D423" s="12" t="s">
        <v>43</v>
      </c>
      <c r="E423" s="12" t="s">
        <v>717</v>
      </c>
      <c r="F423" s="13" t="s">
        <v>718</v>
      </c>
      <c r="G423" s="12" t="s">
        <v>68</v>
      </c>
      <c r="H423" s="12" t="s">
        <v>719</v>
      </c>
      <c r="I423" s="12" t="s">
        <v>720</v>
      </c>
      <c r="J423" s="17" t="s">
        <v>112</v>
      </c>
      <c r="K423" s="17" t="s">
        <v>113</v>
      </c>
      <c r="L423" s="100" t="s">
        <v>1877</v>
      </c>
      <c r="M423" s="20">
        <v>45853.0</v>
      </c>
      <c r="N423" s="17" t="s">
        <v>194</v>
      </c>
      <c r="O423" s="88" t="s">
        <v>1520</v>
      </c>
      <c r="P423" s="88" t="s">
        <v>1521</v>
      </c>
      <c r="Q423" s="88" t="s">
        <v>1520</v>
      </c>
      <c r="R423" s="88" t="s">
        <v>1521</v>
      </c>
      <c r="S423" s="88" t="s">
        <v>1521</v>
      </c>
      <c r="T423" s="88" t="s">
        <v>1521</v>
      </c>
      <c r="U423" s="88" t="s">
        <v>1521</v>
      </c>
      <c r="V423" s="88" t="s">
        <v>1520</v>
      </c>
      <c r="W423" s="88" t="s">
        <v>1521</v>
      </c>
      <c r="X423" s="88" t="s">
        <v>1521</v>
      </c>
      <c r="Y423" s="88" t="s">
        <v>1521</v>
      </c>
      <c r="Z423" s="88" t="s">
        <v>1521</v>
      </c>
      <c r="AA423" s="88" t="s">
        <v>1521</v>
      </c>
      <c r="AB423" s="88" t="s">
        <v>1521</v>
      </c>
      <c r="AC423" s="88" t="s">
        <v>1521</v>
      </c>
      <c r="AD423" s="89"/>
      <c r="AE423" s="18" t="s">
        <v>638</v>
      </c>
      <c r="AF423" s="24"/>
      <c r="AG423" s="24"/>
      <c r="AH423" s="24"/>
      <c r="AI423" s="24"/>
      <c r="AJ423" s="24"/>
      <c r="AK423" s="24"/>
      <c r="AL423" s="24"/>
      <c r="AM423" s="24"/>
    </row>
    <row r="424">
      <c r="A424" s="11"/>
      <c r="B424" s="12" t="s">
        <v>34</v>
      </c>
      <c r="C424" s="12" t="s">
        <v>65</v>
      </c>
      <c r="D424" s="12" t="s">
        <v>43</v>
      </c>
      <c r="E424" s="12" t="s">
        <v>717</v>
      </c>
      <c r="F424" s="13" t="s">
        <v>718</v>
      </c>
      <c r="G424" s="12" t="s">
        <v>68</v>
      </c>
      <c r="H424" s="12" t="s">
        <v>719</v>
      </c>
      <c r="I424" s="12" t="s">
        <v>720</v>
      </c>
      <c r="J424" s="17" t="s">
        <v>112</v>
      </c>
      <c r="K424" s="17" t="s">
        <v>113</v>
      </c>
      <c r="L424" s="100" t="s">
        <v>1878</v>
      </c>
      <c r="M424" s="20">
        <v>45853.0</v>
      </c>
      <c r="N424" s="17" t="s">
        <v>194</v>
      </c>
      <c r="O424" s="88" t="s">
        <v>1521</v>
      </c>
      <c r="P424" s="88" t="s">
        <v>1521</v>
      </c>
      <c r="Q424" s="88" t="s">
        <v>1521</v>
      </c>
      <c r="R424" s="88" t="s">
        <v>1521</v>
      </c>
      <c r="S424" s="88" t="s">
        <v>1521</v>
      </c>
      <c r="T424" s="88" t="s">
        <v>1521</v>
      </c>
      <c r="U424" s="88" t="s">
        <v>1521</v>
      </c>
      <c r="V424" s="88" t="s">
        <v>1521</v>
      </c>
      <c r="W424" s="88" t="s">
        <v>1521</v>
      </c>
      <c r="X424" s="88" t="s">
        <v>1521</v>
      </c>
      <c r="Y424" s="88" t="s">
        <v>1521</v>
      </c>
      <c r="Z424" s="88" t="s">
        <v>1520</v>
      </c>
      <c r="AA424" s="88" t="s">
        <v>1521</v>
      </c>
      <c r="AB424" s="88" t="s">
        <v>1521</v>
      </c>
      <c r="AC424" s="88" t="s">
        <v>1521</v>
      </c>
      <c r="AD424" s="89"/>
      <c r="AE424" s="18" t="s">
        <v>638</v>
      </c>
      <c r="AF424" s="24"/>
      <c r="AG424" s="24"/>
      <c r="AH424" s="24"/>
      <c r="AI424" s="24"/>
      <c r="AJ424" s="24"/>
      <c r="AK424" s="24"/>
      <c r="AL424" s="24"/>
      <c r="AM424" s="24"/>
    </row>
    <row r="425">
      <c r="A425" s="11"/>
      <c r="B425" s="12" t="s">
        <v>34</v>
      </c>
      <c r="C425" s="12" t="s">
        <v>65</v>
      </c>
      <c r="D425" s="12" t="s">
        <v>43</v>
      </c>
      <c r="E425" s="12" t="s">
        <v>717</v>
      </c>
      <c r="F425" s="13" t="s">
        <v>718</v>
      </c>
      <c r="G425" s="12" t="s">
        <v>68</v>
      </c>
      <c r="H425" s="12" t="s">
        <v>719</v>
      </c>
      <c r="I425" s="12" t="s">
        <v>720</v>
      </c>
      <c r="J425" s="17" t="s">
        <v>112</v>
      </c>
      <c r="K425" s="17" t="s">
        <v>113</v>
      </c>
      <c r="L425" s="100" t="s">
        <v>1879</v>
      </c>
      <c r="M425" s="20">
        <v>45853.0</v>
      </c>
      <c r="N425" s="17" t="s">
        <v>194</v>
      </c>
      <c r="O425" s="88" t="s">
        <v>1521</v>
      </c>
      <c r="P425" s="88" t="s">
        <v>1521</v>
      </c>
      <c r="Q425" s="88" t="s">
        <v>1521</v>
      </c>
      <c r="R425" s="88" t="s">
        <v>1521</v>
      </c>
      <c r="S425" s="88" t="s">
        <v>1521</v>
      </c>
      <c r="T425" s="88" t="s">
        <v>1521</v>
      </c>
      <c r="U425" s="88" t="s">
        <v>1521</v>
      </c>
      <c r="V425" s="88" t="s">
        <v>1521</v>
      </c>
      <c r="W425" s="88" t="s">
        <v>1521</v>
      </c>
      <c r="X425" s="88" t="s">
        <v>1521</v>
      </c>
      <c r="Y425" s="88" t="s">
        <v>1521</v>
      </c>
      <c r="Z425" s="88" t="s">
        <v>1521</v>
      </c>
      <c r="AA425" s="88" t="s">
        <v>1521</v>
      </c>
      <c r="AB425" s="88" t="s">
        <v>1521</v>
      </c>
      <c r="AC425" s="88" t="s">
        <v>1520</v>
      </c>
      <c r="AD425" s="89"/>
      <c r="AE425" s="18" t="s">
        <v>638</v>
      </c>
      <c r="AF425" s="24"/>
      <c r="AG425" s="24"/>
      <c r="AH425" s="24"/>
      <c r="AI425" s="24"/>
      <c r="AJ425" s="24"/>
      <c r="AK425" s="24"/>
      <c r="AL425" s="24"/>
      <c r="AM425" s="24"/>
    </row>
    <row r="426">
      <c r="A426" s="11"/>
      <c r="B426" s="12" t="s">
        <v>34</v>
      </c>
      <c r="C426" s="12" t="s">
        <v>65</v>
      </c>
      <c r="D426" s="12" t="s">
        <v>43</v>
      </c>
      <c r="E426" s="12" t="s">
        <v>717</v>
      </c>
      <c r="F426" s="13" t="s">
        <v>718</v>
      </c>
      <c r="G426" s="12" t="s">
        <v>68</v>
      </c>
      <c r="H426" s="12" t="s">
        <v>719</v>
      </c>
      <c r="I426" s="12" t="s">
        <v>720</v>
      </c>
      <c r="J426" s="17" t="s">
        <v>112</v>
      </c>
      <c r="K426" s="17" t="s">
        <v>113</v>
      </c>
      <c r="L426" s="100" t="s">
        <v>1880</v>
      </c>
      <c r="M426" s="20">
        <v>45853.0</v>
      </c>
      <c r="N426" s="17" t="s">
        <v>194</v>
      </c>
      <c r="O426" s="88" t="s">
        <v>1520</v>
      </c>
      <c r="P426" s="88" t="s">
        <v>1520</v>
      </c>
      <c r="Q426" s="88" t="s">
        <v>1521</v>
      </c>
      <c r="R426" s="88" t="s">
        <v>1521</v>
      </c>
      <c r="S426" s="88" t="s">
        <v>1521</v>
      </c>
      <c r="T426" s="88" t="s">
        <v>1521</v>
      </c>
      <c r="U426" s="88" t="s">
        <v>1521</v>
      </c>
      <c r="V426" s="88" t="s">
        <v>1520</v>
      </c>
      <c r="W426" s="88" t="s">
        <v>1521</v>
      </c>
      <c r="X426" s="88" t="s">
        <v>1521</v>
      </c>
      <c r="Y426" s="88" t="s">
        <v>1521</v>
      </c>
      <c r="Z426" s="88" t="s">
        <v>1521</v>
      </c>
      <c r="AA426" s="88" t="s">
        <v>1521</v>
      </c>
      <c r="AB426" s="88" t="s">
        <v>1521</v>
      </c>
      <c r="AC426" s="88" t="s">
        <v>1521</v>
      </c>
      <c r="AD426" s="89"/>
      <c r="AE426" s="18" t="s">
        <v>638</v>
      </c>
      <c r="AF426" s="24"/>
      <c r="AG426" s="24"/>
      <c r="AH426" s="24"/>
      <c r="AI426" s="24"/>
      <c r="AJ426" s="24"/>
      <c r="AK426" s="24"/>
      <c r="AL426" s="24"/>
      <c r="AM426" s="24"/>
    </row>
    <row r="427">
      <c r="A427" s="11"/>
      <c r="B427" s="12" t="s">
        <v>34</v>
      </c>
      <c r="C427" s="12" t="s">
        <v>65</v>
      </c>
      <c r="D427" s="12" t="s">
        <v>43</v>
      </c>
      <c r="E427" s="12" t="s">
        <v>717</v>
      </c>
      <c r="F427" s="13" t="s">
        <v>718</v>
      </c>
      <c r="G427" s="12" t="s">
        <v>68</v>
      </c>
      <c r="H427" s="12" t="s">
        <v>719</v>
      </c>
      <c r="I427" s="12" t="s">
        <v>720</v>
      </c>
      <c r="J427" s="17" t="s">
        <v>112</v>
      </c>
      <c r="K427" s="17" t="s">
        <v>113</v>
      </c>
      <c r="L427" s="100" t="s">
        <v>1881</v>
      </c>
      <c r="M427" s="20">
        <v>45853.0</v>
      </c>
      <c r="N427" s="17" t="s">
        <v>194</v>
      </c>
      <c r="O427" s="88" t="s">
        <v>1520</v>
      </c>
      <c r="P427" s="88" t="s">
        <v>1521</v>
      </c>
      <c r="Q427" s="88" t="s">
        <v>1521</v>
      </c>
      <c r="R427" s="88" t="s">
        <v>1521</v>
      </c>
      <c r="S427" s="88" t="s">
        <v>1521</v>
      </c>
      <c r="T427" s="88" t="s">
        <v>1520</v>
      </c>
      <c r="U427" s="88" t="s">
        <v>1521</v>
      </c>
      <c r="V427" s="88" t="s">
        <v>1521</v>
      </c>
      <c r="W427" s="88" t="s">
        <v>1521</v>
      </c>
      <c r="X427" s="88" t="s">
        <v>1521</v>
      </c>
      <c r="Y427" s="88" t="s">
        <v>1521</v>
      </c>
      <c r="Z427" s="88" t="s">
        <v>1521</v>
      </c>
      <c r="AA427" s="88" t="s">
        <v>1520</v>
      </c>
      <c r="AB427" s="88" t="s">
        <v>1521</v>
      </c>
      <c r="AC427" s="88" t="s">
        <v>1521</v>
      </c>
      <c r="AD427" s="89"/>
      <c r="AE427" s="18" t="s">
        <v>638</v>
      </c>
      <c r="AF427" s="24"/>
      <c r="AG427" s="24"/>
      <c r="AH427" s="24"/>
      <c r="AI427" s="24"/>
      <c r="AJ427" s="24"/>
      <c r="AK427" s="24"/>
      <c r="AL427" s="24"/>
      <c r="AM427" s="24"/>
    </row>
    <row r="428">
      <c r="A428" s="11"/>
      <c r="B428" s="12" t="s">
        <v>34</v>
      </c>
      <c r="C428" s="12" t="s">
        <v>65</v>
      </c>
      <c r="D428" s="12" t="s">
        <v>43</v>
      </c>
      <c r="E428" s="12" t="s">
        <v>717</v>
      </c>
      <c r="F428" s="13" t="s">
        <v>718</v>
      </c>
      <c r="G428" s="12" t="s">
        <v>68</v>
      </c>
      <c r="H428" s="12" t="s">
        <v>719</v>
      </c>
      <c r="I428" s="12" t="s">
        <v>720</v>
      </c>
      <c r="J428" s="17" t="s">
        <v>112</v>
      </c>
      <c r="K428" s="17" t="s">
        <v>113</v>
      </c>
      <c r="L428" s="100" t="s">
        <v>1882</v>
      </c>
      <c r="M428" s="20">
        <v>45853.0</v>
      </c>
      <c r="N428" s="17" t="s">
        <v>194</v>
      </c>
      <c r="O428" s="88" t="s">
        <v>1520</v>
      </c>
      <c r="P428" s="88" t="s">
        <v>1521</v>
      </c>
      <c r="Q428" s="88" t="s">
        <v>1520</v>
      </c>
      <c r="R428" s="88" t="s">
        <v>1521</v>
      </c>
      <c r="S428" s="88" t="s">
        <v>1521</v>
      </c>
      <c r="T428" s="88" t="s">
        <v>1521</v>
      </c>
      <c r="U428" s="88" t="s">
        <v>1521</v>
      </c>
      <c r="V428" s="88" t="s">
        <v>1521</v>
      </c>
      <c r="W428" s="88" t="s">
        <v>1521</v>
      </c>
      <c r="X428" s="88" t="s">
        <v>1521</v>
      </c>
      <c r="Y428" s="88" t="s">
        <v>1521</v>
      </c>
      <c r="Z428" s="88" t="s">
        <v>1521</v>
      </c>
      <c r="AA428" s="88" t="s">
        <v>1521</v>
      </c>
      <c r="AB428" s="88" t="s">
        <v>1521</v>
      </c>
      <c r="AC428" s="88" t="s">
        <v>1521</v>
      </c>
      <c r="AD428" s="89"/>
      <c r="AE428" s="18" t="s">
        <v>638</v>
      </c>
      <c r="AF428" s="24"/>
      <c r="AG428" s="24"/>
      <c r="AH428" s="24"/>
      <c r="AI428" s="24"/>
      <c r="AJ428" s="24"/>
      <c r="AK428" s="24"/>
      <c r="AL428" s="24"/>
      <c r="AM428" s="24"/>
    </row>
    <row r="429">
      <c r="A429" s="11"/>
      <c r="B429" s="12" t="s">
        <v>34</v>
      </c>
      <c r="C429" s="12" t="s">
        <v>65</v>
      </c>
      <c r="D429" s="12" t="s">
        <v>43</v>
      </c>
      <c r="E429" s="12" t="s">
        <v>717</v>
      </c>
      <c r="F429" s="13" t="s">
        <v>718</v>
      </c>
      <c r="G429" s="12" t="s">
        <v>68</v>
      </c>
      <c r="H429" s="12" t="s">
        <v>719</v>
      </c>
      <c r="I429" s="12" t="s">
        <v>720</v>
      </c>
      <c r="J429" s="17" t="s">
        <v>112</v>
      </c>
      <c r="K429" s="17" t="s">
        <v>113</v>
      </c>
      <c r="L429" s="100" t="s">
        <v>1883</v>
      </c>
      <c r="M429" s="20">
        <v>45853.0</v>
      </c>
      <c r="N429" s="17" t="s">
        <v>194</v>
      </c>
      <c r="O429" s="88" t="s">
        <v>1521</v>
      </c>
      <c r="P429" s="88" t="s">
        <v>1521</v>
      </c>
      <c r="Q429" s="88" t="s">
        <v>1520</v>
      </c>
      <c r="R429" s="88" t="s">
        <v>1521</v>
      </c>
      <c r="S429" s="88" t="s">
        <v>1521</v>
      </c>
      <c r="T429" s="88" t="s">
        <v>1521</v>
      </c>
      <c r="U429" s="88" t="s">
        <v>1521</v>
      </c>
      <c r="V429" s="88" t="s">
        <v>1521</v>
      </c>
      <c r="W429" s="88" t="s">
        <v>1521</v>
      </c>
      <c r="X429" s="88" t="s">
        <v>1521</v>
      </c>
      <c r="Y429" s="88" t="s">
        <v>1521</v>
      </c>
      <c r="Z429" s="88" t="s">
        <v>1521</v>
      </c>
      <c r="AA429" s="88" t="s">
        <v>1520</v>
      </c>
      <c r="AB429" s="88" t="s">
        <v>1521</v>
      </c>
      <c r="AC429" s="88" t="s">
        <v>1521</v>
      </c>
      <c r="AD429" s="89"/>
      <c r="AE429" s="18" t="s">
        <v>638</v>
      </c>
      <c r="AF429" s="24"/>
      <c r="AG429" s="24"/>
      <c r="AH429" s="24"/>
      <c r="AI429" s="24"/>
      <c r="AJ429" s="24"/>
      <c r="AK429" s="24"/>
      <c r="AL429" s="24"/>
      <c r="AM429" s="24"/>
    </row>
    <row r="430">
      <c r="A430" s="11"/>
      <c r="B430" s="12" t="s">
        <v>34</v>
      </c>
      <c r="C430" s="12" t="s">
        <v>65</v>
      </c>
      <c r="D430" s="12" t="s">
        <v>43</v>
      </c>
      <c r="E430" s="12" t="s">
        <v>717</v>
      </c>
      <c r="F430" s="13" t="s">
        <v>718</v>
      </c>
      <c r="G430" s="12" t="s">
        <v>68</v>
      </c>
      <c r="H430" s="12" t="s">
        <v>719</v>
      </c>
      <c r="I430" s="12" t="s">
        <v>720</v>
      </c>
      <c r="J430" s="17" t="s">
        <v>112</v>
      </c>
      <c r="K430" s="17" t="s">
        <v>113</v>
      </c>
      <c r="L430" s="100" t="s">
        <v>1884</v>
      </c>
      <c r="M430" s="20">
        <v>45853.0</v>
      </c>
      <c r="N430" s="17" t="s">
        <v>194</v>
      </c>
      <c r="O430" s="88" t="s">
        <v>1520</v>
      </c>
      <c r="P430" s="88" t="s">
        <v>1521</v>
      </c>
      <c r="Q430" s="88" t="s">
        <v>1520</v>
      </c>
      <c r="R430" s="88" t="s">
        <v>1520</v>
      </c>
      <c r="S430" s="88" t="s">
        <v>1521</v>
      </c>
      <c r="T430" s="88" t="s">
        <v>1520</v>
      </c>
      <c r="U430" s="88" t="s">
        <v>1521</v>
      </c>
      <c r="V430" s="88" t="s">
        <v>1521</v>
      </c>
      <c r="W430" s="88" t="s">
        <v>1521</v>
      </c>
      <c r="X430" s="88" t="s">
        <v>1521</v>
      </c>
      <c r="Y430" s="88" t="s">
        <v>1520</v>
      </c>
      <c r="Z430" s="88" t="s">
        <v>1521</v>
      </c>
      <c r="AA430" s="88" t="s">
        <v>1521</v>
      </c>
      <c r="AB430" s="88" t="s">
        <v>1520</v>
      </c>
      <c r="AC430" s="88" t="s">
        <v>1521</v>
      </c>
      <c r="AD430" s="89"/>
      <c r="AE430" s="18" t="s">
        <v>638</v>
      </c>
      <c r="AF430" s="24"/>
      <c r="AG430" s="24"/>
      <c r="AH430" s="24"/>
      <c r="AI430" s="24"/>
      <c r="AJ430" s="24"/>
      <c r="AK430" s="24"/>
      <c r="AL430" s="24"/>
      <c r="AM430" s="24"/>
    </row>
    <row r="431">
      <c r="A431" s="11"/>
      <c r="B431" s="12" t="s">
        <v>34</v>
      </c>
      <c r="C431" s="12" t="s">
        <v>65</v>
      </c>
      <c r="D431" s="12" t="s">
        <v>43</v>
      </c>
      <c r="E431" s="12" t="s">
        <v>717</v>
      </c>
      <c r="F431" s="13" t="s">
        <v>718</v>
      </c>
      <c r="G431" s="12" t="s">
        <v>68</v>
      </c>
      <c r="H431" s="12" t="s">
        <v>719</v>
      </c>
      <c r="I431" s="12" t="s">
        <v>720</v>
      </c>
      <c r="J431" s="17" t="s">
        <v>108</v>
      </c>
      <c r="K431" s="17" t="s">
        <v>109</v>
      </c>
      <c r="L431" s="100" t="s">
        <v>1885</v>
      </c>
      <c r="M431" s="20">
        <v>45853.0</v>
      </c>
      <c r="N431" s="17" t="s">
        <v>194</v>
      </c>
      <c r="O431" s="88" t="s">
        <v>1520</v>
      </c>
      <c r="P431" s="88" t="s">
        <v>1521</v>
      </c>
      <c r="Q431" s="88" t="s">
        <v>1521</v>
      </c>
      <c r="R431" s="88" t="s">
        <v>1521</v>
      </c>
      <c r="S431" s="88" t="s">
        <v>1521</v>
      </c>
      <c r="T431" s="88" t="s">
        <v>1521</v>
      </c>
      <c r="U431" s="88" t="s">
        <v>1521</v>
      </c>
      <c r="V431" s="88" t="s">
        <v>1521</v>
      </c>
      <c r="W431" s="88" t="s">
        <v>1521</v>
      </c>
      <c r="X431" s="88" t="s">
        <v>1521</v>
      </c>
      <c r="Y431" s="88" t="s">
        <v>1521</v>
      </c>
      <c r="Z431" s="88" t="s">
        <v>1521</v>
      </c>
      <c r="AA431" s="88" t="s">
        <v>1521</v>
      </c>
      <c r="AB431" s="88" t="s">
        <v>1521</v>
      </c>
      <c r="AC431" s="88" t="s">
        <v>1520</v>
      </c>
      <c r="AD431" s="89"/>
      <c r="AE431" s="18" t="s">
        <v>638</v>
      </c>
      <c r="AF431" s="24"/>
      <c r="AG431" s="24"/>
      <c r="AH431" s="24"/>
      <c r="AI431" s="24"/>
      <c r="AJ431" s="24"/>
      <c r="AK431" s="24"/>
      <c r="AL431" s="24"/>
      <c r="AM431" s="24"/>
    </row>
    <row r="432">
      <c r="A432" s="11"/>
      <c r="B432" s="12" t="s">
        <v>34</v>
      </c>
      <c r="C432" s="12" t="s">
        <v>65</v>
      </c>
      <c r="D432" s="12" t="s">
        <v>43</v>
      </c>
      <c r="E432" s="12" t="s">
        <v>717</v>
      </c>
      <c r="F432" s="13" t="s">
        <v>718</v>
      </c>
      <c r="G432" s="12" t="s">
        <v>68</v>
      </c>
      <c r="H432" s="12" t="s">
        <v>719</v>
      </c>
      <c r="I432" s="12" t="s">
        <v>720</v>
      </c>
      <c r="J432" s="17" t="s">
        <v>108</v>
      </c>
      <c r="K432" s="17" t="s">
        <v>109</v>
      </c>
      <c r="L432" s="100" t="s">
        <v>1886</v>
      </c>
      <c r="M432" s="20">
        <v>45853.0</v>
      </c>
      <c r="N432" s="17" t="s">
        <v>194</v>
      </c>
      <c r="O432" s="88" t="s">
        <v>1520</v>
      </c>
      <c r="P432" s="88" t="s">
        <v>1521</v>
      </c>
      <c r="Q432" s="88" t="s">
        <v>1521</v>
      </c>
      <c r="R432" s="88" t="s">
        <v>1521</v>
      </c>
      <c r="S432" s="88" t="s">
        <v>1520</v>
      </c>
      <c r="T432" s="88" t="s">
        <v>1521</v>
      </c>
      <c r="U432" s="88" t="s">
        <v>1521</v>
      </c>
      <c r="V432" s="88" t="s">
        <v>1521</v>
      </c>
      <c r="W432" s="88" t="s">
        <v>1521</v>
      </c>
      <c r="X432" s="88" t="s">
        <v>1521</v>
      </c>
      <c r="Y432" s="88" t="s">
        <v>1521</v>
      </c>
      <c r="Z432" s="88" t="s">
        <v>1520</v>
      </c>
      <c r="AA432" s="88" t="s">
        <v>1520</v>
      </c>
      <c r="AB432" s="88" t="s">
        <v>1520</v>
      </c>
      <c r="AC432" s="88" t="s">
        <v>1521</v>
      </c>
      <c r="AD432" s="89"/>
      <c r="AE432" s="18" t="s">
        <v>638</v>
      </c>
      <c r="AF432" s="24"/>
      <c r="AG432" s="24"/>
      <c r="AH432" s="24"/>
      <c r="AI432" s="24"/>
      <c r="AJ432" s="24"/>
      <c r="AK432" s="24"/>
      <c r="AL432" s="24"/>
      <c r="AM432" s="24"/>
    </row>
    <row r="433">
      <c r="A433" s="11"/>
      <c r="B433" s="12" t="s">
        <v>34</v>
      </c>
      <c r="C433" s="12" t="s">
        <v>65</v>
      </c>
      <c r="D433" s="12" t="s">
        <v>43</v>
      </c>
      <c r="E433" s="12" t="s">
        <v>717</v>
      </c>
      <c r="F433" s="13" t="s">
        <v>718</v>
      </c>
      <c r="G433" s="12" t="s">
        <v>68</v>
      </c>
      <c r="H433" s="12" t="s">
        <v>719</v>
      </c>
      <c r="I433" s="12" t="s">
        <v>720</v>
      </c>
      <c r="J433" s="17" t="s">
        <v>108</v>
      </c>
      <c r="K433" s="17" t="s">
        <v>109</v>
      </c>
      <c r="L433" s="100" t="s">
        <v>1887</v>
      </c>
      <c r="M433" s="20">
        <v>45853.0</v>
      </c>
      <c r="N433" s="17" t="s">
        <v>194</v>
      </c>
      <c r="O433" s="88" t="s">
        <v>1520</v>
      </c>
      <c r="P433" s="88" t="s">
        <v>1521</v>
      </c>
      <c r="Q433" s="88" t="s">
        <v>1521</v>
      </c>
      <c r="R433" s="88" t="s">
        <v>1520</v>
      </c>
      <c r="S433" s="88" t="s">
        <v>1521</v>
      </c>
      <c r="T433" s="88" t="s">
        <v>1520</v>
      </c>
      <c r="U433" s="88" t="s">
        <v>1521</v>
      </c>
      <c r="V433" s="88" t="s">
        <v>1521</v>
      </c>
      <c r="W433" s="88" t="s">
        <v>1521</v>
      </c>
      <c r="X433" s="88" t="s">
        <v>1520</v>
      </c>
      <c r="Y433" s="88" t="s">
        <v>1521</v>
      </c>
      <c r="Z433" s="88" t="s">
        <v>1521</v>
      </c>
      <c r="AA433" s="88" t="s">
        <v>1521</v>
      </c>
      <c r="AB433" s="88" t="s">
        <v>1521</v>
      </c>
      <c r="AC433" s="88" t="s">
        <v>1521</v>
      </c>
      <c r="AD433" s="89"/>
      <c r="AE433" s="18" t="s">
        <v>638</v>
      </c>
      <c r="AF433" s="24"/>
      <c r="AG433" s="24"/>
      <c r="AH433" s="24"/>
      <c r="AI433" s="24"/>
      <c r="AJ433" s="24"/>
      <c r="AK433" s="24"/>
      <c r="AL433" s="24"/>
      <c r="AM433" s="24"/>
    </row>
    <row r="434">
      <c r="A434" s="11"/>
      <c r="B434" s="12" t="s">
        <v>34</v>
      </c>
      <c r="C434" s="12" t="s">
        <v>65</v>
      </c>
      <c r="D434" s="12" t="s">
        <v>43</v>
      </c>
      <c r="E434" s="12" t="s">
        <v>717</v>
      </c>
      <c r="F434" s="13" t="s">
        <v>718</v>
      </c>
      <c r="G434" s="12" t="s">
        <v>68</v>
      </c>
      <c r="H434" s="12" t="s">
        <v>719</v>
      </c>
      <c r="I434" s="12" t="s">
        <v>720</v>
      </c>
      <c r="J434" s="17" t="s">
        <v>108</v>
      </c>
      <c r="K434" s="17" t="s">
        <v>109</v>
      </c>
      <c r="L434" s="100" t="s">
        <v>1888</v>
      </c>
      <c r="M434" s="20">
        <v>45853.0</v>
      </c>
      <c r="N434" s="17" t="s">
        <v>194</v>
      </c>
      <c r="O434" s="88" t="s">
        <v>1520</v>
      </c>
      <c r="P434" s="88" t="s">
        <v>1521</v>
      </c>
      <c r="Q434" s="88" t="s">
        <v>1520</v>
      </c>
      <c r="R434" s="88" t="s">
        <v>1521</v>
      </c>
      <c r="S434" s="88" t="s">
        <v>1521</v>
      </c>
      <c r="T434" s="88" t="s">
        <v>1521</v>
      </c>
      <c r="U434" s="88" t="s">
        <v>1521</v>
      </c>
      <c r="V434" s="88" t="s">
        <v>1521</v>
      </c>
      <c r="W434" s="88" t="s">
        <v>1521</v>
      </c>
      <c r="X434" s="88" t="s">
        <v>1521</v>
      </c>
      <c r="Y434" s="88" t="s">
        <v>1520</v>
      </c>
      <c r="Z434" s="88" t="s">
        <v>1521</v>
      </c>
      <c r="AA434" s="88" t="s">
        <v>1520</v>
      </c>
      <c r="AB434" s="88" t="s">
        <v>1520</v>
      </c>
      <c r="AC434" s="88" t="s">
        <v>1521</v>
      </c>
      <c r="AD434" s="89"/>
      <c r="AE434" s="18" t="s">
        <v>638</v>
      </c>
      <c r="AF434" s="24"/>
      <c r="AG434" s="24"/>
      <c r="AH434" s="24"/>
      <c r="AI434" s="24"/>
      <c r="AJ434" s="24"/>
      <c r="AK434" s="24"/>
      <c r="AL434" s="24"/>
      <c r="AM434" s="24"/>
    </row>
    <row r="435">
      <c r="A435" s="11"/>
      <c r="B435" s="12" t="s">
        <v>34</v>
      </c>
      <c r="C435" s="12" t="s">
        <v>65</v>
      </c>
      <c r="D435" s="12" t="s">
        <v>43</v>
      </c>
      <c r="E435" s="12" t="s">
        <v>717</v>
      </c>
      <c r="F435" s="13" t="s">
        <v>718</v>
      </c>
      <c r="G435" s="12" t="s">
        <v>68</v>
      </c>
      <c r="H435" s="12" t="s">
        <v>719</v>
      </c>
      <c r="I435" s="12" t="s">
        <v>720</v>
      </c>
      <c r="J435" s="17" t="s">
        <v>108</v>
      </c>
      <c r="K435" s="17" t="s">
        <v>109</v>
      </c>
      <c r="L435" s="100" t="s">
        <v>1889</v>
      </c>
      <c r="M435" s="20">
        <v>45853.0</v>
      </c>
      <c r="N435" s="17" t="s">
        <v>194</v>
      </c>
      <c r="O435" s="88" t="s">
        <v>1520</v>
      </c>
      <c r="P435" s="88" t="s">
        <v>1521</v>
      </c>
      <c r="Q435" s="88" t="s">
        <v>1521</v>
      </c>
      <c r="R435" s="88" t="s">
        <v>1521</v>
      </c>
      <c r="S435" s="88" t="s">
        <v>1521</v>
      </c>
      <c r="T435" s="88" t="s">
        <v>1521</v>
      </c>
      <c r="U435" s="88" t="s">
        <v>1521</v>
      </c>
      <c r="V435" s="88" t="s">
        <v>1521</v>
      </c>
      <c r="W435" s="88" t="s">
        <v>1521</v>
      </c>
      <c r="X435" s="88" t="s">
        <v>1521</v>
      </c>
      <c r="Y435" s="88" t="s">
        <v>1521</v>
      </c>
      <c r="Z435" s="88" t="s">
        <v>1521</v>
      </c>
      <c r="AA435" s="88" t="s">
        <v>1521</v>
      </c>
      <c r="AB435" s="88" t="s">
        <v>1521</v>
      </c>
      <c r="AC435" s="88" t="s">
        <v>1520</v>
      </c>
      <c r="AD435" s="89"/>
      <c r="AE435" s="18" t="s">
        <v>638</v>
      </c>
      <c r="AF435" s="24"/>
      <c r="AG435" s="24"/>
      <c r="AH435" s="24"/>
      <c r="AI435" s="24"/>
      <c r="AJ435" s="24"/>
      <c r="AK435" s="24"/>
      <c r="AL435" s="24"/>
      <c r="AM435" s="24"/>
    </row>
    <row r="436">
      <c r="A436" s="11"/>
      <c r="B436" s="12" t="s">
        <v>34</v>
      </c>
      <c r="C436" s="12" t="s">
        <v>65</v>
      </c>
      <c r="D436" s="12" t="s">
        <v>43</v>
      </c>
      <c r="E436" s="12" t="s">
        <v>717</v>
      </c>
      <c r="F436" s="13" t="s">
        <v>718</v>
      </c>
      <c r="G436" s="12" t="s">
        <v>68</v>
      </c>
      <c r="H436" s="12" t="s">
        <v>719</v>
      </c>
      <c r="I436" s="12" t="s">
        <v>720</v>
      </c>
      <c r="J436" s="17" t="s">
        <v>108</v>
      </c>
      <c r="K436" s="17" t="s">
        <v>109</v>
      </c>
      <c r="L436" s="100" t="s">
        <v>1890</v>
      </c>
      <c r="M436" s="20">
        <v>45853.0</v>
      </c>
      <c r="N436" s="17" t="s">
        <v>194</v>
      </c>
      <c r="O436" s="88" t="s">
        <v>1520</v>
      </c>
      <c r="P436" s="88" t="s">
        <v>1521</v>
      </c>
      <c r="Q436" s="88" t="s">
        <v>1519</v>
      </c>
      <c r="R436" s="88" t="s">
        <v>1521</v>
      </c>
      <c r="S436" s="88" t="s">
        <v>1521</v>
      </c>
      <c r="T436" s="88" t="s">
        <v>1521</v>
      </c>
      <c r="U436" s="88" t="s">
        <v>1521</v>
      </c>
      <c r="V436" s="88" t="s">
        <v>1521</v>
      </c>
      <c r="W436" s="88" t="s">
        <v>1520</v>
      </c>
      <c r="X436" s="88" t="s">
        <v>1521</v>
      </c>
      <c r="Y436" s="88" t="s">
        <v>1521</v>
      </c>
      <c r="Z436" s="88" t="s">
        <v>1520</v>
      </c>
      <c r="AA436" s="88" t="s">
        <v>1521</v>
      </c>
      <c r="AB436" s="88" t="s">
        <v>1520</v>
      </c>
      <c r="AC436" s="88" t="s">
        <v>1521</v>
      </c>
      <c r="AD436" s="89"/>
      <c r="AE436" s="18" t="s">
        <v>638</v>
      </c>
      <c r="AF436" s="24"/>
      <c r="AG436" s="24"/>
      <c r="AH436" s="24"/>
      <c r="AI436" s="24"/>
      <c r="AJ436" s="24"/>
      <c r="AK436" s="24"/>
      <c r="AL436" s="24"/>
      <c r="AM436" s="24"/>
    </row>
    <row r="437">
      <c r="A437" s="11"/>
      <c r="B437" s="12" t="s">
        <v>34</v>
      </c>
      <c r="C437" s="12" t="s">
        <v>65</v>
      </c>
      <c r="D437" s="12" t="s">
        <v>43</v>
      </c>
      <c r="E437" s="12" t="s">
        <v>717</v>
      </c>
      <c r="F437" s="13" t="s">
        <v>718</v>
      </c>
      <c r="G437" s="12" t="s">
        <v>68</v>
      </c>
      <c r="H437" s="12" t="s">
        <v>719</v>
      </c>
      <c r="I437" s="12" t="s">
        <v>720</v>
      </c>
      <c r="J437" s="17" t="s">
        <v>108</v>
      </c>
      <c r="K437" s="17" t="s">
        <v>109</v>
      </c>
      <c r="L437" s="100" t="s">
        <v>1891</v>
      </c>
      <c r="M437" s="20">
        <v>45853.0</v>
      </c>
      <c r="N437" s="17" t="s">
        <v>194</v>
      </c>
      <c r="O437" s="88" t="s">
        <v>1521</v>
      </c>
      <c r="P437" s="88" t="s">
        <v>1521</v>
      </c>
      <c r="Q437" s="88" t="s">
        <v>1521</v>
      </c>
      <c r="R437" s="88" t="s">
        <v>1521</v>
      </c>
      <c r="S437" s="88" t="s">
        <v>1521</v>
      </c>
      <c r="T437" s="88" t="s">
        <v>1521</v>
      </c>
      <c r="U437" s="88" t="s">
        <v>1520</v>
      </c>
      <c r="V437" s="88" t="s">
        <v>1520</v>
      </c>
      <c r="W437" s="88" t="s">
        <v>1521</v>
      </c>
      <c r="X437" s="88" t="s">
        <v>1521</v>
      </c>
      <c r="Y437" s="88" t="s">
        <v>1521</v>
      </c>
      <c r="Z437" s="88" t="s">
        <v>1520</v>
      </c>
      <c r="AA437" s="88" t="s">
        <v>1521</v>
      </c>
      <c r="AB437" s="88" t="s">
        <v>1521</v>
      </c>
      <c r="AC437" s="88" t="s">
        <v>1521</v>
      </c>
      <c r="AD437" s="89"/>
      <c r="AE437" s="18" t="s">
        <v>638</v>
      </c>
      <c r="AF437" s="24"/>
      <c r="AG437" s="24"/>
      <c r="AH437" s="24"/>
      <c r="AI437" s="24"/>
      <c r="AJ437" s="24"/>
      <c r="AK437" s="24"/>
      <c r="AL437" s="24"/>
      <c r="AM437" s="24"/>
    </row>
    <row r="438">
      <c r="A438" s="11"/>
      <c r="B438" s="12" t="s">
        <v>34</v>
      </c>
      <c r="C438" s="12" t="s">
        <v>65</v>
      </c>
      <c r="D438" s="12" t="s">
        <v>43</v>
      </c>
      <c r="E438" s="12" t="s">
        <v>717</v>
      </c>
      <c r="F438" s="13" t="s">
        <v>718</v>
      </c>
      <c r="G438" s="12" t="s">
        <v>68</v>
      </c>
      <c r="H438" s="12" t="s">
        <v>719</v>
      </c>
      <c r="I438" s="12" t="s">
        <v>720</v>
      </c>
      <c r="J438" s="17" t="s">
        <v>108</v>
      </c>
      <c r="K438" s="17" t="s">
        <v>109</v>
      </c>
      <c r="L438" s="100" t="s">
        <v>1892</v>
      </c>
      <c r="M438" s="20">
        <v>45853.0</v>
      </c>
      <c r="N438" s="17" t="s">
        <v>194</v>
      </c>
      <c r="O438" s="88" t="s">
        <v>1520</v>
      </c>
      <c r="P438" s="88" t="s">
        <v>1521</v>
      </c>
      <c r="Q438" s="88" t="s">
        <v>1521</v>
      </c>
      <c r="R438" s="88" t="s">
        <v>1521</v>
      </c>
      <c r="S438" s="88" t="s">
        <v>1521</v>
      </c>
      <c r="T438" s="88" t="s">
        <v>1520</v>
      </c>
      <c r="U438" s="88" t="s">
        <v>1521</v>
      </c>
      <c r="V438" s="88" t="s">
        <v>1521</v>
      </c>
      <c r="W438" s="88" t="s">
        <v>1520</v>
      </c>
      <c r="X438" s="88" t="s">
        <v>1521</v>
      </c>
      <c r="Y438" s="88" t="s">
        <v>1520</v>
      </c>
      <c r="Z438" s="88" t="s">
        <v>1521</v>
      </c>
      <c r="AA438" s="88" t="s">
        <v>1521</v>
      </c>
      <c r="AB438" s="88" t="s">
        <v>1520</v>
      </c>
      <c r="AC438" s="88" t="s">
        <v>1520</v>
      </c>
      <c r="AD438" s="89"/>
      <c r="AE438" s="18" t="s">
        <v>638</v>
      </c>
      <c r="AF438" s="24"/>
      <c r="AG438" s="24"/>
      <c r="AH438" s="24"/>
      <c r="AI438" s="24"/>
      <c r="AJ438" s="24"/>
      <c r="AK438" s="24"/>
      <c r="AL438" s="24"/>
      <c r="AM438" s="24"/>
    </row>
    <row r="439">
      <c r="A439" s="11"/>
      <c r="B439" s="12" t="s">
        <v>34</v>
      </c>
      <c r="C439" s="12" t="s">
        <v>65</v>
      </c>
      <c r="D439" s="12" t="s">
        <v>43</v>
      </c>
      <c r="E439" s="12" t="s">
        <v>717</v>
      </c>
      <c r="F439" s="13" t="s">
        <v>718</v>
      </c>
      <c r="G439" s="12" t="s">
        <v>68</v>
      </c>
      <c r="H439" s="12" t="s">
        <v>719</v>
      </c>
      <c r="I439" s="12" t="s">
        <v>720</v>
      </c>
      <c r="J439" s="17" t="s">
        <v>108</v>
      </c>
      <c r="K439" s="17" t="s">
        <v>109</v>
      </c>
      <c r="L439" s="100" t="s">
        <v>1893</v>
      </c>
      <c r="M439" s="20">
        <v>45853.0</v>
      </c>
      <c r="N439" s="17" t="s">
        <v>194</v>
      </c>
      <c r="O439" s="88" t="s">
        <v>1520</v>
      </c>
      <c r="P439" s="88" t="s">
        <v>1521</v>
      </c>
      <c r="Q439" s="88" t="s">
        <v>1521</v>
      </c>
      <c r="R439" s="88" t="s">
        <v>1521</v>
      </c>
      <c r="S439" s="88" t="s">
        <v>1520</v>
      </c>
      <c r="T439" s="88" t="s">
        <v>1521</v>
      </c>
      <c r="U439" s="88" t="s">
        <v>1520</v>
      </c>
      <c r="V439" s="88" t="s">
        <v>1521</v>
      </c>
      <c r="W439" s="88" t="s">
        <v>1521</v>
      </c>
      <c r="X439" s="88" t="s">
        <v>1521</v>
      </c>
      <c r="Y439" s="88" t="s">
        <v>1521</v>
      </c>
      <c r="Z439" s="88" t="s">
        <v>1521</v>
      </c>
      <c r="AA439" s="88" t="s">
        <v>1521</v>
      </c>
      <c r="AB439" s="88" t="s">
        <v>1521</v>
      </c>
      <c r="AC439" s="88" t="s">
        <v>1521</v>
      </c>
      <c r="AD439" s="89"/>
      <c r="AE439" s="18" t="s">
        <v>638</v>
      </c>
      <c r="AF439" s="24"/>
      <c r="AG439" s="24"/>
      <c r="AH439" s="24"/>
      <c r="AI439" s="24"/>
      <c r="AJ439" s="24"/>
      <c r="AK439" s="24"/>
      <c r="AL439" s="24"/>
      <c r="AM439" s="24"/>
    </row>
    <row r="440">
      <c r="A440" s="11"/>
      <c r="B440" s="12" t="s">
        <v>34</v>
      </c>
      <c r="C440" s="12" t="s">
        <v>65</v>
      </c>
      <c r="D440" s="12" t="s">
        <v>43</v>
      </c>
      <c r="E440" s="12" t="s">
        <v>717</v>
      </c>
      <c r="F440" s="13" t="s">
        <v>718</v>
      </c>
      <c r="G440" s="12" t="s">
        <v>68</v>
      </c>
      <c r="H440" s="12" t="s">
        <v>719</v>
      </c>
      <c r="I440" s="12" t="s">
        <v>720</v>
      </c>
      <c r="J440" s="17" t="s">
        <v>108</v>
      </c>
      <c r="K440" s="17" t="s">
        <v>109</v>
      </c>
      <c r="L440" s="100" t="s">
        <v>1894</v>
      </c>
      <c r="M440" s="20">
        <v>45853.0</v>
      </c>
      <c r="N440" s="17" t="s">
        <v>194</v>
      </c>
      <c r="O440" s="88" t="s">
        <v>1520</v>
      </c>
      <c r="P440" s="88" t="s">
        <v>1521</v>
      </c>
      <c r="Q440" s="88" t="s">
        <v>1521</v>
      </c>
      <c r="R440" s="88" t="s">
        <v>1521</v>
      </c>
      <c r="S440" s="88" t="s">
        <v>1521</v>
      </c>
      <c r="T440" s="88" t="s">
        <v>1520</v>
      </c>
      <c r="U440" s="88" t="s">
        <v>1521</v>
      </c>
      <c r="V440" s="88" t="s">
        <v>1521</v>
      </c>
      <c r="W440" s="88" t="s">
        <v>1521</v>
      </c>
      <c r="X440" s="88" t="s">
        <v>1521</v>
      </c>
      <c r="Y440" s="88" t="s">
        <v>1521</v>
      </c>
      <c r="Z440" s="88" t="s">
        <v>1521</v>
      </c>
      <c r="AA440" s="88" t="s">
        <v>1521</v>
      </c>
      <c r="AB440" s="88" t="s">
        <v>1521</v>
      </c>
      <c r="AC440" s="88" t="s">
        <v>1520</v>
      </c>
      <c r="AD440" s="89"/>
      <c r="AE440" s="18" t="s">
        <v>638</v>
      </c>
      <c r="AF440" s="24"/>
      <c r="AG440" s="24"/>
      <c r="AH440" s="24"/>
      <c r="AI440" s="24"/>
      <c r="AJ440" s="24"/>
      <c r="AK440" s="24"/>
      <c r="AL440" s="24"/>
      <c r="AM440" s="24"/>
    </row>
    <row r="441">
      <c r="A441" s="11"/>
      <c r="B441" s="12" t="s">
        <v>34</v>
      </c>
      <c r="C441" s="12" t="s">
        <v>65</v>
      </c>
      <c r="D441" s="12" t="s">
        <v>43</v>
      </c>
      <c r="E441" s="12" t="s">
        <v>717</v>
      </c>
      <c r="F441" s="13" t="s">
        <v>718</v>
      </c>
      <c r="G441" s="12" t="s">
        <v>68</v>
      </c>
      <c r="H441" s="12" t="s">
        <v>719</v>
      </c>
      <c r="I441" s="12" t="s">
        <v>720</v>
      </c>
      <c r="J441" s="17" t="s">
        <v>108</v>
      </c>
      <c r="K441" s="17" t="s">
        <v>109</v>
      </c>
      <c r="L441" s="100" t="s">
        <v>1895</v>
      </c>
      <c r="M441" s="20">
        <v>45853.0</v>
      </c>
      <c r="N441" s="17" t="s">
        <v>194</v>
      </c>
      <c r="O441" s="88" t="s">
        <v>1520</v>
      </c>
      <c r="P441" s="88" t="s">
        <v>1521</v>
      </c>
      <c r="Q441" s="88" t="s">
        <v>1521</v>
      </c>
      <c r="R441" s="88" t="s">
        <v>1521</v>
      </c>
      <c r="S441" s="88" t="s">
        <v>1521</v>
      </c>
      <c r="T441" s="88" t="s">
        <v>1521</v>
      </c>
      <c r="U441" s="88" t="s">
        <v>1521</v>
      </c>
      <c r="V441" s="88" t="s">
        <v>1521</v>
      </c>
      <c r="W441" s="88" t="s">
        <v>1521</v>
      </c>
      <c r="X441" s="88" t="s">
        <v>1520</v>
      </c>
      <c r="Y441" s="88" t="s">
        <v>1521</v>
      </c>
      <c r="Z441" s="88" t="s">
        <v>1520</v>
      </c>
      <c r="AA441" s="88" t="s">
        <v>1520</v>
      </c>
      <c r="AB441" s="88" t="s">
        <v>1521</v>
      </c>
      <c r="AC441" s="88" t="s">
        <v>1521</v>
      </c>
      <c r="AD441" s="89"/>
      <c r="AE441" s="18" t="s">
        <v>638</v>
      </c>
      <c r="AF441" s="24"/>
      <c r="AG441" s="24"/>
      <c r="AH441" s="24"/>
      <c r="AI441" s="24"/>
      <c r="AJ441" s="24"/>
      <c r="AK441" s="24"/>
      <c r="AL441" s="24"/>
      <c r="AM441" s="24"/>
    </row>
    <row r="442">
      <c r="A442" s="11"/>
      <c r="B442" s="12" t="s">
        <v>34</v>
      </c>
      <c r="C442" s="12" t="s">
        <v>65</v>
      </c>
      <c r="D442" s="12" t="s">
        <v>43</v>
      </c>
      <c r="E442" s="12" t="s">
        <v>717</v>
      </c>
      <c r="F442" s="13" t="s">
        <v>718</v>
      </c>
      <c r="G442" s="12" t="s">
        <v>68</v>
      </c>
      <c r="H442" s="12" t="s">
        <v>719</v>
      </c>
      <c r="I442" s="12" t="s">
        <v>720</v>
      </c>
      <c r="J442" s="17" t="s">
        <v>108</v>
      </c>
      <c r="K442" s="17" t="s">
        <v>109</v>
      </c>
      <c r="L442" s="100" t="s">
        <v>1896</v>
      </c>
      <c r="M442" s="20">
        <v>45853.0</v>
      </c>
      <c r="N442" s="17" t="s">
        <v>194</v>
      </c>
      <c r="O442" s="88" t="s">
        <v>1520</v>
      </c>
      <c r="P442" s="88" t="s">
        <v>1521</v>
      </c>
      <c r="Q442" s="88" t="s">
        <v>1521</v>
      </c>
      <c r="R442" s="88" t="s">
        <v>1521</v>
      </c>
      <c r="S442" s="88" t="s">
        <v>1520</v>
      </c>
      <c r="T442" s="88" t="s">
        <v>1520</v>
      </c>
      <c r="U442" s="88" t="s">
        <v>1520</v>
      </c>
      <c r="V442" s="88" t="s">
        <v>1521</v>
      </c>
      <c r="W442" s="88" t="s">
        <v>1521</v>
      </c>
      <c r="X442" s="88" t="s">
        <v>1521</v>
      </c>
      <c r="Y442" s="88" t="s">
        <v>1521</v>
      </c>
      <c r="Z442" s="88" t="s">
        <v>1521</v>
      </c>
      <c r="AA442" s="88" t="s">
        <v>1521</v>
      </c>
      <c r="AB442" s="88" t="s">
        <v>1521</v>
      </c>
      <c r="AC442" s="88" t="s">
        <v>1521</v>
      </c>
      <c r="AD442" s="89"/>
      <c r="AE442" s="18" t="s">
        <v>638</v>
      </c>
      <c r="AF442" s="24"/>
      <c r="AG442" s="24"/>
      <c r="AH442" s="24"/>
      <c r="AI442" s="24"/>
      <c r="AJ442" s="24"/>
      <c r="AK442" s="24"/>
      <c r="AL442" s="24"/>
      <c r="AM442" s="24"/>
    </row>
    <row r="443">
      <c r="A443" s="11"/>
      <c r="B443" s="12" t="s">
        <v>34</v>
      </c>
      <c r="C443" s="12" t="s">
        <v>65</v>
      </c>
      <c r="D443" s="12" t="s">
        <v>43</v>
      </c>
      <c r="E443" s="12" t="s">
        <v>717</v>
      </c>
      <c r="F443" s="13" t="s">
        <v>718</v>
      </c>
      <c r="G443" s="12" t="s">
        <v>68</v>
      </c>
      <c r="H443" s="12" t="s">
        <v>719</v>
      </c>
      <c r="I443" s="12" t="s">
        <v>720</v>
      </c>
      <c r="J443" s="17" t="s">
        <v>108</v>
      </c>
      <c r="K443" s="17" t="s">
        <v>109</v>
      </c>
      <c r="L443" s="100" t="s">
        <v>1897</v>
      </c>
      <c r="M443" s="20">
        <v>45853.0</v>
      </c>
      <c r="N443" s="17" t="s">
        <v>194</v>
      </c>
      <c r="O443" s="88" t="s">
        <v>1521</v>
      </c>
      <c r="P443" s="88" t="s">
        <v>1520</v>
      </c>
      <c r="Q443" s="88" t="s">
        <v>1520</v>
      </c>
      <c r="R443" s="88" t="s">
        <v>1521</v>
      </c>
      <c r="S443" s="88" t="s">
        <v>1520</v>
      </c>
      <c r="T443" s="88" t="s">
        <v>1521</v>
      </c>
      <c r="U443" s="88" t="s">
        <v>1521</v>
      </c>
      <c r="V443" s="88" t="s">
        <v>1521</v>
      </c>
      <c r="W443" s="88" t="s">
        <v>1521</v>
      </c>
      <c r="X443" s="88" t="s">
        <v>1521</v>
      </c>
      <c r="Y443" s="88" t="s">
        <v>1520</v>
      </c>
      <c r="Z443" s="88" t="s">
        <v>1521</v>
      </c>
      <c r="AA443" s="88" t="s">
        <v>1521</v>
      </c>
      <c r="AB443" s="88" t="s">
        <v>1520</v>
      </c>
      <c r="AC443" s="88" t="s">
        <v>1521</v>
      </c>
      <c r="AD443" s="89"/>
      <c r="AE443" s="18" t="s">
        <v>638</v>
      </c>
      <c r="AF443" s="24"/>
      <c r="AG443" s="24"/>
      <c r="AH443" s="24"/>
      <c r="AI443" s="24"/>
      <c r="AJ443" s="24"/>
      <c r="AK443" s="24"/>
      <c r="AL443" s="24"/>
      <c r="AM443" s="24"/>
    </row>
    <row r="444">
      <c r="A444" s="11"/>
      <c r="B444" s="12" t="s">
        <v>34</v>
      </c>
      <c r="C444" s="12" t="s">
        <v>65</v>
      </c>
      <c r="D444" s="12" t="s">
        <v>43</v>
      </c>
      <c r="E444" s="12" t="s">
        <v>717</v>
      </c>
      <c r="F444" s="13" t="s">
        <v>718</v>
      </c>
      <c r="G444" s="12" t="s">
        <v>68</v>
      </c>
      <c r="H444" s="12" t="s">
        <v>719</v>
      </c>
      <c r="I444" s="12" t="s">
        <v>720</v>
      </c>
      <c r="J444" s="17" t="s">
        <v>108</v>
      </c>
      <c r="K444" s="17" t="s">
        <v>109</v>
      </c>
      <c r="L444" s="100" t="s">
        <v>1898</v>
      </c>
      <c r="M444" s="20">
        <v>45853.0</v>
      </c>
      <c r="N444" s="17" t="s">
        <v>194</v>
      </c>
      <c r="O444" s="88" t="s">
        <v>1521</v>
      </c>
      <c r="P444" s="88" t="s">
        <v>1521</v>
      </c>
      <c r="Q444" s="88" t="s">
        <v>1521</v>
      </c>
      <c r="R444" s="88" t="s">
        <v>1521</v>
      </c>
      <c r="S444" s="88" t="s">
        <v>1520</v>
      </c>
      <c r="T444" s="88" t="s">
        <v>1521</v>
      </c>
      <c r="U444" s="88" t="s">
        <v>1520</v>
      </c>
      <c r="V444" s="88" t="s">
        <v>1521</v>
      </c>
      <c r="W444" s="88" t="s">
        <v>1521</v>
      </c>
      <c r="X444" s="88" t="s">
        <v>1521</v>
      </c>
      <c r="Y444" s="88" t="s">
        <v>1521</v>
      </c>
      <c r="Z444" s="88" t="s">
        <v>1521</v>
      </c>
      <c r="AA444" s="88" t="s">
        <v>1521</v>
      </c>
      <c r="AB444" s="88" t="s">
        <v>1521</v>
      </c>
      <c r="AC444" s="88" t="s">
        <v>1520</v>
      </c>
      <c r="AD444" s="89"/>
      <c r="AE444" s="18" t="s">
        <v>638</v>
      </c>
      <c r="AF444" s="24"/>
      <c r="AG444" s="24"/>
      <c r="AH444" s="24"/>
      <c r="AI444" s="24"/>
      <c r="AJ444" s="24"/>
      <c r="AK444" s="24"/>
      <c r="AL444" s="24"/>
      <c r="AM444" s="24"/>
    </row>
    <row r="445">
      <c r="A445" s="11"/>
      <c r="B445" s="12" t="s">
        <v>34</v>
      </c>
      <c r="C445" s="12" t="s">
        <v>65</v>
      </c>
      <c r="D445" s="12" t="s">
        <v>43</v>
      </c>
      <c r="E445" s="12" t="s">
        <v>717</v>
      </c>
      <c r="F445" s="13" t="s">
        <v>718</v>
      </c>
      <c r="G445" s="12" t="s">
        <v>68</v>
      </c>
      <c r="H445" s="12" t="s">
        <v>719</v>
      </c>
      <c r="I445" s="12" t="s">
        <v>720</v>
      </c>
      <c r="J445" s="17" t="s">
        <v>108</v>
      </c>
      <c r="K445" s="17" t="s">
        <v>109</v>
      </c>
      <c r="L445" s="100" t="s">
        <v>1899</v>
      </c>
      <c r="M445" s="20">
        <v>45853.0</v>
      </c>
      <c r="N445" s="17" t="s">
        <v>194</v>
      </c>
      <c r="O445" s="88" t="s">
        <v>1521</v>
      </c>
      <c r="P445" s="88" t="s">
        <v>1521</v>
      </c>
      <c r="Q445" s="88" t="s">
        <v>1521</v>
      </c>
      <c r="R445" s="88" t="s">
        <v>1521</v>
      </c>
      <c r="S445" s="88" t="s">
        <v>1521</v>
      </c>
      <c r="T445" s="88" t="s">
        <v>1521</v>
      </c>
      <c r="U445" s="88" t="s">
        <v>1521</v>
      </c>
      <c r="V445" s="88" t="s">
        <v>1521</v>
      </c>
      <c r="W445" s="88" t="s">
        <v>1521</v>
      </c>
      <c r="X445" s="88" t="s">
        <v>1521</v>
      </c>
      <c r="Y445" s="88" t="s">
        <v>1521</v>
      </c>
      <c r="Z445" s="88" t="s">
        <v>1521</v>
      </c>
      <c r="AA445" s="88" t="s">
        <v>1521</v>
      </c>
      <c r="AB445" s="88" t="s">
        <v>1521</v>
      </c>
      <c r="AC445" s="88" t="s">
        <v>1521</v>
      </c>
      <c r="AD445" s="89"/>
      <c r="AE445" s="18" t="s">
        <v>638</v>
      </c>
      <c r="AF445" s="24"/>
      <c r="AG445" s="24"/>
      <c r="AH445" s="24"/>
      <c r="AI445" s="24"/>
      <c r="AJ445" s="24"/>
      <c r="AK445" s="24"/>
      <c r="AL445" s="24"/>
      <c r="AM445" s="24"/>
    </row>
    <row r="446">
      <c r="A446" s="11"/>
      <c r="B446" s="12" t="s">
        <v>34</v>
      </c>
      <c r="C446" s="12" t="s">
        <v>65</v>
      </c>
      <c r="D446" s="12" t="s">
        <v>43</v>
      </c>
      <c r="E446" s="12" t="s">
        <v>717</v>
      </c>
      <c r="F446" s="13" t="s">
        <v>718</v>
      </c>
      <c r="G446" s="12" t="s">
        <v>68</v>
      </c>
      <c r="H446" s="12" t="s">
        <v>719</v>
      </c>
      <c r="I446" s="12" t="s">
        <v>720</v>
      </c>
      <c r="J446" s="17" t="s">
        <v>108</v>
      </c>
      <c r="K446" s="17" t="s">
        <v>109</v>
      </c>
      <c r="L446" s="100" t="s">
        <v>1900</v>
      </c>
      <c r="M446" s="20">
        <v>45853.0</v>
      </c>
      <c r="N446" s="17" t="s">
        <v>194</v>
      </c>
      <c r="O446" s="88" t="s">
        <v>1520</v>
      </c>
      <c r="P446" s="88" t="s">
        <v>1521</v>
      </c>
      <c r="Q446" s="88" t="s">
        <v>1520</v>
      </c>
      <c r="R446" s="88" t="s">
        <v>1521</v>
      </c>
      <c r="S446" s="88" t="s">
        <v>1521</v>
      </c>
      <c r="T446" s="88" t="s">
        <v>1521</v>
      </c>
      <c r="U446" s="88" t="s">
        <v>1521</v>
      </c>
      <c r="V446" s="88" t="s">
        <v>1521</v>
      </c>
      <c r="W446" s="88" t="s">
        <v>1521</v>
      </c>
      <c r="X446" s="88" t="s">
        <v>1521</v>
      </c>
      <c r="Y446" s="88" t="s">
        <v>1521</v>
      </c>
      <c r="Z446" s="88" t="s">
        <v>1521</v>
      </c>
      <c r="AA446" s="88" t="s">
        <v>1521</v>
      </c>
      <c r="AB446" s="88" t="s">
        <v>1521</v>
      </c>
      <c r="AC446" s="88" t="s">
        <v>1521</v>
      </c>
      <c r="AD446" s="89"/>
      <c r="AE446" s="18" t="s">
        <v>638</v>
      </c>
      <c r="AF446" s="24"/>
      <c r="AG446" s="24"/>
      <c r="AH446" s="24"/>
      <c r="AI446" s="24"/>
      <c r="AJ446" s="24"/>
      <c r="AK446" s="24"/>
      <c r="AL446" s="24"/>
      <c r="AM446" s="24"/>
    </row>
    <row r="447">
      <c r="A447" s="11"/>
      <c r="B447" s="12" t="s">
        <v>34</v>
      </c>
      <c r="C447" s="12" t="s">
        <v>65</v>
      </c>
      <c r="D447" s="12" t="s">
        <v>43</v>
      </c>
      <c r="E447" s="12" t="s">
        <v>691</v>
      </c>
      <c r="F447" s="13" t="s">
        <v>692</v>
      </c>
      <c r="G447" s="12" t="s">
        <v>68</v>
      </c>
      <c r="H447" s="12" t="s">
        <v>693</v>
      </c>
      <c r="I447" s="12" t="s">
        <v>694</v>
      </c>
      <c r="J447" s="17" t="s">
        <v>73</v>
      </c>
      <c r="K447" s="17" t="s">
        <v>74</v>
      </c>
      <c r="L447" s="100" t="s">
        <v>1901</v>
      </c>
      <c r="M447" s="20">
        <v>45848.0</v>
      </c>
      <c r="N447" s="17" t="s">
        <v>194</v>
      </c>
      <c r="O447" s="88" t="s">
        <v>1521</v>
      </c>
      <c r="P447" s="88" t="s">
        <v>1521</v>
      </c>
      <c r="Q447" s="88" t="s">
        <v>1520</v>
      </c>
      <c r="R447" s="88" t="s">
        <v>1521</v>
      </c>
      <c r="S447" s="88" t="s">
        <v>1520</v>
      </c>
      <c r="T447" s="88" t="s">
        <v>1521</v>
      </c>
      <c r="U447" s="88" t="s">
        <v>1521</v>
      </c>
      <c r="V447" s="88" t="s">
        <v>1521</v>
      </c>
      <c r="W447" s="88" t="s">
        <v>1521</v>
      </c>
      <c r="X447" s="88" t="s">
        <v>1521</v>
      </c>
      <c r="Y447" s="88" t="s">
        <v>1521</v>
      </c>
      <c r="Z447" s="88" t="s">
        <v>1521</v>
      </c>
      <c r="AA447" s="88" t="s">
        <v>1521</v>
      </c>
      <c r="AB447" s="88" t="s">
        <v>1521</v>
      </c>
      <c r="AC447" s="88" t="s">
        <v>1521</v>
      </c>
      <c r="AD447" s="89"/>
      <c r="AE447" s="18" t="s">
        <v>638</v>
      </c>
      <c r="AF447" s="24"/>
      <c r="AG447" s="24"/>
      <c r="AH447" s="24"/>
      <c r="AI447" s="24"/>
      <c r="AJ447" s="24"/>
      <c r="AK447" s="24"/>
      <c r="AL447" s="24"/>
      <c r="AM447" s="24"/>
    </row>
    <row r="448">
      <c r="A448" s="11"/>
      <c r="B448" s="12" t="s">
        <v>34</v>
      </c>
      <c r="C448" s="12" t="s">
        <v>65</v>
      </c>
      <c r="D448" s="12" t="s">
        <v>43</v>
      </c>
      <c r="E448" s="12" t="s">
        <v>691</v>
      </c>
      <c r="F448" s="13" t="s">
        <v>692</v>
      </c>
      <c r="G448" s="12" t="s">
        <v>68</v>
      </c>
      <c r="H448" s="12" t="s">
        <v>693</v>
      </c>
      <c r="I448" s="12" t="s">
        <v>694</v>
      </c>
      <c r="J448" s="17" t="s">
        <v>73</v>
      </c>
      <c r="K448" s="17" t="s">
        <v>74</v>
      </c>
      <c r="L448" s="100" t="s">
        <v>1902</v>
      </c>
      <c r="M448" s="20">
        <v>45848.0</v>
      </c>
      <c r="N448" s="17" t="s">
        <v>194</v>
      </c>
      <c r="O448" s="88" t="s">
        <v>1521</v>
      </c>
      <c r="P448" s="88" t="s">
        <v>1521</v>
      </c>
      <c r="Q448" s="88" t="s">
        <v>1521</v>
      </c>
      <c r="R448" s="88" t="s">
        <v>1521</v>
      </c>
      <c r="S448" s="88" t="s">
        <v>1521</v>
      </c>
      <c r="T448" s="88" t="s">
        <v>1521</v>
      </c>
      <c r="U448" s="88" t="s">
        <v>1521</v>
      </c>
      <c r="V448" s="88" t="s">
        <v>1521</v>
      </c>
      <c r="W448" s="88" t="s">
        <v>1521</v>
      </c>
      <c r="X448" s="88" t="s">
        <v>1521</v>
      </c>
      <c r="Y448" s="88" t="s">
        <v>1521</v>
      </c>
      <c r="Z448" s="88" t="s">
        <v>1521</v>
      </c>
      <c r="AA448" s="88" t="s">
        <v>1521</v>
      </c>
      <c r="AB448" s="88" t="s">
        <v>1521</v>
      </c>
      <c r="AC448" s="88" t="s">
        <v>1521</v>
      </c>
      <c r="AD448" s="89"/>
      <c r="AE448" s="18" t="s">
        <v>638</v>
      </c>
      <c r="AF448" s="24"/>
      <c r="AG448" s="24"/>
      <c r="AH448" s="24"/>
      <c r="AI448" s="24"/>
      <c r="AJ448" s="24"/>
      <c r="AK448" s="24"/>
      <c r="AL448" s="24"/>
      <c r="AM448" s="24"/>
    </row>
    <row r="449">
      <c r="A449" s="11"/>
      <c r="B449" s="12" t="s">
        <v>34</v>
      </c>
      <c r="C449" s="12" t="s">
        <v>65</v>
      </c>
      <c r="D449" s="12" t="s">
        <v>43</v>
      </c>
      <c r="E449" s="12" t="s">
        <v>691</v>
      </c>
      <c r="F449" s="13" t="s">
        <v>692</v>
      </c>
      <c r="G449" s="12" t="s">
        <v>68</v>
      </c>
      <c r="H449" s="12" t="s">
        <v>693</v>
      </c>
      <c r="I449" s="12" t="s">
        <v>694</v>
      </c>
      <c r="J449" s="17" t="s">
        <v>73</v>
      </c>
      <c r="K449" s="17" t="s">
        <v>74</v>
      </c>
      <c r="L449" s="100" t="s">
        <v>1903</v>
      </c>
      <c r="M449" s="20">
        <v>45848.0</v>
      </c>
      <c r="N449" s="17" t="s">
        <v>194</v>
      </c>
      <c r="O449" s="88" t="s">
        <v>1521</v>
      </c>
      <c r="P449" s="88" t="s">
        <v>1521</v>
      </c>
      <c r="Q449" s="88" t="s">
        <v>1520</v>
      </c>
      <c r="R449" s="88" t="s">
        <v>1521</v>
      </c>
      <c r="S449" s="88" t="s">
        <v>1521</v>
      </c>
      <c r="T449" s="88" t="s">
        <v>1521</v>
      </c>
      <c r="U449" s="88" t="s">
        <v>1521</v>
      </c>
      <c r="V449" s="88" t="s">
        <v>1521</v>
      </c>
      <c r="W449" s="88" t="s">
        <v>1521</v>
      </c>
      <c r="X449" s="88" t="s">
        <v>1521</v>
      </c>
      <c r="Y449" s="88" t="s">
        <v>1521</v>
      </c>
      <c r="Z449" s="88" t="s">
        <v>1521</v>
      </c>
      <c r="AA449" s="88" t="s">
        <v>1521</v>
      </c>
      <c r="AB449" s="88" t="s">
        <v>1520</v>
      </c>
      <c r="AC449" s="88" t="s">
        <v>1521</v>
      </c>
      <c r="AD449" s="89"/>
      <c r="AE449" s="18" t="s">
        <v>638</v>
      </c>
      <c r="AF449" s="24"/>
      <c r="AG449" s="24"/>
      <c r="AH449" s="24"/>
      <c r="AI449" s="24"/>
      <c r="AJ449" s="24"/>
      <c r="AK449" s="24"/>
      <c r="AL449" s="24"/>
      <c r="AM449" s="24"/>
    </row>
    <row r="450">
      <c r="A450" s="11"/>
      <c r="B450" s="12" t="s">
        <v>34</v>
      </c>
      <c r="C450" s="12" t="s">
        <v>65</v>
      </c>
      <c r="D450" s="12" t="s">
        <v>43</v>
      </c>
      <c r="E450" s="12" t="s">
        <v>691</v>
      </c>
      <c r="F450" s="13" t="s">
        <v>692</v>
      </c>
      <c r="G450" s="12" t="s">
        <v>68</v>
      </c>
      <c r="H450" s="12" t="s">
        <v>693</v>
      </c>
      <c r="I450" s="12" t="s">
        <v>694</v>
      </c>
      <c r="J450" s="17" t="s">
        <v>73</v>
      </c>
      <c r="K450" s="17" t="s">
        <v>74</v>
      </c>
      <c r="L450" s="100" t="s">
        <v>1904</v>
      </c>
      <c r="M450" s="20">
        <v>45848.0</v>
      </c>
      <c r="N450" s="17" t="s">
        <v>194</v>
      </c>
      <c r="O450" s="88" t="s">
        <v>1521</v>
      </c>
      <c r="P450" s="88" t="s">
        <v>1521</v>
      </c>
      <c r="Q450" s="88" t="s">
        <v>1520</v>
      </c>
      <c r="R450" s="88" t="s">
        <v>1521</v>
      </c>
      <c r="S450" s="88" t="s">
        <v>1521</v>
      </c>
      <c r="T450" s="88" t="s">
        <v>1521</v>
      </c>
      <c r="U450" s="88" t="s">
        <v>1521</v>
      </c>
      <c r="V450" s="88" t="s">
        <v>1520</v>
      </c>
      <c r="W450" s="88" t="s">
        <v>1521</v>
      </c>
      <c r="X450" s="88" t="s">
        <v>1521</v>
      </c>
      <c r="Y450" s="88" t="s">
        <v>1521</v>
      </c>
      <c r="Z450" s="88" t="s">
        <v>1520</v>
      </c>
      <c r="AA450" s="88" t="s">
        <v>1521</v>
      </c>
      <c r="AB450" s="88" t="s">
        <v>1521</v>
      </c>
      <c r="AC450" s="88" t="s">
        <v>1521</v>
      </c>
      <c r="AD450" s="89"/>
      <c r="AE450" s="18" t="s">
        <v>638</v>
      </c>
      <c r="AF450" s="24"/>
      <c r="AG450" s="24"/>
      <c r="AH450" s="24"/>
      <c r="AI450" s="24"/>
      <c r="AJ450" s="24"/>
      <c r="AK450" s="24"/>
      <c r="AL450" s="24"/>
      <c r="AM450" s="24"/>
    </row>
    <row r="451">
      <c r="A451" s="11"/>
      <c r="B451" s="12" t="s">
        <v>34</v>
      </c>
      <c r="C451" s="12" t="s">
        <v>65</v>
      </c>
      <c r="D451" s="12" t="s">
        <v>43</v>
      </c>
      <c r="E451" s="12" t="s">
        <v>691</v>
      </c>
      <c r="F451" s="13" t="s">
        <v>692</v>
      </c>
      <c r="G451" s="12" t="s">
        <v>68</v>
      </c>
      <c r="H451" s="12" t="s">
        <v>693</v>
      </c>
      <c r="I451" s="12" t="s">
        <v>694</v>
      </c>
      <c r="J451" s="17" t="s">
        <v>73</v>
      </c>
      <c r="K451" s="17" t="s">
        <v>74</v>
      </c>
      <c r="L451" s="100" t="s">
        <v>1905</v>
      </c>
      <c r="M451" s="20">
        <v>45848.0</v>
      </c>
      <c r="N451" s="17" t="s">
        <v>194</v>
      </c>
      <c r="O451" s="88" t="s">
        <v>1521</v>
      </c>
      <c r="P451" s="88" t="s">
        <v>1521</v>
      </c>
      <c r="Q451" s="88" t="s">
        <v>1520</v>
      </c>
      <c r="R451" s="88" t="s">
        <v>1521</v>
      </c>
      <c r="S451" s="88" t="s">
        <v>1521</v>
      </c>
      <c r="T451" s="88" t="s">
        <v>1521</v>
      </c>
      <c r="U451" s="88" t="s">
        <v>1521</v>
      </c>
      <c r="V451" s="88" t="s">
        <v>1521</v>
      </c>
      <c r="W451" s="88" t="s">
        <v>1521</v>
      </c>
      <c r="X451" s="88" t="s">
        <v>1520</v>
      </c>
      <c r="Y451" s="88" t="s">
        <v>1521</v>
      </c>
      <c r="Z451" s="88" t="s">
        <v>1521</v>
      </c>
      <c r="AA451" s="88" t="s">
        <v>1521</v>
      </c>
      <c r="AB451" s="88" t="s">
        <v>1521</v>
      </c>
      <c r="AC451" s="88" t="s">
        <v>1521</v>
      </c>
      <c r="AD451" s="89"/>
      <c r="AE451" s="18" t="s">
        <v>638</v>
      </c>
      <c r="AF451" s="24"/>
      <c r="AG451" s="24"/>
      <c r="AH451" s="24"/>
      <c r="AI451" s="24"/>
      <c r="AJ451" s="24"/>
      <c r="AK451" s="24"/>
      <c r="AL451" s="24"/>
      <c r="AM451" s="24"/>
    </row>
    <row r="452">
      <c r="A452" s="11"/>
      <c r="B452" s="12" t="s">
        <v>34</v>
      </c>
      <c r="C452" s="12" t="s">
        <v>65</v>
      </c>
      <c r="D452" s="12" t="s">
        <v>43</v>
      </c>
      <c r="E452" s="12" t="s">
        <v>691</v>
      </c>
      <c r="F452" s="13" t="s">
        <v>692</v>
      </c>
      <c r="G452" s="12" t="s">
        <v>68</v>
      </c>
      <c r="H452" s="12" t="s">
        <v>693</v>
      </c>
      <c r="I452" s="12" t="s">
        <v>694</v>
      </c>
      <c r="J452" s="17" t="s">
        <v>73</v>
      </c>
      <c r="K452" s="17" t="s">
        <v>74</v>
      </c>
      <c r="L452" s="100" t="s">
        <v>1906</v>
      </c>
      <c r="M452" s="20">
        <v>45848.0</v>
      </c>
      <c r="N452" s="17" t="s">
        <v>194</v>
      </c>
      <c r="O452" s="88" t="s">
        <v>1521</v>
      </c>
      <c r="P452" s="88" t="s">
        <v>1521</v>
      </c>
      <c r="Q452" s="88" t="s">
        <v>1521</v>
      </c>
      <c r="R452" s="88" t="s">
        <v>1521</v>
      </c>
      <c r="S452" s="88" t="s">
        <v>1521</v>
      </c>
      <c r="T452" s="88" t="s">
        <v>1521</v>
      </c>
      <c r="U452" s="88" t="s">
        <v>1521</v>
      </c>
      <c r="V452" s="88" t="s">
        <v>1521</v>
      </c>
      <c r="W452" s="88" t="s">
        <v>1521</v>
      </c>
      <c r="X452" s="88" t="s">
        <v>1521</v>
      </c>
      <c r="Y452" s="88" t="s">
        <v>1521</v>
      </c>
      <c r="Z452" s="88" t="s">
        <v>1521</v>
      </c>
      <c r="AA452" s="88" t="s">
        <v>1521</v>
      </c>
      <c r="AB452" s="88" t="s">
        <v>1521</v>
      </c>
      <c r="AC452" s="88" t="s">
        <v>1521</v>
      </c>
      <c r="AD452" s="89"/>
      <c r="AE452" s="18" t="s">
        <v>638</v>
      </c>
      <c r="AF452" s="24"/>
      <c r="AG452" s="24"/>
      <c r="AH452" s="24"/>
      <c r="AI452" s="24"/>
      <c r="AJ452" s="24"/>
      <c r="AK452" s="24"/>
      <c r="AL452" s="24"/>
      <c r="AM452" s="24"/>
    </row>
    <row r="453">
      <c r="A453" s="11"/>
      <c r="B453" s="12" t="s">
        <v>34</v>
      </c>
      <c r="C453" s="12" t="s">
        <v>65</v>
      </c>
      <c r="D453" s="12" t="s">
        <v>43</v>
      </c>
      <c r="E453" s="12" t="s">
        <v>691</v>
      </c>
      <c r="F453" s="13" t="s">
        <v>692</v>
      </c>
      <c r="G453" s="12" t="s">
        <v>68</v>
      </c>
      <c r="H453" s="12" t="s">
        <v>693</v>
      </c>
      <c r="I453" s="12" t="s">
        <v>694</v>
      </c>
      <c r="J453" s="17" t="s">
        <v>73</v>
      </c>
      <c r="K453" s="17" t="s">
        <v>74</v>
      </c>
      <c r="L453" s="100" t="s">
        <v>1907</v>
      </c>
      <c r="M453" s="20">
        <v>45848.0</v>
      </c>
      <c r="N453" s="17" t="s">
        <v>194</v>
      </c>
      <c r="O453" s="88" t="s">
        <v>1520</v>
      </c>
      <c r="P453" s="88" t="s">
        <v>1521</v>
      </c>
      <c r="Q453" s="88" t="s">
        <v>1520</v>
      </c>
      <c r="R453" s="88" t="s">
        <v>1521</v>
      </c>
      <c r="S453" s="88" t="s">
        <v>1520</v>
      </c>
      <c r="T453" s="88" t="s">
        <v>1521</v>
      </c>
      <c r="U453" s="88" t="s">
        <v>1521</v>
      </c>
      <c r="V453" s="88" t="s">
        <v>1521</v>
      </c>
      <c r="W453" s="88" t="s">
        <v>1521</v>
      </c>
      <c r="X453" s="88" t="s">
        <v>1521</v>
      </c>
      <c r="Y453" s="88" t="s">
        <v>1521</v>
      </c>
      <c r="Z453" s="88" t="s">
        <v>1521</v>
      </c>
      <c r="AA453" s="88" t="s">
        <v>1521</v>
      </c>
      <c r="AB453" s="88" t="s">
        <v>1521</v>
      </c>
      <c r="AC453" s="88" t="s">
        <v>1521</v>
      </c>
      <c r="AD453" s="89"/>
      <c r="AE453" s="18" t="s">
        <v>638</v>
      </c>
      <c r="AF453" s="24"/>
      <c r="AG453" s="24"/>
      <c r="AH453" s="24"/>
      <c r="AI453" s="24"/>
      <c r="AJ453" s="24"/>
      <c r="AK453" s="24"/>
      <c r="AL453" s="24"/>
      <c r="AM453" s="24"/>
    </row>
    <row r="454">
      <c r="A454" s="11"/>
      <c r="B454" s="12" t="s">
        <v>34</v>
      </c>
      <c r="C454" s="12" t="s">
        <v>65</v>
      </c>
      <c r="D454" s="12" t="s">
        <v>43</v>
      </c>
      <c r="E454" s="12" t="s">
        <v>691</v>
      </c>
      <c r="F454" s="13" t="s">
        <v>692</v>
      </c>
      <c r="G454" s="12" t="s">
        <v>68</v>
      </c>
      <c r="H454" s="12" t="s">
        <v>693</v>
      </c>
      <c r="I454" s="12" t="s">
        <v>694</v>
      </c>
      <c r="J454" s="17" t="s">
        <v>73</v>
      </c>
      <c r="K454" s="17" t="s">
        <v>74</v>
      </c>
      <c r="L454" s="100" t="s">
        <v>1908</v>
      </c>
      <c r="M454" s="20">
        <v>45848.0</v>
      </c>
      <c r="N454" s="17" t="s">
        <v>194</v>
      </c>
      <c r="O454" s="88" t="s">
        <v>1521</v>
      </c>
      <c r="P454" s="88" t="s">
        <v>1521</v>
      </c>
      <c r="Q454" s="88" t="s">
        <v>1520</v>
      </c>
      <c r="R454" s="88" t="s">
        <v>1521</v>
      </c>
      <c r="S454" s="88" t="s">
        <v>1521</v>
      </c>
      <c r="T454" s="88" t="s">
        <v>1521</v>
      </c>
      <c r="U454" s="88" t="s">
        <v>1521</v>
      </c>
      <c r="V454" s="88" t="s">
        <v>1521</v>
      </c>
      <c r="W454" s="88" t="s">
        <v>1520</v>
      </c>
      <c r="X454" s="88" t="s">
        <v>1521</v>
      </c>
      <c r="Y454" s="88" t="s">
        <v>1521</v>
      </c>
      <c r="Z454" s="88" t="s">
        <v>1521</v>
      </c>
      <c r="AA454" s="88" t="s">
        <v>1521</v>
      </c>
      <c r="AB454" s="88" t="s">
        <v>1521</v>
      </c>
      <c r="AC454" s="88" t="s">
        <v>1521</v>
      </c>
      <c r="AD454" s="89"/>
      <c r="AE454" s="18" t="s">
        <v>638</v>
      </c>
      <c r="AF454" s="24"/>
      <c r="AG454" s="24"/>
      <c r="AH454" s="24"/>
      <c r="AI454" s="24"/>
      <c r="AJ454" s="24"/>
      <c r="AK454" s="24"/>
      <c r="AL454" s="24"/>
      <c r="AM454" s="24"/>
    </row>
    <row r="455">
      <c r="A455" s="11"/>
      <c r="B455" s="12" t="s">
        <v>34</v>
      </c>
      <c r="C455" s="12" t="s">
        <v>65</v>
      </c>
      <c r="D455" s="12" t="s">
        <v>43</v>
      </c>
      <c r="E455" s="12" t="s">
        <v>691</v>
      </c>
      <c r="F455" s="13" t="s">
        <v>692</v>
      </c>
      <c r="G455" s="12" t="s">
        <v>68</v>
      </c>
      <c r="H455" s="12" t="s">
        <v>693</v>
      </c>
      <c r="I455" s="12" t="s">
        <v>694</v>
      </c>
      <c r="J455" s="17" t="s">
        <v>73</v>
      </c>
      <c r="K455" s="17" t="s">
        <v>74</v>
      </c>
      <c r="L455" s="100" t="s">
        <v>1909</v>
      </c>
      <c r="M455" s="20">
        <v>45848.0</v>
      </c>
      <c r="N455" s="17" t="s">
        <v>194</v>
      </c>
      <c r="O455" s="88" t="s">
        <v>1521</v>
      </c>
      <c r="P455" s="88" t="s">
        <v>1521</v>
      </c>
      <c r="Q455" s="88" t="s">
        <v>1521</v>
      </c>
      <c r="R455" s="88" t="s">
        <v>1521</v>
      </c>
      <c r="S455" s="88" t="s">
        <v>1521</v>
      </c>
      <c r="T455" s="88" t="s">
        <v>1521</v>
      </c>
      <c r="U455" s="88" t="s">
        <v>1521</v>
      </c>
      <c r="V455" s="88" t="s">
        <v>1521</v>
      </c>
      <c r="W455" s="88" t="s">
        <v>1521</v>
      </c>
      <c r="X455" s="88" t="s">
        <v>1521</v>
      </c>
      <c r="Y455" s="88" t="s">
        <v>1521</v>
      </c>
      <c r="Z455" s="88" t="s">
        <v>1521</v>
      </c>
      <c r="AA455" s="88" t="s">
        <v>1521</v>
      </c>
      <c r="AB455" s="88" t="s">
        <v>1521</v>
      </c>
      <c r="AC455" s="88" t="s">
        <v>1521</v>
      </c>
      <c r="AD455" s="89"/>
      <c r="AE455" s="18" t="s">
        <v>638</v>
      </c>
      <c r="AF455" s="24"/>
      <c r="AG455" s="24"/>
      <c r="AH455" s="24"/>
      <c r="AI455" s="24"/>
      <c r="AJ455" s="24"/>
      <c r="AK455" s="24"/>
      <c r="AL455" s="24"/>
      <c r="AM455" s="24"/>
    </row>
    <row r="456">
      <c r="A456" s="11"/>
      <c r="B456" s="12" t="s">
        <v>34</v>
      </c>
      <c r="C456" s="12" t="s">
        <v>65</v>
      </c>
      <c r="D456" s="12" t="s">
        <v>43</v>
      </c>
      <c r="E456" s="12" t="s">
        <v>691</v>
      </c>
      <c r="F456" s="13" t="s">
        <v>692</v>
      </c>
      <c r="G456" s="12" t="s">
        <v>68</v>
      </c>
      <c r="H456" s="12" t="s">
        <v>693</v>
      </c>
      <c r="I456" s="12" t="s">
        <v>694</v>
      </c>
      <c r="J456" s="17" t="s">
        <v>73</v>
      </c>
      <c r="K456" s="17" t="s">
        <v>74</v>
      </c>
      <c r="L456" s="100" t="s">
        <v>1910</v>
      </c>
      <c r="M456" s="20">
        <v>45848.0</v>
      </c>
      <c r="N456" s="17" t="s">
        <v>194</v>
      </c>
      <c r="O456" s="88" t="s">
        <v>1521</v>
      </c>
      <c r="P456" s="88" t="s">
        <v>1521</v>
      </c>
      <c r="Q456" s="88" t="s">
        <v>1521</v>
      </c>
      <c r="R456" s="88" t="s">
        <v>1521</v>
      </c>
      <c r="S456" s="88" t="s">
        <v>1521</v>
      </c>
      <c r="T456" s="88" t="s">
        <v>1521</v>
      </c>
      <c r="U456" s="88" t="s">
        <v>1521</v>
      </c>
      <c r="V456" s="88" t="s">
        <v>1521</v>
      </c>
      <c r="W456" s="88" t="s">
        <v>1521</v>
      </c>
      <c r="X456" s="88" t="s">
        <v>1521</v>
      </c>
      <c r="Y456" s="88" t="s">
        <v>1520</v>
      </c>
      <c r="Z456" s="88" t="s">
        <v>1521</v>
      </c>
      <c r="AA456" s="88" t="s">
        <v>1521</v>
      </c>
      <c r="AB456" s="88" t="s">
        <v>1521</v>
      </c>
      <c r="AC456" s="88" t="s">
        <v>1521</v>
      </c>
      <c r="AD456" s="89"/>
      <c r="AE456" s="18" t="s">
        <v>638</v>
      </c>
      <c r="AF456" s="24"/>
      <c r="AG456" s="24"/>
      <c r="AH456" s="24"/>
      <c r="AI456" s="24"/>
      <c r="AJ456" s="24"/>
      <c r="AK456" s="24"/>
      <c r="AL456" s="24"/>
      <c r="AM456" s="24"/>
    </row>
    <row r="457">
      <c r="A457" s="11"/>
      <c r="B457" s="12" t="s">
        <v>34</v>
      </c>
      <c r="C457" s="12" t="s">
        <v>65</v>
      </c>
      <c r="D457" s="12" t="s">
        <v>43</v>
      </c>
      <c r="E457" s="12" t="s">
        <v>691</v>
      </c>
      <c r="F457" s="13" t="s">
        <v>692</v>
      </c>
      <c r="G457" s="12" t="s">
        <v>68</v>
      </c>
      <c r="H457" s="12" t="s">
        <v>693</v>
      </c>
      <c r="I457" s="12" t="s">
        <v>694</v>
      </c>
      <c r="J457" s="17" t="s">
        <v>73</v>
      </c>
      <c r="K457" s="17" t="s">
        <v>74</v>
      </c>
      <c r="L457" s="100" t="s">
        <v>1911</v>
      </c>
      <c r="M457" s="20">
        <v>45848.0</v>
      </c>
      <c r="N457" s="17" t="s">
        <v>194</v>
      </c>
      <c r="O457" s="88" t="s">
        <v>1521</v>
      </c>
      <c r="P457" s="88" t="s">
        <v>1521</v>
      </c>
      <c r="Q457" s="88" t="s">
        <v>1521</v>
      </c>
      <c r="R457" s="88" t="s">
        <v>1521</v>
      </c>
      <c r="S457" s="88" t="s">
        <v>1521</v>
      </c>
      <c r="T457" s="88" t="s">
        <v>1521</v>
      </c>
      <c r="U457" s="88" t="s">
        <v>1521</v>
      </c>
      <c r="V457" s="88" t="s">
        <v>1521</v>
      </c>
      <c r="W457" s="88" t="s">
        <v>1521</v>
      </c>
      <c r="X457" s="88" t="s">
        <v>1521</v>
      </c>
      <c r="Y457" s="88" t="s">
        <v>1521</v>
      </c>
      <c r="Z457" s="88" t="s">
        <v>1521</v>
      </c>
      <c r="AA457" s="88" t="s">
        <v>1521</v>
      </c>
      <c r="AB457" s="88" t="s">
        <v>1521</v>
      </c>
      <c r="AC457" s="88" t="s">
        <v>1520</v>
      </c>
      <c r="AD457" s="89"/>
      <c r="AE457" s="18" t="s">
        <v>638</v>
      </c>
      <c r="AF457" s="24"/>
      <c r="AG457" s="24"/>
      <c r="AH457" s="24"/>
      <c r="AI457" s="24"/>
      <c r="AJ457" s="24"/>
      <c r="AK457" s="24"/>
      <c r="AL457" s="24"/>
      <c r="AM457" s="24"/>
    </row>
    <row r="458">
      <c r="A458" s="11"/>
      <c r="B458" s="12" t="s">
        <v>34</v>
      </c>
      <c r="C458" s="12" t="s">
        <v>65</v>
      </c>
      <c r="D458" s="12" t="s">
        <v>43</v>
      </c>
      <c r="E458" s="12" t="s">
        <v>691</v>
      </c>
      <c r="F458" s="13" t="s">
        <v>692</v>
      </c>
      <c r="G458" s="12" t="s">
        <v>68</v>
      </c>
      <c r="H458" s="12" t="s">
        <v>693</v>
      </c>
      <c r="I458" s="12" t="s">
        <v>694</v>
      </c>
      <c r="J458" s="17" t="s">
        <v>73</v>
      </c>
      <c r="K458" s="17" t="s">
        <v>74</v>
      </c>
      <c r="L458" s="100" t="s">
        <v>1912</v>
      </c>
      <c r="M458" s="20">
        <v>45848.0</v>
      </c>
      <c r="N458" s="17" t="s">
        <v>194</v>
      </c>
      <c r="O458" s="88" t="s">
        <v>1521</v>
      </c>
      <c r="P458" s="88" t="s">
        <v>1521</v>
      </c>
      <c r="Q458" s="88" t="s">
        <v>1521</v>
      </c>
      <c r="R458" s="88" t="s">
        <v>1521</v>
      </c>
      <c r="S458" s="88" t="s">
        <v>1521</v>
      </c>
      <c r="T458" s="88" t="s">
        <v>1521</v>
      </c>
      <c r="U458" s="88" t="s">
        <v>1521</v>
      </c>
      <c r="V458" s="88" t="s">
        <v>1521</v>
      </c>
      <c r="W458" s="88" t="s">
        <v>1521</v>
      </c>
      <c r="X458" s="88" t="s">
        <v>1521</v>
      </c>
      <c r="Y458" s="88" t="s">
        <v>1521</v>
      </c>
      <c r="Z458" s="88" t="s">
        <v>1521</v>
      </c>
      <c r="AA458" s="88" t="s">
        <v>1521</v>
      </c>
      <c r="AB458" s="88" t="s">
        <v>1521</v>
      </c>
      <c r="AC458" s="88" t="s">
        <v>1521</v>
      </c>
      <c r="AD458" s="89"/>
      <c r="AE458" s="18" t="s">
        <v>638</v>
      </c>
      <c r="AF458" s="24"/>
      <c r="AG458" s="24"/>
      <c r="AH458" s="24"/>
      <c r="AI458" s="24"/>
      <c r="AJ458" s="24"/>
      <c r="AK458" s="24"/>
      <c r="AL458" s="24"/>
      <c r="AM458" s="24"/>
    </row>
    <row r="459">
      <c r="A459" s="11"/>
      <c r="B459" s="12" t="s">
        <v>34</v>
      </c>
      <c r="C459" s="12" t="s">
        <v>65</v>
      </c>
      <c r="D459" s="12" t="s">
        <v>43</v>
      </c>
      <c r="E459" s="12" t="s">
        <v>691</v>
      </c>
      <c r="F459" s="13" t="s">
        <v>692</v>
      </c>
      <c r="G459" s="12" t="s">
        <v>68</v>
      </c>
      <c r="H459" s="12" t="s">
        <v>693</v>
      </c>
      <c r="I459" s="12" t="s">
        <v>694</v>
      </c>
      <c r="J459" s="17" t="s">
        <v>112</v>
      </c>
      <c r="K459" s="17" t="s">
        <v>113</v>
      </c>
      <c r="L459" s="100" t="s">
        <v>1913</v>
      </c>
      <c r="M459" s="20">
        <v>45848.0</v>
      </c>
      <c r="N459" s="17" t="s">
        <v>194</v>
      </c>
      <c r="O459" s="88" t="s">
        <v>1520</v>
      </c>
      <c r="P459" s="88" t="s">
        <v>1521</v>
      </c>
      <c r="Q459" s="88" t="s">
        <v>1521</v>
      </c>
      <c r="R459" s="88" t="s">
        <v>1521</v>
      </c>
      <c r="S459" s="88" t="s">
        <v>1521</v>
      </c>
      <c r="T459" s="88" t="s">
        <v>1520</v>
      </c>
      <c r="U459" s="88" t="s">
        <v>1521</v>
      </c>
      <c r="V459" s="88" t="s">
        <v>1521</v>
      </c>
      <c r="W459" s="88" t="s">
        <v>1521</v>
      </c>
      <c r="X459" s="88" t="s">
        <v>1521</v>
      </c>
      <c r="Y459" s="88" t="s">
        <v>1521</v>
      </c>
      <c r="Z459" s="88" t="s">
        <v>1521</v>
      </c>
      <c r="AA459" s="88" t="s">
        <v>1521</v>
      </c>
      <c r="AB459" s="88" t="s">
        <v>1521</v>
      </c>
      <c r="AC459" s="88" t="s">
        <v>1520</v>
      </c>
      <c r="AD459" s="89"/>
      <c r="AE459" s="18" t="s">
        <v>638</v>
      </c>
      <c r="AF459" s="24"/>
      <c r="AG459" s="24"/>
      <c r="AH459" s="24"/>
      <c r="AI459" s="24"/>
      <c r="AJ459" s="24"/>
      <c r="AK459" s="24"/>
      <c r="AL459" s="24"/>
      <c r="AM459" s="24"/>
    </row>
    <row r="460">
      <c r="A460" s="11"/>
      <c r="B460" s="12" t="s">
        <v>34</v>
      </c>
      <c r="C460" s="12" t="s">
        <v>65</v>
      </c>
      <c r="D460" s="12" t="s">
        <v>43</v>
      </c>
      <c r="E460" s="12" t="s">
        <v>691</v>
      </c>
      <c r="F460" s="13" t="s">
        <v>692</v>
      </c>
      <c r="G460" s="12" t="s">
        <v>68</v>
      </c>
      <c r="H460" s="12" t="s">
        <v>693</v>
      </c>
      <c r="I460" s="12" t="s">
        <v>694</v>
      </c>
      <c r="J460" s="17" t="s">
        <v>112</v>
      </c>
      <c r="K460" s="17" t="s">
        <v>113</v>
      </c>
      <c r="L460" s="100" t="s">
        <v>1914</v>
      </c>
      <c r="M460" s="20">
        <v>45848.0</v>
      </c>
      <c r="N460" s="17" t="s">
        <v>194</v>
      </c>
      <c r="O460" s="88" t="s">
        <v>1520</v>
      </c>
      <c r="P460" s="88" t="s">
        <v>1521</v>
      </c>
      <c r="Q460" s="88" t="s">
        <v>1521</v>
      </c>
      <c r="R460" s="88" t="s">
        <v>1521</v>
      </c>
      <c r="S460" s="88" t="s">
        <v>1521</v>
      </c>
      <c r="T460" s="88" t="s">
        <v>1521</v>
      </c>
      <c r="U460" s="88" t="s">
        <v>1521</v>
      </c>
      <c r="V460" s="88" t="s">
        <v>1521</v>
      </c>
      <c r="W460" s="88" t="s">
        <v>1521</v>
      </c>
      <c r="X460" s="88" t="s">
        <v>1521</v>
      </c>
      <c r="Y460" s="88" t="s">
        <v>1520</v>
      </c>
      <c r="Z460" s="88" t="s">
        <v>1521</v>
      </c>
      <c r="AA460" s="88" t="s">
        <v>1520</v>
      </c>
      <c r="AB460" s="88" t="s">
        <v>1521</v>
      </c>
      <c r="AC460" s="88" t="s">
        <v>1521</v>
      </c>
      <c r="AD460" s="89"/>
      <c r="AE460" s="18" t="s">
        <v>638</v>
      </c>
      <c r="AF460" s="24"/>
      <c r="AG460" s="24"/>
      <c r="AH460" s="24"/>
      <c r="AI460" s="24"/>
      <c r="AJ460" s="24"/>
      <c r="AK460" s="24"/>
      <c r="AL460" s="24"/>
      <c r="AM460" s="24"/>
    </row>
    <row r="461">
      <c r="A461" s="11"/>
      <c r="B461" s="12" t="s">
        <v>34</v>
      </c>
      <c r="C461" s="12" t="s">
        <v>65</v>
      </c>
      <c r="D461" s="12" t="s">
        <v>43</v>
      </c>
      <c r="E461" s="12" t="s">
        <v>691</v>
      </c>
      <c r="F461" s="13" t="s">
        <v>692</v>
      </c>
      <c r="G461" s="12" t="s">
        <v>68</v>
      </c>
      <c r="H461" s="12" t="s">
        <v>693</v>
      </c>
      <c r="I461" s="12" t="s">
        <v>694</v>
      </c>
      <c r="J461" s="17" t="s">
        <v>112</v>
      </c>
      <c r="K461" s="17" t="s">
        <v>113</v>
      </c>
      <c r="L461" s="100" t="s">
        <v>1915</v>
      </c>
      <c r="M461" s="20">
        <v>45848.0</v>
      </c>
      <c r="N461" s="17" t="s">
        <v>194</v>
      </c>
      <c r="O461" s="88" t="s">
        <v>1520</v>
      </c>
      <c r="P461" s="88" t="s">
        <v>1521</v>
      </c>
      <c r="Q461" s="88" t="s">
        <v>1521</v>
      </c>
      <c r="R461" s="88" t="s">
        <v>1521</v>
      </c>
      <c r="S461" s="88" t="s">
        <v>1521</v>
      </c>
      <c r="T461" s="88" t="s">
        <v>1521</v>
      </c>
      <c r="U461" s="88" t="s">
        <v>1521</v>
      </c>
      <c r="V461" s="88" t="s">
        <v>1521</v>
      </c>
      <c r="W461" s="88" t="s">
        <v>1521</v>
      </c>
      <c r="X461" s="88" t="s">
        <v>1521</v>
      </c>
      <c r="Y461" s="88" t="s">
        <v>1521</v>
      </c>
      <c r="Z461" s="88" t="s">
        <v>1520</v>
      </c>
      <c r="AA461" s="88" t="s">
        <v>1521</v>
      </c>
      <c r="AB461" s="88" t="s">
        <v>1521</v>
      </c>
      <c r="AC461" s="88" t="s">
        <v>1520</v>
      </c>
      <c r="AD461" s="89"/>
      <c r="AE461" s="18" t="s">
        <v>638</v>
      </c>
      <c r="AF461" s="24"/>
      <c r="AG461" s="24"/>
      <c r="AH461" s="24"/>
      <c r="AI461" s="24"/>
      <c r="AJ461" s="24"/>
      <c r="AK461" s="24"/>
      <c r="AL461" s="24"/>
      <c r="AM461" s="24"/>
    </row>
    <row r="462">
      <c r="A462" s="11"/>
      <c r="B462" s="12" t="s">
        <v>34</v>
      </c>
      <c r="C462" s="12" t="s">
        <v>65</v>
      </c>
      <c r="D462" s="12" t="s">
        <v>43</v>
      </c>
      <c r="E462" s="12" t="s">
        <v>691</v>
      </c>
      <c r="F462" s="13" t="s">
        <v>692</v>
      </c>
      <c r="G462" s="12" t="s">
        <v>68</v>
      </c>
      <c r="H462" s="12" t="s">
        <v>693</v>
      </c>
      <c r="I462" s="12" t="s">
        <v>694</v>
      </c>
      <c r="J462" s="17" t="s">
        <v>112</v>
      </c>
      <c r="K462" s="17" t="s">
        <v>113</v>
      </c>
      <c r="L462" s="100" t="s">
        <v>1916</v>
      </c>
      <c r="M462" s="20">
        <v>45848.0</v>
      </c>
      <c r="N462" s="17" t="s">
        <v>194</v>
      </c>
      <c r="O462" s="88" t="s">
        <v>1521</v>
      </c>
      <c r="P462" s="88" t="s">
        <v>1521</v>
      </c>
      <c r="Q462" s="88" t="s">
        <v>1520</v>
      </c>
      <c r="R462" s="88" t="s">
        <v>1521</v>
      </c>
      <c r="S462" s="88" t="s">
        <v>1521</v>
      </c>
      <c r="T462" s="88" t="s">
        <v>1521</v>
      </c>
      <c r="U462" s="88" t="s">
        <v>1521</v>
      </c>
      <c r="V462" s="88" t="s">
        <v>1520</v>
      </c>
      <c r="W462" s="88" t="s">
        <v>1521</v>
      </c>
      <c r="X462" s="88" t="s">
        <v>1521</v>
      </c>
      <c r="Y462" s="88" t="s">
        <v>1521</v>
      </c>
      <c r="Z462" s="88" t="s">
        <v>1521</v>
      </c>
      <c r="AA462" s="88" t="s">
        <v>1521</v>
      </c>
      <c r="AB462" s="88" t="s">
        <v>1521</v>
      </c>
      <c r="AC462" s="88" t="s">
        <v>1521</v>
      </c>
      <c r="AD462" s="89"/>
      <c r="AE462" s="18" t="s">
        <v>638</v>
      </c>
      <c r="AF462" s="24"/>
      <c r="AG462" s="24"/>
      <c r="AH462" s="24"/>
      <c r="AI462" s="24"/>
      <c r="AJ462" s="24"/>
      <c r="AK462" s="24"/>
      <c r="AL462" s="24"/>
      <c r="AM462" s="24"/>
    </row>
    <row r="463">
      <c r="A463" s="11"/>
      <c r="B463" s="12" t="s">
        <v>34</v>
      </c>
      <c r="C463" s="12" t="s">
        <v>65</v>
      </c>
      <c r="D463" s="12" t="s">
        <v>43</v>
      </c>
      <c r="E463" s="12" t="s">
        <v>691</v>
      </c>
      <c r="F463" s="13" t="s">
        <v>692</v>
      </c>
      <c r="G463" s="12" t="s">
        <v>68</v>
      </c>
      <c r="H463" s="12" t="s">
        <v>693</v>
      </c>
      <c r="I463" s="12" t="s">
        <v>694</v>
      </c>
      <c r="J463" s="17" t="s">
        <v>112</v>
      </c>
      <c r="K463" s="17" t="s">
        <v>113</v>
      </c>
      <c r="L463" s="100" t="s">
        <v>1917</v>
      </c>
      <c r="M463" s="20">
        <v>45848.0</v>
      </c>
      <c r="N463" s="17" t="s">
        <v>194</v>
      </c>
      <c r="O463" s="88" t="s">
        <v>1520</v>
      </c>
      <c r="P463" s="88" t="s">
        <v>1520</v>
      </c>
      <c r="Q463" s="88" t="s">
        <v>1521</v>
      </c>
      <c r="R463" s="88" t="s">
        <v>1521</v>
      </c>
      <c r="S463" s="88" t="s">
        <v>1520</v>
      </c>
      <c r="T463" s="88" t="s">
        <v>1520</v>
      </c>
      <c r="U463" s="88" t="s">
        <v>1521</v>
      </c>
      <c r="V463" s="88" t="s">
        <v>1521</v>
      </c>
      <c r="W463" s="88" t="s">
        <v>1521</v>
      </c>
      <c r="X463" s="88" t="s">
        <v>1520</v>
      </c>
      <c r="Y463" s="88" t="s">
        <v>1521</v>
      </c>
      <c r="Z463" s="88" t="s">
        <v>1521</v>
      </c>
      <c r="AA463" s="88" t="s">
        <v>1521</v>
      </c>
      <c r="AB463" s="88" t="s">
        <v>1521</v>
      </c>
      <c r="AC463" s="88" t="s">
        <v>1521</v>
      </c>
      <c r="AD463" s="89"/>
      <c r="AE463" s="18" t="s">
        <v>638</v>
      </c>
      <c r="AF463" s="24"/>
      <c r="AG463" s="24"/>
      <c r="AH463" s="24"/>
      <c r="AI463" s="24"/>
      <c r="AJ463" s="24"/>
      <c r="AK463" s="24"/>
      <c r="AL463" s="24"/>
      <c r="AM463" s="24"/>
    </row>
    <row r="464">
      <c r="A464" s="11"/>
      <c r="B464" s="12" t="s">
        <v>34</v>
      </c>
      <c r="C464" s="12" t="s">
        <v>65</v>
      </c>
      <c r="D464" s="12" t="s">
        <v>43</v>
      </c>
      <c r="E464" s="12" t="s">
        <v>691</v>
      </c>
      <c r="F464" s="13" t="s">
        <v>692</v>
      </c>
      <c r="G464" s="12" t="s">
        <v>68</v>
      </c>
      <c r="H464" s="12" t="s">
        <v>693</v>
      </c>
      <c r="I464" s="12" t="s">
        <v>694</v>
      </c>
      <c r="J464" s="17" t="s">
        <v>112</v>
      </c>
      <c r="K464" s="17" t="s">
        <v>113</v>
      </c>
      <c r="L464" s="100" t="s">
        <v>1918</v>
      </c>
      <c r="M464" s="20">
        <v>45848.0</v>
      </c>
      <c r="N464" s="17" t="s">
        <v>194</v>
      </c>
      <c r="O464" s="88" t="s">
        <v>1521</v>
      </c>
      <c r="P464" s="88" t="s">
        <v>1521</v>
      </c>
      <c r="Q464" s="88" t="s">
        <v>1521</v>
      </c>
      <c r="R464" s="88" t="s">
        <v>1521</v>
      </c>
      <c r="S464" s="88" t="s">
        <v>1521</v>
      </c>
      <c r="T464" s="88" t="s">
        <v>1521</v>
      </c>
      <c r="U464" s="88" t="s">
        <v>1521</v>
      </c>
      <c r="V464" s="88" t="s">
        <v>1521</v>
      </c>
      <c r="W464" s="88" t="s">
        <v>1521</v>
      </c>
      <c r="X464" s="88" t="s">
        <v>1521</v>
      </c>
      <c r="Y464" s="88" t="s">
        <v>1521</v>
      </c>
      <c r="Z464" s="88" t="s">
        <v>1521</v>
      </c>
      <c r="AA464" s="88" t="s">
        <v>1521</v>
      </c>
      <c r="AB464" s="88" t="s">
        <v>1521</v>
      </c>
      <c r="AC464" s="88" t="s">
        <v>1521</v>
      </c>
      <c r="AD464" s="89"/>
      <c r="AE464" s="18" t="s">
        <v>638</v>
      </c>
      <c r="AF464" s="24"/>
      <c r="AG464" s="24"/>
      <c r="AH464" s="24"/>
      <c r="AI464" s="24"/>
      <c r="AJ464" s="24"/>
      <c r="AK464" s="24"/>
      <c r="AL464" s="24"/>
      <c r="AM464" s="24"/>
    </row>
    <row r="465">
      <c r="A465" s="11"/>
      <c r="B465" s="12" t="s">
        <v>34</v>
      </c>
      <c r="C465" s="12" t="s">
        <v>65</v>
      </c>
      <c r="D465" s="12" t="s">
        <v>43</v>
      </c>
      <c r="E465" s="12" t="s">
        <v>691</v>
      </c>
      <c r="F465" s="13" t="s">
        <v>692</v>
      </c>
      <c r="G465" s="12" t="s">
        <v>68</v>
      </c>
      <c r="H465" s="12" t="s">
        <v>693</v>
      </c>
      <c r="I465" s="12" t="s">
        <v>694</v>
      </c>
      <c r="J465" s="17" t="s">
        <v>112</v>
      </c>
      <c r="K465" s="17" t="s">
        <v>113</v>
      </c>
      <c r="L465" s="100" t="s">
        <v>1919</v>
      </c>
      <c r="M465" s="20">
        <v>45848.0</v>
      </c>
      <c r="N465" s="17" t="s">
        <v>194</v>
      </c>
      <c r="O465" s="88" t="s">
        <v>1520</v>
      </c>
      <c r="P465" s="88" t="s">
        <v>1521</v>
      </c>
      <c r="Q465" s="88" t="s">
        <v>1521</v>
      </c>
      <c r="R465" s="88" t="s">
        <v>1520</v>
      </c>
      <c r="S465" s="88" t="s">
        <v>1521</v>
      </c>
      <c r="T465" s="88" t="s">
        <v>1521</v>
      </c>
      <c r="U465" s="88" t="s">
        <v>1521</v>
      </c>
      <c r="V465" s="88" t="s">
        <v>1521</v>
      </c>
      <c r="W465" s="88" t="s">
        <v>1521</v>
      </c>
      <c r="X465" s="88" t="s">
        <v>1521</v>
      </c>
      <c r="Y465" s="88" t="s">
        <v>1521</v>
      </c>
      <c r="Z465" s="88" t="s">
        <v>1521</v>
      </c>
      <c r="AA465" s="88" t="s">
        <v>1521</v>
      </c>
      <c r="AB465" s="88" t="s">
        <v>1521</v>
      </c>
      <c r="AC465" s="88" t="s">
        <v>1520</v>
      </c>
      <c r="AD465" s="89"/>
      <c r="AE465" s="18" t="s">
        <v>638</v>
      </c>
      <c r="AF465" s="24"/>
      <c r="AG465" s="24"/>
      <c r="AH465" s="24"/>
      <c r="AI465" s="24"/>
      <c r="AJ465" s="24"/>
      <c r="AK465" s="24"/>
      <c r="AL465" s="24"/>
      <c r="AM465" s="24"/>
    </row>
    <row r="466">
      <c r="A466" s="11"/>
      <c r="B466" s="12" t="s">
        <v>34</v>
      </c>
      <c r="C466" s="12" t="s">
        <v>65</v>
      </c>
      <c r="D466" s="12" t="s">
        <v>43</v>
      </c>
      <c r="E466" s="12" t="s">
        <v>691</v>
      </c>
      <c r="F466" s="13" t="s">
        <v>692</v>
      </c>
      <c r="G466" s="12" t="s">
        <v>68</v>
      </c>
      <c r="H466" s="12" t="s">
        <v>693</v>
      </c>
      <c r="I466" s="12" t="s">
        <v>694</v>
      </c>
      <c r="J466" s="17" t="s">
        <v>112</v>
      </c>
      <c r="K466" s="17" t="s">
        <v>113</v>
      </c>
      <c r="L466" s="100" t="s">
        <v>1920</v>
      </c>
      <c r="M466" s="20">
        <v>45848.0</v>
      </c>
      <c r="N466" s="17" t="s">
        <v>194</v>
      </c>
      <c r="O466" s="88" t="s">
        <v>1520</v>
      </c>
      <c r="P466" s="88" t="s">
        <v>1521</v>
      </c>
      <c r="Q466" s="88" t="s">
        <v>1521</v>
      </c>
      <c r="R466" s="88" t="s">
        <v>1521</v>
      </c>
      <c r="S466" s="88" t="s">
        <v>1521</v>
      </c>
      <c r="T466" s="88" t="s">
        <v>1521</v>
      </c>
      <c r="U466" s="88" t="s">
        <v>1521</v>
      </c>
      <c r="V466" s="88" t="s">
        <v>1521</v>
      </c>
      <c r="W466" s="88" t="s">
        <v>1521</v>
      </c>
      <c r="X466" s="88" t="s">
        <v>1521</v>
      </c>
      <c r="Y466" s="88" t="s">
        <v>1521</v>
      </c>
      <c r="Z466" s="88" t="s">
        <v>1521</v>
      </c>
      <c r="AA466" s="88" t="s">
        <v>1521</v>
      </c>
      <c r="AB466" s="88" t="s">
        <v>1521</v>
      </c>
      <c r="AC466" s="88" t="s">
        <v>1521</v>
      </c>
      <c r="AD466" s="89"/>
      <c r="AE466" s="18" t="s">
        <v>638</v>
      </c>
      <c r="AF466" s="24"/>
      <c r="AG466" s="24"/>
      <c r="AH466" s="24"/>
      <c r="AI466" s="24"/>
      <c r="AJ466" s="24"/>
      <c r="AK466" s="24"/>
      <c r="AL466" s="24"/>
      <c r="AM466" s="24"/>
    </row>
    <row r="467">
      <c r="A467" s="11"/>
      <c r="B467" s="12" t="s">
        <v>34</v>
      </c>
      <c r="C467" s="12" t="s">
        <v>65</v>
      </c>
      <c r="D467" s="12" t="s">
        <v>43</v>
      </c>
      <c r="E467" s="12" t="s">
        <v>691</v>
      </c>
      <c r="F467" s="13" t="s">
        <v>692</v>
      </c>
      <c r="G467" s="12" t="s">
        <v>68</v>
      </c>
      <c r="H467" s="12" t="s">
        <v>693</v>
      </c>
      <c r="I467" s="12" t="s">
        <v>694</v>
      </c>
      <c r="J467" s="17" t="s">
        <v>112</v>
      </c>
      <c r="K467" s="17" t="s">
        <v>113</v>
      </c>
      <c r="L467" s="100" t="s">
        <v>1921</v>
      </c>
      <c r="M467" s="20">
        <v>45848.0</v>
      </c>
      <c r="N467" s="17" t="s">
        <v>194</v>
      </c>
      <c r="O467" s="88" t="s">
        <v>1520</v>
      </c>
      <c r="P467" s="88" t="s">
        <v>1521</v>
      </c>
      <c r="Q467" s="88" t="s">
        <v>1521</v>
      </c>
      <c r="R467" s="88" t="s">
        <v>1521</v>
      </c>
      <c r="S467" s="88" t="s">
        <v>1521</v>
      </c>
      <c r="T467" s="88" t="s">
        <v>1521</v>
      </c>
      <c r="U467" s="88" t="s">
        <v>1520</v>
      </c>
      <c r="V467" s="88" t="s">
        <v>1521</v>
      </c>
      <c r="W467" s="88" t="s">
        <v>1521</v>
      </c>
      <c r="X467" s="88" t="s">
        <v>1521</v>
      </c>
      <c r="Y467" s="88" t="s">
        <v>1521</v>
      </c>
      <c r="Z467" s="88" t="s">
        <v>1521</v>
      </c>
      <c r="AA467" s="88" t="s">
        <v>1521</v>
      </c>
      <c r="AB467" s="88" t="s">
        <v>1521</v>
      </c>
      <c r="AC467" s="88" t="s">
        <v>1520</v>
      </c>
      <c r="AD467" s="89"/>
      <c r="AE467" s="18" t="s">
        <v>638</v>
      </c>
      <c r="AF467" s="24"/>
      <c r="AG467" s="24"/>
      <c r="AH467" s="24"/>
      <c r="AI467" s="24"/>
      <c r="AJ467" s="24"/>
      <c r="AK467" s="24"/>
      <c r="AL467" s="24"/>
      <c r="AM467" s="24"/>
    </row>
    <row r="468">
      <c r="A468" s="11"/>
      <c r="B468" s="12" t="s">
        <v>34</v>
      </c>
      <c r="C468" s="12" t="s">
        <v>65</v>
      </c>
      <c r="D468" s="12" t="s">
        <v>43</v>
      </c>
      <c r="E468" s="12" t="s">
        <v>691</v>
      </c>
      <c r="F468" s="13" t="s">
        <v>692</v>
      </c>
      <c r="G468" s="12" t="s">
        <v>68</v>
      </c>
      <c r="H468" s="12" t="s">
        <v>693</v>
      </c>
      <c r="I468" s="12" t="s">
        <v>694</v>
      </c>
      <c r="J468" s="17" t="s">
        <v>112</v>
      </c>
      <c r="K468" s="17" t="s">
        <v>113</v>
      </c>
      <c r="L468" s="100" t="s">
        <v>1922</v>
      </c>
      <c r="M468" s="20">
        <v>45848.0</v>
      </c>
      <c r="N468" s="17" t="s">
        <v>194</v>
      </c>
      <c r="O468" s="88" t="s">
        <v>1520</v>
      </c>
      <c r="P468" s="88" t="s">
        <v>1521</v>
      </c>
      <c r="Q468" s="88" t="s">
        <v>1521</v>
      </c>
      <c r="R468" s="88" t="s">
        <v>1521</v>
      </c>
      <c r="S468" s="88" t="s">
        <v>1521</v>
      </c>
      <c r="T468" s="88" t="s">
        <v>1520</v>
      </c>
      <c r="U468" s="88" t="s">
        <v>1521</v>
      </c>
      <c r="V468" s="88" t="s">
        <v>1520</v>
      </c>
      <c r="W468" s="88" t="s">
        <v>1520</v>
      </c>
      <c r="X468" s="88" t="s">
        <v>1521</v>
      </c>
      <c r="Y468" s="88" t="s">
        <v>1521</v>
      </c>
      <c r="Z468" s="88" t="s">
        <v>1521</v>
      </c>
      <c r="AA468" s="88" t="s">
        <v>1521</v>
      </c>
      <c r="AB468" s="88" t="s">
        <v>1521</v>
      </c>
      <c r="AC468" s="88" t="s">
        <v>1520</v>
      </c>
      <c r="AD468" s="89"/>
      <c r="AE468" s="18" t="s">
        <v>638</v>
      </c>
      <c r="AF468" s="24"/>
      <c r="AG468" s="24"/>
      <c r="AH468" s="24"/>
      <c r="AI468" s="24"/>
      <c r="AJ468" s="24"/>
      <c r="AK468" s="24"/>
      <c r="AL468" s="24"/>
      <c r="AM468" s="24"/>
    </row>
    <row r="469">
      <c r="A469" s="11"/>
      <c r="B469" s="12" t="s">
        <v>34</v>
      </c>
      <c r="C469" s="12" t="s">
        <v>65</v>
      </c>
      <c r="D469" s="12" t="s">
        <v>43</v>
      </c>
      <c r="E469" s="12" t="s">
        <v>691</v>
      </c>
      <c r="F469" s="13" t="s">
        <v>692</v>
      </c>
      <c r="G469" s="12" t="s">
        <v>68</v>
      </c>
      <c r="H469" s="12" t="s">
        <v>693</v>
      </c>
      <c r="I469" s="12" t="s">
        <v>694</v>
      </c>
      <c r="J469" s="17" t="s">
        <v>112</v>
      </c>
      <c r="K469" s="17" t="s">
        <v>113</v>
      </c>
      <c r="L469" s="100" t="s">
        <v>1923</v>
      </c>
      <c r="M469" s="20">
        <v>45848.0</v>
      </c>
      <c r="N469" s="17" t="s">
        <v>194</v>
      </c>
      <c r="O469" s="88" t="s">
        <v>1521</v>
      </c>
      <c r="P469" s="88" t="s">
        <v>1521</v>
      </c>
      <c r="Q469" s="88" t="s">
        <v>1521</v>
      </c>
      <c r="R469" s="88" t="s">
        <v>1521</v>
      </c>
      <c r="S469" s="88" t="s">
        <v>1521</v>
      </c>
      <c r="T469" s="88" t="s">
        <v>1520</v>
      </c>
      <c r="U469" s="88" t="s">
        <v>1521</v>
      </c>
      <c r="V469" s="88" t="s">
        <v>1521</v>
      </c>
      <c r="W469" s="88" t="s">
        <v>1521</v>
      </c>
      <c r="X469" s="88" t="s">
        <v>1521</v>
      </c>
      <c r="Y469" s="88" t="s">
        <v>1520</v>
      </c>
      <c r="Z469" s="88" t="s">
        <v>1521</v>
      </c>
      <c r="AA469" s="88" t="s">
        <v>1520</v>
      </c>
      <c r="AB469" s="88" t="s">
        <v>1521</v>
      </c>
      <c r="AC469" s="88" t="s">
        <v>1520</v>
      </c>
      <c r="AD469" s="89"/>
      <c r="AE469" s="18" t="s">
        <v>638</v>
      </c>
      <c r="AF469" s="24"/>
      <c r="AG469" s="24"/>
      <c r="AH469" s="24"/>
      <c r="AI469" s="24"/>
      <c r="AJ469" s="24"/>
      <c r="AK469" s="24"/>
      <c r="AL469" s="24"/>
      <c r="AM469" s="24"/>
    </row>
    <row r="470">
      <c r="A470" s="11"/>
      <c r="B470" s="12" t="s">
        <v>34</v>
      </c>
      <c r="C470" s="12" t="s">
        <v>65</v>
      </c>
      <c r="D470" s="12" t="s">
        <v>43</v>
      </c>
      <c r="E470" s="12" t="s">
        <v>691</v>
      </c>
      <c r="F470" s="13" t="s">
        <v>692</v>
      </c>
      <c r="G470" s="12" t="s">
        <v>68</v>
      </c>
      <c r="H470" s="12" t="s">
        <v>693</v>
      </c>
      <c r="I470" s="12" t="s">
        <v>694</v>
      </c>
      <c r="J470" s="17" t="s">
        <v>112</v>
      </c>
      <c r="K470" s="17" t="s">
        <v>113</v>
      </c>
      <c r="L470" s="100" t="s">
        <v>1924</v>
      </c>
      <c r="M470" s="20">
        <v>45848.0</v>
      </c>
      <c r="N470" s="17" t="s">
        <v>194</v>
      </c>
      <c r="O470" s="88" t="s">
        <v>1520</v>
      </c>
      <c r="P470" s="88" t="s">
        <v>1521</v>
      </c>
      <c r="Q470" s="88" t="s">
        <v>1521</v>
      </c>
      <c r="R470" s="88" t="s">
        <v>1521</v>
      </c>
      <c r="S470" s="88" t="s">
        <v>1520</v>
      </c>
      <c r="T470" s="88" t="s">
        <v>1521</v>
      </c>
      <c r="U470" s="88" t="s">
        <v>1521</v>
      </c>
      <c r="V470" s="88" t="s">
        <v>1521</v>
      </c>
      <c r="W470" s="88" t="s">
        <v>1521</v>
      </c>
      <c r="X470" s="88" t="s">
        <v>1521</v>
      </c>
      <c r="Y470" s="88" t="s">
        <v>1521</v>
      </c>
      <c r="Z470" s="88" t="s">
        <v>1521</v>
      </c>
      <c r="AA470" s="88" t="s">
        <v>1521</v>
      </c>
      <c r="AB470" s="88" t="s">
        <v>1521</v>
      </c>
      <c r="AC470" s="88" t="s">
        <v>1521</v>
      </c>
      <c r="AD470" s="89"/>
      <c r="AE470" s="18" t="s">
        <v>638</v>
      </c>
      <c r="AF470" s="24"/>
      <c r="AG470" s="24"/>
      <c r="AH470" s="24"/>
      <c r="AI470" s="24"/>
      <c r="AJ470" s="24"/>
      <c r="AK470" s="24"/>
      <c r="AL470" s="24"/>
      <c r="AM470" s="24"/>
    </row>
    <row r="471">
      <c r="A471" s="11"/>
      <c r="B471" s="12" t="s">
        <v>34</v>
      </c>
      <c r="C471" s="12" t="s">
        <v>65</v>
      </c>
      <c r="D471" s="12" t="s">
        <v>43</v>
      </c>
      <c r="E471" s="12" t="s">
        <v>691</v>
      </c>
      <c r="F471" s="13" t="s">
        <v>692</v>
      </c>
      <c r="G471" s="12" t="s">
        <v>68</v>
      </c>
      <c r="H471" s="12" t="s">
        <v>693</v>
      </c>
      <c r="I471" s="12" t="s">
        <v>694</v>
      </c>
      <c r="J471" s="17" t="s">
        <v>108</v>
      </c>
      <c r="K471" s="17" t="s">
        <v>109</v>
      </c>
      <c r="L471" s="100" t="s">
        <v>1925</v>
      </c>
      <c r="M471" s="20">
        <v>45848.0</v>
      </c>
      <c r="N471" s="17" t="s">
        <v>194</v>
      </c>
      <c r="O471" s="88" t="s">
        <v>1520</v>
      </c>
      <c r="P471" s="88" t="s">
        <v>1521</v>
      </c>
      <c r="Q471" s="88" t="s">
        <v>1521</v>
      </c>
      <c r="R471" s="88" t="s">
        <v>1521</v>
      </c>
      <c r="S471" s="88" t="s">
        <v>1521</v>
      </c>
      <c r="T471" s="88" t="s">
        <v>1521</v>
      </c>
      <c r="U471" s="88" t="s">
        <v>1521</v>
      </c>
      <c r="V471" s="88" t="s">
        <v>1521</v>
      </c>
      <c r="W471" s="88" t="s">
        <v>1521</v>
      </c>
      <c r="X471" s="88" t="s">
        <v>1521</v>
      </c>
      <c r="Y471" s="88" t="s">
        <v>1521</v>
      </c>
      <c r="Z471" s="88" t="s">
        <v>1521</v>
      </c>
      <c r="AA471" s="88" t="s">
        <v>1521</v>
      </c>
      <c r="AB471" s="88" t="s">
        <v>1521</v>
      </c>
      <c r="AC471" s="88" t="s">
        <v>1521</v>
      </c>
      <c r="AD471" s="89"/>
      <c r="AE471" s="18" t="s">
        <v>638</v>
      </c>
      <c r="AF471" s="24"/>
      <c r="AG471" s="24"/>
      <c r="AH471" s="24"/>
      <c r="AI471" s="24"/>
      <c r="AJ471" s="24"/>
      <c r="AK471" s="24"/>
      <c r="AL471" s="24"/>
      <c r="AM471" s="24"/>
    </row>
    <row r="472">
      <c r="A472" s="11"/>
      <c r="B472" s="12" t="s">
        <v>34</v>
      </c>
      <c r="C472" s="12" t="s">
        <v>65</v>
      </c>
      <c r="D472" s="12" t="s">
        <v>43</v>
      </c>
      <c r="E472" s="12" t="s">
        <v>691</v>
      </c>
      <c r="F472" s="13" t="s">
        <v>692</v>
      </c>
      <c r="G472" s="12" t="s">
        <v>68</v>
      </c>
      <c r="H472" s="12" t="s">
        <v>693</v>
      </c>
      <c r="I472" s="12" t="s">
        <v>694</v>
      </c>
      <c r="J472" s="17" t="s">
        <v>108</v>
      </c>
      <c r="K472" s="17" t="s">
        <v>109</v>
      </c>
      <c r="L472" s="100" t="s">
        <v>1926</v>
      </c>
      <c r="M472" s="20">
        <v>45848.0</v>
      </c>
      <c r="N472" s="17" t="s">
        <v>194</v>
      </c>
      <c r="O472" s="88" t="s">
        <v>1521</v>
      </c>
      <c r="P472" s="88" t="s">
        <v>1520</v>
      </c>
      <c r="Q472" s="88" t="s">
        <v>1521</v>
      </c>
      <c r="R472" s="88" t="s">
        <v>1521</v>
      </c>
      <c r="S472" s="88" t="s">
        <v>1521</v>
      </c>
      <c r="T472" s="88" t="s">
        <v>1521</v>
      </c>
      <c r="U472" s="88" t="s">
        <v>1521</v>
      </c>
      <c r="V472" s="88" t="s">
        <v>1520</v>
      </c>
      <c r="W472" s="88" t="s">
        <v>1521</v>
      </c>
      <c r="X472" s="88" t="s">
        <v>1521</v>
      </c>
      <c r="Y472" s="88" t="s">
        <v>1521</v>
      </c>
      <c r="Z472" s="88" t="s">
        <v>1521</v>
      </c>
      <c r="AA472" s="88" t="s">
        <v>1521</v>
      </c>
      <c r="AB472" s="88" t="s">
        <v>1521</v>
      </c>
      <c r="AC472" s="88" t="s">
        <v>1521</v>
      </c>
      <c r="AD472" s="89"/>
      <c r="AE472" s="18" t="s">
        <v>638</v>
      </c>
      <c r="AF472" s="24"/>
      <c r="AG472" s="24"/>
      <c r="AH472" s="24"/>
      <c r="AI472" s="24"/>
      <c r="AJ472" s="24"/>
      <c r="AK472" s="24"/>
      <c r="AL472" s="24"/>
      <c r="AM472" s="24"/>
    </row>
    <row r="473">
      <c r="A473" s="11"/>
      <c r="B473" s="12" t="s">
        <v>34</v>
      </c>
      <c r="C473" s="12" t="s">
        <v>65</v>
      </c>
      <c r="D473" s="12" t="s">
        <v>43</v>
      </c>
      <c r="E473" s="12" t="s">
        <v>691</v>
      </c>
      <c r="F473" s="13" t="s">
        <v>692</v>
      </c>
      <c r="G473" s="12" t="s">
        <v>68</v>
      </c>
      <c r="H473" s="12" t="s">
        <v>693</v>
      </c>
      <c r="I473" s="12" t="s">
        <v>694</v>
      </c>
      <c r="J473" s="17" t="s">
        <v>108</v>
      </c>
      <c r="K473" s="17" t="s">
        <v>109</v>
      </c>
      <c r="L473" s="100" t="s">
        <v>1927</v>
      </c>
      <c r="M473" s="20">
        <v>45848.0</v>
      </c>
      <c r="N473" s="17" t="s">
        <v>194</v>
      </c>
      <c r="O473" s="88" t="s">
        <v>1520</v>
      </c>
      <c r="P473" s="88" t="s">
        <v>1521</v>
      </c>
      <c r="Q473" s="88" t="s">
        <v>1521</v>
      </c>
      <c r="R473" s="88" t="s">
        <v>1521</v>
      </c>
      <c r="S473" s="88" t="s">
        <v>1520</v>
      </c>
      <c r="T473" s="88" t="s">
        <v>1521</v>
      </c>
      <c r="U473" s="88" t="s">
        <v>1521</v>
      </c>
      <c r="V473" s="88" t="s">
        <v>1521</v>
      </c>
      <c r="W473" s="88" t="s">
        <v>1521</v>
      </c>
      <c r="X473" s="88" t="s">
        <v>1520</v>
      </c>
      <c r="Y473" s="88" t="s">
        <v>1521</v>
      </c>
      <c r="Z473" s="88" t="s">
        <v>1521</v>
      </c>
      <c r="AA473" s="88" t="s">
        <v>1521</v>
      </c>
      <c r="AB473" s="88" t="s">
        <v>1521</v>
      </c>
      <c r="AC473" s="88" t="s">
        <v>1521</v>
      </c>
      <c r="AD473" s="89"/>
      <c r="AE473" s="18" t="s">
        <v>638</v>
      </c>
      <c r="AF473" s="24"/>
      <c r="AG473" s="24"/>
      <c r="AH473" s="24"/>
      <c r="AI473" s="24"/>
      <c r="AJ473" s="24"/>
      <c r="AK473" s="24"/>
      <c r="AL473" s="24"/>
      <c r="AM473" s="24"/>
    </row>
    <row r="474">
      <c r="A474" s="11"/>
      <c r="B474" s="12" t="s">
        <v>34</v>
      </c>
      <c r="C474" s="12" t="s">
        <v>65</v>
      </c>
      <c r="D474" s="12" t="s">
        <v>43</v>
      </c>
      <c r="E474" s="12" t="s">
        <v>691</v>
      </c>
      <c r="F474" s="13" t="s">
        <v>692</v>
      </c>
      <c r="G474" s="12" t="s">
        <v>68</v>
      </c>
      <c r="H474" s="12" t="s">
        <v>693</v>
      </c>
      <c r="I474" s="12" t="s">
        <v>694</v>
      </c>
      <c r="J474" s="17" t="s">
        <v>108</v>
      </c>
      <c r="K474" s="17" t="s">
        <v>109</v>
      </c>
      <c r="L474" s="100" t="s">
        <v>1928</v>
      </c>
      <c r="M474" s="20">
        <v>45848.0</v>
      </c>
      <c r="N474" s="17" t="s">
        <v>194</v>
      </c>
      <c r="O474" s="88" t="s">
        <v>1521</v>
      </c>
      <c r="P474" s="88" t="s">
        <v>1521</v>
      </c>
      <c r="Q474" s="88" t="s">
        <v>1521</v>
      </c>
      <c r="R474" s="88" t="s">
        <v>1521</v>
      </c>
      <c r="S474" s="88" t="s">
        <v>1521</v>
      </c>
      <c r="T474" s="88" t="s">
        <v>1521</v>
      </c>
      <c r="U474" s="88" t="s">
        <v>1520</v>
      </c>
      <c r="V474" s="88" t="s">
        <v>1521</v>
      </c>
      <c r="W474" s="88" t="s">
        <v>1521</v>
      </c>
      <c r="X474" s="88" t="s">
        <v>1521</v>
      </c>
      <c r="Y474" s="88" t="s">
        <v>1521</v>
      </c>
      <c r="Z474" s="88" t="s">
        <v>1521</v>
      </c>
      <c r="AA474" s="88" t="s">
        <v>1521</v>
      </c>
      <c r="AB474" s="88" t="s">
        <v>1521</v>
      </c>
      <c r="AC474" s="88" t="s">
        <v>1521</v>
      </c>
      <c r="AD474" s="89"/>
      <c r="AE474" s="18" t="s">
        <v>638</v>
      </c>
      <c r="AF474" s="24"/>
      <c r="AG474" s="24"/>
      <c r="AH474" s="24"/>
      <c r="AI474" s="24"/>
      <c r="AJ474" s="24"/>
      <c r="AK474" s="24"/>
      <c r="AL474" s="24"/>
      <c r="AM474" s="24"/>
    </row>
    <row r="475">
      <c r="A475" s="11"/>
      <c r="B475" s="12" t="s">
        <v>34</v>
      </c>
      <c r="C475" s="12" t="s">
        <v>65</v>
      </c>
      <c r="D475" s="12" t="s">
        <v>43</v>
      </c>
      <c r="E475" s="12" t="s">
        <v>691</v>
      </c>
      <c r="F475" s="13" t="s">
        <v>692</v>
      </c>
      <c r="G475" s="12" t="s">
        <v>68</v>
      </c>
      <c r="H475" s="12" t="s">
        <v>693</v>
      </c>
      <c r="I475" s="12" t="s">
        <v>694</v>
      </c>
      <c r="J475" s="17" t="s">
        <v>108</v>
      </c>
      <c r="K475" s="17" t="s">
        <v>109</v>
      </c>
      <c r="L475" s="100" t="s">
        <v>1929</v>
      </c>
      <c r="M475" s="20">
        <v>45848.0</v>
      </c>
      <c r="N475" s="17" t="s">
        <v>194</v>
      </c>
      <c r="O475" s="88" t="s">
        <v>1520</v>
      </c>
      <c r="P475" s="88" t="s">
        <v>1521</v>
      </c>
      <c r="Q475" s="88" t="s">
        <v>1521</v>
      </c>
      <c r="R475" s="88" t="s">
        <v>1521</v>
      </c>
      <c r="S475" s="88" t="s">
        <v>1520</v>
      </c>
      <c r="T475" s="88" t="s">
        <v>1521</v>
      </c>
      <c r="U475" s="88" t="s">
        <v>1521</v>
      </c>
      <c r="V475" s="88" t="s">
        <v>1521</v>
      </c>
      <c r="W475" s="88" t="s">
        <v>1521</v>
      </c>
      <c r="X475" s="88" t="s">
        <v>1521</v>
      </c>
      <c r="Y475" s="88" t="s">
        <v>1521</v>
      </c>
      <c r="Z475" s="88" t="s">
        <v>1520</v>
      </c>
      <c r="AA475" s="88" t="s">
        <v>1521</v>
      </c>
      <c r="AB475" s="88" t="s">
        <v>1521</v>
      </c>
      <c r="AC475" s="88" t="s">
        <v>1520</v>
      </c>
      <c r="AD475" s="89"/>
      <c r="AE475" s="18" t="s">
        <v>638</v>
      </c>
      <c r="AF475" s="24"/>
      <c r="AG475" s="24"/>
      <c r="AH475" s="24"/>
      <c r="AI475" s="24"/>
      <c r="AJ475" s="24"/>
      <c r="AK475" s="24"/>
      <c r="AL475" s="24"/>
      <c r="AM475" s="24"/>
    </row>
    <row r="476">
      <c r="A476" s="11"/>
      <c r="B476" s="12" t="s">
        <v>34</v>
      </c>
      <c r="C476" s="12" t="s">
        <v>65</v>
      </c>
      <c r="D476" s="12" t="s">
        <v>43</v>
      </c>
      <c r="E476" s="12" t="s">
        <v>691</v>
      </c>
      <c r="F476" s="13" t="s">
        <v>692</v>
      </c>
      <c r="G476" s="12" t="s">
        <v>68</v>
      </c>
      <c r="H476" s="12" t="s">
        <v>693</v>
      </c>
      <c r="I476" s="12" t="s">
        <v>694</v>
      </c>
      <c r="J476" s="17" t="s">
        <v>108</v>
      </c>
      <c r="K476" s="17" t="s">
        <v>109</v>
      </c>
      <c r="L476" s="100" t="s">
        <v>1930</v>
      </c>
      <c r="M476" s="20">
        <v>45848.0</v>
      </c>
      <c r="N476" s="17" t="s">
        <v>194</v>
      </c>
      <c r="O476" s="88" t="s">
        <v>1521</v>
      </c>
      <c r="P476" s="88" t="s">
        <v>1520</v>
      </c>
      <c r="Q476" s="88" t="s">
        <v>1521</v>
      </c>
      <c r="R476" s="88" t="s">
        <v>1521</v>
      </c>
      <c r="S476" s="88" t="s">
        <v>1521</v>
      </c>
      <c r="T476" s="88" t="s">
        <v>1521</v>
      </c>
      <c r="U476" s="88" t="s">
        <v>1521</v>
      </c>
      <c r="V476" s="88" t="s">
        <v>1521</v>
      </c>
      <c r="W476" s="88" t="s">
        <v>1521</v>
      </c>
      <c r="X476" s="88" t="s">
        <v>1521</v>
      </c>
      <c r="Y476" s="88" t="s">
        <v>1521</v>
      </c>
      <c r="Z476" s="88" t="s">
        <v>1521</v>
      </c>
      <c r="AA476" s="88" t="s">
        <v>1521</v>
      </c>
      <c r="AB476" s="88" t="s">
        <v>1520</v>
      </c>
      <c r="AC476" s="88" t="s">
        <v>1521</v>
      </c>
      <c r="AD476" s="89"/>
      <c r="AE476" s="18" t="s">
        <v>638</v>
      </c>
      <c r="AF476" s="24"/>
      <c r="AG476" s="24"/>
      <c r="AH476" s="24"/>
      <c r="AI476" s="24"/>
      <c r="AJ476" s="24"/>
      <c r="AK476" s="24"/>
      <c r="AL476" s="24"/>
      <c r="AM476" s="24"/>
    </row>
    <row r="477">
      <c r="A477" s="11"/>
      <c r="B477" s="12" t="s">
        <v>34</v>
      </c>
      <c r="C477" s="12" t="s">
        <v>65</v>
      </c>
      <c r="D477" s="12" t="s">
        <v>43</v>
      </c>
      <c r="E477" s="12" t="s">
        <v>691</v>
      </c>
      <c r="F477" s="13" t="s">
        <v>692</v>
      </c>
      <c r="G477" s="12" t="s">
        <v>68</v>
      </c>
      <c r="H477" s="12" t="s">
        <v>693</v>
      </c>
      <c r="I477" s="12" t="s">
        <v>694</v>
      </c>
      <c r="J477" s="17" t="s">
        <v>108</v>
      </c>
      <c r="K477" s="17" t="s">
        <v>109</v>
      </c>
      <c r="L477" s="100" t="s">
        <v>1931</v>
      </c>
      <c r="M477" s="20">
        <v>45848.0</v>
      </c>
      <c r="N477" s="17" t="s">
        <v>194</v>
      </c>
      <c r="O477" s="88" t="s">
        <v>1521</v>
      </c>
      <c r="P477" s="88" t="s">
        <v>1521</v>
      </c>
      <c r="Q477" s="88" t="s">
        <v>1521</v>
      </c>
      <c r="R477" s="88" t="s">
        <v>1521</v>
      </c>
      <c r="S477" s="88" t="s">
        <v>1520</v>
      </c>
      <c r="T477" s="88" t="s">
        <v>1521</v>
      </c>
      <c r="U477" s="88" t="s">
        <v>1521</v>
      </c>
      <c r="V477" s="88" t="s">
        <v>1520</v>
      </c>
      <c r="W477" s="88" t="s">
        <v>1521</v>
      </c>
      <c r="X477" s="88" t="s">
        <v>1521</v>
      </c>
      <c r="Y477" s="88" t="s">
        <v>1521</v>
      </c>
      <c r="Z477" s="88" t="s">
        <v>1521</v>
      </c>
      <c r="AA477" s="88" t="s">
        <v>1521</v>
      </c>
      <c r="AB477" s="88" t="s">
        <v>1521</v>
      </c>
      <c r="AC477" s="88" t="s">
        <v>1520</v>
      </c>
      <c r="AD477" s="89"/>
      <c r="AE477" s="18" t="s">
        <v>638</v>
      </c>
      <c r="AF477" s="24"/>
      <c r="AG477" s="24"/>
      <c r="AH477" s="24"/>
      <c r="AI477" s="24"/>
      <c r="AJ477" s="24"/>
      <c r="AK477" s="24"/>
      <c r="AL477" s="24"/>
      <c r="AM477" s="24"/>
    </row>
    <row r="478">
      <c r="A478" s="11"/>
      <c r="B478" s="12" t="s">
        <v>34</v>
      </c>
      <c r="C478" s="12" t="s">
        <v>65</v>
      </c>
      <c r="D478" s="12" t="s">
        <v>43</v>
      </c>
      <c r="E478" s="12" t="s">
        <v>691</v>
      </c>
      <c r="F478" s="13" t="s">
        <v>692</v>
      </c>
      <c r="G478" s="12" t="s">
        <v>68</v>
      </c>
      <c r="H478" s="12" t="s">
        <v>693</v>
      </c>
      <c r="I478" s="12" t="s">
        <v>694</v>
      </c>
      <c r="J478" s="17" t="s">
        <v>108</v>
      </c>
      <c r="K478" s="17" t="s">
        <v>109</v>
      </c>
      <c r="L478" s="100" t="s">
        <v>1932</v>
      </c>
      <c r="M478" s="20">
        <v>45848.0</v>
      </c>
      <c r="N478" s="17" t="s">
        <v>194</v>
      </c>
      <c r="O478" s="88" t="s">
        <v>1520</v>
      </c>
      <c r="P478" s="88" t="s">
        <v>1521</v>
      </c>
      <c r="Q478" s="88" t="s">
        <v>1521</v>
      </c>
      <c r="R478" s="88" t="s">
        <v>1521</v>
      </c>
      <c r="S478" s="88" t="s">
        <v>1520</v>
      </c>
      <c r="T478" s="88" t="s">
        <v>1521</v>
      </c>
      <c r="U478" s="88" t="s">
        <v>1521</v>
      </c>
      <c r="V478" s="88" t="s">
        <v>1521</v>
      </c>
      <c r="W478" s="88" t="s">
        <v>1521</v>
      </c>
      <c r="X478" s="88" t="s">
        <v>1521</v>
      </c>
      <c r="Y478" s="88" t="s">
        <v>1521</v>
      </c>
      <c r="Z478" s="88" t="s">
        <v>1521</v>
      </c>
      <c r="AA478" s="88" t="s">
        <v>1521</v>
      </c>
      <c r="AB478" s="88" t="s">
        <v>1520</v>
      </c>
      <c r="AC478" s="88" t="s">
        <v>1521</v>
      </c>
      <c r="AD478" s="89"/>
      <c r="AE478" s="18" t="s">
        <v>638</v>
      </c>
      <c r="AF478" s="24"/>
      <c r="AG478" s="24"/>
      <c r="AH478" s="24"/>
      <c r="AI478" s="24"/>
      <c r="AJ478" s="24"/>
      <c r="AK478" s="24"/>
      <c r="AL478" s="24"/>
      <c r="AM478" s="24"/>
    </row>
    <row r="479">
      <c r="A479" s="11"/>
      <c r="B479" s="12" t="s">
        <v>34</v>
      </c>
      <c r="C479" s="12" t="s">
        <v>65</v>
      </c>
      <c r="D479" s="12" t="s">
        <v>43</v>
      </c>
      <c r="E479" s="12" t="s">
        <v>691</v>
      </c>
      <c r="F479" s="13" t="s">
        <v>692</v>
      </c>
      <c r="G479" s="12" t="s">
        <v>68</v>
      </c>
      <c r="H479" s="12" t="s">
        <v>693</v>
      </c>
      <c r="I479" s="12" t="s">
        <v>694</v>
      </c>
      <c r="J479" s="17" t="s">
        <v>108</v>
      </c>
      <c r="K479" s="17" t="s">
        <v>109</v>
      </c>
      <c r="L479" s="100" t="s">
        <v>1933</v>
      </c>
      <c r="M479" s="20">
        <v>45848.0</v>
      </c>
      <c r="N479" s="17" t="s">
        <v>194</v>
      </c>
      <c r="O479" s="88" t="s">
        <v>1520</v>
      </c>
      <c r="P479" s="88" t="s">
        <v>1520</v>
      </c>
      <c r="Q479" s="88" t="s">
        <v>1521</v>
      </c>
      <c r="R479" s="88" t="s">
        <v>1521</v>
      </c>
      <c r="S479" s="88" t="s">
        <v>1520</v>
      </c>
      <c r="T479" s="88" t="s">
        <v>1521</v>
      </c>
      <c r="U479" s="88" t="s">
        <v>1521</v>
      </c>
      <c r="V479" s="88" t="s">
        <v>1521</v>
      </c>
      <c r="W479" s="88" t="s">
        <v>1521</v>
      </c>
      <c r="X479" s="88" t="s">
        <v>1521</v>
      </c>
      <c r="Y479" s="88" t="s">
        <v>1521</v>
      </c>
      <c r="Z479" s="88" t="s">
        <v>1521</v>
      </c>
      <c r="AA479" s="88" t="s">
        <v>1521</v>
      </c>
      <c r="AB479" s="88" t="s">
        <v>1521</v>
      </c>
      <c r="AC479" s="88" t="s">
        <v>1521</v>
      </c>
      <c r="AD479" s="89"/>
      <c r="AE479" s="18" t="s">
        <v>638</v>
      </c>
      <c r="AF479" s="24"/>
      <c r="AG479" s="24"/>
      <c r="AH479" s="24"/>
      <c r="AI479" s="24"/>
      <c r="AJ479" s="24"/>
      <c r="AK479" s="24"/>
      <c r="AL479" s="24"/>
      <c r="AM479" s="24"/>
    </row>
    <row r="480">
      <c r="A480" s="11"/>
      <c r="B480" s="12" t="s">
        <v>34</v>
      </c>
      <c r="C480" s="12" t="s">
        <v>65</v>
      </c>
      <c r="D480" s="12" t="s">
        <v>43</v>
      </c>
      <c r="E480" s="12" t="s">
        <v>691</v>
      </c>
      <c r="F480" s="13" t="s">
        <v>692</v>
      </c>
      <c r="G480" s="12" t="s">
        <v>68</v>
      </c>
      <c r="H480" s="12" t="s">
        <v>693</v>
      </c>
      <c r="I480" s="12" t="s">
        <v>694</v>
      </c>
      <c r="J480" s="17" t="s">
        <v>108</v>
      </c>
      <c r="K480" s="17" t="s">
        <v>109</v>
      </c>
      <c r="L480" s="100" t="s">
        <v>1934</v>
      </c>
      <c r="M480" s="20">
        <v>45848.0</v>
      </c>
      <c r="N480" s="17" t="s">
        <v>194</v>
      </c>
      <c r="O480" s="88" t="s">
        <v>1520</v>
      </c>
      <c r="P480" s="88" t="s">
        <v>1521</v>
      </c>
      <c r="Q480" s="88" t="s">
        <v>1521</v>
      </c>
      <c r="R480" s="88" t="s">
        <v>1521</v>
      </c>
      <c r="S480" s="88" t="s">
        <v>1520</v>
      </c>
      <c r="T480" s="88" t="s">
        <v>1521</v>
      </c>
      <c r="U480" s="88" t="s">
        <v>1521</v>
      </c>
      <c r="V480" s="88" t="s">
        <v>1521</v>
      </c>
      <c r="W480" s="88" t="s">
        <v>1521</v>
      </c>
      <c r="X480" s="88" t="s">
        <v>1521</v>
      </c>
      <c r="Y480" s="88" t="s">
        <v>1521</v>
      </c>
      <c r="Z480" s="88" t="s">
        <v>1521</v>
      </c>
      <c r="AA480" s="88" t="s">
        <v>1521</v>
      </c>
      <c r="AB480" s="88" t="s">
        <v>1520</v>
      </c>
      <c r="AC480" s="88" t="s">
        <v>1520</v>
      </c>
      <c r="AD480" s="89"/>
      <c r="AE480" s="18" t="s">
        <v>638</v>
      </c>
      <c r="AF480" s="24"/>
      <c r="AG480" s="24"/>
      <c r="AH480" s="24"/>
      <c r="AI480" s="24"/>
      <c r="AJ480" s="24"/>
      <c r="AK480" s="24"/>
      <c r="AL480" s="24"/>
      <c r="AM480" s="24"/>
    </row>
    <row r="481">
      <c r="A481" s="11"/>
      <c r="B481" s="12" t="s">
        <v>34</v>
      </c>
      <c r="C481" s="12" t="s">
        <v>65</v>
      </c>
      <c r="D481" s="12" t="s">
        <v>43</v>
      </c>
      <c r="E481" s="12" t="s">
        <v>691</v>
      </c>
      <c r="F481" s="13" t="s">
        <v>692</v>
      </c>
      <c r="G481" s="12" t="s">
        <v>68</v>
      </c>
      <c r="H481" s="12" t="s">
        <v>693</v>
      </c>
      <c r="I481" s="12" t="s">
        <v>694</v>
      </c>
      <c r="J481" s="17" t="s">
        <v>108</v>
      </c>
      <c r="K481" s="17" t="s">
        <v>109</v>
      </c>
      <c r="L481" s="100" t="s">
        <v>1935</v>
      </c>
      <c r="M481" s="20">
        <v>45848.0</v>
      </c>
      <c r="N481" s="17" t="s">
        <v>194</v>
      </c>
      <c r="O481" s="88" t="s">
        <v>1520</v>
      </c>
      <c r="P481" s="88" t="s">
        <v>1521</v>
      </c>
      <c r="Q481" s="88" t="s">
        <v>1521</v>
      </c>
      <c r="R481" s="88" t="s">
        <v>1521</v>
      </c>
      <c r="S481" s="88" t="s">
        <v>1521</v>
      </c>
      <c r="T481" s="88" t="s">
        <v>1521</v>
      </c>
      <c r="U481" s="88" t="s">
        <v>1520</v>
      </c>
      <c r="V481" s="88" t="s">
        <v>1520</v>
      </c>
      <c r="W481" s="88" t="s">
        <v>1521</v>
      </c>
      <c r="X481" s="88" t="s">
        <v>1521</v>
      </c>
      <c r="Y481" s="88" t="s">
        <v>1521</v>
      </c>
      <c r="Z481" s="88" t="s">
        <v>1521</v>
      </c>
      <c r="AA481" s="88" t="s">
        <v>1521</v>
      </c>
      <c r="AB481" s="88" t="s">
        <v>1521</v>
      </c>
      <c r="AC481" s="88" t="s">
        <v>1521</v>
      </c>
      <c r="AD481" s="89"/>
      <c r="AE481" s="18" t="s">
        <v>638</v>
      </c>
      <c r="AF481" s="24"/>
      <c r="AG481" s="24"/>
      <c r="AH481" s="24"/>
      <c r="AI481" s="24"/>
      <c r="AJ481" s="24"/>
      <c r="AK481" s="24"/>
      <c r="AL481" s="24"/>
      <c r="AM481" s="24"/>
    </row>
    <row r="482">
      <c r="A482" s="11"/>
      <c r="B482" s="12" t="s">
        <v>34</v>
      </c>
      <c r="C482" s="12" t="s">
        <v>65</v>
      </c>
      <c r="D482" s="12" t="s">
        <v>43</v>
      </c>
      <c r="E482" s="12" t="s">
        <v>691</v>
      </c>
      <c r="F482" s="13" t="s">
        <v>692</v>
      </c>
      <c r="G482" s="12" t="s">
        <v>68</v>
      </c>
      <c r="H482" s="12" t="s">
        <v>693</v>
      </c>
      <c r="I482" s="12" t="s">
        <v>694</v>
      </c>
      <c r="J482" s="17" t="s">
        <v>108</v>
      </c>
      <c r="K482" s="17" t="s">
        <v>109</v>
      </c>
      <c r="L482" s="100" t="s">
        <v>1936</v>
      </c>
      <c r="M482" s="20">
        <v>45848.0</v>
      </c>
      <c r="N482" s="17" t="s">
        <v>194</v>
      </c>
      <c r="O482" s="88" t="s">
        <v>1520</v>
      </c>
      <c r="P482" s="88" t="s">
        <v>1521</v>
      </c>
      <c r="Q482" s="88" t="s">
        <v>1521</v>
      </c>
      <c r="R482" s="88" t="s">
        <v>1521</v>
      </c>
      <c r="S482" s="88" t="s">
        <v>1521</v>
      </c>
      <c r="T482" s="88" t="s">
        <v>1520</v>
      </c>
      <c r="U482" s="88" t="s">
        <v>1521</v>
      </c>
      <c r="V482" s="88" t="s">
        <v>1520</v>
      </c>
      <c r="W482" s="88" t="s">
        <v>1521</v>
      </c>
      <c r="X482" s="88" t="s">
        <v>1520</v>
      </c>
      <c r="Y482" s="88" t="s">
        <v>1521</v>
      </c>
      <c r="Z482" s="88" t="s">
        <v>1520</v>
      </c>
      <c r="AA482" s="88" t="s">
        <v>1521</v>
      </c>
      <c r="AB482" s="88" t="s">
        <v>1520</v>
      </c>
      <c r="AC482" s="88" t="s">
        <v>1521</v>
      </c>
      <c r="AD482" s="89"/>
      <c r="AE482" s="18" t="s">
        <v>638</v>
      </c>
      <c r="AF482" s="24"/>
      <c r="AG482" s="24"/>
      <c r="AH482" s="24"/>
      <c r="AI482" s="24"/>
      <c r="AJ482" s="24"/>
      <c r="AK482" s="24"/>
      <c r="AL482" s="24"/>
      <c r="AM482" s="24"/>
    </row>
    <row r="483">
      <c r="A483" s="11"/>
      <c r="B483" s="12" t="s">
        <v>34</v>
      </c>
      <c r="C483" s="12" t="s">
        <v>65</v>
      </c>
      <c r="D483" s="12" t="s">
        <v>43</v>
      </c>
      <c r="E483" s="12" t="s">
        <v>691</v>
      </c>
      <c r="F483" s="13" t="s">
        <v>692</v>
      </c>
      <c r="G483" s="12" t="s">
        <v>68</v>
      </c>
      <c r="H483" s="12" t="s">
        <v>693</v>
      </c>
      <c r="I483" s="12" t="s">
        <v>694</v>
      </c>
      <c r="J483" s="17" t="s">
        <v>108</v>
      </c>
      <c r="K483" s="17" t="s">
        <v>109</v>
      </c>
      <c r="L483" s="100" t="s">
        <v>1937</v>
      </c>
      <c r="M483" s="20">
        <v>45848.0</v>
      </c>
      <c r="N483" s="17" t="s">
        <v>194</v>
      </c>
      <c r="O483" s="88" t="s">
        <v>1520</v>
      </c>
      <c r="P483" s="88" t="s">
        <v>1521</v>
      </c>
      <c r="Q483" s="88" t="s">
        <v>1520</v>
      </c>
      <c r="R483" s="88" t="s">
        <v>1521</v>
      </c>
      <c r="S483" s="88" t="s">
        <v>1520</v>
      </c>
      <c r="T483" s="88" t="s">
        <v>1521</v>
      </c>
      <c r="U483" s="88" t="s">
        <v>1521</v>
      </c>
      <c r="V483" s="88" t="s">
        <v>1521</v>
      </c>
      <c r="W483" s="88" t="s">
        <v>1521</v>
      </c>
      <c r="X483" s="88" t="s">
        <v>1521</v>
      </c>
      <c r="Y483" s="88" t="s">
        <v>1521</v>
      </c>
      <c r="Z483" s="88" t="s">
        <v>1521</v>
      </c>
      <c r="AA483" s="88" t="s">
        <v>1521</v>
      </c>
      <c r="AB483" s="88" t="s">
        <v>1521</v>
      </c>
      <c r="AC483" s="88" t="s">
        <v>1520</v>
      </c>
      <c r="AD483" s="89"/>
      <c r="AE483" s="18" t="s">
        <v>638</v>
      </c>
      <c r="AF483" s="24"/>
      <c r="AG483" s="24"/>
      <c r="AH483" s="24"/>
      <c r="AI483" s="24"/>
      <c r="AJ483" s="24"/>
      <c r="AK483" s="24"/>
      <c r="AL483" s="24"/>
      <c r="AM483" s="24"/>
    </row>
    <row r="484">
      <c r="A484" s="11"/>
      <c r="B484" s="12" t="s">
        <v>34</v>
      </c>
      <c r="C484" s="12" t="s">
        <v>65</v>
      </c>
      <c r="D484" s="12" t="s">
        <v>43</v>
      </c>
      <c r="E484" s="12" t="s">
        <v>773</v>
      </c>
      <c r="F484" s="13" t="s">
        <v>774</v>
      </c>
      <c r="G484" s="12" t="s">
        <v>68</v>
      </c>
      <c r="H484" s="12" t="s">
        <v>775</v>
      </c>
      <c r="I484" s="12" t="s">
        <v>776</v>
      </c>
      <c r="J484" s="17" t="s">
        <v>112</v>
      </c>
      <c r="K484" s="17" t="s">
        <v>113</v>
      </c>
      <c r="L484" s="100" t="s">
        <v>1938</v>
      </c>
      <c r="M484" s="20">
        <v>45852.0</v>
      </c>
      <c r="N484" s="17" t="s">
        <v>194</v>
      </c>
      <c r="O484" s="88" t="s">
        <v>1520</v>
      </c>
      <c r="P484" s="88" t="s">
        <v>1521</v>
      </c>
      <c r="Q484" s="88" t="s">
        <v>1520</v>
      </c>
      <c r="R484" s="88" t="s">
        <v>1521</v>
      </c>
      <c r="S484" s="88" t="s">
        <v>1521</v>
      </c>
      <c r="T484" s="88" t="s">
        <v>1520</v>
      </c>
      <c r="U484" s="88" t="s">
        <v>1521</v>
      </c>
      <c r="V484" s="88" t="s">
        <v>1520</v>
      </c>
      <c r="W484" s="88" t="s">
        <v>1521</v>
      </c>
      <c r="X484" s="88" t="s">
        <v>1520</v>
      </c>
      <c r="Y484" s="88" t="s">
        <v>1521</v>
      </c>
      <c r="Z484" s="88" t="s">
        <v>1520</v>
      </c>
      <c r="AA484" s="88" t="s">
        <v>1521</v>
      </c>
      <c r="AB484" s="88" t="s">
        <v>1520</v>
      </c>
      <c r="AC484" s="88" t="s">
        <v>1521</v>
      </c>
      <c r="AD484" s="89"/>
      <c r="AE484" s="18" t="s">
        <v>638</v>
      </c>
      <c r="AF484" s="24"/>
      <c r="AG484" s="24"/>
      <c r="AH484" s="24"/>
      <c r="AI484" s="24"/>
      <c r="AJ484" s="24"/>
      <c r="AK484" s="24"/>
      <c r="AL484" s="24"/>
      <c r="AM484" s="24"/>
    </row>
    <row r="485">
      <c r="A485" s="11"/>
      <c r="B485" s="12" t="s">
        <v>34</v>
      </c>
      <c r="C485" s="12" t="s">
        <v>65</v>
      </c>
      <c r="D485" s="12" t="s">
        <v>43</v>
      </c>
      <c r="E485" s="12" t="s">
        <v>773</v>
      </c>
      <c r="F485" s="13" t="s">
        <v>774</v>
      </c>
      <c r="G485" s="12" t="s">
        <v>68</v>
      </c>
      <c r="H485" s="12" t="s">
        <v>775</v>
      </c>
      <c r="I485" s="12" t="s">
        <v>776</v>
      </c>
      <c r="J485" s="17" t="s">
        <v>112</v>
      </c>
      <c r="K485" s="17" t="s">
        <v>1939</v>
      </c>
      <c r="L485" s="100" t="s">
        <v>1940</v>
      </c>
      <c r="M485" s="20">
        <v>45852.0</v>
      </c>
      <c r="N485" s="17" t="s">
        <v>194</v>
      </c>
      <c r="O485" s="88" t="s">
        <v>1521</v>
      </c>
      <c r="P485" s="88" t="s">
        <v>1521</v>
      </c>
      <c r="Q485" s="88" t="s">
        <v>1521</v>
      </c>
      <c r="R485" s="88" t="s">
        <v>1521</v>
      </c>
      <c r="S485" s="88" t="s">
        <v>1521</v>
      </c>
      <c r="T485" s="88" t="s">
        <v>1521</v>
      </c>
      <c r="U485" s="88" t="s">
        <v>1520</v>
      </c>
      <c r="V485" s="88" t="s">
        <v>1521</v>
      </c>
      <c r="W485" s="88" t="s">
        <v>1520</v>
      </c>
      <c r="X485" s="88" t="s">
        <v>1521</v>
      </c>
      <c r="Y485" s="88" t="s">
        <v>1520</v>
      </c>
      <c r="Z485" s="88" t="s">
        <v>1521</v>
      </c>
      <c r="AA485" s="88" t="s">
        <v>1520</v>
      </c>
      <c r="AB485" s="88" t="s">
        <v>1521</v>
      </c>
      <c r="AC485" s="88" t="s">
        <v>1521</v>
      </c>
      <c r="AD485" s="89"/>
      <c r="AE485" s="18" t="s">
        <v>638</v>
      </c>
      <c r="AF485" s="24"/>
      <c r="AG485" s="24"/>
      <c r="AH485" s="24"/>
      <c r="AI485" s="24"/>
      <c r="AJ485" s="24"/>
      <c r="AK485" s="24"/>
      <c r="AL485" s="24"/>
      <c r="AM485" s="24"/>
    </row>
    <row r="486">
      <c r="A486" s="11"/>
      <c r="B486" s="12" t="s">
        <v>34</v>
      </c>
      <c r="C486" s="12" t="s">
        <v>65</v>
      </c>
      <c r="D486" s="12" t="s">
        <v>43</v>
      </c>
      <c r="E486" s="12" t="s">
        <v>773</v>
      </c>
      <c r="F486" s="13" t="s">
        <v>774</v>
      </c>
      <c r="G486" s="12" t="s">
        <v>68</v>
      </c>
      <c r="H486" s="12" t="s">
        <v>775</v>
      </c>
      <c r="I486" s="12" t="s">
        <v>776</v>
      </c>
      <c r="J486" s="17" t="s">
        <v>112</v>
      </c>
      <c r="K486" s="17" t="s">
        <v>113</v>
      </c>
      <c r="L486" s="100" t="s">
        <v>1941</v>
      </c>
      <c r="M486" s="20">
        <v>45852.0</v>
      </c>
      <c r="N486" s="17" t="s">
        <v>194</v>
      </c>
      <c r="O486" s="88" t="s">
        <v>1520</v>
      </c>
      <c r="P486" s="88" t="s">
        <v>1521</v>
      </c>
      <c r="Q486" s="88" t="s">
        <v>1521</v>
      </c>
      <c r="R486" s="88" t="s">
        <v>1521</v>
      </c>
      <c r="S486" s="88" t="s">
        <v>1521</v>
      </c>
      <c r="T486" s="88" t="s">
        <v>1520</v>
      </c>
      <c r="U486" s="88" t="s">
        <v>1521</v>
      </c>
      <c r="V486" s="88" t="s">
        <v>1521</v>
      </c>
      <c r="W486" s="88" t="s">
        <v>1521</v>
      </c>
      <c r="X486" s="88" t="s">
        <v>1520</v>
      </c>
      <c r="Y486" s="88" t="s">
        <v>1521</v>
      </c>
      <c r="Z486" s="88" t="s">
        <v>1521</v>
      </c>
      <c r="AA486" s="88" t="s">
        <v>1521</v>
      </c>
      <c r="AB486" s="88" t="s">
        <v>1521</v>
      </c>
      <c r="AC486" s="88" t="s">
        <v>1521</v>
      </c>
      <c r="AD486" s="89"/>
      <c r="AE486" s="18" t="s">
        <v>638</v>
      </c>
      <c r="AF486" s="24"/>
      <c r="AG486" s="24"/>
      <c r="AH486" s="24"/>
      <c r="AI486" s="24"/>
      <c r="AJ486" s="24"/>
      <c r="AK486" s="24"/>
      <c r="AL486" s="24"/>
      <c r="AM486" s="24"/>
    </row>
    <row r="487">
      <c r="A487" s="11"/>
      <c r="B487" s="12" t="s">
        <v>34</v>
      </c>
      <c r="C487" s="12" t="s">
        <v>65</v>
      </c>
      <c r="D487" s="12" t="s">
        <v>43</v>
      </c>
      <c r="E487" s="12" t="s">
        <v>773</v>
      </c>
      <c r="F487" s="13" t="s">
        <v>774</v>
      </c>
      <c r="G487" s="12" t="s">
        <v>68</v>
      </c>
      <c r="H487" s="12" t="s">
        <v>775</v>
      </c>
      <c r="I487" s="12" t="s">
        <v>776</v>
      </c>
      <c r="J487" s="17" t="s">
        <v>108</v>
      </c>
      <c r="K487" s="17" t="s">
        <v>109</v>
      </c>
      <c r="L487" s="100" t="s">
        <v>1942</v>
      </c>
      <c r="M487" s="20">
        <v>45852.0</v>
      </c>
      <c r="N487" s="17" t="s">
        <v>194</v>
      </c>
      <c r="O487" s="88" t="s">
        <v>1520</v>
      </c>
      <c r="P487" s="88" t="s">
        <v>1521</v>
      </c>
      <c r="Q487" s="88" t="s">
        <v>1521</v>
      </c>
      <c r="R487" s="88" t="s">
        <v>1521</v>
      </c>
      <c r="S487" s="88" t="s">
        <v>1521</v>
      </c>
      <c r="T487" s="88" t="s">
        <v>1521</v>
      </c>
      <c r="U487" s="88" t="s">
        <v>1521</v>
      </c>
      <c r="V487" s="88" t="s">
        <v>1521</v>
      </c>
      <c r="W487" s="88" t="s">
        <v>1521</v>
      </c>
      <c r="X487" s="88" t="s">
        <v>1521</v>
      </c>
      <c r="Y487" s="88" t="s">
        <v>1521</v>
      </c>
      <c r="Z487" s="88" t="s">
        <v>1521</v>
      </c>
      <c r="AA487" s="88" t="s">
        <v>1521</v>
      </c>
      <c r="AB487" s="88" t="s">
        <v>1521</v>
      </c>
      <c r="AC487" s="88" t="s">
        <v>1521</v>
      </c>
      <c r="AD487" s="89"/>
      <c r="AE487" s="18" t="s">
        <v>638</v>
      </c>
      <c r="AF487" s="24"/>
      <c r="AG487" s="24"/>
      <c r="AH487" s="24"/>
      <c r="AI487" s="24"/>
      <c r="AJ487" s="24"/>
      <c r="AK487" s="24"/>
      <c r="AL487" s="24"/>
      <c r="AM487" s="24"/>
    </row>
    <row r="488">
      <c r="A488" s="11"/>
      <c r="B488" s="12" t="s">
        <v>34</v>
      </c>
      <c r="C488" s="12" t="s">
        <v>65</v>
      </c>
      <c r="D488" s="12" t="s">
        <v>43</v>
      </c>
      <c r="E488" s="12" t="s">
        <v>773</v>
      </c>
      <c r="F488" s="13" t="s">
        <v>774</v>
      </c>
      <c r="G488" s="12" t="s">
        <v>68</v>
      </c>
      <c r="H488" s="12" t="s">
        <v>775</v>
      </c>
      <c r="I488" s="12" t="s">
        <v>776</v>
      </c>
      <c r="J488" s="17" t="s">
        <v>108</v>
      </c>
      <c r="K488" s="17" t="s">
        <v>109</v>
      </c>
      <c r="L488" s="100" t="s">
        <v>1943</v>
      </c>
      <c r="M488" s="20">
        <v>45852.0</v>
      </c>
      <c r="N488" s="17" t="s">
        <v>194</v>
      </c>
      <c r="O488" s="88" t="s">
        <v>1520</v>
      </c>
      <c r="P488" s="88" t="s">
        <v>1521</v>
      </c>
      <c r="Q488" s="88" t="s">
        <v>1521</v>
      </c>
      <c r="R488" s="88" t="s">
        <v>1521</v>
      </c>
      <c r="S488" s="88" t="s">
        <v>1521</v>
      </c>
      <c r="T488" s="88" t="s">
        <v>1520</v>
      </c>
      <c r="U488" s="88" t="s">
        <v>1521</v>
      </c>
      <c r="V488" s="88" t="s">
        <v>1521</v>
      </c>
      <c r="W488" s="88" t="s">
        <v>1521</v>
      </c>
      <c r="X488" s="88" t="s">
        <v>1521</v>
      </c>
      <c r="Y488" s="88" t="s">
        <v>1521</v>
      </c>
      <c r="Z488" s="88" t="s">
        <v>1521</v>
      </c>
      <c r="AA488" s="88" t="s">
        <v>1521</v>
      </c>
      <c r="AB488" s="88" t="s">
        <v>1521</v>
      </c>
      <c r="AC488" s="88" t="s">
        <v>1521</v>
      </c>
      <c r="AD488" s="89"/>
      <c r="AE488" s="18" t="s">
        <v>638</v>
      </c>
      <c r="AF488" s="24"/>
      <c r="AG488" s="24"/>
      <c r="AH488" s="24"/>
      <c r="AI488" s="24"/>
      <c r="AJ488" s="24"/>
      <c r="AK488" s="24"/>
      <c r="AL488" s="24"/>
      <c r="AM488" s="24"/>
    </row>
    <row r="489">
      <c r="A489" s="11"/>
      <c r="B489" s="12" t="s">
        <v>34</v>
      </c>
      <c r="C489" s="12" t="s">
        <v>65</v>
      </c>
      <c r="D489" s="12" t="s">
        <v>43</v>
      </c>
      <c r="E489" s="12" t="s">
        <v>773</v>
      </c>
      <c r="F489" s="13" t="s">
        <v>774</v>
      </c>
      <c r="G489" s="12" t="s">
        <v>68</v>
      </c>
      <c r="H489" s="12" t="s">
        <v>775</v>
      </c>
      <c r="I489" s="12" t="s">
        <v>776</v>
      </c>
      <c r="J489" s="17" t="s">
        <v>108</v>
      </c>
      <c r="K489" s="17" t="s">
        <v>109</v>
      </c>
      <c r="L489" s="100" t="s">
        <v>1944</v>
      </c>
      <c r="M489" s="20">
        <v>45852.0</v>
      </c>
      <c r="N489" s="17" t="s">
        <v>194</v>
      </c>
      <c r="O489" s="88" t="s">
        <v>1521</v>
      </c>
      <c r="P489" s="88" t="s">
        <v>1521</v>
      </c>
      <c r="Q489" s="88" t="s">
        <v>1520</v>
      </c>
      <c r="R489" s="88" t="s">
        <v>1521</v>
      </c>
      <c r="S489" s="88" t="s">
        <v>1521</v>
      </c>
      <c r="T489" s="88" t="s">
        <v>1521</v>
      </c>
      <c r="U489" s="88" t="s">
        <v>1521</v>
      </c>
      <c r="V489" s="88" t="s">
        <v>1521</v>
      </c>
      <c r="W489" s="88" t="s">
        <v>1520</v>
      </c>
      <c r="X489" s="88" t="s">
        <v>1521</v>
      </c>
      <c r="Y489" s="88" t="s">
        <v>1520</v>
      </c>
      <c r="Z489" s="88" t="s">
        <v>1520</v>
      </c>
      <c r="AA489" s="88" t="s">
        <v>1521</v>
      </c>
      <c r="AB489" s="88" t="s">
        <v>1521</v>
      </c>
      <c r="AC489" s="88" t="s">
        <v>1521</v>
      </c>
      <c r="AD489" s="89"/>
      <c r="AE489" s="18" t="s">
        <v>638</v>
      </c>
      <c r="AF489" s="24"/>
      <c r="AG489" s="24"/>
      <c r="AH489" s="24"/>
      <c r="AI489" s="24"/>
      <c r="AJ489" s="24"/>
      <c r="AK489" s="24"/>
      <c r="AL489" s="24"/>
      <c r="AM489" s="24"/>
    </row>
    <row r="490">
      <c r="A490" s="11"/>
      <c r="B490" s="12" t="s">
        <v>34</v>
      </c>
      <c r="C490" s="12" t="s">
        <v>65</v>
      </c>
      <c r="D490" s="12" t="s">
        <v>43</v>
      </c>
      <c r="E490" s="12" t="s">
        <v>773</v>
      </c>
      <c r="F490" s="13" t="s">
        <v>774</v>
      </c>
      <c r="G490" s="12" t="s">
        <v>68</v>
      </c>
      <c r="H490" s="12" t="s">
        <v>775</v>
      </c>
      <c r="I490" s="12" t="s">
        <v>776</v>
      </c>
      <c r="J490" s="17" t="s">
        <v>108</v>
      </c>
      <c r="K490" s="17" t="s">
        <v>109</v>
      </c>
      <c r="L490" s="100" t="s">
        <v>1945</v>
      </c>
      <c r="M490" s="20">
        <v>45852.0</v>
      </c>
      <c r="N490" s="17" t="s">
        <v>194</v>
      </c>
      <c r="O490" s="88" t="s">
        <v>1520</v>
      </c>
      <c r="P490" s="88" t="s">
        <v>1521</v>
      </c>
      <c r="Q490" s="88" t="s">
        <v>1521</v>
      </c>
      <c r="R490" s="88" t="s">
        <v>1521</v>
      </c>
      <c r="S490" s="88" t="s">
        <v>1521</v>
      </c>
      <c r="T490" s="88" t="s">
        <v>1520</v>
      </c>
      <c r="U490" s="88" t="s">
        <v>1520</v>
      </c>
      <c r="V490" s="88" t="s">
        <v>1521</v>
      </c>
      <c r="W490" s="88" t="s">
        <v>1521</v>
      </c>
      <c r="X490" s="88" t="s">
        <v>1520</v>
      </c>
      <c r="Y490" s="88" t="s">
        <v>1521</v>
      </c>
      <c r="Z490" s="88" t="s">
        <v>1521</v>
      </c>
      <c r="AA490" s="88" t="s">
        <v>1521</v>
      </c>
      <c r="AB490" s="88" t="s">
        <v>1521</v>
      </c>
      <c r="AC490" s="88" t="s">
        <v>1521</v>
      </c>
      <c r="AD490" s="89"/>
      <c r="AE490" s="18" t="s">
        <v>638</v>
      </c>
      <c r="AF490" s="24"/>
      <c r="AG490" s="24"/>
      <c r="AH490" s="24"/>
      <c r="AI490" s="24"/>
      <c r="AJ490" s="24"/>
      <c r="AK490" s="24"/>
      <c r="AL490" s="24"/>
      <c r="AM490" s="24"/>
    </row>
    <row r="491">
      <c r="A491" s="11"/>
      <c r="B491" s="12" t="s">
        <v>34</v>
      </c>
      <c r="C491" s="12" t="s">
        <v>65</v>
      </c>
      <c r="D491" s="12" t="s">
        <v>43</v>
      </c>
      <c r="E491" s="12" t="s">
        <v>773</v>
      </c>
      <c r="F491" s="13" t="s">
        <v>774</v>
      </c>
      <c r="G491" s="12" t="s">
        <v>68</v>
      </c>
      <c r="H491" s="12" t="s">
        <v>775</v>
      </c>
      <c r="I491" s="12" t="s">
        <v>776</v>
      </c>
      <c r="J491" s="17" t="s">
        <v>108</v>
      </c>
      <c r="K491" s="17" t="s">
        <v>109</v>
      </c>
      <c r="L491" s="100" t="s">
        <v>1946</v>
      </c>
      <c r="M491" s="20">
        <v>45852.0</v>
      </c>
      <c r="N491" s="17" t="s">
        <v>194</v>
      </c>
      <c r="O491" s="88" t="s">
        <v>1520</v>
      </c>
      <c r="P491" s="88" t="s">
        <v>1521</v>
      </c>
      <c r="Q491" s="88" t="s">
        <v>1521</v>
      </c>
      <c r="R491" s="88" t="s">
        <v>1520</v>
      </c>
      <c r="S491" s="88" t="s">
        <v>1521</v>
      </c>
      <c r="T491" s="88" t="s">
        <v>1521</v>
      </c>
      <c r="U491" s="88" t="s">
        <v>1521</v>
      </c>
      <c r="V491" s="88" t="s">
        <v>1520</v>
      </c>
      <c r="W491" s="88" t="s">
        <v>1521</v>
      </c>
      <c r="X491" s="88" t="s">
        <v>1521</v>
      </c>
      <c r="Y491" s="88" t="s">
        <v>1521</v>
      </c>
      <c r="Z491" s="88" t="s">
        <v>1521</v>
      </c>
      <c r="AA491" s="88" t="s">
        <v>1521</v>
      </c>
      <c r="AB491" s="88" t="s">
        <v>1521</v>
      </c>
      <c r="AC491" s="88" t="s">
        <v>1521</v>
      </c>
      <c r="AD491" s="89"/>
      <c r="AE491" s="18" t="s">
        <v>638</v>
      </c>
      <c r="AF491" s="24"/>
      <c r="AG491" s="24"/>
      <c r="AH491" s="24"/>
      <c r="AI491" s="24"/>
      <c r="AJ491" s="24"/>
      <c r="AK491" s="24"/>
      <c r="AL491" s="24"/>
      <c r="AM491" s="24"/>
    </row>
    <row r="492">
      <c r="A492" s="11"/>
      <c r="B492" s="12" t="s">
        <v>34</v>
      </c>
      <c r="C492" s="12" t="s">
        <v>65</v>
      </c>
      <c r="D492" s="12" t="s">
        <v>43</v>
      </c>
      <c r="E492" s="12" t="s">
        <v>773</v>
      </c>
      <c r="F492" s="13" t="s">
        <v>774</v>
      </c>
      <c r="G492" s="12" t="s">
        <v>68</v>
      </c>
      <c r="H492" s="12" t="s">
        <v>775</v>
      </c>
      <c r="I492" s="12" t="s">
        <v>776</v>
      </c>
      <c r="J492" s="17" t="s">
        <v>108</v>
      </c>
      <c r="K492" s="17" t="s">
        <v>109</v>
      </c>
      <c r="L492" s="100" t="s">
        <v>1947</v>
      </c>
      <c r="M492" s="20">
        <v>45852.0</v>
      </c>
      <c r="N492" s="17" t="s">
        <v>194</v>
      </c>
      <c r="O492" s="88" t="s">
        <v>1521</v>
      </c>
      <c r="P492" s="88" t="s">
        <v>1521</v>
      </c>
      <c r="Q492" s="88" t="s">
        <v>1520</v>
      </c>
      <c r="R492" s="88" t="s">
        <v>1521</v>
      </c>
      <c r="S492" s="88" t="s">
        <v>1521</v>
      </c>
      <c r="T492" s="88" t="s">
        <v>1521</v>
      </c>
      <c r="U492" s="88" t="s">
        <v>1521</v>
      </c>
      <c r="V492" s="88" t="s">
        <v>1521</v>
      </c>
      <c r="W492" s="88" t="s">
        <v>1521</v>
      </c>
      <c r="X492" s="88" t="s">
        <v>1521</v>
      </c>
      <c r="Y492" s="88" t="s">
        <v>1521</v>
      </c>
      <c r="Z492" s="88" t="s">
        <v>1521</v>
      </c>
      <c r="AA492" s="88" t="s">
        <v>1520</v>
      </c>
      <c r="AB492" s="88" t="s">
        <v>1520</v>
      </c>
      <c r="AC492" s="88" t="s">
        <v>1521</v>
      </c>
      <c r="AD492" s="89"/>
      <c r="AE492" s="18" t="s">
        <v>638</v>
      </c>
      <c r="AF492" s="24"/>
      <c r="AG492" s="24"/>
      <c r="AH492" s="24"/>
      <c r="AI492" s="24"/>
      <c r="AJ492" s="24"/>
      <c r="AK492" s="24"/>
      <c r="AL492" s="24"/>
      <c r="AM492" s="24"/>
    </row>
    <row r="493">
      <c r="A493" s="11"/>
      <c r="B493" s="12" t="s">
        <v>34</v>
      </c>
      <c r="C493" s="12" t="s">
        <v>65</v>
      </c>
      <c r="D493" s="12" t="s">
        <v>43</v>
      </c>
      <c r="E493" s="12" t="s">
        <v>773</v>
      </c>
      <c r="F493" s="13" t="s">
        <v>774</v>
      </c>
      <c r="G493" s="12" t="s">
        <v>68</v>
      </c>
      <c r="H493" s="12" t="s">
        <v>775</v>
      </c>
      <c r="I493" s="12" t="s">
        <v>776</v>
      </c>
      <c r="J493" s="17" t="s">
        <v>108</v>
      </c>
      <c r="K493" s="17" t="s">
        <v>109</v>
      </c>
      <c r="L493" s="100" t="s">
        <v>1948</v>
      </c>
      <c r="M493" s="20">
        <v>45852.0</v>
      </c>
      <c r="N493" s="17" t="s">
        <v>194</v>
      </c>
      <c r="O493" s="88" t="s">
        <v>1520</v>
      </c>
      <c r="P493" s="88" t="s">
        <v>1521</v>
      </c>
      <c r="Q493" s="88" t="s">
        <v>1521</v>
      </c>
      <c r="R493" s="88" t="s">
        <v>1521</v>
      </c>
      <c r="S493" s="88" t="s">
        <v>1521</v>
      </c>
      <c r="T493" s="88" t="s">
        <v>1521</v>
      </c>
      <c r="U493" s="88" t="s">
        <v>1521</v>
      </c>
      <c r="V493" s="88" t="s">
        <v>1521</v>
      </c>
      <c r="W493" s="88" t="s">
        <v>1521</v>
      </c>
      <c r="X493" s="88" t="s">
        <v>1521</v>
      </c>
      <c r="Y493" s="88" t="s">
        <v>1521</v>
      </c>
      <c r="Z493" s="88" t="s">
        <v>1521</v>
      </c>
      <c r="AA493" s="88" t="s">
        <v>1521</v>
      </c>
      <c r="AB493" s="88" t="s">
        <v>1521</v>
      </c>
      <c r="AC493" s="88" t="s">
        <v>1521</v>
      </c>
      <c r="AD493" s="89"/>
      <c r="AE493" s="18" t="s">
        <v>638</v>
      </c>
      <c r="AF493" s="24"/>
      <c r="AG493" s="24"/>
      <c r="AH493" s="24"/>
      <c r="AI493" s="24"/>
      <c r="AJ493" s="24"/>
      <c r="AK493" s="24"/>
      <c r="AL493" s="24"/>
      <c r="AM493" s="24"/>
    </row>
    <row r="494">
      <c r="A494" s="11"/>
      <c r="B494" s="12" t="s">
        <v>34</v>
      </c>
      <c r="C494" s="12" t="s">
        <v>65</v>
      </c>
      <c r="D494" s="12" t="s">
        <v>43</v>
      </c>
      <c r="E494" s="12" t="s">
        <v>773</v>
      </c>
      <c r="F494" s="13" t="s">
        <v>774</v>
      </c>
      <c r="G494" s="12" t="s">
        <v>68</v>
      </c>
      <c r="H494" s="12" t="s">
        <v>775</v>
      </c>
      <c r="I494" s="12" t="s">
        <v>776</v>
      </c>
      <c r="J494" s="17" t="s">
        <v>73</v>
      </c>
      <c r="K494" s="17" t="s">
        <v>74</v>
      </c>
      <c r="L494" s="100" t="s">
        <v>1949</v>
      </c>
      <c r="M494" s="20">
        <v>45852.0</v>
      </c>
      <c r="N494" s="17" t="s">
        <v>194</v>
      </c>
      <c r="O494" s="88" t="s">
        <v>1521</v>
      </c>
      <c r="P494" s="88" t="s">
        <v>1521</v>
      </c>
      <c r="Q494" s="88" t="s">
        <v>1521</v>
      </c>
      <c r="R494" s="88" t="s">
        <v>1521</v>
      </c>
      <c r="S494" s="88" t="s">
        <v>1521</v>
      </c>
      <c r="T494" s="88" t="s">
        <v>1521</v>
      </c>
      <c r="U494" s="88" t="s">
        <v>1521</v>
      </c>
      <c r="V494" s="88" t="s">
        <v>1521</v>
      </c>
      <c r="W494" s="88" t="s">
        <v>1520</v>
      </c>
      <c r="X494" s="88" t="s">
        <v>1521</v>
      </c>
      <c r="Y494" s="88" t="s">
        <v>1521</v>
      </c>
      <c r="Z494" s="88" t="s">
        <v>1521</v>
      </c>
      <c r="AA494" s="88" t="s">
        <v>1521</v>
      </c>
      <c r="AB494" s="88" t="s">
        <v>1521</v>
      </c>
      <c r="AC494" s="88" t="s">
        <v>1520</v>
      </c>
      <c r="AD494" s="89"/>
      <c r="AE494" s="18" t="s">
        <v>638</v>
      </c>
      <c r="AF494" s="24"/>
      <c r="AG494" s="24"/>
      <c r="AH494" s="24"/>
      <c r="AI494" s="24"/>
      <c r="AJ494" s="24"/>
      <c r="AK494" s="24"/>
      <c r="AL494" s="24"/>
      <c r="AM494" s="24"/>
    </row>
    <row r="495">
      <c r="A495" s="11"/>
      <c r="B495" s="12" t="s">
        <v>34</v>
      </c>
      <c r="C495" s="12" t="s">
        <v>65</v>
      </c>
      <c r="D495" s="12" t="s">
        <v>43</v>
      </c>
      <c r="E495" s="12" t="s">
        <v>773</v>
      </c>
      <c r="F495" s="13" t="s">
        <v>774</v>
      </c>
      <c r="G495" s="12" t="s">
        <v>68</v>
      </c>
      <c r="H495" s="12" t="s">
        <v>775</v>
      </c>
      <c r="I495" s="12" t="s">
        <v>776</v>
      </c>
      <c r="J495" s="17" t="s">
        <v>73</v>
      </c>
      <c r="K495" s="17" t="s">
        <v>74</v>
      </c>
      <c r="L495" s="100" t="s">
        <v>1950</v>
      </c>
      <c r="M495" s="20">
        <v>45852.0</v>
      </c>
      <c r="N495" s="17" t="s">
        <v>194</v>
      </c>
      <c r="O495" s="88" t="s">
        <v>1520</v>
      </c>
      <c r="P495" s="88" t="s">
        <v>1521</v>
      </c>
      <c r="Q495" s="88" t="s">
        <v>1521</v>
      </c>
      <c r="R495" s="88" t="s">
        <v>1521</v>
      </c>
      <c r="S495" s="88" t="s">
        <v>1521</v>
      </c>
      <c r="T495" s="88" t="s">
        <v>1521</v>
      </c>
      <c r="U495" s="88" t="s">
        <v>1521</v>
      </c>
      <c r="V495" s="88" t="s">
        <v>1521</v>
      </c>
      <c r="W495" s="88" t="s">
        <v>1521</v>
      </c>
      <c r="X495" s="88" t="s">
        <v>1521</v>
      </c>
      <c r="Y495" s="88" t="s">
        <v>1521</v>
      </c>
      <c r="Z495" s="88" t="s">
        <v>1521</v>
      </c>
      <c r="AA495" s="88" t="s">
        <v>1521</v>
      </c>
      <c r="AB495" s="88" t="s">
        <v>1521</v>
      </c>
      <c r="AC495" s="88" t="s">
        <v>1521</v>
      </c>
      <c r="AD495" s="89"/>
      <c r="AE495" s="18" t="s">
        <v>638</v>
      </c>
      <c r="AF495" s="24"/>
      <c r="AG495" s="24"/>
      <c r="AH495" s="24"/>
      <c r="AI495" s="24"/>
      <c r="AJ495" s="24"/>
      <c r="AK495" s="24"/>
      <c r="AL495" s="24"/>
      <c r="AM495" s="24"/>
    </row>
    <row r="496">
      <c r="A496" s="11"/>
      <c r="B496" s="12" t="s">
        <v>34</v>
      </c>
      <c r="C496" s="12" t="s">
        <v>65</v>
      </c>
      <c r="D496" s="12" t="s">
        <v>43</v>
      </c>
      <c r="E496" s="12" t="s">
        <v>773</v>
      </c>
      <c r="F496" s="13" t="s">
        <v>774</v>
      </c>
      <c r="G496" s="12" t="s">
        <v>68</v>
      </c>
      <c r="H496" s="12" t="s">
        <v>775</v>
      </c>
      <c r="I496" s="12" t="s">
        <v>776</v>
      </c>
      <c r="J496" s="17" t="s">
        <v>73</v>
      </c>
      <c r="K496" s="17" t="s">
        <v>74</v>
      </c>
      <c r="L496" s="100" t="s">
        <v>1951</v>
      </c>
      <c r="M496" s="20">
        <v>45852.0</v>
      </c>
      <c r="N496" s="17" t="s">
        <v>194</v>
      </c>
      <c r="O496" s="88" t="s">
        <v>1521</v>
      </c>
      <c r="P496" s="88" t="s">
        <v>1521</v>
      </c>
      <c r="Q496" s="88" t="s">
        <v>1521</v>
      </c>
      <c r="R496" s="88" t="s">
        <v>1521</v>
      </c>
      <c r="S496" s="88" t="s">
        <v>1521</v>
      </c>
      <c r="T496" s="88" t="s">
        <v>1521</v>
      </c>
      <c r="U496" s="88" t="s">
        <v>1521</v>
      </c>
      <c r="V496" s="88" t="s">
        <v>1521</v>
      </c>
      <c r="W496" s="88" t="s">
        <v>1521</v>
      </c>
      <c r="X496" s="88" t="s">
        <v>1521</v>
      </c>
      <c r="Y496" s="88" t="s">
        <v>1520</v>
      </c>
      <c r="Z496" s="88" t="s">
        <v>1521</v>
      </c>
      <c r="AA496" s="88" t="s">
        <v>1520</v>
      </c>
      <c r="AB496" s="88" t="s">
        <v>1521</v>
      </c>
      <c r="AC496" s="88" t="s">
        <v>1521</v>
      </c>
      <c r="AD496" s="89"/>
      <c r="AE496" s="18" t="s">
        <v>638</v>
      </c>
      <c r="AF496" s="24"/>
      <c r="AG496" s="24"/>
      <c r="AH496" s="24"/>
      <c r="AI496" s="24"/>
      <c r="AJ496" s="24"/>
      <c r="AK496" s="24"/>
      <c r="AL496" s="24"/>
      <c r="AM496" s="24"/>
    </row>
    <row r="497">
      <c r="A497" s="11"/>
      <c r="B497" s="12" t="s">
        <v>34</v>
      </c>
      <c r="C497" s="12" t="s">
        <v>65</v>
      </c>
      <c r="D497" s="12" t="s">
        <v>43</v>
      </c>
      <c r="E497" s="12" t="s">
        <v>773</v>
      </c>
      <c r="F497" s="13" t="s">
        <v>774</v>
      </c>
      <c r="G497" s="12" t="s">
        <v>68</v>
      </c>
      <c r="H497" s="12" t="s">
        <v>775</v>
      </c>
      <c r="I497" s="12" t="s">
        <v>776</v>
      </c>
      <c r="J497" s="17" t="s">
        <v>73</v>
      </c>
      <c r="K497" s="17" t="str">
        <f>IFERROR(__xludf.DUMMYFUNCTION("CONCATENATE(REGEXEXTRACT(J497,""[\d]+""),"" años"")"),"3 años")</f>
        <v>3 años</v>
      </c>
      <c r="L497" s="100" t="s">
        <v>1952</v>
      </c>
      <c r="M497" s="20">
        <v>45852.0</v>
      </c>
      <c r="N497" s="17" t="s">
        <v>194</v>
      </c>
      <c r="O497" s="88" t="s">
        <v>1521</v>
      </c>
      <c r="P497" s="88" t="s">
        <v>1521</v>
      </c>
      <c r="Q497" s="88" t="s">
        <v>1521</v>
      </c>
      <c r="R497" s="88" t="s">
        <v>1521</v>
      </c>
      <c r="S497" s="88" t="s">
        <v>1520</v>
      </c>
      <c r="T497" s="88" t="s">
        <v>1521</v>
      </c>
      <c r="U497" s="88" t="s">
        <v>1521</v>
      </c>
      <c r="V497" s="88" t="s">
        <v>1521</v>
      </c>
      <c r="W497" s="88" t="s">
        <v>1520</v>
      </c>
      <c r="X497" s="88" t="s">
        <v>1521</v>
      </c>
      <c r="Y497" s="88" t="s">
        <v>1521</v>
      </c>
      <c r="Z497" s="88" t="s">
        <v>1521</v>
      </c>
      <c r="AA497" s="88" t="s">
        <v>1521</v>
      </c>
      <c r="AB497" s="88" t="s">
        <v>1521</v>
      </c>
      <c r="AC497" s="88" t="s">
        <v>1521</v>
      </c>
      <c r="AD497" s="89"/>
      <c r="AE497" s="18" t="s">
        <v>638</v>
      </c>
      <c r="AF497" s="24"/>
      <c r="AG497" s="24"/>
      <c r="AH497" s="24"/>
      <c r="AI497" s="24"/>
      <c r="AJ497" s="24"/>
      <c r="AK497" s="24"/>
      <c r="AL497" s="24"/>
      <c r="AM497" s="24"/>
    </row>
    <row r="498">
      <c r="A498" s="11"/>
      <c r="B498" s="12" t="s">
        <v>34</v>
      </c>
      <c r="C498" s="12" t="s">
        <v>65</v>
      </c>
      <c r="D498" s="12" t="s">
        <v>43</v>
      </c>
      <c r="E498" s="12" t="s">
        <v>773</v>
      </c>
      <c r="F498" s="13" t="s">
        <v>774</v>
      </c>
      <c r="G498" s="12" t="s">
        <v>68</v>
      </c>
      <c r="H498" s="12" t="s">
        <v>775</v>
      </c>
      <c r="I498" s="12" t="s">
        <v>776</v>
      </c>
      <c r="J498" s="17" t="s">
        <v>73</v>
      </c>
      <c r="K498" s="17" t="str">
        <f>IFERROR(__xludf.DUMMYFUNCTION("CONCATENATE(REGEXEXTRACT(J498,""[\d]+""),"" años"")"),"3 años")</f>
        <v>3 años</v>
      </c>
      <c r="L498" s="100" t="s">
        <v>1953</v>
      </c>
      <c r="M498" s="20">
        <v>45852.0</v>
      </c>
      <c r="N498" s="17" t="s">
        <v>194</v>
      </c>
      <c r="O498" s="88" t="s">
        <v>1521</v>
      </c>
      <c r="P498" s="88" t="s">
        <v>1521</v>
      </c>
      <c r="Q498" s="88" t="s">
        <v>1521</v>
      </c>
      <c r="R498" s="88" t="s">
        <v>1521</v>
      </c>
      <c r="S498" s="88" t="s">
        <v>1521</v>
      </c>
      <c r="T498" s="88" t="s">
        <v>1521</v>
      </c>
      <c r="U498" s="88" t="s">
        <v>1521</v>
      </c>
      <c r="V498" s="88" t="s">
        <v>1521</v>
      </c>
      <c r="W498" s="88" t="s">
        <v>1521</v>
      </c>
      <c r="X498" s="88" t="s">
        <v>1521</v>
      </c>
      <c r="Y498" s="88" t="s">
        <v>1521</v>
      </c>
      <c r="Z498" s="88" t="s">
        <v>1521</v>
      </c>
      <c r="AA498" s="88" t="s">
        <v>1521</v>
      </c>
      <c r="AB498" s="88" t="s">
        <v>1521</v>
      </c>
      <c r="AC498" s="88" t="s">
        <v>1521</v>
      </c>
      <c r="AD498" s="89"/>
      <c r="AE498" s="18" t="s">
        <v>638</v>
      </c>
      <c r="AF498" s="24"/>
      <c r="AG498" s="24"/>
      <c r="AH498" s="24"/>
      <c r="AI498" s="24"/>
      <c r="AJ498" s="24"/>
      <c r="AK498" s="24"/>
      <c r="AL498" s="24"/>
      <c r="AM498" s="24"/>
    </row>
    <row r="499">
      <c r="A499" s="11"/>
      <c r="B499" s="12" t="s">
        <v>7</v>
      </c>
      <c r="C499" s="12" t="s">
        <v>8</v>
      </c>
      <c r="D499" s="12" t="s">
        <v>15</v>
      </c>
      <c r="E499" s="12" t="s">
        <v>17</v>
      </c>
      <c r="F499" s="13" t="s">
        <v>18</v>
      </c>
      <c r="G499" s="12" t="s">
        <v>68</v>
      </c>
      <c r="H499" s="12" t="s">
        <v>954</v>
      </c>
      <c r="I499" s="12" t="s">
        <v>955</v>
      </c>
      <c r="J499" s="17" t="s">
        <v>108</v>
      </c>
      <c r="K499" s="17" t="str">
        <f>IFERROR(__xludf.DUMMYFUNCTION("CONCATENATE(REGEXEXTRACT(J499,""[\d]+""),"" años"")"),"5 años")</f>
        <v>5 años</v>
      </c>
      <c r="L499" s="17" t="s">
        <v>1954</v>
      </c>
      <c r="M499" s="20">
        <v>45838.0</v>
      </c>
      <c r="N499" s="17" t="s">
        <v>194</v>
      </c>
      <c r="O499" s="88" t="s">
        <v>1519</v>
      </c>
      <c r="P499" s="88" t="s">
        <v>1519</v>
      </c>
      <c r="Q499" s="88" t="s">
        <v>1520</v>
      </c>
      <c r="R499" s="88" t="s">
        <v>1521</v>
      </c>
      <c r="S499" s="88" t="s">
        <v>1519</v>
      </c>
      <c r="T499" s="88" t="s">
        <v>1519</v>
      </c>
      <c r="U499" s="88" t="s">
        <v>1519</v>
      </c>
      <c r="V499" s="88" t="s">
        <v>1519</v>
      </c>
      <c r="W499" s="88" t="s">
        <v>1520</v>
      </c>
      <c r="X499" s="88" t="s">
        <v>1519</v>
      </c>
      <c r="Y499" s="88" t="s">
        <v>1520</v>
      </c>
      <c r="Z499" s="88" t="s">
        <v>1520</v>
      </c>
      <c r="AA499" s="88" t="s">
        <v>1519</v>
      </c>
      <c r="AB499" s="88" t="s">
        <v>1519</v>
      </c>
      <c r="AC499" s="88" t="s">
        <v>1519</v>
      </c>
      <c r="AD499" s="89"/>
      <c r="AE499" s="18" t="s">
        <v>915</v>
      </c>
      <c r="AF499" s="18"/>
      <c r="AG499" s="18"/>
      <c r="AH499" s="18"/>
      <c r="AI499" s="18"/>
      <c r="AJ499" s="18"/>
      <c r="AK499" s="18"/>
      <c r="AL499" s="18"/>
      <c r="AM499" s="18"/>
    </row>
    <row r="500">
      <c r="A500" s="11"/>
      <c r="B500" s="12" t="s">
        <v>7</v>
      </c>
      <c r="C500" s="12" t="s">
        <v>8</v>
      </c>
      <c r="D500" s="12" t="s">
        <v>15</v>
      </c>
      <c r="E500" s="12" t="s">
        <v>17</v>
      </c>
      <c r="F500" s="13" t="s">
        <v>18</v>
      </c>
      <c r="G500" s="12" t="s">
        <v>68</v>
      </c>
      <c r="H500" s="12" t="s">
        <v>954</v>
      </c>
      <c r="I500" s="12" t="s">
        <v>955</v>
      </c>
      <c r="J500" s="17" t="s">
        <v>73</v>
      </c>
      <c r="K500" s="17" t="str">
        <f>IFERROR(__xludf.DUMMYFUNCTION("CONCATENATE(REGEXEXTRACT(J500,""[\d]+""),"" años"")"),"3 años")</f>
        <v>3 años</v>
      </c>
      <c r="L500" s="17" t="s">
        <v>1955</v>
      </c>
      <c r="M500" s="20">
        <v>45838.0</v>
      </c>
      <c r="N500" s="17" t="s">
        <v>194</v>
      </c>
      <c r="O500" s="88" t="s">
        <v>1519</v>
      </c>
      <c r="P500" s="88" t="s">
        <v>1519</v>
      </c>
      <c r="Q500" s="88" t="s">
        <v>1519</v>
      </c>
      <c r="R500" s="88" t="s">
        <v>1521</v>
      </c>
      <c r="S500" s="88" t="s">
        <v>1519</v>
      </c>
      <c r="T500" s="88" t="s">
        <v>1519</v>
      </c>
      <c r="U500" s="88" t="s">
        <v>1519</v>
      </c>
      <c r="V500" s="88" t="s">
        <v>1519</v>
      </c>
      <c r="W500" s="88" t="s">
        <v>1520</v>
      </c>
      <c r="X500" s="88" t="s">
        <v>1520</v>
      </c>
      <c r="Y500" s="88" t="s">
        <v>1520</v>
      </c>
      <c r="Z500" s="88" t="s">
        <v>1520</v>
      </c>
      <c r="AA500" s="88" t="s">
        <v>1520</v>
      </c>
      <c r="AB500" s="88" t="s">
        <v>1520</v>
      </c>
      <c r="AC500" s="88" t="s">
        <v>1520</v>
      </c>
      <c r="AD500" s="89"/>
      <c r="AE500" s="18" t="s">
        <v>915</v>
      </c>
      <c r="AF500" s="18"/>
      <c r="AG500" s="18"/>
      <c r="AH500" s="18"/>
      <c r="AI500" s="18"/>
      <c r="AJ500" s="18"/>
      <c r="AK500" s="18"/>
      <c r="AL500" s="18"/>
      <c r="AM500" s="18"/>
    </row>
    <row r="501">
      <c r="A501" s="11"/>
      <c r="B501" s="12" t="s">
        <v>7</v>
      </c>
      <c r="C501" s="12" t="s">
        <v>8</v>
      </c>
      <c r="D501" s="12" t="s">
        <v>15</v>
      </c>
      <c r="E501" s="12" t="s">
        <v>17</v>
      </c>
      <c r="F501" s="13" t="s">
        <v>18</v>
      </c>
      <c r="G501" s="12" t="s">
        <v>68</v>
      </c>
      <c r="H501" s="12" t="s">
        <v>954</v>
      </c>
      <c r="I501" s="12" t="s">
        <v>955</v>
      </c>
      <c r="J501" s="17" t="s">
        <v>73</v>
      </c>
      <c r="K501" s="17" t="str">
        <f>IFERROR(__xludf.DUMMYFUNCTION("CONCATENATE(REGEXEXTRACT(J501,""[\d]+""),"" años"")"),"3 años")</f>
        <v>3 años</v>
      </c>
      <c r="L501" s="17" t="s">
        <v>1956</v>
      </c>
      <c r="M501" s="20">
        <v>45838.0</v>
      </c>
      <c r="N501" s="17" t="s">
        <v>194</v>
      </c>
      <c r="O501" s="88" t="s">
        <v>1520</v>
      </c>
      <c r="P501" s="88" t="s">
        <v>1520</v>
      </c>
      <c r="Q501" s="88" t="s">
        <v>1520</v>
      </c>
      <c r="R501" s="88" t="s">
        <v>1521</v>
      </c>
      <c r="S501" s="88" t="s">
        <v>1519</v>
      </c>
      <c r="T501" s="88" t="s">
        <v>1519</v>
      </c>
      <c r="U501" s="88" t="s">
        <v>1520</v>
      </c>
      <c r="V501" s="88" t="s">
        <v>1520</v>
      </c>
      <c r="W501" s="88" t="s">
        <v>1520</v>
      </c>
      <c r="X501" s="88" t="s">
        <v>1519</v>
      </c>
      <c r="Y501" s="88" t="s">
        <v>1519</v>
      </c>
      <c r="Z501" s="88" t="s">
        <v>1519</v>
      </c>
      <c r="AA501" s="88" t="s">
        <v>1520</v>
      </c>
      <c r="AB501" s="88" t="s">
        <v>1520</v>
      </c>
      <c r="AC501" s="88" t="s">
        <v>1520</v>
      </c>
      <c r="AD501" s="89"/>
      <c r="AE501" s="18" t="s">
        <v>915</v>
      </c>
      <c r="AF501" s="18"/>
      <c r="AG501" s="18"/>
      <c r="AH501" s="18"/>
      <c r="AI501" s="18"/>
      <c r="AJ501" s="18"/>
      <c r="AK501" s="18"/>
      <c r="AL501" s="18"/>
      <c r="AM501" s="18"/>
    </row>
    <row r="502">
      <c r="A502" s="11"/>
      <c r="B502" s="12" t="s">
        <v>7</v>
      </c>
      <c r="C502" s="12" t="s">
        <v>8</v>
      </c>
      <c r="D502" s="12" t="s">
        <v>15</v>
      </c>
      <c r="E502" s="12" t="s">
        <v>17</v>
      </c>
      <c r="F502" s="13" t="s">
        <v>18</v>
      </c>
      <c r="G502" s="12" t="s">
        <v>68</v>
      </c>
      <c r="H502" s="12" t="s">
        <v>954</v>
      </c>
      <c r="I502" s="12" t="s">
        <v>955</v>
      </c>
      <c r="J502" s="17" t="s">
        <v>112</v>
      </c>
      <c r="K502" s="17" t="str">
        <f>IFERROR(__xludf.DUMMYFUNCTION("CONCATENATE(REGEXEXTRACT(J502,""[\d]+""),"" años"")"),"4 años")</f>
        <v>4 años</v>
      </c>
      <c r="L502" s="17" t="s">
        <v>1957</v>
      </c>
      <c r="M502" s="20">
        <v>45838.0</v>
      </c>
      <c r="N502" s="17" t="s">
        <v>194</v>
      </c>
      <c r="O502" s="88" t="s">
        <v>1519</v>
      </c>
      <c r="P502" s="88" t="s">
        <v>1519</v>
      </c>
      <c r="Q502" s="88" t="s">
        <v>1520</v>
      </c>
      <c r="R502" s="88" t="s">
        <v>1521</v>
      </c>
      <c r="S502" s="88" t="s">
        <v>1519</v>
      </c>
      <c r="T502" s="88" t="s">
        <v>1519</v>
      </c>
      <c r="U502" s="88" t="s">
        <v>1520</v>
      </c>
      <c r="V502" s="88" t="s">
        <v>1520</v>
      </c>
      <c r="W502" s="88" t="s">
        <v>1520</v>
      </c>
      <c r="X502" s="88" t="s">
        <v>1519</v>
      </c>
      <c r="Y502" s="88" t="s">
        <v>1520</v>
      </c>
      <c r="Z502" s="88" t="s">
        <v>1520</v>
      </c>
      <c r="AA502" s="88" t="s">
        <v>1520</v>
      </c>
      <c r="AB502" s="88" t="s">
        <v>1520</v>
      </c>
      <c r="AC502" s="88" t="s">
        <v>1520</v>
      </c>
      <c r="AD502" s="89"/>
      <c r="AE502" s="18" t="s">
        <v>915</v>
      </c>
      <c r="AF502" s="18"/>
      <c r="AG502" s="18"/>
      <c r="AH502" s="18"/>
      <c r="AI502" s="18"/>
      <c r="AJ502" s="18"/>
      <c r="AK502" s="18"/>
      <c r="AL502" s="18"/>
      <c r="AM502" s="18"/>
    </row>
    <row r="503">
      <c r="A503" s="11"/>
      <c r="B503" s="12" t="s">
        <v>7</v>
      </c>
      <c r="C503" s="12" t="s">
        <v>8</v>
      </c>
      <c r="D503" s="12" t="s">
        <v>15</v>
      </c>
      <c r="E503" s="12" t="s">
        <v>17</v>
      </c>
      <c r="F503" s="13" t="s">
        <v>18</v>
      </c>
      <c r="G503" s="12" t="s">
        <v>68</v>
      </c>
      <c r="H503" s="12" t="s">
        <v>954</v>
      </c>
      <c r="I503" s="12" t="s">
        <v>955</v>
      </c>
      <c r="J503" s="17" t="s">
        <v>108</v>
      </c>
      <c r="K503" s="17" t="str">
        <f>IFERROR(__xludf.DUMMYFUNCTION("CONCATENATE(REGEXEXTRACT(J503,""[\d]+""),"" años"")"),"5 años")</f>
        <v>5 años</v>
      </c>
      <c r="L503" s="17" t="s">
        <v>1958</v>
      </c>
      <c r="M503" s="20">
        <v>45838.0</v>
      </c>
      <c r="N503" s="17" t="s">
        <v>194</v>
      </c>
      <c r="O503" s="88" t="s">
        <v>1519</v>
      </c>
      <c r="P503" s="88" t="s">
        <v>1519</v>
      </c>
      <c r="Q503" s="88" t="s">
        <v>1520</v>
      </c>
      <c r="R503" s="88" t="s">
        <v>1521</v>
      </c>
      <c r="S503" s="88" t="s">
        <v>1519</v>
      </c>
      <c r="T503" s="88" t="s">
        <v>1519</v>
      </c>
      <c r="U503" s="88" t="s">
        <v>1520</v>
      </c>
      <c r="V503" s="88" t="s">
        <v>1520</v>
      </c>
      <c r="W503" s="88" t="s">
        <v>1520</v>
      </c>
      <c r="X503" s="88" t="s">
        <v>1519</v>
      </c>
      <c r="Y503" s="88" t="s">
        <v>1519</v>
      </c>
      <c r="Z503" s="88" t="s">
        <v>1519</v>
      </c>
      <c r="AA503" s="88" t="s">
        <v>1520</v>
      </c>
      <c r="AB503" s="88" t="s">
        <v>1520</v>
      </c>
      <c r="AC503" s="88" t="s">
        <v>1520</v>
      </c>
      <c r="AD503" s="89"/>
      <c r="AE503" s="18" t="s">
        <v>915</v>
      </c>
      <c r="AF503" s="18"/>
      <c r="AG503" s="18"/>
      <c r="AH503" s="18"/>
      <c r="AI503" s="18"/>
      <c r="AJ503" s="18"/>
      <c r="AK503" s="18"/>
      <c r="AL503" s="18"/>
      <c r="AM503" s="18"/>
    </row>
    <row r="504">
      <c r="A504" s="11"/>
      <c r="B504" s="12" t="s">
        <v>7</v>
      </c>
      <c r="C504" s="12" t="s">
        <v>8</v>
      </c>
      <c r="D504" s="12" t="s">
        <v>15</v>
      </c>
      <c r="E504" s="12" t="s">
        <v>15</v>
      </c>
      <c r="F504" s="13" t="s">
        <v>16</v>
      </c>
      <c r="G504" s="12" t="s">
        <v>68</v>
      </c>
      <c r="H504" s="12" t="s">
        <v>928</v>
      </c>
      <c r="I504" s="12" t="s">
        <v>929</v>
      </c>
      <c r="J504" s="17" t="s">
        <v>73</v>
      </c>
      <c r="K504" s="17" t="str">
        <f>IFERROR(__xludf.DUMMYFUNCTION("CONCATENATE(REGEXEXTRACT(J504,""[\d]+""),"" años"")"),"3 años")</f>
        <v>3 años</v>
      </c>
      <c r="L504" s="17" t="s">
        <v>1959</v>
      </c>
      <c r="M504" s="20">
        <v>45833.0</v>
      </c>
      <c r="N504" s="17" t="s">
        <v>194</v>
      </c>
      <c r="O504" s="88" t="s">
        <v>1519</v>
      </c>
      <c r="P504" s="88" t="s">
        <v>1519</v>
      </c>
      <c r="Q504" s="88" t="s">
        <v>1520</v>
      </c>
      <c r="R504" s="88" t="s">
        <v>1520</v>
      </c>
      <c r="S504" s="88" t="s">
        <v>1519</v>
      </c>
      <c r="T504" s="88" t="s">
        <v>1519</v>
      </c>
      <c r="U504" s="88" t="s">
        <v>1519</v>
      </c>
      <c r="V504" s="88" t="s">
        <v>1519</v>
      </c>
      <c r="W504" s="88" t="s">
        <v>1520</v>
      </c>
      <c r="X504" s="88" t="s">
        <v>1520</v>
      </c>
      <c r="Y504" s="88" t="s">
        <v>1520</v>
      </c>
      <c r="Z504" s="88" t="s">
        <v>1520</v>
      </c>
      <c r="AA504" s="88" t="s">
        <v>1519</v>
      </c>
      <c r="AB504" s="88" t="s">
        <v>1519</v>
      </c>
      <c r="AC504" s="88" t="s">
        <v>1519</v>
      </c>
      <c r="AD504" s="89"/>
      <c r="AE504" s="18" t="s">
        <v>915</v>
      </c>
      <c r="AF504" s="24"/>
      <c r="AG504" s="24"/>
      <c r="AH504" s="24"/>
      <c r="AI504" s="24"/>
      <c r="AJ504" s="24"/>
      <c r="AK504" s="24"/>
      <c r="AL504" s="24"/>
      <c r="AM504" s="24"/>
    </row>
    <row r="505">
      <c r="A505" s="11"/>
      <c r="B505" s="12" t="s">
        <v>7</v>
      </c>
      <c r="C505" s="12" t="s">
        <v>8</v>
      </c>
      <c r="D505" s="12" t="s">
        <v>15</v>
      </c>
      <c r="E505" s="12" t="s">
        <v>15</v>
      </c>
      <c r="F505" s="13" t="s">
        <v>16</v>
      </c>
      <c r="G505" s="12" t="s">
        <v>68</v>
      </c>
      <c r="H505" s="12" t="s">
        <v>928</v>
      </c>
      <c r="I505" s="12" t="s">
        <v>929</v>
      </c>
      <c r="J505" s="17" t="s">
        <v>73</v>
      </c>
      <c r="K505" s="2" t="str">
        <f>IFERROR(__xludf.DUMMYFUNCTION("CONCATENATE(REGEXEXTRACT(J505,""[\d]+""),"" años"")"),"3 años")</f>
        <v>3 años</v>
      </c>
      <c r="L505" s="17" t="s">
        <v>1960</v>
      </c>
      <c r="M505" s="20">
        <v>45833.0</v>
      </c>
      <c r="N505" s="17" t="s">
        <v>194</v>
      </c>
      <c r="O505" s="88" t="s">
        <v>1520</v>
      </c>
      <c r="P505" s="88" t="s">
        <v>1520</v>
      </c>
      <c r="Q505" s="88" t="s">
        <v>1520</v>
      </c>
      <c r="R505" s="88" t="s">
        <v>1520</v>
      </c>
      <c r="S505" s="88" t="s">
        <v>1520</v>
      </c>
      <c r="T505" s="88" t="s">
        <v>1520</v>
      </c>
      <c r="U505" s="88" t="s">
        <v>1519</v>
      </c>
      <c r="V505" s="88" t="s">
        <v>1519</v>
      </c>
      <c r="W505" s="88" t="s">
        <v>1520</v>
      </c>
      <c r="X505" s="88" t="s">
        <v>1520</v>
      </c>
      <c r="Y505" s="88" t="s">
        <v>1520</v>
      </c>
      <c r="Z505" s="88" t="s">
        <v>1520</v>
      </c>
      <c r="AA505" s="88" t="s">
        <v>1519</v>
      </c>
      <c r="AB505" s="88" t="s">
        <v>1519</v>
      </c>
      <c r="AC505" s="88" t="s">
        <v>1519</v>
      </c>
      <c r="AD505" s="89"/>
      <c r="AE505" s="18" t="s">
        <v>915</v>
      </c>
      <c r="AF505" s="24"/>
      <c r="AG505" s="24"/>
      <c r="AH505" s="24"/>
      <c r="AI505" s="24"/>
      <c r="AJ505" s="24"/>
      <c r="AK505" s="24"/>
      <c r="AL505" s="24"/>
      <c r="AM505" s="24"/>
    </row>
    <row r="506">
      <c r="A506" s="11"/>
      <c r="B506" s="12" t="s">
        <v>7</v>
      </c>
      <c r="C506" s="12" t="s">
        <v>8</v>
      </c>
      <c r="D506" s="12" t="s">
        <v>15</v>
      </c>
      <c r="E506" s="12" t="s">
        <v>15</v>
      </c>
      <c r="F506" s="13" t="s">
        <v>16</v>
      </c>
      <c r="G506" s="12" t="s">
        <v>68</v>
      </c>
      <c r="H506" s="12" t="s">
        <v>928</v>
      </c>
      <c r="I506" s="12" t="s">
        <v>929</v>
      </c>
      <c r="J506" s="17" t="s">
        <v>73</v>
      </c>
      <c r="K506" s="2" t="str">
        <f>IFERROR(__xludf.DUMMYFUNCTION("CONCATENATE(REGEXEXTRACT(J506,""[\d]+""),"" años"")"),"3 años")</f>
        <v>3 años</v>
      </c>
      <c r="L506" s="17" t="s">
        <v>1961</v>
      </c>
      <c r="M506" s="20">
        <v>45833.0</v>
      </c>
      <c r="N506" s="17" t="s">
        <v>194</v>
      </c>
      <c r="O506" s="88" t="s">
        <v>1520</v>
      </c>
      <c r="P506" s="88" t="s">
        <v>1520</v>
      </c>
      <c r="Q506" s="88" t="s">
        <v>1521</v>
      </c>
      <c r="R506" s="88" t="s">
        <v>1521</v>
      </c>
      <c r="S506" s="88" t="s">
        <v>1520</v>
      </c>
      <c r="T506" s="88" t="s">
        <v>1520</v>
      </c>
      <c r="U506" s="88" t="s">
        <v>1520</v>
      </c>
      <c r="V506" s="88" t="s">
        <v>1520</v>
      </c>
      <c r="W506" s="88" t="s">
        <v>1520</v>
      </c>
      <c r="X506" s="88" t="s">
        <v>1520</v>
      </c>
      <c r="Y506" s="88" t="s">
        <v>1520</v>
      </c>
      <c r="Z506" s="88" t="s">
        <v>1520</v>
      </c>
      <c r="AA506" s="88" t="s">
        <v>1520</v>
      </c>
      <c r="AB506" s="88" t="s">
        <v>1520</v>
      </c>
      <c r="AC506" s="88" t="s">
        <v>1520</v>
      </c>
      <c r="AD506" s="89"/>
      <c r="AE506" s="18" t="s">
        <v>915</v>
      </c>
      <c r="AF506" s="24"/>
      <c r="AG506" s="24"/>
      <c r="AH506" s="24"/>
      <c r="AI506" s="24"/>
      <c r="AJ506" s="24"/>
      <c r="AK506" s="24"/>
      <c r="AL506" s="24"/>
      <c r="AM506" s="24"/>
    </row>
    <row r="507">
      <c r="A507" s="11"/>
      <c r="B507" s="12" t="s">
        <v>7</v>
      </c>
      <c r="C507" s="12" t="s">
        <v>8</v>
      </c>
      <c r="D507" s="12" t="s">
        <v>15</v>
      </c>
      <c r="E507" s="12" t="s">
        <v>15</v>
      </c>
      <c r="F507" s="13" t="s">
        <v>16</v>
      </c>
      <c r="G507" s="12" t="s">
        <v>68</v>
      </c>
      <c r="H507" s="12" t="s">
        <v>928</v>
      </c>
      <c r="I507" s="12" t="s">
        <v>929</v>
      </c>
      <c r="J507" s="17" t="s">
        <v>73</v>
      </c>
      <c r="K507" s="2" t="str">
        <f>IFERROR(__xludf.DUMMYFUNCTION("CONCATENATE(REGEXEXTRACT(J507,""[\d]+""),"" años"")"),"3 años")</f>
        <v>3 años</v>
      </c>
      <c r="L507" s="17" t="s">
        <v>1962</v>
      </c>
      <c r="M507" s="20">
        <v>45833.0</v>
      </c>
      <c r="N507" s="17" t="s">
        <v>194</v>
      </c>
      <c r="O507" s="88" t="s">
        <v>1520</v>
      </c>
      <c r="P507" s="88" t="s">
        <v>1520</v>
      </c>
      <c r="Q507" s="88" t="s">
        <v>1520</v>
      </c>
      <c r="R507" s="88" t="s">
        <v>1521</v>
      </c>
      <c r="S507" s="88" t="s">
        <v>1520</v>
      </c>
      <c r="T507" s="88" t="s">
        <v>1520</v>
      </c>
      <c r="U507" s="88" t="s">
        <v>1520</v>
      </c>
      <c r="V507" s="88" t="s">
        <v>1520</v>
      </c>
      <c r="W507" s="88" t="s">
        <v>1520</v>
      </c>
      <c r="X507" s="88" t="s">
        <v>1520</v>
      </c>
      <c r="Y507" s="88" t="s">
        <v>1520</v>
      </c>
      <c r="Z507" s="88" t="s">
        <v>1520</v>
      </c>
      <c r="AA507" s="88" t="s">
        <v>1520</v>
      </c>
      <c r="AB507" s="88" t="s">
        <v>1520</v>
      </c>
      <c r="AC507" s="88" t="s">
        <v>1520</v>
      </c>
      <c r="AD507" s="89"/>
      <c r="AE507" s="18" t="s">
        <v>915</v>
      </c>
      <c r="AF507" s="24"/>
      <c r="AG507" s="24"/>
      <c r="AH507" s="24"/>
      <c r="AI507" s="24"/>
      <c r="AJ507" s="24"/>
      <c r="AK507" s="24"/>
      <c r="AL507" s="24"/>
      <c r="AM507" s="24"/>
    </row>
    <row r="508">
      <c r="A508" s="11"/>
      <c r="B508" s="12" t="s">
        <v>7</v>
      </c>
      <c r="C508" s="12" t="s">
        <v>8</v>
      </c>
      <c r="D508" s="12" t="s">
        <v>15</v>
      </c>
      <c r="E508" s="12" t="s">
        <v>15</v>
      </c>
      <c r="F508" s="13" t="s">
        <v>16</v>
      </c>
      <c r="G508" s="12" t="s">
        <v>68</v>
      </c>
      <c r="H508" s="12" t="s">
        <v>928</v>
      </c>
      <c r="I508" s="12" t="s">
        <v>929</v>
      </c>
      <c r="J508" s="17" t="s">
        <v>112</v>
      </c>
      <c r="K508" s="2" t="str">
        <f>IFERROR(__xludf.DUMMYFUNCTION("CONCATENATE(REGEXEXTRACT(J508,""[\d]+""),"" años"")"),"4 años")</f>
        <v>4 años</v>
      </c>
      <c r="L508" s="17" t="s">
        <v>1963</v>
      </c>
      <c r="M508" s="20">
        <v>45833.0</v>
      </c>
      <c r="N508" s="17" t="s">
        <v>194</v>
      </c>
      <c r="O508" s="88" t="s">
        <v>1519</v>
      </c>
      <c r="P508" s="88" t="s">
        <v>1519</v>
      </c>
      <c r="Q508" s="88" t="s">
        <v>1520</v>
      </c>
      <c r="R508" s="88" t="s">
        <v>1521</v>
      </c>
      <c r="S508" s="88" t="s">
        <v>1520</v>
      </c>
      <c r="T508" s="88" t="s">
        <v>1520</v>
      </c>
      <c r="U508" s="88" t="s">
        <v>1519</v>
      </c>
      <c r="V508" s="88" t="s">
        <v>1519</v>
      </c>
      <c r="W508" s="88" t="s">
        <v>1520</v>
      </c>
      <c r="X508" s="88" t="s">
        <v>1520</v>
      </c>
      <c r="Y508" s="88" t="s">
        <v>1520</v>
      </c>
      <c r="Z508" s="88" t="s">
        <v>1520</v>
      </c>
      <c r="AA508" s="88" t="s">
        <v>1519</v>
      </c>
      <c r="AB508" s="88" t="s">
        <v>1520</v>
      </c>
      <c r="AC508" s="88" t="s">
        <v>1520</v>
      </c>
      <c r="AD508" s="89"/>
      <c r="AE508" s="18" t="s">
        <v>915</v>
      </c>
      <c r="AF508" s="24"/>
      <c r="AG508" s="24"/>
      <c r="AH508" s="24"/>
      <c r="AI508" s="24"/>
      <c r="AJ508" s="24"/>
      <c r="AK508" s="24"/>
      <c r="AL508" s="24"/>
      <c r="AM508" s="24"/>
    </row>
    <row r="509">
      <c r="A509" s="11"/>
      <c r="B509" s="12" t="s">
        <v>7</v>
      </c>
      <c r="C509" s="12" t="s">
        <v>8</v>
      </c>
      <c r="D509" s="12" t="s">
        <v>15</v>
      </c>
      <c r="E509" s="12" t="s">
        <v>15</v>
      </c>
      <c r="F509" s="13" t="s">
        <v>16</v>
      </c>
      <c r="G509" s="12" t="s">
        <v>68</v>
      </c>
      <c r="H509" s="12" t="s">
        <v>928</v>
      </c>
      <c r="I509" s="12" t="s">
        <v>929</v>
      </c>
      <c r="J509" s="17" t="s">
        <v>112</v>
      </c>
      <c r="K509" s="2" t="str">
        <f>IFERROR(__xludf.DUMMYFUNCTION("CONCATENATE(REGEXEXTRACT(J509,""[\d]+""),"" años"")"),"4 años")</f>
        <v>4 años</v>
      </c>
      <c r="L509" s="17" t="s">
        <v>1964</v>
      </c>
      <c r="M509" s="20">
        <v>45833.0</v>
      </c>
      <c r="N509" s="17" t="s">
        <v>194</v>
      </c>
      <c r="O509" s="88" t="s">
        <v>1520</v>
      </c>
      <c r="P509" s="88" t="s">
        <v>1520</v>
      </c>
      <c r="Q509" s="88" t="s">
        <v>1520</v>
      </c>
      <c r="R509" s="88" t="s">
        <v>1521</v>
      </c>
      <c r="S509" s="88" t="s">
        <v>1520</v>
      </c>
      <c r="T509" s="88" t="s">
        <v>1520</v>
      </c>
      <c r="U509" s="88" t="s">
        <v>1519</v>
      </c>
      <c r="V509" s="88" t="s">
        <v>1519</v>
      </c>
      <c r="W509" s="88" t="s">
        <v>1520</v>
      </c>
      <c r="X509" s="88" t="s">
        <v>1520</v>
      </c>
      <c r="Y509" s="88" t="s">
        <v>1519</v>
      </c>
      <c r="Z509" s="88" t="s">
        <v>1519</v>
      </c>
      <c r="AA509" s="88" t="s">
        <v>1520</v>
      </c>
      <c r="AB509" s="88" t="s">
        <v>1519</v>
      </c>
      <c r="AC509" s="88" t="s">
        <v>1519</v>
      </c>
      <c r="AD509" s="89"/>
      <c r="AE509" s="18" t="s">
        <v>915</v>
      </c>
      <c r="AF509" s="24"/>
      <c r="AG509" s="24"/>
      <c r="AH509" s="24"/>
      <c r="AI509" s="24"/>
      <c r="AJ509" s="24"/>
      <c r="AK509" s="24"/>
      <c r="AL509" s="24"/>
      <c r="AM509" s="24"/>
    </row>
    <row r="510">
      <c r="A510" s="11"/>
      <c r="B510" s="12" t="s">
        <v>7</v>
      </c>
      <c r="C510" s="12" t="s">
        <v>8</v>
      </c>
      <c r="D510" s="12" t="s">
        <v>15</v>
      </c>
      <c r="E510" s="12" t="s">
        <v>15</v>
      </c>
      <c r="F510" s="13" t="s">
        <v>16</v>
      </c>
      <c r="G510" s="12" t="s">
        <v>68</v>
      </c>
      <c r="H510" s="12" t="s">
        <v>928</v>
      </c>
      <c r="I510" s="12" t="s">
        <v>929</v>
      </c>
      <c r="J510" s="17" t="s">
        <v>112</v>
      </c>
      <c r="K510" s="2" t="str">
        <f>IFERROR(__xludf.DUMMYFUNCTION("CONCATENATE(REGEXEXTRACT(J510,""[\d]+""),"" años"")"),"4 años")</f>
        <v>4 años</v>
      </c>
      <c r="L510" s="17" t="s">
        <v>1965</v>
      </c>
      <c r="M510" s="20">
        <v>45833.0</v>
      </c>
      <c r="N510" s="17" t="s">
        <v>194</v>
      </c>
      <c r="O510" s="88" t="s">
        <v>1520</v>
      </c>
      <c r="P510" s="88" t="s">
        <v>1520</v>
      </c>
      <c r="Q510" s="88" t="s">
        <v>1520</v>
      </c>
      <c r="R510" s="88" t="s">
        <v>1521</v>
      </c>
      <c r="S510" s="88" t="s">
        <v>1519</v>
      </c>
      <c r="T510" s="88" t="s">
        <v>1519</v>
      </c>
      <c r="U510" s="88" t="s">
        <v>1519</v>
      </c>
      <c r="V510" s="88" t="s">
        <v>1519</v>
      </c>
      <c r="W510" s="88" t="s">
        <v>1520</v>
      </c>
      <c r="X510" s="88" t="s">
        <v>1520</v>
      </c>
      <c r="Y510" s="88" t="s">
        <v>1520</v>
      </c>
      <c r="Z510" s="88" t="s">
        <v>1520</v>
      </c>
      <c r="AA510" s="88" t="s">
        <v>1519</v>
      </c>
      <c r="AB510" s="88" t="s">
        <v>1520</v>
      </c>
      <c r="AC510" s="88" t="s">
        <v>1520</v>
      </c>
      <c r="AD510" s="89"/>
      <c r="AE510" s="18" t="s">
        <v>915</v>
      </c>
      <c r="AF510" s="24"/>
      <c r="AG510" s="24"/>
      <c r="AH510" s="24"/>
      <c r="AI510" s="24"/>
      <c r="AJ510" s="24"/>
      <c r="AK510" s="24"/>
      <c r="AL510" s="24"/>
      <c r="AM510" s="24"/>
    </row>
    <row r="511">
      <c r="A511" s="11"/>
      <c r="B511" s="12" t="s">
        <v>7</v>
      </c>
      <c r="C511" s="12" t="s">
        <v>8</v>
      </c>
      <c r="D511" s="12" t="s">
        <v>15</v>
      </c>
      <c r="E511" s="12" t="s">
        <v>15</v>
      </c>
      <c r="F511" s="13" t="s">
        <v>16</v>
      </c>
      <c r="G511" s="12" t="s">
        <v>68</v>
      </c>
      <c r="H511" s="12" t="s">
        <v>928</v>
      </c>
      <c r="I511" s="12" t="s">
        <v>929</v>
      </c>
      <c r="J511" s="17" t="s">
        <v>108</v>
      </c>
      <c r="K511" s="2" t="str">
        <f>IFERROR(__xludf.DUMMYFUNCTION("CONCATENATE(REGEXEXTRACT(J511,""[\d]+""),"" años"")"),"5 años")</f>
        <v>5 años</v>
      </c>
      <c r="L511" s="17" t="s">
        <v>1966</v>
      </c>
      <c r="M511" s="20">
        <v>45833.0</v>
      </c>
      <c r="N511" s="17" t="s">
        <v>194</v>
      </c>
      <c r="O511" s="88" t="s">
        <v>1519</v>
      </c>
      <c r="P511" s="88" t="s">
        <v>1519</v>
      </c>
      <c r="Q511" s="88" t="s">
        <v>1520</v>
      </c>
      <c r="R511" s="88" t="s">
        <v>1521</v>
      </c>
      <c r="S511" s="88" t="s">
        <v>1520</v>
      </c>
      <c r="T511" s="88" t="s">
        <v>1520</v>
      </c>
      <c r="U511" s="88" t="s">
        <v>1519</v>
      </c>
      <c r="V511" s="88" t="s">
        <v>1519</v>
      </c>
      <c r="W511" s="88" t="s">
        <v>1520</v>
      </c>
      <c r="X511" s="88" t="s">
        <v>1520</v>
      </c>
      <c r="Y511" s="88" t="s">
        <v>1519</v>
      </c>
      <c r="Z511" s="88" t="s">
        <v>1519</v>
      </c>
      <c r="AA511" s="88" t="s">
        <v>1520</v>
      </c>
      <c r="AB511" s="88" t="s">
        <v>1520</v>
      </c>
      <c r="AC511" s="88" t="s">
        <v>1520</v>
      </c>
      <c r="AD511" s="89"/>
      <c r="AE511" s="18" t="s">
        <v>915</v>
      </c>
      <c r="AF511" s="24"/>
      <c r="AG511" s="24"/>
      <c r="AH511" s="24"/>
      <c r="AI511" s="24"/>
      <c r="AJ511" s="24"/>
      <c r="AK511" s="24"/>
      <c r="AL511" s="24"/>
      <c r="AM511" s="24"/>
    </row>
    <row r="512">
      <c r="A512" s="11"/>
      <c r="B512" s="12" t="s">
        <v>7</v>
      </c>
      <c r="C512" s="12" t="s">
        <v>8</v>
      </c>
      <c r="D512" s="12" t="s">
        <v>15</v>
      </c>
      <c r="E512" s="12" t="s">
        <v>15</v>
      </c>
      <c r="F512" s="13" t="s">
        <v>16</v>
      </c>
      <c r="G512" s="12" t="s">
        <v>68</v>
      </c>
      <c r="H512" s="12" t="s">
        <v>928</v>
      </c>
      <c r="I512" s="12" t="s">
        <v>929</v>
      </c>
      <c r="J512" s="17" t="s">
        <v>108</v>
      </c>
      <c r="K512" s="2" t="str">
        <f>IFERROR(__xludf.DUMMYFUNCTION("CONCATENATE(REGEXEXTRACT(J512,""[\d]+""),"" años"")"),"5 años")</f>
        <v>5 años</v>
      </c>
      <c r="L512" s="17" t="s">
        <v>1967</v>
      </c>
      <c r="M512" s="20">
        <v>45833.0</v>
      </c>
      <c r="N512" s="17" t="s">
        <v>194</v>
      </c>
      <c r="O512" s="88" t="s">
        <v>1520</v>
      </c>
      <c r="P512" s="88" t="s">
        <v>1520</v>
      </c>
      <c r="Q512" s="88" t="s">
        <v>1520</v>
      </c>
      <c r="R512" s="88" t="s">
        <v>1521</v>
      </c>
      <c r="S512" s="88" t="s">
        <v>1519</v>
      </c>
      <c r="T512" s="88" t="s">
        <v>1519</v>
      </c>
      <c r="U512" s="88" t="s">
        <v>1519</v>
      </c>
      <c r="V512" s="88" t="s">
        <v>1519</v>
      </c>
      <c r="W512" s="88" t="s">
        <v>1520</v>
      </c>
      <c r="X512" s="88" t="s">
        <v>1520</v>
      </c>
      <c r="Y512" s="88" t="s">
        <v>1519</v>
      </c>
      <c r="Z512" s="88" t="s">
        <v>1519</v>
      </c>
      <c r="AA512" s="88" t="s">
        <v>1520</v>
      </c>
      <c r="AB512" s="88" t="s">
        <v>1520</v>
      </c>
      <c r="AC512" s="88" t="s">
        <v>1520</v>
      </c>
      <c r="AD512" s="89"/>
      <c r="AE512" s="18" t="s">
        <v>915</v>
      </c>
      <c r="AF512" s="24"/>
      <c r="AG512" s="24"/>
      <c r="AH512" s="24"/>
      <c r="AI512" s="24"/>
      <c r="AJ512" s="24"/>
      <c r="AK512" s="24"/>
      <c r="AL512" s="24"/>
      <c r="AM512" s="24"/>
    </row>
    <row r="513">
      <c r="A513" s="11"/>
      <c r="B513" s="12" t="s">
        <v>7</v>
      </c>
      <c r="C513" s="12" t="s">
        <v>8</v>
      </c>
      <c r="D513" s="12" t="s">
        <v>15</v>
      </c>
      <c r="E513" s="12" t="s">
        <v>15</v>
      </c>
      <c r="F513" s="13" t="s">
        <v>16</v>
      </c>
      <c r="G513" s="12" t="s">
        <v>68</v>
      </c>
      <c r="H513" s="12" t="s">
        <v>928</v>
      </c>
      <c r="I513" s="12" t="s">
        <v>929</v>
      </c>
      <c r="J513" s="17" t="s">
        <v>108</v>
      </c>
      <c r="K513" s="2" t="str">
        <f>IFERROR(__xludf.DUMMYFUNCTION("CONCATENATE(REGEXEXTRACT(J513,""[\d]+""),"" años"")"),"5 años")</f>
        <v>5 años</v>
      </c>
      <c r="L513" s="17" t="s">
        <v>1968</v>
      </c>
      <c r="M513" s="20">
        <v>45833.0</v>
      </c>
      <c r="N513" s="17" t="s">
        <v>194</v>
      </c>
      <c r="O513" s="88" t="s">
        <v>1519</v>
      </c>
      <c r="P513" s="88" t="s">
        <v>1519</v>
      </c>
      <c r="Q513" s="88" t="s">
        <v>1520</v>
      </c>
      <c r="R513" s="88" t="s">
        <v>1521</v>
      </c>
      <c r="S513" s="88" t="s">
        <v>1519</v>
      </c>
      <c r="T513" s="88" t="s">
        <v>1519</v>
      </c>
      <c r="U513" s="88" t="s">
        <v>1519</v>
      </c>
      <c r="V513" s="88" t="s">
        <v>1519</v>
      </c>
      <c r="W513" s="88" t="s">
        <v>1520</v>
      </c>
      <c r="X513" s="88" t="s">
        <v>1520</v>
      </c>
      <c r="Y513" s="88" t="s">
        <v>1520</v>
      </c>
      <c r="Z513" s="88" t="s">
        <v>1520</v>
      </c>
      <c r="AA513" s="88" t="s">
        <v>1519</v>
      </c>
      <c r="AB513" s="88" t="s">
        <v>1519</v>
      </c>
      <c r="AC513" s="88" t="s">
        <v>1519</v>
      </c>
      <c r="AD513" s="89"/>
      <c r="AE513" s="18" t="s">
        <v>915</v>
      </c>
      <c r="AF513" s="24"/>
      <c r="AG513" s="24"/>
      <c r="AH513" s="24"/>
      <c r="AI513" s="24"/>
      <c r="AJ513" s="24"/>
      <c r="AK513" s="24"/>
      <c r="AL513" s="24"/>
      <c r="AM513" s="24"/>
    </row>
    <row r="514">
      <c r="A514" s="11"/>
      <c r="B514" s="12" t="s">
        <v>7</v>
      </c>
      <c r="C514" s="12" t="s">
        <v>8</v>
      </c>
      <c r="D514" s="12" t="s">
        <v>15</v>
      </c>
      <c r="E514" s="12" t="s">
        <v>15</v>
      </c>
      <c r="F514" s="13" t="s">
        <v>16</v>
      </c>
      <c r="G514" s="12" t="s">
        <v>68</v>
      </c>
      <c r="H514" s="12" t="s">
        <v>928</v>
      </c>
      <c r="I514" s="12" t="s">
        <v>929</v>
      </c>
      <c r="J514" s="17" t="s">
        <v>112</v>
      </c>
      <c r="K514" s="2" t="str">
        <f>IFERROR(__xludf.DUMMYFUNCTION("CONCATENATE(REGEXEXTRACT(J514,""[\d]+""),"" años"")"),"4 años")</f>
        <v>4 años</v>
      </c>
      <c r="L514" s="17" t="s">
        <v>1969</v>
      </c>
      <c r="M514" s="20">
        <v>45833.0</v>
      </c>
      <c r="N514" s="17" t="s">
        <v>194</v>
      </c>
      <c r="O514" s="88" t="s">
        <v>1520</v>
      </c>
      <c r="P514" s="88" t="s">
        <v>1520</v>
      </c>
      <c r="Q514" s="88" t="s">
        <v>1520</v>
      </c>
      <c r="R514" s="88" t="s">
        <v>1521</v>
      </c>
      <c r="S514" s="88" t="s">
        <v>1520</v>
      </c>
      <c r="T514" s="88" t="s">
        <v>1520</v>
      </c>
      <c r="U514" s="88" t="s">
        <v>1519</v>
      </c>
      <c r="V514" s="88" t="s">
        <v>1519</v>
      </c>
      <c r="W514" s="88" t="s">
        <v>1520</v>
      </c>
      <c r="X514" s="88" t="s">
        <v>1520</v>
      </c>
      <c r="Y514" s="88" t="s">
        <v>1520</v>
      </c>
      <c r="Z514" s="88" t="s">
        <v>1520</v>
      </c>
      <c r="AA514" s="88" t="s">
        <v>1520</v>
      </c>
      <c r="AB514" s="88" t="s">
        <v>1520</v>
      </c>
      <c r="AC514" s="88" t="s">
        <v>1520</v>
      </c>
      <c r="AD514" s="89"/>
      <c r="AE514" s="18" t="s">
        <v>915</v>
      </c>
      <c r="AF514" s="24"/>
      <c r="AG514" s="24"/>
      <c r="AH514" s="24"/>
      <c r="AI514" s="24"/>
      <c r="AJ514" s="24"/>
      <c r="AK514" s="24"/>
      <c r="AL514" s="24"/>
      <c r="AM514" s="24"/>
    </row>
    <row r="515">
      <c r="A515" s="11"/>
      <c r="B515" s="12" t="s">
        <v>7</v>
      </c>
      <c r="C515" s="12" t="s">
        <v>8</v>
      </c>
      <c r="D515" s="12" t="s">
        <v>15</v>
      </c>
      <c r="E515" s="12" t="s">
        <v>15</v>
      </c>
      <c r="F515" s="13" t="s">
        <v>16</v>
      </c>
      <c r="G515" s="12" t="s">
        <v>68</v>
      </c>
      <c r="H515" s="12" t="s">
        <v>928</v>
      </c>
      <c r="I515" s="12" t="s">
        <v>929</v>
      </c>
      <c r="J515" s="17" t="s">
        <v>108</v>
      </c>
      <c r="K515" s="2" t="str">
        <f>IFERROR(__xludf.DUMMYFUNCTION("CONCATENATE(REGEXEXTRACT(J515,""[\d]+""),"" años"")"),"5 años")</f>
        <v>5 años</v>
      </c>
      <c r="L515" s="17" t="s">
        <v>1970</v>
      </c>
      <c r="M515" s="20">
        <v>45833.0</v>
      </c>
      <c r="N515" s="17" t="s">
        <v>194</v>
      </c>
      <c r="O515" s="88" t="s">
        <v>1519</v>
      </c>
      <c r="P515" s="88" t="s">
        <v>1519</v>
      </c>
      <c r="Q515" s="88" t="s">
        <v>1520</v>
      </c>
      <c r="R515" s="88" t="s">
        <v>1521</v>
      </c>
      <c r="S515" s="88" t="s">
        <v>1520</v>
      </c>
      <c r="T515" s="88" t="s">
        <v>1520</v>
      </c>
      <c r="U515" s="88" t="s">
        <v>1520</v>
      </c>
      <c r="V515" s="88" t="s">
        <v>1520</v>
      </c>
      <c r="W515" s="88" t="s">
        <v>1520</v>
      </c>
      <c r="X515" s="88" t="s">
        <v>1520</v>
      </c>
      <c r="Y515" s="88" t="s">
        <v>1519</v>
      </c>
      <c r="Z515" s="88" t="s">
        <v>1519</v>
      </c>
      <c r="AA515" s="88" t="s">
        <v>1520</v>
      </c>
      <c r="AB515" s="88" t="s">
        <v>1520</v>
      </c>
      <c r="AC515" s="88" t="s">
        <v>1520</v>
      </c>
      <c r="AD515" s="89"/>
      <c r="AE515" s="18" t="s">
        <v>915</v>
      </c>
      <c r="AF515" s="24"/>
      <c r="AG515" s="24"/>
      <c r="AH515" s="24"/>
      <c r="AI515" s="24"/>
      <c r="AJ515" s="24"/>
      <c r="AK515" s="24"/>
      <c r="AL515" s="24"/>
      <c r="AM515" s="24"/>
    </row>
    <row r="516">
      <c r="A516" s="11"/>
      <c r="B516" s="12" t="s">
        <v>7</v>
      </c>
      <c r="C516" s="12" t="s">
        <v>8</v>
      </c>
      <c r="D516" s="12" t="s">
        <v>15</v>
      </c>
      <c r="E516" s="12" t="s">
        <v>15</v>
      </c>
      <c r="F516" s="13" t="s">
        <v>16</v>
      </c>
      <c r="G516" s="12" t="s">
        <v>68</v>
      </c>
      <c r="H516" s="12" t="s">
        <v>928</v>
      </c>
      <c r="I516" s="12" t="s">
        <v>929</v>
      </c>
      <c r="J516" s="17" t="s">
        <v>112</v>
      </c>
      <c r="K516" s="2" t="str">
        <f>IFERROR(__xludf.DUMMYFUNCTION("CONCATENATE(REGEXEXTRACT(J516,""[\d]+""),"" años"")"),"4 años")</f>
        <v>4 años</v>
      </c>
      <c r="L516" s="17" t="s">
        <v>1971</v>
      </c>
      <c r="M516" s="20">
        <v>45833.0</v>
      </c>
      <c r="N516" s="17" t="s">
        <v>194</v>
      </c>
      <c r="O516" s="88" t="s">
        <v>1519</v>
      </c>
      <c r="P516" s="88" t="s">
        <v>1519</v>
      </c>
      <c r="Q516" s="88" t="s">
        <v>1520</v>
      </c>
      <c r="R516" s="88" t="s">
        <v>1521</v>
      </c>
      <c r="S516" s="88" t="s">
        <v>1519</v>
      </c>
      <c r="T516" s="88" t="s">
        <v>1519</v>
      </c>
      <c r="U516" s="88" t="s">
        <v>1519</v>
      </c>
      <c r="V516" s="88" t="s">
        <v>1519</v>
      </c>
      <c r="W516" s="88" t="s">
        <v>1520</v>
      </c>
      <c r="X516" s="88" t="s">
        <v>1520</v>
      </c>
      <c r="Y516" s="88" t="s">
        <v>1519</v>
      </c>
      <c r="Z516" s="88" t="s">
        <v>1519</v>
      </c>
      <c r="AA516" s="88" t="s">
        <v>1519</v>
      </c>
      <c r="AB516" s="88" t="s">
        <v>1520</v>
      </c>
      <c r="AC516" s="88" t="s">
        <v>1520</v>
      </c>
      <c r="AD516" s="89"/>
      <c r="AE516" s="18" t="s">
        <v>915</v>
      </c>
      <c r="AF516" s="24"/>
      <c r="AG516" s="24"/>
      <c r="AH516" s="24"/>
      <c r="AI516" s="24"/>
      <c r="AJ516" s="24"/>
      <c r="AK516" s="24"/>
      <c r="AL516" s="24"/>
      <c r="AM516" s="24"/>
    </row>
    <row r="517">
      <c r="A517" s="11"/>
      <c r="B517" s="12" t="s">
        <v>7</v>
      </c>
      <c r="C517" s="12" t="s">
        <v>8</v>
      </c>
      <c r="D517" s="12" t="s">
        <v>15</v>
      </c>
      <c r="E517" s="12" t="s">
        <v>15</v>
      </c>
      <c r="F517" s="13" t="s">
        <v>16</v>
      </c>
      <c r="G517" s="12" t="s">
        <v>68</v>
      </c>
      <c r="H517" s="12" t="s">
        <v>928</v>
      </c>
      <c r="I517" s="12" t="s">
        <v>929</v>
      </c>
      <c r="J517" s="17" t="s">
        <v>108</v>
      </c>
      <c r="K517" s="2" t="str">
        <f>IFERROR(__xludf.DUMMYFUNCTION("CONCATENATE(REGEXEXTRACT(J517,""[\d]+""),"" años"")"),"5 años")</f>
        <v>5 años</v>
      </c>
      <c r="L517" s="17" t="s">
        <v>1972</v>
      </c>
      <c r="M517" s="20">
        <v>45833.0</v>
      </c>
      <c r="N517" s="17" t="s">
        <v>194</v>
      </c>
      <c r="O517" s="88" t="s">
        <v>1519</v>
      </c>
      <c r="P517" s="88" t="s">
        <v>1519</v>
      </c>
      <c r="Q517" s="88" t="s">
        <v>1520</v>
      </c>
      <c r="R517" s="88" t="s">
        <v>1521</v>
      </c>
      <c r="S517" s="88" t="s">
        <v>1520</v>
      </c>
      <c r="T517" s="88" t="s">
        <v>1520</v>
      </c>
      <c r="U517" s="88" t="s">
        <v>1519</v>
      </c>
      <c r="V517" s="88" t="s">
        <v>1519</v>
      </c>
      <c r="W517" s="88" t="s">
        <v>1520</v>
      </c>
      <c r="X517" s="88" t="s">
        <v>1520</v>
      </c>
      <c r="Y517" s="88" t="s">
        <v>1519</v>
      </c>
      <c r="Z517" s="88" t="s">
        <v>1519</v>
      </c>
      <c r="AA517" s="88" t="s">
        <v>1519</v>
      </c>
      <c r="AB517" s="88" t="s">
        <v>1519</v>
      </c>
      <c r="AC517" s="88" t="s">
        <v>1519</v>
      </c>
      <c r="AD517" s="89"/>
      <c r="AE517" s="18" t="s">
        <v>915</v>
      </c>
      <c r="AF517" s="24"/>
      <c r="AG517" s="24"/>
      <c r="AH517" s="24"/>
      <c r="AI517" s="24"/>
      <c r="AJ517" s="24"/>
      <c r="AK517" s="24"/>
      <c r="AL517" s="24"/>
      <c r="AM517" s="24"/>
    </row>
    <row r="518">
      <c r="A518" s="11"/>
      <c r="B518" s="12" t="s">
        <v>7</v>
      </c>
      <c r="C518" s="12" t="s">
        <v>8</v>
      </c>
      <c r="D518" s="12" t="s">
        <v>15</v>
      </c>
      <c r="E518" s="12" t="s">
        <v>15</v>
      </c>
      <c r="F518" s="13" t="s">
        <v>16</v>
      </c>
      <c r="G518" s="12" t="s">
        <v>68</v>
      </c>
      <c r="H518" s="12" t="s">
        <v>928</v>
      </c>
      <c r="I518" s="12" t="s">
        <v>929</v>
      </c>
      <c r="J518" s="17" t="s">
        <v>112</v>
      </c>
      <c r="K518" s="2" t="str">
        <f>IFERROR(__xludf.DUMMYFUNCTION("CONCATENATE(REGEXEXTRACT(J518,""[\d]+""),"" años"")"),"4 años")</f>
        <v>4 años</v>
      </c>
      <c r="L518" s="17" t="s">
        <v>1973</v>
      </c>
      <c r="M518" s="20">
        <v>45833.0</v>
      </c>
      <c r="N518" s="17" t="s">
        <v>194</v>
      </c>
      <c r="O518" s="88" t="s">
        <v>1520</v>
      </c>
      <c r="P518" s="88" t="s">
        <v>1520</v>
      </c>
      <c r="Q518" s="88" t="s">
        <v>1520</v>
      </c>
      <c r="R518" s="88" t="s">
        <v>1521</v>
      </c>
      <c r="S518" s="88" t="s">
        <v>1520</v>
      </c>
      <c r="T518" s="88" t="s">
        <v>1520</v>
      </c>
      <c r="U518" s="88" t="s">
        <v>1520</v>
      </c>
      <c r="V518" s="88" t="s">
        <v>1520</v>
      </c>
      <c r="W518" s="88" t="s">
        <v>1520</v>
      </c>
      <c r="X518" s="88" t="s">
        <v>1520</v>
      </c>
      <c r="Y518" s="88" t="s">
        <v>1519</v>
      </c>
      <c r="Z518" s="88" t="s">
        <v>1519</v>
      </c>
      <c r="AA518" s="88" t="s">
        <v>1520</v>
      </c>
      <c r="AB518" s="88" t="s">
        <v>1520</v>
      </c>
      <c r="AC518" s="88" t="s">
        <v>1520</v>
      </c>
      <c r="AD518" s="89"/>
      <c r="AE518" s="18" t="s">
        <v>915</v>
      </c>
      <c r="AF518" s="24"/>
      <c r="AG518" s="24"/>
      <c r="AH518" s="24"/>
      <c r="AI518" s="24"/>
      <c r="AJ518" s="24"/>
      <c r="AK518" s="24"/>
      <c r="AL518" s="24"/>
      <c r="AM518" s="24"/>
    </row>
    <row r="519">
      <c r="A519" s="11"/>
      <c r="B519" s="12" t="s">
        <v>7</v>
      </c>
      <c r="C519" s="12" t="s">
        <v>8</v>
      </c>
      <c r="D519" s="12" t="s">
        <v>9</v>
      </c>
      <c r="E519" s="12" t="s">
        <v>10</v>
      </c>
      <c r="F519" s="13" t="s">
        <v>11</v>
      </c>
      <c r="G519" s="12" t="s">
        <v>68</v>
      </c>
      <c r="H519" s="12" t="s">
        <v>911</v>
      </c>
      <c r="I519" s="12" t="s">
        <v>912</v>
      </c>
      <c r="J519" s="17" t="s">
        <v>108</v>
      </c>
      <c r="K519" s="17" t="s">
        <v>109</v>
      </c>
      <c r="L519" s="17" t="s">
        <v>1974</v>
      </c>
      <c r="M519" s="20">
        <v>45838.0</v>
      </c>
      <c r="N519" s="17" t="s">
        <v>194</v>
      </c>
      <c r="O519" s="88" t="s">
        <v>1519</v>
      </c>
      <c r="P519" s="88" t="s">
        <v>1519</v>
      </c>
      <c r="Q519" s="88" t="s">
        <v>1519</v>
      </c>
      <c r="R519" s="88" t="s">
        <v>1520</v>
      </c>
      <c r="S519" s="88" t="s">
        <v>1519</v>
      </c>
      <c r="T519" s="88" t="s">
        <v>1519</v>
      </c>
      <c r="U519" s="88" t="s">
        <v>1519</v>
      </c>
      <c r="V519" s="88" t="s">
        <v>1519</v>
      </c>
      <c r="W519" s="88" t="s">
        <v>1520</v>
      </c>
      <c r="X519" s="88" t="s">
        <v>1519</v>
      </c>
      <c r="Y519" s="88" t="s">
        <v>1519</v>
      </c>
      <c r="Z519" s="88" t="s">
        <v>1519</v>
      </c>
      <c r="AA519" s="88" t="s">
        <v>1520</v>
      </c>
      <c r="AB519" s="88" t="s">
        <v>1520</v>
      </c>
      <c r="AC519" s="88" t="s">
        <v>1520</v>
      </c>
      <c r="AD519" s="89"/>
      <c r="AE519" s="18" t="s">
        <v>915</v>
      </c>
      <c r="AF519" s="24"/>
      <c r="AG519" s="24"/>
      <c r="AH519" s="24"/>
      <c r="AI519" s="24"/>
      <c r="AJ519" s="24"/>
      <c r="AK519" s="24"/>
      <c r="AL519" s="24"/>
      <c r="AM519" s="24"/>
    </row>
    <row r="520">
      <c r="A520" s="11"/>
      <c r="B520" s="12" t="s">
        <v>7</v>
      </c>
      <c r="C520" s="12" t="s">
        <v>8</v>
      </c>
      <c r="D520" s="12" t="s">
        <v>9</v>
      </c>
      <c r="E520" s="12" t="s">
        <v>10</v>
      </c>
      <c r="F520" s="13" t="s">
        <v>11</v>
      </c>
      <c r="G520" s="12" t="s">
        <v>68</v>
      </c>
      <c r="H520" s="12" t="s">
        <v>911</v>
      </c>
      <c r="I520" s="12" t="s">
        <v>912</v>
      </c>
      <c r="J520" s="17" t="s">
        <v>108</v>
      </c>
      <c r="K520" s="17" t="s">
        <v>109</v>
      </c>
      <c r="L520" s="17" t="s">
        <v>1975</v>
      </c>
      <c r="M520" s="20">
        <v>45838.0</v>
      </c>
      <c r="N520" s="17" t="s">
        <v>194</v>
      </c>
      <c r="O520" s="88" t="s">
        <v>1519</v>
      </c>
      <c r="P520" s="88" t="s">
        <v>1519</v>
      </c>
      <c r="Q520" s="88" t="s">
        <v>1519</v>
      </c>
      <c r="R520" s="88" t="s">
        <v>1520</v>
      </c>
      <c r="S520" s="88" t="s">
        <v>1519</v>
      </c>
      <c r="T520" s="88" t="s">
        <v>1519</v>
      </c>
      <c r="U520" s="88" t="s">
        <v>1519</v>
      </c>
      <c r="V520" s="88" t="s">
        <v>1519</v>
      </c>
      <c r="W520" s="88" t="s">
        <v>1520</v>
      </c>
      <c r="X520" s="88" t="s">
        <v>1519</v>
      </c>
      <c r="Y520" s="88" t="s">
        <v>1519</v>
      </c>
      <c r="Z520" s="88" t="s">
        <v>1519</v>
      </c>
      <c r="AA520" s="88" t="s">
        <v>1520</v>
      </c>
      <c r="AB520" s="88" t="s">
        <v>1520</v>
      </c>
      <c r="AC520" s="88" t="s">
        <v>1520</v>
      </c>
      <c r="AD520" s="89"/>
      <c r="AE520" s="18" t="s">
        <v>915</v>
      </c>
      <c r="AF520" s="24"/>
      <c r="AG520" s="24"/>
      <c r="AH520" s="24"/>
      <c r="AI520" s="24"/>
      <c r="AJ520" s="24"/>
      <c r="AK520" s="24"/>
      <c r="AL520" s="24"/>
      <c r="AM520" s="24"/>
    </row>
    <row r="521">
      <c r="A521" s="11"/>
      <c r="B521" s="12" t="s">
        <v>7</v>
      </c>
      <c r="C521" s="12" t="s">
        <v>8</v>
      </c>
      <c r="D521" s="12" t="s">
        <v>9</v>
      </c>
      <c r="E521" s="12" t="s">
        <v>10</v>
      </c>
      <c r="F521" s="13" t="s">
        <v>11</v>
      </c>
      <c r="G521" s="12" t="s">
        <v>68</v>
      </c>
      <c r="H521" s="12" t="s">
        <v>911</v>
      </c>
      <c r="I521" s="12" t="s">
        <v>912</v>
      </c>
      <c r="J521" s="17" t="s">
        <v>108</v>
      </c>
      <c r="K521" s="17" t="str">
        <f>IFERROR(__xludf.DUMMYFUNCTION("CONCATENATE(REGEXEXTRACT(J521,""[\d]+""),"" años"")"),"5 años")</f>
        <v>5 años</v>
      </c>
      <c r="L521" s="17" t="s">
        <v>1976</v>
      </c>
      <c r="M521" s="20">
        <v>45838.0</v>
      </c>
      <c r="N521" s="17" t="s">
        <v>194</v>
      </c>
      <c r="O521" s="88" t="s">
        <v>1519</v>
      </c>
      <c r="P521" s="88" t="s">
        <v>1519</v>
      </c>
      <c r="Q521" s="88" t="s">
        <v>1519</v>
      </c>
      <c r="R521" s="88" t="s">
        <v>1520</v>
      </c>
      <c r="S521" s="88" t="s">
        <v>1519</v>
      </c>
      <c r="T521" s="88" t="s">
        <v>1519</v>
      </c>
      <c r="U521" s="88" t="s">
        <v>1519</v>
      </c>
      <c r="V521" s="88" t="s">
        <v>1519</v>
      </c>
      <c r="W521" s="88" t="s">
        <v>1520</v>
      </c>
      <c r="X521" s="88" t="s">
        <v>1519</v>
      </c>
      <c r="Y521" s="88" t="s">
        <v>1519</v>
      </c>
      <c r="Z521" s="88" t="s">
        <v>1519</v>
      </c>
      <c r="AA521" s="88" t="s">
        <v>1520</v>
      </c>
      <c r="AB521" s="88" t="s">
        <v>1520</v>
      </c>
      <c r="AC521" s="88" t="s">
        <v>1520</v>
      </c>
      <c r="AD521" s="89"/>
      <c r="AE521" s="18" t="s">
        <v>915</v>
      </c>
      <c r="AF521" s="24"/>
      <c r="AG521" s="24"/>
      <c r="AH521" s="24"/>
      <c r="AI521" s="24"/>
      <c r="AJ521" s="24"/>
      <c r="AK521" s="24"/>
      <c r="AL521" s="24"/>
      <c r="AM521" s="24"/>
    </row>
    <row r="522">
      <c r="A522" s="11"/>
      <c r="B522" s="12" t="s">
        <v>7</v>
      </c>
      <c r="C522" s="12" t="s">
        <v>8</v>
      </c>
      <c r="D522" s="12" t="s">
        <v>9</v>
      </c>
      <c r="E522" s="12" t="s">
        <v>10</v>
      </c>
      <c r="F522" s="13" t="s">
        <v>11</v>
      </c>
      <c r="G522" s="12" t="s">
        <v>68</v>
      </c>
      <c r="H522" s="12" t="s">
        <v>911</v>
      </c>
      <c r="I522" s="12" t="s">
        <v>912</v>
      </c>
      <c r="J522" s="17" t="s">
        <v>108</v>
      </c>
      <c r="K522" s="17" t="str">
        <f>IFERROR(__xludf.DUMMYFUNCTION("CONCATENATE(REGEXEXTRACT(J522,""[\d]+""),"" años"")"),"5 años")</f>
        <v>5 años</v>
      </c>
      <c r="L522" s="17" t="s">
        <v>1977</v>
      </c>
      <c r="M522" s="20">
        <v>45838.0</v>
      </c>
      <c r="N522" s="17" t="s">
        <v>194</v>
      </c>
      <c r="O522" s="88" t="s">
        <v>1520</v>
      </c>
      <c r="P522" s="88" t="s">
        <v>1520</v>
      </c>
      <c r="Q522" s="88" t="s">
        <v>1519</v>
      </c>
      <c r="R522" s="88" t="s">
        <v>1520</v>
      </c>
      <c r="S522" s="88" t="s">
        <v>1520</v>
      </c>
      <c r="T522" s="88" t="s">
        <v>1520</v>
      </c>
      <c r="U522" s="88" t="s">
        <v>1519</v>
      </c>
      <c r="V522" s="88" t="s">
        <v>1519</v>
      </c>
      <c r="W522" s="88" t="s">
        <v>1520</v>
      </c>
      <c r="X522" s="88" t="s">
        <v>1520</v>
      </c>
      <c r="Y522" s="88" t="s">
        <v>1520</v>
      </c>
      <c r="Z522" s="88" t="s">
        <v>1520</v>
      </c>
      <c r="AA522" s="88" t="s">
        <v>1520</v>
      </c>
      <c r="AB522" s="88" t="s">
        <v>1520</v>
      </c>
      <c r="AC522" s="88" t="s">
        <v>1520</v>
      </c>
      <c r="AD522" s="89"/>
      <c r="AE522" s="18" t="s">
        <v>915</v>
      </c>
      <c r="AF522" s="24"/>
      <c r="AG522" s="24"/>
      <c r="AH522" s="24"/>
      <c r="AI522" s="24"/>
      <c r="AJ522" s="24"/>
      <c r="AK522" s="24"/>
      <c r="AL522" s="24"/>
      <c r="AM522" s="24"/>
    </row>
    <row r="523">
      <c r="A523" s="11"/>
      <c r="B523" s="12" t="s">
        <v>7</v>
      </c>
      <c r="C523" s="12" t="s">
        <v>8</v>
      </c>
      <c r="D523" s="12" t="s">
        <v>9</v>
      </c>
      <c r="E523" s="12" t="s">
        <v>10</v>
      </c>
      <c r="F523" s="13" t="s">
        <v>11</v>
      </c>
      <c r="G523" s="12" t="s">
        <v>68</v>
      </c>
      <c r="H523" s="12" t="s">
        <v>911</v>
      </c>
      <c r="I523" s="12" t="s">
        <v>912</v>
      </c>
      <c r="J523" s="17" t="s">
        <v>108</v>
      </c>
      <c r="K523" s="17" t="str">
        <f>IFERROR(__xludf.DUMMYFUNCTION("CONCATENATE(REGEXEXTRACT(J523,""[\d]+""),"" años"")"),"5 años")</f>
        <v>5 años</v>
      </c>
      <c r="L523" s="17" t="s">
        <v>1978</v>
      </c>
      <c r="M523" s="20">
        <v>45838.0</v>
      </c>
      <c r="N523" s="17" t="s">
        <v>194</v>
      </c>
      <c r="O523" s="88" t="s">
        <v>1519</v>
      </c>
      <c r="P523" s="88" t="s">
        <v>1519</v>
      </c>
      <c r="Q523" s="88" t="s">
        <v>1519</v>
      </c>
      <c r="R523" s="88" t="s">
        <v>1520</v>
      </c>
      <c r="S523" s="88" t="s">
        <v>1519</v>
      </c>
      <c r="T523" s="88" t="s">
        <v>1519</v>
      </c>
      <c r="U523" s="88" t="s">
        <v>1519</v>
      </c>
      <c r="V523" s="88" t="s">
        <v>1519</v>
      </c>
      <c r="W523" s="88" t="s">
        <v>1520</v>
      </c>
      <c r="X523" s="88" t="s">
        <v>1520</v>
      </c>
      <c r="Y523" s="88" t="s">
        <v>1520</v>
      </c>
      <c r="Z523" s="88" t="s">
        <v>1520</v>
      </c>
      <c r="AA523" s="88" t="s">
        <v>1520</v>
      </c>
      <c r="AB523" s="88" t="s">
        <v>1519</v>
      </c>
      <c r="AC523" s="88" t="s">
        <v>1519</v>
      </c>
      <c r="AD523" s="89"/>
      <c r="AE523" s="18" t="s">
        <v>915</v>
      </c>
      <c r="AF523" s="24"/>
      <c r="AG523" s="24"/>
      <c r="AH523" s="24"/>
      <c r="AI523" s="24"/>
      <c r="AJ523" s="24"/>
      <c r="AK523" s="24"/>
      <c r="AL523" s="24"/>
      <c r="AM523" s="24"/>
    </row>
    <row r="524">
      <c r="A524" s="11"/>
      <c r="B524" s="12" t="s">
        <v>7</v>
      </c>
      <c r="C524" s="12" t="s">
        <v>8</v>
      </c>
      <c r="D524" s="12" t="s">
        <v>9</v>
      </c>
      <c r="E524" s="12" t="s">
        <v>10</v>
      </c>
      <c r="F524" s="13" t="s">
        <v>11</v>
      </c>
      <c r="G524" s="12" t="s">
        <v>68</v>
      </c>
      <c r="H524" s="12" t="s">
        <v>911</v>
      </c>
      <c r="I524" s="12" t="s">
        <v>912</v>
      </c>
      <c r="J524" s="17" t="s">
        <v>108</v>
      </c>
      <c r="K524" s="17" t="str">
        <f>IFERROR(__xludf.DUMMYFUNCTION("CONCATENATE(REGEXEXTRACT(J524,""[\d]+""),"" años"")"),"5 años")</f>
        <v>5 años</v>
      </c>
      <c r="L524" s="17" t="s">
        <v>1979</v>
      </c>
      <c r="M524" s="20">
        <v>45838.0</v>
      </c>
      <c r="N524" s="17" t="s">
        <v>194</v>
      </c>
      <c r="O524" s="88" t="s">
        <v>1520</v>
      </c>
      <c r="P524" s="88" t="s">
        <v>1520</v>
      </c>
      <c r="Q524" s="88" t="s">
        <v>1520</v>
      </c>
      <c r="R524" s="88" t="s">
        <v>1520</v>
      </c>
      <c r="S524" s="88" t="s">
        <v>1519</v>
      </c>
      <c r="T524" s="88" t="s">
        <v>1519</v>
      </c>
      <c r="U524" s="88" t="s">
        <v>1520</v>
      </c>
      <c r="V524" s="88" t="s">
        <v>1520</v>
      </c>
      <c r="W524" s="88" t="s">
        <v>1520</v>
      </c>
      <c r="X524" s="88" t="s">
        <v>1519</v>
      </c>
      <c r="Y524" s="88" t="s">
        <v>1519</v>
      </c>
      <c r="Z524" s="88" t="s">
        <v>1519</v>
      </c>
      <c r="AA524" s="88" t="s">
        <v>1520</v>
      </c>
      <c r="AB524" s="88" t="s">
        <v>1520</v>
      </c>
      <c r="AC524" s="88" t="s">
        <v>1520</v>
      </c>
      <c r="AD524" s="89"/>
      <c r="AE524" s="18" t="s">
        <v>915</v>
      </c>
      <c r="AF524" s="24"/>
      <c r="AG524" s="24"/>
      <c r="AH524" s="24"/>
      <c r="AI524" s="24"/>
      <c r="AJ524" s="24"/>
      <c r="AK524" s="24"/>
      <c r="AL524" s="24"/>
      <c r="AM524" s="24"/>
    </row>
    <row r="525">
      <c r="A525" s="11"/>
      <c r="B525" s="12" t="s">
        <v>7</v>
      </c>
      <c r="C525" s="12" t="s">
        <v>8</v>
      </c>
      <c r="D525" s="12" t="s">
        <v>9</v>
      </c>
      <c r="E525" s="12" t="s">
        <v>10</v>
      </c>
      <c r="F525" s="13" t="s">
        <v>11</v>
      </c>
      <c r="G525" s="12" t="s">
        <v>68</v>
      </c>
      <c r="H525" s="12" t="s">
        <v>911</v>
      </c>
      <c r="I525" s="12" t="s">
        <v>912</v>
      </c>
      <c r="J525" s="17" t="s">
        <v>108</v>
      </c>
      <c r="K525" s="17" t="str">
        <f>IFERROR(__xludf.DUMMYFUNCTION("CONCATENATE(REGEXEXTRACT(J525,""[\d]+""),"" años"")"),"5 años")</f>
        <v>5 años</v>
      </c>
      <c r="L525" s="17" t="s">
        <v>1980</v>
      </c>
      <c r="M525" s="20">
        <v>45838.0</v>
      </c>
      <c r="N525" s="17" t="s">
        <v>194</v>
      </c>
      <c r="O525" s="88" t="s">
        <v>1519</v>
      </c>
      <c r="P525" s="88" t="s">
        <v>1519</v>
      </c>
      <c r="Q525" s="88" t="s">
        <v>1519</v>
      </c>
      <c r="R525" s="88" t="s">
        <v>1520</v>
      </c>
      <c r="S525" s="88" t="s">
        <v>1519</v>
      </c>
      <c r="T525" s="88" t="s">
        <v>1519</v>
      </c>
      <c r="U525" s="88" t="s">
        <v>1520</v>
      </c>
      <c r="V525" s="88" t="s">
        <v>1520</v>
      </c>
      <c r="W525" s="88" t="s">
        <v>1520</v>
      </c>
      <c r="X525" s="88" t="s">
        <v>1519</v>
      </c>
      <c r="Y525" s="88" t="s">
        <v>1519</v>
      </c>
      <c r="Z525" s="88" t="s">
        <v>1519</v>
      </c>
      <c r="AA525" s="88" t="s">
        <v>1520</v>
      </c>
      <c r="AB525" s="88" t="s">
        <v>1519</v>
      </c>
      <c r="AC525" s="88" t="s">
        <v>1519</v>
      </c>
      <c r="AD525" s="89"/>
      <c r="AE525" s="18" t="s">
        <v>915</v>
      </c>
      <c r="AF525" s="24"/>
      <c r="AG525" s="24"/>
      <c r="AH525" s="24"/>
      <c r="AI525" s="24"/>
      <c r="AJ525" s="24"/>
      <c r="AK525" s="24"/>
      <c r="AL525" s="24"/>
      <c r="AM525" s="24"/>
    </row>
    <row r="526">
      <c r="A526" s="11"/>
      <c r="B526" s="12" t="s">
        <v>7</v>
      </c>
      <c r="C526" s="12" t="s">
        <v>8</v>
      </c>
      <c r="D526" s="12" t="s">
        <v>9</v>
      </c>
      <c r="E526" s="12" t="s">
        <v>10</v>
      </c>
      <c r="F526" s="13" t="s">
        <v>11</v>
      </c>
      <c r="G526" s="12" t="s">
        <v>68</v>
      </c>
      <c r="H526" s="12" t="s">
        <v>911</v>
      </c>
      <c r="I526" s="12" t="s">
        <v>912</v>
      </c>
      <c r="J526" s="17" t="s">
        <v>108</v>
      </c>
      <c r="K526" s="17" t="str">
        <f>IFERROR(__xludf.DUMMYFUNCTION("CONCATENATE(REGEXEXTRACT(J526,""[\d]+""),"" años"")"),"5 años")</f>
        <v>5 años</v>
      </c>
      <c r="L526" s="17" t="s">
        <v>1981</v>
      </c>
      <c r="M526" s="20">
        <v>45838.0</v>
      </c>
      <c r="N526" s="17" t="s">
        <v>194</v>
      </c>
      <c r="O526" s="88" t="s">
        <v>1519</v>
      </c>
      <c r="P526" s="88" t="s">
        <v>1519</v>
      </c>
      <c r="Q526" s="88" t="s">
        <v>1519</v>
      </c>
      <c r="R526" s="88" t="s">
        <v>1520</v>
      </c>
      <c r="S526" s="88" t="s">
        <v>1519</v>
      </c>
      <c r="T526" s="88" t="s">
        <v>1519</v>
      </c>
      <c r="U526" s="88" t="s">
        <v>1520</v>
      </c>
      <c r="V526" s="88" t="s">
        <v>1520</v>
      </c>
      <c r="W526" s="88" t="s">
        <v>1520</v>
      </c>
      <c r="X526" s="88" t="s">
        <v>1519</v>
      </c>
      <c r="Y526" s="88" t="s">
        <v>1519</v>
      </c>
      <c r="Z526" s="88" t="s">
        <v>1519</v>
      </c>
      <c r="AA526" s="88" t="s">
        <v>1520</v>
      </c>
      <c r="AB526" s="88" t="s">
        <v>1520</v>
      </c>
      <c r="AC526" s="88" t="s">
        <v>1520</v>
      </c>
      <c r="AD526" s="89"/>
      <c r="AE526" s="18" t="s">
        <v>915</v>
      </c>
      <c r="AF526" s="24"/>
      <c r="AG526" s="24"/>
      <c r="AH526" s="24"/>
      <c r="AI526" s="24"/>
      <c r="AJ526" s="24"/>
      <c r="AK526" s="24"/>
      <c r="AL526" s="24"/>
      <c r="AM526" s="24"/>
    </row>
    <row r="527">
      <c r="A527" s="11"/>
      <c r="B527" s="12" t="s">
        <v>7</v>
      </c>
      <c r="C527" s="12" t="s">
        <v>8</v>
      </c>
      <c r="D527" s="12" t="s">
        <v>9</v>
      </c>
      <c r="E527" s="12" t="s">
        <v>10</v>
      </c>
      <c r="F527" s="13" t="s">
        <v>11</v>
      </c>
      <c r="G527" s="12" t="s">
        <v>68</v>
      </c>
      <c r="H527" s="12" t="s">
        <v>911</v>
      </c>
      <c r="I527" s="12" t="s">
        <v>912</v>
      </c>
      <c r="J527" s="17" t="s">
        <v>108</v>
      </c>
      <c r="K527" s="17" t="str">
        <f>IFERROR(__xludf.DUMMYFUNCTION("CONCATENATE(REGEXEXTRACT(J527,""[\d]+""),"" años"")"),"5 años")</f>
        <v>5 años</v>
      </c>
      <c r="L527" s="17" t="s">
        <v>1982</v>
      </c>
      <c r="M527" s="20">
        <v>45838.0</v>
      </c>
      <c r="N527" s="17" t="s">
        <v>194</v>
      </c>
      <c r="O527" s="88" t="s">
        <v>1519</v>
      </c>
      <c r="P527" s="88" t="s">
        <v>1519</v>
      </c>
      <c r="Q527" s="88" t="s">
        <v>1519</v>
      </c>
      <c r="R527" s="88" t="s">
        <v>1520</v>
      </c>
      <c r="S527" s="88" t="s">
        <v>1519</v>
      </c>
      <c r="T527" s="88" t="s">
        <v>1519</v>
      </c>
      <c r="U527" s="88" t="s">
        <v>1520</v>
      </c>
      <c r="V527" s="88" t="s">
        <v>1520</v>
      </c>
      <c r="W527" s="88" t="s">
        <v>1520</v>
      </c>
      <c r="X527" s="88" t="s">
        <v>1519</v>
      </c>
      <c r="Y527" s="88" t="s">
        <v>1519</v>
      </c>
      <c r="Z527" s="88" t="s">
        <v>1519</v>
      </c>
      <c r="AA527" s="88" t="s">
        <v>1520</v>
      </c>
      <c r="AB527" s="88" t="s">
        <v>1520</v>
      </c>
      <c r="AC527" s="88" t="s">
        <v>1520</v>
      </c>
      <c r="AD527" s="89"/>
      <c r="AE527" s="18" t="s">
        <v>915</v>
      </c>
      <c r="AF527" s="24"/>
      <c r="AG527" s="24"/>
      <c r="AH527" s="24"/>
      <c r="AI527" s="24"/>
      <c r="AJ527" s="24"/>
      <c r="AK527" s="24"/>
      <c r="AL527" s="24"/>
      <c r="AM527" s="24"/>
    </row>
    <row r="528">
      <c r="A528" s="11"/>
      <c r="B528" s="12" t="s">
        <v>7</v>
      </c>
      <c r="C528" s="12" t="s">
        <v>8</v>
      </c>
      <c r="D528" s="12" t="s">
        <v>9</v>
      </c>
      <c r="E528" s="12" t="s">
        <v>10</v>
      </c>
      <c r="F528" s="13" t="s">
        <v>11</v>
      </c>
      <c r="G528" s="12" t="s">
        <v>68</v>
      </c>
      <c r="H528" s="12" t="s">
        <v>911</v>
      </c>
      <c r="I528" s="12" t="s">
        <v>912</v>
      </c>
      <c r="J528" s="17" t="s">
        <v>73</v>
      </c>
      <c r="K528" s="17" t="str">
        <f>IFERROR(__xludf.DUMMYFUNCTION("CONCATENATE(REGEXEXTRACT(J528,""[\d]+""),"" años"")"),"3 años")</f>
        <v>3 años</v>
      </c>
      <c r="L528" s="17" t="s">
        <v>1983</v>
      </c>
      <c r="M528" s="20">
        <v>45838.0</v>
      </c>
      <c r="N528" s="17" t="s">
        <v>194</v>
      </c>
      <c r="O528" s="88" t="s">
        <v>1520</v>
      </c>
      <c r="P528" s="88" t="s">
        <v>1520</v>
      </c>
      <c r="Q528" s="88" t="s">
        <v>1520</v>
      </c>
      <c r="R528" s="88" t="s">
        <v>1521</v>
      </c>
      <c r="S528" s="88" t="s">
        <v>1520</v>
      </c>
      <c r="T528" s="88" t="s">
        <v>1520</v>
      </c>
      <c r="U528" s="88" t="s">
        <v>1520</v>
      </c>
      <c r="V528" s="88" t="s">
        <v>1520</v>
      </c>
      <c r="W528" s="88" t="s">
        <v>1520</v>
      </c>
      <c r="X528" s="88" t="s">
        <v>1520</v>
      </c>
      <c r="Y528" s="88" t="s">
        <v>1520</v>
      </c>
      <c r="Z528" s="88" t="s">
        <v>1520</v>
      </c>
      <c r="AA528" s="88" t="s">
        <v>1520</v>
      </c>
      <c r="AB528" s="88" t="s">
        <v>1520</v>
      </c>
      <c r="AC528" s="88" t="s">
        <v>1520</v>
      </c>
      <c r="AD528" s="89"/>
      <c r="AE528" s="18" t="s">
        <v>915</v>
      </c>
      <c r="AF528" s="24"/>
      <c r="AG528" s="24"/>
      <c r="AH528" s="24"/>
      <c r="AI528" s="24"/>
      <c r="AJ528" s="24"/>
      <c r="AK528" s="24"/>
      <c r="AL528" s="24"/>
      <c r="AM528" s="24"/>
    </row>
    <row r="529">
      <c r="A529" s="11"/>
      <c r="B529" s="12" t="s">
        <v>7</v>
      </c>
      <c r="C529" s="12" t="s">
        <v>8</v>
      </c>
      <c r="D529" s="12" t="s">
        <v>9</v>
      </c>
      <c r="E529" s="12" t="s">
        <v>10</v>
      </c>
      <c r="F529" s="13" t="s">
        <v>11</v>
      </c>
      <c r="G529" s="12" t="s">
        <v>68</v>
      </c>
      <c r="H529" s="12" t="s">
        <v>911</v>
      </c>
      <c r="I529" s="12" t="s">
        <v>912</v>
      </c>
      <c r="J529" s="17" t="s">
        <v>73</v>
      </c>
      <c r="K529" s="2" t="str">
        <f>IFERROR(__xludf.DUMMYFUNCTION("CONCATENATE(REGEXEXTRACT(J529,""[\d]+""),"" años"")"),"3 años")</f>
        <v>3 años</v>
      </c>
      <c r="L529" s="17" t="s">
        <v>1984</v>
      </c>
      <c r="M529" s="20">
        <v>45838.0</v>
      </c>
      <c r="N529" s="17" t="s">
        <v>194</v>
      </c>
      <c r="O529" s="88" t="s">
        <v>1520</v>
      </c>
      <c r="P529" s="88" t="s">
        <v>1520</v>
      </c>
      <c r="Q529" s="88" t="s">
        <v>1520</v>
      </c>
      <c r="R529" s="88" t="s">
        <v>1521</v>
      </c>
      <c r="S529" s="88" t="s">
        <v>1519</v>
      </c>
      <c r="T529" s="88" t="s">
        <v>1519</v>
      </c>
      <c r="U529" s="88" t="s">
        <v>1520</v>
      </c>
      <c r="V529" s="88" t="s">
        <v>1520</v>
      </c>
      <c r="W529" s="88" t="s">
        <v>1520</v>
      </c>
      <c r="X529" s="88" t="s">
        <v>1520</v>
      </c>
      <c r="Y529" s="88" t="s">
        <v>1520</v>
      </c>
      <c r="Z529" s="88" t="s">
        <v>1520</v>
      </c>
      <c r="AA529" s="88" t="s">
        <v>1520</v>
      </c>
      <c r="AB529" s="88" t="s">
        <v>1520</v>
      </c>
      <c r="AC529" s="88" t="s">
        <v>1520</v>
      </c>
      <c r="AD529" s="89"/>
      <c r="AE529" s="18" t="s">
        <v>915</v>
      </c>
      <c r="AF529" s="24"/>
      <c r="AG529" s="24"/>
      <c r="AH529" s="24"/>
      <c r="AI529" s="24"/>
      <c r="AJ529" s="24"/>
      <c r="AK529" s="24"/>
      <c r="AL529" s="24"/>
      <c r="AM529" s="24"/>
    </row>
    <row r="530">
      <c r="A530" s="11"/>
      <c r="B530" s="12" t="s">
        <v>7</v>
      </c>
      <c r="C530" s="12" t="s">
        <v>8</v>
      </c>
      <c r="D530" s="12" t="s">
        <v>9</v>
      </c>
      <c r="E530" s="12" t="s">
        <v>10</v>
      </c>
      <c r="F530" s="13" t="s">
        <v>11</v>
      </c>
      <c r="G530" s="12" t="s">
        <v>68</v>
      </c>
      <c r="H530" s="12" t="s">
        <v>911</v>
      </c>
      <c r="I530" s="12" t="s">
        <v>912</v>
      </c>
      <c r="J530" s="17" t="s">
        <v>73</v>
      </c>
      <c r="K530" s="2" t="str">
        <f>IFERROR(__xludf.DUMMYFUNCTION("CONCATENATE(REGEXEXTRACT(J530,""[\d]+""),"" años"")"),"3 años")</f>
        <v>3 años</v>
      </c>
      <c r="L530" s="17" t="s">
        <v>1985</v>
      </c>
      <c r="M530" s="20">
        <v>45838.0</v>
      </c>
      <c r="N530" s="17" t="s">
        <v>194</v>
      </c>
      <c r="O530" s="88" t="s">
        <v>1520</v>
      </c>
      <c r="P530" s="88" t="s">
        <v>1520</v>
      </c>
      <c r="Q530" s="88" t="s">
        <v>1520</v>
      </c>
      <c r="R530" s="88" t="s">
        <v>1521</v>
      </c>
      <c r="S530" s="88" t="s">
        <v>1519</v>
      </c>
      <c r="T530" s="88" t="s">
        <v>1519</v>
      </c>
      <c r="U530" s="88" t="s">
        <v>1520</v>
      </c>
      <c r="V530" s="88" t="s">
        <v>1520</v>
      </c>
      <c r="W530" s="88" t="s">
        <v>1520</v>
      </c>
      <c r="X530" s="88" t="s">
        <v>1520</v>
      </c>
      <c r="Y530" s="88" t="s">
        <v>1520</v>
      </c>
      <c r="Z530" s="88" t="s">
        <v>1520</v>
      </c>
      <c r="AA530" s="88" t="s">
        <v>1520</v>
      </c>
      <c r="AB530" s="88" t="s">
        <v>1520</v>
      </c>
      <c r="AC530" s="88" t="s">
        <v>1520</v>
      </c>
      <c r="AD530" s="89"/>
      <c r="AE530" s="18" t="s">
        <v>915</v>
      </c>
      <c r="AF530" s="24"/>
      <c r="AG530" s="24"/>
      <c r="AH530" s="24"/>
      <c r="AI530" s="24"/>
      <c r="AJ530" s="24"/>
      <c r="AK530" s="24"/>
      <c r="AL530" s="24"/>
      <c r="AM530" s="24"/>
    </row>
    <row r="531">
      <c r="A531" s="11"/>
      <c r="B531" s="12" t="s">
        <v>7</v>
      </c>
      <c r="C531" s="12" t="s">
        <v>8</v>
      </c>
      <c r="D531" s="12" t="s">
        <v>9</v>
      </c>
      <c r="E531" s="12" t="s">
        <v>10</v>
      </c>
      <c r="F531" s="13" t="s">
        <v>11</v>
      </c>
      <c r="G531" s="12" t="s">
        <v>68</v>
      </c>
      <c r="H531" s="12" t="s">
        <v>911</v>
      </c>
      <c r="I531" s="12" t="s">
        <v>912</v>
      </c>
      <c r="J531" s="17" t="s">
        <v>73</v>
      </c>
      <c r="K531" s="2" t="str">
        <f>IFERROR(__xludf.DUMMYFUNCTION("CONCATENATE(REGEXEXTRACT(J531,""[\d]+""),"" años"")"),"3 años")</f>
        <v>3 años</v>
      </c>
      <c r="L531" s="17" t="s">
        <v>1986</v>
      </c>
      <c r="M531" s="20">
        <v>45838.0</v>
      </c>
      <c r="N531" s="17" t="s">
        <v>194</v>
      </c>
      <c r="O531" s="88" t="s">
        <v>1520</v>
      </c>
      <c r="P531" s="88" t="s">
        <v>1520</v>
      </c>
      <c r="Q531" s="88" t="s">
        <v>1520</v>
      </c>
      <c r="R531" s="88" t="s">
        <v>1521</v>
      </c>
      <c r="S531" s="88" t="s">
        <v>1519</v>
      </c>
      <c r="T531" s="88" t="s">
        <v>1519</v>
      </c>
      <c r="U531" s="88" t="s">
        <v>1520</v>
      </c>
      <c r="V531" s="88" t="s">
        <v>1520</v>
      </c>
      <c r="W531" s="88" t="s">
        <v>1520</v>
      </c>
      <c r="X531" s="88" t="s">
        <v>1520</v>
      </c>
      <c r="Y531" s="88" t="s">
        <v>1520</v>
      </c>
      <c r="Z531" s="88" t="s">
        <v>1520</v>
      </c>
      <c r="AA531" s="88" t="s">
        <v>1520</v>
      </c>
      <c r="AB531" s="88" t="s">
        <v>1520</v>
      </c>
      <c r="AC531" s="88" t="s">
        <v>1520</v>
      </c>
      <c r="AD531" s="89"/>
      <c r="AE531" s="18" t="s">
        <v>915</v>
      </c>
      <c r="AF531" s="24"/>
      <c r="AG531" s="24"/>
      <c r="AH531" s="24"/>
      <c r="AI531" s="24"/>
      <c r="AJ531" s="24"/>
      <c r="AK531" s="24"/>
      <c r="AL531" s="24"/>
      <c r="AM531" s="24"/>
    </row>
    <row r="532">
      <c r="A532" s="11"/>
      <c r="B532" s="12" t="s">
        <v>7</v>
      </c>
      <c r="C532" s="12" t="s">
        <v>8</v>
      </c>
      <c r="D532" s="12" t="s">
        <v>9</v>
      </c>
      <c r="E532" s="12" t="s">
        <v>10</v>
      </c>
      <c r="F532" s="13" t="s">
        <v>11</v>
      </c>
      <c r="G532" s="12" t="s">
        <v>68</v>
      </c>
      <c r="H532" s="12" t="s">
        <v>911</v>
      </c>
      <c r="I532" s="12" t="s">
        <v>912</v>
      </c>
      <c r="J532" s="17" t="s">
        <v>73</v>
      </c>
      <c r="K532" s="2" t="str">
        <f>IFERROR(__xludf.DUMMYFUNCTION("CONCATENATE(REGEXEXTRACT(J532,""[\d]+""),"" años"")"),"3 años")</f>
        <v>3 años</v>
      </c>
      <c r="L532" s="17" t="s">
        <v>1987</v>
      </c>
      <c r="M532" s="20">
        <v>45838.0</v>
      </c>
      <c r="N532" s="17" t="s">
        <v>194</v>
      </c>
      <c r="O532" s="88" t="s">
        <v>1520</v>
      </c>
      <c r="P532" s="88" t="s">
        <v>1520</v>
      </c>
      <c r="Q532" s="88" t="s">
        <v>1520</v>
      </c>
      <c r="R532" s="88" t="s">
        <v>1521</v>
      </c>
      <c r="S532" s="88" t="s">
        <v>1519</v>
      </c>
      <c r="T532" s="88" t="s">
        <v>1519</v>
      </c>
      <c r="U532" s="88" t="s">
        <v>1520</v>
      </c>
      <c r="V532" s="88" t="s">
        <v>1520</v>
      </c>
      <c r="W532" s="88" t="s">
        <v>1520</v>
      </c>
      <c r="X532" s="88" t="s">
        <v>1520</v>
      </c>
      <c r="Y532" s="88" t="s">
        <v>1520</v>
      </c>
      <c r="Z532" s="88" t="s">
        <v>1520</v>
      </c>
      <c r="AA532" s="88" t="s">
        <v>1520</v>
      </c>
      <c r="AB532" s="88" t="s">
        <v>1520</v>
      </c>
      <c r="AC532" s="88" t="s">
        <v>1520</v>
      </c>
      <c r="AD532" s="89"/>
      <c r="AE532" s="18" t="s">
        <v>915</v>
      </c>
      <c r="AF532" s="24"/>
      <c r="AG532" s="24"/>
      <c r="AH532" s="24"/>
      <c r="AI532" s="24"/>
      <c r="AJ532" s="24"/>
      <c r="AK532" s="24"/>
      <c r="AL532" s="24"/>
      <c r="AM532" s="24"/>
    </row>
    <row r="533">
      <c r="A533" s="11"/>
      <c r="B533" s="12" t="s">
        <v>7</v>
      </c>
      <c r="C533" s="12" t="s">
        <v>8</v>
      </c>
      <c r="D533" s="12" t="s">
        <v>9</v>
      </c>
      <c r="E533" s="12" t="s">
        <v>10</v>
      </c>
      <c r="F533" s="13" t="s">
        <v>11</v>
      </c>
      <c r="G533" s="12" t="s">
        <v>68</v>
      </c>
      <c r="H533" s="12" t="s">
        <v>911</v>
      </c>
      <c r="I533" s="12" t="s">
        <v>912</v>
      </c>
      <c r="J533" s="17" t="s">
        <v>112</v>
      </c>
      <c r="K533" s="2" t="str">
        <f>IFERROR(__xludf.DUMMYFUNCTION("CONCATENATE(REGEXEXTRACT(J533,""[\d]+""),"" años"")"),"4 años")</f>
        <v>4 años</v>
      </c>
      <c r="L533" s="17" t="s">
        <v>1988</v>
      </c>
      <c r="M533" s="20">
        <v>45838.0</v>
      </c>
      <c r="N533" s="17" t="s">
        <v>194</v>
      </c>
      <c r="O533" s="88" t="s">
        <v>1520</v>
      </c>
      <c r="P533" s="88" t="s">
        <v>1520</v>
      </c>
      <c r="Q533" s="88" t="s">
        <v>1520</v>
      </c>
      <c r="R533" s="88" t="s">
        <v>1521</v>
      </c>
      <c r="S533" s="88" t="s">
        <v>1520</v>
      </c>
      <c r="T533" s="88" t="s">
        <v>1520</v>
      </c>
      <c r="U533" s="88" t="s">
        <v>1520</v>
      </c>
      <c r="V533" s="88" t="s">
        <v>1520</v>
      </c>
      <c r="W533" s="88" t="s">
        <v>1520</v>
      </c>
      <c r="X533" s="88" t="s">
        <v>1521</v>
      </c>
      <c r="Y533" s="88" t="s">
        <v>1521</v>
      </c>
      <c r="Z533" s="88" t="s">
        <v>1521</v>
      </c>
      <c r="AA533" s="88" t="s">
        <v>1520</v>
      </c>
      <c r="AB533" s="88" t="s">
        <v>1520</v>
      </c>
      <c r="AC533" s="88" t="s">
        <v>1520</v>
      </c>
      <c r="AD533" s="89"/>
      <c r="AE533" s="18" t="s">
        <v>915</v>
      </c>
      <c r="AF533" s="24"/>
      <c r="AG533" s="24"/>
      <c r="AH533" s="24"/>
      <c r="AI533" s="24"/>
      <c r="AJ533" s="24"/>
      <c r="AK533" s="24"/>
      <c r="AL533" s="24"/>
      <c r="AM533" s="24"/>
    </row>
    <row r="534">
      <c r="A534" s="11"/>
      <c r="B534" s="12" t="s">
        <v>7</v>
      </c>
      <c r="C534" s="12" t="s">
        <v>8</v>
      </c>
      <c r="D534" s="12" t="s">
        <v>9</v>
      </c>
      <c r="E534" s="12" t="s">
        <v>10</v>
      </c>
      <c r="F534" s="13" t="s">
        <v>11</v>
      </c>
      <c r="G534" s="12" t="s">
        <v>68</v>
      </c>
      <c r="H534" s="12" t="s">
        <v>911</v>
      </c>
      <c r="I534" s="12" t="s">
        <v>912</v>
      </c>
      <c r="J534" s="17" t="s">
        <v>112</v>
      </c>
      <c r="K534" s="2" t="str">
        <f>IFERROR(__xludf.DUMMYFUNCTION("CONCATENATE(REGEXEXTRACT(J534,""[\d]+""),"" años"")"),"4 años")</f>
        <v>4 años</v>
      </c>
      <c r="L534" s="17" t="s">
        <v>1989</v>
      </c>
      <c r="M534" s="20">
        <v>45838.0</v>
      </c>
      <c r="N534" s="17" t="s">
        <v>194</v>
      </c>
      <c r="O534" s="88" t="s">
        <v>1519</v>
      </c>
      <c r="P534" s="88" t="s">
        <v>1519</v>
      </c>
      <c r="Q534" s="88" t="s">
        <v>1520</v>
      </c>
      <c r="R534" s="88" t="s">
        <v>1521</v>
      </c>
      <c r="S534" s="88" t="s">
        <v>1519</v>
      </c>
      <c r="T534" s="88" t="s">
        <v>1519</v>
      </c>
      <c r="U534" s="88" t="s">
        <v>1520</v>
      </c>
      <c r="V534" s="88" t="s">
        <v>1520</v>
      </c>
      <c r="W534" s="88" t="s">
        <v>1520</v>
      </c>
      <c r="X534" s="88" t="s">
        <v>1520</v>
      </c>
      <c r="Y534" s="88" t="s">
        <v>1520</v>
      </c>
      <c r="Z534" s="88" t="s">
        <v>1520</v>
      </c>
      <c r="AA534" s="88" t="s">
        <v>1520</v>
      </c>
      <c r="AB534" s="88" t="s">
        <v>1520</v>
      </c>
      <c r="AC534" s="88" t="s">
        <v>1520</v>
      </c>
      <c r="AD534" s="89"/>
      <c r="AE534" s="18" t="s">
        <v>915</v>
      </c>
      <c r="AF534" s="24"/>
      <c r="AG534" s="24"/>
      <c r="AH534" s="24"/>
      <c r="AI534" s="24"/>
      <c r="AJ534" s="24"/>
      <c r="AK534" s="24"/>
      <c r="AL534" s="24"/>
      <c r="AM534" s="24"/>
    </row>
    <row r="535">
      <c r="A535" s="11"/>
      <c r="B535" s="12" t="s">
        <v>7</v>
      </c>
      <c r="C535" s="12" t="s">
        <v>8</v>
      </c>
      <c r="D535" s="12" t="s">
        <v>15</v>
      </c>
      <c r="E535" s="12" t="s">
        <v>21</v>
      </c>
      <c r="F535" s="13" t="s">
        <v>19</v>
      </c>
      <c r="G535" s="12" t="s">
        <v>68</v>
      </c>
      <c r="H535" s="12" t="s">
        <v>968</v>
      </c>
      <c r="I535" s="12" t="s">
        <v>969</v>
      </c>
      <c r="J535" s="17" t="s">
        <v>108</v>
      </c>
      <c r="K535" s="17" t="str">
        <f>IFERROR(__xludf.DUMMYFUNCTION("CONCATENATE(REGEXEXTRACT(J535,""[\d]+""),"" años"")"),"5 años")</f>
        <v>5 años</v>
      </c>
      <c r="L535" s="17" t="s">
        <v>1990</v>
      </c>
      <c r="M535" s="19">
        <v>45833.0</v>
      </c>
      <c r="N535" s="17" t="s">
        <v>194</v>
      </c>
      <c r="O535" s="88" t="s">
        <v>1520</v>
      </c>
      <c r="P535" s="88" t="s">
        <v>1520</v>
      </c>
      <c r="Q535" s="88" t="s">
        <v>1520</v>
      </c>
      <c r="R535" s="88" t="s">
        <v>1521</v>
      </c>
      <c r="S535" s="88" t="s">
        <v>1519</v>
      </c>
      <c r="T535" s="88" t="s">
        <v>1519</v>
      </c>
      <c r="U535" s="88" t="s">
        <v>1519</v>
      </c>
      <c r="V535" s="88" t="s">
        <v>1519</v>
      </c>
      <c r="W535" s="88" t="s">
        <v>1520</v>
      </c>
      <c r="X535" s="88" t="s">
        <v>1520</v>
      </c>
      <c r="Y535" s="88" t="s">
        <v>1520</v>
      </c>
      <c r="Z535" s="88" t="s">
        <v>1520</v>
      </c>
      <c r="AA535" s="88" t="s">
        <v>1520</v>
      </c>
      <c r="AB535" s="88" t="s">
        <v>1520</v>
      </c>
      <c r="AC535" s="88" t="s">
        <v>1520</v>
      </c>
      <c r="AD535" s="89"/>
      <c r="AE535" s="18" t="s">
        <v>915</v>
      </c>
      <c r="AF535" s="24"/>
      <c r="AG535" s="24"/>
      <c r="AH535" s="24"/>
      <c r="AI535" s="24"/>
      <c r="AJ535" s="24"/>
      <c r="AK535" s="24"/>
      <c r="AL535" s="24"/>
      <c r="AM535" s="24"/>
    </row>
    <row r="536">
      <c r="A536" s="11"/>
      <c r="B536" s="12" t="s">
        <v>7</v>
      </c>
      <c r="C536" s="12" t="s">
        <v>8</v>
      </c>
      <c r="D536" s="12" t="s">
        <v>15</v>
      </c>
      <c r="E536" s="12" t="s">
        <v>21</v>
      </c>
      <c r="F536" s="13" t="s">
        <v>19</v>
      </c>
      <c r="G536" s="12" t="s">
        <v>68</v>
      </c>
      <c r="H536" s="12" t="s">
        <v>968</v>
      </c>
      <c r="I536" s="12" t="s">
        <v>969</v>
      </c>
      <c r="J536" s="17" t="s">
        <v>108</v>
      </c>
      <c r="K536" s="2" t="str">
        <f>IFERROR(__xludf.DUMMYFUNCTION("CONCATENATE(REGEXEXTRACT(J536,""[\d]+""),"" años"")"),"5 años")</f>
        <v>5 años</v>
      </c>
      <c r="L536" s="17" t="s">
        <v>1991</v>
      </c>
      <c r="M536" s="19">
        <v>45833.0</v>
      </c>
      <c r="N536" s="17" t="s">
        <v>194</v>
      </c>
      <c r="O536" s="88" t="s">
        <v>1520</v>
      </c>
      <c r="P536" s="88" t="s">
        <v>1520</v>
      </c>
      <c r="Q536" s="88" t="s">
        <v>1520</v>
      </c>
      <c r="R536" s="88" t="s">
        <v>1521</v>
      </c>
      <c r="S536" s="88" t="s">
        <v>1519</v>
      </c>
      <c r="T536" s="88" t="s">
        <v>1519</v>
      </c>
      <c r="U536" s="88" t="s">
        <v>1519</v>
      </c>
      <c r="V536" s="88" t="s">
        <v>1519</v>
      </c>
      <c r="W536" s="88" t="s">
        <v>1520</v>
      </c>
      <c r="X536" s="88" t="s">
        <v>1520</v>
      </c>
      <c r="Y536" s="88" t="s">
        <v>1520</v>
      </c>
      <c r="Z536" s="88" t="s">
        <v>1520</v>
      </c>
      <c r="AA536" s="88" t="s">
        <v>1520</v>
      </c>
      <c r="AB536" s="88" t="s">
        <v>1520</v>
      </c>
      <c r="AC536" s="88" t="s">
        <v>1520</v>
      </c>
      <c r="AD536" s="89"/>
      <c r="AE536" s="18" t="s">
        <v>915</v>
      </c>
      <c r="AF536" s="24"/>
      <c r="AG536" s="24"/>
      <c r="AH536" s="24"/>
      <c r="AI536" s="24"/>
      <c r="AJ536" s="24"/>
      <c r="AK536" s="24"/>
      <c r="AL536" s="24"/>
      <c r="AM536" s="24"/>
    </row>
    <row r="537">
      <c r="A537" s="11"/>
      <c r="B537" s="12" t="s">
        <v>7</v>
      </c>
      <c r="C537" s="12" t="s">
        <v>8</v>
      </c>
      <c r="D537" s="12" t="s">
        <v>15</v>
      </c>
      <c r="E537" s="12" t="s">
        <v>21</v>
      </c>
      <c r="F537" s="13" t="s">
        <v>19</v>
      </c>
      <c r="G537" s="12" t="s">
        <v>68</v>
      </c>
      <c r="H537" s="12" t="s">
        <v>968</v>
      </c>
      <c r="I537" s="12" t="s">
        <v>969</v>
      </c>
      <c r="J537" s="17" t="s">
        <v>108</v>
      </c>
      <c r="K537" s="2" t="str">
        <f>IFERROR(__xludf.DUMMYFUNCTION("CONCATENATE(REGEXEXTRACT(J537,""[\d]+""),"" años"")"),"5 años")</f>
        <v>5 años</v>
      </c>
      <c r="L537" s="17" t="s">
        <v>1992</v>
      </c>
      <c r="M537" s="19">
        <v>45833.0</v>
      </c>
      <c r="N537" s="17" t="s">
        <v>194</v>
      </c>
      <c r="O537" s="88" t="s">
        <v>1520</v>
      </c>
      <c r="P537" s="88" t="s">
        <v>1520</v>
      </c>
      <c r="Q537" s="88" t="s">
        <v>1520</v>
      </c>
      <c r="R537" s="88" t="s">
        <v>1521</v>
      </c>
      <c r="S537" s="88" t="s">
        <v>1519</v>
      </c>
      <c r="T537" s="88" t="s">
        <v>1519</v>
      </c>
      <c r="U537" s="88" t="s">
        <v>1519</v>
      </c>
      <c r="V537" s="88" t="s">
        <v>1519</v>
      </c>
      <c r="W537" s="88" t="s">
        <v>1520</v>
      </c>
      <c r="X537" s="88" t="s">
        <v>1520</v>
      </c>
      <c r="Y537" s="88" t="s">
        <v>1520</v>
      </c>
      <c r="Z537" s="88" t="s">
        <v>1520</v>
      </c>
      <c r="AA537" s="88" t="s">
        <v>1520</v>
      </c>
      <c r="AB537" s="88" t="s">
        <v>1520</v>
      </c>
      <c r="AC537" s="88" t="s">
        <v>1520</v>
      </c>
      <c r="AD537" s="89"/>
      <c r="AE537" s="18" t="s">
        <v>915</v>
      </c>
      <c r="AF537" s="24"/>
      <c r="AG537" s="24"/>
      <c r="AH537" s="24"/>
      <c r="AI537" s="24"/>
      <c r="AJ537" s="24"/>
      <c r="AK537" s="24"/>
      <c r="AL537" s="24"/>
      <c r="AM537" s="24"/>
    </row>
    <row r="538">
      <c r="A538" s="11"/>
      <c r="B538" s="12" t="s">
        <v>7</v>
      </c>
      <c r="C538" s="12" t="s">
        <v>8</v>
      </c>
      <c r="D538" s="12" t="s">
        <v>15</v>
      </c>
      <c r="E538" s="12" t="s">
        <v>21</v>
      </c>
      <c r="F538" s="13" t="s">
        <v>19</v>
      </c>
      <c r="G538" s="12" t="s">
        <v>68</v>
      </c>
      <c r="H538" s="12" t="s">
        <v>968</v>
      </c>
      <c r="I538" s="12" t="s">
        <v>969</v>
      </c>
      <c r="J538" s="17" t="s">
        <v>112</v>
      </c>
      <c r="K538" s="2" t="str">
        <f>IFERROR(__xludf.DUMMYFUNCTION("CONCATENATE(REGEXEXTRACT(J538,""[\d]+""),"" años"")"),"4 años")</f>
        <v>4 años</v>
      </c>
      <c r="L538" s="17" t="s">
        <v>1993</v>
      </c>
      <c r="M538" s="19">
        <v>45833.0</v>
      </c>
      <c r="N538" s="17" t="s">
        <v>194</v>
      </c>
      <c r="O538" s="88" t="s">
        <v>1520</v>
      </c>
      <c r="P538" s="88" t="s">
        <v>1520</v>
      </c>
      <c r="Q538" s="88" t="s">
        <v>1520</v>
      </c>
      <c r="R538" s="88" t="s">
        <v>1521</v>
      </c>
      <c r="S538" s="88" t="s">
        <v>1519</v>
      </c>
      <c r="T538" s="88" t="s">
        <v>1519</v>
      </c>
      <c r="U538" s="88" t="s">
        <v>1519</v>
      </c>
      <c r="V538" s="88" t="s">
        <v>1519</v>
      </c>
      <c r="W538" s="88" t="s">
        <v>1520</v>
      </c>
      <c r="X538" s="88" t="s">
        <v>1520</v>
      </c>
      <c r="Y538" s="88" t="s">
        <v>1520</v>
      </c>
      <c r="Z538" s="88" t="s">
        <v>1520</v>
      </c>
      <c r="AA538" s="88" t="s">
        <v>1520</v>
      </c>
      <c r="AB538" s="88" t="s">
        <v>1520</v>
      </c>
      <c r="AC538" s="88" t="s">
        <v>1520</v>
      </c>
      <c r="AD538" s="89"/>
      <c r="AE538" s="18" t="s">
        <v>915</v>
      </c>
      <c r="AF538" s="24"/>
      <c r="AG538" s="24"/>
      <c r="AH538" s="24"/>
      <c r="AI538" s="24"/>
      <c r="AJ538" s="24"/>
      <c r="AK538" s="24"/>
      <c r="AL538" s="24"/>
      <c r="AM538" s="24"/>
    </row>
    <row r="539">
      <c r="A539" s="11"/>
      <c r="B539" s="12" t="s">
        <v>7</v>
      </c>
      <c r="C539" s="12" t="s">
        <v>8</v>
      </c>
      <c r="D539" s="12" t="s">
        <v>15</v>
      </c>
      <c r="E539" s="12" t="s">
        <v>21</v>
      </c>
      <c r="F539" s="13" t="s">
        <v>19</v>
      </c>
      <c r="G539" s="12" t="s">
        <v>68</v>
      </c>
      <c r="H539" s="12" t="s">
        <v>968</v>
      </c>
      <c r="I539" s="12" t="s">
        <v>969</v>
      </c>
      <c r="J539" s="17" t="s">
        <v>73</v>
      </c>
      <c r="K539" s="2" t="str">
        <f>IFERROR(__xludf.DUMMYFUNCTION("CONCATENATE(REGEXEXTRACT(J539,""[\d]+""),"" años"")"),"3 años")</f>
        <v>3 años</v>
      </c>
      <c r="L539" s="17" t="s">
        <v>1994</v>
      </c>
      <c r="M539" s="19">
        <v>45833.0</v>
      </c>
      <c r="N539" s="17" t="s">
        <v>194</v>
      </c>
      <c r="O539" s="88" t="s">
        <v>1520</v>
      </c>
      <c r="P539" s="88" t="s">
        <v>1520</v>
      </c>
      <c r="Q539" s="88" t="s">
        <v>1520</v>
      </c>
      <c r="R539" s="88" t="s">
        <v>1521</v>
      </c>
      <c r="S539" s="88" t="s">
        <v>1520</v>
      </c>
      <c r="T539" s="88" t="s">
        <v>1520</v>
      </c>
      <c r="U539" s="88" t="s">
        <v>1520</v>
      </c>
      <c r="V539" s="88" t="s">
        <v>1520</v>
      </c>
      <c r="W539" s="88" t="s">
        <v>1520</v>
      </c>
      <c r="X539" s="88" t="s">
        <v>1520</v>
      </c>
      <c r="Y539" s="88" t="s">
        <v>1520</v>
      </c>
      <c r="Z539" s="88" t="s">
        <v>1520</v>
      </c>
      <c r="AA539" s="88" t="s">
        <v>1519</v>
      </c>
      <c r="AB539" s="88" t="s">
        <v>1519</v>
      </c>
      <c r="AC539" s="88" t="s">
        <v>1519</v>
      </c>
      <c r="AD539" s="89"/>
      <c r="AE539" s="18" t="s">
        <v>915</v>
      </c>
      <c r="AF539" s="24"/>
      <c r="AG539" s="24"/>
      <c r="AH539" s="24"/>
      <c r="AI539" s="24"/>
      <c r="AJ539" s="24"/>
      <c r="AK539" s="24"/>
      <c r="AL539" s="24"/>
      <c r="AM539" s="24"/>
    </row>
    <row r="540">
      <c r="A540" s="11"/>
      <c r="B540" s="12" t="s">
        <v>7</v>
      </c>
      <c r="C540" s="12" t="s">
        <v>8</v>
      </c>
      <c r="D540" s="12" t="s">
        <v>15</v>
      </c>
      <c r="E540" s="12" t="s">
        <v>21</v>
      </c>
      <c r="F540" s="13" t="s">
        <v>19</v>
      </c>
      <c r="G540" s="12" t="s">
        <v>68</v>
      </c>
      <c r="H540" s="12" t="s">
        <v>968</v>
      </c>
      <c r="I540" s="12" t="s">
        <v>969</v>
      </c>
      <c r="J540" s="17" t="s">
        <v>108</v>
      </c>
      <c r="K540" s="2" t="str">
        <f>IFERROR(__xludf.DUMMYFUNCTION("CONCATENATE(REGEXEXTRACT(J540,""[\d]+""),"" años"")"),"5 años")</f>
        <v>5 años</v>
      </c>
      <c r="L540" s="17" t="s">
        <v>1995</v>
      </c>
      <c r="M540" s="19">
        <v>45833.0</v>
      </c>
      <c r="N540" s="17" t="s">
        <v>194</v>
      </c>
      <c r="O540" s="88" t="s">
        <v>1519</v>
      </c>
      <c r="P540" s="88" t="s">
        <v>1519</v>
      </c>
      <c r="Q540" s="88" t="s">
        <v>1520</v>
      </c>
      <c r="R540" s="88" t="s">
        <v>1521</v>
      </c>
      <c r="S540" s="88" t="s">
        <v>1519</v>
      </c>
      <c r="T540" s="88" t="s">
        <v>1519</v>
      </c>
      <c r="U540" s="88" t="s">
        <v>1519</v>
      </c>
      <c r="V540" s="88" t="s">
        <v>1519</v>
      </c>
      <c r="W540" s="88" t="s">
        <v>1520</v>
      </c>
      <c r="X540" s="88" t="s">
        <v>1520</v>
      </c>
      <c r="Y540" s="88" t="s">
        <v>1520</v>
      </c>
      <c r="Z540" s="88" t="s">
        <v>1520</v>
      </c>
      <c r="AA540" s="88" t="s">
        <v>1520</v>
      </c>
      <c r="AB540" s="88" t="s">
        <v>1520</v>
      </c>
      <c r="AC540" s="88" t="s">
        <v>1520</v>
      </c>
      <c r="AD540" s="89"/>
      <c r="AE540" s="18" t="s">
        <v>915</v>
      </c>
      <c r="AF540" s="24"/>
      <c r="AG540" s="24"/>
      <c r="AH540" s="24"/>
      <c r="AI540" s="24"/>
      <c r="AJ540" s="24"/>
      <c r="AK540" s="24"/>
      <c r="AL540" s="24"/>
      <c r="AM540" s="24"/>
    </row>
    <row r="541">
      <c r="A541" s="11"/>
      <c r="B541" s="12" t="s">
        <v>7</v>
      </c>
      <c r="C541" s="12" t="s">
        <v>8</v>
      </c>
      <c r="D541" s="12" t="s">
        <v>15</v>
      </c>
      <c r="E541" s="12" t="s">
        <v>21</v>
      </c>
      <c r="F541" s="13" t="s">
        <v>19</v>
      </c>
      <c r="G541" s="12" t="s">
        <v>68</v>
      </c>
      <c r="H541" s="12" t="s">
        <v>968</v>
      </c>
      <c r="I541" s="12" t="s">
        <v>969</v>
      </c>
      <c r="J541" s="17" t="s">
        <v>108</v>
      </c>
      <c r="K541" s="2" t="str">
        <f>IFERROR(__xludf.DUMMYFUNCTION("CONCATENATE(REGEXEXTRACT(J541,""[\d]+""),"" años"")"),"5 años")</f>
        <v>5 años</v>
      </c>
      <c r="L541" s="17" t="s">
        <v>1996</v>
      </c>
      <c r="M541" s="19">
        <v>45833.0</v>
      </c>
      <c r="N541" s="17" t="s">
        <v>194</v>
      </c>
      <c r="O541" s="88" t="s">
        <v>1519</v>
      </c>
      <c r="P541" s="88" t="s">
        <v>1519</v>
      </c>
      <c r="Q541" s="88" t="s">
        <v>1520</v>
      </c>
      <c r="R541" s="88" t="s">
        <v>1521</v>
      </c>
      <c r="S541" s="88" t="s">
        <v>1519</v>
      </c>
      <c r="T541" s="88" t="s">
        <v>1519</v>
      </c>
      <c r="U541" s="88" t="s">
        <v>1519</v>
      </c>
      <c r="V541" s="88" t="s">
        <v>1519</v>
      </c>
      <c r="W541" s="88" t="s">
        <v>1520</v>
      </c>
      <c r="X541" s="88" t="s">
        <v>1520</v>
      </c>
      <c r="Y541" s="88" t="s">
        <v>1520</v>
      </c>
      <c r="Z541" s="88" t="s">
        <v>1520</v>
      </c>
      <c r="AA541" s="88" t="s">
        <v>1520</v>
      </c>
      <c r="AB541" s="88" t="s">
        <v>1520</v>
      </c>
      <c r="AC541" s="88" t="s">
        <v>1520</v>
      </c>
      <c r="AD541" s="89"/>
      <c r="AE541" s="18" t="s">
        <v>915</v>
      </c>
      <c r="AF541" s="24"/>
      <c r="AG541" s="24"/>
      <c r="AH541" s="24"/>
      <c r="AI541" s="24"/>
      <c r="AJ541" s="24"/>
      <c r="AK541" s="24"/>
      <c r="AL541" s="24"/>
      <c r="AM541" s="24"/>
    </row>
    <row r="542">
      <c r="A542" s="11"/>
      <c r="B542" s="12" t="s">
        <v>7</v>
      </c>
      <c r="C542" s="12" t="s">
        <v>8</v>
      </c>
      <c r="D542" s="12" t="s">
        <v>15</v>
      </c>
      <c r="E542" s="12" t="s">
        <v>21</v>
      </c>
      <c r="F542" s="13" t="s">
        <v>19</v>
      </c>
      <c r="G542" s="12" t="s">
        <v>68</v>
      </c>
      <c r="H542" s="12" t="s">
        <v>968</v>
      </c>
      <c r="I542" s="12" t="s">
        <v>969</v>
      </c>
      <c r="J542" s="17" t="s">
        <v>73</v>
      </c>
      <c r="K542" s="2" t="str">
        <f>IFERROR(__xludf.DUMMYFUNCTION("CONCATENATE(REGEXEXTRACT(J542,""[\d]+""),"" años"")"),"3 años")</f>
        <v>3 años</v>
      </c>
      <c r="L542" s="17" t="s">
        <v>1997</v>
      </c>
      <c r="M542" s="19">
        <v>45833.0</v>
      </c>
      <c r="N542" s="17" t="s">
        <v>194</v>
      </c>
      <c r="O542" s="88" t="s">
        <v>1520</v>
      </c>
      <c r="P542" s="88" t="s">
        <v>1520</v>
      </c>
      <c r="Q542" s="88" t="s">
        <v>1520</v>
      </c>
      <c r="R542" s="88" t="s">
        <v>1521</v>
      </c>
      <c r="S542" s="88" t="s">
        <v>1519</v>
      </c>
      <c r="T542" s="88" t="s">
        <v>1519</v>
      </c>
      <c r="U542" s="88" t="s">
        <v>1520</v>
      </c>
      <c r="V542" s="88" t="s">
        <v>1520</v>
      </c>
      <c r="W542" s="88" t="s">
        <v>1520</v>
      </c>
      <c r="X542" s="88" t="s">
        <v>1520</v>
      </c>
      <c r="Y542" s="88" t="s">
        <v>1520</v>
      </c>
      <c r="Z542" s="88" t="s">
        <v>1520</v>
      </c>
      <c r="AA542" s="88" t="s">
        <v>1520</v>
      </c>
      <c r="AB542" s="88" t="s">
        <v>1520</v>
      </c>
      <c r="AC542" s="88" t="s">
        <v>1520</v>
      </c>
      <c r="AD542" s="89"/>
      <c r="AE542" s="18" t="s">
        <v>915</v>
      </c>
      <c r="AF542" s="24"/>
      <c r="AG542" s="24"/>
      <c r="AH542" s="24"/>
      <c r="AI542" s="24"/>
      <c r="AJ542" s="24"/>
      <c r="AK542" s="24"/>
      <c r="AL542" s="24"/>
      <c r="AM542" s="24"/>
    </row>
    <row r="543">
      <c r="A543" s="11"/>
      <c r="B543" s="12" t="s">
        <v>7</v>
      </c>
      <c r="C543" s="12" t="s">
        <v>8</v>
      </c>
      <c r="D543" s="12" t="s">
        <v>15</v>
      </c>
      <c r="E543" s="12" t="s">
        <v>21</v>
      </c>
      <c r="F543" s="13" t="s">
        <v>19</v>
      </c>
      <c r="G543" s="12" t="s">
        <v>68</v>
      </c>
      <c r="H543" s="12" t="s">
        <v>968</v>
      </c>
      <c r="I543" s="12" t="s">
        <v>969</v>
      </c>
      <c r="J543" s="17" t="s">
        <v>108</v>
      </c>
      <c r="K543" s="2" t="str">
        <f>IFERROR(__xludf.DUMMYFUNCTION("CONCATENATE(REGEXEXTRACT(J543,""[\d]+""),"" años"")"),"5 años")</f>
        <v>5 años</v>
      </c>
      <c r="L543" s="17" t="s">
        <v>1998</v>
      </c>
      <c r="M543" s="19">
        <v>45833.0</v>
      </c>
      <c r="N543" s="17" t="s">
        <v>194</v>
      </c>
      <c r="O543" s="88" t="s">
        <v>1519</v>
      </c>
      <c r="P543" s="88" t="s">
        <v>1519</v>
      </c>
      <c r="Q543" s="88" t="s">
        <v>1520</v>
      </c>
      <c r="R543" s="88" t="s">
        <v>1521</v>
      </c>
      <c r="S543" s="88" t="s">
        <v>1519</v>
      </c>
      <c r="T543" s="88" t="s">
        <v>1519</v>
      </c>
      <c r="U543" s="88" t="s">
        <v>1519</v>
      </c>
      <c r="V543" s="88" t="s">
        <v>1519</v>
      </c>
      <c r="W543" s="88" t="s">
        <v>1520</v>
      </c>
      <c r="X543" s="88" t="s">
        <v>1520</v>
      </c>
      <c r="Y543" s="88" t="s">
        <v>1520</v>
      </c>
      <c r="Z543" s="88" t="s">
        <v>1520</v>
      </c>
      <c r="AA543" s="88" t="s">
        <v>1520</v>
      </c>
      <c r="AB543" s="88" t="s">
        <v>1520</v>
      </c>
      <c r="AC543" s="88" t="s">
        <v>1520</v>
      </c>
      <c r="AD543" s="89"/>
      <c r="AE543" s="18" t="s">
        <v>915</v>
      </c>
      <c r="AF543" s="24"/>
      <c r="AG543" s="24"/>
      <c r="AH543" s="24"/>
      <c r="AI543" s="24"/>
      <c r="AJ543" s="24"/>
      <c r="AK543" s="24"/>
      <c r="AL543" s="24"/>
      <c r="AM543" s="24"/>
    </row>
    <row r="544">
      <c r="A544" s="11"/>
      <c r="B544" s="12" t="s">
        <v>7</v>
      </c>
      <c r="C544" s="12" t="s">
        <v>8</v>
      </c>
      <c r="D544" s="12" t="s">
        <v>15</v>
      </c>
      <c r="E544" s="12" t="s">
        <v>21</v>
      </c>
      <c r="F544" s="13" t="s">
        <v>19</v>
      </c>
      <c r="G544" s="12" t="s">
        <v>68</v>
      </c>
      <c r="H544" s="12" t="s">
        <v>968</v>
      </c>
      <c r="I544" s="12" t="s">
        <v>969</v>
      </c>
      <c r="J544" s="17" t="s">
        <v>73</v>
      </c>
      <c r="K544" s="2" t="str">
        <f>IFERROR(__xludf.DUMMYFUNCTION("CONCATENATE(REGEXEXTRACT(J544,""[\d]+""),"" años"")"),"3 años")</f>
        <v>3 años</v>
      </c>
      <c r="L544" s="17" t="s">
        <v>1999</v>
      </c>
      <c r="M544" s="19">
        <v>45833.0</v>
      </c>
      <c r="N544" s="17" t="s">
        <v>194</v>
      </c>
      <c r="O544" s="88" t="s">
        <v>1520</v>
      </c>
      <c r="P544" s="88" t="s">
        <v>1520</v>
      </c>
      <c r="Q544" s="88" t="s">
        <v>1520</v>
      </c>
      <c r="R544" s="88" t="s">
        <v>1521</v>
      </c>
      <c r="S544" s="88" t="s">
        <v>1519</v>
      </c>
      <c r="T544" s="88" t="s">
        <v>1519</v>
      </c>
      <c r="U544" s="88" t="s">
        <v>1520</v>
      </c>
      <c r="V544" s="88" t="s">
        <v>1520</v>
      </c>
      <c r="W544" s="88" t="s">
        <v>1520</v>
      </c>
      <c r="X544" s="88" t="s">
        <v>1520</v>
      </c>
      <c r="Y544" s="88" t="s">
        <v>1520</v>
      </c>
      <c r="Z544" s="88" t="s">
        <v>1520</v>
      </c>
      <c r="AA544" s="88" t="s">
        <v>1520</v>
      </c>
      <c r="AB544" s="88" t="s">
        <v>1520</v>
      </c>
      <c r="AC544" s="88" t="s">
        <v>1520</v>
      </c>
      <c r="AD544" s="89"/>
      <c r="AE544" s="18" t="s">
        <v>915</v>
      </c>
      <c r="AF544" s="24"/>
      <c r="AG544" s="24"/>
      <c r="AH544" s="24"/>
      <c r="AI544" s="24"/>
      <c r="AJ544" s="24"/>
      <c r="AK544" s="24"/>
      <c r="AL544" s="24"/>
      <c r="AM544" s="24"/>
    </row>
    <row r="545">
      <c r="A545" s="11"/>
      <c r="B545" s="12" t="s">
        <v>7</v>
      </c>
      <c r="C545" s="12" t="s">
        <v>8</v>
      </c>
      <c r="D545" s="12" t="s">
        <v>15</v>
      </c>
      <c r="E545" s="12" t="s">
        <v>21</v>
      </c>
      <c r="F545" s="13" t="s">
        <v>19</v>
      </c>
      <c r="G545" s="12" t="s">
        <v>68</v>
      </c>
      <c r="H545" s="12" t="s">
        <v>968</v>
      </c>
      <c r="I545" s="12" t="s">
        <v>969</v>
      </c>
      <c r="J545" s="17" t="s">
        <v>112</v>
      </c>
      <c r="K545" s="2" t="str">
        <f>IFERROR(__xludf.DUMMYFUNCTION("CONCATENATE(REGEXEXTRACT(J545,""[\d]+""),"" años"")"),"4 años")</f>
        <v>4 años</v>
      </c>
      <c r="L545" s="17" t="s">
        <v>2000</v>
      </c>
      <c r="M545" s="19">
        <v>45833.0</v>
      </c>
      <c r="N545" s="17" t="s">
        <v>194</v>
      </c>
      <c r="O545" s="88" t="s">
        <v>1520</v>
      </c>
      <c r="P545" s="88" t="s">
        <v>1520</v>
      </c>
      <c r="Q545" s="88" t="s">
        <v>1520</v>
      </c>
      <c r="R545" s="88" t="s">
        <v>1521</v>
      </c>
      <c r="S545" s="88" t="s">
        <v>1519</v>
      </c>
      <c r="T545" s="88" t="s">
        <v>1519</v>
      </c>
      <c r="U545" s="88" t="s">
        <v>1520</v>
      </c>
      <c r="V545" s="88" t="s">
        <v>1520</v>
      </c>
      <c r="W545" s="88" t="s">
        <v>1520</v>
      </c>
      <c r="X545" s="88" t="s">
        <v>1520</v>
      </c>
      <c r="Y545" s="88" t="s">
        <v>1520</v>
      </c>
      <c r="Z545" s="88" t="s">
        <v>1520</v>
      </c>
      <c r="AA545" s="88" t="s">
        <v>1520</v>
      </c>
      <c r="AB545" s="88" t="s">
        <v>1520</v>
      </c>
      <c r="AC545" s="88" t="s">
        <v>1520</v>
      </c>
      <c r="AD545" s="89"/>
      <c r="AE545" s="18" t="s">
        <v>915</v>
      </c>
      <c r="AF545" s="24"/>
      <c r="AG545" s="24"/>
      <c r="AH545" s="24"/>
      <c r="AI545" s="24"/>
      <c r="AJ545" s="24"/>
      <c r="AK545" s="24"/>
      <c r="AL545" s="24"/>
      <c r="AM545" s="24"/>
    </row>
    <row r="546">
      <c r="A546" s="11"/>
      <c r="B546" s="12" t="s">
        <v>7</v>
      </c>
      <c r="C546" s="12" t="s">
        <v>8</v>
      </c>
      <c r="D546" s="12" t="s">
        <v>15</v>
      </c>
      <c r="E546" s="12" t="s">
        <v>21</v>
      </c>
      <c r="F546" s="13" t="s">
        <v>19</v>
      </c>
      <c r="G546" s="12" t="s">
        <v>68</v>
      </c>
      <c r="H546" s="12" t="s">
        <v>968</v>
      </c>
      <c r="I546" s="12" t="s">
        <v>969</v>
      </c>
      <c r="J546" s="17" t="s">
        <v>108</v>
      </c>
      <c r="K546" s="2" t="str">
        <f>IFERROR(__xludf.DUMMYFUNCTION("CONCATENATE(REGEXEXTRACT(J546,""[\d]+""),"" años"")"),"5 años")</f>
        <v>5 años</v>
      </c>
      <c r="L546" s="17" t="s">
        <v>2001</v>
      </c>
      <c r="M546" s="19">
        <v>45833.0</v>
      </c>
      <c r="N546" s="17" t="s">
        <v>194</v>
      </c>
      <c r="O546" s="88" t="s">
        <v>1519</v>
      </c>
      <c r="P546" s="88" t="s">
        <v>1519</v>
      </c>
      <c r="Q546" s="88" t="s">
        <v>1521</v>
      </c>
      <c r="R546" s="88" t="s">
        <v>1521</v>
      </c>
      <c r="S546" s="88" t="s">
        <v>1520</v>
      </c>
      <c r="T546" s="88" t="s">
        <v>1520</v>
      </c>
      <c r="U546" s="88" t="s">
        <v>1521</v>
      </c>
      <c r="V546" s="88" t="s">
        <v>1521</v>
      </c>
      <c r="W546" s="88" t="s">
        <v>1521</v>
      </c>
      <c r="X546" s="88" t="s">
        <v>1520</v>
      </c>
      <c r="Y546" s="88" t="s">
        <v>1520</v>
      </c>
      <c r="Z546" s="88" t="s">
        <v>1520</v>
      </c>
      <c r="AA546" s="88" t="s">
        <v>1521</v>
      </c>
      <c r="AB546" s="88" t="s">
        <v>1521</v>
      </c>
      <c r="AC546" s="88" t="s">
        <v>1521</v>
      </c>
      <c r="AD546" s="89"/>
      <c r="AE546" s="18" t="s">
        <v>915</v>
      </c>
      <c r="AF546" s="24"/>
      <c r="AG546" s="24"/>
      <c r="AH546" s="24"/>
      <c r="AI546" s="24"/>
      <c r="AJ546" s="24"/>
      <c r="AK546" s="24"/>
      <c r="AL546" s="24"/>
      <c r="AM546" s="24"/>
    </row>
    <row r="547">
      <c r="A547" s="11"/>
      <c r="B547" s="12" t="s">
        <v>7</v>
      </c>
      <c r="C547" s="12" t="s">
        <v>8</v>
      </c>
      <c r="D547" s="12" t="s">
        <v>15</v>
      </c>
      <c r="E547" s="12" t="s">
        <v>21</v>
      </c>
      <c r="F547" s="13" t="s">
        <v>19</v>
      </c>
      <c r="G547" s="12" t="s">
        <v>68</v>
      </c>
      <c r="H547" s="12" t="s">
        <v>968</v>
      </c>
      <c r="I547" s="12" t="s">
        <v>969</v>
      </c>
      <c r="J547" s="17" t="s">
        <v>112</v>
      </c>
      <c r="K547" s="2" t="str">
        <f>IFERROR(__xludf.DUMMYFUNCTION("CONCATENATE(REGEXEXTRACT(J547,""[\d]+""),"" años"")"),"4 años")</f>
        <v>4 años</v>
      </c>
      <c r="L547" s="17" t="s">
        <v>2002</v>
      </c>
      <c r="M547" s="19">
        <v>45833.0</v>
      </c>
      <c r="N547" s="17" t="s">
        <v>194</v>
      </c>
      <c r="O547" s="88" t="s">
        <v>1519</v>
      </c>
      <c r="P547" s="88" t="s">
        <v>1519</v>
      </c>
      <c r="Q547" s="88" t="s">
        <v>1520</v>
      </c>
      <c r="R547" s="88" t="s">
        <v>1521</v>
      </c>
      <c r="S547" s="88" t="s">
        <v>1519</v>
      </c>
      <c r="T547" s="88" t="s">
        <v>1519</v>
      </c>
      <c r="U547" s="88" t="s">
        <v>1519</v>
      </c>
      <c r="V547" s="88" t="s">
        <v>1519</v>
      </c>
      <c r="W547" s="88" t="s">
        <v>1520</v>
      </c>
      <c r="X547" s="88" t="s">
        <v>1520</v>
      </c>
      <c r="Y547" s="88" t="s">
        <v>1520</v>
      </c>
      <c r="Z547" s="88" t="s">
        <v>1520</v>
      </c>
      <c r="AA547" s="88" t="s">
        <v>1520</v>
      </c>
      <c r="AB547" s="88" t="s">
        <v>1520</v>
      </c>
      <c r="AC547" s="88" t="s">
        <v>1520</v>
      </c>
      <c r="AD547" s="89"/>
      <c r="AE547" s="18" t="s">
        <v>915</v>
      </c>
      <c r="AF547" s="24"/>
      <c r="AG547" s="24"/>
      <c r="AH547" s="24"/>
      <c r="AI547" s="24"/>
      <c r="AJ547" s="24"/>
      <c r="AK547" s="24"/>
      <c r="AL547" s="24"/>
      <c r="AM547" s="24"/>
    </row>
    <row r="548">
      <c r="A548" s="11"/>
      <c r="B548" s="12" t="s">
        <v>7</v>
      </c>
      <c r="C548" s="12" t="s">
        <v>8</v>
      </c>
      <c r="D548" s="12" t="s">
        <v>15</v>
      </c>
      <c r="E548" s="12" t="s">
        <v>21</v>
      </c>
      <c r="F548" s="13" t="s">
        <v>19</v>
      </c>
      <c r="G548" s="12" t="s">
        <v>68</v>
      </c>
      <c r="H548" s="12" t="s">
        <v>968</v>
      </c>
      <c r="I548" s="12" t="s">
        <v>969</v>
      </c>
      <c r="J548" s="17" t="s">
        <v>108</v>
      </c>
      <c r="K548" s="2" t="str">
        <f>IFERROR(__xludf.DUMMYFUNCTION("CONCATENATE(REGEXEXTRACT(J548,""[\d]+""),"" años"")"),"5 años")</f>
        <v>5 años</v>
      </c>
      <c r="L548" s="17" t="s">
        <v>2003</v>
      </c>
      <c r="M548" s="19">
        <v>45833.0</v>
      </c>
      <c r="N548" s="17" t="s">
        <v>194</v>
      </c>
      <c r="O548" s="88" t="s">
        <v>1520</v>
      </c>
      <c r="P548" s="88" t="s">
        <v>1520</v>
      </c>
      <c r="Q548" s="88" t="s">
        <v>1520</v>
      </c>
      <c r="R548" s="88" t="s">
        <v>1521</v>
      </c>
      <c r="S548" s="88" t="s">
        <v>1520</v>
      </c>
      <c r="T548" s="88" t="s">
        <v>1520</v>
      </c>
      <c r="U548" s="88" t="s">
        <v>1519</v>
      </c>
      <c r="V548" s="88" t="s">
        <v>1519</v>
      </c>
      <c r="W548" s="88" t="s">
        <v>1520</v>
      </c>
      <c r="X548" s="88" t="s">
        <v>1521</v>
      </c>
      <c r="Y548" s="88" t="s">
        <v>1521</v>
      </c>
      <c r="Z548" s="88" t="s">
        <v>1521</v>
      </c>
      <c r="AA548" s="88" t="s">
        <v>1520</v>
      </c>
      <c r="AB548" s="88" t="s">
        <v>1520</v>
      </c>
      <c r="AC548" s="88" t="s">
        <v>1520</v>
      </c>
      <c r="AD548" s="89"/>
      <c r="AE548" s="18" t="s">
        <v>915</v>
      </c>
      <c r="AF548" s="24"/>
      <c r="AG548" s="24"/>
      <c r="AH548" s="24"/>
      <c r="AI548" s="24"/>
      <c r="AJ548" s="24"/>
      <c r="AK548" s="24"/>
      <c r="AL548" s="24"/>
      <c r="AM548" s="24"/>
    </row>
    <row r="549">
      <c r="A549" s="11"/>
      <c r="B549" s="12" t="s">
        <v>7</v>
      </c>
      <c r="C549" s="12" t="s">
        <v>8</v>
      </c>
      <c r="D549" s="12" t="s">
        <v>24</v>
      </c>
      <c r="E549" s="12" t="s">
        <v>25</v>
      </c>
      <c r="F549" s="13" t="s">
        <v>26</v>
      </c>
      <c r="G549" s="12" t="s">
        <v>68</v>
      </c>
      <c r="H549" s="12" t="s">
        <v>994</v>
      </c>
      <c r="I549" s="12" t="s">
        <v>995</v>
      </c>
      <c r="J549" s="17" t="s">
        <v>73</v>
      </c>
      <c r="K549" s="17" t="s">
        <v>2004</v>
      </c>
      <c r="L549" s="17" t="s">
        <v>2005</v>
      </c>
      <c r="M549" s="101" t="s">
        <v>2006</v>
      </c>
      <c r="N549" s="17" t="s">
        <v>194</v>
      </c>
      <c r="O549" s="88" t="s">
        <v>1520</v>
      </c>
      <c r="P549" s="88" t="s">
        <v>1520</v>
      </c>
      <c r="Q549" s="88" t="s">
        <v>1520</v>
      </c>
      <c r="R549" s="88" t="s">
        <v>1521</v>
      </c>
      <c r="S549" s="88" t="s">
        <v>1520</v>
      </c>
      <c r="T549" s="88" t="s">
        <v>1520</v>
      </c>
      <c r="U549" s="88" t="s">
        <v>1520</v>
      </c>
      <c r="V549" s="88" t="s">
        <v>1520</v>
      </c>
      <c r="W549" s="88" t="s">
        <v>1520</v>
      </c>
      <c r="X549" s="88" t="s">
        <v>1520</v>
      </c>
      <c r="Y549" s="88" t="s">
        <v>1520</v>
      </c>
      <c r="Z549" s="88" t="s">
        <v>1520</v>
      </c>
      <c r="AA549" s="88" t="s">
        <v>1520</v>
      </c>
      <c r="AB549" s="88" t="s">
        <v>1520</v>
      </c>
      <c r="AC549" s="88" t="s">
        <v>1520</v>
      </c>
      <c r="AD549" s="89"/>
      <c r="AE549" s="18" t="s">
        <v>577</v>
      </c>
      <c r="AF549" s="24"/>
      <c r="AG549" s="24"/>
      <c r="AH549" s="24"/>
      <c r="AI549" s="24"/>
      <c r="AJ549" s="24"/>
      <c r="AK549" s="24"/>
      <c r="AL549" s="24"/>
      <c r="AM549" s="24"/>
    </row>
    <row r="550">
      <c r="A550" s="11"/>
      <c r="B550" s="12" t="s">
        <v>7</v>
      </c>
      <c r="C550" s="12" t="s">
        <v>8</v>
      </c>
      <c r="D550" s="12" t="s">
        <v>24</v>
      </c>
      <c r="E550" s="12" t="s">
        <v>25</v>
      </c>
      <c r="F550" s="13" t="s">
        <v>26</v>
      </c>
      <c r="G550" s="12" t="s">
        <v>68</v>
      </c>
      <c r="H550" s="12" t="s">
        <v>994</v>
      </c>
      <c r="I550" s="12" t="s">
        <v>995</v>
      </c>
      <c r="J550" s="17" t="s">
        <v>73</v>
      </c>
      <c r="K550" s="17" t="s">
        <v>2004</v>
      </c>
      <c r="L550" s="17" t="s">
        <v>2007</v>
      </c>
      <c r="M550" s="101" t="s">
        <v>2006</v>
      </c>
      <c r="N550" s="17" t="s">
        <v>194</v>
      </c>
      <c r="O550" s="88" t="s">
        <v>1520</v>
      </c>
      <c r="P550" s="88" t="s">
        <v>1520</v>
      </c>
      <c r="Q550" s="88" t="s">
        <v>1520</v>
      </c>
      <c r="R550" s="88" t="s">
        <v>1521</v>
      </c>
      <c r="S550" s="88" t="s">
        <v>1520</v>
      </c>
      <c r="T550" s="88" t="s">
        <v>1520</v>
      </c>
      <c r="U550" s="88" t="s">
        <v>1520</v>
      </c>
      <c r="V550" s="88" t="s">
        <v>1520</v>
      </c>
      <c r="W550" s="88" t="s">
        <v>1520</v>
      </c>
      <c r="X550" s="88" t="s">
        <v>1520</v>
      </c>
      <c r="Y550" s="88" t="s">
        <v>1520</v>
      </c>
      <c r="Z550" s="88" t="s">
        <v>1520</v>
      </c>
      <c r="AA550" s="88" t="s">
        <v>1520</v>
      </c>
      <c r="AB550" s="88" t="s">
        <v>1520</v>
      </c>
      <c r="AC550" s="88" t="s">
        <v>1520</v>
      </c>
      <c r="AD550" s="89"/>
      <c r="AE550" s="18" t="s">
        <v>577</v>
      </c>
      <c r="AF550" s="24"/>
      <c r="AG550" s="24"/>
      <c r="AH550" s="24"/>
      <c r="AI550" s="24"/>
      <c r="AJ550" s="24"/>
      <c r="AK550" s="24"/>
      <c r="AL550" s="24"/>
      <c r="AM550" s="24"/>
    </row>
    <row r="551">
      <c r="A551" s="11"/>
      <c r="B551" s="12" t="s">
        <v>7</v>
      </c>
      <c r="C551" s="12" t="s">
        <v>8</v>
      </c>
      <c r="D551" s="12" t="s">
        <v>24</v>
      </c>
      <c r="E551" s="12" t="s">
        <v>25</v>
      </c>
      <c r="F551" s="13" t="s">
        <v>26</v>
      </c>
      <c r="G551" s="12" t="s">
        <v>68</v>
      </c>
      <c r="H551" s="12" t="s">
        <v>994</v>
      </c>
      <c r="I551" s="12" t="s">
        <v>995</v>
      </c>
      <c r="J551" s="17" t="s">
        <v>73</v>
      </c>
      <c r="K551" s="17" t="s">
        <v>2004</v>
      </c>
      <c r="L551" s="17" t="s">
        <v>2008</v>
      </c>
      <c r="M551" s="101" t="s">
        <v>2006</v>
      </c>
      <c r="N551" s="17" t="s">
        <v>194</v>
      </c>
      <c r="O551" s="88" t="s">
        <v>1520</v>
      </c>
      <c r="P551" s="88" t="s">
        <v>1520</v>
      </c>
      <c r="Q551" s="88" t="s">
        <v>1520</v>
      </c>
      <c r="R551" s="88" t="s">
        <v>1521</v>
      </c>
      <c r="S551" s="88" t="s">
        <v>1520</v>
      </c>
      <c r="T551" s="88" t="s">
        <v>1520</v>
      </c>
      <c r="U551" s="88" t="s">
        <v>1520</v>
      </c>
      <c r="V551" s="88" t="s">
        <v>1520</v>
      </c>
      <c r="W551" s="88" t="s">
        <v>1520</v>
      </c>
      <c r="X551" s="88" t="s">
        <v>1520</v>
      </c>
      <c r="Y551" s="88" t="s">
        <v>1520</v>
      </c>
      <c r="Z551" s="88" t="s">
        <v>1520</v>
      </c>
      <c r="AA551" s="88" t="s">
        <v>1520</v>
      </c>
      <c r="AB551" s="88" t="s">
        <v>1520</v>
      </c>
      <c r="AC551" s="88" t="s">
        <v>1520</v>
      </c>
      <c r="AD551" s="89"/>
      <c r="AE551" s="18" t="s">
        <v>577</v>
      </c>
      <c r="AF551" s="24"/>
      <c r="AG551" s="24"/>
      <c r="AH551" s="24"/>
      <c r="AI551" s="24"/>
      <c r="AJ551" s="24"/>
      <c r="AK551" s="24"/>
      <c r="AL551" s="24"/>
      <c r="AM551" s="24"/>
    </row>
    <row r="552">
      <c r="A552" s="11"/>
      <c r="B552" s="12" t="s">
        <v>7</v>
      </c>
      <c r="C552" s="12" t="s">
        <v>8</v>
      </c>
      <c r="D552" s="12" t="s">
        <v>24</v>
      </c>
      <c r="E552" s="12" t="s">
        <v>25</v>
      </c>
      <c r="F552" s="13" t="s">
        <v>26</v>
      </c>
      <c r="G552" s="12" t="s">
        <v>68</v>
      </c>
      <c r="H552" s="12" t="s">
        <v>994</v>
      </c>
      <c r="I552" s="12" t="s">
        <v>995</v>
      </c>
      <c r="J552" s="17" t="s">
        <v>73</v>
      </c>
      <c r="K552" s="17" t="s">
        <v>2004</v>
      </c>
      <c r="L552" s="17" t="s">
        <v>2009</v>
      </c>
      <c r="M552" s="101" t="s">
        <v>2006</v>
      </c>
      <c r="N552" s="17" t="s">
        <v>194</v>
      </c>
      <c r="O552" s="88" t="s">
        <v>1520</v>
      </c>
      <c r="P552" s="88" t="s">
        <v>1520</v>
      </c>
      <c r="Q552" s="88" t="s">
        <v>1520</v>
      </c>
      <c r="R552" s="88" t="s">
        <v>1521</v>
      </c>
      <c r="S552" s="88" t="s">
        <v>1520</v>
      </c>
      <c r="T552" s="88" t="s">
        <v>1520</v>
      </c>
      <c r="U552" s="88" t="s">
        <v>1520</v>
      </c>
      <c r="V552" s="88" t="s">
        <v>1520</v>
      </c>
      <c r="W552" s="88" t="s">
        <v>1520</v>
      </c>
      <c r="X552" s="88" t="s">
        <v>1520</v>
      </c>
      <c r="Y552" s="88" t="s">
        <v>1520</v>
      </c>
      <c r="Z552" s="88" t="s">
        <v>1520</v>
      </c>
      <c r="AA552" s="88" t="s">
        <v>1520</v>
      </c>
      <c r="AB552" s="88" t="s">
        <v>1520</v>
      </c>
      <c r="AC552" s="88" t="s">
        <v>1520</v>
      </c>
      <c r="AD552" s="89"/>
      <c r="AE552" s="18" t="s">
        <v>577</v>
      </c>
      <c r="AF552" s="24"/>
      <c r="AG552" s="24"/>
      <c r="AH552" s="24"/>
      <c r="AI552" s="24"/>
      <c r="AJ552" s="24"/>
      <c r="AK552" s="24"/>
      <c r="AL552" s="24"/>
      <c r="AM552" s="24"/>
    </row>
    <row r="553">
      <c r="A553" s="11"/>
      <c r="B553" s="12" t="s">
        <v>7</v>
      </c>
      <c r="C553" s="12" t="s">
        <v>8</v>
      </c>
      <c r="D553" s="12" t="s">
        <v>24</v>
      </c>
      <c r="E553" s="12" t="s">
        <v>25</v>
      </c>
      <c r="F553" s="13" t="s">
        <v>26</v>
      </c>
      <c r="G553" s="12" t="s">
        <v>68</v>
      </c>
      <c r="H553" s="12" t="s">
        <v>994</v>
      </c>
      <c r="I553" s="12" t="s">
        <v>995</v>
      </c>
      <c r="J553" s="17" t="s">
        <v>73</v>
      </c>
      <c r="K553" s="17" t="s">
        <v>2004</v>
      </c>
      <c r="L553" s="17" t="s">
        <v>2010</v>
      </c>
      <c r="M553" s="101" t="s">
        <v>2006</v>
      </c>
      <c r="N553" s="17" t="s">
        <v>194</v>
      </c>
      <c r="O553" s="88" t="s">
        <v>1520</v>
      </c>
      <c r="P553" s="88" t="s">
        <v>1520</v>
      </c>
      <c r="Q553" s="88" t="s">
        <v>1520</v>
      </c>
      <c r="R553" s="88" t="s">
        <v>1521</v>
      </c>
      <c r="S553" s="88" t="s">
        <v>1520</v>
      </c>
      <c r="T553" s="88" t="s">
        <v>1520</v>
      </c>
      <c r="U553" s="88" t="s">
        <v>1520</v>
      </c>
      <c r="V553" s="88" t="s">
        <v>1520</v>
      </c>
      <c r="W553" s="88" t="s">
        <v>1520</v>
      </c>
      <c r="X553" s="88" t="s">
        <v>1520</v>
      </c>
      <c r="Y553" s="88" t="s">
        <v>1520</v>
      </c>
      <c r="Z553" s="88" t="s">
        <v>1520</v>
      </c>
      <c r="AA553" s="88" t="s">
        <v>1520</v>
      </c>
      <c r="AB553" s="88" t="s">
        <v>1520</v>
      </c>
      <c r="AC553" s="88" t="s">
        <v>1520</v>
      </c>
      <c r="AD553" s="89"/>
      <c r="AE553" s="18" t="s">
        <v>577</v>
      </c>
      <c r="AF553" s="24"/>
      <c r="AG553" s="24"/>
      <c r="AH553" s="24"/>
      <c r="AI553" s="24"/>
      <c r="AJ553" s="24"/>
      <c r="AK553" s="24"/>
      <c r="AL553" s="24"/>
      <c r="AM553" s="24"/>
    </row>
    <row r="554">
      <c r="A554" s="11"/>
      <c r="B554" s="12" t="s">
        <v>7</v>
      </c>
      <c r="C554" s="12" t="s">
        <v>8</v>
      </c>
      <c r="D554" s="12" t="s">
        <v>24</v>
      </c>
      <c r="E554" s="12" t="s">
        <v>25</v>
      </c>
      <c r="F554" s="13" t="s">
        <v>26</v>
      </c>
      <c r="G554" s="12" t="s">
        <v>68</v>
      </c>
      <c r="H554" s="12" t="s">
        <v>994</v>
      </c>
      <c r="I554" s="12" t="s">
        <v>995</v>
      </c>
      <c r="J554" s="17" t="s">
        <v>73</v>
      </c>
      <c r="K554" s="17" t="s">
        <v>2004</v>
      </c>
      <c r="L554" s="17" t="s">
        <v>2011</v>
      </c>
      <c r="M554" s="101" t="s">
        <v>2006</v>
      </c>
      <c r="N554" s="17" t="s">
        <v>194</v>
      </c>
      <c r="O554" s="88" t="s">
        <v>1520</v>
      </c>
      <c r="P554" s="88" t="s">
        <v>1520</v>
      </c>
      <c r="Q554" s="88" t="s">
        <v>1520</v>
      </c>
      <c r="R554" s="88" t="s">
        <v>1521</v>
      </c>
      <c r="S554" s="88" t="s">
        <v>1520</v>
      </c>
      <c r="T554" s="88" t="s">
        <v>1520</v>
      </c>
      <c r="U554" s="88" t="s">
        <v>1519</v>
      </c>
      <c r="V554" s="88" t="s">
        <v>1519</v>
      </c>
      <c r="W554" s="88" t="s">
        <v>1520</v>
      </c>
      <c r="X554" s="88" t="s">
        <v>2012</v>
      </c>
      <c r="Y554" s="88" t="s">
        <v>1520</v>
      </c>
      <c r="Z554" s="88" t="s">
        <v>1520</v>
      </c>
      <c r="AA554" s="88" t="s">
        <v>1520</v>
      </c>
      <c r="AB554" s="88" t="s">
        <v>1520</v>
      </c>
      <c r="AC554" s="88" t="s">
        <v>1520</v>
      </c>
      <c r="AD554" s="89"/>
      <c r="AE554" s="18" t="s">
        <v>577</v>
      </c>
      <c r="AF554" s="24"/>
      <c r="AG554" s="24"/>
      <c r="AH554" s="24"/>
      <c r="AI554" s="24"/>
      <c r="AJ554" s="24"/>
      <c r="AK554" s="24"/>
      <c r="AL554" s="24"/>
      <c r="AM554" s="24"/>
    </row>
    <row r="555">
      <c r="A555" s="11"/>
      <c r="B555" s="12" t="s">
        <v>7</v>
      </c>
      <c r="C555" s="12" t="s">
        <v>8</v>
      </c>
      <c r="D555" s="12" t="s">
        <v>24</v>
      </c>
      <c r="E555" s="12" t="s">
        <v>25</v>
      </c>
      <c r="F555" s="13" t="s">
        <v>26</v>
      </c>
      <c r="G555" s="12" t="s">
        <v>68</v>
      </c>
      <c r="H555" s="12" t="s">
        <v>994</v>
      </c>
      <c r="I555" s="12" t="s">
        <v>995</v>
      </c>
      <c r="J555" s="17" t="s">
        <v>73</v>
      </c>
      <c r="K555" s="17" t="s">
        <v>2004</v>
      </c>
      <c r="L555" s="17" t="s">
        <v>2013</v>
      </c>
      <c r="M555" s="101" t="s">
        <v>2006</v>
      </c>
      <c r="N555" s="17" t="s">
        <v>194</v>
      </c>
      <c r="O555" s="88" t="s">
        <v>1520</v>
      </c>
      <c r="P555" s="88" t="s">
        <v>1520</v>
      </c>
      <c r="Q555" s="88" t="s">
        <v>1520</v>
      </c>
      <c r="R555" s="88" t="s">
        <v>1521</v>
      </c>
      <c r="S555" s="88" t="s">
        <v>1520</v>
      </c>
      <c r="T555" s="88" t="s">
        <v>1520</v>
      </c>
      <c r="U555" s="88" t="s">
        <v>1520</v>
      </c>
      <c r="V555" s="88" t="s">
        <v>1520</v>
      </c>
      <c r="W555" s="88" t="s">
        <v>1520</v>
      </c>
      <c r="X555" s="88" t="s">
        <v>1520</v>
      </c>
      <c r="Y555" s="88" t="s">
        <v>1520</v>
      </c>
      <c r="Z555" s="88" t="s">
        <v>1520</v>
      </c>
      <c r="AA555" s="88" t="s">
        <v>1520</v>
      </c>
      <c r="AB555" s="88" t="s">
        <v>1520</v>
      </c>
      <c r="AC555" s="88" t="s">
        <v>1520</v>
      </c>
      <c r="AD555" s="89"/>
      <c r="AE555" s="18" t="s">
        <v>577</v>
      </c>
      <c r="AF555" s="24"/>
      <c r="AG555" s="24"/>
      <c r="AH555" s="24"/>
      <c r="AI555" s="24"/>
      <c r="AJ555" s="24"/>
      <c r="AK555" s="24"/>
      <c r="AL555" s="24"/>
      <c r="AM555" s="24"/>
    </row>
    <row r="556">
      <c r="A556" s="11"/>
      <c r="B556" s="12" t="s">
        <v>7</v>
      </c>
      <c r="C556" s="12" t="s">
        <v>8</v>
      </c>
      <c r="D556" s="12" t="s">
        <v>24</v>
      </c>
      <c r="E556" s="12" t="s">
        <v>25</v>
      </c>
      <c r="F556" s="13" t="s">
        <v>26</v>
      </c>
      <c r="G556" s="12" t="s">
        <v>68</v>
      </c>
      <c r="H556" s="12" t="s">
        <v>994</v>
      </c>
      <c r="I556" s="12" t="s">
        <v>995</v>
      </c>
      <c r="J556" s="17" t="s">
        <v>73</v>
      </c>
      <c r="K556" s="17" t="s">
        <v>2004</v>
      </c>
      <c r="L556" s="17" t="s">
        <v>2014</v>
      </c>
      <c r="M556" s="101" t="s">
        <v>2006</v>
      </c>
      <c r="N556" s="17" t="s">
        <v>194</v>
      </c>
      <c r="O556" s="88" t="s">
        <v>1520</v>
      </c>
      <c r="P556" s="88" t="s">
        <v>1520</v>
      </c>
      <c r="Q556" s="88" t="s">
        <v>1520</v>
      </c>
      <c r="R556" s="88" t="s">
        <v>1521</v>
      </c>
      <c r="S556" s="88" t="s">
        <v>1520</v>
      </c>
      <c r="T556" s="88" t="s">
        <v>1520</v>
      </c>
      <c r="U556" s="88" t="s">
        <v>1520</v>
      </c>
      <c r="V556" s="88" t="s">
        <v>1520</v>
      </c>
      <c r="W556" s="88" t="s">
        <v>1520</v>
      </c>
      <c r="X556" s="88" t="s">
        <v>1520</v>
      </c>
      <c r="Y556" s="88" t="s">
        <v>1520</v>
      </c>
      <c r="Z556" s="88" t="s">
        <v>1520</v>
      </c>
      <c r="AA556" s="88" t="s">
        <v>1519</v>
      </c>
      <c r="AB556" s="88" t="s">
        <v>1520</v>
      </c>
      <c r="AC556" s="88" t="s">
        <v>1520</v>
      </c>
      <c r="AD556" s="89"/>
      <c r="AE556" s="18" t="s">
        <v>577</v>
      </c>
      <c r="AF556" s="24"/>
      <c r="AG556" s="24"/>
      <c r="AH556" s="24"/>
      <c r="AI556" s="24"/>
      <c r="AJ556" s="24"/>
      <c r="AK556" s="24"/>
      <c r="AL556" s="24"/>
      <c r="AM556" s="24"/>
    </row>
    <row r="557">
      <c r="A557" s="11"/>
      <c r="B557" s="12" t="s">
        <v>7</v>
      </c>
      <c r="C557" s="12" t="s">
        <v>8</v>
      </c>
      <c r="D557" s="12" t="s">
        <v>24</v>
      </c>
      <c r="E557" s="12" t="s">
        <v>25</v>
      </c>
      <c r="F557" s="13" t="s">
        <v>26</v>
      </c>
      <c r="G557" s="12" t="s">
        <v>68</v>
      </c>
      <c r="H557" s="12" t="s">
        <v>994</v>
      </c>
      <c r="I557" s="12" t="s">
        <v>995</v>
      </c>
      <c r="J557" s="17" t="s">
        <v>73</v>
      </c>
      <c r="K557" s="17" t="s">
        <v>2004</v>
      </c>
      <c r="L557" s="17" t="s">
        <v>2015</v>
      </c>
      <c r="M557" s="101" t="s">
        <v>2006</v>
      </c>
      <c r="N557" s="17" t="s">
        <v>194</v>
      </c>
      <c r="O557" s="88" t="s">
        <v>1519</v>
      </c>
      <c r="P557" s="88" t="s">
        <v>1520</v>
      </c>
      <c r="Q557" s="88" t="s">
        <v>1520</v>
      </c>
      <c r="R557" s="88" t="s">
        <v>1521</v>
      </c>
      <c r="S557" s="88" t="s">
        <v>1520</v>
      </c>
      <c r="T557" s="88" t="s">
        <v>1520</v>
      </c>
      <c r="U557" s="88" t="s">
        <v>1519</v>
      </c>
      <c r="V557" s="88" t="s">
        <v>1519</v>
      </c>
      <c r="W557" s="88" t="s">
        <v>1520</v>
      </c>
      <c r="X557" s="88" t="s">
        <v>1520</v>
      </c>
      <c r="Y557" s="88" t="s">
        <v>1520</v>
      </c>
      <c r="Z557" s="88" t="s">
        <v>1520</v>
      </c>
      <c r="AA557" s="88" t="s">
        <v>1519</v>
      </c>
      <c r="AB557" s="88" t="s">
        <v>1520</v>
      </c>
      <c r="AC557" s="88" t="s">
        <v>1520</v>
      </c>
      <c r="AD557" s="89"/>
      <c r="AE557" s="18" t="s">
        <v>577</v>
      </c>
      <c r="AF557" s="24"/>
      <c r="AG557" s="24"/>
      <c r="AH557" s="24"/>
      <c r="AI557" s="24"/>
      <c r="AJ557" s="24"/>
      <c r="AK557" s="24"/>
      <c r="AL557" s="24"/>
      <c r="AM557" s="24"/>
    </row>
    <row r="558">
      <c r="A558" s="11"/>
      <c r="B558" s="12" t="s">
        <v>7</v>
      </c>
      <c r="C558" s="12" t="s">
        <v>8</v>
      </c>
      <c r="D558" s="12" t="s">
        <v>24</v>
      </c>
      <c r="E558" s="12" t="s">
        <v>25</v>
      </c>
      <c r="F558" s="13" t="s">
        <v>26</v>
      </c>
      <c r="G558" s="12" t="s">
        <v>68</v>
      </c>
      <c r="H558" s="12" t="s">
        <v>994</v>
      </c>
      <c r="I558" s="12" t="s">
        <v>995</v>
      </c>
      <c r="J558" s="17" t="s">
        <v>108</v>
      </c>
      <c r="K558" s="17" t="s">
        <v>2016</v>
      </c>
      <c r="L558" s="17" t="s">
        <v>2017</v>
      </c>
      <c r="M558" s="101" t="s">
        <v>2006</v>
      </c>
      <c r="N558" s="17" t="s">
        <v>194</v>
      </c>
      <c r="O558" s="88" t="s">
        <v>1519</v>
      </c>
      <c r="P558" s="88" t="s">
        <v>1519</v>
      </c>
      <c r="Q558" s="88" t="s">
        <v>1520</v>
      </c>
      <c r="R558" s="88" t="s">
        <v>1521</v>
      </c>
      <c r="S558" s="88" t="s">
        <v>1519</v>
      </c>
      <c r="T558" s="88" t="s">
        <v>1519</v>
      </c>
      <c r="U558" s="88" t="s">
        <v>1519</v>
      </c>
      <c r="V558" s="88" t="s">
        <v>1519</v>
      </c>
      <c r="W558" s="88" t="s">
        <v>1520</v>
      </c>
      <c r="X558" s="88" t="s">
        <v>1520</v>
      </c>
      <c r="Y558" s="88" t="s">
        <v>1520</v>
      </c>
      <c r="Z558" s="88" t="s">
        <v>1520</v>
      </c>
      <c r="AA558" s="88" t="s">
        <v>1520</v>
      </c>
      <c r="AB558" s="88" t="s">
        <v>1520</v>
      </c>
      <c r="AC558" s="88" t="s">
        <v>1520</v>
      </c>
      <c r="AD558" s="89"/>
      <c r="AE558" s="18" t="s">
        <v>577</v>
      </c>
      <c r="AF558" s="24"/>
      <c r="AG558" s="24"/>
      <c r="AH558" s="24"/>
      <c r="AI558" s="24"/>
      <c r="AJ558" s="24"/>
      <c r="AK558" s="24"/>
      <c r="AL558" s="24"/>
      <c r="AM558" s="24"/>
    </row>
    <row r="559">
      <c r="A559" s="11"/>
      <c r="B559" s="12" t="s">
        <v>7</v>
      </c>
      <c r="C559" s="12" t="s">
        <v>8</v>
      </c>
      <c r="D559" s="12" t="s">
        <v>24</v>
      </c>
      <c r="E559" s="12" t="s">
        <v>25</v>
      </c>
      <c r="F559" s="13" t="s">
        <v>26</v>
      </c>
      <c r="G559" s="12" t="s">
        <v>68</v>
      </c>
      <c r="H559" s="12" t="s">
        <v>994</v>
      </c>
      <c r="I559" s="12" t="s">
        <v>995</v>
      </c>
      <c r="J559" s="17" t="s">
        <v>108</v>
      </c>
      <c r="K559" s="17" t="s">
        <v>2016</v>
      </c>
      <c r="L559" s="17" t="s">
        <v>2018</v>
      </c>
      <c r="M559" s="101" t="s">
        <v>2006</v>
      </c>
      <c r="N559" s="17" t="s">
        <v>194</v>
      </c>
      <c r="O559" s="88" t="s">
        <v>1519</v>
      </c>
      <c r="P559" s="88" t="s">
        <v>1519</v>
      </c>
      <c r="Q559" s="88" t="s">
        <v>1520</v>
      </c>
      <c r="R559" s="88" t="s">
        <v>1521</v>
      </c>
      <c r="S559" s="88" t="s">
        <v>1519</v>
      </c>
      <c r="T559" s="88" t="s">
        <v>1519</v>
      </c>
      <c r="U559" s="88" t="s">
        <v>1519</v>
      </c>
      <c r="V559" s="88" t="s">
        <v>1519</v>
      </c>
      <c r="W559" s="88" t="s">
        <v>1520</v>
      </c>
      <c r="X559" s="88" t="s">
        <v>1520</v>
      </c>
      <c r="Y559" s="88" t="s">
        <v>1520</v>
      </c>
      <c r="Z559" s="88" t="s">
        <v>1520</v>
      </c>
      <c r="AA559" s="88" t="s">
        <v>1519</v>
      </c>
      <c r="AB559" s="88" t="s">
        <v>1520</v>
      </c>
      <c r="AC559" s="88" t="s">
        <v>1520</v>
      </c>
      <c r="AD559" s="89"/>
      <c r="AE559" s="18" t="s">
        <v>577</v>
      </c>
      <c r="AF559" s="24"/>
      <c r="AG559" s="24"/>
      <c r="AH559" s="24"/>
      <c r="AI559" s="24"/>
      <c r="AJ559" s="24"/>
      <c r="AK559" s="24"/>
      <c r="AL559" s="24"/>
      <c r="AM559" s="24"/>
    </row>
    <row r="560">
      <c r="A560" s="11"/>
      <c r="B560" s="12" t="s">
        <v>7</v>
      </c>
      <c r="C560" s="12" t="s">
        <v>8</v>
      </c>
      <c r="D560" s="12" t="s">
        <v>24</v>
      </c>
      <c r="E560" s="12" t="s">
        <v>25</v>
      </c>
      <c r="F560" s="13" t="s">
        <v>26</v>
      </c>
      <c r="G560" s="12" t="s">
        <v>68</v>
      </c>
      <c r="H560" s="12" t="s">
        <v>994</v>
      </c>
      <c r="I560" s="12" t="s">
        <v>995</v>
      </c>
      <c r="J560" s="17" t="s">
        <v>108</v>
      </c>
      <c r="K560" s="17" t="s">
        <v>2016</v>
      </c>
      <c r="L560" s="17" t="s">
        <v>2019</v>
      </c>
      <c r="M560" s="101" t="s">
        <v>2006</v>
      </c>
      <c r="N560" s="17" t="s">
        <v>194</v>
      </c>
      <c r="O560" s="88" t="s">
        <v>1519</v>
      </c>
      <c r="P560" s="88" t="s">
        <v>1519</v>
      </c>
      <c r="Q560" s="88" t="s">
        <v>1520</v>
      </c>
      <c r="R560" s="88" t="s">
        <v>1521</v>
      </c>
      <c r="S560" s="88" t="s">
        <v>1519</v>
      </c>
      <c r="T560" s="88" t="s">
        <v>1519</v>
      </c>
      <c r="U560" s="88" t="s">
        <v>1519</v>
      </c>
      <c r="V560" s="88" t="s">
        <v>1519</v>
      </c>
      <c r="W560" s="88" t="s">
        <v>1520</v>
      </c>
      <c r="X560" s="88" t="s">
        <v>1520</v>
      </c>
      <c r="Y560" s="88" t="s">
        <v>1520</v>
      </c>
      <c r="Z560" s="88" t="s">
        <v>1520</v>
      </c>
      <c r="AA560" s="88" t="s">
        <v>1520</v>
      </c>
      <c r="AB560" s="88" t="s">
        <v>1520</v>
      </c>
      <c r="AC560" s="88" t="s">
        <v>1520</v>
      </c>
      <c r="AD560" s="89"/>
      <c r="AE560" s="18" t="s">
        <v>577</v>
      </c>
      <c r="AF560" s="24"/>
      <c r="AG560" s="24"/>
      <c r="AH560" s="24"/>
      <c r="AI560" s="24"/>
      <c r="AJ560" s="24"/>
      <c r="AK560" s="24"/>
      <c r="AL560" s="24"/>
      <c r="AM560" s="24"/>
    </row>
    <row r="561">
      <c r="A561" s="11"/>
      <c r="B561" s="12" t="s">
        <v>7</v>
      </c>
      <c r="C561" s="12" t="s">
        <v>8</v>
      </c>
      <c r="D561" s="12" t="s">
        <v>24</v>
      </c>
      <c r="E561" s="12" t="s">
        <v>25</v>
      </c>
      <c r="F561" s="13" t="s">
        <v>26</v>
      </c>
      <c r="G561" s="12" t="s">
        <v>68</v>
      </c>
      <c r="H561" s="12" t="s">
        <v>994</v>
      </c>
      <c r="I561" s="12" t="s">
        <v>995</v>
      </c>
      <c r="J561" s="17" t="s">
        <v>108</v>
      </c>
      <c r="K561" s="17" t="s">
        <v>2016</v>
      </c>
      <c r="L561" s="17" t="s">
        <v>2020</v>
      </c>
      <c r="M561" s="101" t="s">
        <v>2006</v>
      </c>
      <c r="N561" s="17" t="s">
        <v>194</v>
      </c>
      <c r="O561" s="88" t="s">
        <v>1520</v>
      </c>
      <c r="P561" s="88" t="s">
        <v>1520</v>
      </c>
      <c r="Q561" s="88" t="s">
        <v>1520</v>
      </c>
      <c r="R561" s="88" t="s">
        <v>1521</v>
      </c>
      <c r="S561" s="88" t="s">
        <v>1519</v>
      </c>
      <c r="T561" s="88" t="s">
        <v>1519</v>
      </c>
      <c r="U561" s="88" t="s">
        <v>1519</v>
      </c>
      <c r="V561" s="88" t="s">
        <v>1519</v>
      </c>
      <c r="W561" s="88" t="s">
        <v>1520</v>
      </c>
      <c r="X561" s="88" t="s">
        <v>1519</v>
      </c>
      <c r="Y561" s="88" t="s">
        <v>1520</v>
      </c>
      <c r="Z561" s="88" t="s">
        <v>1520</v>
      </c>
      <c r="AA561" s="88" t="s">
        <v>1520</v>
      </c>
      <c r="AB561" s="88" t="s">
        <v>1520</v>
      </c>
      <c r="AC561" s="88" t="s">
        <v>1520</v>
      </c>
      <c r="AD561" s="89"/>
      <c r="AE561" s="18" t="s">
        <v>577</v>
      </c>
      <c r="AF561" s="24"/>
      <c r="AG561" s="24"/>
      <c r="AH561" s="24"/>
      <c r="AI561" s="24"/>
      <c r="AJ561" s="24"/>
      <c r="AK561" s="24"/>
      <c r="AL561" s="24"/>
      <c r="AM561" s="24"/>
    </row>
    <row r="562">
      <c r="A562" s="11"/>
      <c r="B562" s="12" t="s">
        <v>7</v>
      </c>
      <c r="C562" s="12" t="s">
        <v>8</v>
      </c>
      <c r="D562" s="12" t="s">
        <v>24</v>
      </c>
      <c r="E562" s="12" t="s">
        <v>25</v>
      </c>
      <c r="F562" s="13" t="s">
        <v>26</v>
      </c>
      <c r="G562" s="12" t="s">
        <v>68</v>
      </c>
      <c r="H562" s="12" t="s">
        <v>994</v>
      </c>
      <c r="I562" s="12" t="s">
        <v>995</v>
      </c>
      <c r="J562" s="17" t="s">
        <v>108</v>
      </c>
      <c r="K562" s="17" t="s">
        <v>2016</v>
      </c>
      <c r="L562" s="17" t="s">
        <v>2021</v>
      </c>
      <c r="M562" s="101" t="s">
        <v>2006</v>
      </c>
      <c r="N562" s="17" t="s">
        <v>194</v>
      </c>
      <c r="O562" s="88" t="s">
        <v>1520</v>
      </c>
      <c r="P562" s="88" t="s">
        <v>1520</v>
      </c>
      <c r="Q562" s="88" t="s">
        <v>1520</v>
      </c>
      <c r="R562" s="88" t="s">
        <v>1521</v>
      </c>
      <c r="S562" s="88" t="s">
        <v>1519</v>
      </c>
      <c r="T562" s="88" t="s">
        <v>1519</v>
      </c>
      <c r="U562" s="88" t="s">
        <v>1519</v>
      </c>
      <c r="V562" s="88" t="s">
        <v>1519</v>
      </c>
      <c r="W562" s="88" t="s">
        <v>1520</v>
      </c>
      <c r="X562" s="88" t="s">
        <v>1519</v>
      </c>
      <c r="Y562" s="88" t="s">
        <v>1519</v>
      </c>
      <c r="Z562" s="88" t="s">
        <v>1519</v>
      </c>
      <c r="AA562" s="88" t="s">
        <v>1520</v>
      </c>
      <c r="AB562" s="88" t="s">
        <v>1520</v>
      </c>
      <c r="AC562" s="88" t="s">
        <v>1520</v>
      </c>
      <c r="AD562" s="89"/>
      <c r="AE562" s="18" t="s">
        <v>577</v>
      </c>
      <c r="AF562" s="24"/>
      <c r="AG562" s="24"/>
      <c r="AH562" s="24"/>
      <c r="AI562" s="24"/>
      <c r="AJ562" s="24"/>
      <c r="AK562" s="24"/>
      <c r="AL562" s="24"/>
      <c r="AM562" s="24"/>
    </row>
    <row r="563">
      <c r="A563" s="11"/>
      <c r="B563" s="12" t="s">
        <v>7</v>
      </c>
      <c r="C563" s="12" t="s">
        <v>8</v>
      </c>
      <c r="D563" s="12" t="s">
        <v>24</v>
      </c>
      <c r="E563" s="12" t="s">
        <v>25</v>
      </c>
      <c r="F563" s="13" t="s">
        <v>26</v>
      </c>
      <c r="G563" s="12" t="s">
        <v>68</v>
      </c>
      <c r="H563" s="12" t="s">
        <v>994</v>
      </c>
      <c r="I563" s="12" t="s">
        <v>995</v>
      </c>
      <c r="J563" s="17" t="s">
        <v>108</v>
      </c>
      <c r="K563" s="17" t="s">
        <v>2016</v>
      </c>
      <c r="L563" s="17" t="s">
        <v>2022</v>
      </c>
      <c r="M563" s="101" t="s">
        <v>2006</v>
      </c>
      <c r="N563" s="17" t="s">
        <v>194</v>
      </c>
      <c r="O563" s="88" t="s">
        <v>1519</v>
      </c>
      <c r="P563" s="88" t="s">
        <v>1519</v>
      </c>
      <c r="Q563" s="88" t="s">
        <v>1520</v>
      </c>
      <c r="R563" s="88" t="s">
        <v>1521</v>
      </c>
      <c r="S563" s="88" t="s">
        <v>1519</v>
      </c>
      <c r="T563" s="88" t="s">
        <v>1519</v>
      </c>
      <c r="U563" s="88" t="s">
        <v>1519</v>
      </c>
      <c r="V563" s="88" t="s">
        <v>1519</v>
      </c>
      <c r="W563" s="88" t="s">
        <v>1520</v>
      </c>
      <c r="X563" s="88" t="s">
        <v>1519</v>
      </c>
      <c r="Y563" s="88" t="s">
        <v>1520</v>
      </c>
      <c r="Z563" s="88" t="s">
        <v>1520</v>
      </c>
      <c r="AA563" s="88" t="s">
        <v>1520</v>
      </c>
      <c r="AB563" s="88" t="s">
        <v>1520</v>
      </c>
      <c r="AC563" s="88" t="s">
        <v>1520</v>
      </c>
      <c r="AD563" s="89"/>
      <c r="AE563" s="18" t="s">
        <v>577</v>
      </c>
      <c r="AF563" s="24"/>
      <c r="AG563" s="24"/>
      <c r="AH563" s="24"/>
      <c r="AI563" s="24"/>
      <c r="AJ563" s="24"/>
      <c r="AK563" s="24"/>
      <c r="AL563" s="24"/>
      <c r="AM563" s="24"/>
    </row>
    <row r="564">
      <c r="A564" s="11"/>
      <c r="B564" s="12" t="s">
        <v>7</v>
      </c>
      <c r="C564" s="12" t="s">
        <v>8</v>
      </c>
      <c r="D564" s="12" t="s">
        <v>24</v>
      </c>
      <c r="E564" s="12" t="s">
        <v>25</v>
      </c>
      <c r="F564" s="13" t="s">
        <v>26</v>
      </c>
      <c r="G564" s="12" t="s">
        <v>68</v>
      </c>
      <c r="H564" s="12" t="s">
        <v>994</v>
      </c>
      <c r="I564" s="12" t="s">
        <v>995</v>
      </c>
      <c r="J564" s="17" t="s">
        <v>108</v>
      </c>
      <c r="K564" s="17" t="s">
        <v>2016</v>
      </c>
      <c r="L564" s="17" t="s">
        <v>2023</v>
      </c>
      <c r="M564" s="101" t="s">
        <v>2006</v>
      </c>
      <c r="N564" s="17" t="s">
        <v>194</v>
      </c>
      <c r="O564" s="88" t="s">
        <v>1519</v>
      </c>
      <c r="P564" s="88" t="s">
        <v>1519</v>
      </c>
      <c r="Q564" s="88" t="s">
        <v>1520</v>
      </c>
      <c r="R564" s="88" t="s">
        <v>1521</v>
      </c>
      <c r="S564" s="88" t="s">
        <v>1519</v>
      </c>
      <c r="T564" s="88" t="s">
        <v>1519</v>
      </c>
      <c r="U564" s="88" t="s">
        <v>1519</v>
      </c>
      <c r="V564" s="88" t="s">
        <v>1519</v>
      </c>
      <c r="W564" s="88" t="s">
        <v>1520</v>
      </c>
      <c r="X564" s="88" t="s">
        <v>1520</v>
      </c>
      <c r="Y564" s="88" t="s">
        <v>1520</v>
      </c>
      <c r="Z564" s="88" t="s">
        <v>1520</v>
      </c>
      <c r="AA564" s="88" t="s">
        <v>1520</v>
      </c>
      <c r="AB564" s="88" t="s">
        <v>1520</v>
      </c>
      <c r="AC564" s="88" t="s">
        <v>1520</v>
      </c>
      <c r="AD564" s="89"/>
      <c r="AE564" s="18" t="s">
        <v>577</v>
      </c>
      <c r="AF564" s="24"/>
      <c r="AG564" s="24"/>
      <c r="AH564" s="24"/>
      <c r="AI564" s="24"/>
      <c r="AJ564" s="24"/>
      <c r="AK564" s="24"/>
      <c r="AL564" s="24"/>
      <c r="AM564" s="24"/>
    </row>
    <row r="565">
      <c r="A565" s="11"/>
      <c r="B565" s="12" t="s">
        <v>7</v>
      </c>
      <c r="C565" s="12" t="s">
        <v>8</v>
      </c>
      <c r="D565" s="12" t="s">
        <v>24</v>
      </c>
      <c r="E565" s="12" t="s">
        <v>25</v>
      </c>
      <c r="F565" s="13" t="s">
        <v>26</v>
      </c>
      <c r="G565" s="12" t="s">
        <v>68</v>
      </c>
      <c r="H565" s="12" t="s">
        <v>994</v>
      </c>
      <c r="I565" s="12" t="s">
        <v>995</v>
      </c>
      <c r="J565" s="17" t="s">
        <v>108</v>
      </c>
      <c r="K565" s="17" t="s">
        <v>2016</v>
      </c>
      <c r="L565" s="17" t="s">
        <v>2024</v>
      </c>
      <c r="M565" s="101" t="s">
        <v>2006</v>
      </c>
      <c r="N565" s="17" t="s">
        <v>194</v>
      </c>
      <c r="O565" s="88" t="s">
        <v>1519</v>
      </c>
      <c r="P565" s="88" t="s">
        <v>1519</v>
      </c>
      <c r="Q565" s="88" t="s">
        <v>1520</v>
      </c>
      <c r="R565" s="88" t="s">
        <v>1521</v>
      </c>
      <c r="S565" s="88" t="s">
        <v>1519</v>
      </c>
      <c r="T565" s="88" t="s">
        <v>1519</v>
      </c>
      <c r="U565" s="88" t="s">
        <v>1519</v>
      </c>
      <c r="V565" s="88" t="s">
        <v>1519</v>
      </c>
      <c r="W565" s="88" t="s">
        <v>1520</v>
      </c>
      <c r="X565" s="88" t="s">
        <v>1520</v>
      </c>
      <c r="Y565" s="88" t="s">
        <v>1520</v>
      </c>
      <c r="Z565" s="88" t="s">
        <v>1520</v>
      </c>
      <c r="AA565" s="88" t="s">
        <v>1520</v>
      </c>
      <c r="AB565" s="88" t="s">
        <v>1520</v>
      </c>
      <c r="AC565" s="88" t="s">
        <v>1520</v>
      </c>
      <c r="AD565" s="89"/>
      <c r="AE565" s="18" t="s">
        <v>577</v>
      </c>
      <c r="AF565" s="24"/>
      <c r="AG565" s="24"/>
      <c r="AH565" s="24"/>
      <c r="AI565" s="24"/>
      <c r="AJ565" s="24"/>
      <c r="AK565" s="24"/>
      <c r="AL565" s="24"/>
      <c r="AM565" s="24"/>
    </row>
    <row r="566">
      <c r="A566" s="11"/>
      <c r="B566" s="12" t="s">
        <v>7</v>
      </c>
      <c r="C566" s="12" t="s">
        <v>8</v>
      </c>
      <c r="D566" s="12" t="s">
        <v>24</v>
      </c>
      <c r="E566" s="12" t="s">
        <v>25</v>
      </c>
      <c r="F566" s="13" t="s">
        <v>26</v>
      </c>
      <c r="G566" s="12" t="s">
        <v>68</v>
      </c>
      <c r="H566" s="12" t="s">
        <v>994</v>
      </c>
      <c r="I566" s="12" t="s">
        <v>995</v>
      </c>
      <c r="J566" s="17" t="s">
        <v>108</v>
      </c>
      <c r="K566" s="17" t="s">
        <v>2016</v>
      </c>
      <c r="L566" s="17" t="s">
        <v>2025</v>
      </c>
      <c r="M566" s="101" t="s">
        <v>2006</v>
      </c>
      <c r="N566" s="17" t="s">
        <v>194</v>
      </c>
      <c r="O566" s="88" t="s">
        <v>1520</v>
      </c>
      <c r="P566" s="88" t="s">
        <v>1520</v>
      </c>
      <c r="Q566" s="88" t="s">
        <v>1520</v>
      </c>
      <c r="R566" s="88" t="s">
        <v>1521</v>
      </c>
      <c r="S566" s="88" t="s">
        <v>1519</v>
      </c>
      <c r="T566" s="88" t="s">
        <v>1519</v>
      </c>
      <c r="U566" s="88" t="s">
        <v>1519</v>
      </c>
      <c r="V566" s="88" t="s">
        <v>1519</v>
      </c>
      <c r="W566" s="88" t="s">
        <v>1520</v>
      </c>
      <c r="X566" s="88" t="s">
        <v>1520</v>
      </c>
      <c r="Y566" s="88" t="s">
        <v>1520</v>
      </c>
      <c r="Z566" s="88" t="s">
        <v>1520</v>
      </c>
      <c r="AA566" s="88" t="s">
        <v>1520</v>
      </c>
      <c r="AB566" s="88" t="s">
        <v>1520</v>
      </c>
      <c r="AC566" s="88" t="s">
        <v>1520</v>
      </c>
      <c r="AD566" s="89"/>
      <c r="AE566" s="18" t="s">
        <v>577</v>
      </c>
      <c r="AF566" s="24"/>
      <c r="AG566" s="24"/>
      <c r="AH566" s="24"/>
      <c r="AI566" s="24"/>
      <c r="AJ566" s="24"/>
      <c r="AK566" s="24"/>
      <c r="AL566" s="24"/>
      <c r="AM566" s="24"/>
    </row>
    <row r="567">
      <c r="A567" s="11"/>
      <c r="B567" s="12" t="s">
        <v>7</v>
      </c>
      <c r="C567" s="12" t="s">
        <v>8</v>
      </c>
      <c r="D567" s="12" t="s">
        <v>24</v>
      </c>
      <c r="E567" s="12" t="s">
        <v>25</v>
      </c>
      <c r="F567" s="13" t="s">
        <v>26</v>
      </c>
      <c r="G567" s="12" t="s">
        <v>68</v>
      </c>
      <c r="H567" s="12" t="s">
        <v>994</v>
      </c>
      <c r="I567" s="12" t="s">
        <v>995</v>
      </c>
      <c r="J567" s="17" t="s">
        <v>108</v>
      </c>
      <c r="K567" s="17" t="s">
        <v>2016</v>
      </c>
      <c r="L567" s="17" t="s">
        <v>2026</v>
      </c>
      <c r="M567" s="101" t="s">
        <v>2006</v>
      </c>
      <c r="N567" s="17" t="s">
        <v>194</v>
      </c>
      <c r="O567" s="88" t="s">
        <v>1520</v>
      </c>
      <c r="P567" s="88" t="s">
        <v>1520</v>
      </c>
      <c r="Q567" s="88" t="s">
        <v>1520</v>
      </c>
      <c r="R567" s="88" t="s">
        <v>1521</v>
      </c>
      <c r="S567" s="88" t="s">
        <v>1520</v>
      </c>
      <c r="T567" s="88" t="s">
        <v>1520</v>
      </c>
      <c r="U567" s="88" t="s">
        <v>1519</v>
      </c>
      <c r="V567" s="88" t="s">
        <v>1519</v>
      </c>
      <c r="W567" s="88" t="s">
        <v>1520</v>
      </c>
      <c r="X567" s="88" t="s">
        <v>1520</v>
      </c>
      <c r="Y567" s="88" t="s">
        <v>1520</v>
      </c>
      <c r="Z567" s="88" t="s">
        <v>1520</v>
      </c>
      <c r="AA567" s="88" t="s">
        <v>1520</v>
      </c>
      <c r="AB567" s="88" t="s">
        <v>1520</v>
      </c>
      <c r="AC567" s="88" t="s">
        <v>1520</v>
      </c>
      <c r="AD567" s="89"/>
      <c r="AE567" s="18" t="s">
        <v>577</v>
      </c>
      <c r="AF567" s="24"/>
      <c r="AG567" s="24"/>
      <c r="AH567" s="24"/>
      <c r="AI567" s="24"/>
      <c r="AJ567" s="24"/>
      <c r="AK567" s="24"/>
      <c r="AL567" s="24"/>
      <c r="AM567" s="24"/>
    </row>
    <row r="568">
      <c r="A568" s="11"/>
      <c r="B568" s="12" t="s">
        <v>7</v>
      </c>
      <c r="C568" s="12" t="s">
        <v>8</v>
      </c>
      <c r="D568" s="12" t="s">
        <v>24</v>
      </c>
      <c r="E568" s="12" t="s">
        <v>25</v>
      </c>
      <c r="F568" s="13" t="s">
        <v>26</v>
      </c>
      <c r="G568" s="12" t="s">
        <v>68</v>
      </c>
      <c r="H568" s="12" t="s">
        <v>994</v>
      </c>
      <c r="I568" s="12" t="s">
        <v>995</v>
      </c>
      <c r="J568" s="17" t="s">
        <v>108</v>
      </c>
      <c r="K568" s="17" t="s">
        <v>2016</v>
      </c>
      <c r="L568" s="17" t="s">
        <v>2027</v>
      </c>
      <c r="M568" s="101" t="s">
        <v>2006</v>
      </c>
      <c r="N568" s="17" t="s">
        <v>194</v>
      </c>
      <c r="O568" s="88" t="s">
        <v>1519</v>
      </c>
      <c r="P568" s="88" t="s">
        <v>1519</v>
      </c>
      <c r="Q568" s="88" t="s">
        <v>1520</v>
      </c>
      <c r="R568" s="88" t="s">
        <v>1521</v>
      </c>
      <c r="S568" s="88" t="s">
        <v>1519</v>
      </c>
      <c r="T568" s="88" t="s">
        <v>1519</v>
      </c>
      <c r="U568" s="88" t="s">
        <v>1519</v>
      </c>
      <c r="V568" s="88" t="s">
        <v>1519</v>
      </c>
      <c r="W568" s="88" t="s">
        <v>1520</v>
      </c>
      <c r="X568" s="88" t="s">
        <v>1520</v>
      </c>
      <c r="Y568" s="88" t="s">
        <v>1520</v>
      </c>
      <c r="Z568" s="88" t="s">
        <v>1520</v>
      </c>
      <c r="AA568" s="88" t="s">
        <v>1520</v>
      </c>
      <c r="AB568" s="88" t="s">
        <v>1520</v>
      </c>
      <c r="AC568" s="88" t="s">
        <v>1520</v>
      </c>
      <c r="AD568" s="89"/>
      <c r="AE568" s="18" t="s">
        <v>577</v>
      </c>
      <c r="AF568" s="24"/>
      <c r="AG568" s="24"/>
      <c r="AH568" s="24"/>
      <c r="AI568" s="24"/>
      <c r="AJ568" s="24"/>
      <c r="AK568" s="24"/>
      <c r="AL568" s="24"/>
      <c r="AM568" s="24"/>
    </row>
    <row r="569">
      <c r="A569" s="11"/>
      <c r="B569" s="12" t="s">
        <v>7</v>
      </c>
      <c r="C569" s="12" t="s">
        <v>8</v>
      </c>
      <c r="D569" s="12" t="s">
        <v>24</v>
      </c>
      <c r="E569" s="12" t="s">
        <v>25</v>
      </c>
      <c r="F569" s="13" t="s">
        <v>26</v>
      </c>
      <c r="G569" s="12" t="s">
        <v>68</v>
      </c>
      <c r="H569" s="12" t="s">
        <v>994</v>
      </c>
      <c r="I569" s="12" t="s">
        <v>995</v>
      </c>
      <c r="J569" s="17" t="s">
        <v>112</v>
      </c>
      <c r="K569" s="17" t="s">
        <v>2028</v>
      </c>
      <c r="L569" s="17" t="s">
        <v>2029</v>
      </c>
      <c r="M569" s="101" t="s">
        <v>2006</v>
      </c>
      <c r="N569" s="17" t="s">
        <v>194</v>
      </c>
      <c r="O569" s="88" t="s">
        <v>1519</v>
      </c>
      <c r="P569" s="88" t="s">
        <v>1519</v>
      </c>
      <c r="Q569" s="88" t="s">
        <v>1520</v>
      </c>
      <c r="R569" s="88" t="s">
        <v>1521</v>
      </c>
      <c r="S569" s="88" t="s">
        <v>1519</v>
      </c>
      <c r="T569" s="88" t="s">
        <v>1520</v>
      </c>
      <c r="U569" s="88" t="s">
        <v>1519</v>
      </c>
      <c r="V569" s="88" t="s">
        <v>1519</v>
      </c>
      <c r="W569" s="88" t="s">
        <v>1520</v>
      </c>
      <c r="X569" s="88" t="s">
        <v>1520</v>
      </c>
      <c r="Y569" s="88" t="s">
        <v>1520</v>
      </c>
      <c r="Z569" s="88" t="s">
        <v>1520</v>
      </c>
      <c r="AA569" s="88" t="s">
        <v>1520</v>
      </c>
      <c r="AB569" s="88" t="s">
        <v>1520</v>
      </c>
      <c r="AC569" s="88" t="s">
        <v>1520</v>
      </c>
      <c r="AD569" s="89"/>
      <c r="AE569" s="18" t="s">
        <v>577</v>
      </c>
      <c r="AF569" s="24"/>
      <c r="AG569" s="24"/>
      <c r="AH569" s="24"/>
      <c r="AI569" s="24"/>
      <c r="AJ569" s="24"/>
      <c r="AK569" s="24"/>
      <c r="AL569" s="24"/>
      <c r="AM569" s="24"/>
    </row>
    <row r="570">
      <c r="A570" s="11"/>
      <c r="B570" s="12" t="s">
        <v>7</v>
      </c>
      <c r="C570" s="12" t="s">
        <v>8</v>
      </c>
      <c r="D570" s="12" t="s">
        <v>24</v>
      </c>
      <c r="E570" s="12" t="s">
        <v>25</v>
      </c>
      <c r="F570" s="13" t="s">
        <v>26</v>
      </c>
      <c r="G570" s="12" t="s">
        <v>68</v>
      </c>
      <c r="H570" s="12" t="s">
        <v>994</v>
      </c>
      <c r="I570" s="12" t="s">
        <v>995</v>
      </c>
      <c r="J570" s="17" t="s">
        <v>112</v>
      </c>
      <c r="K570" s="17" t="s">
        <v>2028</v>
      </c>
      <c r="L570" s="17" t="s">
        <v>2030</v>
      </c>
      <c r="M570" s="101" t="s">
        <v>2006</v>
      </c>
      <c r="N570" s="17" t="s">
        <v>194</v>
      </c>
      <c r="O570" s="88" t="s">
        <v>1520</v>
      </c>
      <c r="P570" s="88" t="s">
        <v>1520</v>
      </c>
      <c r="Q570" s="88" t="s">
        <v>1520</v>
      </c>
      <c r="R570" s="88" t="s">
        <v>1521</v>
      </c>
      <c r="S570" s="88" t="s">
        <v>1519</v>
      </c>
      <c r="T570" s="88" t="s">
        <v>1520</v>
      </c>
      <c r="U570" s="88" t="s">
        <v>1520</v>
      </c>
      <c r="V570" s="88" t="s">
        <v>1520</v>
      </c>
      <c r="W570" s="88" t="s">
        <v>1520</v>
      </c>
      <c r="X570" s="88" t="s">
        <v>1520</v>
      </c>
      <c r="Y570" s="88" t="s">
        <v>1520</v>
      </c>
      <c r="Z570" s="88" t="s">
        <v>1520</v>
      </c>
      <c r="AA570" s="88" t="s">
        <v>1520</v>
      </c>
      <c r="AB570" s="88" t="s">
        <v>1520</v>
      </c>
      <c r="AC570" s="88" t="s">
        <v>1520</v>
      </c>
      <c r="AD570" s="89"/>
      <c r="AE570" s="18" t="s">
        <v>577</v>
      </c>
      <c r="AF570" s="24"/>
      <c r="AG570" s="24"/>
      <c r="AH570" s="24"/>
      <c r="AI570" s="24"/>
      <c r="AJ570" s="24"/>
      <c r="AK570" s="24"/>
      <c r="AL570" s="24"/>
      <c r="AM570" s="24"/>
    </row>
    <row r="571">
      <c r="A571" s="11"/>
      <c r="B571" s="12" t="s">
        <v>7</v>
      </c>
      <c r="C571" s="12" t="s">
        <v>8</v>
      </c>
      <c r="D571" s="12" t="s">
        <v>24</v>
      </c>
      <c r="E571" s="12" t="s">
        <v>25</v>
      </c>
      <c r="F571" s="13" t="s">
        <v>26</v>
      </c>
      <c r="G571" s="12" t="s">
        <v>68</v>
      </c>
      <c r="H571" s="12" t="s">
        <v>994</v>
      </c>
      <c r="I571" s="12" t="s">
        <v>995</v>
      </c>
      <c r="J571" s="17" t="s">
        <v>112</v>
      </c>
      <c r="K571" s="17" t="s">
        <v>2028</v>
      </c>
      <c r="L571" s="17" t="s">
        <v>2031</v>
      </c>
      <c r="M571" s="101" t="s">
        <v>2006</v>
      </c>
      <c r="N571" s="17" t="s">
        <v>194</v>
      </c>
      <c r="O571" s="88" t="s">
        <v>1520</v>
      </c>
      <c r="P571" s="88" t="s">
        <v>1520</v>
      </c>
      <c r="Q571" s="88" t="s">
        <v>1520</v>
      </c>
      <c r="R571" s="88" t="s">
        <v>1521</v>
      </c>
      <c r="S571" s="88" t="s">
        <v>1519</v>
      </c>
      <c r="T571" s="88" t="s">
        <v>1520</v>
      </c>
      <c r="U571" s="88" t="s">
        <v>1520</v>
      </c>
      <c r="V571" s="88" t="s">
        <v>1520</v>
      </c>
      <c r="W571" s="88" t="s">
        <v>1520</v>
      </c>
      <c r="X571" s="88" t="s">
        <v>1520</v>
      </c>
      <c r="Y571" s="88" t="s">
        <v>1520</v>
      </c>
      <c r="Z571" s="88" t="s">
        <v>1520</v>
      </c>
      <c r="AA571" s="88" t="s">
        <v>1520</v>
      </c>
      <c r="AB571" s="88" t="s">
        <v>1520</v>
      </c>
      <c r="AC571" s="88" t="s">
        <v>1520</v>
      </c>
      <c r="AD571" s="89"/>
      <c r="AE571" s="18" t="s">
        <v>577</v>
      </c>
      <c r="AF571" s="24"/>
      <c r="AG571" s="24"/>
      <c r="AH571" s="24"/>
      <c r="AI571" s="24"/>
      <c r="AJ571" s="24"/>
      <c r="AK571" s="24"/>
      <c r="AL571" s="24"/>
      <c r="AM571" s="24"/>
    </row>
    <row r="572">
      <c r="A572" s="11"/>
      <c r="B572" s="12" t="s">
        <v>7</v>
      </c>
      <c r="C572" s="12" t="s">
        <v>8</v>
      </c>
      <c r="D572" s="12" t="s">
        <v>24</v>
      </c>
      <c r="E572" s="12" t="s">
        <v>25</v>
      </c>
      <c r="F572" s="13" t="s">
        <v>26</v>
      </c>
      <c r="G572" s="12" t="s">
        <v>68</v>
      </c>
      <c r="H572" s="12" t="s">
        <v>994</v>
      </c>
      <c r="I572" s="12" t="s">
        <v>995</v>
      </c>
      <c r="J572" s="17" t="s">
        <v>112</v>
      </c>
      <c r="K572" s="17" t="s">
        <v>2028</v>
      </c>
      <c r="L572" s="17" t="s">
        <v>2032</v>
      </c>
      <c r="M572" s="101" t="s">
        <v>2006</v>
      </c>
      <c r="N572" s="17" t="s">
        <v>194</v>
      </c>
      <c r="O572" s="88" t="s">
        <v>1519</v>
      </c>
      <c r="P572" s="88" t="s">
        <v>1519</v>
      </c>
      <c r="Q572" s="88" t="s">
        <v>1520</v>
      </c>
      <c r="R572" s="88" t="s">
        <v>1521</v>
      </c>
      <c r="S572" s="88" t="s">
        <v>1519</v>
      </c>
      <c r="T572" s="88" t="s">
        <v>1520</v>
      </c>
      <c r="U572" s="88" t="s">
        <v>1519</v>
      </c>
      <c r="V572" s="88" t="s">
        <v>1519</v>
      </c>
      <c r="W572" s="88" t="s">
        <v>1520</v>
      </c>
      <c r="X572" s="88" t="s">
        <v>1519</v>
      </c>
      <c r="Y572" s="88" t="s">
        <v>1519</v>
      </c>
      <c r="Z572" s="88" t="s">
        <v>1519</v>
      </c>
      <c r="AA572" s="88" t="s">
        <v>1519</v>
      </c>
      <c r="AB572" s="88" t="s">
        <v>1520</v>
      </c>
      <c r="AC572" s="88" t="s">
        <v>1520</v>
      </c>
      <c r="AD572" s="89"/>
      <c r="AE572" s="18" t="s">
        <v>577</v>
      </c>
      <c r="AF572" s="24"/>
      <c r="AG572" s="24"/>
      <c r="AH572" s="24"/>
      <c r="AI572" s="24"/>
      <c r="AJ572" s="24"/>
      <c r="AK572" s="24"/>
      <c r="AL572" s="24"/>
      <c r="AM572" s="24"/>
    </row>
    <row r="573">
      <c r="A573" s="11"/>
      <c r="B573" s="12" t="s">
        <v>7</v>
      </c>
      <c r="C573" s="12" t="s">
        <v>8</v>
      </c>
      <c r="D573" s="12" t="s">
        <v>24</v>
      </c>
      <c r="E573" s="12" t="s">
        <v>25</v>
      </c>
      <c r="F573" s="13" t="s">
        <v>26</v>
      </c>
      <c r="G573" s="12" t="s">
        <v>68</v>
      </c>
      <c r="H573" s="12" t="s">
        <v>994</v>
      </c>
      <c r="I573" s="12" t="s">
        <v>995</v>
      </c>
      <c r="J573" s="17" t="s">
        <v>112</v>
      </c>
      <c r="K573" s="17" t="s">
        <v>2028</v>
      </c>
      <c r="L573" s="17" t="s">
        <v>2033</v>
      </c>
      <c r="M573" s="101" t="s">
        <v>2006</v>
      </c>
      <c r="N573" s="17" t="s">
        <v>194</v>
      </c>
      <c r="O573" s="88" t="s">
        <v>1519</v>
      </c>
      <c r="P573" s="88" t="s">
        <v>1519</v>
      </c>
      <c r="Q573" s="88" t="s">
        <v>1520</v>
      </c>
      <c r="R573" s="88" t="s">
        <v>1521</v>
      </c>
      <c r="S573" s="88" t="s">
        <v>1519</v>
      </c>
      <c r="T573" s="88" t="s">
        <v>1520</v>
      </c>
      <c r="U573" s="88" t="s">
        <v>1519</v>
      </c>
      <c r="V573" s="88" t="s">
        <v>1519</v>
      </c>
      <c r="W573" s="88" t="s">
        <v>1520</v>
      </c>
      <c r="X573" s="88" t="s">
        <v>1520</v>
      </c>
      <c r="Y573" s="88" t="s">
        <v>1520</v>
      </c>
      <c r="Z573" s="88" t="s">
        <v>1520</v>
      </c>
      <c r="AA573" s="88" t="s">
        <v>1520</v>
      </c>
      <c r="AB573" s="88" t="s">
        <v>1520</v>
      </c>
      <c r="AC573" s="88" t="s">
        <v>1520</v>
      </c>
      <c r="AD573" s="89"/>
      <c r="AE573" s="18" t="s">
        <v>577</v>
      </c>
      <c r="AF573" s="24"/>
      <c r="AG573" s="24"/>
      <c r="AH573" s="24"/>
      <c r="AI573" s="24"/>
      <c r="AJ573" s="24"/>
      <c r="AK573" s="24"/>
      <c r="AL573" s="24"/>
      <c r="AM573" s="24"/>
    </row>
    <row r="574">
      <c r="A574" s="11"/>
      <c r="B574" s="12" t="s">
        <v>7</v>
      </c>
      <c r="C574" s="12" t="s">
        <v>8</v>
      </c>
      <c r="D574" s="12" t="s">
        <v>24</v>
      </c>
      <c r="E574" s="12" t="s">
        <v>25</v>
      </c>
      <c r="F574" s="13" t="s">
        <v>26</v>
      </c>
      <c r="G574" s="12" t="s">
        <v>68</v>
      </c>
      <c r="H574" s="12" t="s">
        <v>994</v>
      </c>
      <c r="I574" s="12" t="s">
        <v>995</v>
      </c>
      <c r="J574" s="17" t="s">
        <v>112</v>
      </c>
      <c r="K574" s="17" t="s">
        <v>2028</v>
      </c>
      <c r="L574" s="17" t="s">
        <v>2034</v>
      </c>
      <c r="M574" s="101" t="s">
        <v>2006</v>
      </c>
      <c r="N574" s="17" t="s">
        <v>194</v>
      </c>
      <c r="O574" s="88" t="s">
        <v>1520</v>
      </c>
      <c r="P574" s="88" t="s">
        <v>1520</v>
      </c>
      <c r="Q574" s="88" t="s">
        <v>1520</v>
      </c>
      <c r="R574" s="88" t="s">
        <v>1521</v>
      </c>
      <c r="S574" s="88" t="s">
        <v>1519</v>
      </c>
      <c r="T574" s="88" t="s">
        <v>1520</v>
      </c>
      <c r="U574" s="88" t="s">
        <v>1520</v>
      </c>
      <c r="V574" s="88" t="s">
        <v>1520</v>
      </c>
      <c r="W574" s="88" t="s">
        <v>1520</v>
      </c>
      <c r="X574" s="88" t="s">
        <v>1520</v>
      </c>
      <c r="Y574" s="88" t="s">
        <v>1520</v>
      </c>
      <c r="Z574" s="88" t="s">
        <v>1520</v>
      </c>
      <c r="AA574" s="88" t="s">
        <v>1520</v>
      </c>
      <c r="AB574" s="88" t="s">
        <v>1520</v>
      </c>
      <c r="AC574" s="88" t="s">
        <v>1520</v>
      </c>
      <c r="AD574" s="89"/>
      <c r="AE574" s="18" t="s">
        <v>577</v>
      </c>
      <c r="AF574" s="24"/>
      <c r="AG574" s="24"/>
      <c r="AH574" s="24"/>
      <c r="AI574" s="24"/>
      <c r="AJ574" s="24"/>
      <c r="AK574" s="24"/>
      <c r="AL574" s="24"/>
      <c r="AM574" s="24"/>
    </row>
    <row r="575">
      <c r="A575" s="11"/>
      <c r="B575" s="12" t="s">
        <v>7</v>
      </c>
      <c r="C575" s="12" t="s">
        <v>8</v>
      </c>
      <c r="D575" s="12" t="s">
        <v>24</v>
      </c>
      <c r="E575" s="12" t="s">
        <v>25</v>
      </c>
      <c r="F575" s="13" t="s">
        <v>26</v>
      </c>
      <c r="G575" s="12" t="s">
        <v>68</v>
      </c>
      <c r="H575" s="12" t="s">
        <v>994</v>
      </c>
      <c r="I575" s="12" t="s">
        <v>995</v>
      </c>
      <c r="J575" s="17" t="s">
        <v>112</v>
      </c>
      <c r="K575" s="17" t="s">
        <v>2028</v>
      </c>
      <c r="L575" s="17" t="s">
        <v>2035</v>
      </c>
      <c r="M575" s="101" t="s">
        <v>2006</v>
      </c>
      <c r="N575" s="17" t="s">
        <v>194</v>
      </c>
      <c r="O575" s="88" t="s">
        <v>1520</v>
      </c>
      <c r="P575" s="88" t="s">
        <v>1520</v>
      </c>
      <c r="Q575" s="88" t="s">
        <v>1520</v>
      </c>
      <c r="R575" s="88" t="s">
        <v>1521</v>
      </c>
      <c r="S575" s="88" t="s">
        <v>1519</v>
      </c>
      <c r="T575" s="88" t="s">
        <v>1520</v>
      </c>
      <c r="U575" s="88" t="s">
        <v>1520</v>
      </c>
      <c r="V575" s="88" t="s">
        <v>1520</v>
      </c>
      <c r="W575" s="88" t="s">
        <v>1520</v>
      </c>
      <c r="X575" s="88" t="s">
        <v>1520</v>
      </c>
      <c r="Y575" s="88" t="s">
        <v>1520</v>
      </c>
      <c r="Z575" s="88" t="s">
        <v>1520</v>
      </c>
      <c r="AA575" s="88" t="s">
        <v>1520</v>
      </c>
      <c r="AB575" s="88" t="s">
        <v>1520</v>
      </c>
      <c r="AC575" s="88" t="s">
        <v>1520</v>
      </c>
      <c r="AD575" s="89"/>
      <c r="AE575" s="18" t="s">
        <v>577</v>
      </c>
      <c r="AF575" s="24"/>
      <c r="AG575" s="24"/>
      <c r="AH575" s="24"/>
      <c r="AI575" s="24"/>
      <c r="AJ575" s="24"/>
      <c r="AK575" s="24"/>
      <c r="AL575" s="24"/>
      <c r="AM575" s="24"/>
    </row>
    <row r="576">
      <c r="A576" s="11"/>
      <c r="B576" s="12" t="s">
        <v>7</v>
      </c>
      <c r="C576" s="12" t="s">
        <v>8</v>
      </c>
      <c r="D576" s="12" t="s">
        <v>24</v>
      </c>
      <c r="E576" s="12" t="s">
        <v>25</v>
      </c>
      <c r="F576" s="13" t="s">
        <v>26</v>
      </c>
      <c r="G576" s="12" t="s">
        <v>68</v>
      </c>
      <c r="H576" s="12" t="s">
        <v>994</v>
      </c>
      <c r="I576" s="12" t="s">
        <v>995</v>
      </c>
      <c r="J576" s="17" t="s">
        <v>112</v>
      </c>
      <c r="K576" s="17" t="s">
        <v>2028</v>
      </c>
      <c r="L576" s="17" t="s">
        <v>2036</v>
      </c>
      <c r="M576" s="101" t="s">
        <v>2006</v>
      </c>
      <c r="N576" s="17" t="s">
        <v>194</v>
      </c>
      <c r="O576" s="88" t="s">
        <v>1519</v>
      </c>
      <c r="P576" s="88" t="s">
        <v>1519</v>
      </c>
      <c r="Q576" s="88" t="s">
        <v>1520</v>
      </c>
      <c r="R576" s="88" t="s">
        <v>1521</v>
      </c>
      <c r="S576" s="88" t="s">
        <v>1519</v>
      </c>
      <c r="T576" s="88" t="s">
        <v>1520</v>
      </c>
      <c r="U576" s="88" t="s">
        <v>1519</v>
      </c>
      <c r="V576" s="88" t="s">
        <v>1519</v>
      </c>
      <c r="W576" s="88" t="s">
        <v>1520</v>
      </c>
      <c r="X576" s="88" t="s">
        <v>1519</v>
      </c>
      <c r="Y576" s="88" t="s">
        <v>1519</v>
      </c>
      <c r="Z576" s="88" t="s">
        <v>1519</v>
      </c>
      <c r="AA576" s="88" t="s">
        <v>1519</v>
      </c>
      <c r="AB576" s="88" t="s">
        <v>1520</v>
      </c>
      <c r="AC576" s="88" t="s">
        <v>1520</v>
      </c>
      <c r="AD576" s="89"/>
      <c r="AE576" s="18" t="s">
        <v>577</v>
      </c>
      <c r="AF576" s="24"/>
      <c r="AG576" s="24"/>
      <c r="AH576" s="24"/>
      <c r="AI576" s="24"/>
      <c r="AJ576" s="24"/>
      <c r="AK576" s="24"/>
      <c r="AL576" s="24"/>
      <c r="AM576" s="24"/>
    </row>
    <row r="577">
      <c r="A577" s="11"/>
      <c r="B577" s="12" t="s">
        <v>7</v>
      </c>
      <c r="C577" s="12" t="s">
        <v>8</v>
      </c>
      <c r="D577" s="12" t="s">
        <v>24</v>
      </c>
      <c r="E577" s="12" t="s">
        <v>25</v>
      </c>
      <c r="F577" s="13" t="s">
        <v>26</v>
      </c>
      <c r="G577" s="12" t="s">
        <v>68</v>
      </c>
      <c r="H577" s="12" t="s">
        <v>994</v>
      </c>
      <c r="I577" s="12" t="s">
        <v>995</v>
      </c>
      <c r="J577" s="17" t="s">
        <v>112</v>
      </c>
      <c r="K577" s="17" t="s">
        <v>2028</v>
      </c>
      <c r="L577" s="17" t="s">
        <v>2037</v>
      </c>
      <c r="M577" s="101" t="s">
        <v>2006</v>
      </c>
      <c r="N577" s="17" t="s">
        <v>194</v>
      </c>
      <c r="O577" s="88" t="s">
        <v>1519</v>
      </c>
      <c r="P577" s="88" t="s">
        <v>1519</v>
      </c>
      <c r="Q577" s="88" t="s">
        <v>1520</v>
      </c>
      <c r="R577" s="88" t="s">
        <v>1521</v>
      </c>
      <c r="S577" s="88" t="s">
        <v>1519</v>
      </c>
      <c r="T577" s="88" t="s">
        <v>1520</v>
      </c>
      <c r="U577" s="88" t="s">
        <v>1519</v>
      </c>
      <c r="V577" s="88" t="s">
        <v>1519</v>
      </c>
      <c r="W577" s="88" t="s">
        <v>1520</v>
      </c>
      <c r="X577" s="88" t="s">
        <v>1519</v>
      </c>
      <c r="Y577" s="88" t="s">
        <v>1519</v>
      </c>
      <c r="Z577" s="88" t="s">
        <v>1519</v>
      </c>
      <c r="AA577" s="88" t="s">
        <v>1519</v>
      </c>
      <c r="AB577" s="88" t="s">
        <v>1520</v>
      </c>
      <c r="AC577" s="88" t="s">
        <v>1520</v>
      </c>
      <c r="AD577" s="89"/>
      <c r="AE577" s="18" t="s">
        <v>577</v>
      </c>
      <c r="AF577" s="24"/>
      <c r="AG577" s="24"/>
      <c r="AH577" s="24"/>
      <c r="AI577" s="24"/>
      <c r="AJ577" s="24"/>
      <c r="AK577" s="24"/>
      <c r="AL577" s="24"/>
      <c r="AM577" s="24"/>
    </row>
    <row r="578">
      <c r="A578" s="11"/>
      <c r="B578" s="12" t="s">
        <v>7</v>
      </c>
      <c r="C578" s="12" t="s">
        <v>8</v>
      </c>
      <c r="D578" s="12" t="s">
        <v>24</v>
      </c>
      <c r="E578" s="12" t="s">
        <v>25</v>
      </c>
      <c r="F578" s="13" t="s">
        <v>26</v>
      </c>
      <c r="G578" s="12" t="s">
        <v>68</v>
      </c>
      <c r="H578" s="12" t="s">
        <v>994</v>
      </c>
      <c r="I578" s="12" t="s">
        <v>995</v>
      </c>
      <c r="J578" s="17" t="s">
        <v>112</v>
      </c>
      <c r="K578" s="17" t="s">
        <v>2028</v>
      </c>
      <c r="L578" s="17" t="s">
        <v>2038</v>
      </c>
      <c r="M578" s="101" t="s">
        <v>2006</v>
      </c>
      <c r="N578" s="17" t="s">
        <v>194</v>
      </c>
      <c r="O578" s="88" t="s">
        <v>1519</v>
      </c>
      <c r="P578" s="88" t="s">
        <v>1519</v>
      </c>
      <c r="Q578" s="88" t="s">
        <v>1520</v>
      </c>
      <c r="R578" s="88" t="s">
        <v>1521</v>
      </c>
      <c r="S578" s="88" t="s">
        <v>1519</v>
      </c>
      <c r="T578" s="88" t="s">
        <v>1520</v>
      </c>
      <c r="U578" s="88" t="s">
        <v>1519</v>
      </c>
      <c r="V578" s="88" t="s">
        <v>1519</v>
      </c>
      <c r="W578" s="88" t="s">
        <v>1520</v>
      </c>
      <c r="X578" s="88" t="s">
        <v>1520</v>
      </c>
      <c r="Y578" s="88" t="s">
        <v>1520</v>
      </c>
      <c r="Z578" s="88" t="s">
        <v>1520</v>
      </c>
      <c r="AA578" s="88" t="s">
        <v>1520</v>
      </c>
      <c r="AB578" s="88" t="s">
        <v>1520</v>
      </c>
      <c r="AC578" s="88" t="s">
        <v>1520</v>
      </c>
      <c r="AD578" s="89"/>
      <c r="AE578" s="18" t="s">
        <v>577</v>
      </c>
      <c r="AF578" s="24"/>
      <c r="AG578" s="24"/>
      <c r="AH578" s="24"/>
      <c r="AI578" s="24"/>
      <c r="AJ578" s="24"/>
      <c r="AK578" s="24"/>
      <c r="AL578" s="24"/>
      <c r="AM578" s="24"/>
    </row>
    <row r="579">
      <c r="A579" s="11"/>
      <c r="B579" s="12" t="s">
        <v>7</v>
      </c>
      <c r="C579" s="12" t="s">
        <v>8</v>
      </c>
      <c r="D579" s="12" t="s">
        <v>24</v>
      </c>
      <c r="E579" s="12" t="s">
        <v>25</v>
      </c>
      <c r="F579" s="13" t="s">
        <v>26</v>
      </c>
      <c r="G579" s="12" t="s">
        <v>68</v>
      </c>
      <c r="H579" s="12" t="s">
        <v>994</v>
      </c>
      <c r="I579" s="12" t="s">
        <v>995</v>
      </c>
      <c r="J579" s="17" t="s">
        <v>112</v>
      </c>
      <c r="K579" s="17" t="s">
        <v>2028</v>
      </c>
      <c r="L579" s="17" t="s">
        <v>2039</v>
      </c>
      <c r="M579" s="101" t="s">
        <v>2006</v>
      </c>
      <c r="N579" s="17" t="s">
        <v>194</v>
      </c>
      <c r="O579" s="88" t="s">
        <v>1519</v>
      </c>
      <c r="P579" s="88" t="s">
        <v>1519</v>
      </c>
      <c r="Q579" s="88" t="s">
        <v>1520</v>
      </c>
      <c r="R579" s="88" t="s">
        <v>1521</v>
      </c>
      <c r="S579" s="88" t="s">
        <v>1519</v>
      </c>
      <c r="T579" s="88" t="s">
        <v>1520</v>
      </c>
      <c r="U579" s="88" t="s">
        <v>1519</v>
      </c>
      <c r="V579" s="88" t="s">
        <v>1519</v>
      </c>
      <c r="W579" s="88" t="s">
        <v>1520</v>
      </c>
      <c r="X579" s="88" t="s">
        <v>1519</v>
      </c>
      <c r="Y579" s="88" t="s">
        <v>1519</v>
      </c>
      <c r="Z579" s="88" t="s">
        <v>1519</v>
      </c>
      <c r="AA579" s="88" t="s">
        <v>1519</v>
      </c>
      <c r="AB579" s="88" t="s">
        <v>1520</v>
      </c>
      <c r="AC579" s="88" t="s">
        <v>1520</v>
      </c>
      <c r="AD579" s="89"/>
      <c r="AE579" s="18" t="s">
        <v>577</v>
      </c>
      <c r="AF579" s="24"/>
      <c r="AG579" s="24"/>
      <c r="AH579" s="24"/>
      <c r="AI579" s="24"/>
      <c r="AJ579" s="24"/>
      <c r="AK579" s="24"/>
      <c r="AL579" s="24"/>
      <c r="AM579" s="24"/>
    </row>
    <row r="580">
      <c r="A580" s="11"/>
      <c r="B580" s="12" t="s">
        <v>7</v>
      </c>
      <c r="C580" s="12" t="s">
        <v>8</v>
      </c>
      <c r="D580" s="12" t="s">
        <v>24</v>
      </c>
      <c r="E580" s="12" t="s">
        <v>25</v>
      </c>
      <c r="F580" s="13" t="s">
        <v>26</v>
      </c>
      <c r="G580" s="12" t="s">
        <v>68</v>
      </c>
      <c r="H580" s="12" t="s">
        <v>994</v>
      </c>
      <c r="I580" s="12" t="s">
        <v>995</v>
      </c>
      <c r="J580" s="17" t="s">
        <v>112</v>
      </c>
      <c r="K580" s="17" t="s">
        <v>2028</v>
      </c>
      <c r="L580" s="17" t="s">
        <v>2040</v>
      </c>
      <c r="M580" s="101" t="s">
        <v>2006</v>
      </c>
      <c r="N580" s="17" t="s">
        <v>194</v>
      </c>
      <c r="O580" s="88" t="s">
        <v>1520</v>
      </c>
      <c r="P580" s="88" t="s">
        <v>1520</v>
      </c>
      <c r="Q580" s="88" t="s">
        <v>1520</v>
      </c>
      <c r="R580" s="88" t="s">
        <v>1521</v>
      </c>
      <c r="S580" s="88" t="s">
        <v>1519</v>
      </c>
      <c r="T580" s="88" t="s">
        <v>1520</v>
      </c>
      <c r="U580" s="88" t="s">
        <v>1520</v>
      </c>
      <c r="V580" s="88" t="s">
        <v>1520</v>
      </c>
      <c r="W580" s="88" t="s">
        <v>1520</v>
      </c>
      <c r="X580" s="88" t="s">
        <v>1520</v>
      </c>
      <c r="Y580" s="88" t="s">
        <v>1520</v>
      </c>
      <c r="Z580" s="88" t="s">
        <v>1520</v>
      </c>
      <c r="AA580" s="88" t="s">
        <v>1520</v>
      </c>
      <c r="AB580" s="88" t="s">
        <v>1520</v>
      </c>
      <c r="AC580" s="88" t="s">
        <v>1520</v>
      </c>
      <c r="AD580" s="89"/>
      <c r="AE580" s="18" t="s">
        <v>577</v>
      </c>
      <c r="AF580" s="24"/>
      <c r="AG580" s="24"/>
      <c r="AH580" s="24"/>
      <c r="AI580" s="24"/>
      <c r="AJ580" s="24"/>
      <c r="AK580" s="24"/>
      <c r="AL580" s="24"/>
      <c r="AM580" s="24"/>
    </row>
    <row r="581">
      <c r="A581" s="11"/>
      <c r="B581" s="12" t="s">
        <v>7</v>
      </c>
      <c r="C581" s="12" t="s">
        <v>8</v>
      </c>
      <c r="D581" s="12" t="s">
        <v>24</v>
      </c>
      <c r="E581" s="12" t="s">
        <v>25</v>
      </c>
      <c r="F581" s="13" t="s">
        <v>26</v>
      </c>
      <c r="G581" s="12" t="s">
        <v>68</v>
      </c>
      <c r="H581" s="12" t="s">
        <v>994</v>
      </c>
      <c r="I581" s="12" t="s">
        <v>995</v>
      </c>
      <c r="J581" s="17" t="s">
        <v>112</v>
      </c>
      <c r="K581" s="17" t="s">
        <v>2028</v>
      </c>
      <c r="L581" s="17" t="s">
        <v>2041</v>
      </c>
      <c r="M581" s="101" t="s">
        <v>2006</v>
      </c>
      <c r="N581" s="17" t="s">
        <v>194</v>
      </c>
      <c r="O581" s="88" t="s">
        <v>1519</v>
      </c>
      <c r="P581" s="88" t="s">
        <v>1519</v>
      </c>
      <c r="Q581" s="88" t="s">
        <v>1520</v>
      </c>
      <c r="R581" s="88" t="s">
        <v>1521</v>
      </c>
      <c r="S581" s="88" t="s">
        <v>1519</v>
      </c>
      <c r="T581" s="88" t="s">
        <v>1520</v>
      </c>
      <c r="U581" s="88" t="s">
        <v>1519</v>
      </c>
      <c r="V581" s="88" t="s">
        <v>1519</v>
      </c>
      <c r="W581" s="88" t="s">
        <v>1520</v>
      </c>
      <c r="X581" s="88" t="s">
        <v>1519</v>
      </c>
      <c r="Y581" s="88" t="s">
        <v>1519</v>
      </c>
      <c r="Z581" s="88" t="s">
        <v>1519</v>
      </c>
      <c r="AA581" s="88" t="s">
        <v>1519</v>
      </c>
      <c r="AB581" s="88" t="s">
        <v>1520</v>
      </c>
      <c r="AC581" s="88" t="s">
        <v>1520</v>
      </c>
      <c r="AD581" s="89"/>
      <c r="AE581" s="18" t="s">
        <v>577</v>
      </c>
      <c r="AF581" s="24"/>
      <c r="AG581" s="24"/>
      <c r="AH581" s="24"/>
      <c r="AI581" s="24"/>
      <c r="AJ581" s="24"/>
      <c r="AK581" s="24"/>
      <c r="AL581" s="24"/>
      <c r="AM581" s="24"/>
    </row>
    <row r="582">
      <c r="A582" s="11"/>
      <c r="B582" s="12" t="s">
        <v>34</v>
      </c>
      <c r="C582" s="12" t="s">
        <v>65</v>
      </c>
      <c r="D582" s="12" t="s">
        <v>43</v>
      </c>
      <c r="E582" s="12" t="s">
        <v>666</v>
      </c>
      <c r="F582" s="13" t="s">
        <v>667</v>
      </c>
      <c r="G582" s="12" t="s">
        <v>68</v>
      </c>
      <c r="H582" s="12" t="s">
        <v>668</v>
      </c>
      <c r="I582" s="12" t="s">
        <v>669</v>
      </c>
      <c r="J582" s="17" t="s">
        <v>108</v>
      </c>
      <c r="L582" s="17" t="s">
        <v>2042</v>
      </c>
      <c r="M582" s="20">
        <v>45860.0</v>
      </c>
      <c r="N582" s="17" t="s">
        <v>194</v>
      </c>
      <c r="O582" s="88" t="s">
        <v>1521</v>
      </c>
      <c r="P582" s="88" t="s">
        <v>1520</v>
      </c>
      <c r="Q582" s="88" t="s">
        <v>1520</v>
      </c>
      <c r="R582" s="88" t="s">
        <v>1521</v>
      </c>
      <c r="S582" s="88" t="s">
        <v>1520</v>
      </c>
      <c r="T582" s="88" t="s">
        <v>1521</v>
      </c>
      <c r="U582" s="88" t="s">
        <v>1521</v>
      </c>
      <c r="V582" s="88" t="s">
        <v>1521</v>
      </c>
      <c r="W582" s="88" t="s">
        <v>1521</v>
      </c>
      <c r="X582" s="88" t="s">
        <v>1521</v>
      </c>
      <c r="Y582" s="88" t="s">
        <v>1520</v>
      </c>
      <c r="Z582" s="88" t="s">
        <v>1521</v>
      </c>
      <c r="AA582" s="88" t="s">
        <v>1521</v>
      </c>
      <c r="AB582" s="88" t="s">
        <v>1520</v>
      </c>
      <c r="AC582" s="88" t="s">
        <v>1521</v>
      </c>
      <c r="AD582" s="89"/>
      <c r="AE582" s="18" t="s">
        <v>638</v>
      </c>
      <c r="AF582" s="24"/>
      <c r="AG582" s="24"/>
      <c r="AH582" s="24"/>
      <c r="AI582" s="24"/>
      <c r="AJ582" s="24"/>
      <c r="AK582" s="24"/>
      <c r="AL582" s="24"/>
      <c r="AM582" s="24"/>
    </row>
    <row r="583">
      <c r="A583" s="11"/>
      <c r="B583" s="12" t="s">
        <v>34</v>
      </c>
      <c r="C583" s="12" t="s">
        <v>65</v>
      </c>
      <c r="D583" s="12" t="s">
        <v>43</v>
      </c>
      <c r="E583" s="12" t="s">
        <v>666</v>
      </c>
      <c r="F583" s="13" t="s">
        <v>667</v>
      </c>
      <c r="G583" s="12" t="s">
        <v>68</v>
      </c>
      <c r="H583" s="12" t="s">
        <v>668</v>
      </c>
      <c r="I583" s="12" t="s">
        <v>669</v>
      </c>
      <c r="J583" s="17" t="s">
        <v>108</v>
      </c>
      <c r="L583" s="17" t="s">
        <v>2043</v>
      </c>
      <c r="M583" s="20">
        <v>45860.0</v>
      </c>
      <c r="N583" s="17" t="s">
        <v>194</v>
      </c>
      <c r="O583" s="88" t="s">
        <v>1521</v>
      </c>
      <c r="P583" s="88" t="s">
        <v>1521</v>
      </c>
      <c r="Q583" s="88" t="s">
        <v>1520</v>
      </c>
      <c r="R583" s="88" t="s">
        <v>1521</v>
      </c>
      <c r="S583" s="88" t="s">
        <v>1520</v>
      </c>
      <c r="T583" s="88" t="s">
        <v>1521</v>
      </c>
      <c r="U583" s="88" t="s">
        <v>1520</v>
      </c>
      <c r="V583" s="88" t="s">
        <v>1520</v>
      </c>
      <c r="W583" s="88" t="s">
        <v>1521</v>
      </c>
      <c r="X583" s="88" t="s">
        <v>1521</v>
      </c>
      <c r="Y583" s="88" t="s">
        <v>1521</v>
      </c>
      <c r="Z583" s="88" t="s">
        <v>1521</v>
      </c>
      <c r="AA583" s="88" t="s">
        <v>1521</v>
      </c>
      <c r="AB583" s="88" t="s">
        <v>1521</v>
      </c>
      <c r="AC583" s="88" t="s">
        <v>1520</v>
      </c>
      <c r="AD583" s="89"/>
      <c r="AE583" s="102" t="s">
        <v>638</v>
      </c>
      <c r="AF583" s="24"/>
      <c r="AG583" s="24"/>
      <c r="AH583" s="24"/>
      <c r="AI583" s="24"/>
      <c r="AJ583" s="24"/>
      <c r="AK583" s="24"/>
      <c r="AL583" s="24"/>
      <c r="AM583" s="24"/>
    </row>
    <row r="584">
      <c r="A584" s="11"/>
      <c r="B584" s="12" t="s">
        <v>34</v>
      </c>
      <c r="C584" s="12" t="s">
        <v>65</v>
      </c>
      <c r="D584" s="12" t="s">
        <v>43</v>
      </c>
      <c r="E584" s="12" t="s">
        <v>666</v>
      </c>
      <c r="F584" s="13" t="s">
        <v>667</v>
      </c>
      <c r="G584" s="12" t="s">
        <v>68</v>
      </c>
      <c r="H584" s="12" t="s">
        <v>668</v>
      </c>
      <c r="I584" s="12" t="s">
        <v>669</v>
      </c>
      <c r="J584" s="17" t="s">
        <v>112</v>
      </c>
      <c r="L584" s="17" t="s">
        <v>2044</v>
      </c>
      <c r="M584" s="20">
        <v>45860.0</v>
      </c>
      <c r="N584" s="17" t="s">
        <v>194</v>
      </c>
      <c r="O584" s="88" t="s">
        <v>1521</v>
      </c>
      <c r="P584" s="88" t="s">
        <v>1521</v>
      </c>
      <c r="Q584" s="88" t="s">
        <v>1521</v>
      </c>
      <c r="R584" s="88" t="s">
        <v>1520</v>
      </c>
      <c r="S584" s="88" t="s">
        <v>1521</v>
      </c>
      <c r="T584" s="88" t="s">
        <v>1520</v>
      </c>
      <c r="U584" s="88" t="s">
        <v>1521</v>
      </c>
      <c r="V584" s="88" t="s">
        <v>1521</v>
      </c>
      <c r="W584" s="88" t="s">
        <v>1520</v>
      </c>
      <c r="X584" s="88" t="s">
        <v>1520</v>
      </c>
      <c r="Y584" s="88" t="s">
        <v>1521</v>
      </c>
      <c r="Z584" s="88" t="s">
        <v>1521</v>
      </c>
      <c r="AA584" s="88" t="s">
        <v>1521</v>
      </c>
      <c r="AB584" s="88" t="s">
        <v>1521</v>
      </c>
      <c r="AC584" s="88" t="s">
        <v>1521</v>
      </c>
      <c r="AD584" s="89"/>
      <c r="AE584" s="102" t="s">
        <v>638</v>
      </c>
      <c r="AF584" s="24"/>
      <c r="AG584" s="24"/>
      <c r="AH584" s="24"/>
      <c r="AI584" s="24"/>
      <c r="AJ584" s="24"/>
      <c r="AK584" s="24"/>
      <c r="AL584" s="24"/>
      <c r="AM584" s="24"/>
    </row>
    <row r="585">
      <c r="A585" s="11"/>
      <c r="B585" s="12" t="s">
        <v>34</v>
      </c>
      <c r="C585" s="12" t="s">
        <v>65</v>
      </c>
      <c r="D585" s="12" t="s">
        <v>43</v>
      </c>
      <c r="E585" s="12" t="s">
        <v>666</v>
      </c>
      <c r="F585" s="13" t="s">
        <v>667</v>
      </c>
      <c r="G585" s="12" t="s">
        <v>68</v>
      </c>
      <c r="H585" s="12" t="s">
        <v>668</v>
      </c>
      <c r="I585" s="12" t="s">
        <v>669</v>
      </c>
      <c r="J585" s="17" t="s">
        <v>112</v>
      </c>
      <c r="L585" s="17" t="s">
        <v>2045</v>
      </c>
      <c r="M585" s="20">
        <v>45860.0</v>
      </c>
      <c r="N585" s="17" t="s">
        <v>194</v>
      </c>
      <c r="O585" s="88" t="s">
        <v>1520</v>
      </c>
      <c r="P585" s="88" t="s">
        <v>1519</v>
      </c>
      <c r="Q585" s="88" t="s">
        <v>1520</v>
      </c>
      <c r="R585" s="88" t="s">
        <v>1521</v>
      </c>
      <c r="S585" s="88" t="s">
        <v>1520</v>
      </c>
      <c r="T585" s="88" t="s">
        <v>1520</v>
      </c>
      <c r="U585" s="88" t="s">
        <v>1521</v>
      </c>
      <c r="V585" s="88" t="s">
        <v>1521</v>
      </c>
      <c r="W585" s="88" t="s">
        <v>1521</v>
      </c>
      <c r="X585" s="88" t="s">
        <v>1521</v>
      </c>
      <c r="Y585" s="88" t="s">
        <v>1521</v>
      </c>
      <c r="Z585" s="88" t="s">
        <v>1521</v>
      </c>
      <c r="AA585" s="88" t="s">
        <v>1521</v>
      </c>
      <c r="AB585" s="88" t="s">
        <v>1521</v>
      </c>
      <c r="AC585" s="88" t="s">
        <v>1521</v>
      </c>
      <c r="AD585" s="89"/>
      <c r="AE585" s="102" t="s">
        <v>638</v>
      </c>
      <c r="AF585" s="24"/>
      <c r="AG585" s="24"/>
      <c r="AH585" s="24"/>
      <c r="AI585" s="24"/>
      <c r="AJ585" s="24"/>
      <c r="AK585" s="24"/>
      <c r="AL585" s="24"/>
      <c r="AM585" s="24"/>
    </row>
    <row r="586">
      <c r="A586" s="11"/>
      <c r="B586" s="12" t="s">
        <v>34</v>
      </c>
      <c r="C586" s="12" t="s">
        <v>65</v>
      </c>
      <c r="D586" s="12" t="s">
        <v>43</v>
      </c>
      <c r="E586" s="12" t="s">
        <v>666</v>
      </c>
      <c r="F586" s="13" t="s">
        <v>667</v>
      </c>
      <c r="G586" s="12" t="s">
        <v>68</v>
      </c>
      <c r="H586" s="12" t="s">
        <v>668</v>
      </c>
      <c r="I586" s="12" t="s">
        <v>669</v>
      </c>
      <c r="J586" s="17" t="s">
        <v>112</v>
      </c>
      <c r="L586" s="17" t="s">
        <v>2046</v>
      </c>
      <c r="M586" s="20">
        <v>45860.0</v>
      </c>
      <c r="N586" s="17" t="s">
        <v>194</v>
      </c>
      <c r="O586" s="88" t="s">
        <v>1521</v>
      </c>
      <c r="P586" s="88" t="s">
        <v>1521</v>
      </c>
      <c r="Q586" s="88" t="s">
        <v>1520</v>
      </c>
      <c r="R586" s="88" t="s">
        <v>1521</v>
      </c>
      <c r="S586" s="88" t="s">
        <v>1520</v>
      </c>
      <c r="T586" s="88" t="s">
        <v>1521</v>
      </c>
      <c r="U586" s="88" t="s">
        <v>1520</v>
      </c>
      <c r="V586" s="88" t="s">
        <v>1520</v>
      </c>
      <c r="W586" s="88" t="s">
        <v>1521</v>
      </c>
      <c r="X586" s="88" t="s">
        <v>1521</v>
      </c>
      <c r="Y586" s="88" t="s">
        <v>1521</v>
      </c>
      <c r="Z586" s="88" t="s">
        <v>1521</v>
      </c>
      <c r="AA586" s="88" t="s">
        <v>1521</v>
      </c>
      <c r="AB586" s="88" t="s">
        <v>1521</v>
      </c>
      <c r="AC586" s="88" t="s">
        <v>1520</v>
      </c>
      <c r="AD586" s="89"/>
      <c r="AE586" s="102" t="s">
        <v>638</v>
      </c>
      <c r="AF586" s="24"/>
      <c r="AG586" s="24"/>
      <c r="AH586" s="24"/>
      <c r="AI586" s="24"/>
      <c r="AJ586" s="24"/>
      <c r="AK586" s="24"/>
      <c r="AL586" s="24"/>
      <c r="AM586" s="24"/>
    </row>
    <row r="587">
      <c r="A587" s="11"/>
      <c r="B587" s="12" t="s">
        <v>34</v>
      </c>
      <c r="C587" s="12" t="s">
        <v>65</v>
      </c>
      <c r="D587" s="12" t="s">
        <v>43</v>
      </c>
      <c r="E587" s="12" t="s">
        <v>666</v>
      </c>
      <c r="F587" s="13" t="s">
        <v>667</v>
      </c>
      <c r="G587" s="12" t="s">
        <v>68</v>
      </c>
      <c r="H587" s="12" t="s">
        <v>668</v>
      </c>
      <c r="I587" s="12" t="s">
        <v>669</v>
      </c>
      <c r="J587" s="17" t="s">
        <v>112</v>
      </c>
      <c r="L587" s="17" t="s">
        <v>2047</v>
      </c>
      <c r="M587" s="20">
        <v>45860.0</v>
      </c>
      <c r="N587" s="17" t="s">
        <v>194</v>
      </c>
      <c r="O587" s="88" t="s">
        <v>1521</v>
      </c>
      <c r="P587" s="88" t="s">
        <v>1520</v>
      </c>
      <c r="Q587" s="88" t="s">
        <v>1521</v>
      </c>
      <c r="R587" s="88" t="s">
        <v>1520</v>
      </c>
      <c r="S587" s="88" t="s">
        <v>1521</v>
      </c>
      <c r="T587" s="88" t="s">
        <v>1520</v>
      </c>
      <c r="U587" s="88" t="s">
        <v>1521</v>
      </c>
      <c r="V587" s="88" t="s">
        <v>1520</v>
      </c>
      <c r="W587" s="88" t="s">
        <v>1520</v>
      </c>
      <c r="X587" s="88" t="s">
        <v>1521</v>
      </c>
      <c r="Y587" s="88" t="s">
        <v>1521</v>
      </c>
      <c r="Z587" s="88" t="s">
        <v>1521</v>
      </c>
      <c r="AA587" s="88" t="s">
        <v>1521</v>
      </c>
      <c r="AB587" s="88" t="s">
        <v>1521</v>
      </c>
      <c r="AC587" s="88" t="s">
        <v>1521</v>
      </c>
      <c r="AD587" s="89"/>
      <c r="AE587" s="102" t="s">
        <v>638</v>
      </c>
      <c r="AF587" s="24"/>
      <c r="AG587" s="24"/>
      <c r="AH587" s="24"/>
      <c r="AI587" s="24"/>
      <c r="AJ587" s="24"/>
      <c r="AK587" s="24"/>
      <c r="AL587" s="24"/>
      <c r="AM587" s="24"/>
    </row>
    <row r="588">
      <c r="A588" s="11"/>
      <c r="B588" s="12" t="s">
        <v>34</v>
      </c>
      <c r="C588" s="12" t="s">
        <v>65</v>
      </c>
      <c r="D588" s="12" t="s">
        <v>43</v>
      </c>
      <c r="E588" s="12" t="s">
        <v>666</v>
      </c>
      <c r="F588" s="13" t="s">
        <v>667</v>
      </c>
      <c r="G588" s="12" t="s">
        <v>68</v>
      </c>
      <c r="H588" s="12" t="s">
        <v>668</v>
      </c>
      <c r="I588" s="12" t="s">
        <v>669</v>
      </c>
      <c r="J588" s="17" t="s">
        <v>73</v>
      </c>
      <c r="L588" s="17" t="s">
        <v>2048</v>
      </c>
      <c r="M588" s="20">
        <v>45860.0</v>
      </c>
      <c r="N588" s="17" t="s">
        <v>194</v>
      </c>
      <c r="O588" s="88" t="s">
        <v>1521</v>
      </c>
      <c r="P588" s="88" t="s">
        <v>1521</v>
      </c>
      <c r="Q588" s="88" t="s">
        <v>1521</v>
      </c>
      <c r="R588" s="88" t="s">
        <v>1521</v>
      </c>
      <c r="S588" s="88" t="s">
        <v>1521</v>
      </c>
      <c r="T588" s="88" t="s">
        <v>1521</v>
      </c>
      <c r="U588" s="88" t="s">
        <v>1521</v>
      </c>
      <c r="V588" s="88" t="s">
        <v>1521</v>
      </c>
      <c r="W588" s="88" t="s">
        <v>1521</v>
      </c>
      <c r="X588" s="88" t="s">
        <v>1521</v>
      </c>
      <c r="Y588" s="88" t="s">
        <v>1521</v>
      </c>
      <c r="Z588" s="88" t="s">
        <v>1521</v>
      </c>
      <c r="AA588" s="88" t="s">
        <v>1521</v>
      </c>
      <c r="AB588" s="88" t="s">
        <v>1521</v>
      </c>
      <c r="AC588" s="88" t="s">
        <v>1521</v>
      </c>
      <c r="AD588" s="89"/>
      <c r="AE588" s="102" t="s">
        <v>638</v>
      </c>
      <c r="AF588" s="24"/>
      <c r="AG588" s="24"/>
      <c r="AH588" s="24"/>
      <c r="AI588" s="24"/>
      <c r="AJ588" s="24"/>
      <c r="AK588" s="24"/>
      <c r="AL588" s="24"/>
      <c r="AM588" s="24"/>
    </row>
    <row r="589">
      <c r="A589" s="11"/>
      <c r="B589" s="12" t="s">
        <v>34</v>
      </c>
      <c r="C589" s="12" t="s">
        <v>65</v>
      </c>
      <c r="D589" s="12" t="s">
        <v>43</v>
      </c>
      <c r="E589" s="12" t="s">
        <v>666</v>
      </c>
      <c r="F589" s="13" t="s">
        <v>667</v>
      </c>
      <c r="G589" s="12" t="s">
        <v>68</v>
      </c>
      <c r="H589" s="12" t="s">
        <v>668</v>
      </c>
      <c r="I589" s="12" t="s">
        <v>669</v>
      </c>
      <c r="J589" s="17" t="s">
        <v>73</v>
      </c>
      <c r="L589" s="17" t="s">
        <v>2049</v>
      </c>
      <c r="M589" s="20">
        <v>45860.0</v>
      </c>
      <c r="N589" s="17" t="s">
        <v>194</v>
      </c>
      <c r="O589" s="88" t="s">
        <v>1521</v>
      </c>
      <c r="P589" s="88" t="s">
        <v>1520</v>
      </c>
      <c r="Q589" s="88" t="s">
        <v>1521</v>
      </c>
      <c r="R589" s="88" t="s">
        <v>1521</v>
      </c>
      <c r="S589" s="88" t="s">
        <v>1521</v>
      </c>
      <c r="T589" s="88" t="s">
        <v>1521</v>
      </c>
      <c r="U589" s="88" t="s">
        <v>1521</v>
      </c>
      <c r="V589" s="88" t="s">
        <v>1521</v>
      </c>
      <c r="W589" s="88" t="s">
        <v>1521</v>
      </c>
      <c r="X589" s="88" t="s">
        <v>1521</v>
      </c>
      <c r="Y589" s="88" t="s">
        <v>1521</v>
      </c>
      <c r="Z589" s="88" t="s">
        <v>1521</v>
      </c>
      <c r="AA589" s="88" t="s">
        <v>1521</v>
      </c>
      <c r="AB589" s="88" t="s">
        <v>1521</v>
      </c>
      <c r="AC589" s="88" t="s">
        <v>1521</v>
      </c>
      <c r="AD589" s="89"/>
      <c r="AE589" s="102" t="s">
        <v>638</v>
      </c>
      <c r="AF589" s="24"/>
      <c r="AG589" s="24"/>
      <c r="AH589" s="24"/>
      <c r="AI589" s="24"/>
      <c r="AJ589" s="24"/>
      <c r="AK589" s="24"/>
      <c r="AL589" s="24"/>
      <c r="AM589" s="24"/>
    </row>
    <row r="590">
      <c r="A590" s="11"/>
      <c r="B590" s="12" t="s">
        <v>34</v>
      </c>
      <c r="C590" s="12" t="s">
        <v>65</v>
      </c>
      <c r="D590" s="12" t="s">
        <v>43</v>
      </c>
      <c r="E590" s="12" t="s">
        <v>666</v>
      </c>
      <c r="F590" s="13" t="s">
        <v>667</v>
      </c>
      <c r="G590" s="12" t="s">
        <v>68</v>
      </c>
      <c r="H590" s="12" t="s">
        <v>668</v>
      </c>
      <c r="I590" s="12" t="s">
        <v>669</v>
      </c>
      <c r="J590" s="17" t="s">
        <v>73</v>
      </c>
      <c r="L590" s="17" t="s">
        <v>2050</v>
      </c>
      <c r="M590" s="20">
        <v>45860.0</v>
      </c>
      <c r="N590" s="17" t="s">
        <v>194</v>
      </c>
      <c r="O590" s="88" t="s">
        <v>1521</v>
      </c>
      <c r="P590" s="88" t="s">
        <v>1521</v>
      </c>
      <c r="Q590" s="88" t="s">
        <v>1521</v>
      </c>
      <c r="R590" s="88" t="s">
        <v>1521</v>
      </c>
      <c r="S590" s="88" t="s">
        <v>1521</v>
      </c>
      <c r="T590" s="88" t="s">
        <v>1521</v>
      </c>
      <c r="U590" s="88" t="s">
        <v>1521</v>
      </c>
      <c r="V590" s="88" t="s">
        <v>1521</v>
      </c>
      <c r="W590" s="88" t="s">
        <v>1521</v>
      </c>
      <c r="X590" s="88" t="s">
        <v>1521</v>
      </c>
      <c r="Y590" s="88" t="s">
        <v>1521</v>
      </c>
      <c r="Z590" s="88" t="s">
        <v>1521</v>
      </c>
      <c r="AA590" s="88" t="s">
        <v>1521</v>
      </c>
      <c r="AB590" s="88" t="s">
        <v>1521</v>
      </c>
      <c r="AC590" s="88" t="s">
        <v>1521</v>
      </c>
      <c r="AD590" s="89"/>
      <c r="AE590" s="102" t="s">
        <v>638</v>
      </c>
      <c r="AF590" s="24"/>
      <c r="AG590" s="24"/>
      <c r="AH590" s="24"/>
      <c r="AI590" s="24"/>
      <c r="AJ590" s="24"/>
      <c r="AK590" s="24"/>
      <c r="AL590" s="24"/>
      <c r="AM590" s="24"/>
    </row>
    <row r="591">
      <c r="A591" s="11"/>
      <c r="B591" s="12" t="s">
        <v>34</v>
      </c>
      <c r="C591" s="12" t="s">
        <v>65</v>
      </c>
      <c r="D591" s="12" t="s">
        <v>43</v>
      </c>
      <c r="E591" s="12" t="s">
        <v>666</v>
      </c>
      <c r="F591" s="13" t="s">
        <v>667</v>
      </c>
      <c r="G591" s="12" t="s">
        <v>68</v>
      </c>
      <c r="H591" s="12" t="s">
        <v>668</v>
      </c>
      <c r="I591" s="12" t="s">
        <v>669</v>
      </c>
      <c r="J591" s="17" t="s">
        <v>73</v>
      </c>
      <c r="L591" s="17" t="s">
        <v>2051</v>
      </c>
      <c r="M591" s="20">
        <v>45860.0</v>
      </c>
      <c r="N591" s="17" t="s">
        <v>194</v>
      </c>
      <c r="O591" s="88" t="s">
        <v>1521</v>
      </c>
      <c r="P591" s="88" t="s">
        <v>1521</v>
      </c>
      <c r="Q591" s="88" t="s">
        <v>1521</v>
      </c>
      <c r="R591" s="88" t="s">
        <v>1521</v>
      </c>
      <c r="S591" s="88" t="s">
        <v>1521</v>
      </c>
      <c r="T591" s="88" t="s">
        <v>1521</v>
      </c>
      <c r="U591" s="88" t="s">
        <v>1521</v>
      </c>
      <c r="V591" s="88" t="s">
        <v>1521</v>
      </c>
      <c r="W591" s="88" t="s">
        <v>1521</v>
      </c>
      <c r="X591" s="88" t="s">
        <v>1521</v>
      </c>
      <c r="Y591" s="88" t="s">
        <v>1521</v>
      </c>
      <c r="Z591" s="88" t="s">
        <v>1521</v>
      </c>
      <c r="AA591" s="88" t="s">
        <v>1521</v>
      </c>
      <c r="AB591" s="88" t="s">
        <v>1521</v>
      </c>
      <c r="AC591" s="88" t="s">
        <v>1521</v>
      </c>
      <c r="AD591" s="89"/>
      <c r="AE591" s="102" t="s">
        <v>638</v>
      </c>
      <c r="AF591" s="24"/>
      <c r="AG591" s="24"/>
      <c r="AH591" s="24"/>
      <c r="AI591" s="24"/>
      <c r="AJ591" s="24"/>
      <c r="AK591" s="24"/>
      <c r="AL591" s="24"/>
      <c r="AM591" s="24"/>
    </row>
    <row r="592">
      <c r="A592" s="11"/>
      <c r="B592" s="12" t="s">
        <v>34</v>
      </c>
      <c r="C592" s="12" t="s">
        <v>65</v>
      </c>
      <c r="D592" s="12" t="s">
        <v>43</v>
      </c>
      <c r="E592" s="12" t="s">
        <v>666</v>
      </c>
      <c r="F592" s="13" t="s">
        <v>667</v>
      </c>
      <c r="G592" s="12" t="s">
        <v>68</v>
      </c>
      <c r="H592" s="12" t="s">
        <v>668</v>
      </c>
      <c r="I592" s="12" t="s">
        <v>669</v>
      </c>
      <c r="J592" s="17" t="s">
        <v>73</v>
      </c>
      <c r="L592" s="17" t="s">
        <v>2052</v>
      </c>
      <c r="M592" s="20">
        <v>45860.0</v>
      </c>
      <c r="N592" s="17" t="s">
        <v>194</v>
      </c>
      <c r="O592" s="88" t="s">
        <v>1521</v>
      </c>
      <c r="P592" s="88" t="s">
        <v>1521</v>
      </c>
      <c r="Q592" s="88" t="s">
        <v>1521</v>
      </c>
      <c r="R592" s="88" t="s">
        <v>1521</v>
      </c>
      <c r="S592" s="88" t="s">
        <v>1521</v>
      </c>
      <c r="T592" s="88" t="s">
        <v>1521</v>
      </c>
      <c r="U592" s="88" t="s">
        <v>1521</v>
      </c>
      <c r="V592" s="88" t="s">
        <v>1521</v>
      </c>
      <c r="W592" s="88" t="s">
        <v>1521</v>
      </c>
      <c r="X592" s="88" t="s">
        <v>1521</v>
      </c>
      <c r="Y592" s="88" t="s">
        <v>1521</v>
      </c>
      <c r="Z592" s="88" t="s">
        <v>1521</v>
      </c>
      <c r="AA592" s="88" t="s">
        <v>1521</v>
      </c>
      <c r="AB592" s="88" t="s">
        <v>1521</v>
      </c>
      <c r="AC592" s="88" t="s">
        <v>1521</v>
      </c>
      <c r="AD592" s="89"/>
      <c r="AE592" s="102" t="s">
        <v>638</v>
      </c>
      <c r="AF592" s="24"/>
      <c r="AG592" s="24"/>
      <c r="AH592" s="24"/>
      <c r="AI592" s="24"/>
      <c r="AJ592" s="24"/>
      <c r="AK592" s="24"/>
      <c r="AL592" s="24"/>
      <c r="AM592" s="24"/>
    </row>
    <row r="593">
      <c r="A593" s="11"/>
      <c r="B593" s="12" t="s">
        <v>43</v>
      </c>
      <c r="C593" s="12" t="s">
        <v>65</v>
      </c>
      <c r="D593" s="12" t="s">
        <v>43</v>
      </c>
      <c r="E593" s="12" t="s">
        <v>188</v>
      </c>
      <c r="F593" s="13" t="s">
        <v>189</v>
      </c>
      <c r="G593" s="12" t="s">
        <v>68</v>
      </c>
      <c r="H593" s="12" t="s">
        <v>190</v>
      </c>
      <c r="I593" s="12" t="s">
        <v>191</v>
      </c>
      <c r="J593" s="17" t="s">
        <v>73</v>
      </c>
      <c r="K593" s="17" t="s">
        <v>74</v>
      </c>
      <c r="L593" s="16" t="s">
        <v>1587</v>
      </c>
      <c r="M593" s="20">
        <v>45972.0</v>
      </c>
      <c r="N593" s="17" t="s">
        <v>428</v>
      </c>
      <c r="O593" s="88" t="s">
        <v>1519</v>
      </c>
      <c r="P593" s="88" t="s">
        <v>1519</v>
      </c>
      <c r="Q593" s="88" t="s">
        <v>1519</v>
      </c>
      <c r="R593" s="88" t="s">
        <v>1519</v>
      </c>
      <c r="S593" s="88" t="s">
        <v>1519</v>
      </c>
      <c r="T593" s="88" t="s">
        <v>1519</v>
      </c>
      <c r="U593" s="88" t="s">
        <v>1519</v>
      </c>
      <c r="V593" s="88" t="s">
        <v>1519</v>
      </c>
      <c r="W593" s="88" t="s">
        <v>1519</v>
      </c>
      <c r="X593" s="88" t="s">
        <v>1519</v>
      </c>
      <c r="Y593" s="88" t="s">
        <v>1520</v>
      </c>
      <c r="Z593" s="88" t="s">
        <v>1519</v>
      </c>
      <c r="AA593" s="88" t="s">
        <v>1519</v>
      </c>
      <c r="AB593" s="88" t="s">
        <v>1520</v>
      </c>
      <c r="AC593" s="88" t="s">
        <v>1520</v>
      </c>
      <c r="AD593" s="89"/>
      <c r="AE593" s="18" t="s">
        <v>76</v>
      </c>
      <c r="AF593" s="24"/>
      <c r="AG593" s="24"/>
      <c r="AH593" s="24"/>
      <c r="AI593" s="24"/>
      <c r="AJ593" s="24"/>
      <c r="AK593" s="24"/>
      <c r="AL593" s="24"/>
      <c r="AM593" s="24"/>
    </row>
    <row r="594">
      <c r="A594" s="11"/>
      <c r="B594" s="12" t="s">
        <v>43</v>
      </c>
      <c r="C594" s="12" t="s">
        <v>65</v>
      </c>
      <c r="D594" s="12" t="s">
        <v>43</v>
      </c>
      <c r="E594" s="12" t="s">
        <v>188</v>
      </c>
      <c r="F594" s="13" t="s">
        <v>189</v>
      </c>
      <c r="G594" s="12" t="s">
        <v>68</v>
      </c>
      <c r="H594" s="12" t="s">
        <v>190</v>
      </c>
      <c r="I594" s="12" t="s">
        <v>191</v>
      </c>
      <c r="J594" s="17" t="s">
        <v>73</v>
      </c>
      <c r="K594" s="17" t="s">
        <v>74</v>
      </c>
      <c r="L594" s="16" t="s">
        <v>1588</v>
      </c>
      <c r="M594" s="20">
        <v>45972.0</v>
      </c>
      <c r="N594" s="17" t="s">
        <v>428</v>
      </c>
      <c r="O594" s="88" t="s">
        <v>1519</v>
      </c>
      <c r="P594" s="88" t="s">
        <v>1520</v>
      </c>
      <c r="Q594" s="88" t="s">
        <v>1520</v>
      </c>
      <c r="R594" s="88" t="s">
        <v>1519</v>
      </c>
      <c r="S594" s="88" t="s">
        <v>1519</v>
      </c>
      <c r="T594" s="88" t="s">
        <v>1519</v>
      </c>
      <c r="U594" s="88" t="s">
        <v>1519</v>
      </c>
      <c r="V594" s="88" t="s">
        <v>1520</v>
      </c>
      <c r="W594" s="88" t="s">
        <v>1520</v>
      </c>
      <c r="X594" s="88" t="s">
        <v>1519</v>
      </c>
      <c r="Y594" s="88" t="s">
        <v>1519</v>
      </c>
      <c r="Z594" s="88" t="s">
        <v>1519</v>
      </c>
      <c r="AA594" s="88" t="s">
        <v>1519</v>
      </c>
      <c r="AB594" s="88" t="s">
        <v>1521</v>
      </c>
      <c r="AC594" s="88" t="s">
        <v>1521</v>
      </c>
      <c r="AD594" s="89"/>
      <c r="AE594" s="18" t="s">
        <v>76</v>
      </c>
      <c r="AF594" s="24"/>
      <c r="AG594" s="24"/>
      <c r="AH594" s="24"/>
      <c r="AI594" s="24"/>
      <c r="AJ594" s="24"/>
      <c r="AK594" s="24"/>
      <c r="AL594" s="24"/>
      <c r="AM594" s="24"/>
    </row>
    <row r="595">
      <c r="A595" s="11"/>
      <c r="B595" s="12" t="s">
        <v>43</v>
      </c>
      <c r="C595" s="12" t="s">
        <v>65</v>
      </c>
      <c r="D595" s="12" t="s">
        <v>43</v>
      </c>
      <c r="E595" s="12" t="s">
        <v>188</v>
      </c>
      <c r="F595" s="13" t="s">
        <v>189</v>
      </c>
      <c r="G595" s="12" t="s">
        <v>68</v>
      </c>
      <c r="H595" s="12" t="s">
        <v>190</v>
      </c>
      <c r="I595" s="12" t="s">
        <v>191</v>
      </c>
      <c r="J595" s="17" t="s">
        <v>73</v>
      </c>
      <c r="K595" s="17" t="s">
        <v>74</v>
      </c>
      <c r="L595" s="16" t="s">
        <v>1590</v>
      </c>
      <c r="M595" s="20">
        <v>45972.0</v>
      </c>
      <c r="N595" s="17" t="s">
        <v>428</v>
      </c>
      <c r="O595" s="88" t="s">
        <v>1519</v>
      </c>
      <c r="P595" s="88" t="s">
        <v>1520</v>
      </c>
      <c r="Q595" s="88" t="s">
        <v>1519</v>
      </c>
      <c r="R595" s="88" t="s">
        <v>1519</v>
      </c>
      <c r="S595" s="88" t="s">
        <v>1519</v>
      </c>
      <c r="T595" s="88" t="s">
        <v>1519</v>
      </c>
      <c r="U595" s="88" t="s">
        <v>1519</v>
      </c>
      <c r="V595" s="88" t="s">
        <v>1520</v>
      </c>
      <c r="W595" s="88" t="s">
        <v>1519</v>
      </c>
      <c r="X595" s="88" t="s">
        <v>1519</v>
      </c>
      <c r="Y595" s="88" t="s">
        <v>1520</v>
      </c>
      <c r="Z595" s="88" t="s">
        <v>1519</v>
      </c>
      <c r="AA595" s="88" t="s">
        <v>1519</v>
      </c>
      <c r="AB595" s="88" t="s">
        <v>1520</v>
      </c>
      <c r="AC595" s="88" t="s">
        <v>1520</v>
      </c>
      <c r="AD595" s="89"/>
      <c r="AE595" s="18" t="s">
        <v>76</v>
      </c>
      <c r="AF595" s="24"/>
      <c r="AG595" s="24"/>
      <c r="AH595" s="24"/>
      <c r="AI595" s="24"/>
      <c r="AJ595" s="24"/>
      <c r="AK595" s="24"/>
      <c r="AL595" s="24"/>
      <c r="AM595" s="24"/>
    </row>
    <row r="596">
      <c r="A596" s="11"/>
      <c r="B596" s="12" t="s">
        <v>43</v>
      </c>
      <c r="C596" s="12" t="s">
        <v>65</v>
      </c>
      <c r="D596" s="12" t="s">
        <v>43</v>
      </c>
      <c r="E596" s="12" t="s">
        <v>188</v>
      </c>
      <c r="F596" s="13" t="s">
        <v>189</v>
      </c>
      <c r="G596" s="12" t="s">
        <v>68</v>
      </c>
      <c r="H596" s="12" t="s">
        <v>190</v>
      </c>
      <c r="I596" s="12" t="s">
        <v>191</v>
      </c>
      <c r="J596" s="17" t="s">
        <v>73</v>
      </c>
      <c r="K596" s="17" t="s">
        <v>74</v>
      </c>
      <c r="L596" s="16" t="s">
        <v>1591</v>
      </c>
      <c r="M596" s="20">
        <v>45972.0</v>
      </c>
      <c r="N596" s="17" t="s">
        <v>428</v>
      </c>
      <c r="O596" s="88" t="s">
        <v>1519</v>
      </c>
      <c r="P596" s="88" t="s">
        <v>1520</v>
      </c>
      <c r="Q596" s="88" t="s">
        <v>1520</v>
      </c>
      <c r="R596" s="88" t="s">
        <v>1519</v>
      </c>
      <c r="S596" s="88" t="s">
        <v>1519</v>
      </c>
      <c r="T596" s="88" t="s">
        <v>1519</v>
      </c>
      <c r="U596" s="88" t="s">
        <v>1519</v>
      </c>
      <c r="V596" s="88" t="s">
        <v>1520</v>
      </c>
      <c r="W596" s="88" t="s">
        <v>1521</v>
      </c>
      <c r="X596" s="88" t="s">
        <v>1519</v>
      </c>
      <c r="Y596" s="88" t="s">
        <v>1519</v>
      </c>
      <c r="Z596" s="88" t="s">
        <v>1519</v>
      </c>
      <c r="AA596" s="88" t="s">
        <v>1519</v>
      </c>
      <c r="AB596" s="88" t="s">
        <v>1520</v>
      </c>
      <c r="AC596" s="88" t="s">
        <v>1520</v>
      </c>
      <c r="AD596" s="89"/>
      <c r="AE596" s="18" t="s">
        <v>76</v>
      </c>
      <c r="AF596" s="24"/>
      <c r="AG596" s="24"/>
      <c r="AH596" s="24"/>
      <c r="AI596" s="24"/>
      <c r="AJ596" s="24"/>
      <c r="AK596" s="24"/>
      <c r="AL596" s="24"/>
      <c r="AM596" s="24"/>
    </row>
    <row r="597">
      <c r="A597" s="11"/>
      <c r="B597" s="12" t="s">
        <v>43</v>
      </c>
      <c r="C597" s="12" t="s">
        <v>65</v>
      </c>
      <c r="D597" s="12" t="s">
        <v>43</v>
      </c>
      <c r="E597" s="12" t="s">
        <v>188</v>
      </c>
      <c r="F597" s="13" t="s">
        <v>189</v>
      </c>
      <c r="G597" s="12" t="s">
        <v>68</v>
      </c>
      <c r="H597" s="12" t="s">
        <v>190</v>
      </c>
      <c r="I597" s="12" t="s">
        <v>191</v>
      </c>
      <c r="J597" s="17" t="s">
        <v>73</v>
      </c>
      <c r="K597" s="17" t="s">
        <v>74</v>
      </c>
      <c r="L597" s="16" t="s">
        <v>1592</v>
      </c>
      <c r="M597" s="20">
        <v>45972.0</v>
      </c>
      <c r="N597" s="17" t="s">
        <v>428</v>
      </c>
      <c r="O597" s="88" t="s">
        <v>1519</v>
      </c>
      <c r="P597" s="88" t="s">
        <v>1519</v>
      </c>
      <c r="Q597" s="88" t="s">
        <v>1519</v>
      </c>
      <c r="R597" s="88" t="s">
        <v>1519</v>
      </c>
      <c r="S597" s="88" t="s">
        <v>1519</v>
      </c>
      <c r="T597" s="88" t="s">
        <v>1519</v>
      </c>
      <c r="U597" s="88" t="s">
        <v>1519</v>
      </c>
      <c r="V597" s="88" t="s">
        <v>1519</v>
      </c>
      <c r="W597" s="88" t="s">
        <v>1519</v>
      </c>
      <c r="X597" s="88" t="s">
        <v>1519</v>
      </c>
      <c r="Y597" s="88" t="s">
        <v>1520</v>
      </c>
      <c r="Z597" s="88" t="s">
        <v>1519</v>
      </c>
      <c r="AA597" s="88" t="s">
        <v>1519</v>
      </c>
      <c r="AB597" s="88" t="s">
        <v>1519</v>
      </c>
      <c r="AC597" s="88" t="s">
        <v>1519</v>
      </c>
      <c r="AD597" s="89"/>
      <c r="AE597" s="18" t="s">
        <v>76</v>
      </c>
      <c r="AF597" s="24"/>
      <c r="AG597" s="24"/>
      <c r="AH597" s="24"/>
      <c r="AI597" s="24"/>
      <c r="AJ597" s="24"/>
      <c r="AK597" s="24"/>
      <c r="AL597" s="24"/>
      <c r="AM597" s="24"/>
    </row>
    <row r="598">
      <c r="A598" s="11"/>
      <c r="B598" s="12" t="s">
        <v>43</v>
      </c>
      <c r="C598" s="12" t="s">
        <v>65</v>
      </c>
      <c r="D598" s="12" t="s">
        <v>43</v>
      </c>
      <c r="E598" s="12" t="s">
        <v>66</v>
      </c>
      <c r="F598" s="13" t="s">
        <v>67</v>
      </c>
      <c r="G598" s="12" t="s">
        <v>68</v>
      </c>
      <c r="H598" s="12" t="s">
        <v>69</v>
      </c>
      <c r="I598" s="12" t="s">
        <v>70</v>
      </c>
      <c r="J598" s="17" t="s">
        <v>73</v>
      </c>
      <c r="K598" s="17" t="s">
        <v>74</v>
      </c>
      <c r="L598" s="16" t="s">
        <v>1574</v>
      </c>
      <c r="M598" s="20">
        <v>45973.0</v>
      </c>
      <c r="N598" s="17" t="s">
        <v>428</v>
      </c>
      <c r="O598" s="88" t="s">
        <v>1519</v>
      </c>
      <c r="P598" s="88" t="s">
        <v>1519</v>
      </c>
      <c r="Q598" s="88" t="s">
        <v>1519</v>
      </c>
      <c r="R598" s="88" t="s">
        <v>1519</v>
      </c>
      <c r="S598" s="88" t="s">
        <v>1519</v>
      </c>
      <c r="T598" s="88" t="s">
        <v>1519</v>
      </c>
      <c r="U598" s="88" t="s">
        <v>1519</v>
      </c>
      <c r="V598" s="88" t="s">
        <v>1519</v>
      </c>
      <c r="W598" s="88" t="s">
        <v>1520</v>
      </c>
      <c r="X598" s="88" t="s">
        <v>1520</v>
      </c>
      <c r="Y598" s="88" t="s">
        <v>1519</v>
      </c>
      <c r="Z598" s="88" t="s">
        <v>1520</v>
      </c>
      <c r="AA598" s="88" t="s">
        <v>1519</v>
      </c>
      <c r="AB598" s="88" t="s">
        <v>1521</v>
      </c>
      <c r="AC598" s="88" t="s">
        <v>1520</v>
      </c>
      <c r="AD598" s="89"/>
      <c r="AE598" s="18" t="s">
        <v>76</v>
      </c>
      <c r="AF598" s="24"/>
      <c r="AG598" s="24"/>
      <c r="AH598" s="24"/>
      <c r="AI598" s="24"/>
      <c r="AJ598" s="24"/>
      <c r="AK598" s="24"/>
      <c r="AL598" s="24"/>
      <c r="AM598" s="24"/>
    </row>
    <row r="599">
      <c r="A599" s="11"/>
      <c r="B599" s="12" t="s">
        <v>43</v>
      </c>
      <c r="C599" s="12" t="s">
        <v>65</v>
      </c>
      <c r="D599" s="12" t="s">
        <v>43</v>
      </c>
      <c r="E599" s="12" t="s">
        <v>66</v>
      </c>
      <c r="F599" s="13" t="s">
        <v>67</v>
      </c>
      <c r="G599" s="12" t="s">
        <v>68</v>
      </c>
      <c r="H599" s="12" t="s">
        <v>69</v>
      </c>
      <c r="I599" s="12" t="s">
        <v>70</v>
      </c>
      <c r="J599" s="17" t="s">
        <v>73</v>
      </c>
      <c r="K599" s="17" t="s">
        <v>74</v>
      </c>
      <c r="L599" s="16" t="s">
        <v>1575</v>
      </c>
      <c r="M599" s="20">
        <v>45973.0</v>
      </c>
      <c r="N599" s="17" t="s">
        <v>428</v>
      </c>
      <c r="O599" s="88" t="s">
        <v>1519</v>
      </c>
      <c r="P599" s="88" t="s">
        <v>1519</v>
      </c>
      <c r="Q599" s="88" t="s">
        <v>1519</v>
      </c>
      <c r="R599" s="88" t="s">
        <v>1519</v>
      </c>
      <c r="S599" s="88" t="s">
        <v>1519</v>
      </c>
      <c r="T599" s="88" t="s">
        <v>1519</v>
      </c>
      <c r="U599" s="88" t="s">
        <v>1519</v>
      </c>
      <c r="V599" s="88" t="s">
        <v>1519</v>
      </c>
      <c r="W599" s="88" t="s">
        <v>1519</v>
      </c>
      <c r="X599" s="88" t="s">
        <v>1519</v>
      </c>
      <c r="Y599" s="88" t="s">
        <v>1520</v>
      </c>
      <c r="Z599" s="88" t="s">
        <v>1519</v>
      </c>
      <c r="AA599" s="88" t="s">
        <v>1520</v>
      </c>
      <c r="AB599" s="88" t="s">
        <v>1520</v>
      </c>
      <c r="AC599" s="88" t="s">
        <v>1520</v>
      </c>
      <c r="AD599" s="89"/>
      <c r="AE599" s="18" t="s">
        <v>76</v>
      </c>
      <c r="AF599" s="24"/>
      <c r="AG599" s="24"/>
      <c r="AH599" s="24"/>
      <c r="AI599" s="24"/>
      <c r="AJ599" s="24"/>
      <c r="AK599" s="24"/>
      <c r="AL599" s="24"/>
      <c r="AM599" s="24"/>
    </row>
    <row r="600">
      <c r="A600" s="11"/>
      <c r="B600" s="12" t="s">
        <v>43</v>
      </c>
      <c r="C600" s="12" t="s">
        <v>65</v>
      </c>
      <c r="D600" s="12" t="s">
        <v>43</v>
      </c>
      <c r="E600" s="12" t="s">
        <v>66</v>
      </c>
      <c r="F600" s="13" t="s">
        <v>67</v>
      </c>
      <c r="G600" s="12" t="s">
        <v>68</v>
      </c>
      <c r="H600" s="12" t="s">
        <v>69</v>
      </c>
      <c r="I600" s="12" t="s">
        <v>70</v>
      </c>
      <c r="J600" s="17" t="s">
        <v>73</v>
      </c>
      <c r="K600" s="17" t="s">
        <v>74</v>
      </c>
      <c r="L600" s="16" t="s">
        <v>1576</v>
      </c>
      <c r="M600" s="20">
        <v>45973.0</v>
      </c>
      <c r="N600" s="17" t="s">
        <v>428</v>
      </c>
      <c r="O600" s="88" t="s">
        <v>1519</v>
      </c>
      <c r="P600" s="88" t="s">
        <v>1519</v>
      </c>
      <c r="Q600" s="88" t="s">
        <v>1519</v>
      </c>
      <c r="R600" s="88" t="s">
        <v>1519</v>
      </c>
      <c r="S600" s="88" t="s">
        <v>1519</v>
      </c>
      <c r="T600" s="88" t="s">
        <v>1519</v>
      </c>
      <c r="U600" s="88" t="s">
        <v>1519</v>
      </c>
      <c r="V600" s="88" t="s">
        <v>1519</v>
      </c>
      <c r="W600" s="88" t="s">
        <v>1519</v>
      </c>
      <c r="X600" s="88" t="s">
        <v>1519</v>
      </c>
      <c r="Y600" s="88" t="s">
        <v>1519</v>
      </c>
      <c r="Z600" s="88" t="s">
        <v>1520</v>
      </c>
      <c r="AA600" s="88" t="s">
        <v>1519</v>
      </c>
      <c r="AB600" s="88" t="s">
        <v>1519</v>
      </c>
      <c r="AC600" s="88" t="s">
        <v>1520</v>
      </c>
      <c r="AD600" s="89"/>
      <c r="AE600" s="18" t="s">
        <v>76</v>
      </c>
      <c r="AF600" s="24"/>
      <c r="AG600" s="24"/>
      <c r="AH600" s="24"/>
      <c r="AI600" s="24"/>
      <c r="AJ600" s="24"/>
      <c r="AK600" s="24"/>
      <c r="AL600" s="24"/>
      <c r="AM600" s="24"/>
    </row>
    <row r="601">
      <c r="A601" s="11"/>
      <c r="B601" s="12" t="s">
        <v>43</v>
      </c>
      <c r="C601" s="12" t="s">
        <v>65</v>
      </c>
      <c r="D601" s="12" t="s">
        <v>43</v>
      </c>
      <c r="E601" s="12" t="s">
        <v>66</v>
      </c>
      <c r="F601" s="13" t="s">
        <v>67</v>
      </c>
      <c r="G601" s="12" t="s">
        <v>68</v>
      </c>
      <c r="H601" s="12" t="s">
        <v>69</v>
      </c>
      <c r="I601" s="12" t="s">
        <v>70</v>
      </c>
      <c r="J601" s="17" t="s">
        <v>73</v>
      </c>
      <c r="K601" s="17" t="s">
        <v>74</v>
      </c>
      <c r="L601" s="16" t="s">
        <v>72</v>
      </c>
      <c r="M601" s="20">
        <v>45973.0</v>
      </c>
      <c r="N601" s="17" t="s">
        <v>428</v>
      </c>
      <c r="O601" s="88" t="s">
        <v>1519</v>
      </c>
      <c r="P601" s="88" t="s">
        <v>1519</v>
      </c>
      <c r="Q601" s="88" t="s">
        <v>1519</v>
      </c>
      <c r="R601" s="88" t="s">
        <v>1519</v>
      </c>
      <c r="S601" s="88" t="s">
        <v>1519</v>
      </c>
      <c r="T601" s="88" t="s">
        <v>1519</v>
      </c>
      <c r="U601" s="88" t="s">
        <v>1519</v>
      </c>
      <c r="V601" s="88" t="s">
        <v>1519</v>
      </c>
      <c r="W601" s="88" t="s">
        <v>1519</v>
      </c>
      <c r="X601" s="88" t="s">
        <v>1519</v>
      </c>
      <c r="Y601" s="88" t="s">
        <v>1520</v>
      </c>
      <c r="Z601" s="88" t="s">
        <v>1519</v>
      </c>
      <c r="AA601" s="88" t="s">
        <v>1520</v>
      </c>
      <c r="AB601" s="88" t="s">
        <v>1520</v>
      </c>
      <c r="AC601" s="88" t="s">
        <v>1520</v>
      </c>
      <c r="AD601" s="89"/>
      <c r="AE601" s="18" t="s">
        <v>76</v>
      </c>
      <c r="AF601" s="24"/>
      <c r="AG601" s="24"/>
      <c r="AH601" s="24"/>
      <c r="AI601" s="24"/>
      <c r="AJ601" s="24"/>
      <c r="AK601" s="24"/>
      <c r="AL601" s="24"/>
      <c r="AM601" s="24"/>
    </row>
    <row r="602">
      <c r="A602" s="11"/>
      <c r="B602" s="12" t="s">
        <v>43</v>
      </c>
      <c r="C602" s="12" t="s">
        <v>65</v>
      </c>
      <c r="D602" s="12" t="s">
        <v>43</v>
      </c>
      <c r="E602" s="12" t="s">
        <v>66</v>
      </c>
      <c r="F602" s="13" t="s">
        <v>67</v>
      </c>
      <c r="G602" s="12" t="s">
        <v>68</v>
      </c>
      <c r="H602" s="12" t="s">
        <v>69</v>
      </c>
      <c r="I602" s="12" t="s">
        <v>70</v>
      </c>
      <c r="J602" s="17" t="s">
        <v>73</v>
      </c>
      <c r="K602" s="17" t="s">
        <v>74</v>
      </c>
      <c r="L602" s="16" t="s">
        <v>81</v>
      </c>
      <c r="M602" s="20">
        <v>45973.0</v>
      </c>
      <c r="N602" s="17" t="s">
        <v>428</v>
      </c>
      <c r="O602" s="88" t="s">
        <v>1519</v>
      </c>
      <c r="P602" s="88" t="s">
        <v>1519</v>
      </c>
      <c r="Q602" s="88" t="s">
        <v>1519</v>
      </c>
      <c r="R602" s="88" t="s">
        <v>1519</v>
      </c>
      <c r="S602" s="88" t="s">
        <v>1519</v>
      </c>
      <c r="T602" s="88" t="s">
        <v>1519</v>
      </c>
      <c r="U602" s="88" t="s">
        <v>1519</v>
      </c>
      <c r="V602" s="88" t="s">
        <v>1519</v>
      </c>
      <c r="W602" s="88" t="s">
        <v>1519</v>
      </c>
      <c r="X602" s="88" t="s">
        <v>1519</v>
      </c>
      <c r="Y602" s="88" t="s">
        <v>1519</v>
      </c>
      <c r="Z602" s="88" t="s">
        <v>1520</v>
      </c>
      <c r="AA602" s="88" t="s">
        <v>1519</v>
      </c>
      <c r="AB602" s="88" t="s">
        <v>1519</v>
      </c>
      <c r="AC602" s="88" t="s">
        <v>1520</v>
      </c>
      <c r="AD602" s="89"/>
      <c r="AE602" s="18" t="s">
        <v>76</v>
      </c>
      <c r="AF602" s="24"/>
      <c r="AG602" s="24"/>
      <c r="AH602" s="24"/>
      <c r="AI602" s="24"/>
      <c r="AJ602" s="24"/>
      <c r="AK602" s="24"/>
      <c r="AL602" s="24"/>
      <c r="AM602" s="24"/>
    </row>
    <row r="603">
      <c r="A603" s="11"/>
      <c r="B603" s="12" t="s">
        <v>43</v>
      </c>
      <c r="C603" s="12" t="s">
        <v>65</v>
      </c>
      <c r="D603" s="12" t="s">
        <v>43</v>
      </c>
      <c r="E603" s="12" t="s">
        <v>66</v>
      </c>
      <c r="F603" s="13" t="s">
        <v>67</v>
      </c>
      <c r="G603" s="12" t="s">
        <v>68</v>
      </c>
      <c r="H603" s="12" t="s">
        <v>69</v>
      </c>
      <c r="I603" s="12" t="s">
        <v>70</v>
      </c>
      <c r="J603" s="17" t="s">
        <v>73</v>
      </c>
      <c r="K603" s="17" t="s">
        <v>74</v>
      </c>
      <c r="L603" s="16" t="s">
        <v>1577</v>
      </c>
      <c r="M603" s="20">
        <v>45973.0</v>
      </c>
      <c r="N603" s="17" t="s">
        <v>428</v>
      </c>
      <c r="O603" s="88" t="s">
        <v>1519</v>
      </c>
      <c r="P603" s="88" t="s">
        <v>1519</v>
      </c>
      <c r="Q603" s="88" t="s">
        <v>1519</v>
      </c>
      <c r="R603" s="88" t="s">
        <v>1519</v>
      </c>
      <c r="S603" s="88" t="s">
        <v>1519</v>
      </c>
      <c r="T603" s="88" t="s">
        <v>1519</v>
      </c>
      <c r="U603" s="88" t="s">
        <v>1519</v>
      </c>
      <c r="V603" s="88" t="s">
        <v>1519</v>
      </c>
      <c r="W603" s="88" t="s">
        <v>1519</v>
      </c>
      <c r="X603" s="88" t="s">
        <v>1519</v>
      </c>
      <c r="Y603" s="88" t="s">
        <v>1519</v>
      </c>
      <c r="Z603" s="88" t="s">
        <v>1519</v>
      </c>
      <c r="AA603" s="88" t="s">
        <v>1519</v>
      </c>
      <c r="AB603" s="88" t="s">
        <v>1519</v>
      </c>
      <c r="AC603" s="88" t="s">
        <v>1519</v>
      </c>
      <c r="AD603" s="89"/>
      <c r="AE603" s="18" t="s">
        <v>76</v>
      </c>
      <c r="AF603" s="24"/>
      <c r="AG603" s="24"/>
      <c r="AH603" s="24"/>
      <c r="AI603" s="24"/>
      <c r="AJ603" s="24"/>
      <c r="AK603" s="24"/>
      <c r="AL603" s="24"/>
      <c r="AM603" s="24"/>
    </row>
    <row r="604">
      <c r="A604" s="11"/>
      <c r="B604" s="12" t="s">
        <v>43</v>
      </c>
      <c r="C604" s="12" t="s">
        <v>65</v>
      </c>
      <c r="D604" s="12" t="s">
        <v>43</v>
      </c>
      <c r="E604" s="12" t="s">
        <v>66</v>
      </c>
      <c r="F604" s="13" t="s">
        <v>67</v>
      </c>
      <c r="G604" s="12" t="s">
        <v>68</v>
      </c>
      <c r="H604" s="12" t="s">
        <v>69</v>
      </c>
      <c r="I604" s="12" t="s">
        <v>70</v>
      </c>
      <c r="J604" s="17" t="s">
        <v>73</v>
      </c>
      <c r="K604" s="17" t="s">
        <v>74</v>
      </c>
      <c r="L604" s="16" t="s">
        <v>1578</v>
      </c>
      <c r="M604" s="20">
        <v>45973.0</v>
      </c>
      <c r="N604" s="17" t="s">
        <v>428</v>
      </c>
      <c r="O604" s="88" t="s">
        <v>1519</v>
      </c>
      <c r="P604" s="88" t="s">
        <v>1519</v>
      </c>
      <c r="Q604" s="88" t="s">
        <v>1519</v>
      </c>
      <c r="R604" s="88" t="s">
        <v>1519</v>
      </c>
      <c r="S604" s="88" t="s">
        <v>1519</v>
      </c>
      <c r="T604" s="88" t="s">
        <v>1519</v>
      </c>
      <c r="U604" s="88" t="s">
        <v>1519</v>
      </c>
      <c r="V604" s="88" t="s">
        <v>1519</v>
      </c>
      <c r="W604" s="88" t="s">
        <v>1519</v>
      </c>
      <c r="X604" s="88" t="s">
        <v>1519</v>
      </c>
      <c r="Y604" s="88" t="s">
        <v>1519</v>
      </c>
      <c r="Z604" s="88" t="s">
        <v>1519</v>
      </c>
      <c r="AA604" s="88" t="s">
        <v>1519</v>
      </c>
      <c r="AB604" s="88" t="s">
        <v>1519</v>
      </c>
      <c r="AC604" s="88" t="s">
        <v>1519</v>
      </c>
      <c r="AD604" s="89"/>
      <c r="AE604" s="18" t="s">
        <v>76</v>
      </c>
      <c r="AF604" s="24"/>
      <c r="AG604" s="24"/>
      <c r="AH604" s="24"/>
      <c r="AI604" s="24"/>
      <c r="AJ604" s="24"/>
      <c r="AK604" s="24"/>
      <c r="AL604" s="24"/>
      <c r="AM604" s="24"/>
    </row>
    <row r="605">
      <c r="A605" s="11"/>
      <c r="B605" s="12" t="s">
        <v>43</v>
      </c>
      <c r="C605" s="12" t="s">
        <v>65</v>
      </c>
      <c r="D605" s="12" t="s">
        <v>43</v>
      </c>
      <c r="E605" s="12" t="s">
        <v>66</v>
      </c>
      <c r="F605" s="13" t="s">
        <v>67</v>
      </c>
      <c r="G605" s="12" t="s">
        <v>68</v>
      </c>
      <c r="H605" s="12" t="s">
        <v>69</v>
      </c>
      <c r="I605" s="12" t="s">
        <v>70</v>
      </c>
      <c r="J605" s="17" t="s">
        <v>73</v>
      </c>
      <c r="K605" s="17" t="s">
        <v>74</v>
      </c>
      <c r="L605" s="16" t="s">
        <v>1579</v>
      </c>
      <c r="M605" s="20">
        <v>45973.0</v>
      </c>
      <c r="N605" s="17" t="s">
        <v>428</v>
      </c>
      <c r="O605" s="88" t="s">
        <v>1519</v>
      </c>
      <c r="P605" s="88" t="s">
        <v>1519</v>
      </c>
      <c r="Q605" s="88" t="s">
        <v>1519</v>
      </c>
      <c r="R605" s="88" t="s">
        <v>1519</v>
      </c>
      <c r="S605" s="88" t="s">
        <v>1519</v>
      </c>
      <c r="T605" s="88" t="s">
        <v>1519</v>
      </c>
      <c r="U605" s="88" t="s">
        <v>1519</v>
      </c>
      <c r="V605" s="88" t="s">
        <v>1519</v>
      </c>
      <c r="W605" s="88" t="s">
        <v>1519</v>
      </c>
      <c r="X605" s="88" t="s">
        <v>1519</v>
      </c>
      <c r="Y605" s="88" t="s">
        <v>1519</v>
      </c>
      <c r="Z605" s="88" t="s">
        <v>1519</v>
      </c>
      <c r="AA605" s="88" t="s">
        <v>1519</v>
      </c>
      <c r="AB605" s="88" t="s">
        <v>1519</v>
      </c>
      <c r="AC605" s="88" t="s">
        <v>1519</v>
      </c>
      <c r="AD605" s="89"/>
      <c r="AE605" s="18" t="s">
        <v>76</v>
      </c>
      <c r="AF605" s="24"/>
      <c r="AG605" s="24"/>
      <c r="AH605" s="24"/>
      <c r="AI605" s="24"/>
      <c r="AJ605" s="24"/>
      <c r="AK605" s="24"/>
      <c r="AL605" s="24"/>
      <c r="AM605" s="24"/>
    </row>
    <row r="606">
      <c r="A606" s="11"/>
      <c r="B606" s="12" t="s">
        <v>43</v>
      </c>
      <c r="C606" s="12" t="s">
        <v>65</v>
      </c>
      <c r="D606" s="12" t="s">
        <v>43</v>
      </c>
      <c r="E606" s="12" t="s">
        <v>66</v>
      </c>
      <c r="F606" s="13" t="s">
        <v>67</v>
      </c>
      <c r="G606" s="12" t="s">
        <v>68</v>
      </c>
      <c r="H606" s="12" t="s">
        <v>69</v>
      </c>
      <c r="I606" s="12" t="s">
        <v>70</v>
      </c>
      <c r="J606" s="17" t="s">
        <v>112</v>
      </c>
      <c r="K606" s="17" t="s">
        <v>113</v>
      </c>
      <c r="L606" s="16" t="s">
        <v>1580</v>
      </c>
      <c r="M606" s="20">
        <v>45973.0</v>
      </c>
      <c r="N606" s="17" t="s">
        <v>428</v>
      </c>
      <c r="O606" s="88" t="s">
        <v>1519</v>
      </c>
      <c r="P606" s="88" t="s">
        <v>1519</v>
      </c>
      <c r="Q606" s="88" t="s">
        <v>1519</v>
      </c>
      <c r="R606" s="88" t="s">
        <v>1520</v>
      </c>
      <c r="S606" s="88" t="s">
        <v>1519</v>
      </c>
      <c r="T606" s="88" t="s">
        <v>1520</v>
      </c>
      <c r="U606" s="88" t="s">
        <v>1519</v>
      </c>
      <c r="V606" s="88" t="s">
        <v>1520</v>
      </c>
      <c r="W606" s="88" t="s">
        <v>1520</v>
      </c>
      <c r="X606" s="88" t="s">
        <v>1519</v>
      </c>
      <c r="Y606" s="88" t="s">
        <v>1519</v>
      </c>
      <c r="Z606" s="88" t="s">
        <v>1519</v>
      </c>
      <c r="AA606" s="88" t="s">
        <v>1519</v>
      </c>
      <c r="AB606" s="88" t="s">
        <v>1520</v>
      </c>
      <c r="AC606" s="88" t="s">
        <v>1520</v>
      </c>
      <c r="AD606" s="89"/>
      <c r="AE606" s="18" t="s">
        <v>76</v>
      </c>
      <c r="AF606" s="24"/>
      <c r="AG606" s="24"/>
      <c r="AH606" s="24"/>
      <c r="AI606" s="24"/>
      <c r="AJ606" s="24"/>
      <c r="AK606" s="24"/>
      <c r="AL606" s="24"/>
      <c r="AM606" s="24"/>
    </row>
    <row r="607">
      <c r="A607" s="11"/>
      <c r="B607" s="12" t="s">
        <v>43</v>
      </c>
      <c r="C607" s="12" t="s">
        <v>65</v>
      </c>
      <c r="D607" s="12" t="s">
        <v>43</v>
      </c>
      <c r="E607" s="12" t="s">
        <v>66</v>
      </c>
      <c r="F607" s="13" t="s">
        <v>67</v>
      </c>
      <c r="G607" s="12" t="s">
        <v>68</v>
      </c>
      <c r="H607" s="12" t="s">
        <v>69</v>
      </c>
      <c r="I607" s="12" t="s">
        <v>70</v>
      </c>
      <c r="J607" s="17" t="s">
        <v>112</v>
      </c>
      <c r="K607" s="17" t="s">
        <v>113</v>
      </c>
      <c r="L607" s="16" t="s">
        <v>1581</v>
      </c>
      <c r="M607" s="20">
        <v>45973.0</v>
      </c>
      <c r="N607" s="17" t="s">
        <v>428</v>
      </c>
      <c r="O607" s="88" t="s">
        <v>1519</v>
      </c>
      <c r="P607" s="88" t="s">
        <v>1519</v>
      </c>
      <c r="Q607" s="88" t="s">
        <v>1519</v>
      </c>
      <c r="R607" s="88" t="s">
        <v>1520</v>
      </c>
      <c r="S607" s="88" t="s">
        <v>1519</v>
      </c>
      <c r="T607" s="88" t="s">
        <v>1519</v>
      </c>
      <c r="U607" s="88" t="s">
        <v>1519</v>
      </c>
      <c r="V607" s="88" t="s">
        <v>1519</v>
      </c>
      <c r="W607" s="88" t="s">
        <v>1520</v>
      </c>
      <c r="X607" s="88" t="s">
        <v>1519</v>
      </c>
      <c r="Y607" s="88" t="s">
        <v>1519</v>
      </c>
      <c r="Z607" s="88" t="s">
        <v>1519</v>
      </c>
      <c r="AA607" s="88" t="s">
        <v>1519</v>
      </c>
      <c r="AB607" s="88" t="s">
        <v>1519</v>
      </c>
      <c r="AC607" s="88" t="s">
        <v>1520</v>
      </c>
      <c r="AD607" s="89"/>
      <c r="AE607" s="18" t="s">
        <v>76</v>
      </c>
      <c r="AF607" s="24"/>
      <c r="AG607" s="24"/>
      <c r="AH607" s="24"/>
      <c r="AI607" s="24"/>
      <c r="AJ607" s="24"/>
      <c r="AK607" s="24"/>
      <c r="AL607" s="24"/>
      <c r="AM607" s="24"/>
    </row>
    <row r="608">
      <c r="A608" s="11"/>
      <c r="B608" s="12" t="s">
        <v>43</v>
      </c>
      <c r="C608" s="12" t="s">
        <v>65</v>
      </c>
      <c r="D608" s="12" t="s">
        <v>43</v>
      </c>
      <c r="E608" s="12" t="s">
        <v>66</v>
      </c>
      <c r="F608" s="13" t="s">
        <v>67</v>
      </c>
      <c r="G608" s="12" t="s">
        <v>68</v>
      </c>
      <c r="H608" s="12" t="s">
        <v>69</v>
      </c>
      <c r="I608" s="12" t="s">
        <v>70</v>
      </c>
      <c r="J608" s="17" t="s">
        <v>112</v>
      </c>
      <c r="K608" s="17" t="s">
        <v>113</v>
      </c>
      <c r="L608" s="16" t="s">
        <v>1582</v>
      </c>
      <c r="M608" s="20">
        <v>45973.0</v>
      </c>
      <c r="N608" s="17" t="s">
        <v>428</v>
      </c>
      <c r="O608" s="88" t="s">
        <v>1519</v>
      </c>
      <c r="P608" s="88" t="s">
        <v>1519</v>
      </c>
      <c r="Q608" s="88" t="s">
        <v>1519</v>
      </c>
      <c r="R608" s="88" t="s">
        <v>1520</v>
      </c>
      <c r="S608" s="88" t="s">
        <v>1519</v>
      </c>
      <c r="T608" s="88" t="s">
        <v>1520</v>
      </c>
      <c r="U608" s="88" t="s">
        <v>1519</v>
      </c>
      <c r="V608" s="88" t="s">
        <v>1520</v>
      </c>
      <c r="W608" s="88" t="s">
        <v>1520</v>
      </c>
      <c r="X608" s="88" t="s">
        <v>1519</v>
      </c>
      <c r="Y608" s="88" t="s">
        <v>1519</v>
      </c>
      <c r="Z608" s="88" t="s">
        <v>1519</v>
      </c>
      <c r="AA608" s="88" t="s">
        <v>1519</v>
      </c>
      <c r="AB608" s="88" t="s">
        <v>1520</v>
      </c>
      <c r="AC608" s="88" t="s">
        <v>1520</v>
      </c>
      <c r="AD608" s="89"/>
      <c r="AE608" s="18" t="s">
        <v>76</v>
      </c>
      <c r="AF608" s="24"/>
      <c r="AG608" s="24"/>
      <c r="AH608" s="24"/>
      <c r="AI608" s="24"/>
      <c r="AJ608" s="24"/>
      <c r="AK608" s="24"/>
      <c r="AL608" s="24"/>
      <c r="AM608" s="24"/>
    </row>
    <row r="609">
      <c r="A609" s="11"/>
      <c r="B609" s="12" t="s">
        <v>43</v>
      </c>
      <c r="C609" s="12" t="s">
        <v>65</v>
      </c>
      <c r="D609" s="12" t="s">
        <v>43</v>
      </c>
      <c r="E609" s="12" t="s">
        <v>66</v>
      </c>
      <c r="F609" s="13" t="s">
        <v>67</v>
      </c>
      <c r="G609" s="12" t="s">
        <v>68</v>
      </c>
      <c r="H609" s="12" t="s">
        <v>69</v>
      </c>
      <c r="I609" s="12" t="s">
        <v>70</v>
      </c>
      <c r="J609" s="17" t="s">
        <v>112</v>
      </c>
      <c r="K609" s="17" t="s">
        <v>113</v>
      </c>
      <c r="L609" s="16" t="s">
        <v>1583</v>
      </c>
      <c r="M609" s="20">
        <v>45973.0</v>
      </c>
      <c r="N609" s="17" t="s">
        <v>428</v>
      </c>
      <c r="O609" s="88" t="s">
        <v>1519</v>
      </c>
      <c r="P609" s="88" t="s">
        <v>1519</v>
      </c>
      <c r="Q609" s="88" t="s">
        <v>1519</v>
      </c>
      <c r="R609" s="88" t="s">
        <v>1520</v>
      </c>
      <c r="S609" s="88" t="s">
        <v>1519</v>
      </c>
      <c r="T609" s="88" t="s">
        <v>1520</v>
      </c>
      <c r="U609" s="88" t="s">
        <v>1519</v>
      </c>
      <c r="V609" s="88" t="s">
        <v>1520</v>
      </c>
      <c r="W609" s="88" t="s">
        <v>1520</v>
      </c>
      <c r="X609" s="88" t="s">
        <v>1519</v>
      </c>
      <c r="Y609" s="88" t="s">
        <v>1519</v>
      </c>
      <c r="Z609" s="88" t="s">
        <v>1519</v>
      </c>
      <c r="AA609" s="88" t="s">
        <v>1519</v>
      </c>
      <c r="AB609" s="88" t="s">
        <v>1520</v>
      </c>
      <c r="AC609" s="88" t="s">
        <v>1520</v>
      </c>
      <c r="AD609" s="89"/>
      <c r="AE609" s="18" t="s">
        <v>76</v>
      </c>
      <c r="AF609" s="24"/>
      <c r="AG609" s="24"/>
      <c r="AH609" s="24"/>
      <c r="AI609" s="24"/>
      <c r="AJ609" s="24"/>
      <c r="AK609" s="24"/>
      <c r="AL609" s="24"/>
      <c r="AM609" s="24"/>
    </row>
    <row r="610">
      <c r="A610" s="11"/>
      <c r="B610" s="12" t="s">
        <v>43</v>
      </c>
      <c r="C610" s="12" t="s">
        <v>65</v>
      </c>
      <c r="D610" s="12" t="s">
        <v>43</v>
      </c>
      <c r="E610" s="12" t="s">
        <v>66</v>
      </c>
      <c r="F610" s="13" t="s">
        <v>67</v>
      </c>
      <c r="G610" s="12" t="s">
        <v>68</v>
      </c>
      <c r="H610" s="12" t="s">
        <v>69</v>
      </c>
      <c r="I610" s="12" t="s">
        <v>70</v>
      </c>
      <c r="J610" s="17" t="s">
        <v>112</v>
      </c>
      <c r="K610" s="17" t="s">
        <v>113</v>
      </c>
      <c r="L610" s="16" t="s">
        <v>1584</v>
      </c>
      <c r="M610" s="20">
        <v>45973.0</v>
      </c>
      <c r="N610" s="17" t="s">
        <v>428</v>
      </c>
      <c r="O610" s="88" t="s">
        <v>1519</v>
      </c>
      <c r="P610" s="88" t="s">
        <v>1519</v>
      </c>
      <c r="Q610" s="88" t="s">
        <v>1519</v>
      </c>
      <c r="R610" s="88" t="s">
        <v>1520</v>
      </c>
      <c r="S610" s="88" t="s">
        <v>1519</v>
      </c>
      <c r="T610" s="88" t="s">
        <v>1520</v>
      </c>
      <c r="U610" s="88" t="s">
        <v>1519</v>
      </c>
      <c r="V610" s="88" t="s">
        <v>1520</v>
      </c>
      <c r="W610" s="88" t="s">
        <v>1520</v>
      </c>
      <c r="X610" s="88" t="s">
        <v>1519</v>
      </c>
      <c r="Y610" s="88" t="s">
        <v>1519</v>
      </c>
      <c r="Z610" s="88" t="s">
        <v>1519</v>
      </c>
      <c r="AA610" s="88" t="s">
        <v>1519</v>
      </c>
      <c r="AB610" s="88" t="s">
        <v>1520</v>
      </c>
      <c r="AC610" s="88" t="s">
        <v>1520</v>
      </c>
      <c r="AD610" s="89"/>
      <c r="AE610" s="18" t="s">
        <v>76</v>
      </c>
      <c r="AF610" s="24"/>
      <c r="AG610" s="24"/>
      <c r="AH610" s="24"/>
      <c r="AI610" s="24"/>
      <c r="AJ610" s="24"/>
      <c r="AK610" s="24"/>
      <c r="AL610" s="24"/>
      <c r="AM610" s="24"/>
    </row>
    <row r="611">
      <c r="A611" s="11"/>
      <c r="B611" s="12" t="s">
        <v>43</v>
      </c>
      <c r="C611" s="12" t="s">
        <v>65</v>
      </c>
      <c r="D611" s="12" t="s">
        <v>43</v>
      </c>
      <c r="E611" s="12" t="s">
        <v>66</v>
      </c>
      <c r="F611" s="13" t="s">
        <v>67</v>
      </c>
      <c r="G611" s="12" t="s">
        <v>68</v>
      </c>
      <c r="H611" s="12" t="s">
        <v>69</v>
      </c>
      <c r="I611" s="12" t="s">
        <v>70</v>
      </c>
      <c r="J611" s="17" t="s">
        <v>112</v>
      </c>
      <c r="K611" s="17" t="str">
        <f>IFERROR(__xludf.DUMMYFUNCTION("CONCATENATE(REGEXEXTRACT(J611,""[\d]+""),"" años"")"),"4 años")</f>
        <v>4 años</v>
      </c>
      <c r="L611" s="16" t="s">
        <v>1585</v>
      </c>
      <c r="M611" s="20">
        <v>45973.0</v>
      </c>
      <c r="N611" s="17" t="s">
        <v>428</v>
      </c>
      <c r="O611" s="88" t="s">
        <v>1519</v>
      </c>
      <c r="P611" s="88" t="s">
        <v>1519</v>
      </c>
      <c r="Q611" s="88" t="s">
        <v>1519</v>
      </c>
      <c r="R611" s="88" t="s">
        <v>1520</v>
      </c>
      <c r="S611" s="88" t="s">
        <v>1519</v>
      </c>
      <c r="T611" s="88" t="s">
        <v>1519</v>
      </c>
      <c r="U611" s="88" t="s">
        <v>1519</v>
      </c>
      <c r="V611" s="88" t="s">
        <v>1520</v>
      </c>
      <c r="W611" s="88" t="s">
        <v>1520</v>
      </c>
      <c r="X611" s="88" t="s">
        <v>1519</v>
      </c>
      <c r="Y611" s="88" t="s">
        <v>1519</v>
      </c>
      <c r="Z611" s="88" t="s">
        <v>1519</v>
      </c>
      <c r="AA611" s="88" t="s">
        <v>1519</v>
      </c>
      <c r="AB611" s="88" t="s">
        <v>1519</v>
      </c>
      <c r="AC611" s="88" t="s">
        <v>1520</v>
      </c>
      <c r="AD611" s="89"/>
      <c r="AE611" s="18" t="s">
        <v>76</v>
      </c>
      <c r="AF611" s="24"/>
      <c r="AG611" s="24"/>
      <c r="AH611" s="24"/>
      <c r="AI611" s="24"/>
      <c r="AJ611" s="24"/>
      <c r="AK611" s="24"/>
      <c r="AL611" s="24"/>
      <c r="AM611" s="24"/>
    </row>
    <row r="612">
      <c r="A612" s="11"/>
      <c r="B612" s="12" t="s">
        <v>43</v>
      </c>
      <c r="C612" s="12" t="s">
        <v>65</v>
      </c>
      <c r="D612" s="12" t="s">
        <v>43</v>
      </c>
      <c r="E612" s="12" t="s">
        <v>66</v>
      </c>
      <c r="F612" s="13" t="s">
        <v>67</v>
      </c>
      <c r="G612" s="12" t="s">
        <v>68</v>
      </c>
      <c r="H612" s="12" t="s">
        <v>69</v>
      </c>
      <c r="I612" s="12" t="s">
        <v>70</v>
      </c>
      <c r="J612" s="17" t="s">
        <v>112</v>
      </c>
      <c r="K612" s="17" t="str">
        <f>IFERROR(__xludf.DUMMYFUNCTION("CONCATENATE(REGEXEXTRACT(J612,""[\d]+""),"" años"")"),"4 años")</f>
        <v>4 años</v>
      </c>
      <c r="L612" s="16" t="s">
        <v>1586</v>
      </c>
      <c r="M612" s="20">
        <v>45973.0</v>
      </c>
      <c r="N612" s="17" t="s">
        <v>428</v>
      </c>
      <c r="O612" s="88" t="s">
        <v>1519</v>
      </c>
      <c r="P612" s="88" t="s">
        <v>1519</v>
      </c>
      <c r="Q612" s="88" t="s">
        <v>1519</v>
      </c>
      <c r="R612" s="88" t="s">
        <v>1520</v>
      </c>
      <c r="S612" s="88" t="s">
        <v>1519</v>
      </c>
      <c r="T612" s="88" t="s">
        <v>1520</v>
      </c>
      <c r="U612" s="88" t="s">
        <v>1519</v>
      </c>
      <c r="V612" s="88" t="s">
        <v>1519</v>
      </c>
      <c r="W612" s="88" t="s">
        <v>1520</v>
      </c>
      <c r="X612" s="88" t="s">
        <v>1519</v>
      </c>
      <c r="Y612" s="88" t="s">
        <v>1519</v>
      </c>
      <c r="Z612" s="88" t="s">
        <v>1519</v>
      </c>
      <c r="AA612" s="88" t="s">
        <v>1519</v>
      </c>
      <c r="AB612" s="88" t="s">
        <v>1519</v>
      </c>
      <c r="AC612" s="88" t="s">
        <v>1520</v>
      </c>
      <c r="AD612" s="89"/>
      <c r="AE612" s="18" t="s">
        <v>76</v>
      </c>
      <c r="AF612" s="24"/>
      <c r="AG612" s="24"/>
      <c r="AH612" s="24"/>
      <c r="AI612" s="24"/>
      <c r="AJ612" s="24"/>
      <c r="AK612" s="24"/>
      <c r="AL612" s="24"/>
      <c r="AM612" s="24"/>
    </row>
    <row r="613">
      <c r="A613" s="11"/>
      <c r="B613" s="12" t="s">
        <v>43</v>
      </c>
      <c r="C613" s="12" t="s">
        <v>65</v>
      </c>
      <c r="D613" s="12" t="s">
        <v>43</v>
      </c>
      <c r="E613" s="12" t="s">
        <v>66</v>
      </c>
      <c r="F613" s="13" t="s">
        <v>67</v>
      </c>
      <c r="G613" s="12" t="s">
        <v>68</v>
      </c>
      <c r="H613" s="12" t="s">
        <v>69</v>
      </c>
      <c r="I613" s="12" t="s">
        <v>70</v>
      </c>
      <c r="J613" s="17" t="s">
        <v>108</v>
      </c>
      <c r="K613" s="17" t="str">
        <f>IFERROR(__xludf.DUMMYFUNCTION("CONCATENATE(REGEXEXTRACT(J613,""[\d]+""),"" años"")"),"5 años")</f>
        <v>5 años</v>
      </c>
      <c r="L613" s="103" t="s">
        <v>1569</v>
      </c>
      <c r="M613" s="20">
        <v>45973.0</v>
      </c>
      <c r="N613" s="17" t="s">
        <v>428</v>
      </c>
      <c r="O613" s="88" t="s">
        <v>1519</v>
      </c>
      <c r="P613" s="88" t="s">
        <v>1519</v>
      </c>
      <c r="Q613" s="88" t="s">
        <v>1519</v>
      </c>
      <c r="R613" s="88" t="s">
        <v>1519</v>
      </c>
      <c r="S613" s="88" t="s">
        <v>1519</v>
      </c>
      <c r="T613" s="88" t="s">
        <v>1519</v>
      </c>
      <c r="U613" s="88" t="s">
        <v>1519</v>
      </c>
      <c r="V613" s="88" t="s">
        <v>1519</v>
      </c>
      <c r="W613" s="88" t="s">
        <v>1519</v>
      </c>
      <c r="X613" s="88" t="s">
        <v>1519</v>
      </c>
      <c r="Y613" s="88" t="s">
        <v>1519</v>
      </c>
      <c r="Z613" s="88" t="s">
        <v>1520</v>
      </c>
      <c r="AA613" s="88" t="s">
        <v>1519</v>
      </c>
      <c r="AB613" s="88" t="s">
        <v>1519</v>
      </c>
      <c r="AC613" s="88" t="s">
        <v>1519</v>
      </c>
      <c r="AD613" s="89"/>
      <c r="AE613" s="18" t="s">
        <v>76</v>
      </c>
      <c r="AF613" s="24"/>
      <c r="AG613" s="24"/>
      <c r="AH613" s="24"/>
      <c r="AI613" s="24"/>
      <c r="AJ613" s="24"/>
      <c r="AK613" s="24"/>
      <c r="AL613" s="24"/>
      <c r="AM613" s="24"/>
    </row>
    <row r="614">
      <c r="A614" s="11"/>
      <c r="B614" s="12" t="s">
        <v>43</v>
      </c>
      <c r="C614" s="12" t="s">
        <v>65</v>
      </c>
      <c r="D614" s="12" t="s">
        <v>43</v>
      </c>
      <c r="E614" s="12" t="s">
        <v>66</v>
      </c>
      <c r="F614" s="13" t="s">
        <v>67</v>
      </c>
      <c r="G614" s="12" t="s">
        <v>68</v>
      </c>
      <c r="H614" s="12" t="s">
        <v>69</v>
      </c>
      <c r="I614" s="12" t="s">
        <v>70</v>
      </c>
      <c r="J614" s="17" t="s">
        <v>108</v>
      </c>
      <c r="K614" s="17" t="str">
        <f>IFERROR(__xludf.DUMMYFUNCTION("CONCATENATE(REGEXEXTRACT(J614,""[\d]+""),"" años"")"),"5 años")</f>
        <v>5 años</v>
      </c>
      <c r="L614" s="104" t="s">
        <v>1570</v>
      </c>
      <c r="M614" s="20">
        <v>45973.0</v>
      </c>
      <c r="N614" s="17" t="s">
        <v>428</v>
      </c>
      <c r="O614" s="88" t="s">
        <v>1519</v>
      </c>
      <c r="P614" s="88" t="s">
        <v>1519</v>
      </c>
      <c r="Q614" s="88" t="s">
        <v>1520</v>
      </c>
      <c r="R614" s="88" t="s">
        <v>1520</v>
      </c>
      <c r="S614" s="88" t="s">
        <v>1519</v>
      </c>
      <c r="T614" s="88" t="s">
        <v>1521</v>
      </c>
      <c r="U614" s="88" t="s">
        <v>1519</v>
      </c>
      <c r="V614" s="88" t="s">
        <v>1519</v>
      </c>
      <c r="W614" s="88" t="s">
        <v>1521</v>
      </c>
      <c r="X614" s="88" t="s">
        <v>1519</v>
      </c>
      <c r="Y614" s="88" t="s">
        <v>1519</v>
      </c>
      <c r="Z614" s="88" t="s">
        <v>1520</v>
      </c>
      <c r="AA614" s="88" t="s">
        <v>1519</v>
      </c>
      <c r="AB614" s="88" t="s">
        <v>1520</v>
      </c>
      <c r="AC614" s="88" t="s">
        <v>1520</v>
      </c>
      <c r="AD614" s="89"/>
      <c r="AE614" s="18" t="s">
        <v>76</v>
      </c>
      <c r="AF614" s="24"/>
      <c r="AG614" s="24"/>
      <c r="AH614" s="24"/>
      <c r="AI614" s="24"/>
      <c r="AJ614" s="24"/>
      <c r="AK614" s="24"/>
      <c r="AL614" s="24"/>
      <c r="AM614" s="24"/>
    </row>
    <row r="615">
      <c r="A615" s="11"/>
      <c r="B615" s="12" t="s">
        <v>43</v>
      </c>
      <c r="C615" s="12" t="s">
        <v>65</v>
      </c>
      <c r="D615" s="12" t="s">
        <v>43</v>
      </c>
      <c r="E615" s="12" t="s">
        <v>66</v>
      </c>
      <c r="F615" s="13" t="s">
        <v>67</v>
      </c>
      <c r="G615" s="12" t="s">
        <v>68</v>
      </c>
      <c r="H615" s="12" t="s">
        <v>69</v>
      </c>
      <c r="I615" s="12" t="s">
        <v>70</v>
      </c>
      <c r="J615" s="17" t="s">
        <v>108</v>
      </c>
      <c r="K615" s="17" t="str">
        <f>IFERROR(__xludf.DUMMYFUNCTION("CONCATENATE(REGEXEXTRACT(J615,""[\d]+""),"" años"")"),"5 años")</f>
        <v>5 años</v>
      </c>
      <c r="L615" s="104" t="s">
        <v>1571</v>
      </c>
      <c r="M615" s="20">
        <v>45973.0</v>
      </c>
      <c r="N615" s="17" t="s">
        <v>428</v>
      </c>
      <c r="O615" s="88" t="s">
        <v>1519</v>
      </c>
      <c r="P615" s="88" t="s">
        <v>1519</v>
      </c>
      <c r="Q615" s="88" t="s">
        <v>1519</v>
      </c>
      <c r="R615" s="88" t="s">
        <v>1519</v>
      </c>
      <c r="S615" s="88" t="s">
        <v>1519</v>
      </c>
      <c r="T615" s="88" t="s">
        <v>1519</v>
      </c>
      <c r="U615" s="88" t="s">
        <v>1519</v>
      </c>
      <c r="V615" s="88" t="s">
        <v>1519</v>
      </c>
      <c r="W615" s="88" t="s">
        <v>1519</v>
      </c>
      <c r="X615" s="88" t="s">
        <v>1519</v>
      </c>
      <c r="Y615" s="88" t="s">
        <v>1519</v>
      </c>
      <c r="Z615" s="88" t="s">
        <v>1520</v>
      </c>
      <c r="AA615" s="88" t="s">
        <v>1519</v>
      </c>
      <c r="AB615" s="88" t="s">
        <v>1519</v>
      </c>
      <c r="AC615" s="88" t="s">
        <v>1519</v>
      </c>
      <c r="AD615" s="89"/>
      <c r="AE615" s="18" t="s">
        <v>76</v>
      </c>
      <c r="AF615" s="24"/>
      <c r="AG615" s="24"/>
      <c r="AH615" s="24"/>
      <c r="AI615" s="24"/>
      <c r="AJ615" s="24"/>
      <c r="AK615" s="24"/>
      <c r="AL615" s="24"/>
      <c r="AM615" s="24"/>
    </row>
    <row r="616">
      <c r="A616" s="11"/>
      <c r="B616" s="12" t="s">
        <v>43</v>
      </c>
      <c r="C616" s="12" t="s">
        <v>65</v>
      </c>
      <c r="D616" s="12" t="s">
        <v>43</v>
      </c>
      <c r="E616" s="12" t="s">
        <v>66</v>
      </c>
      <c r="F616" s="13" t="s">
        <v>67</v>
      </c>
      <c r="G616" s="12" t="s">
        <v>68</v>
      </c>
      <c r="H616" s="12" t="s">
        <v>69</v>
      </c>
      <c r="I616" s="12" t="s">
        <v>70</v>
      </c>
      <c r="J616" s="17" t="s">
        <v>108</v>
      </c>
      <c r="K616" s="17" t="str">
        <f>IFERROR(__xludf.DUMMYFUNCTION("CONCATENATE(REGEXEXTRACT(J616,""[\d]+""),"" años"")"),"5 años")</f>
        <v>5 años</v>
      </c>
      <c r="L616" s="104" t="s">
        <v>1572</v>
      </c>
      <c r="M616" s="20">
        <v>45973.0</v>
      </c>
      <c r="N616" s="17" t="s">
        <v>428</v>
      </c>
      <c r="O616" s="88" t="s">
        <v>1519</v>
      </c>
      <c r="P616" s="88" t="s">
        <v>1519</v>
      </c>
      <c r="Q616" s="88" t="s">
        <v>1519</v>
      </c>
      <c r="R616" s="88" t="s">
        <v>1519</v>
      </c>
      <c r="S616" s="88" t="s">
        <v>1519</v>
      </c>
      <c r="T616" s="88" t="s">
        <v>1519</v>
      </c>
      <c r="U616" s="88" t="s">
        <v>1519</v>
      </c>
      <c r="V616" s="88" t="s">
        <v>1519</v>
      </c>
      <c r="W616" s="88" t="s">
        <v>1519</v>
      </c>
      <c r="X616" s="88" t="s">
        <v>1519</v>
      </c>
      <c r="Y616" s="88" t="s">
        <v>1519</v>
      </c>
      <c r="Z616" s="88" t="s">
        <v>1520</v>
      </c>
      <c r="AA616" s="88" t="s">
        <v>1519</v>
      </c>
      <c r="AB616" s="88" t="s">
        <v>1519</v>
      </c>
      <c r="AC616" s="88" t="s">
        <v>1519</v>
      </c>
      <c r="AD616" s="89"/>
      <c r="AE616" s="18" t="s">
        <v>76</v>
      </c>
      <c r="AF616" s="24"/>
      <c r="AG616" s="24"/>
      <c r="AH616" s="24"/>
      <c r="AI616" s="24"/>
      <c r="AJ616" s="24"/>
      <c r="AK616" s="24"/>
      <c r="AL616" s="24"/>
      <c r="AM616" s="24"/>
    </row>
    <row r="617">
      <c r="A617" s="11"/>
      <c r="B617" s="12" t="s">
        <v>43</v>
      </c>
      <c r="C617" s="12" t="s">
        <v>65</v>
      </c>
      <c r="D617" s="12" t="s">
        <v>43</v>
      </c>
      <c r="E617" s="12" t="s">
        <v>66</v>
      </c>
      <c r="F617" s="13" t="s">
        <v>67</v>
      </c>
      <c r="G617" s="12" t="s">
        <v>68</v>
      </c>
      <c r="H617" s="12" t="s">
        <v>69</v>
      </c>
      <c r="I617" s="12" t="s">
        <v>70</v>
      </c>
      <c r="J617" s="17" t="s">
        <v>108</v>
      </c>
      <c r="K617" s="17" t="str">
        <f>IFERROR(__xludf.DUMMYFUNCTION("CONCATENATE(REGEXEXTRACT(J617,""[\d]+""),"" años"")"),"5 años")</f>
        <v>5 años</v>
      </c>
      <c r="L617" s="104" t="s">
        <v>1573</v>
      </c>
      <c r="M617" s="20">
        <v>45973.0</v>
      </c>
      <c r="N617" s="17" t="s">
        <v>428</v>
      </c>
      <c r="O617" s="88" t="s">
        <v>1519</v>
      </c>
      <c r="P617" s="88" t="s">
        <v>1519</v>
      </c>
      <c r="Q617" s="88" t="s">
        <v>1519</v>
      </c>
      <c r="R617" s="88" t="s">
        <v>1519</v>
      </c>
      <c r="S617" s="88" t="s">
        <v>1519</v>
      </c>
      <c r="T617" s="88" t="s">
        <v>1519</v>
      </c>
      <c r="U617" s="88" t="s">
        <v>1519</v>
      </c>
      <c r="V617" s="88" t="s">
        <v>1519</v>
      </c>
      <c r="W617" s="88" t="s">
        <v>1519</v>
      </c>
      <c r="X617" s="88" t="s">
        <v>1519</v>
      </c>
      <c r="Y617" s="88" t="s">
        <v>1520</v>
      </c>
      <c r="Z617" s="88" t="s">
        <v>1520</v>
      </c>
      <c r="AA617" s="88" t="s">
        <v>1519</v>
      </c>
      <c r="AB617" s="88" t="s">
        <v>1519</v>
      </c>
      <c r="AC617" s="88" t="s">
        <v>1520</v>
      </c>
      <c r="AD617" s="89"/>
      <c r="AE617" s="18" t="s">
        <v>76</v>
      </c>
      <c r="AF617" s="24"/>
      <c r="AG617" s="24"/>
      <c r="AH617" s="24"/>
      <c r="AI617" s="24"/>
      <c r="AJ617" s="24"/>
      <c r="AK617" s="24"/>
      <c r="AL617" s="24"/>
      <c r="AM617" s="24"/>
    </row>
    <row r="618">
      <c r="A618" s="11"/>
      <c r="B618" s="12" t="s">
        <v>34</v>
      </c>
      <c r="C618" s="12" t="s">
        <v>65</v>
      </c>
      <c r="D618" s="12" t="s">
        <v>43</v>
      </c>
      <c r="E618" s="12" t="s">
        <v>224</v>
      </c>
      <c r="F618" s="13" t="s">
        <v>225</v>
      </c>
      <c r="G618" s="12" t="s">
        <v>68</v>
      </c>
      <c r="H618" s="12" t="s">
        <v>226</v>
      </c>
      <c r="I618" s="12" t="s">
        <v>227</v>
      </c>
      <c r="J618" s="17" t="s">
        <v>112</v>
      </c>
      <c r="K618" s="17" t="str">
        <f>IFERROR(__xludf.DUMMYFUNCTION("CONCATENATE(REGEXEXTRACT(J618,""[\d]+""),"" años"")"),"4 años")</f>
        <v>4 años</v>
      </c>
      <c r="L618" s="16" t="s">
        <v>1518</v>
      </c>
      <c r="M618" s="20">
        <v>45978.0</v>
      </c>
      <c r="N618" s="17" t="s">
        <v>428</v>
      </c>
      <c r="O618" s="88" t="s">
        <v>1519</v>
      </c>
      <c r="P618" s="88" t="s">
        <v>1519</v>
      </c>
      <c r="Q618" s="88" t="s">
        <v>1519</v>
      </c>
      <c r="R618" s="88" t="s">
        <v>1520</v>
      </c>
      <c r="S618" s="88" t="s">
        <v>1519</v>
      </c>
      <c r="T618" s="88" t="s">
        <v>1520</v>
      </c>
      <c r="U618" s="88" t="s">
        <v>1519</v>
      </c>
      <c r="V618" s="88" t="s">
        <v>1519</v>
      </c>
      <c r="W618" s="88" t="s">
        <v>1520</v>
      </c>
      <c r="X618" s="88" t="s">
        <v>1520</v>
      </c>
      <c r="Y618" s="88" t="s">
        <v>1520</v>
      </c>
      <c r="Z618" s="88" t="s">
        <v>1521</v>
      </c>
      <c r="AA618" s="88" t="s">
        <v>1520</v>
      </c>
      <c r="AB618" s="88" t="s">
        <v>1520</v>
      </c>
      <c r="AC618" s="88" t="s">
        <v>1520</v>
      </c>
      <c r="AD618" s="89"/>
      <c r="AE618" s="18" t="s">
        <v>76</v>
      </c>
      <c r="AF618" s="24"/>
      <c r="AG618" s="24"/>
      <c r="AH618" s="24"/>
      <c r="AI618" s="24"/>
      <c r="AJ618" s="24"/>
      <c r="AK618" s="24"/>
      <c r="AL618" s="24"/>
      <c r="AM618" s="24"/>
    </row>
    <row r="619">
      <c r="A619" s="11"/>
      <c r="B619" s="12" t="s">
        <v>34</v>
      </c>
      <c r="C619" s="12" t="s">
        <v>65</v>
      </c>
      <c r="D619" s="12" t="s">
        <v>43</v>
      </c>
      <c r="E619" s="12" t="s">
        <v>224</v>
      </c>
      <c r="F619" s="13" t="s">
        <v>225</v>
      </c>
      <c r="G619" s="12" t="s">
        <v>68</v>
      </c>
      <c r="H619" s="12" t="s">
        <v>226</v>
      </c>
      <c r="I619" s="12" t="s">
        <v>227</v>
      </c>
      <c r="J619" s="17" t="s">
        <v>112</v>
      </c>
      <c r="K619" s="2" t="str">
        <f>IFERROR(__xludf.DUMMYFUNCTION("CONCATENATE(REGEXEXTRACT(J619,""[\d]+""),"" años"")"),"4 años")</f>
        <v>4 años</v>
      </c>
      <c r="L619" s="16" t="s">
        <v>1522</v>
      </c>
      <c r="M619" s="20">
        <v>45978.0</v>
      </c>
      <c r="N619" s="17" t="s">
        <v>428</v>
      </c>
      <c r="O619" s="88" t="s">
        <v>1519</v>
      </c>
      <c r="P619" s="88" t="s">
        <v>1519</v>
      </c>
      <c r="Q619" s="88" t="s">
        <v>1519</v>
      </c>
      <c r="R619" s="88" t="s">
        <v>1519</v>
      </c>
      <c r="S619" s="88" t="s">
        <v>1519</v>
      </c>
      <c r="T619" s="88" t="s">
        <v>1519</v>
      </c>
      <c r="U619" s="88" t="s">
        <v>1519</v>
      </c>
      <c r="V619" s="88" t="s">
        <v>1519</v>
      </c>
      <c r="W619" s="88" t="s">
        <v>1519</v>
      </c>
      <c r="X619" s="88" t="s">
        <v>1519</v>
      </c>
      <c r="Y619" s="88" t="s">
        <v>1519</v>
      </c>
      <c r="Z619" s="88" t="s">
        <v>1520</v>
      </c>
      <c r="AA619" s="88" t="s">
        <v>1519</v>
      </c>
      <c r="AB619" s="88" t="s">
        <v>1519</v>
      </c>
      <c r="AC619" s="88" t="s">
        <v>1519</v>
      </c>
      <c r="AD619" s="89"/>
      <c r="AE619" s="18" t="s">
        <v>76</v>
      </c>
      <c r="AF619" s="24"/>
      <c r="AG619" s="24"/>
      <c r="AH619" s="24"/>
      <c r="AI619" s="24"/>
      <c r="AJ619" s="24"/>
      <c r="AK619" s="24"/>
      <c r="AL619" s="24"/>
      <c r="AM619" s="24"/>
    </row>
    <row r="620">
      <c r="A620" s="11"/>
      <c r="B620" s="12" t="s">
        <v>34</v>
      </c>
      <c r="C620" s="12" t="s">
        <v>65</v>
      </c>
      <c r="D620" s="12" t="s">
        <v>43</v>
      </c>
      <c r="E620" s="12" t="s">
        <v>224</v>
      </c>
      <c r="F620" s="13" t="s">
        <v>225</v>
      </c>
      <c r="G620" s="12" t="s">
        <v>68</v>
      </c>
      <c r="H620" s="12" t="s">
        <v>226</v>
      </c>
      <c r="I620" s="12" t="s">
        <v>227</v>
      </c>
      <c r="J620" s="17" t="s">
        <v>112</v>
      </c>
      <c r="K620" s="2" t="str">
        <f>IFERROR(__xludf.DUMMYFUNCTION("CONCATENATE(REGEXEXTRACT(J620,""[\d]+""),"" años"")"),"4 años")</f>
        <v>4 años</v>
      </c>
      <c r="L620" s="16" t="s">
        <v>1523</v>
      </c>
      <c r="M620" s="20">
        <v>45978.0</v>
      </c>
      <c r="N620" s="17" t="s">
        <v>428</v>
      </c>
      <c r="O620" s="88" t="s">
        <v>1519</v>
      </c>
      <c r="P620" s="88" t="s">
        <v>1519</v>
      </c>
      <c r="Q620" s="88" t="s">
        <v>1520</v>
      </c>
      <c r="R620" s="88" t="s">
        <v>1520</v>
      </c>
      <c r="S620" s="88" t="s">
        <v>1519</v>
      </c>
      <c r="T620" s="88" t="s">
        <v>1520</v>
      </c>
      <c r="U620" s="88" t="s">
        <v>1519</v>
      </c>
      <c r="V620" s="88" t="s">
        <v>1519</v>
      </c>
      <c r="W620" s="88" t="s">
        <v>1520</v>
      </c>
      <c r="X620" s="88" t="s">
        <v>1520</v>
      </c>
      <c r="Y620" s="88" t="s">
        <v>1520</v>
      </c>
      <c r="Z620" s="88" t="s">
        <v>1521</v>
      </c>
      <c r="AA620" s="88" t="s">
        <v>1520</v>
      </c>
      <c r="AB620" s="88" t="s">
        <v>1520</v>
      </c>
      <c r="AC620" s="88" t="s">
        <v>1520</v>
      </c>
      <c r="AD620" s="89"/>
      <c r="AE620" s="18" t="s">
        <v>76</v>
      </c>
      <c r="AF620" s="24"/>
      <c r="AG620" s="24"/>
      <c r="AH620" s="24"/>
      <c r="AI620" s="24"/>
      <c r="AJ620" s="24"/>
      <c r="AK620" s="24"/>
      <c r="AL620" s="24"/>
      <c r="AM620" s="24"/>
    </row>
    <row r="621">
      <c r="A621" s="11"/>
      <c r="B621" s="12" t="s">
        <v>34</v>
      </c>
      <c r="C621" s="12" t="s">
        <v>65</v>
      </c>
      <c r="D621" s="12" t="s">
        <v>43</v>
      </c>
      <c r="E621" s="12" t="s">
        <v>224</v>
      </c>
      <c r="F621" s="13" t="s">
        <v>225</v>
      </c>
      <c r="G621" s="12" t="s">
        <v>68</v>
      </c>
      <c r="H621" s="12" t="s">
        <v>226</v>
      </c>
      <c r="I621" s="12" t="s">
        <v>227</v>
      </c>
      <c r="J621" s="17" t="s">
        <v>112</v>
      </c>
      <c r="K621" s="2" t="str">
        <f>IFERROR(__xludf.DUMMYFUNCTION("CONCATENATE(REGEXEXTRACT(J621,""[\d]+""),"" años"")"),"4 años")</f>
        <v>4 años</v>
      </c>
      <c r="L621" s="17" t="s">
        <v>1524</v>
      </c>
      <c r="M621" s="20">
        <v>45978.0</v>
      </c>
      <c r="N621" s="17" t="s">
        <v>428</v>
      </c>
      <c r="O621" s="88" t="s">
        <v>1519</v>
      </c>
      <c r="P621" s="88" t="s">
        <v>1519</v>
      </c>
      <c r="Q621" s="88" t="s">
        <v>1519</v>
      </c>
      <c r="R621" s="88" t="s">
        <v>1519</v>
      </c>
      <c r="S621" s="88" t="s">
        <v>1519</v>
      </c>
      <c r="T621" s="88" t="s">
        <v>1519</v>
      </c>
      <c r="U621" s="88" t="s">
        <v>1519</v>
      </c>
      <c r="V621" s="88" t="s">
        <v>1519</v>
      </c>
      <c r="W621" s="88" t="s">
        <v>1519</v>
      </c>
      <c r="X621" s="88" t="s">
        <v>1519</v>
      </c>
      <c r="Y621" s="88" t="s">
        <v>1519</v>
      </c>
      <c r="Z621" s="88" t="s">
        <v>1519</v>
      </c>
      <c r="AA621" s="88" t="s">
        <v>1519</v>
      </c>
      <c r="AB621" s="88" t="s">
        <v>1519</v>
      </c>
      <c r="AC621" s="88" t="s">
        <v>1519</v>
      </c>
      <c r="AD621" s="89"/>
      <c r="AE621" s="18" t="s">
        <v>76</v>
      </c>
      <c r="AF621" s="24"/>
      <c r="AG621" s="24"/>
      <c r="AH621" s="24"/>
      <c r="AI621" s="24"/>
      <c r="AJ621" s="24"/>
      <c r="AK621" s="24"/>
      <c r="AL621" s="24"/>
      <c r="AM621" s="24"/>
    </row>
    <row r="622">
      <c r="A622" s="11"/>
      <c r="B622" s="12" t="s">
        <v>34</v>
      </c>
      <c r="C622" s="12" t="s">
        <v>65</v>
      </c>
      <c r="D622" s="12" t="s">
        <v>43</v>
      </c>
      <c r="E622" s="12" t="s">
        <v>224</v>
      </c>
      <c r="F622" s="13" t="s">
        <v>225</v>
      </c>
      <c r="G622" s="12" t="s">
        <v>68</v>
      </c>
      <c r="H622" s="12" t="s">
        <v>226</v>
      </c>
      <c r="I622" s="12" t="s">
        <v>227</v>
      </c>
      <c r="J622" s="17" t="s">
        <v>112</v>
      </c>
      <c r="K622" s="2" t="str">
        <f>IFERROR(__xludf.DUMMYFUNCTION("CONCATENATE(REGEXEXTRACT(J622,""[\d]+""),"" años"")"),"4 años")</f>
        <v>4 años</v>
      </c>
      <c r="L622" s="16" t="s">
        <v>2053</v>
      </c>
      <c r="M622" s="20">
        <v>45978.0</v>
      </c>
      <c r="N622" s="17" t="s">
        <v>428</v>
      </c>
      <c r="O622" s="88" t="s">
        <v>1519</v>
      </c>
      <c r="P622" s="88" t="s">
        <v>1519</v>
      </c>
      <c r="Q622" s="88" t="s">
        <v>1519</v>
      </c>
      <c r="R622" s="88" t="s">
        <v>1519</v>
      </c>
      <c r="S622" s="88" t="s">
        <v>1519</v>
      </c>
      <c r="T622" s="88" t="s">
        <v>1519</v>
      </c>
      <c r="U622" s="88" t="s">
        <v>1519</v>
      </c>
      <c r="V622" s="88" t="s">
        <v>1519</v>
      </c>
      <c r="W622" s="88" t="s">
        <v>1519</v>
      </c>
      <c r="X622" s="88" t="s">
        <v>1519</v>
      </c>
      <c r="Y622" s="88" t="s">
        <v>1519</v>
      </c>
      <c r="Z622" s="88" t="s">
        <v>1519</v>
      </c>
      <c r="AA622" s="88" t="s">
        <v>1519</v>
      </c>
      <c r="AB622" s="88" t="s">
        <v>1519</v>
      </c>
      <c r="AC622" s="88" t="s">
        <v>1519</v>
      </c>
      <c r="AD622" s="89"/>
      <c r="AE622" s="18" t="s">
        <v>76</v>
      </c>
      <c r="AF622" s="24"/>
      <c r="AG622" s="24"/>
      <c r="AH622" s="24"/>
      <c r="AI622" s="24"/>
      <c r="AJ622" s="24"/>
      <c r="AK622" s="24"/>
      <c r="AL622" s="24"/>
      <c r="AM622" s="24"/>
    </row>
    <row r="623">
      <c r="A623" s="11"/>
      <c r="B623" s="12" t="s">
        <v>34</v>
      </c>
      <c r="C623" s="12" t="s">
        <v>65</v>
      </c>
      <c r="D623" s="12" t="s">
        <v>43</v>
      </c>
      <c r="E623" s="12" t="s">
        <v>224</v>
      </c>
      <c r="F623" s="13" t="s">
        <v>225</v>
      </c>
      <c r="G623" s="12" t="s">
        <v>68</v>
      </c>
      <c r="H623" s="12" t="s">
        <v>226</v>
      </c>
      <c r="I623" s="12" t="s">
        <v>227</v>
      </c>
      <c r="J623" s="17" t="s">
        <v>112</v>
      </c>
      <c r="K623" s="2" t="str">
        <f>IFERROR(__xludf.DUMMYFUNCTION("CONCATENATE(REGEXEXTRACT(J623,""[\d]+""),"" años"")"),"4 años")</f>
        <v>4 años</v>
      </c>
      <c r="L623" s="16" t="s">
        <v>1526</v>
      </c>
      <c r="M623" s="20">
        <v>45978.0</v>
      </c>
      <c r="N623" s="17" t="s">
        <v>428</v>
      </c>
      <c r="O623" s="88" t="s">
        <v>1519</v>
      </c>
      <c r="P623" s="88" t="s">
        <v>1519</v>
      </c>
      <c r="Q623" s="88" t="s">
        <v>1519</v>
      </c>
      <c r="R623" s="88" t="s">
        <v>1519</v>
      </c>
      <c r="S623" s="88" t="s">
        <v>1519</v>
      </c>
      <c r="T623" s="88" t="s">
        <v>1519</v>
      </c>
      <c r="U623" s="88" t="s">
        <v>1519</v>
      </c>
      <c r="V623" s="88" t="s">
        <v>1519</v>
      </c>
      <c r="W623" s="88" t="s">
        <v>1519</v>
      </c>
      <c r="X623" s="88" t="s">
        <v>1519</v>
      </c>
      <c r="Y623" s="88" t="s">
        <v>1519</v>
      </c>
      <c r="Z623" s="88" t="s">
        <v>1519</v>
      </c>
      <c r="AA623" s="88" t="s">
        <v>1519</v>
      </c>
      <c r="AB623" s="88" t="s">
        <v>1519</v>
      </c>
      <c r="AC623" s="88" t="s">
        <v>1520</v>
      </c>
      <c r="AD623" s="89"/>
      <c r="AE623" s="18" t="s">
        <v>76</v>
      </c>
      <c r="AF623" s="24"/>
      <c r="AG623" s="24"/>
      <c r="AH623" s="24"/>
      <c r="AI623" s="24"/>
      <c r="AJ623" s="24"/>
      <c r="AK623" s="24"/>
      <c r="AL623" s="24"/>
      <c r="AM623" s="24"/>
    </row>
    <row r="624">
      <c r="A624" s="11"/>
      <c r="B624" s="12" t="s">
        <v>34</v>
      </c>
      <c r="C624" s="12" t="s">
        <v>65</v>
      </c>
      <c r="D624" s="12" t="s">
        <v>43</v>
      </c>
      <c r="E624" s="12" t="s">
        <v>224</v>
      </c>
      <c r="F624" s="13" t="s">
        <v>225</v>
      </c>
      <c r="G624" s="12" t="s">
        <v>68</v>
      </c>
      <c r="H624" s="12" t="s">
        <v>226</v>
      </c>
      <c r="I624" s="12" t="s">
        <v>227</v>
      </c>
      <c r="J624" s="17" t="s">
        <v>112</v>
      </c>
      <c r="K624" s="2" t="str">
        <f>IFERROR(__xludf.DUMMYFUNCTION("CONCATENATE(REGEXEXTRACT(J624,""[\d]+""),"" años"")"),"4 años")</f>
        <v>4 años</v>
      </c>
      <c r="L624" s="16" t="s">
        <v>1527</v>
      </c>
      <c r="M624" s="20">
        <v>45978.0</v>
      </c>
      <c r="N624" s="17" t="s">
        <v>428</v>
      </c>
      <c r="O624" s="88" t="s">
        <v>1519</v>
      </c>
      <c r="P624" s="88" t="s">
        <v>1519</v>
      </c>
      <c r="Q624" s="88" t="s">
        <v>1519</v>
      </c>
      <c r="R624" s="88" t="s">
        <v>1519</v>
      </c>
      <c r="S624" s="88" t="s">
        <v>1519</v>
      </c>
      <c r="T624" s="88" t="s">
        <v>1519</v>
      </c>
      <c r="U624" s="88" t="s">
        <v>1519</v>
      </c>
      <c r="V624" s="88" t="s">
        <v>1519</v>
      </c>
      <c r="W624" s="88" t="s">
        <v>1519</v>
      </c>
      <c r="X624" s="88" t="s">
        <v>1519</v>
      </c>
      <c r="Y624" s="88" t="s">
        <v>1519</v>
      </c>
      <c r="Z624" s="88" t="s">
        <v>1519</v>
      </c>
      <c r="AA624" s="88" t="s">
        <v>1519</v>
      </c>
      <c r="AB624" s="88" t="s">
        <v>1519</v>
      </c>
      <c r="AC624" s="88" t="s">
        <v>1519</v>
      </c>
      <c r="AD624" s="89"/>
      <c r="AE624" s="18" t="s">
        <v>76</v>
      </c>
      <c r="AF624" s="24"/>
      <c r="AG624" s="24"/>
      <c r="AH624" s="24"/>
      <c r="AI624" s="24"/>
      <c r="AJ624" s="24"/>
      <c r="AK624" s="24"/>
      <c r="AL624" s="24"/>
      <c r="AM624" s="24"/>
    </row>
    <row r="625">
      <c r="A625" s="11"/>
      <c r="B625" s="12" t="s">
        <v>34</v>
      </c>
      <c r="C625" s="12" t="s">
        <v>65</v>
      </c>
      <c r="D625" s="12" t="s">
        <v>43</v>
      </c>
      <c r="E625" s="12" t="s">
        <v>224</v>
      </c>
      <c r="F625" s="13" t="s">
        <v>225</v>
      </c>
      <c r="G625" s="12" t="s">
        <v>68</v>
      </c>
      <c r="H625" s="12" t="s">
        <v>226</v>
      </c>
      <c r="I625" s="12" t="s">
        <v>227</v>
      </c>
      <c r="J625" s="17" t="s">
        <v>112</v>
      </c>
      <c r="K625" s="2" t="str">
        <f>IFERROR(__xludf.DUMMYFUNCTION("CONCATENATE(REGEXEXTRACT(J625,""[\d]+""),"" años"")"),"4 años")</f>
        <v>4 años</v>
      </c>
      <c r="L625" s="16" t="s">
        <v>1528</v>
      </c>
      <c r="M625" s="20">
        <v>45978.0</v>
      </c>
      <c r="N625" s="17" t="s">
        <v>428</v>
      </c>
      <c r="O625" s="88" t="s">
        <v>1519</v>
      </c>
      <c r="P625" s="88" t="s">
        <v>1519</v>
      </c>
      <c r="Q625" s="88" t="s">
        <v>1520</v>
      </c>
      <c r="R625" s="88" t="s">
        <v>1520</v>
      </c>
      <c r="S625" s="88" t="s">
        <v>1519</v>
      </c>
      <c r="T625" s="88" t="s">
        <v>1520</v>
      </c>
      <c r="U625" s="88" t="s">
        <v>1519</v>
      </c>
      <c r="V625" s="88" t="s">
        <v>1519</v>
      </c>
      <c r="W625" s="88" t="s">
        <v>1520</v>
      </c>
      <c r="X625" s="88" t="s">
        <v>1519</v>
      </c>
      <c r="Y625" s="88" t="s">
        <v>1520</v>
      </c>
      <c r="Z625" s="88" t="s">
        <v>1520</v>
      </c>
      <c r="AA625" s="88" t="s">
        <v>1519</v>
      </c>
      <c r="AB625" s="88" t="s">
        <v>1520</v>
      </c>
      <c r="AC625" s="88" t="s">
        <v>1520</v>
      </c>
      <c r="AD625" s="89"/>
      <c r="AE625" s="18" t="s">
        <v>76</v>
      </c>
      <c r="AF625" s="24"/>
      <c r="AG625" s="24"/>
      <c r="AH625" s="24"/>
      <c r="AI625" s="24"/>
      <c r="AJ625" s="24"/>
      <c r="AK625" s="24"/>
      <c r="AL625" s="24"/>
      <c r="AM625" s="24"/>
    </row>
    <row r="626">
      <c r="A626" s="11"/>
      <c r="B626" s="12" t="s">
        <v>34</v>
      </c>
      <c r="C626" s="12" t="s">
        <v>65</v>
      </c>
      <c r="D626" s="12" t="s">
        <v>43</v>
      </c>
      <c r="E626" s="12" t="s">
        <v>224</v>
      </c>
      <c r="F626" s="13" t="s">
        <v>225</v>
      </c>
      <c r="G626" s="12" t="s">
        <v>68</v>
      </c>
      <c r="H626" s="12" t="s">
        <v>226</v>
      </c>
      <c r="I626" s="12" t="s">
        <v>227</v>
      </c>
      <c r="J626" s="17" t="s">
        <v>112</v>
      </c>
      <c r="K626" s="2" t="str">
        <f>IFERROR(__xludf.DUMMYFUNCTION("CONCATENATE(REGEXEXTRACT(J626,""[\d]+""),"" años"")"),"4 años")</f>
        <v>4 años</v>
      </c>
      <c r="L626" s="16" t="s">
        <v>1529</v>
      </c>
      <c r="M626" s="20">
        <v>45978.0</v>
      </c>
      <c r="N626" s="17" t="s">
        <v>428</v>
      </c>
      <c r="O626" s="88" t="s">
        <v>1519</v>
      </c>
      <c r="P626" s="88" t="s">
        <v>1519</v>
      </c>
      <c r="Q626" s="88" t="s">
        <v>1519</v>
      </c>
      <c r="R626" s="88" t="s">
        <v>1519</v>
      </c>
      <c r="S626" s="88" t="s">
        <v>1519</v>
      </c>
      <c r="T626" s="88" t="s">
        <v>1519</v>
      </c>
      <c r="U626" s="88" t="s">
        <v>1520</v>
      </c>
      <c r="V626" s="88" t="s">
        <v>1520</v>
      </c>
      <c r="W626" s="88" t="s">
        <v>1519</v>
      </c>
      <c r="X626" s="88" t="s">
        <v>1519</v>
      </c>
      <c r="Y626" s="88" t="s">
        <v>1519</v>
      </c>
      <c r="Z626" s="88" t="s">
        <v>1519</v>
      </c>
      <c r="AA626" s="88" t="s">
        <v>1519</v>
      </c>
      <c r="AB626" s="88" t="s">
        <v>1519</v>
      </c>
      <c r="AC626" s="88" t="s">
        <v>1519</v>
      </c>
      <c r="AD626" s="89"/>
      <c r="AE626" s="18" t="s">
        <v>76</v>
      </c>
      <c r="AF626" s="24"/>
      <c r="AG626" s="24"/>
      <c r="AH626" s="24"/>
      <c r="AI626" s="24"/>
      <c r="AJ626" s="24"/>
      <c r="AK626" s="24"/>
      <c r="AL626" s="24"/>
      <c r="AM626" s="24"/>
    </row>
    <row r="627">
      <c r="A627" s="11"/>
      <c r="B627" s="23"/>
      <c r="C627" s="23"/>
      <c r="D627" s="23"/>
      <c r="E627" s="23"/>
      <c r="F627" s="13" t="s">
        <v>225</v>
      </c>
      <c r="G627" s="23"/>
      <c r="H627" s="23"/>
      <c r="I627" s="23"/>
      <c r="J627" s="17" t="s">
        <v>112</v>
      </c>
      <c r="K627" s="2" t="str">
        <f>IFERROR(__xludf.DUMMYFUNCTION("CONCATENATE(REGEXEXTRACT(J627,""[\d]+""),"" años"")"),"4 años")</f>
        <v>4 años</v>
      </c>
      <c r="L627" s="16" t="s">
        <v>1530</v>
      </c>
      <c r="M627" s="20">
        <v>45978.0</v>
      </c>
      <c r="N627" s="17" t="s">
        <v>428</v>
      </c>
      <c r="O627" s="88" t="s">
        <v>1519</v>
      </c>
      <c r="P627" s="88" t="s">
        <v>1519</v>
      </c>
      <c r="Q627" s="88" t="s">
        <v>1519</v>
      </c>
      <c r="R627" s="88" t="s">
        <v>1519</v>
      </c>
      <c r="S627" s="88" t="s">
        <v>1519</v>
      </c>
      <c r="T627" s="88" t="s">
        <v>1519</v>
      </c>
      <c r="U627" s="88" t="s">
        <v>1519</v>
      </c>
      <c r="V627" s="88" t="s">
        <v>1519</v>
      </c>
      <c r="W627" s="88" t="s">
        <v>1519</v>
      </c>
      <c r="X627" s="88" t="s">
        <v>1519</v>
      </c>
      <c r="Y627" s="88" t="s">
        <v>1519</v>
      </c>
      <c r="Z627" s="88" t="s">
        <v>1519</v>
      </c>
      <c r="AA627" s="88" t="s">
        <v>1519</v>
      </c>
      <c r="AB627" s="88" t="s">
        <v>1519</v>
      </c>
      <c r="AC627" s="88" t="s">
        <v>1519</v>
      </c>
      <c r="AD627" s="89"/>
      <c r="AE627" s="18" t="s">
        <v>76</v>
      </c>
      <c r="AF627" s="24"/>
      <c r="AG627" s="24"/>
      <c r="AH627" s="24"/>
      <c r="AI627" s="24"/>
      <c r="AJ627" s="24"/>
      <c r="AK627" s="24"/>
      <c r="AL627" s="24"/>
      <c r="AM627" s="24"/>
    </row>
    <row r="628">
      <c r="A628" s="11"/>
      <c r="B628" s="12" t="s">
        <v>34</v>
      </c>
      <c r="C628" s="12" t="s">
        <v>65</v>
      </c>
      <c r="D628" s="12" t="s">
        <v>43</v>
      </c>
      <c r="E628" s="12" t="s">
        <v>224</v>
      </c>
      <c r="F628" s="13" t="s">
        <v>225</v>
      </c>
      <c r="G628" s="12" t="s">
        <v>68</v>
      </c>
      <c r="H628" s="12" t="s">
        <v>226</v>
      </c>
      <c r="I628" s="12" t="s">
        <v>227</v>
      </c>
      <c r="J628" s="17" t="s">
        <v>112</v>
      </c>
      <c r="K628" s="2" t="str">
        <f>IFERROR(__xludf.DUMMYFUNCTION("CONCATENATE(REGEXEXTRACT(J628,""[\d]+""),"" años"")"),"4 años")</f>
        <v>4 años</v>
      </c>
      <c r="L628" s="16" t="s">
        <v>1531</v>
      </c>
      <c r="M628" s="20">
        <v>45978.0</v>
      </c>
      <c r="N628" s="17" t="s">
        <v>428</v>
      </c>
      <c r="O628" s="88" t="s">
        <v>1519</v>
      </c>
      <c r="P628" s="88" t="s">
        <v>1519</v>
      </c>
      <c r="Q628" s="88" t="s">
        <v>1521</v>
      </c>
      <c r="R628" s="88" t="s">
        <v>1521</v>
      </c>
      <c r="S628" s="88" t="s">
        <v>1519</v>
      </c>
      <c r="T628" s="88" t="s">
        <v>1521</v>
      </c>
      <c r="U628" s="88" t="s">
        <v>1521</v>
      </c>
      <c r="V628" s="88" t="s">
        <v>1521</v>
      </c>
      <c r="W628" s="88" t="s">
        <v>1521</v>
      </c>
      <c r="X628" s="88" t="s">
        <v>1520</v>
      </c>
      <c r="Y628" s="88" t="s">
        <v>1519</v>
      </c>
      <c r="Z628" s="88" t="s">
        <v>1519</v>
      </c>
      <c r="AA628" s="88" t="s">
        <v>1521</v>
      </c>
      <c r="AB628" s="88" t="s">
        <v>1521</v>
      </c>
      <c r="AC628" s="88" t="s">
        <v>1521</v>
      </c>
      <c r="AD628" s="89"/>
      <c r="AE628" s="18" t="s">
        <v>76</v>
      </c>
      <c r="AF628" s="24"/>
      <c r="AG628" s="24"/>
      <c r="AH628" s="24"/>
      <c r="AI628" s="24"/>
      <c r="AJ628" s="24"/>
      <c r="AK628" s="24"/>
      <c r="AL628" s="24"/>
      <c r="AM628" s="24"/>
    </row>
    <row r="629">
      <c r="A629" s="11"/>
      <c r="B629" s="12" t="s">
        <v>34</v>
      </c>
      <c r="C629" s="12" t="s">
        <v>65</v>
      </c>
      <c r="D629" s="12" t="s">
        <v>43</v>
      </c>
      <c r="E629" s="12" t="s">
        <v>224</v>
      </c>
      <c r="F629" s="13" t="s">
        <v>225</v>
      </c>
      <c r="G629" s="12" t="s">
        <v>68</v>
      </c>
      <c r="H629" s="12" t="s">
        <v>226</v>
      </c>
      <c r="I629" s="12" t="s">
        <v>227</v>
      </c>
      <c r="J629" s="17" t="s">
        <v>112</v>
      </c>
      <c r="K629" s="2" t="str">
        <f>IFERROR(__xludf.DUMMYFUNCTION("CONCATENATE(REGEXEXTRACT(J629,""[\d]+""),"" años"")"),"4 años")</f>
        <v>4 años</v>
      </c>
      <c r="L629" s="16" t="s">
        <v>1532</v>
      </c>
      <c r="M629" s="20">
        <v>45978.0</v>
      </c>
      <c r="N629" s="17" t="s">
        <v>428</v>
      </c>
      <c r="O629" s="88" t="s">
        <v>1519</v>
      </c>
      <c r="P629" s="88" t="s">
        <v>1519</v>
      </c>
      <c r="Q629" s="88" t="s">
        <v>1519</v>
      </c>
      <c r="R629" s="88" t="s">
        <v>1519</v>
      </c>
      <c r="S629" s="88" t="s">
        <v>1519</v>
      </c>
      <c r="T629" s="88" t="s">
        <v>1519</v>
      </c>
      <c r="U629" s="88" t="s">
        <v>1519</v>
      </c>
      <c r="V629" s="88" t="s">
        <v>1519</v>
      </c>
      <c r="W629" s="88" t="s">
        <v>1519</v>
      </c>
      <c r="X629" s="88" t="s">
        <v>1519</v>
      </c>
      <c r="Y629" s="88" t="s">
        <v>1519</v>
      </c>
      <c r="Z629" s="88" t="s">
        <v>1520</v>
      </c>
      <c r="AA629" s="88" t="s">
        <v>1519</v>
      </c>
      <c r="AB629" s="88" t="s">
        <v>1520</v>
      </c>
      <c r="AC629" s="88" t="s">
        <v>1520</v>
      </c>
      <c r="AD629" s="89"/>
      <c r="AE629" s="18" t="s">
        <v>76</v>
      </c>
      <c r="AF629" s="24"/>
      <c r="AG629" s="24"/>
      <c r="AH629" s="24"/>
      <c r="AI629" s="24"/>
      <c r="AJ629" s="24"/>
      <c r="AK629" s="24"/>
      <c r="AL629" s="24"/>
      <c r="AM629" s="24"/>
    </row>
    <row r="630">
      <c r="A630" s="11"/>
      <c r="B630" s="12" t="s">
        <v>34</v>
      </c>
      <c r="C630" s="12" t="s">
        <v>65</v>
      </c>
      <c r="D630" s="12" t="s">
        <v>43</v>
      </c>
      <c r="E630" s="12" t="s">
        <v>224</v>
      </c>
      <c r="F630" s="13" t="s">
        <v>225</v>
      </c>
      <c r="G630" s="12" t="s">
        <v>68</v>
      </c>
      <c r="H630" s="12" t="s">
        <v>226</v>
      </c>
      <c r="I630" s="12" t="s">
        <v>227</v>
      </c>
      <c r="J630" s="17" t="s">
        <v>112</v>
      </c>
      <c r="K630" s="2" t="str">
        <f>IFERROR(__xludf.DUMMYFUNCTION("CONCATENATE(REGEXEXTRACT(J630,""[\d]+""),"" años"")"),"4 años")</f>
        <v>4 años</v>
      </c>
      <c r="L630" s="16" t="s">
        <v>1533</v>
      </c>
      <c r="M630" s="20">
        <v>45978.0</v>
      </c>
      <c r="N630" s="17" t="s">
        <v>428</v>
      </c>
      <c r="O630" s="88" t="s">
        <v>1519</v>
      </c>
      <c r="P630" s="88" t="s">
        <v>1519</v>
      </c>
      <c r="Q630" s="88" t="s">
        <v>1519</v>
      </c>
      <c r="R630" s="88" t="s">
        <v>1519</v>
      </c>
      <c r="S630" s="88" t="s">
        <v>1519</v>
      </c>
      <c r="T630" s="88" t="s">
        <v>1519</v>
      </c>
      <c r="U630" s="88" t="s">
        <v>1519</v>
      </c>
      <c r="V630" s="88" t="s">
        <v>1519</v>
      </c>
      <c r="W630" s="88" t="s">
        <v>1519</v>
      </c>
      <c r="X630" s="88" t="s">
        <v>1519</v>
      </c>
      <c r="Y630" s="88" t="s">
        <v>1519</v>
      </c>
      <c r="Z630" s="88" t="s">
        <v>1519</v>
      </c>
      <c r="AA630" s="88" t="s">
        <v>1519</v>
      </c>
      <c r="AB630" s="88" t="s">
        <v>1519</v>
      </c>
      <c r="AC630" s="88" t="s">
        <v>1519</v>
      </c>
      <c r="AD630" s="89"/>
      <c r="AE630" s="18" t="s">
        <v>76</v>
      </c>
      <c r="AF630" s="24"/>
      <c r="AG630" s="24"/>
      <c r="AH630" s="24"/>
      <c r="AI630" s="24"/>
      <c r="AJ630" s="24"/>
      <c r="AK630" s="24"/>
      <c r="AL630" s="24"/>
      <c r="AM630" s="24"/>
    </row>
    <row r="631">
      <c r="A631" s="11"/>
      <c r="B631" s="12" t="s">
        <v>34</v>
      </c>
      <c r="C631" s="12" t="s">
        <v>65</v>
      </c>
      <c r="D631" s="12" t="s">
        <v>43</v>
      </c>
      <c r="E631" s="12" t="s">
        <v>224</v>
      </c>
      <c r="F631" s="13" t="s">
        <v>225</v>
      </c>
      <c r="G631" s="12" t="s">
        <v>68</v>
      </c>
      <c r="H631" s="12" t="s">
        <v>226</v>
      </c>
      <c r="I631" s="12" t="s">
        <v>227</v>
      </c>
      <c r="J631" s="17" t="s">
        <v>112</v>
      </c>
      <c r="K631" s="2" t="str">
        <f>IFERROR(__xludf.DUMMYFUNCTION("CONCATENATE(REGEXEXTRACT(J631,""[\d]+""),"" años"")"),"4 años")</f>
        <v>4 años</v>
      </c>
      <c r="L631" s="16" t="s">
        <v>1534</v>
      </c>
      <c r="M631" s="20">
        <v>45978.0</v>
      </c>
      <c r="N631" s="17" t="s">
        <v>428</v>
      </c>
      <c r="O631" s="88" t="s">
        <v>1519</v>
      </c>
      <c r="P631" s="88" t="s">
        <v>1519</v>
      </c>
      <c r="Q631" s="88" t="s">
        <v>1519</v>
      </c>
      <c r="R631" s="88" t="s">
        <v>1519</v>
      </c>
      <c r="S631" s="88" t="s">
        <v>1519</v>
      </c>
      <c r="T631" s="88" t="s">
        <v>1519</v>
      </c>
      <c r="U631" s="88" t="s">
        <v>1519</v>
      </c>
      <c r="V631" s="88" t="s">
        <v>1519</v>
      </c>
      <c r="W631" s="88" t="s">
        <v>1519</v>
      </c>
      <c r="X631" s="88" t="s">
        <v>1519</v>
      </c>
      <c r="Y631" s="88" t="s">
        <v>1519</v>
      </c>
      <c r="Z631" s="88" t="s">
        <v>1519</v>
      </c>
      <c r="AA631" s="88" t="s">
        <v>1519</v>
      </c>
      <c r="AB631" s="88" t="s">
        <v>1519</v>
      </c>
      <c r="AC631" s="88" t="s">
        <v>1519</v>
      </c>
      <c r="AD631" s="89"/>
      <c r="AE631" s="18" t="s">
        <v>76</v>
      </c>
      <c r="AF631" s="24"/>
      <c r="AG631" s="24"/>
      <c r="AH631" s="24"/>
      <c r="AI631" s="24"/>
      <c r="AJ631" s="24"/>
      <c r="AK631" s="24"/>
      <c r="AL631" s="24"/>
      <c r="AM631" s="24"/>
    </row>
    <row r="632">
      <c r="A632" s="11"/>
      <c r="B632" s="12" t="s">
        <v>34</v>
      </c>
      <c r="C632" s="12" t="s">
        <v>65</v>
      </c>
      <c r="D632" s="12" t="s">
        <v>43</v>
      </c>
      <c r="E632" s="12" t="s">
        <v>224</v>
      </c>
      <c r="F632" s="13" t="s">
        <v>225</v>
      </c>
      <c r="G632" s="12" t="s">
        <v>68</v>
      </c>
      <c r="H632" s="12" t="s">
        <v>226</v>
      </c>
      <c r="I632" s="12" t="s">
        <v>227</v>
      </c>
      <c r="J632" s="17" t="s">
        <v>112</v>
      </c>
      <c r="K632" s="2" t="str">
        <f>IFERROR(__xludf.DUMMYFUNCTION("CONCATENATE(REGEXEXTRACT(J632,""[\d]+""),"" años"")"),"4 años")</f>
        <v>4 años</v>
      </c>
      <c r="L632" s="16" t="s">
        <v>1535</v>
      </c>
      <c r="M632" s="20">
        <v>45978.0</v>
      </c>
      <c r="N632" s="17" t="s">
        <v>428</v>
      </c>
      <c r="O632" s="88" t="s">
        <v>1519</v>
      </c>
      <c r="P632" s="88" t="s">
        <v>1519</v>
      </c>
      <c r="Q632" s="88" t="s">
        <v>1519</v>
      </c>
      <c r="R632" s="88" t="s">
        <v>1520</v>
      </c>
      <c r="S632" s="88" t="s">
        <v>1519</v>
      </c>
      <c r="T632" s="88" t="s">
        <v>1520</v>
      </c>
      <c r="U632" s="88" t="s">
        <v>1519</v>
      </c>
      <c r="V632" s="88" t="s">
        <v>1520</v>
      </c>
      <c r="W632" s="88" t="s">
        <v>1520</v>
      </c>
      <c r="X632" s="88" t="s">
        <v>1519</v>
      </c>
      <c r="Y632" s="88" t="s">
        <v>1520</v>
      </c>
      <c r="Z632" s="88" t="s">
        <v>1520</v>
      </c>
      <c r="AA632" s="88" t="s">
        <v>1519</v>
      </c>
      <c r="AB632" s="88" t="s">
        <v>1520</v>
      </c>
      <c r="AC632" s="88" t="s">
        <v>1520</v>
      </c>
      <c r="AD632" s="89"/>
      <c r="AE632" s="18" t="s">
        <v>76</v>
      </c>
      <c r="AF632" s="24"/>
      <c r="AG632" s="24"/>
      <c r="AH632" s="24"/>
      <c r="AI632" s="24"/>
      <c r="AJ632" s="24"/>
      <c r="AK632" s="24"/>
      <c r="AL632" s="24"/>
      <c r="AM632" s="24"/>
    </row>
    <row r="633">
      <c r="A633" s="11"/>
      <c r="B633" s="12" t="s">
        <v>34</v>
      </c>
      <c r="C633" s="12" t="s">
        <v>65</v>
      </c>
      <c r="D633" s="12" t="s">
        <v>43</v>
      </c>
      <c r="E633" s="12" t="s">
        <v>224</v>
      </c>
      <c r="F633" s="13" t="s">
        <v>225</v>
      </c>
      <c r="G633" s="12" t="s">
        <v>68</v>
      </c>
      <c r="H633" s="12" t="s">
        <v>226</v>
      </c>
      <c r="I633" s="12" t="s">
        <v>227</v>
      </c>
      <c r="J633" s="17" t="s">
        <v>112</v>
      </c>
      <c r="K633" s="2" t="str">
        <f>IFERROR(__xludf.DUMMYFUNCTION("CONCATENATE(REGEXEXTRACT(J633,""[\d]+""),"" años"")"),"4 años")</f>
        <v>4 años</v>
      </c>
      <c r="L633" s="16" t="s">
        <v>1536</v>
      </c>
      <c r="M633" s="20">
        <v>45978.0</v>
      </c>
      <c r="N633" s="17" t="s">
        <v>428</v>
      </c>
      <c r="O633" s="88" t="s">
        <v>1519</v>
      </c>
      <c r="P633" s="88" t="s">
        <v>1519</v>
      </c>
      <c r="Q633" s="88" t="s">
        <v>1519</v>
      </c>
      <c r="R633" s="88" t="s">
        <v>1519</v>
      </c>
      <c r="S633" s="88" t="s">
        <v>1519</v>
      </c>
      <c r="T633" s="88" t="s">
        <v>1519</v>
      </c>
      <c r="U633" s="88" t="s">
        <v>1519</v>
      </c>
      <c r="V633" s="88" t="s">
        <v>1519</v>
      </c>
      <c r="W633" s="88" t="s">
        <v>1520</v>
      </c>
      <c r="X633" s="88" t="s">
        <v>1519</v>
      </c>
      <c r="Y633" s="88" t="s">
        <v>1519</v>
      </c>
      <c r="Z633" s="88" t="s">
        <v>1520</v>
      </c>
      <c r="AA633" s="88" t="s">
        <v>1519</v>
      </c>
      <c r="AB633" s="88" t="s">
        <v>1520</v>
      </c>
      <c r="AC633" s="88" t="s">
        <v>1520</v>
      </c>
      <c r="AD633" s="89"/>
      <c r="AE633" s="18" t="s">
        <v>76</v>
      </c>
      <c r="AF633" s="24"/>
      <c r="AG633" s="24"/>
      <c r="AH633" s="24"/>
      <c r="AI633" s="24"/>
      <c r="AJ633" s="24"/>
      <c r="AK633" s="24"/>
      <c r="AL633" s="24"/>
      <c r="AM633" s="24"/>
    </row>
    <row r="634">
      <c r="A634" s="11"/>
      <c r="B634" s="12" t="s">
        <v>43</v>
      </c>
      <c r="C634" s="12" t="s">
        <v>65</v>
      </c>
      <c r="D634" s="12" t="s">
        <v>43</v>
      </c>
      <c r="E634" s="12" t="s">
        <v>203</v>
      </c>
      <c r="F634" s="13" t="s">
        <v>204</v>
      </c>
      <c r="G634" s="12" t="s">
        <v>68</v>
      </c>
      <c r="H634" s="12" t="s">
        <v>205</v>
      </c>
      <c r="I634" s="12" t="s">
        <v>206</v>
      </c>
      <c r="J634" s="17" t="s">
        <v>108</v>
      </c>
      <c r="K634" s="2" t="str">
        <f>IFERROR(__xludf.DUMMYFUNCTION("CONCATENATE(REGEXEXTRACT(J634,""[\d]+""),"" años"")"),"5 años")</f>
        <v>5 años</v>
      </c>
      <c r="L634" s="16" t="s">
        <v>1558</v>
      </c>
      <c r="M634" s="20">
        <v>45974.0</v>
      </c>
      <c r="N634" s="17" t="s">
        <v>428</v>
      </c>
      <c r="O634" s="88" t="s">
        <v>1519</v>
      </c>
      <c r="P634" s="88" t="s">
        <v>1519</v>
      </c>
      <c r="Q634" s="88" t="s">
        <v>1519</v>
      </c>
      <c r="R634" s="88" t="s">
        <v>1519</v>
      </c>
      <c r="S634" s="88" t="s">
        <v>1519</v>
      </c>
      <c r="T634" s="88" t="s">
        <v>1519</v>
      </c>
      <c r="U634" s="88" t="s">
        <v>1519</v>
      </c>
      <c r="V634" s="88" t="s">
        <v>1519</v>
      </c>
      <c r="W634" s="88" t="s">
        <v>1519</v>
      </c>
      <c r="X634" s="88" t="s">
        <v>1519</v>
      </c>
      <c r="Y634" s="88" t="s">
        <v>1519</v>
      </c>
      <c r="Z634" s="88" t="s">
        <v>1520</v>
      </c>
      <c r="AA634" s="88" t="s">
        <v>1519</v>
      </c>
      <c r="AB634" s="88" t="s">
        <v>1519</v>
      </c>
      <c r="AC634" s="88" t="s">
        <v>1519</v>
      </c>
      <c r="AD634" s="89"/>
      <c r="AE634" s="18" t="s">
        <v>76</v>
      </c>
      <c r="AF634" s="24"/>
      <c r="AG634" s="24"/>
      <c r="AH634" s="24"/>
      <c r="AI634" s="24"/>
      <c r="AJ634" s="24"/>
      <c r="AK634" s="24"/>
      <c r="AL634" s="24"/>
      <c r="AM634" s="24"/>
    </row>
    <row r="635">
      <c r="A635" s="11"/>
      <c r="B635" s="12" t="s">
        <v>43</v>
      </c>
      <c r="C635" s="12" t="s">
        <v>65</v>
      </c>
      <c r="D635" s="12" t="s">
        <v>43</v>
      </c>
      <c r="E635" s="12" t="s">
        <v>203</v>
      </c>
      <c r="F635" s="13" t="s">
        <v>204</v>
      </c>
      <c r="G635" s="12" t="s">
        <v>68</v>
      </c>
      <c r="H635" s="12" t="s">
        <v>205</v>
      </c>
      <c r="I635" s="12" t="s">
        <v>206</v>
      </c>
      <c r="J635" s="17" t="s">
        <v>108</v>
      </c>
      <c r="K635" s="2" t="str">
        <f>IFERROR(__xludf.DUMMYFUNCTION("CONCATENATE(REGEXEXTRACT(J635,""[\d]+""),"" años"")"),"5 años")</f>
        <v>5 años</v>
      </c>
      <c r="L635" s="16" t="s">
        <v>1559</v>
      </c>
      <c r="M635" s="20">
        <v>45974.0</v>
      </c>
      <c r="N635" s="17" t="s">
        <v>428</v>
      </c>
      <c r="O635" s="88" t="s">
        <v>1519</v>
      </c>
      <c r="P635" s="88" t="s">
        <v>1519</v>
      </c>
      <c r="Q635" s="88" t="s">
        <v>1519</v>
      </c>
      <c r="R635" s="88" t="s">
        <v>1519</v>
      </c>
      <c r="S635" s="88" t="s">
        <v>1519</v>
      </c>
      <c r="T635" s="88" t="s">
        <v>1519</v>
      </c>
      <c r="U635" s="88" t="s">
        <v>1519</v>
      </c>
      <c r="V635" s="88" t="s">
        <v>1519</v>
      </c>
      <c r="W635" s="88" t="s">
        <v>1520</v>
      </c>
      <c r="X635" s="88" t="s">
        <v>1519</v>
      </c>
      <c r="Y635" s="88" t="s">
        <v>1519</v>
      </c>
      <c r="Z635" s="88" t="s">
        <v>1520</v>
      </c>
      <c r="AA635" s="88" t="s">
        <v>1519</v>
      </c>
      <c r="AB635" s="88" t="s">
        <v>1520</v>
      </c>
      <c r="AC635" s="88" t="s">
        <v>1520</v>
      </c>
      <c r="AD635" s="89"/>
      <c r="AE635" s="18" t="s">
        <v>76</v>
      </c>
      <c r="AF635" s="24"/>
      <c r="AG635" s="24"/>
      <c r="AH635" s="24"/>
      <c r="AI635" s="24"/>
      <c r="AJ635" s="24"/>
      <c r="AK635" s="24"/>
      <c r="AL635" s="24"/>
      <c r="AM635" s="24"/>
    </row>
    <row r="636">
      <c r="A636" s="11"/>
      <c r="B636" s="12" t="s">
        <v>43</v>
      </c>
      <c r="C636" s="12" t="s">
        <v>65</v>
      </c>
      <c r="D636" s="12" t="s">
        <v>43</v>
      </c>
      <c r="E636" s="12" t="s">
        <v>203</v>
      </c>
      <c r="F636" s="13" t="s">
        <v>204</v>
      </c>
      <c r="G636" s="12" t="s">
        <v>68</v>
      </c>
      <c r="H636" s="12" t="s">
        <v>205</v>
      </c>
      <c r="I636" s="12" t="s">
        <v>206</v>
      </c>
      <c r="J636" s="17" t="s">
        <v>108</v>
      </c>
      <c r="K636" s="2" t="str">
        <f>IFERROR(__xludf.DUMMYFUNCTION("CONCATENATE(REGEXEXTRACT(J636,""[\d]+""),"" años"")"),"5 años")</f>
        <v>5 años</v>
      </c>
      <c r="L636" s="16" t="s">
        <v>1560</v>
      </c>
      <c r="M636" s="20">
        <v>45974.0</v>
      </c>
      <c r="N636" s="17" t="s">
        <v>428</v>
      </c>
      <c r="O636" s="88" t="s">
        <v>1519</v>
      </c>
      <c r="P636" s="88" t="s">
        <v>1519</v>
      </c>
      <c r="Q636" s="88" t="s">
        <v>1519</v>
      </c>
      <c r="R636" s="88" t="s">
        <v>1520</v>
      </c>
      <c r="S636" s="88" t="s">
        <v>1519</v>
      </c>
      <c r="T636" s="88" t="s">
        <v>1519</v>
      </c>
      <c r="U636" s="88" t="s">
        <v>1519</v>
      </c>
      <c r="V636" s="88" t="s">
        <v>1519</v>
      </c>
      <c r="W636" s="88" t="s">
        <v>1519</v>
      </c>
      <c r="X636" s="88" t="s">
        <v>1519</v>
      </c>
      <c r="Y636" s="88" t="s">
        <v>1520</v>
      </c>
      <c r="Z636" s="88" t="s">
        <v>1520</v>
      </c>
      <c r="AA636" s="88" t="s">
        <v>1519</v>
      </c>
      <c r="AB636" s="88" t="s">
        <v>1520</v>
      </c>
      <c r="AC636" s="88" t="s">
        <v>1520</v>
      </c>
      <c r="AD636" s="89"/>
      <c r="AE636" s="18" t="s">
        <v>76</v>
      </c>
      <c r="AF636" s="24"/>
      <c r="AG636" s="24"/>
      <c r="AH636" s="24"/>
      <c r="AI636" s="24"/>
      <c r="AJ636" s="24"/>
      <c r="AK636" s="24"/>
      <c r="AL636" s="24"/>
      <c r="AM636" s="24"/>
    </row>
    <row r="637">
      <c r="A637" s="11"/>
      <c r="B637" s="12" t="s">
        <v>43</v>
      </c>
      <c r="C637" s="12" t="s">
        <v>65</v>
      </c>
      <c r="D637" s="12" t="s">
        <v>43</v>
      </c>
      <c r="E637" s="12" t="s">
        <v>203</v>
      </c>
      <c r="F637" s="13" t="s">
        <v>204</v>
      </c>
      <c r="G637" s="12" t="s">
        <v>68</v>
      </c>
      <c r="H637" s="12" t="s">
        <v>205</v>
      </c>
      <c r="I637" s="12" t="s">
        <v>206</v>
      </c>
      <c r="J637" s="17" t="s">
        <v>108</v>
      </c>
      <c r="K637" s="2" t="str">
        <f>IFERROR(__xludf.DUMMYFUNCTION("CONCATENATE(REGEXEXTRACT(J637,""[\d]+""),"" años"")"),"5 años")</f>
        <v>5 años</v>
      </c>
      <c r="L637" s="16" t="s">
        <v>1561</v>
      </c>
      <c r="M637" s="20">
        <v>45974.0</v>
      </c>
      <c r="N637" s="17" t="s">
        <v>428</v>
      </c>
      <c r="O637" s="88" t="s">
        <v>1519</v>
      </c>
      <c r="P637" s="88" t="s">
        <v>1519</v>
      </c>
      <c r="Q637" s="88" t="s">
        <v>1519</v>
      </c>
      <c r="R637" s="88" t="s">
        <v>1519</v>
      </c>
      <c r="S637" s="88" t="s">
        <v>1519</v>
      </c>
      <c r="T637" s="88" t="s">
        <v>1519</v>
      </c>
      <c r="U637" s="88" t="s">
        <v>1519</v>
      </c>
      <c r="V637" s="88" t="s">
        <v>1519</v>
      </c>
      <c r="W637" s="88" t="s">
        <v>1520</v>
      </c>
      <c r="X637" s="88" t="s">
        <v>1519</v>
      </c>
      <c r="Y637" s="88" t="s">
        <v>1520</v>
      </c>
      <c r="Z637" s="88" t="s">
        <v>1520</v>
      </c>
      <c r="AA637" s="88" t="s">
        <v>1519</v>
      </c>
      <c r="AB637" s="88" t="s">
        <v>1519</v>
      </c>
      <c r="AC637" s="88" t="s">
        <v>1520</v>
      </c>
      <c r="AD637" s="89"/>
      <c r="AE637" s="18" t="s">
        <v>76</v>
      </c>
      <c r="AF637" s="24"/>
      <c r="AG637" s="24"/>
      <c r="AH637" s="24"/>
      <c r="AI637" s="24"/>
      <c r="AJ637" s="24"/>
      <c r="AK637" s="24"/>
      <c r="AL637" s="24"/>
      <c r="AM637" s="24"/>
    </row>
    <row r="638">
      <c r="A638" s="11"/>
      <c r="B638" s="12" t="s">
        <v>43</v>
      </c>
      <c r="C638" s="12" t="s">
        <v>65</v>
      </c>
      <c r="D638" s="12" t="s">
        <v>43</v>
      </c>
      <c r="E638" s="12" t="s">
        <v>203</v>
      </c>
      <c r="F638" s="13" t="s">
        <v>204</v>
      </c>
      <c r="G638" s="12" t="s">
        <v>68</v>
      </c>
      <c r="H638" s="12" t="s">
        <v>205</v>
      </c>
      <c r="I638" s="12" t="s">
        <v>206</v>
      </c>
      <c r="J638" s="17" t="s">
        <v>108</v>
      </c>
      <c r="K638" s="2" t="str">
        <f>IFERROR(__xludf.DUMMYFUNCTION("CONCATENATE(REGEXEXTRACT(J638,""[\d]+""),"" años"")"),"5 años")</f>
        <v>5 años</v>
      </c>
      <c r="L638" s="16" t="s">
        <v>1562</v>
      </c>
      <c r="M638" s="20">
        <v>45974.0</v>
      </c>
      <c r="N638" s="17" t="s">
        <v>428</v>
      </c>
      <c r="O638" s="88" t="s">
        <v>1519</v>
      </c>
      <c r="P638" s="88" t="s">
        <v>1519</v>
      </c>
      <c r="Q638" s="88" t="s">
        <v>1519</v>
      </c>
      <c r="R638" s="88" t="s">
        <v>1519</v>
      </c>
      <c r="S638" s="88" t="s">
        <v>1519</v>
      </c>
      <c r="T638" s="88" t="s">
        <v>1519</v>
      </c>
      <c r="U638" s="88" t="s">
        <v>1519</v>
      </c>
      <c r="V638" s="88" t="s">
        <v>1519</v>
      </c>
      <c r="W638" s="88" t="s">
        <v>1519</v>
      </c>
      <c r="X638" s="88" t="s">
        <v>1519</v>
      </c>
      <c r="Y638" s="88" t="s">
        <v>1519</v>
      </c>
      <c r="Z638" s="88" t="s">
        <v>1519</v>
      </c>
      <c r="AA638" s="88" t="s">
        <v>1519</v>
      </c>
      <c r="AB638" s="88" t="s">
        <v>1519</v>
      </c>
      <c r="AC638" s="88" t="s">
        <v>1520</v>
      </c>
      <c r="AD638" s="89"/>
      <c r="AE638" s="18" t="s">
        <v>76</v>
      </c>
      <c r="AF638" s="24"/>
      <c r="AG638" s="24"/>
      <c r="AH638" s="24"/>
      <c r="AI638" s="24"/>
      <c r="AJ638" s="24"/>
      <c r="AK638" s="24"/>
      <c r="AL638" s="24"/>
      <c r="AM638" s="24"/>
    </row>
    <row r="639">
      <c r="A639" s="11"/>
      <c r="B639" s="12" t="s">
        <v>43</v>
      </c>
      <c r="C639" s="12" t="s">
        <v>65</v>
      </c>
      <c r="D639" s="12" t="s">
        <v>43</v>
      </c>
      <c r="E639" s="12" t="s">
        <v>203</v>
      </c>
      <c r="F639" s="13" t="s">
        <v>204</v>
      </c>
      <c r="G639" s="12" t="s">
        <v>68</v>
      </c>
      <c r="H639" s="12" t="s">
        <v>205</v>
      </c>
      <c r="I639" s="12" t="s">
        <v>206</v>
      </c>
      <c r="J639" s="17" t="s">
        <v>108</v>
      </c>
      <c r="K639" s="2" t="str">
        <f>IFERROR(__xludf.DUMMYFUNCTION("CONCATENATE(REGEXEXTRACT(J639,""[\d]+""),"" años"")"),"5 años")</f>
        <v>5 años</v>
      </c>
      <c r="L639" s="16" t="s">
        <v>1563</v>
      </c>
      <c r="M639" s="20">
        <v>45974.0</v>
      </c>
      <c r="N639" s="17" t="s">
        <v>428</v>
      </c>
      <c r="O639" s="88" t="s">
        <v>1519</v>
      </c>
      <c r="P639" s="88" t="s">
        <v>1519</v>
      </c>
      <c r="Q639" s="88" t="s">
        <v>1519</v>
      </c>
      <c r="R639" s="88" t="s">
        <v>1520</v>
      </c>
      <c r="S639" s="88" t="s">
        <v>1519</v>
      </c>
      <c r="T639" s="88" t="s">
        <v>1519</v>
      </c>
      <c r="U639" s="88" t="s">
        <v>1519</v>
      </c>
      <c r="V639" s="88" t="s">
        <v>1519</v>
      </c>
      <c r="W639" s="88" t="s">
        <v>1520</v>
      </c>
      <c r="X639" s="88" t="s">
        <v>1519</v>
      </c>
      <c r="Y639" s="88" t="s">
        <v>1521</v>
      </c>
      <c r="Z639" s="88" t="s">
        <v>1521</v>
      </c>
      <c r="AA639" s="88" t="s">
        <v>1520</v>
      </c>
      <c r="AB639" s="88" t="s">
        <v>1520</v>
      </c>
      <c r="AC639" s="88" t="s">
        <v>1521</v>
      </c>
      <c r="AD639" s="89"/>
      <c r="AE639" s="18" t="s">
        <v>76</v>
      </c>
      <c r="AF639" s="24"/>
      <c r="AG639" s="24"/>
      <c r="AH639" s="24"/>
      <c r="AI639" s="24"/>
      <c r="AJ639" s="24"/>
      <c r="AK639" s="24"/>
      <c r="AL639" s="24"/>
      <c r="AM639" s="24"/>
    </row>
    <row r="640">
      <c r="A640" s="11"/>
      <c r="B640" s="12" t="s">
        <v>43</v>
      </c>
      <c r="C640" s="12" t="s">
        <v>65</v>
      </c>
      <c r="D640" s="12" t="s">
        <v>43</v>
      </c>
      <c r="E640" s="12" t="s">
        <v>203</v>
      </c>
      <c r="F640" s="13" t="s">
        <v>204</v>
      </c>
      <c r="G640" s="12" t="s">
        <v>68</v>
      </c>
      <c r="H640" s="12" t="s">
        <v>205</v>
      </c>
      <c r="I640" s="12" t="s">
        <v>206</v>
      </c>
      <c r="J640" s="17" t="s">
        <v>108</v>
      </c>
      <c r="K640" s="2" t="str">
        <f>IFERROR(__xludf.DUMMYFUNCTION("CONCATENATE(REGEXEXTRACT(J640,""[\d]+""),"" años"")"),"5 años")</f>
        <v>5 años</v>
      </c>
      <c r="L640" s="16" t="s">
        <v>1564</v>
      </c>
      <c r="M640" s="20">
        <v>45974.0</v>
      </c>
      <c r="N640" s="17" t="s">
        <v>428</v>
      </c>
      <c r="O640" s="88" t="s">
        <v>1519</v>
      </c>
      <c r="P640" s="88" t="s">
        <v>1519</v>
      </c>
      <c r="Q640" s="88" t="s">
        <v>1519</v>
      </c>
      <c r="R640" s="88" t="s">
        <v>1519</v>
      </c>
      <c r="S640" s="88" t="s">
        <v>1519</v>
      </c>
      <c r="T640" s="88" t="s">
        <v>1519</v>
      </c>
      <c r="U640" s="88" t="s">
        <v>1519</v>
      </c>
      <c r="V640" s="88" t="s">
        <v>1519</v>
      </c>
      <c r="W640" s="88" t="s">
        <v>1519</v>
      </c>
      <c r="X640" s="88" t="s">
        <v>1519</v>
      </c>
      <c r="Y640" s="88" t="s">
        <v>1519</v>
      </c>
      <c r="Z640" s="88" t="s">
        <v>1519</v>
      </c>
      <c r="AA640" s="88" t="s">
        <v>1519</v>
      </c>
      <c r="AB640" s="88" t="s">
        <v>1519</v>
      </c>
      <c r="AC640" s="88" t="s">
        <v>1520</v>
      </c>
      <c r="AD640" s="89"/>
      <c r="AE640" s="18" t="s">
        <v>76</v>
      </c>
      <c r="AF640" s="24"/>
      <c r="AG640" s="24"/>
      <c r="AH640" s="24"/>
      <c r="AI640" s="24"/>
      <c r="AJ640" s="24"/>
      <c r="AK640" s="24"/>
      <c r="AL640" s="24"/>
      <c r="AM640" s="24"/>
    </row>
    <row r="641">
      <c r="A641" s="11"/>
      <c r="B641" s="12" t="s">
        <v>43</v>
      </c>
      <c r="C641" s="12" t="s">
        <v>65</v>
      </c>
      <c r="D641" s="12" t="s">
        <v>43</v>
      </c>
      <c r="E641" s="12" t="s">
        <v>203</v>
      </c>
      <c r="F641" s="13" t="s">
        <v>204</v>
      </c>
      <c r="G641" s="12" t="s">
        <v>68</v>
      </c>
      <c r="H641" s="12" t="s">
        <v>205</v>
      </c>
      <c r="I641" s="12" t="s">
        <v>206</v>
      </c>
      <c r="J641" s="17" t="s">
        <v>108</v>
      </c>
      <c r="K641" s="2" t="str">
        <f>IFERROR(__xludf.DUMMYFUNCTION("CONCATENATE(REGEXEXTRACT(J641,""[\d]+""),"" años"")"),"5 años")</f>
        <v>5 años</v>
      </c>
      <c r="L641" s="16" t="s">
        <v>1566</v>
      </c>
      <c r="M641" s="20">
        <v>45974.0</v>
      </c>
      <c r="N641" s="17" t="s">
        <v>428</v>
      </c>
      <c r="O641" s="88" t="s">
        <v>1519</v>
      </c>
      <c r="P641" s="88" t="s">
        <v>1519</v>
      </c>
      <c r="Q641" s="88" t="s">
        <v>1519</v>
      </c>
      <c r="R641" s="88" t="s">
        <v>1519</v>
      </c>
      <c r="S641" s="88" t="s">
        <v>1519</v>
      </c>
      <c r="T641" s="88" t="s">
        <v>1519</v>
      </c>
      <c r="U641" s="88" t="s">
        <v>1519</v>
      </c>
      <c r="V641" s="88" t="s">
        <v>1519</v>
      </c>
      <c r="W641" s="88" t="s">
        <v>1519</v>
      </c>
      <c r="X641" s="88" t="s">
        <v>1519</v>
      </c>
      <c r="Y641" s="88" t="s">
        <v>1519</v>
      </c>
      <c r="Z641" s="88" t="s">
        <v>1519</v>
      </c>
      <c r="AA641" s="88" t="s">
        <v>1519</v>
      </c>
      <c r="AB641" s="88" t="s">
        <v>1519</v>
      </c>
      <c r="AC641" s="88" t="s">
        <v>1520</v>
      </c>
      <c r="AD641" s="89"/>
      <c r="AE641" s="18" t="s">
        <v>76</v>
      </c>
      <c r="AF641" s="24"/>
      <c r="AG641" s="24"/>
      <c r="AH641" s="24"/>
      <c r="AI641" s="24"/>
      <c r="AJ641" s="24"/>
      <c r="AK641" s="24"/>
      <c r="AL641" s="24"/>
      <c r="AM641" s="24"/>
    </row>
    <row r="642">
      <c r="A642" s="11"/>
      <c r="B642" s="12" t="s">
        <v>43</v>
      </c>
      <c r="C642" s="12" t="s">
        <v>65</v>
      </c>
      <c r="D642" s="12" t="s">
        <v>43</v>
      </c>
      <c r="E642" s="12" t="s">
        <v>203</v>
      </c>
      <c r="F642" s="13" t="s">
        <v>204</v>
      </c>
      <c r="G642" s="12" t="s">
        <v>68</v>
      </c>
      <c r="H642" s="12" t="s">
        <v>205</v>
      </c>
      <c r="I642" s="12" t="s">
        <v>206</v>
      </c>
      <c r="J642" s="17" t="s">
        <v>112</v>
      </c>
      <c r="K642" s="17" t="s">
        <v>113</v>
      </c>
      <c r="L642" s="73" t="s">
        <v>1567</v>
      </c>
      <c r="M642" s="20">
        <v>45974.0</v>
      </c>
      <c r="N642" s="17" t="s">
        <v>428</v>
      </c>
      <c r="O642" s="88" t="s">
        <v>1519</v>
      </c>
      <c r="P642" s="88" t="s">
        <v>1520</v>
      </c>
      <c r="Q642" s="88" t="s">
        <v>1521</v>
      </c>
      <c r="R642" s="88" t="s">
        <v>1520</v>
      </c>
      <c r="S642" s="88" t="s">
        <v>1519</v>
      </c>
      <c r="T642" s="88" t="s">
        <v>1521</v>
      </c>
      <c r="U642" s="88" t="s">
        <v>1519</v>
      </c>
      <c r="V642" s="88" t="s">
        <v>1521</v>
      </c>
      <c r="W642" s="88" t="s">
        <v>1521</v>
      </c>
      <c r="X642" s="88" t="s">
        <v>1521</v>
      </c>
      <c r="Y642" s="88" t="s">
        <v>1519</v>
      </c>
      <c r="Z642" s="88" t="s">
        <v>1520</v>
      </c>
      <c r="AA642" s="88" t="s">
        <v>1521</v>
      </c>
      <c r="AB642" s="88" t="s">
        <v>1521</v>
      </c>
      <c r="AC642" s="88" t="s">
        <v>1521</v>
      </c>
      <c r="AD642" s="93" t="s">
        <v>2054</v>
      </c>
      <c r="AE642" s="18" t="s">
        <v>76</v>
      </c>
      <c r="AF642" s="24"/>
      <c r="AG642" s="24"/>
      <c r="AH642" s="24"/>
      <c r="AI642" s="24"/>
      <c r="AJ642" s="24"/>
      <c r="AK642" s="24"/>
      <c r="AL642" s="24"/>
      <c r="AM642" s="24"/>
    </row>
    <row r="643">
      <c r="A643" s="11"/>
      <c r="B643" s="12" t="s">
        <v>7</v>
      </c>
      <c r="C643" s="12" t="s">
        <v>8</v>
      </c>
      <c r="D643" s="12" t="s">
        <v>24</v>
      </c>
      <c r="E643" s="12" t="s">
        <v>32</v>
      </c>
      <c r="F643" s="13" t="s">
        <v>30</v>
      </c>
      <c r="G643" s="12" t="s">
        <v>68</v>
      </c>
      <c r="H643" s="12" t="s">
        <v>573</v>
      </c>
      <c r="I643" s="12" t="s">
        <v>574</v>
      </c>
      <c r="J643" s="17" t="s">
        <v>73</v>
      </c>
      <c r="K643" s="17" t="s">
        <v>2055</v>
      </c>
      <c r="L643" s="21" t="s">
        <v>1785</v>
      </c>
      <c r="M643" s="20">
        <v>45971.0</v>
      </c>
      <c r="N643" s="17" t="s">
        <v>428</v>
      </c>
      <c r="O643" s="88" t="s">
        <v>1519</v>
      </c>
      <c r="P643" s="88" t="s">
        <v>1519</v>
      </c>
      <c r="Q643" s="88" t="s">
        <v>1520</v>
      </c>
      <c r="R643" s="88" t="s">
        <v>1520</v>
      </c>
      <c r="S643" s="88" t="s">
        <v>1520</v>
      </c>
      <c r="T643" s="88" t="s">
        <v>1520</v>
      </c>
      <c r="U643" s="88" t="s">
        <v>1519</v>
      </c>
      <c r="V643" s="88" t="s">
        <v>1519</v>
      </c>
      <c r="W643" s="88" t="s">
        <v>1520</v>
      </c>
      <c r="X643" s="88" t="s">
        <v>1519</v>
      </c>
      <c r="Y643" s="88" t="s">
        <v>1519</v>
      </c>
      <c r="Z643" s="88" t="s">
        <v>1519</v>
      </c>
      <c r="AA643" s="88" t="s">
        <v>1519</v>
      </c>
      <c r="AB643" s="88" t="s">
        <v>1519</v>
      </c>
      <c r="AC643" s="88" t="s">
        <v>1519</v>
      </c>
      <c r="AD643" s="89"/>
      <c r="AE643" s="18" t="s">
        <v>577</v>
      </c>
      <c r="AF643" s="24"/>
      <c r="AG643" s="24"/>
      <c r="AH643" s="24"/>
      <c r="AI643" s="24"/>
      <c r="AJ643" s="24"/>
      <c r="AK643" s="24"/>
      <c r="AL643" s="24"/>
      <c r="AM643" s="24"/>
    </row>
    <row r="644">
      <c r="A644" s="11"/>
      <c r="B644" s="12" t="s">
        <v>7</v>
      </c>
      <c r="C644" s="12" t="s">
        <v>8</v>
      </c>
      <c r="D644" s="12" t="s">
        <v>24</v>
      </c>
      <c r="E644" s="12" t="s">
        <v>32</v>
      </c>
      <c r="F644" s="13" t="s">
        <v>30</v>
      </c>
      <c r="G644" s="12" t="s">
        <v>68</v>
      </c>
      <c r="H644" s="12" t="s">
        <v>573</v>
      </c>
      <c r="I644" s="12" t="s">
        <v>574</v>
      </c>
      <c r="J644" s="17" t="s">
        <v>73</v>
      </c>
      <c r="K644" s="17" t="s">
        <v>2055</v>
      </c>
      <c r="L644" s="48" t="s">
        <v>2056</v>
      </c>
      <c r="M644" s="20">
        <v>45971.0</v>
      </c>
      <c r="N644" s="17" t="s">
        <v>428</v>
      </c>
      <c r="O644" s="88" t="s">
        <v>1519</v>
      </c>
      <c r="P644" s="88" t="s">
        <v>1519</v>
      </c>
      <c r="Q644" s="88" t="s">
        <v>1520</v>
      </c>
      <c r="R644" s="88" t="s">
        <v>1521</v>
      </c>
      <c r="S644" s="88" t="s">
        <v>1520</v>
      </c>
      <c r="T644" s="88" t="s">
        <v>1520</v>
      </c>
      <c r="U644" s="88" t="s">
        <v>1519</v>
      </c>
      <c r="V644" s="88" t="s">
        <v>1519</v>
      </c>
      <c r="W644" s="88" t="s">
        <v>1520</v>
      </c>
      <c r="X644" s="88" t="s">
        <v>1520</v>
      </c>
      <c r="Y644" s="88" t="s">
        <v>1520</v>
      </c>
      <c r="Z644" s="88" t="s">
        <v>1520</v>
      </c>
      <c r="AA644" s="88" t="s">
        <v>1520</v>
      </c>
      <c r="AB644" s="88" t="s">
        <v>1520</v>
      </c>
      <c r="AC644" s="88" t="s">
        <v>1520</v>
      </c>
      <c r="AD644" s="89"/>
      <c r="AE644" s="18" t="s">
        <v>577</v>
      </c>
      <c r="AF644" s="24"/>
      <c r="AG644" s="24"/>
      <c r="AH644" s="24"/>
      <c r="AI644" s="24"/>
      <c r="AJ644" s="24"/>
      <c r="AK644" s="24"/>
      <c r="AL644" s="24"/>
      <c r="AM644" s="24"/>
    </row>
    <row r="645">
      <c r="A645" s="11"/>
      <c r="B645" s="12" t="s">
        <v>7</v>
      </c>
      <c r="C645" s="12" t="s">
        <v>8</v>
      </c>
      <c r="D645" s="12" t="s">
        <v>24</v>
      </c>
      <c r="E645" s="12" t="s">
        <v>32</v>
      </c>
      <c r="F645" s="13" t="s">
        <v>30</v>
      </c>
      <c r="G645" s="12" t="s">
        <v>68</v>
      </c>
      <c r="H645" s="12" t="s">
        <v>573</v>
      </c>
      <c r="I645" s="12" t="s">
        <v>574</v>
      </c>
      <c r="J645" s="17" t="s">
        <v>73</v>
      </c>
      <c r="K645" s="17" t="s">
        <v>2055</v>
      </c>
      <c r="L645" s="21" t="s">
        <v>1788</v>
      </c>
      <c r="M645" s="20">
        <v>45971.0</v>
      </c>
      <c r="N645" s="17" t="s">
        <v>428</v>
      </c>
      <c r="O645" s="88" t="s">
        <v>1519</v>
      </c>
      <c r="P645" s="88" t="s">
        <v>1519</v>
      </c>
      <c r="Q645" s="88" t="s">
        <v>1519</v>
      </c>
      <c r="R645" s="88" t="s">
        <v>1519</v>
      </c>
      <c r="S645" s="88" t="s">
        <v>1519</v>
      </c>
      <c r="T645" s="88" t="s">
        <v>1519</v>
      </c>
      <c r="U645" s="88" t="s">
        <v>1519</v>
      </c>
      <c r="V645" s="88" t="s">
        <v>1519</v>
      </c>
      <c r="W645" s="88" t="s">
        <v>1519</v>
      </c>
      <c r="X645" s="88" t="s">
        <v>1519</v>
      </c>
      <c r="Y645" s="88" t="s">
        <v>1520</v>
      </c>
      <c r="Z645" s="88" t="s">
        <v>1520</v>
      </c>
      <c r="AA645" s="88" t="s">
        <v>1520</v>
      </c>
      <c r="AB645" s="88" t="s">
        <v>1519</v>
      </c>
      <c r="AC645" s="88" t="s">
        <v>1519</v>
      </c>
      <c r="AD645" s="89"/>
      <c r="AE645" s="18" t="s">
        <v>577</v>
      </c>
      <c r="AF645" s="24"/>
      <c r="AG645" s="24"/>
      <c r="AH645" s="24"/>
      <c r="AI645" s="24"/>
      <c r="AJ645" s="24"/>
      <c r="AK645" s="24"/>
      <c r="AL645" s="24"/>
      <c r="AM645" s="24"/>
    </row>
    <row r="646">
      <c r="A646" s="11"/>
      <c r="B646" s="12" t="s">
        <v>7</v>
      </c>
      <c r="C646" s="12" t="s">
        <v>8</v>
      </c>
      <c r="D646" s="12" t="s">
        <v>24</v>
      </c>
      <c r="E646" s="12" t="s">
        <v>32</v>
      </c>
      <c r="F646" s="13" t="s">
        <v>30</v>
      </c>
      <c r="G646" s="12" t="s">
        <v>68</v>
      </c>
      <c r="H646" s="12" t="s">
        <v>573</v>
      </c>
      <c r="I646" s="12" t="s">
        <v>574</v>
      </c>
      <c r="J646" s="17" t="s">
        <v>73</v>
      </c>
      <c r="K646" s="17" t="s">
        <v>2055</v>
      </c>
      <c r="L646" s="48" t="s">
        <v>2057</v>
      </c>
      <c r="M646" s="20">
        <v>45971.0</v>
      </c>
      <c r="N646" s="17" t="s">
        <v>428</v>
      </c>
      <c r="O646" s="88" t="s">
        <v>1519</v>
      </c>
      <c r="P646" s="88" t="s">
        <v>1519</v>
      </c>
      <c r="Q646" s="88" t="s">
        <v>1519</v>
      </c>
      <c r="R646" s="88" t="s">
        <v>1520</v>
      </c>
      <c r="S646" s="88" t="s">
        <v>1519</v>
      </c>
      <c r="T646" s="88" t="s">
        <v>1519</v>
      </c>
      <c r="U646" s="88" t="s">
        <v>1519</v>
      </c>
      <c r="V646" s="88" t="s">
        <v>1519</v>
      </c>
      <c r="W646" s="88" t="s">
        <v>1519</v>
      </c>
      <c r="X646" s="88" t="s">
        <v>1519</v>
      </c>
      <c r="Y646" s="88" t="s">
        <v>1519</v>
      </c>
      <c r="Z646" s="88" t="s">
        <v>1519</v>
      </c>
      <c r="AA646" s="88" t="s">
        <v>1519</v>
      </c>
      <c r="AB646" s="88" t="s">
        <v>1520</v>
      </c>
      <c r="AC646" s="88" t="s">
        <v>1520</v>
      </c>
      <c r="AD646" s="89"/>
      <c r="AE646" s="18" t="s">
        <v>577</v>
      </c>
      <c r="AF646" s="24"/>
      <c r="AG646" s="24"/>
      <c r="AH646" s="24"/>
      <c r="AI646" s="24"/>
      <c r="AJ646" s="24"/>
      <c r="AK646" s="24"/>
      <c r="AL646" s="24"/>
      <c r="AM646" s="24"/>
    </row>
    <row r="647">
      <c r="A647" s="11"/>
      <c r="B647" s="12" t="s">
        <v>7</v>
      </c>
      <c r="C647" s="12" t="s">
        <v>8</v>
      </c>
      <c r="D647" s="12" t="s">
        <v>24</v>
      </c>
      <c r="E647" s="12" t="s">
        <v>32</v>
      </c>
      <c r="F647" s="13" t="s">
        <v>30</v>
      </c>
      <c r="G647" s="12" t="s">
        <v>68</v>
      </c>
      <c r="H647" s="12" t="s">
        <v>573</v>
      </c>
      <c r="I647" s="12" t="s">
        <v>574</v>
      </c>
      <c r="J647" s="17" t="s">
        <v>73</v>
      </c>
      <c r="K647" s="17" t="s">
        <v>2055</v>
      </c>
      <c r="L647" s="21" t="s">
        <v>1782</v>
      </c>
      <c r="M647" s="20">
        <v>45971.0</v>
      </c>
      <c r="N647" s="17" t="s">
        <v>428</v>
      </c>
      <c r="O647" s="88" t="s">
        <v>1519</v>
      </c>
      <c r="P647" s="88" t="s">
        <v>1519</v>
      </c>
      <c r="Q647" s="88" t="s">
        <v>1519</v>
      </c>
      <c r="R647" s="88" t="s">
        <v>1519</v>
      </c>
      <c r="S647" s="88" t="s">
        <v>1519</v>
      </c>
      <c r="T647" s="88" t="s">
        <v>1519</v>
      </c>
      <c r="U647" s="88" t="s">
        <v>1519</v>
      </c>
      <c r="V647" s="88" t="s">
        <v>1519</v>
      </c>
      <c r="W647" s="88" t="s">
        <v>1519</v>
      </c>
      <c r="X647" s="88" t="s">
        <v>1519</v>
      </c>
      <c r="Y647" s="88" t="s">
        <v>1519</v>
      </c>
      <c r="Z647" s="88" t="s">
        <v>1519</v>
      </c>
      <c r="AA647" s="88" t="s">
        <v>1519</v>
      </c>
      <c r="AB647" s="88" t="s">
        <v>1519</v>
      </c>
      <c r="AC647" s="88" t="s">
        <v>1519</v>
      </c>
      <c r="AD647" s="89"/>
      <c r="AE647" s="18" t="s">
        <v>577</v>
      </c>
      <c r="AF647" s="24"/>
      <c r="AG647" s="24"/>
      <c r="AH647" s="24"/>
      <c r="AI647" s="24"/>
      <c r="AJ647" s="24"/>
      <c r="AK647" s="24"/>
      <c r="AL647" s="24"/>
      <c r="AM647" s="24"/>
    </row>
    <row r="648">
      <c r="A648" s="11"/>
      <c r="B648" s="12" t="s">
        <v>7</v>
      </c>
      <c r="C648" s="12" t="s">
        <v>37</v>
      </c>
      <c r="D648" s="12" t="s">
        <v>38</v>
      </c>
      <c r="E648" s="12" t="s">
        <v>45</v>
      </c>
      <c r="F648" s="13" t="s">
        <v>44</v>
      </c>
      <c r="G648" s="12" t="s">
        <v>68</v>
      </c>
      <c r="H648" s="12" t="s">
        <v>830</v>
      </c>
      <c r="I648" s="12" t="s">
        <v>831</v>
      </c>
      <c r="J648" s="17" t="s">
        <v>73</v>
      </c>
      <c r="K648" s="17" t="s">
        <v>74</v>
      </c>
      <c r="L648" s="17" t="s">
        <v>1809</v>
      </c>
      <c r="M648" s="20">
        <v>45980.0</v>
      </c>
      <c r="N648" s="17" t="s">
        <v>428</v>
      </c>
      <c r="O648" s="88" t="s">
        <v>1519</v>
      </c>
      <c r="P648" s="88" t="s">
        <v>1519</v>
      </c>
      <c r="Q648" s="88" t="s">
        <v>1520</v>
      </c>
      <c r="R648" s="88" t="s">
        <v>1520</v>
      </c>
      <c r="S648" s="88" t="s">
        <v>1519</v>
      </c>
      <c r="T648" s="88" t="s">
        <v>1519</v>
      </c>
      <c r="U648" s="88" t="s">
        <v>1519</v>
      </c>
      <c r="V648" s="88" t="s">
        <v>1519</v>
      </c>
      <c r="W648" s="88" t="s">
        <v>1520</v>
      </c>
      <c r="X648" s="88" t="s">
        <v>1519</v>
      </c>
      <c r="Y648" s="88" t="s">
        <v>1519</v>
      </c>
      <c r="Z648" s="88" t="s">
        <v>1519</v>
      </c>
      <c r="AA648" s="88" t="s">
        <v>1520</v>
      </c>
      <c r="AB648" s="88" t="s">
        <v>1520</v>
      </c>
      <c r="AC648" s="88" t="s">
        <v>1520</v>
      </c>
      <c r="AD648" s="89"/>
      <c r="AE648" s="18" t="s">
        <v>577</v>
      </c>
      <c r="AF648" s="24"/>
      <c r="AG648" s="24"/>
      <c r="AH648" s="24"/>
      <c r="AI648" s="24"/>
      <c r="AJ648" s="24"/>
      <c r="AK648" s="24"/>
      <c r="AL648" s="24"/>
      <c r="AM648" s="24"/>
    </row>
    <row r="649">
      <c r="A649" s="11"/>
      <c r="B649" s="12" t="s">
        <v>7</v>
      </c>
      <c r="C649" s="12" t="s">
        <v>37</v>
      </c>
      <c r="D649" s="12" t="s">
        <v>38</v>
      </c>
      <c r="E649" s="12" t="s">
        <v>45</v>
      </c>
      <c r="F649" s="13" t="s">
        <v>44</v>
      </c>
      <c r="G649" s="12" t="s">
        <v>68</v>
      </c>
      <c r="H649" s="12" t="s">
        <v>830</v>
      </c>
      <c r="I649" s="12" t="s">
        <v>831</v>
      </c>
      <c r="J649" s="17" t="s">
        <v>73</v>
      </c>
      <c r="K649" s="17" t="s">
        <v>74</v>
      </c>
      <c r="L649" s="17" t="s">
        <v>1815</v>
      </c>
      <c r="M649" s="20">
        <v>45980.0</v>
      </c>
      <c r="N649" s="17" t="s">
        <v>428</v>
      </c>
      <c r="O649" s="88" t="s">
        <v>1519</v>
      </c>
      <c r="P649" s="88" t="s">
        <v>1519</v>
      </c>
      <c r="Q649" s="88" t="s">
        <v>1520</v>
      </c>
      <c r="R649" s="88" t="s">
        <v>1520</v>
      </c>
      <c r="S649" s="88" t="s">
        <v>1520</v>
      </c>
      <c r="T649" s="88" t="s">
        <v>1520</v>
      </c>
      <c r="U649" s="88" t="s">
        <v>1519</v>
      </c>
      <c r="V649" s="88" t="s">
        <v>1519</v>
      </c>
      <c r="W649" s="88" t="s">
        <v>1520</v>
      </c>
      <c r="X649" s="88" t="s">
        <v>1520</v>
      </c>
      <c r="Y649" s="88" t="s">
        <v>1520</v>
      </c>
      <c r="Z649" s="88" t="s">
        <v>1520</v>
      </c>
      <c r="AA649" s="88" t="s">
        <v>1520</v>
      </c>
      <c r="AB649" s="88" t="s">
        <v>1520</v>
      </c>
      <c r="AC649" s="88" t="s">
        <v>1520</v>
      </c>
      <c r="AD649" s="89"/>
      <c r="AE649" s="18" t="s">
        <v>577</v>
      </c>
      <c r="AF649" s="24"/>
      <c r="AG649" s="24"/>
      <c r="AH649" s="24"/>
      <c r="AI649" s="24"/>
      <c r="AJ649" s="24"/>
      <c r="AK649" s="24"/>
      <c r="AL649" s="24"/>
      <c r="AM649" s="24"/>
    </row>
    <row r="650">
      <c r="A650" s="11"/>
      <c r="B650" s="12" t="s">
        <v>7</v>
      </c>
      <c r="C650" s="12" t="s">
        <v>37</v>
      </c>
      <c r="D650" s="12" t="s">
        <v>38</v>
      </c>
      <c r="E650" s="12" t="s">
        <v>45</v>
      </c>
      <c r="F650" s="13" t="s">
        <v>44</v>
      </c>
      <c r="G650" s="12" t="s">
        <v>68</v>
      </c>
      <c r="H650" s="12" t="s">
        <v>830</v>
      </c>
      <c r="I650" s="12" t="s">
        <v>831</v>
      </c>
      <c r="J650" s="17" t="s">
        <v>73</v>
      </c>
      <c r="K650" s="17" t="s">
        <v>74</v>
      </c>
      <c r="L650" s="17" t="s">
        <v>2058</v>
      </c>
      <c r="M650" s="20">
        <v>45980.0</v>
      </c>
      <c r="N650" s="17" t="s">
        <v>428</v>
      </c>
      <c r="O650" s="88" t="s">
        <v>1519</v>
      </c>
      <c r="P650" s="88" t="s">
        <v>1519</v>
      </c>
      <c r="Q650" s="88" t="s">
        <v>1520</v>
      </c>
      <c r="R650" s="88" t="s">
        <v>1520</v>
      </c>
      <c r="S650" s="88" t="s">
        <v>1520</v>
      </c>
      <c r="T650" s="88" t="s">
        <v>1520</v>
      </c>
      <c r="U650" s="88" t="s">
        <v>1519</v>
      </c>
      <c r="V650" s="88" t="s">
        <v>1519</v>
      </c>
      <c r="W650" s="88" t="s">
        <v>1520</v>
      </c>
      <c r="X650" s="88" t="s">
        <v>1519</v>
      </c>
      <c r="Y650" s="88" t="s">
        <v>1520</v>
      </c>
      <c r="Z650" s="88" t="s">
        <v>1520</v>
      </c>
      <c r="AA650" s="88" t="s">
        <v>1520</v>
      </c>
      <c r="AB650" s="88" t="s">
        <v>1520</v>
      </c>
      <c r="AC650" s="88" t="s">
        <v>1520</v>
      </c>
      <c r="AD650" s="89"/>
      <c r="AE650" s="18" t="s">
        <v>577</v>
      </c>
      <c r="AF650" s="24"/>
      <c r="AG650" s="24"/>
      <c r="AH650" s="24"/>
      <c r="AI650" s="24"/>
      <c r="AJ650" s="24"/>
      <c r="AK650" s="24"/>
      <c r="AL650" s="24"/>
      <c r="AM650" s="24"/>
    </row>
    <row r="651">
      <c r="A651" s="11"/>
      <c r="B651" s="12" t="s">
        <v>7</v>
      </c>
      <c r="C651" s="12" t="s">
        <v>37</v>
      </c>
      <c r="D651" s="12" t="s">
        <v>38</v>
      </c>
      <c r="E651" s="12" t="s">
        <v>45</v>
      </c>
      <c r="F651" s="13" t="s">
        <v>44</v>
      </c>
      <c r="G651" s="12" t="s">
        <v>68</v>
      </c>
      <c r="H651" s="12" t="s">
        <v>830</v>
      </c>
      <c r="I651" s="12" t="s">
        <v>831</v>
      </c>
      <c r="J651" s="17" t="s">
        <v>73</v>
      </c>
      <c r="K651" s="17" t="s">
        <v>74</v>
      </c>
      <c r="L651" s="17" t="s">
        <v>2059</v>
      </c>
      <c r="M651" s="20">
        <v>45980.0</v>
      </c>
      <c r="N651" s="17" t="s">
        <v>428</v>
      </c>
      <c r="O651" s="88" t="s">
        <v>1520</v>
      </c>
      <c r="P651" s="88" t="s">
        <v>1520</v>
      </c>
      <c r="Q651" s="88" t="s">
        <v>1520</v>
      </c>
      <c r="R651" s="88" t="s">
        <v>1521</v>
      </c>
      <c r="S651" s="88" t="s">
        <v>1520</v>
      </c>
      <c r="T651" s="88" t="s">
        <v>1520</v>
      </c>
      <c r="U651" s="88" t="s">
        <v>1520</v>
      </c>
      <c r="V651" s="88" t="s">
        <v>1520</v>
      </c>
      <c r="W651" s="88" t="s">
        <v>1520</v>
      </c>
      <c r="X651" s="88" t="s">
        <v>1520</v>
      </c>
      <c r="Y651" s="88" t="s">
        <v>1521</v>
      </c>
      <c r="Z651" s="88" t="s">
        <v>1521</v>
      </c>
      <c r="AA651" s="88" t="s">
        <v>1521</v>
      </c>
      <c r="AB651" s="88" t="s">
        <v>1521</v>
      </c>
      <c r="AC651" s="88" t="s">
        <v>1521</v>
      </c>
      <c r="AD651" s="89"/>
      <c r="AE651" s="18" t="s">
        <v>577</v>
      </c>
      <c r="AF651" s="24"/>
      <c r="AG651" s="24"/>
      <c r="AH651" s="24"/>
      <c r="AI651" s="24"/>
      <c r="AJ651" s="24"/>
      <c r="AK651" s="24"/>
      <c r="AL651" s="24"/>
      <c r="AM651" s="24"/>
    </row>
    <row r="652">
      <c r="A652" s="11"/>
      <c r="B652" s="12" t="s">
        <v>7</v>
      </c>
      <c r="C652" s="12" t="s">
        <v>37</v>
      </c>
      <c r="D652" s="12" t="s">
        <v>38</v>
      </c>
      <c r="E652" s="12" t="s">
        <v>45</v>
      </c>
      <c r="F652" s="13" t="s">
        <v>44</v>
      </c>
      <c r="G652" s="12" t="s">
        <v>68</v>
      </c>
      <c r="H652" s="12" t="s">
        <v>830</v>
      </c>
      <c r="I652" s="12" t="s">
        <v>831</v>
      </c>
      <c r="J652" s="17" t="s">
        <v>73</v>
      </c>
      <c r="K652" s="17" t="s">
        <v>74</v>
      </c>
      <c r="L652" s="17" t="s">
        <v>1806</v>
      </c>
      <c r="M652" s="20">
        <v>45980.0</v>
      </c>
      <c r="N652" s="17" t="s">
        <v>428</v>
      </c>
      <c r="O652" s="88" t="s">
        <v>1519</v>
      </c>
      <c r="P652" s="88" t="s">
        <v>1519</v>
      </c>
      <c r="Q652" s="88" t="s">
        <v>1520</v>
      </c>
      <c r="R652" s="88" t="s">
        <v>1520</v>
      </c>
      <c r="S652" s="88" t="s">
        <v>1519</v>
      </c>
      <c r="T652" s="88" t="s">
        <v>1519</v>
      </c>
      <c r="U652" s="88" t="s">
        <v>1519</v>
      </c>
      <c r="V652" s="88" t="s">
        <v>1519</v>
      </c>
      <c r="W652" s="88" t="s">
        <v>1520</v>
      </c>
      <c r="X652" s="88" t="s">
        <v>1519</v>
      </c>
      <c r="Y652" s="88" t="s">
        <v>1519</v>
      </c>
      <c r="Z652" s="88" t="s">
        <v>1519</v>
      </c>
      <c r="AA652" s="88" t="s">
        <v>1520</v>
      </c>
      <c r="AB652" s="88" t="s">
        <v>1520</v>
      </c>
      <c r="AC652" s="88" t="s">
        <v>1520</v>
      </c>
      <c r="AD652" s="89"/>
      <c r="AE652" s="18" t="s">
        <v>577</v>
      </c>
      <c r="AF652" s="24"/>
      <c r="AG652" s="24"/>
      <c r="AH652" s="24"/>
      <c r="AI652" s="24"/>
      <c r="AJ652" s="24"/>
      <c r="AK652" s="24"/>
      <c r="AL652" s="24"/>
      <c r="AM652" s="24"/>
    </row>
    <row r="653">
      <c r="A653" s="11"/>
      <c r="B653" s="12" t="s">
        <v>7</v>
      </c>
      <c r="C653" s="12" t="s">
        <v>37</v>
      </c>
      <c r="D653" s="12" t="s">
        <v>38</v>
      </c>
      <c r="E653" s="12" t="s">
        <v>45</v>
      </c>
      <c r="F653" s="13" t="s">
        <v>44</v>
      </c>
      <c r="G653" s="12" t="s">
        <v>68</v>
      </c>
      <c r="H653" s="12" t="s">
        <v>830</v>
      </c>
      <c r="I653" s="12" t="s">
        <v>831</v>
      </c>
      <c r="J653" s="17" t="s">
        <v>73</v>
      </c>
      <c r="K653" s="17" t="s">
        <v>74</v>
      </c>
      <c r="L653" s="17" t="s">
        <v>1805</v>
      </c>
      <c r="M653" s="20">
        <v>45980.0</v>
      </c>
      <c r="N653" s="17" t="s">
        <v>428</v>
      </c>
      <c r="O653" s="88" t="s">
        <v>1519</v>
      </c>
      <c r="P653" s="88" t="s">
        <v>1519</v>
      </c>
      <c r="Q653" s="88" t="s">
        <v>1520</v>
      </c>
      <c r="R653" s="88" t="s">
        <v>1520</v>
      </c>
      <c r="S653" s="88" t="s">
        <v>1519</v>
      </c>
      <c r="T653" s="88" t="s">
        <v>1519</v>
      </c>
      <c r="U653" s="88" t="s">
        <v>1519</v>
      </c>
      <c r="V653" s="88" t="s">
        <v>1519</v>
      </c>
      <c r="W653" s="88" t="s">
        <v>1520</v>
      </c>
      <c r="X653" s="88" t="s">
        <v>1519</v>
      </c>
      <c r="Y653" s="88" t="s">
        <v>1519</v>
      </c>
      <c r="Z653" s="88" t="s">
        <v>1519</v>
      </c>
      <c r="AA653" s="88" t="s">
        <v>1520</v>
      </c>
      <c r="AB653" s="88" t="s">
        <v>1520</v>
      </c>
      <c r="AC653" s="88" t="s">
        <v>1520</v>
      </c>
      <c r="AD653" s="89"/>
      <c r="AE653" s="18" t="s">
        <v>577</v>
      </c>
      <c r="AF653" s="24"/>
      <c r="AG653" s="24"/>
      <c r="AH653" s="24"/>
      <c r="AI653" s="24"/>
      <c r="AJ653" s="24"/>
      <c r="AK653" s="24"/>
      <c r="AL653" s="24"/>
      <c r="AM653" s="24"/>
    </row>
    <row r="654">
      <c r="A654" s="11"/>
      <c r="B654" s="12" t="s">
        <v>7</v>
      </c>
      <c r="C654" s="12" t="s">
        <v>37</v>
      </c>
      <c r="D654" s="12" t="s">
        <v>38</v>
      </c>
      <c r="E654" s="12" t="s">
        <v>45</v>
      </c>
      <c r="F654" s="13" t="s">
        <v>44</v>
      </c>
      <c r="G654" s="12" t="s">
        <v>68</v>
      </c>
      <c r="H654" s="12" t="s">
        <v>830</v>
      </c>
      <c r="I654" s="12" t="s">
        <v>831</v>
      </c>
      <c r="J654" s="17" t="s">
        <v>112</v>
      </c>
      <c r="K654" s="17" t="s">
        <v>113</v>
      </c>
      <c r="L654" s="17" t="s">
        <v>2060</v>
      </c>
      <c r="M654" s="20">
        <v>45980.0</v>
      </c>
      <c r="N654" s="17" t="s">
        <v>428</v>
      </c>
      <c r="O654" s="88" t="s">
        <v>1519</v>
      </c>
      <c r="P654" s="88" t="s">
        <v>1519</v>
      </c>
      <c r="Q654" s="88" t="s">
        <v>1520</v>
      </c>
      <c r="R654" s="88" t="s">
        <v>1520</v>
      </c>
      <c r="S654" s="88" t="s">
        <v>1519</v>
      </c>
      <c r="T654" s="88" t="s">
        <v>1519</v>
      </c>
      <c r="U654" s="88" t="s">
        <v>1519</v>
      </c>
      <c r="V654" s="88" t="s">
        <v>1519</v>
      </c>
      <c r="W654" s="88" t="s">
        <v>1520</v>
      </c>
      <c r="X654" s="88" t="s">
        <v>1519</v>
      </c>
      <c r="Y654" s="88" t="s">
        <v>1519</v>
      </c>
      <c r="Z654" s="88" t="s">
        <v>1519</v>
      </c>
      <c r="AA654" s="88" t="s">
        <v>1520</v>
      </c>
      <c r="AB654" s="88" t="s">
        <v>1520</v>
      </c>
      <c r="AC654" s="88" t="s">
        <v>1520</v>
      </c>
      <c r="AD654" s="89"/>
      <c r="AE654" s="18" t="s">
        <v>577</v>
      </c>
      <c r="AF654" s="24"/>
      <c r="AG654" s="24"/>
      <c r="AH654" s="24"/>
      <c r="AI654" s="24"/>
      <c r="AJ654" s="24"/>
      <c r="AK654" s="24"/>
      <c r="AL654" s="24"/>
      <c r="AM654" s="24"/>
    </row>
    <row r="655">
      <c r="A655" s="11"/>
      <c r="B655" s="12" t="s">
        <v>7</v>
      </c>
      <c r="C655" s="12" t="s">
        <v>37</v>
      </c>
      <c r="D655" s="12" t="s">
        <v>38</v>
      </c>
      <c r="E655" s="12" t="s">
        <v>45</v>
      </c>
      <c r="F655" s="13" t="s">
        <v>44</v>
      </c>
      <c r="G655" s="12" t="s">
        <v>68</v>
      </c>
      <c r="H655" s="12" t="s">
        <v>830</v>
      </c>
      <c r="I655" s="12" t="s">
        <v>831</v>
      </c>
      <c r="J655" s="17" t="s">
        <v>112</v>
      </c>
      <c r="K655" s="17" t="s">
        <v>113</v>
      </c>
      <c r="L655" s="17" t="s">
        <v>1818</v>
      </c>
      <c r="M655" s="20">
        <v>45980.0</v>
      </c>
      <c r="N655" s="17" t="s">
        <v>428</v>
      </c>
      <c r="O655" s="88" t="s">
        <v>1519</v>
      </c>
      <c r="P655" s="88" t="s">
        <v>1519</v>
      </c>
      <c r="Q655" s="88" t="s">
        <v>1519</v>
      </c>
      <c r="R655" s="88" t="s">
        <v>1520</v>
      </c>
      <c r="S655" s="88" t="s">
        <v>1519</v>
      </c>
      <c r="T655" s="88" t="s">
        <v>1519</v>
      </c>
      <c r="U655" s="88" t="s">
        <v>1519</v>
      </c>
      <c r="V655" s="88" t="s">
        <v>1519</v>
      </c>
      <c r="W655" s="88" t="s">
        <v>1519</v>
      </c>
      <c r="X655" s="88" t="s">
        <v>1519</v>
      </c>
      <c r="Y655" s="88" t="s">
        <v>1519</v>
      </c>
      <c r="Z655" s="88" t="s">
        <v>1519</v>
      </c>
      <c r="AA655" s="88" t="s">
        <v>1519</v>
      </c>
      <c r="AB655" s="88" t="s">
        <v>1520</v>
      </c>
      <c r="AC655" s="88" t="s">
        <v>1520</v>
      </c>
      <c r="AD655" s="89"/>
      <c r="AE655" s="18" t="s">
        <v>577</v>
      </c>
      <c r="AF655" s="24"/>
      <c r="AG655" s="24"/>
      <c r="AH655" s="24"/>
      <c r="AI655" s="24"/>
      <c r="AJ655" s="24"/>
      <c r="AK655" s="24"/>
      <c r="AL655" s="24"/>
      <c r="AM655" s="24"/>
    </row>
    <row r="656">
      <c r="A656" s="11"/>
      <c r="B656" s="12" t="s">
        <v>7</v>
      </c>
      <c r="C656" s="12" t="s">
        <v>37</v>
      </c>
      <c r="D656" s="12" t="s">
        <v>38</v>
      </c>
      <c r="E656" s="12" t="s">
        <v>45</v>
      </c>
      <c r="F656" s="13" t="s">
        <v>44</v>
      </c>
      <c r="G656" s="12" t="s">
        <v>68</v>
      </c>
      <c r="H656" s="12" t="s">
        <v>830</v>
      </c>
      <c r="I656" s="12" t="s">
        <v>831</v>
      </c>
      <c r="J656" s="17" t="s">
        <v>112</v>
      </c>
      <c r="K656" s="17" t="s">
        <v>113</v>
      </c>
      <c r="L656" s="17" t="s">
        <v>1821</v>
      </c>
      <c r="M656" s="20">
        <v>45980.0</v>
      </c>
      <c r="N656" s="17" t="s">
        <v>428</v>
      </c>
      <c r="O656" s="88" t="s">
        <v>1519</v>
      </c>
      <c r="P656" s="88" t="s">
        <v>1519</v>
      </c>
      <c r="Q656" s="88" t="s">
        <v>1520</v>
      </c>
      <c r="R656" s="88" t="s">
        <v>1520</v>
      </c>
      <c r="S656" s="88" t="s">
        <v>1520</v>
      </c>
      <c r="T656" s="88" t="s">
        <v>1520</v>
      </c>
      <c r="U656" s="88" t="s">
        <v>1519</v>
      </c>
      <c r="V656" s="88" t="s">
        <v>1520</v>
      </c>
      <c r="W656" s="88" t="s">
        <v>1520</v>
      </c>
      <c r="X656" s="88" t="s">
        <v>1520</v>
      </c>
      <c r="Y656" s="88" t="s">
        <v>1520</v>
      </c>
      <c r="Z656" s="88" t="s">
        <v>1520</v>
      </c>
      <c r="AA656" s="88" t="s">
        <v>1520</v>
      </c>
      <c r="AB656" s="88" t="s">
        <v>1520</v>
      </c>
      <c r="AC656" s="88" t="s">
        <v>1520</v>
      </c>
      <c r="AD656" s="89"/>
      <c r="AE656" s="18" t="s">
        <v>577</v>
      </c>
      <c r="AF656" s="24"/>
      <c r="AG656" s="24"/>
      <c r="AH656" s="24"/>
      <c r="AI656" s="24"/>
      <c r="AJ656" s="24"/>
      <c r="AK656" s="24"/>
      <c r="AL656" s="24"/>
      <c r="AM656" s="24"/>
    </row>
    <row r="657">
      <c r="A657" s="11"/>
      <c r="B657" s="12" t="s">
        <v>7</v>
      </c>
      <c r="C657" s="12" t="s">
        <v>37</v>
      </c>
      <c r="D657" s="12" t="s">
        <v>38</v>
      </c>
      <c r="E657" s="12" t="s">
        <v>45</v>
      </c>
      <c r="F657" s="13" t="s">
        <v>44</v>
      </c>
      <c r="G657" s="12" t="s">
        <v>68</v>
      </c>
      <c r="H657" s="12" t="s">
        <v>830</v>
      </c>
      <c r="I657" s="12" t="s">
        <v>831</v>
      </c>
      <c r="J657" s="17" t="s">
        <v>112</v>
      </c>
      <c r="K657" s="17" t="s">
        <v>113</v>
      </c>
      <c r="L657" s="17" t="s">
        <v>1819</v>
      </c>
      <c r="M657" s="20">
        <v>45980.0</v>
      </c>
      <c r="N657" s="17" t="s">
        <v>428</v>
      </c>
      <c r="O657" s="88" t="s">
        <v>1519</v>
      </c>
      <c r="P657" s="88" t="s">
        <v>1519</v>
      </c>
      <c r="Q657" s="88" t="s">
        <v>1519</v>
      </c>
      <c r="R657" s="88" t="s">
        <v>1520</v>
      </c>
      <c r="S657" s="88" t="s">
        <v>1519</v>
      </c>
      <c r="T657" s="88" t="s">
        <v>1519</v>
      </c>
      <c r="U657" s="88" t="s">
        <v>1519</v>
      </c>
      <c r="V657" s="88" t="s">
        <v>1519</v>
      </c>
      <c r="W657" s="88" t="s">
        <v>1519</v>
      </c>
      <c r="X657" s="88" t="s">
        <v>1519</v>
      </c>
      <c r="Y657" s="88" t="s">
        <v>1520</v>
      </c>
      <c r="Z657" s="88" t="s">
        <v>1520</v>
      </c>
      <c r="AA657" s="88" t="s">
        <v>1519</v>
      </c>
      <c r="AB657" s="88" t="s">
        <v>1520</v>
      </c>
      <c r="AC657" s="88" t="s">
        <v>1520</v>
      </c>
      <c r="AD657" s="89"/>
      <c r="AE657" s="18" t="s">
        <v>577</v>
      </c>
      <c r="AF657" s="24"/>
      <c r="AG657" s="24"/>
      <c r="AH657" s="24"/>
      <c r="AI657" s="24"/>
      <c r="AJ657" s="24"/>
      <c r="AK657" s="24"/>
      <c r="AL657" s="24"/>
      <c r="AM657" s="24"/>
    </row>
    <row r="658">
      <c r="A658" s="11"/>
      <c r="B658" s="12" t="s">
        <v>7</v>
      </c>
      <c r="C658" s="12" t="s">
        <v>37</v>
      </c>
      <c r="D658" s="12" t="s">
        <v>38</v>
      </c>
      <c r="E658" s="12" t="s">
        <v>45</v>
      </c>
      <c r="F658" s="13" t="s">
        <v>44</v>
      </c>
      <c r="G658" s="12" t="s">
        <v>68</v>
      </c>
      <c r="H658" s="12" t="s">
        <v>830</v>
      </c>
      <c r="I658" s="12" t="s">
        <v>831</v>
      </c>
      <c r="J658" s="17" t="s">
        <v>112</v>
      </c>
      <c r="K658" s="17" t="s">
        <v>113</v>
      </c>
      <c r="L658" s="17" t="s">
        <v>2061</v>
      </c>
      <c r="M658" s="20">
        <v>45980.0</v>
      </c>
      <c r="N658" s="17" t="s">
        <v>428</v>
      </c>
      <c r="O658" s="88" t="s">
        <v>1519</v>
      </c>
      <c r="P658" s="88" t="s">
        <v>1519</v>
      </c>
      <c r="Q658" s="88" t="s">
        <v>1520</v>
      </c>
      <c r="R658" s="88" t="s">
        <v>1520</v>
      </c>
      <c r="S658" s="88" t="s">
        <v>1520</v>
      </c>
      <c r="T658" s="88" t="s">
        <v>1520</v>
      </c>
      <c r="U658" s="88" t="s">
        <v>1520</v>
      </c>
      <c r="V658" s="88" t="s">
        <v>1520</v>
      </c>
      <c r="W658" s="88" t="s">
        <v>1520</v>
      </c>
      <c r="X658" s="88" t="s">
        <v>1520</v>
      </c>
      <c r="Y658" s="88" t="s">
        <v>1520</v>
      </c>
      <c r="Z658" s="88" t="s">
        <v>1520</v>
      </c>
      <c r="AA658" s="88" t="s">
        <v>1520</v>
      </c>
      <c r="AB658" s="88" t="s">
        <v>1520</v>
      </c>
      <c r="AC658" s="88" t="s">
        <v>1520</v>
      </c>
      <c r="AD658" s="89"/>
      <c r="AE658" s="18" t="s">
        <v>577</v>
      </c>
      <c r="AF658" s="24"/>
      <c r="AG658" s="24"/>
      <c r="AH658" s="24"/>
      <c r="AI658" s="24"/>
      <c r="AJ658" s="24"/>
      <c r="AK658" s="24"/>
      <c r="AL658" s="24"/>
      <c r="AM658" s="24"/>
    </row>
    <row r="659">
      <c r="A659" s="11"/>
      <c r="B659" s="12" t="s">
        <v>7</v>
      </c>
      <c r="C659" s="12" t="s">
        <v>37</v>
      </c>
      <c r="D659" s="12" t="s">
        <v>38</v>
      </c>
      <c r="E659" s="12" t="s">
        <v>45</v>
      </c>
      <c r="F659" s="13" t="s">
        <v>44</v>
      </c>
      <c r="G659" s="12" t="s">
        <v>68</v>
      </c>
      <c r="H659" s="12" t="s">
        <v>830</v>
      </c>
      <c r="I659" s="12" t="s">
        <v>831</v>
      </c>
      <c r="J659" s="17" t="s">
        <v>112</v>
      </c>
      <c r="K659" s="17" t="s">
        <v>113</v>
      </c>
      <c r="L659" s="46" t="s">
        <v>2062</v>
      </c>
      <c r="M659" s="20">
        <v>45980.0</v>
      </c>
      <c r="N659" s="17" t="s">
        <v>428</v>
      </c>
      <c r="O659" s="88" t="s">
        <v>1519</v>
      </c>
      <c r="P659" s="88" t="s">
        <v>1519</v>
      </c>
      <c r="Q659" s="88" t="s">
        <v>1520</v>
      </c>
      <c r="R659" s="88" t="s">
        <v>1520</v>
      </c>
      <c r="S659" s="88" t="s">
        <v>1519</v>
      </c>
      <c r="T659" s="88" t="s">
        <v>1519</v>
      </c>
      <c r="U659" s="88" t="s">
        <v>1519</v>
      </c>
      <c r="V659" s="88" t="s">
        <v>1519</v>
      </c>
      <c r="W659" s="88" t="s">
        <v>1520</v>
      </c>
      <c r="X659" s="88" t="s">
        <v>1519</v>
      </c>
      <c r="Y659" s="88" t="s">
        <v>1519</v>
      </c>
      <c r="Z659" s="88" t="s">
        <v>1519</v>
      </c>
      <c r="AA659" s="88" t="s">
        <v>1520</v>
      </c>
      <c r="AB659" s="88" t="s">
        <v>1520</v>
      </c>
      <c r="AC659" s="88" t="s">
        <v>1520</v>
      </c>
      <c r="AD659" s="89"/>
      <c r="AE659" s="18" t="s">
        <v>577</v>
      </c>
      <c r="AF659" s="24"/>
      <c r="AG659" s="24"/>
      <c r="AH659" s="24"/>
      <c r="AI659" s="24"/>
      <c r="AJ659" s="24"/>
      <c r="AK659" s="24"/>
      <c r="AL659" s="24"/>
      <c r="AM659" s="24"/>
    </row>
    <row r="660">
      <c r="A660" s="11"/>
      <c r="B660" s="12" t="s">
        <v>7</v>
      </c>
      <c r="C660" s="12" t="s">
        <v>37</v>
      </c>
      <c r="D660" s="12" t="s">
        <v>38</v>
      </c>
      <c r="E660" s="12" t="s">
        <v>45</v>
      </c>
      <c r="F660" s="13" t="s">
        <v>44</v>
      </c>
      <c r="G660" s="12" t="s">
        <v>68</v>
      </c>
      <c r="H660" s="12" t="s">
        <v>830</v>
      </c>
      <c r="I660" s="12" t="s">
        <v>831</v>
      </c>
      <c r="J660" s="17" t="s">
        <v>112</v>
      </c>
      <c r="K660" s="17" t="s">
        <v>113</v>
      </c>
      <c r="L660" s="46" t="s">
        <v>1820</v>
      </c>
      <c r="M660" s="20">
        <v>45980.0</v>
      </c>
      <c r="N660" s="17" t="s">
        <v>428</v>
      </c>
      <c r="O660" s="88" t="s">
        <v>1519</v>
      </c>
      <c r="P660" s="88" t="s">
        <v>1519</v>
      </c>
      <c r="Q660" s="88" t="s">
        <v>1520</v>
      </c>
      <c r="R660" s="88" t="s">
        <v>1520</v>
      </c>
      <c r="S660" s="88" t="s">
        <v>1520</v>
      </c>
      <c r="T660" s="88" t="s">
        <v>1520</v>
      </c>
      <c r="U660" s="88" t="s">
        <v>1519</v>
      </c>
      <c r="V660" s="88" t="s">
        <v>1519</v>
      </c>
      <c r="W660" s="88" t="s">
        <v>1520</v>
      </c>
      <c r="X660" s="88" t="s">
        <v>1519</v>
      </c>
      <c r="Y660" s="88" t="s">
        <v>1520</v>
      </c>
      <c r="Z660" s="88" t="s">
        <v>1520</v>
      </c>
      <c r="AA660" s="88" t="s">
        <v>1520</v>
      </c>
      <c r="AB660" s="88" t="s">
        <v>1520</v>
      </c>
      <c r="AC660" s="88" t="s">
        <v>1520</v>
      </c>
      <c r="AD660" s="89"/>
      <c r="AE660" s="18" t="s">
        <v>577</v>
      </c>
      <c r="AF660" s="24"/>
      <c r="AG660" s="24"/>
      <c r="AH660" s="24"/>
      <c r="AI660" s="24"/>
      <c r="AJ660" s="24"/>
      <c r="AK660" s="24"/>
      <c r="AL660" s="24"/>
      <c r="AM660" s="24"/>
    </row>
    <row r="661">
      <c r="A661" s="11"/>
      <c r="B661" s="12" t="s">
        <v>7</v>
      </c>
      <c r="C661" s="12" t="s">
        <v>37</v>
      </c>
      <c r="D661" s="12" t="s">
        <v>38</v>
      </c>
      <c r="E661" s="12" t="s">
        <v>45</v>
      </c>
      <c r="F661" s="13" t="s">
        <v>44</v>
      </c>
      <c r="G661" s="12" t="s">
        <v>68</v>
      </c>
      <c r="H661" s="12" t="s">
        <v>830</v>
      </c>
      <c r="I661" s="12" t="s">
        <v>831</v>
      </c>
      <c r="J661" s="17" t="s">
        <v>108</v>
      </c>
      <c r="K661" s="17" t="s">
        <v>109</v>
      </c>
      <c r="L661" s="17" t="s">
        <v>1828</v>
      </c>
      <c r="M661" s="20">
        <v>45980.0</v>
      </c>
      <c r="N661" s="17" t="s">
        <v>428</v>
      </c>
      <c r="O661" s="88" t="s">
        <v>1519</v>
      </c>
      <c r="P661" s="88" t="s">
        <v>1519</v>
      </c>
      <c r="Q661" s="88" t="s">
        <v>1519</v>
      </c>
      <c r="R661" s="88" t="s">
        <v>1519</v>
      </c>
      <c r="S661" s="88" t="s">
        <v>1519</v>
      </c>
      <c r="T661" s="88" t="s">
        <v>1519</v>
      </c>
      <c r="U661" s="88" t="s">
        <v>1519</v>
      </c>
      <c r="V661" s="88" t="s">
        <v>1519</v>
      </c>
      <c r="W661" s="88" t="s">
        <v>1519</v>
      </c>
      <c r="X661" s="88" t="s">
        <v>1519</v>
      </c>
      <c r="Y661" s="88" t="s">
        <v>1519</v>
      </c>
      <c r="Z661" s="88" t="s">
        <v>1519</v>
      </c>
      <c r="AA661" s="88" t="s">
        <v>1519</v>
      </c>
      <c r="AB661" s="88" t="s">
        <v>1519</v>
      </c>
      <c r="AC661" s="88" t="s">
        <v>1519</v>
      </c>
      <c r="AD661" s="89"/>
      <c r="AE661" s="18" t="s">
        <v>577</v>
      </c>
      <c r="AF661" s="24"/>
      <c r="AG661" s="24"/>
      <c r="AH661" s="24"/>
      <c r="AI661" s="24"/>
      <c r="AJ661" s="24"/>
      <c r="AK661" s="24"/>
      <c r="AL661" s="24"/>
      <c r="AM661" s="24"/>
    </row>
    <row r="662">
      <c r="A662" s="11"/>
      <c r="B662" s="12" t="s">
        <v>7</v>
      </c>
      <c r="C662" s="12" t="s">
        <v>37</v>
      </c>
      <c r="D662" s="12" t="s">
        <v>38</v>
      </c>
      <c r="E662" s="12" t="s">
        <v>45</v>
      </c>
      <c r="F662" s="13" t="s">
        <v>44</v>
      </c>
      <c r="G662" s="12" t="s">
        <v>68</v>
      </c>
      <c r="H662" s="12" t="s">
        <v>830</v>
      </c>
      <c r="I662" s="12" t="s">
        <v>831</v>
      </c>
      <c r="J662" s="17" t="s">
        <v>108</v>
      </c>
      <c r="K662" s="17" t="s">
        <v>109</v>
      </c>
      <c r="L662" s="17" t="s">
        <v>1823</v>
      </c>
      <c r="M662" s="20">
        <v>45980.0</v>
      </c>
      <c r="N662" s="17" t="s">
        <v>428</v>
      </c>
      <c r="O662" s="88" t="s">
        <v>1519</v>
      </c>
      <c r="P662" s="88" t="s">
        <v>1519</v>
      </c>
      <c r="Q662" s="88" t="s">
        <v>1519</v>
      </c>
      <c r="R662" s="88" t="s">
        <v>1519</v>
      </c>
      <c r="S662" s="88" t="s">
        <v>1519</v>
      </c>
      <c r="T662" s="88" t="s">
        <v>1519</v>
      </c>
      <c r="U662" s="88" t="s">
        <v>1519</v>
      </c>
      <c r="V662" s="88" t="s">
        <v>1519</v>
      </c>
      <c r="W662" s="88" t="s">
        <v>1519</v>
      </c>
      <c r="X662" s="88" t="s">
        <v>1519</v>
      </c>
      <c r="Y662" s="88" t="s">
        <v>1520</v>
      </c>
      <c r="Z662" s="88" t="s">
        <v>1520</v>
      </c>
      <c r="AA662" s="88" t="s">
        <v>1519</v>
      </c>
      <c r="AB662" s="88" t="s">
        <v>1519</v>
      </c>
      <c r="AC662" s="88" t="s">
        <v>1519</v>
      </c>
      <c r="AD662" s="89"/>
      <c r="AE662" s="18" t="s">
        <v>577</v>
      </c>
      <c r="AF662" s="24"/>
      <c r="AG662" s="24"/>
      <c r="AH662" s="24"/>
      <c r="AI662" s="24"/>
      <c r="AJ662" s="24"/>
      <c r="AK662" s="24"/>
      <c r="AL662" s="24"/>
      <c r="AM662" s="24"/>
    </row>
    <row r="663">
      <c r="A663" s="11"/>
      <c r="B663" s="12" t="s">
        <v>7</v>
      </c>
      <c r="C663" s="12" t="s">
        <v>37</v>
      </c>
      <c r="D663" s="12" t="s">
        <v>38</v>
      </c>
      <c r="E663" s="12" t="s">
        <v>45</v>
      </c>
      <c r="F663" s="13" t="s">
        <v>44</v>
      </c>
      <c r="G663" s="12" t="s">
        <v>68</v>
      </c>
      <c r="H663" s="12" t="s">
        <v>830</v>
      </c>
      <c r="I663" s="12" t="s">
        <v>831</v>
      </c>
      <c r="J663" s="17" t="s">
        <v>108</v>
      </c>
      <c r="K663" s="17" t="s">
        <v>109</v>
      </c>
      <c r="L663" s="17" t="s">
        <v>1829</v>
      </c>
      <c r="M663" s="20">
        <v>45980.0</v>
      </c>
      <c r="N663" s="17" t="s">
        <v>428</v>
      </c>
      <c r="O663" s="88" t="s">
        <v>1519</v>
      </c>
      <c r="P663" s="88" t="s">
        <v>1519</v>
      </c>
      <c r="Q663" s="88" t="s">
        <v>1520</v>
      </c>
      <c r="R663" s="88" t="s">
        <v>1520</v>
      </c>
      <c r="S663" s="88" t="s">
        <v>1519</v>
      </c>
      <c r="T663" s="88" t="s">
        <v>1519</v>
      </c>
      <c r="U663" s="88" t="s">
        <v>1519</v>
      </c>
      <c r="V663" s="88" t="s">
        <v>1519</v>
      </c>
      <c r="W663" s="88" t="s">
        <v>1519</v>
      </c>
      <c r="X663" s="88" t="s">
        <v>1519</v>
      </c>
      <c r="Y663" s="88" t="s">
        <v>1519</v>
      </c>
      <c r="Z663" s="88" t="s">
        <v>1519</v>
      </c>
      <c r="AA663" s="88" t="s">
        <v>1519</v>
      </c>
      <c r="AB663" s="88" t="s">
        <v>1519</v>
      </c>
      <c r="AC663" s="88" t="s">
        <v>1519</v>
      </c>
      <c r="AD663" s="89"/>
      <c r="AE663" s="18" t="s">
        <v>577</v>
      </c>
      <c r="AF663" s="24"/>
      <c r="AG663" s="24"/>
      <c r="AH663" s="24"/>
      <c r="AI663" s="24"/>
      <c r="AJ663" s="24"/>
      <c r="AK663" s="24"/>
      <c r="AL663" s="24"/>
      <c r="AM663" s="24"/>
    </row>
    <row r="664">
      <c r="A664" s="11"/>
      <c r="B664" s="12" t="s">
        <v>7</v>
      </c>
      <c r="C664" s="12" t="s">
        <v>37</v>
      </c>
      <c r="D664" s="12" t="s">
        <v>38</v>
      </c>
      <c r="E664" s="12" t="s">
        <v>45</v>
      </c>
      <c r="F664" s="13" t="s">
        <v>44</v>
      </c>
      <c r="G664" s="12" t="s">
        <v>68</v>
      </c>
      <c r="H664" s="12" t="s">
        <v>830</v>
      </c>
      <c r="I664" s="12" t="s">
        <v>831</v>
      </c>
      <c r="J664" s="17" t="s">
        <v>108</v>
      </c>
      <c r="K664" s="17" t="s">
        <v>109</v>
      </c>
      <c r="L664" s="17" t="s">
        <v>1830</v>
      </c>
      <c r="M664" s="20">
        <v>45980.0</v>
      </c>
      <c r="N664" s="17" t="s">
        <v>428</v>
      </c>
      <c r="O664" s="88" t="s">
        <v>1519</v>
      </c>
      <c r="P664" s="88" t="s">
        <v>1519</v>
      </c>
      <c r="Q664" s="88" t="s">
        <v>1519</v>
      </c>
      <c r="R664" s="88" t="s">
        <v>1519</v>
      </c>
      <c r="S664" s="88" t="s">
        <v>1519</v>
      </c>
      <c r="T664" s="88" t="s">
        <v>1519</v>
      </c>
      <c r="U664" s="88" t="s">
        <v>1519</v>
      </c>
      <c r="V664" s="88" t="s">
        <v>1519</v>
      </c>
      <c r="W664" s="88" t="s">
        <v>1519</v>
      </c>
      <c r="X664" s="88" t="s">
        <v>1519</v>
      </c>
      <c r="Y664" s="88" t="s">
        <v>1519</v>
      </c>
      <c r="Z664" s="88" t="s">
        <v>1519</v>
      </c>
      <c r="AA664" s="88" t="s">
        <v>1519</v>
      </c>
      <c r="AB664" s="88" t="s">
        <v>1519</v>
      </c>
      <c r="AC664" s="88" t="s">
        <v>1519</v>
      </c>
      <c r="AD664" s="89"/>
      <c r="AE664" s="18" t="s">
        <v>577</v>
      </c>
      <c r="AF664" s="24"/>
      <c r="AG664" s="24"/>
      <c r="AH664" s="24"/>
      <c r="AI664" s="24"/>
      <c r="AJ664" s="24"/>
      <c r="AK664" s="24"/>
      <c r="AL664" s="24"/>
      <c r="AM664" s="24"/>
    </row>
    <row r="665">
      <c r="A665" s="11"/>
      <c r="B665" s="12" t="s">
        <v>7</v>
      </c>
      <c r="C665" s="12" t="s">
        <v>37</v>
      </c>
      <c r="D665" s="12" t="s">
        <v>38</v>
      </c>
      <c r="E665" s="12" t="s">
        <v>45</v>
      </c>
      <c r="F665" s="13" t="s">
        <v>44</v>
      </c>
      <c r="G665" s="12" t="s">
        <v>68</v>
      </c>
      <c r="H665" s="12" t="s">
        <v>830</v>
      </c>
      <c r="I665" s="12" t="s">
        <v>831</v>
      </c>
      <c r="J665" s="17" t="s">
        <v>108</v>
      </c>
      <c r="K665" s="17" t="s">
        <v>109</v>
      </c>
      <c r="L665" s="17" t="s">
        <v>1822</v>
      </c>
      <c r="M665" s="20">
        <v>45980.0</v>
      </c>
      <c r="N665" s="17" t="s">
        <v>428</v>
      </c>
      <c r="O665" s="88" t="s">
        <v>1519</v>
      </c>
      <c r="P665" s="88" t="s">
        <v>1519</v>
      </c>
      <c r="Q665" s="88" t="s">
        <v>1519</v>
      </c>
      <c r="R665" s="88" t="s">
        <v>1519</v>
      </c>
      <c r="S665" s="88" t="s">
        <v>1519</v>
      </c>
      <c r="T665" s="88" t="s">
        <v>1519</v>
      </c>
      <c r="U665" s="88" t="s">
        <v>1519</v>
      </c>
      <c r="V665" s="88" t="s">
        <v>1519</v>
      </c>
      <c r="W665" s="88" t="s">
        <v>1519</v>
      </c>
      <c r="X665" s="88" t="s">
        <v>1519</v>
      </c>
      <c r="Y665" s="88" t="s">
        <v>1519</v>
      </c>
      <c r="Z665" s="88" t="s">
        <v>1519</v>
      </c>
      <c r="AA665" s="88" t="s">
        <v>1519</v>
      </c>
      <c r="AB665" s="88" t="s">
        <v>1519</v>
      </c>
      <c r="AC665" s="88" t="s">
        <v>1519</v>
      </c>
      <c r="AD665" s="89"/>
      <c r="AE665" s="18" t="s">
        <v>577</v>
      </c>
      <c r="AF665" s="24"/>
      <c r="AG665" s="24"/>
      <c r="AH665" s="24"/>
      <c r="AI665" s="24"/>
      <c r="AJ665" s="24"/>
      <c r="AK665" s="24"/>
      <c r="AL665" s="24"/>
      <c r="AM665" s="24"/>
    </row>
    <row r="666">
      <c r="A666" s="11"/>
      <c r="B666" s="12" t="s">
        <v>7</v>
      </c>
      <c r="C666" s="12" t="s">
        <v>37</v>
      </c>
      <c r="D666" s="12" t="s">
        <v>38</v>
      </c>
      <c r="E666" s="12" t="s">
        <v>45</v>
      </c>
      <c r="F666" s="13" t="s">
        <v>44</v>
      </c>
      <c r="G666" s="12" t="s">
        <v>68</v>
      </c>
      <c r="H666" s="12" t="s">
        <v>830</v>
      </c>
      <c r="I666" s="12" t="s">
        <v>831</v>
      </c>
      <c r="J666" s="17" t="s">
        <v>108</v>
      </c>
      <c r="K666" s="17" t="s">
        <v>109</v>
      </c>
      <c r="L666" s="17" t="s">
        <v>2063</v>
      </c>
      <c r="M666" s="20">
        <v>45980.0</v>
      </c>
      <c r="N666" s="17" t="s">
        <v>428</v>
      </c>
      <c r="O666" s="88" t="s">
        <v>1519</v>
      </c>
      <c r="P666" s="88" t="s">
        <v>1519</v>
      </c>
      <c r="Q666" s="88" t="s">
        <v>1520</v>
      </c>
      <c r="R666" s="88" t="s">
        <v>1520</v>
      </c>
      <c r="S666" s="88" t="s">
        <v>1520</v>
      </c>
      <c r="T666" s="88" t="s">
        <v>1520</v>
      </c>
      <c r="U666" s="88" t="s">
        <v>1520</v>
      </c>
      <c r="V666" s="88" t="s">
        <v>1520</v>
      </c>
      <c r="W666" s="88" t="s">
        <v>1520</v>
      </c>
      <c r="X666" s="88" t="s">
        <v>1520</v>
      </c>
      <c r="Y666" s="88" t="s">
        <v>1520</v>
      </c>
      <c r="Z666" s="88" t="s">
        <v>1520</v>
      </c>
      <c r="AA666" s="88" t="s">
        <v>1520</v>
      </c>
      <c r="AB666" s="88" t="s">
        <v>1520</v>
      </c>
      <c r="AC666" s="88" t="s">
        <v>1520</v>
      </c>
      <c r="AD666" s="89"/>
      <c r="AE666" s="18" t="s">
        <v>577</v>
      </c>
      <c r="AF666" s="24"/>
      <c r="AG666" s="24"/>
      <c r="AH666" s="24"/>
      <c r="AI666" s="24"/>
      <c r="AJ666" s="24"/>
      <c r="AK666" s="24"/>
      <c r="AL666" s="24"/>
      <c r="AM666" s="24"/>
    </row>
    <row r="667">
      <c r="A667" s="11"/>
      <c r="B667" s="12" t="s">
        <v>7</v>
      </c>
      <c r="C667" s="12" t="s">
        <v>37</v>
      </c>
      <c r="D667" s="12" t="s">
        <v>38</v>
      </c>
      <c r="E667" s="12" t="s">
        <v>45</v>
      </c>
      <c r="F667" s="13" t="s">
        <v>44</v>
      </c>
      <c r="G667" s="12" t="s">
        <v>68</v>
      </c>
      <c r="H667" s="12" t="s">
        <v>830</v>
      </c>
      <c r="I667" s="12" t="s">
        <v>831</v>
      </c>
      <c r="J667" s="17" t="s">
        <v>108</v>
      </c>
      <c r="K667" s="17" t="s">
        <v>109</v>
      </c>
      <c r="L667" s="17" t="s">
        <v>1825</v>
      </c>
      <c r="M667" s="20">
        <v>45980.0</v>
      </c>
      <c r="N667" s="17" t="s">
        <v>428</v>
      </c>
      <c r="O667" s="88" t="s">
        <v>1519</v>
      </c>
      <c r="P667" s="88" t="s">
        <v>1519</v>
      </c>
      <c r="Q667" s="88" t="s">
        <v>1519</v>
      </c>
      <c r="R667" s="88" t="s">
        <v>1519</v>
      </c>
      <c r="S667" s="88" t="s">
        <v>1520</v>
      </c>
      <c r="T667" s="88" t="s">
        <v>1520</v>
      </c>
      <c r="U667" s="88" t="s">
        <v>1519</v>
      </c>
      <c r="V667" s="88" t="s">
        <v>1519</v>
      </c>
      <c r="W667" s="88" t="s">
        <v>1519</v>
      </c>
      <c r="X667" s="88" t="s">
        <v>1519</v>
      </c>
      <c r="Y667" s="88" t="s">
        <v>1520</v>
      </c>
      <c r="Z667" s="88" t="s">
        <v>1520</v>
      </c>
      <c r="AA667" s="88" t="s">
        <v>1519</v>
      </c>
      <c r="AB667" s="88" t="s">
        <v>1520</v>
      </c>
      <c r="AC667" s="88" t="s">
        <v>1520</v>
      </c>
      <c r="AD667" s="89"/>
      <c r="AE667" s="18" t="s">
        <v>577</v>
      </c>
      <c r="AF667" s="24"/>
      <c r="AG667" s="24"/>
      <c r="AH667" s="24"/>
      <c r="AI667" s="24"/>
      <c r="AJ667" s="24"/>
      <c r="AK667" s="24"/>
      <c r="AL667" s="24"/>
      <c r="AM667" s="24"/>
    </row>
    <row r="668">
      <c r="A668" s="11"/>
      <c r="B668" s="12" t="s">
        <v>7</v>
      </c>
      <c r="C668" s="12" t="s">
        <v>8</v>
      </c>
      <c r="D668" s="12" t="s">
        <v>24</v>
      </c>
      <c r="E668" s="12" t="s">
        <v>35</v>
      </c>
      <c r="F668" s="13" t="s">
        <v>33</v>
      </c>
      <c r="G668" s="12" t="s">
        <v>68</v>
      </c>
      <c r="H668" s="12" t="s">
        <v>813</v>
      </c>
      <c r="I668" s="12" t="s">
        <v>814</v>
      </c>
      <c r="J668" s="17" t="s">
        <v>73</v>
      </c>
      <c r="K668" s="17" t="s">
        <v>1797</v>
      </c>
      <c r="L668" s="17" t="s">
        <v>1801</v>
      </c>
      <c r="M668" s="20">
        <v>45982.0</v>
      </c>
      <c r="N668" s="17" t="s">
        <v>428</v>
      </c>
      <c r="O668" s="88" t="s">
        <v>1519</v>
      </c>
      <c r="P668" s="88" t="s">
        <v>1519</v>
      </c>
      <c r="Q668" s="88" t="s">
        <v>1521</v>
      </c>
      <c r="R668" s="88" t="s">
        <v>1521</v>
      </c>
      <c r="S668" s="88" t="s">
        <v>1520</v>
      </c>
      <c r="T668" s="88" t="s">
        <v>1520</v>
      </c>
      <c r="U668" s="88" t="s">
        <v>1520</v>
      </c>
      <c r="V668" s="88" t="s">
        <v>1521</v>
      </c>
      <c r="W668" s="88" t="s">
        <v>1521</v>
      </c>
      <c r="X668" s="88" t="s">
        <v>1519</v>
      </c>
      <c r="Y668" s="88" t="s">
        <v>1519</v>
      </c>
      <c r="Z668" s="88" t="s">
        <v>1519</v>
      </c>
      <c r="AA668" s="88" t="s">
        <v>1520</v>
      </c>
      <c r="AB668" s="88" t="s">
        <v>1521</v>
      </c>
      <c r="AC668" s="88" t="s">
        <v>1521</v>
      </c>
      <c r="AD668" s="93" t="s">
        <v>2064</v>
      </c>
      <c r="AE668" s="18" t="s">
        <v>577</v>
      </c>
      <c r="AF668" s="24"/>
      <c r="AG668" s="24"/>
      <c r="AH668" s="24"/>
      <c r="AI668" s="24"/>
      <c r="AJ668" s="24"/>
      <c r="AK668" s="24"/>
      <c r="AL668" s="24"/>
      <c r="AM668" s="24"/>
    </row>
    <row r="669">
      <c r="A669" s="11"/>
      <c r="B669" s="12" t="s">
        <v>7</v>
      </c>
      <c r="C669" s="12" t="s">
        <v>8</v>
      </c>
      <c r="D669" s="12" t="s">
        <v>24</v>
      </c>
      <c r="E669" s="12" t="s">
        <v>35</v>
      </c>
      <c r="F669" s="13" t="s">
        <v>33</v>
      </c>
      <c r="G669" s="12" t="s">
        <v>68</v>
      </c>
      <c r="H669" s="12" t="s">
        <v>813</v>
      </c>
      <c r="I669" s="12" t="s">
        <v>814</v>
      </c>
      <c r="J669" s="17" t="s">
        <v>112</v>
      </c>
      <c r="K669" s="17" t="s">
        <v>1797</v>
      </c>
      <c r="L669" s="17" t="s">
        <v>1799</v>
      </c>
      <c r="M669" s="20">
        <v>45982.0</v>
      </c>
      <c r="N669" s="17" t="s">
        <v>428</v>
      </c>
      <c r="O669" s="88" t="s">
        <v>1519</v>
      </c>
      <c r="P669" s="88" t="s">
        <v>1519</v>
      </c>
      <c r="Q669" s="88" t="s">
        <v>1519</v>
      </c>
      <c r="R669" s="88" t="s">
        <v>1520</v>
      </c>
      <c r="S669" s="88" t="s">
        <v>1519</v>
      </c>
      <c r="T669" s="88" t="s">
        <v>1519</v>
      </c>
      <c r="U669" s="88" t="s">
        <v>1519</v>
      </c>
      <c r="V669" s="88" t="s">
        <v>1519</v>
      </c>
      <c r="W669" s="88" t="s">
        <v>1519</v>
      </c>
      <c r="X669" s="88" t="s">
        <v>1519</v>
      </c>
      <c r="Y669" s="88" t="s">
        <v>1520</v>
      </c>
      <c r="Z669" s="88" t="s">
        <v>1520</v>
      </c>
      <c r="AA669" s="88" t="s">
        <v>1519</v>
      </c>
      <c r="AB669" s="88" t="s">
        <v>1520</v>
      </c>
      <c r="AC669" s="88" t="s">
        <v>1520</v>
      </c>
      <c r="AD669" s="89"/>
      <c r="AE669" s="18" t="s">
        <v>577</v>
      </c>
      <c r="AF669" s="24"/>
      <c r="AG669" s="24"/>
      <c r="AH669" s="24"/>
      <c r="AI669" s="24"/>
      <c r="AJ669" s="24"/>
      <c r="AK669" s="24"/>
      <c r="AL669" s="24"/>
      <c r="AM669" s="24"/>
    </row>
    <row r="670">
      <c r="A670" s="11"/>
      <c r="B670" s="12" t="s">
        <v>7</v>
      </c>
      <c r="C670" s="12" t="s">
        <v>8</v>
      </c>
      <c r="D670" s="12" t="s">
        <v>24</v>
      </c>
      <c r="E670" s="12" t="s">
        <v>35</v>
      </c>
      <c r="F670" s="13" t="s">
        <v>33</v>
      </c>
      <c r="G670" s="12" t="s">
        <v>68</v>
      </c>
      <c r="H670" s="12" t="s">
        <v>813</v>
      </c>
      <c r="I670" s="12" t="s">
        <v>814</v>
      </c>
      <c r="J670" s="17" t="s">
        <v>112</v>
      </c>
      <c r="K670" s="17" t="s">
        <v>1797</v>
      </c>
      <c r="L670" s="17" t="s">
        <v>1798</v>
      </c>
      <c r="M670" s="20">
        <v>45982.0</v>
      </c>
      <c r="N670" s="17" t="s">
        <v>428</v>
      </c>
      <c r="O670" s="88" t="s">
        <v>1519</v>
      </c>
      <c r="P670" s="88" t="s">
        <v>1519</v>
      </c>
      <c r="Q670" s="88" t="s">
        <v>1520</v>
      </c>
      <c r="R670" s="88" t="s">
        <v>1520</v>
      </c>
      <c r="S670" s="88" t="s">
        <v>1520</v>
      </c>
      <c r="T670" s="88" t="s">
        <v>1520</v>
      </c>
      <c r="U670" s="88" t="s">
        <v>1520</v>
      </c>
      <c r="V670" s="88" t="s">
        <v>1520</v>
      </c>
      <c r="W670" s="88" t="s">
        <v>1520</v>
      </c>
      <c r="X670" s="88" t="s">
        <v>1521</v>
      </c>
      <c r="Y670" s="88" t="s">
        <v>1521</v>
      </c>
      <c r="Z670" s="88" t="s">
        <v>1521</v>
      </c>
      <c r="AA670" s="88" t="s">
        <v>1520</v>
      </c>
      <c r="AB670" s="88" t="s">
        <v>1520</v>
      </c>
      <c r="AC670" s="88" t="s">
        <v>1520</v>
      </c>
      <c r="AD670" s="89"/>
      <c r="AE670" s="18" t="s">
        <v>577</v>
      </c>
      <c r="AF670" s="24"/>
      <c r="AG670" s="24"/>
      <c r="AH670" s="24"/>
      <c r="AI670" s="24"/>
      <c r="AJ670" s="24"/>
      <c r="AK670" s="24"/>
      <c r="AL670" s="24"/>
      <c r="AM670" s="24"/>
    </row>
    <row r="671">
      <c r="A671" s="11"/>
      <c r="B671" s="12" t="s">
        <v>7</v>
      </c>
      <c r="C671" s="12" t="s">
        <v>8</v>
      </c>
      <c r="D671" s="12" t="s">
        <v>24</v>
      </c>
      <c r="E671" s="12" t="s">
        <v>35</v>
      </c>
      <c r="F671" s="13" t="s">
        <v>33</v>
      </c>
      <c r="G671" s="12" t="s">
        <v>68</v>
      </c>
      <c r="H671" s="12" t="s">
        <v>813</v>
      </c>
      <c r="I671" s="12" t="s">
        <v>814</v>
      </c>
      <c r="J671" s="17" t="s">
        <v>112</v>
      </c>
      <c r="K671" s="17" t="s">
        <v>1797</v>
      </c>
      <c r="L671" s="17" t="s">
        <v>1800</v>
      </c>
      <c r="M671" s="20">
        <v>45982.0</v>
      </c>
      <c r="N671" s="17" t="s">
        <v>428</v>
      </c>
      <c r="O671" s="88" t="s">
        <v>1519</v>
      </c>
      <c r="P671" s="88" t="s">
        <v>1519</v>
      </c>
      <c r="Q671" s="88" t="s">
        <v>1519</v>
      </c>
      <c r="R671" s="88" t="s">
        <v>1520</v>
      </c>
      <c r="S671" s="88" t="s">
        <v>1519</v>
      </c>
      <c r="T671" s="88" t="s">
        <v>1519</v>
      </c>
      <c r="U671" s="88" t="s">
        <v>1519</v>
      </c>
      <c r="V671" s="88" t="s">
        <v>1519</v>
      </c>
      <c r="W671" s="88" t="s">
        <v>1520</v>
      </c>
      <c r="X671" s="88" t="s">
        <v>1521</v>
      </c>
      <c r="Y671" s="88" t="s">
        <v>1521</v>
      </c>
      <c r="Z671" s="88" t="s">
        <v>1521</v>
      </c>
      <c r="AA671" s="88" t="s">
        <v>1519</v>
      </c>
      <c r="AB671" s="88" t="s">
        <v>1520</v>
      </c>
      <c r="AC671" s="88" t="s">
        <v>1520</v>
      </c>
      <c r="AD671" s="89"/>
      <c r="AE671" s="18" t="s">
        <v>577</v>
      </c>
      <c r="AF671" s="24"/>
      <c r="AG671" s="24"/>
      <c r="AH671" s="24"/>
      <c r="AI671" s="24"/>
      <c r="AJ671" s="24"/>
      <c r="AK671" s="24"/>
      <c r="AL671" s="24"/>
      <c r="AM671" s="24"/>
    </row>
    <row r="672">
      <c r="A672" s="11"/>
      <c r="B672" s="12" t="s">
        <v>7</v>
      </c>
      <c r="C672" s="12" t="s">
        <v>8</v>
      </c>
      <c r="D672" s="12" t="s">
        <v>24</v>
      </c>
      <c r="E672" s="12" t="s">
        <v>35</v>
      </c>
      <c r="F672" s="13" t="s">
        <v>33</v>
      </c>
      <c r="G672" s="12" t="s">
        <v>68</v>
      </c>
      <c r="H672" s="12" t="s">
        <v>813</v>
      </c>
      <c r="I672" s="12" t="s">
        <v>814</v>
      </c>
      <c r="J672" s="17" t="s">
        <v>108</v>
      </c>
      <c r="K672" s="17" t="s">
        <v>109</v>
      </c>
      <c r="L672" s="17" t="s">
        <v>1796</v>
      </c>
      <c r="M672" s="20">
        <v>45982.0</v>
      </c>
      <c r="N672" s="17" t="s">
        <v>428</v>
      </c>
      <c r="O672" s="88" t="s">
        <v>1519</v>
      </c>
      <c r="P672" s="88" t="s">
        <v>1519</v>
      </c>
      <c r="Q672" s="88" t="s">
        <v>1519</v>
      </c>
      <c r="R672" s="88" t="s">
        <v>1520</v>
      </c>
      <c r="S672" s="88" t="s">
        <v>1520</v>
      </c>
      <c r="T672" s="88" t="s">
        <v>1520</v>
      </c>
      <c r="U672" s="88" t="s">
        <v>1519</v>
      </c>
      <c r="V672" s="88" t="s">
        <v>1519</v>
      </c>
      <c r="W672" s="88" t="s">
        <v>1520</v>
      </c>
      <c r="X672" s="88" t="s">
        <v>1520</v>
      </c>
      <c r="Y672" s="88" t="s">
        <v>1520</v>
      </c>
      <c r="Z672" s="88" t="s">
        <v>1520</v>
      </c>
      <c r="AA672" s="88" t="s">
        <v>1520</v>
      </c>
      <c r="AB672" s="88" t="s">
        <v>1520</v>
      </c>
      <c r="AC672" s="88" t="s">
        <v>1520</v>
      </c>
      <c r="AD672" s="89"/>
      <c r="AE672" s="18" t="s">
        <v>577</v>
      </c>
      <c r="AF672" s="24"/>
      <c r="AG672" s="24"/>
      <c r="AH672" s="24"/>
      <c r="AI672" s="24"/>
      <c r="AJ672" s="24"/>
      <c r="AK672" s="24"/>
      <c r="AL672" s="24"/>
      <c r="AM672" s="24"/>
    </row>
    <row r="673">
      <c r="A673" s="11"/>
      <c r="B673" s="12" t="s">
        <v>7</v>
      </c>
      <c r="C673" s="12" t="s">
        <v>8</v>
      </c>
      <c r="D673" s="12" t="s">
        <v>24</v>
      </c>
      <c r="E673" s="12" t="s">
        <v>35</v>
      </c>
      <c r="F673" s="13" t="s">
        <v>33</v>
      </c>
      <c r="G673" s="12" t="s">
        <v>68</v>
      </c>
      <c r="H673" s="12" t="s">
        <v>813</v>
      </c>
      <c r="I673" s="12" t="s">
        <v>814</v>
      </c>
      <c r="J673" s="17" t="s">
        <v>108</v>
      </c>
      <c r="K673" s="17" t="s">
        <v>109</v>
      </c>
      <c r="L673" s="17" t="s">
        <v>1803</v>
      </c>
      <c r="M673" s="20">
        <v>45982.0</v>
      </c>
      <c r="N673" s="17" t="s">
        <v>428</v>
      </c>
      <c r="O673" s="88" t="s">
        <v>1519</v>
      </c>
      <c r="P673" s="88" t="s">
        <v>1519</v>
      </c>
      <c r="Q673" s="88" t="s">
        <v>1519</v>
      </c>
      <c r="R673" s="88" t="s">
        <v>1520</v>
      </c>
      <c r="S673" s="88" t="s">
        <v>1519</v>
      </c>
      <c r="T673" s="88" t="s">
        <v>1519</v>
      </c>
      <c r="U673" s="88" t="s">
        <v>1519</v>
      </c>
      <c r="V673" s="88" t="s">
        <v>1519</v>
      </c>
      <c r="W673" s="88" t="s">
        <v>1520</v>
      </c>
      <c r="X673" s="88" t="s">
        <v>1519</v>
      </c>
      <c r="Y673" s="88" t="s">
        <v>1519</v>
      </c>
      <c r="Z673" s="88" t="s">
        <v>1520</v>
      </c>
      <c r="AA673" s="88" t="s">
        <v>1520</v>
      </c>
      <c r="AB673" s="88" t="s">
        <v>1520</v>
      </c>
      <c r="AC673" s="88" t="s">
        <v>1520</v>
      </c>
      <c r="AD673" s="89"/>
      <c r="AE673" s="18" t="s">
        <v>577</v>
      </c>
      <c r="AF673" s="24"/>
      <c r="AG673" s="24"/>
      <c r="AH673" s="24"/>
      <c r="AI673" s="24"/>
      <c r="AJ673" s="24"/>
      <c r="AK673" s="24"/>
      <c r="AL673" s="24"/>
      <c r="AM673" s="24"/>
    </row>
    <row r="674">
      <c r="A674" s="11"/>
      <c r="B674" s="12" t="s">
        <v>7</v>
      </c>
      <c r="C674" s="12" t="s">
        <v>8</v>
      </c>
      <c r="D674" s="12" t="s">
        <v>24</v>
      </c>
      <c r="E674" s="12" t="s">
        <v>25</v>
      </c>
      <c r="F674" s="13" t="s">
        <v>26</v>
      </c>
      <c r="G674" s="12" t="s">
        <v>68</v>
      </c>
      <c r="H674" s="12" t="s">
        <v>994</v>
      </c>
      <c r="I674" s="12" t="s">
        <v>995</v>
      </c>
      <c r="J674" s="17" t="s">
        <v>73</v>
      </c>
      <c r="K674" s="17" t="s">
        <v>2004</v>
      </c>
      <c r="L674" s="17" t="s">
        <v>2065</v>
      </c>
      <c r="M674" s="20">
        <v>45985.0</v>
      </c>
      <c r="N674" s="17" t="s">
        <v>428</v>
      </c>
      <c r="O674" s="88" t="s">
        <v>1519</v>
      </c>
      <c r="P674" s="88" t="s">
        <v>1519</v>
      </c>
      <c r="Q674" s="88" t="s">
        <v>1520</v>
      </c>
      <c r="R674" s="88" t="s">
        <v>1520</v>
      </c>
      <c r="S674" s="88" t="s">
        <v>1519</v>
      </c>
      <c r="T674" s="88" t="s">
        <v>1519</v>
      </c>
      <c r="U674" s="88" t="s">
        <v>1519</v>
      </c>
      <c r="V674" s="88" t="s">
        <v>1519</v>
      </c>
      <c r="W674" s="88" t="s">
        <v>1520</v>
      </c>
      <c r="X674" s="88" t="s">
        <v>1519</v>
      </c>
      <c r="Y674" s="88" t="s">
        <v>1520</v>
      </c>
      <c r="Z674" s="88" t="s">
        <v>1520</v>
      </c>
      <c r="AA674" s="88" t="s">
        <v>1519</v>
      </c>
      <c r="AB674" s="88" t="s">
        <v>1520</v>
      </c>
      <c r="AC674" s="88" t="s">
        <v>1520</v>
      </c>
      <c r="AD674" s="89"/>
      <c r="AE674" s="18" t="s">
        <v>577</v>
      </c>
      <c r="AF674" s="24"/>
      <c r="AG674" s="24"/>
      <c r="AH674" s="24"/>
      <c r="AI674" s="24"/>
      <c r="AJ674" s="24"/>
      <c r="AK674" s="24"/>
      <c r="AL674" s="24"/>
      <c r="AM674" s="24"/>
    </row>
    <row r="675">
      <c r="A675" s="11"/>
      <c r="B675" s="12" t="s">
        <v>7</v>
      </c>
      <c r="C675" s="12" t="s">
        <v>8</v>
      </c>
      <c r="D675" s="12" t="s">
        <v>24</v>
      </c>
      <c r="E675" s="12" t="s">
        <v>25</v>
      </c>
      <c r="F675" s="13" t="s">
        <v>26</v>
      </c>
      <c r="G675" s="12" t="s">
        <v>68</v>
      </c>
      <c r="H675" s="12" t="s">
        <v>994</v>
      </c>
      <c r="I675" s="12" t="s">
        <v>995</v>
      </c>
      <c r="J675" s="17" t="s">
        <v>73</v>
      </c>
      <c r="K675" s="17" t="s">
        <v>2004</v>
      </c>
      <c r="L675" s="17" t="s">
        <v>2066</v>
      </c>
      <c r="M675" s="20">
        <v>45985.0</v>
      </c>
      <c r="N675" s="17" t="s">
        <v>428</v>
      </c>
      <c r="O675" s="88" t="s">
        <v>1519</v>
      </c>
      <c r="P675" s="88" t="s">
        <v>1519</v>
      </c>
      <c r="Q675" s="88" t="s">
        <v>1520</v>
      </c>
      <c r="R675" s="88" t="s">
        <v>1520</v>
      </c>
      <c r="S675" s="88" t="s">
        <v>1519</v>
      </c>
      <c r="T675" s="88" t="s">
        <v>1519</v>
      </c>
      <c r="U675" s="88" t="s">
        <v>1519</v>
      </c>
      <c r="V675" s="88" t="s">
        <v>1519</v>
      </c>
      <c r="W675" s="88" t="s">
        <v>1520</v>
      </c>
      <c r="X675" s="88" t="s">
        <v>1520</v>
      </c>
      <c r="Y675" s="88" t="s">
        <v>1520</v>
      </c>
      <c r="Z675" s="88" t="s">
        <v>1520</v>
      </c>
      <c r="AA675" s="88" t="s">
        <v>1520</v>
      </c>
      <c r="AB675" s="88" t="s">
        <v>1520</v>
      </c>
      <c r="AC675" s="88" t="s">
        <v>1520</v>
      </c>
      <c r="AD675" s="89"/>
      <c r="AE675" s="18" t="s">
        <v>577</v>
      </c>
      <c r="AF675" s="24"/>
      <c r="AG675" s="24"/>
      <c r="AH675" s="24"/>
      <c r="AI675" s="24"/>
      <c r="AJ675" s="24"/>
      <c r="AK675" s="24"/>
      <c r="AL675" s="24"/>
      <c r="AM675" s="24"/>
    </row>
    <row r="676">
      <c r="A676" s="11"/>
      <c r="B676" s="12" t="s">
        <v>7</v>
      </c>
      <c r="C676" s="12" t="s">
        <v>8</v>
      </c>
      <c r="D676" s="12" t="s">
        <v>24</v>
      </c>
      <c r="E676" s="12" t="s">
        <v>25</v>
      </c>
      <c r="F676" s="13" t="s">
        <v>26</v>
      </c>
      <c r="G676" s="12" t="s">
        <v>68</v>
      </c>
      <c r="H676" s="12" t="s">
        <v>994</v>
      </c>
      <c r="I676" s="12" t="s">
        <v>995</v>
      </c>
      <c r="J676" s="17" t="s">
        <v>73</v>
      </c>
      <c r="K676" s="17" t="s">
        <v>2004</v>
      </c>
      <c r="L676" s="17" t="s">
        <v>2005</v>
      </c>
      <c r="M676" s="20">
        <v>45985.0</v>
      </c>
      <c r="N676" s="17" t="s">
        <v>428</v>
      </c>
      <c r="O676" s="88" t="s">
        <v>1519</v>
      </c>
      <c r="P676" s="88" t="s">
        <v>1519</v>
      </c>
      <c r="Q676" s="88" t="s">
        <v>1520</v>
      </c>
      <c r="R676" s="88" t="s">
        <v>1520</v>
      </c>
      <c r="S676" s="88" t="s">
        <v>1519</v>
      </c>
      <c r="T676" s="88" t="s">
        <v>1519</v>
      </c>
      <c r="U676" s="88" t="s">
        <v>1519</v>
      </c>
      <c r="V676" s="88" t="s">
        <v>1519</v>
      </c>
      <c r="W676" s="88" t="s">
        <v>1520</v>
      </c>
      <c r="X676" s="88" t="s">
        <v>1520</v>
      </c>
      <c r="Y676" s="88" t="s">
        <v>1520</v>
      </c>
      <c r="Z676" s="88" t="s">
        <v>1520</v>
      </c>
      <c r="AA676" s="88" t="s">
        <v>1520</v>
      </c>
      <c r="AB676" s="88" t="s">
        <v>1520</v>
      </c>
      <c r="AC676" s="88" t="s">
        <v>1520</v>
      </c>
      <c r="AD676" s="89"/>
      <c r="AE676" s="18" t="s">
        <v>577</v>
      </c>
      <c r="AF676" s="24"/>
      <c r="AG676" s="24"/>
      <c r="AH676" s="24"/>
      <c r="AI676" s="24"/>
      <c r="AJ676" s="24"/>
      <c r="AK676" s="24"/>
      <c r="AL676" s="24"/>
      <c r="AM676" s="24"/>
    </row>
    <row r="677">
      <c r="A677" s="11"/>
      <c r="B677" s="12" t="s">
        <v>7</v>
      </c>
      <c r="C677" s="12" t="s">
        <v>8</v>
      </c>
      <c r="D677" s="12" t="s">
        <v>24</v>
      </c>
      <c r="E677" s="12" t="s">
        <v>25</v>
      </c>
      <c r="F677" s="13" t="s">
        <v>26</v>
      </c>
      <c r="G677" s="12" t="s">
        <v>68</v>
      </c>
      <c r="H677" s="12" t="s">
        <v>994</v>
      </c>
      <c r="I677" s="12" t="s">
        <v>995</v>
      </c>
      <c r="J677" s="17" t="s">
        <v>73</v>
      </c>
      <c r="K677" s="17" t="s">
        <v>2004</v>
      </c>
      <c r="L677" s="17" t="s">
        <v>2011</v>
      </c>
      <c r="M677" s="20">
        <v>45985.0</v>
      </c>
      <c r="N677" s="17" t="s">
        <v>428</v>
      </c>
      <c r="O677" s="88" t="s">
        <v>1519</v>
      </c>
      <c r="P677" s="88" t="s">
        <v>1519</v>
      </c>
      <c r="Q677" s="88" t="s">
        <v>1520</v>
      </c>
      <c r="R677" s="88" t="s">
        <v>1520</v>
      </c>
      <c r="S677" s="88" t="s">
        <v>1519</v>
      </c>
      <c r="T677" s="88" t="s">
        <v>1519</v>
      </c>
      <c r="U677" s="88" t="s">
        <v>1519</v>
      </c>
      <c r="V677" s="88" t="s">
        <v>1519</v>
      </c>
      <c r="W677" s="88" t="s">
        <v>1520</v>
      </c>
      <c r="X677" s="88" t="s">
        <v>1519</v>
      </c>
      <c r="Y677" s="88" t="s">
        <v>1519</v>
      </c>
      <c r="Z677" s="88" t="s">
        <v>1519</v>
      </c>
      <c r="AA677" s="88" t="s">
        <v>1520</v>
      </c>
      <c r="AB677" s="88" t="s">
        <v>1520</v>
      </c>
      <c r="AC677" s="88" t="s">
        <v>1520</v>
      </c>
      <c r="AD677" s="89"/>
      <c r="AE677" s="18" t="s">
        <v>577</v>
      </c>
      <c r="AF677" s="24"/>
      <c r="AG677" s="24"/>
      <c r="AH677" s="24"/>
      <c r="AI677" s="24"/>
      <c r="AJ677" s="24"/>
      <c r="AK677" s="24"/>
      <c r="AL677" s="24"/>
      <c r="AM677" s="24"/>
    </row>
    <row r="678">
      <c r="A678" s="11"/>
      <c r="B678" s="12" t="s">
        <v>7</v>
      </c>
      <c r="C678" s="12" t="s">
        <v>8</v>
      </c>
      <c r="D678" s="12" t="s">
        <v>24</v>
      </c>
      <c r="E678" s="12" t="s">
        <v>25</v>
      </c>
      <c r="F678" s="13" t="s">
        <v>26</v>
      </c>
      <c r="G678" s="12" t="s">
        <v>68</v>
      </c>
      <c r="H678" s="12" t="s">
        <v>994</v>
      </c>
      <c r="I678" s="12" t="s">
        <v>995</v>
      </c>
      <c r="J678" s="17" t="s">
        <v>73</v>
      </c>
      <c r="K678" s="17" t="s">
        <v>2004</v>
      </c>
      <c r="L678" s="17" t="s">
        <v>2014</v>
      </c>
      <c r="M678" s="20">
        <v>45985.0</v>
      </c>
      <c r="N678" s="17" t="s">
        <v>428</v>
      </c>
      <c r="O678" s="88" t="s">
        <v>1519</v>
      </c>
      <c r="P678" s="88" t="s">
        <v>1519</v>
      </c>
      <c r="Q678" s="88" t="s">
        <v>1520</v>
      </c>
      <c r="R678" s="88" t="s">
        <v>1520</v>
      </c>
      <c r="S678" s="88" t="s">
        <v>1519</v>
      </c>
      <c r="T678" s="88" t="s">
        <v>1519</v>
      </c>
      <c r="U678" s="88" t="s">
        <v>1519</v>
      </c>
      <c r="V678" s="88" t="s">
        <v>1519</v>
      </c>
      <c r="W678" s="88" t="s">
        <v>1520</v>
      </c>
      <c r="X678" s="88" t="s">
        <v>1520</v>
      </c>
      <c r="Y678" s="88" t="s">
        <v>1520</v>
      </c>
      <c r="Z678" s="88" t="s">
        <v>1520</v>
      </c>
      <c r="AA678" s="88" t="s">
        <v>1519</v>
      </c>
      <c r="AB678" s="88" t="s">
        <v>1520</v>
      </c>
      <c r="AC678" s="88" t="s">
        <v>1520</v>
      </c>
      <c r="AD678" s="89"/>
      <c r="AE678" s="18" t="s">
        <v>577</v>
      </c>
      <c r="AF678" s="24"/>
      <c r="AG678" s="24"/>
      <c r="AH678" s="24"/>
      <c r="AI678" s="24"/>
      <c r="AJ678" s="24"/>
      <c r="AK678" s="24"/>
      <c r="AL678" s="24"/>
      <c r="AM678" s="24"/>
    </row>
    <row r="679">
      <c r="A679" s="11"/>
      <c r="B679" s="12" t="s">
        <v>7</v>
      </c>
      <c r="C679" s="12" t="s">
        <v>8</v>
      </c>
      <c r="D679" s="12" t="s">
        <v>24</v>
      </c>
      <c r="E679" s="12" t="s">
        <v>25</v>
      </c>
      <c r="F679" s="13" t="s">
        <v>26</v>
      </c>
      <c r="G679" s="12" t="s">
        <v>68</v>
      </c>
      <c r="H679" s="12" t="s">
        <v>994</v>
      </c>
      <c r="I679" s="12" t="s">
        <v>995</v>
      </c>
      <c r="J679" s="17" t="s">
        <v>73</v>
      </c>
      <c r="K679" s="17" t="s">
        <v>2004</v>
      </c>
      <c r="L679" s="17" t="s">
        <v>2067</v>
      </c>
      <c r="M679" s="20">
        <v>45985.0</v>
      </c>
      <c r="N679" s="17" t="s">
        <v>428</v>
      </c>
      <c r="O679" s="88" t="s">
        <v>1519</v>
      </c>
      <c r="P679" s="88" t="s">
        <v>1519</v>
      </c>
      <c r="Q679" s="88" t="s">
        <v>1520</v>
      </c>
      <c r="R679" s="88" t="s">
        <v>1520</v>
      </c>
      <c r="S679" s="88" t="s">
        <v>1520</v>
      </c>
      <c r="T679" s="88" t="s">
        <v>1520</v>
      </c>
      <c r="U679" s="88" t="s">
        <v>1520</v>
      </c>
      <c r="V679" s="88" t="s">
        <v>1520</v>
      </c>
      <c r="W679" s="88" t="s">
        <v>1520</v>
      </c>
      <c r="X679" s="88" t="s">
        <v>1520</v>
      </c>
      <c r="Y679" s="88" t="s">
        <v>1520</v>
      </c>
      <c r="Z679" s="88" t="s">
        <v>1520</v>
      </c>
      <c r="AA679" s="88" t="s">
        <v>1520</v>
      </c>
      <c r="AB679" s="88" t="s">
        <v>1520</v>
      </c>
      <c r="AC679" s="88" t="s">
        <v>1520</v>
      </c>
      <c r="AD679" s="89"/>
      <c r="AE679" s="18" t="s">
        <v>577</v>
      </c>
      <c r="AF679" s="24"/>
      <c r="AG679" s="24"/>
      <c r="AH679" s="24"/>
      <c r="AI679" s="24"/>
      <c r="AJ679" s="24"/>
      <c r="AK679" s="24"/>
      <c r="AL679" s="24"/>
      <c r="AM679" s="24"/>
    </row>
    <row r="680">
      <c r="A680" s="11"/>
      <c r="B680" s="12" t="s">
        <v>7</v>
      </c>
      <c r="C680" s="12" t="s">
        <v>8</v>
      </c>
      <c r="D680" s="12" t="s">
        <v>24</v>
      </c>
      <c r="E680" s="12" t="s">
        <v>25</v>
      </c>
      <c r="F680" s="13" t="s">
        <v>26</v>
      </c>
      <c r="G680" s="12" t="s">
        <v>68</v>
      </c>
      <c r="H680" s="12" t="s">
        <v>994</v>
      </c>
      <c r="I680" s="12" t="s">
        <v>995</v>
      </c>
      <c r="J680" s="17" t="s">
        <v>73</v>
      </c>
      <c r="K680" s="17" t="s">
        <v>2004</v>
      </c>
      <c r="L680" s="17" t="s">
        <v>2015</v>
      </c>
      <c r="M680" s="20">
        <v>45985.0</v>
      </c>
      <c r="N680" s="17" t="s">
        <v>428</v>
      </c>
      <c r="O680" s="88" t="s">
        <v>1519</v>
      </c>
      <c r="P680" s="88" t="s">
        <v>1519</v>
      </c>
      <c r="Q680" s="88" t="s">
        <v>1519</v>
      </c>
      <c r="R680" s="88" t="s">
        <v>1520</v>
      </c>
      <c r="S680" s="88" t="s">
        <v>1519</v>
      </c>
      <c r="T680" s="88" t="s">
        <v>1519</v>
      </c>
      <c r="U680" s="88" t="s">
        <v>1519</v>
      </c>
      <c r="V680" s="88" t="s">
        <v>1519</v>
      </c>
      <c r="W680" s="88" t="s">
        <v>1520</v>
      </c>
      <c r="X680" s="88" t="s">
        <v>1519</v>
      </c>
      <c r="Y680" s="88" t="s">
        <v>1519</v>
      </c>
      <c r="Z680" s="88" t="s">
        <v>1519</v>
      </c>
      <c r="AA680" s="88" t="s">
        <v>1519</v>
      </c>
      <c r="AB680" s="88" t="s">
        <v>1519</v>
      </c>
      <c r="AC680" s="88" t="s">
        <v>1519</v>
      </c>
      <c r="AD680" s="89"/>
      <c r="AE680" s="18" t="s">
        <v>577</v>
      </c>
      <c r="AF680" s="24"/>
      <c r="AG680" s="24"/>
      <c r="AH680" s="24"/>
      <c r="AI680" s="24"/>
      <c r="AJ680" s="24"/>
      <c r="AK680" s="24"/>
      <c r="AL680" s="24"/>
      <c r="AM680" s="24"/>
    </row>
    <row r="681">
      <c r="A681" s="11"/>
      <c r="B681" s="12" t="s">
        <v>7</v>
      </c>
      <c r="C681" s="12" t="s">
        <v>8</v>
      </c>
      <c r="D681" s="12" t="s">
        <v>24</v>
      </c>
      <c r="E681" s="12" t="s">
        <v>25</v>
      </c>
      <c r="F681" s="13" t="s">
        <v>26</v>
      </c>
      <c r="G681" s="12" t="s">
        <v>68</v>
      </c>
      <c r="H681" s="12" t="s">
        <v>994</v>
      </c>
      <c r="I681" s="12" t="s">
        <v>995</v>
      </c>
      <c r="J681" s="17" t="s">
        <v>73</v>
      </c>
      <c r="K681" s="17" t="s">
        <v>2004</v>
      </c>
      <c r="L681" s="17" t="s">
        <v>2068</v>
      </c>
      <c r="M681" s="20">
        <v>45985.0</v>
      </c>
      <c r="N681" s="17" t="s">
        <v>428</v>
      </c>
      <c r="O681" s="88" t="s">
        <v>1519</v>
      </c>
      <c r="P681" s="88" t="s">
        <v>1519</v>
      </c>
      <c r="Q681" s="88" t="s">
        <v>1520</v>
      </c>
      <c r="R681" s="88" t="s">
        <v>1520</v>
      </c>
      <c r="S681" s="88" t="s">
        <v>1520</v>
      </c>
      <c r="T681" s="88" t="s">
        <v>1520</v>
      </c>
      <c r="U681" s="88" t="s">
        <v>1520</v>
      </c>
      <c r="V681" s="88" t="s">
        <v>1520</v>
      </c>
      <c r="W681" s="88" t="s">
        <v>1520</v>
      </c>
      <c r="X681" s="88" t="s">
        <v>1520</v>
      </c>
      <c r="Y681" s="88" t="s">
        <v>1520</v>
      </c>
      <c r="Z681" s="88" t="s">
        <v>1520</v>
      </c>
      <c r="AA681" s="88" t="s">
        <v>1520</v>
      </c>
      <c r="AB681" s="88" t="s">
        <v>1520</v>
      </c>
      <c r="AC681" s="88" t="s">
        <v>1520</v>
      </c>
      <c r="AD681" s="89"/>
      <c r="AE681" s="18" t="s">
        <v>577</v>
      </c>
      <c r="AF681" s="24"/>
      <c r="AG681" s="24"/>
      <c r="AH681" s="24"/>
      <c r="AI681" s="24"/>
      <c r="AJ681" s="24"/>
      <c r="AK681" s="24"/>
      <c r="AL681" s="24"/>
      <c r="AM681" s="24"/>
    </row>
    <row r="682">
      <c r="A682" s="11"/>
      <c r="B682" s="12" t="s">
        <v>7</v>
      </c>
      <c r="C682" s="12" t="s">
        <v>8</v>
      </c>
      <c r="D682" s="12" t="s">
        <v>24</v>
      </c>
      <c r="E682" s="12" t="s">
        <v>25</v>
      </c>
      <c r="F682" s="13" t="s">
        <v>26</v>
      </c>
      <c r="G682" s="12" t="s">
        <v>68</v>
      </c>
      <c r="H682" s="12" t="s">
        <v>994</v>
      </c>
      <c r="I682" s="12" t="s">
        <v>995</v>
      </c>
      <c r="J682" s="17" t="s">
        <v>112</v>
      </c>
      <c r="K682" s="17" t="s">
        <v>2028</v>
      </c>
      <c r="L682" s="17" t="s">
        <v>2069</v>
      </c>
      <c r="M682" s="20">
        <v>45985.0</v>
      </c>
      <c r="N682" s="17" t="s">
        <v>428</v>
      </c>
      <c r="O682" s="88" t="s">
        <v>1519</v>
      </c>
      <c r="P682" s="88" t="s">
        <v>1519</v>
      </c>
      <c r="Q682" s="88" t="s">
        <v>1520</v>
      </c>
      <c r="R682" s="88" t="s">
        <v>1520</v>
      </c>
      <c r="S682" s="88" t="s">
        <v>1519</v>
      </c>
      <c r="T682" s="88" t="s">
        <v>1519</v>
      </c>
      <c r="U682" s="88" t="s">
        <v>1519</v>
      </c>
      <c r="V682" s="88" t="s">
        <v>1519</v>
      </c>
      <c r="W682" s="88" t="s">
        <v>1520</v>
      </c>
      <c r="X682" s="88" t="s">
        <v>1520</v>
      </c>
      <c r="Y682" s="88" t="s">
        <v>1520</v>
      </c>
      <c r="Z682" s="88" t="s">
        <v>1520</v>
      </c>
      <c r="AA682" s="88" t="s">
        <v>1520</v>
      </c>
      <c r="AB682" s="88" t="s">
        <v>1520</v>
      </c>
      <c r="AC682" s="88" t="s">
        <v>1520</v>
      </c>
      <c r="AD682" s="89"/>
      <c r="AE682" s="18" t="s">
        <v>577</v>
      </c>
      <c r="AF682" s="24"/>
      <c r="AG682" s="24"/>
      <c r="AH682" s="24"/>
      <c r="AI682" s="24"/>
      <c r="AJ682" s="24"/>
      <c r="AK682" s="24"/>
      <c r="AL682" s="24"/>
      <c r="AM682" s="24"/>
    </row>
    <row r="683">
      <c r="A683" s="11"/>
      <c r="B683" s="12" t="s">
        <v>7</v>
      </c>
      <c r="C683" s="12" t="s">
        <v>8</v>
      </c>
      <c r="D683" s="12" t="s">
        <v>24</v>
      </c>
      <c r="E683" s="12" t="s">
        <v>25</v>
      </c>
      <c r="F683" s="13" t="s">
        <v>26</v>
      </c>
      <c r="G683" s="12" t="s">
        <v>68</v>
      </c>
      <c r="H683" s="12" t="s">
        <v>994</v>
      </c>
      <c r="I683" s="12" t="s">
        <v>995</v>
      </c>
      <c r="J683" s="17" t="s">
        <v>112</v>
      </c>
      <c r="K683" s="17" t="s">
        <v>2028</v>
      </c>
      <c r="L683" s="17" t="s">
        <v>2070</v>
      </c>
      <c r="M683" s="20">
        <v>45985.0</v>
      </c>
      <c r="N683" s="17" t="s">
        <v>428</v>
      </c>
      <c r="O683" s="88" t="s">
        <v>1519</v>
      </c>
      <c r="P683" s="88" t="s">
        <v>1519</v>
      </c>
      <c r="Q683" s="88" t="s">
        <v>1520</v>
      </c>
      <c r="R683" s="88" t="s">
        <v>1520</v>
      </c>
      <c r="S683" s="88" t="s">
        <v>1519</v>
      </c>
      <c r="T683" s="88" t="s">
        <v>1519</v>
      </c>
      <c r="U683" s="88" t="s">
        <v>1519</v>
      </c>
      <c r="V683" s="88" t="s">
        <v>1519</v>
      </c>
      <c r="W683" s="88" t="s">
        <v>1520</v>
      </c>
      <c r="X683" s="88" t="s">
        <v>1520</v>
      </c>
      <c r="Y683" s="88" t="s">
        <v>1520</v>
      </c>
      <c r="Z683" s="88" t="s">
        <v>1520</v>
      </c>
      <c r="AA683" s="88" t="s">
        <v>1520</v>
      </c>
      <c r="AB683" s="88" t="s">
        <v>1520</v>
      </c>
      <c r="AC683" s="88" t="s">
        <v>1520</v>
      </c>
      <c r="AD683" s="89"/>
      <c r="AE683" s="18" t="s">
        <v>577</v>
      </c>
      <c r="AF683" s="24"/>
      <c r="AG683" s="24"/>
      <c r="AH683" s="24"/>
      <c r="AI683" s="24"/>
      <c r="AJ683" s="24"/>
      <c r="AK683" s="24"/>
      <c r="AL683" s="24"/>
      <c r="AM683" s="24"/>
    </row>
    <row r="684">
      <c r="A684" s="11"/>
      <c r="B684" s="12" t="s">
        <v>7</v>
      </c>
      <c r="C684" s="12" t="s">
        <v>8</v>
      </c>
      <c r="D684" s="12" t="s">
        <v>24</v>
      </c>
      <c r="E684" s="12" t="s">
        <v>25</v>
      </c>
      <c r="F684" s="13" t="s">
        <v>26</v>
      </c>
      <c r="G684" s="12" t="s">
        <v>68</v>
      </c>
      <c r="H684" s="12" t="s">
        <v>994</v>
      </c>
      <c r="I684" s="12" t="s">
        <v>995</v>
      </c>
      <c r="J684" s="17" t="s">
        <v>112</v>
      </c>
      <c r="K684" s="17" t="s">
        <v>2028</v>
      </c>
      <c r="L684" s="17" t="s">
        <v>2040</v>
      </c>
      <c r="M684" s="20">
        <v>45985.0</v>
      </c>
      <c r="N684" s="17" t="s">
        <v>428</v>
      </c>
      <c r="O684" s="88" t="s">
        <v>1519</v>
      </c>
      <c r="P684" s="88" t="s">
        <v>1519</v>
      </c>
      <c r="Q684" s="88" t="s">
        <v>1520</v>
      </c>
      <c r="R684" s="88" t="s">
        <v>1520</v>
      </c>
      <c r="S684" s="88" t="s">
        <v>1519</v>
      </c>
      <c r="T684" s="88" t="s">
        <v>1519</v>
      </c>
      <c r="U684" s="88" t="s">
        <v>1519</v>
      </c>
      <c r="V684" s="88" t="s">
        <v>1519</v>
      </c>
      <c r="W684" s="88" t="s">
        <v>1520</v>
      </c>
      <c r="X684" s="88" t="s">
        <v>1520</v>
      </c>
      <c r="Y684" s="88" t="s">
        <v>1520</v>
      </c>
      <c r="Z684" s="88" t="s">
        <v>1520</v>
      </c>
      <c r="AA684" s="88" t="s">
        <v>1519</v>
      </c>
      <c r="AB684" s="88" t="s">
        <v>1520</v>
      </c>
      <c r="AC684" s="88" t="s">
        <v>1520</v>
      </c>
      <c r="AD684" s="89"/>
      <c r="AE684" s="18" t="s">
        <v>577</v>
      </c>
      <c r="AF684" s="24"/>
      <c r="AG684" s="24"/>
      <c r="AH684" s="24"/>
      <c r="AI684" s="24"/>
      <c r="AJ684" s="24"/>
      <c r="AK684" s="24"/>
      <c r="AL684" s="24"/>
      <c r="AM684" s="24"/>
    </row>
    <row r="685">
      <c r="A685" s="11"/>
      <c r="B685" s="12" t="s">
        <v>7</v>
      </c>
      <c r="C685" s="12" t="s">
        <v>8</v>
      </c>
      <c r="D685" s="12" t="s">
        <v>24</v>
      </c>
      <c r="E685" s="12" t="s">
        <v>25</v>
      </c>
      <c r="F685" s="13" t="s">
        <v>26</v>
      </c>
      <c r="G685" s="12" t="s">
        <v>68</v>
      </c>
      <c r="H685" s="12" t="s">
        <v>994</v>
      </c>
      <c r="I685" s="12" t="s">
        <v>995</v>
      </c>
      <c r="J685" s="17" t="s">
        <v>112</v>
      </c>
      <c r="K685" s="17" t="s">
        <v>2028</v>
      </c>
      <c r="L685" s="17" t="s">
        <v>2071</v>
      </c>
      <c r="M685" s="20">
        <v>45985.0</v>
      </c>
      <c r="N685" s="17" t="s">
        <v>428</v>
      </c>
      <c r="O685" s="88" t="s">
        <v>1519</v>
      </c>
      <c r="P685" s="88" t="s">
        <v>1519</v>
      </c>
      <c r="Q685" s="88" t="s">
        <v>1520</v>
      </c>
      <c r="R685" s="88" t="s">
        <v>1520</v>
      </c>
      <c r="S685" s="88" t="s">
        <v>1519</v>
      </c>
      <c r="T685" s="88" t="s">
        <v>1519</v>
      </c>
      <c r="U685" s="88" t="s">
        <v>1519</v>
      </c>
      <c r="V685" s="88" t="s">
        <v>1519</v>
      </c>
      <c r="W685" s="88" t="s">
        <v>1520</v>
      </c>
      <c r="X685" s="88" t="s">
        <v>1520</v>
      </c>
      <c r="Y685" s="88" t="s">
        <v>1520</v>
      </c>
      <c r="Z685" s="88" t="s">
        <v>1520</v>
      </c>
      <c r="AA685" s="88" t="s">
        <v>1520</v>
      </c>
      <c r="AB685" s="88" t="s">
        <v>1520</v>
      </c>
      <c r="AC685" s="88" t="s">
        <v>1520</v>
      </c>
      <c r="AD685" s="89"/>
      <c r="AE685" s="18" t="s">
        <v>577</v>
      </c>
      <c r="AF685" s="24"/>
      <c r="AG685" s="24"/>
      <c r="AH685" s="24"/>
      <c r="AI685" s="24"/>
      <c r="AJ685" s="24"/>
      <c r="AK685" s="24"/>
      <c r="AL685" s="24"/>
      <c r="AM685" s="24"/>
    </row>
    <row r="686">
      <c r="A686" s="11"/>
      <c r="B686" s="12" t="s">
        <v>7</v>
      </c>
      <c r="C686" s="12" t="s">
        <v>8</v>
      </c>
      <c r="D686" s="12" t="s">
        <v>24</v>
      </c>
      <c r="E686" s="12" t="s">
        <v>25</v>
      </c>
      <c r="F686" s="13" t="s">
        <v>26</v>
      </c>
      <c r="G686" s="12" t="s">
        <v>68</v>
      </c>
      <c r="H686" s="12" t="s">
        <v>994</v>
      </c>
      <c r="I686" s="12" t="s">
        <v>995</v>
      </c>
      <c r="J686" s="17" t="s">
        <v>112</v>
      </c>
      <c r="K686" s="17" t="s">
        <v>2028</v>
      </c>
      <c r="L686" s="17" t="s">
        <v>2072</v>
      </c>
      <c r="M686" s="20">
        <v>45985.0</v>
      </c>
      <c r="N686" s="17" t="s">
        <v>428</v>
      </c>
      <c r="O686" s="88" t="s">
        <v>1519</v>
      </c>
      <c r="P686" s="88" t="s">
        <v>1519</v>
      </c>
      <c r="Q686" s="88" t="s">
        <v>1520</v>
      </c>
      <c r="R686" s="88" t="s">
        <v>1520</v>
      </c>
      <c r="S686" s="88" t="s">
        <v>1519</v>
      </c>
      <c r="T686" s="88" t="s">
        <v>1519</v>
      </c>
      <c r="U686" s="88" t="s">
        <v>1519</v>
      </c>
      <c r="V686" s="88" t="s">
        <v>1519</v>
      </c>
      <c r="W686" s="88" t="s">
        <v>1520</v>
      </c>
      <c r="X686" s="88" t="s">
        <v>1520</v>
      </c>
      <c r="Y686" s="88" t="s">
        <v>1520</v>
      </c>
      <c r="Z686" s="88" t="s">
        <v>1520</v>
      </c>
      <c r="AA686" s="88" t="s">
        <v>1520</v>
      </c>
      <c r="AB686" s="88" t="s">
        <v>1520</v>
      </c>
      <c r="AC686" s="88" t="s">
        <v>1520</v>
      </c>
      <c r="AD686" s="89"/>
      <c r="AE686" s="18" t="s">
        <v>577</v>
      </c>
      <c r="AF686" s="24"/>
      <c r="AG686" s="24"/>
      <c r="AH686" s="24"/>
      <c r="AI686" s="24"/>
      <c r="AJ686" s="24"/>
      <c r="AK686" s="24"/>
      <c r="AL686" s="24"/>
      <c r="AM686" s="24"/>
    </row>
    <row r="687">
      <c r="A687" s="11"/>
      <c r="B687" s="12" t="s">
        <v>7</v>
      </c>
      <c r="C687" s="12" t="s">
        <v>8</v>
      </c>
      <c r="D687" s="12" t="s">
        <v>24</v>
      </c>
      <c r="E687" s="12" t="s">
        <v>25</v>
      </c>
      <c r="F687" s="13" t="s">
        <v>26</v>
      </c>
      <c r="G687" s="12" t="s">
        <v>68</v>
      </c>
      <c r="H687" s="12" t="s">
        <v>994</v>
      </c>
      <c r="I687" s="12" t="s">
        <v>995</v>
      </c>
      <c r="J687" s="17" t="s">
        <v>112</v>
      </c>
      <c r="K687" s="17" t="s">
        <v>2028</v>
      </c>
      <c r="L687" s="17" t="s">
        <v>2073</v>
      </c>
      <c r="M687" s="20">
        <v>45985.0</v>
      </c>
      <c r="N687" s="17" t="s">
        <v>428</v>
      </c>
      <c r="O687" s="88" t="s">
        <v>1519</v>
      </c>
      <c r="P687" s="88" t="s">
        <v>1519</v>
      </c>
      <c r="Q687" s="88" t="s">
        <v>1520</v>
      </c>
      <c r="R687" s="88" t="s">
        <v>1520</v>
      </c>
      <c r="S687" s="88" t="s">
        <v>1519</v>
      </c>
      <c r="T687" s="88" t="s">
        <v>1519</v>
      </c>
      <c r="U687" s="88" t="s">
        <v>1519</v>
      </c>
      <c r="V687" s="88" t="s">
        <v>1519</v>
      </c>
      <c r="W687" s="88" t="s">
        <v>1520</v>
      </c>
      <c r="X687" s="88" t="s">
        <v>1520</v>
      </c>
      <c r="Y687" s="88" t="s">
        <v>1520</v>
      </c>
      <c r="Z687" s="88" t="s">
        <v>1520</v>
      </c>
      <c r="AA687" s="88" t="s">
        <v>1520</v>
      </c>
      <c r="AB687" s="88" t="s">
        <v>1520</v>
      </c>
      <c r="AC687" s="88" t="s">
        <v>1520</v>
      </c>
      <c r="AD687" s="89"/>
      <c r="AE687" s="18" t="s">
        <v>577</v>
      </c>
      <c r="AF687" s="24"/>
      <c r="AG687" s="24"/>
      <c r="AH687" s="24"/>
      <c r="AI687" s="24"/>
      <c r="AJ687" s="24"/>
      <c r="AK687" s="24"/>
      <c r="AL687" s="24"/>
      <c r="AM687" s="24"/>
    </row>
    <row r="688">
      <c r="A688" s="11"/>
      <c r="B688" s="12" t="s">
        <v>7</v>
      </c>
      <c r="C688" s="12" t="s">
        <v>8</v>
      </c>
      <c r="D688" s="12" t="s">
        <v>24</v>
      </c>
      <c r="E688" s="12" t="s">
        <v>25</v>
      </c>
      <c r="F688" s="13" t="s">
        <v>26</v>
      </c>
      <c r="G688" s="12" t="s">
        <v>68</v>
      </c>
      <c r="H688" s="12" t="s">
        <v>994</v>
      </c>
      <c r="I688" s="12" t="s">
        <v>995</v>
      </c>
      <c r="J688" s="17" t="s">
        <v>112</v>
      </c>
      <c r="K688" s="17" t="s">
        <v>2028</v>
      </c>
      <c r="L688" s="17" t="s">
        <v>2039</v>
      </c>
      <c r="M688" s="20">
        <v>45985.0</v>
      </c>
      <c r="N688" s="17" t="s">
        <v>428</v>
      </c>
      <c r="O688" s="88" t="s">
        <v>1519</v>
      </c>
      <c r="P688" s="88" t="s">
        <v>1519</v>
      </c>
      <c r="Q688" s="88" t="s">
        <v>1520</v>
      </c>
      <c r="R688" s="88" t="s">
        <v>1520</v>
      </c>
      <c r="S688" s="88" t="s">
        <v>1519</v>
      </c>
      <c r="T688" s="88" t="s">
        <v>1519</v>
      </c>
      <c r="U688" s="88" t="s">
        <v>1519</v>
      </c>
      <c r="V688" s="88" t="s">
        <v>1519</v>
      </c>
      <c r="W688" s="88" t="s">
        <v>1520</v>
      </c>
      <c r="X688" s="88" t="s">
        <v>1519</v>
      </c>
      <c r="Y688" s="88" t="s">
        <v>1519</v>
      </c>
      <c r="Z688" s="88" t="s">
        <v>1519</v>
      </c>
      <c r="AA688" s="88" t="s">
        <v>1519</v>
      </c>
      <c r="AB688" s="88" t="s">
        <v>1520</v>
      </c>
      <c r="AC688" s="88" t="s">
        <v>1520</v>
      </c>
      <c r="AD688" s="89"/>
      <c r="AE688" s="18" t="s">
        <v>577</v>
      </c>
      <c r="AF688" s="24"/>
      <c r="AG688" s="24"/>
      <c r="AH688" s="24"/>
      <c r="AI688" s="24"/>
      <c r="AJ688" s="24"/>
      <c r="AK688" s="24"/>
      <c r="AL688" s="24"/>
      <c r="AM688" s="24"/>
    </row>
    <row r="689">
      <c r="A689" s="11"/>
      <c r="B689" s="12" t="s">
        <v>7</v>
      </c>
      <c r="C689" s="12" t="s">
        <v>8</v>
      </c>
      <c r="D689" s="12" t="s">
        <v>24</v>
      </c>
      <c r="E689" s="12" t="s">
        <v>25</v>
      </c>
      <c r="F689" s="13" t="s">
        <v>26</v>
      </c>
      <c r="G689" s="12" t="s">
        <v>68</v>
      </c>
      <c r="H689" s="12" t="s">
        <v>994</v>
      </c>
      <c r="I689" s="12" t="s">
        <v>995</v>
      </c>
      <c r="J689" s="17" t="s">
        <v>112</v>
      </c>
      <c r="K689" s="17" t="s">
        <v>2028</v>
      </c>
      <c r="L689" s="17" t="s">
        <v>2031</v>
      </c>
      <c r="M689" s="20">
        <v>45985.0</v>
      </c>
      <c r="N689" s="17" t="s">
        <v>428</v>
      </c>
      <c r="O689" s="88" t="s">
        <v>1519</v>
      </c>
      <c r="P689" s="88" t="s">
        <v>1519</v>
      </c>
      <c r="Q689" s="88" t="s">
        <v>1520</v>
      </c>
      <c r="R689" s="88" t="s">
        <v>1520</v>
      </c>
      <c r="S689" s="88" t="s">
        <v>1519</v>
      </c>
      <c r="T689" s="88" t="s">
        <v>1519</v>
      </c>
      <c r="U689" s="88" t="s">
        <v>1519</v>
      </c>
      <c r="V689" s="88" t="s">
        <v>1519</v>
      </c>
      <c r="W689" s="88" t="s">
        <v>1520</v>
      </c>
      <c r="X689" s="88" t="s">
        <v>1519</v>
      </c>
      <c r="Y689" s="88" t="s">
        <v>1519</v>
      </c>
      <c r="Z689" s="88" t="s">
        <v>1519</v>
      </c>
      <c r="AA689" s="88" t="s">
        <v>1520</v>
      </c>
      <c r="AB689" s="88" t="s">
        <v>1520</v>
      </c>
      <c r="AC689" s="88" t="s">
        <v>1520</v>
      </c>
      <c r="AD689" s="89"/>
      <c r="AE689" s="18" t="s">
        <v>577</v>
      </c>
      <c r="AF689" s="24"/>
      <c r="AG689" s="24"/>
      <c r="AH689" s="24"/>
      <c r="AI689" s="24"/>
      <c r="AJ689" s="24"/>
      <c r="AK689" s="24"/>
      <c r="AL689" s="24"/>
      <c r="AM689" s="24"/>
    </row>
    <row r="690">
      <c r="A690" s="11"/>
      <c r="B690" s="12" t="s">
        <v>7</v>
      </c>
      <c r="C690" s="12" t="s">
        <v>8</v>
      </c>
      <c r="D690" s="12" t="s">
        <v>24</v>
      </c>
      <c r="E690" s="12" t="s">
        <v>25</v>
      </c>
      <c r="F690" s="13" t="s">
        <v>26</v>
      </c>
      <c r="G690" s="12" t="s">
        <v>68</v>
      </c>
      <c r="H690" s="12" t="s">
        <v>994</v>
      </c>
      <c r="I690" s="12" t="s">
        <v>995</v>
      </c>
      <c r="J690" s="17" t="s">
        <v>112</v>
      </c>
      <c r="K690" s="17" t="s">
        <v>2028</v>
      </c>
      <c r="L690" s="17" t="s">
        <v>2034</v>
      </c>
      <c r="M690" s="20">
        <v>45985.0</v>
      </c>
      <c r="N690" s="17" t="s">
        <v>428</v>
      </c>
      <c r="O690" s="88" t="s">
        <v>1519</v>
      </c>
      <c r="P690" s="88" t="s">
        <v>1519</v>
      </c>
      <c r="Q690" s="88" t="s">
        <v>1520</v>
      </c>
      <c r="R690" s="88" t="s">
        <v>1520</v>
      </c>
      <c r="S690" s="88" t="s">
        <v>1519</v>
      </c>
      <c r="T690" s="88" t="s">
        <v>1519</v>
      </c>
      <c r="U690" s="88" t="s">
        <v>1519</v>
      </c>
      <c r="V690" s="88" t="s">
        <v>1519</v>
      </c>
      <c r="W690" s="88" t="s">
        <v>1520</v>
      </c>
      <c r="X690" s="88" t="s">
        <v>1519</v>
      </c>
      <c r="Y690" s="88" t="s">
        <v>1519</v>
      </c>
      <c r="Z690" s="88" t="s">
        <v>1519</v>
      </c>
      <c r="AA690" s="88" t="s">
        <v>1520</v>
      </c>
      <c r="AB690" s="88" t="s">
        <v>1520</v>
      </c>
      <c r="AC690" s="88" t="s">
        <v>1520</v>
      </c>
      <c r="AD690" s="89"/>
      <c r="AE690" s="18" t="s">
        <v>577</v>
      </c>
      <c r="AF690" s="24"/>
      <c r="AG690" s="24"/>
      <c r="AH690" s="24"/>
      <c r="AI690" s="24"/>
      <c r="AJ690" s="24"/>
      <c r="AK690" s="24"/>
      <c r="AL690" s="24"/>
      <c r="AM690" s="24"/>
    </row>
    <row r="691">
      <c r="A691" s="11"/>
      <c r="B691" s="12" t="s">
        <v>7</v>
      </c>
      <c r="C691" s="12" t="s">
        <v>8</v>
      </c>
      <c r="D691" s="12" t="s">
        <v>24</v>
      </c>
      <c r="E691" s="12" t="s">
        <v>25</v>
      </c>
      <c r="F691" s="13" t="s">
        <v>26</v>
      </c>
      <c r="G691" s="12" t="s">
        <v>68</v>
      </c>
      <c r="H691" s="12" t="s">
        <v>994</v>
      </c>
      <c r="I691" s="12" t="s">
        <v>995</v>
      </c>
      <c r="J691" s="17" t="s">
        <v>112</v>
      </c>
      <c r="K691" s="17" t="s">
        <v>2028</v>
      </c>
      <c r="L691" s="17" t="s">
        <v>2032</v>
      </c>
      <c r="M691" s="20">
        <v>45985.0</v>
      </c>
      <c r="N691" s="17" t="s">
        <v>428</v>
      </c>
      <c r="O691" s="88" t="s">
        <v>1519</v>
      </c>
      <c r="P691" s="88" t="s">
        <v>1519</v>
      </c>
      <c r="Q691" s="88" t="s">
        <v>1520</v>
      </c>
      <c r="R691" s="88" t="s">
        <v>1520</v>
      </c>
      <c r="S691" s="88" t="s">
        <v>1519</v>
      </c>
      <c r="T691" s="88" t="s">
        <v>1519</v>
      </c>
      <c r="U691" s="88" t="s">
        <v>1519</v>
      </c>
      <c r="V691" s="88" t="s">
        <v>1519</v>
      </c>
      <c r="W691" s="88" t="s">
        <v>1520</v>
      </c>
      <c r="X691" s="88" t="s">
        <v>1519</v>
      </c>
      <c r="Y691" s="88" t="s">
        <v>1519</v>
      </c>
      <c r="Z691" s="88" t="s">
        <v>1519</v>
      </c>
      <c r="AA691" s="88" t="s">
        <v>1519</v>
      </c>
      <c r="AB691" s="88" t="s">
        <v>1520</v>
      </c>
      <c r="AC691" s="88" t="s">
        <v>1520</v>
      </c>
      <c r="AD691" s="89"/>
      <c r="AE691" s="18" t="s">
        <v>577</v>
      </c>
      <c r="AF691" s="24"/>
      <c r="AG691" s="24"/>
      <c r="AH691" s="24"/>
      <c r="AI691" s="24"/>
      <c r="AJ691" s="24"/>
      <c r="AK691" s="24"/>
      <c r="AL691" s="24"/>
      <c r="AM691" s="24"/>
    </row>
    <row r="692">
      <c r="A692" s="11"/>
      <c r="B692" s="12" t="s">
        <v>7</v>
      </c>
      <c r="C692" s="12" t="s">
        <v>8</v>
      </c>
      <c r="D692" s="12" t="s">
        <v>24</v>
      </c>
      <c r="E692" s="12" t="s">
        <v>25</v>
      </c>
      <c r="F692" s="13" t="s">
        <v>26</v>
      </c>
      <c r="G692" s="12" t="s">
        <v>68</v>
      </c>
      <c r="H692" s="12" t="s">
        <v>994</v>
      </c>
      <c r="I692" s="12" t="s">
        <v>995</v>
      </c>
      <c r="J692" s="17" t="s">
        <v>112</v>
      </c>
      <c r="K692" s="17" t="s">
        <v>2028</v>
      </c>
      <c r="L692" s="17" t="s">
        <v>2029</v>
      </c>
      <c r="M692" s="20">
        <v>45985.0</v>
      </c>
      <c r="N692" s="17" t="s">
        <v>428</v>
      </c>
      <c r="O692" s="88" t="s">
        <v>1519</v>
      </c>
      <c r="P692" s="88" t="s">
        <v>1519</v>
      </c>
      <c r="Q692" s="88" t="s">
        <v>1520</v>
      </c>
      <c r="R692" s="88" t="s">
        <v>1520</v>
      </c>
      <c r="S692" s="88" t="s">
        <v>1519</v>
      </c>
      <c r="T692" s="88" t="s">
        <v>1519</v>
      </c>
      <c r="U692" s="88" t="s">
        <v>1519</v>
      </c>
      <c r="V692" s="88" t="s">
        <v>1519</v>
      </c>
      <c r="W692" s="88" t="s">
        <v>1520</v>
      </c>
      <c r="X692" s="88" t="s">
        <v>1519</v>
      </c>
      <c r="Y692" s="88" t="s">
        <v>1519</v>
      </c>
      <c r="Z692" s="88" t="s">
        <v>1519</v>
      </c>
      <c r="AA692" s="88" t="s">
        <v>1519</v>
      </c>
      <c r="AB692" s="88" t="s">
        <v>1520</v>
      </c>
      <c r="AC692" s="88" t="s">
        <v>1520</v>
      </c>
      <c r="AD692" s="89"/>
      <c r="AE692" s="18" t="s">
        <v>577</v>
      </c>
      <c r="AF692" s="24"/>
      <c r="AG692" s="24"/>
      <c r="AH692" s="24"/>
      <c r="AI692" s="24"/>
      <c r="AJ692" s="24"/>
      <c r="AK692" s="24"/>
      <c r="AL692" s="24"/>
      <c r="AM692" s="24"/>
    </row>
    <row r="693">
      <c r="A693" s="11"/>
      <c r="B693" s="12" t="s">
        <v>7</v>
      </c>
      <c r="C693" s="12" t="s">
        <v>8</v>
      </c>
      <c r="D693" s="12" t="s">
        <v>24</v>
      </c>
      <c r="E693" s="12" t="s">
        <v>25</v>
      </c>
      <c r="F693" s="13" t="s">
        <v>26</v>
      </c>
      <c r="G693" s="12" t="s">
        <v>68</v>
      </c>
      <c r="H693" s="12" t="s">
        <v>994</v>
      </c>
      <c r="I693" s="12" t="s">
        <v>995</v>
      </c>
      <c r="J693" s="17" t="s">
        <v>112</v>
      </c>
      <c r="K693" s="17" t="s">
        <v>2028</v>
      </c>
      <c r="L693" s="17" t="s">
        <v>2033</v>
      </c>
      <c r="M693" s="20">
        <v>45985.0</v>
      </c>
      <c r="N693" s="17" t="s">
        <v>428</v>
      </c>
      <c r="O693" s="88" t="s">
        <v>1519</v>
      </c>
      <c r="P693" s="88" t="s">
        <v>1519</v>
      </c>
      <c r="Q693" s="88" t="s">
        <v>1520</v>
      </c>
      <c r="R693" s="88" t="s">
        <v>1520</v>
      </c>
      <c r="S693" s="88" t="s">
        <v>1519</v>
      </c>
      <c r="T693" s="88" t="s">
        <v>1519</v>
      </c>
      <c r="U693" s="88" t="s">
        <v>1519</v>
      </c>
      <c r="V693" s="88" t="s">
        <v>1519</v>
      </c>
      <c r="W693" s="88" t="s">
        <v>1520</v>
      </c>
      <c r="X693" s="88" t="s">
        <v>1519</v>
      </c>
      <c r="Y693" s="88" t="s">
        <v>1519</v>
      </c>
      <c r="Z693" s="88" t="s">
        <v>1519</v>
      </c>
      <c r="AA693" s="88" t="s">
        <v>1520</v>
      </c>
      <c r="AB693" s="88" t="s">
        <v>1520</v>
      </c>
      <c r="AC693" s="88" t="s">
        <v>1520</v>
      </c>
      <c r="AD693" s="89"/>
      <c r="AE693" s="18" t="s">
        <v>577</v>
      </c>
      <c r="AF693" s="24"/>
      <c r="AG693" s="24"/>
      <c r="AH693" s="24"/>
      <c r="AI693" s="24"/>
      <c r="AJ693" s="24"/>
      <c r="AK693" s="24"/>
      <c r="AL693" s="24"/>
      <c r="AM693" s="24"/>
    </row>
    <row r="694">
      <c r="A694" s="11"/>
      <c r="B694" s="12" t="s">
        <v>7</v>
      </c>
      <c r="C694" s="12" t="s">
        <v>8</v>
      </c>
      <c r="D694" s="12" t="s">
        <v>24</v>
      </c>
      <c r="E694" s="12" t="s">
        <v>25</v>
      </c>
      <c r="F694" s="13" t="s">
        <v>26</v>
      </c>
      <c r="G694" s="12" t="s">
        <v>68</v>
      </c>
      <c r="H694" s="12" t="s">
        <v>994</v>
      </c>
      <c r="I694" s="12" t="s">
        <v>995</v>
      </c>
      <c r="J694" s="17" t="s">
        <v>112</v>
      </c>
      <c r="K694" s="17" t="s">
        <v>2028</v>
      </c>
      <c r="L694" s="17" t="s">
        <v>2035</v>
      </c>
      <c r="M694" s="20">
        <v>45985.0</v>
      </c>
      <c r="N694" s="17" t="s">
        <v>428</v>
      </c>
      <c r="O694" s="88" t="s">
        <v>1519</v>
      </c>
      <c r="P694" s="88" t="s">
        <v>1519</v>
      </c>
      <c r="Q694" s="88" t="s">
        <v>1520</v>
      </c>
      <c r="R694" s="88" t="s">
        <v>1520</v>
      </c>
      <c r="S694" s="88" t="s">
        <v>1519</v>
      </c>
      <c r="T694" s="88" t="s">
        <v>1519</v>
      </c>
      <c r="U694" s="88" t="s">
        <v>1519</v>
      </c>
      <c r="V694" s="88" t="s">
        <v>1519</v>
      </c>
      <c r="W694" s="88" t="s">
        <v>1520</v>
      </c>
      <c r="X694" s="88" t="s">
        <v>1519</v>
      </c>
      <c r="Y694" s="88" t="s">
        <v>1519</v>
      </c>
      <c r="Z694" s="88" t="s">
        <v>1519</v>
      </c>
      <c r="AA694" s="88" t="s">
        <v>1519</v>
      </c>
      <c r="AB694" s="88" t="s">
        <v>1520</v>
      </c>
      <c r="AC694" s="88" t="s">
        <v>1520</v>
      </c>
      <c r="AD694" s="89"/>
      <c r="AE694" s="18" t="s">
        <v>577</v>
      </c>
      <c r="AF694" s="24"/>
      <c r="AG694" s="24"/>
      <c r="AH694" s="24"/>
      <c r="AI694" s="24"/>
      <c r="AJ694" s="24"/>
      <c r="AK694" s="24"/>
      <c r="AL694" s="24"/>
      <c r="AM694" s="24"/>
    </row>
    <row r="695">
      <c r="A695" s="11"/>
      <c r="B695" s="12" t="s">
        <v>7</v>
      </c>
      <c r="C695" s="12" t="s">
        <v>8</v>
      </c>
      <c r="D695" s="12" t="s">
        <v>24</v>
      </c>
      <c r="E695" s="12" t="s">
        <v>25</v>
      </c>
      <c r="F695" s="13" t="s">
        <v>26</v>
      </c>
      <c r="G695" s="12" t="s">
        <v>68</v>
      </c>
      <c r="H695" s="12" t="s">
        <v>994</v>
      </c>
      <c r="I695" s="12" t="s">
        <v>995</v>
      </c>
      <c r="J695" s="17" t="s">
        <v>112</v>
      </c>
      <c r="K695" s="17" t="s">
        <v>2028</v>
      </c>
      <c r="L695" s="17" t="s">
        <v>2074</v>
      </c>
      <c r="M695" s="20">
        <v>45985.0</v>
      </c>
      <c r="N695" s="17" t="s">
        <v>428</v>
      </c>
      <c r="O695" s="88" t="s">
        <v>1519</v>
      </c>
      <c r="P695" s="88" t="s">
        <v>1519</v>
      </c>
      <c r="Q695" s="88" t="s">
        <v>1520</v>
      </c>
      <c r="R695" s="88" t="s">
        <v>1520</v>
      </c>
      <c r="S695" s="88" t="s">
        <v>1519</v>
      </c>
      <c r="T695" s="88" t="s">
        <v>1519</v>
      </c>
      <c r="U695" s="88" t="s">
        <v>1519</v>
      </c>
      <c r="V695" s="88" t="s">
        <v>1519</v>
      </c>
      <c r="W695" s="88" t="s">
        <v>1520</v>
      </c>
      <c r="X695" s="105"/>
      <c r="Y695" s="88" t="s">
        <v>1520</v>
      </c>
      <c r="Z695" s="88" t="s">
        <v>1520</v>
      </c>
      <c r="AA695" s="88" t="s">
        <v>1520</v>
      </c>
      <c r="AB695" s="88" t="s">
        <v>1520</v>
      </c>
      <c r="AC695" s="88" t="s">
        <v>1520</v>
      </c>
      <c r="AD695" s="89"/>
      <c r="AE695" s="18" t="s">
        <v>577</v>
      </c>
      <c r="AF695" s="24"/>
      <c r="AG695" s="24"/>
      <c r="AH695" s="24"/>
      <c r="AI695" s="24"/>
      <c r="AJ695" s="24"/>
      <c r="AK695" s="24"/>
      <c r="AL695" s="24"/>
      <c r="AM695" s="24"/>
    </row>
    <row r="696">
      <c r="A696" s="11"/>
      <c r="B696" s="12" t="s">
        <v>7</v>
      </c>
      <c r="C696" s="12" t="s">
        <v>8</v>
      </c>
      <c r="D696" s="12" t="s">
        <v>24</v>
      </c>
      <c r="E696" s="12" t="s">
        <v>25</v>
      </c>
      <c r="F696" s="13" t="s">
        <v>26</v>
      </c>
      <c r="G696" s="12" t="s">
        <v>68</v>
      </c>
      <c r="H696" s="12" t="s">
        <v>994</v>
      </c>
      <c r="I696" s="12" t="s">
        <v>995</v>
      </c>
      <c r="J696" s="17" t="s">
        <v>108</v>
      </c>
      <c r="K696" s="17" t="s">
        <v>2016</v>
      </c>
      <c r="L696" s="17" t="s">
        <v>2018</v>
      </c>
      <c r="M696" s="20">
        <v>45985.0</v>
      </c>
      <c r="N696" s="17" t="s">
        <v>428</v>
      </c>
      <c r="O696" s="88" t="s">
        <v>1519</v>
      </c>
      <c r="P696" s="88" t="s">
        <v>1519</v>
      </c>
      <c r="Q696" s="88" t="s">
        <v>1519</v>
      </c>
      <c r="R696" s="88" t="s">
        <v>1520</v>
      </c>
      <c r="S696" s="88" t="s">
        <v>1519</v>
      </c>
      <c r="T696" s="88" t="s">
        <v>1519</v>
      </c>
      <c r="U696" s="88" t="s">
        <v>1519</v>
      </c>
      <c r="V696" s="88" t="s">
        <v>1519</v>
      </c>
      <c r="W696" s="88" t="s">
        <v>1520</v>
      </c>
      <c r="X696" s="88" t="s">
        <v>1519</v>
      </c>
      <c r="Y696" s="88" t="s">
        <v>1519</v>
      </c>
      <c r="Z696" s="88" t="s">
        <v>1519</v>
      </c>
      <c r="AA696" s="88" t="s">
        <v>1519</v>
      </c>
      <c r="AB696" s="88" t="s">
        <v>1520</v>
      </c>
      <c r="AC696" s="88" t="s">
        <v>1520</v>
      </c>
      <c r="AD696" s="89"/>
      <c r="AE696" s="18" t="s">
        <v>577</v>
      </c>
      <c r="AF696" s="24"/>
      <c r="AG696" s="24"/>
      <c r="AH696" s="24"/>
      <c r="AI696" s="24"/>
      <c r="AJ696" s="24"/>
      <c r="AK696" s="24"/>
      <c r="AL696" s="24"/>
      <c r="AM696" s="24"/>
    </row>
    <row r="697">
      <c r="A697" s="11"/>
      <c r="B697" s="12" t="s">
        <v>7</v>
      </c>
      <c r="C697" s="12" t="s">
        <v>8</v>
      </c>
      <c r="D697" s="12" t="s">
        <v>24</v>
      </c>
      <c r="E697" s="12" t="s">
        <v>25</v>
      </c>
      <c r="F697" s="13" t="s">
        <v>26</v>
      </c>
      <c r="G697" s="12" t="s">
        <v>68</v>
      </c>
      <c r="H697" s="12" t="s">
        <v>994</v>
      </c>
      <c r="I697" s="12" t="s">
        <v>995</v>
      </c>
      <c r="J697" s="17" t="s">
        <v>108</v>
      </c>
      <c r="K697" s="17" t="s">
        <v>2016</v>
      </c>
      <c r="L697" s="17" t="s">
        <v>2075</v>
      </c>
      <c r="M697" s="20">
        <v>45985.0</v>
      </c>
      <c r="N697" s="17" t="s">
        <v>428</v>
      </c>
      <c r="O697" s="88" t="s">
        <v>1519</v>
      </c>
      <c r="P697" s="88" t="s">
        <v>1519</v>
      </c>
      <c r="Q697" s="88" t="s">
        <v>1519</v>
      </c>
      <c r="R697" s="88" t="s">
        <v>1520</v>
      </c>
      <c r="S697" s="88" t="s">
        <v>1520</v>
      </c>
      <c r="T697" s="88" t="s">
        <v>1520</v>
      </c>
      <c r="U697" s="88" t="s">
        <v>1519</v>
      </c>
      <c r="V697" s="88" t="s">
        <v>1519</v>
      </c>
      <c r="W697" s="88" t="s">
        <v>1520</v>
      </c>
      <c r="X697" s="88" t="s">
        <v>1520</v>
      </c>
      <c r="Y697" s="88" t="s">
        <v>1520</v>
      </c>
      <c r="Z697" s="88" t="s">
        <v>1520</v>
      </c>
      <c r="AA697" s="88" t="s">
        <v>1520</v>
      </c>
      <c r="AB697" s="88" t="s">
        <v>1520</v>
      </c>
      <c r="AC697" s="88" t="s">
        <v>1520</v>
      </c>
      <c r="AD697" s="89"/>
      <c r="AE697" s="18" t="s">
        <v>577</v>
      </c>
      <c r="AF697" s="24"/>
      <c r="AG697" s="24"/>
      <c r="AH697" s="24"/>
      <c r="AI697" s="24"/>
      <c r="AJ697" s="24"/>
      <c r="AK697" s="24"/>
      <c r="AL697" s="24"/>
      <c r="AM697" s="24"/>
    </row>
    <row r="698">
      <c r="A698" s="11"/>
      <c r="B698" s="12" t="s">
        <v>7</v>
      </c>
      <c r="C698" s="12" t="s">
        <v>8</v>
      </c>
      <c r="D698" s="12" t="s">
        <v>24</v>
      </c>
      <c r="E698" s="12" t="s">
        <v>25</v>
      </c>
      <c r="F698" s="13" t="s">
        <v>26</v>
      </c>
      <c r="G698" s="12" t="s">
        <v>68</v>
      </c>
      <c r="H698" s="12" t="s">
        <v>994</v>
      </c>
      <c r="I698" s="12" t="s">
        <v>995</v>
      </c>
      <c r="J698" s="17" t="s">
        <v>108</v>
      </c>
      <c r="K698" s="17" t="s">
        <v>2016</v>
      </c>
      <c r="L698" s="17" t="s">
        <v>2027</v>
      </c>
      <c r="M698" s="20">
        <v>45985.0</v>
      </c>
      <c r="N698" s="17" t="s">
        <v>428</v>
      </c>
      <c r="O698" s="88" t="s">
        <v>1519</v>
      </c>
      <c r="P698" s="88" t="s">
        <v>1519</v>
      </c>
      <c r="Q698" s="88" t="s">
        <v>1520</v>
      </c>
      <c r="R698" s="88" t="s">
        <v>1520</v>
      </c>
      <c r="S698" s="88" t="s">
        <v>1519</v>
      </c>
      <c r="T698" s="88" t="s">
        <v>1519</v>
      </c>
      <c r="U698" s="88" t="s">
        <v>1519</v>
      </c>
      <c r="V698" s="88" t="s">
        <v>1519</v>
      </c>
      <c r="W698" s="88" t="s">
        <v>1520</v>
      </c>
      <c r="X698" s="88" t="s">
        <v>1520</v>
      </c>
      <c r="Y698" s="88" t="s">
        <v>1520</v>
      </c>
      <c r="Z698" s="88" t="s">
        <v>1520</v>
      </c>
      <c r="AA698" s="88" t="s">
        <v>1520</v>
      </c>
      <c r="AB698" s="88" t="s">
        <v>1520</v>
      </c>
      <c r="AC698" s="88" t="s">
        <v>1520</v>
      </c>
      <c r="AD698" s="89"/>
      <c r="AE698" s="18" t="s">
        <v>577</v>
      </c>
      <c r="AF698" s="24"/>
      <c r="AG698" s="24"/>
      <c r="AH698" s="24"/>
      <c r="AI698" s="24"/>
      <c r="AJ698" s="24"/>
      <c r="AK698" s="24"/>
      <c r="AL698" s="24"/>
      <c r="AM698" s="24"/>
    </row>
    <row r="699">
      <c r="A699" s="11"/>
      <c r="B699" s="12" t="s">
        <v>7</v>
      </c>
      <c r="C699" s="12" t="s">
        <v>8</v>
      </c>
      <c r="D699" s="12" t="s">
        <v>24</v>
      </c>
      <c r="E699" s="12" t="s">
        <v>25</v>
      </c>
      <c r="F699" s="13" t="s">
        <v>26</v>
      </c>
      <c r="G699" s="12" t="s">
        <v>68</v>
      </c>
      <c r="H699" s="12" t="s">
        <v>994</v>
      </c>
      <c r="I699" s="12" t="s">
        <v>995</v>
      </c>
      <c r="J699" s="17" t="s">
        <v>108</v>
      </c>
      <c r="K699" s="17" t="s">
        <v>2016</v>
      </c>
      <c r="L699" s="17" t="s">
        <v>2024</v>
      </c>
      <c r="M699" s="20">
        <v>45985.0</v>
      </c>
      <c r="N699" s="17" t="s">
        <v>428</v>
      </c>
      <c r="O699" s="88" t="s">
        <v>1519</v>
      </c>
      <c r="P699" s="88" t="s">
        <v>1519</v>
      </c>
      <c r="Q699" s="88" t="s">
        <v>1519</v>
      </c>
      <c r="R699" s="88" t="s">
        <v>1520</v>
      </c>
      <c r="S699" s="88" t="s">
        <v>1519</v>
      </c>
      <c r="T699" s="88" t="s">
        <v>1519</v>
      </c>
      <c r="U699" s="88" t="s">
        <v>1519</v>
      </c>
      <c r="V699" s="88" t="s">
        <v>1519</v>
      </c>
      <c r="W699" s="88" t="s">
        <v>1520</v>
      </c>
      <c r="X699" s="88" t="s">
        <v>1519</v>
      </c>
      <c r="Y699" s="88" t="s">
        <v>1519</v>
      </c>
      <c r="Z699" s="88" t="s">
        <v>1519</v>
      </c>
      <c r="AA699" s="88" t="s">
        <v>1519</v>
      </c>
      <c r="AB699" s="88" t="s">
        <v>1519</v>
      </c>
      <c r="AC699" s="88" t="s">
        <v>1519</v>
      </c>
      <c r="AD699" s="89"/>
      <c r="AE699" s="18" t="s">
        <v>577</v>
      </c>
      <c r="AF699" s="24"/>
      <c r="AG699" s="24"/>
      <c r="AH699" s="24"/>
      <c r="AI699" s="24"/>
      <c r="AJ699" s="24"/>
      <c r="AK699" s="24"/>
      <c r="AL699" s="24"/>
      <c r="AM699" s="24"/>
    </row>
    <row r="700">
      <c r="A700" s="11"/>
      <c r="B700" s="12" t="s">
        <v>7</v>
      </c>
      <c r="C700" s="12" t="s">
        <v>8</v>
      </c>
      <c r="D700" s="12" t="s">
        <v>24</v>
      </c>
      <c r="E700" s="12" t="s">
        <v>25</v>
      </c>
      <c r="F700" s="13" t="s">
        <v>26</v>
      </c>
      <c r="G700" s="12" t="s">
        <v>68</v>
      </c>
      <c r="H700" s="12" t="s">
        <v>994</v>
      </c>
      <c r="I700" s="12" t="s">
        <v>995</v>
      </c>
      <c r="J700" s="17" t="s">
        <v>108</v>
      </c>
      <c r="K700" s="17" t="s">
        <v>2016</v>
      </c>
      <c r="L700" s="17" t="s">
        <v>2020</v>
      </c>
      <c r="M700" s="20">
        <v>45985.0</v>
      </c>
      <c r="N700" s="17" t="s">
        <v>428</v>
      </c>
      <c r="O700" s="88" t="s">
        <v>1519</v>
      </c>
      <c r="P700" s="88" t="s">
        <v>1519</v>
      </c>
      <c r="Q700" s="88" t="s">
        <v>1519</v>
      </c>
      <c r="R700" s="88" t="s">
        <v>1520</v>
      </c>
      <c r="S700" s="88" t="s">
        <v>1519</v>
      </c>
      <c r="T700" s="88" t="s">
        <v>1519</v>
      </c>
      <c r="U700" s="88" t="s">
        <v>1519</v>
      </c>
      <c r="V700" s="88" t="s">
        <v>1519</v>
      </c>
      <c r="W700" s="88" t="s">
        <v>1520</v>
      </c>
      <c r="X700" s="88" t="s">
        <v>1519</v>
      </c>
      <c r="Y700" s="88" t="s">
        <v>1519</v>
      </c>
      <c r="Z700" s="88" t="s">
        <v>1519</v>
      </c>
      <c r="AA700" s="88" t="s">
        <v>1519</v>
      </c>
      <c r="AB700" s="88" t="s">
        <v>1520</v>
      </c>
      <c r="AC700" s="88" t="s">
        <v>1520</v>
      </c>
      <c r="AD700" s="89"/>
      <c r="AE700" s="18" t="s">
        <v>577</v>
      </c>
      <c r="AF700" s="24"/>
      <c r="AG700" s="24"/>
      <c r="AH700" s="24"/>
      <c r="AI700" s="24"/>
      <c r="AJ700" s="24"/>
      <c r="AK700" s="24"/>
      <c r="AL700" s="24"/>
      <c r="AM700" s="24"/>
    </row>
    <row r="701">
      <c r="A701" s="11"/>
      <c r="B701" s="12" t="s">
        <v>7</v>
      </c>
      <c r="C701" s="12" t="s">
        <v>8</v>
      </c>
      <c r="D701" s="12" t="s">
        <v>24</v>
      </c>
      <c r="E701" s="12" t="s">
        <v>25</v>
      </c>
      <c r="F701" s="13" t="s">
        <v>26</v>
      </c>
      <c r="G701" s="12" t="s">
        <v>68</v>
      </c>
      <c r="H701" s="12" t="s">
        <v>994</v>
      </c>
      <c r="I701" s="12" t="s">
        <v>995</v>
      </c>
      <c r="J701" s="17" t="s">
        <v>108</v>
      </c>
      <c r="K701" s="17" t="s">
        <v>2016</v>
      </c>
      <c r="L701" s="17" t="s">
        <v>2019</v>
      </c>
      <c r="M701" s="20">
        <v>45985.0</v>
      </c>
      <c r="N701" s="17" t="s">
        <v>428</v>
      </c>
      <c r="O701" s="88" t="s">
        <v>1519</v>
      </c>
      <c r="P701" s="88" t="s">
        <v>1519</v>
      </c>
      <c r="Q701" s="88" t="s">
        <v>1520</v>
      </c>
      <c r="R701" s="88" t="s">
        <v>1520</v>
      </c>
      <c r="S701" s="88" t="s">
        <v>1519</v>
      </c>
      <c r="T701" s="88" t="s">
        <v>1519</v>
      </c>
      <c r="U701" s="88" t="s">
        <v>1519</v>
      </c>
      <c r="V701" s="88" t="s">
        <v>1519</v>
      </c>
      <c r="W701" s="88" t="s">
        <v>1520</v>
      </c>
      <c r="X701" s="88" t="s">
        <v>1519</v>
      </c>
      <c r="Y701" s="88" t="s">
        <v>1521</v>
      </c>
      <c r="Z701" s="88" t="s">
        <v>1521</v>
      </c>
      <c r="AA701" s="88" t="s">
        <v>1519</v>
      </c>
      <c r="AB701" s="88" t="s">
        <v>1520</v>
      </c>
      <c r="AC701" s="88" t="s">
        <v>1520</v>
      </c>
      <c r="AD701" s="89"/>
      <c r="AE701" s="18" t="s">
        <v>577</v>
      </c>
      <c r="AF701" s="24"/>
      <c r="AG701" s="24"/>
      <c r="AH701" s="24"/>
      <c r="AI701" s="24"/>
      <c r="AJ701" s="24"/>
      <c r="AK701" s="24"/>
      <c r="AL701" s="24"/>
      <c r="AM701" s="24"/>
    </row>
    <row r="702">
      <c r="A702" s="11"/>
      <c r="B702" s="12" t="s">
        <v>7</v>
      </c>
      <c r="C702" s="12" t="s">
        <v>8</v>
      </c>
      <c r="D702" s="12" t="s">
        <v>24</v>
      </c>
      <c r="E702" s="12" t="s">
        <v>25</v>
      </c>
      <c r="F702" s="13" t="s">
        <v>26</v>
      </c>
      <c r="G702" s="12" t="s">
        <v>68</v>
      </c>
      <c r="H702" s="12" t="s">
        <v>994</v>
      </c>
      <c r="I702" s="12" t="s">
        <v>995</v>
      </c>
      <c r="J702" s="17" t="s">
        <v>108</v>
      </c>
      <c r="K702" s="17" t="s">
        <v>2016</v>
      </c>
      <c r="L702" s="17" t="s">
        <v>2022</v>
      </c>
      <c r="M702" s="20">
        <v>45985.0</v>
      </c>
      <c r="N702" s="17" t="s">
        <v>428</v>
      </c>
      <c r="O702" s="88" t="s">
        <v>1519</v>
      </c>
      <c r="P702" s="88" t="s">
        <v>1519</v>
      </c>
      <c r="Q702" s="88" t="s">
        <v>1520</v>
      </c>
      <c r="R702" s="88" t="s">
        <v>1520</v>
      </c>
      <c r="S702" s="88" t="s">
        <v>1519</v>
      </c>
      <c r="T702" s="88" t="s">
        <v>1519</v>
      </c>
      <c r="U702" s="88" t="s">
        <v>1519</v>
      </c>
      <c r="V702" s="88" t="s">
        <v>1519</v>
      </c>
      <c r="W702" s="88" t="s">
        <v>1520</v>
      </c>
      <c r="X702" s="88" t="s">
        <v>1520</v>
      </c>
      <c r="Y702" s="88" t="s">
        <v>1520</v>
      </c>
      <c r="Z702" s="88" t="s">
        <v>1520</v>
      </c>
      <c r="AA702" s="88" t="s">
        <v>1520</v>
      </c>
      <c r="AB702" s="88" t="s">
        <v>1520</v>
      </c>
      <c r="AC702" s="88" t="s">
        <v>1520</v>
      </c>
      <c r="AD702" s="89"/>
      <c r="AE702" s="18" t="s">
        <v>577</v>
      </c>
      <c r="AF702" s="24"/>
      <c r="AG702" s="24"/>
      <c r="AH702" s="24"/>
      <c r="AI702" s="24"/>
      <c r="AJ702" s="24"/>
      <c r="AK702" s="24"/>
      <c r="AL702" s="24"/>
      <c r="AM702" s="24"/>
    </row>
    <row r="703">
      <c r="A703" s="11"/>
      <c r="B703" s="12" t="s">
        <v>7</v>
      </c>
      <c r="C703" s="12" t="s">
        <v>8</v>
      </c>
      <c r="D703" s="12" t="s">
        <v>24</v>
      </c>
      <c r="E703" s="12" t="s">
        <v>25</v>
      </c>
      <c r="F703" s="13" t="s">
        <v>26</v>
      </c>
      <c r="G703" s="12" t="s">
        <v>68</v>
      </c>
      <c r="H703" s="12" t="s">
        <v>994</v>
      </c>
      <c r="I703" s="12" t="s">
        <v>995</v>
      </c>
      <c r="J703" s="17" t="s">
        <v>108</v>
      </c>
      <c r="K703" s="17" t="s">
        <v>2016</v>
      </c>
      <c r="L703" s="17" t="s">
        <v>2076</v>
      </c>
      <c r="M703" s="20">
        <v>45985.0</v>
      </c>
      <c r="N703" s="17" t="s">
        <v>428</v>
      </c>
      <c r="O703" s="88" t="s">
        <v>1519</v>
      </c>
      <c r="P703" s="88" t="s">
        <v>1519</v>
      </c>
      <c r="Q703" s="88" t="s">
        <v>1520</v>
      </c>
      <c r="R703" s="88" t="s">
        <v>1520</v>
      </c>
      <c r="S703" s="88" t="s">
        <v>1520</v>
      </c>
      <c r="T703" s="88" t="s">
        <v>1520</v>
      </c>
      <c r="U703" s="88" t="s">
        <v>1520</v>
      </c>
      <c r="V703" s="88" t="s">
        <v>1520</v>
      </c>
      <c r="W703" s="88" t="s">
        <v>1520</v>
      </c>
      <c r="X703" s="88" t="s">
        <v>1520</v>
      </c>
      <c r="Y703" s="88" t="s">
        <v>1520</v>
      </c>
      <c r="Z703" s="88" t="s">
        <v>1520</v>
      </c>
      <c r="AA703" s="88" t="s">
        <v>1520</v>
      </c>
      <c r="AB703" s="88" t="s">
        <v>1520</v>
      </c>
      <c r="AC703" s="88" t="s">
        <v>1520</v>
      </c>
      <c r="AD703" s="89"/>
      <c r="AE703" s="18" t="s">
        <v>577</v>
      </c>
      <c r="AF703" s="24"/>
      <c r="AG703" s="24"/>
      <c r="AH703" s="24"/>
      <c r="AI703" s="24"/>
      <c r="AJ703" s="24"/>
      <c r="AK703" s="24"/>
      <c r="AL703" s="24"/>
      <c r="AM703" s="24"/>
    </row>
    <row r="704">
      <c r="A704" s="11"/>
      <c r="B704" s="12" t="s">
        <v>7</v>
      </c>
      <c r="C704" s="12" t="s">
        <v>8</v>
      </c>
      <c r="D704" s="12" t="s">
        <v>24</v>
      </c>
      <c r="E704" s="12" t="s">
        <v>25</v>
      </c>
      <c r="F704" s="13" t="s">
        <v>26</v>
      </c>
      <c r="G704" s="12" t="s">
        <v>68</v>
      </c>
      <c r="H704" s="12" t="s">
        <v>994</v>
      </c>
      <c r="I704" s="12" t="s">
        <v>995</v>
      </c>
      <c r="J704" s="17" t="s">
        <v>108</v>
      </c>
      <c r="K704" s="17" t="s">
        <v>2016</v>
      </c>
      <c r="L704" s="17" t="s">
        <v>2023</v>
      </c>
      <c r="M704" s="20">
        <v>45985.0</v>
      </c>
      <c r="N704" s="17" t="s">
        <v>428</v>
      </c>
      <c r="O704" s="88" t="s">
        <v>1519</v>
      </c>
      <c r="P704" s="88" t="s">
        <v>1519</v>
      </c>
      <c r="Q704" s="88" t="s">
        <v>1519</v>
      </c>
      <c r="R704" s="88" t="s">
        <v>1520</v>
      </c>
      <c r="S704" s="88" t="s">
        <v>1519</v>
      </c>
      <c r="T704" s="88" t="s">
        <v>1519</v>
      </c>
      <c r="U704" s="88" t="s">
        <v>1519</v>
      </c>
      <c r="V704" s="88" t="s">
        <v>1519</v>
      </c>
      <c r="W704" s="88" t="s">
        <v>1520</v>
      </c>
      <c r="X704" s="88" t="s">
        <v>1519</v>
      </c>
      <c r="Y704" s="88" t="s">
        <v>1519</v>
      </c>
      <c r="Z704" s="88" t="s">
        <v>1519</v>
      </c>
      <c r="AA704" s="88" t="s">
        <v>1519</v>
      </c>
      <c r="AB704" s="88" t="s">
        <v>1519</v>
      </c>
      <c r="AC704" s="88" t="s">
        <v>1519</v>
      </c>
      <c r="AD704" s="89"/>
      <c r="AE704" s="18" t="s">
        <v>577</v>
      </c>
      <c r="AF704" s="24"/>
      <c r="AG704" s="24"/>
      <c r="AH704" s="24"/>
      <c r="AI704" s="24"/>
      <c r="AJ704" s="24"/>
      <c r="AK704" s="24"/>
      <c r="AL704" s="24"/>
      <c r="AM704" s="24"/>
    </row>
    <row r="705">
      <c r="A705" s="11"/>
      <c r="B705" s="12" t="s">
        <v>7</v>
      </c>
      <c r="C705" s="12" t="s">
        <v>8</v>
      </c>
      <c r="D705" s="12" t="s">
        <v>24</v>
      </c>
      <c r="E705" s="12" t="s">
        <v>25</v>
      </c>
      <c r="F705" s="13" t="s">
        <v>26</v>
      </c>
      <c r="G705" s="12" t="s">
        <v>68</v>
      </c>
      <c r="H705" s="12" t="s">
        <v>994</v>
      </c>
      <c r="I705" s="12" t="s">
        <v>995</v>
      </c>
      <c r="J705" s="17" t="s">
        <v>108</v>
      </c>
      <c r="K705" s="17" t="s">
        <v>2016</v>
      </c>
      <c r="L705" s="17" t="s">
        <v>2017</v>
      </c>
      <c r="M705" s="20">
        <v>45985.0</v>
      </c>
      <c r="N705" s="17" t="s">
        <v>428</v>
      </c>
      <c r="O705" s="88" t="s">
        <v>1519</v>
      </c>
      <c r="P705" s="88" t="s">
        <v>1519</v>
      </c>
      <c r="Q705" s="88" t="s">
        <v>1520</v>
      </c>
      <c r="R705" s="88" t="s">
        <v>1520</v>
      </c>
      <c r="S705" s="88" t="s">
        <v>1519</v>
      </c>
      <c r="T705" s="88" t="s">
        <v>1519</v>
      </c>
      <c r="U705" s="88" t="s">
        <v>1519</v>
      </c>
      <c r="V705" s="88" t="s">
        <v>1519</v>
      </c>
      <c r="W705" s="88" t="s">
        <v>1520</v>
      </c>
      <c r="X705" s="88" t="s">
        <v>1519</v>
      </c>
      <c r="Y705" s="88" t="s">
        <v>1521</v>
      </c>
      <c r="Z705" s="88" t="s">
        <v>1521</v>
      </c>
      <c r="AA705" s="88" t="s">
        <v>1520</v>
      </c>
      <c r="AB705" s="88" t="s">
        <v>1520</v>
      </c>
      <c r="AC705" s="88" t="s">
        <v>1520</v>
      </c>
      <c r="AD705" s="89"/>
      <c r="AE705" s="18" t="s">
        <v>577</v>
      </c>
      <c r="AF705" s="24"/>
      <c r="AG705" s="24"/>
      <c r="AH705" s="24"/>
      <c r="AI705" s="24"/>
      <c r="AJ705" s="24"/>
      <c r="AK705" s="24"/>
      <c r="AL705" s="24"/>
      <c r="AM705" s="24"/>
    </row>
    <row r="706">
      <c r="A706" s="11"/>
      <c r="B706" s="12" t="s">
        <v>7</v>
      </c>
      <c r="C706" s="12" t="s">
        <v>8</v>
      </c>
      <c r="D706" s="12" t="s">
        <v>24</v>
      </c>
      <c r="E706" s="12" t="s">
        <v>29</v>
      </c>
      <c r="F706" s="13" t="s">
        <v>27</v>
      </c>
      <c r="G706" s="12" t="s">
        <v>68</v>
      </c>
      <c r="H706" s="12" t="s">
        <v>801</v>
      </c>
      <c r="I706" s="12" t="s">
        <v>802</v>
      </c>
      <c r="J706" s="17" t="s">
        <v>108</v>
      </c>
      <c r="K706" s="17" t="s">
        <v>2055</v>
      </c>
      <c r="L706" s="17" t="s">
        <v>1790</v>
      </c>
      <c r="M706" s="20">
        <v>45986.0</v>
      </c>
      <c r="N706" s="17" t="s">
        <v>428</v>
      </c>
      <c r="O706" s="88" t="s">
        <v>1519</v>
      </c>
      <c r="P706" s="88" t="s">
        <v>1519</v>
      </c>
      <c r="Q706" s="88" t="s">
        <v>1519</v>
      </c>
      <c r="R706" s="88" t="s">
        <v>1519</v>
      </c>
      <c r="S706" s="88" t="s">
        <v>1519</v>
      </c>
      <c r="T706" s="88" t="s">
        <v>1519</v>
      </c>
      <c r="U706" s="88" t="s">
        <v>1519</v>
      </c>
      <c r="V706" s="88" t="s">
        <v>1520</v>
      </c>
      <c r="W706" s="88" t="s">
        <v>1519</v>
      </c>
      <c r="X706" s="88" t="s">
        <v>1519</v>
      </c>
      <c r="Y706" s="88" t="s">
        <v>1519</v>
      </c>
      <c r="Z706" s="88" t="s">
        <v>1519</v>
      </c>
      <c r="AA706" s="88" t="s">
        <v>1519</v>
      </c>
      <c r="AB706" s="88" t="s">
        <v>1519</v>
      </c>
      <c r="AC706" s="88" t="s">
        <v>1519</v>
      </c>
      <c r="AD706" s="89"/>
      <c r="AE706" s="18" t="s">
        <v>577</v>
      </c>
      <c r="AF706" s="24"/>
      <c r="AG706" s="24"/>
      <c r="AH706" s="24"/>
      <c r="AI706" s="24"/>
      <c r="AJ706" s="24"/>
      <c r="AK706" s="24"/>
      <c r="AL706" s="24"/>
      <c r="AM706" s="24"/>
    </row>
    <row r="707">
      <c r="A707" s="11"/>
      <c r="B707" s="12" t="s">
        <v>7</v>
      </c>
      <c r="C707" s="12" t="s">
        <v>8</v>
      </c>
      <c r="D707" s="12" t="s">
        <v>24</v>
      </c>
      <c r="E707" s="12" t="s">
        <v>29</v>
      </c>
      <c r="F707" s="13" t="s">
        <v>27</v>
      </c>
      <c r="G707" s="12" t="s">
        <v>68</v>
      </c>
      <c r="H707" s="12" t="s">
        <v>801</v>
      </c>
      <c r="I707" s="12" t="s">
        <v>802</v>
      </c>
      <c r="J707" s="17" t="s">
        <v>108</v>
      </c>
      <c r="K707" s="17" t="s">
        <v>2055</v>
      </c>
      <c r="L707" s="17" t="s">
        <v>1791</v>
      </c>
      <c r="M707" s="20">
        <v>45986.0</v>
      </c>
      <c r="N707" s="17" t="s">
        <v>428</v>
      </c>
      <c r="O707" s="88" t="s">
        <v>1519</v>
      </c>
      <c r="P707" s="88" t="s">
        <v>1519</v>
      </c>
      <c r="Q707" s="88" t="s">
        <v>1520</v>
      </c>
      <c r="R707" s="88" t="s">
        <v>1520</v>
      </c>
      <c r="S707" s="88" t="s">
        <v>1519</v>
      </c>
      <c r="T707" s="88" t="s">
        <v>1519</v>
      </c>
      <c r="U707" s="88" t="s">
        <v>1519</v>
      </c>
      <c r="V707" s="88" t="s">
        <v>1519</v>
      </c>
      <c r="W707" s="88" t="s">
        <v>1520</v>
      </c>
      <c r="X707" s="88" t="s">
        <v>1519</v>
      </c>
      <c r="Y707" s="88" t="s">
        <v>1519</v>
      </c>
      <c r="Z707" s="88" t="s">
        <v>1519</v>
      </c>
      <c r="AA707" s="88" t="s">
        <v>1520</v>
      </c>
      <c r="AB707" s="88" t="s">
        <v>1520</v>
      </c>
      <c r="AC707" s="88" t="s">
        <v>1520</v>
      </c>
      <c r="AD707" s="89"/>
      <c r="AE707" s="18" t="s">
        <v>577</v>
      </c>
      <c r="AF707" s="24"/>
      <c r="AG707" s="24"/>
      <c r="AH707" s="24"/>
      <c r="AI707" s="24"/>
      <c r="AJ707" s="24"/>
      <c r="AK707" s="24"/>
      <c r="AL707" s="24"/>
      <c r="AM707" s="24"/>
    </row>
    <row r="708">
      <c r="A708" s="11"/>
      <c r="B708" s="12" t="s">
        <v>7</v>
      </c>
      <c r="C708" s="12" t="s">
        <v>8</v>
      </c>
      <c r="D708" s="12" t="s">
        <v>24</v>
      </c>
      <c r="E708" s="12" t="s">
        <v>29</v>
      </c>
      <c r="F708" s="13" t="s">
        <v>27</v>
      </c>
      <c r="G708" s="12" t="s">
        <v>68</v>
      </c>
      <c r="H708" s="12" t="s">
        <v>801</v>
      </c>
      <c r="I708" s="12" t="s">
        <v>802</v>
      </c>
      <c r="J708" s="17" t="s">
        <v>108</v>
      </c>
      <c r="K708" s="17" t="s">
        <v>2055</v>
      </c>
      <c r="L708" s="17" t="s">
        <v>1792</v>
      </c>
      <c r="M708" s="20">
        <v>45986.0</v>
      </c>
      <c r="N708" s="17" t="s">
        <v>428</v>
      </c>
      <c r="O708" s="88" t="s">
        <v>1519</v>
      </c>
      <c r="P708" s="88" t="s">
        <v>1519</v>
      </c>
      <c r="Q708" s="88" t="s">
        <v>1519</v>
      </c>
      <c r="R708" s="88" t="s">
        <v>1520</v>
      </c>
      <c r="S708" s="88" t="s">
        <v>1520</v>
      </c>
      <c r="T708" s="88" t="s">
        <v>1520</v>
      </c>
      <c r="U708" s="88" t="s">
        <v>1520</v>
      </c>
      <c r="V708" s="88" t="s">
        <v>1520</v>
      </c>
      <c r="W708" s="88" t="s">
        <v>1520</v>
      </c>
      <c r="X708" s="88" t="s">
        <v>1520</v>
      </c>
      <c r="Y708" s="88" t="s">
        <v>1520</v>
      </c>
      <c r="Z708" s="88" t="s">
        <v>1520</v>
      </c>
      <c r="AA708" s="88" t="s">
        <v>1520</v>
      </c>
      <c r="AB708" s="88" t="s">
        <v>1520</v>
      </c>
      <c r="AC708" s="88" t="s">
        <v>1520</v>
      </c>
      <c r="AD708" s="89"/>
      <c r="AE708" s="18" t="s">
        <v>577</v>
      </c>
      <c r="AF708" s="24"/>
      <c r="AG708" s="24"/>
      <c r="AH708" s="24"/>
      <c r="AI708" s="24"/>
      <c r="AJ708" s="24"/>
      <c r="AK708" s="24"/>
      <c r="AL708" s="24"/>
      <c r="AM708" s="24"/>
    </row>
    <row r="709">
      <c r="A709" s="11"/>
      <c r="B709" s="12" t="s">
        <v>7</v>
      </c>
      <c r="C709" s="12" t="s">
        <v>8</v>
      </c>
      <c r="D709" s="12" t="s">
        <v>24</v>
      </c>
      <c r="E709" s="12" t="s">
        <v>29</v>
      </c>
      <c r="F709" s="13" t="s">
        <v>27</v>
      </c>
      <c r="G709" s="12" t="s">
        <v>68</v>
      </c>
      <c r="H709" s="12" t="s">
        <v>801</v>
      </c>
      <c r="I709" s="12" t="s">
        <v>802</v>
      </c>
      <c r="J709" s="17" t="s">
        <v>108</v>
      </c>
      <c r="K709" s="17" t="s">
        <v>2055</v>
      </c>
      <c r="L709" s="17" t="s">
        <v>1793</v>
      </c>
      <c r="M709" s="20">
        <v>45986.0</v>
      </c>
      <c r="N709" s="17" t="s">
        <v>428</v>
      </c>
      <c r="O709" s="88" t="s">
        <v>1519</v>
      </c>
      <c r="P709" s="88" t="s">
        <v>1519</v>
      </c>
      <c r="Q709" s="88" t="s">
        <v>1519</v>
      </c>
      <c r="R709" s="88" t="s">
        <v>1520</v>
      </c>
      <c r="S709" s="88" t="s">
        <v>1519</v>
      </c>
      <c r="T709" s="88" t="s">
        <v>1519</v>
      </c>
      <c r="U709" s="88" t="s">
        <v>1519</v>
      </c>
      <c r="V709" s="88" t="s">
        <v>1519</v>
      </c>
      <c r="W709" s="88" t="s">
        <v>1520</v>
      </c>
      <c r="X709" s="88" t="s">
        <v>1519</v>
      </c>
      <c r="Y709" s="88" t="s">
        <v>1519</v>
      </c>
      <c r="Z709" s="88" t="s">
        <v>1519</v>
      </c>
      <c r="AA709" s="88" t="s">
        <v>1519</v>
      </c>
      <c r="AB709" s="88" t="s">
        <v>1519</v>
      </c>
      <c r="AC709" s="88" t="s">
        <v>1519</v>
      </c>
      <c r="AD709" s="89"/>
      <c r="AE709" s="18" t="s">
        <v>577</v>
      </c>
      <c r="AF709" s="24"/>
      <c r="AG709" s="24"/>
      <c r="AH709" s="24"/>
      <c r="AI709" s="24"/>
      <c r="AJ709" s="24"/>
      <c r="AK709" s="24"/>
      <c r="AL709" s="24"/>
      <c r="AM709" s="24"/>
    </row>
    <row r="710">
      <c r="A710" s="11"/>
      <c r="B710" s="12" t="s">
        <v>7</v>
      </c>
      <c r="C710" s="12" t="s">
        <v>8</v>
      </c>
      <c r="D710" s="12" t="s">
        <v>24</v>
      </c>
      <c r="E710" s="12" t="s">
        <v>29</v>
      </c>
      <c r="F710" s="13" t="s">
        <v>27</v>
      </c>
      <c r="G710" s="12" t="s">
        <v>68</v>
      </c>
      <c r="H710" s="12" t="s">
        <v>801</v>
      </c>
      <c r="I710" s="12" t="s">
        <v>802</v>
      </c>
      <c r="J710" s="17" t="s">
        <v>112</v>
      </c>
      <c r="K710" s="17" t="s">
        <v>2055</v>
      </c>
      <c r="L710" s="17" t="s">
        <v>1794</v>
      </c>
      <c r="M710" s="20">
        <v>45986.0</v>
      </c>
      <c r="N710" s="17" t="s">
        <v>428</v>
      </c>
      <c r="O710" s="88" t="s">
        <v>1519</v>
      </c>
      <c r="P710" s="88" t="s">
        <v>1519</v>
      </c>
      <c r="Q710" s="88" t="s">
        <v>1519</v>
      </c>
      <c r="R710" s="88" t="s">
        <v>1520</v>
      </c>
      <c r="S710" s="88" t="s">
        <v>1520</v>
      </c>
      <c r="T710" s="88" t="s">
        <v>1520</v>
      </c>
      <c r="U710" s="88" t="s">
        <v>1519</v>
      </c>
      <c r="V710" s="88" t="s">
        <v>1519</v>
      </c>
      <c r="W710" s="88" t="s">
        <v>1520</v>
      </c>
      <c r="X710" s="88" t="s">
        <v>1520</v>
      </c>
      <c r="Y710" s="88" t="s">
        <v>1520</v>
      </c>
      <c r="Z710" s="88" t="s">
        <v>1520</v>
      </c>
      <c r="AA710" s="88" t="s">
        <v>1520</v>
      </c>
      <c r="AB710" s="88" t="s">
        <v>1520</v>
      </c>
      <c r="AC710" s="88" t="s">
        <v>1520</v>
      </c>
      <c r="AD710" s="89"/>
      <c r="AE710" s="18" t="s">
        <v>577</v>
      </c>
      <c r="AF710" s="24"/>
      <c r="AG710" s="24"/>
      <c r="AH710" s="24"/>
      <c r="AI710" s="24"/>
      <c r="AJ710" s="24"/>
      <c r="AK710" s="24"/>
      <c r="AL710" s="24"/>
      <c r="AM710" s="24"/>
    </row>
    <row r="711">
      <c r="A711" s="11"/>
      <c r="B711" s="12" t="s">
        <v>7</v>
      </c>
      <c r="C711" s="12" t="s">
        <v>8</v>
      </c>
      <c r="D711" s="12" t="s">
        <v>15</v>
      </c>
      <c r="E711" s="12" t="s">
        <v>17</v>
      </c>
      <c r="F711" s="13" t="s">
        <v>18</v>
      </c>
      <c r="G711" s="12" t="s">
        <v>68</v>
      </c>
      <c r="H711" s="12" t="s">
        <v>954</v>
      </c>
      <c r="I711" s="12" t="s">
        <v>955</v>
      </c>
      <c r="J711" s="2"/>
      <c r="L711" s="17" t="s">
        <v>2077</v>
      </c>
      <c r="M711" s="40"/>
      <c r="N711" s="2"/>
      <c r="O711" s="105"/>
      <c r="P711" s="105"/>
      <c r="Q711" s="105"/>
      <c r="R711" s="105"/>
      <c r="S711" s="105"/>
      <c r="T711" s="105"/>
      <c r="U711" s="105"/>
      <c r="V711" s="105"/>
      <c r="W711" s="105"/>
      <c r="X711" s="105"/>
      <c r="Y711" s="105"/>
      <c r="Z711" s="105"/>
      <c r="AA711" s="105"/>
      <c r="AB711" s="105"/>
      <c r="AC711" s="105"/>
      <c r="AD711" s="89"/>
      <c r="AE711" s="24"/>
      <c r="AF711" s="24"/>
      <c r="AG711" s="24"/>
      <c r="AH711" s="24"/>
      <c r="AI711" s="24"/>
      <c r="AJ711" s="24"/>
      <c r="AK711" s="24"/>
      <c r="AL711" s="24"/>
      <c r="AM711" s="24"/>
    </row>
    <row r="712">
      <c r="A712" s="11"/>
      <c r="B712" s="12" t="s">
        <v>7</v>
      </c>
      <c r="C712" s="12" t="s">
        <v>8</v>
      </c>
      <c r="D712" s="12" t="s">
        <v>15</v>
      </c>
      <c r="E712" s="12" t="s">
        <v>17</v>
      </c>
      <c r="F712" s="13" t="s">
        <v>18</v>
      </c>
      <c r="G712" s="12" t="s">
        <v>68</v>
      </c>
      <c r="H712" s="12" t="s">
        <v>954</v>
      </c>
      <c r="I712" s="12" t="s">
        <v>955</v>
      </c>
      <c r="J712" s="17" t="s">
        <v>108</v>
      </c>
      <c r="K712" s="17" t="s">
        <v>2055</v>
      </c>
      <c r="L712" s="17" t="s">
        <v>2077</v>
      </c>
      <c r="M712" s="20">
        <v>45982.0</v>
      </c>
      <c r="N712" s="17" t="s">
        <v>428</v>
      </c>
      <c r="O712" s="88" t="s">
        <v>1519</v>
      </c>
      <c r="P712" s="88" t="s">
        <v>1519</v>
      </c>
      <c r="Q712" s="88" t="s">
        <v>1519</v>
      </c>
      <c r="R712" s="88" t="s">
        <v>1520</v>
      </c>
      <c r="S712" s="88" t="s">
        <v>1519</v>
      </c>
      <c r="T712" s="88" t="s">
        <v>1519</v>
      </c>
      <c r="U712" s="88" t="s">
        <v>1519</v>
      </c>
      <c r="V712" s="88" t="s">
        <v>1519</v>
      </c>
      <c r="W712" s="88" t="s">
        <v>1519</v>
      </c>
      <c r="X712" s="88" t="s">
        <v>1519</v>
      </c>
      <c r="Y712" s="88" t="s">
        <v>1519</v>
      </c>
      <c r="Z712" s="88" t="s">
        <v>1519</v>
      </c>
      <c r="AA712" s="88" t="s">
        <v>1519</v>
      </c>
      <c r="AB712" s="88" t="s">
        <v>1519</v>
      </c>
      <c r="AC712" s="88" t="s">
        <v>1519</v>
      </c>
      <c r="AD712" s="89"/>
      <c r="AE712" s="18" t="s">
        <v>915</v>
      </c>
      <c r="AF712" s="24"/>
      <c r="AG712" s="24"/>
      <c r="AH712" s="24"/>
      <c r="AI712" s="24"/>
      <c r="AJ712" s="24"/>
      <c r="AK712" s="24"/>
      <c r="AL712" s="24"/>
      <c r="AM712" s="24"/>
    </row>
    <row r="713">
      <c r="A713" s="11"/>
      <c r="B713" s="12" t="s">
        <v>7</v>
      </c>
      <c r="C713" s="12" t="s">
        <v>8</v>
      </c>
      <c r="D713" s="12" t="s">
        <v>15</v>
      </c>
      <c r="E713" s="12" t="s">
        <v>17</v>
      </c>
      <c r="F713" s="13" t="s">
        <v>18</v>
      </c>
      <c r="G713" s="12" t="s">
        <v>68</v>
      </c>
      <c r="H713" s="12" t="s">
        <v>954</v>
      </c>
      <c r="I713" s="12" t="s">
        <v>955</v>
      </c>
      <c r="J713" s="17" t="s">
        <v>108</v>
      </c>
      <c r="K713" s="17" t="s">
        <v>2055</v>
      </c>
      <c r="L713" s="17" t="s">
        <v>2078</v>
      </c>
      <c r="M713" s="20">
        <v>45982.0</v>
      </c>
      <c r="N713" s="17" t="s">
        <v>428</v>
      </c>
      <c r="O713" s="88" t="s">
        <v>1519</v>
      </c>
      <c r="P713" s="88" t="s">
        <v>1519</v>
      </c>
      <c r="Q713" s="88" t="s">
        <v>1519</v>
      </c>
      <c r="R713" s="88" t="s">
        <v>1521</v>
      </c>
      <c r="S713" s="88" t="s">
        <v>1519</v>
      </c>
      <c r="T713" s="88" t="s">
        <v>1519</v>
      </c>
      <c r="U713" s="88" t="s">
        <v>1520</v>
      </c>
      <c r="V713" s="88" t="s">
        <v>1520</v>
      </c>
      <c r="W713" s="88" t="s">
        <v>1520</v>
      </c>
      <c r="X713" s="88" t="s">
        <v>1519</v>
      </c>
      <c r="Y713" s="88" t="s">
        <v>1519</v>
      </c>
      <c r="Z713" s="88" t="s">
        <v>1519</v>
      </c>
      <c r="AA713" s="88" t="s">
        <v>1520</v>
      </c>
      <c r="AB713" s="88" t="s">
        <v>1520</v>
      </c>
      <c r="AC713" s="88" t="s">
        <v>1520</v>
      </c>
      <c r="AD713" s="89"/>
      <c r="AE713" s="18" t="s">
        <v>915</v>
      </c>
      <c r="AF713" s="24"/>
      <c r="AG713" s="24"/>
      <c r="AH713" s="24"/>
      <c r="AI713" s="24"/>
      <c r="AJ713" s="24"/>
      <c r="AK713" s="24"/>
      <c r="AL713" s="24"/>
      <c r="AM713" s="24"/>
    </row>
    <row r="714">
      <c r="A714" s="11"/>
      <c r="B714" s="12" t="s">
        <v>7</v>
      </c>
      <c r="C714" s="12" t="s">
        <v>8</v>
      </c>
      <c r="D714" s="12" t="s">
        <v>15</v>
      </c>
      <c r="E714" s="12" t="s">
        <v>17</v>
      </c>
      <c r="F714" s="13" t="s">
        <v>18</v>
      </c>
      <c r="G714" s="12" t="s">
        <v>68</v>
      </c>
      <c r="H714" s="12" t="s">
        <v>954</v>
      </c>
      <c r="I714" s="12" t="s">
        <v>955</v>
      </c>
      <c r="J714" s="17" t="s">
        <v>112</v>
      </c>
      <c r="K714" s="17" t="s">
        <v>2055</v>
      </c>
      <c r="L714" s="17" t="s">
        <v>2079</v>
      </c>
      <c r="M714" s="20">
        <v>45982.0</v>
      </c>
      <c r="N714" s="17" t="s">
        <v>428</v>
      </c>
      <c r="O714" s="88" t="s">
        <v>1519</v>
      </c>
      <c r="P714" s="88" t="s">
        <v>1519</v>
      </c>
      <c r="Q714" s="88" t="s">
        <v>1519</v>
      </c>
      <c r="R714" s="88" t="s">
        <v>1520</v>
      </c>
      <c r="S714" s="88" t="s">
        <v>1519</v>
      </c>
      <c r="T714" s="88" t="s">
        <v>1519</v>
      </c>
      <c r="U714" s="88" t="s">
        <v>1520</v>
      </c>
      <c r="V714" s="88" t="s">
        <v>1520</v>
      </c>
      <c r="W714" s="88" t="s">
        <v>1520</v>
      </c>
      <c r="X714" s="88" t="s">
        <v>1519</v>
      </c>
      <c r="Y714" s="88" t="s">
        <v>1520</v>
      </c>
      <c r="Z714" s="88" t="s">
        <v>1520</v>
      </c>
      <c r="AA714" s="88" t="s">
        <v>1520</v>
      </c>
      <c r="AB714" s="88" t="s">
        <v>1520</v>
      </c>
      <c r="AC714" s="88" t="s">
        <v>1520</v>
      </c>
      <c r="AD714" s="89"/>
      <c r="AE714" s="18" t="s">
        <v>915</v>
      </c>
      <c r="AF714" s="24"/>
      <c r="AG714" s="24"/>
      <c r="AH714" s="24"/>
      <c r="AI714" s="24"/>
      <c r="AJ714" s="24"/>
      <c r="AK714" s="24"/>
      <c r="AL714" s="24"/>
      <c r="AM714" s="24"/>
    </row>
    <row r="715">
      <c r="A715" s="11"/>
      <c r="B715" s="12" t="s">
        <v>7</v>
      </c>
      <c r="C715" s="12" t="s">
        <v>8</v>
      </c>
      <c r="D715" s="12" t="s">
        <v>15</v>
      </c>
      <c r="E715" s="12" t="s">
        <v>17</v>
      </c>
      <c r="F715" s="13" t="s">
        <v>18</v>
      </c>
      <c r="G715" s="12" t="s">
        <v>68</v>
      </c>
      <c r="H715" s="12" t="s">
        <v>954</v>
      </c>
      <c r="I715" s="12" t="s">
        <v>955</v>
      </c>
      <c r="J715" s="17" t="s">
        <v>73</v>
      </c>
      <c r="K715" s="17" t="s">
        <v>2055</v>
      </c>
      <c r="L715" s="17" t="s">
        <v>2080</v>
      </c>
      <c r="M715" s="20">
        <v>45982.0</v>
      </c>
      <c r="N715" s="17" t="s">
        <v>428</v>
      </c>
      <c r="O715" s="88" t="s">
        <v>1519</v>
      </c>
      <c r="P715" s="88" t="s">
        <v>1519</v>
      </c>
      <c r="Q715" s="88" t="s">
        <v>1520</v>
      </c>
      <c r="R715" s="88" t="s">
        <v>1521</v>
      </c>
      <c r="S715" s="88" t="s">
        <v>1519</v>
      </c>
      <c r="T715" s="88" t="s">
        <v>1519</v>
      </c>
      <c r="U715" s="88" t="s">
        <v>1520</v>
      </c>
      <c r="V715" s="88" t="s">
        <v>1520</v>
      </c>
      <c r="W715" s="88" t="s">
        <v>1520</v>
      </c>
      <c r="X715" s="88" t="s">
        <v>1520</v>
      </c>
      <c r="Y715" s="88" t="s">
        <v>1519</v>
      </c>
      <c r="Z715" s="88" t="s">
        <v>1519</v>
      </c>
      <c r="AA715" s="88" t="s">
        <v>1520</v>
      </c>
      <c r="AB715" s="88" t="s">
        <v>1520</v>
      </c>
      <c r="AC715" s="88" t="s">
        <v>1520</v>
      </c>
      <c r="AD715" s="89"/>
      <c r="AE715" s="18" t="s">
        <v>915</v>
      </c>
      <c r="AF715" s="24"/>
      <c r="AG715" s="24"/>
      <c r="AH715" s="24"/>
      <c r="AI715" s="24"/>
      <c r="AJ715" s="24"/>
      <c r="AK715" s="24"/>
      <c r="AL715" s="24"/>
      <c r="AM715" s="24"/>
    </row>
    <row r="716">
      <c r="A716" s="11"/>
      <c r="B716" s="12" t="s">
        <v>7</v>
      </c>
      <c r="C716" s="12" t="s">
        <v>8</v>
      </c>
      <c r="D716" s="12" t="s">
        <v>15</v>
      </c>
      <c r="E716" s="12" t="s">
        <v>17</v>
      </c>
      <c r="F716" s="13" t="s">
        <v>18</v>
      </c>
      <c r="G716" s="12" t="s">
        <v>68</v>
      </c>
      <c r="H716" s="12" t="s">
        <v>954</v>
      </c>
      <c r="I716" s="12" t="s">
        <v>955</v>
      </c>
      <c r="J716" s="17" t="s">
        <v>73</v>
      </c>
      <c r="K716" s="17" t="s">
        <v>2055</v>
      </c>
      <c r="L716" s="17" t="s">
        <v>2081</v>
      </c>
      <c r="M716" s="20">
        <v>45982.0</v>
      </c>
      <c r="N716" s="17" t="s">
        <v>428</v>
      </c>
      <c r="O716" s="88" t="s">
        <v>1519</v>
      </c>
      <c r="P716" s="88" t="s">
        <v>1519</v>
      </c>
      <c r="Q716" s="88" t="s">
        <v>1519</v>
      </c>
      <c r="R716" s="88" t="s">
        <v>1521</v>
      </c>
      <c r="S716" s="88" t="s">
        <v>1519</v>
      </c>
      <c r="T716" s="88" t="s">
        <v>1519</v>
      </c>
      <c r="U716" s="88" t="s">
        <v>1519</v>
      </c>
      <c r="V716" s="88" t="s">
        <v>1519</v>
      </c>
      <c r="W716" s="88" t="s">
        <v>1519</v>
      </c>
      <c r="X716" s="88" t="s">
        <v>1519</v>
      </c>
      <c r="Y716" s="88" t="s">
        <v>1520</v>
      </c>
      <c r="Z716" s="88" t="s">
        <v>1520</v>
      </c>
      <c r="AA716" s="88" t="s">
        <v>1519</v>
      </c>
      <c r="AB716" s="88" t="s">
        <v>1519</v>
      </c>
      <c r="AC716" s="88" t="s">
        <v>1519</v>
      </c>
      <c r="AD716" s="89"/>
      <c r="AE716" s="18" t="s">
        <v>915</v>
      </c>
      <c r="AF716" s="24"/>
      <c r="AG716" s="24"/>
      <c r="AH716" s="24"/>
      <c r="AI716" s="24"/>
      <c r="AJ716" s="24"/>
      <c r="AK716" s="24"/>
      <c r="AL716" s="24"/>
      <c r="AM716" s="24"/>
    </row>
    <row r="717">
      <c r="A717" s="11"/>
      <c r="B717" s="12" t="s">
        <v>7</v>
      </c>
      <c r="C717" s="12" t="s">
        <v>8</v>
      </c>
      <c r="D717" s="12" t="s">
        <v>9</v>
      </c>
      <c r="E717" s="12" t="s">
        <v>10</v>
      </c>
      <c r="F717" s="13" t="s">
        <v>11</v>
      </c>
      <c r="G717" s="12" t="s">
        <v>68</v>
      </c>
      <c r="H717" s="12" t="s">
        <v>911</v>
      </c>
      <c r="I717" s="12" t="s">
        <v>912</v>
      </c>
      <c r="J717" s="17" t="s">
        <v>108</v>
      </c>
      <c r="L717" s="17" t="s">
        <v>2082</v>
      </c>
      <c r="M717" s="20">
        <v>45985.0</v>
      </c>
      <c r="N717" s="17" t="s">
        <v>428</v>
      </c>
      <c r="O717" s="88" t="s">
        <v>1519</v>
      </c>
      <c r="P717" s="88" t="s">
        <v>1519</v>
      </c>
      <c r="Q717" s="88" t="s">
        <v>1519</v>
      </c>
      <c r="R717" s="88" t="s">
        <v>1520</v>
      </c>
      <c r="S717" s="88" t="s">
        <v>1519</v>
      </c>
      <c r="T717" s="88" t="s">
        <v>1519</v>
      </c>
      <c r="U717" s="88" t="s">
        <v>1519</v>
      </c>
      <c r="V717" s="88" t="s">
        <v>1519</v>
      </c>
      <c r="W717" s="88" t="s">
        <v>1519</v>
      </c>
      <c r="X717" s="88" t="s">
        <v>1519</v>
      </c>
      <c r="Y717" s="88" t="s">
        <v>1519</v>
      </c>
      <c r="Z717" s="88" t="s">
        <v>1519</v>
      </c>
      <c r="AA717" s="88" t="s">
        <v>1520</v>
      </c>
      <c r="AB717" s="88" t="s">
        <v>1520</v>
      </c>
      <c r="AC717" s="88" t="s">
        <v>1520</v>
      </c>
      <c r="AD717" s="89"/>
      <c r="AE717" s="18" t="s">
        <v>915</v>
      </c>
      <c r="AF717" s="24"/>
      <c r="AG717" s="24"/>
      <c r="AH717" s="24"/>
      <c r="AI717" s="24"/>
      <c r="AJ717" s="24"/>
      <c r="AK717" s="24"/>
      <c r="AL717" s="24"/>
      <c r="AM717" s="24"/>
    </row>
    <row r="718">
      <c r="A718" s="11"/>
      <c r="B718" s="12" t="s">
        <v>7</v>
      </c>
      <c r="C718" s="12" t="s">
        <v>8</v>
      </c>
      <c r="D718" s="12" t="s">
        <v>9</v>
      </c>
      <c r="E718" s="12" t="s">
        <v>10</v>
      </c>
      <c r="F718" s="13" t="s">
        <v>11</v>
      </c>
      <c r="G718" s="12" t="s">
        <v>68</v>
      </c>
      <c r="H718" s="12" t="s">
        <v>911</v>
      </c>
      <c r="I718" s="12" t="s">
        <v>912</v>
      </c>
      <c r="J718" s="17" t="s">
        <v>108</v>
      </c>
      <c r="L718" s="17" t="s">
        <v>2083</v>
      </c>
      <c r="M718" s="20">
        <v>45985.0</v>
      </c>
      <c r="N718" s="17" t="s">
        <v>428</v>
      </c>
      <c r="O718" s="88" t="s">
        <v>1519</v>
      </c>
      <c r="P718" s="88" t="s">
        <v>1519</v>
      </c>
      <c r="Q718" s="88" t="s">
        <v>1519</v>
      </c>
      <c r="R718" s="88" t="s">
        <v>1520</v>
      </c>
      <c r="S718" s="88" t="s">
        <v>1519</v>
      </c>
      <c r="T718" s="88" t="s">
        <v>1519</v>
      </c>
      <c r="U718" s="88" t="s">
        <v>1519</v>
      </c>
      <c r="V718" s="88" t="s">
        <v>1519</v>
      </c>
      <c r="W718" s="88" t="s">
        <v>1520</v>
      </c>
      <c r="X718" s="88" t="s">
        <v>1519</v>
      </c>
      <c r="Y718" s="88" t="s">
        <v>1519</v>
      </c>
      <c r="Z718" s="88" t="s">
        <v>1519</v>
      </c>
      <c r="AA718" s="88" t="s">
        <v>1520</v>
      </c>
      <c r="AB718" s="88" t="s">
        <v>1520</v>
      </c>
      <c r="AC718" s="88" t="s">
        <v>1520</v>
      </c>
      <c r="AD718" s="89"/>
      <c r="AE718" s="18" t="s">
        <v>915</v>
      </c>
      <c r="AF718" s="24"/>
      <c r="AG718" s="24"/>
      <c r="AH718" s="24"/>
      <c r="AI718" s="24"/>
      <c r="AJ718" s="24"/>
      <c r="AK718" s="24"/>
      <c r="AL718" s="24"/>
      <c r="AM718" s="24"/>
    </row>
    <row r="719">
      <c r="A719" s="11"/>
      <c r="B719" s="12" t="s">
        <v>7</v>
      </c>
      <c r="C719" s="12" t="s">
        <v>8</v>
      </c>
      <c r="D719" s="12" t="s">
        <v>9</v>
      </c>
      <c r="E719" s="12" t="s">
        <v>10</v>
      </c>
      <c r="F719" s="13" t="s">
        <v>11</v>
      </c>
      <c r="G719" s="12" t="s">
        <v>68</v>
      </c>
      <c r="H719" s="12" t="s">
        <v>911</v>
      </c>
      <c r="I719" s="12" t="s">
        <v>912</v>
      </c>
      <c r="J719" s="17" t="s">
        <v>108</v>
      </c>
      <c r="L719" s="17" t="s">
        <v>2084</v>
      </c>
      <c r="M719" s="20">
        <v>45985.0</v>
      </c>
      <c r="N719" s="17" t="s">
        <v>428</v>
      </c>
      <c r="O719" s="88" t="s">
        <v>1519</v>
      </c>
      <c r="P719" s="88" t="s">
        <v>1519</v>
      </c>
      <c r="Q719" s="88" t="s">
        <v>1519</v>
      </c>
      <c r="R719" s="88" t="s">
        <v>1520</v>
      </c>
      <c r="S719" s="88" t="s">
        <v>1519</v>
      </c>
      <c r="T719" s="88" t="s">
        <v>1519</v>
      </c>
      <c r="U719" s="88" t="s">
        <v>1519</v>
      </c>
      <c r="V719" s="88" t="s">
        <v>1519</v>
      </c>
      <c r="W719" s="88" t="s">
        <v>1520</v>
      </c>
      <c r="X719" s="88" t="s">
        <v>1519</v>
      </c>
      <c r="Y719" s="88" t="s">
        <v>1519</v>
      </c>
      <c r="Z719" s="88" t="s">
        <v>1519</v>
      </c>
      <c r="AA719" s="88" t="s">
        <v>1520</v>
      </c>
      <c r="AB719" s="88" t="s">
        <v>1520</v>
      </c>
      <c r="AC719" s="88" t="s">
        <v>1520</v>
      </c>
      <c r="AD719" s="89"/>
      <c r="AE719" s="18" t="s">
        <v>915</v>
      </c>
      <c r="AF719" s="24"/>
      <c r="AG719" s="24"/>
      <c r="AH719" s="24"/>
      <c r="AI719" s="24"/>
      <c r="AJ719" s="24"/>
      <c r="AK719" s="24"/>
      <c r="AL719" s="24"/>
      <c r="AM719" s="24"/>
    </row>
    <row r="720">
      <c r="A720" s="11"/>
      <c r="B720" s="12" t="s">
        <v>7</v>
      </c>
      <c r="C720" s="12" t="s">
        <v>8</v>
      </c>
      <c r="D720" s="12" t="s">
        <v>9</v>
      </c>
      <c r="E720" s="12" t="s">
        <v>10</v>
      </c>
      <c r="F720" s="13" t="s">
        <v>11</v>
      </c>
      <c r="G720" s="12" t="s">
        <v>68</v>
      </c>
      <c r="H720" s="12" t="s">
        <v>911</v>
      </c>
      <c r="I720" s="12" t="s">
        <v>912</v>
      </c>
      <c r="J720" s="17" t="s">
        <v>108</v>
      </c>
      <c r="L720" s="17" t="s">
        <v>2085</v>
      </c>
      <c r="M720" s="20">
        <v>45985.0</v>
      </c>
      <c r="N720" s="17" t="s">
        <v>428</v>
      </c>
      <c r="O720" s="88" t="s">
        <v>1519</v>
      </c>
      <c r="P720" s="88" t="s">
        <v>1519</v>
      </c>
      <c r="Q720" s="88" t="s">
        <v>1519</v>
      </c>
      <c r="R720" s="88" t="s">
        <v>1519</v>
      </c>
      <c r="S720" s="88" t="s">
        <v>1520</v>
      </c>
      <c r="T720" s="88" t="s">
        <v>1520</v>
      </c>
      <c r="U720" s="88" t="s">
        <v>1519</v>
      </c>
      <c r="V720" s="88" t="s">
        <v>1519</v>
      </c>
      <c r="W720" s="88" t="s">
        <v>1520</v>
      </c>
      <c r="X720" s="88" t="s">
        <v>1519</v>
      </c>
      <c r="Y720" s="88" t="s">
        <v>1519</v>
      </c>
      <c r="Z720" s="88" t="s">
        <v>1519</v>
      </c>
      <c r="AA720" s="88" t="s">
        <v>1520</v>
      </c>
      <c r="AB720" s="88" t="s">
        <v>1520</v>
      </c>
      <c r="AC720" s="88" t="s">
        <v>1520</v>
      </c>
      <c r="AD720" s="89"/>
      <c r="AE720" s="18" t="s">
        <v>915</v>
      </c>
      <c r="AF720" s="24"/>
      <c r="AG720" s="24"/>
      <c r="AH720" s="24"/>
      <c r="AI720" s="24"/>
      <c r="AJ720" s="24"/>
      <c r="AK720" s="24"/>
      <c r="AL720" s="24"/>
      <c r="AM720" s="24"/>
    </row>
    <row r="721">
      <c r="A721" s="11"/>
      <c r="B721" s="12" t="s">
        <v>7</v>
      </c>
      <c r="C721" s="12" t="s">
        <v>8</v>
      </c>
      <c r="D721" s="12" t="s">
        <v>9</v>
      </c>
      <c r="E721" s="12" t="s">
        <v>10</v>
      </c>
      <c r="F721" s="13" t="s">
        <v>11</v>
      </c>
      <c r="G721" s="12" t="s">
        <v>68</v>
      </c>
      <c r="H721" s="12" t="s">
        <v>911</v>
      </c>
      <c r="I721" s="12" t="s">
        <v>912</v>
      </c>
      <c r="J721" s="17" t="s">
        <v>108</v>
      </c>
      <c r="L721" s="17" t="s">
        <v>2086</v>
      </c>
      <c r="M721" s="20">
        <v>45985.0</v>
      </c>
      <c r="N721" s="17" t="s">
        <v>428</v>
      </c>
      <c r="O721" s="88" t="s">
        <v>1519</v>
      </c>
      <c r="P721" s="88" t="s">
        <v>1519</v>
      </c>
      <c r="Q721" s="88" t="s">
        <v>1519</v>
      </c>
      <c r="R721" s="88" t="s">
        <v>1520</v>
      </c>
      <c r="S721" s="88" t="s">
        <v>1519</v>
      </c>
      <c r="T721" s="88" t="s">
        <v>1519</v>
      </c>
      <c r="U721" s="88" t="s">
        <v>1519</v>
      </c>
      <c r="V721" s="88" t="s">
        <v>1519</v>
      </c>
      <c r="W721" s="88" t="s">
        <v>1520</v>
      </c>
      <c r="X721" s="88" t="s">
        <v>1520</v>
      </c>
      <c r="Y721" s="88" t="s">
        <v>1519</v>
      </c>
      <c r="Z721" s="88" t="s">
        <v>1519</v>
      </c>
      <c r="AA721" s="88" t="s">
        <v>1520</v>
      </c>
      <c r="AB721" s="88" t="s">
        <v>1519</v>
      </c>
      <c r="AC721" s="88" t="s">
        <v>1519</v>
      </c>
      <c r="AD721" s="89"/>
      <c r="AE721" s="18" t="s">
        <v>915</v>
      </c>
      <c r="AF721" s="24"/>
      <c r="AG721" s="24"/>
      <c r="AH721" s="24"/>
      <c r="AI721" s="24"/>
      <c r="AJ721" s="24"/>
      <c r="AK721" s="24"/>
      <c r="AL721" s="24"/>
      <c r="AM721" s="24"/>
    </row>
    <row r="722">
      <c r="A722" s="11"/>
      <c r="B722" s="12" t="s">
        <v>7</v>
      </c>
      <c r="C722" s="12" t="s">
        <v>8</v>
      </c>
      <c r="D722" s="12" t="s">
        <v>9</v>
      </c>
      <c r="E722" s="12" t="s">
        <v>10</v>
      </c>
      <c r="F722" s="13" t="s">
        <v>11</v>
      </c>
      <c r="G722" s="12" t="s">
        <v>68</v>
      </c>
      <c r="H722" s="12" t="s">
        <v>911</v>
      </c>
      <c r="I722" s="12" t="s">
        <v>912</v>
      </c>
      <c r="J722" s="17" t="s">
        <v>108</v>
      </c>
      <c r="L722" s="17" t="s">
        <v>2087</v>
      </c>
      <c r="M722" s="20">
        <v>45985.0</v>
      </c>
      <c r="N722" s="17" t="s">
        <v>428</v>
      </c>
      <c r="O722" s="88" t="s">
        <v>1519</v>
      </c>
      <c r="P722" s="88" t="s">
        <v>1519</v>
      </c>
      <c r="Q722" s="88" t="s">
        <v>1519</v>
      </c>
      <c r="R722" s="88" t="s">
        <v>1520</v>
      </c>
      <c r="S722" s="88" t="s">
        <v>1519</v>
      </c>
      <c r="T722" s="88" t="s">
        <v>1519</v>
      </c>
      <c r="U722" s="88" t="s">
        <v>1519</v>
      </c>
      <c r="V722" s="88" t="s">
        <v>1519</v>
      </c>
      <c r="W722" s="88" t="s">
        <v>1519</v>
      </c>
      <c r="X722" s="88" t="s">
        <v>1519</v>
      </c>
      <c r="Y722" s="88" t="s">
        <v>1519</v>
      </c>
      <c r="Z722" s="88" t="s">
        <v>1519</v>
      </c>
      <c r="AA722" s="88" t="s">
        <v>1520</v>
      </c>
      <c r="AB722" s="88" t="s">
        <v>1520</v>
      </c>
      <c r="AC722" s="88" t="s">
        <v>1520</v>
      </c>
      <c r="AD722" s="89"/>
      <c r="AE722" s="18" t="s">
        <v>915</v>
      </c>
      <c r="AF722" s="24"/>
      <c r="AG722" s="24"/>
      <c r="AH722" s="24"/>
      <c r="AI722" s="24"/>
      <c r="AJ722" s="24"/>
      <c r="AK722" s="24"/>
      <c r="AL722" s="24"/>
      <c r="AM722" s="24"/>
    </row>
    <row r="723">
      <c r="A723" s="11"/>
      <c r="B723" s="12" t="s">
        <v>7</v>
      </c>
      <c r="C723" s="12" t="s">
        <v>8</v>
      </c>
      <c r="D723" s="12" t="s">
        <v>9</v>
      </c>
      <c r="E723" s="12" t="s">
        <v>10</v>
      </c>
      <c r="F723" s="13" t="s">
        <v>11</v>
      </c>
      <c r="G723" s="12" t="s">
        <v>68</v>
      </c>
      <c r="H723" s="12" t="s">
        <v>911</v>
      </c>
      <c r="I723" s="12" t="s">
        <v>912</v>
      </c>
      <c r="J723" s="17" t="s">
        <v>108</v>
      </c>
      <c r="L723" s="17" t="s">
        <v>2088</v>
      </c>
      <c r="M723" s="20">
        <v>45985.0</v>
      </c>
      <c r="N723" s="17" t="s">
        <v>428</v>
      </c>
      <c r="O723" s="88" t="s">
        <v>1519</v>
      </c>
      <c r="P723" s="88" t="s">
        <v>1519</v>
      </c>
      <c r="Q723" s="88" t="s">
        <v>1519</v>
      </c>
      <c r="R723" s="88" t="s">
        <v>1519</v>
      </c>
      <c r="S723" s="88" t="s">
        <v>1519</v>
      </c>
      <c r="T723" s="88" t="s">
        <v>1519</v>
      </c>
      <c r="U723" s="88" t="s">
        <v>1519</v>
      </c>
      <c r="V723" s="88" t="s">
        <v>1519</v>
      </c>
      <c r="W723" s="88" t="s">
        <v>1520</v>
      </c>
      <c r="X723" s="88" t="s">
        <v>1519</v>
      </c>
      <c r="Y723" s="88" t="s">
        <v>1519</v>
      </c>
      <c r="Z723" s="88" t="s">
        <v>1519</v>
      </c>
      <c r="AA723" s="88" t="s">
        <v>1520</v>
      </c>
      <c r="AB723" s="88" t="s">
        <v>1519</v>
      </c>
      <c r="AC723" s="88" t="s">
        <v>1519</v>
      </c>
      <c r="AD723" s="89"/>
      <c r="AE723" s="18" t="s">
        <v>915</v>
      </c>
      <c r="AF723" s="24"/>
      <c r="AG723" s="24"/>
      <c r="AH723" s="24"/>
      <c r="AI723" s="24"/>
      <c r="AJ723" s="24"/>
      <c r="AK723" s="24"/>
      <c r="AL723" s="24"/>
      <c r="AM723" s="24"/>
    </row>
    <row r="724">
      <c r="A724" s="11"/>
      <c r="B724" s="12" t="s">
        <v>7</v>
      </c>
      <c r="C724" s="12" t="s">
        <v>8</v>
      </c>
      <c r="D724" s="12" t="s">
        <v>9</v>
      </c>
      <c r="E724" s="12" t="s">
        <v>10</v>
      </c>
      <c r="F724" s="13" t="s">
        <v>11</v>
      </c>
      <c r="G724" s="12" t="s">
        <v>68</v>
      </c>
      <c r="H724" s="12" t="s">
        <v>911</v>
      </c>
      <c r="I724" s="12" t="s">
        <v>912</v>
      </c>
      <c r="J724" s="17" t="s">
        <v>108</v>
      </c>
      <c r="L724" s="17" t="s">
        <v>2089</v>
      </c>
      <c r="M724" s="20">
        <v>45985.0</v>
      </c>
      <c r="N724" s="17" t="s">
        <v>428</v>
      </c>
      <c r="O724" s="88" t="s">
        <v>1519</v>
      </c>
      <c r="P724" s="88" t="s">
        <v>1519</v>
      </c>
      <c r="Q724" s="88" t="s">
        <v>1519</v>
      </c>
      <c r="R724" s="88" t="s">
        <v>1520</v>
      </c>
      <c r="S724" s="88" t="s">
        <v>1519</v>
      </c>
      <c r="T724" s="88" t="s">
        <v>1519</v>
      </c>
      <c r="U724" s="88" t="s">
        <v>1519</v>
      </c>
      <c r="V724" s="88" t="s">
        <v>1519</v>
      </c>
      <c r="W724" s="88" t="s">
        <v>1520</v>
      </c>
      <c r="X724" s="88" t="s">
        <v>1519</v>
      </c>
      <c r="Y724" s="88" t="s">
        <v>1519</v>
      </c>
      <c r="Z724" s="88" t="s">
        <v>1519</v>
      </c>
      <c r="AA724" s="88" t="s">
        <v>1520</v>
      </c>
      <c r="AB724" s="88" t="s">
        <v>1520</v>
      </c>
      <c r="AC724" s="88" t="s">
        <v>1520</v>
      </c>
      <c r="AD724" s="89"/>
      <c r="AE724" s="18" t="s">
        <v>915</v>
      </c>
      <c r="AF724" s="24"/>
      <c r="AG724" s="24"/>
      <c r="AH724" s="24"/>
      <c r="AI724" s="24"/>
      <c r="AJ724" s="24"/>
      <c r="AK724" s="24"/>
      <c r="AL724" s="24"/>
      <c r="AM724" s="24"/>
    </row>
    <row r="725">
      <c r="A725" s="11"/>
      <c r="B725" s="12" t="s">
        <v>7</v>
      </c>
      <c r="C725" s="12" t="s">
        <v>8</v>
      </c>
      <c r="D725" s="12" t="s">
        <v>9</v>
      </c>
      <c r="E725" s="12" t="s">
        <v>10</v>
      </c>
      <c r="F725" s="13" t="s">
        <v>11</v>
      </c>
      <c r="G725" s="12" t="s">
        <v>68</v>
      </c>
      <c r="H725" s="12" t="s">
        <v>911</v>
      </c>
      <c r="I725" s="12" t="s">
        <v>912</v>
      </c>
      <c r="J725" s="17" t="s">
        <v>108</v>
      </c>
      <c r="L725" s="17" t="s">
        <v>2090</v>
      </c>
      <c r="M725" s="20">
        <v>45985.0</v>
      </c>
      <c r="N725" s="17" t="s">
        <v>428</v>
      </c>
      <c r="O725" s="88" t="s">
        <v>1519</v>
      </c>
      <c r="P725" s="88" t="s">
        <v>1519</v>
      </c>
      <c r="Q725" s="88" t="s">
        <v>1519</v>
      </c>
      <c r="R725" s="88" t="s">
        <v>1520</v>
      </c>
      <c r="S725" s="88" t="s">
        <v>1519</v>
      </c>
      <c r="T725" s="88" t="s">
        <v>1519</v>
      </c>
      <c r="U725" s="88" t="s">
        <v>1520</v>
      </c>
      <c r="V725" s="88" t="s">
        <v>1520</v>
      </c>
      <c r="W725" s="88" t="s">
        <v>1520</v>
      </c>
      <c r="X725" s="88" t="s">
        <v>1519</v>
      </c>
      <c r="Y725" s="88" t="s">
        <v>1519</v>
      </c>
      <c r="Z725" s="88" t="s">
        <v>1519</v>
      </c>
      <c r="AA725" s="88" t="s">
        <v>1520</v>
      </c>
      <c r="AB725" s="88" t="s">
        <v>1520</v>
      </c>
      <c r="AC725" s="88" t="s">
        <v>1520</v>
      </c>
      <c r="AD725" s="89"/>
      <c r="AE725" s="18" t="s">
        <v>915</v>
      </c>
      <c r="AF725" s="24"/>
      <c r="AG725" s="24"/>
      <c r="AH725" s="24"/>
      <c r="AI725" s="24"/>
      <c r="AJ725" s="24"/>
      <c r="AK725" s="24"/>
      <c r="AL725" s="24"/>
      <c r="AM725" s="24"/>
    </row>
    <row r="726">
      <c r="A726" s="11"/>
      <c r="B726" s="12" t="s">
        <v>7</v>
      </c>
      <c r="C726" s="12" t="s">
        <v>8</v>
      </c>
      <c r="D726" s="12" t="s">
        <v>9</v>
      </c>
      <c r="E726" s="12" t="s">
        <v>10</v>
      </c>
      <c r="F726" s="13" t="s">
        <v>11</v>
      </c>
      <c r="G726" s="12" t="s">
        <v>68</v>
      </c>
      <c r="H726" s="12" t="s">
        <v>911</v>
      </c>
      <c r="I726" s="12" t="s">
        <v>912</v>
      </c>
      <c r="J726" s="17" t="s">
        <v>73</v>
      </c>
      <c r="L726" s="17" t="s">
        <v>2091</v>
      </c>
      <c r="M726" s="20">
        <v>45985.0</v>
      </c>
      <c r="N726" s="17" t="s">
        <v>428</v>
      </c>
      <c r="O726" s="88" t="s">
        <v>1519</v>
      </c>
      <c r="P726" s="88" t="s">
        <v>1519</v>
      </c>
      <c r="Q726" s="88" t="s">
        <v>1519</v>
      </c>
      <c r="R726" s="88" t="s">
        <v>1521</v>
      </c>
      <c r="S726" s="88" t="s">
        <v>1520</v>
      </c>
      <c r="T726" s="88" t="s">
        <v>1520</v>
      </c>
      <c r="U726" s="88" t="s">
        <v>1519</v>
      </c>
      <c r="V726" s="88" t="s">
        <v>1519</v>
      </c>
      <c r="W726" s="88" t="s">
        <v>1520</v>
      </c>
      <c r="X726" s="88" t="s">
        <v>1520</v>
      </c>
      <c r="Y726" s="88" t="s">
        <v>1520</v>
      </c>
      <c r="Z726" s="88" t="s">
        <v>1520</v>
      </c>
      <c r="AA726" s="88" t="s">
        <v>1520</v>
      </c>
      <c r="AB726" s="88" t="s">
        <v>1520</v>
      </c>
      <c r="AC726" s="88" t="s">
        <v>1520</v>
      </c>
      <c r="AD726" s="89"/>
      <c r="AE726" s="18" t="s">
        <v>915</v>
      </c>
      <c r="AF726" s="24"/>
      <c r="AG726" s="24"/>
      <c r="AH726" s="24"/>
      <c r="AI726" s="24"/>
      <c r="AJ726" s="24"/>
      <c r="AK726" s="24"/>
      <c r="AL726" s="24"/>
      <c r="AM726" s="24"/>
    </row>
    <row r="727">
      <c r="A727" s="11"/>
      <c r="B727" s="12" t="s">
        <v>7</v>
      </c>
      <c r="C727" s="12" t="s">
        <v>8</v>
      </c>
      <c r="D727" s="12" t="s">
        <v>9</v>
      </c>
      <c r="E727" s="12" t="s">
        <v>10</v>
      </c>
      <c r="F727" s="13" t="s">
        <v>11</v>
      </c>
      <c r="G727" s="12" t="s">
        <v>68</v>
      </c>
      <c r="H727" s="12" t="s">
        <v>911</v>
      </c>
      <c r="I727" s="12" t="s">
        <v>912</v>
      </c>
      <c r="J727" s="17" t="s">
        <v>73</v>
      </c>
      <c r="L727" s="17" t="s">
        <v>2092</v>
      </c>
      <c r="M727" s="20">
        <v>45985.0</v>
      </c>
      <c r="N727" s="17" t="s">
        <v>428</v>
      </c>
      <c r="O727" s="88" t="s">
        <v>1519</v>
      </c>
      <c r="P727" s="88" t="s">
        <v>1519</v>
      </c>
      <c r="Q727" s="88" t="s">
        <v>1519</v>
      </c>
      <c r="R727" s="88" t="s">
        <v>1521</v>
      </c>
      <c r="S727" s="88" t="s">
        <v>1519</v>
      </c>
      <c r="T727" s="88" t="s">
        <v>1519</v>
      </c>
      <c r="U727" s="88" t="s">
        <v>1520</v>
      </c>
      <c r="V727" s="88" t="s">
        <v>1520</v>
      </c>
      <c r="W727" s="88" t="s">
        <v>1520</v>
      </c>
      <c r="X727" s="88" t="s">
        <v>1520</v>
      </c>
      <c r="Y727" s="88" t="s">
        <v>1520</v>
      </c>
      <c r="Z727" s="88" t="s">
        <v>1520</v>
      </c>
      <c r="AA727" s="88" t="s">
        <v>1519</v>
      </c>
      <c r="AB727" s="88" t="s">
        <v>1520</v>
      </c>
      <c r="AC727" s="88" t="s">
        <v>1520</v>
      </c>
      <c r="AD727" s="89"/>
      <c r="AE727" s="18" t="s">
        <v>915</v>
      </c>
      <c r="AF727" s="24"/>
      <c r="AG727" s="24"/>
      <c r="AH727" s="24"/>
      <c r="AI727" s="24"/>
      <c r="AJ727" s="24"/>
      <c r="AK727" s="24"/>
      <c r="AL727" s="24"/>
      <c r="AM727" s="24"/>
    </row>
    <row r="728">
      <c r="A728" s="11"/>
      <c r="B728" s="12" t="s">
        <v>7</v>
      </c>
      <c r="C728" s="12" t="s">
        <v>8</v>
      </c>
      <c r="D728" s="12" t="s">
        <v>9</v>
      </c>
      <c r="E728" s="12" t="s">
        <v>10</v>
      </c>
      <c r="F728" s="13" t="s">
        <v>11</v>
      </c>
      <c r="G728" s="12" t="s">
        <v>68</v>
      </c>
      <c r="H728" s="12" t="s">
        <v>911</v>
      </c>
      <c r="I728" s="12" t="s">
        <v>912</v>
      </c>
      <c r="J728" s="17" t="s">
        <v>73</v>
      </c>
      <c r="L728" s="17" t="s">
        <v>2093</v>
      </c>
      <c r="M728" s="20">
        <v>45985.0</v>
      </c>
      <c r="N728" s="17" t="s">
        <v>428</v>
      </c>
      <c r="O728" s="88" t="s">
        <v>1519</v>
      </c>
      <c r="P728" s="88" t="s">
        <v>1519</v>
      </c>
      <c r="Q728" s="88" t="s">
        <v>1519</v>
      </c>
      <c r="R728" s="88" t="s">
        <v>1521</v>
      </c>
      <c r="S728" s="88" t="s">
        <v>1519</v>
      </c>
      <c r="T728" s="88" t="s">
        <v>1519</v>
      </c>
      <c r="U728" s="88" t="s">
        <v>1519</v>
      </c>
      <c r="V728" s="88" t="s">
        <v>1519</v>
      </c>
      <c r="W728" s="88" t="s">
        <v>1520</v>
      </c>
      <c r="X728" s="88" t="s">
        <v>1520</v>
      </c>
      <c r="Y728" s="88" t="s">
        <v>1520</v>
      </c>
      <c r="Z728" s="88" t="s">
        <v>1520</v>
      </c>
      <c r="AA728" s="88" t="s">
        <v>1520</v>
      </c>
      <c r="AB728" s="88" t="s">
        <v>1520</v>
      </c>
      <c r="AC728" s="88" t="s">
        <v>1520</v>
      </c>
      <c r="AD728" s="89"/>
      <c r="AE728" s="18" t="s">
        <v>915</v>
      </c>
      <c r="AF728" s="24"/>
      <c r="AG728" s="24"/>
      <c r="AH728" s="24"/>
      <c r="AI728" s="24"/>
      <c r="AJ728" s="24"/>
      <c r="AK728" s="24"/>
      <c r="AL728" s="24"/>
      <c r="AM728" s="24"/>
    </row>
    <row r="729">
      <c r="A729" s="11"/>
      <c r="B729" s="12" t="s">
        <v>7</v>
      </c>
      <c r="C729" s="12" t="s">
        <v>8</v>
      </c>
      <c r="D729" s="12" t="s">
        <v>9</v>
      </c>
      <c r="E729" s="12" t="s">
        <v>10</v>
      </c>
      <c r="F729" s="13" t="s">
        <v>11</v>
      </c>
      <c r="G729" s="12" t="s">
        <v>68</v>
      </c>
      <c r="H729" s="12" t="s">
        <v>911</v>
      </c>
      <c r="I729" s="12" t="s">
        <v>912</v>
      </c>
      <c r="J729" s="17" t="s">
        <v>73</v>
      </c>
      <c r="L729" s="17" t="s">
        <v>2094</v>
      </c>
      <c r="M729" s="20">
        <v>45985.0</v>
      </c>
      <c r="N729" s="17" t="s">
        <v>428</v>
      </c>
      <c r="O729" s="88" t="s">
        <v>1519</v>
      </c>
      <c r="P729" s="88" t="s">
        <v>1519</v>
      </c>
      <c r="Q729" s="88" t="s">
        <v>1519</v>
      </c>
      <c r="R729" s="88" t="s">
        <v>1521</v>
      </c>
      <c r="S729" s="88" t="s">
        <v>1519</v>
      </c>
      <c r="T729" s="88" t="s">
        <v>1519</v>
      </c>
      <c r="U729" s="88" t="s">
        <v>1520</v>
      </c>
      <c r="V729" s="88" t="s">
        <v>1520</v>
      </c>
      <c r="W729" s="88" t="s">
        <v>1520</v>
      </c>
      <c r="X729" s="88" t="s">
        <v>1520</v>
      </c>
      <c r="Y729" s="88" t="s">
        <v>1520</v>
      </c>
      <c r="Z729" s="88" t="s">
        <v>1520</v>
      </c>
      <c r="AA729" s="88" t="s">
        <v>1519</v>
      </c>
      <c r="AB729" s="88" t="s">
        <v>1520</v>
      </c>
      <c r="AC729" s="88" t="s">
        <v>1520</v>
      </c>
      <c r="AD729" s="89"/>
      <c r="AE729" s="18" t="s">
        <v>915</v>
      </c>
      <c r="AF729" s="24"/>
      <c r="AG729" s="24"/>
      <c r="AH729" s="24"/>
      <c r="AI729" s="24"/>
      <c r="AJ729" s="24"/>
      <c r="AK729" s="24"/>
      <c r="AL729" s="24"/>
      <c r="AM729" s="24"/>
    </row>
    <row r="730">
      <c r="A730" s="11"/>
      <c r="B730" s="12" t="s">
        <v>7</v>
      </c>
      <c r="C730" s="12" t="s">
        <v>8</v>
      </c>
      <c r="D730" s="12" t="s">
        <v>9</v>
      </c>
      <c r="E730" s="12" t="s">
        <v>10</v>
      </c>
      <c r="F730" s="13" t="s">
        <v>11</v>
      </c>
      <c r="G730" s="12" t="s">
        <v>68</v>
      </c>
      <c r="H730" s="12" t="s">
        <v>911</v>
      </c>
      <c r="I730" s="12" t="s">
        <v>912</v>
      </c>
      <c r="J730" s="17" t="s">
        <v>73</v>
      </c>
      <c r="L730" s="17" t="s">
        <v>2095</v>
      </c>
      <c r="M730" s="20">
        <v>45985.0</v>
      </c>
      <c r="N730" s="17" t="s">
        <v>428</v>
      </c>
      <c r="O730" s="88" t="s">
        <v>1519</v>
      </c>
      <c r="P730" s="88" t="s">
        <v>1519</v>
      </c>
      <c r="Q730" s="88" t="s">
        <v>1519</v>
      </c>
      <c r="R730" s="88" t="s">
        <v>1521</v>
      </c>
      <c r="S730" s="88" t="s">
        <v>1519</v>
      </c>
      <c r="T730" s="88" t="s">
        <v>1519</v>
      </c>
      <c r="U730" s="88" t="s">
        <v>1520</v>
      </c>
      <c r="V730" s="88" t="s">
        <v>1520</v>
      </c>
      <c r="W730" s="88" t="s">
        <v>1520</v>
      </c>
      <c r="X730" s="88" t="s">
        <v>1520</v>
      </c>
      <c r="Y730" s="88" t="s">
        <v>1520</v>
      </c>
      <c r="Z730" s="88" t="s">
        <v>1520</v>
      </c>
      <c r="AA730" s="88" t="s">
        <v>1519</v>
      </c>
      <c r="AB730" s="88" t="s">
        <v>1520</v>
      </c>
      <c r="AC730" s="88" t="s">
        <v>1520</v>
      </c>
      <c r="AD730" s="89"/>
      <c r="AE730" s="18" t="s">
        <v>915</v>
      </c>
      <c r="AF730" s="24"/>
      <c r="AG730" s="24"/>
      <c r="AH730" s="24"/>
      <c r="AI730" s="24"/>
      <c r="AJ730" s="24"/>
      <c r="AK730" s="24"/>
      <c r="AL730" s="24"/>
      <c r="AM730" s="24"/>
    </row>
    <row r="731">
      <c r="A731" s="11"/>
      <c r="B731" s="12" t="s">
        <v>7</v>
      </c>
      <c r="C731" s="12" t="s">
        <v>8</v>
      </c>
      <c r="D731" s="12" t="s">
        <v>9</v>
      </c>
      <c r="E731" s="12" t="s">
        <v>10</v>
      </c>
      <c r="F731" s="13" t="s">
        <v>11</v>
      </c>
      <c r="G731" s="12" t="s">
        <v>68</v>
      </c>
      <c r="H731" s="12" t="s">
        <v>911</v>
      </c>
      <c r="I731" s="12" t="s">
        <v>912</v>
      </c>
      <c r="J731" s="17" t="s">
        <v>112</v>
      </c>
      <c r="L731" s="17" t="s">
        <v>2096</v>
      </c>
      <c r="M731" s="20">
        <v>45985.0</v>
      </c>
      <c r="N731" s="17" t="s">
        <v>428</v>
      </c>
      <c r="O731" s="88" t="s">
        <v>1519</v>
      </c>
      <c r="P731" s="88" t="s">
        <v>1519</v>
      </c>
      <c r="Q731" s="88" t="s">
        <v>1519</v>
      </c>
      <c r="R731" s="88" t="s">
        <v>1521</v>
      </c>
      <c r="S731" s="88" t="s">
        <v>1520</v>
      </c>
      <c r="T731" s="88" t="s">
        <v>1520</v>
      </c>
      <c r="U731" s="88" t="s">
        <v>1519</v>
      </c>
      <c r="V731" s="88" t="s">
        <v>1519</v>
      </c>
      <c r="W731" s="88" t="s">
        <v>1520</v>
      </c>
      <c r="X731" s="88" t="s">
        <v>1520</v>
      </c>
      <c r="Y731" s="88" t="s">
        <v>1520</v>
      </c>
      <c r="Z731" s="88" t="s">
        <v>1520</v>
      </c>
      <c r="AA731" s="88" t="s">
        <v>1520</v>
      </c>
      <c r="AB731" s="88" t="s">
        <v>1520</v>
      </c>
      <c r="AC731" s="88" t="s">
        <v>1520</v>
      </c>
      <c r="AD731" s="89"/>
      <c r="AE731" s="18" t="s">
        <v>915</v>
      </c>
      <c r="AF731" s="24"/>
      <c r="AG731" s="24"/>
      <c r="AH731" s="24"/>
      <c r="AI731" s="24"/>
      <c r="AJ731" s="24"/>
      <c r="AK731" s="24"/>
      <c r="AL731" s="24"/>
      <c r="AM731" s="24"/>
    </row>
    <row r="732">
      <c r="A732" s="11"/>
      <c r="B732" s="12" t="s">
        <v>7</v>
      </c>
      <c r="C732" s="12" t="s">
        <v>8</v>
      </c>
      <c r="D732" s="12" t="s">
        <v>9</v>
      </c>
      <c r="E732" s="12" t="s">
        <v>10</v>
      </c>
      <c r="F732" s="13" t="s">
        <v>11</v>
      </c>
      <c r="G732" s="12" t="s">
        <v>68</v>
      </c>
      <c r="H732" s="12" t="s">
        <v>911</v>
      </c>
      <c r="I732" s="12" t="s">
        <v>912</v>
      </c>
      <c r="J732" s="17" t="s">
        <v>112</v>
      </c>
      <c r="L732" s="17" t="s">
        <v>2097</v>
      </c>
      <c r="M732" s="20">
        <v>45985.0</v>
      </c>
      <c r="N732" s="17" t="s">
        <v>428</v>
      </c>
      <c r="O732" s="88" t="s">
        <v>1519</v>
      </c>
      <c r="P732" s="88" t="s">
        <v>1519</v>
      </c>
      <c r="Q732" s="88" t="s">
        <v>1519</v>
      </c>
      <c r="R732" s="88" t="s">
        <v>1521</v>
      </c>
      <c r="S732" s="88" t="s">
        <v>1519</v>
      </c>
      <c r="T732" s="88" t="s">
        <v>1519</v>
      </c>
      <c r="U732" s="88" t="s">
        <v>1520</v>
      </c>
      <c r="V732" s="88" t="s">
        <v>1520</v>
      </c>
      <c r="W732" s="88" t="s">
        <v>1520</v>
      </c>
      <c r="X732" s="88" t="s">
        <v>1520</v>
      </c>
      <c r="Y732" s="88" t="s">
        <v>1520</v>
      </c>
      <c r="Z732" s="88" t="s">
        <v>1520</v>
      </c>
      <c r="AA732" s="88" t="s">
        <v>1520</v>
      </c>
      <c r="AB732" s="88" t="s">
        <v>1520</v>
      </c>
      <c r="AC732" s="88" t="s">
        <v>1520</v>
      </c>
      <c r="AD732" s="89"/>
      <c r="AE732" s="18" t="s">
        <v>915</v>
      </c>
      <c r="AF732" s="24"/>
      <c r="AG732" s="24"/>
      <c r="AH732" s="24"/>
      <c r="AI732" s="24"/>
      <c r="AJ732" s="24"/>
      <c r="AK732" s="24"/>
      <c r="AL732" s="24"/>
      <c r="AM732" s="24"/>
    </row>
    <row r="733">
      <c r="A733" s="11"/>
      <c r="B733" s="12" t="s">
        <v>7</v>
      </c>
      <c r="C733" s="12" t="s">
        <v>8</v>
      </c>
      <c r="D733" s="12" t="s">
        <v>15</v>
      </c>
      <c r="E733" s="12" t="s">
        <v>15</v>
      </c>
      <c r="F733" s="13" t="s">
        <v>16</v>
      </c>
      <c r="G733" s="12" t="s">
        <v>68</v>
      </c>
      <c r="H733" s="12" t="s">
        <v>928</v>
      </c>
      <c r="I733" s="12" t="s">
        <v>929</v>
      </c>
      <c r="J733" s="17" t="s">
        <v>73</v>
      </c>
      <c r="L733" s="17" t="s">
        <v>2098</v>
      </c>
      <c r="M733" s="20">
        <v>45986.0</v>
      </c>
      <c r="N733" s="17" t="s">
        <v>428</v>
      </c>
      <c r="O733" s="88" t="s">
        <v>1519</v>
      </c>
      <c r="P733" s="88" t="s">
        <v>1519</v>
      </c>
      <c r="Q733" s="88" t="s">
        <v>1520</v>
      </c>
      <c r="R733" s="88" t="s">
        <v>1520</v>
      </c>
      <c r="S733" s="88" t="s">
        <v>1519</v>
      </c>
      <c r="T733" s="88" t="s">
        <v>1519</v>
      </c>
      <c r="U733" s="88" t="s">
        <v>1519</v>
      </c>
      <c r="V733" s="88" t="s">
        <v>1519</v>
      </c>
      <c r="W733" s="88" t="s">
        <v>1520</v>
      </c>
      <c r="X733" s="88" t="s">
        <v>1520</v>
      </c>
      <c r="Y733" s="88" t="s">
        <v>1520</v>
      </c>
      <c r="Z733" s="88" t="s">
        <v>1520</v>
      </c>
      <c r="AA733" s="88" t="s">
        <v>1519</v>
      </c>
      <c r="AB733" s="88" t="s">
        <v>1519</v>
      </c>
      <c r="AC733" s="88" t="s">
        <v>1519</v>
      </c>
      <c r="AD733" s="89"/>
      <c r="AE733" s="18" t="s">
        <v>915</v>
      </c>
      <c r="AF733" s="24"/>
      <c r="AG733" s="24"/>
      <c r="AH733" s="24"/>
      <c r="AI733" s="24"/>
      <c r="AJ733" s="24"/>
      <c r="AK733" s="24"/>
      <c r="AL733" s="24"/>
      <c r="AM733" s="24"/>
    </row>
    <row r="734">
      <c r="A734" s="11"/>
      <c r="B734" s="12" t="s">
        <v>7</v>
      </c>
      <c r="C734" s="12" t="s">
        <v>8</v>
      </c>
      <c r="D734" s="12" t="s">
        <v>15</v>
      </c>
      <c r="E734" s="12" t="s">
        <v>15</v>
      </c>
      <c r="F734" s="13" t="s">
        <v>16</v>
      </c>
      <c r="G734" s="12" t="s">
        <v>68</v>
      </c>
      <c r="H734" s="12" t="s">
        <v>928</v>
      </c>
      <c r="I734" s="12" t="s">
        <v>929</v>
      </c>
      <c r="J734" s="17" t="s">
        <v>73</v>
      </c>
      <c r="L734" s="17" t="s">
        <v>2099</v>
      </c>
      <c r="M734" s="20">
        <v>45986.0</v>
      </c>
      <c r="N734" s="17" t="s">
        <v>428</v>
      </c>
      <c r="O734" s="88" t="s">
        <v>1520</v>
      </c>
      <c r="P734" s="88" t="s">
        <v>1520</v>
      </c>
      <c r="Q734" s="88" t="s">
        <v>1520</v>
      </c>
      <c r="R734" s="88" t="s">
        <v>1520</v>
      </c>
      <c r="S734" s="88" t="s">
        <v>1520</v>
      </c>
      <c r="T734" s="88" t="s">
        <v>1520</v>
      </c>
      <c r="U734" s="88" t="s">
        <v>1519</v>
      </c>
      <c r="V734" s="88" t="s">
        <v>1519</v>
      </c>
      <c r="W734" s="88" t="s">
        <v>1520</v>
      </c>
      <c r="X734" s="88" t="s">
        <v>1520</v>
      </c>
      <c r="Y734" s="88" t="s">
        <v>1520</v>
      </c>
      <c r="Z734" s="88" t="s">
        <v>1520</v>
      </c>
      <c r="AA734" s="88" t="s">
        <v>1519</v>
      </c>
      <c r="AB734" s="88" t="s">
        <v>1519</v>
      </c>
      <c r="AC734" s="88" t="s">
        <v>1519</v>
      </c>
      <c r="AD734" s="89"/>
      <c r="AE734" s="18" t="s">
        <v>915</v>
      </c>
      <c r="AF734" s="24"/>
      <c r="AG734" s="24"/>
      <c r="AH734" s="24"/>
      <c r="AI734" s="24"/>
      <c r="AJ734" s="24"/>
      <c r="AK734" s="24"/>
      <c r="AL734" s="24"/>
      <c r="AM734" s="24"/>
    </row>
    <row r="735">
      <c r="A735" s="11"/>
      <c r="B735" s="12" t="s">
        <v>7</v>
      </c>
      <c r="C735" s="12" t="s">
        <v>8</v>
      </c>
      <c r="D735" s="12" t="s">
        <v>15</v>
      </c>
      <c r="E735" s="12" t="s">
        <v>15</v>
      </c>
      <c r="F735" s="13" t="s">
        <v>16</v>
      </c>
      <c r="G735" s="12" t="s">
        <v>68</v>
      </c>
      <c r="H735" s="12" t="s">
        <v>928</v>
      </c>
      <c r="I735" s="12" t="s">
        <v>929</v>
      </c>
      <c r="J735" s="17" t="s">
        <v>73</v>
      </c>
      <c r="L735" s="17" t="s">
        <v>2100</v>
      </c>
      <c r="M735" s="20">
        <v>45986.0</v>
      </c>
      <c r="N735" s="17" t="s">
        <v>428</v>
      </c>
      <c r="O735" s="88" t="s">
        <v>1520</v>
      </c>
      <c r="P735" s="88" t="s">
        <v>1520</v>
      </c>
      <c r="Q735" s="88" t="s">
        <v>1521</v>
      </c>
      <c r="R735" s="88" t="s">
        <v>1521</v>
      </c>
      <c r="S735" s="88" t="s">
        <v>1520</v>
      </c>
      <c r="T735" s="88" t="s">
        <v>1520</v>
      </c>
      <c r="U735" s="88" t="s">
        <v>1520</v>
      </c>
      <c r="V735" s="88" t="s">
        <v>1520</v>
      </c>
      <c r="W735" s="88" t="s">
        <v>1520</v>
      </c>
      <c r="X735" s="88" t="s">
        <v>1520</v>
      </c>
      <c r="Y735" s="88" t="s">
        <v>1520</v>
      </c>
      <c r="Z735" s="88" t="s">
        <v>1520</v>
      </c>
      <c r="AA735" s="88" t="s">
        <v>1520</v>
      </c>
      <c r="AB735" s="88" t="s">
        <v>1520</v>
      </c>
      <c r="AC735" s="88" t="s">
        <v>1520</v>
      </c>
      <c r="AD735" s="89"/>
      <c r="AE735" s="18" t="s">
        <v>915</v>
      </c>
      <c r="AF735" s="24"/>
      <c r="AG735" s="24"/>
      <c r="AH735" s="24"/>
      <c r="AI735" s="24"/>
      <c r="AJ735" s="24"/>
      <c r="AK735" s="24"/>
      <c r="AL735" s="24"/>
      <c r="AM735" s="24"/>
    </row>
    <row r="736">
      <c r="A736" s="11"/>
      <c r="B736" s="12" t="s">
        <v>7</v>
      </c>
      <c r="C736" s="12" t="s">
        <v>8</v>
      </c>
      <c r="D736" s="12" t="s">
        <v>15</v>
      </c>
      <c r="E736" s="12" t="s">
        <v>15</v>
      </c>
      <c r="F736" s="13" t="s">
        <v>16</v>
      </c>
      <c r="G736" s="12" t="s">
        <v>68</v>
      </c>
      <c r="H736" s="12" t="s">
        <v>928</v>
      </c>
      <c r="I736" s="12" t="s">
        <v>929</v>
      </c>
      <c r="J736" s="17" t="s">
        <v>73</v>
      </c>
      <c r="L736" s="17" t="s">
        <v>2101</v>
      </c>
      <c r="M736" s="20">
        <v>45986.0</v>
      </c>
      <c r="N736" s="17" t="s">
        <v>428</v>
      </c>
      <c r="O736" s="88" t="s">
        <v>1520</v>
      </c>
      <c r="P736" s="88" t="s">
        <v>1520</v>
      </c>
      <c r="Q736" s="88" t="s">
        <v>1520</v>
      </c>
      <c r="R736" s="88" t="s">
        <v>1521</v>
      </c>
      <c r="S736" s="88" t="s">
        <v>1520</v>
      </c>
      <c r="T736" s="88" t="s">
        <v>1520</v>
      </c>
      <c r="U736" s="88" t="s">
        <v>1520</v>
      </c>
      <c r="V736" s="88" t="s">
        <v>1520</v>
      </c>
      <c r="W736" s="88" t="s">
        <v>1520</v>
      </c>
      <c r="X736" s="88" t="s">
        <v>1520</v>
      </c>
      <c r="Y736" s="88" t="s">
        <v>1520</v>
      </c>
      <c r="Z736" s="88" t="s">
        <v>1520</v>
      </c>
      <c r="AA736" s="88" t="s">
        <v>1520</v>
      </c>
      <c r="AB736" s="88" t="s">
        <v>1520</v>
      </c>
      <c r="AC736" s="88" t="s">
        <v>1520</v>
      </c>
      <c r="AD736" s="89"/>
      <c r="AE736" s="18" t="s">
        <v>915</v>
      </c>
      <c r="AF736" s="24"/>
      <c r="AG736" s="24"/>
      <c r="AH736" s="24"/>
      <c r="AI736" s="24"/>
      <c r="AJ736" s="24"/>
      <c r="AK736" s="24"/>
      <c r="AL736" s="24"/>
      <c r="AM736" s="24"/>
    </row>
    <row r="737">
      <c r="A737" s="11"/>
      <c r="B737" s="12" t="s">
        <v>7</v>
      </c>
      <c r="C737" s="12" t="s">
        <v>8</v>
      </c>
      <c r="D737" s="12" t="s">
        <v>15</v>
      </c>
      <c r="E737" s="12" t="s">
        <v>15</v>
      </c>
      <c r="F737" s="13" t="s">
        <v>16</v>
      </c>
      <c r="G737" s="12" t="s">
        <v>68</v>
      </c>
      <c r="H737" s="12" t="s">
        <v>928</v>
      </c>
      <c r="I737" s="12" t="s">
        <v>929</v>
      </c>
      <c r="J737" s="17" t="s">
        <v>112</v>
      </c>
      <c r="L737" s="17" t="s">
        <v>2102</v>
      </c>
      <c r="M737" s="20">
        <v>45986.0</v>
      </c>
      <c r="N737" s="17" t="s">
        <v>428</v>
      </c>
      <c r="O737" s="88" t="s">
        <v>1519</v>
      </c>
      <c r="P737" s="88" t="s">
        <v>1519</v>
      </c>
      <c r="Q737" s="88" t="s">
        <v>1519</v>
      </c>
      <c r="R737" s="88" t="s">
        <v>1521</v>
      </c>
      <c r="S737" s="88" t="s">
        <v>1520</v>
      </c>
      <c r="T737" s="88" t="s">
        <v>1520</v>
      </c>
      <c r="U737" s="88" t="s">
        <v>1519</v>
      </c>
      <c r="V737" s="88" t="s">
        <v>1519</v>
      </c>
      <c r="W737" s="88" t="s">
        <v>1519</v>
      </c>
      <c r="X737" s="88" t="s">
        <v>1520</v>
      </c>
      <c r="Y737" s="88" t="s">
        <v>1520</v>
      </c>
      <c r="Z737" s="88" t="s">
        <v>1520</v>
      </c>
      <c r="AA737" s="88" t="s">
        <v>1519</v>
      </c>
      <c r="AB737" s="88" t="s">
        <v>1520</v>
      </c>
      <c r="AC737" s="88" t="s">
        <v>1520</v>
      </c>
      <c r="AD737" s="89"/>
      <c r="AE737" s="18" t="s">
        <v>915</v>
      </c>
      <c r="AF737" s="24"/>
      <c r="AG737" s="24"/>
      <c r="AH737" s="24"/>
      <c r="AI737" s="24"/>
      <c r="AJ737" s="24"/>
      <c r="AK737" s="24"/>
      <c r="AL737" s="24"/>
      <c r="AM737" s="24"/>
    </row>
    <row r="738">
      <c r="A738" s="11"/>
      <c r="B738" s="12" t="s">
        <v>7</v>
      </c>
      <c r="C738" s="12" t="s">
        <v>8</v>
      </c>
      <c r="D738" s="12" t="s">
        <v>15</v>
      </c>
      <c r="E738" s="12" t="s">
        <v>15</v>
      </c>
      <c r="F738" s="13" t="s">
        <v>16</v>
      </c>
      <c r="G738" s="12" t="s">
        <v>68</v>
      </c>
      <c r="H738" s="12" t="s">
        <v>928</v>
      </c>
      <c r="I738" s="12" t="s">
        <v>929</v>
      </c>
      <c r="J738" s="17" t="s">
        <v>112</v>
      </c>
      <c r="L738" s="17" t="s">
        <v>2103</v>
      </c>
      <c r="M738" s="20">
        <v>45986.0</v>
      </c>
      <c r="N738" s="17" t="s">
        <v>428</v>
      </c>
      <c r="O738" s="88" t="s">
        <v>1519</v>
      </c>
      <c r="P738" s="88" t="s">
        <v>1519</v>
      </c>
      <c r="Q738" s="88" t="s">
        <v>1519</v>
      </c>
      <c r="R738" s="88" t="s">
        <v>1520</v>
      </c>
      <c r="S738" s="88" t="s">
        <v>1520</v>
      </c>
      <c r="T738" s="88" t="s">
        <v>1520</v>
      </c>
      <c r="U738" s="88" t="s">
        <v>1519</v>
      </c>
      <c r="V738" s="88" t="s">
        <v>1519</v>
      </c>
      <c r="W738" s="88" t="s">
        <v>1519</v>
      </c>
      <c r="X738" s="88" t="s">
        <v>1520</v>
      </c>
      <c r="Y738" s="88" t="s">
        <v>1519</v>
      </c>
      <c r="Z738" s="88" t="s">
        <v>1519</v>
      </c>
      <c r="AA738" s="88" t="s">
        <v>1520</v>
      </c>
      <c r="AB738" s="88" t="s">
        <v>1519</v>
      </c>
      <c r="AC738" s="88" t="s">
        <v>1519</v>
      </c>
      <c r="AD738" s="89"/>
      <c r="AE738" s="18" t="s">
        <v>915</v>
      </c>
      <c r="AF738" s="24"/>
      <c r="AG738" s="24"/>
      <c r="AH738" s="24"/>
      <c r="AI738" s="24"/>
      <c r="AJ738" s="24"/>
      <c r="AK738" s="24"/>
      <c r="AL738" s="24"/>
      <c r="AM738" s="24"/>
    </row>
    <row r="739">
      <c r="A739" s="11"/>
      <c r="B739" s="12" t="s">
        <v>7</v>
      </c>
      <c r="C739" s="12" t="s">
        <v>8</v>
      </c>
      <c r="D739" s="12" t="s">
        <v>15</v>
      </c>
      <c r="E739" s="12" t="s">
        <v>15</v>
      </c>
      <c r="F739" s="13" t="s">
        <v>16</v>
      </c>
      <c r="G739" s="12" t="s">
        <v>68</v>
      </c>
      <c r="H739" s="12" t="s">
        <v>928</v>
      </c>
      <c r="I739" s="12" t="s">
        <v>929</v>
      </c>
      <c r="J739" s="17" t="s">
        <v>112</v>
      </c>
      <c r="L739" s="17" t="s">
        <v>2104</v>
      </c>
      <c r="M739" s="20">
        <v>45986.0</v>
      </c>
      <c r="N739" s="17" t="s">
        <v>428</v>
      </c>
      <c r="O739" s="88" t="s">
        <v>1519</v>
      </c>
      <c r="P739" s="88" t="s">
        <v>1519</v>
      </c>
      <c r="Q739" s="88" t="s">
        <v>1519</v>
      </c>
      <c r="R739" s="88" t="s">
        <v>1520</v>
      </c>
      <c r="S739" s="88" t="s">
        <v>1519</v>
      </c>
      <c r="T739" s="88" t="s">
        <v>1519</v>
      </c>
      <c r="U739" s="88" t="s">
        <v>1519</v>
      </c>
      <c r="V739" s="88" t="s">
        <v>1519</v>
      </c>
      <c r="W739" s="88" t="s">
        <v>1519</v>
      </c>
      <c r="X739" s="88" t="s">
        <v>1520</v>
      </c>
      <c r="Y739" s="88" t="s">
        <v>1520</v>
      </c>
      <c r="Z739" s="88" t="s">
        <v>1520</v>
      </c>
      <c r="AA739" s="88" t="s">
        <v>1519</v>
      </c>
      <c r="AB739" s="88" t="s">
        <v>1520</v>
      </c>
      <c r="AC739" s="88" t="s">
        <v>1520</v>
      </c>
      <c r="AD739" s="89"/>
      <c r="AE739" s="18" t="s">
        <v>915</v>
      </c>
      <c r="AF739" s="24"/>
      <c r="AG739" s="24"/>
      <c r="AH739" s="24"/>
      <c r="AI739" s="24"/>
      <c r="AJ739" s="24"/>
      <c r="AK739" s="24"/>
      <c r="AL739" s="24"/>
      <c r="AM739" s="24"/>
    </row>
    <row r="740">
      <c r="A740" s="11"/>
      <c r="B740" s="12" t="s">
        <v>7</v>
      </c>
      <c r="C740" s="12" t="s">
        <v>8</v>
      </c>
      <c r="D740" s="12" t="s">
        <v>15</v>
      </c>
      <c r="E740" s="12" t="s">
        <v>15</v>
      </c>
      <c r="F740" s="13" t="s">
        <v>16</v>
      </c>
      <c r="G740" s="12" t="s">
        <v>68</v>
      </c>
      <c r="H740" s="12" t="s">
        <v>928</v>
      </c>
      <c r="I740" s="12" t="s">
        <v>929</v>
      </c>
      <c r="J740" s="17" t="s">
        <v>108</v>
      </c>
      <c r="L740" s="17" t="s">
        <v>2105</v>
      </c>
      <c r="M740" s="20">
        <v>45986.0</v>
      </c>
      <c r="N740" s="17" t="s">
        <v>428</v>
      </c>
      <c r="O740" s="88" t="s">
        <v>1519</v>
      </c>
      <c r="P740" s="88" t="s">
        <v>1519</v>
      </c>
      <c r="Q740" s="88" t="s">
        <v>1519</v>
      </c>
      <c r="R740" s="88" t="s">
        <v>1521</v>
      </c>
      <c r="S740" s="88" t="s">
        <v>1520</v>
      </c>
      <c r="T740" s="88" t="s">
        <v>1520</v>
      </c>
      <c r="U740" s="88" t="s">
        <v>1519</v>
      </c>
      <c r="V740" s="88" t="s">
        <v>1519</v>
      </c>
      <c r="W740" s="88" t="s">
        <v>1519</v>
      </c>
      <c r="X740" s="88" t="s">
        <v>1520</v>
      </c>
      <c r="Y740" s="88" t="s">
        <v>1519</v>
      </c>
      <c r="Z740" s="88" t="s">
        <v>1519</v>
      </c>
      <c r="AA740" s="88" t="s">
        <v>1520</v>
      </c>
      <c r="AB740" s="88" t="s">
        <v>1520</v>
      </c>
      <c r="AC740" s="88" t="s">
        <v>1520</v>
      </c>
      <c r="AD740" s="89"/>
      <c r="AE740" s="18" t="s">
        <v>915</v>
      </c>
      <c r="AF740" s="24"/>
      <c r="AG740" s="24"/>
      <c r="AH740" s="24"/>
      <c r="AI740" s="24"/>
      <c r="AJ740" s="24"/>
      <c r="AK740" s="24"/>
      <c r="AL740" s="24"/>
      <c r="AM740" s="24"/>
    </row>
    <row r="741">
      <c r="A741" s="11"/>
      <c r="B741" s="12" t="s">
        <v>7</v>
      </c>
      <c r="C741" s="12" t="s">
        <v>8</v>
      </c>
      <c r="D741" s="12" t="s">
        <v>15</v>
      </c>
      <c r="E741" s="12" t="s">
        <v>15</v>
      </c>
      <c r="F741" s="13" t="s">
        <v>16</v>
      </c>
      <c r="G741" s="12" t="s">
        <v>68</v>
      </c>
      <c r="H741" s="12" t="s">
        <v>928</v>
      </c>
      <c r="I741" s="12" t="s">
        <v>929</v>
      </c>
      <c r="J741" s="17" t="s">
        <v>108</v>
      </c>
      <c r="L741" s="17" t="s">
        <v>2106</v>
      </c>
      <c r="M741" s="20">
        <v>45986.0</v>
      </c>
      <c r="N741" s="17" t="s">
        <v>428</v>
      </c>
      <c r="O741" s="88" t="s">
        <v>1519</v>
      </c>
      <c r="P741" s="88" t="s">
        <v>1519</v>
      </c>
      <c r="Q741" s="88" t="s">
        <v>1519</v>
      </c>
      <c r="R741" s="88" t="s">
        <v>1521</v>
      </c>
      <c r="S741" s="88" t="s">
        <v>1519</v>
      </c>
      <c r="T741" s="88" t="s">
        <v>1519</v>
      </c>
      <c r="U741" s="88" t="s">
        <v>1519</v>
      </c>
      <c r="V741" s="88" t="s">
        <v>1519</v>
      </c>
      <c r="W741" s="88" t="s">
        <v>1520</v>
      </c>
      <c r="X741" s="88" t="s">
        <v>1520</v>
      </c>
      <c r="Y741" s="88" t="s">
        <v>1519</v>
      </c>
      <c r="Z741" s="88" t="s">
        <v>1519</v>
      </c>
      <c r="AA741" s="88" t="s">
        <v>1520</v>
      </c>
      <c r="AB741" s="88" t="s">
        <v>1520</v>
      </c>
      <c r="AC741" s="88" t="s">
        <v>1520</v>
      </c>
      <c r="AD741" s="89"/>
      <c r="AE741" s="18" t="s">
        <v>915</v>
      </c>
      <c r="AF741" s="24"/>
      <c r="AG741" s="24"/>
      <c r="AH741" s="24"/>
      <c r="AI741" s="24"/>
      <c r="AJ741" s="24"/>
      <c r="AK741" s="24"/>
      <c r="AL741" s="24"/>
      <c r="AM741" s="24"/>
    </row>
    <row r="742">
      <c r="A742" s="11"/>
      <c r="B742" s="12" t="s">
        <v>7</v>
      </c>
      <c r="C742" s="12" t="s">
        <v>8</v>
      </c>
      <c r="D742" s="12" t="s">
        <v>15</v>
      </c>
      <c r="E742" s="12" t="s">
        <v>15</v>
      </c>
      <c r="F742" s="13" t="s">
        <v>16</v>
      </c>
      <c r="G742" s="12" t="s">
        <v>68</v>
      </c>
      <c r="H742" s="12" t="s">
        <v>928</v>
      </c>
      <c r="I742" s="12" t="s">
        <v>929</v>
      </c>
      <c r="J742" s="17" t="s">
        <v>108</v>
      </c>
      <c r="L742" s="17" t="s">
        <v>2107</v>
      </c>
      <c r="M742" s="20">
        <v>45986.0</v>
      </c>
      <c r="N742" s="17" t="s">
        <v>428</v>
      </c>
      <c r="O742" s="88" t="s">
        <v>1519</v>
      </c>
      <c r="P742" s="88" t="s">
        <v>1519</v>
      </c>
      <c r="Q742" s="88" t="s">
        <v>1519</v>
      </c>
      <c r="R742" s="88" t="s">
        <v>1521</v>
      </c>
      <c r="S742" s="88" t="s">
        <v>1519</v>
      </c>
      <c r="T742" s="88" t="s">
        <v>1519</v>
      </c>
      <c r="U742" s="88" t="s">
        <v>1519</v>
      </c>
      <c r="V742" s="88" t="s">
        <v>1519</v>
      </c>
      <c r="W742" s="88" t="s">
        <v>1520</v>
      </c>
      <c r="X742" s="88" t="s">
        <v>1520</v>
      </c>
      <c r="Y742" s="88" t="s">
        <v>1520</v>
      </c>
      <c r="Z742" s="88" t="s">
        <v>1520</v>
      </c>
      <c r="AA742" s="88" t="s">
        <v>1519</v>
      </c>
      <c r="AB742" s="88" t="s">
        <v>1519</v>
      </c>
      <c r="AC742" s="88" t="s">
        <v>1519</v>
      </c>
      <c r="AD742" s="89"/>
      <c r="AE742" s="18" t="s">
        <v>915</v>
      </c>
      <c r="AF742" s="24"/>
      <c r="AG742" s="24"/>
      <c r="AH742" s="24"/>
      <c r="AI742" s="24"/>
      <c r="AJ742" s="24"/>
      <c r="AK742" s="24"/>
      <c r="AL742" s="24"/>
      <c r="AM742" s="24"/>
    </row>
    <row r="743">
      <c r="A743" s="11"/>
      <c r="B743" s="12" t="s">
        <v>7</v>
      </c>
      <c r="C743" s="12" t="s">
        <v>8</v>
      </c>
      <c r="D743" s="12" t="s">
        <v>15</v>
      </c>
      <c r="E743" s="12" t="s">
        <v>15</v>
      </c>
      <c r="F743" s="13" t="s">
        <v>16</v>
      </c>
      <c r="G743" s="12" t="s">
        <v>68</v>
      </c>
      <c r="H743" s="12" t="s">
        <v>928</v>
      </c>
      <c r="I743" s="12" t="s">
        <v>929</v>
      </c>
      <c r="J743" s="17" t="s">
        <v>112</v>
      </c>
      <c r="L743" s="17" t="s">
        <v>2108</v>
      </c>
      <c r="M743" s="20">
        <v>45986.0</v>
      </c>
      <c r="N743" s="17" t="s">
        <v>428</v>
      </c>
      <c r="O743" s="88" t="s">
        <v>1520</v>
      </c>
      <c r="P743" s="88" t="s">
        <v>1520</v>
      </c>
      <c r="Q743" s="88" t="s">
        <v>1520</v>
      </c>
      <c r="R743" s="88" t="s">
        <v>1521</v>
      </c>
      <c r="S743" s="88" t="s">
        <v>1520</v>
      </c>
      <c r="T743" s="88" t="s">
        <v>1520</v>
      </c>
      <c r="U743" s="88" t="s">
        <v>1519</v>
      </c>
      <c r="V743" s="88" t="s">
        <v>1519</v>
      </c>
      <c r="W743" s="88" t="s">
        <v>1520</v>
      </c>
      <c r="X743" s="88" t="s">
        <v>1520</v>
      </c>
      <c r="Y743" s="88" t="s">
        <v>1520</v>
      </c>
      <c r="Z743" s="88" t="s">
        <v>1520</v>
      </c>
      <c r="AA743" s="88" t="s">
        <v>1520</v>
      </c>
      <c r="AB743" s="88" t="s">
        <v>1520</v>
      </c>
      <c r="AC743" s="88" t="s">
        <v>1520</v>
      </c>
      <c r="AD743" s="89"/>
      <c r="AE743" s="18" t="s">
        <v>915</v>
      </c>
      <c r="AF743" s="24"/>
      <c r="AG743" s="24"/>
      <c r="AH743" s="24"/>
      <c r="AI743" s="24"/>
      <c r="AJ743" s="24"/>
      <c r="AK743" s="24"/>
      <c r="AL743" s="24"/>
      <c r="AM743" s="24"/>
    </row>
    <row r="744">
      <c r="A744" s="11"/>
      <c r="B744" s="12" t="s">
        <v>7</v>
      </c>
      <c r="C744" s="12" t="s">
        <v>8</v>
      </c>
      <c r="D744" s="12" t="s">
        <v>15</v>
      </c>
      <c r="E744" s="12" t="s">
        <v>15</v>
      </c>
      <c r="F744" s="13" t="s">
        <v>16</v>
      </c>
      <c r="G744" s="12" t="s">
        <v>68</v>
      </c>
      <c r="H744" s="12" t="s">
        <v>928</v>
      </c>
      <c r="I744" s="12" t="s">
        <v>929</v>
      </c>
      <c r="J744" s="17" t="s">
        <v>108</v>
      </c>
      <c r="L744" s="17" t="s">
        <v>2109</v>
      </c>
      <c r="M744" s="20">
        <v>45986.0</v>
      </c>
      <c r="N744" s="17" t="s">
        <v>428</v>
      </c>
      <c r="O744" s="88" t="s">
        <v>1519</v>
      </c>
      <c r="P744" s="88" t="s">
        <v>1519</v>
      </c>
      <c r="Q744" s="88" t="s">
        <v>1520</v>
      </c>
      <c r="R744" s="88" t="s">
        <v>1521</v>
      </c>
      <c r="S744" s="88" t="s">
        <v>1520</v>
      </c>
      <c r="T744" s="88" t="s">
        <v>1520</v>
      </c>
      <c r="U744" s="88" t="s">
        <v>1520</v>
      </c>
      <c r="V744" s="88" t="s">
        <v>1520</v>
      </c>
      <c r="W744" s="88" t="s">
        <v>1520</v>
      </c>
      <c r="X744" s="88" t="s">
        <v>1520</v>
      </c>
      <c r="Y744" s="88" t="s">
        <v>1519</v>
      </c>
      <c r="Z744" s="88" t="s">
        <v>1519</v>
      </c>
      <c r="AA744" s="88" t="s">
        <v>1520</v>
      </c>
      <c r="AB744" s="88" t="s">
        <v>1520</v>
      </c>
      <c r="AC744" s="88" t="s">
        <v>1520</v>
      </c>
      <c r="AD744" s="89"/>
      <c r="AE744" s="18" t="s">
        <v>915</v>
      </c>
      <c r="AF744" s="24"/>
      <c r="AG744" s="24"/>
      <c r="AH744" s="24"/>
      <c r="AI744" s="24"/>
      <c r="AJ744" s="24"/>
      <c r="AK744" s="24"/>
      <c r="AL744" s="24"/>
      <c r="AM744" s="24"/>
    </row>
    <row r="745">
      <c r="A745" s="11"/>
      <c r="B745" s="12" t="s">
        <v>7</v>
      </c>
      <c r="C745" s="12" t="s">
        <v>8</v>
      </c>
      <c r="D745" s="12" t="s">
        <v>15</v>
      </c>
      <c r="E745" s="12" t="s">
        <v>15</v>
      </c>
      <c r="F745" s="13" t="s">
        <v>16</v>
      </c>
      <c r="G745" s="12" t="s">
        <v>68</v>
      </c>
      <c r="H745" s="12" t="s">
        <v>928</v>
      </c>
      <c r="I745" s="12" t="s">
        <v>929</v>
      </c>
      <c r="J745" s="17" t="s">
        <v>112</v>
      </c>
      <c r="L745" s="17" t="s">
        <v>2110</v>
      </c>
      <c r="M745" s="20">
        <v>45986.0</v>
      </c>
      <c r="N745" s="17" t="s">
        <v>428</v>
      </c>
      <c r="O745" s="88" t="s">
        <v>1519</v>
      </c>
      <c r="P745" s="88" t="s">
        <v>1519</v>
      </c>
      <c r="Q745" s="88" t="s">
        <v>1520</v>
      </c>
      <c r="R745" s="88" t="s">
        <v>1521</v>
      </c>
      <c r="S745" s="88" t="s">
        <v>1519</v>
      </c>
      <c r="T745" s="88" t="s">
        <v>1519</v>
      </c>
      <c r="U745" s="88" t="s">
        <v>1519</v>
      </c>
      <c r="V745" s="88" t="s">
        <v>1519</v>
      </c>
      <c r="W745" s="88" t="s">
        <v>1520</v>
      </c>
      <c r="X745" s="88" t="s">
        <v>1520</v>
      </c>
      <c r="Y745" s="88" t="s">
        <v>1519</v>
      </c>
      <c r="Z745" s="88" t="s">
        <v>1519</v>
      </c>
      <c r="AA745" s="88" t="s">
        <v>1519</v>
      </c>
      <c r="AB745" s="88" t="s">
        <v>1520</v>
      </c>
      <c r="AC745" s="88" t="s">
        <v>1520</v>
      </c>
      <c r="AD745" s="89"/>
      <c r="AE745" s="18" t="s">
        <v>915</v>
      </c>
      <c r="AF745" s="24"/>
      <c r="AG745" s="24"/>
      <c r="AH745" s="24"/>
      <c r="AI745" s="24"/>
      <c r="AJ745" s="24"/>
      <c r="AK745" s="24"/>
      <c r="AL745" s="24"/>
      <c r="AM745" s="24"/>
    </row>
    <row r="746">
      <c r="A746" s="11"/>
      <c r="B746" s="12" t="s">
        <v>7</v>
      </c>
      <c r="C746" s="12" t="s">
        <v>8</v>
      </c>
      <c r="D746" s="12" t="s">
        <v>15</v>
      </c>
      <c r="E746" s="12" t="s">
        <v>15</v>
      </c>
      <c r="F746" s="13" t="s">
        <v>16</v>
      </c>
      <c r="G746" s="12" t="s">
        <v>68</v>
      </c>
      <c r="H746" s="12" t="s">
        <v>928</v>
      </c>
      <c r="I746" s="12" t="s">
        <v>929</v>
      </c>
      <c r="J746" s="17" t="s">
        <v>108</v>
      </c>
      <c r="L746" s="17" t="s">
        <v>2111</v>
      </c>
      <c r="M746" s="20">
        <v>45986.0</v>
      </c>
      <c r="N746" s="17" t="s">
        <v>428</v>
      </c>
      <c r="O746" s="88" t="s">
        <v>1519</v>
      </c>
      <c r="P746" s="88" t="s">
        <v>1519</v>
      </c>
      <c r="Q746" s="88" t="s">
        <v>1520</v>
      </c>
      <c r="R746" s="88" t="s">
        <v>1521</v>
      </c>
      <c r="S746" s="88" t="s">
        <v>1520</v>
      </c>
      <c r="T746" s="88" t="s">
        <v>1520</v>
      </c>
      <c r="U746" s="88" t="s">
        <v>1519</v>
      </c>
      <c r="V746" s="88" t="s">
        <v>1519</v>
      </c>
      <c r="W746" s="88" t="s">
        <v>1520</v>
      </c>
      <c r="X746" s="88" t="s">
        <v>1520</v>
      </c>
      <c r="Y746" s="88" t="s">
        <v>1519</v>
      </c>
      <c r="Z746" s="88" t="s">
        <v>1519</v>
      </c>
      <c r="AA746" s="88" t="s">
        <v>1519</v>
      </c>
      <c r="AB746" s="88" t="s">
        <v>1519</v>
      </c>
      <c r="AC746" s="88" t="s">
        <v>1519</v>
      </c>
      <c r="AD746" s="89"/>
      <c r="AE746" s="18" t="s">
        <v>915</v>
      </c>
      <c r="AF746" s="24"/>
      <c r="AG746" s="24"/>
      <c r="AH746" s="24"/>
      <c r="AI746" s="24"/>
      <c r="AJ746" s="24"/>
      <c r="AK746" s="24"/>
      <c r="AL746" s="24"/>
      <c r="AM746" s="24"/>
    </row>
    <row r="747">
      <c r="A747" s="11"/>
      <c r="B747" s="12" t="s">
        <v>7</v>
      </c>
      <c r="C747" s="12" t="s">
        <v>8</v>
      </c>
      <c r="D747" s="12" t="s">
        <v>15</v>
      </c>
      <c r="E747" s="12" t="s">
        <v>15</v>
      </c>
      <c r="F747" s="13" t="s">
        <v>16</v>
      </c>
      <c r="G747" s="12" t="s">
        <v>68</v>
      </c>
      <c r="H747" s="12" t="s">
        <v>928</v>
      </c>
      <c r="I747" s="12" t="s">
        <v>929</v>
      </c>
      <c r="J747" s="17" t="s">
        <v>112</v>
      </c>
      <c r="L747" s="17" t="s">
        <v>2112</v>
      </c>
      <c r="M747" s="20">
        <v>45986.0</v>
      </c>
      <c r="N747" s="17" t="s">
        <v>428</v>
      </c>
      <c r="O747" s="88" t="s">
        <v>1519</v>
      </c>
      <c r="P747" s="88" t="s">
        <v>1519</v>
      </c>
      <c r="Q747" s="88" t="s">
        <v>1520</v>
      </c>
      <c r="R747" s="88" t="s">
        <v>1521</v>
      </c>
      <c r="S747" s="88" t="s">
        <v>1520</v>
      </c>
      <c r="T747" s="88" t="s">
        <v>1520</v>
      </c>
      <c r="U747" s="88" t="s">
        <v>1520</v>
      </c>
      <c r="V747" s="88" t="s">
        <v>1520</v>
      </c>
      <c r="W747" s="88" t="s">
        <v>1520</v>
      </c>
      <c r="X747" s="88" t="s">
        <v>1520</v>
      </c>
      <c r="Y747" s="88" t="s">
        <v>1519</v>
      </c>
      <c r="Z747" s="88" t="s">
        <v>1519</v>
      </c>
      <c r="AA747" s="88" t="s">
        <v>1520</v>
      </c>
      <c r="AB747" s="88" t="s">
        <v>1520</v>
      </c>
      <c r="AC747" s="88" t="s">
        <v>1520</v>
      </c>
      <c r="AD747" s="89"/>
      <c r="AE747" s="18" t="s">
        <v>915</v>
      </c>
      <c r="AF747" s="24"/>
      <c r="AG747" s="24"/>
      <c r="AH747" s="24"/>
      <c r="AI747" s="24"/>
      <c r="AJ747" s="24"/>
      <c r="AK747" s="24"/>
      <c r="AL747" s="24"/>
      <c r="AM747" s="24"/>
    </row>
    <row r="748">
      <c r="A748" s="11"/>
      <c r="B748" s="12" t="s">
        <v>7</v>
      </c>
      <c r="C748" s="12" t="s">
        <v>8</v>
      </c>
      <c r="D748" s="12" t="s">
        <v>15</v>
      </c>
      <c r="E748" s="12" t="s">
        <v>15</v>
      </c>
      <c r="F748" s="13" t="s">
        <v>16</v>
      </c>
      <c r="G748" s="12" t="s">
        <v>68</v>
      </c>
      <c r="H748" s="12" t="s">
        <v>928</v>
      </c>
      <c r="I748" s="12" t="s">
        <v>929</v>
      </c>
      <c r="J748" s="17" t="s">
        <v>73</v>
      </c>
      <c r="L748" s="17" t="s">
        <v>2113</v>
      </c>
      <c r="M748" s="20">
        <v>45986.0</v>
      </c>
      <c r="N748" s="17" t="s">
        <v>428</v>
      </c>
      <c r="O748" s="88" t="s">
        <v>1519</v>
      </c>
      <c r="P748" s="88" t="s">
        <v>1519</v>
      </c>
      <c r="Q748" s="88" t="s">
        <v>1520</v>
      </c>
      <c r="R748" s="88" t="s">
        <v>1521</v>
      </c>
      <c r="S748" s="88" t="s">
        <v>1520</v>
      </c>
      <c r="T748" s="88" t="s">
        <v>1520</v>
      </c>
      <c r="U748" s="88" t="s">
        <v>1520</v>
      </c>
      <c r="V748" s="88" t="s">
        <v>1520</v>
      </c>
      <c r="W748" s="88" t="s">
        <v>1520</v>
      </c>
      <c r="X748" s="88" t="s">
        <v>1520</v>
      </c>
      <c r="Y748" s="88" t="s">
        <v>1520</v>
      </c>
      <c r="Z748" s="88" t="s">
        <v>1520</v>
      </c>
      <c r="AA748" s="88" t="s">
        <v>1520</v>
      </c>
      <c r="AB748" s="88" t="s">
        <v>1520</v>
      </c>
      <c r="AC748" s="88" t="s">
        <v>1520</v>
      </c>
      <c r="AD748" s="89"/>
      <c r="AE748" s="18" t="s">
        <v>915</v>
      </c>
      <c r="AF748" s="24"/>
      <c r="AG748" s="24"/>
      <c r="AH748" s="24"/>
      <c r="AI748" s="24"/>
      <c r="AJ748" s="24"/>
      <c r="AK748" s="24"/>
      <c r="AL748" s="24"/>
      <c r="AM748" s="24"/>
    </row>
    <row r="749">
      <c r="A749" s="11"/>
      <c r="B749" s="12" t="s">
        <v>7</v>
      </c>
      <c r="C749" s="12" t="s">
        <v>8</v>
      </c>
      <c r="D749" s="12" t="s">
        <v>15</v>
      </c>
      <c r="E749" s="12" t="s">
        <v>21</v>
      </c>
      <c r="F749" s="13" t="s">
        <v>19</v>
      </c>
      <c r="G749" s="12" t="s">
        <v>68</v>
      </c>
      <c r="H749" s="12" t="s">
        <v>968</v>
      </c>
      <c r="I749" s="12" t="s">
        <v>969</v>
      </c>
      <c r="J749" s="17" t="s">
        <v>108</v>
      </c>
      <c r="L749" s="17" t="s">
        <v>2114</v>
      </c>
      <c r="M749" s="20">
        <v>45987.0</v>
      </c>
      <c r="N749" s="17" t="s">
        <v>428</v>
      </c>
      <c r="O749" s="88" t="s">
        <v>1519</v>
      </c>
      <c r="P749" s="88" t="s">
        <v>1519</v>
      </c>
      <c r="Q749" s="88" t="s">
        <v>1519</v>
      </c>
      <c r="R749" s="88" t="s">
        <v>1521</v>
      </c>
      <c r="S749" s="88" t="s">
        <v>1519</v>
      </c>
      <c r="T749" s="88" t="s">
        <v>1519</v>
      </c>
      <c r="U749" s="88" t="s">
        <v>1519</v>
      </c>
      <c r="V749" s="88" t="s">
        <v>1519</v>
      </c>
      <c r="W749" s="88" t="s">
        <v>1519</v>
      </c>
      <c r="X749" s="88" t="s">
        <v>1520</v>
      </c>
      <c r="Y749" s="88" t="s">
        <v>1519</v>
      </c>
      <c r="Z749" s="88" t="s">
        <v>1519</v>
      </c>
      <c r="AA749" s="88" t="s">
        <v>1519</v>
      </c>
      <c r="AB749" s="88" t="s">
        <v>1520</v>
      </c>
      <c r="AC749" s="88" t="s">
        <v>1520</v>
      </c>
      <c r="AD749" s="89"/>
      <c r="AE749" s="18" t="s">
        <v>915</v>
      </c>
      <c r="AF749" s="24"/>
      <c r="AG749" s="24"/>
      <c r="AH749" s="24"/>
      <c r="AI749" s="24"/>
      <c r="AJ749" s="24"/>
      <c r="AK749" s="24"/>
      <c r="AL749" s="24"/>
      <c r="AM749" s="24"/>
    </row>
    <row r="750">
      <c r="A750" s="11"/>
      <c r="B750" s="12" t="s">
        <v>7</v>
      </c>
      <c r="C750" s="12" t="s">
        <v>8</v>
      </c>
      <c r="D750" s="12" t="s">
        <v>15</v>
      </c>
      <c r="E750" s="12" t="s">
        <v>21</v>
      </c>
      <c r="F750" s="13" t="s">
        <v>19</v>
      </c>
      <c r="G750" s="12" t="s">
        <v>68</v>
      </c>
      <c r="H750" s="12" t="s">
        <v>968</v>
      </c>
      <c r="I750" s="12" t="s">
        <v>969</v>
      </c>
      <c r="J750" s="17" t="s">
        <v>108</v>
      </c>
      <c r="L750" s="17" t="s">
        <v>2115</v>
      </c>
      <c r="M750" s="20">
        <v>45987.0</v>
      </c>
      <c r="N750" s="17" t="s">
        <v>428</v>
      </c>
      <c r="O750" s="88" t="s">
        <v>1519</v>
      </c>
      <c r="P750" s="88" t="s">
        <v>1519</v>
      </c>
      <c r="Q750" s="88" t="s">
        <v>1519</v>
      </c>
      <c r="R750" s="88" t="s">
        <v>1521</v>
      </c>
      <c r="S750" s="88" t="s">
        <v>1519</v>
      </c>
      <c r="T750" s="88" t="s">
        <v>1519</v>
      </c>
      <c r="U750" s="88" t="s">
        <v>1519</v>
      </c>
      <c r="V750" s="88" t="s">
        <v>1519</v>
      </c>
      <c r="W750" s="88" t="s">
        <v>1519</v>
      </c>
      <c r="X750" s="88" t="s">
        <v>1520</v>
      </c>
      <c r="Y750" s="88" t="s">
        <v>1519</v>
      </c>
      <c r="Z750" s="88" t="s">
        <v>1519</v>
      </c>
      <c r="AA750" s="88" t="s">
        <v>1519</v>
      </c>
      <c r="AB750" s="88" t="s">
        <v>1520</v>
      </c>
      <c r="AC750" s="88" t="s">
        <v>1520</v>
      </c>
      <c r="AD750" s="89"/>
      <c r="AE750" s="18" t="s">
        <v>915</v>
      </c>
      <c r="AF750" s="24"/>
      <c r="AG750" s="24"/>
      <c r="AH750" s="24"/>
      <c r="AI750" s="24"/>
      <c r="AJ750" s="24"/>
      <c r="AK750" s="24"/>
      <c r="AL750" s="24"/>
      <c r="AM750" s="24"/>
    </row>
    <row r="751">
      <c r="A751" s="11"/>
      <c r="B751" s="12" t="s">
        <v>7</v>
      </c>
      <c r="C751" s="12" t="s">
        <v>8</v>
      </c>
      <c r="D751" s="12" t="s">
        <v>15</v>
      </c>
      <c r="E751" s="12" t="s">
        <v>21</v>
      </c>
      <c r="F751" s="13" t="s">
        <v>19</v>
      </c>
      <c r="G751" s="12" t="s">
        <v>68</v>
      </c>
      <c r="H751" s="12" t="s">
        <v>968</v>
      </c>
      <c r="I751" s="12" t="s">
        <v>969</v>
      </c>
      <c r="J751" s="17" t="s">
        <v>108</v>
      </c>
      <c r="L751" s="17" t="s">
        <v>2116</v>
      </c>
      <c r="M751" s="20">
        <v>45987.0</v>
      </c>
      <c r="N751" s="17" t="s">
        <v>428</v>
      </c>
      <c r="O751" s="88" t="s">
        <v>1519</v>
      </c>
      <c r="P751" s="88" t="s">
        <v>1519</v>
      </c>
      <c r="Q751" s="88" t="s">
        <v>1519</v>
      </c>
      <c r="R751" s="88" t="s">
        <v>1521</v>
      </c>
      <c r="S751" s="88" t="s">
        <v>1519</v>
      </c>
      <c r="T751" s="88" t="s">
        <v>1519</v>
      </c>
      <c r="U751" s="88" t="s">
        <v>1519</v>
      </c>
      <c r="V751" s="88" t="s">
        <v>1519</v>
      </c>
      <c r="W751" s="88" t="s">
        <v>1519</v>
      </c>
      <c r="X751" s="88" t="s">
        <v>1520</v>
      </c>
      <c r="Y751" s="88" t="s">
        <v>1519</v>
      </c>
      <c r="Z751" s="88" t="s">
        <v>1519</v>
      </c>
      <c r="AA751" s="88" t="s">
        <v>1519</v>
      </c>
      <c r="AB751" s="88" t="s">
        <v>1520</v>
      </c>
      <c r="AC751" s="88" t="s">
        <v>1520</v>
      </c>
      <c r="AD751" s="89"/>
      <c r="AE751" s="18" t="s">
        <v>915</v>
      </c>
      <c r="AF751" s="24"/>
      <c r="AG751" s="24"/>
      <c r="AH751" s="24"/>
      <c r="AI751" s="24"/>
      <c r="AJ751" s="24"/>
      <c r="AK751" s="24"/>
      <c r="AL751" s="24"/>
      <c r="AM751" s="24"/>
    </row>
    <row r="752">
      <c r="A752" s="11"/>
      <c r="B752" s="12" t="s">
        <v>7</v>
      </c>
      <c r="C752" s="12" t="s">
        <v>8</v>
      </c>
      <c r="D752" s="12" t="s">
        <v>15</v>
      </c>
      <c r="E752" s="12" t="s">
        <v>21</v>
      </c>
      <c r="F752" s="13" t="s">
        <v>19</v>
      </c>
      <c r="G752" s="12" t="s">
        <v>68</v>
      </c>
      <c r="H752" s="12" t="s">
        <v>968</v>
      </c>
      <c r="I752" s="12" t="s">
        <v>969</v>
      </c>
      <c r="J752" s="17" t="s">
        <v>112</v>
      </c>
      <c r="L752" s="17" t="s">
        <v>2117</v>
      </c>
      <c r="M752" s="20">
        <v>45987.0</v>
      </c>
      <c r="N752" s="17" t="s">
        <v>428</v>
      </c>
      <c r="O752" s="88" t="s">
        <v>1519</v>
      </c>
      <c r="P752" s="88" t="s">
        <v>1519</v>
      </c>
      <c r="Q752" s="88" t="s">
        <v>1519</v>
      </c>
      <c r="R752" s="88" t="s">
        <v>1521</v>
      </c>
      <c r="S752" s="88" t="s">
        <v>1519</v>
      </c>
      <c r="T752" s="88" t="s">
        <v>1519</v>
      </c>
      <c r="U752" s="88" t="s">
        <v>1519</v>
      </c>
      <c r="V752" s="88" t="s">
        <v>1519</v>
      </c>
      <c r="W752" s="88" t="s">
        <v>1520</v>
      </c>
      <c r="X752" s="88" t="s">
        <v>1520</v>
      </c>
      <c r="Y752" s="88" t="s">
        <v>1519</v>
      </c>
      <c r="Z752" s="88" t="s">
        <v>1519</v>
      </c>
      <c r="AA752" s="88" t="s">
        <v>1519</v>
      </c>
      <c r="AB752" s="88" t="s">
        <v>1520</v>
      </c>
      <c r="AC752" s="88" t="s">
        <v>1520</v>
      </c>
      <c r="AD752" s="89"/>
      <c r="AE752" s="18" t="s">
        <v>915</v>
      </c>
      <c r="AF752" s="24"/>
      <c r="AG752" s="24"/>
      <c r="AH752" s="24"/>
      <c r="AI752" s="24"/>
      <c r="AJ752" s="24"/>
      <c r="AK752" s="24"/>
      <c r="AL752" s="24"/>
      <c r="AM752" s="24"/>
    </row>
    <row r="753">
      <c r="A753" s="11"/>
      <c r="B753" s="12" t="s">
        <v>7</v>
      </c>
      <c r="C753" s="12" t="s">
        <v>8</v>
      </c>
      <c r="D753" s="12" t="s">
        <v>15</v>
      </c>
      <c r="E753" s="12" t="s">
        <v>21</v>
      </c>
      <c r="F753" s="13" t="s">
        <v>19</v>
      </c>
      <c r="G753" s="12" t="s">
        <v>68</v>
      </c>
      <c r="H753" s="12" t="s">
        <v>968</v>
      </c>
      <c r="I753" s="12" t="s">
        <v>969</v>
      </c>
      <c r="J753" s="17" t="s">
        <v>73</v>
      </c>
      <c r="L753" s="17" t="s">
        <v>2118</v>
      </c>
      <c r="M753" s="20">
        <v>45987.0</v>
      </c>
      <c r="N753" s="17" t="s">
        <v>428</v>
      </c>
      <c r="O753" s="88" t="s">
        <v>1520</v>
      </c>
      <c r="P753" s="88" t="s">
        <v>1520</v>
      </c>
      <c r="Q753" s="88" t="s">
        <v>1519</v>
      </c>
      <c r="R753" s="88" t="s">
        <v>1521</v>
      </c>
      <c r="S753" s="88" t="s">
        <v>1520</v>
      </c>
      <c r="T753" s="88" t="s">
        <v>1520</v>
      </c>
      <c r="U753" s="88" t="s">
        <v>1520</v>
      </c>
      <c r="V753" s="88" t="s">
        <v>1520</v>
      </c>
      <c r="W753" s="88" t="s">
        <v>1520</v>
      </c>
      <c r="X753" s="88" t="s">
        <v>1520</v>
      </c>
      <c r="Y753" s="88" t="s">
        <v>1520</v>
      </c>
      <c r="Z753" s="88" t="s">
        <v>1520</v>
      </c>
      <c r="AA753" s="88" t="s">
        <v>1519</v>
      </c>
      <c r="AB753" s="88" t="s">
        <v>1519</v>
      </c>
      <c r="AC753" s="88" t="s">
        <v>1519</v>
      </c>
      <c r="AD753" s="89"/>
      <c r="AE753" s="18" t="s">
        <v>915</v>
      </c>
      <c r="AF753" s="24"/>
      <c r="AG753" s="24"/>
      <c r="AH753" s="24"/>
      <c r="AI753" s="24"/>
      <c r="AJ753" s="24"/>
      <c r="AK753" s="24"/>
      <c r="AL753" s="24"/>
      <c r="AM753" s="24"/>
    </row>
    <row r="754">
      <c r="A754" s="11"/>
      <c r="B754" s="12" t="s">
        <v>7</v>
      </c>
      <c r="C754" s="12" t="s">
        <v>8</v>
      </c>
      <c r="D754" s="12" t="s">
        <v>15</v>
      </c>
      <c r="E754" s="12" t="s">
        <v>21</v>
      </c>
      <c r="F754" s="13" t="s">
        <v>19</v>
      </c>
      <c r="G754" s="12" t="s">
        <v>68</v>
      </c>
      <c r="H754" s="12" t="s">
        <v>968</v>
      </c>
      <c r="I754" s="12" t="s">
        <v>969</v>
      </c>
      <c r="J754" s="17" t="s">
        <v>108</v>
      </c>
      <c r="L754" s="17" t="s">
        <v>2119</v>
      </c>
      <c r="M754" s="20">
        <v>45987.0</v>
      </c>
      <c r="N754" s="17" t="s">
        <v>428</v>
      </c>
      <c r="O754" s="88" t="s">
        <v>1519</v>
      </c>
      <c r="P754" s="88" t="s">
        <v>1519</v>
      </c>
      <c r="Q754" s="88" t="s">
        <v>1519</v>
      </c>
      <c r="R754" s="88" t="s">
        <v>1521</v>
      </c>
      <c r="S754" s="88" t="s">
        <v>1519</v>
      </c>
      <c r="T754" s="88" t="s">
        <v>1519</v>
      </c>
      <c r="U754" s="88" t="s">
        <v>1519</v>
      </c>
      <c r="V754" s="88" t="s">
        <v>1519</v>
      </c>
      <c r="W754" s="88" t="s">
        <v>1519</v>
      </c>
      <c r="X754" s="88" t="s">
        <v>1520</v>
      </c>
      <c r="Y754" s="88" t="s">
        <v>1519</v>
      </c>
      <c r="Z754" s="88" t="s">
        <v>1519</v>
      </c>
      <c r="AA754" s="88" t="s">
        <v>1520</v>
      </c>
      <c r="AB754" s="88" t="s">
        <v>1520</v>
      </c>
      <c r="AC754" s="88" t="s">
        <v>1520</v>
      </c>
      <c r="AD754" s="89"/>
      <c r="AE754" s="18" t="s">
        <v>915</v>
      </c>
      <c r="AF754" s="24"/>
      <c r="AG754" s="24"/>
      <c r="AH754" s="24"/>
      <c r="AI754" s="24"/>
      <c r="AJ754" s="24"/>
      <c r="AK754" s="24"/>
      <c r="AL754" s="24"/>
      <c r="AM754" s="24"/>
    </row>
    <row r="755">
      <c r="A755" s="11"/>
      <c r="B755" s="12" t="s">
        <v>7</v>
      </c>
      <c r="C755" s="12" t="s">
        <v>8</v>
      </c>
      <c r="D755" s="12" t="s">
        <v>15</v>
      </c>
      <c r="E755" s="12" t="s">
        <v>21</v>
      </c>
      <c r="F755" s="13" t="s">
        <v>19</v>
      </c>
      <c r="G755" s="12" t="s">
        <v>68</v>
      </c>
      <c r="H755" s="12" t="s">
        <v>968</v>
      </c>
      <c r="I755" s="12" t="s">
        <v>969</v>
      </c>
      <c r="J755" s="17" t="s">
        <v>108</v>
      </c>
      <c r="L755" s="17" t="s">
        <v>2120</v>
      </c>
      <c r="M755" s="20">
        <v>45987.0</v>
      </c>
      <c r="N755" s="17" t="s">
        <v>428</v>
      </c>
      <c r="O755" s="88" t="s">
        <v>1519</v>
      </c>
      <c r="P755" s="88" t="s">
        <v>1519</v>
      </c>
      <c r="Q755" s="88" t="s">
        <v>1519</v>
      </c>
      <c r="R755" s="88" t="s">
        <v>1521</v>
      </c>
      <c r="S755" s="88" t="s">
        <v>1519</v>
      </c>
      <c r="T755" s="88" t="s">
        <v>1519</v>
      </c>
      <c r="U755" s="88" t="s">
        <v>1519</v>
      </c>
      <c r="V755" s="88" t="s">
        <v>1519</v>
      </c>
      <c r="W755" s="88" t="s">
        <v>1519</v>
      </c>
      <c r="X755" s="88" t="s">
        <v>1520</v>
      </c>
      <c r="Y755" s="88" t="s">
        <v>1519</v>
      </c>
      <c r="Z755" s="88" t="s">
        <v>1519</v>
      </c>
      <c r="AA755" s="88" t="s">
        <v>1520</v>
      </c>
      <c r="AB755" s="88" t="s">
        <v>1520</v>
      </c>
      <c r="AC755" s="88" t="s">
        <v>1520</v>
      </c>
      <c r="AD755" s="89"/>
      <c r="AE755" s="18" t="s">
        <v>915</v>
      </c>
      <c r="AF755" s="24"/>
      <c r="AG755" s="24"/>
      <c r="AH755" s="24"/>
      <c r="AI755" s="24"/>
      <c r="AJ755" s="24"/>
      <c r="AK755" s="24"/>
      <c r="AL755" s="24"/>
      <c r="AM755" s="24"/>
    </row>
    <row r="756">
      <c r="A756" s="11"/>
      <c r="B756" s="12" t="s">
        <v>7</v>
      </c>
      <c r="C756" s="12" t="s">
        <v>8</v>
      </c>
      <c r="D756" s="12" t="s">
        <v>15</v>
      </c>
      <c r="E756" s="12" t="s">
        <v>21</v>
      </c>
      <c r="F756" s="13" t="s">
        <v>19</v>
      </c>
      <c r="G756" s="12" t="s">
        <v>68</v>
      </c>
      <c r="H756" s="12" t="s">
        <v>968</v>
      </c>
      <c r="I756" s="12" t="s">
        <v>969</v>
      </c>
      <c r="J756" s="17" t="s">
        <v>73</v>
      </c>
      <c r="L756" s="17" t="s">
        <v>2121</v>
      </c>
      <c r="M756" s="20">
        <v>45987.0</v>
      </c>
      <c r="N756" s="17" t="s">
        <v>428</v>
      </c>
      <c r="O756" s="88" t="s">
        <v>1520</v>
      </c>
      <c r="P756" s="88" t="s">
        <v>1520</v>
      </c>
      <c r="Q756" s="88" t="s">
        <v>1520</v>
      </c>
      <c r="R756" s="88" t="s">
        <v>1521</v>
      </c>
      <c r="S756" s="88" t="s">
        <v>1519</v>
      </c>
      <c r="T756" s="88" t="s">
        <v>1519</v>
      </c>
      <c r="U756" s="88" t="s">
        <v>1520</v>
      </c>
      <c r="V756" s="88" t="s">
        <v>1520</v>
      </c>
      <c r="W756" s="88" t="s">
        <v>1520</v>
      </c>
      <c r="X756" s="88" t="s">
        <v>1520</v>
      </c>
      <c r="Y756" s="88" t="s">
        <v>1520</v>
      </c>
      <c r="Z756" s="88" t="s">
        <v>1520</v>
      </c>
      <c r="AA756" s="88" t="s">
        <v>1520</v>
      </c>
      <c r="AB756" s="88" t="s">
        <v>1520</v>
      </c>
      <c r="AC756" s="88" t="s">
        <v>1520</v>
      </c>
      <c r="AD756" s="89"/>
      <c r="AE756" s="18" t="s">
        <v>915</v>
      </c>
      <c r="AF756" s="24"/>
      <c r="AG756" s="24"/>
      <c r="AH756" s="24"/>
      <c r="AI756" s="24"/>
      <c r="AJ756" s="24"/>
      <c r="AK756" s="24"/>
      <c r="AL756" s="24"/>
      <c r="AM756" s="24"/>
    </row>
    <row r="757">
      <c r="A757" s="11"/>
      <c r="B757" s="12" t="s">
        <v>7</v>
      </c>
      <c r="C757" s="12" t="s">
        <v>8</v>
      </c>
      <c r="D757" s="12" t="s">
        <v>15</v>
      </c>
      <c r="E757" s="12" t="s">
        <v>21</v>
      </c>
      <c r="F757" s="13" t="s">
        <v>19</v>
      </c>
      <c r="G757" s="12" t="s">
        <v>68</v>
      </c>
      <c r="H757" s="12" t="s">
        <v>968</v>
      </c>
      <c r="I757" s="12" t="s">
        <v>969</v>
      </c>
      <c r="J757" s="17" t="s">
        <v>108</v>
      </c>
      <c r="L757" s="17" t="s">
        <v>2122</v>
      </c>
      <c r="M757" s="20">
        <v>45987.0</v>
      </c>
      <c r="N757" s="17" t="s">
        <v>428</v>
      </c>
      <c r="O757" s="88" t="s">
        <v>1519</v>
      </c>
      <c r="P757" s="88" t="s">
        <v>1519</v>
      </c>
      <c r="Q757" s="88" t="s">
        <v>1519</v>
      </c>
      <c r="R757" s="88" t="s">
        <v>1521</v>
      </c>
      <c r="S757" s="88" t="s">
        <v>1519</v>
      </c>
      <c r="T757" s="88" t="s">
        <v>1519</v>
      </c>
      <c r="U757" s="88" t="s">
        <v>1519</v>
      </c>
      <c r="V757" s="88" t="s">
        <v>1519</v>
      </c>
      <c r="W757" s="88" t="s">
        <v>1519</v>
      </c>
      <c r="X757" s="88" t="s">
        <v>1520</v>
      </c>
      <c r="Y757" s="88" t="s">
        <v>1519</v>
      </c>
      <c r="Z757" s="88" t="s">
        <v>1519</v>
      </c>
      <c r="AA757" s="88" t="s">
        <v>1519</v>
      </c>
      <c r="AB757" s="88" t="s">
        <v>1520</v>
      </c>
      <c r="AC757" s="88" t="s">
        <v>1520</v>
      </c>
      <c r="AD757" s="89"/>
      <c r="AE757" s="18" t="s">
        <v>915</v>
      </c>
      <c r="AF757" s="24"/>
      <c r="AG757" s="24"/>
      <c r="AH757" s="24"/>
      <c r="AI757" s="24"/>
      <c r="AJ757" s="24"/>
      <c r="AK757" s="24"/>
      <c r="AL757" s="24"/>
      <c r="AM757" s="24"/>
    </row>
    <row r="758">
      <c r="A758" s="11"/>
      <c r="B758" s="12" t="s">
        <v>7</v>
      </c>
      <c r="C758" s="12" t="s">
        <v>8</v>
      </c>
      <c r="D758" s="12" t="s">
        <v>15</v>
      </c>
      <c r="E758" s="12" t="s">
        <v>21</v>
      </c>
      <c r="F758" s="13" t="s">
        <v>19</v>
      </c>
      <c r="G758" s="12" t="s">
        <v>68</v>
      </c>
      <c r="H758" s="12" t="s">
        <v>968</v>
      </c>
      <c r="I758" s="12" t="s">
        <v>969</v>
      </c>
      <c r="J758" s="17" t="s">
        <v>73</v>
      </c>
      <c r="L758" s="17" t="s">
        <v>2123</v>
      </c>
      <c r="M758" s="20">
        <v>45987.0</v>
      </c>
      <c r="N758" s="17" t="s">
        <v>428</v>
      </c>
      <c r="O758" s="88" t="s">
        <v>1520</v>
      </c>
      <c r="P758" s="88" t="s">
        <v>1520</v>
      </c>
      <c r="Q758" s="88" t="s">
        <v>1520</v>
      </c>
      <c r="R758" s="88" t="s">
        <v>1521</v>
      </c>
      <c r="S758" s="88" t="s">
        <v>1519</v>
      </c>
      <c r="T758" s="88" t="s">
        <v>1519</v>
      </c>
      <c r="U758" s="88" t="s">
        <v>1520</v>
      </c>
      <c r="V758" s="88" t="s">
        <v>1520</v>
      </c>
      <c r="W758" s="88" t="s">
        <v>1520</v>
      </c>
      <c r="X758" s="88" t="s">
        <v>1520</v>
      </c>
      <c r="Y758" s="88" t="s">
        <v>1521</v>
      </c>
      <c r="Z758" s="88" t="s">
        <v>1521</v>
      </c>
      <c r="AA758" s="88" t="s">
        <v>1520</v>
      </c>
      <c r="AB758" s="88" t="s">
        <v>1520</v>
      </c>
      <c r="AC758" s="88" t="s">
        <v>1520</v>
      </c>
      <c r="AD758" s="89"/>
      <c r="AE758" s="18" t="s">
        <v>915</v>
      </c>
      <c r="AF758" s="24"/>
      <c r="AG758" s="24"/>
      <c r="AH758" s="24"/>
      <c r="AI758" s="24"/>
      <c r="AJ758" s="24"/>
      <c r="AK758" s="24"/>
      <c r="AL758" s="24"/>
      <c r="AM758" s="24"/>
    </row>
    <row r="759">
      <c r="A759" s="11"/>
      <c r="B759" s="12" t="s">
        <v>7</v>
      </c>
      <c r="C759" s="12" t="s">
        <v>8</v>
      </c>
      <c r="D759" s="12" t="s">
        <v>15</v>
      </c>
      <c r="E759" s="12" t="s">
        <v>21</v>
      </c>
      <c r="F759" s="13" t="s">
        <v>19</v>
      </c>
      <c r="G759" s="12" t="s">
        <v>68</v>
      </c>
      <c r="H759" s="12" t="s">
        <v>968</v>
      </c>
      <c r="I759" s="12" t="s">
        <v>969</v>
      </c>
      <c r="J759" s="17" t="s">
        <v>112</v>
      </c>
      <c r="L759" s="17" t="s">
        <v>2124</v>
      </c>
      <c r="M759" s="20">
        <v>45987.0</v>
      </c>
      <c r="N759" s="17" t="s">
        <v>428</v>
      </c>
      <c r="O759" s="88" t="s">
        <v>1520</v>
      </c>
      <c r="P759" s="88" t="s">
        <v>1520</v>
      </c>
      <c r="Q759" s="88" t="s">
        <v>1520</v>
      </c>
      <c r="R759" s="88" t="s">
        <v>1521</v>
      </c>
      <c r="S759" s="88" t="s">
        <v>1519</v>
      </c>
      <c r="T759" s="88" t="s">
        <v>1519</v>
      </c>
      <c r="U759" s="88" t="s">
        <v>1520</v>
      </c>
      <c r="V759" s="88" t="s">
        <v>1520</v>
      </c>
      <c r="W759" s="88" t="s">
        <v>1520</v>
      </c>
      <c r="X759" s="88" t="s">
        <v>1520</v>
      </c>
      <c r="Y759" s="88" t="s">
        <v>1520</v>
      </c>
      <c r="Z759" s="88" t="s">
        <v>1520</v>
      </c>
      <c r="AA759" s="88" t="s">
        <v>1520</v>
      </c>
      <c r="AB759" s="88" t="s">
        <v>1520</v>
      </c>
      <c r="AC759" s="88" t="s">
        <v>1520</v>
      </c>
      <c r="AD759" s="89"/>
      <c r="AE759" s="18" t="s">
        <v>915</v>
      </c>
      <c r="AF759" s="24"/>
      <c r="AG759" s="24"/>
      <c r="AH759" s="24"/>
      <c r="AI759" s="24"/>
      <c r="AJ759" s="24"/>
      <c r="AK759" s="24"/>
      <c r="AL759" s="24"/>
      <c r="AM759" s="24"/>
    </row>
    <row r="760">
      <c r="A760" s="11"/>
      <c r="B760" s="12" t="s">
        <v>7</v>
      </c>
      <c r="C760" s="12" t="s">
        <v>8</v>
      </c>
      <c r="D760" s="12" t="s">
        <v>15</v>
      </c>
      <c r="E760" s="12" t="s">
        <v>21</v>
      </c>
      <c r="F760" s="13" t="s">
        <v>19</v>
      </c>
      <c r="G760" s="12" t="s">
        <v>68</v>
      </c>
      <c r="H760" s="12" t="s">
        <v>968</v>
      </c>
      <c r="I760" s="12" t="s">
        <v>969</v>
      </c>
      <c r="J760" s="17" t="s">
        <v>108</v>
      </c>
      <c r="L760" s="17" t="s">
        <v>2125</v>
      </c>
      <c r="M760" s="20">
        <v>45987.0</v>
      </c>
      <c r="N760" s="17" t="s">
        <v>428</v>
      </c>
      <c r="O760" s="88" t="s">
        <v>1519</v>
      </c>
      <c r="P760" s="88" t="s">
        <v>1519</v>
      </c>
      <c r="Q760" s="88" t="s">
        <v>1520</v>
      </c>
      <c r="R760" s="88" t="s">
        <v>1521</v>
      </c>
      <c r="S760" s="88" t="s">
        <v>1520</v>
      </c>
      <c r="T760" s="88" t="s">
        <v>1520</v>
      </c>
      <c r="U760" s="88" t="s">
        <v>1521</v>
      </c>
      <c r="V760" s="88" t="s">
        <v>1521</v>
      </c>
      <c r="W760" s="88" t="s">
        <v>1521</v>
      </c>
      <c r="X760" s="88" t="s">
        <v>1520</v>
      </c>
      <c r="Y760" s="88" t="s">
        <v>1519</v>
      </c>
      <c r="Z760" s="88" t="s">
        <v>1519</v>
      </c>
      <c r="AA760" s="88" t="s">
        <v>1521</v>
      </c>
      <c r="AB760" s="88" t="s">
        <v>1521</v>
      </c>
      <c r="AC760" s="88" t="s">
        <v>1521</v>
      </c>
      <c r="AD760" s="89"/>
      <c r="AE760" s="18" t="s">
        <v>915</v>
      </c>
      <c r="AF760" s="24"/>
      <c r="AG760" s="24"/>
      <c r="AH760" s="24"/>
      <c r="AI760" s="24"/>
      <c r="AJ760" s="24"/>
      <c r="AK760" s="24"/>
      <c r="AL760" s="24"/>
      <c r="AM760" s="24"/>
    </row>
    <row r="761">
      <c r="A761" s="11"/>
      <c r="B761" s="12" t="s">
        <v>7</v>
      </c>
      <c r="C761" s="12" t="s">
        <v>8</v>
      </c>
      <c r="D761" s="12" t="s">
        <v>15</v>
      </c>
      <c r="E761" s="12" t="s">
        <v>21</v>
      </c>
      <c r="F761" s="13" t="s">
        <v>19</v>
      </c>
      <c r="G761" s="12" t="s">
        <v>68</v>
      </c>
      <c r="H761" s="12" t="s">
        <v>968</v>
      </c>
      <c r="I761" s="12" t="s">
        <v>969</v>
      </c>
      <c r="J761" s="17" t="s">
        <v>112</v>
      </c>
      <c r="L761" s="17" t="s">
        <v>2126</v>
      </c>
      <c r="M761" s="20">
        <v>45987.0</v>
      </c>
      <c r="N761" s="17" t="s">
        <v>428</v>
      </c>
      <c r="O761" s="88" t="s">
        <v>1519</v>
      </c>
      <c r="P761" s="88" t="s">
        <v>1519</v>
      </c>
      <c r="Q761" s="88" t="s">
        <v>1519</v>
      </c>
      <c r="R761" s="88" t="s">
        <v>1521</v>
      </c>
      <c r="S761" s="88" t="s">
        <v>1519</v>
      </c>
      <c r="T761" s="88" t="s">
        <v>1519</v>
      </c>
      <c r="U761" s="88" t="s">
        <v>1519</v>
      </c>
      <c r="V761" s="88" t="s">
        <v>1519</v>
      </c>
      <c r="W761" s="88" t="s">
        <v>1520</v>
      </c>
      <c r="X761" s="88" t="s">
        <v>1520</v>
      </c>
      <c r="Y761" s="88" t="s">
        <v>1519</v>
      </c>
      <c r="Z761" s="88" t="s">
        <v>1519</v>
      </c>
      <c r="AA761" s="88" t="s">
        <v>1520</v>
      </c>
      <c r="AB761" s="88" t="s">
        <v>1520</v>
      </c>
      <c r="AC761" s="88" t="s">
        <v>1520</v>
      </c>
      <c r="AD761" s="89"/>
      <c r="AE761" s="18" t="s">
        <v>915</v>
      </c>
      <c r="AF761" s="24"/>
      <c r="AG761" s="24"/>
      <c r="AH761" s="24"/>
      <c r="AI761" s="24"/>
      <c r="AJ761" s="24"/>
      <c r="AK761" s="24"/>
      <c r="AL761" s="24"/>
      <c r="AM761" s="24"/>
    </row>
    <row r="762">
      <c r="A762" s="11"/>
      <c r="B762" s="12" t="s">
        <v>7</v>
      </c>
      <c r="C762" s="12" t="s">
        <v>8</v>
      </c>
      <c r="D762" s="12" t="s">
        <v>15</v>
      </c>
      <c r="E762" s="12" t="s">
        <v>21</v>
      </c>
      <c r="F762" s="13" t="s">
        <v>19</v>
      </c>
      <c r="G762" s="12" t="s">
        <v>68</v>
      </c>
      <c r="H762" s="12" t="s">
        <v>968</v>
      </c>
      <c r="I762" s="12" t="s">
        <v>969</v>
      </c>
      <c r="J762" s="17" t="s">
        <v>108</v>
      </c>
      <c r="L762" s="17" t="s">
        <v>2127</v>
      </c>
      <c r="M762" s="20">
        <v>45987.0</v>
      </c>
      <c r="N762" s="17" t="s">
        <v>428</v>
      </c>
      <c r="O762" s="88" t="s">
        <v>1519</v>
      </c>
      <c r="P762" s="88" t="s">
        <v>1519</v>
      </c>
      <c r="Q762" s="88" t="s">
        <v>1519</v>
      </c>
      <c r="R762" s="88" t="s">
        <v>1521</v>
      </c>
      <c r="S762" s="88" t="s">
        <v>1520</v>
      </c>
      <c r="T762" s="88" t="s">
        <v>1520</v>
      </c>
      <c r="U762" s="88" t="s">
        <v>1519</v>
      </c>
      <c r="V762" s="88" t="s">
        <v>1519</v>
      </c>
      <c r="W762" s="88" t="s">
        <v>1520</v>
      </c>
      <c r="X762" s="88" t="s">
        <v>1520</v>
      </c>
      <c r="Y762" s="88" t="s">
        <v>1519</v>
      </c>
      <c r="Z762" s="88" t="s">
        <v>1519</v>
      </c>
      <c r="AA762" s="88" t="s">
        <v>1520</v>
      </c>
      <c r="AB762" s="88" t="s">
        <v>1520</v>
      </c>
      <c r="AC762" s="88" t="s">
        <v>1520</v>
      </c>
      <c r="AD762" s="89"/>
      <c r="AE762" s="18" t="s">
        <v>915</v>
      </c>
      <c r="AF762" s="24"/>
      <c r="AG762" s="24"/>
      <c r="AH762" s="24"/>
      <c r="AI762" s="24"/>
      <c r="AJ762" s="24"/>
      <c r="AK762" s="24"/>
      <c r="AL762" s="24"/>
      <c r="AM762" s="24"/>
    </row>
    <row r="763">
      <c r="A763" s="106" t="s">
        <v>12</v>
      </c>
      <c r="B763" s="12" t="s">
        <v>7</v>
      </c>
      <c r="C763" s="12" t="s">
        <v>37</v>
      </c>
      <c r="D763" s="12" t="s">
        <v>38</v>
      </c>
      <c r="E763" s="12" t="s">
        <v>41</v>
      </c>
      <c r="F763" s="13" t="s">
        <v>39</v>
      </c>
      <c r="G763" s="12" t="s">
        <v>68</v>
      </c>
      <c r="H763" s="12" t="s">
        <v>902</v>
      </c>
      <c r="I763" s="12" t="s">
        <v>903</v>
      </c>
      <c r="J763" s="17" t="s">
        <v>112</v>
      </c>
      <c r="K763" s="17" t="s">
        <v>113</v>
      </c>
      <c r="L763" s="17" t="s">
        <v>1769</v>
      </c>
      <c r="M763" s="20">
        <v>45972.0</v>
      </c>
      <c r="N763" s="17" t="s">
        <v>428</v>
      </c>
      <c r="O763" s="88" t="s">
        <v>1519</v>
      </c>
      <c r="P763" s="88" t="s">
        <v>1519</v>
      </c>
      <c r="Q763" s="88" t="s">
        <v>1520</v>
      </c>
      <c r="R763" s="88" t="s">
        <v>1519</v>
      </c>
      <c r="S763" s="88" t="s">
        <v>1520</v>
      </c>
      <c r="T763" s="88" t="s">
        <v>1520</v>
      </c>
      <c r="U763" s="88" t="s">
        <v>1520</v>
      </c>
      <c r="V763" s="88" t="s">
        <v>1519</v>
      </c>
      <c r="W763" s="88" t="s">
        <v>1519</v>
      </c>
      <c r="X763" s="88" t="s">
        <v>1520</v>
      </c>
      <c r="Y763" s="88" t="s">
        <v>1520</v>
      </c>
      <c r="Z763" s="88" t="s">
        <v>1519</v>
      </c>
      <c r="AA763" s="88" t="s">
        <v>1519</v>
      </c>
      <c r="AB763" s="88" t="s">
        <v>1520</v>
      </c>
      <c r="AC763" s="88" t="s">
        <v>1520</v>
      </c>
      <c r="AD763" s="89"/>
      <c r="AE763" s="18" t="s">
        <v>588</v>
      </c>
      <c r="AF763" s="24"/>
      <c r="AG763" s="24"/>
      <c r="AH763" s="24"/>
      <c r="AI763" s="24"/>
      <c r="AJ763" s="24"/>
      <c r="AK763" s="24"/>
      <c r="AL763" s="24"/>
      <c r="AM763" s="24"/>
    </row>
    <row r="764">
      <c r="A764" s="11"/>
      <c r="B764" s="12" t="s">
        <v>7</v>
      </c>
      <c r="C764" s="12" t="s">
        <v>37</v>
      </c>
      <c r="D764" s="12" t="s">
        <v>38</v>
      </c>
      <c r="E764" s="12" t="s">
        <v>41</v>
      </c>
      <c r="F764" s="13" t="s">
        <v>39</v>
      </c>
      <c r="G764" s="12" t="s">
        <v>68</v>
      </c>
      <c r="H764" s="12" t="s">
        <v>902</v>
      </c>
      <c r="I764" s="12" t="s">
        <v>903</v>
      </c>
      <c r="J764" s="17" t="s">
        <v>112</v>
      </c>
      <c r="K764" s="17" t="s">
        <v>113</v>
      </c>
      <c r="L764" s="17" t="s">
        <v>1770</v>
      </c>
      <c r="M764" s="20">
        <v>45972.0</v>
      </c>
      <c r="N764" s="17" t="s">
        <v>428</v>
      </c>
      <c r="O764" s="88" t="s">
        <v>1519</v>
      </c>
      <c r="P764" s="88" t="s">
        <v>1519</v>
      </c>
      <c r="Q764" s="88" t="s">
        <v>1520</v>
      </c>
      <c r="R764" s="88" t="s">
        <v>1519</v>
      </c>
      <c r="S764" s="88" t="s">
        <v>1520</v>
      </c>
      <c r="T764" s="88" t="s">
        <v>1520</v>
      </c>
      <c r="U764" s="88" t="s">
        <v>1520</v>
      </c>
      <c r="V764" s="88" t="s">
        <v>1520</v>
      </c>
      <c r="W764" s="88" t="s">
        <v>1519</v>
      </c>
      <c r="X764" s="88" t="s">
        <v>1520</v>
      </c>
      <c r="Y764" s="88" t="s">
        <v>1520</v>
      </c>
      <c r="Z764" s="88" t="s">
        <v>1520</v>
      </c>
      <c r="AA764" s="88" t="s">
        <v>1519</v>
      </c>
      <c r="AB764" s="88" t="s">
        <v>1519</v>
      </c>
      <c r="AC764" s="88" t="s">
        <v>1520</v>
      </c>
      <c r="AD764" s="89"/>
      <c r="AE764" s="18" t="s">
        <v>588</v>
      </c>
      <c r="AF764" s="24"/>
      <c r="AG764" s="24"/>
      <c r="AH764" s="24"/>
      <c r="AI764" s="24"/>
      <c r="AJ764" s="24"/>
      <c r="AK764" s="24"/>
      <c r="AL764" s="24"/>
      <c r="AM764" s="24"/>
    </row>
    <row r="765">
      <c r="A765" s="11"/>
      <c r="B765" s="12" t="s">
        <v>7</v>
      </c>
      <c r="C765" s="12" t="s">
        <v>37</v>
      </c>
      <c r="D765" s="12" t="s">
        <v>38</v>
      </c>
      <c r="E765" s="12" t="s">
        <v>41</v>
      </c>
      <c r="F765" s="13" t="s">
        <v>39</v>
      </c>
      <c r="G765" s="12" t="s">
        <v>68</v>
      </c>
      <c r="H765" s="12" t="s">
        <v>902</v>
      </c>
      <c r="I765" s="12" t="s">
        <v>903</v>
      </c>
      <c r="J765" s="17" t="s">
        <v>112</v>
      </c>
      <c r="K765" s="17" t="s">
        <v>113</v>
      </c>
      <c r="L765" s="17" t="s">
        <v>1771</v>
      </c>
      <c r="M765" s="20">
        <v>45972.0</v>
      </c>
      <c r="N765" s="17" t="s">
        <v>428</v>
      </c>
      <c r="O765" s="88" t="s">
        <v>1519</v>
      </c>
      <c r="P765" s="88" t="s">
        <v>1519</v>
      </c>
      <c r="Q765" s="88" t="s">
        <v>1520</v>
      </c>
      <c r="R765" s="88" t="s">
        <v>1519</v>
      </c>
      <c r="S765" s="88" t="s">
        <v>1519</v>
      </c>
      <c r="T765" s="88" t="s">
        <v>1519</v>
      </c>
      <c r="U765" s="88" t="s">
        <v>1519</v>
      </c>
      <c r="V765" s="88" t="s">
        <v>1519</v>
      </c>
      <c r="W765" s="88" t="s">
        <v>1519</v>
      </c>
      <c r="X765" s="88" t="s">
        <v>1519</v>
      </c>
      <c r="Y765" s="88" t="s">
        <v>1519</v>
      </c>
      <c r="Z765" s="88" t="s">
        <v>1519</v>
      </c>
      <c r="AA765" s="88" t="s">
        <v>1519</v>
      </c>
      <c r="AB765" s="88" t="s">
        <v>1519</v>
      </c>
      <c r="AC765" s="88" t="s">
        <v>1519</v>
      </c>
      <c r="AD765" s="89"/>
      <c r="AE765" s="18" t="s">
        <v>588</v>
      </c>
      <c r="AF765" s="24"/>
      <c r="AG765" s="24"/>
      <c r="AH765" s="24"/>
      <c r="AI765" s="24"/>
      <c r="AJ765" s="24"/>
      <c r="AK765" s="24"/>
      <c r="AL765" s="24"/>
      <c r="AM765" s="24"/>
    </row>
    <row r="766">
      <c r="A766" s="11"/>
      <c r="B766" s="12" t="s">
        <v>7</v>
      </c>
      <c r="C766" s="12" t="s">
        <v>37</v>
      </c>
      <c r="D766" s="12" t="s">
        <v>38</v>
      </c>
      <c r="E766" s="12" t="s">
        <v>41</v>
      </c>
      <c r="F766" s="13" t="s">
        <v>39</v>
      </c>
      <c r="G766" s="12" t="s">
        <v>68</v>
      </c>
      <c r="H766" s="12" t="s">
        <v>902</v>
      </c>
      <c r="I766" s="12" t="s">
        <v>903</v>
      </c>
      <c r="J766" s="17" t="s">
        <v>112</v>
      </c>
      <c r="K766" s="17" t="s">
        <v>113</v>
      </c>
      <c r="L766" s="17" t="s">
        <v>1772</v>
      </c>
      <c r="M766" s="20">
        <v>45972.0</v>
      </c>
      <c r="N766" s="17" t="s">
        <v>428</v>
      </c>
      <c r="O766" s="88" t="s">
        <v>1519</v>
      </c>
      <c r="P766" s="88" t="s">
        <v>1519</v>
      </c>
      <c r="Q766" s="88" t="s">
        <v>1520</v>
      </c>
      <c r="R766" s="88" t="s">
        <v>1519</v>
      </c>
      <c r="S766" s="88" t="s">
        <v>1520</v>
      </c>
      <c r="T766" s="88" t="s">
        <v>1520</v>
      </c>
      <c r="U766" s="88" t="s">
        <v>1519</v>
      </c>
      <c r="V766" s="88" t="s">
        <v>1519</v>
      </c>
      <c r="W766" s="88" t="s">
        <v>1520</v>
      </c>
      <c r="X766" s="88" t="s">
        <v>1520</v>
      </c>
      <c r="Y766" s="88" t="s">
        <v>1519</v>
      </c>
      <c r="Z766" s="88" t="s">
        <v>1520</v>
      </c>
      <c r="AA766" s="88" t="s">
        <v>1520</v>
      </c>
      <c r="AB766" s="88" t="s">
        <v>1519</v>
      </c>
      <c r="AC766" s="88" t="s">
        <v>1520</v>
      </c>
      <c r="AD766" s="89"/>
      <c r="AE766" s="18" t="s">
        <v>588</v>
      </c>
      <c r="AF766" s="24"/>
      <c r="AG766" s="24"/>
      <c r="AH766" s="24"/>
      <c r="AI766" s="24"/>
      <c r="AJ766" s="24"/>
      <c r="AK766" s="24"/>
      <c r="AL766" s="24"/>
      <c r="AM766" s="24"/>
    </row>
    <row r="767">
      <c r="A767" s="11"/>
      <c r="B767" s="12" t="s">
        <v>7</v>
      </c>
      <c r="C767" s="12" t="s">
        <v>37</v>
      </c>
      <c r="D767" s="12" t="s">
        <v>38</v>
      </c>
      <c r="E767" s="12" t="s">
        <v>41</v>
      </c>
      <c r="F767" s="13" t="s">
        <v>39</v>
      </c>
      <c r="G767" s="12" t="s">
        <v>68</v>
      </c>
      <c r="H767" s="12" t="s">
        <v>902</v>
      </c>
      <c r="I767" s="12" t="s">
        <v>903</v>
      </c>
      <c r="J767" s="17" t="s">
        <v>112</v>
      </c>
      <c r="K767" s="17" t="s">
        <v>113</v>
      </c>
      <c r="L767" s="17" t="s">
        <v>1773</v>
      </c>
      <c r="M767" s="20">
        <v>45972.0</v>
      </c>
      <c r="N767" s="17" t="s">
        <v>428</v>
      </c>
      <c r="O767" s="88" t="s">
        <v>1519</v>
      </c>
      <c r="P767" s="88" t="s">
        <v>1519</v>
      </c>
      <c r="Q767" s="88" t="s">
        <v>1520</v>
      </c>
      <c r="R767" s="88" t="s">
        <v>1519</v>
      </c>
      <c r="S767" s="88" t="s">
        <v>1519</v>
      </c>
      <c r="T767" s="88" t="s">
        <v>1519</v>
      </c>
      <c r="U767" s="88" t="s">
        <v>1520</v>
      </c>
      <c r="V767" s="88" t="s">
        <v>1520</v>
      </c>
      <c r="W767" s="88" t="s">
        <v>1519</v>
      </c>
      <c r="X767" s="88" t="s">
        <v>1520</v>
      </c>
      <c r="Y767" s="88" t="s">
        <v>1520</v>
      </c>
      <c r="Z767" s="88" t="s">
        <v>1519</v>
      </c>
      <c r="AA767" s="88" t="s">
        <v>1520</v>
      </c>
      <c r="AB767" s="88" t="s">
        <v>1519</v>
      </c>
      <c r="AC767" s="88" t="s">
        <v>1520</v>
      </c>
      <c r="AD767" s="89"/>
      <c r="AE767" s="18" t="s">
        <v>588</v>
      </c>
      <c r="AF767" s="24"/>
      <c r="AG767" s="24"/>
      <c r="AH767" s="24"/>
      <c r="AI767" s="24"/>
      <c r="AJ767" s="24"/>
      <c r="AK767" s="24"/>
      <c r="AL767" s="24"/>
      <c r="AM767" s="24"/>
    </row>
    <row r="768">
      <c r="A768" s="11"/>
      <c r="B768" s="12" t="s">
        <v>7</v>
      </c>
      <c r="C768" s="12" t="s">
        <v>37</v>
      </c>
      <c r="D768" s="12" t="s">
        <v>38</v>
      </c>
      <c r="E768" s="12" t="s">
        <v>41</v>
      </c>
      <c r="F768" s="13" t="s">
        <v>39</v>
      </c>
      <c r="G768" s="12" t="s">
        <v>68</v>
      </c>
      <c r="H768" s="12" t="s">
        <v>902</v>
      </c>
      <c r="I768" s="12" t="s">
        <v>903</v>
      </c>
      <c r="J768" s="17" t="s">
        <v>108</v>
      </c>
      <c r="K768" s="17" t="s">
        <v>109</v>
      </c>
      <c r="L768" s="17" t="s">
        <v>1774</v>
      </c>
      <c r="M768" s="20">
        <v>45972.0</v>
      </c>
      <c r="N768" s="17" t="s">
        <v>428</v>
      </c>
      <c r="O768" s="88" t="s">
        <v>1519</v>
      </c>
      <c r="P768" s="88" t="s">
        <v>1519</v>
      </c>
      <c r="Q768" s="88" t="s">
        <v>1520</v>
      </c>
      <c r="R768" s="88" t="s">
        <v>1519</v>
      </c>
      <c r="S768" s="88" t="s">
        <v>1520</v>
      </c>
      <c r="T768" s="88" t="s">
        <v>1520</v>
      </c>
      <c r="U768" s="88" t="s">
        <v>1520</v>
      </c>
      <c r="V768" s="88" t="s">
        <v>1520</v>
      </c>
      <c r="W768" s="88" t="s">
        <v>1520</v>
      </c>
      <c r="X768" s="88" t="s">
        <v>1520</v>
      </c>
      <c r="Y768" s="88" t="s">
        <v>1520</v>
      </c>
      <c r="Z768" s="88" t="s">
        <v>1520</v>
      </c>
      <c r="AA768" s="88" t="s">
        <v>1520</v>
      </c>
      <c r="AB768" s="88" t="s">
        <v>1520</v>
      </c>
      <c r="AC768" s="88" t="s">
        <v>1520</v>
      </c>
      <c r="AD768" s="89"/>
      <c r="AE768" s="18" t="s">
        <v>588</v>
      </c>
      <c r="AF768" s="24"/>
      <c r="AG768" s="24"/>
      <c r="AH768" s="24"/>
      <c r="AI768" s="24"/>
      <c r="AJ768" s="24"/>
      <c r="AK768" s="24"/>
      <c r="AL768" s="24"/>
      <c r="AM768" s="24"/>
    </row>
    <row r="769">
      <c r="A769" s="11"/>
      <c r="B769" s="12" t="s">
        <v>7</v>
      </c>
      <c r="C769" s="12" t="s">
        <v>37</v>
      </c>
      <c r="D769" s="12" t="s">
        <v>38</v>
      </c>
      <c r="E769" s="12" t="s">
        <v>38</v>
      </c>
      <c r="F769" s="13" t="s">
        <v>42</v>
      </c>
      <c r="G769" s="12" t="s">
        <v>68</v>
      </c>
      <c r="H769" s="12" t="s">
        <v>584</v>
      </c>
      <c r="I769" s="12" t="s">
        <v>585</v>
      </c>
      <c r="J769" s="17" t="s">
        <v>108</v>
      </c>
      <c r="K769" s="17" t="s">
        <v>1775</v>
      </c>
      <c r="L769" s="17" t="s">
        <v>1776</v>
      </c>
      <c r="M769" s="20">
        <v>45973.0</v>
      </c>
      <c r="N769" s="17" t="s">
        <v>428</v>
      </c>
      <c r="O769" s="88" t="s">
        <v>1519</v>
      </c>
      <c r="P769" s="88" t="s">
        <v>1519</v>
      </c>
      <c r="Q769" s="88" t="s">
        <v>1520</v>
      </c>
      <c r="R769" s="88" t="s">
        <v>1519</v>
      </c>
      <c r="S769" s="88" t="s">
        <v>1519</v>
      </c>
      <c r="T769" s="88" t="s">
        <v>1519</v>
      </c>
      <c r="U769" s="88" t="s">
        <v>1519</v>
      </c>
      <c r="V769" s="88" t="s">
        <v>1519</v>
      </c>
      <c r="W769" s="88" t="s">
        <v>1519</v>
      </c>
      <c r="X769" s="88" t="s">
        <v>1519</v>
      </c>
      <c r="Y769" s="88" t="s">
        <v>1519</v>
      </c>
      <c r="Z769" s="88" t="s">
        <v>1519</v>
      </c>
      <c r="AA769" s="88" t="s">
        <v>1519</v>
      </c>
      <c r="AB769" s="88" t="s">
        <v>1519</v>
      </c>
      <c r="AC769" s="88" t="s">
        <v>1519</v>
      </c>
      <c r="AD769" s="90"/>
      <c r="AE769" s="18" t="s">
        <v>588</v>
      </c>
      <c r="AF769" s="24"/>
      <c r="AG769" s="24"/>
      <c r="AH769" s="24"/>
      <c r="AI769" s="24"/>
      <c r="AJ769" s="24"/>
      <c r="AK769" s="24"/>
      <c r="AL769" s="24"/>
      <c r="AM769" s="24"/>
    </row>
    <row r="770">
      <c r="A770" s="11"/>
      <c r="B770" s="12" t="s">
        <v>7</v>
      </c>
      <c r="C770" s="12" t="s">
        <v>37</v>
      </c>
      <c r="D770" s="12" t="s">
        <v>38</v>
      </c>
      <c r="E770" s="12" t="s">
        <v>38</v>
      </c>
      <c r="F770" s="13" t="s">
        <v>42</v>
      </c>
      <c r="G770" s="12" t="s">
        <v>68</v>
      </c>
      <c r="H770" s="12" t="s">
        <v>584</v>
      </c>
      <c r="I770" s="12" t="s">
        <v>585</v>
      </c>
      <c r="J770" s="17" t="s">
        <v>108</v>
      </c>
      <c r="K770" s="17" t="s">
        <v>1775</v>
      </c>
      <c r="L770" s="17" t="s">
        <v>1777</v>
      </c>
      <c r="M770" s="20">
        <v>45973.0</v>
      </c>
      <c r="N770" s="17" t="s">
        <v>428</v>
      </c>
      <c r="O770" s="88" t="s">
        <v>1519</v>
      </c>
      <c r="P770" s="88" t="s">
        <v>1519</v>
      </c>
      <c r="Q770" s="88" t="s">
        <v>1520</v>
      </c>
      <c r="R770" s="88" t="s">
        <v>1519</v>
      </c>
      <c r="S770" s="88" t="s">
        <v>1519</v>
      </c>
      <c r="T770" s="88" t="s">
        <v>1519</v>
      </c>
      <c r="U770" s="88" t="s">
        <v>1519</v>
      </c>
      <c r="V770" s="88" t="s">
        <v>1519</v>
      </c>
      <c r="W770" s="88" t="s">
        <v>1519</v>
      </c>
      <c r="X770" s="88" t="s">
        <v>1519</v>
      </c>
      <c r="Y770" s="88" t="s">
        <v>1519</v>
      </c>
      <c r="Z770" s="88" t="s">
        <v>1519</v>
      </c>
      <c r="AA770" s="88" t="s">
        <v>1519</v>
      </c>
      <c r="AB770" s="88" t="s">
        <v>1519</v>
      </c>
      <c r="AC770" s="88" t="s">
        <v>1519</v>
      </c>
      <c r="AD770" s="90"/>
      <c r="AE770" s="18" t="s">
        <v>588</v>
      </c>
      <c r="AF770" s="24"/>
      <c r="AG770" s="24"/>
      <c r="AH770" s="24"/>
      <c r="AI770" s="24"/>
      <c r="AJ770" s="24"/>
      <c r="AK770" s="24"/>
      <c r="AL770" s="24"/>
      <c r="AM770" s="24"/>
    </row>
    <row r="771">
      <c r="A771" s="11"/>
      <c r="B771" s="12" t="s">
        <v>7</v>
      </c>
      <c r="C771" s="12" t="s">
        <v>37</v>
      </c>
      <c r="D771" s="12" t="s">
        <v>38</v>
      </c>
      <c r="E771" s="12" t="s">
        <v>38</v>
      </c>
      <c r="F771" s="13" t="s">
        <v>42</v>
      </c>
      <c r="G771" s="12" t="s">
        <v>68</v>
      </c>
      <c r="H771" s="12" t="s">
        <v>584</v>
      </c>
      <c r="I771" s="12" t="s">
        <v>585</v>
      </c>
      <c r="J771" s="17" t="s">
        <v>108</v>
      </c>
      <c r="K771" s="17" t="s">
        <v>1775</v>
      </c>
      <c r="L771" s="17" t="s">
        <v>1778</v>
      </c>
      <c r="M771" s="20">
        <v>45973.0</v>
      </c>
      <c r="N771" s="17" t="s">
        <v>428</v>
      </c>
      <c r="O771" s="88" t="s">
        <v>1519</v>
      </c>
      <c r="P771" s="88" t="s">
        <v>1519</v>
      </c>
      <c r="Q771" s="88" t="s">
        <v>1520</v>
      </c>
      <c r="R771" s="88" t="s">
        <v>1519</v>
      </c>
      <c r="S771" s="88" t="s">
        <v>1519</v>
      </c>
      <c r="T771" s="88" t="s">
        <v>1519</v>
      </c>
      <c r="U771" s="88" t="s">
        <v>1519</v>
      </c>
      <c r="V771" s="88" t="s">
        <v>1519</v>
      </c>
      <c r="W771" s="88" t="s">
        <v>1519</v>
      </c>
      <c r="X771" s="88" t="s">
        <v>1519</v>
      </c>
      <c r="Y771" s="88" t="s">
        <v>1519</v>
      </c>
      <c r="Z771" s="88" t="s">
        <v>1519</v>
      </c>
      <c r="AA771" s="88" t="s">
        <v>1519</v>
      </c>
      <c r="AB771" s="88" t="s">
        <v>1519</v>
      </c>
      <c r="AC771" s="88" t="s">
        <v>1519</v>
      </c>
      <c r="AD771" s="90"/>
      <c r="AE771" s="18" t="s">
        <v>588</v>
      </c>
      <c r="AF771" s="24"/>
      <c r="AG771" s="24"/>
      <c r="AH771" s="24"/>
      <c r="AI771" s="24"/>
      <c r="AJ771" s="24"/>
      <c r="AK771" s="24"/>
      <c r="AL771" s="24"/>
      <c r="AM771" s="24"/>
    </row>
    <row r="772">
      <c r="A772" s="11"/>
      <c r="B772" s="12" t="s">
        <v>7</v>
      </c>
      <c r="C772" s="12" t="s">
        <v>37</v>
      </c>
      <c r="D772" s="12" t="s">
        <v>38</v>
      </c>
      <c r="E772" s="12" t="s">
        <v>38</v>
      </c>
      <c r="F772" s="13" t="s">
        <v>42</v>
      </c>
      <c r="G772" s="12" t="s">
        <v>68</v>
      </c>
      <c r="H772" s="12" t="s">
        <v>584</v>
      </c>
      <c r="I772" s="12" t="s">
        <v>585</v>
      </c>
      <c r="J772" s="17" t="s">
        <v>108</v>
      </c>
      <c r="K772" s="17" t="s">
        <v>1775</v>
      </c>
      <c r="L772" s="17" t="s">
        <v>2128</v>
      </c>
      <c r="M772" s="20">
        <v>45973.0</v>
      </c>
      <c r="N772" s="17" t="s">
        <v>428</v>
      </c>
      <c r="O772" s="88" t="s">
        <v>1519</v>
      </c>
      <c r="P772" s="88" t="s">
        <v>1519</v>
      </c>
      <c r="Q772" s="88" t="s">
        <v>1520</v>
      </c>
      <c r="R772" s="88" t="s">
        <v>1519</v>
      </c>
      <c r="S772" s="88" t="s">
        <v>1519</v>
      </c>
      <c r="T772" s="88" t="s">
        <v>1519</v>
      </c>
      <c r="U772" s="88" t="s">
        <v>1519</v>
      </c>
      <c r="V772" s="88" t="s">
        <v>1519</v>
      </c>
      <c r="W772" s="88" t="s">
        <v>1519</v>
      </c>
      <c r="X772" s="88" t="s">
        <v>1519</v>
      </c>
      <c r="Y772" s="88" t="s">
        <v>1519</v>
      </c>
      <c r="Z772" s="88" t="s">
        <v>1519</v>
      </c>
      <c r="AA772" s="88" t="s">
        <v>1519</v>
      </c>
      <c r="AB772" s="88" t="s">
        <v>1519</v>
      </c>
      <c r="AC772" s="88" t="s">
        <v>1519</v>
      </c>
      <c r="AD772" s="90"/>
      <c r="AE772" s="18" t="s">
        <v>588</v>
      </c>
      <c r="AF772" s="24"/>
      <c r="AG772" s="24"/>
      <c r="AH772" s="24"/>
      <c r="AI772" s="24"/>
      <c r="AJ772" s="24"/>
      <c r="AK772" s="24"/>
      <c r="AL772" s="24"/>
      <c r="AM772" s="24"/>
    </row>
    <row r="773">
      <c r="A773" s="11"/>
      <c r="B773" s="12" t="s">
        <v>22</v>
      </c>
      <c r="C773" s="12" t="s">
        <v>22</v>
      </c>
      <c r="D773" s="12" t="s">
        <v>22</v>
      </c>
      <c r="E773" s="12" t="s">
        <v>624</v>
      </c>
      <c r="F773" s="13" t="s">
        <v>625</v>
      </c>
      <c r="G773" s="12" t="s">
        <v>68</v>
      </c>
      <c r="H773" s="12" t="s">
        <v>626</v>
      </c>
      <c r="I773" s="12" t="s">
        <v>627</v>
      </c>
      <c r="J773" s="17" t="s">
        <v>73</v>
      </c>
      <c r="K773" s="17" t="s">
        <v>74</v>
      </c>
      <c r="L773" s="17" t="s">
        <v>1723</v>
      </c>
      <c r="M773" s="20">
        <v>45975.0</v>
      </c>
      <c r="N773" s="17" t="s">
        <v>428</v>
      </c>
      <c r="O773" s="88" t="s">
        <v>1519</v>
      </c>
      <c r="P773" s="88" t="s">
        <v>1519</v>
      </c>
      <c r="Q773" s="88" t="s">
        <v>1519</v>
      </c>
      <c r="R773" s="88" t="s">
        <v>1520</v>
      </c>
      <c r="S773" s="88" t="s">
        <v>1520</v>
      </c>
      <c r="T773" s="88" t="s">
        <v>1520</v>
      </c>
      <c r="U773" s="88" t="s">
        <v>1519</v>
      </c>
      <c r="V773" s="88" t="s">
        <v>1519</v>
      </c>
      <c r="W773" s="88" t="s">
        <v>1520</v>
      </c>
      <c r="X773" s="88" t="s">
        <v>1519</v>
      </c>
      <c r="Y773" s="88" t="s">
        <v>1519</v>
      </c>
      <c r="Z773" s="88" t="s">
        <v>1519</v>
      </c>
      <c r="AA773" s="88" t="s">
        <v>1520</v>
      </c>
      <c r="AB773" s="88" t="s">
        <v>1520</v>
      </c>
      <c r="AC773" s="88" t="s">
        <v>1519</v>
      </c>
      <c r="AD773" s="89"/>
      <c r="AE773" s="18" t="s">
        <v>588</v>
      </c>
      <c r="AF773" s="24"/>
      <c r="AG773" s="24"/>
      <c r="AH773" s="24"/>
      <c r="AI773" s="24"/>
      <c r="AJ773" s="24"/>
      <c r="AK773" s="24"/>
      <c r="AL773" s="24"/>
      <c r="AM773" s="24"/>
    </row>
    <row r="774">
      <c r="A774" s="11"/>
      <c r="B774" s="12" t="s">
        <v>22</v>
      </c>
      <c r="C774" s="12" t="s">
        <v>22</v>
      </c>
      <c r="D774" s="12" t="s">
        <v>22</v>
      </c>
      <c r="E774" s="12" t="s">
        <v>624</v>
      </c>
      <c r="F774" s="13" t="s">
        <v>625</v>
      </c>
      <c r="G774" s="12" t="s">
        <v>68</v>
      </c>
      <c r="H774" s="12" t="s">
        <v>626</v>
      </c>
      <c r="I774" s="12" t="s">
        <v>627</v>
      </c>
      <c r="J774" s="17" t="s">
        <v>73</v>
      </c>
      <c r="K774" s="17" t="str">
        <f>IFERROR(__xludf.DUMMYFUNCTION("CONCATENATE(REGEXEXTRACT(J774,""[\d]+""),"" años"")"),"3 años")</f>
        <v>3 años</v>
      </c>
      <c r="L774" s="17" t="s">
        <v>1724</v>
      </c>
      <c r="M774" s="20">
        <v>45975.0</v>
      </c>
      <c r="N774" s="17" t="s">
        <v>428</v>
      </c>
      <c r="O774" s="88" t="s">
        <v>1520</v>
      </c>
      <c r="P774" s="88" t="s">
        <v>1520</v>
      </c>
      <c r="Q774" s="88" t="s">
        <v>1520</v>
      </c>
      <c r="R774" s="88" t="s">
        <v>1520</v>
      </c>
      <c r="S774" s="88" t="s">
        <v>1520</v>
      </c>
      <c r="T774" s="88" t="s">
        <v>1520</v>
      </c>
      <c r="U774" s="88" t="s">
        <v>1520</v>
      </c>
      <c r="V774" s="88" t="s">
        <v>1520</v>
      </c>
      <c r="W774" s="88" t="s">
        <v>1520</v>
      </c>
      <c r="X774" s="88" t="s">
        <v>1520</v>
      </c>
      <c r="Y774" s="88" t="s">
        <v>1520</v>
      </c>
      <c r="Z774" s="88" t="s">
        <v>1520</v>
      </c>
      <c r="AA774" s="88" t="s">
        <v>1520</v>
      </c>
      <c r="AB774" s="88" t="s">
        <v>1520</v>
      </c>
      <c r="AC774" s="88" t="s">
        <v>1520</v>
      </c>
      <c r="AD774" s="89"/>
      <c r="AE774" s="18" t="s">
        <v>588</v>
      </c>
      <c r="AF774" s="24"/>
      <c r="AG774" s="24"/>
      <c r="AH774" s="24"/>
      <c r="AI774" s="24"/>
      <c r="AJ774" s="24"/>
      <c r="AK774" s="24"/>
      <c r="AL774" s="24"/>
      <c r="AM774" s="24"/>
    </row>
    <row r="775">
      <c r="A775" s="11"/>
      <c r="B775" s="12" t="s">
        <v>22</v>
      </c>
      <c r="C775" s="12" t="s">
        <v>22</v>
      </c>
      <c r="D775" s="12" t="s">
        <v>22</v>
      </c>
      <c r="E775" s="12" t="s">
        <v>624</v>
      </c>
      <c r="F775" s="13" t="s">
        <v>625</v>
      </c>
      <c r="G775" s="12" t="s">
        <v>68</v>
      </c>
      <c r="H775" s="12" t="s">
        <v>626</v>
      </c>
      <c r="I775" s="12" t="s">
        <v>627</v>
      </c>
      <c r="J775" s="17" t="s">
        <v>73</v>
      </c>
      <c r="K775" s="17" t="str">
        <f>IFERROR(__xludf.DUMMYFUNCTION("CONCATENATE(REGEXEXTRACT(J775,""[\d]+""),"" años"")"),"3 años")</f>
        <v>3 años</v>
      </c>
      <c r="L775" s="17" t="s">
        <v>1725</v>
      </c>
      <c r="M775" s="20">
        <v>45975.0</v>
      </c>
      <c r="N775" s="17" t="s">
        <v>428</v>
      </c>
      <c r="O775" s="88" t="s">
        <v>1519</v>
      </c>
      <c r="P775" s="88" t="s">
        <v>1519</v>
      </c>
      <c r="Q775" s="88" t="s">
        <v>1519</v>
      </c>
      <c r="R775" s="88" t="s">
        <v>1519</v>
      </c>
      <c r="S775" s="88" t="s">
        <v>1519</v>
      </c>
      <c r="T775" s="88" t="s">
        <v>1519</v>
      </c>
      <c r="U775" s="88" t="s">
        <v>1519</v>
      </c>
      <c r="V775" s="88" t="s">
        <v>1519</v>
      </c>
      <c r="W775" s="88" t="s">
        <v>1519</v>
      </c>
      <c r="X775" s="88" t="s">
        <v>1519</v>
      </c>
      <c r="Y775" s="88" t="s">
        <v>1519</v>
      </c>
      <c r="Z775" s="88" t="s">
        <v>1519</v>
      </c>
      <c r="AA775" s="88" t="s">
        <v>1519</v>
      </c>
      <c r="AB775" s="88" t="s">
        <v>1519</v>
      </c>
      <c r="AC775" s="88" t="s">
        <v>1519</v>
      </c>
      <c r="AD775" s="89"/>
      <c r="AE775" s="18" t="s">
        <v>588</v>
      </c>
      <c r="AF775" s="24"/>
      <c r="AG775" s="24"/>
      <c r="AH775" s="24"/>
      <c r="AI775" s="24"/>
      <c r="AJ775" s="24"/>
      <c r="AK775" s="24"/>
      <c r="AL775" s="24"/>
      <c r="AM775" s="24"/>
    </row>
    <row r="776">
      <c r="A776" s="11"/>
      <c r="B776" s="12" t="s">
        <v>22</v>
      </c>
      <c r="C776" s="12" t="s">
        <v>22</v>
      </c>
      <c r="D776" s="12" t="s">
        <v>22</v>
      </c>
      <c r="E776" s="12" t="s">
        <v>624</v>
      </c>
      <c r="F776" s="13" t="s">
        <v>625</v>
      </c>
      <c r="G776" s="12" t="s">
        <v>68</v>
      </c>
      <c r="H776" s="12" t="s">
        <v>626</v>
      </c>
      <c r="I776" s="12" t="s">
        <v>627</v>
      </c>
      <c r="J776" s="17" t="s">
        <v>73</v>
      </c>
      <c r="K776" s="17" t="str">
        <f>IFERROR(__xludf.DUMMYFUNCTION("CONCATENATE(REGEXEXTRACT(J776,""[\d]+""),"" años"")"),"3 años")</f>
        <v>3 años</v>
      </c>
      <c r="L776" s="17" t="s">
        <v>1726</v>
      </c>
      <c r="M776" s="20">
        <v>45975.0</v>
      </c>
      <c r="N776" s="17" t="s">
        <v>428</v>
      </c>
      <c r="O776" s="88" t="s">
        <v>1519</v>
      </c>
      <c r="P776" s="88" t="s">
        <v>1519</v>
      </c>
      <c r="Q776" s="88" t="s">
        <v>1519</v>
      </c>
      <c r="R776" s="88" t="s">
        <v>1519</v>
      </c>
      <c r="S776" s="88" t="s">
        <v>1519</v>
      </c>
      <c r="T776" s="88" t="s">
        <v>1519</v>
      </c>
      <c r="U776" s="88" t="s">
        <v>1520</v>
      </c>
      <c r="V776" s="88" t="s">
        <v>1520</v>
      </c>
      <c r="W776" s="88" t="s">
        <v>1520</v>
      </c>
      <c r="X776" s="88" t="s">
        <v>1519</v>
      </c>
      <c r="Y776" s="88" t="s">
        <v>1520</v>
      </c>
      <c r="Z776" s="88" t="s">
        <v>1519</v>
      </c>
      <c r="AA776" s="88" t="s">
        <v>1520</v>
      </c>
      <c r="AB776" s="88" t="s">
        <v>1520</v>
      </c>
      <c r="AC776" s="88" t="s">
        <v>1519</v>
      </c>
      <c r="AD776" s="89"/>
      <c r="AE776" s="18" t="s">
        <v>588</v>
      </c>
      <c r="AF776" s="24"/>
      <c r="AG776" s="24"/>
      <c r="AH776" s="24"/>
      <c r="AI776" s="24"/>
      <c r="AJ776" s="24"/>
      <c r="AK776" s="24"/>
      <c r="AL776" s="24"/>
      <c r="AM776" s="24"/>
    </row>
    <row r="777">
      <c r="A777" s="11"/>
      <c r="B777" s="12" t="s">
        <v>22</v>
      </c>
      <c r="C777" s="12" t="s">
        <v>22</v>
      </c>
      <c r="D777" s="12" t="s">
        <v>22</v>
      </c>
      <c r="E777" s="12" t="s">
        <v>624</v>
      </c>
      <c r="F777" s="13" t="s">
        <v>625</v>
      </c>
      <c r="G777" s="12" t="s">
        <v>68</v>
      </c>
      <c r="H777" s="12" t="s">
        <v>626</v>
      </c>
      <c r="I777" s="12" t="s">
        <v>627</v>
      </c>
      <c r="J777" s="17" t="s">
        <v>108</v>
      </c>
      <c r="K777" s="17" t="str">
        <f>IFERROR(__xludf.DUMMYFUNCTION("CONCATENATE(REGEXEXTRACT(J777,""[\d]+""),"" años"")"),"5 años")</f>
        <v>5 años</v>
      </c>
      <c r="L777" s="17" t="s">
        <v>1728</v>
      </c>
      <c r="M777" s="20">
        <v>45975.0</v>
      </c>
      <c r="N777" s="17" t="s">
        <v>428</v>
      </c>
      <c r="O777" s="88" t="s">
        <v>1519</v>
      </c>
      <c r="P777" s="88" t="s">
        <v>1519</v>
      </c>
      <c r="Q777" s="88" t="s">
        <v>1519</v>
      </c>
      <c r="R777" s="88" t="s">
        <v>1519</v>
      </c>
      <c r="S777" s="88" t="s">
        <v>1519</v>
      </c>
      <c r="T777" s="88" t="s">
        <v>1519</v>
      </c>
      <c r="U777" s="88" t="s">
        <v>1519</v>
      </c>
      <c r="V777" s="88" t="s">
        <v>1519</v>
      </c>
      <c r="W777" s="88" t="s">
        <v>1519</v>
      </c>
      <c r="X777" s="88" t="s">
        <v>1519</v>
      </c>
      <c r="Y777" s="88" t="s">
        <v>1519</v>
      </c>
      <c r="Z777" s="88" t="s">
        <v>1519</v>
      </c>
      <c r="AA777" s="88" t="s">
        <v>1519</v>
      </c>
      <c r="AB777" s="88" t="s">
        <v>1519</v>
      </c>
      <c r="AC777" s="88" t="s">
        <v>1519</v>
      </c>
      <c r="AD777" s="93" t="s">
        <v>2129</v>
      </c>
      <c r="AE777" s="18" t="s">
        <v>588</v>
      </c>
      <c r="AF777" s="24"/>
      <c r="AG777" s="24"/>
      <c r="AH777" s="24"/>
      <c r="AI777" s="24"/>
      <c r="AJ777" s="24"/>
      <c r="AK777" s="24"/>
      <c r="AL777" s="24"/>
      <c r="AM777" s="24"/>
    </row>
    <row r="778">
      <c r="A778" s="11"/>
      <c r="B778" s="12" t="s">
        <v>22</v>
      </c>
      <c r="C778" s="12" t="s">
        <v>22</v>
      </c>
      <c r="D778" s="12" t="s">
        <v>22</v>
      </c>
      <c r="E778" s="12" t="s">
        <v>624</v>
      </c>
      <c r="F778" s="13" t="s">
        <v>625</v>
      </c>
      <c r="G778" s="12" t="s">
        <v>68</v>
      </c>
      <c r="H778" s="12" t="s">
        <v>626</v>
      </c>
      <c r="I778" s="12" t="s">
        <v>627</v>
      </c>
      <c r="J778" s="17" t="s">
        <v>108</v>
      </c>
      <c r="K778" s="17" t="str">
        <f>IFERROR(__xludf.DUMMYFUNCTION("CONCATENATE(REGEXEXTRACT(J778,""[\d]+""),"" años"")"),"5 años")</f>
        <v>5 años</v>
      </c>
      <c r="L778" s="17" t="s">
        <v>1730</v>
      </c>
      <c r="M778" s="20">
        <v>45975.0</v>
      </c>
      <c r="N778" s="17" t="s">
        <v>428</v>
      </c>
      <c r="O778" s="88" t="s">
        <v>1521</v>
      </c>
      <c r="P778" s="88" t="s">
        <v>1521</v>
      </c>
      <c r="Q778" s="88" t="s">
        <v>1521</v>
      </c>
      <c r="R778" s="88" t="s">
        <v>1521</v>
      </c>
      <c r="S778" s="88" t="s">
        <v>1521</v>
      </c>
      <c r="T778" s="88" t="s">
        <v>1521</v>
      </c>
      <c r="U778" s="88" t="s">
        <v>1521</v>
      </c>
      <c r="V778" s="88" t="s">
        <v>1521</v>
      </c>
      <c r="W778" s="88" t="s">
        <v>1521</v>
      </c>
      <c r="X778" s="88" t="s">
        <v>1521</v>
      </c>
      <c r="Y778" s="88" t="s">
        <v>1521</v>
      </c>
      <c r="Z778" s="88" t="s">
        <v>1521</v>
      </c>
      <c r="AA778" s="88" t="s">
        <v>1521</v>
      </c>
      <c r="AB778" s="88" t="s">
        <v>1521</v>
      </c>
      <c r="AC778" s="88" t="s">
        <v>1521</v>
      </c>
      <c r="AD778" s="93" t="s">
        <v>2129</v>
      </c>
      <c r="AE778" s="18" t="s">
        <v>588</v>
      </c>
      <c r="AF778" s="24"/>
      <c r="AG778" s="24"/>
      <c r="AH778" s="24"/>
      <c r="AI778" s="24"/>
      <c r="AJ778" s="24"/>
      <c r="AK778" s="24"/>
      <c r="AL778" s="24"/>
      <c r="AM778" s="24"/>
    </row>
    <row r="779">
      <c r="A779" s="11"/>
      <c r="B779" s="12" t="s">
        <v>22</v>
      </c>
      <c r="C779" s="12" t="s">
        <v>22</v>
      </c>
      <c r="D779" s="12" t="s">
        <v>22</v>
      </c>
      <c r="E779" s="12" t="s">
        <v>624</v>
      </c>
      <c r="F779" s="13" t="s">
        <v>625</v>
      </c>
      <c r="G779" s="12" t="s">
        <v>68</v>
      </c>
      <c r="H779" s="12" t="s">
        <v>626</v>
      </c>
      <c r="I779" s="12" t="s">
        <v>627</v>
      </c>
      <c r="J779" s="17" t="s">
        <v>108</v>
      </c>
      <c r="K779" s="17" t="str">
        <f>IFERROR(__xludf.DUMMYFUNCTION("CONCATENATE(REGEXEXTRACT(J779,""[\d]+""),"" años"")"),"5 años")</f>
        <v>5 años</v>
      </c>
      <c r="L779" s="17" t="s">
        <v>1731</v>
      </c>
      <c r="M779" s="20">
        <v>45975.0</v>
      </c>
      <c r="N779" s="17" t="s">
        <v>428</v>
      </c>
      <c r="O779" s="88" t="s">
        <v>1519</v>
      </c>
      <c r="P779" s="88" t="s">
        <v>1519</v>
      </c>
      <c r="Q779" s="88" t="s">
        <v>1519</v>
      </c>
      <c r="R779" s="88" t="s">
        <v>1519</v>
      </c>
      <c r="S779" s="88" t="s">
        <v>1519</v>
      </c>
      <c r="T779" s="88" t="s">
        <v>1519</v>
      </c>
      <c r="U779" s="88" t="s">
        <v>1519</v>
      </c>
      <c r="V779" s="88" t="s">
        <v>1519</v>
      </c>
      <c r="W779" s="88" t="s">
        <v>1519</v>
      </c>
      <c r="X779" s="88" t="s">
        <v>1519</v>
      </c>
      <c r="Y779" s="88" t="s">
        <v>1519</v>
      </c>
      <c r="Z779" s="88" t="s">
        <v>1519</v>
      </c>
      <c r="AA779" s="88" t="s">
        <v>1519</v>
      </c>
      <c r="AB779" s="88" t="s">
        <v>1519</v>
      </c>
      <c r="AC779" s="88" t="s">
        <v>1519</v>
      </c>
      <c r="AD779" s="89"/>
      <c r="AE779" s="18" t="s">
        <v>588</v>
      </c>
      <c r="AF779" s="24"/>
      <c r="AG779" s="24"/>
      <c r="AH779" s="24"/>
      <c r="AI779" s="24"/>
      <c r="AJ779" s="24"/>
      <c r="AK779" s="24"/>
      <c r="AL779" s="24"/>
      <c r="AM779" s="24"/>
    </row>
    <row r="780">
      <c r="A780" s="11"/>
      <c r="B780" s="12" t="s">
        <v>22</v>
      </c>
      <c r="C780" s="12" t="s">
        <v>22</v>
      </c>
      <c r="D780" s="12" t="s">
        <v>22</v>
      </c>
      <c r="E780" s="12" t="s">
        <v>624</v>
      </c>
      <c r="F780" s="13" t="s">
        <v>625</v>
      </c>
      <c r="G780" s="12" t="s">
        <v>68</v>
      </c>
      <c r="H780" s="12" t="s">
        <v>626</v>
      </c>
      <c r="I780" s="12" t="s">
        <v>627</v>
      </c>
      <c r="J780" s="17" t="s">
        <v>108</v>
      </c>
      <c r="K780" s="17" t="str">
        <f>IFERROR(__xludf.DUMMYFUNCTION("CONCATENATE(REGEXEXTRACT(J780,""[\d]+""),"" años"")"),"5 años")</f>
        <v>5 años</v>
      </c>
      <c r="L780" s="17" t="s">
        <v>1732</v>
      </c>
      <c r="M780" s="20">
        <v>45975.0</v>
      </c>
      <c r="N780" s="17" t="s">
        <v>428</v>
      </c>
      <c r="O780" s="88" t="s">
        <v>1519</v>
      </c>
      <c r="P780" s="88" t="s">
        <v>1519</v>
      </c>
      <c r="Q780" s="88" t="s">
        <v>1519</v>
      </c>
      <c r="R780" s="88" t="s">
        <v>1519</v>
      </c>
      <c r="S780" s="88" t="s">
        <v>1519</v>
      </c>
      <c r="T780" s="88" t="s">
        <v>1519</v>
      </c>
      <c r="U780" s="88" t="s">
        <v>1519</v>
      </c>
      <c r="V780" s="88" t="s">
        <v>1519</v>
      </c>
      <c r="W780" s="88" t="s">
        <v>1519</v>
      </c>
      <c r="X780" s="88" t="s">
        <v>1519</v>
      </c>
      <c r="Y780" s="88" t="s">
        <v>1519</v>
      </c>
      <c r="Z780" s="88" t="s">
        <v>1519</v>
      </c>
      <c r="AA780" s="88" t="s">
        <v>1519</v>
      </c>
      <c r="AB780" s="88" t="s">
        <v>1519</v>
      </c>
      <c r="AC780" s="88" t="s">
        <v>1519</v>
      </c>
      <c r="AD780" s="89"/>
      <c r="AE780" s="18" t="s">
        <v>588</v>
      </c>
      <c r="AF780" s="24"/>
      <c r="AG780" s="24"/>
      <c r="AH780" s="24"/>
      <c r="AI780" s="24"/>
      <c r="AJ780" s="24"/>
      <c r="AK780" s="24"/>
      <c r="AL780" s="24"/>
      <c r="AM780" s="24"/>
    </row>
    <row r="781">
      <c r="A781" s="11"/>
      <c r="B781" s="12" t="s">
        <v>22</v>
      </c>
      <c r="C781" s="12" t="s">
        <v>22</v>
      </c>
      <c r="D781" s="12" t="s">
        <v>22</v>
      </c>
      <c r="E781" s="12" t="s">
        <v>593</v>
      </c>
      <c r="F781" s="13" t="s">
        <v>594</v>
      </c>
      <c r="G781" s="12" t="s">
        <v>68</v>
      </c>
      <c r="H781" s="12" t="s">
        <v>595</v>
      </c>
      <c r="I781" s="12" t="s">
        <v>596</v>
      </c>
      <c r="J781" s="17" t="s">
        <v>73</v>
      </c>
      <c r="K781" s="17" t="str">
        <f>IFERROR(__xludf.DUMMYFUNCTION("CONCATENATE(REGEXEXTRACT(J781,""[\d]+""),"" años"")"),"3 años")</f>
        <v>3 años</v>
      </c>
      <c r="L781" s="17" t="s">
        <v>2130</v>
      </c>
      <c r="M781" s="20">
        <v>45979.0</v>
      </c>
      <c r="N781" s="17" t="s">
        <v>428</v>
      </c>
      <c r="O781" s="88" t="s">
        <v>1520</v>
      </c>
      <c r="P781" s="88" t="s">
        <v>1520</v>
      </c>
      <c r="Q781" s="88" t="s">
        <v>1520</v>
      </c>
      <c r="R781" s="88" t="s">
        <v>1520</v>
      </c>
      <c r="S781" s="88" t="s">
        <v>1520</v>
      </c>
      <c r="T781" s="88" t="s">
        <v>1520</v>
      </c>
      <c r="U781" s="88" t="s">
        <v>1520</v>
      </c>
      <c r="V781" s="88" t="s">
        <v>1520</v>
      </c>
      <c r="W781" s="88" t="s">
        <v>1520</v>
      </c>
      <c r="X781" s="88" t="s">
        <v>1520</v>
      </c>
      <c r="Y781" s="88" t="s">
        <v>1520</v>
      </c>
      <c r="Z781" s="88" t="s">
        <v>1520</v>
      </c>
      <c r="AA781" s="88" t="s">
        <v>1520</v>
      </c>
      <c r="AB781" s="88" t="s">
        <v>1520</v>
      </c>
      <c r="AC781" s="88" t="s">
        <v>1520</v>
      </c>
      <c r="AD781" s="93" t="s">
        <v>2131</v>
      </c>
      <c r="AE781" s="18" t="s">
        <v>588</v>
      </c>
      <c r="AF781" s="24"/>
      <c r="AG781" s="24"/>
      <c r="AH781" s="24"/>
      <c r="AI781" s="24"/>
      <c r="AJ781" s="24"/>
      <c r="AK781" s="24"/>
      <c r="AL781" s="24"/>
      <c r="AM781" s="24"/>
    </row>
    <row r="782">
      <c r="A782" s="11"/>
      <c r="B782" s="12" t="s">
        <v>22</v>
      </c>
      <c r="C782" s="12" t="s">
        <v>22</v>
      </c>
      <c r="D782" s="12" t="s">
        <v>22</v>
      </c>
      <c r="E782" s="12" t="s">
        <v>593</v>
      </c>
      <c r="F782" s="13" t="s">
        <v>594</v>
      </c>
      <c r="G782" s="12" t="s">
        <v>68</v>
      </c>
      <c r="H782" s="12" t="s">
        <v>595</v>
      </c>
      <c r="I782" s="12" t="s">
        <v>596</v>
      </c>
      <c r="J782" s="17" t="s">
        <v>73</v>
      </c>
      <c r="K782" s="17" t="str">
        <f>IFERROR(__xludf.DUMMYFUNCTION("CONCATENATE(REGEXEXTRACT(J782,""[\d]+""),"" años"")"),"3 años")</f>
        <v>3 años</v>
      </c>
      <c r="L782" s="17" t="s">
        <v>2132</v>
      </c>
      <c r="M782" s="20">
        <v>45979.0</v>
      </c>
      <c r="N782" s="17" t="s">
        <v>428</v>
      </c>
      <c r="O782" s="88" t="s">
        <v>1519</v>
      </c>
      <c r="P782" s="88" t="s">
        <v>1520</v>
      </c>
      <c r="Q782" s="88" t="s">
        <v>1520</v>
      </c>
      <c r="R782" s="88" t="s">
        <v>1519</v>
      </c>
      <c r="S782" s="88" t="s">
        <v>1520</v>
      </c>
      <c r="T782" s="88" t="s">
        <v>1519</v>
      </c>
      <c r="U782" s="88" t="s">
        <v>1519</v>
      </c>
      <c r="V782" s="88" t="s">
        <v>1520</v>
      </c>
      <c r="W782" s="88" t="s">
        <v>1519</v>
      </c>
      <c r="X782" s="88" t="s">
        <v>1520</v>
      </c>
      <c r="Y782" s="88" t="s">
        <v>1519</v>
      </c>
      <c r="Z782" s="88" t="s">
        <v>1520</v>
      </c>
      <c r="AA782" s="88" t="s">
        <v>1519</v>
      </c>
      <c r="AB782" s="88" t="s">
        <v>1519</v>
      </c>
      <c r="AC782" s="88" t="s">
        <v>1519</v>
      </c>
      <c r="AD782" s="89"/>
      <c r="AE782" s="18" t="s">
        <v>588</v>
      </c>
      <c r="AF782" s="24"/>
      <c r="AG782" s="24"/>
      <c r="AH782" s="24"/>
      <c r="AI782" s="24"/>
      <c r="AJ782" s="24"/>
      <c r="AK782" s="24"/>
      <c r="AL782" s="24"/>
      <c r="AM782" s="24"/>
    </row>
    <row r="783">
      <c r="A783" s="11"/>
      <c r="B783" s="12" t="s">
        <v>22</v>
      </c>
      <c r="C783" s="12" t="s">
        <v>22</v>
      </c>
      <c r="D783" s="12" t="s">
        <v>22</v>
      </c>
      <c r="E783" s="12" t="s">
        <v>593</v>
      </c>
      <c r="F783" s="13" t="s">
        <v>594</v>
      </c>
      <c r="G783" s="12" t="s">
        <v>68</v>
      </c>
      <c r="H783" s="12" t="s">
        <v>595</v>
      </c>
      <c r="I783" s="12" t="s">
        <v>596</v>
      </c>
      <c r="J783" s="17" t="s">
        <v>73</v>
      </c>
      <c r="K783" s="2" t="str">
        <f>IFERROR(__xludf.DUMMYFUNCTION("CONCATENATE(REGEXEXTRACT(J783,""[\d]+""),"" años"")"),"3 años")</f>
        <v>3 años</v>
      </c>
      <c r="L783" s="17" t="s">
        <v>2133</v>
      </c>
      <c r="M783" s="20">
        <v>45979.0</v>
      </c>
      <c r="N783" s="17" t="s">
        <v>428</v>
      </c>
      <c r="O783" s="88" t="s">
        <v>1520</v>
      </c>
      <c r="P783" s="88" t="s">
        <v>1520</v>
      </c>
      <c r="Q783" s="88" t="s">
        <v>1520</v>
      </c>
      <c r="R783" s="88" t="s">
        <v>1519</v>
      </c>
      <c r="S783" s="88" t="s">
        <v>1519</v>
      </c>
      <c r="T783" s="88" t="s">
        <v>1519</v>
      </c>
      <c r="U783" s="88" t="s">
        <v>1520</v>
      </c>
      <c r="V783" s="88" t="s">
        <v>1520</v>
      </c>
      <c r="W783" s="88" t="s">
        <v>1520</v>
      </c>
      <c r="X783" s="88" t="s">
        <v>1519</v>
      </c>
      <c r="Y783" s="88" t="s">
        <v>1520</v>
      </c>
      <c r="Z783" s="88" t="s">
        <v>1520</v>
      </c>
      <c r="AA783" s="88" t="s">
        <v>1520</v>
      </c>
      <c r="AB783" s="88" t="s">
        <v>1519</v>
      </c>
      <c r="AC783" s="88" t="s">
        <v>1519</v>
      </c>
      <c r="AD783" s="89"/>
      <c r="AE783" s="18" t="s">
        <v>588</v>
      </c>
      <c r="AF783" s="24"/>
      <c r="AG783" s="24"/>
      <c r="AH783" s="24"/>
      <c r="AI783" s="24"/>
      <c r="AJ783" s="24"/>
      <c r="AK783" s="24"/>
      <c r="AL783" s="24"/>
      <c r="AM783" s="24"/>
    </row>
    <row r="784">
      <c r="A784" s="11"/>
      <c r="B784" s="12" t="s">
        <v>22</v>
      </c>
      <c r="C784" s="12" t="s">
        <v>22</v>
      </c>
      <c r="D784" s="12" t="s">
        <v>22</v>
      </c>
      <c r="E784" s="12" t="s">
        <v>593</v>
      </c>
      <c r="F784" s="13" t="s">
        <v>594</v>
      </c>
      <c r="G784" s="12" t="s">
        <v>68</v>
      </c>
      <c r="H784" s="12" t="s">
        <v>595</v>
      </c>
      <c r="I784" s="12" t="s">
        <v>596</v>
      </c>
      <c r="J784" s="17" t="s">
        <v>73</v>
      </c>
      <c r="K784" s="2" t="str">
        <f>IFERROR(__xludf.DUMMYFUNCTION("CONCATENATE(REGEXEXTRACT(J784,""[\d]+""),"" años"")"),"3 años")</f>
        <v>3 años</v>
      </c>
      <c r="L784" s="17" t="s">
        <v>2134</v>
      </c>
      <c r="M784" s="20">
        <v>45979.0</v>
      </c>
      <c r="N784" s="17" t="s">
        <v>428</v>
      </c>
      <c r="O784" s="88" t="s">
        <v>1519</v>
      </c>
      <c r="P784" s="88" t="s">
        <v>1519</v>
      </c>
      <c r="Q784" s="88" t="s">
        <v>1519</v>
      </c>
      <c r="R784" s="88" t="s">
        <v>1519</v>
      </c>
      <c r="S784" s="88" t="s">
        <v>1519</v>
      </c>
      <c r="T784" s="88" t="s">
        <v>1520</v>
      </c>
      <c r="U784" s="88" t="s">
        <v>1519</v>
      </c>
      <c r="V784" s="88" t="s">
        <v>1519</v>
      </c>
      <c r="W784" s="88" t="s">
        <v>1520</v>
      </c>
      <c r="X784" s="88" t="s">
        <v>1519</v>
      </c>
      <c r="Y784" s="88" t="s">
        <v>1520</v>
      </c>
      <c r="Z784" s="88" t="s">
        <v>1519</v>
      </c>
      <c r="AA784" s="88" t="s">
        <v>1519</v>
      </c>
      <c r="AB784" s="88" t="s">
        <v>1519</v>
      </c>
      <c r="AC784" s="88" t="s">
        <v>1519</v>
      </c>
      <c r="AD784" s="89"/>
      <c r="AE784" s="18" t="s">
        <v>588</v>
      </c>
      <c r="AF784" s="24"/>
      <c r="AG784" s="24"/>
      <c r="AH784" s="24"/>
      <c r="AI784" s="24"/>
      <c r="AJ784" s="24"/>
      <c r="AK784" s="24"/>
      <c r="AL784" s="24"/>
      <c r="AM784" s="24"/>
    </row>
    <row r="785">
      <c r="A785" s="11"/>
      <c r="B785" s="12" t="s">
        <v>22</v>
      </c>
      <c r="C785" s="12" t="s">
        <v>22</v>
      </c>
      <c r="D785" s="12" t="s">
        <v>22</v>
      </c>
      <c r="E785" s="12" t="s">
        <v>593</v>
      </c>
      <c r="F785" s="13" t="s">
        <v>594</v>
      </c>
      <c r="G785" s="12" t="s">
        <v>68</v>
      </c>
      <c r="H785" s="12" t="s">
        <v>595</v>
      </c>
      <c r="I785" s="12" t="s">
        <v>596</v>
      </c>
      <c r="J785" s="17" t="s">
        <v>73</v>
      </c>
      <c r="K785" s="2" t="str">
        <f>IFERROR(__xludf.DUMMYFUNCTION("CONCATENATE(REGEXEXTRACT(J785,""[\d]+""),"" años"")"),"3 años")</f>
        <v>3 años</v>
      </c>
      <c r="L785" s="17" t="s">
        <v>1738</v>
      </c>
      <c r="M785" s="20">
        <v>45979.0</v>
      </c>
      <c r="N785" s="17" t="s">
        <v>428</v>
      </c>
      <c r="O785" s="88" t="s">
        <v>1519</v>
      </c>
      <c r="P785" s="88" t="s">
        <v>1519</v>
      </c>
      <c r="Q785" s="88" t="s">
        <v>1519</v>
      </c>
      <c r="R785" s="88" t="s">
        <v>1520</v>
      </c>
      <c r="S785" s="88" t="s">
        <v>1519</v>
      </c>
      <c r="T785" s="88" t="s">
        <v>1520</v>
      </c>
      <c r="U785" s="88" t="s">
        <v>1519</v>
      </c>
      <c r="V785" s="88" t="s">
        <v>1519</v>
      </c>
      <c r="W785" s="88" t="s">
        <v>1519</v>
      </c>
      <c r="X785" s="88" t="s">
        <v>1520</v>
      </c>
      <c r="Y785" s="88" t="s">
        <v>1519</v>
      </c>
      <c r="Z785" s="88" t="s">
        <v>1519</v>
      </c>
      <c r="AA785" s="88" t="s">
        <v>1520</v>
      </c>
      <c r="AB785" s="88" t="s">
        <v>1519</v>
      </c>
      <c r="AC785" s="88" t="s">
        <v>1519</v>
      </c>
      <c r="AD785" s="89"/>
      <c r="AE785" s="18" t="s">
        <v>588</v>
      </c>
      <c r="AF785" s="24"/>
      <c r="AG785" s="24"/>
      <c r="AH785" s="24"/>
      <c r="AI785" s="24"/>
      <c r="AJ785" s="24"/>
      <c r="AK785" s="24"/>
      <c r="AL785" s="24"/>
      <c r="AM785" s="24"/>
    </row>
    <row r="786">
      <c r="A786" s="11"/>
      <c r="B786" s="12" t="s">
        <v>22</v>
      </c>
      <c r="C786" s="12" t="s">
        <v>22</v>
      </c>
      <c r="D786" s="12" t="s">
        <v>22</v>
      </c>
      <c r="E786" s="12" t="s">
        <v>593</v>
      </c>
      <c r="F786" s="13" t="s">
        <v>594</v>
      </c>
      <c r="G786" s="12" t="s">
        <v>68</v>
      </c>
      <c r="H786" s="12" t="s">
        <v>595</v>
      </c>
      <c r="I786" s="12" t="s">
        <v>596</v>
      </c>
      <c r="J786" s="17" t="s">
        <v>73</v>
      </c>
      <c r="K786" s="2" t="str">
        <f>IFERROR(__xludf.DUMMYFUNCTION("CONCATENATE(REGEXEXTRACT(J786,""[\d]+""),"" años"")"),"3 años")</f>
        <v>3 años</v>
      </c>
      <c r="L786" s="17" t="s">
        <v>2135</v>
      </c>
      <c r="M786" s="20">
        <v>45979.0</v>
      </c>
      <c r="N786" s="17" t="s">
        <v>428</v>
      </c>
      <c r="O786" s="88" t="s">
        <v>1520</v>
      </c>
      <c r="P786" s="88" t="s">
        <v>1520</v>
      </c>
      <c r="Q786" s="88" t="s">
        <v>1520</v>
      </c>
      <c r="R786" s="88" t="s">
        <v>1520</v>
      </c>
      <c r="S786" s="88" t="s">
        <v>1520</v>
      </c>
      <c r="T786" s="88" t="s">
        <v>1520</v>
      </c>
      <c r="U786" s="88" t="s">
        <v>1520</v>
      </c>
      <c r="V786" s="88" t="s">
        <v>1520</v>
      </c>
      <c r="W786" s="88" t="s">
        <v>1520</v>
      </c>
      <c r="X786" s="88" t="s">
        <v>1520</v>
      </c>
      <c r="Y786" s="88" t="s">
        <v>1520</v>
      </c>
      <c r="Z786" s="88" t="s">
        <v>1520</v>
      </c>
      <c r="AA786" s="88" t="s">
        <v>1520</v>
      </c>
      <c r="AB786" s="88" t="s">
        <v>1520</v>
      </c>
      <c r="AC786" s="88" t="s">
        <v>1520</v>
      </c>
      <c r="AD786" s="89"/>
      <c r="AE786" s="18" t="s">
        <v>588</v>
      </c>
      <c r="AF786" s="24"/>
      <c r="AG786" s="24"/>
      <c r="AH786" s="24"/>
      <c r="AI786" s="24"/>
      <c r="AJ786" s="24"/>
      <c r="AK786" s="24"/>
      <c r="AL786" s="24"/>
      <c r="AM786" s="24"/>
    </row>
    <row r="787">
      <c r="A787" s="11"/>
      <c r="B787" s="12" t="s">
        <v>22</v>
      </c>
      <c r="C787" s="12" t="s">
        <v>22</v>
      </c>
      <c r="D787" s="12" t="s">
        <v>22</v>
      </c>
      <c r="E787" s="12" t="s">
        <v>593</v>
      </c>
      <c r="F787" s="13" t="s">
        <v>594</v>
      </c>
      <c r="G787" s="12" t="s">
        <v>68</v>
      </c>
      <c r="H787" s="12" t="s">
        <v>595</v>
      </c>
      <c r="I787" s="12" t="s">
        <v>596</v>
      </c>
      <c r="J787" s="17" t="s">
        <v>73</v>
      </c>
      <c r="K787" s="2" t="str">
        <f>IFERROR(__xludf.DUMMYFUNCTION("CONCATENATE(REGEXEXTRACT(J787,""[\d]+""),"" años"")"),"3 años")</f>
        <v>3 años</v>
      </c>
      <c r="L787" s="17" t="s">
        <v>2136</v>
      </c>
      <c r="M787" s="20">
        <v>45979.0</v>
      </c>
      <c r="N787" s="17" t="s">
        <v>428</v>
      </c>
      <c r="O787" s="88" t="s">
        <v>1519</v>
      </c>
      <c r="P787" s="88" t="s">
        <v>1519</v>
      </c>
      <c r="Q787" s="88" t="s">
        <v>1519</v>
      </c>
      <c r="R787" s="88" t="s">
        <v>1519</v>
      </c>
      <c r="S787" s="88" t="s">
        <v>1519</v>
      </c>
      <c r="T787" s="88" t="s">
        <v>1519</v>
      </c>
      <c r="U787" s="88" t="s">
        <v>1519</v>
      </c>
      <c r="V787" s="88" t="s">
        <v>1519</v>
      </c>
      <c r="W787" s="88" t="s">
        <v>1519</v>
      </c>
      <c r="X787" s="88" t="s">
        <v>1519</v>
      </c>
      <c r="Y787" s="88" t="s">
        <v>1519</v>
      </c>
      <c r="Z787" s="88" t="s">
        <v>1519</v>
      </c>
      <c r="AA787" s="88" t="s">
        <v>1519</v>
      </c>
      <c r="AB787" s="88" t="s">
        <v>1519</v>
      </c>
      <c r="AC787" s="88" t="s">
        <v>1519</v>
      </c>
      <c r="AD787" s="89"/>
      <c r="AE787" s="18" t="s">
        <v>588</v>
      </c>
      <c r="AF787" s="24"/>
      <c r="AG787" s="24"/>
      <c r="AH787" s="24"/>
      <c r="AI787" s="24"/>
      <c r="AJ787" s="24"/>
      <c r="AK787" s="24"/>
      <c r="AL787" s="24"/>
      <c r="AM787" s="24"/>
    </row>
    <row r="788">
      <c r="A788" s="11"/>
      <c r="B788" s="12" t="s">
        <v>22</v>
      </c>
      <c r="C788" s="12" t="s">
        <v>22</v>
      </c>
      <c r="D788" s="12" t="s">
        <v>22</v>
      </c>
      <c r="E788" s="12" t="s">
        <v>593</v>
      </c>
      <c r="F788" s="13" t="s">
        <v>594</v>
      </c>
      <c r="G788" s="12" t="s">
        <v>68</v>
      </c>
      <c r="H788" s="12" t="s">
        <v>595</v>
      </c>
      <c r="I788" s="12" t="s">
        <v>596</v>
      </c>
      <c r="J788" s="17" t="s">
        <v>73</v>
      </c>
      <c r="K788" s="2" t="str">
        <f>IFERROR(__xludf.DUMMYFUNCTION("CONCATENATE(REGEXEXTRACT(J788,""[\d]+""),"" años"")"),"3 años")</f>
        <v>3 años</v>
      </c>
      <c r="L788" s="17" t="s">
        <v>1743</v>
      </c>
      <c r="M788" s="20">
        <v>45979.0</v>
      </c>
      <c r="N788" s="17" t="s">
        <v>428</v>
      </c>
      <c r="O788" s="88" t="s">
        <v>1519</v>
      </c>
      <c r="P788" s="88" t="s">
        <v>1519</v>
      </c>
      <c r="Q788" s="88" t="s">
        <v>1519</v>
      </c>
      <c r="R788" s="88" t="s">
        <v>1520</v>
      </c>
      <c r="S788" s="88" t="s">
        <v>1520</v>
      </c>
      <c r="T788" s="88" t="s">
        <v>1520</v>
      </c>
      <c r="U788" s="88" t="s">
        <v>1519</v>
      </c>
      <c r="V788" s="88" t="s">
        <v>1520</v>
      </c>
      <c r="W788" s="88" t="s">
        <v>1520</v>
      </c>
      <c r="X788" s="88" t="s">
        <v>1519</v>
      </c>
      <c r="Y788" s="88" t="s">
        <v>1519</v>
      </c>
      <c r="Z788" s="88" t="s">
        <v>1520</v>
      </c>
      <c r="AA788" s="88" t="s">
        <v>1519</v>
      </c>
      <c r="AB788" s="88" t="s">
        <v>1519</v>
      </c>
      <c r="AC788" s="88" t="s">
        <v>1520</v>
      </c>
      <c r="AD788" s="89"/>
      <c r="AE788" s="18" t="s">
        <v>588</v>
      </c>
      <c r="AF788" s="24"/>
      <c r="AG788" s="24"/>
      <c r="AH788" s="24"/>
      <c r="AI788" s="24"/>
      <c r="AJ788" s="24"/>
      <c r="AK788" s="24"/>
      <c r="AL788" s="24"/>
      <c r="AM788" s="24"/>
    </row>
    <row r="789">
      <c r="A789" s="11"/>
      <c r="B789" s="12" t="s">
        <v>22</v>
      </c>
      <c r="C789" s="12" t="s">
        <v>22</v>
      </c>
      <c r="D789" s="12" t="s">
        <v>22</v>
      </c>
      <c r="E789" s="12" t="s">
        <v>593</v>
      </c>
      <c r="F789" s="13" t="s">
        <v>594</v>
      </c>
      <c r="G789" s="12" t="s">
        <v>68</v>
      </c>
      <c r="H789" s="12" t="s">
        <v>595</v>
      </c>
      <c r="I789" s="12" t="s">
        <v>596</v>
      </c>
      <c r="J789" s="17" t="s">
        <v>73</v>
      </c>
      <c r="K789" s="2" t="str">
        <f>IFERROR(__xludf.DUMMYFUNCTION("CONCATENATE(REGEXEXTRACT(J789,""[\d]+""),"" años"")"),"3 años")</f>
        <v>3 años</v>
      </c>
      <c r="L789" s="17" t="s">
        <v>1747</v>
      </c>
      <c r="M789" s="20">
        <v>45979.0</v>
      </c>
      <c r="N789" s="17" t="s">
        <v>428</v>
      </c>
      <c r="O789" s="88" t="s">
        <v>1519</v>
      </c>
      <c r="P789" s="88" t="s">
        <v>1519</v>
      </c>
      <c r="Q789" s="88" t="s">
        <v>1519</v>
      </c>
      <c r="R789" s="88" t="s">
        <v>1519</v>
      </c>
      <c r="S789" s="88" t="s">
        <v>1519</v>
      </c>
      <c r="T789" s="88" t="s">
        <v>1519</v>
      </c>
      <c r="U789" s="88" t="s">
        <v>1519</v>
      </c>
      <c r="V789" s="88" t="s">
        <v>1519</v>
      </c>
      <c r="W789" s="88" t="s">
        <v>1519</v>
      </c>
      <c r="X789" s="88" t="s">
        <v>1520</v>
      </c>
      <c r="Y789" s="88" t="s">
        <v>1519</v>
      </c>
      <c r="Z789" s="88" t="s">
        <v>1519</v>
      </c>
      <c r="AA789" s="88" t="s">
        <v>1519</v>
      </c>
      <c r="AB789" s="88" t="s">
        <v>1519</v>
      </c>
      <c r="AC789" s="88" t="s">
        <v>1520</v>
      </c>
      <c r="AD789" s="89"/>
      <c r="AE789" s="18" t="s">
        <v>588</v>
      </c>
      <c r="AF789" s="24"/>
      <c r="AG789" s="24"/>
      <c r="AH789" s="24"/>
      <c r="AI789" s="24"/>
      <c r="AJ789" s="24"/>
      <c r="AK789" s="24"/>
      <c r="AL789" s="24"/>
      <c r="AM789" s="24"/>
    </row>
    <row r="790">
      <c r="A790" s="11"/>
      <c r="B790" s="12" t="s">
        <v>22</v>
      </c>
      <c r="C790" s="12" t="s">
        <v>22</v>
      </c>
      <c r="D790" s="12" t="s">
        <v>22</v>
      </c>
      <c r="E790" s="12" t="s">
        <v>593</v>
      </c>
      <c r="F790" s="13" t="s">
        <v>594</v>
      </c>
      <c r="G790" s="12" t="s">
        <v>68</v>
      </c>
      <c r="H790" s="12" t="s">
        <v>595</v>
      </c>
      <c r="I790" s="12" t="s">
        <v>596</v>
      </c>
      <c r="J790" s="17" t="s">
        <v>73</v>
      </c>
      <c r="K790" s="2" t="str">
        <f>IFERROR(__xludf.DUMMYFUNCTION("CONCATENATE(REGEXEXTRACT(J790,""[\d]+""),"" años"")"),"3 años")</f>
        <v>3 años</v>
      </c>
      <c r="L790" s="17" t="s">
        <v>1746</v>
      </c>
      <c r="M790" s="20">
        <v>45979.0</v>
      </c>
      <c r="N790" s="17" t="s">
        <v>428</v>
      </c>
      <c r="O790" s="88" t="s">
        <v>1520</v>
      </c>
      <c r="P790" s="88" t="s">
        <v>1520</v>
      </c>
      <c r="Q790" s="88" t="s">
        <v>1520</v>
      </c>
      <c r="R790" s="88" t="s">
        <v>1520</v>
      </c>
      <c r="S790" s="88" t="s">
        <v>1520</v>
      </c>
      <c r="T790" s="88" t="s">
        <v>1520</v>
      </c>
      <c r="U790" s="88" t="s">
        <v>1521</v>
      </c>
      <c r="V790" s="88" t="s">
        <v>1521</v>
      </c>
      <c r="W790" s="88" t="s">
        <v>1521</v>
      </c>
      <c r="X790" s="88" t="s">
        <v>1521</v>
      </c>
      <c r="Y790" s="88" t="s">
        <v>1520</v>
      </c>
      <c r="Z790" s="88" t="s">
        <v>1520</v>
      </c>
      <c r="AA790" s="88" t="s">
        <v>1520</v>
      </c>
      <c r="AB790" s="88" t="s">
        <v>1521</v>
      </c>
      <c r="AC790" s="88" t="s">
        <v>1521</v>
      </c>
      <c r="AD790" s="93" t="s">
        <v>2131</v>
      </c>
      <c r="AE790" s="18" t="s">
        <v>588</v>
      </c>
      <c r="AF790" s="24"/>
      <c r="AG790" s="24"/>
      <c r="AH790" s="24"/>
      <c r="AI790" s="24"/>
      <c r="AJ790" s="24"/>
      <c r="AK790" s="24"/>
      <c r="AL790" s="24"/>
      <c r="AM790" s="24"/>
    </row>
    <row r="791">
      <c r="A791" s="11"/>
      <c r="B791" s="12" t="s">
        <v>22</v>
      </c>
      <c r="C791" s="12" t="s">
        <v>22</v>
      </c>
      <c r="D791" s="12" t="s">
        <v>22</v>
      </c>
      <c r="E791" s="12" t="s">
        <v>593</v>
      </c>
      <c r="F791" s="13" t="s">
        <v>594</v>
      </c>
      <c r="G791" s="12" t="s">
        <v>68</v>
      </c>
      <c r="H791" s="12" t="s">
        <v>595</v>
      </c>
      <c r="I791" s="12" t="s">
        <v>596</v>
      </c>
      <c r="J791" s="17" t="s">
        <v>73</v>
      </c>
      <c r="K791" s="2" t="str">
        <f>IFERROR(__xludf.DUMMYFUNCTION("CONCATENATE(REGEXEXTRACT(J791,""[\d]+""),"" años"")"),"3 años")</f>
        <v>3 años</v>
      </c>
      <c r="L791" s="17" t="s">
        <v>2137</v>
      </c>
      <c r="M791" s="20">
        <v>45979.0</v>
      </c>
      <c r="N791" s="17" t="s">
        <v>428</v>
      </c>
      <c r="O791" s="88" t="s">
        <v>1519</v>
      </c>
      <c r="P791" s="88" t="s">
        <v>1519</v>
      </c>
      <c r="Q791" s="88" t="s">
        <v>1519</v>
      </c>
      <c r="R791" s="88" t="s">
        <v>1519</v>
      </c>
      <c r="S791" s="88" t="s">
        <v>1519</v>
      </c>
      <c r="T791" s="88" t="s">
        <v>1520</v>
      </c>
      <c r="U791" s="88" t="s">
        <v>1519</v>
      </c>
      <c r="V791" s="88" t="s">
        <v>1519</v>
      </c>
      <c r="W791" s="88" t="s">
        <v>1519</v>
      </c>
      <c r="X791" s="88" t="s">
        <v>1520</v>
      </c>
      <c r="Y791" s="88" t="s">
        <v>1519</v>
      </c>
      <c r="Z791" s="88" t="s">
        <v>1519</v>
      </c>
      <c r="AA791" s="88" t="s">
        <v>1519</v>
      </c>
      <c r="AB791" s="88" t="s">
        <v>1520</v>
      </c>
      <c r="AC791" s="88" t="s">
        <v>1519</v>
      </c>
      <c r="AD791" s="89"/>
      <c r="AE791" s="18" t="s">
        <v>588</v>
      </c>
      <c r="AF791" s="24"/>
      <c r="AG791" s="24"/>
      <c r="AH791" s="24"/>
      <c r="AI791" s="24"/>
      <c r="AJ791" s="24"/>
      <c r="AK791" s="24"/>
      <c r="AL791" s="24"/>
      <c r="AM791" s="24"/>
    </row>
    <row r="792">
      <c r="A792" s="11"/>
      <c r="B792" s="12" t="s">
        <v>22</v>
      </c>
      <c r="C792" s="12" t="s">
        <v>22</v>
      </c>
      <c r="D792" s="12" t="s">
        <v>22</v>
      </c>
      <c r="E792" s="12" t="s">
        <v>593</v>
      </c>
      <c r="F792" s="13" t="s">
        <v>594</v>
      </c>
      <c r="G792" s="12" t="s">
        <v>68</v>
      </c>
      <c r="H792" s="12" t="s">
        <v>595</v>
      </c>
      <c r="I792" s="12" t="s">
        <v>596</v>
      </c>
      <c r="J792" s="17" t="s">
        <v>73</v>
      </c>
      <c r="K792" s="2" t="str">
        <f>IFERROR(__xludf.DUMMYFUNCTION("CONCATENATE(REGEXEXTRACT(J792,""[\d]+""),"" años"")"),"3 años")</f>
        <v>3 años</v>
      </c>
      <c r="L792" s="17" t="s">
        <v>2138</v>
      </c>
      <c r="M792" s="20">
        <v>45979.0</v>
      </c>
      <c r="N792" s="17" t="s">
        <v>428</v>
      </c>
      <c r="O792" s="88" t="s">
        <v>1519</v>
      </c>
      <c r="P792" s="88" t="s">
        <v>1520</v>
      </c>
      <c r="Q792" s="88" t="s">
        <v>1520</v>
      </c>
      <c r="R792" s="88" t="s">
        <v>1519</v>
      </c>
      <c r="S792" s="88" t="s">
        <v>1519</v>
      </c>
      <c r="T792" s="88" t="s">
        <v>1519</v>
      </c>
      <c r="U792" s="88" t="s">
        <v>1519</v>
      </c>
      <c r="V792" s="88" t="s">
        <v>1519</v>
      </c>
      <c r="W792" s="88" t="s">
        <v>1519</v>
      </c>
      <c r="X792" s="88" t="s">
        <v>1519</v>
      </c>
      <c r="Y792" s="88" t="s">
        <v>1520</v>
      </c>
      <c r="Z792" s="88" t="s">
        <v>1519</v>
      </c>
      <c r="AA792" s="88" t="s">
        <v>1520</v>
      </c>
      <c r="AB792" s="88" t="s">
        <v>1520</v>
      </c>
      <c r="AC792" s="88" t="s">
        <v>1519</v>
      </c>
      <c r="AD792" s="89"/>
      <c r="AE792" s="18" t="s">
        <v>588</v>
      </c>
      <c r="AF792" s="24"/>
      <c r="AG792" s="24"/>
      <c r="AH792" s="24"/>
      <c r="AI792" s="24"/>
      <c r="AJ792" s="24"/>
      <c r="AK792" s="24"/>
      <c r="AL792" s="24"/>
      <c r="AM792" s="24"/>
    </row>
    <row r="793">
      <c r="A793" s="11"/>
      <c r="B793" s="12" t="s">
        <v>22</v>
      </c>
      <c r="C793" s="12" t="s">
        <v>22</v>
      </c>
      <c r="D793" s="12" t="s">
        <v>22</v>
      </c>
      <c r="E793" s="12" t="s">
        <v>593</v>
      </c>
      <c r="F793" s="13" t="s">
        <v>594</v>
      </c>
      <c r="G793" s="12" t="s">
        <v>68</v>
      </c>
      <c r="H793" s="12" t="s">
        <v>595</v>
      </c>
      <c r="I793" s="12" t="s">
        <v>596</v>
      </c>
      <c r="J793" s="17" t="s">
        <v>73</v>
      </c>
      <c r="K793" s="2" t="str">
        <f>IFERROR(__xludf.DUMMYFUNCTION("CONCATENATE(REGEXEXTRACT(J793,""[\d]+""),"" años"")"),"3 años")</f>
        <v>3 años</v>
      </c>
      <c r="L793" s="17" t="s">
        <v>2139</v>
      </c>
      <c r="M793" s="20">
        <v>45979.0</v>
      </c>
      <c r="N793" s="17" t="s">
        <v>428</v>
      </c>
      <c r="O793" s="88" t="s">
        <v>1520</v>
      </c>
      <c r="P793" s="88" t="s">
        <v>1520</v>
      </c>
      <c r="Q793" s="88" t="s">
        <v>1520</v>
      </c>
      <c r="R793" s="88" t="s">
        <v>1520</v>
      </c>
      <c r="S793" s="88" t="s">
        <v>1520</v>
      </c>
      <c r="T793" s="88" t="s">
        <v>1520</v>
      </c>
      <c r="U793" s="88" t="s">
        <v>1520</v>
      </c>
      <c r="V793" s="88" t="s">
        <v>1520</v>
      </c>
      <c r="W793" s="88" t="s">
        <v>1520</v>
      </c>
      <c r="X793" s="88" t="s">
        <v>1520</v>
      </c>
      <c r="Y793" s="88" t="s">
        <v>1520</v>
      </c>
      <c r="Z793" s="88" t="s">
        <v>1520</v>
      </c>
      <c r="AA793" s="88" t="s">
        <v>1520</v>
      </c>
      <c r="AB793" s="88" t="s">
        <v>1520</v>
      </c>
      <c r="AC793" s="88" t="s">
        <v>1520</v>
      </c>
      <c r="AD793" s="89"/>
      <c r="AE793" s="18" t="s">
        <v>588</v>
      </c>
      <c r="AF793" s="24"/>
      <c r="AG793" s="24"/>
      <c r="AH793" s="24"/>
      <c r="AI793" s="24"/>
      <c r="AJ793" s="24"/>
      <c r="AK793" s="24"/>
      <c r="AL793" s="24"/>
      <c r="AM793" s="24"/>
    </row>
    <row r="794">
      <c r="A794" s="11"/>
      <c r="B794" s="12" t="s">
        <v>22</v>
      </c>
      <c r="C794" s="12" t="s">
        <v>22</v>
      </c>
      <c r="D794" s="12" t="s">
        <v>22</v>
      </c>
      <c r="E794" s="12" t="s">
        <v>593</v>
      </c>
      <c r="F794" s="13" t="s">
        <v>594</v>
      </c>
      <c r="G794" s="12" t="s">
        <v>68</v>
      </c>
      <c r="H794" s="12" t="s">
        <v>595</v>
      </c>
      <c r="I794" s="12" t="s">
        <v>596</v>
      </c>
      <c r="J794" s="17" t="s">
        <v>112</v>
      </c>
      <c r="K794" s="17" t="str">
        <f>IFERROR(__xludf.DUMMYFUNCTION("CONCATENATE(REGEXEXTRACT(J794,""[\d]+""),"" años"")"),"4 años")</f>
        <v>4 años</v>
      </c>
      <c r="L794" s="17" t="s">
        <v>2140</v>
      </c>
      <c r="M794" s="20">
        <v>45979.0</v>
      </c>
      <c r="N794" s="17" t="s">
        <v>428</v>
      </c>
      <c r="O794" s="88" t="s">
        <v>1519</v>
      </c>
      <c r="P794" s="88" t="s">
        <v>1519</v>
      </c>
      <c r="Q794" s="88" t="s">
        <v>1519</v>
      </c>
      <c r="R794" s="88" t="s">
        <v>1520</v>
      </c>
      <c r="S794" s="88" t="s">
        <v>1519</v>
      </c>
      <c r="T794" s="88" t="s">
        <v>1519</v>
      </c>
      <c r="U794" s="88" t="s">
        <v>1520</v>
      </c>
      <c r="V794" s="88" t="s">
        <v>1519</v>
      </c>
      <c r="W794" s="88" t="s">
        <v>1519</v>
      </c>
      <c r="X794" s="88" t="s">
        <v>1520</v>
      </c>
      <c r="Y794" s="88" t="s">
        <v>1520</v>
      </c>
      <c r="Z794" s="88" t="s">
        <v>1519</v>
      </c>
      <c r="AA794" s="88" t="s">
        <v>1519</v>
      </c>
      <c r="AB794" s="88" t="s">
        <v>1519</v>
      </c>
      <c r="AC794" s="88" t="s">
        <v>1520</v>
      </c>
      <c r="AD794" s="89"/>
      <c r="AE794" s="18" t="s">
        <v>588</v>
      </c>
      <c r="AF794" s="24"/>
      <c r="AG794" s="24"/>
      <c r="AH794" s="24"/>
      <c r="AI794" s="24"/>
      <c r="AJ794" s="24"/>
      <c r="AK794" s="24"/>
      <c r="AL794" s="24"/>
      <c r="AM794" s="24"/>
    </row>
    <row r="795">
      <c r="A795" s="11"/>
      <c r="B795" s="12" t="s">
        <v>22</v>
      </c>
      <c r="C795" s="12" t="s">
        <v>22</v>
      </c>
      <c r="D795" s="12" t="s">
        <v>22</v>
      </c>
      <c r="E795" s="12" t="s">
        <v>593</v>
      </c>
      <c r="F795" s="13" t="s">
        <v>594</v>
      </c>
      <c r="G795" s="12" t="s">
        <v>68</v>
      </c>
      <c r="H795" s="12" t="s">
        <v>595</v>
      </c>
      <c r="I795" s="12" t="s">
        <v>596</v>
      </c>
      <c r="J795" s="17" t="s">
        <v>112</v>
      </c>
      <c r="K795" s="17" t="str">
        <f>IFERROR(__xludf.DUMMYFUNCTION("CONCATENATE(REGEXEXTRACT(J795,""[\d]+""),"" años"")"),"4 años")</f>
        <v>4 años</v>
      </c>
      <c r="L795" s="17" t="s">
        <v>2141</v>
      </c>
      <c r="M795" s="20">
        <v>45979.0</v>
      </c>
      <c r="N795" s="17" t="s">
        <v>428</v>
      </c>
      <c r="O795" s="88" t="s">
        <v>1519</v>
      </c>
      <c r="P795" s="88" t="s">
        <v>1519</v>
      </c>
      <c r="Q795" s="88" t="s">
        <v>1519</v>
      </c>
      <c r="R795" s="88" t="s">
        <v>1519</v>
      </c>
      <c r="S795" s="88" t="s">
        <v>1519</v>
      </c>
      <c r="T795" s="88" t="s">
        <v>1519</v>
      </c>
      <c r="U795" s="88" t="s">
        <v>1519</v>
      </c>
      <c r="V795" s="88" t="s">
        <v>1519</v>
      </c>
      <c r="W795" s="88" t="s">
        <v>1519</v>
      </c>
      <c r="X795" s="88" t="s">
        <v>1519</v>
      </c>
      <c r="Y795" s="88" t="s">
        <v>1519</v>
      </c>
      <c r="Z795" s="88" t="s">
        <v>1519</v>
      </c>
      <c r="AA795" s="88" t="s">
        <v>1519</v>
      </c>
      <c r="AB795" s="88" t="s">
        <v>1519</v>
      </c>
      <c r="AC795" s="88" t="s">
        <v>1519</v>
      </c>
      <c r="AD795" s="89"/>
      <c r="AE795" s="18" t="s">
        <v>588</v>
      </c>
      <c r="AF795" s="24"/>
      <c r="AG795" s="24"/>
      <c r="AH795" s="24"/>
      <c r="AI795" s="24"/>
      <c r="AJ795" s="24"/>
      <c r="AK795" s="24"/>
      <c r="AL795" s="24"/>
      <c r="AM795" s="24"/>
    </row>
    <row r="796">
      <c r="A796" s="11"/>
      <c r="B796" s="12" t="s">
        <v>22</v>
      </c>
      <c r="C796" s="12" t="s">
        <v>22</v>
      </c>
      <c r="D796" s="12" t="s">
        <v>22</v>
      </c>
      <c r="E796" s="12" t="s">
        <v>593</v>
      </c>
      <c r="F796" s="13" t="s">
        <v>594</v>
      </c>
      <c r="G796" s="12" t="s">
        <v>68</v>
      </c>
      <c r="H796" s="12" t="s">
        <v>595</v>
      </c>
      <c r="I796" s="12" t="s">
        <v>596</v>
      </c>
      <c r="J796" s="17" t="s">
        <v>112</v>
      </c>
      <c r="K796" s="2" t="str">
        <f>IFERROR(__xludf.DUMMYFUNCTION("CONCATENATE(REGEXEXTRACT(J796,""[\d]+""),"" años"")"),"4 años")</f>
        <v>4 años</v>
      </c>
      <c r="L796" s="17" t="s">
        <v>2142</v>
      </c>
      <c r="M796" s="20">
        <v>45979.0</v>
      </c>
      <c r="N796" s="17" t="s">
        <v>428</v>
      </c>
      <c r="O796" s="88" t="s">
        <v>1519</v>
      </c>
      <c r="P796" s="88" t="s">
        <v>1519</v>
      </c>
      <c r="Q796" s="88" t="s">
        <v>1519</v>
      </c>
      <c r="R796" s="88" t="s">
        <v>1519</v>
      </c>
      <c r="S796" s="88" t="s">
        <v>1519</v>
      </c>
      <c r="T796" s="88" t="s">
        <v>1519</v>
      </c>
      <c r="U796" s="88" t="s">
        <v>1519</v>
      </c>
      <c r="V796" s="88" t="s">
        <v>1519</v>
      </c>
      <c r="W796" s="88" t="s">
        <v>1519</v>
      </c>
      <c r="X796" s="88" t="s">
        <v>1519</v>
      </c>
      <c r="Y796" s="88" t="s">
        <v>1519</v>
      </c>
      <c r="Z796" s="88" t="s">
        <v>1519</v>
      </c>
      <c r="AA796" s="88" t="s">
        <v>1519</v>
      </c>
      <c r="AB796" s="88" t="s">
        <v>1519</v>
      </c>
      <c r="AC796" s="88" t="s">
        <v>1519</v>
      </c>
      <c r="AD796" s="89"/>
      <c r="AE796" s="18" t="s">
        <v>588</v>
      </c>
      <c r="AF796" s="24"/>
      <c r="AG796" s="24"/>
      <c r="AH796" s="24"/>
      <c r="AI796" s="24"/>
      <c r="AJ796" s="24"/>
      <c r="AK796" s="24"/>
      <c r="AL796" s="24"/>
      <c r="AM796" s="24"/>
    </row>
    <row r="797">
      <c r="A797" s="11"/>
      <c r="B797" s="12" t="s">
        <v>22</v>
      </c>
      <c r="C797" s="12" t="s">
        <v>22</v>
      </c>
      <c r="D797" s="12" t="s">
        <v>22</v>
      </c>
      <c r="E797" s="12" t="s">
        <v>593</v>
      </c>
      <c r="F797" s="13" t="s">
        <v>594</v>
      </c>
      <c r="G797" s="12" t="s">
        <v>68</v>
      </c>
      <c r="H797" s="12" t="s">
        <v>595</v>
      </c>
      <c r="I797" s="12" t="s">
        <v>596</v>
      </c>
      <c r="J797" s="17" t="s">
        <v>112</v>
      </c>
      <c r="K797" s="2" t="str">
        <f>IFERROR(__xludf.DUMMYFUNCTION("CONCATENATE(REGEXEXTRACT(J797,""[\d]+""),"" años"")"),"4 años")</f>
        <v>4 años</v>
      </c>
      <c r="L797" s="17" t="s">
        <v>2143</v>
      </c>
      <c r="M797" s="20">
        <v>45979.0</v>
      </c>
      <c r="N797" s="17" t="s">
        <v>428</v>
      </c>
      <c r="O797" s="88" t="s">
        <v>1519</v>
      </c>
      <c r="P797" s="88" t="s">
        <v>1519</v>
      </c>
      <c r="Q797" s="88" t="s">
        <v>1519</v>
      </c>
      <c r="R797" s="88" t="s">
        <v>1519</v>
      </c>
      <c r="S797" s="88" t="s">
        <v>1519</v>
      </c>
      <c r="T797" s="88" t="s">
        <v>1519</v>
      </c>
      <c r="U797" s="88" t="s">
        <v>1519</v>
      </c>
      <c r="V797" s="88" t="s">
        <v>1519</v>
      </c>
      <c r="W797" s="88" t="s">
        <v>1519</v>
      </c>
      <c r="X797" s="88" t="s">
        <v>1519</v>
      </c>
      <c r="Y797" s="88" t="s">
        <v>1519</v>
      </c>
      <c r="Z797" s="88" t="s">
        <v>1519</v>
      </c>
      <c r="AA797" s="88" t="s">
        <v>1519</v>
      </c>
      <c r="AB797" s="88" t="s">
        <v>1519</v>
      </c>
      <c r="AC797" s="88" t="s">
        <v>1519</v>
      </c>
      <c r="AD797" s="89"/>
      <c r="AE797" s="18" t="s">
        <v>588</v>
      </c>
      <c r="AF797" s="24"/>
      <c r="AG797" s="24"/>
      <c r="AH797" s="24"/>
      <c r="AI797" s="24"/>
      <c r="AJ797" s="24"/>
      <c r="AK797" s="24"/>
      <c r="AL797" s="24"/>
      <c r="AM797" s="24"/>
    </row>
    <row r="798">
      <c r="A798" s="11"/>
      <c r="B798" s="12" t="s">
        <v>22</v>
      </c>
      <c r="C798" s="12" t="s">
        <v>22</v>
      </c>
      <c r="D798" s="12" t="s">
        <v>22</v>
      </c>
      <c r="E798" s="12" t="s">
        <v>593</v>
      </c>
      <c r="F798" s="13" t="s">
        <v>594</v>
      </c>
      <c r="G798" s="12" t="s">
        <v>68</v>
      </c>
      <c r="H798" s="12" t="s">
        <v>595</v>
      </c>
      <c r="I798" s="12" t="s">
        <v>596</v>
      </c>
      <c r="J798" s="17" t="s">
        <v>112</v>
      </c>
      <c r="K798" s="2" t="str">
        <f>IFERROR(__xludf.DUMMYFUNCTION("CONCATENATE(REGEXEXTRACT(J798,""[\d]+""),"" años"")"),"4 años")</f>
        <v>4 años</v>
      </c>
      <c r="L798" s="17" t="s">
        <v>2144</v>
      </c>
      <c r="M798" s="20">
        <v>45979.0</v>
      </c>
      <c r="N798" s="17" t="s">
        <v>428</v>
      </c>
      <c r="O798" s="88" t="s">
        <v>1519</v>
      </c>
      <c r="P798" s="88" t="s">
        <v>1519</v>
      </c>
      <c r="Q798" s="88" t="s">
        <v>1519</v>
      </c>
      <c r="R798" s="88" t="s">
        <v>1519</v>
      </c>
      <c r="S798" s="88" t="s">
        <v>1519</v>
      </c>
      <c r="T798" s="88" t="s">
        <v>1519</v>
      </c>
      <c r="U798" s="88" t="s">
        <v>1519</v>
      </c>
      <c r="V798" s="88" t="s">
        <v>1519</v>
      </c>
      <c r="W798" s="88" t="s">
        <v>1519</v>
      </c>
      <c r="X798" s="88" t="s">
        <v>1519</v>
      </c>
      <c r="Y798" s="88" t="s">
        <v>1519</v>
      </c>
      <c r="Z798" s="88" t="s">
        <v>1519</v>
      </c>
      <c r="AA798" s="88" t="s">
        <v>1519</v>
      </c>
      <c r="AB798" s="88" t="s">
        <v>1519</v>
      </c>
      <c r="AC798" s="88" t="s">
        <v>1519</v>
      </c>
      <c r="AD798" s="89"/>
      <c r="AE798" s="18" t="s">
        <v>588</v>
      </c>
      <c r="AF798" s="24"/>
      <c r="AG798" s="24"/>
      <c r="AH798" s="24"/>
      <c r="AI798" s="24"/>
      <c r="AJ798" s="24"/>
      <c r="AK798" s="24"/>
      <c r="AL798" s="24"/>
      <c r="AM798" s="24"/>
    </row>
    <row r="799">
      <c r="A799" s="11"/>
      <c r="B799" s="12" t="s">
        <v>22</v>
      </c>
      <c r="C799" s="12" t="s">
        <v>22</v>
      </c>
      <c r="D799" s="12" t="s">
        <v>22</v>
      </c>
      <c r="E799" s="12" t="s">
        <v>593</v>
      </c>
      <c r="F799" s="13" t="s">
        <v>594</v>
      </c>
      <c r="G799" s="12" t="s">
        <v>68</v>
      </c>
      <c r="H799" s="12" t="s">
        <v>595</v>
      </c>
      <c r="I799" s="12" t="s">
        <v>596</v>
      </c>
      <c r="J799" s="17" t="s">
        <v>112</v>
      </c>
      <c r="K799" s="2" t="str">
        <f>IFERROR(__xludf.DUMMYFUNCTION("CONCATENATE(REGEXEXTRACT(J799,""[\d]+""),"" años"")"),"4 años")</f>
        <v>4 años</v>
      </c>
      <c r="L799" s="17" t="s">
        <v>2145</v>
      </c>
      <c r="M799" s="20">
        <v>45979.0</v>
      </c>
      <c r="N799" s="17" t="s">
        <v>428</v>
      </c>
      <c r="O799" s="88" t="s">
        <v>1519</v>
      </c>
      <c r="P799" s="88" t="s">
        <v>1519</v>
      </c>
      <c r="Q799" s="88" t="s">
        <v>1519</v>
      </c>
      <c r="R799" s="88" t="s">
        <v>1519</v>
      </c>
      <c r="S799" s="88" t="s">
        <v>1519</v>
      </c>
      <c r="T799" s="88" t="s">
        <v>1519</v>
      </c>
      <c r="U799" s="88" t="s">
        <v>1519</v>
      </c>
      <c r="V799" s="88" t="s">
        <v>1519</v>
      </c>
      <c r="W799" s="88" t="s">
        <v>1519</v>
      </c>
      <c r="X799" s="88" t="s">
        <v>1519</v>
      </c>
      <c r="Y799" s="88" t="s">
        <v>1519</v>
      </c>
      <c r="Z799" s="88" t="s">
        <v>1519</v>
      </c>
      <c r="AA799" s="88" t="s">
        <v>1519</v>
      </c>
      <c r="AB799" s="88" t="s">
        <v>1519</v>
      </c>
      <c r="AC799" s="88" t="s">
        <v>1519</v>
      </c>
      <c r="AD799" s="89"/>
      <c r="AE799" s="18" t="s">
        <v>588</v>
      </c>
      <c r="AF799" s="24"/>
      <c r="AG799" s="24"/>
      <c r="AH799" s="24"/>
      <c r="AI799" s="24"/>
      <c r="AJ799" s="24"/>
      <c r="AK799" s="24"/>
      <c r="AL799" s="24"/>
      <c r="AM799" s="24"/>
    </row>
    <row r="800">
      <c r="A800" s="11"/>
      <c r="B800" s="12" t="s">
        <v>22</v>
      </c>
      <c r="C800" s="12" t="s">
        <v>22</v>
      </c>
      <c r="D800" s="12" t="s">
        <v>22</v>
      </c>
      <c r="E800" s="12" t="s">
        <v>593</v>
      </c>
      <c r="F800" s="13" t="s">
        <v>594</v>
      </c>
      <c r="G800" s="12" t="s">
        <v>68</v>
      </c>
      <c r="H800" s="12" t="s">
        <v>595</v>
      </c>
      <c r="I800" s="12" t="s">
        <v>596</v>
      </c>
      <c r="J800" s="17" t="s">
        <v>112</v>
      </c>
      <c r="K800" s="2" t="str">
        <f>IFERROR(__xludf.DUMMYFUNCTION("CONCATENATE(REGEXEXTRACT(J800,""[\d]+""),"" años"")"),"4 años")</f>
        <v>4 años</v>
      </c>
      <c r="L800" s="17" t="s">
        <v>2146</v>
      </c>
      <c r="M800" s="20">
        <v>45979.0</v>
      </c>
      <c r="N800" s="17" t="s">
        <v>428</v>
      </c>
      <c r="O800" s="88" t="s">
        <v>1519</v>
      </c>
      <c r="P800" s="88" t="s">
        <v>1520</v>
      </c>
      <c r="Q800" s="88" t="s">
        <v>1520</v>
      </c>
      <c r="R800" s="88" t="s">
        <v>1519</v>
      </c>
      <c r="S800" s="88" t="s">
        <v>1519</v>
      </c>
      <c r="T800" s="88" t="s">
        <v>1519</v>
      </c>
      <c r="U800" s="88" t="s">
        <v>1519</v>
      </c>
      <c r="V800" s="88" t="s">
        <v>1519</v>
      </c>
      <c r="W800" s="88" t="s">
        <v>1519</v>
      </c>
      <c r="X800" s="88" t="s">
        <v>1519</v>
      </c>
      <c r="Y800" s="88" t="s">
        <v>1519</v>
      </c>
      <c r="Z800" s="88" t="s">
        <v>1519</v>
      </c>
      <c r="AA800" s="88" t="s">
        <v>1519</v>
      </c>
      <c r="AB800" s="88" t="s">
        <v>1519</v>
      </c>
      <c r="AC800" s="88" t="s">
        <v>1519</v>
      </c>
      <c r="AD800" s="89"/>
      <c r="AE800" s="18" t="s">
        <v>588</v>
      </c>
      <c r="AF800" s="24"/>
      <c r="AG800" s="24"/>
      <c r="AH800" s="24"/>
      <c r="AI800" s="24"/>
      <c r="AJ800" s="24"/>
      <c r="AK800" s="24"/>
      <c r="AL800" s="24"/>
      <c r="AM800" s="24"/>
    </row>
    <row r="801">
      <c r="A801" s="11"/>
      <c r="B801" s="12" t="s">
        <v>22</v>
      </c>
      <c r="C801" s="12" t="s">
        <v>22</v>
      </c>
      <c r="D801" s="12" t="s">
        <v>22</v>
      </c>
      <c r="E801" s="12" t="s">
        <v>593</v>
      </c>
      <c r="F801" s="13" t="s">
        <v>594</v>
      </c>
      <c r="G801" s="12" t="s">
        <v>68</v>
      </c>
      <c r="H801" s="12" t="s">
        <v>595</v>
      </c>
      <c r="I801" s="12" t="s">
        <v>596</v>
      </c>
      <c r="J801" s="17" t="s">
        <v>112</v>
      </c>
      <c r="K801" s="2" t="str">
        <f>IFERROR(__xludf.DUMMYFUNCTION("CONCATENATE(REGEXEXTRACT(J801,""[\d]+""),"" años"")"),"4 años")</f>
        <v>4 años</v>
      </c>
      <c r="L801" s="17" t="s">
        <v>2147</v>
      </c>
      <c r="M801" s="20">
        <v>45979.0</v>
      </c>
      <c r="N801" s="17" t="s">
        <v>428</v>
      </c>
      <c r="O801" s="88" t="s">
        <v>1519</v>
      </c>
      <c r="P801" s="88" t="s">
        <v>1519</v>
      </c>
      <c r="Q801" s="88" t="s">
        <v>1519</v>
      </c>
      <c r="R801" s="88" t="s">
        <v>1519</v>
      </c>
      <c r="S801" s="88" t="s">
        <v>1519</v>
      </c>
      <c r="T801" s="88" t="s">
        <v>1519</v>
      </c>
      <c r="U801" s="88" t="s">
        <v>1520</v>
      </c>
      <c r="V801" s="88" t="s">
        <v>1519</v>
      </c>
      <c r="W801" s="88" t="s">
        <v>1519</v>
      </c>
      <c r="X801" s="88" t="s">
        <v>1520</v>
      </c>
      <c r="Y801" s="88" t="s">
        <v>1519</v>
      </c>
      <c r="Z801" s="88" t="s">
        <v>1519</v>
      </c>
      <c r="AA801" s="88" t="s">
        <v>1520</v>
      </c>
      <c r="AB801" s="88" t="s">
        <v>1519</v>
      </c>
      <c r="AC801" s="88" t="s">
        <v>1519</v>
      </c>
      <c r="AD801" s="89"/>
      <c r="AE801" s="18" t="s">
        <v>588</v>
      </c>
      <c r="AF801" s="24"/>
      <c r="AG801" s="24"/>
      <c r="AH801" s="24"/>
      <c r="AI801" s="24"/>
      <c r="AJ801" s="24"/>
      <c r="AK801" s="24"/>
      <c r="AL801" s="24"/>
      <c r="AM801" s="24"/>
    </row>
    <row r="802">
      <c r="A802" s="11"/>
      <c r="B802" s="12" t="s">
        <v>22</v>
      </c>
      <c r="C802" s="12" t="s">
        <v>22</v>
      </c>
      <c r="D802" s="12" t="s">
        <v>22</v>
      </c>
      <c r="E802" s="12" t="s">
        <v>593</v>
      </c>
      <c r="F802" s="13" t="s">
        <v>594</v>
      </c>
      <c r="G802" s="12" t="s">
        <v>68</v>
      </c>
      <c r="H802" s="12" t="s">
        <v>595</v>
      </c>
      <c r="I802" s="12" t="s">
        <v>596</v>
      </c>
      <c r="J802" s="17" t="s">
        <v>112</v>
      </c>
      <c r="K802" s="2" t="str">
        <f>IFERROR(__xludf.DUMMYFUNCTION("CONCATENATE(REGEXEXTRACT(J802,""[\d]+""),"" años"")"),"4 años")</f>
        <v>4 años</v>
      </c>
      <c r="L802" s="17" t="s">
        <v>2148</v>
      </c>
      <c r="M802" s="20">
        <v>45979.0</v>
      </c>
      <c r="N802" s="17" t="s">
        <v>428</v>
      </c>
      <c r="O802" s="88" t="s">
        <v>1520</v>
      </c>
      <c r="P802" s="88" t="s">
        <v>1520</v>
      </c>
      <c r="Q802" s="88" t="s">
        <v>1520</v>
      </c>
      <c r="R802" s="88" t="s">
        <v>1520</v>
      </c>
      <c r="S802" s="88" t="s">
        <v>1520</v>
      </c>
      <c r="T802" s="88" t="s">
        <v>1520</v>
      </c>
      <c r="U802" s="88" t="s">
        <v>1520</v>
      </c>
      <c r="V802" s="88" t="s">
        <v>1520</v>
      </c>
      <c r="W802" s="88" t="s">
        <v>1520</v>
      </c>
      <c r="X802" s="88" t="s">
        <v>1520</v>
      </c>
      <c r="Y802" s="88" t="s">
        <v>1520</v>
      </c>
      <c r="Z802" s="88" t="s">
        <v>1520</v>
      </c>
      <c r="AA802" s="88" t="s">
        <v>1520</v>
      </c>
      <c r="AB802" s="88" t="s">
        <v>1520</v>
      </c>
      <c r="AC802" s="88" t="s">
        <v>1520</v>
      </c>
      <c r="AD802" s="89"/>
      <c r="AE802" s="18" t="s">
        <v>588</v>
      </c>
      <c r="AF802" s="24"/>
      <c r="AG802" s="24"/>
      <c r="AH802" s="24"/>
      <c r="AI802" s="24"/>
      <c r="AJ802" s="24"/>
      <c r="AK802" s="24"/>
      <c r="AL802" s="24"/>
      <c r="AM802" s="24"/>
    </row>
    <row r="803">
      <c r="A803" s="11"/>
      <c r="B803" s="12" t="s">
        <v>22</v>
      </c>
      <c r="C803" s="12" t="s">
        <v>22</v>
      </c>
      <c r="D803" s="12" t="s">
        <v>22</v>
      </c>
      <c r="E803" s="12" t="s">
        <v>593</v>
      </c>
      <c r="F803" s="13" t="s">
        <v>594</v>
      </c>
      <c r="G803" s="12" t="s">
        <v>68</v>
      </c>
      <c r="H803" s="12" t="s">
        <v>595</v>
      </c>
      <c r="I803" s="12" t="s">
        <v>596</v>
      </c>
      <c r="J803" s="17" t="s">
        <v>112</v>
      </c>
      <c r="K803" s="2" t="str">
        <f>IFERROR(__xludf.DUMMYFUNCTION("CONCATENATE(REGEXEXTRACT(J803,""[\d]+""),"" años"")"),"4 años")</f>
        <v>4 años</v>
      </c>
      <c r="L803" s="17" t="s">
        <v>2149</v>
      </c>
      <c r="M803" s="20">
        <v>45979.0</v>
      </c>
      <c r="N803" s="17" t="s">
        <v>428</v>
      </c>
      <c r="O803" s="88" t="s">
        <v>1520</v>
      </c>
      <c r="P803" s="88" t="s">
        <v>1520</v>
      </c>
      <c r="Q803" s="88" t="s">
        <v>1520</v>
      </c>
      <c r="R803" s="88" t="s">
        <v>1520</v>
      </c>
      <c r="S803" s="88" t="s">
        <v>1520</v>
      </c>
      <c r="T803" s="88" t="s">
        <v>1520</v>
      </c>
      <c r="U803" s="88" t="s">
        <v>1520</v>
      </c>
      <c r="V803" s="88" t="s">
        <v>1520</v>
      </c>
      <c r="W803" s="88" t="s">
        <v>1520</v>
      </c>
      <c r="X803" s="88" t="s">
        <v>1520</v>
      </c>
      <c r="Y803" s="88" t="s">
        <v>1521</v>
      </c>
      <c r="Z803" s="88" t="s">
        <v>1521</v>
      </c>
      <c r="AA803" s="88" t="s">
        <v>1521</v>
      </c>
      <c r="AB803" s="88" t="s">
        <v>1521</v>
      </c>
      <c r="AC803" s="88" t="s">
        <v>1520</v>
      </c>
      <c r="AD803" s="89"/>
      <c r="AE803" s="18" t="s">
        <v>588</v>
      </c>
      <c r="AF803" s="24"/>
      <c r="AG803" s="24"/>
      <c r="AH803" s="24"/>
      <c r="AI803" s="24"/>
      <c r="AJ803" s="24"/>
      <c r="AK803" s="24"/>
      <c r="AL803" s="24"/>
      <c r="AM803" s="24"/>
    </row>
    <row r="804">
      <c r="A804" s="11"/>
      <c r="B804" s="12" t="s">
        <v>22</v>
      </c>
      <c r="C804" s="12" t="s">
        <v>22</v>
      </c>
      <c r="D804" s="12" t="s">
        <v>22</v>
      </c>
      <c r="E804" s="12" t="s">
        <v>593</v>
      </c>
      <c r="F804" s="13" t="s">
        <v>594</v>
      </c>
      <c r="G804" s="12" t="s">
        <v>68</v>
      </c>
      <c r="H804" s="12" t="s">
        <v>595</v>
      </c>
      <c r="I804" s="12" t="s">
        <v>596</v>
      </c>
      <c r="J804" s="17" t="s">
        <v>112</v>
      </c>
      <c r="K804" s="2" t="str">
        <f>IFERROR(__xludf.DUMMYFUNCTION("CONCATENATE(REGEXEXTRACT(J804,""[\d]+""),"" años"")"),"4 años")</f>
        <v>4 años</v>
      </c>
      <c r="L804" s="17" t="s">
        <v>2150</v>
      </c>
      <c r="M804" s="20">
        <v>45979.0</v>
      </c>
      <c r="N804" s="17" t="s">
        <v>428</v>
      </c>
      <c r="O804" s="88" t="s">
        <v>1519</v>
      </c>
      <c r="P804" s="88" t="s">
        <v>1519</v>
      </c>
      <c r="Q804" s="88" t="s">
        <v>1519</v>
      </c>
      <c r="R804" s="88" t="s">
        <v>1520</v>
      </c>
      <c r="S804" s="88" t="s">
        <v>1520</v>
      </c>
      <c r="T804" s="88" t="s">
        <v>1520</v>
      </c>
      <c r="U804" s="88" t="s">
        <v>1519</v>
      </c>
      <c r="V804" s="88" t="s">
        <v>1519</v>
      </c>
      <c r="W804" s="88" t="s">
        <v>1519</v>
      </c>
      <c r="X804" s="88" t="s">
        <v>1519</v>
      </c>
      <c r="Y804" s="88" t="s">
        <v>1519</v>
      </c>
      <c r="Z804" s="88" t="s">
        <v>1520</v>
      </c>
      <c r="AA804" s="88" t="s">
        <v>1519</v>
      </c>
      <c r="AB804" s="88" t="s">
        <v>1520</v>
      </c>
      <c r="AC804" s="88" t="s">
        <v>1519</v>
      </c>
      <c r="AD804" s="89"/>
      <c r="AE804" s="18" t="s">
        <v>588</v>
      </c>
      <c r="AF804" s="24"/>
      <c r="AG804" s="24"/>
      <c r="AH804" s="24"/>
      <c r="AI804" s="24"/>
      <c r="AJ804" s="24"/>
      <c r="AK804" s="24"/>
      <c r="AL804" s="24"/>
      <c r="AM804" s="24"/>
    </row>
    <row r="805">
      <c r="A805" s="11"/>
      <c r="B805" s="12" t="s">
        <v>22</v>
      </c>
      <c r="C805" s="12" t="s">
        <v>22</v>
      </c>
      <c r="D805" s="12" t="s">
        <v>22</v>
      </c>
      <c r="E805" s="12" t="s">
        <v>593</v>
      </c>
      <c r="F805" s="13" t="s">
        <v>594</v>
      </c>
      <c r="G805" s="12" t="s">
        <v>68</v>
      </c>
      <c r="H805" s="12" t="s">
        <v>595</v>
      </c>
      <c r="I805" s="12" t="s">
        <v>596</v>
      </c>
      <c r="J805" s="17" t="s">
        <v>112</v>
      </c>
      <c r="K805" s="2" t="str">
        <f>IFERROR(__xludf.DUMMYFUNCTION("CONCATENATE(REGEXEXTRACT(J805,""[\d]+""),"" años"")"),"4 años")</f>
        <v>4 años</v>
      </c>
      <c r="L805" s="17" t="s">
        <v>2151</v>
      </c>
      <c r="M805" s="20">
        <v>45979.0</v>
      </c>
      <c r="N805" s="17" t="s">
        <v>428</v>
      </c>
      <c r="O805" s="88" t="s">
        <v>1519</v>
      </c>
      <c r="P805" s="88" t="s">
        <v>1519</v>
      </c>
      <c r="Q805" s="88" t="s">
        <v>1519</v>
      </c>
      <c r="R805" s="88" t="s">
        <v>1519</v>
      </c>
      <c r="S805" s="88" t="s">
        <v>1519</v>
      </c>
      <c r="T805" s="88" t="s">
        <v>1519</v>
      </c>
      <c r="U805" s="88" t="s">
        <v>1520</v>
      </c>
      <c r="V805" s="88" t="s">
        <v>1520</v>
      </c>
      <c r="W805" s="88" t="s">
        <v>1520</v>
      </c>
      <c r="X805" s="88" t="s">
        <v>1519</v>
      </c>
      <c r="Y805" s="88" t="s">
        <v>1520</v>
      </c>
      <c r="Z805" s="88" t="s">
        <v>1520</v>
      </c>
      <c r="AA805" s="88" t="s">
        <v>1519</v>
      </c>
      <c r="AB805" s="88" t="s">
        <v>1519</v>
      </c>
      <c r="AC805" s="88" t="s">
        <v>1520</v>
      </c>
      <c r="AD805" s="89"/>
      <c r="AE805" s="18" t="s">
        <v>588</v>
      </c>
      <c r="AF805" s="24"/>
      <c r="AG805" s="24"/>
      <c r="AH805" s="24"/>
      <c r="AI805" s="24"/>
      <c r="AJ805" s="24"/>
      <c r="AK805" s="24"/>
      <c r="AL805" s="24"/>
      <c r="AM805" s="24"/>
    </row>
    <row r="806">
      <c r="A806" s="11"/>
      <c r="B806" s="12" t="s">
        <v>22</v>
      </c>
      <c r="C806" s="12" t="s">
        <v>22</v>
      </c>
      <c r="D806" s="12" t="s">
        <v>22</v>
      </c>
      <c r="E806" s="12" t="s">
        <v>593</v>
      </c>
      <c r="F806" s="13" t="s">
        <v>594</v>
      </c>
      <c r="G806" s="12" t="s">
        <v>68</v>
      </c>
      <c r="H806" s="12" t="s">
        <v>595</v>
      </c>
      <c r="I806" s="12" t="s">
        <v>596</v>
      </c>
      <c r="J806" s="17" t="s">
        <v>112</v>
      </c>
      <c r="K806" s="2" t="str">
        <f>IFERROR(__xludf.DUMMYFUNCTION("CONCATENATE(REGEXEXTRACT(J806,""[\d]+""),"" años"")"),"4 años")</f>
        <v>4 años</v>
      </c>
      <c r="L806" s="17" t="s">
        <v>2152</v>
      </c>
      <c r="M806" s="20">
        <v>45979.0</v>
      </c>
      <c r="N806" s="17" t="s">
        <v>428</v>
      </c>
      <c r="O806" s="88" t="s">
        <v>1520</v>
      </c>
      <c r="P806" s="88" t="s">
        <v>1520</v>
      </c>
      <c r="Q806" s="88" t="s">
        <v>1520</v>
      </c>
      <c r="R806" s="88" t="s">
        <v>1520</v>
      </c>
      <c r="S806" s="88" t="s">
        <v>1520</v>
      </c>
      <c r="T806" s="88" t="s">
        <v>1520</v>
      </c>
      <c r="U806" s="88" t="s">
        <v>1520</v>
      </c>
      <c r="V806" s="88" t="s">
        <v>1520</v>
      </c>
      <c r="W806" s="88" t="s">
        <v>1520</v>
      </c>
      <c r="X806" s="88" t="s">
        <v>1520</v>
      </c>
      <c r="Y806" s="88" t="s">
        <v>1520</v>
      </c>
      <c r="Z806" s="88" t="s">
        <v>1520</v>
      </c>
      <c r="AA806" s="88" t="s">
        <v>1520</v>
      </c>
      <c r="AB806" s="88" t="s">
        <v>1520</v>
      </c>
      <c r="AC806" s="88" t="s">
        <v>1520</v>
      </c>
      <c r="AD806" s="89"/>
      <c r="AE806" s="18" t="s">
        <v>588</v>
      </c>
      <c r="AF806" s="24"/>
      <c r="AG806" s="24"/>
      <c r="AH806" s="24"/>
      <c r="AI806" s="24"/>
      <c r="AJ806" s="24"/>
      <c r="AK806" s="24"/>
      <c r="AL806" s="24"/>
      <c r="AM806" s="24"/>
    </row>
    <row r="807">
      <c r="A807" s="11"/>
      <c r="B807" s="12" t="s">
        <v>22</v>
      </c>
      <c r="C807" s="12" t="s">
        <v>22</v>
      </c>
      <c r="D807" s="12" t="s">
        <v>22</v>
      </c>
      <c r="E807" s="12" t="s">
        <v>593</v>
      </c>
      <c r="F807" s="13" t="s">
        <v>594</v>
      </c>
      <c r="G807" s="12" t="s">
        <v>68</v>
      </c>
      <c r="H807" s="12" t="s">
        <v>595</v>
      </c>
      <c r="I807" s="12" t="s">
        <v>596</v>
      </c>
      <c r="J807" s="17" t="s">
        <v>108</v>
      </c>
      <c r="K807" s="17" t="s">
        <v>109</v>
      </c>
      <c r="L807" s="17" t="s">
        <v>1768</v>
      </c>
      <c r="M807" s="20">
        <v>45979.0</v>
      </c>
      <c r="N807" s="17" t="s">
        <v>428</v>
      </c>
      <c r="O807" s="88" t="s">
        <v>1521</v>
      </c>
      <c r="P807" s="88" t="s">
        <v>1521</v>
      </c>
      <c r="Q807" s="88" t="s">
        <v>1521</v>
      </c>
      <c r="R807" s="88" t="s">
        <v>1521</v>
      </c>
      <c r="S807" s="88" t="s">
        <v>1521</v>
      </c>
      <c r="T807" s="88" t="s">
        <v>1521</v>
      </c>
      <c r="U807" s="88" t="s">
        <v>1521</v>
      </c>
      <c r="V807" s="88" t="s">
        <v>1521</v>
      </c>
      <c r="W807" s="88" t="s">
        <v>1521</v>
      </c>
      <c r="X807" s="88" t="s">
        <v>1521</v>
      </c>
      <c r="Y807" s="88" t="s">
        <v>1521</v>
      </c>
      <c r="Z807" s="88" t="s">
        <v>1521</v>
      </c>
      <c r="AA807" s="88" t="s">
        <v>1521</v>
      </c>
      <c r="AB807" s="88" t="s">
        <v>1521</v>
      </c>
      <c r="AC807" s="88" t="s">
        <v>1521</v>
      </c>
      <c r="AD807" s="93" t="s">
        <v>2129</v>
      </c>
      <c r="AE807" s="18" t="s">
        <v>588</v>
      </c>
      <c r="AF807" s="24"/>
      <c r="AG807" s="24"/>
      <c r="AH807" s="24"/>
      <c r="AI807" s="24"/>
      <c r="AJ807" s="24"/>
      <c r="AK807" s="24"/>
      <c r="AL807" s="24"/>
      <c r="AM807" s="24"/>
    </row>
    <row r="808">
      <c r="A808" s="11"/>
      <c r="B808" s="12" t="s">
        <v>22</v>
      </c>
      <c r="C808" s="12" t="s">
        <v>22</v>
      </c>
      <c r="D808" s="12" t="s">
        <v>22</v>
      </c>
      <c r="E808" s="12" t="s">
        <v>593</v>
      </c>
      <c r="F808" s="13" t="s">
        <v>594</v>
      </c>
      <c r="G808" s="12" t="s">
        <v>68</v>
      </c>
      <c r="H808" s="12" t="s">
        <v>595</v>
      </c>
      <c r="I808" s="12" t="s">
        <v>596</v>
      </c>
      <c r="J808" s="17" t="s">
        <v>108</v>
      </c>
      <c r="K808" s="17" t="s">
        <v>109</v>
      </c>
      <c r="L808" s="17" t="s">
        <v>1764</v>
      </c>
      <c r="M808" s="20">
        <v>45979.0</v>
      </c>
      <c r="N808" s="17" t="s">
        <v>428</v>
      </c>
      <c r="O808" s="88" t="s">
        <v>1519</v>
      </c>
      <c r="P808" s="88" t="s">
        <v>1519</v>
      </c>
      <c r="Q808" s="88" t="s">
        <v>1519</v>
      </c>
      <c r="R808" s="88" t="s">
        <v>1519</v>
      </c>
      <c r="S808" s="88" t="s">
        <v>1519</v>
      </c>
      <c r="T808" s="88" t="s">
        <v>1519</v>
      </c>
      <c r="U808" s="88" t="s">
        <v>1519</v>
      </c>
      <c r="V808" s="88" t="s">
        <v>1519</v>
      </c>
      <c r="W808" s="88" t="s">
        <v>1519</v>
      </c>
      <c r="X808" s="88" t="s">
        <v>1519</v>
      </c>
      <c r="Y808" s="88" t="s">
        <v>1519</v>
      </c>
      <c r="Z808" s="88" t="s">
        <v>1519</v>
      </c>
      <c r="AA808" s="88" t="s">
        <v>1519</v>
      </c>
      <c r="AB808" s="88" t="s">
        <v>1519</v>
      </c>
      <c r="AC808" s="88" t="s">
        <v>1519</v>
      </c>
      <c r="AD808" s="89"/>
      <c r="AE808" s="18" t="s">
        <v>588</v>
      </c>
      <c r="AF808" s="24"/>
      <c r="AG808" s="24"/>
      <c r="AH808" s="24"/>
      <c r="AI808" s="24"/>
      <c r="AJ808" s="24"/>
      <c r="AK808" s="24"/>
      <c r="AL808" s="24"/>
      <c r="AM808" s="24"/>
    </row>
    <row r="809">
      <c r="A809" s="11"/>
      <c r="B809" s="12" t="s">
        <v>22</v>
      </c>
      <c r="C809" s="12" t="s">
        <v>22</v>
      </c>
      <c r="D809" s="12" t="s">
        <v>22</v>
      </c>
      <c r="E809" s="12" t="s">
        <v>593</v>
      </c>
      <c r="F809" s="13" t="s">
        <v>594</v>
      </c>
      <c r="G809" s="12" t="s">
        <v>68</v>
      </c>
      <c r="H809" s="12" t="s">
        <v>595</v>
      </c>
      <c r="I809" s="12" t="s">
        <v>596</v>
      </c>
      <c r="J809" s="17" t="s">
        <v>108</v>
      </c>
      <c r="K809" s="17" t="s">
        <v>109</v>
      </c>
      <c r="L809" s="17" t="s">
        <v>2153</v>
      </c>
      <c r="M809" s="20">
        <v>45979.0</v>
      </c>
      <c r="N809" s="17" t="s">
        <v>428</v>
      </c>
      <c r="O809" s="88" t="s">
        <v>1519</v>
      </c>
      <c r="P809" s="88" t="s">
        <v>1519</v>
      </c>
      <c r="Q809" s="88" t="s">
        <v>1519</v>
      </c>
      <c r="R809" s="88" t="s">
        <v>1519</v>
      </c>
      <c r="S809" s="88" t="s">
        <v>1519</v>
      </c>
      <c r="T809" s="88" t="s">
        <v>1519</v>
      </c>
      <c r="U809" s="88" t="s">
        <v>1519</v>
      </c>
      <c r="V809" s="88" t="s">
        <v>1519</v>
      </c>
      <c r="W809" s="88" t="s">
        <v>1519</v>
      </c>
      <c r="X809" s="88" t="s">
        <v>1519</v>
      </c>
      <c r="Y809" s="88" t="s">
        <v>1519</v>
      </c>
      <c r="Z809" s="88" t="s">
        <v>1519</v>
      </c>
      <c r="AA809" s="88" t="s">
        <v>1519</v>
      </c>
      <c r="AB809" s="88" t="s">
        <v>1519</v>
      </c>
      <c r="AC809" s="88" t="s">
        <v>1519</v>
      </c>
      <c r="AD809" s="89"/>
      <c r="AE809" s="18" t="s">
        <v>588</v>
      </c>
      <c r="AF809" s="24"/>
      <c r="AG809" s="24"/>
      <c r="AH809" s="24"/>
      <c r="AI809" s="24"/>
      <c r="AJ809" s="24"/>
      <c r="AK809" s="24"/>
      <c r="AL809" s="24"/>
      <c r="AM809" s="24"/>
    </row>
    <row r="810">
      <c r="A810" s="11"/>
      <c r="B810" s="12" t="s">
        <v>22</v>
      </c>
      <c r="C810" s="12" t="s">
        <v>22</v>
      </c>
      <c r="D810" s="12" t="s">
        <v>22</v>
      </c>
      <c r="E810" s="12" t="s">
        <v>593</v>
      </c>
      <c r="F810" s="13" t="s">
        <v>594</v>
      </c>
      <c r="G810" s="12" t="s">
        <v>68</v>
      </c>
      <c r="H810" s="12" t="s">
        <v>595</v>
      </c>
      <c r="I810" s="12" t="s">
        <v>596</v>
      </c>
      <c r="J810" s="17" t="s">
        <v>108</v>
      </c>
      <c r="K810" s="17" t="s">
        <v>109</v>
      </c>
      <c r="L810" s="17" t="s">
        <v>1765</v>
      </c>
      <c r="M810" s="20">
        <v>45979.0</v>
      </c>
      <c r="N810" s="17" t="s">
        <v>428</v>
      </c>
      <c r="O810" s="88" t="s">
        <v>1519</v>
      </c>
      <c r="P810" s="88" t="s">
        <v>1519</v>
      </c>
      <c r="Q810" s="88" t="s">
        <v>1519</v>
      </c>
      <c r="R810" s="88" t="s">
        <v>1519</v>
      </c>
      <c r="S810" s="88" t="s">
        <v>1519</v>
      </c>
      <c r="T810" s="88" t="s">
        <v>1519</v>
      </c>
      <c r="U810" s="88" t="s">
        <v>1519</v>
      </c>
      <c r="V810" s="88" t="s">
        <v>1519</v>
      </c>
      <c r="W810" s="88" t="s">
        <v>1519</v>
      </c>
      <c r="X810" s="88" t="s">
        <v>1519</v>
      </c>
      <c r="Y810" s="88" t="s">
        <v>1519</v>
      </c>
      <c r="Z810" s="88" t="s">
        <v>1519</v>
      </c>
      <c r="AA810" s="88" t="s">
        <v>1519</v>
      </c>
      <c r="AB810" s="88" t="s">
        <v>1519</v>
      </c>
      <c r="AC810" s="88" t="s">
        <v>1519</v>
      </c>
      <c r="AD810" s="89"/>
      <c r="AE810" s="18" t="s">
        <v>588</v>
      </c>
      <c r="AF810" s="24"/>
      <c r="AG810" s="24"/>
      <c r="AH810" s="24"/>
      <c r="AI810" s="24"/>
      <c r="AJ810" s="24"/>
      <c r="AK810" s="24"/>
      <c r="AL810" s="24"/>
      <c r="AM810" s="24"/>
    </row>
    <row r="811">
      <c r="A811" s="11"/>
      <c r="B811" s="12" t="s">
        <v>22</v>
      </c>
      <c r="C811" s="12" t="s">
        <v>22</v>
      </c>
      <c r="D811" s="12" t="s">
        <v>22</v>
      </c>
      <c r="E811" s="12" t="s">
        <v>593</v>
      </c>
      <c r="F811" s="13" t="s">
        <v>594</v>
      </c>
      <c r="G811" s="12" t="s">
        <v>68</v>
      </c>
      <c r="H811" s="12" t="s">
        <v>595</v>
      </c>
      <c r="I811" s="12" t="s">
        <v>596</v>
      </c>
      <c r="J811" s="17" t="s">
        <v>108</v>
      </c>
      <c r="K811" s="17" t="s">
        <v>109</v>
      </c>
      <c r="L811" s="17" t="s">
        <v>2154</v>
      </c>
      <c r="M811" s="20">
        <v>45979.0</v>
      </c>
      <c r="N811" s="17" t="s">
        <v>428</v>
      </c>
      <c r="O811" s="88" t="s">
        <v>1519</v>
      </c>
      <c r="P811" s="88" t="s">
        <v>1519</v>
      </c>
      <c r="Q811" s="88" t="s">
        <v>1519</v>
      </c>
      <c r="R811" s="88" t="s">
        <v>1520</v>
      </c>
      <c r="S811" s="88" t="s">
        <v>1520</v>
      </c>
      <c r="T811" s="88" t="s">
        <v>1520</v>
      </c>
      <c r="U811" s="88" t="s">
        <v>1519</v>
      </c>
      <c r="V811" s="88" t="s">
        <v>1519</v>
      </c>
      <c r="W811" s="88" t="s">
        <v>1520</v>
      </c>
      <c r="X811" s="88" t="s">
        <v>1519</v>
      </c>
      <c r="Y811" s="88" t="s">
        <v>1519</v>
      </c>
      <c r="Z811" s="88" t="s">
        <v>1520</v>
      </c>
      <c r="AA811" s="88" t="s">
        <v>1519</v>
      </c>
      <c r="AB811" s="88" t="s">
        <v>1519</v>
      </c>
      <c r="AC811" s="88" t="s">
        <v>1519</v>
      </c>
      <c r="AD811" s="89"/>
      <c r="AE811" s="18" t="s">
        <v>588</v>
      </c>
      <c r="AF811" s="24"/>
      <c r="AG811" s="24"/>
      <c r="AH811" s="24"/>
      <c r="AI811" s="24"/>
      <c r="AJ811" s="24"/>
      <c r="AK811" s="24"/>
      <c r="AL811" s="24"/>
      <c r="AM811" s="24"/>
    </row>
    <row r="812">
      <c r="A812" s="11"/>
      <c r="B812" s="12" t="s">
        <v>43</v>
      </c>
      <c r="C812" s="12" t="s">
        <v>65</v>
      </c>
      <c r="D812" s="12" t="s">
        <v>321</v>
      </c>
      <c r="E812" s="12" t="s">
        <v>321</v>
      </c>
      <c r="F812" s="13" t="s">
        <v>322</v>
      </c>
      <c r="G812" s="12" t="s">
        <v>68</v>
      </c>
      <c r="H812" s="12" t="s">
        <v>323</v>
      </c>
      <c r="I812" s="12" t="s">
        <v>324</v>
      </c>
      <c r="J812" s="17" t="s">
        <v>108</v>
      </c>
      <c r="K812" s="17" t="s">
        <v>2155</v>
      </c>
      <c r="L812" s="103" t="s">
        <v>1539</v>
      </c>
      <c r="M812" s="20">
        <v>45988.0</v>
      </c>
      <c r="N812" s="17" t="s">
        <v>428</v>
      </c>
      <c r="O812" s="88" t="s">
        <v>1519</v>
      </c>
      <c r="P812" s="88" t="s">
        <v>1519</v>
      </c>
      <c r="Q812" s="88" t="s">
        <v>1520</v>
      </c>
      <c r="R812" s="88" t="s">
        <v>1519</v>
      </c>
      <c r="S812" s="88" t="s">
        <v>1519</v>
      </c>
      <c r="T812" s="88" t="s">
        <v>1519</v>
      </c>
      <c r="U812" s="88" t="s">
        <v>1519</v>
      </c>
      <c r="V812" s="88" t="s">
        <v>1519</v>
      </c>
      <c r="W812" s="88" t="s">
        <v>1519</v>
      </c>
      <c r="X812" s="88" t="s">
        <v>1519</v>
      </c>
      <c r="Y812" s="88" t="s">
        <v>1520</v>
      </c>
      <c r="Z812" s="88" t="s">
        <v>1521</v>
      </c>
      <c r="AA812" s="88" t="s">
        <v>1519</v>
      </c>
      <c r="AB812" s="88" t="s">
        <v>1521</v>
      </c>
      <c r="AC812" s="88" t="s">
        <v>1521</v>
      </c>
      <c r="AD812" s="89"/>
      <c r="AE812" s="18" t="s">
        <v>76</v>
      </c>
      <c r="AF812" s="24"/>
      <c r="AG812" s="24"/>
      <c r="AH812" s="24"/>
      <c r="AI812" s="24"/>
      <c r="AJ812" s="24"/>
      <c r="AK812" s="24"/>
      <c r="AL812" s="24"/>
      <c r="AM812" s="24"/>
    </row>
    <row r="813">
      <c r="A813" s="11"/>
      <c r="B813" s="12" t="s">
        <v>43</v>
      </c>
      <c r="C813" s="12" t="s">
        <v>65</v>
      </c>
      <c r="D813" s="12" t="s">
        <v>321</v>
      </c>
      <c r="E813" s="12" t="s">
        <v>321</v>
      </c>
      <c r="F813" s="13" t="s">
        <v>322</v>
      </c>
      <c r="G813" s="12" t="s">
        <v>68</v>
      </c>
      <c r="H813" s="12" t="s">
        <v>323</v>
      </c>
      <c r="I813" s="12" t="s">
        <v>324</v>
      </c>
      <c r="J813" s="17" t="s">
        <v>108</v>
      </c>
      <c r="K813" s="17" t="s">
        <v>2155</v>
      </c>
      <c r="L813" s="103" t="s">
        <v>1540</v>
      </c>
      <c r="M813" s="20">
        <v>45988.0</v>
      </c>
      <c r="N813" s="17" t="s">
        <v>428</v>
      </c>
      <c r="O813" s="88" t="s">
        <v>1519</v>
      </c>
      <c r="P813" s="88" t="s">
        <v>1519</v>
      </c>
      <c r="Q813" s="88" t="s">
        <v>1520</v>
      </c>
      <c r="R813" s="88" t="s">
        <v>1520</v>
      </c>
      <c r="S813" s="88" t="s">
        <v>1519</v>
      </c>
      <c r="T813" s="88" t="s">
        <v>1520</v>
      </c>
      <c r="U813" s="88" t="s">
        <v>1520</v>
      </c>
      <c r="V813" s="88" t="s">
        <v>1520</v>
      </c>
      <c r="W813" s="88" t="s">
        <v>1520</v>
      </c>
      <c r="X813" s="88" t="s">
        <v>1520</v>
      </c>
      <c r="Y813" s="88" t="s">
        <v>1519</v>
      </c>
      <c r="Z813" s="88" t="s">
        <v>1520</v>
      </c>
      <c r="AA813" s="88" t="s">
        <v>1519</v>
      </c>
      <c r="AB813" s="88" t="s">
        <v>1521</v>
      </c>
      <c r="AC813" s="88" t="s">
        <v>1521</v>
      </c>
      <c r="AD813" s="89"/>
      <c r="AE813" s="18" t="s">
        <v>76</v>
      </c>
      <c r="AF813" s="24"/>
      <c r="AG813" s="24"/>
      <c r="AH813" s="24"/>
      <c r="AI813" s="24"/>
      <c r="AJ813" s="24"/>
      <c r="AK813" s="24"/>
      <c r="AL813" s="24"/>
      <c r="AM813" s="24"/>
    </row>
    <row r="814">
      <c r="A814" s="11"/>
      <c r="B814" s="12" t="s">
        <v>43</v>
      </c>
      <c r="C814" s="12" t="s">
        <v>65</v>
      </c>
      <c r="D814" s="12" t="s">
        <v>321</v>
      </c>
      <c r="E814" s="12" t="s">
        <v>321</v>
      </c>
      <c r="F814" s="13" t="s">
        <v>322</v>
      </c>
      <c r="G814" s="12" t="s">
        <v>68</v>
      </c>
      <c r="H814" s="12" t="s">
        <v>323</v>
      </c>
      <c r="I814" s="12" t="s">
        <v>324</v>
      </c>
      <c r="J814" s="17" t="s">
        <v>108</v>
      </c>
      <c r="K814" s="17" t="s">
        <v>2155</v>
      </c>
      <c r="L814" s="103" t="s">
        <v>1542</v>
      </c>
      <c r="M814" s="20">
        <v>45988.0</v>
      </c>
      <c r="N814" s="17" t="s">
        <v>428</v>
      </c>
      <c r="O814" s="88" t="s">
        <v>1519</v>
      </c>
      <c r="P814" s="88" t="s">
        <v>1519</v>
      </c>
      <c r="Q814" s="88" t="s">
        <v>1519</v>
      </c>
      <c r="R814" s="88" t="s">
        <v>1519</v>
      </c>
      <c r="S814" s="88" t="s">
        <v>1519</v>
      </c>
      <c r="T814" s="88" t="s">
        <v>1519</v>
      </c>
      <c r="U814" s="88" t="s">
        <v>1519</v>
      </c>
      <c r="V814" s="88" t="s">
        <v>1519</v>
      </c>
      <c r="W814" s="88" t="s">
        <v>1519</v>
      </c>
      <c r="X814" s="88" t="s">
        <v>1519</v>
      </c>
      <c r="Y814" s="88" t="s">
        <v>1519</v>
      </c>
      <c r="Z814" s="88" t="s">
        <v>1519</v>
      </c>
      <c r="AA814" s="88" t="s">
        <v>1519</v>
      </c>
      <c r="AB814" s="88" t="s">
        <v>1519</v>
      </c>
      <c r="AC814" s="88" t="s">
        <v>1520</v>
      </c>
      <c r="AD814" s="89"/>
      <c r="AE814" s="18" t="s">
        <v>76</v>
      </c>
      <c r="AF814" s="24"/>
      <c r="AG814" s="24"/>
      <c r="AH814" s="24"/>
      <c r="AI814" s="24"/>
      <c r="AJ814" s="24"/>
      <c r="AK814" s="24"/>
      <c r="AL814" s="24"/>
      <c r="AM814" s="24"/>
    </row>
    <row r="815">
      <c r="A815" s="11"/>
      <c r="B815" s="12" t="s">
        <v>43</v>
      </c>
      <c r="C815" s="12" t="s">
        <v>65</v>
      </c>
      <c r="D815" s="12" t="s">
        <v>321</v>
      </c>
      <c r="E815" s="12" t="s">
        <v>321</v>
      </c>
      <c r="F815" s="13" t="s">
        <v>322</v>
      </c>
      <c r="G815" s="12" t="s">
        <v>68</v>
      </c>
      <c r="H815" s="12" t="s">
        <v>323</v>
      </c>
      <c r="I815" s="12" t="s">
        <v>324</v>
      </c>
      <c r="J815" s="17" t="s">
        <v>73</v>
      </c>
      <c r="K815" s="17" t="s">
        <v>2155</v>
      </c>
      <c r="L815" s="104" t="s">
        <v>1543</v>
      </c>
      <c r="M815" s="20">
        <v>45988.0</v>
      </c>
      <c r="N815" s="17" t="s">
        <v>428</v>
      </c>
      <c r="O815" s="88" t="s">
        <v>1519</v>
      </c>
      <c r="P815" s="88" t="s">
        <v>1519</v>
      </c>
      <c r="Q815" s="88" t="s">
        <v>1519</v>
      </c>
      <c r="R815" s="88" t="s">
        <v>1519</v>
      </c>
      <c r="S815" s="88" t="s">
        <v>1519</v>
      </c>
      <c r="T815" s="88" t="s">
        <v>1519</v>
      </c>
      <c r="U815" s="88" t="s">
        <v>1519</v>
      </c>
      <c r="V815" s="88" t="s">
        <v>1519</v>
      </c>
      <c r="W815" s="88" t="s">
        <v>1519</v>
      </c>
      <c r="X815" s="88" t="s">
        <v>1519</v>
      </c>
      <c r="Y815" s="88" t="s">
        <v>1519</v>
      </c>
      <c r="Z815" s="88" t="s">
        <v>1519</v>
      </c>
      <c r="AA815" s="88" t="s">
        <v>1519</v>
      </c>
      <c r="AB815" s="88" t="s">
        <v>1520</v>
      </c>
      <c r="AC815" s="88" t="s">
        <v>1520</v>
      </c>
      <c r="AD815" s="89"/>
      <c r="AE815" s="18" t="s">
        <v>76</v>
      </c>
      <c r="AF815" s="24"/>
      <c r="AG815" s="24"/>
      <c r="AH815" s="24"/>
      <c r="AI815" s="24"/>
      <c r="AJ815" s="24"/>
      <c r="AK815" s="24"/>
      <c r="AL815" s="24"/>
      <c r="AM815" s="24"/>
    </row>
    <row r="816">
      <c r="A816" s="11"/>
      <c r="B816" s="12" t="s">
        <v>43</v>
      </c>
      <c r="C816" s="12" t="s">
        <v>65</v>
      </c>
      <c r="D816" s="12" t="s">
        <v>321</v>
      </c>
      <c r="E816" s="12" t="s">
        <v>321</v>
      </c>
      <c r="F816" s="13" t="s">
        <v>322</v>
      </c>
      <c r="G816" s="12" t="s">
        <v>68</v>
      </c>
      <c r="H816" s="12" t="s">
        <v>323</v>
      </c>
      <c r="I816" s="12" t="s">
        <v>324</v>
      </c>
      <c r="J816" s="17" t="s">
        <v>73</v>
      </c>
      <c r="K816" s="17" t="s">
        <v>1544</v>
      </c>
      <c r="L816" s="104" t="s">
        <v>1545</v>
      </c>
      <c r="M816" s="20">
        <v>45988.0</v>
      </c>
      <c r="N816" s="17" t="s">
        <v>428</v>
      </c>
      <c r="O816" s="88" t="s">
        <v>1519</v>
      </c>
      <c r="P816" s="88" t="s">
        <v>1519</v>
      </c>
      <c r="Q816" s="88" t="s">
        <v>1519</v>
      </c>
      <c r="R816" s="88" t="s">
        <v>1519</v>
      </c>
      <c r="S816" s="88" t="s">
        <v>1519</v>
      </c>
      <c r="T816" s="88" t="s">
        <v>1519</v>
      </c>
      <c r="U816" s="88" t="s">
        <v>1519</v>
      </c>
      <c r="V816" s="88" t="s">
        <v>1519</v>
      </c>
      <c r="W816" s="88" t="s">
        <v>1520</v>
      </c>
      <c r="X816" s="88" t="s">
        <v>1519</v>
      </c>
      <c r="Y816" s="88" t="s">
        <v>1519</v>
      </c>
      <c r="Z816" s="88" t="s">
        <v>1519</v>
      </c>
      <c r="AA816" s="88" t="s">
        <v>1519</v>
      </c>
      <c r="AB816" s="88" t="s">
        <v>1520</v>
      </c>
      <c r="AC816" s="88" t="s">
        <v>1520</v>
      </c>
      <c r="AD816" s="89"/>
      <c r="AE816" s="18" t="s">
        <v>76</v>
      </c>
      <c r="AF816" s="24"/>
      <c r="AG816" s="24"/>
      <c r="AH816" s="24"/>
      <c r="AI816" s="24"/>
      <c r="AJ816" s="24"/>
      <c r="AK816" s="24"/>
      <c r="AL816" s="24"/>
      <c r="AM816" s="24"/>
    </row>
    <row r="817">
      <c r="A817" s="11"/>
      <c r="B817" s="12" t="s">
        <v>43</v>
      </c>
      <c r="C817" s="12" t="s">
        <v>65</v>
      </c>
      <c r="D817" s="12" t="s">
        <v>321</v>
      </c>
      <c r="E817" s="12" t="s">
        <v>321</v>
      </c>
      <c r="F817" s="13" t="s">
        <v>322</v>
      </c>
      <c r="G817" s="12" t="s">
        <v>68</v>
      </c>
      <c r="H817" s="12" t="s">
        <v>323</v>
      </c>
      <c r="I817" s="12" t="s">
        <v>324</v>
      </c>
      <c r="J817" s="17" t="s">
        <v>73</v>
      </c>
      <c r="K817" s="17" t="s">
        <v>1544</v>
      </c>
      <c r="L817" s="104" t="s">
        <v>1546</v>
      </c>
      <c r="M817" s="20">
        <v>45988.0</v>
      </c>
      <c r="N817" s="17" t="s">
        <v>428</v>
      </c>
      <c r="O817" s="88" t="s">
        <v>1519</v>
      </c>
      <c r="P817" s="88" t="s">
        <v>1519</v>
      </c>
      <c r="Q817" s="88" t="s">
        <v>1519</v>
      </c>
      <c r="R817" s="88" t="s">
        <v>1519</v>
      </c>
      <c r="S817" s="88" t="s">
        <v>1519</v>
      </c>
      <c r="T817" s="88" t="s">
        <v>1519</v>
      </c>
      <c r="U817" s="88" t="s">
        <v>1519</v>
      </c>
      <c r="V817" s="88" t="s">
        <v>1519</v>
      </c>
      <c r="W817" s="88" t="s">
        <v>1519</v>
      </c>
      <c r="X817" s="88" t="s">
        <v>1519</v>
      </c>
      <c r="Y817" s="88" t="s">
        <v>1519</v>
      </c>
      <c r="Z817" s="88" t="s">
        <v>1519</v>
      </c>
      <c r="AA817" s="88" t="s">
        <v>1519</v>
      </c>
      <c r="AB817" s="88" t="s">
        <v>1519</v>
      </c>
      <c r="AC817" s="88" t="s">
        <v>1520</v>
      </c>
      <c r="AD817" s="89"/>
      <c r="AE817" s="18" t="s">
        <v>76</v>
      </c>
      <c r="AF817" s="24"/>
      <c r="AG817" s="24"/>
      <c r="AH817" s="24"/>
      <c r="AI817" s="24"/>
      <c r="AJ817" s="24"/>
      <c r="AK817" s="24"/>
      <c r="AL817" s="24"/>
      <c r="AM817" s="24"/>
    </row>
    <row r="818">
      <c r="A818" s="11"/>
      <c r="B818" s="12" t="s">
        <v>43</v>
      </c>
      <c r="C818" s="12" t="s">
        <v>65</v>
      </c>
      <c r="D818" s="12" t="s">
        <v>321</v>
      </c>
      <c r="E818" s="12" t="s">
        <v>321</v>
      </c>
      <c r="F818" s="13" t="s">
        <v>322</v>
      </c>
      <c r="G818" s="12" t="s">
        <v>68</v>
      </c>
      <c r="H818" s="12" t="s">
        <v>323</v>
      </c>
      <c r="I818" s="12" t="s">
        <v>324</v>
      </c>
      <c r="J818" s="17" t="s">
        <v>73</v>
      </c>
      <c r="K818" s="17" t="s">
        <v>1544</v>
      </c>
      <c r="L818" s="104" t="s">
        <v>1547</v>
      </c>
      <c r="M818" s="20">
        <v>45988.0</v>
      </c>
      <c r="N818" s="17" t="s">
        <v>428</v>
      </c>
      <c r="O818" s="88" t="s">
        <v>1519</v>
      </c>
      <c r="P818" s="88" t="s">
        <v>1519</v>
      </c>
      <c r="Q818" s="88" t="s">
        <v>1519</v>
      </c>
      <c r="R818" s="88" t="s">
        <v>1519</v>
      </c>
      <c r="S818" s="88" t="s">
        <v>1519</v>
      </c>
      <c r="T818" s="88" t="s">
        <v>1519</v>
      </c>
      <c r="U818" s="88" t="s">
        <v>1519</v>
      </c>
      <c r="V818" s="88" t="s">
        <v>1519</v>
      </c>
      <c r="W818" s="88" t="s">
        <v>1519</v>
      </c>
      <c r="X818" s="88" t="s">
        <v>1519</v>
      </c>
      <c r="Y818" s="88" t="s">
        <v>1519</v>
      </c>
      <c r="Z818" s="88" t="s">
        <v>1519</v>
      </c>
      <c r="AA818" s="88" t="s">
        <v>1519</v>
      </c>
      <c r="AB818" s="88" t="s">
        <v>1519</v>
      </c>
      <c r="AC818" s="88" t="s">
        <v>1519</v>
      </c>
      <c r="AD818" s="89"/>
      <c r="AE818" s="18" t="s">
        <v>76</v>
      </c>
      <c r="AF818" s="24"/>
      <c r="AG818" s="24"/>
      <c r="AH818" s="24"/>
      <c r="AI818" s="24"/>
      <c r="AJ818" s="24"/>
      <c r="AK818" s="24"/>
      <c r="AL818" s="24"/>
      <c r="AM818" s="24"/>
    </row>
    <row r="819">
      <c r="A819" s="11"/>
      <c r="B819" s="12" t="s">
        <v>43</v>
      </c>
      <c r="C819" s="12" t="s">
        <v>65</v>
      </c>
      <c r="D819" s="12" t="s">
        <v>321</v>
      </c>
      <c r="E819" s="12" t="s">
        <v>321</v>
      </c>
      <c r="F819" s="13" t="s">
        <v>322</v>
      </c>
      <c r="G819" s="12" t="s">
        <v>68</v>
      </c>
      <c r="H819" s="12" t="s">
        <v>323</v>
      </c>
      <c r="I819" s="12" t="s">
        <v>324</v>
      </c>
      <c r="J819" s="17" t="s">
        <v>112</v>
      </c>
      <c r="K819" s="17" t="s">
        <v>1548</v>
      </c>
      <c r="L819" s="104" t="s">
        <v>1549</v>
      </c>
      <c r="M819" s="20">
        <v>45988.0</v>
      </c>
      <c r="N819" s="17" t="s">
        <v>428</v>
      </c>
      <c r="O819" s="88" t="s">
        <v>1519</v>
      </c>
      <c r="P819" s="88" t="s">
        <v>1519</v>
      </c>
      <c r="Q819" s="88" t="s">
        <v>1519</v>
      </c>
      <c r="R819" s="88" t="s">
        <v>1519</v>
      </c>
      <c r="S819" s="88" t="s">
        <v>1519</v>
      </c>
      <c r="T819" s="88" t="s">
        <v>1519</v>
      </c>
      <c r="U819" s="88" t="s">
        <v>1519</v>
      </c>
      <c r="V819" s="88" t="s">
        <v>1519</v>
      </c>
      <c r="W819" s="88" t="s">
        <v>1519</v>
      </c>
      <c r="X819" s="88" t="s">
        <v>1519</v>
      </c>
      <c r="Y819" s="88" t="s">
        <v>1519</v>
      </c>
      <c r="Z819" s="88" t="s">
        <v>1519</v>
      </c>
      <c r="AA819" s="88" t="s">
        <v>1519</v>
      </c>
      <c r="AB819" s="88" t="s">
        <v>1519</v>
      </c>
      <c r="AC819" s="88" t="s">
        <v>1519</v>
      </c>
      <c r="AD819" s="89"/>
      <c r="AE819" s="18" t="s">
        <v>76</v>
      </c>
      <c r="AF819" s="24"/>
      <c r="AG819" s="24"/>
      <c r="AH819" s="24"/>
      <c r="AI819" s="24"/>
      <c r="AJ819" s="24"/>
      <c r="AK819" s="24"/>
      <c r="AL819" s="24"/>
      <c r="AM819" s="24"/>
    </row>
    <row r="820">
      <c r="A820" s="11"/>
      <c r="B820" s="12" t="s">
        <v>43</v>
      </c>
      <c r="C820" s="12" t="s">
        <v>65</v>
      </c>
      <c r="D820" s="12" t="s">
        <v>321</v>
      </c>
      <c r="E820" s="12" t="s">
        <v>321</v>
      </c>
      <c r="F820" s="13" t="s">
        <v>322</v>
      </c>
      <c r="G820" s="12" t="s">
        <v>68</v>
      </c>
      <c r="H820" s="12" t="s">
        <v>323</v>
      </c>
      <c r="I820" s="12" t="s">
        <v>324</v>
      </c>
      <c r="J820" s="17" t="s">
        <v>112</v>
      </c>
      <c r="K820" s="17" t="s">
        <v>1548</v>
      </c>
      <c r="L820" s="104" t="s">
        <v>1550</v>
      </c>
      <c r="M820" s="20">
        <v>45988.0</v>
      </c>
      <c r="N820" s="17" t="s">
        <v>428</v>
      </c>
      <c r="O820" s="88" t="s">
        <v>1519</v>
      </c>
      <c r="P820" s="88" t="s">
        <v>1519</v>
      </c>
      <c r="Q820" s="105"/>
      <c r="R820" s="88" t="s">
        <v>1519</v>
      </c>
      <c r="S820" s="88" t="s">
        <v>1519</v>
      </c>
      <c r="T820" s="88" t="s">
        <v>1520</v>
      </c>
      <c r="U820" s="88" t="s">
        <v>1519</v>
      </c>
      <c r="V820" s="88" t="s">
        <v>1520</v>
      </c>
      <c r="W820" s="88" t="s">
        <v>1520</v>
      </c>
      <c r="X820" s="88" t="s">
        <v>1519</v>
      </c>
      <c r="Y820" s="88" t="s">
        <v>1519</v>
      </c>
      <c r="Z820" s="88" t="s">
        <v>1520</v>
      </c>
      <c r="AA820" s="88" t="s">
        <v>1519</v>
      </c>
      <c r="AB820" s="88" t="s">
        <v>1520</v>
      </c>
      <c r="AC820" s="88" t="s">
        <v>1520</v>
      </c>
      <c r="AD820" s="89"/>
      <c r="AE820" s="18" t="s">
        <v>76</v>
      </c>
      <c r="AF820" s="24"/>
      <c r="AG820" s="24"/>
      <c r="AH820" s="24"/>
      <c r="AI820" s="24"/>
      <c r="AJ820" s="24"/>
      <c r="AK820" s="24"/>
      <c r="AL820" s="24"/>
      <c r="AM820" s="24"/>
    </row>
    <row r="821">
      <c r="A821" s="11"/>
      <c r="B821" s="12" t="s">
        <v>43</v>
      </c>
      <c r="C821" s="12" t="s">
        <v>65</v>
      </c>
      <c r="D821" s="12" t="s">
        <v>321</v>
      </c>
      <c r="E821" s="12" t="s">
        <v>321</v>
      </c>
      <c r="F821" s="13" t="s">
        <v>322</v>
      </c>
      <c r="G821" s="12" t="s">
        <v>68</v>
      </c>
      <c r="H821" s="12" t="s">
        <v>323</v>
      </c>
      <c r="I821" s="12" t="s">
        <v>324</v>
      </c>
      <c r="J821" s="17" t="s">
        <v>73</v>
      </c>
      <c r="K821" s="17" t="s">
        <v>1551</v>
      </c>
      <c r="L821" s="104" t="s">
        <v>1552</v>
      </c>
      <c r="M821" s="20">
        <v>45988.0</v>
      </c>
      <c r="N821" s="17" t="s">
        <v>428</v>
      </c>
      <c r="O821" s="88" t="s">
        <v>1519</v>
      </c>
      <c r="P821" s="88" t="s">
        <v>1519</v>
      </c>
      <c r="Q821" s="88" t="s">
        <v>1519</v>
      </c>
      <c r="R821" s="88" t="s">
        <v>1519</v>
      </c>
      <c r="S821" s="88" t="s">
        <v>1519</v>
      </c>
      <c r="T821" s="88" t="s">
        <v>1519</v>
      </c>
      <c r="U821" s="88" t="s">
        <v>1519</v>
      </c>
      <c r="V821" s="88" t="s">
        <v>1519</v>
      </c>
      <c r="W821" s="88" t="s">
        <v>1519</v>
      </c>
      <c r="X821" s="88" t="s">
        <v>1519</v>
      </c>
      <c r="Y821" s="88" t="s">
        <v>1519</v>
      </c>
      <c r="Z821" s="88" t="s">
        <v>1519</v>
      </c>
      <c r="AA821" s="88" t="s">
        <v>1519</v>
      </c>
      <c r="AB821" s="88" t="s">
        <v>1519</v>
      </c>
      <c r="AC821" s="88" t="s">
        <v>1520</v>
      </c>
      <c r="AD821" s="89"/>
      <c r="AE821" s="18" t="s">
        <v>76</v>
      </c>
      <c r="AF821" s="24"/>
      <c r="AG821" s="24"/>
      <c r="AH821" s="24"/>
      <c r="AI821" s="24"/>
      <c r="AJ821" s="24"/>
      <c r="AK821" s="24"/>
      <c r="AL821" s="24"/>
      <c r="AM821" s="24"/>
    </row>
    <row r="822">
      <c r="A822" s="11"/>
      <c r="B822" s="12" t="s">
        <v>43</v>
      </c>
      <c r="C822" s="12" t="s">
        <v>65</v>
      </c>
      <c r="D822" s="12" t="s">
        <v>321</v>
      </c>
      <c r="E822" s="12" t="s">
        <v>321</v>
      </c>
      <c r="F822" s="13" t="s">
        <v>322</v>
      </c>
      <c r="G822" s="12" t="s">
        <v>68</v>
      </c>
      <c r="H822" s="12" t="s">
        <v>323</v>
      </c>
      <c r="I822" s="12" t="s">
        <v>324</v>
      </c>
      <c r="J822" s="17" t="s">
        <v>73</v>
      </c>
      <c r="K822" s="17" t="s">
        <v>1551</v>
      </c>
      <c r="L822" s="104" t="s">
        <v>1553</v>
      </c>
      <c r="M822" s="20">
        <v>45988.0</v>
      </c>
      <c r="N822" s="17" t="s">
        <v>428</v>
      </c>
      <c r="O822" s="88" t="s">
        <v>1519</v>
      </c>
      <c r="P822" s="88" t="s">
        <v>1519</v>
      </c>
      <c r="Q822" s="88" t="s">
        <v>1519</v>
      </c>
      <c r="R822" s="88" t="s">
        <v>1519</v>
      </c>
      <c r="S822" s="88" t="s">
        <v>1519</v>
      </c>
      <c r="T822" s="88" t="s">
        <v>1519</v>
      </c>
      <c r="U822" s="88" t="s">
        <v>1519</v>
      </c>
      <c r="V822" s="88" t="s">
        <v>1519</v>
      </c>
      <c r="W822" s="88" t="s">
        <v>1519</v>
      </c>
      <c r="X822" s="88" t="s">
        <v>1519</v>
      </c>
      <c r="Y822" s="88" t="s">
        <v>1519</v>
      </c>
      <c r="Z822" s="88" t="s">
        <v>1519</v>
      </c>
      <c r="AA822" s="88" t="s">
        <v>1519</v>
      </c>
      <c r="AB822" s="88" t="s">
        <v>1520</v>
      </c>
      <c r="AC822" s="88" t="s">
        <v>1520</v>
      </c>
      <c r="AD822" s="89"/>
      <c r="AE822" s="18" t="s">
        <v>76</v>
      </c>
      <c r="AF822" s="24"/>
      <c r="AG822" s="24"/>
      <c r="AH822" s="24"/>
      <c r="AI822" s="24"/>
      <c r="AJ822" s="24"/>
      <c r="AK822" s="24"/>
      <c r="AL822" s="24"/>
      <c r="AM822" s="24"/>
    </row>
    <row r="823">
      <c r="A823" s="11"/>
      <c r="B823" s="12" t="s">
        <v>43</v>
      </c>
      <c r="C823" s="12" t="s">
        <v>65</v>
      </c>
      <c r="D823" s="12" t="s">
        <v>321</v>
      </c>
      <c r="E823" s="12" t="s">
        <v>321</v>
      </c>
      <c r="F823" s="13" t="s">
        <v>322</v>
      </c>
      <c r="G823" s="12" t="s">
        <v>68</v>
      </c>
      <c r="H823" s="12" t="s">
        <v>323</v>
      </c>
      <c r="I823" s="12" t="s">
        <v>324</v>
      </c>
      <c r="J823" s="17" t="s">
        <v>108</v>
      </c>
      <c r="K823" s="17" t="s">
        <v>2156</v>
      </c>
      <c r="L823" s="104" t="s">
        <v>1555</v>
      </c>
      <c r="M823" s="20">
        <v>45988.0</v>
      </c>
      <c r="N823" s="17" t="s">
        <v>428</v>
      </c>
      <c r="O823" s="88" t="s">
        <v>1519</v>
      </c>
      <c r="P823" s="88" t="s">
        <v>1519</v>
      </c>
      <c r="Q823" s="88" t="s">
        <v>1519</v>
      </c>
      <c r="R823" s="88" t="s">
        <v>1519</v>
      </c>
      <c r="S823" s="88" t="s">
        <v>1519</v>
      </c>
      <c r="T823" s="88" t="s">
        <v>1519</v>
      </c>
      <c r="U823" s="88" t="s">
        <v>1519</v>
      </c>
      <c r="V823" s="88" t="s">
        <v>1519</v>
      </c>
      <c r="W823" s="88" t="s">
        <v>1519</v>
      </c>
      <c r="X823" s="88" t="s">
        <v>1519</v>
      </c>
      <c r="Y823" s="88" t="s">
        <v>1520</v>
      </c>
      <c r="Z823" s="88" t="s">
        <v>1520</v>
      </c>
      <c r="AA823" s="88" t="s">
        <v>1519</v>
      </c>
      <c r="AB823" s="88" t="s">
        <v>1520</v>
      </c>
      <c r="AC823" s="88" t="s">
        <v>1520</v>
      </c>
      <c r="AD823" s="89"/>
      <c r="AE823" s="18" t="s">
        <v>76</v>
      </c>
      <c r="AF823" s="24"/>
      <c r="AG823" s="24"/>
      <c r="AH823" s="24"/>
      <c r="AI823" s="24"/>
      <c r="AJ823" s="24"/>
      <c r="AK823" s="24"/>
      <c r="AL823" s="24"/>
      <c r="AM823" s="24"/>
    </row>
    <row r="824">
      <c r="A824" s="11"/>
      <c r="B824" s="12" t="s">
        <v>43</v>
      </c>
      <c r="C824" s="12" t="s">
        <v>65</v>
      </c>
      <c r="D824" s="12" t="s">
        <v>321</v>
      </c>
      <c r="E824" s="12" t="s">
        <v>321</v>
      </c>
      <c r="F824" s="13" t="s">
        <v>322</v>
      </c>
      <c r="G824" s="12" t="s">
        <v>68</v>
      </c>
      <c r="H824" s="12" t="s">
        <v>323</v>
      </c>
      <c r="I824" s="12" t="s">
        <v>324</v>
      </c>
      <c r="J824" s="17" t="s">
        <v>108</v>
      </c>
      <c r="K824" s="17" t="s">
        <v>2156</v>
      </c>
      <c r="L824" s="104" t="s">
        <v>1556</v>
      </c>
      <c r="M824" s="20">
        <v>45988.0</v>
      </c>
      <c r="N824" s="17" t="s">
        <v>428</v>
      </c>
      <c r="O824" s="88" t="s">
        <v>1519</v>
      </c>
      <c r="P824" s="88" t="s">
        <v>1519</v>
      </c>
      <c r="Q824" s="88" t="s">
        <v>1519</v>
      </c>
      <c r="R824" s="88" t="s">
        <v>1519</v>
      </c>
      <c r="S824" s="88" t="s">
        <v>1519</v>
      </c>
      <c r="T824" s="88" t="s">
        <v>1519</v>
      </c>
      <c r="U824" s="88" t="s">
        <v>1519</v>
      </c>
      <c r="V824" s="88" t="s">
        <v>1519</v>
      </c>
      <c r="W824" s="88" t="s">
        <v>1519</v>
      </c>
      <c r="X824" s="88" t="s">
        <v>1519</v>
      </c>
      <c r="Y824" s="88" t="s">
        <v>1519</v>
      </c>
      <c r="Z824" s="88" t="s">
        <v>1519</v>
      </c>
      <c r="AA824" s="88" t="s">
        <v>1519</v>
      </c>
      <c r="AB824" s="88" t="s">
        <v>1519</v>
      </c>
      <c r="AC824" s="88" t="s">
        <v>1520</v>
      </c>
      <c r="AD824" s="89"/>
      <c r="AE824" s="18" t="s">
        <v>76</v>
      </c>
      <c r="AF824" s="24"/>
      <c r="AG824" s="24"/>
      <c r="AH824" s="24"/>
      <c r="AI824" s="24"/>
      <c r="AJ824" s="24"/>
      <c r="AK824" s="24"/>
      <c r="AL824" s="24"/>
      <c r="AM824" s="24"/>
    </row>
    <row r="825" ht="14.25" customHeight="1">
      <c r="A825" s="11"/>
      <c r="B825" s="12" t="s">
        <v>43</v>
      </c>
      <c r="C825" s="12" t="s">
        <v>65</v>
      </c>
      <c r="D825" s="12" t="s">
        <v>321</v>
      </c>
      <c r="E825" s="12" t="s">
        <v>321</v>
      </c>
      <c r="F825" s="13" t="s">
        <v>322</v>
      </c>
      <c r="G825" s="12" t="s">
        <v>68</v>
      </c>
      <c r="H825" s="12" t="s">
        <v>323</v>
      </c>
      <c r="I825" s="12" t="s">
        <v>324</v>
      </c>
      <c r="J825" s="17" t="s">
        <v>108</v>
      </c>
      <c r="K825" s="17" t="s">
        <v>2156</v>
      </c>
      <c r="L825" s="104" t="s">
        <v>1557</v>
      </c>
      <c r="M825" s="20">
        <v>45988.0</v>
      </c>
      <c r="N825" s="17" t="s">
        <v>428</v>
      </c>
      <c r="O825" s="88" t="s">
        <v>1519</v>
      </c>
      <c r="P825" s="88" t="s">
        <v>1519</v>
      </c>
      <c r="Q825" s="88" t="s">
        <v>1519</v>
      </c>
      <c r="R825" s="88" t="s">
        <v>1519</v>
      </c>
      <c r="S825" s="88" t="s">
        <v>1519</v>
      </c>
      <c r="T825" s="88" t="s">
        <v>1519</v>
      </c>
      <c r="U825" s="88" t="s">
        <v>1519</v>
      </c>
      <c r="V825" s="88" t="s">
        <v>1519</v>
      </c>
      <c r="W825" s="88" t="s">
        <v>1519</v>
      </c>
      <c r="X825" s="88" t="s">
        <v>1519</v>
      </c>
      <c r="Y825" s="88" t="s">
        <v>1519</v>
      </c>
      <c r="Z825" s="88" t="s">
        <v>1520</v>
      </c>
      <c r="AA825" s="88" t="s">
        <v>1519</v>
      </c>
      <c r="AB825" s="88" t="s">
        <v>1520</v>
      </c>
      <c r="AC825" s="88" t="s">
        <v>1520</v>
      </c>
      <c r="AD825" s="89"/>
      <c r="AE825" s="18" t="s">
        <v>76</v>
      </c>
      <c r="AF825" s="24"/>
      <c r="AG825" s="24"/>
      <c r="AH825" s="24"/>
      <c r="AI825" s="24"/>
      <c r="AJ825" s="24"/>
      <c r="AK825" s="24"/>
      <c r="AL825" s="24"/>
      <c r="AM825" s="24"/>
    </row>
    <row r="826">
      <c r="A826" s="11"/>
      <c r="B826" s="12" t="s">
        <v>34</v>
      </c>
      <c r="C826" s="12" t="s">
        <v>65</v>
      </c>
      <c r="D826" s="12" t="s">
        <v>83</v>
      </c>
      <c r="E826" s="12" t="s">
        <v>632</v>
      </c>
      <c r="F826" s="13" t="s">
        <v>633</v>
      </c>
      <c r="G826" s="12" t="s">
        <v>68</v>
      </c>
      <c r="H826" s="12" t="s">
        <v>634</v>
      </c>
      <c r="I826" s="12" t="s">
        <v>635</v>
      </c>
      <c r="J826" s="17" t="s">
        <v>73</v>
      </c>
      <c r="K826" s="17" t="s">
        <v>74</v>
      </c>
      <c r="L826" s="100" t="s">
        <v>1831</v>
      </c>
      <c r="M826" s="20">
        <v>45966.0</v>
      </c>
      <c r="N826" s="17" t="s">
        <v>428</v>
      </c>
      <c r="O826" s="88" t="s">
        <v>1519</v>
      </c>
      <c r="P826" s="88" t="s">
        <v>1521</v>
      </c>
      <c r="Q826" s="88" t="s">
        <v>1520</v>
      </c>
      <c r="R826" s="88" t="s">
        <v>1520</v>
      </c>
      <c r="S826" s="88" t="s">
        <v>1519</v>
      </c>
      <c r="T826" s="88" t="s">
        <v>1520</v>
      </c>
      <c r="U826" s="88" t="s">
        <v>1520</v>
      </c>
      <c r="V826" s="88" t="s">
        <v>1520</v>
      </c>
      <c r="W826" s="88" t="s">
        <v>1520</v>
      </c>
      <c r="X826" s="88" t="s">
        <v>1520</v>
      </c>
      <c r="Y826" s="88" t="s">
        <v>1520</v>
      </c>
      <c r="Z826" s="88" t="s">
        <v>1520</v>
      </c>
      <c r="AA826" s="88" t="s">
        <v>1520</v>
      </c>
      <c r="AB826" s="88" t="s">
        <v>1520</v>
      </c>
      <c r="AC826" s="88" t="s">
        <v>1520</v>
      </c>
      <c r="AD826" s="89"/>
      <c r="AE826" s="18" t="s">
        <v>638</v>
      </c>
      <c r="AF826" s="24"/>
      <c r="AG826" s="24"/>
      <c r="AH826" s="24"/>
      <c r="AI826" s="24"/>
      <c r="AJ826" s="24"/>
      <c r="AK826" s="24"/>
      <c r="AL826" s="24"/>
      <c r="AM826" s="24"/>
    </row>
    <row r="827">
      <c r="A827" s="11"/>
      <c r="B827" s="12" t="s">
        <v>34</v>
      </c>
      <c r="C827" s="12" t="s">
        <v>65</v>
      </c>
      <c r="D827" s="12" t="s">
        <v>83</v>
      </c>
      <c r="E827" s="12" t="s">
        <v>632</v>
      </c>
      <c r="F827" s="13" t="s">
        <v>633</v>
      </c>
      <c r="G827" s="12" t="s">
        <v>68</v>
      </c>
      <c r="H827" s="12" t="s">
        <v>634</v>
      </c>
      <c r="I827" s="12" t="s">
        <v>635</v>
      </c>
      <c r="J827" s="17" t="s">
        <v>73</v>
      </c>
      <c r="K827" s="17" t="s">
        <v>74</v>
      </c>
      <c r="L827" s="100" t="s">
        <v>1832</v>
      </c>
      <c r="M827" s="20">
        <v>45966.0</v>
      </c>
      <c r="N827" s="17" t="s">
        <v>428</v>
      </c>
      <c r="O827" s="88" t="s">
        <v>1520</v>
      </c>
      <c r="P827" s="88" t="s">
        <v>1521</v>
      </c>
      <c r="Q827" s="88" t="s">
        <v>1520</v>
      </c>
      <c r="R827" s="88" t="s">
        <v>1520</v>
      </c>
      <c r="S827" s="88" t="s">
        <v>1521</v>
      </c>
      <c r="T827" s="88" t="s">
        <v>1521</v>
      </c>
      <c r="U827" s="88" t="s">
        <v>1521</v>
      </c>
      <c r="V827" s="88" t="s">
        <v>1521</v>
      </c>
      <c r="W827" s="88" t="s">
        <v>1520</v>
      </c>
      <c r="X827" s="88" t="s">
        <v>1521</v>
      </c>
      <c r="Y827" s="88" t="s">
        <v>1520</v>
      </c>
      <c r="Z827" s="88" t="s">
        <v>1520</v>
      </c>
      <c r="AA827" s="88" t="s">
        <v>1520</v>
      </c>
      <c r="AB827" s="88" t="s">
        <v>1520</v>
      </c>
      <c r="AC827" s="88" t="s">
        <v>1520</v>
      </c>
      <c r="AD827" s="89"/>
      <c r="AE827" s="18" t="s">
        <v>638</v>
      </c>
      <c r="AF827" s="24"/>
      <c r="AG827" s="24"/>
      <c r="AH827" s="24"/>
      <c r="AI827" s="24"/>
      <c r="AJ827" s="24"/>
      <c r="AK827" s="24"/>
      <c r="AL827" s="24"/>
      <c r="AM827" s="24"/>
    </row>
    <row r="828">
      <c r="A828" s="11"/>
      <c r="B828" s="12" t="s">
        <v>34</v>
      </c>
      <c r="C828" s="12" t="s">
        <v>65</v>
      </c>
      <c r="D828" s="12" t="s">
        <v>83</v>
      </c>
      <c r="E828" s="12" t="s">
        <v>632</v>
      </c>
      <c r="F828" s="13" t="s">
        <v>633</v>
      </c>
      <c r="G828" s="12" t="s">
        <v>68</v>
      </c>
      <c r="H828" s="12" t="s">
        <v>634</v>
      </c>
      <c r="I828" s="12" t="s">
        <v>635</v>
      </c>
      <c r="J828" s="17" t="s">
        <v>73</v>
      </c>
      <c r="K828" s="17" t="s">
        <v>74</v>
      </c>
      <c r="L828" s="100" t="s">
        <v>1833</v>
      </c>
      <c r="M828" s="20">
        <v>45966.0</v>
      </c>
      <c r="N828" s="17" t="s">
        <v>428</v>
      </c>
      <c r="O828" s="88" t="s">
        <v>1520</v>
      </c>
      <c r="P828" s="88" t="s">
        <v>1520</v>
      </c>
      <c r="Q828" s="88" t="s">
        <v>1519</v>
      </c>
      <c r="R828" s="88" t="s">
        <v>1521</v>
      </c>
      <c r="S828" s="88" t="s">
        <v>1521</v>
      </c>
      <c r="T828" s="88" t="s">
        <v>1521</v>
      </c>
      <c r="U828" s="88" t="s">
        <v>1521</v>
      </c>
      <c r="V828" s="88" t="s">
        <v>1521</v>
      </c>
      <c r="W828" s="88" t="s">
        <v>1520</v>
      </c>
      <c r="X828" s="88" t="s">
        <v>1521</v>
      </c>
      <c r="Y828" s="88" t="s">
        <v>1520</v>
      </c>
      <c r="Z828" s="88" t="s">
        <v>1520</v>
      </c>
      <c r="AA828" s="88" t="s">
        <v>1520</v>
      </c>
      <c r="AB828" s="88" t="s">
        <v>1520</v>
      </c>
      <c r="AC828" s="88" t="s">
        <v>1520</v>
      </c>
      <c r="AD828" s="89"/>
      <c r="AE828" s="18" t="s">
        <v>638</v>
      </c>
      <c r="AF828" s="24"/>
      <c r="AG828" s="24"/>
      <c r="AH828" s="24"/>
      <c r="AI828" s="24"/>
      <c r="AJ828" s="24"/>
      <c r="AK828" s="24"/>
      <c r="AL828" s="24"/>
      <c r="AM828" s="24"/>
    </row>
    <row r="829">
      <c r="A829" s="11"/>
      <c r="B829" s="12" t="s">
        <v>34</v>
      </c>
      <c r="C829" s="12" t="s">
        <v>65</v>
      </c>
      <c r="D829" s="12" t="s">
        <v>83</v>
      </c>
      <c r="E829" s="12" t="s">
        <v>632</v>
      </c>
      <c r="F829" s="13" t="s">
        <v>633</v>
      </c>
      <c r="G829" s="12" t="s">
        <v>68</v>
      </c>
      <c r="H829" s="12" t="s">
        <v>634</v>
      </c>
      <c r="I829" s="12" t="s">
        <v>635</v>
      </c>
      <c r="J829" s="17" t="s">
        <v>73</v>
      </c>
      <c r="K829" s="17" t="s">
        <v>74</v>
      </c>
      <c r="L829" s="100" t="s">
        <v>1834</v>
      </c>
      <c r="M829" s="20">
        <v>45966.0</v>
      </c>
      <c r="N829" s="17" t="s">
        <v>428</v>
      </c>
      <c r="O829" s="88" t="s">
        <v>1519</v>
      </c>
      <c r="P829" s="88" t="s">
        <v>1519</v>
      </c>
      <c r="Q829" s="88" t="s">
        <v>1519</v>
      </c>
      <c r="R829" s="88" t="s">
        <v>1521</v>
      </c>
      <c r="S829" s="88" t="s">
        <v>1519</v>
      </c>
      <c r="T829" s="88" t="s">
        <v>1520</v>
      </c>
      <c r="U829" s="88" t="s">
        <v>1520</v>
      </c>
      <c r="V829" s="88" t="s">
        <v>1521</v>
      </c>
      <c r="W829" s="88" t="s">
        <v>1520</v>
      </c>
      <c r="X829" s="88" t="s">
        <v>1520</v>
      </c>
      <c r="Y829" s="88" t="s">
        <v>1520</v>
      </c>
      <c r="Z829" s="88" t="s">
        <v>1519</v>
      </c>
      <c r="AA829" s="88" t="s">
        <v>1520</v>
      </c>
      <c r="AB829" s="88" t="s">
        <v>1520</v>
      </c>
      <c r="AC829" s="88" t="s">
        <v>1520</v>
      </c>
      <c r="AD829" s="89"/>
      <c r="AE829" s="18" t="s">
        <v>638</v>
      </c>
      <c r="AF829" s="24"/>
      <c r="AG829" s="24"/>
      <c r="AH829" s="24"/>
      <c r="AI829" s="24"/>
      <c r="AJ829" s="24"/>
      <c r="AK829" s="24"/>
      <c r="AL829" s="24"/>
      <c r="AM829" s="24"/>
    </row>
    <row r="830">
      <c r="A830" s="11"/>
      <c r="B830" s="12" t="s">
        <v>34</v>
      </c>
      <c r="C830" s="12" t="s">
        <v>65</v>
      </c>
      <c r="D830" s="12" t="s">
        <v>83</v>
      </c>
      <c r="E830" s="12" t="s">
        <v>632</v>
      </c>
      <c r="F830" s="13" t="s">
        <v>633</v>
      </c>
      <c r="G830" s="12" t="s">
        <v>68</v>
      </c>
      <c r="H830" s="12" t="s">
        <v>634</v>
      </c>
      <c r="I830" s="12" t="s">
        <v>635</v>
      </c>
      <c r="J830" s="17" t="s">
        <v>112</v>
      </c>
      <c r="K830" s="17" t="s">
        <v>113</v>
      </c>
      <c r="L830" s="100" t="s">
        <v>1835</v>
      </c>
      <c r="M830" s="20">
        <v>45966.0</v>
      </c>
      <c r="N830" s="17" t="s">
        <v>428</v>
      </c>
      <c r="O830" s="88" t="s">
        <v>1519</v>
      </c>
      <c r="P830" s="88" t="s">
        <v>1520</v>
      </c>
      <c r="Q830" s="88" t="s">
        <v>1520</v>
      </c>
      <c r="R830" s="88" t="s">
        <v>1520</v>
      </c>
      <c r="S830" s="88" t="s">
        <v>1521</v>
      </c>
      <c r="T830" s="88" t="s">
        <v>1521</v>
      </c>
      <c r="U830" s="88" t="s">
        <v>1521</v>
      </c>
      <c r="V830" s="88" t="s">
        <v>1521</v>
      </c>
      <c r="W830" s="88" t="s">
        <v>1520</v>
      </c>
      <c r="X830" s="88" t="s">
        <v>1521</v>
      </c>
      <c r="Y830" s="88" t="s">
        <v>1520</v>
      </c>
      <c r="Z830" s="88" t="s">
        <v>1520</v>
      </c>
      <c r="AA830" s="88" t="s">
        <v>1519</v>
      </c>
      <c r="AB830" s="88" t="s">
        <v>1520</v>
      </c>
      <c r="AC830" s="88" t="s">
        <v>1520</v>
      </c>
      <c r="AD830" s="89"/>
      <c r="AE830" s="18" t="s">
        <v>638</v>
      </c>
      <c r="AF830" s="24"/>
      <c r="AG830" s="24"/>
      <c r="AH830" s="24"/>
      <c r="AI830" s="24"/>
      <c r="AJ830" s="24"/>
      <c r="AK830" s="24"/>
      <c r="AL830" s="24"/>
      <c r="AM830" s="24"/>
    </row>
    <row r="831">
      <c r="A831" s="11"/>
      <c r="B831" s="12" t="s">
        <v>34</v>
      </c>
      <c r="C831" s="12" t="s">
        <v>65</v>
      </c>
      <c r="D831" s="12" t="s">
        <v>83</v>
      </c>
      <c r="E831" s="12" t="s">
        <v>632</v>
      </c>
      <c r="F831" s="13" t="s">
        <v>633</v>
      </c>
      <c r="G831" s="12" t="s">
        <v>68</v>
      </c>
      <c r="H831" s="12" t="s">
        <v>634</v>
      </c>
      <c r="I831" s="12" t="s">
        <v>635</v>
      </c>
      <c r="J831" s="17" t="s">
        <v>112</v>
      </c>
      <c r="K831" s="17" t="s">
        <v>113</v>
      </c>
      <c r="L831" s="100" t="s">
        <v>1836</v>
      </c>
      <c r="M831" s="20">
        <v>45966.0</v>
      </c>
      <c r="N831" s="17" t="s">
        <v>428</v>
      </c>
      <c r="O831" s="88" t="s">
        <v>1519</v>
      </c>
      <c r="P831" s="88" t="s">
        <v>1520</v>
      </c>
      <c r="Q831" s="88" t="s">
        <v>1520</v>
      </c>
      <c r="R831" s="88" t="s">
        <v>1520</v>
      </c>
      <c r="S831" s="88" t="s">
        <v>1521</v>
      </c>
      <c r="T831" s="88" t="s">
        <v>1521</v>
      </c>
      <c r="U831" s="88" t="s">
        <v>1521</v>
      </c>
      <c r="V831" s="88" t="s">
        <v>1520</v>
      </c>
      <c r="W831" s="88" t="s">
        <v>1520</v>
      </c>
      <c r="X831" s="88" t="s">
        <v>1520</v>
      </c>
      <c r="Y831" s="88" t="s">
        <v>1520</v>
      </c>
      <c r="Z831" s="88" t="s">
        <v>1520</v>
      </c>
      <c r="AA831" s="88" t="s">
        <v>1520</v>
      </c>
      <c r="AB831" s="88" t="s">
        <v>1520</v>
      </c>
      <c r="AC831" s="88" t="s">
        <v>1520</v>
      </c>
      <c r="AD831" s="89"/>
      <c r="AE831" s="18" t="s">
        <v>638</v>
      </c>
      <c r="AF831" s="24"/>
      <c r="AG831" s="24"/>
      <c r="AH831" s="24"/>
      <c r="AI831" s="24"/>
      <c r="AJ831" s="24"/>
      <c r="AK831" s="24"/>
      <c r="AL831" s="24"/>
      <c r="AM831" s="24"/>
    </row>
    <row r="832">
      <c r="A832" s="11"/>
      <c r="B832" s="12" t="s">
        <v>34</v>
      </c>
      <c r="C832" s="12" t="s">
        <v>65</v>
      </c>
      <c r="D832" s="12" t="s">
        <v>83</v>
      </c>
      <c r="E832" s="12" t="s">
        <v>632</v>
      </c>
      <c r="F832" s="13" t="s">
        <v>633</v>
      </c>
      <c r="G832" s="12" t="s">
        <v>68</v>
      </c>
      <c r="H832" s="12" t="s">
        <v>634</v>
      </c>
      <c r="I832" s="12" t="s">
        <v>635</v>
      </c>
      <c r="J832" s="17" t="s">
        <v>112</v>
      </c>
      <c r="K832" s="17" t="s">
        <v>113</v>
      </c>
      <c r="L832" s="100" t="s">
        <v>1837</v>
      </c>
      <c r="M832" s="20">
        <v>45966.0</v>
      </c>
      <c r="N832" s="17" t="s">
        <v>428</v>
      </c>
      <c r="O832" s="88" t="s">
        <v>1519</v>
      </c>
      <c r="P832" s="88" t="s">
        <v>1520</v>
      </c>
      <c r="Q832" s="88" t="s">
        <v>1520</v>
      </c>
      <c r="R832" s="88" t="s">
        <v>1520</v>
      </c>
      <c r="S832" s="88" t="s">
        <v>1521</v>
      </c>
      <c r="T832" s="88" t="s">
        <v>1521</v>
      </c>
      <c r="U832" s="88" t="s">
        <v>1521</v>
      </c>
      <c r="V832" s="88" t="s">
        <v>1520</v>
      </c>
      <c r="W832" s="88" t="s">
        <v>1520</v>
      </c>
      <c r="X832" s="88" t="s">
        <v>1521</v>
      </c>
      <c r="Y832" s="88" t="s">
        <v>1520</v>
      </c>
      <c r="Z832" s="88" t="s">
        <v>1520</v>
      </c>
      <c r="AA832" s="88" t="s">
        <v>1520</v>
      </c>
      <c r="AB832" s="88" t="s">
        <v>1520</v>
      </c>
      <c r="AC832" s="88" t="s">
        <v>1520</v>
      </c>
      <c r="AD832" s="89"/>
      <c r="AE832" s="18" t="s">
        <v>638</v>
      </c>
      <c r="AF832" s="24"/>
      <c r="AG832" s="24"/>
      <c r="AH832" s="24"/>
      <c r="AI832" s="24"/>
      <c r="AJ832" s="24"/>
      <c r="AK832" s="24"/>
      <c r="AL832" s="24"/>
      <c r="AM832" s="24"/>
    </row>
    <row r="833">
      <c r="A833" s="11"/>
      <c r="B833" s="12" t="s">
        <v>34</v>
      </c>
      <c r="C833" s="12" t="s">
        <v>65</v>
      </c>
      <c r="D833" s="12" t="s">
        <v>83</v>
      </c>
      <c r="E833" s="12" t="s">
        <v>632</v>
      </c>
      <c r="F833" s="13" t="s">
        <v>633</v>
      </c>
      <c r="G833" s="12" t="s">
        <v>68</v>
      </c>
      <c r="H833" s="12" t="s">
        <v>634</v>
      </c>
      <c r="I833" s="12" t="s">
        <v>635</v>
      </c>
      <c r="J833" s="17" t="s">
        <v>112</v>
      </c>
      <c r="K833" s="17" t="s">
        <v>113</v>
      </c>
      <c r="L833" s="100" t="s">
        <v>1838</v>
      </c>
      <c r="M833" s="20">
        <v>45966.0</v>
      </c>
      <c r="N833" s="17" t="s">
        <v>428</v>
      </c>
      <c r="O833" s="88" t="s">
        <v>1519</v>
      </c>
      <c r="P833" s="88" t="s">
        <v>1519</v>
      </c>
      <c r="Q833" s="88" t="s">
        <v>1519</v>
      </c>
      <c r="R833" s="88" t="s">
        <v>1520</v>
      </c>
      <c r="S833" s="88" t="s">
        <v>1520</v>
      </c>
      <c r="T833" s="88" t="s">
        <v>1519</v>
      </c>
      <c r="U833" s="88" t="s">
        <v>1520</v>
      </c>
      <c r="V833" s="88" t="s">
        <v>1519</v>
      </c>
      <c r="W833" s="88" t="s">
        <v>1519</v>
      </c>
      <c r="X833" s="88" t="s">
        <v>1519</v>
      </c>
      <c r="Y833" s="88" t="s">
        <v>1520</v>
      </c>
      <c r="Z833" s="88" t="s">
        <v>1519</v>
      </c>
      <c r="AA833" s="88" t="s">
        <v>1520</v>
      </c>
      <c r="AB833" s="88" t="s">
        <v>1519</v>
      </c>
      <c r="AC833" s="88" t="s">
        <v>1519</v>
      </c>
      <c r="AD833" s="89"/>
      <c r="AE833" s="18" t="s">
        <v>638</v>
      </c>
      <c r="AF833" s="24"/>
      <c r="AG833" s="24"/>
      <c r="AH833" s="24"/>
      <c r="AI833" s="24"/>
      <c r="AJ833" s="24"/>
      <c r="AK833" s="24"/>
      <c r="AL833" s="24"/>
      <c r="AM833" s="24"/>
    </row>
    <row r="834">
      <c r="A834" s="11"/>
      <c r="B834" s="12" t="s">
        <v>34</v>
      </c>
      <c r="C834" s="12" t="s">
        <v>65</v>
      </c>
      <c r="D834" s="12" t="s">
        <v>83</v>
      </c>
      <c r="E834" s="12" t="s">
        <v>632</v>
      </c>
      <c r="F834" s="13" t="s">
        <v>633</v>
      </c>
      <c r="G834" s="12" t="s">
        <v>68</v>
      </c>
      <c r="H834" s="12" t="s">
        <v>634</v>
      </c>
      <c r="I834" s="12" t="s">
        <v>635</v>
      </c>
      <c r="J834" s="17" t="s">
        <v>112</v>
      </c>
      <c r="K834" s="17" t="s">
        <v>113</v>
      </c>
      <c r="L834" s="100" t="s">
        <v>1839</v>
      </c>
      <c r="M834" s="20">
        <v>45966.0</v>
      </c>
      <c r="N834" s="17" t="s">
        <v>428</v>
      </c>
      <c r="O834" s="88" t="s">
        <v>1519</v>
      </c>
      <c r="P834" s="88" t="s">
        <v>1519</v>
      </c>
      <c r="Q834" s="88" t="s">
        <v>1520</v>
      </c>
      <c r="R834" s="88" t="s">
        <v>1519</v>
      </c>
      <c r="S834" s="88" t="s">
        <v>1520</v>
      </c>
      <c r="T834" s="88" t="s">
        <v>1520</v>
      </c>
      <c r="U834" s="88" t="s">
        <v>1520</v>
      </c>
      <c r="V834" s="88" t="s">
        <v>1520</v>
      </c>
      <c r="W834" s="88" t="s">
        <v>1520</v>
      </c>
      <c r="X834" s="88" t="s">
        <v>1520</v>
      </c>
      <c r="Y834" s="88" t="s">
        <v>1520</v>
      </c>
      <c r="Z834" s="88" t="s">
        <v>1520</v>
      </c>
      <c r="AA834" s="88" t="s">
        <v>1520</v>
      </c>
      <c r="AB834" s="88" t="s">
        <v>1520</v>
      </c>
      <c r="AC834" s="88" t="s">
        <v>1520</v>
      </c>
      <c r="AD834" s="89"/>
      <c r="AE834" s="18" t="s">
        <v>638</v>
      </c>
      <c r="AF834" s="24"/>
      <c r="AG834" s="24"/>
      <c r="AH834" s="24"/>
      <c r="AI834" s="24"/>
      <c r="AJ834" s="24"/>
      <c r="AK834" s="24"/>
      <c r="AL834" s="24"/>
      <c r="AM834" s="24"/>
    </row>
    <row r="835">
      <c r="A835" s="11"/>
      <c r="B835" s="12" t="s">
        <v>34</v>
      </c>
      <c r="C835" s="12" t="s">
        <v>65</v>
      </c>
      <c r="D835" s="12" t="s">
        <v>83</v>
      </c>
      <c r="E835" s="12" t="s">
        <v>632</v>
      </c>
      <c r="F835" s="13" t="s">
        <v>633</v>
      </c>
      <c r="G835" s="12" t="s">
        <v>68</v>
      </c>
      <c r="H835" s="12" t="s">
        <v>634</v>
      </c>
      <c r="I835" s="12" t="s">
        <v>635</v>
      </c>
      <c r="J835" s="17" t="s">
        <v>112</v>
      </c>
      <c r="K835" s="17" t="s">
        <v>113</v>
      </c>
      <c r="L835" s="100" t="s">
        <v>1840</v>
      </c>
      <c r="M835" s="20">
        <v>45966.0</v>
      </c>
      <c r="N835" s="17" t="s">
        <v>428</v>
      </c>
      <c r="O835" s="88" t="s">
        <v>1519</v>
      </c>
      <c r="P835" s="88" t="s">
        <v>1520</v>
      </c>
      <c r="Q835" s="88" t="s">
        <v>1520</v>
      </c>
      <c r="R835" s="88" t="s">
        <v>1519</v>
      </c>
      <c r="S835" s="88" t="s">
        <v>1520</v>
      </c>
      <c r="T835" s="88" t="s">
        <v>1520</v>
      </c>
      <c r="U835" s="88" t="s">
        <v>1520</v>
      </c>
      <c r="V835" s="88" t="s">
        <v>1520</v>
      </c>
      <c r="W835" s="88" t="s">
        <v>1520</v>
      </c>
      <c r="X835" s="88" t="s">
        <v>1519</v>
      </c>
      <c r="Y835" s="88" t="s">
        <v>1520</v>
      </c>
      <c r="Z835" s="88" t="s">
        <v>1520</v>
      </c>
      <c r="AA835" s="88" t="s">
        <v>1520</v>
      </c>
      <c r="AB835" s="88" t="s">
        <v>1520</v>
      </c>
      <c r="AC835" s="88" t="s">
        <v>1520</v>
      </c>
      <c r="AD835" s="89"/>
      <c r="AE835" s="18" t="s">
        <v>638</v>
      </c>
      <c r="AF835" s="24"/>
      <c r="AG835" s="24"/>
      <c r="AH835" s="24"/>
      <c r="AI835" s="24"/>
      <c r="AJ835" s="24"/>
      <c r="AK835" s="24"/>
      <c r="AL835" s="24"/>
      <c r="AM835" s="24"/>
    </row>
    <row r="836">
      <c r="A836" s="11"/>
      <c r="B836" s="12" t="s">
        <v>34</v>
      </c>
      <c r="C836" s="12" t="s">
        <v>65</v>
      </c>
      <c r="D836" s="12" t="s">
        <v>83</v>
      </c>
      <c r="E836" s="12" t="s">
        <v>632</v>
      </c>
      <c r="F836" s="13" t="s">
        <v>633</v>
      </c>
      <c r="G836" s="12" t="s">
        <v>68</v>
      </c>
      <c r="H836" s="12" t="s">
        <v>634</v>
      </c>
      <c r="I836" s="12" t="s">
        <v>635</v>
      </c>
      <c r="J836" s="17" t="s">
        <v>112</v>
      </c>
      <c r="K836" s="17" t="s">
        <v>113</v>
      </c>
      <c r="L836" s="100" t="s">
        <v>1841</v>
      </c>
      <c r="M836" s="20">
        <v>45966.0</v>
      </c>
      <c r="N836" s="17" t="s">
        <v>428</v>
      </c>
      <c r="O836" s="88" t="s">
        <v>1519</v>
      </c>
      <c r="P836" s="88" t="s">
        <v>1519</v>
      </c>
      <c r="Q836" s="88" t="s">
        <v>1519</v>
      </c>
      <c r="R836" s="88" t="s">
        <v>1520</v>
      </c>
      <c r="S836" s="88" t="s">
        <v>1520</v>
      </c>
      <c r="T836" s="88" t="s">
        <v>1520</v>
      </c>
      <c r="U836" s="88" t="s">
        <v>1520</v>
      </c>
      <c r="V836" s="88" t="s">
        <v>1520</v>
      </c>
      <c r="W836" s="88" t="s">
        <v>1520</v>
      </c>
      <c r="X836" s="88" t="s">
        <v>1519</v>
      </c>
      <c r="Y836" s="88" t="s">
        <v>1520</v>
      </c>
      <c r="Z836" s="88" t="s">
        <v>1519</v>
      </c>
      <c r="AA836" s="88" t="s">
        <v>1520</v>
      </c>
      <c r="AB836" s="88" t="s">
        <v>1519</v>
      </c>
      <c r="AC836" s="88" t="s">
        <v>1520</v>
      </c>
      <c r="AD836" s="89"/>
      <c r="AE836" s="18" t="s">
        <v>638</v>
      </c>
      <c r="AF836" s="24"/>
      <c r="AG836" s="24"/>
      <c r="AH836" s="24"/>
      <c r="AI836" s="24"/>
      <c r="AJ836" s="24"/>
      <c r="AK836" s="24"/>
      <c r="AL836" s="24"/>
      <c r="AM836" s="24"/>
    </row>
    <row r="837">
      <c r="A837" s="11"/>
      <c r="B837" s="12" t="s">
        <v>34</v>
      </c>
      <c r="C837" s="12" t="s">
        <v>65</v>
      </c>
      <c r="D837" s="12" t="s">
        <v>83</v>
      </c>
      <c r="E837" s="12" t="s">
        <v>632</v>
      </c>
      <c r="F837" s="13" t="s">
        <v>633</v>
      </c>
      <c r="G837" s="12" t="s">
        <v>68</v>
      </c>
      <c r="H837" s="12" t="s">
        <v>634</v>
      </c>
      <c r="I837" s="12" t="s">
        <v>635</v>
      </c>
      <c r="J837" s="17" t="s">
        <v>112</v>
      </c>
      <c r="K837" s="17" t="s">
        <v>113</v>
      </c>
      <c r="L837" s="100" t="s">
        <v>1842</v>
      </c>
      <c r="M837" s="20">
        <v>45966.0</v>
      </c>
      <c r="N837" s="17" t="s">
        <v>428</v>
      </c>
      <c r="O837" s="88" t="s">
        <v>1519</v>
      </c>
      <c r="P837" s="88" t="s">
        <v>1520</v>
      </c>
      <c r="Q837" s="88" t="s">
        <v>1521</v>
      </c>
      <c r="R837" s="88" t="s">
        <v>1520</v>
      </c>
      <c r="S837" s="88" t="s">
        <v>1520</v>
      </c>
      <c r="T837" s="88" t="s">
        <v>1520</v>
      </c>
      <c r="U837" s="88" t="s">
        <v>1520</v>
      </c>
      <c r="V837" s="88" t="s">
        <v>1520</v>
      </c>
      <c r="W837" s="88" t="s">
        <v>1520</v>
      </c>
      <c r="X837" s="88" t="s">
        <v>1521</v>
      </c>
      <c r="Y837" s="88" t="s">
        <v>1520</v>
      </c>
      <c r="Z837" s="88" t="s">
        <v>1519</v>
      </c>
      <c r="AA837" s="88" t="s">
        <v>1520</v>
      </c>
      <c r="AB837" s="88" t="s">
        <v>1520</v>
      </c>
      <c r="AC837" s="88" t="s">
        <v>1520</v>
      </c>
      <c r="AD837" s="89"/>
      <c r="AE837" s="18" t="s">
        <v>638</v>
      </c>
      <c r="AF837" s="24"/>
      <c r="AG837" s="24"/>
      <c r="AH837" s="24"/>
      <c r="AI837" s="24"/>
      <c r="AJ837" s="24"/>
      <c r="AK837" s="24"/>
      <c r="AL837" s="24"/>
      <c r="AM837" s="24"/>
    </row>
    <row r="838">
      <c r="A838" s="11"/>
      <c r="B838" s="12" t="s">
        <v>34</v>
      </c>
      <c r="C838" s="12" t="s">
        <v>65</v>
      </c>
      <c r="D838" s="12" t="s">
        <v>83</v>
      </c>
      <c r="E838" s="12" t="s">
        <v>632</v>
      </c>
      <c r="F838" s="13" t="s">
        <v>633</v>
      </c>
      <c r="G838" s="12" t="s">
        <v>68</v>
      </c>
      <c r="H838" s="12" t="s">
        <v>634</v>
      </c>
      <c r="I838" s="12" t="s">
        <v>635</v>
      </c>
      <c r="J838" s="17" t="s">
        <v>112</v>
      </c>
      <c r="K838" s="17" t="s">
        <v>113</v>
      </c>
      <c r="L838" s="100" t="s">
        <v>1843</v>
      </c>
      <c r="M838" s="20">
        <v>45966.0</v>
      </c>
      <c r="N838" s="17" t="s">
        <v>428</v>
      </c>
      <c r="O838" s="88" t="s">
        <v>1519</v>
      </c>
      <c r="P838" s="88" t="s">
        <v>1520</v>
      </c>
      <c r="Q838" s="88" t="s">
        <v>1519</v>
      </c>
      <c r="R838" s="88" t="s">
        <v>1520</v>
      </c>
      <c r="S838" s="88" t="s">
        <v>1520</v>
      </c>
      <c r="T838" s="88" t="s">
        <v>1520</v>
      </c>
      <c r="U838" s="88" t="s">
        <v>1520</v>
      </c>
      <c r="V838" s="88" t="s">
        <v>1520</v>
      </c>
      <c r="W838" s="88" t="s">
        <v>1520</v>
      </c>
      <c r="X838" s="88" t="s">
        <v>1519</v>
      </c>
      <c r="Y838" s="88" t="s">
        <v>1520</v>
      </c>
      <c r="Z838" s="88" t="s">
        <v>1520</v>
      </c>
      <c r="AA838" s="88" t="s">
        <v>1520</v>
      </c>
      <c r="AB838" s="88" t="s">
        <v>1520</v>
      </c>
      <c r="AC838" s="88" t="s">
        <v>1520</v>
      </c>
      <c r="AD838" s="89"/>
      <c r="AE838" s="18" t="s">
        <v>638</v>
      </c>
      <c r="AF838" s="24"/>
      <c r="AG838" s="24"/>
      <c r="AH838" s="24"/>
      <c r="AI838" s="24"/>
      <c r="AJ838" s="24"/>
      <c r="AK838" s="24"/>
      <c r="AL838" s="24"/>
      <c r="AM838" s="24"/>
    </row>
    <row r="839">
      <c r="A839" s="11"/>
      <c r="B839" s="12" t="s">
        <v>34</v>
      </c>
      <c r="C839" s="12" t="s">
        <v>65</v>
      </c>
      <c r="D839" s="12" t="s">
        <v>83</v>
      </c>
      <c r="E839" s="12" t="s">
        <v>632</v>
      </c>
      <c r="F839" s="13" t="s">
        <v>633</v>
      </c>
      <c r="G839" s="12" t="s">
        <v>68</v>
      </c>
      <c r="H839" s="12" t="s">
        <v>634</v>
      </c>
      <c r="I839" s="12" t="s">
        <v>635</v>
      </c>
      <c r="J839" s="17" t="s">
        <v>112</v>
      </c>
      <c r="K839" s="17" t="s">
        <v>113</v>
      </c>
      <c r="L839" s="100" t="s">
        <v>1844</v>
      </c>
      <c r="M839" s="20">
        <v>45966.0</v>
      </c>
      <c r="N839" s="17" t="s">
        <v>428</v>
      </c>
      <c r="O839" s="88" t="s">
        <v>1519</v>
      </c>
      <c r="P839" s="88" t="s">
        <v>1520</v>
      </c>
      <c r="Q839" s="88" t="s">
        <v>1520</v>
      </c>
      <c r="R839" s="88" t="s">
        <v>1519</v>
      </c>
      <c r="S839" s="88" t="s">
        <v>1520</v>
      </c>
      <c r="T839" s="88" t="s">
        <v>1520</v>
      </c>
      <c r="U839" s="88" t="s">
        <v>1520</v>
      </c>
      <c r="V839" s="88" t="s">
        <v>1520</v>
      </c>
      <c r="W839" s="88" t="s">
        <v>1520</v>
      </c>
      <c r="X839" s="88" t="s">
        <v>1521</v>
      </c>
      <c r="Y839" s="88" t="s">
        <v>1520</v>
      </c>
      <c r="Z839" s="88" t="s">
        <v>1519</v>
      </c>
      <c r="AA839" s="88" t="s">
        <v>1520</v>
      </c>
      <c r="AB839" s="88" t="s">
        <v>1519</v>
      </c>
      <c r="AC839" s="88" t="s">
        <v>1520</v>
      </c>
      <c r="AD839" s="89"/>
      <c r="AE839" s="18" t="s">
        <v>638</v>
      </c>
      <c r="AF839" s="24"/>
      <c r="AG839" s="24"/>
      <c r="AH839" s="24"/>
      <c r="AI839" s="24"/>
      <c r="AJ839" s="24"/>
      <c r="AK839" s="24"/>
      <c r="AL839" s="24"/>
      <c r="AM839" s="24"/>
    </row>
    <row r="840">
      <c r="A840" s="11"/>
      <c r="B840" s="12" t="s">
        <v>34</v>
      </c>
      <c r="C840" s="12" t="s">
        <v>65</v>
      </c>
      <c r="D840" s="12" t="s">
        <v>83</v>
      </c>
      <c r="E840" s="12" t="s">
        <v>632</v>
      </c>
      <c r="F840" s="13" t="s">
        <v>633</v>
      </c>
      <c r="G840" s="12" t="s">
        <v>68</v>
      </c>
      <c r="H840" s="12" t="s">
        <v>634</v>
      </c>
      <c r="I840" s="12" t="s">
        <v>635</v>
      </c>
      <c r="J840" s="17" t="s">
        <v>112</v>
      </c>
      <c r="K840" s="17" t="s">
        <v>113</v>
      </c>
      <c r="L840" s="100" t="s">
        <v>1845</v>
      </c>
      <c r="M840" s="20">
        <v>45966.0</v>
      </c>
      <c r="N840" s="17" t="s">
        <v>428</v>
      </c>
      <c r="O840" s="88" t="s">
        <v>1519</v>
      </c>
      <c r="P840" s="88" t="s">
        <v>1520</v>
      </c>
      <c r="Q840" s="88" t="s">
        <v>1520</v>
      </c>
      <c r="R840" s="88" t="s">
        <v>1520</v>
      </c>
      <c r="S840" s="88" t="s">
        <v>1520</v>
      </c>
      <c r="T840" s="88" t="s">
        <v>1520</v>
      </c>
      <c r="U840" s="88" t="s">
        <v>1520</v>
      </c>
      <c r="V840" s="88" t="s">
        <v>1520</v>
      </c>
      <c r="W840" s="88" t="s">
        <v>1520</v>
      </c>
      <c r="X840" s="88" t="s">
        <v>1520</v>
      </c>
      <c r="Y840" s="88" t="s">
        <v>1520</v>
      </c>
      <c r="Z840" s="88" t="s">
        <v>1519</v>
      </c>
      <c r="AA840" s="88" t="s">
        <v>1520</v>
      </c>
      <c r="AB840" s="88" t="s">
        <v>1520</v>
      </c>
      <c r="AC840" s="88" t="s">
        <v>1520</v>
      </c>
      <c r="AD840" s="89"/>
      <c r="AE840" s="18" t="s">
        <v>638</v>
      </c>
      <c r="AF840" s="24"/>
      <c r="AG840" s="24"/>
      <c r="AH840" s="24"/>
      <c r="AI840" s="24"/>
      <c r="AJ840" s="24"/>
      <c r="AK840" s="24"/>
      <c r="AL840" s="24"/>
      <c r="AM840" s="24"/>
    </row>
    <row r="841">
      <c r="A841" s="11"/>
      <c r="B841" s="12" t="s">
        <v>34</v>
      </c>
      <c r="C841" s="12" t="s">
        <v>65</v>
      </c>
      <c r="D841" s="12" t="s">
        <v>83</v>
      </c>
      <c r="E841" s="12" t="s">
        <v>632</v>
      </c>
      <c r="F841" s="13" t="s">
        <v>633</v>
      </c>
      <c r="G841" s="12" t="s">
        <v>68</v>
      </c>
      <c r="H841" s="12" t="s">
        <v>634</v>
      </c>
      <c r="I841" s="12" t="s">
        <v>635</v>
      </c>
      <c r="J841" s="17" t="s">
        <v>112</v>
      </c>
      <c r="K841" s="17" t="s">
        <v>113</v>
      </c>
      <c r="L841" s="100" t="s">
        <v>1846</v>
      </c>
      <c r="M841" s="20">
        <v>45966.0</v>
      </c>
      <c r="N841" s="17" t="s">
        <v>428</v>
      </c>
      <c r="O841" s="88" t="s">
        <v>1519</v>
      </c>
      <c r="P841" s="88" t="s">
        <v>1520</v>
      </c>
      <c r="Q841" s="88" t="s">
        <v>1520</v>
      </c>
      <c r="R841" s="88" t="s">
        <v>1520</v>
      </c>
      <c r="S841" s="88" t="s">
        <v>1520</v>
      </c>
      <c r="T841" s="88" t="s">
        <v>1520</v>
      </c>
      <c r="U841" s="88" t="s">
        <v>1520</v>
      </c>
      <c r="V841" s="88" t="s">
        <v>1520</v>
      </c>
      <c r="W841" s="88" t="s">
        <v>1520</v>
      </c>
      <c r="X841" s="88" t="s">
        <v>1519</v>
      </c>
      <c r="Y841" s="88" t="s">
        <v>1520</v>
      </c>
      <c r="Z841" s="88" t="s">
        <v>1519</v>
      </c>
      <c r="AA841" s="88" t="s">
        <v>1520</v>
      </c>
      <c r="AB841" s="88" t="s">
        <v>1520</v>
      </c>
      <c r="AC841" s="88" t="s">
        <v>1520</v>
      </c>
      <c r="AD841" s="89"/>
      <c r="AE841" s="18" t="s">
        <v>638</v>
      </c>
      <c r="AF841" s="24"/>
      <c r="AG841" s="24"/>
      <c r="AH841" s="24"/>
      <c r="AI841" s="24"/>
      <c r="AJ841" s="24"/>
      <c r="AK841" s="24"/>
      <c r="AL841" s="24"/>
      <c r="AM841" s="24"/>
    </row>
    <row r="842">
      <c r="A842" s="11"/>
      <c r="B842" s="12" t="s">
        <v>34</v>
      </c>
      <c r="C842" s="12" t="s">
        <v>65</v>
      </c>
      <c r="D842" s="12" t="s">
        <v>83</v>
      </c>
      <c r="E842" s="12" t="s">
        <v>632</v>
      </c>
      <c r="F842" s="13" t="s">
        <v>633</v>
      </c>
      <c r="G842" s="12" t="s">
        <v>68</v>
      </c>
      <c r="H842" s="12" t="s">
        <v>634</v>
      </c>
      <c r="I842" s="12" t="s">
        <v>635</v>
      </c>
      <c r="J842" s="17" t="s">
        <v>112</v>
      </c>
      <c r="K842" s="17" t="s">
        <v>113</v>
      </c>
      <c r="L842" s="100" t="s">
        <v>1847</v>
      </c>
      <c r="M842" s="20">
        <v>45966.0</v>
      </c>
      <c r="N842" s="17" t="s">
        <v>428</v>
      </c>
      <c r="O842" s="88" t="s">
        <v>1519</v>
      </c>
      <c r="P842" s="88" t="s">
        <v>1520</v>
      </c>
      <c r="Q842" s="88" t="s">
        <v>1520</v>
      </c>
      <c r="R842" s="88" t="s">
        <v>1521</v>
      </c>
      <c r="S842" s="88" t="s">
        <v>1520</v>
      </c>
      <c r="T842" s="88" t="s">
        <v>1520</v>
      </c>
      <c r="U842" s="88" t="s">
        <v>1520</v>
      </c>
      <c r="V842" s="88" t="s">
        <v>1520</v>
      </c>
      <c r="W842" s="88" t="s">
        <v>1520</v>
      </c>
      <c r="X842" s="88" t="s">
        <v>1520</v>
      </c>
      <c r="Y842" s="88" t="s">
        <v>1520</v>
      </c>
      <c r="Z842" s="88" t="s">
        <v>1520</v>
      </c>
      <c r="AA842" s="88" t="s">
        <v>1520</v>
      </c>
      <c r="AB842" s="88" t="s">
        <v>1519</v>
      </c>
      <c r="AC842" s="88" t="s">
        <v>1520</v>
      </c>
      <c r="AD842" s="89"/>
      <c r="AE842" s="18" t="s">
        <v>638</v>
      </c>
      <c r="AF842" s="24"/>
      <c r="AG842" s="24"/>
      <c r="AH842" s="24"/>
      <c r="AI842" s="24"/>
      <c r="AJ842" s="24"/>
      <c r="AK842" s="24"/>
      <c r="AL842" s="24"/>
      <c r="AM842" s="24"/>
    </row>
    <row r="843">
      <c r="A843" s="11"/>
      <c r="B843" s="12" t="s">
        <v>34</v>
      </c>
      <c r="C843" s="12" t="s">
        <v>65</v>
      </c>
      <c r="D843" s="12" t="s">
        <v>83</v>
      </c>
      <c r="E843" s="12" t="s">
        <v>632</v>
      </c>
      <c r="F843" s="13" t="s">
        <v>633</v>
      </c>
      <c r="G843" s="12" t="s">
        <v>68</v>
      </c>
      <c r="H843" s="12" t="s">
        <v>634</v>
      </c>
      <c r="I843" s="12" t="s">
        <v>635</v>
      </c>
      <c r="J843" s="17" t="s">
        <v>112</v>
      </c>
      <c r="K843" s="17" t="s">
        <v>113</v>
      </c>
      <c r="L843" s="100" t="s">
        <v>1848</v>
      </c>
      <c r="M843" s="20">
        <v>45966.0</v>
      </c>
      <c r="N843" s="17" t="s">
        <v>428</v>
      </c>
      <c r="O843" s="88" t="s">
        <v>1519</v>
      </c>
      <c r="P843" s="88" t="s">
        <v>1520</v>
      </c>
      <c r="Q843" s="88" t="s">
        <v>1520</v>
      </c>
      <c r="R843" s="88" t="s">
        <v>1521</v>
      </c>
      <c r="S843" s="88" t="s">
        <v>1520</v>
      </c>
      <c r="T843" s="88" t="s">
        <v>1520</v>
      </c>
      <c r="U843" s="88" t="s">
        <v>1520</v>
      </c>
      <c r="V843" s="88" t="s">
        <v>1520</v>
      </c>
      <c r="W843" s="88" t="s">
        <v>1520</v>
      </c>
      <c r="X843" s="88" t="s">
        <v>1520</v>
      </c>
      <c r="Y843" s="88" t="s">
        <v>1520</v>
      </c>
      <c r="Z843" s="88" t="s">
        <v>1520</v>
      </c>
      <c r="AA843" s="88" t="s">
        <v>1520</v>
      </c>
      <c r="AB843" s="88" t="s">
        <v>1520</v>
      </c>
      <c r="AC843" s="88" t="s">
        <v>1520</v>
      </c>
      <c r="AD843" s="89"/>
      <c r="AE843" s="18" t="s">
        <v>638</v>
      </c>
      <c r="AF843" s="24"/>
      <c r="AG843" s="24"/>
      <c r="AH843" s="24"/>
      <c r="AI843" s="24"/>
      <c r="AJ843" s="24"/>
      <c r="AK843" s="24"/>
      <c r="AL843" s="24"/>
      <c r="AM843" s="24"/>
    </row>
    <row r="844">
      <c r="A844" s="11"/>
      <c r="B844" s="12" t="s">
        <v>34</v>
      </c>
      <c r="C844" s="12" t="s">
        <v>65</v>
      </c>
      <c r="D844" s="12" t="s">
        <v>83</v>
      </c>
      <c r="E844" s="12" t="s">
        <v>632</v>
      </c>
      <c r="F844" s="13" t="s">
        <v>633</v>
      </c>
      <c r="G844" s="12" t="s">
        <v>68</v>
      </c>
      <c r="H844" s="12" t="s">
        <v>634</v>
      </c>
      <c r="I844" s="12" t="s">
        <v>635</v>
      </c>
      <c r="J844" s="17" t="s">
        <v>108</v>
      </c>
      <c r="K844" s="17" t="s">
        <v>109</v>
      </c>
      <c r="L844" s="100" t="s">
        <v>1849</v>
      </c>
      <c r="M844" s="20">
        <v>45966.0</v>
      </c>
      <c r="N844" s="17" t="s">
        <v>428</v>
      </c>
      <c r="O844" s="88" t="s">
        <v>1519</v>
      </c>
      <c r="P844" s="88" t="s">
        <v>1520</v>
      </c>
      <c r="Q844" s="88" t="s">
        <v>1520</v>
      </c>
      <c r="R844" s="88" t="s">
        <v>1519</v>
      </c>
      <c r="S844" s="88" t="s">
        <v>1520</v>
      </c>
      <c r="T844" s="88" t="s">
        <v>1520</v>
      </c>
      <c r="U844" s="88" t="s">
        <v>1520</v>
      </c>
      <c r="V844" s="88" t="s">
        <v>1520</v>
      </c>
      <c r="W844" s="88" t="s">
        <v>1520</v>
      </c>
      <c r="X844" s="88" t="s">
        <v>1520</v>
      </c>
      <c r="Y844" s="88" t="s">
        <v>1520</v>
      </c>
      <c r="Z844" s="88" t="s">
        <v>1520</v>
      </c>
      <c r="AA844" s="88" t="s">
        <v>1520</v>
      </c>
      <c r="AB844" s="88" t="s">
        <v>1519</v>
      </c>
      <c r="AC844" s="88" t="s">
        <v>1520</v>
      </c>
      <c r="AD844" s="89"/>
      <c r="AE844" s="18" t="s">
        <v>638</v>
      </c>
      <c r="AF844" s="24"/>
      <c r="AG844" s="24"/>
      <c r="AH844" s="24"/>
      <c r="AI844" s="24"/>
      <c r="AJ844" s="24"/>
      <c r="AK844" s="24"/>
      <c r="AL844" s="24"/>
      <c r="AM844" s="24"/>
    </row>
    <row r="845">
      <c r="A845" s="11"/>
      <c r="B845" s="12" t="s">
        <v>34</v>
      </c>
      <c r="C845" s="12" t="s">
        <v>65</v>
      </c>
      <c r="D845" s="12" t="s">
        <v>83</v>
      </c>
      <c r="E845" s="12" t="s">
        <v>632</v>
      </c>
      <c r="F845" s="13" t="s">
        <v>633</v>
      </c>
      <c r="G845" s="12" t="s">
        <v>68</v>
      </c>
      <c r="H845" s="12" t="s">
        <v>634</v>
      </c>
      <c r="I845" s="12" t="s">
        <v>635</v>
      </c>
      <c r="J845" s="17" t="s">
        <v>108</v>
      </c>
      <c r="K845" s="17" t="s">
        <v>109</v>
      </c>
      <c r="L845" s="100" t="s">
        <v>1850</v>
      </c>
      <c r="M845" s="20">
        <v>45966.0</v>
      </c>
      <c r="N845" s="17" t="s">
        <v>428</v>
      </c>
      <c r="O845" s="88" t="s">
        <v>1519</v>
      </c>
      <c r="P845" s="88" t="s">
        <v>1520</v>
      </c>
      <c r="Q845" s="88" t="s">
        <v>1520</v>
      </c>
      <c r="R845" s="88" t="s">
        <v>1520</v>
      </c>
      <c r="S845" s="88" t="s">
        <v>1520</v>
      </c>
      <c r="T845" s="88" t="s">
        <v>1521</v>
      </c>
      <c r="U845" s="88" t="s">
        <v>1520</v>
      </c>
      <c r="V845" s="88" t="s">
        <v>1520</v>
      </c>
      <c r="W845" s="88" t="s">
        <v>1520</v>
      </c>
      <c r="X845" s="88" t="s">
        <v>1520</v>
      </c>
      <c r="Y845" s="88" t="s">
        <v>1520</v>
      </c>
      <c r="Z845" s="88" t="s">
        <v>1521</v>
      </c>
      <c r="AA845" s="88" t="s">
        <v>1520</v>
      </c>
      <c r="AB845" s="88" t="s">
        <v>1520</v>
      </c>
      <c r="AC845" s="88" t="s">
        <v>1520</v>
      </c>
      <c r="AD845" s="89"/>
      <c r="AE845" s="18" t="s">
        <v>638</v>
      </c>
      <c r="AF845" s="24"/>
      <c r="AG845" s="24"/>
      <c r="AH845" s="24"/>
      <c r="AI845" s="24"/>
      <c r="AJ845" s="24"/>
      <c r="AK845" s="24"/>
      <c r="AL845" s="24"/>
      <c r="AM845" s="24"/>
    </row>
    <row r="846">
      <c r="A846" s="11"/>
      <c r="B846" s="12" t="s">
        <v>34</v>
      </c>
      <c r="C846" s="12" t="s">
        <v>65</v>
      </c>
      <c r="D846" s="12" t="s">
        <v>83</v>
      </c>
      <c r="E846" s="12" t="s">
        <v>632</v>
      </c>
      <c r="F846" s="13" t="s">
        <v>633</v>
      </c>
      <c r="G846" s="12" t="s">
        <v>68</v>
      </c>
      <c r="H846" s="12" t="s">
        <v>634</v>
      </c>
      <c r="I846" s="12" t="s">
        <v>635</v>
      </c>
      <c r="J846" s="17" t="s">
        <v>108</v>
      </c>
      <c r="K846" s="17" t="s">
        <v>109</v>
      </c>
      <c r="L846" s="100" t="s">
        <v>1851</v>
      </c>
      <c r="M846" s="20">
        <v>45966.0</v>
      </c>
      <c r="N846" s="17" t="s">
        <v>428</v>
      </c>
      <c r="O846" s="88" t="s">
        <v>1519</v>
      </c>
      <c r="P846" s="88" t="s">
        <v>1520</v>
      </c>
      <c r="Q846" s="88" t="s">
        <v>1519</v>
      </c>
      <c r="R846" s="88" t="s">
        <v>1519</v>
      </c>
      <c r="S846" s="88" t="s">
        <v>1520</v>
      </c>
      <c r="T846" s="88" t="s">
        <v>1519</v>
      </c>
      <c r="U846" s="88" t="s">
        <v>1520</v>
      </c>
      <c r="V846" s="88" t="s">
        <v>1520</v>
      </c>
      <c r="W846" s="88" t="s">
        <v>1519</v>
      </c>
      <c r="X846" s="88" t="s">
        <v>1519</v>
      </c>
      <c r="Y846" s="88" t="s">
        <v>1520</v>
      </c>
      <c r="Z846" s="88" t="s">
        <v>1519</v>
      </c>
      <c r="AA846" s="88" t="s">
        <v>1520</v>
      </c>
      <c r="AB846" s="88" t="s">
        <v>1519</v>
      </c>
      <c r="AC846" s="88" t="s">
        <v>1519</v>
      </c>
      <c r="AD846" s="89"/>
      <c r="AE846" s="18" t="s">
        <v>638</v>
      </c>
      <c r="AF846" s="24"/>
      <c r="AG846" s="24"/>
      <c r="AH846" s="24"/>
      <c r="AI846" s="24"/>
      <c r="AJ846" s="24"/>
      <c r="AK846" s="24"/>
      <c r="AL846" s="24"/>
      <c r="AM846" s="24"/>
    </row>
    <row r="847">
      <c r="A847" s="11"/>
      <c r="B847" s="12" t="s">
        <v>34</v>
      </c>
      <c r="C847" s="12" t="s">
        <v>65</v>
      </c>
      <c r="D847" s="12" t="s">
        <v>83</v>
      </c>
      <c r="E847" s="12" t="s">
        <v>632</v>
      </c>
      <c r="F847" s="13" t="s">
        <v>633</v>
      </c>
      <c r="G847" s="12" t="s">
        <v>68</v>
      </c>
      <c r="H847" s="12" t="s">
        <v>634</v>
      </c>
      <c r="I847" s="12" t="s">
        <v>635</v>
      </c>
      <c r="J847" s="17" t="s">
        <v>108</v>
      </c>
      <c r="K847" s="17" t="s">
        <v>109</v>
      </c>
      <c r="L847" s="100" t="s">
        <v>1852</v>
      </c>
      <c r="M847" s="20">
        <v>45966.0</v>
      </c>
      <c r="N847" s="17" t="s">
        <v>428</v>
      </c>
      <c r="O847" s="88" t="s">
        <v>1519</v>
      </c>
      <c r="P847" s="88" t="s">
        <v>1521</v>
      </c>
      <c r="Q847" s="88" t="s">
        <v>1521</v>
      </c>
      <c r="R847" s="88" t="s">
        <v>1520</v>
      </c>
      <c r="S847" s="88" t="s">
        <v>1520</v>
      </c>
      <c r="T847" s="88" t="s">
        <v>1519</v>
      </c>
      <c r="U847" s="88" t="s">
        <v>1521</v>
      </c>
      <c r="V847" s="88" t="s">
        <v>1521</v>
      </c>
      <c r="W847" s="88" t="s">
        <v>1521</v>
      </c>
      <c r="X847" s="88" t="s">
        <v>1521</v>
      </c>
      <c r="Y847" s="88" t="s">
        <v>1520</v>
      </c>
      <c r="Z847" s="88" t="s">
        <v>1521</v>
      </c>
      <c r="AA847" s="88" t="s">
        <v>1519</v>
      </c>
      <c r="AB847" s="88" t="s">
        <v>1521</v>
      </c>
      <c r="AC847" s="88" t="s">
        <v>1520</v>
      </c>
      <c r="AD847" s="89"/>
      <c r="AE847" s="18" t="s">
        <v>638</v>
      </c>
      <c r="AF847" s="24"/>
      <c r="AG847" s="24"/>
      <c r="AH847" s="24"/>
      <c r="AI847" s="24"/>
      <c r="AJ847" s="24"/>
      <c r="AK847" s="24"/>
      <c r="AL847" s="24"/>
      <c r="AM847" s="24"/>
    </row>
    <row r="848">
      <c r="A848" s="11"/>
      <c r="B848" s="12" t="s">
        <v>34</v>
      </c>
      <c r="C848" s="12" t="s">
        <v>65</v>
      </c>
      <c r="D848" s="12" t="s">
        <v>43</v>
      </c>
      <c r="E848" s="12" t="s">
        <v>717</v>
      </c>
      <c r="F848" s="13" t="s">
        <v>718</v>
      </c>
      <c r="G848" s="12" t="s">
        <v>68</v>
      </c>
      <c r="H848" s="12" t="s">
        <v>719</v>
      </c>
      <c r="I848" s="12" t="s">
        <v>720</v>
      </c>
      <c r="J848" s="17" t="s">
        <v>73</v>
      </c>
      <c r="K848" s="17" t="s">
        <v>74</v>
      </c>
      <c r="L848" s="100" t="s">
        <v>1853</v>
      </c>
      <c r="M848" s="20">
        <v>45965.0</v>
      </c>
      <c r="N848" s="17" t="s">
        <v>428</v>
      </c>
      <c r="O848" s="88" t="s">
        <v>1520</v>
      </c>
      <c r="P848" s="88" t="s">
        <v>1520</v>
      </c>
      <c r="Q848" s="88" t="s">
        <v>1520</v>
      </c>
      <c r="R848" s="88" t="s">
        <v>1521</v>
      </c>
      <c r="S848" s="88" t="s">
        <v>1520</v>
      </c>
      <c r="T848" s="88" t="s">
        <v>1520</v>
      </c>
      <c r="U848" s="88" t="s">
        <v>1520</v>
      </c>
      <c r="V848" s="88" t="s">
        <v>1520</v>
      </c>
      <c r="W848" s="88" t="s">
        <v>1520</v>
      </c>
      <c r="X848" s="88" t="s">
        <v>1520</v>
      </c>
      <c r="Y848" s="88" t="s">
        <v>1520</v>
      </c>
      <c r="Z848" s="88" t="s">
        <v>1520</v>
      </c>
      <c r="AA848" s="88" t="s">
        <v>1520</v>
      </c>
      <c r="AB848" s="88" t="s">
        <v>1520</v>
      </c>
      <c r="AC848" s="88" t="s">
        <v>1520</v>
      </c>
      <c r="AD848" s="89"/>
      <c r="AE848" s="18" t="s">
        <v>638</v>
      </c>
      <c r="AF848" s="24"/>
      <c r="AG848" s="24"/>
      <c r="AH848" s="24"/>
      <c r="AI848" s="24"/>
      <c r="AJ848" s="24"/>
      <c r="AK848" s="24"/>
      <c r="AL848" s="24"/>
      <c r="AM848" s="24"/>
    </row>
    <row r="849">
      <c r="A849" s="11"/>
      <c r="B849" s="12" t="s">
        <v>34</v>
      </c>
      <c r="C849" s="12" t="s">
        <v>65</v>
      </c>
      <c r="D849" s="12" t="s">
        <v>43</v>
      </c>
      <c r="E849" s="12" t="s">
        <v>717</v>
      </c>
      <c r="F849" s="13" t="s">
        <v>718</v>
      </c>
      <c r="G849" s="12" t="s">
        <v>68</v>
      </c>
      <c r="H849" s="12" t="s">
        <v>719</v>
      </c>
      <c r="I849" s="12" t="s">
        <v>720</v>
      </c>
      <c r="J849" s="17" t="s">
        <v>73</v>
      </c>
      <c r="K849" s="17" t="s">
        <v>74</v>
      </c>
      <c r="L849" s="100" t="s">
        <v>1854</v>
      </c>
      <c r="M849" s="20">
        <v>45965.0</v>
      </c>
      <c r="N849" s="17" t="s">
        <v>428</v>
      </c>
      <c r="O849" s="88" t="s">
        <v>1520</v>
      </c>
      <c r="P849" s="88" t="s">
        <v>1520</v>
      </c>
      <c r="Q849" s="88" t="s">
        <v>1520</v>
      </c>
      <c r="R849" s="88" t="s">
        <v>1520</v>
      </c>
      <c r="S849" s="88" t="s">
        <v>1520</v>
      </c>
      <c r="T849" s="88" t="s">
        <v>1520</v>
      </c>
      <c r="U849" s="88" t="s">
        <v>1521</v>
      </c>
      <c r="V849" s="88" t="s">
        <v>1520</v>
      </c>
      <c r="W849" s="88" t="s">
        <v>1521</v>
      </c>
      <c r="X849" s="88" t="s">
        <v>1519</v>
      </c>
      <c r="Y849" s="88" t="s">
        <v>1520</v>
      </c>
      <c r="Z849" s="88" t="s">
        <v>1520</v>
      </c>
      <c r="AA849" s="88" t="s">
        <v>1520</v>
      </c>
      <c r="AB849" s="88" t="s">
        <v>1520</v>
      </c>
      <c r="AC849" s="88" t="s">
        <v>1520</v>
      </c>
      <c r="AD849" s="89"/>
      <c r="AE849" s="18" t="s">
        <v>638</v>
      </c>
      <c r="AF849" s="24"/>
      <c r="AG849" s="24"/>
      <c r="AH849" s="24"/>
      <c r="AI849" s="24"/>
      <c r="AJ849" s="24"/>
      <c r="AK849" s="24"/>
      <c r="AL849" s="24"/>
      <c r="AM849" s="24"/>
    </row>
    <row r="850">
      <c r="A850" s="11"/>
      <c r="B850" s="12" t="s">
        <v>34</v>
      </c>
      <c r="C850" s="12" t="s">
        <v>65</v>
      </c>
      <c r="D850" s="12" t="s">
        <v>43</v>
      </c>
      <c r="E850" s="12" t="s">
        <v>717</v>
      </c>
      <c r="F850" s="13" t="s">
        <v>718</v>
      </c>
      <c r="G850" s="12" t="s">
        <v>68</v>
      </c>
      <c r="H850" s="12" t="s">
        <v>719</v>
      </c>
      <c r="I850" s="12" t="s">
        <v>720</v>
      </c>
      <c r="J850" s="17" t="s">
        <v>73</v>
      </c>
      <c r="K850" s="17" t="s">
        <v>74</v>
      </c>
      <c r="L850" s="100" t="s">
        <v>1855</v>
      </c>
      <c r="M850" s="20">
        <v>45965.0</v>
      </c>
      <c r="N850" s="17" t="s">
        <v>428</v>
      </c>
      <c r="O850" s="88" t="s">
        <v>1520</v>
      </c>
      <c r="P850" s="88" t="s">
        <v>1520</v>
      </c>
      <c r="Q850" s="88" t="s">
        <v>1520</v>
      </c>
      <c r="R850" s="88" t="s">
        <v>1520</v>
      </c>
      <c r="S850" s="88" t="s">
        <v>1520</v>
      </c>
      <c r="T850" s="88" t="s">
        <v>1521</v>
      </c>
      <c r="U850" s="88" t="s">
        <v>1520</v>
      </c>
      <c r="V850" s="88" t="s">
        <v>1520</v>
      </c>
      <c r="W850" s="88" t="s">
        <v>1521</v>
      </c>
      <c r="X850" s="88" t="s">
        <v>1521</v>
      </c>
      <c r="Y850" s="88" t="s">
        <v>1520</v>
      </c>
      <c r="Z850" s="88" t="s">
        <v>1520</v>
      </c>
      <c r="AA850" s="88" t="s">
        <v>1520</v>
      </c>
      <c r="AB850" s="88" t="s">
        <v>1519</v>
      </c>
      <c r="AC850" s="88" t="s">
        <v>1520</v>
      </c>
      <c r="AD850" s="89"/>
      <c r="AE850" s="18" t="s">
        <v>638</v>
      </c>
      <c r="AF850" s="24"/>
      <c r="AG850" s="24"/>
      <c r="AH850" s="24"/>
      <c r="AI850" s="24"/>
      <c r="AJ850" s="24"/>
      <c r="AK850" s="24"/>
      <c r="AL850" s="24"/>
      <c r="AM850" s="24"/>
    </row>
    <row r="851">
      <c r="A851" s="11"/>
      <c r="B851" s="12" t="s">
        <v>34</v>
      </c>
      <c r="C851" s="12" t="s">
        <v>65</v>
      </c>
      <c r="D851" s="12" t="s">
        <v>43</v>
      </c>
      <c r="E851" s="12" t="s">
        <v>717</v>
      </c>
      <c r="F851" s="13" t="s">
        <v>718</v>
      </c>
      <c r="G851" s="12" t="s">
        <v>68</v>
      </c>
      <c r="H851" s="12" t="s">
        <v>719</v>
      </c>
      <c r="I851" s="12" t="s">
        <v>720</v>
      </c>
      <c r="J851" s="17" t="s">
        <v>73</v>
      </c>
      <c r="K851" s="17" t="s">
        <v>74</v>
      </c>
      <c r="L851" s="100" t="s">
        <v>1856</v>
      </c>
      <c r="M851" s="20">
        <v>45965.0</v>
      </c>
      <c r="N851" s="17" t="s">
        <v>428</v>
      </c>
      <c r="O851" s="88" t="s">
        <v>1520</v>
      </c>
      <c r="P851" s="88" t="s">
        <v>1520</v>
      </c>
      <c r="Q851" s="88" t="s">
        <v>1520</v>
      </c>
      <c r="R851" s="88" t="s">
        <v>1520</v>
      </c>
      <c r="S851" s="88" t="s">
        <v>1520</v>
      </c>
      <c r="T851" s="88" t="s">
        <v>1521</v>
      </c>
      <c r="U851" s="88" t="s">
        <v>1520</v>
      </c>
      <c r="V851" s="88" t="s">
        <v>1520</v>
      </c>
      <c r="W851" s="88" t="s">
        <v>1521</v>
      </c>
      <c r="X851" s="88" t="s">
        <v>1521</v>
      </c>
      <c r="Y851" s="88" t="s">
        <v>1520</v>
      </c>
      <c r="Z851" s="88" t="s">
        <v>1521</v>
      </c>
      <c r="AA851" s="88" t="s">
        <v>1520</v>
      </c>
      <c r="AB851" s="88" t="s">
        <v>1520</v>
      </c>
      <c r="AC851" s="88" t="s">
        <v>1520</v>
      </c>
      <c r="AD851" s="89"/>
      <c r="AE851" s="18" t="s">
        <v>638</v>
      </c>
      <c r="AF851" s="24"/>
      <c r="AG851" s="24"/>
      <c r="AH851" s="24"/>
      <c r="AI851" s="24"/>
      <c r="AJ851" s="24"/>
      <c r="AK851" s="24"/>
      <c r="AL851" s="24"/>
      <c r="AM851" s="24"/>
    </row>
    <row r="852">
      <c r="A852" s="11"/>
      <c r="B852" s="12" t="s">
        <v>34</v>
      </c>
      <c r="C852" s="12" t="s">
        <v>65</v>
      </c>
      <c r="D852" s="12" t="s">
        <v>43</v>
      </c>
      <c r="E852" s="12" t="s">
        <v>717</v>
      </c>
      <c r="F852" s="13" t="s">
        <v>718</v>
      </c>
      <c r="G852" s="12" t="s">
        <v>68</v>
      </c>
      <c r="H852" s="12" t="s">
        <v>719</v>
      </c>
      <c r="I852" s="12" t="s">
        <v>720</v>
      </c>
      <c r="J852" s="17" t="s">
        <v>73</v>
      </c>
      <c r="K852" s="17" t="s">
        <v>74</v>
      </c>
      <c r="L852" s="100" t="s">
        <v>1857</v>
      </c>
      <c r="M852" s="20">
        <v>45965.0</v>
      </c>
      <c r="N852" s="17" t="s">
        <v>428</v>
      </c>
      <c r="O852" s="88" t="s">
        <v>1520</v>
      </c>
      <c r="P852" s="88" t="s">
        <v>1520</v>
      </c>
      <c r="Q852" s="88" t="s">
        <v>1521</v>
      </c>
      <c r="R852" s="88" t="s">
        <v>1520</v>
      </c>
      <c r="S852" s="88" t="s">
        <v>1520</v>
      </c>
      <c r="T852" s="88" t="s">
        <v>1521</v>
      </c>
      <c r="U852" s="88" t="s">
        <v>1520</v>
      </c>
      <c r="V852" s="88" t="s">
        <v>1520</v>
      </c>
      <c r="W852" s="88" t="s">
        <v>1520</v>
      </c>
      <c r="X852" s="88" t="s">
        <v>1519</v>
      </c>
      <c r="Y852" s="88" t="s">
        <v>1520</v>
      </c>
      <c r="Z852" s="88" t="s">
        <v>1520</v>
      </c>
      <c r="AA852" s="88" t="s">
        <v>1520</v>
      </c>
      <c r="AB852" s="88" t="s">
        <v>1520</v>
      </c>
      <c r="AC852" s="88" t="s">
        <v>1520</v>
      </c>
      <c r="AD852" s="89"/>
      <c r="AE852" s="18" t="s">
        <v>638</v>
      </c>
      <c r="AF852" s="24"/>
      <c r="AG852" s="24"/>
      <c r="AH852" s="24"/>
      <c r="AI852" s="24"/>
      <c r="AJ852" s="24"/>
      <c r="AK852" s="24"/>
      <c r="AL852" s="24"/>
      <c r="AM852" s="24"/>
    </row>
    <row r="853">
      <c r="A853" s="11"/>
      <c r="B853" s="12" t="s">
        <v>34</v>
      </c>
      <c r="C853" s="12" t="s">
        <v>65</v>
      </c>
      <c r="D853" s="12" t="s">
        <v>43</v>
      </c>
      <c r="E853" s="12" t="s">
        <v>717</v>
      </c>
      <c r="F853" s="13" t="s">
        <v>718</v>
      </c>
      <c r="G853" s="12" t="s">
        <v>68</v>
      </c>
      <c r="H853" s="12" t="s">
        <v>719</v>
      </c>
      <c r="I853" s="12" t="s">
        <v>720</v>
      </c>
      <c r="J853" s="17" t="s">
        <v>73</v>
      </c>
      <c r="K853" s="17" t="s">
        <v>74</v>
      </c>
      <c r="L853" s="100" t="s">
        <v>1858</v>
      </c>
      <c r="M853" s="20">
        <v>45965.0</v>
      </c>
      <c r="N853" s="17" t="s">
        <v>428</v>
      </c>
      <c r="O853" s="88" t="s">
        <v>1520</v>
      </c>
      <c r="P853" s="88" t="s">
        <v>1520</v>
      </c>
      <c r="Q853" s="88" t="s">
        <v>1521</v>
      </c>
      <c r="R853" s="88" t="s">
        <v>1520</v>
      </c>
      <c r="S853" s="88" t="s">
        <v>1520</v>
      </c>
      <c r="T853" s="88" t="s">
        <v>1521</v>
      </c>
      <c r="U853" s="88" t="s">
        <v>1520</v>
      </c>
      <c r="V853" s="88" t="s">
        <v>1520</v>
      </c>
      <c r="W853" s="88" t="s">
        <v>1521</v>
      </c>
      <c r="X853" s="88" t="s">
        <v>1521</v>
      </c>
      <c r="Y853" s="88" t="s">
        <v>1521</v>
      </c>
      <c r="Z853" s="88" t="s">
        <v>1521</v>
      </c>
      <c r="AA853" s="88" t="s">
        <v>1520</v>
      </c>
      <c r="AB853" s="88" t="s">
        <v>1520</v>
      </c>
      <c r="AC853" s="88" t="s">
        <v>1520</v>
      </c>
      <c r="AD853" s="89"/>
      <c r="AE853" s="18" t="s">
        <v>638</v>
      </c>
      <c r="AF853" s="24"/>
      <c r="AG853" s="24"/>
      <c r="AH853" s="24"/>
      <c r="AI853" s="24"/>
      <c r="AJ853" s="24"/>
      <c r="AK853" s="24"/>
      <c r="AL853" s="24"/>
      <c r="AM853" s="24"/>
    </row>
    <row r="854">
      <c r="A854" s="11"/>
      <c r="B854" s="12" t="s">
        <v>34</v>
      </c>
      <c r="C854" s="12" t="s">
        <v>65</v>
      </c>
      <c r="D854" s="12" t="s">
        <v>43</v>
      </c>
      <c r="E854" s="12" t="s">
        <v>717</v>
      </c>
      <c r="F854" s="13" t="s">
        <v>718</v>
      </c>
      <c r="G854" s="12" t="s">
        <v>68</v>
      </c>
      <c r="H854" s="12" t="s">
        <v>719</v>
      </c>
      <c r="I854" s="12" t="s">
        <v>720</v>
      </c>
      <c r="J854" s="17" t="s">
        <v>73</v>
      </c>
      <c r="K854" s="17" t="s">
        <v>74</v>
      </c>
      <c r="L854" s="100" t="s">
        <v>1859</v>
      </c>
      <c r="M854" s="20">
        <v>45965.0</v>
      </c>
      <c r="N854" s="17" t="s">
        <v>428</v>
      </c>
      <c r="O854" s="88" t="s">
        <v>1520</v>
      </c>
      <c r="P854" s="88" t="s">
        <v>1520</v>
      </c>
      <c r="Q854" s="88" t="s">
        <v>1520</v>
      </c>
      <c r="R854" s="88" t="s">
        <v>1520</v>
      </c>
      <c r="S854" s="88" t="s">
        <v>1520</v>
      </c>
      <c r="T854" s="88" t="s">
        <v>1520</v>
      </c>
      <c r="U854" s="88" t="s">
        <v>1520</v>
      </c>
      <c r="V854" s="88" t="s">
        <v>1520</v>
      </c>
      <c r="W854" s="88" t="s">
        <v>1520</v>
      </c>
      <c r="X854" s="88" t="s">
        <v>1521</v>
      </c>
      <c r="Y854" s="88" t="s">
        <v>1520</v>
      </c>
      <c r="Z854" s="88" t="s">
        <v>1520</v>
      </c>
      <c r="AA854" s="88" t="s">
        <v>1520</v>
      </c>
      <c r="AB854" s="88" t="s">
        <v>1519</v>
      </c>
      <c r="AC854" s="88" t="s">
        <v>1520</v>
      </c>
      <c r="AD854" s="89"/>
      <c r="AE854" s="18" t="s">
        <v>638</v>
      </c>
      <c r="AF854" s="24"/>
      <c r="AG854" s="24"/>
      <c r="AH854" s="24"/>
      <c r="AI854" s="24"/>
      <c r="AJ854" s="24"/>
      <c r="AK854" s="24"/>
      <c r="AL854" s="24"/>
      <c r="AM854" s="24"/>
    </row>
    <row r="855">
      <c r="A855" s="11"/>
      <c r="B855" s="12" t="s">
        <v>34</v>
      </c>
      <c r="C855" s="12" t="s">
        <v>65</v>
      </c>
      <c r="D855" s="12" t="s">
        <v>43</v>
      </c>
      <c r="E855" s="12" t="s">
        <v>717</v>
      </c>
      <c r="F855" s="13" t="s">
        <v>718</v>
      </c>
      <c r="G855" s="12" t="s">
        <v>68</v>
      </c>
      <c r="H855" s="12" t="s">
        <v>719</v>
      </c>
      <c r="I855" s="12" t="s">
        <v>720</v>
      </c>
      <c r="J855" s="17" t="s">
        <v>73</v>
      </c>
      <c r="K855" s="17" t="s">
        <v>74</v>
      </c>
      <c r="L855" s="100" t="s">
        <v>1860</v>
      </c>
      <c r="M855" s="20">
        <v>45965.0</v>
      </c>
      <c r="N855" s="17" t="s">
        <v>428</v>
      </c>
      <c r="O855" s="88" t="s">
        <v>1520</v>
      </c>
      <c r="P855" s="88" t="s">
        <v>1520</v>
      </c>
      <c r="Q855" s="88" t="s">
        <v>1520</v>
      </c>
      <c r="R855" s="88" t="s">
        <v>1520</v>
      </c>
      <c r="S855" s="88" t="s">
        <v>1520</v>
      </c>
      <c r="T855" s="88" t="s">
        <v>1521</v>
      </c>
      <c r="U855" s="88" t="s">
        <v>1520</v>
      </c>
      <c r="V855" s="88" t="s">
        <v>1520</v>
      </c>
      <c r="W855" s="88" t="s">
        <v>1520</v>
      </c>
      <c r="X855" s="88" t="s">
        <v>1521</v>
      </c>
      <c r="Y855" s="88" t="s">
        <v>1520</v>
      </c>
      <c r="Z855" s="88" t="s">
        <v>1520</v>
      </c>
      <c r="AA855" s="88" t="s">
        <v>1520</v>
      </c>
      <c r="AB855" s="88" t="s">
        <v>1520</v>
      </c>
      <c r="AC855" s="88" t="s">
        <v>1519</v>
      </c>
      <c r="AD855" s="89"/>
      <c r="AE855" s="18" t="s">
        <v>638</v>
      </c>
      <c r="AF855" s="24"/>
      <c r="AG855" s="24"/>
      <c r="AH855" s="24"/>
      <c r="AI855" s="24"/>
      <c r="AJ855" s="24"/>
      <c r="AK855" s="24"/>
      <c r="AL855" s="24"/>
      <c r="AM855" s="24"/>
    </row>
    <row r="856">
      <c r="A856" s="11"/>
      <c r="B856" s="12" t="s">
        <v>34</v>
      </c>
      <c r="C856" s="12" t="s">
        <v>65</v>
      </c>
      <c r="D856" s="12" t="s">
        <v>43</v>
      </c>
      <c r="E856" s="12" t="s">
        <v>717</v>
      </c>
      <c r="F856" s="13" t="s">
        <v>718</v>
      </c>
      <c r="G856" s="12" t="s">
        <v>68</v>
      </c>
      <c r="H856" s="12" t="s">
        <v>719</v>
      </c>
      <c r="I856" s="12" t="s">
        <v>720</v>
      </c>
      <c r="J856" s="17" t="s">
        <v>73</v>
      </c>
      <c r="K856" s="17" t="s">
        <v>74</v>
      </c>
      <c r="L856" s="100" t="s">
        <v>1861</v>
      </c>
      <c r="M856" s="20">
        <v>45965.0</v>
      </c>
      <c r="N856" s="17" t="s">
        <v>428</v>
      </c>
      <c r="O856" s="88" t="s">
        <v>1520</v>
      </c>
      <c r="P856" s="88" t="s">
        <v>1520</v>
      </c>
      <c r="Q856" s="88" t="s">
        <v>1520</v>
      </c>
      <c r="R856" s="88" t="s">
        <v>1520</v>
      </c>
      <c r="S856" s="88" t="s">
        <v>1520</v>
      </c>
      <c r="T856" s="88" t="s">
        <v>1521</v>
      </c>
      <c r="U856" s="88" t="s">
        <v>1520</v>
      </c>
      <c r="V856" s="88" t="s">
        <v>1520</v>
      </c>
      <c r="W856" s="88" t="s">
        <v>1520</v>
      </c>
      <c r="X856" s="88" t="s">
        <v>1521</v>
      </c>
      <c r="Y856" s="88" t="s">
        <v>1520</v>
      </c>
      <c r="Z856" s="88" t="s">
        <v>1520</v>
      </c>
      <c r="AA856" s="88" t="s">
        <v>1520</v>
      </c>
      <c r="AB856" s="88" t="s">
        <v>1520</v>
      </c>
      <c r="AC856" s="88" t="s">
        <v>1520</v>
      </c>
      <c r="AD856" s="89"/>
      <c r="AE856" s="18" t="s">
        <v>638</v>
      </c>
      <c r="AF856" s="24"/>
      <c r="AG856" s="24"/>
      <c r="AH856" s="24"/>
      <c r="AI856" s="24"/>
      <c r="AJ856" s="24"/>
      <c r="AK856" s="24"/>
      <c r="AL856" s="24"/>
      <c r="AM856" s="24"/>
    </row>
    <row r="857">
      <c r="A857" s="11"/>
      <c r="B857" s="12" t="s">
        <v>34</v>
      </c>
      <c r="C857" s="12" t="s">
        <v>65</v>
      </c>
      <c r="D857" s="12" t="s">
        <v>43</v>
      </c>
      <c r="E857" s="12" t="s">
        <v>717</v>
      </c>
      <c r="F857" s="13" t="s">
        <v>718</v>
      </c>
      <c r="G857" s="12" t="s">
        <v>68</v>
      </c>
      <c r="H857" s="12" t="s">
        <v>719</v>
      </c>
      <c r="I857" s="12" t="s">
        <v>720</v>
      </c>
      <c r="J857" s="17" t="s">
        <v>73</v>
      </c>
      <c r="K857" s="17" t="s">
        <v>74</v>
      </c>
      <c r="L857" s="100" t="s">
        <v>1862</v>
      </c>
      <c r="M857" s="20">
        <v>45965.0</v>
      </c>
      <c r="N857" s="17" t="s">
        <v>428</v>
      </c>
      <c r="O857" s="88" t="s">
        <v>1519</v>
      </c>
      <c r="P857" s="88" t="s">
        <v>1520</v>
      </c>
      <c r="Q857" s="88" t="s">
        <v>1519</v>
      </c>
      <c r="R857" s="88" t="s">
        <v>1520</v>
      </c>
      <c r="S857" s="88" t="s">
        <v>1521</v>
      </c>
      <c r="T857" s="88" t="s">
        <v>1521</v>
      </c>
      <c r="U857" s="88" t="s">
        <v>1520</v>
      </c>
      <c r="V857" s="88" t="s">
        <v>1520</v>
      </c>
      <c r="W857" s="88" t="s">
        <v>1521</v>
      </c>
      <c r="X857" s="88" t="s">
        <v>1521</v>
      </c>
      <c r="Y857" s="88" t="s">
        <v>1521</v>
      </c>
      <c r="Z857" s="88" t="s">
        <v>1520</v>
      </c>
      <c r="AA857" s="88" t="s">
        <v>1520</v>
      </c>
      <c r="AB857" s="88" t="s">
        <v>1520</v>
      </c>
      <c r="AC857" s="88" t="s">
        <v>1520</v>
      </c>
      <c r="AD857" s="89"/>
      <c r="AE857" s="18" t="s">
        <v>638</v>
      </c>
      <c r="AF857" s="24"/>
      <c r="AG857" s="24"/>
      <c r="AH857" s="24"/>
      <c r="AI857" s="24"/>
      <c r="AJ857" s="24"/>
      <c r="AK857" s="24"/>
      <c r="AL857" s="24"/>
      <c r="AM857" s="24"/>
    </row>
    <row r="858">
      <c r="A858" s="11"/>
      <c r="B858" s="12" t="s">
        <v>34</v>
      </c>
      <c r="C858" s="12" t="s">
        <v>65</v>
      </c>
      <c r="D858" s="12" t="s">
        <v>43</v>
      </c>
      <c r="E858" s="12" t="s">
        <v>717</v>
      </c>
      <c r="F858" s="13" t="s">
        <v>718</v>
      </c>
      <c r="G858" s="12" t="s">
        <v>68</v>
      </c>
      <c r="H858" s="12" t="s">
        <v>719</v>
      </c>
      <c r="I858" s="12" t="s">
        <v>720</v>
      </c>
      <c r="J858" s="17" t="s">
        <v>73</v>
      </c>
      <c r="K858" s="17" t="s">
        <v>74</v>
      </c>
      <c r="L858" s="100" t="s">
        <v>1863</v>
      </c>
      <c r="M858" s="20">
        <v>45965.0</v>
      </c>
      <c r="N858" s="17" t="s">
        <v>428</v>
      </c>
      <c r="O858" s="88" t="s">
        <v>1520</v>
      </c>
      <c r="P858" s="88" t="s">
        <v>1520</v>
      </c>
      <c r="Q858" s="88" t="s">
        <v>1521</v>
      </c>
      <c r="R858" s="88" t="s">
        <v>1519</v>
      </c>
      <c r="S858" s="88" t="s">
        <v>1520</v>
      </c>
      <c r="T858" s="88" t="s">
        <v>1520</v>
      </c>
      <c r="U858" s="88" t="s">
        <v>1521</v>
      </c>
      <c r="V858" s="88" t="s">
        <v>1520</v>
      </c>
      <c r="W858" s="88" t="s">
        <v>1520</v>
      </c>
      <c r="X858" s="88" t="s">
        <v>1521</v>
      </c>
      <c r="Y858" s="88" t="s">
        <v>1520</v>
      </c>
      <c r="Z858" s="88" t="s">
        <v>1519</v>
      </c>
      <c r="AA858" s="88" t="s">
        <v>1520</v>
      </c>
      <c r="AB858" s="88" t="s">
        <v>1521</v>
      </c>
      <c r="AC858" s="88" t="s">
        <v>1520</v>
      </c>
      <c r="AD858" s="89"/>
      <c r="AE858" s="18" t="s">
        <v>638</v>
      </c>
      <c r="AF858" s="24"/>
      <c r="AG858" s="24"/>
      <c r="AH858" s="24"/>
      <c r="AI858" s="24"/>
      <c r="AJ858" s="24"/>
      <c r="AK858" s="24"/>
      <c r="AL858" s="24"/>
      <c r="AM858" s="24"/>
    </row>
    <row r="859">
      <c r="A859" s="11"/>
      <c r="B859" s="12" t="s">
        <v>34</v>
      </c>
      <c r="C859" s="12" t="s">
        <v>65</v>
      </c>
      <c r="D859" s="12" t="s">
        <v>43</v>
      </c>
      <c r="E859" s="12" t="s">
        <v>717</v>
      </c>
      <c r="F859" s="13" t="s">
        <v>718</v>
      </c>
      <c r="G859" s="12" t="s">
        <v>68</v>
      </c>
      <c r="H859" s="12" t="s">
        <v>719</v>
      </c>
      <c r="I859" s="12" t="s">
        <v>720</v>
      </c>
      <c r="J859" s="17" t="s">
        <v>73</v>
      </c>
      <c r="K859" s="17" t="s">
        <v>74</v>
      </c>
      <c r="L859" s="100" t="s">
        <v>1864</v>
      </c>
      <c r="M859" s="20">
        <v>45965.0</v>
      </c>
      <c r="N859" s="17" t="s">
        <v>428</v>
      </c>
      <c r="O859" s="88" t="s">
        <v>1520</v>
      </c>
      <c r="P859" s="88" t="s">
        <v>1520</v>
      </c>
      <c r="Q859" s="88" t="s">
        <v>1520</v>
      </c>
      <c r="R859" s="88" t="s">
        <v>1520</v>
      </c>
      <c r="S859" s="88" t="s">
        <v>1520</v>
      </c>
      <c r="T859" s="88" t="s">
        <v>1521</v>
      </c>
      <c r="U859" s="88" t="s">
        <v>1520</v>
      </c>
      <c r="V859" s="88" t="s">
        <v>1520</v>
      </c>
      <c r="W859" s="88" t="s">
        <v>1520</v>
      </c>
      <c r="X859" s="88" t="s">
        <v>1521</v>
      </c>
      <c r="Y859" s="88" t="s">
        <v>1521</v>
      </c>
      <c r="Z859" s="88" t="s">
        <v>1519</v>
      </c>
      <c r="AA859" s="88" t="s">
        <v>1520</v>
      </c>
      <c r="AB859" s="88" t="s">
        <v>1520</v>
      </c>
      <c r="AC859" s="88" t="s">
        <v>1520</v>
      </c>
      <c r="AD859" s="89"/>
      <c r="AE859" s="18" t="s">
        <v>638</v>
      </c>
      <c r="AF859" s="24"/>
      <c r="AG859" s="24"/>
      <c r="AH859" s="24"/>
      <c r="AI859" s="24"/>
      <c r="AJ859" s="24"/>
      <c r="AK859" s="24"/>
      <c r="AL859" s="24"/>
      <c r="AM859" s="24"/>
    </row>
    <row r="860">
      <c r="A860" s="11"/>
      <c r="B860" s="12" t="s">
        <v>34</v>
      </c>
      <c r="C860" s="12" t="s">
        <v>65</v>
      </c>
      <c r="D860" s="12" t="s">
        <v>43</v>
      </c>
      <c r="E860" s="12" t="s">
        <v>717</v>
      </c>
      <c r="F860" s="13" t="s">
        <v>718</v>
      </c>
      <c r="G860" s="12" t="s">
        <v>68</v>
      </c>
      <c r="H860" s="12" t="s">
        <v>719</v>
      </c>
      <c r="I860" s="12" t="s">
        <v>720</v>
      </c>
      <c r="J860" s="17" t="s">
        <v>73</v>
      </c>
      <c r="K860" s="17" t="s">
        <v>74</v>
      </c>
      <c r="L860" s="100" t="s">
        <v>1865</v>
      </c>
      <c r="M860" s="20">
        <v>45965.0</v>
      </c>
      <c r="N860" s="17" t="s">
        <v>428</v>
      </c>
      <c r="O860" s="88" t="s">
        <v>1520</v>
      </c>
      <c r="P860" s="88" t="s">
        <v>1520</v>
      </c>
      <c r="Q860" s="88" t="s">
        <v>1521</v>
      </c>
      <c r="R860" s="88" t="s">
        <v>1520</v>
      </c>
      <c r="S860" s="88" t="s">
        <v>1520</v>
      </c>
      <c r="T860" s="88" t="s">
        <v>1520</v>
      </c>
      <c r="U860" s="88" t="s">
        <v>1520</v>
      </c>
      <c r="V860" s="88" t="s">
        <v>1520</v>
      </c>
      <c r="W860" s="88" t="s">
        <v>1521</v>
      </c>
      <c r="X860" s="88" t="s">
        <v>1521</v>
      </c>
      <c r="Y860" s="88" t="s">
        <v>1521</v>
      </c>
      <c r="Z860" s="88" t="s">
        <v>1519</v>
      </c>
      <c r="AA860" s="88" t="s">
        <v>1520</v>
      </c>
      <c r="AB860" s="88" t="s">
        <v>1521</v>
      </c>
      <c r="AC860" s="88" t="s">
        <v>1520</v>
      </c>
      <c r="AD860" s="89"/>
      <c r="AE860" s="18" t="s">
        <v>638</v>
      </c>
      <c r="AF860" s="24"/>
      <c r="AG860" s="24"/>
      <c r="AH860" s="24"/>
      <c r="AI860" s="24"/>
      <c r="AJ860" s="24"/>
      <c r="AK860" s="24"/>
      <c r="AL860" s="24"/>
      <c r="AM860" s="24"/>
    </row>
    <row r="861">
      <c r="A861" s="11"/>
      <c r="B861" s="12" t="s">
        <v>34</v>
      </c>
      <c r="C861" s="12" t="s">
        <v>65</v>
      </c>
      <c r="D861" s="12" t="s">
        <v>43</v>
      </c>
      <c r="E861" s="12" t="s">
        <v>717</v>
      </c>
      <c r="F861" s="13" t="s">
        <v>718</v>
      </c>
      <c r="G861" s="12" t="s">
        <v>68</v>
      </c>
      <c r="H861" s="12" t="s">
        <v>719</v>
      </c>
      <c r="I861" s="12" t="s">
        <v>720</v>
      </c>
      <c r="J861" s="17" t="s">
        <v>73</v>
      </c>
      <c r="K861" s="17" t="s">
        <v>74</v>
      </c>
      <c r="L861" s="100" t="s">
        <v>1866</v>
      </c>
      <c r="M861" s="20">
        <v>45965.0</v>
      </c>
      <c r="N861" s="17" t="s">
        <v>428</v>
      </c>
      <c r="O861" s="88" t="s">
        <v>1520</v>
      </c>
      <c r="P861" s="88" t="s">
        <v>1520</v>
      </c>
      <c r="Q861" s="88" t="s">
        <v>1521</v>
      </c>
      <c r="R861" s="88" t="s">
        <v>1520</v>
      </c>
      <c r="S861" s="88" t="s">
        <v>1520</v>
      </c>
      <c r="T861" s="88" t="s">
        <v>1521</v>
      </c>
      <c r="U861" s="88" t="s">
        <v>1520</v>
      </c>
      <c r="V861" s="88" t="s">
        <v>1519</v>
      </c>
      <c r="W861" s="88" t="s">
        <v>1520</v>
      </c>
      <c r="X861" s="88" t="s">
        <v>1519</v>
      </c>
      <c r="Y861" s="88" t="s">
        <v>1519</v>
      </c>
      <c r="Z861" s="88" t="s">
        <v>1520</v>
      </c>
      <c r="AA861" s="88" t="s">
        <v>1520</v>
      </c>
      <c r="AB861" s="88" t="s">
        <v>1520</v>
      </c>
      <c r="AC861" s="88" t="s">
        <v>1520</v>
      </c>
      <c r="AD861" s="89"/>
      <c r="AE861" s="18" t="s">
        <v>638</v>
      </c>
      <c r="AF861" s="24"/>
      <c r="AG861" s="24"/>
      <c r="AH861" s="24"/>
      <c r="AI861" s="24"/>
      <c r="AJ861" s="24"/>
      <c r="AK861" s="24"/>
      <c r="AL861" s="24"/>
      <c r="AM861" s="24"/>
    </row>
    <row r="862">
      <c r="A862" s="11"/>
      <c r="B862" s="12" t="s">
        <v>34</v>
      </c>
      <c r="C862" s="12" t="s">
        <v>65</v>
      </c>
      <c r="D862" s="12" t="s">
        <v>43</v>
      </c>
      <c r="E862" s="12" t="s">
        <v>717</v>
      </c>
      <c r="F862" s="13" t="s">
        <v>718</v>
      </c>
      <c r="G862" s="12" t="s">
        <v>68</v>
      </c>
      <c r="H862" s="12" t="s">
        <v>719</v>
      </c>
      <c r="I862" s="12" t="s">
        <v>720</v>
      </c>
      <c r="J862" s="17" t="s">
        <v>73</v>
      </c>
      <c r="K862" s="17" t="s">
        <v>74</v>
      </c>
      <c r="L862" s="100" t="s">
        <v>1867</v>
      </c>
      <c r="M862" s="20">
        <v>45965.0</v>
      </c>
      <c r="N862" s="17" t="s">
        <v>428</v>
      </c>
      <c r="O862" s="88" t="s">
        <v>1520</v>
      </c>
      <c r="P862" s="88" t="s">
        <v>1520</v>
      </c>
      <c r="Q862" s="88" t="s">
        <v>1520</v>
      </c>
      <c r="R862" s="88" t="s">
        <v>1520</v>
      </c>
      <c r="S862" s="88" t="s">
        <v>1520</v>
      </c>
      <c r="T862" s="88" t="s">
        <v>1521</v>
      </c>
      <c r="U862" s="88" t="s">
        <v>1520</v>
      </c>
      <c r="V862" s="88" t="s">
        <v>1520</v>
      </c>
      <c r="W862" s="88" t="s">
        <v>1521</v>
      </c>
      <c r="X862" s="88" t="s">
        <v>1521</v>
      </c>
      <c r="Y862" s="88" t="s">
        <v>1519</v>
      </c>
      <c r="Z862" s="88" t="s">
        <v>1520</v>
      </c>
      <c r="AA862" s="88" t="s">
        <v>1520</v>
      </c>
      <c r="AB862" s="88" t="s">
        <v>1521</v>
      </c>
      <c r="AC862" s="88" t="s">
        <v>1520</v>
      </c>
      <c r="AD862" s="89"/>
      <c r="AE862" s="18" t="s">
        <v>638</v>
      </c>
      <c r="AF862" s="24"/>
      <c r="AG862" s="24"/>
      <c r="AH862" s="24"/>
      <c r="AI862" s="24"/>
      <c r="AJ862" s="24"/>
      <c r="AK862" s="24"/>
      <c r="AL862" s="24"/>
      <c r="AM862" s="24"/>
    </row>
    <row r="863">
      <c r="A863" s="11"/>
      <c r="B863" s="12" t="s">
        <v>34</v>
      </c>
      <c r="C863" s="12" t="s">
        <v>65</v>
      </c>
      <c r="D863" s="12" t="s">
        <v>43</v>
      </c>
      <c r="E863" s="12" t="s">
        <v>717</v>
      </c>
      <c r="F863" s="13" t="s">
        <v>718</v>
      </c>
      <c r="G863" s="12" t="s">
        <v>68</v>
      </c>
      <c r="H863" s="12" t="s">
        <v>719</v>
      </c>
      <c r="I863" s="12" t="s">
        <v>720</v>
      </c>
      <c r="J863" s="17" t="s">
        <v>73</v>
      </c>
      <c r="K863" s="17" t="s">
        <v>74</v>
      </c>
      <c r="L863" s="100" t="s">
        <v>1868</v>
      </c>
      <c r="M863" s="20">
        <v>45965.0</v>
      </c>
      <c r="N863" s="17" t="s">
        <v>428</v>
      </c>
      <c r="O863" s="88" t="s">
        <v>1520</v>
      </c>
      <c r="P863" s="88" t="s">
        <v>1519</v>
      </c>
      <c r="Q863" s="88" t="s">
        <v>1520</v>
      </c>
      <c r="R863" s="88" t="s">
        <v>1520</v>
      </c>
      <c r="S863" s="88" t="s">
        <v>1520</v>
      </c>
      <c r="T863" s="88" t="s">
        <v>1521</v>
      </c>
      <c r="U863" s="88" t="s">
        <v>1520</v>
      </c>
      <c r="V863" s="88" t="s">
        <v>1520</v>
      </c>
      <c r="W863" s="88" t="s">
        <v>1521</v>
      </c>
      <c r="X863" s="88" t="s">
        <v>1521</v>
      </c>
      <c r="Y863" s="88" t="s">
        <v>1519</v>
      </c>
      <c r="Z863" s="88" t="s">
        <v>1521</v>
      </c>
      <c r="AA863" s="88" t="s">
        <v>1520</v>
      </c>
      <c r="AB863" s="88" t="s">
        <v>1521</v>
      </c>
      <c r="AC863" s="88" t="s">
        <v>1520</v>
      </c>
      <c r="AD863" s="89"/>
      <c r="AE863" s="18" t="s">
        <v>638</v>
      </c>
      <c r="AF863" s="24"/>
      <c r="AG863" s="24"/>
      <c r="AH863" s="24"/>
      <c r="AI863" s="24"/>
      <c r="AJ863" s="24"/>
      <c r="AK863" s="24"/>
      <c r="AL863" s="24"/>
      <c r="AM863" s="24"/>
    </row>
    <row r="864">
      <c r="A864" s="11"/>
      <c r="B864" s="12" t="s">
        <v>34</v>
      </c>
      <c r="C864" s="12" t="s">
        <v>65</v>
      </c>
      <c r="D864" s="12" t="s">
        <v>43</v>
      </c>
      <c r="E864" s="12" t="s">
        <v>717</v>
      </c>
      <c r="F864" s="13" t="s">
        <v>718</v>
      </c>
      <c r="G864" s="12" t="s">
        <v>68</v>
      </c>
      <c r="H864" s="12" t="s">
        <v>719</v>
      </c>
      <c r="I864" s="12" t="s">
        <v>720</v>
      </c>
      <c r="J864" s="17" t="s">
        <v>73</v>
      </c>
      <c r="K864" s="17" t="s">
        <v>74</v>
      </c>
      <c r="L864" s="100" t="s">
        <v>1869</v>
      </c>
      <c r="M864" s="20">
        <v>45965.0</v>
      </c>
      <c r="N864" s="17" t="s">
        <v>428</v>
      </c>
      <c r="O864" s="88" t="s">
        <v>1520</v>
      </c>
      <c r="P864" s="88" t="s">
        <v>1521</v>
      </c>
      <c r="Q864" s="88" t="s">
        <v>1520</v>
      </c>
      <c r="R864" s="88" t="s">
        <v>1520</v>
      </c>
      <c r="S864" s="88" t="s">
        <v>1520</v>
      </c>
      <c r="T864" s="88" t="s">
        <v>1520</v>
      </c>
      <c r="U864" s="88" t="s">
        <v>1520</v>
      </c>
      <c r="V864" s="88" t="s">
        <v>1520</v>
      </c>
      <c r="W864" s="88" t="s">
        <v>1521</v>
      </c>
      <c r="X864" s="88" t="s">
        <v>1519</v>
      </c>
      <c r="Y864" s="88" t="s">
        <v>1519</v>
      </c>
      <c r="Z864" s="88" t="s">
        <v>1521</v>
      </c>
      <c r="AA864" s="88" t="s">
        <v>1520</v>
      </c>
      <c r="AB864" s="88" t="s">
        <v>1521</v>
      </c>
      <c r="AC864" s="88" t="s">
        <v>1519</v>
      </c>
      <c r="AD864" s="89"/>
      <c r="AE864" s="18" t="s">
        <v>638</v>
      </c>
      <c r="AF864" s="24"/>
      <c r="AG864" s="24"/>
      <c r="AH864" s="24"/>
      <c r="AI864" s="24"/>
      <c r="AJ864" s="24"/>
      <c r="AK864" s="24"/>
      <c r="AL864" s="24"/>
      <c r="AM864" s="24"/>
    </row>
    <row r="865">
      <c r="A865" s="11"/>
      <c r="B865" s="12" t="s">
        <v>34</v>
      </c>
      <c r="C865" s="12" t="s">
        <v>65</v>
      </c>
      <c r="D865" s="12" t="s">
        <v>43</v>
      </c>
      <c r="E865" s="12" t="s">
        <v>717</v>
      </c>
      <c r="F865" s="13" t="s">
        <v>718</v>
      </c>
      <c r="G865" s="12" t="s">
        <v>68</v>
      </c>
      <c r="H865" s="12" t="s">
        <v>719</v>
      </c>
      <c r="I865" s="12" t="s">
        <v>720</v>
      </c>
      <c r="J865" s="17" t="s">
        <v>112</v>
      </c>
      <c r="K865" s="17" t="s">
        <v>113</v>
      </c>
      <c r="L865" s="100" t="s">
        <v>1870</v>
      </c>
      <c r="M865" s="20">
        <v>45965.0</v>
      </c>
      <c r="N865" s="17" t="s">
        <v>428</v>
      </c>
      <c r="O865" s="88" t="s">
        <v>1520</v>
      </c>
      <c r="P865" s="88" t="s">
        <v>1519</v>
      </c>
      <c r="Q865" s="88" t="s">
        <v>1520</v>
      </c>
      <c r="R865" s="88" t="s">
        <v>1520</v>
      </c>
      <c r="S865" s="88" t="s">
        <v>1520</v>
      </c>
      <c r="T865" s="88" t="s">
        <v>1520</v>
      </c>
      <c r="U865" s="88" t="s">
        <v>1519</v>
      </c>
      <c r="V865" s="88" t="s">
        <v>1520</v>
      </c>
      <c r="W865" s="88" t="s">
        <v>1520</v>
      </c>
      <c r="X865" s="88" t="s">
        <v>1521</v>
      </c>
      <c r="Y865" s="88" t="s">
        <v>1519</v>
      </c>
      <c r="Z865" s="88" t="s">
        <v>1521</v>
      </c>
      <c r="AA865" s="88" t="s">
        <v>1520</v>
      </c>
      <c r="AB865" s="88" t="s">
        <v>1519</v>
      </c>
      <c r="AC865" s="88" t="s">
        <v>1520</v>
      </c>
      <c r="AD865" s="89"/>
      <c r="AE865" s="18" t="s">
        <v>638</v>
      </c>
      <c r="AF865" s="24"/>
      <c r="AG865" s="24"/>
      <c r="AH865" s="24"/>
      <c r="AI865" s="24"/>
      <c r="AJ865" s="24"/>
      <c r="AK865" s="24"/>
      <c r="AL865" s="24"/>
      <c r="AM865" s="24"/>
    </row>
    <row r="866">
      <c r="A866" s="11"/>
      <c r="B866" s="12" t="s">
        <v>34</v>
      </c>
      <c r="C866" s="12" t="s">
        <v>65</v>
      </c>
      <c r="D866" s="12" t="s">
        <v>43</v>
      </c>
      <c r="E866" s="12" t="s">
        <v>717</v>
      </c>
      <c r="F866" s="13" t="s">
        <v>718</v>
      </c>
      <c r="G866" s="12" t="s">
        <v>68</v>
      </c>
      <c r="H866" s="12" t="s">
        <v>719</v>
      </c>
      <c r="I866" s="12" t="s">
        <v>720</v>
      </c>
      <c r="J866" s="17" t="s">
        <v>112</v>
      </c>
      <c r="K866" s="17" t="s">
        <v>113</v>
      </c>
      <c r="L866" s="100" t="s">
        <v>1871</v>
      </c>
      <c r="M866" s="20">
        <v>45965.0</v>
      </c>
      <c r="N866" s="17" t="s">
        <v>428</v>
      </c>
      <c r="O866" s="88" t="s">
        <v>1520</v>
      </c>
      <c r="P866" s="88" t="s">
        <v>1520</v>
      </c>
      <c r="Q866" s="88" t="s">
        <v>1520</v>
      </c>
      <c r="R866" s="88" t="s">
        <v>1520</v>
      </c>
      <c r="S866" s="88" t="s">
        <v>1521</v>
      </c>
      <c r="T866" s="88" t="s">
        <v>1521</v>
      </c>
      <c r="U866" s="88" t="s">
        <v>1520</v>
      </c>
      <c r="V866" s="88" t="s">
        <v>1520</v>
      </c>
      <c r="W866" s="88" t="s">
        <v>1520</v>
      </c>
      <c r="X866" s="88" t="s">
        <v>1519</v>
      </c>
      <c r="Y866" s="88" t="s">
        <v>1519</v>
      </c>
      <c r="Z866" s="88" t="s">
        <v>1521</v>
      </c>
      <c r="AA866" s="88" t="s">
        <v>1520</v>
      </c>
      <c r="AB866" s="88" t="s">
        <v>1520</v>
      </c>
      <c r="AC866" s="88" t="s">
        <v>1520</v>
      </c>
      <c r="AD866" s="89"/>
      <c r="AE866" s="18" t="s">
        <v>638</v>
      </c>
      <c r="AF866" s="24"/>
      <c r="AG866" s="24"/>
      <c r="AH866" s="24"/>
      <c r="AI866" s="24"/>
      <c r="AJ866" s="24"/>
      <c r="AK866" s="24"/>
      <c r="AL866" s="24"/>
      <c r="AM866" s="24"/>
    </row>
    <row r="867">
      <c r="A867" s="11"/>
      <c r="B867" s="12" t="s">
        <v>34</v>
      </c>
      <c r="C867" s="12" t="s">
        <v>65</v>
      </c>
      <c r="D867" s="12" t="s">
        <v>43</v>
      </c>
      <c r="E867" s="12" t="s">
        <v>717</v>
      </c>
      <c r="F867" s="13" t="s">
        <v>718</v>
      </c>
      <c r="G867" s="12" t="s">
        <v>68</v>
      </c>
      <c r="H867" s="12" t="s">
        <v>719</v>
      </c>
      <c r="I867" s="12" t="s">
        <v>720</v>
      </c>
      <c r="J867" s="17" t="s">
        <v>112</v>
      </c>
      <c r="K867" s="17" t="s">
        <v>113</v>
      </c>
      <c r="L867" s="100" t="s">
        <v>1872</v>
      </c>
      <c r="M867" s="20">
        <v>45965.0</v>
      </c>
      <c r="N867" s="17" t="s">
        <v>428</v>
      </c>
      <c r="O867" s="88" t="s">
        <v>1520</v>
      </c>
      <c r="P867" s="88" t="s">
        <v>1521</v>
      </c>
      <c r="Q867" s="88" t="s">
        <v>1520</v>
      </c>
      <c r="R867" s="88" t="s">
        <v>1520</v>
      </c>
      <c r="S867" s="88" t="s">
        <v>1520</v>
      </c>
      <c r="T867" s="88" t="s">
        <v>1520</v>
      </c>
      <c r="U867" s="88" t="s">
        <v>1520</v>
      </c>
      <c r="V867" s="88" t="s">
        <v>1520</v>
      </c>
      <c r="W867" s="88" t="s">
        <v>1520</v>
      </c>
      <c r="X867" s="88" t="s">
        <v>1519</v>
      </c>
      <c r="Y867" s="88" t="s">
        <v>1521</v>
      </c>
      <c r="Z867" s="88" t="s">
        <v>1521</v>
      </c>
      <c r="AA867" s="88" t="s">
        <v>1520</v>
      </c>
      <c r="AB867" s="88" t="s">
        <v>1520</v>
      </c>
      <c r="AC867" s="88" t="s">
        <v>1520</v>
      </c>
      <c r="AD867" s="89"/>
      <c r="AE867" s="18" t="s">
        <v>638</v>
      </c>
      <c r="AF867" s="24"/>
      <c r="AG867" s="24"/>
      <c r="AH867" s="24"/>
      <c r="AI867" s="24"/>
      <c r="AJ867" s="24"/>
      <c r="AK867" s="24"/>
      <c r="AL867" s="24"/>
      <c r="AM867" s="24"/>
    </row>
    <row r="868">
      <c r="A868" s="11"/>
      <c r="B868" s="12" t="s">
        <v>34</v>
      </c>
      <c r="C868" s="12" t="s">
        <v>65</v>
      </c>
      <c r="D868" s="12" t="s">
        <v>43</v>
      </c>
      <c r="E868" s="12" t="s">
        <v>717</v>
      </c>
      <c r="F868" s="13" t="s">
        <v>718</v>
      </c>
      <c r="G868" s="12" t="s">
        <v>68</v>
      </c>
      <c r="H868" s="12" t="s">
        <v>719</v>
      </c>
      <c r="I868" s="12" t="s">
        <v>720</v>
      </c>
      <c r="J868" s="17" t="s">
        <v>112</v>
      </c>
      <c r="K868" s="17" t="s">
        <v>113</v>
      </c>
      <c r="L868" s="100" t="s">
        <v>1873</v>
      </c>
      <c r="M868" s="20">
        <v>45965.0</v>
      </c>
      <c r="N868" s="17" t="s">
        <v>428</v>
      </c>
      <c r="O868" s="88" t="s">
        <v>1520</v>
      </c>
      <c r="P868" s="88" t="s">
        <v>1520</v>
      </c>
      <c r="Q868" s="88" t="s">
        <v>1520</v>
      </c>
      <c r="R868" s="88" t="s">
        <v>1520</v>
      </c>
      <c r="S868" s="88" t="s">
        <v>1521</v>
      </c>
      <c r="T868" s="88" t="s">
        <v>1520</v>
      </c>
      <c r="U868" s="88" t="s">
        <v>1520</v>
      </c>
      <c r="V868" s="88" t="s">
        <v>1520</v>
      </c>
      <c r="W868" s="88" t="s">
        <v>1521</v>
      </c>
      <c r="X868" s="88" t="s">
        <v>1521</v>
      </c>
      <c r="Y868" s="88" t="s">
        <v>1520</v>
      </c>
      <c r="Z868" s="88" t="s">
        <v>1520</v>
      </c>
      <c r="AA868" s="88" t="s">
        <v>1519</v>
      </c>
      <c r="AB868" s="88" t="s">
        <v>1520</v>
      </c>
      <c r="AC868" s="88" t="s">
        <v>1520</v>
      </c>
      <c r="AD868" s="89"/>
      <c r="AE868" s="18" t="s">
        <v>638</v>
      </c>
      <c r="AF868" s="24"/>
      <c r="AG868" s="24"/>
      <c r="AH868" s="24"/>
      <c r="AI868" s="24"/>
      <c r="AJ868" s="24"/>
      <c r="AK868" s="24"/>
      <c r="AL868" s="24"/>
      <c r="AM868" s="24"/>
    </row>
    <row r="869">
      <c r="A869" s="11"/>
      <c r="B869" s="12" t="s">
        <v>34</v>
      </c>
      <c r="C869" s="12" t="s">
        <v>65</v>
      </c>
      <c r="D869" s="12" t="s">
        <v>43</v>
      </c>
      <c r="E869" s="12" t="s">
        <v>717</v>
      </c>
      <c r="F869" s="13" t="s">
        <v>718</v>
      </c>
      <c r="G869" s="12" t="s">
        <v>68</v>
      </c>
      <c r="H869" s="12" t="s">
        <v>719</v>
      </c>
      <c r="I869" s="12" t="s">
        <v>720</v>
      </c>
      <c r="J869" s="17" t="s">
        <v>112</v>
      </c>
      <c r="K869" s="17" t="s">
        <v>113</v>
      </c>
      <c r="L869" s="100" t="s">
        <v>1874</v>
      </c>
      <c r="M869" s="20">
        <v>45965.0</v>
      </c>
      <c r="N869" s="17" t="s">
        <v>428</v>
      </c>
      <c r="O869" s="88" t="s">
        <v>1520</v>
      </c>
      <c r="P869" s="88" t="s">
        <v>1520</v>
      </c>
      <c r="Q869" s="88" t="s">
        <v>1520</v>
      </c>
      <c r="R869" s="88" t="s">
        <v>1520</v>
      </c>
      <c r="S869" s="88" t="s">
        <v>1520</v>
      </c>
      <c r="T869" s="88" t="s">
        <v>1521</v>
      </c>
      <c r="U869" s="88" t="s">
        <v>1520</v>
      </c>
      <c r="V869" s="88" t="s">
        <v>1520</v>
      </c>
      <c r="W869" s="88" t="s">
        <v>1521</v>
      </c>
      <c r="X869" s="88" t="s">
        <v>1519</v>
      </c>
      <c r="Y869" s="88" t="s">
        <v>1521</v>
      </c>
      <c r="Z869" s="88" t="s">
        <v>1521</v>
      </c>
      <c r="AA869" s="88" t="s">
        <v>1520</v>
      </c>
      <c r="AB869" s="88" t="s">
        <v>1520</v>
      </c>
      <c r="AC869" s="88" t="s">
        <v>1520</v>
      </c>
      <c r="AD869" s="89"/>
      <c r="AE869" s="18" t="s">
        <v>638</v>
      </c>
      <c r="AF869" s="24"/>
      <c r="AG869" s="24"/>
      <c r="AH869" s="24"/>
      <c r="AI869" s="24"/>
      <c r="AJ869" s="24"/>
      <c r="AK869" s="24"/>
      <c r="AL869" s="24"/>
      <c r="AM869" s="24"/>
    </row>
    <row r="870">
      <c r="A870" s="11"/>
      <c r="B870" s="12" t="s">
        <v>34</v>
      </c>
      <c r="C870" s="12" t="s">
        <v>65</v>
      </c>
      <c r="D870" s="12" t="s">
        <v>43</v>
      </c>
      <c r="E870" s="12" t="s">
        <v>717</v>
      </c>
      <c r="F870" s="13" t="s">
        <v>718</v>
      </c>
      <c r="G870" s="12" t="s">
        <v>68</v>
      </c>
      <c r="H870" s="12" t="s">
        <v>719</v>
      </c>
      <c r="I870" s="12" t="s">
        <v>720</v>
      </c>
      <c r="J870" s="17" t="s">
        <v>112</v>
      </c>
      <c r="K870" s="17" t="s">
        <v>113</v>
      </c>
      <c r="L870" s="100" t="s">
        <v>1875</v>
      </c>
      <c r="M870" s="20">
        <v>45965.0</v>
      </c>
      <c r="N870" s="17" t="s">
        <v>428</v>
      </c>
      <c r="O870" s="88" t="s">
        <v>1520</v>
      </c>
      <c r="P870" s="88" t="s">
        <v>1520</v>
      </c>
      <c r="Q870" s="88" t="s">
        <v>1519</v>
      </c>
      <c r="R870" s="88" t="s">
        <v>1520</v>
      </c>
      <c r="S870" s="88" t="s">
        <v>1521</v>
      </c>
      <c r="T870" s="88" t="s">
        <v>1521</v>
      </c>
      <c r="U870" s="88" t="s">
        <v>1519</v>
      </c>
      <c r="V870" s="88" t="s">
        <v>1520</v>
      </c>
      <c r="W870" s="88" t="s">
        <v>1521</v>
      </c>
      <c r="X870" s="88" t="s">
        <v>1519</v>
      </c>
      <c r="Y870" s="88" t="s">
        <v>1521</v>
      </c>
      <c r="Z870" s="88" t="s">
        <v>1521</v>
      </c>
      <c r="AA870" s="88" t="s">
        <v>1520</v>
      </c>
      <c r="AB870" s="88" t="s">
        <v>1520</v>
      </c>
      <c r="AC870" s="88" t="s">
        <v>1520</v>
      </c>
      <c r="AD870" s="89"/>
      <c r="AE870" s="18" t="s">
        <v>638</v>
      </c>
      <c r="AF870" s="24"/>
      <c r="AG870" s="24"/>
      <c r="AH870" s="24"/>
      <c r="AI870" s="24"/>
      <c r="AJ870" s="24"/>
      <c r="AK870" s="24"/>
      <c r="AL870" s="24"/>
      <c r="AM870" s="24"/>
    </row>
    <row r="871">
      <c r="A871" s="11"/>
      <c r="B871" s="12" t="s">
        <v>34</v>
      </c>
      <c r="C871" s="12" t="s">
        <v>65</v>
      </c>
      <c r="D871" s="12" t="s">
        <v>43</v>
      </c>
      <c r="E871" s="12" t="s">
        <v>717</v>
      </c>
      <c r="F871" s="13" t="s">
        <v>718</v>
      </c>
      <c r="G871" s="12" t="s">
        <v>68</v>
      </c>
      <c r="H871" s="12" t="s">
        <v>719</v>
      </c>
      <c r="I871" s="12" t="s">
        <v>720</v>
      </c>
      <c r="J871" s="17" t="s">
        <v>112</v>
      </c>
      <c r="K871" s="17" t="s">
        <v>113</v>
      </c>
      <c r="L871" s="100" t="s">
        <v>1876</v>
      </c>
      <c r="M871" s="20">
        <v>45965.0</v>
      </c>
      <c r="N871" s="17" t="s">
        <v>428</v>
      </c>
      <c r="O871" s="88" t="s">
        <v>1521</v>
      </c>
      <c r="P871" s="88" t="s">
        <v>1520</v>
      </c>
      <c r="Q871" s="88" t="s">
        <v>1521</v>
      </c>
      <c r="R871" s="88" t="s">
        <v>1520</v>
      </c>
      <c r="S871" s="88" t="s">
        <v>1520</v>
      </c>
      <c r="T871" s="88" t="s">
        <v>1521</v>
      </c>
      <c r="U871" s="88" t="s">
        <v>1519</v>
      </c>
      <c r="V871" s="88" t="s">
        <v>1520</v>
      </c>
      <c r="W871" s="88" t="s">
        <v>1521</v>
      </c>
      <c r="X871" s="88" t="s">
        <v>1519</v>
      </c>
      <c r="Y871" s="88" t="s">
        <v>1521</v>
      </c>
      <c r="Z871" s="88" t="s">
        <v>1521</v>
      </c>
      <c r="AA871" s="88" t="s">
        <v>1519</v>
      </c>
      <c r="AB871" s="88" t="s">
        <v>1520</v>
      </c>
      <c r="AC871" s="88" t="s">
        <v>1520</v>
      </c>
      <c r="AD871" s="89"/>
      <c r="AE871" s="18" t="s">
        <v>638</v>
      </c>
      <c r="AF871" s="24"/>
      <c r="AG871" s="24"/>
      <c r="AH871" s="24"/>
      <c r="AI871" s="24"/>
      <c r="AJ871" s="24"/>
      <c r="AK871" s="24"/>
      <c r="AL871" s="24"/>
      <c r="AM871" s="24"/>
    </row>
    <row r="872">
      <c r="A872" s="11"/>
      <c r="B872" s="12" t="s">
        <v>34</v>
      </c>
      <c r="C872" s="12" t="s">
        <v>65</v>
      </c>
      <c r="D872" s="12" t="s">
        <v>43</v>
      </c>
      <c r="E872" s="12" t="s">
        <v>717</v>
      </c>
      <c r="F872" s="13" t="s">
        <v>718</v>
      </c>
      <c r="G872" s="12" t="s">
        <v>68</v>
      </c>
      <c r="H872" s="12" t="s">
        <v>719</v>
      </c>
      <c r="I872" s="12" t="s">
        <v>720</v>
      </c>
      <c r="J872" s="17" t="s">
        <v>112</v>
      </c>
      <c r="K872" s="17" t="s">
        <v>113</v>
      </c>
      <c r="L872" s="100" t="s">
        <v>1877</v>
      </c>
      <c r="M872" s="20">
        <v>45965.0</v>
      </c>
      <c r="N872" s="17" t="s">
        <v>428</v>
      </c>
      <c r="O872" s="88" t="s">
        <v>1520</v>
      </c>
      <c r="P872" s="88" t="s">
        <v>1521</v>
      </c>
      <c r="Q872" s="88" t="s">
        <v>1519</v>
      </c>
      <c r="R872" s="88" t="s">
        <v>1520</v>
      </c>
      <c r="S872" s="88" t="s">
        <v>1520</v>
      </c>
      <c r="T872" s="88" t="s">
        <v>1520</v>
      </c>
      <c r="U872" s="88" t="s">
        <v>1519</v>
      </c>
      <c r="V872" s="88" t="s">
        <v>1519</v>
      </c>
      <c r="W872" s="88" t="s">
        <v>1521</v>
      </c>
      <c r="X872" s="88" t="s">
        <v>1520</v>
      </c>
      <c r="Y872" s="88" t="s">
        <v>1521</v>
      </c>
      <c r="Z872" s="88" t="s">
        <v>1521</v>
      </c>
      <c r="AA872" s="88" t="s">
        <v>1520</v>
      </c>
      <c r="AB872" s="88" t="s">
        <v>1520</v>
      </c>
      <c r="AC872" s="88" t="s">
        <v>1520</v>
      </c>
      <c r="AD872" s="89"/>
      <c r="AE872" s="18" t="s">
        <v>638</v>
      </c>
      <c r="AF872" s="24"/>
      <c r="AG872" s="24"/>
      <c r="AH872" s="24"/>
      <c r="AI872" s="24"/>
      <c r="AJ872" s="24"/>
      <c r="AK872" s="24"/>
      <c r="AL872" s="24"/>
      <c r="AM872" s="24"/>
    </row>
    <row r="873">
      <c r="A873" s="11"/>
      <c r="B873" s="12" t="s">
        <v>34</v>
      </c>
      <c r="C873" s="12" t="s">
        <v>65</v>
      </c>
      <c r="D873" s="12" t="s">
        <v>43</v>
      </c>
      <c r="E873" s="12" t="s">
        <v>717</v>
      </c>
      <c r="F873" s="13" t="s">
        <v>718</v>
      </c>
      <c r="G873" s="12" t="s">
        <v>68</v>
      </c>
      <c r="H873" s="12" t="s">
        <v>719</v>
      </c>
      <c r="I873" s="12" t="s">
        <v>720</v>
      </c>
      <c r="J873" s="17" t="s">
        <v>112</v>
      </c>
      <c r="K873" s="17" t="s">
        <v>113</v>
      </c>
      <c r="L873" s="100" t="s">
        <v>1878</v>
      </c>
      <c r="M873" s="20">
        <v>45965.0</v>
      </c>
      <c r="N873" s="17" t="s">
        <v>428</v>
      </c>
      <c r="O873" s="88" t="s">
        <v>1521</v>
      </c>
      <c r="P873" s="88" t="s">
        <v>1521</v>
      </c>
      <c r="Q873" s="88" t="s">
        <v>1520</v>
      </c>
      <c r="R873" s="88" t="s">
        <v>1520</v>
      </c>
      <c r="S873" s="88" t="s">
        <v>1521</v>
      </c>
      <c r="T873" s="88" t="s">
        <v>1520</v>
      </c>
      <c r="U873" s="88" t="s">
        <v>1519</v>
      </c>
      <c r="V873" s="88" t="s">
        <v>1521</v>
      </c>
      <c r="W873" s="88" t="s">
        <v>1521</v>
      </c>
      <c r="X873" s="88" t="s">
        <v>1520</v>
      </c>
      <c r="Y873" s="88" t="s">
        <v>1519</v>
      </c>
      <c r="Z873" s="88" t="s">
        <v>1519</v>
      </c>
      <c r="AA873" s="88" t="s">
        <v>1520</v>
      </c>
      <c r="AB873" s="88" t="s">
        <v>1520</v>
      </c>
      <c r="AC873" s="88" t="s">
        <v>1520</v>
      </c>
      <c r="AD873" s="89"/>
      <c r="AE873" s="18" t="s">
        <v>638</v>
      </c>
      <c r="AF873" s="24"/>
      <c r="AG873" s="24"/>
      <c r="AH873" s="24"/>
      <c r="AI873" s="24"/>
      <c r="AJ873" s="24"/>
      <c r="AK873" s="24"/>
      <c r="AL873" s="24"/>
      <c r="AM873" s="24"/>
    </row>
    <row r="874">
      <c r="A874" s="11"/>
      <c r="B874" s="12" t="s">
        <v>34</v>
      </c>
      <c r="C874" s="12" t="s">
        <v>65</v>
      </c>
      <c r="D874" s="12" t="s">
        <v>43</v>
      </c>
      <c r="E874" s="12" t="s">
        <v>717</v>
      </c>
      <c r="F874" s="13" t="s">
        <v>718</v>
      </c>
      <c r="G874" s="12" t="s">
        <v>68</v>
      </c>
      <c r="H874" s="12" t="s">
        <v>719</v>
      </c>
      <c r="I874" s="12" t="s">
        <v>720</v>
      </c>
      <c r="J874" s="17" t="s">
        <v>112</v>
      </c>
      <c r="K874" s="17" t="s">
        <v>113</v>
      </c>
      <c r="L874" s="100" t="s">
        <v>1879</v>
      </c>
      <c r="M874" s="20">
        <v>45965.0</v>
      </c>
      <c r="N874" s="17" t="s">
        <v>428</v>
      </c>
      <c r="O874" s="88" t="s">
        <v>1521</v>
      </c>
      <c r="P874" s="88" t="s">
        <v>1521</v>
      </c>
      <c r="Q874" s="88" t="s">
        <v>1520</v>
      </c>
      <c r="R874" s="88" t="s">
        <v>1520</v>
      </c>
      <c r="S874" s="88" t="s">
        <v>1521</v>
      </c>
      <c r="T874" s="88" t="s">
        <v>1521</v>
      </c>
      <c r="U874" s="88" t="s">
        <v>1519</v>
      </c>
      <c r="V874" s="88" t="s">
        <v>1521</v>
      </c>
      <c r="W874" s="88" t="s">
        <v>1521</v>
      </c>
      <c r="X874" s="88" t="s">
        <v>1520</v>
      </c>
      <c r="Y874" s="88" t="s">
        <v>1520</v>
      </c>
      <c r="Z874" s="88" t="s">
        <v>1520</v>
      </c>
      <c r="AA874" s="88" t="s">
        <v>1520</v>
      </c>
      <c r="AB874" s="88" t="s">
        <v>1520</v>
      </c>
      <c r="AC874" s="88" t="s">
        <v>1519</v>
      </c>
      <c r="AD874" s="89"/>
      <c r="AE874" s="18" t="s">
        <v>638</v>
      </c>
      <c r="AF874" s="24"/>
      <c r="AG874" s="24"/>
      <c r="AH874" s="24"/>
      <c r="AI874" s="24"/>
      <c r="AJ874" s="24"/>
      <c r="AK874" s="24"/>
      <c r="AL874" s="24"/>
      <c r="AM874" s="24"/>
    </row>
    <row r="875">
      <c r="A875" s="11"/>
      <c r="B875" s="12" t="s">
        <v>34</v>
      </c>
      <c r="C875" s="12" t="s">
        <v>65</v>
      </c>
      <c r="D875" s="12" t="s">
        <v>43</v>
      </c>
      <c r="E875" s="12" t="s">
        <v>717</v>
      </c>
      <c r="F875" s="13" t="s">
        <v>718</v>
      </c>
      <c r="G875" s="12" t="s">
        <v>68</v>
      </c>
      <c r="H875" s="12" t="s">
        <v>719</v>
      </c>
      <c r="I875" s="12" t="s">
        <v>720</v>
      </c>
      <c r="J875" s="17" t="s">
        <v>112</v>
      </c>
      <c r="K875" s="17" t="s">
        <v>113</v>
      </c>
      <c r="L875" s="100" t="s">
        <v>1880</v>
      </c>
      <c r="M875" s="20">
        <v>45965.0</v>
      </c>
      <c r="N875" s="17" t="s">
        <v>428</v>
      </c>
      <c r="O875" s="88" t="s">
        <v>1520</v>
      </c>
      <c r="P875" s="88" t="s">
        <v>1520</v>
      </c>
      <c r="Q875" s="88" t="s">
        <v>1520</v>
      </c>
      <c r="R875" s="88" t="s">
        <v>1520</v>
      </c>
      <c r="S875" s="88" t="s">
        <v>1521</v>
      </c>
      <c r="T875" s="88" t="s">
        <v>1521</v>
      </c>
      <c r="U875" s="88" t="s">
        <v>1519</v>
      </c>
      <c r="V875" s="88" t="s">
        <v>1519</v>
      </c>
      <c r="W875" s="88" t="s">
        <v>1520</v>
      </c>
      <c r="X875" s="88" t="s">
        <v>1520</v>
      </c>
      <c r="Y875" s="88" t="s">
        <v>1520</v>
      </c>
      <c r="Z875" s="88" t="s">
        <v>1520</v>
      </c>
      <c r="AA875" s="88" t="s">
        <v>1520</v>
      </c>
      <c r="AB875" s="88" t="s">
        <v>1520</v>
      </c>
      <c r="AC875" s="88" t="s">
        <v>1520</v>
      </c>
      <c r="AD875" s="89"/>
      <c r="AE875" s="18" t="s">
        <v>638</v>
      </c>
      <c r="AF875" s="24"/>
      <c r="AG875" s="24"/>
      <c r="AH875" s="24"/>
      <c r="AI875" s="24"/>
      <c r="AJ875" s="24"/>
      <c r="AK875" s="24"/>
      <c r="AL875" s="24"/>
      <c r="AM875" s="24"/>
    </row>
    <row r="876">
      <c r="A876" s="11"/>
      <c r="B876" s="12" t="s">
        <v>34</v>
      </c>
      <c r="C876" s="12" t="s">
        <v>65</v>
      </c>
      <c r="D876" s="12" t="s">
        <v>43</v>
      </c>
      <c r="E876" s="12" t="s">
        <v>717</v>
      </c>
      <c r="F876" s="13" t="s">
        <v>718</v>
      </c>
      <c r="G876" s="12" t="s">
        <v>68</v>
      </c>
      <c r="H876" s="12" t="s">
        <v>719</v>
      </c>
      <c r="I876" s="12" t="s">
        <v>720</v>
      </c>
      <c r="J876" s="17" t="s">
        <v>112</v>
      </c>
      <c r="K876" s="17" t="s">
        <v>113</v>
      </c>
      <c r="L876" s="100" t="s">
        <v>1881</v>
      </c>
      <c r="M876" s="20">
        <v>45965.0</v>
      </c>
      <c r="N876" s="17" t="s">
        <v>428</v>
      </c>
      <c r="O876" s="88" t="s">
        <v>1520</v>
      </c>
      <c r="P876" s="88" t="s">
        <v>1521</v>
      </c>
      <c r="Q876" s="88" t="s">
        <v>1520</v>
      </c>
      <c r="R876" s="88" t="s">
        <v>1520</v>
      </c>
      <c r="S876" s="88" t="s">
        <v>1520</v>
      </c>
      <c r="T876" s="88" t="s">
        <v>1520</v>
      </c>
      <c r="U876" s="88" t="s">
        <v>1520</v>
      </c>
      <c r="V876" s="88" t="s">
        <v>1521</v>
      </c>
      <c r="W876" s="88" t="s">
        <v>1521</v>
      </c>
      <c r="X876" s="88" t="s">
        <v>1520</v>
      </c>
      <c r="Y876" s="88" t="s">
        <v>1520</v>
      </c>
      <c r="Z876" s="88" t="s">
        <v>1520</v>
      </c>
      <c r="AA876" s="88" t="s">
        <v>1520</v>
      </c>
      <c r="AB876" s="88" t="s">
        <v>1520</v>
      </c>
      <c r="AC876" s="88" t="s">
        <v>1520</v>
      </c>
      <c r="AD876" s="89"/>
      <c r="AE876" s="18" t="s">
        <v>638</v>
      </c>
      <c r="AF876" s="24"/>
      <c r="AG876" s="24"/>
      <c r="AH876" s="24"/>
      <c r="AI876" s="24"/>
      <c r="AJ876" s="24"/>
      <c r="AK876" s="24"/>
      <c r="AL876" s="24"/>
      <c r="AM876" s="24"/>
    </row>
    <row r="877">
      <c r="A877" s="11"/>
      <c r="B877" s="12" t="s">
        <v>34</v>
      </c>
      <c r="C877" s="12" t="s">
        <v>65</v>
      </c>
      <c r="D877" s="12" t="s">
        <v>43</v>
      </c>
      <c r="E877" s="12" t="s">
        <v>717</v>
      </c>
      <c r="F877" s="13" t="s">
        <v>718</v>
      </c>
      <c r="G877" s="12" t="s">
        <v>68</v>
      </c>
      <c r="H877" s="12" t="s">
        <v>719</v>
      </c>
      <c r="I877" s="12" t="s">
        <v>720</v>
      </c>
      <c r="J877" s="17" t="s">
        <v>112</v>
      </c>
      <c r="K877" s="17" t="s">
        <v>113</v>
      </c>
      <c r="L877" s="100" t="s">
        <v>1882</v>
      </c>
      <c r="M877" s="20">
        <v>45965.0</v>
      </c>
      <c r="N877" s="17" t="s">
        <v>428</v>
      </c>
      <c r="O877" s="88" t="s">
        <v>1520</v>
      </c>
      <c r="P877" s="88" t="s">
        <v>1520</v>
      </c>
      <c r="Q877" s="88" t="s">
        <v>1520</v>
      </c>
      <c r="R877" s="88" t="s">
        <v>1520</v>
      </c>
      <c r="S877" s="88" t="s">
        <v>1521</v>
      </c>
      <c r="T877" s="88" t="s">
        <v>1521</v>
      </c>
      <c r="U877" s="88" t="s">
        <v>1520</v>
      </c>
      <c r="V877" s="88" t="s">
        <v>1520</v>
      </c>
      <c r="W877" s="88" t="s">
        <v>1521</v>
      </c>
      <c r="X877" s="88" t="s">
        <v>1520</v>
      </c>
      <c r="Y877" s="88" t="s">
        <v>1520</v>
      </c>
      <c r="Z877" s="88" t="s">
        <v>1520</v>
      </c>
      <c r="AA877" s="88" t="s">
        <v>1520</v>
      </c>
      <c r="AB877" s="88" t="s">
        <v>1520</v>
      </c>
      <c r="AC877" s="88" t="s">
        <v>1520</v>
      </c>
      <c r="AD877" s="89"/>
      <c r="AE877" s="18" t="s">
        <v>638</v>
      </c>
      <c r="AF877" s="24"/>
      <c r="AG877" s="24"/>
      <c r="AH877" s="24"/>
      <c r="AI877" s="24"/>
      <c r="AJ877" s="24"/>
      <c r="AK877" s="24"/>
      <c r="AL877" s="24"/>
      <c r="AM877" s="24"/>
    </row>
    <row r="878">
      <c r="A878" s="11"/>
      <c r="B878" s="12" t="s">
        <v>34</v>
      </c>
      <c r="C878" s="12" t="s">
        <v>65</v>
      </c>
      <c r="D878" s="12" t="s">
        <v>43</v>
      </c>
      <c r="E878" s="12" t="s">
        <v>717</v>
      </c>
      <c r="F878" s="13" t="s">
        <v>718</v>
      </c>
      <c r="G878" s="12" t="s">
        <v>68</v>
      </c>
      <c r="H878" s="12" t="s">
        <v>719</v>
      </c>
      <c r="I878" s="12" t="s">
        <v>720</v>
      </c>
      <c r="J878" s="17" t="s">
        <v>112</v>
      </c>
      <c r="K878" s="17" t="s">
        <v>113</v>
      </c>
      <c r="L878" s="100" t="s">
        <v>1883</v>
      </c>
      <c r="M878" s="20">
        <v>45965.0</v>
      </c>
      <c r="N878" s="17" t="s">
        <v>428</v>
      </c>
      <c r="O878" s="88" t="s">
        <v>1521</v>
      </c>
      <c r="P878" s="88" t="s">
        <v>1520</v>
      </c>
      <c r="Q878" s="88" t="s">
        <v>1519</v>
      </c>
      <c r="R878" s="88" t="s">
        <v>1521</v>
      </c>
      <c r="S878" s="88" t="s">
        <v>1520</v>
      </c>
      <c r="T878" s="88" t="s">
        <v>1521</v>
      </c>
      <c r="U878" s="88" t="s">
        <v>1520</v>
      </c>
      <c r="V878" s="88" t="s">
        <v>1521</v>
      </c>
      <c r="W878" s="88" t="s">
        <v>1521</v>
      </c>
      <c r="X878" s="88" t="s">
        <v>1520</v>
      </c>
      <c r="Y878" s="88" t="s">
        <v>1520</v>
      </c>
      <c r="Z878" s="88" t="s">
        <v>1520</v>
      </c>
      <c r="AA878" s="88" t="s">
        <v>1520</v>
      </c>
      <c r="AB878" s="88" t="s">
        <v>1520</v>
      </c>
      <c r="AC878" s="88" t="s">
        <v>1520</v>
      </c>
      <c r="AD878" s="89"/>
      <c r="AE878" s="18" t="s">
        <v>638</v>
      </c>
      <c r="AF878" s="24"/>
      <c r="AG878" s="24"/>
      <c r="AH878" s="24"/>
      <c r="AI878" s="24"/>
      <c r="AJ878" s="24"/>
      <c r="AK878" s="24"/>
      <c r="AL878" s="24"/>
      <c r="AM878" s="24"/>
    </row>
    <row r="879">
      <c r="A879" s="11"/>
      <c r="B879" s="12" t="s">
        <v>34</v>
      </c>
      <c r="C879" s="12" t="s">
        <v>65</v>
      </c>
      <c r="D879" s="12" t="s">
        <v>43</v>
      </c>
      <c r="E879" s="12" t="s">
        <v>717</v>
      </c>
      <c r="F879" s="13" t="s">
        <v>718</v>
      </c>
      <c r="G879" s="12" t="s">
        <v>68</v>
      </c>
      <c r="H879" s="12" t="s">
        <v>719</v>
      </c>
      <c r="I879" s="12" t="s">
        <v>720</v>
      </c>
      <c r="J879" s="17" t="s">
        <v>112</v>
      </c>
      <c r="K879" s="17" t="s">
        <v>113</v>
      </c>
      <c r="L879" s="100" t="s">
        <v>1884</v>
      </c>
      <c r="M879" s="20">
        <v>45965.0</v>
      </c>
      <c r="N879" s="17" t="s">
        <v>428</v>
      </c>
      <c r="O879" s="88" t="s">
        <v>1519</v>
      </c>
      <c r="P879" s="88" t="s">
        <v>1520</v>
      </c>
      <c r="Q879" s="88" t="s">
        <v>1519</v>
      </c>
      <c r="R879" s="88" t="s">
        <v>1520</v>
      </c>
      <c r="S879" s="88" t="s">
        <v>1520</v>
      </c>
      <c r="T879" s="88" t="s">
        <v>1520</v>
      </c>
      <c r="U879" s="88" t="s">
        <v>1520</v>
      </c>
      <c r="V879" s="88" t="s">
        <v>1521</v>
      </c>
      <c r="W879" s="88" t="s">
        <v>1521</v>
      </c>
      <c r="X879" s="88" t="s">
        <v>1520</v>
      </c>
      <c r="Y879" s="88" t="s">
        <v>1520</v>
      </c>
      <c r="Z879" s="88" t="s">
        <v>1520</v>
      </c>
      <c r="AA879" s="88" t="s">
        <v>1520</v>
      </c>
      <c r="AB879" s="88" t="s">
        <v>1519</v>
      </c>
      <c r="AC879" s="88" t="s">
        <v>1520</v>
      </c>
      <c r="AD879" s="89"/>
      <c r="AE879" s="18" t="s">
        <v>638</v>
      </c>
      <c r="AF879" s="24"/>
      <c r="AG879" s="24"/>
      <c r="AH879" s="24"/>
      <c r="AI879" s="24"/>
      <c r="AJ879" s="24"/>
      <c r="AK879" s="24"/>
      <c r="AL879" s="24"/>
      <c r="AM879" s="24"/>
    </row>
    <row r="880">
      <c r="A880" s="11"/>
      <c r="B880" s="12" t="s">
        <v>34</v>
      </c>
      <c r="C880" s="12" t="s">
        <v>65</v>
      </c>
      <c r="D880" s="12" t="s">
        <v>43</v>
      </c>
      <c r="E880" s="12" t="s">
        <v>717</v>
      </c>
      <c r="F880" s="13" t="s">
        <v>718</v>
      </c>
      <c r="G880" s="12" t="s">
        <v>68</v>
      </c>
      <c r="H880" s="12" t="s">
        <v>719</v>
      </c>
      <c r="I880" s="12" t="s">
        <v>720</v>
      </c>
      <c r="J880" s="17" t="s">
        <v>108</v>
      </c>
      <c r="K880" s="17" t="s">
        <v>109</v>
      </c>
      <c r="L880" s="100" t="s">
        <v>1885</v>
      </c>
      <c r="M880" s="20">
        <v>45965.0</v>
      </c>
      <c r="N880" s="17" t="s">
        <v>428</v>
      </c>
      <c r="O880" s="88" t="s">
        <v>1519</v>
      </c>
      <c r="P880" s="88" t="s">
        <v>1520</v>
      </c>
      <c r="Q880" s="88" t="s">
        <v>1520</v>
      </c>
      <c r="R880" s="88" t="s">
        <v>1521</v>
      </c>
      <c r="S880" s="88" t="s">
        <v>1521</v>
      </c>
      <c r="T880" s="88" t="s">
        <v>1521</v>
      </c>
      <c r="U880" s="88" t="s">
        <v>1520</v>
      </c>
      <c r="V880" s="88" t="s">
        <v>1520</v>
      </c>
      <c r="W880" s="88" t="s">
        <v>1520</v>
      </c>
      <c r="X880" s="88" t="s">
        <v>1520</v>
      </c>
      <c r="Y880" s="88" t="s">
        <v>1520</v>
      </c>
      <c r="Z880" s="88" t="s">
        <v>1519</v>
      </c>
      <c r="AA880" s="88" t="s">
        <v>1520</v>
      </c>
      <c r="AB880" s="88" t="s">
        <v>1521</v>
      </c>
      <c r="AC880" s="88" t="s">
        <v>1519</v>
      </c>
      <c r="AD880" s="89"/>
      <c r="AE880" s="18" t="s">
        <v>638</v>
      </c>
      <c r="AF880" s="24"/>
      <c r="AG880" s="24"/>
      <c r="AH880" s="24"/>
      <c r="AI880" s="24"/>
      <c r="AJ880" s="24"/>
      <c r="AK880" s="24"/>
      <c r="AL880" s="24"/>
      <c r="AM880" s="24"/>
    </row>
    <row r="881">
      <c r="A881" s="11"/>
      <c r="B881" s="12" t="s">
        <v>34</v>
      </c>
      <c r="C881" s="12" t="s">
        <v>65</v>
      </c>
      <c r="D881" s="12" t="s">
        <v>43</v>
      </c>
      <c r="E881" s="12" t="s">
        <v>717</v>
      </c>
      <c r="F881" s="13" t="s">
        <v>718</v>
      </c>
      <c r="G881" s="12" t="s">
        <v>68</v>
      </c>
      <c r="H881" s="12" t="s">
        <v>719</v>
      </c>
      <c r="I881" s="12" t="s">
        <v>720</v>
      </c>
      <c r="J881" s="17" t="s">
        <v>108</v>
      </c>
      <c r="K881" s="17" t="s">
        <v>109</v>
      </c>
      <c r="L881" s="100" t="s">
        <v>1886</v>
      </c>
      <c r="M881" s="20">
        <v>45965.0</v>
      </c>
      <c r="N881" s="17" t="s">
        <v>428</v>
      </c>
      <c r="O881" s="88" t="s">
        <v>1519</v>
      </c>
      <c r="P881" s="88" t="s">
        <v>1520</v>
      </c>
      <c r="Q881" s="88" t="s">
        <v>1520</v>
      </c>
      <c r="R881" s="88" t="s">
        <v>1521</v>
      </c>
      <c r="S881" s="88" t="s">
        <v>1520</v>
      </c>
      <c r="T881" s="88" t="s">
        <v>1521</v>
      </c>
      <c r="U881" s="88" t="s">
        <v>1520</v>
      </c>
      <c r="V881" s="88" t="s">
        <v>1520</v>
      </c>
      <c r="W881" s="88" t="s">
        <v>1520</v>
      </c>
      <c r="X881" s="88" t="s">
        <v>1520</v>
      </c>
      <c r="Y881" s="88" t="s">
        <v>1520</v>
      </c>
      <c r="Z881" s="88" t="s">
        <v>1520</v>
      </c>
      <c r="AA881" s="88" t="s">
        <v>1519</v>
      </c>
      <c r="AB881" s="88" t="s">
        <v>1519</v>
      </c>
      <c r="AC881" s="88" t="s">
        <v>1520</v>
      </c>
      <c r="AD881" s="89"/>
      <c r="AE881" s="18" t="s">
        <v>638</v>
      </c>
      <c r="AF881" s="24"/>
      <c r="AG881" s="24"/>
      <c r="AH881" s="24"/>
      <c r="AI881" s="24"/>
      <c r="AJ881" s="24"/>
      <c r="AK881" s="24"/>
      <c r="AL881" s="24"/>
      <c r="AM881" s="24"/>
    </row>
    <row r="882">
      <c r="A882" s="11"/>
      <c r="B882" s="12" t="s">
        <v>34</v>
      </c>
      <c r="C882" s="12" t="s">
        <v>65</v>
      </c>
      <c r="D882" s="12" t="s">
        <v>43</v>
      </c>
      <c r="E882" s="12" t="s">
        <v>717</v>
      </c>
      <c r="F882" s="13" t="s">
        <v>718</v>
      </c>
      <c r="G882" s="12" t="s">
        <v>68</v>
      </c>
      <c r="H882" s="12" t="s">
        <v>719</v>
      </c>
      <c r="I882" s="12" t="s">
        <v>720</v>
      </c>
      <c r="J882" s="17" t="s">
        <v>108</v>
      </c>
      <c r="K882" s="17" t="s">
        <v>109</v>
      </c>
      <c r="L882" s="100" t="s">
        <v>1887</v>
      </c>
      <c r="M882" s="20">
        <v>45965.0</v>
      </c>
      <c r="N882" s="17" t="s">
        <v>428</v>
      </c>
      <c r="O882" s="88" t="s">
        <v>1519</v>
      </c>
      <c r="P882" s="88" t="s">
        <v>1520</v>
      </c>
      <c r="Q882" s="88" t="s">
        <v>1520</v>
      </c>
      <c r="R882" s="88" t="s">
        <v>1520</v>
      </c>
      <c r="S882" s="88" t="s">
        <v>1521</v>
      </c>
      <c r="T882" s="88" t="s">
        <v>1520</v>
      </c>
      <c r="U882" s="88" t="s">
        <v>1520</v>
      </c>
      <c r="V882" s="88" t="s">
        <v>1520</v>
      </c>
      <c r="W882" s="88" t="s">
        <v>1520</v>
      </c>
      <c r="X882" s="88" t="s">
        <v>1519</v>
      </c>
      <c r="Y882" s="88" t="s">
        <v>1520</v>
      </c>
      <c r="Z882" s="88" t="s">
        <v>1520</v>
      </c>
      <c r="AA882" s="88" t="s">
        <v>1520</v>
      </c>
      <c r="AB882" s="88" t="s">
        <v>1521</v>
      </c>
      <c r="AC882" s="88" t="s">
        <v>1520</v>
      </c>
      <c r="AD882" s="89"/>
      <c r="AE882" s="18" t="s">
        <v>638</v>
      </c>
      <c r="AF882" s="24"/>
      <c r="AG882" s="24"/>
      <c r="AH882" s="24"/>
      <c r="AI882" s="24"/>
      <c r="AJ882" s="24"/>
      <c r="AK882" s="24"/>
      <c r="AL882" s="24"/>
      <c r="AM882" s="24"/>
    </row>
    <row r="883">
      <c r="A883" s="11"/>
      <c r="B883" s="12" t="s">
        <v>34</v>
      </c>
      <c r="C883" s="12" t="s">
        <v>65</v>
      </c>
      <c r="D883" s="12" t="s">
        <v>43</v>
      </c>
      <c r="E883" s="12" t="s">
        <v>717</v>
      </c>
      <c r="F883" s="13" t="s">
        <v>718</v>
      </c>
      <c r="G883" s="12" t="s">
        <v>68</v>
      </c>
      <c r="H883" s="12" t="s">
        <v>719</v>
      </c>
      <c r="I883" s="12" t="s">
        <v>720</v>
      </c>
      <c r="J883" s="17" t="s">
        <v>108</v>
      </c>
      <c r="K883" s="17" t="s">
        <v>109</v>
      </c>
      <c r="L883" s="100" t="s">
        <v>1888</v>
      </c>
      <c r="M883" s="20">
        <v>45965.0</v>
      </c>
      <c r="N883" s="17" t="s">
        <v>428</v>
      </c>
      <c r="O883" s="88" t="s">
        <v>1520</v>
      </c>
      <c r="P883" s="88" t="s">
        <v>1520</v>
      </c>
      <c r="Q883" s="88" t="s">
        <v>1520</v>
      </c>
      <c r="R883" s="88" t="s">
        <v>1521</v>
      </c>
      <c r="S883" s="88" t="s">
        <v>1520</v>
      </c>
      <c r="T883" s="88" t="s">
        <v>1520</v>
      </c>
      <c r="U883" s="88" t="s">
        <v>1520</v>
      </c>
      <c r="V883" s="88" t="s">
        <v>1520</v>
      </c>
      <c r="W883" s="88" t="s">
        <v>1520</v>
      </c>
      <c r="X883" s="88" t="s">
        <v>1520</v>
      </c>
      <c r="Y883" s="88" t="s">
        <v>1520</v>
      </c>
      <c r="Z883" s="88" t="s">
        <v>1520</v>
      </c>
      <c r="AA883" s="88" t="s">
        <v>1519</v>
      </c>
      <c r="AB883" s="88" t="s">
        <v>1519</v>
      </c>
      <c r="AC883" s="88" t="s">
        <v>1520</v>
      </c>
      <c r="AD883" s="89"/>
      <c r="AE883" s="18" t="s">
        <v>638</v>
      </c>
      <c r="AF883" s="24"/>
      <c r="AG883" s="24"/>
      <c r="AH883" s="24"/>
      <c r="AI883" s="24"/>
      <c r="AJ883" s="24"/>
      <c r="AK883" s="24"/>
      <c r="AL883" s="24"/>
      <c r="AM883" s="24"/>
    </row>
    <row r="884">
      <c r="A884" s="11"/>
      <c r="B884" s="12" t="s">
        <v>34</v>
      </c>
      <c r="C884" s="12" t="s">
        <v>65</v>
      </c>
      <c r="D884" s="12" t="s">
        <v>43</v>
      </c>
      <c r="E884" s="12" t="s">
        <v>717</v>
      </c>
      <c r="F884" s="13" t="s">
        <v>718</v>
      </c>
      <c r="G884" s="12" t="s">
        <v>68</v>
      </c>
      <c r="H884" s="12" t="s">
        <v>719</v>
      </c>
      <c r="I884" s="12" t="s">
        <v>720</v>
      </c>
      <c r="J884" s="17" t="s">
        <v>108</v>
      </c>
      <c r="K884" s="17" t="s">
        <v>109</v>
      </c>
      <c r="L884" s="100" t="s">
        <v>1889</v>
      </c>
      <c r="M884" s="20">
        <v>45965.0</v>
      </c>
      <c r="N884" s="17" t="s">
        <v>428</v>
      </c>
      <c r="O884" s="88" t="s">
        <v>1520</v>
      </c>
      <c r="P884" s="88" t="s">
        <v>1520</v>
      </c>
      <c r="Q884" s="88" t="s">
        <v>1521</v>
      </c>
      <c r="R884" s="88" t="s">
        <v>1520</v>
      </c>
      <c r="S884" s="88" t="s">
        <v>1520</v>
      </c>
      <c r="T884" s="88" t="s">
        <v>1520</v>
      </c>
      <c r="U884" s="88" t="s">
        <v>1519</v>
      </c>
      <c r="V884" s="88" t="s">
        <v>1520</v>
      </c>
      <c r="W884" s="88" t="s">
        <v>1520</v>
      </c>
      <c r="X884" s="88" t="s">
        <v>1520</v>
      </c>
      <c r="Y884" s="88" t="s">
        <v>1520</v>
      </c>
      <c r="Z884" s="88" t="s">
        <v>1520</v>
      </c>
      <c r="AA884" s="88" t="s">
        <v>1520</v>
      </c>
      <c r="AB884" s="88" t="s">
        <v>1521</v>
      </c>
      <c r="AC884" s="88" t="s">
        <v>1519</v>
      </c>
      <c r="AD884" s="89"/>
      <c r="AE884" s="18" t="s">
        <v>638</v>
      </c>
      <c r="AF884" s="24"/>
      <c r="AG884" s="24"/>
      <c r="AH884" s="24"/>
      <c r="AI884" s="24"/>
      <c r="AJ884" s="24"/>
      <c r="AK884" s="24"/>
      <c r="AL884" s="24"/>
      <c r="AM884" s="24"/>
    </row>
    <row r="885">
      <c r="A885" s="11"/>
      <c r="B885" s="12" t="s">
        <v>34</v>
      </c>
      <c r="C885" s="12" t="s">
        <v>65</v>
      </c>
      <c r="D885" s="12" t="s">
        <v>43</v>
      </c>
      <c r="E885" s="12" t="s">
        <v>717</v>
      </c>
      <c r="F885" s="13" t="s">
        <v>718</v>
      </c>
      <c r="G885" s="12" t="s">
        <v>68</v>
      </c>
      <c r="H885" s="12" t="s">
        <v>719</v>
      </c>
      <c r="I885" s="12" t="s">
        <v>720</v>
      </c>
      <c r="J885" s="17" t="s">
        <v>108</v>
      </c>
      <c r="K885" s="17" t="s">
        <v>109</v>
      </c>
      <c r="L885" s="100" t="s">
        <v>1890</v>
      </c>
      <c r="M885" s="20">
        <v>45965.0</v>
      </c>
      <c r="N885" s="17" t="s">
        <v>428</v>
      </c>
      <c r="O885" s="88" t="s">
        <v>1520</v>
      </c>
      <c r="P885" s="88" t="s">
        <v>1520</v>
      </c>
      <c r="Q885" s="88" t="s">
        <v>1519</v>
      </c>
      <c r="R885" s="88" t="s">
        <v>1520</v>
      </c>
      <c r="S885" s="88" t="s">
        <v>1520</v>
      </c>
      <c r="T885" s="88" t="s">
        <v>1520</v>
      </c>
      <c r="U885" s="88" t="s">
        <v>1519</v>
      </c>
      <c r="V885" s="88" t="s">
        <v>1521</v>
      </c>
      <c r="W885" s="88" t="s">
        <v>1519</v>
      </c>
      <c r="X885" s="88" t="s">
        <v>1520</v>
      </c>
      <c r="Y885" s="88" t="s">
        <v>1520</v>
      </c>
      <c r="Z885" s="88" t="s">
        <v>1519</v>
      </c>
      <c r="AA885" s="88" t="s">
        <v>1520</v>
      </c>
      <c r="AB885" s="88" t="s">
        <v>1519</v>
      </c>
      <c r="AC885" s="88" t="s">
        <v>1521</v>
      </c>
      <c r="AD885" s="89"/>
      <c r="AE885" s="18" t="s">
        <v>638</v>
      </c>
      <c r="AF885" s="24"/>
      <c r="AG885" s="24"/>
      <c r="AH885" s="24"/>
      <c r="AI885" s="24"/>
      <c r="AJ885" s="24"/>
      <c r="AK885" s="24"/>
      <c r="AL885" s="24"/>
      <c r="AM885" s="24"/>
    </row>
    <row r="886">
      <c r="A886" s="11"/>
      <c r="B886" s="12" t="s">
        <v>34</v>
      </c>
      <c r="C886" s="12" t="s">
        <v>65</v>
      </c>
      <c r="D886" s="12" t="s">
        <v>43</v>
      </c>
      <c r="E886" s="12" t="s">
        <v>717</v>
      </c>
      <c r="F886" s="13" t="s">
        <v>718</v>
      </c>
      <c r="G886" s="12" t="s">
        <v>68</v>
      </c>
      <c r="H886" s="12" t="s">
        <v>719</v>
      </c>
      <c r="I886" s="12" t="s">
        <v>720</v>
      </c>
      <c r="J886" s="17" t="s">
        <v>108</v>
      </c>
      <c r="K886" s="17" t="s">
        <v>109</v>
      </c>
      <c r="L886" s="100" t="s">
        <v>1891</v>
      </c>
      <c r="M886" s="20">
        <v>45965.0</v>
      </c>
      <c r="N886" s="17" t="s">
        <v>428</v>
      </c>
      <c r="O886" s="88" t="s">
        <v>1521</v>
      </c>
      <c r="P886" s="88" t="s">
        <v>1520</v>
      </c>
      <c r="Q886" s="88" t="s">
        <v>1520</v>
      </c>
      <c r="R886" s="88" t="s">
        <v>1520</v>
      </c>
      <c r="S886" s="88" t="s">
        <v>1521</v>
      </c>
      <c r="T886" s="88" t="s">
        <v>1520</v>
      </c>
      <c r="U886" s="88" t="s">
        <v>1519</v>
      </c>
      <c r="V886" s="88" t="s">
        <v>1519</v>
      </c>
      <c r="W886" s="88" t="s">
        <v>1521</v>
      </c>
      <c r="X886" s="88" t="s">
        <v>1520</v>
      </c>
      <c r="Y886" s="88" t="s">
        <v>1519</v>
      </c>
      <c r="Z886" s="88" t="s">
        <v>1519</v>
      </c>
      <c r="AA886" s="88" t="s">
        <v>1520</v>
      </c>
      <c r="AB886" s="88" t="s">
        <v>1520</v>
      </c>
      <c r="AC886" s="88" t="s">
        <v>1520</v>
      </c>
      <c r="AD886" s="89"/>
      <c r="AE886" s="18" t="s">
        <v>638</v>
      </c>
      <c r="AF886" s="24"/>
      <c r="AG886" s="24"/>
      <c r="AH886" s="24"/>
      <c r="AI886" s="24"/>
      <c r="AJ886" s="24"/>
      <c r="AK886" s="24"/>
      <c r="AL886" s="24"/>
      <c r="AM886" s="24"/>
    </row>
    <row r="887">
      <c r="A887" s="11"/>
      <c r="B887" s="12" t="s">
        <v>34</v>
      </c>
      <c r="C887" s="12" t="s">
        <v>65</v>
      </c>
      <c r="D887" s="12" t="s">
        <v>43</v>
      </c>
      <c r="E887" s="12" t="s">
        <v>717</v>
      </c>
      <c r="F887" s="13" t="s">
        <v>718</v>
      </c>
      <c r="G887" s="12" t="s">
        <v>68</v>
      </c>
      <c r="H887" s="12" t="s">
        <v>719</v>
      </c>
      <c r="I887" s="12" t="s">
        <v>720</v>
      </c>
      <c r="J887" s="17" t="s">
        <v>108</v>
      </c>
      <c r="K887" s="17" t="s">
        <v>109</v>
      </c>
      <c r="L887" s="100" t="s">
        <v>1892</v>
      </c>
      <c r="M887" s="20">
        <v>45965.0</v>
      </c>
      <c r="N887" s="17" t="s">
        <v>428</v>
      </c>
      <c r="O887" s="88" t="s">
        <v>1520</v>
      </c>
      <c r="P887" s="88" t="s">
        <v>1520</v>
      </c>
      <c r="Q887" s="88" t="s">
        <v>1520</v>
      </c>
      <c r="R887" s="88" t="s">
        <v>1520</v>
      </c>
      <c r="S887" s="88" t="s">
        <v>1521</v>
      </c>
      <c r="T887" s="88" t="s">
        <v>1520</v>
      </c>
      <c r="U887" s="88" t="s">
        <v>1519</v>
      </c>
      <c r="V887" s="88" t="s">
        <v>1521</v>
      </c>
      <c r="W887" s="88" t="s">
        <v>1519</v>
      </c>
      <c r="X887" s="88" t="s">
        <v>1520</v>
      </c>
      <c r="Y887" s="88" t="s">
        <v>1519</v>
      </c>
      <c r="Z887" s="88" t="s">
        <v>1519</v>
      </c>
      <c r="AA887" s="88" t="s">
        <v>1520</v>
      </c>
      <c r="AB887" s="88" t="s">
        <v>1519</v>
      </c>
      <c r="AC887" s="88" t="s">
        <v>1519</v>
      </c>
      <c r="AD887" s="89"/>
      <c r="AE887" s="18" t="s">
        <v>638</v>
      </c>
      <c r="AF887" s="24"/>
      <c r="AG887" s="24"/>
      <c r="AH887" s="24"/>
      <c r="AI887" s="24"/>
      <c r="AJ887" s="24"/>
      <c r="AK887" s="24"/>
      <c r="AL887" s="24"/>
      <c r="AM887" s="24"/>
    </row>
    <row r="888">
      <c r="A888" s="11"/>
      <c r="B888" s="12" t="s">
        <v>34</v>
      </c>
      <c r="C888" s="12" t="s">
        <v>65</v>
      </c>
      <c r="D888" s="12" t="s">
        <v>43</v>
      </c>
      <c r="E888" s="12" t="s">
        <v>717</v>
      </c>
      <c r="F888" s="13" t="s">
        <v>718</v>
      </c>
      <c r="G888" s="12" t="s">
        <v>68</v>
      </c>
      <c r="H888" s="12" t="s">
        <v>719</v>
      </c>
      <c r="I888" s="12" t="s">
        <v>720</v>
      </c>
      <c r="J888" s="17" t="s">
        <v>108</v>
      </c>
      <c r="K888" s="17" t="s">
        <v>109</v>
      </c>
      <c r="L888" s="100" t="s">
        <v>1893</v>
      </c>
      <c r="M888" s="20">
        <v>45965.0</v>
      </c>
      <c r="N888" s="17" t="s">
        <v>428</v>
      </c>
      <c r="O888" s="88" t="s">
        <v>1520</v>
      </c>
      <c r="P888" s="88" t="s">
        <v>1520</v>
      </c>
      <c r="Q888" s="88" t="s">
        <v>1520</v>
      </c>
      <c r="R888" s="88" t="s">
        <v>1520</v>
      </c>
      <c r="S888" s="88" t="s">
        <v>1520</v>
      </c>
      <c r="T888" s="88" t="s">
        <v>1521</v>
      </c>
      <c r="U888" s="88" t="s">
        <v>1519</v>
      </c>
      <c r="V888" s="88" t="s">
        <v>1521</v>
      </c>
      <c r="W888" s="88" t="s">
        <v>1520</v>
      </c>
      <c r="X888" s="88" t="s">
        <v>1520</v>
      </c>
      <c r="Y888" s="88" t="s">
        <v>1520</v>
      </c>
      <c r="Z888" s="88" t="s">
        <v>1519</v>
      </c>
      <c r="AA888" s="88" t="s">
        <v>1520</v>
      </c>
      <c r="AB888" s="88" t="s">
        <v>1520</v>
      </c>
      <c r="AC888" s="88" t="s">
        <v>1520</v>
      </c>
      <c r="AD888" s="89"/>
      <c r="AE888" s="18" t="s">
        <v>638</v>
      </c>
      <c r="AF888" s="24"/>
      <c r="AG888" s="24"/>
      <c r="AH888" s="24"/>
      <c r="AI888" s="24"/>
      <c r="AJ888" s="24"/>
      <c r="AK888" s="24"/>
      <c r="AL888" s="24"/>
      <c r="AM888" s="24"/>
    </row>
    <row r="889">
      <c r="A889" s="11"/>
      <c r="B889" s="12" t="s">
        <v>34</v>
      </c>
      <c r="C889" s="12" t="s">
        <v>65</v>
      </c>
      <c r="D889" s="12" t="s">
        <v>43</v>
      </c>
      <c r="E889" s="12" t="s">
        <v>717</v>
      </c>
      <c r="F889" s="13" t="s">
        <v>718</v>
      </c>
      <c r="G889" s="12" t="s">
        <v>68</v>
      </c>
      <c r="H889" s="12" t="s">
        <v>719</v>
      </c>
      <c r="I889" s="12" t="s">
        <v>720</v>
      </c>
      <c r="J889" s="17" t="s">
        <v>108</v>
      </c>
      <c r="K889" s="17" t="s">
        <v>109</v>
      </c>
      <c r="L889" s="100" t="s">
        <v>1894</v>
      </c>
      <c r="M889" s="20">
        <v>45965.0</v>
      </c>
      <c r="N889" s="17" t="s">
        <v>428</v>
      </c>
      <c r="O889" s="88" t="s">
        <v>1520</v>
      </c>
      <c r="P889" s="88" t="s">
        <v>1520</v>
      </c>
      <c r="Q889" s="88" t="s">
        <v>1520</v>
      </c>
      <c r="R889" s="88" t="s">
        <v>1520</v>
      </c>
      <c r="S889" s="88" t="s">
        <v>1521</v>
      </c>
      <c r="T889" s="88" t="s">
        <v>1519</v>
      </c>
      <c r="U889" s="88" t="s">
        <v>1521</v>
      </c>
      <c r="V889" s="88" t="s">
        <v>1520</v>
      </c>
      <c r="W889" s="88" t="s">
        <v>1520</v>
      </c>
      <c r="X889" s="88" t="s">
        <v>1520</v>
      </c>
      <c r="Y889" s="88" t="s">
        <v>1519</v>
      </c>
      <c r="Z889" s="88" t="s">
        <v>1520</v>
      </c>
      <c r="AA889" s="88" t="s">
        <v>1520</v>
      </c>
      <c r="AB889" s="88" t="s">
        <v>1520</v>
      </c>
      <c r="AC889" s="88" t="s">
        <v>1519</v>
      </c>
      <c r="AD889" s="89"/>
      <c r="AE889" s="18" t="s">
        <v>638</v>
      </c>
      <c r="AF889" s="24"/>
      <c r="AG889" s="24"/>
      <c r="AH889" s="24"/>
      <c r="AI889" s="24"/>
      <c r="AJ889" s="24"/>
      <c r="AK889" s="24"/>
      <c r="AL889" s="24"/>
      <c r="AM889" s="24"/>
    </row>
    <row r="890">
      <c r="A890" s="11"/>
      <c r="B890" s="12" t="s">
        <v>34</v>
      </c>
      <c r="C890" s="12" t="s">
        <v>65</v>
      </c>
      <c r="D890" s="12" t="s">
        <v>43</v>
      </c>
      <c r="E890" s="12" t="s">
        <v>717</v>
      </c>
      <c r="F890" s="13" t="s">
        <v>718</v>
      </c>
      <c r="G890" s="12" t="s">
        <v>68</v>
      </c>
      <c r="H890" s="12" t="s">
        <v>719</v>
      </c>
      <c r="I890" s="12" t="s">
        <v>720</v>
      </c>
      <c r="J890" s="17" t="s">
        <v>108</v>
      </c>
      <c r="K890" s="17" t="s">
        <v>109</v>
      </c>
      <c r="L890" s="100" t="s">
        <v>1895</v>
      </c>
      <c r="M890" s="20">
        <v>45965.0</v>
      </c>
      <c r="N890" s="17" t="s">
        <v>428</v>
      </c>
      <c r="O890" s="88" t="s">
        <v>1520</v>
      </c>
      <c r="P890" s="88" t="s">
        <v>1520</v>
      </c>
      <c r="Q890" s="88" t="s">
        <v>1520</v>
      </c>
      <c r="R890" s="88" t="s">
        <v>1520</v>
      </c>
      <c r="S890" s="88" t="s">
        <v>1520</v>
      </c>
      <c r="T890" s="88" t="s">
        <v>1521</v>
      </c>
      <c r="U890" s="88" t="s">
        <v>1521</v>
      </c>
      <c r="V890" s="88" t="s">
        <v>1521</v>
      </c>
      <c r="W890" s="88" t="s">
        <v>1520</v>
      </c>
      <c r="X890" s="88" t="s">
        <v>1519</v>
      </c>
      <c r="Y890" s="88" t="s">
        <v>1519</v>
      </c>
      <c r="Z890" s="88" t="s">
        <v>1520</v>
      </c>
      <c r="AA890" s="88" t="s">
        <v>1519</v>
      </c>
      <c r="AB890" s="88" t="s">
        <v>1520</v>
      </c>
      <c r="AC890" s="88" t="s">
        <v>1520</v>
      </c>
      <c r="AD890" s="89"/>
      <c r="AE890" s="18" t="s">
        <v>638</v>
      </c>
      <c r="AF890" s="24"/>
      <c r="AG890" s="24"/>
      <c r="AH890" s="24"/>
      <c r="AI890" s="24"/>
      <c r="AJ890" s="24"/>
      <c r="AK890" s="24"/>
      <c r="AL890" s="24"/>
      <c r="AM890" s="24"/>
    </row>
    <row r="891">
      <c r="A891" s="11"/>
      <c r="B891" s="12" t="s">
        <v>34</v>
      </c>
      <c r="C891" s="12" t="s">
        <v>65</v>
      </c>
      <c r="D891" s="12" t="s">
        <v>43</v>
      </c>
      <c r="E891" s="12" t="s">
        <v>717</v>
      </c>
      <c r="F891" s="13" t="s">
        <v>718</v>
      </c>
      <c r="G891" s="12" t="s">
        <v>68</v>
      </c>
      <c r="H891" s="12" t="s">
        <v>719</v>
      </c>
      <c r="I891" s="12" t="s">
        <v>720</v>
      </c>
      <c r="J891" s="17" t="s">
        <v>108</v>
      </c>
      <c r="K891" s="17" t="s">
        <v>109</v>
      </c>
      <c r="L891" s="100" t="s">
        <v>1896</v>
      </c>
      <c r="M891" s="20">
        <v>45965.0</v>
      </c>
      <c r="N891" s="17" t="s">
        <v>428</v>
      </c>
      <c r="O891" s="88" t="s">
        <v>1520</v>
      </c>
      <c r="P891" s="88" t="s">
        <v>1521</v>
      </c>
      <c r="Q891" s="88" t="s">
        <v>1520</v>
      </c>
      <c r="R891" s="88" t="s">
        <v>1520</v>
      </c>
      <c r="S891" s="88" t="s">
        <v>1520</v>
      </c>
      <c r="T891" s="88" t="s">
        <v>1519</v>
      </c>
      <c r="U891" s="88" t="s">
        <v>1519</v>
      </c>
      <c r="V891" s="88" t="s">
        <v>1520</v>
      </c>
      <c r="W891" s="88" t="s">
        <v>1520</v>
      </c>
      <c r="X891" s="88" t="s">
        <v>1520</v>
      </c>
      <c r="Y891" s="88" t="s">
        <v>1519</v>
      </c>
      <c r="Z891" s="88" t="s">
        <v>1520</v>
      </c>
      <c r="AA891" s="88" t="s">
        <v>1520</v>
      </c>
      <c r="AB891" s="88" t="s">
        <v>1520</v>
      </c>
      <c r="AC891" s="88" t="s">
        <v>1520</v>
      </c>
      <c r="AD891" s="89"/>
      <c r="AE891" s="18" t="s">
        <v>638</v>
      </c>
      <c r="AF891" s="24"/>
      <c r="AG891" s="24"/>
      <c r="AH891" s="24"/>
      <c r="AI891" s="24"/>
      <c r="AJ891" s="24"/>
      <c r="AK891" s="24"/>
      <c r="AL891" s="24"/>
      <c r="AM891" s="24"/>
    </row>
    <row r="892">
      <c r="A892" s="11"/>
      <c r="B892" s="12" t="s">
        <v>34</v>
      </c>
      <c r="C892" s="12" t="s">
        <v>65</v>
      </c>
      <c r="D892" s="12" t="s">
        <v>43</v>
      </c>
      <c r="E892" s="12" t="s">
        <v>717</v>
      </c>
      <c r="F892" s="13" t="s">
        <v>718</v>
      </c>
      <c r="G892" s="12" t="s">
        <v>68</v>
      </c>
      <c r="H892" s="12" t="s">
        <v>719</v>
      </c>
      <c r="I892" s="12" t="s">
        <v>720</v>
      </c>
      <c r="J892" s="17" t="s">
        <v>108</v>
      </c>
      <c r="K892" s="17" t="s">
        <v>109</v>
      </c>
      <c r="L892" s="100" t="s">
        <v>1897</v>
      </c>
      <c r="M892" s="20">
        <v>45965.0</v>
      </c>
      <c r="N892" s="17" t="s">
        <v>428</v>
      </c>
      <c r="O892" s="88" t="s">
        <v>1521</v>
      </c>
      <c r="P892" s="88" t="s">
        <v>1520</v>
      </c>
      <c r="Q892" s="88" t="s">
        <v>1519</v>
      </c>
      <c r="R892" s="88" t="s">
        <v>1520</v>
      </c>
      <c r="S892" s="88" t="s">
        <v>1520</v>
      </c>
      <c r="T892" s="88" t="s">
        <v>1520</v>
      </c>
      <c r="U892" s="88" t="s">
        <v>1521</v>
      </c>
      <c r="V892" s="88" t="s">
        <v>1520</v>
      </c>
      <c r="W892" s="88" t="s">
        <v>1520</v>
      </c>
      <c r="X892" s="88" t="s">
        <v>1520</v>
      </c>
      <c r="Y892" s="88" t="s">
        <v>1519</v>
      </c>
      <c r="Z892" s="88" t="s">
        <v>1520</v>
      </c>
      <c r="AA892" s="88" t="s">
        <v>1520</v>
      </c>
      <c r="AB892" s="88" t="s">
        <v>1519</v>
      </c>
      <c r="AC892" s="88" t="s">
        <v>1520</v>
      </c>
      <c r="AD892" s="89"/>
      <c r="AE892" s="18" t="s">
        <v>638</v>
      </c>
      <c r="AF892" s="24"/>
      <c r="AG892" s="24"/>
      <c r="AH892" s="24"/>
      <c r="AI892" s="24"/>
      <c r="AJ892" s="24"/>
      <c r="AK892" s="24"/>
      <c r="AL892" s="24"/>
      <c r="AM892" s="24"/>
    </row>
    <row r="893">
      <c r="A893" s="11"/>
      <c r="B893" s="12" t="s">
        <v>34</v>
      </c>
      <c r="C893" s="12" t="s">
        <v>65</v>
      </c>
      <c r="D893" s="12" t="s">
        <v>43</v>
      </c>
      <c r="E893" s="12" t="s">
        <v>717</v>
      </c>
      <c r="F893" s="13" t="s">
        <v>718</v>
      </c>
      <c r="G893" s="12" t="s">
        <v>68</v>
      </c>
      <c r="H893" s="12" t="s">
        <v>719</v>
      </c>
      <c r="I893" s="12" t="s">
        <v>720</v>
      </c>
      <c r="J893" s="17" t="s">
        <v>108</v>
      </c>
      <c r="K893" s="17" t="s">
        <v>109</v>
      </c>
      <c r="L893" s="100" t="s">
        <v>1898</v>
      </c>
      <c r="M893" s="20">
        <v>45965.0</v>
      </c>
      <c r="N893" s="17" t="s">
        <v>428</v>
      </c>
      <c r="O893" s="88" t="s">
        <v>1521</v>
      </c>
      <c r="P893" s="88" t="s">
        <v>1520</v>
      </c>
      <c r="Q893" s="88" t="s">
        <v>1521</v>
      </c>
      <c r="R893" s="88" t="s">
        <v>1520</v>
      </c>
      <c r="S893" s="88" t="s">
        <v>1520</v>
      </c>
      <c r="T893" s="88" t="s">
        <v>1520</v>
      </c>
      <c r="U893" s="88" t="s">
        <v>1519</v>
      </c>
      <c r="V893" s="88" t="s">
        <v>1520</v>
      </c>
      <c r="W893" s="88" t="s">
        <v>1520</v>
      </c>
      <c r="X893" s="88" t="s">
        <v>1520</v>
      </c>
      <c r="Y893" s="88" t="s">
        <v>1519</v>
      </c>
      <c r="Z893" s="88" t="s">
        <v>1519</v>
      </c>
      <c r="AA893" s="88" t="s">
        <v>1520</v>
      </c>
      <c r="AB893" s="88" t="s">
        <v>1520</v>
      </c>
      <c r="AC893" s="88" t="s">
        <v>1519</v>
      </c>
      <c r="AD893" s="89"/>
      <c r="AE893" s="18" t="s">
        <v>638</v>
      </c>
      <c r="AF893" s="24"/>
      <c r="AG893" s="24"/>
      <c r="AH893" s="24"/>
      <c r="AI893" s="24"/>
      <c r="AJ893" s="24"/>
      <c r="AK893" s="24"/>
      <c r="AL893" s="24"/>
      <c r="AM893" s="24"/>
    </row>
    <row r="894">
      <c r="A894" s="11"/>
      <c r="B894" s="12" t="s">
        <v>34</v>
      </c>
      <c r="C894" s="12" t="s">
        <v>65</v>
      </c>
      <c r="D894" s="12" t="s">
        <v>43</v>
      </c>
      <c r="E894" s="12" t="s">
        <v>717</v>
      </c>
      <c r="F894" s="13" t="s">
        <v>718</v>
      </c>
      <c r="G894" s="12" t="s">
        <v>68</v>
      </c>
      <c r="H894" s="12" t="s">
        <v>719</v>
      </c>
      <c r="I894" s="12" t="s">
        <v>720</v>
      </c>
      <c r="J894" s="17" t="s">
        <v>108</v>
      </c>
      <c r="K894" s="17" t="s">
        <v>109</v>
      </c>
      <c r="L894" s="100" t="s">
        <v>1899</v>
      </c>
      <c r="M894" s="20">
        <v>45965.0</v>
      </c>
      <c r="N894" s="17" t="s">
        <v>428</v>
      </c>
      <c r="O894" s="88" t="s">
        <v>1521</v>
      </c>
      <c r="P894" s="88" t="s">
        <v>1520</v>
      </c>
      <c r="Q894" s="88" t="s">
        <v>1521</v>
      </c>
      <c r="R894" s="88" t="s">
        <v>1520</v>
      </c>
      <c r="S894" s="88" t="s">
        <v>1521</v>
      </c>
      <c r="T894" s="88" t="s">
        <v>1520</v>
      </c>
      <c r="U894" s="88" t="s">
        <v>1519</v>
      </c>
      <c r="V894" s="88" t="s">
        <v>1521</v>
      </c>
      <c r="W894" s="88" t="s">
        <v>1520</v>
      </c>
      <c r="X894" s="88" t="s">
        <v>1520</v>
      </c>
      <c r="Y894" s="88" t="s">
        <v>1519</v>
      </c>
      <c r="Z894" s="88" t="s">
        <v>1520</v>
      </c>
      <c r="AA894" s="88" t="s">
        <v>1520</v>
      </c>
      <c r="AB894" s="88" t="s">
        <v>1520</v>
      </c>
      <c r="AC894" s="88" t="s">
        <v>1520</v>
      </c>
      <c r="AD894" s="89"/>
      <c r="AE894" s="18" t="s">
        <v>638</v>
      </c>
      <c r="AF894" s="24"/>
      <c r="AG894" s="24"/>
      <c r="AH894" s="24"/>
      <c r="AI894" s="24"/>
      <c r="AJ894" s="24"/>
      <c r="AK894" s="24"/>
      <c r="AL894" s="24"/>
      <c r="AM894" s="24"/>
    </row>
    <row r="895">
      <c r="A895" s="11"/>
      <c r="B895" s="12" t="s">
        <v>34</v>
      </c>
      <c r="C895" s="12" t="s">
        <v>65</v>
      </c>
      <c r="D895" s="12" t="s">
        <v>43</v>
      </c>
      <c r="E895" s="12" t="s">
        <v>717</v>
      </c>
      <c r="F895" s="13" t="s">
        <v>718</v>
      </c>
      <c r="G895" s="12" t="s">
        <v>68</v>
      </c>
      <c r="H895" s="12" t="s">
        <v>719</v>
      </c>
      <c r="I895" s="12" t="s">
        <v>720</v>
      </c>
      <c r="J895" s="17" t="s">
        <v>108</v>
      </c>
      <c r="K895" s="17" t="s">
        <v>109</v>
      </c>
      <c r="L895" s="100" t="s">
        <v>1900</v>
      </c>
      <c r="M895" s="20">
        <v>45965.0</v>
      </c>
      <c r="N895" s="17" t="s">
        <v>428</v>
      </c>
      <c r="O895" s="88" t="s">
        <v>1520</v>
      </c>
      <c r="P895" s="88" t="s">
        <v>1520</v>
      </c>
      <c r="Q895" s="88" t="s">
        <v>1520</v>
      </c>
      <c r="R895" s="88" t="s">
        <v>1520</v>
      </c>
      <c r="S895" s="88" t="s">
        <v>1521</v>
      </c>
      <c r="T895" s="88" t="s">
        <v>1520</v>
      </c>
      <c r="U895" s="88" t="s">
        <v>1519</v>
      </c>
      <c r="V895" s="88" t="s">
        <v>1521</v>
      </c>
      <c r="W895" s="88" t="s">
        <v>1520</v>
      </c>
      <c r="X895" s="88" t="s">
        <v>1521</v>
      </c>
      <c r="Y895" s="88" t="s">
        <v>1519</v>
      </c>
      <c r="Z895" s="88" t="s">
        <v>1520</v>
      </c>
      <c r="AA895" s="88" t="s">
        <v>1520</v>
      </c>
      <c r="AB895" s="88" t="s">
        <v>1520</v>
      </c>
      <c r="AC895" s="88" t="s">
        <v>1520</v>
      </c>
      <c r="AD895" s="89"/>
      <c r="AE895" s="18" t="s">
        <v>638</v>
      </c>
      <c r="AF895" s="24"/>
      <c r="AG895" s="24"/>
      <c r="AH895" s="24"/>
      <c r="AI895" s="24"/>
      <c r="AJ895" s="24"/>
      <c r="AK895" s="24"/>
      <c r="AL895" s="24"/>
      <c r="AM895" s="24"/>
    </row>
    <row r="896">
      <c r="A896" s="11"/>
      <c r="B896" s="12" t="s">
        <v>34</v>
      </c>
      <c r="C896" s="12" t="s">
        <v>65</v>
      </c>
      <c r="D896" s="12" t="s">
        <v>43</v>
      </c>
      <c r="E896" s="12" t="s">
        <v>691</v>
      </c>
      <c r="F896" s="13" t="s">
        <v>692</v>
      </c>
      <c r="G896" s="12" t="s">
        <v>68</v>
      </c>
      <c r="H896" s="12" t="s">
        <v>693</v>
      </c>
      <c r="I896" s="12" t="s">
        <v>694</v>
      </c>
      <c r="J896" s="17" t="s">
        <v>73</v>
      </c>
      <c r="K896" s="17" t="s">
        <v>74</v>
      </c>
      <c r="L896" s="100" t="s">
        <v>1901</v>
      </c>
      <c r="M896" s="20">
        <v>45975.0</v>
      </c>
      <c r="N896" s="17" t="s">
        <v>428</v>
      </c>
      <c r="O896" s="88" t="s">
        <v>1520</v>
      </c>
      <c r="P896" s="88" t="s">
        <v>1520</v>
      </c>
      <c r="Q896" s="88" t="s">
        <v>1520</v>
      </c>
      <c r="R896" s="88" t="s">
        <v>1520</v>
      </c>
      <c r="S896" s="88" t="s">
        <v>1520</v>
      </c>
      <c r="T896" s="88" t="s">
        <v>1520</v>
      </c>
      <c r="U896" s="88" t="s">
        <v>1521</v>
      </c>
      <c r="V896" s="88" t="s">
        <v>1520</v>
      </c>
      <c r="W896" s="88" t="s">
        <v>1520</v>
      </c>
      <c r="X896" s="88" t="s">
        <v>1520</v>
      </c>
      <c r="Y896" s="88" t="s">
        <v>1520</v>
      </c>
      <c r="Z896" s="88" t="s">
        <v>1520</v>
      </c>
      <c r="AA896" s="88" t="s">
        <v>1520</v>
      </c>
      <c r="AB896" s="88" t="s">
        <v>1520</v>
      </c>
      <c r="AC896" s="88" t="s">
        <v>1520</v>
      </c>
      <c r="AD896" s="89"/>
      <c r="AE896" s="18" t="s">
        <v>638</v>
      </c>
      <c r="AF896" s="24"/>
      <c r="AG896" s="24"/>
      <c r="AH896" s="24"/>
      <c r="AI896" s="24"/>
      <c r="AJ896" s="24"/>
      <c r="AK896" s="24"/>
      <c r="AL896" s="24"/>
      <c r="AM896" s="24"/>
    </row>
    <row r="897">
      <c r="A897" s="11"/>
      <c r="B897" s="12" t="s">
        <v>34</v>
      </c>
      <c r="C897" s="12" t="s">
        <v>65</v>
      </c>
      <c r="D897" s="12" t="s">
        <v>43</v>
      </c>
      <c r="E897" s="12" t="s">
        <v>691</v>
      </c>
      <c r="F897" s="13" t="s">
        <v>692</v>
      </c>
      <c r="G897" s="12" t="s">
        <v>68</v>
      </c>
      <c r="H897" s="12" t="s">
        <v>693</v>
      </c>
      <c r="I897" s="12" t="s">
        <v>694</v>
      </c>
      <c r="J897" s="17" t="s">
        <v>73</v>
      </c>
      <c r="K897" s="17" t="s">
        <v>74</v>
      </c>
      <c r="L897" s="100" t="s">
        <v>1902</v>
      </c>
      <c r="M897" s="20">
        <v>45975.0</v>
      </c>
      <c r="N897" s="17" t="s">
        <v>428</v>
      </c>
      <c r="O897" s="88" t="s">
        <v>1520</v>
      </c>
      <c r="P897" s="88" t="s">
        <v>1520</v>
      </c>
      <c r="Q897" s="88" t="s">
        <v>1521</v>
      </c>
      <c r="R897" s="88" t="s">
        <v>1520</v>
      </c>
      <c r="S897" s="88" t="s">
        <v>1521</v>
      </c>
      <c r="T897" s="88" t="s">
        <v>1520</v>
      </c>
      <c r="U897" s="88" t="s">
        <v>1520</v>
      </c>
      <c r="V897" s="88" t="s">
        <v>1520</v>
      </c>
      <c r="W897" s="88" t="s">
        <v>1521</v>
      </c>
      <c r="X897" s="88" t="s">
        <v>1520</v>
      </c>
      <c r="Y897" s="88" t="s">
        <v>1521</v>
      </c>
      <c r="Z897" s="88" t="s">
        <v>1520</v>
      </c>
      <c r="AA897" s="88" t="s">
        <v>1520</v>
      </c>
      <c r="AB897" s="88" t="s">
        <v>1521</v>
      </c>
      <c r="AC897" s="88" t="s">
        <v>1520</v>
      </c>
      <c r="AD897" s="89"/>
      <c r="AE897" s="18" t="s">
        <v>638</v>
      </c>
      <c r="AF897" s="24"/>
      <c r="AG897" s="24"/>
      <c r="AH897" s="24"/>
      <c r="AI897" s="24"/>
      <c r="AJ897" s="24"/>
      <c r="AK897" s="24"/>
      <c r="AL897" s="24"/>
      <c r="AM897" s="24"/>
    </row>
    <row r="898">
      <c r="A898" s="11"/>
      <c r="B898" s="12" t="s">
        <v>34</v>
      </c>
      <c r="C898" s="12" t="s">
        <v>65</v>
      </c>
      <c r="D898" s="12" t="s">
        <v>43</v>
      </c>
      <c r="E898" s="12" t="s">
        <v>691</v>
      </c>
      <c r="F898" s="13" t="s">
        <v>692</v>
      </c>
      <c r="G898" s="12" t="s">
        <v>68</v>
      </c>
      <c r="H898" s="12" t="s">
        <v>693</v>
      </c>
      <c r="I898" s="12" t="s">
        <v>694</v>
      </c>
      <c r="J898" s="17" t="s">
        <v>73</v>
      </c>
      <c r="K898" s="17" t="s">
        <v>74</v>
      </c>
      <c r="L898" s="100" t="s">
        <v>1903</v>
      </c>
      <c r="M898" s="20">
        <v>45975.0</v>
      </c>
      <c r="N898" s="17" t="s">
        <v>428</v>
      </c>
      <c r="O898" s="88" t="s">
        <v>1520</v>
      </c>
      <c r="P898" s="88" t="s">
        <v>1520</v>
      </c>
      <c r="Q898" s="88" t="s">
        <v>1520</v>
      </c>
      <c r="R898" s="88" t="s">
        <v>1520</v>
      </c>
      <c r="S898" s="88" t="s">
        <v>1520</v>
      </c>
      <c r="T898" s="88" t="s">
        <v>1520</v>
      </c>
      <c r="U898" s="88" t="s">
        <v>1520</v>
      </c>
      <c r="V898" s="88" t="s">
        <v>1520</v>
      </c>
      <c r="W898" s="88" t="s">
        <v>1521</v>
      </c>
      <c r="X898" s="88" t="s">
        <v>1520</v>
      </c>
      <c r="Y898" s="88" t="s">
        <v>1520</v>
      </c>
      <c r="Z898" s="88" t="s">
        <v>1520</v>
      </c>
      <c r="AA898" s="88" t="s">
        <v>1520</v>
      </c>
      <c r="AB898" s="88" t="s">
        <v>1519</v>
      </c>
      <c r="AC898" s="88" t="s">
        <v>1520</v>
      </c>
      <c r="AD898" s="89"/>
      <c r="AE898" s="18" t="s">
        <v>638</v>
      </c>
      <c r="AF898" s="24"/>
      <c r="AG898" s="24"/>
      <c r="AH898" s="24"/>
      <c r="AI898" s="24"/>
      <c r="AJ898" s="24"/>
      <c r="AK898" s="24"/>
      <c r="AL898" s="24"/>
      <c r="AM898" s="24"/>
    </row>
    <row r="899">
      <c r="A899" s="11"/>
      <c r="B899" s="12" t="s">
        <v>34</v>
      </c>
      <c r="C899" s="12" t="s">
        <v>65</v>
      </c>
      <c r="D899" s="12" t="s">
        <v>43</v>
      </c>
      <c r="E899" s="12" t="s">
        <v>691</v>
      </c>
      <c r="F899" s="13" t="s">
        <v>692</v>
      </c>
      <c r="G899" s="12" t="s">
        <v>68</v>
      </c>
      <c r="H899" s="12" t="s">
        <v>693</v>
      </c>
      <c r="I899" s="12" t="s">
        <v>694</v>
      </c>
      <c r="J899" s="17" t="s">
        <v>73</v>
      </c>
      <c r="K899" s="17" t="s">
        <v>74</v>
      </c>
      <c r="L899" s="100" t="s">
        <v>1904</v>
      </c>
      <c r="M899" s="20">
        <v>45975.0</v>
      </c>
      <c r="N899" s="17" t="s">
        <v>428</v>
      </c>
      <c r="O899" s="88" t="s">
        <v>1520</v>
      </c>
      <c r="P899" s="88" t="s">
        <v>1520</v>
      </c>
      <c r="Q899" s="88" t="s">
        <v>1520</v>
      </c>
      <c r="R899" s="88" t="s">
        <v>1521</v>
      </c>
      <c r="S899" s="88" t="s">
        <v>1521</v>
      </c>
      <c r="T899" s="88" t="s">
        <v>1520</v>
      </c>
      <c r="U899" s="88" t="s">
        <v>1520</v>
      </c>
      <c r="V899" s="88" t="s">
        <v>1520</v>
      </c>
      <c r="W899" s="88" t="s">
        <v>1520</v>
      </c>
      <c r="X899" s="88" t="s">
        <v>1520</v>
      </c>
      <c r="Y899" s="88" t="s">
        <v>1520</v>
      </c>
      <c r="Z899" s="88" t="s">
        <v>1519</v>
      </c>
      <c r="AA899" s="88" t="s">
        <v>1520</v>
      </c>
      <c r="AB899" s="88" t="s">
        <v>1520</v>
      </c>
      <c r="AC899" s="88" t="s">
        <v>1521</v>
      </c>
      <c r="AD899" s="89"/>
      <c r="AE899" s="18" t="s">
        <v>638</v>
      </c>
      <c r="AF899" s="24"/>
      <c r="AG899" s="24"/>
      <c r="AH899" s="24"/>
      <c r="AI899" s="24"/>
      <c r="AJ899" s="24"/>
      <c r="AK899" s="24"/>
      <c r="AL899" s="24"/>
      <c r="AM899" s="24"/>
    </row>
    <row r="900">
      <c r="A900" s="11"/>
      <c r="B900" s="12" t="s">
        <v>34</v>
      </c>
      <c r="C900" s="12" t="s">
        <v>65</v>
      </c>
      <c r="D900" s="12" t="s">
        <v>43</v>
      </c>
      <c r="E900" s="12" t="s">
        <v>691</v>
      </c>
      <c r="F900" s="13" t="s">
        <v>692</v>
      </c>
      <c r="G900" s="12" t="s">
        <v>68</v>
      </c>
      <c r="H900" s="12" t="s">
        <v>693</v>
      </c>
      <c r="I900" s="12" t="s">
        <v>694</v>
      </c>
      <c r="J900" s="17" t="s">
        <v>73</v>
      </c>
      <c r="K900" s="17" t="s">
        <v>74</v>
      </c>
      <c r="L900" s="100" t="s">
        <v>1905</v>
      </c>
      <c r="M900" s="20">
        <v>45975.0</v>
      </c>
      <c r="N900" s="17" t="s">
        <v>428</v>
      </c>
      <c r="O900" s="88" t="s">
        <v>1520</v>
      </c>
      <c r="P900" s="88" t="s">
        <v>1520</v>
      </c>
      <c r="Q900" s="88" t="s">
        <v>1520</v>
      </c>
      <c r="R900" s="88" t="s">
        <v>1520</v>
      </c>
      <c r="S900" s="88" t="s">
        <v>1520</v>
      </c>
      <c r="T900" s="88" t="s">
        <v>1520</v>
      </c>
      <c r="U900" s="88" t="s">
        <v>1520</v>
      </c>
      <c r="V900" s="88" t="s">
        <v>1520</v>
      </c>
      <c r="W900" s="88" t="s">
        <v>1520</v>
      </c>
      <c r="X900" s="88" t="s">
        <v>1519</v>
      </c>
      <c r="Y900" s="88" t="s">
        <v>1521</v>
      </c>
      <c r="Z900" s="88" t="s">
        <v>1520</v>
      </c>
      <c r="AA900" s="88" t="s">
        <v>1520</v>
      </c>
      <c r="AB900" s="88" t="s">
        <v>1520</v>
      </c>
      <c r="AC900" s="88" t="s">
        <v>1520</v>
      </c>
      <c r="AD900" s="89"/>
      <c r="AE900" s="18" t="s">
        <v>638</v>
      </c>
      <c r="AF900" s="24"/>
      <c r="AG900" s="24"/>
      <c r="AH900" s="24"/>
      <c r="AI900" s="24"/>
      <c r="AJ900" s="24"/>
      <c r="AK900" s="24"/>
      <c r="AL900" s="24"/>
      <c r="AM900" s="24"/>
    </row>
    <row r="901">
      <c r="A901" s="11"/>
      <c r="B901" s="12" t="s">
        <v>34</v>
      </c>
      <c r="C901" s="12" t="s">
        <v>65</v>
      </c>
      <c r="D901" s="12" t="s">
        <v>43</v>
      </c>
      <c r="E901" s="12" t="s">
        <v>691</v>
      </c>
      <c r="F901" s="13" t="s">
        <v>692</v>
      </c>
      <c r="G901" s="12" t="s">
        <v>68</v>
      </c>
      <c r="H901" s="12" t="s">
        <v>693</v>
      </c>
      <c r="I901" s="12" t="s">
        <v>694</v>
      </c>
      <c r="J901" s="17" t="s">
        <v>73</v>
      </c>
      <c r="K901" s="17" t="s">
        <v>74</v>
      </c>
      <c r="L901" s="100" t="s">
        <v>1906</v>
      </c>
      <c r="M901" s="20">
        <v>45975.0</v>
      </c>
      <c r="N901" s="17" t="s">
        <v>428</v>
      </c>
      <c r="O901" s="88" t="s">
        <v>1520</v>
      </c>
      <c r="P901" s="88" t="s">
        <v>1520</v>
      </c>
      <c r="Q901" s="88" t="s">
        <v>1521</v>
      </c>
      <c r="R901" s="88" t="s">
        <v>1520</v>
      </c>
      <c r="S901" s="88" t="s">
        <v>1520</v>
      </c>
      <c r="T901" s="88" t="s">
        <v>1520</v>
      </c>
      <c r="U901" s="88" t="s">
        <v>1519</v>
      </c>
      <c r="V901" s="88" t="s">
        <v>1519</v>
      </c>
      <c r="W901" s="88" t="s">
        <v>1520</v>
      </c>
      <c r="X901" s="88" t="s">
        <v>1520</v>
      </c>
      <c r="Y901" s="88" t="s">
        <v>1520</v>
      </c>
      <c r="Z901" s="88" t="s">
        <v>1520</v>
      </c>
      <c r="AA901" s="88" t="s">
        <v>1520</v>
      </c>
      <c r="AB901" s="88" t="s">
        <v>1520</v>
      </c>
      <c r="AC901" s="88" t="s">
        <v>1520</v>
      </c>
      <c r="AD901" s="89"/>
      <c r="AE901" s="18" t="s">
        <v>638</v>
      </c>
      <c r="AF901" s="24"/>
      <c r="AG901" s="24"/>
      <c r="AH901" s="24"/>
      <c r="AI901" s="24"/>
      <c r="AJ901" s="24"/>
      <c r="AK901" s="24"/>
      <c r="AL901" s="24"/>
      <c r="AM901" s="24"/>
    </row>
    <row r="902">
      <c r="A902" s="11"/>
      <c r="B902" s="12" t="s">
        <v>34</v>
      </c>
      <c r="C902" s="12" t="s">
        <v>65</v>
      </c>
      <c r="D902" s="12" t="s">
        <v>43</v>
      </c>
      <c r="E902" s="12" t="s">
        <v>691</v>
      </c>
      <c r="F902" s="13" t="s">
        <v>692</v>
      </c>
      <c r="G902" s="12" t="s">
        <v>68</v>
      </c>
      <c r="H902" s="12" t="s">
        <v>693</v>
      </c>
      <c r="I902" s="12" t="s">
        <v>694</v>
      </c>
      <c r="J902" s="17" t="s">
        <v>73</v>
      </c>
      <c r="K902" s="17" t="s">
        <v>74</v>
      </c>
      <c r="L902" s="100" t="s">
        <v>1907</v>
      </c>
      <c r="M902" s="20">
        <v>45975.0</v>
      </c>
      <c r="N902" s="17" t="s">
        <v>428</v>
      </c>
      <c r="O902" s="88" t="s">
        <v>1520</v>
      </c>
      <c r="P902" s="88" t="s">
        <v>1520</v>
      </c>
      <c r="Q902" s="88" t="s">
        <v>1520</v>
      </c>
      <c r="R902" s="88" t="s">
        <v>1520</v>
      </c>
      <c r="S902" s="88" t="s">
        <v>1520</v>
      </c>
      <c r="T902" s="88" t="s">
        <v>1520</v>
      </c>
      <c r="U902" s="88" t="s">
        <v>1520</v>
      </c>
      <c r="V902" s="88" t="s">
        <v>1519</v>
      </c>
      <c r="W902" s="88" t="s">
        <v>1520</v>
      </c>
      <c r="X902" s="88" t="s">
        <v>1520</v>
      </c>
      <c r="Y902" s="88" t="s">
        <v>1520</v>
      </c>
      <c r="Z902" s="88" t="s">
        <v>1520</v>
      </c>
      <c r="AA902" s="88" t="s">
        <v>1520</v>
      </c>
      <c r="AB902" s="88" t="s">
        <v>1520</v>
      </c>
      <c r="AC902" s="88" t="s">
        <v>1520</v>
      </c>
      <c r="AD902" s="89"/>
      <c r="AE902" s="18" t="s">
        <v>638</v>
      </c>
      <c r="AF902" s="24"/>
      <c r="AG902" s="24"/>
      <c r="AH902" s="24"/>
      <c r="AI902" s="24"/>
      <c r="AJ902" s="24"/>
      <c r="AK902" s="24"/>
      <c r="AL902" s="24"/>
      <c r="AM902" s="24"/>
    </row>
    <row r="903">
      <c r="A903" s="11"/>
      <c r="B903" s="12" t="s">
        <v>34</v>
      </c>
      <c r="C903" s="12" t="s">
        <v>65</v>
      </c>
      <c r="D903" s="12" t="s">
        <v>43</v>
      </c>
      <c r="E903" s="12" t="s">
        <v>691</v>
      </c>
      <c r="F903" s="13" t="s">
        <v>692</v>
      </c>
      <c r="G903" s="12" t="s">
        <v>68</v>
      </c>
      <c r="H903" s="12" t="s">
        <v>693</v>
      </c>
      <c r="I903" s="12" t="s">
        <v>694</v>
      </c>
      <c r="J903" s="17" t="s">
        <v>73</v>
      </c>
      <c r="K903" s="17" t="s">
        <v>74</v>
      </c>
      <c r="L903" s="100" t="s">
        <v>1908</v>
      </c>
      <c r="M903" s="20">
        <v>45975.0</v>
      </c>
      <c r="N903" s="17" t="s">
        <v>428</v>
      </c>
      <c r="O903" s="88" t="s">
        <v>1520</v>
      </c>
      <c r="P903" s="88" t="s">
        <v>1520</v>
      </c>
      <c r="Q903" s="88" t="s">
        <v>1520</v>
      </c>
      <c r="R903" s="88" t="s">
        <v>1520</v>
      </c>
      <c r="S903" s="88" t="s">
        <v>1521</v>
      </c>
      <c r="T903" s="88" t="s">
        <v>1520</v>
      </c>
      <c r="U903" s="88" t="s">
        <v>1519</v>
      </c>
      <c r="V903" s="88" t="s">
        <v>1520</v>
      </c>
      <c r="W903" s="88" t="s">
        <v>1520</v>
      </c>
      <c r="X903" s="88" t="s">
        <v>1520</v>
      </c>
      <c r="Y903" s="88" t="s">
        <v>1520</v>
      </c>
      <c r="Z903" s="88" t="s">
        <v>1520</v>
      </c>
      <c r="AA903" s="88" t="s">
        <v>1520</v>
      </c>
      <c r="AB903" s="88" t="s">
        <v>1520</v>
      </c>
      <c r="AC903" s="88" t="s">
        <v>1520</v>
      </c>
      <c r="AD903" s="89"/>
      <c r="AE903" s="18" t="s">
        <v>638</v>
      </c>
      <c r="AF903" s="24"/>
      <c r="AG903" s="24"/>
      <c r="AH903" s="24"/>
      <c r="AI903" s="24"/>
      <c r="AJ903" s="24"/>
      <c r="AK903" s="24"/>
      <c r="AL903" s="24"/>
      <c r="AM903" s="24"/>
    </row>
    <row r="904">
      <c r="A904" s="11"/>
      <c r="B904" s="12" t="s">
        <v>34</v>
      </c>
      <c r="C904" s="12" t="s">
        <v>65</v>
      </c>
      <c r="D904" s="12" t="s">
        <v>43</v>
      </c>
      <c r="E904" s="12" t="s">
        <v>691</v>
      </c>
      <c r="F904" s="13" t="s">
        <v>692</v>
      </c>
      <c r="G904" s="12" t="s">
        <v>68</v>
      </c>
      <c r="H904" s="12" t="s">
        <v>693</v>
      </c>
      <c r="I904" s="12" t="s">
        <v>694</v>
      </c>
      <c r="J904" s="17" t="s">
        <v>73</v>
      </c>
      <c r="K904" s="17" t="s">
        <v>74</v>
      </c>
      <c r="L904" s="100" t="s">
        <v>1909</v>
      </c>
      <c r="M904" s="20">
        <v>45975.0</v>
      </c>
      <c r="N904" s="17" t="s">
        <v>428</v>
      </c>
      <c r="O904" s="88" t="s">
        <v>1520</v>
      </c>
      <c r="P904" s="88" t="s">
        <v>1520</v>
      </c>
      <c r="Q904" s="88" t="s">
        <v>1520</v>
      </c>
      <c r="R904" s="88" t="s">
        <v>1520</v>
      </c>
      <c r="S904" s="88" t="s">
        <v>1521</v>
      </c>
      <c r="T904" s="88" t="s">
        <v>1520</v>
      </c>
      <c r="U904" s="88" t="s">
        <v>1520</v>
      </c>
      <c r="V904" s="88" t="s">
        <v>1519</v>
      </c>
      <c r="W904" s="88" t="s">
        <v>1520</v>
      </c>
      <c r="X904" s="88" t="s">
        <v>1520</v>
      </c>
      <c r="Y904" s="88" t="s">
        <v>1521</v>
      </c>
      <c r="Z904" s="88" t="s">
        <v>1520</v>
      </c>
      <c r="AA904" s="88" t="s">
        <v>1520</v>
      </c>
      <c r="AB904" s="88" t="s">
        <v>1520</v>
      </c>
      <c r="AC904" s="88" t="s">
        <v>1520</v>
      </c>
      <c r="AD904" s="89"/>
      <c r="AE904" s="18" t="s">
        <v>638</v>
      </c>
      <c r="AF904" s="24"/>
      <c r="AG904" s="24"/>
      <c r="AH904" s="24"/>
      <c r="AI904" s="24"/>
      <c r="AJ904" s="24"/>
      <c r="AK904" s="24"/>
      <c r="AL904" s="24"/>
      <c r="AM904" s="24"/>
    </row>
    <row r="905">
      <c r="A905" s="11"/>
      <c r="B905" s="12" t="s">
        <v>34</v>
      </c>
      <c r="C905" s="12" t="s">
        <v>65</v>
      </c>
      <c r="D905" s="12" t="s">
        <v>43</v>
      </c>
      <c r="E905" s="12" t="s">
        <v>691</v>
      </c>
      <c r="F905" s="13" t="s">
        <v>692</v>
      </c>
      <c r="G905" s="12" t="s">
        <v>68</v>
      </c>
      <c r="H905" s="12" t="s">
        <v>693</v>
      </c>
      <c r="I905" s="12" t="s">
        <v>694</v>
      </c>
      <c r="J905" s="17" t="s">
        <v>73</v>
      </c>
      <c r="K905" s="17" t="s">
        <v>74</v>
      </c>
      <c r="L905" s="100" t="s">
        <v>1910</v>
      </c>
      <c r="M905" s="20">
        <v>45975.0</v>
      </c>
      <c r="N905" s="17" t="s">
        <v>428</v>
      </c>
      <c r="O905" s="88" t="s">
        <v>1520</v>
      </c>
      <c r="P905" s="88" t="s">
        <v>1520</v>
      </c>
      <c r="Q905" s="88" t="s">
        <v>1520</v>
      </c>
      <c r="R905" s="88" t="s">
        <v>1520</v>
      </c>
      <c r="S905" s="88" t="s">
        <v>1521</v>
      </c>
      <c r="T905" s="88" t="s">
        <v>1521</v>
      </c>
      <c r="U905" s="88" t="s">
        <v>1519</v>
      </c>
      <c r="V905" s="88" t="s">
        <v>1520</v>
      </c>
      <c r="W905" s="88" t="s">
        <v>1521</v>
      </c>
      <c r="X905" s="88" t="s">
        <v>1520</v>
      </c>
      <c r="Y905" s="88" t="s">
        <v>1519</v>
      </c>
      <c r="Z905" s="88" t="s">
        <v>1520</v>
      </c>
      <c r="AA905" s="88" t="s">
        <v>1520</v>
      </c>
      <c r="AB905" s="88" t="s">
        <v>1520</v>
      </c>
      <c r="AC905" s="88" t="s">
        <v>1520</v>
      </c>
      <c r="AD905" s="89"/>
      <c r="AE905" s="18" t="s">
        <v>638</v>
      </c>
      <c r="AF905" s="24"/>
      <c r="AG905" s="24"/>
      <c r="AH905" s="24"/>
      <c r="AI905" s="24"/>
      <c r="AJ905" s="24"/>
      <c r="AK905" s="24"/>
      <c r="AL905" s="24"/>
      <c r="AM905" s="24"/>
    </row>
    <row r="906">
      <c r="A906" s="11"/>
      <c r="B906" s="12" t="s">
        <v>34</v>
      </c>
      <c r="C906" s="12" t="s">
        <v>65</v>
      </c>
      <c r="D906" s="12" t="s">
        <v>43</v>
      </c>
      <c r="E906" s="12" t="s">
        <v>691</v>
      </c>
      <c r="F906" s="13" t="s">
        <v>692</v>
      </c>
      <c r="G906" s="12" t="s">
        <v>68</v>
      </c>
      <c r="H906" s="12" t="s">
        <v>693</v>
      </c>
      <c r="I906" s="12" t="s">
        <v>694</v>
      </c>
      <c r="J906" s="17" t="s">
        <v>73</v>
      </c>
      <c r="K906" s="17" t="s">
        <v>74</v>
      </c>
      <c r="L906" s="100" t="s">
        <v>1911</v>
      </c>
      <c r="M906" s="20">
        <v>45975.0</v>
      </c>
      <c r="N906" s="17" t="s">
        <v>428</v>
      </c>
      <c r="O906" s="88" t="s">
        <v>1520</v>
      </c>
      <c r="P906" s="88" t="s">
        <v>1520</v>
      </c>
      <c r="Q906" s="88" t="s">
        <v>1520</v>
      </c>
      <c r="R906" s="88" t="s">
        <v>1520</v>
      </c>
      <c r="S906" s="88" t="s">
        <v>1520</v>
      </c>
      <c r="T906" s="88" t="s">
        <v>1520</v>
      </c>
      <c r="U906" s="88" t="s">
        <v>1520</v>
      </c>
      <c r="V906" s="88" t="s">
        <v>1520</v>
      </c>
      <c r="W906" s="88" t="s">
        <v>1520</v>
      </c>
      <c r="X906" s="88" t="s">
        <v>1520</v>
      </c>
      <c r="Y906" s="88" t="s">
        <v>1520</v>
      </c>
      <c r="Z906" s="88" t="s">
        <v>1520</v>
      </c>
      <c r="AA906" s="88" t="s">
        <v>1520</v>
      </c>
      <c r="AB906" s="88" t="s">
        <v>1520</v>
      </c>
      <c r="AC906" s="88" t="s">
        <v>1519</v>
      </c>
      <c r="AD906" s="89"/>
      <c r="AE906" s="18" t="s">
        <v>638</v>
      </c>
      <c r="AF906" s="24"/>
      <c r="AG906" s="24"/>
      <c r="AH906" s="24"/>
      <c r="AI906" s="24"/>
      <c r="AJ906" s="24"/>
      <c r="AK906" s="24"/>
      <c r="AL906" s="24"/>
      <c r="AM906" s="24"/>
    </row>
    <row r="907">
      <c r="A907" s="11"/>
      <c r="B907" s="12" t="s">
        <v>34</v>
      </c>
      <c r="C907" s="12" t="s">
        <v>65</v>
      </c>
      <c r="D907" s="12" t="s">
        <v>43</v>
      </c>
      <c r="E907" s="12" t="s">
        <v>691</v>
      </c>
      <c r="F907" s="13" t="s">
        <v>692</v>
      </c>
      <c r="G907" s="12" t="s">
        <v>68</v>
      </c>
      <c r="H907" s="12" t="s">
        <v>693</v>
      </c>
      <c r="I907" s="12" t="s">
        <v>694</v>
      </c>
      <c r="J907" s="17" t="s">
        <v>73</v>
      </c>
      <c r="K907" s="17" t="s">
        <v>74</v>
      </c>
      <c r="L907" s="100" t="s">
        <v>1912</v>
      </c>
      <c r="M907" s="20">
        <v>45975.0</v>
      </c>
      <c r="N907" s="17" t="s">
        <v>428</v>
      </c>
      <c r="O907" s="88" t="s">
        <v>1520</v>
      </c>
      <c r="P907" s="88" t="s">
        <v>1520</v>
      </c>
      <c r="Q907" s="88" t="s">
        <v>1520</v>
      </c>
      <c r="R907" s="88" t="s">
        <v>1520</v>
      </c>
      <c r="S907" s="88" t="s">
        <v>1521</v>
      </c>
      <c r="T907" s="88" t="s">
        <v>1520</v>
      </c>
      <c r="U907" s="88" t="s">
        <v>1520</v>
      </c>
      <c r="V907" s="88" t="s">
        <v>1519</v>
      </c>
      <c r="W907" s="88" t="s">
        <v>1521</v>
      </c>
      <c r="X907" s="88" t="s">
        <v>1520</v>
      </c>
      <c r="Y907" s="88" t="s">
        <v>1520</v>
      </c>
      <c r="Z907" s="88" t="s">
        <v>1520</v>
      </c>
      <c r="AA907" s="88" t="s">
        <v>1520</v>
      </c>
      <c r="AB907" s="88" t="s">
        <v>1520</v>
      </c>
      <c r="AC907" s="88" t="s">
        <v>1521</v>
      </c>
      <c r="AD907" s="89"/>
      <c r="AE907" s="18" t="s">
        <v>638</v>
      </c>
      <c r="AF907" s="24"/>
      <c r="AG907" s="24"/>
      <c r="AH907" s="24"/>
      <c r="AI907" s="24"/>
      <c r="AJ907" s="24"/>
      <c r="AK907" s="24"/>
      <c r="AL907" s="24"/>
      <c r="AM907" s="24"/>
    </row>
    <row r="908">
      <c r="A908" s="11"/>
      <c r="B908" s="12" t="s">
        <v>34</v>
      </c>
      <c r="C908" s="12" t="s">
        <v>65</v>
      </c>
      <c r="D908" s="12" t="s">
        <v>43</v>
      </c>
      <c r="E908" s="12" t="s">
        <v>691</v>
      </c>
      <c r="F908" s="13" t="s">
        <v>692</v>
      </c>
      <c r="G908" s="12" t="s">
        <v>68</v>
      </c>
      <c r="H908" s="12" t="s">
        <v>693</v>
      </c>
      <c r="I908" s="12" t="s">
        <v>694</v>
      </c>
      <c r="J908" s="17" t="s">
        <v>112</v>
      </c>
      <c r="K908" s="17" t="s">
        <v>113</v>
      </c>
      <c r="L908" s="100" t="s">
        <v>1913</v>
      </c>
      <c r="M908" s="20">
        <v>45975.0</v>
      </c>
      <c r="N908" s="17" t="s">
        <v>428</v>
      </c>
      <c r="O908" s="88" t="s">
        <v>1520</v>
      </c>
      <c r="P908" s="88" t="s">
        <v>1520</v>
      </c>
      <c r="Q908" s="88" t="s">
        <v>1520</v>
      </c>
      <c r="R908" s="88" t="s">
        <v>1520</v>
      </c>
      <c r="S908" s="88" t="s">
        <v>1520</v>
      </c>
      <c r="T908" s="88" t="s">
        <v>1519</v>
      </c>
      <c r="U908" s="88" t="s">
        <v>1519</v>
      </c>
      <c r="V908" s="88" t="s">
        <v>1520</v>
      </c>
      <c r="W908" s="88" t="s">
        <v>1521</v>
      </c>
      <c r="X908" s="88" t="s">
        <v>1520</v>
      </c>
      <c r="Y908" s="88" t="s">
        <v>1520</v>
      </c>
      <c r="Z908" s="88" t="s">
        <v>1520</v>
      </c>
      <c r="AA908" s="88" t="s">
        <v>1520</v>
      </c>
      <c r="AB908" s="88" t="s">
        <v>1520</v>
      </c>
      <c r="AC908" s="88" t="s">
        <v>1520</v>
      </c>
      <c r="AD908" s="89"/>
      <c r="AE908" s="18" t="s">
        <v>638</v>
      </c>
      <c r="AF908" s="24"/>
      <c r="AG908" s="24"/>
      <c r="AH908" s="24"/>
      <c r="AI908" s="24"/>
      <c r="AJ908" s="24"/>
      <c r="AK908" s="24"/>
      <c r="AL908" s="24"/>
      <c r="AM908" s="24"/>
    </row>
    <row r="909">
      <c r="A909" s="11"/>
      <c r="B909" s="12" t="s">
        <v>34</v>
      </c>
      <c r="C909" s="12" t="s">
        <v>65</v>
      </c>
      <c r="D909" s="12" t="s">
        <v>43</v>
      </c>
      <c r="E909" s="12" t="s">
        <v>691</v>
      </c>
      <c r="F909" s="13" t="s">
        <v>692</v>
      </c>
      <c r="G909" s="12" t="s">
        <v>68</v>
      </c>
      <c r="H909" s="12" t="s">
        <v>693</v>
      </c>
      <c r="I909" s="12" t="s">
        <v>694</v>
      </c>
      <c r="J909" s="17" t="s">
        <v>112</v>
      </c>
      <c r="K909" s="17" t="s">
        <v>113</v>
      </c>
      <c r="L909" s="100" t="s">
        <v>1914</v>
      </c>
      <c r="M909" s="20">
        <v>45975.0</v>
      </c>
      <c r="N909" s="17" t="s">
        <v>428</v>
      </c>
      <c r="O909" s="88" t="s">
        <v>1520</v>
      </c>
      <c r="P909" s="88" t="s">
        <v>1520</v>
      </c>
      <c r="Q909" s="88" t="s">
        <v>1520</v>
      </c>
      <c r="R909" s="88" t="s">
        <v>1521</v>
      </c>
      <c r="S909" s="88" t="s">
        <v>1521</v>
      </c>
      <c r="T909" s="88" t="s">
        <v>1521</v>
      </c>
      <c r="U909" s="88" t="s">
        <v>1520</v>
      </c>
      <c r="V909" s="88" t="s">
        <v>1520</v>
      </c>
      <c r="W909" s="88" t="s">
        <v>1521</v>
      </c>
      <c r="X909" s="88" t="s">
        <v>1520</v>
      </c>
      <c r="Y909" s="88" t="s">
        <v>1519</v>
      </c>
      <c r="Z909" s="88" t="s">
        <v>1520</v>
      </c>
      <c r="AA909" s="88" t="s">
        <v>1519</v>
      </c>
      <c r="AB909" s="88" t="s">
        <v>1520</v>
      </c>
      <c r="AC909" s="88" t="s">
        <v>1519</v>
      </c>
      <c r="AD909" s="89"/>
      <c r="AE909" s="18" t="s">
        <v>638</v>
      </c>
      <c r="AF909" s="24"/>
      <c r="AG909" s="24"/>
      <c r="AH909" s="24"/>
      <c r="AI909" s="24"/>
      <c r="AJ909" s="24"/>
      <c r="AK909" s="24"/>
      <c r="AL909" s="24"/>
      <c r="AM909" s="24"/>
    </row>
    <row r="910">
      <c r="A910" s="11"/>
      <c r="B910" s="12" t="s">
        <v>34</v>
      </c>
      <c r="C910" s="12" t="s">
        <v>65</v>
      </c>
      <c r="D910" s="12" t="s">
        <v>43</v>
      </c>
      <c r="E910" s="12" t="s">
        <v>691</v>
      </c>
      <c r="F910" s="13" t="s">
        <v>692</v>
      </c>
      <c r="G910" s="12" t="s">
        <v>68</v>
      </c>
      <c r="H910" s="12" t="s">
        <v>693</v>
      </c>
      <c r="I910" s="12" t="s">
        <v>694</v>
      </c>
      <c r="J910" s="17" t="s">
        <v>112</v>
      </c>
      <c r="K910" s="17" t="s">
        <v>113</v>
      </c>
      <c r="L910" s="100" t="s">
        <v>1915</v>
      </c>
      <c r="M910" s="20">
        <v>45975.0</v>
      </c>
      <c r="N910" s="17" t="s">
        <v>428</v>
      </c>
      <c r="O910" s="88" t="s">
        <v>1520</v>
      </c>
      <c r="P910" s="88" t="s">
        <v>1520</v>
      </c>
      <c r="Q910" s="88" t="s">
        <v>1520</v>
      </c>
      <c r="R910" s="88" t="s">
        <v>1520</v>
      </c>
      <c r="S910" s="88" t="s">
        <v>1521</v>
      </c>
      <c r="T910" s="88" t="s">
        <v>1519</v>
      </c>
      <c r="U910" s="88" t="s">
        <v>1520</v>
      </c>
      <c r="V910" s="88" t="s">
        <v>1520</v>
      </c>
      <c r="W910" s="88" t="s">
        <v>1521</v>
      </c>
      <c r="X910" s="88" t="s">
        <v>1520</v>
      </c>
      <c r="Y910" s="88" t="s">
        <v>1520</v>
      </c>
      <c r="Z910" s="88" t="s">
        <v>1519</v>
      </c>
      <c r="AA910" s="88" t="s">
        <v>1520</v>
      </c>
      <c r="AB910" s="88" t="s">
        <v>1520</v>
      </c>
      <c r="AC910" s="88" t="s">
        <v>1519</v>
      </c>
      <c r="AD910" s="89"/>
      <c r="AE910" s="18" t="s">
        <v>638</v>
      </c>
      <c r="AF910" s="24"/>
      <c r="AG910" s="24"/>
      <c r="AH910" s="24"/>
      <c r="AI910" s="24"/>
      <c r="AJ910" s="24"/>
      <c r="AK910" s="24"/>
      <c r="AL910" s="24"/>
      <c r="AM910" s="24"/>
    </row>
    <row r="911">
      <c r="A911" s="11"/>
      <c r="B911" s="12" t="s">
        <v>34</v>
      </c>
      <c r="C911" s="12" t="s">
        <v>65</v>
      </c>
      <c r="D911" s="12" t="s">
        <v>43</v>
      </c>
      <c r="E911" s="12" t="s">
        <v>691</v>
      </c>
      <c r="F911" s="13" t="s">
        <v>692</v>
      </c>
      <c r="G911" s="12" t="s">
        <v>68</v>
      </c>
      <c r="H911" s="12" t="s">
        <v>693</v>
      </c>
      <c r="I911" s="12" t="s">
        <v>694</v>
      </c>
      <c r="J911" s="17" t="s">
        <v>112</v>
      </c>
      <c r="K911" s="17" t="s">
        <v>113</v>
      </c>
      <c r="L911" s="100" t="s">
        <v>1916</v>
      </c>
      <c r="M911" s="20">
        <v>45975.0</v>
      </c>
      <c r="N911" s="17" t="s">
        <v>428</v>
      </c>
      <c r="O911" s="88" t="s">
        <v>1520</v>
      </c>
      <c r="P911" s="88" t="s">
        <v>1520</v>
      </c>
      <c r="Q911" s="88" t="s">
        <v>1520</v>
      </c>
      <c r="R911" s="88" t="s">
        <v>1520</v>
      </c>
      <c r="S911" s="88" t="s">
        <v>1521</v>
      </c>
      <c r="T911" s="88" t="s">
        <v>1520</v>
      </c>
      <c r="U911" s="88" t="s">
        <v>1520</v>
      </c>
      <c r="V911" s="88" t="s">
        <v>1520</v>
      </c>
      <c r="W911" s="88" t="s">
        <v>1520</v>
      </c>
      <c r="X911" s="88" t="s">
        <v>1520</v>
      </c>
      <c r="Y911" s="88" t="s">
        <v>1520</v>
      </c>
      <c r="Z911" s="88" t="s">
        <v>1520</v>
      </c>
      <c r="AA911" s="88" t="s">
        <v>1520</v>
      </c>
      <c r="AB911" s="88" t="s">
        <v>1520</v>
      </c>
      <c r="AC911" s="88" t="s">
        <v>1520</v>
      </c>
      <c r="AD911" s="89"/>
      <c r="AE911" s="18" t="s">
        <v>638</v>
      </c>
      <c r="AF911" s="24"/>
      <c r="AG911" s="24"/>
      <c r="AH911" s="24"/>
      <c r="AI911" s="24"/>
      <c r="AJ911" s="24"/>
      <c r="AK911" s="24"/>
      <c r="AL911" s="24"/>
      <c r="AM911" s="24"/>
    </row>
    <row r="912">
      <c r="A912" s="11"/>
      <c r="B912" s="12" t="s">
        <v>34</v>
      </c>
      <c r="C912" s="12" t="s">
        <v>65</v>
      </c>
      <c r="D912" s="12" t="s">
        <v>43</v>
      </c>
      <c r="E912" s="12" t="s">
        <v>691</v>
      </c>
      <c r="F912" s="13" t="s">
        <v>692</v>
      </c>
      <c r="G912" s="12" t="s">
        <v>68</v>
      </c>
      <c r="H912" s="12" t="s">
        <v>693</v>
      </c>
      <c r="I912" s="12" t="s">
        <v>694</v>
      </c>
      <c r="J912" s="17" t="s">
        <v>112</v>
      </c>
      <c r="K912" s="17" t="s">
        <v>113</v>
      </c>
      <c r="L912" s="100" t="s">
        <v>1917</v>
      </c>
      <c r="M912" s="20">
        <v>45975.0</v>
      </c>
      <c r="N912" s="17" t="s">
        <v>428</v>
      </c>
      <c r="O912" s="88" t="s">
        <v>1520</v>
      </c>
      <c r="P912" s="88" t="s">
        <v>1520</v>
      </c>
      <c r="Q912" s="88" t="s">
        <v>1520</v>
      </c>
      <c r="R912" s="88" t="s">
        <v>1519</v>
      </c>
      <c r="S912" s="88" t="s">
        <v>1520</v>
      </c>
      <c r="T912" s="88" t="s">
        <v>1519</v>
      </c>
      <c r="U912" s="88" t="s">
        <v>1519</v>
      </c>
      <c r="V912" s="88" t="s">
        <v>1520</v>
      </c>
      <c r="W912" s="88" t="s">
        <v>1520</v>
      </c>
      <c r="X912" s="88" t="s">
        <v>1520</v>
      </c>
      <c r="Y912" s="88" t="s">
        <v>1520</v>
      </c>
      <c r="Z912" s="88" t="s">
        <v>1520</v>
      </c>
      <c r="AA912" s="88" t="s">
        <v>1521</v>
      </c>
      <c r="AB912" s="88" t="s">
        <v>1520</v>
      </c>
      <c r="AC912" s="88" t="s">
        <v>1520</v>
      </c>
      <c r="AD912" s="89"/>
      <c r="AE912" s="18" t="s">
        <v>638</v>
      </c>
      <c r="AF912" s="24"/>
      <c r="AG912" s="24"/>
      <c r="AH912" s="24"/>
      <c r="AI912" s="24"/>
      <c r="AJ912" s="24"/>
      <c r="AK912" s="24"/>
      <c r="AL912" s="24"/>
      <c r="AM912" s="24"/>
    </row>
    <row r="913">
      <c r="A913" s="11"/>
      <c r="B913" s="12" t="s">
        <v>34</v>
      </c>
      <c r="C913" s="12" t="s">
        <v>65</v>
      </c>
      <c r="D913" s="12" t="s">
        <v>43</v>
      </c>
      <c r="E913" s="12" t="s">
        <v>691</v>
      </c>
      <c r="F913" s="13" t="s">
        <v>692</v>
      </c>
      <c r="G913" s="12" t="s">
        <v>68</v>
      </c>
      <c r="H913" s="12" t="s">
        <v>693</v>
      </c>
      <c r="I913" s="12" t="s">
        <v>694</v>
      </c>
      <c r="J913" s="17" t="s">
        <v>112</v>
      </c>
      <c r="K913" s="17" t="s">
        <v>113</v>
      </c>
      <c r="L913" s="100" t="s">
        <v>1918</v>
      </c>
      <c r="M913" s="20">
        <v>45975.0</v>
      </c>
      <c r="N913" s="17" t="s">
        <v>428</v>
      </c>
      <c r="O913" s="88" t="s">
        <v>1520</v>
      </c>
      <c r="P913" s="88" t="s">
        <v>1520</v>
      </c>
      <c r="Q913" s="88" t="s">
        <v>1520</v>
      </c>
      <c r="R913" s="88" t="s">
        <v>1519</v>
      </c>
      <c r="S913" s="88" t="s">
        <v>1520</v>
      </c>
      <c r="T913" s="88" t="s">
        <v>1521</v>
      </c>
      <c r="U913" s="88" t="s">
        <v>1520</v>
      </c>
      <c r="V913" s="88" t="s">
        <v>1520</v>
      </c>
      <c r="W913" s="88" t="s">
        <v>1520</v>
      </c>
      <c r="X913" s="88" t="s">
        <v>1520</v>
      </c>
      <c r="Y913" s="88" t="s">
        <v>1520</v>
      </c>
      <c r="Z913" s="88" t="s">
        <v>1520</v>
      </c>
      <c r="AA913" s="88" t="s">
        <v>1520</v>
      </c>
      <c r="AB913" s="88" t="s">
        <v>1520</v>
      </c>
      <c r="AC913" s="88" t="s">
        <v>1521</v>
      </c>
      <c r="AD913" s="89"/>
      <c r="AE913" s="18" t="s">
        <v>638</v>
      </c>
      <c r="AF913" s="24"/>
      <c r="AG913" s="24"/>
      <c r="AH913" s="24"/>
      <c r="AI913" s="24"/>
      <c r="AJ913" s="24"/>
      <c r="AK913" s="24"/>
      <c r="AL913" s="24"/>
      <c r="AM913" s="24"/>
    </row>
    <row r="914">
      <c r="A914" s="11"/>
      <c r="B914" s="12" t="s">
        <v>34</v>
      </c>
      <c r="C914" s="12" t="s">
        <v>65</v>
      </c>
      <c r="D914" s="12" t="s">
        <v>43</v>
      </c>
      <c r="E914" s="12" t="s">
        <v>691</v>
      </c>
      <c r="F914" s="13" t="s">
        <v>692</v>
      </c>
      <c r="G914" s="12" t="s">
        <v>68</v>
      </c>
      <c r="H914" s="12" t="s">
        <v>693</v>
      </c>
      <c r="I914" s="12" t="s">
        <v>694</v>
      </c>
      <c r="J914" s="17" t="s">
        <v>112</v>
      </c>
      <c r="K914" s="17" t="s">
        <v>113</v>
      </c>
      <c r="L914" s="100" t="s">
        <v>1919</v>
      </c>
      <c r="M914" s="20">
        <v>45975.0</v>
      </c>
      <c r="N914" s="17" t="s">
        <v>428</v>
      </c>
      <c r="O914" s="88" t="s">
        <v>1520</v>
      </c>
      <c r="P914" s="88" t="s">
        <v>1520</v>
      </c>
      <c r="Q914" s="88" t="s">
        <v>1520</v>
      </c>
      <c r="R914" s="88" t="s">
        <v>1520</v>
      </c>
      <c r="S914" s="88" t="s">
        <v>1520</v>
      </c>
      <c r="T914" s="88" t="s">
        <v>1520</v>
      </c>
      <c r="U914" s="88" t="s">
        <v>1520</v>
      </c>
      <c r="V914" s="88" t="s">
        <v>1520</v>
      </c>
      <c r="W914" s="88" t="s">
        <v>1520</v>
      </c>
      <c r="X914" s="88" t="s">
        <v>1520</v>
      </c>
      <c r="Y914" s="88" t="s">
        <v>1520</v>
      </c>
      <c r="Z914" s="88" t="s">
        <v>1520</v>
      </c>
      <c r="AA914" s="88" t="s">
        <v>1521</v>
      </c>
      <c r="AB914" s="88" t="s">
        <v>1520</v>
      </c>
      <c r="AC914" s="88" t="s">
        <v>1520</v>
      </c>
      <c r="AD914" s="89"/>
      <c r="AE914" s="18" t="s">
        <v>638</v>
      </c>
      <c r="AF914" s="24"/>
      <c r="AG914" s="24"/>
      <c r="AH914" s="24"/>
      <c r="AI914" s="24"/>
      <c r="AJ914" s="24"/>
      <c r="AK914" s="24"/>
      <c r="AL914" s="24"/>
      <c r="AM914" s="24"/>
    </row>
    <row r="915">
      <c r="A915" s="11"/>
      <c r="B915" s="12" t="s">
        <v>34</v>
      </c>
      <c r="C915" s="12" t="s">
        <v>65</v>
      </c>
      <c r="D915" s="12" t="s">
        <v>43</v>
      </c>
      <c r="E915" s="12" t="s">
        <v>691</v>
      </c>
      <c r="F915" s="13" t="s">
        <v>692</v>
      </c>
      <c r="G915" s="12" t="s">
        <v>68</v>
      </c>
      <c r="H915" s="12" t="s">
        <v>693</v>
      </c>
      <c r="I915" s="12" t="s">
        <v>694</v>
      </c>
      <c r="J915" s="17" t="s">
        <v>112</v>
      </c>
      <c r="K915" s="17" t="s">
        <v>113</v>
      </c>
      <c r="L915" s="100" t="s">
        <v>1920</v>
      </c>
      <c r="M915" s="20">
        <v>45975.0</v>
      </c>
      <c r="N915" s="17" t="s">
        <v>428</v>
      </c>
      <c r="O915" s="88" t="s">
        <v>1520</v>
      </c>
      <c r="P915" s="88" t="s">
        <v>1520</v>
      </c>
      <c r="Q915" s="88" t="s">
        <v>1520</v>
      </c>
      <c r="R915" s="88" t="s">
        <v>1519</v>
      </c>
      <c r="S915" s="88" t="s">
        <v>1520</v>
      </c>
      <c r="T915" s="88" t="s">
        <v>1520</v>
      </c>
      <c r="U915" s="88" t="s">
        <v>1520</v>
      </c>
      <c r="V915" s="88" t="s">
        <v>1520</v>
      </c>
      <c r="W915" s="88" t="s">
        <v>1520</v>
      </c>
      <c r="X915" s="88" t="s">
        <v>1520</v>
      </c>
      <c r="Y915" s="88" t="s">
        <v>1520</v>
      </c>
      <c r="Z915" s="88" t="s">
        <v>1520</v>
      </c>
      <c r="AA915" s="88" t="s">
        <v>1520</v>
      </c>
      <c r="AB915" s="88" t="s">
        <v>1520</v>
      </c>
      <c r="AC915" s="88" t="s">
        <v>1520</v>
      </c>
      <c r="AD915" s="89"/>
      <c r="AE915" s="18" t="s">
        <v>638</v>
      </c>
      <c r="AF915" s="24"/>
      <c r="AG915" s="24"/>
      <c r="AH915" s="24"/>
      <c r="AI915" s="24"/>
      <c r="AJ915" s="24"/>
      <c r="AK915" s="24"/>
      <c r="AL915" s="24"/>
      <c r="AM915" s="24"/>
    </row>
    <row r="916">
      <c r="A916" s="11"/>
      <c r="B916" s="12" t="s">
        <v>34</v>
      </c>
      <c r="C916" s="12" t="s">
        <v>65</v>
      </c>
      <c r="D916" s="12" t="s">
        <v>43</v>
      </c>
      <c r="E916" s="12" t="s">
        <v>691</v>
      </c>
      <c r="F916" s="13" t="s">
        <v>692</v>
      </c>
      <c r="G916" s="12" t="s">
        <v>68</v>
      </c>
      <c r="H916" s="12" t="s">
        <v>693</v>
      </c>
      <c r="I916" s="12" t="s">
        <v>694</v>
      </c>
      <c r="J916" s="17" t="s">
        <v>112</v>
      </c>
      <c r="K916" s="17" t="s">
        <v>113</v>
      </c>
      <c r="L916" s="100" t="s">
        <v>1921</v>
      </c>
      <c r="M916" s="20">
        <v>45975.0</v>
      </c>
      <c r="N916" s="17" t="s">
        <v>428</v>
      </c>
      <c r="O916" s="88" t="s">
        <v>1520</v>
      </c>
      <c r="P916" s="88" t="s">
        <v>1520</v>
      </c>
      <c r="Q916" s="88" t="s">
        <v>1519</v>
      </c>
      <c r="R916" s="88" t="s">
        <v>1519</v>
      </c>
      <c r="S916" s="88" t="s">
        <v>1520</v>
      </c>
      <c r="T916" s="88" t="s">
        <v>1520</v>
      </c>
      <c r="U916" s="88" t="s">
        <v>1520</v>
      </c>
      <c r="V916" s="88" t="s">
        <v>1520</v>
      </c>
      <c r="W916" s="88" t="s">
        <v>1520</v>
      </c>
      <c r="X916" s="88" t="s">
        <v>1520</v>
      </c>
      <c r="Y916" s="88" t="s">
        <v>1520</v>
      </c>
      <c r="Z916" s="88" t="s">
        <v>1520</v>
      </c>
      <c r="AA916" s="88" t="s">
        <v>1520</v>
      </c>
      <c r="AB916" s="88" t="s">
        <v>1520</v>
      </c>
      <c r="AC916" s="88" t="s">
        <v>1520</v>
      </c>
      <c r="AD916" s="89"/>
      <c r="AE916" s="18" t="s">
        <v>638</v>
      </c>
      <c r="AF916" s="24"/>
      <c r="AG916" s="24"/>
      <c r="AH916" s="24"/>
      <c r="AI916" s="24"/>
      <c r="AJ916" s="24"/>
      <c r="AK916" s="24"/>
      <c r="AL916" s="24"/>
      <c r="AM916" s="24"/>
    </row>
    <row r="917">
      <c r="A917" s="11"/>
      <c r="B917" s="12" t="s">
        <v>34</v>
      </c>
      <c r="C917" s="12" t="s">
        <v>65</v>
      </c>
      <c r="D917" s="12" t="s">
        <v>43</v>
      </c>
      <c r="E917" s="12" t="s">
        <v>691</v>
      </c>
      <c r="F917" s="13" t="s">
        <v>692</v>
      </c>
      <c r="G917" s="12" t="s">
        <v>68</v>
      </c>
      <c r="H917" s="12" t="s">
        <v>693</v>
      </c>
      <c r="I917" s="12" t="s">
        <v>694</v>
      </c>
      <c r="J917" s="17" t="s">
        <v>112</v>
      </c>
      <c r="K917" s="17" t="s">
        <v>113</v>
      </c>
      <c r="L917" s="100" t="s">
        <v>1922</v>
      </c>
      <c r="M917" s="20">
        <v>45975.0</v>
      </c>
      <c r="N917" s="17" t="s">
        <v>428</v>
      </c>
      <c r="O917" s="88" t="s">
        <v>1520</v>
      </c>
      <c r="P917" s="88" t="s">
        <v>1520</v>
      </c>
      <c r="Q917" s="88" t="s">
        <v>1519</v>
      </c>
      <c r="R917" s="88" t="s">
        <v>1520</v>
      </c>
      <c r="S917" s="88" t="s">
        <v>1520</v>
      </c>
      <c r="T917" s="88" t="s">
        <v>1519</v>
      </c>
      <c r="U917" s="88" t="s">
        <v>1520</v>
      </c>
      <c r="V917" s="88" t="s">
        <v>1520</v>
      </c>
      <c r="W917" s="88" t="s">
        <v>1520</v>
      </c>
      <c r="X917" s="88" t="s">
        <v>1520</v>
      </c>
      <c r="Y917" s="88" t="s">
        <v>1520</v>
      </c>
      <c r="Z917" s="88" t="s">
        <v>1520</v>
      </c>
      <c r="AA917" s="88" t="s">
        <v>1521</v>
      </c>
      <c r="AB917" s="88" t="s">
        <v>1520</v>
      </c>
      <c r="AC917" s="88" t="s">
        <v>1520</v>
      </c>
      <c r="AD917" s="89"/>
      <c r="AE917" s="18" t="s">
        <v>638</v>
      </c>
      <c r="AF917" s="24"/>
      <c r="AG917" s="24"/>
      <c r="AH917" s="24"/>
      <c r="AI917" s="24"/>
      <c r="AJ917" s="24"/>
      <c r="AK917" s="24"/>
      <c r="AL917" s="24"/>
      <c r="AM917" s="24"/>
    </row>
    <row r="918">
      <c r="A918" s="11"/>
      <c r="B918" s="12" t="s">
        <v>34</v>
      </c>
      <c r="C918" s="12" t="s">
        <v>65</v>
      </c>
      <c r="D918" s="12" t="s">
        <v>43</v>
      </c>
      <c r="E918" s="12" t="s">
        <v>691</v>
      </c>
      <c r="F918" s="13" t="s">
        <v>692</v>
      </c>
      <c r="G918" s="12" t="s">
        <v>68</v>
      </c>
      <c r="H918" s="12" t="s">
        <v>693</v>
      </c>
      <c r="I918" s="12" t="s">
        <v>694</v>
      </c>
      <c r="J918" s="17" t="s">
        <v>112</v>
      </c>
      <c r="K918" s="17" t="s">
        <v>113</v>
      </c>
      <c r="L918" s="100" t="s">
        <v>1923</v>
      </c>
      <c r="M918" s="20">
        <v>45975.0</v>
      </c>
      <c r="N918" s="17" t="s">
        <v>428</v>
      </c>
      <c r="O918" s="88" t="s">
        <v>1520</v>
      </c>
      <c r="P918" s="88" t="s">
        <v>1520</v>
      </c>
      <c r="Q918" s="88" t="s">
        <v>1519</v>
      </c>
      <c r="R918" s="88" t="s">
        <v>1520</v>
      </c>
      <c r="S918" s="88" t="s">
        <v>1520</v>
      </c>
      <c r="T918" s="88" t="s">
        <v>1519</v>
      </c>
      <c r="U918" s="88" t="s">
        <v>1520</v>
      </c>
      <c r="V918" s="88" t="s">
        <v>1519</v>
      </c>
      <c r="W918" s="88" t="s">
        <v>1520</v>
      </c>
      <c r="X918" s="88" t="s">
        <v>1520</v>
      </c>
      <c r="Y918" s="88" t="s">
        <v>1519</v>
      </c>
      <c r="Z918" s="88" t="s">
        <v>1520</v>
      </c>
      <c r="AA918" s="88" t="s">
        <v>1519</v>
      </c>
      <c r="AB918" s="88" t="s">
        <v>1520</v>
      </c>
      <c r="AC918" s="88" t="s">
        <v>1520</v>
      </c>
      <c r="AD918" s="89"/>
      <c r="AE918" s="18" t="s">
        <v>638</v>
      </c>
      <c r="AF918" s="24"/>
      <c r="AG918" s="24"/>
      <c r="AH918" s="24"/>
      <c r="AI918" s="24"/>
      <c r="AJ918" s="24"/>
      <c r="AK918" s="24"/>
      <c r="AL918" s="24"/>
      <c r="AM918" s="24"/>
    </row>
    <row r="919">
      <c r="A919" s="11"/>
      <c r="B919" s="12" t="s">
        <v>34</v>
      </c>
      <c r="C919" s="12" t="s">
        <v>65</v>
      </c>
      <c r="D919" s="12" t="s">
        <v>43</v>
      </c>
      <c r="E919" s="12" t="s">
        <v>691</v>
      </c>
      <c r="F919" s="13" t="s">
        <v>692</v>
      </c>
      <c r="G919" s="12" t="s">
        <v>68</v>
      </c>
      <c r="H919" s="12" t="s">
        <v>693</v>
      </c>
      <c r="I919" s="12" t="s">
        <v>694</v>
      </c>
      <c r="J919" s="17" t="s">
        <v>112</v>
      </c>
      <c r="K919" s="17" t="s">
        <v>113</v>
      </c>
      <c r="L919" s="100" t="s">
        <v>1924</v>
      </c>
      <c r="M919" s="20">
        <v>45975.0</v>
      </c>
      <c r="N919" s="17" t="s">
        <v>428</v>
      </c>
      <c r="O919" s="88" t="s">
        <v>1520</v>
      </c>
      <c r="P919" s="88" t="s">
        <v>1520</v>
      </c>
      <c r="Q919" s="88" t="s">
        <v>1520</v>
      </c>
      <c r="R919" s="88" t="s">
        <v>1519</v>
      </c>
      <c r="S919" s="88" t="s">
        <v>1519</v>
      </c>
      <c r="T919" s="88" t="s">
        <v>1520</v>
      </c>
      <c r="U919" s="88" t="s">
        <v>1520</v>
      </c>
      <c r="V919" s="88" t="s">
        <v>1520</v>
      </c>
      <c r="W919" s="88" t="s">
        <v>1520</v>
      </c>
      <c r="X919" s="88" t="s">
        <v>1520</v>
      </c>
      <c r="Y919" s="88" t="s">
        <v>1520</v>
      </c>
      <c r="Z919" s="88" t="s">
        <v>1520</v>
      </c>
      <c r="AA919" s="88" t="s">
        <v>1520</v>
      </c>
      <c r="AB919" s="88" t="s">
        <v>1520</v>
      </c>
      <c r="AC919" s="88" t="s">
        <v>1520</v>
      </c>
      <c r="AD919" s="89"/>
      <c r="AE919" s="18" t="s">
        <v>638</v>
      </c>
      <c r="AF919" s="24"/>
      <c r="AG919" s="24"/>
      <c r="AH919" s="24"/>
      <c r="AI919" s="24"/>
      <c r="AJ919" s="24"/>
      <c r="AK919" s="24"/>
      <c r="AL919" s="24"/>
      <c r="AM919" s="24"/>
    </row>
    <row r="920">
      <c r="A920" s="11"/>
      <c r="B920" s="12" t="s">
        <v>34</v>
      </c>
      <c r="C920" s="12" t="s">
        <v>65</v>
      </c>
      <c r="D920" s="12" t="s">
        <v>43</v>
      </c>
      <c r="E920" s="12" t="s">
        <v>691</v>
      </c>
      <c r="F920" s="13" t="s">
        <v>692</v>
      </c>
      <c r="G920" s="12" t="s">
        <v>68</v>
      </c>
      <c r="H920" s="12" t="s">
        <v>693</v>
      </c>
      <c r="I920" s="12" t="s">
        <v>694</v>
      </c>
      <c r="J920" s="17" t="s">
        <v>108</v>
      </c>
      <c r="K920" s="17" t="s">
        <v>109</v>
      </c>
      <c r="L920" s="100" t="s">
        <v>1925</v>
      </c>
      <c r="M920" s="20">
        <v>45975.0</v>
      </c>
      <c r="N920" s="17" t="s">
        <v>428</v>
      </c>
      <c r="O920" s="88" t="s">
        <v>1519</v>
      </c>
      <c r="P920" s="88" t="s">
        <v>1520</v>
      </c>
      <c r="Q920" s="88" t="s">
        <v>1520</v>
      </c>
      <c r="R920" s="88" t="s">
        <v>1519</v>
      </c>
      <c r="S920" s="88" t="s">
        <v>1520</v>
      </c>
      <c r="T920" s="88" t="s">
        <v>1520</v>
      </c>
      <c r="U920" s="88" t="s">
        <v>1520</v>
      </c>
      <c r="V920" s="88" t="s">
        <v>1520</v>
      </c>
      <c r="W920" s="88" t="s">
        <v>1520</v>
      </c>
      <c r="X920" s="88" t="s">
        <v>1520</v>
      </c>
      <c r="Y920" s="88" t="s">
        <v>1520</v>
      </c>
      <c r="Z920" s="88" t="s">
        <v>1520</v>
      </c>
      <c r="AA920" s="88" t="s">
        <v>1521</v>
      </c>
      <c r="AB920" s="88" t="s">
        <v>1519</v>
      </c>
      <c r="AC920" s="88" t="s">
        <v>1519</v>
      </c>
      <c r="AD920" s="89"/>
      <c r="AE920" s="18" t="s">
        <v>638</v>
      </c>
      <c r="AF920" s="24"/>
      <c r="AG920" s="24"/>
      <c r="AH920" s="24"/>
      <c r="AI920" s="24"/>
      <c r="AJ920" s="24"/>
      <c r="AK920" s="24"/>
      <c r="AL920" s="24"/>
      <c r="AM920" s="24"/>
    </row>
    <row r="921">
      <c r="A921" s="11"/>
      <c r="B921" s="12" t="s">
        <v>34</v>
      </c>
      <c r="C921" s="12" t="s">
        <v>65</v>
      </c>
      <c r="D921" s="12" t="s">
        <v>43</v>
      </c>
      <c r="E921" s="12" t="s">
        <v>691</v>
      </c>
      <c r="F921" s="13" t="s">
        <v>692</v>
      </c>
      <c r="G921" s="12" t="s">
        <v>68</v>
      </c>
      <c r="H921" s="12" t="s">
        <v>693</v>
      </c>
      <c r="I921" s="12" t="s">
        <v>694</v>
      </c>
      <c r="J921" s="17" t="s">
        <v>108</v>
      </c>
      <c r="K921" s="17" t="s">
        <v>109</v>
      </c>
      <c r="L921" s="100" t="s">
        <v>1926</v>
      </c>
      <c r="M921" s="20">
        <v>45975.0</v>
      </c>
      <c r="N921" s="17" t="s">
        <v>428</v>
      </c>
      <c r="O921" s="88" t="s">
        <v>1520</v>
      </c>
      <c r="P921" s="88" t="s">
        <v>1520</v>
      </c>
      <c r="Q921" s="88" t="s">
        <v>1519</v>
      </c>
      <c r="R921" s="88" t="s">
        <v>1519</v>
      </c>
      <c r="S921" s="88" t="s">
        <v>1520</v>
      </c>
      <c r="T921" s="88" t="s">
        <v>1520</v>
      </c>
      <c r="U921" s="88" t="s">
        <v>1520</v>
      </c>
      <c r="V921" s="88" t="s">
        <v>1519</v>
      </c>
      <c r="W921" s="88" t="s">
        <v>1520</v>
      </c>
      <c r="X921" s="88" t="s">
        <v>1519</v>
      </c>
      <c r="Y921" s="88" t="s">
        <v>1520</v>
      </c>
      <c r="Z921" s="88" t="s">
        <v>1520</v>
      </c>
      <c r="AA921" s="88" t="s">
        <v>1520</v>
      </c>
      <c r="AB921" s="88" t="s">
        <v>1520</v>
      </c>
      <c r="AC921" s="88" t="s">
        <v>1520</v>
      </c>
      <c r="AD921" s="89"/>
      <c r="AE921" s="18" t="s">
        <v>638</v>
      </c>
      <c r="AF921" s="24"/>
      <c r="AG921" s="24"/>
      <c r="AH921" s="24"/>
      <c r="AI921" s="24"/>
      <c r="AJ921" s="24"/>
      <c r="AK921" s="24"/>
      <c r="AL921" s="24"/>
      <c r="AM921" s="24"/>
    </row>
    <row r="922">
      <c r="A922" s="11"/>
      <c r="B922" s="12" t="s">
        <v>34</v>
      </c>
      <c r="C922" s="12" t="s">
        <v>65</v>
      </c>
      <c r="D922" s="12" t="s">
        <v>43</v>
      </c>
      <c r="E922" s="12" t="s">
        <v>691</v>
      </c>
      <c r="F922" s="13" t="s">
        <v>692</v>
      </c>
      <c r="G922" s="12" t="s">
        <v>68</v>
      </c>
      <c r="H922" s="12" t="s">
        <v>693</v>
      </c>
      <c r="I922" s="12" t="s">
        <v>694</v>
      </c>
      <c r="J922" s="17" t="s">
        <v>108</v>
      </c>
      <c r="K922" s="17" t="s">
        <v>109</v>
      </c>
      <c r="L922" s="100" t="s">
        <v>1927</v>
      </c>
      <c r="M922" s="20">
        <v>45975.0</v>
      </c>
      <c r="N922" s="17" t="s">
        <v>428</v>
      </c>
      <c r="O922" s="88" t="s">
        <v>1519</v>
      </c>
      <c r="P922" s="88" t="s">
        <v>1520</v>
      </c>
      <c r="Q922" s="88" t="s">
        <v>1520</v>
      </c>
      <c r="R922" s="88" t="s">
        <v>1519</v>
      </c>
      <c r="S922" s="88" t="s">
        <v>1519</v>
      </c>
      <c r="T922" s="88" t="s">
        <v>1520</v>
      </c>
      <c r="U922" s="88" t="s">
        <v>1520</v>
      </c>
      <c r="V922" s="88" t="s">
        <v>1520</v>
      </c>
      <c r="W922" s="88" t="s">
        <v>1520</v>
      </c>
      <c r="X922" s="88" t="s">
        <v>1520</v>
      </c>
      <c r="Y922" s="88" t="s">
        <v>1520</v>
      </c>
      <c r="Z922" s="88" t="s">
        <v>1520</v>
      </c>
      <c r="AA922" s="88" t="s">
        <v>1520</v>
      </c>
      <c r="AB922" s="88" t="s">
        <v>1519</v>
      </c>
      <c r="AC922" s="88" t="s">
        <v>1521</v>
      </c>
      <c r="AD922" s="89"/>
      <c r="AE922" s="18" t="s">
        <v>638</v>
      </c>
      <c r="AF922" s="24"/>
      <c r="AG922" s="24"/>
      <c r="AH922" s="24"/>
      <c r="AI922" s="24"/>
      <c r="AJ922" s="24"/>
      <c r="AK922" s="24"/>
      <c r="AL922" s="24"/>
      <c r="AM922" s="24"/>
    </row>
    <row r="923">
      <c r="A923" s="11"/>
      <c r="B923" s="12" t="s">
        <v>34</v>
      </c>
      <c r="C923" s="12" t="s">
        <v>65</v>
      </c>
      <c r="D923" s="12" t="s">
        <v>43</v>
      </c>
      <c r="E923" s="12" t="s">
        <v>691</v>
      </c>
      <c r="F923" s="13" t="s">
        <v>692</v>
      </c>
      <c r="G923" s="12" t="s">
        <v>68</v>
      </c>
      <c r="H923" s="12" t="s">
        <v>693</v>
      </c>
      <c r="I923" s="12" t="s">
        <v>694</v>
      </c>
      <c r="J923" s="17" t="s">
        <v>108</v>
      </c>
      <c r="K923" s="17" t="s">
        <v>109</v>
      </c>
      <c r="L923" s="100" t="s">
        <v>1928</v>
      </c>
      <c r="M923" s="20">
        <v>45975.0</v>
      </c>
      <c r="N923" s="17" t="s">
        <v>428</v>
      </c>
      <c r="O923" s="88" t="s">
        <v>1519</v>
      </c>
      <c r="P923" s="88" t="s">
        <v>1520</v>
      </c>
      <c r="Q923" s="88" t="s">
        <v>1519</v>
      </c>
      <c r="R923" s="88" t="s">
        <v>1519</v>
      </c>
      <c r="S923" s="88" t="s">
        <v>1520</v>
      </c>
      <c r="T923" s="88" t="s">
        <v>1520</v>
      </c>
      <c r="U923" s="88" t="s">
        <v>1520</v>
      </c>
      <c r="V923" s="88" t="s">
        <v>1520</v>
      </c>
      <c r="W923" s="88" t="s">
        <v>1520</v>
      </c>
      <c r="X923" s="88" t="s">
        <v>1519</v>
      </c>
      <c r="Y923" s="88" t="s">
        <v>1520</v>
      </c>
      <c r="Z923" s="88" t="s">
        <v>1520</v>
      </c>
      <c r="AA923" s="88" t="s">
        <v>1520</v>
      </c>
      <c r="AB923" s="88" t="s">
        <v>1519</v>
      </c>
      <c r="AC923" s="88" t="s">
        <v>1521</v>
      </c>
      <c r="AD923" s="89"/>
      <c r="AE923" s="18" t="s">
        <v>638</v>
      </c>
      <c r="AF923" s="24"/>
      <c r="AG923" s="24"/>
      <c r="AH923" s="24"/>
      <c r="AI923" s="24"/>
      <c r="AJ923" s="24"/>
      <c r="AK923" s="24"/>
      <c r="AL923" s="24"/>
      <c r="AM923" s="24"/>
    </row>
    <row r="924">
      <c r="A924" s="11"/>
      <c r="B924" s="12" t="s">
        <v>34</v>
      </c>
      <c r="C924" s="12" t="s">
        <v>65</v>
      </c>
      <c r="D924" s="12" t="s">
        <v>43</v>
      </c>
      <c r="E924" s="12" t="s">
        <v>691</v>
      </c>
      <c r="F924" s="13" t="s">
        <v>692</v>
      </c>
      <c r="G924" s="12" t="s">
        <v>68</v>
      </c>
      <c r="H924" s="12" t="s">
        <v>693</v>
      </c>
      <c r="I924" s="12" t="s">
        <v>694</v>
      </c>
      <c r="J924" s="17" t="s">
        <v>108</v>
      </c>
      <c r="K924" s="17" t="s">
        <v>109</v>
      </c>
      <c r="L924" s="100" t="s">
        <v>1929</v>
      </c>
      <c r="M924" s="20">
        <v>45975.0</v>
      </c>
      <c r="N924" s="17" t="s">
        <v>428</v>
      </c>
      <c r="O924" s="88" t="s">
        <v>1519</v>
      </c>
      <c r="P924" s="88" t="s">
        <v>1520</v>
      </c>
      <c r="Q924" s="88" t="s">
        <v>1519</v>
      </c>
      <c r="R924" s="88" t="s">
        <v>1520</v>
      </c>
      <c r="S924" s="88" t="s">
        <v>1520</v>
      </c>
      <c r="T924" s="88" t="s">
        <v>1520</v>
      </c>
      <c r="U924" s="88" t="s">
        <v>1520</v>
      </c>
      <c r="V924" s="88" t="s">
        <v>1520</v>
      </c>
      <c r="W924" s="88" t="s">
        <v>1520</v>
      </c>
      <c r="X924" s="88" t="s">
        <v>1520</v>
      </c>
      <c r="Y924" s="88" t="s">
        <v>1520</v>
      </c>
      <c r="Z924" s="88" t="s">
        <v>1519</v>
      </c>
      <c r="AA924" s="88" t="s">
        <v>1520</v>
      </c>
      <c r="AB924" s="88" t="s">
        <v>1520</v>
      </c>
      <c r="AC924" s="88" t="s">
        <v>1520</v>
      </c>
      <c r="AD924" s="89"/>
      <c r="AE924" s="18" t="s">
        <v>638</v>
      </c>
      <c r="AF924" s="24"/>
      <c r="AG924" s="24"/>
      <c r="AH924" s="24"/>
      <c r="AI924" s="24"/>
      <c r="AJ924" s="24"/>
      <c r="AK924" s="24"/>
      <c r="AL924" s="24"/>
      <c r="AM924" s="24"/>
    </row>
    <row r="925">
      <c r="A925" s="11"/>
      <c r="B925" s="12" t="s">
        <v>34</v>
      </c>
      <c r="C925" s="12" t="s">
        <v>65</v>
      </c>
      <c r="D925" s="12" t="s">
        <v>43</v>
      </c>
      <c r="E925" s="12" t="s">
        <v>691</v>
      </c>
      <c r="F925" s="13" t="s">
        <v>692</v>
      </c>
      <c r="G925" s="12" t="s">
        <v>68</v>
      </c>
      <c r="H925" s="12" t="s">
        <v>693</v>
      </c>
      <c r="I925" s="12" t="s">
        <v>694</v>
      </c>
      <c r="J925" s="17" t="s">
        <v>108</v>
      </c>
      <c r="K925" s="17" t="s">
        <v>109</v>
      </c>
      <c r="L925" s="100" t="s">
        <v>1930</v>
      </c>
      <c r="M925" s="20">
        <v>45975.0</v>
      </c>
      <c r="N925" s="17" t="s">
        <v>428</v>
      </c>
      <c r="O925" s="88" t="s">
        <v>1520</v>
      </c>
      <c r="P925" s="88" t="s">
        <v>1520</v>
      </c>
      <c r="Q925" s="88" t="s">
        <v>1519</v>
      </c>
      <c r="R925" s="88" t="s">
        <v>1519</v>
      </c>
      <c r="S925" s="88" t="s">
        <v>1520</v>
      </c>
      <c r="T925" s="88" t="s">
        <v>1520</v>
      </c>
      <c r="U925" s="88" t="s">
        <v>1520</v>
      </c>
      <c r="V925" s="88" t="s">
        <v>1520</v>
      </c>
      <c r="W925" s="88" t="s">
        <v>1520</v>
      </c>
      <c r="X925" s="88" t="s">
        <v>1520</v>
      </c>
      <c r="Y925" s="88" t="s">
        <v>1520</v>
      </c>
      <c r="Z925" s="88" t="s">
        <v>1520</v>
      </c>
      <c r="AA925" s="88" t="s">
        <v>1520</v>
      </c>
      <c r="AB925" s="88" t="s">
        <v>1519</v>
      </c>
      <c r="AC925" s="88" t="s">
        <v>1520</v>
      </c>
      <c r="AD925" s="89"/>
      <c r="AE925" s="18" t="s">
        <v>638</v>
      </c>
      <c r="AF925" s="24"/>
      <c r="AG925" s="24"/>
      <c r="AH925" s="24"/>
      <c r="AI925" s="24"/>
      <c r="AJ925" s="24"/>
      <c r="AK925" s="24"/>
      <c r="AL925" s="24"/>
      <c r="AM925" s="24"/>
    </row>
    <row r="926">
      <c r="A926" s="11"/>
      <c r="B926" s="12" t="s">
        <v>34</v>
      </c>
      <c r="C926" s="12" t="s">
        <v>65</v>
      </c>
      <c r="D926" s="12" t="s">
        <v>43</v>
      </c>
      <c r="E926" s="12" t="s">
        <v>691</v>
      </c>
      <c r="F926" s="13" t="s">
        <v>692</v>
      </c>
      <c r="G926" s="12" t="s">
        <v>68</v>
      </c>
      <c r="H926" s="12" t="s">
        <v>693</v>
      </c>
      <c r="I926" s="12" t="s">
        <v>694</v>
      </c>
      <c r="J926" s="17" t="s">
        <v>108</v>
      </c>
      <c r="K926" s="17" t="s">
        <v>109</v>
      </c>
      <c r="L926" s="100" t="s">
        <v>1931</v>
      </c>
      <c r="M926" s="20">
        <v>45975.0</v>
      </c>
      <c r="N926" s="17" t="s">
        <v>428</v>
      </c>
      <c r="O926" s="88" t="s">
        <v>1519</v>
      </c>
      <c r="P926" s="88" t="s">
        <v>1520</v>
      </c>
      <c r="Q926" s="88" t="s">
        <v>1520</v>
      </c>
      <c r="R926" s="88" t="s">
        <v>1519</v>
      </c>
      <c r="S926" s="88" t="s">
        <v>1520</v>
      </c>
      <c r="T926" s="88" t="s">
        <v>1520</v>
      </c>
      <c r="U926" s="88" t="s">
        <v>1520</v>
      </c>
      <c r="V926" s="88" t="s">
        <v>1520</v>
      </c>
      <c r="W926" s="88" t="s">
        <v>1520</v>
      </c>
      <c r="X926" s="88" t="s">
        <v>1520</v>
      </c>
      <c r="Y926" s="88" t="s">
        <v>1520</v>
      </c>
      <c r="Z926" s="88" t="s">
        <v>1520</v>
      </c>
      <c r="AA926" s="88" t="s">
        <v>1520</v>
      </c>
      <c r="AB926" s="88" t="s">
        <v>1520</v>
      </c>
      <c r="AC926" s="88" t="s">
        <v>1520</v>
      </c>
      <c r="AD926" s="89"/>
      <c r="AE926" s="18" t="s">
        <v>638</v>
      </c>
      <c r="AF926" s="24"/>
      <c r="AG926" s="24"/>
      <c r="AH926" s="24"/>
      <c r="AI926" s="24"/>
      <c r="AJ926" s="24"/>
      <c r="AK926" s="24"/>
      <c r="AL926" s="24"/>
      <c r="AM926" s="24"/>
    </row>
    <row r="927">
      <c r="A927" s="11"/>
      <c r="B927" s="12" t="s">
        <v>34</v>
      </c>
      <c r="C927" s="12" t="s">
        <v>65</v>
      </c>
      <c r="D927" s="12" t="s">
        <v>43</v>
      </c>
      <c r="E927" s="12" t="s">
        <v>691</v>
      </c>
      <c r="F927" s="13" t="s">
        <v>692</v>
      </c>
      <c r="G927" s="12" t="s">
        <v>68</v>
      </c>
      <c r="H927" s="12" t="s">
        <v>693</v>
      </c>
      <c r="I927" s="12" t="s">
        <v>694</v>
      </c>
      <c r="J927" s="17" t="s">
        <v>108</v>
      </c>
      <c r="K927" s="17" t="s">
        <v>109</v>
      </c>
      <c r="L927" s="100" t="s">
        <v>1932</v>
      </c>
      <c r="M927" s="20">
        <v>45975.0</v>
      </c>
      <c r="N927" s="17" t="s">
        <v>428</v>
      </c>
      <c r="O927" s="88" t="s">
        <v>1520</v>
      </c>
      <c r="P927" s="88" t="s">
        <v>1520</v>
      </c>
      <c r="Q927" s="88" t="s">
        <v>1520</v>
      </c>
      <c r="R927" s="88" t="s">
        <v>1520</v>
      </c>
      <c r="S927" s="88" t="s">
        <v>1519</v>
      </c>
      <c r="T927" s="88" t="s">
        <v>1520</v>
      </c>
      <c r="U927" s="88" t="s">
        <v>1520</v>
      </c>
      <c r="V927" s="88" t="s">
        <v>1520</v>
      </c>
      <c r="W927" s="88" t="s">
        <v>1520</v>
      </c>
      <c r="X927" s="88" t="s">
        <v>1520</v>
      </c>
      <c r="Y927" s="88" t="s">
        <v>1520</v>
      </c>
      <c r="Z927" s="88" t="s">
        <v>1520</v>
      </c>
      <c r="AA927" s="88" t="s">
        <v>1520</v>
      </c>
      <c r="AB927" s="88" t="s">
        <v>1519</v>
      </c>
      <c r="AC927" s="88" t="s">
        <v>1520</v>
      </c>
      <c r="AD927" s="89"/>
      <c r="AE927" s="18" t="s">
        <v>638</v>
      </c>
      <c r="AF927" s="24"/>
      <c r="AG927" s="24"/>
      <c r="AH927" s="24"/>
      <c r="AI927" s="24"/>
      <c r="AJ927" s="24"/>
      <c r="AK927" s="24"/>
      <c r="AL927" s="24"/>
      <c r="AM927" s="24"/>
    </row>
    <row r="928">
      <c r="A928" s="11"/>
      <c r="B928" s="12" t="s">
        <v>34</v>
      </c>
      <c r="C928" s="12" t="s">
        <v>65</v>
      </c>
      <c r="D928" s="12" t="s">
        <v>43</v>
      </c>
      <c r="E928" s="12" t="s">
        <v>691</v>
      </c>
      <c r="F928" s="13" t="s">
        <v>692</v>
      </c>
      <c r="G928" s="12" t="s">
        <v>68</v>
      </c>
      <c r="H928" s="12" t="s">
        <v>693</v>
      </c>
      <c r="I928" s="12" t="s">
        <v>694</v>
      </c>
      <c r="J928" s="17" t="s">
        <v>108</v>
      </c>
      <c r="K928" s="17" t="s">
        <v>109</v>
      </c>
      <c r="L928" s="100" t="s">
        <v>1933</v>
      </c>
      <c r="M928" s="20">
        <v>45975.0</v>
      </c>
      <c r="N928" s="17" t="s">
        <v>428</v>
      </c>
      <c r="O928" s="88" t="s">
        <v>1519</v>
      </c>
      <c r="P928" s="88" t="s">
        <v>1520</v>
      </c>
      <c r="Q928" s="88" t="s">
        <v>1520</v>
      </c>
      <c r="R928" s="88" t="s">
        <v>1520</v>
      </c>
      <c r="S928" s="88" t="s">
        <v>1519</v>
      </c>
      <c r="T928" s="88" t="s">
        <v>1521</v>
      </c>
      <c r="U928" s="88" t="s">
        <v>1520</v>
      </c>
      <c r="V928" s="88" t="s">
        <v>1520</v>
      </c>
      <c r="W928" s="88" t="s">
        <v>1521</v>
      </c>
      <c r="X928" s="88" t="s">
        <v>1520</v>
      </c>
      <c r="Y928" s="88" t="s">
        <v>1520</v>
      </c>
      <c r="Z928" s="88" t="s">
        <v>1520</v>
      </c>
      <c r="AA928" s="88" t="s">
        <v>1520</v>
      </c>
      <c r="AB928" s="88" t="s">
        <v>1520</v>
      </c>
      <c r="AC928" s="88" t="s">
        <v>1521</v>
      </c>
      <c r="AD928" s="89"/>
      <c r="AE928" s="18" t="s">
        <v>638</v>
      </c>
      <c r="AF928" s="24"/>
      <c r="AG928" s="24"/>
      <c r="AH928" s="24"/>
      <c r="AI928" s="24"/>
      <c r="AJ928" s="24"/>
      <c r="AK928" s="24"/>
      <c r="AL928" s="24"/>
      <c r="AM928" s="24"/>
    </row>
    <row r="929">
      <c r="A929" s="11"/>
      <c r="B929" s="12" t="s">
        <v>34</v>
      </c>
      <c r="C929" s="12" t="s">
        <v>65</v>
      </c>
      <c r="D929" s="12" t="s">
        <v>43</v>
      </c>
      <c r="E929" s="12" t="s">
        <v>691</v>
      </c>
      <c r="F929" s="13" t="s">
        <v>692</v>
      </c>
      <c r="G929" s="12" t="s">
        <v>68</v>
      </c>
      <c r="H929" s="12" t="s">
        <v>693</v>
      </c>
      <c r="I929" s="12" t="s">
        <v>694</v>
      </c>
      <c r="J929" s="17" t="s">
        <v>108</v>
      </c>
      <c r="K929" s="17" t="s">
        <v>109</v>
      </c>
      <c r="L929" s="100" t="s">
        <v>1934</v>
      </c>
      <c r="M929" s="20">
        <v>45975.0</v>
      </c>
      <c r="N929" s="17" t="s">
        <v>428</v>
      </c>
      <c r="O929" s="88" t="s">
        <v>1520</v>
      </c>
      <c r="P929" s="88" t="s">
        <v>1520</v>
      </c>
      <c r="Q929" s="88" t="s">
        <v>1519</v>
      </c>
      <c r="R929" s="88" t="s">
        <v>1520</v>
      </c>
      <c r="S929" s="88" t="s">
        <v>1519</v>
      </c>
      <c r="T929" s="88" t="s">
        <v>1521</v>
      </c>
      <c r="U929" s="88" t="s">
        <v>1520</v>
      </c>
      <c r="V929" s="88" t="s">
        <v>1520</v>
      </c>
      <c r="W929" s="88" t="s">
        <v>1520</v>
      </c>
      <c r="X929" s="88" t="s">
        <v>1520</v>
      </c>
      <c r="Y929" s="88" t="s">
        <v>1520</v>
      </c>
      <c r="Z929" s="88" t="s">
        <v>1520</v>
      </c>
      <c r="AA929" s="88" t="s">
        <v>1520</v>
      </c>
      <c r="AB929" s="88" t="s">
        <v>1519</v>
      </c>
      <c r="AC929" s="88" t="s">
        <v>1520</v>
      </c>
      <c r="AD929" s="89"/>
      <c r="AE929" s="18" t="s">
        <v>638</v>
      </c>
      <c r="AF929" s="24"/>
      <c r="AG929" s="24"/>
      <c r="AH929" s="24"/>
      <c r="AI929" s="24"/>
      <c r="AJ929" s="24"/>
      <c r="AK929" s="24"/>
      <c r="AL929" s="24"/>
      <c r="AM929" s="24"/>
    </row>
    <row r="930">
      <c r="A930" s="11"/>
      <c r="B930" s="12" t="s">
        <v>34</v>
      </c>
      <c r="C930" s="12" t="s">
        <v>65</v>
      </c>
      <c r="D930" s="12" t="s">
        <v>43</v>
      </c>
      <c r="E930" s="12" t="s">
        <v>691</v>
      </c>
      <c r="F930" s="13" t="s">
        <v>692</v>
      </c>
      <c r="G930" s="12" t="s">
        <v>68</v>
      </c>
      <c r="H930" s="12" t="s">
        <v>693</v>
      </c>
      <c r="I930" s="12" t="s">
        <v>694</v>
      </c>
      <c r="J930" s="17" t="s">
        <v>108</v>
      </c>
      <c r="K930" s="17" t="s">
        <v>109</v>
      </c>
      <c r="L930" s="100" t="s">
        <v>1935</v>
      </c>
      <c r="M930" s="20">
        <v>45975.0</v>
      </c>
      <c r="N930" s="17" t="s">
        <v>428</v>
      </c>
      <c r="O930" s="88" t="s">
        <v>1520</v>
      </c>
      <c r="P930" s="88" t="s">
        <v>1519</v>
      </c>
      <c r="Q930" s="88" t="s">
        <v>1520</v>
      </c>
      <c r="R930" s="88" t="s">
        <v>1520</v>
      </c>
      <c r="S930" s="88" t="s">
        <v>1520</v>
      </c>
      <c r="T930" s="88" t="s">
        <v>1520</v>
      </c>
      <c r="U930" s="88" t="s">
        <v>1520</v>
      </c>
      <c r="V930" s="88" t="s">
        <v>1520</v>
      </c>
      <c r="W930" s="88" t="s">
        <v>1520</v>
      </c>
      <c r="X930" s="88" t="s">
        <v>1520</v>
      </c>
      <c r="Y930" s="88" t="s">
        <v>1520</v>
      </c>
      <c r="Z930" s="88" t="s">
        <v>1520</v>
      </c>
      <c r="AA930" s="88" t="s">
        <v>1520</v>
      </c>
      <c r="AB930" s="88" t="s">
        <v>1520</v>
      </c>
      <c r="AC930" s="88" t="s">
        <v>1520</v>
      </c>
      <c r="AD930" s="89"/>
      <c r="AE930" s="18" t="s">
        <v>638</v>
      </c>
      <c r="AF930" s="24"/>
      <c r="AG930" s="24"/>
      <c r="AH930" s="24"/>
      <c r="AI930" s="24"/>
      <c r="AJ930" s="24"/>
      <c r="AK930" s="24"/>
      <c r="AL930" s="24"/>
      <c r="AM930" s="24"/>
    </row>
    <row r="931">
      <c r="A931" s="11"/>
      <c r="B931" s="12" t="s">
        <v>34</v>
      </c>
      <c r="C931" s="12" t="s">
        <v>65</v>
      </c>
      <c r="D931" s="12" t="s">
        <v>43</v>
      </c>
      <c r="E931" s="12" t="s">
        <v>691</v>
      </c>
      <c r="F931" s="13" t="s">
        <v>692</v>
      </c>
      <c r="G931" s="12" t="s">
        <v>68</v>
      </c>
      <c r="H931" s="12" t="s">
        <v>693</v>
      </c>
      <c r="I931" s="12" t="s">
        <v>694</v>
      </c>
      <c r="J931" s="17" t="s">
        <v>108</v>
      </c>
      <c r="K931" s="17" t="s">
        <v>109</v>
      </c>
      <c r="L931" s="100" t="s">
        <v>1936</v>
      </c>
      <c r="M931" s="20">
        <v>45975.0</v>
      </c>
      <c r="N931" s="17" t="s">
        <v>428</v>
      </c>
      <c r="O931" s="88" t="s">
        <v>1520</v>
      </c>
      <c r="P931" s="88" t="s">
        <v>1519</v>
      </c>
      <c r="Q931" s="88" t="s">
        <v>1520</v>
      </c>
      <c r="R931" s="88" t="s">
        <v>1520</v>
      </c>
      <c r="S931" s="88" t="s">
        <v>1520</v>
      </c>
      <c r="T931" s="88" t="s">
        <v>1520</v>
      </c>
      <c r="U931" s="88" t="s">
        <v>1520</v>
      </c>
      <c r="V931" s="88" t="s">
        <v>1520</v>
      </c>
      <c r="W931" s="88" t="s">
        <v>1521</v>
      </c>
      <c r="X931" s="88" t="s">
        <v>1520</v>
      </c>
      <c r="Y931" s="88" t="s">
        <v>1520</v>
      </c>
      <c r="Z931" s="88" t="s">
        <v>1519</v>
      </c>
      <c r="AA931" s="88" t="s">
        <v>1520</v>
      </c>
      <c r="AB931" s="88" t="s">
        <v>1519</v>
      </c>
      <c r="AC931" s="88" t="s">
        <v>1520</v>
      </c>
      <c r="AD931" s="89"/>
      <c r="AE931" s="18" t="s">
        <v>638</v>
      </c>
      <c r="AF931" s="24"/>
      <c r="AG931" s="24"/>
      <c r="AH931" s="24"/>
      <c r="AI931" s="24"/>
      <c r="AJ931" s="24"/>
      <c r="AK931" s="24"/>
      <c r="AL931" s="24"/>
      <c r="AM931" s="24"/>
    </row>
    <row r="932">
      <c r="A932" s="11"/>
      <c r="B932" s="12" t="s">
        <v>34</v>
      </c>
      <c r="C932" s="12" t="s">
        <v>65</v>
      </c>
      <c r="D932" s="12" t="s">
        <v>43</v>
      </c>
      <c r="E932" s="12" t="s">
        <v>691</v>
      </c>
      <c r="F932" s="13" t="s">
        <v>692</v>
      </c>
      <c r="G932" s="12" t="s">
        <v>68</v>
      </c>
      <c r="H932" s="12" t="s">
        <v>693</v>
      </c>
      <c r="I932" s="12" t="s">
        <v>694</v>
      </c>
      <c r="J932" s="17" t="s">
        <v>108</v>
      </c>
      <c r="K932" s="17" t="s">
        <v>109</v>
      </c>
      <c r="L932" s="100" t="s">
        <v>1937</v>
      </c>
      <c r="M932" s="20">
        <v>45975.0</v>
      </c>
      <c r="N932" s="17" t="s">
        <v>428</v>
      </c>
      <c r="O932" s="88" t="s">
        <v>1519</v>
      </c>
      <c r="P932" s="88" t="s">
        <v>1519</v>
      </c>
      <c r="Q932" s="88" t="s">
        <v>1519</v>
      </c>
      <c r="R932" s="88" t="s">
        <v>1521</v>
      </c>
      <c r="S932" s="88" t="s">
        <v>1520</v>
      </c>
      <c r="T932" s="88" t="s">
        <v>1520</v>
      </c>
      <c r="U932" s="88" t="s">
        <v>1520</v>
      </c>
      <c r="V932" s="88" t="s">
        <v>1521</v>
      </c>
      <c r="W932" s="88" t="s">
        <v>1520</v>
      </c>
      <c r="X932" s="88" t="s">
        <v>1520</v>
      </c>
      <c r="Y932" s="88" t="s">
        <v>1520</v>
      </c>
      <c r="Z932" s="88" t="s">
        <v>1520</v>
      </c>
      <c r="AA932" s="88" t="s">
        <v>1520</v>
      </c>
      <c r="AB932" s="88" t="s">
        <v>1521</v>
      </c>
      <c r="AC932" s="88" t="s">
        <v>1520</v>
      </c>
      <c r="AD932" s="89"/>
      <c r="AE932" s="18" t="s">
        <v>638</v>
      </c>
      <c r="AF932" s="24"/>
      <c r="AG932" s="24"/>
      <c r="AH932" s="24"/>
      <c r="AI932" s="24"/>
      <c r="AJ932" s="24"/>
      <c r="AK932" s="24"/>
      <c r="AL932" s="24"/>
      <c r="AM932" s="24"/>
    </row>
    <row r="933">
      <c r="A933" s="11"/>
      <c r="B933" s="12" t="s">
        <v>34</v>
      </c>
      <c r="C933" s="12" t="s">
        <v>65</v>
      </c>
      <c r="D933" s="12" t="s">
        <v>43</v>
      </c>
      <c r="E933" s="12" t="s">
        <v>773</v>
      </c>
      <c r="F933" s="13" t="s">
        <v>774</v>
      </c>
      <c r="G933" s="12" t="s">
        <v>68</v>
      </c>
      <c r="H933" s="12" t="s">
        <v>775</v>
      </c>
      <c r="I933" s="12" t="s">
        <v>776</v>
      </c>
      <c r="J933" s="17" t="s">
        <v>112</v>
      </c>
      <c r="K933" s="17" t="s">
        <v>113</v>
      </c>
      <c r="L933" s="100" t="s">
        <v>1938</v>
      </c>
      <c r="M933" s="20">
        <v>45971.0</v>
      </c>
      <c r="N933" s="17" t="s">
        <v>428</v>
      </c>
      <c r="O933" s="88" t="s">
        <v>1519</v>
      </c>
      <c r="P933" s="88" t="s">
        <v>1520</v>
      </c>
      <c r="Q933" s="88" t="s">
        <v>1519</v>
      </c>
      <c r="R933" s="88" t="s">
        <v>1520</v>
      </c>
      <c r="S933" s="88" t="s">
        <v>1519</v>
      </c>
      <c r="T933" s="88" t="s">
        <v>1519</v>
      </c>
      <c r="U933" s="88" t="s">
        <v>1520</v>
      </c>
      <c r="V933" s="88" t="s">
        <v>1520</v>
      </c>
      <c r="W933" s="88" t="s">
        <v>1520</v>
      </c>
      <c r="X933" s="88" t="s">
        <v>1520</v>
      </c>
      <c r="Y933" s="88" t="s">
        <v>1519</v>
      </c>
      <c r="Z933" s="88" t="s">
        <v>1519</v>
      </c>
      <c r="AA933" s="88" t="s">
        <v>1519</v>
      </c>
      <c r="AB933" s="88" t="s">
        <v>1520</v>
      </c>
      <c r="AC933" s="88" t="s">
        <v>1520</v>
      </c>
      <c r="AD933" s="89"/>
      <c r="AE933" s="18" t="s">
        <v>638</v>
      </c>
      <c r="AF933" s="24"/>
      <c r="AG933" s="24"/>
      <c r="AH933" s="24"/>
      <c r="AI933" s="24"/>
      <c r="AJ933" s="24"/>
      <c r="AK933" s="24"/>
      <c r="AL933" s="24"/>
      <c r="AM933" s="24"/>
    </row>
    <row r="934">
      <c r="A934" s="11"/>
      <c r="B934" s="12" t="s">
        <v>34</v>
      </c>
      <c r="C934" s="12" t="s">
        <v>65</v>
      </c>
      <c r="D934" s="12" t="s">
        <v>43</v>
      </c>
      <c r="E934" s="12" t="s">
        <v>773</v>
      </c>
      <c r="F934" s="13" t="s">
        <v>774</v>
      </c>
      <c r="G934" s="12" t="s">
        <v>68</v>
      </c>
      <c r="H934" s="12" t="s">
        <v>775</v>
      </c>
      <c r="I934" s="12" t="s">
        <v>776</v>
      </c>
      <c r="J934" s="17" t="s">
        <v>112</v>
      </c>
      <c r="K934" s="17" t="s">
        <v>1939</v>
      </c>
      <c r="L934" s="100" t="s">
        <v>1940</v>
      </c>
      <c r="M934" s="20">
        <v>45971.0</v>
      </c>
      <c r="N934" s="17" t="s">
        <v>428</v>
      </c>
      <c r="O934" s="88" t="s">
        <v>1519</v>
      </c>
      <c r="P934" s="88" t="s">
        <v>1520</v>
      </c>
      <c r="Q934" s="88" t="s">
        <v>1519</v>
      </c>
      <c r="R934" s="88" t="s">
        <v>1519</v>
      </c>
      <c r="S934" s="88" t="s">
        <v>1519</v>
      </c>
      <c r="T934" s="88" t="s">
        <v>1520</v>
      </c>
      <c r="U934" s="88" t="s">
        <v>1519</v>
      </c>
      <c r="V934" s="88" t="s">
        <v>1520</v>
      </c>
      <c r="W934" s="88" t="s">
        <v>1520</v>
      </c>
      <c r="X934" s="88" t="s">
        <v>1520</v>
      </c>
      <c r="Y934" s="88" t="s">
        <v>1520</v>
      </c>
      <c r="Z934" s="88" t="s">
        <v>1520</v>
      </c>
      <c r="AA934" s="88" t="s">
        <v>1520</v>
      </c>
      <c r="AB934" s="88" t="s">
        <v>1519</v>
      </c>
      <c r="AC934" s="88" t="s">
        <v>1520</v>
      </c>
      <c r="AD934" s="89"/>
      <c r="AE934" s="18" t="s">
        <v>638</v>
      </c>
      <c r="AF934" s="24"/>
      <c r="AG934" s="24"/>
      <c r="AH934" s="24"/>
      <c r="AI934" s="24"/>
      <c r="AJ934" s="24"/>
      <c r="AK934" s="24"/>
      <c r="AL934" s="24"/>
      <c r="AM934" s="24"/>
    </row>
    <row r="935">
      <c r="A935" s="11"/>
      <c r="B935" s="12" t="s">
        <v>34</v>
      </c>
      <c r="C935" s="12" t="s">
        <v>65</v>
      </c>
      <c r="D935" s="12" t="s">
        <v>43</v>
      </c>
      <c r="E935" s="12" t="s">
        <v>773</v>
      </c>
      <c r="F935" s="13" t="s">
        <v>774</v>
      </c>
      <c r="G935" s="12" t="s">
        <v>68</v>
      </c>
      <c r="H935" s="12" t="s">
        <v>775</v>
      </c>
      <c r="I935" s="12" t="s">
        <v>776</v>
      </c>
      <c r="J935" s="17" t="s">
        <v>112</v>
      </c>
      <c r="K935" s="17" t="s">
        <v>113</v>
      </c>
      <c r="L935" s="100" t="s">
        <v>1941</v>
      </c>
      <c r="M935" s="20">
        <v>45971.0</v>
      </c>
      <c r="N935" s="17" t="s">
        <v>428</v>
      </c>
      <c r="O935" s="88" t="s">
        <v>1519</v>
      </c>
      <c r="P935" s="88" t="s">
        <v>1520</v>
      </c>
      <c r="Q935" s="88" t="s">
        <v>1519</v>
      </c>
      <c r="R935" s="88" t="s">
        <v>1520</v>
      </c>
      <c r="S935" s="88" t="s">
        <v>1519</v>
      </c>
      <c r="T935" s="88" t="s">
        <v>1519</v>
      </c>
      <c r="U935" s="88" t="s">
        <v>1519</v>
      </c>
      <c r="V935" s="88" t="s">
        <v>1520</v>
      </c>
      <c r="W935" s="88" t="s">
        <v>1519</v>
      </c>
      <c r="X935" s="88" t="s">
        <v>1520</v>
      </c>
      <c r="Y935" s="88" t="s">
        <v>1520</v>
      </c>
      <c r="Z935" s="88" t="s">
        <v>1520</v>
      </c>
      <c r="AA935" s="88" t="s">
        <v>1520</v>
      </c>
      <c r="AB935" s="88" t="s">
        <v>1519</v>
      </c>
      <c r="AC935" s="88" t="s">
        <v>1520</v>
      </c>
      <c r="AD935" s="89"/>
      <c r="AE935" s="18" t="s">
        <v>638</v>
      </c>
      <c r="AF935" s="24"/>
      <c r="AG935" s="24"/>
      <c r="AH935" s="24"/>
      <c r="AI935" s="24"/>
      <c r="AJ935" s="24"/>
      <c r="AK935" s="24"/>
      <c r="AL935" s="24"/>
      <c r="AM935" s="24"/>
    </row>
    <row r="936">
      <c r="A936" s="11"/>
      <c r="B936" s="12" t="s">
        <v>34</v>
      </c>
      <c r="C936" s="12" t="s">
        <v>65</v>
      </c>
      <c r="D936" s="12" t="s">
        <v>43</v>
      </c>
      <c r="E936" s="12" t="s">
        <v>773</v>
      </c>
      <c r="F936" s="13" t="s">
        <v>774</v>
      </c>
      <c r="G936" s="12" t="s">
        <v>68</v>
      </c>
      <c r="H936" s="12" t="s">
        <v>775</v>
      </c>
      <c r="I936" s="12" t="s">
        <v>776</v>
      </c>
      <c r="J936" s="17" t="s">
        <v>108</v>
      </c>
      <c r="K936" s="17" t="s">
        <v>109</v>
      </c>
      <c r="L936" s="100" t="s">
        <v>1942</v>
      </c>
      <c r="M936" s="20">
        <v>45971.0</v>
      </c>
      <c r="N936" s="17" t="s">
        <v>428</v>
      </c>
      <c r="O936" s="88" t="s">
        <v>1519</v>
      </c>
      <c r="P936" s="88" t="s">
        <v>1520</v>
      </c>
      <c r="Q936" s="88" t="s">
        <v>1519</v>
      </c>
      <c r="R936" s="88" t="s">
        <v>1519</v>
      </c>
      <c r="S936" s="88" t="s">
        <v>1519</v>
      </c>
      <c r="T936" s="88" t="s">
        <v>1520</v>
      </c>
      <c r="U936" s="88" t="s">
        <v>1520</v>
      </c>
      <c r="V936" s="88" t="s">
        <v>1520</v>
      </c>
      <c r="W936" s="88" t="s">
        <v>1519</v>
      </c>
      <c r="X936" s="88" t="s">
        <v>1519</v>
      </c>
      <c r="Y936" s="88" t="s">
        <v>1519</v>
      </c>
      <c r="Z936" s="88" t="s">
        <v>1520</v>
      </c>
      <c r="AA936" s="88" t="s">
        <v>1520</v>
      </c>
      <c r="AB936" s="88" t="s">
        <v>1520</v>
      </c>
      <c r="AC936" s="88" t="s">
        <v>1520</v>
      </c>
      <c r="AD936" s="89"/>
      <c r="AE936" s="18" t="s">
        <v>638</v>
      </c>
      <c r="AF936" s="24"/>
      <c r="AG936" s="24"/>
      <c r="AH936" s="24"/>
      <c r="AI936" s="24"/>
      <c r="AJ936" s="24"/>
      <c r="AK936" s="24"/>
      <c r="AL936" s="24"/>
      <c r="AM936" s="24"/>
    </row>
    <row r="937">
      <c r="A937" s="11"/>
      <c r="B937" s="12" t="s">
        <v>34</v>
      </c>
      <c r="C937" s="12" t="s">
        <v>65</v>
      </c>
      <c r="D937" s="12" t="s">
        <v>43</v>
      </c>
      <c r="E937" s="12" t="s">
        <v>773</v>
      </c>
      <c r="F937" s="13" t="s">
        <v>774</v>
      </c>
      <c r="G937" s="12" t="s">
        <v>68</v>
      </c>
      <c r="H937" s="12" t="s">
        <v>775</v>
      </c>
      <c r="I937" s="12" t="s">
        <v>776</v>
      </c>
      <c r="J937" s="17" t="s">
        <v>108</v>
      </c>
      <c r="K937" s="17" t="s">
        <v>109</v>
      </c>
      <c r="L937" s="100" t="s">
        <v>1943</v>
      </c>
      <c r="M937" s="20">
        <v>45971.0</v>
      </c>
      <c r="N937" s="17" t="s">
        <v>428</v>
      </c>
      <c r="O937" s="88" t="s">
        <v>1519</v>
      </c>
      <c r="P937" s="88" t="s">
        <v>1520</v>
      </c>
      <c r="Q937" s="88" t="s">
        <v>1519</v>
      </c>
      <c r="R937" s="88" t="s">
        <v>1519</v>
      </c>
      <c r="S937" s="88" t="s">
        <v>1519</v>
      </c>
      <c r="T937" s="88" t="s">
        <v>1520</v>
      </c>
      <c r="U937" s="88" t="s">
        <v>1520</v>
      </c>
      <c r="V937" s="88" t="s">
        <v>1519</v>
      </c>
      <c r="W937" s="88" t="s">
        <v>1519</v>
      </c>
      <c r="X937" s="88" t="s">
        <v>1520</v>
      </c>
      <c r="Y937" s="88" t="s">
        <v>1520</v>
      </c>
      <c r="Z937" s="88" t="s">
        <v>1520</v>
      </c>
      <c r="AA937" s="88" t="s">
        <v>1520</v>
      </c>
      <c r="AB937" s="88" t="s">
        <v>1519</v>
      </c>
      <c r="AC937" s="88" t="s">
        <v>1520</v>
      </c>
      <c r="AD937" s="89"/>
      <c r="AE937" s="18" t="s">
        <v>638</v>
      </c>
      <c r="AF937" s="24"/>
      <c r="AG937" s="24"/>
      <c r="AH937" s="24"/>
      <c r="AI937" s="24"/>
      <c r="AJ937" s="24"/>
      <c r="AK937" s="24"/>
      <c r="AL937" s="24"/>
      <c r="AM937" s="24"/>
    </row>
    <row r="938">
      <c r="A938" s="11"/>
      <c r="B938" s="12" t="s">
        <v>34</v>
      </c>
      <c r="C938" s="12" t="s">
        <v>65</v>
      </c>
      <c r="D938" s="12" t="s">
        <v>43</v>
      </c>
      <c r="E938" s="12" t="s">
        <v>773</v>
      </c>
      <c r="F938" s="13" t="s">
        <v>774</v>
      </c>
      <c r="G938" s="12" t="s">
        <v>68</v>
      </c>
      <c r="H938" s="12" t="s">
        <v>775</v>
      </c>
      <c r="I938" s="12" t="s">
        <v>776</v>
      </c>
      <c r="J938" s="17" t="s">
        <v>108</v>
      </c>
      <c r="K938" s="17" t="s">
        <v>109</v>
      </c>
      <c r="L938" s="100" t="s">
        <v>1944</v>
      </c>
      <c r="M938" s="20">
        <v>45971.0</v>
      </c>
      <c r="N938" s="17" t="s">
        <v>428</v>
      </c>
      <c r="O938" s="88" t="s">
        <v>1519</v>
      </c>
      <c r="P938" s="88" t="s">
        <v>1520</v>
      </c>
      <c r="Q938" s="88" t="s">
        <v>1519</v>
      </c>
      <c r="R938" s="88" t="s">
        <v>1520</v>
      </c>
      <c r="S938" s="88" t="s">
        <v>1520</v>
      </c>
      <c r="T938" s="88" t="s">
        <v>1519</v>
      </c>
      <c r="U938" s="88" t="s">
        <v>1519</v>
      </c>
      <c r="V938" s="88" t="s">
        <v>1519</v>
      </c>
      <c r="W938" s="88" t="s">
        <v>1520</v>
      </c>
      <c r="X938" s="88" t="s">
        <v>1519</v>
      </c>
      <c r="Y938" s="88" t="s">
        <v>1520</v>
      </c>
      <c r="Z938" s="88" t="s">
        <v>1520</v>
      </c>
      <c r="AA938" s="88" t="s">
        <v>1519</v>
      </c>
      <c r="AB938" s="88" t="s">
        <v>1519</v>
      </c>
      <c r="AC938" s="88" t="s">
        <v>1520</v>
      </c>
      <c r="AD938" s="89"/>
      <c r="AE938" s="18" t="s">
        <v>638</v>
      </c>
      <c r="AF938" s="24"/>
      <c r="AG938" s="24"/>
      <c r="AH938" s="24"/>
      <c r="AI938" s="24"/>
      <c r="AJ938" s="24"/>
      <c r="AK938" s="24"/>
      <c r="AL938" s="24"/>
      <c r="AM938" s="24"/>
    </row>
    <row r="939">
      <c r="A939" s="11"/>
      <c r="B939" s="12" t="s">
        <v>34</v>
      </c>
      <c r="C939" s="12" t="s">
        <v>65</v>
      </c>
      <c r="D939" s="12" t="s">
        <v>43</v>
      </c>
      <c r="E939" s="12" t="s">
        <v>773</v>
      </c>
      <c r="F939" s="13" t="s">
        <v>774</v>
      </c>
      <c r="G939" s="12" t="s">
        <v>68</v>
      </c>
      <c r="H939" s="12" t="s">
        <v>775</v>
      </c>
      <c r="I939" s="12" t="s">
        <v>776</v>
      </c>
      <c r="J939" s="17" t="s">
        <v>108</v>
      </c>
      <c r="K939" s="17" t="s">
        <v>109</v>
      </c>
      <c r="L939" s="100" t="s">
        <v>1945</v>
      </c>
      <c r="M939" s="20">
        <v>45971.0</v>
      </c>
      <c r="N939" s="17" t="s">
        <v>428</v>
      </c>
      <c r="O939" s="88" t="s">
        <v>1519</v>
      </c>
      <c r="P939" s="88" t="s">
        <v>1520</v>
      </c>
      <c r="Q939" s="88" t="s">
        <v>1519</v>
      </c>
      <c r="R939" s="88" t="s">
        <v>1519</v>
      </c>
      <c r="S939" s="88" t="s">
        <v>1520</v>
      </c>
      <c r="T939" s="88" t="s">
        <v>1519</v>
      </c>
      <c r="U939" s="88" t="s">
        <v>1519</v>
      </c>
      <c r="V939" s="88" t="s">
        <v>1519</v>
      </c>
      <c r="W939" s="88" t="s">
        <v>1520</v>
      </c>
      <c r="X939" s="88" t="s">
        <v>1520</v>
      </c>
      <c r="Y939" s="88" t="s">
        <v>1520</v>
      </c>
      <c r="Z939" s="88" t="s">
        <v>1520</v>
      </c>
      <c r="AA939" s="88" t="s">
        <v>1520</v>
      </c>
      <c r="AB939" s="88" t="s">
        <v>1520</v>
      </c>
      <c r="AC939" s="88" t="s">
        <v>1520</v>
      </c>
      <c r="AD939" s="89"/>
      <c r="AE939" s="18" t="s">
        <v>638</v>
      </c>
      <c r="AF939" s="24"/>
      <c r="AG939" s="24"/>
      <c r="AH939" s="24"/>
      <c r="AI939" s="24"/>
      <c r="AJ939" s="24"/>
      <c r="AK939" s="24"/>
      <c r="AL939" s="24"/>
      <c r="AM939" s="24"/>
    </row>
    <row r="940">
      <c r="A940" s="11"/>
      <c r="B940" s="12" t="s">
        <v>34</v>
      </c>
      <c r="C940" s="12" t="s">
        <v>65</v>
      </c>
      <c r="D940" s="12" t="s">
        <v>43</v>
      </c>
      <c r="E940" s="12" t="s">
        <v>773</v>
      </c>
      <c r="F940" s="13" t="s">
        <v>774</v>
      </c>
      <c r="G940" s="12" t="s">
        <v>68</v>
      </c>
      <c r="H940" s="12" t="s">
        <v>775</v>
      </c>
      <c r="I940" s="12" t="s">
        <v>776</v>
      </c>
      <c r="J940" s="17" t="s">
        <v>108</v>
      </c>
      <c r="K940" s="17" t="s">
        <v>109</v>
      </c>
      <c r="L940" s="100" t="s">
        <v>1946</v>
      </c>
      <c r="M940" s="20">
        <v>45971.0</v>
      </c>
      <c r="N940" s="17" t="s">
        <v>428</v>
      </c>
      <c r="O940" s="88" t="s">
        <v>1519</v>
      </c>
      <c r="P940" s="88" t="s">
        <v>1519</v>
      </c>
      <c r="Q940" s="88" t="s">
        <v>1519</v>
      </c>
      <c r="R940" s="88" t="s">
        <v>1520</v>
      </c>
      <c r="S940" s="88" t="s">
        <v>1520</v>
      </c>
      <c r="T940" s="88" t="s">
        <v>1520</v>
      </c>
      <c r="U940" s="88" t="s">
        <v>1519</v>
      </c>
      <c r="V940" s="88" t="s">
        <v>1520</v>
      </c>
      <c r="W940" s="88" t="s">
        <v>1519</v>
      </c>
      <c r="X940" s="88" t="s">
        <v>1519</v>
      </c>
      <c r="Y940" s="88" t="s">
        <v>1519</v>
      </c>
      <c r="Z940" s="88" t="s">
        <v>1520</v>
      </c>
      <c r="AA940" s="88" t="s">
        <v>1519</v>
      </c>
      <c r="AB940" s="88" t="s">
        <v>1520</v>
      </c>
      <c r="AC940" s="88" t="s">
        <v>1520</v>
      </c>
      <c r="AD940" s="89"/>
      <c r="AE940" s="18" t="s">
        <v>638</v>
      </c>
      <c r="AF940" s="24"/>
      <c r="AG940" s="24"/>
      <c r="AH940" s="24"/>
      <c r="AI940" s="24"/>
      <c r="AJ940" s="24"/>
      <c r="AK940" s="24"/>
      <c r="AL940" s="24"/>
      <c r="AM940" s="24"/>
    </row>
    <row r="941">
      <c r="A941" s="11"/>
      <c r="B941" s="12" t="s">
        <v>34</v>
      </c>
      <c r="C941" s="12" t="s">
        <v>65</v>
      </c>
      <c r="D941" s="12" t="s">
        <v>43</v>
      </c>
      <c r="E941" s="12" t="s">
        <v>773</v>
      </c>
      <c r="F941" s="13" t="s">
        <v>774</v>
      </c>
      <c r="G941" s="12" t="s">
        <v>68</v>
      </c>
      <c r="H941" s="12" t="s">
        <v>775</v>
      </c>
      <c r="I941" s="12" t="s">
        <v>776</v>
      </c>
      <c r="J941" s="17" t="s">
        <v>108</v>
      </c>
      <c r="K941" s="17" t="s">
        <v>109</v>
      </c>
      <c r="L941" s="100" t="s">
        <v>1947</v>
      </c>
      <c r="M941" s="20">
        <v>45971.0</v>
      </c>
      <c r="N941" s="17" t="s">
        <v>428</v>
      </c>
      <c r="O941" s="88" t="s">
        <v>1519</v>
      </c>
      <c r="P941" s="88" t="s">
        <v>1519</v>
      </c>
      <c r="Q941" s="88" t="s">
        <v>1519</v>
      </c>
      <c r="R941" s="88" t="s">
        <v>1519</v>
      </c>
      <c r="S941" s="88" t="s">
        <v>1520</v>
      </c>
      <c r="T941" s="88" t="s">
        <v>1519</v>
      </c>
      <c r="U941" s="88" t="s">
        <v>1520</v>
      </c>
      <c r="V941" s="88" t="s">
        <v>1520</v>
      </c>
      <c r="W941" s="88" t="s">
        <v>1520</v>
      </c>
      <c r="X941" s="88" t="s">
        <v>1520</v>
      </c>
      <c r="Y941" s="88" t="s">
        <v>1519</v>
      </c>
      <c r="Z941" s="88" t="s">
        <v>1520</v>
      </c>
      <c r="AA941" s="88" t="s">
        <v>1519</v>
      </c>
      <c r="AB941" s="88" t="s">
        <v>1519</v>
      </c>
      <c r="AC941" s="88" t="s">
        <v>1520</v>
      </c>
      <c r="AD941" s="89"/>
      <c r="AE941" s="18" t="s">
        <v>638</v>
      </c>
      <c r="AF941" s="24"/>
      <c r="AG941" s="24"/>
      <c r="AH941" s="24"/>
      <c r="AI941" s="24"/>
      <c r="AJ941" s="24"/>
      <c r="AK941" s="24"/>
      <c r="AL941" s="24"/>
      <c r="AM941" s="24"/>
    </row>
    <row r="942">
      <c r="A942" s="11"/>
      <c r="B942" s="12" t="s">
        <v>34</v>
      </c>
      <c r="C942" s="12" t="s">
        <v>65</v>
      </c>
      <c r="D942" s="12" t="s">
        <v>43</v>
      </c>
      <c r="E942" s="12" t="s">
        <v>773</v>
      </c>
      <c r="F942" s="13" t="s">
        <v>774</v>
      </c>
      <c r="G942" s="12" t="s">
        <v>68</v>
      </c>
      <c r="H942" s="12" t="s">
        <v>775</v>
      </c>
      <c r="I942" s="12" t="s">
        <v>776</v>
      </c>
      <c r="J942" s="17" t="s">
        <v>108</v>
      </c>
      <c r="K942" s="17" t="s">
        <v>109</v>
      </c>
      <c r="L942" s="100" t="s">
        <v>1948</v>
      </c>
      <c r="M942" s="20">
        <v>45971.0</v>
      </c>
      <c r="N942" s="17" t="s">
        <v>428</v>
      </c>
      <c r="O942" s="88" t="s">
        <v>1519</v>
      </c>
      <c r="P942" s="88" t="s">
        <v>1520</v>
      </c>
      <c r="Q942" s="88" t="s">
        <v>1519</v>
      </c>
      <c r="R942" s="88" t="s">
        <v>1520</v>
      </c>
      <c r="S942" s="88" t="s">
        <v>1520</v>
      </c>
      <c r="T942" s="88" t="s">
        <v>1519</v>
      </c>
      <c r="U942" s="88" t="s">
        <v>1520</v>
      </c>
      <c r="V942" s="88" t="s">
        <v>1520</v>
      </c>
      <c r="W942" s="88" t="s">
        <v>1520</v>
      </c>
      <c r="X942" s="88" t="s">
        <v>1519</v>
      </c>
      <c r="Y942" s="88" t="s">
        <v>1519</v>
      </c>
      <c r="Z942" s="88" t="s">
        <v>1520</v>
      </c>
      <c r="AA942" s="88" t="s">
        <v>1520</v>
      </c>
      <c r="AB942" s="88" t="s">
        <v>1520</v>
      </c>
      <c r="AC942" s="88" t="s">
        <v>1520</v>
      </c>
      <c r="AD942" s="89"/>
      <c r="AE942" s="18" t="s">
        <v>638</v>
      </c>
      <c r="AF942" s="24"/>
      <c r="AG942" s="24"/>
      <c r="AH942" s="24"/>
      <c r="AI942" s="24"/>
      <c r="AJ942" s="24"/>
      <c r="AK942" s="24"/>
      <c r="AL942" s="24"/>
      <c r="AM942" s="24"/>
    </row>
    <row r="943">
      <c r="A943" s="11"/>
      <c r="B943" s="12" t="s">
        <v>34</v>
      </c>
      <c r="C943" s="12" t="s">
        <v>65</v>
      </c>
      <c r="D943" s="12" t="s">
        <v>43</v>
      </c>
      <c r="E943" s="12" t="s">
        <v>773</v>
      </c>
      <c r="F943" s="13" t="s">
        <v>774</v>
      </c>
      <c r="G943" s="12" t="s">
        <v>68</v>
      </c>
      <c r="H943" s="12" t="s">
        <v>775</v>
      </c>
      <c r="I943" s="12" t="s">
        <v>776</v>
      </c>
      <c r="J943" s="17" t="s">
        <v>73</v>
      </c>
      <c r="K943" s="17" t="s">
        <v>74</v>
      </c>
      <c r="L943" s="100" t="s">
        <v>1949</v>
      </c>
      <c r="M943" s="20">
        <v>45971.0</v>
      </c>
      <c r="N943" s="17" t="s">
        <v>428</v>
      </c>
      <c r="O943" s="88" t="s">
        <v>1520</v>
      </c>
      <c r="P943" s="88" t="s">
        <v>1520</v>
      </c>
      <c r="Q943" s="88" t="s">
        <v>1520</v>
      </c>
      <c r="R943" s="88" t="s">
        <v>1519</v>
      </c>
      <c r="S943" s="88" t="s">
        <v>1520</v>
      </c>
      <c r="T943" s="88" t="s">
        <v>1520</v>
      </c>
      <c r="U943" s="88" t="s">
        <v>1519</v>
      </c>
      <c r="V943" s="88" t="s">
        <v>1520</v>
      </c>
      <c r="W943" s="88" t="s">
        <v>1520</v>
      </c>
      <c r="X943" s="88" t="s">
        <v>1520</v>
      </c>
      <c r="Y943" s="88" t="s">
        <v>1519</v>
      </c>
      <c r="Z943" s="88" t="s">
        <v>1520</v>
      </c>
      <c r="AA943" s="88" t="s">
        <v>1520</v>
      </c>
      <c r="AB943" s="88" t="s">
        <v>1519</v>
      </c>
      <c r="AC943" s="88" t="s">
        <v>1519</v>
      </c>
      <c r="AD943" s="89"/>
      <c r="AE943" s="18" t="s">
        <v>638</v>
      </c>
      <c r="AF943" s="24"/>
      <c r="AG943" s="24"/>
      <c r="AH943" s="24"/>
      <c r="AI943" s="24"/>
      <c r="AJ943" s="24"/>
      <c r="AK943" s="24"/>
      <c r="AL943" s="24"/>
      <c r="AM943" s="24"/>
    </row>
    <row r="944">
      <c r="A944" s="11"/>
      <c r="B944" s="12" t="s">
        <v>34</v>
      </c>
      <c r="C944" s="12" t="s">
        <v>65</v>
      </c>
      <c r="D944" s="12" t="s">
        <v>43</v>
      </c>
      <c r="E944" s="12" t="s">
        <v>773</v>
      </c>
      <c r="F944" s="13" t="s">
        <v>774</v>
      </c>
      <c r="G944" s="12" t="s">
        <v>68</v>
      </c>
      <c r="H944" s="12" t="s">
        <v>775</v>
      </c>
      <c r="I944" s="12" t="s">
        <v>776</v>
      </c>
      <c r="J944" s="17" t="s">
        <v>73</v>
      </c>
      <c r="K944" s="17" t="s">
        <v>74</v>
      </c>
      <c r="L944" s="100" t="s">
        <v>1950</v>
      </c>
      <c r="M944" s="20">
        <v>45971.0</v>
      </c>
      <c r="N944" s="17" t="s">
        <v>428</v>
      </c>
      <c r="O944" s="88" t="s">
        <v>1520</v>
      </c>
      <c r="P944" s="88" t="s">
        <v>1521</v>
      </c>
      <c r="Q944" s="88" t="s">
        <v>1519</v>
      </c>
      <c r="R944" s="88" t="s">
        <v>1520</v>
      </c>
      <c r="S944" s="88" t="s">
        <v>1520</v>
      </c>
      <c r="T944" s="88" t="s">
        <v>1519</v>
      </c>
      <c r="U944" s="88" t="s">
        <v>1519</v>
      </c>
      <c r="V944" s="88" t="s">
        <v>1520</v>
      </c>
      <c r="W944" s="88" t="s">
        <v>1520</v>
      </c>
      <c r="X944" s="88" t="s">
        <v>1519</v>
      </c>
      <c r="Y944" s="88" t="s">
        <v>1519</v>
      </c>
      <c r="Z944" s="88" t="s">
        <v>1520</v>
      </c>
      <c r="AA944" s="88" t="s">
        <v>1519</v>
      </c>
      <c r="AB944" s="88" t="s">
        <v>1520</v>
      </c>
      <c r="AC944" s="88" t="s">
        <v>1520</v>
      </c>
      <c r="AD944" s="89"/>
      <c r="AE944" s="18" t="s">
        <v>638</v>
      </c>
      <c r="AF944" s="24"/>
      <c r="AG944" s="24"/>
      <c r="AH944" s="24"/>
      <c r="AI944" s="24"/>
      <c r="AJ944" s="24"/>
      <c r="AK944" s="24"/>
      <c r="AL944" s="24"/>
      <c r="AM944" s="24"/>
    </row>
    <row r="945">
      <c r="A945" s="11"/>
      <c r="B945" s="12" t="s">
        <v>34</v>
      </c>
      <c r="C945" s="12" t="s">
        <v>65</v>
      </c>
      <c r="D945" s="12" t="s">
        <v>43</v>
      </c>
      <c r="E945" s="12" t="s">
        <v>773</v>
      </c>
      <c r="F945" s="13" t="s">
        <v>774</v>
      </c>
      <c r="G945" s="12" t="s">
        <v>68</v>
      </c>
      <c r="H945" s="12" t="s">
        <v>775</v>
      </c>
      <c r="I945" s="12" t="s">
        <v>776</v>
      </c>
      <c r="J945" s="17" t="s">
        <v>73</v>
      </c>
      <c r="K945" s="17" t="s">
        <v>74</v>
      </c>
      <c r="L945" s="100" t="s">
        <v>1951</v>
      </c>
      <c r="M945" s="20">
        <v>45971.0</v>
      </c>
      <c r="N945" s="17" t="s">
        <v>428</v>
      </c>
      <c r="O945" s="88" t="s">
        <v>1520</v>
      </c>
      <c r="P945" s="88" t="s">
        <v>1520</v>
      </c>
      <c r="Q945" s="88" t="s">
        <v>1520</v>
      </c>
      <c r="R945" s="88" t="s">
        <v>1520</v>
      </c>
      <c r="S945" s="88" t="s">
        <v>1520</v>
      </c>
      <c r="T945" s="88" t="s">
        <v>1519</v>
      </c>
      <c r="U945" s="88" t="s">
        <v>1521</v>
      </c>
      <c r="V945" s="88" t="s">
        <v>1520</v>
      </c>
      <c r="W945" s="88" t="s">
        <v>1519</v>
      </c>
      <c r="X945" s="88" t="s">
        <v>1520</v>
      </c>
      <c r="Y945" s="88" t="s">
        <v>1520</v>
      </c>
      <c r="Z945" s="88" t="s">
        <v>1520</v>
      </c>
      <c r="AA945" s="88" t="s">
        <v>1520</v>
      </c>
      <c r="AB945" s="88" t="s">
        <v>1519</v>
      </c>
      <c r="AC945" s="88" t="s">
        <v>1520</v>
      </c>
      <c r="AD945" s="89"/>
      <c r="AE945" s="18" t="s">
        <v>638</v>
      </c>
      <c r="AF945" s="24"/>
      <c r="AG945" s="24"/>
      <c r="AH945" s="24"/>
      <c r="AI945" s="24"/>
      <c r="AJ945" s="24"/>
      <c r="AK945" s="24"/>
      <c r="AL945" s="24"/>
      <c r="AM945" s="24"/>
    </row>
    <row r="946">
      <c r="A946" s="11"/>
      <c r="B946" s="12" t="s">
        <v>34</v>
      </c>
      <c r="C946" s="12" t="s">
        <v>65</v>
      </c>
      <c r="D946" s="12" t="s">
        <v>43</v>
      </c>
      <c r="E946" s="12" t="s">
        <v>773</v>
      </c>
      <c r="F946" s="13" t="s">
        <v>774</v>
      </c>
      <c r="G946" s="12" t="s">
        <v>68</v>
      </c>
      <c r="H946" s="12" t="s">
        <v>775</v>
      </c>
      <c r="I946" s="12" t="s">
        <v>776</v>
      </c>
      <c r="J946" s="17" t="s">
        <v>73</v>
      </c>
      <c r="K946" s="17" t="str">
        <f>IFERROR(__xludf.DUMMYFUNCTION("CONCATENATE(REGEXEXTRACT(J946,""[\d]+""),"" años"")"),"3 años")</f>
        <v>3 años</v>
      </c>
      <c r="L946" s="100" t="s">
        <v>1952</v>
      </c>
      <c r="M946" s="20">
        <v>45971.0</v>
      </c>
      <c r="N946" s="17" t="s">
        <v>428</v>
      </c>
      <c r="O946" s="88" t="s">
        <v>1520</v>
      </c>
      <c r="P946" s="88" t="s">
        <v>1520</v>
      </c>
      <c r="Q946" s="88" t="s">
        <v>1520</v>
      </c>
      <c r="R946" s="88" t="s">
        <v>1520</v>
      </c>
      <c r="S946" s="88" t="s">
        <v>1520</v>
      </c>
      <c r="T946" s="88" t="s">
        <v>1520</v>
      </c>
      <c r="U946" s="88" t="s">
        <v>1520</v>
      </c>
      <c r="V946" s="88" t="s">
        <v>1520</v>
      </c>
      <c r="W946" s="88" t="s">
        <v>1520</v>
      </c>
      <c r="X946" s="88" t="s">
        <v>1520</v>
      </c>
      <c r="Y946" s="88" t="s">
        <v>1520</v>
      </c>
      <c r="Z946" s="88" t="s">
        <v>1520</v>
      </c>
      <c r="AA946" s="88" t="s">
        <v>1520</v>
      </c>
      <c r="AB946" s="88" t="s">
        <v>1520</v>
      </c>
      <c r="AC946" s="88" t="s">
        <v>1519</v>
      </c>
      <c r="AD946" s="89"/>
      <c r="AE946" s="18" t="s">
        <v>638</v>
      </c>
      <c r="AF946" s="24"/>
      <c r="AG946" s="24"/>
      <c r="AH946" s="24"/>
      <c r="AI946" s="24"/>
      <c r="AJ946" s="24"/>
      <c r="AK946" s="24"/>
      <c r="AL946" s="24"/>
      <c r="AM946" s="24"/>
    </row>
    <row r="947">
      <c r="A947" s="11"/>
      <c r="B947" s="12" t="s">
        <v>34</v>
      </c>
      <c r="C947" s="12" t="s">
        <v>65</v>
      </c>
      <c r="D947" s="12" t="s">
        <v>43</v>
      </c>
      <c r="E947" s="12" t="s">
        <v>773</v>
      </c>
      <c r="F947" s="13" t="s">
        <v>774</v>
      </c>
      <c r="G947" s="12" t="s">
        <v>68</v>
      </c>
      <c r="H947" s="12" t="s">
        <v>775</v>
      </c>
      <c r="I947" s="12" t="s">
        <v>776</v>
      </c>
      <c r="J947" s="17" t="s">
        <v>73</v>
      </c>
      <c r="K947" s="17" t="str">
        <f>IFERROR(__xludf.DUMMYFUNCTION("CONCATENATE(REGEXEXTRACT(J947,""[\d]+""),"" años"")"),"3 años")</f>
        <v>3 años</v>
      </c>
      <c r="L947" s="100" t="s">
        <v>1953</v>
      </c>
      <c r="M947" s="20">
        <v>45971.0</v>
      </c>
      <c r="N947" s="17" t="s">
        <v>428</v>
      </c>
      <c r="O947" s="88" t="s">
        <v>1520</v>
      </c>
      <c r="P947" s="88" t="s">
        <v>1520</v>
      </c>
      <c r="Q947" s="88" t="s">
        <v>1520</v>
      </c>
      <c r="R947" s="88" t="s">
        <v>1520</v>
      </c>
      <c r="S947" s="88" t="s">
        <v>1520</v>
      </c>
      <c r="T947" s="88" t="s">
        <v>1519</v>
      </c>
      <c r="U947" s="88" t="s">
        <v>1520</v>
      </c>
      <c r="V947" s="88" t="s">
        <v>1520</v>
      </c>
      <c r="W947" s="88" t="s">
        <v>1520</v>
      </c>
      <c r="X947" s="88" t="s">
        <v>1520</v>
      </c>
      <c r="Y947" s="88" t="s">
        <v>1520</v>
      </c>
      <c r="Z947" s="88" t="s">
        <v>1520</v>
      </c>
      <c r="AA947" s="88" t="s">
        <v>1520</v>
      </c>
      <c r="AB947" s="88" t="s">
        <v>1520</v>
      </c>
      <c r="AC947" s="88" t="s">
        <v>1519</v>
      </c>
      <c r="AD947" s="89"/>
      <c r="AE947" s="18" t="s">
        <v>638</v>
      </c>
      <c r="AF947" s="24"/>
      <c r="AG947" s="24"/>
      <c r="AH947" s="24"/>
      <c r="AI947" s="24"/>
      <c r="AJ947" s="24"/>
      <c r="AK947" s="24"/>
      <c r="AL947" s="24"/>
      <c r="AM947" s="24"/>
    </row>
    <row r="948">
      <c r="A948" s="11"/>
      <c r="B948" s="12" t="s">
        <v>34</v>
      </c>
      <c r="C948" s="12" t="s">
        <v>65</v>
      </c>
      <c r="D948" s="12" t="s">
        <v>43</v>
      </c>
      <c r="E948" s="12" t="s">
        <v>666</v>
      </c>
      <c r="F948" s="13" t="s">
        <v>667</v>
      </c>
      <c r="G948" s="12" t="s">
        <v>68</v>
      </c>
      <c r="H948" s="12" t="s">
        <v>668</v>
      </c>
      <c r="I948" s="12" t="s">
        <v>669</v>
      </c>
      <c r="J948" s="21" t="s">
        <v>108</v>
      </c>
      <c r="K948" s="21"/>
      <c r="L948" s="21" t="s">
        <v>2042</v>
      </c>
      <c r="M948" s="20">
        <v>45966.0</v>
      </c>
      <c r="N948" s="17" t="s">
        <v>428</v>
      </c>
      <c r="O948" s="88" t="s">
        <v>1519</v>
      </c>
      <c r="P948" s="88" t="s">
        <v>1520</v>
      </c>
      <c r="Q948" s="88" t="s">
        <v>1520</v>
      </c>
      <c r="R948" s="88" t="s">
        <v>1519</v>
      </c>
      <c r="S948" s="88" t="s">
        <v>1520</v>
      </c>
      <c r="T948" s="88" t="s">
        <v>1520</v>
      </c>
      <c r="U948" s="88" t="s">
        <v>1520</v>
      </c>
      <c r="V948" s="88" t="s">
        <v>1521</v>
      </c>
      <c r="W948" s="88" t="s">
        <v>1521</v>
      </c>
      <c r="X948" s="88" t="s">
        <v>1520</v>
      </c>
      <c r="Y948" s="88" t="s">
        <v>1520</v>
      </c>
      <c r="Z948" s="88" t="s">
        <v>1521</v>
      </c>
      <c r="AA948" s="88" t="s">
        <v>1520</v>
      </c>
      <c r="AB948" s="88" t="s">
        <v>1520</v>
      </c>
      <c r="AC948" s="88" t="s">
        <v>1520</v>
      </c>
      <c r="AD948" s="107"/>
      <c r="AE948" s="18" t="s">
        <v>638</v>
      </c>
      <c r="AF948" s="24"/>
      <c r="AG948" s="24"/>
      <c r="AH948" s="24"/>
      <c r="AI948" s="24"/>
      <c r="AJ948" s="24"/>
      <c r="AK948" s="24"/>
      <c r="AL948" s="24"/>
      <c r="AM948" s="24"/>
    </row>
    <row r="949">
      <c r="A949" s="11"/>
      <c r="B949" s="12" t="s">
        <v>34</v>
      </c>
      <c r="C949" s="12" t="s">
        <v>65</v>
      </c>
      <c r="D949" s="12" t="s">
        <v>43</v>
      </c>
      <c r="E949" s="12" t="s">
        <v>666</v>
      </c>
      <c r="F949" s="13" t="s">
        <v>667</v>
      </c>
      <c r="G949" s="12" t="s">
        <v>68</v>
      </c>
      <c r="H949" s="12" t="s">
        <v>668</v>
      </c>
      <c r="I949" s="12" t="s">
        <v>669</v>
      </c>
      <c r="J949" s="21" t="s">
        <v>108</v>
      </c>
      <c r="K949" s="21"/>
      <c r="L949" s="21" t="s">
        <v>2043</v>
      </c>
      <c r="M949" s="20">
        <v>45966.0</v>
      </c>
      <c r="N949" s="17" t="s">
        <v>428</v>
      </c>
      <c r="O949" s="88" t="s">
        <v>1519</v>
      </c>
      <c r="P949" s="88" t="s">
        <v>1520</v>
      </c>
      <c r="Q949" s="88" t="s">
        <v>1520</v>
      </c>
      <c r="R949" s="88" t="s">
        <v>1520</v>
      </c>
      <c r="S949" s="88" t="s">
        <v>1520</v>
      </c>
      <c r="T949" s="88" t="s">
        <v>1519</v>
      </c>
      <c r="U949" s="88" t="s">
        <v>1520</v>
      </c>
      <c r="V949" s="88" t="s">
        <v>1520</v>
      </c>
      <c r="W949" s="88" t="s">
        <v>1520</v>
      </c>
      <c r="X949" s="88" t="s">
        <v>1520</v>
      </c>
      <c r="Y949" s="88" t="s">
        <v>1520</v>
      </c>
      <c r="Z949" s="88" t="s">
        <v>1520</v>
      </c>
      <c r="AA949" s="88" t="s">
        <v>1519</v>
      </c>
      <c r="AB949" s="88" t="s">
        <v>1520</v>
      </c>
      <c r="AC949" s="88" t="s">
        <v>1520</v>
      </c>
      <c r="AD949" s="107"/>
      <c r="AE949" s="18" t="s">
        <v>638</v>
      </c>
      <c r="AF949" s="24"/>
      <c r="AG949" s="24"/>
      <c r="AH949" s="24"/>
      <c r="AI949" s="24"/>
      <c r="AJ949" s="24"/>
      <c r="AK949" s="24"/>
      <c r="AL949" s="24"/>
      <c r="AM949" s="24"/>
    </row>
    <row r="950">
      <c r="A950" s="11"/>
      <c r="B950" s="12" t="s">
        <v>34</v>
      </c>
      <c r="C950" s="12" t="s">
        <v>65</v>
      </c>
      <c r="D950" s="12" t="s">
        <v>43</v>
      </c>
      <c r="E950" s="12" t="s">
        <v>666</v>
      </c>
      <c r="F950" s="13" t="s">
        <v>667</v>
      </c>
      <c r="G950" s="12" t="s">
        <v>68</v>
      </c>
      <c r="H950" s="12" t="s">
        <v>668</v>
      </c>
      <c r="I950" s="12" t="s">
        <v>669</v>
      </c>
      <c r="J950" s="21" t="s">
        <v>112</v>
      </c>
      <c r="K950" s="21"/>
      <c r="L950" s="21" t="s">
        <v>2044</v>
      </c>
      <c r="M950" s="20">
        <v>45966.0</v>
      </c>
      <c r="N950" s="17" t="s">
        <v>428</v>
      </c>
      <c r="O950" s="88" t="s">
        <v>1519</v>
      </c>
      <c r="P950" s="88" t="s">
        <v>1521</v>
      </c>
      <c r="Q950" s="88" t="s">
        <v>1521</v>
      </c>
      <c r="R950" s="88" t="s">
        <v>1520</v>
      </c>
      <c r="S950" s="88" t="s">
        <v>1521</v>
      </c>
      <c r="T950" s="88" t="s">
        <v>1520</v>
      </c>
      <c r="U950" s="88" t="s">
        <v>1520</v>
      </c>
      <c r="V950" s="88" t="s">
        <v>1520</v>
      </c>
      <c r="W950" s="88" t="s">
        <v>1520</v>
      </c>
      <c r="X950" s="88" t="s">
        <v>1520</v>
      </c>
      <c r="Y950" s="88" t="s">
        <v>1520</v>
      </c>
      <c r="Z950" s="88" t="s">
        <v>1520</v>
      </c>
      <c r="AA950" s="88" t="s">
        <v>1520</v>
      </c>
      <c r="AB950" s="88" t="s">
        <v>1521</v>
      </c>
      <c r="AC950" s="88" t="s">
        <v>1520</v>
      </c>
      <c r="AD950" s="107"/>
      <c r="AE950" s="18" t="s">
        <v>638</v>
      </c>
      <c r="AF950" s="24"/>
      <c r="AG950" s="24"/>
      <c r="AH950" s="24"/>
      <c r="AI950" s="24"/>
      <c r="AJ950" s="24"/>
      <c r="AK950" s="24"/>
      <c r="AL950" s="24"/>
      <c r="AM950" s="24"/>
    </row>
    <row r="951">
      <c r="A951" s="11"/>
      <c r="B951" s="12" t="s">
        <v>34</v>
      </c>
      <c r="C951" s="12" t="s">
        <v>65</v>
      </c>
      <c r="D951" s="12" t="s">
        <v>43</v>
      </c>
      <c r="E951" s="12" t="s">
        <v>666</v>
      </c>
      <c r="F951" s="13" t="s">
        <v>667</v>
      </c>
      <c r="G951" s="12" t="s">
        <v>68</v>
      </c>
      <c r="H951" s="12" t="s">
        <v>668</v>
      </c>
      <c r="I951" s="12" t="s">
        <v>669</v>
      </c>
      <c r="J951" s="21" t="s">
        <v>112</v>
      </c>
      <c r="K951" s="21"/>
      <c r="L951" s="21" t="s">
        <v>2045</v>
      </c>
      <c r="M951" s="20">
        <v>45966.0</v>
      </c>
      <c r="N951" s="17" t="s">
        <v>428</v>
      </c>
      <c r="O951" s="88" t="s">
        <v>1519</v>
      </c>
      <c r="P951" s="88" t="s">
        <v>1519</v>
      </c>
      <c r="Q951" s="88" t="s">
        <v>1520</v>
      </c>
      <c r="R951" s="88" t="s">
        <v>1520</v>
      </c>
      <c r="S951" s="88" t="s">
        <v>1520</v>
      </c>
      <c r="T951" s="88" t="s">
        <v>1520</v>
      </c>
      <c r="U951" s="88" t="s">
        <v>1520</v>
      </c>
      <c r="V951" s="88" t="s">
        <v>1520</v>
      </c>
      <c r="W951" s="88" t="s">
        <v>1520</v>
      </c>
      <c r="X951" s="88" t="s">
        <v>1520</v>
      </c>
      <c r="Y951" s="88" t="s">
        <v>1520</v>
      </c>
      <c r="Z951" s="88" t="s">
        <v>1520</v>
      </c>
      <c r="AA951" s="88" t="s">
        <v>1520</v>
      </c>
      <c r="AB951" s="88" t="s">
        <v>1520</v>
      </c>
      <c r="AC951" s="88" t="s">
        <v>1520</v>
      </c>
      <c r="AD951" s="107"/>
      <c r="AE951" s="18" t="s">
        <v>638</v>
      </c>
      <c r="AF951" s="24"/>
      <c r="AG951" s="24"/>
      <c r="AH951" s="24"/>
      <c r="AI951" s="24"/>
      <c r="AJ951" s="24"/>
      <c r="AK951" s="24"/>
      <c r="AL951" s="24"/>
      <c r="AM951" s="24"/>
    </row>
    <row r="952">
      <c r="A952" s="11"/>
      <c r="B952" s="12" t="s">
        <v>34</v>
      </c>
      <c r="C952" s="12" t="s">
        <v>65</v>
      </c>
      <c r="D952" s="12" t="s">
        <v>43</v>
      </c>
      <c r="E952" s="12" t="s">
        <v>666</v>
      </c>
      <c r="F952" s="13" t="s">
        <v>667</v>
      </c>
      <c r="G952" s="12" t="s">
        <v>68</v>
      </c>
      <c r="H952" s="12" t="s">
        <v>668</v>
      </c>
      <c r="I952" s="12" t="s">
        <v>669</v>
      </c>
      <c r="J952" s="21" t="s">
        <v>112</v>
      </c>
      <c r="K952" s="21"/>
      <c r="L952" s="21" t="s">
        <v>2046</v>
      </c>
      <c r="M952" s="20">
        <v>45966.0</v>
      </c>
      <c r="N952" s="17" t="s">
        <v>428</v>
      </c>
      <c r="O952" s="88" t="s">
        <v>1521</v>
      </c>
      <c r="P952" s="88" t="s">
        <v>1521</v>
      </c>
      <c r="Q952" s="88" t="s">
        <v>1520</v>
      </c>
      <c r="R952" s="88" t="s">
        <v>1520</v>
      </c>
      <c r="S952" s="88" t="s">
        <v>1520</v>
      </c>
      <c r="T952" s="88" t="s">
        <v>1521</v>
      </c>
      <c r="U952" s="88" t="s">
        <v>1520</v>
      </c>
      <c r="V952" s="88" t="s">
        <v>1520</v>
      </c>
      <c r="W952" s="88" t="s">
        <v>1520</v>
      </c>
      <c r="X952" s="88" t="s">
        <v>1520</v>
      </c>
      <c r="Y952" s="88" t="s">
        <v>1520</v>
      </c>
      <c r="Z952" s="88" t="s">
        <v>1520</v>
      </c>
      <c r="AA952" s="88" t="s">
        <v>1520</v>
      </c>
      <c r="AB952" s="88" t="s">
        <v>1520</v>
      </c>
      <c r="AC952" s="88" t="s">
        <v>1520</v>
      </c>
      <c r="AD952" s="107"/>
      <c r="AE952" s="18" t="s">
        <v>638</v>
      </c>
      <c r="AF952" s="24"/>
      <c r="AG952" s="24"/>
      <c r="AH952" s="24"/>
      <c r="AI952" s="24"/>
      <c r="AJ952" s="24"/>
      <c r="AK952" s="24"/>
      <c r="AL952" s="24"/>
      <c r="AM952" s="24"/>
    </row>
    <row r="953">
      <c r="A953" s="11"/>
      <c r="B953" s="12" t="s">
        <v>34</v>
      </c>
      <c r="C953" s="12" t="s">
        <v>65</v>
      </c>
      <c r="D953" s="12" t="s">
        <v>43</v>
      </c>
      <c r="E953" s="12" t="s">
        <v>666</v>
      </c>
      <c r="F953" s="13" t="s">
        <v>667</v>
      </c>
      <c r="G953" s="12" t="s">
        <v>68</v>
      </c>
      <c r="H953" s="12" t="s">
        <v>668</v>
      </c>
      <c r="I953" s="12" t="s">
        <v>669</v>
      </c>
      <c r="J953" s="21" t="s">
        <v>112</v>
      </c>
      <c r="K953" s="21"/>
      <c r="L953" s="21" t="s">
        <v>2047</v>
      </c>
      <c r="M953" s="20">
        <v>45966.0</v>
      </c>
      <c r="N953" s="17" t="s">
        <v>428</v>
      </c>
      <c r="O953" s="88" t="s">
        <v>1520</v>
      </c>
      <c r="P953" s="88" t="s">
        <v>1520</v>
      </c>
      <c r="Q953" s="88" t="s">
        <v>1520</v>
      </c>
      <c r="R953" s="88" t="s">
        <v>1520</v>
      </c>
      <c r="S953" s="88" t="s">
        <v>1521</v>
      </c>
      <c r="T953" s="88" t="s">
        <v>1520</v>
      </c>
      <c r="U953" s="88" t="s">
        <v>1520</v>
      </c>
      <c r="V953" s="88" t="s">
        <v>1520</v>
      </c>
      <c r="W953" s="88" t="s">
        <v>1520</v>
      </c>
      <c r="X953" s="88" t="s">
        <v>1520</v>
      </c>
      <c r="Y953" s="88" t="s">
        <v>1520</v>
      </c>
      <c r="Z953" s="88" t="s">
        <v>1520</v>
      </c>
      <c r="AA953" s="88" t="s">
        <v>1520</v>
      </c>
      <c r="AB953" s="88" t="s">
        <v>1520</v>
      </c>
      <c r="AC953" s="88" t="s">
        <v>1521</v>
      </c>
      <c r="AD953" s="107"/>
      <c r="AE953" s="18" t="s">
        <v>638</v>
      </c>
      <c r="AF953" s="24"/>
      <c r="AG953" s="24"/>
      <c r="AH953" s="24"/>
      <c r="AI953" s="24"/>
      <c r="AJ953" s="24"/>
      <c r="AK953" s="24"/>
      <c r="AL953" s="24"/>
      <c r="AM953" s="24"/>
    </row>
    <row r="954">
      <c r="A954" s="11"/>
      <c r="B954" s="12" t="s">
        <v>34</v>
      </c>
      <c r="C954" s="12" t="s">
        <v>65</v>
      </c>
      <c r="D954" s="12" t="s">
        <v>43</v>
      </c>
      <c r="E954" s="12" t="s">
        <v>666</v>
      </c>
      <c r="F954" s="13" t="s">
        <v>667</v>
      </c>
      <c r="G954" s="12" t="s">
        <v>68</v>
      </c>
      <c r="H954" s="12" t="s">
        <v>668</v>
      </c>
      <c r="I954" s="12" t="s">
        <v>669</v>
      </c>
      <c r="J954" s="21" t="s">
        <v>73</v>
      </c>
      <c r="K954" s="21"/>
      <c r="L954" s="21" t="s">
        <v>2048</v>
      </c>
      <c r="M954" s="20">
        <v>45966.0</v>
      </c>
      <c r="N954" s="17" t="s">
        <v>428</v>
      </c>
      <c r="O954" s="88" t="s">
        <v>1520</v>
      </c>
      <c r="P954" s="88" t="s">
        <v>1521</v>
      </c>
      <c r="Q954" s="88" t="s">
        <v>1521</v>
      </c>
      <c r="R954" s="88" t="s">
        <v>1521</v>
      </c>
      <c r="S954" s="88" t="s">
        <v>1521</v>
      </c>
      <c r="T954" s="88" t="s">
        <v>1521</v>
      </c>
      <c r="U954" s="88" t="s">
        <v>1520</v>
      </c>
      <c r="V954" s="88" t="s">
        <v>1521</v>
      </c>
      <c r="W954" s="88" t="s">
        <v>1521</v>
      </c>
      <c r="X954" s="88" t="s">
        <v>1520</v>
      </c>
      <c r="Y954" s="88" t="s">
        <v>1520</v>
      </c>
      <c r="Z954" s="88" t="s">
        <v>1520</v>
      </c>
      <c r="AA954" s="88" t="s">
        <v>1520</v>
      </c>
      <c r="AB954" s="88" t="s">
        <v>1521</v>
      </c>
      <c r="AC954" s="88" t="s">
        <v>1520</v>
      </c>
      <c r="AD954" s="107"/>
      <c r="AE954" s="18" t="s">
        <v>638</v>
      </c>
      <c r="AF954" s="24"/>
      <c r="AG954" s="24"/>
      <c r="AH954" s="24"/>
      <c r="AI954" s="24"/>
      <c r="AJ954" s="24"/>
      <c r="AK954" s="24"/>
      <c r="AL954" s="24"/>
      <c r="AM954" s="24"/>
    </row>
    <row r="955">
      <c r="A955" s="11"/>
      <c r="B955" s="12" t="s">
        <v>34</v>
      </c>
      <c r="C955" s="12" t="s">
        <v>65</v>
      </c>
      <c r="D955" s="12" t="s">
        <v>43</v>
      </c>
      <c r="E955" s="12" t="s">
        <v>666</v>
      </c>
      <c r="F955" s="13" t="s">
        <v>667</v>
      </c>
      <c r="G955" s="12" t="s">
        <v>68</v>
      </c>
      <c r="H955" s="12" t="s">
        <v>668</v>
      </c>
      <c r="I955" s="12" t="s">
        <v>669</v>
      </c>
      <c r="J955" s="21" t="s">
        <v>73</v>
      </c>
      <c r="K955" s="21"/>
      <c r="L955" s="21" t="s">
        <v>2049</v>
      </c>
      <c r="M955" s="20">
        <v>45966.0</v>
      </c>
      <c r="N955" s="17" t="s">
        <v>428</v>
      </c>
      <c r="O955" s="88" t="s">
        <v>1520</v>
      </c>
      <c r="P955" s="88" t="s">
        <v>1520</v>
      </c>
      <c r="Q955" s="88" t="s">
        <v>1521</v>
      </c>
      <c r="R955" s="88" t="s">
        <v>1521</v>
      </c>
      <c r="S955" s="88" t="s">
        <v>1521</v>
      </c>
      <c r="T955" s="88" t="s">
        <v>1521</v>
      </c>
      <c r="U955" s="88" t="s">
        <v>1520</v>
      </c>
      <c r="V955" s="88" t="s">
        <v>1521</v>
      </c>
      <c r="W955" s="88" t="s">
        <v>1521</v>
      </c>
      <c r="X955" s="88" t="s">
        <v>1520</v>
      </c>
      <c r="Y955" s="88" t="s">
        <v>1521</v>
      </c>
      <c r="Z955" s="88" t="s">
        <v>1520</v>
      </c>
      <c r="AA955" s="88" t="s">
        <v>1520</v>
      </c>
      <c r="AB955" s="88" t="s">
        <v>1520</v>
      </c>
      <c r="AC955" s="88" t="s">
        <v>1520</v>
      </c>
      <c r="AD955" s="107"/>
      <c r="AE955" s="18" t="s">
        <v>638</v>
      </c>
      <c r="AF955" s="24"/>
      <c r="AG955" s="24"/>
      <c r="AH955" s="24"/>
      <c r="AI955" s="24"/>
      <c r="AJ955" s="24"/>
      <c r="AK955" s="24"/>
      <c r="AL955" s="24"/>
      <c r="AM955" s="24"/>
    </row>
    <row r="956">
      <c r="A956" s="11"/>
      <c r="B956" s="12" t="s">
        <v>34</v>
      </c>
      <c r="C956" s="12" t="s">
        <v>65</v>
      </c>
      <c r="D956" s="12" t="s">
        <v>43</v>
      </c>
      <c r="E956" s="12" t="s">
        <v>666</v>
      </c>
      <c r="F956" s="13" t="s">
        <v>667</v>
      </c>
      <c r="G956" s="12" t="s">
        <v>68</v>
      </c>
      <c r="H956" s="12" t="s">
        <v>668</v>
      </c>
      <c r="I956" s="12" t="s">
        <v>669</v>
      </c>
      <c r="J956" s="21" t="s">
        <v>73</v>
      </c>
      <c r="K956" s="21"/>
      <c r="L956" s="21" t="s">
        <v>2050</v>
      </c>
      <c r="M956" s="20">
        <v>45966.0</v>
      </c>
      <c r="N956" s="17" t="s">
        <v>428</v>
      </c>
      <c r="O956" s="88" t="s">
        <v>1520</v>
      </c>
      <c r="P956" s="88" t="s">
        <v>1521</v>
      </c>
      <c r="Q956" s="88" t="s">
        <v>1520</v>
      </c>
      <c r="R956" s="88" t="s">
        <v>1521</v>
      </c>
      <c r="S956" s="88" t="s">
        <v>1520</v>
      </c>
      <c r="T956" s="88" t="s">
        <v>1521</v>
      </c>
      <c r="U956" s="88" t="s">
        <v>1521</v>
      </c>
      <c r="V956" s="88" t="s">
        <v>1521</v>
      </c>
      <c r="W956" s="88" t="s">
        <v>1520</v>
      </c>
      <c r="X956" s="88" t="s">
        <v>1520</v>
      </c>
      <c r="Y956" s="88" t="s">
        <v>1521</v>
      </c>
      <c r="Z956" s="88" t="s">
        <v>1521</v>
      </c>
      <c r="AA956" s="88" t="s">
        <v>1520</v>
      </c>
      <c r="AB956" s="88" t="s">
        <v>1521</v>
      </c>
      <c r="AC956" s="88" t="s">
        <v>1521</v>
      </c>
      <c r="AD956" s="107"/>
      <c r="AE956" s="18" t="s">
        <v>638</v>
      </c>
      <c r="AF956" s="24"/>
      <c r="AG956" s="24"/>
      <c r="AH956" s="24"/>
      <c r="AI956" s="24"/>
      <c r="AJ956" s="24"/>
      <c r="AK956" s="24"/>
      <c r="AL956" s="24"/>
      <c r="AM956" s="24"/>
    </row>
    <row r="957">
      <c r="A957" s="11"/>
      <c r="B957" s="12" t="s">
        <v>34</v>
      </c>
      <c r="C957" s="12" t="s">
        <v>65</v>
      </c>
      <c r="D957" s="12" t="s">
        <v>43</v>
      </c>
      <c r="E957" s="12" t="s">
        <v>666</v>
      </c>
      <c r="F957" s="13" t="s">
        <v>667</v>
      </c>
      <c r="G957" s="12" t="s">
        <v>68</v>
      </c>
      <c r="H957" s="12" t="s">
        <v>668</v>
      </c>
      <c r="I957" s="12" t="s">
        <v>669</v>
      </c>
      <c r="J957" s="21" t="s">
        <v>73</v>
      </c>
      <c r="K957" s="21"/>
      <c r="L957" s="21" t="s">
        <v>2051</v>
      </c>
      <c r="M957" s="20">
        <v>45966.0</v>
      </c>
      <c r="N957" s="17" t="s">
        <v>428</v>
      </c>
      <c r="O957" s="88" t="s">
        <v>1521</v>
      </c>
      <c r="P957" s="88" t="s">
        <v>1521</v>
      </c>
      <c r="Q957" s="88" t="s">
        <v>1521</v>
      </c>
      <c r="R957" s="88" t="s">
        <v>1521</v>
      </c>
      <c r="S957" s="88" t="s">
        <v>1521</v>
      </c>
      <c r="T957" s="88" t="s">
        <v>1521</v>
      </c>
      <c r="U957" s="88" t="s">
        <v>1521</v>
      </c>
      <c r="V957" s="88" t="s">
        <v>1521</v>
      </c>
      <c r="W957" s="88" t="s">
        <v>1520</v>
      </c>
      <c r="X957" s="88" t="s">
        <v>1520</v>
      </c>
      <c r="Y957" s="88" t="s">
        <v>1521</v>
      </c>
      <c r="Z957" s="88" t="s">
        <v>1521</v>
      </c>
      <c r="AA957" s="88" t="s">
        <v>1521</v>
      </c>
      <c r="AB957" s="88" t="s">
        <v>1521</v>
      </c>
      <c r="AC957" s="88" t="s">
        <v>1520</v>
      </c>
      <c r="AD957" s="107"/>
      <c r="AE957" s="18" t="s">
        <v>638</v>
      </c>
      <c r="AF957" s="24"/>
      <c r="AG957" s="24"/>
      <c r="AH957" s="24"/>
      <c r="AI957" s="24"/>
      <c r="AJ957" s="24"/>
      <c r="AK957" s="24"/>
      <c r="AL957" s="24"/>
      <c r="AM957" s="24"/>
    </row>
    <row r="958">
      <c r="A958" s="11"/>
      <c r="B958" s="12" t="s">
        <v>34</v>
      </c>
      <c r="C958" s="12" t="s">
        <v>65</v>
      </c>
      <c r="D958" s="12" t="s">
        <v>43</v>
      </c>
      <c r="E958" s="12" t="s">
        <v>666</v>
      </c>
      <c r="F958" s="13" t="s">
        <v>667</v>
      </c>
      <c r="G958" s="12" t="s">
        <v>68</v>
      </c>
      <c r="H958" s="12" t="s">
        <v>668</v>
      </c>
      <c r="I958" s="12" t="s">
        <v>669</v>
      </c>
      <c r="J958" s="21" t="s">
        <v>73</v>
      </c>
      <c r="K958" s="21"/>
      <c r="L958" s="21" t="s">
        <v>2052</v>
      </c>
      <c r="M958" s="20">
        <v>45966.0</v>
      </c>
      <c r="N958" s="17" t="s">
        <v>428</v>
      </c>
      <c r="O958" s="88" t="s">
        <v>1520</v>
      </c>
      <c r="P958" s="88" t="s">
        <v>1521</v>
      </c>
      <c r="Q958" s="88" t="s">
        <v>1520</v>
      </c>
      <c r="R958" s="88" t="s">
        <v>1521</v>
      </c>
      <c r="S958" s="88" t="s">
        <v>1520</v>
      </c>
      <c r="T958" s="88" t="s">
        <v>1520</v>
      </c>
      <c r="U958" s="88" t="s">
        <v>1520</v>
      </c>
      <c r="V958" s="88" t="s">
        <v>1520</v>
      </c>
      <c r="W958" s="88" t="s">
        <v>1521</v>
      </c>
      <c r="X958" s="88" t="s">
        <v>1520</v>
      </c>
      <c r="Y958" s="88" t="s">
        <v>1521</v>
      </c>
      <c r="Z958" s="88" t="s">
        <v>1521</v>
      </c>
      <c r="AA958" s="88" t="s">
        <v>1520</v>
      </c>
      <c r="AB958" s="88" t="s">
        <v>1520</v>
      </c>
      <c r="AC958" s="88" t="s">
        <v>1521</v>
      </c>
      <c r="AD958" s="107"/>
      <c r="AE958" s="18" t="s">
        <v>638</v>
      </c>
      <c r="AF958" s="24"/>
      <c r="AG958" s="24"/>
      <c r="AH958" s="24"/>
      <c r="AI958" s="24"/>
      <c r="AJ958" s="24"/>
      <c r="AK958" s="24"/>
      <c r="AL958" s="24"/>
      <c r="AM958" s="24"/>
    </row>
    <row r="959">
      <c r="A959" s="11"/>
      <c r="B959" s="23"/>
      <c r="C959" s="23"/>
      <c r="D959" s="23"/>
      <c r="E959" s="23"/>
      <c r="F959" s="1"/>
      <c r="G959" s="23"/>
      <c r="H959" s="23"/>
      <c r="I959" s="23"/>
      <c r="J959" s="2"/>
      <c r="M959" s="40"/>
      <c r="N959" s="2"/>
      <c r="O959" s="24"/>
      <c r="P959" s="24"/>
      <c r="Q959" s="24"/>
      <c r="R959" s="24"/>
      <c r="S959" s="24"/>
      <c r="T959" s="24"/>
      <c r="U959" s="24"/>
      <c r="V959" s="24"/>
      <c r="W959" s="24"/>
      <c r="X959" s="24"/>
      <c r="Y959" s="24"/>
      <c r="Z959" s="24"/>
      <c r="AA959" s="24"/>
      <c r="AB959" s="24"/>
      <c r="AC959" s="24"/>
      <c r="AE959" s="24"/>
      <c r="AF959" s="24"/>
      <c r="AG959" s="24"/>
      <c r="AH959" s="24"/>
      <c r="AI959" s="24"/>
      <c r="AJ959" s="24"/>
      <c r="AK959" s="24"/>
      <c r="AL959" s="24"/>
      <c r="AM959" s="24"/>
    </row>
    <row r="960">
      <c r="A960" s="11"/>
      <c r="B960" s="23"/>
      <c r="C960" s="23"/>
      <c r="D960" s="23"/>
      <c r="E960" s="23"/>
      <c r="F960" s="1"/>
      <c r="G960" s="23"/>
      <c r="H960" s="23"/>
      <c r="I960" s="23"/>
      <c r="J960" s="2"/>
      <c r="M960" s="40"/>
      <c r="N960" s="2"/>
      <c r="O960" s="24"/>
      <c r="P960" s="24"/>
      <c r="Q960" s="24"/>
      <c r="R960" s="24"/>
      <c r="S960" s="24"/>
      <c r="T960" s="24"/>
      <c r="U960" s="24"/>
      <c r="V960" s="24"/>
      <c r="W960" s="24"/>
      <c r="X960" s="24"/>
      <c r="Y960" s="24"/>
      <c r="Z960" s="24"/>
      <c r="AA960" s="24"/>
      <c r="AB960" s="24"/>
      <c r="AC960" s="24"/>
      <c r="AE960" s="24"/>
      <c r="AF960" s="24"/>
      <c r="AG960" s="24"/>
      <c r="AH960" s="24"/>
      <c r="AI960" s="24"/>
      <c r="AJ960" s="24"/>
      <c r="AK960" s="24"/>
      <c r="AL960" s="24"/>
      <c r="AM960" s="24"/>
    </row>
    <row r="961">
      <c r="A961" s="11"/>
      <c r="B961" s="23"/>
      <c r="C961" s="23"/>
      <c r="D961" s="23"/>
      <c r="E961" s="23"/>
      <c r="F961" s="1"/>
      <c r="G961" s="23"/>
      <c r="H961" s="23"/>
      <c r="I961" s="23"/>
      <c r="J961" s="2"/>
      <c r="M961" s="40"/>
      <c r="N961" s="2"/>
      <c r="O961" s="24"/>
      <c r="P961" s="24"/>
      <c r="Q961" s="24"/>
      <c r="R961" s="24"/>
      <c r="S961" s="24"/>
      <c r="T961" s="24"/>
      <c r="U961" s="24"/>
      <c r="V961" s="24"/>
      <c r="W961" s="24"/>
      <c r="X961" s="24"/>
      <c r="Y961" s="24"/>
      <c r="Z961" s="24"/>
      <c r="AA961" s="24"/>
      <c r="AB961" s="24"/>
      <c r="AC961" s="24"/>
      <c r="AE961" s="24"/>
      <c r="AF961" s="24"/>
      <c r="AG961" s="24"/>
      <c r="AH961" s="24"/>
      <c r="AI961" s="24"/>
      <c r="AJ961" s="24"/>
      <c r="AK961" s="24"/>
      <c r="AL961" s="24"/>
      <c r="AM961" s="24"/>
    </row>
    <row r="962">
      <c r="A962" s="11"/>
      <c r="B962" s="23"/>
      <c r="C962" s="23"/>
      <c r="D962" s="23"/>
      <c r="E962" s="23"/>
      <c r="F962" s="1"/>
      <c r="G962" s="23"/>
      <c r="H962" s="23"/>
      <c r="I962" s="23"/>
      <c r="J962" s="2"/>
      <c r="M962" s="40"/>
      <c r="N962" s="2"/>
      <c r="O962" s="24"/>
      <c r="P962" s="24"/>
      <c r="Q962" s="24"/>
      <c r="R962" s="24"/>
      <c r="S962" s="24"/>
      <c r="T962" s="24"/>
      <c r="U962" s="24"/>
      <c r="V962" s="24"/>
      <c r="W962" s="24"/>
      <c r="X962" s="24"/>
      <c r="Y962" s="24"/>
      <c r="Z962" s="24"/>
      <c r="AA962" s="24"/>
      <c r="AB962" s="24"/>
      <c r="AC962" s="24"/>
      <c r="AE962" s="24"/>
      <c r="AF962" s="24"/>
      <c r="AG962" s="24"/>
      <c r="AH962" s="24"/>
      <c r="AI962" s="24"/>
      <c r="AJ962" s="24"/>
      <c r="AK962" s="24"/>
      <c r="AL962" s="24"/>
      <c r="AM962" s="24"/>
    </row>
    <row r="963">
      <c r="A963" s="11"/>
      <c r="B963" s="23"/>
      <c r="C963" s="23"/>
      <c r="D963" s="23"/>
      <c r="E963" s="23"/>
      <c r="F963" s="1"/>
      <c r="G963" s="23"/>
      <c r="H963" s="23"/>
      <c r="I963" s="23"/>
      <c r="J963" s="2"/>
      <c r="M963" s="40"/>
      <c r="N963" s="2"/>
      <c r="O963" s="24"/>
      <c r="P963" s="24"/>
      <c r="Q963" s="24"/>
      <c r="R963" s="24"/>
      <c r="S963" s="24"/>
      <c r="T963" s="24"/>
      <c r="U963" s="24"/>
      <c r="V963" s="24"/>
      <c r="W963" s="24"/>
      <c r="X963" s="24"/>
      <c r="Y963" s="24"/>
      <c r="Z963" s="24"/>
      <c r="AA963" s="24"/>
      <c r="AB963" s="24"/>
      <c r="AC963" s="24"/>
      <c r="AE963" s="24"/>
      <c r="AF963" s="24"/>
      <c r="AG963" s="24"/>
      <c r="AH963" s="24"/>
      <c r="AI963" s="24"/>
      <c r="AJ963" s="24"/>
      <c r="AK963" s="24"/>
      <c r="AL963" s="24"/>
      <c r="AM963" s="24"/>
    </row>
    <row r="964">
      <c r="A964" s="11"/>
      <c r="B964" s="23"/>
      <c r="C964" s="23"/>
      <c r="D964" s="23"/>
      <c r="E964" s="23"/>
      <c r="F964" s="1"/>
      <c r="G964" s="23"/>
      <c r="H964" s="23"/>
      <c r="I964" s="23"/>
      <c r="J964" s="2"/>
      <c r="M964" s="40"/>
      <c r="N964" s="2"/>
      <c r="O964" s="24"/>
      <c r="P964" s="24"/>
      <c r="Q964" s="24"/>
      <c r="R964" s="24"/>
      <c r="S964" s="24"/>
      <c r="T964" s="24"/>
      <c r="U964" s="24"/>
      <c r="V964" s="24"/>
      <c r="W964" s="24"/>
      <c r="X964" s="24"/>
      <c r="Y964" s="24"/>
      <c r="Z964" s="24"/>
      <c r="AA964" s="24"/>
      <c r="AB964" s="24"/>
      <c r="AC964" s="24"/>
      <c r="AE964" s="24"/>
      <c r="AF964" s="24"/>
      <c r="AG964" s="24"/>
      <c r="AH964" s="24"/>
      <c r="AI964" s="24"/>
      <c r="AJ964" s="24"/>
      <c r="AK964" s="24"/>
      <c r="AL964" s="24"/>
      <c r="AM964" s="24"/>
    </row>
    <row r="965">
      <c r="A965" s="11"/>
      <c r="B965" s="23"/>
      <c r="C965" s="23"/>
      <c r="D965" s="23"/>
      <c r="E965" s="23"/>
      <c r="F965" s="1"/>
      <c r="G965" s="23"/>
      <c r="H965" s="23"/>
      <c r="I965" s="23"/>
      <c r="J965" s="2"/>
      <c r="M965" s="40"/>
      <c r="N965" s="2"/>
      <c r="O965" s="24"/>
      <c r="P965" s="24"/>
      <c r="Q965" s="24"/>
      <c r="R965" s="24"/>
      <c r="S965" s="24"/>
      <c r="T965" s="24"/>
      <c r="U965" s="24"/>
      <c r="V965" s="24"/>
      <c r="W965" s="24"/>
      <c r="X965" s="24"/>
      <c r="Y965" s="24"/>
      <c r="Z965" s="24"/>
      <c r="AA965" s="24"/>
      <c r="AB965" s="24"/>
      <c r="AC965" s="24"/>
      <c r="AE965" s="24"/>
      <c r="AF965" s="24"/>
      <c r="AG965" s="24"/>
      <c r="AH965" s="24"/>
      <c r="AI965" s="24"/>
      <c r="AJ965" s="24"/>
      <c r="AK965" s="24"/>
      <c r="AL965" s="24"/>
      <c r="AM965" s="24"/>
    </row>
    <row r="966">
      <c r="A966" s="11"/>
      <c r="B966" s="23"/>
      <c r="C966" s="23"/>
      <c r="D966" s="23"/>
      <c r="E966" s="23"/>
      <c r="F966" s="1"/>
      <c r="G966" s="23"/>
      <c r="H966" s="23"/>
      <c r="I966" s="23"/>
      <c r="J966" s="2"/>
      <c r="M966" s="40"/>
      <c r="N966" s="2"/>
      <c r="O966" s="24"/>
      <c r="P966" s="24"/>
      <c r="Q966" s="24"/>
      <c r="R966" s="24"/>
      <c r="S966" s="24"/>
      <c r="T966" s="24"/>
      <c r="U966" s="24"/>
      <c r="V966" s="24"/>
      <c r="W966" s="24"/>
      <c r="X966" s="24"/>
      <c r="Y966" s="24"/>
      <c r="Z966" s="24"/>
      <c r="AA966" s="24"/>
      <c r="AB966" s="24"/>
      <c r="AC966" s="24"/>
      <c r="AE966" s="24"/>
      <c r="AF966" s="24"/>
      <c r="AG966" s="24"/>
      <c r="AH966" s="24"/>
      <c r="AI966" s="24"/>
      <c r="AJ966" s="24"/>
      <c r="AK966" s="24"/>
      <c r="AL966" s="24"/>
      <c r="AM966" s="24"/>
    </row>
    <row r="967">
      <c r="A967" s="11"/>
      <c r="B967" s="23"/>
      <c r="C967" s="23"/>
      <c r="D967" s="23"/>
      <c r="E967" s="23"/>
      <c r="F967" s="1"/>
      <c r="G967" s="23"/>
      <c r="H967" s="23"/>
      <c r="I967" s="23"/>
      <c r="J967" s="2"/>
      <c r="M967" s="40"/>
      <c r="N967" s="2"/>
      <c r="O967" s="24"/>
      <c r="P967" s="24"/>
      <c r="Q967" s="24"/>
      <c r="R967" s="24"/>
      <c r="S967" s="24"/>
      <c r="T967" s="24"/>
      <c r="U967" s="24"/>
      <c r="V967" s="24"/>
      <c r="W967" s="24"/>
      <c r="X967" s="24"/>
      <c r="Y967" s="24"/>
      <c r="Z967" s="24"/>
      <c r="AA967" s="24"/>
      <c r="AB967" s="24"/>
      <c r="AC967" s="24"/>
      <c r="AE967" s="24"/>
      <c r="AF967" s="24"/>
      <c r="AG967" s="24"/>
      <c r="AH967" s="24"/>
      <c r="AI967" s="24"/>
      <c r="AJ967" s="24"/>
      <c r="AK967" s="24"/>
      <c r="AL967" s="24"/>
      <c r="AM967" s="24"/>
    </row>
    <row r="968">
      <c r="A968" s="11"/>
      <c r="B968" s="23"/>
      <c r="C968" s="23"/>
      <c r="D968" s="23"/>
      <c r="E968" s="23"/>
      <c r="F968" s="1"/>
      <c r="G968" s="23"/>
      <c r="H968" s="23"/>
      <c r="I968" s="23"/>
      <c r="J968" s="2"/>
      <c r="M968" s="40"/>
      <c r="N968" s="2"/>
      <c r="O968" s="24"/>
      <c r="P968" s="24"/>
      <c r="Q968" s="24"/>
      <c r="R968" s="24"/>
      <c r="S968" s="24"/>
      <c r="T968" s="24"/>
      <c r="U968" s="24"/>
      <c r="V968" s="24"/>
      <c r="W968" s="24"/>
      <c r="X968" s="24"/>
      <c r="Y968" s="24"/>
      <c r="Z968" s="24"/>
      <c r="AA968" s="24"/>
      <c r="AB968" s="24"/>
      <c r="AC968" s="24"/>
      <c r="AE968" s="24"/>
      <c r="AF968" s="24"/>
      <c r="AG968" s="24"/>
      <c r="AH968" s="24"/>
      <c r="AI968" s="24"/>
      <c r="AJ968" s="24"/>
      <c r="AK968" s="24"/>
      <c r="AL968" s="24"/>
      <c r="AM968" s="24"/>
    </row>
    <row r="969">
      <c r="A969" s="11"/>
      <c r="B969" s="23"/>
      <c r="C969" s="23"/>
      <c r="D969" s="23"/>
      <c r="E969" s="23"/>
      <c r="F969" s="1"/>
      <c r="G969" s="23"/>
      <c r="H969" s="23"/>
      <c r="I969" s="23"/>
      <c r="J969" s="2"/>
      <c r="M969" s="40"/>
      <c r="N969" s="2"/>
      <c r="O969" s="24"/>
      <c r="P969" s="24"/>
      <c r="Q969" s="24"/>
      <c r="R969" s="24"/>
      <c r="S969" s="24"/>
      <c r="T969" s="24"/>
      <c r="U969" s="24"/>
      <c r="V969" s="24"/>
      <c r="W969" s="24"/>
      <c r="X969" s="24"/>
      <c r="Y969" s="24"/>
      <c r="Z969" s="24"/>
      <c r="AA969" s="24"/>
      <c r="AB969" s="24"/>
      <c r="AC969" s="24"/>
      <c r="AE969" s="24"/>
      <c r="AF969" s="24"/>
      <c r="AG969" s="24"/>
      <c r="AH969" s="24"/>
      <c r="AI969" s="24"/>
      <c r="AJ969" s="24"/>
      <c r="AK969" s="24"/>
      <c r="AL969" s="24"/>
      <c r="AM969" s="24"/>
    </row>
    <row r="970">
      <c r="A970" s="11"/>
      <c r="B970" s="23"/>
      <c r="C970" s="23"/>
      <c r="D970" s="23"/>
      <c r="E970" s="23"/>
      <c r="F970" s="1"/>
      <c r="G970" s="23"/>
      <c r="H970" s="23"/>
      <c r="I970" s="23"/>
      <c r="J970" s="2"/>
      <c r="M970" s="40"/>
      <c r="N970" s="2"/>
      <c r="O970" s="24"/>
      <c r="P970" s="24"/>
      <c r="Q970" s="24"/>
      <c r="R970" s="24"/>
      <c r="S970" s="24"/>
      <c r="T970" s="24"/>
      <c r="U970" s="24"/>
      <c r="V970" s="24"/>
      <c r="W970" s="24"/>
      <c r="X970" s="24"/>
      <c r="Y970" s="24"/>
      <c r="Z970" s="24"/>
      <c r="AA970" s="24"/>
      <c r="AB970" s="24"/>
      <c r="AC970" s="24"/>
      <c r="AE970" s="24"/>
      <c r="AF970" s="24"/>
      <c r="AG970" s="24"/>
      <c r="AH970" s="24"/>
      <c r="AI970" s="24"/>
      <c r="AJ970" s="24"/>
      <c r="AK970" s="24"/>
      <c r="AL970" s="24"/>
      <c r="AM970" s="24"/>
    </row>
    <row r="971">
      <c r="A971" s="11"/>
      <c r="B971" s="23"/>
      <c r="C971" s="23"/>
      <c r="D971" s="23"/>
      <c r="E971" s="23"/>
      <c r="F971" s="1"/>
      <c r="G971" s="23"/>
      <c r="H971" s="23"/>
      <c r="I971" s="23"/>
      <c r="J971" s="2"/>
      <c r="M971" s="40"/>
      <c r="N971" s="2"/>
      <c r="O971" s="24"/>
      <c r="P971" s="24"/>
      <c r="Q971" s="24"/>
      <c r="R971" s="24"/>
      <c r="S971" s="24"/>
      <c r="T971" s="24"/>
      <c r="U971" s="24"/>
      <c r="V971" s="24"/>
      <c r="W971" s="24"/>
      <c r="X971" s="24"/>
      <c r="Y971" s="24"/>
      <c r="Z971" s="24"/>
      <c r="AA971" s="24"/>
      <c r="AB971" s="24"/>
      <c r="AC971" s="24"/>
      <c r="AE971" s="24"/>
      <c r="AF971" s="24"/>
      <c r="AG971" s="24"/>
      <c r="AH971" s="24"/>
      <c r="AI971" s="24"/>
      <c r="AJ971" s="24"/>
      <c r="AK971" s="24"/>
      <c r="AL971" s="24"/>
      <c r="AM971" s="24"/>
    </row>
    <row r="972">
      <c r="A972" s="11"/>
      <c r="B972" s="23"/>
      <c r="C972" s="23"/>
      <c r="D972" s="23"/>
      <c r="E972" s="23"/>
      <c r="F972" s="1"/>
      <c r="G972" s="23"/>
      <c r="H972" s="23"/>
      <c r="I972" s="23"/>
      <c r="J972" s="2"/>
      <c r="M972" s="40"/>
      <c r="N972" s="2"/>
      <c r="O972" s="24"/>
      <c r="P972" s="24"/>
      <c r="Q972" s="24"/>
      <c r="R972" s="24"/>
      <c r="S972" s="24"/>
      <c r="T972" s="24"/>
      <c r="U972" s="24"/>
      <c r="V972" s="24"/>
      <c r="W972" s="24"/>
      <c r="X972" s="24"/>
      <c r="Y972" s="24"/>
      <c r="Z972" s="24"/>
      <c r="AA972" s="24"/>
      <c r="AB972" s="24"/>
      <c r="AC972" s="24"/>
      <c r="AE972" s="24"/>
      <c r="AF972" s="24"/>
      <c r="AG972" s="24"/>
      <c r="AH972" s="24"/>
      <c r="AI972" s="24"/>
      <c r="AJ972" s="24"/>
      <c r="AK972" s="24"/>
      <c r="AL972" s="24"/>
      <c r="AM972" s="24"/>
    </row>
    <row r="973">
      <c r="A973" s="11"/>
      <c r="B973" s="23"/>
      <c r="C973" s="23"/>
      <c r="D973" s="23"/>
      <c r="E973" s="23"/>
      <c r="F973" s="1"/>
      <c r="G973" s="23"/>
      <c r="H973" s="23"/>
      <c r="I973" s="23"/>
      <c r="J973" s="2"/>
      <c r="M973" s="40"/>
      <c r="N973" s="2"/>
      <c r="O973" s="24"/>
      <c r="P973" s="24"/>
      <c r="Q973" s="24"/>
      <c r="R973" s="24"/>
      <c r="S973" s="24"/>
      <c r="T973" s="24"/>
      <c r="U973" s="24"/>
      <c r="V973" s="24"/>
      <c r="W973" s="24"/>
      <c r="X973" s="24"/>
      <c r="Y973" s="24"/>
      <c r="Z973" s="24"/>
      <c r="AA973" s="24"/>
      <c r="AB973" s="24"/>
      <c r="AC973" s="24"/>
      <c r="AE973" s="24"/>
      <c r="AF973" s="24"/>
      <c r="AG973" s="24"/>
      <c r="AH973" s="24"/>
      <c r="AI973" s="24"/>
      <c r="AJ973" s="24"/>
      <c r="AK973" s="24"/>
      <c r="AL973" s="24"/>
      <c r="AM973" s="24"/>
    </row>
    <row r="974">
      <c r="A974" s="11"/>
      <c r="B974" s="23"/>
      <c r="C974" s="23"/>
      <c r="D974" s="23"/>
      <c r="E974" s="23"/>
      <c r="F974" s="1"/>
      <c r="G974" s="23"/>
      <c r="H974" s="23"/>
      <c r="I974" s="23"/>
      <c r="J974" s="2"/>
      <c r="M974" s="40"/>
      <c r="N974" s="2"/>
      <c r="O974" s="24"/>
      <c r="P974" s="24"/>
      <c r="Q974" s="24"/>
      <c r="R974" s="24"/>
      <c r="S974" s="24"/>
      <c r="T974" s="24"/>
      <c r="U974" s="24"/>
      <c r="V974" s="24"/>
      <c r="W974" s="24"/>
      <c r="X974" s="24"/>
      <c r="Y974" s="24"/>
      <c r="Z974" s="24"/>
      <c r="AA974" s="24"/>
      <c r="AB974" s="24"/>
      <c r="AC974" s="24"/>
      <c r="AE974" s="24"/>
      <c r="AF974" s="24"/>
      <c r="AG974" s="24"/>
      <c r="AH974" s="24"/>
      <c r="AI974" s="24"/>
      <c r="AJ974" s="24"/>
      <c r="AK974" s="24"/>
      <c r="AL974" s="24"/>
      <c r="AM974" s="24"/>
    </row>
    <row r="975">
      <c r="A975" s="11"/>
      <c r="B975" s="23"/>
      <c r="C975" s="23"/>
      <c r="D975" s="23"/>
      <c r="E975" s="23"/>
      <c r="F975" s="1"/>
      <c r="G975" s="23"/>
      <c r="H975" s="23"/>
      <c r="I975" s="23"/>
      <c r="J975" s="2"/>
      <c r="M975" s="40"/>
      <c r="N975" s="2"/>
      <c r="O975" s="24"/>
      <c r="P975" s="24"/>
      <c r="Q975" s="24"/>
      <c r="R975" s="24"/>
      <c r="S975" s="24"/>
      <c r="T975" s="24"/>
      <c r="U975" s="24"/>
      <c r="V975" s="24"/>
      <c r="W975" s="24"/>
      <c r="X975" s="24"/>
      <c r="Y975" s="24"/>
      <c r="Z975" s="24"/>
      <c r="AA975" s="24"/>
      <c r="AB975" s="24"/>
      <c r="AC975" s="24"/>
      <c r="AE975" s="24"/>
      <c r="AF975" s="24"/>
      <c r="AG975" s="24"/>
      <c r="AH975" s="24"/>
      <c r="AI975" s="24"/>
      <c r="AJ975" s="24"/>
      <c r="AK975" s="24"/>
      <c r="AL975" s="24"/>
      <c r="AM975" s="24"/>
    </row>
    <row r="976">
      <c r="A976" s="11"/>
      <c r="B976" s="23"/>
      <c r="C976" s="23"/>
      <c r="D976" s="23"/>
      <c r="E976" s="23"/>
      <c r="F976" s="1"/>
      <c r="G976" s="23"/>
      <c r="H976" s="23"/>
      <c r="I976" s="23"/>
      <c r="J976" s="2"/>
      <c r="M976" s="40"/>
      <c r="N976" s="2"/>
      <c r="O976" s="24"/>
      <c r="P976" s="24"/>
      <c r="Q976" s="24"/>
      <c r="R976" s="24"/>
      <c r="S976" s="24"/>
      <c r="T976" s="24"/>
      <c r="U976" s="24"/>
      <c r="V976" s="24"/>
      <c r="W976" s="24"/>
      <c r="X976" s="24"/>
      <c r="Y976" s="24"/>
      <c r="Z976" s="24"/>
      <c r="AA976" s="24"/>
      <c r="AB976" s="24"/>
      <c r="AC976" s="24"/>
      <c r="AE976" s="24"/>
      <c r="AF976" s="24"/>
      <c r="AG976" s="24"/>
      <c r="AH976" s="24"/>
      <c r="AI976" s="24"/>
      <c r="AJ976" s="24"/>
      <c r="AK976" s="24"/>
      <c r="AL976" s="24"/>
      <c r="AM976" s="24"/>
    </row>
    <row r="977">
      <c r="A977" s="11"/>
      <c r="B977" s="23"/>
      <c r="C977" s="23"/>
      <c r="D977" s="23"/>
      <c r="E977" s="23"/>
      <c r="F977" s="1"/>
      <c r="G977" s="23"/>
      <c r="H977" s="23"/>
      <c r="I977" s="23"/>
      <c r="J977" s="2"/>
      <c r="M977" s="40"/>
      <c r="N977" s="2"/>
      <c r="O977" s="24"/>
      <c r="P977" s="24"/>
      <c r="Q977" s="24"/>
      <c r="R977" s="24"/>
      <c r="S977" s="24"/>
      <c r="T977" s="24"/>
      <c r="U977" s="24"/>
      <c r="V977" s="24"/>
      <c r="W977" s="24"/>
      <c r="X977" s="24"/>
      <c r="Y977" s="24"/>
      <c r="Z977" s="24"/>
      <c r="AA977" s="24"/>
      <c r="AB977" s="24"/>
      <c r="AC977" s="24"/>
      <c r="AE977" s="24"/>
      <c r="AF977" s="24"/>
      <c r="AG977" s="24"/>
      <c r="AH977" s="24"/>
      <c r="AI977" s="24"/>
      <c r="AJ977" s="24"/>
      <c r="AK977" s="24"/>
      <c r="AL977" s="24"/>
      <c r="AM977" s="24"/>
    </row>
    <row r="978">
      <c r="A978" s="11"/>
      <c r="B978" s="23"/>
      <c r="C978" s="23"/>
      <c r="D978" s="23"/>
      <c r="E978" s="23"/>
      <c r="F978" s="1"/>
      <c r="G978" s="23"/>
      <c r="H978" s="23"/>
      <c r="I978" s="23"/>
      <c r="J978" s="2"/>
      <c r="M978" s="40"/>
      <c r="N978" s="2"/>
      <c r="O978" s="24"/>
      <c r="P978" s="24"/>
      <c r="Q978" s="24"/>
      <c r="R978" s="24"/>
      <c r="S978" s="24"/>
      <c r="T978" s="24"/>
      <c r="U978" s="24"/>
      <c r="V978" s="24"/>
      <c r="W978" s="24"/>
      <c r="X978" s="24"/>
      <c r="Y978" s="24"/>
      <c r="Z978" s="24"/>
      <c r="AA978" s="24"/>
      <c r="AB978" s="24"/>
      <c r="AC978" s="24"/>
      <c r="AE978" s="24"/>
      <c r="AF978" s="24"/>
      <c r="AG978" s="24"/>
      <c r="AH978" s="24"/>
      <c r="AI978" s="24"/>
      <c r="AJ978" s="24"/>
      <c r="AK978" s="24"/>
      <c r="AL978" s="24"/>
      <c r="AM978" s="24"/>
    </row>
    <row r="979">
      <c r="A979" s="11"/>
      <c r="B979" s="23"/>
      <c r="C979" s="23"/>
      <c r="D979" s="23"/>
      <c r="E979" s="23"/>
      <c r="F979" s="1"/>
      <c r="G979" s="23"/>
      <c r="H979" s="23"/>
      <c r="I979" s="23"/>
      <c r="J979" s="2"/>
      <c r="M979" s="40"/>
      <c r="N979" s="2"/>
      <c r="O979" s="24"/>
      <c r="P979" s="24"/>
      <c r="Q979" s="24"/>
      <c r="R979" s="24"/>
      <c r="S979" s="24"/>
      <c r="T979" s="24"/>
      <c r="U979" s="24"/>
      <c r="V979" s="24"/>
      <c r="W979" s="24"/>
      <c r="X979" s="24"/>
      <c r="Y979" s="24"/>
      <c r="Z979" s="24"/>
      <c r="AA979" s="24"/>
      <c r="AB979" s="24"/>
      <c r="AC979" s="24"/>
      <c r="AE979" s="24"/>
      <c r="AF979" s="24"/>
      <c r="AG979" s="24"/>
      <c r="AH979" s="24"/>
      <c r="AI979" s="24"/>
      <c r="AJ979" s="24"/>
      <c r="AK979" s="24"/>
      <c r="AL979" s="24"/>
      <c r="AM979" s="24"/>
    </row>
    <row r="980">
      <c r="A980" s="11"/>
      <c r="B980" s="23"/>
      <c r="C980" s="23"/>
      <c r="D980" s="23"/>
      <c r="E980" s="23"/>
      <c r="F980" s="1"/>
      <c r="G980" s="23"/>
      <c r="H980" s="23"/>
      <c r="I980" s="23"/>
      <c r="J980" s="2"/>
      <c r="M980" s="40"/>
      <c r="N980" s="2"/>
      <c r="O980" s="24"/>
      <c r="P980" s="24"/>
      <c r="Q980" s="24"/>
      <c r="R980" s="24"/>
      <c r="S980" s="24"/>
      <c r="T980" s="24"/>
      <c r="U980" s="24"/>
      <c r="V980" s="24"/>
      <c r="W980" s="24"/>
      <c r="X980" s="24"/>
      <c r="Y980" s="24"/>
      <c r="Z980" s="24"/>
      <c r="AA980" s="24"/>
      <c r="AB980" s="24"/>
      <c r="AC980" s="24"/>
      <c r="AE980" s="24"/>
      <c r="AF980" s="24"/>
      <c r="AG980" s="24"/>
      <c r="AH980" s="24"/>
      <c r="AI980" s="24"/>
      <c r="AJ980" s="24"/>
      <c r="AK980" s="24"/>
      <c r="AL980" s="24"/>
      <c r="AM980" s="24"/>
    </row>
    <row r="981">
      <c r="A981" s="11"/>
      <c r="B981" s="23"/>
      <c r="C981" s="23"/>
      <c r="D981" s="23"/>
      <c r="E981" s="23"/>
      <c r="F981" s="1"/>
      <c r="G981" s="23"/>
      <c r="H981" s="23"/>
      <c r="I981" s="23"/>
      <c r="J981" s="2"/>
      <c r="M981" s="40"/>
      <c r="N981" s="2"/>
      <c r="O981" s="24"/>
      <c r="P981" s="24"/>
      <c r="Q981" s="24"/>
      <c r="R981" s="24"/>
      <c r="S981" s="24"/>
      <c r="T981" s="24"/>
      <c r="U981" s="24"/>
      <c r="V981" s="24"/>
      <c r="W981" s="24"/>
      <c r="X981" s="24"/>
      <c r="Y981" s="24"/>
      <c r="Z981" s="24"/>
      <c r="AA981" s="24"/>
      <c r="AB981" s="24"/>
      <c r="AC981" s="24"/>
      <c r="AE981" s="24"/>
      <c r="AF981" s="24"/>
      <c r="AG981" s="24"/>
      <c r="AH981" s="24"/>
      <c r="AI981" s="24"/>
      <c r="AJ981" s="24"/>
      <c r="AK981" s="24"/>
      <c r="AL981" s="24"/>
      <c r="AM981" s="24"/>
    </row>
    <row r="982">
      <c r="A982" s="11"/>
      <c r="B982" s="23"/>
      <c r="C982" s="23"/>
      <c r="D982" s="23"/>
      <c r="E982" s="23"/>
      <c r="F982" s="1"/>
      <c r="G982" s="23"/>
      <c r="H982" s="23"/>
      <c r="I982" s="23"/>
      <c r="J982" s="2"/>
      <c r="M982" s="40"/>
      <c r="N982" s="2"/>
      <c r="O982" s="24"/>
      <c r="P982" s="24"/>
      <c r="Q982" s="24"/>
      <c r="R982" s="24"/>
      <c r="S982" s="24"/>
      <c r="T982" s="24"/>
      <c r="U982" s="24"/>
      <c r="V982" s="24"/>
      <c r="W982" s="24"/>
      <c r="X982" s="24"/>
      <c r="Y982" s="24"/>
      <c r="Z982" s="24"/>
      <c r="AA982" s="24"/>
      <c r="AB982" s="24"/>
      <c r="AC982" s="24"/>
      <c r="AE982" s="24"/>
      <c r="AF982" s="24"/>
      <c r="AG982" s="24"/>
      <c r="AH982" s="24"/>
      <c r="AI982" s="24"/>
      <c r="AJ982" s="24"/>
      <c r="AK982" s="24"/>
      <c r="AL982" s="24"/>
      <c r="AM982" s="24"/>
    </row>
    <row r="983">
      <c r="A983" s="11"/>
      <c r="B983" s="23"/>
      <c r="C983" s="23"/>
      <c r="D983" s="23"/>
      <c r="E983" s="23"/>
      <c r="F983" s="1"/>
      <c r="G983" s="23"/>
      <c r="H983" s="23"/>
      <c r="I983" s="23"/>
      <c r="J983" s="2"/>
      <c r="M983" s="40"/>
      <c r="N983" s="2"/>
      <c r="O983" s="24"/>
      <c r="P983" s="24"/>
      <c r="Q983" s="24"/>
      <c r="R983" s="24"/>
      <c r="S983" s="24"/>
      <c r="T983" s="24"/>
      <c r="U983" s="24"/>
      <c r="V983" s="24"/>
      <c r="W983" s="24"/>
      <c r="X983" s="24"/>
      <c r="Y983" s="24"/>
      <c r="Z983" s="24"/>
      <c r="AA983" s="24"/>
      <c r="AB983" s="24"/>
      <c r="AC983" s="24"/>
      <c r="AE983" s="24"/>
      <c r="AF983" s="24"/>
      <c r="AG983" s="24"/>
      <c r="AH983" s="24"/>
      <c r="AI983" s="24"/>
      <c r="AJ983" s="24"/>
      <c r="AK983" s="24"/>
      <c r="AL983" s="24"/>
      <c r="AM983" s="24"/>
    </row>
    <row r="984">
      <c r="A984" s="11"/>
      <c r="B984" s="23"/>
      <c r="C984" s="23"/>
      <c r="D984" s="23"/>
      <c r="E984" s="23"/>
      <c r="F984" s="1"/>
      <c r="G984" s="23"/>
      <c r="H984" s="23"/>
      <c r="I984" s="23"/>
      <c r="J984" s="2"/>
      <c r="M984" s="40"/>
      <c r="N984" s="2"/>
      <c r="O984" s="24"/>
      <c r="P984" s="24"/>
      <c r="Q984" s="24"/>
      <c r="R984" s="24"/>
      <c r="S984" s="24"/>
      <c r="T984" s="24"/>
      <c r="U984" s="24"/>
      <c r="V984" s="24"/>
      <c r="W984" s="24"/>
      <c r="X984" s="24"/>
      <c r="Y984" s="24"/>
      <c r="Z984" s="24"/>
      <c r="AA984" s="24"/>
      <c r="AB984" s="24"/>
      <c r="AC984" s="24"/>
      <c r="AE984" s="24"/>
      <c r="AF984" s="24"/>
      <c r="AG984" s="24"/>
      <c r="AH984" s="24"/>
      <c r="AI984" s="24"/>
      <c r="AJ984" s="24"/>
      <c r="AK984" s="24"/>
      <c r="AL984" s="24"/>
      <c r="AM984" s="24"/>
    </row>
    <row r="985">
      <c r="A985" s="11"/>
      <c r="B985" s="23"/>
      <c r="C985" s="23"/>
      <c r="D985" s="23"/>
      <c r="E985" s="23"/>
      <c r="F985" s="1"/>
      <c r="G985" s="23"/>
      <c r="H985" s="23"/>
      <c r="I985" s="23"/>
      <c r="J985" s="2"/>
      <c r="M985" s="40"/>
      <c r="N985" s="2"/>
      <c r="O985" s="24"/>
      <c r="P985" s="24"/>
      <c r="Q985" s="24"/>
      <c r="R985" s="24"/>
      <c r="S985" s="24"/>
      <c r="T985" s="24"/>
      <c r="U985" s="24"/>
      <c r="V985" s="24"/>
      <c r="W985" s="24"/>
      <c r="X985" s="24"/>
      <c r="Y985" s="24"/>
      <c r="Z985" s="24"/>
      <c r="AA985" s="24"/>
      <c r="AB985" s="24"/>
      <c r="AC985" s="24"/>
      <c r="AE985" s="24"/>
      <c r="AF985" s="24"/>
      <c r="AG985" s="24"/>
      <c r="AH985" s="24"/>
      <c r="AI985" s="24"/>
      <c r="AJ985" s="24"/>
      <c r="AK985" s="24"/>
      <c r="AL985" s="24"/>
      <c r="AM985" s="24"/>
    </row>
    <row r="986">
      <c r="A986" s="11"/>
      <c r="B986" s="23"/>
      <c r="C986" s="23"/>
      <c r="D986" s="23"/>
      <c r="E986" s="23"/>
      <c r="F986" s="1"/>
      <c r="G986" s="23"/>
      <c r="H986" s="23"/>
      <c r="I986" s="23"/>
      <c r="J986" s="2"/>
      <c r="M986" s="40"/>
      <c r="N986" s="2"/>
      <c r="O986" s="24"/>
      <c r="P986" s="24"/>
      <c r="Q986" s="24"/>
      <c r="R986" s="24"/>
      <c r="S986" s="24"/>
      <c r="T986" s="24"/>
      <c r="U986" s="24"/>
      <c r="V986" s="24"/>
      <c r="W986" s="24"/>
      <c r="X986" s="24"/>
      <c r="Y986" s="24"/>
      <c r="Z986" s="24"/>
      <c r="AA986" s="24"/>
      <c r="AB986" s="24"/>
      <c r="AC986" s="24"/>
      <c r="AE986" s="24"/>
      <c r="AF986" s="24"/>
      <c r="AG986" s="24"/>
      <c r="AH986" s="24"/>
      <c r="AI986" s="24"/>
      <c r="AJ986" s="24"/>
      <c r="AK986" s="24"/>
      <c r="AL986" s="24"/>
      <c r="AM986" s="24"/>
    </row>
    <row r="987">
      <c r="A987" s="11"/>
      <c r="B987" s="23"/>
      <c r="C987" s="23"/>
      <c r="D987" s="23"/>
      <c r="E987" s="23"/>
      <c r="F987" s="1"/>
      <c r="G987" s="23"/>
      <c r="H987" s="23"/>
      <c r="I987" s="23"/>
      <c r="J987" s="2"/>
      <c r="M987" s="40"/>
      <c r="N987" s="2"/>
      <c r="O987" s="24"/>
      <c r="P987" s="24"/>
      <c r="Q987" s="24"/>
      <c r="R987" s="24"/>
      <c r="S987" s="24"/>
      <c r="T987" s="24"/>
      <c r="U987" s="24"/>
      <c r="V987" s="24"/>
      <c r="W987" s="24"/>
      <c r="X987" s="24"/>
      <c r="Y987" s="24"/>
      <c r="Z987" s="24"/>
      <c r="AA987" s="24"/>
      <c r="AB987" s="24"/>
      <c r="AC987" s="24"/>
      <c r="AE987" s="24"/>
      <c r="AF987" s="24"/>
      <c r="AG987" s="24"/>
      <c r="AH987" s="24"/>
      <c r="AI987" s="24"/>
      <c r="AJ987" s="24"/>
      <c r="AK987" s="24"/>
      <c r="AL987" s="24"/>
      <c r="AM987" s="24"/>
    </row>
    <row r="988">
      <c r="A988" s="11"/>
      <c r="B988" s="23"/>
      <c r="C988" s="23"/>
      <c r="D988" s="23"/>
      <c r="E988" s="23"/>
      <c r="F988" s="1"/>
      <c r="G988" s="23"/>
      <c r="H988" s="23"/>
      <c r="I988" s="23"/>
      <c r="J988" s="2"/>
      <c r="M988" s="40"/>
      <c r="N988" s="2"/>
      <c r="O988" s="24"/>
      <c r="P988" s="24"/>
      <c r="Q988" s="24"/>
      <c r="R988" s="24"/>
      <c r="S988" s="24"/>
      <c r="T988" s="24"/>
      <c r="U988" s="24"/>
      <c r="V988" s="24"/>
      <c r="W988" s="24"/>
      <c r="X988" s="24"/>
      <c r="Y988" s="24"/>
      <c r="Z988" s="24"/>
      <c r="AA988" s="24"/>
      <c r="AB988" s="24"/>
      <c r="AC988" s="24"/>
      <c r="AE988" s="24"/>
      <c r="AF988" s="24"/>
      <c r="AG988" s="24"/>
      <c r="AH988" s="24"/>
      <c r="AI988" s="24"/>
      <c r="AJ988" s="24"/>
      <c r="AK988" s="24"/>
      <c r="AL988" s="24"/>
      <c r="AM988" s="24"/>
    </row>
    <row r="989">
      <c r="A989" s="11"/>
      <c r="B989" s="23"/>
      <c r="C989" s="23"/>
      <c r="D989" s="23"/>
      <c r="E989" s="23"/>
      <c r="F989" s="1"/>
      <c r="G989" s="23"/>
      <c r="H989" s="23"/>
      <c r="I989" s="23"/>
      <c r="J989" s="2"/>
      <c r="M989" s="40"/>
      <c r="N989" s="2"/>
      <c r="O989" s="24"/>
      <c r="P989" s="24"/>
      <c r="Q989" s="24"/>
      <c r="R989" s="24"/>
      <c r="S989" s="24"/>
      <c r="T989" s="24"/>
      <c r="U989" s="24"/>
      <c r="V989" s="24"/>
      <c r="W989" s="24"/>
      <c r="X989" s="24"/>
      <c r="Y989" s="24"/>
      <c r="Z989" s="24"/>
      <c r="AA989" s="24"/>
      <c r="AB989" s="24"/>
      <c r="AC989" s="24"/>
      <c r="AE989" s="24"/>
      <c r="AF989" s="24"/>
      <c r="AG989" s="24"/>
      <c r="AH989" s="24"/>
      <c r="AI989" s="24"/>
      <c r="AJ989" s="24"/>
      <c r="AK989" s="24"/>
      <c r="AL989" s="24"/>
      <c r="AM989" s="24"/>
    </row>
    <row r="990">
      <c r="A990" s="11"/>
      <c r="B990" s="23"/>
      <c r="C990" s="23"/>
      <c r="D990" s="23"/>
      <c r="E990" s="23"/>
      <c r="F990" s="1"/>
      <c r="G990" s="23"/>
      <c r="H990" s="23"/>
      <c r="I990" s="23"/>
      <c r="J990" s="2"/>
      <c r="M990" s="40"/>
      <c r="N990" s="2"/>
      <c r="O990" s="24"/>
      <c r="P990" s="24"/>
      <c r="Q990" s="24"/>
      <c r="R990" s="24"/>
      <c r="S990" s="24"/>
      <c r="T990" s="24"/>
      <c r="U990" s="24"/>
      <c r="V990" s="24"/>
      <c r="W990" s="24"/>
      <c r="X990" s="24"/>
      <c r="Y990" s="24"/>
      <c r="Z990" s="24"/>
      <c r="AA990" s="24"/>
      <c r="AB990" s="24"/>
      <c r="AC990" s="24"/>
      <c r="AE990" s="24"/>
      <c r="AF990" s="24"/>
      <c r="AG990" s="24"/>
      <c r="AH990" s="24"/>
      <c r="AI990" s="24"/>
      <c r="AJ990" s="24"/>
      <c r="AK990" s="24"/>
      <c r="AL990" s="24"/>
      <c r="AM990" s="24"/>
    </row>
    <row r="991">
      <c r="A991" s="11"/>
      <c r="B991" s="23"/>
      <c r="C991" s="23"/>
      <c r="D991" s="23"/>
      <c r="E991" s="23"/>
      <c r="F991" s="1"/>
      <c r="G991" s="23"/>
      <c r="H991" s="23"/>
      <c r="I991" s="23"/>
      <c r="J991" s="2"/>
      <c r="M991" s="40"/>
      <c r="N991" s="2"/>
      <c r="O991" s="24"/>
      <c r="P991" s="24"/>
      <c r="Q991" s="24"/>
      <c r="R991" s="24"/>
      <c r="S991" s="24"/>
      <c r="T991" s="24"/>
      <c r="U991" s="24"/>
      <c r="V991" s="24"/>
      <c r="W991" s="24"/>
      <c r="X991" s="24"/>
      <c r="Y991" s="24"/>
      <c r="Z991" s="24"/>
      <c r="AA991" s="24"/>
      <c r="AB991" s="24"/>
      <c r="AC991" s="24"/>
      <c r="AE991" s="24"/>
      <c r="AF991" s="24"/>
      <c r="AG991" s="24"/>
      <c r="AH991" s="24"/>
      <c r="AI991" s="24"/>
      <c r="AJ991" s="24"/>
      <c r="AK991" s="24"/>
      <c r="AL991" s="24"/>
      <c r="AM991" s="24"/>
    </row>
    <row r="992">
      <c r="A992" s="11"/>
      <c r="B992" s="23"/>
      <c r="C992" s="23"/>
      <c r="D992" s="23"/>
      <c r="E992" s="23"/>
      <c r="F992" s="1"/>
      <c r="G992" s="23"/>
      <c r="H992" s="23"/>
      <c r="I992" s="23"/>
      <c r="J992" s="2"/>
      <c r="M992" s="40"/>
      <c r="N992" s="2"/>
      <c r="O992" s="24"/>
      <c r="P992" s="24"/>
      <c r="Q992" s="24"/>
      <c r="R992" s="24"/>
      <c r="S992" s="24"/>
      <c r="T992" s="24"/>
      <c r="U992" s="24"/>
      <c r="V992" s="24"/>
      <c r="W992" s="24"/>
      <c r="X992" s="24"/>
      <c r="Y992" s="24"/>
      <c r="Z992" s="24"/>
      <c r="AA992" s="24"/>
      <c r="AB992" s="24"/>
      <c r="AC992" s="24"/>
      <c r="AE992" s="24"/>
      <c r="AF992" s="24"/>
      <c r="AG992" s="24"/>
      <c r="AH992" s="24"/>
      <c r="AI992" s="24"/>
      <c r="AJ992" s="24"/>
      <c r="AK992" s="24"/>
      <c r="AL992" s="24"/>
      <c r="AM992" s="24"/>
    </row>
    <row r="993">
      <c r="A993" s="11"/>
      <c r="B993" s="23"/>
      <c r="C993" s="23"/>
      <c r="D993" s="23"/>
      <c r="E993" s="23"/>
      <c r="F993" s="1"/>
      <c r="G993" s="23"/>
      <c r="H993" s="23"/>
      <c r="I993" s="23"/>
      <c r="J993" s="2"/>
      <c r="M993" s="40"/>
      <c r="N993" s="2"/>
      <c r="O993" s="24"/>
      <c r="P993" s="24"/>
      <c r="Q993" s="24"/>
      <c r="R993" s="24"/>
      <c r="S993" s="24"/>
      <c r="T993" s="24"/>
      <c r="U993" s="24"/>
      <c r="V993" s="24"/>
      <c r="W993" s="24"/>
      <c r="X993" s="24"/>
      <c r="Y993" s="24"/>
      <c r="Z993" s="24"/>
      <c r="AA993" s="24"/>
      <c r="AB993" s="24"/>
      <c r="AC993" s="24"/>
      <c r="AE993" s="24"/>
      <c r="AF993" s="24"/>
      <c r="AG993" s="24"/>
      <c r="AH993" s="24"/>
      <c r="AI993" s="24"/>
      <c r="AJ993" s="24"/>
      <c r="AK993" s="24"/>
      <c r="AL993" s="24"/>
      <c r="AM993" s="24"/>
    </row>
    <row r="994">
      <c r="A994" s="11"/>
      <c r="B994" s="23"/>
      <c r="C994" s="23"/>
      <c r="D994" s="23"/>
      <c r="E994" s="23"/>
      <c r="F994" s="1"/>
      <c r="G994" s="23"/>
      <c r="H994" s="23"/>
      <c r="I994" s="23"/>
      <c r="J994" s="2"/>
      <c r="M994" s="40"/>
      <c r="N994" s="2"/>
      <c r="O994" s="24"/>
      <c r="P994" s="24"/>
      <c r="Q994" s="24"/>
      <c r="R994" s="24"/>
      <c r="S994" s="24"/>
      <c r="T994" s="24"/>
      <c r="U994" s="24"/>
      <c r="V994" s="24"/>
      <c r="W994" s="24"/>
      <c r="X994" s="24"/>
      <c r="Y994" s="24"/>
      <c r="Z994" s="24"/>
      <c r="AA994" s="24"/>
      <c r="AB994" s="24"/>
      <c r="AC994" s="24"/>
      <c r="AE994" s="24"/>
      <c r="AF994" s="24"/>
      <c r="AG994" s="24"/>
      <c r="AH994" s="24"/>
      <c r="AI994" s="24"/>
      <c r="AJ994" s="24"/>
      <c r="AK994" s="24"/>
      <c r="AL994" s="24"/>
      <c r="AM994" s="24"/>
    </row>
    <row r="995">
      <c r="A995" s="11"/>
      <c r="B995" s="23"/>
      <c r="C995" s="23"/>
      <c r="D995" s="23"/>
      <c r="E995" s="23"/>
      <c r="F995" s="1"/>
      <c r="G995" s="23"/>
      <c r="H995" s="23"/>
      <c r="I995" s="23"/>
      <c r="J995" s="2"/>
      <c r="M995" s="40"/>
      <c r="N995" s="2"/>
      <c r="O995" s="24"/>
      <c r="P995" s="24"/>
      <c r="Q995" s="24"/>
      <c r="R995" s="24"/>
      <c r="S995" s="24"/>
      <c r="T995" s="24"/>
      <c r="U995" s="24"/>
      <c r="V995" s="24"/>
      <c r="W995" s="24"/>
      <c r="X995" s="24"/>
      <c r="Y995" s="24"/>
      <c r="Z995" s="24"/>
      <c r="AA995" s="24"/>
      <c r="AB995" s="24"/>
      <c r="AC995" s="24"/>
      <c r="AE995" s="24"/>
      <c r="AF995" s="24"/>
      <c r="AG995" s="24"/>
      <c r="AH995" s="24"/>
      <c r="AI995" s="24"/>
      <c r="AJ995" s="24"/>
      <c r="AK995" s="24"/>
      <c r="AL995" s="24"/>
      <c r="AM995" s="24"/>
    </row>
    <row r="996">
      <c r="A996" s="11"/>
      <c r="B996" s="23"/>
      <c r="C996" s="23"/>
      <c r="D996" s="23"/>
      <c r="E996" s="23"/>
      <c r="F996" s="1"/>
      <c r="G996" s="23"/>
      <c r="H996" s="23"/>
      <c r="I996" s="23"/>
      <c r="J996" s="2"/>
      <c r="M996" s="40"/>
      <c r="N996" s="2"/>
      <c r="O996" s="24"/>
      <c r="P996" s="24"/>
      <c r="Q996" s="24"/>
      <c r="R996" s="24"/>
      <c r="S996" s="24"/>
      <c r="T996" s="24"/>
      <c r="U996" s="24"/>
      <c r="V996" s="24"/>
      <c r="W996" s="24"/>
      <c r="X996" s="24"/>
      <c r="Y996" s="24"/>
      <c r="Z996" s="24"/>
      <c r="AA996" s="24"/>
      <c r="AB996" s="24"/>
      <c r="AC996" s="24"/>
      <c r="AE996" s="24"/>
      <c r="AF996" s="24"/>
      <c r="AG996" s="24"/>
      <c r="AH996" s="24"/>
      <c r="AI996" s="24"/>
      <c r="AJ996" s="24"/>
      <c r="AK996" s="24"/>
      <c r="AL996" s="24"/>
      <c r="AM996" s="24"/>
    </row>
    <row r="997">
      <c r="A997" s="11"/>
      <c r="B997" s="23"/>
      <c r="C997" s="23"/>
      <c r="D997" s="23"/>
      <c r="E997" s="23"/>
      <c r="F997" s="1"/>
      <c r="G997" s="23"/>
      <c r="H997" s="23"/>
      <c r="I997" s="23"/>
      <c r="J997" s="2"/>
      <c r="M997" s="40"/>
      <c r="N997" s="2"/>
      <c r="O997" s="24"/>
      <c r="P997" s="24"/>
      <c r="Q997" s="24"/>
      <c r="R997" s="24"/>
      <c r="S997" s="24"/>
      <c r="T997" s="24"/>
      <c r="U997" s="24"/>
      <c r="V997" s="24"/>
      <c r="W997" s="24"/>
      <c r="X997" s="24"/>
      <c r="Y997" s="24"/>
      <c r="Z997" s="24"/>
      <c r="AA997" s="24"/>
      <c r="AB997" s="24"/>
      <c r="AC997" s="24"/>
      <c r="AE997" s="24"/>
      <c r="AF997" s="24"/>
      <c r="AG997" s="24"/>
      <c r="AH997" s="24"/>
      <c r="AI997" s="24"/>
      <c r="AJ997" s="24"/>
      <c r="AK997" s="24"/>
      <c r="AL997" s="24"/>
      <c r="AM997" s="24"/>
    </row>
    <row r="998">
      <c r="A998" s="11"/>
      <c r="B998" s="23"/>
      <c r="C998" s="23"/>
      <c r="D998" s="23"/>
      <c r="E998" s="23"/>
      <c r="F998" s="1"/>
      <c r="G998" s="23"/>
      <c r="H998" s="23"/>
      <c r="I998" s="23"/>
      <c r="J998" s="2"/>
      <c r="M998" s="40"/>
      <c r="N998" s="2"/>
      <c r="O998" s="24"/>
      <c r="P998" s="24"/>
      <c r="Q998" s="24"/>
      <c r="R998" s="24"/>
      <c r="S998" s="24"/>
      <c r="T998" s="24"/>
      <c r="U998" s="24"/>
      <c r="V998" s="24"/>
      <c r="W998" s="24"/>
      <c r="X998" s="24"/>
      <c r="Y998" s="24"/>
      <c r="Z998" s="24"/>
      <c r="AA998" s="24"/>
      <c r="AB998" s="24"/>
      <c r="AC998" s="24"/>
      <c r="AE998" s="24"/>
      <c r="AF998" s="24"/>
      <c r="AG998" s="24"/>
      <c r="AH998" s="24"/>
      <c r="AI998" s="24"/>
      <c r="AJ998" s="24"/>
      <c r="AK998" s="24"/>
      <c r="AL998" s="24"/>
      <c r="AM998" s="24"/>
    </row>
    <row r="999">
      <c r="A999" s="11"/>
      <c r="B999" s="23"/>
      <c r="C999" s="23"/>
      <c r="D999" s="23"/>
      <c r="E999" s="23"/>
      <c r="F999" s="1"/>
      <c r="G999" s="23"/>
      <c r="H999" s="23"/>
      <c r="I999" s="23"/>
      <c r="J999" s="2"/>
      <c r="M999" s="40"/>
      <c r="N999" s="2"/>
      <c r="O999" s="24"/>
      <c r="P999" s="24"/>
      <c r="Q999" s="24"/>
      <c r="R999" s="24"/>
      <c r="S999" s="24"/>
      <c r="T999" s="24"/>
      <c r="U999" s="24"/>
      <c r="V999" s="24"/>
      <c r="W999" s="24"/>
      <c r="X999" s="24"/>
      <c r="Y999" s="24"/>
      <c r="Z999" s="24"/>
      <c r="AA999" s="24"/>
      <c r="AB999" s="24"/>
      <c r="AC999" s="24"/>
      <c r="AE999" s="24"/>
      <c r="AF999" s="24"/>
      <c r="AG999" s="24"/>
      <c r="AH999" s="24"/>
      <c r="AI999" s="24"/>
      <c r="AJ999" s="24"/>
      <c r="AK999" s="24"/>
      <c r="AL999" s="24"/>
      <c r="AM999" s="24"/>
    </row>
    <row r="1000">
      <c r="A1000" s="11"/>
      <c r="B1000" s="23"/>
      <c r="C1000" s="23"/>
      <c r="D1000" s="23"/>
      <c r="E1000" s="23"/>
      <c r="F1000" s="1"/>
      <c r="G1000" s="23"/>
      <c r="H1000" s="23"/>
      <c r="I1000" s="23"/>
      <c r="J1000" s="2"/>
      <c r="M1000" s="40"/>
      <c r="N1000" s="2"/>
      <c r="O1000" s="24"/>
      <c r="P1000" s="24"/>
      <c r="Q1000" s="24"/>
      <c r="R1000" s="24"/>
      <c r="S1000" s="24"/>
      <c r="T1000" s="24"/>
      <c r="U1000" s="24"/>
      <c r="V1000" s="24"/>
      <c r="W1000" s="24"/>
      <c r="X1000" s="24"/>
      <c r="Y1000" s="24"/>
      <c r="Z1000" s="24"/>
      <c r="AA1000" s="24"/>
      <c r="AB1000" s="24"/>
      <c r="AC1000" s="24"/>
      <c r="AE1000" s="24"/>
      <c r="AF1000" s="24"/>
      <c r="AG1000" s="24"/>
      <c r="AH1000" s="24"/>
      <c r="AI1000" s="24"/>
      <c r="AJ1000" s="24"/>
      <c r="AK1000" s="24"/>
      <c r="AL1000" s="24"/>
      <c r="AM1000" s="24"/>
    </row>
    <row r="1001">
      <c r="A1001" s="11"/>
      <c r="B1001" s="23"/>
      <c r="C1001" s="23"/>
      <c r="D1001" s="23"/>
      <c r="E1001" s="23"/>
      <c r="F1001" s="1"/>
      <c r="G1001" s="23"/>
      <c r="H1001" s="23"/>
      <c r="I1001" s="23"/>
      <c r="J1001" s="2"/>
      <c r="M1001" s="40"/>
      <c r="N1001" s="2"/>
      <c r="O1001" s="24"/>
      <c r="P1001" s="24"/>
      <c r="Q1001" s="24"/>
      <c r="R1001" s="24"/>
      <c r="S1001" s="24"/>
      <c r="T1001" s="24"/>
      <c r="U1001" s="24"/>
      <c r="V1001" s="24"/>
      <c r="W1001" s="24"/>
      <c r="X1001" s="24"/>
      <c r="Y1001" s="24"/>
      <c r="Z1001" s="24"/>
      <c r="AA1001" s="24"/>
      <c r="AB1001" s="24"/>
      <c r="AC1001" s="24"/>
      <c r="AE1001" s="24"/>
      <c r="AF1001" s="24"/>
      <c r="AG1001" s="24"/>
      <c r="AH1001" s="24"/>
      <c r="AI1001" s="24"/>
      <c r="AJ1001" s="24"/>
      <c r="AK1001" s="24"/>
      <c r="AL1001" s="24"/>
      <c r="AM1001" s="24"/>
    </row>
    <row r="1002">
      <c r="A1002" s="11"/>
      <c r="B1002" s="23"/>
      <c r="C1002" s="23"/>
      <c r="D1002" s="23"/>
      <c r="E1002" s="23"/>
      <c r="F1002" s="1"/>
      <c r="G1002" s="23"/>
      <c r="H1002" s="23"/>
      <c r="I1002" s="23"/>
      <c r="J1002" s="2"/>
      <c r="M1002" s="40"/>
      <c r="N1002" s="2"/>
      <c r="O1002" s="24"/>
      <c r="P1002" s="24"/>
      <c r="Q1002" s="24"/>
      <c r="R1002" s="24"/>
      <c r="S1002" s="24"/>
      <c r="T1002" s="24"/>
      <c r="U1002" s="24"/>
      <c r="V1002" s="24"/>
      <c r="W1002" s="24"/>
      <c r="X1002" s="24"/>
      <c r="Y1002" s="24"/>
      <c r="Z1002" s="24"/>
      <c r="AA1002" s="24"/>
      <c r="AB1002" s="24"/>
      <c r="AC1002" s="24"/>
      <c r="AE1002" s="24"/>
      <c r="AF1002" s="24"/>
      <c r="AG1002" s="24"/>
      <c r="AH1002" s="24"/>
      <c r="AI1002" s="24"/>
      <c r="AJ1002" s="24"/>
      <c r="AK1002" s="24"/>
      <c r="AL1002" s="24"/>
      <c r="AM1002" s="24"/>
    </row>
    <row r="1003">
      <c r="A1003" s="11"/>
      <c r="B1003" s="23"/>
      <c r="C1003" s="23"/>
      <c r="D1003" s="23"/>
      <c r="E1003" s="23"/>
      <c r="F1003" s="1"/>
      <c r="G1003" s="23"/>
      <c r="H1003" s="23"/>
      <c r="I1003" s="23"/>
      <c r="J1003" s="2"/>
      <c r="M1003" s="40"/>
      <c r="N1003" s="2"/>
      <c r="O1003" s="24"/>
      <c r="P1003" s="24"/>
      <c r="Q1003" s="24"/>
      <c r="R1003" s="24"/>
      <c r="S1003" s="24"/>
      <c r="T1003" s="24"/>
      <c r="U1003" s="24"/>
      <c r="V1003" s="24"/>
      <c r="W1003" s="24"/>
      <c r="X1003" s="24"/>
      <c r="Y1003" s="24"/>
      <c r="Z1003" s="24"/>
      <c r="AA1003" s="24"/>
      <c r="AB1003" s="24"/>
      <c r="AC1003" s="24"/>
      <c r="AE1003" s="24"/>
      <c r="AF1003" s="24"/>
      <c r="AG1003" s="24"/>
      <c r="AH1003" s="24"/>
      <c r="AI1003" s="24"/>
      <c r="AJ1003" s="24"/>
      <c r="AK1003" s="24"/>
      <c r="AL1003" s="24"/>
      <c r="AM1003" s="24"/>
    </row>
    <row r="1004">
      <c r="A1004" s="11"/>
      <c r="B1004" s="23"/>
      <c r="C1004" s="23"/>
      <c r="D1004" s="23"/>
      <c r="E1004" s="23"/>
      <c r="F1004" s="1"/>
      <c r="G1004" s="23"/>
      <c r="H1004" s="23"/>
      <c r="I1004" s="23"/>
      <c r="J1004" s="2"/>
      <c r="M1004" s="40"/>
      <c r="N1004" s="2"/>
      <c r="O1004" s="24"/>
      <c r="P1004" s="24"/>
      <c r="Q1004" s="24"/>
      <c r="R1004" s="24"/>
      <c r="S1004" s="24"/>
      <c r="T1004" s="24"/>
      <c r="U1004" s="24"/>
      <c r="V1004" s="24"/>
      <c r="W1004" s="24"/>
      <c r="X1004" s="24"/>
      <c r="Y1004" s="24"/>
      <c r="Z1004" s="24"/>
      <c r="AA1004" s="24"/>
      <c r="AB1004" s="24"/>
      <c r="AC1004" s="24"/>
      <c r="AE1004" s="24"/>
      <c r="AF1004" s="24"/>
      <c r="AG1004" s="24"/>
      <c r="AH1004" s="24"/>
      <c r="AI1004" s="24"/>
      <c r="AJ1004" s="24"/>
      <c r="AK1004" s="24"/>
      <c r="AL1004" s="24"/>
      <c r="AM1004" s="24"/>
    </row>
    <row r="1005">
      <c r="A1005" s="11"/>
      <c r="B1005" s="23"/>
      <c r="C1005" s="23"/>
      <c r="D1005" s="23"/>
      <c r="E1005" s="23"/>
      <c r="F1005" s="1"/>
      <c r="G1005" s="23"/>
      <c r="H1005" s="23"/>
      <c r="I1005" s="23"/>
      <c r="J1005" s="2"/>
      <c r="M1005" s="40"/>
      <c r="N1005" s="2"/>
      <c r="O1005" s="24"/>
      <c r="P1005" s="24"/>
      <c r="Q1005" s="24"/>
      <c r="R1005" s="24"/>
      <c r="S1005" s="24"/>
      <c r="T1005" s="24"/>
      <c r="U1005" s="24"/>
      <c r="V1005" s="24"/>
      <c r="W1005" s="24"/>
      <c r="X1005" s="24"/>
      <c r="Y1005" s="24"/>
      <c r="Z1005" s="24"/>
      <c r="AA1005" s="24"/>
      <c r="AB1005" s="24"/>
      <c r="AC1005" s="24"/>
      <c r="AE1005" s="24"/>
      <c r="AF1005" s="24"/>
      <c r="AG1005" s="24"/>
      <c r="AH1005" s="24"/>
      <c r="AI1005" s="24"/>
      <c r="AJ1005" s="24"/>
      <c r="AK1005" s="24"/>
      <c r="AL1005" s="24"/>
      <c r="AM1005" s="24"/>
    </row>
    <row r="1006">
      <c r="A1006" s="11"/>
      <c r="B1006" s="23"/>
      <c r="C1006" s="23"/>
      <c r="D1006" s="23"/>
      <c r="E1006" s="23"/>
      <c r="F1006" s="1"/>
      <c r="G1006" s="23"/>
      <c r="H1006" s="23"/>
      <c r="I1006" s="23"/>
      <c r="J1006" s="2"/>
      <c r="M1006" s="40"/>
      <c r="N1006" s="2"/>
      <c r="O1006" s="24"/>
      <c r="P1006" s="24"/>
      <c r="Q1006" s="24"/>
      <c r="R1006" s="24"/>
      <c r="S1006" s="24"/>
      <c r="T1006" s="24"/>
      <c r="U1006" s="24"/>
      <c r="V1006" s="24"/>
      <c r="W1006" s="24"/>
      <c r="X1006" s="24"/>
      <c r="Y1006" s="24"/>
      <c r="Z1006" s="24"/>
      <c r="AA1006" s="24"/>
      <c r="AB1006" s="24"/>
      <c r="AC1006" s="24"/>
      <c r="AE1006" s="24"/>
      <c r="AF1006" s="24"/>
      <c r="AG1006" s="24"/>
      <c r="AH1006" s="24"/>
      <c r="AI1006" s="24"/>
      <c r="AJ1006" s="24"/>
      <c r="AK1006" s="24"/>
      <c r="AL1006" s="24"/>
      <c r="AM1006" s="24"/>
    </row>
    <row r="1007">
      <c r="A1007" s="11"/>
      <c r="B1007" s="23"/>
      <c r="C1007" s="23"/>
      <c r="D1007" s="23"/>
      <c r="E1007" s="23"/>
      <c r="F1007" s="1"/>
      <c r="G1007" s="23"/>
      <c r="H1007" s="23"/>
      <c r="I1007" s="23"/>
      <c r="J1007" s="2"/>
      <c r="M1007" s="40"/>
      <c r="N1007" s="2"/>
      <c r="O1007" s="24"/>
      <c r="P1007" s="24"/>
      <c r="Q1007" s="24"/>
      <c r="R1007" s="24"/>
      <c r="S1007" s="24"/>
      <c r="T1007" s="24"/>
      <c r="U1007" s="24"/>
      <c r="V1007" s="24"/>
      <c r="W1007" s="24"/>
      <c r="X1007" s="24"/>
      <c r="Y1007" s="24"/>
      <c r="Z1007" s="24"/>
      <c r="AA1007" s="24"/>
      <c r="AB1007" s="24"/>
      <c r="AC1007" s="24"/>
      <c r="AE1007" s="24"/>
      <c r="AF1007" s="24"/>
      <c r="AG1007" s="24"/>
      <c r="AH1007" s="24"/>
      <c r="AI1007" s="24"/>
      <c r="AJ1007" s="24"/>
      <c r="AK1007" s="24"/>
      <c r="AL1007" s="24"/>
      <c r="AM1007" s="24"/>
    </row>
    <row r="1008">
      <c r="A1008" s="11"/>
      <c r="B1008" s="23"/>
      <c r="C1008" s="23"/>
      <c r="D1008" s="23"/>
      <c r="E1008" s="23"/>
      <c r="F1008" s="1"/>
      <c r="G1008" s="23"/>
      <c r="H1008" s="23"/>
      <c r="I1008" s="23"/>
      <c r="J1008" s="2"/>
      <c r="M1008" s="40"/>
      <c r="N1008" s="2"/>
      <c r="O1008" s="24"/>
      <c r="P1008" s="24"/>
      <c r="Q1008" s="24"/>
      <c r="R1008" s="24"/>
      <c r="S1008" s="24"/>
      <c r="T1008" s="24"/>
      <c r="U1008" s="24"/>
      <c r="V1008" s="24"/>
      <c r="W1008" s="24"/>
      <c r="X1008" s="24"/>
      <c r="Y1008" s="24"/>
      <c r="Z1008" s="24"/>
      <c r="AA1008" s="24"/>
      <c r="AB1008" s="24"/>
      <c r="AC1008" s="24"/>
      <c r="AE1008" s="24"/>
      <c r="AF1008" s="24"/>
      <c r="AG1008" s="24"/>
      <c r="AH1008" s="24"/>
      <c r="AI1008" s="24"/>
      <c r="AJ1008" s="24"/>
      <c r="AK1008" s="24"/>
      <c r="AL1008" s="24"/>
      <c r="AM1008" s="24"/>
    </row>
    <row r="1009">
      <c r="A1009" s="11"/>
      <c r="B1009" s="23"/>
      <c r="C1009" s="23"/>
      <c r="D1009" s="23"/>
      <c r="E1009" s="23"/>
      <c r="F1009" s="1"/>
      <c r="G1009" s="23"/>
      <c r="H1009" s="23"/>
      <c r="I1009" s="23"/>
      <c r="J1009" s="2"/>
      <c r="M1009" s="40"/>
      <c r="N1009" s="2"/>
      <c r="O1009" s="24"/>
      <c r="P1009" s="24"/>
      <c r="Q1009" s="24"/>
      <c r="R1009" s="24"/>
      <c r="S1009" s="24"/>
      <c r="T1009" s="24"/>
      <c r="U1009" s="24"/>
      <c r="V1009" s="24"/>
      <c r="W1009" s="24"/>
      <c r="X1009" s="24"/>
      <c r="Y1009" s="24"/>
      <c r="Z1009" s="24"/>
      <c r="AA1009" s="24"/>
      <c r="AB1009" s="24"/>
      <c r="AC1009" s="24"/>
      <c r="AE1009" s="24"/>
      <c r="AF1009" s="24"/>
      <c r="AG1009" s="24"/>
      <c r="AH1009" s="24"/>
      <c r="AI1009" s="24"/>
      <c r="AJ1009" s="24"/>
      <c r="AK1009" s="24"/>
      <c r="AL1009" s="24"/>
      <c r="AM1009" s="24"/>
    </row>
    <row r="1010">
      <c r="A1010" s="11"/>
      <c r="B1010" s="23"/>
      <c r="C1010" s="23"/>
      <c r="D1010" s="23"/>
      <c r="E1010" s="23"/>
      <c r="F1010" s="1"/>
      <c r="G1010" s="23"/>
      <c r="H1010" s="23"/>
      <c r="I1010" s="23"/>
      <c r="J1010" s="2"/>
      <c r="M1010" s="40"/>
      <c r="N1010" s="2"/>
      <c r="O1010" s="24"/>
      <c r="P1010" s="24"/>
      <c r="Q1010" s="24"/>
      <c r="R1010" s="24"/>
      <c r="S1010" s="24"/>
      <c r="T1010" s="24"/>
      <c r="U1010" s="24"/>
      <c r="V1010" s="24"/>
      <c r="W1010" s="24"/>
      <c r="X1010" s="24"/>
      <c r="Y1010" s="24"/>
      <c r="Z1010" s="24"/>
      <c r="AA1010" s="24"/>
      <c r="AB1010" s="24"/>
      <c r="AC1010" s="24"/>
      <c r="AE1010" s="24"/>
      <c r="AF1010" s="24"/>
      <c r="AG1010" s="24"/>
      <c r="AH1010" s="24"/>
      <c r="AI1010" s="24"/>
      <c r="AJ1010" s="24"/>
      <c r="AK1010" s="24"/>
      <c r="AL1010" s="24"/>
      <c r="AM1010" s="24"/>
    </row>
    <row r="1011">
      <c r="A1011" s="11"/>
      <c r="B1011" s="23"/>
      <c r="C1011" s="23"/>
      <c r="D1011" s="23"/>
      <c r="E1011" s="23"/>
      <c r="F1011" s="1"/>
      <c r="G1011" s="23"/>
      <c r="H1011" s="23"/>
      <c r="I1011" s="23"/>
      <c r="J1011" s="2"/>
      <c r="M1011" s="40"/>
      <c r="N1011" s="2"/>
      <c r="O1011" s="24"/>
      <c r="P1011" s="24"/>
      <c r="Q1011" s="24"/>
      <c r="R1011" s="24"/>
      <c r="S1011" s="24"/>
      <c r="T1011" s="24"/>
      <c r="U1011" s="24"/>
      <c r="V1011" s="24"/>
      <c r="W1011" s="24"/>
      <c r="X1011" s="24"/>
      <c r="Y1011" s="24"/>
      <c r="Z1011" s="24"/>
      <c r="AA1011" s="24"/>
      <c r="AB1011" s="24"/>
      <c r="AC1011" s="24"/>
      <c r="AE1011" s="24"/>
      <c r="AF1011" s="24"/>
      <c r="AG1011" s="24"/>
      <c r="AH1011" s="24"/>
      <c r="AI1011" s="24"/>
      <c r="AJ1011" s="24"/>
      <c r="AK1011" s="24"/>
      <c r="AL1011" s="24"/>
      <c r="AM1011" s="24"/>
    </row>
    <row r="1012">
      <c r="A1012" s="11"/>
      <c r="B1012" s="23"/>
      <c r="C1012" s="23"/>
      <c r="D1012" s="23"/>
      <c r="E1012" s="23"/>
      <c r="F1012" s="1"/>
      <c r="G1012" s="23"/>
      <c r="H1012" s="23"/>
      <c r="I1012" s="23"/>
      <c r="J1012" s="2"/>
      <c r="M1012" s="40"/>
      <c r="N1012" s="2"/>
      <c r="O1012" s="24"/>
      <c r="P1012" s="24"/>
      <c r="Q1012" s="24"/>
      <c r="R1012" s="24"/>
      <c r="S1012" s="24"/>
      <c r="T1012" s="24"/>
      <c r="U1012" s="24"/>
      <c r="V1012" s="24"/>
      <c r="W1012" s="24"/>
      <c r="X1012" s="24"/>
      <c r="Y1012" s="24"/>
      <c r="Z1012" s="24"/>
      <c r="AA1012" s="24"/>
      <c r="AB1012" s="24"/>
      <c r="AC1012" s="24"/>
      <c r="AE1012" s="24"/>
      <c r="AF1012" s="24"/>
      <c r="AG1012" s="24"/>
      <c r="AH1012" s="24"/>
      <c r="AI1012" s="24"/>
      <c r="AJ1012" s="24"/>
      <c r="AK1012" s="24"/>
      <c r="AL1012" s="24"/>
      <c r="AM1012" s="24"/>
    </row>
    <row r="1013">
      <c r="A1013" s="11"/>
      <c r="B1013" s="23"/>
      <c r="C1013" s="23"/>
      <c r="D1013" s="23"/>
      <c r="E1013" s="23"/>
      <c r="F1013" s="1"/>
      <c r="G1013" s="23"/>
      <c r="H1013" s="23"/>
      <c r="I1013" s="23"/>
      <c r="J1013" s="2"/>
      <c r="M1013" s="40"/>
      <c r="N1013" s="2"/>
      <c r="O1013" s="24"/>
      <c r="P1013" s="24"/>
      <c r="Q1013" s="24"/>
      <c r="R1013" s="24"/>
      <c r="S1013" s="24"/>
      <c r="T1013" s="24"/>
      <c r="U1013" s="24"/>
      <c r="V1013" s="24"/>
      <c r="W1013" s="24"/>
      <c r="X1013" s="24"/>
      <c r="Y1013" s="24"/>
      <c r="Z1013" s="24"/>
      <c r="AA1013" s="24"/>
      <c r="AB1013" s="24"/>
      <c r="AC1013" s="24"/>
      <c r="AE1013" s="24"/>
      <c r="AF1013" s="24"/>
      <c r="AG1013" s="24"/>
      <c r="AH1013" s="24"/>
      <c r="AI1013" s="24"/>
      <c r="AJ1013" s="24"/>
      <c r="AK1013" s="24"/>
      <c r="AL1013" s="24"/>
      <c r="AM1013" s="24"/>
    </row>
    <row r="1014">
      <c r="A1014" s="11"/>
      <c r="B1014" s="23"/>
      <c r="C1014" s="23"/>
      <c r="D1014" s="23"/>
      <c r="E1014" s="23"/>
      <c r="F1014" s="1"/>
      <c r="G1014" s="23"/>
      <c r="H1014" s="23"/>
      <c r="I1014" s="23"/>
      <c r="J1014" s="2"/>
      <c r="M1014" s="40"/>
      <c r="N1014" s="2"/>
      <c r="O1014" s="24"/>
      <c r="P1014" s="24"/>
      <c r="Q1014" s="24"/>
      <c r="R1014" s="24"/>
      <c r="S1014" s="24"/>
      <c r="T1014" s="24"/>
      <c r="U1014" s="24"/>
      <c r="V1014" s="24"/>
      <c r="W1014" s="24"/>
      <c r="X1014" s="24"/>
      <c r="Y1014" s="24"/>
      <c r="Z1014" s="24"/>
      <c r="AA1014" s="24"/>
      <c r="AB1014" s="24"/>
      <c r="AC1014" s="24"/>
      <c r="AE1014" s="24"/>
      <c r="AF1014" s="24"/>
      <c r="AG1014" s="24"/>
      <c r="AH1014" s="24"/>
      <c r="AI1014" s="24"/>
      <c r="AJ1014" s="24"/>
      <c r="AK1014" s="24"/>
      <c r="AL1014" s="24"/>
      <c r="AM1014" s="24"/>
    </row>
    <row r="1015">
      <c r="A1015" s="11"/>
      <c r="B1015" s="23"/>
      <c r="C1015" s="23"/>
      <c r="D1015" s="23"/>
      <c r="E1015" s="23"/>
      <c r="F1015" s="1"/>
      <c r="G1015" s="23"/>
      <c r="H1015" s="23"/>
      <c r="I1015" s="23"/>
      <c r="J1015" s="2"/>
      <c r="M1015" s="40"/>
      <c r="N1015" s="2"/>
      <c r="O1015" s="24"/>
      <c r="P1015" s="24"/>
      <c r="Q1015" s="24"/>
      <c r="R1015" s="24"/>
      <c r="S1015" s="24"/>
      <c r="T1015" s="24"/>
      <c r="U1015" s="24"/>
      <c r="V1015" s="24"/>
      <c r="W1015" s="24"/>
      <c r="X1015" s="24"/>
      <c r="Y1015" s="24"/>
      <c r="Z1015" s="24"/>
      <c r="AA1015" s="24"/>
      <c r="AB1015" s="24"/>
      <c r="AC1015" s="24"/>
      <c r="AE1015" s="24"/>
      <c r="AF1015" s="24"/>
      <c r="AG1015" s="24"/>
      <c r="AH1015" s="24"/>
      <c r="AI1015" s="24"/>
      <c r="AJ1015" s="24"/>
      <c r="AK1015" s="24"/>
      <c r="AL1015" s="24"/>
      <c r="AM1015" s="24"/>
    </row>
    <row r="1016">
      <c r="A1016" s="11"/>
      <c r="B1016" s="23"/>
      <c r="C1016" s="23"/>
      <c r="D1016" s="23"/>
      <c r="E1016" s="23"/>
      <c r="F1016" s="1"/>
      <c r="G1016" s="23"/>
      <c r="H1016" s="23"/>
      <c r="I1016" s="23"/>
      <c r="J1016" s="2"/>
      <c r="M1016" s="40"/>
      <c r="N1016" s="2"/>
      <c r="O1016" s="24"/>
      <c r="P1016" s="24"/>
      <c r="Q1016" s="24"/>
      <c r="R1016" s="24"/>
      <c r="S1016" s="24"/>
      <c r="T1016" s="24"/>
      <c r="U1016" s="24"/>
      <c r="V1016" s="24"/>
      <c r="W1016" s="24"/>
      <c r="X1016" s="24"/>
      <c r="Y1016" s="24"/>
      <c r="Z1016" s="24"/>
      <c r="AA1016" s="24"/>
      <c r="AB1016" s="24"/>
      <c r="AC1016" s="24"/>
      <c r="AE1016" s="24"/>
      <c r="AF1016" s="24"/>
      <c r="AG1016" s="24"/>
      <c r="AH1016" s="24"/>
      <c r="AI1016" s="24"/>
      <c r="AJ1016" s="24"/>
      <c r="AK1016" s="24"/>
      <c r="AL1016" s="24"/>
      <c r="AM1016" s="24"/>
    </row>
    <row r="1017">
      <c r="A1017" s="11"/>
      <c r="B1017" s="23"/>
      <c r="C1017" s="23"/>
      <c r="D1017" s="23"/>
      <c r="E1017" s="23"/>
      <c r="F1017" s="1"/>
      <c r="G1017" s="23"/>
      <c r="H1017" s="23"/>
      <c r="I1017" s="23"/>
      <c r="J1017" s="2"/>
      <c r="M1017" s="40"/>
      <c r="N1017" s="2"/>
      <c r="O1017" s="24"/>
      <c r="P1017" s="24"/>
      <c r="Q1017" s="24"/>
      <c r="R1017" s="24"/>
      <c r="S1017" s="24"/>
      <c r="T1017" s="24"/>
      <c r="U1017" s="24"/>
      <c r="V1017" s="24"/>
      <c r="W1017" s="24"/>
      <c r="X1017" s="24"/>
      <c r="Y1017" s="24"/>
      <c r="Z1017" s="24"/>
      <c r="AA1017" s="24"/>
      <c r="AB1017" s="24"/>
      <c r="AC1017" s="24"/>
      <c r="AE1017" s="24"/>
      <c r="AF1017" s="24"/>
      <c r="AG1017" s="24"/>
      <c r="AH1017" s="24"/>
      <c r="AI1017" s="24"/>
      <c r="AJ1017" s="24"/>
      <c r="AK1017" s="24"/>
      <c r="AL1017" s="24"/>
      <c r="AM1017" s="24"/>
    </row>
    <row r="1018">
      <c r="A1018" s="11"/>
      <c r="B1018" s="23"/>
      <c r="C1018" s="23"/>
      <c r="D1018" s="23"/>
      <c r="E1018" s="23"/>
      <c r="F1018" s="1"/>
      <c r="G1018" s="23"/>
      <c r="H1018" s="23"/>
      <c r="I1018" s="23"/>
      <c r="J1018" s="2"/>
      <c r="M1018" s="40"/>
      <c r="N1018" s="2"/>
      <c r="O1018" s="24"/>
      <c r="P1018" s="24"/>
      <c r="Q1018" s="24"/>
      <c r="R1018" s="24"/>
      <c r="S1018" s="24"/>
      <c r="T1018" s="24"/>
      <c r="U1018" s="24"/>
      <c r="V1018" s="24"/>
      <c r="W1018" s="24"/>
      <c r="X1018" s="24"/>
      <c r="Y1018" s="24"/>
      <c r="Z1018" s="24"/>
      <c r="AA1018" s="24"/>
      <c r="AB1018" s="24"/>
      <c r="AC1018" s="24"/>
      <c r="AE1018" s="24"/>
      <c r="AF1018" s="24"/>
      <c r="AG1018" s="24"/>
      <c r="AH1018" s="24"/>
      <c r="AI1018" s="24"/>
      <c r="AJ1018" s="24"/>
      <c r="AK1018" s="24"/>
      <c r="AL1018" s="24"/>
      <c r="AM1018" s="24"/>
    </row>
    <row r="1019">
      <c r="A1019" s="11"/>
      <c r="B1019" s="23"/>
      <c r="C1019" s="23"/>
      <c r="D1019" s="23"/>
      <c r="E1019" s="23"/>
      <c r="F1019" s="1"/>
      <c r="G1019" s="23"/>
      <c r="H1019" s="23"/>
      <c r="I1019" s="23"/>
      <c r="J1019" s="2"/>
      <c r="M1019" s="40"/>
      <c r="N1019" s="2"/>
      <c r="O1019" s="24"/>
      <c r="P1019" s="24"/>
      <c r="Q1019" s="24"/>
      <c r="R1019" s="24"/>
      <c r="S1019" s="24"/>
      <c r="T1019" s="24"/>
      <c r="U1019" s="24"/>
      <c r="V1019" s="24"/>
      <c r="W1019" s="24"/>
      <c r="X1019" s="24"/>
      <c r="Y1019" s="24"/>
      <c r="Z1019" s="24"/>
      <c r="AA1019" s="24"/>
      <c r="AB1019" s="24"/>
      <c r="AC1019" s="24"/>
      <c r="AE1019" s="24"/>
      <c r="AF1019" s="24"/>
      <c r="AG1019" s="24"/>
      <c r="AH1019" s="24"/>
      <c r="AI1019" s="24"/>
      <c r="AJ1019" s="24"/>
      <c r="AK1019" s="24"/>
      <c r="AL1019" s="24"/>
      <c r="AM1019" s="24"/>
    </row>
    <row r="1020">
      <c r="A1020" s="11"/>
      <c r="B1020" s="23"/>
      <c r="C1020" s="23"/>
      <c r="D1020" s="23"/>
      <c r="E1020" s="23"/>
      <c r="F1020" s="1"/>
      <c r="G1020" s="23"/>
      <c r="H1020" s="23"/>
      <c r="I1020" s="23"/>
      <c r="J1020" s="2"/>
      <c r="M1020" s="40"/>
      <c r="N1020" s="2"/>
      <c r="O1020" s="24"/>
      <c r="P1020" s="24"/>
      <c r="Q1020" s="24"/>
      <c r="R1020" s="24"/>
      <c r="S1020" s="24"/>
      <c r="T1020" s="24"/>
      <c r="U1020" s="24"/>
      <c r="V1020" s="24"/>
      <c r="W1020" s="24"/>
      <c r="X1020" s="24"/>
      <c r="Y1020" s="24"/>
      <c r="Z1020" s="24"/>
      <c r="AA1020" s="24"/>
      <c r="AB1020" s="24"/>
      <c r="AC1020" s="24"/>
      <c r="AE1020" s="24"/>
      <c r="AF1020" s="24"/>
      <c r="AG1020" s="24"/>
      <c r="AH1020" s="24"/>
      <c r="AI1020" s="24"/>
      <c r="AJ1020" s="24"/>
      <c r="AK1020" s="24"/>
      <c r="AL1020" s="24"/>
      <c r="AM1020" s="24"/>
    </row>
    <row r="1021">
      <c r="A1021" s="11"/>
      <c r="B1021" s="23"/>
      <c r="C1021" s="23"/>
      <c r="D1021" s="23"/>
      <c r="E1021" s="23"/>
      <c r="F1021" s="1"/>
      <c r="G1021" s="23"/>
      <c r="H1021" s="23"/>
      <c r="I1021" s="23"/>
      <c r="J1021" s="2"/>
      <c r="M1021" s="40"/>
      <c r="N1021" s="2"/>
      <c r="O1021" s="24"/>
      <c r="P1021" s="24"/>
      <c r="Q1021" s="24"/>
      <c r="R1021" s="24"/>
      <c r="S1021" s="24"/>
      <c r="T1021" s="24"/>
      <c r="U1021" s="24"/>
      <c r="V1021" s="24"/>
      <c r="W1021" s="24"/>
      <c r="X1021" s="24"/>
      <c r="Y1021" s="24"/>
      <c r="Z1021" s="24"/>
      <c r="AA1021" s="24"/>
      <c r="AB1021" s="24"/>
      <c r="AC1021" s="24"/>
      <c r="AE1021" s="24"/>
      <c r="AF1021" s="24"/>
      <c r="AG1021" s="24"/>
      <c r="AH1021" s="24"/>
      <c r="AI1021" s="24"/>
      <c r="AJ1021" s="24"/>
      <c r="AK1021" s="24"/>
      <c r="AL1021" s="24"/>
      <c r="AM1021" s="24"/>
    </row>
    <row r="1022">
      <c r="A1022" s="11"/>
      <c r="B1022" s="23"/>
      <c r="C1022" s="23"/>
      <c r="D1022" s="23"/>
      <c r="E1022" s="23"/>
      <c r="F1022" s="1"/>
      <c r="G1022" s="23"/>
      <c r="H1022" s="23"/>
      <c r="I1022" s="23"/>
      <c r="J1022" s="2"/>
      <c r="M1022" s="40"/>
      <c r="N1022" s="2"/>
      <c r="O1022" s="24"/>
      <c r="P1022" s="24"/>
      <c r="Q1022" s="24"/>
      <c r="R1022" s="24"/>
      <c r="S1022" s="24"/>
      <c r="T1022" s="24"/>
      <c r="U1022" s="24"/>
      <c r="V1022" s="24"/>
      <c r="W1022" s="24"/>
      <c r="X1022" s="24"/>
      <c r="Y1022" s="24"/>
      <c r="Z1022" s="24"/>
      <c r="AA1022" s="24"/>
      <c r="AB1022" s="24"/>
      <c r="AC1022" s="24"/>
      <c r="AE1022" s="24"/>
      <c r="AF1022" s="24"/>
      <c r="AG1022" s="24"/>
      <c r="AH1022" s="24"/>
      <c r="AI1022" s="24"/>
      <c r="AJ1022" s="24"/>
      <c r="AK1022" s="24"/>
      <c r="AL1022" s="24"/>
      <c r="AM1022" s="24"/>
    </row>
    <row r="1023">
      <c r="A1023" s="11"/>
      <c r="B1023" s="23"/>
      <c r="C1023" s="23"/>
      <c r="D1023" s="23"/>
      <c r="E1023" s="23"/>
      <c r="F1023" s="1"/>
      <c r="G1023" s="23"/>
      <c r="H1023" s="23"/>
      <c r="I1023" s="23"/>
      <c r="J1023" s="2"/>
      <c r="M1023" s="40"/>
      <c r="N1023" s="2"/>
      <c r="O1023" s="24"/>
      <c r="P1023" s="24"/>
      <c r="Q1023" s="24"/>
      <c r="R1023" s="24"/>
      <c r="S1023" s="24"/>
      <c r="T1023" s="24"/>
      <c r="U1023" s="24"/>
      <c r="V1023" s="24"/>
      <c r="W1023" s="24"/>
      <c r="X1023" s="24"/>
      <c r="Y1023" s="24"/>
      <c r="Z1023" s="24"/>
      <c r="AA1023" s="24"/>
      <c r="AB1023" s="24"/>
      <c r="AC1023" s="24"/>
      <c r="AE1023" s="24"/>
      <c r="AF1023" s="24"/>
      <c r="AG1023" s="24"/>
      <c r="AH1023" s="24"/>
      <c r="AI1023" s="24"/>
      <c r="AJ1023" s="24"/>
      <c r="AK1023" s="24"/>
      <c r="AL1023" s="24"/>
      <c r="AM1023" s="24"/>
    </row>
    <row r="1024">
      <c r="A1024" s="11"/>
      <c r="B1024" s="23"/>
      <c r="C1024" s="23"/>
      <c r="D1024" s="23"/>
      <c r="E1024" s="23"/>
      <c r="F1024" s="1"/>
      <c r="G1024" s="23"/>
      <c r="H1024" s="23"/>
      <c r="I1024" s="23"/>
      <c r="J1024" s="2"/>
      <c r="M1024" s="40"/>
      <c r="N1024" s="2"/>
      <c r="O1024" s="24"/>
      <c r="P1024" s="24"/>
      <c r="Q1024" s="24"/>
      <c r="R1024" s="24"/>
      <c r="S1024" s="24"/>
      <c r="T1024" s="24"/>
      <c r="U1024" s="24"/>
      <c r="V1024" s="24"/>
      <c r="W1024" s="24"/>
      <c r="X1024" s="24"/>
      <c r="Y1024" s="24"/>
      <c r="Z1024" s="24"/>
      <c r="AA1024" s="24"/>
      <c r="AB1024" s="24"/>
      <c r="AC1024" s="24"/>
      <c r="AE1024" s="24"/>
      <c r="AF1024" s="24"/>
      <c r="AG1024" s="24"/>
      <c r="AH1024" s="24"/>
      <c r="AI1024" s="24"/>
      <c r="AJ1024" s="24"/>
      <c r="AK1024" s="24"/>
      <c r="AL1024" s="24"/>
      <c r="AM1024" s="24"/>
    </row>
    <row r="1025">
      <c r="A1025" s="11"/>
      <c r="B1025" s="23"/>
      <c r="C1025" s="23"/>
      <c r="D1025" s="23"/>
      <c r="E1025" s="23"/>
      <c r="F1025" s="1"/>
      <c r="G1025" s="23"/>
      <c r="H1025" s="23"/>
      <c r="I1025" s="23"/>
      <c r="J1025" s="2"/>
      <c r="M1025" s="40"/>
      <c r="N1025" s="2"/>
      <c r="O1025" s="24"/>
      <c r="P1025" s="24"/>
      <c r="Q1025" s="24"/>
      <c r="R1025" s="24"/>
      <c r="S1025" s="24"/>
      <c r="T1025" s="24"/>
      <c r="U1025" s="24"/>
      <c r="V1025" s="24"/>
      <c r="W1025" s="24"/>
      <c r="X1025" s="24"/>
      <c r="Y1025" s="24"/>
      <c r="Z1025" s="24"/>
      <c r="AA1025" s="24"/>
      <c r="AB1025" s="24"/>
      <c r="AC1025" s="24"/>
      <c r="AE1025" s="24"/>
      <c r="AF1025" s="24"/>
      <c r="AG1025" s="24"/>
      <c r="AH1025" s="24"/>
      <c r="AI1025" s="24"/>
      <c r="AJ1025" s="24"/>
      <c r="AK1025" s="24"/>
      <c r="AL1025" s="24"/>
      <c r="AM1025" s="24"/>
    </row>
    <row r="1026">
      <c r="A1026" s="11"/>
      <c r="B1026" s="23"/>
      <c r="C1026" s="23"/>
      <c r="D1026" s="23"/>
      <c r="E1026" s="23"/>
      <c r="F1026" s="1"/>
      <c r="G1026" s="23"/>
      <c r="H1026" s="23"/>
      <c r="I1026" s="23"/>
      <c r="J1026" s="2"/>
      <c r="M1026" s="40"/>
      <c r="N1026" s="2"/>
      <c r="O1026" s="24"/>
      <c r="P1026" s="24"/>
      <c r="Q1026" s="24"/>
      <c r="R1026" s="24"/>
      <c r="S1026" s="24"/>
      <c r="T1026" s="24"/>
      <c r="U1026" s="24"/>
      <c r="V1026" s="24"/>
      <c r="W1026" s="24"/>
      <c r="X1026" s="24"/>
      <c r="Y1026" s="24"/>
      <c r="Z1026" s="24"/>
      <c r="AA1026" s="24"/>
      <c r="AB1026" s="24"/>
      <c r="AC1026" s="24"/>
      <c r="AE1026" s="24"/>
      <c r="AF1026" s="24"/>
      <c r="AG1026" s="24"/>
      <c r="AH1026" s="24"/>
      <c r="AI1026" s="24"/>
      <c r="AJ1026" s="24"/>
      <c r="AK1026" s="24"/>
      <c r="AL1026" s="24"/>
      <c r="AM1026" s="24"/>
    </row>
    <row r="1027">
      <c r="A1027" s="11"/>
      <c r="B1027" s="23"/>
      <c r="C1027" s="23"/>
      <c r="D1027" s="23"/>
      <c r="E1027" s="23"/>
      <c r="F1027" s="1"/>
      <c r="G1027" s="23"/>
      <c r="H1027" s="23"/>
      <c r="I1027" s="23"/>
      <c r="J1027" s="2"/>
      <c r="M1027" s="40"/>
      <c r="N1027" s="2"/>
      <c r="O1027" s="24"/>
      <c r="P1027" s="24"/>
      <c r="Q1027" s="24"/>
      <c r="R1027" s="24"/>
      <c r="S1027" s="24"/>
      <c r="T1027" s="24"/>
      <c r="U1027" s="24"/>
      <c r="V1027" s="24"/>
      <c r="W1027" s="24"/>
      <c r="X1027" s="24"/>
      <c r="Y1027" s="24"/>
      <c r="Z1027" s="24"/>
      <c r="AA1027" s="24"/>
      <c r="AB1027" s="24"/>
      <c r="AC1027" s="24"/>
      <c r="AE1027" s="24"/>
      <c r="AF1027" s="24"/>
      <c r="AG1027" s="24"/>
      <c r="AH1027" s="24"/>
      <c r="AI1027" s="24"/>
      <c r="AJ1027" s="24"/>
      <c r="AK1027" s="24"/>
      <c r="AL1027" s="24"/>
      <c r="AM1027" s="24"/>
    </row>
    <row r="1028">
      <c r="A1028" s="11"/>
      <c r="B1028" s="23"/>
      <c r="C1028" s="23"/>
      <c r="D1028" s="23"/>
      <c r="E1028" s="23"/>
      <c r="F1028" s="1"/>
      <c r="G1028" s="23"/>
      <c r="H1028" s="23"/>
      <c r="I1028" s="23"/>
      <c r="J1028" s="2"/>
      <c r="M1028" s="40"/>
      <c r="N1028" s="2"/>
      <c r="O1028" s="24"/>
      <c r="P1028" s="24"/>
      <c r="Q1028" s="24"/>
      <c r="R1028" s="24"/>
      <c r="S1028" s="24"/>
      <c r="T1028" s="24"/>
      <c r="U1028" s="24"/>
      <c r="V1028" s="24"/>
      <c r="W1028" s="24"/>
      <c r="X1028" s="24"/>
      <c r="Y1028" s="24"/>
      <c r="Z1028" s="24"/>
      <c r="AA1028" s="24"/>
      <c r="AB1028" s="24"/>
      <c r="AC1028" s="24"/>
      <c r="AE1028" s="24"/>
      <c r="AF1028" s="24"/>
      <c r="AG1028" s="24"/>
      <c r="AH1028" s="24"/>
      <c r="AI1028" s="24"/>
      <c r="AJ1028" s="24"/>
      <c r="AK1028" s="24"/>
      <c r="AL1028" s="24"/>
      <c r="AM1028" s="24"/>
    </row>
    <row r="1029">
      <c r="A1029" s="11"/>
      <c r="B1029" s="23"/>
      <c r="C1029" s="23"/>
      <c r="D1029" s="23"/>
      <c r="E1029" s="23"/>
      <c r="F1029" s="1"/>
      <c r="G1029" s="23"/>
      <c r="H1029" s="23"/>
      <c r="I1029" s="23"/>
      <c r="J1029" s="2"/>
      <c r="M1029" s="40"/>
      <c r="N1029" s="2"/>
      <c r="O1029" s="24"/>
      <c r="P1029" s="24"/>
      <c r="Q1029" s="24"/>
      <c r="R1029" s="24"/>
      <c r="S1029" s="24"/>
      <c r="T1029" s="24"/>
      <c r="U1029" s="24"/>
      <c r="V1029" s="24"/>
      <c r="W1029" s="24"/>
      <c r="X1029" s="24"/>
      <c r="Y1029" s="24"/>
      <c r="Z1029" s="24"/>
      <c r="AA1029" s="24"/>
      <c r="AB1029" s="24"/>
      <c r="AC1029" s="24"/>
      <c r="AE1029" s="24"/>
      <c r="AF1029" s="24"/>
      <c r="AG1029" s="24"/>
      <c r="AH1029" s="24"/>
      <c r="AI1029" s="24"/>
      <c r="AJ1029" s="24"/>
      <c r="AK1029" s="24"/>
      <c r="AL1029" s="24"/>
      <c r="AM1029" s="24"/>
    </row>
    <row r="1030">
      <c r="A1030" s="11"/>
      <c r="B1030" s="23"/>
      <c r="C1030" s="23"/>
      <c r="D1030" s="23"/>
      <c r="E1030" s="23"/>
      <c r="F1030" s="1"/>
      <c r="G1030" s="23"/>
      <c r="H1030" s="23"/>
      <c r="I1030" s="23"/>
      <c r="J1030" s="2"/>
      <c r="M1030" s="40"/>
      <c r="N1030" s="2"/>
      <c r="O1030" s="24"/>
      <c r="P1030" s="24"/>
      <c r="Q1030" s="24"/>
      <c r="R1030" s="24"/>
      <c r="S1030" s="24"/>
      <c r="T1030" s="24"/>
      <c r="U1030" s="24"/>
      <c r="V1030" s="24"/>
      <c r="W1030" s="24"/>
      <c r="X1030" s="24"/>
      <c r="Y1030" s="24"/>
      <c r="Z1030" s="24"/>
      <c r="AA1030" s="24"/>
      <c r="AB1030" s="24"/>
      <c r="AC1030" s="24"/>
      <c r="AE1030" s="24"/>
      <c r="AF1030" s="24"/>
      <c r="AG1030" s="24"/>
      <c r="AH1030" s="24"/>
      <c r="AI1030" s="24"/>
      <c r="AJ1030" s="24"/>
      <c r="AK1030" s="24"/>
      <c r="AL1030" s="24"/>
      <c r="AM1030" s="24"/>
    </row>
    <row r="1031">
      <c r="A1031" s="11"/>
      <c r="B1031" s="23"/>
      <c r="C1031" s="23"/>
      <c r="D1031" s="23"/>
      <c r="E1031" s="23"/>
      <c r="F1031" s="1"/>
      <c r="G1031" s="23"/>
      <c r="H1031" s="23"/>
      <c r="I1031" s="23"/>
      <c r="J1031" s="2"/>
      <c r="M1031" s="40"/>
      <c r="N1031" s="2"/>
      <c r="O1031" s="24"/>
      <c r="P1031" s="24"/>
      <c r="Q1031" s="24"/>
      <c r="R1031" s="24"/>
      <c r="S1031" s="24"/>
      <c r="T1031" s="24"/>
      <c r="U1031" s="24"/>
      <c r="V1031" s="24"/>
      <c r="W1031" s="24"/>
      <c r="X1031" s="24"/>
      <c r="Y1031" s="24"/>
      <c r="Z1031" s="24"/>
      <c r="AA1031" s="24"/>
      <c r="AB1031" s="24"/>
      <c r="AC1031" s="24"/>
      <c r="AE1031" s="24"/>
      <c r="AF1031" s="24"/>
      <c r="AG1031" s="24"/>
      <c r="AH1031" s="24"/>
      <c r="AI1031" s="24"/>
      <c r="AJ1031" s="24"/>
      <c r="AK1031" s="24"/>
      <c r="AL1031" s="24"/>
      <c r="AM1031" s="24"/>
    </row>
    <row r="1032">
      <c r="A1032" s="11"/>
      <c r="B1032" s="23"/>
      <c r="C1032" s="23"/>
      <c r="D1032" s="23"/>
      <c r="E1032" s="23"/>
      <c r="F1032" s="1"/>
      <c r="G1032" s="23"/>
      <c r="H1032" s="23"/>
      <c r="I1032" s="23"/>
      <c r="J1032" s="2"/>
      <c r="M1032" s="40"/>
      <c r="N1032" s="2"/>
      <c r="O1032" s="24"/>
      <c r="P1032" s="24"/>
      <c r="Q1032" s="24"/>
      <c r="R1032" s="24"/>
      <c r="S1032" s="24"/>
      <c r="T1032" s="24"/>
      <c r="U1032" s="24"/>
      <c r="V1032" s="24"/>
      <c r="W1032" s="24"/>
      <c r="X1032" s="24"/>
      <c r="Y1032" s="24"/>
      <c r="Z1032" s="24"/>
      <c r="AA1032" s="24"/>
      <c r="AB1032" s="24"/>
      <c r="AC1032" s="24"/>
      <c r="AE1032" s="24"/>
      <c r="AF1032" s="24"/>
      <c r="AG1032" s="24"/>
      <c r="AH1032" s="24"/>
      <c r="AI1032" s="24"/>
      <c r="AJ1032" s="24"/>
      <c r="AK1032" s="24"/>
      <c r="AL1032" s="24"/>
      <c r="AM1032" s="24"/>
    </row>
    <row r="1033">
      <c r="A1033" s="11"/>
      <c r="B1033" s="23"/>
      <c r="C1033" s="23"/>
      <c r="D1033" s="23"/>
      <c r="E1033" s="23"/>
      <c r="F1033" s="1"/>
      <c r="G1033" s="23"/>
      <c r="H1033" s="23"/>
      <c r="I1033" s="23"/>
      <c r="J1033" s="2"/>
      <c r="M1033" s="40"/>
      <c r="N1033" s="2"/>
      <c r="O1033" s="24"/>
      <c r="P1033" s="24"/>
      <c r="Q1033" s="24"/>
      <c r="R1033" s="24"/>
      <c r="S1033" s="24"/>
      <c r="T1033" s="24"/>
      <c r="U1033" s="24"/>
      <c r="V1033" s="24"/>
      <c r="W1033" s="24"/>
      <c r="X1033" s="24"/>
      <c r="Y1033" s="24"/>
      <c r="Z1033" s="24"/>
      <c r="AA1033" s="24"/>
      <c r="AB1033" s="24"/>
      <c r="AC1033" s="24"/>
      <c r="AE1033" s="24"/>
      <c r="AF1033" s="24"/>
      <c r="AG1033" s="24"/>
      <c r="AH1033" s="24"/>
      <c r="AI1033" s="24"/>
      <c r="AJ1033" s="24"/>
      <c r="AK1033" s="24"/>
      <c r="AL1033" s="24"/>
      <c r="AM1033" s="24"/>
    </row>
    <row r="1034">
      <c r="A1034" s="11"/>
      <c r="B1034" s="23"/>
      <c r="C1034" s="23"/>
      <c r="D1034" s="23"/>
      <c r="E1034" s="23"/>
      <c r="F1034" s="1"/>
      <c r="G1034" s="23"/>
      <c r="H1034" s="23"/>
      <c r="I1034" s="23"/>
      <c r="J1034" s="2"/>
      <c r="M1034" s="40"/>
      <c r="N1034" s="2"/>
      <c r="O1034" s="24"/>
      <c r="P1034" s="24"/>
      <c r="Q1034" s="24"/>
      <c r="R1034" s="24"/>
      <c r="S1034" s="24"/>
      <c r="T1034" s="24"/>
      <c r="U1034" s="24"/>
      <c r="V1034" s="24"/>
      <c r="W1034" s="24"/>
      <c r="X1034" s="24"/>
      <c r="Y1034" s="24"/>
      <c r="Z1034" s="24"/>
      <c r="AA1034" s="24"/>
      <c r="AB1034" s="24"/>
      <c r="AC1034" s="24"/>
      <c r="AE1034" s="24"/>
      <c r="AF1034" s="24"/>
      <c r="AG1034" s="24"/>
      <c r="AH1034" s="24"/>
      <c r="AI1034" s="24"/>
      <c r="AJ1034" s="24"/>
      <c r="AK1034" s="24"/>
      <c r="AL1034" s="24"/>
      <c r="AM1034" s="24"/>
    </row>
    <row r="1035">
      <c r="A1035" s="11"/>
      <c r="B1035" s="23"/>
      <c r="C1035" s="23"/>
      <c r="D1035" s="23"/>
      <c r="E1035" s="23"/>
      <c r="F1035" s="1"/>
      <c r="G1035" s="23"/>
      <c r="H1035" s="23"/>
      <c r="I1035" s="23"/>
      <c r="J1035" s="2"/>
      <c r="M1035" s="40"/>
      <c r="N1035" s="2"/>
      <c r="O1035" s="24"/>
      <c r="P1035" s="24"/>
      <c r="Q1035" s="24"/>
      <c r="R1035" s="24"/>
      <c r="S1035" s="24"/>
      <c r="T1035" s="24"/>
      <c r="U1035" s="24"/>
      <c r="V1035" s="24"/>
      <c r="W1035" s="24"/>
      <c r="X1035" s="24"/>
      <c r="Y1035" s="24"/>
      <c r="Z1035" s="24"/>
      <c r="AA1035" s="24"/>
      <c r="AB1035" s="24"/>
      <c r="AC1035" s="24"/>
      <c r="AE1035" s="24"/>
      <c r="AF1035" s="24"/>
      <c r="AG1035" s="24"/>
      <c r="AH1035" s="24"/>
      <c r="AI1035" s="24"/>
      <c r="AJ1035" s="24"/>
      <c r="AK1035" s="24"/>
      <c r="AL1035" s="24"/>
      <c r="AM1035" s="24"/>
    </row>
    <row r="1036">
      <c r="A1036" s="11"/>
      <c r="B1036" s="23"/>
      <c r="C1036" s="23"/>
      <c r="D1036" s="23"/>
      <c r="E1036" s="23"/>
      <c r="F1036" s="1"/>
      <c r="G1036" s="23"/>
      <c r="H1036" s="23"/>
      <c r="I1036" s="23"/>
      <c r="J1036" s="2"/>
      <c r="M1036" s="40"/>
      <c r="N1036" s="2"/>
      <c r="O1036" s="24"/>
      <c r="P1036" s="24"/>
      <c r="Q1036" s="24"/>
      <c r="R1036" s="24"/>
      <c r="S1036" s="24"/>
      <c r="T1036" s="24"/>
      <c r="U1036" s="24"/>
      <c r="V1036" s="24"/>
      <c r="W1036" s="24"/>
      <c r="X1036" s="24"/>
      <c r="Y1036" s="24"/>
      <c r="Z1036" s="24"/>
      <c r="AA1036" s="24"/>
      <c r="AB1036" s="24"/>
      <c r="AC1036" s="24"/>
      <c r="AE1036" s="24"/>
      <c r="AF1036" s="24"/>
      <c r="AG1036" s="24"/>
      <c r="AH1036" s="24"/>
      <c r="AI1036" s="24"/>
      <c r="AJ1036" s="24"/>
      <c r="AK1036" s="24"/>
      <c r="AL1036" s="24"/>
      <c r="AM1036" s="24"/>
    </row>
    <row r="1037">
      <c r="A1037" s="11"/>
      <c r="B1037" s="23"/>
      <c r="C1037" s="23"/>
      <c r="D1037" s="23"/>
      <c r="E1037" s="23"/>
      <c r="F1037" s="1"/>
      <c r="G1037" s="23"/>
      <c r="H1037" s="23"/>
      <c r="I1037" s="23"/>
      <c r="J1037" s="2"/>
      <c r="M1037" s="40"/>
      <c r="N1037" s="2"/>
      <c r="O1037" s="24"/>
      <c r="P1037" s="24"/>
      <c r="Q1037" s="24"/>
      <c r="R1037" s="24"/>
      <c r="S1037" s="24"/>
      <c r="T1037" s="24"/>
      <c r="U1037" s="24"/>
      <c r="V1037" s="24"/>
      <c r="W1037" s="24"/>
      <c r="X1037" s="24"/>
      <c r="Y1037" s="24"/>
      <c r="Z1037" s="24"/>
      <c r="AA1037" s="24"/>
      <c r="AB1037" s="24"/>
      <c r="AC1037" s="24"/>
      <c r="AE1037" s="24"/>
      <c r="AF1037" s="24"/>
      <c r="AG1037" s="24"/>
      <c r="AH1037" s="24"/>
      <c r="AI1037" s="24"/>
      <c r="AJ1037" s="24"/>
      <c r="AK1037" s="24"/>
      <c r="AL1037" s="24"/>
      <c r="AM1037" s="24"/>
    </row>
    <row r="1038">
      <c r="A1038" s="11"/>
      <c r="B1038" s="23"/>
      <c r="C1038" s="23"/>
      <c r="D1038" s="23"/>
      <c r="E1038" s="23"/>
      <c r="F1038" s="1"/>
      <c r="G1038" s="23"/>
      <c r="H1038" s="23"/>
      <c r="I1038" s="23"/>
      <c r="J1038" s="2"/>
      <c r="M1038" s="40"/>
      <c r="N1038" s="2"/>
      <c r="O1038" s="24"/>
      <c r="P1038" s="24"/>
      <c r="Q1038" s="24"/>
      <c r="R1038" s="24"/>
      <c r="S1038" s="24"/>
      <c r="T1038" s="24"/>
      <c r="U1038" s="24"/>
      <c r="V1038" s="24"/>
      <c r="W1038" s="24"/>
      <c r="X1038" s="24"/>
      <c r="Y1038" s="24"/>
      <c r="Z1038" s="24"/>
      <c r="AA1038" s="24"/>
      <c r="AB1038" s="24"/>
      <c r="AC1038" s="24"/>
      <c r="AE1038" s="24"/>
      <c r="AF1038" s="24"/>
      <c r="AG1038" s="24"/>
      <c r="AH1038" s="24"/>
      <c r="AI1038" s="24"/>
      <c r="AJ1038" s="24"/>
      <c r="AK1038" s="24"/>
      <c r="AL1038" s="24"/>
      <c r="AM1038" s="24"/>
    </row>
    <row r="1039">
      <c r="A1039" s="11"/>
      <c r="B1039" s="23"/>
      <c r="C1039" s="23"/>
      <c r="D1039" s="23"/>
      <c r="E1039" s="23"/>
      <c r="F1039" s="1"/>
      <c r="G1039" s="23"/>
      <c r="H1039" s="23"/>
      <c r="I1039" s="23"/>
      <c r="J1039" s="2"/>
      <c r="M1039" s="40"/>
      <c r="N1039" s="2"/>
      <c r="O1039" s="24"/>
      <c r="P1039" s="24"/>
      <c r="Q1039" s="24"/>
      <c r="R1039" s="24"/>
      <c r="S1039" s="24"/>
      <c r="T1039" s="24"/>
      <c r="U1039" s="24"/>
      <c r="V1039" s="24"/>
      <c r="W1039" s="24"/>
      <c r="X1039" s="24"/>
      <c r="Y1039" s="24"/>
      <c r="Z1039" s="24"/>
      <c r="AA1039" s="24"/>
      <c r="AB1039" s="24"/>
      <c r="AC1039" s="24"/>
      <c r="AE1039" s="24"/>
      <c r="AF1039" s="24"/>
      <c r="AG1039" s="24"/>
      <c r="AH1039" s="24"/>
      <c r="AI1039" s="24"/>
      <c r="AJ1039" s="24"/>
      <c r="AK1039" s="24"/>
      <c r="AL1039" s="24"/>
      <c r="AM1039" s="24"/>
    </row>
    <row r="1040">
      <c r="A1040" s="11"/>
      <c r="B1040" s="23"/>
      <c r="C1040" s="23"/>
      <c r="D1040" s="23"/>
      <c r="E1040" s="23"/>
      <c r="F1040" s="1"/>
      <c r="G1040" s="23"/>
      <c r="H1040" s="23"/>
      <c r="I1040" s="23"/>
      <c r="J1040" s="2"/>
      <c r="M1040" s="40"/>
      <c r="N1040" s="2"/>
      <c r="O1040" s="24"/>
      <c r="P1040" s="24"/>
      <c r="Q1040" s="24"/>
      <c r="R1040" s="24"/>
      <c r="S1040" s="24"/>
      <c r="T1040" s="24"/>
      <c r="U1040" s="24"/>
      <c r="V1040" s="24"/>
      <c r="W1040" s="24"/>
      <c r="X1040" s="24"/>
      <c r="Y1040" s="24"/>
      <c r="Z1040" s="24"/>
      <c r="AA1040" s="24"/>
      <c r="AB1040" s="24"/>
      <c r="AC1040" s="24"/>
      <c r="AE1040" s="24"/>
      <c r="AF1040" s="24"/>
      <c r="AG1040" s="24"/>
      <c r="AH1040" s="24"/>
      <c r="AI1040" s="24"/>
      <c r="AJ1040" s="24"/>
      <c r="AK1040" s="24"/>
      <c r="AL1040" s="24"/>
      <c r="AM1040" s="24"/>
    </row>
    <row r="1041">
      <c r="A1041" s="11"/>
      <c r="B1041" s="23"/>
      <c r="C1041" s="23"/>
      <c r="D1041" s="23"/>
      <c r="E1041" s="23"/>
      <c r="F1041" s="1"/>
      <c r="G1041" s="23"/>
      <c r="H1041" s="23"/>
      <c r="I1041" s="23"/>
      <c r="J1041" s="2"/>
      <c r="M1041" s="40"/>
      <c r="N1041" s="2"/>
      <c r="O1041" s="24"/>
      <c r="P1041" s="24"/>
      <c r="Q1041" s="24"/>
      <c r="R1041" s="24"/>
      <c r="S1041" s="24"/>
      <c r="T1041" s="24"/>
      <c r="U1041" s="24"/>
      <c r="V1041" s="24"/>
      <c r="W1041" s="24"/>
      <c r="X1041" s="24"/>
      <c r="Y1041" s="24"/>
      <c r="Z1041" s="24"/>
      <c r="AA1041" s="24"/>
      <c r="AB1041" s="24"/>
      <c r="AC1041" s="24"/>
      <c r="AE1041" s="24"/>
      <c r="AF1041" s="24"/>
      <c r="AG1041" s="24"/>
      <c r="AH1041" s="24"/>
      <c r="AI1041" s="24"/>
      <c r="AJ1041" s="24"/>
      <c r="AK1041" s="24"/>
      <c r="AL1041" s="24"/>
      <c r="AM1041" s="24"/>
    </row>
    <row r="1042">
      <c r="A1042" s="11"/>
      <c r="B1042" s="23"/>
      <c r="C1042" s="23"/>
      <c r="D1042" s="23"/>
      <c r="E1042" s="23"/>
      <c r="F1042" s="1"/>
      <c r="G1042" s="23"/>
      <c r="H1042" s="23"/>
      <c r="I1042" s="23"/>
      <c r="J1042" s="2"/>
      <c r="M1042" s="40"/>
      <c r="N1042" s="2"/>
      <c r="O1042" s="24"/>
      <c r="P1042" s="24"/>
      <c r="Q1042" s="24"/>
      <c r="R1042" s="24"/>
      <c r="S1042" s="24"/>
      <c r="T1042" s="24"/>
      <c r="U1042" s="24"/>
      <c r="V1042" s="24"/>
      <c r="W1042" s="24"/>
      <c r="X1042" s="24"/>
      <c r="Y1042" s="24"/>
      <c r="Z1042" s="24"/>
      <c r="AA1042" s="24"/>
      <c r="AB1042" s="24"/>
      <c r="AC1042" s="24"/>
      <c r="AE1042" s="24"/>
      <c r="AF1042" s="24"/>
      <c r="AG1042" s="24"/>
      <c r="AH1042" s="24"/>
      <c r="AI1042" s="24"/>
      <c r="AJ1042" s="24"/>
      <c r="AK1042" s="24"/>
      <c r="AL1042" s="24"/>
      <c r="AM1042" s="24"/>
    </row>
    <row r="1043">
      <c r="A1043" s="11"/>
      <c r="B1043" s="23"/>
      <c r="C1043" s="23"/>
      <c r="D1043" s="23"/>
      <c r="E1043" s="23"/>
      <c r="F1043" s="1"/>
      <c r="G1043" s="23"/>
      <c r="H1043" s="23"/>
      <c r="I1043" s="23"/>
      <c r="J1043" s="2"/>
      <c r="M1043" s="40"/>
      <c r="N1043" s="2"/>
      <c r="O1043" s="24"/>
      <c r="P1043" s="24"/>
      <c r="Q1043" s="24"/>
      <c r="R1043" s="24"/>
      <c r="S1043" s="24"/>
      <c r="T1043" s="24"/>
      <c r="U1043" s="24"/>
      <c r="V1043" s="24"/>
      <c r="W1043" s="24"/>
      <c r="X1043" s="24"/>
      <c r="Y1043" s="24"/>
      <c r="Z1043" s="24"/>
      <c r="AA1043" s="24"/>
      <c r="AB1043" s="24"/>
      <c r="AC1043" s="24"/>
      <c r="AE1043" s="24"/>
      <c r="AF1043" s="24"/>
      <c r="AG1043" s="24"/>
      <c r="AH1043" s="24"/>
      <c r="AI1043" s="24"/>
      <c r="AJ1043" s="24"/>
      <c r="AK1043" s="24"/>
      <c r="AL1043" s="24"/>
      <c r="AM1043" s="24"/>
    </row>
    <row r="1044">
      <c r="A1044" s="11"/>
      <c r="B1044" s="23"/>
      <c r="C1044" s="23"/>
      <c r="D1044" s="23"/>
      <c r="E1044" s="23"/>
      <c r="F1044" s="1"/>
      <c r="G1044" s="23"/>
      <c r="H1044" s="23"/>
      <c r="I1044" s="23"/>
      <c r="J1044" s="2"/>
      <c r="M1044" s="40"/>
      <c r="N1044" s="2"/>
      <c r="O1044" s="24"/>
      <c r="P1044" s="24"/>
      <c r="Q1044" s="24"/>
      <c r="R1044" s="24"/>
      <c r="S1044" s="24"/>
      <c r="T1044" s="24"/>
      <c r="U1044" s="24"/>
      <c r="V1044" s="24"/>
      <c r="W1044" s="24"/>
      <c r="X1044" s="24"/>
      <c r="Y1044" s="24"/>
      <c r="Z1044" s="24"/>
      <c r="AA1044" s="24"/>
      <c r="AB1044" s="24"/>
      <c r="AC1044" s="24"/>
      <c r="AE1044" s="24"/>
      <c r="AF1044" s="24"/>
      <c r="AG1044" s="24"/>
      <c r="AH1044" s="24"/>
      <c r="AI1044" s="24"/>
      <c r="AJ1044" s="24"/>
      <c r="AK1044" s="24"/>
      <c r="AL1044" s="24"/>
      <c r="AM1044" s="24"/>
    </row>
    <row r="1045">
      <c r="A1045" s="11"/>
      <c r="B1045" s="23"/>
      <c r="C1045" s="23"/>
      <c r="D1045" s="23"/>
      <c r="E1045" s="23"/>
      <c r="F1045" s="1"/>
      <c r="G1045" s="23"/>
      <c r="H1045" s="23"/>
      <c r="I1045" s="23"/>
      <c r="J1045" s="2"/>
      <c r="M1045" s="40"/>
      <c r="N1045" s="2"/>
      <c r="O1045" s="24"/>
      <c r="P1045" s="24"/>
      <c r="Q1045" s="24"/>
      <c r="R1045" s="24"/>
      <c r="S1045" s="24"/>
      <c r="T1045" s="24"/>
      <c r="U1045" s="24"/>
      <c r="V1045" s="24"/>
      <c r="W1045" s="24"/>
      <c r="X1045" s="24"/>
      <c r="Y1045" s="24"/>
      <c r="Z1045" s="24"/>
      <c r="AA1045" s="24"/>
      <c r="AB1045" s="24"/>
      <c r="AC1045" s="24"/>
      <c r="AE1045" s="24"/>
      <c r="AF1045" s="24"/>
      <c r="AG1045" s="24"/>
      <c r="AH1045" s="24"/>
      <c r="AI1045" s="24"/>
      <c r="AJ1045" s="24"/>
      <c r="AK1045" s="24"/>
      <c r="AL1045" s="24"/>
      <c r="AM1045" s="24"/>
    </row>
    <row r="1046">
      <c r="A1046" s="11"/>
      <c r="B1046" s="23"/>
      <c r="C1046" s="23"/>
      <c r="D1046" s="23"/>
      <c r="E1046" s="23"/>
      <c r="F1046" s="1"/>
      <c r="G1046" s="23"/>
      <c r="H1046" s="23"/>
      <c r="I1046" s="23"/>
      <c r="J1046" s="2"/>
      <c r="M1046" s="40"/>
      <c r="N1046" s="2"/>
      <c r="O1046" s="24"/>
      <c r="P1046" s="24"/>
      <c r="Q1046" s="24"/>
      <c r="R1046" s="24"/>
      <c r="S1046" s="24"/>
      <c r="T1046" s="24"/>
      <c r="U1046" s="24"/>
      <c r="V1046" s="24"/>
      <c r="W1046" s="24"/>
      <c r="X1046" s="24"/>
      <c r="Y1046" s="24"/>
      <c r="Z1046" s="24"/>
      <c r="AA1046" s="24"/>
      <c r="AB1046" s="24"/>
      <c r="AC1046" s="24"/>
      <c r="AE1046" s="24"/>
      <c r="AF1046" s="24"/>
      <c r="AG1046" s="24"/>
      <c r="AH1046" s="24"/>
      <c r="AI1046" s="24"/>
      <c r="AJ1046" s="24"/>
      <c r="AK1046" s="24"/>
      <c r="AL1046" s="24"/>
      <c r="AM1046" s="24"/>
    </row>
    <row r="1047">
      <c r="A1047" s="11"/>
      <c r="B1047" s="23"/>
      <c r="C1047" s="23"/>
      <c r="D1047" s="23"/>
      <c r="E1047" s="23"/>
      <c r="F1047" s="1"/>
      <c r="G1047" s="23"/>
      <c r="H1047" s="23"/>
      <c r="I1047" s="23"/>
      <c r="J1047" s="2"/>
      <c r="M1047" s="40"/>
      <c r="N1047" s="2"/>
      <c r="O1047" s="24"/>
      <c r="P1047" s="24"/>
      <c r="Q1047" s="24"/>
      <c r="R1047" s="24"/>
      <c r="S1047" s="24"/>
      <c r="T1047" s="24"/>
      <c r="U1047" s="24"/>
      <c r="V1047" s="24"/>
      <c r="W1047" s="24"/>
      <c r="X1047" s="24"/>
      <c r="Y1047" s="24"/>
      <c r="Z1047" s="24"/>
      <c r="AA1047" s="24"/>
      <c r="AB1047" s="24"/>
      <c r="AC1047" s="24"/>
      <c r="AE1047" s="24"/>
      <c r="AF1047" s="24"/>
      <c r="AG1047" s="24"/>
      <c r="AH1047" s="24"/>
      <c r="AI1047" s="24"/>
      <c r="AJ1047" s="24"/>
      <c r="AK1047" s="24"/>
      <c r="AL1047" s="24"/>
      <c r="AM1047" s="24"/>
    </row>
    <row r="1048">
      <c r="A1048" s="11"/>
      <c r="B1048" s="23"/>
      <c r="C1048" s="23"/>
      <c r="D1048" s="23"/>
      <c r="E1048" s="23"/>
      <c r="F1048" s="1"/>
      <c r="G1048" s="23"/>
      <c r="H1048" s="23"/>
      <c r="I1048" s="23"/>
      <c r="J1048" s="2"/>
      <c r="M1048" s="40"/>
      <c r="N1048" s="2"/>
      <c r="O1048" s="24"/>
      <c r="P1048" s="24"/>
      <c r="Q1048" s="24"/>
      <c r="R1048" s="24"/>
      <c r="S1048" s="24"/>
      <c r="T1048" s="24"/>
      <c r="U1048" s="24"/>
      <c r="V1048" s="24"/>
      <c r="W1048" s="24"/>
      <c r="X1048" s="24"/>
      <c r="Y1048" s="24"/>
      <c r="Z1048" s="24"/>
      <c r="AA1048" s="24"/>
      <c r="AB1048" s="24"/>
      <c r="AC1048" s="24"/>
      <c r="AE1048" s="24"/>
      <c r="AF1048" s="24"/>
      <c r="AG1048" s="24"/>
      <c r="AH1048" s="24"/>
      <c r="AI1048" s="24"/>
      <c r="AJ1048" s="24"/>
      <c r="AK1048" s="24"/>
      <c r="AL1048" s="24"/>
      <c r="AM1048" s="24"/>
    </row>
    <row r="1049">
      <c r="A1049" s="11"/>
      <c r="B1049" s="23"/>
      <c r="C1049" s="23"/>
      <c r="D1049" s="23"/>
      <c r="E1049" s="23"/>
      <c r="F1049" s="1"/>
      <c r="G1049" s="23"/>
      <c r="H1049" s="23"/>
      <c r="I1049" s="23"/>
      <c r="J1049" s="2"/>
      <c r="M1049" s="40"/>
      <c r="N1049" s="2"/>
      <c r="O1049" s="24"/>
      <c r="P1049" s="24"/>
      <c r="Q1049" s="24"/>
      <c r="R1049" s="24"/>
      <c r="S1049" s="24"/>
      <c r="T1049" s="24"/>
      <c r="U1049" s="24"/>
      <c r="V1049" s="24"/>
      <c r="W1049" s="24"/>
      <c r="X1049" s="24"/>
      <c r="Y1049" s="24"/>
      <c r="Z1049" s="24"/>
      <c r="AA1049" s="24"/>
      <c r="AB1049" s="24"/>
      <c r="AC1049" s="24"/>
      <c r="AE1049" s="24"/>
      <c r="AF1049" s="24"/>
      <c r="AG1049" s="24"/>
      <c r="AH1049" s="24"/>
      <c r="AI1049" s="24"/>
      <c r="AJ1049" s="24"/>
      <c r="AK1049" s="24"/>
      <c r="AL1049" s="24"/>
      <c r="AM1049" s="24"/>
    </row>
    <row r="1050">
      <c r="A1050" s="11"/>
      <c r="B1050" s="23"/>
      <c r="C1050" s="23"/>
      <c r="D1050" s="23"/>
      <c r="E1050" s="23"/>
      <c r="F1050" s="1"/>
      <c r="G1050" s="23"/>
      <c r="H1050" s="23"/>
      <c r="I1050" s="23"/>
      <c r="J1050" s="2"/>
      <c r="M1050" s="40"/>
      <c r="N1050" s="2"/>
      <c r="O1050" s="24"/>
      <c r="P1050" s="24"/>
      <c r="Q1050" s="24"/>
      <c r="R1050" s="24"/>
      <c r="S1050" s="24"/>
      <c r="T1050" s="24"/>
      <c r="U1050" s="24"/>
      <c r="V1050" s="24"/>
      <c r="W1050" s="24"/>
      <c r="X1050" s="24"/>
      <c r="Y1050" s="24"/>
      <c r="Z1050" s="24"/>
      <c r="AA1050" s="24"/>
      <c r="AB1050" s="24"/>
      <c r="AC1050" s="24"/>
      <c r="AE1050" s="24"/>
      <c r="AF1050" s="24"/>
      <c r="AG1050" s="24"/>
      <c r="AH1050" s="24"/>
      <c r="AI1050" s="24"/>
      <c r="AJ1050" s="24"/>
      <c r="AK1050" s="24"/>
      <c r="AL1050" s="24"/>
      <c r="AM1050" s="24"/>
    </row>
    <row r="1051">
      <c r="A1051" s="11"/>
      <c r="B1051" s="23"/>
      <c r="C1051" s="23"/>
      <c r="D1051" s="23"/>
      <c r="E1051" s="23"/>
      <c r="F1051" s="1"/>
      <c r="G1051" s="23"/>
      <c r="H1051" s="23"/>
      <c r="I1051" s="23"/>
      <c r="J1051" s="2"/>
      <c r="M1051" s="40"/>
      <c r="N1051" s="2"/>
      <c r="O1051" s="24"/>
      <c r="P1051" s="24"/>
      <c r="Q1051" s="24"/>
      <c r="R1051" s="24"/>
      <c r="S1051" s="24"/>
      <c r="T1051" s="24"/>
      <c r="U1051" s="24"/>
      <c r="V1051" s="24"/>
      <c r="W1051" s="24"/>
      <c r="X1051" s="24"/>
      <c r="Y1051" s="24"/>
      <c r="Z1051" s="24"/>
      <c r="AA1051" s="24"/>
      <c r="AB1051" s="24"/>
      <c r="AC1051" s="24"/>
      <c r="AE1051" s="24"/>
      <c r="AF1051" s="24"/>
      <c r="AG1051" s="24"/>
      <c r="AH1051" s="24"/>
      <c r="AI1051" s="24"/>
      <c r="AJ1051" s="24"/>
      <c r="AK1051" s="24"/>
      <c r="AL1051" s="24"/>
      <c r="AM1051" s="24"/>
    </row>
    <row r="1052">
      <c r="A1052" s="11"/>
      <c r="B1052" s="23"/>
      <c r="C1052" s="23"/>
      <c r="D1052" s="23"/>
      <c r="E1052" s="23"/>
      <c r="F1052" s="1"/>
      <c r="G1052" s="23"/>
      <c r="H1052" s="23"/>
      <c r="I1052" s="23"/>
      <c r="J1052" s="2"/>
      <c r="M1052" s="40"/>
      <c r="N1052" s="2"/>
      <c r="O1052" s="24"/>
      <c r="P1052" s="24"/>
      <c r="Q1052" s="24"/>
      <c r="R1052" s="24"/>
      <c r="S1052" s="24"/>
      <c r="T1052" s="24"/>
      <c r="U1052" s="24"/>
      <c r="V1052" s="24"/>
      <c r="W1052" s="24"/>
      <c r="X1052" s="24"/>
      <c r="Y1052" s="24"/>
      <c r="Z1052" s="24"/>
      <c r="AA1052" s="24"/>
      <c r="AB1052" s="24"/>
      <c r="AC1052" s="24"/>
      <c r="AE1052" s="24"/>
      <c r="AF1052" s="24"/>
      <c r="AG1052" s="24"/>
      <c r="AH1052" s="24"/>
      <c r="AI1052" s="24"/>
      <c r="AJ1052" s="24"/>
      <c r="AK1052" s="24"/>
      <c r="AL1052" s="24"/>
      <c r="AM1052" s="24"/>
    </row>
    <row r="1053">
      <c r="A1053" s="11"/>
      <c r="B1053" s="23"/>
      <c r="C1053" s="23"/>
      <c r="D1053" s="23"/>
      <c r="E1053" s="23"/>
      <c r="F1053" s="1"/>
      <c r="G1053" s="23"/>
      <c r="H1053" s="23"/>
      <c r="I1053" s="23"/>
      <c r="J1053" s="2"/>
      <c r="M1053" s="40"/>
      <c r="N1053" s="2"/>
      <c r="O1053" s="24"/>
      <c r="P1053" s="24"/>
      <c r="Q1053" s="24"/>
      <c r="R1053" s="24"/>
      <c r="S1053" s="24"/>
      <c r="T1053" s="24"/>
      <c r="U1053" s="24"/>
      <c r="V1053" s="24"/>
      <c r="W1053" s="24"/>
      <c r="X1053" s="24"/>
      <c r="Y1053" s="24"/>
      <c r="Z1053" s="24"/>
      <c r="AA1053" s="24"/>
      <c r="AB1053" s="24"/>
      <c r="AC1053" s="24"/>
      <c r="AE1053" s="24"/>
      <c r="AF1053" s="24"/>
      <c r="AG1053" s="24"/>
      <c r="AH1053" s="24"/>
      <c r="AI1053" s="24"/>
      <c r="AJ1053" s="24"/>
      <c r="AK1053" s="24"/>
      <c r="AL1053" s="24"/>
      <c r="AM1053" s="24"/>
    </row>
    <row r="1054">
      <c r="A1054" s="11"/>
      <c r="B1054" s="23"/>
      <c r="C1054" s="23"/>
      <c r="D1054" s="23"/>
      <c r="E1054" s="23"/>
      <c r="F1054" s="1"/>
      <c r="G1054" s="23"/>
      <c r="H1054" s="23"/>
      <c r="I1054" s="23"/>
      <c r="J1054" s="2"/>
      <c r="M1054" s="40"/>
      <c r="N1054" s="2"/>
      <c r="O1054" s="24"/>
      <c r="P1054" s="24"/>
      <c r="Q1054" s="24"/>
      <c r="R1054" s="24"/>
      <c r="S1054" s="24"/>
      <c r="T1054" s="24"/>
      <c r="U1054" s="24"/>
      <c r="V1054" s="24"/>
      <c r="W1054" s="24"/>
      <c r="X1054" s="24"/>
      <c r="Y1054" s="24"/>
      <c r="Z1054" s="24"/>
      <c r="AA1054" s="24"/>
      <c r="AB1054" s="24"/>
      <c r="AC1054" s="24"/>
      <c r="AE1054" s="24"/>
      <c r="AF1054" s="24"/>
      <c r="AG1054" s="24"/>
      <c r="AH1054" s="24"/>
      <c r="AI1054" s="24"/>
      <c r="AJ1054" s="24"/>
      <c r="AK1054" s="24"/>
      <c r="AL1054" s="24"/>
      <c r="AM1054" s="24"/>
    </row>
    <row r="1055">
      <c r="A1055" s="11"/>
      <c r="B1055" s="23"/>
      <c r="C1055" s="23"/>
      <c r="D1055" s="23"/>
      <c r="E1055" s="23"/>
      <c r="F1055" s="1"/>
      <c r="G1055" s="23"/>
      <c r="H1055" s="23"/>
      <c r="I1055" s="23"/>
      <c r="J1055" s="2"/>
      <c r="M1055" s="40"/>
      <c r="N1055" s="2"/>
      <c r="O1055" s="24"/>
      <c r="P1055" s="24"/>
      <c r="Q1055" s="24"/>
      <c r="R1055" s="24"/>
      <c r="S1055" s="24"/>
      <c r="T1055" s="24"/>
      <c r="U1055" s="24"/>
      <c r="V1055" s="24"/>
      <c r="W1055" s="24"/>
      <c r="X1055" s="24"/>
      <c r="Y1055" s="24"/>
      <c r="Z1055" s="24"/>
      <c r="AA1055" s="24"/>
      <c r="AB1055" s="24"/>
      <c r="AC1055" s="24"/>
      <c r="AE1055" s="24"/>
      <c r="AF1055" s="24"/>
      <c r="AG1055" s="24"/>
      <c r="AH1055" s="24"/>
      <c r="AI1055" s="24"/>
      <c r="AJ1055" s="24"/>
      <c r="AK1055" s="24"/>
      <c r="AL1055" s="24"/>
      <c r="AM1055" s="24"/>
    </row>
    <row r="1056">
      <c r="A1056" s="11"/>
      <c r="B1056" s="23"/>
      <c r="C1056" s="23"/>
      <c r="D1056" s="23"/>
      <c r="E1056" s="23"/>
      <c r="F1056" s="1"/>
      <c r="G1056" s="23"/>
      <c r="H1056" s="23"/>
      <c r="I1056" s="23"/>
      <c r="J1056" s="2"/>
      <c r="M1056" s="40"/>
      <c r="N1056" s="2"/>
      <c r="O1056" s="24"/>
      <c r="P1056" s="24"/>
      <c r="Q1056" s="24"/>
      <c r="R1056" s="24"/>
      <c r="S1056" s="24"/>
      <c r="T1056" s="24"/>
      <c r="U1056" s="24"/>
      <c r="V1056" s="24"/>
      <c r="W1056" s="24"/>
      <c r="X1056" s="24"/>
      <c r="Y1056" s="24"/>
      <c r="Z1056" s="24"/>
      <c r="AA1056" s="24"/>
      <c r="AB1056" s="24"/>
      <c r="AC1056" s="24"/>
      <c r="AE1056" s="24"/>
      <c r="AF1056" s="24"/>
      <c r="AG1056" s="24"/>
      <c r="AH1056" s="24"/>
      <c r="AI1056" s="24"/>
      <c r="AJ1056" s="24"/>
      <c r="AK1056" s="24"/>
      <c r="AL1056" s="24"/>
      <c r="AM1056" s="24"/>
    </row>
    <row r="1057">
      <c r="A1057" s="11"/>
      <c r="B1057" s="23"/>
      <c r="C1057" s="23"/>
      <c r="D1057" s="23"/>
      <c r="E1057" s="23"/>
      <c r="F1057" s="1"/>
      <c r="G1057" s="23"/>
      <c r="H1057" s="23"/>
      <c r="I1057" s="23"/>
      <c r="J1057" s="2"/>
      <c r="M1057" s="40"/>
      <c r="N1057" s="2"/>
      <c r="O1057" s="24"/>
      <c r="P1057" s="24"/>
      <c r="Q1057" s="24"/>
      <c r="R1057" s="24"/>
      <c r="S1057" s="24"/>
      <c r="T1057" s="24"/>
      <c r="U1057" s="24"/>
      <c r="V1057" s="24"/>
      <c r="W1057" s="24"/>
      <c r="X1057" s="24"/>
      <c r="Y1057" s="24"/>
      <c r="Z1057" s="24"/>
      <c r="AA1057" s="24"/>
      <c r="AB1057" s="24"/>
      <c r="AC1057" s="24"/>
      <c r="AE1057" s="24"/>
      <c r="AF1057" s="24"/>
      <c r="AG1057" s="24"/>
      <c r="AH1057" s="24"/>
      <c r="AI1057" s="24"/>
      <c r="AJ1057" s="24"/>
      <c r="AK1057" s="24"/>
      <c r="AL1057" s="24"/>
      <c r="AM1057" s="24"/>
    </row>
    <row r="1058">
      <c r="A1058" s="11"/>
      <c r="B1058" s="23"/>
      <c r="C1058" s="23"/>
      <c r="D1058" s="23"/>
      <c r="E1058" s="23"/>
      <c r="F1058" s="1"/>
      <c r="G1058" s="23"/>
      <c r="H1058" s="23"/>
      <c r="I1058" s="23"/>
      <c r="J1058" s="2"/>
      <c r="M1058" s="40"/>
      <c r="N1058" s="2"/>
      <c r="O1058" s="24"/>
      <c r="P1058" s="24"/>
      <c r="Q1058" s="24"/>
      <c r="R1058" s="24"/>
      <c r="S1058" s="24"/>
      <c r="T1058" s="24"/>
      <c r="U1058" s="24"/>
      <c r="V1058" s="24"/>
      <c r="W1058" s="24"/>
      <c r="X1058" s="24"/>
      <c r="Y1058" s="24"/>
      <c r="Z1058" s="24"/>
      <c r="AA1058" s="24"/>
      <c r="AB1058" s="24"/>
      <c r="AC1058" s="24"/>
      <c r="AE1058" s="24"/>
      <c r="AF1058" s="24"/>
      <c r="AG1058" s="24"/>
      <c r="AH1058" s="24"/>
      <c r="AI1058" s="24"/>
      <c r="AJ1058" s="24"/>
      <c r="AK1058" s="24"/>
      <c r="AL1058" s="24"/>
      <c r="AM1058" s="24"/>
    </row>
    <row r="1059">
      <c r="A1059" s="11"/>
      <c r="B1059" s="23"/>
      <c r="C1059" s="23"/>
      <c r="D1059" s="23"/>
      <c r="E1059" s="23"/>
      <c r="F1059" s="1"/>
      <c r="G1059" s="23"/>
      <c r="H1059" s="23"/>
      <c r="I1059" s="23"/>
      <c r="J1059" s="2"/>
      <c r="M1059" s="40"/>
      <c r="N1059" s="2"/>
      <c r="O1059" s="24"/>
      <c r="P1059" s="24"/>
      <c r="Q1059" s="24"/>
      <c r="R1059" s="24"/>
      <c r="S1059" s="24"/>
      <c r="T1059" s="24"/>
      <c r="U1059" s="24"/>
      <c r="V1059" s="24"/>
      <c r="W1059" s="24"/>
      <c r="X1059" s="24"/>
      <c r="Y1059" s="24"/>
      <c r="Z1059" s="24"/>
      <c r="AA1059" s="24"/>
      <c r="AB1059" s="24"/>
      <c r="AC1059" s="24"/>
      <c r="AE1059" s="24"/>
      <c r="AF1059" s="24"/>
      <c r="AG1059" s="24"/>
      <c r="AH1059" s="24"/>
      <c r="AI1059" s="24"/>
      <c r="AJ1059" s="24"/>
      <c r="AK1059" s="24"/>
      <c r="AL1059" s="24"/>
      <c r="AM1059" s="24"/>
    </row>
    <row r="1060">
      <c r="A1060" s="11"/>
      <c r="B1060" s="23"/>
      <c r="C1060" s="23"/>
      <c r="D1060" s="23"/>
      <c r="E1060" s="23"/>
      <c r="F1060" s="1"/>
      <c r="G1060" s="23"/>
      <c r="H1060" s="23"/>
      <c r="I1060" s="23"/>
      <c r="J1060" s="2"/>
      <c r="M1060" s="40"/>
      <c r="N1060" s="2"/>
      <c r="O1060" s="24"/>
      <c r="P1060" s="24"/>
      <c r="Q1060" s="24"/>
      <c r="R1060" s="24"/>
      <c r="S1060" s="24"/>
      <c r="T1060" s="24"/>
      <c r="U1060" s="24"/>
      <c r="V1060" s="24"/>
      <c r="W1060" s="24"/>
      <c r="X1060" s="24"/>
      <c r="Y1060" s="24"/>
      <c r="Z1060" s="24"/>
      <c r="AA1060" s="24"/>
      <c r="AB1060" s="24"/>
      <c r="AC1060" s="24"/>
      <c r="AE1060" s="24"/>
      <c r="AF1060" s="24"/>
      <c r="AG1060" s="24"/>
      <c r="AH1060" s="24"/>
      <c r="AI1060" s="24"/>
      <c r="AJ1060" s="24"/>
      <c r="AK1060" s="24"/>
      <c r="AL1060" s="24"/>
      <c r="AM1060" s="24"/>
    </row>
    <row r="1061">
      <c r="A1061" s="11"/>
      <c r="B1061" s="23"/>
      <c r="C1061" s="23"/>
      <c r="D1061" s="23"/>
      <c r="E1061" s="23"/>
      <c r="F1061" s="1"/>
      <c r="G1061" s="23"/>
      <c r="H1061" s="23"/>
      <c r="I1061" s="23"/>
      <c r="J1061" s="2"/>
      <c r="M1061" s="40"/>
      <c r="N1061" s="2"/>
      <c r="O1061" s="24"/>
      <c r="P1061" s="24"/>
      <c r="Q1061" s="24"/>
      <c r="R1061" s="24"/>
      <c r="S1061" s="24"/>
      <c r="T1061" s="24"/>
      <c r="U1061" s="24"/>
      <c r="V1061" s="24"/>
      <c r="W1061" s="24"/>
      <c r="X1061" s="24"/>
      <c r="Y1061" s="24"/>
      <c r="Z1061" s="24"/>
      <c r="AA1061" s="24"/>
      <c r="AB1061" s="24"/>
      <c r="AC1061" s="24"/>
      <c r="AE1061" s="24"/>
      <c r="AF1061" s="24"/>
      <c r="AG1061" s="24"/>
      <c r="AH1061" s="24"/>
      <c r="AI1061" s="24"/>
      <c r="AJ1061" s="24"/>
      <c r="AK1061" s="24"/>
      <c r="AL1061" s="24"/>
      <c r="AM1061" s="24"/>
    </row>
    <row r="1062">
      <c r="A1062" s="11"/>
      <c r="B1062" s="23"/>
      <c r="C1062" s="23"/>
      <c r="D1062" s="23"/>
      <c r="E1062" s="23"/>
      <c r="F1062" s="1"/>
      <c r="G1062" s="23"/>
      <c r="H1062" s="23"/>
      <c r="I1062" s="23"/>
      <c r="J1062" s="2"/>
      <c r="M1062" s="40"/>
      <c r="N1062" s="2"/>
      <c r="O1062" s="24"/>
      <c r="P1062" s="24"/>
      <c r="Q1062" s="24"/>
      <c r="R1062" s="24"/>
      <c r="S1062" s="24"/>
      <c r="T1062" s="24"/>
      <c r="U1062" s="24"/>
      <c r="V1062" s="24"/>
      <c r="W1062" s="24"/>
      <c r="X1062" s="24"/>
      <c r="Y1062" s="24"/>
      <c r="Z1062" s="24"/>
      <c r="AA1062" s="24"/>
      <c r="AB1062" s="24"/>
      <c r="AC1062" s="24"/>
      <c r="AE1062" s="24"/>
      <c r="AF1062" s="24"/>
      <c r="AG1062" s="24"/>
      <c r="AH1062" s="24"/>
      <c r="AI1062" s="24"/>
      <c r="AJ1062" s="24"/>
      <c r="AK1062" s="24"/>
      <c r="AL1062" s="24"/>
      <c r="AM1062" s="24"/>
    </row>
    <row r="1063">
      <c r="A1063" s="11"/>
      <c r="B1063" s="23"/>
      <c r="C1063" s="23"/>
      <c r="D1063" s="23"/>
      <c r="E1063" s="23"/>
      <c r="F1063" s="1"/>
      <c r="G1063" s="23"/>
      <c r="H1063" s="23"/>
      <c r="I1063" s="23"/>
      <c r="J1063" s="2"/>
      <c r="M1063" s="40"/>
      <c r="N1063" s="2"/>
      <c r="O1063" s="24"/>
      <c r="P1063" s="24"/>
      <c r="Q1063" s="24"/>
      <c r="R1063" s="24"/>
      <c r="S1063" s="24"/>
      <c r="T1063" s="24"/>
      <c r="U1063" s="24"/>
      <c r="V1063" s="24"/>
      <c r="W1063" s="24"/>
      <c r="X1063" s="24"/>
      <c r="Y1063" s="24"/>
      <c r="Z1063" s="24"/>
      <c r="AA1063" s="24"/>
      <c r="AB1063" s="24"/>
      <c r="AC1063" s="24"/>
      <c r="AE1063" s="24"/>
      <c r="AF1063" s="24"/>
      <c r="AG1063" s="24"/>
      <c r="AH1063" s="24"/>
      <c r="AI1063" s="24"/>
      <c r="AJ1063" s="24"/>
      <c r="AK1063" s="24"/>
      <c r="AL1063" s="24"/>
      <c r="AM1063" s="24"/>
    </row>
    <row r="1064">
      <c r="A1064" s="11"/>
      <c r="B1064" s="23"/>
      <c r="C1064" s="23"/>
      <c r="D1064" s="23"/>
      <c r="E1064" s="23"/>
      <c r="F1064" s="1"/>
      <c r="G1064" s="23"/>
      <c r="H1064" s="23"/>
      <c r="I1064" s="23"/>
      <c r="J1064" s="2"/>
      <c r="M1064" s="40"/>
      <c r="N1064" s="2"/>
      <c r="O1064" s="24"/>
      <c r="P1064" s="24"/>
      <c r="Q1064" s="24"/>
      <c r="R1064" s="24"/>
      <c r="S1064" s="24"/>
      <c r="T1064" s="24"/>
      <c r="U1064" s="24"/>
      <c r="V1064" s="24"/>
      <c r="W1064" s="24"/>
      <c r="X1064" s="24"/>
      <c r="Y1064" s="24"/>
      <c r="Z1064" s="24"/>
      <c r="AA1064" s="24"/>
      <c r="AB1064" s="24"/>
      <c r="AC1064" s="24"/>
      <c r="AE1064" s="24"/>
      <c r="AF1064" s="24"/>
      <c r="AG1064" s="24"/>
      <c r="AH1064" s="24"/>
      <c r="AI1064" s="24"/>
      <c r="AJ1064" s="24"/>
      <c r="AK1064" s="24"/>
      <c r="AL1064" s="24"/>
      <c r="AM1064" s="24"/>
    </row>
    <row r="1065">
      <c r="A1065" s="11"/>
      <c r="B1065" s="23"/>
      <c r="C1065" s="23"/>
      <c r="D1065" s="23"/>
      <c r="E1065" s="23"/>
      <c r="F1065" s="1"/>
      <c r="G1065" s="23"/>
      <c r="H1065" s="23"/>
      <c r="I1065" s="23"/>
      <c r="J1065" s="2"/>
      <c r="M1065" s="40"/>
      <c r="N1065" s="2"/>
      <c r="O1065" s="24"/>
      <c r="P1065" s="24"/>
      <c r="Q1065" s="24"/>
      <c r="R1065" s="24"/>
      <c r="S1065" s="24"/>
      <c r="T1065" s="24"/>
      <c r="U1065" s="24"/>
      <c r="V1065" s="24"/>
      <c r="W1065" s="24"/>
      <c r="X1065" s="24"/>
      <c r="Y1065" s="24"/>
      <c r="Z1065" s="24"/>
      <c r="AA1065" s="24"/>
      <c r="AB1065" s="24"/>
      <c r="AC1065" s="24"/>
      <c r="AE1065" s="24"/>
      <c r="AF1065" s="24"/>
      <c r="AG1065" s="24"/>
      <c r="AH1065" s="24"/>
      <c r="AI1065" s="24"/>
      <c r="AJ1065" s="24"/>
      <c r="AK1065" s="24"/>
      <c r="AL1065" s="24"/>
      <c r="AM1065" s="24"/>
    </row>
    <row r="1066">
      <c r="A1066" s="11"/>
      <c r="B1066" s="23"/>
      <c r="C1066" s="23"/>
      <c r="D1066" s="23"/>
      <c r="E1066" s="23"/>
      <c r="F1066" s="1"/>
      <c r="G1066" s="23"/>
      <c r="H1066" s="23"/>
      <c r="I1066" s="23"/>
      <c r="J1066" s="2"/>
      <c r="M1066" s="40"/>
      <c r="N1066" s="2"/>
      <c r="O1066" s="24"/>
      <c r="P1066" s="24"/>
      <c r="Q1066" s="24"/>
      <c r="R1066" s="24"/>
      <c r="S1066" s="24"/>
      <c r="T1066" s="24"/>
      <c r="U1066" s="24"/>
      <c r="V1066" s="24"/>
      <c r="W1066" s="24"/>
      <c r="X1066" s="24"/>
      <c r="Y1066" s="24"/>
      <c r="Z1066" s="24"/>
      <c r="AA1066" s="24"/>
      <c r="AB1066" s="24"/>
      <c r="AC1066" s="24"/>
      <c r="AE1066" s="24"/>
      <c r="AF1066" s="24"/>
      <c r="AG1066" s="24"/>
      <c r="AH1066" s="24"/>
      <c r="AI1066" s="24"/>
      <c r="AJ1066" s="24"/>
      <c r="AK1066" s="24"/>
      <c r="AL1066" s="24"/>
      <c r="AM1066" s="24"/>
    </row>
    <row r="1067">
      <c r="A1067" s="11"/>
      <c r="B1067" s="23"/>
      <c r="C1067" s="23"/>
      <c r="D1067" s="23"/>
      <c r="E1067" s="23"/>
      <c r="F1067" s="1"/>
      <c r="G1067" s="23"/>
      <c r="H1067" s="23"/>
      <c r="I1067" s="23"/>
      <c r="J1067" s="2"/>
      <c r="M1067" s="40"/>
      <c r="N1067" s="2"/>
      <c r="O1067" s="24"/>
      <c r="P1067" s="24"/>
      <c r="Q1067" s="24"/>
      <c r="R1067" s="24"/>
      <c r="S1067" s="24"/>
      <c r="T1067" s="24"/>
      <c r="U1067" s="24"/>
      <c r="V1067" s="24"/>
      <c r="W1067" s="24"/>
      <c r="X1067" s="24"/>
      <c r="Y1067" s="24"/>
      <c r="Z1067" s="24"/>
      <c r="AA1067" s="24"/>
      <c r="AB1067" s="24"/>
      <c r="AC1067" s="24"/>
      <c r="AE1067" s="24"/>
      <c r="AF1067" s="24"/>
      <c r="AG1067" s="24"/>
      <c r="AH1067" s="24"/>
      <c r="AI1067" s="24"/>
      <c r="AJ1067" s="24"/>
      <c r="AK1067" s="24"/>
      <c r="AL1067" s="24"/>
      <c r="AM1067" s="24"/>
    </row>
    <row r="1068">
      <c r="A1068" s="11"/>
      <c r="B1068" s="23"/>
      <c r="C1068" s="23"/>
      <c r="D1068" s="23"/>
      <c r="E1068" s="23"/>
      <c r="F1068" s="1"/>
      <c r="G1068" s="23"/>
      <c r="H1068" s="23"/>
      <c r="I1068" s="23"/>
      <c r="J1068" s="2"/>
      <c r="M1068" s="40"/>
      <c r="N1068" s="2"/>
      <c r="O1068" s="24"/>
      <c r="P1068" s="24"/>
      <c r="Q1068" s="24"/>
      <c r="R1068" s="24"/>
      <c r="S1068" s="24"/>
      <c r="T1068" s="24"/>
      <c r="U1068" s="24"/>
      <c r="V1068" s="24"/>
      <c r="W1068" s="24"/>
      <c r="X1068" s="24"/>
      <c r="Y1068" s="24"/>
      <c r="Z1068" s="24"/>
      <c r="AA1068" s="24"/>
      <c r="AB1068" s="24"/>
      <c r="AC1068" s="24"/>
      <c r="AE1068" s="24"/>
      <c r="AF1068" s="24"/>
      <c r="AG1068" s="24"/>
      <c r="AH1068" s="24"/>
      <c r="AI1068" s="24"/>
      <c r="AJ1068" s="24"/>
      <c r="AK1068" s="24"/>
      <c r="AL1068" s="24"/>
      <c r="AM1068" s="24"/>
    </row>
    <row r="1069">
      <c r="A1069" s="11"/>
      <c r="B1069" s="23"/>
      <c r="C1069" s="23"/>
      <c r="D1069" s="23"/>
      <c r="E1069" s="23"/>
      <c r="F1069" s="1"/>
      <c r="G1069" s="23"/>
      <c r="H1069" s="23"/>
      <c r="I1069" s="23"/>
      <c r="J1069" s="2"/>
      <c r="M1069" s="40"/>
      <c r="N1069" s="2"/>
      <c r="O1069" s="24"/>
      <c r="P1069" s="24"/>
      <c r="Q1069" s="24"/>
      <c r="R1069" s="24"/>
      <c r="S1069" s="24"/>
      <c r="T1069" s="24"/>
      <c r="U1069" s="24"/>
      <c r="V1069" s="24"/>
      <c r="W1069" s="24"/>
      <c r="X1069" s="24"/>
      <c r="Y1069" s="24"/>
      <c r="Z1069" s="24"/>
      <c r="AA1069" s="24"/>
      <c r="AB1069" s="24"/>
      <c r="AC1069" s="24"/>
      <c r="AE1069" s="24"/>
      <c r="AF1069" s="24"/>
      <c r="AG1069" s="24"/>
      <c r="AH1069" s="24"/>
      <c r="AI1069" s="24"/>
      <c r="AJ1069" s="24"/>
      <c r="AK1069" s="24"/>
      <c r="AL1069" s="24"/>
      <c r="AM1069" s="24"/>
    </row>
    <row r="1070">
      <c r="A1070" s="11"/>
      <c r="B1070" s="23"/>
      <c r="C1070" s="23"/>
      <c r="D1070" s="23"/>
      <c r="E1070" s="23"/>
      <c r="F1070" s="1"/>
      <c r="G1070" s="23"/>
      <c r="H1070" s="23"/>
      <c r="I1070" s="23"/>
      <c r="J1070" s="2"/>
      <c r="M1070" s="40"/>
      <c r="N1070" s="2"/>
      <c r="O1070" s="24"/>
      <c r="P1070" s="24"/>
      <c r="Q1070" s="24"/>
      <c r="R1070" s="24"/>
      <c r="S1070" s="24"/>
      <c r="T1070" s="24"/>
      <c r="U1070" s="24"/>
      <c r="V1070" s="24"/>
      <c r="W1070" s="24"/>
      <c r="X1070" s="24"/>
      <c r="Y1070" s="24"/>
      <c r="Z1070" s="24"/>
      <c r="AA1070" s="24"/>
      <c r="AB1070" s="24"/>
      <c r="AC1070" s="24"/>
      <c r="AE1070" s="24"/>
      <c r="AF1070" s="24"/>
      <c r="AG1070" s="24"/>
      <c r="AH1070" s="24"/>
      <c r="AI1070" s="24"/>
      <c r="AJ1070" s="24"/>
      <c r="AK1070" s="24"/>
      <c r="AL1070" s="24"/>
      <c r="AM1070" s="24"/>
    </row>
    <row r="1071">
      <c r="A1071" s="11"/>
      <c r="B1071" s="23"/>
      <c r="C1071" s="23"/>
      <c r="D1071" s="23"/>
      <c r="E1071" s="23"/>
      <c r="F1071" s="1"/>
      <c r="G1071" s="23"/>
      <c r="H1071" s="23"/>
      <c r="I1071" s="23"/>
      <c r="J1071" s="2"/>
      <c r="M1071" s="40"/>
      <c r="N1071" s="2"/>
      <c r="O1071" s="24"/>
      <c r="P1071" s="24"/>
      <c r="Q1071" s="24"/>
      <c r="R1071" s="24"/>
      <c r="S1071" s="24"/>
      <c r="T1071" s="24"/>
      <c r="U1071" s="24"/>
      <c r="V1071" s="24"/>
      <c r="W1071" s="24"/>
      <c r="X1071" s="24"/>
      <c r="Y1071" s="24"/>
      <c r="Z1071" s="24"/>
      <c r="AA1071" s="24"/>
      <c r="AB1071" s="24"/>
      <c r="AC1071" s="24"/>
      <c r="AE1071" s="24"/>
      <c r="AF1071" s="24"/>
      <c r="AG1071" s="24"/>
      <c r="AH1071" s="24"/>
      <c r="AI1071" s="24"/>
      <c r="AJ1071" s="24"/>
      <c r="AK1071" s="24"/>
      <c r="AL1071" s="24"/>
      <c r="AM1071" s="24"/>
    </row>
    <row r="1072">
      <c r="A1072" s="11"/>
      <c r="B1072" s="23"/>
      <c r="C1072" s="23"/>
      <c r="D1072" s="23"/>
      <c r="E1072" s="23"/>
      <c r="F1072" s="1"/>
      <c r="G1072" s="23"/>
      <c r="H1072" s="23"/>
      <c r="I1072" s="23"/>
      <c r="J1072" s="2"/>
      <c r="M1072" s="40"/>
      <c r="N1072" s="2"/>
      <c r="O1072" s="24"/>
      <c r="P1072" s="24"/>
      <c r="Q1072" s="24"/>
      <c r="R1072" s="24"/>
      <c r="S1072" s="24"/>
      <c r="T1072" s="24"/>
      <c r="U1072" s="24"/>
      <c r="V1072" s="24"/>
      <c r="W1072" s="24"/>
      <c r="X1072" s="24"/>
      <c r="Y1072" s="24"/>
      <c r="Z1072" s="24"/>
      <c r="AA1072" s="24"/>
      <c r="AB1072" s="24"/>
      <c r="AC1072" s="24"/>
      <c r="AE1072" s="24"/>
      <c r="AF1072" s="24"/>
      <c r="AG1072" s="24"/>
      <c r="AH1072" s="24"/>
      <c r="AI1072" s="24"/>
      <c r="AJ1072" s="24"/>
      <c r="AK1072" s="24"/>
      <c r="AL1072" s="24"/>
      <c r="AM1072" s="24"/>
    </row>
    <row r="1073">
      <c r="A1073" s="11"/>
      <c r="B1073" s="23"/>
      <c r="C1073" s="23"/>
      <c r="D1073" s="23"/>
      <c r="E1073" s="23"/>
      <c r="F1073" s="1"/>
      <c r="G1073" s="23"/>
      <c r="H1073" s="23"/>
      <c r="I1073" s="23"/>
      <c r="J1073" s="2"/>
      <c r="M1073" s="40"/>
      <c r="N1073" s="2"/>
      <c r="O1073" s="24"/>
      <c r="P1073" s="24"/>
      <c r="Q1073" s="24"/>
      <c r="R1073" s="24"/>
      <c r="S1073" s="24"/>
      <c r="T1073" s="24"/>
      <c r="U1073" s="24"/>
      <c r="V1073" s="24"/>
      <c r="W1073" s="24"/>
      <c r="X1073" s="24"/>
      <c r="Y1073" s="24"/>
      <c r="Z1073" s="24"/>
      <c r="AA1073" s="24"/>
      <c r="AB1073" s="24"/>
      <c r="AC1073" s="24"/>
      <c r="AE1073" s="24"/>
      <c r="AF1073" s="24"/>
      <c r="AG1073" s="24"/>
      <c r="AH1073" s="24"/>
      <c r="AI1073" s="24"/>
      <c r="AJ1073" s="24"/>
      <c r="AK1073" s="24"/>
      <c r="AL1073" s="24"/>
      <c r="AM1073" s="24"/>
    </row>
    <row r="1074">
      <c r="A1074" s="11"/>
      <c r="B1074" s="23"/>
      <c r="C1074" s="23"/>
      <c r="D1074" s="23"/>
      <c r="E1074" s="23"/>
      <c r="F1074" s="1"/>
      <c r="G1074" s="23"/>
      <c r="H1074" s="23"/>
      <c r="I1074" s="23"/>
      <c r="J1074" s="2"/>
      <c r="M1074" s="40"/>
      <c r="N1074" s="2"/>
      <c r="O1074" s="24"/>
      <c r="P1074" s="24"/>
      <c r="Q1074" s="24"/>
      <c r="R1074" s="24"/>
      <c r="S1074" s="24"/>
      <c r="T1074" s="24"/>
      <c r="U1074" s="24"/>
      <c r="V1074" s="24"/>
      <c r="W1074" s="24"/>
      <c r="X1074" s="24"/>
      <c r="Y1074" s="24"/>
      <c r="Z1074" s="24"/>
      <c r="AA1074" s="24"/>
      <c r="AB1074" s="24"/>
      <c r="AC1074" s="24"/>
      <c r="AE1074" s="24"/>
      <c r="AF1074" s="24"/>
      <c r="AG1074" s="24"/>
      <c r="AH1074" s="24"/>
      <c r="AI1074" s="24"/>
      <c r="AJ1074" s="24"/>
      <c r="AK1074" s="24"/>
      <c r="AL1074" s="24"/>
      <c r="AM1074" s="24"/>
    </row>
    <row r="1075">
      <c r="A1075" s="11"/>
      <c r="B1075" s="23"/>
      <c r="C1075" s="23"/>
      <c r="D1075" s="23"/>
      <c r="E1075" s="23"/>
      <c r="F1075" s="1"/>
      <c r="G1075" s="23"/>
      <c r="H1075" s="23"/>
      <c r="I1075" s="23"/>
      <c r="J1075" s="2"/>
      <c r="M1075" s="40"/>
      <c r="N1075" s="2"/>
      <c r="O1075" s="24"/>
      <c r="P1075" s="24"/>
      <c r="Q1075" s="24"/>
      <c r="R1075" s="24"/>
      <c r="S1075" s="24"/>
      <c r="T1075" s="24"/>
      <c r="U1075" s="24"/>
      <c r="V1075" s="24"/>
      <c r="W1075" s="24"/>
      <c r="X1075" s="24"/>
      <c r="Y1075" s="24"/>
      <c r="Z1075" s="24"/>
      <c r="AA1075" s="24"/>
      <c r="AB1075" s="24"/>
      <c r="AC1075" s="24"/>
      <c r="AE1075" s="24"/>
      <c r="AF1075" s="24"/>
      <c r="AG1075" s="24"/>
      <c r="AH1075" s="24"/>
      <c r="AI1075" s="24"/>
      <c r="AJ1075" s="24"/>
      <c r="AK1075" s="24"/>
      <c r="AL1075" s="24"/>
      <c r="AM1075" s="24"/>
    </row>
    <row r="1076">
      <c r="A1076" s="11"/>
      <c r="B1076" s="23"/>
      <c r="C1076" s="23"/>
      <c r="D1076" s="23"/>
      <c r="E1076" s="23"/>
      <c r="F1076" s="1"/>
      <c r="G1076" s="23"/>
      <c r="H1076" s="23"/>
      <c r="I1076" s="23"/>
      <c r="J1076" s="2"/>
      <c r="M1076" s="40"/>
      <c r="N1076" s="2"/>
      <c r="O1076" s="24"/>
      <c r="P1076" s="24"/>
      <c r="Q1076" s="24"/>
      <c r="R1076" s="24"/>
      <c r="S1076" s="24"/>
      <c r="T1076" s="24"/>
      <c r="U1076" s="24"/>
      <c r="V1076" s="24"/>
      <c r="W1076" s="24"/>
      <c r="X1076" s="24"/>
      <c r="Y1076" s="24"/>
      <c r="Z1076" s="24"/>
      <c r="AA1076" s="24"/>
      <c r="AB1076" s="24"/>
      <c r="AC1076" s="24"/>
      <c r="AE1076" s="24"/>
      <c r="AF1076" s="24"/>
      <c r="AG1076" s="24"/>
      <c r="AH1076" s="24"/>
      <c r="AI1076" s="24"/>
      <c r="AJ1076" s="24"/>
      <c r="AK1076" s="24"/>
      <c r="AL1076" s="24"/>
      <c r="AM1076" s="24"/>
    </row>
    <row r="1077">
      <c r="A1077" s="11"/>
      <c r="B1077" s="23"/>
      <c r="C1077" s="23"/>
      <c r="D1077" s="23"/>
      <c r="E1077" s="23"/>
      <c r="F1077" s="1"/>
      <c r="G1077" s="23"/>
      <c r="H1077" s="23"/>
      <c r="I1077" s="23"/>
      <c r="J1077" s="2"/>
      <c r="M1077" s="40"/>
      <c r="N1077" s="2"/>
      <c r="O1077" s="24"/>
      <c r="P1077" s="24"/>
      <c r="Q1077" s="24"/>
      <c r="R1077" s="24"/>
      <c r="S1077" s="24"/>
      <c r="T1077" s="24"/>
      <c r="U1077" s="24"/>
      <c r="V1077" s="24"/>
      <c r="W1077" s="24"/>
      <c r="X1077" s="24"/>
      <c r="Y1077" s="24"/>
      <c r="Z1077" s="24"/>
      <c r="AA1077" s="24"/>
      <c r="AB1077" s="24"/>
      <c r="AC1077" s="24"/>
      <c r="AE1077" s="24"/>
      <c r="AF1077" s="24"/>
      <c r="AG1077" s="24"/>
      <c r="AH1077" s="24"/>
      <c r="AI1077" s="24"/>
      <c r="AJ1077" s="24"/>
      <c r="AK1077" s="24"/>
      <c r="AL1077" s="24"/>
      <c r="AM1077" s="24"/>
    </row>
    <row r="1078">
      <c r="A1078" s="11"/>
      <c r="B1078" s="23"/>
      <c r="C1078" s="23"/>
      <c r="D1078" s="23"/>
      <c r="E1078" s="23"/>
      <c r="F1078" s="1"/>
      <c r="G1078" s="23"/>
      <c r="H1078" s="23"/>
      <c r="I1078" s="23"/>
      <c r="J1078" s="2"/>
      <c r="M1078" s="40"/>
      <c r="N1078" s="2"/>
      <c r="O1078" s="24"/>
      <c r="P1078" s="24"/>
      <c r="Q1078" s="24"/>
      <c r="R1078" s="24"/>
      <c r="S1078" s="24"/>
      <c r="T1078" s="24"/>
      <c r="U1078" s="24"/>
      <c r="V1078" s="24"/>
      <c r="W1078" s="24"/>
      <c r="X1078" s="24"/>
      <c r="Y1078" s="24"/>
      <c r="Z1078" s="24"/>
      <c r="AA1078" s="24"/>
      <c r="AB1078" s="24"/>
      <c r="AC1078" s="24"/>
      <c r="AE1078" s="24"/>
      <c r="AF1078" s="24"/>
      <c r="AG1078" s="24"/>
      <c r="AH1078" s="24"/>
      <c r="AI1078" s="24"/>
      <c r="AJ1078" s="24"/>
      <c r="AK1078" s="24"/>
      <c r="AL1078" s="24"/>
      <c r="AM1078" s="24"/>
    </row>
    <row r="1079">
      <c r="A1079" s="11"/>
      <c r="B1079" s="23"/>
      <c r="C1079" s="23"/>
      <c r="D1079" s="23"/>
      <c r="E1079" s="23"/>
      <c r="F1079" s="1"/>
      <c r="G1079" s="23"/>
      <c r="H1079" s="23"/>
      <c r="I1079" s="23"/>
      <c r="J1079" s="2"/>
      <c r="M1079" s="40"/>
      <c r="N1079" s="2"/>
      <c r="O1079" s="24"/>
      <c r="P1079" s="24"/>
      <c r="Q1079" s="24"/>
      <c r="R1079" s="24"/>
      <c r="S1079" s="24"/>
      <c r="T1079" s="24"/>
      <c r="U1079" s="24"/>
      <c r="V1079" s="24"/>
      <c r="W1079" s="24"/>
      <c r="X1079" s="24"/>
      <c r="Y1079" s="24"/>
      <c r="Z1079" s="24"/>
      <c r="AA1079" s="24"/>
      <c r="AB1079" s="24"/>
      <c r="AC1079" s="24"/>
      <c r="AE1079" s="24"/>
      <c r="AF1079" s="24"/>
      <c r="AG1079" s="24"/>
      <c r="AH1079" s="24"/>
      <c r="AI1079" s="24"/>
      <c r="AJ1079" s="24"/>
      <c r="AK1079" s="24"/>
      <c r="AL1079" s="24"/>
      <c r="AM1079" s="24"/>
    </row>
    <row r="1080">
      <c r="A1080" s="11"/>
      <c r="B1080" s="23"/>
      <c r="C1080" s="23"/>
      <c r="D1080" s="23"/>
      <c r="E1080" s="23"/>
      <c r="F1080" s="1"/>
      <c r="G1080" s="23"/>
      <c r="H1080" s="23"/>
      <c r="I1080" s="23"/>
      <c r="J1080" s="2"/>
      <c r="M1080" s="40"/>
      <c r="N1080" s="2"/>
      <c r="O1080" s="24"/>
      <c r="P1080" s="24"/>
      <c r="Q1080" s="24"/>
      <c r="R1080" s="24"/>
      <c r="S1080" s="24"/>
      <c r="T1080" s="24"/>
      <c r="U1080" s="24"/>
      <c r="V1080" s="24"/>
      <c r="W1080" s="24"/>
      <c r="X1080" s="24"/>
      <c r="Y1080" s="24"/>
      <c r="Z1080" s="24"/>
      <c r="AA1080" s="24"/>
      <c r="AB1080" s="24"/>
      <c r="AC1080" s="24"/>
      <c r="AE1080" s="24"/>
      <c r="AF1080" s="24"/>
      <c r="AG1080" s="24"/>
      <c r="AH1080" s="24"/>
      <c r="AI1080" s="24"/>
      <c r="AJ1080" s="24"/>
      <c r="AK1080" s="24"/>
      <c r="AL1080" s="24"/>
      <c r="AM1080" s="24"/>
    </row>
    <row r="1081">
      <c r="A1081" s="11"/>
      <c r="B1081" s="23"/>
      <c r="C1081" s="23"/>
      <c r="D1081" s="23"/>
      <c r="E1081" s="23"/>
      <c r="F1081" s="1"/>
      <c r="G1081" s="23"/>
      <c r="H1081" s="23"/>
      <c r="I1081" s="23"/>
      <c r="J1081" s="2"/>
      <c r="M1081" s="40"/>
      <c r="N1081" s="2"/>
      <c r="O1081" s="24"/>
      <c r="P1081" s="24"/>
      <c r="Q1081" s="24"/>
      <c r="R1081" s="24"/>
      <c r="S1081" s="24"/>
      <c r="T1081" s="24"/>
      <c r="U1081" s="24"/>
      <c r="V1081" s="24"/>
      <c r="W1081" s="24"/>
      <c r="X1081" s="24"/>
      <c r="Y1081" s="24"/>
      <c r="Z1081" s="24"/>
      <c r="AA1081" s="24"/>
      <c r="AB1081" s="24"/>
      <c r="AC1081" s="24"/>
      <c r="AE1081" s="24"/>
      <c r="AF1081" s="24"/>
      <c r="AG1081" s="24"/>
      <c r="AH1081" s="24"/>
      <c r="AI1081" s="24"/>
      <c r="AJ1081" s="24"/>
      <c r="AK1081" s="24"/>
      <c r="AL1081" s="24"/>
      <c r="AM1081" s="24"/>
    </row>
    <row r="1082">
      <c r="A1082" s="11"/>
      <c r="B1082" s="23"/>
      <c r="C1082" s="23"/>
      <c r="D1082" s="23"/>
      <c r="E1082" s="23"/>
      <c r="F1082" s="1"/>
      <c r="G1082" s="23"/>
      <c r="H1082" s="23"/>
      <c r="I1082" s="23"/>
      <c r="J1082" s="2"/>
      <c r="M1082" s="40"/>
      <c r="N1082" s="2"/>
      <c r="O1082" s="24"/>
      <c r="P1082" s="24"/>
      <c r="Q1082" s="24"/>
      <c r="R1082" s="24"/>
      <c r="S1082" s="24"/>
      <c r="T1082" s="24"/>
      <c r="U1082" s="24"/>
      <c r="V1082" s="24"/>
      <c r="W1082" s="24"/>
      <c r="X1082" s="24"/>
      <c r="Y1082" s="24"/>
      <c r="Z1082" s="24"/>
      <c r="AA1082" s="24"/>
      <c r="AB1082" s="24"/>
      <c r="AC1082" s="24"/>
      <c r="AE1082" s="24"/>
      <c r="AF1082" s="24"/>
      <c r="AG1082" s="24"/>
      <c r="AH1082" s="24"/>
      <c r="AI1082" s="24"/>
      <c r="AJ1082" s="24"/>
      <c r="AK1082" s="24"/>
      <c r="AL1082" s="24"/>
      <c r="AM1082" s="24"/>
    </row>
    <row r="1083">
      <c r="A1083" s="11"/>
      <c r="B1083" s="23"/>
      <c r="C1083" s="23"/>
      <c r="D1083" s="23"/>
      <c r="E1083" s="23"/>
      <c r="F1083" s="1"/>
      <c r="G1083" s="23"/>
      <c r="H1083" s="23"/>
      <c r="I1083" s="23"/>
      <c r="J1083" s="2"/>
      <c r="M1083" s="40"/>
      <c r="N1083" s="2"/>
      <c r="O1083" s="24"/>
      <c r="P1083" s="24"/>
      <c r="Q1083" s="24"/>
      <c r="R1083" s="24"/>
      <c r="S1083" s="24"/>
      <c r="T1083" s="24"/>
      <c r="U1083" s="24"/>
      <c r="V1083" s="24"/>
      <c r="W1083" s="24"/>
      <c r="X1083" s="24"/>
      <c r="Y1083" s="24"/>
      <c r="Z1083" s="24"/>
      <c r="AA1083" s="24"/>
      <c r="AB1083" s="24"/>
      <c r="AC1083" s="24"/>
      <c r="AE1083" s="24"/>
      <c r="AF1083" s="24"/>
      <c r="AG1083" s="24"/>
      <c r="AH1083" s="24"/>
      <c r="AI1083" s="24"/>
      <c r="AJ1083" s="24"/>
      <c r="AK1083" s="24"/>
      <c r="AL1083" s="24"/>
      <c r="AM1083" s="24"/>
    </row>
    <row r="1084">
      <c r="A1084" s="11"/>
      <c r="B1084" s="23"/>
      <c r="C1084" s="23"/>
      <c r="D1084" s="23"/>
      <c r="E1084" s="23"/>
      <c r="F1084" s="1"/>
      <c r="G1084" s="23"/>
      <c r="H1084" s="23"/>
      <c r="I1084" s="23"/>
      <c r="J1084" s="2"/>
      <c r="M1084" s="40"/>
      <c r="N1084" s="2"/>
      <c r="O1084" s="24"/>
      <c r="P1084" s="24"/>
      <c r="Q1084" s="24"/>
      <c r="R1084" s="24"/>
      <c r="S1084" s="24"/>
      <c r="T1084" s="24"/>
      <c r="U1084" s="24"/>
      <c r="V1084" s="24"/>
      <c r="W1084" s="24"/>
      <c r="X1084" s="24"/>
      <c r="Y1084" s="24"/>
      <c r="Z1084" s="24"/>
      <c r="AA1084" s="24"/>
      <c r="AB1084" s="24"/>
      <c r="AC1084" s="24"/>
      <c r="AE1084" s="24"/>
      <c r="AF1084" s="24"/>
      <c r="AG1084" s="24"/>
      <c r="AH1084" s="24"/>
      <c r="AI1084" s="24"/>
      <c r="AJ1084" s="24"/>
      <c r="AK1084" s="24"/>
      <c r="AL1084" s="24"/>
      <c r="AM1084" s="24"/>
    </row>
    <row r="1085">
      <c r="A1085" s="11"/>
      <c r="B1085" s="23"/>
      <c r="C1085" s="23"/>
      <c r="D1085" s="23"/>
      <c r="E1085" s="23"/>
      <c r="F1085" s="1"/>
      <c r="G1085" s="23"/>
      <c r="H1085" s="23"/>
      <c r="I1085" s="23"/>
      <c r="J1085" s="2"/>
      <c r="M1085" s="40"/>
      <c r="N1085" s="2"/>
      <c r="O1085" s="24"/>
      <c r="P1085" s="24"/>
      <c r="Q1085" s="24"/>
      <c r="R1085" s="24"/>
      <c r="S1085" s="24"/>
      <c r="T1085" s="24"/>
      <c r="U1085" s="24"/>
      <c r="V1085" s="24"/>
      <c r="W1085" s="24"/>
      <c r="X1085" s="24"/>
      <c r="Y1085" s="24"/>
      <c r="Z1085" s="24"/>
      <c r="AA1085" s="24"/>
      <c r="AB1085" s="24"/>
      <c r="AC1085" s="24"/>
      <c r="AE1085" s="24"/>
      <c r="AF1085" s="24"/>
      <c r="AG1085" s="24"/>
      <c r="AH1085" s="24"/>
      <c r="AI1085" s="24"/>
      <c r="AJ1085" s="24"/>
      <c r="AK1085" s="24"/>
      <c r="AL1085" s="24"/>
      <c r="AM1085" s="24"/>
    </row>
    <row r="1086">
      <c r="A1086" s="11"/>
      <c r="B1086" s="23"/>
      <c r="C1086" s="23"/>
      <c r="D1086" s="23"/>
      <c r="E1086" s="23"/>
      <c r="F1086" s="1"/>
      <c r="G1086" s="23"/>
      <c r="H1086" s="23"/>
      <c r="I1086" s="23"/>
      <c r="J1086" s="2"/>
      <c r="M1086" s="40"/>
      <c r="N1086" s="2"/>
      <c r="O1086" s="24"/>
      <c r="P1086" s="24"/>
      <c r="Q1086" s="24"/>
      <c r="R1086" s="24"/>
      <c r="S1086" s="24"/>
      <c r="T1086" s="24"/>
      <c r="U1086" s="24"/>
      <c r="V1086" s="24"/>
      <c r="W1086" s="24"/>
      <c r="X1086" s="24"/>
      <c r="Y1086" s="24"/>
      <c r="Z1086" s="24"/>
      <c r="AA1086" s="24"/>
      <c r="AB1086" s="24"/>
      <c r="AC1086" s="24"/>
      <c r="AE1086" s="24"/>
      <c r="AF1086" s="24"/>
      <c r="AG1086" s="24"/>
      <c r="AH1086" s="24"/>
      <c r="AI1086" s="24"/>
      <c r="AJ1086" s="24"/>
      <c r="AK1086" s="24"/>
      <c r="AL1086" s="24"/>
      <c r="AM1086" s="24"/>
    </row>
    <row r="1087">
      <c r="A1087" s="11"/>
      <c r="B1087" s="23"/>
      <c r="C1087" s="23"/>
      <c r="D1087" s="23"/>
      <c r="E1087" s="23"/>
      <c r="F1087" s="1"/>
      <c r="G1087" s="23"/>
      <c r="H1087" s="23"/>
      <c r="I1087" s="23"/>
      <c r="J1087" s="2"/>
      <c r="M1087" s="40"/>
      <c r="N1087" s="2"/>
      <c r="O1087" s="24"/>
      <c r="P1087" s="24"/>
      <c r="Q1087" s="24"/>
      <c r="R1087" s="24"/>
      <c r="S1087" s="24"/>
      <c r="T1087" s="24"/>
      <c r="U1087" s="24"/>
      <c r="V1087" s="24"/>
      <c r="W1087" s="24"/>
      <c r="X1087" s="24"/>
      <c r="Y1087" s="24"/>
      <c r="Z1087" s="24"/>
      <c r="AA1087" s="24"/>
      <c r="AB1087" s="24"/>
      <c r="AC1087" s="24"/>
      <c r="AE1087" s="24"/>
      <c r="AF1087" s="24"/>
      <c r="AG1087" s="24"/>
      <c r="AH1087" s="24"/>
      <c r="AI1087" s="24"/>
      <c r="AJ1087" s="24"/>
      <c r="AK1087" s="24"/>
      <c r="AL1087" s="24"/>
      <c r="AM1087" s="24"/>
    </row>
    <row r="1088">
      <c r="A1088" s="11"/>
      <c r="B1088" s="23"/>
      <c r="C1088" s="23"/>
      <c r="D1088" s="23"/>
      <c r="E1088" s="23"/>
      <c r="F1088" s="1"/>
      <c r="G1088" s="23"/>
      <c r="H1088" s="23"/>
      <c r="I1088" s="23"/>
      <c r="J1088" s="2"/>
      <c r="M1088" s="40"/>
      <c r="N1088" s="2"/>
      <c r="O1088" s="24"/>
      <c r="P1088" s="24"/>
      <c r="Q1088" s="24"/>
      <c r="R1088" s="24"/>
      <c r="S1088" s="24"/>
      <c r="T1088" s="24"/>
      <c r="U1088" s="24"/>
      <c r="V1088" s="24"/>
      <c r="W1088" s="24"/>
      <c r="X1088" s="24"/>
      <c r="Y1088" s="24"/>
      <c r="Z1088" s="24"/>
      <c r="AA1088" s="24"/>
      <c r="AB1088" s="24"/>
      <c r="AC1088" s="24"/>
      <c r="AE1088" s="24"/>
      <c r="AF1088" s="24"/>
      <c r="AG1088" s="24"/>
      <c r="AH1088" s="24"/>
      <c r="AI1088" s="24"/>
      <c r="AJ1088" s="24"/>
      <c r="AK1088" s="24"/>
      <c r="AL1088" s="24"/>
      <c r="AM1088" s="24"/>
    </row>
    <row r="1089">
      <c r="A1089" s="11"/>
      <c r="B1089" s="23"/>
      <c r="C1089" s="23"/>
      <c r="D1089" s="23"/>
      <c r="E1089" s="23"/>
      <c r="F1089" s="1"/>
      <c r="G1089" s="23"/>
      <c r="H1089" s="23"/>
      <c r="I1089" s="23"/>
      <c r="J1089" s="2"/>
      <c r="M1089" s="40"/>
      <c r="N1089" s="2"/>
      <c r="O1089" s="24"/>
      <c r="P1089" s="24"/>
      <c r="Q1089" s="24"/>
      <c r="R1089" s="24"/>
      <c r="S1089" s="24"/>
      <c r="T1089" s="24"/>
      <c r="U1089" s="24"/>
      <c r="V1089" s="24"/>
      <c r="W1089" s="24"/>
      <c r="X1089" s="24"/>
      <c r="Y1089" s="24"/>
      <c r="Z1089" s="24"/>
      <c r="AA1089" s="24"/>
      <c r="AB1089" s="24"/>
      <c r="AC1089" s="24"/>
      <c r="AE1089" s="24"/>
      <c r="AF1089" s="24"/>
      <c r="AG1089" s="24"/>
      <c r="AH1089" s="24"/>
      <c r="AI1089" s="24"/>
      <c r="AJ1089" s="24"/>
      <c r="AK1089" s="24"/>
      <c r="AL1089" s="24"/>
      <c r="AM1089" s="24"/>
    </row>
    <row r="1090">
      <c r="A1090" s="11"/>
      <c r="B1090" s="23"/>
      <c r="C1090" s="23"/>
      <c r="D1090" s="23"/>
      <c r="E1090" s="23"/>
      <c r="F1090" s="1"/>
      <c r="G1090" s="23"/>
      <c r="H1090" s="23"/>
      <c r="I1090" s="23"/>
      <c r="J1090" s="2"/>
      <c r="M1090" s="40"/>
      <c r="N1090" s="2"/>
      <c r="O1090" s="24"/>
      <c r="P1090" s="24"/>
      <c r="Q1090" s="24"/>
      <c r="R1090" s="24"/>
      <c r="S1090" s="24"/>
      <c r="T1090" s="24"/>
      <c r="U1090" s="24"/>
      <c r="V1090" s="24"/>
      <c r="W1090" s="24"/>
      <c r="X1090" s="24"/>
      <c r="Y1090" s="24"/>
      <c r="Z1090" s="24"/>
      <c r="AA1090" s="24"/>
      <c r="AB1090" s="24"/>
      <c r="AC1090" s="24"/>
      <c r="AE1090" s="24"/>
      <c r="AF1090" s="24"/>
      <c r="AG1090" s="24"/>
      <c r="AH1090" s="24"/>
      <c r="AI1090" s="24"/>
      <c r="AJ1090" s="24"/>
      <c r="AK1090" s="24"/>
      <c r="AL1090" s="24"/>
      <c r="AM1090" s="24"/>
    </row>
    <row r="1091">
      <c r="A1091" s="11"/>
      <c r="B1091" s="23"/>
      <c r="C1091" s="23"/>
      <c r="D1091" s="23"/>
      <c r="E1091" s="23"/>
      <c r="F1091" s="1"/>
      <c r="G1091" s="23"/>
      <c r="H1091" s="23"/>
      <c r="I1091" s="23"/>
      <c r="J1091" s="2"/>
      <c r="M1091" s="40"/>
      <c r="N1091" s="2"/>
      <c r="O1091" s="24"/>
      <c r="P1091" s="24"/>
      <c r="Q1091" s="24"/>
      <c r="R1091" s="24"/>
      <c r="S1091" s="24"/>
      <c r="T1091" s="24"/>
      <c r="U1091" s="24"/>
      <c r="V1091" s="24"/>
      <c r="W1091" s="24"/>
      <c r="X1091" s="24"/>
      <c r="Y1091" s="24"/>
      <c r="Z1091" s="24"/>
      <c r="AA1091" s="24"/>
      <c r="AB1091" s="24"/>
      <c r="AC1091" s="24"/>
      <c r="AE1091" s="24"/>
      <c r="AF1091" s="24"/>
      <c r="AG1091" s="24"/>
      <c r="AH1091" s="24"/>
      <c r="AI1091" s="24"/>
      <c r="AJ1091" s="24"/>
      <c r="AK1091" s="24"/>
      <c r="AL1091" s="24"/>
      <c r="AM1091" s="24"/>
    </row>
    <row r="1092">
      <c r="A1092" s="11"/>
      <c r="B1092" s="23"/>
      <c r="C1092" s="23"/>
      <c r="D1092" s="23"/>
      <c r="E1092" s="23"/>
      <c r="F1092" s="1"/>
      <c r="G1092" s="23"/>
      <c r="H1092" s="23"/>
      <c r="I1092" s="23"/>
      <c r="J1092" s="2"/>
      <c r="M1092" s="40"/>
      <c r="N1092" s="2"/>
      <c r="O1092" s="24"/>
      <c r="P1092" s="24"/>
      <c r="Q1092" s="24"/>
      <c r="R1092" s="24"/>
      <c r="S1092" s="24"/>
      <c r="T1092" s="24"/>
      <c r="U1092" s="24"/>
      <c r="V1092" s="24"/>
      <c r="W1092" s="24"/>
      <c r="X1092" s="24"/>
      <c r="Y1092" s="24"/>
      <c r="Z1092" s="24"/>
      <c r="AA1092" s="24"/>
      <c r="AB1092" s="24"/>
      <c r="AC1092" s="24"/>
      <c r="AE1092" s="24"/>
      <c r="AF1092" s="24"/>
      <c r="AG1092" s="24"/>
      <c r="AH1092" s="24"/>
      <c r="AI1092" s="24"/>
      <c r="AJ1092" s="24"/>
      <c r="AK1092" s="24"/>
      <c r="AL1092" s="24"/>
      <c r="AM1092" s="24"/>
    </row>
    <row r="1093">
      <c r="A1093" s="11"/>
      <c r="B1093" s="23"/>
      <c r="C1093" s="23"/>
      <c r="D1093" s="23"/>
      <c r="E1093" s="23"/>
      <c r="F1093" s="1"/>
      <c r="G1093" s="23"/>
      <c r="H1093" s="23"/>
      <c r="I1093" s="23"/>
      <c r="J1093" s="2"/>
      <c r="M1093" s="40"/>
      <c r="N1093" s="2"/>
      <c r="O1093" s="24"/>
      <c r="P1093" s="24"/>
      <c r="Q1093" s="24"/>
      <c r="R1093" s="24"/>
      <c r="S1093" s="24"/>
      <c r="T1093" s="24"/>
      <c r="U1093" s="24"/>
      <c r="V1093" s="24"/>
      <c r="W1093" s="24"/>
      <c r="X1093" s="24"/>
      <c r="Y1093" s="24"/>
      <c r="Z1093" s="24"/>
      <c r="AA1093" s="24"/>
      <c r="AB1093" s="24"/>
      <c r="AC1093" s="24"/>
      <c r="AE1093" s="24"/>
      <c r="AF1093" s="24"/>
      <c r="AG1093" s="24"/>
      <c r="AH1093" s="24"/>
      <c r="AI1093" s="24"/>
      <c r="AJ1093" s="24"/>
      <c r="AK1093" s="24"/>
      <c r="AL1093" s="24"/>
      <c r="AM1093" s="24"/>
    </row>
    <row r="1094">
      <c r="A1094" s="11"/>
      <c r="B1094" s="23"/>
      <c r="C1094" s="23"/>
      <c r="D1094" s="23"/>
      <c r="E1094" s="23"/>
      <c r="F1094" s="1"/>
      <c r="G1094" s="23"/>
      <c r="H1094" s="23"/>
      <c r="I1094" s="23"/>
      <c r="J1094" s="2"/>
      <c r="M1094" s="40"/>
      <c r="N1094" s="2"/>
      <c r="O1094" s="24"/>
      <c r="P1094" s="24"/>
      <c r="Q1094" s="24"/>
      <c r="R1094" s="24"/>
      <c r="S1094" s="24"/>
      <c r="T1094" s="24"/>
      <c r="U1094" s="24"/>
      <c r="V1094" s="24"/>
      <c r="W1094" s="24"/>
      <c r="X1094" s="24"/>
      <c r="Y1094" s="24"/>
      <c r="Z1094" s="24"/>
      <c r="AA1094" s="24"/>
      <c r="AB1094" s="24"/>
      <c r="AC1094" s="24"/>
      <c r="AE1094" s="24"/>
      <c r="AF1094" s="24"/>
      <c r="AG1094" s="24"/>
      <c r="AH1094" s="24"/>
      <c r="AI1094" s="24"/>
      <c r="AJ1094" s="24"/>
      <c r="AK1094" s="24"/>
      <c r="AL1094" s="24"/>
      <c r="AM1094" s="24"/>
    </row>
    <row r="1095">
      <c r="A1095" s="11"/>
      <c r="B1095" s="23"/>
      <c r="C1095" s="23"/>
      <c r="D1095" s="23"/>
      <c r="E1095" s="23"/>
      <c r="F1095" s="1"/>
      <c r="G1095" s="23"/>
      <c r="H1095" s="23"/>
      <c r="I1095" s="23"/>
      <c r="J1095" s="2"/>
      <c r="M1095" s="40"/>
      <c r="N1095" s="2"/>
      <c r="O1095" s="24"/>
      <c r="P1095" s="24"/>
      <c r="Q1095" s="24"/>
      <c r="R1095" s="24"/>
      <c r="S1095" s="24"/>
      <c r="T1095" s="24"/>
      <c r="U1095" s="24"/>
      <c r="V1095" s="24"/>
      <c r="W1095" s="24"/>
      <c r="X1095" s="24"/>
      <c r="Y1095" s="24"/>
      <c r="Z1095" s="24"/>
      <c r="AA1095" s="24"/>
      <c r="AB1095" s="24"/>
      <c r="AC1095" s="24"/>
      <c r="AE1095" s="24"/>
      <c r="AF1095" s="24"/>
      <c r="AG1095" s="24"/>
      <c r="AH1095" s="24"/>
      <c r="AI1095" s="24"/>
      <c r="AJ1095" s="24"/>
      <c r="AK1095" s="24"/>
      <c r="AL1095" s="24"/>
      <c r="AM1095" s="24"/>
    </row>
    <row r="1096">
      <c r="A1096" s="11"/>
      <c r="B1096" s="23"/>
      <c r="C1096" s="23"/>
      <c r="D1096" s="23"/>
      <c r="E1096" s="23"/>
      <c r="F1096" s="1"/>
      <c r="G1096" s="23"/>
      <c r="H1096" s="23"/>
      <c r="I1096" s="23"/>
      <c r="J1096" s="2"/>
      <c r="M1096" s="40"/>
      <c r="N1096" s="2"/>
      <c r="O1096" s="24"/>
      <c r="P1096" s="24"/>
      <c r="Q1096" s="24"/>
      <c r="R1096" s="24"/>
      <c r="S1096" s="24"/>
      <c r="T1096" s="24"/>
      <c r="U1096" s="24"/>
      <c r="V1096" s="24"/>
      <c r="W1096" s="24"/>
      <c r="X1096" s="24"/>
      <c r="Y1096" s="24"/>
      <c r="Z1096" s="24"/>
      <c r="AA1096" s="24"/>
      <c r="AB1096" s="24"/>
      <c r="AC1096" s="24"/>
      <c r="AE1096" s="24"/>
      <c r="AF1096" s="24"/>
      <c r="AG1096" s="24"/>
      <c r="AH1096" s="24"/>
      <c r="AI1096" s="24"/>
      <c r="AJ1096" s="24"/>
      <c r="AK1096" s="24"/>
      <c r="AL1096" s="24"/>
      <c r="AM1096" s="24"/>
    </row>
    <row r="1097">
      <c r="A1097" s="11"/>
      <c r="B1097" s="23"/>
      <c r="C1097" s="23"/>
      <c r="D1097" s="23"/>
      <c r="E1097" s="23"/>
      <c r="F1097" s="1"/>
      <c r="G1097" s="23"/>
      <c r="H1097" s="23"/>
      <c r="I1097" s="23"/>
      <c r="J1097" s="2"/>
      <c r="M1097" s="40"/>
      <c r="N1097" s="2"/>
      <c r="O1097" s="24"/>
      <c r="P1097" s="24"/>
      <c r="Q1097" s="24"/>
      <c r="R1097" s="24"/>
      <c r="S1097" s="24"/>
      <c r="T1097" s="24"/>
      <c r="U1097" s="24"/>
      <c r="V1097" s="24"/>
      <c r="W1097" s="24"/>
      <c r="X1097" s="24"/>
      <c r="Y1097" s="24"/>
      <c r="Z1097" s="24"/>
      <c r="AA1097" s="24"/>
      <c r="AB1097" s="24"/>
      <c r="AC1097" s="24"/>
      <c r="AE1097" s="24"/>
      <c r="AF1097" s="24"/>
      <c r="AG1097" s="24"/>
      <c r="AH1097" s="24"/>
      <c r="AI1097" s="24"/>
      <c r="AJ1097" s="24"/>
      <c r="AK1097" s="24"/>
      <c r="AL1097" s="24"/>
      <c r="AM1097" s="24"/>
    </row>
    <row r="1098">
      <c r="A1098" s="11"/>
      <c r="B1098" s="23"/>
      <c r="C1098" s="23"/>
      <c r="D1098" s="23"/>
      <c r="E1098" s="23"/>
      <c r="F1098" s="1"/>
      <c r="G1098" s="23"/>
      <c r="H1098" s="23"/>
      <c r="I1098" s="23"/>
      <c r="J1098" s="2"/>
      <c r="M1098" s="40"/>
      <c r="N1098" s="2"/>
      <c r="O1098" s="24"/>
      <c r="P1098" s="24"/>
      <c r="Q1098" s="24"/>
      <c r="R1098" s="24"/>
      <c r="S1098" s="24"/>
      <c r="T1098" s="24"/>
      <c r="U1098" s="24"/>
      <c r="V1098" s="24"/>
      <c r="W1098" s="24"/>
      <c r="X1098" s="24"/>
      <c r="Y1098" s="24"/>
      <c r="Z1098" s="24"/>
      <c r="AA1098" s="24"/>
      <c r="AB1098" s="24"/>
      <c r="AC1098" s="24"/>
      <c r="AE1098" s="24"/>
      <c r="AF1098" s="24"/>
      <c r="AG1098" s="24"/>
      <c r="AH1098" s="24"/>
      <c r="AI1098" s="24"/>
      <c r="AJ1098" s="24"/>
      <c r="AK1098" s="24"/>
      <c r="AL1098" s="24"/>
      <c r="AM1098" s="24"/>
    </row>
    <row r="1099">
      <c r="A1099" s="11"/>
      <c r="B1099" s="23"/>
      <c r="C1099" s="23"/>
      <c r="D1099" s="23"/>
      <c r="E1099" s="23"/>
      <c r="F1099" s="1"/>
      <c r="G1099" s="23"/>
      <c r="H1099" s="23"/>
      <c r="I1099" s="23"/>
      <c r="J1099" s="2"/>
      <c r="M1099" s="40"/>
      <c r="N1099" s="2"/>
      <c r="O1099" s="24"/>
      <c r="P1099" s="24"/>
      <c r="Q1099" s="24"/>
      <c r="R1099" s="24"/>
      <c r="S1099" s="24"/>
      <c r="T1099" s="24"/>
      <c r="U1099" s="24"/>
      <c r="V1099" s="24"/>
      <c r="W1099" s="24"/>
      <c r="X1099" s="24"/>
      <c r="Y1099" s="24"/>
      <c r="Z1099" s="24"/>
      <c r="AA1099" s="24"/>
      <c r="AB1099" s="24"/>
      <c r="AC1099" s="24"/>
      <c r="AE1099" s="24"/>
      <c r="AF1099" s="24"/>
      <c r="AG1099" s="24"/>
      <c r="AH1099" s="24"/>
      <c r="AI1099" s="24"/>
      <c r="AJ1099" s="24"/>
      <c r="AK1099" s="24"/>
      <c r="AL1099" s="24"/>
      <c r="AM1099" s="24"/>
    </row>
    <row r="1100">
      <c r="A1100" s="11"/>
      <c r="B1100" s="23"/>
      <c r="C1100" s="23"/>
      <c r="D1100" s="23"/>
      <c r="E1100" s="23"/>
      <c r="F1100" s="1"/>
      <c r="G1100" s="23"/>
      <c r="H1100" s="23"/>
      <c r="I1100" s="23"/>
      <c r="J1100" s="2"/>
      <c r="M1100" s="40"/>
      <c r="N1100" s="2"/>
      <c r="O1100" s="24"/>
      <c r="P1100" s="24"/>
      <c r="Q1100" s="24"/>
      <c r="R1100" s="24"/>
      <c r="S1100" s="24"/>
      <c r="T1100" s="24"/>
      <c r="U1100" s="24"/>
      <c r="V1100" s="24"/>
      <c r="W1100" s="24"/>
      <c r="X1100" s="24"/>
      <c r="Y1100" s="24"/>
      <c r="Z1100" s="24"/>
      <c r="AA1100" s="24"/>
      <c r="AB1100" s="24"/>
      <c r="AC1100" s="24"/>
      <c r="AE1100" s="24"/>
      <c r="AF1100" s="24"/>
      <c r="AG1100" s="24"/>
      <c r="AH1100" s="24"/>
      <c r="AI1100" s="24"/>
      <c r="AJ1100" s="24"/>
      <c r="AK1100" s="24"/>
      <c r="AL1100" s="24"/>
      <c r="AM1100" s="24"/>
    </row>
    <row r="1101">
      <c r="A1101" s="11"/>
      <c r="B1101" s="23"/>
      <c r="C1101" s="23"/>
      <c r="D1101" s="23"/>
      <c r="E1101" s="23"/>
      <c r="F1101" s="1"/>
      <c r="G1101" s="23"/>
      <c r="H1101" s="23"/>
      <c r="I1101" s="23"/>
      <c r="J1101" s="2"/>
      <c r="M1101" s="40"/>
      <c r="N1101" s="2"/>
      <c r="O1101" s="24"/>
      <c r="P1101" s="24"/>
      <c r="Q1101" s="24"/>
      <c r="R1101" s="24"/>
      <c r="S1101" s="24"/>
      <c r="T1101" s="24"/>
      <c r="U1101" s="24"/>
      <c r="V1101" s="24"/>
      <c r="W1101" s="24"/>
      <c r="X1101" s="24"/>
      <c r="Y1101" s="24"/>
      <c r="Z1101" s="24"/>
      <c r="AA1101" s="24"/>
      <c r="AB1101" s="24"/>
      <c r="AC1101" s="24"/>
      <c r="AE1101" s="24"/>
      <c r="AF1101" s="24"/>
      <c r="AG1101" s="24"/>
      <c r="AH1101" s="24"/>
      <c r="AI1101" s="24"/>
      <c r="AJ1101" s="24"/>
      <c r="AK1101" s="24"/>
      <c r="AL1101" s="24"/>
      <c r="AM1101" s="24"/>
    </row>
    <row r="1102">
      <c r="A1102" s="11"/>
      <c r="B1102" s="23"/>
      <c r="C1102" s="23"/>
      <c r="D1102" s="23"/>
      <c r="E1102" s="23"/>
      <c r="F1102" s="1"/>
      <c r="G1102" s="23"/>
      <c r="H1102" s="23"/>
      <c r="I1102" s="23"/>
      <c r="J1102" s="2"/>
      <c r="M1102" s="40"/>
      <c r="N1102" s="2"/>
      <c r="O1102" s="24"/>
      <c r="P1102" s="24"/>
      <c r="Q1102" s="24"/>
      <c r="R1102" s="24"/>
      <c r="S1102" s="24"/>
      <c r="T1102" s="24"/>
      <c r="U1102" s="24"/>
      <c r="V1102" s="24"/>
      <c r="W1102" s="24"/>
      <c r="X1102" s="24"/>
      <c r="Y1102" s="24"/>
      <c r="Z1102" s="24"/>
      <c r="AA1102" s="24"/>
      <c r="AB1102" s="24"/>
      <c r="AC1102" s="24"/>
      <c r="AE1102" s="24"/>
      <c r="AF1102" s="24"/>
      <c r="AG1102" s="24"/>
      <c r="AH1102" s="24"/>
      <c r="AI1102" s="24"/>
      <c r="AJ1102" s="24"/>
      <c r="AK1102" s="24"/>
      <c r="AL1102" s="24"/>
      <c r="AM1102" s="24"/>
    </row>
    <row r="1103">
      <c r="A1103" s="11"/>
      <c r="B1103" s="23"/>
      <c r="C1103" s="23"/>
      <c r="D1103" s="23"/>
      <c r="E1103" s="23"/>
      <c r="F1103" s="1"/>
      <c r="G1103" s="23"/>
      <c r="H1103" s="23"/>
      <c r="I1103" s="23"/>
      <c r="J1103" s="2"/>
      <c r="M1103" s="40"/>
      <c r="N1103" s="2"/>
      <c r="O1103" s="24"/>
      <c r="P1103" s="24"/>
      <c r="Q1103" s="24"/>
      <c r="R1103" s="24"/>
      <c r="S1103" s="24"/>
      <c r="T1103" s="24"/>
      <c r="U1103" s="24"/>
      <c r="V1103" s="24"/>
      <c r="W1103" s="24"/>
      <c r="X1103" s="24"/>
      <c r="Y1103" s="24"/>
      <c r="Z1103" s="24"/>
      <c r="AA1103" s="24"/>
      <c r="AB1103" s="24"/>
      <c r="AC1103" s="24"/>
      <c r="AE1103" s="24"/>
      <c r="AF1103" s="24"/>
      <c r="AG1103" s="24"/>
      <c r="AH1103" s="24"/>
      <c r="AI1103" s="24"/>
      <c r="AJ1103" s="24"/>
      <c r="AK1103" s="24"/>
      <c r="AL1103" s="24"/>
      <c r="AM1103" s="24"/>
    </row>
    <row r="1104">
      <c r="A1104" s="11"/>
      <c r="B1104" s="23"/>
      <c r="C1104" s="23"/>
      <c r="D1104" s="23"/>
      <c r="E1104" s="23"/>
      <c r="F1104" s="1"/>
      <c r="G1104" s="23"/>
      <c r="H1104" s="23"/>
      <c r="I1104" s="23"/>
      <c r="J1104" s="2"/>
      <c r="M1104" s="40"/>
      <c r="N1104" s="2"/>
      <c r="O1104" s="24"/>
      <c r="P1104" s="24"/>
      <c r="Q1104" s="24"/>
      <c r="R1104" s="24"/>
      <c r="S1104" s="24"/>
      <c r="T1104" s="24"/>
      <c r="U1104" s="24"/>
      <c r="V1104" s="24"/>
      <c r="W1104" s="24"/>
      <c r="X1104" s="24"/>
      <c r="Y1104" s="24"/>
      <c r="Z1104" s="24"/>
      <c r="AA1104" s="24"/>
      <c r="AB1104" s="24"/>
      <c r="AC1104" s="24"/>
      <c r="AE1104" s="24"/>
      <c r="AF1104" s="24"/>
      <c r="AG1104" s="24"/>
      <c r="AH1104" s="24"/>
      <c r="AI1104" s="24"/>
      <c r="AJ1104" s="24"/>
      <c r="AK1104" s="24"/>
      <c r="AL1104" s="24"/>
      <c r="AM1104" s="24"/>
    </row>
    <row r="1105">
      <c r="A1105" s="11"/>
      <c r="B1105" s="23"/>
      <c r="C1105" s="23"/>
      <c r="D1105" s="23"/>
      <c r="E1105" s="23"/>
      <c r="F1105" s="1"/>
      <c r="G1105" s="23"/>
      <c r="H1105" s="23"/>
      <c r="I1105" s="23"/>
      <c r="J1105" s="2"/>
      <c r="M1105" s="40"/>
      <c r="N1105" s="2"/>
      <c r="O1105" s="24"/>
      <c r="P1105" s="24"/>
      <c r="Q1105" s="24"/>
      <c r="R1105" s="24"/>
      <c r="S1105" s="24"/>
      <c r="T1105" s="24"/>
      <c r="U1105" s="24"/>
      <c r="V1105" s="24"/>
      <c r="W1105" s="24"/>
      <c r="X1105" s="24"/>
      <c r="Y1105" s="24"/>
      <c r="Z1105" s="24"/>
      <c r="AA1105" s="24"/>
      <c r="AB1105" s="24"/>
      <c r="AC1105" s="24"/>
      <c r="AE1105" s="24"/>
      <c r="AF1105" s="24"/>
      <c r="AG1105" s="24"/>
      <c r="AH1105" s="24"/>
      <c r="AI1105" s="24"/>
      <c r="AJ1105" s="24"/>
      <c r="AK1105" s="24"/>
      <c r="AL1105" s="24"/>
      <c r="AM1105" s="24"/>
    </row>
    <row r="1106">
      <c r="A1106" s="11"/>
      <c r="B1106" s="23"/>
      <c r="C1106" s="23"/>
      <c r="D1106" s="23"/>
      <c r="E1106" s="23"/>
      <c r="F1106" s="1"/>
      <c r="G1106" s="23"/>
      <c r="H1106" s="23"/>
      <c r="I1106" s="23"/>
      <c r="J1106" s="2"/>
      <c r="M1106" s="40"/>
      <c r="N1106" s="2"/>
      <c r="O1106" s="24"/>
      <c r="P1106" s="24"/>
      <c r="Q1106" s="24"/>
      <c r="R1106" s="24"/>
      <c r="S1106" s="24"/>
      <c r="T1106" s="24"/>
      <c r="U1106" s="24"/>
      <c r="V1106" s="24"/>
      <c r="W1106" s="24"/>
      <c r="X1106" s="24"/>
      <c r="Y1106" s="24"/>
      <c r="Z1106" s="24"/>
      <c r="AA1106" s="24"/>
      <c r="AB1106" s="24"/>
      <c r="AC1106" s="24"/>
      <c r="AE1106" s="24"/>
      <c r="AF1106" s="24"/>
      <c r="AG1106" s="24"/>
      <c r="AH1106" s="24"/>
      <c r="AI1106" s="24"/>
      <c r="AJ1106" s="24"/>
      <c r="AK1106" s="24"/>
      <c r="AL1106" s="24"/>
      <c r="AM1106" s="24"/>
    </row>
    <row r="1107">
      <c r="A1107" s="11"/>
      <c r="B1107" s="23"/>
      <c r="C1107" s="23"/>
      <c r="D1107" s="23"/>
      <c r="E1107" s="23"/>
      <c r="F1107" s="1"/>
      <c r="G1107" s="23"/>
      <c r="H1107" s="23"/>
      <c r="I1107" s="23"/>
      <c r="J1107" s="2"/>
      <c r="M1107" s="40"/>
      <c r="N1107" s="2"/>
      <c r="O1107" s="24"/>
      <c r="P1107" s="24"/>
      <c r="Q1107" s="24"/>
      <c r="R1107" s="24"/>
      <c r="S1107" s="24"/>
      <c r="T1107" s="24"/>
      <c r="U1107" s="24"/>
      <c r="V1107" s="24"/>
      <c r="W1107" s="24"/>
      <c r="X1107" s="24"/>
      <c r="Y1107" s="24"/>
      <c r="Z1107" s="24"/>
      <c r="AA1107" s="24"/>
      <c r="AB1107" s="24"/>
      <c r="AC1107" s="24"/>
      <c r="AE1107" s="24"/>
      <c r="AF1107" s="24"/>
      <c r="AG1107" s="24"/>
      <c r="AH1107" s="24"/>
      <c r="AI1107" s="24"/>
      <c r="AJ1107" s="24"/>
      <c r="AK1107" s="24"/>
      <c r="AL1107" s="24"/>
      <c r="AM1107" s="24"/>
    </row>
    <row r="1108">
      <c r="A1108" s="11"/>
      <c r="B1108" s="23"/>
      <c r="C1108" s="23"/>
      <c r="D1108" s="23"/>
      <c r="E1108" s="23"/>
      <c r="F1108" s="1"/>
      <c r="G1108" s="23"/>
      <c r="H1108" s="23"/>
      <c r="I1108" s="23"/>
      <c r="J1108" s="2"/>
      <c r="M1108" s="40"/>
      <c r="N1108" s="2"/>
      <c r="O1108" s="24"/>
      <c r="P1108" s="24"/>
      <c r="Q1108" s="24"/>
      <c r="R1108" s="24"/>
      <c r="S1108" s="24"/>
      <c r="T1108" s="24"/>
      <c r="U1108" s="24"/>
      <c r="V1108" s="24"/>
      <c r="W1108" s="24"/>
      <c r="X1108" s="24"/>
      <c r="Y1108" s="24"/>
      <c r="Z1108" s="24"/>
      <c r="AA1108" s="24"/>
      <c r="AB1108" s="24"/>
      <c r="AC1108" s="24"/>
      <c r="AE1108" s="24"/>
      <c r="AF1108" s="24"/>
      <c r="AG1108" s="24"/>
      <c r="AH1108" s="24"/>
      <c r="AI1108" s="24"/>
      <c r="AJ1108" s="24"/>
      <c r="AK1108" s="24"/>
      <c r="AL1108" s="24"/>
      <c r="AM1108" s="24"/>
    </row>
    <row r="1109">
      <c r="A1109" s="11"/>
      <c r="B1109" s="23"/>
      <c r="C1109" s="23"/>
      <c r="D1109" s="23"/>
      <c r="E1109" s="23"/>
      <c r="F1109" s="1"/>
      <c r="G1109" s="23"/>
      <c r="H1109" s="23"/>
      <c r="I1109" s="23"/>
      <c r="J1109" s="2"/>
      <c r="M1109" s="40"/>
      <c r="N1109" s="2"/>
      <c r="O1109" s="24"/>
      <c r="P1109" s="24"/>
      <c r="Q1109" s="24"/>
      <c r="R1109" s="24"/>
      <c r="S1109" s="24"/>
      <c r="T1109" s="24"/>
      <c r="U1109" s="24"/>
      <c r="V1109" s="24"/>
      <c r="W1109" s="24"/>
      <c r="X1109" s="24"/>
      <c r="Y1109" s="24"/>
      <c r="Z1109" s="24"/>
      <c r="AA1109" s="24"/>
      <c r="AB1109" s="24"/>
      <c r="AC1109" s="24"/>
      <c r="AE1109" s="24"/>
      <c r="AF1109" s="24"/>
      <c r="AG1109" s="24"/>
      <c r="AH1109" s="24"/>
      <c r="AI1109" s="24"/>
      <c r="AJ1109" s="24"/>
      <c r="AK1109" s="24"/>
      <c r="AL1109" s="24"/>
      <c r="AM1109" s="24"/>
    </row>
    <row r="1110">
      <c r="A1110" s="11"/>
      <c r="B1110" s="23"/>
      <c r="C1110" s="23"/>
      <c r="D1110" s="23"/>
      <c r="E1110" s="23"/>
      <c r="F1110" s="1"/>
      <c r="G1110" s="23"/>
      <c r="H1110" s="23"/>
      <c r="I1110" s="23"/>
      <c r="J1110" s="2"/>
      <c r="M1110" s="40"/>
      <c r="N1110" s="2"/>
      <c r="O1110" s="24"/>
      <c r="P1110" s="24"/>
      <c r="Q1110" s="24"/>
      <c r="R1110" s="24"/>
      <c r="S1110" s="24"/>
      <c r="T1110" s="24"/>
      <c r="U1110" s="24"/>
      <c r="V1110" s="24"/>
      <c r="W1110" s="24"/>
      <c r="X1110" s="24"/>
      <c r="Y1110" s="24"/>
      <c r="Z1110" s="24"/>
      <c r="AA1110" s="24"/>
      <c r="AB1110" s="24"/>
      <c r="AC1110" s="24"/>
      <c r="AE1110" s="24"/>
      <c r="AF1110" s="24"/>
      <c r="AG1110" s="24"/>
      <c r="AH1110" s="24"/>
      <c r="AI1110" s="24"/>
      <c r="AJ1110" s="24"/>
      <c r="AK1110" s="24"/>
      <c r="AL1110" s="24"/>
      <c r="AM1110" s="24"/>
    </row>
    <row r="1111">
      <c r="A1111" s="11"/>
      <c r="B1111" s="23"/>
      <c r="C1111" s="23"/>
      <c r="D1111" s="23"/>
      <c r="E1111" s="23"/>
      <c r="F1111" s="1"/>
      <c r="G1111" s="23"/>
      <c r="H1111" s="23"/>
      <c r="I1111" s="23"/>
      <c r="J1111" s="2"/>
      <c r="M1111" s="40"/>
      <c r="N1111" s="2"/>
      <c r="O1111" s="24"/>
      <c r="P1111" s="24"/>
      <c r="Q1111" s="24"/>
      <c r="R1111" s="24"/>
      <c r="S1111" s="24"/>
      <c r="T1111" s="24"/>
      <c r="U1111" s="24"/>
      <c r="V1111" s="24"/>
      <c r="W1111" s="24"/>
      <c r="X1111" s="24"/>
      <c r="Y1111" s="24"/>
      <c r="Z1111" s="24"/>
      <c r="AA1111" s="24"/>
      <c r="AB1111" s="24"/>
      <c r="AC1111" s="24"/>
      <c r="AE1111" s="24"/>
      <c r="AF1111" s="24"/>
      <c r="AG1111" s="24"/>
      <c r="AH1111" s="24"/>
      <c r="AI1111" s="24"/>
      <c r="AJ1111" s="24"/>
      <c r="AK1111" s="24"/>
      <c r="AL1111" s="24"/>
      <c r="AM1111" s="24"/>
    </row>
    <row r="1112">
      <c r="A1112" s="11"/>
      <c r="B1112" s="23"/>
      <c r="C1112" s="23"/>
      <c r="D1112" s="23"/>
      <c r="E1112" s="23"/>
      <c r="F1112" s="1"/>
      <c r="G1112" s="23"/>
      <c r="H1112" s="23"/>
      <c r="I1112" s="23"/>
      <c r="J1112" s="2"/>
      <c r="M1112" s="40"/>
      <c r="N1112" s="2"/>
      <c r="O1112" s="24"/>
      <c r="P1112" s="24"/>
      <c r="Q1112" s="24"/>
      <c r="R1112" s="24"/>
      <c r="S1112" s="24"/>
      <c r="T1112" s="24"/>
      <c r="U1112" s="24"/>
      <c r="V1112" s="24"/>
      <c r="W1112" s="24"/>
      <c r="X1112" s="24"/>
      <c r="Y1112" s="24"/>
      <c r="Z1112" s="24"/>
      <c r="AA1112" s="24"/>
      <c r="AB1112" s="24"/>
      <c r="AC1112" s="24"/>
      <c r="AE1112" s="24"/>
      <c r="AF1112" s="24"/>
      <c r="AG1112" s="24"/>
      <c r="AH1112" s="24"/>
      <c r="AI1112" s="24"/>
      <c r="AJ1112" s="24"/>
      <c r="AK1112" s="24"/>
      <c r="AL1112" s="24"/>
      <c r="AM1112" s="24"/>
    </row>
    <row r="1113">
      <c r="A1113" s="11"/>
      <c r="B1113" s="23"/>
      <c r="C1113" s="23"/>
      <c r="D1113" s="23"/>
      <c r="E1113" s="23"/>
      <c r="F1113" s="1"/>
      <c r="G1113" s="23"/>
      <c r="H1113" s="23"/>
      <c r="I1113" s="23"/>
      <c r="J1113" s="2"/>
      <c r="M1113" s="40"/>
      <c r="N1113" s="2"/>
      <c r="O1113" s="24"/>
      <c r="P1113" s="24"/>
      <c r="Q1113" s="24"/>
      <c r="R1113" s="24"/>
      <c r="S1113" s="24"/>
      <c r="T1113" s="24"/>
      <c r="U1113" s="24"/>
      <c r="V1113" s="24"/>
      <c r="W1113" s="24"/>
      <c r="X1113" s="24"/>
      <c r="Y1113" s="24"/>
      <c r="Z1113" s="24"/>
      <c r="AA1113" s="24"/>
      <c r="AB1113" s="24"/>
      <c r="AC1113" s="24"/>
      <c r="AE1113" s="24"/>
      <c r="AF1113" s="24"/>
      <c r="AG1113" s="24"/>
      <c r="AH1113" s="24"/>
      <c r="AI1113" s="24"/>
      <c r="AJ1113" s="24"/>
      <c r="AK1113" s="24"/>
      <c r="AL1113" s="24"/>
      <c r="AM1113" s="24"/>
    </row>
    <row r="1114">
      <c r="A1114" s="11"/>
      <c r="B1114" s="23"/>
      <c r="C1114" s="23"/>
      <c r="D1114" s="23"/>
      <c r="E1114" s="23"/>
      <c r="F1114" s="1"/>
      <c r="G1114" s="23"/>
      <c r="H1114" s="23"/>
      <c r="I1114" s="23"/>
      <c r="J1114" s="2"/>
      <c r="M1114" s="40"/>
      <c r="N1114" s="2"/>
      <c r="O1114" s="24"/>
      <c r="P1114" s="24"/>
      <c r="Q1114" s="24"/>
      <c r="R1114" s="24"/>
      <c r="S1114" s="24"/>
      <c r="T1114" s="24"/>
      <c r="U1114" s="24"/>
      <c r="V1114" s="24"/>
      <c r="W1114" s="24"/>
      <c r="X1114" s="24"/>
      <c r="Y1114" s="24"/>
      <c r="Z1114" s="24"/>
      <c r="AA1114" s="24"/>
      <c r="AB1114" s="24"/>
      <c r="AC1114" s="24"/>
      <c r="AE1114" s="24"/>
      <c r="AF1114" s="24"/>
      <c r="AG1114" s="24"/>
      <c r="AH1114" s="24"/>
      <c r="AI1114" s="24"/>
      <c r="AJ1114" s="24"/>
      <c r="AK1114" s="24"/>
      <c r="AL1114" s="24"/>
      <c r="AM1114" s="24"/>
    </row>
    <row r="1115">
      <c r="A1115" s="11"/>
      <c r="B1115" s="23"/>
      <c r="C1115" s="23"/>
      <c r="D1115" s="23"/>
      <c r="E1115" s="23"/>
      <c r="F1115" s="1"/>
      <c r="G1115" s="23"/>
      <c r="H1115" s="23"/>
      <c r="I1115" s="23"/>
      <c r="J1115" s="2"/>
      <c r="M1115" s="40"/>
      <c r="N1115" s="2"/>
      <c r="O1115" s="24"/>
      <c r="P1115" s="24"/>
      <c r="Q1115" s="24"/>
      <c r="R1115" s="24"/>
      <c r="S1115" s="24"/>
      <c r="T1115" s="24"/>
      <c r="U1115" s="24"/>
      <c r="V1115" s="24"/>
      <c r="W1115" s="24"/>
      <c r="X1115" s="24"/>
      <c r="Y1115" s="24"/>
      <c r="Z1115" s="24"/>
      <c r="AA1115" s="24"/>
      <c r="AB1115" s="24"/>
      <c r="AC1115" s="24"/>
      <c r="AE1115" s="24"/>
      <c r="AF1115" s="24"/>
      <c r="AG1115" s="24"/>
      <c r="AH1115" s="24"/>
      <c r="AI1115" s="24"/>
      <c r="AJ1115" s="24"/>
      <c r="AK1115" s="24"/>
      <c r="AL1115" s="24"/>
      <c r="AM1115" s="24"/>
    </row>
    <row r="1116">
      <c r="A1116" s="11"/>
      <c r="B1116" s="23"/>
      <c r="C1116" s="23"/>
      <c r="D1116" s="23"/>
      <c r="E1116" s="23"/>
      <c r="F1116" s="1"/>
      <c r="G1116" s="23"/>
      <c r="H1116" s="23"/>
      <c r="I1116" s="23"/>
      <c r="J1116" s="2"/>
      <c r="M1116" s="40"/>
      <c r="N1116" s="2"/>
      <c r="O1116" s="24"/>
      <c r="P1116" s="24"/>
      <c r="Q1116" s="24"/>
      <c r="R1116" s="24"/>
      <c r="S1116" s="24"/>
      <c r="T1116" s="24"/>
      <c r="U1116" s="24"/>
      <c r="V1116" s="24"/>
      <c r="W1116" s="24"/>
      <c r="X1116" s="24"/>
      <c r="Y1116" s="24"/>
      <c r="Z1116" s="24"/>
      <c r="AA1116" s="24"/>
      <c r="AB1116" s="24"/>
      <c r="AC1116" s="24"/>
      <c r="AE1116" s="24"/>
      <c r="AF1116" s="24"/>
      <c r="AG1116" s="24"/>
      <c r="AH1116" s="24"/>
      <c r="AI1116" s="24"/>
      <c r="AJ1116" s="24"/>
      <c r="AK1116" s="24"/>
      <c r="AL1116" s="24"/>
      <c r="AM1116" s="24"/>
    </row>
    <row r="1117">
      <c r="A1117" s="11"/>
      <c r="B1117" s="23"/>
      <c r="C1117" s="23"/>
      <c r="D1117" s="23"/>
      <c r="E1117" s="23"/>
      <c r="F1117" s="1"/>
      <c r="G1117" s="23"/>
      <c r="H1117" s="23"/>
      <c r="I1117" s="23"/>
      <c r="J1117" s="2"/>
      <c r="M1117" s="40"/>
      <c r="N1117" s="2"/>
      <c r="O1117" s="24"/>
      <c r="P1117" s="24"/>
      <c r="Q1117" s="24"/>
      <c r="R1117" s="24"/>
      <c r="S1117" s="24"/>
      <c r="T1117" s="24"/>
      <c r="U1117" s="24"/>
      <c r="V1117" s="24"/>
      <c r="W1117" s="24"/>
      <c r="X1117" s="24"/>
      <c r="Y1117" s="24"/>
      <c r="Z1117" s="24"/>
      <c r="AA1117" s="24"/>
      <c r="AB1117" s="24"/>
      <c r="AC1117" s="24"/>
      <c r="AE1117" s="24"/>
      <c r="AF1117" s="24"/>
      <c r="AG1117" s="24"/>
      <c r="AH1117" s="24"/>
      <c r="AI1117" s="24"/>
      <c r="AJ1117" s="24"/>
      <c r="AK1117" s="24"/>
      <c r="AL1117" s="24"/>
      <c r="AM1117" s="24"/>
    </row>
    <row r="1118">
      <c r="A1118" s="11"/>
      <c r="B1118" s="23"/>
      <c r="C1118" s="23"/>
      <c r="D1118" s="23"/>
      <c r="E1118" s="23"/>
      <c r="F1118" s="1"/>
      <c r="G1118" s="23"/>
      <c r="H1118" s="23"/>
      <c r="I1118" s="23"/>
      <c r="J1118" s="2"/>
      <c r="M1118" s="40"/>
      <c r="N1118" s="2"/>
      <c r="O1118" s="24"/>
      <c r="P1118" s="24"/>
      <c r="Q1118" s="24"/>
      <c r="R1118" s="24"/>
      <c r="S1118" s="24"/>
      <c r="T1118" s="24"/>
      <c r="U1118" s="24"/>
      <c r="V1118" s="24"/>
      <c r="W1118" s="24"/>
      <c r="X1118" s="24"/>
      <c r="Y1118" s="24"/>
      <c r="Z1118" s="24"/>
      <c r="AA1118" s="24"/>
      <c r="AB1118" s="24"/>
      <c r="AC1118" s="24"/>
      <c r="AE1118" s="24"/>
      <c r="AF1118" s="24"/>
      <c r="AG1118" s="24"/>
      <c r="AH1118" s="24"/>
      <c r="AI1118" s="24"/>
      <c r="AJ1118" s="24"/>
      <c r="AK1118" s="24"/>
      <c r="AL1118" s="24"/>
      <c r="AM1118" s="24"/>
    </row>
    <row r="1119">
      <c r="A1119" s="11"/>
      <c r="B1119" s="23"/>
      <c r="C1119" s="23"/>
      <c r="D1119" s="23"/>
      <c r="E1119" s="23"/>
      <c r="F1119" s="1"/>
      <c r="G1119" s="23"/>
      <c r="H1119" s="23"/>
      <c r="I1119" s="23"/>
      <c r="J1119" s="2"/>
      <c r="M1119" s="40"/>
      <c r="N1119" s="2"/>
      <c r="O1119" s="24"/>
      <c r="P1119" s="24"/>
      <c r="Q1119" s="24"/>
      <c r="R1119" s="24"/>
      <c r="S1119" s="24"/>
      <c r="T1119" s="24"/>
      <c r="U1119" s="24"/>
      <c r="V1119" s="24"/>
      <c r="W1119" s="24"/>
      <c r="X1119" s="24"/>
      <c r="Y1119" s="24"/>
      <c r="Z1119" s="24"/>
      <c r="AA1119" s="24"/>
      <c r="AB1119" s="24"/>
      <c r="AC1119" s="24"/>
      <c r="AE1119" s="24"/>
      <c r="AF1119" s="24"/>
      <c r="AG1119" s="24"/>
      <c r="AH1119" s="24"/>
      <c r="AI1119" s="24"/>
      <c r="AJ1119" s="24"/>
      <c r="AK1119" s="24"/>
      <c r="AL1119" s="24"/>
      <c r="AM1119" s="24"/>
    </row>
    <row r="1120">
      <c r="A1120" s="11"/>
      <c r="B1120" s="23"/>
      <c r="C1120" s="23"/>
      <c r="D1120" s="23"/>
      <c r="E1120" s="23"/>
      <c r="F1120" s="1"/>
      <c r="G1120" s="23"/>
      <c r="H1120" s="23"/>
      <c r="I1120" s="23"/>
      <c r="J1120" s="2"/>
      <c r="M1120" s="40"/>
      <c r="N1120" s="2"/>
      <c r="O1120" s="24"/>
      <c r="P1120" s="24"/>
      <c r="Q1120" s="24"/>
      <c r="R1120" s="24"/>
      <c r="S1120" s="24"/>
      <c r="T1120" s="24"/>
      <c r="U1120" s="24"/>
      <c r="V1120" s="24"/>
      <c r="W1120" s="24"/>
      <c r="X1120" s="24"/>
      <c r="Y1120" s="24"/>
      <c r="Z1120" s="24"/>
      <c r="AA1120" s="24"/>
      <c r="AB1120" s="24"/>
      <c r="AC1120" s="24"/>
      <c r="AE1120" s="24"/>
      <c r="AF1120" s="24"/>
      <c r="AG1120" s="24"/>
      <c r="AH1120" s="24"/>
      <c r="AI1120" s="24"/>
      <c r="AJ1120" s="24"/>
      <c r="AK1120" s="24"/>
      <c r="AL1120" s="24"/>
      <c r="AM1120" s="24"/>
    </row>
    <row r="1121">
      <c r="A1121" s="11"/>
      <c r="B1121" s="23"/>
      <c r="C1121" s="23"/>
      <c r="D1121" s="23"/>
      <c r="E1121" s="23"/>
      <c r="F1121" s="1"/>
      <c r="G1121" s="23"/>
      <c r="H1121" s="23"/>
      <c r="I1121" s="23"/>
      <c r="J1121" s="2"/>
      <c r="M1121" s="40"/>
      <c r="N1121" s="2"/>
      <c r="O1121" s="24"/>
      <c r="P1121" s="24"/>
      <c r="Q1121" s="24"/>
      <c r="R1121" s="24"/>
      <c r="S1121" s="24"/>
      <c r="T1121" s="24"/>
      <c r="U1121" s="24"/>
      <c r="V1121" s="24"/>
      <c r="W1121" s="24"/>
      <c r="X1121" s="24"/>
      <c r="Y1121" s="24"/>
      <c r="Z1121" s="24"/>
      <c r="AA1121" s="24"/>
      <c r="AB1121" s="24"/>
      <c r="AC1121" s="24"/>
      <c r="AE1121" s="24"/>
      <c r="AF1121" s="24"/>
      <c r="AG1121" s="24"/>
      <c r="AH1121" s="24"/>
      <c r="AI1121" s="24"/>
      <c r="AJ1121" s="24"/>
      <c r="AK1121" s="24"/>
      <c r="AL1121" s="24"/>
      <c r="AM1121" s="24"/>
    </row>
    <row r="1122">
      <c r="A1122" s="11"/>
      <c r="B1122" s="23"/>
      <c r="C1122" s="23"/>
      <c r="D1122" s="23"/>
      <c r="E1122" s="23"/>
      <c r="F1122" s="1"/>
      <c r="G1122" s="23"/>
      <c r="H1122" s="23"/>
      <c r="I1122" s="23"/>
      <c r="J1122" s="2"/>
      <c r="M1122" s="40"/>
      <c r="N1122" s="2"/>
      <c r="O1122" s="24"/>
      <c r="P1122" s="24"/>
      <c r="Q1122" s="24"/>
      <c r="R1122" s="24"/>
      <c r="S1122" s="24"/>
      <c r="T1122" s="24"/>
      <c r="U1122" s="24"/>
      <c r="V1122" s="24"/>
      <c r="W1122" s="24"/>
      <c r="X1122" s="24"/>
      <c r="Y1122" s="24"/>
      <c r="Z1122" s="24"/>
      <c r="AA1122" s="24"/>
      <c r="AB1122" s="24"/>
      <c r="AC1122" s="24"/>
      <c r="AE1122" s="24"/>
      <c r="AF1122" s="24"/>
      <c r="AG1122" s="24"/>
      <c r="AH1122" s="24"/>
      <c r="AI1122" s="24"/>
      <c r="AJ1122" s="24"/>
      <c r="AK1122" s="24"/>
      <c r="AL1122" s="24"/>
      <c r="AM1122" s="24"/>
    </row>
    <row r="1123">
      <c r="A1123" s="11"/>
      <c r="B1123" s="23"/>
      <c r="C1123" s="23"/>
      <c r="D1123" s="23"/>
      <c r="E1123" s="23"/>
      <c r="F1123" s="1"/>
      <c r="G1123" s="23"/>
      <c r="H1123" s="23"/>
      <c r="I1123" s="23"/>
      <c r="J1123" s="2"/>
      <c r="M1123" s="40"/>
      <c r="N1123" s="2"/>
      <c r="O1123" s="24"/>
      <c r="P1123" s="24"/>
      <c r="Q1123" s="24"/>
      <c r="R1123" s="24"/>
      <c r="S1123" s="24"/>
      <c r="T1123" s="24"/>
      <c r="U1123" s="24"/>
      <c r="V1123" s="24"/>
      <c r="W1123" s="24"/>
      <c r="X1123" s="24"/>
      <c r="Y1123" s="24"/>
      <c r="Z1123" s="24"/>
      <c r="AA1123" s="24"/>
      <c r="AB1123" s="24"/>
      <c r="AC1123" s="24"/>
      <c r="AE1123" s="24"/>
      <c r="AF1123" s="24"/>
      <c r="AG1123" s="24"/>
      <c r="AH1123" s="24"/>
      <c r="AI1123" s="24"/>
      <c r="AJ1123" s="24"/>
      <c r="AK1123" s="24"/>
      <c r="AL1123" s="24"/>
      <c r="AM1123" s="24"/>
    </row>
    <row r="1124">
      <c r="A1124" s="11"/>
      <c r="B1124" s="23"/>
      <c r="C1124" s="23"/>
      <c r="D1124" s="23"/>
      <c r="E1124" s="23"/>
      <c r="F1124" s="1"/>
      <c r="G1124" s="23"/>
      <c r="H1124" s="23"/>
      <c r="I1124" s="23"/>
      <c r="J1124" s="2"/>
      <c r="M1124" s="40"/>
      <c r="N1124" s="2"/>
      <c r="O1124" s="24"/>
      <c r="P1124" s="24"/>
      <c r="Q1124" s="24"/>
      <c r="R1124" s="24"/>
      <c r="S1124" s="24"/>
      <c r="T1124" s="24"/>
      <c r="U1124" s="24"/>
      <c r="V1124" s="24"/>
      <c r="W1124" s="24"/>
      <c r="X1124" s="24"/>
      <c r="Y1124" s="24"/>
      <c r="Z1124" s="24"/>
      <c r="AA1124" s="24"/>
      <c r="AB1124" s="24"/>
      <c r="AC1124" s="24"/>
      <c r="AE1124" s="24"/>
      <c r="AF1124" s="24"/>
      <c r="AG1124" s="24"/>
      <c r="AH1124" s="24"/>
      <c r="AI1124" s="24"/>
      <c r="AJ1124" s="24"/>
      <c r="AK1124" s="24"/>
      <c r="AL1124" s="24"/>
      <c r="AM1124" s="24"/>
    </row>
    <row r="1125">
      <c r="A1125" s="11"/>
      <c r="B1125" s="23"/>
      <c r="C1125" s="23"/>
      <c r="D1125" s="23"/>
      <c r="E1125" s="23"/>
      <c r="F1125" s="1"/>
      <c r="G1125" s="23"/>
      <c r="H1125" s="23"/>
      <c r="I1125" s="23"/>
      <c r="J1125" s="2"/>
      <c r="M1125" s="40"/>
      <c r="N1125" s="2"/>
      <c r="O1125" s="24"/>
      <c r="P1125" s="24"/>
      <c r="Q1125" s="24"/>
      <c r="R1125" s="24"/>
      <c r="S1125" s="24"/>
      <c r="T1125" s="24"/>
      <c r="U1125" s="24"/>
      <c r="V1125" s="24"/>
      <c r="W1125" s="24"/>
      <c r="X1125" s="24"/>
      <c r="Y1125" s="24"/>
      <c r="Z1125" s="24"/>
      <c r="AA1125" s="24"/>
      <c r="AB1125" s="24"/>
      <c r="AC1125" s="24"/>
      <c r="AE1125" s="24"/>
      <c r="AF1125" s="24"/>
      <c r="AG1125" s="24"/>
      <c r="AH1125" s="24"/>
      <c r="AI1125" s="24"/>
      <c r="AJ1125" s="24"/>
      <c r="AK1125" s="24"/>
      <c r="AL1125" s="24"/>
      <c r="AM1125" s="24"/>
    </row>
    <row r="1126">
      <c r="A1126" s="11"/>
      <c r="B1126" s="23"/>
      <c r="C1126" s="23"/>
      <c r="D1126" s="23"/>
      <c r="E1126" s="23"/>
      <c r="F1126" s="1"/>
      <c r="G1126" s="23"/>
      <c r="H1126" s="23"/>
      <c r="I1126" s="23"/>
      <c r="J1126" s="2"/>
      <c r="M1126" s="40"/>
      <c r="N1126" s="2"/>
      <c r="O1126" s="24"/>
      <c r="P1126" s="24"/>
      <c r="Q1126" s="24"/>
      <c r="R1126" s="24"/>
      <c r="S1126" s="24"/>
      <c r="T1126" s="24"/>
      <c r="U1126" s="24"/>
      <c r="V1126" s="24"/>
      <c r="W1126" s="24"/>
      <c r="X1126" s="24"/>
      <c r="Y1126" s="24"/>
      <c r="Z1126" s="24"/>
      <c r="AA1126" s="24"/>
      <c r="AB1126" s="24"/>
      <c r="AC1126" s="24"/>
      <c r="AE1126" s="24"/>
      <c r="AF1126" s="24"/>
      <c r="AG1126" s="24"/>
      <c r="AH1126" s="24"/>
      <c r="AI1126" s="24"/>
      <c r="AJ1126" s="24"/>
      <c r="AK1126" s="24"/>
      <c r="AL1126" s="24"/>
      <c r="AM1126" s="24"/>
    </row>
    <row r="1127">
      <c r="A1127" s="11"/>
      <c r="B1127" s="23"/>
      <c r="C1127" s="23"/>
      <c r="D1127" s="23"/>
      <c r="E1127" s="23"/>
      <c r="F1127" s="1"/>
      <c r="G1127" s="23"/>
      <c r="H1127" s="23"/>
      <c r="I1127" s="23"/>
      <c r="J1127" s="2"/>
      <c r="M1127" s="40"/>
      <c r="N1127" s="2"/>
      <c r="O1127" s="24"/>
      <c r="P1127" s="24"/>
      <c r="Q1127" s="24"/>
      <c r="R1127" s="24"/>
      <c r="S1127" s="24"/>
      <c r="T1127" s="24"/>
      <c r="U1127" s="24"/>
      <c r="V1127" s="24"/>
      <c r="W1127" s="24"/>
      <c r="X1127" s="24"/>
      <c r="Y1127" s="24"/>
      <c r="Z1127" s="24"/>
      <c r="AA1127" s="24"/>
      <c r="AB1127" s="24"/>
      <c r="AC1127" s="24"/>
      <c r="AE1127" s="24"/>
      <c r="AF1127" s="24"/>
      <c r="AG1127" s="24"/>
      <c r="AH1127" s="24"/>
      <c r="AI1127" s="24"/>
      <c r="AJ1127" s="24"/>
      <c r="AK1127" s="24"/>
      <c r="AL1127" s="24"/>
      <c r="AM1127" s="24"/>
    </row>
    <row r="1128">
      <c r="A1128" s="11"/>
      <c r="B1128" s="23"/>
      <c r="C1128" s="23"/>
      <c r="D1128" s="23"/>
      <c r="E1128" s="23"/>
      <c r="F1128" s="1"/>
      <c r="G1128" s="23"/>
      <c r="H1128" s="23"/>
      <c r="I1128" s="23"/>
      <c r="J1128" s="2"/>
      <c r="M1128" s="40"/>
      <c r="N1128" s="2"/>
      <c r="O1128" s="24"/>
      <c r="P1128" s="24"/>
      <c r="Q1128" s="24"/>
      <c r="R1128" s="24"/>
      <c r="S1128" s="24"/>
      <c r="T1128" s="24"/>
      <c r="U1128" s="24"/>
      <c r="V1128" s="24"/>
      <c r="W1128" s="24"/>
      <c r="X1128" s="24"/>
      <c r="Y1128" s="24"/>
      <c r="Z1128" s="24"/>
      <c r="AA1128" s="24"/>
      <c r="AB1128" s="24"/>
      <c r="AC1128" s="24"/>
      <c r="AE1128" s="24"/>
      <c r="AF1128" s="24"/>
      <c r="AG1128" s="24"/>
      <c r="AH1128" s="24"/>
      <c r="AI1128" s="24"/>
      <c r="AJ1128" s="24"/>
      <c r="AK1128" s="24"/>
      <c r="AL1128" s="24"/>
      <c r="AM1128" s="24"/>
    </row>
    <row r="1129">
      <c r="A1129" s="11"/>
      <c r="B1129" s="23"/>
      <c r="C1129" s="23"/>
      <c r="D1129" s="23"/>
      <c r="E1129" s="23"/>
      <c r="F1129" s="1"/>
      <c r="G1129" s="23"/>
      <c r="H1129" s="23"/>
      <c r="I1129" s="23"/>
      <c r="J1129" s="2"/>
      <c r="M1129" s="40"/>
      <c r="N1129" s="2"/>
      <c r="O1129" s="24"/>
      <c r="P1129" s="24"/>
      <c r="Q1129" s="24"/>
      <c r="R1129" s="24"/>
      <c r="S1129" s="24"/>
      <c r="T1129" s="24"/>
      <c r="U1129" s="24"/>
      <c r="V1129" s="24"/>
      <c r="W1129" s="24"/>
      <c r="X1129" s="24"/>
      <c r="Y1129" s="24"/>
      <c r="Z1129" s="24"/>
      <c r="AA1129" s="24"/>
      <c r="AB1129" s="24"/>
      <c r="AC1129" s="24"/>
      <c r="AE1129" s="24"/>
      <c r="AF1129" s="24"/>
      <c r="AG1129" s="24"/>
      <c r="AH1129" s="24"/>
      <c r="AI1129" s="24"/>
      <c r="AJ1129" s="24"/>
      <c r="AK1129" s="24"/>
      <c r="AL1129" s="24"/>
      <c r="AM1129" s="24"/>
    </row>
    <row r="1130">
      <c r="A1130" s="11"/>
      <c r="B1130" s="23"/>
      <c r="C1130" s="23"/>
      <c r="D1130" s="23"/>
      <c r="E1130" s="23"/>
      <c r="F1130" s="1"/>
      <c r="G1130" s="23"/>
      <c r="H1130" s="23"/>
      <c r="I1130" s="23"/>
      <c r="J1130" s="2"/>
      <c r="M1130" s="40"/>
      <c r="N1130" s="2"/>
      <c r="O1130" s="24"/>
      <c r="P1130" s="24"/>
      <c r="Q1130" s="24"/>
      <c r="R1130" s="24"/>
      <c r="S1130" s="24"/>
      <c r="T1130" s="24"/>
      <c r="U1130" s="24"/>
      <c r="V1130" s="24"/>
      <c r="W1130" s="24"/>
      <c r="X1130" s="24"/>
      <c r="Y1130" s="24"/>
      <c r="Z1130" s="24"/>
      <c r="AA1130" s="24"/>
      <c r="AB1130" s="24"/>
      <c r="AC1130" s="24"/>
      <c r="AE1130" s="24"/>
      <c r="AF1130" s="24"/>
      <c r="AG1130" s="24"/>
      <c r="AH1130" s="24"/>
      <c r="AI1130" s="24"/>
      <c r="AJ1130" s="24"/>
      <c r="AK1130" s="24"/>
      <c r="AL1130" s="24"/>
      <c r="AM1130" s="24"/>
    </row>
    <row r="1131">
      <c r="A1131" s="11"/>
      <c r="B1131" s="23"/>
      <c r="C1131" s="23"/>
      <c r="D1131" s="23"/>
      <c r="E1131" s="23"/>
      <c r="F1131" s="1"/>
      <c r="G1131" s="23"/>
      <c r="H1131" s="23"/>
      <c r="I1131" s="23"/>
      <c r="J1131" s="2"/>
      <c r="M1131" s="40"/>
      <c r="N1131" s="2"/>
      <c r="O1131" s="24"/>
      <c r="P1131" s="24"/>
      <c r="Q1131" s="24"/>
      <c r="R1131" s="24"/>
      <c r="S1131" s="24"/>
      <c r="T1131" s="24"/>
      <c r="U1131" s="24"/>
      <c r="V1131" s="24"/>
      <c r="W1131" s="24"/>
      <c r="X1131" s="24"/>
      <c r="Y1131" s="24"/>
      <c r="Z1131" s="24"/>
      <c r="AA1131" s="24"/>
      <c r="AB1131" s="24"/>
      <c r="AC1131" s="24"/>
      <c r="AE1131" s="24"/>
      <c r="AF1131" s="24"/>
      <c r="AG1131" s="24"/>
      <c r="AH1131" s="24"/>
      <c r="AI1131" s="24"/>
      <c r="AJ1131" s="24"/>
      <c r="AK1131" s="24"/>
      <c r="AL1131" s="24"/>
      <c r="AM1131" s="24"/>
    </row>
    <row r="1132">
      <c r="A1132" s="11"/>
      <c r="B1132" s="23"/>
      <c r="C1132" s="23"/>
      <c r="D1132" s="23"/>
      <c r="E1132" s="23"/>
      <c r="F1132" s="1"/>
      <c r="G1132" s="23"/>
      <c r="H1132" s="23"/>
      <c r="I1132" s="23"/>
      <c r="J1132" s="2"/>
      <c r="M1132" s="40"/>
      <c r="N1132" s="2"/>
      <c r="O1132" s="24"/>
      <c r="P1132" s="24"/>
      <c r="Q1132" s="24"/>
      <c r="R1132" s="24"/>
      <c r="S1132" s="24"/>
      <c r="T1132" s="24"/>
      <c r="U1132" s="24"/>
      <c r="V1132" s="24"/>
      <c r="W1132" s="24"/>
      <c r="X1132" s="24"/>
      <c r="Y1132" s="24"/>
      <c r="Z1132" s="24"/>
      <c r="AA1132" s="24"/>
      <c r="AB1132" s="24"/>
      <c r="AC1132" s="24"/>
      <c r="AE1132" s="24"/>
      <c r="AF1132" s="24"/>
      <c r="AG1132" s="24"/>
      <c r="AH1132" s="24"/>
      <c r="AI1132" s="24"/>
      <c r="AJ1132" s="24"/>
      <c r="AK1132" s="24"/>
      <c r="AL1132" s="24"/>
      <c r="AM1132" s="24"/>
    </row>
    <row r="1133">
      <c r="A1133" s="11"/>
      <c r="B1133" s="23"/>
      <c r="C1133" s="23"/>
      <c r="D1133" s="23"/>
      <c r="E1133" s="23"/>
      <c r="F1133" s="1"/>
      <c r="G1133" s="23"/>
      <c r="H1133" s="23"/>
      <c r="I1133" s="23"/>
      <c r="J1133" s="2"/>
      <c r="M1133" s="40"/>
      <c r="N1133" s="2"/>
      <c r="O1133" s="24"/>
      <c r="P1133" s="24"/>
      <c r="Q1133" s="24"/>
      <c r="R1133" s="24"/>
      <c r="S1133" s="24"/>
      <c r="T1133" s="24"/>
      <c r="U1133" s="24"/>
      <c r="V1133" s="24"/>
      <c r="W1133" s="24"/>
      <c r="X1133" s="24"/>
      <c r="Y1133" s="24"/>
      <c r="Z1133" s="24"/>
      <c r="AA1133" s="24"/>
      <c r="AB1133" s="24"/>
      <c r="AC1133" s="24"/>
      <c r="AE1133" s="24"/>
      <c r="AF1133" s="24"/>
      <c r="AG1133" s="24"/>
      <c r="AH1133" s="24"/>
      <c r="AI1133" s="24"/>
      <c r="AJ1133" s="24"/>
      <c r="AK1133" s="24"/>
      <c r="AL1133" s="24"/>
      <c r="AM1133" s="24"/>
    </row>
    <row r="1134">
      <c r="A1134" s="11"/>
      <c r="B1134" s="23"/>
      <c r="C1134" s="23"/>
      <c r="D1134" s="23"/>
      <c r="E1134" s="23"/>
      <c r="F1134" s="1"/>
      <c r="G1134" s="23"/>
      <c r="H1134" s="23"/>
      <c r="I1134" s="23"/>
      <c r="J1134" s="2"/>
      <c r="M1134" s="40"/>
      <c r="N1134" s="2"/>
      <c r="O1134" s="24"/>
      <c r="P1134" s="24"/>
      <c r="Q1134" s="24"/>
      <c r="R1134" s="24"/>
      <c r="S1134" s="24"/>
      <c r="T1134" s="24"/>
      <c r="U1134" s="24"/>
      <c r="V1134" s="24"/>
      <c r="W1134" s="24"/>
      <c r="X1134" s="24"/>
      <c r="Y1134" s="24"/>
      <c r="Z1134" s="24"/>
      <c r="AA1134" s="24"/>
      <c r="AB1134" s="24"/>
      <c r="AC1134" s="24"/>
      <c r="AE1134" s="24"/>
      <c r="AF1134" s="24"/>
      <c r="AG1134" s="24"/>
      <c r="AH1134" s="24"/>
      <c r="AI1134" s="24"/>
      <c r="AJ1134" s="24"/>
      <c r="AK1134" s="24"/>
      <c r="AL1134" s="24"/>
      <c r="AM1134" s="24"/>
    </row>
    <row r="1135">
      <c r="A1135" s="11"/>
      <c r="B1135" s="23"/>
      <c r="C1135" s="23"/>
      <c r="D1135" s="23"/>
      <c r="E1135" s="23"/>
      <c r="F1135" s="1"/>
      <c r="G1135" s="23"/>
      <c r="H1135" s="23"/>
      <c r="I1135" s="23"/>
      <c r="J1135" s="2"/>
      <c r="M1135" s="40"/>
      <c r="N1135" s="2"/>
      <c r="O1135" s="24"/>
      <c r="P1135" s="24"/>
      <c r="Q1135" s="24"/>
      <c r="R1135" s="24"/>
      <c r="S1135" s="24"/>
      <c r="T1135" s="24"/>
      <c r="U1135" s="24"/>
      <c r="V1135" s="24"/>
      <c r="W1135" s="24"/>
      <c r="X1135" s="24"/>
      <c r="Y1135" s="24"/>
      <c r="Z1135" s="24"/>
      <c r="AA1135" s="24"/>
      <c r="AB1135" s="24"/>
      <c r="AC1135" s="24"/>
      <c r="AE1135" s="24"/>
      <c r="AF1135" s="24"/>
      <c r="AG1135" s="24"/>
      <c r="AH1135" s="24"/>
      <c r="AI1135" s="24"/>
      <c r="AJ1135" s="24"/>
      <c r="AK1135" s="24"/>
      <c r="AL1135" s="24"/>
      <c r="AM1135" s="24"/>
    </row>
    <row r="1136">
      <c r="A1136" s="11"/>
      <c r="B1136" s="23"/>
      <c r="C1136" s="23"/>
      <c r="D1136" s="23"/>
      <c r="E1136" s="23"/>
      <c r="F1136" s="1"/>
      <c r="G1136" s="23"/>
      <c r="H1136" s="23"/>
      <c r="I1136" s="23"/>
      <c r="J1136" s="2"/>
      <c r="M1136" s="40"/>
      <c r="N1136" s="2"/>
      <c r="O1136" s="24"/>
      <c r="P1136" s="24"/>
      <c r="Q1136" s="24"/>
      <c r="R1136" s="24"/>
      <c r="S1136" s="24"/>
      <c r="T1136" s="24"/>
      <c r="U1136" s="24"/>
      <c r="V1136" s="24"/>
      <c r="W1136" s="24"/>
      <c r="X1136" s="24"/>
      <c r="Y1136" s="24"/>
      <c r="Z1136" s="24"/>
      <c r="AA1136" s="24"/>
      <c r="AB1136" s="24"/>
      <c r="AC1136" s="24"/>
      <c r="AE1136" s="24"/>
      <c r="AF1136" s="24"/>
      <c r="AG1136" s="24"/>
      <c r="AH1136" s="24"/>
      <c r="AI1136" s="24"/>
      <c r="AJ1136" s="24"/>
      <c r="AK1136" s="24"/>
      <c r="AL1136" s="24"/>
      <c r="AM1136" s="24"/>
    </row>
    <row r="1137">
      <c r="A1137" s="11"/>
      <c r="B1137" s="23"/>
      <c r="C1137" s="23"/>
      <c r="D1137" s="23"/>
      <c r="E1137" s="23"/>
      <c r="F1137" s="1"/>
      <c r="G1137" s="23"/>
      <c r="H1137" s="23"/>
      <c r="I1137" s="23"/>
      <c r="J1137" s="2"/>
      <c r="M1137" s="40"/>
      <c r="N1137" s="2"/>
      <c r="O1137" s="24"/>
      <c r="P1137" s="24"/>
      <c r="Q1137" s="24"/>
      <c r="R1137" s="24"/>
      <c r="S1137" s="24"/>
      <c r="T1137" s="24"/>
      <c r="U1137" s="24"/>
      <c r="V1137" s="24"/>
      <c r="W1137" s="24"/>
      <c r="X1137" s="24"/>
      <c r="Y1137" s="24"/>
      <c r="Z1137" s="24"/>
      <c r="AA1137" s="24"/>
      <c r="AB1137" s="24"/>
      <c r="AC1137" s="24"/>
      <c r="AE1137" s="24"/>
      <c r="AF1137" s="24"/>
      <c r="AG1137" s="24"/>
      <c r="AH1137" s="24"/>
      <c r="AI1137" s="24"/>
      <c r="AJ1137" s="24"/>
      <c r="AK1137" s="24"/>
      <c r="AL1137" s="24"/>
      <c r="AM1137" s="24"/>
    </row>
    <row r="1138">
      <c r="A1138" s="11"/>
      <c r="B1138" s="23"/>
      <c r="C1138" s="23"/>
      <c r="D1138" s="23"/>
      <c r="E1138" s="23"/>
      <c r="F1138" s="1"/>
      <c r="G1138" s="23"/>
      <c r="H1138" s="23"/>
      <c r="I1138" s="23"/>
      <c r="J1138" s="2"/>
      <c r="M1138" s="40"/>
      <c r="N1138" s="2"/>
      <c r="O1138" s="24"/>
      <c r="P1138" s="24"/>
      <c r="Q1138" s="24"/>
      <c r="R1138" s="24"/>
      <c r="S1138" s="24"/>
      <c r="T1138" s="24"/>
      <c r="U1138" s="24"/>
      <c r="V1138" s="24"/>
      <c r="W1138" s="24"/>
      <c r="X1138" s="24"/>
      <c r="Y1138" s="24"/>
      <c r="Z1138" s="24"/>
      <c r="AA1138" s="24"/>
      <c r="AB1138" s="24"/>
      <c r="AC1138" s="24"/>
      <c r="AE1138" s="24"/>
      <c r="AF1138" s="24"/>
      <c r="AG1138" s="24"/>
      <c r="AH1138" s="24"/>
      <c r="AI1138" s="24"/>
      <c r="AJ1138" s="24"/>
      <c r="AK1138" s="24"/>
      <c r="AL1138" s="24"/>
      <c r="AM1138" s="24"/>
    </row>
    <row r="1139">
      <c r="A1139" s="11"/>
      <c r="B1139" s="23"/>
      <c r="C1139" s="23"/>
      <c r="D1139" s="23"/>
      <c r="E1139" s="23"/>
      <c r="F1139" s="1"/>
      <c r="G1139" s="23"/>
      <c r="H1139" s="23"/>
      <c r="I1139" s="23"/>
      <c r="J1139" s="2"/>
      <c r="M1139" s="40"/>
      <c r="N1139" s="2"/>
      <c r="O1139" s="24"/>
      <c r="P1139" s="24"/>
      <c r="Q1139" s="24"/>
      <c r="R1139" s="24"/>
      <c r="S1139" s="24"/>
      <c r="T1139" s="24"/>
      <c r="U1139" s="24"/>
      <c r="V1139" s="24"/>
      <c r="W1139" s="24"/>
      <c r="X1139" s="24"/>
      <c r="Y1139" s="24"/>
      <c r="Z1139" s="24"/>
      <c r="AA1139" s="24"/>
      <c r="AB1139" s="24"/>
      <c r="AC1139" s="24"/>
      <c r="AE1139" s="24"/>
      <c r="AF1139" s="24"/>
      <c r="AG1139" s="24"/>
      <c r="AH1139" s="24"/>
      <c r="AI1139" s="24"/>
      <c r="AJ1139" s="24"/>
      <c r="AK1139" s="24"/>
      <c r="AL1139" s="24"/>
      <c r="AM1139" s="24"/>
    </row>
    <row r="1140">
      <c r="A1140" s="11"/>
      <c r="B1140" s="23"/>
      <c r="C1140" s="23"/>
      <c r="D1140" s="23"/>
      <c r="E1140" s="23"/>
      <c r="F1140" s="1"/>
      <c r="G1140" s="23"/>
      <c r="H1140" s="23"/>
      <c r="I1140" s="23"/>
      <c r="J1140" s="2"/>
      <c r="M1140" s="40"/>
      <c r="N1140" s="2"/>
      <c r="O1140" s="24"/>
      <c r="P1140" s="24"/>
      <c r="Q1140" s="24"/>
      <c r="R1140" s="24"/>
      <c r="S1140" s="24"/>
      <c r="T1140" s="24"/>
      <c r="U1140" s="24"/>
      <c r="V1140" s="24"/>
      <c r="W1140" s="24"/>
      <c r="X1140" s="24"/>
      <c r="Y1140" s="24"/>
      <c r="Z1140" s="24"/>
      <c r="AA1140" s="24"/>
      <c r="AB1140" s="24"/>
      <c r="AC1140" s="24"/>
      <c r="AE1140" s="24"/>
      <c r="AF1140" s="24"/>
      <c r="AG1140" s="24"/>
      <c r="AH1140" s="24"/>
      <c r="AI1140" s="24"/>
      <c r="AJ1140" s="24"/>
      <c r="AK1140" s="24"/>
      <c r="AL1140" s="24"/>
      <c r="AM1140" s="24"/>
    </row>
    <row r="1141">
      <c r="A1141" s="11"/>
      <c r="B1141" s="23"/>
      <c r="C1141" s="23"/>
      <c r="D1141" s="23"/>
      <c r="E1141" s="23"/>
      <c r="F1141" s="1"/>
      <c r="G1141" s="23"/>
      <c r="H1141" s="23"/>
      <c r="I1141" s="23"/>
      <c r="J1141" s="2"/>
      <c r="M1141" s="40"/>
      <c r="N1141" s="2"/>
      <c r="O1141" s="24"/>
      <c r="P1141" s="24"/>
      <c r="Q1141" s="24"/>
      <c r="R1141" s="24"/>
      <c r="S1141" s="24"/>
      <c r="T1141" s="24"/>
      <c r="U1141" s="24"/>
      <c r="V1141" s="24"/>
      <c r="W1141" s="24"/>
      <c r="X1141" s="24"/>
      <c r="Y1141" s="24"/>
      <c r="Z1141" s="24"/>
      <c r="AA1141" s="24"/>
      <c r="AB1141" s="24"/>
      <c r="AC1141" s="24"/>
      <c r="AE1141" s="24"/>
      <c r="AF1141" s="24"/>
      <c r="AG1141" s="24"/>
      <c r="AH1141" s="24"/>
      <c r="AI1141" s="24"/>
      <c r="AJ1141" s="24"/>
      <c r="AK1141" s="24"/>
      <c r="AL1141" s="24"/>
      <c r="AM1141" s="24"/>
    </row>
    <row r="1142">
      <c r="A1142" s="11"/>
      <c r="B1142" s="23"/>
      <c r="C1142" s="23"/>
      <c r="D1142" s="23"/>
      <c r="E1142" s="23"/>
      <c r="F1142" s="1"/>
      <c r="G1142" s="23"/>
      <c r="H1142" s="23"/>
      <c r="I1142" s="23"/>
      <c r="J1142" s="2"/>
      <c r="M1142" s="40"/>
      <c r="N1142" s="2"/>
      <c r="O1142" s="24"/>
      <c r="P1142" s="24"/>
      <c r="Q1142" s="24"/>
      <c r="R1142" s="24"/>
      <c r="S1142" s="24"/>
      <c r="T1142" s="24"/>
      <c r="U1142" s="24"/>
      <c r="V1142" s="24"/>
      <c r="W1142" s="24"/>
      <c r="X1142" s="24"/>
      <c r="Y1142" s="24"/>
      <c r="Z1142" s="24"/>
      <c r="AA1142" s="24"/>
      <c r="AB1142" s="24"/>
      <c r="AC1142" s="24"/>
      <c r="AE1142" s="24"/>
      <c r="AF1142" s="24"/>
      <c r="AG1142" s="24"/>
      <c r="AH1142" s="24"/>
      <c r="AI1142" s="24"/>
      <c r="AJ1142" s="24"/>
      <c r="AK1142" s="24"/>
      <c r="AL1142" s="24"/>
      <c r="AM1142" s="24"/>
    </row>
    <row r="1143">
      <c r="A1143" s="11"/>
      <c r="B1143" s="23"/>
      <c r="C1143" s="23"/>
      <c r="D1143" s="23"/>
      <c r="E1143" s="23"/>
      <c r="F1143" s="1"/>
      <c r="G1143" s="23"/>
      <c r="H1143" s="23"/>
      <c r="I1143" s="23"/>
      <c r="J1143" s="2"/>
      <c r="M1143" s="40"/>
      <c r="N1143" s="2"/>
      <c r="O1143" s="24"/>
      <c r="P1143" s="24"/>
      <c r="Q1143" s="24"/>
      <c r="R1143" s="24"/>
      <c r="S1143" s="24"/>
      <c r="T1143" s="24"/>
      <c r="U1143" s="24"/>
      <c r="V1143" s="24"/>
      <c r="W1143" s="24"/>
      <c r="X1143" s="24"/>
      <c r="Y1143" s="24"/>
      <c r="Z1143" s="24"/>
      <c r="AA1143" s="24"/>
      <c r="AB1143" s="24"/>
      <c r="AC1143" s="24"/>
      <c r="AE1143" s="24"/>
      <c r="AF1143" s="24"/>
      <c r="AG1143" s="24"/>
      <c r="AH1143" s="24"/>
      <c r="AI1143" s="24"/>
      <c r="AJ1143" s="24"/>
      <c r="AK1143" s="24"/>
      <c r="AL1143" s="24"/>
      <c r="AM1143" s="24"/>
    </row>
    <row r="1144">
      <c r="A1144" s="11"/>
      <c r="B1144" s="23"/>
      <c r="C1144" s="23"/>
      <c r="D1144" s="23"/>
      <c r="E1144" s="23"/>
      <c r="F1144" s="1"/>
      <c r="G1144" s="23"/>
      <c r="H1144" s="23"/>
      <c r="I1144" s="23"/>
      <c r="J1144" s="2"/>
      <c r="M1144" s="40"/>
      <c r="N1144" s="2"/>
      <c r="O1144" s="24"/>
      <c r="P1144" s="24"/>
      <c r="Q1144" s="24"/>
      <c r="R1144" s="24"/>
      <c r="S1144" s="24"/>
      <c r="T1144" s="24"/>
      <c r="U1144" s="24"/>
      <c r="V1144" s="24"/>
      <c r="W1144" s="24"/>
      <c r="X1144" s="24"/>
      <c r="Y1144" s="24"/>
      <c r="Z1144" s="24"/>
      <c r="AA1144" s="24"/>
      <c r="AB1144" s="24"/>
      <c r="AC1144" s="24"/>
      <c r="AE1144" s="24"/>
      <c r="AF1144" s="24"/>
      <c r="AG1144" s="24"/>
      <c r="AH1144" s="24"/>
      <c r="AI1144" s="24"/>
      <c r="AJ1144" s="24"/>
      <c r="AK1144" s="24"/>
      <c r="AL1144" s="24"/>
      <c r="AM1144" s="24"/>
    </row>
    <row r="1145">
      <c r="A1145" s="11"/>
      <c r="B1145" s="23"/>
      <c r="C1145" s="23"/>
      <c r="D1145" s="23"/>
      <c r="E1145" s="23"/>
      <c r="F1145" s="1"/>
      <c r="G1145" s="23"/>
      <c r="H1145" s="23"/>
      <c r="I1145" s="23"/>
      <c r="J1145" s="2"/>
      <c r="M1145" s="40"/>
      <c r="N1145" s="2"/>
      <c r="O1145" s="24"/>
      <c r="P1145" s="24"/>
      <c r="Q1145" s="24"/>
      <c r="R1145" s="24"/>
      <c r="S1145" s="24"/>
      <c r="T1145" s="24"/>
      <c r="U1145" s="24"/>
      <c r="V1145" s="24"/>
      <c r="W1145" s="24"/>
      <c r="X1145" s="24"/>
      <c r="Y1145" s="24"/>
      <c r="Z1145" s="24"/>
      <c r="AA1145" s="24"/>
      <c r="AB1145" s="24"/>
      <c r="AC1145" s="24"/>
      <c r="AE1145" s="24"/>
      <c r="AF1145" s="24"/>
      <c r="AG1145" s="24"/>
      <c r="AH1145" s="24"/>
      <c r="AI1145" s="24"/>
      <c r="AJ1145" s="24"/>
      <c r="AK1145" s="24"/>
      <c r="AL1145" s="24"/>
      <c r="AM1145" s="24"/>
    </row>
    <row r="1146">
      <c r="A1146" s="11"/>
      <c r="B1146" s="23"/>
      <c r="C1146" s="23"/>
      <c r="D1146" s="23"/>
      <c r="E1146" s="23"/>
      <c r="F1146" s="1"/>
      <c r="G1146" s="23"/>
      <c r="H1146" s="23"/>
      <c r="I1146" s="23"/>
      <c r="J1146" s="2"/>
      <c r="M1146" s="40"/>
      <c r="N1146" s="2"/>
      <c r="O1146" s="24"/>
      <c r="P1146" s="24"/>
      <c r="Q1146" s="24"/>
      <c r="R1146" s="24"/>
      <c r="S1146" s="24"/>
      <c r="T1146" s="24"/>
      <c r="U1146" s="24"/>
      <c r="V1146" s="24"/>
      <c r="W1146" s="24"/>
      <c r="X1146" s="24"/>
      <c r="Y1146" s="24"/>
      <c r="Z1146" s="24"/>
      <c r="AA1146" s="24"/>
      <c r="AB1146" s="24"/>
      <c r="AC1146" s="24"/>
      <c r="AE1146" s="24"/>
      <c r="AF1146" s="24"/>
      <c r="AG1146" s="24"/>
      <c r="AH1146" s="24"/>
      <c r="AI1146" s="24"/>
      <c r="AJ1146" s="24"/>
      <c r="AK1146" s="24"/>
      <c r="AL1146" s="24"/>
      <c r="AM1146" s="24"/>
    </row>
    <row r="1147">
      <c r="A1147" s="11"/>
      <c r="B1147" s="23"/>
      <c r="C1147" s="23"/>
      <c r="D1147" s="23"/>
      <c r="E1147" s="23"/>
      <c r="F1147" s="1"/>
      <c r="G1147" s="23"/>
      <c r="H1147" s="23"/>
      <c r="I1147" s="23"/>
      <c r="J1147" s="2"/>
      <c r="M1147" s="40"/>
      <c r="N1147" s="2"/>
      <c r="O1147" s="24"/>
      <c r="P1147" s="24"/>
      <c r="Q1147" s="24"/>
      <c r="R1147" s="24"/>
      <c r="S1147" s="24"/>
      <c r="T1147" s="24"/>
      <c r="U1147" s="24"/>
      <c r="V1147" s="24"/>
      <c r="W1147" s="24"/>
      <c r="X1147" s="24"/>
      <c r="Y1147" s="24"/>
      <c r="Z1147" s="24"/>
      <c r="AA1147" s="24"/>
      <c r="AB1147" s="24"/>
      <c r="AC1147" s="24"/>
      <c r="AE1147" s="24"/>
      <c r="AF1147" s="24"/>
      <c r="AG1147" s="24"/>
      <c r="AH1147" s="24"/>
      <c r="AI1147" s="24"/>
      <c r="AJ1147" s="24"/>
      <c r="AK1147" s="24"/>
      <c r="AL1147" s="24"/>
      <c r="AM1147" s="24"/>
    </row>
    <row r="1148">
      <c r="A1148" s="11"/>
      <c r="B1148" s="23"/>
      <c r="C1148" s="23"/>
      <c r="D1148" s="23"/>
      <c r="E1148" s="23"/>
      <c r="F1148" s="1"/>
      <c r="G1148" s="23"/>
      <c r="H1148" s="23"/>
      <c r="I1148" s="23"/>
      <c r="J1148" s="2"/>
      <c r="M1148" s="40"/>
      <c r="N1148" s="2"/>
      <c r="O1148" s="24"/>
      <c r="P1148" s="24"/>
      <c r="Q1148" s="24"/>
      <c r="R1148" s="24"/>
      <c r="S1148" s="24"/>
      <c r="T1148" s="24"/>
      <c r="U1148" s="24"/>
      <c r="V1148" s="24"/>
      <c r="W1148" s="24"/>
      <c r="X1148" s="24"/>
      <c r="Y1148" s="24"/>
      <c r="Z1148" s="24"/>
      <c r="AA1148" s="24"/>
      <c r="AB1148" s="24"/>
      <c r="AC1148" s="24"/>
      <c r="AE1148" s="24"/>
      <c r="AF1148" s="24"/>
      <c r="AG1148" s="24"/>
      <c r="AH1148" s="24"/>
      <c r="AI1148" s="24"/>
      <c r="AJ1148" s="24"/>
      <c r="AK1148" s="24"/>
      <c r="AL1148" s="24"/>
      <c r="AM1148" s="24"/>
    </row>
    <row r="1149">
      <c r="A1149" s="11"/>
      <c r="B1149" s="23"/>
      <c r="C1149" s="23"/>
      <c r="D1149" s="23"/>
      <c r="E1149" s="23"/>
      <c r="F1149" s="1"/>
      <c r="G1149" s="23"/>
      <c r="H1149" s="23"/>
      <c r="I1149" s="23"/>
      <c r="J1149" s="2"/>
      <c r="M1149" s="40"/>
      <c r="N1149" s="2"/>
      <c r="O1149" s="24"/>
      <c r="P1149" s="24"/>
      <c r="Q1149" s="24"/>
      <c r="R1149" s="24"/>
      <c r="S1149" s="24"/>
      <c r="T1149" s="24"/>
      <c r="U1149" s="24"/>
      <c r="V1149" s="24"/>
      <c r="W1149" s="24"/>
      <c r="X1149" s="24"/>
      <c r="Y1149" s="24"/>
      <c r="Z1149" s="24"/>
      <c r="AA1149" s="24"/>
      <c r="AB1149" s="24"/>
      <c r="AC1149" s="24"/>
      <c r="AE1149" s="24"/>
      <c r="AF1149" s="24"/>
      <c r="AG1149" s="24"/>
      <c r="AH1149" s="24"/>
      <c r="AI1149" s="24"/>
      <c r="AJ1149" s="24"/>
      <c r="AK1149" s="24"/>
      <c r="AL1149" s="24"/>
      <c r="AM1149" s="24"/>
    </row>
    <row r="1150">
      <c r="A1150" s="11"/>
      <c r="B1150" s="23"/>
      <c r="C1150" s="23"/>
      <c r="D1150" s="23"/>
      <c r="E1150" s="23"/>
      <c r="F1150" s="1"/>
      <c r="G1150" s="23"/>
      <c r="H1150" s="23"/>
      <c r="I1150" s="23"/>
      <c r="J1150" s="2"/>
      <c r="M1150" s="40"/>
      <c r="N1150" s="2"/>
      <c r="O1150" s="24"/>
      <c r="P1150" s="24"/>
      <c r="Q1150" s="24"/>
      <c r="R1150" s="24"/>
      <c r="S1150" s="24"/>
      <c r="T1150" s="24"/>
      <c r="U1150" s="24"/>
      <c r="V1150" s="24"/>
      <c r="W1150" s="24"/>
      <c r="X1150" s="24"/>
      <c r="Y1150" s="24"/>
      <c r="Z1150" s="24"/>
      <c r="AA1150" s="24"/>
      <c r="AB1150" s="24"/>
      <c r="AC1150" s="24"/>
      <c r="AE1150" s="24"/>
      <c r="AF1150" s="24"/>
      <c r="AG1150" s="24"/>
      <c r="AH1150" s="24"/>
      <c r="AI1150" s="24"/>
      <c r="AJ1150" s="24"/>
      <c r="AK1150" s="24"/>
      <c r="AL1150" s="24"/>
      <c r="AM1150" s="24"/>
    </row>
    <row r="1151">
      <c r="A1151" s="11"/>
      <c r="B1151" s="23"/>
      <c r="C1151" s="23"/>
      <c r="D1151" s="23"/>
      <c r="E1151" s="23"/>
      <c r="F1151" s="1"/>
      <c r="G1151" s="23"/>
      <c r="H1151" s="23"/>
      <c r="I1151" s="23"/>
      <c r="J1151" s="2"/>
      <c r="M1151" s="40"/>
      <c r="N1151" s="2"/>
      <c r="O1151" s="24"/>
      <c r="P1151" s="24"/>
      <c r="Q1151" s="24"/>
      <c r="R1151" s="24"/>
      <c r="S1151" s="24"/>
      <c r="T1151" s="24"/>
      <c r="U1151" s="24"/>
      <c r="V1151" s="24"/>
      <c r="W1151" s="24"/>
      <c r="X1151" s="24"/>
      <c r="Y1151" s="24"/>
      <c r="Z1151" s="24"/>
      <c r="AA1151" s="24"/>
      <c r="AB1151" s="24"/>
      <c r="AC1151" s="24"/>
      <c r="AE1151" s="24"/>
      <c r="AF1151" s="24"/>
      <c r="AG1151" s="24"/>
      <c r="AH1151" s="24"/>
      <c r="AI1151" s="24"/>
      <c r="AJ1151" s="24"/>
      <c r="AK1151" s="24"/>
      <c r="AL1151" s="24"/>
      <c r="AM1151" s="24"/>
    </row>
    <row r="1152">
      <c r="A1152" s="11"/>
      <c r="B1152" s="23"/>
      <c r="C1152" s="23"/>
      <c r="D1152" s="23"/>
      <c r="E1152" s="23"/>
      <c r="F1152" s="1"/>
      <c r="G1152" s="23"/>
      <c r="H1152" s="23"/>
      <c r="I1152" s="23"/>
      <c r="J1152" s="2"/>
      <c r="M1152" s="40"/>
      <c r="N1152" s="2"/>
      <c r="O1152" s="24"/>
      <c r="P1152" s="24"/>
      <c r="Q1152" s="24"/>
      <c r="R1152" s="24"/>
      <c r="S1152" s="24"/>
      <c r="T1152" s="24"/>
      <c r="U1152" s="24"/>
      <c r="V1152" s="24"/>
      <c r="W1152" s="24"/>
      <c r="X1152" s="24"/>
      <c r="Y1152" s="24"/>
      <c r="Z1152" s="24"/>
      <c r="AA1152" s="24"/>
      <c r="AB1152" s="24"/>
      <c r="AC1152" s="24"/>
      <c r="AE1152" s="24"/>
      <c r="AF1152" s="24"/>
      <c r="AG1152" s="24"/>
      <c r="AH1152" s="24"/>
      <c r="AI1152" s="24"/>
      <c r="AJ1152" s="24"/>
      <c r="AK1152" s="24"/>
      <c r="AL1152" s="24"/>
      <c r="AM1152" s="24"/>
    </row>
    <row r="1153">
      <c r="A1153" s="11"/>
      <c r="B1153" s="23"/>
      <c r="C1153" s="23"/>
      <c r="D1153" s="23"/>
      <c r="E1153" s="23"/>
      <c r="F1153" s="1"/>
      <c r="G1153" s="23"/>
      <c r="H1153" s="23"/>
      <c r="I1153" s="23"/>
      <c r="J1153" s="2"/>
      <c r="M1153" s="40"/>
      <c r="N1153" s="2"/>
      <c r="O1153" s="24"/>
      <c r="P1153" s="24"/>
      <c r="Q1153" s="24"/>
      <c r="R1153" s="24"/>
      <c r="S1153" s="24"/>
      <c r="T1153" s="24"/>
      <c r="U1153" s="24"/>
      <c r="V1153" s="24"/>
      <c r="W1153" s="24"/>
      <c r="X1153" s="24"/>
      <c r="Y1153" s="24"/>
      <c r="Z1153" s="24"/>
      <c r="AA1153" s="24"/>
      <c r="AB1153" s="24"/>
      <c r="AC1153" s="24"/>
      <c r="AE1153" s="24"/>
      <c r="AF1153" s="24"/>
      <c r="AG1153" s="24"/>
      <c r="AH1153" s="24"/>
      <c r="AI1153" s="24"/>
      <c r="AJ1153" s="24"/>
      <c r="AK1153" s="24"/>
      <c r="AL1153" s="24"/>
      <c r="AM1153" s="24"/>
    </row>
    <row r="1154">
      <c r="A1154" s="11"/>
      <c r="B1154" s="23"/>
      <c r="C1154" s="23"/>
      <c r="D1154" s="23"/>
      <c r="E1154" s="23"/>
      <c r="F1154" s="1"/>
      <c r="G1154" s="23"/>
      <c r="H1154" s="23"/>
      <c r="I1154" s="23"/>
      <c r="J1154" s="2"/>
      <c r="M1154" s="40"/>
      <c r="N1154" s="2"/>
      <c r="O1154" s="24"/>
      <c r="P1154" s="24"/>
      <c r="Q1154" s="24"/>
      <c r="R1154" s="24"/>
      <c r="S1154" s="24"/>
      <c r="T1154" s="24"/>
      <c r="U1154" s="24"/>
      <c r="V1154" s="24"/>
      <c r="W1154" s="24"/>
      <c r="X1154" s="24"/>
      <c r="Y1154" s="24"/>
      <c r="Z1154" s="24"/>
      <c r="AA1154" s="24"/>
      <c r="AB1154" s="24"/>
      <c r="AC1154" s="24"/>
      <c r="AE1154" s="24"/>
      <c r="AF1154" s="24"/>
      <c r="AG1154" s="24"/>
      <c r="AH1154" s="24"/>
      <c r="AI1154" s="24"/>
      <c r="AJ1154" s="24"/>
      <c r="AK1154" s="24"/>
      <c r="AL1154" s="24"/>
      <c r="AM1154" s="24"/>
    </row>
    <row r="1155">
      <c r="A1155" s="11"/>
      <c r="B1155" s="23"/>
      <c r="C1155" s="23"/>
      <c r="D1155" s="23"/>
      <c r="E1155" s="23"/>
      <c r="F1155" s="1"/>
      <c r="G1155" s="23"/>
      <c r="H1155" s="23"/>
      <c r="I1155" s="23"/>
      <c r="J1155" s="2"/>
      <c r="M1155" s="40"/>
      <c r="N1155" s="2"/>
      <c r="O1155" s="24"/>
      <c r="P1155" s="24"/>
      <c r="Q1155" s="24"/>
      <c r="R1155" s="24"/>
      <c r="S1155" s="24"/>
      <c r="T1155" s="24"/>
      <c r="U1155" s="24"/>
      <c r="V1155" s="24"/>
      <c r="W1155" s="24"/>
      <c r="X1155" s="24"/>
      <c r="Y1155" s="24"/>
      <c r="Z1155" s="24"/>
      <c r="AA1155" s="24"/>
      <c r="AB1155" s="24"/>
      <c r="AC1155" s="24"/>
      <c r="AE1155" s="24"/>
      <c r="AF1155" s="24"/>
      <c r="AG1155" s="24"/>
      <c r="AH1155" s="24"/>
      <c r="AI1155" s="24"/>
      <c r="AJ1155" s="24"/>
      <c r="AK1155" s="24"/>
      <c r="AL1155" s="24"/>
      <c r="AM1155" s="24"/>
    </row>
    <row r="1156">
      <c r="A1156" s="11"/>
      <c r="B1156" s="23"/>
      <c r="C1156" s="23"/>
      <c r="D1156" s="23"/>
      <c r="E1156" s="23"/>
      <c r="F1156" s="1"/>
      <c r="G1156" s="23"/>
      <c r="H1156" s="23"/>
      <c r="I1156" s="23"/>
      <c r="J1156" s="2"/>
      <c r="M1156" s="40"/>
      <c r="N1156" s="2"/>
      <c r="O1156" s="24"/>
      <c r="P1156" s="24"/>
      <c r="Q1156" s="24"/>
      <c r="R1156" s="24"/>
      <c r="S1156" s="24"/>
      <c r="T1156" s="24"/>
      <c r="U1156" s="24"/>
      <c r="V1156" s="24"/>
      <c r="W1156" s="24"/>
      <c r="X1156" s="24"/>
      <c r="Y1156" s="24"/>
      <c r="Z1156" s="24"/>
      <c r="AA1156" s="24"/>
      <c r="AB1156" s="24"/>
      <c r="AC1156" s="24"/>
      <c r="AE1156" s="24"/>
      <c r="AF1156" s="24"/>
      <c r="AG1156" s="24"/>
      <c r="AH1156" s="24"/>
      <c r="AI1156" s="24"/>
      <c r="AJ1156" s="24"/>
      <c r="AK1156" s="24"/>
      <c r="AL1156" s="24"/>
      <c r="AM1156" s="24"/>
    </row>
    <row r="1157">
      <c r="A1157" s="11"/>
      <c r="B1157" s="23"/>
      <c r="C1157" s="23"/>
      <c r="D1157" s="23"/>
      <c r="E1157" s="23"/>
      <c r="F1157" s="1"/>
      <c r="G1157" s="23"/>
      <c r="H1157" s="23"/>
      <c r="I1157" s="23"/>
      <c r="J1157" s="2"/>
      <c r="M1157" s="40"/>
      <c r="N1157" s="2"/>
      <c r="O1157" s="24"/>
      <c r="P1157" s="24"/>
      <c r="Q1157" s="24"/>
      <c r="R1157" s="24"/>
      <c r="S1157" s="24"/>
      <c r="T1157" s="24"/>
      <c r="U1157" s="24"/>
      <c r="V1157" s="24"/>
      <c r="W1157" s="24"/>
      <c r="X1157" s="24"/>
      <c r="Y1157" s="24"/>
      <c r="Z1157" s="24"/>
      <c r="AA1157" s="24"/>
      <c r="AB1157" s="24"/>
      <c r="AC1157" s="24"/>
      <c r="AE1157" s="24"/>
      <c r="AF1157" s="24"/>
      <c r="AG1157" s="24"/>
      <c r="AH1157" s="24"/>
      <c r="AI1157" s="24"/>
      <c r="AJ1157" s="24"/>
      <c r="AK1157" s="24"/>
      <c r="AL1157" s="24"/>
      <c r="AM1157" s="24"/>
    </row>
    <row r="1158">
      <c r="A1158" s="11"/>
      <c r="B1158" s="23"/>
      <c r="C1158" s="23"/>
      <c r="D1158" s="23"/>
      <c r="E1158" s="23"/>
      <c r="F1158" s="1"/>
      <c r="G1158" s="23"/>
      <c r="H1158" s="23"/>
      <c r="I1158" s="23"/>
      <c r="J1158" s="2"/>
      <c r="M1158" s="40"/>
      <c r="N1158" s="2"/>
      <c r="O1158" s="24"/>
      <c r="P1158" s="24"/>
      <c r="Q1158" s="24"/>
      <c r="R1158" s="24"/>
      <c r="S1158" s="24"/>
      <c r="T1158" s="24"/>
      <c r="U1158" s="24"/>
      <c r="V1158" s="24"/>
      <c r="W1158" s="24"/>
      <c r="X1158" s="24"/>
      <c r="Y1158" s="24"/>
      <c r="Z1158" s="24"/>
      <c r="AA1158" s="24"/>
      <c r="AB1158" s="24"/>
      <c r="AC1158" s="24"/>
      <c r="AE1158" s="24"/>
      <c r="AF1158" s="24"/>
      <c r="AG1158" s="24"/>
      <c r="AH1158" s="24"/>
      <c r="AI1158" s="24"/>
      <c r="AJ1158" s="24"/>
      <c r="AK1158" s="24"/>
      <c r="AL1158" s="24"/>
      <c r="AM1158" s="24"/>
    </row>
    <row r="1159">
      <c r="A1159" s="11"/>
      <c r="B1159" s="23"/>
      <c r="C1159" s="23"/>
      <c r="D1159" s="23"/>
      <c r="E1159" s="23"/>
      <c r="F1159" s="1"/>
      <c r="G1159" s="23"/>
      <c r="H1159" s="23"/>
      <c r="I1159" s="23"/>
      <c r="J1159" s="2"/>
      <c r="M1159" s="40"/>
      <c r="N1159" s="2"/>
      <c r="O1159" s="24"/>
      <c r="P1159" s="24"/>
      <c r="Q1159" s="24"/>
      <c r="R1159" s="24"/>
      <c r="S1159" s="24"/>
      <c r="T1159" s="24"/>
      <c r="U1159" s="24"/>
      <c r="V1159" s="24"/>
      <c r="W1159" s="24"/>
      <c r="X1159" s="24"/>
      <c r="Y1159" s="24"/>
      <c r="Z1159" s="24"/>
      <c r="AA1159" s="24"/>
      <c r="AB1159" s="24"/>
      <c r="AC1159" s="24"/>
      <c r="AE1159" s="24"/>
      <c r="AF1159" s="24"/>
      <c r="AG1159" s="24"/>
      <c r="AH1159" s="24"/>
      <c r="AI1159" s="24"/>
      <c r="AJ1159" s="24"/>
      <c r="AK1159" s="24"/>
      <c r="AL1159" s="24"/>
      <c r="AM1159" s="24"/>
    </row>
    <row r="1160">
      <c r="A1160" s="11"/>
      <c r="B1160" s="23"/>
      <c r="C1160" s="23"/>
      <c r="D1160" s="23"/>
      <c r="E1160" s="23"/>
      <c r="F1160" s="1"/>
      <c r="G1160" s="23"/>
      <c r="H1160" s="23"/>
      <c r="I1160" s="23"/>
      <c r="J1160" s="2"/>
      <c r="M1160" s="40"/>
      <c r="N1160" s="2"/>
      <c r="O1160" s="24"/>
      <c r="P1160" s="24"/>
      <c r="Q1160" s="24"/>
      <c r="R1160" s="24"/>
      <c r="S1160" s="24"/>
      <c r="T1160" s="24"/>
      <c r="U1160" s="24"/>
      <c r="V1160" s="24"/>
      <c r="W1160" s="24"/>
      <c r="X1160" s="24"/>
      <c r="Y1160" s="24"/>
      <c r="Z1160" s="24"/>
      <c r="AA1160" s="24"/>
      <c r="AB1160" s="24"/>
      <c r="AC1160" s="24"/>
      <c r="AE1160" s="24"/>
      <c r="AF1160" s="24"/>
      <c r="AG1160" s="24"/>
      <c r="AH1160" s="24"/>
      <c r="AI1160" s="24"/>
      <c r="AJ1160" s="24"/>
      <c r="AK1160" s="24"/>
      <c r="AL1160" s="24"/>
      <c r="AM1160" s="24"/>
    </row>
    <row r="1161">
      <c r="A1161" s="11"/>
      <c r="B1161" s="23"/>
      <c r="C1161" s="23"/>
      <c r="D1161" s="23"/>
      <c r="E1161" s="23"/>
      <c r="F1161" s="1"/>
      <c r="G1161" s="23"/>
      <c r="H1161" s="23"/>
      <c r="I1161" s="23"/>
      <c r="J1161" s="2"/>
      <c r="M1161" s="40"/>
      <c r="N1161" s="2"/>
      <c r="O1161" s="24"/>
      <c r="P1161" s="24"/>
      <c r="Q1161" s="24"/>
      <c r="R1161" s="24"/>
      <c r="S1161" s="24"/>
      <c r="T1161" s="24"/>
      <c r="U1161" s="24"/>
      <c r="V1161" s="24"/>
      <c r="W1161" s="24"/>
      <c r="X1161" s="24"/>
      <c r="Y1161" s="24"/>
      <c r="Z1161" s="24"/>
      <c r="AA1161" s="24"/>
      <c r="AB1161" s="24"/>
      <c r="AC1161" s="24"/>
      <c r="AE1161" s="24"/>
      <c r="AF1161" s="24"/>
      <c r="AG1161" s="24"/>
      <c r="AH1161" s="24"/>
      <c r="AI1161" s="24"/>
      <c r="AJ1161" s="24"/>
      <c r="AK1161" s="24"/>
      <c r="AL1161" s="24"/>
      <c r="AM1161" s="24"/>
    </row>
    <row r="1162">
      <c r="A1162" s="11"/>
      <c r="B1162" s="23"/>
      <c r="C1162" s="23"/>
      <c r="D1162" s="23"/>
      <c r="E1162" s="23"/>
      <c r="F1162" s="1"/>
      <c r="G1162" s="23"/>
      <c r="H1162" s="23"/>
      <c r="I1162" s="23"/>
      <c r="J1162" s="2"/>
      <c r="M1162" s="40"/>
      <c r="N1162" s="2"/>
      <c r="O1162" s="24"/>
      <c r="P1162" s="24"/>
      <c r="Q1162" s="24"/>
      <c r="R1162" s="24"/>
      <c r="S1162" s="24"/>
      <c r="T1162" s="24"/>
      <c r="U1162" s="24"/>
      <c r="V1162" s="24"/>
      <c r="W1162" s="24"/>
      <c r="X1162" s="24"/>
      <c r="Y1162" s="24"/>
      <c r="Z1162" s="24"/>
      <c r="AA1162" s="24"/>
      <c r="AB1162" s="24"/>
      <c r="AC1162" s="24"/>
      <c r="AE1162" s="24"/>
      <c r="AF1162" s="24"/>
      <c r="AG1162" s="24"/>
      <c r="AH1162" s="24"/>
      <c r="AI1162" s="24"/>
      <c r="AJ1162" s="24"/>
      <c r="AK1162" s="24"/>
      <c r="AL1162" s="24"/>
      <c r="AM1162" s="24"/>
    </row>
    <row r="1163">
      <c r="A1163" s="11"/>
      <c r="B1163" s="23"/>
      <c r="C1163" s="23"/>
      <c r="D1163" s="23"/>
      <c r="E1163" s="23"/>
      <c r="F1163" s="1"/>
      <c r="G1163" s="23"/>
      <c r="H1163" s="23"/>
      <c r="I1163" s="23"/>
      <c r="J1163" s="2"/>
      <c r="M1163" s="40"/>
      <c r="N1163" s="2"/>
      <c r="O1163" s="24"/>
      <c r="P1163" s="24"/>
      <c r="Q1163" s="24"/>
      <c r="R1163" s="24"/>
      <c r="S1163" s="24"/>
      <c r="T1163" s="24"/>
      <c r="U1163" s="24"/>
      <c r="V1163" s="24"/>
      <c r="W1163" s="24"/>
      <c r="X1163" s="24"/>
      <c r="Y1163" s="24"/>
      <c r="Z1163" s="24"/>
      <c r="AA1163" s="24"/>
      <c r="AB1163" s="24"/>
      <c r="AC1163" s="24"/>
      <c r="AE1163" s="24"/>
      <c r="AF1163" s="24"/>
      <c r="AG1163" s="24"/>
      <c r="AH1163" s="24"/>
      <c r="AI1163" s="24"/>
      <c r="AJ1163" s="24"/>
      <c r="AK1163" s="24"/>
      <c r="AL1163" s="24"/>
      <c r="AM1163" s="24"/>
    </row>
    <row r="1164">
      <c r="A1164" s="11"/>
      <c r="B1164" s="23"/>
      <c r="C1164" s="23"/>
      <c r="D1164" s="23"/>
      <c r="E1164" s="23"/>
      <c r="F1164" s="1"/>
      <c r="G1164" s="23"/>
      <c r="H1164" s="23"/>
      <c r="I1164" s="23"/>
      <c r="J1164" s="2"/>
      <c r="M1164" s="40"/>
      <c r="N1164" s="2"/>
      <c r="O1164" s="24"/>
      <c r="P1164" s="24"/>
      <c r="Q1164" s="24"/>
      <c r="R1164" s="24"/>
      <c r="S1164" s="24"/>
      <c r="T1164" s="24"/>
      <c r="U1164" s="24"/>
      <c r="V1164" s="24"/>
      <c r="W1164" s="24"/>
      <c r="X1164" s="24"/>
      <c r="Y1164" s="24"/>
      <c r="Z1164" s="24"/>
      <c r="AA1164" s="24"/>
      <c r="AB1164" s="24"/>
      <c r="AC1164" s="24"/>
      <c r="AE1164" s="24"/>
      <c r="AF1164" s="24"/>
      <c r="AG1164" s="24"/>
      <c r="AH1164" s="24"/>
      <c r="AI1164" s="24"/>
      <c r="AJ1164" s="24"/>
      <c r="AK1164" s="24"/>
      <c r="AL1164" s="24"/>
      <c r="AM1164" s="24"/>
    </row>
    <row r="1165">
      <c r="A1165" s="11"/>
      <c r="B1165" s="23"/>
      <c r="C1165" s="23"/>
      <c r="D1165" s="23"/>
      <c r="E1165" s="23"/>
      <c r="F1165" s="1"/>
      <c r="G1165" s="23"/>
      <c r="H1165" s="23"/>
      <c r="I1165" s="23"/>
      <c r="J1165" s="2"/>
      <c r="M1165" s="40"/>
      <c r="N1165" s="2"/>
      <c r="O1165" s="24"/>
      <c r="P1165" s="24"/>
      <c r="Q1165" s="24"/>
      <c r="R1165" s="24"/>
      <c r="S1165" s="24"/>
      <c r="T1165" s="24"/>
      <c r="U1165" s="24"/>
      <c r="V1165" s="24"/>
      <c r="W1165" s="24"/>
      <c r="X1165" s="24"/>
      <c r="Y1165" s="24"/>
      <c r="Z1165" s="24"/>
      <c r="AA1165" s="24"/>
      <c r="AB1165" s="24"/>
      <c r="AC1165" s="24"/>
      <c r="AE1165" s="24"/>
      <c r="AF1165" s="24"/>
      <c r="AG1165" s="24"/>
      <c r="AH1165" s="24"/>
      <c r="AI1165" s="24"/>
      <c r="AJ1165" s="24"/>
      <c r="AK1165" s="24"/>
      <c r="AL1165" s="24"/>
      <c r="AM1165" s="24"/>
    </row>
    <row r="1166">
      <c r="A1166" s="11"/>
      <c r="B1166" s="23"/>
      <c r="C1166" s="23"/>
      <c r="D1166" s="23"/>
      <c r="E1166" s="23"/>
      <c r="F1166" s="1"/>
      <c r="G1166" s="23"/>
      <c r="H1166" s="23"/>
      <c r="I1166" s="23"/>
      <c r="J1166" s="2"/>
      <c r="M1166" s="40"/>
      <c r="N1166" s="2"/>
      <c r="O1166" s="24"/>
      <c r="P1166" s="24"/>
      <c r="Q1166" s="24"/>
      <c r="R1166" s="24"/>
      <c r="S1166" s="24"/>
      <c r="T1166" s="24"/>
      <c r="U1166" s="24"/>
      <c r="V1166" s="24"/>
      <c r="W1166" s="24"/>
      <c r="X1166" s="24"/>
      <c r="Y1166" s="24"/>
      <c r="Z1166" s="24"/>
      <c r="AA1166" s="24"/>
      <c r="AB1166" s="24"/>
      <c r="AC1166" s="24"/>
      <c r="AE1166" s="24"/>
      <c r="AF1166" s="24"/>
      <c r="AG1166" s="24"/>
      <c r="AH1166" s="24"/>
      <c r="AI1166" s="24"/>
      <c r="AJ1166" s="24"/>
      <c r="AK1166" s="24"/>
      <c r="AL1166" s="24"/>
      <c r="AM1166" s="24"/>
    </row>
    <row r="1167">
      <c r="A1167" s="11"/>
      <c r="B1167" s="23"/>
      <c r="C1167" s="23"/>
      <c r="D1167" s="23"/>
      <c r="E1167" s="23"/>
      <c r="F1167" s="1"/>
      <c r="G1167" s="23"/>
      <c r="H1167" s="23"/>
      <c r="I1167" s="23"/>
      <c r="J1167" s="2"/>
      <c r="M1167" s="40"/>
      <c r="N1167" s="2"/>
      <c r="O1167" s="24"/>
      <c r="P1167" s="24"/>
      <c r="Q1167" s="24"/>
      <c r="R1167" s="24"/>
      <c r="S1167" s="24"/>
      <c r="T1167" s="24"/>
      <c r="U1167" s="24"/>
      <c r="V1167" s="24"/>
      <c r="W1167" s="24"/>
      <c r="X1167" s="24"/>
      <c r="Y1167" s="24"/>
      <c r="Z1167" s="24"/>
      <c r="AA1167" s="24"/>
      <c r="AB1167" s="24"/>
      <c r="AC1167" s="24"/>
      <c r="AE1167" s="24"/>
      <c r="AF1167" s="24"/>
      <c r="AG1167" s="24"/>
      <c r="AH1167" s="24"/>
      <c r="AI1167" s="24"/>
      <c r="AJ1167" s="24"/>
      <c r="AK1167" s="24"/>
      <c r="AL1167" s="24"/>
      <c r="AM1167" s="24"/>
    </row>
    <row r="1168">
      <c r="A1168" s="11"/>
      <c r="B1168" s="23"/>
      <c r="C1168" s="23"/>
      <c r="D1168" s="23"/>
      <c r="E1168" s="23"/>
      <c r="F1168" s="1"/>
      <c r="G1168" s="23"/>
      <c r="H1168" s="23"/>
      <c r="I1168" s="23"/>
      <c r="J1168" s="2"/>
      <c r="M1168" s="40"/>
      <c r="N1168" s="2"/>
      <c r="O1168" s="24"/>
      <c r="P1168" s="24"/>
      <c r="Q1168" s="24"/>
      <c r="R1168" s="24"/>
      <c r="S1168" s="24"/>
      <c r="T1168" s="24"/>
      <c r="U1168" s="24"/>
      <c r="V1168" s="24"/>
      <c r="W1168" s="24"/>
      <c r="X1168" s="24"/>
      <c r="Y1168" s="24"/>
      <c r="Z1168" s="24"/>
      <c r="AA1168" s="24"/>
      <c r="AB1168" s="24"/>
      <c r="AC1168" s="24"/>
      <c r="AE1168" s="24"/>
      <c r="AF1168" s="24"/>
      <c r="AG1168" s="24"/>
      <c r="AH1168" s="24"/>
      <c r="AI1168" s="24"/>
      <c r="AJ1168" s="24"/>
      <c r="AK1168" s="24"/>
      <c r="AL1168" s="24"/>
      <c r="AM1168" s="24"/>
    </row>
    <row r="1169">
      <c r="A1169" s="11"/>
      <c r="B1169" s="23"/>
      <c r="C1169" s="23"/>
      <c r="D1169" s="23"/>
      <c r="E1169" s="23"/>
      <c r="F1169" s="1"/>
      <c r="G1169" s="23"/>
      <c r="H1169" s="23"/>
      <c r="I1169" s="23"/>
      <c r="J1169" s="2"/>
      <c r="M1169" s="40"/>
      <c r="N1169" s="2"/>
      <c r="O1169" s="24"/>
      <c r="P1169" s="24"/>
      <c r="Q1169" s="24"/>
      <c r="R1169" s="24"/>
      <c r="S1169" s="24"/>
      <c r="T1169" s="24"/>
      <c r="U1169" s="24"/>
      <c r="V1169" s="24"/>
      <c r="W1169" s="24"/>
      <c r="X1169" s="24"/>
      <c r="Y1169" s="24"/>
      <c r="Z1169" s="24"/>
      <c r="AA1169" s="24"/>
      <c r="AB1169" s="24"/>
      <c r="AC1169" s="24"/>
      <c r="AE1169" s="24"/>
      <c r="AF1169" s="24"/>
      <c r="AG1169" s="24"/>
      <c r="AH1169" s="24"/>
      <c r="AI1169" s="24"/>
      <c r="AJ1169" s="24"/>
      <c r="AK1169" s="24"/>
      <c r="AL1169" s="24"/>
      <c r="AM1169" s="24"/>
    </row>
    <row r="1170">
      <c r="A1170" s="11"/>
      <c r="B1170" s="23"/>
      <c r="C1170" s="23"/>
      <c r="D1170" s="23"/>
      <c r="E1170" s="23"/>
      <c r="F1170" s="1"/>
      <c r="G1170" s="23"/>
      <c r="H1170" s="23"/>
      <c r="I1170" s="23"/>
      <c r="J1170" s="2"/>
      <c r="M1170" s="40"/>
      <c r="N1170" s="2"/>
      <c r="O1170" s="24"/>
      <c r="P1170" s="24"/>
      <c r="Q1170" s="24"/>
      <c r="R1170" s="24"/>
      <c r="S1170" s="24"/>
      <c r="T1170" s="24"/>
      <c r="U1170" s="24"/>
      <c r="V1170" s="24"/>
      <c r="W1170" s="24"/>
      <c r="X1170" s="24"/>
      <c r="Y1170" s="24"/>
      <c r="Z1170" s="24"/>
      <c r="AA1170" s="24"/>
      <c r="AB1170" s="24"/>
      <c r="AC1170" s="24"/>
      <c r="AE1170" s="24"/>
      <c r="AF1170" s="24"/>
      <c r="AG1170" s="24"/>
      <c r="AH1170" s="24"/>
      <c r="AI1170" s="24"/>
      <c r="AJ1170" s="24"/>
      <c r="AK1170" s="24"/>
      <c r="AL1170" s="24"/>
      <c r="AM1170" s="24"/>
    </row>
    <row r="1171">
      <c r="A1171" s="11"/>
      <c r="B1171" s="23"/>
      <c r="C1171" s="23"/>
      <c r="D1171" s="23"/>
      <c r="E1171" s="23"/>
      <c r="F1171" s="1"/>
      <c r="G1171" s="23"/>
      <c r="H1171" s="23"/>
      <c r="I1171" s="23"/>
      <c r="J1171" s="2"/>
      <c r="M1171" s="40"/>
      <c r="N1171" s="2"/>
      <c r="O1171" s="24"/>
      <c r="P1171" s="24"/>
      <c r="Q1171" s="24"/>
      <c r="R1171" s="24"/>
      <c r="S1171" s="24"/>
      <c r="T1171" s="24"/>
      <c r="U1171" s="24"/>
      <c r="V1171" s="24"/>
      <c r="W1171" s="24"/>
      <c r="X1171" s="24"/>
      <c r="Y1171" s="24"/>
      <c r="Z1171" s="24"/>
      <c r="AA1171" s="24"/>
      <c r="AB1171" s="24"/>
      <c r="AC1171" s="24"/>
      <c r="AE1171" s="24"/>
      <c r="AF1171" s="24"/>
      <c r="AG1171" s="24"/>
      <c r="AH1171" s="24"/>
      <c r="AI1171" s="24"/>
      <c r="AJ1171" s="24"/>
      <c r="AK1171" s="24"/>
      <c r="AL1171" s="24"/>
      <c r="AM1171" s="24"/>
    </row>
    <row r="1172">
      <c r="A1172" s="11"/>
      <c r="B1172" s="23"/>
      <c r="C1172" s="23"/>
      <c r="D1172" s="23"/>
      <c r="E1172" s="23"/>
      <c r="F1172" s="1"/>
      <c r="G1172" s="23"/>
      <c r="H1172" s="23"/>
      <c r="I1172" s="23"/>
      <c r="J1172" s="2"/>
      <c r="M1172" s="40"/>
      <c r="N1172" s="2"/>
      <c r="O1172" s="24"/>
      <c r="P1172" s="24"/>
      <c r="Q1172" s="24"/>
      <c r="R1172" s="24"/>
      <c r="S1172" s="24"/>
      <c r="T1172" s="24"/>
      <c r="U1172" s="24"/>
      <c r="V1172" s="24"/>
      <c r="W1172" s="24"/>
      <c r="X1172" s="24"/>
      <c r="Y1172" s="24"/>
      <c r="Z1172" s="24"/>
      <c r="AA1172" s="24"/>
      <c r="AB1172" s="24"/>
      <c r="AC1172" s="24"/>
      <c r="AE1172" s="24"/>
      <c r="AF1172" s="24"/>
      <c r="AG1172" s="24"/>
      <c r="AH1172" s="24"/>
      <c r="AI1172" s="24"/>
      <c r="AJ1172" s="24"/>
      <c r="AK1172" s="24"/>
      <c r="AL1172" s="24"/>
      <c r="AM1172" s="24"/>
    </row>
    <row r="1173">
      <c r="A1173" s="11"/>
      <c r="B1173" s="23"/>
      <c r="C1173" s="23"/>
      <c r="D1173" s="23"/>
      <c r="E1173" s="23"/>
      <c r="F1173" s="1"/>
      <c r="G1173" s="23"/>
      <c r="H1173" s="23"/>
      <c r="I1173" s="23"/>
      <c r="J1173" s="2"/>
      <c r="M1173" s="40"/>
      <c r="N1173" s="2"/>
      <c r="O1173" s="24"/>
      <c r="P1173" s="24"/>
      <c r="Q1173" s="24"/>
      <c r="R1173" s="24"/>
      <c r="S1173" s="24"/>
      <c r="T1173" s="24"/>
      <c r="U1173" s="24"/>
      <c r="V1173" s="24"/>
      <c r="W1173" s="24"/>
      <c r="X1173" s="24"/>
      <c r="Y1173" s="24"/>
      <c r="Z1173" s="24"/>
      <c r="AA1173" s="24"/>
      <c r="AB1173" s="24"/>
      <c r="AC1173" s="24"/>
      <c r="AE1173" s="24"/>
      <c r="AF1173" s="24"/>
      <c r="AG1173" s="24"/>
      <c r="AH1173" s="24"/>
      <c r="AI1173" s="24"/>
      <c r="AJ1173" s="24"/>
      <c r="AK1173" s="24"/>
      <c r="AL1173" s="24"/>
      <c r="AM1173" s="24"/>
    </row>
    <row r="1174">
      <c r="A1174" s="11"/>
      <c r="B1174" s="23"/>
      <c r="C1174" s="23"/>
      <c r="D1174" s="23"/>
      <c r="E1174" s="23"/>
      <c r="F1174" s="1"/>
      <c r="G1174" s="23"/>
      <c r="H1174" s="23"/>
      <c r="I1174" s="23"/>
      <c r="J1174" s="2"/>
      <c r="M1174" s="40"/>
      <c r="N1174" s="2"/>
      <c r="O1174" s="24"/>
      <c r="P1174" s="24"/>
      <c r="Q1174" s="24"/>
      <c r="R1174" s="24"/>
      <c r="S1174" s="24"/>
      <c r="T1174" s="24"/>
      <c r="U1174" s="24"/>
      <c r="V1174" s="24"/>
      <c r="W1174" s="24"/>
      <c r="X1174" s="24"/>
      <c r="Y1174" s="24"/>
      <c r="Z1174" s="24"/>
      <c r="AA1174" s="24"/>
      <c r="AB1174" s="24"/>
      <c r="AC1174" s="24"/>
      <c r="AE1174" s="24"/>
      <c r="AF1174" s="24"/>
      <c r="AG1174" s="24"/>
      <c r="AH1174" s="24"/>
      <c r="AI1174" s="24"/>
      <c r="AJ1174" s="24"/>
      <c r="AK1174" s="24"/>
      <c r="AL1174" s="24"/>
      <c r="AM1174" s="24"/>
    </row>
    <row r="1175">
      <c r="A1175" s="11"/>
      <c r="B1175" s="23"/>
      <c r="C1175" s="23"/>
      <c r="D1175" s="23"/>
      <c r="E1175" s="23"/>
      <c r="F1175" s="1"/>
      <c r="G1175" s="23"/>
      <c r="H1175" s="23"/>
      <c r="I1175" s="23"/>
      <c r="J1175" s="2"/>
      <c r="M1175" s="40"/>
      <c r="N1175" s="2"/>
      <c r="O1175" s="24"/>
      <c r="P1175" s="24"/>
      <c r="Q1175" s="24"/>
      <c r="R1175" s="24"/>
      <c r="S1175" s="24"/>
      <c r="T1175" s="24"/>
      <c r="U1175" s="24"/>
      <c r="V1175" s="24"/>
      <c r="W1175" s="24"/>
      <c r="X1175" s="24"/>
      <c r="Y1175" s="24"/>
      <c r="Z1175" s="24"/>
      <c r="AA1175" s="24"/>
      <c r="AB1175" s="24"/>
      <c r="AC1175" s="24"/>
      <c r="AE1175" s="24"/>
      <c r="AF1175" s="24"/>
      <c r="AG1175" s="24"/>
      <c r="AH1175" s="24"/>
      <c r="AI1175" s="24"/>
      <c r="AJ1175" s="24"/>
      <c r="AK1175" s="24"/>
      <c r="AL1175" s="24"/>
      <c r="AM1175" s="24"/>
    </row>
    <row r="1176">
      <c r="A1176" s="11"/>
      <c r="B1176" s="23"/>
      <c r="C1176" s="23"/>
      <c r="D1176" s="23"/>
      <c r="E1176" s="23"/>
      <c r="F1176" s="1"/>
      <c r="G1176" s="23"/>
      <c r="H1176" s="23"/>
      <c r="I1176" s="23"/>
      <c r="J1176" s="2"/>
      <c r="M1176" s="40"/>
      <c r="N1176" s="2"/>
      <c r="O1176" s="24"/>
      <c r="P1176" s="24"/>
      <c r="Q1176" s="24"/>
      <c r="R1176" s="24"/>
      <c r="S1176" s="24"/>
      <c r="T1176" s="24"/>
      <c r="U1176" s="24"/>
      <c r="V1176" s="24"/>
      <c r="W1176" s="24"/>
      <c r="X1176" s="24"/>
      <c r="Y1176" s="24"/>
      <c r="Z1176" s="24"/>
      <c r="AA1176" s="24"/>
      <c r="AB1176" s="24"/>
      <c r="AC1176" s="24"/>
      <c r="AE1176" s="24"/>
      <c r="AF1176" s="24"/>
      <c r="AG1176" s="24"/>
      <c r="AH1176" s="24"/>
      <c r="AI1176" s="24"/>
      <c r="AJ1176" s="24"/>
      <c r="AK1176" s="24"/>
      <c r="AL1176" s="24"/>
      <c r="AM1176" s="24"/>
    </row>
  </sheetData>
  <autoFilter ref="$B$1:$AE$958"/>
  <dataValidations>
    <dataValidation type="list" allowBlank="1" showErrorMessage="1" sqref="N2:N1176">
      <formula1>"Pre test (diagnóstico),Post test (cierre)"</formula1>
    </dataValidation>
    <dataValidation type="list" allowBlank="1" showErrorMessage="1" sqref="F2:F1176">
      <formula1>IIEE[Institución educativa]</formula1>
    </dataValidation>
    <dataValidation type="list" allowBlank="1" showErrorMessage="1" sqref="AE2:AM397 AE398 AK398:AM398 AE399:AM1176">
      <formula1>Facilitador_a[Facilitador/a]</formula1>
    </dataValidation>
    <dataValidation type="list" allowBlank="1" showErrorMessage="1" sqref="J2:J1176">
      <formula1>"Ini-3ero,Ini-4rto,Ini-5nto"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16.0"/>
  </cols>
  <sheetData>
    <row r="1">
      <c r="D1" s="17"/>
    </row>
    <row r="2">
      <c r="D2" s="108" t="s">
        <v>2157</v>
      </c>
    </row>
    <row r="3">
      <c r="D3" s="108" t="s">
        <v>2158</v>
      </c>
    </row>
    <row r="4">
      <c r="D4" s="108" t="s">
        <v>2159</v>
      </c>
    </row>
    <row r="5">
      <c r="D5" s="108" t="s">
        <v>2160</v>
      </c>
    </row>
    <row r="7">
      <c r="A7" s="42"/>
      <c r="B7" s="42" t="str">
        <f>'Eva. Estudiantes'!J1</f>
        <v>Grado</v>
      </c>
      <c r="C7" s="42" t="str">
        <f t="array" ref="C7:Q7">'Eva. Estudiantes'!O1:AC1</f>
        <v>Identifica al menos 3 emociones básicas al observar imágenes</v>
      </c>
      <c r="D7" s="42" t="s">
        <v>1504</v>
      </c>
      <c r="E7" s="42" t="s">
        <v>1505</v>
      </c>
      <c r="F7" s="42" t="s">
        <v>1506</v>
      </c>
      <c r="G7" s="42" t="s">
        <v>1507</v>
      </c>
      <c r="H7" s="42" t="s">
        <v>1508</v>
      </c>
      <c r="I7" s="42" t="s">
        <v>1509</v>
      </c>
      <c r="J7" s="42" t="s">
        <v>1510</v>
      </c>
      <c r="K7" s="42" t="s">
        <v>1511</v>
      </c>
      <c r="L7" s="42" t="s">
        <v>1512</v>
      </c>
      <c r="M7" s="42" t="s">
        <v>1513</v>
      </c>
      <c r="N7" s="42" t="s">
        <v>1514</v>
      </c>
      <c r="O7" s="42" t="s">
        <v>1515</v>
      </c>
      <c r="P7" s="42" t="s">
        <v>1516</v>
      </c>
      <c r="Q7" s="42" t="s">
        <v>1517</v>
      </c>
    </row>
    <row r="8">
      <c r="A8" s="42"/>
      <c r="B8" s="42" t="str">
        <f t="array" ref="B8:B11">SORT(UNIQUE('Eva. Estudiantes'!J2:J1003))</f>
        <v>Ini-3ero</v>
      </c>
      <c r="C8" s="42" t="str">
        <f t="array" ref="C8:C11">UNIQUE('Eva. Estudiantes'!O2:O1003)</f>
        <v>Evidencia suficiente: el niño/a lo realiza o verbaliza con claridad y de forma autónoma</v>
      </c>
      <c r="D8" s="42" t="str">
        <f t="array" ref="D8:D11">UNIQUE('Eva. Estudiantes'!P2:P1003)</f>
        <v>Evidencia parcial: el niño/a lo realiza con ayuda, duda o lo menciona sin claridad</v>
      </c>
      <c r="E8" s="42" t="str">
        <f t="array" ref="E8:E11">UNIQUE('Eva. Estudiantes'!Q2:Q1003)</f>
        <v>Evidencia suficiente: el niño/a lo realiza o verbaliza con claridad y de forma autónoma</v>
      </c>
      <c r="F8" s="42" t="str">
        <f t="array" ref="F8:F12">UNIQUE('Eva. Estudiantes'!R2:R1003)</f>
        <v>Evidencia suficiente: el niño/a lo realiza o verbaliza con claridad y de forma autónoma</v>
      </c>
      <c r="G8" s="42" t="str">
        <f t="array" ref="G8:G11">UNIQUE('Eva. Estudiantes'!S2:S1003)</f>
        <v>Evidencia suficiente: el niño/a lo realiza o verbaliza con claridad y de forma autónoma</v>
      </c>
      <c r="H8" s="42" t="str">
        <f t="array" ref="H8:H11">UNIQUE('Eva. Estudiantes'!T2:T1003)</f>
        <v>Evidencia parcial: el niño/a lo realiza con ayuda, duda o lo menciona sin claridad</v>
      </c>
      <c r="I8" s="42" t="str">
        <f t="array" ref="I8:I11">UNIQUE('Eva. Estudiantes'!U2:U1003)</f>
        <v>Evidencia suficiente: el niño/a lo realiza o verbaliza con claridad y de forma autónoma</v>
      </c>
      <c r="J8" s="42" t="str">
        <f t="array" ref="J8:J12">UNIQUE('Eva. Estudiantes'!V2:V1003)</f>
        <v>Evidencia suficiente: el niño/a lo realiza o verbaliza con claridad y de forma autónoma</v>
      </c>
      <c r="K8" s="42" t="str">
        <f t="array" ref="K8:K12">UNIQUE('Eva. Estudiantes'!W2:W1003)</f>
        <v>Evidencia parcial: el niño/a lo realiza con ayuda, duda o lo menciona sin claridad</v>
      </c>
      <c r="L8" s="42" t="str">
        <f t="array" ref="L8:L12">UNIQUE('Eva. Estudiantes'!X2:X1003)</f>
        <v>Evidencia parcial: el niño/a lo realiza con ayuda, duda o lo menciona sin claridad</v>
      </c>
      <c r="M8" s="42" t="str">
        <f t="array" ref="M8:M11">UNIQUE('Eva. Estudiantes'!Y2:Y1003)</f>
        <v>Evidencia parcial: el niño/a lo realiza con ayuda, duda o lo menciona sin claridad</v>
      </c>
      <c r="N8" s="42" t="str">
        <f t="array" ref="N8:N11">UNIQUE('Eva. Estudiantes'!Z2:Z1003)</f>
        <v>No hay evidencia observable</v>
      </c>
      <c r="O8" s="42" t="str">
        <f t="array" ref="O8:O11">UNIQUE('Eva. Estudiantes'!AA2:AA1003)</f>
        <v>Evidencia suficiente: el niño/a lo realiza o verbaliza con claridad y de forma autónoma</v>
      </c>
      <c r="P8" s="42" t="str">
        <f t="array" ref="P8:P11">UNIQUE('Eva. Estudiantes'!AB2:AB1003)</f>
        <v>Evidencia parcial: el niño/a lo realiza con ayuda, duda o lo menciona sin claridad</v>
      </c>
      <c r="Q8" s="42" t="str">
        <f t="array" ref="Q8:Q12">UNIQUE('Eva. Estudiantes'!AC2:AC1003)</f>
        <v>Evidencia parcial: el niño/a lo realiza con ayuda, duda o lo menciona sin claridad</v>
      </c>
    </row>
    <row r="9">
      <c r="A9" s="42"/>
      <c r="B9" s="42" t="s">
        <v>112</v>
      </c>
      <c r="C9" s="42" t="s">
        <v>1520</v>
      </c>
      <c r="D9" s="42" t="s">
        <v>1519</v>
      </c>
      <c r="E9" s="42" t="s">
        <v>1520</v>
      </c>
      <c r="F9" s="42" t="s">
        <v>1520</v>
      </c>
      <c r="G9" s="42" t="s">
        <v>1520</v>
      </c>
      <c r="H9" s="42" t="s">
        <v>1519</v>
      </c>
      <c r="I9" s="42" t="s">
        <v>1521</v>
      </c>
      <c r="J9" s="42" t="s">
        <v>1520</v>
      </c>
      <c r="K9" s="42" t="s">
        <v>1519</v>
      </c>
      <c r="L9" s="42" t="s">
        <v>1519</v>
      </c>
      <c r="M9" s="42" t="s">
        <v>1519</v>
      </c>
      <c r="N9" s="42" t="s">
        <v>1520</v>
      </c>
      <c r="O9" s="42" t="s">
        <v>1521</v>
      </c>
      <c r="P9" s="42" t="s">
        <v>1519</v>
      </c>
      <c r="Q9" s="42" t="s">
        <v>1519</v>
      </c>
    </row>
    <row r="10">
      <c r="A10" s="42"/>
      <c r="B10" s="42" t="s">
        <v>108</v>
      </c>
      <c r="C10" s="42" t="s">
        <v>1521</v>
      </c>
      <c r="D10" s="42" t="s">
        <v>1521</v>
      </c>
      <c r="E10" s="42" t="s">
        <v>1521</v>
      </c>
      <c r="F10" s="42" t="s">
        <v>1521</v>
      </c>
      <c r="G10" s="42" t="s">
        <v>1521</v>
      </c>
      <c r="H10" s="42" t="s">
        <v>1521</v>
      </c>
      <c r="I10" s="42" t="s">
        <v>1520</v>
      </c>
      <c r="J10" s="42" t="s">
        <v>1521</v>
      </c>
      <c r="K10" s="42" t="s">
        <v>1521</v>
      </c>
      <c r="L10" s="42" t="s">
        <v>1521</v>
      </c>
      <c r="M10" s="42" t="s">
        <v>1521</v>
      </c>
      <c r="N10" s="42" t="s">
        <v>1519</v>
      </c>
      <c r="O10" s="42" t="s">
        <v>1520</v>
      </c>
      <c r="P10" s="42" t="s">
        <v>1521</v>
      </c>
      <c r="Q10" s="42" t="s">
        <v>1521</v>
      </c>
    </row>
    <row r="11">
      <c r="A11" s="42"/>
      <c r="B11" s="42"/>
      <c r="C11" s="42"/>
      <c r="D11" s="42"/>
      <c r="E11" s="42"/>
      <c r="F11" s="42">
        <v>3.0</v>
      </c>
      <c r="G11" s="42"/>
      <c r="H11" s="42"/>
      <c r="I11" s="42"/>
      <c r="J11" s="42">
        <v>4.0</v>
      </c>
      <c r="K11" s="42">
        <v>4.0</v>
      </c>
      <c r="L11" s="42" t="s">
        <v>2012</v>
      </c>
      <c r="M11" s="42"/>
      <c r="N11" s="42"/>
      <c r="O11" s="42"/>
      <c r="P11" s="42"/>
      <c r="Q11" s="42">
        <v>3.0</v>
      </c>
    </row>
    <row r="12">
      <c r="A12" s="42"/>
      <c r="B12" s="42"/>
      <c r="C12" s="42"/>
      <c r="D12" s="42"/>
      <c r="E12" s="42"/>
      <c r="F12" s="42"/>
      <c r="G12" s="42"/>
      <c r="H12" s="42"/>
      <c r="I12" s="42"/>
      <c r="J12" s="42"/>
      <c r="K12" s="42"/>
      <c r="L12" s="42"/>
      <c r="M12" s="42"/>
      <c r="N12" s="42"/>
      <c r="O12" s="42"/>
      <c r="P12" s="42"/>
      <c r="Q12" s="42"/>
    </row>
    <row r="13">
      <c r="A13" s="42"/>
      <c r="B13" s="42"/>
      <c r="C13" s="42"/>
      <c r="D13" s="42"/>
      <c r="E13" s="42"/>
      <c r="F13" s="42"/>
      <c r="G13" s="42"/>
      <c r="H13" s="42"/>
      <c r="I13" s="42"/>
      <c r="J13" s="42"/>
      <c r="K13" s="42"/>
      <c r="L13" s="42"/>
      <c r="M13" s="42"/>
      <c r="N13" s="42"/>
      <c r="O13" s="42"/>
      <c r="P13" s="42"/>
      <c r="Q13" s="42"/>
    </row>
    <row r="14">
      <c r="A14" s="42"/>
      <c r="B14" s="42"/>
      <c r="C14" s="42"/>
      <c r="D14" s="42"/>
      <c r="E14" s="42"/>
      <c r="F14" s="42"/>
      <c r="G14" s="42"/>
      <c r="H14" s="42"/>
      <c r="I14" s="42"/>
      <c r="J14" s="42"/>
      <c r="K14" s="42"/>
      <c r="L14" s="42"/>
      <c r="M14" s="42"/>
      <c r="N14" s="42"/>
      <c r="O14" s="42"/>
      <c r="P14" s="42"/>
      <c r="Q14" s="4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3"/>
    <col customWidth="1" min="2" max="2" width="16.13"/>
    <col customWidth="1" min="3" max="3" width="11.0"/>
    <col customWidth="1" min="4" max="4" width="19.88"/>
    <col customWidth="1" min="5" max="5" width="23.38"/>
    <col customWidth="1" min="6" max="6" width="28.0"/>
    <col customWidth="1" min="7" max="7" width="17.88"/>
    <col customWidth="1" min="8" max="8" width="13.75"/>
    <col customWidth="1" min="9" max="9" width="11.0"/>
    <col customWidth="1" min="10" max="10" width="24.0"/>
    <col customWidth="1" min="11" max="11" width="22.38"/>
    <col customWidth="1" min="12" max="12" width="8.38"/>
    <col customWidth="1" min="13" max="13" width="12.13"/>
    <col customWidth="1" min="14" max="14" width="31.88"/>
    <col customWidth="1" min="15" max="15" width="9.38"/>
    <col customWidth="1" min="16" max="16" width="40.5"/>
    <col customWidth="1" min="17" max="17" width="11.5"/>
    <col customWidth="1" min="18" max="18" width="24.75"/>
    <col customWidth="1" min="19" max="19" width="53.38"/>
    <col customWidth="1" min="20" max="20" width="20.0"/>
    <col customWidth="1" min="21" max="21" width="11.0"/>
    <col customWidth="1" min="22" max="22" width="23.63"/>
    <col customWidth="1" min="23" max="23" width="25.88"/>
  </cols>
  <sheetData>
    <row r="1">
      <c r="A1" s="25" t="s">
        <v>2161</v>
      </c>
      <c r="B1" s="109" t="s">
        <v>12</v>
      </c>
      <c r="C1" s="4" t="s">
        <v>1</v>
      </c>
      <c r="D1" s="109" t="s">
        <v>12</v>
      </c>
      <c r="E1" s="4" t="s">
        <v>3</v>
      </c>
      <c r="F1" s="5" t="s">
        <v>4</v>
      </c>
      <c r="G1" s="4" t="s">
        <v>52</v>
      </c>
      <c r="H1" s="4" t="s">
        <v>53</v>
      </c>
      <c r="I1" s="4" t="s">
        <v>54</v>
      </c>
      <c r="J1" s="6" t="s">
        <v>2162</v>
      </c>
      <c r="K1" s="6" t="s">
        <v>2163</v>
      </c>
      <c r="L1" s="6" t="s">
        <v>2164</v>
      </c>
      <c r="M1" s="6" t="s">
        <v>13</v>
      </c>
      <c r="N1" s="6" t="s">
        <v>56</v>
      </c>
      <c r="O1" s="6" t="s">
        <v>57</v>
      </c>
      <c r="P1" s="6" t="s">
        <v>2165</v>
      </c>
      <c r="Q1" s="7" t="s">
        <v>59</v>
      </c>
      <c r="R1" s="6" t="s">
        <v>60</v>
      </c>
      <c r="S1" s="6" t="s">
        <v>61</v>
      </c>
      <c r="T1" s="9" t="s">
        <v>2166</v>
      </c>
      <c r="U1" s="8" t="s">
        <v>2167</v>
      </c>
      <c r="V1" s="8" t="s">
        <v>2168</v>
      </c>
      <c r="W1" s="10" t="s">
        <v>64</v>
      </c>
    </row>
    <row r="2">
      <c r="A2" s="11"/>
      <c r="B2" s="12" t="s">
        <v>7</v>
      </c>
      <c r="C2" s="12" t="s">
        <v>8</v>
      </c>
      <c r="D2" s="12" t="s">
        <v>24</v>
      </c>
      <c r="E2" s="12" t="s">
        <v>32</v>
      </c>
      <c r="F2" s="13" t="s">
        <v>30</v>
      </c>
      <c r="G2" s="12" t="s">
        <v>68</v>
      </c>
      <c r="H2" s="12" t="s">
        <v>573</v>
      </c>
      <c r="I2" s="12" t="s">
        <v>574</v>
      </c>
      <c r="J2" s="17" t="s">
        <v>2169</v>
      </c>
      <c r="K2" s="18" t="s">
        <v>2170</v>
      </c>
      <c r="L2" s="20">
        <v>45853.0</v>
      </c>
      <c r="M2" s="17" t="s">
        <v>28</v>
      </c>
      <c r="N2" s="17" t="s">
        <v>2171</v>
      </c>
      <c r="O2" s="17">
        <v>7.3014611E7</v>
      </c>
      <c r="P2" s="17" t="s">
        <v>1785</v>
      </c>
      <c r="Q2" s="17" t="s">
        <v>112</v>
      </c>
      <c r="R2" s="17" t="s">
        <v>2172</v>
      </c>
      <c r="S2" s="17" t="s">
        <v>2173</v>
      </c>
      <c r="T2" s="110"/>
      <c r="U2" s="24"/>
      <c r="V2" s="24"/>
      <c r="W2" s="18" t="s">
        <v>577</v>
      </c>
    </row>
    <row r="3">
      <c r="A3" s="11"/>
      <c r="B3" s="12" t="s">
        <v>7</v>
      </c>
      <c r="C3" s="12" t="s">
        <v>8</v>
      </c>
      <c r="D3" s="12" t="s">
        <v>24</v>
      </c>
      <c r="E3" s="12" t="s">
        <v>32</v>
      </c>
      <c r="F3" s="13" t="s">
        <v>30</v>
      </c>
      <c r="G3" s="12" t="s">
        <v>68</v>
      </c>
      <c r="H3" s="12" t="s">
        <v>573</v>
      </c>
      <c r="I3" s="12" t="s">
        <v>574</v>
      </c>
      <c r="J3" s="17" t="s">
        <v>2169</v>
      </c>
      <c r="K3" s="18" t="s">
        <v>2170</v>
      </c>
      <c r="L3" s="20">
        <v>45853.0</v>
      </c>
      <c r="M3" s="17" t="s">
        <v>28</v>
      </c>
      <c r="N3" s="17" t="s">
        <v>2174</v>
      </c>
      <c r="O3" s="17">
        <v>4.3532615E7</v>
      </c>
      <c r="P3" s="17" t="s">
        <v>2175</v>
      </c>
      <c r="Q3" s="17" t="s">
        <v>73</v>
      </c>
      <c r="R3" s="17" t="s">
        <v>2172</v>
      </c>
      <c r="S3" s="17" t="s">
        <v>2176</v>
      </c>
      <c r="T3" s="110"/>
      <c r="U3" s="24"/>
      <c r="V3" s="24"/>
      <c r="W3" s="18" t="s">
        <v>577</v>
      </c>
    </row>
    <row r="4">
      <c r="A4" s="11"/>
      <c r="B4" s="12" t="s">
        <v>7</v>
      </c>
      <c r="C4" s="12" t="s">
        <v>8</v>
      </c>
      <c r="D4" s="12" t="s">
        <v>24</v>
      </c>
      <c r="E4" s="12" t="s">
        <v>32</v>
      </c>
      <c r="F4" s="13" t="s">
        <v>30</v>
      </c>
      <c r="G4" s="12" t="s">
        <v>68</v>
      </c>
      <c r="H4" s="12" t="s">
        <v>573</v>
      </c>
      <c r="I4" s="12" t="s">
        <v>574</v>
      </c>
      <c r="J4" s="17" t="s">
        <v>2169</v>
      </c>
      <c r="K4" s="18" t="s">
        <v>2170</v>
      </c>
      <c r="L4" s="20">
        <v>45853.0</v>
      </c>
      <c r="M4" s="17" t="s">
        <v>23</v>
      </c>
      <c r="N4" s="17" t="s">
        <v>2174</v>
      </c>
      <c r="O4" s="17">
        <v>4.3532615E7</v>
      </c>
      <c r="Q4" s="17" t="s">
        <v>73</v>
      </c>
      <c r="R4" s="17" t="s">
        <v>2172</v>
      </c>
      <c r="S4" s="17" t="s">
        <v>2177</v>
      </c>
      <c r="T4" s="110"/>
      <c r="U4" s="24"/>
      <c r="V4" s="24"/>
      <c r="W4" s="18" t="s">
        <v>577</v>
      </c>
    </row>
    <row r="5">
      <c r="A5" s="11"/>
      <c r="B5" s="12" t="s">
        <v>22</v>
      </c>
      <c r="C5" s="12" t="s">
        <v>22</v>
      </c>
      <c r="D5" s="12" t="s">
        <v>22</v>
      </c>
      <c r="E5" s="12" t="s">
        <v>593</v>
      </c>
      <c r="F5" s="13" t="s">
        <v>594</v>
      </c>
      <c r="G5" s="12" t="s">
        <v>68</v>
      </c>
      <c r="H5" s="12" t="s">
        <v>595</v>
      </c>
      <c r="I5" s="12" t="s">
        <v>596</v>
      </c>
      <c r="J5" s="17" t="s">
        <v>2169</v>
      </c>
      <c r="K5" s="18" t="s">
        <v>2170</v>
      </c>
      <c r="L5" s="20">
        <v>45840.0</v>
      </c>
      <c r="M5" s="17" t="s">
        <v>28</v>
      </c>
      <c r="N5" s="17" t="s">
        <v>2178</v>
      </c>
      <c r="O5" s="17">
        <v>7.5573845E7</v>
      </c>
      <c r="P5" s="17" t="s">
        <v>2179</v>
      </c>
      <c r="Q5" s="17" t="s">
        <v>108</v>
      </c>
      <c r="R5" s="17" t="s">
        <v>109</v>
      </c>
      <c r="S5" s="17" t="s">
        <v>2180</v>
      </c>
      <c r="T5" s="110"/>
      <c r="U5" s="24"/>
      <c r="V5" s="24"/>
      <c r="W5" s="18" t="s">
        <v>588</v>
      </c>
    </row>
    <row r="6">
      <c r="A6" s="11"/>
      <c r="B6" s="12" t="s">
        <v>22</v>
      </c>
      <c r="C6" s="12" t="s">
        <v>22</v>
      </c>
      <c r="D6" s="12" t="s">
        <v>22</v>
      </c>
      <c r="E6" s="12" t="s">
        <v>593</v>
      </c>
      <c r="F6" s="13" t="s">
        <v>594</v>
      </c>
      <c r="G6" s="12" t="s">
        <v>68</v>
      </c>
      <c r="H6" s="12" t="s">
        <v>595</v>
      </c>
      <c r="I6" s="12" t="s">
        <v>596</v>
      </c>
      <c r="J6" s="17" t="s">
        <v>2169</v>
      </c>
      <c r="K6" s="18" t="s">
        <v>2170</v>
      </c>
      <c r="L6" s="20">
        <v>45840.0</v>
      </c>
      <c r="M6" s="17" t="s">
        <v>28</v>
      </c>
      <c r="N6" s="17" t="s">
        <v>2181</v>
      </c>
      <c r="O6" s="17">
        <v>4.8392497E7</v>
      </c>
      <c r="P6" s="17" t="s">
        <v>1741</v>
      </c>
      <c r="Q6" s="17" t="s">
        <v>73</v>
      </c>
      <c r="R6" s="17" t="s">
        <v>74</v>
      </c>
      <c r="S6" s="17" t="s">
        <v>2182</v>
      </c>
      <c r="T6" s="110"/>
      <c r="U6" s="24"/>
      <c r="V6" s="24"/>
      <c r="W6" s="18" t="s">
        <v>588</v>
      </c>
    </row>
    <row r="7">
      <c r="A7" s="11"/>
      <c r="B7" s="12" t="s">
        <v>22</v>
      </c>
      <c r="C7" s="12" t="s">
        <v>22</v>
      </c>
      <c r="D7" s="12" t="s">
        <v>22</v>
      </c>
      <c r="E7" s="12" t="s">
        <v>593</v>
      </c>
      <c r="F7" s="13" t="s">
        <v>594</v>
      </c>
      <c r="G7" s="12" t="s">
        <v>68</v>
      </c>
      <c r="H7" s="12" t="s">
        <v>595</v>
      </c>
      <c r="I7" s="12" t="s">
        <v>596</v>
      </c>
      <c r="J7" s="17" t="s">
        <v>2169</v>
      </c>
      <c r="K7" s="18" t="s">
        <v>2170</v>
      </c>
      <c r="L7" s="20">
        <v>45840.0</v>
      </c>
      <c r="M7" s="17" t="s">
        <v>28</v>
      </c>
      <c r="N7" s="17" t="s">
        <v>2183</v>
      </c>
      <c r="O7" s="17">
        <v>7.7807181E7</v>
      </c>
      <c r="P7" s="17" t="s">
        <v>2184</v>
      </c>
      <c r="Q7" s="17" t="s">
        <v>73</v>
      </c>
      <c r="R7" s="17" t="s">
        <v>74</v>
      </c>
      <c r="S7" s="17" t="s">
        <v>2185</v>
      </c>
      <c r="T7" s="110"/>
      <c r="U7" s="24"/>
      <c r="V7" s="24"/>
      <c r="W7" s="18" t="s">
        <v>588</v>
      </c>
    </row>
    <row r="8">
      <c r="A8" s="11"/>
      <c r="B8" s="12" t="s">
        <v>22</v>
      </c>
      <c r="C8" s="12" t="s">
        <v>22</v>
      </c>
      <c r="D8" s="12" t="s">
        <v>22</v>
      </c>
      <c r="E8" s="12" t="s">
        <v>593</v>
      </c>
      <c r="F8" s="13" t="s">
        <v>594</v>
      </c>
      <c r="G8" s="12" t="s">
        <v>68</v>
      </c>
      <c r="H8" s="12" t="s">
        <v>595</v>
      </c>
      <c r="I8" s="12" t="s">
        <v>596</v>
      </c>
      <c r="J8" s="17" t="s">
        <v>2169</v>
      </c>
      <c r="K8" s="18" t="s">
        <v>2170</v>
      </c>
      <c r="L8" s="20">
        <v>45840.0</v>
      </c>
      <c r="M8" s="17" t="s">
        <v>28</v>
      </c>
      <c r="N8" s="17" t="s">
        <v>2186</v>
      </c>
      <c r="O8" s="17">
        <v>4.0991197E7</v>
      </c>
      <c r="P8" s="17" t="s">
        <v>2187</v>
      </c>
      <c r="Q8" s="17" t="s">
        <v>112</v>
      </c>
      <c r="R8" s="17" t="s">
        <v>113</v>
      </c>
      <c r="S8" s="17" t="s">
        <v>2188</v>
      </c>
      <c r="T8" s="110"/>
      <c r="U8" s="24"/>
      <c r="V8" s="24"/>
      <c r="W8" s="18" t="s">
        <v>588</v>
      </c>
    </row>
    <row r="9">
      <c r="A9" s="11"/>
      <c r="B9" s="12" t="s">
        <v>22</v>
      </c>
      <c r="C9" s="12" t="s">
        <v>22</v>
      </c>
      <c r="D9" s="12" t="s">
        <v>22</v>
      </c>
      <c r="E9" s="12" t="s">
        <v>593</v>
      </c>
      <c r="F9" s="13" t="s">
        <v>594</v>
      </c>
      <c r="G9" s="12" t="s">
        <v>68</v>
      </c>
      <c r="H9" s="12" t="s">
        <v>595</v>
      </c>
      <c r="I9" s="12" t="s">
        <v>596</v>
      </c>
      <c r="J9" s="17" t="s">
        <v>2169</v>
      </c>
      <c r="K9" s="18" t="s">
        <v>2170</v>
      </c>
      <c r="L9" s="20">
        <v>45840.0</v>
      </c>
      <c r="M9" s="17" t="s">
        <v>28</v>
      </c>
      <c r="N9" s="17" t="s">
        <v>2189</v>
      </c>
      <c r="O9" s="17">
        <v>7.1774918E7</v>
      </c>
      <c r="P9" s="17" t="s">
        <v>2190</v>
      </c>
      <c r="Q9" s="17" t="s">
        <v>112</v>
      </c>
      <c r="R9" s="17" t="s">
        <v>113</v>
      </c>
      <c r="S9" s="17" t="s">
        <v>2191</v>
      </c>
      <c r="T9" s="110"/>
      <c r="U9" s="24"/>
      <c r="V9" s="24"/>
      <c r="W9" s="18" t="s">
        <v>588</v>
      </c>
    </row>
    <row r="10">
      <c r="A10" s="11"/>
      <c r="B10" s="12" t="s">
        <v>22</v>
      </c>
      <c r="C10" s="12" t="s">
        <v>22</v>
      </c>
      <c r="D10" s="12" t="s">
        <v>22</v>
      </c>
      <c r="E10" s="12" t="s">
        <v>593</v>
      </c>
      <c r="F10" s="13" t="s">
        <v>594</v>
      </c>
      <c r="G10" s="12" t="s">
        <v>68</v>
      </c>
      <c r="H10" s="12" t="s">
        <v>595</v>
      </c>
      <c r="I10" s="12" t="s">
        <v>596</v>
      </c>
      <c r="J10" s="17" t="s">
        <v>2169</v>
      </c>
      <c r="K10" s="18" t="s">
        <v>2170</v>
      </c>
      <c r="L10" s="20">
        <v>45840.0</v>
      </c>
      <c r="M10" s="17" t="s">
        <v>28</v>
      </c>
      <c r="N10" s="17" t="s">
        <v>2192</v>
      </c>
      <c r="O10" s="17">
        <v>7.2620267E7</v>
      </c>
      <c r="P10" s="17" t="s">
        <v>2193</v>
      </c>
      <c r="Q10" s="17" t="s">
        <v>112</v>
      </c>
      <c r="R10" s="17" t="s">
        <v>113</v>
      </c>
      <c r="S10" s="17" t="s">
        <v>2194</v>
      </c>
      <c r="T10" s="110"/>
      <c r="U10" s="24"/>
      <c r="V10" s="24"/>
      <c r="W10" s="18" t="s">
        <v>588</v>
      </c>
    </row>
    <row r="11">
      <c r="A11" s="11"/>
      <c r="B11" s="12" t="s">
        <v>22</v>
      </c>
      <c r="C11" s="12" t="s">
        <v>22</v>
      </c>
      <c r="D11" s="12" t="s">
        <v>22</v>
      </c>
      <c r="E11" s="12" t="s">
        <v>593</v>
      </c>
      <c r="F11" s="13" t="s">
        <v>594</v>
      </c>
      <c r="G11" s="12" t="s">
        <v>68</v>
      </c>
      <c r="H11" s="12" t="s">
        <v>595</v>
      </c>
      <c r="I11" s="12" t="s">
        <v>596</v>
      </c>
      <c r="J11" s="17" t="s">
        <v>2169</v>
      </c>
      <c r="K11" s="18" t="s">
        <v>2170</v>
      </c>
      <c r="L11" s="20">
        <v>45840.0</v>
      </c>
      <c r="M11" s="17" t="s">
        <v>23</v>
      </c>
      <c r="N11" s="17" t="s">
        <v>2195</v>
      </c>
      <c r="O11" s="17">
        <v>3.2948075E7</v>
      </c>
      <c r="Q11" s="17" t="s">
        <v>112</v>
      </c>
      <c r="R11" s="17" t="s">
        <v>113</v>
      </c>
      <c r="S11" s="17" t="s">
        <v>2196</v>
      </c>
      <c r="T11" s="110"/>
      <c r="U11" s="24"/>
      <c r="V11" s="24"/>
      <c r="W11" s="18" t="s">
        <v>588</v>
      </c>
    </row>
    <row r="12">
      <c r="A12" s="11"/>
      <c r="B12" s="12" t="s">
        <v>22</v>
      </c>
      <c r="C12" s="12" t="s">
        <v>22</v>
      </c>
      <c r="D12" s="12" t="s">
        <v>22</v>
      </c>
      <c r="E12" s="12" t="s">
        <v>593</v>
      </c>
      <c r="F12" s="13" t="s">
        <v>594</v>
      </c>
      <c r="G12" s="12" t="s">
        <v>68</v>
      </c>
      <c r="H12" s="12" t="s">
        <v>595</v>
      </c>
      <c r="I12" s="12" t="s">
        <v>596</v>
      </c>
      <c r="J12" s="17" t="s">
        <v>2169</v>
      </c>
      <c r="K12" s="18" t="s">
        <v>2170</v>
      </c>
      <c r="L12" s="20">
        <v>45840.0</v>
      </c>
      <c r="M12" s="17" t="s">
        <v>23</v>
      </c>
      <c r="N12" s="17" t="s">
        <v>2197</v>
      </c>
      <c r="O12" s="17">
        <v>7.2159413E7</v>
      </c>
      <c r="Q12" s="17" t="s">
        <v>108</v>
      </c>
      <c r="R12" s="17" t="s">
        <v>109</v>
      </c>
      <c r="S12" s="17" t="s">
        <v>2198</v>
      </c>
      <c r="T12" s="110"/>
      <c r="U12" s="24"/>
      <c r="V12" s="24"/>
      <c r="W12" s="18" t="s">
        <v>588</v>
      </c>
    </row>
    <row r="13">
      <c r="A13" s="11"/>
      <c r="B13" s="12" t="s">
        <v>22</v>
      </c>
      <c r="C13" s="12" t="s">
        <v>22</v>
      </c>
      <c r="D13" s="12" t="s">
        <v>22</v>
      </c>
      <c r="E13" s="12" t="s">
        <v>593</v>
      </c>
      <c r="F13" s="13" t="s">
        <v>594</v>
      </c>
      <c r="G13" s="12" t="s">
        <v>68</v>
      </c>
      <c r="H13" s="12" t="s">
        <v>595</v>
      </c>
      <c r="I13" s="12" t="s">
        <v>596</v>
      </c>
      <c r="J13" s="17" t="s">
        <v>2169</v>
      </c>
      <c r="K13" s="18" t="s">
        <v>2170</v>
      </c>
      <c r="L13" s="20">
        <v>45840.0</v>
      </c>
      <c r="M13" s="17" t="s">
        <v>23</v>
      </c>
      <c r="N13" s="17" t="s">
        <v>2199</v>
      </c>
      <c r="O13" s="17">
        <v>7.0083156E7</v>
      </c>
      <c r="Q13" s="17" t="s">
        <v>108</v>
      </c>
      <c r="R13" s="17" t="s">
        <v>109</v>
      </c>
      <c r="S13" s="17" t="s">
        <v>2198</v>
      </c>
      <c r="T13" s="110"/>
      <c r="U13" s="24"/>
      <c r="V13" s="24"/>
      <c r="W13" s="18" t="s">
        <v>588</v>
      </c>
    </row>
    <row r="14">
      <c r="A14" s="11"/>
      <c r="B14" s="12" t="s">
        <v>22</v>
      </c>
      <c r="C14" s="12" t="s">
        <v>22</v>
      </c>
      <c r="D14" s="12" t="s">
        <v>22</v>
      </c>
      <c r="E14" s="12" t="s">
        <v>593</v>
      </c>
      <c r="F14" s="13" t="s">
        <v>594</v>
      </c>
      <c r="G14" s="12" t="s">
        <v>68</v>
      </c>
      <c r="H14" s="12" t="s">
        <v>595</v>
      </c>
      <c r="I14" s="12" t="s">
        <v>596</v>
      </c>
      <c r="J14" s="17" t="s">
        <v>2169</v>
      </c>
      <c r="K14" s="18" t="s">
        <v>2170</v>
      </c>
      <c r="L14" s="20">
        <v>45840.0</v>
      </c>
      <c r="M14" s="17" t="s">
        <v>28</v>
      </c>
      <c r="N14" s="17" t="s">
        <v>2199</v>
      </c>
      <c r="O14" s="17">
        <v>7.0083156E7</v>
      </c>
      <c r="P14" s="17" t="s">
        <v>1757</v>
      </c>
      <c r="Q14" s="17" t="s">
        <v>112</v>
      </c>
      <c r="R14" s="17" t="s">
        <v>113</v>
      </c>
      <c r="S14" s="17" t="s">
        <v>2200</v>
      </c>
      <c r="T14" s="110"/>
      <c r="U14" s="24"/>
      <c r="V14" s="24"/>
      <c r="W14" s="18" t="s">
        <v>588</v>
      </c>
    </row>
    <row r="15">
      <c r="A15" s="11"/>
      <c r="B15" s="12" t="s">
        <v>22</v>
      </c>
      <c r="C15" s="12" t="s">
        <v>22</v>
      </c>
      <c r="D15" s="12" t="s">
        <v>22</v>
      </c>
      <c r="E15" s="12" t="s">
        <v>593</v>
      </c>
      <c r="F15" s="13" t="s">
        <v>594</v>
      </c>
      <c r="G15" s="12" t="s">
        <v>68</v>
      </c>
      <c r="H15" s="12" t="s">
        <v>595</v>
      </c>
      <c r="I15" s="12" t="s">
        <v>596</v>
      </c>
      <c r="J15" s="17" t="s">
        <v>2169</v>
      </c>
      <c r="K15" s="18" t="s">
        <v>2170</v>
      </c>
      <c r="L15" s="20">
        <v>45840.0</v>
      </c>
      <c r="M15" s="17" t="s">
        <v>23</v>
      </c>
      <c r="N15" s="17" t="s">
        <v>2201</v>
      </c>
      <c r="O15" s="17">
        <v>4.110177E7</v>
      </c>
      <c r="Q15" s="17" t="s">
        <v>73</v>
      </c>
      <c r="R15" s="17" t="s">
        <v>74</v>
      </c>
      <c r="S15" s="17" t="s">
        <v>2202</v>
      </c>
      <c r="T15" s="110"/>
      <c r="U15" s="24"/>
      <c r="V15" s="24"/>
      <c r="W15" s="18" t="s">
        <v>588</v>
      </c>
    </row>
    <row r="16">
      <c r="A16" s="11"/>
      <c r="B16" s="12" t="s">
        <v>22</v>
      </c>
      <c r="C16" s="12" t="s">
        <v>22</v>
      </c>
      <c r="D16" s="12" t="s">
        <v>22</v>
      </c>
      <c r="E16" s="12" t="s">
        <v>593</v>
      </c>
      <c r="F16" s="13" t="s">
        <v>594</v>
      </c>
      <c r="G16" s="12" t="s">
        <v>68</v>
      </c>
      <c r="H16" s="12" t="s">
        <v>595</v>
      </c>
      <c r="I16" s="12" t="s">
        <v>596</v>
      </c>
      <c r="J16" s="17" t="s">
        <v>2169</v>
      </c>
      <c r="K16" s="18" t="s">
        <v>2170</v>
      </c>
      <c r="L16" s="20">
        <v>45840.0</v>
      </c>
      <c r="M16" s="17" t="s">
        <v>28</v>
      </c>
      <c r="N16" s="17" t="s">
        <v>2203</v>
      </c>
      <c r="O16" s="111">
        <v>3.2905209E7</v>
      </c>
      <c r="P16" s="17" t="s">
        <v>1736</v>
      </c>
      <c r="Q16" s="17" t="s">
        <v>73</v>
      </c>
      <c r="R16" s="17" t="s">
        <v>74</v>
      </c>
      <c r="S16" s="17" t="s">
        <v>2204</v>
      </c>
      <c r="T16" s="110"/>
      <c r="U16" s="24"/>
      <c r="V16" s="24"/>
      <c r="W16" s="18" t="s">
        <v>588</v>
      </c>
    </row>
    <row r="17">
      <c r="A17" s="11"/>
      <c r="B17" s="12" t="s">
        <v>22</v>
      </c>
      <c r="C17" s="12" t="s">
        <v>22</v>
      </c>
      <c r="D17" s="12" t="s">
        <v>22</v>
      </c>
      <c r="E17" s="12" t="s">
        <v>593</v>
      </c>
      <c r="F17" s="13" t="s">
        <v>594</v>
      </c>
      <c r="G17" s="12" t="s">
        <v>68</v>
      </c>
      <c r="H17" s="12" t="s">
        <v>595</v>
      </c>
      <c r="I17" s="12" t="s">
        <v>596</v>
      </c>
      <c r="J17" s="17" t="s">
        <v>2169</v>
      </c>
      <c r="K17" s="18" t="s">
        <v>2170</v>
      </c>
      <c r="L17" s="20">
        <v>45840.0</v>
      </c>
      <c r="M17" s="17" t="s">
        <v>28</v>
      </c>
      <c r="N17" s="17" t="s">
        <v>2205</v>
      </c>
      <c r="O17" s="17">
        <v>7.6246913E7</v>
      </c>
      <c r="P17" s="17" t="s">
        <v>1757</v>
      </c>
      <c r="Q17" s="17" t="s">
        <v>112</v>
      </c>
      <c r="R17" s="17" t="s">
        <v>113</v>
      </c>
      <c r="S17" s="17" t="s">
        <v>2200</v>
      </c>
      <c r="T17" s="110"/>
      <c r="U17" s="24"/>
      <c r="V17" s="24"/>
      <c r="W17" s="18" t="s">
        <v>588</v>
      </c>
    </row>
    <row r="18">
      <c r="A18" s="11"/>
      <c r="B18" s="12" t="s">
        <v>7</v>
      </c>
      <c r="C18" s="12" t="s">
        <v>37</v>
      </c>
      <c r="D18" s="12" t="s">
        <v>38</v>
      </c>
      <c r="E18" s="12" t="s">
        <v>41</v>
      </c>
      <c r="F18" s="13" t="s">
        <v>39</v>
      </c>
      <c r="G18" s="12" t="s">
        <v>68</v>
      </c>
      <c r="H18" s="12" t="s">
        <v>902</v>
      </c>
      <c r="I18" s="12" t="s">
        <v>903</v>
      </c>
      <c r="J18" s="17" t="s">
        <v>2169</v>
      </c>
      <c r="K18" s="18" t="s">
        <v>2170</v>
      </c>
      <c r="L18" s="20">
        <v>45846.0</v>
      </c>
      <c r="M18" s="17" t="s">
        <v>28</v>
      </c>
      <c r="N18" s="17" t="s">
        <v>2206</v>
      </c>
      <c r="O18" s="17">
        <v>7.2358695E7</v>
      </c>
      <c r="P18" s="17" t="s">
        <v>2207</v>
      </c>
      <c r="Q18" s="17" t="s">
        <v>108</v>
      </c>
      <c r="R18" s="17" t="s">
        <v>109</v>
      </c>
      <c r="S18" s="17" t="s">
        <v>2208</v>
      </c>
      <c r="T18" s="110"/>
      <c r="U18" s="24"/>
      <c r="V18" s="24"/>
      <c r="W18" s="18" t="s">
        <v>588</v>
      </c>
    </row>
    <row r="19">
      <c r="A19" s="11"/>
      <c r="B19" s="12" t="s">
        <v>7</v>
      </c>
      <c r="C19" s="12" t="s">
        <v>37</v>
      </c>
      <c r="D19" s="12" t="s">
        <v>38</v>
      </c>
      <c r="E19" s="12" t="s">
        <v>41</v>
      </c>
      <c r="F19" s="13" t="s">
        <v>39</v>
      </c>
      <c r="G19" s="12" t="s">
        <v>68</v>
      </c>
      <c r="H19" s="12" t="s">
        <v>902</v>
      </c>
      <c r="I19" s="12" t="s">
        <v>903</v>
      </c>
      <c r="J19" s="17" t="s">
        <v>2169</v>
      </c>
      <c r="K19" s="18" t="s">
        <v>2170</v>
      </c>
      <c r="L19" s="20">
        <v>45846.0</v>
      </c>
      <c r="M19" s="17" t="s">
        <v>28</v>
      </c>
      <c r="N19" s="17" t="s">
        <v>2209</v>
      </c>
      <c r="O19" s="17">
        <v>4.3484532E7</v>
      </c>
      <c r="P19" s="17" t="s">
        <v>2210</v>
      </c>
      <c r="Q19" s="17" t="s">
        <v>112</v>
      </c>
      <c r="R19" s="17" t="s">
        <v>113</v>
      </c>
      <c r="S19" s="17" t="s">
        <v>2211</v>
      </c>
      <c r="T19" s="110"/>
      <c r="U19" s="24"/>
      <c r="V19" s="24"/>
      <c r="W19" s="18" t="s">
        <v>588</v>
      </c>
    </row>
    <row r="20">
      <c r="A20" s="11"/>
      <c r="B20" s="12" t="s">
        <v>7</v>
      </c>
      <c r="C20" s="12" t="s">
        <v>37</v>
      </c>
      <c r="D20" s="12" t="s">
        <v>38</v>
      </c>
      <c r="E20" s="12" t="s">
        <v>41</v>
      </c>
      <c r="F20" s="13" t="s">
        <v>39</v>
      </c>
      <c r="G20" s="12" t="s">
        <v>68</v>
      </c>
      <c r="H20" s="12" t="s">
        <v>902</v>
      </c>
      <c r="I20" s="12" t="s">
        <v>903</v>
      </c>
      <c r="J20" s="17" t="s">
        <v>2169</v>
      </c>
      <c r="K20" s="18" t="s">
        <v>2170</v>
      </c>
      <c r="L20" s="20">
        <v>45846.0</v>
      </c>
      <c r="M20" s="17" t="s">
        <v>28</v>
      </c>
      <c r="N20" s="17" t="s">
        <v>2212</v>
      </c>
      <c r="O20" s="17">
        <v>4.7562942E7</v>
      </c>
      <c r="P20" s="17" t="s">
        <v>2213</v>
      </c>
      <c r="Q20" s="17" t="s">
        <v>112</v>
      </c>
      <c r="R20" s="17" t="s">
        <v>113</v>
      </c>
      <c r="S20" s="17" t="s">
        <v>2214</v>
      </c>
      <c r="U20" s="24"/>
      <c r="V20" s="24"/>
      <c r="W20" s="18" t="s">
        <v>588</v>
      </c>
    </row>
    <row r="21">
      <c r="A21" s="11"/>
      <c r="B21" s="12" t="s">
        <v>7</v>
      </c>
      <c r="C21" s="12" t="s">
        <v>37</v>
      </c>
      <c r="D21" s="12" t="s">
        <v>38</v>
      </c>
      <c r="E21" s="12" t="s">
        <v>41</v>
      </c>
      <c r="F21" s="13" t="s">
        <v>39</v>
      </c>
      <c r="G21" s="12" t="s">
        <v>68</v>
      </c>
      <c r="H21" s="12" t="s">
        <v>902</v>
      </c>
      <c r="I21" s="12" t="s">
        <v>903</v>
      </c>
      <c r="J21" s="17" t="s">
        <v>2169</v>
      </c>
      <c r="K21" s="18" t="s">
        <v>2170</v>
      </c>
      <c r="L21" s="20">
        <v>45846.0</v>
      </c>
      <c r="M21" s="17" t="s">
        <v>28</v>
      </c>
      <c r="N21" s="17" t="s">
        <v>2215</v>
      </c>
      <c r="O21" s="17">
        <v>4.7171078E7</v>
      </c>
      <c r="P21" s="17" t="s">
        <v>2216</v>
      </c>
      <c r="Q21" s="17" t="s">
        <v>112</v>
      </c>
      <c r="R21" s="17" t="s">
        <v>113</v>
      </c>
      <c r="S21" s="17" t="s">
        <v>2217</v>
      </c>
      <c r="U21" s="24"/>
      <c r="V21" s="24"/>
      <c r="W21" s="18" t="s">
        <v>588</v>
      </c>
    </row>
    <row r="22">
      <c r="A22" s="11"/>
      <c r="B22" s="12" t="s">
        <v>7</v>
      </c>
      <c r="C22" s="12" t="s">
        <v>37</v>
      </c>
      <c r="D22" s="12" t="s">
        <v>38</v>
      </c>
      <c r="E22" s="12" t="s">
        <v>41</v>
      </c>
      <c r="F22" s="13" t="s">
        <v>39</v>
      </c>
      <c r="G22" s="12" t="s">
        <v>68</v>
      </c>
      <c r="H22" s="12" t="s">
        <v>902</v>
      </c>
      <c r="I22" s="12" t="s">
        <v>903</v>
      </c>
      <c r="J22" s="17" t="s">
        <v>2169</v>
      </c>
      <c r="K22" s="18" t="s">
        <v>2170</v>
      </c>
      <c r="L22" s="20">
        <v>45846.0</v>
      </c>
      <c r="M22" s="17" t="s">
        <v>23</v>
      </c>
      <c r="N22" s="17" t="s">
        <v>2218</v>
      </c>
      <c r="O22" s="17">
        <v>3.2647526E7</v>
      </c>
      <c r="Q22" s="17" t="s">
        <v>108</v>
      </c>
      <c r="R22" s="17" t="s">
        <v>109</v>
      </c>
      <c r="S22" s="17" t="s">
        <v>2198</v>
      </c>
      <c r="U22" s="24"/>
      <c r="V22" s="24"/>
      <c r="W22" s="18" t="s">
        <v>588</v>
      </c>
    </row>
    <row r="23">
      <c r="A23" s="11"/>
      <c r="B23" s="12" t="s">
        <v>7</v>
      </c>
      <c r="C23" s="12" t="s">
        <v>37</v>
      </c>
      <c r="D23" s="12" t="s">
        <v>38</v>
      </c>
      <c r="E23" s="12" t="s">
        <v>41</v>
      </c>
      <c r="F23" s="13" t="s">
        <v>39</v>
      </c>
      <c r="G23" s="12" t="s">
        <v>68</v>
      </c>
      <c r="H23" s="12" t="s">
        <v>902</v>
      </c>
      <c r="I23" s="12" t="s">
        <v>903</v>
      </c>
      <c r="J23" s="17" t="s">
        <v>2169</v>
      </c>
      <c r="K23" s="18" t="s">
        <v>2170</v>
      </c>
      <c r="L23" s="20">
        <v>45846.0</v>
      </c>
      <c r="M23" s="17" t="s">
        <v>23</v>
      </c>
      <c r="N23" s="17" t="s">
        <v>2219</v>
      </c>
      <c r="O23" s="17">
        <v>4.1068782E7</v>
      </c>
      <c r="Q23" s="17" t="s">
        <v>112</v>
      </c>
      <c r="R23" s="17" t="s">
        <v>113</v>
      </c>
      <c r="S23" s="17" t="s">
        <v>2220</v>
      </c>
      <c r="U23" s="24"/>
      <c r="V23" s="24"/>
      <c r="W23" s="18" t="s">
        <v>588</v>
      </c>
    </row>
    <row r="24">
      <c r="A24" s="11"/>
      <c r="B24" s="12" t="s">
        <v>7</v>
      </c>
      <c r="C24" s="12" t="s">
        <v>37</v>
      </c>
      <c r="D24" s="12" t="s">
        <v>38</v>
      </c>
      <c r="E24" s="12" t="s">
        <v>38</v>
      </c>
      <c r="F24" s="13" t="s">
        <v>42</v>
      </c>
      <c r="G24" s="12" t="s">
        <v>68</v>
      </c>
      <c r="H24" s="12" t="s">
        <v>584</v>
      </c>
      <c r="I24" s="12" t="s">
        <v>585</v>
      </c>
      <c r="J24" s="17" t="s">
        <v>2169</v>
      </c>
      <c r="K24" s="18" t="s">
        <v>2170</v>
      </c>
      <c r="L24" s="20">
        <v>45847.0</v>
      </c>
      <c r="M24" s="17" t="s">
        <v>28</v>
      </c>
      <c r="N24" s="17" t="s">
        <v>2221</v>
      </c>
      <c r="O24" s="17">
        <v>4.8572692E7</v>
      </c>
      <c r="P24" s="17" t="s">
        <v>2222</v>
      </c>
      <c r="Q24" s="17" t="s">
        <v>108</v>
      </c>
      <c r="R24" s="17" t="s">
        <v>109</v>
      </c>
      <c r="S24" s="17" t="s">
        <v>2223</v>
      </c>
      <c r="U24" s="24"/>
      <c r="V24" s="24"/>
      <c r="W24" s="18" t="s">
        <v>588</v>
      </c>
    </row>
    <row r="25">
      <c r="A25" s="11"/>
      <c r="B25" s="12" t="s">
        <v>7</v>
      </c>
      <c r="C25" s="12" t="s">
        <v>37</v>
      </c>
      <c r="D25" s="12" t="s">
        <v>38</v>
      </c>
      <c r="E25" s="12" t="s">
        <v>38</v>
      </c>
      <c r="F25" s="13" t="s">
        <v>42</v>
      </c>
      <c r="G25" s="12" t="s">
        <v>68</v>
      </c>
      <c r="H25" s="12" t="s">
        <v>584</v>
      </c>
      <c r="I25" s="12" t="s">
        <v>585</v>
      </c>
      <c r="J25" s="17" t="s">
        <v>2169</v>
      </c>
      <c r="K25" s="18" t="s">
        <v>2170</v>
      </c>
      <c r="L25" s="20">
        <v>45847.0</v>
      </c>
      <c r="M25" s="17" t="s">
        <v>28</v>
      </c>
      <c r="N25" s="17" t="s">
        <v>2224</v>
      </c>
      <c r="O25" s="17">
        <v>4.4073423E7</v>
      </c>
      <c r="P25" s="17" t="s">
        <v>2225</v>
      </c>
      <c r="Q25" s="17" t="s">
        <v>108</v>
      </c>
      <c r="R25" s="17" t="s">
        <v>109</v>
      </c>
      <c r="S25" s="17" t="s">
        <v>2226</v>
      </c>
      <c r="U25" s="24"/>
      <c r="V25" s="24"/>
      <c r="W25" s="18" t="s">
        <v>588</v>
      </c>
    </row>
    <row r="26">
      <c r="A26" s="11"/>
      <c r="B26" s="12" t="s">
        <v>7</v>
      </c>
      <c r="C26" s="12" t="s">
        <v>37</v>
      </c>
      <c r="D26" s="12" t="s">
        <v>38</v>
      </c>
      <c r="E26" s="12" t="s">
        <v>38</v>
      </c>
      <c r="F26" s="13" t="s">
        <v>42</v>
      </c>
      <c r="G26" s="12" t="s">
        <v>68</v>
      </c>
      <c r="H26" s="12" t="s">
        <v>584</v>
      </c>
      <c r="I26" s="12" t="s">
        <v>585</v>
      </c>
      <c r="J26" s="17" t="s">
        <v>2169</v>
      </c>
      <c r="K26" s="18" t="s">
        <v>2170</v>
      </c>
      <c r="L26" s="20">
        <v>45847.0</v>
      </c>
      <c r="M26" s="17" t="s">
        <v>28</v>
      </c>
      <c r="N26" s="17" t="s">
        <v>2227</v>
      </c>
      <c r="O26" s="17">
        <v>7.6636299E7</v>
      </c>
      <c r="P26" s="17" t="s">
        <v>2228</v>
      </c>
      <c r="Q26" s="17" t="s">
        <v>108</v>
      </c>
      <c r="R26" s="17" t="s">
        <v>109</v>
      </c>
      <c r="S26" s="17" t="s">
        <v>2229</v>
      </c>
      <c r="U26" s="24"/>
      <c r="V26" s="24"/>
      <c r="W26" s="18" t="s">
        <v>588</v>
      </c>
    </row>
    <row r="27">
      <c r="A27" s="11"/>
      <c r="B27" s="12" t="s">
        <v>7</v>
      </c>
      <c r="C27" s="12" t="s">
        <v>37</v>
      </c>
      <c r="D27" s="12" t="s">
        <v>38</v>
      </c>
      <c r="E27" s="12" t="s">
        <v>38</v>
      </c>
      <c r="F27" s="13" t="s">
        <v>42</v>
      </c>
      <c r="G27" s="12" t="s">
        <v>68</v>
      </c>
      <c r="H27" s="12" t="s">
        <v>584</v>
      </c>
      <c r="I27" s="12" t="s">
        <v>585</v>
      </c>
      <c r="J27" s="17" t="s">
        <v>2169</v>
      </c>
      <c r="K27" s="18" t="s">
        <v>2170</v>
      </c>
      <c r="L27" s="20">
        <v>45847.0</v>
      </c>
      <c r="M27" s="17" t="s">
        <v>23</v>
      </c>
      <c r="N27" s="17" t="s">
        <v>2230</v>
      </c>
      <c r="O27" s="17">
        <v>3.1925876E7</v>
      </c>
      <c r="Q27" s="17" t="s">
        <v>108</v>
      </c>
      <c r="R27" s="17" t="s">
        <v>109</v>
      </c>
      <c r="S27" s="17" t="s">
        <v>2198</v>
      </c>
      <c r="U27" s="24"/>
      <c r="V27" s="24"/>
      <c r="W27" s="18" t="s">
        <v>588</v>
      </c>
    </row>
    <row r="28">
      <c r="A28" s="11"/>
      <c r="B28" s="12" t="s">
        <v>22</v>
      </c>
      <c r="C28" s="12" t="s">
        <v>22</v>
      </c>
      <c r="D28" s="12" t="s">
        <v>22</v>
      </c>
      <c r="E28" s="12" t="s">
        <v>624</v>
      </c>
      <c r="F28" s="13" t="s">
        <v>625</v>
      </c>
      <c r="G28" s="12" t="s">
        <v>68</v>
      </c>
      <c r="H28" s="12" t="s">
        <v>626</v>
      </c>
      <c r="I28" s="12" t="s">
        <v>627</v>
      </c>
      <c r="J28" s="17" t="s">
        <v>2169</v>
      </c>
      <c r="K28" s="18">
        <v>1.0</v>
      </c>
      <c r="L28" s="20">
        <v>45848.0</v>
      </c>
      <c r="M28" s="17" t="s">
        <v>28</v>
      </c>
      <c r="N28" s="17" t="s">
        <v>2231</v>
      </c>
      <c r="O28" s="17">
        <v>7.0998076E7</v>
      </c>
      <c r="P28" s="17" t="s">
        <v>2232</v>
      </c>
      <c r="Q28" s="17" t="s">
        <v>73</v>
      </c>
      <c r="R28" s="17" t="s">
        <v>2233</v>
      </c>
      <c r="S28" s="17" t="s">
        <v>2234</v>
      </c>
      <c r="U28" s="24"/>
      <c r="V28" s="24"/>
      <c r="W28" s="18" t="s">
        <v>588</v>
      </c>
    </row>
    <row r="29">
      <c r="A29" s="11"/>
      <c r="B29" s="12" t="s">
        <v>22</v>
      </c>
      <c r="C29" s="12" t="s">
        <v>22</v>
      </c>
      <c r="D29" s="12" t="s">
        <v>22</v>
      </c>
      <c r="E29" s="12" t="s">
        <v>624</v>
      </c>
      <c r="F29" s="13" t="s">
        <v>625</v>
      </c>
      <c r="G29" s="12" t="s">
        <v>68</v>
      </c>
      <c r="H29" s="12" t="s">
        <v>626</v>
      </c>
      <c r="I29" s="12" t="s">
        <v>627</v>
      </c>
      <c r="J29" s="17" t="s">
        <v>2169</v>
      </c>
      <c r="K29" s="18">
        <v>1.0</v>
      </c>
      <c r="L29" s="20">
        <v>45848.0</v>
      </c>
      <c r="M29" s="17" t="s">
        <v>28</v>
      </c>
      <c r="N29" s="17" t="s">
        <v>2235</v>
      </c>
      <c r="O29" s="17">
        <v>4.1263195E7</v>
      </c>
      <c r="P29" s="17" t="s">
        <v>2236</v>
      </c>
      <c r="Q29" s="17" t="s">
        <v>73</v>
      </c>
      <c r="R29" s="17" t="s">
        <v>2233</v>
      </c>
      <c r="S29" s="17" t="s">
        <v>2237</v>
      </c>
      <c r="U29" s="24"/>
      <c r="V29" s="24"/>
      <c r="W29" s="18" t="s">
        <v>588</v>
      </c>
    </row>
    <row r="30">
      <c r="A30" s="11"/>
      <c r="B30" s="12" t="s">
        <v>22</v>
      </c>
      <c r="C30" s="12" t="s">
        <v>22</v>
      </c>
      <c r="D30" s="12" t="s">
        <v>22</v>
      </c>
      <c r="E30" s="12" t="s">
        <v>624</v>
      </c>
      <c r="F30" s="13" t="s">
        <v>625</v>
      </c>
      <c r="G30" s="12" t="s">
        <v>68</v>
      </c>
      <c r="H30" s="12" t="s">
        <v>626</v>
      </c>
      <c r="I30" s="12" t="s">
        <v>627</v>
      </c>
      <c r="J30" s="17" t="s">
        <v>2169</v>
      </c>
      <c r="K30" s="18">
        <v>1.0</v>
      </c>
      <c r="L30" s="20">
        <v>45848.0</v>
      </c>
      <c r="M30" s="17" t="s">
        <v>28</v>
      </c>
      <c r="N30" s="17" t="s">
        <v>2238</v>
      </c>
      <c r="O30" s="17">
        <v>4.6285527E7</v>
      </c>
      <c r="P30" s="17" t="s">
        <v>2239</v>
      </c>
      <c r="Q30" s="17" t="s">
        <v>73</v>
      </c>
      <c r="R30" s="17" t="s">
        <v>2233</v>
      </c>
      <c r="S30" s="17" t="s">
        <v>2240</v>
      </c>
      <c r="U30" s="24"/>
      <c r="V30" s="24"/>
      <c r="W30" s="18" t="s">
        <v>588</v>
      </c>
    </row>
    <row r="31">
      <c r="A31" s="11"/>
      <c r="B31" s="12" t="s">
        <v>22</v>
      </c>
      <c r="C31" s="12" t="s">
        <v>22</v>
      </c>
      <c r="D31" s="12" t="s">
        <v>22</v>
      </c>
      <c r="E31" s="12" t="s">
        <v>624</v>
      </c>
      <c r="F31" s="13" t="s">
        <v>625</v>
      </c>
      <c r="G31" s="12" t="s">
        <v>68</v>
      </c>
      <c r="H31" s="12" t="s">
        <v>626</v>
      </c>
      <c r="I31" s="12" t="s">
        <v>627</v>
      </c>
      <c r="J31" s="17" t="s">
        <v>2169</v>
      </c>
      <c r="K31" s="18">
        <v>1.0</v>
      </c>
      <c r="L31" s="20">
        <v>45848.0</v>
      </c>
      <c r="M31" s="17" t="s">
        <v>28</v>
      </c>
      <c r="N31" s="17" t="s">
        <v>2241</v>
      </c>
      <c r="O31" s="17">
        <v>4.4328573E7</v>
      </c>
      <c r="P31" s="17" t="s">
        <v>2242</v>
      </c>
      <c r="Q31" s="17" t="s">
        <v>73</v>
      </c>
      <c r="R31" s="17" t="s">
        <v>2233</v>
      </c>
      <c r="S31" s="17" t="s">
        <v>2243</v>
      </c>
      <c r="U31" s="24"/>
      <c r="V31" s="24"/>
      <c r="W31" s="18" t="s">
        <v>588</v>
      </c>
    </row>
    <row r="32">
      <c r="A32" s="11"/>
      <c r="B32" s="12" t="s">
        <v>22</v>
      </c>
      <c r="C32" s="12" t="s">
        <v>22</v>
      </c>
      <c r="D32" s="12" t="s">
        <v>22</v>
      </c>
      <c r="E32" s="12" t="s">
        <v>624</v>
      </c>
      <c r="F32" s="13" t="s">
        <v>625</v>
      </c>
      <c r="G32" s="12" t="s">
        <v>68</v>
      </c>
      <c r="H32" s="12" t="s">
        <v>626</v>
      </c>
      <c r="I32" s="12" t="s">
        <v>627</v>
      </c>
      <c r="J32" s="17" t="s">
        <v>2169</v>
      </c>
      <c r="K32" s="18">
        <v>1.0</v>
      </c>
      <c r="L32" s="20">
        <v>45848.0</v>
      </c>
      <c r="M32" s="17" t="s">
        <v>28</v>
      </c>
      <c r="N32" s="17" t="s">
        <v>2244</v>
      </c>
      <c r="O32" s="17">
        <v>4.7052597E7</v>
      </c>
      <c r="P32" s="17" t="s">
        <v>2245</v>
      </c>
      <c r="Q32" s="17" t="s">
        <v>108</v>
      </c>
      <c r="R32" s="17" t="s">
        <v>2246</v>
      </c>
      <c r="S32" s="17" t="s">
        <v>2247</v>
      </c>
      <c r="U32" s="24"/>
      <c r="V32" s="24"/>
      <c r="W32" s="18" t="s">
        <v>588</v>
      </c>
    </row>
    <row r="33">
      <c r="A33" s="11"/>
      <c r="B33" s="12" t="s">
        <v>22</v>
      </c>
      <c r="C33" s="12" t="s">
        <v>22</v>
      </c>
      <c r="D33" s="12" t="s">
        <v>22</v>
      </c>
      <c r="E33" s="12" t="s">
        <v>624</v>
      </c>
      <c r="F33" s="13" t="s">
        <v>625</v>
      </c>
      <c r="G33" s="12" t="s">
        <v>68</v>
      </c>
      <c r="H33" s="12" t="s">
        <v>626</v>
      </c>
      <c r="I33" s="12" t="s">
        <v>627</v>
      </c>
      <c r="J33" s="17" t="s">
        <v>2169</v>
      </c>
      <c r="K33" s="18">
        <v>1.0</v>
      </c>
      <c r="L33" s="20">
        <v>45848.0</v>
      </c>
      <c r="M33" s="17" t="s">
        <v>28</v>
      </c>
      <c r="N33" s="17" t="s">
        <v>2248</v>
      </c>
      <c r="O33" s="17">
        <v>4.4917221E7</v>
      </c>
      <c r="P33" s="17" t="s">
        <v>2249</v>
      </c>
      <c r="Q33" s="17" t="s">
        <v>108</v>
      </c>
      <c r="R33" s="17" t="s">
        <v>2246</v>
      </c>
      <c r="S33" s="17" t="s">
        <v>2250</v>
      </c>
      <c r="U33" s="24"/>
      <c r="V33" s="24"/>
      <c r="W33" s="18" t="s">
        <v>588</v>
      </c>
    </row>
    <row r="34">
      <c r="A34" s="11"/>
      <c r="B34" s="12" t="s">
        <v>22</v>
      </c>
      <c r="C34" s="12" t="s">
        <v>22</v>
      </c>
      <c r="D34" s="12" t="s">
        <v>22</v>
      </c>
      <c r="E34" s="12" t="s">
        <v>624</v>
      </c>
      <c r="F34" s="13" t="s">
        <v>625</v>
      </c>
      <c r="G34" s="12" t="s">
        <v>68</v>
      </c>
      <c r="H34" s="12" t="s">
        <v>626</v>
      </c>
      <c r="I34" s="12" t="s">
        <v>627</v>
      </c>
      <c r="J34" s="17" t="s">
        <v>2169</v>
      </c>
      <c r="K34" s="18">
        <v>2.0</v>
      </c>
      <c r="L34" s="20">
        <v>45855.0</v>
      </c>
      <c r="M34" s="17" t="s">
        <v>28</v>
      </c>
      <c r="N34" s="17" t="s">
        <v>2231</v>
      </c>
      <c r="O34" s="17">
        <v>7.0998076E7</v>
      </c>
      <c r="P34" s="17" t="s">
        <v>2232</v>
      </c>
      <c r="Q34" s="17" t="s">
        <v>73</v>
      </c>
      <c r="R34" s="17" t="s">
        <v>2233</v>
      </c>
      <c r="S34" s="17" t="s">
        <v>2234</v>
      </c>
      <c r="U34" s="24"/>
      <c r="V34" s="24"/>
      <c r="W34" s="18" t="s">
        <v>588</v>
      </c>
    </row>
    <row r="35">
      <c r="A35" s="11"/>
      <c r="B35" s="12" t="s">
        <v>22</v>
      </c>
      <c r="C35" s="12" t="s">
        <v>22</v>
      </c>
      <c r="D35" s="12" t="s">
        <v>22</v>
      </c>
      <c r="E35" s="12" t="s">
        <v>624</v>
      </c>
      <c r="F35" s="13" t="s">
        <v>625</v>
      </c>
      <c r="G35" s="12" t="s">
        <v>68</v>
      </c>
      <c r="H35" s="12" t="s">
        <v>626</v>
      </c>
      <c r="I35" s="12" t="s">
        <v>627</v>
      </c>
      <c r="J35" s="17" t="s">
        <v>2169</v>
      </c>
      <c r="K35" s="18">
        <v>2.0</v>
      </c>
      <c r="L35" s="20">
        <v>45855.0</v>
      </c>
      <c r="M35" s="17" t="s">
        <v>28</v>
      </c>
      <c r="N35" s="17" t="s">
        <v>2244</v>
      </c>
      <c r="O35" s="17">
        <v>4.7052597E7</v>
      </c>
      <c r="P35" s="17" t="s">
        <v>2245</v>
      </c>
      <c r="Q35" s="17" t="s">
        <v>108</v>
      </c>
      <c r="R35" s="17" t="s">
        <v>2246</v>
      </c>
      <c r="S35" s="17" t="s">
        <v>2247</v>
      </c>
      <c r="U35" s="24"/>
      <c r="V35" s="24"/>
      <c r="W35" s="18" t="s">
        <v>588</v>
      </c>
    </row>
    <row r="36">
      <c r="A36" s="11"/>
      <c r="B36" s="12" t="s">
        <v>22</v>
      </c>
      <c r="C36" s="12" t="s">
        <v>22</v>
      </c>
      <c r="D36" s="12" t="s">
        <v>22</v>
      </c>
      <c r="E36" s="12" t="s">
        <v>624</v>
      </c>
      <c r="F36" s="13" t="s">
        <v>625</v>
      </c>
      <c r="G36" s="12" t="s">
        <v>68</v>
      </c>
      <c r="H36" s="12" t="s">
        <v>626</v>
      </c>
      <c r="I36" s="12" t="s">
        <v>627</v>
      </c>
      <c r="J36" s="17" t="s">
        <v>2169</v>
      </c>
      <c r="K36" s="18">
        <v>2.0</v>
      </c>
      <c r="L36" s="20">
        <v>45855.0</v>
      </c>
      <c r="M36" s="17" t="s">
        <v>28</v>
      </c>
      <c r="N36" s="17" t="s">
        <v>2241</v>
      </c>
      <c r="O36" s="17">
        <v>4.4328573E7</v>
      </c>
      <c r="P36" s="17" t="s">
        <v>2242</v>
      </c>
      <c r="Q36" s="17" t="s">
        <v>73</v>
      </c>
      <c r="R36" s="17" t="s">
        <v>2233</v>
      </c>
      <c r="S36" s="17" t="s">
        <v>2243</v>
      </c>
      <c r="U36" s="24"/>
      <c r="V36" s="24"/>
      <c r="W36" s="18" t="s">
        <v>588</v>
      </c>
    </row>
    <row r="37">
      <c r="A37" s="11"/>
      <c r="B37" s="12" t="s">
        <v>22</v>
      </c>
      <c r="C37" s="12" t="s">
        <v>22</v>
      </c>
      <c r="D37" s="12" t="s">
        <v>22</v>
      </c>
      <c r="E37" s="12" t="s">
        <v>624</v>
      </c>
      <c r="F37" s="13" t="s">
        <v>625</v>
      </c>
      <c r="G37" s="12" t="s">
        <v>68</v>
      </c>
      <c r="H37" s="12" t="s">
        <v>626</v>
      </c>
      <c r="I37" s="12" t="s">
        <v>627</v>
      </c>
      <c r="J37" s="17" t="s">
        <v>2169</v>
      </c>
      <c r="K37" s="18">
        <v>2.0</v>
      </c>
      <c r="L37" s="20">
        <v>45855.0</v>
      </c>
      <c r="M37" s="17" t="s">
        <v>28</v>
      </c>
      <c r="N37" s="17" t="s">
        <v>2235</v>
      </c>
      <c r="O37" s="17">
        <v>4.1263195E7</v>
      </c>
      <c r="P37" s="17" t="s">
        <v>2236</v>
      </c>
      <c r="Q37" s="17" t="s">
        <v>73</v>
      </c>
      <c r="R37" s="17" t="s">
        <v>2233</v>
      </c>
      <c r="S37" s="17" t="s">
        <v>2237</v>
      </c>
      <c r="U37" s="24"/>
      <c r="V37" s="24"/>
      <c r="W37" s="18" t="s">
        <v>588</v>
      </c>
    </row>
    <row r="38">
      <c r="A38" s="11"/>
      <c r="B38" s="12" t="s">
        <v>22</v>
      </c>
      <c r="C38" s="12" t="s">
        <v>22</v>
      </c>
      <c r="D38" s="12" t="s">
        <v>22</v>
      </c>
      <c r="E38" s="12" t="s">
        <v>624</v>
      </c>
      <c r="F38" s="13" t="s">
        <v>625</v>
      </c>
      <c r="G38" s="12" t="s">
        <v>68</v>
      </c>
      <c r="H38" s="12" t="s">
        <v>626</v>
      </c>
      <c r="I38" s="12" t="s">
        <v>627</v>
      </c>
      <c r="J38" s="17" t="s">
        <v>2169</v>
      </c>
      <c r="K38" s="18">
        <v>2.0</v>
      </c>
      <c r="L38" s="20">
        <v>45855.0</v>
      </c>
      <c r="M38" s="17" t="s">
        <v>28</v>
      </c>
      <c r="N38" s="17" t="s">
        <v>2251</v>
      </c>
      <c r="O38" s="17">
        <v>4.8733069E7</v>
      </c>
      <c r="P38" s="17" t="s">
        <v>2252</v>
      </c>
      <c r="Q38" s="17" t="s">
        <v>108</v>
      </c>
      <c r="R38" s="17" t="s">
        <v>2246</v>
      </c>
      <c r="S38" s="17" t="s">
        <v>2253</v>
      </c>
      <c r="U38" s="24"/>
      <c r="V38" s="24"/>
      <c r="W38" s="18" t="s">
        <v>588</v>
      </c>
    </row>
    <row r="39">
      <c r="A39" s="11"/>
      <c r="B39" s="12" t="s">
        <v>22</v>
      </c>
      <c r="C39" s="12" t="s">
        <v>22</v>
      </c>
      <c r="D39" s="12" t="s">
        <v>22</v>
      </c>
      <c r="E39" s="12" t="s">
        <v>624</v>
      </c>
      <c r="F39" s="13" t="s">
        <v>625</v>
      </c>
      <c r="G39" s="12" t="s">
        <v>68</v>
      </c>
      <c r="H39" s="12" t="s">
        <v>626</v>
      </c>
      <c r="I39" s="12" t="s">
        <v>627</v>
      </c>
      <c r="J39" s="17" t="s">
        <v>2169</v>
      </c>
      <c r="K39" s="18">
        <v>2.0</v>
      </c>
      <c r="L39" s="20">
        <v>45855.0</v>
      </c>
      <c r="M39" s="17" t="s">
        <v>28</v>
      </c>
      <c r="N39" s="17" t="s">
        <v>2254</v>
      </c>
      <c r="O39" s="17">
        <v>4.4633546E7</v>
      </c>
      <c r="P39" s="17" t="s">
        <v>2255</v>
      </c>
      <c r="Q39" s="17" t="s">
        <v>108</v>
      </c>
      <c r="R39" s="17" t="s">
        <v>2246</v>
      </c>
      <c r="S39" s="17" t="s">
        <v>2256</v>
      </c>
      <c r="U39" s="24"/>
      <c r="V39" s="24"/>
      <c r="W39" s="18" t="s">
        <v>588</v>
      </c>
    </row>
    <row r="40">
      <c r="A40" s="11"/>
      <c r="B40" s="12" t="s">
        <v>22</v>
      </c>
      <c r="C40" s="12" t="s">
        <v>22</v>
      </c>
      <c r="D40" s="12" t="s">
        <v>22</v>
      </c>
      <c r="E40" s="12" t="s">
        <v>624</v>
      </c>
      <c r="F40" s="13" t="s">
        <v>625</v>
      </c>
      <c r="G40" s="12" t="s">
        <v>68</v>
      </c>
      <c r="H40" s="12" t="s">
        <v>626</v>
      </c>
      <c r="I40" s="12" t="s">
        <v>627</v>
      </c>
      <c r="J40" s="17" t="s">
        <v>2169</v>
      </c>
      <c r="K40" s="18">
        <v>2.0</v>
      </c>
      <c r="L40" s="20">
        <v>45855.0</v>
      </c>
      <c r="M40" s="17" t="s">
        <v>28</v>
      </c>
      <c r="N40" s="17" t="s">
        <v>2257</v>
      </c>
      <c r="O40" s="17">
        <v>7.6548195E7</v>
      </c>
      <c r="P40" s="17" t="s">
        <v>2258</v>
      </c>
      <c r="Q40" s="17" t="s">
        <v>73</v>
      </c>
      <c r="R40" s="17" t="s">
        <v>2233</v>
      </c>
      <c r="S40" s="17" t="s">
        <v>2259</v>
      </c>
      <c r="U40" s="24"/>
      <c r="V40" s="24"/>
      <c r="W40" s="18" t="s">
        <v>588</v>
      </c>
    </row>
    <row r="41">
      <c r="A41" s="11"/>
      <c r="B41" s="12" t="s">
        <v>22</v>
      </c>
      <c r="C41" s="12" t="s">
        <v>22</v>
      </c>
      <c r="D41" s="12" t="s">
        <v>22</v>
      </c>
      <c r="E41" s="12" t="s">
        <v>624</v>
      </c>
      <c r="F41" s="13" t="s">
        <v>625</v>
      </c>
      <c r="G41" s="12" t="s">
        <v>68</v>
      </c>
      <c r="H41" s="12" t="s">
        <v>626</v>
      </c>
      <c r="I41" s="12" t="s">
        <v>627</v>
      </c>
      <c r="J41" s="17" t="s">
        <v>2169</v>
      </c>
      <c r="K41" s="18">
        <v>2.0</v>
      </c>
      <c r="L41" s="20">
        <v>45855.0</v>
      </c>
      <c r="M41" s="17" t="s">
        <v>28</v>
      </c>
      <c r="N41" s="17" t="s">
        <v>2238</v>
      </c>
      <c r="O41" s="17">
        <v>4.6285527E7</v>
      </c>
      <c r="P41" s="17" t="s">
        <v>2239</v>
      </c>
      <c r="Q41" s="17" t="s">
        <v>73</v>
      </c>
      <c r="R41" s="17" t="s">
        <v>2233</v>
      </c>
      <c r="S41" s="17" t="s">
        <v>2240</v>
      </c>
      <c r="U41" s="24"/>
      <c r="V41" s="24"/>
      <c r="W41" s="18" t="s">
        <v>588</v>
      </c>
    </row>
    <row r="42">
      <c r="A42" s="11"/>
      <c r="B42" s="12" t="s">
        <v>22</v>
      </c>
      <c r="C42" s="12" t="s">
        <v>22</v>
      </c>
      <c r="D42" s="12" t="s">
        <v>22</v>
      </c>
      <c r="E42" s="12" t="s">
        <v>624</v>
      </c>
      <c r="F42" s="13" t="s">
        <v>625</v>
      </c>
      <c r="G42" s="12" t="s">
        <v>68</v>
      </c>
      <c r="H42" s="12" t="s">
        <v>626</v>
      </c>
      <c r="I42" s="12" t="s">
        <v>627</v>
      </c>
      <c r="J42" s="17" t="s">
        <v>2169</v>
      </c>
      <c r="K42" s="18">
        <v>2.0</v>
      </c>
      <c r="L42" s="20">
        <v>45855.0</v>
      </c>
      <c r="M42" s="17" t="s">
        <v>28</v>
      </c>
      <c r="N42" s="17" t="s">
        <v>2260</v>
      </c>
      <c r="O42" s="17">
        <v>7.6175434E7</v>
      </c>
      <c r="P42" s="17" t="s">
        <v>2261</v>
      </c>
      <c r="Q42" s="17" t="s">
        <v>73</v>
      </c>
      <c r="R42" s="17" t="s">
        <v>2233</v>
      </c>
      <c r="S42" s="17" t="s">
        <v>2262</v>
      </c>
      <c r="U42" s="24"/>
      <c r="V42" s="24"/>
      <c r="W42" s="18" t="s">
        <v>588</v>
      </c>
    </row>
    <row r="43">
      <c r="A43" s="11"/>
      <c r="B43" s="12" t="s">
        <v>22</v>
      </c>
      <c r="C43" s="12" t="s">
        <v>22</v>
      </c>
      <c r="D43" s="12" t="s">
        <v>22</v>
      </c>
      <c r="E43" s="12" t="s">
        <v>624</v>
      </c>
      <c r="F43" s="13" t="s">
        <v>625</v>
      </c>
      <c r="G43" s="12" t="s">
        <v>68</v>
      </c>
      <c r="H43" s="12" t="s">
        <v>626</v>
      </c>
      <c r="I43" s="12" t="s">
        <v>627</v>
      </c>
      <c r="J43" s="17" t="s">
        <v>2169</v>
      </c>
      <c r="K43" s="18">
        <v>2.0</v>
      </c>
      <c r="L43" s="20">
        <v>45855.0</v>
      </c>
      <c r="M43" s="17" t="s">
        <v>28</v>
      </c>
      <c r="N43" s="17" t="s">
        <v>2263</v>
      </c>
      <c r="O43" s="17">
        <v>4.6518306E7</v>
      </c>
      <c r="P43" s="17" t="s">
        <v>2264</v>
      </c>
      <c r="Q43" s="17" t="s">
        <v>108</v>
      </c>
      <c r="R43" s="17" t="s">
        <v>2246</v>
      </c>
      <c r="S43" s="17" t="s">
        <v>2265</v>
      </c>
      <c r="U43" s="24"/>
      <c r="V43" s="24"/>
      <c r="W43" s="18" t="s">
        <v>588</v>
      </c>
    </row>
    <row r="44">
      <c r="A44" s="11"/>
      <c r="B44" s="12" t="s">
        <v>22</v>
      </c>
      <c r="C44" s="12" t="s">
        <v>22</v>
      </c>
      <c r="D44" s="12" t="s">
        <v>22</v>
      </c>
      <c r="E44" s="12" t="s">
        <v>624</v>
      </c>
      <c r="F44" s="13" t="s">
        <v>625</v>
      </c>
      <c r="G44" s="12" t="s">
        <v>68</v>
      </c>
      <c r="H44" s="12" t="s">
        <v>626</v>
      </c>
      <c r="I44" s="12" t="s">
        <v>627</v>
      </c>
      <c r="J44" s="17" t="s">
        <v>2169</v>
      </c>
      <c r="K44" s="18">
        <v>2.0</v>
      </c>
      <c r="L44" s="20">
        <v>45855.0</v>
      </c>
      <c r="M44" s="17" t="s">
        <v>23</v>
      </c>
      <c r="N44" s="17" t="s">
        <v>2266</v>
      </c>
      <c r="O44" s="17">
        <v>4.5618178E7</v>
      </c>
      <c r="Q44" s="17" t="s">
        <v>108</v>
      </c>
      <c r="R44" s="17" t="s">
        <v>2246</v>
      </c>
      <c r="S44" s="17" t="s">
        <v>2267</v>
      </c>
      <c r="U44" s="24"/>
      <c r="V44" s="24"/>
      <c r="W44" s="18" t="s">
        <v>588</v>
      </c>
    </row>
    <row r="45">
      <c r="A45" s="11"/>
      <c r="B45" s="12" t="s">
        <v>22</v>
      </c>
      <c r="C45" s="12" t="s">
        <v>22</v>
      </c>
      <c r="D45" s="12" t="s">
        <v>22</v>
      </c>
      <c r="E45" s="12" t="s">
        <v>624</v>
      </c>
      <c r="F45" s="13" t="s">
        <v>625</v>
      </c>
      <c r="G45" s="12" t="s">
        <v>68</v>
      </c>
      <c r="H45" s="12" t="s">
        <v>626</v>
      </c>
      <c r="I45" s="12" t="s">
        <v>627</v>
      </c>
      <c r="J45" s="17" t="s">
        <v>2169</v>
      </c>
      <c r="K45" s="18">
        <v>2.0</v>
      </c>
      <c r="L45" s="20">
        <v>45855.0</v>
      </c>
      <c r="M45" s="17" t="s">
        <v>23</v>
      </c>
      <c r="N45" s="17" t="s">
        <v>2268</v>
      </c>
      <c r="O45" s="17">
        <v>7.5461891E7</v>
      </c>
      <c r="Q45" s="17" t="s">
        <v>112</v>
      </c>
      <c r="R45" s="17" t="s">
        <v>2233</v>
      </c>
      <c r="S45" s="17" t="s">
        <v>2269</v>
      </c>
      <c r="U45" s="24"/>
      <c r="V45" s="24"/>
      <c r="W45" s="18" t="s">
        <v>588</v>
      </c>
    </row>
    <row r="46">
      <c r="A46" s="11"/>
      <c r="B46" s="12" t="s">
        <v>7</v>
      </c>
      <c r="C46" s="12" t="s">
        <v>8</v>
      </c>
      <c r="D46" s="12" t="s">
        <v>15</v>
      </c>
      <c r="E46" s="12" t="s">
        <v>17</v>
      </c>
      <c r="F46" s="13" t="s">
        <v>18</v>
      </c>
      <c r="G46" s="12" t="s">
        <v>68</v>
      </c>
      <c r="H46" s="12" t="s">
        <v>954</v>
      </c>
      <c r="I46" s="12" t="s">
        <v>955</v>
      </c>
      <c r="J46" s="17" t="s">
        <v>2169</v>
      </c>
      <c r="K46" s="18" t="s">
        <v>2270</v>
      </c>
      <c r="L46" s="20">
        <v>45852.0</v>
      </c>
      <c r="M46" s="17" t="s">
        <v>23</v>
      </c>
      <c r="N46" s="17" t="s">
        <v>2271</v>
      </c>
      <c r="O46" s="17">
        <v>4.5987279E7</v>
      </c>
      <c r="Q46" s="17" t="s">
        <v>108</v>
      </c>
      <c r="R46" s="17" t="s">
        <v>2272</v>
      </c>
      <c r="S46" s="17" t="s">
        <v>2273</v>
      </c>
      <c r="U46" s="24"/>
      <c r="V46" s="24"/>
      <c r="W46" s="18" t="s">
        <v>915</v>
      </c>
    </row>
    <row r="47">
      <c r="A47" s="11"/>
      <c r="B47" s="12" t="s">
        <v>7</v>
      </c>
      <c r="C47" s="12" t="s">
        <v>8</v>
      </c>
      <c r="D47" s="12" t="s">
        <v>15</v>
      </c>
      <c r="E47" s="12" t="s">
        <v>17</v>
      </c>
      <c r="F47" s="13" t="s">
        <v>18</v>
      </c>
      <c r="G47" s="12" t="s">
        <v>68</v>
      </c>
      <c r="H47" s="12" t="s">
        <v>954</v>
      </c>
      <c r="I47" s="12" t="s">
        <v>955</v>
      </c>
      <c r="J47" s="17" t="s">
        <v>2169</v>
      </c>
      <c r="K47" s="18" t="s">
        <v>2170</v>
      </c>
      <c r="L47" s="20">
        <v>45852.0</v>
      </c>
      <c r="M47" s="17" t="s">
        <v>28</v>
      </c>
      <c r="N47" s="17" t="s">
        <v>2274</v>
      </c>
      <c r="O47" s="17">
        <v>4.0377537E7</v>
      </c>
      <c r="Q47" s="17" t="s">
        <v>73</v>
      </c>
      <c r="R47" s="17" t="str">
        <f>IFERROR(__xludf.DUMMYFUNCTION("CONCATENATE(REGEXEXTRACT(Q47,""[\d]+""),"" años"")"),"3 años")</f>
        <v>3 años</v>
      </c>
      <c r="S47" s="17" t="s">
        <v>2202</v>
      </c>
      <c r="U47" s="24"/>
      <c r="V47" s="24"/>
      <c r="W47" s="18" t="s">
        <v>915</v>
      </c>
    </row>
    <row r="48">
      <c r="A48" s="11"/>
      <c r="B48" s="12" t="s">
        <v>7</v>
      </c>
      <c r="C48" s="12" t="s">
        <v>8</v>
      </c>
      <c r="D48" s="12" t="s">
        <v>15</v>
      </c>
      <c r="E48" s="12" t="s">
        <v>17</v>
      </c>
      <c r="F48" s="13" t="s">
        <v>18</v>
      </c>
      <c r="G48" s="12" t="s">
        <v>68</v>
      </c>
      <c r="H48" s="12" t="s">
        <v>954</v>
      </c>
      <c r="I48" s="12" t="s">
        <v>955</v>
      </c>
      <c r="J48" s="17" t="s">
        <v>2169</v>
      </c>
      <c r="K48" s="18" t="s">
        <v>2170</v>
      </c>
      <c r="L48" s="20">
        <v>45852.0</v>
      </c>
      <c r="M48" s="17" t="s">
        <v>28</v>
      </c>
      <c r="N48" s="17" t="s">
        <v>2275</v>
      </c>
      <c r="O48" s="17">
        <v>7.4297835E7</v>
      </c>
      <c r="Q48" s="17" t="s">
        <v>112</v>
      </c>
      <c r="R48" s="17" t="str">
        <f>IFERROR(__xludf.DUMMYFUNCTION("CONCATENATE(REGEXEXTRACT(Q48,""[\d]+""),"" años"")"),"4 años")</f>
        <v>4 años</v>
      </c>
      <c r="S48" s="17" t="s">
        <v>2220</v>
      </c>
      <c r="U48" s="24"/>
      <c r="V48" s="24"/>
      <c r="W48" s="18" t="s">
        <v>915</v>
      </c>
    </row>
    <row r="49">
      <c r="A49" s="11"/>
      <c r="B49" s="12" t="s">
        <v>7</v>
      </c>
      <c r="C49" s="12" t="s">
        <v>8</v>
      </c>
      <c r="D49" s="12" t="s">
        <v>15</v>
      </c>
      <c r="E49" s="12" t="s">
        <v>17</v>
      </c>
      <c r="F49" s="13" t="s">
        <v>18</v>
      </c>
      <c r="G49" s="12" t="s">
        <v>68</v>
      </c>
      <c r="H49" s="12" t="s">
        <v>954</v>
      </c>
      <c r="I49" s="12" t="s">
        <v>955</v>
      </c>
      <c r="J49" s="17" t="s">
        <v>2169</v>
      </c>
      <c r="K49" s="18" t="s">
        <v>2276</v>
      </c>
      <c r="L49" s="20">
        <v>45852.0</v>
      </c>
      <c r="M49" s="17" t="s">
        <v>28</v>
      </c>
      <c r="N49" s="17" t="s">
        <v>2277</v>
      </c>
      <c r="O49" s="17">
        <v>7.6646031E7</v>
      </c>
      <c r="Q49" s="17" t="s">
        <v>73</v>
      </c>
      <c r="R49" s="2" t="str">
        <f>IFERROR(__xludf.DUMMYFUNCTION("CONCATENATE(REGEXEXTRACT(Q49,""[\d]+""),"" años"")"),"3 años")</f>
        <v>3 años</v>
      </c>
      <c r="S49" s="17" t="s">
        <v>2202</v>
      </c>
      <c r="U49" s="24"/>
      <c r="V49" s="24"/>
      <c r="W49" s="18" t="s">
        <v>915</v>
      </c>
    </row>
    <row r="50">
      <c r="A50" s="11"/>
      <c r="B50" s="12" t="s">
        <v>7</v>
      </c>
      <c r="C50" s="12" t="s">
        <v>8</v>
      </c>
      <c r="D50" s="12" t="s">
        <v>15</v>
      </c>
      <c r="E50" s="12" t="s">
        <v>17</v>
      </c>
      <c r="F50" s="13" t="s">
        <v>18</v>
      </c>
      <c r="G50" s="12" t="s">
        <v>68</v>
      </c>
      <c r="H50" s="12" t="s">
        <v>954</v>
      </c>
      <c r="I50" s="12" t="s">
        <v>955</v>
      </c>
      <c r="J50" s="17" t="s">
        <v>2169</v>
      </c>
      <c r="K50" s="18" t="s">
        <v>2278</v>
      </c>
      <c r="L50" s="20">
        <v>45852.0</v>
      </c>
      <c r="M50" s="17" t="s">
        <v>28</v>
      </c>
      <c r="N50" s="17" t="s">
        <v>2279</v>
      </c>
      <c r="O50" s="17">
        <v>4.3321862E7</v>
      </c>
      <c r="Q50" s="17" t="s">
        <v>108</v>
      </c>
      <c r="R50" s="2" t="str">
        <f>IFERROR(__xludf.DUMMYFUNCTION("CONCATENATE(REGEXEXTRACT(Q50,""[\d]+""),"" años"")"),"5 años")</f>
        <v>5 años</v>
      </c>
      <c r="S50" s="17" t="s">
        <v>2198</v>
      </c>
      <c r="U50" s="24"/>
      <c r="V50" s="24"/>
      <c r="W50" s="18" t="s">
        <v>915</v>
      </c>
    </row>
    <row r="51">
      <c r="A51" s="11"/>
      <c r="B51" s="12" t="s">
        <v>7</v>
      </c>
      <c r="C51" s="12" t="s">
        <v>8</v>
      </c>
      <c r="D51" s="12" t="s">
        <v>15</v>
      </c>
      <c r="E51" s="12" t="s">
        <v>17</v>
      </c>
      <c r="F51" s="13" t="s">
        <v>18</v>
      </c>
      <c r="G51" s="12" t="s">
        <v>68</v>
      </c>
      <c r="H51" s="12" t="s">
        <v>954</v>
      </c>
      <c r="I51" s="12" t="s">
        <v>955</v>
      </c>
      <c r="J51" s="17" t="s">
        <v>2169</v>
      </c>
      <c r="K51" s="18" t="s">
        <v>2170</v>
      </c>
      <c r="L51" s="20">
        <v>45852.0</v>
      </c>
      <c r="M51" s="17" t="s">
        <v>28</v>
      </c>
      <c r="N51" s="17" t="s">
        <v>2280</v>
      </c>
      <c r="O51" s="17">
        <v>7.6580695E7</v>
      </c>
      <c r="Q51" s="17" t="s">
        <v>108</v>
      </c>
      <c r="R51" s="2" t="str">
        <f>IFERROR(__xludf.DUMMYFUNCTION("CONCATENATE(REGEXEXTRACT(Q51,""[\d]+""),"" años"")"),"5 años")</f>
        <v>5 años</v>
      </c>
      <c r="S51" s="17" t="s">
        <v>2198</v>
      </c>
      <c r="U51" s="24"/>
      <c r="V51" s="24"/>
      <c r="W51" s="18" t="s">
        <v>915</v>
      </c>
    </row>
    <row r="52">
      <c r="A52" s="11"/>
      <c r="B52" s="12" t="s">
        <v>7</v>
      </c>
      <c r="C52" s="12" t="s">
        <v>8</v>
      </c>
      <c r="D52" s="12" t="s">
        <v>15</v>
      </c>
      <c r="E52" s="12" t="s">
        <v>21</v>
      </c>
      <c r="F52" s="13" t="s">
        <v>19</v>
      </c>
      <c r="G52" s="12" t="s">
        <v>68</v>
      </c>
      <c r="H52" s="12" t="s">
        <v>968</v>
      </c>
      <c r="I52" s="12" t="s">
        <v>969</v>
      </c>
      <c r="J52" s="17" t="s">
        <v>2169</v>
      </c>
      <c r="K52" s="18" t="s">
        <v>2170</v>
      </c>
      <c r="L52" s="20">
        <v>45848.0</v>
      </c>
      <c r="M52" s="17" t="s">
        <v>23</v>
      </c>
      <c r="N52" s="17" t="s">
        <v>2281</v>
      </c>
      <c r="O52" s="17">
        <v>4.0148783E7</v>
      </c>
      <c r="Q52" s="2"/>
      <c r="U52" s="24"/>
      <c r="V52" s="24"/>
      <c r="W52" s="18" t="s">
        <v>915</v>
      </c>
    </row>
    <row r="53">
      <c r="A53" s="11"/>
      <c r="B53" s="12" t="s">
        <v>7</v>
      </c>
      <c r="C53" s="12" t="s">
        <v>8</v>
      </c>
      <c r="D53" s="12" t="s">
        <v>15</v>
      </c>
      <c r="E53" s="12" t="s">
        <v>21</v>
      </c>
      <c r="F53" s="13" t="s">
        <v>19</v>
      </c>
      <c r="G53" s="12" t="s">
        <v>68</v>
      </c>
      <c r="H53" s="12" t="s">
        <v>968</v>
      </c>
      <c r="I53" s="12" t="s">
        <v>969</v>
      </c>
      <c r="J53" s="17" t="s">
        <v>2169</v>
      </c>
      <c r="K53" s="18" t="s">
        <v>2170</v>
      </c>
      <c r="L53" s="20">
        <v>45848.0</v>
      </c>
      <c r="M53" s="17" t="s">
        <v>23</v>
      </c>
      <c r="N53" s="17" t="s">
        <v>2282</v>
      </c>
      <c r="O53" s="17">
        <v>7.1092345E7</v>
      </c>
      <c r="Q53" s="2"/>
      <c r="U53" s="24"/>
      <c r="V53" s="24"/>
      <c r="W53" s="18" t="s">
        <v>915</v>
      </c>
    </row>
    <row r="54">
      <c r="A54" s="11"/>
      <c r="B54" s="12" t="s">
        <v>7</v>
      </c>
      <c r="C54" s="12" t="s">
        <v>8</v>
      </c>
      <c r="D54" s="12" t="s">
        <v>15</v>
      </c>
      <c r="E54" s="12" t="s">
        <v>21</v>
      </c>
      <c r="F54" s="13" t="s">
        <v>19</v>
      </c>
      <c r="G54" s="12" t="s">
        <v>68</v>
      </c>
      <c r="H54" s="12" t="s">
        <v>968</v>
      </c>
      <c r="I54" s="12" t="s">
        <v>969</v>
      </c>
      <c r="J54" s="17" t="s">
        <v>2169</v>
      </c>
      <c r="K54" s="18" t="s">
        <v>2170</v>
      </c>
      <c r="L54" s="20">
        <v>45848.0</v>
      </c>
      <c r="M54" s="17" t="s">
        <v>23</v>
      </c>
      <c r="N54" s="17" t="s">
        <v>2283</v>
      </c>
      <c r="O54" s="17">
        <v>7.1652366E7</v>
      </c>
      <c r="Q54" s="2"/>
      <c r="U54" s="24"/>
      <c r="V54" s="24"/>
      <c r="W54" s="18" t="s">
        <v>915</v>
      </c>
    </row>
    <row r="55">
      <c r="A55" s="11"/>
      <c r="B55" s="12" t="s">
        <v>7</v>
      </c>
      <c r="C55" s="12" t="s">
        <v>8</v>
      </c>
      <c r="D55" s="12" t="s">
        <v>15</v>
      </c>
      <c r="E55" s="12" t="s">
        <v>21</v>
      </c>
      <c r="F55" s="13" t="s">
        <v>19</v>
      </c>
      <c r="G55" s="12" t="s">
        <v>68</v>
      </c>
      <c r="H55" s="12" t="s">
        <v>968</v>
      </c>
      <c r="I55" s="12" t="s">
        <v>969</v>
      </c>
      <c r="J55" s="17" t="s">
        <v>2169</v>
      </c>
      <c r="K55" s="18" t="s">
        <v>2170</v>
      </c>
      <c r="L55" s="20">
        <v>45848.0</v>
      </c>
      <c r="M55" s="17" t="s">
        <v>28</v>
      </c>
      <c r="N55" s="17" t="s">
        <v>2284</v>
      </c>
      <c r="O55" s="17">
        <v>4.1945018E7</v>
      </c>
      <c r="Q55" s="2"/>
      <c r="U55" s="24"/>
      <c r="V55" s="24"/>
      <c r="W55" s="18" t="s">
        <v>915</v>
      </c>
    </row>
    <row r="56">
      <c r="A56" s="11"/>
      <c r="B56" s="12" t="s">
        <v>7</v>
      </c>
      <c r="C56" s="12" t="s">
        <v>8</v>
      </c>
      <c r="D56" s="12" t="s">
        <v>15</v>
      </c>
      <c r="E56" s="12" t="s">
        <v>21</v>
      </c>
      <c r="F56" s="13" t="s">
        <v>19</v>
      </c>
      <c r="G56" s="12" t="s">
        <v>68</v>
      </c>
      <c r="H56" s="12" t="s">
        <v>968</v>
      </c>
      <c r="I56" s="12" t="s">
        <v>969</v>
      </c>
      <c r="J56" s="17" t="s">
        <v>2169</v>
      </c>
      <c r="K56" s="18" t="s">
        <v>2170</v>
      </c>
      <c r="L56" s="20">
        <v>45848.0</v>
      </c>
      <c r="M56" s="17" t="s">
        <v>28</v>
      </c>
      <c r="N56" s="17" t="s">
        <v>2285</v>
      </c>
      <c r="O56" s="17">
        <v>7.1933696E7</v>
      </c>
      <c r="Q56" s="2"/>
      <c r="U56" s="24"/>
      <c r="V56" s="24"/>
      <c r="W56" s="18" t="s">
        <v>915</v>
      </c>
    </row>
    <row r="57">
      <c r="A57" s="11"/>
      <c r="B57" s="12" t="s">
        <v>7</v>
      </c>
      <c r="C57" s="12" t="s">
        <v>8</v>
      </c>
      <c r="D57" s="12" t="s">
        <v>15</v>
      </c>
      <c r="E57" s="12" t="s">
        <v>21</v>
      </c>
      <c r="F57" s="13" t="s">
        <v>19</v>
      </c>
      <c r="G57" s="12" t="s">
        <v>68</v>
      </c>
      <c r="H57" s="12" t="s">
        <v>968</v>
      </c>
      <c r="I57" s="12" t="s">
        <v>969</v>
      </c>
      <c r="J57" s="17" t="s">
        <v>2169</v>
      </c>
      <c r="K57" s="18" t="s">
        <v>2170</v>
      </c>
      <c r="L57" s="20">
        <v>45848.0</v>
      </c>
      <c r="M57" s="17" t="s">
        <v>28</v>
      </c>
      <c r="N57" s="17" t="s">
        <v>2286</v>
      </c>
      <c r="O57" s="17">
        <v>4.4308537E7</v>
      </c>
      <c r="Q57" s="17" t="s">
        <v>112</v>
      </c>
      <c r="R57" s="17" t="str">
        <f>IFERROR(__xludf.DUMMYFUNCTION("CONCATENATE(REGEXEXTRACT(Q57,""[\d]+""),"" años"")"),"4 años")</f>
        <v>4 años</v>
      </c>
      <c r="S57" s="17" t="s">
        <v>2220</v>
      </c>
      <c r="U57" s="24"/>
      <c r="V57" s="24"/>
      <c r="W57" s="18" t="s">
        <v>915</v>
      </c>
    </row>
    <row r="58">
      <c r="A58" s="11"/>
      <c r="B58" s="12" t="s">
        <v>7</v>
      </c>
      <c r="C58" s="12" t="s">
        <v>8</v>
      </c>
      <c r="D58" s="12" t="s">
        <v>15</v>
      </c>
      <c r="E58" s="12" t="s">
        <v>21</v>
      </c>
      <c r="F58" s="13" t="s">
        <v>19</v>
      </c>
      <c r="G58" s="12" t="s">
        <v>68</v>
      </c>
      <c r="H58" s="12" t="s">
        <v>968</v>
      </c>
      <c r="I58" s="12" t="s">
        <v>969</v>
      </c>
      <c r="J58" s="17" t="s">
        <v>2169</v>
      </c>
      <c r="K58" s="18" t="s">
        <v>2170</v>
      </c>
      <c r="L58" s="20">
        <v>45848.0</v>
      </c>
      <c r="M58" s="17" t="s">
        <v>28</v>
      </c>
      <c r="N58" s="17" t="s">
        <v>2287</v>
      </c>
      <c r="O58" s="17">
        <v>7.1933694E7</v>
      </c>
      <c r="Q58" s="17" t="s">
        <v>108</v>
      </c>
      <c r="R58" s="17" t="str">
        <f>IFERROR(__xludf.DUMMYFUNCTION("CONCATENATE(REGEXEXTRACT(Q58,""[\d]+""),"" años"")"),"5 años")</f>
        <v>5 años</v>
      </c>
      <c r="S58" s="17" t="s">
        <v>2198</v>
      </c>
      <c r="U58" s="24"/>
      <c r="V58" s="24"/>
      <c r="W58" s="18" t="s">
        <v>915</v>
      </c>
    </row>
    <row r="59">
      <c r="A59" s="11"/>
      <c r="B59" s="12" t="s">
        <v>7</v>
      </c>
      <c r="C59" s="12" t="s">
        <v>8</v>
      </c>
      <c r="D59" s="12" t="s">
        <v>15</v>
      </c>
      <c r="E59" s="12" t="s">
        <v>21</v>
      </c>
      <c r="F59" s="13" t="s">
        <v>19</v>
      </c>
      <c r="G59" s="12" t="s">
        <v>68</v>
      </c>
      <c r="H59" s="12" t="s">
        <v>968</v>
      </c>
      <c r="I59" s="12" t="s">
        <v>969</v>
      </c>
      <c r="J59" s="17" t="s">
        <v>2169</v>
      </c>
      <c r="K59" s="18" t="s">
        <v>2170</v>
      </c>
      <c r="L59" s="20">
        <v>45848.0</v>
      </c>
      <c r="M59" s="17" t="s">
        <v>28</v>
      </c>
      <c r="N59" s="17" t="s">
        <v>2288</v>
      </c>
      <c r="O59" s="17">
        <v>7.6447489E7</v>
      </c>
      <c r="Q59" s="17" t="s">
        <v>73</v>
      </c>
      <c r="R59" s="2" t="str">
        <f>IFERROR(__xludf.DUMMYFUNCTION("CONCATENATE(REGEXEXTRACT(Q59,""[\d]+""),"" años"")"),"3 años")</f>
        <v>3 años</v>
      </c>
      <c r="S59" s="17" t="s">
        <v>2202</v>
      </c>
      <c r="U59" s="24"/>
      <c r="V59" s="24"/>
      <c r="W59" s="18" t="s">
        <v>915</v>
      </c>
    </row>
    <row r="60">
      <c r="A60" s="11"/>
      <c r="B60" s="12" t="s">
        <v>7</v>
      </c>
      <c r="C60" s="12" t="s">
        <v>8</v>
      </c>
      <c r="D60" s="12" t="s">
        <v>15</v>
      </c>
      <c r="E60" s="12" t="s">
        <v>21</v>
      </c>
      <c r="F60" s="13" t="s">
        <v>19</v>
      </c>
      <c r="G60" s="12" t="s">
        <v>68</v>
      </c>
      <c r="H60" s="12" t="s">
        <v>968</v>
      </c>
      <c r="I60" s="12" t="s">
        <v>969</v>
      </c>
      <c r="J60" s="17" t="s">
        <v>2169</v>
      </c>
      <c r="K60" s="18" t="s">
        <v>2170</v>
      </c>
      <c r="L60" s="20">
        <v>45848.0</v>
      </c>
      <c r="M60" s="17" t="s">
        <v>28</v>
      </c>
      <c r="N60" s="17" t="s">
        <v>2289</v>
      </c>
      <c r="O60" s="17">
        <v>7.6452769E7</v>
      </c>
      <c r="Q60" s="17" t="s">
        <v>112</v>
      </c>
      <c r="R60" s="2" t="str">
        <f>IFERROR(__xludf.DUMMYFUNCTION("CONCATENATE(REGEXEXTRACT(Q60,""[\d]+""),"" años"")"),"4 años")</f>
        <v>4 años</v>
      </c>
      <c r="S60" s="17" t="s">
        <v>2220</v>
      </c>
      <c r="U60" s="24"/>
      <c r="V60" s="24"/>
      <c r="W60" s="18" t="s">
        <v>915</v>
      </c>
    </row>
    <row r="61">
      <c r="A61" s="11"/>
      <c r="B61" s="12" t="s">
        <v>7</v>
      </c>
      <c r="C61" s="12" t="s">
        <v>8</v>
      </c>
      <c r="D61" s="12" t="s">
        <v>15</v>
      </c>
      <c r="E61" s="12" t="s">
        <v>21</v>
      </c>
      <c r="F61" s="13" t="s">
        <v>19</v>
      </c>
      <c r="G61" s="12" t="s">
        <v>68</v>
      </c>
      <c r="H61" s="12" t="s">
        <v>968</v>
      </c>
      <c r="I61" s="12" t="s">
        <v>969</v>
      </c>
      <c r="J61" s="17" t="s">
        <v>2169</v>
      </c>
      <c r="K61" s="18" t="s">
        <v>2170</v>
      </c>
      <c r="L61" s="20">
        <v>45848.0</v>
      </c>
      <c r="M61" s="17" t="s">
        <v>28</v>
      </c>
      <c r="N61" s="17" t="s">
        <v>2290</v>
      </c>
      <c r="O61" s="17">
        <v>7.6844742E7</v>
      </c>
      <c r="Q61" s="17" t="s">
        <v>112</v>
      </c>
      <c r="R61" s="2" t="str">
        <f>IFERROR(__xludf.DUMMYFUNCTION("CONCATENATE(REGEXEXTRACT(Q61,""[\d]+""),"" años"")"),"4 años")</f>
        <v>4 años</v>
      </c>
      <c r="S61" s="17" t="s">
        <v>2220</v>
      </c>
      <c r="U61" s="24"/>
      <c r="V61" s="24"/>
      <c r="W61" s="18" t="s">
        <v>915</v>
      </c>
    </row>
    <row r="62">
      <c r="A62" s="11"/>
      <c r="B62" s="12" t="s">
        <v>7</v>
      </c>
      <c r="C62" s="12" t="s">
        <v>8</v>
      </c>
      <c r="D62" s="12" t="s">
        <v>15</v>
      </c>
      <c r="E62" s="12" t="s">
        <v>21</v>
      </c>
      <c r="F62" s="13" t="s">
        <v>19</v>
      </c>
      <c r="G62" s="12" t="s">
        <v>68</v>
      </c>
      <c r="H62" s="12" t="s">
        <v>968</v>
      </c>
      <c r="I62" s="12" t="s">
        <v>969</v>
      </c>
      <c r="J62" s="17" t="s">
        <v>2169</v>
      </c>
      <c r="K62" s="18" t="s">
        <v>2170</v>
      </c>
      <c r="L62" s="20">
        <v>45848.0</v>
      </c>
      <c r="M62" s="17" t="s">
        <v>28</v>
      </c>
      <c r="N62" s="17" t="s">
        <v>2291</v>
      </c>
      <c r="O62" s="17">
        <v>7.5268779E7</v>
      </c>
      <c r="Q62" s="17" t="s">
        <v>73</v>
      </c>
      <c r="R62" s="2" t="str">
        <f>IFERROR(__xludf.DUMMYFUNCTION("CONCATENATE(REGEXEXTRACT(Q62,""[\d]+""),"" años"")"),"3 años")</f>
        <v>3 años</v>
      </c>
      <c r="S62" s="17" t="s">
        <v>2202</v>
      </c>
      <c r="U62" s="24"/>
      <c r="V62" s="24"/>
      <c r="W62" s="18" t="s">
        <v>915</v>
      </c>
    </row>
    <row r="63">
      <c r="A63" s="11"/>
      <c r="B63" s="12" t="s">
        <v>7</v>
      </c>
      <c r="C63" s="12" t="s">
        <v>8</v>
      </c>
      <c r="D63" s="12" t="s">
        <v>15</v>
      </c>
      <c r="E63" s="12" t="s">
        <v>21</v>
      </c>
      <c r="F63" s="13" t="s">
        <v>19</v>
      </c>
      <c r="G63" s="12" t="s">
        <v>68</v>
      </c>
      <c r="H63" s="12" t="s">
        <v>968</v>
      </c>
      <c r="I63" s="12" t="s">
        <v>969</v>
      </c>
      <c r="J63" s="17" t="s">
        <v>2169</v>
      </c>
      <c r="K63" s="18" t="s">
        <v>2170</v>
      </c>
      <c r="L63" s="20">
        <v>45848.0</v>
      </c>
      <c r="M63" s="17" t="s">
        <v>28</v>
      </c>
      <c r="N63" s="17" t="s">
        <v>2292</v>
      </c>
      <c r="O63" s="17">
        <v>4.1420205E7</v>
      </c>
      <c r="Q63" s="17" t="s">
        <v>108</v>
      </c>
      <c r="R63" s="2" t="str">
        <f>IFERROR(__xludf.DUMMYFUNCTION("CONCATENATE(REGEXEXTRACT(Q63,""[\d]+""),"" años"")"),"5 años")</f>
        <v>5 años</v>
      </c>
      <c r="S63" s="17" t="s">
        <v>2198</v>
      </c>
      <c r="U63" s="24"/>
      <c r="V63" s="24"/>
      <c r="W63" s="18" t="s">
        <v>915</v>
      </c>
    </row>
    <row r="64">
      <c r="A64" s="11"/>
      <c r="B64" s="12" t="s">
        <v>7</v>
      </c>
      <c r="C64" s="12" t="s">
        <v>8</v>
      </c>
      <c r="D64" s="12" t="s">
        <v>15</v>
      </c>
      <c r="E64" s="12" t="s">
        <v>21</v>
      </c>
      <c r="F64" s="13" t="s">
        <v>19</v>
      </c>
      <c r="G64" s="12" t="s">
        <v>68</v>
      </c>
      <c r="H64" s="12" t="s">
        <v>968</v>
      </c>
      <c r="I64" s="12" t="s">
        <v>969</v>
      </c>
      <c r="J64" s="17" t="s">
        <v>2169</v>
      </c>
      <c r="K64" s="18" t="s">
        <v>2170</v>
      </c>
      <c r="L64" s="20">
        <v>45848.0</v>
      </c>
      <c r="M64" s="17" t="s">
        <v>28</v>
      </c>
      <c r="N64" s="17" t="s">
        <v>2293</v>
      </c>
      <c r="O64" s="17">
        <v>4.6962682E7</v>
      </c>
      <c r="Q64" s="17" t="s">
        <v>112</v>
      </c>
      <c r="R64" s="2" t="str">
        <f>IFERROR(__xludf.DUMMYFUNCTION("CONCATENATE(REGEXEXTRACT(Q64,""[\d]+""),"" años"")"),"4 años")</f>
        <v>4 años</v>
      </c>
      <c r="S64" s="17" t="s">
        <v>2220</v>
      </c>
      <c r="U64" s="24"/>
      <c r="V64" s="24"/>
      <c r="W64" s="18" t="s">
        <v>915</v>
      </c>
    </row>
    <row r="65">
      <c r="A65" s="11"/>
      <c r="B65" s="12" t="s">
        <v>7</v>
      </c>
      <c r="C65" s="12" t="s">
        <v>8</v>
      </c>
      <c r="D65" s="12" t="s">
        <v>15</v>
      </c>
      <c r="E65" s="12" t="s">
        <v>21</v>
      </c>
      <c r="F65" s="13" t="s">
        <v>19</v>
      </c>
      <c r="G65" s="12" t="s">
        <v>68</v>
      </c>
      <c r="H65" s="12" t="s">
        <v>968</v>
      </c>
      <c r="I65" s="12" t="s">
        <v>969</v>
      </c>
      <c r="J65" s="17" t="s">
        <v>2169</v>
      </c>
      <c r="K65" s="18" t="s">
        <v>2170</v>
      </c>
      <c r="L65" s="20">
        <v>45848.0</v>
      </c>
      <c r="M65" s="17" t="s">
        <v>28</v>
      </c>
      <c r="N65" s="17" t="s">
        <v>2294</v>
      </c>
      <c r="O65" s="17">
        <v>7.0827437E7</v>
      </c>
      <c r="Q65" s="17" t="s">
        <v>108</v>
      </c>
      <c r="R65" s="2" t="str">
        <f>IFERROR(__xludf.DUMMYFUNCTION("CONCATENATE(REGEXEXTRACT(Q65,""[\d]+""),"" años"")"),"5 años")</f>
        <v>5 años</v>
      </c>
      <c r="S65" s="17" t="s">
        <v>2198</v>
      </c>
      <c r="U65" s="24"/>
      <c r="V65" s="24"/>
      <c r="W65" s="18" t="s">
        <v>915</v>
      </c>
    </row>
    <row r="66">
      <c r="A66" s="11"/>
      <c r="B66" s="12" t="s">
        <v>7</v>
      </c>
      <c r="C66" s="12" t="s">
        <v>8</v>
      </c>
      <c r="D66" s="12" t="s">
        <v>15</v>
      </c>
      <c r="E66" s="12" t="s">
        <v>21</v>
      </c>
      <c r="F66" s="13" t="s">
        <v>19</v>
      </c>
      <c r="G66" s="12" t="s">
        <v>68</v>
      </c>
      <c r="H66" s="12" t="s">
        <v>968</v>
      </c>
      <c r="I66" s="12" t="s">
        <v>969</v>
      </c>
      <c r="J66" s="17" t="s">
        <v>2169</v>
      </c>
      <c r="K66" s="18" t="s">
        <v>2170</v>
      </c>
      <c r="L66" s="20">
        <v>45848.0</v>
      </c>
      <c r="M66" s="17" t="s">
        <v>28</v>
      </c>
      <c r="N66" s="17" t="s">
        <v>2295</v>
      </c>
      <c r="O66" s="17">
        <v>7.203794E7</v>
      </c>
      <c r="Q66" s="17" t="s">
        <v>73</v>
      </c>
      <c r="R66" s="2" t="str">
        <f>IFERROR(__xludf.DUMMYFUNCTION("CONCATENATE(REGEXEXTRACT(Q66,""[\d]+""),"" años"")"),"3 años")</f>
        <v>3 años</v>
      </c>
      <c r="S66" s="17" t="s">
        <v>2202</v>
      </c>
      <c r="U66" s="24"/>
      <c r="V66" s="24"/>
      <c r="W66" s="18" t="s">
        <v>915</v>
      </c>
    </row>
    <row r="67">
      <c r="A67" s="11"/>
      <c r="B67" s="12" t="s">
        <v>7</v>
      </c>
      <c r="C67" s="12" t="s">
        <v>8</v>
      </c>
      <c r="D67" s="12" t="s">
        <v>15</v>
      </c>
      <c r="E67" s="12" t="s">
        <v>21</v>
      </c>
      <c r="F67" s="13" t="s">
        <v>19</v>
      </c>
      <c r="G67" s="12" t="s">
        <v>68</v>
      </c>
      <c r="H67" s="12" t="s">
        <v>968</v>
      </c>
      <c r="I67" s="12" t="s">
        <v>969</v>
      </c>
      <c r="J67" s="17" t="s">
        <v>2169</v>
      </c>
      <c r="K67" s="18" t="s">
        <v>2170</v>
      </c>
      <c r="L67" s="20">
        <v>45848.0</v>
      </c>
      <c r="M67" s="17" t="s">
        <v>28</v>
      </c>
      <c r="N67" s="17" t="s">
        <v>2296</v>
      </c>
      <c r="O67" s="17">
        <v>4.0508884E7</v>
      </c>
      <c r="Q67" s="17" t="s">
        <v>108</v>
      </c>
      <c r="R67" s="2" t="str">
        <f>IFERROR(__xludf.DUMMYFUNCTION("CONCATENATE(REGEXEXTRACT(Q67,""[\d]+""),"" años"")"),"5 años")</f>
        <v>5 años</v>
      </c>
      <c r="S67" s="17" t="s">
        <v>2198</v>
      </c>
      <c r="U67" s="24"/>
      <c r="V67" s="24"/>
      <c r="W67" s="18" t="s">
        <v>915</v>
      </c>
    </row>
    <row r="68">
      <c r="A68" s="11"/>
      <c r="B68" s="12" t="s">
        <v>7</v>
      </c>
      <c r="C68" s="12" t="s">
        <v>8</v>
      </c>
      <c r="D68" s="12" t="s">
        <v>15</v>
      </c>
      <c r="E68" s="12" t="s">
        <v>21</v>
      </c>
      <c r="F68" s="13" t="s">
        <v>19</v>
      </c>
      <c r="G68" s="12" t="s">
        <v>68</v>
      </c>
      <c r="H68" s="12" t="s">
        <v>968</v>
      </c>
      <c r="I68" s="12" t="s">
        <v>969</v>
      </c>
      <c r="J68" s="17" t="s">
        <v>2169</v>
      </c>
      <c r="K68" s="18" t="s">
        <v>2170</v>
      </c>
      <c r="L68" s="20">
        <v>45848.0</v>
      </c>
      <c r="M68" s="17" t="s">
        <v>28</v>
      </c>
      <c r="N68" s="17" t="s">
        <v>2297</v>
      </c>
      <c r="O68" s="17">
        <v>7.080889E7</v>
      </c>
      <c r="Q68" s="17" t="s">
        <v>108</v>
      </c>
      <c r="R68" s="2" t="str">
        <f>IFERROR(__xludf.DUMMYFUNCTION("CONCATENATE(REGEXEXTRACT(Q68,""[\d]+""),"" años"")"),"5 años")</f>
        <v>5 años</v>
      </c>
      <c r="S68" s="17" t="s">
        <v>2198</v>
      </c>
      <c r="U68" s="24"/>
      <c r="V68" s="24"/>
      <c r="W68" s="18" t="s">
        <v>915</v>
      </c>
    </row>
    <row r="69">
      <c r="A69" s="11"/>
      <c r="B69" s="12" t="s">
        <v>7</v>
      </c>
      <c r="C69" s="12" t="s">
        <v>8</v>
      </c>
      <c r="D69" s="12" t="s">
        <v>9</v>
      </c>
      <c r="E69" s="12" t="s">
        <v>10</v>
      </c>
      <c r="F69" s="13" t="s">
        <v>11</v>
      </c>
      <c r="G69" s="12" t="s">
        <v>68</v>
      </c>
      <c r="H69" s="12" t="s">
        <v>911</v>
      </c>
      <c r="I69" s="12" t="s">
        <v>912</v>
      </c>
      <c r="J69" s="17" t="s">
        <v>2169</v>
      </c>
      <c r="K69" s="18" t="s">
        <v>2170</v>
      </c>
      <c r="L69" s="20">
        <v>45854.0</v>
      </c>
      <c r="M69" s="17" t="s">
        <v>23</v>
      </c>
      <c r="N69" s="17" t="s">
        <v>2298</v>
      </c>
      <c r="O69" s="17">
        <v>4.5010912E7</v>
      </c>
      <c r="Q69" s="17" t="s">
        <v>73</v>
      </c>
      <c r="R69" s="2" t="str">
        <f>IFERROR(__xludf.DUMMYFUNCTION("CONCATENATE(REGEXEXTRACT(Q69,""[\d]+""),"" años"")"),"3 años")</f>
        <v>3 años</v>
      </c>
      <c r="S69" s="17" t="s">
        <v>2202</v>
      </c>
      <c r="U69" s="24"/>
      <c r="V69" s="24"/>
      <c r="W69" s="18" t="s">
        <v>915</v>
      </c>
    </row>
    <row r="70">
      <c r="A70" s="11"/>
      <c r="B70" s="12" t="s">
        <v>7</v>
      </c>
      <c r="C70" s="12" t="s">
        <v>8</v>
      </c>
      <c r="D70" s="12" t="s">
        <v>9</v>
      </c>
      <c r="E70" s="12" t="s">
        <v>10</v>
      </c>
      <c r="F70" s="13" t="s">
        <v>11</v>
      </c>
      <c r="G70" s="12" t="s">
        <v>68</v>
      </c>
      <c r="H70" s="12" t="s">
        <v>911</v>
      </c>
      <c r="I70" s="12" t="s">
        <v>912</v>
      </c>
      <c r="J70" s="17" t="s">
        <v>2169</v>
      </c>
      <c r="K70" s="18" t="s">
        <v>2170</v>
      </c>
      <c r="L70" s="20">
        <v>45854.0</v>
      </c>
      <c r="M70" s="17" t="s">
        <v>28</v>
      </c>
      <c r="N70" s="17" t="s">
        <v>2299</v>
      </c>
      <c r="O70" s="17">
        <v>7.1397433E7</v>
      </c>
      <c r="Q70" s="17" t="s">
        <v>112</v>
      </c>
      <c r="R70" s="2" t="str">
        <f>IFERROR(__xludf.DUMMYFUNCTION("CONCATENATE(REGEXEXTRACT(Q70,""[\d]+""),"" años"")"),"4 años")</f>
        <v>4 años</v>
      </c>
      <c r="S70" s="17" t="s">
        <v>2220</v>
      </c>
      <c r="U70" s="24"/>
      <c r="V70" s="24"/>
      <c r="W70" s="18" t="s">
        <v>915</v>
      </c>
    </row>
    <row r="71">
      <c r="A71" s="11"/>
      <c r="B71" s="12" t="s">
        <v>7</v>
      </c>
      <c r="C71" s="12" t="s">
        <v>8</v>
      </c>
      <c r="D71" s="12" t="s">
        <v>9</v>
      </c>
      <c r="E71" s="12" t="s">
        <v>10</v>
      </c>
      <c r="F71" s="13" t="s">
        <v>11</v>
      </c>
      <c r="G71" s="12" t="s">
        <v>68</v>
      </c>
      <c r="H71" s="12" t="s">
        <v>911</v>
      </c>
      <c r="I71" s="12" t="s">
        <v>912</v>
      </c>
      <c r="J71" s="17" t="s">
        <v>2169</v>
      </c>
      <c r="K71" s="18" t="s">
        <v>2170</v>
      </c>
      <c r="L71" s="20">
        <v>45854.0</v>
      </c>
      <c r="M71" s="17" t="s">
        <v>23</v>
      </c>
      <c r="N71" s="17" t="s">
        <v>2300</v>
      </c>
      <c r="Q71" s="17" t="s">
        <v>73</v>
      </c>
      <c r="R71" s="2" t="str">
        <f>IFERROR(__xludf.DUMMYFUNCTION("CONCATENATE(REGEXEXTRACT(Q71,""[\d]+""),"" años"")"),"3 años")</f>
        <v>3 años</v>
      </c>
      <c r="S71" s="17" t="s">
        <v>2202</v>
      </c>
      <c r="U71" s="24"/>
      <c r="V71" s="24"/>
      <c r="W71" s="18" t="s">
        <v>915</v>
      </c>
    </row>
    <row r="72">
      <c r="A72" s="11"/>
      <c r="B72" s="12" t="s">
        <v>7</v>
      </c>
      <c r="C72" s="12" t="s">
        <v>8</v>
      </c>
      <c r="D72" s="12" t="s">
        <v>9</v>
      </c>
      <c r="E72" s="12" t="s">
        <v>10</v>
      </c>
      <c r="F72" s="13" t="s">
        <v>11</v>
      </c>
      <c r="G72" s="12" t="s">
        <v>68</v>
      </c>
      <c r="H72" s="12" t="s">
        <v>911</v>
      </c>
      <c r="I72" s="12" t="s">
        <v>912</v>
      </c>
      <c r="J72" s="17" t="s">
        <v>2169</v>
      </c>
      <c r="K72" s="18" t="s">
        <v>2170</v>
      </c>
      <c r="L72" s="20">
        <v>45854.0</v>
      </c>
      <c r="M72" s="17" t="s">
        <v>23</v>
      </c>
      <c r="N72" s="17" t="s">
        <v>2301</v>
      </c>
      <c r="O72" s="17">
        <v>4.6444871E7</v>
      </c>
      <c r="Q72" s="17" t="s">
        <v>108</v>
      </c>
      <c r="R72" s="2" t="str">
        <f>IFERROR(__xludf.DUMMYFUNCTION("CONCATENATE(REGEXEXTRACT(Q72,""[\d]+""),"" años"")"),"5 años")</f>
        <v>5 años</v>
      </c>
      <c r="S72" s="17" t="s">
        <v>2198</v>
      </c>
      <c r="U72" s="24"/>
      <c r="V72" s="24"/>
      <c r="W72" s="18" t="s">
        <v>915</v>
      </c>
    </row>
    <row r="73">
      <c r="A73" s="11"/>
      <c r="B73" s="12" t="s">
        <v>7</v>
      </c>
      <c r="C73" s="12" t="s">
        <v>8</v>
      </c>
      <c r="D73" s="12" t="s">
        <v>9</v>
      </c>
      <c r="E73" s="12" t="s">
        <v>10</v>
      </c>
      <c r="F73" s="13" t="s">
        <v>11</v>
      </c>
      <c r="G73" s="12" t="s">
        <v>68</v>
      </c>
      <c r="H73" s="12" t="s">
        <v>911</v>
      </c>
      <c r="I73" s="12" t="s">
        <v>912</v>
      </c>
      <c r="J73" s="17" t="s">
        <v>2169</v>
      </c>
      <c r="K73" s="18" t="s">
        <v>2170</v>
      </c>
      <c r="L73" s="20">
        <v>45854.0</v>
      </c>
      <c r="M73" s="17" t="s">
        <v>28</v>
      </c>
      <c r="N73" s="17" t="s">
        <v>2302</v>
      </c>
      <c r="O73" s="17">
        <v>4.5960059E7</v>
      </c>
      <c r="Q73" s="17" t="s">
        <v>108</v>
      </c>
      <c r="R73" s="2" t="str">
        <f>IFERROR(__xludf.DUMMYFUNCTION("CONCATENATE(REGEXEXTRACT(Q73,""[\d]+""),"" años"")"),"5 años")</f>
        <v>5 años</v>
      </c>
      <c r="S73" s="17" t="s">
        <v>2198</v>
      </c>
      <c r="U73" s="24"/>
      <c r="V73" s="24"/>
      <c r="W73" s="18" t="s">
        <v>915</v>
      </c>
    </row>
    <row r="74">
      <c r="A74" s="11"/>
      <c r="B74" s="12" t="s">
        <v>7</v>
      </c>
      <c r="C74" s="12" t="s">
        <v>37</v>
      </c>
      <c r="D74" s="12" t="s">
        <v>38</v>
      </c>
      <c r="E74" s="12" t="s">
        <v>45</v>
      </c>
      <c r="F74" s="13" t="s">
        <v>44</v>
      </c>
      <c r="G74" s="12" t="s">
        <v>68</v>
      </c>
      <c r="H74" s="12" t="s">
        <v>830</v>
      </c>
      <c r="I74" s="12" t="s">
        <v>831</v>
      </c>
      <c r="J74" s="17" t="s">
        <v>2169</v>
      </c>
      <c r="K74" s="18" t="s">
        <v>2270</v>
      </c>
      <c r="L74" s="20">
        <v>45854.0</v>
      </c>
      <c r="M74" s="17" t="s">
        <v>23</v>
      </c>
      <c r="N74" s="17" t="s">
        <v>2303</v>
      </c>
      <c r="O74" s="17">
        <v>4.0135418E7</v>
      </c>
      <c r="Q74" s="17" t="s">
        <v>73</v>
      </c>
      <c r="R74" s="17" t="s">
        <v>74</v>
      </c>
      <c r="S74" s="17" t="s">
        <v>2202</v>
      </c>
      <c r="U74" s="24"/>
      <c r="V74" s="24"/>
      <c r="W74" s="18" t="s">
        <v>577</v>
      </c>
    </row>
    <row r="75">
      <c r="A75" s="11"/>
      <c r="B75" s="12" t="s">
        <v>7</v>
      </c>
      <c r="C75" s="12" t="s">
        <v>37</v>
      </c>
      <c r="D75" s="12" t="s">
        <v>38</v>
      </c>
      <c r="E75" s="12" t="s">
        <v>45</v>
      </c>
      <c r="F75" s="13" t="s">
        <v>44</v>
      </c>
      <c r="G75" s="12" t="s">
        <v>68</v>
      </c>
      <c r="H75" s="12" t="s">
        <v>830</v>
      </c>
      <c r="I75" s="12" t="s">
        <v>831</v>
      </c>
      <c r="J75" s="17" t="s">
        <v>2169</v>
      </c>
      <c r="K75" s="18" t="s">
        <v>2270</v>
      </c>
      <c r="L75" s="20">
        <v>45854.0</v>
      </c>
      <c r="M75" s="17" t="s">
        <v>23</v>
      </c>
      <c r="N75" s="17" t="s">
        <v>2304</v>
      </c>
      <c r="O75" s="17">
        <v>3.3335394E7</v>
      </c>
      <c r="Q75" s="17" t="s">
        <v>112</v>
      </c>
      <c r="R75" s="17" t="s">
        <v>113</v>
      </c>
      <c r="S75" s="17" t="s">
        <v>2220</v>
      </c>
      <c r="U75" s="24"/>
      <c r="V75" s="24"/>
      <c r="W75" s="18" t="s">
        <v>577</v>
      </c>
    </row>
    <row r="76">
      <c r="A76" s="11"/>
      <c r="B76" s="12" t="s">
        <v>7</v>
      </c>
      <c r="C76" s="12" t="s">
        <v>37</v>
      </c>
      <c r="D76" s="12" t="s">
        <v>38</v>
      </c>
      <c r="E76" s="12" t="s">
        <v>45</v>
      </c>
      <c r="F76" s="13" t="s">
        <v>44</v>
      </c>
      <c r="G76" s="12" t="s">
        <v>68</v>
      </c>
      <c r="H76" s="12" t="s">
        <v>830</v>
      </c>
      <c r="I76" s="12" t="s">
        <v>831</v>
      </c>
      <c r="J76" s="17" t="s">
        <v>2169</v>
      </c>
      <c r="K76" s="18" t="s">
        <v>2270</v>
      </c>
      <c r="L76" s="20">
        <v>45854.0</v>
      </c>
      <c r="M76" s="17" t="s">
        <v>23</v>
      </c>
      <c r="N76" s="17" t="s">
        <v>2305</v>
      </c>
      <c r="O76" s="17">
        <v>4.6033972E7</v>
      </c>
      <c r="Q76" s="17" t="s">
        <v>108</v>
      </c>
      <c r="R76" s="17" t="s">
        <v>109</v>
      </c>
      <c r="S76" s="17" t="s">
        <v>2198</v>
      </c>
      <c r="U76" s="24"/>
      <c r="V76" s="24"/>
      <c r="W76" s="18" t="s">
        <v>577</v>
      </c>
    </row>
    <row r="77">
      <c r="A77" s="11"/>
      <c r="B77" s="12" t="s">
        <v>7</v>
      </c>
      <c r="C77" s="12" t="s">
        <v>37</v>
      </c>
      <c r="D77" s="12" t="s">
        <v>38</v>
      </c>
      <c r="E77" s="12" t="s">
        <v>45</v>
      </c>
      <c r="F77" s="13" t="s">
        <v>44</v>
      </c>
      <c r="G77" s="12" t="s">
        <v>68</v>
      </c>
      <c r="H77" s="12" t="s">
        <v>830</v>
      </c>
      <c r="I77" s="12" t="s">
        <v>831</v>
      </c>
      <c r="J77" s="17" t="s">
        <v>2169</v>
      </c>
      <c r="K77" s="18" t="s">
        <v>2270</v>
      </c>
      <c r="L77" s="20">
        <v>45854.0</v>
      </c>
      <c r="M77" s="17" t="s">
        <v>28</v>
      </c>
      <c r="N77" s="17" t="s">
        <v>2306</v>
      </c>
      <c r="O77" s="17">
        <v>4.6307538E7</v>
      </c>
      <c r="P77" s="17" t="s">
        <v>2307</v>
      </c>
      <c r="Q77" s="17" t="s">
        <v>112</v>
      </c>
      <c r="R77" s="17" t="s">
        <v>113</v>
      </c>
      <c r="S77" s="17" t="s">
        <v>2308</v>
      </c>
      <c r="U77" s="24"/>
      <c r="V77" s="24"/>
      <c r="W77" s="18" t="s">
        <v>577</v>
      </c>
    </row>
    <row r="78">
      <c r="A78" s="11"/>
      <c r="B78" s="12" t="s">
        <v>7</v>
      </c>
      <c r="C78" s="12" t="s">
        <v>37</v>
      </c>
      <c r="D78" s="12" t="s">
        <v>38</v>
      </c>
      <c r="E78" s="12" t="s">
        <v>45</v>
      </c>
      <c r="F78" s="13" t="s">
        <v>44</v>
      </c>
      <c r="G78" s="12" t="s">
        <v>68</v>
      </c>
      <c r="H78" s="12" t="s">
        <v>830</v>
      </c>
      <c r="I78" s="12" t="s">
        <v>831</v>
      </c>
      <c r="J78" s="17" t="s">
        <v>2169</v>
      </c>
      <c r="K78" s="18" t="s">
        <v>2270</v>
      </c>
      <c r="L78" s="20">
        <v>45854.0</v>
      </c>
      <c r="M78" s="17" t="s">
        <v>28</v>
      </c>
      <c r="N78" s="17" t="s">
        <v>2309</v>
      </c>
      <c r="O78" s="17">
        <v>7.0814794E7</v>
      </c>
      <c r="P78" s="17" t="s">
        <v>2310</v>
      </c>
      <c r="Q78" s="17" t="s">
        <v>73</v>
      </c>
      <c r="R78" s="17" t="s">
        <v>2311</v>
      </c>
      <c r="S78" s="17" t="s">
        <v>2312</v>
      </c>
      <c r="U78" s="24"/>
      <c r="V78" s="24"/>
      <c r="W78" s="18" t="s">
        <v>577</v>
      </c>
    </row>
    <row r="79">
      <c r="A79" s="11"/>
      <c r="B79" s="12" t="s">
        <v>7</v>
      </c>
      <c r="C79" s="12" t="s">
        <v>37</v>
      </c>
      <c r="D79" s="12" t="s">
        <v>38</v>
      </c>
      <c r="E79" s="12" t="s">
        <v>45</v>
      </c>
      <c r="F79" s="13" t="s">
        <v>44</v>
      </c>
      <c r="G79" s="12" t="s">
        <v>68</v>
      </c>
      <c r="H79" s="12" t="s">
        <v>830</v>
      </c>
      <c r="I79" s="12" t="s">
        <v>831</v>
      </c>
      <c r="J79" s="17" t="s">
        <v>2169</v>
      </c>
      <c r="K79" s="18" t="s">
        <v>2270</v>
      </c>
      <c r="L79" s="20">
        <v>45854.0</v>
      </c>
      <c r="M79" s="17" t="s">
        <v>28</v>
      </c>
      <c r="N79" s="17" t="s">
        <v>2313</v>
      </c>
      <c r="O79" s="17">
        <v>4.558911E7</v>
      </c>
      <c r="P79" s="17" t="s">
        <v>1830</v>
      </c>
      <c r="Q79" s="17" t="s">
        <v>108</v>
      </c>
      <c r="R79" s="17" t="s">
        <v>109</v>
      </c>
      <c r="S79" s="17" t="s">
        <v>2314</v>
      </c>
      <c r="U79" s="24"/>
      <c r="V79" s="24"/>
      <c r="W79" s="18" t="s">
        <v>577</v>
      </c>
    </row>
    <row r="80">
      <c r="A80" s="11"/>
      <c r="B80" s="12" t="s">
        <v>7</v>
      </c>
      <c r="C80" s="12" t="s">
        <v>37</v>
      </c>
      <c r="D80" s="12" t="s">
        <v>38</v>
      </c>
      <c r="E80" s="12" t="s">
        <v>45</v>
      </c>
      <c r="F80" s="13" t="s">
        <v>44</v>
      </c>
      <c r="G80" s="12" t="s">
        <v>68</v>
      </c>
      <c r="H80" s="12" t="s">
        <v>830</v>
      </c>
      <c r="I80" s="12" t="s">
        <v>831</v>
      </c>
      <c r="J80" s="17" t="s">
        <v>2169</v>
      </c>
      <c r="K80" s="18" t="s">
        <v>2270</v>
      </c>
      <c r="L80" s="20">
        <v>45854.0</v>
      </c>
      <c r="M80" s="17" t="s">
        <v>28</v>
      </c>
      <c r="N80" s="17" t="s">
        <v>2315</v>
      </c>
      <c r="O80" s="17">
        <v>4.857957E7</v>
      </c>
      <c r="P80" s="17" t="s">
        <v>1829</v>
      </c>
      <c r="Q80" s="17" t="s">
        <v>108</v>
      </c>
      <c r="R80" s="17" t="s">
        <v>109</v>
      </c>
      <c r="S80" s="17" t="s">
        <v>2316</v>
      </c>
      <c r="U80" s="24"/>
      <c r="V80" s="24"/>
      <c r="W80" s="18" t="s">
        <v>577</v>
      </c>
    </row>
    <row r="81">
      <c r="A81" s="11"/>
      <c r="B81" s="12" t="s">
        <v>7</v>
      </c>
      <c r="C81" s="12" t="s">
        <v>37</v>
      </c>
      <c r="D81" s="12" t="s">
        <v>38</v>
      </c>
      <c r="E81" s="12" t="s">
        <v>45</v>
      </c>
      <c r="F81" s="13" t="s">
        <v>44</v>
      </c>
      <c r="G81" s="12" t="s">
        <v>68</v>
      </c>
      <c r="H81" s="12" t="s">
        <v>830</v>
      </c>
      <c r="I81" s="12" t="s">
        <v>831</v>
      </c>
      <c r="J81" s="17" t="s">
        <v>2169</v>
      </c>
      <c r="K81" s="18" t="s">
        <v>2270</v>
      </c>
      <c r="L81" s="20">
        <v>45854.0</v>
      </c>
      <c r="M81" s="17" t="s">
        <v>28</v>
      </c>
      <c r="N81" s="17" t="s">
        <v>2317</v>
      </c>
      <c r="O81" s="17">
        <v>3.1679891E7</v>
      </c>
      <c r="P81" s="17" t="s">
        <v>1822</v>
      </c>
      <c r="Q81" s="17" t="s">
        <v>108</v>
      </c>
      <c r="R81" s="17" t="s">
        <v>109</v>
      </c>
      <c r="S81" s="17" t="s">
        <v>2318</v>
      </c>
      <c r="U81" s="24"/>
      <c r="V81" s="24"/>
      <c r="W81" s="18" t="s">
        <v>577</v>
      </c>
    </row>
    <row r="82">
      <c r="A82" s="11"/>
      <c r="B82" s="12" t="s">
        <v>7</v>
      </c>
      <c r="C82" s="12" t="s">
        <v>37</v>
      </c>
      <c r="D82" s="12" t="s">
        <v>38</v>
      </c>
      <c r="E82" s="12" t="s">
        <v>45</v>
      </c>
      <c r="F82" s="13" t="s">
        <v>44</v>
      </c>
      <c r="G82" s="12" t="s">
        <v>68</v>
      </c>
      <c r="H82" s="12" t="s">
        <v>830</v>
      </c>
      <c r="I82" s="12" t="s">
        <v>831</v>
      </c>
      <c r="J82" s="17" t="s">
        <v>2169</v>
      </c>
      <c r="K82" s="18" t="s">
        <v>2270</v>
      </c>
      <c r="L82" s="20">
        <v>45854.0</v>
      </c>
      <c r="M82" s="17" t="s">
        <v>28</v>
      </c>
      <c r="N82" s="17" t="s">
        <v>2319</v>
      </c>
      <c r="O82" s="17">
        <v>4.5439712E7</v>
      </c>
      <c r="P82" s="17" t="s">
        <v>2320</v>
      </c>
      <c r="Q82" s="17" t="s">
        <v>108</v>
      </c>
      <c r="R82" s="17" t="s">
        <v>109</v>
      </c>
      <c r="S82" s="17" t="s">
        <v>2321</v>
      </c>
      <c r="U82" s="24"/>
      <c r="V82" s="24"/>
      <c r="W82" s="18" t="s">
        <v>577</v>
      </c>
    </row>
    <row r="83">
      <c r="A83" s="11"/>
      <c r="B83" s="12" t="s">
        <v>7</v>
      </c>
      <c r="C83" s="12" t="s">
        <v>37</v>
      </c>
      <c r="D83" s="12" t="s">
        <v>38</v>
      </c>
      <c r="E83" s="12" t="s">
        <v>45</v>
      </c>
      <c r="F83" s="13" t="s">
        <v>44</v>
      </c>
      <c r="G83" s="12" t="s">
        <v>68</v>
      </c>
      <c r="H83" s="12" t="s">
        <v>830</v>
      </c>
      <c r="I83" s="12" t="s">
        <v>831</v>
      </c>
      <c r="J83" s="17" t="s">
        <v>2169</v>
      </c>
      <c r="K83" s="18" t="s">
        <v>2270</v>
      </c>
      <c r="L83" s="20">
        <v>45854.0</v>
      </c>
      <c r="M83" s="17" t="s">
        <v>28</v>
      </c>
      <c r="N83" s="17" t="s">
        <v>2322</v>
      </c>
      <c r="O83" s="17">
        <v>7.1988406E7</v>
      </c>
      <c r="P83" s="17" t="s">
        <v>1826</v>
      </c>
      <c r="Q83" s="17" t="s">
        <v>108</v>
      </c>
      <c r="R83" s="17" t="s">
        <v>109</v>
      </c>
      <c r="S83" s="17" t="s">
        <v>2323</v>
      </c>
      <c r="U83" s="24"/>
      <c r="V83" s="24"/>
      <c r="W83" s="18" t="s">
        <v>577</v>
      </c>
    </row>
    <row r="84">
      <c r="A84" s="11"/>
      <c r="B84" s="12" t="s">
        <v>7</v>
      </c>
      <c r="C84" s="12" t="s">
        <v>37</v>
      </c>
      <c r="D84" s="12" t="s">
        <v>38</v>
      </c>
      <c r="E84" s="12" t="s">
        <v>45</v>
      </c>
      <c r="F84" s="13" t="s">
        <v>44</v>
      </c>
      <c r="G84" s="12" t="s">
        <v>68</v>
      </c>
      <c r="H84" s="12" t="s">
        <v>830</v>
      </c>
      <c r="I84" s="12" t="s">
        <v>831</v>
      </c>
      <c r="J84" s="17" t="s">
        <v>2169</v>
      </c>
      <c r="K84" s="18" t="s">
        <v>2270</v>
      </c>
      <c r="L84" s="20">
        <v>45854.0</v>
      </c>
      <c r="M84" s="17" t="s">
        <v>28</v>
      </c>
      <c r="N84" s="17" t="s">
        <v>2324</v>
      </c>
      <c r="O84" s="17">
        <v>4.5458285E7</v>
      </c>
      <c r="P84" s="17" t="s">
        <v>2058</v>
      </c>
      <c r="Q84" s="17" t="s">
        <v>73</v>
      </c>
      <c r="R84" s="17" t="s">
        <v>74</v>
      </c>
      <c r="S84" s="17" t="s">
        <v>2325</v>
      </c>
      <c r="U84" s="24"/>
      <c r="V84" s="24"/>
      <c r="W84" s="18" t="s">
        <v>577</v>
      </c>
    </row>
    <row r="85">
      <c r="A85" s="11"/>
      <c r="B85" s="12" t="s">
        <v>7</v>
      </c>
      <c r="C85" s="12" t="s">
        <v>37</v>
      </c>
      <c r="D85" s="12" t="s">
        <v>38</v>
      </c>
      <c r="E85" s="12" t="s">
        <v>45</v>
      </c>
      <c r="F85" s="13" t="s">
        <v>44</v>
      </c>
      <c r="G85" s="12" t="s">
        <v>68</v>
      </c>
      <c r="H85" s="12" t="s">
        <v>830</v>
      </c>
      <c r="I85" s="12" t="s">
        <v>831</v>
      </c>
      <c r="J85" s="17" t="s">
        <v>2169</v>
      </c>
      <c r="K85" s="18" t="s">
        <v>2270</v>
      </c>
      <c r="L85" s="20">
        <v>45854.0</v>
      </c>
      <c r="M85" s="17" t="s">
        <v>28</v>
      </c>
      <c r="N85" s="17" t="s">
        <v>2326</v>
      </c>
      <c r="O85" s="17">
        <v>7.6618048E7</v>
      </c>
      <c r="P85" s="17" t="s">
        <v>2327</v>
      </c>
      <c r="Q85" s="17" t="s">
        <v>73</v>
      </c>
      <c r="R85" s="17" t="s">
        <v>74</v>
      </c>
      <c r="S85" s="17" t="s">
        <v>2328</v>
      </c>
      <c r="U85" s="24"/>
      <c r="V85" s="24"/>
      <c r="W85" s="18" t="s">
        <v>577</v>
      </c>
    </row>
    <row r="86">
      <c r="A86" s="11"/>
      <c r="B86" s="12" t="s">
        <v>7</v>
      </c>
      <c r="C86" s="12" t="s">
        <v>37</v>
      </c>
      <c r="D86" s="12" t="s">
        <v>38</v>
      </c>
      <c r="E86" s="12" t="s">
        <v>45</v>
      </c>
      <c r="F86" s="13" t="s">
        <v>44</v>
      </c>
      <c r="G86" s="12" t="s">
        <v>68</v>
      </c>
      <c r="H86" s="12" t="s">
        <v>830</v>
      </c>
      <c r="I86" s="12" t="s">
        <v>831</v>
      </c>
      <c r="J86" s="17" t="s">
        <v>2169</v>
      </c>
      <c r="K86" s="18" t="s">
        <v>2270</v>
      </c>
      <c r="L86" s="20">
        <v>45854.0</v>
      </c>
      <c r="M86" s="17" t="s">
        <v>28</v>
      </c>
      <c r="N86" s="17" t="s">
        <v>2329</v>
      </c>
      <c r="O86" s="17">
        <v>7.7696147E7</v>
      </c>
      <c r="P86" s="17" t="s">
        <v>2059</v>
      </c>
      <c r="Q86" s="17" t="s">
        <v>73</v>
      </c>
      <c r="R86" s="17" t="s">
        <v>74</v>
      </c>
      <c r="S86" s="17" t="s">
        <v>2330</v>
      </c>
      <c r="U86" s="24"/>
      <c r="V86" s="24"/>
      <c r="W86" s="18" t="s">
        <v>577</v>
      </c>
    </row>
    <row r="87">
      <c r="A87" s="11"/>
      <c r="B87" s="12" t="s">
        <v>7</v>
      </c>
      <c r="C87" s="12" t="s">
        <v>37</v>
      </c>
      <c r="D87" s="12" t="s">
        <v>38</v>
      </c>
      <c r="E87" s="12" t="s">
        <v>45</v>
      </c>
      <c r="F87" s="13" t="s">
        <v>44</v>
      </c>
      <c r="G87" s="12" t="s">
        <v>68</v>
      </c>
      <c r="H87" s="12" t="s">
        <v>830</v>
      </c>
      <c r="I87" s="12" t="s">
        <v>831</v>
      </c>
      <c r="J87" s="17" t="s">
        <v>2169</v>
      </c>
      <c r="K87" s="18" t="s">
        <v>2270</v>
      </c>
      <c r="L87" s="20">
        <v>45854.0</v>
      </c>
      <c r="M87" s="17" t="s">
        <v>28</v>
      </c>
      <c r="N87" s="17" t="s">
        <v>2331</v>
      </c>
      <c r="O87" s="17">
        <v>4.1078093E7</v>
      </c>
      <c r="P87" s="17" t="s">
        <v>1820</v>
      </c>
      <c r="Q87" s="17" t="s">
        <v>112</v>
      </c>
      <c r="R87" s="17" t="s">
        <v>113</v>
      </c>
      <c r="S87" s="17" t="s">
        <v>2332</v>
      </c>
      <c r="U87" s="24"/>
      <c r="V87" s="24"/>
      <c r="W87" s="18" t="s">
        <v>577</v>
      </c>
    </row>
    <row r="88">
      <c r="A88" s="11"/>
      <c r="B88" s="12" t="s">
        <v>7</v>
      </c>
      <c r="C88" s="12" t="s">
        <v>37</v>
      </c>
      <c r="D88" s="12" t="s">
        <v>38</v>
      </c>
      <c r="E88" s="12" t="s">
        <v>45</v>
      </c>
      <c r="F88" s="13" t="s">
        <v>44</v>
      </c>
      <c r="G88" s="12" t="s">
        <v>68</v>
      </c>
      <c r="H88" s="12" t="s">
        <v>830</v>
      </c>
      <c r="I88" s="12" t="s">
        <v>831</v>
      </c>
      <c r="J88" s="17" t="s">
        <v>2169</v>
      </c>
      <c r="K88" s="18" t="s">
        <v>2270</v>
      </c>
      <c r="L88" s="20">
        <v>45854.0</v>
      </c>
      <c r="M88" s="17" t="s">
        <v>28</v>
      </c>
      <c r="N88" s="17" t="s">
        <v>2333</v>
      </c>
      <c r="O88" s="17">
        <v>7.651461E7</v>
      </c>
      <c r="P88" s="17" t="s">
        <v>1812</v>
      </c>
      <c r="Q88" s="17" t="s">
        <v>73</v>
      </c>
      <c r="R88" s="17" t="s">
        <v>74</v>
      </c>
      <c r="S88" s="17" t="s">
        <v>2334</v>
      </c>
      <c r="U88" s="24"/>
      <c r="V88" s="24"/>
      <c r="W88" s="18" t="s">
        <v>577</v>
      </c>
    </row>
    <row r="89">
      <c r="A89" s="11"/>
      <c r="B89" s="12" t="s">
        <v>7</v>
      </c>
      <c r="C89" s="12" t="s">
        <v>37</v>
      </c>
      <c r="D89" s="12" t="s">
        <v>38</v>
      </c>
      <c r="E89" s="12" t="s">
        <v>45</v>
      </c>
      <c r="F89" s="13" t="s">
        <v>44</v>
      </c>
      <c r="G89" s="12" t="s">
        <v>68</v>
      </c>
      <c r="H89" s="12" t="s">
        <v>830</v>
      </c>
      <c r="I89" s="12" t="s">
        <v>831</v>
      </c>
      <c r="J89" s="17" t="s">
        <v>2169</v>
      </c>
      <c r="K89" s="18" t="s">
        <v>2270</v>
      </c>
      <c r="L89" s="20">
        <v>45854.0</v>
      </c>
      <c r="M89" s="17" t="s">
        <v>28</v>
      </c>
      <c r="N89" s="17" t="s">
        <v>2335</v>
      </c>
      <c r="O89" s="17">
        <v>4.2262686E7</v>
      </c>
      <c r="P89" s="17" t="s">
        <v>2336</v>
      </c>
      <c r="Q89" s="17" t="s">
        <v>73</v>
      </c>
      <c r="R89" s="17" t="s">
        <v>74</v>
      </c>
      <c r="S89" s="17" t="s">
        <v>2337</v>
      </c>
      <c r="U89" s="24"/>
      <c r="V89" s="24"/>
      <c r="W89" s="18" t="s">
        <v>577</v>
      </c>
    </row>
    <row r="90">
      <c r="A90" s="11"/>
      <c r="B90" s="12" t="s">
        <v>7</v>
      </c>
      <c r="C90" s="12" t="s">
        <v>37</v>
      </c>
      <c r="D90" s="12" t="s">
        <v>38</v>
      </c>
      <c r="E90" s="12" t="s">
        <v>45</v>
      </c>
      <c r="F90" s="13" t="s">
        <v>44</v>
      </c>
      <c r="G90" s="12" t="s">
        <v>68</v>
      </c>
      <c r="H90" s="12" t="s">
        <v>830</v>
      </c>
      <c r="I90" s="12" t="s">
        <v>831</v>
      </c>
      <c r="J90" s="17" t="s">
        <v>2169</v>
      </c>
      <c r="K90" s="18" t="s">
        <v>2270</v>
      </c>
      <c r="L90" s="20">
        <v>45854.0</v>
      </c>
      <c r="M90" s="17" t="s">
        <v>28</v>
      </c>
      <c r="N90" s="17" t="s">
        <v>2338</v>
      </c>
      <c r="O90" s="17">
        <v>4.6985169E7</v>
      </c>
      <c r="P90" s="17" t="s">
        <v>2339</v>
      </c>
      <c r="Q90" s="17" t="s">
        <v>112</v>
      </c>
      <c r="R90" s="17" t="s">
        <v>113</v>
      </c>
      <c r="S90" s="17" t="s">
        <v>2340</v>
      </c>
      <c r="U90" s="24"/>
      <c r="V90" s="24"/>
      <c r="W90" s="18" t="s">
        <v>577</v>
      </c>
    </row>
    <row r="91">
      <c r="A91" s="11"/>
      <c r="B91" s="12" t="s">
        <v>7</v>
      </c>
      <c r="C91" s="12" t="s">
        <v>37</v>
      </c>
      <c r="D91" s="12" t="s">
        <v>38</v>
      </c>
      <c r="E91" s="12" t="s">
        <v>45</v>
      </c>
      <c r="F91" s="13" t="s">
        <v>44</v>
      </c>
      <c r="G91" s="12" t="s">
        <v>68</v>
      </c>
      <c r="H91" s="12" t="s">
        <v>830</v>
      </c>
      <c r="I91" s="12" t="s">
        <v>831</v>
      </c>
      <c r="J91" s="17" t="s">
        <v>2169</v>
      </c>
      <c r="K91" s="18" t="s">
        <v>2270</v>
      </c>
      <c r="L91" s="20">
        <v>45854.0</v>
      </c>
      <c r="M91" s="17" t="s">
        <v>28</v>
      </c>
      <c r="N91" s="17" t="s">
        <v>2341</v>
      </c>
      <c r="O91" s="17">
        <v>4.6646388E7</v>
      </c>
      <c r="P91" s="17" t="s">
        <v>1823</v>
      </c>
      <c r="Q91" s="17" t="s">
        <v>108</v>
      </c>
      <c r="R91" s="17" t="s">
        <v>109</v>
      </c>
      <c r="S91" s="17" t="s">
        <v>2342</v>
      </c>
      <c r="U91" s="24"/>
      <c r="V91" s="24"/>
      <c r="W91" s="18" t="s">
        <v>577</v>
      </c>
    </row>
    <row r="92">
      <c r="A92" s="11"/>
      <c r="B92" s="12" t="s">
        <v>7</v>
      </c>
      <c r="C92" s="12" t="s">
        <v>37</v>
      </c>
      <c r="D92" s="12" t="s">
        <v>38</v>
      </c>
      <c r="E92" s="12" t="s">
        <v>45</v>
      </c>
      <c r="F92" s="13" t="s">
        <v>44</v>
      </c>
      <c r="G92" s="12" t="s">
        <v>68</v>
      </c>
      <c r="H92" s="12" t="s">
        <v>830</v>
      </c>
      <c r="I92" s="12" t="s">
        <v>831</v>
      </c>
      <c r="J92" s="17" t="s">
        <v>2169</v>
      </c>
      <c r="K92" s="18" t="s">
        <v>2270</v>
      </c>
      <c r="L92" s="20">
        <v>45854.0</v>
      </c>
      <c r="M92" s="17" t="s">
        <v>28</v>
      </c>
      <c r="N92" s="17" t="s">
        <v>2343</v>
      </c>
      <c r="O92" s="17">
        <v>7.5240694E7</v>
      </c>
      <c r="P92" s="17" t="s">
        <v>2062</v>
      </c>
      <c r="Q92" s="17" t="s">
        <v>112</v>
      </c>
      <c r="R92" s="17" t="s">
        <v>113</v>
      </c>
      <c r="S92" s="17" t="s">
        <v>2344</v>
      </c>
      <c r="U92" s="24"/>
      <c r="V92" s="24"/>
      <c r="W92" s="18" t="s">
        <v>577</v>
      </c>
    </row>
    <row r="93">
      <c r="A93" s="11"/>
      <c r="B93" s="12" t="s">
        <v>7</v>
      </c>
      <c r="C93" s="12" t="s">
        <v>37</v>
      </c>
      <c r="D93" s="12" t="s">
        <v>38</v>
      </c>
      <c r="E93" s="12" t="s">
        <v>45</v>
      </c>
      <c r="F93" s="13" t="s">
        <v>44</v>
      </c>
      <c r="G93" s="12" t="s">
        <v>68</v>
      </c>
      <c r="H93" s="12" t="s">
        <v>830</v>
      </c>
      <c r="I93" s="12" t="s">
        <v>831</v>
      </c>
      <c r="J93" s="17" t="s">
        <v>2169</v>
      </c>
      <c r="K93" s="18" t="s">
        <v>2270</v>
      </c>
      <c r="L93" s="20">
        <v>45854.0</v>
      </c>
      <c r="M93" s="17" t="s">
        <v>28</v>
      </c>
      <c r="N93" s="17" t="s">
        <v>2345</v>
      </c>
      <c r="O93" s="17">
        <v>4.4921013E7</v>
      </c>
      <c r="P93" s="17" t="s">
        <v>1827</v>
      </c>
      <c r="Q93" s="17" t="s">
        <v>108</v>
      </c>
      <c r="R93" s="17" t="s">
        <v>109</v>
      </c>
      <c r="S93" s="17" t="s">
        <v>2346</v>
      </c>
      <c r="U93" s="24"/>
      <c r="V93" s="24"/>
      <c r="W93" s="18" t="s">
        <v>577</v>
      </c>
    </row>
    <row r="94">
      <c r="A94" s="11"/>
      <c r="B94" s="12" t="s">
        <v>7</v>
      </c>
      <c r="C94" s="12" t="s">
        <v>37</v>
      </c>
      <c r="D94" s="12" t="s">
        <v>38</v>
      </c>
      <c r="E94" s="12" t="s">
        <v>45</v>
      </c>
      <c r="F94" s="13" t="s">
        <v>44</v>
      </c>
      <c r="G94" s="12" t="s">
        <v>68</v>
      </c>
      <c r="H94" s="12" t="s">
        <v>830</v>
      </c>
      <c r="I94" s="12" t="s">
        <v>831</v>
      </c>
      <c r="J94" s="17" t="s">
        <v>2169</v>
      </c>
      <c r="K94" s="18" t="s">
        <v>2270</v>
      </c>
      <c r="L94" s="20">
        <v>45854.0</v>
      </c>
      <c r="M94" s="17" t="s">
        <v>28</v>
      </c>
      <c r="N94" s="17" t="s">
        <v>2347</v>
      </c>
      <c r="O94" s="17">
        <v>7.6056878E7</v>
      </c>
      <c r="P94" s="17" t="s">
        <v>2348</v>
      </c>
      <c r="Q94" s="17" t="s">
        <v>73</v>
      </c>
      <c r="R94" s="17" t="s">
        <v>74</v>
      </c>
      <c r="S94" s="17" t="s">
        <v>2349</v>
      </c>
      <c r="U94" s="24"/>
      <c r="V94" s="24"/>
      <c r="W94" s="18" t="s">
        <v>577</v>
      </c>
    </row>
    <row r="95">
      <c r="A95" s="11"/>
      <c r="B95" s="12" t="s">
        <v>7</v>
      </c>
      <c r="C95" s="12" t="s">
        <v>37</v>
      </c>
      <c r="D95" s="12" t="s">
        <v>38</v>
      </c>
      <c r="E95" s="12" t="s">
        <v>45</v>
      </c>
      <c r="F95" s="13" t="s">
        <v>44</v>
      </c>
      <c r="G95" s="12" t="s">
        <v>68</v>
      </c>
      <c r="H95" s="12" t="s">
        <v>830</v>
      </c>
      <c r="I95" s="12" t="s">
        <v>831</v>
      </c>
      <c r="J95" s="17" t="s">
        <v>2169</v>
      </c>
      <c r="K95" s="18" t="s">
        <v>2270</v>
      </c>
      <c r="L95" s="20">
        <v>45854.0</v>
      </c>
      <c r="M95" s="17" t="s">
        <v>28</v>
      </c>
      <c r="N95" s="17" t="s">
        <v>2350</v>
      </c>
      <c r="O95" s="17">
        <v>4.8210825E7</v>
      </c>
      <c r="P95" s="17" t="s">
        <v>1825</v>
      </c>
      <c r="Q95" s="17" t="s">
        <v>108</v>
      </c>
      <c r="R95" s="17" t="s">
        <v>109</v>
      </c>
      <c r="S95" s="17" t="s">
        <v>2351</v>
      </c>
      <c r="U95" s="24"/>
      <c r="V95" s="24"/>
      <c r="W95" s="18" t="s">
        <v>577</v>
      </c>
    </row>
    <row r="96">
      <c r="A96" s="11"/>
      <c r="B96" s="12" t="s">
        <v>7</v>
      </c>
      <c r="C96" s="12" t="s">
        <v>37</v>
      </c>
      <c r="D96" s="12" t="s">
        <v>38</v>
      </c>
      <c r="E96" s="12" t="s">
        <v>45</v>
      </c>
      <c r="F96" s="13" t="s">
        <v>44</v>
      </c>
      <c r="G96" s="12" t="s">
        <v>68</v>
      </c>
      <c r="H96" s="12" t="s">
        <v>830</v>
      </c>
      <c r="I96" s="12" t="s">
        <v>831</v>
      </c>
      <c r="J96" s="17" t="s">
        <v>2169</v>
      </c>
      <c r="K96" s="18" t="s">
        <v>2270</v>
      </c>
      <c r="L96" s="20">
        <v>45854.0</v>
      </c>
      <c r="M96" s="17" t="s">
        <v>28</v>
      </c>
      <c r="N96" s="17" t="s">
        <v>2352</v>
      </c>
      <c r="O96" s="17">
        <v>4.5436196E7</v>
      </c>
      <c r="P96" s="17" t="s">
        <v>2063</v>
      </c>
      <c r="Q96" s="17" t="s">
        <v>108</v>
      </c>
      <c r="R96" s="17" t="s">
        <v>109</v>
      </c>
      <c r="S96" s="17" t="s">
        <v>2353</v>
      </c>
      <c r="U96" s="24"/>
      <c r="V96" s="24"/>
      <c r="W96" s="18" t="s">
        <v>577</v>
      </c>
    </row>
    <row r="97">
      <c r="A97" s="11"/>
      <c r="B97" s="12" t="s">
        <v>7</v>
      </c>
      <c r="C97" s="12" t="s">
        <v>37</v>
      </c>
      <c r="D97" s="12" t="s">
        <v>38</v>
      </c>
      <c r="E97" s="12" t="s">
        <v>45</v>
      </c>
      <c r="F97" s="13" t="s">
        <v>44</v>
      </c>
      <c r="G97" s="12" t="s">
        <v>68</v>
      </c>
      <c r="H97" s="12" t="s">
        <v>830</v>
      </c>
      <c r="I97" s="12" t="s">
        <v>831</v>
      </c>
      <c r="J97" s="17" t="s">
        <v>2169</v>
      </c>
      <c r="K97" s="18" t="s">
        <v>2270</v>
      </c>
      <c r="L97" s="20">
        <v>45854.0</v>
      </c>
      <c r="M97" s="17" t="s">
        <v>28</v>
      </c>
      <c r="N97" s="17" t="s">
        <v>2354</v>
      </c>
      <c r="O97" s="17">
        <v>7.6056958E7</v>
      </c>
      <c r="P97" s="17" t="s">
        <v>2355</v>
      </c>
      <c r="Q97" s="17" t="s">
        <v>73</v>
      </c>
      <c r="R97" s="17" t="s">
        <v>74</v>
      </c>
      <c r="S97" s="17" t="s">
        <v>2356</v>
      </c>
      <c r="U97" s="24"/>
      <c r="V97" s="24"/>
      <c r="W97" s="18" t="s">
        <v>577</v>
      </c>
    </row>
    <row r="98">
      <c r="A98" s="11"/>
      <c r="B98" s="12" t="s">
        <v>7</v>
      </c>
      <c r="C98" s="12" t="s">
        <v>37</v>
      </c>
      <c r="D98" s="12" t="s">
        <v>38</v>
      </c>
      <c r="E98" s="12" t="s">
        <v>45</v>
      </c>
      <c r="F98" s="13" t="s">
        <v>44</v>
      </c>
      <c r="G98" s="12" t="s">
        <v>68</v>
      </c>
      <c r="H98" s="12" t="s">
        <v>830</v>
      </c>
      <c r="I98" s="12" t="s">
        <v>831</v>
      </c>
      <c r="J98" s="17" t="s">
        <v>2169</v>
      </c>
      <c r="K98" s="18" t="s">
        <v>2270</v>
      </c>
      <c r="L98" s="20">
        <v>45854.0</v>
      </c>
      <c r="M98" s="17" t="s">
        <v>28</v>
      </c>
      <c r="N98" s="17" t="s">
        <v>2357</v>
      </c>
      <c r="O98" s="17">
        <v>4.492657E7</v>
      </c>
      <c r="Q98" s="17" t="s">
        <v>108</v>
      </c>
      <c r="R98" s="17" t="s">
        <v>109</v>
      </c>
      <c r="S98" s="17" t="s">
        <v>2198</v>
      </c>
      <c r="U98" s="24"/>
      <c r="V98" s="24"/>
      <c r="W98" s="18" t="s">
        <v>577</v>
      </c>
    </row>
    <row r="99">
      <c r="A99" s="11"/>
      <c r="B99" s="12" t="s">
        <v>7</v>
      </c>
      <c r="C99" s="12" t="s">
        <v>37</v>
      </c>
      <c r="D99" s="12" t="s">
        <v>38</v>
      </c>
      <c r="E99" s="12" t="s">
        <v>45</v>
      </c>
      <c r="F99" s="13" t="s">
        <v>44</v>
      </c>
      <c r="G99" s="12" t="s">
        <v>68</v>
      </c>
      <c r="H99" s="12" t="s">
        <v>830</v>
      </c>
      <c r="I99" s="12" t="s">
        <v>831</v>
      </c>
      <c r="J99" s="17" t="s">
        <v>2169</v>
      </c>
      <c r="K99" s="18" t="s">
        <v>2270</v>
      </c>
      <c r="L99" s="20">
        <v>45854.0</v>
      </c>
      <c r="M99" s="17" t="s">
        <v>28</v>
      </c>
      <c r="N99" s="17" t="s">
        <v>2358</v>
      </c>
      <c r="O99" s="17">
        <v>4.6371978E7</v>
      </c>
      <c r="P99" s="17" t="s">
        <v>2359</v>
      </c>
      <c r="Q99" s="17" t="s">
        <v>73</v>
      </c>
      <c r="R99" s="17" t="s">
        <v>74</v>
      </c>
      <c r="S99" s="17" t="s">
        <v>2360</v>
      </c>
      <c r="U99" s="24"/>
      <c r="V99" s="24"/>
      <c r="W99" s="18" t="s">
        <v>577</v>
      </c>
    </row>
    <row r="100">
      <c r="A100" s="11"/>
      <c r="B100" s="12" t="s">
        <v>7</v>
      </c>
      <c r="C100" s="12" t="s">
        <v>8</v>
      </c>
      <c r="D100" s="12" t="s">
        <v>24</v>
      </c>
      <c r="E100" s="12" t="s">
        <v>29</v>
      </c>
      <c r="F100" s="13" t="s">
        <v>27</v>
      </c>
      <c r="G100" s="12" t="s">
        <v>68</v>
      </c>
      <c r="H100" s="12" t="s">
        <v>801</v>
      </c>
      <c r="I100" s="12" t="s">
        <v>802</v>
      </c>
      <c r="J100" s="17" t="s">
        <v>2169</v>
      </c>
      <c r="K100" s="18" t="s">
        <v>2170</v>
      </c>
      <c r="L100" s="20">
        <v>45855.0</v>
      </c>
      <c r="M100" s="17" t="s">
        <v>28</v>
      </c>
      <c r="N100" s="17" t="s">
        <v>2361</v>
      </c>
      <c r="O100" s="17">
        <v>4.5083577E7</v>
      </c>
      <c r="P100" s="17" t="s">
        <v>1793</v>
      </c>
      <c r="Q100" s="17" t="s">
        <v>108</v>
      </c>
      <c r="R100" s="17" t="s">
        <v>2055</v>
      </c>
      <c r="S100" s="17" t="s">
        <v>2362</v>
      </c>
      <c r="U100" s="24"/>
      <c r="V100" s="24"/>
      <c r="W100" s="18" t="s">
        <v>577</v>
      </c>
    </row>
    <row r="101">
      <c r="A101" s="11"/>
      <c r="B101" s="12" t="s">
        <v>7</v>
      </c>
      <c r="C101" s="12" t="s">
        <v>8</v>
      </c>
      <c r="D101" s="12" t="s">
        <v>24</v>
      </c>
      <c r="E101" s="12" t="s">
        <v>29</v>
      </c>
      <c r="F101" s="13" t="s">
        <v>27</v>
      </c>
      <c r="G101" s="12" t="s">
        <v>68</v>
      </c>
      <c r="H101" s="12" t="s">
        <v>801</v>
      </c>
      <c r="I101" s="12" t="s">
        <v>802</v>
      </c>
      <c r="J101" s="17" t="s">
        <v>2169</v>
      </c>
      <c r="K101" s="18" t="s">
        <v>2170</v>
      </c>
      <c r="L101" s="20">
        <v>45855.0</v>
      </c>
      <c r="M101" s="17" t="s">
        <v>28</v>
      </c>
      <c r="N101" s="17" t="s">
        <v>2363</v>
      </c>
      <c r="O101" s="17">
        <v>4.3128963E7</v>
      </c>
      <c r="P101" s="17" t="s">
        <v>1791</v>
      </c>
      <c r="Q101" s="17" t="s">
        <v>108</v>
      </c>
      <c r="R101" s="17" t="s">
        <v>2055</v>
      </c>
      <c r="S101" s="17" t="s">
        <v>2364</v>
      </c>
      <c r="U101" s="24"/>
      <c r="V101" s="24"/>
      <c r="W101" s="18" t="s">
        <v>577</v>
      </c>
    </row>
    <row r="102">
      <c r="A102" s="11"/>
      <c r="B102" s="12" t="s">
        <v>7</v>
      </c>
      <c r="C102" s="12" t="s">
        <v>8</v>
      </c>
      <c r="D102" s="12" t="s">
        <v>24</v>
      </c>
      <c r="E102" s="12" t="s">
        <v>29</v>
      </c>
      <c r="F102" s="13" t="s">
        <v>27</v>
      </c>
      <c r="G102" s="12" t="s">
        <v>68</v>
      </c>
      <c r="H102" s="12" t="s">
        <v>801</v>
      </c>
      <c r="I102" s="12" t="s">
        <v>802</v>
      </c>
      <c r="J102" s="17" t="s">
        <v>2169</v>
      </c>
      <c r="K102" s="18" t="s">
        <v>2170</v>
      </c>
      <c r="L102" s="20">
        <v>45855.0</v>
      </c>
      <c r="M102" s="17" t="s">
        <v>28</v>
      </c>
      <c r="N102" s="17" t="s">
        <v>2365</v>
      </c>
      <c r="O102" s="17">
        <v>4.8090717E7</v>
      </c>
      <c r="P102" s="17" t="s">
        <v>1792</v>
      </c>
      <c r="Q102" s="17" t="s">
        <v>108</v>
      </c>
      <c r="R102" s="17" t="s">
        <v>2055</v>
      </c>
      <c r="S102" s="17" t="s">
        <v>2366</v>
      </c>
      <c r="U102" s="24"/>
      <c r="V102" s="24"/>
      <c r="W102" s="18" t="s">
        <v>577</v>
      </c>
    </row>
    <row r="103">
      <c r="A103" s="11"/>
      <c r="B103" s="12" t="s">
        <v>7</v>
      </c>
      <c r="C103" s="12" t="s">
        <v>8</v>
      </c>
      <c r="D103" s="12" t="s">
        <v>24</v>
      </c>
      <c r="E103" s="12" t="s">
        <v>29</v>
      </c>
      <c r="F103" s="13" t="s">
        <v>27</v>
      </c>
      <c r="G103" s="12" t="s">
        <v>68</v>
      </c>
      <c r="H103" s="12" t="s">
        <v>801</v>
      </c>
      <c r="I103" s="12" t="s">
        <v>802</v>
      </c>
      <c r="J103" s="17" t="s">
        <v>2169</v>
      </c>
      <c r="K103" s="18" t="s">
        <v>2170</v>
      </c>
      <c r="L103" s="19">
        <v>45855.0</v>
      </c>
      <c r="M103" s="17" t="s">
        <v>28</v>
      </c>
      <c r="N103" s="17" t="s">
        <v>2367</v>
      </c>
      <c r="O103" s="17">
        <v>4.6024435E7</v>
      </c>
      <c r="P103" s="17" t="s">
        <v>1794</v>
      </c>
      <c r="Q103" s="17" t="s">
        <v>112</v>
      </c>
      <c r="R103" s="17" t="s">
        <v>2055</v>
      </c>
      <c r="S103" s="17" t="s">
        <v>2368</v>
      </c>
      <c r="U103" s="24"/>
      <c r="V103" s="24"/>
      <c r="W103" s="18" t="s">
        <v>577</v>
      </c>
    </row>
    <row r="104">
      <c r="A104" s="11"/>
      <c r="B104" s="12" t="s">
        <v>7</v>
      </c>
      <c r="C104" s="12" t="s">
        <v>8</v>
      </c>
      <c r="D104" s="12" t="s">
        <v>24</v>
      </c>
      <c r="E104" s="12" t="s">
        <v>29</v>
      </c>
      <c r="F104" s="13" t="s">
        <v>27</v>
      </c>
      <c r="G104" s="12" t="s">
        <v>68</v>
      </c>
      <c r="H104" s="12" t="s">
        <v>801</v>
      </c>
      <c r="I104" s="12" t="s">
        <v>802</v>
      </c>
      <c r="J104" s="17" t="s">
        <v>2169</v>
      </c>
      <c r="K104" s="18" t="s">
        <v>2170</v>
      </c>
      <c r="L104" s="19">
        <v>45855.0</v>
      </c>
      <c r="M104" s="17" t="s">
        <v>23</v>
      </c>
      <c r="N104" s="17" t="s">
        <v>2369</v>
      </c>
      <c r="O104" s="17">
        <v>4.7102534E7</v>
      </c>
      <c r="Q104" s="17" t="s">
        <v>73</v>
      </c>
      <c r="R104" s="17" t="s">
        <v>2055</v>
      </c>
      <c r="S104" s="17" t="s">
        <v>2370</v>
      </c>
      <c r="U104" s="24"/>
      <c r="V104" s="24"/>
      <c r="W104" s="18" t="s">
        <v>577</v>
      </c>
    </row>
    <row r="105">
      <c r="A105" s="11"/>
      <c r="B105" s="12" t="s">
        <v>7</v>
      </c>
      <c r="C105" s="12" t="s">
        <v>8</v>
      </c>
      <c r="D105" s="12" t="s">
        <v>24</v>
      </c>
      <c r="E105" s="12" t="s">
        <v>35</v>
      </c>
      <c r="F105" s="13" t="s">
        <v>33</v>
      </c>
      <c r="G105" s="12" t="s">
        <v>68</v>
      </c>
      <c r="H105" s="12" t="s">
        <v>813</v>
      </c>
      <c r="I105" s="12" t="s">
        <v>814</v>
      </c>
      <c r="J105" s="17" t="s">
        <v>2169</v>
      </c>
      <c r="K105" s="18" t="s">
        <v>2170</v>
      </c>
      <c r="L105" s="20">
        <v>45856.0</v>
      </c>
      <c r="M105" s="17" t="s">
        <v>28</v>
      </c>
      <c r="N105" s="17" t="s">
        <v>2371</v>
      </c>
      <c r="O105" s="17">
        <v>6.2210552E7</v>
      </c>
      <c r="P105" s="17" t="s">
        <v>1801</v>
      </c>
      <c r="Q105" s="17" t="s">
        <v>112</v>
      </c>
      <c r="R105" s="17" t="s">
        <v>1797</v>
      </c>
      <c r="S105" s="17" t="s">
        <v>2372</v>
      </c>
      <c r="U105" s="24"/>
      <c r="V105" s="24"/>
      <c r="W105" s="18" t="s">
        <v>577</v>
      </c>
    </row>
    <row r="106">
      <c r="A106" s="11"/>
      <c r="B106" s="12" t="s">
        <v>7</v>
      </c>
      <c r="C106" s="12" t="s">
        <v>8</v>
      </c>
      <c r="D106" s="12" t="s">
        <v>24</v>
      </c>
      <c r="E106" s="12" t="s">
        <v>35</v>
      </c>
      <c r="F106" s="13" t="s">
        <v>33</v>
      </c>
      <c r="G106" s="12" t="s">
        <v>68</v>
      </c>
      <c r="H106" s="12" t="s">
        <v>813</v>
      </c>
      <c r="I106" s="12" t="s">
        <v>814</v>
      </c>
      <c r="J106" s="17" t="s">
        <v>2169</v>
      </c>
      <c r="K106" s="18" t="s">
        <v>2170</v>
      </c>
      <c r="L106" s="20">
        <v>45856.0</v>
      </c>
      <c r="M106" s="17" t="s">
        <v>28</v>
      </c>
      <c r="N106" s="17" t="s">
        <v>2373</v>
      </c>
      <c r="O106" s="17">
        <v>4.3179451E7</v>
      </c>
      <c r="P106" s="17" t="s">
        <v>1803</v>
      </c>
      <c r="Q106" s="17" t="s">
        <v>108</v>
      </c>
      <c r="R106" s="17" t="s">
        <v>109</v>
      </c>
      <c r="S106" s="17" t="s">
        <v>2374</v>
      </c>
      <c r="U106" s="24"/>
      <c r="V106" s="24"/>
      <c r="W106" s="18" t="s">
        <v>577</v>
      </c>
    </row>
    <row r="107">
      <c r="A107" s="11"/>
      <c r="B107" s="12" t="s">
        <v>7</v>
      </c>
      <c r="C107" s="12" t="s">
        <v>8</v>
      </c>
      <c r="D107" s="12" t="s">
        <v>24</v>
      </c>
      <c r="E107" s="12" t="s">
        <v>35</v>
      </c>
      <c r="F107" s="13" t="s">
        <v>33</v>
      </c>
      <c r="G107" s="12" t="s">
        <v>68</v>
      </c>
      <c r="H107" s="12" t="s">
        <v>813</v>
      </c>
      <c r="I107" s="12" t="s">
        <v>814</v>
      </c>
      <c r="J107" s="17" t="s">
        <v>2169</v>
      </c>
      <c r="K107" s="18" t="s">
        <v>2170</v>
      </c>
      <c r="L107" s="20">
        <v>45856.0</v>
      </c>
      <c r="M107" s="17" t="s">
        <v>28</v>
      </c>
      <c r="N107" s="17" t="s">
        <v>2375</v>
      </c>
      <c r="O107" s="17">
        <v>4.7154372E7</v>
      </c>
      <c r="P107" s="17" t="s">
        <v>2376</v>
      </c>
      <c r="Q107" s="17" t="s">
        <v>108</v>
      </c>
      <c r="R107" s="17" t="s">
        <v>109</v>
      </c>
      <c r="S107" s="17" t="s">
        <v>2377</v>
      </c>
      <c r="U107" s="24"/>
      <c r="V107" s="24"/>
      <c r="W107" s="18" t="s">
        <v>577</v>
      </c>
    </row>
    <row r="108">
      <c r="A108" s="11"/>
      <c r="B108" s="12" t="s">
        <v>7</v>
      </c>
      <c r="C108" s="12" t="s">
        <v>8</v>
      </c>
      <c r="D108" s="12" t="s">
        <v>24</v>
      </c>
      <c r="E108" s="12" t="s">
        <v>35</v>
      </c>
      <c r="F108" s="13" t="s">
        <v>33</v>
      </c>
      <c r="G108" s="12" t="s">
        <v>68</v>
      </c>
      <c r="H108" s="12" t="s">
        <v>813</v>
      </c>
      <c r="I108" s="12" t="s">
        <v>814</v>
      </c>
      <c r="J108" s="17" t="s">
        <v>2169</v>
      </c>
      <c r="K108" s="18" t="s">
        <v>2170</v>
      </c>
      <c r="L108" s="20">
        <v>45856.0</v>
      </c>
      <c r="M108" s="17" t="s">
        <v>28</v>
      </c>
      <c r="N108" s="17" t="s">
        <v>2378</v>
      </c>
      <c r="O108" s="17">
        <v>7.0945989E7</v>
      </c>
      <c r="P108" s="17" t="s">
        <v>2379</v>
      </c>
      <c r="Q108" s="17" t="s">
        <v>112</v>
      </c>
      <c r="R108" s="17" t="s">
        <v>1797</v>
      </c>
      <c r="S108" s="17" t="s">
        <v>2380</v>
      </c>
      <c r="U108" s="24"/>
      <c r="V108" s="24"/>
      <c r="W108" s="18" t="s">
        <v>577</v>
      </c>
    </row>
    <row r="109">
      <c r="A109" s="11"/>
      <c r="B109" s="12" t="s">
        <v>7</v>
      </c>
      <c r="C109" s="12" t="s">
        <v>8</v>
      </c>
      <c r="D109" s="12" t="s">
        <v>24</v>
      </c>
      <c r="E109" s="12" t="s">
        <v>35</v>
      </c>
      <c r="F109" s="13" t="s">
        <v>33</v>
      </c>
      <c r="G109" s="12" t="s">
        <v>68</v>
      </c>
      <c r="H109" s="12" t="s">
        <v>813</v>
      </c>
      <c r="I109" s="12" t="s">
        <v>814</v>
      </c>
      <c r="J109" s="17" t="s">
        <v>2169</v>
      </c>
      <c r="K109" s="18" t="s">
        <v>2170</v>
      </c>
      <c r="L109" s="20">
        <v>45856.0</v>
      </c>
      <c r="M109" s="17" t="s">
        <v>28</v>
      </c>
      <c r="N109" s="17" t="s">
        <v>2381</v>
      </c>
      <c r="O109" s="17">
        <v>4.5987431E7</v>
      </c>
      <c r="P109" s="17" t="s">
        <v>1799</v>
      </c>
      <c r="Q109" s="17" t="s">
        <v>112</v>
      </c>
      <c r="R109" s="17" t="s">
        <v>1797</v>
      </c>
      <c r="S109" s="17" t="s">
        <v>2382</v>
      </c>
      <c r="U109" s="24"/>
      <c r="V109" s="24"/>
      <c r="W109" s="18" t="s">
        <v>577</v>
      </c>
    </row>
    <row r="110">
      <c r="A110" s="11"/>
      <c r="B110" s="12" t="s">
        <v>7</v>
      </c>
      <c r="C110" s="12" t="s">
        <v>8</v>
      </c>
      <c r="D110" s="12" t="s">
        <v>24</v>
      </c>
      <c r="E110" s="12" t="s">
        <v>35</v>
      </c>
      <c r="F110" s="13" t="s">
        <v>33</v>
      </c>
      <c r="G110" s="12" t="s">
        <v>68</v>
      </c>
      <c r="H110" s="12" t="s">
        <v>813</v>
      </c>
      <c r="I110" s="12" t="s">
        <v>814</v>
      </c>
      <c r="J110" s="17" t="s">
        <v>2169</v>
      </c>
      <c r="K110" s="18" t="s">
        <v>2170</v>
      </c>
      <c r="L110" s="20">
        <v>45856.0</v>
      </c>
      <c r="M110" s="17" t="s">
        <v>28</v>
      </c>
      <c r="N110" s="17" t="s">
        <v>2383</v>
      </c>
      <c r="O110" s="17">
        <v>7.6625817E7</v>
      </c>
      <c r="P110" s="17" t="s">
        <v>1798</v>
      </c>
      <c r="Q110" s="17" t="s">
        <v>112</v>
      </c>
      <c r="R110" s="17" t="s">
        <v>1797</v>
      </c>
      <c r="S110" s="17" t="s">
        <v>2384</v>
      </c>
      <c r="U110" s="24"/>
      <c r="V110" s="24"/>
      <c r="W110" s="18" t="s">
        <v>577</v>
      </c>
    </row>
    <row r="111">
      <c r="A111" s="11"/>
      <c r="B111" s="12" t="s">
        <v>7</v>
      </c>
      <c r="C111" s="12" t="s">
        <v>8</v>
      </c>
      <c r="D111" s="12" t="s">
        <v>24</v>
      </c>
      <c r="E111" s="12" t="s">
        <v>35</v>
      </c>
      <c r="F111" s="13" t="s">
        <v>33</v>
      </c>
      <c r="G111" s="12" t="s">
        <v>68</v>
      </c>
      <c r="H111" s="12" t="s">
        <v>813</v>
      </c>
      <c r="I111" s="12" t="s">
        <v>814</v>
      </c>
      <c r="J111" s="17" t="s">
        <v>2169</v>
      </c>
      <c r="K111" s="18" t="s">
        <v>2170</v>
      </c>
      <c r="L111" s="20">
        <v>45856.0</v>
      </c>
      <c r="M111" s="17" t="s">
        <v>28</v>
      </c>
      <c r="N111" s="17" t="s">
        <v>2385</v>
      </c>
      <c r="O111" s="17">
        <v>4.6807974E7</v>
      </c>
      <c r="P111" s="17" t="s">
        <v>1796</v>
      </c>
      <c r="Q111" s="17" t="s">
        <v>108</v>
      </c>
      <c r="R111" s="17" t="s">
        <v>109</v>
      </c>
      <c r="S111" s="17" t="s">
        <v>2386</v>
      </c>
      <c r="U111" s="24"/>
      <c r="V111" s="24"/>
      <c r="W111" s="18" t="s">
        <v>577</v>
      </c>
    </row>
    <row r="112">
      <c r="A112" s="11"/>
      <c r="B112" s="12" t="s">
        <v>7</v>
      </c>
      <c r="C112" s="12" t="s">
        <v>8</v>
      </c>
      <c r="D112" s="12" t="s">
        <v>24</v>
      </c>
      <c r="E112" s="12" t="s">
        <v>35</v>
      </c>
      <c r="F112" s="13" t="s">
        <v>33</v>
      </c>
      <c r="G112" s="12" t="s">
        <v>68</v>
      </c>
      <c r="H112" s="12" t="s">
        <v>813</v>
      </c>
      <c r="I112" s="12" t="s">
        <v>814</v>
      </c>
      <c r="J112" s="17" t="s">
        <v>2169</v>
      </c>
      <c r="K112" s="18" t="s">
        <v>2170</v>
      </c>
      <c r="L112" s="20">
        <v>45856.0</v>
      </c>
      <c r="M112" s="17" t="s">
        <v>28</v>
      </c>
      <c r="N112" s="17" t="s">
        <v>2387</v>
      </c>
      <c r="O112" s="17">
        <v>4.1150084E7</v>
      </c>
      <c r="P112" s="17" t="s">
        <v>1800</v>
      </c>
      <c r="Q112" s="17" t="s">
        <v>112</v>
      </c>
      <c r="R112" s="17" t="s">
        <v>1797</v>
      </c>
      <c r="S112" s="17" t="s">
        <v>2388</v>
      </c>
      <c r="U112" s="24"/>
      <c r="V112" s="24"/>
      <c r="W112" s="18" t="s">
        <v>577</v>
      </c>
    </row>
    <row r="113">
      <c r="A113" s="11"/>
      <c r="B113" s="12" t="s">
        <v>7</v>
      </c>
      <c r="C113" s="12" t="s">
        <v>8</v>
      </c>
      <c r="D113" s="12" t="s">
        <v>24</v>
      </c>
      <c r="E113" s="12" t="s">
        <v>35</v>
      </c>
      <c r="F113" s="13" t="s">
        <v>33</v>
      </c>
      <c r="G113" s="12" t="s">
        <v>68</v>
      </c>
      <c r="H113" s="12" t="s">
        <v>813</v>
      </c>
      <c r="I113" s="12" t="s">
        <v>814</v>
      </c>
      <c r="J113" s="17" t="s">
        <v>2169</v>
      </c>
      <c r="K113" s="18" t="s">
        <v>2170</v>
      </c>
      <c r="L113" s="20">
        <v>45856.0</v>
      </c>
      <c r="M113" s="17" t="s">
        <v>23</v>
      </c>
      <c r="N113" s="17" t="s">
        <v>2389</v>
      </c>
      <c r="O113" s="17">
        <v>3.1629591E7</v>
      </c>
      <c r="Q113" s="17" t="s">
        <v>108</v>
      </c>
      <c r="R113" s="17" t="s">
        <v>109</v>
      </c>
      <c r="S113" s="17" t="s">
        <v>2198</v>
      </c>
      <c r="U113" s="24"/>
      <c r="V113" s="24"/>
      <c r="W113" s="18" t="s">
        <v>577</v>
      </c>
    </row>
    <row r="114">
      <c r="A114" s="11"/>
      <c r="B114" s="12" t="s">
        <v>7</v>
      </c>
      <c r="C114" s="12" t="s">
        <v>8</v>
      </c>
      <c r="D114" s="12" t="s">
        <v>24</v>
      </c>
      <c r="E114" s="12" t="s">
        <v>35</v>
      </c>
      <c r="F114" s="13" t="s">
        <v>33</v>
      </c>
      <c r="G114" s="12" t="s">
        <v>68</v>
      </c>
      <c r="H114" s="12" t="s">
        <v>813</v>
      </c>
      <c r="I114" s="12" t="s">
        <v>814</v>
      </c>
      <c r="J114" s="17" t="s">
        <v>2169</v>
      </c>
      <c r="K114" s="18" t="s">
        <v>2170</v>
      </c>
      <c r="L114" s="20">
        <v>45856.0</v>
      </c>
      <c r="M114" s="17" t="s">
        <v>23</v>
      </c>
      <c r="N114" s="17" t="s">
        <v>2390</v>
      </c>
      <c r="O114" s="17">
        <v>7.3863258E7</v>
      </c>
      <c r="P114" s="98"/>
      <c r="Q114" s="17" t="s">
        <v>73</v>
      </c>
      <c r="R114" s="17" t="s">
        <v>1797</v>
      </c>
      <c r="S114" s="17" t="s">
        <v>2391</v>
      </c>
      <c r="U114" s="24"/>
      <c r="V114" s="24"/>
      <c r="W114" s="18" t="s">
        <v>577</v>
      </c>
    </row>
    <row r="115">
      <c r="A115" s="11"/>
      <c r="B115" s="12" t="s">
        <v>34</v>
      </c>
      <c r="C115" s="12" t="s">
        <v>65</v>
      </c>
      <c r="D115" s="12" t="s">
        <v>83</v>
      </c>
      <c r="E115" s="12" t="s">
        <v>632</v>
      </c>
      <c r="F115" s="13" t="s">
        <v>633</v>
      </c>
      <c r="G115" s="12" t="s">
        <v>68</v>
      </c>
      <c r="H115" s="12" t="s">
        <v>634</v>
      </c>
      <c r="I115" s="12" t="s">
        <v>635</v>
      </c>
      <c r="J115" s="17" t="s">
        <v>2169</v>
      </c>
      <c r="K115" s="18" t="s">
        <v>2170</v>
      </c>
      <c r="L115" s="20">
        <v>45860.0</v>
      </c>
      <c r="M115" s="17" t="s">
        <v>28</v>
      </c>
      <c r="N115" s="17" t="s">
        <v>2392</v>
      </c>
      <c r="P115" s="17" t="s">
        <v>2393</v>
      </c>
      <c r="Q115" s="17" t="s">
        <v>112</v>
      </c>
      <c r="R115" s="17" t="s">
        <v>2394</v>
      </c>
      <c r="S115" s="17" t="s">
        <v>2395</v>
      </c>
      <c r="T115" s="110">
        <v>0.8</v>
      </c>
      <c r="U115" s="18">
        <v>9.45130018E8</v>
      </c>
      <c r="V115" s="24"/>
      <c r="W115" s="18" t="s">
        <v>638</v>
      </c>
    </row>
    <row r="116">
      <c r="A116" s="11"/>
      <c r="B116" s="12" t="s">
        <v>34</v>
      </c>
      <c r="C116" s="12" t="s">
        <v>65</v>
      </c>
      <c r="D116" s="12" t="s">
        <v>83</v>
      </c>
      <c r="E116" s="12" t="s">
        <v>632</v>
      </c>
      <c r="F116" s="13" t="s">
        <v>633</v>
      </c>
      <c r="G116" s="12" t="s">
        <v>68</v>
      </c>
      <c r="H116" s="12" t="s">
        <v>634</v>
      </c>
      <c r="I116" s="12" t="s">
        <v>635</v>
      </c>
      <c r="J116" s="17" t="s">
        <v>2169</v>
      </c>
      <c r="K116" s="18" t="s">
        <v>2170</v>
      </c>
      <c r="L116" s="20">
        <v>45860.0</v>
      </c>
      <c r="M116" s="17" t="s">
        <v>28</v>
      </c>
      <c r="N116" s="17" t="s">
        <v>2396</v>
      </c>
      <c r="Q116" s="17" t="s">
        <v>112</v>
      </c>
      <c r="R116" s="17" t="s">
        <v>2394</v>
      </c>
      <c r="S116" s="17" t="s">
        <v>2397</v>
      </c>
      <c r="T116" s="110">
        <v>0.8</v>
      </c>
      <c r="U116" s="18"/>
      <c r="V116" s="24"/>
      <c r="W116" s="18" t="s">
        <v>638</v>
      </c>
    </row>
    <row r="117">
      <c r="A117" s="11"/>
      <c r="B117" s="12" t="s">
        <v>34</v>
      </c>
      <c r="C117" s="12" t="s">
        <v>65</v>
      </c>
      <c r="D117" s="12" t="s">
        <v>83</v>
      </c>
      <c r="E117" s="12" t="s">
        <v>632</v>
      </c>
      <c r="F117" s="13" t="s">
        <v>633</v>
      </c>
      <c r="G117" s="12" t="s">
        <v>68</v>
      </c>
      <c r="H117" s="12" t="s">
        <v>634</v>
      </c>
      <c r="I117" s="12" t="s">
        <v>635</v>
      </c>
      <c r="J117" s="17" t="s">
        <v>2169</v>
      </c>
      <c r="K117" s="18" t="s">
        <v>2170</v>
      </c>
      <c r="L117" s="20">
        <v>45860.0</v>
      </c>
      <c r="M117" s="17" t="s">
        <v>28</v>
      </c>
      <c r="N117" s="17" t="s">
        <v>2398</v>
      </c>
      <c r="P117" s="17" t="s">
        <v>2399</v>
      </c>
      <c r="Q117" s="17" t="s">
        <v>108</v>
      </c>
      <c r="R117" s="17" t="s">
        <v>2400</v>
      </c>
      <c r="S117" s="17" t="s">
        <v>2401</v>
      </c>
      <c r="T117" s="110">
        <v>0.8</v>
      </c>
      <c r="U117" s="18"/>
      <c r="V117" s="24"/>
      <c r="W117" s="18" t="s">
        <v>638</v>
      </c>
    </row>
    <row r="118">
      <c r="A118" s="11"/>
      <c r="B118" s="12" t="s">
        <v>34</v>
      </c>
      <c r="C118" s="12" t="s">
        <v>65</v>
      </c>
      <c r="D118" s="12" t="s">
        <v>83</v>
      </c>
      <c r="E118" s="12" t="s">
        <v>632</v>
      </c>
      <c r="F118" s="13" t="s">
        <v>633</v>
      </c>
      <c r="G118" s="12" t="s">
        <v>68</v>
      </c>
      <c r="H118" s="12" t="s">
        <v>634</v>
      </c>
      <c r="I118" s="12" t="s">
        <v>635</v>
      </c>
      <c r="J118" s="17" t="s">
        <v>2169</v>
      </c>
      <c r="K118" s="18" t="s">
        <v>2170</v>
      </c>
      <c r="L118" s="20">
        <v>45860.0</v>
      </c>
      <c r="M118" s="17" t="s">
        <v>28</v>
      </c>
      <c r="N118" s="17" t="s">
        <v>2402</v>
      </c>
      <c r="P118" s="17" t="s">
        <v>2403</v>
      </c>
      <c r="Q118" s="17" t="s">
        <v>112</v>
      </c>
      <c r="R118" s="17" t="s">
        <v>2394</v>
      </c>
      <c r="S118" s="17" t="s">
        <v>2404</v>
      </c>
      <c r="T118" s="110">
        <v>0.8</v>
      </c>
      <c r="U118" s="18">
        <v>9.65010104E8</v>
      </c>
      <c r="V118" s="24"/>
      <c r="W118" s="18" t="s">
        <v>638</v>
      </c>
    </row>
    <row r="119">
      <c r="A119" s="11"/>
      <c r="B119" s="12" t="s">
        <v>34</v>
      </c>
      <c r="C119" s="12" t="s">
        <v>65</v>
      </c>
      <c r="D119" s="12" t="s">
        <v>83</v>
      </c>
      <c r="E119" s="12" t="s">
        <v>632</v>
      </c>
      <c r="F119" s="13" t="s">
        <v>633</v>
      </c>
      <c r="G119" s="12" t="s">
        <v>68</v>
      </c>
      <c r="H119" s="12" t="s">
        <v>634</v>
      </c>
      <c r="I119" s="12" t="s">
        <v>635</v>
      </c>
      <c r="J119" s="17" t="s">
        <v>2169</v>
      </c>
      <c r="K119" s="18" t="s">
        <v>2170</v>
      </c>
      <c r="L119" s="20">
        <v>45860.0</v>
      </c>
      <c r="M119" s="17" t="s">
        <v>28</v>
      </c>
      <c r="N119" s="17" t="s">
        <v>2405</v>
      </c>
      <c r="P119" s="17" t="s">
        <v>2406</v>
      </c>
      <c r="Q119" s="17" t="s">
        <v>73</v>
      </c>
      <c r="R119" s="17" t="s">
        <v>2407</v>
      </c>
      <c r="S119" s="17" t="s">
        <v>2408</v>
      </c>
      <c r="T119" s="110">
        <v>0.8</v>
      </c>
      <c r="U119" s="18">
        <v>9.21585032E8</v>
      </c>
      <c r="V119" s="24"/>
      <c r="W119" s="18" t="s">
        <v>638</v>
      </c>
    </row>
    <row r="120">
      <c r="A120" s="11"/>
      <c r="B120" s="12" t="s">
        <v>34</v>
      </c>
      <c r="C120" s="12" t="s">
        <v>65</v>
      </c>
      <c r="D120" s="12" t="s">
        <v>83</v>
      </c>
      <c r="E120" s="12" t="s">
        <v>632</v>
      </c>
      <c r="F120" s="13" t="s">
        <v>633</v>
      </c>
      <c r="G120" s="12" t="s">
        <v>68</v>
      </c>
      <c r="H120" s="12" t="s">
        <v>634</v>
      </c>
      <c r="I120" s="12" t="s">
        <v>635</v>
      </c>
      <c r="J120" s="17" t="s">
        <v>2169</v>
      </c>
      <c r="K120" s="18" t="s">
        <v>2170</v>
      </c>
      <c r="L120" s="20">
        <v>45860.0</v>
      </c>
      <c r="M120" s="17" t="s">
        <v>28</v>
      </c>
      <c r="N120" s="17" t="s">
        <v>2409</v>
      </c>
      <c r="P120" s="17" t="s">
        <v>2410</v>
      </c>
      <c r="Q120" s="17" t="s">
        <v>108</v>
      </c>
      <c r="R120" s="17" t="s">
        <v>2400</v>
      </c>
      <c r="S120" s="17" t="s">
        <v>2411</v>
      </c>
      <c r="T120" s="110">
        <v>0.8</v>
      </c>
      <c r="U120" s="24"/>
      <c r="V120" s="24"/>
      <c r="W120" s="18" t="s">
        <v>638</v>
      </c>
    </row>
    <row r="121">
      <c r="A121" s="11"/>
      <c r="B121" s="12" t="s">
        <v>34</v>
      </c>
      <c r="C121" s="12" t="s">
        <v>65</v>
      </c>
      <c r="D121" s="12" t="s">
        <v>83</v>
      </c>
      <c r="E121" s="12" t="s">
        <v>632</v>
      </c>
      <c r="F121" s="13" t="s">
        <v>633</v>
      </c>
      <c r="G121" s="12" t="s">
        <v>68</v>
      </c>
      <c r="H121" s="12" t="s">
        <v>634</v>
      </c>
      <c r="I121" s="12" t="s">
        <v>635</v>
      </c>
      <c r="J121" s="17" t="s">
        <v>2169</v>
      </c>
      <c r="K121" s="18" t="s">
        <v>2170</v>
      </c>
      <c r="L121" s="20">
        <v>45860.0</v>
      </c>
      <c r="M121" s="17" t="s">
        <v>28</v>
      </c>
      <c r="N121" s="17" t="s">
        <v>2412</v>
      </c>
      <c r="P121" s="17" t="s">
        <v>2413</v>
      </c>
      <c r="Q121" s="17" t="s">
        <v>73</v>
      </c>
      <c r="R121" s="17" t="s">
        <v>2407</v>
      </c>
      <c r="S121" s="17" t="s">
        <v>2414</v>
      </c>
      <c r="T121" s="110">
        <v>0.8</v>
      </c>
      <c r="U121" s="24"/>
      <c r="V121" s="24"/>
      <c r="W121" s="18" t="s">
        <v>638</v>
      </c>
    </row>
    <row r="122">
      <c r="A122" s="11"/>
      <c r="B122" s="12" t="s">
        <v>34</v>
      </c>
      <c r="C122" s="12" t="s">
        <v>65</v>
      </c>
      <c r="D122" s="12" t="s">
        <v>83</v>
      </c>
      <c r="E122" s="12" t="s">
        <v>632</v>
      </c>
      <c r="F122" s="13" t="s">
        <v>633</v>
      </c>
      <c r="G122" s="12" t="s">
        <v>68</v>
      </c>
      <c r="H122" s="12" t="s">
        <v>634</v>
      </c>
      <c r="I122" s="12" t="s">
        <v>635</v>
      </c>
      <c r="J122" s="17" t="s">
        <v>2169</v>
      </c>
      <c r="K122" s="18" t="s">
        <v>2170</v>
      </c>
      <c r="L122" s="20">
        <v>45860.0</v>
      </c>
      <c r="M122" s="17" t="s">
        <v>28</v>
      </c>
      <c r="N122" s="17" t="s">
        <v>2415</v>
      </c>
      <c r="O122" s="17">
        <v>4.346857E7</v>
      </c>
      <c r="P122" s="17" t="s">
        <v>2416</v>
      </c>
      <c r="Q122" s="17" t="s">
        <v>112</v>
      </c>
      <c r="R122" s="17" t="s">
        <v>2394</v>
      </c>
      <c r="S122" s="17" t="s">
        <v>2417</v>
      </c>
      <c r="T122" s="110">
        <v>0.8</v>
      </c>
      <c r="U122" s="24"/>
      <c r="V122" s="24"/>
      <c r="W122" s="18" t="s">
        <v>638</v>
      </c>
    </row>
    <row r="123">
      <c r="A123" s="11"/>
      <c r="B123" s="12" t="s">
        <v>34</v>
      </c>
      <c r="C123" s="12" t="s">
        <v>65</v>
      </c>
      <c r="D123" s="12" t="s">
        <v>83</v>
      </c>
      <c r="E123" s="12" t="s">
        <v>632</v>
      </c>
      <c r="F123" s="13" t="s">
        <v>633</v>
      </c>
      <c r="G123" s="12" t="s">
        <v>68</v>
      </c>
      <c r="H123" s="12" t="s">
        <v>634</v>
      </c>
      <c r="I123" s="12" t="s">
        <v>635</v>
      </c>
      <c r="J123" s="17" t="s">
        <v>2169</v>
      </c>
      <c r="K123" s="18" t="s">
        <v>2170</v>
      </c>
      <c r="L123" s="20">
        <v>45860.0</v>
      </c>
      <c r="M123" s="17" t="s">
        <v>28</v>
      </c>
      <c r="N123" s="17" t="s">
        <v>2418</v>
      </c>
      <c r="P123" s="17" t="s">
        <v>2419</v>
      </c>
      <c r="Q123" s="17" t="s">
        <v>112</v>
      </c>
      <c r="R123" s="17" t="s">
        <v>2394</v>
      </c>
      <c r="S123" s="17" t="s">
        <v>2420</v>
      </c>
      <c r="T123" s="110">
        <v>0.8</v>
      </c>
      <c r="U123" s="18">
        <v>9.66299498E8</v>
      </c>
      <c r="V123" s="24"/>
      <c r="W123" s="18" t="s">
        <v>638</v>
      </c>
    </row>
    <row r="124">
      <c r="A124" s="11"/>
      <c r="B124" s="12" t="s">
        <v>34</v>
      </c>
      <c r="C124" s="12" t="s">
        <v>65</v>
      </c>
      <c r="D124" s="12" t="s">
        <v>83</v>
      </c>
      <c r="E124" s="12" t="s">
        <v>632</v>
      </c>
      <c r="F124" s="13" t="s">
        <v>633</v>
      </c>
      <c r="G124" s="12" t="s">
        <v>68</v>
      </c>
      <c r="H124" s="12" t="s">
        <v>634</v>
      </c>
      <c r="I124" s="12" t="s">
        <v>635</v>
      </c>
      <c r="J124" s="17" t="s">
        <v>2169</v>
      </c>
      <c r="K124" s="18" t="s">
        <v>2170</v>
      </c>
      <c r="L124" s="20">
        <v>45860.0</v>
      </c>
      <c r="M124" s="17" t="s">
        <v>28</v>
      </c>
      <c r="N124" s="17" t="s">
        <v>2421</v>
      </c>
      <c r="O124" s="17">
        <v>7.1964894E7</v>
      </c>
      <c r="P124" s="17" t="s">
        <v>2422</v>
      </c>
      <c r="Q124" s="17" t="s">
        <v>73</v>
      </c>
      <c r="R124" s="17" t="s">
        <v>2407</v>
      </c>
      <c r="S124" s="17" t="s">
        <v>2423</v>
      </c>
      <c r="T124" s="110">
        <v>0.8</v>
      </c>
      <c r="U124" s="18">
        <v>9.4299632E8</v>
      </c>
      <c r="V124" s="24"/>
      <c r="W124" s="18" t="s">
        <v>638</v>
      </c>
    </row>
    <row r="125">
      <c r="A125" s="11"/>
      <c r="B125" s="12" t="s">
        <v>34</v>
      </c>
      <c r="C125" s="12" t="s">
        <v>65</v>
      </c>
      <c r="D125" s="12" t="s">
        <v>83</v>
      </c>
      <c r="E125" s="12" t="s">
        <v>632</v>
      </c>
      <c r="F125" s="13" t="s">
        <v>633</v>
      </c>
      <c r="G125" s="12" t="s">
        <v>68</v>
      </c>
      <c r="H125" s="12" t="s">
        <v>634</v>
      </c>
      <c r="I125" s="12" t="s">
        <v>635</v>
      </c>
      <c r="J125" s="17" t="s">
        <v>2169</v>
      </c>
      <c r="K125" s="18" t="s">
        <v>2170</v>
      </c>
      <c r="L125" s="20">
        <v>45860.0</v>
      </c>
      <c r="M125" s="17" t="s">
        <v>28</v>
      </c>
      <c r="N125" s="17" t="s">
        <v>2424</v>
      </c>
      <c r="P125" s="17" t="s">
        <v>2425</v>
      </c>
      <c r="Q125" s="17" t="s">
        <v>108</v>
      </c>
      <c r="R125" s="17" t="s">
        <v>2400</v>
      </c>
      <c r="S125" s="17" t="s">
        <v>2426</v>
      </c>
      <c r="T125" s="110">
        <v>0.8</v>
      </c>
      <c r="U125" s="18">
        <v>9.44822011E8</v>
      </c>
      <c r="V125" s="24"/>
      <c r="W125" s="18" t="s">
        <v>638</v>
      </c>
    </row>
    <row r="126">
      <c r="A126" s="11"/>
      <c r="B126" s="12" t="s">
        <v>34</v>
      </c>
      <c r="C126" s="12" t="s">
        <v>65</v>
      </c>
      <c r="D126" s="12" t="s">
        <v>83</v>
      </c>
      <c r="E126" s="12" t="s">
        <v>632</v>
      </c>
      <c r="F126" s="13" t="s">
        <v>633</v>
      </c>
      <c r="G126" s="12" t="s">
        <v>68</v>
      </c>
      <c r="H126" s="12" t="s">
        <v>634</v>
      </c>
      <c r="I126" s="12" t="s">
        <v>635</v>
      </c>
      <c r="J126" s="17" t="s">
        <v>2169</v>
      </c>
      <c r="K126" s="18" t="s">
        <v>2170</v>
      </c>
      <c r="L126" s="20">
        <v>45860.0</v>
      </c>
      <c r="M126" s="17" t="s">
        <v>28</v>
      </c>
      <c r="N126" s="112" t="s">
        <v>2427</v>
      </c>
      <c r="P126" s="17" t="s">
        <v>2428</v>
      </c>
      <c r="Q126" s="17" t="s">
        <v>112</v>
      </c>
      <c r="R126" s="17" t="s">
        <v>2394</v>
      </c>
      <c r="S126" s="17" t="s">
        <v>2429</v>
      </c>
      <c r="T126" s="110">
        <v>0.8</v>
      </c>
      <c r="U126" s="24"/>
      <c r="V126" s="24"/>
      <c r="W126" s="18" t="s">
        <v>638</v>
      </c>
    </row>
    <row r="127">
      <c r="A127" s="11"/>
      <c r="B127" s="12" t="s">
        <v>34</v>
      </c>
      <c r="C127" s="12" t="s">
        <v>65</v>
      </c>
      <c r="D127" s="12" t="s">
        <v>83</v>
      </c>
      <c r="E127" s="12" t="s">
        <v>632</v>
      </c>
      <c r="F127" s="13" t="s">
        <v>633</v>
      </c>
      <c r="G127" s="12" t="s">
        <v>68</v>
      </c>
      <c r="H127" s="12" t="s">
        <v>634</v>
      </c>
      <c r="I127" s="12" t="s">
        <v>635</v>
      </c>
      <c r="J127" s="17" t="s">
        <v>2169</v>
      </c>
      <c r="K127" s="18" t="s">
        <v>2170</v>
      </c>
      <c r="L127" s="20">
        <v>45860.0</v>
      </c>
      <c r="M127" s="17" t="s">
        <v>28</v>
      </c>
      <c r="N127" s="112" t="s">
        <v>2430</v>
      </c>
      <c r="O127" s="17">
        <v>7.2125061E7</v>
      </c>
      <c r="P127" s="17" t="s">
        <v>2431</v>
      </c>
      <c r="Q127" s="17" t="s">
        <v>112</v>
      </c>
      <c r="R127" s="17" t="s">
        <v>2394</v>
      </c>
      <c r="S127" s="17" t="s">
        <v>2432</v>
      </c>
      <c r="T127" s="110">
        <v>0.8</v>
      </c>
      <c r="U127" s="18">
        <v>9.45282501E8</v>
      </c>
      <c r="V127" s="24"/>
      <c r="W127" s="18" t="s">
        <v>638</v>
      </c>
    </row>
    <row r="128">
      <c r="A128" s="11"/>
      <c r="B128" s="12" t="s">
        <v>34</v>
      </c>
      <c r="C128" s="12" t="s">
        <v>65</v>
      </c>
      <c r="D128" s="12" t="s">
        <v>83</v>
      </c>
      <c r="E128" s="12" t="s">
        <v>632</v>
      </c>
      <c r="F128" s="13" t="s">
        <v>633</v>
      </c>
      <c r="G128" s="12" t="s">
        <v>68</v>
      </c>
      <c r="H128" s="12" t="s">
        <v>634</v>
      </c>
      <c r="I128" s="12" t="s">
        <v>635</v>
      </c>
      <c r="J128" s="17" t="s">
        <v>2169</v>
      </c>
      <c r="K128" s="18" t="s">
        <v>2170</v>
      </c>
      <c r="L128" s="20">
        <v>45860.0</v>
      </c>
      <c r="M128" s="17" t="s">
        <v>28</v>
      </c>
      <c r="N128" s="17" t="s">
        <v>2433</v>
      </c>
      <c r="O128" s="17">
        <v>4.6467472E7</v>
      </c>
      <c r="P128" s="17" t="s">
        <v>2434</v>
      </c>
      <c r="Q128" s="17" t="s">
        <v>112</v>
      </c>
      <c r="R128" s="17" t="s">
        <v>2394</v>
      </c>
      <c r="S128" s="17" t="s">
        <v>2435</v>
      </c>
      <c r="T128" s="110">
        <v>0.8</v>
      </c>
      <c r="U128" s="18">
        <v>9.59007055E8</v>
      </c>
      <c r="V128" s="24"/>
      <c r="W128" s="18" t="s">
        <v>638</v>
      </c>
    </row>
    <row r="129">
      <c r="A129" s="11"/>
      <c r="B129" s="12" t="s">
        <v>34</v>
      </c>
      <c r="C129" s="12" t="s">
        <v>65</v>
      </c>
      <c r="D129" s="12" t="s">
        <v>83</v>
      </c>
      <c r="E129" s="12" t="s">
        <v>632</v>
      </c>
      <c r="F129" s="13" t="s">
        <v>633</v>
      </c>
      <c r="G129" s="12" t="s">
        <v>68</v>
      </c>
      <c r="H129" s="12" t="s">
        <v>634</v>
      </c>
      <c r="I129" s="12" t="s">
        <v>635</v>
      </c>
      <c r="J129" s="17" t="s">
        <v>2169</v>
      </c>
      <c r="K129" s="18" t="s">
        <v>2170</v>
      </c>
      <c r="L129" s="20">
        <v>45860.0</v>
      </c>
      <c r="M129" s="17" t="s">
        <v>28</v>
      </c>
      <c r="N129" s="17" t="s">
        <v>2436</v>
      </c>
      <c r="O129" s="17">
        <v>7.2106666E7</v>
      </c>
      <c r="P129" s="17" t="s">
        <v>2437</v>
      </c>
      <c r="Q129" s="17" t="s">
        <v>112</v>
      </c>
      <c r="R129" s="17" t="s">
        <v>2394</v>
      </c>
      <c r="S129" s="17" t="s">
        <v>2438</v>
      </c>
      <c r="T129" s="110">
        <v>0.8</v>
      </c>
      <c r="U129" s="18">
        <v>9.20412968E8</v>
      </c>
      <c r="V129" s="24"/>
      <c r="W129" s="18" t="s">
        <v>638</v>
      </c>
    </row>
    <row r="130">
      <c r="A130" s="11"/>
      <c r="B130" s="12" t="s">
        <v>34</v>
      </c>
      <c r="C130" s="12" t="s">
        <v>65</v>
      </c>
      <c r="D130" s="12" t="s">
        <v>83</v>
      </c>
      <c r="E130" s="12" t="s">
        <v>632</v>
      </c>
      <c r="F130" s="13" t="s">
        <v>633</v>
      </c>
      <c r="G130" s="12" t="s">
        <v>68</v>
      </c>
      <c r="H130" s="12" t="s">
        <v>634</v>
      </c>
      <c r="I130" s="12" t="s">
        <v>635</v>
      </c>
      <c r="J130" s="17" t="s">
        <v>2169</v>
      </c>
      <c r="K130" s="18" t="s">
        <v>2170</v>
      </c>
      <c r="L130" s="20">
        <v>45860.0</v>
      </c>
      <c r="M130" s="17" t="s">
        <v>28</v>
      </c>
      <c r="N130" s="17" t="s">
        <v>2439</v>
      </c>
      <c r="O130" s="17">
        <v>7.5839065E7</v>
      </c>
      <c r="P130" s="17" t="s">
        <v>2440</v>
      </c>
      <c r="Q130" s="17" t="s">
        <v>112</v>
      </c>
      <c r="R130" s="17" t="s">
        <v>2394</v>
      </c>
      <c r="S130" s="17" t="s">
        <v>2441</v>
      </c>
      <c r="T130" s="110"/>
      <c r="U130" s="18"/>
      <c r="V130" s="24"/>
      <c r="W130" s="18" t="s">
        <v>638</v>
      </c>
    </row>
    <row r="131">
      <c r="A131" s="11"/>
      <c r="B131" s="12" t="s">
        <v>34</v>
      </c>
      <c r="C131" s="12" t="s">
        <v>65</v>
      </c>
      <c r="D131" s="12" t="s">
        <v>83</v>
      </c>
      <c r="E131" s="12" t="s">
        <v>632</v>
      </c>
      <c r="F131" s="13" t="s">
        <v>633</v>
      </c>
      <c r="G131" s="12" t="s">
        <v>68</v>
      </c>
      <c r="H131" s="12" t="s">
        <v>634</v>
      </c>
      <c r="I131" s="12" t="s">
        <v>635</v>
      </c>
      <c r="J131" s="17" t="s">
        <v>2169</v>
      </c>
      <c r="K131" s="18" t="s">
        <v>2170</v>
      </c>
      <c r="L131" s="20">
        <v>45860.0</v>
      </c>
      <c r="M131" s="17" t="s">
        <v>28</v>
      </c>
      <c r="N131" s="17" t="s">
        <v>2442</v>
      </c>
      <c r="P131" s="17" t="s">
        <v>2443</v>
      </c>
      <c r="Q131" s="17" t="s">
        <v>108</v>
      </c>
      <c r="R131" s="17" t="s">
        <v>2400</v>
      </c>
      <c r="S131" s="17" t="s">
        <v>2444</v>
      </c>
      <c r="T131" s="110">
        <v>0.8</v>
      </c>
      <c r="U131" s="18">
        <v>9.00272561E8</v>
      </c>
      <c r="V131" s="24"/>
      <c r="W131" s="18" t="s">
        <v>638</v>
      </c>
    </row>
    <row r="132">
      <c r="A132" s="11"/>
      <c r="B132" s="12" t="s">
        <v>34</v>
      </c>
      <c r="C132" s="12" t="s">
        <v>65</v>
      </c>
      <c r="D132" s="12" t="s">
        <v>83</v>
      </c>
      <c r="E132" s="12" t="s">
        <v>632</v>
      </c>
      <c r="F132" s="13" t="s">
        <v>633</v>
      </c>
      <c r="G132" s="12" t="s">
        <v>68</v>
      </c>
      <c r="H132" s="12" t="s">
        <v>634</v>
      </c>
      <c r="I132" s="12" t="s">
        <v>635</v>
      </c>
      <c r="J132" s="17" t="s">
        <v>2169</v>
      </c>
      <c r="K132" s="18" t="s">
        <v>2170</v>
      </c>
      <c r="L132" s="20">
        <v>45860.0</v>
      </c>
      <c r="M132" s="17" t="s">
        <v>28</v>
      </c>
      <c r="N132" s="17" t="s">
        <v>2445</v>
      </c>
      <c r="O132" s="17">
        <v>7.2114988E7</v>
      </c>
      <c r="P132" s="17" t="s">
        <v>2446</v>
      </c>
      <c r="Q132" s="17" t="s">
        <v>112</v>
      </c>
      <c r="R132" s="17" t="s">
        <v>2394</v>
      </c>
      <c r="S132" s="17" t="s">
        <v>2447</v>
      </c>
      <c r="T132" s="110"/>
      <c r="U132" s="18"/>
      <c r="V132" s="24"/>
      <c r="W132" s="18" t="s">
        <v>638</v>
      </c>
    </row>
    <row r="133">
      <c r="A133" s="11"/>
      <c r="B133" s="12" t="s">
        <v>34</v>
      </c>
      <c r="C133" s="12" t="s">
        <v>65</v>
      </c>
      <c r="D133" s="12" t="s">
        <v>83</v>
      </c>
      <c r="E133" s="12" t="s">
        <v>632</v>
      </c>
      <c r="F133" s="13" t="s">
        <v>633</v>
      </c>
      <c r="G133" s="12" t="s">
        <v>68</v>
      </c>
      <c r="H133" s="12" t="s">
        <v>634</v>
      </c>
      <c r="I133" s="12" t="s">
        <v>635</v>
      </c>
      <c r="J133" s="17" t="s">
        <v>2169</v>
      </c>
      <c r="K133" s="18" t="s">
        <v>2170</v>
      </c>
      <c r="L133" s="20">
        <v>45860.0</v>
      </c>
      <c r="M133" s="17" t="s">
        <v>28</v>
      </c>
      <c r="N133" s="17" t="s">
        <v>2448</v>
      </c>
      <c r="O133" s="17">
        <v>7.3515438E7</v>
      </c>
      <c r="P133" s="17" t="s">
        <v>2449</v>
      </c>
      <c r="Q133" s="17" t="s">
        <v>112</v>
      </c>
      <c r="R133" s="17" t="s">
        <v>2394</v>
      </c>
      <c r="S133" s="17" t="s">
        <v>2450</v>
      </c>
      <c r="T133" s="110">
        <v>0.8</v>
      </c>
      <c r="U133" s="18">
        <v>9.39794205E8</v>
      </c>
      <c r="V133" s="24"/>
      <c r="W133" s="18" t="s">
        <v>638</v>
      </c>
    </row>
    <row r="134">
      <c r="A134" s="11"/>
      <c r="B134" s="12" t="s">
        <v>34</v>
      </c>
      <c r="C134" s="12" t="s">
        <v>65</v>
      </c>
      <c r="D134" s="12" t="s">
        <v>43</v>
      </c>
      <c r="E134" s="12" t="s">
        <v>2451</v>
      </c>
      <c r="F134" s="13" t="s">
        <v>667</v>
      </c>
      <c r="G134" s="12" t="s">
        <v>68</v>
      </c>
      <c r="H134" s="12" t="s">
        <v>668</v>
      </c>
      <c r="I134" s="12" t="s">
        <v>669</v>
      </c>
      <c r="J134" s="17" t="s">
        <v>2169</v>
      </c>
      <c r="K134" s="18" t="s">
        <v>2170</v>
      </c>
      <c r="L134" s="20">
        <v>45860.0</v>
      </c>
      <c r="M134" s="17" t="s">
        <v>28</v>
      </c>
      <c r="N134" s="17" t="s">
        <v>2452</v>
      </c>
      <c r="O134" s="17">
        <v>3.2303863E7</v>
      </c>
      <c r="P134" s="17" t="s">
        <v>2453</v>
      </c>
      <c r="Q134" s="17" t="s">
        <v>108</v>
      </c>
      <c r="R134" s="17" t="s">
        <v>109</v>
      </c>
      <c r="S134" s="17" t="s">
        <v>2454</v>
      </c>
      <c r="U134" s="24"/>
      <c r="V134" s="24"/>
      <c r="W134" s="18" t="s">
        <v>638</v>
      </c>
    </row>
    <row r="135">
      <c r="A135" s="11"/>
      <c r="B135" s="12" t="s">
        <v>34</v>
      </c>
      <c r="C135" s="12" t="s">
        <v>65</v>
      </c>
      <c r="D135" s="12" t="s">
        <v>43</v>
      </c>
      <c r="E135" s="12" t="s">
        <v>2451</v>
      </c>
      <c r="F135" s="13" t="s">
        <v>667</v>
      </c>
      <c r="G135" s="12" t="s">
        <v>68</v>
      </c>
      <c r="H135" s="12" t="s">
        <v>668</v>
      </c>
      <c r="I135" s="12" t="s">
        <v>669</v>
      </c>
      <c r="J135" s="17" t="s">
        <v>2169</v>
      </c>
      <c r="K135" s="18" t="s">
        <v>2170</v>
      </c>
      <c r="L135" s="20">
        <v>45860.0</v>
      </c>
      <c r="M135" s="17" t="s">
        <v>28</v>
      </c>
      <c r="N135" s="17" t="s">
        <v>2455</v>
      </c>
      <c r="P135" s="17" t="s">
        <v>2456</v>
      </c>
      <c r="Q135" s="17" t="s">
        <v>73</v>
      </c>
      <c r="R135" s="17" t="str">
        <f>IFERROR(__xludf.DUMMYFUNCTION("CONCATENATE(REGEXEXTRACT(Q135,""[\d]+""),"" años"")"),"3 años")</f>
        <v>3 años</v>
      </c>
      <c r="S135" s="17" t="s">
        <v>2457</v>
      </c>
      <c r="U135" s="24"/>
      <c r="V135" s="24"/>
      <c r="W135" s="18" t="s">
        <v>638</v>
      </c>
    </row>
    <row r="136">
      <c r="A136" s="11"/>
      <c r="B136" s="12" t="s">
        <v>34</v>
      </c>
      <c r="C136" s="12" t="s">
        <v>65</v>
      </c>
      <c r="D136" s="12" t="s">
        <v>43</v>
      </c>
      <c r="E136" s="12" t="s">
        <v>2451</v>
      </c>
      <c r="F136" s="13" t="s">
        <v>667</v>
      </c>
      <c r="G136" s="12" t="s">
        <v>68</v>
      </c>
      <c r="H136" s="12" t="s">
        <v>668</v>
      </c>
      <c r="I136" s="12" t="s">
        <v>669</v>
      </c>
      <c r="J136" s="17" t="s">
        <v>2169</v>
      </c>
      <c r="K136" s="18" t="s">
        <v>2170</v>
      </c>
      <c r="L136" s="20">
        <v>45860.0</v>
      </c>
      <c r="M136" s="17" t="s">
        <v>28</v>
      </c>
      <c r="N136" s="17" t="s">
        <v>2458</v>
      </c>
      <c r="O136" s="17">
        <v>4.3468589E7</v>
      </c>
      <c r="P136" s="17" t="s">
        <v>2459</v>
      </c>
      <c r="Q136" s="17" t="s">
        <v>108</v>
      </c>
      <c r="R136" s="17" t="str">
        <f>IFERROR(__xludf.DUMMYFUNCTION("CONCATENATE(REGEXEXTRACT(Q136,""[\d]+""),"" años"")"),"5 años")</f>
        <v>5 años</v>
      </c>
      <c r="S136" s="17" t="s">
        <v>2460</v>
      </c>
      <c r="U136" s="24"/>
      <c r="V136" s="24"/>
      <c r="W136" s="18" t="s">
        <v>638</v>
      </c>
    </row>
    <row r="137">
      <c r="A137" s="11"/>
      <c r="B137" s="12" t="s">
        <v>34</v>
      </c>
      <c r="C137" s="12" t="s">
        <v>65</v>
      </c>
      <c r="D137" s="12" t="s">
        <v>43</v>
      </c>
      <c r="E137" s="12" t="s">
        <v>2451</v>
      </c>
      <c r="F137" s="13" t="s">
        <v>667</v>
      </c>
      <c r="G137" s="12" t="s">
        <v>68</v>
      </c>
      <c r="H137" s="12" t="s">
        <v>668</v>
      </c>
      <c r="I137" s="12" t="s">
        <v>669</v>
      </c>
      <c r="J137" s="17" t="s">
        <v>2169</v>
      </c>
      <c r="K137" s="18" t="s">
        <v>2170</v>
      </c>
      <c r="L137" s="20">
        <v>45860.0</v>
      </c>
      <c r="M137" s="17" t="s">
        <v>28</v>
      </c>
      <c r="N137" s="17" t="s">
        <v>2461</v>
      </c>
      <c r="O137" s="17">
        <v>7.74218E7</v>
      </c>
      <c r="P137" s="17" t="s">
        <v>2462</v>
      </c>
      <c r="Q137" s="17" t="s">
        <v>112</v>
      </c>
      <c r="R137" s="17" t="str">
        <f>IFERROR(__xludf.DUMMYFUNCTION("CONCATENATE(REGEXEXTRACT(Q137,""[\d]+""),"" años"")"),"4 años")</f>
        <v>4 años</v>
      </c>
      <c r="S137" s="17" t="s">
        <v>2463</v>
      </c>
      <c r="U137" s="24"/>
      <c r="V137" s="24"/>
      <c r="W137" s="18" t="s">
        <v>638</v>
      </c>
    </row>
    <row r="138">
      <c r="A138" s="11"/>
      <c r="B138" s="12" t="s">
        <v>34</v>
      </c>
      <c r="C138" s="12" t="s">
        <v>65</v>
      </c>
      <c r="D138" s="12" t="s">
        <v>43</v>
      </c>
      <c r="E138" s="12" t="s">
        <v>2451</v>
      </c>
      <c r="F138" s="13" t="s">
        <v>667</v>
      </c>
      <c r="G138" s="12" t="s">
        <v>68</v>
      </c>
      <c r="H138" s="12" t="s">
        <v>668</v>
      </c>
      <c r="I138" s="12" t="s">
        <v>669</v>
      </c>
      <c r="J138" s="17" t="s">
        <v>2169</v>
      </c>
      <c r="K138" s="18" t="s">
        <v>2170</v>
      </c>
      <c r="L138" s="20">
        <v>45860.0</v>
      </c>
      <c r="M138" s="17" t="s">
        <v>28</v>
      </c>
      <c r="N138" s="17" t="s">
        <v>2464</v>
      </c>
      <c r="O138" s="17">
        <v>4.8215795E7</v>
      </c>
      <c r="P138" s="17" t="s">
        <v>2465</v>
      </c>
      <c r="Q138" s="17" t="s">
        <v>112</v>
      </c>
      <c r="R138" s="17" t="str">
        <f>IFERROR(__xludf.DUMMYFUNCTION("CONCATENATE(REGEXEXTRACT(Q138,""[\d]+""),"" años"")"),"4 años")</f>
        <v>4 años</v>
      </c>
      <c r="S138" s="17" t="s">
        <v>2466</v>
      </c>
      <c r="U138" s="24"/>
      <c r="V138" s="24"/>
      <c r="W138" s="18" t="s">
        <v>638</v>
      </c>
    </row>
    <row r="139">
      <c r="A139" s="11"/>
      <c r="B139" s="12" t="s">
        <v>34</v>
      </c>
      <c r="C139" s="12" t="s">
        <v>65</v>
      </c>
      <c r="D139" s="12" t="s">
        <v>43</v>
      </c>
      <c r="E139" s="12" t="s">
        <v>2451</v>
      </c>
      <c r="F139" s="13" t="s">
        <v>667</v>
      </c>
      <c r="G139" s="12" t="s">
        <v>68</v>
      </c>
      <c r="H139" s="12" t="s">
        <v>668</v>
      </c>
      <c r="I139" s="12" t="s">
        <v>669</v>
      </c>
      <c r="J139" s="17" t="s">
        <v>2169</v>
      </c>
      <c r="K139" s="18" t="s">
        <v>2170</v>
      </c>
      <c r="L139" s="20">
        <v>45860.0</v>
      </c>
      <c r="M139" s="17" t="s">
        <v>28</v>
      </c>
      <c r="N139" s="17" t="s">
        <v>2467</v>
      </c>
      <c r="O139" s="17">
        <v>4.7328558E7</v>
      </c>
      <c r="P139" s="17" t="s">
        <v>2468</v>
      </c>
      <c r="Q139" s="17" t="s">
        <v>73</v>
      </c>
      <c r="R139" s="17" t="str">
        <f>IFERROR(__xludf.DUMMYFUNCTION("CONCATENATE(REGEXEXTRACT(Q139,""[\d]+""),"" años"")"),"3 años")</f>
        <v>3 años</v>
      </c>
      <c r="S139" s="17" t="s">
        <v>2469</v>
      </c>
      <c r="U139" s="24"/>
      <c r="V139" s="24"/>
      <c r="W139" s="18" t="s">
        <v>638</v>
      </c>
    </row>
    <row r="140">
      <c r="A140" s="11"/>
      <c r="B140" s="12" t="s">
        <v>34</v>
      </c>
      <c r="C140" s="12" t="s">
        <v>65</v>
      </c>
      <c r="D140" s="12" t="s">
        <v>43</v>
      </c>
      <c r="E140" s="12" t="s">
        <v>2451</v>
      </c>
      <c r="F140" s="13" t="s">
        <v>667</v>
      </c>
      <c r="G140" s="12" t="s">
        <v>68</v>
      </c>
      <c r="H140" s="12" t="s">
        <v>668</v>
      </c>
      <c r="I140" s="12" t="s">
        <v>669</v>
      </c>
      <c r="J140" s="17" t="s">
        <v>2169</v>
      </c>
      <c r="K140" s="18" t="s">
        <v>2170</v>
      </c>
      <c r="L140" s="20">
        <v>45860.0</v>
      </c>
      <c r="M140" s="17" t="s">
        <v>28</v>
      </c>
      <c r="N140" s="17" t="s">
        <v>2470</v>
      </c>
      <c r="P140" s="17" t="s">
        <v>2471</v>
      </c>
      <c r="Q140" s="17" t="s">
        <v>108</v>
      </c>
      <c r="R140" s="17" t="str">
        <f>IFERROR(__xludf.DUMMYFUNCTION("CONCATENATE(REGEXEXTRACT(Q140,""[\d]+""),"" años"")"),"5 años")</f>
        <v>5 años</v>
      </c>
      <c r="S140" s="17" t="s">
        <v>2472</v>
      </c>
      <c r="U140" s="24"/>
      <c r="V140" s="24"/>
      <c r="W140" s="18" t="s">
        <v>638</v>
      </c>
    </row>
    <row r="141">
      <c r="A141" s="11"/>
      <c r="B141" s="12" t="s">
        <v>34</v>
      </c>
      <c r="C141" s="12" t="s">
        <v>65</v>
      </c>
      <c r="D141" s="12" t="s">
        <v>43</v>
      </c>
      <c r="E141" s="12" t="s">
        <v>2451</v>
      </c>
      <c r="F141" s="13" t="s">
        <v>667</v>
      </c>
      <c r="G141" s="12" t="s">
        <v>68</v>
      </c>
      <c r="H141" s="12" t="s">
        <v>668</v>
      </c>
      <c r="I141" s="12" t="s">
        <v>669</v>
      </c>
      <c r="J141" s="17" t="s">
        <v>2169</v>
      </c>
      <c r="K141" s="18" t="s">
        <v>2170</v>
      </c>
      <c r="L141" s="20">
        <v>45860.0</v>
      </c>
      <c r="M141" s="17" t="s">
        <v>28</v>
      </c>
      <c r="N141" s="17" t="s">
        <v>2473</v>
      </c>
      <c r="O141" s="17">
        <v>4.6444885E7</v>
      </c>
      <c r="P141" s="17" t="s">
        <v>2474</v>
      </c>
      <c r="Q141" s="17" t="s">
        <v>112</v>
      </c>
      <c r="R141" s="17" t="str">
        <f>IFERROR(__xludf.DUMMYFUNCTION("CONCATENATE(REGEXEXTRACT(Q141,""[\d]+""),"" años"")"),"4 años")</f>
        <v>4 años</v>
      </c>
      <c r="S141" s="17" t="s">
        <v>2475</v>
      </c>
      <c r="U141" s="24"/>
      <c r="V141" s="24"/>
      <c r="W141" s="18" t="s">
        <v>638</v>
      </c>
    </row>
    <row r="142">
      <c r="A142" s="11"/>
      <c r="B142" s="12" t="s">
        <v>34</v>
      </c>
      <c r="C142" s="12" t="s">
        <v>65</v>
      </c>
      <c r="D142" s="12" t="s">
        <v>43</v>
      </c>
      <c r="E142" s="12" t="s">
        <v>2451</v>
      </c>
      <c r="F142" s="13" t="s">
        <v>667</v>
      </c>
      <c r="G142" s="12" t="s">
        <v>68</v>
      </c>
      <c r="H142" s="12" t="s">
        <v>668</v>
      </c>
      <c r="I142" s="12" t="s">
        <v>669</v>
      </c>
      <c r="J142" s="17" t="s">
        <v>2169</v>
      </c>
      <c r="K142" s="18" t="s">
        <v>2170</v>
      </c>
      <c r="L142" s="20">
        <v>45860.0</v>
      </c>
      <c r="M142" s="17" t="s">
        <v>28</v>
      </c>
      <c r="N142" s="17" t="s">
        <v>2476</v>
      </c>
      <c r="O142" s="17">
        <v>7.2568623E7</v>
      </c>
      <c r="P142" s="17" t="s">
        <v>2477</v>
      </c>
      <c r="Q142" s="17" t="s">
        <v>73</v>
      </c>
      <c r="R142" s="17" t="str">
        <f>IFERROR(__xludf.DUMMYFUNCTION("CONCATENATE(REGEXEXTRACT(Q142,""[\d]+""),"" años"")"),"3 años")</f>
        <v>3 años</v>
      </c>
      <c r="S142" s="17" t="s">
        <v>2478</v>
      </c>
      <c r="U142" s="24"/>
      <c r="V142" s="24"/>
      <c r="W142" s="18" t="s">
        <v>638</v>
      </c>
    </row>
    <row r="143">
      <c r="A143" s="11"/>
      <c r="B143" s="12" t="s">
        <v>34</v>
      </c>
      <c r="C143" s="12" t="s">
        <v>65</v>
      </c>
      <c r="D143" s="12" t="s">
        <v>43</v>
      </c>
      <c r="E143" s="12" t="s">
        <v>2451</v>
      </c>
      <c r="F143" s="13" t="s">
        <v>667</v>
      </c>
      <c r="G143" s="12" t="s">
        <v>68</v>
      </c>
      <c r="H143" s="12" t="s">
        <v>668</v>
      </c>
      <c r="I143" s="12" t="s">
        <v>669</v>
      </c>
      <c r="J143" s="17" t="s">
        <v>2169</v>
      </c>
      <c r="K143" s="18" t="s">
        <v>2170</v>
      </c>
      <c r="L143" s="20">
        <v>45860.0</v>
      </c>
      <c r="M143" s="17" t="s">
        <v>28</v>
      </c>
      <c r="N143" s="17" t="s">
        <v>2479</v>
      </c>
      <c r="O143" s="17">
        <v>8.0172397E7</v>
      </c>
      <c r="P143" s="17" t="s">
        <v>2480</v>
      </c>
      <c r="Q143" s="17" t="s">
        <v>112</v>
      </c>
      <c r="R143" s="17" t="str">
        <f>IFERROR(__xludf.DUMMYFUNCTION("CONCATENATE(REGEXEXTRACT(Q143,""[\d]+""),"" años"")"),"4 años")</f>
        <v>4 años</v>
      </c>
      <c r="S143" s="17" t="s">
        <v>2481</v>
      </c>
      <c r="U143" s="24"/>
      <c r="V143" s="24"/>
      <c r="W143" s="18" t="s">
        <v>638</v>
      </c>
    </row>
    <row r="144">
      <c r="A144" s="11"/>
      <c r="B144" s="12" t="s">
        <v>34</v>
      </c>
      <c r="C144" s="12" t="s">
        <v>65</v>
      </c>
      <c r="D144" s="12" t="s">
        <v>43</v>
      </c>
      <c r="E144" s="12" t="s">
        <v>2451</v>
      </c>
      <c r="F144" s="13" t="s">
        <v>667</v>
      </c>
      <c r="G144" s="12" t="s">
        <v>68</v>
      </c>
      <c r="H144" s="12" t="s">
        <v>668</v>
      </c>
      <c r="I144" s="12" t="s">
        <v>669</v>
      </c>
      <c r="J144" s="17" t="s">
        <v>2169</v>
      </c>
      <c r="K144" s="18" t="s">
        <v>2170</v>
      </c>
      <c r="L144" s="20">
        <v>45860.0</v>
      </c>
      <c r="M144" s="17" t="s">
        <v>28</v>
      </c>
      <c r="N144" s="17" t="s">
        <v>2482</v>
      </c>
      <c r="O144" s="17">
        <v>7.3244474E7</v>
      </c>
      <c r="Q144" s="17" t="s">
        <v>108</v>
      </c>
      <c r="R144" s="2" t="str">
        <f>IFERROR(__xludf.DUMMYFUNCTION("CONCATENATE(REGEXEXTRACT(Q144,""[\d]+""),"" años"")"),"5 años")</f>
        <v>5 años</v>
      </c>
      <c r="S144" s="17" t="s">
        <v>2198</v>
      </c>
      <c r="U144" s="24"/>
      <c r="V144" s="24"/>
      <c r="W144" s="18" t="s">
        <v>638</v>
      </c>
    </row>
    <row r="145">
      <c r="A145" s="11"/>
      <c r="B145" s="12" t="s">
        <v>34</v>
      </c>
      <c r="C145" s="12" t="s">
        <v>65</v>
      </c>
      <c r="D145" s="12" t="s">
        <v>43</v>
      </c>
      <c r="E145" s="12" t="s">
        <v>691</v>
      </c>
      <c r="F145" s="13" t="s">
        <v>692</v>
      </c>
      <c r="G145" s="12" t="s">
        <v>68</v>
      </c>
      <c r="H145" s="12" t="s">
        <v>693</v>
      </c>
      <c r="I145" s="12" t="s">
        <v>694</v>
      </c>
      <c r="J145" s="17" t="s">
        <v>2169</v>
      </c>
      <c r="K145" s="18" t="s">
        <v>2170</v>
      </c>
      <c r="L145" s="20">
        <v>45855.0</v>
      </c>
      <c r="M145" s="17" t="s">
        <v>28</v>
      </c>
      <c r="N145" s="113" t="s">
        <v>2483</v>
      </c>
      <c r="O145" s="114"/>
      <c r="P145" s="17" t="s">
        <v>2484</v>
      </c>
      <c r="Q145" s="17" t="s">
        <v>108</v>
      </c>
      <c r="R145" s="17" t="s">
        <v>2485</v>
      </c>
      <c r="S145" s="17" t="s">
        <v>2486</v>
      </c>
      <c r="U145" s="24"/>
      <c r="V145" s="24"/>
      <c r="W145" s="18" t="s">
        <v>638</v>
      </c>
    </row>
    <row r="146">
      <c r="A146" s="11"/>
      <c r="B146" s="12" t="s">
        <v>34</v>
      </c>
      <c r="C146" s="12" t="s">
        <v>65</v>
      </c>
      <c r="D146" s="12" t="s">
        <v>43</v>
      </c>
      <c r="E146" s="12" t="s">
        <v>691</v>
      </c>
      <c r="F146" s="13" t="s">
        <v>692</v>
      </c>
      <c r="G146" s="12" t="s">
        <v>68</v>
      </c>
      <c r="H146" s="12" t="s">
        <v>693</v>
      </c>
      <c r="I146" s="12" t="s">
        <v>694</v>
      </c>
      <c r="J146" s="17" t="s">
        <v>2169</v>
      </c>
      <c r="K146" s="18" t="s">
        <v>2170</v>
      </c>
      <c r="L146" s="20">
        <v>45855.0</v>
      </c>
      <c r="M146" s="17" t="s">
        <v>28</v>
      </c>
      <c r="N146" s="113" t="s">
        <v>2487</v>
      </c>
      <c r="O146" s="115">
        <v>4.4548794E7</v>
      </c>
      <c r="P146" s="17" t="s">
        <v>2488</v>
      </c>
      <c r="Q146" s="17" t="s">
        <v>73</v>
      </c>
      <c r="R146" s="17" t="s">
        <v>2489</v>
      </c>
      <c r="S146" s="17" t="s">
        <v>2490</v>
      </c>
      <c r="U146" s="24"/>
      <c r="V146" s="24"/>
      <c r="W146" s="18" t="s">
        <v>638</v>
      </c>
    </row>
    <row r="147">
      <c r="A147" s="11"/>
      <c r="B147" s="12" t="s">
        <v>34</v>
      </c>
      <c r="C147" s="12" t="s">
        <v>65</v>
      </c>
      <c r="D147" s="12" t="s">
        <v>43</v>
      </c>
      <c r="E147" s="12" t="s">
        <v>691</v>
      </c>
      <c r="F147" s="13" t="s">
        <v>692</v>
      </c>
      <c r="G147" s="12" t="s">
        <v>68</v>
      </c>
      <c r="H147" s="12" t="s">
        <v>693</v>
      </c>
      <c r="I147" s="12" t="s">
        <v>694</v>
      </c>
      <c r="J147" s="17" t="s">
        <v>2169</v>
      </c>
      <c r="K147" s="18" t="s">
        <v>2170</v>
      </c>
      <c r="L147" s="20">
        <v>45855.0</v>
      </c>
      <c r="M147" s="17" t="s">
        <v>28</v>
      </c>
      <c r="N147" s="17" t="s">
        <v>2491</v>
      </c>
      <c r="O147" s="114"/>
      <c r="P147" s="17" t="s">
        <v>2492</v>
      </c>
      <c r="Q147" s="17" t="s">
        <v>112</v>
      </c>
      <c r="R147" s="17" t="s">
        <v>2493</v>
      </c>
      <c r="S147" s="17" t="s">
        <v>2494</v>
      </c>
      <c r="U147" s="24"/>
      <c r="V147" s="24"/>
      <c r="W147" s="18" t="s">
        <v>638</v>
      </c>
    </row>
    <row r="148">
      <c r="A148" s="11"/>
      <c r="B148" s="12" t="s">
        <v>34</v>
      </c>
      <c r="C148" s="12" t="s">
        <v>65</v>
      </c>
      <c r="D148" s="12" t="s">
        <v>43</v>
      </c>
      <c r="E148" s="12" t="s">
        <v>691</v>
      </c>
      <c r="F148" s="13" t="s">
        <v>692</v>
      </c>
      <c r="G148" s="12" t="s">
        <v>68</v>
      </c>
      <c r="H148" s="12" t="s">
        <v>693</v>
      </c>
      <c r="I148" s="12" t="s">
        <v>694</v>
      </c>
      <c r="J148" s="17" t="s">
        <v>2169</v>
      </c>
      <c r="K148" s="18" t="s">
        <v>2170</v>
      </c>
      <c r="L148" s="20">
        <v>45855.0</v>
      </c>
      <c r="M148" s="17" t="s">
        <v>28</v>
      </c>
      <c r="N148" s="113" t="s">
        <v>2495</v>
      </c>
      <c r="O148" s="115">
        <v>4.4408398E7</v>
      </c>
      <c r="P148" s="17" t="s">
        <v>2496</v>
      </c>
      <c r="Q148" s="17" t="s">
        <v>73</v>
      </c>
      <c r="R148" s="17" t="s">
        <v>2489</v>
      </c>
      <c r="S148" s="17" t="s">
        <v>2497</v>
      </c>
      <c r="U148" s="24"/>
      <c r="V148" s="24"/>
      <c r="W148" s="18" t="s">
        <v>638</v>
      </c>
    </row>
    <row r="149">
      <c r="A149" s="11"/>
      <c r="B149" s="12" t="s">
        <v>34</v>
      </c>
      <c r="C149" s="12" t="s">
        <v>65</v>
      </c>
      <c r="D149" s="12" t="s">
        <v>43</v>
      </c>
      <c r="E149" s="12" t="s">
        <v>691</v>
      </c>
      <c r="F149" s="13" t="s">
        <v>692</v>
      </c>
      <c r="G149" s="12" t="s">
        <v>68</v>
      </c>
      <c r="H149" s="12" t="s">
        <v>693</v>
      </c>
      <c r="I149" s="12" t="s">
        <v>694</v>
      </c>
      <c r="J149" s="17" t="s">
        <v>2169</v>
      </c>
      <c r="K149" s="18" t="s">
        <v>2170</v>
      </c>
      <c r="L149" s="20">
        <v>45855.0</v>
      </c>
      <c r="M149" s="17" t="s">
        <v>28</v>
      </c>
      <c r="N149" s="113" t="s">
        <v>2498</v>
      </c>
      <c r="O149" s="115">
        <v>4.2064755E7</v>
      </c>
      <c r="P149" s="17" t="s">
        <v>2499</v>
      </c>
      <c r="Q149" s="17" t="s">
        <v>73</v>
      </c>
      <c r="R149" s="17" t="s">
        <v>2489</v>
      </c>
      <c r="S149" s="17" t="s">
        <v>2500</v>
      </c>
      <c r="U149" s="24"/>
      <c r="V149" s="24"/>
      <c r="W149" s="18" t="s">
        <v>638</v>
      </c>
    </row>
    <row r="150">
      <c r="A150" s="11"/>
      <c r="B150" s="12" t="s">
        <v>34</v>
      </c>
      <c r="C150" s="12" t="s">
        <v>65</v>
      </c>
      <c r="D150" s="12" t="s">
        <v>43</v>
      </c>
      <c r="E150" s="12" t="s">
        <v>691</v>
      </c>
      <c r="F150" s="13" t="s">
        <v>692</v>
      </c>
      <c r="G150" s="12" t="s">
        <v>68</v>
      </c>
      <c r="H150" s="12" t="s">
        <v>693</v>
      </c>
      <c r="I150" s="12" t="s">
        <v>694</v>
      </c>
      <c r="J150" s="17" t="s">
        <v>2169</v>
      </c>
      <c r="K150" s="18" t="s">
        <v>2170</v>
      </c>
      <c r="L150" s="20">
        <v>45855.0</v>
      </c>
      <c r="M150" s="17" t="s">
        <v>28</v>
      </c>
      <c r="N150" s="113" t="s">
        <v>2501</v>
      </c>
      <c r="O150" s="115">
        <v>7.2118792E7</v>
      </c>
      <c r="P150" s="17" t="s">
        <v>2502</v>
      </c>
      <c r="Q150" s="17" t="s">
        <v>73</v>
      </c>
      <c r="R150" s="17" t="s">
        <v>2489</v>
      </c>
      <c r="S150" s="17" t="s">
        <v>2503</v>
      </c>
      <c r="U150" s="24"/>
      <c r="V150" s="24"/>
      <c r="W150" s="18" t="s">
        <v>638</v>
      </c>
    </row>
    <row r="151">
      <c r="A151" s="11"/>
      <c r="B151" s="12" t="s">
        <v>34</v>
      </c>
      <c r="C151" s="12" t="s">
        <v>65</v>
      </c>
      <c r="D151" s="12" t="s">
        <v>43</v>
      </c>
      <c r="E151" s="12" t="s">
        <v>691</v>
      </c>
      <c r="F151" s="13" t="s">
        <v>692</v>
      </c>
      <c r="G151" s="12" t="s">
        <v>68</v>
      </c>
      <c r="H151" s="12" t="s">
        <v>693</v>
      </c>
      <c r="I151" s="12" t="s">
        <v>694</v>
      </c>
      <c r="J151" s="17" t="s">
        <v>2169</v>
      </c>
      <c r="K151" s="18" t="s">
        <v>2170</v>
      </c>
      <c r="L151" s="20">
        <v>45855.0</v>
      </c>
      <c r="M151" s="17" t="s">
        <v>28</v>
      </c>
      <c r="N151" s="113" t="s">
        <v>2504</v>
      </c>
      <c r="O151" s="115">
        <v>4.8761984E7</v>
      </c>
      <c r="P151" s="17" t="s">
        <v>2505</v>
      </c>
      <c r="Q151" s="17" t="s">
        <v>73</v>
      </c>
      <c r="R151" s="17" t="s">
        <v>2489</v>
      </c>
      <c r="S151" s="17" t="s">
        <v>2506</v>
      </c>
      <c r="U151" s="24"/>
      <c r="V151" s="24"/>
      <c r="W151" s="18" t="s">
        <v>638</v>
      </c>
    </row>
    <row r="152">
      <c r="A152" s="11"/>
      <c r="B152" s="12" t="s">
        <v>34</v>
      </c>
      <c r="C152" s="12" t="s">
        <v>65</v>
      </c>
      <c r="D152" s="12" t="s">
        <v>43</v>
      </c>
      <c r="E152" s="12" t="s">
        <v>691</v>
      </c>
      <c r="F152" s="13" t="s">
        <v>692</v>
      </c>
      <c r="G152" s="12" t="s">
        <v>68</v>
      </c>
      <c r="H152" s="12" t="s">
        <v>693</v>
      </c>
      <c r="I152" s="12" t="s">
        <v>694</v>
      </c>
      <c r="J152" s="17" t="s">
        <v>2169</v>
      </c>
      <c r="K152" s="18" t="s">
        <v>2170</v>
      </c>
      <c r="L152" s="20">
        <v>45855.0</v>
      </c>
      <c r="M152" s="17" t="s">
        <v>28</v>
      </c>
      <c r="N152" s="113" t="s">
        <v>2507</v>
      </c>
      <c r="O152" s="115">
        <v>4.6989799E7</v>
      </c>
      <c r="P152" s="17" t="s">
        <v>2508</v>
      </c>
      <c r="Q152" s="17" t="s">
        <v>112</v>
      </c>
      <c r="R152" s="17" t="s">
        <v>2493</v>
      </c>
      <c r="S152" s="17" t="s">
        <v>2509</v>
      </c>
      <c r="U152" s="24"/>
      <c r="V152" s="24"/>
      <c r="W152" s="18" t="s">
        <v>638</v>
      </c>
    </row>
    <row r="153">
      <c r="A153" s="11"/>
      <c r="B153" s="12" t="s">
        <v>34</v>
      </c>
      <c r="C153" s="12" t="s">
        <v>65</v>
      </c>
      <c r="D153" s="12" t="s">
        <v>43</v>
      </c>
      <c r="E153" s="12" t="s">
        <v>691</v>
      </c>
      <c r="F153" s="13" t="s">
        <v>692</v>
      </c>
      <c r="G153" s="12" t="s">
        <v>68</v>
      </c>
      <c r="H153" s="12" t="s">
        <v>693</v>
      </c>
      <c r="I153" s="12" t="s">
        <v>694</v>
      </c>
      <c r="J153" s="17" t="s">
        <v>2169</v>
      </c>
      <c r="K153" s="18" t="s">
        <v>2170</v>
      </c>
      <c r="L153" s="20">
        <v>45855.0</v>
      </c>
      <c r="M153" s="17" t="s">
        <v>28</v>
      </c>
      <c r="N153" s="113" t="s">
        <v>2510</v>
      </c>
      <c r="O153" s="115">
        <v>7.3507318E7</v>
      </c>
      <c r="P153" s="17" t="s">
        <v>2511</v>
      </c>
      <c r="Q153" s="17" t="s">
        <v>108</v>
      </c>
      <c r="R153" s="17" t="s">
        <v>2485</v>
      </c>
      <c r="S153" s="17" t="s">
        <v>2512</v>
      </c>
      <c r="U153" s="24"/>
      <c r="V153" s="24"/>
      <c r="W153" s="18" t="s">
        <v>638</v>
      </c>
    </row>
    <row r="154">
      <c r="A154" s="11"/>
      <c r="B154" s="12" t="s">
        <v>34</v>
      </c>
      <c r="C154" s="12" t="s">
        <v>65</v>
      </c>
      <c r="D154" s="12" t="s">
        <v>43</v>
      </c>
      <c r="E154" s="12" t="s">
        <v>691</v>
      </c>
      <c r="F154" s="13" t="s">
        <v>692</v>
      </c>
      <c r="G154" s="12" t="s">
        <v>68</v>
      </c>
      <c r="H154" s="12" t="s">
        <v>693</v>
      </c>
      <c r="I154" s="12" t="s">
        <v>694</v>
      </c>
      <c r="J154" s="17" t="s">
        <v>2169</v>
      </c>
      <c r="K154" s="18" t="s">
        <v>2170</v>
      </c>
      <c r="L154" s="20">
        <v>45855.0</v>
      </c>
      <c r="M154" s="17" t="s">
        <v>28</v>
      </c>
      <c r="N154" s="17" t="s">
        <v>2513</v>
      </c>
      <c r="O154" s="114"/>
      <c r="P154" s="17" t="s">
        <v>2514</v>
      </c>
      <c r="Q154" s="17" t="s">
        <v>112</v>
      </c>
      <c r="R154" s="17" t="s">
        <v>2493</v>
      </c>
      <c r="S154" s="17" t="s">
        <v>2515</v>
      </c>
      <c r="U154" s="24"/>
      <c r="V154" s="24"/>
      <c r="W154" s="18" t="s">
        <v>638</v>
      </c>
    </row>
    <row r="155">
      <c r="A155" s="11"/>
      <c r="B155" s="12" t="s">
        <v>34</v>
      </c>
      <c r="C155" s="12" t="s">
        <v>65</v>
      </c>
      <c r="D155" s="12" t="s">
        <v>43</v>
      </c>
      <c r="E155" s="12" t="s">
        <v>691</v>
      </c>
      <c r="F155" s="13" t="s">
        <v>692</v>
      </c>
      <c r="G155" s="12" t="s">
        <v>68</v>
      </c>
      <c r="H155" s="12" t="s">
        <v>693</v>
      </c>
      <c r="I155" s="12" t="s">
        <v>694</v>
      </c>
      <c r="J155" s="17" t="s">
        <v>2169</v>
      </c>
      <c r="K155" s="18" t="s">
        <v>2170</v>
      </c>
      <c r="L155" s="20">
        <v>45855.0</v>
      </c>
      <c r="M155" s="17" t="s">
        <v>28</v>
      </c>
      <c r="N155" s="113" t="s">
        <v>2516</v>
      </c>
      <c r="O155" s="114"/>
      <c r="P155" s="17" t="s">
        <v>2517</v>
      </c>
      <c r="Q155" s="17" t="s">
        <v>112</v>
      </c>
      <c r="R155" s="17" t="s">
        <v>2493</v>
      </c>
      <c r="S155" s="17" t="s">
        <v>2518</v>
      </c>
      <c r="U155" s="24"/>
      <c r="V155" s="24"/>
      <c r="W155" s="18" t="s">
        <v>638</v>
      </c>
    </row>
    <row r="156">
      <c r="A156" s="11"/>
      <c r="B156" s="12" t="s">
        <v>34</v>
      </c>
      <c r="C156" s="12" t="s">
        <v>65</v>
      </c>
      <c r="D156" s="12" t="s">
        <v>43</v>
      </c>
      <c r="E156" s="12" t="s">
        <v>717</v>
      </c>
      <c r="F156" s="13" t="s">
        <v>718</v>
      </c>
      <c r="G156" s="12" t="s">
        <v>68</v>
      </c>
      <c r="H156" s="12" t="s">
        <v>719</v>
      </c>
      <c r="I156" s="12" t="s">
        <v>720</v>
      </c>
      <c r="J156" s="17" t="s">
        <v>2169</v>
      </c>
      <c r="K156" s="18" t="s">
        <v>2170</v>
      </c>
      <c r="L156" s="20">
        <v>45855.0</v>
      </c>
      <c r="M156" s="17" t="s">
        <v>28</v>
      </c>
      <c r="N156" s="17" t="s">
        <v>2519</v>
      </c>
      <c r="O156" s="17">
        <v>7.2088868E7</v>
      </c>
      <c r="P156" s="17" t="s">
        <v>2520</v>
      </c>
      <c r="Q156" s="17" t="s">
        <v>108</v>
      </c>
      <c r="R156" s="17" t="s">
        <v>2521</v>
      </c>
      <c r="S156" s="17" t="s">
        <v>2522</v>
      </c>
      <c r="U156" s="24"/>
      <c r="V156" s="24"/>
      <c r="W156" s="18" t="s">
        <v>638</v>
      </c>
    </row>
    <row r="157">
      <c r="A157" s="11"/>
      <c r="B157" s="12" t="s">
        <v>34</v>
      </c>
      <c r="C157" s="12" t="s">
        <v>65</v>
      </c>
      <c r="D157" s="12" t="s">
        <v>43</v>
      </c>
      <c r="E157" s="12" t="s">
        <v>717</v>
      </c>
      <c r="F157" s="13" t="s">
        <v>718</v>
      </c>
      <c r="G157" s="12" t="s">
        <v>68</v>
      </c>
      <c r="H157" s="12" t="s">
        <v>719</v>
      </c>
      <c r="I157" s="12" t="s">
        <v>720</v>
      </c>
      <c r="J157" s="17" t="s">
        <v>2169</v>
      </c>
      <c r="K157" s="18" t="s">
        <v>2170</v>
      </c>
      <c r="L157" s="20">
        <v>45855.0</v>
      </c>
      <c r="M157" s="17" t="s">
        <v>28</v>
      </c>
      <c r="N157" s="17" t="s">
        <v>2523</v>
      </c>
      <c r="Q157" s="2"/>
      <c r="U157" s="24"/>
      <c r="V157" s="24"/>
      <c r="W157" s="18" t="s">
        <v>638</v>
      </c>
    </row>
    <row r="158">
      <c r="A158" s="11"/>
      <c r="B158" s="12" t="s">
        <v>34</v>
      </c>
      <c r="C158" s="12" t="s">
        <v>65</v>
      </c>
      <c r="D158" s="12" t="s">
        <v>43</v>
      </c>
      <c r="E158" s="12" t="s">
        <v>717</v>
      </c>
      <c r="F158" s="13" t="s">
        <v>718</v>
      </c>
      <c r="G158" s="12" t="s">
        <v>68</v>
      </c>
      <c r="H158" s="12" t="s">
        <v>719</v>
      </c>
      <c r="I158" s="12" t="s">
        <v>720</v>
      </c>
      <c r="J158" s="17" t="s">
        <v>2169</v>
      </c>
      <c r="K158" s="18" t="s">
        <v>2170</v>
      </c>
      <c r="L158" s="20">
        <v>45855.0</v>
      </c>
      <c r="M158" s="17" t="s">
        <v>28</v>
      </c>
      <c r="N158" s="17" t="s">
        <v>2524</v>
      </c>
      <c r="O158" s="17">
        <v>4.155927E7</v>
      </c>
      <c r="P158" s="17" t="s">
        <v>2525</v>
      </c>
      <c r="Q158" s="17" t="s">
        <v>112</v>
      </c>
      <c r="R158" s="17" t="s">
        <v>2526</v>
      </c>
      <c r="S158" s="17" t="s">
        <v>2527</v>
      </c>
      <c r="U158" s="24"/>
      <c r="V158" s="24"/>
      <c r="W158" s="18" t="s">
        <v>638</v>
      </c>
    </row>
    <row r="159">
      <c r="A159" s="11"/>
      <c r="B159" s="12" t="s">
        <v>34</v>
      </c>
      <c r="C159" s="12" t="s">
        <v>65</v>
      </c>
      <c r="D159" s="12" t="s">
        <v>43</v>
      </c>
      <c r="E159" s="12" t="s">
        <v>717</v>
      </c>
      <c r="F159" s="13" t="s">
        <v>718</v>
      </c>
      <c r="G159" s="12" t="s">
        <v>68</v>
      </c>
      <c r="H159" s="12" t="s">
        <v>719</v>
      </c>
      <c r="I159" s="12" t="s">
        <v>720</v>
      </c>
      <c r="J159" s="17" t="s">
        <v>2169</v>
      </c>
      <c r="K159" s="18" t="s">
        <v>2170</v>
      </c>
      <c r="L159" s="20">
        <v>45855.0</v>
      </c>
      <c r="M159" s="17" t="s">
        <v>28</v>
      </c>
      <c r="N159" s="17" t="s">
        <v>2528</v>
      </c>
      <c r="P159" s="17" t="s">
        <v>2529</v>
      </c>
      <c r="Q159" s="17" t="s">
        <v>108</v>
      </c>
      <c r="R159" s="17" t="s">
        <v>2521</v>
      </c>
      <c r="S159" s="17" t="s">
        <v>2530</v>
      </c>
      <c r="U159" s="24"/>
      <c r="V159" s="24"/>
      <c r="W159" s="18" t="s">
        <v>638</v>
      </c>
    </row>
    <row r="160">
      <c r="A160" s="11"/>
      <c r="B160" s="12" t="s">
        <v>34</v>
      </c>
      <c r="C160" s="12" t="s">
        <v>65</v>
      </c>
      <c r="D160" s="12" t="s">
        <v>43</v>
      </c>
      <c r="E160" s="12" t="s">
        <v>717</v>
      </c>
      <c r="F160" s="13" t="s">
        <v>718</v>
      </c>
      <c r="G160" s="12" t="s">
        <v>68</v>
      </c>
      <c r="H160" s="12" t="s">
        <v>719</v>
      </c>
      <c r="I160" s="12" t="s">
        <v>720</v>
      </c>
      <c r="J160" s="17" t="s">
        <v>2169</v>
      </c>
      <c r="K160" s="18" t="s">
        <v>2170</v>
      </c>
      <c r="L160" s="20">
        <v>45855.0</v>
      </c>
      <c r="M160" s="17" t="s">
        <v>28</v>
      </c>
      <c r="N160" s="17" t="s">
        <v>2531</v>
      </c>
      <c r="P160" s="17" t="s">
        <v>2532</v>
      </c>
      <c r="Q160" s="17" t="s">
        <v>108</v>
      </c>
      <c r="R160" s="17" t="s">
        <v>2521</v>
      </c>
      <c r="S160" s="17" t="s">
        <v>2533</v>
      </c>
      <c r="U160" s="24"/>
      <c r="V160" s="24"/>
      <c r="W160" s="18" t="s">
        <v>638</v>
      </c>
    </row>
    <row r="161">
      <c r="A161" s="11"/>
      <c r="B161" s="12" t="s">
        <v>34</v>
      </c>
      <c r="C161" s="12" t="s">
        <v>65</v>
      </c>
      <c r="D161" s="12" t="s">
        <v>43</v>
      </c>
      <c r="E161" s="12" t="s">
        <v>717</v>
      </c>
      <c r="F161" s="13" t="s">
        <v>718</v>
      </c>
      <c r="G161" s="12" t="s">
        <v>68</v>
      </c>
      <c r="H161" s="12" t="s">
        <v>719</v>
      </c>
      <c r="I161" s="12" t="s">
        <v>720</v>
      </c>
      <c r="J161" s="17" t="s">
        <v>2169</v>
      </c>
      <c r="K161" s="18" t="s">
        <v>2170</v>
      </c>
      <c r="L161" s="20">
        <v>45855.0</v>
      </c>
      <c r="M161" s="17" t="s">
        <v>28</v>
      </c>
      <c r="N161" s="17" t="s">
        <v>2534</v>
      </c>
      <c r="O161" s="17">
        <v>7.2506444E7</v>
      </c>
      <c r="P161" s="17" t="s">
        <v>2535</v>
      </c>
      <c r="Q161" s="17" t="s">
        <v>73</v>
      </c>
      <c r="R161" s="17" t="s">
        <v>2536</v>
      </c>
      <c r="S161" s="17" t="s">
        <v>2537</v>
      </c>
      <c r="U161" s="24"/>
      <c r="V161" s="24"/>
      <c r="W161" s="18" t="s">
        <v>638</v>
      </c>
    </row>
    <row r="162">
      <c r="A162" s="11"/>
      <c r="B162" s="12" t="s">
        <v>34</v>
      </c>
      <c r="C162" s="12" t="s">
        <v>65</v>
      </c>
      <c r="D162" s="12" t="s">
        <v>43</v>
      </c>
      <c r="E162" s="12" t="s">
        <v>717</v>
      </c>
      <c r="F162" s="13" t="s">
        <v>718</v>
      </c>
      <c r="G162" s="12" t="s">
        <v>68</v>
      </c>
      <c r="H162" s="12" t="s">
        <v>719</v>
      </c>
      <c r="I162" s="12" t="s">
        <v>720</v>
      </c>
      <c r="J162" s="17" t="s">
        <v>2169</v>
      </c>
      <c r="K162" s="18" t="s">
        <v>2170</v>
      </c>
      <c r="L162" s="20">
        <v>45855.0</v>
      </c>
      <c r="M162" s="17" t="s">
        <v>28</v>
      </c>
      <c r="N162" s="17" t="s">
        <v>2538</v>
      </c>
      <c r="P162" s="17" t="s">
        <v>2539</v>
      </c>
      <c r="Q162" s="17" t="s">
        <v>73</v>
      </c>
      <c r="R162" s="17" t="s">
        <v>2536</v>
      </c>
      <c r="S162" s="17" t="s">
        <v>2540</v>
      </c>
      <c r="U162" s="24"/>
      <c r="V162" s="24"/>
      <c r="W162" s="18" t="s">
        <v>638</v>
      </c>
    </row>
    <row r="163">
      <c r="A163" s="11"/>
      <c r="B163" s="12" t="s">
        <v>34</v>
      </c>
      <c r="C163" s="12" t="s">
        <v>65</v>
      </c>
      <c r="D163" s="12" t="s">
        <v>43</v>
      </c>
      <c r="E163" s="12" t="s">
        <v>717</v>
      </c>
      <c r="F163" s="13" t="s">
        <v>718</v>
      </c>
      <c r="G163" s="12" t="s">
        <v>68</v>
      </c>
      <c r="H163" s="12" t="s">
        <v>719</v>
      </c>
      <c r="I163" s="12" t="s">
        <v>720</v>
      </c>
      <c r="J163" s="17" t="s">
        <v>2169</v>
      </c>
      <c r="K163" s="18" t="s">
        <v>2170</v>
      </c>
      <c r="L163" s="20">
        <v>45855.0</v>
      </c>
      <c r="M163" s="17" t="s">
        <v>28</v>
      </c>
      <c r="N163" s="17" t="s">
        <v>2541</v>
      </c>
      <c r="P163" s="17" t="s">
        <v>2542</v>
      </c>
      <c r="Q163" s="17" t="s">
        <v>73</v>
      </c>
      <c r="R163" s="17" t="s">
        <v>2536</v>
      </c>
      <c r="S163" s="17" t="s">
        <v>2543</v>
      </c>
      <c r="U163" s="24"/>
      <c r="V163" s="24"/>
      <c r="W163" s="18" t="s">
        <v>638</v>
      </c>
    </row>
    <row r="164">
      <c r="A164" s="11"/>
      <c r="B164" s="12" t="s">
        <v>34</v>
      </c>
      <c r="C164" s="12" t="s">
        <v>65</v>
      </c>
      <c r="D164" s="12" t="s">
        <v>43</v>
      </c>
      <c r="E164" s="12" t="s">
        <v>717</v>
      </c>
      <c r="F164" s="13" t="s">
        <v>718</v>
      </c>
      <c r="G164" s="12" t="s">
        <v>68</v>
      </c>
      <c r="H164" s="12" t="s">
        <v>719</v>
      </c>
      <c r="I164" s="12" t="s">
        <v>720</v>
      </c>
      <c r="J164" s="17" t="s">
        <v>2169</v>
      </c>
      <c r="K164" s="18" t="s">
        <v>2170</v>
      </c>
      <c r="L164" s="20">
        <v>45855.0</v>
      </c>
      <c r="M164" s="17" t="s">
        <v>28</v>
      </c>
      <c r="N164" s="17" t="s">
        <v>2544</v>
      </c>
      <c r="O164" s="17">
        <v>7.2276633E7</v>
      </c>
      <c r="P164" s="17" t="s">
        <v>2545</v>
      </c>
      <c r="Q164" s="17" t="s">
        <v>73</v>
      </c>
      <c r="R164" s="17" t="s">
        <v>2536</v>
      </c>
      <c r="S164" s="17" t="s">
        <v>2546</v>
      </c>
      <c r="U164" s="24"/>
      <c r="V164" s="24"/>
      <c r="W164" s="18" t="s">
        <v>638</v>
      </c>
    </row>
    <row r="165">
      <c r="A165" s="11"/>
      <c r="B165" s="12" t="s">
        <v>34</v>
      </c>
      <c r="C165" s="12" t="s">
        <v>65</v>
      </c>
      <c r="D165" s="12" t="s">
        <v>43</v>
      </c>
      <c r="E165" s="12" t="s">
        <v>717</v>
      </c>
      <c r="F165" s="13" t="s">
        <v>718</v>
      </c>
      <c r="G165" s="12" t="s">
        <v>68</v>
      </c>
      <c r="H165" s="12" t="s">
        <v>719</v>
      </c>
      <c r="I165" s="12" t="s">
        <v>720</v>
      </c>
      <c r="J165" s="17" t="s">
        <v>2169</v>
      </c>
      <c r="K165" s="18" t="s">
        <v>2170</v>
      </c>
      <c r="L165" s="20">
        <v>45855.0</v>
      </c>
      <c r="M165" s="17" t="s">
        <v>28</v>
      </c>
      <c r="N165" s="17" t="s">
        <v>2547</v>
      </c>
      <c r="P165" s="17" t="s">
        <v>2548</v>
      </c>
      <c r="Q165" s="17" t="s">
        <v>112</v>
      </c>
      <c r="R165" s="17" t="s">
        <v>2526</v>
      </c>
      <c r="S165" s="17" t="s">
        <v>2549</v>
      </c>
      <c r="U165" s="24"/>
      <c r="V165" s="24"/>
      <c r="W165" s="18" t="s">
        <v>638</v>
      </c>
    </row>
    <row r="166">
      <c r="A166" s="11"/>
      <c r="B166" s="12" t="s">
        <v>34</v>
      </c>
      <c r="C166" s="12" t="s">
        <v>65</v>
      </c>
      <c r="D166" s="12" t="s">
        <v>43</v>
      </c>
      <c r="E166" s="12" t="s">
        <v>717</v>
      </c>
      <c r="F166" s="13" t="s">
        <v>718</v>
      </c>
      <c r="G166" s="12" t="s">
        <v>68</v>
      </c>
      <c r="H166" s="12" t="s">
        <v>719</v>
      </c>
      <c r="I166" s="12" t="s">
        <v>720</v>
      </c>
      <c r="J166" s="17" t="s">
        <v>2169</v>
      </c>
      <c r="K166" s="18" t="s">
        <v>2170</v>
      </c>
      <c r="L166" s="20">
        <v>45855.0</v>
      </c>
      <c r="M166" s="17" t="s">
        <v>28</v>
      </c>
      <c r="N166" s="17" t="s">
        <v>2550</v>
      </c>
      <c r="Q166" s="2"/>
      <c r="U166" s="24"/>
      <c r="V166" s="24"/>
      <c r="W166" s="18" t="s">
        <v>638</v>
      </c>
    </row>
    <row r="167">
      <c r="A167" s="11"/>
      <c r="B167" s="12" t="s">
        <v>34</v>
      </c>
      <c r="C167" s="12" t="s">
        <v>65</v>
      </c>
      <c r="D167" s="12" t="s">
        <v>43</v>
      </c>
      <c r="E167" s="12" t="s">
        <v>717</v>
      </c>
      <c r="F167" s="13" t="s">
        <v>718</v>
      </c>
      <c r="G167" s="12" t="s">
        <v>68</v>
      </c>
      <c r="H167" s="12" t="s">
        <v>719</v>
      </c>
      <c r="I167" s="12" t="s">
        <v>720</v>
      </c>
      <c r="J167" s="17" t="s">
        <v>2169</v>
      </c>
      <c r="K167" s="18" t="s">
        <v>2170</v>
      </c>
      <c r="L167" s="20">
        <v>45855.0</v>
      </c>
      <c r="M167" s="17" t="s">
        <v>28</v>
      </c>
      <c r="N167" s="17" t="s">
        <v>2551</v>
      </c>
      <c r="P167" s="17" t="s">
        <v>2552</v>
      </c>
      <c r="Q167" s="17" t="s">
        <v>108</v>
      </c>
      <c r="R167" s="17" t="s">
        <v>2521</v>
      </c>
      <c r="S167" s="17" t="s">
        <v>2553</v>
      </c>
      <c r="U167" s="24"/>
      <c r="V167" s="24"/>
      <c r="W167" s="18" t="s">
        <v>638</v>
      </c>
    </row>
    <row r="168">
      <c r="A168" s="11"/>
      <c r="B168" s="12" t="s">
        <v>34</v>
      </c>
      <c r="C168" s="12" t="s">
        <v>65</v>
      </c>
      <c r="D168" s="12" t="s">
        <v>43</v>
      </c>
      <c r="E168" s="12" t="s">
        <v>717</v>
      </c>
      <c r="F168" s="13" t="s">
        <v>718</v>
      </c>
      <c r="G168" s="12" t="s">
        <v>68</v>
      </c>
      <c r="H168" s="12" t="s">
        <v>719</v>
      </c>
      <c r="I168" s="12" t="s">
        <v>720</v>
      </c>
      <c r="J168" s="17" t="s">
        <v>2169</v>
      </c>
      <c r="K168" s="18" t="s">
        <v>2170</v>
      </c>
      <c r="L168" s="20">
        <v>45855.0</v>
      </c>
      <c r="M168" s="17" t="s">
        <v>28</v>
      </c>
      <c r="N168" s="17" t="s">
        <v>2554</v>
      </c>
      <c r="P168" s="17" t="s">
        <v>2555</v>
      </c>
      <c r="Q168" s="17" t="s">
        <v>73</v>
      </c>
      <c r="R168" s="17" t="s">
        <v>2536</v>
      </c>
      <c r="S168" s="17" t="s">
        <v>2556</v>
      </c>
      <c r="U168" s="24"/>
      <c r="V168" s="24"/>
      <c r="W168" s="18" t="s">
        <v>638</v>
      </c>
    </row>
    <row r="169">
      <c r="A169" s="11"/>
      <c r="B169" s="12" t="s">
        <v>34</v>
      </c>
      <c r="C169" s="12" t="s">
        <v>65</v>
      </c>
      <c r="D169" s="12" t="s">
        <v>43</v>
      </c>
      <c r="E169" s="12" t="s">
        <v>717</v>
      </c>
      <c r="F169" s="13" t="s">
        <v>718</v>
      </c>
      <c r="G169" s="12" t="s">
        <v>68</v>
      </c>
      <c r="H169" s="12" t="s">
        <v>719</v>
      </c>
      <c r="I169" s="12" t="s">
        <v>720</v>
      </c>
      <c r="J169" s="17" t="s">
        <v>2169</v>
      </c>
      <c r="K169" s="18" t="s">
        <v>2170</v>
      </c>
      <c r="L169" s="20">
        <v>45855.0</v>
      </c>
      <c r="M169" s="17" t="s">
        <v>28</v>
      </c>
      <c r="N169" s="17" t="s">
        <v>2557</v>
      </c>
      <c r="P169" s="17" t="s">
        <v>2558</v>
      </c>
      <c r="Q169" s="17" t="s">
        <v>73</v>
      </c>
      <c r="R169" s="17" t="s">
        <v>2536</v>
      </c>
      <c r="S169" s="17" t="s">
        <v>2559</v>
      </c>
      <c r="U169" s="24"/>
      <c r="V169" s="24"/>
      <c r="W169" s="18" t="s">
        <v>638</v>
      </c>
    </row>
    <row r="170">
      <c r="A170" s="11"/>
      <c r="B170" s="12" t="s">
        <v>34</v>
      </c>
      <c r="C170" s="12" t="s">
        <v>65</v>
      </c>
      <c r="D170" s="12" t="s">
        <v>43</v>
      </c>
      <c r="E170" s="12" t="s">
        <v>717</v>
      </c>
      <c r="F170" s="13" t="s">
        <v>718</v>
      </c>
      <c r="G170" s="12" t="s">
        <v>68</v>
      </c>
      <c r="H170" s="12" t="s">
        <v>719</v>
      </c>
      <c r="I170" s="12" t="s">
        <v>720</v>
      </c>
      <c r="J170" s="17" t="s">
        <v>2169</v>
      </c>
      <c r="K170" s="18" t="s">
        <v>2170</v>
      </c>
      <c r="L170" s="20">
        <v>45855.0</v>
      </c>
      <c r="M170" s="17" t="s">
        <v>28</v>
      </c>
      <c r="N170" s="17" t="s">
        <v>2560</v>
      </c>
      <c r="P170" s="17" t="s">
        <v>2561</v>
      </c>
      <c r="Q170" s="17" t="s">
        <v>112</v>
      </c>
      <c r="R170" s="17" t="s">
        <v>2526</v>
      </c>
      <c r="S170" s="17" t="s">
        <v>2562</v>
      </c>
      <c r="U170" s="24"/>
      <c r="V170" s="24"/>
      <c r="W170" s="18" t="s">
        <v>638</v>
      </c>
    </row>
    <row r="171">
      <c r="A171" s="11"/>
      <c r="B171" s="12" t="s">
        <v>34</v>
      </c>
      <c r="C171" s="12" t="s">
        <v>65</v>
      </c>
      <c r="D171" s="12" t="s">
        <v>43</v>
      </c>
      <c r="E171" s="12" t="s">
        <v>717</v>
      </c>
      <c r="F171" s="13" t="s">
        <v>718</v>
      </c>
      <c r="G171" s="12" t="s">
        <v>68</v>
      </c>
      <c r="H171" s="12" t="s">
        <v>719</v>
      </c>
      <c r="I171" s="12" t="s">
        <v>720</v>
      </c>
      <c r="J171" s="17" t="s">
        <v>2169</v>
      </c>
      <c r="K171" s="18" t="s">
        <v>2170</v>
      </c>
      <c r="L171" s="20">
        <v>45855.0</v>
      </c>
      <c r="M171" s="17" t="s">
        <v>28</v>
      </c>
      <c r="N171" s="17" t="s">
        <v>2563</v>
      </c>
      <c r="O171" s="17">
        <v>4.3573282E7</v>
      </c>
      <c r="P171" s="17" t="s">
        <v>2564</v>
      </c>
      <c r="Q171" s="17" t="s">
        <v>108</v>
      </c>
      <c r="R171" s="17" t="s">
        <v>2521</v>
      </c>
      <c r="S171" s="17" t="s">
        <v>2565</v>
      </c>
      <c r="U171" s="24"/>
      <c r="V171" s="24"/>
      <c r="W171" s="18" t="s">
        <v>638</v>
      </c>
    </row>
    <row r="172">
      <c r="A172" s="11"/>
      <c r="B172" s="12" t="s">
        <v>34</v>
      </c>
      <c r="C172" s="12" t="s">
        <v>65</v>
      </c>
      <c r="D172" s="12" t="s">
        <v>43</v>
      </c>
      <c r="E172" s="12" t="s">
        <v>717</v>
      </c>
      <c r="F172" s="13" t="s">
        <v>718</v>
      </c>
      <c r="G172" s="12" t="s">
        <v>68</v>
      </c>
      <c r="H172" s="12" t="s">
        <v>719</v>
      </c>
      <c r="I172" s="12" t="s">
        <v>720</v>
      </c>
      <c r="J172" s="17" t="s">
        <v>2169</v>
      </c>
      <c r="K172" s="18" t="s">
        <v>2170</v>
      </c>
      <c r="L172" s="20">
        <v>45855.0</v>
      </c>
      <c r="M172" s="17" t="s">
        <v>28</v>
      </c>
      <c r="N172" s="17" t="s">
        <v>2566</v>
      </c>
      <c r="P172" s="17" t="s">
        <v>2567</v>
      </c>
      <c r="Q172" s="17" t="s">
        <v>112</v>
      </c>
      <c r="R172" s="17" t="s">
        <v>2526</v>
      </c>
      <c r="S172" s="17" t="s">
        <v>2568</v>
      </c>
      <c r="U172" s="24"/>
      <c r="V172" s="24"/>
      <c r="W172" s="18" t="s">
        <v>638</v>
      </c>
    </row>
    <row r="173">
      <c r="A173" s="11"/>
      <c r="B173" s="12" t="s">
        <v>34</v>
      </c>
      <c r="C173" s="12" t="s">
        <v>65</v>
      </c>
      <c r="D173" s="12" t="s">
        <v>43</v>
      </c>
      <c r="E173" s="12" t="s">
        <v>717</v>
      </c>
      <c r="F173" s="13" t="s">
        <v>718</v>
      </c>
      <c r="G173" s="12" t="s">
        <v>68</v>
      </c>
      <c r="H173" s="12" t="s">
        <v>719</v>
      </c>
      <c r="I173" s="12" t="s">
        <v>720</v>
      </c>
      <c r="J173" s="17" t="s">
        <v>2169</v>
      </c>
      <c r="K173" s="18" t="s">
        <v>2170</v>
      </c>
      <c r="L173" s="20">
        <v>45855.0</v>
      </c>
      <c r="M173" s="17" t="s">
        <v>28</v>
      </c>
      <c r="N173" s="17" t="s">
        <v>2569</v>
      </c>
      <c r="P173" s="17" t="s">
        <v>2570</v>
      </c>
      <c r="Q173" s="17" t="s">
        <v>112</v>
      </c>
      <c r="R173" s="17" t="s">
        <v>2526</v>
      </c>
      <c r="S173" s="17" t="s">
        <v>2571</v>
      </c>
      <c r="U173" s="24"/>
      <c r="V173" s="24"/>
      <c r="W173" s="18" t="s">
        <v>638</v>
      </c>
    </row>
    <row r="174">
      <c r="A174" s="11"/>
      <c r="B174" s="12" t="s">
        <v>34</v>
      </c>
      <c r="C174" s="12" t="s">
        <v>65</v>
      </c>
      <c r="D174" s="12" t="s">
        <v>43</v>
      </c>
      <c r="E174" s="12" t="s">
        <v>717</v>
      </c>
      <c r="F174" s="13" t="s">
        <v>718</v>
      </c>
      <c r="G174" s="12" t="s">
        <v>68</v>
      </c>
      <c r="H174" s="12" t="s">
        <v>719</v>
      </c>
      <c r="I174" s="12" t="s">
        <v>720</v>
      </c>
      <c r="J174" s="17" t="s">
        <v>2169</v>
      </c>
      <c r="K174" s="18" t="s">
        <v>2170</v>
      </c>
      <c r="L174" s="20">
        <v>45855.0</v>
      </c>
      <c r="M174" s="17" t="s">
        <v>28</v>
      </c>
      <c r="N174" s="17" t="s">
        <v>2572</v>
      </c>
      <c r="O174" s="17">
        <v>4.3089788E7</v>
      </c>
      <c r="P174" s="17" t="s">
        <v>2573</v>
      </c>
      <c r="Q174" s="17" t="s">
        <v>112</v>
      </c>
      <c r="R174" s="17" t="s">
        <v>2526</v>
      </c>
      <c r="S174" s="17" t="s">
        <v>2574</v>
      </c>
      <c r="U174" s="24"/>
      <c r="V174" s="24"/>
      <c r="W174" s="18" t="s">
        <v>638</v>
      </c>
    </row>
    <row r="175">
      <c r="A175" s="11"/>
      <c r="B175" s="12" t="s">
        <v>34</v>
      </c>
      <c r="C175" s="12" t="s">
        <v>65</v>
      </c>
      <c r="D175" s="12" t="s">
        <v>43</v>
      </c>
      <c r="E175" s="12" t="s">
        <v>717</v>
      </c>
      <c r="F175" s="13" t="s">
        <v>718</v>
      </c>
      <c r="G175" s="12" t="s">
        <v>68</v>
      </c>
      <c r="H175" s="12" t="s">
        <v>719</v>
      </c>
      <c r="I175" s="12" t="s">
        <v>720</v>
      </c>
      <c r="J175" s="17" t="s">
        <v>2169</v>
      </c>
      <c r="K175" s="18" t="s">
        <v>2170</v>
      </c>
      <c r="L175" s="20">
        <v>45855.0</v>
      </c>
      <c r="M175" s="17" t="s">
        <v>28</v>
      </c>
      <c r="N175" s="17" t="s">
        <v>2575</v>
      </c>
      <c r="O175" s="17">
        <v>7.097128E7</v>
      </c>
      <c r="P175" s="17" t="s">
        <v>2576</v>
      </c>
      <c r="Q175" s="17" t="s">
        <v>73</v>
      </c>
      <c r="R175" s="17" t="s">
        <v>2536</v>
      </c>
      <c r="S175" s="17" t="s">
        <v>2577</v>
      </c>
      <c r="U175" s="24"/>
      <c r="V175" s="24"/>
      <c r="W175" s="18" t="s">
        <v>638</v>
      </c>
    </row>
    <row r="176">
      <c r="A176" s="11"/>
      <c r="B176" s="12" t="s">
        <v>34</v>
      </c>
      <c r="C176" s="12" t="s">
        <v>65</v>
      </c>
      <c r="D176" s="12" t="s">
        <v>43</v>
      </c>
      <c r="E176" s="12" t="s">
        <v>717</v>
      </c>
      <c r="F176" s="13" t="s">
        <v>718</v>
      </c>
      <c r="G176" s="12" t="s">
        <v>68</v>
      </c>
      <c r="H176" s="12" t="s">
        <v>719</v>
      </c>
      <c r="I176" s="12" t="s">
        <v>720</v>
      </c>
      <c r="J176" s="17" t="s">
        <v>2169</v>
      </c>
      <c r="K176" s="18" t="s">
        <v>2170</v>
      </c>
      <c r="L176" s="20">
        <v>45855.0</v>
      </c>
      <c r="M176" s="17" t="s">
        <v>28</v>
      </c>
      <c r="N176" s="17" t="s">
        <v>2578</v>
      </c>
      <c r="O176" s="17">
        <v>4.5566017E7</v>
      </c>
      <c r="P176" s="17" t="s">
        <v>2579</v>
      </c>
      <c r="Q176" s="17" t="s">
        <v>112</v>
      </c>
      <c r="R176" s="17" t="s">
        <v>2526</v>
      </c>
      <c r="S176" s="17" t="s">
        <v>2580</v>
      </c>
      <c r="U176" s="24"/>
      <c r="V176" s="24"/>
      <c r="W176" s="18" t="s">
        <v>638</v>
      </c>
    </row>
    <row r="177">
      <c r="A177" s="11"/>
      <c r="B177" s="12" t="s">
        <v>34</v>
      </c>
      <c r="C177" s="12" t="s">
        <v>65</v>
      </c>
      <c r="D177" s="12" t="s">
        <v>43</v>
      </c>
      <c r="E177" s="12" t="s">
        <v>717</v>
      </c>
      <c r="F177" s="13" t="s">
        <v>718</v>
      </c>
      <c r="G177" s="12" t="s">
        <v>68</v>
      </c>
      <c r="H177" s="12" t="s">
        <v>719</v>
      </c>
      <c r="I177" s="12" t="s">
        <v>720</v>
      </c>
      <c r="J177" s="17" t="s">
        <v>2169</v>
      </c>
      <c r="K177" s="18" t="s">
        <v>2170</v>
      </c>
      <c r="L177" s="20">
        <v>45855.0</v>
      </c>
      <c r="M177" s="17" t="s">
        <v>28</v>
      </c>
      <c r="N177" s="17" t="s">
        <v>2581</v>
      </c>
      <c r="P177" s="17" t="s">
        <v>2582</v>
      </c>
      <c r="Q177" s="17" t="s">
        <v>108</v>
      </c>
      <c r="R177" s="17" t="s">
        <v>2521</v>
      </c>
      <c r="S177" s="17" t="s">
        <v>2583</v>
      </c>
      <c r="U177" s="24"/>
      <c r="V177" s="24"/>
      <c r="W177" s="18" t="s">
        <v>638</v>
      </c>
    </row>
    <row r="178">
      <c r="A178" s="11"/>
      <c r="B178" s="12" t="s">
        <v>34</v>
      </c>
      <c r="C178" s="12" t="s">
        <v>65</v>
      </c>
      <c r="D178" s="12" t="s">
        <v>43</v>
      </c>
      <c r="E178" s="12" t="s">
        <v>717</v>
      </c>
      <c r="F178" s="13" t="s">
        <v>718</v>
      </c>
      <c r="G178" s="12" t="s">
        <v>68</v>
      </c>
      <c r="H178" s="12" t="s">
        <v>719</v>
      </c>
      <c r="I178" s="12" t="s">
        <v>720</v>
      </c>
      <c r="J178" s="17" t="s">
        <v>2169</v>
      </c>
      <c r="K178" s="18" t="s">
        <v>2170</v>
      </c>
      <c r="L178" s="20">
        <v>45855.0</v>
      </c>
      <c r="M178" s="17" t="s">
        <v>28</v>
      </c>
      <c r="N178" s="17" t="s">
        <v>2584</v>
      </c>
      <c r="O178" s="17">
        <v>7.211251E7</v>
      </c>
      <c r="P178" s="17" t="s">
        <v>2585</v>
      </c>
      <c r="Q178" s="17" t="s">
        <v>73</v>
      </c>
      <c r="R178" s="17" t="s">
        <v>2536</v>
      </c>
      <c r="S178" s="17" t="s">
        <v>2586</v>
      </c>
      <c r="U178" s="24"/>
      <c r="V178" s="24"/>
      <c r="W178" s="18" t="s">
        <v>638</v>
      </c>
    </row>
    <row r="179">
      <c r="A179" s="11"/>
      <c r="B179" s="12" t="s">
        <v>34</v>
      </c>
      <c r="C179" s="12" t="s">
        <v>65</v>
      </c>
      <c r="D179" s="12" t="s">
        <v>43</v>
      </c>
      <c r="E179" s="12" t="s">
        <v>717</v>
      </c>
      <c r="F179" s="13" t="s">
        <v>718</v>
      </c>
      <c r="G179" s="12" t="s">
        <v>68</v>
      </c>
      <c r="H179" s="12" t="s">
        <v>719</v>
      </c>
      <c r="I179" s="12" t="s">
        <v>720</v>
      </c>
      <c r="J179" s="17" t="s">
        <v>2169</v>
      </c>
      <c r="K179" s="18" t="s">
        <v>2170</v>
      </c>
      <c r="L179" s="20">
        <v>45855.0</v>
      </c>
      <c r="M179" s="17" t="s">
        <v>28</v>
      </c>
      <c r="N179" s="17" t="s">
        <v>2587</v>
      </c>
      <c r="O179" s="17">
        <v>7.2108896E7</v>
      </c>
      <c r="P179" s="17" t="s">
        <v>2588</v>
      </c>
      <c r="Q179" s="17" t="s">
        <v>73</v>
      </c>
      <c r="R179" s="17" t="s">
        <v>2536</v>
      </c>
      <c r="S179" s="17" t="s">
        <v>2589</v>
      </c>
      <c r="U179" s="24"/>
      <c r="V179" s="24"/>
      <c r="W179" s="18" t="s">
        <v>638</v>
      </c>
    </row>
    <row r="180">
      <c r="A180" s="11"/>
      <c r="B180" s="12" t="s">
        <v>34</v>
      </c>
      <c r="C180" s="12" t="s">
        <v>65</v>
      </c>
      <c r="D180" s="12" t="s">
        <v>43</v>
      </c>
      <c r="E180" s="12" t="s">
        <v>717</v>
      </c>
      <c r="F180" s="13" t="s">
        <v>718</v>
      </c>
      <c r="G180" s="12" t="s">
        <v>68</v>
      </c>
      <c r="H180" s="12" t="s">
        <v>719</v>
      </c>
      <c r="I180" s="12" t="s">
        <v>720</v>
      </c>
      <c r="J180" s="17" t="s">
        <v>2169</v>
      </c>
      <c r="K180" s="18" t="s">
        <v>2170</v>
      </c>
      <c r="L180" s="20">
        <v>45855.0</v>
      </c>
      <c r="M180" s="17" t="s">
        <v>28</v>
      </c>
      <c r="N180" s="17" t="s">
        <v>2590</v>
      </c>
      <c r="O180" s="17">
        <v>7.7075089E7</v>
      </c>
      <c r="P180" s="17" t="s">
        <v>2591</v>
      </c>
      <c r="Q180" s="17" t="s">
        <v>73</v>
      </c>
      <c r="R180" s="17" t="s">
        <v>2536</v>
      </c>
      <c r="S180" s="17" t="s">
        <v>2592</v>
      </c>
      <c r="U180" s="24"/>
      <c r="V180" s="24"/>
      <c r="W180" s="18" t="s">
        <v>638</v>
      </c>
    </row>
    <row r="181">
      <c r="A181" s="11"/>
      <c r="B181" s="12" t="s">
        <v>34</v>
      </c>
      <c r="C181" s="12" t="s">
        <v>65</v>
      </c>
      <c r="D181" s="12" t="s">
        <v>43</v>
      </c>
      <c r="E181" s="12" t="s">
        <v>717</v>
      </c>
      <c r="F181" s="13" t="s">
        <v>718</v>
      </c>
      <c r="G181" s="12" t="s">
        <v>68</v>
      </c>
      <c r="H181" s="12" t="s">
        <v>719</v>
      </c>
      <c r="I181" s="12" t="s">
        <v>720</v>
      </c>
      <c r="J181" s="17" t="s">
        <v>2169</v>
      </c>
      <c r="K181" s="18" t="s">
        <v>2170</v>
      </c>
      <c r="L181" s="20">
        <v>45855.0</v>
      </c>
      <c r="M181" s="17" t="s">
        <v>28</v>
      </c>
      <c r="N181" s="17" t="s">
        <v>2593</v>
      </c>
      <c r="P181" s="17" t="s">
        <v>2594</v>
      </c>
      <c r="Q181" s="17" t="s">
        <v>108</v>
      </c>
      <c r="R181" s="17" t="s">
        <v>2521</v>
      </c>
      <c r="S181" s="17" t="s">
        <v>2595</v>
      </c>
      <c r="U181" s="24"/>
      <c r="V181" s="24"/>
      <c r="W181" s="18" t="s">
        <v>638</v>
      </c>
    </row>
    <row r="182">
      <c r="A182" s="11"/>
      <c r="B182" s="12" t="s">
        <v>34</v>
      </c>
      <c r="C182" s="12" t="s">
        <v>65</v>
      </c>
      <c r="D182" s="12" t="s">
        <v>43</v>
      </c>
      <c r="E182" s="12" t="s">
        <v>717</v>
      </c>
      <c r="F182" s="13" t="s">
        <v>718</v>
      </c>
      <c r="G182" s="12" t="s">
        <v>68</v>
      </c>
      <c r="H182" s="12" t="s">
        <v>719</v>
      </c>
      <c r="I182" s="12" t="s">
        <v>720</v>
      </c>
      <c r="J182" s="17" t="s">
        <v>2169</v>
      </c>
      <c r="K182" s="18" t="s">
        <v>2170</v>
      </c>
      <c r="L182" s="20">
        <v>45855.0</v>
      </c>
      <c r="M182" s="17" t="s">
        <v>28</v>
      </c>
      <c r="N182" s="17" t="s">
        <v>2596</v>
      </c>
      <c r="O182" s="17">
        <v>4.2872395E7</v>
      </c>
      <c r="P182" s="17" t="s">
        <v>2597</v>
      </c>
      <c r="Q182" s="17" t="s">
        <v>73</v>
      </c>
      <c r="R182" s="17" t="s">
        <v>2536</v>
      </c>
      <c r="S182" s="17" t="s">
        <v>2598</v>
      </c>
      <c r="U182" s="24"/>
      <c r="V182" s="24"/>
      <c r="W182" s="18" t="s">
        <v>638</v>
      </c>
    </row>
    <row r="183">
      <c r="A183" s="11"/>
      <c r="B183" s="12" t="s">
        <v>34</v>
      </c>
      <c r="C183" s="12" t="s">
        <v>65</v>
      </c>
      <c r="D183" s="12" t="s">
        <v>43</v>
      </c>
      <c r="E183" s="12" t="s">
        <v>773</v>
      </c>
      <c r="F183" s="13" t="s">
        <v>774</v>
      </c>
      <c r="G183" s="12" t="s">
        <v>68</v>
      </c>
      <c r="H183" s="12" t="s">
        <v>775</v>
      </c>
      <c r="I183" s="12" t="s">
        <v>776</v>
      </c>
      <c r="J183" s="17" t="s">
        <v>2169</v>
      </c>
      <c r="K183" s="18" t="s">
        <v>2170</v>
      </c>
      <c r="L183" s="20">
        <v>45852.0</v>
      </c>
      <c r="M183" s="17" t="s">
        <v>28</v>
      </c>
      <c r="N183" s="17" t="s">
        <v>2599</v>
      </c>
      <c r="O183" s="17">
        <v>4.8010027E7</v>
      </c>
      <c r="P183" s="17" t="s">
        <v>2600</v>
      </c>
      <c r="Q183" s="17" t="s">
        <v>73</v>
      </c>
      <c r="R183" s="17" t="s">
        <v>74</v>
      </c>
      <c r="S183" s="17" t="s">
        <v>2601</v>
      </c>
      <c r="U183" s="24"/>
      <c r="V183" s="24"/>
      <c r="W183" s="18" t="s">
        <v>638</v>
      </c>
    </row>
    <row r="184">
      <c r="A184" s="11"/>
      <c r="B184" s="12" t="s">
        <v>34</v>
      </c>
      <c r="C184" s="12" t="s">
        <v>65</v>
      </c>
      <c r="D184" s="12" t="s">
        <v>43</v>
      </c>
      <c r="E184" s="12" t="s">
        <v>773</v>
      </c>
      <c r="F184" s="13" t="s">
        <v>774</v>
      </c>
      <c r="G184" s="12" t="s">
        <v>68</v>
      </c>
      <c r="H184" s="12" t="s">
        <v>775</v>
      </c>
      <c r="I184" s="12" t="s">
        <v>776</v>
      </c>
      <c r="J184" s="17" t="s">
        <v>2169</v>
      </c>
      <c r="K184" s="18" t="s">
        <v>2170</v>
      </c>
      <c r="L184" s="20">
        <v>45852.0</v>
      </c>
      <c r="M184" s="17" t="s">
        <v>28</v>
      </c>
      <c r="N184" s="17" t="s">
        <v>2602</v>
      </c>
      <c r="P184" s="17" t="s">
        <v>2603</v>
      </c>
      <c r="Q184" s="17" t="s">
        <v>108</v>
      </c>
      <c r="R184" s="17" t="s">
        <v>2604</v>
      </c>
      <c r="S184" s="17" t="s">
        <v>2605</v>
      </c>
      <c r="U184" s="24"/>
      <c r="V184" s="24"/>
      <c r="W184" s="18" t="s">
        <v>638</v>
      </c>
    </row>
    <row r="185">
      <c r="A185" s="11"/>
      <c r="B185" s="12" t="s">
        <v>34</v>
      </c>
      <c r="C185" s="12" t="s">
        <v>65</v>
      </c>
      <c r="D185" s="12" t="s">
        <v>43</v>
      </c>
      <c r="E185" s="12" t="s">
        <v>773</v>
      </c>
      <c r="F185" s="13" t="s">
        <v>774</v>
      </c>
      <c r="G185" s="12" t="s">
        <v>68</v>
      </c>
      <c r="H185" s="12" t="s">
        <v>775</v>
      </c>
      <c r="I185" s="12" t="s">
        <v>776</v>
      </c>
      <c r="J185" s="17" t="s">
        <v>2169</v>
      </c>
      <c r="K185" s="18" t="s">
        <v>2170</v>
      </c>
      <c r="L185" s="20">
        <v>45852.0</v>
      </c>
      <c r="M185" s="17" t="s">
        <v>28</v>
      </c>
      <c r="N185" s="17" t="s">
        <v>2606</v>
      </c>
      <c r="O185" s="17">
        <v>7.4398753E7</v>
      </c>
      <c r="P185" s="17" t="s">
        <v>2607</v>
      </c>
      <c r="Q185" s="17" t="s">
        <v>108</v>
      </c>
      <c r="R185" s="17" t="s">
        <v>2604</v>
      </c>
      <c r="S185" s="17" t="s">
        <v>2608</v>
      </c>
      <c r="U185" s="24"/>
      <c r="V185" s="24"/>
      <c r="W185" s="18" t="s">
        <v>638</v>
      </c>
    </row>
    <row r="186">
      <c r="A186" s="11"/>
      <c r="B186" s="12" t="s">
        <v>34</v>
      </c>
      <c r="C186" s="12" t="s">
        <v>65</v>
      </c>
      <c r="D186" s="12" t="s">
        <v>43</v>
      </c>
      <c r="E186" s="12" t="s">
        <v>773</v>
      </c>
      <c r="F186" s="13" t="s">
        <v>774</v>
      </c>
      <c r="G186" s="12" t="s">
        <v>68</v>
      </c>
      <c r="H186" s="12" t="s">
        <v>775</v>
      </c>
      <c r="I186" s="12" t="s">
        <v>776</v>
      </c>
      <c r="J186" s="17" t="s">
        <v>2169</v>
      </c>
      <c r="K186" s="18" t="s">
        <v>2170</v>
      </c>
      <c r="L186" s="20">
        <v>45852.0</v>
      </c>
      <c r="M186" s="17" t="s">
        <v>28</v>
      </c>
      <c r="N186" s="17" t="s">
        <v>2609</v>
      </c>
      <c r="O186" s="17">
        <v>7.1000156E7</v>
      </c>
      <c r="P186" s="17" t="s">
        <v>2610</v>
      </c>
      <c r="Q186" s="17" t="s">
        <v>108</v>
      </c>
      <c r="R186" s="17" t="s">
        <v>2604</v>
      </c>
      <c r="S186" s="17" t="s">
        <v>2611</v>
      </c>
      <c r="U186" s="24"/>
      <c r="V186" s="24"/>
      <c r="W186" s="18" t="s">
        <v>638</v>
      </c>
    </row>
    <row r="187">
      <c r="A187" s="11"/>
      <c r="B187" s="12" t="s">
        <v>34</v>
      </c>
      <c r="C187" s="12" t="s">
        <v>65</v>
      </c>
      <c r="D187" s="12" t="s">
        <v>43</v>
      </c>
      <c r="E187" s="12" t="s">
        <v>773</v>
      </c>
      <c r="F187" s="13" t="s">
        <v>774</v>
      </c>
      <c r="G187" s="12" t="s">
        <v>68</v>
      </c>
      <c r="H187" s="12" t="s">
        <v>775</v>
      </c>
      <c r="I187" s="12" t="s">
        <v>776</v>
      </c>
      <c r="J187" s="17" t="s">
        <v>2169</v>
      </c>
      <c r="K187" s="18" t="s">
        <v>2170</v>
      </c>
      <c r="L187" s="20">
        <v>45852.0</v>
      </c>
      <c r="M187" s="17" t="s">
        <v>28</v>
      </c>
      <c r="N187" s="17" t="s">
        <v>2612</v>
      </c>
      <c r="O187" s="17">
        <v>7.1016949E7</v>
      </c>
      <c r="P187" s="17" t="s">
        <v>2613</v>
      </c>
      <c r="Q187" s="17" t="s">
        <v>73</v>
      </c>
      <c r="R187" s="17" t="s">
        <v>74</v>
      </c>
      <c r="S187" s="17" t="s">
        <v>2614</v>
      </c>
      <c r="U187" s="24"/>
      <c r="V187" s="24"/>
      <c r="W187" s="18" t="s">
        <v>638</v>
      </c>
    </row>
    <row r="188">
      <c r="A188" s="11"/>
      <c r="B188" s="12" t="s">
        <v>34</v>
      </c>
      <c r="C188" s="12" t="s">
        <v>65</v>
      </c>
      <c r="D188" s="12" t="s">
        <v>43</v>
      </c>
      <c r="E188" s="12" t="s">
        <v>773</v>
      </c>
      <c r="F188" s="13" t="s">
        <v>774</v>
      </c>
      <c r="G188" s="12" t="s">
        <v>68</v>
      </c>
      <c r="H188" s="12" t="s">
        <v>775</v>
      </c>
      <c r="I188" s="12" t="s">
        <v>776</v>
      </c>
      <c r="J188" s="17" t="s">
        <v>2169</v>
      </c>
      <c r="K188" s="18" t="s">
        <v>2170</v>
      </c>
      <c r="L188" s="20">
        <v>45852.0</v>
      </c>
      <c r="M188" s="17" t="s">
        <v>28</v>
      </c>
      <c r="N188" s="17" t="s">
        <v>2615</v>
      </c>
      <c r="O188" s="17">
        <v>4.2868544E7</v>
      </c>
      <c r="P188" s="17" t="s">
        <v>2616</v>
      </c>
      <c r="Q188" s="17" t="s">
        <v>112</v>
      </c>
      <c r="R188" s="17" t="s">
        <v>109</v>
      </c>
      <c r="S188" s="17" t="s">
        <v>2617</v>
      </c>
      <c r="U188" s="24"/>
      <c r="V188" s="24"/>
      <c r="W188" s="18" t="s">
        <v>638</v>
      </c>
    </row>
    <row r="189">
      <c r="A189" s="11"/>
      <c r="B189" s="12" t="s">
        <v>34</v>
      </c>
      <c r="C189" s="12" t="s">
        <v>65</v>
      </c>
      <c r="D189" s="12" t="s">
        <v>43</v>
      </c>
      <c r="E189" s="12" t="s">
        <v>773</v>
      </c>
      <c r="F189" s="13" t="s">
        <v>774</v>
      </c>
      <c r="G189" s="12" t="s">
        <v>68</v>
      </c>
      <c r="H189" s="12" t="s">
        <v>775</v>
      </c>
      <c r="I189" s="12" t="s">
        <v>776</v>
      </c>
      <c r="J189" s="17" t="s">
        <v>2169</v>
      </c>
      <c r="K189" s="18" t="s">
        <v>2170</v>
      </c>
      <c r="L189" s="20">
        <v>45852.0</v>
      </c>
      <c r="M189" s="17" t="s">
        <v>28</v>
      </c>
      <c r="N189" s="17" t="s">
        <v>2618</v>
      </c>
      <c r="O189" s="17">
        <v>7.6731148E7</v>
      </c>
      <c r="P189" s="17" t="s">
        <v>2619</v>
      </c>
      <c r="Q189" s="17" t="s">
        <v>108</v>
      </c>
      <c r="R189" s="17" t="s">
        <v>109</v>
      </c>
      <c r="S189" s="17" t="s">
        <v>2620</v>
      </c>
      <c r="U189" s="24"/>
      <c r="V189" s="24"/>
      <c r="W189" s="18" t="s">
        <v>638</v>
      </c>
    </row>
    <row r="190">
      <c r="A190" s="11"/>
      <c r="B190" s="12" t="s">
        <v>34</v>
      </c>
      <c r="C190" s="12" t="s">
        <v>65</v>
      </c>
      <c r="D190" s="12" t="s">
        <v>43</v>
      </c>
      <c r="E190" s="12" t="s">
        <v>773</v>
      </c>
      <c r="F190" s="13" t="s">
        <v>774</v>
      </c>
      <c r="G190" s="12" t="s">
        <v>68</v>
      </c>
      <c r="H190" s="12" t="s">
        <v>775</v>
      </c>
      <c r="I190" s="12" t="s">
        <v>776</v>
      </c>
      <c r="J190" s="17" t="s">
        <v>2169</v>
      </c>
      <c r="K190" s="18" t="s">
        <v>2170</v>
      </c>
      <c r="L190" s="20">
        <v>45852.0</v>
      </c>
      <c r="M190" s="17" t="s">
        <v>28</v>
      </c>
      <c r="N190" s="17" t="s">
        <v>2621</v>
      </c>
      <c r="O190" s="17">
        <v>7.3392781E7</v>
      </c>
      <c r="P190" s="17" t="s">
        <v>2622</v>
      </c>
      <c r="Q190" s="17" t="s">
        <v>108</v>
      </c>
      <c r="R190" s="17" t="s">
        <v>2623</v>
      </c>
      <c r="S190" s="17" t="s">
        <v>2624</v>
      </c>
      <c r="U190" s="24"/>
      <c r="V190" s="24"/>
      <c r="W190" s="18" t="s">
        <v>638</v>
      </c>
    </row>
    <row r="191">
      <c r="A191" s="11"/>
      <c r="B191" s="12" t="s">
        <v>34</v>
      </c>
      <c r="C191" s="12" t="s">
        <v>65</v>
      </c>
      <c r="D191" s="12" t="s">
        <v>43</v>
      </c>
      <c r="E191" s="12" t="s">
        <v>773</v>
      </c>
      <c r="F191" s="13" t="s">
        <v>774</v>
      </c>
      <c r="G191" s="12" t="s">
        <v>68</v>
      </c>
      <c r="H191" s="12" t="s">
        <v>775</v>
      </c>
      <c r="I191" s="12" t="s">
        <v>776</v>
      </c>
      <c r="J191" s="17" t="s">
        <v>2169</v>
      </c>
      <c r="K191" s="18" t="s">
        <v>2170</v>
      </c>
      <c r="L191" s="20">
        <v>45852.0</v>
      </c>
      <c r="M191" s="17" t="s">
        <v>28</v>
      </c>
      <c r="N191" s="17" t="s">
        <v>2625</v>
      </c>
      <c r="O191" s="17">
        <v>7.2959698E7</v>
      </c>
      <c r="P191" s="17" t="s">
        <v>2626</v>
      </c>
      <c r="Q191" s="17" t="s">
        <v>112</v>
      </c>
      <c r="R191" s="17" t="s">
        <v>2627</v>
      </c>
      <c r="S191" s="17" t="s">
        <v>2628</v>
      </c>
      <c r="U191" s="24"/>
      <c r="V191" s="24"/>
      <c r="W191" s="18" t="s">
        <v>638</v>
      </c>
    </row>
    <row r="192">
      <c r="A192" s="11"/>
      <c r="B192" s="12" t="s">
        <v>34</v>
      </c>
      <c r="C192" s="12" t="s">
        <v>65</v>
      </c>
      <c r="D192" s="12" t="s">
        <v>43</v>
      </c>
      <c r="E192" s="12" t="s">
        <v>773</v>
      </c>
      <c r="F192" s="13" t="s">
        <v>774</v>
      </c>
      <c r="G192" s="12" t="s">
        <v>68</v>
      </c>
      <c r="H192" s="12" t="s">
        <v>775</v>
      </c>
      <c r="I192" s="12" t="s">
        <v>776</v>
      </c>
      <c r="J192" s="17" t="s">
        <v>2169</v>
      </c>
      <c r="K192" s="18" t="s">
        <v>2170</v>
      </c>
      <c r="L192" s="20">
        <v>45852.0</v>
      </c>
      <c r="M192" s="17" t="s">
        <v>28</v>
      </c>
      <c r="N192" s="17" t="s">
        <v>2629</v>
      </c>
      <c r="O192" s="17">
        <v>4.7473337E7</v>
      </c>
      <c r="P192" s="17" t="s">
        <v>2630</v>
      </c>
      <c r="Q192" s="17" t="s">
        <v>108</v>
      </c>
      <c r="R192" s="17" t="s">
        <v>113</v>
      </c>
      <c r="S192" s="17" t="s">
        <v>2631</v>
      </c>
      <c r="U192" s="24"/>
      <c r="V192" s="24"/>
      <c r="W192" s="18" t="s">
        <v>638</v>
      </c>
    </row>
    <row r="193">
      <c r="A193" s="11"/>
      <c r="B193" s="12" t="s">
        <v>34</v>
      </c>
      <c r="C193" s="12" t="s">
        <v>65</v>
      </c>
      <c r="D193" s="12" t="s">
        <v>43</v>
      </c>
      <c r="E193" s="12" t="s">
        <v>773</v>
      </c>
      <c r="F193" s="13" t="s">
        <v>774</v>
      </c>
      <c r="G193" s="12" t="s">
        <v>68</v>
      </c>
      <c r="H193" s="12" t="s">
        <v>775</v>
      </c>
      <c r="I193" s="12" t="s">
        <v>776</v>
      </c>
      <c r="J193" s="17" t="s">
        <v>2169</v>
      </c>
      <c r="K193" s="18" t="s">
        <v>2170</v>
      </c>
      <c r="L193" s="20">
        <v>45852.0</v>
      </c>
      <c r="M193" s="17" t="s">
        <v>28</v>
      </c>
      <c r="N193" s="17" t="s">
        <v>2632</v>
      </c>
      <c r="O193" s="17">
        <v>7.6378338E7</v>
      </c>
      <c r="P193" s="17" t="s">
        <v>2633</v>
      </c>
      <c r="Q193" s="17" t="s">
        <v>73</v>
      </c>
      <c r="R193" s="17" t="s">
        <v>74</v>
      </c>
      <c r="S193" s="17" t="s">
        <v>2634</v>
      </c>
      <c r="U193" s="24"/>
      <c r="V193" s="24"/>
      <c r="W193" s="18" t="s">
        <v>638</v>
      </c>
    </row>
    <row r="194">
      <c r="A194" s="11"/>
      <c r="B194" s="12" t="s">
        <v>34</v>
      </c>
      <c r="C194" s="12" t="s">
        <v>65</v>
      </c>
      <c r="D194" s="12" t="s">
        <v>43</v>
      </c>
      <c r="E194" s="12" t="s">
        <v>773</v>
      </c>
      <c r="F194" s="13" t="s">
        <v>774</v>
      </c>
      <c r="G194" s="12" t="s">
        <v>68</v>
      </c>
      <c r="H194" s="12" t="s">
        <v>775</v>
      </c>
      <c r="I194" s="12" t="s">
        <v>776</v>
      </c>
      <c r="J194" s="17" t="s">
        <v>2169</v>
      </c>
      <c r="K194" s="18" t="s">
        <v>2170</v>
      </c>
      <c r="L194" s="20">
        <v>45852.0</v>
      </c>
      <c r="M194" s="17" t="s">
        <v>28</v>
      </c>
      <c r="N194" s="17" t="s">
        <v>2635</v>
      </c>
      <c r="O194" s="17">
        <v>6.0392387E7</v>
      </c>
      <c r="P194" s="17" t="s">
        <v>2636</v>
      </c>
      <c r="Q194" s="17" t="s">
        <v>73</v>
      </c>
      <c r="R194" s="17" t="s">
        <v>74</v>
      </c>
      <c r="S194" s="17" t="s">
        <v>2637</v>
      </c>
      <c r="U194" s="24"/>
      <c r="V194" s="24"/>
      <c r="W194" s="18" t="s">
        <v>638</v>
      </c>
    </row>
    <row r="195">
      <c r="A195" s="11"/>
      <c r="B195" s="12" t="s">
        <v>34</v>
      </c>
      <c r="C195" s="12" t="s">
        <v>65</v>
      </c>
      <c r="D195" s="12" t="s">
        <v>102</v>
      </c>
      <c r="E195" s="12" t="s">
        <v>455</v>
      </c>
      <c r="F195" s="13" t="s">
        <v>456</v>
      </c>
      <c r="G195" s="12" t="s">
        <v>68</v>
      </c>
      <c r="H195" s="12" t="s">
        <v>457</v>
      </c>
      <c r="I195" s="12" t="s">
        <v>458</v>
      </c>
      <c r="J195" s="17" t="s">
        <v>2169</v>
      </c>
      <c r="K195" s="18" t="s">
        <v>2170</v>
      </c>
      <c r="L195" s="20">
        <v>45854.0</v>
      </c>
      <c r="M195" s="17" t="s">
        <v>28</v>
      </c>
      <c r="N195" s="17" t="s">
        <v>2638</v>
      </c>
      <c r="O195" s="17">
        <v>4.7513467E7</v>
      </c>
      <c r="P195" s="17" t="s">
        <v>2639</v>
      </c>
      <c r="Q195" s="17" t="s">
        <v>108</v>
      </c>
      <c r="R195" s="17" t="s">
        <v>109</v>
      </c>
      <c r="S195" s="17" t="s">
        <v>2640</v>
      </c>
      <c r="U195" s="24"/>
      <c r="V195" s="24"/>
      <c r="W195" s="18" t="s">
        <v>92</v>
      </c>
    </row>
    <row r="196">
      <c r="A196" s="11"/>
      <c r="B196" s="12" t="s">
        <v>34</v>
      </c>
      <c r="C196" s="12" t="s">
        <v>65</v>
      </c>
      <c r="D196" s="12" t="s">
        <v>102</v>
      </c>
      <c r="E196" s="12" t="s">
        <v>455</v>
      </c>
      <c r="F196" s="13" t="s">
        <v>456</v>
      </c>
      <c r="G196" s="12" t="s">
        <v>68</v>
      </c>
      <c r="H196" s="12" t="s">
        <v>457</v>
      </c>
      <c r="I196" s="12" t="s">
        <v>458</v>
      </c>
      <c r="J196" s="17" t="s">
        <v>2169</v>
      </c>
      <c r="K196" s="18" t="s">
        <v>2170</v>
      </c>
      <c r="L196" s="20">
        <v>45854.0</v>
      </c>
      <c r="M196" s="17" t="s">
        <v>28</v>
      </c>
      <c r="N196" s="17" t="s">
        <v>2641</v>
      </c>
      <c r="O196" s="17">
        <v>4.6593719E7</v>
      </c>
      <c r="P196" s="17" t="s">
        <v>1620</v>
      </c>
      <c r="Q196" s="17" t="s">
        <v>108</v>
      </c>
      <c r="R196" s="17" t="s">
        <v>109</v>
      </c>
      <c r="S196" s="17" t="s">
        <v>2642</v>
      </c>
      <c r="U196" s="24"/>
      <c r="V196" s="24"/>
      <c r="W196" s="18" t="s">
        <v>92</v>
      </c>
    </row>
    <row r="197">
      <c r="A197" s="11"/>
      <c r="B197" s="12" t="s">
        <v>34</v>
      </c>
      <c r="C197" s="12" t="s">
        <v>65</v>
      </c>
      <c r="D197" s="12" t="s">
        <v>102</v>
      </c>
      <c r="E197" s="12" t="s">
        <v>455</v>
      </c>
      <c r="F197" s="13" t="s">
        <v>456</v>
      </c>
      <c r="G197" s="12" t="s">
        <v>68</v>
      </c>
      <c r="H197" s="12" t="s">
        <v>457</v>
      </c>
      <c r="I197" s="12" t="s">
        <v>458</v>
      </c>
      <c r="J197" s="17" t="s">
        <v>2169</v>
      </c>
      <c r="K197" s="18" t="s">
        <v>2170</v>
      </c>
      <c r="L197" s="20">
        <v>45854.0</v>
      </c>
      <c r="M197" s="17" t="s">
        <v>28</v>
      </c>
      <c r="N197" s="17" t="s">
        <v>2643</v>
      </c>
      <c r="O197" s="17">
        <v>4.5281911E7</v>
      </c>
      <c r="P197" s="17" t="s">
        <v>2644</v>
      </c>
      <c r="Q197" s="17" t="s">
        <v>108</v>
      </c>
      <c r="R197" s="17" t="s">
        <v>109</v>
      </c>
      <c r="S197" s="17" t="s">
        <v>2645</v>
      </c>
      <c r="U197" s="24"/>
      <c r="V197" s="24"/>
      <c r="W197" s="18" t="s">
        <v>92</v>
      </c>
    </row>
    <row r="198">
      <c r="A198" s="11"/>
      <c r="B198" s="12" t="s">
        <v>34</v>
      </c>
      <c r="C198" s="12" t="s">
        <v>65</v>
      </c>
      <c r="D198" s="12" t="s">
        <v>102</v>
      </c>
      <c r="E198" s="12" t="s">
        <v>455</v>
      </c>
      <c r="F198" s="13" t="s">
        <v>456</v>
      </c>
      <c r="G198" s="12" t="s">
        <v>68</v>
      </c>
      <c r="H198" s="12" t="s">
        <v>457</v>
      </c>
      <c r="I198" s="12" t="s">
        <v>458</v>
      </c>
      <c r="J198" s="17" t="s">
        <v>2169</v>
      </c>
      <c r="K198" s="18" t="s">
        <v>2170</v>
      </c>
      <c r="L198" s="20">
        <v>45854.0</v>
      </c>
      <c r="M198" s="17" t="s">
        <v>28</v>
      </c>
      <c r="N198" s="17" t="s">
        <v>2646</v>
      </c>
      <c r="O198" s="17">
        <v>7.6744207E7</v>
      </c>
      <c r="P198" s="17" t="s">
        <v>2647</v>
      </c>
      <c r="Q198" s="17" t="s">
        <v>112</v>
      </c>
      <c r="R198" s="17" t="s">
        <v>113</v>
      </c>
      <c r="S198" s="17" t="s">
        <v>2648</v>
      </c>
      <c r="U198" s="24"/>
      <c r="V198" s="24"/>
      <c r="W198" s="18" t="s">
        <v>92</v>
      </c>
    </row>
    <row r="199">
      <c r="A199" s="11"/>
      <c r="B199" s="12" t="s">
        <v>34</v>
      </c>
      <c r="C199" s="12" t="s">
        <v>65</v>
      </c>
      <c r="D199" s="12" t="s">
        <v>102</v>
      </c>
      <c r="E199" s="12" t="s">
        <v>455</v>
      </c>
      <c r="F199" s="13" t="s">
        <v>456</v>
      </c>
      <c r="G199" s="12" t="s">
        <v>68</v>
      </c>
      <c r="H199" s="12" t="s">
        <v>457</v>
      </c>
      <c r="I199" s="12" t="s">
        <v>458</v>
      </c>
      <c r="J199" s="17" t="s">
        <v>2169</v>
      </c>
      <c r="K199" s="18" t="s">
        <v>2170</v>
      </c>
      <c r="L199" s="20">
        <v>45854.0</v>
      </c>
      <c r="M199" s="17" t="s">
        <v>28</v>
      </c>
      <c r="N199" s="17" t="s">
        <v>2649</v>
      </c>
      <c r="O199" s="17">
        <v>4.7126321E7</v>
      </c>
      <c r="P199" s="17" t="s">
        <v>2650</v>
      </c>
      <c r="Q199" s="17" t="s">
        <v>108</v>
      </c>
      <c r="R199" s="17" t="s">
        <v>109</v>
      </c>
      <c r="S199" s="17" t="s">
        <v>2651</v>
      </c>
      <c r="U199" s="24"/>
      <c r="V199" s="24"/>
      <c r="W199" s="18" t="s">
        <v>92</v>
      </c>
    </row>
    <row r="200">
      <c r="A200" s="11"/>
      <c r="B200" s="12" t="s">
        <v>34</v>
      </c>
      <c r="C200" s="12" t="s">
        <v>65</v>
      </c>
      <c r="D200" s="12" t="s">
        <v>102</v>
      </c>
      <c r="E200" s="12" t="s">
        <v>455</v>
      </c>
      <c r="F200" s="13" t="s">
        <v>456</v>
      </c>
      <c r="G200" s="12" t="s">
        <v>68</v>
      </c>
      <c r="H200" s="12" t="s">
        <v>457</v>
      </c>
      <c r="I200" s="12" t="s">
        <v>458</v>
      </c>
      <c r="J200" s="17" t="s">
        <v>2169</v>
      </c>
      <c r="K200" s="18" t="s">
        <v>2170</v>
      </c>
      <c r="L200" s="20">
        <v>45854.0</v>
      </c>
      <c r="M200" s="17" t="s">
        <v>28</v>
      </c>
      <c r="N200" s="17" t="s">
        <v>2652</v>
      </c>
      <c r="O200" s="17">
        <v>7.3322788E7</v>
      </c>
      <c r="P200" s="17" t="s">
        <v>2653</v>
      </c>
      <c r="Q200" s="17" t="s">
        <v>108</v>
      </c>
      <c r="R200" s="17" t="s">
        <v>109</v>
      </c>
      <c r="S200" s="17" t="s">
        <v>2654</v>
      </c>
      <c r="U200" s="24"/>
      <c r="V200" s="24"/>
      <c r="W200" s="18" t="s">
        <v>92</v>
      </c>
    </row>
    <row r="201">
      <c r="A201" s="11"/>
      <c r="B201" s="12" t="s">
        <v>34</v>
      </c>
      <c r="C201" s="12" t="s">
        <v>65</v>
      </c>
      <c r="D201" s="12" t="s">
        <v>102</v>
      </c>
      <c r="E201" s="12" t="s">
        <v>455</v>
      </c>
      <c r="F201" s="13" t="s">
        <v>456</v>
      </c>
      <c r="G201" s="12" t="s">
        <v>68</v>
      </c>
      <c r="H201" s="12" t="s">
        <v>457</v>
      </c>
      <c r="I201" s="12" t="s">
        <v>458</v>
      </c>
      <c r="J201" s="17" t="s">
        <v>2169</v>
      </c>
      <c r="K201" s="18" t="s">
        <v>2170</v>
      </c>
      <c r="L201" s="20">
        <v>45854.0</v>
      </c>
      <c r="M201" s="17" t="s">
        <v>28</v>
      </c>
      <c r="N201" s="17" t="s">
        <v>2655</v>
      </c>
      <c r="O201" s="17">
        <v>4.4060491E7</v>
      </c>
      <c r="P201" s="17" t="s">
        <v>2656</v>
      </c>
      <c r="Q201" s="17" t="s">
        <v>108</v>
      </c>
      <c r="R201" s="17" t="s">
        <v>109</v>
      </c>
      <c r="S201" s="17" t="s">
        <v>2657</v>
      </c>
      <c r="U201" s="24"/>
      <c r="V201" s="24"/>
      <c r="W201" s="18" t="s">
        <v>92</v>
      </c>
    </row>
    <row r="202">
      <c r="A202" s="11"/>
      <c r="B202" s="12" t="s">
        <v>34</v>
      </c>
      <c r="C202" s="12" t="s">
        <v>65</v>
      </c>
      <c r="D202" s="12" t="s">
        <v>102</v>
      </c>
      <c r="E202" s="12" t="s">
        <v>455</v>
      </c>
      <c r="F202" s="13" t="s">
        <v>456</v>
      </c>
      <c r="G202" s="12" t="s">
        <v>68</v>
      </c>
      <c r="H202" s="12" t="s">
        <v>457</v>
      </c>
      <c r="I202" s="12" t="s">
        <v>458</v>
      </c>
      <c r="J202" s="17" t="s">
        <v>2169</v>
      </c>
      <c r="K202" s="18" t="s">
        <v>2170</v>
      </c>
      <c r="L202" s="20">
        <v>45854.0</v>
      </c>
      <c r="M202" s="17" t="s">
        <v>28</v>
      </c>
      <c r="N202" s="17" t="s">
        <v>2658</v>
      </c>
      <c r="O202" s="17">
        <v>7.34164E7</v>
      </c>
      <c r="P202" s="17" t="s">
        <v>2659</v>
      </c>
      <c r="Q202" s="17" t="s">
        <v>112</v>
      </c>
      <c r="R202" s="17" t="s">
        <v>113</v>
      </c>
      <c r="S202" s="17" t="s">
        <v>2660</v>
      </c>
      <c r="U202" s="24"/>
      <c r="V202" s="24"/>
      <c r="W202" s="18" t="s">
        <v>92</v>
      </c>
    </row>
    <row r="203">
      <c r="A203" s="11"/>
      <c r="B203" s="12" t="s">
        <v>34</v>
      </c>
      <c r="C203" s="12" t="s">
        <v>65</v>
      </c>
      <c r="D203" s="12" t="s">
        <v>102</v>
      </c>
      <c r="E203" s="12" t="s">
        <v>455</v>
      </c>
      <c r="F203" s="13" t="s">
        <v>456</v>
      </c>
      <c r="G203" s="12" t="s">
        <v>68</v>
      </c>
      <c r="H203" s="12" t="s">
        <v>457</v>
      </c>
      <c r="I203" s="12" t="s">
        <v>458</v>
      </c>
      <c r="J203" s="17" t="s">
        <v>2169</v>
      </c>
      <c r="K203" s="18" t="s">
        <v>2170</v>
      </c>
      <c r="L203" s="20">
        <v>45854.0</v>
      </c>
      <c r="M203" s="17" t="s">
        <v>28</v>
      </c>
      <c r="N203" s="17" t="s">
        <v>2661</v>
      </c>
      <c r="O203" s="17">
        <v>4.372149E7</v>
      </c>
      <c r="P203" s="17" t="s">
        <v>2662</v>
      </c>
      <c r="Q203" s="17" t="s">
        <v>73</v>
      </c>
      <c r="R203" s="17" t="s">
        <v>74</v>
      </c>
      <c r="S203" s="17" t="s">
        <v>2663</v>
      </c>
      <c r="U203" s="24"/>
      <c r="V203" s="24"/>
      <c r="W203" s="18" t="s">
        <v>92</v>
      </c>
    </row>
    <row r="204">
      <c r="A204" s="11"/>
      <c r="B204" s="12" t="s">
        <v>34</v>
      </c>
      <c r="C204" s="12" t="s">
        <v>65</v>
      </c>
      <c r="D204" s="12" t="s">
        <v>102</v>
      </c>
      <c r="E204" s="12" t="s">
        <v>455</v>
      </c>
      <c r="F204" s="13" t="s">
        <v>456</v>
      </c>
      <c r="G204" s="12" t="s">
        <v>68</v>
      </c>
      <c r="H204" s="12" t="s">
        <v>457</v>
      </c>
      <c r="I204" s="12" t="s">
        <v>458</v>
      </c>
      <c r="J204" s="17" t="s">
        <v>2169</v>
      </c>
      <c r="K204" s="18" t="s">
        <v>2170</v>
      </c>
      <c r="L204" s="20">
        <v>45854.0</v>
      </c>
      <c r="M204" s="17" t="s">
        <v>28</v>
      </c>
      <c r="N204" s="17" t="s">
        <v>2664</v>
      </c>
      <c r="O204" s="17">
        <v>7.3864223E7</v>
      </c>
      <c r="P204" s="17" t="s">
        <v>2665</v>
      </c>
      <c r="Q204" s="17" t="s">
        <v>112</v>
      </c>
      <c r="R204" s="17" t="s">
        <v>113</v>
      </c>
      <c r="S204" s="17" t="s">
        <v>2666</v>
      </c>
      <c r="U204" s="24"/>
      <c r="V204" s="24"/>
      <c r="W204" s="18" t="s">
        <v>92</v>
      </c>
    </row>
    <row r="205">
      <c r="A205" s="11"/>
      <c r="B205" s="12" t="s">
        <v>34</v>
      </c>
      <c r="C205" s="12" t="s">
        <v>65</v>
      </c>
      <c r="D205" s="12" t="s">
        <v>102</v>
      </c>
      <c r="E205" s="12" t="s">
        <v>455</v>
      </c>
      <c r="F205" s="13" t="s">
        <v>456</v>
      </c>
      <c r="G205" s="12" t="s">
        <v>68</v>
      </c>
      <c r="H205" s="12" t="s">
        <v>457</v>
      </c>
      <c r="I205" s="12" t="s">
        <v>458</v>
      </c>
      <c r="J205" s="17" t="s">
        <v>2169</v>
      </c>
      <c r="K205" s="18" t="s">
        <v>2170</v>
      </c>
      <c r="L205" s="20">
        <v>45854.0</v>
      </c>
      <c r="M205" s="17" t="s">
        <v>28</v>
      </c>
      <c r="N205" s="17" t="s">
        <v>2667</v>
      </c>
      <c r="O205" s="17">
        <v>7.389032E7</v>
      </c>
      <c r="P205" s="17" t="s">
        <v>1632</v>
      </c>
      <c r="Q205" s="17" t="s">
        <v>73</v>
      </c>
      <c r="R205" s="17" t="s">
        <v>74</v>
      </c>
      <c r="S205" s="17" t="s">
        <v>2668</v>
      </c>
      <c r="U205" s="24"/>
      <c r="V205" s="24"/>
      <c r="W205" s="18" t="s">
        <v>92</v>
      </c>
    </row>
    <row r="206">
      <c r="A206" s="11"/>
      <c r="B206" s="12" t="s">
        <v>34</v>
      </c>
      <c r="C206" s="12" t="s">
        <v>65</v>
      </c>
      <c r="D206" s="12" t="s">
        <v>102</v>
      </c>
      <c r="E206" s="12" t="s">
        <v>455</v>
      </c>
      <c r="F206" s="13" t="s">
        <v>456</v>
      </c>
      <c r="G206" s="12" t="s">
        <v>68</v>
      </c>
      <c r="H206" s="12" t="s">
        <v>457</v>
      </c>
      <c r="I206" s="12" t="s">
        <v>458</v>
      </c>
      <c r="J206" s="17" t="s">
        <v>2169</v>
      </c>
      <c r="K206" s="18" t="s">
        <v>2170</v>
      </c>
      <c r="L206" s="20">
        <v>45854.0</v>
      </c>
      <c r="M206" s="17" t="s">
        <v>28</v>
      </c>
      <c r="N206" s="17" t="s">
        <v>2669</v>
      </c>
      <c r="O206" s="17">
        <v>4.5773532E7</v>
      </c>
      <c r="P206" s="17" t="s">
        <v>1622</v>
      </c>
      <c r="Q206" s="17" t="s">
        <v>112</v>
      </c>
      <c r="R206" s="17" t="s">
        <v>113</v>
      </c>
      <c r="S206" s="17" t="s">
        <v>2670</v>
      </c>
      <c r="U206" s="24"/>
      <c r="V206" s="24"/>
      <c r="W206" s="18" t="s">
        <v>92</v>
      </c>
    </row>
    <row r="207">
      <c r="A207" s="11"/>
      <c r="B207" s="12" t="s">
        <v>34</v>
      </c>
      <c r="C207" s="12" t="s">
        <v>65</v>
      </c>
      <c r="D207" s="12" t="s">
        <v>102</v>
      </c>
      <c r="E207" s="12" t="s">
        <v>455</v>
      </c>
      <c r="F207" s="13" t="s">
        <v>456</v>
      </c>
      <c r="G207" s="12" t="s">
        <v>68</v>
      </c>
      <c r="H207" s="12" t="s">
        <v>457</v>
      </c>
      <c r="I207" s="12" t="s">
        <v>458</v>
      </c>
      <c r="J207" s="17" t="s">
        <v>2169</v>
      </c>
      <c r="K207" s="18" t="s">
        <v>2170</v>
      </c>
      <c r="L207" s="20">
        <v>45854.0</v>
      </c>
      <c r="M207" s="17" t="s">
        <v>28</v>
      </c>
      <c r="N207" s="17" t="s">
        <v>2671</v>
      </c>
      <c r="O207" s="17">
        <v>7.339272E7</v>
      </c>
      <c r="P207" s="17" t="s">
        <v>2672</v>
      </c>
      <c r="Q207" s="17" t="s">
        <v>112</v>
      </c>
      <c r="R207" s="17" t="s">
        <v>1797</v>
      </c>
      <c r="S207" s="17" t="s">
        <v>2673</v>
      </c>
      <c r="U207" s="24"/>
      <c r="V207" s="24"/>
      <c r="W207" s="18" t="s">
        <v>92</v>
      </c>
    </row>
    <row r="208">
      <c r="A208" s="11"/>
      <c r="B208" s="12" t="s">
        <v>34</v>
      </c>
      <c r="C208" s="12" t="s">
        <v>65</v>
      </c>
      <c r="D208" s="12" t="s">
        <v>102</v>
      </c>
      <c r="E208" s="12" t="s">
        <v>455</v>
      </c>
      <c r="F208" s="13" t="s">
        <v>456</v>
      </c>
      <c r="G208" s="12" t="s">
        <v>68</v>
      </c>
      <c r="H208" s="12" t="s">
        <v>457</v>
      </c>
      <c r="I208" s="12" t="s">
        <v>458</v>
      </c>
      <c r="J208" s="17" t="s">
        <v>2169</v>
      </c>
      <c r="K208" s="18" t="s">
        <v>2170</v>
      </c>
      <c r="L208" s="20">
        <v>45854.0</v>
      </c>
      <c r="M208" s="17" t="s">
        <v>28</v>
      </c>
      <c r="N208" s="17" t="s">
        <v>2674</v>
      </c>
      <c r="O208" s="17">
        <v>7.3341785E7</v>
      </c>
      <c r="P208" s="17" t="s">
        <v>2675</v>
      </c>
      <c r="Q208" s="17" t="s">
        <v>73</v>
      </c>
      <c r="R208" s="17" t="s">
        <v>74</v>
      </c>
      <c r="S208" s="17" t="s">
        <v>2676</v>
      </c>
      <c r="U208" s="24"/>
      <c r="V208" s="24"/>
      <c r="W208" s="18" t="s">
        <v>92</v>
      </c>
    </row>
    <row r="209">
      <c r="A209" s="11"/>
      <c r="B209" s="12" t="s">
        <v>34</v>
      </c>
      <c r="C209" s="12" t="s">
        <v>65</v>
      </c>
      <c r="D209" s="12" t="s">
        <v>102</v>
      </c>
      <c r="E209" s="12" t="s">
        <v>455</v>
      </c>
      <c r="F209" s="13" t="s">
        <v>456</v>
      </c>
      <c r="G209" s="12" t="s">
        <v>68</v>
      </c>
      <c r="H209" s="12" t="s">
        <v>457</v>
      </c>
      <c r="I209" s="12" t="s">
        <v>458</v>
      </c>
      <c r="J209" s="17" t="s">
        <v>2169</v>
      </c>
      <c r="K209" s="18" t="s">
        <v>2170</v>
      </c>
      <c r="L209" s="20">
        <v>45854.0</v>
      </c>
      <c r="M209" s="17" t="s">
        <v>28</v>
      </c>
      <c r="N209" s="17" t="s">
        <v>2677</v>
      </c>
      <c r="O209" s="17">
        <v>4.2110466E7</v>
      </c>
      <c r="P209" s="17" t="s">
        <v>1614</v>
      </c>
      <c r="Q209" s="17" t="s">
        <v>73</v>
      </c>
      <c r="R209" s="17" t="s">
        <v>74</v>
      </c>
      <c r="S209" s="17" t="s">
        <v>2678</v>
      </c>
      <c r="U209" s="24"/>
      <c r="V209" s="24"/>
      <c r="W209" s="18" t="s">
        <v>92</v>
      </c>
    </row>
    <row r="210">
      <c r="A210" s="11"/>
      <c r="B210" s="12" t="s">
        <v>34</v>
      </c>
      <c r="C210" s="12" t="s">
        <v>65</v>
      </c>
      <c r="D210" s="12" t="s">
        <v>102</v>
      </c>
      <c r="E210" s="12" t="s">
        <v>455</v>
      </c>
      <c r="F210" s="13" t="s">
        <v>456</v>
      </c>
      <c r="G210" s="12" t="s">
        <v>68</v>
      </c>
      <c r="H210" s="12" t="s">
        <v>457</v>
      </c>
      <c r="I210" s="12" t="s">
        <v>458</v>
      </c>
      <c r="J210" s="17" t="s">
        <v>2169</v>
      </c>
      <c r="K210" s="18" t="s">
        <v>2170</v>
      </c>
      <c r="L210" s="20">
        <v>45854.0</v>
      </c>
      <c r="M210" s="17" t="s">
        <v>28</v>
      </c>
      <c r="N210" s="17" t="s">
        <v>2679</v>
      </c>
      <c r="O210" s="17">
        <v>7.2568924E7</v>
      </c>
      <c r="P210" s="17" t="s">
        <v>2680</v>
      </c>
      <c r="Q210" s="17" t="s">
        <v>73</v>
      </c>
      <c r="R210" s="17" t="s">
        <v>74</v>
      </c>
      <c r="S210" s="17" t="s">
        <v>2681</v>
      </c>
      <c r="U210" s="24"/>
      <c r="V210" s="24"/>
      <c r="W210" s="18" t="s">
        <v>92</v>
      </c>
    </row>
    <row r="211">
      <c r="A211" s="11"/>
      <c r="B211" s="12" t="s">
        <v>34</v>
      </c>
      <c r="C211" s="12" t="s">
        <v>65</v>
      </c>
      <c r="D211" s="12" t="s">
        <v>102</v>
      </c>
      <c r="E211" s="12" t="s">
        <v>455</v>
      </c>
      <c r="F211" s="13" t="s">
        <v>456</v>
      </c>
      <c r="G211" s="12" t="s">
        <v>68</v>
      </c>
      <c r="H211" s="12" t="s">
        <v>457</v>
      </c>
      <c r="I211" s="12" t="s">
        <v>458</v>
      </c>
      <c r="J211" s="17" t="s">
        <v>2169</v>
      </c>
      <c r="K211" s="18" t="s">
        <v>2170</v>
      </c>
      <c r="L211" s="20">
        <v>45854.0</v>
      </c>
      <c r="M211" s="17" t="s">
        <v>23</v>
      </c>
      <c r="N211" s="17" t="s">
        <v>2682</v>
      </c>
      <c r="O211" s="17">
        <v>7.4249465E7</v>
      </c>
      <c r="Q211" s="17" t="s">
        <v>108</v>
      </c>
      <c r="R211" s="17" t="s">
        <v>2683</v>
      </c>
      <c r="S211" s="17" t="s">
        <v>2684</v>
      </c>
      <c r="U211" s="24"/>
      <c r="V211" s="24"/>
      <c r="W211" s="18" t="s">
        <v>92</v>
      </c>
    </row>
    <row r="212">
      <c r="A212" s="11"/>
      <c r="B212" s="12" t="s">
        <v>34</v>
      </c>
      <c r="C212" s="12" t="s">
        <v>65</v>
      </c>
      <c r="D212" s="12" t="s">
        <v>102</v>
      </c>
      <c r="E212" s="12" t="s">
        <v>455</v>
      </c>
      <c r="F212" s="13" t="s">
        <v>456</v>
      </c>
      <c r="G212" s="12" t="s">
        <v>68</v>
      </c>
      <c r="H212" s="12" t="s">
        <v>457</v>
      </c>
      <c r="I212" s="12" t="s">
        <v>458</v>
      </c>
      <c r="J212" s="17" t="s">
        <v>2169</v>
      </c>
      <c r="K212" s="18" t="s">
        <v>2170</v>
      </c>
      <c r="L212" s="20">
        <v>45854.0</v>
      </c>
      <c r="M212" s="17" t="s">
        <v>23</v>
      </c>
      <c r="N212" s="116" t="s">
        <v>2685</v>
      </c>
      <c r="O212" s="17">
        <v>9477522.0</v>
      </c>
      <c r="Q212" s="17" t="s">
        <v>112</v>
      </c>
      <c r="R212" s="17" t="s">
        <v>113</v>
      </c>
      <c r="S212" s="17" t="s">
        <v>2220</v>
      </c>
      <c r="U212" s="24"/>
      <c r="V212" s="24"/>
      <c r="W212" s="18" t="s">
        <v>92</v>
      </c>
    </row>
    <row r="213">
      <c r="A213" s="11"/>
      <c r="B213" s="12" t="s">
        <v>34</v>
      </c>
      <c r="C213" s="12" t="s">
        <v>65</v>
      </c>
      <c r="D213" s="12" t="s">
        <v>102</v>
      </c>
      <c r="E213" s="12" t="s">
        <v>455</v>
      </c>
      <c r="F213" s="13" t="s">
        <v>456</v>
      </c>
      <c r="G213" s="12" t="s">
        <v>68</v>
      </c>
      <c r="H213" s="12" t="s">
        <v>457</v>
      </c>
      <c r="I213" s="12" t="s">
        <v>458</v>
      </c>
      <c r="J213" s="17" t="s">
        <v>2169</v>
      </c>
      <c r="K213" s="18" t="s">
        <v>2170</v>
      </c>
      <c r="L213" s="20">
        <v>45854.0</v>
      </c>
      <c r="M213" s="17" t="s">
        <v>23</v>
      </c>
      <c r="N213" s="116" t="s">
        <v>2686</v>
      </c>
      <c r="O213" s="17">
        <v>8669973.0</v>
      </c>
      <c r="Q213" s="17" t="s">
        <v>73</v>
      </c>
      <c r="R213" s="17" t="s">
        <v>74</v>
      </c>
      <c r="S213" s="17" t="s">
        <v>2202</v>
      </c>
      <c r="U213" s="24"/>
      <c r="V213" s="24"/>
      <c r="W213" s="18" t="s">
        <v>92</v>
      </c>
    </row>
    <row r="214">
      <c r="A214" s="11"/>
      <c r="B214" s="12" t="s">
        <v>34</v>
      </c>
      <c r="C214" s="12" t="s">
        <v>65</v>
      </c>
      <c r="D214" s="12" t="s">
        <v>102</v>
      </c>
      <c r="E214" s="12" t="s">
        <v>455</v>
      </c>
      <c r="F214" s="13" t="s">
        <v>456</v>
      </c>
      <c r="G214" s="12" t="s">
        <v>68</v>
      </c>
      <c r="H214" s="12" t="s">
        <v>457</v>
      </c>
      <c r="I214" s="12" t="s">
        <v>458</v>
      </c>
      <c r="J214" s="17" t="s">
        <v>2687</v>
      </c>
      <c r="K214" s="18">
        <v>1.0</v>
      </c>
      <c r="L214" s="20">
        <v>45897.0</v>
      </c>
      <c r="M214" s="17" t="s">
        <v>23</v>
      </c>
      <c r="N214" s="17" t="s">
        <v>2682</v>
      </c>
      <c r="O214" s="17">
        <v>7.4249465E7</v>
      </c>
      <c r="Q214" s="17" t="s">
        <v>108</v>
      </c>
      <c r="R214" s="17" t="s">
        <v>2683</v>
      </c>
      <c r="S214" s="17" t="s">
        <v>2684</v>
      </c>
      <c r="U214" s="24"/>
      <c r="V214" s="24"/>
      <c r="W214" s="18" t="s">
        <v>92</v>
      </c>
    </row>
    <row r="215">
      <c r="A215" s="11"/>
      <c r="B215" s="12" t="s">
        <v>34</v>
      </c>
      <c r="C215" s="12" t="s">
        <v>65</v>
      </c>
      <c r="D215" s="12" t="s">
        <v>102</v>
      </c>
      <c r="E215" s="12" t="s">
        <v>455</v>
      </c>
      <c r="F215" s="13" t="s">
        <v>456</v>
      </c>
      <c r="G215" s="12" t="s">
        <v>68</v>
      </c>
      <c r="H215" s="12" t="s">
        <v>457</v>
      </c>
      <c r="I215" s="12" t="s">
        <v>458</v>
      </c>
      <c r="J215" s="17" t="s">
        <v>2687</v>
      </c>
      <c r="K215" s="18">
        <v>1.0</v>
      </c>
      <c r="L215" s="20">
        <v>45897.0</v>
      </c>
      <c r="M215" s="17" t="s">
        <v>23</v>
      </c>
      <c r="N215" s="116" t="s">
        <v>2685</v>
      </c>
      <c r="O215" s="17">
        <v>9477522.0</v>
      </c>
      <c r="Q215" s="17" t="s">
        <v>112</v>
      </c>
      <c r="R215" s="17" t="s">
        <v>113</v>
      </c>
      <c r="S215" s="17" t="s">
        <v>2220</v>
      </c>
      <c r="U215" s="24"/>
      <c r="V215" s="24"/>
      <c r="W215" s="18" t="s">
        <v>92</v>
      </c>
    </row>
    <row r="216">
      <c r="A216" s="11"/>
      <c r="B216" s="12" t="s">
        <v>34</v>
      </c>
      <c r="C216" s="12" t="s">
        <v>65</v>
      </c>
      <c r="D216" s="12" t="s">
        <v>102</v>
      </c>
      <c r="E216" s="12" t="s">
        <v>455</v>
      </c>
      <c r="F216" s="13" t="s">
        <v>456</v>
      </c>
      <c r="G216" s="12" t="s">
        <v>68</v>
      </c>
      <c r="H216" s="12" t="s">
        <v>457</v>
      </c>
      <c r="I216" s="12" t="s">
        <v>458</v>
      </c>
      <c r="J216" s="17" t="s">
        <v>2687</v>
      </c>
      <c r="K216" s="18">
        <v>1.0</v>
      </c>
      <c r="L216" s="20">
        <v>45897.0</v>
      </c>
      <c r="M216" s="17" t="s">
        <v>23</v>
      </c>
      <c r="N216" s="116" t="s">
        <v>2686</v>
      </c>
      <c r="O216" s="17">
        <v>8669973.0</v>
      </c>
      <c r="Q216" s="17" t="s">
        <v>73</v>
      </c>
      <c r="R216" s="17" t="s">
        <v>74</v>
      </c>
      <c r="S216" s="17" t="s">
        <v>2202</v>
      </c>
      <c r="U216" s="24"/>
      <c r="V216" s="24"/>
      <c r="W216" s="18" t="s">
        <v>92</v>
      </c>
    </row>
    <row r="217">
      <c r="A217" s="11"/>
      <c r="B217" s="12" t="s">
        <v>34</v>
      </c>
      <c r="C217" s="12" t="s">
        <v>65</v>
      </c>
      <c r="D217" s="12" t="s">
        <v>102</v>
      </c>
      <c r="E217" s="12" t="s">
        <v>142</v>
      </c>
      <c r="F217" s="13" t="s">
        <v>143</v>
      </c>
      <c r="G217" s="12" t="s">
        <v>68</v>
      </c>
      <c r="H217" s="12" t="s">
        <v>144</v>
      </c>
      <c r="I217" s="12" t="s">
        <v>145</v>
      </c>
      <c r="J217" s="17" t="s">
        <v>2169</v>
      </c>
      <c r="K217" s="18" t="s">
        <v>2170</v>
      </c>
      <c r="L217" s="20">
        <v>45854.0</v>
      </c>
      <c r="M217" s="17" t="s">
        <v>28</v>
      </c>
      <c r="N217" s="17" t="s">
        <v>2688</v>
      </c>
      <c r="O217" s="17">
        <v>4.2902674E7</v>
      </c>
      <c r="P217" s="17" t="s">
        <v>2689</v>
      </c>
      <c r="Q217" s="17" t="s">
        <v>112</v>
      </c>
      <c r="S217" s="17" t="s">
        <v>2690</v>
      </c>
      <c r="U217" s="24"/>
      <c r="V217" s="24"/>
      <c r="W217" s="18" t="s">
        <v>92</v>
      </c>
    </row>
    <row r="218">
      <c r="A218" s="11"/>
      <c r="B218" s="12" t="s">
        <v>34</v>
      </c>
      <c r="C218" s="12" t="s">
        <v>65</v>
      </c>
      <c r="D218" s="12" t="s">
        <v>102</v>
      </c>
      <c r="E218" s="12" t="s">
        <v>142</v>
      </c>
      <c r="F218" s="13" t="s">
        <v>143</v>
      </c>
      <c r="G218" s="12" t="s">
        <v>68</v>
      </c>
      <c r="H218" s="12" t="s">
        <v>144</v>
      </c>
      <c r="I218" s="12" t="s">
        <v>145</v>
      </c>
      <c r="J218" s="17" t="s">
        <v>2169</v>
      </c>
      <c r="K218" s="18" t="s">
        <v>2170</v>
      </c>
      <c r="L218" s="20">
        <v>45854.0</v>
      </c>
      <c r="M218" s="17" t="s">
        <v>28</v>
      </c>
      <c r="N218" s="17" t="s">
        <v>2691</v>
      </c>
      <c r="O218" s="17">
        <v>4.699327E7</v>
      </c>
      <c r="P218" s="17" t="s">
        <v>2692</v>
      </c>
      <c r="Q218" s="17" t="s">
        <v>112</v>
      </c>
      <c r="S218" s="17" t="s">
        <v>2693</v>
      </c>
      <c r="U218" s="24"/>
      <c r="V218" s="24"/>
      <c r="W218" s="18" t="s">
        <v>92</v>
      </c>
    </row>
    <row r="219">
      <c r="A219" s="11"/>
      <c r="B219" s="12" t="s">
        <v>34</v>
      </c>
      <c r="C219" s="12" t="s">
        <v>65</v>
      </c>
      <c r="D219" s="12" t="s">
        <v>102</v>
      </c>
      <c r="E219" s="12" t="s">
        <v>142</v>
      </c>
      <c r="F219" s="13" t="s">
        <v>143</v>
      </c>
      <c r="G219" s="12" t="s">
        <v>68</v>
      </c>
      <c r="H219" s="12" t="s">
        <v>144</v>
      </c>
      <c r="I219" s="12" t="s">
        <v>145</v>
      </c>
      <c r="J219" s="17" t="s">
        <v>2169</v>
      </c>
      <c r="K219" s="18" t="s">
        <v>2170</v>
      </c>
      <c r="L219" s="20">
        <v>45854.0</v>
      </c>
      <c r="M219" s="17" t="s">
        <v>28</v>
      </c>
      <c r="N219" s="17" t="s">
        <v>2694</v>
      </c>
      <c r="O219" s="17">
        <v>7.3413917E7</v>
      </c>
      <c r="P219" s="17" t="s">
        <v>2695</v>
      </c>
      <c r="Q219" s="17" t="s">
        <v>73</v>
      </c>
      <c r="S219" s="17" t="s">
        <v>2696</v>
      </c>
      <c r="U219" s="24"/>
      <c r="V219" s="24"/>
      <c r="W219" s="18" t="s">
        <v>92</v>
      </c>
    </row>
    <row r="220">
      <c r="A220" s="11"/>
      <c r="B220" s="12" t="s">
        <v>34</v>
      </c>
      <c r="C220" s="12" t="s">
        <v>65</v>
      </c>
      <c r="D220" s="12" t="s">
        <v>102</v>
      </c>
      <c r="E220" s="12" t="s">
        <v>142</v>
      </c>
      <c r="F220" s="13" t="s">
        <v>143</v>
      </c>
      <c r="G220" s="12" t="s">
        <v>68</v>
      </c>
      <c r="H220" s="12" t="s">
        <v>144</v>
      </c>
      <c r="I220" s="12" t="s">
        <v>145</v>
      </c>
      <c r="J220" s="17" t="s">
        <v>2169</v>
      </c>
      <c r="K220" s="18" t="s">
        <v>2170</v>
      </c>
      <c r="L220" s="20">
        <v>45854.0</v>
      </c>
      <c r="M220" s="17" t="s">
        <v>28</v>
      </c>
      <c r="N220" s="17" t="s">
        <v>149</v>
      </c>
      <c r="O220" s="17">
        <v>7.3413898E7</v>
      </c>
      <c r="P220" s="17" t="s">
        <v>150</v>
      </c>
      <c r="Q220" s="17" t="s">
        <v>73</v>
      </c>
      <c r="S220" s="17" t="s">
        <v>2697</v>
      </c>
      <c r="U220" s="24"/>
      <c r="V220" s="24"/>
      <c r="W220" s="18" t="s">
        <v>92</v>
      </c>
    </row>
    <row r="221">
      <c r="A221" s="11"/>
      <c r="B221" s="12" t="s">
        <v>34</v>
      </c>
      <c r="C221" s="12" t="s">
        <v>65</v>
      </c>
      <c r="D221" s="12" t="s">
        <v>102</v>
      </c>
      <c r="E221" s="12" t="s">
        <v>142</v>
      </c>
      <c r="F221" s="13" t="s">
        <v>143</v>
      </c>
      <c r="G221" s="12" t="s">
        <v>68</v>
      </c>
      <c r="H221" s="12" t="s">
        <v>144</v>
      </c>
      <c r="I221" s="12" t="s">
        <v>145</v>
      </c>
      <c r="J221" s="17" t="s">
        <v>2169</v>
      </c>
      <c r="K221" s="18" t="s">
        <v>2170</v>
      </c>
      <c r="L221" s="20">
        <v>45854.0</v>
      </c>
      <c r="M221" s="17" t="s">
        <v>28</v>
      </c>
      <c r="N221" s="17" t="s">
        <v>146</v>
      </c>
      <c r="O221" s="17">
        <v>9656050.0</v>
      </c>
      <c r="P221" s="17" t="s">
        <v>147</v>
      </c>
      <c r="Q221" s="17" t="s">
        <v>108</v>
      </c>
      <c r="S221" s="17" t="s">
        <v>2698</v>
      </c>
      <c r="U221" s="24"/>
      <c r="V221" s="24"/>
      <c r="W221" s="18" t="s">
        <v>92</v>
      </c>
    </row>
    <row r="222">
      <c r="A222" s="11"/>
      <c r="B222" s="12" t="s">
        <v>34</v>
      </c>
      <c r="C222" s="12" t="s">
        <v>65</v>
      </c>
      <c r="D222" s="12" t="s">
        <v>102</v>
      </c>
      <c r="E222" s="12" t="s">
        <v>142</v>
      </c>
      <c r="F222" s="13" t="s">
        <v>143</v>
      </c>
      <c r="G222" s="12" t="s">
        <v>68</v>
      </c>
      <c r="H222" s="12" t="s">
        <v>144</v>
      </c>
      <c r="I222" s="12" t="s">
        <v>145</v>
      </c>
      <c r="J222" s="17" t="s">
        <v>2169</v>
      </c>
      <c r="K222" s="18" t="s">
        <v>2170</v>
      </c>
      <c r="L222" s="20">
        <v>45854.0</v>
      </c>
      <c r="M222" s="17" t="s">
        <v>28</v>
      </c>
      <c r="N222" s="17" t="s">
        <v>2699</v>
      </c>
      <c r="P222" s="17" t="s">
        <v>2700</v>
      </c>
      <c r="Q222" s="17" t="s">
        <v>112</v>
      </c>
      <c r="S222" s="17" t="s">
        <v>2701</v>
      </c>
      <c r="U222" s="24"/>
      <c r="V222" s="24"/>
      <c r="W222" s="18" t="s">
        <v>92</v>
      </c>
    </row>
    <row r="223">
      <c r="A223" s="11"/>
      <c r="B223" s="12" t="s">
        <v>34</v>
      </c>
      <c r="C223" s="12" t="s">
        <v>65</v>
      </c>
      <c r="D223" s="12" t="s">
        <v>102</v>
      </c>
      <c r="E223" s="12" t="s">
        <v>142</v>
      </c>
      <c r="F223" s="13" t="s">
        <v>143</v>
      </c>
      <c r="G223" s="12" t="s">
        <v>68</v>
      </c>
      <c r="H223" s="12" t="s">
        <v>144</v>
      </c>
      <c r="I223" s="12" t="s">
        <v>145</v>
      </c>
      <c r="J223" s="17" t="s">
        <v>2169</v>
      </c>
      <c r="K223" s="18" t="s">
        <v>2170</v>
      </c>
      <c r="L223" s="20">
        <v>45854.0</v>
      </c>
      <c r="M223" s="17" t="s">
        <v>28</v>
      </c>
      <c r="N223" s="17" t="s">
        <v>2702</v>
      </c>
      <c r="O223" s="17">
        <v>7.7483194E7</v>
      </c>
      <c r="P223" s="17" t="s">
        <v>2703</v>
      </c>
      <c r="Q223" s="17" t="s">
        <v>108</v>
      </c>
      <c r="S223" s="17" t="s">
        <v>2704</v>
      </c>
      <c r="U223" s="24"/>
      <c r="V223" s="24"/>
      <c r="W223" s="18" t="s">
        <v>92</v>
      </c>
    </row>
    <row r="224">
      <c r="A224" s="11"/>
      <c r="B224" s="12" t="s">
        <v>34</v>
      </c>
      <c r="C224" s="12" t="s">
        <v>65</v>
      </c>
      <c r="D224" s="12" t="s">
        <v>102</v>
      </c>
      <c r="E224" s="12" t="s">
        <v>142</v>
      </c>
      <c r="F224" s="13" t="s">
        <v>143</v>
      </c>
      <c r="G224" s="12" t="s">
        <v>68</v>
      </c>
      <c r="H224" s="12" t="s">
        <v>144</v>
      </c>
      <c r="I224" s="12" t="s">
        <v>145</v>
      </c>
      <c r="J224" s="17" t="s">
        <v>2169</v>
      </c>
      <c r="K224" s="18" t="s">
        <v>2170</v>
      </c>
      <c r="L224" s="20">
        <v>45854.0</v>
      </c>
      <c r="M224" s="17" t="s">
        <v>28</v>
      </c>
      <c r="N224" s="17" t="s">
        <v>2705</v>
      </c>
      <c r="O224" s="17">
        <v>7.1780966E7</v>
      </c>
      <c r="P224" s="17" t="s">
        <v>2706</v>
      </c>
      <c r="Q224" s="17" t="s">
        <v>108</v>
      </c>
      <c r="S224" s="17" t="s">
        <v>2707</v>
      </c>
      <c r="U224" s="24"/>
      <c r="V224" s="24"/>
      <c r="W224" s="18" t="s">
        <v>92</v>
      </c>
    </row>
    <row r="225">
      <c r="A225" s="11"/>
      <c r="B225" s="12" t="s">
        <v>34</v>
      </c>
      <c r="C225" s="12" t="s">
        <v>65</v>
      </c>
      <c r="D225" s="12" t="s">
        <v>102</v>
      </c>
      <c r="E225" s="12" t="s">
        <v>142</v>
      </c>
      <c r="F225" s="13" t="s">
        <v>143</v>
      </c>
      <c r="G225" s="12" t="s">
        <v>68</v>
      </c>
      <c r="H225" s="12" t="s">
        <v>144</v>
      </c>
      <c r="I225" s="12" t="s">
        <v>145</v>
      </c>
      <c r="J225" s="17" t="s">
        <v>2169</v>
      </c>
      <c r="K225" s="18" t="s">
        <v>2170</v>
      </c>
      <c r="L225" s="20">
        <v>45854.0</v>
      </c>
      <c r="M225" s="17" t="s">
        <v>28</v>
      </c>
      <c r="N225" s="17" t="s">
        <v>2708</v>
      </c>
      <c r="O225" s="17">
        <v>6.0026222E7</v>
      </c>
      <c r="P225" s="17" t="s">
        <v>2709</v>
      </c>
      <c r="Q225" s="17" t="s">
        <v>73</v>
      </c>
      <c r="S225" s="17" t="s">
        <v>2710</v>
      </c>
      <c r="U225" s="24"/>
      <c r="V225" s="24"/>
      <c r="W225" s="18" t="s">
        <v>92</v>
      </c>
    </row>
    <row r="226">
      <c r="A226" s="11"/>
      <c r="B226" s="12" t="s">
        <v>34</v>
      </c>
      <c r="C226" s="12" t="s">
        <v>65</v>
      </c>
      <c r="D226" s="12" t="s">
        <v>102</v>
      </c>
      <c r="E226" s="12" t="s">
        <v>142</v>
      </c>
      <c r="F226" s="13" t="s">
        <v>143</v>
      </c>
      <c r="G226" s="12" t="s">
        <v>68</v>
      </c>
      <c r="H226" s="12" t="s">
        <v>144</v>
      </c>
      <c r="I226" s="12" t="s">
        <v>145</v>
      </c>
      <c r="J226" s="17" t="s">
        <v>2169</v>
      </c>
      <c r="K226" s="18" t="s">
        <v>2170</v>
      </c>
      <c r="L226" s="20">
        <v>45854.0</v>
      </c>
      <c r="M226" s="17" t="s">
        <v>28</v>
      </c>
      <c r="N226" s="17" t="s">
        <v>2711</v>
      </c>
      <c r="O226" s="17">
        <v>7.346893E7</v>
      </c>
      <c r="P226" s="17" t="s">
        <v>2712</v>
      </c>
      <c r="Q226" s="17" t="s">
        <v>112</v>
      </c>
      <c r="S226" s="17" t="s">
        <v>2713</v>
      </c>
      <c r="U226" s="24"/>
      <c r="V226" s="24"/>
      <c r="W226" s="18" t="s">
        <v>92</v>
      </c>
    </row>
    <row r="227">
      <c r="A227" s="11"/>
      <c r="B227" s="12" t="s">
        <v>34</v>
      </c>
      <c r="C227" s="12" t="s">
        <v>65</v>
      </c>
      <c r="D227" s="12" t="s">
        <v>102</v>
      </c>
      <c r="E227" s="12" t="s">
        <v>142</v>
      </c>
      <c r="F227" s="13" t="s">
        <v>143</v>
      </c>
      <c r="G227" s="12" t="s">
        <v>68</v>
      </c>
      <c r="H227" s="12" t="s">
        <v>144</v>
      </c>
      <c r="I227" s="12" t="s">
        <v>145</v>
      </c>
      <c r="J227" s="17" t="s">
        <v>2169</v>
      </c>
      <c r="K227" s="18" t="s">
        <v>2170</v>
      </c>
      <c r="L227" s="20">
        <v>45854.0</v>
      </c>
      <c r="M227" s="17" t="s">
        <v>28</v>
      </c>
      <c r="N227" s="17" t="s">
        <v>2714</v>
      </c>
      <c r="O227" s="17">
        <v>7.3430689E7</v>
      </c>
      <c r="P227" s="17" t="s">
        <v>2715</v>
      </c>
      <c r="Q227" s="17" t="s">
        <v>112</v>
      </c>
      <c r="S227" s="17" t="s">
        <v>2716</v>
      </c>
      <c r="U227" s="24"/>
      <c r="V227" s="24"/>
      <c r="W227" s="18" t="s">
        <v>92</v>
      </c>
    </row>
    <row r="228">
      <c r="A228" s="11"/>
      <c r="B228" s="12" t="s">
        <v>34</v>
      </c>
      <c r="C228" s="12" t="s">
        <v>65</v>
      </c>
      <c r="D228" s="12" t="s">
        <v>102</v>
      </c>
      <c r="E228" s="12" t="s">
        <v>142</v>
      </c>
      <c r="F228" s="13" t="s">
        <v>143</v>
      </c>
      <c r="G228" s="12" t="s">
        <v>68</v>
      </c>
      <c r="H228" s="12" t="s">
        <v>144</v>
      </c>
      <c r="I228" s="12" t="s">
        <v>145</v>
      </c>
      <c r="J228" s="17" t="s">
        <v>2169</v>
      </c>
      <c r="K228" s="18" t="s">
        <v>2170</v>
      </c>
      <c r="L228" s="20">
        <v>45854.0</v>
      </c>
      <c r="M228" s="17" t="s">
        <v>28</v>
      </c>
      <c r="N228" s="17" t="s">
        <v>2717</v>
      </c>
      <c r="O228" s="17">
        <v>7.3862151E7</v>
      </c>
      <c r="P228" s="17" t="s">
        <v>2718</v>
      </c>
      <c r="Q228" s="17" t="s">
        <v>73</v>
      </c>
      <c r="S228" s="17" t="s">
        <v>2719</v>
      </c>
      <c r="U228" s="24"/>
      <c r="V228" s="24"/>
      <c r="W228" s="18" t="s">
        <v>92</v>
      </c>
    </row>
    <row r="229">
      <c r="A229" s="11"/>
      <c r="B229" s="12" t="s">
        <v>34</v>
      </c>
      <c r="C229" s="12" t="s">
        <v>65</v>
      </c>
      <c r="D229" s="12" t="s">
        <v>102</v>
      </c>
      <c r="E229" s="12" t="s">
        <v>142</v>
      </c>
      <c r="F229" s="13" t="s">
        <v>143</v>
      </c>
      <c r="G229" s="12" t="s">
        <v>68</v>
      </c>
      <c r="H229" s="12" t="s">
        <v>144</v>
      </c>
      <c r="I229" s="12" t="s">
        <v>145</v>
      </c>
      <c r="J229" s="17" t="s">
        <v>2169</v>
      </c>
      <c r="K229" s="18" t="s">
        <v>2170</v>
      </c>
      <c r="L229" s="20">
        <v>45854.0</v>
      </c>
      <c r="M229" s="17" t="s">
        <v>28</v>
      </c>
      <c r="N229" s="17" t="s">
        <v>2720</v>
      </c>
      <c r="O229" s="17">
        <v>4.673746E7</v>
      </c>
      <c r="P229" s="17" t="s">
        <v>2721</v>
      </c>
      <c r="Q229" s="17" t="s">
        <v>73</v>
      </c>
      <c r="S229" s="17" t="s">
        <v>2722</v>
      </c>
      <c r="U229" s="24"/>
      <c r="V229" s="24"/>
      <c r="W229" s="18" t="s">
        <v>92</v>
      </c>
    </row>
    <row r="230">
      <c r="A230" s="11"/>
      <c r="B230" s="12" t="s">
        <v>34</v>
      </c>
      <c r="C230" s="12" t="s">
        <v>65</v>
      </c>
      <c r="D230" s="12" t="s">
        <v>102</v>
      </c>
      <c r="E230" s="12" t="s">
        <v>142</v>
      </c>
      <c r="F230" s="13" t="s">
        <v>143</v>
      </c>
      <c r="G230" s="12" t="s">
        <v>68</v>
      </c>
      <c r="H230" s="12" t="s">
        <v>144</v>
      </c>
      <c r="I230" s="12" t="s">
        <v>145</v>
      </c>
      <c r="J230" s="17" t="s">
        <v>2169</v>
      </c>
      <c r="K230" s="18" t="s">
        <v>2170</v>
      </c>
      <c r="L230" s="20">
        <v>45854.0</v>
      </c>
      <c r="M230" s="17" t="s">
        <v>28</v>
      </c>
      <c r="N230" s="17" t="s">
        <v>2723</v>
      </c>
      <c r="O230" s="17">
        <v>7.3862162E7</v>
      </c>
      <c r="P230" s="17" t="s">
        <v>2724</v>
      </c>
      <c r="Q230" s="17" t="s">
        <v>108</v>
      </c>
      <c r="S230" s="17" t="s">
        <v>2725</v>
      </c>
      <c r="U230" s="24"/>
      <c r="V230" s="24"/>
      <c r="W230" s="18" t="s">
        <v>92</v>
      </c>
    </row>
    <row r="231">
      <c r="A231" s="11"/>
      <c r="B231" s="12" t="s">
        <v>34</v>
      </c>
      <c r="C231" s="12" t="s">
        <v>65</v>
      </c>
      <c r="D231" s="12" t="s">
        <v>102</v>
      </c>
      <c r="E231" s="12" t="s">
        <v>142</v>
      </c>
      <c r="F231" s="13" t="s">
        <v>143</v>
      </c>
      <c r="G231" s="12" t="s">
        <v>68</v>
      </c>
      <c r="H231" s="12" t="s">
        <v>144</v>
      </c>
      <c r="I231" s="12" t="s">
        <v>145</v>
      </c>
      <c r="J231" s="17" t="s">
        <v>2169</v>
      </c>
      <c r="K231" s="18" t="s">
        <v>2170</v>
      </c>
      <c r="L231" s="20">
        <v>45854.0</v>
      </c>
      <c r="M231" s="17" t="s">
        <v>28</v>
      </c>
      <c r="N231" s="17" t="s">
        <v>2726</v>
      </c>
      <c r="O231" s="17">
        <v>7.2692882E7</v>
      </c>
      <c r="P231" s="17" t="s">
        <v>2727</v>
      </c>
      <c r="Q231" s="17" t="s">
        <v>108</v>
      </c>
      <c r="S231" s="17" t="s">
        <v>2728</v>
      </c>
      <c r="U231" s="24"/>
      <c r="V231" s="24"/>
      <c r="W231" s="18" t="s">
        <v>92</v>
      </c>
    </row>
    <row r="232">
      <c r="A232" s="11"/>
      <c r="B232" s="12" t="s">
        <v>34</v>
      </c>
      <c r="C232" s="12" t="s">
        <v>65</v>
      </c>
      <c r="D232" s="12" t="s">
        <v>102</v>
      </c>
      <c r="E232" s="12" t="s">
        <v>142</v>
      </c>
      <c r="F232" s="13" t="s">
        <v>143</v>
      </c>
      <c r="G232" s="12" t="s">
        <v>68</v>
      </c>
      <c r="H232" s="12" t="s">
        <v>144</v>
      </c>
      <c r="I232" s="12" t="s">
        <v>145</v>
      </c>
      <c r="J232" s="17" t="s">
        <v>2169</v>
      </c>
      <c r="K232" s="18" t="s">
        <v>2170</v>
      </c>
      <c r="L232" s="20">
        <v>45854.0</v>
      </c>
      <c r="M232" s="17" t="s">
        <v>28</v>
      </c>
      <c r="N232" s="17" t="s">
        <v>2729</v>
      </c>
      <c r="O232" s="17">
        <v>1.0469766E7</v>
      </c>
      <c r="P232" s="17" t="s">
        <v>2730</v>
      </c>
      <c r="Q232" s="17" t="s">
        <v>108</v>
      </c>
      <c r="S232" s="17" t="s">
        <v>2731</v>
      </c>
      <c r="U232" s="24"/>
      <c r="V232" s="24"/>
      <c r="W232" s="18" t="s">
        <v>92</v>
      </c>
    </row>
    <row r="233">
      <c r="A233" s="11"/>
      <c r="B233" s="12" t="s">
        <v>34</v>
      </c>
      <c r="C233" s="12" t="s">
        <v>65</v>
      </c>
      <c r="D233" s="12" t="s">
        <v>102</v>
      </c>
      <c r="E233" s="12" t="s">
        <v>142</v>
      </c>
      <c r="F233" s="13" t="s">
        <v>143</v>
      </c>
      <c r="G233" s="12" t="s">
        <v>68</v>
      </c>
      <c r="H233" s="12" t="s">
        <v>144</v>
      </c>
      <c r="I233" s="12" t="s">
        <v>145</v>
      </c>
      <c r="J233" s="17" t="s">
        <v>2169</v>
      </c>
      <c r="K233" s="18" t="s">
        <v>2170</v>
      </c>
      <c r="L233" s="20">
        <v>45854.0</v>
      </c>
      <c r="M233" s="17" t="s">
        <v>28</v>
      </c>
      <c r="N233" s="17" t="s">
        <v>2732</v>
      </c>
      <c r="O233" s="17">
        <v>7.3862103E7</v>
      </c>
      <c r="P233" s="17" t="s">
        <v>2733</v>
      </c>
      <c r="Q233" s="17" t="s">
        <v>73</v>
      </c>
      <c r="S233" s="17" t="s">
        <v>2734</v>
      </c>
      <c r="U233" s="24"/>
      <c r="V233" s="24"/>
      <c r="W233" s="18" t="s">
        <v>92</v>
      </c>
    </row>
    <row r="234">
      <c r="A234" s="11"/>
      <c r="B234" s="12" t="s">
        <v>34</v>
      </c>
      <c r="C234" s="12" t="s">
        <v>65</v>
      </c>
      <c r="D234" s="12" t="s">
        <v>102</v>
      </c>
      <c r="E234" s="12" t="s">
        <v>142</v>
      </c>
      <c r="F234" s="13" t="s">
        <v>143</v>
      </c>
      <c r="G234" s="12" t="s">
        <v>68</v>
      </c>
      <c r="H234" s="12" t="s">
        <v>144</v>
      </c>
      <c r="I234" s="12" t="s">
        <v>145</v>
      </c>
      <c r="J234" s="17" t="s">
        <v>2169</v>
      </c>
      <c r="K234" s="18" t="s">
        <v>2170</v>
      </c>
      <c r="L234" s="20">
        <v>45854.0</v>
      </c>
      <c r="M234" s="17" t="s">
        <v>28</v>
      </c>
      <c r="N234" s="17" t="s">
        <v>2735</v>
      </c>
      <c r="O234" s="17">
        <v>9087146.0</v>
      </c>
      <c r="P234" s="17" t="s">
        <v>2736</v>
      </c>
      <c r="Q234" s="17" t="s">
        <v>108</v>
      </c>
      <c r="S234" s="17" t="s">
        <v>2737</v>
      </c>
      <c r="U234" s="24"/>
      <c r="V234" s="24"/>
      <c r="W234" s="18" t="s">
        <v>92</v>
      </c>
    </row>
    <row r="235">
      <c r="A235" s="11"/>
      <c r="B235" s="12" t="s">
        <v>34</v>
      </c>
      <c r="C235" s="12" t="s">
        <v>65</v>
      </c>
      <c r="D235" s="12" t="s">
        <v>102</v>
      </c>
      <c r="E235" s="12" t="s">
        <v>142</v>
      </c>
      <c r="F235" s="13" t="s">
        <v>143</v>
      </c>
      <c r="G235" s="12" t="s">
        <v>68</v>
      </c>
      <c r="H235" s="12" t="s">
        <v>144</v>
      </c>
      <c r="I235" s="12" t="s">
        <v>145</v>
      </c>
      <c r="J235" s="17" t="s">
        <v>2169</v>
      </c>
      <c r="K235" s="18" t="s">
        <v>2170</v>
      </c>
      <c r="L235" s="20">
        <v>45854.0</v>
      </c>
      <c r="M235" s="17" t="s">
        <v>28</v>
      </c>
      <c r="N235" s="17" t="s">
        <v>2738</v>
      </c>
      <c r="O235" s="17">
        <v>7.2108978E7</v>
      </c>
      <c r="P235" s="17" t="s">
        <v>2739</v>
      </c>
      <c r="Q235" s="17" t="s">
        <v>108</v>
      </c>
      <c r="S235" s="17" t="s">
        <v>2740</v>
      </c>
      <c r="U235" s="24"/>
      <c r="V235" s="24"/>
      <c r="W235" s="18" t="s">
        <v>92</v>
      </c>
    </row>
    <row r="236">
      <c r="A236" s="11"/>
      <c r="B236" s="12" t="s">
        <v>34</v>
      </c>
      <c r="C236" s="12" t="s">
        <v>65</v>
      </c>
      <c r="D236" s="12" t="s">
        <v>102</v>
      </c>
      <c r="E236" s="12" t="s">
        <v>142</v>
      </c>
      <c r="F236" s="13" t="s">
        <v>143</v>
      </c>
      <c r="G236" s="12" t="s">
        <v>68</v>
      </c>
      <c r="H236" s="12" t="s">
        <v>144</v>
      </c>
      <c r="I236" s="12" t="s">
        <v>145</v>
      </c>
      <c r="J236" s="17" t="s">
        <v>2169</v>
      </c>
      <c r="K236" s="18" t="s">
        <v>2170</v>
      </c>
      <c r="L236" s="20">
        <v>45854.0</v>
      </c>
      <c r="M236" s="17" t="s">
        <v>28</v>
      </c>
      <c r="N236" s="17" t="s">
        <v>2741</v>
      </c>
      <c r="P236" s="17" t="s">
        <v>2742</v>
      </c>
      <c r="Q236" s="17" t="s">
        <v>108</v>
      </c>
      <c r="S236" s="17" t="s">
        <v>2743</v>
      </c>
      <c r="U236" s="24"/>
      <c r="V236" s="24"/>
      <c r="W236" s="18" t="s">
        <v>92</v>
      </c>
    </row>
    <row r="237">
      <c r="A237" s="11"/>
      <c r="B237" s="12" t="s">
        <v>34</v>
      </c>
      <c r="C237" s="12" t="s">
        <v>65</v>
      </c>
      <c r="D237" s="12" t="s">
        <v>102</v>
      </c>
      <c r="E237" s="12" t="s">
        <v>142</v>
      </c>
      <c r="F237" s="13" t="s">
        <v>143</v>
      </c>
      <c r="G237" s="12" t="s">
        <v>68</v>
      </c>
      <c r="H237" s="12" t="s">
        <v>144</v>
      </c>
      <c r="I237" s="12" t="s">
        <v>145</v>
      </c>
      <c r="J237" s="17" t="s">
        <v>2169</v>
      </c>
      <c r="K237" s="18" t="s">
        <v>2170</v>
      </c>
      <c r="L237" s="20">
        <v>45854.0</v>
      </c>
      <c r="M237" s="17" t="s">
        <v>28</v>
      </c>
      <c r="N237" s="17" t="s">
        <v>2744</v>
      </c>
      <c r="O237" s="17">
        <v>7.3416405E7</v>
      </c>
      <c r="P237" s="17" t="s">
        <v>2745</v>
      </c>
      <c r="Q237" s="17" t="s">
        <v>108</v>
      </c>
      <c r="S237" s="17" t="s">
        <v>2746</v>
      </c>
      <c r="U237" s="24"/>
      <c r="V237" s="24"/>
      <c r="W237" s="18" t="s">
        <v>92</v>
      </c>
    </row>
    <row r="238">
      <c r="A238" s="11"/>
      <c r="B238" s="12" t="s">
        <v>34</v>
      </c>
      <c r="C238" s="12" t="s">
        <v>65</v>
      </c>
      <c r="D238" s="12" t="s">
        <v>102</v>
      </c>
      <c r="E238" s="12" t="s">
        <v>142</v>
      </c>
      <c r="F238" s="13" t="s">
        <v>143</v>
      </c>
      <c r="G238" s="12" t="s">
        <v>68</v>
      </c>
      <c r="H238" s="12" t="s">
        <v>144</v>
      </c>
      <c r="I238" s="12" t="s">
        <v>145</v>
      </c>
      <c r="J238" s="17" t="s">
        <v>2169</v>
      </c>
      <c r="K238" s="18" t="s">
        <v>2170</v>
      </c>
      <c r="L238" s="20">
        <v>45854.0</v>
      </c>
      <c r="M238" s="17" t="s">
        <v>28</v>
      </c>
      <c r="N238" s="17" t="s">
        <v>2747</v>
      </c>
      <c r="O238" s="17">
        <v>1.584812E7</v>
      </c>
      <c r="P238" s="17" t="s">
        <v>2748</v>
      </c>
      <c r="Q238" s="17" t="s">
        <v>112</v>
      </c>
      <c r="S238" s="17" t="s">
        <v>2749</v>
      </c>
      <c r="U238" s="24"/>
      <c r="V238" s="24"/>
      <c r="W238" s="18" t="s">
        <v>92</v>
      </c>
    </row>
    <row r="239">
      <c r="A239" s="11"/>
      <c r="B239" s="12" t="s">
        <v>34</v>
      </c>
      <c r="C239" s="12" t="s">
        <v>65</v>
      </c>
      <c r="D239" s="12" t="s">
        <v>102</v>
      </c>
      <c r="E239" s="12" t="s">
        <v>142</v>
      </c>
      <c r="F239" s="13" t="s">
        <v>143</v>
      </c>
      <c r="G239" s="12" t="s">
        <v>68</v>
      </c>
      <c r="H239" s="12" t="s">
        <v>144</v>
      </c>
      <c r="I239" s="12" t="s">
        <v>145</v>
      </c>
      <c r="J239" s="17" t="s">
        <v>2169</v>
      </c>
      <c r="K239" s="18" t="s">
        <v>2170</v>
      </c>
      <c r="L239" s="20">
        <v>45854.0</v>
      </c>
      <c r="M239" s="17" t="s">
        <v>28</v>
      </c>
      <c r="N239" s="17" t="s">
        <v>2750</v>
      </c>
      <c r="O239" s="17">
        <v>4.8656565E7</v>
      </c>
      <c r="P239" s="17" t="s">
        <v>2751</v>
      </c>
      <c r="Q239" s="17" t="s">
        <v>108</v>
      </c>
      <c r="S239" s="17" t="s">
        <v>2752</v>
      </c>
      <c r="U239" s="24"/>
      <c r="V239" s="24"/>
      <c r="W239" s="18" t="s">
        <v>92</v>
      </c>
    </row>
    <row r="240">
      <c r="A240" s="11"/>
      <c r="B240" s="12" t="s">
        <v>34</v>
      </c>
      <c r="C240" s="12" t="s">
        <v>65</v>
      </c>
      <c r="D240" s="12" t="s">
        <v>102</v>
      </c>
      <c r="E240" s="12" t="s">
        <v>142</v>
      </c>
      <c r="F240" s="13" t="s">
        <v>143</v>
      </c>
      <c r="G240" s="12" t="s">
        <v>68</v>
      </c>
      <c r="H240" s="12" t="s">
        <v>144</v>
      </c>
      <c r="I240" s="12" t="s">
        <v>145</v>
      </c>
      <c r="J240" s="17" t="s">
        <v>2169</v>
      </c>
      <c r="K240" s="18" t="s">
        <v>2170</v>
      </c>
      <c r="L240" s="20">
        <v>45854.0</v>
      </c>
      <c r="M240" s="17" t="s">
        <v>28</v>
      </c>
      <c r="N240" s="17" t="s">
        <v>2753</v>
      </c>
      <c r="O240" s="17">
        <v>9183326.0</v>
      </c>
      <c r="P240" s="17" t="s">
        <v>2754</v>
      </c>
      <c r="Q240" s="17" t="s">
        <v>112</v>
      </c>
      <c r="S240" s="17" t="s">
        <v>2755</v>
      </c>
      <c r="U240" s="24"/>
      <c r="V240" s="24"/>
      <c r="W240" s="18" t="s">
        <v>92</v>
      </c>
    </row>
    <row r="241">
      <c r="A241" s="11"/>
      <c r="B241" s="12" t="s">
        <v>34</v>
      </c>
      <c r="C241" s="12" t="s">
        <v>65</v>
      </c>
      <c r="D241" s="12" t="s">
        <v>102</v>
      </c>
      <c r="E241" s="12" t="s">
        <v>142</v>
      </c>
      <c r="F241" s="13" t="s">
        <v>143</v>
      </c>
      <c r="G241" s="12" t="s">
        <v>68</v>
      </c>
      <c r="H241" s="12" t="s">
        <v>144</v>
      </c>
      <c r="I241" s="12" t="s">
        <v>145</v>
      </c>
      <c r="J241" s="17" t="s">
        <v>2169</v>
      </c>
      <c r="K241" s="18" t="s">
        <v>2170</v>
      </c>
      <c r="L241" s="20">
        <v>45854.0</v>
      </c>
      <c r="M241" s="17" t="s">
        <v>28</v>
      </c>
      <c r="N241" s="17" t="s">
        <v>2756</v>
      </c>
      <c r="P241" s="17" t="s">
        <v>2757</v>
      </c>
      <c r="Q241" s="17" t="s">
        <v>108</v>
      </c>
      <c r="S241" s="17" t="s">
        <v>2758</v>
      </c>
      <c r="U241" s="24"/>
      <c r="V241" s="24"/>
      <c r="W241" s="18" t="s">
        <v>92</v>
      </c>
    </row>
    <row r="242">
      <c r="A242" s="11"/>
      <c r="B242" s="12" t="s">
        <v>34</v>
      </c>
      <c r="C242" s="12" t="s">
        <v>65</v>
      </c>
      <c r="D242" s="12" t="s">
        <v>102</v>
      </c>
      <c r="E242" s="12" t="s">
        <v>142</v>
      </c>
      <c r="F242" s="13" t="s">
        <v>143</v>
      </c>
      <c r="G242" s="12" t="s">
        <v>68</v>
      </c>
      <c r="H242" s="12" t="s">
        <v>144</v>
      </c>
      <c r="I242" s="12" t="s">
        <v>145</v>
      </c>
      <c r="J242" s="17" t="s">
        <v>2169</v>
      </c>
      <c r="K242" s="18" t="s">
        <v>2170</v>
      </c>
      <c r="L242" s="20">
        <v>45854.0</v>
      </c>
      <c r="M242" s="17" t="s">
        <v>28</v>
      </c>
      <c r="N242" s="17" t="s">
        <v>2759</v>
      </c>
      <c r="O242" s="17">
        <v>7.3234467E7</v>
      </c>
      <c r="P242" s="17" t="s">
        <v>2760</v>
      </c>
      <c r="Q242" s="17" t="s">
        <v>112</v>
      </c>
      <c r="S242" s="17" t="s">
        <v>2761</v>
      </c>
      <c r="U242" s="24"/>
      <c r="V242" s="24"/>
      <c r="W242" s="18" t="s">
        <v>92</v>
      </c>
    </row>
    <row r="243">
      <c r="A243" s="11"/>
      <c r="B243" s="12" t="s">
        <v>34</v>
      </c>
      <c r="C243" s="12" t="s">
        <v>65</v>
      </c>
      <c r="D243" s="12" t="s">
        <v>102</v>
      </c>
      <c r="E243" s="12" t="s">
        <v>142</v>
      </c>
      <c r="F243" s="13" t="s">
        <v>143</v>
      </c>
      <c r="G243" s="12" t="s">
        <v>68</v>
      </c>
      <c r="H243" s="12" t="s">
        <v>144</v>
      </c>
      <c r="I243" s="12" t="s">
        <v>145</v>
      </c>
      <c r="J243" s="17" t="s">
        <v>2169</v>
      </c>
      <c r="K243" s="18" t="s">
        <v>2170</v>
      </c>
      <c r="L243" s="20">
        <v>45854.0</v>
      </c>
      <c r="M243" s="17" t="s">
        <v>28</v>
      </c>
      <c r="N243" s="17" t="s">
        <v>2762</v>
      </c>
      <c r="O243" s="17">
        <v>6.2069678E7</v>
      </c>
      <c r="P243" s="17" t="s">
        <v>2763</v>
      </c>
      <c r="Q243" s="17" t="s">
        <v>73</v>
      </c>
      <c r="S243" s="17" t="s">
        <v>2764</v>
      </c>
      <c r="U243" s="24"/>
      <c r="V243" s="24"/>
      <c r="W243" s="18" t="s">
        <v>92</v>
      </c>
    </row>
    <row r="244">
      <c r="A244" s="11"/>
      <c r="B244" s="12" t="s">
        <v>34</v>
      </c>
      <c r="C244" s="12" t="s">
        <v>65</v>
      </c>
      <c r="D244" s="12" t="s">
        <v>102</v>
      </c>
      <c r="E244" s="12" t="s">
        <v>142</v>
      </c>
      <c r="F244" s="13" t="s">
        <v>143</v>
      </c>
      <c r="G244" s="12" t="s">
        <v>68</v>
      </c>
      <c r="H244" s="12" t="s">
        <v>144</v>
      </c>
      <c r="I244" s="12" t="s">
        <v>145</v>
      </c>
      <c r="J244" s="17" t="s">
        <v>2169</v>
      </c>
      <c r="K244" s="18" t="s">
        <v>2170</v>
      </c>
      <c r="L244" s="20">
        <v>45854.0</v>
      </c>
      <c r="M244" s="17" t="s">
        <v>28</v>
      </c>
      <c r="N244" s="17" t="s">
        <v>2765</v>
      </c>
      <c r="O244" s="17">
        <v>6.0088194E7</v>
      </c>
      <c r="P244" s="17" t="s">
        <v>2766</v>
      </c>
      <c r="Q244" s="17" t="s">
        <v>73</v>
      </c>
      <c r="S244" s="17" t="s">
        <v>2767</v>
      </c>
      <c r="U244" s="24"/>
      <c r="V244" s="24"/>
      <c r="W244" s="18" t="s">
        <v>92</v>
      </c>
    </row>
    <row r="245">
      <c r="A245" s="11"/>
      <c r="B245" s="12" t="s">
        <v>34</v>
      </c>
      <c r="C245" s="12" t="s">
        <v>65</v>
      </c>
      <c r="D245" s="12" t="s">
        <v>102</v>
      </c>
      <c r="E245" s="12" t="s">
        <v>142</v>
      </c>
      <c r="F245" s="13" t="s">
        <v>143</v>
      </c>
      <c r="G245" s="12" t="s">
        <v>68</v>
      </c>
      <c r="H245" s="12" t="s">
        <v>144</v>
      </c>
      <c r="I245" s="12" t="s">
        <v>145</v>
      </c>
      <c r="J245" s="17" t="s">
        <v>2169</v>
      </c>
      <c r="K245" s="18" t="s">
        <v>2170</v>
      </c>
      <c r="L245" s="20">
        <v>45854.0</v>
      </c>
      <c r="M245" s="17" t="s">
        <v>28</v>
      </c>
      <c r="N245" s="17" t="s">
        <v>2768</v>
      </c>
      <c r="O245" s="17">
        <v>4.8219328E7</v>
      </c>
      <c r="P245" s="17" t="s">
        <v>2769</v>
      </c>
      <c r="Q245" s="17" t="s">
        <v>73</v>
      </c>
      <c r="S245" s="17" t="s">
        <v>2770</v>
      </c>
      <c r="U245" s="24"/>
      <c r="V245" s="24"/>
      <c r="W245" s="18" t="s">
        <v>92</v>
      </c>
    </row>
    <row r="246">
      <c r="A246" s="11"/>
      <c r="B246" s="12" t="s">
        <v>34</v>
      </c>
      <c r="C246" s="12" t="s">
        <v>65</v>
      </c>
      <c r="D246" s="12" t="s">
        <v>102</v>
      </c>
      <c r="E246" s="12" t="s">
        <v>142</v>
      </c>
      <c r="F246" s="13" t="s">
        <v>143</v>
      </c>
      <c r="G246" s="12" t="s">
        <v>68</v>
      </c>
      <c r="H246" s="12" t="s">
        <v>144</v>
      </c>
      <c r="I246" s="12" t="s">
        <v>145</v>
      </c>
      <c r="J246" s="17" t="s">
        <v>2169</v>
      </c>
      <c r="K246" s="18" t="s">
        <v>2170</v>
      </c>
      <c r="L246" s="20">
        <v>45854.0</v>
      </c>
      <c r="M246" s="17" t="s">
        <v>28</v>
      </c>
      <c r="N246" s="17" t="s">
        <v>2771</v>
      </c>
      <c r="O246" s="17">
        <v>7.3799219E7</v>
      </c>
      <c r="Q246" s="17" t="s">
        <v>112</v>
      </c>
      <c r="S246" s="17" t="s">
        <v>112</v>
      </c>
      <c r="U246" s="24"/>
      <c r="V246" s="24"/>
      <c r="W246" s="18" t="s">
        <v>92</v>
      </c>
    </row>
    <row r="247">
      <c r="A247" s="11"/>
      <c r="B247" s="12" t="s">
        <v>34</v>
      </c>
      <c r="C247" s="12" t="s">
        <v>65</v>
      </c>
      <c r="D247" s="12" t="s">
        <v>102</v>
      </c>
      <c r="E247" s="12" t="s">
        <v>142</v>
      </c>
      <c r="F247" s="13" t="s">
        <v>143</v>
      </c>
      <c r="G247" s="12" t="s">
        <v>68</v>
      </c>
      <c r="H247" s="12" t="s">
        <v>144</v>
      </c>
      <c r="I247" s="12" t="s">
        <v>145</v>
      </c>
      <c r="J247" s="17" t="s">
        <v>2169</v>
      </c>
      <c r="K247" s="18" t="s">
        <v>2170</v>
      </c>
      <c r="L247" s="20">
        <v>45854.0</v>
      </c>
      <c r="M247" s="17" t="s">
        <v>28</v>
      </c>
      <c r="N247" s="17" t="s">
        <v>2772</v>
      </c>
      <c r="O247" s="17">
        <v>9501925.0</v>
      </c>
      <c r="P247" s="17" t="s">
        <v>2773</v>
      </c>
      <c r="Q247" s="17" t="s">
        <v>108</v>
      </c>
      <c r="S247" s="17" t="s">
        <v>2774</v>
      </c>
      <c r="U247" s="24"/>
      <c r="V247" s="24"/>
      <c r="W247" s="18" t="s">
        <v>92</v>
      </c>
    </row>
    <row r="248">
      <c r="A248" s="11"/>
      <c r="B248" s="12" t="s">
        <v>34</v>
      </c>
      <c r="C248" s="12" t="s">
        <v>65</v>
      </c>
      <c r="D248" s="12" t="s">
        <v>102</v>
      </c>
      <c r="E248" s="12" t="s">
        <v>142</v>
      </c>
      <c r="F248" s="13" t="s">
        <v>143</v>
      </c>
      <c r="G248" s="12" t="s">
        <v>68</v>
      </c>
      <c r="H248" s="12" t="s">
        <v>144</v>
      </c>
      <c r="I248" s="12" t="s">
        <v>145</v>
      </c>
      <c r="J248" s="17" t="s">
        <v>2169</v>
      </c>
      <c r="K248" s="18" t="s">
        <v>2170</v>
      </c>
      <c r="L248" s="20">
        <v>45854.0</v>
      </c>
      <c r="M248" s="17" t="s">
        <v>23</v>
      </c>
      <c r="N248" s="17" t="s">
        <v>2775</v>
      </c>
      <c r="O248" s="17">
        <v>7.0996013E7</v>
      </c>
      <c r="Q248" s="17" t="s">
        <v>108</v>
      </c>
      <c r="S248" s="17" t="s">
        <v>108</v>
      </c>
      <c r="U248" s="24"/>
      <c r="V248" s="24"/>
      <c r="W248" s="18" t="s">
        <v>92</v>
      </c>
    </row>
    <row r="249">
      <c r="A249" s="11"/>
      <c r="B249" s="12" t="s">
        <v>34</v>
      </c>
      <c r="C249" s="12" t="s">
        <v>65</v>
      </c>
      <c r="D249" s="12" t="s">
        <v>102</v>
      </c>
      <c r="E249" s="12" t="s">
        <v>142</v>
      </c>
      <c r="F249" s="13" t="s">
        <v>143</v>
      </c>
      <c r="G249" s="12" t="s">
        <v>68</v>
      </c>
      <c r="H249" s="12" t="s">
        <v>144</v>
      </c>
      <c r="I249" s="12" t="s">
        <v>145</v>
      </c>
      <c r="J249" s="17" t="s">
        <v>2169</v>
      </c>
      <c r="K249" s="18" t="s">
        <v>2170</v>
      </c>
      <c r="L249" s="20">
        <v>45854.0</v>
      </c>
      <c r="M249" s="17" t="s">
        <v>23</v>
      </c>
      <c r="N249" s="17" t="s">
        <v>2776</v>
      </c>
      <c r="O249" s="17">
        <v>4.6948875E7</v>
      </c>
      <c r="Q249" s="17" t="s">
        <v>112</v>
      </c>
      <c r="S249" s="17" t="s">
        <v>112</v>
      </c>
      <c r="U249" s="24"/>
      <c r="V249" s="24"/>
      <c r="W249" s="18" t="s">
        <v>92</v>
      </c>
    </row>
    <row r="250">
      <c r="A250" s="11"/>
      <c r="B250" s="12" t="s">
        <v>34</v>
      </c>
      <c r="C250" s="12" t="s">
        <v>65</v>
      </c>
      <c r="D250" s="12" t="s">
        <v>102</v>
      </c>
      <c r="E250" s="12" t="s">
        <v>142</v>
      </c>
      <c r="F250" s="13" t="s">
        <v>143</v>
      </c>
      <c r="G250" s="12" t="s">
        <v>68</v>
      </c>
      <c r="H250" s="12" t="s">
        <v>144</v>
      </c>
      <c r="I250" s="12" t="s">
        <v>145</v>
      </c>
      <c r="J250" s="17" t="s">
        <v>2169</v>
      </c>
      <c r="K250" s="18" t="s">
        <v>2170</v>
      </c>
      <c r="L250" s="20">
        <v>45854.0</v>
      </c>
      <c r="M250" s="17" t="s">
        <v>23</v>
      </c>
      <c r="N250" s="17" t="s">
        <v>2777</v>
      </c>
      <c r="O250" s="17">
        <v>4.0767874E7</v>
      </c>
      <c r="Q250" s="17" t="s">
        <v>108</v>
      </c>
      <c r="S250" s="17" t="s">
        <v>108</v>
      </c>
      <c r="U250" s="24"/>
      <c r="V250" s="24"/>
      <c r="W250" s="18" t="s">
        <v>92</v>
      </c>
    </row>
    <row r="251">
      <c r="A251" s="11"/>
      <c r="B251" s="12" t="s">
        <v>34</v>
      </c>
      <c r="C251" s="12" t="s">
        <v>65</v>
      </c>
      <c r="D251" s="12" t="s">
        <v>102</v>
      </c>
      <c r="E251" s="12" t="s">
        <v>142</v>
      </c>
      <c r="F251" s="13" t="s">
        <v>143</v>
      </c>
      <c r="G251" s="12" t="s">
        <v>68</v>
      </c>
      <c r="H251" s="12" t="s">
        <v>144</v>
      </c>
      <c r="I251" s="12" t="s">
        <v>145</v>
      </c>
      <c r="J251" s="17" t="s">
        <v>2169</v>
      </c>
      <c r="K251" s="18" t="s">
        <v>2170</v>
      </c>
      <c r="L251" s="20">
        <v>45854.0</v>
      </c>
      <c r="M251" s="17" t="s">
        <v>23</v>
      </c>
      <c r="N251" s="17" t="s">
        <v>2778</v>
      </c>
      <c r="O251" s="17">
        <v>1.5721393E7</v>
      </c>
      <c r="Q251" s="17" t="s">
        <v>73</v>
      </c>
      <c r="S251" s="17" t="s">
        <v>73</v>
      </c>
      <c r="U251" s="24"/>
      <c r="V251" s="24"/>
      <c r="W251" s="18" t="s">
        <v>92</v>
      </c>
    </row>
    <row r="252">
      <c r="A252" s="11"/>
      <c r="B252" s="12" t="s">
        <v>34</v>
      </c>
      <c r="C252" s="12" t="s">
        <v>65</v>
      </c>
      <c r="D252" s="12" t="s">
        <v>102</v>
      </c>
      <c r="E252" s="12" t="s">
        <v>142</v>
      </c>
      <c r="F252" s="13" t="s">
        <v>143</v>
      </c>
      <c r="G252" s="12" t="s">
        <v>68</v>
      </c>
      <c r="H252" s="12" t="s">
        <v>144</v>
      </c>
      <c r="I252" s="12" t="s">
        <v>145</v>
      </c>
      <c r="J252" s="17" t="s">
        <v>2779</v>
      </c>
      <c r="K252" s="18" t="s">
        <v>2780</v>
      </c>
      <c r="L252" s="20">
        <v>45889.0</v>
      </c>
      <c r="M252" s="17" t="s">
        <v>28</v>
      </c>
      <c r="N252" s="17" t="s">
        <v>146</v>
      </c>
      <c r="O252" s="17">
        <v>9656050.0</v>
      </c>
      <c r="P252" s="17" t="s">
        <v>147</v>
      </c>
      <c r="Q252" s="17" t="s">
        <v>108</v>
      </c>
      <c r="S252" s="17" t="s">
        <v>2698</v>
      </c>
      <c r="U252" s="24"/>
      <c r="V252" s="24"/>
      <c r="W252" s="18" t="s">
        <v>92</v>
      </c>
    </row>
    <row r="253">
      <c r="A253" s="11"/>
      <c r="B253" s="12" t="s">
        <v>34</v>
      </c>
      <c r="C253" s="12" t="s">
        <v>65</v>
      </c>
      <c r="D253" s="12" t="s">
        <v>102</v>
      </c>
      <c r="E253" s="12" t="s">
        <v>142</v>
      </c>
      <c r="F253" s="13" t="s">
        <v>143</v>
      </c>
      <c r="G253" s="12" t="s">
        <v>68</v>
      </c>
      <c r="H253" s="12" t="s">
        <v>144</v>
      </c>
      <c r="I253" s="12" t="s">
        <v>145</v>
      </c>
      <c r="J253" s="17" t="s">
        <v>2779</v>
      </c>
      <c r="K253" s="18" t="s">
        <v>2780</v>
      </c>
      <c r="L253" s="20">
        <v>45889.0</v>
      </c>
      <c r="M253" s="17" t="s">
        <v>28</v>
      </c>
      <c r="N253" s="17" t="s">
        <v>149</v>
      </c>
      <c r="O253" s="17">
        <v>7.3413898E7</v>
      </c>
      <c r="P253" s="17" t="s">
        <v>150</v>
      </c>
      <c r="Q253" s="17" t="s">
        <v>73</v>
      </c>
      <c r="S253" s="17" t="s">
        <v>2697</v>
      </c>
      <c r="U253" s="24"/>
      <c r="V253" s="24"/>
      <c r="W253" s="18" t="s">
        <v>92</v>
      </c>
    </row>
    <row r="254">
      <c r="A254" s="11"/>
      <c r="B254" s="12" t="s">
        <v>34</v>
      </c>
      <c r="C254" s="12" t="s">
        <v>65</v>
      </c>
      <c r="D254" s="12" t="s">
        <v>102</v>
      </c>
      <c r="E254" s="12" t="s">
        <v>142</v>
      </c>
      <c r="F254" s="13" t="s">
        <v>143</v>
      </c>
      <c r="G254" s="12" t="s">
        <v>68</v>
      </c>
      <c r="H254" s="12" t="s">
        <v>144</v>
      </c>
      <c r="I254" s="12" t="s">
        <v>145</v>
      </c>
      <c r="J254" s="17" t="s">
        <v>2779</v>
      </c>
      <c r="K254" s="18" t="s">
        <v>2780</v>
      </c>
      <c r="L254" s="20">
        <v>45889.0</v>
      </c>
      <c r="M254" s="17" t="s">
        <v>28</v>
      </c>
      <c r="N254" s="17" t="s">
        <v>2729</v>
      </c>
      <c r="O254" s="17">
        <v>1.0469766E7</v>
      </c>
      <c r="P254" s="17" t="s">
        <v>2730</v>
      </c>
      <c r="Q254" s="17" t="s">
        <v>108</v>
      </c>
      <c r="S254" s="17" t="s">
        <v>2731</v>
      </c>
      <c r="U254" s="24"/>
      <c r="V254" s="24"/>
      <c r="W254" s="18" t="s">
        <v>92</v>
      </c>
    </row>
    <row r="255">
      <c r="A255" s="11"/>
      <c r="B255" s="12" t="s">
        <v>34</v>
      </c>
      <c r="C255" s="12" t="s">
        <v>65</v>
      </c>
      <c r="D255" s="12" t="s">
        <v>102</v>
      </c>
      <c r="E255" s="12" t="s">
        <v>142</v>
      </c>
      <c r="F255" s="13" t="s">
        <v>143</v>
      </c>
      <c r="G255" s="12" t="s">
        <v>68</v>
      </c>
      <c r="H255" s="12" t="s">
        <v>144</v>
      </c>
      <c r="I255" s="12" t="s">
        <v>145</v>
      </c>
      <c r="J255" s="17" t="s">
        <v>2779</v>
      </c>
      <c r="K255" s="18" t="s">
        <v>2780</v>
      </c>
      <c r="L255" s="20">
        <v>45889.0</v>
      </c>
      <c r="M255" s="17" t="s">
        <v>28</v>
      </c>
      <c r="N255" s="46" t="s">
        <v>2732</v>
      </c>
      <c r="O255" s="17">
        <v>7.3862103E7</v>
      </c>
      <c r="P255" s="48" t="s">
        <v>2733</v>
      </c>
      <c r="Q255" s="48" t="s">
        <v>73</v>
      </c>
      <c r="R255" s="21"/>
      <c r="S255" s="48" t="s">
        <v>2734</v>
      </c>
      <c r="U255" s="24"/>
      <c r="V255" s="24"/>
      <c r="W255" s="18" t="s">
        <v>92</v>
      </c>
    </row>
    <row r="256">
      <c r="A256" s="11"/>
      <c r="B256" s="12" t="s">
        <v>34</v>
      </c>
      <c r="C256" s="12" t="s">
        <v>65</v>
      </c>
      <c r="D256" s="12" t="s">
        <v>102</v>
      </c>
      <c r="E256" s="12" t="s">
        <v>142</v>
      </c>
      <c r="F256" s="13" t="s">
        <v>143</v>
      </c>
      <c r="G256" s="12" t="s">
        <v>68</v>
      </c>
      <c r="H256" s="12" t="s">
        <v>144</v>
      </c>
      <c r="I256" s="12" t="s">
        <v>145</v>
      </c>
      <c r="J256" s="17" t="s">
        <v>2779</v>
      </c>
      <c r="K256" s="18" t="s">
        <v>2780</v>
      </c>
      <c r="L256" s="20">
        <v>45889.0</v>
      </c>
      <c r="M256" s="17" t="s">
        <v>28</v>
      </c>
      <c r="N256" s="17" t="s">
        <v>2762</v>
      </c>
      <c r="O256" s="17">
        <v>6.2069678E7</v>
      </c>
      <c r="P256" s="17" t="s">
        <v>2763</v>
      </c>
      <c r="Q256" s="17" t="s">
        <v>73</v>
      </c>
      <c r="S256" s="17" t="s">
        <v>2764</v>
      </c>
      <c r="U256" s="24"/>
      <c r="V256" s="24"/>
      <c r="W256" s="18" t="s">
        <v>92</v>
      </c>
    </row>
    <row r="257">
      <c r="A257" s="11"/>
      <c r="B257" s="12" t="s">
        <v>34</v>
      </c>
      <c r="C257" s="12" t="s">
        <v>65</v>
      </c>
      <c r="D257" s="12" t="s">
        <v>102</v>
      </c>
      <c r="E257" s="12" t="s">
        <v>142</v>
      </c>
      <c r="F257" s="13" t="s">
        <v>143</v>
      </c>
      <c r="G257" s="12" t="s">
        <v>68</v>
      </c>
      <c r="H257" s="12" t="s">
        <v>144</v>
      </c>
      <c r="I257" s="12" t="s">
        <v>145</v>
      </c>
      <c r="J257" s="17" t="s">
        <v>2779</v>
      </c>
      <c r="K257" s="18" t="s">
        <v>2780</v>
      </c>
      <c r="L257" s="20">
        <v>45889.0</v>
      </c>
      <c r="M257" s="17" t="s">
        <v>28</v>
      </c>
      <c r="N257" s="17" t="s">
        <v>2750</v>
      </c>
      <c r="O257" s="17">
        <v>4.8656565E7</v>
      </c>
      <c r="P257" s="17" t="s">
        <v>2751</v>
      </c>
      <c r="Q257" s="17" t="s">
        <v>108</v>
      </c>
      <c r="S257" s="17" t="s">
        <v>2752</v>
      </c>
      <c r="U257" s="24"/>
      <c r="V257" s="24"/>
      <c r="W257" s="18" t="s">
        <v>92</v>
      </c>
    </row>
    <row r="258">
      <c r="A258" s="11"/>
      <c r="B258" s="12" t="s">
        <v>34</v>
      </c>
      <c r="C258" s="12" t="s">
        <v>65</v>
      </c>
      <c r="D258" s="12" t="s">
        <v>102</v>
      </c>
      <c r="E258" s="12" t="s">
        <v>142</v>
      </c>
      <c r="F258" s="13" t="s">
        <v>143</v>
      </c>
      <c r="G258" s="12" t="s">
        <v>68</v>
      </c>
      <c r="H258" s="12" t="s">
        <v>144</v>
      </c>
      <c r="I258" s="12" t="s">
        <v>145</v>
      </c>
      <c r="J258" s="17" t="s">
        <v>2779</v>
      </c>
      <c r="K258" s="18" t="s">
        <v>2780</v>
      </c>
      <c r="L258" s="20">
        <v>45889.0</v>
      </c>
      <c r="M258" s="17" t="s">
        <v>28</v>
      </c>
      <c r="N258" s="17" t="s">
        <v>2772</v>
      </c>
      <c r="O258" s="17">
        <v>9501925.0</v>
      </c>
      <c r="P258" s="17" t="s">
        <v>2773</v>
      </c>
      <c r="Q258" s="17" t="s">
        <v>108</v>
      </c>
      <c r="S258" s="17" t="s">
        <v>2774</v>
      </c>
      <c r="U258" s="24"/>
      <c r="V258" s="24"/>
      <c r="W258" s="18" t="s">
        <v>92</v>
      </c>
    </row>
    <row r="259">
      <c r="A259" s="11"/>
      <c r="B259" s="12" t="s">
        <v>34</v>
      </c>
      <c r="C259" s="12" t="s">
        <v>65</v>
      </c>
      <c r="D259" s="12" t="s">
        <v>102</v>
      </c>
      <c r="E259" s="12" t="s">
        <v>142</v>
      </c>
      <c r="F259" s="13" t="s">
        <v>143</v>
      </c>
      <c r="G259" s="12" t="s">
        <v>68</v>
      </c>
      <c r="H259" s="12" t="s">
        <v>144</v>
      </c>
      <c r="I259" s="12" t="s">
        <v>145</v>
      </c>
      <c r="J259" s="17" t="s">
        <v>2779</v>
      </c>
      <c r="K259" s="18" t="s">
        <v>2780</v>
      </c>
      <c r="L259" s="20">
        <v>45889.0</v>
      </c>
      <c r="M259" s="17" t="s">
        <v>28</v>
      </c>
      <c r="N259" s="17" t="s">
        <v>2756</v>
      </c>
      <c r="O259" s="17">
        <v>4.7096445E7</v>
      </c>
      <c r="P259" s="17" t="s">
        <v>2757</v>
      </c>
      <c r="Q259" s="17" t="s">
        <v>108</v>
      </c>
      <c r="S259" s="17" t="s">
        <v>2758</v>
      </c>
      <c r="U259" s="24"/>
      <c r="V259" s="24"/>
      <c r="W259" s="18" t="s">
        <v>92</v>
      </c>
    </row>
    <row r="260">
      <c r="A260" s="11"/>
      <c r="B260" s="12" t="s">
        <v>34</v>
      </c>
      <c r="C260" s="12" t="s">
        <v>65</v>
      </c>
      <c r="D260" s="12" t="s">
        <v>102</v>
      </c>
      <c r="E260" s="12" t="s">
        <v>142</v>
      </c>
      <c r="F260" s="13" t="s">
        <v>143</v>
      </c>
      <c r="G260" s="12" t="s">
        <v>68</v>
      </c>
      <c r="H260" s="12" t="s">
        <v>144</v>
      </c>
      <c r="I260" s="12" t="s">
        <v>145</v>
      </c>
      <c r="J260" s="17" t="s">
        <v>2779</v>
      </c>
      <c r="K260" s="18" t="s">
        <v>2780</v>
      </c>
      <c r="L260" s="20">
        <v>45889.0</v>
      </c>
      <c r="M260" s="17" t="s">
        <v>28</v>
      </c>
      <c r="N260" s="17" t="s">
        <v>2705</v>
      </c>
      <c r="O260" s="17">
        <v>7.1780966E7</v>
      </c>
      <c r="P260" s="17" t="s">
        <v>2781</v>
      </c>
      <c r="Q260" s="17" t="s">
        <v>108</v>
      </c>
      <c r="S260" s="17" t="s">
        <v>2782</v>
      </c>
      <c r="U260" s="24"/>
      <c r="V260" s="24"/>
      <c r="W260" s="18" t="s">
        <v>92</v>
      </c>
    </row>
    <row r="261">
      <c r="A261" s="11"/>
      <c r="B261" s="12" t="s">
        <v>34</v>
      </c>
      <c r="C261" s="12" t="s">
        <v>65</v>
      </c>
      <c r="D261" s="12" t="s">
        <v>102</v>
      </c>
      <c r="E261" s="12" t="s">
        <v>142</v>
      </c>
      <c r="F261" s="13" t="s">
        <v>143</v>
      </c>
      <c r="G261" s="12" t="s">
        <v>68</v>
      </c>
      <c r="H261" s="12" t="s">
        <v>144</v>
      </c>
      <c r="I261" s="12" t="s">
        <v>145</v>
      </c>
      <c r="J261" s="17" t="s">
        <v>2779</v>
      </c>
      <c r="K261" s="18" t="s">
        <v>2780</v>
      </c>
      <c r="L261" s="20">
        <v>45889.0</v>
      </c>
      <c r="M261" s="17" t="s">
        <v>23</v>
      </c>
      <c r="N261" s="17" t="s">
        <v>2775</v>
      </c>
      <c r="O261" s="17">
        <v>4.6948875E7</v>
      </c>
      <c r="Q261" s="17" t="s">
        <v>108</v>
      </c>
      <c r="S261" s="17" t="s">
        <v>108</v>
      </c>
      <c r="U261" s="24"/>
      <c r="V261" s="24"/>
      <c r="W261" s="18" t="s">
        <v>92</v>
      </c>
    </row>
    <row r="262">
      <c r="A262" s="11"/>
      <c r="B262" s="12" t="s">
        <v>34</v>
      </c>
      <c r="C262" s="12" t="s">
        <v>65</v>
      </c>
      <c r="D262" s="12" t="s">
        <v>102</v>
      </c>
      <c r="E262" s="12" t="s">
        <v>142</v>
      </c>
      <c r="F262" s="13" t="s">
        <v>143</v>
      </c>
      <c r="G262" s="12" t="s">
        <v>68</v>
      </c>
      <c r="H262" s="12" t="s">
        <v>144</v>
      </c>
      <c r="I262" s="12" t="s">
        <v>145</v>
      </c>
      <c r="J262" s="17" t="s">
        <v>2779</v>
      </c>
      <c r="K262" s="18" t="s">
        <v>2780</v>
      </c>
      <c r="L262" s="20">
        <v>45889.0</v>
      </c>
      <c r="M262" s="17" t="s">
        <v>23</v>
      </c>
      <c r="N262" s="17" t="s">
        <v>2777</v>
      </c>
      <c r="O262" s="17">
        <v>4.0767874E7</v>
      </c>
      <c r="Q262" s="17" t="s">
        <v>108</v>
      </c>
      <c r="S262" s="17" t="s">
        <v>108</v>
      </c>
      <c r="U262" s="24"/>
      <c r="V262" s="24"/>
      <c r="W262" s="18" t="s">
        <v>92</v>
      </c>
    </row>
    <row r="263">
      <c r="A263" s="11"/>
      <c r="B263" s="12" t="s">
        <v>34</v>
      </c>
      <c r="C263" s="12" t="s">
        <v>65</v>
      </c>
      <c r="D263" s="12" t="s">
        <v>102</v>
      </c>
      <c r="E263" s="12" t="s">
        <v>142</v>
      </c>
      <c r="F263" s="13" t="s">
        <v>143</v>
      </c>
      <c r="G263" s="12" t="s">
        <v>68</v>
      </c>
      <c r="H263" s="12" t="s">
        <v>144</v>
      </c>
      <c r="I263" s="12" t="s">
        <v>145</v>
      </c>
      <c r="J263" s="17" t="s">
        <v>2779</v>
      </c>
      <c r="K263" s="18" t="s">
        <v>2780</v>
      </c>
      <c r="L263" s="20">
        <v>45889.0</v>
      </c>
      <c r="M263" s="17" t="s">
        <v>23</v>
      </c>
      <c r="N263" s="17" t="s">
        <v>2778</v>
      </c>
      <c r="O263" s="17">
        <v>1.5721393E7</v>
      </c>
      <c r="Q263" s="17" t="s">
        <v>73</v>
      </c>
      <c r="S263" s="17" t="s">
        <v>73</v>
      </c>
      <c r="U263" s="24"/>
      <c r="V263" s="24"/>
      <c r="W263" s="18" t="s">
        <v>92</v>
      </c>
    </row>
    <row r="264">
      <c r="A264" s="43"/>
      <c r="B264" s="44" t="s">
        <v>34</v>
      </c>
      <c r="C264" s="44" t="s">
        <v>65</v>
      </c>
      <c r="D264" s="44" t="s">
        <v>102</v>
      </c>
      <c r="E264" s="44" t="s">
        <v>142</v>
      </c>
      <c r="F264" s="45" t="s">
        <v>143</v>
      </c>
      <c r="G264" s="44" t="s">
        <v>68</v>
      </c>
      <c r="H264" s="44" t="s">
        <v>144</v>
      </c>
      <c r="I264" s="44" t="s">
        <v>145</v>
      </c>
      <c r="J264" s="48" t="s">
        <v>2783</v>
      </c>
      <c r="K264" s="117" t="s">
        <v>2784</v>
      </c>
      <c r="L264" s="22">
        <v>45932.0</v>
      </c>
      <c r="M264" s="46" t="s">
        <v>28</v>
      </c>
      <c r="N264" s="46" t="s">
        <v>2705</v>
      </c>
      <c r="O264" s="47">
        <v>7.1780966E7</v>
      </c>
      <c r="P264" s="21" t="s">
        <v>2781</v>
      </c>
      <c r="Q264" s="46" t="s">
        <v>108</v>
      </c>
      <c r="R264" s="21"/>
      <c r="S264" s="46" t="s">
        <v>2782</v>
      </c>
      <c r="T264" s="21"/>
      <c r="U264" s="21"/>
      <c r="V264" s="21"/>
      <c r="W264" s="51" t="s">
        <v>92</v>
      </c>
    </row>
    <row r="265">
      <c r="A265" s="43"/>
      <c r="B265" s="44" t="s">
        <v>34</v>
      </c>
      <c r="C265" s="44" t="s">
        <v>65</v>
      </c>
      <c r="D265" s="44" t="s">
        <v>102</v>
      </c>
      <c r="E265" s="44" t="s">
        <v>142</v>
      </c>
      <c r="F265" s="45" t="s">
        <v>143</v>
      </c>
      <c r="G265" s="44" t="s">
        <v>68</v>
      </c>
      <c r="H265" s="44" t="s">
        <v>144</v>
      </c>
      <c r="I265" s="44" t="s">
        <v>145</v>
      </c>
      <c r="J265" s="48" t="s">
        <v>2783</v>
      </c>
      <c r="K265" s="117" t="s">
        <v>2784</v>
      </c>
      <c r="L265" s="22">
        <v>45932.0</v>
      </c>
      <c r="M265" s="46" t="s">
        <v>28</v>
      </c>
      <c r="N265" s="17" t="s">
        <v>2785</v>
      </c>
      <c r="O265" s="17"/>
      <c r="Q265" s="17" t="s">
        <v>73</v>
      </c>
      <c r="S265" s="17" t="s">
        <v>73</v>
      </c>
      <c r="U265" s="24"/>
      <c r="V265" s="24"/>
      <c r="W265" s="18" t="s">
        <v>92</v>
      </c>
    </row>
    <row r="266">
      <c r="A266" s="43"/>
      <c r="B266" s="44" t="s">
        <v>34</v>
      </c>
      <c r="C266" s="44" t="s">
        <v>65</v>
      </c>
      <c r="D266" s="44" t="s">
        <v>102</v>
      </c>
      <c r="E266" s="44" t="s">
        <v>142</v>
      </c>
      <c r="F266" s="45" t="s">
        <v>143</v>
      </c>
      <c r="G266" s="44" t="s">
        <v>68</v>
      </c>
      <c r="H266" s="44" t="s">
        <v>144</v>
      </c>
      <c r="I266" s="44" t="s">
        <v>145</v>
      </c>
      <c r="J266" s="48" t="s">
        <v>2783</v>
      </c>
      <c r="K266" s="117" t="s">
        <v>2784</v>
      </c>
      <c r="L266" s="22">
        <v>45932.0</v>
      </c>
      <c r="M266" s="46" t="s">
        <v>28</v>
      </c>
      <c r="N266" s="17" t="s">
        <v>2786</v>
      </c>
      <c r="O266" s="17">
        <v>7.334178E7</v>
      </c>
      <c r="Q266" s="17" t="s">
        <v>73</v>
      </c>
      <c r="S266" s="17" t="s">
        <v>73</v>
      </c>
      <c r="U266" s="24"/>
      <c r="V266" s="24"/>
      <c r="W266" s="18" t="s">
        <v>92</v>
      </c>
    </row>
    <row r="267">
      <c r="A267" s="43"/>
      <c r="B267" s="44" t="s">
        <v>34</v>
      </c>
      <c r="C267" s="44" t="s">
        <v>65</v>
      </c>
      <c r="D267" s="44" t="s">
        <v>102</v>
      </c>
      <c r="E267" s="44" t="s">
        <v>142</v>
      </c>
      <c r="F267" s="45" t="s">
        <v>143</v>
      </c>
      <c r="G267" s="44" t="s">
        <v>68</v>
      </c>
      <c r="H267" s="44" t="s">
        <v>144</v>
      </c>
      <c r="I267" s="44" t="s">
        <v>145</v>
      </c>
      <c r="J267" s="48" t="s">
        <v>2783</v>
      </c>
      <c r="K267" s="117" t="s">
        <v>2784</v>
      </c>
      <c r="L267" s="22">
        <v>45932.0</v>
      </c>
      <c r="M267" s="46" t="s">
        <v>28</v>
      </c>
      <c r="N267" s="17" t="s">
        <v>2744</v>
      </c>
      <c r="O267" s="17">
        <v>7.3416405E7</v>
      </c>
      <c r="P267" s="17" t="s">
        <v>2745</v>
      </c>
      <c r="Q267" s="17" t="s">
        <v>108</v>
      </c>
      <c r="S267" s="17" t="s">
        <v>2746</v>
      </c>
      <c r="U267" s="24"/>
      <c r="V267" s="24"/>
      <c r="W267" s="18" t="s">
        <v>92</v>
      </c>
    </row>
    <row r="268">
      <c r="A268" s="43"/>
      <c r="B268" s="44" t="s">
        <v>34</v>
      </c>
      <c r="C268" s="44" t="s">
        <v>65</v>
      </c>
      <c r="D268" s="44" t="s">
        <v>102</v>
      </c>
      <c r="E268" s="44" t="s">
        <v>142</v>
      </c>
      <c r="F268" s="45" t="s">
        <v>143</v>
      </c>
      <c r="G268" s="44" t="s">
        <v>68</v>
      </c>
      <c r="H268" s="44" t="s">
        <v>144</v>
      </c>
      <c r="I268" s="44" t="s">
        <v>145</v>
      </c>
      <c r="J268" s="48" t="s">
        <v>2783</v>
      </c>
      <c r="K268" s="117" t="s">
        <v>2784</v>
      </c>
      <c r="L268" s="22">
        <v>45932.0</v>
      </c>
      <c r="M268" s="46" t="s">
        <v>28</v>
      </c>
      <c r="N268" s="17" t="s">
        <v>2787</v>
      </c>
      <c r="O268" s="17">
        <v>4.4535457E7</v>
      </c>
      <c r="Q268" s="17" t="s">
        <v>108</v>
      </c>
      <c r="S268" s="17" t="s">
        <v>108</v>
      </c>
      <c r="U268" s="24"/>
      <c r="V268" s="24"/>
      <c r="W268" s="18" t="s">
        <v>92</v>
      </c>
    </row>
    <row r="269">
      <c r="A269" s="43"/>
      <c r="B269" s="44" t="s">
        <v>34</v>
      </c>
      <c r="C269" s="44" t="s">
        <v>65</v>
      </c>
      <c r="D269" s="44" t="s">
        <v>102</v>
      </c>
      <c r="E269" s="44" t="s">
        <v>142</v>
      </c>
      <c r="F269" s="45" t="s">
        <v>143</v>
      </c>
      <c r="G269" s="44" t="s">
        <v>68</v>
      </c>
      <c r="H269" s="44" t="s">
        <v>144</v>
      </c>
      <c r="I269" s="44" t="s">
        <v>145</v>
      </c>
      <c r="J269" s="48" t="s">
        <v>2783</v>
      </c>
      <c r="K269" s="117" t="s">
        <v>2784</v>
      </c>
      <c r="L269" s="22">
        <v>45932.0</v>
      </c>
      <c r="M269" s="46" t="s">
        <v>28</v>
      </c>
      <c r="N269" s="17" t="s">
        <v>2788</v>
      </c>
      <c r="O269" s="17">
        <v>4.5453208E7</v>
      </c>
      <c r="Q269" s="17" t="s">
        <v>108</v>
      </c>
      <c r="S269" s="17" t="s">
        <v>108</v>
      </c>
      <c r="U269" s="24"/>
      <c r="V269" s="24"/>
      <c r="W269" s="18" t="s">
        <v>92</v>
      </c>
    </row>
    <row r="270">
      <c r="A270" s="43"/>
      <c r="B270" s="44" t="s">
        <v>34</v>
      </c>
      <c r="C270" s="44" t="s">
        <v>65</v>
      </c>
      <c r="D270" s="44" t="s">
        <v>102</v>
      </c>
      <c r="E270" s="44" t="s">
        <v>142</v>
      </c>
      <c r="F270" s="45" t="s">
        <v>143</v>
      </c>
      <c r="G270" s="44" t="s">
        <v>68</v>
      </c>
      <c r="H270" s="44" t="s">
        <v>144</v>
      </c>
      <c r="I270" s="44" t="s">
        <v>145</v>
      </c>
      <c r="J270" s="48" t="s">
        <v>2783</v>
      </c>
      <c r="K270" s="117" t="s">
        <v>2784</v>
      </c>
      <c r="L270" s="22">
        <v>45932.0</v>
      </c>
      <c r="M270" s="46" t="s">
        <v>28</v>
      </c>
      <c r="N270" s="17" t="s">
        <v>2789</v>
      </c>
      <c r="O270" s="17">
        <v>4.588909E7</v>
      </c>
      <c r="Q270" s="17" t="s">
        <v>108</v>
      </c>
      <c r="S270" s="17" t="s">
        <v>108</v>
      </c>
      <c r="U270" s="24"/>
      <c r="V270" s="24"/>
      <c r="W270" s="18" t="s">
        <v>92</v>
      </c>
    </row>
    <row r="271">
      <c r="A271" s="43"/>
      <c r="B271" s="44" t="s">
        <v>34</v>
      </c>
      <c r="C271" s="44" t="s">
        <v>65</v>
      </c>
      <c r="D271" s="44" t="s">
        <v>102</v>
      </c>
      <c r="E271" s="44" t="s">
        <v>142</v>
      </c>
      <c r="F271" s="45" t="s">
        <v>143</v>
      </c>
      <c r="G271" s="44" t="s">
        <v>68</v>
      </c>
      <c r="H271" s="44" t="s">
        <v>144</v>
      </c>
      <c r="I271" s="44" t="s">
        <v>145</v>
      </c>
      <c r="J271" s="48" t="s">
        <v>2783</v>
      </c>
      <c r="K271" s="117" t="s">
        <v>2784</v>
      </c>
      <c r="L271" s="22">
        <v>45932.0</v>
      </c>
      <c r="M271" s="46" t="s">
        <v>28</v>
      </c>
      <c r="N271" s="17" t="s">
        <v>2790</v>
      </c>
      <c r="O271" s="17">
        <v>7.3392689E7</v>
      </c>
      <c r="P271" s="17" t="s">
        <v>2791</v>
      </c>
      <c r="Q271" s="17" t="s">
        <v>108</v>
      </c>
      <c r="S271" s="17" t="s">
        <v>2792</v>
      </c>
      <c r="U271" s="24"/>
      <c r="V271" s="24"/>
      <c r="W271" s="18" t="s">
        <v>92</v>
      </c>
    </row>
    <row r="272">
      <c r="A272" s="43"/>
      <c r="B272" s="44" t="s">
        <v>34</v>
      </c>
      <c r="C272" s="44" t="s">
        <v>65</v>
      </c>
      <c r="D272" s="44" t="s">
        <v>102</v>
      </c>
      <c r="E272" s="44" t="s">
        <v>142</v>
      </c>
      <c r="F272" s="45" t="s">
        <v>143</v>
      </c>
      <c r="G272" s="44" t="s">
        <v>68</v>
      </c>
      <c r="H272" s="44" t="s">
        <v>144</v>
      </c>
      <c r="I272" s="44" t="s">
        <v>145</v>
      </c>
      <c r="J272" s="48" t="s">
        <v>2783</v>
      </c>
      <c r="K272" s="117" t="s">
        <v>2784</v>
      </c>
      <c r="L272" s="22">
        <v>45932.0</v>
      </c>
      <c r="M272" s="46" t="s">
        <v>28</v>
      </c>
      <c r="N272" s="17" t="s">
        <v>2793</v>
      </c>
      <c r="O272" s="17">
        <v>7.2108978E7</v>
      </c>
      <c r="Q272" s="17" t="s">
        <v>108</v>
      </c>
      <c r="S272" s="17" t="s">
        <v>108</v>
      </c>
      <c r="U272" s="24"/>
      <c r="V272" s="24"/>
      <c r="W272" s="18" t="s">
        <v>92</v>
      </c>
    </row>
    <row r="273">
      <c r="A273" s="43"/>
      <c r="B273" s="44" t="s">
        <v>34</v>
      </c>
      <c r="C273" s="44" t="s">
        <v>65</v>
      </c>
      <c r="D273" s="44" t="s">
        <v>102</v>
      </c>
      <c r="E273" s="44" t="s">
        <v>142</v>
      </c>
      <c r="F273" s="45" t="s">
        <v>143</v>
      </c>
      <c r="G273" s="44" t="s">
        <v>68</v>
      </c>
      <c r="H273" s="44" t="s">
        <v>144</v>
      </c>
      <c r="I273" s="44" t="s">
        <v>145</v>
      </c>
      <c r="J273" s="48" t="s">
        <v>2783</v>
      </c>
      <c r="K273" s="117" t="s">
        <v>2784</v>
      </c>
      <c r="L273" s="22">
        <v>45932.0</v>
      </c>
      <c r="M273" s="46" t="s">
        <v>28</v>
      </c>
      <c r="N273" s="17" t="s">
        <v>2794</v>
      </c>
      <c r="O273" s="17">
        <v>7.4019185E7</v>
      </c>
      <c r="Q273" s="17" t="s">
        <v>108</v>
      </c>
      <c r="S273" s="17" t="s">
        <v>108</v>
      </c>
      <c r="U273" s="24"/>
      <c r="V273" s="24"/>
      <c r="W273" s="18" t="s">
        <v>92</v>
      </c>
    </row>
    <row r="274">
      <c r="A274" s="43"/>
      <c r="B274" s="44" t="s">
        <v>34</v>
      </c>
      <c r="C274" s="44" t="s">
        <v>65</v>
      </c>
      <c r="D274" s="44" t="s">
        <v>102</v>
      </c>
      <c r="E274" s="44" t="s">
        <v>142</v>
      </c>
      <c r="F274" s="45" t="s">
        <v>143</v>
      </c>
      <c r="G274" s="44" t="s">
        <v>68</v>
      </c>
      <c r="H274" s="44" t="s">
        <v>144</v>
      </c>
      <c r="I274" s="44" t="s">
        <v>145</v>
      </c>
      <c r="J274" s="48" t="s">
        <v>2783</v>
      </c>
      <c r="K274" s="117" t="s">
        <v>2784</v>
      </c>
      <c r="L274" s="22">
        <v>45932.0</v>
      </c>
      <c r="M274" s="46" t="s">
        <v>28</v>
      </c>
      <c r="N274" s="17" t="s">
        <v>2726</v>
      </c>
      <c r="O274" s="17">
        <v>7.2692882E7</v>
      </c>
      <c r="P274" s="17" t="s">
        <v>2727</v>
      </c>
      <c r="Q274" s="17" t="s">
        <v>108</v>
      </c>
      <c r="S274" s="17" t="s">
        <v>2728</v>
      </c>
      <c r="U274" s="24"/>
      <c r="V274" s="24"/>
      <c r="W274" s="18" t="s">
        <v>92</v>
      </c>
    </row>
    <row r="275">
      <c r="A275" s="43"/>
      <c r="B275" s="44" t="s">
        <v>34</v>
      </c>
      <c r="C275" s="44" t="s">
        <v>65</v>
      </c>
      <c r="D275" s="44" t="s">
        <v>102</v>
      </c>
      <c r="E275" s="44" t="s">
        <v>142</v>
      </c>
      <c r="F275" s="45" t="s">
        <v>143</v>
      </c>
      <c r="G275" s="44" t="s">
        <v>68</v>
      </c>
      <c r="H275" s="44" t="s">
        <v>144</v>
      </c>
      <c r="I275" s="44" t="s">
        <v>145</v>
      </c>
      <c r="J275" s="48" t="s">
        <v>2783</v>
      </c>
      <c r="K275" s="117" t="s">
        <v>2784</v>
      </c>
      <c r="L275" s="22">
        <v>45932.0</v>
      </c>
      <c r="M275" s="46" t="s">
        <v>28</v>
      </c>
      <c r="N275" s="17" t="s">
        <v>2795</v>
      </c>
      <c r="O275" s="17">
        <v>7.2862162E7</v>
      </c>
      <c r="Q275" s="17" t="s">
        <v>108</v>
      </c>
      <c r="S275" s="17" t="s">
        <v>108</v>
      </c>
      <c r="U275" s="24"/>
      <c r="V275" s="24"/>
      <c r="W275" s="18" t="s">
        <v>92</v>
      </c>
    </row>
    <row r="276">
      <c r="A276" s="43"/>
      <c r="B276" s="44" t="s">
        <v>34</v>
      </c>
      <c r="C276" s="44" t="s">
        <v>65</v>
      </c>
      <c r="D276" s="44" t="s">
        <v>102</v>
      </c>
      <c r="E276" s="44" t="s">
        <v>142</v>
      </c>
      <c r="F276" s="45" t="s">
        <v>143</v>
      </c>
      <c r="G276" s="44" t="s">
        <v>68</v>
      </c>
      <c r="H276" s="44" t="s">
        <v>144</v>
      </c>
      <c r="I276" s="44" t="s">
        <v>145</v>
      </c>
      <c r="J276" s="48" t="s">
        <v>2783</v>
      </c>
      <c r="K276" s="117" t="s">
        <v>2784</v>
      </c>
      <c r="L276" s="22">
        <v>45932.0</v>
      </c>
      <c r="M276" s="46" t="s">
        <v>28</v>
      </c>
      <c r="N276" s="17" t="s">
        <v>2729</v>
      </c>
      <c r="O276" s="17">
        <v>1.0469766E7</v>
      </c>
      <c r="P276" s="17" t="s">
        <v>2730</v>
      </c>
      <c r="Q276" s="17" t="s">
        <v>108</v>
      </c>
      <c r="S276" s="17" t="s">
        <v>2731</v>
      </c>
      <c r="U276" s="24"/>
      <c r="V276" s="24"/>
      <c r="W276" s="18" t="s">
        <v>92</v>
      </c>
    </row>
    <row r="277">
      <c r="A277" s="43"/>
      <c r="B277" s="44" t="s">
        <v>34</v>
      </c>
      <c r="C277" s="44" t="s">
        <v>65</v>
      </c>
      <c r="D277" s="44" t="s">
        <v>102</v>
      </c>
      <c r="E277" s="44" t="s">
        <v>142</v>
      </c>
      <c r="F277" s="45" t="s">
        <v>143</v>
      </c>
      <c r="G277" s="44" t="s">
        <v>68</v>
      </c>
      <c r="H277" s="44" t="s">
        <v>144</v>
      </c>
      <c r="I277" s="44" t="s">
        <v>145</v>
      </c>
      <c r="J277" s="48" t="s">
        <v>2783</v>
      </c>
      <c r="K277" s="117" t="s">
        <v>2784</v>
      </c>
      <c r="L277" s="22">
        <v>45932.0</v>
      </c>
      <c r="M277" s="46" t="s">
        <v>28</v>
      </c>
      <c r="N277" s="17" t="s">
        <v>2702</v>
      </c>
      <c r="O277" s="17">
        <v>7.7483194E7</v>
      </c>
      <c r="P277" s="17" t="s">
        <v>2703</v>
      </c>
      <c r="Q277" s="17" t="s">
        <v>108</v>
      </c>
      <c r="S277" s="17" t="s">
        <v>2704</v>
      </c>
      <c r="U277" s="24"/>
      <c r="V277" s="24"/>
      <c r="W277" s="18" t="s">
        <v>92</v>
      </c>
    </row>
    <row r="278">
      <c r="A278" s="43"/>
      <c r="B278" s="44" t="s">
        <v>34</v>
      </c>
      <c r="C278" s="44" t="s">
        <v>65</v>
      </c>
      <c r="D278" s="44" t="s">
        <v>102</v>
      </c>
      <c r="E278" s="44" t="s">
        <v>142</v>
      </c>
      <c r="F278" s="45" t="s">
        <v>143</v>
      </c>
      <c r="G278" s="44" t="s">
        <v>68</v>
      </c>
      <c r="H278" s="44" t="s">
        <v>144</v>
      </c>
      <c r="I278" s="44" t="s">
        <v>145</v>
      </c>
      <c r="J278" s="48" t="s">
        <v>2783</v>
      </c>
      <c r="K278" s="117" t="s">
        <v>2784</v>
      </c>
      <c r="L278" s="22">
        <v>45932.0</v>
      </c>
      <c r="M278" s="46" t="s">
        <v>28</v>
      </c>
      <c r="N278" s="17" t="s">
        <v>2750</v>
      </c>
      <c r="O278" s="17">
        <v>4.8656565E7</v>
      </c>
      <c r="P278" s="17" t="s">
        <v>2751</v>
      </c>
      <c r="Q278" s="17" t="s">
        <v>108</v>
      </c>
      <c r="S278" s="17" t="s">
        <v>2752</v>
      </c>
      <c r="U278" s="24"/>
      <c r="V278" s="24"/>
      <c r="W278" s="18" t="s">
        <v>92</v>
      </c>
    </row>
    <row r="279">
      <c r="A279" s="43"/>
      <c r="B279" s="44" t="s">
        <v>34</v>
      </c>
      <c r="C279" s="44" t="s">
        <v>65</v>
      </c>
      <c r="D279" s="44" t="s">
        <v>102</v>
      </c>
      <c r="E279" s="44" t="s">
        <v>142</v>
      </c>
      <c r="F279" s="45" t="s">
        <v>143</v>
      </c>
      <c r="G279" s="44" t="s">
        <v>68</v>
      </c>
      <c r="H279" s="44" t="s">
        <v>144</v>
      </c>
      <c r="I279" s="44" t="s">
        <v>145</v>
      </c>
      <c r="J279" s="48" t="s">
        <v>2783</v>
      </c>
      <c r="K279" s="117" t="s">
        <v>2784</v>
      </c>
      <c r="L279" s="22">
        <v>45932.0</v>
      </c>
      <c r="M279" s="46" t="s">
        <v>28</v>
      </c>
      <c r="N279" s="17" t="s">
        <v>2735</v>
      </c>
      <c r="O279" s="17">
        <v>9087146.0</v>
      </c>
      <c r="P279" s="17" t="s">
        <v>2736</v>
      </c>
      <c r="Q279" s="17" t="s">
        <v>108</v>
      </c>
      <c r="S279" s="17" t="s">
        <v>2737</v>
      </c>
      <c r="U279" s="24"/>
      <c r="V279" s="24"/>
      <c r="W279" s="18" t="s">
        <v>92</v>
      </c>
    </row>
    <row r="280">
      <c r="A280" s="43"/>
      <c r="B280" s="44" t="s">
        <v>34</v>
      </c>
      <c r="C280" s="44" t="s">
        <v>65</v>
      </c>
      <c r="D280" s="44" t="s">
        <v>102</v>
      </c>
      <c r="E280" s="44" t="s">
        <v>142</v>
      </c>
      <c r="F280" s="45" t="s">
        <v>143</v>
      </c>
      <c r="G280" s="44" t="s">
        <v>68</v>
      </c>
      <c r="H280" s="44" t="s">
        <v>144</v>
      </c>
      <c r="I280" s="44" t="s">
        <v>145</v>
      </c>
      <c r="J280" s="48" t="s">
        <v>2783</v>
      </c>
      <c r="K280" s="117" t="s">
        <v>2784</v>
      </c>
      <c r="L280" s="22">
        <v>45932.0</v>
      </c>
      <c r="M280" s="46" t="s">
        <v>28</v>
      </c>
      <c r="N280" s="17" t="s">
        <v>2756</v>
      </c>
      <c r="O280" s="17">
        <v>4.7096445E7</v>
      </c>
      <c r="P280" s="17" t="s">
        <v>2757</v>
      </c>
      <c r="Q280" s="17" t="s">
        <v>108</v>
      </c>
      <c r="S280" s="17" t="s">
        <v>2758</v>
      </c>
      <c r="U280" s="24"/>
      <c r="V280" s="24"/>
      <c r="W280" s="18" t="s">
        <v>92</v>
      </c>
    </row>
    <row r="281">
      <c r="A281" s="43"/>
      <c r="B281" s="44" t="s">
        <v>34</v>
      </c>
      <c r="C281" s="44" t="s">
        <v>65</v>
      </c>
      <c r="D281" s="44" t="s">
        <v>102</v>
      </c>
      <c r="E281" s="44" t="s">
        <v>142</v>
      </c>
      <c r="F281" s="45" t="s">
        <v>143</v>
      </c>
      <c r="G281" s="44" t="s">
        <v>68</v>
      </c>
      <c r="H281" s="44" t="s">
        <v>144</v>
      </c>
      <c r="I281" s="44" t="s">
        <v>145</v>
      </c>
      <c r="J281" s="48" t="s">
        <v>2783</v>
      </c>
      <c r="K281" s="117" t="s">
        <v>2784</v>
      </c>
      <c r="L281" s="22">
        <v>45932.0</v>
      </c>
      <c r="M281" s="48" t="s">
        <v>23</v>
      </c>
      <c r="N281" s="17" t="s">
        <v>2775</v>
      </c>
      <c r="O281" s="17">
        <v>4.6948875E7</v>
      </c>
      <c r="Q281" s="17" t="s">
        <v>108</v>
      </c>
      <c r="S281" s="17" t="s">
        <v>108</v>
      </c>
      <c r="U281" s="24"/>
      <c r="V281" s="24"/>
      <c r="W281" s="18" t="s">
        <v>92</v>
      </c>
    </row>
    <row r="282">
      <c r="A282" s="43"/>
      <c r="B282" s="44" t="s">
        <v>34</v>
      </c>
      <c r="C282" s="44" t="s">
        <v>65</v>
      </c>
      <c r="D282" s="44" t="s">
        <v>102</v>
      </c>
      <c r="E282" s="44" t="s">
        <v>142</v>
      </c>
      <c r="F282" s="45" t="s">
        <v>143</v>
      </c>
      <c r="G282" s="44" t="s">
        <v>68</v>
      </c>
      <c r="H282" s="44" t="s">
        <v>144</v>
      </c>
      <c r="I282" s="44" t="s">
        <v>145</v>
      </c>
      <c r="J282" s="48" t="s">
        <v>2783</v>
      </c>
      <c r="K282" s="117" t="s">
        <v>2784</v>
      </c>
      <c r="L282" s="22">
        <v>45932.0</v>
      </c>
      <c r="M282" s="48" t="s">
        <v>23</v>
      </c>
      <c r="N282" s="17" t="s">
        <v>2777</v>
      </c>
      <c r="O282" s="17">
        <v>4.0767874E7</v>
      </c>
      <c r="Q282" s="17" t="s">
        <v>108</v>
      </c>
      <c r="S282" s="17" t="s">
        <v>108</v>
      </c>
      <c r="U282" s="24"/>
      <c r="V282" s="24"/>
      <c r="W282" s="18" t="s">
        <v>92</v>
      </c>
    </row>
    <row r="283">
      <c r="A283" s="43"/>
      <c r="B283" s="44" t="s">
        <v>34</v>
      </c>
      <c r="C283" s="44" t="s">
        <v>65</v>
      </c>
      <c r="D283" s="44" t="s">
        <v>102</v>
      </c>
      <c r="E283" s="44" t="s">
        <v>142</v>
      </c>
      <c r="F283" s="45" t="s">
        <v>143</v>
      </c>
      <c r="G283" s="44" t="s">
        <v>68</v>
      </c>
      <c r="H283" s="44" t="s">
        <v>144</v>
      </c>
      <c r="I283" s="44" t="s">
        <v>145</v>
      </c>
      <c r="J283" s="48" t="s">
        <v>2783</v>
      </c>
      <c r="K283" s="117" t="s">
        <v>2784</v>
      </c>
      <c r="L283" s="22">
        <v>45932.0</v>
      </c>
      <c r="M283" s="48" t="s">
        <v>23</v>
      </c>
      <c r="N283" s="17" t="s">
        <v>2778</v>
      </c>
      <c r="O283" s="17">
        <v>1.5721393E7</v>
      </c>
      <c r="Q283" s="17" t="s">
        <v>73</v>
      </c>
      <c r="S283" s="17" t="s">
        <v>73</v>
      </c>
      <c r="U283" s="24"/>
      <c r="V283" s="24"/>
      <c r="W283" s="18" t="s">
        <v>92</v>
      </c>
    </row>
    <row r="284">
      <c r="A284" s="43"/>
      <c r="B284" s="44" t="s">
        <v>34</v>
      </c>
      <c r="C284" s="44" t="s">
        <v>65</v>
      </c>
      <c r="D284" s="44" t="s">
        <v>102</v>
      </c>
      <c r="E284" s="44" t="s">
        <v>142</v>
      </c>
      <c r="F284" s="45" t="s">
        <v>143</v>
      </c>
      <c r="G284" s="44" t="s">
        <v>68</v>
      </c>
      <c r="H284" s="44" t="s">
        <v>144</v>
      </c>
      <c r="I284" s="44" t="s">
        <v>145</v>
      </c>
      <c r="J284" s="48" t="s">
        <v>2783</v>
      </c>
      <c r="K284" s="117" t="s">
        <v>2784</v>
      </c>
      <c r="L284" s="22">
        <v>45932.0</v>
      </c>
      <c r="M284" s="48" t="s">
        <v>28</v>
      </c>
      <c r="N284" s="46" t="s">
        <v>2732</v>
      </c>
      <c r="O284" s="17">
        <v>7.3862103E7</v>
      </c>
      <c r="P284" s="48" t="s">
        <v>2733</v>
      </c>
      <c r="Q284" s="48" t="s">
        <v>73</v>
      </c>
      <c r="R284" s="21"/>
      <c r="S284" s="48" t="s">
        <v>2734</v>
      </c>
      <c r="U284" s="24"/>
      <c r="V284" s="24"/>
      <c r="W284" s="18" t="s">
        <v>92</v>
      </c>
    </row>
    <row r="285">
      <c r="A285" s="11"/>
      <c r="B285" s="12" t="s">
        <v>34</v>
      </c>
      <c r="C285" s="12" t="s">
        <v>65</v>
      </c>
      <c r="D285" s="12" t="s">
        <v>102</v>
      </c>
      <c r="E285" s="12" t="s">
        <v>142</v>
      </c>
      <c r="F285" s="13" t="s">
        <v>143</v>
      </c>
      <c r="G285" s="12" t="s">
        <v>68</v>
      </c>
      <c r="H285" s="12" t="s">
        <v>144</v>
      </c>
      <c r="I285" s="12" t="s">
        <v>145</v>
      </c>
      <c r="J285" s="17" t="s">
        <v>2796</v>
      </c>
      <c r="K285" s="18" t="s">
        <v>2797</v>
      </c>
      <c r="L285" s="20">
        <v>45958.0</v>
      </c>
      <c r="M285" s="17" t="s">
        <v>28</v>
      </c>
      <c r="N285" s="17" t="s">
        <v>146</v>
      </c>
      <c r="O285" s="17">
        <v>9656050.0</v>
      </c>
      <c r="P285" s="17" t="s">
        <v>147</v>
      </c>
      <c r="Q285" s="17" t="s">
        <v>108</v>
      </c>
      <c r="S285" s="17" t="s">
        <v>2698</v>
      </c>
      <c r="U285" s="24"/>
      <c r="V285" s="24"/>
      <c r="W285" s="18" t="s">
        <v>92</v>
      </c>
    </row>
    <row r="286">
      <c r="A286" s="43"/>
      <c r="B286" s="44" t="s">
        <v>34</v>
      </c>
      <c r="C286" s="44" t="s">
        <v>65</v>
      </c>
      <c r="D286" s="44" t="s">
        <v>102</v>
      </c>
      <c r="E286" s="44" t="s">
        <v>142</v>
      </c>
      <c r="F286" s="45" t="s">
        <v>143</v>
      </c>
      <c r="G286" s="44" t="s">
        <v>68</v>
      </c>
      <c r="H286" s="44" t="s">
        <v>144</v>
      </c>
      <c r="I286" s="44" t="s">
        <v>145</v>
      </c>
      <c r="J286" s="48" t="s">
        <v>2796</v>
      </c>
      <c r="K286" s="18" t="s">
        <v>2797</v>
      </c>
      <c r="L286" s="20">
        <v>45958.0</v>
      </c>
      <c r="M286" s="46" t="s">
        <v>28</v>
      </c>
      <c r="N286" s="17" t="s">
        <v>2729</v>
      </c>
      <c r="O286" s="17">
        <v>1.0469766E7</v>
      </c>
      <c r="P286" s="17" t="s">
        <v>2730</v>
      </c>
      <c r="Q286" s="17" t="s">
        <v>108</v>
      </c>
      <c r="S286" s="17" t="s">
        <v>2731</v>
      </c>
      <c r="U286" s="24"/>
      <c r="V286" s="24"/>
      <c r="W286" s="18" t="s">
        <v>92</v>
      </c>
    </row>
    <row r="287">
      <c r="A287" s="11"/>
      <c r="B287" s="12" t="s">
        <v>34</v>
      </c>
      <c r="C287" s="12" t="s">
        <v>65</v>
      </c>
      <c r="D287" s="12" t="s">
        <v>102</v>
      </c>
      <c r="E287" s="12" t="s">
        <v>142</v>
      </c>
      <c r="F287" s="13" t="s">
        <v>143</v>
      </c>
      <c r="G287" s="12" t="s">
        <v>68</v>
      </c>
      <c r="H287" s="12" t="s">
        <v>144</v>
      </c>
      <c r="I287" s="12" t="s">
        <v>145</v>
      </c>
      <c r="J287" s="17" t="s">
        <v>2796</v>
      </c>
      <c r="K287" s="18" t="s">
        <v>2797</v>
      </c>
      <c r="L287" s="20">
        <v>45958.0</v>
      </c>
      <c r="M287" s="17" t="s">
        <v>28</v>
      </c>
      <c r="N287" s="17" t="s">
        <v>149</v>
      </c>
      <c r="O287" s="17">
        <v>7.3413898E7</v>
      </c>
      <c r="P287" s="17" t="s">
        <v>150</v>
      </c>
      <c r="Q287" s="17" t="s">
        <v>73</v>
      </c>
      <c r="S287" s="17" t="s">
        <v>2697</v>
      </c>
      <c r="U287" s="24"/>
      <c r="V287" s="24"/>
      <c r="W287" s="18" t="s">
        <v>92</v>
      </c>
    </row>
    <row r="288">
      <c r="A288" s="11"/>
      <c r="B288" s="12" t="s">
        <v>34</v>
      </c>
      <c r="C288" s="12" t="s">
        <v>65</v>
      </c>
      <c r="D288" s="12" t="s">
        <v>102</v>
      </c>
      <c r="E288" s="12" t="s">
        <v>142</v>
      </c>
      <c r="F288" s="13" t="s">
        <v>143</v>
      </c>
      <c r="G288" s="12" t="s">
        <v>68</v>
      </c>
      <c r="H288" s="12" t="s">
        <v>144</v>
      </c>
      <c r="I288" s="12" t="s">
        <v>145</v>
      </c>
      <c r="J288" s="17" t="s">
        <v>2796</v>
      </c>
      <c r="K288" s="18" t="s">
        <v>2797</v>
      </c>
      <c r="L288" s="20">
        <v>45958.0</v>
      </c>
      <c r="M288" s="17" t="s">
        <v>28</v>
      </c>
      <c r="N288" s="17" t="s">
        <v>2798</v>
      </c>
      <c r="O288" s="17">
        <v>7.2031922E7</v>
      </c>
      <c r="P288" s="17" t="s">
        <v>1659</v>
      </c>
      <c r="Q288" s="17" t="s">
        <v>112</v>
      </c>
      <c r="S288" s="17" t="s">
        <v>2799</v>
      </c>
      <c r="U288" s="24"/>
      <c r="V288" s="24"/>
      <c r="W288" s="18" t="s">
        <v>92</v>
      </c>
    </row>
    <row r="289">
      <c r="A289" s="43"/>
      <c r="B289" s="44" t="s">
        <v>34</v>
      </c>
      <c r="C289" s="44" t="s">
        <v>65</v>
      </c>
      <c r="D289" s="44" t="s">
        <v>102</v>
      </c>
      <c r="E289" s="44" t="s">
        <v>142</v>
      </c>
      <c r="F289" s="45" t="s">
        <v>143</v>
      </c>
      <c r="G289" s="44" t="s">
        <v>68</v>
      </c>
      <c r="H289" s="44" t="s">
        <v>144</v>
      </c>
      <c r="I289" s="44" t="s">
        <v>145</v>
      </c>
      <c r="J289" s="17" t="s">
        <v>2796</v>
      </c>
      <c r="K289" s="18" t="s">
        <v>2797</v>
      </c>
      <c r="L289" s="20">
        <v>45958.0</v>
      </c>
      <c r="M289" s="48" t="s">
        <v>23</v>
      </c>
      <c r="N289" s="17" t="s">
        <v>2775</v>
      </c>
      <c r="O289" s="17">
        <v>4.6948875E7</v>
      </c>
      <c r="Q289" s="17" t="s">
        <v>108</v>
      </c>
      <c r="S289" s="17" t="s">
        <v>108</v>
      </c>
      <c r="U289" s="24"/>
      <c r="V289" s="24"/>
      <c r="W289" s="18" t="s">
        <v>92</v>
      </c>
    </row>
    <row r="290">
      <c r="A290" s="43"/>
      <c r="B290" s="44" t="s">
        <v>34</v>
      </c>
      <c r="C290" s="44" t="s">
        <v>65</v>
      </c>
      <c r="D290" s="44" t="s">
        <v>102</v>
      </c>
      <c r="E290" s="44" t="s">
        <v>142</v>
      </c>
      <c r="F290" s="45" t="s">
        <v>143</v>
      </c>
      <c r="G290" s="44" t="s">
        <v>68</v>
      </c>
      <c r="H290" s="44" t="s">
        <v>144</v>
      </c>
      <c r="I290" s="44" t="s">
        <v>145</v>
      </c>
      <c r="J290" s="17" t="s">
        <v>2796</v>
      </c>
      <c r="K290" s="18" t="s">
        <v>2797</v>
      </c>
      <c r="L290" s="20">
        <v>45958.0</v>
      </c>
      <c r="M290" s="48" t="s">
        <v>23</v>
      </c>
      <c r="N290" s="17" t="s">
        <v>2777</v>
      </c>
      <c r="O290" s="17">
        <v>4.0767874E7</v>
      </c>
      <c r="Q290" s="17" t="s">
        <v>108</v>
      </c>
      <c r="S290" s="17" t="s">
        <v>108</v>
      </c>
      <c r="U290" s="24"/>
      <c r="V290" s="24"/>
      <c r="W290" s="18" t="s">
        <v>92</v>
      </c>
    </row>
    <row r="291">
      <c r="A291" s="43"/>
      <c r="B291" s="44" t="s">
        <v>34</v>
      </c>
      <c r="C291" s="44" t="s">
        <v>65</v>
      </c>
      <c r="D291" s="44" t="s">
        <v>102</v>
      </c>
      <c r="E291" s="44" t="s">
        <v>142</v>
      </c>
      <c r="F291" s="45" t="s">
        <v>143</v>
      </c>
      <c r="G291" s="44" t="s">
        <v>68</v>
      </c>
      <c r="H291" s="44" t="s">
        <v>144</v>
      </c>
      <c r="I291" s="44" t="s">
        <v>145</v>
      </c>
      <c r="J291" s="17" t="s">
        <v>2796</v>
      </c>
      <c r="K291" s="18" t="s">
        <v>2797</v>
      </c>
      <c r="L291" s="20">
        <v>45958.0</v>
      </c>
      <c r="M291" s="48" t="s">
        <v>23</v>
      </c>
      <c r="N291" s="17" t="s">
        <v>2778</v>
      </c>
      <c r="O291" s="17">
        <v>1.5721393E7</v>
      </c>
      <c r="Q291" s="17" t="s">
        <v>73</v>
      </c>
      <c r="S291" s="17" t="s">
        <v>73</v>
      </c>
      <c r="U291" s="24"/>
      <c r="V291" s="24"/>
      <c r="W291" s="18" t="s">
        <v>92</v>
      </c>
    </row>
    <row r="292">
      <c r="A292" s="11"/>
      <c r="B292" s="12" t="s">
        <v>34</v>
      </c>
      <c r="C292" s="12" t="s">
        <v>65</v>
      </c>
      <c r="D292" s="12" t="s">
        <v>102</v>
      </c>
      <c r="E292" s="12" t="s">
        <v>142</v>
      </c>
      <c r="F292" s="13" t="s">
        <v>143</v>
      </c>
      <c r="G292" s="12" t="s">
        <v>68</v>
      </c>
      <c r="H292" s="12" t="s">
        <v>144</v>
      </c>
      <c r="I292" s="12" t="s">
        <v>145</v>
      </c>
      <c r="J292" s="17" t="s">
        <v>2800</v>
      </c>
      <c r="K292" s="18" t="s">
        <v>2801</v>
      </c>
      <c r="L292" s="20">
        <v>45973.0</v>
      </c>
      <c r="M292" s="17" t="s">
        <v>28</v>
      </c>
      <c r="N292" s="17" t="s">
        <v>146</v>
      </c>
      <c r="O292" s="17">
        <v>9656050.0</v>
      </c>
      <c r="P292" s="17" t="s">
        <v>147</v>
      </c>
      <c r="Q292" s="17" t="s">
        <v>108</v>
      </c>
      <c r="S292" s="17" t="s">
        <v>2698</v>
      </c>
      <c r="U292" s="24"/>
      <c r="V292" s="24"/>
      <c r="W292" s="18" t="s">
        <v>92</v>
      </c>
    </row>
    <row r="293">
      <c r="A293" s="11"/>
      <c r="B293" s="12" t="s">
        <v>34</v>
      </c>
      <c r="C293" s="12" t="s">
        <v>65</v>
      </c>
      <c r="D293" s="12" t="s">
        <v>102</v>
      </c>
      <c r="E293" s="12" t="s">
        <v>142</v>
      </c>
      <c r="F293" s="13" t="s">
        <v>143</v>
      </c>
      <c r="G293" s="12" t="s">
        <v>68</v>
      </c>
      <c r="H293" s="12" t="s">
        <v>144</v>
      </c>
      <c r="I293" s="12" t="s">
        <v>145</v>
      </c>
      <c r="J293" s="17" t="s">
        <v>2800</v>
      </c>
      <c r="K293" s="18" t="s">
        <v>2801</v>
      </c>
      <c r="L293" s="20">
        <v>45973.0</v>
      </c>
      <c r="M293" s="17" t="s">
        <v>28</v>
      </c>
      <c r="N293" s="17" t="s">
        <v>149</v>
      </c>
      <c r="O293" s="17">
        <v>7.3413898E7</v>
      </c>
      <c r="P293" s="17" t="s">
        <v>150</v>
      </c>
      <c r="Q293" s="17" t="s">
        <v>73</v>
      </c>
      <c r="S293" s="17" t="s">
        <v>2697</v>
      </c>
      <c r="U293" s="24"/>
      <c r="V293" s="24"/>
      <c r="W293" s="18" t="s">
        <v>92</v>
      </c>
    </row>
    <row r="294">
      <c r="A294" s="43"/>
      <c r="B294" s="44" t="s">
        <v>34</v>
      </c>
      <c r="C294" s="44" t="s">
        <v>65</v>
      </c>
      <c r="D294" s="44" t="s">
        <v>102</v>
      </c>
      <c r="E294" s="44" t="s">
        <v>142</v>
      </c>
      <c r="F294" s="45" t="s">
        <v>143</v>
      </c>
      <c r="G294" s="44" t="s">
        <v>68</v>
      </c>
      <c r="H294" s="44" t="s">
        <v>144</v>
      </c>
      <c r="I294" s="44" t="s">
        <v>145</v>
      </c>
      <c r="J294" s="17" t="s">
        <v>2800</v>
      </c>
      <c r="K294" s="18" t="s">
        <v>2801</v>
      </c>
      <c r="L294" s="20">
        <v>45973.0</v>
      </c>
      <c r="M294" s="46" t="s">
        <v>28</v>
      </c>
      <c r="N294" s="17" t="s">
        <v>2790</v>
      </c>
      <c r="O294" s="17">
        <v>7.3392689E7</v>
      </c>
      <c r="P294" s="17" t="s">
        <v>2791</v>
      </c>
      <c r="Q294" s="17" t="s">
        <v>108</v>
      </c>
      <c r="S294" s="17" t="s">
        <v>2792</v>
      </c>
      <c r="U294" s="24"/>
      <c r="V294" s="24"/>
      <c r="W294" s="18" t="s">
        <v>92</v>
      </c>
    </row>
    <row r="295">
      <c r="A295" s="11"/>
      <c r="B295" s="12" t="s">
        <v>34</v>
      </c>
      <c r="C295" s="12" t="s">
        <v>65</v>
      </c>
      <c r="D295" s="12" t="s">
        <v>102</v>
      </c>
      <c r="E295" s="12" t="s">
        <v>142</v>
      </c>
      <c r="F295" s="13" t="s">
        <v>143</v>
      </c>
      <c r="G295" s="12" t="s">
        <v>68</v>
      </c>
      <c r="H295" s="12" t="s">
        <v>144</v>
      </c>
      <c r="I295" s="12" t="s">
        <v>145</v>
      </c>
      <c r="J295" s="17" t="s">
        <v>2800</v>
      </c>
      <c r="K295" s="18" t="s">
        <v>2801</v>
      </c>
      <c r="L295" s="20">
        <v>45973.0</v>
      </c>
      <c r="M295" s="17" t="s">
        <v>28</v>
      </c>
      <c r="N295" s="17" t="s">
        <v>2772</v>
      </c>
      <c r="O295" s="17">
        <v>9501925.0</v>
      </c>
      <c r="P295" s="17" t="s">
        <v>2773</v>
      </c>
      <c r="Q295" s="17" t="s">
        <v>108</v>
      </c>
      <c r="S295" s="17" t="s">
        <v>2774</v>
      </c>
      <c r="U295" s="24"/>
      <c r="V295" s="24"/>
      <c r="W295" s="18" t="s">
        <v>92</v>
      </c>
    </row>
    <row r="296">
      <c r="A296" s="43"/>
      <c r="B296" s="44" t="s">
        <v>34</v>
      </c>
      <c r="C296" s="44" t="s">
        <v>65</v>
      </c>
      <c r="D296" s="44" t="s">
        <v>102</v>
      </c>
      <c r="E296" s="44" t="s">
        <v>142</v>
      </c>
      <c r="F296" s="45" t="s">
        <v>143</v>
      </c>
      <c r="G296" s="44" t="s">
        <v>68</v>
      </c>
      <c r="H296" s="44" t="s">
        <v>144</v>
      </c>
      <c r="I296" s="44" t="s">
        <v>145</v>
      </c>
      <c r="J296" s="17" t="s">
        <v>2800</v>
      </c>
      <c r="K296" s="18" t="s">
        <v>2801</v>
      </c>
      <c r="L296" s="20">
        <v>45973.0</v>
      </c>
      <c r="M296" s="48" t="s">
        <v>23</v>
      </c>
      <c r="N296" s="17" t="s">
        <v>2775</v>
      </c>
      <c r="O296" s="17">
        <v>4.6948875E7</v>
      </c>
      <c r="Q296" s="17" t="s">
        <v>108</v>
      </c>
      <c r="S296" s="17" t="s">
        <v>108</v>
      </c>
      <c r="U296" s="24"/>
      <c r="V296" s="24"/>
      <c r="W296" s="18" t="s">
        <v>92</v>
      </c>
    </row>
    <row r="297">
      <c r="A297" s="43"/>
      <c r="B297" s="44" t="s">
        <v>34</v>
      </c>
      <c r="C297" s="44" t="s">
        <v>65</v>
      </c>
      <c r="D297" s="44" t="s">
        <v>102</v>
      </c>
      <c r="E297" s="44" t="s">
        <v>142</v>
      </c>
      <c r="F297" s="45" t="s">
        <v>143</v>
      </c>
      <c r="G297" s="44" t="s">
        <v>68</v>
      </c>
      <c r="H297" s="44" t="s">
        <v>144</v>
      </c>
      <c r="I297" s="44" t="s">
        <v>145</v>
      </c>
      <c r="J297" s="17" t="s">
        <v>2800</v>
      </c>
      <c r="K297" s="18" t="s">
        <v>2801</v>
      </c>
      <c r="L297" s="20">
        <v>45973.0</v>
      </c>
      <c r="M297" s="48" t="s">
        <v>23</v>
      </c>
      <c r="N297" s="17" t="s">
        <v>2777</v>
      </c>
      <c r="O297" s="17">
        <v>4.0767874E7</v>
      </c>
      <c r="Q297" s="17" t="s">
        <v>108</v>
      </c>
      <c r="S297" s="17" t="s">
        <v>108</v>
      </c>
      <c r="U297" s="24"/>
      <c r="V297" s="24"/>
      <c r="W297" s="18" t="s">
        <v>92</v>
      </c>
    </row>
    <row r="298">
      <c r="A298" s="43"/>
      <c r="B298" s="44" t="s">
        <v>34</v>
      </c>
      <c r="C298" s="44" t="s">
        <v>65</v>
      </c>
      <c r="D298" s="44" t="s">
        <v>102</v>
      </c>
      <c r="E298" s="44" t="s">
        <v>142</v>
      </c>
      <c r="F298" s="45" t="s">
        <v>143</v>
      </c>
      <c r="G298" s="44" t="s">
        <v>68</v>
      </c>
      <c r="H298" s="44" t="s">
        <v>144</v>
      </c>
      <c r="I298" s="44" t="s">
        <v>145</v>
      </c>
      <c r="J298" s="17" t="s">
        <v>2800</v>
      </c>
      <c r="K298" s="18" t="s">
        <v>2801</v>
      </c>
      <c r="L298" s="20">
        <v>45973.0</v>
      </c>
      <c r="M298" s="48" t="s">
        <v>23</v>
      </c>
      <c r="N298" s="17" t="s">
        <v>2778</v>
      </c>
      <c r="O298" s="17">
        <v>1.5721393E7</v>
      </c>
      <c r="Q298" s="17" t="s">
        <v>73</v>
      </c>
      <c r="S298" s="17" t="s">
        <v>73</v>
      </c>
      <c r="U298" s="24"/>
      <c r="V298" s="24"/>
      <c r="W298" s="18" t="s">
        <v>92</v>
      </c>
    </row>
    <row r="299">
      <c r="A299" s="11"/>
      <c r="B299" s="12" t="s">
        <v>34</v>
      </c>
      <c r="C299" s="12" t="s">
        <v>65</v>
      </c>
      <c r="D299" s="12" t="s">
        <v>102</v>
      </c>
      <c r="E299" s="12" t="s">
        <v>142</v>
      </c>
      <c r="F299" s="13" t="s">
        <v>143</v>
      </c>
      <c r="G299" s="12" t="s">
        <v>68</v>
      </c>
      <c r="H299" s="12" t="s">
        <v>144</v>
      </c>
      <c r="I299" s="12" t="s">
        <v>145</v>
      </c>
      <c r="J299" s="17" t="s">
        <v>2687</v>
      </c>
      <c r="K299" s="18">
        <v>1.0</v>
      </c>
      <c r="L299" s="20">
        <v>45902.0</v>
      </c>
      <c r="M299" s="17" t="s">
        <v>23</v>
      </c>
      <c r="N299" s="17" t="s">
        <v>2775</v>
      </c>
      <c r="O299" s="17">
        <v>4.6948875E7</v>
      </c>
      <c r="Q299" s="17" t="s">
        <v>108</v>
      </c>
      <c r="S299" s="17" t="s">
        <v>108</v>
      </c>
      <c r="U299" s="24"/>
      <c r="V299" s="24"/>
      <c r="W299" s="18" t="s">
        <v>92</v>
      </c>
    </row>
    <row r="300">
      <c r="A300" s="11"/>
      <c r="B300" s="12" t="s">
        <v>34</v>
      </c>
      <c r="C300" s="12" t="s">
        <v>65</v>
      </c>
      <c r="D300" s="12" t="s">
        <v>102</v>
      </c>
      <c r="E300" s="12" t="s">
        <v>142</v>
      </c>
      <c r="F300" s="13" t="s">
        <v>143</v>
      </c>
      <c r="G300" s="12" t="s">
        <v>68</v>
      </c>
      <c r="H300" s="12" t="s">
        <v>144</v>
      </c>
      <c r="I300" s="12" t="s">
        <v>145</v>
      </c>
      <c r="J300" s="17" t="s">
        <v>2687</v>
      </c>
      <c r="K300" s="18">
        <v>1.0</v>
      </c>
      <c r="L300" s="20">
        <v>45902.0</v>
      </c>
      <c r="M300" s="17" t="s">
        <v>23</v>
      </c>
      <c r="N300" s="17" t="s">
        <v>2777</v>
      </c>
      <c r="O300" s="17">
        <v>4.0767874E7</v>
      </c>
      <c r="Q300" s="17" t="s">
        <v>108</v>
      </c>
      <c r="S300" s="17" t="s">
        <v>108</v>
      </c>
      <c r="U300" s="24"/>
      <c r="V300" s="24"/>
      <c r="W300" s="18" t="s">
        <v>92</v>
      </c>
    </row>
    <row r="301">
      <c r="A301" s="11"/>
      <c r="B301" s="12" t="s">
        <v>34</v>
      </c>
      <c r="C301" s="12" t="s">
        <v>65</v>
      </c>
      <c r="D301" s="12" t="s">
        <v>102</v>
      </c>
      <c r="E301" s="12" t="s">
        <v>142</v>
      </c>
      <c r="F301" s="13" t="s">
        <v>143</v>
      </c>
      <c r="G301" s="12" t="s">
        <v>68</v>
      </c>
      <c r="H301" s="12" t="s">
        <v>144</v>
      </c>
      <c r="I301" s="12" t="s">
        <v>145</v>
      </c>
      <c r="J301" s="17" t="s">
        <v>2687</v>
      </c>
      <c r="K301" s="18">
        <v>1.0</v>
      </c>
      <c r="L301" s="20">
        <v>45902.0</v>
      </c>
      <c r="M301" s="17" t="s">
        <v>23</v>
      </c>
      <c r="N301" s="17" t="s">
        <v>2776</v>
      </c>
      <c r="O301" s="17">
        <v>4.6948875E7</v>
      </c>
      <c r="Q301" s="17" t="s">
        <v>112</v>
      </c>
      <c r="S301" s="17" t="s">
        <v>112</v>
      </c>
      <c r="U301" s="24"/>
      <c r="V301" s="24"/>
      <c r="W301" s="18" t="s">
        <v>92</v>
      </c>
    </row>
    <row r="302">
      <c r="A302" s="11"/>
      <c r="B302" s="12" t="s">
        <v>34</v>
      </c>
      <c r="C302" s="12" t="s">
        <v>65</v>
      </c>
      <c r="D302" s="12" t="s">
        <v>102</v>
      </c>
      <c r="E302" s="12" t="s">
        <v>142</v>
      </c>
      <c r="F302" s="13" t="s">
        <v>143</v>
      </c>
      <c r="G302" s="12" t="s">
        <v>68</v>
      </c>
      <c r="H302" s="12" t="s">
        <v>144</v>
      </c>
      <c r="I302" s="12" t="s">
        <v>145</v>
      </c>
      <c r="J302" s="17" t="s">
        <v>2687</v>
      </c>
      <c r="K302" s="18">
        <v>1.0</v>
      </c>
      <c r="L302" s="20">
        <v>45902.0</v>
      </c>
      <c r="M302" s="17" t="s">
        <v>23</v>
      </c>
      <c r="N302" s="17" t="s">
        <v>2778</v>
      </c>
      <c r="O302" s="17">
        <v>1.5721393E7</v>
      </c>
      <c r="Q302" s="17" t="s">
        <v>73</v>
      </c>
      <c r="S302" s="17" t="s">
        <v>73</v>
      </c>
      <c r="U302" s="24"/>
      <c r="V302" s="24"/>
      <c r="W302" s="18" t="s">
        <v>92</v>
      </c>
    </row>
    <row r="303">
      <c r="A303" s="11"/>
      <c r="B303" s="12" t="s">
        <v>34</v>
      </c>
      <c r="C303" s="12" t="s">
        <v>65</v>
      </c>
      <c r="D303" s="12" t="s">
        <v>102</v>
      </c>
      <c r="E303" s="12" t="s">
        <v>142</v>
      </c>
      <c r="F303" s="13" t="s">
        <v>143</v>
      </c>
      <c r="G303" s="12" t="s">
        <v>68</v>
      </c>
      <c r="H303" s="12" t="s">
        <v>144</v>
      </c>
      <c r="I303" s="12" t="s">
        <v>145</v>
      </c>
      <c r="J303" s="17" t="s">
        <v>2687</v>
      </c>
      <c r="K303" s="18">
        <v>2.0</v>
      </c>
      <c r="L303" s="20">
        <v>45931.0</v>
      </c>
      <c r="M303" s="17" t="s">
        <v>23</v>
      </c>
      <c r="N303" s="17" t="s">
        <v>2775</v>
      </c>
      <c r="O303" s="17">
        <v>4.6948875E7</v>
      </c>
      <c r="Q303" s="17" t="s">
        <v>108</v>
      </c>
      <c r="S303" s="17" t="s">
        <v>108</v>
      </c>
      <c r="U303" s="24"/>
      <c r="V303" s="24"/>
      <c r="W303" s="18" t="s">
        <v>92</v>
      </c>
    </row>
    <row r="304">
      <c r="A304" s="11"/>
      <c r="B304" s="12" t="s">
        <v>34</v>
      </c>
      <c r="C304" s="12" t="s">
        <v>65</v>
      </c>
      <c r="D304" s="12" t="s">
        <v>102</v>
      </c>
      <c r="E304" s="12" t="s">
        <v>142</v>
      </c>
      <c r="F304" s="13" t="s">
        <v>143</v>
      </c>
      <c r="G304" s="12" t="s">
        <v>68</v>
      </c>
      <c r="H304" s="12" t="s">
        <v>144</v>
      </c>
      <c r="I304" s="12" t="s">
        <v>145</v>
      </c>
      <c r="J304" s="17" t="s">
        <v>2687</v>
      </c>
      <c r="K304" s="18">
        <v>2.0</v>
      </c>
      <c r="L304" s="20">
        <v>45931.0</v>
      </c>
      <c r="M304" s="17" t="s">
        <v>23</v>
      </c>
      <c r="N304" s="17" t="s">
        <v>2777</v>
      </c>
      <c r="O304" s="17">
        <v>4.0767874E7</v>
      </c>
      <c r="Q304" s="17" t="s">
        <v>108</v>
      </c>
      <c r="S304" s="17" t="s">
        <v>108</v>
      </c>
      <c r="U304" s="24"/>
      <c r="V304" s="24"/>
      <c r="W304" s="18" t="s">
        <v>92</v>
      </c>
    </row>
    <row r="305">
      <c r="A305" s="11"/>
      <c r="B305" s="12" t="s">
        <v>34</v>
      </c>
      <c r="C305" s="12" t="s">
        <v>65</v>
      </c>
      <c r="D305" s="12" t="s">
        <v>102</v>
      </c>
      <c r="E305" s="12" t="s">
        <v>142</v>
      </c>
      <c r="F305" s="13" t="s">
        <v>143</v>
      </c>
      <c r="G305" s="12" t="s">
        <v>68</v>
      </c>
      <c r="H305" s="12" t="s">
        <v>144</v>
      </c>
      <c r="I305" s="12" t="s">
        <v>145</v>
      </c>
      <c r="J305" s="17" t="s">
        <v>2687</v>
      </c>
      <c r="K305" s="18">
        <v>2.0</v>
      </c>
      <c r="L305" s="20">
        <v>45931.0</v>
      </c>
      <c r="M305" s="17" t="s">
        <v>23</v>
      </c>
      <c r="N305" s="17" t="s">
        <v>2776</v>
      </c>
      <c r="O305" s="17">
        <v>4.6948875E7</v>
      </c>
      <c r="Q305" s="17" t="s">
        <v>112</v>
      </c>
      <c r="S305" s="17" t="s">
        <v>112</v>
      </c>
      <c r="U305" s="24"/>
      <c r="V305" s="24"/>
      <c r="W305" s="18" t="s">
        <v>92</v>
      </c>
    </row>
    <row r="306">
      <c r="A306" s="11"/>
      <c r="B306" s="12" t="s">
        <v>34</v>
      </c>
      <c r="C306" s="12" t="s">
        <v>65</v>
      </c>
      <c r="D306" s="12" t="s">
        <v>102</v>
      </c>
      <c r="E306" s="12" t="s">
        <v>142</v>
      </c>
      <c r="F306" s="13" t="s">
        <v>143</v>
      </c>
      <c r="G306" s="12" t="s">
        <v>68</v>
      </c>
      <c r="H306" s="12" t="s">
        <v>144</v>
      </c>
      <c r="I306" s="12" t="s">
        <v>145</v>
      </c>
      <c r="J306" s="17" t="s">
        <v>2687</v>
      </c>
      <c r="K306" s="18">
        <v>2.0</v>
      </c>
      <c r="L306" s="20">
        <v>45931.0</v>
      </c>
      <c r="M306" s="17" t="s">
        <v>23</v>
      </c>
      <c r="N306" s="17" t="s">
        <v>2778</v>
      </c>
      <c r="O306" s="17">
        <v>1.5721393E7</v>
      </c>
      <c r="Q306" s="17" t="s">
        <v>73</v>
      </c>
      <c r="S306" s="17" t="s">
        <v>73</v>
      </c>
      <c r="U306" s="24"/>
      <c r="V306" s="24"/>
      <c r="W306" s="18" t="s">
        <v>92</v>
      </c>
    </row>
    <row r="307">
      <c r="A307" s="11"/>
      <c r="B307" s="12" t="s">
        <v>34</v>
      </c>
      <c r="C307" s="12" t="s">
        <v>65</v>
      </c>
      <c r="D307" s="12" t="s">
        <v>102</v>
      </c>
      <c r="E307" s="12" t="s">
        <v>142</v>
      </c>
      <c r="F307" s="13" t="s">
        <v>143</v>
      </c>
      <c r="G307" s="12" t="s">
        <v>68</v>
      </c>
      <c r="H307" s="12" t="s">
        <v>144</v>
      </c>
      <c r="I307" s="12" t="s">
        <v>145</v>
      </c>
      <c r="J307" s="17" t="s">
        <v>2687</v>
      </c>
      <c r="K307" s="18">
        <v>3.0</v>
      </c>
      <c r="L307" s="20">
        <v>45979.0</v>
      </c>
      <c r="M307" s="17" t="s">
        <v>23</v>
      </c>
      <c r="N307" s="17" t="s">
        <v>2775</v>
      </c>
      <c r="O307" s="17">
        <v>4.6948875E7</v>
      </c>
      <c r="Q307" s="17" t="s">
        <v>108</v>
      </c>
      <c r="S307" s="17" t="s">
        <v>108</v>
      </c>
      <c r="U307" s="24"/>
      <c r="V307" s="24"/>
      <c r="W307" s="18" t="s">
        <v>92</v>
      </c>
    </row>
    <row r="308">
      <c r="A308" s="11"/>
      <c r="B308" s="12" t="s">
        <v>34</v>
      </c>
      <c r="C308" s="12" t="s">
        <v>65</v>
      </c>
      <c r="D308" s="12" t="s">
        <v>102</v>
      </c>
      <c r="E308" s="12" t="s">
        <v>142</v>
      </c>
      <c r="F308" s="13" t="s">
        <v>143</v>
      </c>
      <c r="G308" s="12" t="s">
        <v>68</v>
      </c>
      <c r="H308" s="12" t="s">
        <v>144</v>
      </c>
      <c r="I308" s="12" t="s">
        <v>145</v>
      </c>
      <c r="J308" s="17" t="s">
        <v>2687</v>
      </c>
      <c r="K308" s="18">
        <v>3.0</v>
      </c>
      <c r="L308" s="20">
        <v>45979.0</v>
      </c>
      <c r="M308" s="17" t="s">
        <v>23</v>
      </c>
      <c r="N308" s="17" t="s">
        <v>2777</v>
      </c>
      <c r="O308" s="17">
        <v>4.0767874E7</v>
      </c>
      <c r="Q308" s="17" t="s">
        <v>108</v>
      </c>
      <c r="S308" s="17" t="s">
        <v>108</v>
      </c>
      <c r="U308" s="24"/>
      <c r="V308" s="24"/>
      <c r="W308" s="18" t="s">
        <v>92</v>
      </c>
    </row>
    <row r="309">
      <c r="A309" s="11"/>
      <c r="B309" s="12" t="s">
        <v>34</v>
      </c>
      <c r="C309" s="12" t="s">
        <v>65</v>
      </c>
      <c r="D309" s="12" t="s">
        <v>102</v>
      </c>
      <c r="E309" s="12" t="s">
        <v>142</v>
      </c>
      <c r="F309" s="13" t="s">
        <v>143</v>
      </c>
      <c r="G309" s="12" t="s">
        <v>68</v>
      </c>
      <c r="H309" s="12" t="s">
        <v>144</v>
      </c>
      <c r="I309" s="12" t="s">
        <v>145</v>
      </c>
      <c r="J309" s="17" t="s">
        <v>2687</v>
      </c>
      <c r="K309" s="18">
        <v>3.0</v>
      </c>
      <c r="L309" s="20">
        <v>45979.0</v>
      </c>
      <c r="M309" s="17" t="s">
        <v>23</v>
      </c>
      <c r="N309" s="17" t="s">
        <v>2778</v>
      </c>
      <c r="O309" s="17">
        <v>4.6948875E7</v>
      </c>
      <c r="Q309" s="17" t="s">
        <v>73</v>
      </c>
      <c r="S309" s="17" t="s">
        <v>73</v>
      </c>
      <c r="U309" s="24"/>
      <c r="V309" s="24"/>
      <c r="W309" s="18" t="s">
        <v>92</v>
      </c>
    </row>
    <row r="310">
      <c r="A310" s="11"/>
      <c r="B310" s="12" t="s">
        <v>34</v>
      </c>
      <c r="C310" s="12" t="s">
        <v>65</v>
      </c>
      <c r="D310" s="12" t="s">
        <v>102</v>
      </c>
      <c r="E310" s="12" t="s">
        <v>103</v>
      </c>
      <c r="F310" s="13" t="s">
        <v>104</v>
      </c>
      <c r="G310" s="12" t="s">
        <v>68</v>
      </c>
      <c r="H310" s="12" t="s">
        <v>105</v>
      </c>
      <c r="I310" s="12" t="s">
        <v>106</v>
      </c>
      <c r="J310" s="17" t="s">
        <v>2169</v>
      </c>
      <c r="K310" s="18" t="s">
        <v>2170</v>
      </c>
      <c r="L310" s="20">
        <v>45848.0</v>
      </c>
      <c r="M310" s="17" t="s">
        <v>28</v>
      </c>
      <c r="N310" s="17" t="s">
        <v>2802</v>
      </c>
      <c r="O310" s="17">
        <v>1.0241123E7</v>
      </c>
      <c r="P310" s="17" t="s">
        <v>2803</v>
      </c>
      <c r="Q310" s="17" t="s">
        <v>73</v>
      </c>
      <c r="R310" s="17" t="s">
        <v>74</v>
      </c>
      <c r="S310" s="17" t="s">
        <v>2804</v>
      </c>
      <c r="U310" s="24"/>
      <c r="V310" s="24"/>
      <c r="W310" s="18" t="s">
        <v>92</v>
      </c>
    </row>
    <row r="311">
      <c r="A311" s="11"/>
      <c r="B311" s="12" t="s">
        <v>34</v>
      </c>
      <c r="C311" s="12" t="s">
        <v>65</v>
      </c>
      <c r="D311" s="12" t="s">
        <v>102</v>
      </c>
      <c r="E311" s="12" t="s">
        <v>103</v>
      </c>
      <c r="F311" s="13" t="s">
        <v>104</v>
      </c>
      <c r="G311" s="12" t="s">
        <v>68</v>
      </c>
      <c r="H311" s="12" t="s">
        <v>105</v>
      </c>
      <c r="I311" s="12" t="s">
        <v>106</v>
      </c>
      <c r="J311" s="17" t="s">
        <v>2169</v>
      </c>
      <c r="K311" s="18" t="s">
        <v>2170</v>
      </c>
      <c r="L311" s="20">
        <v>45848.0</v>
      </c>
      <c r="M311" s="17" t="s">
        <v>28</v>
      </c>
      <c r="N311" s="17" t="s">
        <v>2805</v>
      </c>
      <c r="P311" s="17" t="s">
        <v>2806</v>
      </c>
      <c r="Q311" s="17" t="s">
        <v>108</v>
      </c>
      <c r="R311" s="17" t="s">
        <v>109</v>
      </c>
      <c r="S311" s="17" t="s">
        <v>2807</v>
      </c>
      <c r="U311" s="24"/>
      <c r="V311" s="24"/>
      <c r="W311" s="18" t="s">
        <v>92</v>
      </c>
    </row>
    <row r="312">
      <c r="A312" s="11"/>
      <c r="B312" s="12" t="s">
        <v>34</v>
      </c>
      <c r="C312" s="12" t="s">
        <v>65</v>
      </c>
      <c r="D312" s="12" t="s">
        <v>102</v>
      </c>
      <c r="E312" s="12" t="s">
        <v>103</v>
      </c>
      <c r="F312" s="13" t="s">
        <v>104</v>
      </c>
      <c r="G312" s="12" t="s">
        <v>68</v>
      </c>
      <c r="H312" s="12" t="s">
        <v>105</v>
      </c>
      <c r="I312" s="12" t="s">
        <v>106</v>
      </c>
      <c r="J312" s="17" t="s">
        <v>2169</v>
      </c>
      <c r="K312" s="18" t="s">
        <v>2170</v>
      </c>
      <c r="L312" s="20">
        <v>45848.0</v>
      </c>
      <c r="M312" s="17" t="s">
        <v>28</v>
      </c>
      <c r="N312" s="17" t="s">
        <v>2808</v>
      </c>
      <c r="O312" s="17">
        <v>7.3429307E7</v>
      </c>
      <c r="P312" s="17" t="s">
        <v>2809</v>
      </c>
      <c r="Q312" s="17" t="s">
        <v>112</v>
      </c>
      <c r="R312" s="17" t="s">
        <v>113</v>
      </c>
      <c r="S312" s="17" t="s">
        <v>2810</v>
      </c>
      <c r="U312" s="24"/>
      <c r="V312" s="24"/>
      <c r="W312" s="18" t="s">
        <v>92</v>
      </c>
    </row>
    <row r="313">
      <c r="A313" s="11"/>
      <c r="B313" s="12" t="s">
        <v>34</v>
      </c>
      <c r="C313" s="12" t="s">
        <v>65</v>
      </c>
      <c r="D313" s="12" t="s">
        <v>102</v>
      </c>
      <c r="E313" s="12" t="s">
        <v>103</v>
      </c>
      <c r="F313" s="13" t="s">
        <v>104</v>
      </c>
      <c r="G313" s="12" t="s">
        <v>68</v>
      </c>
      <c r="H313" s="12" t="s">
        <v>105</v>
      </c>
      <c r="I313" s="12" t="s">
        <v>106</v>
      </c>
      <c r="J313" s="17" t="s">
        <v>2169</v>
      </c>
      <c r="K313" s="18" t="s">
        <v>2170</v>
      </c>
      <c r="L313" s="20">
        <v>45848.0</v>
      </c>
      <c r="M313" s="17" t="s">
        <v>28</v>
      </c>
      <c r="N313" s="17" t="s">
        <v>2811</v>
      </c>
      <c r="O313" s="17">
        <v>4.6221928E7</v>
      </c>
      <c r="P313" s="17" t="s">
        <v>2812</v>
      </c>
      <c r="Q313" s="17" t="s">
        <v>112</v>
      </c>
      <c r="R313" s="17" t="s">
        <v>113</v>
      </c>
      <c r="S313" s="17" t="s">
        <v>2813</v>
      </c>
      <c r="U313" s="24"/>
      <c r="V313" s="24"/>
      <c r="W313" s="18" t="s">
        <v>92</v>
      </c>
    </row>
    <row r="314">
      <c r="A314" s="11"/>
      <c r="B314" s="12" t="s">
        <v>34</v>
      </c>
      <c r="C314" s="12" t="s">
        <v>65</v>
      </c>
      <c r="D314" s="12" t="s">
        <v>102</v>
      </c>
      <c r="E314" s="12" t="s">
        <v>103</v>
      </c>
      <c r="F314" s="13" t="s">
        <v>104</v>
      </c>
      <c r="G314" s="12" t="s">
        <v>68</v>
      </c>
      <c r="H314" s="12" t="s">
        <v>105</v>
      </c>
      <c r="I314" s="12" t="s">
        <v>106</v>
      </c>
      <c r="J314" s="17" t="s">
        <v>2169</v>
      </c>
      <c r="K314" s="18" t="s">
        <v>2170</v>
      </c>
      <c r="L314" s="20">
        <v>45848.0</v>
      </c>
      <c r="M314" s="17" t="s">
        <v>28</v>
      </c>
      <c r="N314" s="17" t="s">
        <v>2814</v>
      </c>
      <c r="O314" s="17">
        <v>4.507527E7</v>
      </c>
      <c r="P314" s="17" t="s">
        <v>2815</v>
      </c>
      <c r="Q314" s="17" t="s">
        <v>73</v>
      </c>
      <c r="R314" s="17" t="s">
        <v>74</v>
      </c>
      <c r="S314" s="17" t="s">
        <v>2816</v>
      </c>
      <c r="U314" s="24"/>
      <c r="V314" s="24"/>
      <c r="W314" s="18" t="s">
        <v>92</v>
      </c>
    </row>
    <row r="315">
      <c r="A315" s="11"/>
      <c r="B315" s="12" t="s">
        <v>34</v>
      </c>
      <c r="C315" s="12" t="s">
        <v>65</v>
      </c>
      <c r="D315" s="12" t="s">
        <v>102</v>
      </c>
      <c r="E315" s="12" t="s">
        <v>103</v>
      </c>
      <c r="F315" s="13" t="s">
        <v>104</v>
      </c>
      <c r="G315" s="12" t="s">
        <v>68</v>
      </c>
      <c r="H315" s="12" t="s">
        <v>105</v>
      </c>
      <c r="I315" s="12" t="s">
        <v>106</v>
      </c>
      <c r="J315" s="17" t="s">
        <v>2169</v>
      </c>
      <c r="K315" s="18" t="s">
        <v>2170</v>
      </c>
      <c r="L315" s="20">
        <v>45848.0</v>
      </c>
      <c r="M315" s="17" t="s">
        <v>28</v>
      </c>
      <c r="N315" s="17" t="s">
        <v>2817</v>
      </c>
      <c r="O315" s="17">
        <v>7.3392681E7</v>
      </c>
      <c r="P315" s="17" t="s">
        <v>2818</v>
      </c>
      <c r="Q315" s="17" t="s">
        <v>73</v>
      </c>
      <c r="R315" s="17" t="s">
        <v>74</v>
      </c>
      <c r="S315" s="17" t="s">
        <v>2819</v>
      </c>
      <c r="U315" s="24"/>
      <c r="V315" s="24"/>
      <c r="W315" s="18" t="s">
        <v>92</v>
      </c>
    </row>
    <row r="316">
      <c r="A316" s="11"/>
      <c r="B316" s="12" t="s">
        <v>34</v>
      </c>
      <c r="C316" s="12" t="s">
        <v>65</v>
      </c>
      <c r="D316" s="12" t="s">
        <v>102</v>
      </c>
      <c r="E316" s="12" t="s">
        <v>103</v>
      </c>
      <c r="F316" s="13" t="s">
        <v>104</v>
      </c>
      <c r="G316" s="12" t="s">
        <v>68</v>
      </c>
      <c r="H316" s="12" t="s">
        <v>105</v>
      </c>
      <c r="I316" s="12" t="s">
        <v>106</v>
      </c>
      <c r="J316" s="17" t="s">
        <v>2169</v>
      </c>
      <c r="K316" s="18" t="s">
        <v>2170</v>
      </c>
      <c r="L316" s="20">
        <v>45848.0</v>
      </c>
      <c r="M316" s="17" t="s">
        <v>28</v>
      </c>
      <c r="N316" s="17" t="s">
        <v>115</v>
      </c>
      <c r="P316" s="17" t="s">
        <v>116</v>
      </c>
      <c r="Q316" s="17" t="s">
        <v>108</v>
      </c>
      <c r="R316" s="17" t="s">
        <v>109</v>
      </c>
      <c r="S316" s="17" t="s">
        <v>2820</v>
      </c>
      <c r="U316" s="24"/>
      <c r="V316" s="24"/>
      <c r="W316" s="18" t="s">
        <v>92</v>
      </c>
    </row>
    <row r="317">
      <c r="A317" s="11"/>
      <c r="B317" s="12" t="s">
        <v>34</v>
      </c>
      <c r="C317" s="12" t="s">
        <v>65</v>
      </c>
      <c r="D317" s="12" t="s">
        <v>102</v>
      </c>
      <c r="E317" s="12" t="s">
        <v>103</v>
      </c>
      <c r="F317" s="13" t="s">
        <v>104</v>
      </c>
      <c r="G317" s="12" t="s">
        <v>68</v>
      </c>
      <c r="H317" s="12" t="s">
        <v>105</v>
      </c>
      <c r="I317" s="12" t="s">
        <v>106</v>
      </c>
      <c r="J317" s="17" t="s">
        <v>2169</v>
      </c>
      <c r="K317" s="18" t="s">
        <v>2170</v>
      </c>
      <c r="L317" s="20">
        <v>45848.0</v>
      </c>
      <c r="M317" s="17" t="s">
        <v>23</v>
      </c>
      <c r="N317" s="17" t="s">
        <v>2821</v>
      </c>
      <c r="O317" s="17">
        <v>7.5511933E7</v>
      </c>
      <c r="Q317" s="17" t="s">
        <v>73</v>
      </c>
      <c r="R317" s="17" t="s">
        <v>74</v>
      </c>
      <c r="S317" s="17" t="s">
        <v>2202</v>
      </c>
      <c r="U317" s="24"/>
      <c r="V317" s="24"/>
      <c r="W317" s="18" t="s">
        <v>92</v>
      </c>
    </row>
    <row r="318">
      <c r="A318" s="11"/>
      <c r="B318" s="12" t="s">
        <v>34</v>
      </c>
      <c r="C318" s="12" t="s">
        <v>65</v>
      </c>
      <c r="D318" s="12" t="s">
        <v>102</v>
      </c>
      <c r="E318" s="12" t="s">
        <v>103</v>
      </c>
      <c r="F318" s="13" t="s">
        <v>104</v>
      </c>
      <c r="G318" s="12" t="s">
        <v>68</v>
      </c>
      <c r="H318" s="12" t="s">
        <v>105</v>
      </c>
      <c r="I318" s="12" t="s">
        <v>106</v>
      </c>
      <c r="J318" s="17" t="s">
        <v>2169</v>
      </c>
      <c r="K318" s="18" t="s">
        <v>2170</v>
      </c>
      <c r="L318" s="20">
        <v>45848.0</v>
      </c>
      <c r="M318" s="17" t="s">
        <v>23</v>
      </c>
      <c r="N318" s="17" t="s">
        <v>2822</v>
      </c>
      <c r="O318" s="17">
        <v>6.0273979E7</v>
      </c>
      <c r="Q318" s="17" t="s">
        <v>108</v>
      </c>
      <c r="R318" s="17" t="s">
        <v>1775</v>
      </c>
      <c r="S318" s="17" t="s">
        <v>2823</v>
      </c>
      <c r="U318" s="24"/>
      <c r="V318" s="24"/>
      <c r="W318" s="18" t="s">
        <v>92</v>
      </c>
    </row>
    <row r="319">
      <c r="A319" s="11"/>
      <c r="B319" s="12" t="s">
        <v>34</v>
      </c>
      <c r="C319" s="12" t="s">
        <v>65</v>
      </c>
      <c r="D319" s="12" t="s">
        <v>102</v>
      </c>
      <c r="E319" s="12" t="s">
        <v>103</v>
      </c>
      <c r="F319" s="13" t="s">
        <v>104</v>
      </c>
      <c r="G319" s="12" t="s">
        <v>68</v>
      </c>
      <c r="H319" s="12" t="s">
        <v>105</v>
      </c>
      <c r="I319" s="12" t="s">
        <v>106</v>
      </c>
      <c r="J319" s="17" t="s">
        <v>2779</v>
      </c>
      <c r="K319" s="18" t="s">
        <v>2780</v>
      </c>
      <c r="L319" s="20">
        <v>45895.0</v>
      </c>
      <c r="M319" s="17" t="s">
        <v>28</v>
      </c>
      <c r="N319" s="17" t="s">
        <v>2824</v>
      </c>
      <c r="O319" s="17">
        <v>7.2558901E7</v>
      </c>
      <c r="P319" s="17" t="s">
        <v>2825</v>
      </c>
      <c r="Q319" s="17" t="s">
        <v>112</v>
      </c>
      <c r="R319" s="17" t="s">
        <v>113</v>
      </c>
      <c r="S319" s="17" t="s">
        <v>2826</v>
      </c>
      <c r="U319" s="24"/>
      <c r="V319" s="24"/>
      <c r="W319" s="18" t="s">
        <v>92</v>
      </c>
    </row>
    <row r="320">
      <c r="A320" s="11"/>
      <c r="B320" s="12" t="s">
        <v>34</v>
      </c>
      <c r="C320" s="12" t="s">
        <v>65</v>
      </c>
      <c r="D320" s="12" t="s">
        <v>102</v>
      </c>
      <c r="E320" s="12" t="s">
        <v>103</v>
      </c>
      <c r="F320" s="13" t="s">
        <v>104</v>
      </c>
      <c r="G320" s="12" t="s">
        <v>68</v>
      </c>
      <c r="H320" s="12" t="s">
        <v>105</v>
      </c>
      <c r="I320" s="12" t="s">
        <v>106</v>
      </c>
      <c r="J320" s="17" t="s">
        <v>2779</v>
      </c>
      <c r="K320" s="18" t="s">
        <v>2780</v>
      </c>
      <c r="L320" s="20">
        <v>45895.0</v>
      </c>
      <c r="M320" s="17" t="s">
        <v>28</v>
      </c>
      <c r="N320" s="17" t="s">
        <v>107</v>
      </c>
      <c r="O320" s="17">
        <v>7.1935349E7</v>
      </c>
      <c r="P320" s="17" t="s">
        <v>110</v>
      </c>
      <c r="Q320" s="17" t="s">
        <v>108</v>
      </c>
      <c r="R320" s="17" t="s">
        <v>109</v>
      </c>
      <c r="S320" s="17" t="s">
        <v>2827</v>
      </c>
      <c r="U320" s="24"/>
      <c r="V320" s="24"/>
      <c r="W320" s="18" t="s">
        <v>92</v>
      </c>
    </row>
    <row r="321">
      <c r="A321" s="11"/>
      <c r="B321" s="12" t="s">
        <v>34</v>
      </c>
      <c r="C321" s="12" t="s">
        <v>65</v>
      </c>
      <c r="D321" s="12" t="s">
        <v>102</v>
      </c>
      <c r="E321" s="12" t="s">
        <v>103</v>
      </c>
      <c r="F321" s="13" t="s">
        <v>104</v>
      </c>
      <c r="G321" s="12" t="s">
        <v>68</v>
      </c>
      <c r="H321" s="12" t="s">
        <v>105</v>
      </c>
      <c r="I321" s="12" t="s">
        <v>106</v>
      </c>
      <c r="J321" s="17" t="s">
        <v>2779</v>
      </c>
      <c r="K321" s="18" t="s">
        <v>2780</v>
      </c>
      <c r="L321" s="20">
        <v>45895.0</v>
      </c>
      <c r="M321" s="17" t="s">
        <v>28</v>
      </c>
      <c r="N321" s="17" t="s">
        <v>2808</v>
      </c>
      <c r="O321" s="17">
        <v>7.3429307E7</v>
      </c>
      <c r="P321" s="17" t="s">
        <v>2809</v>
      </c>
      <c r="Q321" s="17" t="s">
        <v>112</v>
      </c>
      <c r="R321" s="17" t="s">
        <v>113</v>
      </c>
      <c r="S321" s="17" t="s">
        <v>2810</v>
      </c>
      <c r="U321" s="24"/>
      <c r="V321" s="24"/>
      <c r="W321" s="18" t="s">
        <v>92</v>
      </c>
    </row>
    <row r="322">
      <c r="A322" s="11"/>
      <c r="B322" s="12" t="s">
        <v>34</v>
      </c>
      <c r="C322" s="12" t="s">
        <v>65</v>
      </c>
      <c r="D322" s="12" t="s">
        <v>102</v>
      </c>
      <c r="E322" s="12" t="s">
        <v>103</v>
      </c>
      <c r="F322" s="13" t="s">
        <v>104</v>
      </c>
      <c r="G322" s="12" t="s">
        <v>68</v>
      </c>
      <c r="H322" s="12" t="s">
        <v>105</v>
      </c>
      <c r="I322" s="12" t="s">
        <v>106</v>
      </c>
      <c r="J322" s="17" t="s">
        <v>2779</v>
      </c>
      <c r="K322" s="18" t="s">
        <v>2780</v>
      </c>
      <c r="L322" s="20">
        <v>45895.0</v>
      </c>
      <c r="M322" s="17" t="s">
        <v>28</v>
      </c>
      <c r="N322" s="17" t="s">
        <v>2811</v>
      </c>
      <c r="O322" s="17">
        <v>4.6221928E7</v>
      </c>
      <c r="P322" s="17" t="s">
        <v>2812</v>
      </c>
      <c r="Q322" s="17" t="s">
        <v>112</v>
      </c>
      <c r="R322" s="17" t="s">
        <v>113</v>
      </c>
      <c r="S322" s="17" t="s">
        <v>2813</v>
      </c>
      <c r="U322" s="24"/>
      <c r="V322" s="24"/>
      <c r="W322" s="18" t="s">
        <v>92</v>
      </c>
    </row>
    <row r="323">
      <c r="A323" s="11"/>
      <c r="B323" s="12" t="s">
        <v>34</v>
      </c>
      <c r="C323" s="12" t="s">
        <v>65</v>
      </c>
      <c r="D323" s="12" t="s">
        <v>102</v>
      </c>
      <c r="E323" s="12" t="s">
        <v>103</v>
      </c>
      <c r="F323" s="13" t="s">
        <v>104</v>
      </c>
      <c r="G323" s="12" t="s">
        <v>68</v>
      </c>
      <c r="H323" s="12" t="s">
        <v>105</v>
      </c>
      <c r="I323" s="12" t="s">
        <v>106</v>
      </c>
      <c r="J323" s="17" t="s">
        <v>2779</v>
      </c>
      <c r="K323" s="18" t="s">
        <v>2780</v>
      </c>
      <c r="L323" s="20">
        <v>45895.0</v>
      </c>
      <c r="M323" s="17" t="s">
        <v>28</v>
      </c>
      <c r="N323" s="17" t="s">
        <v>2814</v>
      </c>
      <c r="O323" s="17">
        <v>4.507527E7</v>
      </c>
      <c r="P323" s="17" t="s">
        <v>2815</v>
      </c>
      <c r="Q323" s="17" t="s">
        <v>73</v>
      </c>
      <c r="R323" s="17" t="s">
        <v>74</v>
      </c>
      <c r="S323" s="17" t="s">
        <v>2816</v>
      </c>
      <c r="U323" s="24"/>
      <c r="V323" s="24"/>
      <c r="W323" s="18" t="s">
        <v>92</v>
      </c>
    </row>
    <row r="324">
      <c r="A324" s="11"/>
      <c r="B324" s="12" t="s">
        <v>34</v>
      </c>
      <c r="C324" s="12" t="s">
        <v>65</v>
      </c>
      <c r="D324" s="12" t="s">
        <v>102</v>
      </c>
      <c r="E324" s="12" t="s">
        <v>103</v>
      </c>
      <c r="F324" s="13" t="s">
        <v>104</v>
      </c>
      <c r="G324" s="12" t="s">
        <v>68</v>
      </c>
      <c r="H324" s="12" t="s">
        <v>105</v>
      </c>
      <c r="I324" s="12" t="s">
        <v>106</v>
      </c>
      <c r="J324" s="17" t="s">
        <v>2779</v>
      </c>
      <c r="K324" s="18" t="s">
        <v>2780</v>
      </c>
      <c r="L324" s="20">
        <v>45895.0</v>
      </c>
      <c r="M324" s="17" t="s">
        <v>28</v>
      </c>
      <c r="N324" s="17" t="s">
        <v>111</v>
      </c>
      <c r="O324" s="17">
        <v>7.6175423E7</v>
      </c>
      <c r="P324" s="17" t="s">
        <v>114</v>
      </c>
      <c r="Q324" s="17" t="s">
        <v>112</v>
      </c>
      <c r="R324" s="17" t="s">
        <v>113</v>
      </c>
      <c r="S324" s="17" t="s">
        <v>2828</v>
      </c>
      <c r="U324" s="24"/>
      <c r="V324" s="24"/>
      <c r="W324" s="18" t="s">
        <v>92</v>
      </c>
    </row>
    <row r="325">
      <c r="A325" s="11"/>
      <c r="B325" s="12" t="s">
        <v>34</v>
      </c>
      <c r="C325" s="12" t="s">
        <v>65</v>
      </c>
      <c r="D325" s="12" t="s">
        <v>102</v>
      </c>
      <c r="E325" s="12" t="s">
        <v>103</v>
      </c>
      <c r="F325" s="13" t="s">
        <v>104</v>
      </c>
      <c r="G325" s="12" t="s">
        <v>68</v>
      </c>
      <c r="H325" s="12" t="s">
        <v>105</v>
      </c>
      <c r="I325" s="12" t="s">
        <v>106</v>
      </c>
      <c r="J325" s="17" t="s">
        <v>2779</v>
      </c>
      <c r="K325" s="18" t="s">
        <v>2780</v>
      </c>
      <c r="L325" s="20">
        <v>45895.0</v>
      </c>
      <c r="M325" s="17" t="s">
        <v>28</v>
      </c>
      <c r="N325" s="17" t="s">
        <v>2829</v>
      </c>
      <c r="O325" s="17">
        <v>7.3234469E7</v>
      </c>
      <c r="P325" s="17" t="s">
        <v>2830</v>
      </c>
      <c r="Q325" s="17" t="s">
        <v>112</v>
      </c>
      <c r="R325" s="17" t="s">
        <v>113</v>
      </c>
      <c r="S325" s="17" t="s">
        <v>2831</v>
      </c>
      <c r="U325" s="24"/>
      <c r="V325" s="24"/>
      <c r="W325" s="18" t="s">
        <v>92</v>
      </c>
    </row>
    <row r="326">
      <c r="A326" s="11"/>
      <c r="B326" s="12" t="s">
        <v>34</v>
      </c>
      <c r="C326" s="12" t="s">
        <v>65</v>
      </c>
      <c r="D326" s="12" t="s">
        <v>102</v>
      </c>
      <c r="E326" s="12" t="s">
        <v>103</v>
      </c>
      <c r="F326" s="13" t="s">
        <v>104</v>
      </c>
      <c r="G326" s="12" t="s">
        <v>68</v>
      </c>
      <c r="H326" s="12" t="s">
        <v>105</v>
      </c>
      <c r="I326" s="12" t="s">
        <v>106</v>
      </c>
      <c r="J326" s="17" t="s">
        <v>2779</v>
      </c>
      <c r="K326" s="18" t="s">
        <v>2780</v>
      </c>
      <c r="L326" s="20">
        <v>45895.0</v>
      </c>
      <c r="M326" s="17" t="s">
        <v>28</v>
      </c>
      <c r="N326" s="17" t="s">
        <v>2832</v>
      </c>
      <c r="P326" s="17" t="s">
        <v>2833</v>
      </c>
      <c r="Q326" s="17" t="s">
        <v>108</v>
      </c>
      <c r="R326" s="17" t="s">
        <v>109</v>
      </c>
      <c r="S326" s="17" t="s">
        <v>2834</v>
      </c>
      <c r="U326" s="24"/>
      <c r="V326" s="24"/>
      <c r="W326" s="18" t="s">
        <v>92</v>
      </c>
    </row>
    <row r="327">
      <c r="A327" s="11"/>
      <c r="B327" s="12" t="s">
        <v>34</v>
      </c>
      <c r="C327" s="12" t="s">
        <v>65</v>
      </c>
      <c r="D327" s="12" t="s">
        <v>102</v>
      </c>
      <c r="E327" s="12" t="s">
        <v>103</v>
      </c>
      <c r="F327" s="13" t="s">
        <v>104</v>
      </c>
      <c r="G327" s="12" t="s">
        <v>68</v>
      </c>
      <c r="H327" s="12" t="s">
        <v>105</v>
      </c>
      <c r="I327" s="12" t="s">
        <v>106</v>
      </c>
      <c r="J327" s="17" t="s">
        <v>2779</v>
      </c>
      <c r="K327" s="18" t="s">
        <v>2780</v>
      </c>
      <c r="L327" s="20">
        <v>45895.0</v>
      </c>
      <c r="M327" s="17" t="s">
        <v>28</v>
      </c>
      <c r="N327" s="17" t="s">
        <v>115</v>
      </c>
      <c r="P327" s="17" t="s">
        <v>116</v>
      </c>
      <c r="Q327" s="17" t="s">
        <v>108</v>
      </c>
      <c r="R327" s="17" t="s">
        <v>109</v>
      </c>
      <c r="S327" s="17" t="s">
        <v>2820</v>
      </c>
      <c r="U327" s="24"/>
      <c r="V327" s="24"/>
      <c r="W327" s="18" t="s">
        <v>92</v>
      </c>
    </row>
    <row r="328">
      <c r="A328" s="11"/>
      <c r="B328" s="12" t="s">
        <v>34</v>
      </c>
      <c r="C328" s="12" t="s">
        <v>65</v>
      </c>
      <c r="D328" s="12" t="s">
        <v>102</v>
      </c>
      <c r="E328" s="12" t="s">
        <v>103</v>
      </c>
      <c r="F328" s="13" t="s">
        <v>104</v>
      </c>
      <c r="G328" s="12" t="s">
        <v>68</v>
      </c>
      <c r="H328" s="12" t="s">
        <v>105</v>
      </c>
      <c r="I328" s="12" t="s">
        <v>106</v>
      </c>
      <c r="J328" s="17" t="s">
        <v>2779</v>
      </c>
      <c r="K328" s="18" t="s">
        <v>2780</v>
      </c>
      <c r="L328" s="20">
        <v>45895.0</v>
      </c>
      <c r="M328" s="17" t="s">
        <v>23</v>
      </c>
      <c r="N328" s="17" t="s">
        <v>2821</v>
      </c>
      <c r="O328" s="17">
        <v>7.5511933E7</v>
      </c>
      <c r="Q328" s="17" t="s">
        <v>73</v>
      </c>
      <c r="R328" s="17" t="s">
        <v>74</v>
      </c>
      <c r="S328" s="17" t="s">
        <v>2202</v>
      </c>
      <c r="U328" s="24"/>
      <c r="V328" s="24"/>
      <c r="W328" s="18" t="s">
        <v>92</v>
      </c>
    </row>
    <row r="329">
      <c r="A329" s="11"/>
      <c r="B329" s="12" t="s">
        <v>34</v>
      </c>
      <c r="C329" s="12" t="s">
        <v>65</v>
      </c>
      <c r="D329" s="12" t="s">
        <v>102</v>
      </c>
      <c r="E329" s="12" t="s">
        <v>103</v>
      </c>
      <c r="F329" s="13" t="s">
        <v>104</v>
      </c>
      <c r="G329" s="12" t="s">
        <v>68</v>
      </c>
      <c r="H329" s="12" t="s">
        <v>105</v>
      </c>
      <c r="I329" s="12" t="s">
        <v>106</v>
      </c>
      <c r="J329" s="17" t="s">
        <v>2779</v>
      </c>
      <c r="K329" s="18" t="s">
        <v>2780</v>
      </c>
      <c r="L329" s="20">
        <v>45895.0</v>
      </c>
      <c r="M329" s="17" t="s">
        <v>23</v>
      </c>
      <c r="N329" s="17" t="s">
        <v>2822</v>
      </c>
      <c r="O329" s="17">
        <v>6.0273979E7</v>
      </c>
      <c r="Q329" s="17" t="s">
        <v>108</v>
      </c>
      <c r="R329" s="17" t="s">
        <v>1775</v>
      </c>
      <c r="S329" s="17" t="s">
        <v>2823</v>
      </c>
      <c r="U329" s="24"/>
      <c r="V329" s="24"/>
      <c r="W329" s="18" t="s">
        <v>92</v>
      </c>
    </row>
    <row r="330">
      <c r="A330" s="43"/>
      <c r="B330" s="44" t="s">
        <v>34</v>
      </c>
      <c r="C330" s="44" t="s">
        <v>65</v>
      </c>
      <c r="D330" s="44" t="s">
        <v>102</v>
      </c>
      <c r="E330" s="44" t="s">
        <v>103</v>
      </c>
      <c r="F330" s="45" t="s">
        <v>104</v>
      </c>
      <c r="G330" s="44" t="s">
        <v>68</v>
      </c>
      <c r="H330" s="44" t="s">
        <v>105</v>
      </c>
      <c r="I330" s="44" t="s">
        <v>106</v>
      </c>
      <c r="J330" s="48" t="s">
        <v>2783</v>
      </c>
      <c r="K330" s="117" t="s">
        <v>2784</v>
      </c>
      <c r="L330" s="22">
        <v>45910.0</v>
      </c>
      <c r="M330" s="48" t="s">
        <v>28</v>
      </c>
      <c r="N330" s="17" t="s">
        <v>2808</v>
      </c>
      <c r="O330" s="17">
        <v>7.3429307E7</v>
      </c>
      <c r="P330" s="17" t="s">
        <v>2809</v>
      </c>
      <c r="Q330" s="17" t="s">
        <v>112</v>
      </c>
      <c r="R330" s="17" t="s">
        <v>113</v>
      </c>
      <c r="S330" s="17" t="s">
        <v>2810</v>
      </c>
      <c r="T330" s="21"/>
      <c r="U330" s="21"/>
      <c r="V330" s="21"/>
      <c r="W330" s="51" t="s">
        <v>92</v>
      </c>
    </row>
    <row r="331">
      <c r="A331" s="11"/>
      <c r="B331" s="44" t="s">
        <v>34</v>
      </c>
      <c r="C331" s="44" t="s">
        <v>65</v>
      </c>
      <c r="D331" s="44" t="s">
        <v>102</v>
      </c>
      <c r="E331" s="44" t="s">
        <v>103</v>
      </c>
      <c r="F331" s="45" t="s">
        <v>104</v>
      </c>
      <c r="G331" s="44" t="s">
        <v>68</v>
      </c>
      <c r="H331" s="44" t="s">
        <v>105</v>
      </c>
      <c r="I331" s="44" t="s">
        <v>106</v>
      </c>
      <c r="J331" s="48" t="s">
        <v>2783</v>
      </c>
      <c r="K331" s="117" t="s">
        <v>2784</v>
      </c>
      <c r="L331" s="22">
        <v>45910.0</v>
      </c>
      <c r="M331" s="48" t="s">
        <v>28</v>
      </c>
      <c r="N331" s="17" t="s">
        <v>2814</v>
      </c>
      <c r="O331" s="17">
        <v>4.507527E7</v>
      </c>
      <c r="P331" s="17" t="s">
        <v>2835</v>
      </c>
      <c r="Q331" s="17" t="s">
        <v>112</v>
      </c>
      <c r="R331" s="17" t="s">
        <v>113</v>
      </c>
      <c r="S331" s="17" t="s">
        <v>2836</v>
      </c>
      <c r="U331" s="24"/>
      <c r="V331" s="24"/>
      <c r="W331" s="51" t="s">
        <v>92</v>
      </c>
    </row>
    <row r="332">
      <c r="A332" s="11"/>
      <c r="B332" s="44" t="s">
        <v>34</v>
      </c>
      <c r="C332" s="44" t="s">
        <v>65</v>
      </c>
      <c r="D332" s="44" t="s">
        <v>102</v>
      </c>
      <c r="E332" s="44" t="s">
        <v>103</v>
      </c>
      <c r="F332" s="45" t="s">
        <v>104</v>
      </c>
      <c r="G332" s="44" t="s">
        <v>68</v>
      </c>
      <c r="H332" s="44" t="s">
        <v>105</v>
      </c>
      <c r="I332" s="44" t="s">
        <v>106</v>
      </c>
      <c r="J332" s="48" t="s">
        <v>2783</v>
      </c>
      <c r="K332" s="117" t="s">
        <v>2784</v>
      </c>
      <c r="L332" s="22">
        <v>45910.0</v>
      </c>
      <c r="M332" s="48" t="s">
        <v>28</v>
      </c>
      <c r="N332" s="17" t="s">
        <v>2802</v>
      </c>
      <c r="O332" s="17">
        <v>1.0241123E7</v>
      </c>
      <c r="P332" s="17" t="s">
        <v>2803</v>
      </c>
      <c r="Q332" s="17" t="s">
        <v>73</v>
      </c>
      <c r="R332" s="17" t="s">
        <v>74</v>
      </c>
      <c r="S332" s="17" t="s">
        <v>2804</v>
      </c>
      <c r="U332" s="24"/>
      <c r="V332" s="24"/>
      <c r="W332" s="51" t="s">
        <v>92</v>
      </c>
    </row>
    <row r="333">
      <c r="A333" s="11"/>
      <c r="B333" s="44" t="s">
        <v>34</v>
      </c>
      <c r="C333" s="44" t="s">
        <v>65</v>
      </c>
      <c r="D333" s="44" t="s">
        <v>102</v>
      </c>
      <c r="E333" s="44" t="s">
        <v>103</v>
      </c>
      <c r="F333" s="45" t="s">
        <v>104</v>
      </c>
      <c r="G333" s="44" t="s">
        <v>68</v>
      </c>
      <c r="H333" s="44" t="s">
        <v>105</v>
      </c>
      <c r="I333" s="44" t="s">
        <v>106</v>
      </c>
      <c r="J333" s="48" t="s">
        <v>2783</v>
      </c>
      <c r="K333" s="117" t="s">
        <v>2784</v>
      </c>
      <c r="L333" s="22">
        <v>45910.0</v>
      </c>
      <c r="M333" s="48" t="s">
        <v>28</v>
      </c>
      <c r="N333" s="17" t="s">
        <v>2805</v>
      </c>
      <c r="P333" s="17" t="s">
        <v>2806</v>
      </c>
      <c r="Q333" s="17" t="s">
        <v>108</v>
      </c>
      <c r="R333" s="17" t="s">
        <v>109</v>
      </c>
      <c r="S333" s="17" t="s">
        <v>2807</v>
      </c>
      <c r="U333" s="24"/>
      <c r="V333" s="24"/>
      <c r="W333" s="51" t="s">
        <v>92</v>
      </c>
    </row>
    <row r="334">
      <c r="A334" s="11"/>
      <c r="B334" s="44" t="s">
        <v>34</v>
      </c>
      <c r="C334" s="44" t="s">
        <v>65</v>
      </c>
      <c r="D334" s="44" t="s">
        <v>102</v>
      </c>
      <c r="E334" s="44" t="s">
        <v>103</v>
      </c>
      <c r="F334" s="45" t="s">
        <v>104</v>
      </c>
      <c r="G334" s="44" t="s">
        <v>68</v>
      </c>
      <c r="H334" s="44" t="s">
        <v>105</v>
      </c>
      <c r="I334" s="44" t="s">
        <v>106</v>
      </c>
      <c r="J334" s="48" t="s">
        <v>2783</v>
      </c>
      <c r="K334" s="117" t="s">
        <v>2784</v>
      </c>
      <c r="L334" s="22">
        <v>45910.0</v>
      </c>
      <c r="M334" s="48" t="s">
        <v>28</v>
      </c>
      <c r="N334" s="17" t="s">
        <v>115</v>
      </c>
      <c r="P334" s="17" t="s">
        <v>116</v>
      </c>
      <c r="Q334" s="17" t="s">
        <v>108</v>
      </c>
      <c r="R334" s="17" t="s">
        <v>109</v>
      </c>
      <c r="S334" s="17" t="s">
        <v>2820</v>
      </c>
      <c r="U334" s="24"/>
      <c r="V334" s="24"/>
      <c r="W334" s="51" t="s">
        <v>92</v>
      </c>
    </row>
    <row r="335">
      <c r="A335" s="11"/>
      <c r="B335" s="44" t="s">
        <v>34</v>
      </c>
      <c r="C335" s="44" t="s">
        <v>65</v>
      </c>
      <c r="D335" s="44" t="s">
        <v>102</v>
      </c>
      <c r="E335" s="44" t="s">
        <v>103</v>
      </c>
      <c r="F335" s="45" t="s">
        <v>104</v>
      </c>
      <c r="G335" s="44" t="s">
        <v>68</v>
      </c>
      <c r="H335" s="44" t="s">
        <v>105</v>
      </c>
      <c r="I335" s="44" t="s">
        <v>106</v>
      </c>
      <c r="J335" s="48" t="s">
        <v>2783</v>
      </c>
      <c r="K335" s="117" t="s">
        <v>2784</v>
      </c>
      <c r="L335" s="22">
        <v>45910.0</v>
      </c>
      <c r="M335" s="48" t="s">
        <v>28</v>
      </c>
      <c r="N335" s="17" t="s">
        <v>107</v>
      </c>
      <c r="O335" s="17">
        <v>7.1935349E7</v>
      </c>
      <c r="P335" s="17" t="s">
        <v>110</v>
      </c>
      <c r="Q335" s="17" t="s">
        <v>108</v>
      </c>
      <c r="R335" s="17" t="s">
        <v>109</v>
      </c>
      <c r="S335" s="17" t="s">
        <v>2827</v>
      </c>
      <c r="U335" s="24"/>
      <c r="V335" s="24"/>
      <c r="W335" s="51" t="s">
        <v>92</v>
      </c>
    </row>
    <row r="336">
      <c r="A336" s="11"/>
      <c r="B336" s="44" t="s">
        <v>34</v>
      </c>
      <c r="C336" s="44" t="s">
        <v>65</v>
      </c>
      <c r="D336" s="44" t="s">
        <v>102</v>
      </c>
      <c r="E336" s="44" t="s">
        <v>103</v>
      </c>
      <c r="F336" s="45" t="s">
        <v>104</v>
      </c>
      <c r="G336" s="44" t="s">
        <v>68</v>
      </c>
      <c r="H336" s="44" t="s">
        <v>105</v>
      </c>
      <c r="I336" s="44" t="s">
        <v>106</v>
      </c>
      <c r="J336" s="48" t="s">
        <v>2783</v>
      </c>
      <c r="K336" s="117" t="s">
        <v>2784</v>
      </c>
      <c r="L336" s="22">
        <v>45910.0</v>
      </c>
      <c r="M336" s="48" t="s">
        <v>28</v>
      </c>
      <c r="N336" s="17" t="s">
        <v>111</v>
      </c>
      <c r="O336" s="17">
        <v>7.6175423E7</v>
      </c>
      <c r="P336" s="17" t="s">
        <v>114</v>
      </c>
      <c r="Q336" s="17" t="s">
        <v>112</v>
      </c>
      <c r="R336" s="17" t="s">
        <v>113</v>
      </c>
      <c r="S336" s="17" t="s">
        <v>2828</v>
      </c>
      <c r="U336" s="24"/>
      <c r="V336" s="24"/>
      <c r="W336" s="51" t="s">
        <v>92</v>
      </c>
    </row>
    <row r="337">
      <c r="A337" s="11"/>
      <c r="B337" s="44" t="s">
        <v>34</v>
      </c>
      <c r="C337" s="44" t="s">
        <v>65</v>
      </c>
      <c r="D337" s="44" t="s">
        <v>102</v>
      </c>
      <c r="E337" s="44" t="s">
        <v>103</v>
      </c>
      <c r="F337" s="45" t="s">
        <v>104</v>
      </c>
      <c r="G337" s="44" t="s">
        <v>68</v>
      </c>
      <c r="H337" s="44" t="s">
        <v>105</v>
      </c>
      <c r="I337" s="44" t="s">
        <v>106</v>
      </c>
      <c r="J337" s="48" t="s">
        <v>2783</v>
      </c>
      <c r="K337" s="117" t="s">
        <v>2784</v>
      </c>
      <c r="L337" s="22">
        <v>45910.0</v>
      </c>
      <c r="M337" s="48" t="s">
        <v>28</v>
      </c>
      <c r="N337" s="17" t="s">
        <v>2829</v>
      </c>
      <c r="O337" s="17">
        <v>7.3234469E7</v>
      </c>
      <c r="P337" s="17" t="s">
        <v>2830</v>
      </c>
      <c r="Q337" s="17" t="s">
        <v>112</v>
      </c>
      <c r="R337" s="17" t="s">
        <v>113</v>
      </c>
      <c r="S337" s="17" t="s">
        <v>2831</v>
      </c>
      <c r="U337" s="24"/>
      <c r="V337" s="24"/>
      <c r="W337" s="51" t="s">
        <v>92</v>
      </c>
    </row>
    <row r="338">
      <c r="A338" s="11"/>
      <c r="B338" s="44" t="s">
        <v>34</v>
      </c>
      <c r="C338" s="44" t="s">
        <v>65</v>
      </c>
      <c r="D338" s="44" t="s">
        <v>102</v>
      </c>
      <c r="E338" s="44" t="s">
        <v>103</v>
      </c>
      <c r="F338" s="45" t="s">
        <v>104</v>
      </c>
      <c r="G338" s="44" t="s">
        <v>68</v>
      </c>
      <c r="H338" s="44" t="s">
        <v>105</v>
      </c>
      <c r="I338" s="44" t="s">
        <v>106</v>
      </c>
      <c r="J338" s="48" t="s">
        <v>2783</v>
      </c>
      <c r="K338" s="117" t="s">
        <v>2784</v>
      </c>
      <c r="L338" s="22">
        <v>45910.0</v>
      </c>
      <c r="M338" s="48" t="s">
        <v>28</v>
      </c>
      <c r="N338" s="17" t="s">
        <v>2824</v>
      </c>
      <c r="O338" s="17">
        <v>7.2558901E7</v>
      </c>
      <c r="P338" s="17" t="s">
        <v>2825</v>
      </c>
      <c r="Q338" s="17" t="s">
        <v>112</v>
      </c>
      <c r="R338" s="17" t="s">
        <v>113</v>
      </c>
      <c r="S338" s="17" t="s">
        <v>2826</v>
      </c>
      <c r="U338" s="24"/>
      <c r="V338" s="24"/>
      <c r="W338" s="51" t="s">
        <v>92</v>
      </c>
    </row>
    <row r="339">
      <c r="A339" s="11"/>
      <c r="B339" s="44" t="s">
        <v>34</v>
      </c>
      <c r="C339" s="44" t="s">
        <v>65</v>
      </c>
      <c r="D339" s="44" t="s">
        <v>102</v>
      </c>
      <c r="E339" s="44" t="s">
        <v>103</v>
      </c>
      <c r="F339" s="45" t="s">
        <v>104</v>
      </c>
      <c r="G339" s="44" t="s">
        <v>68</v>
      </c>
      <c r="H339" s="44" t="s">
        <v>105</v>
      </c>
      <c r="I339" s="44" t="s">
        <v>106</v>
      </c>
      <c r="J339" s="48" t="s">
        <v>2783</v>
      </c>
      <c r="K339" s="117" t="s">
        <v>2784</v>
      </c>
      <c r="L339" s="22">
        <v>45910.0</v>
      </c>
      <c r="M339" s="48" t="s">
        <v>28</v>
      </c>
      <c r="N339" s="17" t="s">
        <v>2817</v>
      </c>
      <c r="O339" s="17">
        <v>7.3392681E7</v>
      </c>
      <c r="P339" s="17" t="s">
        <v>2818</v>
      </c>
      <c r="Q339" s="17" t="s">
        <v>73</v>
      </c>
      <c r="R339" s="17" t="s">
        <v>74</v>
      </c>
      <c r="S339" s="17" t="s">
        <v>2819</v>
      </c>
      <c r="U339" s="24"/>
      <c r="V339" s="24"/>
      <c r="W339" s="51" t="s">
        <v>92</v>
      </c>
    </row>
    <row r="340">
      <c r="A340" s="11"/>
      <c r="B340" s="44" t="s">
        <v>34</v>
      </c>
      <c r="C340" s="44" t="s">
        <v>65</v>
      </c>
      <c r="D340" s="44" t="s">
        <v>102</v>
      </c>
      <c r="E340" s="44" t="s">
        <v>103</v>
      </c>
      <c r="F340" s="45" t="s">
        <v>104</v>
      </c>
      <c r="G340" s="44" t="s">
        <v>68</v>
      </c>
      <c r="H340" s="44" t="s">
        <v>105</v>
      </c>
      <c r="I340" s="44" t="s">
        <v>106</v>
      </c>
      <c r="J340" s="48" t="s">
        <v>2783</v>
      </c>
      <c r="K340" s="117" t="s">
        <v>2784</v>
      </c>
      <c r="L340" s="22">
        <v>45910.0</v>
      </c>
      <c r="M340" s="48" t="s">
        <v>23</v>
      </c>
      <c r="N340" s="17" t="s">
        <v>2821</v>
      </c>
      <c r="O340" s="17">
        <v>7.5511933E7</v>
      </c>
      <c r="Q340" s="17" t="s">
        <v>73</v>
      </c>
      <c r="R340" s="17" t="s">
        <v>74</v>
      </c>
      <c r="S340" s="17" t="s">
        <v>2202</v>
      </c>
      <c r="U340" s="24"/>
      <c r="V340" s="24"/>
      <c r="W340" s="18" t="s">
        <v>92</v>
      </c>
    </row>
    <row r="341">
      <c r="A341" s="11"/>
      <c r="B341" s="44" t="s">
        <v>34</v>
      </c>
      <c r="C341" s="44" t="s">
        <v>65</v>
      </c>
      <c r="D341" s="44" t="s">
        <v>102</v>
      </c>
      <c r="E341" s="44" t="s">
        <v>103</v>
      </c>
      <c r="F341" s="45" t="s">
        <v>104</v>
      </c>
      <c r="G341" s="44" t="s">
        <v>68</v>
      </c>
      <c r="H341" s="44" t="s">
        <v>105</v>
      </c>
      <c r="I341" s="44" t="s">
        <v>106</v>
      </c>
      <c r="J341" s="48" t="s">
        <v>2783</v>
      </c>
      <c r="K341" s="117" t="s">
        <v>2784</v>
      </c>
      <c r="L341" s="22">
        <v>45910.0</v>
      </c>
      <c r="M341" s="48" t="s">
        <v>23</v>
      </c>
      <c r="N341" s="17" t="s">
        <v>2822</v>
      </c>
      <c r="O341" s="17">
        <v>6.0273979E7</v>
      </c>
      <c r="Q341" s="17" t="s">
        <v>108</v>
      </c>
      <c r="R341" s="17" t="s">
        <v>1775</v>
      </c>
      <c r="S341" s="17" t="s">
        <v>2823</v>
      </c>
      <c r="U341" s="24"/>
      <c r="V341" s="24"/>
      <c r="W341" s="18" t="s">
        <v>92</v>
      </c>
    </row>
    <row r="342">
      <c r="A342" s="11"/>
      <c r="B342" s="44" t="s">
        <v>34</v>
      </c>
      <c r="C342" s="44" t="s">
        <v>65</v>
      </c>
      <c r="D342" s="44" t="s">
        <v>102</v>
      </c>
      <c r="E342" s="44" t="s">
        <v>103</v>
      </c>
      <c r="F342" s="45" t="s">
        <v>104</v>
      </c>
      <c r="G342" s="44" t="s">
        <v>68</v>
      </c>
      <c r="H342" s="44" t="s">
        <v>105</v>
      </c>
      <c r="I342" s="44" t="s">
        <v>106</v>
      </c>
      <c r="J342" s="48" t="s">
        <v>2687</v>
      </c>
      <c r="K342" s="117">
        <v>1.0</v>
      </c>
      <c r="L342" s="22">
        <v>45898.0</v>
      </c>
      <c r="M342" s="48" t="s">
        <v>23</v>
      </c>
      <c r="N342" s="17" t="s">
        <v>2821</v>
      </c>
      <c r="O342" s="17">
        <v>7.5511933E7</v>
      </c>
      <c r="Q342" s="17" t="s">
        <v>73</v>
      </c>
      <c r="R342" s="17" t="s">
        <v>74</v>
      </c>
      <c r="S342" s="17" t="s">
        <v>2823</v>
      </c>
      <c r="U342" s="24"/>
      <c r="V342" s="24"/>
      <c r="W342" s="18" t="s">
        <v>92</v>
      </c>
    </row>
    <row r="343">
      <c r="A343" s="11"/>
      <c r="B343" s="44" t="s">
        <v>34</v>
      </c>
      <c r="C343" s="44" t="s">
        <v>65</v>
      </c>
      <c r="D343" s="44" t="s">
        <v>102</v>
      </c>
      <c r="E343" s="44" t="s">
        <v>103</v>
      </c>
      <c r="F343" s="45" t="s">
        <v>104</v>
      </c>
      <c r="G343" s="44" t="s">
        <v>68</v>
      </c>
      <c r="H343" s="44" t="s">
        <v>105</v>
      </c>
      <c r="I343" s="44" t="s">
        <v>106</v>
      </c>
      <c r="J343" s="48" t="s">
        <v>2687</v>
      </c>
      <c r="K343" s="117">
        <v>1.0</v>
      </c>
      <c r="L343" s="22">
        <v>45898.0</v>
      </c>
      <c r="M343" s="48" t="s">
        <v>23</v>
      </c>
      <c r="N343" s="17" t="s">
        <v>2822</v>
      </c>
      <c r="O343" s="17">
        <v>6.0273979E7</v>
      </c>
      <c r="Q343" s="17" t="s">
        <v>108</v>
      </c>
      <c r="R343" s="17" t="s">
        <v>1775</v>
      </c>
      <c r="S343" s="17" t="s">
        <v>2823</v>
      </c>
      <c r="U343" s="24"/>
      <c r="V343" s="24"/>
      <c r="W343" s="18" t="s">
        <v>92</v>
      </c>
    </row>
    <row r="344">
      <c r="A344" s="11"/>
      <c r="B344" s="12" t="s">
        <v>34</v>
      </c>
      <c r="C344" s="12" t="s">
        <v>65</v>
      </c>
      <c r="D344" s="12" t="s">
        <v>102</v>
      </c>
      <c r="E344" s="12" t="s">
        <v>103</v>
      </c>
      <c r="F344" s="13" t="s">
        <v>104</v>
      </c>
      <c r="G344" s="12" t="s">
        <v>68</v>
      </c>
      <c r="H344" s="12" t="s">
        <v>105</v>
      </c>
      <c r="I344" s="12" t="s">
        <v>106</v>
      </c>
      <c r="J344" s="17" t="s">
        <v>2796</v>
      </c>
      <c r="K344" s="18" t="s">
        <v>2797</v>
      </c>
      <c r="L344" s="20">
        <v>45938.0</v>
      </c>
      <c r="M344" s="17" t="s">
        <v>28</v>
      </c>
      <c r="N344" s="17" t="s">
        <v>2837</v>
      </c>
      <c r="O344" s="17">
        <v>1.0241123E7</v>
      </c>
      <c r="P344" s="17" t="s">
        <v>2838</v>
      </c>
      <c r="Q344" s="17" t="s">
        <v>112</v>
      </c>
      <c r="R344" s="17" t="s">
        <v>113</v>
      </c>
      <c r="S344" s="17" t="s">
        <v>2839</v>
      </c>
      <c r="U344" s="24"/>
      <c r="V344" s="24"/>
      <c r="W344" s="18" t="s">
        <v>92</v>
      </c>
    </row>
    <row r="345">
      <c r="A345" s="11"/>
      <c r="B345" s="12" t="s">
        <v>34</v>
      </c>
      <c r="C345" s="12" t="s">
        <v>65</v>
      </c>
      <c r="D345" s="12" t="s">
        <v>102</v>
      </c>
      <c r="E345" s="12" t="s">
        <v>103</v>
      </c>
      <c r="F345" s="13" t="s">
        <v>104</v>
      </c>
      <c r="G345" s="12" t="s">
        <v>68</v>
      </c>
      <c r="H345" s="12" t="s">
        <v>105</v>
      </c>
      <c r="I345" s="12" t="s">
        <v>106</v>
      </c>
      <c r="J345" s="17" t="s">
        <v>2796</v>
      </c>
      <c r="K345" s="18" t="s">
        <v>2797</v>
      </c>
      <c r="L345" s="20">
        <v>45938.0</v>
      </c>
      <c r="M345" s="17" t="s">
        <v>28</v>
      </c>
      <c r="N345" s="17" t="s">
        <v>2802</v>
      </c>
      <c r="O345" s="17">
        <v>1.0241123E7</v>
      </c>
      <c r="P345" s="17" t="s">
        <v>2803</v>
      </c>
      <c r="Q345" s="17" t="s">
        <v>108</v>
      </c>
      <c r="R345" s="17" t="s">
        <v>109</v>
      </c>
      <c r="S345" s="17" t="s">
        <v>2198</v>
      </c>
      <c r="U345" s="24"/>
      <c r="V345" s="24"/>
      <c r="W345" s="18" t="s">
        <v>92</v>
      </c>
    </row>
    <row r="346">
      <c r="A346" s="11"/>
      <c r="B346" s="12" t="s">
        <v>34</v>
      </c>
      <c r="C346" s="12" t="s">
        <v>65</v>
      </c>
      <c r="D346" s="12" t="s">
        <v>102</v>
      </c>
      <c r="E346" s="12" t="s">
        <v>103</v>
      </c>
      <c r="F346" s="13" t="s">
        <v>104</v>
      </c>
      <c r="G346" s="12" t="s">
        <v>68</v>
      </c>
      <c r="H346" s="12" t="s">
        <v>105</v>
      </c>
      <c r="I346" s="12" t="s">
        <v>106</v>
      </c>
      <c r="J346" s="17" t="s">
        <v>2796</v>
      </c>
      <c r="K346" s="18" t="s">
        <v>2797</v>
      </c>
      <c r="L346" s="20">
        <v>45938.0</v>
      </c>
      <c r="M346" s="17" t="s">
        <v>28</v>
      </c>
      <c r="N346" s="17" t="s">
        <v>2817</v>
      </c>
      <c r="O346" s="17">
        <v>7.3392681E7</v>
      </c>
      <c r="P346" s="17" t="s">
        <v>2818</v>
      </c>
      <c r="Q346" s="17" t="s">
        <v>73</v>
      </c>
      <c r="R346" s="17" t="s">
        <v>74</v>
      </c>
      <c r="S346" s="17" t="s">
        <v>2819</v>
      </c>
      <c r="U346" s="24"/>
      <c r="V346" s="24"/>
      <c r="W346" s="18" t="s">
        <v>92</v>
      </c>
    </row>
    <row r="347">
      <c r="A347" s="11"/>
      <c r="B347" s="12" t="s">
        <v>34</v>
      </c>
      <c r="C347" s="12" t="s">
        <v>65</v>
      </c>
      <c r="D347" s="12" t="s">
        <v>102</v>
      </c>
      <c r="E347" s="12" t="s">
        <v>103</v>
      </c>
      <c r="F347" s="13" t="s">
        <v>104</v>
      </c>
      <c r="G347" s="12" t="s">
        <v>68</v>
      </c>
      <c r="H347" s="12" t="s">
        <v>105</v>
      </c>
      <c r="I347" s="12" t="s">
        <v>106</v>
      </c>
      <c r="J347" s="17" t="s">
        <v>2796</v>
      </c>
      <c r="K347" s="18" t="s">
        <v>2797</v>
      </c>
      <c r="L347" s="20">
        <v>45938.0</v>
      </c>
      <c r="M347" s="17" t="s">
        <v>28</v>
      </c>
      <c r="N347" s="17" t="s">
        <v>2829</v>
      </c>
      <c r="O347" s="17">
        <v>7.3234469E7</v>
      </c>
      <c r="P347" s="17" t="s">
        <v>2830</v>
      </c>
      <c r="Q347" s="17" t="s">
        <v>112</v>
      </c>
      <c r="R347" s="17" t="s">
        <v>113</v>
      </c>
      <c r="S347" s="17" t="s">
        <v>2831</v>
      </c>
      <c r="U347" s="24"/>
      <c r="V347" s="24"/>
      <c r="W347" s="18" t="s">
        <v>92</v>
      </c>
    </row>
    <row r="348">
      <c r="A348" s="11"/>
      <c r="B348" s="12" t="s">
        <v>34</v>
      </c>
      <c r="C348" s="12" t="s">
        <v>65</v>
      </c>
      <c r="D348" s="12" t="s">
        <v>102</v>
      </c>
      <c r="E348" s="12" t="s">
        <v>103</v>
      </c>
      <c r="F348" s="13" t="s">
        <v>104</v>
      </c>
      <c r="G348" s="12" t="s">
        <v>68</v>
      </c>
      <c r="H348" s="12" t="s">
        <v>105</v>
      </c>
      <c r="I348" s="12" t="s">
        <v>106</v>
      </c>
      <c r="J348" s="17" t="s">
        <v>2796</v>
      </c>
      <c r="K348" s="18" t="s">
        <v>2797</v>
      </c>
      <c r="L348" s="20">
        <v>45938.0</v>
      </c>
      <c r="M348" s="17" t="s">
        <v>28</v>
      </c>
      <c r="N348" s="17" t="s">
        <v>2811</v>
      </c>
      <c r="O348" s="17">
        <v>4.6221928E7</v>
      </c>
      <c r="P348" s="17" t="s">
        <v>2812</v>
      </c>
      <c r="Q348" s="17" t="s">
        <v>112</v>
      </c>
      <c r="R348" s="17" t="s">
        <v>113</v>
      </c>
      <c r="S348" s="17" t="s">
        <v>2813</v>
      </c>
      <c r="U348" s="24"/>
      <c r="V348" s="24"/>
      <c r="W348" s="18" t="s">
        <v>92</v>
      </c>
    </row>
    <row r="349">
      <c r="A349" s="11"/>
      <c r="B349" s="12" t="s">
        <v>34</v>
      </c>
      <c r="C349" s="12" t="s">
        <v>65</v>
      </c>
      <c r="D349" s="12" t="s">
        <v>102</v>
      </c>
      <c r="E349" s="12" t="s">
        <v>103</v>
      </c>
      <c r="F349" s="13" t="s">
        <v>104</v>
      </c>
      <c r="G349" s="12" t="s">
        <v>68</v>
      </c>
      <c r="H349" s="12" t="s">
        <v>105</v>
      </c>
      <c r="I349" s="12" t="s">
        <v>106</v>
      </c>
      <c r="J349" s="17" t="s">
        <v>2796</v>
      </c>
      <c r="K349" s="18" t="s">
        <v>2797</v>
      </c>
      <c r="L349" s="20">
        <v>45938.0</v>
      </c>
      <c r="M349" s="17" t="s">
        <v>28</v>
      </c>
      <c r="N349" s="17" t="s">
        <v>107</v>
      </c>
      <c r="O349" s="17">
        <v>7.1935349E7</v>
      </c>
      <c r="P349" s="17" t="s">
        <v>110</v>
      </c>
      <c r="Q349" s="17" t="s">
        <v>108</v>
      </c>
      <c r="R349" s="17" t="s">
        <v>109</v>
      </c>
      <c r="S349" s="17" t="s">
        <v>2827</v>
      </c>
      <c r="U349" s="24"/>
      <c r="V349" s="24"/>
      <c r="W349" s="18" t="s">
        <v>92</v>
      </c>
    </row>
    <row r="350">
      <c r="A350" s="11"/>
      <c r="B350" s="12" t="s">
        <v>34</v>
      </c>
      <c r="C350" s="12" t="s">
        <v>65</v>
      </c>
      <c r="D350" s="12" t="s">
        <v>102</v>
      </c>
      <c r="E350" s="12" t="s">
        <v>103</v>
      </c>
      <c r="F350" s="13" t="s">
        <v>104</v>
      </c>
      <c r="G350" s="12" t="s">
        <v>68</v>
      </c>
      <c r="H350" s="12" t="s">
        <v>105</v>
      </c>
      <c r="I350" s="12" t="s">
        <v>106</v>
      </c>
      <c r="J350" s="17" t="s">
        <v>2796</v>
      </c>
      <c r="K350" s="18" t="s">
        <v>2797</v>
      </c>
      <c r="L350" s="20">
        <v>45938.0</v>
      </c>
      <c r="M350" s="17" t="s">
        <v>28</v>
      </c>
      <c r="N350" s="17" t="s">
        <v>2814</v>
      </c>
      <c r="O350" s="17">
        <v>4.507527E7</v>
      </c>
      <c r="P350" s="17" t="s">
        <v>2835</v>
      </c>
      <c r="Q350" s="17" t="s">
        <v>112</v>
      </c>
      <c r="R350" s="17" t="s">
        <v>113</v>
      </c>
      <c r="S350" s="17" t="s">
        <v>2836</v>
      </c>
      <c r="U350" s="24"/>
      <c r="V350" s="24"/>
      <c r="W350" s="18" t="s">
        <v>92</v>
      </c>
    </row>
    <row r="351">
      <c r="A351" s="11"/>
      <c r="B351" s="12" t="s">
        <v>34</v>
      </c>
      <c r="C351" s="12" t="s">
        <v>65</v>
      </c>
      <c r="D351" s="12" t="s">
        <v>102</v>
      </c>
      <c r="E351" s="12" t="s">
        <v>103</v>
      </c>
      <c r="F351" s="13" t="s">
        <v>104</v>
      </c>
      <c r="G351" s="12" t="s">
        <v>68</v>
      </c>
      <c r="H351" s="12" t="s">
        <v>105</v>
      </c>
      <c r="I351" s="12" t="s">
        <v>106</v>
      </c>
      <c r="J351" s="17" t="s">
        <v>2796</v>
      </c>
      <c r="K351" s="18" t="s">
        <v>2797</v>
      </c>
      <c r="L351" s="20">
        <v>45938.0</v>
      </c>
      <c r="M351" s="17" t="s">
        <v>28</v>
      </c>
      <c r="N351" s="17" t="s">
        <v>111</v>
      </c>
      <c r="O351" s="17">
        <v>7.6175423E7</v>
      </c>
      <c r="P351" s="17" t="s">
        <v>114</v>
      </c>
      <c r="Q351" s="17" t="s">
        <v>112</v>
      </c>
      <c r="R351" s="17" t="s">
        <v>113</v>
      </c>
      <c r="S351" s="17" t="s">
        <v>2828</v>
      </c>
      <c r="U351" s="24"/>
      <c r="V351" s="24"/>
      <c r="W351" s="18" t="s">
        <v>92</v>
      </c>
    </row>
    <row r="352">
      <c r="A352" s="11"/>
      <c r="B352" s="12" t="s">
        <v>34</v>
      </c>
      <c r="C352" s="12" t="s">
        <v>65</v>
      </c>
      <c r="D352" s="12" t="s">
        <v>102</v>
      </c>
      <c r="E352" s="12" t="s">
        <v>103</v>
      </c>
      <c r="F352" s="13" t="s">
        <v>104</v>
      </c>
      <c r="G352" s="12" t="s">
        <v>68</v>
      </c>
      <c r="H352" s="12" t="s">
        <v>105</v>
      </c>
      <c r="I352" s="12" t="s">
        <v>106</v>
      </c>
      <c r="J352" s="17" t="s">
        <v>2796</v>
      </c>
      <c r="K352" s="18" t="s">
        <v>2797</v>
      </c>
      <c r="L352" s="20">
        <v>45938.0</v>
      </c>
      <c r="M352" s="17" t="s">
        <v>28</v>
      </c>
      <c r="N352" s="17" t="s">
        <v>115</v>
      </c>
      <c r="P352" s="17" t="s">
        <v>116</v>
      </c>
      <c r="Q352" s="17" t="s">
        <v>108</v>
      </c>
      <c r="R352" s="17" t="s">
        <v>109</v>
      </c>
      <c r="S352" s="17" t="s">
        <v>2820</v>
      </c>
      <c r="U352" s="24"/>
      <c r="V352" s="24"/>
      <c r="W352" s="18" t="s">
        <v>92</v>
      </c>
    </row>
    <row r="353">
      <c r="A353" s="11"/>
      <c r="B353" s="12" t="s">
        <v>34</v>
      </c>
      <c r="C353" s="12" t="s">
        <v>65</v>
      </c>
      <c r="D353" s="12" t="s">
        <v>102</v>
      </c>
      <c r="E353" s="12" t="s">
        <v>103</v>
      </c>
      <c r="F353" s="13" t="s">
        <v>104</v>
      </c>
      <c r="G353" s="12" t="s">
        <v>68</v>
      </c>
      <c r="H353" s="12" t="s">
        <v>105</v>
      </c>
      <c r="I353" s="12" t="s">
        <v>106</v>
      </c>
      <c r="J353" s="17" t="s">
        <v>2796</v>
      </c>
      <c r="K353" s="18" t="s">
        <v>2797</v>
      </c>
      <c r="L353" s="20">
        <v>45938.0</v>
      </c>
      <c r="M353" s="17" t="s">
        <v>28</v>
      </c>
      <c r="N353" s="17" t="s">
        <v>2805</v>
      </c>
      <c r="P353" s="17" t="s">
        <v>2806</v>
      </c>
      <c r="Q353" s="17" t="s">
        <v>108</v>
      </c>
      <c r="R353" s="17" t="s">
        <v>109</v>
      </c>
      <c r="S353" s="17" t="s">
        <v>2807</v>
      </c>
      <c r="U353" s="24"/>
      <c r="V353" s="24"/>
      <c r="W353" s="18" t="s">
        <v>92</v>
      </c>
    </row>
    <row r="354">
      <c r="A354" s="11"/>
      <c r="B354" s="12" t="s">
        <v>34</v>
      </c>
      <c r="C354" s="12" t="s">
        <v>65</v>
      </c>
      <c r="D354" s="12" t="s">
        <v>102</v>
      </c>
      <c r="E354" s="12" t="s">
        <v>103</v>
      </c>
      <c r="F354" s="13" t="s">
        <v>104</v>
      </c>
      <c r="G354" s="12" t="s">
        <v>68</v>
      </c>
      <c r="H354" s="12" t="s">
        <v>105</v>
      </c>
      <c r="I354" s="12" t="s">
        <v>106</v>
      </c>
      <c r="J354" s="17" t="s">
        <v>2796</v>
      </c>
      <c r="K354" s="18" t="s">
        <v>2797</v>
      </c>
      <c r="L354" s="20">
        <v>45938.0</v>
      </c>
      <c r="M354" s="17" t="s">
        <v>28</v>
      </c>
      <c r="N354" s="17" t="s">
        <v>2808</v>
      </c>
      <c r="O354" s="17">
        <v>7.3429307E7</v>
      </c>
      <c r="P354" s="17" t="s">
        <v>2809</v>
      </c>
      <c r="Q354" s="17" t="s">
        <v>112</v>
      </c>
      <c r="R354" s="17" t="s">
        <v>113</v>
      </c>
      <c r="S354" s="17" t="s">
        <v>2810</v>
      </c>
      <c r="U354" s="24"/>
      <c r="V354" s="24"/>
      <c r="W354" s="18" t="s">
        <v>92</v>
      </c>
    </row>
    <row r="355">
      <c r="A355" s="11"/>
      <c r="B355" s="12" t="s">
        <v>34</v>
      </c>
      <c r="C355" s="12" t="s">
        <v>65</v>
      </c>
      <c r="D355" s="12" t="s">
        <v>102</v>
      </c>
      <c r="E355" s="12" t="s">
        <v>103</v>
      </c>
      <c r="F355" s="13" t="s">
        <v>104</v>
      </c>
      <c r="G355" s="12" t="s">
        <v>68</v>
      </c>
      <c r="H355" s="12" t="s">
        <v>105</v>
      </c>
      <c r="I355" s="12" t="s">
        <v>106</v>
      </c>
      <c r="J355" s="17" t="s">
        <v>2796</v>
      </c>
      <c r="K355" s="18" t="s">
        <v>2797</v>
      </c>
      <c r="L355" s="20">
        <v>45938.0</v>
      </c>
      <c r="M355" s="17" t="s">
        <v>28</v>
      </c>
      <c r="N355" s="17" t="s">
        <v>2824</v>
      </c>
      <c r="O355" s="17">
        <v>7.2558901E7</v>
      </c>
      <c r="P355" s="17" t="s">
        <v>2825</v>
      </c>
      <c r="Q355" s="17" t="s">
        <v>112</v>
      </c>
      <c r="R355" s="17" t="s">
        <v>113</v>
      </c>
      <c r="S355" s="17" t="s">
        <v>2826</v>
      </c>
      <c r="U355" s="24"/>
      <c r="V355" s="24"/>
      <c r="W355" s="18" t="s">
        <v>92</v>
      </c>
    </row>
    <row r="356">
      <c r="A356" s="11"/>
      <c r="B356" s="44" t="s">
        <v>34</v>
      </c>
      <c r="C356" s="44" t="s">
        <v>65</v>
      </c>
      <c r="D356" s="44" t="s">
        <v>102</v>
      </c>
      <c r="E356" s="44" t="s">
        <v>103</v>
      </c>
      <c r="F356" s="45" t="s">
        <v>104</v>
      </c>
      <c r="G356" s="44" t="s">
        <v>68</v>
      </c>
      <c r="H356" s="44" t="s">
        <v>105</v>
      </c>
      <c r="I356" s="44" t="s">
        <v>106</v>
      </c>
      <c r="J356" s="17" t="s">
        <v>2796</v>
      </c>
      <c r="K356" s="18" t="s">
        <v>2797</v>
      </c>
      <c r="L356" s="20">
        <v>45938.0</v>
      </c>
      <c r="M356" s="48" t="s">
        <v>23</v>
      </c>
      <c r="N356" s="17" t="s">
        <v>2821</v>
      </c>
      <c r="O356" s="17">
        <v>7.5511933E7</v>
      </c>
      <c r="Q356" s="17" t="s">
        <v>73</v>
      </c>
      <c r="R356" s="17" t="s">
        <v>74</v>
      </c>
      <c r="S356" s="17" t="s">
        <v>2202</v>
      </c>
      <c r="U356" s="24"/>
      <c r="V356" s="24"/>
      <c r="W356" s="18" t="s">
        <v>92</v>
      </c>
    </row>
    <row r="357">
      <c r="A357" s="11"/>
      <c r="B357" s="44" t="s">
        <v>34</v>
      </c>
      <c r="C357" s="44" t="s">
        <v>65</v>
      </c>
      <c r="D357" s="44" t="s">
        <v>102</v>
      </c>
      <c r="E357" s="44" t="s">
        <v>103</v>
      </c>
      <c r="F357" s="45" t="s">
        <v>104</v>
      </c>
      <c r="G357" s="44" t="s">
        <v>68</v>
      </c>
      <c r="H357" s="44" t="s">
        <v>105</v>
      </c>
      <c r="I357" s="44" t="s">
        <v>106</v>
      </c>
      <c r="J357" s="17" t="s">
        <v>2796</v>
      </c>
      <c r="K357" s="18" t="s">
        <v>2797</v>
      </c>
      <c r="L357" s="20">
        <v>45938.0</v>
      </c>
      <c r="M357" s="48" t="s">
        <v>23</v>
      </c>
      <c r="N357" s="17" t="s">
        <v>2822</v>
      </c>
      <c r="O357" s="17">
        <v>6.0273979E7</v>
      </c>
      <c r="Q357" s="17" t="s">
        <v>108</v>
      </c>
      <c r="R357" s="17" t="s">
        <v>1775</v>
      </c>
      <c r="S357" s="17" t="s">
        <v>2823</v>
      </c>
      <c r="U357" s="24"/>
      <c r="V357" s="24"/>
      <c r="W357" s="18" t="s">
        <v>92</v>
      </c>
    </row>
    <row r="358">
      <c r="A358" s="11"/>
      <c r="B358" s="44" t="s">
        <v>34</v>
      </c>
      <c r="C358" s="44" t="s">
        <v>65</v>
      </c>
      <c r="D358" s="44" t="s">
        <v>102</v>
      </c>
      <c r="E358" s="44" t="s">
        <v>103</v>
      </c>
      <c r="F358" s="45" t="s">
        <v>104</v>
      </c>
      <c r="G358" s="44" t="s">
        <v>68</v>
      </c>
      <c r="H358" s="44" t="s">
        <v>105</v>
      </c>
      <c r="I358" s="44" t="s">
        <v>106</v>
      </c>
      <c r="J358" s="48" t="s">
        <v>2687</v>
      </c>
      <c r="K358" s="117">
        <v>2.0</v>
      </c>
      <c r="L358" s="22">
        <v>45938.0</v>
      </c>
      <c r="M358" s="48" t="s">
        <v>23</v>
      </c>
      <c r="N358" s="17" t="s">
        <v>2821</v>
      </c>
      <c r="O358" s="17">
        <v>7.5511933E7</v>
      </c>
      <c r="Q358" s="17" t="s">
        <v>73</v>
      </c>
      <c r="R358" s="17" t="s">
        <v>74</v>
      </c>
      <c r="S358" s="17" t="s">
        <v>2823</v>
      </c>
      <c r="U358" s="24"/>
      <c r="V358" s="24"/>
      <c r="W358" s="18" t="s">
        <v>92</v>
      </c>
    </row>
    <row r="359">
      <c r="A359" s="11"/>
      <c r="B359" s="44" t="s">
        <v>34</v>
      </c>
      <c r="C359" s="44" t="s">
        <v>65</v>
      </c>
      <c r="D359" s="44" t="s">
        <v>102</v>
      </c>
      <c r="E359" s="44" t="s">
        <v>103</v>
      </c>
      <c r="F359" s="45" t="s">
        <v>104</v>
      </c>
      <c r="G359" s="44" t="s">
        <v>68</v>
      </c>
      <c r="H359" s="44" t="s">
        <v>105</v>
      </c>
      <c r="I359" s="44" t="s">
        <v>106</v>
      </c>
      <c r="J359" s="48" t="s">
        <v>2687</v>
      </c>
      <c r="K359" s="117">
        <v>2.0</v>
      </c>
      <c r="L359" s="22">
        <v>45938.0</v>
      </c>
      <c r="M359" s="48" t="s">
        <v>23</v>
      </c>
      <c r="N359" s="17" t="s">
        <v>2822</v>
      </c>
      <c r="O359" s="17">
        <v>6.0273979E7</v>
      </c>
      <c r="Q359" s="17" t="s">
        <v>108</v>
      </c>
      <c r="R359" s="17" t="s">
        <v>1775</v>
      </c>
      <c r="S359" s="17" t="s">
        <v>2823</v>
      </c>
      <c r="U359" s="24"/>
      <c r="V359" s="24"/>
      <c r="W359" s="18" t="s">
        <v>92</v>
      </c>
    </row>
    <row r="360">
      <c r="A360" s="43"/>
      <c r="B360" s="44" t="s">
        <v>34</v>
      </c>
      <c r="C360" s="44" t="s">
        <v>65</v>
      </c>
      <c r="D360" s="44" t="s">
        <v>102</v>
      </c>
      <c r="E360" s="44" t="s">
        <v>103</v>
      </c>
      <c r="F360" s="45" t="s">
        <v>104</v>
      </c>
      <c r="G360" s="44" t="s">
        <v>68</v>
      </c>
      <c r="H360" s="44" t="s">
        <v>105</v>
      </c>
      <c r="I360" s="44" t="s">
        <v>106</v>
      </c>
      <c r="J360" s="48" t="s">
        <v>2800</v>
      </c>
      <c r="K360" s="117" t="s">
        <v>2801</v>
      </c>
      <c r="L360" s="22">
        <v>45959.0</v>
      </c>
      <c r="M360" s="46" t="s">
        <v>28</v>
      </c>
      <c r="N360" s="46" t="s">
        <v>2824</v>
      </c>
      <c r="O360" s="47">
        <v>7.2558901E7</v>
      </c>
      <c r="P360" s="21" t="s">
        <v>2825</v>
      </c>
      <c r="Q360" s="46" t="s">
        <v>112</v>
      </c>
      <c r="R360" s="46" t="s">
        <v>113</v>
      </c>
      <c r="S360" s="46" t="s">
        <v>2826</v>
      </c>
      <c r="T360" s="21"/>
      <c r="U360" s="21"/>
      <c r="V360" s="21"/>
      <c r="W360" s="51" t="s">
        <v>92</v>
      </c>
    </row>
    <row r="361">
      <c r="A361" s="11"/>
      <c r="B361" s="12" t="s">
        <v>34</v>
      </c>
      <c r="C361" s="12" t="s">
        <v>65</v>
      </c>
      <c r="D361" s="12" t="s">
        <v>102</v>
      </c>
      <c r="E361" s="12" t="s">
        <v>103</v>
      </c>
      <c r="F361" s="13" t="s">
        <v>104</v>
      </c>
      <c r="G361" s="12" t="s">
        <v>68</v>
      </c>
      <c r="H361" s="12" t="s">
        <v>105</v>
      </c>
      <c r="I361" s="12" t="s">
        <v>106</v>
      </c>
      <c r="J361" s="48" t="s">
        <v>2800</v>
      </c>
      <c r="K361" s="117" t="s">
        <v>2801</v>
      </c>
      <c r="L361" s="22">
        <v>45959.0</v>
      </c>
      <c r="M361" s="17" t="s">
        <v>28</v>
      </c>
      <c r="N361" s="17" t="s">
        <v>2817</v>
      </c>
      <c r="O361" s="17">
        <v>7.3392681E7</v>
      </c>
      <c r="P361" s="17" t="s">
        <v>2818</v>
      </c>
      <c r="Q361" s="17" t="s">
        <v>73</v>
      </c>
      <c r="R361" s="17" t="s">
        <v>74</v>
      </c>
      <c r="S361" s="17" t="s">
        <v>2819</v>
      </c>
      <c r="U361" s="24"/>
      <c r="V361" s="24"/>
      <c r="W361" s="18" t="s">
        <v>92</v>
      </c>
    </row>
    <row r="362">
      <c r="A362" s="11"/>
      <c r="B362" s="12" t="s">
        <v>34</v>
      </c>
      <c r="C362" s="12" t="s">
        <v>65</v>
      </c>
      <c r="D362" s="12" t="s">
        <v>102</v>
      </c>
      <c r="E362" s="12" t="s">
        <v>103</v>
      </c>
      <c r="F362" s="13" t="s">
        <v>104</v>
      </c>
      <c r="G362" s="12" t="s">
        <v>68</v>
      </c>
      <c r="H362" s="12" t="s">
        <v>105</v>
      </c>
      <c r="I362" s="12" t="s">
        <v>106</v>
      </c>
      <c r="J362" s="48" t="s">
        <v>2800</v>
      </c>
      <c r="K362" s="117" t="s">
        <v>2801</v>
      </c>
      <c r="L362" s="22">
        <v>45959.0</v>
      </c>
      <c r="M362" s="17" t="s">
        <v>28</v>
      </c>
      <c r="N362" s="17" t="s">
        <v>107</v>
      </c>
      <c r="O362" s="17">
        <v>7.1935349E7</v>
      </c>
      <c r="P362" s="17" t="s">
        <v>110</v>
      </c>
      <c r="Q362" s="17" t="s">
        <v>108</v>
      </c>
      <c r="R362" s="17" t="s">
        <v>109</v>
      </c>
      <c r="S362" s="17" t="s">
        <v>2827</v>
      </c>
      <c r="U362" s="24"/>
      <c r="V362" s="24"/>
      <c r="W362" s="18" t="s">
        <v>92</v>
      </c>
    </row>
    <row r="363">
      <c r="A363" s="11"/>
      <c r="B363" s="12" t="s">
        <v>34</v>
      </c>
      <c r="C363" s="12" t="s">
        <v>65</v>
      </c>
      <c r="D363" s="12" t="s">
        <v>102</v>
      </c>
      <c r="E363" s="12" t="s">
        <v>103</v>
      </c>
      <c r="F363" s="13" t="s">
        <v>104</v>
      </c>
      <c r="G363" s="12" t="s">
        <v>68</v>
      </c>
      <c r="H363" s="12" t="s">
        <v>105</v>
      </c>
      <c r="I363" s="12" t="s">
        <v>106</v>
      </c>
      <c r="J363" s="48" t="s">
        <v>2800</v>
      </c>
      <c r="K363" s="117" t="s">
        <v>2801</v>
      </c>
      <c r="L363" s="22">
        <v>45959.0</v>
      </c>
      <c r="M363" s="17" t="s">
        <v>28</v>
      </c>
      <c r="N363" s="17" t="s">
        <v>2829</v>
      </c>
      <c r="O363" s="17">
        <v>7.3234469E7</v>
      </c>
      <c r="P363" s="17" t="s">
        <v>2830</v>
      </c>
      <c r="Q363" s="17" t="s">
        <v>112</v>
      </c>
      <c r="R363" s="17" t="s">
        <v>113</v>
      </c>
      <c r="S363" s="17" t="s">
        <v>2831</v>
      </c>
      <c r="U363" s="24"/>
      <c r="V363" s="24"/>
      <c r="W363" s="18" t="s">
        <v>92</v>
      </c>
    </row>
    <row r="364">
      <c r="A364" s="11"/>
      <c r="B364" s="12" t="s">
        <v>34</v>
      </c>
      <c r="C364" s="12" t="s">
        <v>65</v>
      </c>
      <c r="D364" s="12" t="s">
        <v>102</v>
      </c>
      <c r="E364" s="12" t="s">
        <v>103</v>
      </c>
      <c r="F364" s="13" t="s">
        <v>104</v>
      </c>
      <c r="G364" s="12" t="s">
        <v>68</v>
      </c>
      <c r="H364" s="12" t="s">
        <v>105</v>
      </c>
      <c r="I364" s="12" t="s">
        <v>106</v>
      </c>
      <c r="J364" s="48" t="s">
        <v>2800</v>
      </c>
      <c r="K364" s="117" t="s">
        <v>2801</v>
      </c>
      <c r="L364" s="22">
        <v>45959.0</v>
      </c>
      <c r="M364" s="17" t="s">
        <v>28</v>
      </c>
      <c r="N364" s="17" t="s">
        <v>2811</v>
      </c>
      <c r="O364" s="17">
        <v>4.6221928E7</v>
      </c>
      <c r="P364" s="17" t="s">
        <v>2812</v>
      </c>
      <c r="Q364" s="17" t="s">
        <v>112</v>
      </c>
      <c r="R364" s="17" t="s">
        <v>113</v>
      </c>
      <c r="S364" s="17" t="s">
        <v>2813</v>
      </c>
      <c r="U364" s="24"/>
      <c r="V364" s="24"/>
      <c r="W364" s="18" t="s">
        <v>92</v>
      </c>
    </row>
    <row r="365">
      <c r="A365" s="11"/>
      <c r="B365" s="12" t="s">
        <v>34</v>
      </c>
      <c r="C365" s="12" t="s">
        <v>65</v>
      </c>
      <c r="D365" s="12" t="s">
        <v>102</v>
      </c>
      <c r="E365" s="12" t="s">
        <v>103</v>
      </c>
      <c r="F365" s="13" t="s">
        <v>104</v>
      </c>
      <c r="G365" s="12" t="s">
        <v>68</v>
      </c>
      <c r="H365" s="12" t="s">
        <v>105</v>
      </c>
      <c r="I365" s="12" t="s">
        <v>106</v>
      </c>
      <c r="J365" s="48" t="s">
        <v>2800</v>
      </c>
      <c r="K365" s="117" t="s">
        <v>2801</v>
      </c>
      <c r="L365" s="22">
        <v>45959.0</v>
      </c>
      <c r="M365" s="17" t="s">
        <v>28</v>
      </c>
      <c r="N365" s="17" t="s">
        <v>2808</v>
      </c>
      <c r="O365" s="17">
        <v>7.3429307E7</v>
      </c>
      <c r="P365" s="17" t="s">
        <v>2809</v>
      </c>
      <c r="Q365" s="17" t="s">
        <v>112</v>
      </c>
      <c r="R365" s="17" t="s">
        <v>113</v>
      </c>
      <c r="S365" s="17" t="s">
        <v>2810</v>
      </c>
      <c r="U365" s="24"/>
      <c r="V365" s="24"/>
      <c r="W365" s="18" t="s">
        <v>92</v>
      </c>
    </row>
    <row r="366">
      <c r="A366" s="11"/>
      <c r="B366" s="12" t="s">
        <v>34</v>
      </c>
      <c r="C366" s="12" t="s">
        <v>65</v>
      </c>
      <c r="D366" s="12" t="s">
        <v>102</v>
      </c>
      <c r="E366" s="12" t="s">
        <v>103</v>
      </c>
      <c r="F366" s="13" t="s">
        <v>104</v>
      </c>
      <c r="G366" s="12" t="s">
        <v>68</v>
      </c>
      <c r="H366" s="12" t="s">
        <v>105</v>
      </c>
      <c r="I366" s="12" t="s">
        <v>106</v>
      </c>
      <c r="J366" s="48" t="s">
        <v>2800</v>
      </c>
      <c r="K366" s="117" t="s">
        <v>2801</v>
      </c>
      <c r="L366" s="22">
        <v>45959.0</v>
      </c>
      <c r="M366" s="17" t="s">
        <v>28</v>
      </c>
      <c r="N366" s="17" t="s">
        <v>111</v>
      </c>
      <c r="O366" s="17">
        <v>7.6175423E7</v>
      </c>
      <c r="P366" s="17" t="s">
        <v>114</v>
      </c>
      <c r="Q366" s="17" t="s">
        <v>112</v>
      </c>
      <c r="R366" s="17" t="s">
        <v>113</v>
      </c>
      <c r="S366" s="17" t="s">
        <v>2828</v>
      </c>
      <c r="U366" s="24"/>
      <c r="V366" s="24"/>
      <c r="W366" s="18" t="s">
        <v>92</v>
      </c>
    </row>
    <row r="367">
      <c r="A367" s="11"/>
      <c r="B367" s="12" t="s">
        <v>34</v>
      </c>
      <c r="C367" s="12" t="s">
        <v>65</v>
      </c>
      <c r="D367" s="12" t="s">
        <v>102</v>
      </c>
      <c r="E367" s="12" t="s">
        <v>103</v>
      </c>
      <c r="F367" s="13" t="s">
        <v>104</v>
      </c>
      <c r="G367" s="12" t="s">
        <v>68</v>
      </c>
      <c r="H367" s="12" t="s">
        <v>105</v>
      </c>
      <c r="I367" s="12" t="s">
        <v>106</v>
      </c>
      <c r="J367" s="48" t="s">
        <v>2800</v>
      </c>
      <c r="K367" s="117" t="s">
        <v>2801</v>
      </c>
      <c r="L367" s="22">
        <v>45959.0</v>
      </c>
      <c r="M367" s="17" t="s">
        <v>28</v>
      </c>
      <c r="N367" s="17" t="s">
        <v>2814</v>
      </c>
      <c r="O367" s="17">
        <v>4.507527E7</v>
      </c>
      <c r="P367" s="17" t="s">
        <v>2835</v>
      </c>
      <c r="Q367" s="17" t="s">
        <v>112</v>
      </c>
      <c r="R367" s="17" t="s">
        <v>113</v>
      </c>
      <c r="S367" s="17" t="s">
        <v>2836</v>
      </c>
      <c r="U367" s="24"/>
      <c r="V367" s="24"/>
      <c r="W367" s="18" t="s">
        <v>92</v>
      </c>
    </row>
    <row r="368">
      <c r="A368" s="11"/>
      <c r="B368" s="44" t="s">
        <v>34</v>
      </c>
      <c r="C368" s="44" t="s">
        <v>65</v>
      </c>
      <c r="D368" s="44" t="s">
        <v>102</v>
      </c>
      <c r="E368" s="44" t="s">
        <v>103</v>
      </c>
      <c r="F368" s="45" t="s">
        <v>104</v>
      </c>
      <c r="G368" s="44" t="s">
        <v>68</v>
      </c>
      <c r="H368" s="44" t="s">
        <v>105</v>
      </c>
      <c r="I368" s="44" t="s">
        <v>106</v>
      </c>
      <c r="J368" s="48" t="s">
        <v>2800</v>
      </c>
      <c r="K368" s="117" t="s">
        <v>2801</v>
      </c>
      <c r="L368" s="22">
        <v>45959.0</v>
      </c>
      <c r="M368" s="48" t="s">
        <v>28</v>
      </c>
      <c r="N368" s="17" t="s">
        <v>2802</v>
      </c>
      <c r="O368" s="17">
        <v>1.0241123E7</v>
      </c>
      <c r="P368" s="17" t="s">
        <v>2803</v>
      </c>
      <c r="Q368" s="17" t="s">
        <v>73</v>
      </c>
      <c r="R368" s="17" t="s">
        <v>74</v>
      </c>
      <c r="S368" s="17" t="s">
        <v>2804</v>
      </c>
      <c r="U368" s="24"/>
      <c r="V368" s="24"/>
      <c r="W368" s="51" t="s">
        <v>92</v>
      </c>
    </row>
    <row r="369">
      <c r="A369" s="11"/>
      <c r="B369" s="44" t="s">
        <v>34</v>
      </c>
      <c r="C369" s="44" t="s">
        <v>65</v>
      </c>
      <c r="D369" s="44" t="s">
        <v>102</v>
      </c>
      <c r="E369" s="44" t="s">
        <v>103</v>
      </c>
      <c r="F369" s="45" t="s">
        <v>104</v>
      </c>
      <c r="G369" s="44" t="s">
        <v>68</v>
      </c>
      <c r="H369" s="44" t="s">
        <v>105</v>
      </c>
      <c r="I369" s="44" t="s">
        <v>106</v>
      </c>
      <c r="J369" s="48" t="s">
        <v>2800</v>
      </c>
      <c r="K369" s="117" t="s">
        <v>2801</v>
      </c>
      <c r="L369" s="22">
        <v>45959.0</v>
      </c>
      <c r="M369" s="48" t="s">
        <v>28</v>
      </c>
      <c r="N369" s="17" t="s">
        <v>2805</v>
      </c>
      <c r="P369" s="17" t="s">
        <v>2806</v>
      </c>
      <c r="Q369" s="17" t="s">
        <v>108</v>
      </c>
      <c r="R369" s="17" t="s">
        <v>109</v>
      </c>
      <c r="S369" s="17" t="s">
        <v>2807</v>
      </c>
      <c r="U369" s="24"/>
      <c r="V369" s="24"/>
      <c r="W369" s="51" t="s">
        <v>92</v>
      </c>
    </row>
    <row r="370">
      <c r="A370" s="11"/>
      <c r="B370" s="12" t="s">
        <v>34</v>
      </c>
      <c r="C370" s="12" t="s">
        <v>65</v>
      </c>
      <c r="D370" s="12" t="s">
        <v>102</v>
      </c>
      <c r="E370" s="12" t="s">
        <v>103</v>
      </c>
      <c r="F370" s="13" t="s">
        <v>104</v>
      </c>
      <c r="G370" s="12" t="s">
        <v>68</v>
      </c>
      <c r="H370" s="12" t="s">
        <v>105</v>
      </c>
      <c r="I370" s="12" t="s">
        <v>106</v>
      </c>
      <c r="J370" s="48" t="s">
        <v>2800</v>
      </c>
      <c r="K370" s="117" t="s">
        <v>2801</v>
      </c>
      <c r="L370" s="22">
        <v>45959.0</v>
      </c>
      <c r="M370" s="17" t="s">
        <v>28</v>
      </c>
      <c r="N370" s="17" t="s">
        <v>2837</v>
      </c>
      <c r="O370" s="17">
        <v>1.0241123E7</v>
      </c>
      <c r="P370" s="17" t="s">
        <v>2838</v>
      </c>
      <c r="Q370" s="17" t="s">
        <v>112</v>
      </c>
      <c r="R370" s="17" t="s">
        <v>113</v>
      </c>
      <c r="S370" s="17" t="s">
        <v>2839</v>
      </c>
      <c r="U370" s="24"/>
      <c r="V370" s="24"/>
      <c r="W370" s="18" t="s">
        <v>92</v>
      </c>
    </row>
    <row r="371">
      <c r="A371" s="11"/>
      <c r="B371" s="44" t="s">
        <v>34</v>
      </c>
      <c r="C371" s="44" t="s">
        <v>65</v>
      </c>
      <c r="D371" s="44" t="s">
        <v>102</v>
      </c>
      <c r="E371" s="44" t="s">
        <v>103</v>
      </c>
      <c r="F371" s="45" t="s">
        <v>104</v>
      </c>
      <c r="G371" s="44" t="s">
        <v>68</v>
      </c>
      <c r="H371" s="44" t="s">
        <v>105</v>
      </c>
      <c r="I371" s="44" t="s">
        <v>106</v>
      </c>
      <c r="J371" s="48" t="s">
        <v>2800</v>
      </c>
      <c r="K371" s="117" t="s">
        <v>2801</v>
      </c>
      <c r="L371" s="22">
        <v>45959.0</v>
      </c>
      <c r="M371" s="48" t="s">
        <v>23</v>
      </c>
      <c r="N371" s="17" t="s">
        <v>2821</v>
      </c>
      <c r="O371" s="17">
        <v>7.5511933E7</v>
      </c>
      <c r="Q371" s="17" t="s">
        <v>73</v>
      </c>
      <c r="R371" s="17" t="s">
        <v>74</v>
      </c>
      <c r="S371" s="17" t="s">
        <v>2823</v>
      </c>
      <c r="U371" s="24"/>
      <c r="V371" s="24"/>
      <c r="W371" s="18" t="s">
        <v>92</v>
      </c>
    </row>
    <row r="372">
      <c r="A372" s="11"/>
      <c r="B372" s="12" t="s">
        <v>34</v>
      </c>
      <c r="C372" s="12" t="s">
        <v>65</v>
      </c>
      <c r="D372" s="12" t="s">
        <v>102</v>
      </c>
      <c r="E372" s="12" t="s">
        <v>103</v>
      </c>
      <c r="F372" s="13" t="s">
        <v>104</v>
      </c>
      <c r="G372" s="12" t="s">
        <v>68</v>
      </c>
      <c r="H372" s="12" t="s">
        <v>105</v>
      </c>
      <c r="I372" s="12" t="s">
        <v>106</v>
      </c>
      <c r="J372" s="17" t="s">
        <v>2800</v>
      </c>
      <c r="K372" s="117" t="s">
        <v>2801</v>
      </c>
      <c r="L372" s="22">
        <v>45959.0</v>
      </c>
      <c r="M372" s="17" t="s">
        <v>28</v>
      </c>
      <c r="N372" s="17" t="s">
        <v>115</v>
      </c>
      <c r="P372" s="17" t="s">
        <v>116</v>
      </c>
      <c r="Q372" s="17" t="s">
        <v>108</v>
      </c>
      <c r="R372" s="17" t="s">
        <v>109</v>
      </c>
      <c r="S372" s="17" t="s">
        <v>2820</v>
      </c>
      <c r="U372" s="24"/>
      <c r="V372" s="24"/>
      <c r="W372" s="18" t="s">
        <v>92</v>
      </c>
    </row>
    <row r="373">
      <c r="A373" s="11"/>
      <c r="B373" s="44" t="s">
        <v>34</v>
      </c>
      <c r="C373" s="44" t="s">
        <v>65</v>
      </c>
      <c r="D373" s="44" t="s">
        <v>102</v>
      </c>
      <c r="E373" s="44" t="s">
        <v>103</v>
      </c>
      <c r="F373" s="45" t="s">
        <v>104</v>
      </c>
      <c r="G373" s="44" t="s">
        <v>68</v>
      </c>
      <c r="H373" s="44" t="s">
        <v>105</v>
      </c>
      <c r="I373" s="44" t="s">
        <v>106</v>
      </c>
      <c r="J373" s="48" t="s">
        <v>2800</v>
      </c>
      <c r="K373" s="117" t="s">
        <v>2801</v>
      </c>
      <c r="L373" s="22">
        <v>45959.0</v>
      </c>
      <c r="M373" s="48" t="s">
        <v>23</v>
      </c>
      <c r="N373" s="17" t="s">
        <v>2822</v>
      </c>
      <c r="O373" s="17">
        <v>6.0273979E7</v>
      </c>
      <c r="Q373" s="17" t="s">
        <v>108</v>
      </c>
      <c r="R373" s="17" t="s">
        <v>1775</v>
      </c>
      <c r="S373" s="17" t="s">
        <v>2823</v>
      </c>
      <c r="U373" s="24"/>
      <c r="V373" s="24"/>
      <c r="W373" s="18" t="s">
        <v>92</v>
      </c>
    </row>
    <row r="374">
      <c r="A374" s="11"/>
      <c r="B374" s="44" t="s">
        <v>34</v>
      </c>
      <c r="C374" s="44" t="s">
        <v>65</v>
      </c>
      <c r="D374" s="44" t="s">
        <v>102</v>
      </c>
      <c r="E374" s="44" t="s">
        <v>103</v>
      </c>
      <c r="F374" s="45" t="s">
        <v>104</v>
      </c>
      <c r="G374" s="44" t="s">
        <v>68</v>
      </c>
      <c r="H374" s="44" t="s">
        <v>105</v>
      </c>
      <c r="I374" s="44" t="s">
        <v>106</v>
      </c>
      <c r="J374" s="48" t="s">
        <v>2687</v>
      </c>
      <c r="K374" s="117">
        <v>3.0</v>
      </c>
      <c r="L374" s="22">
        <v>45979.0</v>
      </c>
      <c r="M374" s="48" t="s">
        <v>23</v>
      </c>
      <c r="N374" s="17" t="s">
        <v>2821</v>
      </c>
      <c r="O374" s="17">
        <v>7.5511933E7</v>
      </c>
      <c r="Q374" s="17" t="s">
        <v>73</v>
      </c>
      <c r="R374" s="17" t="s">
        <v>74</v>
      </c>
      <c r="S374" s="17" t="s">
        <v>2823</v>
      </c>
      <c r="U374" s="24"/>
      <c r="V374" s="24"/>
      <c r="W374" s="18" t="s">
        <v>92</v>
      </c>
    </row>
    <row r="375">
      <c r="A375" s="11"/>
      <c r="B375" s="44" t="s">
        <v>34</v>
      </c>
      <c r="C375" s="44" t="s">
        <v>65</v>
      </c>
      <c r="D375" s="44" t="s">
        <v>102</v>
      </c>
      <c r="E375" s="44" t="s">
        <v>103</v>
      </c>
      <c r="F375" s="45" t="s">
        <v>104</v>
      </c>
      <c r="G375" s="44" t="s">
        <v>68</v>
      </c>
      <c r="H375" s="44" t="s">
        <v>105</v>
      </c>
      <c r="I375" s="44" t="s">
        <v>106</v>
      </c>
      <c r="J375" s="48" t="s">
        <v>2687</v>
      </c>
      <c r="K375" s="117">
        <v>3.0</v>
      </c>
      <c r="L375" s="22">
        <v>45979.0</v>
      </c>
      <c r="M375" s="48" t="s">
        <v>23</v>
      </c>
      <c r="N375" s="17" t="s">
        <v>2822</v>
      </c>
      <c r="O375" s="17">
        <v>6.0273979E7</v>
      </c>
      <c r="Q375" s="17" t="s">
        <v>108</v>
      </c>
      <c r="R375" s="17" t="s">
        <v>1775</v>
      </c>
      <c r="S375" s="17" t="s">
        <v>2823</v>
      </c>
      <c r="U375" s="24"/>
      <c r="V375" s="24"/>
      <c r="W375" s="18" t="s">
        <v>92</v>
      </c>
    </row>
    <row r="376">
      <c r="A376" s="11"/>
      <c r="B376" s="12" t="s">
        <v>34</v>
      </c>
      <c r="C376" s="12" t="s">
        <v>65</v>
      </c>
      <c r="D376" s="12" t="s">
        <v>83</v>
      </c>
      <c r="E376" s="12" t="s">
        <v>84</v>
      </c>
      <c r="F376" s="13" t="s">
        <v>85</v>
      </c>
      <c r="G376" s="12" t="s">
        <v>86</v>
      </c>
      <c r="H376" s="12" t="s">
        <v>87</v>
      </c>
      <c r="I376" s="23"/>
      <c r="J376" s="17" t="s">
        <v>2169</v>
      </c>
      <c r="K376" s="18">
        <v>1.0</v>
      </c>
      <c r="L376" s="20">
        <v>45849.0</v>
      </c>
      <c r="M376" s="17" t="s">
        <v>28</v>
      </c>
      <c r="N376" s="17" t="s">
        <v>88</v>
      </c>
      <c r="P376" s="17" t="s">
        <v>89</v>
      </c>
      <c r="Q376" s="17" t="s">
        <v>112</v>
      </c>
      <c r="R376" s="17" t="s">
        <v>1607</v>
      </c>
      <c r="S376" s="17" t="s">
        <v>2840</v>
      </c>
      <c r="U376" s="24"/>
      <c r="V376" s="24"/>
      <c r="W376" s="18" t="s">
        <v>92</v>
      </c>
    </row>
    <row r="377">
      <c r="A377" s="11"/>
      <c r="B377" s="12" t="s">
        <v>34</v>
      </c>
      <c r="C377" s="12" t="s">
        <v>65</v>
      </c>
      <c r="D377" s="12" t="s">
        <v>83</v>
      </c>
      <c r="E377" s="12" t="s">
        <v>84</v>
      </c>
      <c r="F377" s="13" t="s">
        <v>85</v>
      </c>
      <c r="G377" s="12" t="s">
        <v>86</v>
      </c>
      <c r="H377" s="12" t="s">
        <v>87</v>
      </c>
      <c r="I377" s="23"/>
      <c r="J377" s="17" t="s">
        <v>2169</v>
      </c>
      <c r="K377" s="18">
        <v>1.0</v>
      </c>
      <c r="L377" s="20">
        <v>45849.0</v>
      </c>
      <c r="M377" s="17" t="s">
        <v>28</v>
      </c>
      <c r="N377" s="17" t="s">
        <v>2841</v>
      </c>
      <c r="O377" s="17">
        <v>7.2109107E7</v>
      </c>
      <c r="P377" s="17" t="s">
        <v>2842</v>
      </c>
      <c r="Q377" s="17" t="s">
        <v>112</v>
      </c>
      <c r="R377" s="17" t="s">
        <v>1607</v>
      </c>
      <c r="S377" s="17" t="s">
        <v>2843</v>
      </c>
      <c r="U377" s="24"/>
      <c r="V377" s="24"/>
      <c r="W377" s="18" t="s">
        <v>92</v>
      </c>
    </row>
    <row r="378">
      <c r="A378" s="11"/>
      <c r="B378" s="12" t="s">
        <v>34</v>
      </c>
      <c r="C378" s="12" t="s">
        <v>65</v>
      </c>
      <c r="D378" s="12" t="s">
        <v>83</v>
      </c>
      <c r="E378" s="12" t="s">
        <v>84</v>
      </c>
      <c r="F378" s="13" t="s">
        <v>85</v>
      </c>
      <c r="G378" s="12" t="s">
        <v>86</v>
      </c>
      <c r="H378" s="12" t="s">
        <v>87</v>
      </c>
      <c r="I378" s="23"/>
      <c r="J378" s="17" t="s">
        <v>2169</v>
      </c>
      <c r="K378" s="18">
        <v>1.0</v>
      </c>
      <c r="L378" s="20">
        <v>45849.0</v>
      </c>
      <c r="M378" s="17" t="s">
        <v>28</v>
      </c>
      <c r="N378" s="17" t="s">
        <v>93</v>
      </c>
      <c r="O378" s="17">
        <v>7.2109011E7</v>
      </c>
      <c r="P378" s="17" t="s">
        <v>94</v>
      </c>
      <c r="Q378" s="17" t="s">
        <v>112</v>
      </c>
      <c r="R378" s="17" t="s">
        <v>1607</v>
      </c>
      <c r="S378" s="17" t="s">
        <v>2844</v>
      </c>
      <c r="U378" s="24"/>
      <c r="V378" s="24"/>
      <c r="W378" s="18" t="s">
        <v>92</v>
      </c>
    </row>
    <row r="379">
      <c r="A379" s="11"/>
      <c r="B379" s="12" t="s">
        <v>34</v>
      </c>
      <c r="C379" s="12" t="s">
        <v>65</v>
      </c>
      <c r="D379" s="12" t="s">
        <v>83</v>
      </c>
      <c r="E379" s="12" t="s">
        <v>84</v>
      </c>
      <c r="F379" s="13" t="s">
        <v>85</v>
      </c>
      <c r="G379" s="12" t="s">
        <v>86</v>
      </c>
      <c r="H379" s="12" t="s">
        <v>87</v>
      </c>
      <c r="I379" s="23"/>
      <c r="J379" s="17" t="s">
        <v>2169</v>
      </c>
      <c r="K379" s="18">
        <v>1.0</v>
      </c>
      <c r="L379" s="20">
        <v>45849.0</v>
      </c>
      <c r="M379" s="17" t="s">
        <v>28</v>
      </c>
      <c r="N379" s="17" t="s">
        <v>2845</v>
      </c>
      <c r="O379" s="17">
        <v>7.5221279E7</v>
      </c>
      <c r="P379" s="17" t="s">
        <v>1609</v>
      </c>
      <c r="Q379" s="17" t="s">
        <v>112</v>
      </c>
      <c r="R379" s="17" t="s">
        <v>1607</v>
      </c>
      <c r="S379" s="17" t="s">
        <v>2846</v>
      </c>
      <c r="U379" s="24"/>
      <c r="V379" s="24"/>
      <c r="W379" s="18" t="s">
        <v>92</v>
      </c>
    </row>
    <row r="380">
      <c r="A380" s="11"/>
      <c r="B380" s="12" t="s">
        <v>34</v>
      </c>
      <c r="C380" s="12" t="s">
        <v>65</v>
      </c>
      <c r="D380" s="12" t="s">
        <v>83</v>
      </c>
      <c r="E380" s="12" t="s">
        <v>84</v>
      </c>
      <c r="F380" s="13" t="s">
        <v>85</v>
      </c>
      <c r="G380" s="12" t="s">
        <v>86</v>
      </c>
      <c r="H380" s="12" t="s">
        <v>87</v>
      </c>
      <c r="I380" s="23"/>
      <c r="J380" s="17" t="s">
        <v>2169</v>
      </c>
      <c r="K380" s="18">
        <v>1.0</v>
      </c>
      <c r="L380" s="20">
        <v>45849.0</v>
      </c>
      <c r="M380" s="17" t="s">
        <v>28</v>
      </c>
      <c r="N380" s="17" t="s">
        <v>2847</v>
      </c>
      <c r="O380" s="17">
        <v>4.5013268E7</v>
      </c>
      <c r="P380" s="17" t="s">
        <v>1608</v>
      </c>
      <c r="Q380" s="17" t="s">
        <v>112</v>
      </c>
      <c r="R380" s="17" t="s">
        <v>1607</v>
      </c>
      <c r="S380" s="17" t="s">
        <v>2848</v>
      </c>
      <c r="U380" s="24"/>
      <c r="V380" s="24"/>
      <c r="W380" s="18" t="s">
        <v>92</v>
      </c>
    </row>
    <row r="381">
      <c r="A381" s="11"/>
      <c r="B381" s="12" t="s">
        <v>34</v>
      </c>
      <c r="C381" s="12" t="s">
        <v>65</v>
      </c>
      <c r="D381" s="12" t="s">
        <v>83</v>
      </c>
      <c r="E381" s="12" t="s">
        <v>84</v>
      </c>
      <c r="F381" s="13" t="s">
        <v>85</v>
      </c>
      <c r="G381" s="12" t="s">
        <v>86</v>
      </c>
      <c r="H381" s="12" t="s">
        <v>87</v>
      </c>
      <c r="I381" s="23"/>
      <c r="J381" s="17" t="s">
        <v>2169</v>
      </c>
      <c r="K381" s="18">
        <v>1.0</v>
      </c>
      <c r="L381" s="20">
        <v>45849.0</v>
      </c>
      <c r="M381" s="17" t="s">
        <v>28</v>
      </c>
      <c r="N381" s="17" t="s">
        <v>99</v>
      </c>
      <c r="O381" s="17">
        <v>1.0138468E7</v>
      </c>
      <c r="P381" s="17" t="s">
        <v>100</v>
      </c>
      <c r="Q381" s="17" t="s">
        <v>73</v>
      </c>
      <c r="R381" s="17" t="s">
        <v>1607</v>
      </c>
      <c r="S381" s="17" t="s">
        <v>2849</v>
      </c>
      <c r="U381" s="24"/>
      <c r="V381" s="24"/>
      <c r="W381" s="18" t="s">
        <v>92</v>
      </c>
    </row>
    <row r="382">
      <c r="A382" s="11"/>
      <c r="B382" s="12" t="s">
        <v>34</v>
      </c>
      <c r="C382" s="12" t="s">
        <v>65</v>
      </c>
      <c r="D382" s="12" t="s">
        <v>83</v>
      </c>
      <c r="E382" s="12" t="s">
        <v>84</v>
      </c>
      <c r="F382" s="13" t="s">
        <v>85</v>
      </c>
      <c r="G382" s="12" t="s">
        <v>86</v>
      </c>
      <c r="H382" s="12" t="s">
        <v>87</v>
      </c>
      <c r="I382" s="23"/>
      <c r="J382" s="17" t="s">
        <v>2169</v>
      </c>
      <c r="K382" s="18">
        <v>1.0</v>
      </c>
      <c r="L382" s="20">
        <v>45849.0</v>
      </c>
      <c r="M382" s="17" t="s">
        <v>28</v>
      </c>
      <c r="N382" s="17" t="s">
        <v>96</v>
      </c>
      <c r="P382" s="17" t="s">
        <v>97</v>
      </c>
      <c r="Q382" s="17" t="s">
        <v>73</v>
      </c>
      <c r="R382" s="17" t="s">
        <v>1607</v>
      </c>
      <c r="S382" s="17" t="s">
        <v>2850</v>
      </c>
      <c r="U382" s="24"/>
      <c r="V382" s="24"/>
      <c r="W382" s="18" t="s">
        <v>92</v>
      </c>
    </row>
    <row r="383">
      <c r="A383" s="11"/>
      <c r="B383" s="12" t="s">
        <v>34</v>
      </c>
      <c r="C383" s="12" t="s">
        <v>65</v>
      </c>
      <c r="D383" s="12" t="s">
        <v>83</v>
      </c>
      <c r="E383" s="12" t="s">
        <v>84</v>
      </c>
      <c r="F383" s="13" t="s">
        <v>85</v>
      </c>
      <c r="G383" s="12" t="s">
        <v>86</v>
      </c>
      <c r="H383" s="12" t="s">
        <v>87</v>
      </c>
      <c r="I383" s="23"/>
      <c r="J383" s="17" t="s">
        <v>2169</v>
      </c>
      <c r="K383" s="18">
        <v>1.0</v>
      </c>
      <c r="L383" s="20">
        <v>45849.0</v>
      </c>
      <c r="M383" s="17" t="s">
        <v>23</v>
      </c>
      <c r="N383" s="17" t="s">
        <v>2851</v>
      </c>
      <c r="O383" s="17">
        <v>7.4065631E7</v>
      </c>
      <c r="Q383" s="2"/>
      <c r="S383" s="17"/>
      <c r="U383" s="24"/>
      <c r="V383" s="24"/>
      <c r="W383" s="18" t="s">
        <v>92</v>
      </c>
    </row>
    <row r="384">
      <c r="A384" s="11"/>
      <c r="B384" s="12" t="s">
        <v>34</v>
      </c>
      <c r="C384" s="12" t="s">
        <v>65</v>
      </c>
      <c r="D384" s="12" t="s">
        <v>83</v>
      </c>
      <c r="E384" s="12" t="s">
        <v>84</v>
      </c>
      <c r="F384" s="13" t="s">
        <v>85</v>
      </c>
      <c r="G384" s="12" t="s">
        <v>86</v>
      </c>
      <c r="H384" s="12" t="s">
        <v>87</v>
      </c>
      <c r="I384" s="23"/>
      <c r="J384" s="17" t="s">
        <v>2169</v>
      </c>
      <c r="K384" s="18">
        <v>2.0</v>
      </c>
      <c r="L384" s="20">
        <v>45889.0</v>
      </c>
      <c r="M384" s="17" t="s">
        <v>28</v>
      </c>
      <c r="N384" s="17" t="s">
        <v>96</v>
      </c>
      <c r="P384" s="17" t="s">
        <v>97</v>
      </c>
      <c r="Q384" s="17" t="s">
        <v>112</v>
      </c>
      <c r="R384" s="17" t="s">
        <v>1607</v>
      </c>
      <c r="S384" s="17" t="s">
        <v>2852</v>
      </c>
      <c r="U384" s="24"/>
      <c r="V384" s="24"/>
      <c r="W384" s="18" t="s">
        <v>92</v>
      </c>
    </row>
    <row r="385">
      <c r="A385" s="11"/>
      <c r="B385" s="12" t="s">
        <v>34</v>
      </c>
      <c r="C385" s="12" t="s">
        <v>65</v>
      </c>
      <c r="D385" s="12" t="s">
        <v>83</v>
      </c>
      <c r="E385" s="12" t="s">
        <v>84</v>
      </c>
      <c r="F385" s="13" t="s">
        <v>85</v>
      </c>
      <c r="G385" s="12" t="s">
        <v>86</v>
      </c>
      <c r="H385" s="12" t="s">
        <v>87</v>
      </c>
      <c r="I385" s="23"/>
      <c r="J385" s="17" t="s">
        <v>2169</v>
      </c>
      <c r="K385" s="18">
        <v>2.0</v>
      </c>
      <c r="L385" s="20">
        <v>45889.0</v>
      </c>
      <c r="M385" s="17" t="s">
        <v>28</v>
      </c>
      <c r="N385" s="17" t="s">
        <v>88</v>
      </c>
      <c r="P385" s="17" t="s">
        <v>89</v>
      </c>
      <c r="Q385" s="17" t="s">
        <v>73</v>
      </c>
      <c r="R385" s="17" t="s">
        <v>1607</v>
      </c>
      <c r="S385" s="17" t="s">
        <v>2853</v>
      </c>
      <c r="U385" s="24"/>
      <c r="V385" s="24"/>
      <c r="W385" s="18" t="s">
        <v>92</v>
      </c>
    </row>
    <row r="386">
      <c r="A386" s="11"/>
      <c r="B386" s="12" t="s">
        <v>34</v>
      </c>
      <c r="C386" s="12" t="s">
        <v>65</v>
      </c>
      <c r="D386" s="12" t="s">
        <v>83</v>
      </c>
      <c r="E386" s="12" t="s">
        <v>84</v>
      </c>
      <c r="F386" s="13" t="s">
        <v>85</v>
      </c>
      <c r="G386" s="12" t="s">
        <v>86</v>
      </c>
      <c r="H386" s="12" t="s">
        <v>87</v>
      </c>
      <c r="I386" s="23"/>
      <c r="J386" s="17" t="s">
        <v>2169</v>
      </c>
      <c r="K386" s="18">
        <v>2.0</v>
      </c>
      <c r="L386" s="20">
        <v>45889.0</v>
      </c>
      <c r="M386" s="17" t="s">
        <v>28</v>
      </c>
      <c r="N386" s="17" t="s">
        <v>93</v>
      </c>
      <c r="O386" s="17">
        <v>7.2109011E7</v>
      </c>
      <c r="P386" s="17" t="s">
        <v>94</v>
      </c>
      <c r="Q386" s="17" t="s">
        <v>112</v>
      </c>
      <c r="R386" s="17" t="s">
        <v>1607</v>
      </c>
      <c r="S386" s="17" t="s">
        <v>2844</v>
      </c>
      <c r="U386" s="24"/>
      <c r="V386" s="24"/>
      <c r="W386" s="18" t="s">
        <v>92</v>
      </c>
    </row>
    <row r="387">
      <c r="A387" s="11"/>
      <c r="B387" s="12" t="s">
        <v>34</v>
      </c>
      <c r="C387" s="12" t="s">
        <v>65</v>
      </c>
      <c r="D387" s="12" t="s">
        <v>83</v>
      </c>
      <c r="E387" s="12" t="s">
        <v>84</v>
      </c>
      <c r="F387" s="13" t="s">
        <v>85</v>
      </c>
      <c r="G387" s="12" t="s">
        <v>86</v>
      </c>
      <c r="H387" s="12" t="s">
        <v>87</v>
      </c>
      <c r="I387" s="23"/>
      <c r="J387" s="17" t="s">
        <v>2169</v>
      </c>
      <c r="K387" s="18">
        <v>2.0</v>
      </c>
      <c r="L387" s="20">
        <v>45889.0</v>
      </c>
      <c r="M387" s="17" t="s">
        <v>28</v>
      </c>
      <c r="N387" s="17" t="s">
        <v>99</v>
      </c>
      <c r="O387" s="17">
        <v>1.0138468E7</v>
      </c>
      <c r="P387" s="17" t="s">
        <v>100</v>
      </c>
      <c r="Q387" s="17" t="s">
        <v>73</v>
      </c>
      <c r="R387" s="17" t="s">
        <v>1607</v>
      </c>
      <c r="S387" s="17" t="s">
        <v>2849</v>
      </c>
      <c r="U387" s="24"/>
      <c r="V387" s="24"/>
      <c r="W387" s="18" t="s">
        <v>92</v>
      </c>
    </row>
    <row r="388">
      <c r="A388" s="11"/>
      <c r="B388" s="12" t="s">
        <v>34</v>
      </c>
      <c r="C388" s="12" t="s">
        <v>65</v>
      </c>
      <c r="D388" s="12" t="s">
        <v>83</v>
      </c>
      <c r="E388" s="12" t="s">
        <v>84</v>
      </c>
      <c r="F388" s="13" t="s">
        <v>85</v>
      </c>
      <c r="G388" s="12" t="s">
        <v>86</v>
      </c>
      <c r="H388" s="12" t="s">
        <v>87</v>
      </c>
      <c r="I388" s="23"/>
      <c r="J388" s="17" t="s">
        <v>2169</v>
      </c>
      <c r="K388" s="18">
        <v>2.0</v>
      </c>
      <c r="L388" s="20">
        <v>45889.0</v>
      </c>
      <c r="M388" s="17" t="s">
        <v>23</v>
      </c>
      <c r="N388" s="17" t="s">
        <v>2854</v>
      </c>
      <c r="O388" s="17">
        <v>7.4065631E7</v>
      </c>
      <c r="Q388" s="2"/>
      <c r="U388" s="24"/>
      <c r="V388" s="24"/>
      <c r="W388" s="18" t="s">
        <v>92</v>
      </c>
    </row>
    <row r="389">
      <c r="A389" s="11"/>
      <c r="B389" s="12" t="s">
        <v>34</v>
      </c>
      <c r="C389" s="12" t="s">
        <v>65</v>
      </c>
      <c r="D389" s="12" t="s">
        <v>83</v>
      </c>
      <c r="E389" s="12" t="s">
        <v>84</v>
      </c>
      <c r="F389" s="13" t="s">
        <v>85</v>
      </c>
      <c r="G389" s="12" t="s">
        <v>86</v>
      </c>
      <c r="H389" s="12" t="s">
        <v>87</v>
      </c>
      <c r="I389" s="23"/>
      <c r="J389" s="17" t="s">
        <v>2687</v>
      </c>
      <c r="K389" s="18">
        <v>1.0</v>
      </c>
      <c r="L389" s="20">
        <v>45889.0</v>
      </c>
      <c r="M389" s="17" t="s">
        <v>23</v>
      </c>
      <c r="N389" s="17" t="s">
        <v>2854</v>
      </c>
      <c r="O389" s="17">
        <v>7.4065631E7</v>
      </c>
      <c r="Q389" s="17"/>
      <c r="R389" s="17" t="s">
        <v>1607</v>
      </c>
      <c r="S389" s="17" t="s">
        <v>1607</v>
      </c>
      <c r="U389" s="24"/>
      <c r="V389" s="24"/>
      <c r="W389" s="18" t="s">
        <v>92</v>
      </c>
    </row>
    <row r="390">
      <c r="A390" s="43"/>
      <c r="B390" s="44" t="s">
        <v>34</v>
      </c>
      <c r="C390" s="44" t="s">
        <v>65</v>
      </c>
      <c r="D390" s="44" t="s">
        <v>83</v>
      </c>
      <c r="E390" s="44" t="s">
        <v>84</v>
      </c>
      <c r="F390" s="45" t="s">
        <v>85</v>
      </c>
      <c r="G390" s="44" t="s">
        <v>86</v>
      </c>
      <c r="H390" s="44" t="s">
        <v>87</v>
      </c>
      <c r="I390" s="44"/>
      <c r="J390" s="48" t="s">
        <v>2779</v>
      </c>
      <c r="K390" s="18" t="s">
        <v>2780</v>
      </c>
      <c r="L390" s="20">
        <v>45916.0</v>
      </c>
      <c r="M390" s="46" t="s">
        <v>28</v>
      </c>
      <c r="N390" s="17" t="s">
        <v>88</v>
      </c>
      <c r="O390" s="46"/>
      <c r="P390" s="21" t="s">
        <v>89</v>
      </c>
      <c r="Q390" s="21" t="s">
        <v>73</v>
      </c>
      <c r="R390" s="21" t="s">
        <v>1607</v>
      </c>
      <c r="S390" s="21" t="s">
        <v>2853</v>
      </c>
      <c r="T390" s="21"/>
      <c r="U390" s="21"/>
      <c r="V390" s="21"/>
      <c r="W390" s="51" t="s">
        <v>92</v>
      </c>
    </row>
    <row r="391">
      <c r="A391" s="43"/>
      <c r="B391" s="12" t="s">
        <v>34</v>
      </c>
      <c r="C391" s="12" t="s">
        <v>65</v>
      </c>
      <c r="D391" s="12" t="s">
        <v>83</v>
      </c>
      <c r="E391" s="12" t="s">
        <v>84</v>
      </c>
      <c r="F391" s="13" t="s">
        <v>85</v>
      </c>
      <c r="G391" s="12" t="s">
        <v>86</v>
      </c>
      <c r="H391" s="12" t="s">
        <v>87</v>
      </c>
      <c r="I391" s="23"/>
      <c r="J391" s="48" t="s">
        <v>2779</v>
      </c>
      <c r="K391" s="18" t="s">
        <v>2780</v>
      </c>
      <c r="L391" s="20">
        <v>45916.0</v>
      </c>
      <c r="M391" s="17" t="s">
        <v>28</v>
      </c>
      <c r="N391" s="17" t="s">
        <v>93</v>
      </c>
      <c r="O391" s="17">
        <v>7.2109011E7</v>
      </c>
      <c r="P391" s="17" t="s">
        <v>94</v>
      </c>
      <c r="Q391" s="17" t="s">
        <v>112</v>
      </c>
      <c r="R391" s="17" t="s">
        <v>1607</v>
      </c>
      <c r="S391" s="17" t="s">
        <v>2844</v>
      </c>
      <c r="U391" s="24"/>
      <c r="V391" s="24"/>
      <c r="W391" s="18" t="s">
        <v>92</v>
      </c>
    </row>
    <row r="392">
      <c r="A392" s="11"/>
      <c r="B392" s="12" t="s">
        <v>34</v>
      </c>
      <c r="C392" s="12" t="s">
        <v>65</v>
      </c>
      <c r="D392" s="12" t="s">
        <v>83</v>
      </c>
      <c r="E392" s="12" t="s">
        <v>84</v>
      </c>
      <c r="F392" s="13" t="s">
        <v>85</v>
      </c>
      <c r="G392" s="12" t="s">
        <v>86</v>
      </c>
      <c r="H392" s="12" t="s">
        <v>87</v>
      </c>
      <c r="I392" s="23"/>
      <c r="J392" s="48" t="s">
        <v>2779</v>
      </c>
      <c r="K392" s="18" t="s">
        <v>2780</v>
      </c>
      <c r="L392" s="20">
        <v>45916.0</v>
      </c>
      <c r="M392" s="17" t="s">
        <v>28</v>
      </c>
      <c r="N392" s="17" t="s">
        <v>96</v>
      </c>
      <c r="P392" s="17" t="s">
        <v>97</v>
      </c>
      <c r="Q392" s="17" t="s">
        <v>112</v>
      </c>
      <c r="R392" s="17" t="s">
        <v>1607</v>
      </c>
      <c r="S392" s="17" t="s">
        <v>2852</v>
      </c>
      <c r="U392" s="24"/>
      <c r="V392" s="24"/>
      <c r="W392" s="18" t="s">
        <v>92</v>
      </c>
    </row>
    <row r="393">
      <c r="A393" s="11"/>
      <c r="B393" s="12" t="s">
        <v>34</v>
      </c>
      <c r="C393" s="12" t="s">
        <v>65</v>
      </c>
      <c r="D393" s="12" t="s">
        <v>83</v>
      </c>
      <c r="E393" s="12" t="s">
        <v>84</v>
      </c>
      <c r="F393" s="13" t="s">
        <v>85</v>
      </c>
      <c r="G393" s="12" t="s">
        <v>86</v>
      </c>
      <c r="H393" s="12" t="s">
        <v>87</v>
      </c>
      <c r="I393" s="23"/>
      <c r="J393" s="48" t="s">
        <v>2779</v>
      </c>
      <c r="K393" s="18" t="s">
        <v>2780</v>
      </c>
      <c r="L393" s="20">
        <v>45916.0</v>
      </c>
      <c r="M393" s="17" t="s">
        <v>28</v>
      </c>
      <c r="N393" s="17" t="s">
        <v>99</v>
      </c>
      <c r="O393" s="17">
        <v>1.0138468E7</v>
      </c>
      <c r="P393" s="17" t="s">
        <v>100</v>
      </c>
      <c r="Q393" s="17" t="s">
        <v>73</v>
      </c>
      <c r="R393" s="17" t="s">
        <v>1607</v>
      </c>
      <c r="S393" s="17" t="s">
        <v>2849</v>
      </c>
      <c r="U393" s="24"/>
      <c r="V393" s="24"/>
      <c r="W393" s="18" t="s">
        <v>92</v>
      </c>
    </row>
    <row r="394">
      <c r="A394" s="11"/>
      <c r="B394" s="12" t="s">
        <v>34</v>
      </c>
      <c r="C394" s="12" t="s">
        <v>65</v>
      </c>
      <c r="D394" s="12" t="s">
        <v>83</v>
      </c>
      <c r="E394" s="12" t="s">
        <v>84</v>
      </c>
      <c r="F394" s="13" t="s">
        <v>85</v>
      </c>
      <c r="G394" s="12" t="s">
        <v>86</v>
      </c>
      <c r="H394" s="12" t="s">
        <v>87</v>
      </c>
      <c r="I394" s="23"/>
      <c r="J394" s="48" t="s">
        <v>2779</v>
      </c>
      <c r="K394" s="18" t="s">
        <v>2780</v>
      </c>
      <c r="L394" s="20">
        <v>45916.0</v>
      </c>
      <c r="M394" s="17" t="s">
        <v>23</v>
      </c>
      <c r="N394" s="17" t="s">
        <v>2854</v>
      </c>
      <c r="O394" s="17">
        <v>7.4065631E7</v>
      </c>
      <c r="Q394" s="17"/>
      <c r="R394" s="17" t="s">
        <v>1607</v>
      </c>
      <c r="S394" s="17" t="s">
        <v>1607</v>
      </c>
      <c r="U394" s="24"/>
      <c r="V394" s="24"/>
      <c r="W394" s="18" t="s">
        <v>92</v>
      </c>
    </row>
    <row r="395">
      <c r="A395" s="11"/>
      <c r="B395" s="12" t="s">
        <v>34</v>
      </c>
      <c r="C395" s="12" t="s">
        <v>65</v>
      </c>
      <c r="D395" s="12" t="s">
        <v>83</v>
      </c>
      <c r="E395" s="12" t="s">
        <v>84</v>
      </c>
      <c r="F395" s="13" t="s">
        <v>85</v>
      </c>
      <c r="G395" s="12" t="s">
        <v>86</v>
      </c>
      <c r="H395" s="12" t="s">
        <v>87</v>
      </c>
      <c r="I395" s="23"/>
      <c r="J395" s="17" t="s">
        <v>2687</v>
      </c>
      <c r="K395" s="18">
        <v>2.0</v>
      </c>
      <c r="L395" s="20">
        <v>45915.0</v>
      </c>
      <c r="M395" s="17" t="s">
        <v>23</v>
      </c>
      <c r="N395" s="17" t="s">
        <v>2854</v>
      </c>
      <c r="O395" s="17">
        <v>7.4065631E7</v>
      </c>
      <c r="Q395" s="17"/>
      <c r="R395" s="17" t="s">
        <v>1607</v>
      </c>
      <c r="S395" s="17" t="s">
        <v>1607</v>
      </c>
      <c r="U395" s="24"/>
      <c r="V395" s="24"/>
      <c r="W395" s="18" t="s">
        <v>92</v>
      </c>
    </row>
    <row r="396">
      <c r="A396" s="43"/>
      <c r="B396" s="44" t="s">
        <v>34</v>
      </c>
      <c r="C396" s="44" t="s">
        <v>65</v>
      </c>
      <c r="D396" s="44" t="s">
        <v>83</v>
      </c>
      <c r="E396" s="44" t="s">
        <v>84</v>
      </c>
      <c r="F396" s="45" t="s">
        <v>85</v>
      </c>
      <c r="G396" s="44" t="s">
        <v>86</v>
      </c>
      <c r="H396" s="44" t="s">
        <v>87</v>
      </c>
      <c r="I396" s="44"/>
      <c r="J396" s="48" t="s">
        <v>2783</v>
      </c>
      <c r="K396" s="18" t="s">
        <v>2784</v>
      </c>
      <c r="L396" s="20">
        <v>45938.0</v>
      </c>
      <c r="M396" s="46" t="s">
        <v>28</v>
      </c>
      <c r="N396" s="17" t="s">
        <v>88</v>
      </c>
      <c r="O396" s="46"/>
      <c r="P396" s="21" t="s">
        <v>89</v>
      </c>
      <c r="Q396" s="21" t="s">
        <v>73</v>
      </c>
      <c r="R396" s="21" t="s">
        <v>1607</v>
      </c>
      <c r="S396" s="21" t="s">
        <v>2853</v>
      </c>
      <c r="T396" s="21"/>
      <c r="U396" s="21"/>
      <c r="V396" s="21"/>
      <c r="W396" s="51" t="s">
        <v>92</v>
      </c>
    </row>
    <row r="397">
      <c r="A397" s="43"/>
      <c r="B397" s="12" t="s">
        <v>34</v>
      </c>
      <c r="C397" s="12" t="s">
        <v>65</v>
      </c>
      <c r="D397" s="12" t="s">
        <v>83</v>
      </c>
      <c r="E397" s="12" t="s">
        <v>84</v>
      </c>
      <c r="F397" s="13" t="s">
        <v>85</v>
      </c>
      <c r="G397" s="12" t="s">
        <v>86</v>
      </c>
      <c r="H397" s="12" t="s">
        <v>87</v>
      </c>
      <c r="I397" s="23"/>
      <c r="J397" s="48" t="s">
        <v>2783</v>
      </c>
      <c r="K397" s="18" t="s">
        <v>2784</v>
      </c>
      <c r="L397" s="20">
        <v>45938.0</v>
      </c>
      <c r="M397" s="17" t="s">
        <v>28</v>
      </c>
      <c r="N397" s="17" t="s">
        <v>93</v>
      </c>
      <c r="O397" s="17">
        <v>7.2109011E7</v>
      </c>
      <c r="P397" s="17" t="s">
        <v>94</v>
      </c>
      <c r="Q397" s="17" t="s">
        <v>112</v>
      </c>
      <c r="R397" s="17" t="s">
        <v>1607</v>
      </c>
      <c r="S397" s="17" t="s">
        <v>2844</v>
      </c>
      <c r="U397" s="24"/>
      <c r="V397" s="24"/>
      <c r="W397" s="18" t="s">
        <v>92</v>
      </c>
    </row>
    <row r="398">
      <c r="A398" s="11"/>
      <c r="B398" s="12" t="s">
        <v>34</v>
      </c>
      <c r="C398" s="12" t="s">
        <v>65</v>
      </c>
      <c r="D398" s="12" t="s">
        <v>83</v>
      </c>
      <c r="E398" s="12" t="s">
        <v>84</v>
      </c>
      <c r="F398" s="13" t="s">
        <v>85</v>
      </c>
      <c r="G398" s="12" t="s">
        <v>86</v>
      </c>
      <c r="H398" s="12" t="s">
        <v>87</v>
      </c>
      <c r="I398" s="23"/>
      <c r="J398" s="48" t="s">
        <v>2783</v>
      </c>
      <c r="K398" s="18" t="s">
        <v>2784</v>
      </c>
      <c r="L398" s="20">
        <v>45938.0</v>
      </c>
      <c r="M398" s="17" t="s">
        <v>28</v>
      </c>
      <c r="N398" s="17" t="s">
        <v>96</v>
      </c>
      <c r="P398" s="17" t="s">
        <v>97</v>
      </c>
      <c r="Q398" s="17" t="s">
        <v>112</v>
      </c>
      <c r="R398" s="17" t="s">
        <v>1607</v>
      </c>
      <c r="S398" s="17" t="s">
        <v>2852</v>
      </c>
      <c r="U398" s="24"/>
      <c r="V398" s="24"/>
      <c r="W398" s="18" t="s">
        <v>92</v>
      </c>
    </row>
    <row r="399">
      <c r="A399" s="11"/>
      <c r="B399" s="12" t="s">
        <v>34</v>
      </c>
      <c r="C399" s="12" t="s">
        <v>65</v>
      </c>
      <c r="D399" s="12" t="s">
        <v>83</v>
      </c>
      <c r="E399" s="12" t="s">
        <v>84</v>
      </c>
      <c r="F399" s="13" t="s">
        <v>85</v>
      </c>
      <c r="G399" s="12" t="s">
        <v>86</v>
      </c>
      <c r="H399" s="12" t="s">
        <v>87</v>
      </c>
      <c r="I399" s="23"/>
      <c r="J399" s="48" t="s">
        <v>2783</v>
      </c>
      <c r="K399" s="18" t="s">
        <v>2784</v>
      </c>
      <c r="L399" s="20">
        <v>45938.0</v>
      </c>
      <c r="M399" s="17" t="s">
        <v>28</v>
      </c>
      <c r="N399" s="17" t="s">
        <v>99</v>
      </c>
      <c r="O399" s="17">
        <v>1.0138468E7</v>
      </c>
      <c r="P399" s="17" t="s">
        <v>100</v>
      </c>
      <c r="Q399" s="17" t="s">
        <v>73</v>
      </c>
      <c r="R399" s="17" t="s">
        <v>1607</v>
      </c>
      <c r="S399" s="17" t="s">
        <v>2849</v>
      </c>
      <c r="U399" s="24"/>
      <c r="V399" s="24"/>
      <c r="W399" s="18" t="s">
        <v>92</v>
      </c>
    </row>
    <row r="400">
      <c r="A400" s="11"/>
      <c r="B400" s="12" t="s">
        <v>34</v>
      </c>
      <c r="C400" s="12" t="s">
        <v>65</v>
      </c>
      <c r="D400" s="12" t="s">
        <v>83</v>
      </c>
      <c r="E400" s="12" t="s">
        <v>84</v>
      </c>
      <c r="F400" s="13" t="s">
        <v>85</v>
      </c>
      <c r="G400" s="12" t="s">
        <v>86</v>
      </c>
      <c r="H400" s="12" t="s">
        <v>87</v>
      </c>
      <c r="I400" s="23"/>
      <c r="J400" s="48" t="s">
        <v>2783</v>
      </c>
      <c r="K400" s="18" t="s">
        <v>2784</v>
      </c>
      <c r="L400" s="20">
        <v>45938.0</v>
      </c>
      <c r="M400" s="17" t="s">
        <v>28</v>
      </c>
      <c r="N400" s="17" t="s">
        <v>2841</v>
      </c>
      <c r="O400" s="17">
        <v>7.2109107E7</v>
      </c>
      <c r="P400" s="17" t="s">
        <v>2842</v>
      </c>
      <c r="Q400" s="17" t="s">
        <v>112</v>
      </c>
      <c r="R400" s="17" t="s">
        <v>1607</v>
      </c>
      <c r="S400" s="17" t="s">
        <v>2843</v>
      </c>
      <c r="U400" s="24"/>
      <c r="V400" s="24"/>
      <c r="W400" s="18" t="s">
        <v>92</v>
      </c>
    </row>
    <row r="401">
      <c r="A401" s="11"/>
      <c r="B401" s="12" t="s">
        <v>34</v>
      </c>
      <c r="C401" s="12" t="s">
        <v>65</v>
      </c>
      <c r="D401" s="12" t="s">
        <v>83</v>
      </c>
      <c r="E401" s="12" t="s">
        <v>84</v>
      </c>
      <c r="F401" s="13" t="s">
        <v>85</v>
      </c>
      <c r="G401" s="12" t="s">
        <v>86</v>
      </c>
      <c r="H401" s="12" t="s">
        <v>87</v>
      </c>
      <c r="I401" s="23"/>
      <c r="J401" s="48" t="s">
        <v>2783</v>
      </c>
      <c r="K401" s="18" t="s">
        <v>2784</v>
      </c>
      <c r="L401" s="20">
        <v>45938.0</v>
      </c>
      <c r="M401" s="17" t="s">
        <v>23</v>
      </c>
      <c r="N401" s="17" t="s">
        <v>2854</v>
      </c>
      <c r="O401" s="17">
        <v>7.4065631E7</v>
      </c>
      <c r="Q401" s="17"/>
      <c r="R401" s="17" t="s">
        <v>1607</v>
      </c>
      <c r="S401" s="17" t="s">
        <v>1607</v>
      </c>
      <c r="U401" s="24"/>
      <c r="V401" s="24"/>
      <c r="W401" s="18" t="s">
        <v>92</v>
      </c>
    </row>
    <row r="402">
      <c r="A402" s="43"/>
      <c r="B402" s="44" t="s">
        <v>34</v>
      </c>
      <c r="C402" s="44" t="s">
        <v>65</v>
      </c>
      <c r="D402" s="44" t="s">
        <v>83</v>
      </c>
      <c r="E402" s="44" t="s">
        <v>84</v>
      </c>
      <c r="F402" s="45" t="s">
        <v>85</v>
      </c>
      <c r="G402" s="44" t="s">
        <v>86</v>
      </c>
      <c r="H402" s="44" t="s">
        <v>87</v>
      </c>
      <c r="I402" s="44"/>
      <c r="J402" s="48" t="s">
        <v>2796</v>
      </c>
      <c r="K402" s="18" t="s">
        <v>2797</v>
      </c>
      <c r="L402" s="20">
        <v>45961.0</v>
      </c>
      <c r="M402" s="46" t="s">
        <v>28</v>
      </c>
      <c r="N402" s="17" t="s">
        <v>88</v>
      </c>
      <c r="O402" s="46"/>
      <c r="P402" s="21" t="s">
        <v>89</v>
      </c>
      <c r="Q402" s="21" t="s">
        <v>73</v>
      </c>
      <c r="R402" s="21" t="s">
        <v>1607</v>
      </c>
      <c r="S402" s="21" t="s">
        <v>2853</v>
      </c>
      <c r="T402" s="21"/>
      <c r="U402" s="21"/>
      <c r="V402" s="21"/>
      <c r="W402" s="51" t="s">
        <v>92</v>
      </c>
    </row>
    <row r="403">
      <c r="A403" s="43"/>
      <c r="B403" s="12" t="s">
        <v>34</v>
      </c>
      <c r="C403" s="12" t="s">
        <v>65</v>
      </c>
      <c r="D403" s="12" t="s">
        <v>83</v>
      </c>
      <c r="E403" s="12" t="s">
        <v>84</v>
      </c>
      <c r="F403" s="13" t="s">
        <v>85</v>
      </c>
      <c r="G403" s="12" t="s">
        <v>86</v>
      </c>
      <c r="H403" s="12" t="s">
        <v>87</v>
      </c>
      <c r="I403" s="23"/>
      <c r="J403" s="48" t="s">
        <v>2796</v>
      </c>
      <c r="K403" s="18" t="s">
        <v>2797</v>
      </c>
      <c r="L403" s="20">
        <v>45961.0</v>
      </c>
      <c r="M403" s="17" t="s">
        <v>28</v>
      </c>
      <c r="N403" s="17" t="s">
        <v>93</v>
      </c>
      <c r="O403" s="17">
        <v>7.2109011E7</v>
      </c>
      <c r="P403" s="17" t="s">
        <v>94</v>
      </c>
      <c r="Q403" s="17" t="s">
        <v>112</v>
      </c>
      <c r="R403" s="17" t="s">
        <v>1607</v>
      </c>
      <c r="S403" s="17" t="s">
        <v>2844</v>
      </c>
      <c r="U403" s="24"/>
      <c r="V403" s="24"/>
      <c r="W403" s="18" t="s">
        <v>92</v>
      </c>
    </row>
    <row r="404">
      <c r="A404" s="11"/>
      <c r="B404" s="12" t="s">
        <v>34</v>
      </c>
      <c r="C404" s="12" t="s">
        <v>65</v>
      </c>
      <c r="D404" s="12" t="s">
        <v>83</v>
      </c>
      <c r="E404" s="12" t="s">
        <v>84</v>
      </c>
      <c r="F404" s="13" t="s">
        <v>85</v>
      </c>
      <c r="G404" s="12" t="s">
        <v>86</v>
      </c>
      <c r="H404" s="12" t="s">
        <v>87</v>
      </c>
      <c r="I404" s="23"/>
      <c r="J404" s="48" t="s">
        <v>2796</v>
      </c>
      <c r="K404" s="18" t="s">
        <v>2797</v>
      </c>
      <c r="L404" s="20">
        <v>45961.0</v>
      </c>
      <c r="M404" s="17" t="s">
        <v>28</v>
      </c>
      <c r="N404" s="17" t="s">
        <v>96</v>
      </c>
      <c r="P404" s="17" t="s">
        <v>97</v>
      </c>
      <c r="Q404" s="17" t="s">
        <v>112</v>
      </c>
      <c r="R404" s="17" t="s">
        <v>1607</v>
      </c>
      <c r="S404" s="17" t="s">
        <v>2852</v>
      </c>
      <c r="U404" s="24"/>
      <c r="V404" s="24"/>
      <c r="W404" s="18" t="s">
        <v>92</v>
      </c>
    </row>
    <row r="405">
      <c r="A405" s="11"/>
      <c r="B405" s="12" t="s">
        <v>34</v>
      </c>
      <c r="C405" s="12" t="s">
        <v>65</v>
      </c>
      <c r="D405" s="12" t="s">
        <v>83</v>
      </c>
      <c r="E405" s="12" t="s">
        <v>84</v>
      </c>
      <c r="F405" s="13" t="s">
        <v>85</v>
      </c>
      <c r="G405" s="12" t="s">
        <v>86</v>
      </c>
      <c r="H405" s="12" t="s">
        <v>87</v>
      </c>
      <c r="I405" s="23"/>
      <c r="J405" s="48" t="s">
        <v>2796</v>
      </c>
      <c r="K405" s="18" t="s">
        <v>2797</v>
      </c>
      <c r="L405" s="20">
        <v>45961.0</v>
      </c>
      <c r="M405" s="17" t="s">
        <v>28</v>
      </c>
      <c r="N405" s="17" t="s">
        <v>99</v>
      </c>
      <c r="O405" s="17">
        <v>1.0138468E7</v>
      </c>
      <c r="P405" s="17" t="s">
        <v>100</v>
      </c>
      <c r="Q405" s="17" t="s">
        <v>73</v>
      </c>
      <c r="R405" s="17" t="s">
        <v>1607</v>
      </c>
      <c r="S405" s="17" t="s">
        <v>2849</v>
      </c>
      <c r="U405" s="24"/>
      <c r="V405" s="24"/>
      <c r="W405" s="18" t="s">
        <v>92</v>
      </c>
    </row>
    <row r="406">
      <c r="A406" s="11"/>
      <c r="B406" s="12" t="s">
        <v>34</v>
      </c>
      <c r="C406" s="12" t="s">
        <v>65</v>
      </c>
      <c r="D406" s="12" t="s">
        <v>83</v>
      </c>
      <c r="E406" s="12" t="s">
        <v>84</v>
      </c>
      <c r="F406" s="13" t="s">
        <v>85</v>
      </c>
      <c r="G406" s="12" t="s">
        <v>86</v>
      </c>
      <c r="H406" s="12" t="s">
        <v>87</v>
      </c>
      <c r="I406" s="23"/>
      <c r="J406" s="48" t="s">
        <v>2796</v>
      </c>
      <c r="K406" s="18" t="s">
        <v>2797</v>
      </c>
      <c r="L406" s="20">
        <v>45961.0</v>
      </c>
      <c r="M406" s="17" t="s">
        <v>28</v>
      </c>
      <c r="N406" s="17" t="s">
        <v>2841</v>
      </c>
      <c r="O406" s="17">
        <v>7.2109107E7</v>
      </c>
      <c r="P406" s="17" t="s">
        <v>2842</v>
      </c>
      <c r="Q406" s="17" t="s">
        <v>112</v>
      </c>
      <c r="R406" s="17" t="s">
        <v>1607</v>
      </c>
      <c r="S406" s="17" t="s">
        <v>2843</v>
      </c>
      <c r="U406" s="24"/>
      <c r="V406" s="24"/>
      <c r="W406" s="18" t="s">
        <v>92</v>
      </c>
    </row>
    <row r="407">
      <c r="A407" s="11"/>
      <c r="B407" s="12" t="s">
        <v>34</v>
      </c>
      <c r="C407" s="12" t="s">
        <v>65</v>
      </c>
      <c r="D407" s="12" t="s">
        <v>83</v>
      </c>
      <c r="E407" s="12" t="s">
        <v>84</v>
      </c>
      <c r="F407" s="13" t="s">
        <v>85</v>
      </c>
      <c r="G407" s="12" t="s">
        <v>86</v>
      </c>
      <c r="H407" s="12" t="s">
        <v>87</v>
      </c>
      <c r="I407" s="23"/>
      <c r="J407" s="48" t="s">
        <v>2796</v>
      </c>
      <c r="K407" s="18" t="s">
        <v>2797</v>
      </c>
      <c r="L407" s="20">
        <v>45961.0</v>
      </c>
      <c r="M407" s="17" t="s">
        <v>23</v>
      </c>
      <c r="N407" s="17" t="s">
        <v>2854</v>
      </c>
      <c r="O407" s="17">
        <v>7.4065631E7</v>
      </c>
      <c r="Q407" s="17"/>
      <c r="R407" s="17" t="s">
        <v>1607</v>
      </c>
      <c r="S407" s="17" t="s">
        <v>1607</v>
      </c>
      <c r="U407" s="24"/>
      <c r="V407" s="24"/>
      <c r="W407" s="18" t="s">
        <v>92</v>
      </c>
    </row>
    <row r="408">
      <c r="A408" s="43"/>
      <c r="B408" s="44" t="s">
        <v>34</v>
      </c>
      <c r="C408" s="44" t="s">
        <v>65</v>
      </c>
      <c r="D408" s="44" t="s">
        <v>83</v>
      </c>
      <c r="E408" s="44" t="s">
        <v>84</v>
      </c>
      <c r="F408" s="45" t="s">
        <v>85</v>
      </c>
      <c r="G408" s="44" t="s">
        <v>86</v>
      </c>
      <c r="H408" s="44" t="s">
        <v>87</v>
      </c>
      <c r="I408" s="44"/>
      <c r="J408" s="48" t="s">
        <v>2800</v>
      </c>
      <c r="K408" s="18" t="s">
        <v>2801</v>
      </c>
      <c r="L408" s="20">
        <v>45966.0</v>
      </c>
      <c r="M408" s="46" t="s">
        <v>28</v>
      </c>
      <c r="N408" s="17" t="s">
        <v>88</v>
      </c>
      <c r="O408" s="46"/>
      <c r="P408" s="21" t="s">
        <v>89</v>
      </c>
      <c r="Q408" s="21" t="s">
        <v>73</v>
      </c>
      <c r="R408" s="21" t="s">
        <v>1607</v>
      </c>
      <c r="S408" s="21" t="s">
        <v>2853</v>
      </c>
      <c r="T408" s="21"/>
      <c r="U408" s="21"/>
      <c r="V408" s="21"/>
      <c r="W408" s="51" t="s">
        <v>92</v>
      </c>
    </row>
    <row r="409">
      <c r="A409" s="43"/>
      <c r="B409" s="12" t="s">
        <v>34</v>
      </c>
      <c r="C409" s="12" t="s">
        <v>65</v>
      </c>
      <c r="D409" s="12" t="s">
        <v>83</v>
      </c>
      <c r="E409" s="12" t="s">
        <v>84</v>
      </c>
      <c r="F409" s="13" t="s">
        <v>85</v>
      </c>
      <c r="G409" s="12" t="s">
        <v>86</v>
      </c>
      <c r="H409" s="12" t="s">
        <v>87</v>
      </c>
      <c r="I409" s="23"/>
      <c r="J409" s="48" t="s">
        <v>2800</v>
      </c>
      <c r="K409" s="18" t="s">
        <v>2801</v>
      </c>
      <c r="L409" s="20">
        <v>45966.0</v>
      </c>
      <c r="M409" s="17" t="s">
        <v>28</v>
      </c>
      <c r="N409" s="17" t="s">
        <v>93</v>
      </c>
      <c r="O409" s="17">
        <v>7.2109011E7</v>
      </c>
      <c r="P409" s="17" t="s">
        <v>94</v>
      </c>
      <c r="Q409" s="17" t="s">
        <v>112</v>
      </c>
      <c r="R409" s="17" t="s">
        <v>1607</v>
      </c>
      <c r="S409" s="17" t="s">
        <v>2844</v>
      </c>
      <c r="U409" s="24"/>
      <c r="V409" s="24"/>
      <c r="W409" s="18" t="s">
        <v>92</v>
      </c>
    </row>
    <row r="410">
      <c r="A410" s="11"/>
      <c r="B410" s="12" t="s">
        <v>34</v>
      </c>
      <c r="C410" s="12" t="s">
        <v>65</v>
      </c>
      <c r="D410" s="12" t="s">
        <v>83</v>
      </c>
      <c r="E410" s="12" t="s">
        <v>84</v>
      </c>
      <c r="F410" s="13" t="s">
        <v>85</v>
      </c>
      <c r="G410" s="12" t="s">
        <v>86</v>
      </c>
      <c r="H410" s="12" t="s">
        <v>87</v>
      </c>
      <c r="I410" s="23"/>
      <c r="J410" s="48" t="s">
        <v>2800</v>
      </c>
      <c r="K410" s="18" t="s">
        <v>2801</v>
      </c>
      <c r="L410" s="20">
        <v>45966.0</v>
      </c>
      <c r="M410" s="17" t="s">
        <v>28</v>
      </c>
      <c r="N410" s="17" t="s">
        <v>96</v>
      </c>
      <c r="P410" s="17" t="s">
        <v>97</v>
      </c>
      <c r="Q410" s="17" t="s">
        <v>112</v>
      </c>
      <c r="R410" s="17" t="s">
        <v>1607</v>
      </c>
      <c r="S410" s="17" t="s">
        <v>2852</v>
      </c>
      <c r="U410" s="24"/>
      <c r="V410" s="24"/>
      <c r="W410" s="18" t="s">
        <v>92</v>
      </c>
    </row>
    <row r="411">
      <c r="A411" s="11"/>
      <c r="B411" s="12" t="s">
        <v>34</v>
      </c>
      <c r="C411" s="12" t="s">
        <v>65</v>
      </c>
      <c r="D411" s="12" t="s">
        <v>83</v>
      </c>
      <c r="E411" s="12" t="s">
        <v>84</v>
      </c>
      <c r="F411" s="13" t="s">
        <v>85</v>
      </c>
      <c r="G411" s="12" t="s">
        <v>86</v>
      </c>
      <c r="H411" s="12" t="s">
        <v>87</v>
      </c>
      <c r="I411" s="23"/>
      <c r="J411" s="48" t="s">
        <v>2800</v>
      </c>
      <c r="K411" s="18" t="s">
        <v>2801</v>
      </c>
      <c r="L411" s="20">
        <v>45966.0</v>
      </c>
      <c r="M411" s="17" t="s">
        <v>28</v>
      </c>
      <c r="N411" s="17" t="s">
        <v>99</v>
      </c>
      <c r="O411" s="17">
        <v>1.0138468E7</v>
      </c>
      <c r="P411" s="17" t="s">
        <v>100</v>
      </c>
      <c r="Q411" s="17" t="s">
        <v>73</v>
      </c>
      <c r="R411" s="17" t="s">
        <v>1607</v>
      </c>
      <c r="S411" s="17" t="s">
        <v>2849</v>
      </c>
      <c r="U411" s="24"/>
      <c r="V411" s="24"/>
      <c r="W411" s="18" t="s">
        <v>92</v>
      </c>
    </row>
    <row r="412">
      <c r="A412" s="11"/>
      <c r="B412" s="12" t="s">
        <v>34</v>
      </c>
      <c r="C412" s="12" t="s">
        <v>65</v>
      </c>
      <c r="D412" s="12" t="s">
        <v>83</v>
      </c>
      <c r="E412" s="12" t="s">
        <v>84</v>
      </c>
      <c r="F412" s="13" t="s">
        <v>85</v>
      </c>
      <c r="G412" s="12" t="s">
        <v>86</v>
      </c>
      <c r="H412" s="12" t="s">
        <v>87</v>
      </c>
      <c r="I412" s="23"/>
      <c r="J412" s="48" t="s">
        <v>2800</v>
      </c>
      <c r="K412" s="18" t="s">
        <v>2801</v>
      </c>
      <c r="L412" s="20">
        <v>45966.0</v>
      </c>
      <c r="M412" s="17" t="s">
        <v>28</v>
      </c>
      <c r="N412" s="17" t="s">
        <v>2845</v>
      </c>
      <c r="O412" s="17">
        <v>7.5221279E7</v>
      </c>
      <c r="P412" s="17" t="s">
        <v>1609</v>
      </c>
      <c r="Q412" s="17" t="s">
        <v>112</v>
      </c>
      <c r="R412" s="17" t="s">
        <v>1607</v>
      </c>
      <c r="S412" s="17" t="s">
        <v>2846</v>
      </c>
      <c r="U412" s="24"/>
      <c r="V412" s="24"/>
      <c r="W412" s="18" t="s">
        <v>92</v>
      </c>
    </row>
    <row r="413">
      <c r="A413" s="11"/>
      <c r="B413" s="12" t="s">
        <v>34</v>
      </c>
      <c r="C413" s="12" t="s">
        <v>65</v>
      </c>
      <c r="D413" s="12" t="s">
        <v>83</v>
      </c>
      <c r="E413" s="12" t="s">
        <v>84</v>
      </c>
      <c r="F413" s="13" t="s">
        <v>85</v>
      </c>
      <c r="G413" s="12" t="s">
        <v>86</v>
      </c>
      <c r="H413" s="12" t="s">
        <v>87</v>
      </c>
      <c r="I413" s="23"/>
      <c r="J413" s="48" t="s">
        <v>2800</v>
      </c>
      <c r="K413" s="18" t="s">
        <v>2801</v>
      </c>
      <c r="L413" s="20">
        <v>45966.0</v>
      </c>
      <c r="M413" s="17" t="s">
        <v>28</v>
      </c>
      <c r="N413" s="17" t="s">
        <v>2847</v>
      </c>
      <c r="O413" s="17">
        <v>4.5013268E7</v>
      </c>
      <c r="P413" s="17" t="s">
        <v>1608</v>
      </c>
      <c r="Q413" s="17" t="s">
        <v>112</v>
      </c>
      <c r="R413" s="17" t="s">
        <v>1607</v>
      </c>
      <c r="S413" s="17" t="s">
        <v>2848</v>
      </c>
      <c r="U413" s="24"/>
      <c r="V413" s="24"/>
      <c r="W413" s="18" t="s">
        <v>92</v>
      </c>
    </row>
    <row r="414">
      <c r="A414" s="11"/>
      <c r="B414" s="12" t="s">
        <v>34</v>
      </c>
      <c r="C414" s="12" t="s">
        <v>65</v>
      </c>
      <c r="D414" s="12" t="s">
        <v>83</v>
      </c>
      <c r="E414" s="12" t="s">
        <v>84</v>
      </c>
      <c r="F414" s="13" t="s">
        <v>85</v>
      </c>
      <c r="G414" s="12" t="s">
        <v>86</v>
      </c>
      <c r="H414" s="12" t="s">
        <v>87</v>
      </c>
      <c r="I414" s="23"/>
      <c r="J414" s="48" t="s">
        <v>2800</v>
      </c>
      <c r="K414" s="18" t="s">
        <v>2801</v>
      </c>
      <c r="L414" s="20">
        <v>45966.0</v>
      </c>
      <c r="M414" s="17" t="s">
        <v>23</v>
      </c>
      <c r="N414" s="17" t="s">
        <v>2854</v>
      </c>
      <c r="O414" s="17">
        <v>7.4065631E7</v>
      </c>
      <c r="Q414" s="17"/>
      <c r="R414" s="17" t="s">
        <v>1607</v>
      </c>
      <c r="S414" s="17" t="s">
        <v>1607</v>
      </c>
      <c r="U414" s="24"/>
      <c r="V414" s="24"/>
      <c r="W414" s="18" t="s">
        <v>92</v>
      </c>
    </row>
    <row r="415">
      <c r="A415" s="11"/>
      <c r="B415" s="12" t="s">
        <v>34</v>
      </c>
      <c r="C415" s="12" t="s">
        <v>65</v>
      </c>
      <c r="D415" s="12" t="s">
        <v>83</v>
      </c>
      <c r="E415" s="12" t="s">
        <v>84</v>
      </c>
      <c r="F415" s="13" t="s">
        <v>85</v>
      </c>
      <c r="G415" s="12" t="s">
        <v>86</v>
      </c>
      <c r="H415" s="12" t="s">
        <v>87</v>
      </c>
      <c r="I415" s="23"/>
      <c r="J415" s="48" t="s">
        <v>2687</v>
      </c>
      <c r="K415" s="18">
        <v>3.0</v>
      </c>
      <c r="L415" s="20">
        <v>45979.0</v>
      </c>
      <c r="M415" s="17" t="s">
        <v>23</v>
      </c>
      <c r="N415" s="17" t="s">
        <v>2854</v>
      </c>
      <c r="O415" s="17">
        <v>7.4065631E7</v>
      </c>
      <c r="Q415" s="17"/>
      <c r="R415" s="17" t="s">
        <v>1607</v>
      </c>
      <c r="S415" s="17" t="s">
        <v>1607</v>
      </c>
      <c r="U415" s="24"/>
      <c r="V415" s="24"/>
      <c r="W415" s="18" t="s">
        <v>92</v>
      </c>
    </row>
    <row r="416">
      <c r="A416" s="11"/>
      <c r="B416" s="12" t="s">
        <v>34</v>
      </c>
      <c r="C416" s="12" t="s">
        <v>65</v>
      </c>
      <c r="D416" s="12" t="s">
        <v>102</v>
      </c>
      <c r="E416" s="12" t="s">
        <v>152</v>
      </c>
      <c r="F416" s="13" t="s">
        <v>153</v>
      </c>
      <c r="G416" s="12" t="s">
        <v>68</v>
      </c>
      <c r="H416" s="12" t="s">
        <v>154</v>
      </c>
      <c r="I416" s="12" t="s">
        <v>155</v>
      </c>
      <c r="J416" s="17" t="s">
        <v>2169</v>
      </c>
      <c r="K416" s="18" t="s">
        <v>2170</v>
      </c>
      <c r="L416" s="20">
        <v>45853.0</v>
      </c>
      <c r="M416" s="17" t="s">
        <v>28</v>
      </c>
      <c r="N416" s="17" t="s">
        <v>2855</v>
      </c>
      <c r="O416" s="17">
        <v>4.0377056E7</v>
      </c>
      <c r="P416" s="17" t="s">
        <v>2856</v>
      </c>
      <c r="Q416" s="17" t="s">
        <v>73</v>
      </c>
      <c r="R416" s="17" t="s">
        <v>74</v>
      </c>
      <c r="S416" s="17" t="s">
        <v>2857</v>
      </c>
      <c r="U416" s="24"/>
      <c r="V416" s="24"/>
      <c r="W416" s="18" t="s">
        <v>92</v>
      </c>
    </row>
    <row r="417">
      <c r="A417" s="11"/>
      <c r="B417" s="12" t="s">
        <v>34</v>
      </c>
      <c r="C417" s="12" t="s">
        <v>65</v>
      </c>
      <c r="D417" s="12" t="s">
        <v>102</v>
      </c>
      <c r="E417" s="12" t="s">
        <v>152</v>
      </c>
      <c r="F417" s="13" t="s">
        <v>153</v>
      </c>
      <c r="G417" s="12" t="s">
        <v>68</v>
      </c>
      <c r="H417" s="12" t="s">
        <v>154</v>
      </c>
      <c r="I417" s="12" t="s">
        <v>155</v>
      </c>
      <c r="J417" s="17" t="s">
        <v>2169</v>
      </c>
      <c r="K417" s="18" t="s">
        <v>2170</v>
      </c>
      <c r="L417" s="20">
        <v>45853.0</v>
      </c>
      <c r="M417" s="17" t="s">
        <v>28</v>
      </c>
      <c r="N417" s="17" t="s">
        <v>2858</v>
      </c>
      <c r="O417" s="17">
        <v>4.5570873E7</v>
      </c>
      <c r="P417" s="17" t="s">
        <v>2859</v>
      </c>
      <c r="Q417" s="17" t="s">
        <v>108</v>
      </c>
      <c r="R417" s="17" t="s">
        <v>109</v>
      </c>
      <c r="S417" s="17" t="s">
        <v>2860</v>
      </c>
      <c r="U417" s="24"/>
      <c r="V417" s="24"/>
      <c r="W417" s="18" t="s">
        <v>92</v>
      </c>
    </row>
    <row r="418">
      <c r="A418" s="11"/>
      <c r="B418" s="12" t="s">
        <v>34</v>
      </c>
      <c r="C418" s="12" t="s">
        <v>65</v>
      </c>
      <c r="D418" s="12" t="s">
        <v>102</v>
      </c>
      <c r="E418" s="12" t="s">
        <v>152</v>
      </c>
      <c r="F418" s="13" t="s">
        <v>153</v>
      </c>
      <c r="G418" s="12" t="s">
        <v>68</v>
      </c>
      <c r="H418" s="12" t="s">
        <v>154</v>
      </c>
      <c r="I418" s="12" t="s">
        <v>155</v>
      </c>
      <c r="J418" s="17" t="s">
        <v>2169</v>
      </c>
      <c r="K418" s="18" t="s">
        <v>2170</v>
      </c>
      <c r="L418" s="20">
        <v>45853.0</v>
      </c>
      <c r="M418" s="17" t="s">
        <v>28</v>
      </c>
      <c r="N418" s="17" t="s">
        <v>2861</v>
      </c>
      <c r="O418" s="17">
        <v>7.7332588E7</v>
      </c>
      <c r="P418" s="17" t="s">
        <v>2862</v>
      </c>
      <c r="Q418" s="17" t="s">
        <v>108</v>
      </c>
      <c r="R418" s="17" t="s">
        <v>109</v>
      </c>
      <c r="S418" s="17" t="s">
        <v>2863</v>
      </c>
      <c r="U418" s="24"/>
      <c r="V418" s="24"/>
      <c r="W418" s="18" t="s">
        <v>92</v>
      </c>
    </row>
    <row r="419">
      <c r="A419" s="11"/>
      <c r="B419" s="12" t="s">
        <v>34</v>
      </c>
      <c r="C419" s="12" t="s">
        <v>65</v>
      </c>
      <c r="D419" s="12" t="s">
        <v>102</v>
      </c>
      <c r="E419" s="12" t="s">
        <v>152</v>
      </c>
      <c r="F419" s="13" t="s">
        <v>153</v>
      </c>
      <c r="G419" s="12" t="s">
        <v>68</v>
      </c>
      <c r="H419" s="12" t="s">
        <v>154</v>
      </c>
      <c r="I419" s="12" t="s">
        <v>155</v>
      </c>
      <c r="J419" s="17" t="s">
        <v>2169</v>
      </c>
      <c r="K419" s="18" t="s">
        <v>2170</v>
      </c>
      <c r="L419" s="20">
        <v>45853.0</v>
      </c>
      <c r="M419" s="17" t="s">
        <v>28</v>
      </c>
      <c r="N419" s="17" t="s">
        <v>2864</v>
      </c>
      <c r="O419" s="17">
        <v>7.3142282E7</v>
      </c>
      <c r="P419" s="17" t="s">
        <v>2865</v>
      </c>
      <c r="Q419" s="17" t="s">
        <v>112</v>
      </c>
      <c r="R419" s="17" t="s">
        <v>113</v>
      </c>
      <c r="S419" s="17" t="s">
        <v>2866</v>
      </c>
      <c r="U419" s="24"/>
      <c r="V419" s="24"/>
      <c r="W419" s="18" t="s">
        <v>92</v>
      </c>
    </row>
    <row r="420">
      <c r="A420" s="11"/>
      <c r="B420" s="12" t="s">
        <v>34</v>
      </c>
      <c r="C420" s="12" t="s">
        <v>65</v>
      </c>
      <c r="D420" s="12" t="s">
        <v>102</v>
      </c>
      <c r="E420" s="12" t="s">
        <v>152</v>
      </c>
      <c r="F420" s="13" t="s">
        <v>153</v>
      </c>
      <c r="G420" s="12" t="s">
        <v>68</v>
      </c>
      <c r="H420" s="12" t="s">
        <v>154</v>
      </c>
      <c r="I420" s="12" t="s">
        <v>155</v>
      </c>
      <c r="J420" s="17" t="s">
        <v>2169</v>
      </c>
      <c r="K420" s="18" t="s">
        <v>2170</v>
      </c>
      <c r="L420" s="20">
        <v>45853.0</v>
      </c>
      <c r="M420" s="17" t="s">
        <v>28</v>
      </c>
      <c r="N420" s="17" t="s">
        <v>2867</v>
      </c>
      <c r="O420" s="17">
        <v>7.3392753E7</v>
      </c>
      <c r="P420" s="17" t="s">
        <v>2868</v>
      </c>
      <c r="Q420" s="17" t="s">
        <v>73</v>
      </c>
      <c r="R420" s="17" t="s">
        <v>74</v>
      </c>
      <c r="S420" s="17" t="s">
        <v>2869</v>
      </c>
      <c r="U420" s="24"/>
      <c r="V420" s="24"/>
      <c r="W420" s="18" t="s">
        <v>92</v>
      </c>
    </row>
    <row r="421">
      <c r="A421" s="11"/>
      <c r="B421" s="12" t="s">
        <v>34</v>
      </c>
      <c r="C421" s="12" t="s">
        <v>65</v>
      </c>
      <c r="D421" s="12" t="s">
        <v>102</v>
      </c>
      <c r="E421" s="12" t="s">
        <v>152</v>
      </c>
      <c r="F421" s="13" t="s">
        <v>153</v>
      </c>
      <c r="G421" s="12" t="s">
        <v>68</v>
      </c>
      <c r="H421" s="12" t="s">
        <v>154</v>
      </c>
      <c r="I421" s="12" t="s">
        <v>155</v>
      </c>
      <c r="J421" s="17" t="s">
        <v>2169</v>
      </c>
      <c r="K421" s="18" t="s">
        <v>2170</v>
      </c>
      <c r="L421" s="20">
        <v>45853.0</v>
      </c>
      <c r="M421" s="17" t="s">
        <v>28</v>
      </c>
      <c r="N421" s="17" t="s">
        <v>2870</v>
      </c>
      <c r="O421" s="17">
        <v>6.0086859E7</v>
      </c>
      <c r="P421" s="17" t="s">
        <v>2871</v>
      </c>
      <c r="Q421" s="17" t="s">
        <v>112</v>
      </c>
      <c r="R421" s="17" t="s">
        <v>113</v>
      </c>
      <c r="S421" s="17" t="s">
        <v>2872</v>
      </c>
      <c r="U421" s="24"/>
      <c r="V421" s="24"/>
      <c r="W421" s="18" t="s">
        <v>92</v>
      </c>
    </row>
    <row r="422">
      <c r="A422" s="11"/>
      <c r="B422" s="12" t="s">
        <v>34</v>
      </c>
      <c r="C422" s="12" t="s">
        <v>65</v>
      </c>
      <c r="D422" s="12" t="s">
        <v>102</v>
      </c>
      <c r="E422" s="12" t="s">
        <v>152</v>
      </c>
      <c r="F422" s="13" t="s">
        <v>153</v>
      </c>
      <c r="G422" s="12" t="s">
        <v>68</v>
      </c>
      <c r="H422" s="12" t="s">
        <v>154</v>
      </c>
      <c r="I422" s="12" t="s">
        <v>155</v>
      </c>
      <c r="J422" s="17" t="s">
        <v>2169</v>
      </c>
      <c r="K422" s="18" t="s">
        <v>2170</v>
      </c>
      <c r="L422" s="20">
        <v>45853.0</v>
      </c>
      <c r="M422" s="17" t="s">
        <v>28</v>
      </c>
      <c r="N422" s="17" t="s">
        <v>2873</v>
      </c>
      <c r="O422" s="17">
        <v>7.3392735E7</v>
      </c>
      <c r="P422" s="17" t="s">
        <v>2874</v>
      </c>
      <c r="Q422" s="17" t="s">
        <v>73</v>
      </c>
      <c r="R422" s="17" t="s">
        <v>74</v>
      </c>
      <c r="S422" s="17" t="s">
        <v>2875</v>
      </c>
      <c r="U422" s="24"/>
      <c r="V422" s="24"/>
      <c r="W422" s="18" t="s">
        <v>92</v>
      </c>
    </row>
    <row r="423">
      <c r="A423" s="11"/>
      <c r="B423" s="12" t="s">
        <v>34</v>
      </c>
      <c r="C423" s="12" t="s">
        <v>65</v>
      </c>
      <c r="D423" s="12" t="s">
        <v>102</v>
      </c>
      <c r="E423" s="12" t="s">
        <v>152</v>
      </c>
      <c r="F423" s="13" t="s">
        <v>153</v>
      </c>
      <c r="G423" s="12" t="s">
        <v>68</v>
      </c>
      <c r="H423" s="12" t="s">
        <v>154</v>
      </c>
      <c r="I423" s="12" t="s">
        <v>155</v>
      </c>
      <c r="J423" s="17" t="s">
        <v>2169</v>
      </c>
      <c r="K423" s="18" t="s">
        <v>2170</v>
      </c>
      <c r="L423" s="20">
        <v>45853.0</v>
      </c>
      <c r="M423" s="17" t="s">
        <v>28</v>
      </c>
      <c r="N423" s="17" t="s">
        <v>159</v>
      </c>
      <c r="O423" s="17">
        <v>4.430032E7</v>
      </c>
      <c r="P423" s="17" t="s">
        <v>160</v>
      </c>
      <c r="Q423" s="17" t="s">
        <v>73</v>
      </c>
      <c r="R423" s="17" t="s">
        <v>74</v>
      </c>
      <c r="S423" s="17" t="s">
        <v>2876</v>
      </c>
      <c r="U423" s="24"/>
      <c r="V423" s="24"/>
      <c r="W423" s="18" t="s">
        <v>92</v>
      </c>
    </row>
    <row r="424">
      <c r="A424" s="11"/>
      <c r="B424" s="12" t="s">
        <v>34</v>
      </c>
      <c r="C424" s="12" t="s">
        <v>65</v>
      </c>
      <c r="D424" s="12" t="s">
        <v>102</v>
      </c>
      <c r="E424" s="12" t="s">
        <v>152</v>
      </c>
      <c r="F424" s="13" t="s">
        <v>153</v>
      </c>
      <c r="G424" s="12" t="s">
        <v>68</v>
      </c>
      <c r="H424" s="12" t="s">
        <v>154</v>
      </c>
      <c r="I424" s="12" t="s">
        <v>155</v>
      </c>
      <c r="J424" s="17" t="s">
        <v>2169</v>
      </c>
      <c r="K424" s="18" t="s">
        <v>2170</v>
      </c>
      <c r="L424" s="20">
        <v>45853.0</v>
      </c>
      <c r="M424" s="17" t="s">
        <v>28</v>
      </c>
      <c r="N424" s="17" t="s">
        <v>162</v>
      </c>
      <c r="O424" s="17">
        <v>2.242034E7</v>
      </c>
      <c r="P424" s="17" t="s">
        <v>2877</v>
      </c>
      <c r="Q424" s="17" t="s">
        <v>108</v>
      </c>
      <c r="R424" s="17" t="s">
        <v>109</v>
      </c>
      <c r="S424" s="17" t="s">
        <v>2878</v>
      </c>
      <c r="U424" s="24"/>
      <c r="V424" s="24"/>
      <c r="W424" s="18" t="s">
        <v>92</v>
      </c>
    </row>
    <row r="425">
      <c r="A425" s="11"/>
      <c r="B425" s="12" t="s">
        <v>34</v>
      </c>
      <c r="C425" s="12" t="s">
        <v>65</v>
      </c>
      <c r="D425" s="12" t="s">
        <v>102</v>
      </c>
      <c r="E425" s="12" t="s">
        <v>152</v>
      </c>
      <c r="F425" s="13" t="s">
        <v>153</v>
      </c>
      <c r="G425" s="12" t="s">
        <v>68</v>
      </c>
      <c r="H425" s="12" t="s">
        <v>154</v>
      </c>
      <c r="I425" s="12" t="s">
        <v>155</v>
      </c>
      <c r="J425" s="17" t="s">
        <v>2169</v>
      </c>
      <c r="K425" s="18" t="s">
        <v>2170</v>
      </c>
      <c r="L425" s="20">
        <v>45853.0</v>
      </c>
      <c r="M425" s="17" t="s">
        <v>28</v>
      </c>
      <c r="N425" s="17" t="s">
        <v>2879</v>
      </c>
      <c r="O425" s="17">
        <v>7.4089744E7</v>
      </c>
      <c r="P425" s="17" t="s">
        <v>2880</v>
      </c>
      <c r="Q425" s="17" t="s">
        <v>112</v>
      </c>
      <c r="R425" s="17" t="s">
        <v>113</v>
      </c>
      <c r="S425" s="17" t="s">
        <v>2881</v>
      </c>
      <c r="U425" s="24"/>
      <c r="V425" s="24"/>
      <c r="W425" s="18" t="s">
        <v>92</v>
      </c>
    </row>
    <row r="426">
      <c r="A426" s="11"/>
      <c r="B426" s="12" t="s">
        <v>34</v>
      </c>
      <c r="C426" s="12" t="s">
        <v>65</v>
      </c>
      <c r="D426" s="12" t="s">
        <v>102</v>
      </c>
      <c r="E426" s="12" t="s">
        <v>152</v>
      </c>
      <c r="F426" s="13" t="s">
        <v>153</v>
      </c>
      <c r="G426" s="12" t="s">
        <v>68</v>
      </c>
      <c r="H426" s="12" t="s">
        <v>154</v>
      </c>
      <c r="I426" s="12" t="s">
        <v>155</v>
      </c>
      <c r="J426" s="17" t="s">
        <v>2169</v>
      </c>
      <c r="K426" s="18" t="s">
        <v>2170</v>
      </c>
      <c r="L426" s="20">
        <v>45853.0</v>
      </c>
      <c r="M426" s="17" t="s">
        <v>28</v>
      </c>
      <c r="N426" s="17" t="s">
        <v>2882</v>
      </c>
      <c r="O426" s="17">
        <v>7.2125048E7</v>
      </c>
      <c r="P426" s="17" t="s">
        <v>2883</v>
      </c>
      <c r="Q426" s="17" t="s">
        <v>73</v>
      </c>
      <c r="R426" s="17" t="s">
        <v>74</v>
      </c>
      <c r="S426" s="17" t="s">
        <v>2884</v>
      </c>
      <c r="U426" s="24"/>
      <c r="V426" s="24"/>
      <c r="W426" s="18" t="s">
        <v>92</v>
      </c>
    </row>
    <row r="427">
      <c r="A427" s="11"/>
      <c r="B427" s="12" t="s">
        <v>34</v>
      </c>
      <c r="C427" s="12" t="s">
        <v>65</v>
      </c>
      <c r="D427" s="12" t="s">
        <v>102</v>
      </c>
      <c r="E427" s="12" t="s">
        <v>152</v>
      </c>
      <c r="F427" s="13" t="s">
        <v>153</v>
      </c>
      <c r="G427" s="12" t="s">
        <v>68</v>
      </c>
      <c r="H427" s="12" t="s">
        <v>154</v>
      </c>
      <c r="I427" s="12" t="s">
        <v>155</v>
      </c>
      <c r="J427" s="17" t="s">
        <v>2169</v>
      </c>
      <c r="K427" s="18" t="s">
        <v>2170</v>
      </c>
      <c r="L427" s="20">
        <v>45853.0</v>
      </c>
      <c r="M427" s="17" t="s">
        <v>28</v>
      </c>
      <c r="N427" s="17" t="s">
        <v>2885</v>
      </c>
      <c r="O427" s="17">
        <v>2.1079629E7</v>
      </c>
      <c r="P427" s="17" t="s">
        <v>2886</v>
      </c>
      <c r="Q427" s="17" t="s">
        <v>108</v>
      </c>
      <c r="R427" s="17" t="s">
        <v>109</v>
      </c>
      <c r="S427" s="17" t="s">
        <v>2887</v>
      </c>
      <c r="U427" s="24"/>
      <c r="V427" s="24"/>
      <c r="W427" s="18" t="s">
        <v>92</v>
      </c>
    </row>
    <row r="428">
      <c r="A428" s="11"/>
      <c r="B428" s="12" t="s">
        <v>34</v>
      </c>
      <c r="C428" s="12" t="s">
        <v>65</v>
      </c>
      <c r="D428" s="12" t="s">
        <v>102</v>
      </c>
      <c r="E428" s="12" t="s">
        <v>152</v>
      </c>
      <c r="F428" s="13" t="s">
        <v>153</v>
      </c>
      <c r="G428" s="12" t="s">
        <v>68</v>
      </c>
      <c r="H428" s="12" t="s">
        <v>154</v>
      </c>
      <c r="I428" s="12" t="s">
        <v>155</v>
      </c>
      <c r="J428" s="17" t="s">
        <v>2169</v>
      </c>
      <c r="K428" s="18" t="s">
        <v>2170</v>
      </c>
      <c r="L428" s="20">
        <v>45853.0</v>
      </c>
      <c r="M428" s="17" t="s">
        <v>28</v>
      </c>
      <c r="N428" s="17" t="s">
        <v>2888</v>
      </c>
      <c r="O428" s="17">
        <v>7.2569965E7</v>
      </c>
      <c r="P428" s="17" t="s">
        <v>2889</v>
      </c>
      <c r="Q428" s="17" t="s">
        <v>108</v>
      </c>
      <c r="R428" s="17" t="s">
        <v>109</v>
      </c>
      <c r="S428" s="17" t="s">
        <v>2890</v>
      </c>
      <c r="U428" s="24"/>
      <c r="V428" s="24"/>
      <c r="W428" s="18" t="s">
        <v>92</v>
      </c>
    </row>
    <row r="429">
      <c r="A429" s="11"/>
      <c r="B429" s="12" t="s">
        <v>34</v>
      </c>
      <c r="C429" s="12" t="s">
        <v>65</v>
      </c>
      <c r="D429" s="12" t="s">
        <v>102</v>
      </c>
      <c r="E429" s="12" t="s">
        <v>152</v>
      </c>
      <c r="F429" s="13" t="s">
        <v>153</v>
      </c>
      <c r="G429" s="12" t="s">
        <v>68</v>
      </c>
      <c r="H429" s="12" t="s">
        <v>154</v>
      </c>
      <c r="I429" s="12" t="s">
        <v>155</v>
      </c>
      <c r="J429" s="17" t="s">
        <v>2169</v>
      </c>
      <c r="K429" s="18" t="s">
        <v>2170</v>
      </c>
      <c r="L429" s="20">
        <v>45853.0</v>
      </c>
      <c r="M429" s="17" t="s">
        <v>28</v>
      </c>
      <c r="N429" s="17" t="s">
        <v>2891</v>
      </c>
      <c r="O429" s="17">
        <v>7.4853878E7</v>
      </c>
      <c r="P429" s="17" t="s">
        <v>2892</v>
      </c>
      <c r="Q429" s="17" t="s">
        <v>108</v>
      </c>
      <c r="R429" s="17" t="s">
        <v>109</v>
      </c>
      <c r="S429" s="17" t="s">
        <v>2893</v>
      </c>
      <c r="U429" s="24"/>
      <c r="V429" s="24"/>
      <c r="W429" s="18" t="s">
        <v>92</v>
      </c>
    </row>
    <row r="430">
      <c r="A430" s="11"/>
      <c r="B430" s="12" t="s">
        <v>34</v>
      </c>
      <c r="C430" s="12" t="s">
        <v>65</v>
      </c>
      <c r="D430" s="12" t="s">
        <v>102</v>
      </c>
      <c r="E430" s="12" t="s">
        <v>152</v>
      </c>
      <c r="F430" s="13" t="s">
        <v>153</v>
      </c>
      <c r="G430" s="12" t="s">
        <v>68</v>
      </c>
      <c r="H430" s="12" t="s">
        <v>154</v>
      </c>
      <c r="I430" s="12" t="s">
        <v>155</v>
      </c>
      <c r="J430" s="17" t="s">
        <v>2169</v>
      </c>
      <c r="K430" s="18" t="s">
        <v>2170</v>
      </c>
      <c r="L430" s="20">
        <v>45853.0</v>
      </c>
      <c r="M430" s="17" t="s">
        <v>28</v>
      </c>
      <c r="N430" s="17" t="s">
        <v>2894</v>
      </c>
      <c r="O430" s="17">
        <v>4.4390261E7</v>
      </c>
      <c r="P430" s="17" t="s">
        <v>1707</v>
      </c>
      <c r="Q430" s="17" t="s">
        <v>112</v>
      </c>
      <c r="R430" s="17" t="s">
        <v>113</v>
      </c>
      <c r="S430" s="17" t="s">
        <v>2895</v>
      </c>
      <c r="U430" s="24"/>
      <c r="V430" s="24"/>
      <c r="W430" s="18" t="s">
        <v>92</v>
      </c>
    </row>
    <row r="431">
      <c r="A431" s="11"/>
      <c r="B431" s="12" t="s">
        <v>34</v>
      </c>
      <c r="C431" s="12" t="s">
        <v>65</v>
      </c>
      <c r="D431" s="12" t="s">
        <v>102</v>
      </c>
      <c r="E431" s="12" t="s">
        <v>152</v>
      </c>
      <c r="F431" s="13" t="s">
        <v>153</v>
      </c>
      <c r="G431" s="12" t="s">
        <v>68</v>
      </c>
      <c r="H431" s="12" t="s">
        <v>154</v>
      </c>
      <c r="I431" s="12" t="s">
        <v>155</v>
      </c>
      <c r="J431" s="17" t="s">
        <v>2169</v>
      </c>
      <c r="K431" s="18" t="s">
        <v>2170</v>
      </c>
      <c r="L431" s="20">
        <v>45853.0</v>
      </c>
      <c r="M431" s="17" t="s">
        <v>28</v>
      </c>
      <c r="N431" s="17" t="s">
        <v>2896</v>
      </c>
      <c r="O431" s="17">
        <v>6.0089131E7</v>
      </c>
      <c r="P431" s="17" t="s">
        <v>2897</v>
      </c>
      <c r="Q431" s="17" t="s">
        <v>108</v>
      </c>
      <c r="R431" s="17" t="s">
        <v>109</v>
      </c>
      <c r="S431" s="17" t="s">
        <v>2898</v>
      </c>
      <c r="U431" s="24"/>
      <c r="V431" s="24"/>
      <c r="W431" s="18" t="s">
        <v>92</v>
      </c>
    </row>
    <row r="432">
      <c r="A432" s="11"/>
      <c r="B432" s="12" t="s">
        <v>34</v>
      </c>
      <c r="C432" s="12" t="s">
        <v>65</v>
      </c>
      <c r="D432" s="12" t="s">
        <v>102</v>
      </c>
      <c r="E432" s="12" t="s">
        <v>152</v>
      </c>
      <c r="F432" s="13" t="s">
        <v>153</v>
      </c>
      <c r="G432" s="12" t="s">
        <v>68</v>
      </c>
      <c r="H432" s="12" t="s">
        <v>154</v>
      </c>
      <c r="I432" s="12" t="s">
        <v>155</v>
      </c>
      <c r="J432" s="17" t="s">
        <v>2169</v>
      </c>
      <c r="K432" s="18" t="s">
        <v>2170</v>
      </c>
      <c r="L432" s="20">
        <v>45853.0</v>
      </c>
      <c r="M432" s="17" t="s">
        <v>28</v>
      </c>
      <c r="N432" s="17" t="s">
        <v>156</v>
      </c>
      <c r="O432" s="17">
        <v>7.2125097E7</v>
      </c>
      <c r="P432" s="17" t="s">
        <v>157</v>
      </c>
      <c r="Q432" s="17" t="s">
        <v>112</v>
      </c>
      <c r="R432" s="17" t="s">
        <v>113</v>
      </c>
      <c r="S432" s="17" t="s">
        <v>158</v>
      </c>
      <c r="U432" s="24"/>
      <c r="V432" s="24"/>
      <c r="W432" s="18" t="s">
        <v>92</v>
      </c>
    </row>
    <row r="433">
      <c r="A433" s="11"/>
      <c r="B433" s="12" t="s">
        <v>34</v>
      </c>
      <c r="C433" s="12" t="s">
        <v>65</v>
      </c>
      <c r="D433" s="12" t="s">
        <v>102</v>
      </c>
      <c r="E433" s="12" t="s">
        <v>152</v>
      </c>
      <c r="F433" s="13" t="s">
        <v>153</v>
      </c>
      <c r="G433" s="12" t="s">
        <v>68</v>
      </c>
      <c r="H433" s="12" t="s">
        <v>154</v>
      </c>
      <c r="I433" s="12" t="s">
        <v>155</v>
      </c>
      <c r="J433" s="17" t="s">
        <v>2169</v>
      </c>
      <c r="K433" s="18" t="s">
        <v>2170</v>
      </c>
      <c r="L433" s="20">
        <v>45853.0</v>
      </c>
      <c r="M433" s="17" t="s">
        <v>28</v>
      </c>
      <c r="N433" s="17" t="s">
        <v>2899</v>
      </c>
      <c r="O433" s="17">
        <v>4.5368098E7</v>
      </c>
      <c r="P433" s="17" t="s">
        <v>2900</v>
      </c>
      <c r="Q433" s="17" t="s">
        <v>108</v>
      </c>
      <c r="R433" s="17" t="s">
        <v>109</v>
      </c>
      <c r="S433" s="17" t="s">
        <v>2901</v>
      </c>
      <c r="U433" s="24"/>
      <c r="V433" s="24"/>
      <c r="W433" s="18" t="s">
        <v>92</v>
      </c>
    </row>
    <row r="434">
      <c r="A434" s="11"/>
      <c r="B434" s="12" t="s">
        <v>34</v>
      </c>
      <c r="C434" s="12" t="s">
        <v>65</v>
      </c>
      <c r="D434" s="12" t="s">
        <v>102</v>
      </c>
      <c r="E434" s="12" t="s">
        <v>152</v>
      </c>
      <c r="F434" s="13" t="s">
        <v>153</v>
      </c>
      <c r="G434" s="12" t="s">
        <v>68</v>
      </c>
      <c r="H434" s="12" t="s">
        <v>154</v>
      </c>
      <c r="I434" s="12" t="s">
        <v>155</v>
      </c>
      <c r="J434" s="17" t="s">
        <v>2169</v>
      </c>
      <c r="K434" s="18" t="s">
        <v>2170</v>
      </c>
      <c r="L434" s="20">
        <v>45853.0</v>
      </c>
      <c r="M434" s="17" t="s">
        <v>28</v>
      </c>
      <c r="N434" s="17" t="s">
        <v>2902</v>
      </c>
      <c r="O434" s="17">
        <v>2.2894778E7</v>
      </c>
      <c r="P434" s="17" t="s">
        <v>2903</v>
      </c>
      <c r="Q434" s="17" t="s">
        <v>112</v>
      </c>
      <c r="R434" s="17" t="s">
        <v>113</v>
      </c>
      <c r="S434" s="17" t="s">
        <v>2904</v>
      </c>
      <c r="U434" s="24"/>
      <c r="V434" s="24"/>
      <c r="W434" s="18" t="s">
        <v>92</v>
      </c>
    </row>
    <row r="435">
      <c r="A435" s="11"/>
      <c r="B435" s="12" t="s">
        <v>34</v>
      </c>
      <c r="C435" s="12" t="s">
        <v>65</v>
      </c>
      <c r="D435" s="12" t="s">
        <v>102</v>
      </c>
      <c r="E435" s="12" t="s">
        <v>152</v>
      </c>
      <c r="F435" s="13" t="s">
        <v>153</v>
      </c>
      <c r="G435" s="12" t="s">
        <v>68</v>
      </c>
      <c r="H435" s="12" t="s">
        <v>154</v>
      </c>
      <c r="I435" s="12" t="s">
        <v>155</v>
      </c>
      <c r="J435" s="17" t="s">
        <v>2169</v>
      </c>
      <c r="K435" s="18" t="s">
        <v>2170</v>
      </c>
      <c r="L435" s="20">
        <v>45853.0</v>
      </c>
      <c r="M435" s="17" t="s">
        <v>28</v>
      </c>
      <c r="N435" s="17" t="s">
        <v>2905</v>
      </c>
      <c r="P435" s="17" t="s">
        <v>2906</v>
      </c>
      <c r="Q435" s="17" t="s">
        <v>73</v>
      </c>
      <c r="R435" s="17" t="s">
        <v>74</v>
      </c>
      <c r="S435" s="17" t="s">
        <v>2907</v>
      </c>
      <c r="U435" s="24"/>
      <c r="V435" s="24"/>
      <c r="W435" s="18" t="s">
        <v>92</v>
      </c>
    </row>
    <row r="436">
      <c r="A436" s="11"/>
      <c r="B436" s="12" t="s">
        <v>34</v>
      </c>
      <c r="C436" s="12" t="s">
        <v>65</v>
      </c>
      <c r="D436" s="12" t="s">
        <v>102</v>
      </c>
      <c r="E436" s="12" t="s">
        <v>152</v>
      </c>
      <c r="F436" s="13" t="s">
        <v>153</v>
      </c>
      <c r="G436" s="12" t="s">
        <v>68</v>
      </c>
      <c r="H436" s="12" t="s">
        <v>154</v>
      </c>
      <c r="I436" s="12" t="s">
        <v>155</v>
      </c>
      <c r="J436" s="17" t="s">
        <v>2169</v>
      </c>
      <c r="K436" s="18" t="s">
        <v>2170</v>
      </c>
      <c r="L436" s="20">
        <v>45853.0</v>
      </c>
      <c r="M436" s="17" t="s">
        <v>28</v>
      </c>
      <c r="N436" s="17" t="s">
        <v>2908</v>
      </c>
      <c r="P436" s="17" t="s">
        <v>2909</v>
      </c>
      <c r="Q436" s="17" t="s">
        <v>108</v>
      </c>
      <c r="R436" s="17" t="s">
        <v>109</v>
      </c>
      <c r="S436" s="17" t="s">
        <v>2910</v>
      </c>
      <c r="U436" s="24"/>
      <c r="V436" s="24"/>
      <c r="W436" s="18" t="s">
        <v>92</v>
      </c>
    </row>
    <row r="437">
      <c r="A437" s="11"/>
      <c r="B437" s="12" t="s">
        <v>34</v>
      </c>
      <c r="C437" s="12" t="s">
        <v>65</v>
      </c>
      <c r="D437" s="12" t="s">
        <v>102</v>
      </c>
      <c r="E437" s="12" t="s">
        <v>152</v>
      </c>
      <c r="F437" s="13" t="s">
        <v>153</v>
      </c>
      <c r="G437" s="12" t="s">
        <v>68</v>
      </c>
      <c r="H437" s="12" t="s">
        <v>154</v>
      </c>
      <c r="I437" s="12" t="s">
        <v>155</v>
      </c>
      <c r="J437" s="17" t="s">
        <v>2169</v>
      </c>
      <c r="K437" s="18" t="s">
        <v>2170</v>
      </c>
      <c r="L437" s="20">
        <v>45853.0</v>
      </c>
      <c r="M437" s="17" t="s">
        <v>28</v>
      </c>
      <c r="N437" s="17" t="s">
        <v>2911</v>
      </c>
      <c r="O437" s="17">
        <v>7.1935328E7</v>
      </c>
      <c r="P437" s="17" t="s">
        <v>2912</v>
      </c>
      <c r="Q437" s="17" t="s">
        <v>73</v>
      </c>
      <c r="R437" s="17" t="s">
        <v>74</v>
      </c>
      <c r="S437" s="17" t="s">
        <v>2913</v>
      </c>
      <c r="U437" s="24"/>
      <c r="V437" s="24"/>
      <c r="W437" s="18" t="s">
        <v>92</v>
      </c>
    </row>
    <row r="438">
      <c r="A438" s="11"/>
      <c r="B438" s="12" t="s">
        <v>34</v>
      </c>
      <c r="C438" s="12" t="s">
        <v>65</v>
      </c>
      <c r="D438" s="12" t="s">
        <v>102</v>
      </c>
      <c r="E438" s="12" t="s">
        <v>152</v>
      </c>
      <c r="F438" s="13" t="s">
        <v>153</v>
      </c>
      <c r="G438" s="12" t="s">
        <v>68</v>
      </c>
      <c r="H438" s="12" t="s">
        <v>154</v>
      </c>
      <c r="I438" s="12" t="s">
        <v>155</v>
      </c>
      <c r="J438" s="17" t="s">
        <v>2169</v>
      </c>
      <c r="K438" s="18" t="s">
        <v>2170</v>
      </c>
      <c r="L438" s="20">
        <v>45853.0</v>
      </c>
      <c r="M438" s="17" t="s">
        <v>23</v>
      </c>
      <c r="N438" s="17" t="s">
        <v>2914</v>
      </c>
      <c r="O438" s="17">
        <v>4.1053875E7</v>
      </c>
      <c r="P438" s="17"/>
      <c r="Q438" s="17" t="s">
        <v>108</v>
      </c>
      <c r="R438" s="17" t="s">
        <v>74</v>
      </c>
      <c r="S438" s="17" t="s">
        <v>2913</v>
      </c>
      <c r="U438" s="24"/>
      <c r="V438" s="24"/>
      <c r="W438" s="18" t="s">
        <v>92</v>
      </c>
    </row>
    <row r="439">
      <c r="A439" s="11"/>
      <c r="B439" s="12" t="s">
        <v>34</v>
      </c>
      <c r="C439" s="12" t="s">
        <v>65</v>
      </c>
      <c r="D439" s="12" t="s">
        <v>102</v>
      </c>
      <c r="E439" s="12" t="s">
        <v>152</v>
      </c>
      <c r="F439" s="13" t="s">
        <v>153</v>
      </c>
      <c r="G439" s="12" t="s">
        <v>68</v>
      </c>
      <c r="H439" s="12" t="s">
        <v>154</v>
      </c>
      <c r="I439" s="12" t="s">
        <v>155</v>
      </c>
      <c r="J439" s="17" t="s">
        <v>2169</v>
      </c>
      <c r="K439" s="18" t="s">
        <v>2170</v>
      </c>
      <c r="L439" s="20">
        <v>45853.0</v>
      </c>
      <c r="M439" s="17" t="s">
        <v>23</v>
      </c>
      <c r="N439" s="17" t="s">
        <v>2915</v>
      </c>
      <c r="O439" s="17">
        <v>4.1175143E7</v>
      </c>
      <c r="P439" s="17"/>
      <c r="Q439" s="17" t="s">
        <v>112</v>
      </c>
      <c r="R439" s="17" t="s">
        <v>74</v>
      </c>
      <c r="S439" s="17" t="s">
        <v>2913</v>
      </c>
      <c r="U439" s="24"/>
      <c r="V439" s="24"/>
      <c r="W439" s="18" t="s">
        <v>92</v>
      </c>
    </row>
    <row r="440">
      <c r="A440" s="11"/>
      <c r="B440" s="12" t="s">
        <v>34</v>
      </c>
      <c r="C440" s="12" t="s">
        <v>65</v>
      </c>
      <c r="D440" s="12" t="s">
        <v>102</v>
      </c>
      <c r="E440" s="12" t="s">
        <v>152</v>
      </c>
      <c r="F440" s="13" t="s">
        <v>153</v>
      </c>
      <c r="G440" s="12" t="s">
        <v>68</v>
      </c>
      <c r="H440" s="12" t="s">
        <v>154</v>
      </c>
      <c r="I440" s="12" t="s">
        <v>155</v>
      </c>
      <c r="J440" s="17" t="s">
        <v>2169</v>
      </c>
      <c r="K440" s="18" t="s">
        <v>2170</v>
      </c>
      <c r="L440" s="20">
        <v>45853.0</v>
      </c>
      <c r="M440" s="17" t="s">
        <v>23</v>
      </c>
      <c r="N440" s="17" t="s">
        <v>2916</v>
      </c>
      <c r="O440" s="17">
        <v>7.644451E7</v>
      </c>
      <c r="P440" s="17"/>
      <c r="Q440" s="17" t="s">
        <v>73</v>
      </c>
      <c r="R440" s="17" t="s">
        <v>74</v>
      </c>
      <c r="S440" s="17" t="s">
        <v>2913</v>
      </c>
      <c r="U440" s="24"/>
      <c r="V440" s="24"/>
      <c r="W440" s="18" t="s">
        <v>92</v>
      </c>
    </row>
    <row r="441">
      <c r="A441" s="11"/>
      <c r="B441" s="44" t="s">
        <v>34</v>
      </c>
      <c r="C441" s="44" t="s">
        <v>65</v>
      </c>
      <c r="D441" s="44" t="s">
        <v>102</v>
      </c>
      <c r="E441" s="44" t="s">
        <v>152</v>
      </c>
      <c r="F441" s="45" t="s">
        <v>153</v>
      </c>
      <c r="G441" s="44" t="s">
        <v>68</v>
      </c>
      <c r="H441" s="44" t="s">
        <v>154</v>
      </c>
      <c r="I441" s="44" t="s">
        <v>155</v>
      </c>
      <c r="J441" s="46" t="s">
        <v>2779</v>
      </c>
      <c r="K441" s="51" t="s">
        <v>2780</v>
      </c>
      <c r="L441" s="118">
        <v>45873.0</v>
      </c>
      <c r="M441" s="46" t="s">
        <v>28</v>
      </c>
      <c r="N441" s="17" t="s">
        <v>2888</v>
      </c>
      <c r="O441" s="17">
        <v>7.2569965E7</v>
      </c>
      <c r="P441" s="17" t="s">
        <v>2889</v>
      </c>
      <c r="Q441" s="17" t="s">
        <v>108</v>
      </c>
      <c r="R441" s="17" t="s">
        <v>109</v>
      </c>
      <c r="S441" s="17" t="s">
        <v>2890</v>
      </c>
      <c r="U441" s="24"/>
      <c r="V441" s="24"/>
      <c r="W441" s="18" t="s">
        <v>92</v>
      </c>
    </row>
    <row r="442">
      <c r="A442" s="11"/>
      <c r="B442" s="12" t="s">
        <v>34</v>
      </c>
      <c r="C442" s="12" t="s">
        <v>65</v>
      </c>
      <c r="D442" s="12" t="s">
        <v>102</v>
      </c>
      <c r="E442" s="12" t="s">
        <v>152</v>
      </c>
      <c r="F442" s="13" t="s">
        <v>153</v>
      </c>
      <c r="G442" s="12" t="s">
        <v>68</v>
      </c>
      <c r="H442" s="12" t="s">
        <v>154</v>
      </c>
      <c r="I442" s="12" t="s">
        <v>155</v>
      </c>
      <c r="J442" s="17" t="s">
        <v>2779</v>
      </c>
      <c r="K442" s="18" t="s">
        <v>2780</v>
      </c>
      <c r="L442" s="20">
        <v>45873.0</v>
      </c>
      <c r="M442" s="17" t="s">
        <v>28</v>
      </c>
      <c r="N442" s="17" t="s">
        <v>2917</v>
      </c>
      <c r="O442" s="17">
        <v>7.3392767E7</v>
      </c>
      <c r="P442" s="17" t="s">
        <v>2918</v>
      </c>
      <c r="Q442" s="17" t="s">
        <v>108</v>
      </c>
      <c r="R442" s="17" t="s">
        <v>109</v>
      </c>
      <c r="S442" s="17" t="s">
        <v>2919</v>
      </c>
      <c r="U442" s="24"/>
      <c r="V442" s="24"/>
      <c r="W442" s="18" t="s">
        <v>92</v>
      </c>
    </row>
    <row r="443">
      <c r="A443" s="11"/>
      <c r="B443" s="12" t="s">
        <v>34</v>
      </c>
      <c r="C443" s="12" t="s">
        <v>65</v>
      </c>
      <c r="D443" s="12" t="s">
        <v>102</v>
      </c>
      <c r="E443" s="12" t="s">
        <v>152</v>
      </c>
      <c r="F443" s="13" t="s">
        <v>153</v>
      </c>
      <c r="G443" s="12" t="s">
        <v>68</v>
      </c>
      <c r="H443" s="12" t="s">
        <v>154</v>
      </c>
      <c r="I443" s="12" t="s">
        <v>155</v>
      </c>
      <c r="J443" s="17" t="s">
        <v>2779</v>
      </c>
      <c r="K443" s="18" t="s">
        <v>2780</v>
      </c>
      <c r="L443" s="20">
        <v>45873.0</v>
      </c>
      <c r="M443" s="17" t="s">
        <v>28</v>
      </c>
      <c r="N443" s="17" t="s">
        <v>2908</v>
      </c>
      <c r="P443" s="17" t="s">
        <v>2909</v>
      </c>
      <c r="Q443" s="17" t="s">
        <v>108</v>
      </c>
      <c r="R443" s="17" t="s">
        <v>109</v>
      </c>
      <c r="S443" s="17" t="s">
        <v>2910</v>
      </c>
      <c r="U443" s="24"/>
      <c r="V443" s="24"/>
      <c r="W443" s="18" t="s">
        <v>92</v>
      </c>
    </row>
    <row r="444">
      <c r="A444" s="11"/>
      <c r="B444" s="12" t="s">
        <v>34</v>
      </c>
      <c r="C444" s="12" t="s">
        <v>65</v>
      </c>
      <c r="D444" s="12" t="s">
        <v>102</v>
      </c>
      <c r="E444" s="12" t="s">
        <v>152</v>
      </c>
      <c r="F444" s="13" t="s">
        <v>153</v>
      </c>
      <c r="G444" s="12" t="s">
        <v>68</v>
      </c>
      <c r="H444" s="12" t="s">
        <v>154</v>
      </c>
      <c r="I444" s="12" t="s">
        <v>155</v>
      </c>
      <c r="J444" s="17" t="s">
        <v>2779</v>
      </c>
      <c r="K444" s="18" t="s">
        <v>2780</v>
      </c>
      <c r="L444" s="20">
        <v>45873.0</v>
      </c>
      <c r="M444" s="17" t="s">
        <v>28</v>
      </c>
      <c r="N444" s="17" t="s">
        <v>2891</v>
      </c>
      <c r="O444" s="17">
        <v>7.4853878E7</v>
      </c>
      <c r="P444" s="17" t="s">
        <v>2892</v>
      </c>
      <c r="Q444" s="17" t="s">
        <v>108</v>
      </c>
      <c r="R444" s="17" t="s">
        <v>109</v>
      </c>
      <c r="S444" s="17" t="s">
        <v>2893</v>
      </c>
      <c r="U444" s="24"/>
      <c r="V444" s="24"/>
      <c r="W444" s="18" t="s">
        <v>92</v>
      </c>
    </row>
    <row r="445">
      <c r="A445" s="11"/>
      <c r="B445" s="12" t="s">
        <v>34</v>
      </c>
      <c r="C445" s="12" t="s">
        <v>65</v>
      </c>
      <c r="D445" s="12" t="s">
        <v>102</v>
      </c>
      <c r="E445" s="12" t="s">
        <v>152</v>
      </c>
      <c r="F445" s="13" t="s">
        <v>153</v>
      </c>
      <c r="G445" s="12" t="s">
        <v>68</v>
      </c>
      <c r="H445" s="12" t="s">
        <v>154</v>
      </c>
      <c r="I445" s="12" t="s">
        <v>155</v>
      </c>
      <c r="J445" s="17" t="s">
        <v>2779</v>
      </c>
      <c r="K445" s="18" t="s">
        <v>2780</v>
      </c>
      <c r="L445" s="20">
        <v>45873.0</v>
      </c>
      <c r="M445" s="17" t="s">
        <v>28</v>
      </c>
      <c r="N445" s="17" t="s">
        <v>2899</v>
      </c>
      <c r="O445" s="17">
        <v>4.5368098E7</v>
      </c>
      <c r="P445" s="17" t="s">
        <v>2900</v>
      </c>
      <c r="Q445" s="17" t="s">
        <v>108</v>
      </c>
      <c r="R445" s="17" t="s">
        <v>109</v>
      </c>
      <c r="S445" s="17" t="s">
        <v>2920</v>
      </c>
      <c r="U445" s="24"/>
      <c r="V445" s="24"/>
      <c r="W445" s="18" t="s">
        <v>92</v>
      </c>
    </row>
    <row r="446">
      <c r="A446" s="11"/>
      <c r="B446" s="12" t="s">
        <v>34</v>
      </c>
      <c r="C446" s="12" t="s">
        <v>65</v>
      </c>
      <c r="D446" s="12" t="s">
        <v>102</v>
      </c>
      <c r="E446" s="12" t="s">
        <v>152</v>
      </c>
      <c r="F446" s="13" t="s">
        <v>153</v>
      </c>
      <c r="G446" s="12" t="s">
        <v>68</v>
      </c>
      <c r="H446" s="12" t="s">
        <v>154</v>
      </c>
      <c r="I446" s="12" t="s">
        <v>155</v>
      </c>
      <c r="J446" s="17" t="s">
        <v>2779</v>
      </c>
      <c r="K446" s="18" t="s">
        <v>2780</v>
      </c>
      <c r="L446" s="20">
        <v>45873.0</v>
      </c>
      <c r="M446" s="17" t="s">
        <v>28</v>
      </c>
      <c r="N446" s="17" t="s">
        <v>2861</v>
      </c>
      <c r="O446" s="17">
        <v>7.7332588E7</v>
      </c>
      <c r="P446" s="17" t="s">
        <v>2862</v>
      </c>
      <c r="Q446" s="17" t="s">
        <v>108</v>
      </c>
      <c r="R446" s="17" t="s">
        <v>109</v>
      </c>
      <c r="S446" s="17" t="s">
        <v>2863</v>
      </c>
      <c r="U446" s="24"/>
      <c r="V446" s="24"/>
      <c r="W446" s="18" t="s">
        <v>92</v>
      </c>
    </row>
    <row r="447">
      <c r="A447" s="11"/>
      <c r="B447" s="12" t="s">
        <v>34</v>
      </c>
      <c r="C447" s="12" t="s">
        <v>65</v>
      </c>
      <c r="D447" s="12" t="s">
        <v>102</v>
      </c>
      <c r="E447" s="12" t="s">
        <v>152</v>
      </c>
      <c r="F447" s="13" t="s">
        <v>153</v>
      </c>
      <c r="G447" s="12" t="s">
        <v>68</v>
      </c>
      <c r="H447" s="12" t="s">
        <v>154</v>
      </c>
      <c r="I447" s="12" t="s">
        <v>155</v>
      </c>
      <c r="J447" s="17" t="s">
        <v>2779</v>
      </c>
      <c r="K447" s="18" t="s">
        <v>2780</v>
      </c>
      <c r="L447" s="20">
        <v>45873.0</v>
      </c>
      <c r="M447" s="17" t="s">
        <v>28</v>
      </c>
      <c r="N447" s="17" t="s">
        <v>2882</v>
      </c>
      <c r="O447" s="17">
        <v>7.2125048E7</v>
      </c>
      <c r="P447" s="17" t="s">
        <v>2883</v>
      </c>
      <c r="Q447" s="17" t="s">
        <v>73</v>
      </c>
      <c r="R447" s="17" t="s">
        <v>74</v>
      </c>
      <c r="S447" s="17"/>
      <c r="U447" s="24"/>
      <c r="V447" s="24"/>
      <c r="W447" s="18" t="s">
        <v>92</v>
      </c>
    </row>
    <row r="448">
      <c r="A448" s="11"/>
      <c r="B448" s="12" t="s">
        <v>34</v>
      </c>
      <c r="C448" s="12" t="s">
        <v>65</v>
      </c>
      <c r="D448" s="12" t="s">
        <v>102</v>
      </c>
      <c r="E448" s="12" t="s">
        <v>152</v>
      </c>
      <c r="F448" s="13" t="s">
        <v>153</v>
      </c>
      <c r="G448" s="12" t="s">
        <v>68</v>
      </c>
      <c r="H448" s="12" t="s">
        <v>154</v>
      </c>
      <c r="I448" s="12" t="s">
        <v>155</v>
      </c>
      <c r="J448" s="17" t="s">
        <v>2779</v>
      </c>
      <c r="K448" s="18" t="s">
        <v>2780</v>
      </c>
      <c r="L448" s="20">
        <v>45873.0</v>
      </c>
      <c r="M448" s="17" t="s">
        <v>28</v>
      </c>
      <c r="N448" s="17" t="s">
        <v>2911</v>
      </c>
      <c r="P448" s="17" t="s">
        <v>2912</v>
      </c>
      <c r="Q448" s="17" t="s">
        <v>73</v>
      </c>
      <c r="R448" s="17" t="s">
        <v>74</v>
      </c>
      <c r="S448" s="17" t="s">
        <v>2913</v>
      </c>
      <c r="U448" s="24"/>
      <c r="V448" s="24"/>
      <c r="W448" s="18" t="s">
        <v>92</v>
      </c>
    </row>
    <row r="449">
      <c r="A449" s="11"/>
      <c r="B449" s="12" t="s">
        <v>34</v>
      </c>
      <c r="C449" s="12" t="s">
        <v>65</v>
      </c>
      <c r="D449" s="12" t="s">
        <v>102</v>
      </c>
      <c r="E449" s="12" t="s">
        <v>152</v>
      </c>
      <c r="F449" s="13" t="s">
        <v>153</v>
      </c>
      <c r="G449" s="12" t="s">
        <v>68</v>
      </c>
      <c r="H449" s="12" t="s">
        <v>154</v>
      </c>
      <c r="I449" s="12" t="s">
        <v>155</v>
      </c>
      <c r="J449" s="17" t="s">
        <v>2779</v>
      </c>
      <c r="K449" s="18" t="s">
        <v>2780</v>
      </c>
      <c r="L449" s="20">
        <v>45873.0</v>
      </c>
      <c r="M449" s="17" t="s">
        <v>28</v>
      </c>
      <c r="N449" s="17" t="s">
        <v>2879</v>
      </c>
      <c r="O449" s="17">
        <v>7.4089744E7</v>
      </c>
      <c r="P449" s="17" t="s">
        <v>2880</v>
      </c>
      <c r="Q449" s="17" t="s">
        <v>112</v>
      </c>
      <c r="R449" s="17" t="s">
        <v>113</v>
      </c>
      <c r="S449" s="17" t="s">
        <v>2881</v>
      </c>
      <c r="U449" s="24"/>
      <c r="V449" s="24"/>
      <c r="W449" s="18" t="s">
        <v>92</v>
      </c>
    </row>
    <row r="450">
      <c r="A450" s="11"/>
      <c r="B450" s="12" t="s">
        <v>34</v>
      </c>
      <c r="C450" s="12" t="s">
        <v>65</v>
      </c>
      <c r="D450" s="12" t="s">
        <v>102</v>
      </c>
      <c r="E450" s="12" t="s">
        <v>152</v>
      </c>
      <c r="F450" s="13" t="s">
        <v>153</v>
      </c>
      <c r="G450" s="12" t="s">
        <v>68</v>
      </c>
      <c r="H450" s="12" t="s">
        <v>154</v>
      </c>
      <c r="I450" s="12" t="s">
        <v>155</v>
      </c>
      <c r="J450" s="17" t="s">
        <v>2779</v>
      </c>
      <c r="K450" s="18" t="s">
        <v>2780</v>
      </c>
      <c r="L450" s="20">
        <v>45873.0</v>
      </c>
      <c r="M450" s="17" t="s">
        <v>28</v>
      </c>
      <c r="N450" s="17" t="s">
        <v>2894</v>
      </c>
      <c r="O450" s="17">
        <v>4.4390261E7</v>
      </c>
      <c r="P450" s="17" t="s">
        <v>1707</v>
      </c>
      <c r="Q450" s="17" t="s">
        <v>112</v>
      </c>
      <c r="R450" s="17" t="s">
        <v>113</v>
      </c>
      <c r="S450" s="17" t="s">
        <v>2895</v>
      </c>
      <c r="U450" s="24"/>
      <c r="V450" s="24"/>
      <c r="W450" s="18" t="s">
        <v>92</v>
      </c>
    </row>
    <row r="451">
      <c r="A451" s="11"/>
      <c r="B451" s="12" t="s">
        <v>34</v>
      </c>
      <c r="C451" s="12" t="s">
        <v>65</v>
      </c>
      <c r="D451" s="12" t="s">
        <v>102</v>
      </c>
      <c r="E451" s="12" t="s">
        <v>152</v>
      </c>
      <c r="F451" s="13" t="s">
        <v>153</v>
      </c>
      <c r="G451" s="12" t="s">
        <v>68</v>
      </c>
      <c r="H451" s="12" t="s">
        <v>154</v>
      </c>
      <c r="I451" s="12" t="s">
        <v>155</v>
      </c>
      <c r="J451" s="17" t="s">
        <v>2779</v>
      </c>
      <c r="K451" s="18" t="s">
        <v>2780</v>
      </c>
      <c r="L451" s="20">
        <v>45873.0</v>
      </c>
      <c r="M451" s="17" t="s">
        <v>28</v>
      </c>
      <c r="N451" s="17" t="s">
        <v>162</v>
      </c>
      <c r="O451" s="17">
        <v>2.242034E7</v>
      </c>
      <c r="P451" s="17" t="s">
        <v>2877</v>
      </c>
      <c r="Q451" s="17" t="s">
        <v>108</v>
      </c>
      <c r="R451" s="17" t="s">
        <v>109</v>
      </c>
      <c r="S451" s="17"/>
      <c r="U451" s="24"/>
      <c r="V451" s="24"/>
      <c r="W451" s="18" t="s">
        <v>92</v>
      </c>
    </row>
    <row r="452">
      <c r="A452" s="11"/>
      <c r="B452" s="12" t="s">
        <v>34</v>
      </c>
      <c r="C452" s="12" t="s">
        <v>65</v>
      </c>
      <c r="D452" s="12" t="s">
        <v>102</v>
      </c>
      <c r="E452" s="12" t="s">
        <v>152</v>
      </c>
      <c r="F452" s="13" t="s">
        <v>153</v>
      </c>
      <c r="G452" s="12" t="s">
        <v>68</v>
      </c>
      <c r="H452" s="12" t="s">
        <v>154</v>
      </c>
      <c r="I452" s="12" t="s">
        <v>155</v>
      </c>
      <c r="J452" s="17" t="s">
        <v>2779</v>
      </c>
      <c r="K452" s="18" t="s">
        <v>2780</v>
      </c>
      <c r="L452" s="20">
        <v>45873.0</v>
      </c>
      <c r="M452" s="17" t="s">
        <v>28</v>
      </c>
      <c r="N452" s="17" t="s">
        <v>2885</v>
      </c>
      <c r="O452" s="17">
        <v>2.1079629E7</v>
      </c>
      <c r="P452" s="17" t="s">
        <v>2886</v>
      </c>
      <c r="Q452" s="17" t="s">
        <v>108</v>
      </c>
      <c r="R452" s="17" t="s">
        <v>109</v>
      </c>
      <c r="S452" s="17"/>
      <c r="U452" s="24"/>
      <c r="V452" s="24"/>
      <c r="W452" s="18" t="s">
        <v>92</v>
      </c>
    </row>
    <row r="453">
      <c r="A453" s="11"/>
      <c r="B453" s="12" t="s">
        <v>34</v>
      </c>
      <c r="C453" s="12" t="s">
        <v>65</v>
      </c>
      <c r="D453" s="12" t="s">
        <v>102</v>
      </c>
      <c r="E453" s="12" t="s">
        <v>152</v>
      </c>
      <c r="F453" s="13" t="s">
        <v>153</v>
      </c>
      <c r="G453" s="12" t="s">
        <v>68</v>
      </c>
      <c r="H453" s="12" t="s">
        <v>154</v>
      </c>
      <c r="I453" s="12" t="s">
        <v>155</v>
      </c>
      <c r="J453" s="17" t="s">
        <v>2779</v>
      </c>
      <c r="K453" s="18" t="s">
        <v>2780</v>
      </c>
      <c r="L453" s="20">
        <v>45873.0</v>
      </c>
      <c r="M453" s="17" t="s">
        <v>28</v>
      </c>
      <c r="N453" s="17" t="s">
        <v>2896</v>
      </c>
      <c r="O453" s="17">
        <v>6.0089131E7</v>
      </c>
      <c r="P453" s="17" t="s">
        <v>2897</v>
      </c>
      <c r="Q453" s="17" t="s">
        <v>108</v>
      </c>
      <c r="R453" s="17" t="s">
        <v>109</v>
      </c>
      <c r="S453" s="17" t="s">
        <v>2898</v>
      </c>
      <c r="U453" s="24"/>
      <c r="V453" s="24"/>
      <c r="W453" s="18" t="s">
        <v>92</v>
      </c>
    </row>
    <row r="454">
      <c r="A454" s="11"/>
      <c r="B454" s="12" t="s">
        <v>34</v>
      </c>
      <c r="C454" s="12" t="s">
        <v>65</v>
      </c>
      <c r="D454" s="12" t="s">
        <v>102</v>
      </c>
      <c r="E454" s="12" t="s">
        <v>152</v>
      </c>
      <c r="F454" s="13" t="s">
        <v>153</v>
      </c>
      <c r="G454" s="12" t="s">
        <v>68</v>
      </c>
      <c r="H454" s="12" t="s">
        <v>154</v>
      </c>
      <c r="I454" s="12" t="s">
        <v>155</v>
      </c>
      <c r="J454" s="17" t="s">
        <v>2779</v>
      </c>
      <c r="K454" s="18" t="s">
        <v>2780</v>
      </c>
      <c r="L454" s="20">
        <v>45873.0</v>
      </c>
      <c r="M454" s="17" t="s">
        <v>28</v>
      </c>
      <c r="N454" s="17" t="s">
        <v>2858</v>
      </c>
      <c r="O454" s="17">
        <v>4.5570873E7</v>
      </c>
      <c r="P454" s="17" t="s">
        <v>2859</v>
      </c>
      <c r="Q454" s="17" t="s">
        <v>108</v>
      </c>
      <c r="R454" s="17" t="s">
        <v>109</v>
      </c>
      <c r="S454" s="17" t="s">
        <v>2860</v>
      </c>
      <c r="U454" s="24"/>
      <c r="V454" s="24"/>
      <c r="W454" s="18" t="s">
        <v>92</v>
      </c>
    </row>
    <row r="455">
      <c r="A455" s="11"/>
      <c r="B455" s="12" t="s">
        <v>34</v>
      </c>
      <c r="C455" s="12" t="s">
        <v>65</v>
      </c>
      <c r="D455" s="12" t="s">
        <v>102</v>
      </c>
      <c r="E455" s="12" t="s">
        <v>152</v>
      </c>
      <c r="F455" s="13" t="s">
        <v>153</v>
      </c>
      <c r="G455" s="12" t="s">
        <v>68</v>
      </c>
      <c r="H455" s="12" t="s">
        <v>154</v>
      </c>
      <c r="I455" s="12" t="s">
        <v>155</v>
      </c>
      <c r="J455" s="17" t="s">
        <v>2779</v>
      </c>
      <c r="K455" s="18" t="s">
        <v>2780</v>
      </c>
      <c r="L455" s="20">
        <v>45873.0</v>
      </c>
      <c r="M455" s="17" t="s">
        <v>23</v>
      </c>
      <c r="N455" s="17" t="s">
        <v>2914</v>
      </c>
      <c r="O455" s="17">
        <v>4.1053875E7</v>
      </c>
      <c r="P455" s="17"/>
      <c r="Q455" s="17" t="s">
        <v>108</v>
      </c>
      <c r="R455" s="17" t="s">
        <v>109</v>
      </c>
      <c r="S455" s="17" t="s">
        <v>2198</v>
      </c>
      <c r="U455" s="24"/>
      <c r="V455" s="24"/>
      <c r="W455" s="18" t="s">
        <v>92</v>
      </c>
    </row>
    <row r="456">
      <c r="A456" s="11"/>
      <c r="B456" s="12" t="s">
        <v>34</v>
      </c>
      <c r="C456" s="12" t="s">
        <v>65</v>
      </c>
      <c r="D456" s="12" t="s">
        <v>102</v>
      </c>
      <c r="E456" s="12" t="s">
        <v>152</v>
      </c>
      <c r="F456" s="13" t="s">
        <v>153</v>
      </c>
      <c r="G456" s="12" t="s">
        <v>68</v>
      </c>
      <c r="H456" s="12" t="s">
        <v>154</v>
      </c>
      <c r="I456" s="12" t="s">
        <v>155</v>
      </c>
      <c r="J456" s="17" t="s">
        <v>2779</v>
      </c>
      <c r="K456" s="18" t="s">
        <v>2780</v>
      </c>
      <c r="L456" s="20">
        <v>45873.0</v>
      </c>
      <c r="M456" s="17" t="s">
        <v>23</v>
      </c>
      <c r="N456" s="17" t="s">
        <v>2915</v>
      </c>
      <c r="O456" s="17">
        <v>4.1175143E7</v>
      </c>
      <c r="P456" s="17"/>
      <c r="Q456" s="17" t="s">
        <v>112</v>
      </c>
      <c r="R456" s="17" t="s">
        <v>113</v>
      </c>
      <c r="S456" s="17" t="s">
        <v>2220</v>
      </c>
      <c r="U456" s="24"/>
      <c r="V456" s="24"/>
      <c r="W456" s="18" t="s">
        <v>92</v>
      </c>
    </row>
    <row r="457">
      <c r="A457" s="11"/>
      <c r="B457" s="12" t="s">
        <v>34</v>
      </c>
      <c r="C457" s="12" t="s">
        <v>65</v>
      </c>
      <c r="D457" s="12" t="s">
        <v>102</v>
      </c>
      <c r="E457" s="12" t="s">
        <v>152</v>
      </c>
      <c r="F457" s="13" t="s">
        <v>153</v>
      </c>
      <c r="G457" s="12" t="s">
        <v>68</v>
      </c>
      <c r="H457" s="12" t="s">
        <v>154</v>
      </c>
      <c r="I457" s="12" t="s">
        <v>155</v>
      </c>
      <c r="J457" s="17" t="s">
        <v>2779</v>
      </c>
      <c r="K457" s="18" t="s">
        <v>2780</v>
      </c>
      <c r="L457" s="20">
        <v>45873.0</v>
      </c>
      <c r="M457" s="17" t="s">
        <v>23</v>
      </c>
      <c r="N457" s="17" t="s">
        <v>2916</v>
      </c>
      <c r="O457" s="17">
        <v>7.644451E7</v>
      </c>
      <c r="P457" s="17"/>
      <c r="Q457" s="17" t="s">
        <v>73</v>
      </c>
      <c r="R457" s="17" t="s">
        <v>74</v>
      </c>
      <c r="S457" s="17" t="s">
        <v>2202</v>
      </c>
      <c r="U457" s="24"/>
      <c r="V457" s="24"/>
      <c r="W457" s="18" t="s">
        <v>92</v>
      </c>
    </row>
    <row r="458">
      <c r="A458" s="11"/>
      <c r="B458" s="12" t="s">
        <v>34</v>
      </c>
      <c r="C458" s="12" t="s">
        <v>65</v>
      </c>
      <c r="D458" s="12" t="s">
        <v>102</v>
      </c>
      <c r="E458" s="12" t="s">
        <v>152</v>
      </c>
      <c r="F458" s="13" t="s">
        <v>153</v>
      </c>
      <c r="G458" s="12" t="s">
        <v>68</v>
      </c>
      <c r="H458" s="12" t="s">
        <v>154</v>
      </c>
      <c r="I458" s="12" t="s">
        <v>155</v>
      </c>
      <c r="J458" s="17" t="s">
        <v>2783</v>
      </c>
      <c r="K458" s="18" t="s">
        <v>2784</v>
      </c>
      <c r="L458" s="20">
        <v>45930.0</v>
      </c>
      <c r="M458" s="17" t="s">
        <v>28</v>
      </c>
      <c r="N458" s="17" t="s">
        <v>2908</v>
      </c>
      <c r="P458" s="17" t="s">
        <v>2909</v>
      </c>
      <c r="Q458" s="17" t="s">
        <v>108</v>
      </c>
      <c r="R458" s="17" t="s">
        <v>109</v>
      </c>
      <c r="S458" s="17" t="s">
        <v>2910</v>
      </c>
      <c r="U458" s="24"/>
      <c r="V458" s="24"/>
      <c r="W458" s="18" t="s">
        <v>92</v>
      </c>
    </row>
    <row r="459">
      <c r="A459" s="11"/>
      <c r="B459" s="12" t="s">
        <v>34</v>
      </c>
      <c r="C459" s="12" t="s">
        <v>65</v>
      </c>
      <c r="D459" s="12" t="s">
        <v>102</v>
      </c>
      <c r="E459" s="12" t="s">
        <v>152</v>
      </c>
      <c r="F459" s="13" t="s">
        <v>153</v>
      </c>
      <c r="G459" s="12" t="s">
        <v>68</v>
      </c>
      <c r="H459" s="12" t="s">
        <v>154</v>
      </c>
      <c r="I459" s="12" t="s">
        <v>155</v>
      </c>
      <c r="J459" s="17" t="s">
        <v>2783</v>
      </c>
      <c r="K459" s="18" t="s">
        <v>2784</v>
      </c>
      <c r="L459" s="20">
        <v>45930.0</v>
      </c>
      <c r="M459" s="17" t="s">
        <v>28</v>
      </c>
      <c r="N459" s="17" t="s">
        <v>2921</v>
      </c>
      <c r="O459" s="17">
        <v>6.1577492E7</v>
      </c>
      <c r="P459" s="17" t="s">
        <v>1708</v>
      </c>
      <c r="Q459" s="17" t="s">
        <v>112</v>
      </c>
      <c r="R459" s="17" t="s">
        <v>113</v>
      </c>
      <c r="S459" s="17" t="s">
        <v>2922</v>
      </c>
      <c r="U459" s="24"/>
      <c r="V459" s="24"/>
      <c r="W459" s="18" t="s">
        <v>92</v>
      </c>
    </row>
    <row r="460">
      <c r="A460" s="11"/>
      <c r="B460" s="12" t="s">
        <v>34</v>
      </c>
      <c r="C460" s="12" t="s">
        <v>65</v>
      </c>
      <c r="D460" s="12" t="s">
        <v>102</v>
      </c>
      <c r="E460" s="12" t="s">
        <v>152</v>
      </c>
      <c r="F460" s="13" t="s">
        <v>153</v>
      </c>
      <c r="G460" s="12" t="s">
        <v>68</v>
      </c>
      <c r="H460" s="12" t="s">
        <v>154</v>
      </c>
      <c r="I460" s="12" t="s">
        <v>155</v>
      </c>
      <c r="J460" s="17" t="s">
        <v>2783</v>
      </c>
      <c r="K460" s="18" t="s">
        <v>2784</v>
      </c>
      <c r="L460" s="20">
        <v>45930.0</v>
      </c>
      <c r="M460" s="17" t="s">
        <v>28</v>
      </c>
      <c r="N460" s="17" t="s">
        <v>156</v>
      </c>
      <c r="O460" s="17">
        <v>7.2125097E7</v>
      </c>
      <c r="P460" s="17" t="s">
        <v>157</v>
      </c>
      <c r="Q460" s="17" t="s">
        <v>112</v>
      </c>
      <c r="R460" s="17" t="s">
        <v>113</v>
      </c>
      <c r="S460" s="17" t="s">
        <v>158</v>
      </c>
      <c r="U460" s="24"/>
      <c r="V460" s="24"/>
      <c r="W460" s="18" t="s">
        <v>92</v>
      </c>
    </row>
    <row r="461">
      <c r="A461" s="11"/>
      <c r="B461" s="12" t="s">
        <v>34</v>
      </c>
      <c r="C461" s="12" t="s">
        <v>65</v>
      </c>
      <c r="D461" s="12" t="s">
        <v>102</v>
      </c>
      <c r="E461" s="12" t="s">
        <v>152</v>
      </c>
      <c r="F461" s="13" t="s">
        <v>153</v>
      </c>
      <c r="G461" s="12" t="s">
        <v>68</v>
      </c>
      <c r="H461" s="12" t="s">
        <v>154</v>
      </c>
      <c r="I461" s="12" t="s">
        <v>155</v>
      </c>
      <c r="J461" s="17" t="s">
        <v>2783</v>
      </c>
      <c r="K461" s="18" t="s">
        <v>2784</v>
      </c>
      <c r="L461" s="20">
        <v>45930.0</v>
      </c>
      <c r="M461" s="17" t="s">
        <v>28</v>
      </c>
      <c r="N461" s="17" t="s">
        <v>2870</v>
      </c>
      <c r="O461" s="17">
        <v>6.0086859E7</v>
      </c>
      <c r="P461" s="17" t="s">
        <v>2871</v>
      </c>
      <c r="Q461" s="17" t="s">
        <v>112</v>
      </c>
      <c r="R461" s="17" t="s">
        <v>113</v>
      </c>
      <c r="S461" s="17" t="s">
        <v>2872</v>
      </c>
      <c r="U461" s="24"/>
      <c r="V461" s="24"/>
      <c r="W461" s="18" t="s">
        <v>92</v>
      </c>
    </row>
    <row r="462">
      <c r="A462" s="11"/>
      <c r="B462" s="12" t="s">
        <v>34</v>
      </c>
      <c r="C462" s="12" t="s">
        <v>65</v>
      </c>
      <c r="D462" s="12" t="s">
        <v>102</v>
      </c>
      <c r="E462" s="12" t="s">
        <v>152</v>
      </c>
      <c r="F462" s="13" t="s">
        <v>153</v>
      </c>
      <c r="G462" s="12" t="s">
        <v>68</v>
      </c>
      <c r="H462" s="12" t="s">
        <v>154</v>
      </c>
      <c r="I462" s="12" t="s">
        <v>155</v>
      </c>
      <c r="J462" s="17" t="s">
        <v>2783</v>
      </c>
      <c r="K462" s="18" t="s">
        <v>2784</v>
      </c>
      <c r="L462" s="20">
        <v>45930.0</v>
      </c>
      <c r="M462" s="17" t="s">
        <v>28</v>
      </c>
      <c r="N462" s="17" t="s">
        <v>2899</v>
      </c>
      <c r="O462" s="17">
        <v>4.5368098E7</v>
      </c>
      <c r="P462" s="17" t="s">
        <v>2900</v>
      </c>
      <c r="Q462" s="17" t="s">
        <v>108</v>
      </c>
      <c r="R462" s="17" t="s">
        <v>109</v>
      </c>
      <c r="S462" s="17" t="s">
        <v>2920</v>
      </c>
      <c r="U462" s="24"/>
      <c r="V462" s="24"/>
      <c r="W462" s="18" t="s">
        <v>92</v>
      </c>
    </row>
    <row r="463">
      <c r="A463" s="11"/>
      <c r="B463" s="12" t="s">
        <v>34</v>
      </c>
      <c r="C463" s="12" t="s">
        <v>65</v>
      </c>
      <c r="D463" s="12" t="s">
        <v>102</v>
      </c>
      <c r="E463" s="12" t="s">
        <v>152</v>
      </c>
      <c r="F463" s="13" t="s">
        <v>153</v>
      </c>
      <c r="G463" s="12" t="s">
        <v>68</v>
      </c>
      <c r="H463" s="12" t="s">
        <v>154</v>
      </c>
      <c r="I463" s="12" t="s">
        <v>155</v>
      </c>
      <c r="J463" s="17" t="s">
        <v>2783</v>
      </c>
      <c r="K463" s="18" t="s">
        <v>2784</v>
      </c>
      <c r="L463" s="20">
        <v>45930.0</v>
      </c>
      <c r="M463" s="17" t="s">
        <v>28</v>
      </c>
      <c r="N463" s="17" t="s">
        <v>2923</v>
      </c>
      <c r="O463" s="17">
        <v>8.057775E7</v>
      </c>
      <c r="P463" s="17" t="s">
        <v>2924</v>
      </c>
      <c r="Q463" s="17"/>
      <c r="S463" s="17" t="s">
        <v>2924</v>
      </c>
      <c r="U463" s="24"/>
      <c r="V463" s="24"/>
      <c r="W463" s="18" t="s">
        <v>92</v>
      </c>
    </row>
    <row r="464">
      <c r="A464" s="11"/>
      <c r="B464" s="12" t="s">
        <v>34</v>
      </c>
      <c r="C464" s="12" t="s">
        <v>65</v>
      </c>
      <c r="D464" s="12" t="s">
        <v>102</v>
      </c>
      <c r="E464" s="12" t="s">
        <v>152</v>
      </c>
      <c r="F464" s="13" t="s">
        <v>153</v>
      </c>
      <c r="G464" s="12" t="s">
        <v>68</v>
      </c>
      <c r="H464" s="12" t="s">
        <v>154</v>
      </c>
      <c r="I464" s="12" t="s">
        <v>155</v>
      </c>
      <c r="J464" s="17" t="s">
        <v>2783</v>
      </c>
      <c r="K464" s="18" t="s">
        <v>2784</v>
      </c>
      <c r="L464" s="20">
        <v>45930.0</v>
      </c>
      <c r="M464" s="17" t="s">
        <v>28</v>
      </c>
      <c r="N464" s="17" t="s">
        <v>2888</v>
      </c>
      <c r="O464" s="17">
        <v>7.2569965E7</v>
      </c>
      <c r="P464" s="17" t="s">
        <v>2889</v>
      </c>
      <c r="Q464" s="17" t="s">
        <v>108</v>
      </c>
      <c r="R464" s="17" t="s">
        <v>109</v>
      </c>
      <c r="S464" s="17" t="s">
        <v>2890</v>
      </c>
      <c r="U464" s="24"/>
      <c r="V464" s="24"/>
      <c r="W464" s="18" t="s">
        <v>92</v>
      </c>
    </row>
    <row r="465">
      <c r="A465" s="11"/>
      <c r="B465" s="12" t="s">
        <v>34</v>
      </c>
      <c r="C465" s="12" t="s">
        <v>65</v>
      </c>
      <c r="D465" s="12" t="s">
        <v>102</v>
      </c>
      <c r="E465" s="12" t="s">
        <v>152</v>
      </c>
      <c r="F465" s="13" t="s">
        <v>153</v>
      </c>
      <c r="G465" s="12" t="s">
        <v>68</v>
      </c>
      <c r="H465" s="12" t="s">
        <v>154</v>
      </c>
      <c r="I465" s="12" t="s">
        <v>155</v>
      </c>
      <c r="J465" s="17" t="s">
        <v>2783</v>
      </c>
      <c r="K465" s="18" t="s">
        <v>2784</v>
      </c>
      <c r="L465" s="20">
        <v>45930.0</v>
      </c>
      <c r="M465" s="17" t="s">
        <v>28</v>
      </c>
      <c r="N465" s="17" t="s">
        <v>2917</v>
      </c>
      <c r="O465" s="17">
        <v>7.3392767E7</v>
      </c>
      <c r="P465" s="17" t="s">
        <v>2918</v>
      </c>
      <c r="Q465" s="17" t="s">
        <v>108</v>
      </c>
      <c r="R465" s="17" t="s">
        <v>109</v>
      </c>
      <c r="S465" s="17" t="s">
        <v>2919</v>
      </c>
      <c r="U465" s="24"/>
      <c r="V465" s="24"/>
      <c r="W465" s="18" t="s">
        <v>92</v>
      </c>
    </row>
    <row r="466">
      <c r="A466" s="11"/>
      <c r="B466" s="12" t="s">
        <v>34</v>
      </c>
      <c r="C466" s="12" t="s">
        <v>65</v>
      </c>
      <c r="D466" s="12" t="s">
        <v>102</v>
      </c>
      <c r="E466" s="12" t="s">
        <v>152</v>
      </c>
      <c r="F466" s="13" t="s">
        <v>153</v>
      </c>
      <c r="G466" s="12" t="s">
        <v>68</v>
      </c>
      <c r="H466" s="12" t="s">
        <v>154</v>
      </c>
      <c r="I466" s="12" t="s">
        <v>155</v>
      </c>
      <c r="J466" s="17" t="s">
        <v>2783</v>
      </c>
      <c r="K466" s="18" t="s">
        <v>2784</v>
      </c>
      <c r="L466" s="20">
        <v>45930.0</v>
      </c>
      <c r="M466" s="17" t="s">
        <v>28</v>
      </c>
      <c r="N466" s="17" t="s">
        <v>2925</v>
      </c>
      <c r="O466" s="17">
        <v>7.3306341E7</v>
      </c>
      <c r="P466" s="17" t="s">
        <v>2926</v>
      </c>
      <c r="Q466" s="17"/>
      <c r="S466" s="17" t="s">
        <v>2926</v>
      </c>
      <c r="U466" s="24"/>
      <c r="V466" s="24"/>
      <c r="W466" s="18" t="s">
        <v>92</v>
      </c>
    </row>
    <row r="467">
      <c r="A467" s="11"/>
      <c r="B467" s="12" t="s">
        <v>34</v>
      </c>
      <c r="C467" s="12" t="s">
        <v>65</v>
      </c>
      <c r="D467" s="12" t="s">
        <v>102</v>
      </c>
      <c r="E467" s="12" t="s">
        <v>152</v>
      </c>
      <c r="F467" s="13" t="s">
        <v>153</v>
      </c>
      <c r="G467" s="12" t="s">
        <v>68</v>
      </c>
      <c r="H467" s="12" t="s">
        <v>154</v>
      </c>
      <c r="I467" s="12" t="s">
        <v>155</v>
      </c>
      <c r="J467" s="17" t="s">
        <v>2783</v>
      </c>
      <c r="K467" s="18" t="s">
        <v>2784</v>
      </c>
      <c r="L467" s="20">
        <v>45930.0</v>
      </c>
      <c r="M467" s="17" t="s">
        <v>28</v>
      </c>
      <c r="N467" s="17" t="s">
        <v>2927</v>
      </c>
      <c r="O467" s="17">
        <v>4.4133227E7</v>
      </c>
      <c r="P467" s="17" t="s">
        <v>2928</v>
      </c>
      <c r="Q467" s="17"/>
      <c r="S467" s="17" t="s">
        <v>2928</v>
      </c>
      <c r="U467" s="24"/>
      <c r="V467" s="24"/>
      <c r="W467" s="18" t="s">
        <v>92</v>
      </c>
    </row>
    <row r="468">
      <c r="A468" s="11"/>
      <c r="B468" s="12" t="s">
        <v>34</v>
      </c>
      <c r="C468" s="12" t="s">
        <v>65</v>
      </c>
      <c r="D468" s="12" t="s">
        <v>102</v>
      </c>
      <c r="E468" s="12" t="s">
        <v>152</v>
      </c>
      <c r="F468" s="13" t="s">
        <v>153</v>
      </c>
      <c r="G468" s="12" t="s">
        <v>68</v>
      </c>
      <c r="H468" s="12" t="s">
        <v>154</v>
      </c>
      <c r="I468" s="12" t="s">
        <v>155</v>
      </c>
      <c r="J468" s="17" t="s">
        <v>2783</v>
      </c>
      <c r="K468" s="18" t="s">
        <v>2784</v>
      </c>
      <c r="L468" s="20">
        <v>45930.0</v>
      </c>
      <c r="M468" s="17" t="s">
        <v>28</v>
      </c>
      <c r="N468" s="17" t="s">
        <v>162</v>
      </c>
      <c r="O468" s="17">
        <v>7.3863257E7</v>
      </c>
      <c r="P468" s="17" t="s">
        <v>2929</v>
      </c>
      <c r="Q468" s="17"/>
      <c r="S468" s="17" t="s">
        <v>2929</v>
      </c>
      <c r="U468" s="24"/>
      <c r="V468" s="24"/>
      <c r="W468" s="18" t="s">
        <v>92</v>
      </c>
    </row>
    <row r="469">
      <c r="A469" s="11"/>
      <c r="B469" s="12" t="s">
        <v>34</v>
      </c>
      <c r="C469" s="12" t="s">
        <v>65</v>
      </c>
      <c r="D469" s="12" t="s">
        <v>102</v>
      </c>
      <c r="E469" s="12" t="s">
        <v>152</v>
      </c>
      <c r="F469" s="13" t="s">
        <v>153</v>
      </c>
      <c r="G469" s="12" t="s">
        <v>68</v>
      </c>
      <c r="H469" s="12" t="s">
        <v>154</v>
      </c>
      <c r="I469" s="12" t="s">
        <v>155</v>
      </c>
      <c r="J469" s="17" t="s">
        <v>2783</v>
      </c>
      <c r="K469" s="18" t="s">
        <v>2784</v>
      </c>
      <c r="L469" s="20">
        <v>45930.0</v>
      </c>
      <c r="M469" s="17" t="s">
        <v>28</v>
      </c>
      <c r="N469" s="17" t="s">
        <v>159</v>
      </c>
      <c r="O469" s="17">
        <v>4.430032E7</v>
      </c>
      <c r="P469" s="17" t="s">
        <v>160</v>
      </c>
      <c r="Q469" s="17" t="s">
        <v>108</v>
      </c>
      <c r="R469" s="17" t="s">
        <v>109</v>
      </c>
      <c r="S469" s="17" t="s">
        <v>161</v>
      </c>
      <c r="U469" s="24"/>
      <c r="V469" s="24"/>
      <c r="W469" s="18" t="s">
        <v>92</v>
      </c>
    </row>
    <row r="470">
      <c r="A470" s="11"/>
      <c r="B470" s="12" t="s">
        <v>34</v>
      </c>
      <c r="C470" s="12" t="s">
        <v>65</v>
      </c>
      <c r="D470" s="12" t="s">
        <v>102</v>
      </c>
      <c r="E470" s="12" t="s">
        <v>152</v>
      </c>
      <c r="F470" s="13" t="s">
        <v>153</v>
      </c>
      <c r="G470" s="12" t="s">
        <v>68</v>
      </c>
      <c r="H470" s="12" t="s">
        <v>154</v>
      </c>
      <c r="I470" s="12" t="s">
        <v>155</v>
      </c>
      <c r="J470" s="17" t="s">
        <v>2783</v>
      </c>
      <c r="K470" s="18" t="s">
        <v>2784</v>
      </c>
      <c r="L470" s="20">
        <v>45930.0</v>
      </c>
      <c r="M470" s="17" t="s">
        <v>28</v>
      </c>
      <c r="N470" s="17" t="s">
        <v>2861</v>
      </c>
      <c r="O470" s="17">
        <v>7.7332588E7</v>
      </c>
      <c r="P470" s="17" t="s">
        <v>2862</v>
      </c>
      <c r="Q470" s="17" t="s">
        <v>108</v>
      </c>
      <c r="R470" s="17" t="s">
        <v>109</v>
      </c>
      <c r="S470" s="17" t="s">
        <v>2863</v>
      </c>
      <c r="U470" s="24"/>
      <c r="V470" s="24"/>
      <c r="W470" s="18" t="s">
        <v>92</v>
      </c>
    </row>
    <row r="471">
      <c r="A471" s="11"/>
      <c r="B471" s="12" t="s">
        <v>34</v>
      </c>
      <c r="C471" s="12" t="s">
        <v>65</v>
      </c>
      <c r="D471" s="12" t="s">
        <v>102</v>
      </c>
      <c r="E471" s="12" t="s">
        <v>152</v>
      </c>
      <c r="F471" s="13" t="s">
        <v>153</v>
      </c>
      <c r="G471" s="12" t="s">
        <v>68</v>
      </c>
      <c r="H471" s="12" t="s">
        <v>154</v>
      </c>
      <c r="I471" s="12" t="s">
        <v>155</v>
      </c>
      <c r="J471" s="17" t="s">
        <v>2783</v>
      </c>
      <c r="K471" s="18" t="s">
        <v>2784</v>
      </c>
      <c r="L471" s="20">
        <v>45930.0</v>
      </c>
      <c r="M471" s="17" t="s">
        <v>28</v>
      </c>
      <c r="N471" s="17" t="s">
        <v>2879</v>
      </c>
      <c r="O471" s="17">
        <v>7.4089744E7</v>
      </c>
      <c r="P471" s="17" t="s">
        <v>2880</v>
      </c>
      <c r="Q471" s="17" t="s">
        <v>112</v>
      </c>
      <c r="R471" s="17" t="s">
        <v>113</v>
      </c>
      <c r="S471" s="17" t="s">
        <v>2881</v>
      </c>
      <c r="U471" s="24"/>
      <c r="V471" s="24"/>
      <c r="W471" s="18" t="s">
        <v>92</v>
      </c>
    </row>
    <row r="472">
      <c r="A472" s="11"/>
      <c r="B472" s="12" t="s">
        <v>34</v>
      </c>
      <c r="C472" s="12" t="s">
        <v>65</v>
      </c>
      <c r="D472" s="12" t="s">
        <v>102</v>
      </c>
      <c r="E472" s="12" t="s">
        <v>152</v>
      </c>
      <c r="F472" s="13" t="s">
        <v>153</v>
      </c>
      <c r="G472" s="12" t="s">
        <v>68</v>
      </c>
      <c r="H472" s="12" t="s">
        <v>154</v>
      </c>
      <c r="I472" s="12" t="s">
        <v>155</v>
      </c>
      <c r="J472" s="17" t="s">
        <v>2783</v>
      </c>
      <c r="K472" s="18" t="s">
        <v>2784</v>
      </c>
      <c r="L472" s="20">
        <v>45930.0</v>
      </c>
      <c r="M472" s="17" t="s">
        <v>28</v>
      </c>
      <c r="N472" s="17" t="s">
        <v>2855</v>
      </c>
      <c r="O472" s="17">
        <v>4.0377056E7</v>
      </c>
      <c r="P472" s="17" t="s">
        <v>2856</v>
      </c>
      <c r="Q472" s="17" t="s">
        <v>73</v>
      </c>
      <c r="R472" s="17" t="s">
        <v>74</v>
      </c>
      <c r="S472" s="17" t="s">
        <v>2857</v>
      </c>
      <c r="U472" s="24"/>
      <c r="V472" s="24"/>
      <c r="W472" s="18" t="s">
        <v>92</v>
      </c>
    </row>
    <row r="473">
      <c r="A473" s="11"/>
      <c r="B473" s="44" t="s">
        <v>34</v>
      </c>
      <c r="C473" s="44" t="s">
        <v>65</v>
      </c>
      <c r="D473" s="44" t="s">
        <v>102</v>
      </c>
      <c r="E473" s="44" t="s">
        <v>152</v>
      </c>
      <c r="F473" s="45" t="s">
        <v>153</v>
      </c>
      <c r="G473" s="44" t="s">
        <v>68</v>
      </c>
      <c r="H473" s="44" t="s">
        <v>154</v>
      </c>
      <c r="I473" s="44" t="s">
        <v>155</v>
      </c>
      <c r="J473" s="46" t="s">
        <v>2783</v>
      </c>
      <c r="K473" s="51" t="s">
        <v>2784</v>
      </c>
      <c r="L473" s="118">
        <v>45930.0</v>
      </c>
      <c r="M473" s="46" t="s">
        <v>28</v>
      </c>
      <c r="N473" s="17" t="s">
        <v>2930</v>
      </c>
      <c r="O473" s="17">
        <v>4.7319804E7</v>
      </c>
      <c r="P473" s="17"/>
      <c r="Q473" s="17"/>
      <c r="S473" s="17"/>
      <c r="U473" s="24"/>
      <c r="V473" s="24"/>
      <c r="W473" s="18" t="s">
        <v>92</v>
      </c>
    </row>
    <row r="474">
      <c r="A474" s="11"/>
      <c r="B474" s="12" t="s">
        <v>34</v>
      </c>
      <c r="C474" s="12" t="s">
        <v>65</v>
      </c>
      <c r="D474" s="12" t="s">
        <v>102</v>
      </c>
      <c r="E474" s="12" t="s">
        <v>152</v>
      </c>
      <c r="F474" s="13" t="s">
        <v>153</v>
      </c>
      <c r="G474" s="12" t="s">
        <v>68</v>
      </c>
      <c r="H474" s="12" t="s">
        <v>154</v>
      </c>
      <c r="I474" s="12" t="s">
        <v>155</v>
      </c>
      <c r="J474" s="17" t="s">
        <v>2783</v>
      </c>
      <c r="K474" s="18" t="s">
        <v>2784</v>
      </c>
      <c r="L474" s="20">
        <v>45930.0</v>
      </c>
      <c r="M474" s="17" t="s">
        <v>28</v>
      </c>
      <c r="N474" s="17" t="s">
        <v>2858</v>
      </c>
      <c r="O474" s="17">
        <v>4.5570873E7</v>
      </c>
      <c r="P474" s="17" t="s">
        <v>2859</v>
      </c>
      <c r="Q474" s="17" t="s">
        <v>108</v>
      </c>
      <c r="R474" s="17" t="s">
        <v>109</v>
      </c>
      <c r="S474" s="17" t="s">
        <v>2860</v>
      </c>
      <c r="U474" s="24"/>
      <c r="V474" s="24"/>
      <c r="W474" s="18" t="s">
        <v>92</v>
      </c>
    </row>
    <row r="475">
      <c r="A475" s="11"/>
      <c r="B475" s="12" t="s">
        <v>34</v>
      </c>
      <c r="C475" s="12" t="s">
        <v>65</v>
      </c>
      <c r="D475" s="12" t="s">
        <v>102</v>
      </c>
      <c r="E475" s="12" t="s">
        <v>152</v>
      </c>
      <c r="F475" s="13" t="s">
        <v>153</v>
      </c>
      <c r="G475" s="12" t="s">
        <v>68</v>
      </c>
      <c r="H475" s="12" t="s">
        <v>154</v>
      </c>
      <c r="I475" s="12" t="s">
        <v>155</v>
      </c>
      <c r="J475" s="17" t="s">
        <v>2783</v>
      </c>
      <c r="K475" s="18" t="s">
        <v>2784</v>
      </c>
      <c r="L475" s="20">
        <v>45930.0</v>
      </c>
      <c r="M475" s="17" t="s">
        <v>28</v>
      </c>
      <c r="N475" s="17" t="s">
        <v>2873</v>
      </c>
      <c r="O475" s="17">
        <v>7.3392735E7</v>
      </c>
      <c r="P475" s="17" t="s">
        <v>2874</v>
      </c>
      <c r="Q475" s="17" t="s">
        <v>73</v>
      </c>
      <c r="R475" s="17" t="s">
        <v>74</v>
      </c>
      <c r="S475" s="17" t="s">
        <v>2875</v>
      </c>
      <c r="U475" s="24"/>
      <c r="V475" s="24"/>
      <c r="W475" s="18" t="s">
        <v>92</v>
      </c>
    </row>
    <row r="476">
      <c r="A476" s="11"/>
      <c r="B476" s="12" t="s">
        <v>34</v>
      </c>
      <c r="C476" s="12" t="s">
        <v>65</v>
      </c>
      <c r="D476" s="12" t="s">
        <v>102</v>
      </c>
      <c r="E476" s="12" t="s">
        <v>152</v>
      </c>
      <c r="F476" s="13" t="s">
        <v>153</v>
      </c>
      <c r="G476" s="12" t="s">
        <v>68</v>
      </c>
      <c r="H476" s="12" t="s">
        <v>154</v>
      </c>
      <c r="I476" s="12" t="s">
        <v>155</v>
      </c>
      <c r="J476" s="17" t="s">
        <v>2783</v>
      </c>
      <c r="K476" s="18" t="s">
        <v>2784</v>
      </c>
      <c r="L476" s="20">
        <v>45930.0</v>
      </c>
      <c r="M476" s="17" t="s">
        <v>28</v>
      </c>
      <c r="N476" s="17" t="s">
        <v>2911</v>
      </c>
      <c r="O476" s="17">
        <v>7.1935328E7</v>
      </c>
      <c r="P476" s="17" t="s">
        <v>2912</v>
      </c>
      <c r="Q476" s="17" t="s">
        <v>73</v>
      </c>
      <c r="R476" s="17" t="s">
        <v>74</v>
      </c>
      <c r="S476" s="17" t="s">
        <v>2913</v>
      </c>
      <c r="U476" s="24"/>
      <c r="V476" s="24"/>
      <c r="W476" s="18" t="s">
        <v>92</v>
      </c>
    </row>
    <row r="477">
      <c r="A477" s="11"/>
      <c r="B477" s="12" t="s">
        <v>34</v>
      </c>
      <c r="C477" s="12" t="s">
        <v>65</v>
      </c>
      <c r="D477" s="12" t="s">
        <v>102</v>
      </c>
      <c r="E477" s="12" t="s">
        <v>152</v>
      </c>
      <c r="F477" s="13" t="s">
        <v>153</v>
      </c>
      <c r="G477" s="12" t="s">
        <v>68</v>
      </c>
      <c r="H477" s="12" t="s">
        <v>154</v>
      </c>
      <c r="I477" s="12" t="s">
        <v>155</v>
      </c>
      <c r="J477" s="17" t="s">
        <v>2783</v>
      </c>
      <c r="K477" s="18" t="s">
        <v>2784</v>
      </c>
      <c r="L477" s="20">
        <v>45930.0</v>
      </c>
      <c r="M477" s="17" t="s">
        <v>28</v>
      </c>
      <c r="N477" s="17" t="s">
        <v>2896</v>
      </c>
      <c r="O477" s="17">
        <v>6.0089131E7</v>
      </c>
      <c r="P477" s="17" t="s">
        <v>2897</v>
      </c>
      <c r="Q477" s="17" t="s">
        <v>108</v>
      </c>
      <c r="R477" s="17" t="s">
        <v>109</v>
      </c>
      <c r="S477" s="17" t="s">
        <v>2898</v>
      </c>
      <c r="U477" s="24"/>
      <c r="V477" s="24"/>
      <c r="W477" s="18" t="s">
        <v>92</v>
      </c>
    </row>
    <row r="478">
      <c r="A478" s="11"/>
      <c r="B478" s="12" t="s">
        <v>34</v>
      </c>
      <c r="C478" s="12" t="s">
        <v>65</v>
      </c>
      <c r="D478" s="12" t="s">
        <v>102</v>
      </c>
      <c r="E478" s="12" t="s">
        <v>152</v>
      </c>
      <c r="F478" s="13" t="s">
        <v>153</v>
      </c>
      <c r="G478" s="12" t="s">
        <v>68</v>
      </c>
      <c r="H478" s="12" t="s">
        <v>154</v>
      </c>
      <c r="I478" s="12" t="s">
        <v>155</v>
      </c>
      <c r="J478" s="17" t="s">
        <v>2783</v>
      </c>
      <c r="K478" s="18" t="s">
        <v>2784</v>
      </c>
      <c r="L478" s="20">
        <v>45930.0</v>
      </c>
      <c r="M478" s="17" t="s">
        <v>28</v>
      </c>
      <c r="N478" s="17" t="s">
        <v>2891</v>
      </c>
      <c r="O478" s="17">
        <v>7.4853878E7</v>
      </c>
      <c r="P478" s="17" t="s">
        <v>2892</v>
      </c>
      <c r="Q478" s="17" t="s">
        <v>108</v>
      </c>
      <c r="R478" s="17" t="s">
        <v>109</v>
      </c>
      <c r="S478" s="17" t="s">
        <v>2893</v>
      </c>
      <c r="U478" s="24"/>
      <c r="V478" s="24"/>
      <c r="W478" s="18" t="s">
        <v>92</v>
      </c>
    </row>
    <row r="479">
      <c r="A479" s="11"/>
      <c r="B479" s="12" t="s">
        <v>34</v>
      </c>
      <c r="C479" s="12" t="s">
        <v>65</v>
      </c>
      <c r="D479" s="12" t="s">
        <v>102</v>
      </c>
      <c r="E479" s="12" t="s">
        <v>152</v>
      </c>
      <c r="F479" s="13" t="s">
        <v>153</v>
      </c>
      <c r="G479" s="12" t="s">
        <v>68</v>
      </c>
      <c r="H479" s="12" t="s">
        <v>154</v>
      </c>
      <c r="I479" s="12" t="s">
        <v>155</v>
      </c>
      <c r="J479" s="17" t="s">
        <v>2783</v>
      </c>
      <c r="K479" s="18" t="s">
        <v>2784</v>
      </c>
      <c r="L479" s="20">
        <v>45930.0</v>
      </c>
      <c r="M479" s="17" t="s">
        <v>28</v>
      </c>
      <c r="N479" s="17" t="s">
        <v>2882</v>
      </c>
      <c r="O479" s="17">
        <v>7.2125048E7</v>
      </c>
      <c r="P479" s="17" t="s">
        <v>2883</v>
      </c>
      <c r="Q479" s="17" t="s">
        <v>73</v>
      </c>
      <c r="R479" s="17" t="s">
        <v>74</v>
      </c>
      <c r="S479" s="17" t="s">
        <v>2884</v>
      </c>
      <c r="U479" s="24"/>
      <c r="V479" s="24"/>
      <c r="W479" s="18" t="s">
        <v>92</v>
      </c>
    </row>
    <row r="480">
      <c r="A480" s="11"/>
      <c r="B480" s="44" t="s">
        <v>34</v>
      </c>
      <c r="C480" s="44" t="s">
        <v>65</v>
      </c>
      <c r="D480" s="44" t="s">
        <v>102</v>
      </c>
      <c r="E480" s="44" t="s">
        <v>152</v>
      </c>
      <c r="F480" s="45" t="s">
        <v>153</v>
      </c>
      <c r="G480" s="44" t="s">
        <v>68</v>
      </c>
      <c r="H480" s="44" t="s">
        <v>154</v>
      </c>
      <c r="I480" s="44" t="s">
        <v>155</v>
      </c>
      <c r="J480" s="46" t="s">
        <v>2783</v>
      </c>
      <c r="K480" s="51" t="s">
        <v>2784</v>
      </c>
      <c r="L480" s="118">
        <v>45930.0</v>
      </c>
      <c r="M480" s="48" t="s">
        <v>23</v>
      </c>
      <c r="N480" s="17" t="s">
        <v>2914</v>
      </c>
      <c r="O480" s="17">
        <v>4.1053875E7</v>
      </c>
      <c r="P480" s="17"/>
      <c r="Q480" s="17" t="s">
        <v>108</v>
      </c>
      <c r="R480" s="17" t="s">
        <v>109</v>
      </c>
      <c r="S480" s="17" t="s">
        <v>2198</v>
      </c>
      <c r="U480" s="24"/>
      <c r="V480" s="24"/>
      <c r="W480" s="18" t="s">
        <v>92</v>
      </c>
    </row>
    <row r="481">
      <c r="A481" s="11"/>
      <c r="B481" s="44" t="s">
        <v>34</v>
      </c>
      <c r="C481" s="44" t="s">
        <v>65</v>
      </c>
      <c r="D481" s="44" t="s">
        <v>102</v>
      </c>
      <c r="E481" s="44" t="s">
        <v>152</v>
      </c>
      <c r="F481" s="45" t="s">
        <v>153</v>
      </c>
      <c r="G481" s="44" t="s">
        <v>68</v>
      </c>
      <c r="H481" s="44" t="s">
        <v>154</v>
      </c>
      <c r="I481" s="44" t="s">
        <v>155</v>
      </c>
      <c r="J481" s="46" t="s">
        <v>2783</v>
      </c>
      <c r="K481" s="51" t="s">
        <v>2784</v>
      </c>
      <c r="L481" s="118">
        <v>45930.0</v>
      </c>
      <c r="M481" s="48" t="s">
        <v>23</v>
      </c>
      <c r="N481" s="17" t="s">
        <v>2915</v>
      </c>
      <c r="O481" s="17">
        <v>4.1175143E7</v>
      </c>
      <c r="P481" s="17"/>
      <c r="Q481" s="17" t="s">
        <v>112</v>
      </c>
      <c r="R481" s="17" t="s">
        <v>113</v>
      </c>
      <c r="S481" s="17" t="s">
        <v>2220</v>
      </c>
      <c r="U481" s="24"/>
      <c r="V481" s="24"/>
      <c r="W481" s="18" t="s">
        <v>92</v>
      </c>
    </row>
    <row r="482">
      <c r="A482" s="11"/>
      <c r="B482" s="44" t="s">
        <v>34</v>
      </c>
      <c r="C482" s="44" t="s">
        <v>65</v>
      </c>
      <c r="D482" s="44" t="s">
        <v>102</v>
      </c>
      <c r="E482" s="44" t="s">
        <v>152</v>
      </c>
      <c r="F482" s="45" t="s">
        <v>153</v>
      </c>
      <c r="G482" s="44" t="s">
        <v>68</v>
      </c>
      <c r="H482" s="44" t="s">
        <v>154</v>
      </c>
      <c r="I482" s="44" t="s">
        <v>155</v>
      </c>
      <c r="J482" s="46" t="s">
        <v>2783</v>
      </c>
      <c r="K482" s="51" t="s">
        <v>2784</v>
      </c>
      <c r="L482" s="118">
        <v>45930.0</v>
      </c>
      <c r="M482" s="48" t="s">
        <v>23</v>
      </c>
      <c r="N482" s="17" t="s">
        <v>2916</v>
      </c>
      <c r="O482" s="17">
        <v>7.644451E7</v>
      </c>
      <c r="P482" s="17"/>
      <c r="Q482" s="17" t="s">
        <v>73</v>
      </c>
      <c r="R482" s="17" t="s">
        <v>74</v>
      </c>
      <c r="S482" s="17" t="s">
        <v>2202</v>
      </c>
      <c r="U482" s="24"/>
      <c r="V482" s="24"/>
      <c r="W482" s="18" t="s">
        <v>92</v>
      </c>
    </row>
    <row r="483">
      <c r="A483" s="11"/>
      <c r="B483" s="44" t="s">
        <v>34</v>
      </c>
      <c r="C483" s="44" t="s">
        <v>65</v>
      </c>
      <c r="D483" s="44" t="s">
        <v>102</v>
      </c>
      <c r="E483" s="44" t="s">
        <v>152</v>
      </c>
      <c r="F483" s="45" t="s">
        <v>153</v>
      </c>
      <c r="G483" s="44" t="s">
        <v>68</v>
      </c>
      <c r="H483" s="44" t="s">
        <v>154</v>
      </c>
      <c r="I483" s="44" t="s">
        <v>155</v>
      </c>
      <c r="J483" s="48" t="s">
        <v>2687</v>
      </c>
      <c r="K483" s="117">
        <v>1.0</v>
      </c>
      <c r="L483" s="22">
        <v>45902.0</v>
      </c>
      <c r="M483" s="48" t="s">
        <v>23</v>
      </c>
      <c r="N483" s="17" t="s">
        <v>2914</v>
      </c>
      <c r="O483" s="17">
        <v>4.1053875E7</v>
      </c>
      <c r="P483" s="17"/>
      <c r="Q483" s="17" t="s">
        <v>108</v>
      </c>
      <c r="R483" s="17" t="s">
        <v>109</v>
      </c>
      <c r="S483" s="17" t="s">
        <v>2198</v>
      </c>
      <c r="U483" s="24"/>
      <c r="V483" s="24"/>
      <c r="W483" s="18" t="s">
        <v>92</v>
      </c>
    </row>
    <row r="484">
      <c r="A484" s="11"/>
      <c r="B484" s="44" t="s">
        <v>34</v>
      </c>
      <c r="C484" s="44" t="s">
        <v>65</v>
      </c>
      <c r="D484" s="44" t="s">
        <v>102</v>
      </c>
      <c r="E484" s="44" t="s">
        <v>152</v>
      </c>
      <c r="F484" s="45" t="s">
        <v>153</v>
      </c>
      <c r="G484" s="44" t="s">
        <v>68</v>
      </c>
      <c r="H484" s="44" t="s">
        <v>154</v>
      </c>
      <c r="I484" s="44" t="s">
        <v>155</v>
      </c>
      <c r="J484" s="48" t="s">
        <v>2687</v>
      </c>
      <c r="K484" s="117">
        <v>1.0</v>
      </c>
      <c r="L484" s="22">
        <v>45902.0</v>
      </c>
      <c r="M484" s="48" t="s">
        <v>23</v>
      </c>
      <c r="N484" s="17" t="s">
        <v>2915</v>
      </c>
      <c r="O484" s="17">
        <v>4.1175143E7</v>
      </c>
      <c r="P484" s="17"/>
      <c r="Q484" s="17" t="s">
        <v>112</v>
      </c>
      <c r="R484" s="17" t="s">
        <v>113</v>
      </c>
      <c r="S484" s="17" t="s">
        <v>2220</v>
      </c>
      <c r="U484" s="24"/>
      <c r="V484" s="24"/>
      <c r="W484" s="18" t="s">
        <v>92</v>
      </c>
    </row>
    <row r="485">
      <c r="A485" s="11"/>
      <c r="B485" s="44" t="s">
        <v>34</v>
      </c>
      <c r="C485" s="44" t="s">
        <v>65</v>
      </c>
      <c r="D485" s="44" t="s">
        <v>102</v>
      </c>
      <c r="E485" s="44" t="s">
        <v>152</v>
      </c>
      <c r="F485" s="45" t="s">
        <v>153</v>
      </c>
      <c r="G485" s="44" t="s">
        <v>68</v>
      </c>
      <c r="H485" s="44" t="s">
        <v>154</v>
      </c>
      <c r="I485" s="44" t="s">
        <v>155</v>
      </c>
      <c r="J485" s="48" t="s">
        <v>2687</v>
      </c>
      <c r="K485" s="117">
        <v>1.0</v>
      </c>
      <c r="L485" s="22">
        <v>45902.0</v>
      </c>
      <c r="M485" s="48" t="s">
        <v>23</v>
      </c>
      <c r="N485" s="17" t="s">
        <v>2916</v>
      </c>
      <c r="O485" s="17">
        <v>7.644451E7</v>
      </c>
      <c r="P485" s="17"/>
      <c r="Q485" s="17" t="s">
        <v>73</v>
      </c>
      <c r="R485" s="17" t="s">
        <v>74</v>
      </c>
      <c r="S485" s="17" t="s">
        <v>2202</v>
      </c>
      <c r="U485" s="24"/>
      <c r="V485" s="24"/>
      <c r="W485" s="18" t="s">
        <v>92</v>
      </c>
    </row>
    <row r="486">
      <c r="A486" s="11"/>
      <c r="B486" s="12" t="s">
        <v>34</v>
      </c>
      <c r="C486" s="12" t="s">
        <v>65</v>
      </c>
      <c r="D486" s="12" t="s">
        <v>102</v>
      </c>
      <c r="E486" s="12" t="s">
        <v>152</v>
      </c>
      <c r="F486" s="13" t="s">
        <v>153</v>
      </c>
      <c r="G486" s="12" t="s">
        <v>68</v>
      </c>
      <c r="H486" s="12" t="s">
        <v>154</v>
      </c>
      <c r="I486" s="12" t="s">
        <v>155</v>
      </c>
      <c r="J486" s="17" t="s">
        <v>2796</v>
      </c>
      <c r="K486" s="18" t="s">
        <v>2797</v>
      </c>
      <c r="L486" s="20">
        <v>45960.0</v>
      </c>
      <c r="M486" s="17" t="s">
        <v>28</v>
      </c>
      <c r="N486" s="17" t="s">
        <v>2888</v>
      </c>
      <c r="O486" s="17">
        <v>7.2569965E7</v>
      </c>
      <c r="P486" s="17" t="s">
        <v>2889</v>
      </c>
      <c r="Q486" s="17" t="s">
        <v>108</v>
      </c>
      <c r="R486" s="17" t="s">
        <v>109</v>
      </c>
      <c r="S486" s="17" t="s">
        <v>2890</v>
      </c>
      <c r="U486" s="24"/>
      <c r="V486" s="24"/>
      <c r="W486" s="18" t="s">
        <v>92</v>
      </c>
    </row>
    <row r="487">
      <c r="A487" s="43"/>
      <c r="B487" s="44" t="s">
        <v>34</v>
      </c>
      <c r="C487" s="44" t="s">
        <v>65</v>
      </c>
      <c r="D487" s="44" t="s">
        <v>102</v>
      </c>
      <c r="E487" s="44" t="s">
        <v>152</v>
      </c>
      <c r="F487" s="45" t="s">
        <v>153</v>
      </c>
      <c r="G487" s="44" t="s">
        <v>68</v>
      </c>
      <c r="H487" s="44" t="s">
        <v>154</v>
      </c>
      <c r="I487" s="44" t="s">
        <v>155</v>
      </c>
      <c r="J487" s="17" t="s">
        <v>2796</v>
      </c>
      <c r="K487" s="18" t="s">
        <v>2797</v>
      </c>
      <c r="L487" s="20">
        <v>45960.0</v>
      </c>
      <c r="M487" s="46" t="s">
        <v>28</v>
      </c>
      <c r="N487" s="46" t="s">
        <v>159</v>
      </c>
      <c r="O487" s="47">
        <v>4.430032E7</v>
      </c>
      <c r="P487" s="46" t="s">
        <v>160</v>
      </c>
      <c r="Q487" s="46" t="s">
        <v>108</v>
      </c>
      <c r="R487" s="46" t="s">
        <v>109</v>
      </c>
      <c r="S487" s="46" t="s">
        <v>161</v>
      </c>
      <c r="T487" s="21"/>
      <c r="U487" s="21"/>
      <c r="V487" s="21"/>
      <c r="W487" s="51" t="s">
        <v>92</v>
      </c>
    </row>
    <row r="488">
      <c r="A488" s="11"/>
      <c r="B488" s="12" t="s">
        <v>34</v>
      </c>
      <c r="C488" s="12" t="s">
        <v>65</v>
      </c>
      <c r="D488" s="12" t="s">
        <v>102</v>
      </c>
      <c r="E488" s="12" t="s">
        <v>152</v>
      </c>
      <c r="F488" s="13" t="s">
        <v>153</v>
      </c>
      <c r="G488" s="12" t="s">
        <v>68</v>
      </c>
      <c r="H488" s="12" t="s">
        <v>154</v>
      </c>
      <c r="I488" s="12" t="s">
        <v>155</v>
      </c>
      <c r="J488" s="17" t="s">
        <v>2796</v>
      </c>
      <c r="K488" s="18" t="s">
        <v>2797</v>
      </c>
      <c r="L488" s="20">
        <v>45960.0</v>
      </c>
      <c r="M488" s="17" t="s">
        <v>28</v>
      </c>
      <c r="N488" s="17" t="s">
        <v>2899</v>
      </c>
      <c r="O488" s="17">
        <v>4.5368098E7</v>
      </c>
      <c r="P488" s="17" t="s">
        <v>2900</v>
      </c>
      <c r="Q488" s="17" t="s">
        <v>108</v>
      </c>
      <c r="R488" s="17" t="s">
        <v>109</v>
      </c>
      <c r="S488" s="17" t="s">
        <v>2920</v>
      </c>
      <c r="U488" s="24"/>
      <c r="V488" s="24"/>
      <c r="W488" s="18" t="s">
        <v>92</v>
      </c>
    </row>
    <row r="489">
      <c r="A489" s="11"/>
      <c r="B489" s="12" t="s">
        <v>34</v>
      </c>
      <c r="C489" s="12" t="s">
        <v>65</v>
      </c>
      <c r="D489" s="12" t="s">
        <v>102</v>
      </c>
      <c r="E489" s="12" t="s">
        <v>152</v>
      </c>
      <c r="F489" s="13" t="s">
        <v>153</v>
      </c>
      <c r="G489" s="12" t="s">
        <v>68</v>
      </c>
      <c r="H489" s="12" t="s">
        <v>154</v>
      </c>
      <c r="I489" s="12" t="s">
        <v>155</v>
      </c>
      <c r="J489" s="17" t="s">
        <v>2796</v>
      </c>
      <c r="K489" s="18" t="s">
        <v>2797</v>
      </c>
      <c r="L489" s="20">
        <v>45960.0</v>
      </c>
      <c r="M489" s="17" t="s">
        <v>28</v>
      </c>
      <c r="N489" s="17" t="s">
        <v>156</v>
      </c>
      <c r="O489" s="17">
        <v>7.2125097E7</v>
      </c>
      <c r="P489" s="17" t="s">
        <v>157</v>
      </c>
      <c r="Q489" s="17" t="s">
        <v>112</v>
      </c>
      <c r="R489" s="17" t="s">
        <v>113</v>
      </c>
      <c r="S489" s="17" t="s">
        <v>158</v>
      </c>
      <c r="U489" s="24"/>
      <c r="V489" s="24"/>
      <c r="W489" s="18" t="s">
        <v>92</v>
      </c>
    </row>
    <row r="490">
      <c r="A490" s="11"/>
      <c r="B490" s="12" t="s">
        <v>34</v>
      </c>
      <c r="C490" s="12" t="s">
        <v>65</v>
      </c>
      <c r="D490" s="12" t="s">
        <v>102</v>
      </c>
      <c r="E490" s="12" t="s">
        <v>152</v>
      </c>
      <c r="F490" s="13" t="s">
        <v>153</v>
      </c>
      <c r="G490" s="12" t="s">
        <v>68</v>
      </c>
      <c r="H490" s="12" t="s">
        <v>154</v>
      </c>
      <c r="I490" s="12" t="s">
        <v>155</v>
      </c>
      <c r="J490" s="17" t="s">
        <v>2796</v>
      </c>
      <c r="K490" s="18" t="s">
        <v>2797</v>
      </c>
      <c r="L490" s="20">
        <v>45960.0</v>
      </c>
      <c r="M490" s="17" t="s">
        <v>28</v>
      </c>
      <c r="N490" s="17" t="s">
        <v>2917</v>
      </c>
      <c r="O490" s="17">
        <v>7.3392767E7</v>
      </c>
      <c r="P490" s="17" t="s">
        <v>2918</v>
      </c>
      <c r="Q490" s="17" t="s">
        <v>108</v>
      </c>
      <c r="R490" s="17" t="s">
        <v>109</v>
      </c>
      <c r="S490" s="17" t="s">
        <v>2919</v>
      </c>
      <c r="U490" s="24"/>
      <c r="V490" s="24"/>
      <c r="W490" s="18" t="s">
        <v>92</v>
      </c>
    </row>
    <row r="491">
      <c r="A491" s="11"/>
      <c r="B491" s="12" t="s">
        <v>34</v>
      </c>
      <c r="C491" s="12" t="s">
        <v>65</v>
      </c>
      <c r="D491" s="12" t="s">
        <v>102</v>
      </c>
      <c r="E491" s="12" t="s">
        <v>152</v>
      </c>
      <c r="F491" s="13" t="s">
        <v>153</v>
      </c>
      <c r="G491" s="12" t="s">
        <v>68</v>
      </c>
      <c r="H491" s="12" t="s">
        <v>154</v>
      </c>
      <c r="I491" s="12" t="s">
        <v>155</v>
      </c>
      <c r="J491" s="17" t="s">
        <v>2796</v>
      </c>
      <c r="K491" s="18" t="s">
        <v>2797</v>
      </c>
      <c r="L491" s="20">
        <v>45960.0</v>
      </c>
      <c r="M491" s="17" t="s">
        <v>28</v>
      </c>
      <c r="N491" s="17" t="s">
        <v>162</v>
      </c>
      <c r="O491" s="17">
        <v>7.3863257E7</v>
      </c>
      <c r="P491" s="17" t="s">
        <v>163</v>
      </c>
      <c r="Q491" s="17" t="s">
        <v>108</v>
      </c>
      <c r="R491" s="17" t="s">
        <v>109</v>
      </c>
      <c r="S491" s="17" t="s">
        <v>164</v>
      </c>
      <c r="U491" s="24"/>
      <c r="V491" s="24"/>
      <c r="W491" s="18" t="s">
        <v>92</v>
      </c>
    </row>
    <row r="492">
      <c r="A492" s="11"/>
      <c r="B492" s="12" t="s">
        <v>34</v>
      </c>
      <c r="C492" s="12" t="s">
        <v>65</v>
      </c>
      <c r="D492" s="12" t="s">
        <v>102</v>
      </c>
      <c r="E492" s="12" t="s">
        <v>152</v>
      </c>
      <c r="F492" s="13" t="s">
        <v>153</v>
      </c>
      <c r="G492" s="12" t="s">
        <v>68</v>
      </c>
      <c r="H492" s="12" t="s">
        <v>154</v>
      </c>
      <c r="I492" s="12" t="s">
        <v>155</v>
      </c>
      <c r="J492" s="17" t="s">
        <v>2796</v>
      </c>
      <c r="K492" s="18" t="s">
        <v>2797</v>
      </c>
      <c r="L492" s="20">
        <v>45960.0</v>
      </c>
      <c r="M492" s="17" t="s">
        <v>28</v>
      </c>
      <c r="N492" s="17" t="s">
        <v>2931</v>
      </c>
      <c r="P492" s="17" t="s">
        <v>2932</v>
      </c>
      <c r="Q492" s="17" t="s">
        <v>108</v>
      </c>
      <c r="R492" s="17" t="s">
        <v>109</v>
      </c>
      <c r="S492" s="17" t="s">
        <v>2933</v>
      </c>
      <c r="U492" s="24"/>
      <c r="V492" s="24"/>
      <c r="W492" s="18" t="s">
        <v>92</v>
      </c>
    </row>
    <row r="493">
      <c r="A493" s="11"/>
      <c r="B493" s="12" t="s">
        <v>34</v>
      </c>
      <c r="C493" s="12" t="s">
        <v>65</v>
      </c>
      <c r="D493" s="12" t="s">
        <v>102</v>
      </c>
      <c r="E493" s="12" t="s">
        <v>152</v>
      </c>
      <c r="F493" s="13" t="s">
        <v>153</v>
      </c>
      <c r="G493" s="12" t="s">
        <v>68</v>
      </c>
      <c r="H493" s="12" t="s">
        <v>154</v>
      </c>
      <c r="I493" s="12" t="s">
        <v>155</v>
      </c>
      <c r="J493" s="17" t="s">
        <v>2796</v>
      </c>
      <c r="K493" s="18" t="s">
        <v>2797</v>
      </c>
      <c r="L493" s="20">
        <v>45960.0</v>
      </c>
      <c r="M493" s="17" t="s">
        <v>28</v>
      </c>
      <c r="N493" s="17" t="s">
        <v>2891</v>
      </c>
      <c r="O493" s="17">
        <v>7.4853878E7</v>
      </c>
      <c r="P493" s="17" t="s">
        <v>2892</v>
      </c>
      <c r="Q493" s="17" t="s">
        <v>108</v>
      </c>
      <c r="R493" s="17" t="s">
        <v>109</v>
      </c>
      <c r="S493" s="17" t="s">
        <v>2893</v>
      </c>
      <c r="U493" s="24"/>
      <c r="V493" s="24"/>
      <c r="W493" s="18" t="s">
        <v>92</v>
      </c>
    </row>
    <row r="494">
      <c r="A494" s="11"/>
      <c r="B494" s="12" t="s">
        <v>34</v>
      </c>
      <c r="C494" s="12" t="s">
        <v>65</v>
      </c>
      <c r="D494" s="12" t="s">
        <v>102</v>
      </c>
      <c r="E494" s="12" t="s">
        <v>152</v>
      </c>
      <c r="F494" s="13" t="s">
        <v>153</v>
      </c>
      <c r="G494" s="12" t="s">
        <v>68</v>
      </c>
      <c r="H494" s="12" t="s">
        <v>154</v>
      </c>
      <c r="I494" s="12" t="s">
        <v>155</v>
      </c>
      <c r="J494" s="17" t="s">
        <v>2796</v>
      </c>
      <c r="K494" s="18" t="s">
        <v>2797</v>
      </c>
      <c r="L494" s="20">
        <v>45960.0</v>
      </c>
      <c r="M494" s="48" t="s">
        <v>23</v>
      </c>
      <c r="N494" s="17" t="s">
        <v>2914</v>
      </c>
      <c r="O494" s="17">
        <v>4.1053875E7</v>
      </c>
      <c r="P494" s="17"/>
      <c r="Q494" s="17" t="s">
        <v>108</v>
      </c>
      <c r="R494" s="17" t="s">
        <v>109</v>
      </c>
      <c r="S494" s="17" t="s">
        <v>2893</v>
      </c>
      <c r="U494" s="24"/>
      <c r="V494" s="24"/>
      <c r="W494" s="18" t="s">
        <v>92</v>
      </c>
    </row>
    <row r="495">
      <c r="A495" s="11"/>
      <c r="B495" s="12" t="s">
        <v>34</v>
      </c>
      <c r="C495" s="12" t="s">
        <v>65</v>
      </c>
      <c r="D495" s="12" t="s">
        <v>102</v>
      </c>
      <c r="E495" s="12" t="s">
        <v>152</v>
      </c>
      <c r="F495" s="13" t="s">
        <v>153</v>
      </c>
      <c r="G495" s="12" t="s">
        <v>68</v>
      </c>
      <c r="H495" s="12" t="s">
        <v>154</v>
      </c>
      <c r="I495" s="12" t="s">
        <v>155</v>
      </c>
      <c r="J495" s="17" t="s">
        <v>2796</v>
      </c>
      <c r="K495" s="18" t="s">
        <v>2797</v>
      </c>
      <c r="L495" s="20">
        <v>45960.0</v>
      </c>
      <c r="M495" s="48" t="s">
        <v>23</v>
      </c>
      <c r="N495" s="17" t="s">
        <v>2915</v>
      </c>
      <c r="O495" s="17">
        <v>4.1175143E7</v>
      </c>
      <c r="P495" s="17"/>
      <c r="Q495" s="17" t="s">
        <v>112</v>
      </c>
      <c r="R495" s="17" t="s">
        <v>113</v>
      </c>
      <c r="S495" s="17" t="s">
        <v>2893</v>
      </c>
      <c r="U495" s="24"/>
      <c r="V495" s="24"/>
      <c r="W495" s="18" t="s">
        <v>92</v>
      </c>
    </row>
    <row r="496">
      <c r="A496" s="11"/>
      <c r="B496" s="12" t="s">
        <v>34</v>
      </c>
      <c r="C496" s="12" t="s">
        <v>65</v>
      </c>
      <c r="D496" s="12" t="s">
        <v>102</v>
      </c>
      <c r="E496" s="12" t="s">
        <v>152</v>
      </c>
      <c r="F496" s="13" t="s">
        <v>153</v>
      </c>
      <c r="G496" s="12" t="s">
        <v>68</v>
      </c>
      <c r="H496" s="12" t="s">
        <v>154</v>
      </c>
      <c r="I496" s="12" t="s">
        <v>155</v>
      </c>
      <c r="J496" s="17" t="s">
        <v>2796</v>
      </c>
      <c r="K496" s="18" t="s">
        <v>2797</v>
      </c>
      <c r="L496" s="20">
        <v>45960.0</v>
      </c>
      <c r="M496" s="48" t="s">
        <v>23</v>
      </c>
      <c r="N496" s="17" t="s">
        <v>2916</v>
      </c>
      <c r="O496" s="17">
        <v>7.644451E7</v>
      </c>
      <c r="P496" s="17"/>
      <c r="Q496" s="17" t="s">
        <v>73</v>
      </c>
      <c r="R496" s="17" t="s">
        <v>74</v>
      </c>
      <c r="S496" s="17" t="s">
        <v>2893</v>
      </c>
      <c r="U496" s="24"/>
      <c r="V496" s="24"/>
      <c r="W496" s="18" t="s">
        <v>92</v>
      </c>
    </row>
    <row r="497">
      <c r="A497" s="11"/>
      <c r="B497" s="44" t="s">
        <v>34</v>
      </c>
      <c r="C497" s="44" t="s">
        <v>65</v>
      </c>
      <c r="D497" s="44" t="s">
        <v>102</v>
      </c>
      <c r="E497" s="44" t="s">
        <v>152</v>
      </c>
      <c r="F497" s="45" t="s">
        <v>153</v>
      </c>
      <c r="G497" s="44" t="s">
        <v>68</v>
      </c>
      <c r="H497" s="44" t="s">
        <v>154</v>
      </c>
      <c r="I497" s="44" t="s">
        <v>155</v>
      </c>
      <c r="J497" s="48" t="s">
        <v>2687</v>
      </c>
      <c r="K497" s="117">
        <v>2.0</v>
      </c>
      <c r="L497" s="20">
        <v>45960.0</v>
      </c>
      <c r="M497" s="48" t="s">
        <v>23</v>
      </c>
      <c r="N497" s="17" t="s">
        <v>2914</v>
      </c>
      <c r="O497" s="17">
        <v>4.1053875E7</v>
      </c>
      <c r="P497" s="17"/>
      <c r="Q497" s="17" t="s">
        <v>108</v>
      </c>
      <c r="R497" s="17" t="s">
        <v>109</v>
      </c>
      <c r="S497" s="17" t="s">
        <v>2198</v>
      </c>
      <c r="U497" s="24"/>
      <c r="V497" s="24"/>
      <c r="W497" s="18" t="s">
        <v>92</v>
      </c>
    </row>
    <row r="498">
      <c r="A498" s="11"/>
      <c r="B498" s="44" t="s">
        <v>34</v>
      </c>
      <c r="C498" s="44" t="s">
        <v>65</v>
      </c>
      <c r="D498" s="44" t="s">
        <v>102</v>
      </c>
      <c r="E498" s="44" t="s">
        <v>152</v>
      </c>
      <c r="F498" s="45" t="s">
        <v>153</v>
      </c>
      <c r="G498" s="44" t="s">
        <v>68</v>
      </c>
      <c r="H498" s="44" t="s">
        <v>154</v>
      </c>
      <c r="I498" s="44" t="s">
        <v>155</v>
      </c>
      <c r="J498" s="48" t="s">
        <v>2687</v>
      </c>
      <c r="K498" s="117">
        <v>2.0</v>
      </c>
      <c r="L498" s="20">
        <v>45960.0</v>
      </c>
      <c r="M498" s="48" t="s">
        <v>23</v>
      </c>
      <c r="N498" s="17" t="s">
        <v>2915</v>
      </c>
      <c r="O498" s="17">
        <v>4.1175143E7</v>
      </c>
      <c r="P498" s="17"/>
      <c r="Q498" s="17" t="s">
        <v>112</v>
      </c>
      <c r="R498" s="17" t="s">
        <v>113</v>
      </c>
      <c r="S498" s="17" t="s">
        <v>2220</v>
      </c>
      <c r="U498" s="24"/>
      <c r="V498" s="24"/>
      <c r="W498" s="18" t="s">
        <v>92</v>
      </c>
    </row>
    <row r="499">
      <c r="A499" s="11"/>
      <c r="B499" s="44" t="s">
        <v>34</v>
      </c>
      <c r="C499" s="44" t="s">
        <v>65</v>
      </c>
      <c r="D499" s="44" t="s">
        <v>102</v>
      </c>
      <c r="E499" s="44" t="s">
        <v>152</v>
      </c>
      <c r="F499" s="45" t="s">
        <v>153</v>
      </c>
      <c r="G499" s="44" t="s">
        <v>68</v>
      </c>
      <c r="H499" s="44" t="s">
        <v>154</v>
      </c>
      <c r="I499" s="44" t="s">
        <v>155</v>
      </c>
      <c r="J499" s="48" t="s">
        <v>2687</v>
      </c>
      <c r="K499" s="117">
        <v>2.0</v>
      </c>
      <c r="L499" s="20">
        <v>45960.0</v>
      </c>
      <c r="M499" s="48" t="s">
        <v>23</v>
      </c>
      <c r="N499" s="17" t="s">
        <v>2916</v>
      </c>
      <c r="O499" s="17">
        <v>7.644451E7</v>
      </c>
      <c r="P499" s="17"/>
      <c r="Q499" s="17" t="s">
        <v>73</v>
      </c>
      <c r="R499" s="17" t="s">
        <v>74</v>
      </c>
      <c r="S499" s="17" t="s">
        <v>2202</v>
      </c>
      <c r="U499" s="24"/>
      <c r="V499" s="24"/>
      <c r="W499" s="18" t="s">
        <v>92</v>
      </c>
    </row>
    <row r="500">
      <c r="A500" s="11"/>
      <c r="B500" s="12" t="s">
        <v>34</v>
      </c>
      <c r="C500" s="12" t="s">
        <v>65</v>
      </c>
      <c r="D500" s="12" t="s">
        <v>102</v>
      </c>
      <c r="E500" s="12" t="s">
        <v>152</v>
      </c>
      <c r="F500" s="13" t="s">
        <v>153</v>
      </c>
      <c r="G500" s="12" t="s">
        <v>68</v>
      </c>
      <c r="H500" s="12" t="s">
        <v>154</v>
      </c>
      <c r="I500" s="12" t="s">
        <v>155</v>
      </c>
      <c r="J500" s="17" t="s">
        <v>2800</v>
      </c>
      <c r="K500" s="18" t="s">
        <v>2801</v>
      </c>
      <c r="L500" s="20">
        <v>45980.0</v>
      </c>
      <c r="M500" s="17" t="s">
        <v>28</v>
      </c>
      <c r="N500" s="17" t="s">
        <v>156</v>
      </c>
      <c r="O500" s="17">
        <v>7.2125097E7</v>
      </c>
      <c r="P500" s="17" t="s">
        <v>157</v>
      </c>
      <c r="Q500" s="17" t="s">
        <v>112</v>
      </c>
      <c r="R500" s="17" t="s">
        <v>113</v>
      </c>
      <c r="S500" s="17" t="s">
        <v>158</v>
      </c>
      <c r="U500" s="24"/>
      <c r="V500" s="24"/>
      <c r="W500" s="18" t="s">
        <v>92</v>
      </c>
    </row>
    <row r="501">
      <c r="A501" s="11"/>
      <c r="B501" s="12" t="s">
        <v>34</v>
      </c>
      <c r="C501" s="12" t="s">
        <v>65</v>
      </c>
      <c r="D501" s="12" t="s">
        <v>102</v>
      </c>
      <c r="E501" s="12" t="s">
        <v>152</v>
      </c>
      <c r="F501" s="13" t="s">
        <v>153</v>
      </c>
      <c r="G501" s="12" t="s">
        <v>68</v>
      </c>
      <c r="H501" s="12" t="s">
        <v>154</v>
      </c>
      <c r="I501" s="12" t="s">
        <v>155</v>
      </c>
      <c r="J501" s="17" t="s">
        <v>2800</v>
      </c>
      <c r="K501" s="18" t="s">
        <v>2801</v>
      </c>
      <c r="L501" s="20">
        <v>45980.0</v>
      </c>
      <c r="M501" s="17" t="s">
        <v>28</v>
      </c>
      <c r="N501" s="17" t="s">
        <v>159</v>
      </c>
      <c r="O501" s="17">
        <v>4.430032E7</v>
      </c>
      <c r="P501" s="17" t="s">
        <v>160</v>
      </c>
      <c r="Q501" s="17" t="s">
        <v>108</v>
      </c>
      <c r="R501" s="17" t="s">
        <v>109</v>
      </c>
      <c r="S501" s="17" t="s">
        <v>161</v>
      </c>
      <c r="U501" s="24"/>
      <c r="V501" s="24"/>
      <c r="W501" s="18" t="s">
        <v>92</v>
      </c>
    </row>
    <row r="502">
      <c r="A502" s="11"/>
      <c r="B502" s="12" t="s">
        <v>34</v>
      </c>
      <c r="C502" s="12" t="s">
        <v>65</v>
      </c>
      <c r="D502" s="12" t="s">
        <v>102</v>
      </c>
      <c r="E502" s="12" t="s">
        <v>152</v>
      </c>
      <c r="F502" s="13" t="s">
        <v>153</v>
      </c>
      <c r="G502" s="12" t="s">
        <v>68</v>
      </c>
      <c r="H502" s="12" t="s">
        <v>154</v>
      </c>
      <c r="I502" s="12" t="s">
        <v>155</v>
      </c>
      <c r="J502" s="17" t="s">
        <v>2800</v>
      </c>
      <c r="K502" s="18" t="s">
        <v>2801</v>
      </c>
      <c r="L502" s="20">
        <v>45980.0</v>
      </c>
      <c r="M502" s="17" t="s">
        <v>28</v>
      </c>
      <c r="N502" s="17" t="s">
        <v>2861</v>
      </c>
      <c r="O502" s="17">
        <v>7.7332588E7</v>
      </c>
      <c r="P502" s="17" t="s">
        <v>2862</v>
      </c>
      <c r="Q502" s="17" t="s">
        <v>108</v>
      </c>
      <c r="R502" s="17" t="s">
        <v>109</v>
      </c>
      <c r="S502" s="17" t="s">
        <v>2863</v>
      </c>
      <c r="U502" s="24"/>
      <c r="V502" s="24"/>
      <c r="W502" s="18" t="s">
        <v>92</v>
      </c>
    </row>
    <row r="503">
      <c r="A503" s="11"/>
      <c r="B503" s="12" t="s">
        <v>34</v>
      </c>
      <c r="C503" s="12" t="s">
        <v>65</v>
      </c>
      <c r="D503" s="12" t="s">
        <v>102</v>
      </c>
      <c r="E503" s="12" t="s">
        <v>152</v>
      </c>
      <c r="F503" s="13" t="s">
        <v>153</v>
      </c>
      <c r="G503" s="12" t="s">
        <v>68</v>
      </c>
      <c r="H503" s="12" t="s">
        <v>154</v>
      </c>
      <c r="I503" s="12" t="s">
        <v>155</v>
      </c>
      <c r="J503" s="17" t="s">
        <v>2800</v>
      </c>
      <c r="K503" s="18" t="s">
        <v>2801</v>
      </c>
      <c r="L503" s="20">
        <v>45980.0</v>
      </c>
      <c r="M503" s="17" t="s">
        <v>28</v>
      </c>
      <c r="N503" s="17" t="s">
        <v>2899</v>
      </c>
      <c r="O503" s="17">
        <v>4.5368098E7</v>
      </c>
      <c r="P503" s="17" t="s">
        <v>2900</v>
      </c>
      <c r="Q503" s="17" t="s">
        <v>108</v>
      </c>
      <c r="R503" s="17" t="s">
        <v>109</v>
      </c>
      <c r="S503" s="17" t="s">
        <v>2920</v>
      </c>
      <c r="U503" s="24"/>
      <c r="V503" s="24"/>
      <c r="W503" s="18" t="s">
        <v>92</v>
      </c>
    </row>
    <row r="504">
      <c r="A504" s="11"/>
      <c r="B504" s="12" t="s">
        <v>34</v>
      </c>
      <c r="C504" s="12" t="s">
        <v>65</v>
      </c>
      <c r="D504" s="12" t="s">
        <v>102</v>
      </c>
      <c r="E504" s="12" t="s">
        <v>152</v>
      </c>
      <c r="F504" s="13" t="s">
        <v>153</v>
      </c>
      <c r="G504" s="12" t="s">
        <v>68</v>
      </c>
      <c r="H504" s="12" t="s">
        <v>154</v>
      </c>
      <c r="I504" s="12" t="s">
        <v>155</v>
      </c>
      <c r="J504" s="17" t="s">
        <v>2800</v>
      </c>
      <c r="K504" s="18" t="s">
        <v>2801</v>
      </c>
      <c r="L504" s="20">
        <v>45980.0</v>
      </c>
      <c r="M504" s="17" t="s">
        <v>28</v>
      </c>
      <c r="N504" s="17" t="s">
        <v>2908</v>
      </c>
      <c r="P504" s="17" t="s">
        <v>2909</v>
      </c>
      <c r="Q504" s="17" t="s">
        <v>108</v>
      </c>
      <c r="R504" s="17" t="s">
        <v>109</v>
      </c>
      <c r="S504" s="17" t="s">
        <v>2910</v>
      </c>
      <c r="U504" s="24"/>
      <c r="V504" s="24"/>
      <c r="W504" s="18" t="s">
        <v>92</v>
      </c>
    </row>
    <row r="505">
      <c r="A505" s="11"/>
      <c r="B505" s="12" t="s">
        <v>34</v>
      </c>
      <c r="C505" s="12" t="s">
        <v>65</v>
      </c>
      <c r="D505" s="12" t="s">
        <v>102</v>
      </c>
      <c r="E505" s="12" t="s">
        <v>152</v>
      </c>
      <c r="F505" s="13" t="s">
        <v>153</v>
      </c>
      <c r="G505" s="12" t="s">
        <v>68</v>
      </c>
      <c r="H505" s="12" t="s">
        <v>154</v>
      </c>
      <c r="I505" s="12" t="s">
        <v>155</v>
      </c>
      <c r="J505" s="17" t="s">
        <v>2800</v>
      </c>
      <c r="K505" s="18" t="s">
        <v>2801</v>
      </c>
      <c r="L505" s="20">
        <v>45980.0</v>
      </c>
      <c r="M505" s="17" t="s">
        <v>28</v>
      </c>
      <c r="N505" s="17" t="s">
        <v>2879</v>
      </c>
      <c r="O505" s="17">
        <v>7.4089744E7</v>
      </c>
      <c r="P505" s="17" t="s">
        <v>2880</v>
      </c>
      <c r="Q505" s="17" t="s">
        <v>112</v>
      </c>
      <c r="R505" s="17" t="s">
        <v>113</v>
      </c>
      <c r="S505" s="17" t="s">
        <v>2881</v>
      </c>
      <c r="U505" s="24"/>
      <c r="V505" s="24"/>
      <c r="W505" s="18" t="s">
        <v>92</v>
      </c>
    </row>
    <row r="506">
      <c r="A506" s="11"/>
      <c r="B506" s="12" t="s">
        <v>34</v>
      </c>
      <c r="C506" s="12" t="s">
        <v>65</v>
      </c>
      <c r="D506" s="12" t="s">
        <v>102</v>
      </c>
      <c r="E506" s="12" t="s">
        <v>152</v>
      </c>
      <c r="F506" s="13" t="s">
        <v>153</v>
      </c>
      <c r="G506" s="12" t="s">
        <v>68</v>
      </c>
      <c r="H506" s="12" t="s">
        <v>154</v>
      </c>
      <c r="I506" s="12" t="s">
        <v>155</v>
      </c>
      <c r="J506" s="17" t="s">
        <v>2800</v>
      </c>
      <c r="K506" s="18" t="s">
        <v>2801</v>
      </c>
      <c r="L506" s="20">
        <v>45980.0</v>
      </c>
      <c r="M506" s="17" t="s">
        <v>28</v>
      </c>
      <c r="N506" s="17" t="s">
        <v>2917</v>
      </c>
      <c r="O506" s="17">
        <v>7.3392767E7</v>
      </c>
      <c r="P506" s="17" t="s">
        <v>2918</v>
      </c>
      <c r="Q506" s="17" t="s">
        <v>108</v>
      </c>
      <c r="R506" s="17" t="s">
        <v>109</v>
      </c>
      <c r="S506" s="17" t="s">
        <v>2919</v>
      </c>
      <c r="U506" s="24"/>
      <c r="V506" s="24"/>
      <c r="W506" s="18" t="s">
        <v>92</v>
      </c>
    </row>
    <row r="507">
      <c r="A507" s="11"/>
      <c r="B507" s="12" t="s">
        <v>34</v>
      </c>
      <c r="C507" s="12" t="s">
        <v>65</v>
      </c>
      <c r="D507" s="12" t="s">
        <v>102</v>
      </c>
      <c r="E507" s="12" t="s">
        <v>152</v>
      </c>
      <c r="F507" s="13" t="s">
        <v>153</v>
      </c>
      <c r="G507" s="12" t="s">
        <v>68</v>
      </c>
      <c r="H507" s="12" t="s">
        <v>154</v>
      </c>
      <c r="I507" s="12" t="s">
        <v>155</v>
      </c>
      <c r="J507" s="17" t="s">
        <v>2800</v>
      </c>
      <c r="K507" s="18" t="s">
        <v>2801</v>
      </c>
      <c r="L507" s="20">
        <v>45980.0</v>
      </c>
      <c r="M507" s="17" t="s">
        <v>28</v>
      </c>
      <c r="N507" s="17" t="s">
        <v>2931</v>
      </c>
      <c r="P507" s="17" t="s">
        <v>2932</v>
      </c>
      <c r="Q507" s="17" t="s">
        <v>108</v>
      </c>
      <c r="R507" s="17" t="s">
        <v>109</v>
      </c>
      <c r="S507" s="17" t="s">
        <v>2933</v>
      </c>
      <c r="U507" s="24"/>
      <c r="V507" s="24"/>
      <c r="W507" s="18" t="s">
        <v>92</v>
      </c>
    </row>
    <row r="508">
      <c r="A508" s="11"/>
      <c r="B508" s="44" t="s">
        <v>34</v>
      </c>
      <c r="C508" s="44" t="s">
        <v>65</v>
      </c>
      <c r="D508" s="44" t="s">
        <v>102</v>
      </c>
      <c r="E508" s="44" t="s">
        <v>152</v>
      </c>
      <c r="F508" s="45" t="s">
        <v>153</v>
      </c>
      <c r="G508" s="44" t="s">
        <v>68</v>
      </c>
      <c r="H508" s="44" t="s">
        <v>154</v>
      </c>
      <c r="I508" s="44" t="s">
        <v>155</v>
      </c>
      <c r="J508" s="17" t="s">
        <v>2800</v>
      </c>
      <c r="K508" s="18" t="s">
        <v>2801</v>
      </c>
      <c r="L508" s="20">
        <v>45980.0</v>
      </c>
      <c r="M508" s="48" t="s">
        <v>23</v>
      </c>
      <c r="N508" s="17" t="s">
        <v>2914</v>
      </c>
      <c r="O508" s="17">
        <v>4.1053875E7</v>
      </c>
      <c r="P508" s="17"/>
      <c r="Q508" s="17" t="s">
        <v>108</v>
      </c>
      <c r="R508" s="17" t="s">
        <v>109</v>
      </c>
      <c r="S508" s="17" t="s">
        <v>2198</v>
      </c>
      <c r="U508" s="24"/>
      <c r="V508" s="24"/>
      <c r="W508" s="18" t="s">
        <v>92</v>
      </c>
    </row>
    <row r="509">
      <c r="A509" s="11"/>
      <c r="B509" s="44" t="s">
        <v>34</v>
      </c>
      <c r="C509" s="44" t="s">
        <v>65</v>
      </c>
      <c r="D509" s="44" t="s">
        <v>102</v>
      </c>
      <c r="E509" s="44" t="s">
        <v>152</v>
      </c>
      <c r="F509" s="45" t="s">
        <v>153</v>
      </c>
      <c r="G509" s="44" t="s">
        <v>68</v>
      </c>
      <c r="H509" s="44" t="s">
        <v>154</v>
      </c>
      <c r="I509" s="44" t="s">
        <v>155</v>
      </c>
      <c r="J509" s="17" t="s">
        <v>2800</v>
      </c>
      <c r="K509" s="18" t="s">
        <v>2801</v>
      </c>
      <c r="L509" s="20">
        <v>45980.0</v>
      </c>
      <c r="M509" s="48" t="s">
        <v>23</v>
      </c>
      <c r="N509" s="17" t="s">
        <v>2915</v>
      </c>
      <c r="O509" s="17">
        <v>4.1175143E7</v>
      </c>
      <c r="P509" s="17"/>
      <c r="Q509" s="17" t="s">
        <v>112</v>
      </c>
      <c r="R509" s="17" t="s">
        <v>113</v>
      </c>
      <c r="S509" s="17" t="s">
        <v>2220</v>
      </c>
      <c r="U509" s="24"/>
      <c r="V509" s="24"/>
      <c r="W509" s="18" t="s">
        <v>92</v>
      </c>
    </row>
    <row r="510">
      <c r="A510" s="11"/>
      <c r="B510" s="44" t="s">
        <v>34</v>
      </c>
      <c r="C510" s="44" t="s">
        <v>65</v>
      </c>
      <c r="D510" s="44" t="s">
        <v>102</v>
      </c>
      <c r="E510" s="44" t="s">
        <v>152</v>
      </c>
      <c r="F510" s="45" t="s">
        <v>153</v>
      </c>
      <c r="G510" s="44" t="s">
        <v>68</v>
      </c>
      <c r="H510" s="44" t="s">
        <v>154</v>
      </c>
      <c r="I510" s="44" t="s">
        <v>155</v>
      </c>
      <c r="J510" s="17" t="s">
        <v>2800</v>
      </c>
      <c r="K510" s="18" t="s">
        <v>2801</v>
      </c>
      <c r="L510" s="20">
        <v>45980.0</v>
      </c>
      <c r="M510" s="48" t="s">
        <v>23</v>
      </c>
      <c r="N510" s="17" t="s">
        <v>2916</v>
      </c>
      <c r="O510" s="17">
        <v>7.644451E7</v>
      </c>
      <c r="P510" s="17"/>
      <c r="Q510" s="17" t="s">
        <v>73</v>
      </c>
      <c r="R510" s="17" t="s">
        <v>74</v>
      </c>
      <c r="S510" s="17" t="s">
        <v>2202</v>
      </c>
      <c r="U510" s="24"/>
      <c r="V510" s="24"/>
      <c r="W510" s="18" t="s">
        <v>92</v>
      </c>
    </row>
    <row r="511">
      <c r="A511" s="11"/>
      <c r="B511" s="44" t="s">
        <v>34</v>
      </c>
      <c r="C511" s="44" t="s">
        <v>65</v>
      </c>
      <c r="D511" s="44" t="s">
        <v>102</v>
      </c>
      <c r="E511" s="44" t="s">
        <v>152</v>
      </c>
      <c r="F511" s="45" t="s">
        <v>153</v>
      </c>
      <c r="G511" s="44" t="s">
        <v>68</v>
      </c>
      <c r="H511" s="44" t="s">
        <v>154</v>
      </c>
      <c r="I511" s="44" t="s">
        <v>155</v>
      </c>
      <c r="J511" s="48" t="s">
        <v>2687</v>
      </c>
      <c r="K511" s="117">
        <v>3.0</v>
      </c>
      <c r="L511" s="20">
        <v>45979.0</v>
      </c>
      <c r="M511" s="48" t="s">
        <v>23</v>
      </c>
      <c r="N511" s="17" t="s">
        <v>2914</v>
      </c>
      <c r="O511" s="17">
        <v>4.1053875E7</v>
      </c>
      <c r="P511" s="17"/>
      <c r="Q511" s="17" t="s">
        <v>108</v>
      </c>
      <c r="R511" s="17" t="s">
        <v>109</v>
      </c>
      <c r="S511" s="17" t="s">
        <v>2198</v>
      </c>
      <c r="U511" s="24"/>
      <c r="V511" s="24"/>
      <c r="W511" s="18" t="s">
        <v>92</v>
      </c>
    </row>
    <row r="512">
      <c r="A512" s="11"/>
      <c r="B512" s="44" t="s">
        <v>34</v>
      </c>
      <c r="C512" s="44" t="s">
        <v>65</v>
      </c>
      <c r="D512" s="44" t="s">
        <v>102</v>
      </c>
      <c r="E512" s="44" t="s">
        <v>152</v>
      </c>
      <c r="F512" s="45" t="s">
        <v>153</v>
      </c>
      <c r="G512" s="44" t="s">
        <v>68</v>
      </c>
      <c r="H512" s="44" t="s">
        <v>154</v>
      </c>
      <c r="I512" s="44" t="s">
        <v>155</v>
      </c>
      <c r="J512" s="48" t="s">
        <v>2687</v>
      </c>
      <c r="K512" s="117">
        <v>3.0</v>
      </c>
      <c r="L512" s="20">
        <v>45979.0</v>
      </c>
      <c r="M512" s="48" t="s">
        <v>23</v>
      </c>
      <c r="N512" s="17" t="s">
        <v>2915</v>
      </c>
      <c r="O512" s="17">
        <v>4.1175143E7</v>
      </c>
      <c r="P512" s="17"/>
      <c r="Q512" s="17" t="s">
        <v>112</v>
      </c>
      <c r="R512" s="17" t="s">
        <v>113</v>
      </c>
      <c r="S512" s="17" t="s">
        <v>2220</v>
      </c>
      <c r="U512" s="24"/>
      <c r="V512" s="24"/>
      <c r="W512" s="18" t="s">
        <v>92</v>
      </c>
    </row>
    <row r="513">
      <c r="A513" s="11"/>
      <c r="B513" s="44" t="s">
        <v>34</v>
      </c>
      <c r="C513" s="44" t="s">
        <v>65</v>
      </c>
      <c r="D513" s="44" t="s">
        <v>102</v>
      </c>
      <c r="E513" s="44" t="s">
        <v>152</v>
      </c>
      <c r="F513" s="45" t="s">
        <v>153</v>
      </c>
      <c r="G513" s="44" t="s">
        <v>68</v>
      </c>
      <c r="H513" s="44" t="s">
        <v>154</v>
      </c>
      <c r="I513" s="44" t="s">
        <v>155</v>
      </c>
      <c r="J513" s="48" t="s">
        <v>2687</v>
      </c>
      <c r="K513" s="117">
        <v>3.0</v>
      </c>
      <c r="L513" s="20">
        <v>45979.0</v>
      </c>
      <c r="M513" s="48" t="s">
        <v>23</v>
      </c>
      <c r="N513" s="17" t="s">
        <v>2916</v>
      </c>
      <c r="O513" s="17">
        <v>7.644451E7</v>
      </c>
      <c r="P513" s="17"/>
      <c r="Q513" s="17" t="s">
        <v>73</v>
      </c>
      <c r="R513" s="17" t="s">
        <v>74</v>
      </c>
      <c r="S513" s="17" t="s">
        <v>2202</v>
      </c>
      <c r="U513" s="24"/>
      <c r="V513" s="24"/>
      <c r="W513" s="18" t="s">
        <v>92</v>
      </c>
    </row>
    <row r="514">
      <c r="A514" s="11"/>
      <c r="B514" s="12" t="s">
        <v>34</v>
      </c>
      <c r="C514" s="12" t="s">
        <v>65</v>
      </c>
      <c r="D514" s="12" t="s">
        <v>83</v>
      </c>
      <c r="E514" s="12" t="s">
        <v>120</v>
      </c>
      <c r="F514" s="13" t="s">
        <v>121</v>
      </c>
      <c r="G514" s="12" t="s">
        <v>68</v>
      </c>
      <c r="H514" s="12" t="s">
        <v>122</v>
      </c>
      <c r="I514" s="12" t="s">
        <v>123</v>
      </c>
      <c r="J514" s="17" t="s">
        <v>2169</v>
      </c>
      <c r="K514" s="18" t="s">
        <v>2170</v>
      </c>
      <c r="L514" s="20">
        <v>45926.0</v>
      </c>
      <c r="M514" s="17" t="s">
        <v>28</v>
      </c>
      <c r="N514" s="17" t="s">
        <v>130</v>
      </c>
      <c r="O514" s="17">
        <v>4.6514681E7</v>
      </c>
      <c r="P514" s="17" t="s">
        <v>131</v>
      </c>
      <c r="Q514" s="17"/>
      <c r="R514" s="17" t="s">
        <v>2934</v>
      </c>
      <c r="S514" s="17" t="s">
        <v>2935</v>
      </c>
      <c r="U514" s="24"/>
      <c r="V514" s="24"/>
      <c r="W514" s="18" t="s">
        <v>92</v>
      </c>
    </row>
    <row r="515">
      <c r="A515" s="11"/>
      <c r="B515" s="12" t="s">
        <v>34</v>
      </c>
      <c r="C515" s="12" t="s">
        <v>65</v>
      </c>
      <c r="D515" s="12" t="s">
        <v>83</v>
      </c>
      <c r="E515" s="12" t="s">
        <v>120</v>
      </c>
      <c r="F515" s="13" t="s">
        <v>121</v>
      </c>
      <c r="G515" s="12" t="s">
        <v>68</v>
      </c>
      <c r="H515" s="12" t="s">
        <v>122</v>
      </c>
      <c r="I515" s="12" t="s">
        <v>123</v>
      </c>
      <c r="J515" s="17" t="s">
        <v>2169</v>
      </c>
      <c r="K515" s="18" t="s">
        <v>2170</v>
      </c>
      <c r="L515" s="20">
        <v>45926.0</v>
      </c>
      <c r="M515" s="17" t="s">
        <v>28</v>
      </c>
      <c r="N515" s="17" t="s">
        <v>133</v>
      </c>
      <c r="O515" s="17">
        <v>4.7151224E7</v>
      </c>
      <c r="P515" s="17" t="s">
        <v>134</v>
      </c>
      <c r="Q515" s="17"/>
      <c r="R515" s="17" t="s">
        <v>2934</v>
      </c>
      <c r="S515" s="17" t="s">
        <v>2936</v>
      </c>
      <c r="U515" s="24"/>
      <c r="V515" s="24"/>
      <c r="W515" s="18" t="s">
        <v>92</v>
      </c>
    </row>
    <row r="516">
      <c r="A516" s="11"/>
      <c r="B516" s="12" t="s">
        <v>34</v>
      </c>
      <c r="C516" s="12" t="s">
        <v>65</v>
      </c>
      <c r="D516" s="12" t="s">
        <v>83</v>
      </c>
      <c r="E516" s="12" t="s">
        <v>120</v>
      </c>
      <c r="F516" s="13" t="s">
        <v>121</v>
      </c>
      <c r="G516" s="12" t="s">
        <v>68</v>
      </c>
      <c r="H516" s="12" t="s">
        <v>122</v>
      </c>
      <c r="I516" s="12" t="s">
        <v>123</v>
      </c>
      <c r="J516" s="17" t="s">
        <v>2169</v>
      </c>
      <c r="K516" s="18" t="s">
        <v>2170</v>
      </c>
      <c r="L516" s="20">
        <v>45926.0</v>
      </c>
      <c r="M516" s="17" t="s">
        <v>28</v>
      </c>
      <c r="N516" s="17" t="s">
        <v>136</v>
      </c>
      <c r="O516" s="17">
        <v>7.1944773E7</v>
      </c>
      <c r="P516" s="17" t="s">
        <v>137</v>
      </c>
      <c r="Q516" s="17"/>
      <c r="R516" s="17" t="s">
        <v>2934</v>
      </c>
      <c r="S516" s="17" t="s">
        <v>2937</v>
      </c>
      <c r="U516" s="24"/>
      <c r="V516" s="24"/>
      <c r="W516" s="18" t="s">
        <v>92</v>
      </c>
    </row>
    <row r="517">
      <c r="A517" s="11"/>
      <c r="B517" s="12" t="s">
        <v>34</v>
      </c>
      <c r="C517" s="12" t="s">
        <v>65</v>
      </c>
      <c r="D517" s="12" t="s">
        <v>83</v>
      </c>
      <c r="E517" s="12" t="s">
        <v>120</v>
      </c>
      <c r="F517" s="13" t="s">
        <v>121</v>
      </c>
      <c r="G517" s="12" t="s">
        <v>68</v>
      </c>
      <c r="H517" s="12" t="s">
        <v>122</v>
      </c>
      <c r="I517" s="12" t="s">
        <v>123</v>
      </c>
      <c r="J517" s="17" t="s">
        <v>2169</v>
      </c>
      <c r="K517" s="18" t="s">
        <v>2170</v>
      </c>
      <c r="L517" s="20">
        <v>45926.0</v>
      </c>
      <c r="M517" s="17" t="s">
        <v>28</v>
      </c>
      <c r="N517" s="17" t="s">
        <v>139</v>
      </c>
      <c r="O517" s="17">
        <v>7.3468926E7</v>
      </c>
      <c r="P517" s="17" t="s">
        <v>140</v>
      </c>
      <c r="Q517" s="17"/>
      <c r="R517" s="17" t="s">
        <v>2934</v>
      </c>
      <c r="S517" s="17" t="s">
        <v>2938</v>
      </c>
      <c r="U517" s="24"/>
      <c r="V517" s="24"/>
      <c r="W517" s="18" t="s">
        <v>92</v>
      </c>
    </row>
    <row r="518">
      <c r="A518" s="11"/>
      <c r="B518" s="12" t="s">
        <v>34</v>
      </c>
      <c r="C518" s="12" t="s">
        <v>65</v>
      </c>
      <c r="D518" s="12" t="s">
        <v>83</v>
      </c>
      <c r="E518" s="12" t="s">
        <v>120</v>
      </c>
      <c r="F518" s="13" t="s">
        <v>121</v>
      </c>
      <c r="G518" s="12" t="s">
        <v>68</v>
      </c>
      <c r="H518" s="12" t="s">
        <v>122</v>
      </c>
      <c r="I518" s="12" t="s">
        <v>123</v>
      </c>
      <c r="J518" s="17" t="s">
        <v>2169</v>
      </c>
      <c r="K518" s="18" t="s">
        <v>2170</v>
      </c>
      <c r="L518" s="20">
        <v>45926.0</v>
      </c>
      <c r="M518" s="17" t="s">
        <v>28</v>
      </c>
      <c r="N518" s="17" t="s">
        <v>2939</v>
      </c>
      <c r="O518" s="17">
        <v>7.3392727E7</v>
      </c>
      <c r="P518" s="17" t="s">
        <v>1613</v>
      </c>
      <c r="Q518" s="17"/>
      <c r="R518" s="17" t="s">
        <v>2934</v>
      </c>
      <c r="S518" s="17" t="s">
        <v>2940</v>
      </c>
      <c r="U518" s="24"/>
      <c r="V518" s="24"/>
      <c r="W518" s="18" t="s">
        <v>92</v>
      </c>
    </row>
    <row r="519">
      <c r="A519" s="11"/>
      <c r="B519" s="12" t="s">
        <v>34</v>
      </c>
      <c r="C519" s="12" t="s">
        <v>65</v>
      </c>
      <c r="D519" s="12" t="s">
        <v>83</v>
      </c>
      <c r="E519" s="12" t="s">
        <v>120</v>
      </c>
      <c r="F519" s="13" t="s">
        <v>121</v>
      </c>
      <c r="G519" s="12" t="s">
        <v>68</v>
      </c>
      <c r="H519" s="12" t="s">
        <v>122</v>
      </c>
      <c r="I519" s="12" t="s">
        <v>123</v>
      </c>
      <c r="J519" s="17" t="s">
        <v>2779</v>
      </c>
      <c r="K519" s="18" t="s">
        <v>2780</v>
      </c>
      <c r="L519" s="20">
        <v>45937.0</v>
      </c>
      <c r="M519" s="17" t="s">
        <v>28</v>
      </c>
      <c r="N519" s="17" t="s">
        <v>124</v>
      </c>
      <c r="O519" s="17">
        <v>7.6366959E7</v>
      </c>
      <c r="P519" s="17" t="s">
        <v>125</v>
      </c>
      <c r="Q519" s="17"/>
      <c r="R519" s="17" t="s">
        <v>2934</v>
      </c>
      <c r="S519" s="17" t="s">
        <v>2941</v>
      </c>
      <c r="U519" s="24"/>
      <c r="V519" s="24"/>
      <c r="W519" s="18" t="s">
        <v>92</v>
      </c>
    </row>
    <row r="520">
      <c r="A520" s="11"/>
      <c r="B520" s="12" t="s">
        <v>34</v>
      </c>
      <c r="C520" s="12" t="s">
        <v>65</v>
      </c>
      <c r="D520" s="12" t="s">
        <v>83</v>
      </c>
      <c r="E520" s="12" t="s">
        <v>120</v>
      </c>
      <c r="F520" s="13" t="s">
        <v>121</v>
      </c>
      <c r="G520" s="12" t="s">
        <v>68</v>
      </c>
      <c r="H520" s="12" t="s">
        <v>122</v>
      </c>
      <c r="I520" s="12" t="s">
        <v>123</v>
      </c>
      <c r="J520" s="17" t="s">
        <v>2779</v>
      </c>
      <c r="K520" s="18" t="s">
        <v>2780</v>
      </c>
      <c r="L520" s="20">
        <v>45937.0</v>
      </c>
      <c r="M520" s="17" t="s">
        <v>28</v>
      </c>
      <c r="N520" s="17" t="s">
        <v>127</v>
      </c>
      <c r="O520" s="17">
        <v>7.2118797E7</v>
      </c>
      <c r="P520" s="17" t="s">
        <v>128</v>
      </c>
      <c r="Q520" s="17"/>
      <c r="R520" s="17" t="s">
        <v>2934</v>
      </c>
      <c r="S520" s="17" t="s">
        <v>2942</v>
      </c>
      <c r="U520" s="24"/>
      <c r="V520" s="24"/>
      <c r="W520" s="18" t="s">
        <v>92</v>
      </c>
    </row>
    <row r="521">
      <c r="A521" s="11"/>
      <c r="B521" s="12" t="s">
        <v>34</v>
      </c>
      <c r="C521" s="12" t="s">
        <v>65</v>
      </c>
      <c r="D521" s="12" t="s">
        <v>83</v>
      </c>
      <c r="E521" s="12" t="s">
        <v>120</v>
      </c>
      <c r="F521" s="13" t="s">
        <v>121</v>
      </c>
      <c r="G521" s="12" t="s">
        <v>68</v>
      </c>
      <c r="H521" s="12" t="s">
        <v>122</v>
      </c>
      <c r="I521" s="12" t="s">
        <v>123</v>
      </c>
      <c r="J521" s="17" t="s">
        <v>2779</v>
      </c>
      <c r="K521" s="18" t="s">
        <v>2780</v>
      </c>
      <c r="L521" s="20">
        <v>45937.0</v>
      </c>
      <c r="M521" s="17" t="s">
        <v>28</v>
      </c>
      <c r="N521" s="17" t="s">
        <v>130</v>
      </c>
      <c r="O521" s="17">
        <v>4.6514681E7</v>
      </c>
      <c r="P521" s="17" t="s">
        <v>131</v>
      </c>
      <c r="Q521" s="17"/>
      <c r="R521" s="17" t="s">
        <v>2934</v>
      </c>
      <c r="S521" s="17" t="s">
        <v>2935</v>
      </c>
      <c r="U521" s="24"/>
      <c r="V521" s="24"/>
      <c r="W521" s="18" t="s">
        <v>92</v>
      </c>
    </row>
    <row r="522">
      <c r="A522" s="11"/>
      <c r="B522" s="12" t="s">
        <v>34</v>
      </c>
      <c r="C522" s="12" t="s">
        <v>65</v>
      </c>
      <c r="D522" s="12" t="s">
        <v>83</v>
      </c>
      <c r="E522" s="12" t="s">
        <v>120</v>
      </c>
      <c r="F522" s="13" t="s">
        <v>121</v>
      </c>
      <c r="G522" s="12" t="s">
        <v>68</v>
      </c>
      <c r="H522" s="12" t="s">
        <v>122</v>
      </c>
      <c r="I522" s="12" t="s">
        <v>123</v>
      </c>
      <c r="J522" s="17" t="s">
        <v>2779</v>
      </c>
      <c r="K522" s="18" t="s">
        <v>2780</v>
      </c>
      <c r="L522" s="20">
        <v>45937.0</v>
      </c>
      <c r="M522" s="17" t="s">
        <v>28</v>
      </c>
      <c r="N522" s="17" t="s">
        <v>133</v>
      </c>
      <c r="O522" s="17">
        <v>4.7151224E7</v>
      </c>
      <c r="P522" s="17" t="s">
        <v>134</v>
      </c>
      <c r="Q522" s="17"/>
      <c r="R522" s="17" t="s">
        <v>2934</v>
      </c>
      <c r="S522" s="17" t="s">
        <v>2936</v>
      </c>
      <c r="U522" s="24"/>
      <c r="V522" s="24"/>
      <c r="W522" s="18" t="s">
        <v>92</v>
      </c>
    </row>
    <row r="523">
      <c r="A523" s="11"/>
      <c r="B523" s="12" t="s">
        <v>34</v>
      </c>
      <c r="C523" s="12" t="s">
        <v>65</v>
      </c>
      <c r="D523" s="12" t="s">
        <v>83</v>
      </c>
      <c r="E523" s="12" t="s">
        <v>120</v>
      </c>
      <c r="F523" s="13" t="s">
        <v>121</v>
      </c>
      <c r="G523" s="12" t="s">
        <v>68</v>
      </c>
      <c r="H523" s="12" t="s">
        <v>122</v>
      </c>
      <c r="I523" s="12" t="s">
        <v>123</v>
      </c>
      <c r="J523" s="17" t="s">
        <v>2779</v>
      </c>
      <c r="K523" s="18" t="s">
        <v>2780</v>
      </c>
      <c r="L523" s="20">
        <v>45937.0</v>
      </c>
      <c r="M523" s="17" t="s">
        <v>28</v>
      </c>
      <c r="N523" s="17" t="s">
        <v>136</v>
      </c>
      <c r="O523" s="17">
        <v>7.1944773E7</v>
      </c>
      <c r="P523" s="17" t="s">
        <v>137</v>
      </c>
      <c r="Q523" s="17"/>
      <c r="R523" s="17" t="s">
        <v>2934</v>
      </c>
      <c r="S523" s="17" t="s">
        <v>2937</v>
      </c>
      <c r="U523" s="24"/>
      <c r="V523" s="24"/>
      <c r="W523" s="18" t="s">
        <v>92</v>
      </c>
    </row>
    <row r="524">
      <c r="A524" s="11"/>
      <c r="B524" s="12" t="s">
        <v>34</v>
      </c>
      <c r="C524" s="12" t="s">
        <v>65</v>
      </c>
      <c r="D524" s="12" t="s">
        <v>83</v>
      </c>
      <c r="E524" s="12" t="s">
        <v>120</v>
      </c>
      <c r="F524" s="13" t="s">
        <v>121</v>
      </c>
      <c r="G524" s="12" t="s">
        <v>68</v>
      </c>
      <c r="H524" s="12" t="s">
        <v>122</v>
      </c>
      <c r="I524" s="12" t="s">
        <v>123</v>
      </c>
      <c r="J524" s="17" t="s">
        <v>2779</v>
      </c>
      <c r="K524" s="18" t="s">
        <v>2780</v>
      </c>
      <c r="L524" s="20">
        <v>45937.0</v>
      </c>
      <c r="M524" s="17" t="s">
        <v>28</v>
      </c>
      <c r="N524" s="17" t="s">
        <v>139</v>
      </c>
      <c r="O524" s="17">
        <v>7.3468926E7</v>
      </c>
      <c r="P524" s="17" t="s">
        <v>140</v>
      </c>
      <c r="Q524" s="17"/>
      <c r="R524" s="17" t="s">
        <v>2934</v>
      </c>
      <c r="S524" s="17" t="s">
        <v>2938</v>
      </c>
      <c r="U524" s="24"/>
      <c r="V524" s="24"/>
      <c r="W524" s="18" t="s">
        <v>92</v>
      </c>
    </row>
    <row r="525">
      <c r="A525" s="11"/>
      <c r="B525" s="12" t="s">
        <v>34</v>
      </c>
      <c r="C525" s="12" t="s">
        <v>65</v>
      </c>
      <c r="D525" s="12" t="s">
        <v>83</v>
      </c>
      <c r="E525" s="12" t="s">
        <v>120</v>
      </c>
      <c r="F525" s="13" t="s">
        <v>121</v>
      </c>
      <c r="G525" s="12" t="s">
        <v>68</v>
      </c>
      <c r="H525" s="12" t="s">
        <v>122</v>
      </c>
      <c r="I525" s="12" t="s">
        <v>123</v>
      </c>
      <c r="J525" s="17" t="s">
        <v>2779</v>
      </c>
      <c r="K525" s="18" t="s">
        <v>2780</v>
      </c>
      <c r="L525" s="20">
        <v>45937.0</v>
      </c>
      <c r="M525" s="17" t="s">
        <v>28</v>
      </c>
      <c r="N525" s="17" t="s">
        <v>2939</v>
      </c>
      <c r="O525" s="17">
        <v>7.3392727E7</v>
      </c>
      <c r="P525" s="17" t="s">
        <v>1613</v>
      </c>
      <c r="Q525" s="17"/>
      <c r="R525" s="17" t="s">
        <v>2934</v>
      </c>
      <c r="S525" s="17" t="s">
        <v>2940</v>
      </c>
      <c r="U525" s="24"/>
      <c r="V525" s="24"/>
      <c r="W525" s="18" t="s">
        <v>92</v>
      </c>
    </row>
    <row r="526">
      <c r="A526" s="11"/>
      <c r="B526" s="12" t="s">
        <v>34</v>
      </c>
      <c r="C526" s="12" t="s">
        <v>65</v>
      </c>
      <c r="D526" s="12" t="s">
        <v>83</v>
      </c>
      <c r="E526" s="12" t="s">
        <v>120</v>
      </c>
      <c r="F526" s="13" t="s">
        <v>121</v>
      </c>
      <c r="G526" s="12" t="s">
        <v>68</v>
      </c>
      <c r="H526" s="12" t="s">
        <v>122</v>
      </c>
      <c r="I526" s="12" t="s">
        <v>123</v>
      </c>
      <c r="J526" s="17" t="s">
        <v>2783</v>
      </c>
      <c r="K526" s="18" t="s">
        <v>2784</v>
      </c>
      <c r="L526" s="20">
        <v>45954.0</v>
      </c>
      <c r="M526" s="17" t="s">
        <v>28</v>
      </c>
      <c r="N526" s="17" t="s">
        <v>124</v>
      </c>
      <c r="O526" s="17">
        <v>7.6366959E7</v>
      </c>
      <c r="P526" s="17" t="s">
        <v>125</v>
      </c>
      <c r="Q526" s="17"/>
      <c r="R526" s="17" t="s">
        <v>2934</v>
      </c>
      <c r="S526" s="17" t="s">
        <v>2941</v>
      </c>
      <c r="U526" s="24"/>
      <c r="V526" s="24"/>
      <c r="W526" s="18" t="s">
        <v>92</v>
      </c>
    </row>
    <row r="527">
      <c r="A527" s="11"/>
      <c r="B527" s="12" t="s">
        <v>34</v>
      </c>
      <c r="C527" s="12" t="s">
        <v>65</v>
      </c>
      <c r="D527" s="12" t="s">
        <v>83</v>
      </c>
      <c r="E527" s="12" t="s">
        <v>120</v>
      </c>
      <c r="F527" s="13" t="s">
        <v>121</v>
      </c>
      <c r="G527" s="12" t="s">
        <v>68</v>
      </c>
      <c r="H527" s="12" t="s">
        <v>122</v>
      </c>
      <c r="I527" s="12" t="s">
        <v>123</v>
      </c>
      <c r="J527" s="17" t="s">
        <v>2783</v>
      </c>
      <c r="K527" s="18" t="s">
        <v>2784</v>
      </c>
      <c r="L527" s="20">
        <v>45954.0</v>
      </c>
      <c r="M527" s="17" t="s">
        <v>28</v>
      </c>
      <c r="N527" s="17" t="s">
        <v>127</v>
      </c>
      <c r="O527" s="17">
        <v>7.2118797E7</v>
      </c>
      <c r="P527" s="17" t="s">
        <v>128</v>
      </c>
      <c r="Q527" s="17"/>
      <c r="R527" s="17" t="s">
        <v>2934</v>
      </c>
      <c r="S527" s="17" t="s">
        <v>2942</v>
      </c>
      <c r="U527" s="24"/>
      <c r="V527" s="24"/>
      <c r="W527" s="18" t="s">
        <v>92</v>
      </c>
    </row>
    <row r="528">
      <c r="A528" s="11"/>
      <c r="B528" s="12" t="s">
        <v>34</v>
      </c>
      <c r="C528" s="12" t="s">
        <v>65</v>
      </c>
      <c r="D528" s="12" t="s">
        <v>83</v>
      </c>
      <c r="E528" s="12" t="s">
        <v>120</v>
      </c>
      <c r="F528" s="13" t="s">
        <v>121</v>
      </c>
      <c r="G528" s="12" t="s">
        <v>68</v>
      </c>
      <c r="H528" s="12" t="s">
        <v>122</v>
      </c>
      <c r="I528" s="12" t="s">
        <v>123</v>
      </c>
      <c r="J528" s="17" t="s">
        <v>2783</v>
      </c>
      <c r="K528" s="18" t="s">
        <v>2784</v>
      </c>
      <c r="L528" s="20">
        <v>45954.0</v>
      </c>
      <c r="M528" s="17" t="s">
        <v>28</v>
      </c>
      <c r="N528" s="17" t="s">
        <v>130</v>
      </c>
      <c r="O528" s="17">
        <v>4.6514681E7</v>
      </c>
      <c r="P528" s="17" t="s">
        <v>131</v>
      </c>
      <c r="Q528" s="17"/>
      <c r="R528" s="17" t="s">
        <v>2934</v>
      </c>
      <c r="S528" s="17" t="s">
        <v>2935</v>
      </c>
      <c r="U528" s="24"/>
      <c r="V528" s="24"/>
      <c r="W528" s="18" t="s">
        <v>92</v>
      </c>
    </row>
    <row r="529">
      <c r="A529" s="11"/>
      <c r="B529" s="12" t="s">
        <v>34</v>
      </c>
      <c r="C529" s="12" t="s">
        <v>65</v>
      </c>
      <c r="D529" s="12" t="s">
        <v>83</v>
      </c>
      <c r="E529" s="12" t="s">
        <v>120</v>
      </c>
      <c r="F529" s="13" t="s">
        <v>121</v>
      </c>
      <c r="G529" s="12" t="s">
        <v>68</v>
      </c>
      <c r="H529" s="12" t="s">
        <v>122</v>
      </c>
      <c r="I529" s="12" t="s">
        <v>123</v>
      </c>
      <c r="J529" s="17" t="s">
        <v>2783</v>
      </c>
      <c r="K529" s="18" t="s">
        <v>2784</v>
      </c>
      <c r="L529" s="20">
        <v>45954.0</v>
      </c>
      <c r="M529" s="17" t="s">
        <v>28</v>
      </c>
      <c r="N529" s="17" t="s">
        <v>133</v>
      </c>
      <c r="O529" s="17">
        <v>4.7151224E7</v>
      </c>
      <c r="P529" s="17" t="s">
        <v>134</v>
      </c>
      <c r="Q529" s="17"/>
      <c r="R529" s="17" t="s">
        <v>2934</v>
      </c>
      <c r="S529" s="17" t="s">
        <v>2936</v>
      </c>
      <c r="U529" s="24"/>
      <c r="V529" s="24"/>
      <c r="W529" s="18" t="s">
        <v>92</v>
      </c>
    </row>
    <row r="530">
      <c r="A530" s="11"/>
      <c r="B530" s="12" t="s">
        <v>34</v>
      </c>
      <c r="C530" s="12" t="s">
        <v>65</v>
      </c>
      <c r="D530" s="12" t="s">
        <v>83</v>
      </c>
      <c r="E530" s="12" t="s">
        <v>120</v>
      </c>
      <c r="F530" s="13" t="s">
        <v>121</v>
      </c>
      <c r="G530" s="12" t="s">
        <v>68</v>
      </c>
      <c r="H530" s="12" t="s">
        <v>122</v>
      </c>
      <c r="I530" s="12" t="s">
        <v>123</v>
      </c>
      <c r="J530" s="17" t="s">
        <v>2783</v>
      </c>
      <c r="K530" s="18" t="s">
        <v>2784</v>
      </c>
      <c r="L530" s="20">
        <v>45954.0</v>
      </c>
      <c r="M530" s="17" t="s">
        <v>28</v>
      </c>
      <c r="N530" s="17" t="s">
        <v>136</v>
      </c>
      <c r="O530" s="17">
        <v>7.1944773E7</v>
      </c>
      <c r="P530" s="17" t="s">
        <v>137</v>
      </c>
      <c r="Q530" s="17"/>
      <c r="R530" s="17" t="s">
        <v>2934</v>
      </c>
      <c r="S530" s="17" t="s">
        <v>2937</v>
      </c>
      <c r="U530" s="24"/>
      <c r="V530" s="24"/>
      <c r="W530" s="18" t="s">
        <v>92</v>
      </c>
    </row>
    <row r="531">
      <c r="A531" s="11"/>
      <c r="B531" s="12" t="s">
        <v>34</v>
      </c>
      <c r="C531" s="12" t="s">
        <v>65</v>
      </c>
      <c r="D531" s="12" t="s">
        <v>83</v>
      </c>
      <c r="E531" s="12" t="s">
        <v>120</v>
      </c>
      <c r="F531" s="13" t="s">
        <v>121</v>
      </c>
      <c r="G531" s="12" t="s">
        <v>68</v>
      </c>
      <c r="H531" s="12" t="s">
        <v>122</v>
      </c>
      <c r="I531" s="12" t="s">
        <v>123</v>
      </c>
      <c r="J531" s="17" t="s">
        <v>2783</v>
      </c>
      <c r="K531" s="18" t="s">
        <v>2784</v>
      </c>
      <c r="L531" s="20">
        <v>45954.0</v>
      </c>
      <c r="M531" s="17" t="s">
        <v>28</v>
      </c>
      <c r="N531" s="17" t="s">
        <v>139</v>
      </c>
      <c r="O531" s="17">
        <v>7.3468926E7</v>
      </c>
      <c r="P531" s="17" t="s">
        <v>140</v>
      </c>
      <c r="Q531" s="17"/>
      <c r="R531" s="17" t="s">
        <v>2934</v>
      </c>
      <c r="S531" s="17" t="s">
        <v>2938</v>
      </c>
      <c r="U531" s="24"/>
      <c r="V531" s="24"/>
      <c r="W531" s="18" t="s">
        <v>92</v>
      </c>
    </row>
    <row r="532">
      <c r="A532" s="11"/>
      <c r="B532" s="12" t="s">
        <v>34</v>
      </c>
      <c r="C532" s="12" t="s">
        <v>65</v>
      </c>
      <c r="D532" s="12" t="s">
        <v>83</v>
      </c>
      <c r="E532" s="12" t="s">
        <v>120</v>
      </c>
      <c r="F532" s="13" t="s">
        <v>121</v>
      </c>
      <c r="G532" s="12" t="s">
        <v>68</v>
      </c>
      <c r="H532" s="12" t="s">
        <v>122</v>
      </c>
      <c r="I532" s="12" t="s">
        <v>123</v>
      </c>
      <c r="J532" s="17" t="s">
        <v>2783</v>
      </c>
      <c r="K532" s="18" t="s">
        <v>2784</v>
      </c>
      <c r="L532" s="20">
        <v>45954.0</v>
      </c>
      <c r="M532" s="17" t="s">
        <v>28</v>
      </c>
      <c r="N532" s="17" t="s">
        <v>2939</v>
      </c>
      <c r="O532" s="17">
        <v>7.3392727E7</v>
      </c>
      <c r="P532" s="17" t="s">
        <v>1613</v>
      </c>
      <c r="Q532" s="17"/>
      <c r="R532" s="17" t="s">
        <v>2934</v>
      </c>
      <c r="S532" s="17" t="s">
        <v>2940</v>
      </c>
      <c r="U532" s="24"/>
      <c r="V532" s="24"/>
      <c r="W532" s="18" t="s">
        <v>92</v>
      </c>
    </row>
    <row r="533">
      <c r="A533" s="11"/>
      <c r="B533" s="12" t="s">
        <v>34</v>
      </c>
      <c r="C533" s="12" t="s">
        <v>65</v>
      </c>
      <c r="D533" s="12" t="s">
        <v>83</v>
      </c>
      <c r="E533" s="12" t="s">
        <v>120</v>
      </c>
      <c r="F533" s="13" t="s">
        <v>121</v>
      </c>
      <c r="G533" s="12" t="s">
        <v>68</v>
      </c>
      <c r="H533" s="12" t="s">
        <v>122</v>
      </c>
      <c r="I533" s="12" t="s">
        <v>123</v>
      </c>
      <c r="J533" s="17" t="s">
        <v>2796</v>
      </c>
      <c r="K533" s="18" t="s">
        <v>2797</v>
      </c>
      <c r="L533" s="20">
        <v>45960.0</v>
      </c>
      <c r="M533" s="17" t="s">
        <v>28</v>
      </c>
      <c r="N533" s="17" t="s">
        <v>130</v>
      </c>
      <c r="O533" s="17">
        <v>4.6514681E7</v>
      </c>
      <c r="P533" s="17" t="s">
        <v>131</v>
      </c>
      <c r="Q533" s="17"/>
      <c r="R533" s="17" t="s">
        <v>2934</v>
      </c>
      <c r="S533" s="17" t="s">
        <v>2935</v>
      </c>
      <c r="U533" s="24"/>
      <c r="V533" s="24"/>
      <c r="W533" s="18" t="s">
        <v>92</v>
      </c>
    </row>
    <row r="534">
      <c r="A534" s="11"/>
      <c r="B534" s="12" t="s">
        <v>34</v>
      </c>
      <c r="C534" s="12" t="s">
        <v>65</v>
      </c>
      <c r="D534" s="12" t="s">
        <v>83</v>
      </c>
      <c r="E534" s="12" t="s">
        <v>120</v>
      </c>
      <c r="F534" s="13" t="s">
        <v>121</v>
      </c>
      <c r="G534" s="12" t="s">
        <v>68</v>
      </c>
      <c r="H534" s="12" t="s">
        <v>122</v>
      </c>
      <c r="I534" s="12" t="s">
        <v>123</v>
      </c>
      <c r="J534" s="17" t="s">
        <v>2796</v>
      </c>
      <c r="K534" s="18" t="s">
        <v>2797</v>
      </c>
      <c r="L534" s="20">
        <v>45960.0</v>
      </c>
      <c r="M534" s="17" t="s">
        <v>28</v>
      </c>
      <c r="N534" s="17" t="s">
        <v>133</v>
      </c>
      <c r="O534" s="17">
        <v>4.7151224E7</v>
      </c>
      <c r="P534" s="17" t="s">
        <v>134</v>
      </c>
      <c r="Q534" s="17"/>
      <c r="R534" s="17" t="s">
        <v>2934</v>
      </c>
      <c r="S534" s="17" t="s">
        <v>2936</v>
      </c>
      <c r="U534" s="24"/>
      <c r="V534" s="24"/>
      <c r="W534" s="18" t="s">
        <v>92</v>
      </c>
    </row>
    <row r="535">
      <c r="A535" s="11"/>
      <c r="B535" s="12" t="s">
        <v>34</v>
      </c>
      <c r="C535" s="12" t="s">
        <v>65</v>
      </c>
      <c r="D535" s="12" t="s">
        <v>83</v>
      </c>
      <c r="E535" s="12" t="s">
        <v>120</v>
      </c>
      <c r="F535" s="13" t="s">
        <v>121</v>
      </c>
      <c r="G535" s="12" t="s">
        <v>68</v>
      </c>
      <c r="H535" s="12" t="s">
        <v>122</v>
      </c>
      <c r="I535" s="12" t="s">
        <v>123</v>
      </c>
      <c r="J535" s="17" t="s">
        <v>2796</v>
      </c>
      <c r="K535" s="18" t="s">
        <v>2797</v>
      </c>
      <c r="L535" s="20">
        <v>45960.0</v>
      </c>
      <c r="M535" s="17" t="s">
        <v>28</v>
      </c>
      <c r="N535" s="17" t="s">
        <v>136</v>
      </c>
      <c r="O535" s="17">
        <v>7.1944773E7</v>
      </c>
      <c r="P535" s="17" t="s">
        <v>137</v>
      </c>
      <c r="Q535" s="17"/>
      <c r="R535" s="17" t="s">
        <v>2934</v>
      </c>
      <c r="S535" s="17" t="s">
        <v>2937</v>
      </c>
      <c r="U535" s="24"/>
      <c r="V535" s="24"/>
      <c r="W535" s="18" t="s">
        <v>92</v>
      </c>
    </row>
    <row r="536">
      <c r="A536" s="11"/>
      <c r="B536" s="12" t="s">
        <v>34</v>
      </c>
      <c r="C536" s="12" t="s">
        <v>65</v>
      </c>
      <c r="D536" s="12" t="s">
        <v>83</v>
      </c>
      <c r="E536" s="12" t="s">
        <v>120</v>
      </c>
      <c r="F536" s="13" t="s">
        <v>121</v>
      </c>
      <c r="G536" s="12" t="s">
        <v>68</v>
      </c>
      <c r="H536" s="12" t="s">
        <v>122</v>
      </c>
      <c r="I536" s="12" t="s">
        <v>123</v>
      </c>
      <c r="J536" s="17" t="s">
        <v>2796</v>
      </c>
      <c r="K536" s="18" t="s">
        <v>2797</v>
      </c>
      <c r="L536" s="20">
        <v>45960.0</v>
      </c>
      <c r="M536" s="17" t="s">
        <v>28</v>
      </c>
      <c r="N536" s="17" t="s">
        <v>124</v>
      </c>
      <c r="O536" s="17">
        <v>7.6366959E7</v>
      </c>
      <c r="P536" s="17" t="s">
        <v>125</v>
      </c>
      <c r="Q536" s="17"/>
      <c r="R536" s="17" t="s">
        <v>2934</v>
      </c>
      <c r="S536" s="17" t="s">
        <v>2941</v>
      </c>
      <c r="U536" s="24"/>
      <c r="V536" s="24"/>
      <c r="W536" s="18" t="s">
        <v>92</v>
      </c>
    </row>
    <row r="537">
      <c r="A537" s="11"/>
      <c r="B537" s="12" t="s">
        <v>34</v>
      </c>
      <c r="C537" s="12" t="s">
        <v>65</v>
      </c>
      <c r="D537" s="12" t="s">
        <v>83</v>
      </c>
      <c r="E537" s="12" t="s">
        <v>120</v>
      </c>
      <c r="F537" s="13" t="s">
        <v>121</v>
      </c>
      <c r="G537" s="12" t="s">
        <v>68</v>
      </c>
      <c r="H537" s="12" t="s">
        <v>122</v>
      </c>
      <c r="I537" s="12" t="s">
        <v>123</v>
      </c>
      <c r="J537" s="17" t="s">
        <v>2796</v>
      </c>
      <c r="K537" s="18" t="s">
        <v>2797</v>
      </c>
      <c r="L537" s="20">
        <v>45960.0</v>
      </c>
      <c r="M537" s="17" t="s">
        <v>28</v>
      </c>
      <c r="N537" s="17" t="s">
        <v>127</v>
      </c>
      <c r="O537" s="17">
        <v>7.2118797E7</v>
      </c>
      <c r="P537" s="17" t="s">
        <v>128</v>
      </c>
      <c r="Q537" s="17"/>
      <c r="R537" s="17" t="s">
        <v>2934</v>
      </c>
      <c r="S537" s="17" t="s">
        <v>2942</v>
      </c>
      <c r="U537" s="24"/>
      <c r="V537" s="24"/>
      <c r="W537" s="18" t="s">
        <v>92</v>
      </c>
    </row>
    <row r="538">
      <c r="A538" s="11"/>
      <c r="B538" s="12" t="s">
        <v>34</v>
      </c>
      <c r="C538" s="12" t="s">
        <v>65</v>
      </c>
      <c r="D538" s="12" t="s">
        <v>83</v>
      </c>
      <c r="E538" s="12" t="s">
        <v>120</v>
      </c>
      <c r="F538" s="13" t="s">
        <v>121</v>
      </c>
      <c r="G538" s="12" t="s">
        <v>68</v>
      </c>
      <c r="H538" s="12" t="s">
        <v>122</v>
      </c>
      <c r="I538" s="12" t="s">
        <v>123</v>
      </c>
      <c r="J538" s="17" t="s">
        <v>2800</v>
      </c>
      <c r="K538" s="18" t="s">
        <v>2801</v>
      </c>
      <c r="L538" s="20">
        <v>45968.0</v>
      </c>
      <c r="M538" s="17" t="s">
        <v>28</v>
      </c>
      <c r="N538" s="17" t="s">
        <v>130</v>
      </c>
      <c r="O538" s="17">
        <v>4.6514681E7</v>
      </c>
      <c r="P538" s="17" t="s">
        <v>131</v>
      </c>
      <c r="Q538" s="17"/>
      <c r="R538" s="17" t="s">
        <v>2934</v>
      </c>
      <c r="S538" s="17" t="s">
        <v>2935</v>
      </c>
      <c r="U538" s="24"/>
      <c r="V538" s="24"/>
      <c r="W538" s="18" t="s">
        <v>92</v>
      </c>
    </row>
    <row r="539">
      <c r="A539" s="11"/>
      <c r="B539" s="12" t="s">
        <v>34</v>
      </c>
      <c r="C539" s="12" t="s">
        <v>65</v>
      </c>
      <c r="D539" s="12" t="s">
        <v>83</v>
      </c>
      <c r="E539" s="12" t="s">
        <v>120</v>
      </c>
      <c r="F539" s="13" t="s">
        <v>121</v>
      </c>
      <c r="G539" s="12" t="s">
        <v>68</v>
      </c>
      <c r="H539" s="12" t="s">
        <v>122</v>
      </c>
      <c r="I539" s="12" t="s">
        <v>123</v>
      </c>
      <c r="J539" s="17" t="s">
        <v>2800</v>
      </c>
      <c r="K539" s="18" t="s">
        <v>2801</v>
      </c>
      <c r="L539" s="20">
        <v>45968.0</v>
      </c>
      <c r="M539" s="17" t="s">
        <v>28</v>
      </c>
      <c r="N539" s="17" t="s">
        <v>133</v>
      </c>
      <c r="O539" s="17">
        <v>4.7151224E7</v>
      </c>
      <c r="P539" s="17" t="s">
        <v>134</v>
      </c>
      <c r="Q539" s="17"/>
      <c r="R539" s="17" t="s">
        <v>2934</v>
      </c>
      <c r="S539" s="17" t="s">
        <v>2936</v>
      </c>
      <c r="U539" s="24"/>
      <c r="V539" s="24"/>
      <c r="W539" s="18" t="s">
        <v>92</v>
      </c>
    </row>
    <row r="540">
      <c r="A540" s="11"/>
      <c r="B540" s="12" t="s">
        <v>34</v>
      </c>
      <c r="C540" s="12" t="s">
        <v>65</v>
      </c>
      <c r="D540" s="12" t="s">
        <v>83</v>
      </c>
      <c r="E540" s="12" t="s">
        <v>120</v>
      </c>
      <c r="F540" s="13" t="s">
        <v>121</v>
      </c>
      <c r="G540" s="12" t="s">
        <v>68</v>
      </c>
      <c r="H540" s="12" t="s">
        <v>122</v>
      </c>
      <c r="I540" s="12" t="s">
        <v>123</v>
      </c>
      <c r="J540" s="17" t="s">
        <v>2800</v>
      </c>
      <c r="K540" s="18" t="s">
        <v>2801</v>
      </c>
      <c r="L540" s="20">
        <v>45968.0</v>
      </c>
      <c r="M540" s="17" t="s">
        <v>28</v>
      </c>
      <c r="N540" s="17" t="s">
        <v>136</v>
      </c>
      <c r="O540" s="17">
        <v>7.1944773E7</v>
      </c>
      <c r="P540" s="17" t="s">
        <v>137</v>
      </c>
      <c r="Q540" s="17"/>
      <c r="R540" s="17" t="s">
        <v>2934</v>
      </c>
      <c r="S540" s="17" t="s">
        <v>2937</v>
      </c>
      <c r="U540" s="24"/>
      <c r="V540" s="24"/>
      <c r="W540" s="18" t="s">
        <v>92</v>
      </c>
    </row>
    <row r="541">
      <c r="A541" s="11"/>
      <c r="B541" s="12" t="s">
        <v>34</v>
      </c>
      <c r="C541" s="12" t="s">
        <v>65</v>
      </c>
      <c r="D541" s="12" t="s">
        <v>83</v>
      </c>
      <c r="E541" s="12" t="s">
        <v>120</v>
      </c>
      <c r="F541" s="13" t="s">
        <v>121</v>
      </c>
      <c r="G541" s="12" t="s">
        <v>68</v>
      </c>
      <c r="H541" s="12" t="s">
        <v>122</v>
      </c>
      <c r="I541" s="12" t="s">
        <v>123</v>
      </c>
      <c r="J541" s="17" t="s">
        <v>2800</v>
      </c>
      <c r="K541" s="18" t="s">
        <v>2801</v>
      </c>
      <c r="L541" s="20">
        <v>45968.0</v>
      </c>
      <c r="M541" s="17" t="s">
        <v>28</v>
      </c>
      <c r="N541" s="17" t="s">
        <v>124</v>
      </c>
      <c r="O541" s="17">
        <v>7.6366959E7</v>
      </c>
      <c r="P541" s="17" t="s">
        <v>125</v>
      </c>
      <c r="Q541" s="17"/>
      <c r="R541" s="17" t="s">
        <v>2934</v>
      </c>
      <c r="S541" s="17" t="s">
        <v>2941</v>
      </c>
      <c r="U541" s="24"/>
      <c r="V541" s="24"/>
      <c r="W541" s="18" t="s">
        <v>92</v>
      </c>
    </row>
    <row r="542">
      <c r="A542" s="11"/>
      <c r="B542" s="12" t="s">
        <v>34</v>
      </c>
      <c r="C542" s="12" t="s">
        <v>65</v>
      </c>
      <c r="D542" s="12" t="s">
        <v>83</v>
      </c>
      <c r="E542" s="12" t="s">
        <v>120</v>
      </c>
      <c r="F542" s="13" t="s">
        <v>121</v>
      </c>
      <c r="G542" s="12" t="s">
        <v>68</v>
      </c>
      <c r="H542" s="12" t="s">
        <v>122</v>
      </c>
      <c r="I542" s="12" t="s">
        <v>123</v>
      </c>
      <c r="J542" s="17" t="s">
        <v>2800</v>
      </c>
      <c r="K542" s="18" t="s">
        <v>2801</v>
      </c>
      <c r="L542" s="20">
        <v>45968.0</v>
      </c>
      <c r="M542" s="17" t="s">
        <v>28</v>
      </c>
      <c r="N542" s="17" t="s">
        <v>127</v>
      </c>
      <c r="O542" s="17">
        <v>7.2118797E7</v>
      </c>
      <c r="P542" s="17" t="s">
        <v>128</v>
      </c>
      <c r="Q542" s="17"/>
      <c r="R542" s="17" t="s">
        <v>2934</v>
      </c>
      <c r="S542" s="17" t="s">
        <v>2942</v>
      </c>
      <c r="U542" s="24"/>
      <c r="V542" s="24"/>
      <c r="W542" s="18" t="s">
        <v>92</v>
      </c>
    </row>
    <row r="543">
      <c r="A543" s="11"/>
      <c r="B543" s="12" t="s">
        <v>34</v>
      </c>
      <c r="C543" s="12" t="s">
        <v>65</v>
      </c>
      <c r="D543" s="12" t="s">
        <v>83</v>
      </c>
      <c r="E543" s="12" t="s">
        <v>120</v>
      </c>
      <c r="F543" s="13" t="s">
        <v>121</v>
      </c>
      <c r="G543" s="12" t="s">
        <v>68</v>
      </c>
      <c r="H543" s="12" t="s">
        <v>122</v>
      </c>
      <c r="I543" s="12" t="s">
        <v>123</v>
      </c>
      <c r="J543" s="17" t="s">
        <v>2800</v>
      </c>
      <c r="K543" s="18" t="s">
        <v>2801</v>
      </c>
      <c r="L543" s="20">
        <v>45968.0</v>
      </c>
      <c r="M543" s="17" t="s">
        <v>28</v>
      </c>
      <c r="N543" s="17" t="s">
        <v>139</v>
      </c>
      <c r="O543" s="17">
        <v>7.3468926E7</v>
      </c>
      <c r="P543" s="17" t="s">
        <v>140</v>
      </c>
      <c r="Q543" s="17"/>
      <c r="R543" s="17" t="s">
        <v>2934</v>
      </c>
      <c r="S543" s="17" t="s">
        <v>2938</v>
      </c>
      <c r="U543" s="24"/>
      <c r="V543" s="24"/>
      <c r="W543" s="18" t="s">
        <v>92</v>
      </c>
    </row>
    <row r="544">
      <c r="A544" s="11"/>
      <c r="B544" s="12" t="s">
        <v>34</v>
      </c>
      <c r="C544" s="12" t="s">
        <v>65</v>
      </c>
      <c r="D544" s="12" t="s">
        <v>83</v>
      </c>
      <c r="E544" s="12" t="s">
        <v>120</v>
      </c>
      <c r="F544" s="13" t="s">
        <v>121</v>
      </c>
      <c r="G544" s="12" t="s">
        <v>68</v>
      </c>
      <c r="H544" s="12" t="s">
        <v>122</v>
      </c>
      <c r="I544" s="12" t="s">
        <v>123</v>
      </c>
      <c r="J544" s="17" t="s">
        <v>2687</v>
      </c>
      <c r="K544" s="18">
        <v>1.0</v>
      </c>
      <c r="L544" s="20">
        <v>45896.0</v>
      </c>
      <c r="M544" s="17" t="s">
        <v>23</v>
      </c>
      <c r="N544" s="17" t="s">
        <v>2943</v>
      </c>
      <c r="Q544" s="17"/>
      <c r="R544" s="17" t="s">
        <v>2934</v>
      </c>
      <c r="S544" s="17" t="s">
        <v>2934</v>
      </c>
      <c r="U544" s="24"/>
      <c r="V544" s="24"/>
      <c r="W544" s="18" t="s">
        <v>92</v>
      </c>
    </row>
    <row r="545">
      <c r="A545" s="11"/>
      <c r="B545" s="12" t="s">
        <v>34</v>
      </c>
      <c r="C545" s="12" t="s">
        <v>65</v>
      </c>
      <c r="D545" s="12" t="s">
        <v>83</v>
      </c>
      <c r="E545" s="12" t="s">
        <v>120</v>
      </c>
      <c r="F545" s="13" t="s">
        <v>121</v>
      </c>
      <c r="G545" s="12" t="s">
        <v>68</v>
      </c>
      <c r="H545" s="12" t="s">
        <v>122</v>
      </c>
      <c r="I545" s="12" t="s">
        <v>123</v>
      </c>
      <c r="J545" s="17" t="s">
        <v>2687</v>
      </c>
      <c r="K545" s="18">
        <v>2.0</v>
      </c>
      <c r="L545" s="20">
        <v>45954.0</v>
      </c>
      <c r="M545" s="17" t="s">
        <v>23</v>
      </c>
      <c r="N545" s="17" t="s">
        <v>2943</v>
      </c>
      <c r="Q545" s="17"/>
      <c r="R545" s="17" t="s">
        <v>2934</v>
      </c>
      <c r="S545" s="17" t="s">
        <v>2934</v>
      </c>
      <c r="U545" s="24"/>
      <c r="V545" s="24"/>
      <c r="W545" s="18" t="s">
        <v>92</v>
      </c>
    </row>
    <row r="546">
      <c r="A546" s="11"/>
      <c r="B546" s="12" t="s">
        <v>34</v>
      </c>
      <c r="C546" s="12" t="s">
        <v>65</v>
      </c>
      <c r="D546" s="12" t="s">
        <v>83</v>
      </c>
      <c r="E546" s="12" t="s">
        <v>120</v>
      </c>
      <c r="F546" s="13" t="s">
        <v>121</v>
      </c>
      <c r="G546" s="12" t="s">
        <v>68</v>
      </c>
      <c r="H546" s="12" t="s">
        <v>122</v>
      </c>
      <c r="I546" s="12" t="s">
        <v>123</v>
      </c>
      <c r="J546" s="17" t="s">
        <v>2687</v>
      </c>
      <c r="K546" s="18">
        <v>3.0</v>
      </c>
      <c r="L546" s="20">
        <v>45979.0</v>
      </c>
      <c r="M546" s="17" t="s">
        <v>23</v>
      </c>
      <c r="N546" s="17" t="s">
        <v>2943</v>
      </c>
      <c r="Q546" s="17"/>
      <c r="R546" s="17" t="s">
        <v>2934</v>
      </c>
      <c r="S546" s="17" t="s">
        <v>2934</v>
      </c>
      <c r="U546" s="24"/>
      <c r="V546" s="24"/>
      <c r="W546" s="18" t="s">
        <v>92</v>
      </c>
    </row>
    <row r="547">
      <c r="A547" s="11"/>
      <c r="B547" s="12" t="s">
        <v>7</v>
      </c>
      <c r="C547" s="12" t="s">
        <v>8</v>
      </c>
      <c r="D547" s="12" t="s">
        <v>24</v>
      </c>
      <c r="E547" s="12" t="s">
        <v>25</v>
      </c>
      <c r="F547" s="13" t="s">
        <v>26</v>
      </c>
      <c r="G547" s="12" t="s">
        <v>68</v>
      </c>
      <c r="H547" s="12" t="s">
        <v>994</v>
      </c>
      <c r="I547" s="12" t="s">
        <v>995</v>
      </c>
      <c r="J547" s="17" t="s">
        <v>2169</v>
      </c>
      <c r="K547" s="18" t="s">
        <v>2170</v>
      </c>
      <c r="L547" s="20">
        <v>45860.0</v>
      </c>
      <c r="M547" s="17" t="s">
        <v>28</v>
      </c>
      <c r="N547" s="17" t="s">
        <v>2944</v>
      </c>
      <c r="O547" s="17">
        <v>4.1830179E7</v>
      </c>
      <c r="P547" s="17" t="s">
        <v>2007</v>
      </c>
      <c r="Q547" s="17" t="s">
        <v>73</v>
      </c>
      <c r="R547" s="17" t="s">
        <v>2004</v>
      </c>
      <c r="S547" s="17" t="s">
        <v>2945</v>
      </c>
      <c r="U547" s="24"/>
      <c r="V547" s="24"/>
      <c r="W547" s="18" t="s">
        <v>577</v>
      </c>
    </row>
    <row r="548">
      <c r="A548" s="11"/>
      <c r="B548" s="12" t="s">
        <v>7</v>
      </c>
      <c r="C548" s="12" t="s">
        <v>8</v>
      </c>
      <c r="D548" s="12" t="s">
        <v>24</v>
      </c>
      <c r="E548" s="12" t="s">
        <v>25</v>
      </c>
      <c r="F548" s="13" t="s">
        <v>26</v>
      </c>
      <c r="G548" s="12" t="s">
        <v>68</v>
      </c>
      <c r="H548" s="12" t="s">
        <v>994</v>
      </c>
      <c r="I548" s="12" t="s">
        <v>995</v>
      </c>
      <c r="J548" s="17" t="s">
        <v>2169</v>
      </c>
      <c r="K548" s="18" t="s">
        <v>2170</v>
      </c>
      <c r="L548" s="20">
        <v>45860.0</v>
      </c>
      <c r="M548" s="17" t="s">
        <v>28</v>
      </c>
      <c r="N548" s="48" t="s">
        <v>2946</v>
      </c>
      <c r="O548" s="48">
        <v>3.192394E7</v>
      </c>
      <c r="P548" s="17" t="s">
        <v>2066</v>
      </c>
      <c r="Q548" s="17" t="s">
        <v>73</v>
      </c>
      <c r="R548" s="17" t="s">
        <v>2004</v>
      </c>
      <c r="S548" s="17" t="s">
        <v>2947</v>
      </c>
      <c r="U548" s="24"/>
      <c r="V548" s="24"/>
      <c r="W548" s="18" t="s">
        <v>577</v>
      </c>
    </row>
    <row r="549">
      <c r="A549" s="11"/>
      <c r="B549" s="12" t="s">
        <v>7</v>
      </c>
      <c r="C549" s="12" t="s">
        <v>8</v>
      </c>
      <c r="D549" s="12" t="s">
        <v>24</v>
      </c>
      <c r="E549" s="12" t="s">
        <v>25</v>
      </c>
      <c r="F549" s="13" t="s">
        <v>26</v>
      </c>
      <c r="G549" s="12" t="s">
        <v>68</v>
      </c>
      <c r="H549" s="12" t="s">
        <v>994</v>
      </c>
      <c r="I549" s="12" t="s">
        <v>995</v>
      </c>
      <c r="J549" s="17" t="s">
        <v>2169</v>
      </c>
      <c r="K549" s="18" t="s">
        <v>2170</v>
      </c>
      <c r="L549" s="20">
        <v>45860.0</v>
      </c>
      <c r="M549" s="17" t="s">
        <v>28</v>
      </c>
      <c r="N549" s="17" t="s">
        <v>2948</v>
      </c>
      <c r="O549" s="17">
        <v>6.1288747E7</v>
      </c>
      <c r="P549" s="17" t="s">
        <v>2034</v>
      </c>
      <c r="Q549" s="17" t="s">
        <v>112</v>
      </c>
      <c r="R549" s="17" t="s">
        <v>2028</v>
      </c>
      <c r="S549" s="17" t="s">
        <v>2949</v>
      </c>
      <c r="U549" s="24"/>
      <c r="V549" s="24"/>
      <c r="W549" s="18" t="s">
        <v>577</v>
      </c>
    </row>
    <row r="550">
      <c r="A550" s="11"/>
      <c r="B550" s="12" t="s">
        <v>7</v>
      </c>
      <c r="C550" s="12" t="s">
        <v>8</v>
      </c>
      <c r="D550" s="12" t="s">
        <v>24</v>
      </c>
      <c r="E550" s="12" t="s">
        <v>25</v>
      </c>
      <c r="F550" s="13" t="s">
        <v>26</v>
      </c>
      <c r="G550" s="12" t="s">
        <v>68</v>
      </c>
      <c r="H550" s="12" t="s">
        <v>994</v>
      </c>
      <c r="I550" s="12" t="s">
        <v>995</v>
      </c>
      <c r="J550" s="17" t="s">
        <v>2169</v>
      </c>
      <c r="K550" s="18" t="s">
        <v>2170</v>
      </c>
      <c r="L550" s="20">
        <v>45860.0</v>
      </c>
      <c r="M550" s="17" t="s">
        <v>28</v>
      </c>
      <c r="N550" s="17" t="s">
        <v>2950</v>
      </c>
      <c r="O550" s="17">
        <v>3.193194E7</v>
      </c>
      <c r="Q550" s="17" t="s">
        <v>108</v>
      </c>
      <c r="R550" s="17" t="s">
        <v>2016</v>
      </c>
      <c r="S550" s="17" t="s">
        <v>2951</v>
      </c>
      <c r="U550" s="24"/>
      <c r="V550" s="24"/>
      <c r="W550" s="18" t="s">
        <v>577</v>
      </c>
    </row>
    <row r="551">
      <c r="A551" s="11"/>
      <c r="B551" s="12" t="s">
        <v>7</v>
      </c>
      <c r="C551" s="12" t="s">
        <v>8</v>
      </c>
      <c r="D551" s="12" t="s">
        <v>24</v>
      </c>
      <c r="E551" s="12" t="s">
        <v>25</v>
      </c>
      <c r="F551" s="13" t="s">
        <v>26</v>
      </c>
      <c r="G551" s="12" t="s">
        <v>68</v>
      </c>
      <c r="H551" s="12" t="s">
        <v>994</v>
      </c>
      <c r="I551" s="12" t="s">
        <v>995</v>
      </c>
      <c r="J551" s="17" t="s">
        <v>2169</v>
      </c>
      <c r="K551" s="18" t="s">
        <v>2170</v>
      </c>
      <c r="L551" s="20">
        <v>45860.0</v>
      </c>
      <c r="M551" s="17" t="s">
        <v>28</v>
      </c>
      <c r="N551" s="17" t="s">
        <v>2952</v>
      </c>
      <c r="O551" s="17">
        <v>7.0300516E7</v>
      </c>
      <c r="P551" s="17" t="s">
        <v>2953</v>
      </c>
      <c r="Q551" s="17" t="s">
        <v>108</v>
      </c>
      <c r="R551" s="17" t="s">
        <v>2016</v>
      </c>
      <c r="S551" s="17" t="s">
        <v>2954</v>
      </c>
      <c r="U551" s="24"/>
      <c r="V551" s="24"/>
      <c r="W551" s="18" t="s">
        <v>577</v>
      </c>
    </row>
    <row r="552">
      <c r="A552" s="11"/>
      <c r="B552" s="12" t="s">
        <v>7</v>
      </c>
      <c r="C552" s="12" t="s">
        <v>8</v>
      </c>
      <c r="D552" s="12" t="s">
        <v>24</v>
      </c>
      <c r="E552" s="12" t="s">
        <v>25</v>
      </c>
      <c r="F552" s="13" t="s">
        <v>26</v>
      </c>
      <c r="G552" s="12" t="s">
        <v>68</v>
      </c>
      <c r="H552" s="12" t="s">
        <v>994</v>
      </c>
      <c r="I552" s="12" t="s">
        <v>995</v>
      </c>
      <c r="J552" s="17" t="s">
        <v>2169</v>
      </c>
      <c r="K552" s="18" t="s">
        <v>2170</v>
      </c>
      <c r="L552" s="20">
        <v>45860.0</v>
      </c>
      <c r="M552" s="17" t="s">
        <v>28</v>
      </c>
      <c r="N552" s="17" t="s">
        <v>2955</v>
      </c>
      <c r="O552" s="17">
        <v>4.6939179E7</v>
      </c>
      <c r="P552" s="17" t="s">
        <v>2014</v>
      </c>
      <c r="Q552" s="17" t="s">
        <v>73</v>
      </c>
      <c r="R552" s="17" t="s">
        <v>2004</v>
      </c>
      <c r="S552" s="17" t="s">
        <v>2956</v>
      </c>
      <c r="U552" s="24"/>
      <c r="V552" s="24"/>
      <c r="W552" s="18" t="s">
        <v>577</v>
      </c>
    </row>
    <row r="553">
      <c r="A553" s="11"/>
      <c r="B553" s="12" t="s">
        <v>7</v>
      </c>
      <c r="C553" s="12" t="s">
        <v>8</v>
      </c>
      <c r="D553" s="12" t="s">
        <v>24</v>
      </c>
      <c r="E553" s="12" t="s">
        <v>25</v>
      </c>
      <c r="F553" s="13" t="s">
        <v>26</v>
      </c>
      <c r="G553" s="12" t="s">
        <v>68</v>
      </c>
      <c r="H553" s="12" t="s">
        <v>994</v>
      </c>
      <c r="I553" s="12" t="s">
        <v>995</v>
      </c>
      <c r="J553" s="17" t="s">
        <v>2169</v>
      </c>
      <c r="K553" s="18" t="s">
        <v>2170</v>
      </c>
      <c r="L553" s="20">
        <v>45860.0</v>
      </c>
      <c r="M553" s="17" t="s">
        <v>28</v>
      </c>
      <c r="N553" s="17" t="s">
        <v>2957</v>
      </c>
      <c r="O553" s="17">
        <v>4.5299486E7</v>
      </c>
      <c r="P553" s="17" t="s">
        <v>2958</v>
      </c>
      <c r="Q553" s="17" t="s">
        <v>112</v>
      </c>
      <c r="R553" s="17" t="s">
        <v>2028</v>
      </c>
      <c r="S553" s="17" t="s">
        <v>2959</v>
      </c>
      <c r="U553" s="24"/>
      <c r="V553" s="24"/>
      <c r="W553" s="18" t="s">
        <v>577</v>
      </c>
    </row>
    <row r="554">
      <c r="A554" s="11"/>
      <c r="B554" s="12" t="s">
        <v>7</v>
      </c>
      <c r="C554" s="12" t="s">
        <v>8</v>
      </c>
      <c r="D554" s="12" t="s">
        <v>24</v>
      </c>
      <c r="E554" s="12" t="s">
        <v>25</v>
      </c>
      <c r="F554" s="13" t="s">
        <v>26</v>
      </c>
      <c r="G554" s="12" t="s">
        <v>68</v>
      </c>
      <c r="H554" s="12" t="s">
        <v>994</v>
      </c>
      <c r="I554" s="12" t="s">
        <v>995</v>
      </c>
      <c r="J554" s="17" t="s">
        <v>2169</v>
      </c>
      <c r="K554" s="18" t="s">
        <v>2170</v>
      </c>
      <c r="L554" s="20">
        <v>45860.0</v>
      </c>
      <c r="M554" s="17" t="s">
        <v>28</v>
      </c>
      <c r="N554" s="17" t="s">
        <v>2960</v>
      </c>
      <c r="O554" s="17">
        <v>7.3976827E7</v>
      </c>
      <c r="P554" s="17" t="s">
        <v>2961</v>
      </c>
      <c r="Q554" s="17" t="s">
        <v>112</v>
      </c>
      <c r="R554" s="17" t="s">
        <v>2028</v>
      </c>
      <c r="S554" s="17" t="s">
        <v>2962</v>
      </c>
      <c r="U554" s="24"/>
      <c r="V554" s="24"/>
      <c r="W554" s="18" t="s">
        <v>577</v>
      </c>
    </row>
    <row r="555">
      <c r="A555" s="11"/>
      <c r="B555" s="12" t="s">
        <v>7</v>
      </c>
      <c r="C555" s="12" t="s">
        <v>8</v>
      </c>
      <c r="D555" s="12" t="s">
        <v>24</v>
      </c>
      <c r="E555" s="12" t="s">
        <v>25</v>
      </c>
      <c r="F555" s="13" t="s">
        <v>26</v>
      </c>
      <c r="G555" s="12" t="s">
        <v>68</v>
      </c>
      <c r="H555" s="12" t="s">
        <v>994</v>
      </c>
      <c r="I555" s="12" t="s">
        <v>995</v>
      </c>
      <c r="J555" s="17" t="s">
        <v>2169</v>
      </c>
      <c r="K555" s="18" t="s">
        <v>2170</v>
      </c>
      <c r="L555" s="20">
        <v>45860.0</v>
      </c>
      <c r="M555" s="17" t="s">
        <v>28</v>
      </c>
      <c r="N555" s="17" t="s">
        <v>2963</v>
      </c>
      <c r="O555" s="17">
        <v>7.3976831E7</v>
      </c>
      <c r="P555" s="17" t="s">
        <v>2038</v>
      </c>
      <c r="Q555" s="17" t="s">
        <v>112</v>
      </c>
      <c r="R555" s="17" t="s">
        <v>2028</v>
      </c>
      <c r="S555" s="17" t="s">
        <v>2964</v>
      </c>
      <c r="U555" s="24"/>
      <c r="V555" s="24"/>
      <c r="W555" s="18" t="s">
        <v>577</v>
      </c>
    </row>
    <row r="556">
      <c r="A556" s="11"/>
      <c r="B556" s="12" t="s">
        <v>7</v>
      </c>
      <c r="C556" s="12" t="s">
        <v>8</v>
      </c>
      <c r="D556" s="12" t="s">
        <v>24</v>
      </c>
      <c r="E556" s="12" t="s">
        <v>25</v>
      </c>
      <c r="F556" s="13" t="s">
        <v>26</v>
      </c>
      <c r="G556" s="12" t="s">
        <v>68</v>
      </c>
      <c r="H556" s="12" t="s">
        <v>994</v>
      </c>
      <c r="I556" s="12" t="s">
        <v>995</v>
      </c>
      <c r="J556" s="17" t="s">
        <v>2169</v>
      </c>
      <c r="K556" s="18" t="s">
        <v>2170</v>
      </c>
      <c r="L556" s="20">
        <v>45860.0</v>
      </c>
      <c r="M556" s="17" t="s">
        <v>28</v>
      </c>
      <c r="N556" s="17" t="s">
        <v>2965</v>
      </c>
      <c r="O556" s="17">
        <v>4.6957081E7</v>
      </c>
      <c r="P556" s="17" t="s">
        <v>2021</v>
      </c>
      <c r="Q556" s="17" t="s">
        <v>108</v>
      </c>
      <c r="R556" s="17" t="s">
        <v>2016</v>
      </c>
      <c r="S556" s="17" t="s">
        <v>2966</v>
      </c>
      <c r="U556" s="24"/>
      <c r="V556" s="24"/>
      <c r="W556" s="18" t="s">
        <v>577</v>
      </c>
    </row>
    <row r="557">
      <c r="A557" s="11"/>
      <c r="B557" s="12" t="s">
        <v>7</v>
      </c>
      <c r="C557" s="12" t="s">
        <v>8</v>
      </c>
      <c r="D557" s="12" t="s">
        <v>24</v>
      </c>
      <c r="E557" s="12" t="s">
        <v>25</v>
      </c>
      <c r="F557" s="13" t="s">
        <v>26</v>
      </c>
      <c r="G557" s="12" t="s">
        <v>68</v>
      </c>
      <c r="H557" s="12" t="s">
        <v>994</v>
      </c>
      <c r="I557" s="12" t="s">
        <v>995</v>
      </c>
      <c r="J557" s="17" t="s">
        <v>2169</v>
      </c>
      <c r="K557" s="18" t="s">
        <v>2170</v>
      </c>
      <c r="L557" s="20">
        <v>45860.0</v>
      </c>
      <c r="M557" s="17" t="s">
        <v>28</v>
      </c>
      <c r="N557" s="17" t="s">
        <v>2967</v>
      </c>
      <c r="O557" s="17">
        <v>4.5221309E7</v>
      </c>
      <c r="P557" s="17" t="s">
        <v>2005</v>
      </c>
      <c r="Q557" s="17" t="s">
        <v>73</v>
      </c>
      <c r="R557" s="17" t="s">
        <v>2004</v>
      </c>
      <c r="S557" s="17" t="s">
        <v>2968</v>
      </c>
      <c r="U557" s="24"/>
      <c r="V557" s="24"/>
      <c r="W557" s="18" t="s">
        <v>577</v>
      </c>
    </row>
    <row r="558">
      <c r="A558" s="11"/>
      <c r="B558" s="12" t="s">
        <v>7</v>
      </c>
      <c r="C558" s="12" t="s">
        <v>8</v>
      </c>
      <c r="D558" s="12" t="s">
        <v>24</v>
      </c>
      <c r="E558" s="12" t="s">
        <v>25</v>
      </c>
      <c r="F558" s="13" t="s">
        <v>26</v>
      </c>
      <c r="G558" s="12" t="s">
        <v>68</v>
      </c>
      <c r="H558" s="12" t="s">
        <v>994</v>
      </c>
      <c r="I558" s="12" t="s">
        <v>995</v>
      </c>
      <c r="J558" s="17" t="s">
        <v>2169</v>
      </c>
      <c r="K558" s="18" t="s">
        <v>2170</v>
      </c>
      <c r="L558" s="20">
        <v>45860.0</v>
      </c>
      <c r="M558" s="17" t="s">
        <v>28</v>
      </c>
      <c r="N558" s="17" t="s">
        <v>2969</v>
      </c>
      <c r="O558" s="17">
        <v>4.6527678E7</v>
      </c>
      <c r="P558" s="17" t="s">
        <v>2015</v>
      </c>
      <c r="Q558" s="17" t="s">
        <v>73</v>
      </c>
      <c r="R558" s="17" t="s">
        <v>2004</v>
      </c>
      <c r="S558" s="17" t="s">
        <v>2970</v>
      </c>
      <c r="U558" s="24"/>
      <c r="V558" s="24"/>
      <c r="W558" s="18" t="s">
        <v>577</v>
      </c>
    </row>
    <row r="559">
      <c r="A559" s="11"/>
      <c r="B559" s="12" t="s">
        <v>7</v>
      </c>
      <c r="C559" s="12" t="s">
        <v>8</v>
      </c>
      <c r="D559" s="12" t="s">
        <v>24</v>
      </c>
      <c r="E559" s="12" t="s">
        <v>25</v>
      </c>
      <c r="F559" s="13" t="s">
        <v>26</v>
      </c>
      <c r="G559" s="12" t="s">
        <v>68</v>
      </c>
      <c r="H559" s="12" t="s">
        <v>994</v>
      </c>
      <c r="I559" s="12" t="s">
        <v>995</v>
      </c>
      <c r="J559" s="17" t="s">
        <v>2169</v>
      </c>
      <c r="K559" s="18" t="s">
        <v>2170</v>
      </c>
      <c r="L559" s="20">
        <v>45860.0</v>
      </c>
      <c r="M559" s="17" t="s">
        <v>28</v>
      </c>
      <c r="N559" s="17" t="s">
        <v>2971</v>
      </c>
      <c r="O559" s="17">
        <v>4.8783496E7</v>
      </c>
      <c r="P559" s="17" t="s">
        <v>2074</v>
      </c>
      <c r="Q559" s="17" t="s">
        <v>112</v>
      </c>
      <c r="R559" s="17" t="s">
        <v>2028</v>
      </c>
      <c r="S559" s="17" t="s">
        <v>2972</v>
      </c>
      <c r="U559" s="24"/>
      <c r="V559" s="24"/>
      <c r="W559" s="18" t="s">
        <v>577</v>
      </c>
    </row>
    <row r="560">
      <c r="A560" s="11"/>
      <c r="B560" s="12" t="s">
        <v>7</v>
      </c>
      <c r="C560" s="12" t="s">
        <v>8</v>
      </c>
      <c r="D560" s="12" t="s">
        <v>24</v>
      </c>
      <c r="E560" s="12" t="s">
        <v>25</v>
      </c>
      <c r="F560" s="13" t="s">
        <v>26</v>
      </c>
      <c r="G560" s="12" t="s">
        <v>68</v>
      </c>
      <c r="H560" s="12" t="s">
        <v>994</v>
      </c>
      <c r="I560" s="12" t="s">
        <v>995</v>
      </c>
      <c r="J560" s="17" t="s">
        <v>2169</v>
      </c>
      <c r="K560" s="18" t="s">
        <v>2170</v>
      </c>
      <c r="L560" s="20">
        <v>45860.0</v>
      </c>
      <c r="M560" s="17" t="s">
        <v>28</v>
      </c>
      <c r="N560" s="17" t="s">
        <v>2973</v>
      </c>
      <c r="O560" s="17">
        <v>4.1859962E7</v>
      </c>
      <c r="P560" s="17" t="s">
        <v>2974</v>
      </c>
      <c r="Q560" s="17" t="s">
        <v>73</v>
      </c>
      <c r="R560" s="17" t="s">
        <v>2004</v>
      </c>
      <c r="S560" s="17" t="s">
        <v>2975</v>
      </c>
      <c r="U560" s="24"/>
      <c r="V560" s="24"/>
      <c r="W560" s="18" t="s">
        <v>577</v>
      </c>
    </row>
    <row r="561">
      <c r="A561" s="11"/>
      <c r="B561" s="12" t="s">
        <v>7</v>
      </c>
      <c r="C561" s="12" t="s">
        <v>8</v>
      </c>
      <c r="D561" s="12" t="s">
        <v>24</v>
      </c>
      <c r="E561" s="12" t="s">
        <v>25</v>
      </c>
      <c r="F561" s="13" t="s">
        <v>26</v>
      </c>
      <c r="G561" s="12" t="s">
        <v>68</v>
      </c>
      <c r="H561" s="12" t="s">
        <v>994</v>
      </c>
      <c r="I561" s="12" t="s">
        <v>995</v>
      </c>
      <c r="J561" s="17" t="s">
        <v>2169</v>
      </c>
      <c r="K561" s="18" t="s">
        <v>2170</v>
      </c>
      <c r="L561" s="20">
        <v>45860.0</v>
      </c>
      <c r="M561" s="17" t="s">
        <v>28</v>
      </c>
      <c r="N561" s="17" t="s">
        <v>2976</v>
      </c>
      <c r="O561" s="17">
        <v>4.4360153E7</v>
      </c>
      <c r="P561" s="17" t="s">
        <v>2977</v>
      </c>
      <c r="Q561" s="17" t="s">
        <v>73</v>
      </c>
      <c r="R561" s="17" t="s">
        <v>2004</v>
      </c>
      <c r="S561" s="17" t="s">
        <v>2978</v>
      </c>
      <c r="U561" s="24"/>
      <c r="V561" s="24"/>
      <c r="W561" s="18" t="s">
        <v>577</v>
      </c>
    </row>
    <row r="562">
      <c r="A562" s="11"/>
      <c r="B562" s="12" t="s">
        <v>7</v>
      </c>
      <c r="C562" s="12" t="s">
        <v>8</v>
      </c>
      <c r="D562" s="12" t="s">
        <v>24</v>
      </c>
      <c r="E562" s="12" t="s">
        <v>25</v>
      </c>
      <c r="F562" s="13" t="s">
        <v>26</v>
      </c>
      <c r="G562" s="12" t="s">
        <v>68</v>
      </c>
      <c r="H562" s="12" t="s">
        <v>994</v>
      </c>
      <c r="I562" s="12" t="s">
        <v>995</v>
      </c>
      <c r="J562" s="17" t="s">
        <v>2169</v>
      </c>
      <c r="K562" s="18" t="s">
        <v>2170</v>
      </c>
      <c r="L562" s="20">
        <v>45860.0</v>
      </c>
      <c r="M562" s="17" t="s">
        <v>28</v>
      </c>
      <c r="N562" s="17" t="s">
        <v>2979</v>
      </c>
      <c r="O562" s="17">
        <v>4.3412647E7</v>
      </c>
      <c r="P562" s="17" t="s">
        <v>2030</v>
      </c>
      <c r="Q562" s="17" t="s">
        <v>112</v>
      </c>
      <c r="R562" s="17" t="s">
        <v>2028</v>
      </c>
      <c r="S562" s="17" t="s">
        <v>2980</v>
      </c>
      <c r="U562" s="24"/>
      <c r="V562" s="24"/>
      <c r="W562" s="18" t="s">
        <v>577</v>
      </c>
    </row>
    <row r="563">
      <c r="A563" s="11"/>
      <c r="B563" s="12" t="s">
        <v>7</v>
      </c>
      <c r="C563" s="12" t="s">
        <v>8</v>
      </c>
      <c r="D563" s="12" t="s">
        <v>24</v>
      </c>
      <c r="E563" s="12" t="s">
        <v>25</v>
      </c>
      <c r="F563" s="13" t="s">
        <v>26</v>
      </c>
      <c r="G563" s="12" t="s">
        <v>68</v>
      </c>
      <c r="H563" s="12" t="s">
        <v>994</v>
      </c>
      <c r="I563" s="12" t="s">
        <v>995</v>
      </c>
      <c r="J563" s="17" t="s">
        <v>2169</v>
      </c>
      <c r="K563" s="18" t="s">
        <v>2170</v>
      </c>
      <c r="L563" s="20">
        <v>45860.0</v>
      </c>
      <c r="M563" s="17" t="s">
        <v>28</v>
      </c>
      <c r="N563" s="17" t="s">
        <v>2981</v>
      </c>
      <c r="O563" s="17">
        <v>4.4415821E7</v>
      </c>
      <c r="P563" s="17" t="s">
        <v>2067</v>
      </c>
      <c r="Q563" s="17" t="s">
        <v>73</v>
      </c>
      <c r="R563" s="17" t="s">
        <v>2004</v>
      </c>
      <c r="S563" s="17" t="s">
        <v>2982</v>
      </c>
      <c r="U563" s="24"/>
      <c r="V563" s="24"/>
      <c r="W563" s="18" t="s">
        <v>577</v>
      </c>
    </row>
    <row r="564">
      <c r="A564" s="11"/>
      <c r="B564" s="12" t="s">
        <v>7</v>
      </c>
      <c r="C564" s="12" t="s">
        <v>8</v>
      </c>
      <c r="D564" s="12" t="s">
        <v>24</v>
      </c>
      <c r="E564" s="12" t="s">
        <v>25</v>
      </c>
      <c r="F564" s="13" t="s">
        <v>26</v>
      </c>
      <c r="G564" s="12" t="s">
        <v>68</v>
      </c>
      <c r="H564" s="12" t="s">
        <v>994</v>
      </c>
      <c r="I564" s="12" t="s">
        <v>995</v>
      </c>
      <c r="J564" s="17" t="s">
        <v>2169</v>
      </c>
      <c r="K564" s="18" t="s">
        <v>2170</v>
      </c>
      <c r="L564" s="20">
        <v>45860.0</v>
      </c>
      <c r="M564" s="17" t="s">
        <v>28</v>
      </c>
      <c r="N564" s="17" t="s">
        <v>2983</v>
      </c>
      <c r="O564" s="17">
        <v>7.7325208E7</v>
      </c>
      <c r="P564" s="17" t="s">
        <v>2023</v>
      </c>
      <c r="Q564" s="17" t="s">
        <v>108</v>
      </c>
      <c r="R564" s="17" t="s">
        <v>2016</v>
      </c>
      <c r="S564" s="17" t="s">
        <v>2984</v>
      </c>
      <c r="U564" s="24"/>
      <c r="V564" s="24"/>
      <c r="W564" s="18" t="s">
        <v>577</v>
      </c>
    </row>
    <row r="565">
      <c r="A565" s="11"/>
      <c r="B565" s="12" t="s">
        <v>7</v>
      </c>
      <c r="C565" s="12" t="s">
        <v>8</v>
      </c>
      <c r="D565" s="12" t="s">
        <v>24</v>
      </c>
      <c r="E565" s="12" t="s">
        <v>25</v>
      </c>
      <c r="F565" s="13" t="s">
        <v>26</v>
      </c>
      <c r="G565" s="12" t="s">
        <v>68</v>
      </c>
      <c r="H565" s="12" t="s">
        <v>994</v>
      </c>
      <c r="I565" s="12" t="s">
        <v>995</v>
      </c>
      <c r="J565" s="17" t="s">
        <v>2169</v>
      </c>
      <c r="K565" s="18" t="s">
        <v>2170</v>
      </c>
      <c r="L565" s="20">
        <v>45860.0</v>
      </c>
      <c r="M565" s="17" t="s">
        <v>28</v>
      </c>
      <c r="N565" s="17" t="s">
        <v>2985</v>
      </c>
      <c r="O565" s="17">
        <v>6.2288204E7</v>
      </c>
      <c r="P565" s="17" t="s">
        <v>2041</v>
      </c>
      <c r="Q565" s="17" t="s">
        <v>112</v>
      </c>
      <c r="R565" s="17" t="s">
        <v>2028</v>
      </c>
      <c r="S565" s="17" t="s">
        <v>2986</v>
      </c>
      <c r="U565" s="24"/>
      <c r="V565" s="24"/>
      <c r="W565" s="18" t="s">
        <v>577</v>
      </c>
    </row>
    <row r="566">
      <c r="A566" s="11"/>
      <c r="B566" s="12" t="s">
        <v>34</v>
      </c>
      <c r="C566" s="12" t="s">
        <v>65</v>
      </c>
      <c r="D566" s="12" t="s">
        <v>43</v>
      </c>
      <c r="E566" s="12" t="s">
        <v>224</v>
      </c>
      <c r="F566" s="13" t="s">
        <v>225</v>
      </c>
      <c r="G566" s="12" t="s">
        <v>68</v>
      </c>
      <c r="H566" s="12" t="s">
        <v>226</v>
      </c>
      <c r="I566" s="12" t="s">
        <v>227</v>
      </c>
      <c r="J566" s="17" t="s">
        <v>2169</v>
      </c>
      <c r="K566" s="18" t="s">
        <v>2270</v>
      </c>
      <c r="L566" s="20">
        <v>45852.0</v>
      </c>
      <c r="M566" s="17" t="s">
        <v>28</v>
      </c>
      <c r="N566" s="17" t="s">
        <v>2987</v>
      </c>
      <c r="O566" s="17">
        <v>7.3489266E7</v>
      </c>
      <c r="P566" s="16" t="s">
        <v>1523</v>
      </c>
      <c r="Q566" s="17" t="s">
        <v>112</v>
      </c>
      <c r="S566" s="17" t="s">
        <v>2988</v>
      </c>
      <c r="U566" s="24"/>
      <c r="V566" s="24"/>
      <c r="W566" s="18" t="s">
        <v>76</v>
      </c>
    </row>
    <row r="567">
      <c r="A567" s="11"/>
      <c r="B567" s="12" t="s">
        <v>34</v>
      </c>
      <c r="C567" s="12" t="s">
        <v>65</v>
      </c>
      <c r="D567" s="12" t="s">
        <v>43</v>
      </c>
      <c r="E567" s="12" t="s">
        <v>224</v>
      </c>
      <c r="F567" s="13" t="s">
        <v>225</v>
      </c>
      <c r="G567" s="12" t="s">
        <v>68</v>
      </c>
      <c r="H567" s="12" t="s">
        <v>226</v>
      </c>
      <c r="I567" s="12" t="s">
        <v>227</v>
      </c>
      <c r="J567" s="17" t="s">
        <v>2169</v>
      </c>
      <c r="K567" s="18" t="s">
        <v>2170</v>
      </c>
      <c r="L567" s="20">
        <v>45852.0</v>
      </c>
      <c r="M567" s="17" t="s">
        <v>28</v>
      </c>
      <c r="N567" s="17" t="s">
        <v>2989</v>
      </c>
      <c r="O567" s="17">
        <v>4.5241127E7</v>
      </c>
      <c r="P567" s="16" t="s">
        <v>1525</v>
      </c>
      <c r="Q567" s="17" t="s">
        <v>112</v>
      </c>
      <c r="S567" s="17" t="s">
        <v>2990</v>
      </c>
      <c r="U567" s="24"/>
      <c r="V567" s="24"/>
      <c r="W567" s="18" t="s">
        <v>76</v>
      </c>
    </row>
    <row r="568">
      <c r="A568" s="11"/>
      <c r="B568" s="12" t="s">
        <v>34</v>
      </c>
      <c r="C568" s="12" t="s">
        <v>65</v>
      </c>
      <c r="D568" s="12" t="s">
        <v>43</v>
      </c>
      <c r="E568" s="12" t="s">
        <v>224</v>
      </c>
      <c r="F568" s="13" t="s">
        <v>225</v>
      </c>
      <c r="G568" s="12" t="s">
        <v>68</v>
      </c>
      <c r="H568" s="12" t="s">
        <v>226</v>
      </c>
      <c r="I568" s="12" t="s">
        <v>227</v>
      </c>
      <c r="J568" s="17" t="s">
        <v>2169</v>
      </c>
      <c r="K568" s="18" t="s">
        <v>2170</v>
      </c>
      <c r="L568" s="20">
        <v>45852.0</v>
      </c>
      <c r="M568" s="17" t="s">
        <v>28</v>
      </c>
      <c r="N568" s="17" t="s">
        <v>2991</v>
      </c>
      <c r="O568" s="17">
        <v>7.2108997E7</v>
      </c>
      <c r="P568" s="17" t="s">
        <v>2992</v>
      </c>
      <c r="Q568" s="17" t="s">
        <v>73</v>
      </c>
      <c r="S568" s="17" t="s">
        <v>2993</v>
      </c>
      <c r="U568" s="24"/>
      <c r="V568" s="24"/>
      <c r="W568" s="18" t="s">
        <v>76</v>
      </c>
    </row>
    <row r="569">
      <c r="A569" s="11"/>
      <c r="B569" s="12" t="s">
        <v>34</v>
      </c>
      <c r="C569" s="12" t="s">
        <v>65</v>
      </c>
      <c r="D569" s="12" t="s">
        <v>43</v>
      </c>
      <c r="E569" s="12" t="s">
        <v>224</v>
      </c>
      <c r="F569" s="13" t="s">
        <v>225</v>
      </c>
      <c r="G569" s="12" t="s">
        <v>68</v>
      </c>
      <c r="H569" s="12" t="s">
        <v>226</v>
      </c>
      <c r="I569" s="12" t="s">
        <v>227</v>
      </c>
      <c r="J569" s="17" t="s">
        <v>2169</v>
      </c>
      <c r="K569" s="18" t="s">
        <v>2170</v>
      </c>
      <c r="L569" s="20">
        <v>45852.0</v>
      </c>
      <c r="M569" s="17" t="s">
        <v>28</v>
      </c>
      <c r="N569" s="17" t="s">
        <v>2994</v>
      </c>
      <c r="O569" s="17">
        <v>4.3949075E7</v>
      </c>
      <c r="P569" s="17" t="s">
        <v>2995</v>
      </c>
      <c r="Q569" s="17" t="s">
        <v>108</v>
      </c>
      <c r="S569" s="17" t="s">
        <v>2996</v>
      </c>
      <c r="U569" s="24"/>
      <c r="V569" s="24"/>
      <c r="W569" s="18" t="s">
        <v>76</v>
      </c>
    </row>
    <row r="570">
      <c r="A570" s="11"/>
      <c r="B570" s="12" t="s">
        <v>34</v>
      </c>
      <c r="C570" s="12" t="s">
        <v>65</v>
      </c>
      <c r="D570" s="12" t="s">
        <v>43</v>
      </c>
      <c r="E570" s="12" t="s">
        <v>224</v>
      </c>
      <c r="F570" s="13" t="s">
        <v>225</v>
      </c>
      <c r="G570" s="12" t="s">
        <v>68</v>
      </c>
      <c r="H570" s="12" t="s">
        <v>226</v>
      </c>
      <c r="I570" s="12" t="s">
        <v>227</v>
      </c>
      <c r="J570" s="17" t="s">
        <v>2169</v>
      </c>
      <c r="K570" s="18" t="s">
        <v>2170</v>
      </c>
      <c r="L570" s="20">
        <v>45852.0</v>
      </c>
      <c r="M570" s="17" t="s">
        <v>28</v>
      </c>
      <c r="N570" s="9" t="s">
        <v>2997</v>
      </c>
      <c r="O570" s="17">
        <v>7.0199166E7</v>
      </c>
      <c r="P570" s="17" t="s">
        <v>2998</v>
      </c>
      <c r="Q570" s="17" t="s">
        <v>108</v>
      </c>
      <c r="S570" s="17" t="s">
        <v>2999</v>
      </c>
      <c r="U570" s="24"/>
      <c r="V570" s="24"/>
      <c r="W570" s="18" t="s">
        <v>76</v>
      </c>
    </row>
    <row r="571">
      <c r="A571" s="11"/>
      <c r="B571" s="12" t="s">
        <v>34</v>
      </c>
      <c r="C571" s="12" t="s">
        <v>65</v>
      </c>
      <c r="D571" s="12" t="s">
        <v>43</v>
      </c>
      <c r="E571" s="12" t="s">
        <v>224</v>
      </c>
      <c r="F571" s="13" t="s">
        <v>225</v>
      </c>
      <c r="G571" s="12" t="s">
        <v>68</v>
      </c>
      <c r="H571" s="12" t="s">
        <v>226</v>
      </c>
      <c r="I571" s="12" t="s">
        <v>227</v>
      </c>
      <c r="J571" s="17" t="s">
        <v>2169</v>
      </c>
      <c r="K571" s="18" t="s">
        <v>2170</v>
      </c>
      <c r="L571" s="20">
        <v>45852.0</v>
      </c>
      <c r="M571" s="17" t="s">
        <v>28</v>
      </c>
      <c r="N571" s="17" t="s">
        <v>3000</v>
      </c>
      <c r="O571" s="17">
        <v>7.413385E7</v>
      </c>
      <c r="P571" s="17" t="s">
        <v>3001</v>
      </c>
      <c r="Q571" s="17" t="s">
        <v>108</v>
      </c>
      <c r="S571" s="17" t="s">
        <v>3002</v>
      </c>
      <c r="U571" s="24"/>
      <c r="V571" s="24"/>
      <c r="W571" s="18" t="s">
        <v>76</v>
      </c>
    </row>
    <row r="572">
      <c r="A572" s="11"/>
      <c r="B572" s="12" t="s">
        <v>34</v>
      </c>
      <c r="C572" s="12" t="s">
        <v>65</v>
      </c>
      <c r="D572" s="12" t="s">
        <v>43</v>
      </c>
      <c r="E572" s="12" t="s">
        <v>224</v>
      </c>
      <c r="F572" s="13" t="s">
        <v>225</v>
      </c>
      <c r="G572" s="12" t="s">
        <v>68</v>
      </c>
      <c r="H572" s="12" t="s">
        <v>226</v>
      </c>
      <c r="I572" s="12" t="s">
        <v>227</v>
      </c>
      <c r="J572" s="17" t="s">
        <v>2169</v>
      </c>
      <c r="K572" s="18" t="s">
        <v>2170</v>
      </c>
      <c r="L572" s="20">
        <v>45852.0</v>
      </c>
      <c r="M572" s="17" t="s">
        <v>28</v>
      </c>
      <c r="N572" s="17" t="s">
        <v>3003</v>
      </c>
      <c r="O572" s="17">
        <v>7.6951316E7</v>
      </c>
      <c r="P572" s="17" t="s">
        <v>3004</v>
      </c>
      <c r="Q572" s="17" t="s">
        <v>108</v>
      </c>
      <c r="S572" s="17" t="s">
        <v>3005</v>
      </c>
      <c r="U572" s="24"/>
      <c r="V572" s="24"/>
      <c r="W572" s="18" t="s">
        <v>76</v>
      </c>
    </row>
    <row r="573">
      <c r="A573" s="11"/>
      <c r="B573" s="12" t="s">
        <v>34</v>
      </c>
      <c r="C573" s="12" t="s">
        <v>65</v>
      </c>
      <c r="D573" s="12" t="s">
        <v>43</v>
      </c>
      <c r="E573" s="12" t="s">
        <v>224</v>
      </c>
      <c r="F573" s="13" t="s">
        <v>225</v>
      </c>
      <c r="G573" s="12" t="s">
        <v>68</v>
      </c>
      <c r="H573" s="12" t="s">
        <v>226</v>
      </c>
      <c r="I573" s="12" t="s">
        <v>227</v>
      </c>
      <c r="J573" s="17" t="s">
        <v>2169</v>
      </c>
      <c r="K573" s="18" t="s">
        <v>2170</v>
      </c>
      <c r="L573" s="20">
        <v>45852.0</v>
      </c>
      <c r="M573" s="17" t="s">
        <v>28</v>
      </c>
      <c r="N573" s="17" t="s">
        <v>3006</v>
      </c>
      <c r="O573" s="17">
        <v>4.7602211E7</v>
      </c>
      <c r="P573" s="17" t="s">
        <v>3007</v>
      </c>
      <c r="Q573" s="17" t="s">
        <v>73</v>
      </c>
      <c r="S573" s="17" t="s">
        <v>3008</v>
      </c>
      <c r="U573" s="24"/>
      <c r="V573" s="24"/>
      <c r="W573" s="18" t="s">
        <v>76</v>
      </c>
    </row>
    <row r="574">
      <c r="A574" s="11"/>
      <c r="B574" s="12" t="s">
        <v>34</v>
      </c>
      <c r="C574" s="12" t="s">
        <v>65</v>
      </c>
      <c r="D574" s="12" t="s">
        <v>43</v>
      </c>
      <c r="E574" s="12" t="s">
        <v>224</v>
      </c>
      <c r="F574" s="13" t="s">
        <v>225</v>
      </c>
      <c r="G574" s="12" t="s">
        <v>68</v>
      </c>
      <c r="H574" s="12" t="s">
        <v>226</v>
      </c>
      <c r="I574" s="12" t="s">
        <v>227</v>
      </c>
      <c r="J574" s="17" t="s">
        <v>2169</v>
      </c>
      <c r="K574" s="18" t="s">
        <v>2170</v>
      </c>
      <c r="L574" s="20">
        <v>45852.0</v>
      </c>
      <c r="M574" s="17" t="s">
        <v>28</v>
      </c>
      <c r="N574" s="9" t="s">
        <v>3009</v>
      </c>
      <c r="O574" s="17"/>
      <c r="P574" s="17"/>
      <c r="Q574" s="17"/>
      <c r="S574" s="17"/>
      <c r="U574" s="24"/>
      <c r="V574" s="24"/>
      <c r="W574" s="18" t="s">
        <v>76</v>
      </c>
    </row>
    <row r="575">
      <c r="A575" s="11"/>
      <c r="B575" s="12" t="s">
        <v>34</v>
      </c>
      <c r="C575" s="12" t="s">
        <v>65</v>
      </c>
      <c r="D575" s="12" t="s">
        <v>43</v>
      </c>
      <c r="E575" s="12" t="s">
        <v>224</v>
      </c>
      <c r="F575" s="13" t="s">
        <v>225</v>
      </c>
      <c r="G575" s="12" t="s">
        <v>68</v>
      </c>
      <c r="H575" s="12" t="s">
        <v>226</v>
      </c>
      <c r="I575" s="12" t="s">
        <v>227</v>
      </c>
      <c r="J575" s="17" t="s">
        <v>2169</v>
      </c>
      <c r="K575" s="18" t="s">
        <v>2170</v>
      </c>
      <c r="L575" s="20">
        <v>45852.0</v>
      </c>
      <c r="M575" s="17" t="s">
        <v>28</v>
      </c>
      <c r="N575" s="17" t="s">
        <v>3010</v>
      </c>
      <c r="O575" s="17">
        <v>7.2276634E7</v>
      </c>
      <c r="P575" s="17" t="s">
        <v>3011</v>
      </c>
      <c r="Q575" s="17" t="s">
        <v>73</v>
      </c>
      <c r="S575" s="17" t="s">
        <v>3012</v>
      </c>
      <c r="U575" s="24"/>
      <c r="V575" s="24"/>
      <c r="W575" s="18" t="s">
        <v>76</v>
      </c>
    </row>
    <row r="576">
      <c r="A576" s="11"/>
      <c r="B576" s="12" t="s">
        <v>34</v>
      </c>
      <c r="C576" s="12" t="s">
        <v>65</v>
      </c>
      <c r="D576" s="12" t="s">
        <v>43</v>
      </c>
      <c r="E576" s="12" t="s">
        <v>224</v>
      </c>
      <c r="F576" s="13" t="s">
        <v>225</v>
      </c>
      <c r="G576" s="12" t="s">
        <v>68</v>
      </c>
      <c r="H576" s="12" t="s">
        <v>226</v>
      </c>
      <c r="I576" s="12" t="s">
        <v>227</v>
      </c>
      <c r="J576" s="17" t="s">
        <v>2169</v>
      </c>
      <c r="K576" s="18" t="s">
        <v>2170</v>
      </c>
      <c r="L576" s="20">
        <v>45852.0</v>
      </c>
      <c r="M576" s="17" t="s">
        <v>28</v>
      </c>
      <c r="N576" s="17" t="s">
        <v>3013</v>
      </c>
      <c r="O576" s="17">
        <v>7.6744264E7</v>
      </c>
      <c r="P576" s="17" t="s">
        <v>1527</v>
      </c>
      <c r="Q576" s="17" t="s">
        <v>112</v>
      </c>
      <c r="S576" s="17" t="s">
        <v>3014</v>
      </c>
      <c r="U576" s="24"/>
      <c r="V576" s="24"/>
      <c r="W576" s="18" t="s">
        <v>76</v>
      </c>
    </row>
    <row r="577">
      <c r="A577" s="11"/>
      <c r="B577" s="12" t="s">
        <v>34</v>
      </c>
      <c r="C577" s="12" t="s">
        <v>65</v>
      </c>
      <c r="D577" s="12" t="s">
        <v>43</v>
      </c>
      <c r="E577" s="12" t="s">
        <v>224</v>
      </c>
      <c r="F577" s="13" t="s">
        <v>225</v>
      </c>
      <c r="G577" s="12" t="s">
        <v>68</v>
      </c>
      <c r="H577" s="12" t="s">
        <v>226</v>
      </c>
      <c r="I577" s="12" t="s">
        <v>227</v>
      </c>
      <c r="J577" s="17" t="s">
        <v>2169</v>
      </c>
      <c r="K577" s="18" t="s">
        <v>2170</v>
      </c>
      <c r="L577" s="20">
        <v>45852.0</v>
      </c>
      <c r="M577" s="17" t="s">
        <v>28</v>
      </c>
      <c r="N577" s="17" t="s">
        <v>3015</v>
      </c>
      <c r="O577" s="17">
        <v>7.0512494E7</v>
      </c>
      <c r="P577" s="17" t="s">
        <v>3016</v>
      </c>
      <c r="Q577" s="17" t="s">
        <v>73</v>
      </c>
      <c r="S577" s="17" t="s">
        <v>3017</v>
      </c>
      <c r="U577" s="24"/>
      <c r="V577" s="24"/>
      <c r="W577" s="18" t="s">
        <v>76</v>
      </c>
    </row>
    <row r="578">
      <c r="A578" s="11"/>
      <c r="B578" s="12" t="s">
        <v>34</v>
      </c>
      <c r="C578" s="12" t="s">
        <v>65</v>
      </c>
      <c r="D578" s="12" t="s">
        <v>43</v>
      </c>
      <c r="E578" s="12" t="s">
        <v>224</v>
      </c>
      <c r="F578" s="13" t="s">
        <v>225</v>
      </c>
      <c r="G578" s="12" t="s">
        <v>68</v>
      </c>
      <c r="H578" s="12" t="s">
        <v>226</v>
      </c>
      <c r="I578" s="12" t="s">
        <v>227</v>
      </c>
      <c r="J578" s="17" t="s">
        <v>2169</v>
      </c>
      <c r="K578" s="18" t="s">
        <v>2170</v>
      </c>
      <c r="L578" s="20">
        <v>45852.0</v>
      </c>
      <c r="M578" s="17" t="s">
        <v>28</v>
      </c>
      <c r="N578" s="17" t="s">
        <v>3018</v>
      </c>
      <c r="O578" s="17">
        <v>7.1096768E7</v>
      </c>
      <c r="P578" s="17" t="s">
        <v>3019</v>
      </c>
      <c r="Q578" s="17" t="s">
        <v>112</v>
      </c>
      <c r="S578" s="17" t="s">
        <v>3020</v>
      </c>
      <c r="U578" s="24"/>
      <c r="V578" s="24"/>
      <c r="W578" s="18" t="s">
        <v>76</v>
      </c>
    </row>
    <row r="579">
      <c r="A579" s="11"/>
      <c r="B579" s="12" t="s">
        <v>34</v>
      </c>
      <c r="C579" s="12" t="s">
        <v>65</v>
      </c>
      <c r="D579" s="12" t="s">
        <v>43</v>
      </c>
      <c r="E579" s="12" t="s">
        <v>224</v>
      </c>
      <c r="F579" s="13" t="s">
        <v>225</v>
      </c>
      <c r="G579" s="12" t="s">
        <v>68</v>
      </c>
      <c r="H579" s="12" t="s">
        <v>226</v>
      </c>
      <c r="I579" s="12" t="s">
        <v>227</v>
      </c>
      <c r="J579" s="17" t="s">
        <v>2169</v>
      </c>
      <c r="K579" s="18" t="s">
        <v>2170</v>
      </c>
      <c r="L579" s="20">
        <v>45852.0</v>
      </c>
      <c r="M579" s="17" t="s">
        <v>28</v>
      </c>
      <c r="N579" s="17" t="s">
        <v>3021</v>
      </c>
      <c r="O579" s="17">
        <v>4.8762263E7</v>
      </c>
      <c r="P579" s="17" t="s">
        <v>3022</v>
      </c>
      <c r="Q579" s="17" t="s">
        <v>73</v>
      </c>
      <c r="S579" s="17" t="s">
        <v>3023</v>
      </c>
      <c r="U579" s="24"/>
      <c r="V579" s="24"/>
      <c r="W579" s="18" t="s">
        <v>76</v>
      </c>
    </row>
    <row r="580">
      <c r="A580" s="11"/>
      <c r="B580" s="12" t="s">
        <v>34</v>
      </c>
      <c r="C580" s="12" t="s">
        <v>65</v>
      </c>
      <c r="D580" s="12" t="s">
        <v>43</v>
      </c>
      <c r="E580" s="12" t="s">
        <v>224</v>
      </c>
      <c r="F580" s="13" t="s">
        <v>225</v>
      </c>
      <c r="G580" s="12" t="s">
        <v>68</v>
      </c>
      <c r="H580" s="12" t="s">
        <v>226</v>
      </c>
      <c r="I580" s="12" t="s">
        <v>227</v>
      </c>
      <c r="J580" s="17" t="s">
        <v>2169</v>
      </c>
      <c r="K580" s="18" t="s">
        <v>2170</v>
      </c>
      <c r="L580" s="20">
        <v>45852.0</v>
      </c>
      <c r="M580" s="17" t="s">
        <v>28</v>
      </c>
      <c r="N580" s="17" t="s">
        <v>3024</v>
      </c>
      <c r="O580" s="17">
        <v>7.4397931E7</v>
      </c>
      <c r="P580" s="17" t="s">
        <v>3025</v>
      </c>
      <c r="Q580" s="17" t="s">
        <v>108</v>
      </c>
      <c r="S580" s="17" t="s">
        <v>3026</v>
      </c>
      <c r="U580" s="24"/>
      <c r="V580" s="24"/>
      <c r="W580" s="18" t="s">
        <v>76</v>
      </c>
    </row>
    <row r="581">
      <c r="A581" s="11"/>
      <c r="B581" s="12" t="s">
        <v>34</v>
      </c>
      <c r="C581" s="12" t="s">
        <v>65</v>
      </c>
      <c r="D581" s="12" t="s">
        <v>43</v>
      </c>
      <c r="E581" s="12" t="s">
        <v>224</v>
      </c>
      <c r="F581" s="13" t="s">
        <v>225</v>
      </c>
      <c r="G581" s="12" t="s">
        <v>68</v>
      </c>
      <c r="H581" s="12" t="s">
        <v>226</v>
      </c>
      <c r="I581" s="12" t="s">
        <v>227</v>
      </c>
      <c r="J581" s="17" t="s">
        <v>2169</v>
      </c>
      <c r="K581" s="18" t="s">
        <v>2170</v>
      </c>
      <c r="L581" s="20">
        <v>45852.0</v>
      </c>
      <c r="M581" s="17" t="s">
        <v>28</v>
      </c>
      <c r="N581" s="9" t="s">
        <v>3027</v>
      </c>
      <c r="O581" s="17">
        <v>4.5853653E7</v>
      </c>
      <c r="P581" s="17" t="s">
        <v>3028</v>
      </c>
      <c r="Q581" s="17" t="s">
        <v>108</v>
      </c>
      <c r="S581" s="17" t="s">
        <v>3029</v>
      </c>
      <c r="U581" s="24"/>
      <c r="V581" s="24"/>
      <c r="W581" s="18" t="s">
        <v>76</v>
      </c>
    </row>
    <row r="582">
      <c r="A582" s="11"/>
      <c r="B582" s="12" t="s">
        <v>34</v>
      </c>
      <c r="C582" s="12" t="s">
        <v>65</v>
      </c>
      <c r="D582" s="12" t="s">
        <v>43</v>
      </c>
      <c r="E582" s="12" t="s">
        <v>224</v>
      </c>
      <c r="F582" s="13" t="s">
        <v>225</v>
      </c>
      <c r="G582" s="12" t="s">
        <v>68</v>
      </c>
      <c r="H582" s="12" t="s">
        <v>226</v>
      </c>
      <c r="I582" s="12" t="s">
        <v>227</v>
      </c>
      <c r="J582" s="17" t="s">
        <v>2169</v>
      </c>
      <c r="K582" s="18" t="s">
        <v>2170</v>
      </c>
      <c r="L582" s="20">
        <v>45852.0</v>
      </c>
      <c r="M582" s="17" t="s">
        <v>28</v>
      </c>
      <c r="N582" s="17" t="s">
        <v>3030</v>
      </c>
      <c r="O582" s="17">
        <v>4.5766368E7</v>
      </c>
      <c r="P582" s="17" t="s">
        <v>3031</v>
      </c>
      <c r="Q582" s="17" t="s">
        <v>73</v>
      </c>
      <c r="S582" s="17" t="s">
        <v>3032</v>
      </c>
      <c r="U582" s="24"/>
      <c r="V582" s="24"/>
      <c r="W582" s="18" t="s">
        <v>76</v>
      </c>
    </row>
    <row r="583">
      <c r="A583" s="11"/>
      <c r="B583" s="12" t="s">
        <v>34</v>
      </c>
      <c r="C583" s="12" t="s">
        <v>65</v>
      </c>
      <c r="D583" s="12" t="s">
        <v>43</v>
      </c>
      <c r="E583" s="12" t="s">
        <v>224</v>
      </c>
      <c r="F583" s="13" t="s">
        <v>225</v>
      </c>
      <c r="G583" s="12" t="s">
        <v>68</v>
      </c>
      <c r="H583" s="12" t="s">
        <v>226</v>
      </c>
      <c r="I583" s="12" t="s">
        <v>227</v>
      </c>
      <c r="J583" s="17" t="s">
        <v>2169</v>
      </c>
      <c r="K583" s="18" t="s">
        <v>2170</v>
      </c>
      <c r="L583" s="20">
        <v>45852.0</v>
      </c>
      <c r="M583" s="17" t="s">
        <v>28</v>
      </c>
      <c r="N583" s="17" t="s">
        <v>3033</v>
      </c>
      <c r="O583" s="17">
        <v>7.5841362E7</v>
      </c>
      <c r="P583" s="17" t="s">
        <v>2995</v>
      </c>
      <c r="Q583" s="17" t="s">
        <v>108</v>
      </c>
      <c r="S583" s="17" t="s">
        <v>2996</v>
      </c>
      <c r="U583" s="24"/>
      <c r="V583" s="24"/>
      <c r="W583" s="18" t="s">
        <v>76</v>
      </c>
    </row>
    <row r="584">
      <c r="A584" s="11"/>
      <c r="B584" s="12" t="s">
        <v>34</v>
      </c>
      <c r="C584" s="12" t="s">
        <v>65</v>
      </c>
      <c r="D584" s="12" t="s">
        <v>43</v>
      </c>
      <c r="E584" s="12" t="s">
        <v>224</v>
      </c>
      <c r="F584" s="13" t="s">
        <v>225</v>
      </c>
      <c r="G584" s="12" t="s">
        <v>68</v>
      </c>
      <c r="H584" s="12" t="s">
        <v>226</v>
      </c>
      <c r="I584" s="12" t="s">
        <v>227</v>
      </c>
      <c r="J584" s="17" t="s">
        <v>2169</v>
      </c>
      <c r="K584" s="18" t="s">
        <v>2170</v>
      </c>
      <c r="L584" s="20">
        <v>45852.0</v>
      </c>
      <c r="M584" s="17" t="s">
        <v>28</v>
      </c>
      <c r="N584" s="17" t="s">
        <v>3034</v>
      </c>
      <c r="O584" s="17">
        <v>4.719226E7</v>
      </c>
      <c r="P584" s="17" t="s">
        <v>3035</v>
      </c>
      <c r="Q584" s="17" t="s">
        <v>73</v>
      </c>
      <c r="S584" s="17" t="s">
        <v>3036</v>
      </c>
      <c r="U584" s="24"/>
      <c r="V584" s="24"/>
      <c r="W584" s="18" t="s">
        <v>76</v>
      </c>
    </row>
    <row r="585">
      <c r="A585" s="11"/>
      <c r="B585" s="12" t="s">
        <v>34</v>
      </c>
      <c r="C585" s="12" t="s">
        <v>65</v>
      </c>
      <c r="D585" s="12" t="s">
        <v>43</v>
      </c>
      <c r="E585" s="12" t="s">
        <v>224</v>
      </c>
      <c r="F585" s="13" t="s">
        <v>225</v>
      </c>
      <c r="G585" s="12" t="s">
        <v>68</v>
      </c>
      <c r="H585" s="12" t="s">
        <v>226</v>
      </c>
      <c r="I585" s="12" t="s">
        <v>227</v>
      </c>
      <c r="J585" s="17" t="s">
        <v>2169</v>
      </c>
      <c r="K585" s="18" t="s">
        <v>2170</v>
      </c>
      <c r="L585" s="20">
        <v>45852.0</v>
      </c>
      <c r="M585" s="17" t="s">
        <v>28</v>
      </c>
      <c r="N585" s="17" t="s">
        <v>3037</v>
      </c>
      <c r="O585" s="17">
        <v>7.6836651E7</v>
      </c>
      <c r="P585" s="17" t="s">
        <v>3038</v>
      </c>
      <c r="Q585" s="17" t="s">
        <v>112</v>
      </c>
      <c r="S585" s="17" t="s">
        <v>3039</v>
      </c>
      <c r="U585" s="24"/>
      <c r="V585" s="24"/>
      <c r="W585" s="18" t="s">
        <v>76</v>
      </c>
    </row>
    <row r="586">
      <c r="A586" s="11"/>
      <c r="B586" s="12" t="s">
        <v>34</v>
      </c>
      <c r="C586" s="12" t="s">
        <v>65</v>
      </c>
      <c r="D586" s="12" t="s">
        <v>43</v>
      </c>
      <c r="E586" s="12" t="s">
        <v>224</v>
      </c>
      <c r="F586" s="13" t="s">
        <v>225</v>
      </c>
      <c r="G586" s="12" t="s">
        <v>68</v>
      </c>
      <c r="H586" s="12" t="s">
        <v>226</v>
      </c>
      <c r="I586" s="12" t="s">
        <v>227</v>
      </c>
      <c r="J586" s="17" t="s">
        <v>2169</v>
      </c>
      <c r="K586" s="18" t="s">
        <v>2170</v>
      </c>
      <c r="L586" s="20">
        <v>45852.0</v>
      </c>
      <c r="M586" s="17" t="s">
        <v>28</v>
      </c>
      <c r="N586" s="17" t="s">
        <v>3040</v>
      </c>
      <c r="O586" s="17">
        <v>4.1985115E7</v>
      </c>
      <c r="P586" s="17" t="s">
        <v>3041</v>
      </c>
      <c r="Q586" s="17" t="s">
        <v>112</v>
      </c>
      <c r="S586" s="17" t="s">
        <v>3042</v>
      </c>
      <c r="U586" s="24"/>
      <c r="V586" s="24"/>
      <c r="W586" s="18" t="s">
        <v>76</v>
      </c>
    </row>
    <row r="587">
      <c r="A587" s="11"/>
      <c r="B587" s="12" t="s">
        <v>34</v>
      </c>
      <c r="C587" s="12" t="s">
        <v>65</v>
      </c>
      <c r="D587" s="12" t="s">
        <v>43</v>
      </c>
      <c r="E587" s="12" t="s">
        <v>224</v>
      </c>
      <c r="F587" s="13" t="s">
        <v>225</v>
      </c>
      <c r="G587" s="12" t="s">
        <v>68</v>
      </c>
      <c r="H587" s="12" t="s">
        <v>226</v>
      </c>
      <c r="I587" s="12" t="s">
        <v>227</v>
      </c>
      <c r="J587" s="17" t="s">
        <v>2169</v>
      </c>
      <c r="K587" s="18" t="s">
        <v>2170</v>
      </c>
      <c r="L587" s="20">
        <v>45852.0</v>
      </c>
      <c r="M587" s="17" t="s">
        <v>28</v>
      </c>
      <c r="N587" s="17" t="s">
        <v>3043</v>
      </c>
      <c r="O587" s="17">
        <v>4.7664575E7</v>
      </c>
      <c r="P587" s="17" t="s">
        <v>3044</v>
      </c>
      <c r="Q587" s="17" t="s">
        <v>112</v>
      </c>
      <c r="S587" s="17" t="s">
        <v>3045</v>
      </c>
      <c r="U587" s="24"/>
      <c r="V587" s="24"/>
      <c r="W587" s="18" t="s">
        <v>76</v>
      </c>
    </row>
    <row r="588">
      <c r="A588" s="11"/>
      <c r="B588" s="12" t="s">
        <v>34</v>
      </c>
      <c r="C588" s="12" t="s">
        <v>65</v>
      </c>
      <c r="D588" s="12" t="s">
        <v>43</v>
      </c>
      <c r="E588" s="12" t="s">
        <v>224</v>
      </c>
      <c r="F588" s="13" t="s">
        <v>225</v>
      </c>
      <c r="G588" s="12" t="s">
        <v>68</v>
      </c>
      <c r="H588" s="12" t="s">
        <v>226</v>
      </c>
      <c r="I588" s="12" t="s">
        <v>227</v>
      </c>
      <c r="J588" s="17" t="s">
        <v>2169</v>
      </c>
      <c r="K588" s="18" t="s">
        <v>2170</v>
      </c>
      <c r="L588" s="20">
        <v>45852.0</v>
      </c>
      <c r="M588" s="17" t="s">
        <v>28</v>
      </c>
      <c r="N588" s="17" t="s">
        <v>3046</v>
      </c>
      <c r="O588" s="17">
        <v>4.589156E7</v>
      </c>
      <c r="P588" s="17" t="s">
        <v>3047</v>
      </c>
      <c r="Q588" s="17" t="s">
        <v>112</v>
      </c>
      <c r="S588" s="17" t="s">
        <v>3048</v>
      </c>
      <c r="U588" s="24"/>
      <c r="V588" s="24"/>
      <c r="W588" s="18" t="s">
        <v>76</v>
      </c>
    </row>
    <row r="589">
      <c r="A589" s="11"/>
      <c r="B589" s="12" t="s">
        <v>34</v>
      </c>
      <c r="C589" s="12" t="s">
        <v>65</v>
      </c>
      <c r="D589" s="12" t="s">
        <v>43</v>
      </c>
      <c r="E589" s="12" t="s">
        <v>224</v>
      </c>
      <c r="F589" s="13" t="s">
        <v>225</v>
      </c>
      <c r="G589" s="12" t="s">
        <v>68</v>
      </c>
      <c r="H589" s="12" t="s">
        <v>226</v>
      </c>
      <c r="I589" s="12" t="s">
        <v>227</v>
      </c>
      <c r="J589" s="17" t="s">
        <v>2169</v>
      </c>
      <c r="K589" s="18" t="s">
        <v>2170</v>
      </c>
      <c r="L589" s="20">
        <v>45852.0</v>
      </c>
      <c r="M589" s="17" t="s">
        <v>28</v>
      </c>
      <c r="N589" s="17" t="s">
        <v>3049</v>
      </c>
      <c r="O589" s="17">
        <v>7.2043462E7</v>
      </c>
      <c r="P589" s="17" t="s">
        <v>3050</v>
      </c>
      <c r="Q589" s="17" t="s">
        <v>112</v>
      </c>
      <c r="S589" s="17" t="s">
        <v>3051</v>
      </c>
      <c r="U589" s="24"/>
      <c r="V589" s="24"/>
      <c r="W589" s="18" t="s">
        <v>76</v>
      </c>
    </row>
    <row r="590">
      <c r="A590" s="11"/>
      <c r="B590" s="12" t="s">
        <v>34</v>
      </c>
      <c r="C590" s="12" t="s">
        <v>65</v>
      </c>
      <c r="D590" s="12" t="s">
        <v>43</v>
      </c>
      <c r="E590" s="12" t="s">
        <v>224</v>
      </c>
      <c r="F590" s="13" t="s">
        <v>225</v>
      </c>
      <c r="G590" s="12" t="s">
        <v>68</v>
      </c>
      <c r="H590" s="12" t="s">
        <v>226</v>
      </c>
      <c r="I590" s="12" t="s">
        <v>227</v>
      </c>
      <c r="J590" s="17" t="s">
        <v>2169</v>
      </c>
      <c r="K590" s="18" t="s">
        <v>2170</v>
      </c>
      <c r="L590" s="20">
        <v>45852.0</v>
      </c>
      <c r="M590" s="17" t="s">
        <v>28</v>
      </c>
      <c r="N590" s="17" t="s">
        <v>3052</v>
      </c>
      <c r="O590" s="17">
        <v>4.5960182E7</v>
      </c>
      <c r="P590" s="119" t="s">
        <v>3053</v>
      </c>
      <c r="Q590" s="17" t="s">
        <v>112</v>
      </c>
      <c r="S590" s="17" t="s">
        <v>3054</v>
      </c>
      <c r="U590" s="24"/>
      <c r="V590" s="24"/>
      <c r="W590" s="18" t="s">
        <v>76</v>
      </c>
    </row>
    <row r="591">
      <c r="A591" s="11"/>
      <c r="B591" s="12" t="s">
        <v>34</v>
      </c>
      <c r="C591" s="12" t="s">
        <v>65</v>
      </c>
      <c r="D591" s="12" t="s">
        <v>43</v>
      </c>
      <c r="E591" s="12" t="s">
        <v>224</v>
      </c>
      <c r="F591" s="13" t="s">
        <v>225</v>
      </c>
      <c r="G591" s="12" t="s">
        <v>68</v>
      </c>
      <c r="H591" s="12" t="s">
        <v>226</v>
      </c>
      <c r="I591" s="12" t="s">
        <v>227</v>
      </c>
      <c r="J591" s="17" t="s">
        <v>2169</v>
      </c>
      <c r="K591" s="18" t="s">
        <v>2170</v>
      </c>
      <c r="L591" s="20">
        <v>45852.0</v>
      </c>
      <c r="M591" s="17" t="s">
        <v>28</v>
      </c>
      <c r="N591" s="17" t="s">
        <v>3055</v>
      </c>
      <c r="O591" s="17">
        <v>4.5078833E7</v>
      </c>
      <c r="P591" s="17" t="s">
        <v>3056</v>
      </c>
      <c r="Q591" s="17" t="s">
        <v>112</v>
      </c>
      <c r="S591" s="17" t="s">
        <v>3057</v>
      </c>
      <c r="U591" s="24"/>
      <c r="V591" s="24"/>
      <c r="W591" s="18" t="s">
        <v>76</v>
      </c>
    </row>
    <row r="592">
      <c r="A592" s="11"/>
      <c r="B592" s="12" t="s">
        <v>34</v>
      </c>
      <c r="C592" s="12" t="s">
        <v>65</v>
      </c>
      <c r="D592" s="12" t="s">
        <v>43</v>
      </c>
      <c r="E592" s="12" t="s">
        <v>224</v>
      </c>
      <c r="F592" s="13" t="s">
        <v>225</v>
      </c>
      <c r="G592" s="12" t="s">
        <v>68</v>
      </c>
      <c r="H592" s="12" t="s">
        <v>226</v>
      </c>
      <c r="I592" s="12" t="s">
        <v>227</v>
      </c>
      <c r="J592" s="17" t="s">
        <v>2169</v>
      </c>
      <c r="K592" s="18" t="s">
        <v>2170</v>
      </c>
      <c r="L592" s="20">
        <v>45852.0</v>
      </c>
      <c r="M592" s="17" t="s">
        <v>28</v>
      </c>
      <c r="N592" s="119" t="s">
        <v>3058</v>
      </c>
      <c r="O592" s="17">
        <v>4.5888958E7</v>
      </c>
      <c r="P592" s="17" t="s">
        <v>3059</v>
      </c>
      <c r="Q592" s="17" t="s">
        <v>112</v>
      </c>
      <c r="S592" s="17" t="s">
        <v>3060</v>
      </c>
      <c r="U592" s="24"/>
      <c r="V592" s="24"/>
      <c r="W592" s="18" t="s">
        <v>76</v>
      </c>
    </row>
    <row r="593">
      <c r="A593" s="11"/>
      <c r="B593" s="12" t="s">
        <v>34</v>
      </c>
      <c r="C593" s="12" t="s">
        <v>65</v>
      </c>
      <c r="D593" s="12" t="s">
        <v>43</v>
      </c>
      <c r="E593" s="12" t="s">
        <v>224</v>
      </c>
      <c r="F593" s="13" t="s">
        <v>225</v>
      </c>
      <c r="G593" s="12" t="s">
        <v>68</v>
      </c>
      <c r="H593" s="12" t="s">
        <v>226</v>
      </c>
      <c r="I593" s="12" t="s">
        <v>227</v>
      </c>
      <c r="J593" s="17" t="s">
        <v>2169</v>
      </c>
      <c r="K593" s="18" t="s">
        <v>2170</v>
      </c>
      <c r="L593" s="20">
        <v>45852.0</v>
      </c>
      <c r="M593" s="17" t="s">
        <v>28</v>
      </c>
      <c r="N593" s="9" t="s">
        <v>3061</v>
      </c>
      <c r="O593" s="17">
        <v>4.544537E7</v>
      </c>
      <c r="P593" s="17" t="s">
        <v>3062</v>
      </c>
      <c r="Q593" s="17" t="s">
        <v>108</v>
      </c>
      <c r="S593" s="17" t="s">
        <v>3063</v>
      </c>
      <c r="U593" s="24"/>
      <c r="V593" s="24"/>
      <c r="W593" s="18" t="s">
        <v>76</v>
      </c>
    </row>
    <row r="594">
      <c r="A594" s="11"/>
      <c r="B594" s="12" t="s">
        <v>34</v>
      </c>
      <c r="C594" s="12" t="s">
        <v>65</v>
      </c>
      <c r="D594" s="12" t="s">
        <v>43</v>
      </c>
      <c r="E594" s="12" t="s">
        <v>224</v>
      </c>
      <c r="F594" s="13" t="s">
        <v>225</v>
      </c>
      <c r="G594" s="12" t="s">
        <v>68</v>
      </c>
      <c r="H594" s="12" t="s">
        <v>226</v>
      </c>
      <c r="I594" s="12" t="s">
        <v>227</v>
      </c>
      <c r="J594" s="17" t="s">
        <v>2169</v>
      </c>
      <c r="K594" s="18" t="s">
        <v>2170</v>
      </c>
      <c r="L594" s="20">
        <v>45852.0</v>
      </c>
      <c r="M594" s="17" t="s">
        <v>28</v>
      </c>
      <c r="N594" s="17" t="s">
        <v>3064</v>
      </c>
      <c r="O594" s="17">
        <v>4.463827E7</v>
      </c>
      <c r="P594" s="17" t="s">
        <v>3065</v>
      </c>
      <c r="Q594" s="17" t="s">
        <v>73</v>
      </c>
      <c r="S594" s="17" t="s">
        <v>3066</v>
      </c>
      <c r="U594" s="24"/>
      <c r="V594" s="24"/>
      <c r="W594" s="18" t="s">
        <v>76</v>
      </c>
    </row>
    <row r="595">
      <c r="A595" s="11"/>
      <c r="B595" s="12" t="s">
        <v>34</v>
      </c>
      <c r="C595" s="12" t="s">
        <v>65</v>
      </c>
      <c r="D595" s="12" t="s">
        <v>43</v>
      </c>
      <c r="E595" s="12" t="s">
        <v>224</v>
      </c>
      <c r="F595" s="13" t="s">
        <v>225</v>
      </c>
      <c r="G595" s="12" t="s">
        <v>68</v>
      </c>
      <c r="H595" s="12" t="s">
        <v>226</v>
      </c>
      <c r="I595" s="12" t="s">
        <v>227</v>
      </c>
      <c r="J595" s="17" t="s">
        <v>2169</v>
      </c>
      <c r="K595" s="18" t="s">
        <v>2170</v>
      </c>
      <c r="L595" s="20">
        <v>45852.0</v>
      </c>
      <c r="M595" s="17" t="s">
        <v>28</v>
      </c>
      <c r="N595" s="17" t="s">
        <v>3067</v>
      </c>
      <c r="O595" s="17">
        <v>7.6665754E7</v>
      </c>
      <c r="P595" s="17" t="s">
        <v>3068</v>
      </c>
      <c r="Q595" s="17" t="s">
        <v>108</v>
      </c>
      <c r="S595" s="17" t="s">
        <v>3069</v>
      </c>
      <c r="U595" s="24"/>
      <c r="V595" s="24"/>
      <c r="W595" s="18" t="s">
        <v>76</v>
      </c>
    </row>
    <row r="596">
      <c r="A596" s="11"/>
      <c r="B596" s="12" t="s">
        <v>34</v>
      </c>
      <c r="C596" s="12" t="s">
        <v>65</v>
      </c>
      <c r="D596" s="12" t="s">
        <v>43</v>
      </c>
      <c r="E596" s="12" t="s">
        <v>224</v>
      </c>
      <c r="F596" s="13" t="s">
        <v>225</v>
      </c>
      <c r="G596" s="12" t="s">
        <v>68</v>
      </c>
      <c r="H596" s="12" t="s">
        <v>226</v>
      </c>
      <c r="I596" s="12" t="s">
        <v>227</v>
      </c>
      <c r="J596" s="17" t="s">
        <v>2169</v>
      </c>
      <c r="K596" s="18" t="s">
        <v>2170</v>
      </c>
      <c r="L596" s="20">
        <v>45852.0</v>
      </c>
      <c r="M596" s="17" t="s">
        <v>28</v>
      </c>
      <c r="N596" s="17" t="s">
        <v>3070</v>
      </c>
      <c r="O596" s="17">
        <v>4.8354688E7</v>
      </c>
      <c r="P596" s="17" t="s">
        <v>3071</v>
      </c>
      <c r="Q596" s="17" t="s">
        <v>108</v>
      </c>
      <c r="S596" s="17" t="s">
        <v>3072</v>
      </c>
      <c r="U596" s="24"/>
      <c r="V596" s="24"/>
      <c r="W596" s="18" t="s">
        <v>76</v>
      </c>
    </row>
    <row r="597">
      <c r="A597" s="11"/>
      <c r="B597" s="12" t="s">
        <v>34</v>
      </c>
      <c r="C597" s="12" t="s">
        <v>65</v>
      </c>
      <c r="D597" s="12" t="s">
        <v>43</v>
      </c>
      <c r="E597" s="12" t="s">
        <v>224</v>
      </c>
      <c r="F597" s="13" t="s">
        <v>225</v>
      </c>
      <c r="G597" s="12" t="s">
        <v>68</v>
      </c>
      <c r="H597" s="12" t="s">
        <v>226</v>
      </c>
      <c r="I597" s="12" t="s">
        <v>227</v>
      </c>
      <c r="J597" s="17" t="s">
        <v>2169</v>
      </c>
      <c r="K597" s="18" t="s">
        <v>2170</v>
      </c>
      <c r="L597" s="20">
        <v>45852.0</v>
      </c>
      <c r="M597" s="17" t="s">
        <v>28</v>
      </c>
      <c r="N597" s="17" t="s">
        <v>3073</v>
      </c>
      <c r="O597" s="17">
        <v>7.2569811E7</v>
      </c>
      <c r="P597" s="17" t="s">
        <v>3074</v>
      </c>
      <c r="Q597" s="17" t="s">
        <v>73</v>
      </c>
      <c r="S597" s="17" t="s">
        <v>3075</v>
      </c>
      <c r="U597" s="24"/>
      <c r="V597" s="24"/>
      <c r="W597" s="18" t="s">
        <v>76</v>
      </c>
    </row>
    <row r="598">
      <c r="A598" s="11"/>
      <c r="B598" s="12" t="s">
        <v>34</v>
      </c>
      <c r="C598" s="12" t="s">
        <v>65</v>
      </c>
      <c r="D598" s="12" t="s">
        <v>43</v>
      </c>
      <c r="E598" s="12" t="s">
        <v>224</v>
      </c>
      <c r="F598" s="13" t="s">
        <v>225</v>
      </c>
      <c r="G598" s="12" t="s">
        <v>68</v>
      </c>
      <c r="H598" s="12" t="s">
        <v>226</v>
      </c>
      <c r="I598" s="12" t="s">
        <v>227</v>
      </c>
      <c r="J598" s="17" t="s">
        <v>2169</v>
      </c>
      <c r="K598" s="18" t="s">
        <v>2170</v>
      </c>
      <c r="L598" s="20">
        <v>45852.0</v>
      </c>
      <c r="M598" s="17" t="s">
        <v>28</v>
      </c>
      <c r="N598" s="17" t="s">
        <v>3076</v>
      </c>
      <c r="O598" s="17">
        <v>4.6455121E7</v>
      </c>
      <c r="P598" s="17" t="s">
        <v>3077</v>
      </c>
      <c r="Q598" s="17" t="s">
        <v>73</v>
      </c>
      <c r="S598" s="17" t="s">
        <v>3078</v>
      </c>
      <c r="U598" s="24"/>
      <c r="V598" s="24"/>
      <c r="W598" s="18" t="s">
        <v>76</v>
      </c>
    </row>
    <row r="599">
      <c r="A599" s="11"/>
      <c r="B599" s="12" t="s">
        <v>34</v>
      </c>
      <c r="C599" s="12" t="s">
        <v>65</v>
      </c>
      <c r="D599" s="12" t="s">
        <v>43</v>
      </c>
      <c r="E599" s="12" t="s">
        <v>224</v>
      </c>
      <c r="F599" s="13" t="s">
        <v>225</v>
      </c>
      <c r="G599" s="12" t="s">
        <v>68</v>
      </c>
      <c r="H599" s="12" t="s">
        <v>226</v>
      </c>
      <c r="I599" s="12" t="s">
        <v>227</v>
      </c>
      <c r="J599" s="17" t="s">
        <v>2169</v>
      </c>
      <c r="K599" s="18" t="s">
        <v>2170</v>
      </c>
      <c r="L599" s="20">
        <v>45852.0</v>
      </c>
      <c r="M599" s="17" t="s">
        <v>28</v>
      </c>
      <c r="N599" s="9" t="s">
        <v>3079</v>
      </c>
      <c r="O599" s="17">
        <v>4.4754591E7</v>
      </c>
      <c r="P599" s="17" t="s">
        <v>3080</v>
      </c>
      <c r="Q599" s="17" t="s">
        <v>108</v>
      </c>
      <c r="S599" s="17" t="s">
        <v>3081</v>
      </c>
      <c r="U599" s="24"/>
      <c r="V599" s="24"/>
      <c r="W599" s="18" t="s">
        <v>76</v>
      </c>
    </row>
    <row r="600">
      <c r="A600" s="11"/>
      <c r="B600" s="12" t="s">
        <v>34</v>
      </c>
      <c r="C600" s="12" t="s">
        <v>65</v>
      </c>
      <c r="D600" s="12" t="s">
        <v>43</v>
      </c>
      <c r="E600" s="12" t="s">
        <v>224</v>
      </c>
      <c r="F600" s="13" t="s">
        <v>225</v>
      </c>
      <c r="G600" s="12" t="s">
        <v>68</v>
      </c>
      <c r="H600" s="12" t="s">
        <v>226</v>
      </c>
      <c r="I600" s="12" t="s">
        <v>227</v>
      </c>
      <c r="J600" s="17" t="s">
        <v>2169</v>
      </c>
      <c r="K600" s="18" t="s">
        <v>2170</v>
      </c>
      <c r="L600" s="20">
        <v>45852.0</v>
      </c>
      <c r="M600" s="17" t="s">
        <v>28</v>
      </c>
      <c r="N600" s="17" t="s">
        <v>3082</v>
      </c>
      <c r="O600" s="17">
        <v>7.4986709E7</v>
      </c>
      <c r="P600" s="17" t="s">
        <v>3083</v>
      </c>
      <c r="Q600" s="17" t="s">
        <v>108</v>
      </c>
      <c r="S600" s="17" t="s">
        <v>3084</v>
      </c>
      <c r="U600" s="24"/>
      <c r="V600" s="24"/>
      <c r="W600" s="18" t="s">
        <v>76</v>
      </c>
    </row>
    <row r="601">
      <c r="A601" s="11"/>
      <c r="B601" s="12" t="s">
        <v>34</v>
      </c>
      <c r="C601" s="12" t="s">
        <v>65</v>
      </c>
      <c r="D601" s="12" t="s">
        <v>43</v>
      </c>
      <c r="E601" s="12" t="s">
        <v>224</v>
      </c>
      <c r="F601" s="13" t="s">
        <v>225</v>
      </c>
      <c r="G601" s="12" t="s">
        <v>68</v>
      </c>
      <c r="H601" s="12" t="s">
        <v>226</v>
      </c>
      <c r="I601" s="12" t="s">
        <v>227</v>
      </c>
      <c r="J601" s="17" t="s">
        <v>2169</v>
      </c>
      <c r="K601" s="18" t="s">
        <v>2170</v>
      </c>
      <c r="L601" s="20">
        <v>45852.0</v>
      </c>
      <c r="M601" s="17" t="s">
        <v>28</v>
      </c>
      <c r="N601" s="17" t="s">
        <v>3085</v>
      </c>
      <c r="O601" s="17">
        <v>7.7669114E7</v>
      </c>
      <c r="P601" s="17" t="s">
        <v>3086</v>
      </c>
      <c r="Q601" s="17" t="s">
        <v>112</v>
      </c>
      <c r="S601" s="17" t="s">
        <v>3087</v>
      </c>
      <c r="U601" s="24"/>
      <c r="V601" s="24"/>
      <c r="W601" s="18" t="s">
        <v>76</v>
      </c>
    </row>
    <row r="602">
      <c r="A602" s="11"/>
      <c r="B602" s="12" t="s">
        <v>34</v>
      </c>
      <c r="C602" s="12" t="s">
        <v>65</v>
      </c>
      <c r="D602" s="12" t="s">
        <v>43</v>
      </c>
      <c r="E602" s="12" t="s">
        <v>224</v>
      </c>
      <c r="F602" s="13" t="s">
        <v>225</v>
      </c>
      <c r="G602" s="12" t="s">
        <v>68</v>
      </c>
      <c r="H602" s="12" t="s">
        <v>226</v>
      </c>
      <c r="I602" s="12" t="s">
        <v>227</v>
      </c>
      <c r="J602" s="17" t="s">
        <v>2169</v>
      </c>
      <c r="K602" s="18" t="s">
        <v>2170</v>
      </c>
      <c r="L602" s="20">
        <v>45852.0</v>
      </c>
      <c r="M602" s="17" t="s">
        <v>28</v>
      </c>
      <c r="N602" s="9" t="s">
        <v>3088</v>
      </c>
      <c r="O602" s="17">
        <v>7.3468947E7</v>
      </c>
      <c r="P602" s="17" t="s">
        <v>3089</v>
      </c>
      <c r="Q602" s="17" t="s">
        <v>112</v>
      </c>
      <c r="S602" s="17" t="s">
        <v>3090</v>
      </c>
      <c r="U602" s="24"/>
      <c r="V602" s="24"/>
      <c r="W602" s="18" t="s">
        <v>76</v>
      </c>
    </row>
    <row r="603">
      <c r="A603" s="11"/>
      <c r="B603" s="12" t="s">
        <v>34</v>
      </c>
      <c r="C603" s="12" t="s">
        <v>65</v>
      </c>
      <c r="D603" s="12" t="s">
        <v>43</v>
      </c>
      <c r="E603" s="12" t="s">
        <v>224</v>
      </c>
      <c r="F603" s="13" t="s">
        <v>225</v>
      </c>
      <c r="G603" s="12" t="s">
        <v>68</v>
      </c>
      <c r="H603" s="12" t="s">
        <v>226</v>
      </c>
      <c r="I603" s="12" t="s">
        <v>227</v>
      </c>
      <c r="J603" s="17" t="s">
        <v>2169</v>
      </c>
      <c r="K603" s="18" t="s">
        <v>2170</v>
      </c>
      <c r="L603" s="20">
        <v>45852.0</v>
      </c>
      <c r="M603" s="17" t="s">
        <v>28</v>
      </c>
      <c r="N603" s="17" t="s">
        <v>3091</v>
      </c>
      <c r="O603" s="17">
        <v>4.7696352E7</v>
      </c>
      <c r="P603" s="17" t="s">
        <v>3025</v>
      </c>
      <c r="Q603" s="17" t="s">
        <v>73</v>
      </c>
      <c r="S603" s="17" t="s">
        <v>3092</v>
      </c>
      <c r="U603" s="24"/>
      <c r="V603" s="24"/>
      <c r="W603" s="18" t="s">
        <v>76</v>
      </c>
    </row>
    <row r="604">
      <c r="A604" s="11"/>
      <c r="B604" s="12" t="s">
        <v>34</v>
      </c>
      <c r="C604" s="12" t="s">
        <v>65</v>
      </c>
      <c r="D604" s="12" t="s">
        <v>43</v>
      </c>
      <c r="E604" s="12" t="s">
        <v>224</v>
      </c>
      <c r="F604" s="13" t="s">
        <v>225</v>
      </c>
      <c r="G604" s="12" t="s">
        <v>68</v>
      </c>
      <c r="H604" s="12" t="s">
        <v>226</v>
      </c>
      <c r="I604" s="12" t="s">
        <v>227</v>
      </c>
      <c r="J604" s="17" t="s">
        <v>2169</v>
      </c>
      <c r="K604" s="18" t="s">
        <v>2170</v>
      </c>
      <c r="L604" s="20">
        <v>45852.0</v>
      </c>
      <c r="M604" s="17" t="s">
        <v>28</v>
      </c>
      <c r="N604" s="17" t="s">
        <v>3093</v>
      </c>
      <c r="O604" s="17">
        <v>4.1705861E7</v>
      </c>
      <c r="P604" s="17" t="s">
        <v>3094</v>
      </c>
      <c r="Q604" s="17" t="s">
        <v>112</v>
      </c>
      <c r="S604" s="17" t="s">
        <v>3095</v>
      </c>
      <c r="U604" s="24"/>
      <c r="V604" s="24"/>
      <c r="W604" s="18" t="s">
        <v>76</v>
      </c>
    </row>
    <row r="605">
      <c r="A605" s="11"/>
      <c r="B605" s="12" t="s">
        <v>34</v>
      </c>
      <c r="C605" s="12" t="s">
        <v>65</v>
      </c>
      <c r="D605" s="12" t="s">
        <v>43</v>
      </c>
      <c r="E605" s="12" t="s">
        <v>224</v>
      </c>
      <c r="F605" s="13" t="s">
        <v>225</v>
      </c>
      <c r="G605" s="12" t="s">
        <v>68</v>
      </c>
      <c r="H605" s="12" t="s">
        <v>226</v>
      </c>
      <c r="I605" s="12" t="s">
        <v>227</v>
      </c>
      <c r="J605" s="17" t="s">
        <v>2779</v>
      </c>
      <c r="K605" s="18" t="s">
        <v>2780</v>
      </c>
      <c r="L605" s="20">
        <v>45880.0</v>
      </c>
      <c r="M605" s="17" t="s">
        <v>28</v>
      </c>
      <c r="N605" s="17" t="s">
        <v>3027</v>
      </c>
      <c r="O605" s="17">
        <v>4.5853653E7</v>
      </c>
      <c r="P605" s="17" t="s">
        <v>3096</v>
      </c>
      <c r="Q605" s="17" t="s">
        <v>108</v>
      </c>
      <c r="S605" s="17" t="s">
        <v>3097</v>
      </c>
      <c r="U605" s="24"/>
      <c r="V605" s="24"/>
      <c r="W605" s="18" t="s">
        <v>76</v>
      </c>
    </row>
    <row r="606">
      <c r="A606" s="11"/>
      <c r="B606" s="12" t="s">
        <v>34</v>
      </c>
      <c r="C606" s="12" t="s">
        <v>65</v>
      </c>
      <c r="D606" s="12" t="s">
        <v>43</v>
      </c>
      <c r="E606" s="12" t="s">
        <v>224</v>
      </c>
      <c r="F606" s="13" t="s">
        <v>225</v>
      </c>
      <c r="G606" s="12" t="s">
        <v>68</v>
      </c>
      <c r="H606" s="12" t="s">
        <v>226</v>
      </c>
      <c r="I606" s="12" t="s">
        <v>227</v>
      </c>
      <c r="J606" s="17" t="s">
        <v>2779</v>
      </c>
      <c r="K606" s="18" t="s">
        <v>2780</v>
      </c>
      <c r="L606" s="20">
        <v>45880.0</v>
      </c>
      <c r="M606" s="17" t="s">
        <v>28</v>
      </c>
      <c r="N606" s="9" t="s">
        <v>3098</v>
      </c>
      <c r="O606" s="17">
        <v>4.7867908E7</v>
      </c>
      <c r="P606" s="17" t="s">
        <v>3099</v>
      </c>
      <c r="Q606" s="17" t="s">
        <v>108</v>
      </c>
      <c r="S606" s="17" t="s">
        <v>3100</v>
      </c>
      <c r="U606" s="24"/>
      <c r="V606" s="24"/>
      <c r="W606" s="18" t="s">
        <v>76</v>
      </c>
    </row>
    <row r="607">
      <c r="A607" s="11"/>
      <c r="B607" s="12" t="s">
        <v>34</v>
      </c>
      <c r="C607" s="12" t="s">
        <v>65</v>
      </c>
      <c r="D607" s="12" t="s">
        <v>43</v>
      </c>
      <c r="E607" s="12" t="s">
        <v>224</v>
      </c>
      <c r="F607" s="13" t="s">
        <v>225</v>
      </c>
      <c r="G607" s="12" t="s">
        <v>68</v>
      </c>
      <c r="H607" s="12" t="s">
        <v>226</v>
      </c>
      <c r="I607" s="12" t="s">
        <v>227</v>
      </c>
      <c r="J607" s="17" t="s">
        <v>2779</v>
      </c>
      <c r="K607" s="18" t="s">
        <v>2780</v>
      </c>
      <c r="L607" s="20">
        <v>45880.0</v>
      </c>
      <c r="M607" s="17" t="s">
        <v>28</v>
      </c>
      <c r="N607" s="17" t="s">
        <v>3101</v>
      </c>
      <c r="O607" s="17">
        <v>4.4716015E7</v>
      </c>
      <c r="P607" s="17" t="s">
        <v>3102</v>
      </c>
      <c r="Q607" s="17" t="s">
        <v>108</v>
      </c>
      <c r="S607" s="17" t="s">
        <v>3103</v>
      </c>
      <c r="U607" s="24"/>
      <c r="V607" s="24"/>
      <c r="W607" s="18" t="s">
        <v>76</v>
      </c>
    </row>
    <row r="608">
      <c r="A608" s="11"/>
      <c r="B608" s="12" t="s">
        <v>34</v>
      </c>
      <c r="C608" s="12" t="s">
        <v>65</v>
      </c>
      <c r="D608" s="12" t="s">
        <v>43</v>
      </c>
      <c r="E608" s="12" t="s">
        <v>224</v>
      </c>
      <c r="F608" s="13" t="s">
        <v>225</v>
      </c>
      <c r="G608" s="12" t="s">
        <v>68</v>
      </c>
      <c r="H608" s="12" t="s">
        <v>226</v>
      </c>
      <c r="I608" s="12" t="s">
        <v>227</v>
      </c>
      <c r="J608" s="17" t="s">
        <v>2779</v>
      </c>
      <c r="K608" s="18" t="s">
        <v>2780</v>
      </c>
      <c r="L608" s="20">
        <v>45880.0</v>
      </c>
      <c r="M608" s="17" t="s">
        <v>28</v>
      </c>
      <c r="N608" s="17" t="s">
        <v>2989</v>
      </c>
      <c r="O608" s="17">
        <v>4.5241127E7</v>
      </c>
      <c r="P608" s="17" t="s">
        <v>3104</v>
      </c>
      <c r="Q608" s="17" t="s">
        <v>112</v>
      </c>
      <c r="S608" s="17" t="s">
        <v>3105</v>
      </c>
      <c r="U608" s="24"/>
      <c r="V608" s="24"/>
      <c r="W608" s="18" t="s">
        <v>76</v>
      </c>
    </row>
    <row r="609">
      <c r="A609" s="11"/>
      <c r="B609" s="12" t="s">
        <v>34</v>
      </c>
      <c r="C609" s="12" t="s">
        <v>65</v>
      </c>
      <c r="D609" s="12" t="s">
        <v>43</v>
      </c>
      <c r="E609" s="12" t="s">
        <v>224</v>
      </c>
      <c r="F609" s="13" t="s">
        <v>225</v>
      </c>
      <c r="G609" s="12" t="s">
        <v>68</v>
      </c>
      <c r="H609" s="12" t="s">
        <v>226</v>
      </c>
      <c r="I609" s="12" t="s">
        <v>227</v>
      </c>
      <c r="J609" s="17" t="s">
        <v>2779</v>
      </c>
      <c r="K609" s="18" t="s">
        <v>2780</v>
      </c>
      <c r="L609" s="20">
        <v>45880.0</v>
      </c>
      <c r="M609" s="17" t="s">
        <v>28</v>
      </c>
      <c r="N609" s="17" t="s">
        <v>3106</v>
      </c>
      <c r="P609" s="17" t="s">
        <v>3107</v>
      </c>
      <c r="Q609" s="17" t="s">
        <v>112</v>
      </c>
      <c r="S609" s="17" t="s">
        <v>3108</v>
      </c>
      <c r="U609" s="24"/>
      <c r="V609" s="24"/>
      <c r="W609" s="18" t="s">
        <v>76</v>
      </c>
    </row>
    <row r="610">
      <c r="A610" s="11"/>
      <c r="B610" s="12" t="s">
        <v>34</v>
      </c>
      <c r="C610" s="12" t="s">
        <v>65</v>
      </c>
      <c r="D610" s="12" t="s">
        <v>43</v>
      </c>
      <c r="E610" s="12" t="s">
        <v>224</v>
      </c>
      <c r="F610" s="13" t="s">
        <v>225</v>
      </c>
      <c r="G610" s="12" t="s">
        <v>68</v>
      </c>
      <c r="H610" s="12" t="s">
        <v>226</v>
      </c>
      <c r="I610" s="12" t="s">
        <v>227</v>
      </c>
      <c r="J610" s="17" t="s">
        <v>2779</v>
      </c>
      <c r="K610" s="18" t="s">
        <v>2780</v>
      </c>
      <c r="L610" s="20">
        <v>45880.0</v>
      </c>
      <c r="M610" s="17" t="s">
        <v>28</v>
      </c>
      <c r="N610" s="17" t="s">
        <v>3109</v>
      </c>
      <c r="O610" s="17">
        <v>4.70984E7</v>
      </c>
      <c r="P610" s="17" t="s">
        <v>3110</v>
      </c>
      <c r="Q610" s="17" t="s">
        <v>73</v>
      </c>
      <c r="S610" s="17" t="s">
        <v>3111</v>
      </c>
      <c r="U610" s="24"/>
      <c r="V610" s="24"/>
      <c r="W610" s="18" t="s">
        <v>76</v>
      </c>
    </row>
    <row r="611">
      <c r="A611" s="11"/>
      <c r="B611" s="12" t="s">
        <v>34</v>
      </c>
      <c r="C611" s="12" t="s">
        <v>65</v>
      </c>
      <c r="D611" s="12" t="s">
        <v>43</v>
      </c>
      <c r="E611" s="12" t="s">
        <v>224</v>
      </c>
      <c r="F611" s="13" t="s">
        <v>225</v>
      </c>
      <c r="G611" s="12" t="s">
        <v>68</v>
      </c>
      <c r="H611" s="12" t="s">
        <v>226</v>
      </c>
      <c r="I611" s="12" t="s">
        <v>227</v>
      </c>
      <c r="J611" s="17" t="s">
        <v>2779</v>
      </c>
      <c r="K611" s="18" t="s">
        <v>2780</v>
      </c>
      <c r="L611" s="20">
        <v>45880.0</v>
      </c>
      <c r="M611" s="17" t="s">
        <v>28</v>
      </c>
      <c r="N611" s="9" t="s">
        <v>3082</v>
      </c>
      <c r="O611" s="17">
        <v>7.4986709E7</v>
      </c>
      <c r="P611" s="17" t="s">
        <v>3083</v>
      </c>
      <c r="Q611" s="17" t="s">
        <v>108</v>
      </c>
      <c r="S611" s="17" t="s">
        <v>3084</v>
      </c>
      <c r="U611" s="24"/>
      <c r="V611" s="24"/>
      <c r="W611" s="18" t="s">
        <v>76</v>
      </c>
    </row>
    <row r="612">
      <c r="A612" s="11"/>
      <c r="B612" s="12" t="s">
        <v>34</v>
      </c>
      <c r="C612" s="12" t="s">
        <v>65</v>
      </c>
      <c r="D612" s="12" t="s">
        <v>43</v>
      </c>
      <c r="E612" s="12" t="s">
        <v>224</v>
      </c>
      <c r="F612" s="13" t="s">
        <v>225</v>
      </c>
      <c r="G612" s="12" t="s">
        <v>68</v>
      </c>
      <c r="H612" s="12" t="s">
        <v>226</v>
      </c>
      <c r="I612" s="12" t="s">
        <v>227</v>
      </c>
      <c r="J612" s="17" t="s">
        <v>2779</v>
      </c>
      <c r="K612" s="18" t="s">
        <v>2780</v>
      </c>
      <c r="L612" s="20">
        <v>45880.0</v>
      </c>
      <c r="M612" s="17" t="s">
        <v>28</v>
      </c>
      <c r="N612" s="9" t="s">
        <v>3024</v>
      </c>
      <c r="O612" s="17">
        <v>7.4397931E7</v>
      </c>
      <c r="Q612" s="17" t="s">
        <v>108</v>
      </c>
      <c r="S612" s="17" t="s">
        <v>108</v>
      </c>
      <c r="U612" s="24"/>
      <c r="V612" s="24"/>
      <c r="W612" s="18" t="s">
        <v>76</v>
      </c>
    </row>
    <row r="613">
      <c r="A613" s="11"/>
      <c r="B613" s="12" t="s">
        <v>34</v>
      </c>
      <c r="C613" s="12" t="s">
        <v>65</v>
      </c>
      <c r="D613" s="12" t="s">
        <v>43</v>
      </c>
      <c r="E613" s="12" t="s">
        <v>224</v>
      </c>
      <c r="F613" s="13" t="s">
        <v>225</v>
      </c>
      <c r="G613" s="12" t="s">
        <v>68</v>
      </c>
      <c r="H613" s="12" t="s">
        <v>226</v>
      </c>
      <c r="I613" s="12" t="s">
        <v>227</v>
      </c>
      <c r="J613" s="17" t="s">
        <v>2779</v>
      </c>
      <c r="K613" s="18" t="s">
        <v>2780</v>
      </c>
      <c r="L613" s="20">
        <v>45880.0</v>
      </c>
      <c r="M613" s="17" t="s">
        <v>28</v>
      </c>
      <c r="N613" s="119" t="s">
        <v>3112</v>
      </c>
      <c r="P613" s="17" t="s">
        <v>3053</v>
      </c>
      <c r="Q613" s="17" t="s">
        <v>112</v>
      </c>
      <c r="S613" s="17" t="s">
        <v>3054</v>
      </c>
      <c r="U613" s="24"/>
      <c r="V613" s="24"/>
      <c r="W613" s="18" t="s">
        <v>76</v>
      </c>
    </row>
    <row r="614">
      <c r="A614" s="11"/>
      <c r="B614" s="12" t="s">
        <v>34</v>
      </c>
      <c r="C614" s="12" t="s">
        <v>65</v>
      </c>
      <c r="D614" s="12" t="s">
        <v>43</v>
      </c>
      <c r="E614" s="12" t="s">
        <v>224</v>
      </c>
      <c r="F614" s="13" t="s">
        <v>225</v>
      </c>
      <c r="G614" s="12" t="s">
        <v>68</v>
      </c>
      <c r="H614" s="12" t="s">
        <v>226</v>
      </c>
      <c r="I614" s="12" t="s">
        <v>227</v>
      </c>
      <c r="J614" s="17" t="s">
        <v>2779</v>
      </c>
      <c r="K614" s="18" t="s">
        <v>2780</v>
      </c>
      <c r="L614" s="20">
        <v>45880.0</v>
      </c>
      <c r="M614" s="17" t="s">
        <v>28</v>
      </c>
      <c r="N614" s="9" t="s">
        <v>2991</v>
      </c>
      <c r="O614" s="17">
        <v>7.2108997E7</v>
      </c>
      <c r="P614" s="17" t="s">
        <v>2992</v>
      </c>
      <c r="Q614" s="17" t="s">
        <v>73</v>
      </c>
      <c r="S614" s="17" t="s">
        <v>2993</v>
      </c>
      <c r="U614" s="24"/>
      <c r="V614" s="24"/>
      <c r="W614" s="18" t="s">
        <v>76</v>
      </c>
    </row>
    <row r="615">
      <c r="A615" s="11"/>
      <c r="B615" s="12" t="s">
        <v>34</v>
      </c>
      <c r="C615" s="12" t="s">
        <v>65</v>
      </c>
      <c r="D615" s="12" t="s">
        <v>43</v>
      </c>
      <c r="E615" s="12" t="s">
        <v>224</v>
      </c>
      <c r="F615" s="13" t="s">
        <v>225</v>
      </c>
      <c r="G615" s="12" t="s">
        <v>68</v>
      </c>
      <c r="H615" s="12" t="s">
        <v>226</v>
      </c>
      <c r="I615" s="12" t="s">
        <v>227</v>
      </c>
      <c r="J615" s="17" t="s">
        <v>2779</v>
      </c>
      <c r="K615" s="18" t="s">
        <v>2780</v>
      </c>
      <c r="L615" s="20">
        <v>45880.0</v>
      </c>
      <c r="M615" s="17" t="s">
        <v>28</v>
      </c>
      <c r="N615" s="17" t="s">
        <v>3113</v>
      </c>
      <c r="O615" s="17">
        <v>3.2303652E7</v>
      </c>
      <c r="P615" s="119" t="s">
        <v>3114</v>
      </c>
      <c r="Q615" s="17" t="s">
        <v>112</v>
      </c>
      <c r="S615" s="17" t="s">
        <v>3115</v>
      </c>
      <c r="U615" s="24"/>
      <c r="V615" s="24"/>
      <c r="W615" s="18" t="s">
        <v>76</v>
      </c>
    </row>
    <row r="616">
      <c r="A616" s="11"/>
      <c r="B616" s="12" t="s">
        <v>34</v>
      </c>
      <c r="C616" s="12" t="s">
        <v>65</v>
      </c>
      <c r="D616" s="12" t="s">
        <v>43</v>
      </c>
      <c r="E616" s="12" t="s">
        <v>224</v>
      </c>
      <c r="F616" s="13" t="s">
        <v>225</v>
      </c>
      <c r="G616" s="12" t="s">
        <v>68</v>
      </c>
      <c r="H616" s="12" t="s">
        <v>226</v>
      </c>
      <c r="I616" s="12" t="s">
        <v>227</v>
      </c>
      <c r="J616" s="17" t="s">
        <v>2779</v>
      </c>
      <c r="K616" s="18" t="s">
        <v>2780</v>
      </c>
      <c r="L616" s="20">
        <v>45880.0</v>
      </c>
      <c r="M616" s="17" t="s">
        <v>28</v>
      </c>
      <c r="N616" s="9" t="s">
        <v>3067</v>
      </c>
      <c r="O616" s="17">
        <v>7.6665754E7</v>
      </c>
      <c r="P616" s="17" t="s">
        <v>3068</v>
      </c>
      <c r="Q616" s="17" t="s">
        <v>108</v>
      </c>
      <c r="S616" s="17" t="s">
        <v>3069</v>
      </c>
      <c r="U616" s="24"/>
      <c r="V616" s="24"/>
      <c r="W616" s="18" t="s">
        <v>76</v>
      </c>
    </row>
    <row r="617">
      <c r="A617" s="11"/>
      <c r="B617" s="12" t="s">
        <v>34</v>
      </c>
      <c r="C617" s="12" t="s">
        <v>65</v>
      </c>
      <c r="D617" s="12" t="s">
        <v>43</v>
      </c>
      <c r="E617" s="12" t="s">
        <v>224</v>
      </c>
      <c r="F617" s="13" t="s">
        <v>225</v>
      </c>
      <c r="G617" s="12" t="s">
        <v>68</v>
      </c>
      <c r="H617" s="12" t="s">
        <v>226</v>
      </c>
      <c r="I617" s="12" t="s">
        <v>227</v>
      </c>
      <c r="J617" s="17" t="s">
        <v>2779</v>
      </c>
      <c r="K617" s="18" t="s">
        <v>2780</v>
      </c>
      <c r="L617" s="20">
        <v>45880.0</v>
      </c>
      <c r="M617" s="17" t="s">
        <v>28</v>
      </c>
      <c r="N617" s="9" t="s">
        <v>2997</v>
      </c>
      <c r="O617" s="17">
        <v>7.1099166E7</v>
      </c>
      <c r="P617" s="17" t="s">
        <v>2998</v>
      </c>
      <c r="Q617" s="17" t="s">
        <v>108</v>
      </c>
      <c r="S617" s="17" t="s">
        <v>2999</v>
      </c>
      <c r="U617" s="24"/>
      <c r="V617" s="24"/>
      <c r="W617" s="18" t="s">
        <v>76</v>
      </c>
    </row>
    <row r="618">
      <c r="A618" s="11"/>
      <c r="B618" s="12" t="s">
        <v>34</v>
      </c>
      <c r="C618" s="12" t="s">
        <v>65</v>
      </c>
      <c r="D618" s="12" t="s">
        <v>43</v>
      </c>
      <c r="E618" s="12" t="s">
        <v>224</v>
      </c>
      <c r="F618" s="13" t="s">
        <v>225</v>
      </c>
      <c r="G618" s="12" t="s">
        <v>68</v>
      </c>
      <c r="H618" s="12" t="s">
        <v>226</v>
      </c>
      <c r="I618" s="12" t="s">
        <v>227</v>
      </c>
      <c r="J618" s="17" t="s">
        <v>2779</v>
      </c>
      <c r="K618" s="18" t="s">
        <v>2780</v>
      </c>
      <c r="L618" s="20">
        <v>45880.0</v>
      </c>
      <c r="M618" s="17" t="s">
        <v>28</v>
      </c>
      <c r="N618" s="9" t="s">
        <v>3116</v>
      </c>
      <c r="O618" s="17">
        <v>7.5841362E7</v>
      </c>
      <c r="P618" s="17" t="s">
        <v>3117</v>
      </c>
      <c r="Q618" s="17" t="s">
        <v>108</v>
      </c>
      <c r="S618" s="17" t="s">
        <v>3118</v>
      </c>
      <c r="U618" s="24"/>
      <c r="V618" s="24"/>
      <c r="W618" s="18" t="s">
        <v>76</v>
      </c>
    </row>
    <row r="619">
      <c r="A619" s="11"/>
      <c r="B619" s="12" t="s">
        <v>34</v>
      </c>
      <c r="C619" s="12" t="s">
        <v>65</v>
      </c>
      <c r="D619" s="12" t="s">
        <v>43</v>
      </c>
      <c r="E619" s="12" t="s">
        <v>224</v>
      </c>
      <c r="F619" s="13" t="s">
        <v>225</v>
      </c>
      <c r="G619" s="12" t="s">
        <v>68</v>
      </c>
      <c r="H619" s="12" t="s">
        <v>226</v>
      </c>
      <c r="I619" s="12" t="s">
        <v>227</v>
      </c>
      <c r="J619" s="17" t="s">
        <v>2779</v>
      </c>
      <c r="K619" s="18" t="s">
        <v>2780</v>
      </c>
      <c r="L619" s="20">
        <v>45880.0</v>
      </c>
      <c r="M619" s="17" t="s">
        <v>28</v>
      </c>
      <c r="N619" s="17" t="s">
        <v>3119</v>
      </c>
      <c r="O619" s="17">
        <v>7.2568635E7</v>
      </c>
      <c r="P619" s="17" t="s">
        <v>3120</v>
      </c>
      <c r="Q619" s="17" t="s">
        <v>108</v>
      </c>
      <c r="S619" s="17" t="s">
        <v>3121</v>
      </c>
      <c r="U619" s="24"/>
      <c r="V619" s="24"/>
      <c r="W619" s="18" t="s">
        <v>76</v>
      </c>
    </row>
    <row r="620">
      <c r="A620" s="11"/>
      <c r="B620" s="12" t="s">
        <v>34</v>
      </c>
      <c r="C620" s="12" t="s">
        <v>65</v>
      </c>
      <c r="D620" s="12" t="s">
        <v>43</v>
      </c>
      <c r="E620" s="12" t="s">
        <v>224</v>
      </c>
      <c r="F620" s="13" t="s">
        <v>225</v>
      </c>
      <c r="G620" s="12" t="s">
        <v>68</v>
      </c>
      <c r="H620" s="12" t="s">
        <v>226</v>
      </c>
      <c r="I620" s="12" t="s">
        <v>227</v>
      </c>
      <c r="J620" s="17" t="s">
        <v>2779</v>
      </c>
      <c r="K620" s="18" t="s">
        <v>2780</v>
      </c>
      <c r="L620" s="20">
        <v>45880.0</v>
      </c>
      <c r="M620" s="17" t="s">
        <v>28</v>
      </c>
      <c r="N620" s="9" t="s">
        <v>3003</v>
      </c>
      <c r="O620" s="17">
        <v>7.6951316E7</v>
      </c>
      <c r="P620" s="17" t="s">
        <v>3004</v>
      </c>
      <c r="Q620" s="17" t="s">
        <v>108</v>
      </c>
      <c r="S620" s="17" t="s">
        <v>3005</v>
      </c>
      <c r="U620" s="24"/>
      <c r="V620" s="24"/>
      <c r="W620" s="18" t="s">
        <v>76</v>
      </c>
    </row>
    <row r="621">
      <c r="A621" s="11"/>
      <c r="B621" s="12" t="s">
        <v>34</v>
      </c>
      <c r="C621" s="12" t="s">
        <v>65</v>
      </c>
      <c r="D621" s="12" t="s">
        <v>43</v>
      </c>
      <c r="E621" s="12" t="s">
        <v>224</v>
      </c>
      <c r="F621" s="13" t="s">
        <v>225</v>
      </c>
      <c r="G621" s="12" t="s">
        <v>68</v>
      </c>
      <c r="H621" s="12" t="s">
        <v>226</v>
      </c>
      <c r="I621" s="12" t="s">
        <v>227</v>
      </c>
      <c r="J621" s="17" t="s">
        <v>2779</v>
      </c>
      <c r="K621" s="18" t="s">
        <v>2780</v>
      </c>
      <c r="L621" s="20">
        <v>45880.0</v>
      </c>
      <c r="M621" s="17" t="s">
        <v>28</v>
      </c>
      <c r="N621" s="17" t="s">
        <v>3122</v>
      </c>
      <c r="Q621" s="17" t="s">
        <v>108</v>
      </c>
      <c r="S621" s="17" t="s">
        <v>108</v>
      </c>
      <c r="U621" s="24"/>
      <c r="V621" s="24"/>
      <c r="W621" s="18" t="s">
        <v>76</v>
      </c>
    </row>
    <row r="622">
      <c r="A622" s="11"/>
      <c r="B622" s="12" t="s">
        <v>34</v>
      </c>
      <c r="C622" s="12" t="s">
        <v>65</v>
      </c>
      <c r="D622" s="12" t="s">
        <v>43</v>
      </c>
      <c r="E622" s="12" t="s">
        <v>224</v>
      </c>
      <c r="F622" s="13" t="s">
        <v>225</v>
      </c>
      <c r="G622" s="12" t="s">
        <v>68</v>
      </c>
      <c r="H622" s="12" t="s">
        <v>226</v>
      </c>
      <c r="I622" s="12" t="s">
        <v>227</v>
      </c>
      <c r="J622" s="17" t="s">
        <v>2779</v>
      </c>
      <c r="K622" s="18" t="s">
        <v>2780</v>
      </c>
      <c r="L622" s="20">
        <v>45880.0</v>
      </c>
      <c r="M622" s="17" t="s">
        <v>28</v>
      </c>
      <c r="N622" s="9" t="s">
        <v>3091</v>
      </c>
      <c r="O622" s="17">
        <v>4.7696352E7</v>
      </c>
      <c r="P622" s="17" t="s">
        <v>3123</v>
      </c>
      <c r="Q622" s="17" t="s">
        <v>73</v>
      </c>
      <c r="S622" s="17" t="s">
        <v>3124</v>
      </c>
      <c r="U622" s="24"/>
      <c r="V622" s="24"/>
      <c r="W622" s="18" t="s">
        <v>76</v>
      </c>
    </row>
    <row r="623">
      <c r="A623" s="11"/>
      <c r="B623" s="12" t="s">
        <v>34</v>
      </c>
      <c r="C623" s="12" t="s">
        <v>65</v>
      </c>
      <c r="D623" s="12" t="s">
        <v>43</v>
      </c>
      <c r="E623" s="12" t="s">
        <v>224</v>
      </c>
      <c r="F623" s="13" t="s">
        <v>225</v>
      </c>
      <c r="G623" s="12" t="s">
        <v>68</v>
      </c>
      <c r="H623" s="12" t="s">
        <v>226</v>
      </c>
      <c r="I623" s="12" t="s">
        <v>227</v>
      </c>
      <c r="J623" s="17" t="s">
        <v>2779</v>
      </c>
      <c r="K623" s="18" t="s">
        <v>2780</v>
      </c>
      <c r="L623" s="20">
        <v>45880.0</v>
      </c>
      <c r="M623" s="17" t="s">
        <v>28</v>
      </c>
      <c r="N623" s="9" t="s">
        <v>3076</v>
      </c>
      <c r="O623" s="17">
        <v>4.6455121E7</v>
      </c>
      <c r="P623" s="17" t="s">
        <v>3077</v>
      </c>
      <c r="Q623" s="17" t="s">
        <v>73</v>
      </c>
      <c r="S623" s="17" t="s">
        <v>3078</v>
      </c>
      <c r="U623" s="24"/>
      <c r="V623" s="24"/>
      <c r="W623" s="18" t="s">
        <v>76</v>
      </c>
    </row>
    <row r="624">
      <c r="A624" s="11"/>
      <c r="B624" s="12" t="s">
        <v>34</v>
      </c>
      <c r="C624" s="12" t="s">
        <v>65</v>
      </c>
      <c r="D624" s="12" t="s">
        <v>43</v>
      </c>
      <c r="E624" s="12" t="s">
        <v>224</v>
      </c>
      <c r="F624" s="13" t="s">
        <v>225</v>
      </c>
      <c r="G624" s="12" t="s">
        <v>68</v>
      </c>
      <c r="H624" s="12" t="s">
        <v>226</v>
      </c>
      <c r="I624" s="12" t="s">
        <v>227</v>
      </c>
      <c r="J624" s="17" t="s">
        <v>2779</v>
      </c>
      <c r="K624" s="18" t="s">
        <v>2780</v>
      </c>
      <c r="L624" s="20">
        <v>45880.0</v>
      </c>
      <c r="M624" s="17" t="s">
        <v>28</v>
      </c>
      <c r="N624" s="17" t="s">
        <v>3125</v>
      </c>
      <c r="O624" s="17">
        <v>8.0172432E7</v>
      </c>
      <c r="P624" s="17" t="s">
        <v>3126</v>
      </c>
      <c r="Q624" s="17" t="s">
        <v>73</v>
      </c>
      <c r="S624" s="17" t="s">
        <v>3127</v>
      </c>
      <c r="U624" s="24"/>
      <c r="V624" s="24"/>
      <c r="W624" s="18" t="s">
        <v>76</v>
      </c>
    </row>
    <row r="625">
      <c r="A625" s="11"/>
      <c r="B625" s="12" t="s">
        <v>34</v>
      </c>
      <c r="C625" s="12" t="s">
        <v>65</v>
      </c>
      <c r="D625" s="12" t="s">
        <v>43</v>
      </c>
      <c r="E625" s="12" t="s">
        <v>224</v>
      </c>
      <c r="F625" s="13" t="s">
        <v>225</v>
      </c>
      <c r="G625" s="12" t="s">
        <v>68</v>
      </c>
      <c r="H625" s="12" t="s">
        <v>226</v>
      </c>
      <c r="I625" s="12" t="s">
        <v>227</v>
      </c>
      <c r="J625" s="17" t="s">
        <v>2779</v>
      </c>
      <c r="K625" s="18" t="s">
        <v>2780</v>
      </c>
      <c r="L625" s="20">
        <v>45880.0</v>
      </c>
      <c r="M625" s="17" t="s">
        <v>28</v>
      </c>
      <c r="N625" s="9" t="s">
        <v>2994</v>
      </c>
      <c r="O625" s="17">
        <v>4.3949075E7</v>
      </c>
      <c r="P625" s="17" t="s">
        <v>3128</v>
      </c>
      <c r="Q625" s="17" t="s">
        <v>108</v>
      </c>
      <c r="S625" s="17" t="s">
        <v>3129</v>
      </c>
      <c r="U625" s="24"/>
      <c r="V625" s="24"/>
      <c r="W625" s="18" t="s">
        <v>76</v>
      </c>
    </row>
    <row r="626">
      <c r="A626" s="11"/>
      <c r="B626" s="12" t="s">
        <v>34</v>
      </c>
      <c r="C626" s="12" t="s">
        <v>65</v>
      </c>
      <c r="D626" s="12" t="s">
        <v>43</v>
      </c>
      <c r="E626" s="12" t="s">
        <v>224</v>
      </c>
      <c r="F626" s="13" t="s">
        <v>225</v>
      </c>
      <c r="G626" s="12" t="s">
        <v>68</v>
      </c>
      <c r="H626" s="12" t="s">
        <v>226</v>
      </c>
      <c r="I626" s="12" t="s">
        <v>227</v>
      </c>
      <c r="J626" s="17" t="s">
        <v>2779</v>
      </c>
      <c r="K626" s="18" t="s">
        <v>2780</v>
      </c>
      <c r="L626" s="20">
        <v>45880.0</v>
      </c>
      <c r="M626" s="17" t="s">
        <v>28</v>
      </c>
      <c r="N626" s="9" t="s">
        <v>3000</v>
      </c>
      <c r="O626" s="17">
        <v>7.413385E7</v>
      </c>
      <c r="Q626" s="17" t="s">
        <v>108</v>
      </c>
      <c r="S626" s="17" t="s">
        <v>108</v>
      </c>
      <c r="U626" s="24"/>
      <c r="V626" s="24"/>
      <c r="W626" s="18" t="s">
        <v>76</v>
      </c>
    </row>
    <row r="627">
      <c r="A627" s="11"/>
      <c r="B627" s="12" t="s">
        <v>34</v>
      </c>
      <c r="C627" s="12" t="s">
        <v>65</v>
      </c>
      <c r="D627" s="12" t="s">
        <v>43</v>
      </c>
      <c r="E627" s="12" t="s">
        <v>224</v>
      </c>
      <c r="F627" s="13" t="s">
        <v>225</v>
      </c>
      <c r="G627" s="12" t="s">
        <v>68</v>
      </c>
      <c r="H627" s="12" t="s">
        <v>226</v>
      </c>
      <c r="I627" s="12" t="s">
        <v>227</v>
      </c>
      <c r="J627" s="17" t="s">
        <v>2779</v>
      </c>
      <c r="K627" s="18" t="s">
        <v>2780</v>
      </c>
      <c r="L627" s="20">
        <v>45880.0</v>
      </c>
      <c r="M627" s="17" t="s">
        <v>28</v>
      </c>
      <c r="N627" s="9" t="s">
        <v>3070</v>
      </c>
      <c r="O627" s="17">
        <v>4.8354688E7</v>
      </c>
      <c r="P627" s="17" t="s">
        <v>3071</v>
      </c>
      <c r="Q627" s="17" t="s">
        <v>108</v>
      </c>
      <c r="S627" s="17" t="s">
        <v>3072</v>
      </c>
      <c r="U627" s="24"/>
      <c r="V627" s="24"/>
      <c r="W627" s="18" t="s">
        <v>76</v>
      </c>
    </row>
    <row r="628">
      <c r="A628" s="11"/>
      <c r="B628" s="12" t="s">
        <v>34</v>
      </c>
      <c r="C628" s="12" t="s">
        <v>65</v>
      </c>
      <c r="D628" s="12" t="s">
        <v>43</v>
      </c>
      <c r="E628" s="12" t="s">
        <v>224</v>
      </c>
      <c r="F628" s="13" t="s">
        <v>225</v>
      </c>
      <c r="G628" s="12" t="s">
        <v>68</v>
      </c>
      <c r="H628" s="12" t="s">
        <v>226</v>
      </c>
      <c r="I628" s="12" t="s">
        <v>227</v>
      </c>
      <c r="J628" s="17" t="s">
        <v>2779</v>
      </c>
      <c r="K628" s="18" t="s">
        <v>2780</v>
      </c>
      <c r="L628" s="20">
        <v>45880.0</v>
      </c>
      <c r="M628" s="17" t="s">
        <v>28</v>
      </c>
      <c r="N628" s="119" t="s">
        <v>3130</v>
      </c>
      <c r="O628" s="17">
        <v>7.5777002E7</v>
      </c>
      <c r="P628" s="17" t="s">
        <v>3131</v>
      </c>
      <c r="Q628" s="17" t="s">
        <v>108</v>
      </c>
      <c r="S628" s="17" t="s">
        <v>3132</v>
      </c>
      <c r="U628" s="24"/>
      <c r="V628" s="24"/>
      <c r="W628" s="18" t="s">
        <v>76</v>
      </c>
    </row>
    <row r="629">
      <c r="A629" s="11"/>
      <c r="B629" s="12" t="s">
        <v>34</v>
      </c>
      <c r="C629" s="12" t="s">
        <v>65</v>
      </c>
      <c r="D629" s="12" t="s">
        <v>43</v>
      </c>
      <c r="E629" s="12" t="s">
        <v>224</v>
      </c>
      <c r="F629" s="13" t="s">
        <v>225</v>
      </c>
      <c r="G629" s="12" t="s">
        <v>68</v>
      </c>
      <c r="H629" s="12" t="s">
        <v>226</v>
      </c>
      <c r="I629" s="12" t="s">
        <v>227</v>
      </c>
      <c r="J629" s="17" t="s">
        <v>2169</v>
      </c>
      <c r="K629" s="18" t="s">
        <v>2780</v>
      </c>
      <c r="L629" s="20">
        <v>45880.0</v>
      </c>
      <c r="M629" s="17" t="s">
        <v>28</v>
      </c>
      <c r="N629" s="9" t="s">
        <v>3018</v>
      </c>
      <c r="O629" s="17">
        <v>7.1096768E7</v>
      </c>
      <c r="P629" s="17" t="s">
        <v>3019</v>
      </c>
      <c r="Q629" s="17" t="s">
        <v>112</v>
      </c>
      <c r="S629" s="17" t="s">
        <v>3020</v>
      </c>
      <c r="U629" s="24"/>
      <c r="V629" s="24"/>
      <c r="W629" s="18" t="s">
        <v>76</v>
      </c>
    </row>
    <row r="630">
      <c r="A630" s="11"/>
      <c r="B630" s="12" t="s">
        <v>34</v>
      </c>
      <c r="C630" s="12" t="s">
        <v>65</v>
      </c>
      <c r="D630" s="12" t="s">
        <v>43</v>
      </c>
      <c r="E630" s="12" t="s">
        <v>224</v>
      </c>
      <c r="F630" s="13" t="s">
        <v>225</v>
      </c>
      <c r="G630" s="12" t="s">
        <v>68</v>
      </c>
      <c r="H630" s="12" t="s">
        <v>226</v>
      </c>
      <c r="I630" s="12" t="s">
        <v>227</v>
      </c>
      <c r="J630" s="17" t="s">
        <v>2169</v>
      </c>
      <c r="K630" s="18" t="s">
        <v>2780</v>
      </c>
      <c r="L630" s="20">
        <v>45880.0</v>
      </c>
      <c r="M630" s="17" t="s">
        <v>28</v>
      </c>
      <c r="N630" s="9" t="s">
        <v>3021</v>
      </c>
      <c r="O630" s="17">
        <v>4.87622263E8</v>
      </c>
      <c r="Q630" s="17" t="s">
        <v>73</v>
      </c>
      <c r="S630" s="17" t="s">
        <v>73</v>
      </c>
      <c r="U630" s="24"/>
      <c r="V630" s="24"/>
      <c r="W630" s="18" t="s">
        <v>76</v>
      </c>
    </row>
    <row r="631">
      <c r="A631" s="11"/>
      <c r="B631" s="12" t="s">
        <v>34</v>
      </c>
      <c r="C631" s="12" t="s">
        <v>65</v>
      </c>
      <c r="D631" s="12" t="s">
        <v>43</v>
      </c>
      <c r="E631" s="12" t="s">
        <v>224</v>
      </c>
      <c r="F631" s="13" t="s">
        <v>225</v>
      </c>
      <c r="G631" s="12" t="s">
        <v>68</v>
      </c>
      <c r="H631" s="12" t="s">
        <v>226</v>
      </c>
      <c r="I631" s="12" t="s">
        <v>227</v>
      </c>
      <c r="J631" s="17" t="s">
        <v>2169</v>
      </c>
      <c r="K631" s="18" t="s">
        <v>2780</v>
      </c>
      <c r="L631" s="20">
        <v>45880.0</v>
      </c>
      <c r="M631" s="17" t="s">
        <v>28</v>
      </c>
      <c r="N631" s="17" t="s">
        <v>3133</v>
      </c>
      <c r="P631" s="17" t="s">
        <v>3134</v>
      </c>
      <c r="Q631" s="17" t="s">
        <v>73</v>
      </c>
      <c r="S631" s="17" t="s">
        <v>3135</v>
      </c>
      <c r="U631" s="24"/>
      <c r="V631" s="24"/>
      <c r="W631" s="18" t="s">
        <v>76</v>
      </c>
    </row>
    <row r="632">
      <c r="A632" s="11"/>
      <c r="B632" s="12" t="s">
        <v>34</v>
      </c>
      <c r="C632" s="12" t="s">
        <v>65</v>
      </c>
      <c r="D632" s="12" t="s">
        <v>43</v>
      </c>
      <c r="E632" s="12" t="s">
        <v>224</v>
      </c>
      <c r="F632" s="13" t="s">
        <v>225</v>
      </c>
      <c r="G632" s="12" t="s">
        <v>68</v>
      </c>
      <c r="H632" s="12" t="s">
        <v>226</v>
      </c>
      <c r="I632" s="12" t="s">
        <v>227</v>
      </c>
      <c r="J632" s="17" t="s">
        <v>2169</v>
      </c>
      <c r="K632" s="18" t="s">
        <v>2780</v>
      </c>
      <c r="L632" s="20">
        <v>45880.0</v>
      </c>
      <c r="M632" s="17" t="s">
        <v>28</v>
      </c>
      <c r="N632" s="9" t="s">
        <v>3040</v>
      </c>
      <c r="O632" s="17">
        <v>4.1985115E7</v>
      </c>
      <c r="P632" s="17" t="s">
        <v>3041</v>
      </c>
      <c r="Q632" s="17" t="s">
        <v>112</v>
      </c>
      <c r="S632" s="17" t="s">
        <v>3042</v>
      </c>
      <c r="U632" s="24"/>
      <c r="V632" s="24"/>
      <c r="W632" s="18" t="s">
        <v>76</v>
      </c>
    </row>
    <row r="633">
      <c r="A633" s="11"/>
      <c r="B633" s="12" t="s">
        <v>34</v>
      </c>
      <c r="C633" s="12" t="s">
        <v>65</v>
      </c>
      <c r="D633" s="12" t="s">
        <v>43</v>
      </c>
      <c r="E633" s="12" t="s">
        <v>224</v>
      </c>
      <c r="F633" s="13" t="s">
        <v>225</v>
      </c>
      <c r="G633" s="12" t="s">
        <v>68</v>
      </c>
      <c r="H633" s="12" t="s">
        <v>226</v>
      </c>
      <c r="I633" s="12" t="s">
        <v>227</v>
      </c>
      <c r="J633" s="17" t="s">
        <v>2169</v>
      </c>
      <c r="K633" s="18" t="s">
        <v>2780</v>
      </c>
      <c r="L633" s="20">
        <v>45880.0</v>
      </c>
      <c r="M633" s="17" t="s">
        <v>28</v>
      </c>
      <c r="N633" s="9" t="s">
        <v>3052</v>
      </c>
      <c r="O633" s="17">
        <v>4.5960182E7</v>
      </c>
      <c r="P633" s="119" t="s">
        <v>3053</v>
      </c>
      <c r="Q633" s="17" t="s">
        <v>112</v>
      </c>
      <c r="S633" s="17" t="s">
        <v>3054</v>
      </c>
      <c r="U633" s="24"/>
      <c r="V633" s="24"/>
      <c r="W633" s="18" t="s">
        <v>76</v>
      </c>
    </row>
    <row r="634">
      <c r="A634" s="11"/>
      <c r="B634" s="12" t="s">
        <v>34</v>
      </c>
      <c r="C634" s="12" t="s">
        <v>65</v>
      </c>
      <c r="D634" s="12" t="s">
        <v>43</v>
      </c>
      <c r="E634" s="12" t="s">
        <v>224</v>
      </c>
      <c r="F634" s="13" t="s">
        <v>225</v>
      </c>
      <c r="G634" s="12" t="s">
        <v>68</v>
      </c>
      <c r="H634" s="12" t="s">
        <v>226</v>
      </c>
      <c r="I634" s="12" t="s">
        <v>227</v>
      </c>
      <c r="J634" s="17" t="s">
        <v>2169</v>
      </c>
      <c r="K634" s="18" t="s">
        <v>2780</v>
      </c>
      <c r="L634" s="20">
        <v>45880.0</v>
      </c>
      <c r="M634" s="17" t="s">
        <v>28</v>
      </c>
      <c r="N634" s="9" t="s">
        <v>3034</v>
      </c>
      <c r="O634" s="17">
        <v>4.719226E7</v>
      </c>
      <c r="P634" s="17" t="s">
        <v>3035</v>
      </c>
      <c r="Q634" s="17" t="s">
        <v>73</v>
      </c>
      <c r="S634" s="17" t="s">
        <v>3036</v>
      </c>
      <c r="U634" s="24"/>
      <c r="V634" s="24"/>
      <c r="W634" s="18" t="s">
        <v>76</v>
      </c>
    </row>
    <row r="635">
      <c r="A635" s="11"/>
      <c r="B635" s="12" t="s">
        <v>34</v>
      </c>
      <c r="C635" s="12" t="s">
        <v>65</v>
      </c>
      <c r="D635" s="12" t="s">
        <v>43</v>
      </c>
      <c r="E635" s="12" t="s">
        <v>224</v>
      </c>
      <c r="F635" s="13" t="s">
        <v>225</v>
      </c>
      <c r="G635" s="12" t="s">
        <v>68</v>
      </c>
      <c r="H635" s="12" t="s">
        <v>226</v>
      </c>
      <c r="I635" s="12" t="s">
        <v>227</v>
      </c>
      <c r="J635" s="17" t="s">
        <v>2169</v>
      </c>
      <c r="K635" s="18" t="s">
        <v>2780</v>
      </c>
      <c r="L635" s="20">
        <v>45880.0</v>
      </c>
      <c r="M635" s="17" t="s">
        <v>28</v>
      </c>
      <c r="N635" s="9" t="s">
        <v>3037</v>
      </c>
      <c r="O635" s="17">
        <v>7.6836651E7</v>
      </c>
      <c r="P635" s="17" t="s">
        <v>3038</v>
      </c>
      <c r="Q635" s="17" t="s">
        <v>112</v>
      </c>
      <c r="S635" s="17" t="s">
        <v>112</v>
      </c>
      <c r="U635" s="24"/>
      <c r="V635" s="24"/>
      <c r="W635" s="18" t="s">
        <v>76</v>
      </c>
    </row>
    <row r="636">
      <c r="A636" s="11"/>
      <c r="B636" s="12" t="s">
        <v>34</v>
      </c>
      <c r="C636" s="12" t="s">
        <v>65</v>
      </c>
      <c r="D636" s="12" t="s">
        <v>43</v>
      </c>
      <c r="E636" s="12" t="s">
        <v>224</v>
      </c>
      <c r="F636" s="13" t="s">
        <v>225</v>
      </c>
      <c r="G636" s="12" t="s">
        <v>68</v>
      </c>
      <c r="H636" s="12" t="s">
        <v>226</v>
      </c>
      <c r="I636" s="12" t="s">
        <v>227</v>
      </c>
      <c r="J636" s="17" t="s">
        <v>2169</v>
      </c>
      <c r="K636" s="18" t="s">
        <v>2780</v>
      </c>
      <c r="L636" s="20">
        <v>45880.0</v>
      </c>
      <c r="M636" s="17" t="s">
        <v>28</v>
      </c>
      <c r="N636" s="9" t="s">
        <v>3136</v>
      </c>
      <c r="O636" s="17">
        <v>4.544537E7</v>
      </c>
      <c r="P636" s="17" t="s">
        <v>3096</v>
      </c>
      <c r="Q636" s="17" t="s">
        <v>108</v>
      </c>
      <c r="S636" s="17" t="s">
        <v>3097</v>
      </c>
      <c r="U636" s="24"/>
      <c r="V636" s="24"/>
      <c r="W636" s="18" t="s">
        <v>76</v>
      </c>
    </row>
    <row r="637">
      <c r="A637" s="11"/>
      <c r="B637" s="12" t="s">
        <v>34</v>
      </c>
      <c r="C637" s="12" t="s">
        <v>65</v>
      </c>
      <c r="D637" s="12" t="s">
        <v>43</v>
      </c>
      <c r="E637" s="12" t="s">
        <v>224</v>
      </c>
      <c r="F637" s="13" t="s">
        <v>225</v>
      </c>
      <c r="G637" s="12" t="s">
        <v>68</v>
      </c>
      <c r="H637" s="12" t="s">
        <v>226</v>
      </c>
      <c r="I637" s="12" t="s">
        <v>227</v>
      </c>
      <c r="J637" s="17" t="s">
        <v>2169</v>
      </c>
      <c r="K637" s="18" t="s">
        <v>2780</v>
      </c>
      <c r="L637" s="20">
        <v>45880.0</v>
      </c>
      <c r="M637" s="17" t="s">
        <v>28</v>
      </c>
      <c r="N637" s="9" t="s">
        <v>3055</v>
      </c>
      <c r="O637" s="17">
        <v>4.5078833E7</v>
      </c>
      <c r="P637" s="17" t="s">
        <v>3056</v>
      </c>
      <c r="Q637" s="17" t="s">
        <v>112</v>
      </c>
      <c r="S637" s="17" t="s">
        <v>112</v>
      </c>
      <c r="U637" s="24"/>
      <c r="V637" s="24"/>
      <c r="W637" s="18" t="s">
        <v>76</v>
      </c>
    </row>
    <row r="638">
      <c r="A638" s="11"/>
      <c r="B638" s="12" t="s">
        <v>34</v>
      </c>
      <c r="C638" s="12" t="s">
        <v>65</v>
      </c>
      <c r="D638" s="12" t="s">
        <v>43</v>
      </c>
      <c r="E638" s="12" t="s">
        <v>224</v>
      </c>
      <c r="F638" s="13" t="s">
        <v>225</v>
      </c>
      <c r="G638" s="12" t="s">
        <v>68</v>
      </c>
      <c r="H638" s="12" t="s">
        <v>226</v>
      </c>
      <c r="I638" s="12" t="s">
        <v>227</v>
      </c>
      <c r="J638" s="17" t="s">
        <v>2169</v>
      </c>
      <c r="K638" s="18" t="s">
        <v>2780</v>
      </c>
      <c r="L638" s="20">
        <v>45880.0</v>
      </c>
      <c r="M638" s="17" t="s">
        <v>28</v>
      </c>
      <c r="N638" s="17" t="s">
        <v>3137</v>
      </c>
      <c r="O638" s="17">
        <v>7.077413E7</v>
      </c>
      <c r="P638" s="17" t="s">
        <v>3138</v>
      </c>
      <c r="Q638" s="17" t="s">
        <v>108</v>
      </c>
      <c r="S638" s="17" t="s">
        <v>3139</v>
      </c>
      <c r="U638" s="24"/>
      <c r="V638" s="24"/>
      <c r="W638" s="18" t="s">
        <v>76</v>
      </c>
    </row>
    <row r="639">
      <c r="A639" s="11"/>
      <c r="B639" s="12" t="s">
        <v>34</v>
      </c>
      <c r="C639" s="12" t="s">
        <v>65</v>
      </c>
      <c r="D639" s="12" t="s">
        <v>43</v>
      </c>
      <c r="E639" s="12" t="s">
        <v>224</v>
      </c>
      <c r="F639" s="13" t="s">
        <v>225</v>
      </c>
      <c r="G639" s="12" t="s">
        <v>68</v>
      </c>
      <c r="H639" s="12" t="s">
        <v>226</v>
      </c>
      <c r="I639" s="12" t="s">
        <v>227</v>
      </c>
      <c r="J639" s="17" t="s">
        <v>2169</v>
      </c>
      <c r="K639" s="18" t="s">
        <v>2780</v>
      </c>
      <c r="L639" s="20">
        <v>45880.0</v>
      </c>
      <c r="M639" s="17" t="s">
        <v>28</v>
      </c>
      <c r="N639" s="9" t="s">
        <v>3058</v>
      </c>
      <c r="O639" s="17">
        <v>4.57888958E8</v>
      </c>
      <c r="P639" s="17" t="s">
        <v>3140</v>
      </c>
      <c r="Q639" s="17" t="s">
        <v>112</v>
      </c>
      <c r="S639" s="17" t="s">
        <v>3141</v>
      </c>
      <c r="U639" s="24"/>
      <c r="V639" s="24"/>
      <c r="W639" s="18" t="s">
        <v>76</v>
      </c>
    </row>
    <row r="640">
      <c r="A640" s="11"/>
      <c r="B640" s="12" t="s">
        <v>34</v>
      </c>
      <c r="C640" s="12" t="s">
        <v>65</v>
      </c>
      <c r="D640" s="12" t="s">
        <v>43</v>
      </c>
      <c r="E640" s="12" t="s">
        <v>224</v>
      </c>
      <c r="F640" s="13" t="s">
        <v>225</v>
      </c>
      <c r="G640" s="12" t="s">
        <v>68</v>
      </c>
      <c r="H640" s="12" t="s">
        <v>226</v>
      </c>
      <c r="I640" s="12" t="s">
        <v>227</v>
      </c>
      <c r="J640" s="17" t="s">
        <v>2169</v>
      </c>
      <c r="K640" s="18" t="s">
        <v>2780</v>
      </c>
      <c r="L640" s="20">
        <v>45880.0</v>
      </c>
      <c r="M640" s="17" t="s">
        <v>28</v>
      </c>
      <c r="N640" s="17" t="s">
        <v>3142</v>
      </c>
      <c r="P640" s="17" t="s">
        <v>3143</v>
      </c>
      <c r="Q640" s="17" t="s">
        <v>112</v>
      </c>
      <c r="S640" s="17" t="s">
        <v>3144</v>
      </c>
      <c r="U640" s="24"/>
      <c r="V640" s="24"/>
      <c r="W640" s="18" t="s">
        <v>76</v>
      </c>
    </row>
    <row r="641">
      <c r="A641" s="11"/>
      <c r="B641" s="12" t="s">
        <v>34</v>
      </c>
      <c r="C641" s="12" t="s">
        <v>65</v>
      </c>
      <c r="D641" s="12" t="s">
        <v>43</v>
      </c>
      <c r="E641" s="12" t="s">
        <v>224</v>
      </c>
      <c r="F641" s="13" t="s">
        <v>225</v>
      </c>
      <c r="G641" s="12" t="s">
        <v>68</v>
      </c>
      <c r="H641" s="12" t="s">
        <v>226</v>
      </c>
      <c r="I641" s="12" t="s">
        <v>227</v>
      </c>
      <c r="J641" s="17" t="s">
        <v>2169</v>
      </c>
      <c r="K641" s="18" t="s">
        <v>2780</v>
      </c>
      <c r="L641" s="20">
        <v>45880.0</v>
      </c>
      <c r="M641" s="17" t="s">
        <v>28</v>
      </c>
      <c r="N641" s="9" t="s">
        <v>3015</v>
      </c>
      <c r="O641" s="17">
        <v>7.0512494E7</v>
      </c>
      <c r="P641" s="16"/>
      <c r="Q641" s="17" t="s">
        <v>73</v>
      </c>
      <c r="S641" s="17" t="s">
        <v>73</v>
      </c>
      <c r="U641" s="24"/>
      <c r="V641" s="24"/>
      <c r="W641" s="18" t="s">
        <v>76</v>
      </c>
    </row>
    <row r="642">
      <c r="A642" s="11"/>
      <c r="B642" s="12" t="s">
        <v>34</v>
      </c>
      <c r="C642" s="12" t="s">
        <v>65</v>
      </c>
      <c r="D642" s="12" t="s">
        <v>43</v>
      </c>
      <c r="E642" s="12" t="s">
        <v>224</v>
      </c>
      <c r="F642" s="13" t="s">
        <v>225</v>
      </c>
      <c r="G642" s="12" t="s">
        <v>68</v>
      </c>
      <c r="H642" s="12" t="s">
        <v>226</v>
      </c>
      <c r="I642" s="12" t="s">
        <v>227</v>
      </c>
      <c r="J642" s="17" t="s">
        <v>2779</v>
      </c>
      <c r="K642" s="18" t="s">
        <v>2780</v>
      </c>
      <c r="L642" s="20">
        <v>45880.0</v>
      </c>
      <c r="M642" s="17" t="s">
        <v>28</v>
      </c>
      <c r="N642" s="9" t="s">
        <v>3043</v>
      </c>
      <c r="O642" s="17">
        <v>4.7664575E7</v>
      </c>
      <c r="P642" s="17" t="s">
        <v>3044</v>
      </c>
      <c r="Q642" s="17" t="s">
        <v>112</v>
      </c>
      <c r="S642" s="17" t="s">
        <v>3045</v>
      </c>
      <c r="U642" s="24"/>
      <c r="V642" s="24"/>
      <c r="W642" s="18" t="s">
        <v>76</v>
      </c>
    </row>
    <row r="643">
      <c r="A643" s="11"/>
      <c r="B643" s="12" t="s">
        <v>34</v>
      </c>
      <c r="C643" s="12" t="s">
        <v>65</v>
      </c>
      <c r="D643" s="12" t="s">
        <v>43</v>
      </c>
      <c r="E643" s="12" t="s">
        <v>224</v>
      </c>
      <c r="F643" s="13" t="s">
        <v>225</v>
      </c>
      <c r="G643" s="12" t="s">
        <v>68</v>
      </c>
      <c r="H643" s="12" t="s">
        <v>226</v>
      </c>
      <c r="I643" s="12" t="s">
        <v>227</v>
      </c>
      <c r="J643" s="17" t="s">
        <v>2779</v>
      </c>
      <c r="K643" s="18" t="s">
        <v>2780</v>
      </c>
      <c r="L643" s="20">
        <v>45880.0</v>
      </c>
      <c r="M643" s="17" t="s">
        <v>28</v>
      </c>
      <c r="N643" s="9" t="s">
        <v>3064</v>
      </c>
      <c r="O643" s="17">
        <v>4.463827E7</v>
      </c>
      <c r="P643" s="120" t="s">
        <v>1529</v>
      </c>
      <c r="Q643" s="17" t="s">
        <v>112</v>
      </c>
      <c r="S643" s="17" t="s">
        <v>3145</v>
      </c>
      <c r="U643" s="24"/>
      <c r="V643" s="24"/>
      <c r="W643" s="18" t="s">
        <v>76</v>
      </c>
    </row>
    <row r="644">
      <c r="A644" s="11"/>
      <c r="B644" s="12" t="s">
        <v>34</v>
      </c>
      <c r="C644" s="12" t="s">
        <v>65</v>
      </c>
      <c r="D644" s="12" t="s">
        <v>43</v>
      </c>
      <c r="E644" s="12" t="s">
        <v>224</v>
      </c>
      <c r="F644" s="13" t="s">
        <v>225</v>
      </c>
      <c r="G644" s="12" t="s">
        <v>68</v>
      </c>
      <c r="H644" s="12" t="s">
        <v>226</v>
      </c>
      <c r="I644" s="12" t="s">
        <v>227</v>
      </c>
      <c r="J644" s="17" t="s">
        <v>2779</v>
      </c>
      <c r="K644" s="18" t="s">
        <v>2780</v>
      </c>
      <c r="L644" s="20">
        <v>45880.0</v>
      </c>
      <c r="M644" s="17" t="s">
        <v>28</v>
      </c>
      <c r="N644" s="9" t="s">
        <v>3146</v>
      </c>
      <c r="O644" s="17">
        <v>7.6744204E7</v>
      </c>
      <c r="P644" s="17" t="s">
        <v>1527</v>
      </c>
      <c r="Q644" s="17" t="s">
        <v>112</v>
      </c>
      <c r="S644" s="17" t="s">
        <v>3014</v>
      </c>
      <c r="U644" s="24"/>
      <c r="V644" s="24"/>
      <c r="W644" s="18" t="s">
        <v>76</v>
      </c>
    </row>
    <row r="645">
      <c r="A645" s="11"/>
      <c r="B645" s="12" t="s">
        <v>43</v>
      </c>
      <c r="C645" s="12" t="s">
        <v>65</v>
      </c>
      <c r="D645" s="12" t="s">
        <v>43</v>
      </c>
      <c r="E645" s="12" t="s">
        <v>66</v>
      </c>
      <c r="F645" s="13" t="s">
        <v>67</v>
      </c>
      <c r="G645" s="12" t="s">
        <v>68</v>
      </c>
      <c r="H645" s="12" t="s">
        <v>69</v>
      </c>
      <c r="I645" s="12" t="s">
        <v>70</v>
      </c>
      <c r="J645" s="17" t="s">
        <v>2169</v>
      </c>
      <c r="K645" s="18">
        <v>1.0</v>
      </c>
      <c r="L645" s="20">
        <v>45847.0</v>
      </c>
      <c r="M645" s="17" t="s">
        <v>28</v>
      </c>
      <c r="N645" s="17" t="s">
        <v>3147</v>
      </c>
      <c r="P645" s="17" t="s">
        <v>3148</v>
      </c>
      <c r="Q645" s="17" t="s">
        <v>112</v>
      </c>
      <c r="S645" s="17" t="s">
        <v>3149</v>
      </c>
      <c r="U645" s="24"/>
      <c r="V645" s="24"/>
      <c r="W645" s="18" t="s">
        <v>76</v>
      </c>
    </row>
    <row r="646">
      <c r="A646" s="11"/>
      <c r="B646" s="12" t="s">
        <v>43</v>
      </c>
      <c r="C646" s="12" t="s">
        <v>65</v>
      </c>
      <c r="D646" s="12" t="s">
        <v>43</v>
      </c>
      <c r="E646" s="12" t="s">
        <v>66</v>
      </c>
      <c r="F646" s="13" t="s">
        <v>67</v>
      </c>
      <c r="G646" s="12" t="s">
        <v>68</v>
      </c>
      <c r="H646" s="12" t="s">
        <v>69</v>
      </c>
      <c r="I646" s="12" t="s">
        <v>70</v>
      </c>
      <c r="J646" s="17" t="s">
        <v>2169</v>
      </c>
      <c r="K646" s="18">
        <v>1.0</v>
      </c>
      <c r="L646" s="20">
        <v>45847.0</v>
      </c>
      <c r="M646" s="17" t="s">
        <v>28</v>
      </c>
      <c r="N646" s="17" t="s">
        <v>3150</v>
      </c>
      <c r="P646" s="17" t="s">
        <v>1581</v>
      </c>
      <c r="Q646" s="17" t="s">
        <v>112</v>
      </c>
      <c r="S646" s="17" t="s">
        <v>3151</v>
      </c>
      <c r="U646" s="24"/>
      <c r="V646" s="24"/>
      <c r="W646" s="18" t="s">
        <v>76</v>
      </c>
    </row>
    <row r="647">
      <c r="A647" s="11"/>
      <c r="B647" s="12" t="s">
        <v>43</v>
      </c>
      <c r="C647" s="12" t="s">
        <v>65</v>
      </c>
      <c r="D647" s="12" t="s">
        <v>43</v>
      </c>
      <c r="E647" s="12" t="s">
        <v>66</v>
      </c>
      <c r="F647" s="13" t="s">
        <v>67</v>
      </c>
      <c r="G647" s="12" t="s">
        <v>68</v>
      </c>
      <c r="H647" s="12" t="s">
        <v>69</v>
      </c>
      <c r="I647" s="12" t="s">
        <v>70</v>
      </c>
      <c r="J647" s="17" t="s">
        <v>2169</v>
      </c>
      <c r="K647" s="18">
        <v>1.0</v>
      </c>
      <c r="L647" s="20">
        <v>45847.0</v>
      </c>
      <c r="M647" s="17" t="s">
        <v>28</v>
      </c>
      <c r="N647" s="17" t="s">
        <v>3152</v>
      </c>
      <c r="P647" s="17" t="s">
        <v>81</v>
      </c>
      <c r="Q647" s="17" t="s">
        <v>73</v>
      </c>
      <c r="S647" s="17" t="s">
        <v>3153</v>
      </c>
      <c r="U647" s="24"/>
      <c r="V647" s="24"/>
      <c r="W647" s="18" t="s">
        <v>76</v>
      </c>
    </row>
    <row r="648">
      <c r="A648" s="11"/>
      <c r="B648" s="12" t="s">
        <v>43</v>
      </c>
      <c r="C648" s="12" t="s">
        <v>65</v>
      </c>
      <c r="D648" s="12" t="s">
        <v>43</v>
      </c>
      <c r="E648" s="12" t="s">
        <v>66</v>
      </c>
      <c r="F648" s="13" t="s">
        <v>67</v>
      </c>
      <c r="G648" s="12" t="s">
        <v>68</v>
      </c>
      <c r="H648" s="12" t="s">
        <v>69</v>
      </c>
      <c r="I648" s="12" t="s">
        <v>70</v>
      </c>
      <c r="J648" s="17" t="s">
        <v>2169</v>
      </c>
      <c r="K648" s="18">
        <v>1.0</v>
      </c>
      <c r="L648" s="20">
        <v>45847.0</v>
      </c>
      <c r="M648" s="17" t="s">
        <v>28</v>
      </c>
      <c r="N648" s="17" t="s">
        <v>3154</v>
      </c>
      <c r="P648" s="17" t="s">
        <v>1579</v>
      </c>
      <c r="Q648" s="17" t="s">
        <v>73</v>
      </c>
      <c r="S648" s="17" t="s">
        <v>3155</v>
      </c>
      <c r="U648" s="24"/>
      <c r="V648" s="24"/>
      <c r="W648" s="18" t="s">
        <v>76</v>
      </c>
    </row>
    <row r="649">
      <c r="A649" s="11"/>
      <c r="B649" s="12" t="s">
        <v>43</v>
      </c>
      <c r="C649" s="12" t="s">
        <v>65</v>
      </c>
      <c r="D649" s="12" t="s">
        <v>43</v>
      </c>
      <c r="E649" s="12" t="s">
        <v>66</v>
      </c>
      <c r="F649" s="13" t="s">
        <v>67</v>
      </c>
      <c r="G649" s="12" t="s">
        <v>68</v>
      </c>
      <c r="H649" s="12" t="s">
        <v>69</v>
      </c>
      <c r="I649" s="12" t="s">
        <v>70</v>
      </c>
      <c r="J649" s="17" t="s">
        <v>2169</v>
      </c>
      <c r="K649" s="18">
        <v>1.0</v>
      </c>
      <c r="L649" s="20">
        <v>45847.0</v>
      </c>
      <c r="M649" s="17" t="s">
        <v>28</v>
      </c>
      <c r="N649" s="17" t="s">
        <v>3156</v>
      </c>
      <c r="P649" s="119" t="s">
        <v>1578</v>
      </c>
      <c r="Q649" s="17" t="s">
        <v>73</v>
      </c>
      <c r="S649" s="17" t="s">
        <v>3157</v>
      </c>
      <c r="U649" s="24"/>
      <c r="V649" s="24"/>
      <c r="W649" s="18" t="s">
        <v>76</v>
      </c>
    </row>
    <row r="650">
      <c r="A650" s="11"/>
      <c r="B650" s="12" t="s">
        <v>43</v>
      </c>
      <c r="C650" s="12" t="s">
        <v>65</v>
      </c>
      <c r="D650" s="12" t="s">
        <v>43</v>
      </c>
      <c r="E650" s="12" t="s">
        <v>66</v>
      </c>
      <c r="F650" s="13" t="s">
        <v>67</v>
      </c>
      <c r="G650" s="12" t="s">
        <v>68</v>
      </c>
      <c r="H650" s="12" t="s">
        <v>69</v>
      </c>
      <c r="I650" s="12" t="s">
        <v>70</v>
      </c>
      <c r="J650" s="17" t="s">
        <v>2169</v>
      </c>
      <c r="K650" s="18">
        <v>1.0</v>
      </c>
      <c r="L650" s="20">
        <v>45847.0</v>
      </c>
      <c r="M650" s="17" t="s">
        <v>28</v>
      </c>
      <c r="N650" s="17" t="s">
        <v>3158</v>
      </c>
      <c r="P650" s="119" t="s">
        <v>1586</v>
      </c>
      <c r="Q650" s="17" t="s">
        <v>112</v>
      </c>
      <c r="S650" s="17" t="s">
        <v>3159</v>
      </c>
      <c r="U650" s="24"/>
      <c r="V650" s="24"/>
      <c r="W650" s="18" t="s">
        <v>76</v>
      </c>
    </row>
    <row r="651">
      <c r="A651" s="11"/>
      <c r="B651" s="12" t="s">
        <v>43</v>
      </c>
      <c r="C651" s="12" t="s">
        <v>65</v>
      </c>
      <c r="D651" s="12" t="s">
        <v>43</v>
      </c>
      <c r="E651" s="12" t="s">
        <v>66</v>
      </c>
      <c r="F651" s="13" t="s">
        <v>67</v>
      </c>
      <c r="G651" s="12" t="s">
        <v>68</v>
      </c>
      <c r="H651" s="12" t="s">
        <v>69</v>
      </c>
      <c r="I651" s="12" t="s">
        <v>70</v>
      </c>
      <c r="J651" s="17" t="s">
        <v>2169</v>
      </c>
      <c r="K651" s="18">
        <v>1.0</v>
      </c>
      <c r="L651" s="20">
        <v>45847.0</v>
      </c>
      <c r="M651" s="17" t="s">
        <v>28</v>
      </c>
      <c r="N651" s="17" t="s">
        <v>3160</v>
      </c>
      <c r="Q651" s="2"/>
      <c r="U651" s="24"/>
      <c r="V651" s="24"/>
      <c r="W651" s="18" t="s">
        <v>76</v>
      </c>
    </row>
    <row r="652">
      <c r="A652" s="11"/>
      <c r="B652" s="12" t="s">
        <v>43</v>
      </c>
      <c r="C652" s="12" t="s">
        <v>65</v>
      </c>
      <c r="D652" s="12" t="s">
        <v>43</v>
      </c>
      <c r="E652" s="12" t="s">
        <v>66</v>
      </c>
      <c r="F652" s="13" t="s">
        <v>67</v>
      </c>
      <c r="G652" s="12" t="s">
        <v>68</v>
      </c>
      <c r="H652" s="12" t="s">
        <v>69</v>
      </c>
      <c r="I652" s="12" t="s">
        <v>70</v>
      </c>
      <c r="J652" s="17" t="s">
        <v>2169</v>
      </c>
      <c r="K652" s="18">
        <v>1.0</v>
      </c>
      <c r="L652" s="20">
        <v>45847.0</v>
      </c>
      <c r="M652" s="17" t="s">
        <v>23</v>
      </c>
      <c r="N652" s="17" t="s">
        <v>3161</v>
      </c>
      <c r="Q652" s="17" t="s">
        <v>73</v>
      </c>
      <c r="S652" s="17" t="s">
        <v>73</v>
      </c>
      <c r="U652" s="24"/>
      <c r="V652" s="24"/>
      <c r="W652" s="18" t="s">
        <v>76</v>
      </c>
    </row>
    <row r="653">
      <c r="A653" s="11"/>
      <c r="B653" s="12" t="s">
        <v>43</v>
      </c>
      <c r="C653" s="12" t="s">
        <v>65</v>
      </c>
      <c r="D653" s="12" t="s">
        <v>321</v>
      </c>
      <c r="E653" s="12" t="s">
        <v>321</v>
      </c>
      <c r="F653" s="13" t="s">
        <v>322</v>
      </c>
      <c r="G653" s="12" t="s">
        <v>68</v>
      </c>
      <c r="H653" s="12" t="s">
        <v>323</v>
      </c>
      <c r="I653" s="12" t="s">
        <v>324</v>
      </c>
      <c r="J653" s="17" t="s">
        <v>2169</v>
      </c>
      <c r="K653" s="18">
        <v>1.0</v>
      </c>
      <c r="L653" s="20">
        <v>45847.0</v>
      </c>
      <c r="M653" s="17" t="s">
        <v>28</v>
      </c>
      <c r="N653" s="17" t="s">
        <v>3162</v>
      </c>
      <c r="Q653" s="2"/>
      <c r="U653" s="24"/>
      <c r="V653" s="24"/>
      <c r="W653" s="18" t="s">
        <v>76</v>
      </c>
    </row>
    <row r="654">
      <c r="A654" s="11"/>
      <c r="B654" s="12" t="s">
        <v>43</v>
      </c>
      <c r="C654" s="12" t="s">
        <v>65</v>
      </c>
      <c r="D654" s="12" t="s">
        <v>321</v>
      </c>
      <c r="E654" s="12" t="s">
        <v>321</v>
      </c>
      <c r="F654" s="13" t="s">
        <v>322</v>
      </c>
      <c r="G654" s="12" t="s">
        <v>68</v>
      </c>
      <c r="H654" s="12" t="s">
        <v>323</v>
      </c>
      <c r="I654" s="12" t="s">
        <v>324</v>
      </c>
      <c r="J654" s="17" t="s">
        <v>2169</v>
      </c>
      <c r="K654" s="18">
        <v>1.0</v>
      </c>
      <c r="L654" s="20">
        <v>45847.0</v>
      </c>
      <c r="M654" s="17" t="s">
        <v>28</v>
      </c>
      <c r="N654" s="17" t="s">
        <v>3163</v>
      </c>
      <c r="Q654" s="2"/>
      <c r="U654" s="24"/>
      <c r="V654" s="24"/>
      <c r="W654" s="18" t="s">
        <v>76</v>
      </c>
    </row>
    <row r="655">
      <c r="A655" s="11"/>
      <c r="B655" s="12" t="s">
        <v>43</v>
      </c>
      <c r="C655" s="12" t="s">
        <v>65</v>
      </c>
      <c r="D655" s="12" t="s">
        <v>321</v>
      </c>
      <c r="E655" s="12" t="s">
        <v>321</v>
      </c>
      <c r="F655" s="13" t="s">
        <v>322</v>
      </c>
      <c r="G655" s="12" t="s">
        <v>68</v>
      </c>
      <c r="H655" s="12" t="s">
        <v>323</v>
      </c>
      <c r="I655" s="12" t="s">
        <v>324</v>
      </c>
      <c r="J655" s="17" t="s">
        <v>2169</v>
      </c>
      <c r="K655" s="18">
        <v>1.0</v>
      </c>
      <c r="L655" s="20">
        <v>45847.0</v>
      </c>
      <c r="M655" s="17" t="s">
        <v>28</v>
      </c>
      <c r="N655" s="17" t="s">
        <v>3164</v>
      </c>
      <c r="Q655" s="2"/>
      <c r="U655" s="24"/>
      <c r="V655" s="24"/>
      <c r="W655" s="18" t="s">
        <v>76</v>
      </c>
    </row>
    <row r="656">
      <c r="A656" s="11"/>
      <c r="B656" s="12" t="s">
        <v>43</v>
      </c>
      <c r="C656" s="12" t="s">
        <v>65</v>
      </c>
      <c r="D656" s="12" t="s">
        <v>321</v>
      </c>
      <c r="E656" s="12" t="s">
        <v>321</v>
      </c>
      <c r="F656" s="13" t="s">
        <v>322</v>
      </c>
      <c r="G656" s="12" t="s">
        <v>68</v>
      </c>
      <c r="H656" s="12" t="s">
        <v>323</v>
      </c>
      <c r="I656" s="12" t="s">
        <v>324</v>
      </c>
      <c r="J656" s="17" t="s">
        <v>2169</v>
      </c>
      <c r="K656" s="18">
        <v>1.0</v>
      </c>
      <c r="L656" s="20">
        <v>45847.0</v>
      </c>
      <c r="M656" s="17" t="s">
        <v>28</v>
      </c>
      <c r="N656" s="17" t="s">
        <v>3165</v>
      </c>
      <c r="Q656" s="2"/>
      <c r="U656" s="24"/>
      <c r="V656" s="24"/>
      <c r="W656" s="18" t="s">
        <v>76</v>
      </c>
    </row>
    <row r="657">
      <c r="A657" s="11"/>
      <c r="B657" s="12" t="s">
        <v>7</v>
      </c>
      <c r="C657" s="12" t="s">
        <v>37</v>
      </c>
      <c r="D657" s="12" t="s">
        <v>38</v>
      </c>
      <c r="E657" s="12" t="s">
        <v>41</v>
      </c>
      <c r="F657" s="13" t="s">
        <v>39</v>
      </c>
      <c r="G657" s="12" t="s">
        <v>68</v>
      </c>
      <c r="H657" s="12" t="s">
        <v>902</v>
      </c>
      <c r="I657" s="12" t="s">
        <v>903</v>
      </c>
      <c r="J657" s="17" t="s">
        <v>2779</v>
      </c>
      <c r="K657" s="18" t="s">
        <v>2780</v>
      </c>
      <c r="L657" s="20">
        <v>45881.0</v>
      </c>
      <c r="M657" s="17" t="s">
        <v>28</v>
      </c>
      <c r="N657" s="17" t="s">
        <v>3166</v>
      </c>
      <c r="O657" s="17">
        <v>4.3484532E7</v>
      </c>
      <c r="P657" s="17" t="s">
        <v>2210</v>
      </c>
      <c r="Q657" s="17" t="s">
        <v>112</v>
      </c>
      <c r="R657" s="17" t="s">
        <v>113</v>
      </c>
      <c r="S657" s="17" t="s">
        <v>2211</v>
      </c>
      <c r="U657" s="24"/>
      <c r="V657" s="24"/>
      <c r="W657" s="18" t="s">
        <v>588</v>
      </c>
    </row>
    <row r="658">
      <c r="A658" s="11"/>
      <c r="B658" s="12" t="s">
        <v>7</v>
      </c>
      <c r="C658" s="12" t="s">
        <v>37</v>
      </c>
      <c r="D658" s="12" t="s">
        <v>38</v>
      </c>
      <c r="E658" s="12" t="s">
        <v>41</v>
      </c>
      <c r="F658" s="13" t="s">
        <v>39</v>
      </c>
      <c r="G658" s="12" t="s">
        <v>68</v>
      </c>
      <c r="H658" s="12" t="s">
        <v>902</v>
      </c>
      <c r="I658" s="12" t="s">
        <v>903</v>
      </c>
      <c r="J658" s="17" t="s">
        <v>2779</v>
      </c>
      <c r="K658" s="18" t="s">
        <v>2780</v>
      </c>
      <c r="L658" s="20">
        <v>45881.0</v>
      </c>
      <c r="M658" s="17" t="s">
        <v>23</v>
      </c>
      <c r="N658" s="17" t="s">
        <v>2218</v>
      </c>
      <c r="O658" s="17">
        <v>3.2647526E7</v>
      </c>
      <c r="Q658" s="17" t="s">
        <v>108</v>
      </c>
      <c r="R658" s="17" t="s">
        <v>109</v>
      </c>
      <c r="S658" s="17" t="s">
        <v>2198</v>
      </c>
      <c r="U658" s="24"/>
      <c r="V658" s="24"/>
      <c r="W658" s="18" t="s">
        <v>588</v>
      </c>
    </row>
    <row r="659">
      <c r="A659" s="11"/>
      <c r="B659" s="12" t="s">
        <v>7</v>
      </c>
      <c r="C659" s="12" t="s">
        <v>37</v>
      </c>
      <c r="D659" s="12" t="s">
        <v>38</v>
      </c>
      <c r="E659" s="12" t="s">
        <v>41</v>
      </c>
      <c r="F659" s="45" t="s">
        <v>39</v>
      </c>
      <c r="G659" s="12" t="s">
        <v>68</v>
      </c>
      <c r="H659" s="12" t="s">
        <v>902</v>
      </c>
      <c r="I659" s="12" t="s">
        <v>903</v>
      </c>
      <c r="J659" s="17" t="s">
        <v>2779</v>
      </c>
      <c r="K659" s="18" t="s">
        <v>2780</v>
      </c>
      <c r="L659" s="20">
        <v>45881.0</v>
      </c>
      <c r="M659" s="17" t="s">
        <v>28</v>
      </c>
      <c r="N659" s="17" t="s">
        <v>2212</v>
      </c>
      <c r="O659" s="17">
        <v>4.7562942E7</v>
      </c>
      <c r="P659" s="17" t="s">
        <v>2213</v>
      </c>
      <c r="Q659" s="17" t="s">
        <v>112</v>
      </c>
      <c r="R659" s="17" t="s">
        <v>113</v>
      </c>
      <c r="S659" s="17" t="s">
        <v>2214</v>
      </c>
      <c r="U659" s="24"/>
      <c r="V659" s="24"/>
      <c r="W659" s="18" t="s">
        <v>588</v>
      </c>
    </row>
    <row r="660">
      <c r="A660" s="11"/>
      <c r="B660" s="12" t="s">
        <v>7</v>
      </c>
      <c r="C660" s="12" t="s">
        <v>37</v>
      </c>
      <c r="D660" s="12" t="s">
        <v>38</v>
      </c>
      <c r="E660" s="12" t="s">
        <v>41</v>
      </c>
      <c r="F660" s="13" t="s">
        <v>39</v>
      </c>
      <c r="G660" s="12" t="s">
        <v>68</v>
      </c>
      <c r="H660" s="12" t="s">
        <v>902</v>
      </c>
      <c r="I660" s="12" t="s">
        <v>903</v>
      </c>
      <c r="J660" s="17" t="s">
        <v>2779</v>
      </c>
      <c r="K660" s="18" t="s">
        <v>2780</v>
      </c>
      <c r="L660" s="20">
        <v>45881.0</v>
      </c>
      <c r="M660" s="17" t="s">
        <v>28</v>
      </c>
      <c r="N660" s="17" t="s">
        <v>3167</v>
      </c>
      <c r="O660" s="17">
        <v>7.9358695E7</v>
      </c>
      <c r="P660" s="17" t="s">
        <v>2207</v>
      </c>
      <c r="Q660" s="17" t="s">
        <v>108</v>
      </c>
      <c r="R660" s="17" t="s">
        <v>109</v>
      </c>
      <c r="S660" s="17" t="s">
        <v>2208</v>
      </c>
      <c r="U660" s="24"/>
      <c r="V660" s="24"/>
      <c r="W660" s="18" t="s">
        <v>588</v>
      </c>
    </row>
    <row r="661">
      <c r="A661" s="11"/>
      <c r="B661" s="12" t="s">
        <v>7</v>
      </c>
      <c r="C661" s="12" t="s">
        <v>37</v>
      </c>
      <c r="D661" s="12" t="s">
        <v>38</v>
      </c>
      <c r="E661" s="12" t="s">
        <v>41</v>
      </c>
      <c r="F661" s="13" t="s">
        <v>39</v>
      </c>
      <c r="G661" s="12" t="s">
        <v>68</v>
      </c>
      <c r="H661" s="12" t="s">
        <v>902</v>
      </c>
      <c r="I661" s="12" t="s">
        <v>903</v>
      </c>
      <c r="J661" s="17" t="s">
        <v>2779</v>
      </c>
      <c r="K661" s="18" t="s">
        <v>2780</v>
      </c>
      <c r="L661" s="20">
        <v>45881.0</v>
      </c>
      <c r="M661" s="17" t="s">
        <v>28</v>
      </c>
      <c r="N661" s="17" t="s">
        <v>3168</v>
      </c>
      <c r="O661" s="17">
        <v>4.0654479E7</v>
      </c>
      <c r="P661" s="17" t="s">
        <v>1769</v>
      </c>
      <c r="Q661" s="17" t="s">
        <v>112</v>
      </c>
      <c r="R661" s="17" t="s">
        <v>113</v>
      </c>
      <c r="S661" s="17" t="s">
        <v>3169</v>
      </c>
      <c r="U661" s="24"/>
      <c r="V661" s="24"/>
      <c r="W661" s="18" t="s">
        <v>588</v>
      </c>
    </row>
    <row r="662">
      <c r="A662" s="11"/>
      <c r="B662" s="12" t="s">
        <v>7</v>
      </c>
      <c r="C662" s="12" t="s">
        <v>37</v>
      </c>
      <c r="D662" s="12" t="s">
        <v>38</v>
      </c>
      <c r="E662" s="12" t="s">
        <v>41</v>
      </c>
      <c r="F662" s="13" t="s">
        <v>39</v>
      </c>
      <c r="G662" s="12" t="s">
        <v>68</v>
      </c>
      <c r="H662" s="12" t="s">
        <v>902</v>
      </c>
      <c r="I662" s="12" t="s">
        <v>903</v>
      </c>
      <c r="J662" s="17" t="s">
        <v>2779</v>
      </c>
      <c r="K662" s="18" t="s">
        <v>2780</v>
      </c>
      <c r="L662" s="20">
        <v>45881.0</v>
      </c>
      <c r="M662" s="17" t="s">
        <v>28</v>
      </c>
      <c r="N662" s="17" t="s">
        <v>3168</v>
      </c>
      <c r="O662" s="17">
        <v>4.0654479E7</v>
      </c>
      <c r="P662" s="17" t="s">
        <v>1770</v>
      </c>
      <c r="Q662" s="17" t="s">
        <v>112</v>
      </c>
      <c r="R662" s="17" t="s">
        <v>113</v>
      </c>
      <c r="S662" s="17" t="s">
        <v>3170</v>
      </c>
      <c r="U662" s="24"/>
      <c r="V662" s="24"/>
      <c r="W662" s="18" t="s">
        <v>588</v>
      </c>
    </row>
    <row r="663">
      <c r="A663" s="11"/>
      <c r="B663" s="12" t="s">
        <v>43</v>
      </c>
      <c r="C663" s="12" t="s">
        <v>65</v>
      </c>
      <c r="D663" s="12" t="s">
        <v>43</v>
      </c>
      <c r="E663" s="12" t="s">
        <v>188</v>
      </c>
      <c r="F663" s="13" t="s">
        <v>189</v>
      </c>
      <c r="G663" s="12" t="s">
        <v>68</v>
      </c>
      <c r="H663" s="12" t="s">
        <v>190</v>
      </c>
      <c r="I663" s="12" t="s">
        <v>191</v>
      </c>
      <c r="J663" s="17" t="s">
        <v>2169</v>
      </c>
      <c r="K663" s="18" t="s">
        <v>2170</v>
      </c>
      <c r="L663" s="20">
        <v>45882.0</v>
      </c>
      <c r="M663" s="17" t="s">
        <v>28</v>
      </c>
      <c r="N663" s="17" t="s">
        <v>3171</v>
      </c>
      <c r="O663" s="17">
        <v>4.5037249E7</v>
      </c>
      <c r="P663" s="17" t="s">
        <v>3172</v>
      </c>
      <c r="Q663" s="17" t="s">
        <v>108</v>
      </c>
      <c r="S663" s="17" t="s">
        <v>3173</v>
      </c>
      <c r="U663" s="24"/>
      <c r="V663" s="24"/>
      <c r="W663" s="18" t="s">
        <v>76</v>
      </c>
    </row>
    <row r="664">
      <c r="A664" s="11"/>
      <c r="B664" s="12" t="s">
        <v>43</v>
      </c>
      <c r="C664" s="12" t="s">
        <v>65</v>
      </c>
      <c r="D664" s="12" t="s">
        <v>43</v>
      </c>
      <c r="E664" s="12" t="s">
        <v>188</v>
      </c>
      <c r="F664" s="13" t="s">
        <v>189</v>
      </c>
      <c r="G664" s="12" t="s">
        <v>68</v>
      </c>
      <c r="H664" s="12" t="s">
        <v>190</v>
      </c>
      <c r="I664" s="12" t="s">
        <v>191</v>
      </c>
      <c r="J664" s="17" t="s">
        <v>2169</v>
      </c>
      <c r="K664" s="18" t="s">
        <v>2170</v>
      </c>
      <c r="L664" s="20">
        <v>45882.0</v>
      </c>
      <c r="M664" s="17" t="s">
        <v>28</v>
      </c>
      <c r="N664" s="17" t="s">
        <v>3174</v>
      </c>
      <c r="O664" s="17">
        <v>4.5308287E7</v>
      </c>
      <c r="P664" s="17" t="s">
        <v>3175</v>
      </c>
      <c r="Q664" s="17" t="s">
        <v>73</v>
      </c>
      <c r="S664" s="17" t="s">
        <v>3176</v>
      </c>
      <c r="U664" s="24"/>
      <c r="V664" s="24"/>
      <c r="W664" s="18" t="s">
        <v>76</v>
      </c>
    </row>
    <row r="665">
      <c r="A665" s="11"/>
      <c r="B665" s="12" t="s">
        <v>43</v>
      </c>
      <c r="C665" s="12" t="s">
        <v>65</v>
      </c>
      <c r="D665" s="12" t="s">
        <v>43</v>
      </c>
      <c r="E665" s="12" t="s">
        <v>188</v>
      </c>
      <c r="F665" s="13" t="s">
        <v>189</v>
      </c>
      <c r="G665" s="12" t="s">
        <v>68</v>
      </c>
      <c r="H665" s="12" t="s">
        <v>190</v>
      </c>
      <c r="I665" s="12" t="s">
        <v>191</v>
      </c>
      <c r="J665" s="17" t="s">
        <v>2169</v>
      </c>
      <c r="K665" s="18" t="s">
        <v>2170</v>
      </c>
      <c r="L665" s="20">
        <v>45882.0</v>
      </c>
      <c r="M665" s="17" t="s">
        <v>28</v>
      </c>
      <c r="N665" s="17" t="s">
        <v>3177</v>
      </c>
      <c r="O665" s="17">
        <v>4.8321573E7</v>
      </c>
      <c r="P665" s="17" t="s">
        <v>3178</v>
      </c>
      <c r="Q665" s="17" t="s">
        <v>112</v>
      </c>
      <c r="S665" s="17" t="s">
        <v>3179</v>
      </c>
      <c r="U665" s="24"/>
      <c r="V665" s="24"/>
      <c r="W665" s="18" t="s">
        <v>76</v>
      </c>
    </row>
    <row r="666">
      <c r="A666" s="11"/>
      <c r="B666" s="12" t="s">
        <v>43</v>
      </c>
      <c r="C666" s="12" t="s">
        <v>65</v>
      </c>
      <c r="D666" s="12" t="s">
        <v>43</v>
      </c>
      <c r="E666" s="12" t="s">
        <v>188</v>
      </c>
      <c r="F666" s="13" t="s">
        <v>189</v>
      </c>
      <c r="G666" s="12" t="s">
        <v>68</v>
      </c>
      <c r="H666" s="12" t="s">
        <v>190</v>
      </c>
      <c r="I666" s="12" t="s">
        <v>191</v>
      </c>
      <c r="J666" s="17" t="s">
        <v>2169</v>
      </c>
      <c r="K666" s="18" t="s">
        <v>2270</v>
      </c>
      <c r="L666" s="20">
        <v>45882.0</v>
      </c>
      <c r="M666" s="17" t="s">
        <v>28</v>
      </c>
      <c r="N666" s="17" t="s">
        <v>3180</v>
      </c>
      <c r="O666" s="17">
        <v>7.2568669E7</v>
      </c>
      <c r="P666" s="17" t="s">
        <v>3181</v>
      </c>
      <c r="Q666" s="17" t="s">
        <v>112</v>
      </c>
      <c r="S666" s="17" t="s">
        <v>3182</v>
      </c>
      <c r="U666" s="24"/>
      <c r="V666" s="24"/>
      <c r="W666" s="18" t="s">
        <v>76</v>
      </c>
    </row>
    <row r="667">
      <c r="A667" s="11"/>
      <c r="B667" s="12" t="s">
        <v>43</v>
      </c>
      <c r="C667" s="12" t="s">
        <v>65</v>
      </c>
      <c r="D667" s="12" t="s">
        <v>43</v>
      </c>
      <c r="E667" s="12" t="s">
        <v>188</v>
      </c>
      <c r="F667" s="13" t="s">
        <v>189</v>
      </c>
      <c r="G667" s="12" t="s">
        <v>68</v>
      </c>
      <c r="H667" s="12" t="s">
        <v>190</v>
      </c>
      <c r="I667" s="12" t="s">
        <v>191</v>
      </c>
      <c r="J667" s="17" t="s">
        <v>2169</v>
      </c>
      <c r="K667" s="18" t="s">
        <v>2170</v>
      </c>
      <c r="L667" s="20">
        <v>45882.0</v>
      </c>
      <c r="M667" s="17" t="s">
        <v>28</v>
      </c>
      <c r="N667" s="17" t="s">
        <v>3183</v>
      </c>
      <c r="O667" s="17">
        <v>7.6740605E7</v>
      </c>
      <c r="P667" s="17" t="s">
        <v>3184</v>
      </c>
      <c r="Q667" s="17" t="s">
        <v>73</v>
      </c>
      <c r="S667" s="17" t="s">
        <v>3185</v>
      </c>
      <c r="U667" s="24"/>
      <c r="V667" s="24"/>
      <c r="W667" s="18" t="s">
        <v>76</v>
      </c>
    </row>
    <row r="668">
      <c r="A668" s="11"/>
      <c r="B668" s="12" t="s">
        <v>43</v>
      </c>
      <c r="C668" s="12" t="s">
        <v>65</v>
      </c>
      <c r="D668" s="12" t="s">
        <v>43</v>
      </c>
      <c r="E668" s="12" t="s">
        <v>188</v>
      </c>
      <c r="F668" s="13" t="s">
        <v>189</v>
      </c>
      <c r="G668" s="12" t="s">
        <v>68</v>
      </c>
      <c r="H668" s="12" t="s">
        <v>190</v>
      </c>
      <c r="I668" s="12" t="s">
        <v>191</v>
      </c>
      <c r="J668" s="17" t="s">
        <v>2169</v>
      </c>
      <c r="K668" s="18" t="s">
        <v>2170</v>
      </c>
      <c r="L668" s="20">
        <v>45882.0</v>
      </c>
      <c r="M668" s="17" t="s">
        <v>28</v>
      </c>
      <c r="N668" s="17" t="s">
        <v>3186</v>
      </c>
      <c r="O668" s="17">
        <v>7.4426417E7</v>
      </c>
      <c r="P668" s="17" t="s">
        <v>3187</v>
      </c>
      <c r="Q668" s="17" t="s">
        <v>108</v>
      </c>
      <c r="S668" s="17" t="s">
        <v>3188</v>
      </c>
      <c r="U668" s="24"/>
      <c r="V668" s="24"/>
      <c r="W668" s="18" t="s">
        <v>76</v>
      </c>
    </row>
    <row r="669">
      <c r="A669" s="11"/>
      <c r="B669" s="12" t="s">
        <v>43</v>
      </c>
      <c r="C669" s="12" t="s">
        <v>65</v>
      </c>
      <c r="D669" s="12" t="s">
        <v>43</v>
      </c>
      <c r="E669" s="12" t="s">
        <v>188</v>
      </c>
      <c r="F669" s="13" t="s">
        <v>189</v>
      </c>
      <c r="G669" s="12" t="s">
        <v>68</v>
      </c>
      <c r="H669" s="12" t="s">
        <v>190</v>
      </c>
      <c r="I669" s="12" t="s">
        <v>191</v>
      </c>
      <c r="J669" s="17" t="s">
        <v>2169</v>
      </c>
      <c r="K669" s="18" t="s">
        <v>2270</v>
      </c>
      <c r="L669" s="20">
        <v>45882.0</v>
      </c>
      <c r="M669" s="17" t="s">
        <v>28</v>
      </c>
      <c r="N669" s="17" t="s">
        <v>3189</v>
      </c>
      <c r="O669" s="17">
        <v>4.377674E7</v>
      </c>
      <c r="P669" s="17" t="s">
        <v>3190</v>
      </c>
      <c r="Q669" s="17" t="s">
        <v>108</v>
      </c>
      <c r="S669" s="17" t="s">
        <v>3191</v>
      </c>
      <c r="U669" s="24"/>
      <c r="V669" s="24"/>
      <c r="W669" s="18" t="s">
        <v>76</v>
      </c>
    </row>
    <row r="670">
      <c r="A670" s="11"/>
      <c r="B670" s="12" t="s">
        <v>43</v>
      </c>
      <c r="C670" s="12" t="s">
        <v>65</v>
      </c>
      <c r="D670" s="12" t="s">
        <v>43</v>
      </c>
      <c r="E670" s="12" t="s">
        <v>188</v>
      </c>
      <c r="F670" s="13" t="s">
        <v>189</v>
      </c>
      <c r="G670" s="12" t="s">
        <v>68</v>
      </c>
      <c r="H670" s="12" t="s">
        <v>190</v>
      </c>
      <c r="I670" s="12" t="s">
        <v>191</v>
      </c>
      <c r="J670" s="17" t="s">
        <v>2169</v>
      </c>
      <c r="K670" s="18" t="s">
        <v>2270</v>
      </c>
      <c r="L670" s="20">
        <v>45882.0</v>
      </c>
      <c r="M670" s="17" t="s">
        <v>28</v>
      </c>
      <c r="N670" s="17" t="s">
        <v>3192</v>
      </c>
      <c r="O670" s="17">
        <v>7.2551321E7</v>
      </c>
      <c r="P670" s="17" t="s">
        <v>3193</v>
      </c>
      <c r="Q670" s="17" t="s">
        <v>108</v>
      </c>
      <c r="S670" s="17" t="s">
        <v>3194</v>
      </c>
      <c r="U670" s="24"/>
      <c r="V670" s="24"/>
      <c r="W670" s="18" t="s">
        <v>76</v>
      </c>
    </row>
    <row r="671">
      <c r="A671" s="11"/>
      <c r="B671" s="12" t="s">
        <v>43</v>
      </c>
      <c r="C671" s="12" t="s">
        <v>65</v>
      </c>
      <c r="D671" s="12" t="s">
        <v>43</v>
      </c>
      <c r="E671" s="12" t="s">
        <v>188</v>
      </c>
      <c r="F671" s="13" t="s">
        <v>189</v>
      </c>
      <c r="G671" s="12" t="s">
        <v>68</v>
      </c>
      <c r="H671" s="12" t="s">
        <v>190</v>
      </c>
      <c r="I671" s="12" t="s">
        <v>191</v>
      </c>
      <c r="J671" s="17" t="s">
        <v>2169</v>
      </c>
      <c r="K671" s="18" t="s">
        <v>2170</v>
      </c>
      <c r="L671" s="20">
        <v>45882.0</v>
      </c>
      <c r="M671" s="17" t="s">
        <v>28</v>
      </c>
      <c r="N671" s="17" t="s">
        <v>3195</v>
      </c>
      <c r="O671" s="17">
        <v>7.2603507E7</v>
      </c>
      <c r="P671" s="17" t="s">
        <v>3196</v>
      </c>
      <c r="Q671" s="17" t="s">
        <v>108</v>
      </c>
      <c r="S671" s="17" t="s">
        <v>3197</v>
      </c>
      <c r="U671" s="24"/>
      <c r="V671" s="24"/>
      <c r="W671" s="18" t="s">
        <v>76</v>
      </c>
    </row>
    <row r="672">
      <c r="A672" s="11"/>
      <c r="B672" s="12" t="s">
        <v>43</v>
      </c>
      <c r="C672" s="12" t="s">
        <v>65</v>
      </c>
      <c r="D672" s="12" t="s">
        <v>43</v>
      </c>
      <c r="E672" s="12" t="s">
        <v>188</v>
      </c>
      <c r="F672" s="13" t="s">
        <v>189</v>
      </c>
      <c r="G672" s="12" t="s">
        <v>68</v>
      </c>
      <c r="H672" s="12" t="s">
        <v>190</v>
      </c>
      <c r="I672" s="12" t="s">
        <v>191</v>
      </c>
      <c r="J672" s="17" t="s">
        <v>2169</v>
      </c>
      <c r="K672" s="18" t="s">
        <v>2170</v>
      </c>
      <c r="L672" s="20">
        <v>45882.0</v>
      </c>
      <c r="M672" s="17" t="s">
        <v>28</v>
      </c>
      <c r="N672" s="17" t="s">
        <v>3198</v>
      </c>
      <c r="O672" s="17">
        <v>7.6740605E7</v>
      </c>
      <c r="P672" s="17" t="s">
        <v>3199</v>
      </c>
      <c r="Q672" s="17" t="s">
        <v>112</v>
      </c>
      <c r="S672" s="17" t="s">
        <v>3199</v>
      </c>
      <c r="U672" s="24"/>
      <c r="V672" s="24"/>
      <c r="W672" s="18" t="s">
        <v>76</v>
      </c>
    </row>
    <row r="673">
      <c r="A673" s="11"/>
      <c r="B673" s="12" t="s">
        <v>43</v>
      </c>
      <c r="C673" s="12" t="s">
        <v>65</v>
      </c>
      <c r="D673" s="12" t="s">
        <v>43</v>
      </c>
      <c r="E673" s="12" t="s">
        <v>188</v>
      </c>
      <c r="F673" s="13" t="s">
        <v>189</v>
      </c>
      <c r="G673" s="12" t="s">
        <v>68</v>
      </c>
      <c r="H673" s="12" t="s">
        <v>190</v>
      </c>
      <c r="I673" s="12" t="s">
        <v>191</v>
      </c>
      <c r="J673" s="17" t="s">
        <v>2169</v>
      </c>
      <c r="K673" s="18" t="s">
        <v>2170</v>
      </c>
      <c r="L673" s="20">
        <v>45882.0</v>
      </c>
      <c r="M673" s="17" t="s">
        <v>28</v>
      </c>
      <c r="N673" s="17" t="s">
        <v>3200</v>
      </c>
      <c r="O673" s="17">
        <v>4.3893169E7</v>
      </c>
      <c r="P673" s="17" t="s">
        <v>3201</v>
      </c>
      <c r="Q673" s="17" t="s">
        <v>73</v>
      </c>
      <c r="S673" s="17" t="s">
        <v>3202</v>
      </c>
      <c r="U673" s="24"/>
      <c r="V673" s="24"/>
      <c r="W673" s="18" t="s">
        <v>76</v>
      </c>
    </row>
    <row r="674">
      <c r="A674" s="11"/>
      <c r="B674" s="12" t="s">
        <v>43</v>
      </c>
      <c r="C674" s="12" t="s">
        <v>65</v>
      </c>
      <c r="D674" s="12" t="s">
        <v>43</v>
      </c>
      <c r="E674" s="12" t="s">
        <v>188</v>
      </c>
      <c r="F674" s="13" t="s">
        <v>189</v>
      </c>
      <c r="G674" s="12" t="s">
        <v>68</v>
      </c>
      <c r="H674" s="12" t="s">
        <v>190</v>
      </c>
      <c r="I674" s="12" t="s">
        <v>191</v>
      </c>
      <c r="J674" s="17" t="s">
        <v>2169</v>
      </c>
      <c r="K674" s="18" t="s">
        <v>2170</v>
      </c>
      <c r="L674" s="20">
        <v>45882.0</v>
      </c>
      <c r="M674" s="17" t="s">
        <v>28</v>
      </c>
      <c r="N674" s="17" t="s">
        <v>3203</v>
      </c>
      <c r="O674" s="17">
        <v>4.5471832E7</v>
      </c>
      <c r="P674" s="16" t="s">
        <v>1588</v>
      </c>
      <c r="Q674" s="17" t="s">
        <v>73</v>
      </c>
      <c r="S674" s="17" t="s">
        <v>3204</v>
      </c>
      <c r="U674" s="24"/>
      <c r="V674" s="24"/>
      <c r="W674" s="18" t="s">
        <v>76</v>
      </c>
    </row>
    <row r="675">
      <c r="A675" s="11"/>
      <c r="B675" s="12" t="s">
        <v>43</v>
      </c>
      <c r="C675" s="12" t="s">
        <v>65</v>
      </c>
      <c r="D675" s="12" t="s">
        <v>43</v>
      </c>
      <c r="E675" s="12" t="s">
        <v>188</v>
      </c>
      <c r="F675" s="13" t="s">
        <v>189</v>
      </c>
      <c r="G675" s="12" t="s">
        <v>68</v>
      </c>
      <c r="H675" s="12" t="s">
        <v>190</v>
      </c>
      <c r="I675" s="12" t="s">
        <v>191</v>
      </c>
      <c r="J675" s="17" t="s">
        <v>2169</v>
      </c>
      <c r="K675" s="18" t="s">
        <v>2170</v>
      </c>
      <c r="L675" s="20">
        <v>45882.0</v>
      </c>
      <c r="M675" s="17" t="s">
        <v>28</v>
      </c>
      <c r="N675" s="17" t="s">
        <v>3205</v>
      </c>
      <c r="O675" s="17">
        <v>4.5266464E7</v>
      </c>
      <c r="Q675" s="2"/>
      <c r="U675" s="24"/>
      <c r="V675" s="24"/>
      <c r="W675" s="18" t="s">
        <v>76</v>
      </c>
    </row>
    <row r="676">
      <c r="A676" s="11"/>
      <c r="B676" s="12" t="s">
        <v>43</v>
      </c>
      <c r="C676" s="12" t="s">
        <v>65</v>
      </c>
      <c r="D676" s="12" t="s">
        <v>43</v>
      </c>
      <c r="E676" s="12" t="s">
        <v>188</v>
      </c>
      <c r="F676" s="13" t="s">
        <v>189</v>
      </c>
      <c r="G676" s="12" t="s">
        <v>68</v>
      </c>
      <c r="H676" s="12" t="s">
        <v>190</v>
      </c>
      <c r="I676" s="12" t="s">
        <v>191</v>
      </c>
      <c r="J676" s="17" t="s">
        <v>2169</v>
      </c>
      <c r="K676" s="18" t="s">
        <v>2170</v>
      </c>
      <c r="L676" s="20">
        <v>45882.0</v>
      </c>
      <c r="M676" s="17" t="s">
        <v>28</v>
      </c>
      <c r="N676" s="17" t="s">
        <v>3206</v>
      </c>
      <c r="O676" s="17">
        <v>4.4396965E7</v>
      </c>
      <c r="P676" s="17" t="s">
        <v>3207</v>
      </c>
      <c r="Q676" s="2"/>
      <c r="S676" s="17" t="s">
        <v>3207</v>
      </c>
      <c r="U676" s="24"/>
      <c r="V676" s="24"/>
      <c r="W676" s="18" t="s">
        <v>76</v>
      </c>
    </row>
    <row r="677">
      <c r="A677" s="11"/>
      <c r="B677" s="12" t="s">
        <v>43</v>
      </c>
      <c r="C677" s="12" t="s">
        <v>65</v>
      </c>
      <c r="D677" s="12" t="s">
        <v>43</v>
      </c>
      <c r="E677" s="12" t="s">
        <v>188</v>
      </c>
      <c r="F677" s="13" t="s">
        <v>189</v>
      </c>
      <c r="G677" s="12" t="s">
        <v>68</v>
      </c>
      <c r="H677" s="12" t="s">
        <v>190</v>
      </c>
      <c r="I677" s="12" t="s">
        <v>191</v>
      </c>
      <c r="J677" s="17" t="s">
        <v>2169</v>
      </c>
      <c r="K677" s="18" t="s">
        <v>2170</v>
      </c>
      <c r="L677" s="20">
        <v>45882.0</v>
      </c>
      <c r="M677" s="17" t="s">
        <v>28</v>
      </c>
      <c r="N677" s="17" t="s">
        <v>3208</v>
      </c>
      <c r="O677" s="17">
        <v>4.2410734E7</v>
      </c>
      <c r="P677" s="17" t="s">
        <v>3209</v>
      </c>
      <c r="Q677" s="17" t="s">
        <v>73</v>
      </c>
      <c r="S677" s="17" t="s">
        <v>3210</v>
      </c>
      <c r="U677" s="24"/>
      <c r="V677" s="24"/>
      <c r="W677" s="18" t="s">
        <v>76</v>
      </c>
    </row>
    <row r="678">
      <c r="A678" s="11"/>
      <c r="B678" s="12" t="s">
        <v>43</v>
      </c>
      <c r="C678" s="12" t="s">
        <v>65</v>
      </c>
      <c r="D678" s="12" t="s">
        <v>43</v>
      </c>
      <c r="E678" s="12" t="s">
        <v>188</v>
      </c>
      <c r="F678" s="13" t="s">
        <v>189</v>
      </c>
      <c r="G678" s="12" t="s">
        <v>68</v>
      </c>
      <c r="H678" s="12" t="s">
        <v>190</v>
      </c>
      <c r="I678" s="12" t="s">
        <v>191</v>
      </c>
      <c r="J678" s="17" t="s">
        <v>2169</v>
      </c>
      <c r="K678" s="18" t="s">
        <v>2170</v>
      </c>
      <c r="L678" s="20">
        <v>45882.0</v>
      </c>
      <c r="M678" s="17" t="s">
        <v>28</v>
      </c>
      <c r="N678" s="17" t="s">
        <v>3211</v>
      </c>
      <c r="O678" s="17">
        <v>6.206607E7</v>
      </c>
      <c r="P678" s="16" t="s">
        <v>1590</v>
      </c>
      <c r="Q678" s="17" t="s">
        <v>73</v>
      </c>
      <c r="S678" s="17" t="s">
        <v>3212</v>
      </c>
      <c r="U678" s="24"/>
      <c r="V678" s="24"/>
      <c r="W678" s="18" t="s">
        <v>76</v>
      </c>
    </row>
    <row r="679">
      <c r="A679" s="11"/>
      <c r="B679" s="12" t="s">
        <v>43</v>
      </c>
      <c r="C679" s="12" t="s">
        <v>65</v>
      </c>
      <c r="D679" s="12" t="s">
        <v>43</v>
      </c>
      <c r="E679" s="12" t="s">
        <v>188</v>
      </c>
      <c r="F679" s="13" t="s">
        <v>189</v>
      </c>
      <c r="G679" s="12" t="s">
        <v>68</v>
      </c>
      <c r="H679" s="12" t="s">
        <v>190</v>
      </c>
      <c r="I679" s="12" t="s">
        <v>191</v>
      </c>
      <c r="J679" s="17" t="s">
        <v>2169</v>
      </c>
      <c r="K679" s="18" t="s">
        <v>2170</v>
      </c>
      <c r="L679" s="20">
        <v>45882.0</v>
      </c>
      <c r="M679" s="17" t="s">
        <v>28</v>
      </c>
      <c r="N679" s="17" t="s">
        <v>3213</v>
      </c>
      <c r="O679" s="17"/>
      <c r="P679" s="16"/>
      <c r="Q679" s="17"/>
      <c r="S679" s="17"/>
      <c r="U679" s="24"/>
      <c r="V679" s="24"/>
      <c r="W679" s="18" t="s">
        <v>76</v>
      </c>
    </row>
    <row r="680">
      <c r="A680" s="11"/>
      <c r="B680" s="12" t="s">
        <v>22</v>
      </c>
      <c r="C680" s="12" t="s">
        <v>22</v>
      </c>
      <c r="D680" s="12" t="s">
        <v>22</v>
      </c>
      <c r="E680" s="12" t="s">
        <v>624</v>
      </c>
      <c r="F680" s="13" t="s">
        <v>625</v>
      </c>
      <c r="G680" s="12" t="s">
        <v>68</v>
      </c>
      <c r="H680" s="12" t="s">
        <v>626</v>
      </c>
      <c r="I680" s="12" t="s">
        <v>627</v>
      </c>
      <c r="J680" s="17" t="s">
        <v>2779</v>
      </c>
      <c r="K680" s="18" t="s">
        <v>2780</v>
      </c>
      <c r="L680" s="20">
        <v>45883.0</v>
      </c>
      <c r="M680" s="17" t="s">
        <v>28</v>
      </c>
      <c r="N680" s="17" t="s">
        <v>3214</v>
      </c>
      <c r="O680" s="17">
        <v>4.8733069E7</v>
      </c>
      <c r="P680" s="17" t="s">
        <v>3215</v>
      </c>
      <c r="Q680" s="17" t="s">
        <v>112</v>
      </c>
      <c r="R680" s="17" t="s">
        <v>2233</v>
      </c>
      <c r="S680" s="17" t="s">
        <v>3216</v>
      </c>
      <c r="U680" s="24"/>
      <c r="V680" s="24"/>
      <c r="W680" s="18" t="s">
        <v>588</v>
      </c>
    </row>
    <row r="681">
      <c r="A681" s="11"/>
      <c r="B681" s="12" t="s">
        <v>22</v>
      </c>
      <c r="C681" s="12" t="s">
        <v>22</v>
      </c>
      <c r="D681" s="12" t="s">
        <v>22</v>
      </c>
      <c r="E681" s="12" t="s">
        <v>624</v>
      </c>
      <c r="F681" s="13" t="s">
        <v>625</v>
      </c>
      <c r="G681" s="12" t="s">
        <v>68</v>
      </c>
      <c r="H681" s="12" t="s">
        <v>626</v>
      </c>
      <c r="I681" s="12" t="s">
        <v>627</v>
      </c>
      <c r="J681" s="17" t="s">
        <v>2779</v>
      </c>
      <c r="K681" s="18" t="s">
        <v>2780</v>
      </c>
      <c r="L681" s="20">
        <v>45883.0</v>
      </c>
      <c r="M681" s="17" t="s">
        <v>28</v>
      </c>
      <c r="N681" s="17" t="s">
        <v>3217</v>
      </c>
      <c r="O681" s="17">
        <v>4.7052597E7</v>
      </c>
      <c r="P681" s="17" t="s">
        <v>2245</v>
      </c>
      <c r="Q681" s="17" t="s">
        <v>108</v>
      </c>
      <c r="R681" s="17" t="s">
        <v>2246</v>
      </c>
      <c r="S681" s="17" t="s">
        <v>2247</v>
      </c>
      <c r="U681" s="24"/>
      <c r="V681" s="24"/>
      <c r="W681" s="18" t="s">
        <v>588</v>
      </c>
    </row>
    <row r="682">
      <c r="A682" s="11"/>
      <c r="B682" s="12" t="s">
        <v>22</v>
      </c>
      <c r="C682" s="12" t="s">
        <v>22</v>
      </c>
      <c r="D682" s="12" t="s">
        <v>22</v>
      </c>
      <c r="E682" s="12" t="s">
        <v>624</v>
      </c>
      <c r="F682" s="13" t="s">
        <v>625</v>
      </c>
      <c r="G682" s="12" t="s">
        <v>68</v>
      </c>
      <c r="H682" s="12" t="s">
        <v>626</v>
      </c>
      <c r="I682" s="12" t="s">
        <v>627</v>
      </c>
      <c r="J682" s="17" t="s">
        <v>2779</v>
      </c>
      <c r="K682" s="18" t="s">
        <v>2780</v>
      </c>
      <c r="L682" s="20">
        <v>45883.0</v>
      </c>
      <c r="M682" s="17" t="s">
        <v>28</v>
      </c>
      <c r="N682" s="17" t="s">
        <v>3218</v>
      </c>
      <c r="O682" s="17">
        <v>6.2497549E7</v>
      </c>
      <c r="P682" s="17" t="s">
        <v>3219</v>
      </c>
      <c r="Q682" s="17" t="s">
        <v>112</v>
      </c>
      <c r="R682" s="17" t="s">
        <v>2233</v>
      </c>
      <c r="S682" s="17" t="s">
        <v>3220</v>
      </c>
      <c r="U682" s="24"/>
      <c r="V682" s="24"/>
      <c r="W682" s="18" t="s">
        <v>588</v>
      </c>
    </row>
    <row r="683">
      <c r="A683" s="11"/>
      <c r="B683" s="12" t="s">
        <v>22</v>
      </c>
      <c r="C683" s="12" t="s">
        <v>22</v>
      </c>
      <c r="D683" s="12" t="s">
        <v>22</v>
      </c>
      <c r="E683" s="12" t="s">
        <v>624</v>
      </c>
      <c r="F683" s="13" t="s">
        <v>625</v>
      </c>
      <c r="G683" s="12" t="s">
        <v>68</v>
      </c>
      <c r="H683" s="12" t="s">
        <v>626</v>
      </c>
      <c r="I683" s="12" t="s">
        <v>627</v>
      </c>
      <c r="J683" s="17" t="s">
        <v>2779</v>
      </c>
      <c r="K683" s="18" t="s">
        <v>2780</v>
      </c>
      <c r="L683" s="20">
        <v>45883.0</v>
      </c>
      <c r="M683" s="17" t="s">
        <v>28</v>
      </c>
      <c r="N683" s="17" t="s">
        <v>3221</v>
      </c>
      <c r="O683" s="17">
        <v>4.1263195E7</v>
      </c>
      <c r="P683" s="17" t="s">
        <v>2236</v>
      </c>
      <c r="Q683" s="17" t="s">
        <v>112</v>
      </c>
      <c r="R683" s="17" t="s">
        <v>2233</v>
      </c>
      <c r="S683" s="17" t="s">
        <v>3222</v>
      </c>
      <c r="U683" s="24"/>
      <c r="V683" s="24"/>
      <c r="W683" s="18" t="s">
        <v>588</v>
      </c>
    </row>
    <row r="684">
      <c r="A684" s="11"/>
      <c r="B684" s="12" t="s">
        <v>22</v>
      </c>
      <c r="C684" s="12" t="s">
        <v>22</v>
      </c>
      <c r="D684" s="12" t="s">
        <v>22</v>
      </c>
      <c r="E684" s="12" t="s">
        <v>624</v>
      </c>
      <c r="F684" s="13" t="s">
        <v>625</v>
      </c>
      <c r="G684" s="12" t="s">
        <v>68</v>
      </c>
      <c r="H684" s="12" t="s">
        <v>626</v>
      </c>
      <c r="I684" s="12" t="s">
        <v>627</v>
      </c>
      <c r="J684" s="17" t="s">
        <v>2779</v>
      </c>
      <c r="K684" s="18" t="s">
        <v>2780</v>
      </c>
      <c r="L684" s="20">
        <v>45883.0</v>
      </c>
      <c r="M684" s="17" t="s">
        <v>28</v>
      </c>
      <c r="N684" s="17" t="s">
        <v>3223</v>
      </c>
      <c r="O684" s="17">
        <v>4.4633546E7</v>
      </c>
      <c r="P684" s="17" t="s">
        <v>2255</v>
      </c>
      <c r="Q684" s="17" t="s">
        <v>73</v>
      </c>
      <c r="R684" s="17" t="s">
        <v>2233</v>
      </c>
      <c r="S684" s="17" t="s">
        <v>3224</v>
      </c>
      <c r="U684" s="24"/>
      <c r="V684" s="24"/>
      <c r="W684" s="18" t="s">
        <v>588</v>
      </c>
    </row>
    <row r="685">
      <c r="A685" s="11"/>
      <c r="B685" s="12" t="s">
        <v>22</v>
      </c>
      <c r="C685" s="12" t="s">
        <v>22</v>
      </c>
      <c r="D685" s="12" t="s">
        <v>22</v>
      </c>
      <c r="E685" s="12" t="s">
        <v>624</v>
      </c>
      <c r="F685" s="13" t="s">
        <v>625</v>
      </c>
      <c r="G685" s="12" t="s">
        <v>68</v>
      </c>
      <c r="H685" s="12" t="s">
        <v>626</v>
      </c>
      <c r="I685" s="12" t="s">
        <v>627</v>
      </c>
      <c r="J685" s="17" t="s">
        <v>2779</v>
      </c>
      <c r="K685" s="18" t="s">
        <v>2780</v>
      </c>
      <c r="L685" s="20">
        <v>45883.0</v>
      </c>
      <c r="M685" s="17" t="s">
        <v>28</v>
      </c>
      <c r="N685" s="17" t="s">
        <v>3225</v>
      </c>
      <c r="O685" s="17">
        <v>7.3532877E7</v>
      </c>
      <c r="P685" s="17" t="s">
        <v>3226</v>
      </c>
      <c r="Q685" s="17" t="s">
        <v>73</v>
      </c>
      <c r="R685" s="17" t="s">
        <v>2233</v>
      </c>
      <c r="S685" s="17" t="s">
        <v>3227</v>
      </c>
      <c r="U685" s="24"/>
      <c r="V685" s="24"/>
      <c r="W685" s="18" t="s">
        <v>588</v>
      </c>
    </row>
    <row r="686">
      <c r="A686" s="11"/>
      <c r="B686" s="12" t="s">
        <v>22</v>
      </c>
      <c r="C686" s="12" t="s">
        <v>22</v>
      </c>
      <c r="D686" s="12" t="s">
        <v>22</v>
      </c>
      <c r="E686" s="12" t="s">
        <v>624</v>
      </c>
      <c r="F686" s="13" t="s">
        <v>625</v>
      </c>
      <c r="G686" s="12" t="s">
        <v>68</v>
      </c>
      <c r="H686" s="12" t="s">
        <v>626</v>
      </c>
      <c r="I686" s="12" t="s">
        <v>627</v>
      </c>
      <c r="J686" s="17" t="s">
        <v>2779</v>
      </c>
      <c r="K686" s="18" t="s">
        <v>2780</v>
      </c>
      <c r="L686" s="20">
        <v>45883.0</v>
      </c>
      <c r="M686" s="17" t="s">
        <v>28</v>
      </c>
      <c r="N686" s="17" t="s">
        <v>2231</v>
      </c>
      <c r="O686" s="17">
        <v>7.0998076E7</v>
      </c>
      <c r="P686" s="17" t="s">
        <v>2232</v>
      </c>
      <c r="Q686" s="17" t="s">
        <v>73</v>
      </c>
      <c r="R686" s="17" t="s">
        <v>2233</v>
      </c>
      <c r="S686" s="17" t="s">
        <v>2234</v>
      </c>
      <c r="U686" s="24"/>
      <c r="V686" s="24"/>
      <c r="W686" s="18" t="s">
        <v>588</v>
      </c>
    </row>
    <row r="687">
      <c r="A687" s="11"/>
      <c r="B687" s="12" t="s">
        <v>22</v>
      </c>
      <c r="C687" s="12" t="s">
        <v>22</v>
      </c>
      <c r="D687" s="12" t="s">
        <v>22</v>
      </c>
      <c r="E687" s="12" t="s">
        <v>624</v>
      </c>
      <c r="F687" s="13" t="s">
        <v>625</v>
      </c>
      <c r="G687" s="12" t="s">
        <v>68</v>
      </c>
      <c r="H687" s="12" t="s">
        <v>626</v>
      </c>
      <c r="I687" s="12" t="s">
        <v>627</v>
      </c>
      <c r="J687" s="17" t="s">
        <v>2779</v>
      </c>
      <c r="K687" s="18" t="s">
        <v>2780</v>
      </c>
      <c r="L687" s="20">
        <v>45883.0</v>
      </c>
      <c r="M687" s="17" t="s">
        <v>28</v>
      </c>
      <c r="N687" s="17" t="s">
        <v>2231</v>
      </c>
      <c r="O687" s="17">
        <v>7.0998076E7</v>
      </c>
      <c r="P687" s="17" t="s">
        <v>3228</v>
      </c>
      <c r="Q687" s="17" t="s">
        <v>108</v>
      </c>
      <c r="R687" s="17" t="s">
        <v>2246</v>
      </c>
      <c r="S687" s="17" t="s">
        <v>3229</v>
      </c>
      <c r="U687" s="24"/>
      <c r="V687" s="24"/>
      <c r="W687" s="18" t="s">
        <v>588</v>
      </c>
    </row>
    <row r="688">
      <c r="A688" s="11"/>
      <c r="B688" s="12" t="s">
        <v>22</v>
      </c>
      <c r="C688" s="12" t="s">
        <v>22</v>
      </c>
      <c r="D688" s="12" t="s">
        <v>22</v>
      </c>
      <c r="E688" s="12" t="s">
        <v>624</v>
      </c>
      <c r="F688" s="13" t="s">
        <v>625</v>
      </c>
      <c r="G688" s="12" t="s">
        <v>68</v>
      </c>
      <c r="H688" s="12" t="s">
        <v>626</v>
      </c>
      <c r="I688" s="12" t="s">
        <v>627</v>
      </c>
      <c r="J688" s="17" t="s">
        <v>2779</v>
      </c>
      <c r="K688" s="18" t="s">
        <v>2780</v>
      </c>
      <c r="L688" s="20">
        <v>45883.0</v>
      </c>
      <c r="M688" s="17" t="s">
        <v>28</v>
      </c>
      <c r="N688" s="17" t="s">
        <v>3230</v>
      </c>
      <c r="O688" s="17">
        <v>4.6285527E7</v>
      </c>
      <c r="P688" s="17" t="s">
        <v>2239</v>
      </c>
      <c r="Q688" s="17" t="s">
        <v>73</v>
      </c>
      <c r="R688" s="17" t="s">
        <v>2233</v>
      </c>
      <c r="S688" s="17" t="s">
        <v>2240</v>
      </c>
      <c r="U688" s="24"/>
      <c r="V688" s="24"/>
      <c r="W688" s="18" t="s">
        <v>588</v>
      </c>
    </row>
    <row r="689">
      <c r="A689" s="11"/>
      <c r="B689" s="12" t="s">
        <v>22</v>
      </c>
      <c r="C689" s="12" t="s">
        <v>22</v>
      </c>
      <c r="D689" s="12" t="s">
        <v>22</v>
      </c>
      <c r="E689" s="12" t="s">
        <v>624</v>
      </c>
      <c r="F689" s="13" t="s">
        <v>625</v>
      </c>
      <c r="G689" s="12" t="s">
        <v>68</v>
      </c>
      <c r="H689" s="12" t="s">
        <v>626</v>
      </c>
      <c r="I689" s="12" t="s">
        <v>627</v>
      </c>
      <c r="J689" s="17" t="s">
        <v>2779</v>
      </c>
      <c r="K689" s="18" t="s">
        <v>2780</v>
      </c>
      <c r="L689" s="20">
        <v>45883.0</v>
      </c>
      <c r="M689" s="17" t="s">
        <v>28</v>
      </c>
      <c r="N689" s="17" t="s">
        <v>3231</v>
      </c>
      <c r="O689" s="17">
        <v>4.4917221E7</v>
      </c>
      <c r="P689" s="17" t="s">
        <v>3232</v>
      </c>
      <c r="Q689" s="17" t="s">
        <v>108</v>
      </c>
      <c r="R689" s="17" t="s">
        <v>2246</v>
      </c>
      <c r="S689" s="17" t="s">
        <v>3233</v>
      </c>
      <c r="U689" s="24"/>
      <c r="V689" s="24"/>
      <c r="W689" s="18" t="s">
        <v>588</v>
      </c>
    </row>
    <row r="690">
      <c r="A690" s="11"/>
      <c r="B690" s="12" t="s">
        <v>22</v>
      </c>
      <c r="C690" s="12" t="s">
        <v>22</v>
      </c>
      <c r="D690" s="12" t="s">
        <v>22</v>
      </c>
      <c r="E690" s="12" t="s">
        <v>624</v>
      </c>
      <c r="F690" s="13" t="s">
        <v>625</v>
      </c>
      <c r="G690" s="12" t="s">
        <v>68</v>
      </c>
      <c r="H690" s="12" t="s">
        <v>626</v>
      </c>
      <c r="I690" s="12" t="s">
        <v>627</v>
      </c>
      <c r="J690" s="17" t="s">
        <v>2779</v>
      </c>
      <c r="K690" s="18" t="s">
        <v>2780</v>
      </c>
      <c r="L690" s="20">
        <v>45883.0</v>
      </c>
      <c r="M690" s="17" t="s">
        <v>28</v>
      </c>
      <c r="N690" s="17" t="s">
        <v>3234</v>
      </c>
      <c r="O690" s="17">
        <v>4.181096E7</v>
      </c>
      <c r="P690" s="17" t="s">
        <v>3235</v>
      </c>
      <c r="Q690" s="17" t="s">
        <v>112</v>
      </c>
      <c r="R690" s="17" t="s">
        <v>2233</v>
      </c>
      <c r="S690" s="17" t="s">
        <v>3236</v>
      </c>
      <c r="U690" s="24"/>
      <c r="V690" s="24"/>
      <c r="W690" s="18" t="s">
        <v>588</v>
      </c>
    </row>
    <row r="691">
      <c r="A691" s="11"/>
      <c r="B691" s="12" t="s">
        <v>22</v>
      </c>
      <c r="C691" s="12" t="s">
        <v>22</v>
      </c>
      <c r="D691" s="12" t="s">
        <v>22</v>
      </c>
      <c r="E691" s="12" t="s">
        <v>624</v>
      </c>
      <c r="F691" s="13" t="s">
        <v>625</v>
      </c>
      <c r="G691" s="12" t="s">
        <v>68</v>
      </c>
      <c r="H691" s="12" t="s">
        <v>626</v>
      </c>
      <c r="I691" s="12" t="s">
        <v>627</v>
      </c>
      <c r="J691" s="17" t="s">
        <v>2779</v>
      </c>
      <c r="K691" s="18" t="s">
        <v>2780</v>
      </c>
      <c r="L691" s="20">
        <v>45883.0</v>
      </c>
      <c r="M691" s="17" t="s">
        <v>23</v>
      </c>
      <c r="N691" s="17" t="s">
        <v>2266</v>
      </c>
      <c r="O691" s="17">
        <v>4.5618178E7</v>
      </c>
      <c r="Q691" s="17" t="s">
        <v>108</v>
      </c>
      <c r="R691" s="17" t="s">
        <v>2246</v>
      </c>
      <c r="S691" s="17" t="s">
        <v>2267</v>
      </c>
      <c r="U691" s="24"/>
      <c r="V691" s="24"/>
      <c r="W691" s="18" t="s">
        <v>588</v>
      </c>
    </row>
    <row r="692">
      <c r="A692" s="11"/>
      <c r="B692" s="12" t="s">
        <v>22</v>
      </c>
      <c r="C692" s="12" t="s">
        <v>22</v>
      </c>
      <c r="D692" s="12" t="s">
        <v>22</v>
      </c>
      <c r="E692" s="12" t="s">
        <v>624</v>
      </c>
      <c r="F692" s="13" t="s">
        <v>625</v>
      </c>
      <c r="G692" s="12" t="s">
        <v>68</v>
      </c>
      <c r="H692" s="12" t="s">
        <v>626</v>
      </c>
      <c r="I692" s="12" t="s">
        <v>627</v>
      </c>
      <c r="J692" s="17" t="s">
        <v>2779</v>
      </c>
      <c r="K692" s="18" t="s">
        <v>2780</v>
      </c>
      <c r="L692" s="20">
        <v>45883.0</v>
      </c>
      <c r="M692" s="17" t="s">
        <v>23</v>
      </c>
      <c r="N692" s="17" t="s">
        <v>3237</v>
      </c>
      <c r="O692" s="17">
        <v>7.5461891E7</v>
      </c>
      <c r="Q692" s="17" t="s">
        <v>112</v>
      </c>
      <c r="R692" s="17" t="s">
        <v>2233</v>
      </c>
      <c r="S692" s="17" t="s">
        <v>2269</v>
      </c>
      <c r="U692" s="24"/>
      <c r="V692" s="24"/>
      <c r="W692" s="18" t="s">
        <v>588</v>
      </c>
    </row>
    <row r="693">
      <c r="A693" s="11"/>
      <c r="B693" s="12" t="s">
        <v>22</v>
      </c>
      <c r="C693" s="12" t="s">
        <v>22</v>
      </c>
      <c r="D693" s="12" t="s">
        <v>22</v>
      </c>
      <c r="E693" s="12" t="s">
        <v>624</v>
      </c>
      <c r="F693" s="13" t="s">
        <v>625</v>
      </c>
      <c r="G693" s="12" t="s">
        <v>68</v>
      </c>
      <c r="H693" s="12" t="s">
        <v>626</v>
      </c>
      <c r="I693" s="12" t="s">
        <v>627</v>
      </c>
      <c r="J693" s="17" t="s">
        <v>2779</v>
      </c>
      <c r="K693" s="18" t="s">
        <v>2780</v>
      </c>
      <c r="L693" s="20">
        <v>45883.0</v>
      </c>
      <c r="M693" s="17" t="s">
        <v>28</v>
      </c>
      <c r="N693" s="17" t="s">
        <v>3238</v>
      </c>
      <c r="O693" s="17">
        <v>7.6175434E7</v>
      </c>
      <c r="P693" s="17" t="s">
        <v>2261</v>
      </c>
      <c r="Q693" s="17" t="s">
        <v>73</v>
      </c>
      <c r="R693" s="17" t="s">
        <v>2233</v>
      </c>
      <c r="S693" s="17" t="s">
        <v>3239</v>
      </c>
      <c r="U693" s="24"/>
      <c r="V693" s="24"/>
      <c r="W693" s="18" t="s">
        <v>588</v>
      </c>
    </row>
    <row r="694">
      <c r="A694" s="11"/>
      <c r="B694" s="12" t="s">
        <v>22</v>
      </c>
      <c r="C694" s="12" t="s">
        <v>22</v>
      </c>
      <c r="D694" s="12" t="s">
        <v>22</v>
      </c>
      <c r="E694" s="12" t="s">
        <v>624</v>
      </c>
      <c r="F694" s="13" t="s">
        <v>625</v>
      </c>
      <c r="G694" s="12" t="s">
        <v>68</v>
      </c>
      <c r="H694" s="12" t="s">
        <v>626</v>
      </c>
      <c r="I694" s="12" t="s">
        <v>627</v>
      </c>
      <c r="J694" s="17" t="s">
        <v>2779</v>
      </c>
      <c r="K694" s="18" t="s">
        <v>2780</v>
      </c>
      <c r="L694" s="20">
        <v>45883.0</v>
      </c>
      <c r="M694" s="17" t="s">
        <v>28</v>
      </c>
      <c r="N694" s="17" t="s">
        <v>3240</v>
      </c>
      <c r="O694" s="17">
        <v>4.2347204E7</v>
      </c>
      <c r="P694" s="17" t="s">
        <v>3241</v>
      </c>
      <c r="Q694" s="17" t="s">
        <v>112</v>
      </c>
      <c r="R694" s="17" t="s">
        <v>2233</v>
      </c>
      <c r="S694" s="17" t="s">
        <v>3242</v>
      </c>
      <c r="U694" s="24"/>
      <c r="V694" s="24"/>
      <c r="W694" s="18" t="s">
        <v>588</v>
      </c>
    </row>
    <row r="695">
      <c r="A695" s="11"/>
      <c r="B695" s="12" t="s">
        <v>34</v>
      </c>
      <c r="C695" s="12" t="s">
        <v>65</v>
      </c>
      <c r="D695" s="12" t="s">
        <v>102</v>
      </c>
      <c r="E695" s="12" t="s">
        <v>455</v>
      </c>
      <c r="F695" s="13" t="s">
        <v>456</v>
      </c>
      <c r="G695" s="12" t="s">
        <v>68</v>
      </c>
      <c r="H695" s="12" t="s">
        <v>457</v>
      </c>
      <c r="I695" s="12" t="s">
        <v>458</v>
      </c>
      <c r="J695" s="17" t="s">
        <v>2779</v>
      </c>
      <c r="K695" s="18" t="s">
        <v>2780</v>
      </c>
      <c r="L695" s="20">
        <v>45888.0</v>
      </c>
      <c r="M695" s="17" t="s">
        <v>28</v>
      </c>
      <c r="N695" s="17" t="s">
        <v>2646</v>
      </c>
      <c r="O695" s="17">
        <v>7.6744207E7</v>
      </c>
      <c r="P695" s="17" t="s">
        <v>2647</v>
      </c>
      <c r="Q695" s="17" t="s">
        <v>112</v>
      </c>
      <c r="R695" s="17" t="s">
        <v>113</v>
      </c>
      <c r="S695" s="17" t="s">
        <v>2648</v>
      </c>
      <c r="U695" s="24"/>
      <c r="V695" s="24"/>
      <c r="W695" s="18" t="s">
        <v>92</v>
      </c>
    </row>
    <row r="696">
      <c r="A696" s="11"/>
      <c r="B696" s="12" t="s">
        <v>34</v>
      </c>
      <c r="C696" s="12" t="s">
        <v>65</v>
      </c>
      <c r="D696" s="12" t="s">
        <v>102</v>
      </c>
      <c r="E696" s="12" t="s">
        <v>455</v>
      </c>
      <c r="F696" s="13" t="s">
        <v>456</v>
      </c>
      <c r="G696" s="12" t="s">
        <v>68</v>
      </c>
      <c r="H696" s="12" t="s">
        <v>457</v>
      </c>
      <c r="I696" s="12" t="s">
        <v>458</v>
      </c>
      <c r="J696" s="17" t="s">
        <v>2779</v>
      </c>
      <c r="K696" s="18" t="s">
        <v>2780</v>
      </c>
      <c r="L696" s="20">
        <v>45888.0</v>
      </c>
      <c r="M696" s="17" t="s">
        <v>28</v>
      </c>
      <c r="N696" s="17" t="s">
        <v>2652</v>
      </c>
      <c r="O696" s="17">
        <v>7.3322788E7</v>
      </c>
      <c r="P696" s="17" t="s">
        <v>2653</v>
      </c>
      <c r="Q696" s="17" t="s">
        <v>108</v>
      </c>
      <c r="R696" s="17" t="s">
        <v>109</v>
      </c>
      <c r="S696" s="17" t="s">
        <v>2654</v>
      </c>
      <c r="U696" s="24"/>
      <c r="V696" s="24"/>
      <c r="W696" s="18" t="s">
        <v>92</v>
      </c>
    </row>
    <row r="697">
      <c r="A697" s="11"/>
      <c r="B697" s="12" t="s">
        <v>34</v>
      </c>
      <c r="C697" s="12" t="s">
        <v>65</v>
      </c>
      <c r="D697" s="12" t="s">
        <v>102</v>
      </c>
      <c r="E697" s="12" t="s">
        <v>455</v>
      </c>
      <c r="F697" s="13" t="s">
        <v>456</v>
      </c>
      <c r="G697" s="12" t="s">
        <v>68</v>
      </c>
      <c r="H697" s="12" t="s">
        <v>457</v>
      </c>
      <c r="I697" s="12" t="s">
        <v>458</v>
      </c>
      <c r="J697" s="17" t="s">
        <v>2779</v>
      </c>
      <c r="K697" s="18" t="s">
        <v>2780</v>
      </c>
      <c r="L697" s="20">
        <v>45888.0</v>
      </c>
      <c r="M697" s="17" t="s">
        <v>28</v>
      </c>
      <c r="N697" s="17" t="s">
        <v>3243</v>
      </c>
      <c r="O697" s="17">
        <v>4.6512968E7</v>
      </c>
      <c r="P697" s="17" t="s">
        <v>1628</v>
      </c>
      <c r="Q697" s="17" t="s">
        <v>112</v>
      </c>
      <c r="R697" s="17" t="s">
        <v>113</v>
      </c>
      <c r="S697" s="17" t="s">
        <v>3244</v>
      </c>
      <c r="U697" s="24"/>
      <c r="V697" s="24"/>
      <c r="W697" s="18" t="s">
        <v>92</v>
      </c>
    </row>
    <row r="698">
      <c r="A698" s="11"/>
      <c r="B698" s="12" t="s">
        <v>34</v>
      </c>
      <c r="C698" s="12" t="s">
        <v>65</v>
      </c>
      <c r="D698" s="12" t="s">
        <v>102</v>
      </c>
      <c r="E698" s="12" t="s">
        <v>455</v>
      </c>
      <c r="F698" s="13" t="s">
        <v>456</v>
      </c>
      <c r="G698" s="12" t="s">
        <v>68</v>
      </c>
      <c r="H698" s="12" t="s">
        <v>457</v>
      </c>
      <c r="I698" s="12" t="s">
        <v>458</v>
      </c>
      <c r="J698" s="17" t="s">
        <v>2779</v>
      </c>
      <c r="K698" s="18" t="s">
        <v>2780</v>
      </c>
      <c r="L698" s="20">
        <v>45888.0</v>
      </c>
      <c r="M698" s="17" t="s">
        <v>28</v>
      </c>
      <c r="N698" s="17" t="s">
        <v>3245</v>
      </c>
      <c r="O698" s="17">
        <v>4.564733E7</v>
      </c>
      <c r="P698" s="17" t="s">
        <v>1629</v>
      </c>
      <c r="Q698" s="17" t="s">
        <v>112</v>
      </c>
      <c r="R698" s="17" t="s">
        <v>113</v>
      </c>
      <c r="S698" s="17" t="s">
        <v>3246</v>
      </c>
      <c r="U698" s="24"/>
      <c r="V698" s="24"/>
      <c r="W698" s="18" t="s">
        <v>92</v>
      </c>
    </row>
    <row r="699">
      <c r="A699" s="11"/>
      <c r="B699" s="12" t="s">
        <v>34</v>
      </c>
      <c r="C699" s="12" t="s">
        <v>65</v>
      </c>
      <c r="D699" s="12" t="s">
        <v>102</v>
      </c>
      <c r="E699" s="12" t="s">
        <v>455</v>
      </c>
      <c r="F699" s="13" t="s">
        <v>456</v>
      </c>
      <c r="G699" s="12" t="s">
        <v>68</v>
      </c>
      <c r="H699" s="12" t="s">
        <v>457</v>
      </c>
      <c r="I699" s="12" t="s">
        <v>458</v>
      </c>
      <c r="J699" s="17" t="s">
        <v>2779</v>
      </c>
      <c r="K699" s="18" t="s">
        <v>2780</v>
      </c>
      <c r="L699" s="20">
        <v>45888.0</v>
      </c>
      <c r="M699" s="17" t="s">
        <v>28</v>
      </c>
      <c r="N699" s="17" t="s">
        <v>3247</v>
      </c>
      <c r="O699" s="17">
        <v>4.4058889E7</v>
      </c>
      <c r="P699" s="17" t="s">
        <v>1627</v>
      </c>
      <c r="Q699" s="17" t="s">
        <v>112</v>
      </c>
      <c r="R699" s="17" t="s">
        <v>1939</v>
      </c>
      <c r="S699" s="17" t="s">
        <v>3248</v>
      </c>
      <c r="U699" s="24"/>
      <c r="V699" s="24"/>
      <c r="W699" s="18" t="s">
        <v>92</v>
      </c>
    </row>
    <row r="700">
      <c r="A700" s="11"/>
      <c r="B700" s="12" t="s">
        <v>34</v>
      </c>
      <c r="C700" s="12" t="s">
        <v>65</v>
      </c>
      <c r="D700" s="12" t="s">
        <v>102</v>
      </c>
      <c r="E700" s="12" t="s">
        <v>455</v>
      </c>
      <c r="F700" s="13" t="s">
        <v>456</v>
      </c>
      <c r="G700" s="12" t="s">
        <v>68</v>
      </c>
      <c r="H700" s="12" t="s">
        <v>457</v>
      </c>
      <c r="I700" s="12" t="s">
        <v>458</v>
      </c>
      <c r="J700" s="17" t="s">
        <v>2779</v>
      </c>
      <c r="K700" s="18" t="s">
        <v>2780</v>
      </c>
      <c r="L700" s="20">
        <v>45888.0</v>
      </c>
      <c r="M700" s="17" t="s">
        <v>28</v>
      </c>
      <c r="N700" s="17" t="s">
        <v>3249</v>
      </c>
      <c r="O700" s="17">
        <v>4.5242303E7</v>
      </c>
      <c r="P700" s="17" t="s">
        <v>1634</v>
      </c>
      <c r="Q700" s="17" t="s">
        <v>73</v>
      </c>
      <c r="R700" s="17" t="s">
        <v>74</v>
      </c>
      <c r="S700" s="17" t="s">
        <v>3250</v>
      </c>
      <c r="U700" s="24"/>
      <c r="V700" s="24"/>
      <c r="W700" s="18" t="s">
        <v>92</v>
      </c>
    </row>
    <row r="701">
      <c r="A701" s="11"/>
      <c r="B701" s="12" t="s">
        <v>34</v>
      </c>
      <c r="C701" s="12" t="s">
        <v>65</v>
      </c>
      <c r="D701" s="12" t="s">
        <v>102</v>
      </c>
      <c r="E701" s="12" t="s">
        <v>455</v>
      </c>
      <c r="F701" s="13" t="s">
        <v>456</v>
      </c>
      <c r="G701" s="12" t="s">
        <v>68</v>
      </c>
      <c r="H701" s="12" t="s">
        <v>457</v>
      </c>
      <c r="I701" s="12" t="s">
        <v>458</v>
      </c>
      <c r="J701" s="17" t="s">
        <v>2779</v>
      </c>
      <c r="K701" s="18" t="s">
        <v>2780</v>
      </c>
      <c r="L701" s="20">
        <v>45888.0</v>
      </c>
      <c r="M701" s="17" t="s">
        <v>28</v>
      </c>
      <c r="N701" s="17" t="s">
        <v>2671</v>
      </c>
      <c r="O701" s="17">
        <v>7.339272E7</v>
      </c>
      <c r="P701" s="17" t="s">
        <v>2672</v>
      </c>
      <c r="Q701" s="17" t="s">
        <v>112</v>
      </c>
      <c r="R701" s="17" t="s">
        <v>1797</v>
      </c>
      <c r="U701" s="24"/>
      <c r="V701" s="24"/>
      <c r="W701" s="18" t="s">
        <v>92</v>
      </c>
    </row>
    <row r="702">
      <c r="A702" s="11"/>
      <c r="B702" s="12" t="s">
        <v>34</v>
      </c>
      <c r="C702" s="12" t="s">
        <v>65</v>
      </c>
      <c r="D702" s="12" t="s">
        <v>102</v>
      </c>
      <c r="E702" s="12" t="s">
        <v>455</v>
      </c>
      <c r="F702" s="13" t="s">
        <v>456</v>
      </c>
      <c r="G702" s="12" t="s">
        <v>68</v>
      </c>
      <c r="H702" s="12" t="s">
        <v>457</v>
      </c>
      <c r="I702" s="12" t="s">
        <v>458</v>
      </c>
      <c r="J702" s="17" t="s">
        <v>2779</v>
      </c>
      <c r="K702" s="18" t="s">
        <v>2780</v>
      </c>
      <c r="L702" s="20">
        <v>45888.0</v>
      </c>
      <c r="M702" s="17" t="s">
        <v>28</v>
      </c>
      <c r="N702" s="17" t="s">
        <v>2679</v>
      </c>
      <c r="O702" s="17">
        <v>7.2568924E7</v>
      </c>
      <c r="P702" s="17" t="s">
        <v>2680</v>
      </c>
      <c r="Q702" s="17" t="s">
        <v>73</v>
      </c>
      <c r="R702" s="17" t="s">
        <v>74</v>
      </c>
      <c r="S702" s="17" t="s">
        <v>2681</v>
      </c>
      <c r="U702" s="24"/>
      <c r="V702" s="24"/>
      <c r="W702" s="18" t="s">
        <v>92</v>
      </c>
    </row>
    <row r="703">
      <c r="A703" s="11"/>
      <c r="B703" s="12" t="s">
        <v>34</v>
      </c>
      <c r="C703" s="12" t="s">
        <v>65</v>
      </c>
      <c r="D703" s="12" t="s">
        <v>102</v>
      </c>
      <c r="E703" s="12" t="s">
        <v>455</v>
      </c>
      <c r="F703" s="13" t="s">
        <v>456</v>
      </c>
      <c r="G703" s="12" t="s">
        <v>68</v>
      </c>
      <c r="H703" s="12" t="s">
        <v>457</v>
      </c>
      <c r="I703" s="12" t="s">
        <v>458</v>
      </c>
      <c r="J703" s="17" t="s">
        <v>2779</v>
      </c>
      <c r="K703" s="18" t="s">
        <v>2780</v>
      </c>
      <c r="L703" s="20">
        <v>45888.0</v>
      </c>
      <c r="M703" s="17" t="s">
        <v>28</v>
      </c>
      <c r="N703" s="17" t="s">
        <v>3251</v>
      </c>
      <c r="O703" s="17">
        <v>7.1913178E7</v>
      </c>
      <c r="P703" s="17" t="s">
        <v>3252</v>
      </c>
      <c r="Q703" s="17" t="s">
        <v>73</v>
      </c>
      <c r="R703" s="17" t="s">
        <v>74</v>
      </c>
      <c r="S703" s="17" t="s">
        <v>3253</v>
      </c>
      <c r="U703" s="24"/>
      <c r="V703" s="24"/>
      <c r="W703" s="18" t="s">
        <v>92</v>
      </c>
    </row>
    <row r="704">
      <c r="A704" s="11"/>
      <c r="B704" s="12" t="s">
        <v>34</v>
      </c>
      <c r="C704" s="12" t="s">
        <v>65</v>
      </c>
      <c r="D704" s="12" t="s">
        <v>102</v>
      </c>
      <c r="E704" s="12" t="s">
        <v>455</v>
      </c>
      <c r="F704" s="13" t="s">
        <v>456</v>
      </c>
      <c r="G704" s="12" t="s">
        <v>68</v>
      </c>
      <c r="H704" s="12" t="s">
        <v>457</v>
      </c>
      <c r="I704" s="12" t="s">
        <v>458</v>
      </c>
      <c r="J704" s="17" t="s">
        <v>2779</v>
      </c>
      <c r="K704" s="18" t="s">
        <v>2780</v>
      </c>
      <c r="L704" s="20">
        <v>45888.0</v>
      </c>
      <c r="M704" s="17" t="s">
        <v>28</v>
      </c>
      <c r="N704" s="17" t="s">
        <v>2661</v>
      </c>
      <c r="O704" s="17">
        <v>4.372149E7</v>
      </c>
      <c r="P704" s="17" t="s">
        <v>2662</v>
      </c>
      <c r="Q704" s="17" t="s">
        <v>73</v>
      </c>
      <c r="R704" s="17" t="s">
        <v>74</v>
      </c>
      <c r="S704" s="17" t="s">
        <v>2663</v>
      </c>
      <c r="U704" s="24"/>
      <c r="V704" s="24"/>
      <c r="W704" s="18" t="s">
        <v>92</v>
      </c>
    </row>
    <row r="705">
      <c r="A705" s="11"/>
      <c r="B705" s="12" t="s">
        <v>34</v>
      </c>
      <c r="C705" s="12" t="s">
        <v>65</v>
      </c>
      <c r="D705" s="12" t="s">
        <v>102</v>
      </c>
      <c r="E705" s="12" t="s">
        <v>455</v>
      </c>
      <c r="F705" s="13" t="s">
        <v>456</v>
      </c>
      <c r="G705" s="12" t="s">
        <v>68</v>
      </c>
      <c r="H705" s="12" t="s">
        <v>457</v>
      </c>
      <c r="I705" s="12" t="s">
        <v>458</v>
      </c>
      <c r="J705" s="17" t="s">
        <v>2779</v>
      </c>
      <c r="K705" s="18" t="s">
        <v>2780</v>
      </c>
      <c r="L705" s="20">
        <v>45888.0</v>
      </c>
      <c r="M705" s="17" t="s">
        <v>28</v>
      </c>
      <c r="N705" s="17" t="s">
        <v>2658</v>
      </c>
      <c r="O705" s="17">
        <v>7.34164E7</v>
      </c>
      <c r="P705" s="17" t="s">
        <v>2659</v>
      </c>
      <c r="Q705" s="17" t="s">
        <v>112</v>
      </c>
      <c r="R705" s="17" t="s">
        <v>113</v>
      </c>
      <c r="S705" s="17" t="s">
        <v>2660</v>
      </c>
      <c r="U705" s="24"/>
      <c r="V705" s="24"/>
      <c r="W705" s="18" t="s">
        <v>92</v>
      </c>
    </row>
    <row r="706">
      <c r="A706" s="11"/>
      <c r="B706" s="12" t="s">
        <v>34</v>
      </c>
      <c r="C706" s="12" t="s">
        <v>65</v>
      </c>
      <c r="D706" s="12" t="s">
        <v>102</v>
      </c>
      <c r="E706" s="12" t="s">
        <v>455</v>
      </c>
      <c r="F706" s="13" t="s">
        <v>456</v>
      </c>
      <c r="G706" s="12" t="s">
        <v>68</v>
      </c>
      <c r="H706" s="12" t="s">
        <v>457</v>
      </c>
      <c r="I706" s="12" t="s">
        <v>458</v>
      </c>
      <c r="J706" s="17" t="s">
        <v>2779</v>
      </c>
      <c r="K706" s="18" t="s">
        <v>2780</v>
      </c>
      <c r="L706" s="20">
        <v>45888.0</v>
      </c>
      <c r="M706" s="17" t="s">
        <v>28</v>
      </c>
      <c r="N706" s="17" t="s">
        <v>2655</v>
      </c>
      <c r="O706" s="17">
        <v>4.4060491E7</v>
      </c>
      <c r="P706" s="17" t="s">
        <v>2656</v>
      </c>
      <c r="Q706" s="17" t="s">
        <v>108</v>
      </c>
      <c r="R706" s="17" t="s">
        <v>109</v>
      </c>
      <c r="S706" s="17" t="s">
        <v>2657</v>
      </c>
      <c r="U706" s="24"/>
      <c r="V706" s="24"/>
      <c r="W706" s="18" t="s">
        <v>92</v>
      </c>
    </row>
    <row r="707">
      <c r="A707" s="11"/>
      <c r="B707" s="12" t="s">
        <v>34</v>
      </c>
      <c r="C707" s="12" t="s">
        <v>65</v>
      </c>
      <c r="D707" s="12" t="s">
        <v>102</v>
      </c>
      <c r="E707" s="12" t="s">
        <v>455</v>
      </c>
      <c r="F707" s="13" t="s">
        <v>456</v>
      </c>
      <c r="G707" s="12" t="s">
        <v>68</v>
      </c>
      <c r="H707" s="12" t="s">
        <v>457</v>
      </c>
      <c r="I707" s="12" t="s">
        <v>458</v>
      </c>
      <c r="J707" s="17" t="s">
        <v>2779</v>
      </c>
      <c r="K707" s="18" t="s">
        <v>2780</v>
      </c>
      <c r="L707" s="20">
        <v>45888.0</v>
      </c>
      <c r="M707" s="17" t="s">
        <v>28</v>
      </c>
      <c r="N707" s="17" t="s">
        <v>2669</v>
      </c>
      <c r="O707" s="17">
        <v>4.5773532E7</v>
      </c>
      <c r="P707" s="17" t="s">
        <v>1622</v>
      </c>
      <c r="Q707" s="17" t="s">
        <v>112</v>
      </c>
      <c r="R707" s="17" t="s">
        <v>113</v>
      </c>
      <c r="S707" s="17" t="s">
        <v>2670</v>
      </c>
      <c r="U707" s="24"/>
      <c r="V707" s="24"/>
      <c r="W707" s="18" t="s">
        <v>92</v>
      </c>
    </row>
    <row r="708">
      <c r="A708" s="11"/>
      <c r="B708" s="12" t="s">
        <v>34</v>
      </c>
      <c r="C708" s="12" t="s">
        <v>65</v>
      </c>
      <c r="D708" s="12" t="s">
        <v>102</v>
      </c>
      <c r="E708" s="12" t="s">
        <v>455</v>
      </c>
      <c r="F708" s="13" t="s">
        <v>456</v>
      </c>
      <c r="G708" s="12" t="s">
        <v>68</v>
      </c>
      <c r="H708" s="12" t="s">
        <v>457</v>
      </c>
      <c r="I708" s="12" t="s">
        <v>458</v>
      </c>
      <c r="J708" s="17" t="s">
        <v>2779</v>
      </c>
      <c r="K708" s="18" t="s">
        <v>2780</v>
      </c>
      <c r="L708" s="20">
        <v>45888.0</v>
      </c>
      <c r="M708" s="17" t="s">
        <v>28</v>
      </c>
      <c r="N708" s="17" t="s">
        <v>3254</v>
      </c>
      <c r="O708" s="17">
        <v>4.3080318E7</v>
      </c>
      <c r="P708" s="17" t="s">
        <v>1619</v>
      </c>
      <c r="Q708" s="17" t="s">
        <v>108</v>
      </c>
      <c r="R708" s="17" t="s">
        <v>109</v>
      </c>
      <c r="S708" s="17" t="s">
        <v>3255</v>
      </c>
      <c r="U708" s="24"/>
      <c r="V708" s="24"/>
      <c r="W708" s="18" t="s">
        <v>92</v>
      </c>
    </row>
    <row r="709">
      <c r="A709" s="11"/>
      <c r="B709" s="12" t="s">
        <v>34</v>
      </c>
      <c r="C709" s="12" t="s">
        <v>65</v>
      </c>
      <c r="D709" s="12" t="s">
        <v>102</v>
      </c>
      <c r="E709" s="12" t="s">
        <v>455</v>
      </c>
      <c r="F709" s="13" t="s">
        <v>456</v>
      </c>
      <c r="G709" s="12" t="s">
        <v>68</v>
      </c>
      <c r="H709" s="12" t="s">
        <v>457</v>
      </c>
      <c r="I709" s="12" t="s">
        <v>458</v>
      </c>
      <c r="J709" s="17" t="s">
        <v>2779</v>
      </c>
      <c r="K709" s="18" t="s">
        <v>2780</v>
      </c>
      <c r="L709" s="20">
        <v>45888.0</v>
      </c>
      <c r="M709" s="17" t="s">
        <v>28</v>
      </c>
      <c r="N709" s="17" t="s">
        <v>2643</v>
      </c>
      <c r="O709" s="17">
        <v>4.5281911E7</v>
      </c>
      <c r="P709" s="17" t="s">
        <v>2644</v>
      </c>
      <c r="Q709" s="17" t="s">
        <v>108</v>
      </c>
      <c r="R709" s="17" t="s">
        <v>109</v>
      </c>
      <c r="S709" s="17" t="s">
        <v>2645</v>
      </c>
      <c r="U709" s="24"/>
      <c r="V709" s="24"/>
      <c r="W709" s="18" t="s">
        <v>92</v>
      </c>
    </row>
    <row r="710">
      <c r="A710" s="11"/>
      <c r="B710" s="12" t="s">
        <v>34</v>
      </c>
      <c r="C710" s="12" t="s">
        <v>65</v>
      </c>
      <c r="D710" s="12" t="s">
        <v>102</v>
      </c>
      <c r="E710" s="12" t="s">
        <v>455</v>
      </c>
      <c r="F710" s="13" t="s">
        <v>456</v>
      </c>
      <c r="G710" s="12" t="s">
        <v>68</v>
      </c>
      <c r="H710" s="12" t="s">
        <v>457</v>
      </c>
      <c r="I710" s="12" t="s">
        <v>458</v>
      </c>
      <c r="J710" s="17" t="s">
        <v>2779</v>
      </c>
      <c r="K710" s="18" t="s">
        <v>2780</v>
      </c>
      <c r="L710" s="20">
        <v>45888.0</v>
      </c>
      <c r="M710" s="17" t="s">
        <v>28</v>
      </c>
      <c r="N710" s="17" t="s">
        <v>2664</v>
      </c>
      <c r="O710" s="17">
        <v>7.3864223E7</v>
      </c>
      <c r="P710" s="17" t="s">
        <v>2665</v>
      </c>
      <c r="Q710" s="17" t="s">
        <v>112</v>
      </c>
      <c r="R710" s="17" t="s">
        <v>113</v>
      </c>
      <c r="S710" s="17" t="s">
        <v>2666</v>
      </c>
      <c r="U710" s="24"/>
      <c r="V710" s="24"/>
      <c r="W710" s="18" t="s">
        <v>92</v>
      </c>
    </row>
    <row r="711">
      <c r="A711" s="11"/>
      <c r="B711" s="12" t="s">
        <v>34</v>
      </c>
      <c r="C711" s="12" t="s">
        <v>65</v>
      </c>
      <c r="D711" s="12" t="s">
        <v>102</v>
      </c>
      <c r="E711" s="12" t="s">
        <v>455</v>
      </c>
      <c r="F711" s="13" t="s">
        <v>456</v>
      </c>
      <c r="G711" s="12" t="s">
        <v>68</v>
      </c>
      <c r="H711" s="12" t="s">
        <v>457</v>
      </c>
      <c r="I711" s="12" t="s">
        <v>458</v>
      </c>
      <c r="J711" s="17" t="s">
        <v>2779</v>
      </c>
      <c r="K711" s="18" t="s">
        <v>2780</v>
      </c>
      <c r="L711" s="20">
        <v>45888.0</v>
      </c>
      <c r="M711" s="17" t="s">
        <v>28</v>
      </c>
      <c r="N711" s="17" t="s">
        <v>2641</v>
      </c>
      <c r="O711" s="17">
        <v>4.6593719E7</v>
      </c>
      <c r="P711" s="17" t="s">
        <v>1620</v>
      </c>
      <c r="Q711" s="17" t="s">
        <v>108</v>
      </c>
      <c r="R711" s="17" t="s">
        <v>109</v>
      </c>
      <c r="S711" s="17" t="s">
        <v>3256</v>
      </c>
      <c r="U711" s="24"/>
      <c r="V711" s="24"/>
      <c r="W711" s="18" t="s">
        <v>92</v>
      </c>
    </row>
    <row r="712">
      <c r="A712" s="11"/>
      <c r="B712" s="12" t="s">
        <v>34</v>
      </c>
      <c r="C712" s="12" t="s">
        <v>65</v>
      </c>
      <c r="D712" s="12" t="s">
        <v>102</v>
      </c>
      <c r="E712" s="12" t="s">
        <v>455</v>
      </c>
      <c r="F712" s="13" t="s">
        <v>456</v>
      </c>
      <c r="G712" s="12" t="s">
        <v>68</v>
      </c>
      <c r="H712" s="12" t="s">
        <v>457</v>
      </c>
      <c r="I712" s="12" t="s">
        <v>458</v>
      </c>
      <c r="J712" s="17" t="s">
        <v>2779</v>
      </c>
      <c r="K712" s="18" t="s">
        <v>2780</v>
      </c>
      <c r="L712" s="20">
        <v>45888.0</v>
      </c>
      <c r="M712" s="17" t="s">
        <v>28</v>
      </c>
      <c r="N712" s="17" t="s">
        <v>3257</v>
      </c>
      <c r="O712" s="17">
        <v>4.7513467E7</v>
      </c>
      <c r="P712" s="17" t="s">
        <v>1617</v>
      </c>
      <c r="Q712" s="17" t="s">
        <v>108</v>
      </c>
      <c r="R712" s="17" t="s">
        <v>109</v>
      </c>
      <c r="S712" s="17" t="s">
        <v>3258</v>
      </c>
      <c r="U712" s="24"/>
      <c r="V712" s="24"/>
      <c r="W712" s="18" t="s">
        <v>92</v>
      </c>
    </row>
    <row r="713">
      <c r="A713" s="11"/>
      <c r="B713" s="12" t="s">
        <v>34</v>
      </c>
      <c r="C713" s="12" t="s">
        <v>65</v>
      </c>
      <c r="D713" s="12" t="s">
        <v>102</v>
      </c>
      <c r="E713" s="12" t="s">
        <v>455</v>
      </c>
      <c r="F713" s="13" t="s">
        <v>456</v>
      </c>
      <c r="G713" s="12" t="s">
        <v>68</v>
      </c>
      <c r="H713" s="12" t="s">
        <v>457</v>
      </c>
      <c r="I713" s="12" t="s">
        <v>458</v>
      </c>
      <c r="J713" s="17" t="s">
        <v>2779</v>
      </c>
      <c r="K713" s="18" t="s">
        <v>2780</v>
      </c>
      <c r="L713" s="20">
        <v>45888.0</v>
      </c>
      <c r="M713" s="17" t="s">
        <v>28</v>
      </c>
      <c r="N713" s="17" t="s">
        <v>2649</v>
      </c>
      <c r="O713" s="17">
        <v>4.7126321E7</v>
      </c>
      <c r="P713" s="17" t="s">
        <v>2650</v>
      </c>
      <c r="Q713" s="17" t="s">
        <v>108</v>
      </c>
      <c r="R713" s="17" t="s">
        <v>109</v>
      </c>
      <c r="S713" s="17" t="s">
        <v>2651</v>
      </c>
      <c r="U713" s="24"/>
      <c r="V713" s="24"/>
      <c r="W713" s="18" t="s">
        <v>92</v>
      </c>
    </row>
    <row r="714">
      <c r="A714" s="11"/>
      <c r="B714" s="12" t="s">
        <v>34</v>
      </c>
      <c r="C714" s="12" t="s">
        <v>65</v>
      </c>
      <c r="D714" s="12" t="s">
        <v>102</v>
      </c>
      <c r="E714" s="12" t="s">
        <v>455</v>
      </c>
      <c r="F714" s="13" t="s">
        <v>456</v>
      </c>
      <c r="G714" s="12" t="s">
        <v>68</v>
      </c>
      <c r="H714" s="12" t="s">
        <v>457</v>
      </c>
      <c r="I714" s="12" t="s">
        <v>458</v>
      </c>
      <c r="J714" s="17" t="s">
        <v>2779</v>
      </c>
      <c r="K714" s="18" t="s">
        <v>2780</v>
      </c>
      <c r="L714" s="20">
        <v>45888.0</v>
      </c>
      <c r="M714" s="17" t="s">
        <v>28</v>
      </c>
      <c r="N714" s="116" t="s">
        <v>3259</v>
      </c>
      <c r="O714" s="17">
        <v>7.2568322E7</v>
      </c>
      <c r="P714" s="17" t="s">
        <v>3260</v>
      </c>
      <c r="Q714" s="17" t="s">
        <v>73</v>
      </c>
      <c r="R714" s="17" t="s">
        <v>74</v>
      </c>
      <c r="S714" s="17" t="s">
        <v>3261</v>
      </c>
      <c r="U714" s="24"/>
      <c r="V714" s="24"/>
      <c r="W714" s="18" t="s">
        <v>92</v>
      </c>
    </row>
    <row r="715">
      <c r="A715" s="11"/>
      <c r="B715" s="12" t="s">
        <v>34</v>
      </c>
      <c r="C715" s="12" t="s">
        <v>65</v>
      </c>
      <c r="D715" s="12" t="s">
        <v>102</v>
      </c>
      <c r="E715" s="12" t="s">
        <v>455</v>
      </c>
      <c r="F715" s="13" t="s">
        <v>456</v>
      </c>
      <c r="G715" s="12" t="s">
        <v>68</v>
      </c>
      <c r="H715" s="12" t="s">
        <v>457</v>
      </c>
      <c r="I715" s="12" t="s">
        <v>458</v>
      </c>
      <c r="J715" s="17" t="s">
        <v>2779</v>
      </c>
      <c r="K715" s="18" t="s">
        <v>2780</v>
      </c>
      <c r="L715" s="20">
        <v>45888.0</v>
      </c>
      <c r="M715" s="17" t="s">
        <v>28</v>
      </c>
      <c r="N715" s="17" t="s">
        <v>2667</v>
      </c>
      <c r="O715" s="17">
        <v>7.389032E7</v>
      </c>
      <c r="P715" s="17" t="s">
        <v>1632</v>
      </c>
      <c r="Q715" s="17" t="s">
        <v>73</v>
      </c>
      <c r="R715" s="17" t="s">
        <v>1589</v>
      </c>
      <c r="S715" s="17" t="s">
        <v>2668</v>
      </c>
      <c r="U715" s="24"/>
      <c r="V715" s="24"/>
      <c r="W715" s="18" t="s">
        <v>92</v>
      </c>
    </row>
    <row r="716">
      <c r="A716" s="11"/>
      <c r="B716" s="12" t="s">
        <v>34</v>
      </c>
      <c r="C716" s="12" t="s">
        <v>65</v>
      </c>
      <c r="D716" s="12" t="s">
        <v>102</v>
      </c>
      <c r="E716" s="12" t="s">
        <v>455</v>
      </c>
      <c r="F716" s="13" t="s">
        <v>456</v>
      </c>
      <c r="G716" s="12" t="s">
        <v>68</v>
      </c>
      <c r="H716" s="12" t="s">
        <v>457</v>
      </c>
      <c r="I716" s="12" t="s">
        <v>458</v>
      </c>
      <c r="J716" s="17" t="s">
        <v>2779</v>
      </c>
      <c r="K716" s="18" t="s">
        <v>2780</v>
      </c>
      <c r="L716" s="20">
        <v>45888.0</v>
      </c>
      <c r="M716" s="17" t="s">
        <v>23</v>
      </c>
      <c r="N716" s="17" t="s">
        <v>2682</v>
      </c>
      <c r="O716" s="17">
        <v>7.4249465E7</v>
      </c>
      <c r="Q716" s="17" t="s">
        <v>108</v>
      </c>
      <c r="R716" s="17" t="s">
        <v>109</v>
      </c>
      <c r="S716" s="17" t="s">
        <v>2198</v>
      </c>
      <c r="U716" s="24"/>
      <c r="V716" s="24"/>
      <c r="W716" s="18" t="s">
        <v>92</v>
      </c>
    </row>
    <row r="717">
      <c r="A717" s="11"/>
      <c r="B717" s="12" t="s">
        <v>34</v>
      </c>
      <c r="C717" s="12" t="s">
        <v>65</v>
      </c>
      <c r="D717" s="12" t="s">
        <v>102</v>
      </c>
      <c r="E717" s="12" t="s">
        <v>455</v>
      </c>
      <c r="F717" s="13" t="s">
        <v>456</v>
      </c>
      <c r="G717" s="12" t="s">
        <v>68</v>
      </c>
      <c r="H717" s="12" t="s">
        <v>457</v>
      </c>
      <c r="I717" s="12" t="s">
        <v>458</v>
      </c>
      <c r="J717" s="17" t="s">
        <v>2779</v>
      </c>
      <c r="K717" s="18" t="s">
        <v>2780</v>
      </c>
      <c r="L717" s="20">
        <v>45888.0</v>
      </c>
      <c r="M717" s="17" t="s">
        <v>23</v>
      </c>
      <c r="N717" s="116" t="s">
        <v>2685</v>
      </c>
      <c r="O717" s="17">
        <v>9477522.0</v>
      </c>
      <c r="Q717" s="17" t="s">
        <v>112</v>
      </c>
      <c r="R717" s="17" t="s">
        <v>113</v>
      </c>
      <c r="S717" s="17" t="s">
        <v>2220</v>
      </c>
      <c r="U717" s="24"/>
      <c r="V717" s="24"/>
      <c r="W717" s="18" t="s">
        <v>92</v>
      </c>
    </row>
    <row r="718">
      <c r="A718" s="11"/>
      <c r="B718" s="12" t="s">
        <v>34</v>
      </c>
      <c r="C718" s="12" t="s">
        <v>65</v>
      </c>
      <c r="D718" s="12" t="s">
        <v>102</v>
      </c>
      <c r="E718" s="12" t="s">
        <v>455</v>
      </c>
      <c r="F718" s="13" t="s">
        <v>456</v>
      </c>
      <c r="G718" s="12" t="s">
        <v>68</v>
      </c>
      <c r="H718" s="12" t="s">
        <v>457</v>
      </c>
      <c r="I718" s="12" t="s">
        <v>458</v>
      </c>
      <c r="J718" s="17" t="s">
        <v>2779</v>
      </c>
      <c r="K718" s="18" t="s">
        <v>2780</v>
      </c>
      <c r="L718" s="20">
        <v>45888.0</v>
      </c>
      <c r="M718" s="17" t="s">
        <v>23</v>
      </c>
      <c r="N718" s="116" t="s">
        <v>2686</v>
      </c>
      <c r="O718" s="17">
        <v>8669973.0</v>
      </c>
      <c r="Q718" s="17" t="s">
        <v>73</v>
      </c>
      <c r="R718" s="17" t="s">
        <v>74</v>
      </c>
      <c r="S718" s="17" t="s">
        <v>2202</v>
      </c>
      <c r="U718" s="24"/>
      <c r="V718" s="24"/>
      <c r="W718" s="18" t="s">
        <v>92</v>
      </c>
    </row>
    <row r="719">
      <c r="A719" s="11"/>
      <c r="B719" s="12" t="s">
        <v>34</v>
      </c>
      <c r="C719" s="12" t="s">
        <v>65</v>
      </c>
      <c r="D719" s="12" t="s">
        <v>102</v>
      </c>
      <c r="E719" s="12" t="s">
        <v>455</v>
      </c>
      <c r="F719" s="13" t="s">
        <v>456</v>
      </c>
      <c r="G719" s="12" t="s">
        <v>68</v>
      </c>
      <c r="H719" s="12" t="s">
        <v>457</v>
      </c>
      <c r="I719" s="12" t="s">
        <v>458</v>
      </c>
      <c r="J719" s="17" t="s">
        <v>2783</v>
      </c>
      <c r="K719" s="18" t="s">
        <v>2784</v>
      </c>
      <c r="L719" s="20">
        <v>45925.0</v>
      </c>
      <c r="M719" s="17" t="s">
        <v>28</v>
      </c>
      <c r="N719" s="17" t="s">
        <v>3251</v>
      </c>
      <c r="O719" s="17">
        <v>7.1913178E7</v>
      </c>
      <c r="P719" s="17" t="s">
        <v>3252</v>
      </c>
      <c r="Q719" s="17" t="s">
        <v>73</v>
      </c>
      <c r="R719" s="17" t="s">
        <v>74</v>
      </c>
      <c r="S719" s="17" t="s">
        <v>3253</v>
      </c>
      <c r="U719" s="24"/>
      <c r="V719" s="24"/>
      <c r="W719" s="18" t="s">
        <v>92</v>
      </c>
    </row>
    <row r="720">
      <c r="A720" s="11"/>
      <c r="B720" s="12" t="s">
        <v>34</v>
      </c>
      <c r="C720" s="12" t="s">
        <v>65</v>
      </c>
      <c r="D720" s="12" t="s">
        <v>102</v>
      </c>
      <c r="E720" s="12" t="s">
        <v>455</v>
      </c>
      <c r="F720" s="13" t="s">
        <v>456</v>
      </c>
      <c r="G720" s="12" t="s">
        <v>68</v>
      </c>
      <c r="H720" s="12" t="s">
        <v>457</v>
      </c>
      <c r="I720" s="12" t="s">
        <v>458</v>
      </c>
      <c r="J720" s="17" t="s">
        <v>2783</v>
      </c>
      <c r="K720" s="18" t="s">
        <v>2784</v>
      </c>
      <c r="L720" s="20">
        <v>45925.0</v>
      </c>
      <c r="M720" s="17" t="s">
        <v>28</v>
      </c>
      <c r="N720" s="17" t="s">
        <v>3243</v>
      </c>
      <c r="O720" s="17">
        <v>4.6512968E7</v>
      </c>
      <c r="P720" s="17" t="s">
        <v>1628</v>
      </c>
      <c r="Q720" s="17" t="s">
        <v>112</v>
      </c>
      <c r="R720" s="17" t="s">
        <v>113</v>
      </c>
      <c r="S720" s="17" t="s">
        <v>3244</v>
      </c>
      <c r="U720" s="24"/>
      <c r="V720" s="24"/>
      <c r="W720" s="18" t="s">
        <v>92</v>
      </c>
    </row>
    <row r="721">
      <c r="A721" s="11"/>
      <c r="B721" s="12" t="s">
        <v>34</v>
      </c>
      <c r="C721" s="12" t="s">
        <v>65</v>
      </c>
      <c r="D721" s="12" t="s">
        <v>102</v>
      </c>
      <c r="E721" s="12" t="s">
        <v>455</v>
      </c>
      <c r="F721" s="13" t="s">
        <v>456</v>
      </c>
      <c r="G721" s="12" t="s">
        <v>68</v>
      </c>
      <c r="H721" s="12" t="s">
        <v>457</v>
      </c>
      <c r="I721" s="12" t="s">
        <v>458</v>
      </c>
      <c r="J721" s="17" t="s">
        <v>2783</v>
      </c>
      <c r="K721" s="18" t="s">
        <v>2784</v>
      </c>
      <c r="L721" s="20">
        <v>45925.0</v>
      </c>
      <c r="M721" s="17" t="s">
        <v>28</v>
      </c>
      <c r="N721" s="17" t="s">
        <v>2646</v>
      </c>
      <c r="O721" s="17">
        <v>7.6744207E7</v>
      </c>
      <c r="P721" s="17" t="s">
        <v>2647</v>
      </c>
      <c r="Q721" s="17" t="s">
        <v>112</v>
      </c>
      <c r="R721" s="17" t="s">
        <v>113</v>
      </c>
      <c r="S721" s="17" t="s">
        <v>2648</v>
      </c>
      <c r="U721" s="24"/>
      <c r="V721" s="24"/>
      <c r="W721" s="18" t="s">
        <v>92</v>
      </c>
    </row>
    <row r="722">
      <c r="A722" s="11"/>
      <c r="B722" s="12" t="s">
        <v>34</v>
      </c>
      <c r="C722" s="12" t="s">
        <v>65</v>
      </c>
      <c r="D722" s="12" t="s">
        <v>102</v>
      </c>
      <c r="E722" s="12" t="s">
        <v>455</v>
      </c>
      <c r="F722" s="13" t="s">
        <v>456</v>
      </c>
      <c r="G722" s="12" t="s">
        <v>68</v>
      </c>
      <c r="H722" s="12" t="s">
        <v>457</v>
      </c>
      <c r="I722" s="12" t="s">
        <v>458</v>
      </c>
      <c r="J722" s="17" t="s">
        <v>2783</v>
      </c>
      <c r="K722" s="18" t="s">
        <v>2784</v>
      </c>
      <c r="L722" s="20">
        <v>45925.0</v>
      </c>
      <c r="M722" s="17" t="s">
        <v>28</v>
      </c>
      <c r="N722" s="17" t="s">
        <v>3245</v>
      </c>
      <c r="O722" s="17">
        <v>4.564733E7</v>
      </c>
      <c r="P722" s="17" t="s">
        <v>1629</v>
      </c>
      <c r="Q722" s="17" t="s">
        <v>112</v>
      </c>
      <c r="R722" s="17" t="s">
        <v>113</v>
      </c>
      <c r="S722" s="17" t="s">
        <v>3246</v>
      </c>
      <c r="U722" s="24"/>
      <c r="V722" s="24"/>
      <c r="W722" s="18" t="s">
        <v>92</v>
      </c>
    </row>
    <row r="723">
      <c r="A723" s="11"/>
      <c r="B723" s="12" t="s">
        <v>34</v>
      </c>
      <c r="C723" s="12" t="s">
        <v>65</v>
      </c>
      <c r="D723" s="12" t="s">
        <v>102</v>
      </c>
      <c r="E723" s="12" t="s">
        <v>455</v>
      </c>
      <c r="F723" s="13" t="s">
        <v>456</v>
      </c>
      <c r="G723" s="12" t="s">
        <v>68</v>
      </c>
      <c r="H723" s="12" t="s">
        <v>457</v>
      </c>
      <c r="I723" s="12" t="s">
        <v>458</v>
      </c>
      <c r="J723" s="17" t="s">
        <v>2783</v>
      </c>
      <c r="K723" s="18" t="s">
        <v>2784</v>
      </c>
      <c r="L723" s="20">
        <v>45925.0</v>
      </c>
      <c r="M723" s="17" t="s">
        <v>28</v>
      </c>
      <c r="N723" s="17" t="s">
        <v>2643</v>
      </c>
      <c r="O723" s="17">
        <v>4.5281911E7</v>
      </c>
      <c r="P723" s="17" t="s">
        <v>2644</v>
      </c>
      <c r="Q723" s="17" t="s">
        <v>108</v>
      </c>
      <c r="R723" s="17" t="s">
        <v>109</v>
      </c>
      <c r="S723" s="17" t="s">
        <v>2645</v>
      </c>
      <c r="U723" s="24"/>
      <c r="V723" s="24"/>
      <c r="W723" s="18" t="s">
        <v>92</v>
      </c>
    </row>
    <row r="724">
      <c r="A724" s="11"/>
      <c r="B724" s="12" t="s">
        <v>34</v>
      </c>
      <c r="C724" s="12" t="s">
        <v>65</v>
      </c>
      <c r="D724" s="12" t="s">
        <v>102</v>
      </c>
      <c r="E724" s="12" t="s">
        <v>455</v>
      </c>
      <c r="F724" s="13" t="s">
        <v>456</v>
      </c>
      <c r="G724" s="12" t="s">
        <v>68</v>
      </c>
      <c r="H724" s="12" t="s">
        <v>457</v>
      </c>
      <c r="I724" s="12" t="s">
        <v>458</v>
      </c>
      <c r="J724" s="17" t="s">
        <v>2783</v>
      </c>
      <c r="K724" s="18" t="s">
        <v>2784</v>
      </c>
      <c r="L724" s="20">
        <v>45925.0</v>
      </c>
      <c r="M724" s="17" t="s">
        <v>28</v>
      </c>
      <c r="N724" s="17" t="s">
        <v>2664</v>
      </c>
      <c r="O724" s="17">
        <v>7.3864223E7</v>
      </c>
      <c r="P724" s="17" t="s">
        <v>2665</v>
      </c>
      <c r="Q724" s="17" t="s">
        <v>112</v>
      </c>
      <c r="R724" s="17" t="s">
        <v>113</v>
      </c>
      <c r="S724" s="17" t="s">
        <v>2666</v>
      </c>
      <c r="U724" s="24"/>
      <c r="V724" s="24"/>
      <c r="W724" s="18" t="s">
        <v>92</v>
      </c>
    </row>
    <row r="725">
      <c r="A725" s="11"/>
      <c r="B725" s="12" t="s">
        <v>34</v>
      </c>
      <c r="C725" s="12" t="s">
        <v>65</v>
      </c>
      <c r="D725" s="12" t="s">
        <v>102</v>
      </c>
      <c r="E725" s="12" t="s">
        <v>455</v>
      </c>
      <c r="F725" s="13" t="s">
        <v>456</v>
      </c>
      <c r="G725" s="12" t="s">
        <v>68</v>
      </c>
      <c r="H725" s="12" t="s">
        <v>457</v>
      </c>
      <c r="I725" s="12" t="s">
        <v>458</v>
      </c>
      <c r="J725" s="17" t="s">
        <v>2783</v>
      </c>
      <c r="K725" s="18" t="s">
        <v>2784</v>
      </c>
      <c r="L725" s="20">
        <v>45925.0</v>
      </c>
      <c r="M725" s="17" t="s">
        <v>28</v>
      </c>
      <c r="N725" s="17" t="s">
        <v>2652</v>
      </c>
      <c r="O725" s="17">
        <v>7.3322788E7</v>
      </c>
      <c r="P725" s="17" t="s">
        <v>2653</v>
      </c>
      <c r="Q725" s="17" t="s">
        <v>108</v>
      </c>
      <c r="R725" s="17" t="s">
        <v>109</v>
      </c>
      <c r="S725" s="17" t="s">
        <v>2654</v>
      </c>
      <c r="U725" s="24"/>
      <c r="V725" s="24"/>
      <c r="W725" s="18" t="s">
        <v>92</v>
      </c>
    </row>
    <row r="726">
      <c r="A726" s="11"/>
      <c r="B726" s="12" t="s">
        <v>34</v>
      </c>
      <c r="C726" s="12" t="s">
        <v>65</v>
      </c>
      <c r="D726" s="12" t="s">
        <v>102</v>
      </c>
      <c r="E726" s="12" t="s">
        <v>455</v>
      </c>
      <c r="F726" s="13" t="s">
        <v>456</v>
      </c>
      <c r="G726" s="12" t="s">
        <v>68</v>
      </c>
      <c r="H726" s="12" t="s">
        <v>457</v>
      </c>
      <c r="I726" s="12" t="s">
        <v>458</v>
      </c>
      <c r="J726" s="17" t="s">
        <v>2783</v>
      </c>
      <c r="K726" s="18" t="s">
        <v>2784</v>
      </c>
      <c r="L726" s="20">
        <v>45925.0</v>
      </c>
      <c r="M726" s="17" t="s">
        <v>28</v>
      </c>
      <c r="N726" s="116" t="s">
        <v>2677</v>
      </c>
      <c r="O726" s="17">
        <v>4.2110466E7</v>
      </c>
      <c r="P726" s="17" t="s">
        <v>1614</v>
      </c>
      <c r="Q726" s="17" t="s">
        <v>108</v>
      </c>
      <c r="R726" s="17" t="s">
        <v>109</v>
      </c>
      <c r="S726" s="17" t="s">
        <v>3262</v>
      </c>
      <c r="U726" s="24"/>
      <c r="V726" s="24"/>
      <c r="W726" s="18" t="s">
        <v>92</v>
      </c>
    </row>
    <row r="727">
      <c r="A727" s="11"/>
      <c r="B727" s="12" t="s">
        <v>34</v>
      </c>
      <c r="C727" s="12" t="s">
        <v>65</v>
      </c>
      <c r="D727" s="12" t="s">
        <v>102</v>
      </c>
      <c r="E727" s="12" t="s">
        <v>455</v>
      </c>
      <c r="F727" s="13" t="s">
        <v>456</v>
      </c>
      <c r="G727" s="12" t="s">
        <v>68</v>
      </c>
      <c r="H727" s="12" t="s">
        <v>457</v>
      </c>
      <c r="I727" s="12" t="s">
        <v>458</v>
      </c>
      <c r="J727" s="17" t="s">
        <v>2783</v>
      </c>
      <c r="K727" s="18" t="s">
        <v>2784</v>
      </c>
      <c r="L727" s="20">
        <v>45925.0</v>
      </c>
      <c r="M727" s="17" t="s">
        <v>28</v>
      </c>
      <c r="N727" s="17" t="s">
        <v>3249</v>
      </c>
      <c r="O727" s="17">
        <v>4.5242303E7</v>
      </c>
      <c r="P727" s="17" t="s">
        <v>1634</v>
      </c>
      <c r="Q727" s="17" t="s">
        <v>73</v>
      </c>
      <c r="R727" s="17" t="s">
        <v>74</v>
      </c>
      <c r="S727" s="17" t="s">
        <v>3250</v>
      </c>
      <c r="U727" s="24"/>
      <c r="V727" s="24"/>
      <c r="W727" s="18" t="s">
        <v>92</v>
      </c>
    </row>
    <row r="728">
      <c r="A728" s="11"/>
      <c r="B728" s="12" t="s">
        <v>34</v>
      </c>
      <c r="C728" s="12" t="s">
        <v>65</v>
      </c>
      <c r="D728" s="12" t="s">
        <v>102</v>
      </c>
      <c r="E728" s="12" t="s">
        <v>455</v>
      </c>
      <c r="F728" s="13" t="s">
        <v>456</v>
      </c>
      <c r="G728" s="12" t="s">
        <v>68</v>
      </c>
      <c r="H728" s="12" t="s">
        <v>457</v>
      </c>
      <c r="I728" s="12" t="s">
        <v>458</v>
      </c>
      <c r="J728" s="17" t="s">
        <v>2783</v>
      </c>
      <c r="K728" s="18" t="s">
        <v>2784</v>
      </c>
      <c r="L728" s="20">
        <v>45925.0</v>
      </c>
      <c r="M728" s="17" t="s">
        <v>28</v>
      </c>
      <c r="N728" s="17" t="s">
        <v>2667</v>
      </c>
      <c r="O728" s="17">
        <v>7.389032E7</v>
      </c>
      <c r="P728" s="17" t="s">
        <v>1632</v>
      </c>
      <c r="Q728" s="17" t="s">
        <v>73</v>
      </c>
      <c r="R728" s="17" t="s">
        <v>1589</v>
      </c>
      <c r="S728" s="17" t="s">
        <v>2668</v>
      </c>
      <c r="U728" s="24"/>
      <c r="V728" s="24"/>
      <c r="W728" s="18" t="s">
        <v>92</v>
      </c>
    </row>
    <row r="729">
      <c r="A729" s="11"/>
      <c r="B729" s="12" t="s">
        <v>34</v>
      </c>
      <c r="C729" s="12" t="s">
        <v>65</v>
      </c>
      <c r="D729" s="12" t="s">
        <v>102</v>
      </c>
      <c r="E729" s="12" t="s">
        <v>455</v>
      </c>
      <c r="F729" s="13" t="s">
        <v>456</v>
      </c>
      <c r="G729" s="12" t="s">
        <v>68</v>
      </c>
      <c r="H729" s="12" t="s">
        <v>457</v>
      </c>
      <c r="I729" s="12" t="s">
        <v>458</v>
      </c>
      <c r="J729" s="17" t="s">
        <v>2783</v>
      </c>
      <c r="K729" s="18" t="s">
        <v>2784</v>
      </c>
      <c r="L729" s="20">
        <v>45925.0</v>
      </c>
      <c r="M729" s="17" t="s">
        <v>28</v>
      </c>
      <c r="N729" s="17" t="s">
        <v>2674</v>
      </c>
      <c r="O729" s="17">
        <v>7.3341785E7</v>
      </c>
      <c r="P729" s="17" t="s">
        <v>2675</v>
      </c>
      <c r="Q729" s="17" t="s">
        <v>73</v>
      </c>
      <c r="R729" s="17" t="s">
        <v>74</v>
      </c>
      <c r="S729" s="17" t="s">
        <v>2676</v>
      </c>
      <c r="U729" s="24"/>
      <c r="V729" s="24"/>
      <c r="W729" s="18" t="s">
        <v>92</v>
      </c>
    </row>
    <row r="730">
      <c r="A730" s="11"/>
      <c r="B730" s="12" t="s">
        <v>34</v>
      </c>
      <c r="C730" s="12" t="s">
        <v>65</v>
      </c>
      <c r="D730" s="12" t="s">
        <v>102</v>
      </c>
      <c r="E730" s="12" t="s">
        <v>455</v>
      </c>
      <c r="F730" s="13" t="s">
        <v>456</v>
      </c>
      <c r="G730" s="12" t="s">
        <v>68</v>
      </c>
      <c r="H730" s="12" t="s">
        <v>457</v>
      </c>
      <c r="I730" s="12" t="s">
        <v>458</v>
      </c>
      <c r="J730" s="17" t="s">
        <v>2783</v>
      </c>
      <c r="K730" s="18" t="s">
        <v>2784</v>
      </c>
      <c r="L730" s="20">
        <v>45925.0</v>
      </c>
      <c r="M730" s="17" t="s">
        <v>28</v>
      </c>
      <c r="N730" s="116" t="s">
        <v>3259</v>
      </c>
      <c r="O730" s="17">
        <v>7.2568322E7</v>
      </c>
      <c r="P730" s="17" t="s">
        <v>3260</v>
      </c>
      <c r="Q730" s="17" t="s">
        <v>73</v>
      </c>
      <c r="R730" s="17" t="s">
        <v>74</v>
      </c>
      <c r="S730" s="17" t="s">
        <v>3261</v>
      </c>
      <c r="U730" s="24"/>
      <c r="V730" s="24"/>
      <c r="W730" s="18" t="s">
        <v>92</v>
      </c>
    </row>
    <row r="731">
      <c r="A731" s="11"/>
      <c r="B731" s="12" t="s">
        <v>34</v>
      </c>
      <c r="C731" s="12" t="s">
        <v>65</v>
      </c>
      <c r="D731" s="12" t="s">
        <v>102</v>
      </c>
      <c r="E731" s="12" t="s">
        <v>455</v>
      </c>
      <c r="F731" s="13" t="s">
        <v>456</v>
      </c>
      <c r="G731" s="12" t="s">
        <v>68</v>
      </c>
      <c r="H731" s="12" t="s">
        <v>457</v>
      </c>
      <c r="I731" s="12" t="s">
        <v>458</v>
      </c>
      <c r="J731" s="17" t="s">
        <v>2783</v>
      </c>
      <c r="K731" s="18" t="s">
        <v>2784</v>
      </c>
      <c r="L731" s="20">
        <v>45925.0</v>
      </c>
      <c r="M731" s="17" t="s">
        <v>28</v>
      </c>
      <c r="N731" s="17" t="s">
        <v>3257</v>
      </c>
      <c r="O731" s="17">
        <v>4.7513467E7</v>
      </c>
      <c r="P731" s="17" t="s">
        <v>1617</v>
      </c>
      <c r="Q731" s="17" t="s">
        <v>108</v>
      </c>
      <c r="R731" s="17" t="s">
        <v>109</v>
      </c>
      <c r="S731" s="17" t="s">
        <v>3258</v>
      </c>
      <c r="U731" s="24"/>
      <c r="V731" s="24"/>
      <c r="W731" s="18" t="s">
        <v>92</v>
      </c>
    </row>
    <row r="732">
      <c r="A732" s="11"/>
      <c r="B732" s="12" t="s">
        <v>34</v>
      </c>
      <c r="C732" s="12" t="s">
        <v>65</v>
      </c>
      <c r="D732" s="12" t="s">
        <v>102</v>
      </c>
      <c r="E732" s="12" t="s">
        <v>455</v>
      </c>
      <c r="F732" s="13" t="s">
        <v>456</v>
      </c>
      <c r="G732" s="12" t="s">
        <v>68</v>
      </c>
      <c r="H732" s="12" t="s">
        <v>457</v>
      </c>
      <c r="I732" s="12" t="s">
        <v>458</v>
      </c>
      <c r="J732" s="17" t="s">
        <v>2783</v>
      </c>
      <c r="K732" s="18" t="s">
        <v>2784</v>
      </c>
      <c r="L732" s="20">
        <v>45925.0</v>
      </c>
      <c r="M732" s="17" t="s">
        <v>28</v>
      </c>
      <c r="N732" s="17" t="s">
        <v>2671</v>
      </c>
      <c r="O732" s="17">
        <v>7.339272E7</v>
      </c>
      <c r="P732" s="17" t="s">
        <v>2672</v>
      </c>
      <c r="Q732" s="17" t="s">
        <v>112</v>
      </c>
      <c r="R732" s="17" t="s">
        <v>1797</v>
      </c>
      <c r="S732" s="17"/>
      <c r="U732" s="24"/>
      <c r="V732" s="24"/>
      <c r="W732" s="18" t="s">
        <v>92</v>
      </c>
    </row>
    <row r="733">
      <c r="A733" s="11"/>
      <c r="B733" s="12" t="s">
        <v>34</v>
      </c>
      <c r="C733" s="12" t="s">
        <v>65</v>
      </c>
      <c r="D733" s="12" t="s">
        <v>102</v>
      </c>
      <c r="E733" s="12" t="s">
        <v>455</v>
      </c>
      <c r="F733" s="13" t="s">
        <v>456</v>
      </c>
      <c r="G733" s="12" t="s">
        <v>68</v>
      </c>
      <c r="H733" s="12" t="s">
        <v>457</v>
      </c>
      <c r="I733" s="12" t="s">
        <v>458</v>
      </c>
      <c r="J733" s="17" t="s">
        <v>2783</v>
      </c>
      <c r="K733" s="18" t="s">
        <v>2784</v>
      </c>
      <c r="L733" s="20">
        <v>45925.0</v>
      </c>
      <c r="M733" s="17" t="s">
        <v>28</v>
      </c>
      <c r="N733" s="116" t="s">
        <v>3263</v>
      </c>
      <c r="O733" s="17">
        <v>4.7084975E7</v>
      </c>
      <c r="P733" s="17" t="s">
        <v>3264</v>
      </c>
      <c r="Q733" s="17" t="s">
        <v>73</v>
      </c>
      <c r="R733" s="17" t="s">
        <v>74</v>
      </c>
      <c r="S733" s="17" t="s">
        <v>3265</v>
      </c>
      <c r="U733" s="24"/>
      <c r="V733" s="24"/>
      <c r="W733" s="18" t="s">
        <v>92</v>
      </c>
    </row>
    <row r="734">
      <c r="A734" s="11"/>
      <c r="B734" s="12" t="s">
        <v>34</v>
      </c>
      <c r="C734" s="12" t="s">
        <v>65</v>
      </c>
      <c r="D734" s="12" t="s">
        <v>102</v>
      </c>
      <c r="E734" s="12" t="s">
        <v>455</v>
      </c>
      <c r="F734" s="13" t="s">
        <v>456</v>
      </c>
      <c r="G734" s="12" t="s">
        <v>68</v>
      </c>
      <c r="H734" s="12" t="s">
        <v>457</v>
      </c>
      <c r="I734" s="12" t="s">
        <v>458</v>
      </c>
      <c r="J734" s="17" t="s">
        <v>2783</v>
      </c>
      <c r="K734" s="18" t="s">
        <v>2784</v>
      </c>
      <c r="L734" s="20">
        <v>45925.0</v>
      </c>
      <c r="M734" s="17" t="s">
        <v>28</v>
      </c>
      <c r="N734" s="17" t="s">
        <v>2669</v>
      </c>
      <c r="O734" s="17">
        <v>4.5773532E7</v>
      </c>
      <c r="P734" s="17" t="s">
        <v>1622</v>
      </c>
      <c r="Q734" s="17" t="s">
        <v>112</v>
      </c>
      <c r="R734" s="17" t="s">
        <v>113</v>
      </c>
      <c r="S734" s="17" t="s">
        <v>2670</v>
      </c>
      <c r="U734" s="24"/>
      <c r="V734" s="24"/>
      <c r="W734" s="18" t="s">
        <v>92</v>
      </c>
    </row>
    <row r="735">
      <c r="A735" s="11"/>
      <c r="B735" s="12" t="s">
        <v>34</v>
      </c>
      <c r="C735" s="12" t="s">
        <v>65</v>
      </c>
      <c r="D735" s="12" t="s">
        <v>102</v>
      </c>
      <c r="E735" s="12" t="s">
        <v>455</v>
      </c>
      <c r="F735" s="13" t="s">
        <v>456</v>
      </c>
      <c r="G735" s="12" t="s">
        <v>68</v>
      </c>
      <c r="H735" s="12" t="s">
        <v>457</v>
      </c>
      <c r="I735" s="12" t="s">
        <v>458</v>
      </c>
      <c r="J735" s="17" t="s">
        <v>2783</v>
      </c>
      <c r="K735" s="18" t="s">
        <v>2784</v>
      </c>
      <c r="L735" s="20">
        <v>45925.0</v>
      </c>
      <c r="M735" s="17" t="s">
        <v>28</v>
      </c>
      <c r="N735" s="17" t="s">
        <v>3247</v>
      </c>
      <c r="O735" s="17">
        <v>4.4058889E7</v>
      </c>
      <c r="P735" s="17" t="s">
        <v>1627</v>
      </c>
      <c r="Q735" s="17" t="s">
        <v>112</v>
      </c>
      <c r="R735" s="17" t="s">
        <v>1939</v>
      </c>
      <c r="S735" s="17" t="s">
        <v>3248</v>
      </c>
      <c r="U735" s="24"/>
      <c r="V735" s="24"/>
      <c r="W735" s="18" t="s">
        <v>92</v>
      </c>
    </row>
    <row r="736">
      <c r="A736" s="11"/>
      <c r="B736" s="12" t="s">
        <v>34</v>
      </c>
      <c r="C736" s="12" t="s">
        <v>65</v>
      </c>
      <c r="D736" s="12" t="s">
        <v>102</v>
      </c>
      <c r="E736" s="12" t="s">
        <v>455</v>
      </c>
      <c r="F736" s="13" t="s">
        <v>456</v>
      </c>
      <c r="G736" s="12" t="s">
        <v>68</v>
      </c>
      <c r="H736" s="12" t="s">
        <v>457</v>
      </c>
      <c r="I736" s="12" t="s">
        <v>458</v>
      </c>
      <c r="J736" s="17" t="s">
        <v>2783</v>
      </c>
      <c r="K736" s="18" t="s">
        <v>2784</v>
      </c>
      <c r="L736" s="20">
        <v>45925.0</v>
      </c>
      <c r="M736" s="17" t="s">
        <v>23</v>
      </c>
      <c r="N736" s="46" t="s">
        <v>2682</v>
      </c>
      <c r="O736" s="47">
        <v>7.4249465E7</v>
      </c>
      <c r="P736" s="21"/>
      <c r="Q736" s="17" t="s">
        <v>108</v>
      </c>
      <c r="R736" s="17" t="s">
        <v>109</v>
      </c>
      <c r="S736" s="17" t="s">
        <v>2198</v>
      </c>
      <c r="U736" s="24"/>
      <c r="V736" s="24"/>
      <c r="W736" s="18" t="s">
        <v>92</v>
      </c>
    </row>
    <row r="737">
      <c r="A737" s="11"/>
      <c r="B737" s="12" t="s">
        <v>34</v>
      </c>
      <c r="C737" s="12" t="s">
        <v>65</v>
      </c>
      <c r="D737" s="12" t="s">
        <v>102</v>
      </c>
      <c r="E737" s="12" t="s">
        <v>455</v>
      </c>
      <c r="F737" s="13" t="s">
        <v>456</v>
      </c>
      <c r="G737" s="12" t="s">
        <v>68</v>
      </c>
      <c r="H737" s="12" t="s">
        <v>457</v>
      </c>
      <c r="I737" s="12" t="s">
        <v>458</v>
      </c>
      <c r="J737" s="17" t="s">
        <v>2783</v>
      </c>
      <c r="K737" s="18" t="s">
        <v>2784</v>
      </c>
      <c r="L737" s="20">
        <v>45925.0</v>
      </c>
      <c r="M737" s="17" t="s">
        <v>23</v>
      </c>
      <c r="N737" s="121" t="s">
        <v>2685</v>
      </c>
      <c r="O737" s="47">
        <v>9477522.0</v>
      </c>
      <c r="P737" s="21"/>
      <c r="Q737" s="17" t="s">
        <v>112</v>
      </c>
      <c r="R737" s="17" t="s">
        <v>113</v>
      </c>
      <c r="S737" s="17" t="s">
        <v>2220</v>
      </c>
      <c r="U737" s="24"/>
      <c r="V737" s="24"/>
      <c r="W737" s="18" t="s">
        <v>92</v>
      </c>
    </row>
    <row r="738">
      <c r="A738" s="11"/>
      <c r="B738" s="12" t="s">
        <v>34</v>
      </c>
      <c r="C738" s="12" t="s">
        <v>65</v>
      </c>
      <c r="D738" s="12" t="s">
        <v>102</v>
      </c>
      <c r="E738" s="12" t="s">
        <v>455</v>
      </c>
      <c r="F738" s="13" t="s">
        <v>456</v>
      </c>
      <c r="G738" s="12" t="s">
        <v>68</v>
      </c>
      <c r="H738" s="12" t="s">
        <v>457</v>
      </c>
      <c r="I738" s="12" t="s">
        <v>458</v>
      </c>
      <c r="J738" s="17" t="s">
        <v>2783</v>
      </c>
      <c r="K738" s="18" t="s">
        <v>2784</v>
      </c>
      <c r="L738" s="20">
        <v>45925.0</v>
      </c>
      <c r="M738" s="17" t="s">
        <v>23</v>
      </c>
      <c r="N738" s="121" t="s">
        <v>2686</v>
      </c>
      <c r="O738" s="47">
        <v>8669973.0</v>
      </c>
      <c r="P738" s="21"/>
      <c r="Q738" s="17" t="s">
        <v>73</v>
      </c>
      <c r="R738" s="17" t="s">
        <v>74</v>
      </c>
      <c r="S738" s="17" t="s">
        <v>2202</v>
      </c>
      <c r="U738" s="24"/>
      <c r="V738" s="24"/>
      <c r="W738" s="18" t="s">
        <v>92</v>
      </c>
    </row>
    <row r="739">
      <c r="A739" s="11"/>
      <c r="B739" s="12" t="s">
        <v>34</v>
      </c>
      <c r="C739" s="12" t="s">
        <v>65</v>
      </c>
      <c r="D739" s="12" t="s">
        <v>102</v>
      </c>
      <c r="E739" s="12" t="s">
        <v>455</v>
      </c>
      <c r="F739" s="13" t="s">
        <v>456</v>
      </c>
      <c r="G739" s="12" t="s">
        <v>68</v>
      </c>
      <c r="H739" s="12" t="s">
        <v>457</v>
      </c>
      <c r="I739" s="12" t="s">
        <v>458</v>
      </c>
      <c r="J739" s="17" t="s">
        <v>2796</v>
      </c>
      <c r="K739" s="18" t="s">
        <v>2797</v>
      </c>
      <c r="L739" s="20">
        <v>45952.0</v>
      </c>
      <c r="M739" s="17" t="s">
        <v>28</v>
      </c>
      <c r="N739" s="17" t="s">
        <v>2652</v>
      </c>
      <c r="O739" s="17">
        <v>7.3322788E7</v>
      </c>
      <c r="P739" s="17" t="s">
        <v>2653</v>
      </c>
      <c r="Q739" s="17" t="s">
        <v>108</v>
      </c>
      <c r="R739" s="17" t="s">
        <v>109</v>
      </c>
      <c r="S739" s="17" t="s">
        <v>2654</v>
      </c>
      <c r="U739" s="24"/>
      <c r="V739" s="24"/>
      <c r="W739" s="18" t="s">
        <v>92</v>
      </c>
    </row>
    <row r="740">
      <c r="A740" s="11"/>
      <c r="B740" s="12" t="s">
        <v>34</v>
      </c>
      <c r="C740" s="12" t="s">
        <v>65</v>
      </c>
      <c r="D740" s="12" t="s">
        <v>102</v>
      </c>
      <c r="E740" s="12" t="s">
        <v>455</v>
      </c>
      <c r="F740" s="13" t="s">
        <v>456</v>
      </c>
      <c r="G740" s="12" t="s">
        <v>68</v>
      </c>
      <c r="H740" s="12" t="s">
        <v>457</v>
      </c>
      <c r="I740" s="12" t="s">
        <v>458</v>
      </c>
      <c r="J740" s="17" t="s">
        <v>2796</v>
      </c>
      <c r="K740" s="18" t="s">
        <v>2797</v>
      </c>
      <c r="L740" s="20">
        <v>45952.0</v>
      </c>
      <c r="M740" s="17" t="s">
        <v>28</v>
      </c>
      <c r="N740" s="17" t="s">
        <v>2646</v>
      </c>
      <c r="O740" s="17">
        <v>7.6744207E7</v>
      </c>
      <c r="P740" s="17" t="s">
        <v>2647</v>
      </c>
      <c r="Q740" s="17" t="s">
        <v>112</v>
      </c>
      <c r="R740" s="17" t="s">
        <v>113</v>
      </c>
      <c r="S740" s="17" t="s">
        <v>2648</v>
      </c>
      <c r="U740" s="24"/>
      <c r="V740" s="24"/>
      <c r="W740" s="18" t="s">
        <v>92</v>
      </c>
    </row>
    <row r="741">
      <c r="A741" s="11"/>
      <c r="B741" s="12" t="s">
        <v>34</v>
      </c>
      <c r="C741" s="12" t="s">
        <v>65</v>
      </c>
      <c r="D741" s="12" t="s">
        <v>102</v>
      </c>
      <c r="E741" s="12" t="s">
        <v>455</v>
      </c>
      <c r="F741" s="13" t="s">
        <v>456</v>
      </c>
      <c r="G741" s="12" t="s">
        <v>68</v>
      </c>
      <c r="H741" s="12" t="s">
        <v>457</v>
      </c>
      <c r="I741" s="12" t="s">
        <v>458</v>
      </c>
      <c r="J741" s="17" t="s">
        <v>2796</v>
      </c>
      <c r="K741" s="18" t="s">
        <v>2797</v>
      </c>
      <c r="L741" s="20">
        <v>45952.0</v>
      </c>
      <c r="M741" s="17" t="s">
        <v>28</v>
      </c>
      <c r="N741" s="17" t="s">
        <v>2641</v>
      </c>
      <c r="O741" s="17">
        <v>4.6593719E7</v>
      </c>
      <c r="P741" s="17" t="s">
        <v>1620</v>
      </c>
      <c r="Q741" s="17" t="s">
        <v>108</v>
      </c>
      <c r="R741" s="17" t="s">
        <v>109</v>
      </c>
      <c r="S741" s="17" t="s">
        <v>3256</v>
      </c>
      <c r="U741" s="24"/>
      <c r="V741" s="24"/>
      <c r="W741" s="18" t="s">
        <v>92</v>
      </c>
    </row>
    <row r="742">
      <c r="A742" s="11"/>
      <c r="B742" s="12" t="s">
        <v>34</v>
      </c>
      <c r="C742" s="12" t="s">
        <v>65</v>
      </c>
      <c r="D742" s="12" t="s">
        <v>102</v>
      </c>
      <c r="E742" s="12" t="s">
        <v>455</v>
      </c>
      <c r="F742" s="13" t="s">
        <v>456</v>
      </c>
      <c r="G742" s="12" t="s">
        <v>68</v>
      </c>
      <c r="H742" s="12" t="s">
        <v>457</v>
      </c>
      <c r="I742" s="12" t="s">
        <v>458</v>
      </c>
      <c r="J742" s="17" t="s">
        <v>2796</v>
      </c>
      <c r="K742" s="18" t="s">
        <v>2797</v>
      </c>
      <c r="L742" s="20">
        <v>45952.0</v>
      </c>
      <c r="M742" s="17" t="s">
        <v>28</v>
      </c>
      <c r="N742" s="17" t="s">
        <v>3249</v>
      </c>
      <c r="O742" s="17">
        <v>4.5242303E7</v>
      </c>
      <c r="P742" s="17" t="s">
        <v>1634</v>
      </c>
      <c r="Q742" s="17" t="s">
        <v>73</v>
      </c>
      <c r="R742" s="17" t="s">
        <v>74</v>
      </c>
      <c r="S742" s="17" t="s">
        <v>3250</v>
      </c>
      <c r="U742" s="24"/>
      <c r="V742" s="24"/>
      <c r="W742" s="18" t="s">
        <v>92</v>
      </c>
    </row>
    <row r="743">
      <c r="A743" s="11"/>
      <c r="B743" s="12" t="s">
        <v>34</v>
      </c>
      <c r="C743" s="12" t="s">
        <v>65</v>
      </c>
      <c r="D743" s="12" t="s">
        <v>102</v>
      </c>
      <c r="E743" s="12" t="s">
        <v>455</v>
      </c>
      <c r="F743" s="13" t="s">
        <v>456</v>
      </c>
      <c r="G743" s="12" t="s">
        <v>68</v>
      </c>
      <c r="H743" s="12" t="s">
        <v>457</v>
      </c>
      <c r="I743" s="12" t="s">
        <v>458</v>
      </c>
      <c r="J743" s="17" t="s">
        <v>2796</v>
      </c>
      <c r="K743" s="18" t="s">
        <v>2797</v>
      </c>
      <c r="L743" s="20">
        <v>45952.0</v>
      </c>
      <c r="M743" s="17" t="s">
        <v>28</v>
      </c>
      <c r="N743" s="17" t="s">
        <v>3243</v>
      </c>
      <c r="O743" s="17">
        <v>4.6512968E7</v>
      </c>
      <c r="P743" s="17" t="s">
        <v>1628</v>
      </c>
      <c r="Q743" s="17" t="s">
        <v>112</v>
      </c>
      <c r="R743" s="17" t="s">
        <v>113</v>
      </c>
      <c r="S743" s="17" t="s">
        <v>3244</v>
      </c>
      <c r="U743" s="24"/>
      <c r="V743" s="24"/>
      <c r="W743" s="18" t="s">
        <v>92</v>
      </c>
    </row>
    <row r="744">
      <c r="A744" s="11"/>
      <c r="B744" s="12" t="s">
        <v>34</v>
      </c>
      <c r="C744" s="12" t="s">
        <v>65</v>
      </c>
      <c r="D744" s="12" t="s">
        <v>102</v>
      </c>
      <c r="E744" s="12" t="s">
        <v>455</v>
      </c>
      <c r="F744" s="13" t="s">
        <v>456</v>
      </c>
      <c r="G744" s="12" t="s">
        <v>68</v>
      </c>
      <c r="H744" s="12" t="s">
        <v>457</v>
      </c>
      <c r="I744" s="12" t="s">
        <v>458</v>
      </c>
      <c r="J744" s="17" t="s">
        <v>2796</v>
      </c>
      <c r="K744" s="18" t="s">
        <v>2797</v>
      </c>
      <c r="L744" s="20">
        <v>45952.0</v>
      </c>
      <c r="M744" s="17" t="s">
        <v>28</v>
      </c>
      <c r="N744" s="17" t="s">
        <v>3247</v>
      </c>
      <c r="O744" s="17">
        <v>4.4058889E7</v>
      </c>
      <c r="P744" s="17" t="s">
        <v>1627</v>
      </c>
      <c r="Q744" s="17" t="s">
        <v>112</v>
      </c>
      <c r="R744" s="17" t="s">
        <v>1939</v>
      </c>
      <c r="S744" s="17" t="s">
        <v>3248</v>
      </c>
      <c r="U744" s="24"/>
      <c r="V744" s="24"/>
      <c r="W744" s="18" t="s">
        <v>92</v>
      </c>
    </row>
    <row r="745">
      <c r="A745" s="11"/>
      <c r="B745" s="12" t="s">
        <v>34</v>
      </c>
      <c r="C745" s="12" t="s">
        <v>65</v>
      </c>
      <c r="D745" s="12" t="s">
        <v>102</v>
      </c>
      <c r="E745" s="12" t="s">
        <v>455</v>
      </c>
      <c r="F745" s="13" t="s">
        <v>456</v>
      </c>
      <c r="G745" s="12" t="s">
        <v>68</v>
      </c>
      <c r="H745" s="12" t="s">
        <v>457</v>
      </c>
      <c r="I745" s="12" t="s">
        <v>458</v>
      </c>
      <c r="J745" s="17" t="s">
        <v>2796</v>
      </c>
      <c r="K745" s="18" t="s">
        <v>2797</v>
      </c>
      <c r="L745" s="20">
        <v>45952.0</v>
      </c>
      <c r="M745" s="17" t="s">
        <v>28</v>
      </c>
      <c r="N745" s="17" t="s">
        <v>2669</v>
      </c>
      <c r="O745" s="17">
        <v>4.5773532E7</v>
      </c>
      <c r="P745" s="17" t="s">
        <v>1622</v>
      </c>
      <c r="Q745" s="17" t="s">
        <v>112</v>
      </c>
      <c r="R745" s="17" t="s">
        <v>113</v>
      </c>
      <c r="S745" s="17" t="s">
        <v>2670</v>
      </c>
      <c r="U745" s="24"/>
      <c r="V745" s="24"/>
      <c r="W745" s="18" t="s">
        <v>92</v>
      </c>
    </row>
    <row r="746">
      <c r="A746" s="11"/>
      <c r="B746" s="12" t="s">
        <v>34</v>
      </c>
      <c r="C746" s="12" t="s">
        <v>65</v>
      </c>
      <c r="D746" s="12" t="s">
        <v>102</v>
      </c>
      <c r="E746" s="12" t="s">
        <v>455</v>
      </c>
      <c r="F746" s="13" t="s">
        <v>456</v>
      </c>
      <c r="G746" s="12" t="s">
        <v>68</v>
      </c>
      <c r="H746" s="12" t="s">
        <v>457</v>
      </c>
      <c r="I746" s="12" t="s">
        <v>458</v>
      </c>
      <c r="J746" s="17" t="s">
        <v>2796</v>
      </c>
      <c r="K746" s="18" t="s">
        <v>2797</v>
      </c>
      <c r="L746" s="20">
        <v>45952.0</v>
      </c>
      <c r="M746" s="17" t="s">
        <v>28</v>
      </c>
      <c r="N746" s="17" t="s">
        <v>3251</v>
      </c>
      <c r="O746" s="17">
        <v>7.1913178E7</v>
      </c>
      <c r="P746" s="17" t="s">
        <v>3252</v>
      </c>
      <c r="Q746" s="17" t="s">
        <v>73</v>
      </c>
      <c r="R746" s="17" t="s">
        <v>74</v>
      </c>
      <c r="S746" s="17" t="s">
        <v>3253</v>
      </c>
      <c r="U746" s="24"/>
      <c r="V746" s="24"/>
      <c r="W746" s="18" t="s">
        <v>92</v>
      </c>
    </row>
    <row r="747">
      <c r="A747" s="11"/>
      <c r="B747" s="12" t="s">
        <v>34</v>
      </c>
      <c r="C747" s="12" t="s">
        <v>65</v>
      </c>
      <c r="D747" s="12" t="s">
        <v>102</v>
      </c>
      <c r="E747" s="12" t="s">
        <v>455</v>
      </c>
      <c r="F747" s="13" t="s">
        <v>456</v>
      </c>
      <c r="G747" s="12" t="s">
        <v>68</v>
      </c>
      <c r="H747" s="12" t="s">
        <v>457</v>
      </c>
      <c r="I747" s="12" t="s">
        <v>458</v>
      </c>
      <c r="J747" s="17" t="s">
        <v>2796</v>
      </c>
      <c r="K747" s="18" t="s">
        <v>2797</v>
      </c>
      <c r="L747" s="20">
        <v>45952.0</v>
      </c>
      <c r="M747" s="17" t="s">
        <v>28</v>
      </c>
      <c r="N747" s="17" t="s">
        <v>2643</v>
      </c>
      <c r="O747" s="17">
        <v>4.5281911E7</v>
      </c>
      <c r="P747" s="17" t="s">
        <v>2644</v>
      </c>
      <c r="Q747" s="17" t="s">
        <v>108</v>
      </c>
      <c r="R747" s="17" t="s">
        <v>109</v>
      </c>
      <c r="S747" s="17" t="s">
        <v>2645</v>
      </c>
      <c r="U747" s="24"/>
      <c r="V747" s="24"/>
      <c r="W747" s="18" t="s">
        <v>92</v>
      </c>
    </row>
    <row r="748">
      <c r="A748" s="11"/>
      <c r="B748" s="12" t="s">
        <v>34</v>
      </c>
      <c r="C748" s="12" t="s">
        <v>65</v>
      </c>
      <c r="D748" s="12" t="s">
        <v>102</v>
      </c>
      <c r="E748" s="12" t="s">
        <v>455</v>
      </c>
      <c r="F748" s="13" t="s">
        <v>456</v>
      </c>
      <c r="G748" s="12" t="s">
        <v>68</v>
      </c>
      <c r="H748" s="12" t="s">
        <v>457</v>
      </c>
      <c r="I748" s="12" t="s">
        <v>458</v>
      </c>
      <c r="J748" s="17" t="s">
        <v>2796</v>
      </c>
      <c r="K748" s="18" t="s">
        <v>2797</v>
      </c>
      <c r="L748" s="20">
        <v>45952.0</v>
      </c>
      <c r="M748" s="17" t="s">
        <v>28</v>
      </c>
      <c r="N748" s="17" t="s">
        <v>2664</v>
      </c>
      <c r="O748" s="17">
        <v>7.3864223E7</v>
      </c>
      <c r="P748" s="17" t="s">
        <v>2665</v>
      </c>
      <c r="Q748" s="17" t="s">
        <v>112</v>
      </c>
      <c r="R748" s="17" t="s">
        <v>113</v>
      </c>
      <c r="S748" s="17" t="s">
        <v>2666</v>
      </c>
      <c r="U748" s="24"/>
      <c r="V748" s="24"/>
      <c r="W748" s="18" t="s">
        <v>92</v>
      </c>
    </row>
    <row r="749">
      <c r="A749" s="11"/>
      <c r="B749" s="12" t="s">
        <v>34</v>
      </c>
      <c r="C749" s="12" t="s">
        <v>65</v>
      </c>
      <c r="D749" s="12" t="s">
        <v>102</v>
      </c>
      <c r="E749" s="12" t="s">
        <v>455</v>
      </c>
      <c r="F749" s="13" t="s">
        <v>456</v>
      </c>
      <c r="G749" s="12" t="s">
        <v>68</v>
      </c>
      <c r="H749" s="12" t="s">
        <v>457</v>
      </c>
      <c r="I749" s="12" t="s">
        <v>458</v>
      </c>
      <c r="J749" s="17" t="s">
        <v>2796</v>
      </c>
      <c r="K749" s="18" t="s">
        <v>2797</v>
      </c>
      <c r="L749" s="20">
        <v>45952.0</v>
      </c>
      <c r="M749" s="17" t="s">
        <v>28</v>
      </c>
      <c r="N749" s="17" t="s">
        <v>2667</v>
      </c>
      <c r="O749" s="17">
        <v>7.389032E7</v>
      </c>
      <c r="P749" s="17" t="s">
        <v>1632</v>
      </c>
      <c r="Q749" s="17" t="s">
        <v>73</v>
      </c>
      <c r="R749" s="17" t="s">
        <v>1589</v>
      </c>
      <c r="S749" s="17" t="s">
        <v>2668</v>
      </c>
      <c r="U749" s="24"/>
      <c r="V749" s="24"/>
      <c r="W749" s="18" t="s">
        <v>92</v>
      </c>
    </row>
    <row r="750">
      <c r="A750" s="11"/>
      <c r="B750" s="12" t="s">
        <v>34</v>
      </c>
      <c r="C750" s="12" t="s">
        <v>65</v>
      </c>
      <c r="D750" s="12" t="s">
        <v>102</v>
      </c>
      <c r="E750" s="12" t="s">
        <v>455</v>
      </c>
      <c r="F750" s="13" t="s">
        <v>456</v>
      </c>
      <c r="G750" s="12" t="s">
        <v>68</v>
      </c>
      <c r="H750" s="12" t="s">
        <v>457</v>
      </c>
      <c r="I750" s="12" t="s">
        <v>458</v>
      </c>
      <c r="J750" s="17" t="s">
        <v>2796</v>
      </c>
      <c r="K750" s="18" t="s">
        <v>2797</v>
      </c>
      <c r="L750" s="20">
        <v>45952.0</v>
      </c>
      <c r="M750" s="17" t="s">
        <v>28</v>
      </c>
      <c r="N750" s="17" t="s">
        <v>3257</v>
      </c>
      <c r="O750" s="17">
        <v>4.7513467E7</v>
      </c>
      <c r="P750" s="17" t="s">
        <v>1617</v>
      </c>
      <c r="Q750" s="17" t="s">
        <v>108</v>
      </c>
      <c r="R750" s="17" t="s">
        <v>109</v>
      </c>
      <c r="S750" s="17" t="s">
        <v>3258</v>
      </c>
      <c r="U750" s="24"/>
      <c r="V750" s="24"/>
      <c r="W750" s="18" t="s">
        <v>92</v>
      </c>
    </row>
    <row r="751">
      <c r="A751" s="11"/>
      <c r="B751" s="12" t="s">
        <v>34</v>
      </c>
      <c r="C751" s="12" t="s">
        <v>65</v>
      </c>
      <c r="D751" s="12" t="s">
        <v>102</v>
      </c>
      <c r="E751" s="12" t="s">
        <v>455</v>
      </c>
      <c r="F751" s="13" t="s">
        <v>456</v>
      </c>
      <c r="G751" s="12" t="s">
        <v>68</v>
      </c>
      <c r="H751" s="12" t="s">
        <v>457</v>
      </c>
      <c r="I751" s="12" t="s">
        <v>458</v>
      </c>
      <c r="J751" s="17" t="s">
        <v>2796</v>
      </c>
      <c r="K751" s="18" t="s">
        <v>2797</v>
      </c>
      <c r="L751" s="20">
        <v>45952.0</v>
      </c>
      <c r="M751" s="17" t="s">
        <v>28</v>
      </c>
      <c r="N751" s="17" t="s">
        <v>3245</v>
      </c>
      <c r="O751" s="17">
        <v>4.564733E7</v>
      </c>
      <c r="P751" s="17" t="s">
        <v>1629</v>
      </c>
      <c r="Q751" s="17" t="s">
        <v>112</v>
      </c>
      <c r="R751" s="17" t="s">
        <v>113</v>
      </c>
      <c r="S751" s="17" t="s">
        <v>3246</v>
      </c>
      <c r="U751" s="24"/>
      <c r="V751" s="24"/>
      <c r="W751" s="18" t="s">
        <v>92</v>
      </c>
    </row>
    <row r="752">
      <c r="A752" s="11"/>
      <c r="B752" s="12" t="s">
        <v>34</v>
      </c>
      <c r="C752" s="12" t="s">
        <v>65</v>
      </c>
      <c r="D752" s="12" t="s">
        <v>102</v>
      </c>
      <c r="E752" s="12" t="s">
        <v>455</v>
      </c>
      <c r="F752" s="13" t="s">
        <v>456</v>
      </c>
      <c r="G752" s="12" t="s">
        <v>68</v>
      </c>
      <c r="H752" s="12" t="s">
        <v>457</v>
      </c>
      <c r="I752" s="12" t="s">
        <v>458</v>
      </c>
      <c r="J752" s="17" t="s">
        <v>2796</v>
      </c>
      <c r="K752" s="18" t="s">
        <v>2797</v>
      </c>
      <c r="L752" s="20">
        <v>45952.0</v>
      </c>
      <c r="M752" s="17" t="s">
        <v>28</v>
      </c>
      <c r="N752" s="17" t="s">
        <v>2655</v>
      </c>
      <c r="O752" s="17">
        <v>4.4060491E7</v>
      </c>
      <c r="P752" s="17" t="s">
        <v>2656</v>
      </c>
      <c r="Q752" s="17" t="s">
        <v>108</v>
      </c>
      <c r="R752" s="17" t="s">
        <v>109</v>
      </c>
      <c r="S752" s="17" t="s">
        <v>2657</v>
      </c>
      <c r="U752" s="24"/>
      <c r="V752" s="24"/>
      <c r="W752" s="18" t="s">
        <v>92</v>
      </c>
    </row>
    <row r="753">
      <c r="A753" s="11"/>
      <c r="B753" s="12" t="s">
        <v>34</v>
      </c>
      <c r="C753" s="12" t="s">
        <v>65</v>
      </c>
      <c r="D753" s="12" t="s">
        <v>102</v>
      </c>
      <c r="E753" s="12" t="s">
        <v>455</v>
      </c>
      <c r="F753" s="13" t="s">
        <v>456</v>
      </c>
      <c r="G753" s="12" t="s">
        <v>68</v>
      </c>
      <c r="H753" s="12" t="s">
        <v>457</v>
      </c>
      <c r="I753" s="12" t="s">
        <v>458</v>
      </c>
      <c r="J753" s="17" t="s">
        <v>2796</v>
      </c>
      <c r="K753" s="18" t="s">
        <v>2797</v>
      </c>
      <c r="L753" s="20">
        <v>45952.0</v>
      </c>
      <c r="M753" s="17" t="s">
        <v>23</v>
      </c>
      <c r="N753" s="46" t="s">
        <v>2682</v>
      </c>
      <c r="O753" s="47">
        <v>7.4249465E7</v>
      </c>
      <c r="P753" s="21"/>
      <c r="Q753" s="17" t="s">
        <v>108</v>
      </c>
      <c r="R753" s="17" t="s">
        <v>109</v>
      </c>
      <c r="S753" s="17" t="s">
        <v>2198</v>
      </c>
      <c r="U753" s="24"/>
      <c r="V753" s="24"/>
      <c r="W753" s="18" t="s">
        <v>92</v>
      </c>
    </row>
    <row r="754">
      <c r="A754" s="11"/>
      <c r="B754" s="12" t="s">
        <v>34</v>
      </c>
      <c r="C754" s="12" t="s">
        <v>65</v>
      </c>
      <c r="D754" s="12" t="s">
        <v>102</v>
      </c>
      <c r="E754" s="12" t="s">
        <v>455</v>
      </c>
      <c r="F754" s="13" t="s">
        <v>456</v>
      </c>
      <c r="G754" s="12" t="s">
        <v>68</v>
      </c>
      <c r="H754" s="12" t="s">
        <v>457</v>
      </c>
      <c r="I754" s="12" t="s">
        <v>458</v>
      </c>
      <c r="J754" s="17" t="s">
        <v>2796</v>
      </c>
      <c r="K754" s="18" t="s">
        <v>2797</v>
      </c>
      <c r="L754" s="20">
        <v>45952.0</v>
      </c>
      <c r="M754" s="17" t="s">
        <v>23</v>
      </c>
      <c r="N754" s="121" t="s">
        <v>2685</v>
      </c>
      <c r="O754" s="47">
        <v>9477522.0</v>
      </c>
      <c r="P754" s="21"/>
      <c r="Q754" s="17" t="s">
        <v>112</v>
      </c>
      <c r="R754" s="17" t="s">
        <v>113</v>
      </c>
      <c r="S754" s="17" t="s">
        <v>2220</v>
      </c>
      <c r="U754" s="24"/>
      <c r="V754" s="24"/>
      <c r="W754" s="18" t="s">
        <v>92</v>
      </c>
    </row>
    <row r="755">
      <c r="A755" s="11"/>
      <c r="B755" s="12" t="s">
        <v>34</v>
      </c>
      <c r="C755" s="12" t="s">
        <v>65</v>
      </c>
      <c r="D755" s="12" t="s">
        <v>102</v>
      </c>
      <c r="E755" s="12" t="s">
        <v>455</v>
      </c>
      <c r="F755" s="13" t="s">
        <v>456</v>
      </c>
      <c r="G755" s="12" t="s">
        <v>68</v>
      </c>
      <c r="H755" s="12" t="s">
        <v>457</v>
      </c>
      <c r="I755" s="12" t="s">
        <v>458</v>
      </c>
      <c r="J755" s="17" t="s">
        <v>2796</v>
      </c>
      <c r="K755" s="18" t="s">
        <v>2797</v>
      </c>
      <c r="L755" s="20">
        <v>45952.0</v>
      </c>
      <c r="M755" s="17" t="s">
        <v>23</v>
      </c>
      <c r="N755" s="121" t="s">
        <v>2686</v>
      </c>
      <c r="O755" s="47">
        <v>8669973.0</v>
      </c>
      <c r="P755" s="21"/>
      <c r="Q755" s="17" t="s">
        <v>73</v>
      </c>
      <c r="R755" s="17" t="s">
        <v>74</v>
      </c>
      <c r="S755" s="17" t="s">
        <v>2202</v>
      </c>
      <c r="U755" s="24"/>
      <c r="V755" s="24"/>
      <c r="W755" s="18" t="s">
        <v>92</v>
      </c>
    </row>
    <row r="756">
      <c r="A756" s="11"/>
      <c r="B756" s="12" t="s">
        <v>34</v>
      </c>
      <c r="C756" s="12" t="s">
        <v>65</v>
      </c>
      <c r="D756" s="12" t="s">
        <v>102</v>
      </c>
      <c r="E756" s="12" t="s">
        <v>455</v>
      </c>
      <c r="F756" s="13" t="s">
        <v>456</v>
      </c>
      <c r="G756" s="12" t="s">
        <v>68</v>
      </c>
      <c r="H756" s="12" t="s">
        <v>457</v>
      </c>
      <c r="I756" s="12" t="s">
        <v>458</v>
      </c>
      <c r="J756" s="17" t="s">
        <v>2800</v>
      </c>
      <c r="K756" s="18" t="s">
        <v>2801</v>
      </c>
      <c r="L756" s="20">
        <v>45974.0</v>
      </c>
      <c r="M756" s="17" t="s">
        <v>28</v>
      </c>
      <c r="N756" s="116" t="s">
        <v>3259</v>
      </c>
      <c r="O756" s="17">
        <v>7.2568322E7</v>
      </c>
      <c r="P756" s="17" t="s">
        <v>3260</v>
      </c>
      <c r="Q756" s="17" t="s">
        <v>73</v>
      </c>
      <c r="R756" s="17" t="s">
        <v>74</v>
      </c>
      <c r="S756" s="17" t="s">
        <v>3261</v>
      </c>
      <c r="U756" s="24"/>
      <c r="V756" s="24"/>
      <c r="W756" s="18" t="s">
        <v>92</v>
      </c>
    </row>
    <row r="757">
      <c r="A757" s="11"/>
      <c r="B757" s="12" t="s">
        <v>34</v>
      </c>
      <c r="C757" s="12" t="s">
        <v>65</v>
      </c>
      <c r="D757" s="12" t="s">
        <v>102</v>
      </c>
      <c r="E757" s="12" t="s">
        <v>455</v>
      </c>
      <c r="F757" s="13" t="s">
        <v>456</v>
      </c>
      <c r="G757" s="12" t="s">
        <v>68</v>
      </c>
      <c r="H757" s="12" t="s">
        <v>457</v>
      </c>
      <c r="I757" s="12" t="s">
        <v>458</v>
      </c>
      <c r="J757" s="17" t="s">
        <v>2800</v>
      </c>
      <c r="K757" s="18" t="s">
        <v>2801</v>
      </c>
      <c r="L757" s="20">
        <v>45974.0</v>
      </c>
      <c r="M757" s="17" t="s">
        <v>28</v>
      </c>
      <c r="N757" s="17" t="s">
        <v>2674</v>
      </c>
      <c r="O757" s="17">
        <v>7.3341785E7</v>
      </c>
      <c r="P757" s="17" t="s">
        <v>2675</v>
      </c>
      <c r="Q757" s="17" t="s">
        <v>73</v>
      </c>
      <c r="R757" s="17" t="s">
        <v>74</v>
      </c>
      <c r="S757" s="17" t="s">
        <v>2676</v>
      </c>
      <c r="U757" s="24"/>
      <c r="V757" s="24"/>
      <c r="W757" s="18" t="s">
        <v>92</v>
      </c>
    </row>
    <row r="758">
      <c r="A758" s="11"/>
      <c r="B758" s="12" t="s">
        <v>34</v>
      </c>
      <c r="C758" s="12" t="s">
        <v>65</v>
      </c>
      <c r="D758" s="12" t="s">
        <v>102</v>
      </c>
      <c r="E758" s="12" t="s">
        <v>455</v>
      </c>
      <c r="F758" s="13" t="s">
        <v>456</v>
      </c>
      <c r="G758" s="12" t="s">
        <v>68</v>
      </c>
      <c r="H758" s="12" t="s">
        <v>457</v>
      </c>
      <c r="I758" s="12" t="s">
        <v>458</v>
      </c>
      <c r="J758" s="17" t="s">
        <v>2800</v>
      </c>
      <c r="K758" s="18" t="s">
        <v>2801</v>
      </c>
      <c r="L758" s="20">
        <v>45974.0</v>
      </c>
      <c r="M758" s="17" t="s">
        <v>28</v>
      </c>
      <c r="N758" s="17" t="s">
        <v>3243</v>
      </c>
      <c r="O758" s="17">
        <v>4.6512968E7</v>
      </c>
      <c r="P758" s="17" t="s">
        <v>1628</v>
      </c>
      <c r="Q758" s="17" t="s">
        <v>112</v>
      </c>
      <c r="R758" s="17" t="s">
        <v>113</v>
      </c>
      <c r="S758" s="17" t="s">
        <v>3244</v>
      </c>
      <c r="U758" s="24"/>
      <c r="V758" s="24"/>
      <c r="W758" s="18" t="s">
        <v>92</v>
      </c>
    </row>
    <row r="759">
      <c r="A759" s="11"/>
      <c r="B759" s="12" t="s">
        <v>34</v>
      </c>
      <c r="C759" s="12" t="s">
        <v>65</v>
      </c>
      <c r="D759" s="12" t="s">
        <v>102</v>
      </c>
      <c r="E759" s="12" t="s">
        <v>455</v>
      </c>
      <c r="F759" s="13" t="s">
        <v>456</v>
      </c>
      <c r="G759" s="12" t="s">
        <v>68</v>
      </c>
      <c r="H759" s="12" t="s">
        <v>457</v>
      </c>
      <c r="I759" s="12" t="s">
        <v>458</v>
      </c>
      <c r="J759" s="17" t="s">
        <v>2800</v>
      </c>
      <c r="K759" s="18" t="s">
        <v>2801</v>
      </c>
      <c r="L759" s="20">
        <v>45974.0</v>
      </c>
      <c r="M759" s="17" t="s">
        <v>28</v>
      </c>
      <c r="N759" s="17" t="s">
        <v>3257</v>
      </c>
      <c r="O759" s="17">
        <v>4.7513467E7</v>
      </c>
      <c r="P759" s="17" t="s">
        <v>1617</v>
      </c>
      <c r="Q759" s="17" t="s">
        <v>108</v>
      </c>
      <c r="R759" s="17" t="s">
        <v>109</v>
      </c>
      <c r="S759" s="17" t="s">
        <v>3258</v>
      </c>
      <c r="U759" s="24"/>
      <c r="V759" s="24"/>
      <c r="W759" s="18" t="s">
        <v>92</v>
      </c>
    </row>
    <row r="760">
      <c r="A760" s="11"/>
      <c r="B760" s="12" t="s">
        <v>34</v>
      </c>
      <c r="C760" s="12" t="s">
        <v>65</v>
      </c>
      <c r="D760" s="12" t="s">
        <v>102</v>
      </c>
      <c r="E760" s="12" t="s">
        <v>455</v>
      </c>
      <c r="F760" s="13" t="s">
        <v>456</v>
      </c>
      <c r="G760" s="12" t="s">
        <v>68</v>
      </c>
      <c r="H760" s="12" t="s">
        <v>457</v>
      </c>
      <c r="I760" s="12" t="s">
        <v>458</v>
      </c>
      <c r="J760" s="17" t="s">
        <v>2800</v>
      </c>
      <c r="K760" s="18" t="s">
        <v>2801</v>
      </c>
      <c r="L760" s="20">
        <v>45974.0</v>
      </c>
      <c r="M760" s="17" t="s">
        <v>28</v>
      </c>
      <c r="N760" s="17" t="s">
        <v>2641</v>
      </c>
      <c r="O760" s="17">
        <v>4.6593719E7</v>
      </c>
      <c r="P760" s="17" t="s">
        <v>1620</v>
      </c>
      <c r="Q760" s="17" t="s">
        <v>108</v>
      </c>
      <c r="R760" s="17" t="s">
        <v>109</v>
      </c>
      <c r="S760" s="17" t="s">
        <v>3256</v>
      </c>
      <c r="U760" s="24"/>
      <c r="V760" s="24"/>
      <c r="W760" s="18" t="s">
        <v>92</v>
      </c>
    </row>
    <row r="761">
      <c r="A761" s="11"/>
      <c r="B761" s="12" t="s">
        <v>34</v>
      </c>
      <c r="C761" s="12" t="s">
        <v>65</v>
      </c>
      <c r="D761" s="12" t="s">
        <v>102</v>
      </c>
      <c r="E761" s="12" t="s">
        <v>455</v>
      </c>
      <c r="F761" s="13" t="s">
        <v>456</v>
      </c>
      <c r="G761" s="12" t="s">
        <v>68</v>
      </c>
      <c r="H761" s="12" t="s">
        <v>457</v>
      </c>
      <c r="I761" s="12" t="s">
        <v>458</v>
      </c>
      <c r="J761" s="17" t="s">
        <v>2800</v>
      </c>
      <c r="K761" s="18" t="s">
        <v>2801</v>
      </c>
      <c r="L761" s="20">
        <v>45974.0</v>
      </c>
      <c r="M761" s="17" t="s">
        <v>28</v>
      </c>
      <c r="N761" s="17" t="s">
        <v>2646</v>
      </c>
      <c r="O761" s="17">
        <v>7.6744207E7</v>
      </c>
      <c r="P761" s="17" t="s">
        <v>2647</v>
      </c>
      <c r="Q761" s="17" t="s">
        <v>112</v>
      </c>
      <c r="R761" s="17" t="s">
        <v>113</v>
      </c>
      <c r="S761" s="17" t="s">
        <v>2648</v>
      </c>
      <c r="U761" s="24"/>
      <c r="V761" s="24"/>
      <c r="W761" s="18" t="s">
        <v>92</v>
      </c>
    </row>
    <row r="762">
      <c r="A762" s="11"/>
      <c r="B762" s="12" t="s">
        <v>34</v>
      </c>
      <c r="C762" s="12" t="s">
        <v>65</v>
      </c>
      <c r="D762" s="12" t="s">
        <v>102</v>
      </c>
      <c r="E762" s="12" t="s">
        <v>455</v>
      </c>
      <c r="F762" s="13" t="s">
        <v>456</v>
      </c>
      <c r="G762" s="12" t="s">
        <v>68</v>
      </c>
      <c r="H762" s="12" t="s">
        <v>457</v>
      </c>
      <c r="I762" s="12" t="s">
        <v>458</v>
      </c>
      <c r="J762" s="17" t="s">
        <v>2800</v>
      </c>
      <c r="K762" s="18" t="s">
        <v>2801</v>
      </c>
      <c r="L762" s="20">
        <v>45974.0</v>
      </c>
      <c r="M762" s="17" t="s">
        <v>28</v>
      </c>
      <c r="N762" s="17" t="s">
        <v>3247</v>
      </c>
      <c r="O762" s="17">
        <v>4.4058889E7</v>
      </c>
      <c r="P762" s="17" t="s">
        <v>1627</v>
      </c>
      <c r="Q762" s="17" t="s">
        <v>112</v>
      </c>
      <c r="R762" s="17" t="s">
        <v>1939</v>
      </c>
      <c r="S762" s="17" t="s">
        <v>3248</v>
      </c>
      <c r="U762" s="24"/>
      <c r="V762" s="24"/>
      <c r="W762" s="18" t="s">
        <v>92</v>
      </c>
    </row>
    <row r="763">
      <c r="A763" s="11"/>
      <c r="B763" s="12" t="s">
        <v>34</v>
      </c>
      <c r="C763" s="12" t="s">
        <v>65</v>
      </c>
      <c r="D763" s="12" t="s">
        <v>102</v>
      </c>
      <c r="E763" s="12" t="s">
        <v>455</v>
      </c>
      <c r="F763" s="13" t="s">
        <v>456</v>
      </c>
      <c r="G763" s="12" t="s">
        <v>68</v>
      </c>
      <c r="H763" s="12" t="s">
        <v>457</v>
      </c>
      <c r="I763" s="12" t="s">
        <v>458</v>
      </c>
      <c r="J763" s="17" t="s">
        <v>2800</v>
      </c>
      <c r="K763" s="18" t="s">
        <v>2801</v>
      </c>
      <c r="L763" s="20">
        <v>45974.0</v>
      </c>
      <c r="M763" s="17" t="s">
        <v>28</v>
      </c>
      <c r="N763" s="17" t="s">
        <v>2655</v>
      </c>
      <c r="O763" s="17">
        <v>4.4060491E7</v>
      </c>
      <c r="P763" s="17" t="s">
        <v>2656</v>
      </c>
      <c r="Q763" s="17" t="s">
        <v>108</v>
      </c>
      <c r="R763" s="17" t="s">
        <v>109</v>
      </c>
      <c r="S763" s="17" t="s">
        <v>2657</v>
      </c>
      <c r="U763" s="24"/>
      <c r="V763" s="24"/>
      <c r="W763" s="18" t="s">
        <v>92</v>
      </c>
    </row>
    <row r="764">
      <c r="A764" s="11"/>
      <c r="B764" s="12" t="s">
        <v>34</v>
      </c>
      <c r="C764" s="12" t="s">
        <v>65</v>
      </c>
      <c r="D764" s="12" t="s">
        <v>102</v>
      </c>
      <c r="E764" s="12" t="s">
        <v>455</v>
      </c>
      <c r="F764" s="13" t="s">
        <v>456</v>
      </c>
      <c r="G764" s="12" t="s">
        <v>68</v>
      </c>
      <c r="H764" s="12" t="s">
        <v>457</v>
      </c>
      <c r="I764" s="12" t="s">
        <v>458</v>
      </c>
      <c r="J764" s="17" t="s">
        <v>2800</v>
      </c>
      <c r="K764" s="18" t="s">
        <v>2801</v>
      </c>
      <c r="L764" s="20">
        <v>45974.0</v>
      </c>
      <c r="M764" s="17" t="s">
        <v>28</v>
      </c>
      <c r="N764" s="17" t="s">
        <v>3254</v>
      </c>
      <c r="O764" s="17">
        <v>4.3080318E7</v>
      </c>
      <c r="P764" s="17" t="s">
        <v>1619</v>
      </c>
      <c r="Q764" s="17" t="s">
        <v>108</v>
      </c>
      <c r="R764" s="17" t="s">
        <v>109</v>
      </c>
      <c r="S764" s="17" t="s">
        <v>3255</v>
      </c>
      <c r="U764" s="24"/>
      <c r="V764" s="24"/>
      <c r="W764" s="18" t="s">
        <v>92</v>
      </c>
    </row>
    <row r="765">
      <c r="A765" s="11"/>
      <c r="B765" s="12" t="s">
        <v>34</v>
      </c>
      <c r="C765" s="12" t="s">
        <v>65</v>
      </c>
      <c r="D765" s="12" t="s">
        <v>102</v>
      </c>
      <c r="E765" s="12" t="s">
        <v>455</v>
      </c>
      <c r="F765" s="13" t="s">
        <v>456</v>
      </c>
      <c r="G765" s="12" t="s">
        <v>68</v>
      </c>
      <c r="H765" s="12" t="s">
        <v>457</v>
      </c>
      <c r="I765" s="12" t="s">
        <v>458</v>
      </c>
      <c r="J765" s="17" t="s">
        <v>2800</v>
      </c>
      <c r="K765" s="18" t="s">
        <v>2801</v>
      </c>
      <c r="L765" s="20">
        <v>45974.0</v>
      </c>
      <c r="M765" s="17" t="s">
        <v>28</v>
      </c>
      <c r="N765" s="17" t="s">
        <v>2669</v>
      </c>
      <c r="O765" s="17">
        <v>4.5773532E7</v>
      </c>
      <c r="P765" s="17" t="s">
        <v>1622</v>
      </c>
      <c r="Q765" s="17" t="s">
        <v>112</v>
      </c>
      <c r="R765" s="17" t="s">
        <v>113</v>
      </c>
      <c r="S765" s="17" t="s">
        <v>2670</v>
      </c>
      <c r="U765" s="24"/>
      <c r="V765" s="24"/>
      <c r="W765" s="18" t="s">
        <v>92</v>
      </c>
    </row>
    <row r="766">
      <c r="A766" s="11"/>
      <c r="B766" s="12" t="s">
        <v>34</v>
      </c>
      <c r="C766" s="12" t="s">
        <v>65</v>
      </c>
      <c r="D766" s="12" t="s">
        <v>102</v>
      </c>
      <c r="E766" s="12" t="s">
        <v>455</v>
      </c>
      <c r="F766" s="13" t="s">
        <v>456</v>
      </c>
      <c r="G766" s="12" t="s">
        <v>68</v>
      </c>
      <c r="H766" s="12" t="s">
        <v>457</v>
      </c>
      <c r="I766" s="12" t="s">
        <v>458</v>
      </c>
      <c r="J766" s="17" t="s">
        <v>2800</v>
      </c>
      <c r="K766" s="18" t="s">
        <v>2801</v>
      </c>
      <c r="L766" s="20">
        <v>45974.0</v>
      </c>
      <c r="M766" s="17" t="s">
        <v>28</v>
      </c>
      <c r="N766" s="17" t="s">
        <v>3251</v>
      </c>
      <c r="O766" s="17">
        <v>7.1913178E7</v>
      </c>
      <c r="P766" s="17" t="s">
        <v>3252</v>
      </c>
      <c r="Q766" s="17" t="s">
        <v>73</v>
      </c>
      <c r="R766" s="17" t="s">
        <v>74</v>
      </c>
      <c r="S766" s="17" t="s">
        <v>3253</v>
      </c>
      <c r="U766" s="24"/>
      <c r="V766" s="24"/>
      <c r="W766" s="18" t="s">
        <v>92</v>
      </c>
    </row>
    <row r="767">
      <c r="A767" s="11"/>
      <c r="B767" s="12" t="s">
        <v>34</v>
      </c>
      <c r="C767" s="12" t="s">
        <v>65</v>
      </c>
      <c r="D767" s="12" t="s">
        <v>102</v>
      </c>
      <c r="E767" s="12" t="s">
        <v>455</v>
      </c>
      <c r="F767" s="13" t="s">
        <v>456</v>
      </c>
      <c r="G767" s="12" t="s">
        <v>68</v>
      </c>
      <c r="H767" s="12" t="s">
        <v>457</v>
      </c>
      <c r="I767" s="12" t="s">
        <v>458</v>
      </c>
      <c r="J767" s="17" t="s">
        <v>2800</v>
      </c>
      <c r="K767" s="18" t="s">
        <v>2801</v>
      </c>
      <c r="L767" s="20">
        <v>45974.0</v>
      </c>
      <c r="M767" s="17" t="s">
        <v>28</v>
      </c>
      <c r="N767" s="17" t="s">
        <v>3245</v>
      </c>
      <c r="O767" s="17">
        <v>4.564733E7</v>
      </c>
      <c r="P767" s="17" t="s">
        <v>1629</v>
      </c>
      <c r="Q767" s="17" t="s">
        <v>112</v>
      </c>
      <c r="R767" s="17" t="s">
        <v>113</v>
      </c>
      <c r="S767" s="17" t="s">
        <v>3246</v>
      </c>
      <c r="U767" s="24"/>
      <c r="V767" s="24"/>
      <c r="W767" s="18" t="s">
        <v>92</v>
      </c>
    </row>
    <row r="768">
      <c r="A768" s="11"/>
      <c r="B768" s="12" t="s">
        <v>34</v>
      </c>
      <c r="C768" s="12" t="s">
        <v>65</v>
      </c>
      <c r="D768" s="12" t="s">
        <v>102</v>
      </c>
      <c r="E768" s="12" t="s">
        <v>455</v>
      </c>
      <c r="F768" s="13" t="s">
        <v>456</v>
      </c>
      <c r="G768" s="12" t="s">
        <v>68</v>
      </c>
      <c r="H768" s="12" t="s">
        <v>457</v>
      </c>
      <c r="I768" s="12" t="s">
        <v>458</v>
      </c>
      <c r="J768" s="17" t="s">
        <v>2800</v>
      </c>
      <c r="K768" s="18" t="s">
        <v>2801</v>
      </c>
      <c r="L768" s="20">
        <v>45974.0</v>
      </c>
      <c r="M768" s="17" t="s">
        <v>28</v>
      </c>
      <c r="N768" s="17" t="s">
        <v>2667</v>
      </c>
      <c r="O768" s="17">
        <v>7.389032E7</v>
      </c>
      <c r="P768" s="17" t="s">
        <v>1632</v>
      </c>
      <c r="Q768" s="17" t="s">
        <v>73</v>
      </c>
      <c r="R768" s="17" t="s">
        <v>1589</v>
      </c>
      <c r="S768" s="17" t="s">
        <v>2668</v>
      </c>
      <c r="U768" s="24"/>
      <c r="V768" s="24"/>
      <c r="W768" s="18" t="s">
        <v>92</v>
      </c>
    </row>
    <row r="769">
      <c r="A769" s="11"/>
      <c r="B769" s="12" t="s">
        <v>34</v>
      </c>
      <c r="C769" s="12" t="s">
        <v>65</v>
      </c>
      <c r="D769" s="12" t="s">
        <v>102</v>
      </c>
      <c r="E769" s="12" t="s">
        <v>455</v>
      </c>
      <c r="F769" s="13" t="s">
        <v>456</v>
      </c>
      <c r="G769" s="12" t="s">
        <v>68</v>
      </c>
      <c r="H769" s="12" t="s">
        <v>457</v>
      </c>
      <c r="I769" s="12" t="s">
        <v>458</v>
      </c>
      <c r="J769" s="17" t="s">
        <v>2800</v>
      </c>
      <c r="K769" s="18" t="s">
        <v>2801</v>
      </c>
      <c r="L769" s="20">
        <v>45974.0</v>
      </c>
      <c r="M769" s="17" t="s">
        <v>28</v>
      </c>
      <c r="N769" s="116" t="s">
        <v>3266</v>
      </c>
      <c r="O769" s="17"/>
      <c r="P769" s="17" t="s">
        <v>3267</v>
      </c>
      <c r="Q769" s="17" t="s">
        <v>108</v>
      </c>
      <c r="R769" s="17" t="s">
        <v>109</v>
      </c>
      <c r="S769" s="17" t="s">
        <v>3268</v>
      </c>
      <c r="U769" s="24"/>
      <c r="V769" s="24"/>
      <c r="W769" s="18" t="s">
        <v>92</v>
      </c>
    </row>
    <row r="770">
      <c r="A770" s="11"/>
      <c r="B770" s="12" t="s">
        <v>34</v>
      </c>
      <c r="C770" s="12" t="s">
        <v>65</v>
      </c>
      <c r="D770" s="12" t="s">
        <v>102</v>
      </c>
      <c r="E770" s="12" t="s">
        <v>455</v>
      </c>
      <c r="F770" s="13" t="s">
        <v>456</v>
      </c>
      <c r="G770" s="12" t="s">
        <v>68</v>
      </c>
      <c r="H770" s="12" t="s">
        <v>457</v>
      </c>
      <c r="I770" s="12" t="s">
        <v>458</v>
      </c>
      <c r="J770" s="17" t="s">
        <v>2800</v>
      </c>
      <c r="K770" s="18" t="s">
        <v>2801</v>
      </c>
      <c r="L770" s="20">
        <v>45974.0</v>
      </c>
      <c r="M770" s="17" t="s">
        <v>28</v>
      </c>
      <c r="N770" s="17" t="s">
        <v>2652</v>
      </c>
      <c r="O770" s="17">
        <v>7.3322788E7</v>
      </c>
      <c r="P770" s="17" t="s">
        <v>2653</v>
      </c>
      <c r="Q770" s="17" t="s">
        <v>108</v>
      </c>
      <c r="R770" s="17" t="s">
        <v>109</v>
      </c>
      <c r="S770" s="17" t="s">
        <v>2654</v>
      </c>
      <c r="U770" s="24"/>
      <c r="V770" s="24"/>
      <c r="W770" s="18" t="s">
        <v>92</v>
      </c>
    </row>
    <row r="771">
      <c r="A771" s="11"/>
      <c r="B771" s="12" t="s">
        <v>34</v>
      </c>
      <c r="C771" s="12" t="s">
        <v>65</v>
      </c>
      <c r="D771" s="12" t="s">
        <v>102</v>
      </c>
      <c r="E771" s="12" t="s">
        <v>455</v>
      </c>
      <c r="F771" s="13" t="s">
        <v>456</v>
      </c>
      <c r="G771" s="12" t="s">
        <v>68</v>
      </c>
      <c r="H771" s="12" t="s">
        <v>457</v>
      </c>
      <c r="I771" s="12" t="s">
        <v>458</v>
      </c>
      <c r="J771" s="17" t="s">
        <v>2800</v>
      </c>
      <c r="K771" s="18" t="s">
        <v>2801</v>
      </c>
      <c r="L771" s="20">
        <v>45974.0</v>
      </c>
      <c r="M771" s="17" t="s">
        <v>28</v>
      </c>
      <c r="N771" s="17" t="s">
        <v>2664</v>
      </c>
      <c r="O771" s="17">
        <v>7.3864223E7</v>
      </c>
      <c r="P771" s="17" t="s">
        <v>2665</v>
      </c>
      <c r="Q771" s="17" t="s">
        <v>112</v>
      </c>
      <c r="R771" s="17" t="s">
        <v>113</v>
      </c>
      <c r="S771" s="17" t="s">
        <v>2666</v>
      </c>
      <c r="U771" s="24"/>
      <c r="V771" s="24"/>
      <c r="W771" s="18" t="s">
        <v>92</v>
      </c>
    </row>
    <row r="772">
      <c r="A772" s="11"/>
      <c r="B772" s="12" t="s">
        <v>34</v>
      </c>
      <c r="C772" s="12" t="s">
        <v>65</v>
      </c>
      <c r="D772" s="12" t="s">
        <v>102</v>
      </c>
      <c r="E772" s="12" t="s">
        <v>455</v>
      </c>
      <c r="F772" s="13" t="s">
        <v>456</v>
      </c>
      <c r="G772" s="12" t="s">
        <v>68</v>
      </c>
      <c r="H772" s="12" t="s">
        <v>457</v>
      </c>
      <c r="I772" s="12" t="s">
        <v>458</v>
      </c>
      <c r="J772" s="17" t="s">
        <v>2800</v>
      </c>
      <c r="K772" s="18" t="s">
        <v>2801</v>
      </c>
      <c r="L772" s="20">
        <v>45974.0</v>
      </c>
      <c r="M772" s="17" t="s">
        <v>28</v>
      </c>
      <c r="N772" s="17" t="s">
        <v>3249</v>
      </c>
      <c r="O772" s="17">
        <v>4.5242303E7</v>
      </c>
      <c r="P772" s="17" t="s">
        <v>1634</v>
      </c>
      <c r="Q772" s="17" t="s">
        <v>73</v>
      </c>
      <c r="R772" s="17" t="s">
        <v>74</v>
      </c>
      <c r="S772" s="17" t="s">
        <v>3250</v>
      </c>
      <c r="U772" s="24"/>
      <c r="V772" s="24"/>
      <c r="W772" s="18" t="s">
        <v>92</v>
      </c>
    </row>
    <row r="773">
      <c r="A773" s="11"/>
      <c r="B773" s="12" t="s">
        <v>34</v>
      </c>
      <c r="C773" s="12" t="s">
        <v>65</v>
      </c>
      <c r="D773" s="12" t="s">
        <v>102</v>
      </c>
      <c r="E773" s="12" t="s">
        <v>455</v>
      </c>
      <c r="F773" s="13" t="s">
        <v>456</v>
      </c>
      <c r="G773" s="12" t="s">
        <v>68</v>
      </c>
      <c r="H773" s="12" t="s">
        <v>457</v>
      </c>
      <c r="I773" s="12" t="s">
        <v>458</v>
      </c>
      <c r="J773" s="17" t="s">
        <v>2800</v>
      </c>
      <c r="K773" s="18" t="s">
        <v>2801</v>
      </c>
      <c r="L773" s="20">
        <v>45974.0</v>
      </c>
      <c r="M773" s="17" t="s">
        <v>28</v>
      </c>
      <c r="N773" s="17" t="s">
        <v>3269</v>
      </c>
      <c r="O773" s="17"/>
      <c r="P773" s="17" t="s">
        <v>3270</v>
      </c>
      <c r="Q773" s="17"/>
      <c r="R773" s="17"/>
      <c r="S773" s="17" t="s">
        <v>3270</v>
      </c>
      <c r="U773" s="24"/>
      <c r="V773" s="24"/>
      <c r="W773" s="18" t="s">
        <v>92</v>
      </c>
    </row>
    <row r="774">
      <c r="A774" s="11"/>
      <c r="B774" s="12" t="s">
        <v>34</v>
      </c>
      <c r="C774" s="12" t="s">
        <v>65</v>
      </c>
      <c r="D774" s="12" t="s">
        <v>102</v>
      </c>
      <c r="E774" s="12" t="s">
        <v>455</v>
      </c>
      <c r="F774" s="13" t="s">
        <v>456</v>
      </c>
      <c r="G774" s="12" t="s">
        <v>68</v>
      </c>
      <c r="H774" s="12" t="s">
        <v>457</v>
      </c>
      <c r="I774" s="12" t="s">
        <v>458</v>
      </c>
      <c r="J774" s="17" t="s">
        <v>2800</v>
      </c>
      <c r="K774" s="18" t="s">
        <v>2801</v>
      </c>
      <c r="L774" s="20">
        <v>45974.0</v>
      </c>
      <c r="M774" s="17" t="s">
        <v>28</v>
      </c>
      <c r="N774" s="17" t="s">
        <v>2643</v>
      </c>
      <c r="O774" s="17">
        <v>4.5281911E7</v>
      </c>
      <c r="P774" s="17" t="s">
        <v>2644</v>
      </c>
      <c r="Q774" s="17" t="s">
        <v>108</v>
      </c>
      <c r="R774" s="17" t="s">
        <v>109</v>
      </c>
      <c r="S774" s="17" t="s">
        <v>2645</v>
      </c>
      <c r="U774" s="24"/>
      <c r="V774" s="24"/>
      <c r="W774" s="18" t="s">
        <v>92</v>
      </c>
    </row>
    <row r="775">
      <c r="A775" s="11"/>
      <c r="B775" s="12" t="s">
        <v>34</v>
      </c>
      <c r="C775" s="12" t="s">
        <v>65</v>
      </c>
      <c r="D775" s="12" t="s">
        <v>102</v>
      </c>
      <c r="E775" s="12" t="s">
        <v>455</v>
      </c>
      <c r="F775" s="13" t="s">
        <v>456</v>
      </c>
      <c r="G775" s="12" t="s">
        <v>68</v>
      </c>
      <c r="H775" s="12" t="s">
        <v>457</v>
      </c>
      <c r="I775" s="12" t="s">
        <v>458</v>
      </c>
      <c r="J775" s="17" t="s">
        <v>2800</v>
      </c>
      <c r="K775" s="18" t="s">
        <v>2801</v>
      </c>
      <c r="L775" s="20">
        <v>45974.0</v>
      </c>
      <c r="M775" s="17" t="s">
        <v>28</v>
      </c>
      <c r="N775" s="17" t="s">
        <v>2671</v>
      </c>
      <c r="O775" s="17">
        <v>7.339272E7</v>
      </c>
      <c r="P775" s="17" t="s">
        <v>2672</v>
      </c>
      <c r="Q775" s="17" t="s">
        <v>112</v>
      </c>
      <c r="R775" s="17" t="s">
        <v>1797</v>
      </c>
      <c r="S775" s="17"/>
      <c r="U775" s="24"/>
      <c r="V775" s="24"/>
      <c r="W775" s="18" t="s">
        <v>92</v>
      </c>
    </row>
    <row r="776">
      <c r="A776" s="11"/>
      <c r="B776" s="12" t="s">
        <v>34</v>
      </c>
      <c r="C776" s="12" t="s">
        <v>65</v>
      </c>
      <c r="D776" s="12" t="s">
        <v>102</v>
      </c>
      <c r="E776" s="12" t="s">
        <v>455</v>
      </c>
      <c r="F776" s="13" t="s">
        <v>456</v>
      </c>
      <c r="G776" s="12" t="s">
        <v>68</v>
      </c>
      <c r="H776" s="12" t="s">
        <v>457</v>
      </c>
      <c r="I776" s="12" t="s">
        <v>458</v>
      </c>
      <c r="J776" s="17" t="s">
        <v>2800</v>
      </c>
      <c r="K776" s="18" t="s">
        <v>2801</v>
      </c>
      <c r="L776" s="20">
        <v>45974.0</v>
      </c>
      <c r="M776" s="17" t="s">
        <v>23</v>
      </c>
      <c r="N776" s="46" t="s">
        <v>2682</v>
      </c>
      <c r="O776" s="47">
        <v>7.4249465E7</v>
      </c>
      <c r="P776" s="21"/>
      <c r="Q776" s="17" t="s">
        <v>108</v>
      </c>
      <c r="R776" s="17" t="s">
        <v>109</v>
      </c>
      <c r="S776" s="17" t="s">
        <v>2198</v>
      </c>
      <c r="U776" s="24"/>
      <c r="V776" s="24"/>
      <c r="W776" s="18" t="s">
        <v>92</v>
      </c>
    </row>
    <row r="777">
      <c r="A777" s="11"/>
      <c r="B777" s="12" t="s">
        <v>34</v>
      </c>
      <c r="C777" s="12" t="s">
        <v>65</v>
      </c>
      <c r="D777" s="12" t="s">
        <v>102</v>
      </c>
      <c r="E777" s="12" t="s">
        <v>455</v>
      </c>
      <c r="F777" s="13" t="s">
        <v>456</v>
      </c>
      <c r="G777" s="12" t="s">
        <v>68</v>
      </c>
      <c r="H777" s="12" t="s">
        <v>457</v>
      </c>
      <c r="I777" s="12" t="s">
        <v>458</v>
      </c>
      <c r="J777" s="17" t="s">
        <v>2800</v>
      </c>
      <c r="K777" s="18" t="s">
        <v>2801</v>
      </c>
      <c r="L777" s="20">
        <v>45974.0</v>
      </c>
      <c r="M777" s="17" t="s">
        <v>23</v>
      </c>
      <c r="N777" s="121" t="s">
        <v>2685</v>
      </c>
      <c r="O777" s="47">
        <v>9477522.0</v>
      </c>
      <c r="P777" s="21"/>
      <c r="Q777" s="17" t="s">
        <v>112</v>
      </c>
      <c r="R777" s="17" t="s">
        <v>113</v>
      </c>
      <c r="S777" s="17" t="s">
        <v>2220</v>
      </c>
      <c r="U777" s="24"/>
      <c r="V777" s="24"/>
      <c r="W777" s="18" t="s">
        <v>92</v>
      </c>
    </row>
    <row r="778">
      <c r="A778" s="11"/>
      <c r="B778" s="12" t="s">
        <v>34</v>
      </c>
      <c r="C778" s="12" t="s">
        <v>65</v>
      </c>
      <c r="D778" s="12" t="s">
        <v>102</v>
      </c>
      <c r="E778" s="12" t="s">
        <v>455</v>
      </c>
      <c r="F778" s="13" t="s">
        <v>456</v>
      </c>
      <c r="G778" s="12" t="s">
        <v>68</v>
      </c>
      <c r="H778" s="12" t="s">
        <v>457</v>
      </c>
      <c r="I778" s="12" t="s">
        <v>458</v>
      </c>
      <c r="J778" s="17" t="s">
        <v>2800</v>
      </c>
      <c r="K778" s="18" t="s">
        <v>2801</v>
      </c>
      <c r="L778" s="20">
        <v>45974.0</v>
      </c>
      <c r="M778" s="17" t="s">
        <v>23</v>
      </c>
      <c r="N778" s="121" t="s">
        <v>2686</v>
      </c>
      <c r="O778" s="47">
        <v>8669973.0</v>
      </c>
      <c r="P778" s="21"/>
      <c r="Q778" s="17" t="s">
        <v>73</v>
      </c>
      <c r="R778" s="17" t="s">
        <v>74</v>
      </c>
      <c r="S778" s="17" t="s">
        <v>2202</v>
      </c>
      <c r="U778" s="24"/>
      <c r="V778" s="24"/>
      <c r="W778" s="18" t="s">
        <v>92</v>
      </c>
    </row>
    <row r="779">
      <c r="A779" s="11"/>
      <c r="B779" s="12" t="s">
        <v>34</v>
      </c>
      <c r="C779" s="12" t="s">
        <v>65</v>
      </c>
      <c r="D779" s="12" t="s">
        <v>102</v>
      </c>
      <c r="E779" s="12" t="s">
        <v>455</v>
      </c>
      <c r="F779" s="13" t="s">
        <v>456</v>
      </c>
      <c r="G779" s="12" t="s">
        <v>68</v>
      </c>
      <c r="H779" s="12" t="s">
        <v>457</v>
      </c>
      <c r="I779" s="12" t="s">
        <v>458</v>
      </c>
      <c r="J779" s="17" t="s">
        <v>2687</v>
      </c>
      <c r="K779" s="18">
        <v>2.0</v>
      </c>
      <c r="L779" s="20">
        <v>45953.0</v>
      </c>
      <c r="M779" s="17" t="s">
        <v>23</v>
      </c>
      <c r="N779" s="46" t="s">
        <v>2682</v>
      </c>
      <c r="O779" s="47">
        <v>7.4249465E7</v>
      </c>
      <c r="P779" s="21"/>
      <c r="Q779" s="17" t="s">
        <v>108</v>
      </c>
      <c r="R779" s="17" t="s">
        <v>109</v>
      </c>
      <c r="S779" s="17" t="s">
        <v>2198</v>
      </c>
      <c r="U779" s="24"/>
      <c r="V779" s="24"/>
      <c r="W779" s="18" t="s">
        <v>92</v>
      </c>
    </row>
    <row r="780">
      <c r="A780" s="11"/>
      <c r="B780" s="12" t="s">
        <v>34</v>
      </c>
      <c r="C780" s="12" t="s">
        <v>65</v>
      </c>
      <c r="D780" s="12" t="s">
        <v>102</v>
      </c>
      <c r="E780" s="12" t="s">
        <v>455</v>
      </c>
      <c r="F780" s="13" t="s">
        <v>456</v>
      </c>
      <c r="G780" s="12" t="s">
        <v>68</v>
      </c>
      <c r="H780" s="12" t="s">
        <v>457</v>
      </c>
      <c r="I780" s="12" t="s">
        <v>458</v>
      </c>
      <c r="J780" s="17" t="s">
        <v>2687</v>
      </c>
      <c r="K780" s="18">
        <v>2.0</v>
      </c>
      <c r="L780" s="20">
        <v>45953.0</v>
      </c>
      <c r="M780" s="17" t="s">
        <v>23</v>
      </c>
      <c r="N780" s="121" t="s">
        <v>2685</v>
      </c>
      <c r="O780" s="47">
        <v>9477522.0</v>
      </c>
      <c r="P780" s="21"/>
      <c r="Q780" s="17" t="s">
        <v>112</v>
      </c>
      <c r="R780" s="17" t="s">
        <v>113</v>
      </c>
      <c r="S780" s="17" t="s">
        <v>2220</v>
      </c>
      <c r="U780" s="24"/>
      <c r="V780" s="24"/>
      <c r="W780" s="18" t="s">
        <v>92</v>
      </c>
    </row>
    <row r="781">
      <c r="A781" s="11"/>
      <c r="B781" s="12" t="s">
        <v>34</v>
      </c>
      <c r="C781" s="12" t="s">
        <v>65</v>
      </c>
      <c r="D781" s="12" t="s">
        <v>102</v>
      </c>
      <c r="E781" s="12" t="s">
        <v>455</v>
      </c>
      <c r="F781" s="13" t="s">
        <v>456</v>
      </c>
      <c r="G781" s="12" t="s">
        <v>68</v>
      </c>
      <c r="H781" s="12" t="s">
        <v>457</v>
      </c>
      <c r="I781" s="12" t="s">
        <v>458</v>
      </c>
      <c r="J781" s="17" t="s">
        <v>2687</v>
      </c>
      <c r="K781" s="18">
        <v>2.0</v>
      </c>
      <c r="L781" s="20">
        <v>45953.0</v>
      </c>
      <c r="M781" s="17" t="s">
        <v>23</v>
      </c>
      <c r="N781" s="121" t="s">
        <v>2686</v>
      </c>
      <c r="O781" s="47">
        <v>8669973.0</v>
      </c>
      <c r="P781" s="21"/>
      <c r="Q781" s="17" t="s">
        <v>73</v>
      </c>
      <c r="R781" s="17" t="s">
        <v>74</v>
      </c>
      <c r="S781" s="17" t="s">
        <v>2202</v>
      </c>
      <c r="U781" s="24"/>
      <c r="V781" s="24"/>
      <c r="W781" s="18" t="s">
        <v>92</v>
      </c>
    </row>
    <row r="782">
      <c r="A782" s="11"/>
      <c r="B782" s="12" t="s">
        <v>34</v>
      </c>
      <c r="C782" s="12" t="s">
        <v>65</v>
      </c>
      <c r="D782" s="12" t="s">
        <v>102</v>
      </c>
      <c r="E782" s="12" t="s">
        <v>455</v>
      </c>
      <c r="F782" s="13" t="s">
        <v>456</v>
      </c>
      <c r="G782" s="12" t="s">
        <v>68</v>
      </c>
      <c r="H782" s="12" t="s">
        <v>457</v>
      </c>
      <c r="I782" s="12" t="s">
        <v>458</v>
      </c>
      <c r="J782" s="17" t="s">
        <v>2687</v>
      </c>
      <c r="K782" s="18">
        <v>3.0</v>
      </c>
      <c r="L782" s="20">
        <v>45979.0</v>
      </c>
      <c r="M782" s="17" t="s">
        <v>23</v>
      </c>
      <c r="N782" s="46" t="s">
        <v>2682</v>
      </c>
      <c r="O782" s="47">
        <v>7.4249465E7</v>
      </c>
      <c r="P782" s="21"/>
      <c r="Q782" s="17" t="s">
        <v>108</v>
      </c>
      <c r="R782" s="17" t="s">
        <v>109</v>
      </c>
      <c r="S782" s="17" t="s">
        <v>2198</v>
      </c>
      <c r="U782" s="24"/>
      <c r="V782" s="24"/>
      <c r="W782" s="18" t="s">
        <v>92</v>
      </c>
    </row>
    <row r="783">
      <c r="A783" s="11"/>
      <c r="B783" s="12" t="s">
        <v>34</v>
      </c>
      <c r="C783" s="12" t="s">
        <v>65</v>
      </c>
      <c r="D783" s="12" t="s">
        <v>102</v>
      </c>
      <c r="E783" s="12" t="s">
        <v>455</v>
      </c>
      <c r="F783" s="13" t="s">
        <v>456</v>
      </c>
      <c r="G783" s="12" t="s">
        <v>68</v>
      </c>
      <c r="H783" s="12" t="s">
        <v>457</v>
      </c>
      <c r="I783" s="12" t="s">
        <v>458</v>
      </c>
      <c r="J783" s="17" t="s">
        <v>2687</v>
      </c>
      <c r="K783" s="18">
        <v>3.0</v>
      </c>
      <c r="L783" s="20">
        <v>45979.0</v>
      </c>
      <c r="M783" s="17" t="s">
        <v>23</v>
      </c>
      <c r="N783" s="121" t="s">
        <v>2685</v>
      </c>
      <c r="O783" s="47">
        <v>9477522.0</v>
      </c>
      <c r="P783" s="21"/>
      <c r="Q783" s="17" t="s">
        <v>112</v>
      </c>
      <c r="R783" s="17" t="s">
        <v>113</v>
      </c>
      <c r="S783" s="17" t="s">
        <v>2220</v>
      </c>
      <c r="U783" s="24"/>
      <c r="V783" s="24"/>
      <c r="W783" s="18" t="s">
        <v>92</v>
      </c>
    </row>
    <row r="784">
      <c r="A784" s="11"/>
      <c r="B784" s="12" t="s">
        <v>34</v>
      </c>
      <c r="C784" s="12" t="s">
        <v>65</v>
      </c>
      <c r="D784" s="12" t="s">
        <v>102</v>
      </c>
      <c r="E784" s="12" t="s">
        <v>455</v>
      </c>
      <c r="F784" s="13" t="s">
        <v>456</v>
      </c>
      <c r="G784" s="12" t="s">
        <v>68</v>
      </c>
      <c r="H784" s="12" t="s">
        <v>457</v>
      </c>
      <c r="I784" s="12" t="s">
        <v>458</v>
      </c>
      <c r="J784" s="17" t="s">
        <v>2687</v>
      </c>
      <c r="K784" s="18">
        <v>3.0</v>
      </c>
      <c r="L784" s="20">
        <v>45979.0</v>
      </c>
      <c r="M784" s="17" t="s">
        <v>23</v>
      </c>
      <c r="N784" s="121" t="s">
        <v>2686</v>
      </c>
      <c r="O784" s="47">
        <v>8669973.0</v>
      </c>
      <c r="P784" s="21"/>
      <c r="Q784" s="17" t="s">
        <v>73</v>
      </c>
      <c r="R784" s="17" t="s">
        <v>74</v>
      </c>
      <c r="S784" s="17" t="s">
        <v>2202</v>
      </c>
      <c r="U784" s="24"/>
      <c r="V784" s="24"/>
      <c r="W784" s="18" t="s">
        <v>92</v>
      </c>
    </row>
    <row r="785">
      <c r="A785" s="11"/>
      <c r="B785" s="12" t="s">
        <v>43</v>
      </c>
      <c r="C785" s="12" t="s">
        <v>65</v>
      </c>
      <c r="D785" s="12" t="s">
        <v>43</v>
      </c>
      <c r="E785" s="12" t="s">
        <v>203</v>
      </c>
      <c r="F785" s="13" t="s">
        <v>204</v>
      </c>
      <c r="G785" s="12" t="s">
        <v>68</v>
      </c>
      <c r="H785" s="12" t="s">
        <v>205</v>
      </c>
      <c r="I785" s="12" t="s">
        <v>206</v>
      </c>
      <c r="J785" s="17" t="s">
        <v>2169</v>
      </c>
      <c r="K785" s="18" t="s">
        <v>2170</v>
      </c>
      <c r="L785" s="20">
        <v>45888.0</v>
      </c>
      <c r="M785" s="17" t="s">
        <v>28</v>
      </c>
      <c r="N785" s="17" t="s">
        <v>3271</v>
      </c>
      <c r="O785" s="17">
        <v>3.2729561E7</v>
      </c>
      <c r="P785" s="17" t="s">
        <v>3272</v>
      </c>
      <c r="Q785" s="17" t="s">
        <v>112</v>
      </c>
      <c r="S785" s="17" t="s">
        <v>3273</v>
      </c>
      <c r="U785" s="24"/>
      <c r="V785" s="24"/>
      <c r="W785" s="18" t="s">
        <v>76</v>
      </c>
    </row>
    <row r="786">
      <c r="A786" s="11"/>
      <c r="B786" s="12" t="s">
        <v>43</v>
      </c>
      <c r="C786" s="12" t="s">
        <v>65</v>
      </c>
      <c r="D786" s="12" t="s">
        <v>43</v>
      </c>
      <c r="E786" s="12" t="s">
        <v>203</v>
      </c>
      <c r="F786" s="13" t="s">
        <v>204</v>
      </c>
      <c r="G786" s="12" t="s">
        <v>68</v>
      </c>
      <c r="H786" s="12" t="s">
        <v>205</v>
      </c>
      <c r="I786" s="12" t="s">
        <v>206</v>
      </c>
      <c r="J786" s="17" t="s">
        <v>2169</v>
      </c>
      <c r="K786" s="18" t="s">
        <v>2170</v>
      </c>
      <c r="L786" s="20">
        <v>45888.0</v>
      </c>
      <c r="M786" s="17" t="s">
        <v>28</v>
      </c>
      <c r="N786" s="17" t="s">
        <v>3274</v>
      </c>
      <c r="O786" s="17">
        <v>7.2558909E7</v>
      </c>
      <c r="P786" s="17" t="s">
        <v>3275</v>
      </c>
      <c r="Q786" s="17" t="s">
        <v>108</v>
      </c>
      <c r="S786" s="17" t="s">
        <v>3276</v>
      </c>
      <c r="U786" s="24"/>
      <c r="V786" s="24"/>
      <c r="W786" s="18" t="s">
        <v>76</v>
      </c>
    </row>
    <row r="787">
      <c r="A787" s="11"/>
      <c r="B787" s="12" t="s">
        <v>43</v>
      </c>
      <c r="C787" s="12" t="s">
        <v>65</v>
      </c>
      <c r="D787" s="12" t="s">
        <v>43</v>
      </c>
      <c r="E787" s="12" t="s">
        <v>203</v>
      </c>
      <c r="F787" s="13" t="s">
        <v>204</v>
      </c>
      <c r="G787" s="12" t="s">
        <v>68</v>
      </c>
      <c r="H787" s="12" t="s">
        <v>205</v>
      </c>
      <c r="I787" s="12" t="s">
        <v>206</v>
      </c>
      <c r="J787" s="17" t="s">
        <v>2169</v>
      </c>
      <c r="K787" s="18" t="s">
        <v>2170</v>
      </c>
      <c r="L787" s="20">
        <v>45888.0</v>
      </c>
      <c r="M787" s="17" t="s">
        <v>28</v>
      </c>
      <c r="N787" s="17" t="s">
        <v>3277</v>
      </c>
      <c r="O787" s="17">
        <v>7.3586525E7</v>
      </c>
      <c r="P787" s="17" t="s">
        <v>3278</v>
      </c>
      <c r="Q787" s="17" t="s">
        <v>112</v>
      </c>
      <c r="S787" s="17" t="s">
        <v>3279</v>
      </c>
      <c r="U787" s="24"/>
      <c r="V787" s="24"/>
      <c r="W787" s="18" t="s">
        <v>76</v>
      </c>
    </row>
    <row r="788">
      <c r="A788" s="11"/>
      <c r="B788" s="12" t="s">
        <v>43</v>
      </c>
      <c r="C788" s="12" t="s">
        <v>65</v>
      </c>
      <c r="D788" s="12" t="s">
        <v>43</v>
      </c>
      <c r="E788" s="12" t="s">
        <v>203</v>
      </c>
      <c r="F788" s="13" t="s">
        <v>204</v>
      </c>
      <c r="G788" s="12" t="s">
        <v>68</v>
      </c>
      <c r="H788" s="12" t="s">
        <v>205</v>
      </c>
      <c r="I788" s="12" t="s">
        <v>206</v>
      </c>
      <c r="J788" s="17" t="s">
        <v>2169</v>
      </c>
      <c r="K788" s="18" t="s">
        <v>2170</v>
      </c>
      <c r="L788" s="20">
        <v>45888.0</v>
      </c>
      <c r="M788" s="17" t="s">
        <v>28</v>
      </c>
      <c r="N788" s="17" t="s">
        <v>3280</v>
      </c>
      <c r="O788" s="17">
        <v>7.6912718E7</v>
      </c>
      <c r="P788" s="17" t="s">
        <v>3281</v>
      </c>
      <c r="Q788" s="17" t="s">
        <v>108</v>
      </c>
      <c r="S788" s="17" t="s">
        <v>3282</v>
      </c>
      <c r="U788" s="24"/>
      <c r="V788" s="24"/>
      <c r="W788" s="18" t="s">
        <v>76</v>
      </c>
    </row>
    <row r="789">
      <c r="A789" s="11"/>
      <c r="B789" s="12" t="s">
        <v>43</v>
      </c>
      <c r="C789" s="12" t="s">
        <v>65</v>
      </c>
      <c r="D789" s="12" t="s">
        <v>43</v>
      </c>
      <c r="E789" s="12" t="s">
        <v>203</v>
      </c>
      <c r="F789" s="13" t="s">
        <v>204</v>
      </c>
      <c r="G789" s="12" t="s">
        <v>68</v>
      </c>
      <c r="H789" s="12" t="s">
        <v>205</v>
      </c>
      <c r="I789" s="12" t="s">
        <v>206</v>
      </c>
      <c r="J789" s="17" t="s">
        <v>2169</v>
      </c>
      <c r="K789" s="18" t="s">
        <v>2270</v>
      </c>
      <c r="L789" s="20">
        <v>45888.0</v>
      </c>
      <c r="M789" s="17" t="s">
        <v>28</v>
      </c>
      <c r="N789" s="17" t="s">
        <v>3283</v>
      </c>
      <c r="Q789" s="2"/>
      <c r="U789" s="24"/>
      <c r="V789" s="24"/>
      <c r="W789" s="18" t="s">
        <v>76</v>
      </c>
    </row>
    <row r="790">
      <c r="A790" s="11"/>
      <c r="B790" s="12" t="s">
        <v>7</v>
      </c>
      <c r="C790" s="12" t="s">
        <v>37</v>
      </c>
      <c r="D790" s="12" t="s">
        <v>38</v>
      </c>
      <c r="E790" s="12" t="s">
        <v>38</v>
      </c>
      <c r="F790" s="13" t="s">
        <v>42</v>
      </c>
      <c r="G790" s="12" t="s">
        <v>68</v>
      </c>
      <c r="H790" s="12" t="s">
        <v>584</v>
      </c>
      <c r="I790" s="12" t="s">
        <v>585</v>
      </c>
      <c r="J790" s="17" t="s">
        <v>2779</v>
      </c>
      <c r="K790" s="18" t="s">
        <v>2780</v>
      </c>
      <c r="L790" s="20">
        <v>45889.0</v>
      </c>
      <c r="M790" s="17" t="s">
        <v>28</v>
      </c>
      <c r="N790" s="17" t="s">
        <v>2221</v>
      </c>
      <c r="O790" s="17">
        <v>4.8572692E7</v>
      </c>
      <c r="P790" s="17" t="s">
        <v>2222</v>
      </c>
      <c r="Q790" s="17" t="s">
        <v>108</v>
      </c>
      <c r="R790" s="17" t="s">
        <v>109</v>
      </c>
      <c r="S790" s="17" t="s">
        <v>2223</v>
      </c>
      <c r="U790" s="24"/>
      <c r="V790" s="24"/>
      <c r="W790" s="18" t="s">
        <v>588</v>
      </c>
    </row>
    <row r="791">
      <c r="A791" s="11"/>
      <c r="B791" s="12" t="s">
        <v>7</v>
      </c>
      <c r="C791" s="12" t="s">
        <v>37</v>
      </c>
      <c r="D791" s="12" t="s">
        <v>38</v>
      </c>
      <c r="E791" s="12" t="s">
        <v>38</v>
      </c>
      <c r="F791" s="13" t="s">
        <v>42</v>
      </c>
      <c r="G791" s="12" t="s">
        <v>68</v>
      </c>
      <c r="H791" s="12" t="s">
        <v>584</v>
      </c>
      <c r="I791" s="12" t="s">
        <v>585</v>
      </c>
      <c r="J791" s="17" t="s">
        <v>2779</v>
      </c>
      <c r="K791" s="18" t="s">
        <v>2780</v>
      </c>
      <c r="L791" s="20">
        <v>45889.0</v>
      </c>
      <c r="M791" s="17" t="s">
        <v>28</v>
      </c>
      <c r="N791" s="17" t="s">
        <v>3284</v>
      </c>
      <c r="O791" s="17">
        <v>7.715107E7</v>
      </c>
      <c r="P791" s="17" t="s">
        <v>3285</v>
      </c>
      <c r="Q791" s="17" t="s">
        <v>108</v>
      </c>
      <c r="R791" s="17" t="s">
        <v>109</v>
      </c>
      <c r="S791" s="17" t="s">
        <v>3286</v>
      </c>
      <c r="U791" s="24"/>
      <c r="V791" s="24"/>
      <c r="W791" s="18" t="s">
        <v>588</v>
      </c>
    </row>
    <row r="792">
      <c r="A792" s="11"/>
      <c r="B792" s="12" t="s">
        <v>7</v>
      </c>
      <c r="C792" s="12" t="s">
        <v>37</v>
      </c>
      <c r="D792" s="12" t="s">
        <v>38</v>
      </c>
      <c r="E792" s="12" t="s">
        <v>38</v>
      </c>
      <c r="F792" s="13" t="s">
        <v>42</v>
      </c>
      <c r="G792" s="12" t="s">
        <v>68</v>
      </c>
      <c r="H792" s="12" t="s">
        <v>584</v>
      </c>
      <c r="I792" s="12" t="s">
        <v>585</v>
      </c>
      <c r="J792" s="17" t="s">
        <v>2779</v>
      </c>
      <c r="K792" s="18" t="s">
        <v>2780</v>
      </c>
      <c r="L792" s="20">
        <v>45889.0</v>
      </c>
      <c r="M792" s="17" t="s">
        <v>28</v>
      </c>
      <c r="N792" s="17" t="s">
        <v>3287</v>
      </c>
      <c r="O792" s="17">
        <v>7.6636299E7</v>
      </c>
      <c r="P792" s="17" t="s">
        <v>2228</v>
      </c>
      <c r="Q792" s="17" t="s">
        <v>108</v>
      </c>
      <c r="R792" s="17" t="s">
        <v>109</v>
      </c>
      <c r="S792" s="17" t="s">
        <v>2229</v>
      </c>
      <c r="U792" s="24"/>
      <c r="V792" s="24"/>
      <c r="W792" s="18" t="s">
        <v>588</v>
      </c>
    </row>
    <row r="793">
      <c r="A793" s="11"/>
      <c r="B793" s="12" t="s">
        <v>7</v>
      </c>
      <c r="C793" s="12" t="s">
        <v>37</v>
      </c>
      <c r="D793" s="12" t="s">
        <v>38</v>
      </c>
      <c r="E793" s="12" t="s">
        <v>38</v>
      </c>
      <c r="F793" s="13" t="s">
        <v>42</v>
      </c>
      <c r="G793" s="12" t="s">
        <v>68</v>
      </c>
      <c r="H793" s="12" t="s">
        <v>584</v>
      </c>
      <c r="I793" s="12" t="s">
        <v>585</v>
      </c>
      <c r="J793" s="17" t="s">
        <v>2779</v>
      </c>
      <c r="K793" s="18" t="s">
        <v>2780</v>
      </c>
      <c r="L793" s="20">
        <v>45889.0</v>
      </c>
      <c r="M793" s="17" t="s">
        <v>28</v>
      </c>
      <c r="N793" s="17" t="s">
        <v>3288</v>
      </c>
      <c r="O793" s="17">
        <v>3.1925876E7</v>
      </c>
      <c r="P793" s="17" t="s">
        <v>3289</v>
      </c>
      <c r="Q793" s="17" t="s">
        <v>108</v>
      </c>
      <c r="R793" s="17" t="s">
        <v>109</v>
      </c>
      <c r="S793" s="17" t="s">
        <v>3290</v>
      </c>
      <c r="U793" s="24"/>
      <c r="V793" s="24"/>
      <c r="W793" s="18" t="s">
        <v>588</v>
      </c>
    </row>
    <row r="794">
      <c r="A794" s="11"/>
      <c r="B794" s="12" t="s">
        <v>7</v>
      </c>
      <c r="C794" s="12" t="s">
        <v>37</v>
      </c>
      <c r="D794" s="12" t="s">
        <v>38</v>
      </c>
      <c r="E794" s="12" t="s">
        <v>38</v>
      </c>
      <c r="F794" s="13" t="s">
        <v>42</v>
      </c>
      <c r="G794" s="12" t="s">
        <v>68</v>
      </c>
      <c r="H794" s="12" t="s">
        <v>584</v>
      </c>
      <c r="I794" s="12" t="s">
        <v>585</v>
      </c>
      <c r="J794" s="17" t="s">
        <v>2779</v>
      </c>
      <c r="K794" s="18" t="s">
        <v>2780</v>
      </c>
      <c r="L794" s="20">
        <v>45889.0</v>
      </c>
      <c r="M794" s="17" t="s">
        <v>23</v>
      </c>
      <c r="N794" s="17" t="s">
        <v>3288</v>
      </c>
      <c r="O794" s="17">
        <v>3.1925876E7</v>
      </c>
      <c r="Q794" s="17" t="s">
        <v>108</v>
      </c>
      <c r="R794" s="17" t="s">
        <v>109</v>
      </c>
      <c r="S794" s="17" t="s">
        <v>2198</v>
      </c>
      <c r="U794" s="24"/>
      <c r="V794" s="24"/>
      <c r="W794" s="18" t="s">
        <v>588</v>
      </c>
    </row>
    <row r="795">
      <c r="A795" s="11"/>
      <c r="B795" s="12" t="s">
        <v>7</v>
      </c>
      <c r="C795" s="12" t="s">
        <v>8</v>
      </c>
      <c r="D795" s="12" t="s">
        <v>24</v>
      </c>
      <c r="E795" s="12" t="s">
        <v>32</v>
      </c>
      <c r="F795" s="13" t="s">
        <v>30</v>
      </c>
      <c r="G795" s="12" t="s">
        <v>68</v>
      </c>
      <c r="H795" s="12" t="s">
        <v>573</v>
      </c>
      <c r="I795" s="12" t="s">
        <v>574</v>
      </c>
      <c r="J795" s="17" t="s">
        <v>2779</v>
      </c>
      <c r="K795" s="18" t="s">
        <v>2780</v>
      </c>
      <c r="L795" s="20">
        <v>45881.0</v>
      </c>
      <c r="M795" s="17" t="s">
        <v>28</v>
      </c>
      <c r="N795" s="17" t="s">
        <v>2171</v>
      </c>
      <c r="O795" s="17">
        <v>7.3014611E7</v>
      </c>
      <c r="P795" s="17" t="s">
        <v>1785</v>
      </c>
      <c r="Q795" s="17" t="s">
        <v>112</v>
      </c>
      <c r="R795" s="21" t="s">
        <v>2055</v>
      </c>
      <c r="S795" s="17" t="s">
        <v>3291</v>
      </c>
      <c r="U795" s="24"/>
      <c r="V795" s="24"/>
      <c r="W795" s="18" t="s">
        <v>577</v>
      </c>
    </row>
    <row r="796">
      <c r="A796" s="11"/>
      <c r="B796" s="12" t="s">
        <v>7</v>
      </c>
      <c r="C796" s="12" t="s">
        <v>8</v>
      </c>
      <c r="D796" s="12" t="s">
        <v>24</v>
      </c>
      <c r="E796" s="12" t="s">
        <v>32</v>
      </c>
      <c r="F796" s="13" t="s">
        <v>30</v>
      </c>
      <c r="G796" s="12" t="s">
        <v>68</v>
      </c>
      <c r="H796" s="12" t="s">
        <v>573</v>
      </c>
      <c r="I796" s="12" t="s">
        <v>574</v>
      </c>
      <c r="J796" s="17" t="s">
        <v>2779</v>
      </c>
      <c r="K796" s="18" t="s">
        <v>2780</v>
      </c>
      <c r="L796" s="20">
        <v>45881.0</v>
      </c>
      <c r="M796" s="17" t="s">
        <v>28</v>
      </c>
      <c r="N796" s="21" t="s">
        <v>3292</v>
      </c>
      <c r="O796" s="17">
        <v>4.5219188E7</v>
      </c>
      <c r="P796" s="21" t="s">
        <v>1782</v>
      </c>
      <c r="Q796" s="17" t="s">
        <v>108</v>
      </c>
      <c r="R796" s="21" t="s">
        <v>2055</v>
      </c>
      <c r="S796" s="17" t="s">
        <v>3293</v>
      </c>
      <c r="U796" s="24"/>
      <c r="V796" s="24"/>
      <c r="W796" s="18" t="s">
        <v>577</v>
      </c>
    </row>
    <row r="797">
      <c r="A797" s="11"/>
      <c r="B797" s="12" t="s">
        <v>7</v>
      </c>
      <c r="C797" s="12" t="s">
        <v>8</v>
      </c>
      <c r="D797" s="12" t="s">
        <v>24</v>
      </c>
      <c r="E797" s="12" t="s">
        <v>32</v>
      </c>
      <c r="F797" s="13" t="s">
        <v>30</v>
      </c>
      <c r="G797" s="12" t="s">
        <v>68</v>
      </c>
      <c r="H797" s="12" t="s">
        <v>573</v>
      </c>
      <c r="I797" s="12" t="s">
        <v>574</v>
      </c>
      <c r="J797" s="17" t="s">
        <v>2779</v>
      </c>
      <c r="K797" s="18" t="s">
        <v>2780</v>
      </c>
      <c r="L797" s="20">
        <v>45881.0</v>
      </c>
      <c r="M797" s="17" t="s">
        <v>28</v>
      </c>
      <c r="N797" s="21" t="s">
        <v>3294</v>
      </c>
      <c r="O797" s="17">
        <v>7.6539015E7</v>
      </c>
      <c r="P797" s="21" t="s">
        <v>1786</v>
      </c>
      <c r="Q797" s="17" t="s">
        <v>73</v>
      </c>
      <c r="R797" s="21" t="s">
        <v>2055</v>
      </c>
      <c r="S797" s="17" t="s">
        <v>3295</v>
      </c>
      <c r="U797" s="24"/>
      <c r="V797" s="24"/>
      <c r="W797" s="18" t="s">
        <v>577</v>
      </c>
    </row>
    <row r="798">
      <c r="A798" s="11"/>
      <c r="B798" s="12" t="s">
        <v>7</v>
      </c>
      <c r="C798" s="12" t="s">
        <v>8</v>
      </c>
      <c r="D798" s="12" t="s">
        <v>24</v>
      </c>
      <c r="E798" s="12" t="s">
        <v>32</v>
      </c>
      <c r="F798" s="13" t="s">
        <v>30</v>
      </c>
      <c r="G798" s="12" t="s">
        <v>68</v>
      </c>
      <c r="H798" s="12" t="s">
        <v>573</v>
      </c>
      <c r="I798" s="12" t="s">
        <v>574</v>
      </c>
      <c r="J798" s="17" t="s">
        <v>2779</v>
      </c>
      <c r="K798" s="18" t="s">
        <v>2780</v>
      </c>
      <c r="L798" s="20">
        <v>45881.0</v>
      </c>
      <c r="M798" s="17" t="s">
        <v>28</v>
      </c>
      <c r="N798" s="17" t="s">
        <v>3296</v>
      </c>
      <c r="O798" s="17">
        <v>7.5667634E7</v>
      </c>
      <c r="P798" s="17" t="s">
        <v>2056</v>
      </c>
      <c r="Q798" s="17" t="s">
        <v>112</v>
      </c>
      <c r="R798" s="21" t="s">
        <v>2055</v>
      </c>
      <c r="S798" s="17" t="s">
        <v>3297</v>
      </c>
      <c r="U798" s="24"/>
      <c r="V798" s="24"/>
      <c r="W798" s="18" t="s">
        <v>577</v>
      </c>
    </row>
    <row r="799">
      <c r="A799" s="11"/>
      <c r="B799" s="12" t="s">
        <v>7</v>
      </c>
      <c r="C799" s="12" t="s">
        <v>8</v>
      </c>
      <c r="D799" s="12" t="s">
        <v>24</v>
      </c>
      <c r="E799" s="12" t="s">
        <v>29</v>
      </c>
      <c r="F799" s="13" t="s">
        <v>27</v>
      </c>
      <c r="G799" s="12" t="s">
        <v>68</v>
      </c>
      <c r="H799" s="12" t="s">
        <v>801</v>
      </c>
      <c r="I799" s="12" t="s">
        <v>802</v>
      </c>
      <c r="J799" s="17" t="s">
        <v>2779</v>
      </c>
      <c r="K799" s="18" t="s">
        <v>2780</v>
      </c>
      <c r="L799" s="20">
        <v>45883.0</v>
      </c>
      <c r="M799" s="17" t="s">
        <v>23</v>
      </c>
      <c r="N799" s="21" t="s">
        <v>2369</v>
      </c>
      <c r="O799" s="122">
        <v>4.7102534E7</v>
      </c>
      <c r="P799" s="21"/>
      <c r="Q799" s="21" t="s">
        <v>73</v>
      </c>
      <c r="R799" s="21" t="s">
        <v>2055</v>
      </c>
      <c r="S799" s="17" t="s">
        <v>2370</v>
      </c>
      <c r="U799" s="24"/>
      <c r="V799" s="24"/>
      <c r="W799" s="18" t="s">
        <v>577</v>
      </c>
    </row>
    <row r="800">
      <c r="A800" s="11"/>
      <c r="B800" s="12" t="s">
        <v>7</v>
      </c>
      <c r="C800" s="12" t="s">
        <v>8</v>
      </c>
      <c r="D800" s="12" t="s">
        <v>24</v>
      </c>
      <c r="E800" s="12" t="s">
        <v>29</v>
      </c>
      <c r="F800" s="13" t="s">
        <v>27</v>
      </c>
      <c r="G800" s="12" t="s">
        <v>68</v>
      </c>
      <c r="H800" s="12" t="s">
        <v>801</v>
      </c>
      <c r="I800" s="12" t="s">
        <v>802</v>
      </c>
      <c r="J800" s="17" t="s">
        <v>2779</v>
      </c>
      <c r="K800" s="18" t="s">
        <v>2780</v>
      </c>
      <c r="L800" s="20">
        <v>45883.0</v>
      </c>
      <c r="M800" s="17" t="s">
        <v>28</v>
      </c>
      <c r="N800" s="21" t="s">
        <v>2365</v>
      </c>
      <c r="O800" s="122">
        <v>4.8090717E7</v>
      </c>
      <c r="P800" s="21" t="s">
        <v>1792</v>
      </c>
      <c r="Q800" s="21" t="s">
        <v>108</v>
      </c>
      <c r="R800" s="21" t="s">
        <v>2055</v>
      </c>
      <c r="S800" s="17" t="s">
        <v>2366</v>
      </c>
      <c r="U800" s="24"/>
      <c r="V800" s="24"/>
      <c r="W800" s="18" t="s">
        <v>577</v>
      </c>
    </row>
    <row r="801">
      <c r="A801" s="11"/>
      <c r="B801" s="12" t="s">
        <v>7</v>
      </c>
      <c r="C801" s="12" t="s">
        <v>8</v>
      </c>
      <c r="D801" s="12" t="s">
        <v>24</v>
      </c>
      <c r="E801" s="12" t="s">
        <v>29</v>
      </c>
      <c r="F801" s="13" t="s">
        <v>27</v>
      </c>
      <c r="G801" s="12" t="s">
        <v>68</v>
      </c>
      <c r="H801" s="12" t="s">
        <v>801</v>
      </c>
      <c r="I801" s="12" t="s">
        <v>802</v>
      </c>
      <c r="J801" s="17" t="s">
        <v>2779</v>
      </c>
      <c r="K801" s="18" t="s">
        <v>2780</v>
      </c>
      <c r="L801" s="20">
        <v>45883.0</v>
      </c>
      <c r="M801" s="17" t="s">
        <v>28</v>
      </c>
      <c r="N801" s="21" t="s">
        <v>2367</v>
      </c>
      <c r="O801" s="122">
        <v>4.6024435E7</v>
      </c>
      <c r="P801" s="48" t="s">
        <v>1794</v>
      </c>
      <c r="Q801" s="21" t="s">
        <v>112</v>
      </c>
      <c r="R801" s="21" t="s">
        <v>2055</v>
      </c>
      <c r="S801" s="17" t="s">
        <v>2368</v>
      </c>
      <c r="U801" s="24"/>
      <c r="V801" s="24"/>
      <c r="W801" s="18" t="s">
        <v>577</v>
      </c>
    </row>
    <row r="802">
      <c r="A802" s="11"/>
      <c r="B802" s="12" t="s">
        <v>7</v>
      </c>
      <c r="C802" s="12" t="s">
        <v>8</v>
      </c>
      <c r="D802" s="12" t="s">
        <v>24</v>
      </c>
      <c r="E802" s="12" t="s">
        <v>29</v>
      </c>
      <c r="F802" s="13" t="s">
        <v>27</v>
      </c>
      <c r="G802" s="12" t="s">
        <v>68</v>
      </c>
      <c r="H802" s="12" t="s">
        <v>801</v>
      </c>
      <c r="I802" s="12" t="s">
        <v>802</v>
      </c>
      <c r="J802" s="17" t="s">
        <v>2779</v>
      </c>
      <c r="K802" s="18" t="s">
        <v>2780</v>
      </c>
      <c r="L802" s="20">
        <v>45883.0</v>
      </c>
      <c r="M802" s="17" t="s">
        <v>28</v>
      </c>
      <c r="N802" s="21" t="s">
        <v>2361</v>
      </c>
      <c r="O802" s="122">
        <v>4.5083577E7</v>
      </c>
      <c r="P802" s="48" t="s">
        <v>1793</v>
      </c>
      <c r="Q802" s="21" t="s">
        <v>108</v>
      </c>
      <c r="R802" s="21" t="s">
        <v>2055</v>
      </c>
      <c r="S802" s="17" t="s">
        <v>2362</v>
      </c>
      <c r="U802" s="24"/>
      <c r="V802" s="24"/>
      <c r="W802" s="18" t="s">
        <v>577</v>
      </c>
    </row>
    <row r="803">
      <c r="A803" s="11"/>
      <c r="B803" s="12" t="s">
        <v>7</v>
      </c>
      <c r="C803" s="12" t="s">
        <v>8</v>
      </c>
      <c r="D803" s="12" t="s">
        <v>24</v>
      </c>
      <c r="E803" s="12" t="s">
        <v>25</v>
      </c>
      <c r="F803" s="13" t="s">
        <v>26</v>
      </c>
      <c r="G803" s="12" t="s">
        <v>68</v>
      </c>
      <c r="H803" s="12" t="s">
        <v>994</v>
      </c>
      <c r="I803" s="12" t="s">
        <v>995</v>
      </c>
      <c r="J803" s="17" t="s">
        <v>2779</v>
      </c>
      <c r="K803" s="18" t="s">
        <v>2780</v>
      </c>
      <c r="L803" s="20">
        <v>45888.0</v>
      </c>
      <c r="M803" s="17" t="s">
        <v>23</v>
      </c>
      <c r="N803" s="17" t="s">
        <v>3298</v>
      </c>
      <c r="O803" s="17">
        <v>3.1923023E7</v>
      </c>
      <c r="Q803" s="17" t="s">
        <v>73</v>
      </c>
      <c r="R803" s="17" t="s">
        <v>2004</v>
      </c>
      <c r="S803" s="17" t="s">
        <v>3299</v>
      </c>
      <c r="U803" s="24"/>
      <c r="V803" s="24"/>
      <c r="W803" s="18" t="s">
        <v>577</v>
      </c>
    </row>
    <row r="804">
      <c r="A804" s="11"/>
      <c r="B804" s="12" t="s">
        <v>7</v>
      </c>
      <c r="C804" s="12" t="s">
        <v>8</v>
      </c>
      <c r="D804" s="12" t="s">
        <v>24</v>
      </c>
      <c r="E804" s="12" t="s">
        <v>25</v>
      </c>
      <c r="F804" s="13" t="s">
        <v>26</v>
      </c>
      <c r="G804" s="12" t="s">
        <v>68</v>
      </c>
      <c r="H804" s="12" t="s">
        <v>994</v>
      </c>
      <c r="I804" s="12" t="s">
        <v>995</v>
      </c>
      <c r="J804" s="17" t="s">
        <v>2779</v>
      </c>
      <c r="K804" s="18" t="s">
        <v>2780</v>
      </c>
      <c r="L804" s="20">
        <v>45888.0</v>
      </c>
      <c r="M804" s="17" t="s">
        <v>23</v>
      </c>
      <c r="N804" s="17" t="s">
        <v>3300</v>
      </c>
      <c r="O804" s="17">
        <v>4.5803595E7</v>
      </c>
      <c r="Q804" s="17" t="s">
        <v>112</v>
      </c>
      <c r="R804" s="17" t="s">
        <v>2028</v>
      </c>
      <c r="S804" s="17" t="s">
        <v>3301</v>
      </c>
      <c r="U804" s="24"/>
      <c r="V804" s="24"/>
      <c r="W804" s="18" t="s">
        <v>577</v>
      </c>
    </row>
    <row r="805">
      <c r="A805" s="11"/>
      <c r="B805" s="12" t="s">
        <v>7</v>
      </c>
      <c r="C805" s="12" t="s">
        <v>8</v>
      </c>
      <c r="D805" s="12" t="s">
        <v>24</v>
      </c>
      <c r="E805" s="12" t="s">
        <v>25</v>
      </c>
      <c r="F805" s="13" t="s">
        <v>26</v>
      </c>
      <c r="G805" s="12" t="s">
        <v>68</v>
      </c>
      <c r="H805" s="12" t="s">
        <v>994</v>
      </c>
      <c r="I805" s="12" t="s">
        <v>995</v>
      </c>
      <c r="J805" s="17" t="s">
        <v>2779</v>
      </c>
      <c r="K805" s="18" t="s">
        <v>2780</v>
      </c>
      <c r="L805" s="20">
        <v>45888.0</v>
      </c>
      <c r="M805" s="17" t="s">
        <v>23</v>
      </c>
      <c r="N805" s="17" t="s">
        <v>3302</v>
      </c>
      <c r="O805" s="17">
        <v>3.2657886E7</v>
      </c>
      <c r="Q805" s="17" t="s">
        <v>108</v>
      </c>
      <c r="R805" s="17" t="s">
        <v>2016</v>
      </c>
      <c r="S805" s="17" t="s">
        <v>2951</v>
      </c>
      <c r="U805" s="24"/>
      <c r="V805" s="24"/>
      <c r="W805" s="18" t="s">
        <v>577</v>
      </c>
    </row>
    <row r="806">
      <c r="A806" s="11"/>
      <c r="B806" s="12" t="s">
        <v>7</v>
      </c>
      <c r="C806" s="12" t="s">
        <v>8</v>
      </c>
      <c r="D806" s="12" t="s">
        <v>24</v>
      </c>
      <c r="E806" s="12" t="s">
        <v>25</v>
      </c>
      <c r="F806" s="13" t="s">
        <v>26</v>
      </c>
      <c r="G806" s="12" t="s">
        <v>68</v>
      </c>
      <c r="H806" s="12" t="s">
        <v>994</v>
      </c>
      <c r="I806" s="12" t="s">
        <v>995</v>
      </c>
      <c r="J806" s="17" t="s">
        <v>2779</v>
      </c>
      <c r="K806" s="18" t="s">
        <v>2780</v>
      </c>
      <c r="L806" s="20">
        <v>45888.0</v>
      </c>
      <c r="M806" s="17" t="s">
        <v>23</v>
      </c>
      <c r="N806" s="17" t="s">
        <v>3303</v>
      </c>
      <c r="O806" s="17">
        <v>4.4229718E7</v>
      </c>
      <c r="Q806" s="17" t="s">
        <v>73</v>
      </c>
      <c r="R806" s="17" t="s">
        <v>3304</v>
      </c>
      <c r="S806" s="17" t="s">
        <v>3305</v>
      </c>
      <c r="U806" s="18"/>
      <c r="V806" s="18" t="s">
        <v>3306</v>
      </c>
      <c r="W806" s="18" t="s">
        <v>577</v>
      </c>
    </row>
    <row r="807">
      <c r="A807" s="11"/>
      <c r="B807" s="12" t="s">
        <v>7</v>
      </c>
      <c r="C807" s="12" t="s">
        <v>8</v>
      </c>
      <c r="D807" s="12" t="s">
        <v>24</v>
      </c>
      <c r="E807" s="12" t="s">
        <v>25</v>
      </c>
      <c r="F807" s="13" t="s">
        <v>50</v>
      </c>
      <c r="G807" s="12" t="s">
        <v>86</v>
      </c>
      <c r="H807" s="12" t="s">
        <v>3307</v>
      </c>
      <c r="I807" s="12"/>
      <c r="J807" s="17" t="s">
        <v>2779</v>
      </c>
      <c r="K807" s="18" t="s">
        <v>2780</v>
      </c>
      <c r="L807" s="20">
        <v>45888.0</v>
      </c>
      <c r="M807" s="17" t="s">
        <v>23</v>
      </c>
      <c r="N807" s="17" t="s">
        <v>3308</v>
      </c>
      <c r="O807" s="17">
        <v>7262255.0</v>
      </c>
      <c r="Q807" s="17" t="s">
        <v>73</v>
      </c>
      <c r="R807" s="17" t="s">
        <v>3309</v>
      </c>
      <c r="S807" s="17" t="s">
        <v>3310</v>
      </c>
      <c r="U807" s="48"/>
      <c r="V807" s="48" t="s">
        <v>3311</v>
      </c>
      <c r="W807" s="18" t="s">
        <v>577</v>
      </c>
    </row>
    <row r="808">
      <c r="A808" s="11"/>
      <c r="B808" s="12" t="s">
        <v>7</v>
      </c>
      <c r="C808" s="12" t="s">
        <v>8</v>
      </c>
      <c r="D808" s="12" t="s">
        <v>24</v>
      </c>
      <c r="E808" s="12" t="s">
        <v>25</v>
      </c>
      <c r="F808" s="13" t="s">
        <v>26</v>
      </c>
      <c r="G808" s="12" t="s">
        <v>68</v>
      </c>
      <c r="H808" s="12" t="s">
        <v>994</v>
      </c>
      <c r="I808" s="12" t="s">
        <v>995</v>
      </c>
      <c r="J808" s="17" t="s">
        <v>2779</v>
      </c>
      <c r="K808" s="18" t="s">
        <v>2780</v>
      </c>
      <c r="L808" s="20">
        <v>45888.0</v>
      </c>
      <c r="M808" s="17" t="s">
        <v>28</v>
      </c>
      <c r="N808" s="17" t="s">
        <v>2944</v>
      </c>
      <c r="O808" s="17">
        <v>4.1830179E7</v>
      </c>
      <c r="P808" s="17" t="s">
        <v>2007</v>
      </c>
      <c r="Q808" s="17" t="s">
        <v>73</v>
      </c>
      <c r="R808" s="17" t="s">
        <v>2004</v>
      </c>
      <c r="S808" s="17" t="s">
        <v>2945</v>
      </c>
      <c r="U808" s="24"/>
      <c r="V808" s="24"/>
      <c r="W808" s="18" t="s">
        <v>577</v>
      </c>
    </row>
    <row r="809">
      <c r="A809" s="11"/>
      <c r="B809" s="12" t="s">
        <v>7</v>
      </c>
      <c r="C809" s="12" t="s">
        <v>8</v>
      </c>
      <c r="D809" s="12" t="s">
        <v>24</v>
      </c>
      <c r="E809" s="12" t="s">
        <v>25</v>
      </c>
      <c r="F809" s="13" t="s">
        <v>26</v>
      </c>
      <c r="G809" s="12" t="s">
        <v>68</v>
      </c>
      <c r="H809" s="12" t="s">
        <v>994</v>
      </c>
      <c r="I809" s="12" t="s">
        <v>995</v>
      </c>
      <c r="J809" s="17" t="s">
        <v>2779</v>
      </c>
      <c r="K809" s="18" t="s">
        <v>2780</v>
      </c>
      <c r="L809" s="20">
        <v>45888.0</v>
      </c>
      <c r="M809" s="17" t="s">
        <v>28</v>
      </c>
      <c r="N809" s="48" t="s">
        <v>2946</v>
      </c>
      <c r="O809" s="48">
        <v>3.192394E7</v>
      </c>
      <c r="P809" s="17" t="s">
        <v>2066</v>
      </c>
      <c r="Q809" s="17" t="s">
        <v>73</v>
      </c>
      <c r="R809" s="17" t="s">
        <v>2004</v>
      </c>
      <c r="S809" s="17" t="s">
        <v>2947</v>
      </c>
      <c r="U809" s="24"/>
      <c r="V809" s="24"/>
      <c r="W809" s="18" t="s">
        <v>577</v>
      </c>
    </row>
    <row r="810">
      <c r="A810" s="11"/>
      <c r="B810" s="12" t="s">
        <v>7</v>
      </c>
      <c r="C810" s="12" t="s">
        <v>8</v>
      </c>
      <c r="D810" s="12" t="s">
        <v>24</v>
      </c>
      <c r="E810" s="12" t="s">
        <v>25</v>
      </c>
      <c r="F810" s="13" t="s">
        <v>26</v>
      </c>
      <c r="G810" s="12" t="s">
        <v>68</v>
      </c>
      <c r="H810" s="12" t="s">
        <v>994</v>
      </c>
      <c r="I810" s="12" t="s">
        <v>995</v>
      </c>
      <c r="J810" s="17" t="s">
        <v>2779</v>
      </c>
      <c r="K810" s="18" t="s">
        <v>2780</v>
      </c>
      <c r="L810" s="20">
        <v>45888.0</v>
      </c>
      <c r="M810" s="17" t="s">
        <v>28</v>
      </c>
      <c r="N810" s="17" t="s">
        <v>3312</v>
      </c>
      <c r="O810" s="17">
        <v>7.3976831E7</v>
      </c>
      <c r="P810" s="17" t="s">
        <v>2038</v>
      </c>
      <c r="Q810" s="17" t="s">
        <v>112</v>
      </c>
      <c r="R810" s="17" t="s">
        <v>2028</v>
      </c>
      <c r="S810" s="17" t="s">
        <v>2964</v>
      </c>
      <c r="U810" s="24"/>
      <c r="V810" s="24"/>
      <c r="W810" s="18" t="s">
        <v>577</v>
      </c>
    </row>
    <row r="811">
      <c r="A811" s="11"/>
      <c r="B811" s="12" t="s">
        <v>7</v>
      </c>
      <c r="C811" s="12" t="s">
        <v>8</v>
      </c>
      <c r="D811" s="12" t="s">
        <v>24</v>
      </c>
      <c r="E811" s="12" t="s">
        <v>25</v>
      </c>
      <c r="F811" s="13" t="s">
        <v>26</v>
      </c>
      <c r="G811" s="12" t="s">
        <v>68</v>
      </c>
      <c r="H811" s="12" t="s">
        <v>994</v>
      </c>
      <c r="I811" s="12" t="s">
        <v>995</v>
      </c>
      <c r="J811" s="17" t="s">
        <v>2779</v>
      </c>
      <c r="K811" s="18" t="s">
        <v>2780</v>
      </c>
      <c r="L811" s="20">
        <v>45888.0</v>
      </c>
      <c r="M811" s="17" t="s">
        <v>28</v>
      </c>
      <c r="N811" s="17" t="s">
        <v>2969</v>
      </c>
      <c r="O811" s="17">
        <v>4.6527678E7</v>
      </c>
      <c r="P811" s="17" t="s">
        <v>2015</v>
      </c>
      <c r="Q811" s="17" t="s">
        <v>73</v>
      </c>
      <c r="R811" s="17" t="s">
        <v>2004</v>
      </c>
      <c r="S811" s="17" t="s">
        <v>2970</v>
      </c>
      <c r="U811" s="24"/>
      <c r="V811" s="24"/>
      <c r="W811" s="18" t="s">
        <v>577</v>
      </c>
    </row>
    <row r="812">
      <c r="A812" s="11"/>
      <c r="B812" s="12" t="s">
        <v>7</v>
      </c>
      <c r="C812" s="12" t="s">
        <v>8</v>
      </c>
      <c r="D812" s="12" t="s">
        <v>24</v>
      </c>
      <c r="E812" s="12" t="s">
        <v>25</v>
      </c>
      <c r="F812" s="13" t="s">
        <v>26</v>
      </c>
      <c r="G812" s="12" t="s">
        <v>68</v>
      </c>
      <c r="H812" s="12" t="s">
        <v>994</v>
      </c>
      <c r="I812" s="12" t="s">
        <v>995</v>
      </c>
      <c r="J812" s="17" t="s">
        <v>2779</v>
      </c>
      <c r="K812" s="18" t="s">
        <v>2780</v>
      </c>
      <c r="L812" s="20">
        <v>45888.0</v>
      </c>
      <c r="M812" s="17" t="s">
        <v>28</v>
      </c>
      <c r="N812" s="17" t="s">
        <v>2985</v>
      </c>
      <c r="O812" s="17">
        <v>6.2288204E7</v>
      </c>
      <c r="P812" s="17" t="s">
        <v>2041</v>
      </c>
      <c r="Q812" s="17" t="s">
        <v>112</v>
      </c>
      <c r="R812" s="17" t="s">
        <v>2028</v>
      </c>
      <c r="S812" s="17" t="s">
        <v>2986</v>
      </c>
      <c r="U812" s="24"/>
      <c r="V812" s="24"/>
      <c r="W812" s="18" t="s">
        <v>577</v>
      </c>
    </row>
    <row r="813">
      <c r="A813" s="11"/>
      <c r="B813" s="12" t="s">
        <v>7</v>
      </c>
      <c r="C813" s="12" t="s">
        <v>8</v>
      </c>
      <c r="D813" s="12" t="s">
        <v>24</v>
      </c>
      <c r="E813" s="12" t="s">
        <v>25</v>
      </c>
      <c r="F813" s="13" t="s">
        <v>26</v>
      </c>
      <c r="G813" s="12" t="s">
        <v>68</v>
      </c>
      <c r="H813" s="12" t="s">
        <v>994</v>
      </c>
      <c r="I813" s="12" t="s">
        <v>995</v>
      </c>
      <c r="J813" s="17" t="s">
        <v>2779</v>
      </c>
      <c r="K813" s="18" t="s">
        <v>2780</v>
      </c>
      <c r="L813" s="20">
        <v>45888.0</v>
      </c>
      <c r="M813" s="17" t="s">
        <v>28</v>
      </c>
      <c r="N813" s="17" t="s">
        <v>3313</v>
      </c>
      <c r="O813" s="17">
        <v>7.5895296E7</v>
      </c>
      <c r="P813" s="17" t="s">
        <v>2009</v>
      </c>
      <c r="Q813" s="17" t="s">
        <v>73</v>
      </c>
      <c r="R813" s="17" t="s">
        <v>2004</v>
      </c>
      <c r="S813" s="17" t="s">
        <v>3314</v>
      </c>
      <c r="U813" s="24"/>
      <c r="V813" s="24"/>
      <c r="W813" s="18" t="s">
        <v>577</v>
      </c>
    </row>
    <row r="814">
      <c r="A814" s="11"/>
      <c r="B814" s="12" t="s">
        <v>7</v>
      </c>
      <c r="C814" s="12" t="s">
        <v>8</v>
      </c>
      <c r="D814" s="12" t="s">
        <v>24</v>
      </c>
      <c r="E814" s="12" t="s">
        <v>25</v>
      </c>
      <c r="F814" s="13" t="s">
        <v>26</v>
      </c>
      <c r="G814" s="12" t="s">
        <v>68</v>
      </c>
      <c r="H814" s="12" t="s">
        <v>994</v>
      </c>
      <c r="I814" s="12" t="s">
        <v>995</v>
      </c>
      <c r="J814" s="17" t="s">
        <v>2779</v>
      </c>
      <c r="K814" s="18" t="s">
        <v>2780</v>
      </c>
      <c r="L814" s="20">
        <v>45888.0</v>
      </c>
      <c r="M814" s="17" t="s">
        <v>28</v>
      </c>
      <c r="N814" s="17" t="s">
        <v>3315</v>
      </c>
      <c r="O814" s="17">
        <v>7.5518734E7</v>
      </c>
      <c r="P814" s="17" t="s">
        <v>3316</v>
      </c>
      <c r="Q814" s="17" t="s">
        <v>112</v>
      </c>
      <c r="R814" s="17" t="s">
        <v>2028</v>
      </c>
      <c r="S814" s="17" t="s">
        <v>3317</v>
      </c>
      <c r="U814" s="24"/>
      <c r="V814" s="24"/>
      <c r="W814" s="18" t="s">
        <v>577</v>
      </c>
    </row>
    <row r="815">
      <c r="A815" s="11"/>
      <c r="B815" s="12" t="s">
        <v>7</v>
      </c>
      <c r="C815" s="12" t="s">
        <v>37</v>
      </c>
      <c r="D815" s="12" t="s">
        <v>38</v>
      </c>
      <c r="E815" s="12" t="s">
        <v>45</v>
      </c>
      <c r="F815" s="13" t="s">
        <v>44</v>
      </c>
      <c r="G815" s="12" t="s">
        <v>68</v>
      </c>
      <c r="H815" s="12" t="s">
        <v>830</v>
      </c>
      <c r="I815" s="12" t="s">
        <v>831</v>
      </c>
      <c r="J815" s="17" t="s">
        <v>2779</v>
      </c>
      <c r="K815" s="18" t="s">
        <v>2780</v>
      </c>
      <c r="L815" s="20">
        <v>45889.0</v>
      </c>
      <c r="M815" s="17" t="s">
        <v>23</v>
      </c>
      <c r="N815" s="17" t="s">
        <v>3318</v>
      </c>
      <c r="O815" s="17">
        <v>3.3335394E7</v>
      </c>
      <c r="Q815" s="17" t="s">
        <v>112</v>
      </c>
      <c r="R815" s="17" t="s">
        <v>113</v>
      </c>
      <c r="S815" s="17" t="s">
        <v>2220</v>
      </c>
      <c r="U815" s="24"/>
      <c r="V815" s="24"/>
      <c r="W815" s="18" t="s">
        <v>577</v>
      </c>
    </row>
    <row r="816">
      <c r="A816" s="11"/>
      <c r="B816" s="12" t="s">
        <v>7</v>
      </c>
      <c r="C816" s="12" t="s">
        <v>37</v>
      </c>
      <c r="D816" s="12" t="s">
        <v>38</v>
      </c>
      <c r="E816" s="12" t="s">
        <v>45</v>
      </c>
      <c r="F816" s="13" t="s">
        <v>44</v>
      </c>
      <c r="G816" s="12" t="s">
        <v>68</v>
      </c>
      <c r="H816" s="12" t="s">
        <v>830</v>
      </c>
      <c r="I816" s="12" t="s">
        <v>831</v>
      </c>
      <c r="J816" s="17" t="s">
        <v>2779</v>
      </c>
      <c r="K816" s="18" t="s">
        <v>2780</v>
      </c>
      <c r="L816" s="20">
        <v>45889.0</v>
      </c>
      <c r="M816" s="17" t="s">
        <v>23</v>
      </c>
      <c r="N816" s="17" t="s">
        <v>3319</v>
      </c>
      <c r="O816" s="17">
        <v>4.6033972E7</v>
      </c>
      <c r="Q816" s="17" t="s">
        <v>108</v>
      </c>
      <c r="R816" s="17" t="s">
        <v>109</v>
      </c>
      <c r="S816" s="17" t="s">
        <v>2198</v>
      </c>
      <c r="U816" s="24"/>
      <c r="V816" s="24"/>
      <c r="W816" s="18" t="s">
        <v>577</v>
      </c>
    </row>
    <row r="817">
      <c r="A817" s="11"/>
      <c r="B817" s="12" t="s">
        <v>7</v>
      </c>
      <c r="C817" s="12" t="s">
        <v>37</v>
      </c>
      <c r="D817" s="12" t="s">
        <v>38</v>
      </c>
      <c r="E817" s="12" t="s">
        <v>45</v>
      </c>
      <c r="F817" s="13" t="s">
        <v>44</v>
      </c>
      <c r="G817" s="12" t="s">
        <v>68</v>
      </c>
      <c r="H817" s="12" t="s">
        <v>830</v>
      </c>
      <c r="I817" s="12" t="s">
        <v>831</v>
      </c>
      <c r="J817" s="17" t="s">
        <v>2779</v>
      </c>
      <c r="K817" s="18" t="s">
        <v>2780</v>
      </c>
      <c r="L817" s="20">
        <v>45889.0</v>
      </c>
      <c r="M817" s="17" t="s">
        <v>28</v>
      </c>
      <c r="N817" s="21" t="s">
        <v>2315</v>
      </c>
      <c r="O817" s="122">
        <v>4.857957E7</v>
      </c>
      <c r="P817" s="21" t="s">
        <v>1829</v>
      </c>
      <c r="Q817" s="48" t="s">
        <v>108</v>
      </c>
      <c r="R817" s="21" t="s">
        <v>109</v>
      </c>
      <c r="S817" s="17" t="s">
        <v>2316</v>
      </c>
      <c r="U817" s="24"/>
      <c r="V817" s="24"/>
      <c r="W817" s="18" t="s">
        <v>577</v>
      </c>
    </row>
    <row r="818">
      <c r="A818" s="11"/>
      <c r="B818" s="12" t="s">
        <v>7</v>
      </c>
      <c r="C818" s="12" t="s">
        <v>37</v>
      </c>
      <c r="D818" s="12" t="s">
        <v>38</v>
      </c>
      <c r="E818" s="12" t="s">
        <v>45</v>
      </c>
      <c r="F818" s="13" t="s">
        <v>44</v>
      </c>
      <c r="G818" s="12" t="s">
        <v>68</v>
      </c>
      <c r="H818" s="12" t="s">
        <v>830</v>
      </c>
      <c r="I818" s="12" t="s">
        <v>831</v>
      </c>
      <c r="J818" s="17" t="s">
        <v>2779</v>
      </c>
      <c r="K818" s="18" t="s">
        <v>2780</v>
      </c>
      <c r="L818" s="20">
        <v>45889.0</v>
      </c>
      <c r="M818" s="17" t="s">
        <v>28</v>
      </c>
      <c r="N818" s="48" t="s">
        <v>2317</v>
      </c>
      <c r="O818" s="122">
        <v>3.1679891E7</v>
      </c>
      <c r="P818" s="21" t="s">
        <v>1822</v>
      </c>
      <c r="Q818" s="48" t="s">
        <v>108</v>
      </c>
      <c r="R818" s="21" t="s">
        <v>109</v>
      </c>
      <c r="S818" s="17" t="s">
        <v>2318</v>
      </c>
      <c r="U818" s="24"/>
      <c r="V818" s="24"/>
      <c r="W818" s="18" t="s">
        <v>577</v>
      </c>
    </row>
    <row r="819">
      <c r="A819" s="11"/>
      <c r="B819" s="12" t="s">
        <v>7</v>
      </c>
      <c r="C819" s="12" t="s">
        <v>37</v>
      </c>
      <c r="D819" s="12" t="s">
        <v>38</v>
      </c>
      <c r="E819" s="12" t="s">
        <v>45</v>
      </c>
      <c r="F819" s="13" t="s">
        <v>44</v>
      </c>
      <c r="G819" s="12" t="s">
        <v>68</v>
      </c>
      <c r="H819" s="12" t="s">
        <v>830</v>
      </c>
      <c r="I819" s="12" t="s">
        <v>831</v>
      </c>
      <c r="J819" s="17" t="s">
        <v>2779</v>
      </c>
      <c r="K819" s="18" t="s">
        <v>2780</v>
      </c>
      <c r="L819" s="20">
        <v>45889.0</v>
      </c>
      <c r="M819" s="17" t="s">
        <v>28</v>
      </c>
      <c r="N819" s="21" t="s">
        <v>2319</v>
      </c>
      <c r="O819" s="122">
        <v>4.5439712E7</v>
      </c>
      <c r="P819" s="21" t="s">
        <v>2320</v>
      </c>
      <c r="Q819" s="48" t="s">
        <v>108</v>
      </c>
      <c r="R819" s="21" t="s">
        <v>109</v>
      </c>
      <c r="S819" s="17" t="s">
        <v>2321</v>
      </c>
      <c r="U819" s="24"/>
      <c r="V819" s="24"/>
      <c r="W819" s="18" t="s">
        <v>577</v>
      </c>
    </row>
    <row r="820">
      <c r="A820" s="11"/>
      <c r="B820" s="12" t="s">
        <v>7</v>
      </c>
      <c r="C820" s="12" t="s">
        <v>37</v>
      </c>
      <c r="D820" s="12" t="s">
        <v>38</v>
      </c>
      <c r="E820" s="12" t="s">
        <v>45</v>
      </c>
      <c r="F820" s="13" t="s">
        <v>44</v>
      </c>
      <c r="G820" s="12" t="s">
        <v>68</v>
      </c>
      <c r="H820" s="12" t="s">
        <v>830</v>
      </c>
      <c r="I820" s="12" t="s">
        <v>831</v>
      </c>
      <c r="J820" s="17" t="s">
        <v>2779</v>
      </c>
      <c r="K820" s="18" t="s">
        <v>2780</v>
      </c>
      <c r="L820" s="20">
        <v>45889.0</v>
      </c>
      <c r="M820" s="17" t="s">
        <v>28</v>
      </c>
      <c r="N820" s="21" t="s">
        <v>2322</v>
      </c>
      <c r="O820" s="122">
        <v>7.1988406E7</v>
      </c>
      <c r="P820" s="21" t="s">
        <v>1826</v>
      </c>
      <c r="Q820" s="48" t="s">
        <v>108</v>
      </c>
      <c r="R820" s="21" t="s">
        <v>109</v>
      </c>
      <c r="S820" s="17" t="s">
        <v>2323</v>
      </c>
      <c r="U820" s="24"/>
      <c r="V820" s="24"/>
      <c r="W820" s="18" t="s">
        <v>577</v>
      </c>
    </row>
    <row r="821">
      <c r="A821" s="11"/>
      <c r="B821" s="12" t="s">
        <v>7</v>
      </c>
      <c r="C821" s="12" t="s">
        <v>37</v>
      </c>
      <c r="D821" s="12" t="s">
        <v>38</v>
      </c>
      <c r="E821" s="12" t="s">
        <v>45</v>
      </c>
      <c r="F821" s="13" t="s">
        <v>44</v>
      </c>
      <c r="G821" s="12" t="s">
        <v>68</v>
      </c>
      <c r="H821" s="12" t="s">
        <v>830</v>
      </c>
      <c r="I821" s="12" t="s">
        <v>831</v>
      </c>
      <c r="J821" s="17" t="s">
        <v>2779</v>
      </c>
      <c r="K821" s="18" t="s">
        <v>2780</v>
      </c>
      <c r="L821" s="20">
        <v>45889.0</v>
      </c>
      <c r="M821" s="17" t="s">
        <v>28</v>
      </c>
      <c r="N821" s="21" t="s">
        <v>2324</v>
      </c>
      <c r="O821" s="122">
        <v>4.5458285E7</v>
      </c>
      <c r="P821" s="21" t="s">
        <v>2058</v>
      </c>
      <c r="Q821" s="48" t="s">
        <v>73</v>
      </c>
      <c r="R821" s="21" t="s">
        <v>74</v>
      </c>
      <c r="S821" s="17" t="s">
        <v>2325</v>
      </c>
      <c r="U821" s="24"/>
      <c r="V821" s="24"/>
      <c r="W821" s="18" t="s">
        <v>577</v>
      </c>
    </row>
    <row r="822">
      <c r="A822" s="11"/>
      <c r="B822" s="12" t="s">
        <v>7</v>
      </c>
      <c r="C822" s="12" t="s">
        <v>37</v>
      </c>
      <c r="D822" s="12" t="s">
        <v>38</v>
      </c>
      <c r="E822" s="12" t="s">
        <v>45</v>
      </c>
      <c r="F822" s="13" t="s">
        <v>44</v>
      </c>
      <c r="G822" s="12" t="s">
        <v>68</v>
      </c>
      <c r="H822" s="12" t="s">
        <v>830</v>
      </c>
      <c r="I822" s="12" t="s">
        <v>831</v>
      </c>
      <c r="J822" s="17" t="s">
        <v>2779</v>
      </c>
      <c r="K822" s="18" t="s">
        <v>2780</v>
      </c>
      <c r="L822" s="20">
        <v>45889.0</v>
      </c>
      <c r="M822" s="17" t="s">
        <v>28</v>
      </c>
      <c r="N822" s="21" t="s">
        <v>2326</v>
      </c>
      <c r="O822" s="122">
        <v>7.6618048E7</v>
      </c>
      <c r="P822" s="21" t="s">
        <v>2327</v>
      </c>
      <c r="Q822" s="48" t="s">
        <v>73</v>
      </c>
      <c r="R822" s="21" t="s">
        <v>74</v>
      </c>
      <c r="S822" s="17" t="s">
        <v>2328</v>
      </c>
      <c r="U822" s="24"/>
      <c r="V822" s="24"/>
      <c r="W822" s="18" t="s">
        <v>577</v>
      </c>
    </row>
    <row r="823">
      <c r="A823" s="11"/>
      <c r="B823" s="12" t="s">
        <v>7</v>
      </c>
      <c r="C823" s="12" t="s">
        <v>37</v>
      </c>
      <c r="D823" s="12" t="s">
        <v>38</v>
      </c>
      <c r="E823" s="12" t="s">
        <v>45</v>
      </c>
      <c r="F823" s="13" t="s">
        <v>44</v>
      </c>
      <c r="G823" s="12" t="s">
        <v>68</v>
      </c>
      <c r="H823" s="12" t="s">
        <v>830</v>
      </c>
      <c r="I823" s="12" t="s">
        <v>831</v>
      </c>
      <c r="J823" s="17" t="s">
        <v>2779</v>
      </c>
      <c r="K823" s="18" t="s">
        <v>2780</v>
      </c>
      <c r="L823" s="20">
        <v>45889.0</v>
      </c>
      <c r="M823" s="17" t="s">
        <v>28</v>
      </c>
      <c r="N823" s="21" t="s">
        <v>2331</v>
      </c>
      <c r="O823" s="122">
        <v>4.1078093E7</v>
      </c>
      <c r="P823" s="21" t="s">
        <v>1820</v>
      </c>
      <c r="Q823" s="48" t="s">
        <v>112</v>
      </c>
      <c r="R823" s="21" t="s">
        <v>113</v>
      </c>
      <c r="S823" s="17" t="s">
        <v>2332</v>
      </c>
      <c r="U823" s="24"/>
      <c r="V823" s="24"/>
      <c r="W823" s="18" t="s">
        <v>577</v>
      </c>
    </row>
    <row r="824">
      <c r="A824" s="11"/>
      <c r="B824" s="12" t="s">
        <v>7</v>
      </c>
      <c r="C824" s="12" t="s">
        <v>37</v>
      </c>
      <c r="D824" s="12" t="s">
        <v>38</v>
      </c>
      <c r="E824" s="12" t="s">
        <v>45</v>
      </c>
      <c r="F824" s="13" t="s">
        <v>44</v>
      </c>
      <c r="G824" s="12" t="s">
        <v>68</v>
      </c>
      <c r="H824" s="12" t="s">
        <v>830</v>
      </c>
      <c r="I824" s="12" t="s">
        <v>831</v>
      </c>
      <c r="J824" s="17" t="s">
        <v>2779</v>
      </c>
      <c r="K824" s="18" t="s">
        <v>2780</v>
      </c>
      <c r="L824" s="20">
        <v>45889.0</v>
      </c>
      <c r="M824" s="17" t="s">
        <v>28</v>
      </c>
      <c r="N824" s="21" t="s">
        <v>2333</v>
      </c>
      <c r="O824" s="122">
        <v>7.651461E7</v>
      </c>
      <c r="P824" s="21" t="s">
        <v>1812</v>
      </c>
      <c r="Q824" s="48" t="s">
        <v>73</v>
      </c>
      <c r="R824" s="21" t="s">
        <v>74</v>
      </c>
      <c r="S824" s="17" t="s">
        <v>2334</v>
      </c>
      <c r="U824" s="24"/>
      <c r="V824" s="24"/>
      <c r="W824" s="18" t="s">
        <v>577</v>
      </c>
    </row>
    <row r="825">
      <c r="A825" s="11"/>
      <c r="B825" s="12" t="s">
        <v>7</v>
      </c>
      <c r="C825" s="12" t="s">
        <v>37</v>
      </c>
      <c r="D825" s="12" t="s">
        <v>38</v>
      </c>
      <c r="E825" s="12" t="s">
        <v>45</v>
      </c>
      <c r="F825" s="13" t="s">
        <v>44</v>
      </c>
      <c r="G825" s="12" t="s">
        <v>68</v>
      </c>
      <c r="H825" s="12" t="s">
        <v>830</v>
      </c>
      <c r="I825" s="12" t="s">
        <v>831</v>
      </c>
      <c r="J825" s="17" t="s">
        <v>2779</v>
      </c>
      <c r="K825" s="18" t="s">
        <v>2780</v>
      </c>
      <c r="L825" s="20">
        <v>45889.0</v>
      </c>
      <c r="M825" s="17" t="s">
        <v>28</v>
      </c>
      <c r="N825" s="21" t="s">
        <v>2341</v>
      </c>
      <c r="O825" s="122">
        <v>4.6646388E7</v>
      </c>
      <c r="P825" s="48" t="s">
        <v>1823</v>
      </c>
      <c r="Q825" s="48" t="s">
        <v>108</v>
      </c>
      <c r="R825" s="21" t="s">
        <v>109</v>
      </c>
      <c r="S825" s="17" t="s">
        <v>2342</v>
      </c>
      <c r="U825" s="24"/>
      <c r="V825" s="24"/>
      <c r="W825" s="18" t="s">
        <v>577</v>
      </c>
    </row>
    <row r="826">
      <c r="A826" s="11"/>
      <c r="B826" s="12" t="s">
        <v>7</v>
      </c>
      <c r="C826" s="12" t="s">
        <v>37</v>
      </c>
      <c r="D826" s="12" t="s">
        <v>38</v>
      </c>
      <c r="E826" s="12" t="s">
        <v>45</v>
      </c>
      <c r="F826" s="13" t="s">
        <v>44</v>
      </c>
      <c r="G826" s="12" t="s">
        <v>68</v>
      </c>
      <c r="H826" s="12" t="s">
        <v>830</v>
      </c>
      <c r="I826" s="12" t="s">
        <v>831</v>
      </c>
      <c r="J826" s="17" t="s">
        <v>2779</v>
      </c>
      <c r="K826" s="18" t="s">
        <v>2780</v>
      </c>
      <c r="L826" s="20">
        <v>45889.0</v>
      </c>
      <c r="M826" s="17" t="s">
        <v>28</v>
      </c>
      <c r="N826" s="21" t="s">
        <v>2345</v>
      </c>
      <c r="O826" s="122">
        <v>4.4921013E7</v>
      </c>
      <c r="P826" s="21" t="s">
        <v>1827</v>
      </c>
      <c r="Q826" s="48" t="s">
        <v>108</v>
      </c>
      <c r="R826" s="21" t="s">
        <v>109</v>
      </c>
      <c r="S826" s="17" t="s">
        <v>2346</v>
      </c>
      <c r="U826" s="24"/>
      <c r="V826" s="24"/>
      <c r="W826" s="18" t="s">
        <v>577</v>
      </c>
    </row>
    <row r="827">
      <c r="A827" s="11"/>
      <c r="B827" s="12" t="s">
        <v>7</v>
      </c>
      <c r="C827" s="12" t="s">
        <v>37</v>
      </c>
      <c r="D827" s="12" t="s">
        <v>38</v>
      </c>
      <c r="E827" s="12" t="s">
        <v>45</v>
      </c>
      <c r="F827" s="13" t="s">
        <v>44</v>
      </c>
      <c r="G827" s="12" t="s">
        <v>68</v>
      </c>
      <c r="H827" s="12" t="s">
        <v>830</v>
      </c>
      <c r="I827" s="12" t="s">
        <v>831</v>
      </c>
      <c r="J827" s="17" t="s">
        <v>2779</v>
      </c>
      <c r="K827" s="18" t="s">
        <v>2780</v>
      </c>
      <c r="L827" s="20">
        <v>45889.0</v>
      </c>
      <c r="M827" s="17" t="s">
        <v>28</v>
      </c>
      <c r="N827" s="21" t="s">
        <v>2352</v>
      </c>
      <c r="O827" s="122">
        <v>4.5436196E7</v>
      </c>
      <c r="P827" s="48" t="s">
        <v>2063</v>
      </c>
      <c r="Q827" s="48" t="s">
        <v>108</v>
      </c>
      <c r="R827" s="21" t="s">
        <v>109</v>
      </c>
      <c r="S827" s="17" t="s">
        <v>2353</v>
      </c>
      <c r="U827" s="24"/>
      <c r="V827" s="24"/>
      <c r="W827" s="18" t="s">
        <v>577</v>
      </c>
    </row>
    <row r="828">
      <c r="A828" s="11"/>
      <c r="B828" s="12" t="s">
        <v>7</v>
      </c>
      <c r="C828" s="12" t="s">
        <v>37</v>
      </c>
      <c r="D828" s="12" t="s">
        <v>38</v>
      </c>
      <c r="E828" s="12" t="s">
        <v>45</v>
      </c>
      <c r="F828" s="13" t="s">
        <v>44</v>
      </c>
      <c r="G828" s="12" t="s">
        <v>68</v>
      </c>
      <c r="H828" s="12" t="s">
        <v>830</v>
      </c>
      <c r="I828" s="12" t="s">
        <v>831</v>
      </c>
      <c r="J828" s="17" t="s">
        <v>2779</v>
      </c>
      <c r="K828" s="18" t="s">
        <v>2780</v>
      </c>
      <c r="L828" s="20">
        <v>45889.0</v>
      </c>
      <c r="M828" s="17" t="s">
        <v>28</v>
      </c>
      <c r="N828" s="21" t="s">
        <v>2358</v>
      </c>
      <c r="O828" s="122">
        <v>4.6371978E7</v>
      </c>
      <c r="P828" s="21" t="s">
        <v>2359</v>
      </c>
      <c r="Q828" s="48" t="s">
        <v>73</v>
      </c>
      <c r="R828" s="21" t="s">
        <v>74</v>
      </c>
      <c r="S828" s="17" t="s">
        <v>2360</v>
      </c>
      <c r="U828" s="24"/>
      <c r="V828" s="24"/>
      <c r="W828" s="18" t="s">
        <v>577</v>
      </c>
    </row>
    <row r="829">
      <c r="A829" s="11"/>
      <c r="B829" s="12" t="s">
        <v>7</v>
      </c>
      <c r="C829" s="12" t="s">
        <v>37</v>
      </c>
      <c r="D829" s="12" t="s">
        <v>38</v>
      </c>
      <c r="E829" s="12" t="s">
        <v>45</v>
      </c>
      <c r="F829" s="13" t="s">
        <v>44</v>
      </c>
      <c r="G829" s="12" t="s">
        <v>68</v>
      </c>
      <c r="H829" s="12" t="s">
        <v>830</v>
      </c>
      <c r="I829" s="12" t="s">
        <v>831</v>
      </c>
      <c r="J829" s="17" t="s">
        <v>2779</v>
      </c>
      <c r="K829" s="18" t="s">
        <v>2780</v>
      </c>
      <c r="L829" s="20">
        <v>45889.0</v>
      </c>
      <c r="M829" s="17" t="s">
        <v>28</v>
      </c>
      <c r="N829" s="17" t="s">
        <v>2313</v>
      </c>
      <c r="O829" s="17">
        <v>4.558911E7</v>
      </c>
      <c r="P829" s="17" t="s">
        <v>1830</v>
      </c>
      <c r="Q829" s="17" t="s">
        <v>108</v>
      </c>
      <c r="R829" s="17" t="s">
        <v>109</v>
      </c>
      <c r="S829" s="17" t="s">
        <v>2314</v>
      </c>
      <c r="U829" s="24"/>
      <c r="V829" s="24"/>
      <c r="W829" s="18" t="s">
        <v>577</v>
      </c>
    </row>
    <row r="830">
      <c r="A830" s="11"/>
      <c r="B830" s="12" t="s">
        <v>7</v>
      </c>
      <c r="C830" s="12" t="s">
        <v>37</v>
      </c>
      <c r="D830" s="12" t="s">
        <v>38</v>
      </c>
      <c r="E830" s="12" t="s">
        <v>45</v>
      </c>
      <c r="F830" s="13" t="s">
        <v>44</v>
      </c>
      <c r="G830" s="12" t="s">
        <v>68</v>
      </c>
      <c r="H830" s="12" t="s">
        <v>830</v>
      </c>
      <c r="I830" s="12" t="s">
        <v>831</v>
      </c>
      <c r="J830" s="17" t="s">
        <v>2779</v>
      </c>
      <c r="K830" s="18" t="s">
        <v>2780</v>
      </c>
      <c r="L830" s="20">
        <v>45889.0</v>
      </c>
      <c r="M830" s="17" t="s">
        <v>28</v>
      </c>
      <c r="N830" s="17" t="s">
        <v>3320</v>
      </c>
      <c r="O830" s="17">
        <v>7.0807705E7</v>
      </c>
      <c r="P830" s="17" t="s">
        <v>1821</v>
      </c>
      <c r="Q830" s="17" t="s">
        <v>112</v>
      </c>
      <c r="R830" s="17" t="s">
        <v>113</v>
      </c>
      <c r="S830" s="17" t="s">
        <v>3321</v>
      </c>
      <c r="U830" s="24"/>
      <c r="V830" s="24"/>
      <c r="W830" s="18" t="s">
        <v>577</v>
      </c>
    </row>
    <row r="831">
      <c r="A831" s="11"/>
      <c r="B831" s="12" t="s">
        <v>7</v>
      </c>
      <c r="C831" s="12" t="s">
        <v>8</v>
      </c>
      <c r="D831" s="12" t="s">
        <v>24</v>
      </c>
      <c r="E831" s="12" t="s">
        <v>35</v>
      </c>
      <c r="F831" s="13" t="s">
        <v>33</v>
      </c>
      <c r="G831" s="12" t="s">
        <v>68</v>
      </c>
      <c r="H831" s="12" t="s">
        <v>813</v>
      </c>
      <c r="I831" s="12" t="s">
        <v>814</v>
      </c>
      <c r="J831" s="17" t="s">
        <v>2779</v>
      </c>
      <c r="K831" s="18" t="s">
        <v>2780</v>
      </c>
      <c r="L831" s="20">
        <v>45891.0</v>
      </c>
      <c r="M831" s="17" t="s">
        <v>23</v>
      </c>
      <c r="N831" s="17" t="s">
        <v>2390</v>
      </c>
      <c r="O831" s="17">
        <v>7.3863258E7</v>
      </c>
      <c r="Q831" s="17" t="s">
        <v>73</v>
      </c>
      <c r="R831" s="17" t="s">
        <v>1797</v>
      </c>
      <c r="S831" s="17" t="s">
        <v>2391</v>
      </c>
      <c r="U831" s="24"/>
      <c r="V831" s="24"/>
      <c r="W831" s="18" t="s">
        <v>577</v>
      </c>
    </row>
    <row r="832">
      <c r="A832" s="11"/>
      <c r="B832" s="12" t="s">
        <v>7</v>
      </c>
      <c r="C832" s="12" t="s">
        <v>8</v>
      </c>
      <c r="D832" s="12" t="s">
        <v>24</v>
      </c>
      <c r="E832" s="12" t="s">
        <v>35</v>
      </c>
      <c r="F832" s="13" t="s">
        <v>33</v>
      </c>
      <c r="G832" s="12" t="s">
        <v>68</v>
      </c>
      <c r="H832" s="12" t="s">
        <v>813</v>
      </c>
      <c r="I832" s="12" t="s">
        <v>814</v>
      </c>
      <c r="J832" s="17" t="s">
        <v>2779</v>
      </c>
      <c r="K832" s="18" t="s">
        <v>2780</v>
      </c>
      <c r="L832" s="20">
        <v>45891.0</v>
      </c>
      <c r="M832" s="17" t="s">
        <v>23</v>
      </c>
      <c r="N832" s="17" t="s">
        <v>2389</v>
      </c>
      <c r="O832" s="17">
        <v>3.1629591E7</v>
      </c>
      <c r="Q832" s="17" t="s">
        <v>108</v>
      </c>
      <c r="R832" s="17" t="s">
        <v>109</v>
      </c>
      <c r="S832" s="17" t="s">
        <v>2198</v>
      </c>
      <c r="U832" s="24"/>
      <c r="V832" s="24"/>
      <c r="W832" s="18" t="s">
        <v>577</v>
      </c>
    </row>
    <row r="833">
      <c r="A833" s="11"/>
      <c r="B833" s="12" t="s">
        <v>7</v>
      </c>
      <c r="C833" s="12" t="s">
        <v>8</v>
      </c>
      <c r="D833" s="12" t="s">
        <v>24</v>
      </c>
      <c r="E833" s="12" t="s">
        <v>35</v>
      </c>
      <c r="F833" s="13" t="s">
        <v>33</v>
      </c>
      <c r="G833" s="12" t="s">
        <v>68</v>
      </c>
      <c r="H833" s="12" t="s">
        <v>813</v>
      </c>
      <c r="I833" s="12" t="s">
        <v>814</v>
      </c>
      <c r="J833" s="17" t="s">
        <v>2779</v>
      </c>
      <c r="K833" s="18" t="s">
        <v>2780</v>
      </c>
      <c r="L833" s="20">
        <v>45891.0</v>
      </c>
      <c r="M833" s="17" t="s">
        <v>28</v>
      </c>
      <c r="N833" s="21" t="s">
        <v>2375</v>
      </c>
      <c r="O833" s="122">
        <v>4.7154372E7</v>
      </c>
      <c r="P833" s="48" t="s">
        <v>2376</v>
      </c>
      <c r="Q833" s="48" t="s">
        <v>108</v>
      </c>
      <c r="R833" s="17" t="s">
        <v>109</v>
      </c>
      <c r="S833" s="17" t="s">
        <v>2377</v>
      </c>
      <c r="U833" s="24"/>
      <c r="V833" s="24"/>
      <c r="W833" s="18" t="s">
        <v>577</v>
      </c>
    </row>
    <row r="834">
      <c r="A834" s="11"/>
      <c r="B834" s="12" t="s">
        <v>7</v>
      </c>
      <c r="C834" s="12" t="s">
        <v>8</v>
      </c>
      <c r="D834" s="12" t="s">
        <v>24</v>
      </c>
      <c r="E834" s="12" t="s">
        <v>35</v>
      </c>
      <c r="F834" s="13" t="s">
        <v>33</v>
      </c>
      <c r="G834" s="12" t="s">
        <v>68</v>
      </c>
      <c r="H834" s="12" t="s">
        <v>813</v>
      </c>
      <c r="I834" s="12" t="s">
        <v>814</v>
      </c>
      <c r="J834" s="17" t="s">
        <v>2779</v>
      </c>
      <c r="K834" s="18" t="s">
        <v>2780</v>
      </c>
      <c r="L834" s="20">
        <v>45891.0</v>
      </c>
      <c r="M834" s="17" t="s">
        <v>28</v>
      </c>
      <c r="N834" s="21" t="s">
        <v>2378</v>
      </c>
      <c r="O834" s="52">
        <v>7.0945989E7</v>
      </c>
      <c r="P834" s="48" t="s">
        <v>2379</v>
      </c>
      <c r="Q834" s="21" t="s">
        <v>112</v>
      </c>
      <c r="R834" s="17" t="s">
        <v>1797</v>
      </c>
      <c r="S834" s="17" t="s">
        <v>2380</v>
      </c>
      <c r="U834" s="24"/>
      <c r="V834" s="24"/>
      <c r="W834" s="18" t="s">
        <v>577</v>
      </c>
    </row>
    <row r="835">
      <c r="A835" s="11"/>
      <c r="B835" s="12" t="s">
        <v>7</v>
      </c>
      <c r="C835" s="12" t="s">
        <v>8</v>
      </c>
      <c r="D835" s="12" t="s">
        <v>24</v>
      </c>
      <c r="E835" s="12" t="s">
        <v>35</v>
      </c>
      <c r="F835" s="13" t="s">
        <v>33</v>
      </c>
      <c r="G835" s="12" t="s">
        <v>68</v>
      </c>
      <c r="H835" s="12" t="s">
        <v>813</v>
      </c>
      <c r="I835" s="12" t="s">
        <v>814</v>
      </c>
      <c r="J835" s="17" t="s">
        <v>2779</v>
      </c>
      <c r="K835" s="18" t="s">
        <v>2780</v>
      </c>
      <c r="L835" s="20">
        <v>45891.0</v>
      </c>
      <c r="M835" s="17" t="s">
        <v>28</v>
      </c>
      <c r="N835" s="21" t="s">
        <v>2385</v>
      </c>
      <c r="O835" s="122">
        <v>4.6807974E7</v>
      </c>
      <c r="P835" s="21" t="s">
        <v>1796</v>
      </c>
      <c r="Q835" s="21" t="s">
        <v>108</v>
      </c>
      <c r="R835" s="17" t="s">
        <v>109</v>
      </c>
      <c r="S835" s="17" t="s">
        <v>2386</v>
      </c>
      <c r="U835" s="24"/>
      <c r="V835" s="24"/>
      <c r="W835" s="18" t="s">
        <v>577</v>
      </c>
    </row>
    <row r="836">
      <c r="A836" s="11"/>
      <c r="B836" s="12" t="s">
        <v>7</v>
      </c>
      <c r="C836" s="12" t="s">
        <v>8</v>
      </c>
      <c r="D836" s="12" t="s">
        <v>24</v>
      </c>
      <c r="E836" s="12" t="s">
        <v>35</v>
      </c>
      <c r="F836" s="13" t="s">
        <v>33</v>
      </c>
      <c r="G836" s="12" t="s">
        <v>68</v>
      </c>
      <c r="H836" s="12" t="s">
        <v>813</v>
      </c>
      <c r="I836" s="12" t="s">
        <v>814</v>
      </c>
      <c r="J836" s="17" t="s">
        <v>2779</v>
      </c>
      <c r="K836" s="18" t="s">
        <v>2780</v>
      </c>
      <c r="L836" s="20">
        <v>45891.0</v>
      </c>
      <c r="M836" s="17" t="s">
        <v>28</v>
      </c>
      <c r="N836" s="21" t="s">
        <v>2387</v>
      </c>
      <c r="O836" s="122">
        <v>4.1150084E7</v>
      </c>
      <c r="P836" s="46" t="s">
        <v>1800</v>
      </c>
      <c r="Q836" s="21" t="s">
        <v>112</v>
      </c>
      <c r="R836" s="17" t="s">
        <v>1797</v>
      </c>
      <c r="S836" s="17" t="s">
        <v>2388</v>
      </c>
      <c r="U836" s="24"/>
      <c r="V836" s="24"/>
      <c r="W836" s="18" t="s">
        <v>577</v>
      </c>
    </row>
    <row r="837">
      <c r="A837" s="11"/>
      <c r="B837" s="12" t="s">
        <v>7</v>
      </c>
      <c r="C837" s="12" t="s">
        <v>8</v>
      </c>
      <c r="D837" s="12" t="s">
        <v>24</v>
      </c>
      <c r="E837" s="12" t="s">
        <v>35</v>
      </c>
      <c r="F837" s="13" t="s">
        <v>33</v>
      </c>
      <c r="G837" s="12" t="s">
        <v>68</v>
      </c>
      <c r="H837" s="12" t="s">
        <v>813</v>
      </c>
      <c r="I837" s="12" t="s">
        <v>814</v>
      </c>
      <c r="J837" s="17" t="s">
        <v>2779</v>
      </c>
      <c r="K837" s="18" t="s">
        <v>2780</v>
      </c>
      <c r="L837" s="20">
        <v>45891.0</v>
      </c>
      <c r="M837" s="17" t="s">
        <v>28</v>
      </c>
      <c r="N837" s="17" t="s">
        <v>3322</v>
      </c>
      <c r="O837" s="17">
        <v>4.8181558E7</v>
      </c>
      <c r="P837" s="17" t="s">
        <v>3323</v>
      </c>
      <c r="Q837" s="17" t="s">
        <v>112</v>
      </c>
      <c r="R837" s="17" t="s">
        <v>1797</v>
      </c>
      <c r="S837" s="17" t="s">
        <v>3324</v>
      </c>
      <c r="U837" s="24"/>
      <c r="V837" s="24"/>
      <c r="W837" s="18" t="s">
        <v>577</v>
      </c>
    </row>
    <row r="838">
      <c r="A838" s="11"/>
      <c r="B838" s="12" t="s">
        <v>7</v>
      </c>
      <c r="C838" s="12" t="s">
        <v>8</v>
      </c>
      <c r="D838" s="12" t="s">
        <v>24</v>
      </c>
      <c r="E838" s="12" t="s">
        <v>29</v>
      </c>
      <c r="F838" s="13" t="s">
        <v>27</v>
      </c>
      <c r="G838" s="12" t="s">
        <v>68</v>
      </c>
      <c r="H838" s="12" t="s">
        <v>801</v>
      </c>
      <c r="I838" s="12" t="s">
        <v>802</v>
      </c>
      <c r="J838" s="17" t="s">
        <v>2687</v>
      </c>
      <c r="K838" s="18">
        <v>1.0</v>
      </c>
      <c r="L838" s="20">
        <v>45894.0</v>
      </c>
      <c r="M838" s="17" t="s">
        <v>23</v>
      </c>
      <c r="N838" s="46" t="s">
        <v>2369</v>
      </c>
      <c r="O838" s="122">
        <v>4.7102534E7</v>
      </c>
      <c r="P838" s="21"/>
      <c r="Q838" s="21" t="s">
        <v>73</v>
      </c>
      <c r="R838" s="21" t="s">
        <v>2055</v>
      </c>
      <c r="U838" s="24"/>
      <c r="V838" s="24"/>
      <c r="W838" s="18" t="s">
        <v>577</v>
      </c>
    </row>
    <row r="839">
      <c r="A839" s="11"/>
      <c r="B839" s="12" t="s">
        <v>7</v>
      </c>
      <c r="C839" s="12" t="s">
        <v>8</v>
      </c>
      <c r="D839" s="12" t="s">
        <v>24</v>
      </c>
      <c r="E839" s="12" t="s">
        <v>25</v>
      </c>
      <c r="F839" s="13" t="s">
        <v>26</v>
      </c>
      <c r="G839" s="12" t="s">
        <v>68</v>
      </c>
      <c r="H839" s="12" t="s">
        <v>994</v>
      </c>
      <c r="I839" s="12" t="s">
        <v>995</v>
      </c>
      <c r="J839" s="17" t="s">
        <v>2687</v>
      </c>
      <c r="K839" s="18">
        <v>1.0</v>
      </c>
      <c r="L839" s="20">
        <v>45894.0</v>
      </c>
      <c r="M839" s="17" t="s">
        <v>23</v>
      </c>
      <c r="N839" s="21" t="s">
        <v>3298</v>
      </c>
      <c r="O839" s="122">
        <v>3.1923023E7</v>
      </c>
      <c r="P839" s="21"/>
      <c r="Q839" s="48" t="s">
        <v>73</v>
      </c>
      <c r="R839" s="21" t="s">
        <v>2004</v>
      </c>
      <c r="S839" s="17" t="s">
        <v>3299</v>
      </c>
      <c r="U839" s="24"/>
      <c r="V839" s="24"/>
      <c r="W839" s="18" t="s">
        <v>577</v>
      </c>
    </row>
    <row r="840">
      <c r="A840" s="11"/>
      <c r="B840" s="12" t="s">
        <v>7</v>
      </c>
      <c r="C840" s="12" t="s">
        <v>8</v>
      </c>
      <c r="D840" s="12" t="s">
        <v>24</v>
      </c>
      <c r="E840" s="12" t="s">
        <v>25</v>
      </c>
      <c r="F840" s="13" t="s">
        <v>26</v>
      </c>
      <c r="G840" s="12" t="s">
        <v>68</v>
      </c>
      <c r="H840" s="12" t="s">
        <v>994</v>
      </c>
      <c r="I840" s="12" t="s">
        <v>995</v>
      </c>
      <c r="J840" s="17" t="s">
        <v>2687</v>
      </c>
      <c r="K840" s="18">
        <v>1.0</v>
      </c>
      <c r="L840" s="20">
        <v>45894.0</v>
      </c>
      <c r="M840" s="17" t="s">
        <v>23</v>
      </c>
      <c r="N840" s="21" t="s">
        <v>3300</v>
      </c>
      <c r="O840" s="122">
        <v>4.5803595E7</v>
      </c>
      <c r="P840" s="21"/>
      <c r="Q840" s="48" t="s">
        <v>112</v>
      </c>
      <c r="R840" s="21" t="s">
        <v>2028</v>
      </c>
      <c r="S840" s="17" t="s">
        <v>3301</v>
      </c>
      <c r="U840" s="24"/>
      <c r="V840" s="24"/>
      <c r="W840" s="18" t="s">
        <v>577</v>
      </c>
    </row>
    <row r="841">
      <c r="A841" s="11"/>
      <c r="B841" s="12" t="s">
        <v>7</v>
      </c>
      <c r="C841" s="12" t="s">
        <v>8</v>
      </c>
      <c r="D841" s="12" t="s">
        <v>24</v>
      </c>
      <c r="E841" s="12" t="s">
        <v>25</v>
      </c>
      <c r="F841" s="13" t="s">
        <v>50</v>
      </c>
      <c r="G841" s="12" t="s">
        <v>86</v>
      </c>
      <c r="H841" s="12" t="s">
        <v>3307</v>
      </c>
      <c r="I841" s="12"/>
      <c r="J841" s="17" t="s">
        <v>2687</v>
      </c>
      <c r="K841" s="18">
        <v>1.0</v>
      </c>
      <c r="L841" s="20">
        <v>45894.0</v>
      </c>
      <c r="M841" s="17" t="s">
        <v>23</v>
      </c>
      <c r="N841" s="48" t="s">
        <v>3325</v>
      </c>
      <c r="O841" s="52">
        <v>1.5852271E7</v>
      </c>
      <c r="P841" s="21"/>
      <c r="Q841" s="48" t="s">
        <v>73</v>
      </c>
      <c r="R841" s="48" t="s">
        <v>3309</v>
      </c>
      <c r="S841" s="17" t="s">
        <v>3310</v>
      </c>
      <c r="U841" s="48"/>
      <c r="V841" s="48"/>
      <c r="W841" s="18" t="s">
        <v>577</v>
      </c>
    </row>
    <row r="842">
      <c r="A842" s="11"/>
      <c r="B842" s="12" t="s">
        <v>7</v>
      </c>
      <c r="C842" s="12" t="s">
        <v>37</v>
      </c>
      <c r="D842" s="12" t="s">
        <v>38</v>
      </c>
      <c r="E842" s="12" t="s">
        <v>45</v>
      </c>
      <c r="F842" s="13" t="s">
        <v>44</v>
      </c>
      <c r="G842" s="12" t="s">
        <v>68</v>
      </c>
      <c r="H842" s="12" t="s">
        <v>830</v>
      </c>
      <c r="I842" s="12" t="s">
        <v>831</v>
      </c>
      <c r="J842" s="17" t="s">
        <v>2687</v>
      </c>
      <c r="K842" s="18">
        <v>1.0</v>
      </c>
      <c r="L842" s="20">
        <v>45894.0</v>
      </c>
      <c r="M842" s="17" t="s">
        <v>23</v>
      </c>
      <c r="N842" s="17" t="s">
        <v>2303</v>
      </c>
      <c r="O842" s="17">
        <v>4.0135418E7</v>
      </c>
      <c r="Q842" s="17" t="s">
        <v>73</v>
      </c>
      <c r="R842" s="17" t="s">
        <v>74</v>
      </c>
      <c r="S842" s="17" t="s">
        <v>2202</v>
      </c>
      <c r="U842" s="24"/>
      <c r="V842" s="24"/>
      <c r="W842" s="18" t="s">
        <v>577</v>
      </c>
    </row>
    <row r="843">
      <c r="A843" s="11"/>
      <c r="B843" s="12" t="s">
        <v>7</v>
      </c>
      <c r="C843" s="12" t="s">
        <v>37</v>
      </c>
      <c r="D843" s="12" t="s">
        <v>38</v>
      </c>
      <c r="E843" s="12" t="s">
        <v>45</v>
      </c>
      <c r="F843" s="13" t="s">
        <v>44</v>
      </c>
      <c r="G843" s="12" t="s">
        <v>68</v>
      </c>
      <c r="H843" s="12" t="s">
        <v>830</v>
      </c>
      <c r="I843" s="12" t="s">
        <v>831</v>
      </c>
      <c r="J843" s="17" t="s">
        <v>2687</v>
      </c>
      <c r="K843" s="18">
        <v>1.0</v>
      </c>
      <c r="L843" s="20">
        <v>45894.0</v>
      </c>
      <c r="M843" s="17" t="s">
        <v>23</v>
      </c>
      <c r="N843" s="17" t="s">
        <v>2304</v>
      </c>
      <c r="O843" s="17">
        <v>3.3335394E7</v>
      </c>
      <c r="Q843" s="17" t="s">
        <v>112</v>
      </c>
      <c r="R843" s="17" t="s">
        <v>113</v>
      </c>
      <c r="S843" s="17" t="s">
        <v>2220</v>
      </c>
      <c r="U843" s="24"/>
      <c r="V843" s="24"/>
      <c r="W843" s="18" t="s">
        <v>577</v>
      </c>
    </row>
    <row r="844">
      <c r="A844" s="11"/>
      <c r="B844" s="12" t="s">
        <v>7</v>
      </c>
      <c r="C844" s="12" t="s">
        <v>37</v>
      </c>
      <c r="D844" s="12" t="s">
        <v>38</v>
      </c>
      <c r="E844" s="12" t="s">
        <v>45</v>
      </c>
      <c r="F844" s="13" t="s">
        <v>44</v>
      </c>
      <c r="G844" s="12" t="s">
        <v>68</v>
      </c>
      <c r="H844" s="12" t="s">
        <v>830</v>
      </c>
      <c r="I844" s="12" t="s">
        <v>831</v>
      </c>
      <c r="J844" s="17" t="s">
        <v>2687</v>
      </c>
      <c r="K844" s="18">
        <v>1.0</v>
      </c>
      <c r="L844" s="20">
        <v>45894.0</v>
      </c>
      <c r="M844" s="17" t="s">
        <v>23</v>
      </c>
      <c r="N844" s="17" t="s">
        <v>2305</v>
      </c>
      <c r="O844" s="17">
        <v>4.6033972E7</v>
      </c>
      <c r="Q844" s="17" t="s">
        <v>108</v>
      </c>
      <c r="R844" s="17" t="s">
        <v>109</v>
      </c>
      <c r="S844" s="17" t="s">
        <v>2198</v>
      </c>
      <c r="U844" s="24"/>
      <c r="V844" s="24"/>
      <c r="W844" s="18" t="s">
        <v>577</v>
      </c>
    </row>
    <row r="845">
      <c r="A845" s="11"/>
      <c r="B845" s="12" t="s">
        <v>7</v>
      </c>
      <c r="C845" s="12" t="s">
        <v>8</v>
      </c>
      <c r="D845" s="12" t="s">
        <v>24</v>
      </c>
      <c r="E845" s="12" t="s">
        <v>35</v>
      </c>
      <c r="F845" s="13" t="s">
        <v>33</v>
      </c>
      <c r="G845" s="12" t="s">
        <v>68</v>
      </c>
      <c r="H845" s="12" t="s">
        <v>813</v>
      </c>
      <c r="I845" s="12" t="s">
        <v>814</v>
      </c>
      <c r="J845" s="17" t="s">
        <v>2687</v>
      </c>
      <c r="K845" s="18">
        <v>1.0</v>
      </c>
      <c r="L845" s="20">
        <v>45894.0</v>
      </c>
      <c r="M845" s="17" t="s">
        <v>23</v>
      </c>
      <c r="N845" s="17" t="s">
        <v>2390</v>
      </c>
      <c r="O845" s="17">
        <v>7.3863258E7</v>
      </c>
      <c r="Q845" s="17" t="s">
        <v>73</v>
      </c>
      <c r="R845" s="17" t="s">
        <v>1797</v>
      </c>
      <c r="S845" s="17" t="s">
        <v>2391</v>
      </c>
      <c r="U845" s="24"/>
      <c r="V845" s="24"/>
      <c r="W845" s="18" t="s">
        <v>577</v>
      </c>
    </row>
    <row r="846">
      <c r="A846" s="11"/>
      <c r="B846" s="12" t="s">
        <v>7</v>
      </c>
      <c r="C846" s="12" t="s">
        <v>8</v>
      </c>
      <c r="D846" s="12" t="s">
        <v>24</v>
      </c>
      <c r="E846" s="12" t="s">
        <v>35</v>
      </c>
      <c r="F846" s="13" t="s">
        <v>33</v>
      </c>
      <c r="G846" s="12" t="s">
        <v>68</v>
      </c>
      <c r="H846" s="12" t="s">
        <v>813</v>
      </c>
      <c r="I846" s="12" t="s">
        <v>814</v>
      </c>
      <c r="J846" s="17" t="s">
        <v>2687</v>
      </c>
      <c r="K846" s="18">
        <v>1.0</v>
      </c>
      <c r="L846" s="20">
        <v>45894.0</v>
      </c>
      <c r="M846" s="17" t="s">
        <v>23</v>
      </c>
      <c r="N846" s="17" t="s">
        <v>2389</v>
      </c>
      <c r="O846" s="17">
        <v>3.1629591E7</v>
      </c>
      <c r="Q846" s="17" t="s">
        <v>108</v>
      </c>
      <c r="R846" s="17" t="s">
        <v>109</v>
      </c>
      <c r="S846" s="17" t="s">
        <v>2198</v>
      </c>
      <c r="U846" s="24"/>
      <c r="V846" s="24"/>
      <c r="W846" s="18" t="s">
        <v>577</v>
      </c>
    </row>
    <row r="847">
      <c r="A847" s="11"/>
      <c r="B847" s="12" t="s">
        <v>34</v>
      </c>
      <c r="C847" s="12" t="s">
        <v>65</v>
      </c>
      <c r="D847" s="12" t="s">
        <v>43</v>
      </c>
      <c r="E847" s="12" t="s">
        <v>717</v>
      </c>
      <c r="F847" s="13" t="s">
        <v>718</v>
      </c>
      <c r="G847" s="12" t="s">
        <v>68</v>
      </c>
      <c r="H847" s="12" t="s">
        <v>719</v>
      </c>
      <c r="I847" s="12" t="s">
        <v>720</v>
      </c>
      <c r="J847" s="17" t="s">
        <v>2779</v>
      </c>
      <c r="K847" s="18" t="s">
        <v>2780</v>
      </c>
      <c r="L847" s="20">
        <v>45887.0</v>
      </c>
      <c r="M847" s="17" t="s">
        <v>28</v>
      </c>
      <c r="N847" s="17" t="s">
        <v>3326</v>
      </c>
      <c r="O847" s="17">
        <v>4.155927E7</v>
      </c>
      <c r="P847" s="17" t="s">
        <v>2525</v>
      </c>
      <c r="Q847" s="17" t="s">
        <v>112</v>
      </c>
      <c r="R847" s="17" t="s">
        <v>2526</v>
      </c>
      <c r="S847" s="17" t="s">
        <v>2527</v>
      </c>
      <c r="U847" s="24"/>
      <c r="V847" s="24"/>
      <c r="W847" s="18" t="s">
        <v>638</v>
      </c>
    </row>
    <row r="848">
      <c r="A848" s="11"/>
      <c r="B848" s="12" t="s">
        <v>34</v>
      </c>
      <c r="C848" s="12" t="s">
        <v>65</v>
      </c>
      <c r="D848" s="12" t="s">
        <v>43</v>
      </c>
      <c r="E848" s="12" t="s">
        <v>717</v>
      </c>
      <c r="F848" s="13" t="s">
        <v>718</v>
      </c>
      <c r="G848" s="12" t="s">
        <v>68</v>
      </c>
      <c r="H848" s="12" t="s">
        <v>719</v>
      </c>
      <c r="I848" s="12" t="s">
        <v>720</v>
      </c>
      <c r="J848" s="17" t="s">
        <v>2779</v>
      </c>
      <c r="K848" s="18" t="s">
        <v>2780</v>
      </c>
      <c r="L848" s="20">
        <v>45887.0</v>
      </c>
      <c r="M848" s="17" t="s">
        <v>28</v>
      </c>
      <c r="N848" s="17" t="s">
        <v>3327</v>
      </c>
      <c r="O848" s="17">
        <v>4.3573282E7</v>
      </c>
      <c r="P848" s="17" t="s">
        <v>2564</v>
      </c>
      <c r="Q848" s="17" t="s">
        <v>108</v>
      </c>
      <c r="R848" s="17" t="s">
        <v>2521</v>
      </c>
      <c r="S848" s="17" t="s">
        <v>2565</v>
      </c>
      <c r="U848" s="24"/>
      <c r="V848" s="24"/>
      <c r="W848" s="18" t="s">
        <v>638</v>
      </c>
    </row>
    <row r="849">
      <c r="A849" s="11"/>
      <c r="B849" s="12" t="s">
        <v>34</v>
      </c>
      <c r="C849" s="12" t="s">
        <v>65</v>
      </c>
      <c r="D849" s="12" t="s">
        <v>43</v>
      </c>
      <c r="E849" s="12" t="s">
        <v>717</v>
      </c>
      <c r="F849" s="13" t="s">
        <v>718</v>
      </c>
      <c r="G849" s="12" t="s">
        <v>68</v>
      </c>
      <c r="H849" s="12" t="s">
        <v>719</v>
      </c>
      <c r="I849" s="12" t="s">
        <v>720</v>
      </c>
      <c r="J849" s="17" t="s">
        <v>2779</v>
      </c>
      <c r="K849" s="18" t="s">
        <v>2780</v>
      </c>
      <c r="L849" s="20">
        <v>45887.0</v>
      </c>
      <c r="M849" s="17" t="s">
        <v>28</v>
      </c>
      <c r="N849" s="17" t="s">
        <v>3328</v>
      </c>
      <c r="O849" s="17">
        <v>4.3080788E7</v>
      </c>
      <c r="P849" s="17" t="s">
        <v>3329</v>
      </c>
      <c r="Q849" s="17" t="s">
        <v>112</v>
      </c>
      <c r="R849" s="17" t="s">
        <v>2526</v>
      </c>
      <c r="S849" s="17" t="s">
        <v>3330</v>
      </c>
      <c r="U849" s="24"/>
      <c r="V849" s="24"/>
      <c r="W849" s="18" t="s">
        <v>638</v>
      </c>
    </row>
    <row r="850">
      <c r="A850" s="11"/>
      <c r="B850" s="12" t="s">
        <v>34</v>
      </c>
      <c r="C850" s="12" t="s">
        <v>65</v>
      </c>
      <c r="D850" s="12" t="s">
        <v>43</v>
      </c>
      <c r="E850" s="12" t="s">
        <v>717</v>
      </c>
      <c r="F850" s="13" t="s">
        <v>718</v>
      </c>
      <c r="G850" s="12" t="s">
        <v>68</v>
      </c>
      <c r="H850" s="12" t="s">
        <v>719</v>
      </c>
      <c r="I850" s="12" t="s">
        <v>720</v>
      </c>
      <c r="J850" s="17" t="s">
        <v>2779</v>
      </c>
      <c r="K850" s="18" t="s">
        <v>2780</v>
      </c>
      <c r="L850" s="20">
        <v>45887.0</v>
      </c>
      <c r="M850" s="17" t="s">
        <v>28</v>
      </c>
      <c r="N850" s="17" t="s">
        <v>3331</v>
      </c>
      <c r="O850" s="17">
        <v>7.3392752E7</v>
      </c>
      <c r="P850" s="17" t="s">
        <v>3332</v>
      </c>
      <c r="Q850" s="17" t="s">
        <v>112</v>
      </c>
      <c r="R850" s="17" t="s">
        <v>2526</v>
      </c>
      <c r="S850" s="17" t="s">
        <v>3333</v>
      </c>
      <c r="U850" s="24"/>
      <c r="V850" s="24"/>
      <c r="W850" s="18" t="s">
        <v>638</v>
      </c>
    </row>
    <row r="851">
      <c r="A851" s="11"/>
      <c r="B851" s="12" t="s">
        <v>34</v>
      </c>
      <c r="C851" s="12" t="s">
        <v>65</v>
      </c>
      <c r="D851" s="12" t="s">
        <v>43</v>
      </c>
      <c r="E851" s="12" t="s">
        <v>717</v>
      </c>
      <c r="F851" s="13" t="s">
        <v>718</v>
      </c>
      <c r="G851" s="12" t="s">
        <v>68</v>
      </c>
      <c r="H851" s="12" t="s">
        <v>719</v>
      </c>
      <c r="I851" s="12" t="s">
        <v>720</v>
      </c>
      <c r="J851" s="17" t="s">
        <v>2779</v>
      </c>
      <c r="K851" s="18" t="s">
        <v>2780</v>
      </c>
      <c r="L851" s="20">
        <v>45887.0</v>
      </c>
      <c r="M851" s="17" t="s">
        <v>28</v>
      </c>
      <c r="N851" s="17" t="s">
        <v>2590</v>
      </c>
      <c r="O851" s="17">
        <v>7.7075089E7</v>
      </c>
      <c r="P851" s="17" t="s">
        <v>3334</v>
      </c>
      <c r="Q851" s="17" t="s">
        <v>73</v>
      </c>
      <c r="R851" s="17" t="s">
        <v>2536</v>
      </c>
      <c r="S851" s="17" t="s">
        <v>3335</v>
      </c>
      <c r="U851" s="24"/>
      <c r="V851" s="24"/>
      <c r="W851" s="18" t="s">
        <v>638</v>
      </c>
    </row>
    <row r="852">
      <c r="A852" s="11"/>
      <c r="B852" s="12" t="s">
        <v>34</v>
      </c>
      <c r="C852" s="12" t="s">
        <v>65</v>
      </c>
      <c r="D852" s="12" t="s">
        <v>43</v>
      </c>
      <c r="E852" s="12" t="s">
        <v>717</v>
      </c>
      <c r="F852" s="13" t="s">
        <v>718</v>
      </c>
      <c r="G852" s="12" t="s">
        <v>68</v>
      </c>
      <c r="H852" s="12" t="s">
        <v>719</v>
      </c>
      <c r="I852" s="12" t="s">
        <v>720</v>
      </c>
      <c r="J852" s="17" t="s">
        <v>2779</v>
      </c>
      <c r="K852" s="18" t="s">
        <v>2780</v>
      </c>
      <c r="L852" s="20">
        <v>45887.0</v>
      </c>
      <c r="M852" s="17" t="s">
        <v>28</v>
      </c>
      <c r="N852" s="17" t="s">
        <v>3336</v>
      </c>
      <c r="O852" s="17">
        <v>4.5503627E7</v>
      </c>
      <c r="Q852" s="2"/>
      <c r="U852" s="24"/>
      <c r="V852" s="24"/>
      <c r="W852" s="18" t="s">
        <v>638</v>
      </c>
    </row>
    <row r="853">
      <c r="A853" s="11"/>
      <c r="B853" s="12" t="s">
        <v>34</v>
      </c>
      <c r="C853" s="12" t="s">
        <v>65</v>
      </c>
      <c r="D853" s="12" t="s">
        <v>43</v>
      </c>
      <c r="E853" s="12" t="s">
        <v>717</v>
      </c>
      <c r="F853" s="13" t="s">
        <v>718</v>
      </c>
      <c r="G853" s="12" t="s">
        <v>68</v>
      </c>
      <c r="H853" s="12" t="s">
        <v>719</v>
      </c>
      <c r="I853" s="12" t="s">
        <v>720</v>
      </c>
      <c r="J853" s="17" t="s">
        <v>2779</v>
      </c>
      <c r="K853" s="18" t="s">
        <v>2780</v>
      </c>
      <c r="L853" s="20">
        <v>45887.0</v>
      </c>
      <c r="M853" s="17" t="s">
        <v>28</v>
      </c>
      <c r="N853" s="17" t="s">
        <v>3337</v>
      </c>
      <c r="O853" s="17">
        <v>7.2576769E7</v>
      </c>
      <c r="P853" s="17" t="s">
        <v>3338</v>
      </c>
      <c r="Q853" s="17" t="s">
        <v>112</v>
      </c>
      <c r="R853" s="17" t="s">
        <v>2526</v>
      </c>
      <c r="S853" s="17" t="s">
        <v>3339</v>
      </c>
      <c r="U853" s="24"/>
      <c r="V853" s="24"/>
      <c r="W853" s="18" t="s">
        <v>638</v>
      </c>
    </row>
    <row r="854">
      <c r="A854" s="11"/>
      <c r="B854" s="12" t="s">
        <v>34</v>
      </c>
      <c r="C854" s="12" t="s">
        <v>65</v>
      </c>
      <c r="D854" s="12" t="s">
        <v>43</v>
      </c>
      <c r="E854" s="12" t="s">
        <v>717</v>
      </c>
      <c r="F854" s="13" t="s">
        <v>718</v>
      </c>
      <c r="G854" s="12" t="s">
        <v>68</v>
      </c>
      <c r="H854" s="12" t="s">
        <v>719</v>
      </c>
      <c r="I854" s="12" t="s">
        <v>720</v>
      </c>
      <c r="J854" s="17" t="s">
        <v>2779</v>
      </c>
      <c r="K854" s="18" t="s">
        <v>2780</v>
      </c>
      <c r="L854" s="20">
        <v>45887.0</v>
      </c>
      <c r="M854" s="17" t="s">
        <v>28</v>
      </c>
      <c r="N854" s="17" t="s">
        <v>3340</v>
      </c>
      <c r="O854" s="17">
        <v>7.2576771E7</v>
      </c>
      <c r="P854" s="17" t="s">
        <v>3341</v>
      </c>
      <c r="Q854" s="17" t="s">
        <v>73</v>
      </c>
      <c r="R854" s="17" t="s">
        <v>2536</v>
      </c>
      <c r="S854" s="17" t="s">
        <v>3342</v>
      </c>
      <c r="U854" s="24"/>
      <c r="V854" s="24"/>
      <c r="W854" s="18" t="s">
        <v>638</v>
      </c>
    </row>
    <row r="855">
      <c r="A855" s="11"/>
      <c r="B855" s="12" t="s">
        <v>34</v>
      </c>
      <c r="C855" s="12" t="s">
        <v>65</v>
      </c>
      <c r="D855" s="12" t="s">
        <v>43</v>
      </c>
      <c r="E855" s="12" t="s">
        <v>717</v>
      </c>
      <c r="F855" s="13" t="s">
        <v>718</v>
      </c>
      <c r="G855" s="12" t="s">
        <v>68</v>
      </c>
      <c r="H855" s="12" t="s">
        <v>719</v>
      </c>
      <c r="I855" s="12" t="s">
        <v>720</v>
      </c>
      <c r="J855" s="17" t="s">
        <v>2779</v>
      </c>
      <c r="K855" s="18" t="s">
        <v>2780</v>
      </c>
      <c r="L855" s="20">
        <v>45887.0</v>
      </c>
      <c r="M855" s="17" t="s">
        <v>28</v>
      </c>
      <c r="N855" s="17" t="s">
        <v>2587</v>
      </c>
      <c r="O855" s="17">
        <v>7.2108898E7</v>
      </c>
      <c r="P855" s="17" t="s">
        <v>2588</v>
      </c>
      <c r="Q855" s="17" t="s">
        <v>73</v>
      </c>
      <c r="R855" s="17" t="s">
        <v>2536</v>
      </c>
      <c r="S855" s="17" t="s">
        <v>2589</v>
      </c>
      <c r="U855" s="24"/>
      <c r="V855" s="24"/>
      <c r="W855" s="18" t="s">
        <v>638</v>
      </c>
    </row>
    <row r="856">
      <c r="A856" s="11"/>
      <c r="B856" s="12" t="s">
        <v>34</v>
      </c>
      <c r="C856" s="12" t="s">
        <v>65</v>
      </c>
      <c r="D856" s="12" t="s">
        <v>43</v>
      </c>
      <c r="E856" s="12" t="s">
        <v>717</v>
      </c>
      <c r="F856" s="13" t="s">
        <v>718</v>
      </c>
      <c r="G856" s="12" t="s">
        <v>68</v>
      </c>
      <c r="H856" s="12" t="s">
        <v>719</v>
      </c>
      <c r="I856" s="12" t="s">
        <v>720</v>
      </c>
      <c r="J856" s="17" t="s">
        <v>2779</v>
      </c>
      <c r="K856" s="18" t="s">
        <v>2780</v>
      </c>
      <c r="L856" s="20">
        <v>45887.0</v>
      </c>
      <c r="M856" s="17" t="s">
        <v>28</v>
      </c>
      <c r="N856" s="17" t="s">
        <v>3343</v>
      </c>
      <c r="O856" s="17">
        <v>3.2303679E7</v>
      </c>
      <c r="P856" s="17" t="s">
        <v>3344</v>
      </c>
      <c r="Q856" s="17" t="s">
        <v>112</v>
      </c>
      <c r="R856" s="17" t="s">
        <v>2526</v>
      </c>
      <c r="S856" s="17" t="s">
        <v>3345</v>
      </c>
      <c r="U856" s="24"/>
      <c r="V856" s="24"/>
      <c r="W856" s="18" t="s">
        <v>638</v>
      </c>
    </row>
    <row r="857">
      <c r="A857" s="11"/>
      <c r="B857" s="12" t="s">
        <v>34</v>
      </c>
      <c r="C857" s="12" t="s">
        <v>65</v>
      </c>
      <c r="D857" s="12" t="s">
        <v>43</v>
      </c>
      <c r="E857" s="12" t="s">
        <v>717</v>
      </c>
      <c r="F857" s="13" t="s">
        <v>718</v>
      </c>
      <c r="G857" s="12" t="s">
        <v>68</v>
      </c>
      <c r="H857" s="12" t="s">
        <v>719</v>
      </c>
      <c r="I857" s="12" t="s">
        <v>720</v>
      </c>
      <c r="J857" s="17" t="s">
        <v>2779</v>
      </c>
      <c r="K857" s="18" t="s">
        <v>2780</v>
      </c>
      <c r="L857" s="20">
        <v>45887.0</v>
      </c>
      <c r="M857" s="17" t="s">
        <v>28</v>
      </c>
      <c r="N857" s="17" t="s">
        <v>3346</v>
      </c>
      <c r="O857" s="17">
        <v>7.2088868E7</v>
      </c>
      <c r="P857" s="17" t="s">
        <v>2520</v>
      </c>
      <c r="Q857" s="17" t="s">
        <v>108</v>
      </c>
      <c r="R857" s="17" t="s">
        <v>2521</v>
      </c>
      <c r="S857" s="17" t="s">
        <v>2522</v>
      </c>
      <c r="U857" s="24"/>
      <c r="V857" s="24"/>
      <c r="W857" s="18" t="s">
        <v>638</v>
      </c>
    </row>
    <row r="858">
      <c r="A858" s="11"/>
      <c r="B858" s="12" t="s">
        <v>34</v>
      </c>
      <c r="C858" s="12" t="s">
        <v>65</v>
      </c>
      <c r="D858" s="12" t="s">
        <v>43</v>
      </c>
      <c r="E858" s="12" t="s">
        <v>717</v>
      </c>
      <c r="F858" s="13" t="s">
        <v>718</v>
      </c>
      <c r="G858" s="12" t="s">
        <v>68</v>
      </c>
      <c r="H858" s="12" t="s">
        <v>719</v>
      </c>
      <c r="I858" s="12" t="s">
        <v>720</v>
      </c>
      <c r="J858" s="17" t="s">
        <v>2779</v>
      </c>
      <c r="K858" s="18" t="s">
        <v>2780</v>
      </c>
      <c r="L858" s="20">
        <v>45887.0</v>
      </c>
      <c r="M858" s="17" t="s">
        <v>28</v>
      </c>
      <c r="N858" s="17" t="s">
        <v>3347</v>
      </c>
      <c r="O858" s="17">
        <v>7.2576772E7</v>
      </c>
      <c r="Q858" s="2"/>
      <c r="U858" s="24"/>
      <c r="V858" s="24"/>
      <c r="W858" s="18" t="s">
        <v>638</v>
      </c>
    </row>
    <row r="859">
      <c r="A859" s="11"/>
      <c r="B859" s="12" t="s">
        <v>34</v>
      </c>
      <c r="C859" s="12" t="s">
        <v>65</v>
      </c>
      <c r="D859" s="12" t="s">
        <v>43</v>
      </c>
      <c r="E859" s="12" t="s">
        <v>773</v>
      </c>
      <c r="F859" s="13" t="s">
        <v>774</v>
      </c>
      <c r="G859" s="12" t="s">
        <v>68</v>
      </c>
      <c r="H859" s="12" t="s">
        <v>775</v>
      </c>
      <c r="I859" s="12" t="s">
        <v>776</v>
      </c>
      <c r="J859" s="17" t="s">
        <v>2779</v>
      </c>
      <c r="K859" s="18" t="s">
        <v>2780</v>
      </c>
      <c r="L859" s="20">
        <v>45883.0</v>
      </c>
      <c r="M859" s="17" t="s">
        <v>28</v>
      </c>
      <c r="N859" s="17" t="s">
        <v>3348</v>
      </c>
      <c r="O859" s="17">
        <v>7.1016949E7</v>
      </c>
      <c r="P859" s="17" t="s">
        <v>2613</v>
      </c>
      <c r="Q859" s="17" t="s">
        <v>108</v>
      </c>
      <c r="R859" s="17" t="s">
        <v>109</v>
      </c>
      <c r="S859" s="17" t="s">
        <v>3349</v>
      </c>
      <c r="U859" s="24"/>
      <c r="V859" s="24"/>
      <c r="W859" s="18" t="s">
        <v>638</v>
      </c>
    </row>
    <row r="860">
      <c r="A860" s="11"/>
      <c r="B860" s="12" t="s">
        <v>34</v>
      </c>
      <c r="C860" s="12" t="s">
        <v>65</v>
      </c>
      <c r="D860" s="12" t="s">
        <v>43</v>
      </c>
      <c r="E860" s="12" t="s">
        <v>773</v>
      </c>
      <c r="F860" s="13" t="s">
        <v>774</v>
      </c>
      <c r="G860" s="12" t="s">
        <v>68</v>
      </c>
      <c r="H860" s="12" t="s">
        <v>775</v>
      </c>
      <c r="I860" s="12" t="s">
        <v>776</v>
      </c>
      <c r="J860" s="17" t="s">
        <v>2779</v>
      </c>
      <c r="K860" s="18" t="s">
        <v>2780</v>
      </c>
      <c r="L860" s="20">
        <v>45883.0</v>
      </c>
      <c r="M860" s="17" t="s">
        <v>28</v>
      </c>
      <c r="N860" s="17" t="s">
        <v>2615</v>
      </c>
      <c r="O860" s="17">
        <v>4.2868544E7</v>
      </c>
      <c r="P860" s="17" t="s">
        <v>2616</v>
      </c>
      <c r="Q860" s="17" t="s">
        <v>112</v>
      </c>
      <c r="R860" s="17" t="s">
        <v>113</v>
      </c>
      <c r="S860" s="17" t="s">
        <v>3350</v>
      </c>
      <c r="U860" s="24"/>
      <c r="V860" s="24"/>
      <c r="W860" s="18" t="s">
        <v>638</v>
      </c>
    </row>
    <row r="861">
      <c r="A861" s="11"/>
      <c r="B861" s="12" t="s">
        <v>34</v>
      </c>
      <c r="C861" s="12" t="s">
        <v>65</v>
      </c>
      <c r="D861" s="12" t="s">
        <v>43</v>
      </c>
      <c r="E861" s="12" t="s">
        <v>773</v>
      </c>
      <c r="F861" s="13" t="s">
        <v>774</v>
      </c>
      <c r="G861" s="12" t="s">
        <v>68</v>
      </c>
      <c r="H861" s="12" t="s">
        <v>775</v>
      </c>
      <c r="I861" s="12" t="s">
        <v>776</v>
      </c>
      <c r="J861" s="17" t="s">
        <v>2779</v>
      </c>
      <c r="K861" s="18" t="s">
        <v>2780</v>
      </c>
      <c r="L861" s="20">
        <v>45883.0</v>
      </c>
      <c r="M861" s="17" t="s">
        <v>28</v>
      </c>
      <c r="N861" s="17" t="s">
        <v>3351</v>
      </c>
      <c r="O861" s="17">
        <v>4.2195094E7</v>
      </c>
      <c r="P861" s="17" t="s">
        <v>2633</v>
      </c>
      <c r="Q861" s="17" t="s">
        <v>73</v>
      </c>
      <c r="R861" s="17" t="s">
        <v>74</v>
      </c>
      <c r="S861" s="17" t="s">
        <v>2634</v>
      </c>
      <c r="U861" s="24"/>
      <c r="V861" s="24"/>
      <c r="W861" s="18" t="s">
        <v>638</v>
      </c>
    </row>
    <row r="862">
      <c r="A862" s="11"/>
      <c r="B862" s="12" t="s">
        <v>34</v>
      </c>
      <c r="C862" s="12" t="s">
        <v>65</v>
      </c>
      <c r="D862" s="12" t="s">
        <v>43</v>
      </c>
      <c r="E862" s="12" t="s">
        <v>773</v>
      </c>
      <c r="F862" s="13" t="s">
        <v>774</v>
      </c>
      <c r="G862" s="12" t="s">
        <v>68</v>
      </c>
      <c r="H862" s="12" t="s">
        <v>775</v>
      </c>
      <c r="I862" s="12" t="s">
        <v>776</v>
      </c>
      <c r="J862" s="17" t="s">
        <v>2779</v>
      </c>
      <c r="K862" s="18" t="s">
        <v>2780</v>
      </c>
      <c r="L862" s="20">
        <v>45883.0</v>
      </c>
      <c r="M862" s="17" t="s">
        <v>28</v>
      </c>
      <c r="N862" s="17" t="s">
        <v>2609</v>
      </c>
      <c r="O862" s="17">
        <v>7.1000156E7</v>
      </c>
      <c r="P862" s="17" t="s">
        <v>2610</v>
      </c>
      <c r="Q862" s="17" t="s">
        <v>108</v>
      </c>
      <c r="R862" s="17" t="s">
        <v>109</v>
      </c>
      <c r="S862" s="17" t="s">
        <v>3352</v>
      </c>
      <c r="U862" s="24"/>
      <c r="V862" s="24"/>
      <c r="W862" s="18" t="s">
        <v>638</v>
      </c>
    </row>
    <row r="863">
      <c r="A863" s="11"/>
      <c r="B863" s="12" t="s">
        <v>34</v>
      </c>
      <c r="C863" s="12" t="s">
        <v>65</v>
      </c>
      <c r="D863" s="12" t="s">
        <v>43</v>
      </c>
      <c r="E863" s="12" t="s">
        <v>773</v>
      </c>
      <c r="F863" s="13" t="s">
        <v>774</v>
      </c>
      <c r="G863" s="12" t="s">
        <v>68</v>
      </c>
      <c r="H863" s="12" t="s">
        <v>775</v>
      </c>
      <c r="I863" s="12" t="s">
        <v>776</v>
      </c>
      <c r="J863" s="17" t="s">
        <v>2779</v>
      </c>
      <c r="K863" s="18" t="s">
        <v>2780</v>
      </c>
      <c r="L863" s="20">
        <v>45883.0</v>
      </c>
      <c r="M863" s="17" t="s">
        <v>28</v>
      </c>
      <c r="N863" s="17" t="s">
        <v>3353</v>
      </c>
      <c r="O863" s="17">
        <v>7.1213948E7</v>
      </c>
      <c r="P863" s="17" t="s">
        <v>3354</v>
      </c>
      <c r="Q863" s="17" t="s">
        <v>112</v>
      </c>
      <c r="R863" s="17" t="s">
        <v>113</v>
      </c>
      <c r="S863" s="17" t="s">
        <v>3355</v>
      </c>
      <c r="U863" s="24"/>
      <c r="V863" s="24"/>
      <c r="W863" s="18" t="s">
        <v>638</v>
      </c>
    </row>
    <row r="864">
      <c r="A864" s="11"/>
      <c r="B864" s="12" t="s">
        <v>34</v>
      </c>
      <c r="C864" s="12" t="s">
        <v>65</v>
      </c>
      <c r="D864" s="12" t="s">
        <v>43</v>
      </c>
      <c r="E864" s="12" t="s">
        <v>773</v>
      </c>
      <c r="F864" s="13" t="s">
        <v>774</v>
      </c>
      <c r="G864" s="12" t="s">
        <v>68</v>
      </c>
      <c r="H864" s="12" t="s">
        <v>775</v>
      </c>
      <c r="I864" s="12" t="s">
        <v>776</v>
      </c>
      <c r="J864" s="17" t="s">
        <v>2779</v>
      </c>
      <c r="K864" s="18" t="s">
        <v>2780</v>
      </c>
      <c r="L864" s="20">
        <v>45883.0</v>
      </c>
      <c r="M864" s="17" t="s">
        <v>28</v>
      </c>
      <c r="N864" s="17" t="s">
        <v>2629</v>
      </c>
      <c r="O864" s="17">
        <v>4.7473337E7</v>
      </c>
      <c r="P864" s="17" t="s">
        <v>2630</v>
      </c>
      <c r="Q864" s="17" t="s">
        <v>112</v>
      </c>
      <c r="R864" s="17" t="s">
        <v>113</v>
      </c>
      <c r="S864" s="17" t="s">
        <v>3356</v>
      </c>
      <c r="U864" s="24"/>
      <c r="V864" s="24"/>
      <c r="W864" s="18" t="s">
        <v>638</v>
      </c>
    </row>
    <row r="865">
      <c r="A865" s="11"/>
      <c r="B865" s="12" t="s">
        <v>34</v>
      </c>
      <c r="C865" s="12" t="s">
        <v>65</v>
      </c>
      <c r="D865" s="12" t="s">
        <v>43</v>
      </c>
      <c r="E865" s="12" t="s">
        <v>773</v>
      </c>
      <c r="F865" s="13" t="s">
        <v>774</v>
      </c>
      <c r="G865" s="12" t="s">
        <v>68</v>
      </c>
      <c r="H865" s="12" t="s">
        <v>775</v>
      </c>
      <c r="I865" s="12" t="s">
        <v>776</v>
      </c>
      <c r="J865" s="17" t="s">
        <v>2779</v>
      </c>
      <c r="K865" s="18" t="s">
        <v>2780</v>
      </c>
      <c r="L865" s="20">
        <v>45883.0</v>
      </c>
      <c r="M865" s="17" t="s">
        <v>28</v>
      </c>
      <c r="N865" s="17" t="s">
        <v>3357</v>
      </c>
      <c r="O865" s="17">
        <v>4.0572029E7</v>
      </c>
      <c r="P865" s="17" t="s">
        <v>2603</v>
      </c>
      <c r="Q865" s="17" t="s">
        <v>108</v>
      </c>
      <c r="R865" s="17" t="s">
        <v>109</v>
      </c>
      <c r="S865" s="17" t="s">
        <v>3358</v>
      </c>
      <c r="U865" s="24"/>
      <c r="V865" s="24"/>
      <c r="W865" s="18" t="s">
        <v>638</v>
      </c>
    </row>
    <row r="866">
      <c r="A866" s="11"/>
      <c r="B866" s="12" t="s">
        <v>34</v>
      </c>
      <c r="C866" s="12" t="s">
        <v>65</v>
      </c>
      <c r="D866" s="12" t="s">
        <v>43</v>
      </c>
      <c r="E866" s="12" t="s">
        <v>773</v>
      </c>
      <c r="F866" s="13" t="s">
        <v>774</v>
      </c>
      <c r="G866" s="12" t="s">
        <v>68</v>
      </c>
      <c r="H866" s="12" t="s">
        <v>775</v>
      </c>
      <c r="I866" s="12" t="s">
        <v>776</v>
      </c>
      <c r="J866" s="17" t="s">
        <v>2779</v>
      </c>
      <c r="K866" s="18" t="s">
        <v>2780</v>
      </c>
      <c r="L866" s="20">
        <v>45883.0</v>
      </c>
      <c r="M866" s="17" t="s">
        <v>28</v>
      </c>
      <c r="N866" s="17" t="s">
        <v>2635</v>
      </c>
      <c r="O866" s="17">
        <v>6.0392387E7</v>
      </c>
      <c r="P866" s="17" t="s">
        <v>3359</v>
      </c>
      <c r="Q866" s="17" t="s">
        <v>73</v>
      </c>
      <c r="R866" s="17" t="s">
        <v>74</v>
      </c>
      <c r="S866" s="17" t="s">
        <v>3360</v>
      </c>
      <c r="U866" s="24"/>
      <c r="V866" s="24"/>
      <c r="W866" s="18" t="s">
        <v>638</v>
      </c>
    </row>
    <row r="867">
      <c r="A867" s="11"/>
      <c r="B867" s="12" t="s">
        <v>34</v>
      </c>
      <c r="C867" s="12" t="s">
        <v>65</v>
      </c>
      <c r="D867" s="12" t="s">
        <v>43</v>
      </c>
      <c r="E867" s="12" t="s">
        <v>773</v>
      </c>
      <c r="F867" s="13" t="s">
        <v>774</v>
      </c>
      <c r="G867" s="12" t="s">
        <v>68</v>
      </c>
      <c r="H867" s="12" t="s">
        <v>775</v>
      </c>
      <c r="I867" s="12" t="s">
        <v>776</v>
      </c>
      <c r="J867" s="17" t="s">
        <v>2779</v>
      </c>
      <c r="K867" s="18" t="s">
        <v>2780</v>
      </c>
      <c r="L867" s="20">
        <v>45883.0</v>
      </c>
      <c r="M867" s="17" t="s">
        <v>28</v>
      </c>
      <c r="N867" s="17" t="s">
        <v>3361</v>
      </c>
      <c r="O867" s="17">
        <v>7.3392781E7</v>
      </c>
      <c r="P867" s="17" t="s">
        <v>2622</v>
      </c>
      <c r="Q867" s="17" t="s">
        <v>108</v>
      </c>
      <c r="R867" s="17" t="s">
        <v>109</v>
      </c>
      <c r="S867" s="17" t="s">
        <v>3362</v>
      </c>
      <c r="U867" s="24"/>
      <c r="V867" s="24"/>
      <c r="W867" s="18" t="s">
        <v>638</v>
      </c>
    </row>
    <row r="868">
      <c r="A868" s="11"/>
      <c r="B868" s="12" t="s">
        <v>34</v>
      </c>
      <c r="C868" s="12" t="s">
        <v>65</v>
      </c>
      <c r="D868" s="12" t="s">
        <v>43</v>
      </c>
      <c r="E868" s="12" t="s">
        <v>773</v>
      </c>
      <c r="F868" s="13" t="s">
        <v>774</v>
      </c>
      <c r="G868" s="12" t="s">
        <v>68</v>
      </c>
      <c r="H868" s="12" t="s">
        <v>775</v>
      </c>
      <c r="I868" s="12" t="s">
        <v>776</v>
      </c>
      <c r="J868" s="17" t="s">
        <v>2779</v>
      </c>
      <c r="K868" s="18" t="s">
        <v>2780</v>
      </c>
      <c r="L868" s="20">
        <v>45883.0</v>
      </c>
      <c r="M868" s="17" t="s">
        <v>28</v>
      </c>
      <c r="N868" s="17" t="s">
        <v>2599</v>
      </c>
      <c r="O868" s="17">
        <v>4.8010027E7</v>
      </c>
      <c r="P868" s="17" t="s">
        <v>2600</v>
      </c>
      <c r="Q868" s="17" t="s">
        <v>73</v>
      </c>
      <c r="R868" s="17" t="s">
        <v>74</v>
      </c>
      <c r="S868" s="17" t="s">
        <v>2601</v>
      </c>
      <c r="U868" s="24"/>
      <c r="V868" s="24"/>
      <c r="W868" s="18" t="s">
        <v>638</v>
      </c>
    </row>
    <row r="869">
      <c r="A869" s="11"/>
      <c r="B869" s="12" t="s">
        <v>34</v>
      </c>
      <c r="C869" s="12" t="s">
        <v>65</v>
      </c>
      <c r="D869" s="12" t="s">
        <v>43</v>
      </c>
      <c r="E869" s="12" t="s">
        <v>773</v>
      </c>
      <c r="F869" s="13" t="s">
        <v>774</v>
      </c>
      <c r="G869" s="12" t="s">
        <v>68</v>
      </c>
      <c r="H869" s="12" t="s">
        <v>775</v>
      </c>
      <c r="I869" s="12" t="s">
        <v>776</v>
      </c>
      <c r="J869" s="17" t="s">
        <v>2779</v>
      </c>
      <c r="K869" s="18" t="s">
        <v>2780</v>
      </c>
      <c r="L869" s="20">
        <v>45883.0</v>
      </c>
      <c r="M869" s="17" t="s">
        <v>28</v>
      </c>
      <c r="N869" s="17" t="s">
        <v>3363</v>
      </c>
      <c r="O869" s="17">
        <v>7.4398753E7</v>
      </c>
      <c r="P869" s="17" t="s">
        <v>3364</v>
      </c>
      <c r="Q869" s="17" t="s">
        <v>108</v>
      </c>
      <c r="R869" s="17" t="s">
        <v>109</v>
      </c>
      <c r="S869" s="17" t="s">
        <v>3365</v>
      </c>
      <c r="U869" s="24"/>
      <c r="V869" s="24"/>
      <c r="W869" s="18" t="s">
        <v>638</v>
      </c>
    </row>
    <row r="870">
      <c r="A870" s="11"/>
      <c r="B870" s="12" t="s">
        <v>34</v>
      </c>
      <c r="C870" s="12" t="s">
        <v>65</v>
      </c>
      <c r="D870" s="12" t="s">
        <v>43</v>
      </c>
      <c r="E870" s="12" t="s">
        <v>773</v>
      </c>
      <c r="F870" s="13" t="s">
        <v>774</v>
      </c>
      <c r="G870" s="12" t="s">
        <v>68</v>
      </c>
      <c r="H870" s="12" t="s">
        <v>775</v>
      </c>
      <c r="I870" s="12" t="s">
        <v>776</v>
      </c>
      <c r="J870" s="17" t="s">
        <v>2779</v>
      </c>
      <c r="K870" s="18" t="s">
        <v>2780</v>
      </c>
      <c r="L870" s="20">
        <v>45883.0</v>
      </c>
      <c r="M870" s="17" t="s">
        <v>28</v>
      </c>
      <c r="N870" s="17" t="s">
        <v>2625</v>
      </c>
      <c r="O870" s="17">
        <v>7.2939698E7</v>
      </c>
      <c r="P870" s="17" t="s">
        <v>2626</v>
      </c>
      <c r="Q870" s="17" t="s">
        <v>112</v>
      </c>
      <c r="R870" s="17" t="s">
        <v>113</v>
      </c>
      <c r="S870" s="17" t="s">
        <v>3366</v>
      </c>
      <c r="U870" s="24"/>
      <c r="V870" s="24"/>
      <c r="W870" s="18" t="s">
        <v>638</v>
      </c>
    </row>
    <row r="871">
      <c r="A871" s="11"/>
      <c r="B871" s="12" t="s">
        <v>34</v>
      </c>
      <c r="C871" s="12" t="s">
        <v>65</v>
      </c>
      <c r="D871" s="12" t="s">
        <v>43</v>
      </c>
      <c r="E871" s="12" t="s">
        <v>773</v>
      </c>
      <c r="F871" s="13" t="s">
        <v>774</v>
      </c>
      <c r="G871" s="12" t="s">
        <v>68</v>
      </c>
      <c r="H871" s="12" t="s">
        <v>775</v>
      </c>
      <c r="I871" s="12" t="s">
        <v>776</v>
      </c>
      <c r="J871" s="17" t="s">
        <v>2779</v>
      </c>
      <c r="K871" s="18" t="s">
        <v>2780</v>
      </c>
      <c r="L871" s="20">
        <v>45883.0</v>
      </c>
      <c r="M871" s="17" t="s">
        <v>28</v>
      </c>
      <c r="N871" s="17" t="s">
        <v>3367</v>
      </c>
      <c r="O871" s="17">
        <v>7.6731148E7</v>
      </c>
      <c r="P871" s="17" t="s">
        <v>3368</v>
      </c>
      <c r="Q871" s="17" t="s">
        <v>108</v>
      </c>
      <c r="R871" s="17" t="s">
        <v>109</v>
      </c>
      <c r="S871" s="17" t="s">
        <v>3369</v>
      </c>
      <c r="U871" s="24"/>
      <c r="V871" s="24"/>
      <c r="W871" s="18" t="s">
        <v>638</v>
      </c>
    </row>
    <row r="872">
      <c r="A872" s="11"/>
      <c r="B872" s="12" t="s">
        <v>34</v>
      </c>
      <c r="C872" s="12" t="s">
        <v>65</v>
      </c>
      <c r="D872" s="12" t="s">
        <v>43</v>
      </c>
      <c r="E872" s="12" t="s">
        <v>691</v>
      </c>
      <c r="F872" s="13" t="s">
        <v>692</v>
      </c>
      <c r="G872" s="12" t="s">
        <v>68</v>
      </c>
      <c r="H872" s="12" t="s">
        <v>693</v>
      </c>
      <c r="I872" s="12" t="s">
        <v>694</v>
      </c>
      <c r="J872" s="17" t="s">
        <v>2779</v>
      </c>
      <c r="K872" s="18" t="s">
        <v>2780</v>
      </c>
      <c r="L872" s="20">
        <v>45889.0</v>
      </c>
      <c r="M872" s="17" t="s">
        <v>28</v>
      </c>
      <c r="N872" s="17" t="s">
        <v>3370</v>
      </c>
      <c r="O872" s="17">
        <v>4.6073434E7</v>
      </c>
      <c r="P872" s="17" t="s">
        <v>3371</v>
      </c>
      <c r="Q872" s="17" t="s">
        <v>112</v>
      </c>
      <c r="R872" s="17" t="s">
        <v>2493</v>
      </c>
      <c r="S872" s="17" t="s">
        <v>3372</v>
      </c>
      <c r="U872" s="24"/>
      <c r="V872" s="24"/>
      <c r="W872" s="18" t="s">
        <v>638</v>
      </c>
    </row>
    <row r="873">
      <c r="A873" s="11"/>
      <c r="B873" s="12" t="s">
        <v>34</v>
      </c>
      <c r="C873" s="12" t="s">
        <v>65</v>
      </c>
      <c r="D873" s="12" t="s">
        <v>43</v>
      </c>
      <c r="E873" s="12" t="s">
        <v>691</v>
      </c>
      <c r="F873" s="13" t="s">
        <v>692</v>
      </c>
      <c r="G873" s="12" t="s">
        <v>68</v>
      </c>
      <c r="H873" s="12" t="s">
        <v>693</v>
      </c>
      <c r="I873" s="12" t="s">
        <v>694</v>
      </c>
      <c r="J873" s="17" t="s">
        <v>2779</v>
      </c>
      <c r="K873" s="18" t="s">
        <v>2780</v>
      </c>
      <c r="L873" s="20">
        <v>45889.0</v>
      </c>
      <c r="M873" s="17" t="s">
        <v>28</v>
      </c>
      <c r="N873" s="17" t="s">
        <v>3373</v>
      </c>
      <c r="O873" s="17">
        <v>7.4081121E7</v>
      </c>
      <c r="P873" s="17" t="s">
        <v>3374</v>
      </c>
      <c r="Q873" s="17" t="s">
        <v>108</v>
      </c>
      <c r="R873" s="17" t="s">
        <v>2485</v>
      </c>
      <c r="S873" s="17" t="s">
        <v>3375</v>
      </c>
      <c r="U873" s="24"/>
      <c r="V873" s="24"/>
      <c r="W873" s="18" t="s">
        <v>638</v>
      </c>
    </row>
    <row r="874">
      <c r="A874" s="11"/>
      <c r="B874" s="12" t="s">
        <v>34</v>
      </c>
      <c r="C874" s="12" t="s">
        <v>65</v>
      </c>
      <c r="D874" s="12" t="s">
        <v>43</v>
      </c>
      <c r="E874" s="12" t="s">
        <v>691</v>
      </c>
      <c r="F874" s="13" t="s">
        <v>692</v>
      </c>
      <c r="G874" s="12" t="s">
        <v>68</v>
      </c>
      <c r="H874" s="12" t="s">
        <v>693</v>
      </c>
      <c r="I874" s="12" t="s">
        <v>694</v>
      </c>
      <c r="J874" s="17" t="s">
        <v>2779</v>
      </c>
      <c r="K874" s="18" t="s">
        <v>2780</v>
      </c>
      <c r="L874" s="20">
        <v>45889.0</v>
      </c>
      <c r="M874" s="17" t="s">
        <v>28</v>
      </c>
      <c r="N874" s="17" t="s">
        <v>3376</v>
      </c>
      <c r="O874" s="17">
        <v>7.2663569E7</v>
      </c>
      <c r="P874" s="17" t="s">
        <v>3377</v>
      </c>
      <c r="Q874" s="17" t="s">
        <v>108</v>
      </c>
      <c r="R874" s="17" t="s">
        <v>2485</v>
      </c>
      <c r="S874" s="17" t="s">
        <v>3378</v>
      </c>
      <c r="U874" s="24"/>
      <c r="V874" s="24"/>
      <c r="W874" s="18" t="s">
        <v>638</v>
      </c>
    </row>
    <row r="875">
      <c r="A875" s="11"/>
      <c r="B875" s="12" t="s">
        <v>34</v>
      </c>
      <c r="C875" s="12" t="s">
        <v>65</v>
      </c>
      <c r="D875" s="12" t="s">
        <v>43</v>
      </c>
      <c r="E875" s="12" t="s">
        <v>691</v>
      </c>
      <c r="F875" s="13" t="s">
        <v>692</v>
      </c>
      <c r="G875" s="12" t="s">
        <v>68</v>
      </c>
      <c r="H875" s="12" t="s">
        <v>693</v>
      </c>
      <c r="I875" s="12" t="s">
        <v>694</v>
      </c>
      <c r="J875" s="17" t="s">
        <v>2779</v>
      </c>
      <c r="K875" s="18" t="s">
        <v>2780</v>
      </c>
      <c r="L875" s="20">
        <v>45889.0</v>
      </c>
      <c r="M875" s="17" t="s">
        <v>28</v>
      </c>
      <c r="N875" s="17" t="s">
        <v>3379</v>
      </c>
      <c r="O875" s="17">
        <v>7.3201921E7</v>
      </c>
      <c r="P875" s="17" t="s">
        <v>3380</v>
      </c>
      <c r="Q875" s="17" t="s">
        <v>108</v>
      </c>
      <c r="R875" s="17" t="s">
        <v>2485</v>
      </c>
      <c r="S875" s="17" t="s">
        <v>3381</v>
      </c>
      <c r="U875" s="24"/>
      <c r="V875" s="24"/>
      <c r="W875" s="18" t="s">
        <v>638</v>
      </c>
    </row>
    <row r="876">
      <c r="A876" s="11"/>
      <c r="B876" s="12" t="s">
        <v>34</v>
      </c>
      <c r="C876" s="12" t="s">
        <v>65</v>
      </c>
      <c r="D876" s="12" t="s">
        <v>43</v>
      </c>
      <c r="E876" s="12" t="s">
        <v>691</v>
      </c>
      <c r="F876" s="13" t="s">
        <v>692</v>
      </c>
      <c r="G876" s="12" t="s">
        <v>68</v>
      </c>
      <c r="H876" s="12" t="s">
        <v>693</v>
      </c>
      <c r="I876" s="12" t="s">
        <v>694</v>
      </c>
      <c r="J876" s="17" t="s">
        <v>2779</v>
      </c>
      <c r="K876" s="18" t="s">
        <v>2780</v>
      </c>
      <c r="L876" s="20">
        <v>45889.0</v>
      </c>
      <c r="M876" s="17" t="s">
        <v>28</v>
      </c>
      <c r="N876" s="17" t="s">
        <v>2510</v>
      </c>
      <c r="O876" s="17">
        <v>7.3507318E7</v>
      </c>
      <c r="P876" s="17" t="s">
        <v>2511</v>
      </c>
      <c r="Q876" s="17" t="s">
        <v>108</v>
      </c>
      <c r="R876" s="17" t="s">
        <v>2485</v>
      </c>
      <c r="S876" s="17" t="s">
        <v>2512</v>
      </c>
      <c r="U876" s="24"/>
      <c r="V876" s="24"/>
      <c r="W876" s="18" t="s">
        <v>638</v>
      </c>
    </row>
    <row r="877">
      <c r="A877" s="11"/>
      <c r="B877" s="12" t="s">
        <v>34</v>
      </c>
      <c r="C877" s="12" t="s">
        <v>65</v>
      </c>
      <c r="D877" s="12" t="s">
        <v>43</v>
      </c>
      <c r="E877" s="12" t="s">
        <v>691</v>
      </c>
      <c r="F877" s="13" t="s">
        <v>692</v>
      </c>
      <c r="G877" s="12" t="s">
        <v>68</v>
      </c>
      <c r="H877" s="12" t="s">
        <v>693</v>
      </c>
      <c r="I877" s="12" t="s">
        <v>694</v>
      </c>
      <c r="J877" s="17" t="s">
        <v>2779</v>
      </c>
      <c r="K877" s="18" t="s">
        <v>2780</v>
      </c>
      <c r="L877" s="20">
        <v>45889.0</v>
      </c>
      <c r="M877" s="17" t="s">
        <v>28</v>
      </c>
      <c r="N877" s="17" t="s">
        <v>3382</v>
      </c>
      <c r="O877" s="17">
        <v>7.2095142E7</v>
      </c>
      <c r="P877" s="17" t="s">
        <v>3383</v>
      </c>
      <c r="Q877" s="17" t="s">
        <v>108</v>
      </c>
      <c r="R877" s="17" t="s">
        <v>2485</v>
      </c>
      <c r="S877" s="17" t="s">
        <v>3384</v>
      </c>
      <c r="U877" s="24"/>
      <c r="V877" s="24"/>
      <c r="W877" s="18" t="s">
        <v>638</v>
      </c>
    </row>
    <row r="878">
      <c r="A878" s="11"/>
      <c r="B878" s="12" t="s">
        <v>34</v>
      </c>
      <c r="C878" s="12" t="s">
        <v>65</v>
      </c>
      <c r="D878" s="12" t="s">
        <v>43</v>
      </c>
      <c r="E878" s="12" t="s">
        <v>691</v>
      </c>
      <c r="F878" s="13" t="s">
        <v>692</v>
      </c>
      <c r="G878" s="12" t="s">
        <v>68</v>
      </c>
      <c r="H878" s="12" t="s">
        <v>693</v>
      </c>
      <c r="I878" s="12" t="s">
        <v>694</v>
      </c>
      <c r="J878" s="17" t="s">
        <v>2779</v>
      </c>
      <c r="K878" s="18" t="s">
        <v>2780</v>
      </c>
      <c r="L878" s="20">
        <v>45889.0</v>
      </c>
      <c r="M878" s="17" t="s">
        <v>28</v>
      </c>
      <c r="N878" s="17" t="s">
        <v>3385</v>
      </c>
      <c r="O878" s="17">
        <v>7.0989408E7</v>
      </c>
      <c r="P878" s="17" t="s">
        <v>3386</v>
      </c>
      <c r="Q878" s="17" t="s">
        <v>108</v>
      </c>
      <c r="R878" s="17" t="s">
        <v>2485</v>
      </c>
      <c r="S878" s="17" t="s">
        <v>3387</v>
      </c>
      <c r="U878" s="24"/>
      <c r="V878" s="24"/>
      <c r="W878" s="18" t="s">
        <v>638</v>
      </c>
    </row>
    <row r="879">
      <c r="A879" s="11"/>
      <c r="B879" s="12" t="s">
        <v>34</v>
      </c>
      <c r="C879" s="12" t="s">
        <v>65</v>
      </c>
      <c r="D879" s="12" t="s">
        <v>43</v>
      </c>
      <c r="E879" s="12" t="s">
        <v>691</v>
      </c>
      <c r="F879" s="13" t="s">
        <v>692</v>
      </c>
      <c r="G879" s="12" t="s">
        <v>68</v>
      </c>
      <c r="H879" s="12" t="s">
        <v>693</v>
      </c>
      <c r="I879" s="12" t="s">
        <v>694</v>
      </c>
      <c r="J879" s="17" t="s">
        <v>2779</v>
      </c>
      <c r="K879" s="18" t="s">
        <v>2780</v>
      </c>
      <c r="L879" s="20">
        <v>45889.0</v>
      </c>
      <c r="M879" s="17" t="s">
        <v>28</v>
      </c>
      <c r="N879" s="17" t="s">
        <v>3388</v>
      </c>
      <c r="O879" s="17">
        <v>7.2118792E7</v>
      </c>
      <c r="P879" s="17" t="s">
        <v>3389</v>
      </c>
      <c r="Q879" s="17" t="s">
        <v>73</v>
      </c>
      <c r="R879" s="17" t="s">
        <v>2489</v>
      </c>
      <c r="S879" s="17" t="s">
        <v>3390</v>
      </c>
      <c r="U879" s="24"/>
      <c r="V879" s="24"/>
      <c r="W879" s="18" t="s">
        <v>638</v>
      </c>
    </row>
    <row r="880">
      <c r="A880" s="11"/>
      <c r="B880" s="12" t="s">
        <v>34</v>
      </c>
      <c r="C880" s="12" t="s">
        <v>65</v>
      </c>
      <c r="D880" s="12" t="s">
        <v>43</v>
      </c>
      <c r="E880" s="12" t="s">
        <v>691</v>
      </c>
      <c r="F880" s="13" t="s">
        <v>692</v>
      </c>
      <c r="G880" s="12" t="s">
        <v>68</v>
      </c>
      <c r="H880" s="12" t="s">
        <v>693</v>
      </c>
      <c r="I880" s="12" t="s">
        <v>694</v>
      </c>
      <c r="J880" s="17" t="s">
        <v>2779</v>
      </c>
      <c r="K880" s="18" t="s">
        <v>2780</v>
      </c>
      <c r="L880" s="20">
        <v>45889.0</v>
      </c>
      <c r="M880" s="17" t="s">
        <v>28</v>
      </c>
      <c r="N880" s="17" t="s">
        <v>3391</v>
      </c>
      <c r="O880" s="17">
        <v>6.0120906E7</v>
      </c>
      <c r="P880" s="17" t="s">
        <v>3392</v>
      </c>
      <c r="Q880" s="17" t="s">
        <v>112</v>
      </c>
      <c r="R880" s="17" t="s">
        <v>2493</v>
      </c>
      <c r="S880" s="17" t="s">
        <v>3393</v>
      </c>
      <c r="U880" s="24"/>
      <c r="V880" s="24"/>
      <c r="W880" s="18" t="s">
        <v>638</v>
      </c>
    </row>
    <row r="881">
      <c r="A881" s="11"/>
      <c r="B881" s="12" t="s">
        <v>34</v>
      </c>
      <c r="C881" s="12" t="s">
        <v>65</v>
      </c>
      <c r="D881" s="12" t="s">
        <v>43</v>
      </c>
      <c r="E881" s="12" t="s">
        <v>691</v>
      </c>
      <c r="F881" s="13" t="s">
        <v>692</v>
      </c>
      <c r="G881" s="12" t="s">
        <v>68</v>
      </c>
      <c r="H881" s="12" t="s">
        <v>693</v>
      </c>
      <c r="I881" s="12" t="s">
        <v>694</v>
      </c>
      <c r="J881" s="17" t="s">
        <v>2779</v>
      </c>
      <c r="K881" s="18" t="s">
        <v>2780</v>
      </c>
      <c r="L881" s="20">
        <v>45889.0</v>
      </c>
      <c r="M881" s="17" t="s">
        <v>28</v>
      </c>
      <c r="N881" s="17" t="s">
        <v>3394</v>
      </c>
      <c r="O881" s="17">
        <v>7.100011E7</v>
      </c>
      <c r="P881" s="17" t="s">
        <v>3395</v>
      </c>
      <c r="Q881" s="17" t="s">
        <v>73</v>
      </c>
      <c r="R881" s="17" t="s">
        <v>2489</v>
      </c>
      <c r="S881" s="17" t="s">
        <v>3396</v>
      </c>
      <c r="U881" s="24"/>
      <c r="V881" s="24"/>
      <c r="W881" s="18" t="s">
        <v>638</v>
      </c>
    </row>
    <row r="882">
      <c r="A882" s="11"/>
      <c r="B882" s="12" t="s">
        <v>34</v>
      </c>
      <c r="C882" s="12" t="s">
        <v>65</v>
      </c>
      <c r="D882" s="12" t="s">
        <v>43</v>
      </c>
      <c r="E882" s="12" t="s">
        <v>691</v>
      </c>
      <c r="F882" s="13" t="s">
        <v>692</v>
      </c>
      <c r="G882" s="12" t="s">
        <v>68</v>
      </c>
      <c r="H882" s="12" t="s">
        <v>693</v>
      </c>
      <c r="I882" s="12" t="s">
        <v>694</v>
      </c>
      <c r="J882" s="17" t="s">
        <v>2779</v>
      </c>
      <c r="K882" s="18" t="s">
        <v>2780</v>
      </c>
      <c r="L882" s="20">
        <v>45889.0</v>
      </c>
      <c r="M882" s="17" t="s">
        <v>28</v>
      </c>
      <c r="N882" s="17" t="s">
        <v>3397</v>
      </c>
      <c r="O882" s="17">
        <v>7.6196519E7</v>
      </c>
      <c r="P882" s="17" t="s">
        <v>3398</v>
      </c>
      <c r="Q882" s="17" t="s">
        <v>108</v>
      </c>
      <c r="R882" s="17" t="s">
        <v>2485</v>
      </c>
      <c r="S882" s="17" t="s">
        <v>3399</v>
      </c>
      <c r="U882" s="24"/>
      <c r="V882" s="24"/>
      <c r="W882" s="18" t="s">
        <v>638</v>
      </c>
    </row>
    <row r="883">
      <c r="A883" s="11"/>
      <c r="B883" s="12" t="s">
        <v>34</v>
      </c>
      <c r="C883" s="12" t="s">
        <v>65</v>
      </c>
      <c r="D883" s="12" t="s">
        <v>43</v>
      </c>
      <c r="E883" s="12" t="s">
        <v>691</v>
      </c>
      <c r="F883" s="13" t="s">
        <v>692</v>
      </c>
      <c r="G883" s="12" t="s">
        <v>68</v>
      </c>
      <c r="H883" s="12" t="s">
        <v>693</v>
      </c>
      <c r="I883" s="12" t="s">
        <v>694</v>
      </c>
      <c r="J883" s="17" t="s">
        <v>2779</v>
      </c>
      <c r="K883" s="18" t="s">
        <v>2780</v>
      </c>
      <c r="L883" s="20">
        <v>45889.0</v>
      </c>
      <c r="M883" s="17" t="s">
        <v>28</v>
      </c>
      <c r="N883" s="17" t="s">
        <v>3400</v>
      </c>
      <c r="O883" s="17">
        <v>4.4300615E7</v>
      </c>
      <c r="P883" s="17" t="s">
        <v>3401</v>
      </c>
      <c r="Q883" s="17" t="s">
        <v>112</v>
      </c>
      <c r="R883" s="17" t="s">
        <v>2493</v>
      </c>
      <c r="S883" s="17" t="s">
        <v>3402</v>
      </c>
      <c r="U883" s="24"/>
      <c r="V883" s="24"/>
      <c r="W883" s="18" t="s">
        <v>638</v>
      </c>
    </row>
    <row r="884">
      <c r="A884" s="11"/>
      <c r="B884" s="12" t="s">
        <v>34</v>
      </c>
      <c r="C884" s="12" t="s">
        <v>65</v>
      </c>
      <c r="D884" s="12" t="s">
        <v>43</v>
      </c>
      <c r="E884" s="12" t="s">
        <v>691</v>
      </c>
      <c r="F884" s="13" t="s">
        <v>692</v>
      </c>
      <c r="G884" s="12" t="s">
        <v>68</v>
      </c>
      <c r="H884" s="12" t="s">
        <v>693</v>
      </c>
      <c r="I884" s="12" t="s">
        <v>694</v>
      </c>
      <c r="J884" s="17" t="s">
        <v>2779</v>
      </c>
      <c r="K884" s="18" t="s">
        <v>2780</v>
      </c>
      <c r="L884" s="20">
        <v>45889.0</v>
      </c>
      <c r="M884" s="17" t="s">
        <v>23</v>
      </c>
      <c r="N884" s="17" t="s">
        <v>3403</v>
      </c>
      <c r="O884" s="17">
        <v>4.4408403E7</v>
      </c>
      <c r="Q884" s="17" t="s">
        <v>108</v>
      </c>
      <c r="R884" s="17" t="s">
        <v>2485</v>
      </c>
      <c r="S884" s="17" t="s">
        <v>3404</v>
      </c>
      <c r="U884" s="24"/>
      <c r="V884" s="24"/>
      <c r="W884" s="18" t="s">
        <v>638</v>
      </c>
    </row>
    <row r="885">
      <c r="A885" s="11"/>
      <c r="B885" s="12" t="s">
        <v>34</v>
      </c>
      <c r="C885" s="12" t="s">
        <v>65</v>
      </c>
      <c r="D885" s="12" t="s">
        <v>43</v>
      </c>
      <c r="E885" s="12" t="s">
        <v>691</v>
      </c>
      <c r="F885" s="13" t="s">
        <v>692</v>
      </c>
      <c r="G885" s="12" t="s">
        <v>68</v>
      </c>
      <c r="H885" s="12" t="s">
        <v>693</v>
      </c>
      <c r="I885" s="12" t="s">
        <v>694</v>
      </c>
      <c r="J885" s="17" t="s">
        <v>2779</v>
      </c>
      <c r="K885" s="18" t="s">
        <v>2780</v>
      </c>
      <c r="L885" s="20">
        <v>45889.0</v>
      </c>
      <c r="M885" s="17" t="s">
        <v>23</v>
      </c>
      <c r="N885" s="17" t="s">
        <v>3405</v>
      </c>
      <c r="O885" s="17">
        <v>3.2299165E7</v>
      </c>
      <c r="Q885" s="17" t="s">
        <v>112</v>
      </c>
      <c r="R885" s="17" t="str">
        <f>IFERROR(__xludf.DUMMYFUNCTION("CONCATENATE(REGEXEXTRACT(Q885,""[\d]+""),"" años"")"),"4 años")</f>
        <v>4 años</v>
      </c>
      <c r="S885" s="17" t="s">
        <v>2220</v>
      </c>
      <c r="U885" s="24"/>
      <c r="V885" s="24"/>
      <c r="W885" s="18" t="s">
        <v>638</v>
      </c>
    </row>
    <row r="886">
      <c r="A886" s="11"/>
      <c r="B886" s="12" t="s">
        <v>34</v>
      </c>
      <c r="C886" s="12" t="s">
        <v>65</v>
      </c>
      <c r="D886" s="12" t="s">
        <v>43</v>
      </c>
      <c r="E886" s="12" t="s">
        <v>691</v>
      </c>
      <c r="F886" s="13" t="s">
        <v>692</v>
      </c>
      <c r="G886" s="12" t="s">
        <v>68</v>
      </c>
      <c r="H886" s="12" t="s">
        <v>693</v>
      </c>
      <c r="I886" s="12" t="s">
        <v>694</v>
      </c>
      <c r="J886" s="17" t="s">
        <v>2779</v>
      </c>
      <c r="K886" s="18" t="s">
        <v>2780</v>
      </c>
      <c r="L886" s="20">
        <v>45889.0</v>
      </c>
      <c r="M886" s="17" t="s">
        <v>23</v>
      </c>
      <c r="N886" s="17" t="s">
        <v>3406</v>
      </c>
      <c r="O886" s="17">
        <v>3.2262416E7</v>
      </c>
      <c r="Q886" s="17" t="s">
        <v>73</v>
      </c>
      <c r="R886" s="17" t="str">
        <f>IFERROR(__xludf.DUMMYFUNCTION("CONCATENATE(REGEXEXTRACT(Q886,""[\d]+""),"" años"")"),"3 años")</f>
        <v>3 años</v>
      </c>
      <c r="S886" s="17" t="s">
        <v>2202</v>
      </c>
      <c r="U886" s="24"/>
      <c r="V886" s="24"/>
      <c r="W886" s="18" t="s">
        <v>638</v>
      </c>
    </row>
    <row r="887">
      <c r="A887" s="11"/>
      <c r="B887" s="12" t="s">
        <v>43</v>
      </c>
      <c r="C887" s="12" t="s">
        <v>65</v>
      </c>
      <c r="D887" s="12" t="s">
        <v>43</v>
      </c>
      <c r="E887" s="12" t="s">
        <v>188</v>
      </c>
      <c r="F887" s="13" t="s">
        <v>189</v>
      </c>
      <c r="G887" s="12" t="s">
        <v>68</v>
      </c>
      <c r="H887" s="12" t="s">
        <v>190</v>
      </c>
      <c r="I887" s="12" t="s">
        <v>191</v>
      </c>
      <c r="J887" s="17" t="s">
        <v>2687</v>
      </c>
      <c r="K887" s="18">
        <v>1.0</v>
      </c>
      <c r="L887" s="20">
        <v>45896.0</v>
      </c>
      <c r="M887" s="17" t="s">
        <v>23</v>
      </c>
      <c r="N887" s="116" t="s">
        <v>3407</v>
      </c>
      <c r="Q887" s="17" t="s">
        <v>73</v>
      </c>
      <c r="R887" s="17" t="str">
        <f>IFERROR(__xludf.DUMMYFUNCTION("CONCATENATE(REGEXEXTRACT(Q887,""[\d]+""),"" años"")"),"3 años")</f>
        <v>3 años</v>
      </c>
      <c r="S887" s="17" t="s">
        <v>2202</v>
      </c>
      <c r="U887" s="24"/>
      <c r="V887" s="24"/>
      <c r="W887" s="18" t="s">
        <v>76</v>
      </c>
    </row>
    <row r="888">
      <c r="A888" s="11"/>
      <c r="B888" s="12" t="s">
        <v>43</v>
      </c>
      <c r="C888" s="12" t="s">
        <v>65</v>
      </c>
      <c r="D888" s="12" t="s">
        <v>43</v>
      </c>
      <c r="E888" s="12" t="s">
        <v>188</v>
      </c>
      <c r="F888" s="13" t="s">
        <v>189</v>
      </c>
      <c r="G888" s="12" t="s">
        <v>68</v>
      </c>
      <c r="H888" s="12" t="s">
        <v>190</v>
      </c>
      <c r="I888" s="12" t="s">
        <v>191</v>
      </c>
      <c r="J888" s="17" t="s">
        <v>2687</v>
      </c>
      <c r="K888" s="18">
        <v>1.0</v>
      </c>
      <c r="L888" s="20">
        <v>45896.0</v>
      </c>
      <c r="M888" s="17" t="s">
        <v>23</v>
      </c>
      <c r="N888" s="17" t="s">
        <v>3408</v>
      </c>
      <c r="Q888" s="17" t="s">
        <v>108</v>
      </c>
      <c r="R888" s="2" t="str">
        <f>IFERROR(__xludf.DUMMYFUNCTION("CONCATENATE(REGEXEXTRACT(Q888,""[\d]+""),"" años"")"),"5 años")</f>
        <v>5 años</v>
      </c>
      <c r="S888" s="17" t="s">
        <v>2198</v>
      </c>
      <c r="U888" s="24"/>
      <c r="V888" s="24"/>
      <c r="W888" s="18" t="s">
        <v>76</v>
      </c>
    </row>
    <row r="889">
      <c r="A889" s="11"/>
      <c r="B889" s="12" t="s">
        <v>43</v>
      </c>
      <c r="C889" s="12" t="s">
        <v>65</v>
      </c>
      <c r="D889" s="12" t="s">
        <v>43</v>
      </c>
      <c r="E889" s="12" t="s">
        <v>188</v>
      </c>
      <c r="F889" s="13" t="s">
        <v>189</v>
      </c>
      <c r="G889" s="12" t="s">
        <v>68</v>
      </c>
      <c r="H889" s="12" t="s">
        <v>190</v>
      </c>
      <c r="I889" s="12" t="s">
        <v>191</v>
      </c>
      <c r="J889" s="17" t="s">
        <v>2687</v>
      </c>
      <c r="K889" s="18">
        <v>1.0</v>
      </c>
      <c r="L889" s="20">
        <v>45896.0</v>
      </c>
      <c r="M889" s="17" t="s">
        <v>23</v>
      </c>
      <c r="N889" s="17" t="s">
        <v>3409</v>
      </c>
      <c r="Q889" s="17" t="s">
        <v>112</v>
      </c>
      <c r="R889" s="2" t="str">
        <f>IFERROR(__xludf.DUMMYFUNCTION("CONCATENATE(REGEXEXTRACT(Q889,""[\d]+""),"" años"")"),"4 años")</f>
        <v>4 años</v>
      </c>
      <c r="S889" s="17" t="s">
        <v>2220</v>
      </c>
      <c r="U889" s="24"/>
      <c r="V889" s="24"/>
      <c r="W889" s="18" t="s">
        <v>76</v>
      </c>
    </row>
    <row r="890">
      <c r="A890" s="11"/>
      <c r="B890" s="12" t="s">
        <v>43</v>
      </c>
      <c r="C890" s="12" t="s">
        <v>65</v>
      </c>
      <c r="D890" s="12" t="s">
        <v>43</v>
      </c>
      <c r="E890" s="12" t="s">
        <v>66</v>
      </c>
      <c r="F890" s="13" t="s">
        <v>67</v>
      </c>
      <c r="G890" s="12" t="s">
        <v>68</v>
      </c>
      <c r="H890" s="12" t="s">
        <v>69</v>
      </c>
      <c r="I890" s="12" t="s">
        <v>70</v>
      </c>
      <c r="J890" s="17" t="s">
        <v>2169</v>
      </c>
      <c r="K890" s="18">
        <v>2.0</v>
      </c>
      <c r="L890" s="20">
        <v>45903.0</v>
      </c>
      <c r="M890" s="17" t="s">
        <v>23</v>
      </c>
      <c r="N890" s="17" t="s">
        <v>3410</v>
      </c>
      <c r="Q890" s="17" t="s">
        <v>108</v>
      </c>
      <c r="R890" s="2" t="str">
        <f>IFERROR(__xludf.DUMMYFUNCTION("CONCATENATE(REGEXEXTRACT(Q890,""[\d]+""),"" años"")"),"5 años")</f>
        <v>5 años</v>
      </c>
      <c r="S890" s="17" t="s">
        <v>2198</v>
      </c>
      <c r="U890" s="24"/>
      <c r="V890" s="24"/>
      <c r="W890" s="18" t="s">
        <v>76</v>
      </c>
    </row>
    <row r="891">
      <c r="A891" s="11"/>
      <c r="B891" s="12" t="s">
        <v>43</v>
      </c>
      <c r="C891" s="12" t="s">
        <v>65</v>
      </c>
      <c r="D891" s="12" t="s">
        <v>43</v>
      </c>
      <c r="E891" s="12" t="s">
        <v>66</v>
      </c>
      <c r="F891" s="13" t="s">
        <v>67</v>
      </c>
      <c r="G891" s="12" t="s">
        <v>68</v>
      </c>
      <c r="H891" s="12" t="s">
        <v>69</v>
      </c>
      <c r="I891" s="12" t="s">
        <v>70</v>
      </c>
      <c r="J891" s="17" t="s">
        <v>2169</v>
      </c>
      <c r="K891" s="18">
        <v>2.0</v>
      </c>
      <c r="L891" s="20">
        <v>45903.0</v>
      </c>
      <c r="M891" s="17" t="s">
        <v>28</v>
      </c>
      <c r="N891" s="17" t="s">
        <v>3411</v>
      </c>
      <c r="O891" s="17">
        <v>4.6534994E7</v>
      </c>
      <c r="P891" s="17" t="s">
        <v>3412</v>
      </c>
      <c r="Q891" s="17" t="s">
        <v>73</v>
      </c>
      <c r="R891" s="2" t="str">
        <f>IFERROR(__xludf.DUMMYFUNCTION("CONCATENATE(REGEXEXTRACT(Q891,""[\d]+""),"" años"")"),"3 años")</f>
        <v>3 años</v>
      </c>
      <c r="S891" s="17" t="s">
        <v>3413</v>
      </c>
      <c r="U891" s="24"/>
      <c r="V891" s="24"/>
      <c r="W891" s="18" t="s">
        <v>76</v>
      </c>
    </row>
    <row r="892">
      <c r="A892" s="11"/>
      <c r="B892" s="12" t="s">
        <v>43</v>
      </c>
      <c r="C892" s="12" t="s">
        <v>65</v>
      </c>
      <c r="D892" s="12" t="s">
        <v>43</v>
      </c>
      <c r="E892" s="12" t="s">
        <v>66</v>
      </c>
      <c r="F892" s="13" t="s">
        <v>67</v>
      </c>
      <c r="G892" s="12" t="s">
        <v>68</v>
      </c>
      <c r="H892" s="12" t="s">
        <v>69</v>
      </c>
      <c r="I892" s="12" t="s">
        <v>70</v>
      </c>
      <c r="J892" s="17" t="s">
        <v>2169</v>
      </c>
      <c r="K892" s="18">
        <v>2.0</v>
      </c>
      <c r="L892" s="20">
        <v>45903.0</v>
      </c>
      <c r="M892" s="17" t="s">
        <v>28</v>
      </c>
      <c r="N892" s="17" t="s">
        <v>3414</v>
      </c>
      <c r="O892" s="17">
        <v>4.3251528E7</v>
      </c>
      <c r="P892" s="17" t="s">
        <v>3415</v>
      </c>
      <c r="Q892" s="17" t="s">
        <v>108</v>
      </c>
      <c r="R892" s="2" t="str">
        <f>IFERROR(__xludf.DUMMYFUNCTION("CONCATENATE(REGEXEXTRACT(Q892,""[\d]+""),"" años"")"),"5 años")</f>
        <v>5 años</v>
      </c>
      <c r="S892" s="17" t="s">
        <v>3416</v>
      </c>
      <c r="U892" s="24"/>
      <c r="V892" s="24"/>
      <c r="W892" s="18" t="s">
        <v>76</v>
      </c>
    </row>
    <row r="893">
      <c r="A893" s="11"/>
      <c r="B893" s="12" t="s">
        <v>43</v>
      </c>
      <c r="C893" s="12" t="s">
        <v>65</v>
      </c>
      <c r="D893" s="12" t="s">
        <v>43</v>
      </c>
      <c r="E893" s="12" t="s">
        <v>66</v>
      </c>
      <c r="F893" s="13" t="s">
        <v>67</v>
      </c>
      <c r="G893" s="12" t="s">
        <v>68</v>
      </c>
      <c r="H893" s="12" t="s">
        <v>69</v>
      </c>
      <c r="I893" s="12" t="s">
        <v>70</v>
      </c>
      <c r="J893" s="17" t="s">
        <v>2169</v>
      </c>
      <c r="K893" s="18">
        <v>2.0</v>
      </c>
      <c r="L893" s="20">
        <v>45903.0</v>
      </c>
      <c r="M893" s="17" t="s">
        <v>28</v>
      </c>
      <c r="N893" s="17" t="s">
        <v>3417</v>
      </c>
      <c r="O893" s="17">
        <v>4.7187138E7</v>
      </c>
      <c r="P893" s="17" t="s">
        <v>3418</v>
      </c>
      <c r="Q893" s="17" t="s">
        <v>112</v>
      </c>
      <c r="R893" s="2" t="str">
        <f>IFERROR(__xludf.DUMMYFUNCTION("CONCATENATE(REGEXEXTRACT(Q893,""[\d]+""),"" años"")"),"4 años")</f>
        <v>4 años</v>
      </c>
      <c r="S893" s="17" t="s">
        <v>3419</v>
      </c>
      <c r="U893" s="24"/>
      <c r="V893" s="24"/>
      <c r="W893" s="18" t="s">
        <v>76</v>
      </c>
    </row>
    <row r="894">
      <c r="A894" s="11"/>
      <c r="B894" s="12" t="s">
        <v>43</v>
      </c>
      <c r="C894" s="12" t="s">
        <v>65</v>
      </c>
      <c r="D894" s="12" t="s">
        <v>43</v>
      </c>
      <c r="E894" s="12" t="s">
        <v>66</v>
      </c>
      <c r="F894" s="13" t="s">
        <v>67</v>
      </c>
      <c r="G894" s="12" t="s">
        <v>68</v>
      </c>
      <c r="H894" s="12" t="s">
        <v>69</v>
      </c>
      <c r="I894" s="12" t="s">
        <v>70</v>
      </c>
      <c r="J894" s="17" t="s">
        <v>2169</v>
      </c>
      <c r="K894" s="18">
        <v>2.0</v>
      </c>
      <c r="L894" s="20">
        <v>45903.0</v>
      </c>
      <c r="M894" s="17" t="s">
        <v>28</v>
      </c>
      <c r="N894" s="17" t="s">
        <v>3420</v>
      </c>
      <c r="O894" s="17">
        <v>4.7878808E7</v>
      </c>
      <c r="P894" s="17" t="s">
        <v>3421</v>
      </c>
      <c r="Q894" s="17" t="s">
        <v>73</v>
      </c>
      <c r="R894" s="2" t="str">
        <f>IFERROR(__xludf.DUMMYFUNCTION("CONCATENATE(REGEXEXTRACT(Q894,""[\d]+""),"" años"")"),"3 años")</f>
        <v>3 años</v>
      </c>
      <c r="S894" s="17" t="s">
        <v>3422</v>
      </c>
      <c r="U894" s="24"/>
      <c r="V894" s="24"/>
      <c r="W894" s="18" t="s">
        <v>76</v>
      </c>
    </row>
    <row r="895">
      <c r="A895" s="11"/>
      <c r="B895" s="12" t="s">
        <v>43</v>
      </c>
      <c r="C895" s="12" t="s">
        <v>65</v>
      </c>
      <c r="D895" s="12" t="s">
        <v>43</v>
      </c>
      <c r="E895" s="12" t="s">
        <v>66</v>
      </c>
      <c r="F895" s="13" t="s">
        <v>67</v>
      </c>
      <c r="G895" s="12" t="s">
        <v>68</v>
      </c>
      <c r="H895" s="12" t="s">
        <v>69</v>
      </c>
      <c r="I895" s="12" t="s">
        <v>70</v>
      </c>
      <c r="J895" s="17" t="s">
        <v>2169</v>
      </c>
      <c r="K895" s="18">
        <v>2.0</v>
      </c>
      <c r="L895" s="20">
        <v>45903.0</v>
      </c>
      <c r="M895" s="17" t="s">
        <v>28</v>
      </c>
      <c r="N895" s="17" t="s">
        <v>3423</v>
      </c>
      <c r="O895" s="17">
        <v>7.1278187E7</v>
      </c>
      <c r="P895" s="17" t="s">
        <v>3424</v>
      </c>
      <c r="Q895" s="17" t="s">
        <v>73</v>
      </c>
      <c r="R895" s="2" t="str">
        <f>IFERROR(__xludf.DUMMYFUNCTION("CONCATENATE(REGEXEXTRACT(Q895,""[\d]+""),"" años"")"),"3 años")</f>
        <v>3 años</v>
      </c>
      <c r="S895" s="17" t="s">
        <v>3425</v>
      </c>
      <c r="U895" s="24"/>
      <c r="V895" s="24"/>
      <c r="W895" s="18" t="s">
        <v>76</v>
      </c>
    </row>
    <row r="896">
      <c r="A896" s="11"/>
      <c r="B896" s="12" t="s">
        <v>43</v>
      </c>
      <c r="C896" s="12" t="s">
        <v>65</v>
      </c>
      <c r="D896" s="12" t="s">
        <v>43</v>
      </c>
      <c r="E896" s="12" t="s">
        <v>66</v>
      </c>
      <c r="F896" s="13" t="s">
        <v>67</v>
      </c>
      <c r="G896" s="12" t="s">
        <v>68</v>
      </c>
      <c r="H896" s="12" t="s">
        <v>69</v>
      </c>
      <c r="I896" s="12" t="s">
        <v>70</v>
      </c>
      <c r="J896" s="17" t="s">
        <v>2169</v>
      </c>
      <c r="K896" s="18">
        <v>2.0</v>
      </c>
      <c r="L896" s="20">
        <v>45903.0</v>
      </c>
      <c r="M896" s="17" t="s">
        <v>28</v>
      </c>
      <c r="N896" s="17" t="s">
        <v>3426</v>
      </c>
      <c r="P896" s="17" t="s">
        <v>1577</v>
      </c>
      <c r="Q896" s="17" t="s">
        <v>73</v>
      </c>
      <c r="R896" s="2" t="str">
        <f>IFERROR(__xludf.DUMMYFUNCTION("CONCATENATE(REGEXEXTRACT(Q896,""[\d]+""),"" años"")"),"3 años")</f>
        <v>3 años</v>
      </c>
      <c r="S896" s="17" t="s">
        <v>3427</v>
      </c>
      <c r="U896" s="24"/>
      <c r="V896" s="24"/>
      <c r="W896" s="18" t="s">
        <v>76</v>
      </c>
    </row>
    <row r="897">
      <c r="A897" s="11"/>
      <c r="B897" s="12" t="s">
        <v>43</v>
      </c>
      <c r="C897" s="12" t="s">
        <v>65</v>
      </c>
      <c r="D897" s="12" t="s">
        <v>43</v>
      </c>
      <c r="E897" s="12" t="s">
        <v>66</v>
      </c>
      <c r="F897" s="13" t="s">
        <v>67</v>
      </c>
      <c r="G897" s="12" t="s">
        <v>68</v>
      </c>
      <c r="H897" s="12" t="s">
        <v>69</v>
      </c>
      <c r="I897" s="12" t="s">
        <v>70</v>
      </c>
      <c r="J897" s="17" t="s">
        <v>2169</v>
      </c>
      <c r="K897" s="18">
        <v>2.0</v>
      </c>
      <c r="L897" s="20">
        <v>45903.0</v>
      </c>
      <c r="M897" s="17" t="s">
        <v>28</v>
      </c>
      <c r="N897" s="17" t="s">
        <v>3428</v>
      </c>
      <c r="O897" s="17">
        <v>7.2109064E7</v>
      </c>
      <c r="P897" s="17" t="s">
        <v>3429</v>
      </c>
      <c r="Q897" s="17" t="s">
        <v>112</v>
      </c>
      <c r="R897" s="2" t="str">
        <f>IFERROR(__xludf.DUMMYFUNCTION("CONCATENATE(REGEXEXTRACT(Q897,""[\d]+""),"" años"")"),"4 años")</f>
        <v>4 años</v>
      </c>
      <c r="S897" s="17" t="s">
        <v>3430</v>
      </c>
      <c r="U897" s="24"/>
      <c r="V897" s="24"/>
      <c r="W897" s="18" t="s">
        <v>76</v>
      </c>
    </row>
    <row r="898">
      <c r="A898" s="11"/>
      <c r="B898" s="12" t="s">
        <v>43</v>
      </c>
      <c r="C898" s="12" t="s">
        <v>65</v>
      </c>
      <c r="D898" s="12" t="s">
        <v>43</v>
      </c>
      <c r="E898" s="12" t="s">
        <v>66</v>
      </c>
      <c r="F898" s="13" t="s">
        <v>67</v>
      </c>
      <c r="G898" s="12" t="s">
        <v>68</v>
      </c>
      <c r="H898" s="12" t="s">
        <v>69</v>
      </c>
      <c r="I898" s="12" t="s">
        <v>70</v>
      </c>
      <c r="J898" s="17" t="s">
        <v>2169</v>
      </c>
      <c r="K898" s="18">
        <v>2.0</v>
      </c>
      <c r="L898" s="20">
        <v>45903.0</v>
      </c>
      <c r="M898" s="17" t="s">
        <v>28</v>
      </c>
      <c r="N898" s="17" t="s">
        <v>3154</v>
      </c>
      <c r="O898" s="17">
        <v>4.8760216E7</v>
      </c>
      <c r="P898" s="17" t="s">
        <v>3431</v>
      </c>
      <c r="Q898" s="17" t="s">
        <v>73</v>
      </c>
      <c r="R898" s="2" t="str">
        <f>IFERROR(__xludf.DUMMYFUNCTION("CONCATENATE(REGEXEXTRACT(Q898,""[\d]+""),"" años"")"),"3 años")</f>
        <v>3 años</v>
      </c>
      <c r="S898" s="17" t="s">
        <v>3432</v>
      </c>
      <c r="U898" s="24"/>
      <c r="V898" s="24"/>
      <c r="W898" s="18" t="s">
        <v>76</v>
      </c>
    </row>
    <row r="899">
      <c r="A899" s="11"/>
      <c r="B899" s="12" t="s">
        <v>43</v>
      </c>
      <c r="C899" s="12" t="s">
        <v>65</v>
      </c>
      <c r="D899" s="12" t="s">
        <v>43</v>
      </c>
      <c r="E899" s="12" t="s">
        <v>66</v>
      </c>
      <c r="F899" s="13" t="s">
        <v>67</v>
      </c>
      <c r="G899" s="12" t="s">
        <v>68</v>
      </c>
      <c r="H899" s="12" t="s">
        <v>69</v>
      </c>
      <c r="I899" s="12" t="s">
        <v>70</v>
      </c>
      <c r="J899" s="17" t="s">
        <v>2169</v>
      </c>
      <c r="K899" s="18">
        <v>2.0</v>
      </c>
      <c r="L899" s="20">
        <v>45903.0</v>
      </c>
      <c r="M899" s="17" t="s">
        <v>28</v>
      </c>
      <c r="N899" s="17" t="s">
        <v>3433</v>
      </c>
      <c r="O899" s="17">
        <v>4.1808044E7</v>
      </c>
      <c r="P899" s="17" t="s">
        <v>3434</v>
      </c>
      <c r="Q899" s="17" t="s">
        <v>73</v>
      </c>
      <c r="R899" s="2" t="str">
        <f>IFERROR(__xludf.DUMMYFUNCTION("CONCATENATE(REGEXEXTRACT(Q899,""[\d]+""),"" años"")"),"3 años")</f>
        <v>3 años</v>
      </c>
      <c r="S899" s="17" t="s">
        <v>3435</v>
      </c>
      <c r="U899" s="24"/>
      <c r="V899" s="24"/>
      <c r="W899" s="18" t="s">
        <v>76</v>
      </c>
    </row>
    <row r="900">
      <c r="A900" s="11"/>
      <c r="B900" s="12" t="s">
        <v>43</v>
      </c>
      <c r="C900" s="12" t="s">
        <v>65</v>
      </c>
      <c r="D900" s="12" t="s">
        <v>43</v>
      </c>
      <c r="E900" s="12" t="s">
        <v>66</v>
      </c>
      <c r="F900" s="13" t="s">
        <v>67</v>
      </c>
      <c r="G900" s="12" t="s">
        <v>68</v>
      </c>
      <c r="H900" s="12" t="s">
        <v>69</v>
      </c>
      <c r="I900" s="12" t="s">
        <v>70</v>
      </c>
      <c r="J900" s="17" t="s">
        <v>2169</v>
      </c>
      <c r="K900" s="18">
        <v>2.0</v>
      </c>
      <c r="L900" s="20">
        <v>45903.0</v>
      </c>
      <c r="M900" s="17" t="s">
        <v>28</v>
      </c>
      <c r="N900" s="17" t="s">
        <v>3436</v>
      </c>
      <c r="O900" s="17">
        <v>7.6418425E7</v>
      </c>
      <c r="P900" s="17" t="s">
        <v>3437</v>
      </c>
      <c r="Q900" s="17" t="s">
        <v>112</v>
      </c>
      <c r="R900" s="2" t="str">
        <f>IFERROR(__xludf.DUMMYFUNCTION("CONCATENATE(REGEXEXTRACT(Q900,""[\d]+""),"" años"")"),"4 años")</f>
        <v>4 años</v>
      </c>
      <c r="S900" s="17" t="s">
        <v>3438</v>
      </c>
      <c r="U900" s="24"/>
      <c r="V900" s="24"/>
      <c r="W900" s="18" t="s">
        <v>76</v>
      </c>
    </row>
    <row r="901">
      <c r="A901" s="11"/>
      <c r="B901" s="12" t="s">
        <v>43</v>
      </c>
      <c r="C901" s="12" t="s">
        <v>65</v>
      </c>
      <c r="D901" s="12" t="s">
        <v>43</v>
      </c>
      <c r="E901" s="12" t="s">
        <v>66</v>
      </c>
      <c r="F901" s="13" t="s">
        <v>67</v>
      </c>
      <c r="G901" s="12" t="s">
        <v>68</v>
      </c>
      <c r="H901" s="12" t="s">
        <v>69</v>
      </c>
      <c r="I901" s="12" t="s">
        <v>70</v>
      </c>
      <c r="J901" s="17" t="s">
        <v>2169</v>
      </c>
      <c r="K901" s="18">
        <v>2.0</v>
      </c>
      <c r="L901" s="20">
        <v>45903.0</v>
      </c>
      <c r="M901" s="17" t="s">
        <v>28</v>
      </c>
      <c r="N901" s="17" t="s">
        <v>3439</v>
      </c>
      <c r="O901" s="17">
        <v>4.0246765E7</v>
      </c>
      <c r="P901" s="17" t="s">
        <v>3440</v>
      </c>
      <c r="Q901" s="17" t="s">
        <v>108</v>
      </c>
      <c r="R901" s="2" t="str">
        <f>IFERROR(__xludf.DUMMYFUNCTION("CONCATENATE(REGEXEXTRACT(Q901,""[\d]+""),"" años"")"),"5 años")</f>
        <v>5 años</v>
      </c>
      <c r="S901" s="17" t="s">
        <v>3441</v>
      </c>
      <c r="U901" s="24"/>
      <c r="V901" s="24"/>
      <c r="W901" s="18" t="s">
        <v>76</v>
      </c>
    </row>
    <row r="902">
      <c r="A902" s="11"/>
      <c r="B902" s="12" t="s">
        <v>43</v>
      </c>
      <c r="C902" s="12" t="s">
        <v>65</v>
      </c>
      <c r="D902" s="12" t="s">
        <v>43</v>
      </c>
      <c r="E902" s="12" t="s">
        <v>66</v>
      </c>
      <c r="F902" s="13" t="s">
        <v>67</v>
      </c>
      <c r="G902" s="12" t="s">
        <v>68</v>
      </c>
      <c r="H902" s="12" t="s">
        <v>69</v>
      </c>
      <c r="I902" s="12" t="s">
        <v>70</v>
      </c>
      <c r="J902" s="17" t="s">
        <v>2169</v>
      </c>
      <c r="K902" s="18">
        <v>2.0</v>
      </c>
      <c r="L902" s="20">
        <v>45903.0</v>
      </c>
      <c r="M902" s="17" t="s">
        <v>28</v>
      </c>
      <c r="N902" s="17" t="s">
        <v>3442</v>
      </c>
      <c r="O902" s="17">
        <v>7.4533716E7</v>
      </c>
      <c r="P902" s="17" t="s">
        <v>3443</v>
      </c>
      <c r="Q902" s="17" t="s">
        <v>108</v>
      </c>
      <c r="R902" s="2" t="str">
        <f>IFERROR(__xludf.DUMMYFUNCTION("CONCATENATE(REGEXEXTRACT(Q902,""[\d]+""),"" años"")"),"5 años")</f>
        <v>5 años</v>
      </c>
      <c r="S902" s="17" t="s">
        <v>3444</v>
      </c>
      <c r="U902" s="24"/>
      <c r="V902" s="24"/>
      <c r="W902" s="18" t="s">
        <v>76</v>
      </c>
    </row>
    <row r="903">
      <c r="A903" s="11"/>
      <c r="B903" s="12" t="s">
        <v>43</v>
      </c>
      <c r="C903" s="12" t="s">
        <v>65</v>
      </c>
      <c r="D903" s="12" t="s">
        <v>43</v>
      </c>
      <c r="E903" s="12" t="s">
        <v>66</v>
      </c>
      <c r="F903" s="13" t="s">
        <v>67</v>
      </c>
      <c r="G903" s="12" t="s">
        <v>68</v>
      </c>
      <c r="H903" s="12" t="s">
        <v>69</v>
      </c>
      <c r="I903" s="12" t="s">
        <v>70</v>
      </c>
      <c r="J903" s="17" t="s">
        <v>2169</v>
      </c>
      <c r="K903" s="18">
        <v>2.0</v>
      </c>
      <c r="L903" s="20">
        <v>45903.0</v>
      </c>
      <c r="M903" s="17" t="s">
        <v>28</v>
      </c>
      <c r="N903" s="17" t="s">
        <v>3152</v>
      </c>
      <c r="O903" s="17"/>
      <c r="P903" s="17" t="s">
        <v>81</v>
      </c>
      <c r="Q903" s="17" t="s">
        <v>73</v>
      </c>
      <c r="R903" s="17" t="s">
        <v>74</v>
      </c>
      <c r="S903" s="17" t="s">
        <v>82</v>
      </c>
      <c r="U903" s="24"/>
      <c r="V903" s="24"/>
      <c r="W903" s="18" t="s">
        <v>76</v>
      </c>
    </row>
    <row r="904">
      <c r="A904" s="11"/>
      <c r="B904" s="12" t="s">
        <v>43</v>
      </c>
      <c r="C904" s="12" t="s">
        <v>65</v>
      </c>
      <c r="D904" s="12" t="s">
        <v>43</v>
      </c>
      <c r="E904" s="12" t="s">
        <v>66</v>
      </c>
      <c r="F904" s="13" t="s">
        <v>67</v>
      </c>
      <c r="G904" s="12" t="s">
        <v>68</v>
      </c>
      <c r="H904" s="12" t="s">
        <v>69</v>
      </c>
      <c r="I904" s="12" t="s">
        <v>70</v>
      </c>
      <c r="J904" s="17" t="s">
        <v>2169</v>
      </c>
      <c r="K904" s="18">
        <v>2.0</v>
      </c>
      <c r="L904" s="20">
        <v>45903.0</v>
      </c>
      <c r="M904" s="17" t="s">
        <v>23</v>
      </c>
      <c r="N904" s="116" t="s">
        <v>3445</v>
      </c>
      <c r="O904" s="17"/>
      <c r="P904" s="17"/>
      <c r="Q904" s="17" t="s">
        <v>73</v>
      </c>
      <c r="R904" s="17" t="s">
        <v>74</v>
      </c>
      <c r="S904" s="17" t="s">
        <v>2202</v>
      </c>
      <c r="U904" s="24"/>
      <c r="V904" s="24"/>
      <c r="W904" s="18" t="s">
        <v>76</v>
      </c>
    </row>
    <row r="905">
      <c r="A905" s="11"/>
      <c r="B905" s="12" t="s">
        <v>43</v>
      </c>
      <c r="C905" s="12" t="s">
        <v>65</v>
      </c>
      <c r="D905" s="12" t="s">
        <v>43</v>
      </c>
      <c r="E905" s="12" t="s">
        <v>66</v>
      </c>
      <c r="F905" s="13" t="s">
        <v>67</v>
      </c>
      <c r="G905" s="12" t="s">
        <v>68</v>
      </c>
      <c r="H905" s="12" t="s">
        <v>69</v>
      </c>
      <c r="I905" s="12" t="s">
        <v>70</v>
      </c>
      <c r="J905" s="17" t="s">
        <v>2779</v>
      </c>
      <c r="K905" s="18">
        <v>3.0</v>
      </c>
      <c r="L905" s="20">
        <v>45903.0</v>
      </c>
      <c r="M905" s="17" t="s">
        <v>28</v>
      </c>
      <c r="N905" s="17" t="s">
        <v>3411</v>
      </c>
      <c r="O905" s="17">
        <v>4.6534994E7</v>
      </c>
      <c r="P905" s="17" t="s">
        <v>3412</v>
      </c>
      <c r="Q905" s="17" t="s">
        <v>73</v>
      </c>
      <c r="R905" s="2" t="str">
        <f>IFERROR(__xludf.DUMMYFUNCTION("CONCATENATE(REGEXEXTRACT(Q905,""[\d]+""),"" años"")"),"3 años")</f>
        <v>3 años</v>
      </c>
      <c r="S905" s="17" t="s">
        <v>3413</v>
      </c>
      <c r="U905" s="24"/>
      <c r="V905" s="24"/>
      <c r="W905" s="18" t="s">
        <v>76</v>
      </c>
    </row>
    <row r="906">
      <c r="A906" s="11"/>
      <c r="B906" s="12" t="s">
        <v>43</v>
      </c>
      <c r="C906" s="12" t="s">
        <v>65</v>
      </c>
      <c r="D906" s="12" t="s">
        <v>43</v>
      </c>
      <c r="E906" s="12" t="s">
        <v>66</v>
      </c>
      <c r="F906" s="13" t="s">
        <v>67</v>
      </c>
      <c r="G906" s="12" t="s">
        <v>68</v>
      </c>
      <c r="H906" s="12" t="s">
        <v>69</v>
      </c>
      <c r="I906" s="12" t="s">
        <v>70</v>
      </c>
      <c r="J906" s="17" t="s">
        <v>2779</v>
      </c>
      <c r="K906" s="18">
        <v>3.0</v>
      </c>
      <c r="L906" s="20">
        <v>45903.0</v>
      </c>
      <c r="M906" s="17" t="s">
        <v>28</v>
      </c>
      <c r="N906" s="17" t="s">
        <v>3414</v>
      </c>
      <c r="O906" s="17">
        <v>4.3251528E7</v>
      </c>
      <c r="P906" s="17" t="s">
        <v>3415</v>
      </c>
      <c r="Q906" s="17" t="s">
        <v>108</v>
      </c>
      <c r="R906" s="2" t="str">
        <f>IFERROR(__xludf.DUMMYFUNCTION("CONCATENATE(REGEXEXTRACT(Q906,""[\d]+""),"" años"")"),"5 años")</f>
        <v>5 años</v>
      </c>
      <c r="S906" s="17" t="s">
        <v>3416</v>
      </c>
      <c r="U906" s="24"/>
      <c r="V906" s="24"/>
      <c r="W906" s="18" t="s">
        <v>76</v>
      </c>
    </row>
    <row r="907">
      <c r="A907" s="11"/>
      <c r="B907" s="12" t="s">
        <v>43</v>
      </c>
      <c r="C907" s="12" t="s">
        <v>65</v>
      </c>
      <c r="D907" s="12" t="s">
        <v>43</v>
      </c>
      <c r="E907" s="12" t="s">
        <v>66</v>
      </c>
      <c r="F907" s="13" t="s">
        <v>67</v>
      </c>
      <c r="G907" s="12" t="s">
        <v>68</v>
      </c>
      <c r="H907" s="12" t="s">
        <v>69</v>
      </c>
      <c r="I907" s="12" t="s">
        <v>70</v>
      </c>
      <c r="J907" s="17" t="s">
        <v>2779</v>
      </c>
      <c r="K907" s="18">
        <v>3.0</v>
      </c>
      <c r="L907" s="20">
        <v>45903.0</v>
      </c>
      <c r="M907" s="17" t="s">
        <v>28</v>
      </c>
      <c r="N907" s="17" t="s">
        <v>3417</v>
      </c>
      <c r="O907" s="17">
        <v>4.7187138E7</v>
      </c>
      <c r="P907" s="17" t="s">
        <v>3418</v>
      </c>
      <c r="Q907" s="17" t="s">
        <v>112</v>
      </c>
      <c r="R907" s="2" t="str">
        <f>IFERROR(__xludf.DUMMYFUNCTION("CONCATENATE(REGEXEXTRACT(Q907,""[\d]+""),"" años"")"),"4 años")</f>
        <v>4 años</v>
      </c>
      <c r="S907" s="17" t="s">
        <v>3419</v>
      </c>
      <c r="U907" s="24"/>
      <c r="V907" s="24"/>
      <c r="W907" s="18" t="s">
        <v>76</v>
      </c>
    </row>
    <row r="908">
      <c r="A908" s="11"/>
      <c r="B908" s="12" t="s">
        <v>43</v>
      </c>
      <c r="C908" s="12" t="s">
        <v>65</v>
      </c>
      <c r="D908" s="12" t="s">
        <v>43</v>
      </c>
      <c r="E908" s="12" t="s">
        <v>66</v>
      </c>
      <c r="F908" s="13" t="s">
        <v>67</v>
      </c>
      <c r="G908" s="12" t="s">
        <v>68</v>
      </c>
      <c r="H908" s="12" t="s">
        <v>69</v>
      </c>
      <c r="I908" s="12" t="s">
        <v>70</v>
      </c>
      <c r="J908" s="17" t="s">
        <v>2779</v>
      </c>
      <c r="K908" s="18">
        <v>3.0</v>
      </c>
      <c r="L908" s="20">
        <v>45903.0</v>
      </c>
      <c r="M908" s="17" t="s">
        <v>23</v>
      </c>
      <c r="N908" s="17" t="s">
        <v>3410</v>
      </c>
      <c r="Q908" s="17" t="s">
        <v>108</v>
      </c>
      <c r="R908" s="2" t="str">
        <f>IFERROR(__xludf.DUMMYFUNCTION("CONCATENATE(REGEXEXTRACT(Q908,""[\d]+""),"" años"")"),"5 años")</f>
        <v>5 años</v>
      </c>
      <c r="S908" s="17" t="s">
        <v>2198</v>
      </c>
      <c r="U908" s="24"/>
      <c r="V908" s="24"/>
      <c r="W908" s="18" t="s">
        <v>76</v>
      </c>
    </row>
    <row r="909">
      <c r="A909" s="11"/>
      <c r="B909" s="12" t="s">
        <v>43</v>
      </c>
      <c r="C909" s="12" t="s">
        <v>65</v>
      </c>
      <c r="D909" s="12" t="s">
        <v>43</v>
      </c>
      <c r="E909" s="12" t="s">
        <v>66</v>
      </c>
      <c r="F909" s="13" t="s">
        <v>67</v>
      </c>
      <c r="G909" s="12" t="s">
        <v>68</v>
      </c>
      <c r="H909" s="12" t="s">
        <v>69</v>
      </c>
      <c r="I909" s="12" t="s">
        <v>70</v>
      </c>
      <c r="J909" s="17" t="s">
        <v>2779</v>
      </c>
      <c r="K909" s="18">
        <v>3.0</v>
      </c>
      <c r="L909" s="20">
        <v>45903.0</v>
      </c>
      <c r="M909" s="17" t="s">
        <v>28</v>
      </c>
      <c r="N909" s="17" t="s">
        <v>3423</v>
      </c>
      <c r="O909" s="17">
        <v>7.1278187E7</v>
      </c>
      <c r="P909" s="17" t="s">
        <v>3424</v>
      </c>
      <c r="Q909" s="17" t="s">
        <v>73</v>
      </c>
      <c r="R909" s="2" t="str">
        <f>IFERROR(__xludf.DUMMYFUNCTION("CONCATENATE(REGEXEXTRACT(Q909,""[\d]+""),"" años"")"),"3 años")</f>
        <v>3 años</v>
      </c>
      <c r="S909" s="17" t="s">
        <v>3425</v>
      </c>
      <c r="U909" s="24"/>
      <c r="V909" s="24"/>
      <c r="W909" s="18" t="s">
        <v>76</v>
      </c>
    </row>
    <row r="910">
      <c r="A910" s="11"/>
      <c r="B910" s="12" t="s">
        <v>43</v>
      </c>
      <c r="C910" s="12" t="s">
        <v>65</v>
      </c>
      <c r="D910" s="12" t="s">
        <v>43</v>
      </c>
      <c r="E910" s="12" t="s">
        <v>66</v>
      </c>
      <c r="F910" s="13" t="s">
        <v>67</v>
      </c>
      <c r="G910" s="12" t="s">
        <v>68</v>
      </c>
      <c r="H910" s="12" t="s">
        <v>69</v>
      </c>
      <c r="I910" s="12" t="s">
        <v>70</v>
      </c>
      <c r="J910" s="17" t="s">
        <v>2779</v>
      </c>
      <c r="K910" s="18">
        <v>3.0</v>
      </c>
      <c r="L910" s="20">
        <v>45903.0</v>
      </c>
      <c r="M910" s="17" t="s">
        <v>28</v>
      </c>
      <c r="N910" s="17" t="s">
        <v>3426</v>
      </c>
      <c r="P910" s="17" t="s">
        <v>1577</v>
      </c>
      <c r="Q910" s="17" t="s">
        <v>73</v>
      </c>
      <c r="R910" s="2" t="str">
        <f>IFERROR(__xludf.DUMMYFUNCTION("CONCATENATE(REGEXEXTRACT(Q910,""[\d]+""),"" años"")"),"3 años")</f>
        <v>3 años</v>
      </c>
      <c r="S910" s="17" t="s">
        <v>3427</v>
      </c>
      <c r="U910" s="24"/>
      <c r="V910" s="24"/>
      <c r="W910" s="18" t="s">
        <v>76</v>
      </c>
    </row>
    <row r="911">
      <c r="A911" s="11"/>
      <c r="B911" s="12" t="s">
        <v>43</v>
      </c>
      <c r="C911" s="12" t="s">
        <v>65</v>
      </c>
      <c r="D911" s="12" t="s">
        <v>43</v>
      </c>
      <c r="E911" s="12" t="s">
        <v>66</v>
      </c>
      <c r="F911" s="13" t="s">
        <v>67</v>
      </c>
      <c r="G911" s="12" t="s">
        <v>68</v>
      </c>
      <c r="H911" s="12" t="s">
        <v>69</v>
      </c>
      <c r="I911" s="12" t="s">
        <v>70</v>
      </c>
      <c r="J911" s="17" t="s">
        <v>2779</v>
      </c>
      <c r="K911" s="18">
        <v>3.0</v>
      </c>
      <c r="L911" s="20">
        <v>45903.0</v>
      </c>
      <c r="M911" s="17" t="s">
        <v>28</v>
      </c>
      <c r="N911" s="17" t="s">
        <v>3428</v>
      </c>
      <c r="O911" s="17">
        <v>7.2109064E7</v>
      </c>
      <c r="P911" s="17" t="s">
        <v>3429</v>
      </c>
      <c r="Q911" s="17" t="s">
        <v>112</v>
      </c>
      <c r="R911" s="2" t="str">
        <f>IFERROR(__xludf.DUMMYFUNCTION("CONCATENATE(REGEXEXTRACT(Q911,""[\d]+""),"" años"")"),"4 años")</f>
        <v>4 años</v>
      </c>
      <c r="S911" s="17" t="s">
        <v>3430</v>
      </c>
      <c r="U911" s="24"/>
      <c r="V911" s="24"/>
      <c r="W911" s="18" t="s">
        <v>76</v>
      </c>
    </row>
    <row r="912">
      <c r="A912" s="11"/>
      <c r="B912" s="12" t="s">
        <v>43</v>
      </c>
      <c r="C912" s="12" t="s">
        <v>65</v>
      </c>
      <c r="D912" s="12" t="s">
        <v>43</v>
      </c>
      <c r="E912" s="12" t="s">
        <v>66</v>
      </c>
      <c r="F912" s="13" t="s">
        <v>67</v>
      </c>
      <c r="G912" s="12" t="s">
        <v>68</v>
      </c>
      <c r="H912" s="12" t="s">
        <v>69</v>
      </c>
      <c r="I912" s="12" t="s">
        <v>70</v>
      </c>
      <c r="J912" s="17" t="s">
        <v>2779</v>
      </c>
      <c r="K912" s="18">
        <v>3.0</v>
      </c>
      <c r="L912" s="20">
        <v>45903.0</v>
      </c>
      <c r="M912" s="17" t="s">
        <v>28</v>
      </c>
      <c r="N912" s="17" t="s">
        <v>3154</v>
      </c>
      <c r="O912" s="17">
        <v>4.8760216E7</v>
      </c>
      <c r="P912" s="17" t="s">
        <v>3431</v>
      </c>
      <c r="Q912" s="17" t="s">
        <v>73</v>
      </c>
      <c r="R912" s="2" t="str">
        <f>IFERROR(__xludf.DUMMYFUNCTION("CONCATENATE(REGEXEXTRACT(Q912,""[\d]+""),"" años"")"),"3 años")</f>
        <v>3 años</v>
      </c>
      <c r="S912" s="17" t="s">
        <v>3432</v>
      </c>
      <c r="U912" s="24"/>
      <c r="V912" s="24"/>
      <c r="W912" s="18" t="s">
        <v>76</v>
      </c>
    </row>
    <row r="913">
      <c r="A913" s="11"/>
      <c r="B913" s="12" t="s">
        <v>43</v>
      </c>
      <c r="C913" s="12" t="s">
        <v>65</v>
      </c>
      <c r="D913" s="12" t="s">
        <v>43</v>
      </c>
      <c r="E913" s="12" t="s">
        <v>66</v>
      </c>
      <c r="F913" s="13" t="s">
        <v>67</v>
      </c>
      <c r="G913" s="12" t="s">
        <v>68</v>
      </c>
      <c r="H913" s="12" t="s">
        <v>69</v>
      </c>
      <c r="I913" s="12" t="s">
        <v>70</v>
      </c>
      <c r="J913" s="17" t="s">
        <v>2779</v>
      </c>
      <c r="K913" s="18">
        <v>3.0</v>
      </c>
      <c r="L913" s="20">
        <v>45903.0</v>
      </c>
      <c r="M913" s="17" t="s">
        <v>28</v>
      </c>
      <c r="N913" s="17" t="s">
        <v>3433</v>
      </c>
      <c r="O913" s="17">
        <v>4.1808044E7</v>
      </c>
      <c r="P913" s="17" t="s">
        <v>3434</v>
      </c>
      <c r="Q913" s="17" t="s">
        <v>73</v>
      </c>
      <c r="R913" s="2" t="str">
        <f>IFERROR(__xludf.DUMMYFUNCTION("CONCATENATE(REGEXEXTRACT(Q913,""[\d]+""),"" años"")"),"3 años")</f>
        <v>3 años</v>
      </c>
      <c r="S913" s="17" t="s">
        <v>3435</v>
      </c>
      <c r="U913" s="24"/>
      <c r="V913" s="24"/>
      <c r="W913" s="18" t="s">
        <v>76</v>
      </c>
    </row>
    <row r="914">
      <c r="A914" s="11"/>
      <c r="B914" s="12" t="s">
        <v>43</v>
      </c>
      <c r="C914" s="12" t="s">
        <v>65</v>
      </c>
      <c r="D914" s="12" t="s">
        <v>43</v>
      </c>
      <c r="E914" s="12" t="s">
        <v>66</v>
      </c>
      <c r="F914" s="13" t="s">
        <v>67</v>
      </c>
      <c r="G914" s="12" t="s">
        <v>68</v>
      </c>
      <c r="H914" s="12" t="s">
        <v>69</v>
      </c>
      <c r="I914" s="12" t="s">
        <v>70</v>
      </c>
      <c r="J914" s="17" t="s">
        <v>2779</v>
      </c>
      <c r="K914" s="18">
        <v>3.0</v>
      </c>
      <c r="L914" s="20">
        <v>45903.0</v>
      </c>
      <c r="M914" s="17" t="s">
        <v>28</v>
      </c>
      <c r="N914" s="17" t="s">
        <v>3436</v>
      </c>
      <c r="O914" s="17">
        <v>7.6418425E7</v>
      </c>
      <c r="P914" s="17" t="s">
        <v>3437</v>
      </c>
      <c r="Q914" s="17" t="s">
        <v>112</v>
      </c>
      <c r="R914" s="2" t="str">
        <f>IFERROR(__xludf.DUMMYFUNCTION("CONCATENATE(REGEXEXTRACT(Q914,""[\d]+""),"" años"")"),"4 años")</f>
        <v>4 años</v>
      </c>
      <c r="S914" s="17" t="s">
        <v>3438</v>
      </c>
      <c r="U914" s="24"/>
      <c r="V914" s="24"/>
      <c r="W914" s="18" t="s">
        <v>76</v>
      </c>
    </row>
    <row r="915">
      <c r="A915" s="11"/>
      <c r="B915" s="12" t="s">
        <v>43</v>
      </c>
      <c r="C915" s="12" t="s">
        <v>65</v>
      </c>
      <c r="D915" s="12" t="s">
        <v>43</v>
      </c>
      <c r="E915" s="12" t="s">
        <v>66</v>
      </c>
      <c r="F915" s="13" t="s">
        <v>67</v>
      </c>
      <c r="G915" s="12" t="s">
        <v>68</v>
      </c>
      <c r="H915" s="12" t="s">
        <v>69</v>
      </c>
      <c r="I915" s="12" t="s">
        <v>70</v>
      </c>
      <c r="J915" s="17" t="s">
        <v>2779</v>
      </c>
      <c r="K915" s="18">
        <v>3.0</v>
      </c>
      <c r="L915" s="20">
        <v>45903.0</v>
      </c>
      <c r="M915" s="17" t="s">
        <v>28</v>
      </c>
      <c r="N915" s="17" t="s">
        <v>3439</v>
      </c>
      <c r="O915" s="17">
        <v>4.0246765E7</v>
      </c>
      <c r="P915" s="17" t="s">
        <v>3440</v>
      </c>
      <c r="Q915" s="17" t="s">
        <v>108</v>
      </c>
      <c r="R915" s="2" t="str">
        <f>IFERROR(__xludf.DUMMYFUNCTION("CONCATENATE(REGEXEXTRACT(Q915,""[\d]+""),"" años"")"),"5 años")</f>
        <v>5 años</v>
      </c>
      <c r="S915" s="17" t="s">
        <v>3441</v>
      </c>
      <c r="U915" s="24"/>
      <c r="V915" s="24"/>
      <c r="W915" s="18" t="s">
        <v>76</v>
      </c>
    </row>
    <row r="916">
      <c r="A916" s="11"/>
      <c r="B916" s="12" t="s">
        <v>43</v>
      </c>
      <c r="C916" s="12" t="s">
        <v>65</v>
      </c>
      <c r="D916" s="12" t="s">
        <v>43</v>
      </c>
      <c r="E916" s="12" t="s">
        <v>66</v>
      </c>
      <c r="F916" s="13" t="s">
        <v>67</v>
      </c>
      <c r="G916" s="12" t="s">
        <v>68</v>
      </c>
      <c r="H916" s="12" t="s">
        <v>69</v>
      </c>
      <c r="I916" s="12" t="s">
        <v>70</v>
      </c>
      <c r="J916" s="17" t="s">
        <v>2779</v>
      </c>
      <c r="K916" s="18">
        <v>3.0</v>
      </c>
      <c r="L916" s="20">
        <v>45903.0</v>
      </c>
      <c r="M916" s="17" t="s">
        <v>28</v>
      </c>
      <c r="N916" s="17" t="s">
        <v>3442</v>
      </c>
      <c r="O916" s="17">
        <v>7.4533716E7</v>
      </c>
      <c r="P916" s="17" t="s">
        <v>3443</v>
      </c>
      <c r="Q916" s="17" t="s">
        <v>108</v>
      </c>
      <c r="R916" s="2" t="str">
        <f>IFERROR(__xludf.DUMMYFUNCTION("CONCATENATE(REGEXEXTRACT(Q916,""[\d]+""),"" años"")"),"5 años")</f>
        <v>5 años</v>
      </c>
      <c r="S916" s="17" t="s">
        <v>3444</v>
      </c>
      <c r="U916" s="24"/>
      <c r="V916" s="24"/>
      <c r="W916" s="18" t="s">
        <v>76</v>
      </c>
    </row>
    <row r="917">
      <c r="A917" s="11"/>
      <c r="B917" s="12" t="s">
        <v>43</v>
      </c>
      <c r="C917" s="12" t="s">
        <v>65</v>
      </c>
      <c r="D917" s="12" t="s">
        <v>43</v>
      </c>
      <c r="E917" s="12" t="s">
        <v>66</v>
      </c>
      <c r="F917" s="13" t="s">
        <v>67</v>
      </c>
      <c r="G917" s="12" t="s">
        <v>68</v>
      </c>
      <c r="H917" s="12" t="s">
        <v>69</v>
      </c>
      <c r="I917" s="12" t="s">
        <v>70</v>
      </c>
      <c r="J917" s="17" t="s">
        <v>2779</v>
      </c>
      <c r="K917" s="18">
        <v>3.0</v>
      </c>
      <c r="L917" s="20">
        <v>45903.0</v>
      </c>
      <c r="M917" s="17" t="s">
        <v>28</v>
      </c>
      <c r="N917" s="17" t="s">
        <v>3420</v>
      </c>
      <c r="O917" s="17">
        <v>4.7878808E7</v>
      </c>
      <c r="P917" s="17" t="s">
        <v>3421</v>
      </c>
      <c r="Q917" s="17" t="s">
        <v>73</v>
      </c>
      <c r="R917" s="2" t="str">
        <f>IFERROR(__xludf.DUMMYFUNCTION("CONCATENATE(REGEXEXTRACT(Q917,""[\d]+""),"" años"")"),"3 años")</f>
        <v>3 años</v>
      </c>
      <c r="S917" s="17" t="s">
        <v>3422</v>
      </c>
      <c r="U917" s="24"/>
      <c r="V917" s="24"/>
      <c r="W917" s="18" t="s">
        <v>76</v>
      </c>
    </row>
    <row r="918">
      <c r="A918" s="11"/>
      <c r="B918" s="12" t="s">
        <v>43</v>
      </c>
      <c r="C918" s="12" t="s">
        <v>65</v>
      </c>
      <c r="D918" s="12" t="s">
        <v>43</v>
      </c>
      <c r="E918" s="12" t="s">
        <v>66</v>
      </c>
      <c r="F918" s="13" t="s">
        <v>67</v>
      </c>
      <c r="G918" s="12" t="s">
        <v>68</v>
      </c>
      <c r="H918" s="12" t="s">
        <v>69</v>
      </c>
      <c r="I918" s="12" t="s">
        <v>70</v>
      </c>
      <c r="J918" s="17" t="s">
        <v>2779</v>
      </c>
      <c r="K918" s="18">
        <v>3.0</v>
      </c>
      <c r="L918" s="20">
        <v>45903.0</v>
      </c>
      <c r="M918" s="17" t="s">
        <v>28</v>
      </c>
      <c r="N918" s="17" t="s">
        <v>3152</v>
      </c>
      <c r="P918" s="17" t="s">
        <v>81</v>
      </c>
      <c r="Q918" s="17" t="s">
        <v>73</v>
      </c>
      <c r="R918" s="17" t="s">
        <v>74</v>
      </c>
      <c r="S918" s="17" t="s">
        <v>82</v>
      </c>
      <c r="U918" s="24"/>
      <c r="V918" s="24"/>
      <c r="W918" s="18" t="s">
        <v>76</v>
      </c>
    </row>
    <row r="919">
      <c r="A919" s="11"/>
      <c r="B919" s="12" t="s">
        <v>43</v>
      </c>
      <c r="C919" s="12" t="s">
        <v>65</v>
      </c>
      <c r="D919" s="12" t="s">
        <v>43</v>
      </c>
      <c r="E919" s="12" t="s">
        <v>66</v>
      </c>
      <c r="F919" s="13" t="s">
        <v>67</v>
      </c>
      <c r="G919" s="12" t="s">
        <v>68</v>
      </c>
      <c r="H919" s="12" t="s">
        <v>69</v>
      </c>
      <c r="I919" s="12" t="s">
        <v>70</v>
      </c>
      <c r="J919" s="17" t="s">
        <v>2779</v>
      </c>
      <c r="K919" s="18">
        <v>3.0</v>
      </c>
      <c r="L919" s="20">
        <v>45903.0</v>
      </c>
      <c r="M919" s="17" t="s">
        <v>23</v>
      </c>
      <c r="N919" s="116" t="s">
        <v>3445</v>
      </c>
      <c r="Q919" s="17" t="s">
        <v>73</v>
      </c>
      <c r="S919" s="17" t="s">
        <v>73</v>
      </c>
      <c r="U919" s="24"/>
      <c r="V919" s="24"/>
      <c r="W919" s="18" t="s">
        <v>76</v>
      </c>
    </row>
    <row r="920">
      <c r="A920" s="11"/>
      <c r="B920" s="12" t="s">
        <v>22</v>
      </c>
      <c r="C920" s="12" t="s">
        <v>22</v>
      </c>
      <c r="D920" s="12" t="s">
        <v>22</v>
      </c>
      <c r="E920" s="12" t="s">
        <v>593</v>
      </c>
      <c r="F920" s="13" t="s">
        <v>594</v>
      </c>
      <c r="G920" s="12" t="s">
        <v>68</v>
      </c>
      <c r="H920" s="12" t="s">
        <v>595</v>
      </c>
      <c r="I920" s="12" t="s">
        <v>596</v>
      </c>
      <c r="J920" s="17" t="s">
        <v>2779</v>
      </c>
      <c r="K920" s="18" t="s">
        <v>2780</v>
      </c>
      <c r="L920" s="20">
        <v>45903.0</v>
      </c>
      <c r="M920" s="17" t="s">
        <v>28</v>
      </c>
      <c r="N920" s="17" t="s">
        <v>3446</v>
      </c>
      <c r="O920" s="17">
        <v>7.6398749E7</v>
      </c>
      <c r="P920" s="17" t="s">
        <v>3447</v>
      </c>
      <c r="Q920" s="17" t="s">
        <v>112</v>
      </c>
      <c r="R920" s="17" t="s">
        <v>113</v>
      </c>
      <c r="S920" s="17" t="s">
        <v>3448</v>
      </c>
      <c r="U920" s="24"/>
      <c r="V920" s="24"/>
      <c r="W920" s="18" t="s">
        <v>588</v>
      </c>
    </row>
    <row r="921">
      <c r="A921" s="11"/>
      <c r="B921" s="12" t="s">
        <v>22</v>
      </c>
      <c r="C921" s="12" t="s">
        <v>22</v>
      </c>
      <c r="D921" s="12" t="s">
        <v>22</v>
      </c>
      <c r="E921" s="12" t="s">
        <v>593</v>
      </c>
      <c r="F921" s="13" t="s">
        <v>594</v>
      </c>
      <c r="G921" s="12" t="s">
        <v>68</v>
      </c>
      <c r="H921" s="12" t="s">
        <v>595</v>
      </c>
      <c r="I921" s="12" t="s">
        <v>596</v>
      </c>
      <c r="J921" s="17" t="s">
        <v>2779</v>
      </c>
      <c r="K921" s="18" t="s">
        <v>2780</v>
      </c>
      <c r="L921" s="20">
        <v>45903.0</v>
      </c>
      <c r="M921" s="17" t="s">
        <v>28</v>
      </c>
      <c r="N921" s="17" t="s">
        <v>2456</v>
      </c>
      <c r="O921" s="17">
        <v>4.5349445E7</v>
      </c>
      <c r="P921" s="17" t="s">
        <v>3449</v>
      </c>
      <c r="Q921" s="17" t="s">
        <v>112</v>
      </c>
      <c r="R921" s="17" t="s">
        <v>113</v>
      </c>
      <c r="S921" s="17" t="s">
        <v>3450</v>
      </c>
      <c r="U921" s="24"/>
      <c r="V921" s="24"/>
      <c r="W921" s="18" t="s">
        <v>588</v>
      </c>
    </row>
    <row r="922">
      <c r="A922" s="11"/>
      <c r="B922" s="12" t="s">
        <v>22</v>
      </c>
      <c r="C922" s="12" t="s">
        <v>22</v>
      </c>
      <c r="D922" s="12" t="s">
        <v>22</v>
      </c>
      <c r="E922" s="12" t="s">
        <v>593</v>
      </c>
      <c r="F922" s="13" t="s">
        <v>594</v>
      </c>
      <c r="G922" s="12" t="s">
        <v>68</v>
      </c>
      <c r="H922" s="12" t="s">
        <v>595</v>
      </c>
      <c r="I922" s="12" t="s">
        <v>596</v>
      </c>
      <c r="J922" s="17" t="s">
        <v>2779</v>
      </c>
      <c r="K922" s="18" t="s">
        <v>2780</v>
      </c>
      <c r="L922" s="20">
        <v>45903.0</v>
      </c>
      <c r="M922" s="17" t="s">
        <v>28</v>
      </c>
      <c r="N922" s="17" t="s">
        <v>3451</v>
      </c>
      <c r="O922" s="17">
        <v>4.0991197E7</v>
      </c>
      <c r="P922" s="17" t="s">
        <v>3452</v>
      </c>
      <c r="Q922" s="17" t="s">
        <v>112</v>
      </c>
      <c r="R922" s="17" t="s">
        <v>113</v>
      </c>
      <c r="S922" s="17" t="s">
        <v>3453</v>
      </c>
      <c r="U922" s="24"/>
      <c r="V922" s="24"/>
      <c r="W922" s="18" t="s">
        <v>588</v>
      </c>
    </row>
    <row r="923">
      <c r="A923" s="11"/>
      <c r="B923" s="12" t="s">
        <v>22</v>
      </c>
      <c r="C923" s="12" t="s">
        <v>22</v>
      </c>
      <c r="D923" s="12" t="s">
        <v>22</v>
      </c>
      <c r="E923" s="12" t="s">
        <v>593</v>
      </c>
      <c r="F923" s="13" t="s">
        <v>594</v>
      </c>
      <c r="G923" s="12" t="s">
        <v>68</v>
      </c>
      <c r="H923" s="12" t="s">
        <v>595</v>
      </c>
      <c r="I923" s="12" t="s">
        <v>596</v>
      </c>
      <c r="J923" s="17" t="s">
        <v>2779</v>
      </c>
      <c r="K923" s="18" t="s">
        <v>2780</v>
      </c>
      <c r="L923" s="20">
        <v>45903.0</v>
      </c>
      <c r="M923" s="17" t="s">
        <v>28</v>
      </c>
      <c r="N923" s="17" t="s">
        <v>3454</v>
      </c>
      <c r="O923" s="17">
        <v>7.3197696E7</v>
      </c>
      <c r="P923" s="17" t="s">
        <v>3455</v>
      </c>
      <c r="Q923" s="17" t="s">
        <v>112</v>
      </c>
      <c r="S923" s="17" t="s">
        <v>3456</v>
      </c>
      <c r="U923" s="24"/>
      <c r="V923" s="24"/>
      <c r="W923" s="18" t="s">
        <v>588</v>
      </c>
    </row>
    <row r="924">
      <c r="A924" s="11"/>
      <c r="B924" s="12" t="s">
        <v>22</v>
      </c>
      <c r="C924" s="12" t="s">
        <v>22</v>
      </c>
      <c r="D924" s="12" t="s">
        <v>22</v>
      </c>
      <c r="E924" s="12" t="s">
        <v>593</v>
      </c>
      <c r="F924" s="13" t="s">
        <v>594</v>
      </c>
      <c r="G924" s="12" t="s">
        <v>68</v>
      </c>
      <c r="H924" s="12" t="s">
        <v>595</v>
      </c>
      <c r="I924" s="12" t="s">
        <v>596</v>
      </c>
      <c r="J924" s="17" t="s">
        <v>2779</v>
      </c>
      <c r="K924" s="18" t="s">
        <v>2780</v>
      </c>
      <c r="L924" s="20">
        <v>45903.0</v>
      </c>
      <c r="M924" s="17" t="s">
        <v>28</v>
      </c>
      <c r="N924" s="17" t="s">
        <v>2192</v>
      </c>
      <c r="O924" s="17">
        <v>7.2620266E7</v>
      </c>
      <c r="P924" s="17" t="s">
        <v>2193</v>
      </c>
      <c r="Q924" s="17" t="s">
        <v>112</v>
      </c>
      <c r="S924" s="17" t="s">
        <v>3457</v>
      </c>
      <c r="U924" s="24"/>
      <c r="V924" s="24"/>
      <c r="W924" s="18" t="s">
        <v>588</v>
      </c>
    </row>
    <row r="925">
      <c r="A925" s="11"/>
      <c r="B925" s="12" t="s">
        <v>22</v>
      </c>
      <c r="C925" s="12" t="s">
        <v>22</v>
      </c>
      <c r="D925" s="12" t="s">
        <v>22</v>
      </c>
      <c r="E925" s="12" t="s">
        <v>593</v>
      </c>
      <c r="F925" s="13" t="s">
        <v>594</v>
      </c>
      <c r="G925" s="12" t="s">
        <v>68</v>
      </c>
      <c r="H925" s="12" t="s">
        <v>595</v>
      </c>
      <c r="I925" s="12" t="s">
        <v>596</v>
      </c>
      <c r="J925" s="17" t="s">
        <v>2779</v>
      </c>
      <c r="K925" s="18" t="s">
        <v>2780</v>
      </c>
      <c r="L925" s="20">
        <v>45903.0</v>
      </c>
      <c r="M925" s="17" t="s">
        <v>28</v>
      </c>
      <c r="N925" s="17" t="s">
        <v>3458</v>
      </c>
      <c r="O925" s="17">
        <v>7.5561811E7</v>
      </c>
      <c r="P925" s="17" t="s">
        <v>3459</v>
      </c>
      <c r="Q925" s="17" t="s">
        <v>112</v>
      </c>
      <c r="S925" s="17" t="s">
        <v>3460</v>
      </c>
      <c r="U925" s="24"/>
      <c r="V925" s="24"/>
      <c r="W925" s="18" t="s">
        <v>588</v>
      </c>
    </row>
    <row r="926">
      <c r="A926" s="11"/>
      <c r="B926" s="12" t="s">
        <v>22</v>
      </c>
      <c r="C926" s="12" t="s">
        <v>22</v>
      </c>
      <c r="D926" s="12" t="s">
        <v>22</v>
      </c>
      <c r="E926" s="12" t="s">
        <v>593</v>
      </c>
      <c r="F926" s="13" t="s">
        <v>594</v>
      </c>
      <c r="G926" s="12" t="s">
        <v>68</v>
      </c>
      <c r="H926" s="12" t="s">
        <v>595</v>
      </c>
      <c r="I926" s="12" t="s">
        <v>596</v>
      </c>
      <c r="J926" s="17" t="s">
        <v>2779</v>
      </c>
      <c r="K926" s="18" t="s">
        <v>2780</v>
      </c>
      <c r="L926" s="20">
        <v>45903.0</v>
      </c>
      <c r="M926" s="17" t="s">
        <v>28</v>
      </c>
      <c r="N926" s="17" t="s">
        <v>3461</v>
      </c>
      <c r="O926" s="17">
        <v>7.0235567E7</v>
      </c>
      <c r="P926" s="17" t="s">
        <v>3462</v>
      </c>
      <c r="Q926" s="17" t="s">
        <v>108</v>
      </c>
      <c r="S926" s="17" t="s">
        <v>3463</v>
      </c>
      <c r="U926" s="24"/>
      <c r="V926" s="24"/>
      <c r="W926" s="18" t="s">
        <v>588</v>
      </c>
    </row>
    <row r="927">
      <c r="A927" s="11"/>
      <c r="B927" s="12" t="s">
        <v>22</v>
      </c>
      <c r="C927" s="12" t="s">
        <v>22</v>
      </c>
      <c r="D927" s="12" t="s">
        <v>22</v>
      </c>
      <c r="E927" s="12" t="s">
        <v>593</v>
      </c>
      <c r="F927" s="13" t="s">
        <v>594</v>
      </c>
      <c r="G927" s="12" t="s">
        <v>68</v>
      </c>
      <c r="H927" s="12" t="s">
        <v>595</v>
      </c>
      <c r="I927" s="12" t="s">
        <v>596</v>
      </c>
      <c r="J927" s="17" t="s">
        <v>2779</v>
      </c>
      <c r="K927" s="18" t="s">
        <v>2780</v>
      </c>
      <c r="L927" s="20">
        <v>45903.0</v>
      </c>
      <c r="M927" s="17" t="s">
        <v>28</v>
      </c>
      <c r="N927" s="17" t="s">
        <v>3461</v>
      </c>
      <c r="O927" s="17">
        <v>7.0235567E7</v>
      </c>
      <c r="P927" s="17" t="s">
        <v>3464</v>
      </c>
      <c r="Q927" s="17" t="s">
        <v>73</v>
      </c>
      <c r="S927" s="17" t="s">
        <v>3465</v>
      </c>
      <c r="U927" s="24"/>
      <c r="V927" s="24"/>
      <c r="W927" s="18" t="s">
        <v>588</v>
      </c>
    </row>
    <row r="928">
      <c r="A928" s="11"/>
      <c r="B928" s="12" t="s">
        <v>22</v>
      </c>
      <c r="C928" s="12" t="s">
        <v>22</v>
      </c>
      <c r="D928" s="12" t="s">
        <v>22</v>
      </c>
      <c r="E928" s="12" t="s">
        <v>593</v>
      </c>
      <c r="F928" s="13" t="s">
        <v>594</v>
      </c>
      <c r="G928" s="12" t="s">
        <v>68</v>
      </c>
      <c r="H928" s="12" t="s">
        <v>595</v>
      </c>
      <c r="I928" s="12" t="s">
        <v>596</v>
      </c>
      <c r="J928" s="17" t="s">
        <v>2779</v>
      </c>
      <c r="K928" s="18" t="s">
        <v>2780</v>
      </c>
      <c r="L928" s="20">
        <v>45903.0</v>
      </c>
      <c r="M928" s="17" t="s">
        <v>28</v>
      </c>
      <c r="N928" s="17" t="s">
        <v>3466</v>
      </c>
      <c r="O928" s="17">
        <v>7.5782406E7</v>
      </c>
      <c r="Q928" s="17" t="s">
        <v>108</v>
      </c>
      <c r="S928" s="17" t="s">
        <v>108</v>
      </c>
      <c r="U928" s="24"/>
      <c r="V928" s="24"/>
      <c r="W928" s="18" t="s">
        <v>588</v>
      </c>
    </row>
    <row r="929">
      <c r="A929" s="11"/>
      <c r="B929" s="12" t="s">
        <v>22</v>
      </c>
      <c r="C929" s="12" t="s">
        <v>22</v>
      </c>
      <c r="D929" s="12" t="s">
        <v>22</v>
      </c>
      <c r="E929" s="12" t="s">
        <v>593</v>
      </c>
      <c r="F929" s="13" t="s">
        <v>594</v>
      </c>
      <c r="G929" s="12" t="s">
        <v>68</v>
      </c>
      <c r="H929" s="12" t="s">
        <v>595</v>
      </c>
      <c r="I929" s="12" t="s">
        <v>596</v>
      </c>
      <c r="J929" s="17" t="s">
        <v>2779</v>
      </c>
      <c r="K929" s="18" t="s">
        <v>2780</v>
      </c>
      <c r="L929" s="20">
        <v>45903.0</v>
      </c>
      <c r="M929" s="17" t="s">
        <v>28</v>
      </c>
      <c r="N929" s="17" t="s">
        <v>2199</v>
      </c>
      <c r="O929" s="17">
        <v>7.0083156E7</v>
      </c>
      <c r="P929" s="17" t="s">
        <v>3467</v>
      </c>
      <c r="Q929" s="17" t="s">
        <v>112</v>
      </c>
      <c r="S929" s="17" t="s">
        <v>3468</v>
      </c>
      <c r="U929" s="24"/>
      <c r="V929" s="24"/>
      <c r="W929" s="18" t="s">
        <v>588</v>
      </c>
    </row>
    <row r="930">
      <c r="A930" s="11"/>
      <c r="B930" s="12" t="s">
        <v>22</v>
      </c>
      <c r="C930" s="12" t="s">
        <v>22</v>
      </c>
      <c r="D930" s="12" t="s">
        <v>22</v>
      </c>
      <c r="E930" s="12" t="s">
        <v>593</v>
      </c>
      <c r="F930" s="13" t="s">
        <v>594</v>
      </c>
      <c r="G930" s="12" t="s">
        <v>68</v>
      </c>
      <c r="H930" s="12" t="s">
        <v>595</v>
      </c>
      <c r="I930" s="12" t="s">
        <v>596</v>
      </c>
      <c r="J930" s="17" t="s">
        <v>2779</v>
      </c>
      <c r="K930" s="18" t="s">
        <v>2780</v>
      </c>
      <c r="L930" s="20">
        <v>45903.0</v>
      </c>
      <c r="M930" s="17" t="s">
        <v>23</v>
      </c>
      <c r="N930" s="17" t="s">
        <v>2199</v>
      </c>
      <c r="O930" s="17">
        <v>7.0083156E7</v>
      </c>
      <c r="Q930" s="2"/>
      <c r="U930" s="24"/>
      <c r="V930" s="24"/>
      <c r="W930" s="18" t="s">
        <v>588</v>
      </c>
    </row>
    <row r="931">
      <c r="A931" s="11"/>
      <c r="B931" s="12" t="s">
        <v>22</v>
      </c>
      <c r="C931" s="12" t="s">
        <v>22</v>
      </c>
      <c r="D931" s="12" t="s">
        <v>22</v>
      </c>
      <c r="E931" s="12" t="s">
        <v>593</v>
      </c>
      <c r="F931" s="13" t="s">
        <v>594</v>
      </c>
      <c r="G931" s="12" t="s">
        <v>68</v>
      </c>
      <c r="H931" s="12" t="s">
        <v>595</v>
      </c>
      <c r="I931" s="12" t="s">
        <v>596</v>
      </c>
      <c r="J931" s="17" t="s">
        <v>2779</v>
      </c>
      <c r="K931" s="18" t="s">
        <v>2780</v>
      </c>
      <c r="L931" s="20">
        <v>45903.0</v>
      </c>
      <c r="M931" s="17" t="s">
        <v>28</v>
      </c>
      <c r="N931" s="17" t="s">
        <v>3469</v>
      </c>
      <c r="O931" s="17">
        <v>7.6246913E7</v>
      </c>
      <c r="P931" s="17" t="s">
        <v>3467</v>
      </c>
      <c r="Q931" s="17" t="s">
        <v>73</v>
      </c>
      <c r="S931" s="17" t="s">
        <v>3470</v>
      </c>
      <c r="U931" s="24"/>
      <c r="V931" s="24"/>
      <c r="W931" s="18" t="s">
        <v>588</v>
      </c>
    </row>
    <row r="932">
      <c r="A932" s="11"/>
      <c r="B932" s="12" t="s">
        <v>22</v>
      </c>
      <c r="C932" s="12" t="s">
        <v>22</v>
      </c>
      <c r="D932" s="12" t="s">
        <v>22</v>
      </c>
      <c r="E932" s="12" t="s">
        <v>593</v>
      </c>
      <c r="F932" s="13" t="s">
        <v>594</v>
      </c>
      <c r="G932" s="12" t="s">
        <v>68</v>
      </c>
      <c r="H932" s="12" t="s">
        <v>595</v>
      </c>
      <c r="I932" s="12" t="s">
        <v>596</v>
      </c>
      <c r="J932" s="17" t="s">
        <v>2779</v>
      </c>
      <c r="K932" s="18" t="s">
        <v>2780</v>
      </c>
      <c r="L932" s="20">
        <v>45903.0</v>
      </c>
      <c r="M932" s="17" t="s">
        <v>28</v>
      </c>
      <c r="N932" s="17" t="s">
        <v>3471</v>
      </c>
      <c r="O932" s="17">
        <v>3.212458E7</v>
      </c>
      <c r="P932" s="17" t="s">
        <v>3472</v>
      </c>
      <c r="Q932" s="17" t="s">
        <v>112</v>
      </c>
      <c r="S932" s="17" t="s">
        <v>3473</v>
      </c>
      <c r="U932" s="24"/>
      <c r="V932" s="24"/>
      <c r="W932" s="18" t="s">
        <v>588</v>
      </c>
    </row>
    <row r="933">
      <c r="A933" s="11"/>
      <c r="B933" s="12" t="s">
        <v>22</v>
      </c>
      <c r="C933" s="12" t="s">
        <v>22</v>
      </c>
      <c r="D933" s="12" t="s">
        <v>22</v>
      </c>
      <c r="E933" s="12" t="s">
        <v>593</v>
      </c>
      <c r="F933" s="13" t="s">
        <v>594</v>
      </c>
      <c r="G933" s="12" t="s">
        <v>68</v>
      </c>
      <c r="H933" s="12" t="s">
        <v>595</v>
      </c>
      <c r="I933" s="12" t="s">
        <v>596</v>
      </c>
      <c r="J933" s="17" t="s">
        <v>2779</v>
      </c>
      <c r="K933" s="18" t="s">
        <v>2780</v>
      </c>
      <c r="L933" s="20">
        <v>45903.0</v>
      </c>
      <c r="M933" s="17" t="s">
        <v>28</v>
      </c>
      <c r="N933" s="17" t="s">
        <v>3474</v>
      </c>
      <c r="O933" s="17">
        <v>4.3723835E7</v>
      </c>
      <c r="Q933" s="17" t="s">
        <v>112</v>
      </c>
      <c r="S933" s="17" t="s">
        <v>112</v>
      </c>
      <c r="U933" s="24"/>
      <c r="V933" s="24"/>
      <c r="W933" s="18" t="s">
        <v>588</v>
      </c>
    </row>
    <row r="934">
      <c r="A934" s="11"/>
      <c r="B934" s="12" t="s">
        <v>22</v>
      </c>
      <c r="C934" s="12" t="s">
        <v>22</v>
      </c>
      <c r="D934" s="12" t="s">
        <v>22</v>
      </c>
      <c r="E934" s="12" t="s">
        <v>593</v>
      </c>
      <c r="F934" s="13" t="s">
        <v>594</v>
      </c>
      <c r="G934" s="12" t="s">
        <v>68</v>
      </c>
      <c r="H934" s="12" t="s">
        <v>595</v>
      </c>
      <c r="I934" s="12" t="s">
        <v>596</v>
      </c>
      <c r="J934" s="17" t="s">
        <v>2779</v>
      </c>
      <c r="K934" s="18" t="s">
        <v>2780</v>
      </c>
      <c r="L934" s="20">
        <v>45903.0</v>
      </c>
      <c r="M934" s="17" t="s">
        <v>28</v>
      </c>
      <c r="N934" s="17" t="s">
        <v>3475</v>
      </c>
      <c r="O934" s="17">
        <v>7.3118722E7</v>
      </c>
      <c r="P934" s="17" t="s">
        <v>3476</v>
      </c>
      <c r="Q934" s="17" t="s">
        <v>112</v>
      </c>
      <c r="S934" s="17" t="s">
        <v>3477</v>
      </c>
      <c r="U934" s="24"/>
      <c r="V934" s="24"/>
      <c r="W934" s="18" t="s">
        <v>588</v>
      </c>
    </row>
    <row r="935">
      <c r="A935" s="11"/>
      <c r="B935" s="12" t="s">
        <v>22</v>
      </c>
      <c r="C935" s="12" t="s">
        <v>22</v>
      </c>
      <c r="D935" s="12" t="s">
        <v>22</v>
      </c>
      <c r="E935" s="12" t="s">
        <v>593</v>
      </c>
      <c r="F935" s="13" t="s">
        <v>594</v>
      </c>
      <c r="G935" s="12" t="s">
        <v>68</v>
      </c>
      <c r="H935" s="12" t="s">
        <v>595</v>
      </c>
      <c r="I935" s="12" t="s">
        <v>596</v>
      </c>
      <c r="J935" s="17" t="s">
        <v>2779</v>
      </c>
      <c r="K935" s="18" t="s">
        <v>2780</v>
      </c>
      <c r="L935" s="20">
        <v>45903.0</v>
      </c>
      <c r="M935" s="17" t="s">
        <v>28</v>
      </c>
      <c r="N935" s="17" t="s">
        <v>3478</v>
      </c>
      <c r="O935" s="17">
        <v>4.1144605E7</v>
      </c>
      <c r="P935" s="17" t="s">
        <v>3479</v>
      </c>
      <c r="Q935" s="17" t="s">
        <v>112</v>
      </c>
      <c r="S935" s="17" t="s">
        <v>3480</v>
      </c>
      <c r="U935" s="24"/>
      <c r="V935" s="24"/>
      <c r="W935" s="18" t="s">
        <v>588</v>
      </c>
    </row>
    <row r="936">
      <c r="A936" s="11"/>
      <c r="B936" s="12" t="s">
        <v>22</v>
      </c>
      <c r="C936" s="12" t="s">
        <v>22</v>
      </c>
      <c r="D936" s="12" t="s">
        <v>22</v>
      </c>
      <c r="E936" s="12" t="s">
        <v>593</v>
      </c>
      <c r="F936" s="13" t="s">
        <v>594</v>
      </c>
      <c r="G936" s="12" t="s">
        <v>68</v>
      </c>
      <c r="H936" s="12" t="s">
        <v>595</v>
      </c>
      <c r="I936" s="12" t="s">
        <v>596</v>
      </c>
      <c r="J936" s="17" t="s">
        <v>2779</v>
      </c>
      <c r="K936" s="18" t="s">
        <v>2780</v>
      </c>
      <c r="L936" s="20">
        <v>45903.0</v>
      </c>
      <c r="M936" s="17" t="s">
        <v>28</v>
      </c>
      <c r="N936" s="17" t="s">
        <v>3481</v>
      </c>
      <c r="O936" s="17">
        <v>3.2119783E7</v>
      </c>
      <c r="Q936" s="2"/>
      <c r="U936" s="24"/>
      <c r="V936" s="24"/>
      <c r="W936" s="18" t="s">
        <v>588</v>
      </c>
    </row>
    <row r="937">
      <c r="A937" s="11"/>
      <c r="B937" s="12" t="s">
        <v>22</v>
      </c>
      <c r="C937" s="12" t="s">
        <v>22</v>
      </c>
      <c r="D937" s="12" t="s">
        <v>22</v>
      </c>
      <c r="E937" s="12" t="s">
        <v>593</v>
      </c>
      <c r="F937" s="13" t="s">
        <v>594</v>
      </c>
      <c r="G937" s="12" t="s">
        <v>68</v>
      </c>
      <c r="H937" s="12" t="s">
        <v>595</v>
      </c>
      <c r="I937" s="12" t="s">
        <v>596</v>
      </c>
      <c r="J937" s="17" t="s">
        <v>2779</v>
      </c>
      <c r="K937" s="18" t="s">
        <v>2780</v>
      </c>
      <c r="L937" s="20">
        <v>45903.0</v>
      </c>
      <c r="M937" s="17" t="s">
        <v>28</v>
      </c>
      <c r="N937" s="17" t="s">
        <v>3482</v>
      </c>
      <c r="O937" s="17">
        <v>7.0167177E7</v>
      </c>
      <c r="P937" s="17" t="s">
        <v>3483</v>
      </c>
      <c r="Q937" s="17" t="s">
        <v>73</v>
      </c>
      <c r="S937" s="17" t="s">
        <v>3484</v>
      </c>
      <c r="U937" s="24"/>
      <c r="V937" s="24"/>
      <c r="W937" s="18" t="s">
        <v>588</v>
      </c>
    </row>
    <row r="938">
      <c r="A938" s="11"/>
      <c r="B938" s="12" t="s">
        <v>22</v>
      </c>
      <c r="C938" s="12" t="s">
        <v>22</v>
      </c>
      <c r="D938" s="12" t="s">
        <v>22</v>
      </c>
      <c r="E938" s="12" t="s">
        <v>593</v>
      </c>
      <c r="F938" s="13" t="s">
        <v>594</v>
      </c>
      <c r="G938" s="12" t="s">
        <v>68</v>
      </c>
      <c r="H938" s="12" t="s">
        <v>595</v>
      </c>
      <c r="I938" s="12" t="s">
        <v>596</v>
      </c>
      <c r="J938" s="17" t="s">
        <v>2779</v>
      </c>
      <c r="K938" s="18" t="s">
        <v>2780</v>
      </c>
      <c r="L938" s="20">
        <v>45903.0</v>
      </c>
      <c r="M938" s="17" t="s">
        <v>28</v>
      </c>
      <c r="N938" s="17" t="s">
        <v>3485</v>
      </c>
      <c r="O938" s="17">
        <v>7.1118884E7</v>
      </c>
      <c r="P938" s="17" t="s">
        <v>3486</v>
      </c>
      <c r="Q938" s="17" t="s">
        <v>73</v>
      </c>
      <c r="S938" s="17" t="s">
        <v>3487</v>
      </c>
      <c r="U938" s="24"/>
      <c r="V938" s="24"/>
      <c r="W938" s="18" t="s">
        <v>588</v>
      </c>
    </row>
    <row r="939">
      <c r="A939" s="11"/>
      <c r="B939" s="12" t="s">
        <v>22</v>
      </c>
      <c r="C939" s="12" t="s">
        <v>22</v>
      </c>
      <c r="D939" s="12" t="s">
        <v>22</v>
      </c>
      <c r="E939" s="12" t="s">
        <v>593</v>
      </c>
      <c r="F939" s="13" t="s">
        <v>594</v>
      </c>
      <c r="G939" s="12" t="s">
        <v>68</v>
      </c>
      <c r="H939" s="12" t="s">
        <v>595</v>
      </c>
      <c r="I939" s="12" t="s">
        <v>596</v>
      </c>
      <c r="J939" s="17" t="s">
        <v>2779</v>
      </c>
      <c r="K939" s="18" t="s">
        <v>2780</v>
      </c>
      <c r="L939" s="20">
        <v>45903.0</v>
      </c>
      <c r="M939" s="17" t="s">
        <v>28</v>
      </c>
      <c r="N939" s="17" t="s">
        <v>2181</v>
      </c>
      <c r="O939" s="17">
        <v>4.8392497E7</v>
      </c>
      <c r="P939" s="17" t="s">
        <v>3488</v>
      </c>
      <c r="Q939" s="17" t="s">
        <v>73</v>
      </c>
      <c r="S939" s="17" t="s">
        <v>3489</v>
      </c>
      <c r="U939" s="24"/>
      <c r="V939" s="24"/>
      <c r="W939" s="18" t="s">
        <v>588</v>
      </c>
    </row>
    <row r="940">
      <c r="A940" s="11"/>
      <c r="B940" s="12" t="s">
        <v>22</v>
      </c>
      <c r="C940" s="12" t="s">
        <v>22</v>
      </c>
      <c r="D940" s="12" t="s">
        <v>22</v>
      </c>
      <c r="E940" s="12" t="s">
        <v>593</v>
      </c>
      <c r="F940" s="13" t="s">
        <v>594</v>
      </c>
      <c r="G940" s="12" t="s">
        <v>68</v>
      </c>
      <c r="H940" s="12" t="s">
        <v>595</v>
      </c>
      <c r="I940" s="12" t="s">
        <v>596</v>
      </c>
      <c r="J940" s="17" t="s">
        <v>2779</v>
      </c>
      <c r="K940" s="18" t="s">
        <v>2780</v>
      </c>
      <c r="L940" s="20">
        <v>45903.0</v>
      </c>
      <c r="M940" s="17" t="s">
        <v>28</v>
      </c>
      <c r="N940" s="17" t="s">
        <v>3490</v>
      </c>
      <c r="O940" s="17">
        <v>4.8470052E7</v>
      </c>
      <c r="P940" s="17" t="s">
        <v>3491</v>
      </c>
      <c r="Q940" s="17" t="s">
        <v>73</v>
      </c>
      <c r="S940" s="17" t="s">
        <v>3492</v>
      </c>
      <c r="U940" s="24"/>
      <c r="V940" s="24"/>
      <c r="W940" s="18" t="s">
        <v>588</v>
      </c>
    </row>
    <row r="941">
      <c r="A941" s="11"/>
      <c r="B941" s="12" t="s">
        <v>22</v>
      </c>
      <c r="C941" s="12" t="s">
        <v>22</v>
      </c>
      <c r="D941" s="12" t="s">
        <v>22</v>
      </c>
      <c r="E941" s="12" t="s">
        <v>593</v>
      </c>
      <c r="F941" s="13" t="s">
        <v>594</v>
      </c>
      <c r="G941" s="12" t="s">
        <v>68</v>
      </c>
      <c r="H941" s="12" t="s">
        <v>595</v>
      </c>
      <c r="I941" s="12" t="s">
        <v>596</v>
      </c>
      <c r="J941" s="17" t="s">
        <v>2779</v>
      </c>
      <c r="K941" s="18" t="s">
        <v>2780</v>
      </c>
      <c r="L941" s="20">
        <v>45903.0</v>
      </c>
      <c r="M941" s="17" t="s">
        <v>28</v>
      </c>
      <c r="N941" s="17" t="s">
        <v>3493</v>
      </c>
      <c r="Q941" s="17" t="s">
        <v>73</v>
      </c>
      <c r="S941" s="17" t="s">
        <v>73</v>
      </c>
      <c r="U941" s="24"/>
      <c r="V941" s="24"/>
      <c r="W941" s="18" t="s">
        <v>588</v>
      </c>
    </row>
    <row r="942">
      <c r="A942" s="11"/>
      <c r="B942" s="12" t="s">
        <v>22</v>
      </c>
      <c r="C942" s="12" t="s">
        <v>22</v>
      </c>
      <c r="D942" s="12" t="s">
        <v>22</v>
      </c>
      <c r="E942" s="12" t="s">
        <v>593</v>
      </c>
      <c r="F942" s="13" t="s">
        <v>594</v>
      </c>
      <c r="G942" s="12" t="s">
        <v>68</v>
      </c>
      <c r="H942" s="12" t="s">
        <v>595</v>
      </c>
      <c r="I942" s="12" t="s">
        <v>596</v>
      </c>
      <c r="J942" s="17" t="s">
        <v>2779</v>
      </c>
      <c r="K942" s="18" t="s">
        <v>2780</v>
      </c>
      <c r="L942" s="20">
        <v>45903.0</v>
      </c>
      <c r="M942" s="17" t="s">
        <v>23</v>
      </c>
      <c r="N942" s="17" t="s">
        <v>3494</v>
      </c>
      <c r="O942" s="17">
        <v>7.2159413E7</v>
      </c>
      <c r="Q942" s="17" t="s">
        <v>108</v>
      </c>
      <c r="S942" s="17" t="s">
        <v>108</v>
      </c>
      <c r="U942" s="24"/>
      <c r="V942" s="24"/>
      <c r="W942" s="18" t="s">
        <v>588</v>
      </c>
    </row>
    <row r="943">
      <c r="A943" s="11"/>
      <c r="B943" s="12" t="s">
        <v>22</v>
      </c>
      <c r="C943" s="12" t="s">
        <v>22</v>
      </c>
      <c r="D943" s="12" t="s">
        <v>22</v>
      </c>
      <c r="E943" s="12" t="s">
        <v>593</v>
      </c>
      <c r="F943" s="13" t="s">
        <v>594</v>
      </c>
      <c r="G943" s="12" t="s">
        <v>68</v>
      </c>
      <c r="H943" s="12" t="s">
        <v>595</v>
      </c>
      <c r="I943" s="12" t="s">
        <v>596</v>
      </c>
      <c r="J943" s="17" t="s">
        <v>2779</v>
      </c>
      <c r="K943" s="18" t="s">
        <v>2780</v>
      </c>
      <c r="L943" s="20">
        <v>45903.0</v>
      </c>
      <c r="M943" s="17" t="s">
        <v>23</v>
      </c>
      <c r="N943" s="17" t="s">
        <v>2201</v>
      </c>
      <c r="O943" s="17">
        <v>4.110177E7</v>
      </c>
      <c r="Q943" s="17" t="s">
        <v>73</v>
      </c>
      <c r="S943" s="17" t="s">
        <v>73</v>
      </c>
      <c r="U943" s="24"/>
      <c r="V943" s="24"/>
      <c r="W943" s="18" t="s">
        <v>588</v>
      </c>
    </row>
    <row r="944">
      <c r="A944" s="11"/>
      <c r="B944" s="12" t="s">
        <v>22</v>
      </c>
      <c r="C944" s="12" t="s">
        <v>22</v>
      </c>
      <c r="D944" s="12" t="s">
        <v>22</v>
      </c>
      <c r="E944" s="12" t="s">
        <v>593</v>
      </c>
      <c r="F944" s="13" t="s">
        <v>594</v>
      </c>
      <c r="G944" s="12" t="s">
        <v>68</v>
      </c>
      <c r="H944" s="12" t="s">
        <v>595</v>
      </c>
      <c r="I944" s="12" t="s">
        <v>596</v>
      </c>
      <c r="J944" s="17" t="s">
        <v>2779</v>
      </c>
      <c r="K944" s="18" t="s">
        <v>2780</v>
      </c>
      <c r="L944" s="20">
        <v>45903.0</v>
      </c>
      <c r="M944" s="17" t="s">
        <v>23</v>
      </c>
      <c r="N944" s="17" t="s">
        <v>3495</v>
      </c>
      <c r="O944" s="17">
        <v>3.2948075E7</v>
      </c>
      <c r="Q944" s="17" t="s">
        <v>112</v>
      </c>
      <c r="S944" s="17" t="s">
        <v>112</v>
      </c>
      <c r="U944" s="24"/>
      <c r="V944" s="24"/>
      <c r="W944" s="18" t="s">
        <v>588</v>
      </c>
    </row>
    <row r="945">
      <c r="A945" s="11"/>
      <c r="B945" s="12" t="s">
        <v>43</v>
      </c>
      <c r="C945" s="12" t="s">
        <v>65</v>
      </c>
      <c r="D945" s="12" t="s">
        <v>321</v>
      </c>
      <c r="E945" s="12" t="s">
        <v>321</v>
      </c>
      <c r="F945" s="13" t="s">
        <v>322</v>
      </c>
      <c r="G945" s="12" t="s">
        <v>68</v>
      </c>
      <c r="H945" s="12" t="s">
        <v>323</v>
      </c>
      <c r="I945" s="12" t="s">
        <v>324</v>
      </c>
      <c r="J945" s="17" t="s">
        <v>2169</v>
      </c>
      <c r="K945" s="18" t="s">
        <v>2170</v>
      </c>
      <c r="L945" s="20">
        <v>45904.0</v>
      </c>
      <c r="M945" s="17" t="s">
        <v>28</v>
      </c>
      <c r="N945" s="17" t="s">
        <v>3496</v>
      </c>
      <c r="O945" s="17">
        <v>4.2459563E7</v>
      </c>
      <c r="P945" s="17" t="s">
        <v>3497</v>
      </c>
      <c r="Q945" s="17" t="s">
        <v>73</v>
      </c>
      <c r="R945" s="17" t="s">
        <v>1551</v>
      </c>
      <c r="S945" s="17" t="s">
        <v>3498</v>
      </c>
      <c r="U945" s="24"/>
      <c r="V945" s="24"/>
      <c r="W945" s="18" t="s">
        <v>76</v>
      </c>
    </row>
    <row r="946">
      <c r="A946" s="11"/>
      <c r="B946" s="12" t="s">
        <v>43</v>
      </c>
      <c r="C946" s="12" t="s">
        <v>65</v>
      </c>
      <c r="D946" s="12" t="s">
        <v>321</v>
      </c>
      <c r="E946" s="12" t="s">
        <v>321</v>
      </c>
      <c r="F946" s="13" t="s">
        <v>322</v>
      </c>
      <c r="G946" s="12" t="s">
        <v>68</v>
      </c>
      <c r="H946" s="12" t="s">
        <v>323</v>
      </c>
      <c r="I946" s="12" t="s">
        <v>324</v>
      </c>
      <c r="J946" s="17" t="s">
        <v>2169</v>
      </c>
      <c r="K946" s="18" t="s">
        <v>2170</v>
      </c>
      <c r="L946" s="20">
        <v>45904.0</v>
      </c>
      <c r="M946" s="17" t="s">
        <v>28</v>
      </c>
      <c r="N946" s="17" t="s">
        <v>3499</v>
      </c>
      <c r="O946" s="17">
        <v>8.0512614E7</v>
      </c>
      <c r="P946" s="17" t="s">
        <v>3500</v>
      </c>
      <c r="Q946" s="17" t="s">
        <v>108</v>
      </c>
      <c r="R946" s="17" t="s">
        <v>1554</v>
      </c>
      <c r="S946" s="17" t="s">
        <v>3501</v>
      </c>
      <c r="U946" s="24"/>
      <c r="V946" s="24"/>
      <c r="W946" s="18" t="s">
        <v>76</v>
      </c>
    </row>
    <row r="947">
      <c r="A947" s="11"/>
      <c r="B947" s="12" t="s">
        <v>43</v>
      </c>
      <c r="C947" s="12" t="s">
        <v>65</v>
      </c>
      <c r="D947" s="12" t="s">
        <v>321</v>
      </c>
      <c r="E947" s="12" t="s">
        <v>321</v>
      </c>
      <c r="F947" s="13" t="s">
        <v>322</v>
      </c>
      <c r="G947" s="12" t="s">
        <v>68</v>
      </c>
      <c r="H947" s="12" t="s">
        <v>323</v>
      </c>
      <c r="I947" s="12" t="s">
        <v>324</v>
      </c>
      <c r="J947" s="17" t="s">
        <v>2169</v>
      </c>
      <c r="K947" s="18" t="s">
        <v>2170</v>
      </c>
      <c r="L947" s="20">
        <v>45904.0</v>
      </c>
      <c r="M947" s="17" t="s">
        <v>28</v>
      </c>
      <c r="N947" s="17" t="s">
        <v>3502</v>
      </c>
      <c r="O947" s="17">
        <v>7.2581746E7</v>
      </c>
      <c r="P947" s="17" t="s">
        <v>3503</v>
      </c>
      <c r="Q947" s="17" t="s">
        <v>108</v>
      </c>
      <c r="R947" s="17" t="s">
        <v>1537</v>
      </c>
      <c r="S947" s="17" t="s">
        <v>3504</v>
      </c>
      <c r="U947" s="24"/>
      <c r="V947" s="24"/>
      <c r="W947" s="18" t="s">
        <v>76</v>
      </c>
    </row>
    <row r="948">
      <c r="A948" s="11"/>
      <c r="B948" s="12" t="s">
        <v>43</v>
      </c>
      <c r="C948" s="12" t="s">
        <v>65</v>
      </c>
      <c r="D948" s="12" t="s">
        <v>321</v>
      </c>
      <c r="E948" s="12" t="s">
        <v>321</v>
      </c>
      <c r="F948" s="13" t="s">
        <v>322</v>
      </c>
      <c r="G948" s="12" t="s">
        <v>68</v>
      </c>
      <c r="H948" s="12" t="s">
        <v>323</v>
      </c>
      <c r="I948" s="12" t="s">
        <v>324</v>
      </c>
      <c r="J948" s="17" t="s">
        <v>2169</v>
      </c>
      <c r="K948" s="18" t="s">
        <v>2170</v>
      </c>
      <c r="L948" s="20">
        <v>45904.0</v>
      </c>
      <c r="M948" s="17" t="s">
        <v>28</v>
      </c>
      <c r="N948" s="17" t="s">
        <v>3505</v>
      </c>
      <c r="O948" s="17">
        <v>4.7527243E7</v>
      </c>
      <c r="P948" s="17" t="s">
        <v>3506</v>
      </c>
      <c r="Q948" s="17" t="s">
        <v>73</v>
      </c>
      <c r="R948" s="17" t="s">
        <v>3507</v>
      </c>
      <c r="S948" s="17" t="s">
        <v>3508</v>
      </c>
      <c r="U948" s="24"/>
      <c r="V948" s="24"/>
      <c r="W948" s="18" t="s">
        <v>76</v>
      </c>
    </row>
    <row r="949">
      <c r="A949" s="11"/>
      <c r="B949" s="12" t="s">
        <v>43</v>
      </c>
      <c r="C949" s="12" t="s">
        <v>65</v>
      </c>
      <c r="D949" s="12" t="s">
        <v>321</v>
      </c>
      <c r="E949" s="12" t="s">
        <v>321</v>
      </c>
      <c r="F949" s="13" t="s">
        <v>322</v>
      </c>
      <c r="G949" s="12" t="s">
        <v>68</v>
      </c>
      <c r="H949" s="12" t="s">
        <v>323</v>
      </c>
      <c r="I949" s="12" t="s">
        <v>324</v>
      </c>
      <c r="J949" s="17" t="s">
        <v>2169</v>
      </c>
      <c r="K949" s="18" t="s">
        <v>2170</v>
      </c>
      <c r="L949" s="20">
        <v>45904.0</v>
      </c>
      <c r="M949" s="17" t="s">
        <v>28</v>
      </c>
      <c r="N949" s="17" t="s">
        <v>3509</v>
      </c>
      <c r="O949" s="17">
        <v>7.3507297E7</v>
      </c>
      <c r="P949" s="17" t="s">
        <v>3510</v>
      </c>
      <c r="Q949" s="17" t="s">
        <v>112</v>
      </c>
      <c r="R949" s="17" t="s">
        <v>3511</v>
      </c>
      <c r="S949" s="17" t="s">
        <v>3512</v>
      </c>
      <c r="U949" s="24"/>
      <c r="V949" s="24"/>
      <c r="W949" s="18" t="s">
        <v>76</v>
      </c>
    </row>
    <row r="950">
      <c r="A950" s="11"/>
      <c r="B950" s="12" t="s">
        <v>43</v>
      </c>
      <c r="C950" s="12" t="s">
        <v>65</v>
      </c>
      <c r="D950" s="12" t="s">
        <v>321</v>
      </c>
      <c r="E950" s="12" t="s">
        <v>321</v>
      </c>
      <c r="F950" s="13" t="s">
        <v>322</v>
      </c>
      <c r="G950" s="12" t="s">
        <v>68</v>
      </c>
      <c r="H950" s="12" t="s">
        <v>323</v>
      </c>
      <c r="I950" s="12" t="s">
        <v>324</v>
      </c>
      <c r="J950" s="17" t="s">
        <v>2169</v>
      </c>
      <c r="K950" s="18" t="s">
        <v>2170</v>
      </c>
      <c r="L950" s="20">
        <v>45904.0</v>
      </c>
      <c r="M950" s="17" t="s">
        <v>28</v>
      </c>
      <c r="N950" s="17" t="s">
        <v>3163</v>
      </c>
      <c r="O950" s="17">
        <v>4.5823846E7</v>
      </c>
      <c r="P950" s="17" t="s">
        <v>3513</v>
      </c>
      <c r="Q950" s="17" t="s">
        <v>73</v>
      </c>
      <c r="R950" s="17" t="s">
        <v>3514</v>
      </c>
      <c r="S950" s="17" t="s">
        <v>3515</v>
      </c>
      <c r="U950" s="24"/>
      <c r="V950" s="24"/>
      <c r="W950" s="18" t="s">
        <v>76</v>
      </c>
    </row>
    <row r="951">
      <c r="A951" s="11"/>
      <c r="B951" s="12" t="s">
        <v>43</v>
      </c>
      <c r="C951" s="12" t="s">
        <v>65</v>
      </c>
      <c r="D951" s="12" t="s">
        <v>321</v>
      </c>
      <c r="E951" s="12" t="s">
        <v>321</v>
      </c>
      <c r="F951" s="13" t="s">
        <v>322</v>
      </c>
      <c r="G951" s="12" t="s">
        <v>68</v>
      </c>
      <c r="H951" s="12" t="s">
        <v>323</v>
      </c>
      <c r="I951" s="12" t="s">
        <v>324</v>
      </c>
      <c r="J951" s="17" t="s">
        <v>2169</v>
      </c>
      <c r="K951" s="18" t="s">
        <v>2170</v>
      </c>
      <c r="L951" s="20">
        <v>45904.0</v>
      </c>
      <c r="M951" s="17" t="s">
        <v>28</v>
      </c>
      <c r="N951" s="17" t="s">
        <v>3516</v>
      </c>
      <c r="O951" s="17">
        <v>4.1284811E7</v>
      </c>
      <c r="P951" s="17" t="s">
        <v>3517</v>
      </c>
      <c r="Q951" s="17" t="s">
        <v>73</v>
      </c>
      <c r="R951" s="17" t="s">
        <v>1551</v>
      </c>
      <c r="S951" s="17" t="s">
        <v>3518</v>
      </c>
      <c r="U951" s="24"/>
      <c r="V951" s="24"/>
      <c r="W951" s="18" t="s">
        <v>76</v>
      </c>
    </row>
    <row r="952">
      <c r="A952" s="11"/>
      <c r="B952" s="12" t="s">
        <v>43</v>
      </c>
      <c r="C952" s="12" t="s">
        <v>65</v>
      </c>
      <c r="D952" s="12" t="s">
        <v>321</v>
      </c>
      <c r="E952" s="12" t="s">
        <v>321</v>
      </c>
      <c r="F952" s="13" t="s">
        <v>322</v>
      </c>
      <c r="G952" s="12" t="s">
        <v>68</v>
      </c>
      <c r="H952" s="12" t="s">
        <v>323</v>
      </c>
      <c r="I952" s="12" t="s">
        <v>324</v>
      </c>
      <c r="J952" s="17" t="s">
        <v>2169</v>
      </c>
      <c r="K952" s="18" t="s">
        <v>2270</v>
      </c>
      <c r="L952" s="20">
        <v>45904.0</v>
      </c>
      <c r="M952" s="17" t="s">
        <v>28</v>
      </c>
      <c r="N952" s="17" t="s">
        <v>3519</v>
      </c>
      <c r="O952" s="17">
        <v>7.2576524E7</v>
      </c>
      <c r="P952" s="17" t="s">
        <v>3520</v>
      </c>
      <c r="Q952" s="17" t="s">
        <v>73</v>
      </c>
      <c r="R952" s="17" t="s">
        <v>1551</v>
      </c>
      <c r="S952" s="17" t="s">
        <v>3521</v>
      </c>
      <c r="U952" s="24"/>
      <c r="V952" s="24"/>
      <c r="W952" s="18" t="s">
        <v>76</v>
      </c>
    </row>
    <row r="953">
      <c r="A953" s="11"/>
      <c r="B953" s="12" t="s">
        <v>43</v>
      </c>
      <c r="C953" s="12" t="s">
        <v>65</v>
      </c>
      <c r="D953" s="12" t="s">
        <v>321</v>
      </c>
      <c r="E953" s="12" t="s">
        <v>321</v>
      </c>
      <c r="F953" s="13" t="s">
        <v>322</v>
      </c>
      <c r="G953" s="12" t="s">
        <v>68</v>
      </c>
      <c r="H953" s="12" t="s">
        <v>323</v>
      </c>
      <c r="I953" s="12" t="s">
        <v>324</v>
      </c>
      <c r="J953" s="17" t="s">
        <v>2169</v>
      </c>
      <c r="K953" s="18" t="s">
        <v>2170</v>
      </c>
      <c r="L953" s="20">
        <v>45904.0</v>
      </c>
      <c r="M953" s="17" t="s">
        <v>28</v>
      </c>
      <c r="N953" s="17" t="s">
        <v>3522</v>
      </c>
      <c r="O953" s="17">
        <v>4.7527243E7</v>
      </c>
      <c r="P953" s="17" t="s">
        <v>3523</v>
      </c>
      <c r="Q953" s="17" t="s">
        <v>73</v>
      </c>
      <c r="R953" s="17" t="s">
        <v>1551</v>
      </c>
      <c r="S953" s="17" t="s">
        <v>3524</v>
      </c>
      <c r="U953" s="24"/>
      <c r="V953" s="24"/>
      <c r="W953" s="18" t="s">
        <v>76</v>
      </c>
    </row>
    <row r="954">
      <c r="A954" s="11"/>
      <c r="B954" s="12" t="s">
        <v>43</v>
      </c>
      <c r="C954" s="12" t="s">
        <v>65</v>
      </c>
      <c r="D954" s="12" t="s">
        <v>321</v>
      </c>
      <c r="E954" s="12" t="s">
        <v>321</v>
      </c>
      <c r="F954" s="13" t="s">
        <v>322</v>
      </c>
      <c r="G954" s="12" t="s">
        <v>68</v>
      </c>
      <c r="H954" s="12" t="s">
        <v>323</v>
      </c>
      <c r="I954" s="12" t="s">
        <v>324</v>
      </c>
      <c r="J954" s="17" t="s">
        <v>2169</v>
      </c>
      <c r="K954" s="18" t="s">
        <v>2270</v>
      </c>
      <c r="L954" s="20">
        <v>45904.0</v>
      </c>
      <c r="M954" s="17" t="s">
        <v>28</v>
      </c>
      <c r="N954" s="123" t="s">
        <v>3525</v>
      </c>
      <c r="Q954" s="2"/>
      <c r="U954" s="24"/>
      <c r="V954" s="24"/>
      <c r="W954" s="18" t="s">
        <v>76</v>
      </c>
    </row>
    <row r="955">
      <c r="A955" s="11"/>
      <c r="B955" s="12" t="s">
        <v>7</v>
      </c>
      <c r="C955" s="12" t="s">
        <v>8</v>
      </c>
      <c r="D955" s="12" t="s">
        <v>15</v>
      </c>
      <c r="E955" s="12" t="s">
        <v>15</v>
      </c>
      <c r="F955" s="13" t="s">
        <v>16</v>
      </c>
      <c r="G955" s="12" t="s">
        <v>68</v>
      </c>
      <c r="H955" s="12" t="s">
        <v>928</v>
      </c>
      <c r="I955" s="12" t="s">
        <v>929</v>
      </c>
      <c r="J955" s="17" t="s">
        <v>2169</v>
      </c>
      <c r="K955" s="18" t="s">
        <v>2170</v>
      </c>
      <c r="L955" s="20">
        <v>45855.0</v>
      </c>
      <c r="M955" s="17" t="s">
        <v>28</v>
      </c>
      <c r="N955" s="17" t="s">
        <v>3526</v>
      </c>
      <c r="O955" s="17">
        <v>7.6088826E7</v>
      </c>
      <c r="Q955" s="17" t="s">
        <v>112</v>
      </c>
      <c r="R955" s="17" t="s">
        <v>113</v>
      </c>
      <c r="S955" s="17" t="s">
        <v>2220</v>
      </c>
      <c r="U955" s="24"/>
      <c r="V955" s="24"/>
      <c r="W955" s="18" t="s">
        <v>915</v>
      </c>
    </row>
    <row r="956">
      <c r="A956" s="11"/>
      <c r="B956" s="12" t="s">
        <v>7</v>
      </c>
      <c r="C956" s="12" t="s">
        <v>8</v>
      </c>
      <c r="D956" s="12" t="s">
        <v>15</v>
      </c>
      <c r="E956" s="12" t="s">
        <v>15</v>
      </c>
      <c r="F956" s="13" t="s">
        <v>16</v>
      </c>
      <c r="G956" s="12" t="s">
        <v>68</v>
      </c>
      <c r="H956" s="12" t="s">
        <v>928</v>
      </c>
      <c r="I956" s="12" t="s">
        <v>929</v>
      </c>
      <c r="J956" s="17" t="s">
        <v>2169</v>
      </c>
      <c r="K956" s="18" t="s">
        <v>2170</v>
      </c>
      <c r="L956" s="20">
        <v>45855.0</v>
      </c>
      <c r="M956" s="17" t="s">
        <v>28</v>
      </c>
      <c r="N956" s="17" t="s">
        <v>3527</v>
      </c>
      <c r="O956" s="17">
        <v>7.6664315E7</v>
      </c>
      <c r="Q956" s="17" t="s">
        <v>73</v>
      </c>
      <c r="R956" s="17" t="s">
        <v>74</v>
      </c>
      <c r="S956" s="17" t="s">
        <v>2202</v>
      </c>
      <c r="U956" s="24"/>
      <c r="V956" s="24"/>
      <c r="W956" s="18" t="s">
        <v>915</v>
      </c>
    </row>
    <row r="957">
      <c r="A957" s="11"/>
      <c r="B957" s="12" t="s">
        <v>7</v>
      </c>
      <c r="C957" s="12" t="s">
        <v>8</v>
      </c>
      <c r="D957" s="12" t="s">
        <v>15</v>
      </c>
      <c r="E957" s="12" t="s">
        <v>15</v>
      </c>
      <c r="F957" s="13" t="s">
        <v>16</v>
      </c>
      <c r="G957" s="12" t="s">
        <v>68</v>
      </c>
      <c r="H957" s="12" t="s">
        <v>928</v>
      </c>
      <c r="I957" s="12" t="s">
        <v>929</v>
      </c>
      <c r="J957" s="17" t="s">
        <v>2169</v>
      </c>
      <c r="K957" s="18" t="s">
        <v>2170</v>
      </c>
      <c r="L957" s="20">
        <v>45855.0</v>
      </c>
      <c r="M957" s="17" t="s">
        <v>28</v>
      </c>
      <c r="N957" s="17" t="s">
        <v>3528</v>
      </c>
      <c r="O957" s="17">
        <v>7.0610296E7</v>
      </c>
      <c r="Q957" s="17" t="s">
        <v>112</v>
      </c>
      <c r="R957" s="17" t="s">
        <v>113</v>
      </c>
      <c r="S957" s="17" t="s">
        <v>2220</v>
      </c>
      <c r="U957" s="24"/>
      <c r="V957" s="24"/>
      <c r="W957" s="18" t="s">
        <v>915</v>
      </c>
    </row>
    <row r="958">
      <c r="A958" s="11"/>
      <c r="B958" s="12" t="s">
        <v>7</v>
      </c>
      <c r="C958" s="12" t="s">
        <v>8</v>
      </c>
      <c r="D958" s="12" t="s">
        <v>15</v>
      </c>
      <c r="E958" s="12" t="s">
        <v>15</v>
      </c>
      <c r="F958" s="13" t="s">
        <v>16</v>
      </c>
      <c r="G958" s="12" t="s">
        <v>68</v>
      </c>
      <c r="H958" s="12" t="s">
        <v>928</v>
      </c>
      <c r="I958" s="12" t="s">
        <v>929</v>
      </c>
      <c r="J958" s="17" t="s">
        <v>2169</v>
      </c>
      <c r="K958" s="18" t="s">
        <v>2170</v>
      </c>
      <c r="L958" s="20">
        <v>45855.0</v>
      </c>
      <c r="M958" s="17" t="s">
        <v>28</v>
      </c>
      <c r="N958" s="17" t="s">
        <v>3529</v>
      </c>
      <c r="O958" s="17">
        <v>7.0610292E7</v>
      </c>
      <c r="Q958" s="17" t="s">
        <v>108</v>
      </c>
      <c r="R958" s="17" t="s">
        <v>109</v>
      </c>
      <c r="S958" s="17" t="s">
        <v>2198</v>
      </c>
      <c r="U958" s="24"/>
      <c r="V958" s="24"/>
      <c r="W958" s="18" t="s">
        <v>915</v>
      </c>
    </row>
    <row r="959">
      <c r="A959" s="11"/>
      <c r="B959" s="12" t="s">
        <v>7</v>
      </c>
      <c r="C959" s="12" t="s">
        <v>8</v>
      </c>
      <c r="D959" s="12" t="s">
        <v>15</v>
      </c>
      <c r="E959" s="12" t="s">
        <v>15</v>
      </c>
      <c r="F959" s="13" t="s">
        <v>16</v>
      </c>
      <c r="G959" s="12" t="s">
        <v>68</v>
      </c>
      <c r="H959" s="12" t="s">
        <v>928</v>
      </c>
      <c r="I959" s="12" t="s">
        <v>929</v>
      </c>
      <c r="J959" s="17" t="s">
        <v>2169</v>
      </c>
      <c r="K959" s="18" t="s">
        <v>2170</v>
      </c>
      <c r="L959" s="20">
        <v>45855.0</v>
      </c>
      <c r="M959" s="17" t="s">
        <v>28</v>
      </c>
      <c r="N959" s="17" t="s">
        <v>3530</v>
      </c>
      <c r="O959" s="17">
        <v>3.1655185E7</v>
      </c>
      <c r="Q959" s="17" t="s">
        <v>112</v>
      </c>
      <c r="R959" s="17" t="s">
        <v>1939</v>
      </c>
      <c r="S959" s="17" t="s">
        <v>2220</v>
      </c>
      <c r="U959" s="24"/>
      <c r="V959" s="24"/>
      <c r="W959" s="18" t="s">
        <v>915</v>
      </c>
    </row>
    <row r="960">
      <c r="A960" s="11"/>
      <c r="B960" s="12" t="s">
        <v>7</v>
      </c>
      <c r="C960" s="12" t="s">
        <v>8</v>
      </c>
      <c r="D960" s="12" t="s">
        <v>15</v>
      </c>
      <c r="E960" s="12" t="s">
        <v>15</v>
      </c>
      <c r="F960" s="13" t="s">
        <v>16</v>
      </c>
      <c r="G960" s="12" t="s">
        <v>68</v>
      </c>
      <c r="H960" s="12" t="s">
        <v>928</v>
      </c>
      <c r="I960" s="12" t="s">
        <v>929</v>
      </c>
      <c r="J960" s="17" t="s">
        <v>2169</v>
      </c>
      <c r="K960" s="18" t="s">
        <v>2170</v>
      </c>
      <c r="L960" s="20">
        <v>45855.0</v>
      </c>
      <c r="M960" s="17" t="s">
        <v>28</v>
      </c>
      <c r="N960" s="17" t="s">
        <v>3531</v>
      </c>
      <c r="O960" s="17">
        <v>4.185287E7</v>
      </c>
      <c r="Q960" s="17" t="s">
        <v>73</v>
      </c>
      <c r="R960" s="17" t="s">
        <v>1589</v>
      </c>
      <c r="S960" s="17" t="s">
        <v>2202</v>
      </c>
      <c r="U960" s="24"/>
      <c r="V960" s="24"/>
      <c r="W960" s="18" t="s">
        <v>915</v>
      </c>
    </row>
    <row r="961">
      <c r="A961" s="11"/>
      <c r="B961" s="12" t="s">
        <v>7</v>
      </c>
      <c r="C961" s="12" t="s">
        <v>8</v>
      </c>
      <c r="D961" s="12" t="s">
        <v>15</v>
      </c>
      <c r="E961" s="12" t="s">
        <v>15</v>
      </c>
      <c r="F961" s="13" t="s">
        <v>16</v>
      </c>
      <c r="G961" s="12" t="s">
        <v>68</v>
      </c>
      <c r="H961" s="12" t="s">
        <v>928</v>
      </c>
      <c r="I961" s="12" t="s">
        <v>929</v>
      </c>
      <c r="J961" s="17" t="s">
        <v>2169</v>
      </c>
      <c r="K961" s="18" t="s">
        <v>2170</v>
      </c>
      <c r="L961" s="20">
        <v>45855.0</v>
      </c>
      <c r="M961" s="17" t="s">
        <v>28</v>
      </c>
      <c r="N961" s="17" t="s">
        <v>3532</v>
      </c>
      <c r="O961" s="17">
        <v>7.3591581E7</v>
      </c>
      <c r="Q961" s="17" t="s">
        <v>112</v>
      </c>
      <c r="R961" s="17" t="s">
        <v>1939</v>
      </c>
      <c r="S961" s="17" t="s">
        <v>2220</v>
      </c>
      <c r="U961" s="24"/>
      <c r="V961" s="24"/>
      <c r="W961" s="18" t="s">
        <v>915</v>
      </c>
    </row>
    <row r="962">
      <c r="A962" s="11"/>
      <c r="B962" s="12" t="s">
        <v>7</v>
      </c>
      <c r="C962" s="12" t="s">
        <v>8</v>
      </c>
      <c r="D962" s="12" t="s">
        <v>15</v>
      </c>
      <c r="E962" s="12" t="s">
        <v>15</v>
      </c>
      <c r="F962" s="13" t="s">
        <v>16</v>
      </c>
      <c r="G962" s="12" t="s">
        <v>68</v>
      </c>
      <c r="H962" s="12" t="s">
        <v>928</v>
      </c>
      <c r="I962" s="12" t="s">
        <v>929</v>
      </c>
      <c r="J962" s="17" t="s">
        <v>2169</v>
      </c>
      <c r="K962" s="18" t="s">
        <v>2170</v>
      </c>
      <c r="L962" s="20">
        <v>45855.0</v>
      </c>
      <c r="M962" s="17" t="s">
        <v>28</v>
      </c>
      <c r="N962" s="17" t="s">
        <v>3533</v>
      </c>
      <c r="O962" s="17">
        <v>4.292167E7</v>
      </c>
      <c r="Q962" s="17" t="s">
        <v>108</v>
      </c>
      <c r="R962" s="17" t="s">
        <v>3534</v>
      </c>
      <c r="S962" s="17" t="s">
        <v>2198</v>
      </c>
      <c r="U962" s="24"/>
      <c r="V962" s="24"/>
      <c r="W962" s="18" t="s">
        <v>915</v>
      </c>
    </row>
    <row r="963">
      <c r="A963" s="11"/>
      <c r="B963" s="12" t="s">
        <v>7</v>
      </c>
      <c r="C963" s="12" t="s">
        <v>8</v>
      </c>
      <c r="D963" s="12" t="s">
        <v>15</v>
      </c>
      <c r="E963" s="12" t="s">
        <v>15</v>
      </c>
      <c r="F963" s="13" t="s">
        <v>16</v>
      </c>
      <c r="G963" s="12" t="s">
        <v>68</v>
      </c>
      <c r="H963" s="12" t="s">
        <v>928</v>
      </c>
      <c r="I963" s="12" t="s">
        <v>929</v>
      </c>
      <c r="J963" s="17" t="s">
        <v>2169</v>
      </c>
      <c r="K963" s="18" t="s">
        <v>2170</v>
      </c>
      <c r="L963" s="20">
        <v>45855.0</v>
      </c>
      <c r="M963" s="17" t="s">
        <v>28</v>
      </c>
      <c r="N963" s="17" t="s">
        <v>3535</v>
      </c>
      <c r="O963" s="17">
        <v>7.230569E7</v>
      </c>
      <c r="Q963" s="17" t="s">
        <v>108</v>
      </c>
      <c r="R963" s="17" t="s">
        <v>3534</v>
      </c>
      <c r="S963" s="17" t="s">
        <v>2198</v>
      </c>
      <c r="U963" s="24"/>
      <c r="V963" s="24"/>
      <c r="W963" s="18" t="s">
        <v>915</v>
      </c>
    </row>
    <row r="964">
      <c r="A964" s="11"/>
      <c r="B964" s="12" t="s">
        <v>7</v>
      </c>
      <c r="C964" s="12" t="s">
        <v>8</v>
      </c>
      <c r="D964" s="12" t="s">
        <v>15</v>
      </c>
      <c r="E964" s="12" t="s">
        <v>15</v>
      </c>
      <c r="F964" s="13" t="s">
        <v>16</v>
      </c>
      <c r="G964" s="12" t="s">
        <v>68</v>
      </c>
      <c r="H964" s="12" t="s">
        <v>928</v>
      </c>
      <c r="I964" s="12" t="s">
        <v>929</v>
      </c>
      <c r="J964" s="17" t="s">
        <v>2169</v>
      </c>
      <c r="K964" s="18" t="s">
        <v>2170</v>
      </c>
      <c r="L964" s="20">
        <v>45855.0</v>
      </c>
      <c r="M964" s="17" t="s">
        <v>28</v>
      </c>
      <c r="N964" s="17" t="s">
        <v>3536</v>
      </c>
      <c r="O964" s="17">
        <v>4.8064623E7</v>
      </c>
      <c r="Q964" s="17" t="s">
        <v>73</v>
      </c>
      <c r="R964" s="17" t="s">
        <v>1589</v>
      </c>
      <c r="S964" s="17" t="s">
        <v>2202</v>
      </c>
      <c r="U964" s="24"/>
      <c r="V964" s="24"/>
      <c r="W964" s="18" t="s">
        <v>915</v>
      </c>
    </row>
    <row r="965">
      <c r="A965" s="11"/>
      <c r="B965" s="12" t="s">
        <v>7</v>
      </c>
      <c r="C965" s="12" t="s">
        <v>8</v>
      </c>
      <c r="D965" s="12" t="s">
        <v>15</v>
      </c>
      <c r="E965" s="12" t="s">
        <v>15</v>
      </c>
      <c r="F965" s="13" t="s">
        <v>16</v>
      </c>
      <c r="G965" s="12" t="s">
        <v>68</v>
      </c>
      <c r="H965" s="12" t="s">
        <v>928</v>
      </c>
      <c r="I965" s="12" t="s">
        <v>929</v>
      </c>
      <c r="J965" s="17" t="s">
        <v>2169</v>
      </c>
      <c r="K965" s="18" t="s">
        <v>2170</v>
      </c>
      <c r="L965" s="20">
        <v>45855.0</v>
      </c>
      <c r="M965" s="17" t="s">
        <v>23</v>
      </c>
      <c r="N965" s="17" t="s">
        <v>3537</v>
      </c>
      <c r="O965" s="17">
        <v>4.4662441E7</v>
      </c>
      <c r="Q965" s="17" t="s">
        <v>108</v>
      </c>
      <c r="R965" s="17" t="s">
        <v>109</v>
      </c>
      <c r="S965" s="17" t="s">
        <v>2198</v>
      </c>
      <c r="U965" s="24"/>
      <c r="V965" s="24"/>
      <c r="W965" s="18" t="s">
        <v>915</v>
      </c>
    </row>
    <row r="966">
      <c r="A966" s="11"/>
      <c r="B966" s="12" t="s">
        <v>7</v>
      </c>
      <c r="C966" s="12" t="s">
        <v>8</v>
      </c>
      <c r="D966" s="12" t="s">
        <v>15</v>
      </c>
      <c r="E966" s="12" t="s">
        <v>15</v>
      </c>
      <c r="F966" s="13" t="s">
        <v>16</v>
      </c>
      <c r="G966" s="12" t="s">
        <v>68</v>
      </c>
      <c r="H966" s="12" t="s">
        <v>928</v>
      </c>
      <c r="I966" s="12" t="s">
        <v>929</v>
      </c>
      <c r="J966" s="17" t="s">
        <v>2169</v>
      </c>
      <c r="K966" s="18" t="s">
        <v>2170</v>
      </c>
      <c r="L966" s="20">
        <v>45855.0</v>
      </c>
      <c r="M966" s="17" t="s">
        <v>23</v>
      </c>
      <c r="N966" s="17" t="s">
        <v>3538</v>
      </c>
      <c r="O966" s="17">
        <v>7.2029599E7</v>
      </c>
      <c r="Q966" s="17" t="s">
        <v>73</v>
      </c>
      <c r="R966" s="17" t="s">
        <v>74</v>
      </c>
      <c r="S966" s="17" t="s">
        <v>2202</v>
      </c>
      <c r="U966" s="24"/>
      <c r="V966" s="24"/>
      <c r="W966" s="18" t="s">
        <v>915</v>
      </c>
    </row>
    <row r="967">
      <c r="A967" s="11"/>
      <c r="B967" s="12" t="s">
        <v>7</v>
      </c>
      <c r="C967" s="12" t="s">
        <v>8</v>
      </c>
      <c r="D967" s="12" t="s">
        <v>15</v>
      </c>
      <c r="E967" s="12" t="s">
        <v>15</v>
      </c>
      <c r="F967" s="13" t="s">
        <v>16</v>
      </c>
      <c r="G967" s="12" t="s">
        <v>68</v>
      </c>
      <c r="H967" s="12" t="s">
        <v>928</v>
      </c>
      <c r="I967" s="12" t="s">
        <v>929</v>
      </c>
      <c r="J967" s="17" t="s">
        <v>2169</v>
      </c>
      <c r="K967" s="18" t="s">
        <v>2170</v>
      </c>
      <c r="L967" s="20">
        <v>45855.0</v>
      </c>
      <c r="M967" s="17" t="s">
        <v>28</v>
      </c>
      <c r="N967" s="17" t="s">
        <v>3539</v>
      </c>
      <c r="O967" s="17">
        <v>4.1510125E7</v>
      </c>
      <c r="Q967" s="17" t="s">
        <v>112</v>
      </c>
      <c r="R967" s="17" t="s">
        <v>113</v>
      </c>
      <c r="S967" s="17" t="s">
        <v>2220</v>
      </c>
      <c r="U967" s="24"/>
      <c r="V967" s="24"/>
      <c r="W967" s="18" t="s">
        <v>915</v>
      </c>
    </row>
    <row r="968">
      <c r="A968" s="11"/>
      <c r="B968" s="12" t="s">
        <v>7</v>
      </c>
      <c r="C968" s="12" t="s">
        <v>8</v>
      </c>
      <c r="D968" s="12" t="s">
        <v>15</v>
      </c>
      <c r="E968" s="12" t="s">
        <v>15</v>
      </c>
      <c r="F968" s="13" t="s">
        <v>16</v>
      </c>
      <c r="G968" s="12" t="s">
        <v>68</v>
      </c>
      <c r="H968" s="12" t="s">
        <v>928</v>
      </c>
      <c r="I968" s="12" t="s">
        <v>929</v>
      </c>
      <c r="J968" s="17" t="s">
        <v>2169</v>
      </c>
      <c r="K968" s="18" t="s">
        <v>2170</v>
      </c>
      <c r="L968" s="20">
        <v>45855.0</v>
      </c>
      <c r="M968" s="17" t="s">
        <v>28</v>
      </c>
      <c r="N968" s="17" t="s">
        <v>3540</v>
      </c>
      <c r="O968" s="17">
        <v>7.166571E7</v>
      </c>
      <c r="Q968" s="17" t="s">
        <v>112</v>
      </c>
      <c r="R968" s="17" t="s">
        <v>113</v>
      </c>
      <c r="S968" s="17" t="s">
        <v>2220</v>
      </c>
      <c r="U968" s="24"/>
      <c r="V968" s="24"/>
      <c r="W968" s="18" t="s">
        <v>915</v>
      </c>
    </row>
    <row r="969">
      <c r="A969" s="11"/>
      <c r="B969" s="12" t="s">
        <v>7</v>
      </c>
      <c r="C969" s="12" t="s">
        <v>8</v>
      </c>
      <c r="D969" s="12" t="s">
        <v>15</v>
      </c>
      <c r="E969" s="12" t="s">
        <v>15</v>
      </c>
      <c r="F969" s="13" t="s">
        <v>16</v>
      </c>
      <c r="G969" s="12" t="s">
        <v>68</v>
      </c>
      <c r="H969" s="12" t="s">
        <v>928</v>
      </c>
      <c r="I969" s="12" t="s">
        <v>929</v>
      </c>
      <c r="J969" s="17" t="s">
        <v>2169</v>
      </c>
      <c r="K969" s="18" t="s">
        <v>2170</v>
      </c>
      <c r="L969" s="20">
        <v>45855.0</v>
      </c>
      <c r="M969" s="17" t="s">
        <v>28</v>
      </c>
      <c r="N969" s="17" t="s">
        <v>3541</v>
      </c>
      <c r="O969" s="17">
        <v>7.0115449E7</v>
      </c>
      <c r="Q969" s="17" t="s">
        <v>112</v>
      </c>
      <c r="R969" s="17" t="s">
        <v>113</v>
      </c>
      <c r="S969" s="17" t="s">
        <v>2220</v>
      </c>
      <c r="U969" s="24"/>
      <c r="V969" s="24"/>
      <c r="W969" s="18" t="s">
        <v>915</v>
      </c>
    </row>
    <row r="970">
      <c r="A970" s="11"/>
      <c r="B970" s="12" t="s">
        <v>7</v>
      </c>
      <c r="C970" s="12" t="s">
        <v>8</v>
      </c>
      <c r="D970" s="12" t="s">
        <v>15</v>
      </c>
      <c r="E970" s="12" t="s">
        <v>15</v>
      </c>
      <c r="F970" s="13" t="s">
        <v>16</v>
      </c>
      <c r="G970" s="12" t="s">
        <v>68</v>
      </c>
      <c r="H970" s="12" t="s">
        <v>928</v>
      </c>
      <c r="I970" s="12" t="s">
        <v>929</v>
      </c>
      <c r="J970" s="17" t="s">
        <v>2169</v>
      </c>
      <c r="K970" s="18" t="s">
        <v>2270</v>
      </c>
      <c r="L970" s="20">
        <v>45855.0</v>
      </c>
      <c r="M970" s="17" t="s">
        <v>28</v>
      </c>
      <c r="N970" s="17" t="s">
        <v>3542</v>
      </c>
      <c r="O970" s="17">
        <v>7.0115453E7</v>
      </c>
      <c r="Q970" s="17" t="s">
        <v>112</v>
      </c>
      <c r="R970" s="17" t="s">
        <v>1939</v>
      </c>
      <c r="S970" s="17" t="s">
        <v>2220</v>
      </c>
      <c r="U970" s="24"/>
      <c r="V970" s="24"/>
      <c r="W970" s="18" t="s">
        <v>915</v>
      </c>
    </row>
    <row r="971">
      <c r="A971" s="11"/>
      <c r="B971" s="12" t="s">
        <v>7</v>
      </c>
      <c r="C971" s="12" t="s">
        <v>8</v>
      </c>
      <c r="D971" s="12" t="s">
        <v>15</v>
      </c>
      <c r="E971" s="12" t="s">
        <v>15</v>
      </c>
      <c r="F971" s="13" t="s">
        <v>16</v>
      </c>
      <c r="G971" s="12" t="s">
        <v>68</v>
      </c>
      <c r="H971" s="12" t="s">
        <v>928</v>
      </c>
      <c r="I971" s="12" t="s">
        <v>929</v>
      </c>
      <c r="J971" s="17" t="s">
        <v>2169</v>
      </c>
      <c r="K971" s="18" t="s">
        <v>2270</v>
      </c>
      <c r="L971" s="20">
        <v>45855.0</v>
      </c>
      <c r="M971" s="17" t="s">
        <v>28</v>
      </c>
      <c r="N971" s="17" t="s">
        <v>3543</v>
      </c>
      <c r="O971" s="17">
        <v>7.6753561E7</v>
      </c>
      <c r="Q971" s="17" t="s">
        <v>108</v>
      </c>
      <c r="R971" s="17" t="s">
        <v>3534</v>
      </c>
      <c r="S971" s="17" t="s">
        <v>2198</v>
      </c>
      <c r="U971" s="24"/>
      <c r="V971" s="24"/>
      <c r="W971" s="18" t="s">
        <v>915</v>
      </c>
    </row>
    <row r="972">
      <c r="A972" s="11"/>
      <c r="B972" s="12" t="s">
        <v>7</v>
      </c>
      <c r="C972" s="12" t="s">
        <v>8</v>
      </c>
      <c r="D972" s="12" t="s">
        <v>15</v>
      </c>
      <c r="E972" s="12" t="s">
        <v>15</v>
      </c>
      <c r="F972" s="13" t="s">
        <v>16</v>
      </c>
      <c r="G972" s="12" t="s">
        <v>68</v>
      </c>
      <c r="H972" s="12" t="s">
        <v>928</v>
      </c>
      <c r="I972" s="12" t="s">
        <v>929</v>
      </c>
      <c r="J972" s="17" t="s">
        <v>2169</v>
      </c>
      <c r="K972" s="18" t="s">
        <v>2270</v>
      </c>
      <c r="L972" s="20">
        <v>45855.0</v>
      </c>
      <c r="M972" s="17" t="s">
        <v>28</v>
      </c>
      <c r="N972" s="17" t="s">
        <v>3544</v>
      </c>
      <c r="O972" s="17">
        <v>4.4663709E7</v>
      </c>
      <c r="Q972" s="17" t="s">
        <v>108</v>
      </c>
      <c r="R972" s="17" t="s">
        <v>109</v>
      </c>
      <c r="S972" s="17" t="s">
        <v>2198</v>
      </c>
      <c r="U972" s="24"/>
      <c r="V972" s="24"/>
      <c r="W972" s="18" t="s">
        <v>915</v>
      </c>
    </row>
    <row r="973">
      <c r="A973" s="11"/>
      <c r="B973" s="12" t="s">
        <v>34</v>
      </c>
      <c r="C973" s="12" t="s">
        <v>65</v>
      </c>
      <c r="D973" s="12" t="s">
        <v>43</v>
      </c>
      <c r="E973" s="12" t="s">
        <v>224</v>
      </c>
      <c r="F973" s="13" t="s">
        <v>225</v>
      </c>
      <c r="G973" s="12" t="s">
        <v>68</v>
      </c>
      <c r="H973" s="12" t="s">
        <v>226</v>
      </c>
      <c r="I973" s="12" t="s">
        <v>227</v>
      </c>
      <c r="J973" s="17" t="s">
        <v>2783</v>
      </c>
      <c r="K973" s="18" t="s">
        <v>2784</v>
      </c>
      <c r="L973" s="20">
        <v>45910.0</v>
      </c>
      <c r="M973" s="17" t="s">
        <v>28</v>
      </c>
      <c r="N973" s="17" t="s">
        <v>3545</v>
      </c>
      <c r="O973" s="17">
        <v>1.0539111E7</v>
      </c>
      <c r="P973" s="17" t="s">
        <v>3546</v>
      </c>
      <c r="Q973" s="17" t="s">
        <v>108</v>
      </c>
      <c r="R973" s="17" t="s">
        <v>109</v>
      </c>
      <c r="S973" s="17" t="s">
        <v>3547</v>
      </c>
      <c r="U973" s="18">
        <v>9.21126501E8</v>
      </c>
      <c r="V973" s="24"/>
      <c r="W973" s="18" t="s">
        <v>76</v>
      </c>
    </row>
    <row r="974">
      <c r="A974" s="11"/>
      <c r="B974" s="12" t="s">
        <v>34</v>
      </c>
      <c r="C974" s="12" t="s">
        <v>65</v>
      </c>
      <c r="D974" s="12" t="s">
        <v>43</v>
      </c>
      <c r="E974" s="12" t="s">
        <v>224</v>
      </c>
      <c r="F974" s="13" t="s">
        <v>225</v>
      </c>
      <c r="G974" s="12" t="s">
        <v>68</v>
      </c>
      <c r="H974" s="12" t="s">
        <v>226</v>
      </c>
      <c r="I974" s="12" t="s">
        <v>227</v>
      </c>
      <c r="J974" s="17" t="s">
        <v>2783</v>
      </c>
      <c r="K974" s="18" t="s">
        <v>2784</v>
      </c>
      <c r="L974" s="20">
        <v>45910.0</v>
      </c>
      <c r="M974" s="17" t="s">
        <v>28</v>
      </c>
      <c r="N974" s="17" t="s">
        <v>2991</v>
      </c>
      <c r="O974" s="17">
        <v>7.2108997E7</v>
      </c>
      <c r="P974" s="17" t="s">
        <v>2992</v>
      </c>
      <c r="Q974" s="17" t="s">
        <v>73</v>
      </c>
      <c r="R974" s="17" t="s">
        <v>74</v>
      </c>
      <c r="S974" s="17" t="s">
        <v>3548</v>
      </c>
      <c r="U974" s="18">
        <v>9.67750884E8</v>
      </c>
      <c r="V974" s="24"/>
      <c r="W974" s="18" t="s">
        <v>76</v>
      </c>
    </row>
    <row r="975">
      <c r="A975" s="11"/>
      <c r="B975" s="12" t="s">
        <v>34</v>
      </c>
      <c r="C975" s="12" t="s">
        <v>65</v>
      </c>
      <c r="D975" s="12" t="s">
        <v>43</v>
      </c>
      <c r="E975" s="12" t="s">
        <v>224</v>
      </c>
      <c r="F975" s="13" t="s">
        <v>225</v>
      </c>
      <c r="G975" s="12" t="s">
        <v>68</v>
      </c>
      <c r="H975" s="12" t="s">
        <v>226</v>
      </c>
      <c r="I975" s="12" t="s">
        <v>227</v>
      </c>
      <c r="J975" s="17" t="s">
        <v>2783</v>
      </c>
      <c r="K975" s="18" t="s">
        <v>2784</v>
      </c>
      <c r="L975" s="20">
        <v>45910.0</v>
      </c>
      <c r="M975" s="17" t="s">
        <v>28</v>
      </c>
      <c r="N975" s="17" t="s">
        <v>2989</v>
      </c>
      <c r="O975" s="17">
        <v>4.5241127E7</v>
      </c>
      <c r="P975" s="16" t="s">
        <v>1525</v>
      </c>
      <c r="Q975" s="17" t="s">
        <v>112</v>
      </c>
      <c r="R975" s="17" t="s">
        <v>113</v>
      </c>
      <c r="S975" s="17" t="s">
        <v>3549</v>
      </c>
      <c r="U975" s="18">
        <v>9.64771066E8</v>
      </c>
      <c r="V975" s="24"/>
      <c r="W975" s="18" t="s">
        <v>76</v>
      </c>
    </row>
    <row r="976">
      <c r="A976" s="11"/>
      <c r="B976" s="12" t="s">
        <v>34</v>
      </c>
      <c r="C976" s="12" t="s">
        <v>65</v>
      </c>
      <c r="D976" s="12" t="s">
        <v>43</v>
      </c>
      <c r="E976" s="12" t="s">
        <v>224</v>
      </c>
      <c r="F976" s="13" t="s">
        <v>225</v>
      </c>
      <c r="G976" s="12" t="s">
        <v>68</v>
      </c>
      <c r="H976" s="12" t="s">
        <v>226</v>
      </c>
      <c r="I976" s="12" t="s">
        <v>227</v>
      </c>
      <c r="J976" s="17" t="s">
        <v>2783</v>
      </c>
      <c r="K976" s="18" t="s">
        <v>2784</v>
      </c>
      <c r="L976" s="20">
        <v>45910.0</v>
      </c>
      <c r="M976" s="17" t="s">
        <v>28</v>
      </c>
      <c r="N976" s="17" t="s">
        <v>2987</v>
      </c>
      <c r="O976" s="17">
        <v>7.3489266E7</v>
      </c>
      <c r="P976" s="16" t="s">
        <v>1523</v>
      </c>
      <c r="Q976" s="17" t="s">
        <v>112</v>
      </c>
      <c r="R976" s="17" t="s">
        <v>113</v>
      </c>
      <c r="S976" s="17" t="s">
        <v>3550</v>
      </c>
      <c r="U976" s="18">
        <v>9.65601304E8</v>
      </c>
      <c r="V976" s="24"/>
      <c r="W976" s="18" t="s">
        <v>76</v>
      </c>
    </row>
    <row r="977">
      <c r="A977" s="11"/>
      <c r="B977" s="12" t="s">
        <v>34</v>
      </c>
      <c r="C977" s="12" t="s">
        <v>65</v>
      </c>
      <c r="D977" s="12" t="s">
        <v>43</v>
      </c>
      <c r="E977" s="12" t="s">
        <v>224</v>
      </c>
      <c r="F977" s="13" t="s">
        <v>225</v>
      </c>
      <c r="G977" s="12" t="s">
        <v>68</v>
      </c>
      <c r="H977" s="12" t="s">
        <v>226</v>
      </c>
      <c r="I977" s="12" t="s">
        <v>227</v>
      </c>
      <c r="J977" s="17" t="s">
        <v>2783</v>
      </c>
      <c r="K977" s="18" t="s">
        <v>2784</v>
      </c>
      <c r="L977" s="20">
        <v>45910.0</v>
      </c>
      <c r="M977" s="17" t="s">
        <v>28</v>
      </c>
      <c r="N977" s="17" t="s">
        <v>3551</v>
      </c>
      <c r="O977" s="17">
        <v>4.8264395E7</v>
      </c>
      <c r="P977" s="17" t="s">
        <v>3552</v>
      </c>
      <c r="Q977" s="17" t="s">
        <v>73</v>
      </c>
      <c r="R977" s="17" t="s">
        <v>74</v>
      </c>
      <c r="S977" s="17" t="s">
        <v>3553</v>
      </c>
      <c r="U977" s="18">
        <v>9.91779484E8</v>
      </c>
      <c r="V977" s="24"/>
      <c r="W977" s="18" t="s">
        <v>76</v>
      </c>
    </row>
    <row r="978">
      <c r="A978" s="11"/>
      <c r="B978" s="12" t="s">
        <v>34</v>
      </c>
      <c r="C978" s="12" t="s">
        <v>65</v>
      </c>
      <c r="D978" s="12" t="s">
        <v>43</v>
      </c>
      <c r="E978" s="12" t="s">
        <v>224</v>
      </c>
      <c r="F978" s="13" t="s">
        <v>225</v>
      </c>
      <c r="G978" s="12" t="s">
        <v>68</v>
      </c>
      <c r="H978" s="12" t="s">
        <v>226</v>
      </c>
      <c r="I978" s="12" t="s">
        <v>227</v>
      </c>
      <c r="J978" s="17" t="s">
        <v>2783</v>
      </c>
      <c r="K978" s="18" t="s">
        <v>2784</v>
      </c>
      <c r="L978" s="20">
        <v>45910.0</v>
      </c>
      <c r="M978" s="17" t="s">
        <v>28</v>
      </c>
      <c r="N978" s="9" t="s">
        <v>3088</v>
      </c>
      <c r="O978" s="17">
        <v>7.3468947E7</v>
      </c>
      <c r="P978" s="17" t="s">
        <v>1683</v>
      </c>
      <c r="Q978" s="17" t="s">
        <v>73</v>
      </c>
      <c r="R978" s="17" t="s">
        <v>74</v>
      </c>
      <c r="S978" s="17" t="s">
        <v>3554</v>
      </c>
      <c r="U978" s="18">
        <v>9.74883715E8</v>
      </c>
      <c r="V978" s="24"/>
      <c r="W978" s="18" t="s">
        <v>76</v>
      </c>
    </row>
    <row r="979">
      <c r="A979" s="11"/>
      <c r="B979" s="12" t="s">
        <v>34</v>
      </c>
      <c r="C979" s="12" t="s">
        <v>65</v>
      </c>
      <c r="D979" s="12" t="s">
        <v>43</v>
      </c>
      <c r="E979" s="12" t="s">
        <v>224</v>
      </c>
      <c r="F979" s="13" t="s">
        <v>225</v>
      </c>
      <c r="G979" s="12" t="s">
        <v>68</v>
      </c>
      <c r="H979" s="12" t="s">
        <v>226</v>
      </c>
      <c r="I979" s="12" t="s">
        <v>227</v>
      </c>
      <c r="J979" s="17" t="s">
        <v>2783</v>
      </c>
      <c r="K979" s="18" t="s">
        <v>2784</v>
      </c>
      <c r="L979" s="20">
        <v>45910.0</v>
      </c>
      <c r="M979" s="17" t="s">
        <v>28</v>
      </c>
      <c r="N979" s="17" t="s">
        <v>3076</v>
      </c>
      <c r="O979" s="17">
        <v>4.6455121E7</v>
      </c>
      <c r="P979" s="17" t="s">
        <v>3077</v>
      </c>
      <c r="Q979" s="17" t="s">
        <v>73</v>
      </c>
      <c r="R979" s="17" t="s">
        <v>74</v>
      </c>
      <c r="S979" s="17" t="s">
        <v>3555</v>
      </c>
      <c r="U979" s="18">
        <v>9.56664652E8</v>
      </c>
      <c r="V979" s="24"/>
      <c r="W979" s="18" t="s">
        <v>76</v>
      </c>
    </row>
    <row r="980">
      <c r="A980" s="11"/>
      <c r="B980" s="12" t="s">
        <v>34</v>
      </c>
      <c r="C980" s="12" t="s">
        <v>65</v>
      </c>
      <c r="D980" s="12" t="s">
        <v>43</v>
      </c>
      <c r="E980" s="12" t="s">
        <v>224</v>
      </c>
      <c r="F980" s="13" t="s">
        <v>225</v>
      </c>
      <c r="G980" s="12" t="s">
        <v>68</v>
      </c>
      <c r="H980" s="12" t="s">
        <v>226</v>
      </c>
      <c r="I980" s="12" t="s">
        <v>227</v>
      </c>
      <c r="J980" s="17" t="s">
        <v>2783</v>
      </c>
      <c r="K980" s="18" t="s">
        <v>2784</v>
      </c>
      <c r="L980" s="20">
        <v>45910.0</v>
      </c>
      <c r="M980" s="17" t="s">
        <v>28</v>
      </c>
      <c r="N980" s="17" t="s">
        <v>3006</v>
      </c>
      <c r="O980" s="17">
        <v>4.7602211E7</v>
      </c>
      <c r="P980" s="17" t="s">
        <v>3007</v>
      </c>
      <c r="Q980" s="17" t="s">
        <v>73</v>
      </c>
      <c r="R980" s="17" t="s">
        <v>74</v>
      </c>
      <c r="S980" s="17" t="s">
        <v>3556</v>
      </c>
      <c r="U980" s="18">
        <v>9.32778767E8</v>
      </c>
      <c r="V980" s="24"/>
      <c r="W980" s="18" t="s">
        <v>76</v>
      </c>
    </row>
    <row r="981">
      <c r="A981" s="11"/>
      <c r="B981" s="12" t="s">
        <v>34</v>
      </c>
      <c r="C981" s="12" t="s">
        <v>65</v>
      </c>
      <c r="D981" s="12" t="s">
        <v>43</v>
      </c>
      <c r="E981" s="12" t="s">
        <v>224</v>
      </c>
      <c r="F981" s="13" t="s">
        <v>225</v>
      </c>
      <c r="G981" s="12" t="s">
        <v>68</v>
      </c>
      <c r="H981" s="12" t="s">
        <v>226</v>
      </c>
      <c r="I981" s="12" t="s">
        <v>227</v>
      </c>
      <c r="J981" s="17" t="s">
        <v>2783</v>
      </c>
      <c r="K981" s="18" t="s">
        <v>2784</v>
      </c>
      <c r="L981" s="20">
        <v>45910.0</v>
      </c>
      <c r="M981" s="17" t="s">
        <v>28</v>
      </c>
      <c r="N981" s="9" t="s">
        <v>3027</v>
      </c>
      <c r="O981" s="17">
        <v>4.5853653E7</v>
      </c>
      <c r="P981" s="17" t="s">
        <v>3557</v>
      </c>
      <c r="Q981" s="17" t="s">
        <v>108</v>
      </c>
      <c r="R981" s="17" t="s">
        <v>109</v>
      </c>
      <c r="S981" s="17" t="s">
        <v>3558</v>
      </c>
      <c r="U981" s="18">
        <v>9.47697734E8</v>
      </c>
      <c r="V981" s="24"/>
      <c r="W981" s="18" t="s">
        <v>76</v>
      </c>
    </row>
    <row r="982">
      <c r="A982" s="11"/>
      <c r="B982" s="12" t="s">
        <v>34</v>
      </c>
      <c r="C982" s="12" t="s">
        <v>65</v>
      </c>
      <c r="D982" s="12" t="s">
        <v>43</v>
      </c>
      <c r="E982" s="12" t="s">
        <v>224</v>
      </c>
      <c r="F982" s="13" t="s">
        <v>225</v>
      </c>
      <c r="G982" s="12" t="s">
        <v>68</v>
      </c>
      <c r="H982" s="12" t="s">
        <v>226</v>
      </c>
      <c r="I982" s="12" t="s">
        <v>227</v>
      </c>
      <c r="J982" s="17" t="s">
        <v>2783</v>
      </c>
      <c r="K982" s="18" t="s">
        <v>2784</v>
      </c>
      <c r="L982" s="20">
        <v>45910.0</v>
      </c>
      <c r="M982" s="17" t="s">
        <v>28</v>
      </c>
      <c r="N982" s="17" t="s">
        <v>3021</v>
      </c>
      <c r="O982" s="17">
        <v>4.8762263E7</v>
      </c>
      <c r="P982" s="17" t="s">
        <v>3559</v>
      </c>
      <c r="Q982" s="17" t="s">
        <v>73</v>
      </c>
      <c r="R982" s="17" t="s">
        <v>74</v>
      </c>
      <c r="S982" s="17" t="s">
        <v>3560</v>
      </c>
      <c r="U982" s="24"/>
      <c r="V982" s="24"/>
      <c r="W982" s="18" t="s">
        <v>76</v>
      </c>
    </row>
    <row r="983">
      <c r="A983" s="11"/>
      <c r="B983" s="12" t="s">
        <v>34</v>
      </c>
      <c r="C983" s="12" t="s">
        <v>65</v>
      </c>
      <c r="D983" s="12" t="s">
        <v>43</v>
      </c>
      <c r="E983" s="12" t="s">
        <v>224</v>
      </c>
      <c r="F983" s="13" t="s">
        <v>225</v>
      </c>
      <c r="G983" s="12" t="s">
        <v>68</v>
      </c>
      <c r="H983" s="12" t="s">
        <v>226</v>
      </c>
      <c r="I983" s="12" t="s">
        <v>227</v>
      </c>
      <c r="J983" s="17" t="s">
        <v>2783</v>
      </c>
      <c r="K983" s="18" t="s">
        <v>2784</v>
      </c>
      <c r="L983" s="20">
        <v>45910.0</v>
      </c>
      <c r="M983" s="17" t="s">
        <v>28</v>
      </c>
      <c r="N983" s="17" t="s">
        <v>3561</v>
      </c>
      <c r="O983" s="17">
        <v>4.7239072E7</v>
      </c>
      <c r="P983" s="17" t="s">
        <v>3562</v>
      </c>
      <c r="Q983" s="17" t="s">
        <v>108</v>
      </c>
      <c r="R983" s="17" t="s">
        <v>109</v>
      </c>
      <c r="S983" s="17" t="s">
        <v>3563</v>
      </c>
      <c r="U983" s="18">
        <v>9.5319435E8</v>
      </c>
      <c r="V983" s="24"/>
      <c r="W983" s="18" t="s">
        <v>76</v>
      </c>
    </row>
    <row r="984">
      <c r="A984" s="11"/>
      <c r="B984" s="12" t="s">
        <v>34</v>
      </c>
      <c r="C984" s="12" t="s">
        <v>65</v>
      </c>
      <c r="D984" s="12" t="s">
        <v>43</v>
      </c>
      <c r="E984" s="12" t="s">
        <v>224</v>
      </c>
      <c r="F984" s="13" t="s">
        <v>225</v>
      </c>
      <c r="G984" s="12" t="s">
        <v>68</v>
      </c>
      <c r="H984" s="12" t="s">
        <v>226</v>
      </c>
      <c r="I984" s="12" t="s">
        <v>227</v>
      </c>
      <c r="J984" s="17" t="s">
        <v>2783</v>
      </c>
      <c r="K984" s="18" t="s">
        <v>2784</v>
      </c>
      <c r="L984" s="20">
        <v>45910.0</v>
      </c>
      <c r="M984" s="17" t="s">
        <v>28</v>
      </c>
      <c r="N984" s="17" t="s">
        <v>3109</v>
      </c>
      <c r="O984" s="17">
        <v>4.70984E7</v>
      </c>
      <c r="P984" s="17" t="s">
        <v>3110</v>
      </c>
      <c r="Q984" s="17" t="s">
        <v>73</v>
      </c>
      <c r="R984" s="17" t="s">
        <v>74</v>
      </c>
      <c r="S984" s="17" t="s">
        <v>3564</v>
      </c>
      <c r="U984" s="18">
        <v>9.68384209E8</v>
      </c>
      <c r="V984" s="24"/>
      <c r="W984" s="18" t="s">
        <v>76</v>
      </c>
    </row>
    <row r="985">
      <c r="A985" s="11"/>
      <c r="B985" s="12" t="s">
        <v>34</v>
      </c>
      <c r="C985" s="12" t="s">
        <v>65</v>
      </c>
      <c r="D985" s="12" t="s">
        <v>43</v>
      </c>
      <c r="E985" s="12" t="s">
        <v>224</v>
      </c>
      <c r="F985" s="13" t="s">
        <v>225</v>
      </c>
      <c r="G985" s="12" t="s">
        <v>68</v>
      </c>
      <c r="H985" s="12" t="s">
        <v>226</v>
      </c>
      <c r="I985" s="12" t="s">
        <v>227</v>
      </c>
      <c r="J985" s="17" t="s">
        <v>2783</v>
      </c>
      <c r="K985" s="18" t="s">
        <v>2784</v>
      </c>
      <c r="L985" s="20">
        <v>45910.0</v>
      </c>
      <c r="M985" s="17" t="s">
        <v>28</v>
      </c>
      <c r="N985" s="17" t="s">
        <v>3034</v>
      </c>
      <c r="O985" s="17">
        <v>4.719226E7</v>
      </c>
      <c r="P985" s="17" t="s">
        <v>3035</v>
      </c>
      <c r="Q985" s="17" t="s">
        <v>73</v>
      </c>
      <c r="R985" s="17" t="s">
        <v>74</v>
      </c>
      <c r="S985" s="17" t="s">
        <v>3565</v>
      </c>
      <c r="U985" s="18">
        <v>9.20527376E8</v>
      </c>
      <c r="V985" s="24"/>
      <c r="W985" s="18" t="s">
        <v>76</v>
      </c>
    </row>
    <row r="986">
      <c r="A986" s="11"/>
      <c r="B986" s="12" t="s">
        <v>34</v>
      </c>
      <c r="C986" s="12" t="s">
        <v>65</v>
      </c>
      <c r="D986" s="12" t="s">
        <v>43</v>
      </c>
      <c r="E986" s="12" t="s">
        <v>224</v>
      </c>
      <c r="F986" s="13" t="s">
        <v>225</v>
      </c>
      <c r="G986" s="12" t="s">
        <v>68</v>
      </c>
      <c r="H986" s="12" t="s">
        <v>226</v>
      </c>
      <c r="I986" s="12" t="s">
        <v>227</v>
      </c>
      <c r="J986" s="17" t="s">
        <v>2783</v>
      </c>
      <c r="K986" s="18" t="s">
        <v>2784</v>
      </c>
      <c r="L986" s="20">
        <v>45910.0</v>
      </c>
      <c r="M986" s="17" t="s">
        <v>28</v>
      </c>
      <c r="N986" s="17" t="s">
        <v>3010</v>
      </c>
      <c r="O986" s="17">
        <v>7.2276634E7</v>
      </c>
      <c r="P986" s="17" t="s">
        <v>3011</v>
      </c>
      <c r="Q986" s="17" t="s">
        <v>73</v>
      </c>
      <c r="R986" s="17" t="s">
        <v>74</v>
      </c>
      <c r="S986" s="17" t="s">
        <v>3566</v>
      </c>
      <c r="U986" s="18">
        <v>9.75443836E8</v>
      </c>
      <c r="V986" s="24"/>
      <c r="W986" s="18" t="s">
        <v>76</v>
      </c>
    </row>
    <row r="987">
      <c r="A987" s="11"/>
      <c r="B987" s="12" t="s">
        <v>34</v>
      </c>
      <c r="C987" s="12" t="s">
        <v>65</v>
      </c>
      <c r="D987" s="12" t="s">
        <v>43</v>
      </c>
      <c r="E987" s="12" t="s">
        <v>224</v>
      </c>
      <c r="F987" s="13" t="s">
        <v>225</v>
      </c>
      <c r="G987" s="12" t="s">
        <v>68</v>
      </c>
      <c r="H987" s="12" t="s">
        <v>226</v>
      </c>
      <c r="I987" s="12" t="s">
        <v>227</v>
      </c>
      <c r="J987" s="17" t="s">
        <v>2783</v>
      </c>
      <c r="K987" s="18" t="s">
        <v>2784</v>
      </c>
      <c r="L987" s="20">
        <v>45910.0</v>
      </c>
      <c r="M987" s="17" t="s">
        <v>28</v>
      </c>
      <c r="N987" s="17" t="s">
        <v>3033</v>
      </c>
      <c r="O987" s="17">
        <v>7.5841362E7</v>
      </c>
      <c r="P987" s="17" t="s">
        <v>2995</v>
      </c>
      <c r="Q987" s="17" t="s">
        <v>108</v>
      </c>
      <c r="R987" s="17" t="s">
        <v>109</v>
      </c>
      <c r="S987" s="17" t="s">
        <v>3567</v>
      </c>
      <c r="U987" s="18">
        <v>9.38611907E8</v>
      </c>
      <c r="V987" s="24"/>
      <c r="W987" s="18" t="s">
        <v>76</v>
      </c>
    </row>
    <row r="988">
      <c r="A988" s="11"/>
      <c r="B988" s="12" t="s">
        <v>34</v>
      </c>
      <c r="C988" s="12" t="s">
        <v>65</v>
      </c>
      <c r="D988" s="12" t="s">
        <v>43</v>
      </c>
      <c r="E988" s="12" t="s">
        <v>224</v>
      </c>
      <c r="F988" s="45" t="s">
        <v>225</v>
      </c>
      <c r="G988" s="12" t="s">
        <v>68</v>
      </c>
      <c r="H988" s="12" t="s">
        <v>226</v>
      </c>
      <c r="I988" s="12" t="s">
        <v>227</v>
      </c>
      <c r="J988" s="17" t="s">
        <v>2783</v>
      </c>
      <c r="K988" s="18" t="s">
        <v>2784</v>
      </c>
      <c r="L988" s="20">
        <v>45910.0</v>
      </c>
      <c r="M988" s="17" t="s">
        <v>28</v>
      </c>
      <c r="N988" s="17" t="s">
        <v>3568</v>
      </c>
      <c r="P988" s="17" t="s">
        <v>3569</v>
      </c>
      <c r="Q988" s="17" t="s">
        <v>73</v>
      </c>
      <c r="R988" s="17" t="s">
        <v>74</v>
      </c>
      <c r="S988" s="17" t="s">
        <v>3570</v>
      </c>
      <c r="U988" s="18">
        <v>9.18897253E8</v>
      </c>
      <c r="V988" s="24"/>
      <c r="W988" s="18" t="s">
        <v>76</v>
      </c>
    </row>
    <row r="989">
      <c r="A989" s="11"/>
      <c r="B989" s="12" t="s">
        <v>34</v>
      </c>
      <c r="C989" s="12" t="s">
        <v>65</v>
      </c>
      <c r="D989" s="12" t="s">
        <v>43</v>
      </c>
      <c r="E989" s="12" t="s">
        <v>224</v>
      </c>
      <c r="F989" s="13" t="s">
        <v>225</v>
      </c>
      <c r="G989" s="12" t="s">
        <v>68</v>
      </c>
      <c r="H989" s="12" t="s">
        <v>226</v>
      </c>
      <c r="I989" s="12" t="s">
        <v>227</v>
      </c>
      <c r="J989" s="17" t="s">
        <v>2783</v>
      </c>
      <c r="K989" s="18" t="s">
        <v>2784</v>
      </c>
      <c r="L989" s="20">
        <v>45910.0</v>
      </c>
      <c r="M989" s="17" t="s">
        <v>28</v>
      </c>
      <c r="N989" s="17" t="s">
        <v>3113</v>
      </c>
      <c r="O989" s="17">
        <v>3.2303652E7</v>
      </c>
      <c r="P989" s="119" t="s">
        <v>3114</v>
      </c>
      <c r="Q989" s="17" t="s">
        <v>112</v>
      </c>
      <c r="R989" s="17" t="s">
        <v>113</v>
      </c>
      <c r="S989" s="17" t="s">
        <v>3571</v>
      </c>
      <c r="U989" s="18">
        <v>9.76434792E8</v>
      </c>
      <c r="V989" s="24"/>
      <c r="W989" s="18" t="s">
        <v>76</v>
      </c>
    </row>
    <row r="990">
      <c r="A990" s="11"/>
      <c r="B990" s="12" t="s">
        <v>34</v>
      </c>
      <c r="C990" s="12" t="s">
        <v>65</v>
      </c>
      <c r="D990" s="12" t="s">
        <v>43</v>
      </c>
      <c r="E990" s="12" t="s">
        <v>224</v>
      </c>
      <c r="F990" s="13" t="s">
        <v>225</v>
      </c>
      <c r="G990" s="12" t="s">
        <v>68</v>
      </c>
      <c r="H990" s="12" t="s">
        <v>226</v>
      </c>
      <c r="I990" s="12" t="s">
        <v>227</v>
      </c>
      <c r="J990" s="17" t="s">
        <v>2783</v>
      </c>
      <c r="K990" s="18" t="s">
        <v>2784</v>
      </c>
      <c r="L990" s="20">
        <v>45910.0</v>
      </c>
      <c r="M990" s="17" t="s">
        <v>28</v>
      </c>
      <c r="N990" s="17" t="s">
        <v>3125</v>
      </c>
      <c r="O990" s="17">
        <v>8.0172432E7</v>
      </c>
      <c r="P990" s="17" t="s">
        <v>3572</v>
      </c>
      <c r="Q990" s="17" t="s">
        <v>73</v>
      </c>
      <c r="R990" s="17" t="s">
        <v>74</v>
      </c>
      <c r="S990" s="17" t="s">
        <v>3573</v>
      </c>
      <c r="U990" s="18">
        <v>9.64125801E8</v>
      </c>
      <c r="V990" s="24"/>
      <c r="W990" s="18" t="s">
        <v>76</v>
      </c>
    </row>
    <row r="991">
      <c r="A991" s="11"/>
      <c r="B991" s="12" t="s">
        <v>34</v>
      </c>
      <c r="C991" s="12" t="s">
        <v>65</v>
      </c>
      <c r="D991" s="12" t="s">
        <v>43</v>
      </c>
      <c r="E991" s="12" t="s">
        <v>224</v>
      </c>
      <c r="F991" s="13" t="s">
        <v>225</v>
      </c>
      <c r="G991" s="12" t="s">
        <v>68</v>
      </c>
      <c r="H991" s="12" t="s">
        <v>226</v>
      </c>
      <c r="I991" s="12" t="s">
        <v>227</v>
      </c>
      <c r="J991" s="17" t="s">
        <v>2783</v>
      </c>
      <c r="K991" s="18" t="s">
        <v>2784</v>
      </c>
      <c r="L991" s="20">
        <v>45910.0</v>
      </c>
      <c r="M991" s="17" t="s">
        <v>28</v>
      </c>
      <c r="N991" s="17" t="s">
        <v>3119</v>
      </c>
      <c r="O991" s="17">
        <v>7.2568635E7</v>
      </c>
      <c r="P991" s="17" t="s">
        <v>3120</v>
      </c>
      <c r="Q991" s="17" t="s">
        <v>108</v>
      </c>
      <c r="R991" s="17" t="s">
        <v>109</v>
      </c>
      <c r="S991" s="17" t="s">
        <v>3574</v>
      </c>
      <c r="U991" s="18">
        <v>9.83952239E8</v>
      </c>
      <c r="V991" s="24"/>
      <c r="W991" s="18" t="s">
        <v>76</v>
      </c>
    </row>
    <row r="992">
      <c r="A992" s="11"/>
      <c r="B992" s="12" t="s">
        <v>34</v>
      </c>
      <c r="C992" s="12" t="s">
        <v>65</v>
      </c>
      <c r="D992" s="12" t="s">
        <v>43</v>
      </c>
      <c r="E992" s="12" t="s">
        <v>224</v>
      </c>
      <c r="F992" s="13" t="s">
        <v>225</v>
      </c>
      <c r="G992" s="12" t="s">
        <v>68</v>
      </c>
      <c r="H992" s="12" t="s">
        <v>226</v>
      </c>
      <c r="I992" s="12" t="s">
        <v>227</v>
      </c>
      <c r="J992" s="17" t="s">
        <v>2783</v>
      </c>
      <c r="K992" s="18" t="s">
        <v>2784</v>
      </c>
      <c r="L992" s="20">
        <v>45910.0</v>
      </c>
      <c r="M992" s="17" t="s">
        <v>28</v>
      </c>
      <c r="N992" s="17" t="s">
        <v>3067</v>
      </c>
      <c r="O992" s="17">
        <v>7.6665754E7</v>
      </c>
      <c r="P992" s="17" t="s">
        <v>3068</v>
      </c>
      <c r="Q992" s="17" t="s">
        <v>108</v>
      </c>
      <c r="R992" s="17" t="s">
        <v>109</v>
      </c>
      <c r="S992" s="17" t="s">
        <v>3575</v>
      </c>
      <c r="U992" s="18">
        <v>9.56003528E8</v>
      </c>
      <c r="V992" s="24"/>
      <c r="W992" s="18" t="s">
        <v>76</v>
      </c>
    </row>
    <row r="993">
      <c r="A993" s="11"/>
      <c r="B993" s="12" t="s">
        <v>34</v>
      </c>
      <c r="C993" s="12" t="s">
        <v>65</v>
      </c>
      <c r="D993" s="12" t="s">
        <v>43</v>
      </c>
      <c r="E993" s="12" t="s">
        <v>224</v>
      </c>
      <c r="F993" s="13" t="s">
        <v>225</v>
      </c>
      <c r="G993" s="12" t="s">
        <v>68</v>
      </c>
      <c r="H993" s="12" t="s">
        <v>226</v>
      </c>
      <c r="I993" s="12" t="s">
        <v>227</v>
      </c>
      <c r="J993" s="17" t="s">
        <v>2783</v>
      </c>
      <c r="K993" s="18" t="s">
        <v>2784</v>
      </c>
      <c r="L993" s="20">
        <v>45910.0</v>
      </c>
      <c r="M993" s="17" t="s">
        <v>28</v>
      </c>
      <c r="N993" s="17" t="s">
        <v>3576</v>
      </c>
      <c r="P993" s="17" t="s">
        <v>3086</v>
      </c>
      <c r="Q993" s="17" t="s">
        <v>112</v>
      </c>
      <c r="R993" s="17" t="s">
        <v>113</v>
      </c>
      <c r="S993" s="17" t="s">
        <v>3577</v>
      </c>
      <c r="U993" s="18">
        <v>9.97442865E8</v>
      </c>
      <c r="V993" s="24"/>
      <c r="W993" s="18" t="s">
        <v>76</v>
      </c>
    </row>
    <row r="994">
      <c r="A994" s="11"/>
      <c r="B994" s="12" t="s">
        <v>34</v>
      </c>
      <c r="C994" s="12" t="s">
        <v>65</v>
      </c>
      <c r="D994" s="12" t="s">
        <v>43</v>
      </c>
      <c r="E994" s="12" t="s">
        <v>224</v>
      </c>
      <c r="F994" s="13" t="s">
        <v>225</v>
      </c>
      <c r="G994" s="12" t="s">
        <v>68</v>
      </c>
      <c r="H994" s="12" t="s">
        <v>226</v>
      </c>
      <c r="I994" s="12" t="s">
        <v>227</v>
      </c>
      <c r="J994" s="17" t="s">
        <v>2783</v>
      </c>
      <c r="K994" s="18" t="s">
        <v>2784</v>
      </c>
      <c r="L994" s="20">
        <v>45910.0</v>
      </c>
      <c r="M994" s="17" t="s">
        <v>28</v>
      </c>
      <c r="N994" s="17" t="s">
        <v>3082</v>
      </c>
      <c r="O994" s="17">
        <v>7.4986709E7</v>
      </c>
      <c r="P994" s="17" t="s">
        <v>3083</v>
      </c>
      <c r="Q994" s="17" t="s">
        <v>108</v>
      </c>
      <c r="R994" s="17" t="s">
        <v>109</v>
      </c>
      <c r="S994" s="17" t="s">
        <v>3578</v>
      </c>
      <c r="U994" s="18">
        <v>9.63547935E8</v>
      </c>
      <c r="V994" s="24"/>
      <c r="W994" s="18" t="s">
        <v>76</v>
      </c>
    </row>
    <row r="995">
      <c r="A995" s="11"/>
      <c r="B995" s="12" t="s">
        <v>34</v>
      </c>
      <c r="C995" s="12" t="s">
        <v>65</v>
      </c>
      <c r="D995" s="12" t="s">
        <v>43</v>
      </c>
      <c r="E995" s="12" t="s">
        <v>224</v>
      </c>
      <c r="F995" s="13" t="s">
        <v>225</v>
      </c>
      <c r="G995" s="12" t="s">
        <v>68</v>
      </c>
      <c r="H995" s="12" t="s">
        <v>226</v>
      </c>
      <c r="I995" s="12" t="s">
        <v>227</v>
      </c>
      <c r="J995" s="17" t="s">
        <v>2783</v>
      </c>
      <c r="K995" s="18" t="s">
        <v>2784</v>
      </c>
      <c r="L995" s="20">
        <v>45910.0</v>
      </c>
      <c r="M995" s="17" t="s">
        <v>28</v>
      </c>
      <c r="N995" s="9" t="s">
        <v>3024</v>
      </c>
      <c r="O995" s="17">
        <v>7.4397931E7</v>
      </c>
      <c r="P995" s="17" t="s">
        <v>3579</v>
      </c>
      <c r="Q995" s="17" t="s">
        <v>108</v>
      </c>
      <c r="R995" s="17" t="s">
        <v>109</v>
      </c>
      <c r="S995" s="17" t="s">
        <v>3580</v>
      </c>
      <c r="U995" s="18">
        <v>9.4750865E8</v>
      </c>
      <c r="V995" s="24"/>
      <c r="W995" s="18" t="s">
        <v>76</v>
      </c>
    </row>
    <row r="996">
      <c r="A996" s="11"/>
      <c r="B996" s="12" t="s">
        <v>34</v>
      </c>
      <c r="C996" s="12" t="s">
        <v>65</v>
      </c>
      <c r="D996" s="12" t="s">
        <v>43</v>
      </c>
      <c r="E996" s="12" t="s">
        <v>224</v>
      </c>
      <c r="F996" s="13" t="s">
        <v>225</v>
      </c>
      <c r="G996" s="12" t="s">
        <v>68</v>
      </c>
      <c r="H996" s="12" t="s">
        <v>226</v>
      </c>
      <c r="I996" s="12" t="s">
        <v>227</v>
      </c>
      <c r="J996" s="17" t="s">
        <v>2783</v>
      </c>
      <c r="K996" s="18" t="s">
        <v>2784</v>
      </c>
      <c r="L996" s="20">
        <v>45910.0</v>
      </c>
      <c r="M996" s="17" t="s">
        <v>28</v>
      </c>
      <c r="N996" s="17" t="s">
        <v>3137</v>
      </c>
      <c r="O996" s="17">
        <v>7.077413E7</v>
      </c>
      <c r="P996" s="17" t="s">
        <v>3138</v>
      </c>
      <c r="Q996" s="17" t="s">
        <v>108</v>
      </c>
      <c r="R996" s="17" t="s">
        <v>109</v>
      </c>
      <c r="S996" s="17" t="s">
        <v>3581</v>
      </c>
      <c r="U996" s="18">
        <v>9.78891466E8</v>
      </c>
      <c r="V996" s="24"/>
      <c r="W996" s="18" t="s">
        <v>76</v>
      </c>
    </row>
    <row r="997">
      <c r="A997" s="11"/>
      <c r="B997" s="12" t="s">
        <v>34</v>
      </c>
      <c r="C997" s="12" t="s">
        <v>65</v>
      </c>
      <c r="D997" s="12" t="s">
        <v>43</v>
      </c>
      <c r="E997" s="12" t="s">
        <v>224</v>
      </c>
      <c r="F997" s="13" t="s">
        <v>225</v>
      </c>
      <c r="G997" s="12" t="s">
        <v>68</v>
      </c>
      <c r="H997" s="12" t="s">
        <v>226</v>
      </c>
      <c r="I997" s="12" t="s">
        <v>227</v>
      </c>
      <c r="J997" s="17" t="s">
        <v>2783</v>
      </c>
      <c r="K997" s="18" t="s">
        <v>2784</v>
      </c>
      <c r="L997" s="20">
        <v>45910.0</v>
      </c>
      <c r="M997" s="17" t="s">
        <v>28</v>
      </c>
      <c r="N997" s="17" t="s">
        <v>3073</v>
      </c>
      <c r="O997" s="17">
        <v>7.2569811E7</v>
      </c>
      <c r="P997" s="17" t="s">
        <v>3074</v>
      </c>
      <c r="Q997" s="17" t="s">
        <v>73</v>
      </c>
      <c r="R997" s="17" t="s">
        <v>74</v>
      </c>
      <c r="S997" s="17" t="s">
        <v>3582</v>
      </c>
      <c r="U997" s="18">
        <v>9.29384155E8</v>
      </c>
      <c r="V997" s="24"/>
      <c r="W997" s="18" t="s">
        <v>76</v>
      </c>
    </row>
    <row r="998">
      <c r="A998" s="11"/>
      <c r="B998" s="12" t="s">
        <v>34</v>
      </c>
      <c r="C998" s="12" t="s">
        <v>65</v>
      </c>
      <c r="D998" s="12" t="s">
        <v>43</v>
      </c>
      <c r="E998" s="12" t="s">
        <v>224</v>
      </c>
      <c r="F998" s="13" t="s">
        <v>225</v>
      </c>
      <c r="G998" s="12" t="s">
        <v>68</v>
      </c>
      <c r="H998" s="12" t="s">
        <v>226</v>
      </c>
      <c r="I998" s="12" t="s">
        <v>227</v>
      </c>
      <c r="J998" s="17" t="s">
        <v>2783</v>
      </c>
      <c r="K998" s="18" t="s">
        <v>2784</v>
      </c>
      <c r="L998" s="20">
        <v>45910.0</v>
      </c>
      <c r="M998" s="17" t="s">
        <v>28</v>
      </c>
      <c r="N998" s="17" t="s">
        <v>3091</v>
      </c>
      <c r="O998" s="17">
        <v>4.7696352E7</v>
      </c>
      <c r="P998" s="17" t="s">
        <v>3025</v>
      </c>
      <c r="Q998" s="2"/>
      <c r="U998" s="18">
        <v>9.93754564E8</v>
      </c>
      <c r="V998" s="24"/>
      <c r="W998" s="18" t="s">
        <v>76</v>
      </c>
    </row>
    <row r="999">
      <c r="A999" s="11"/>
      <c r="B999" s="12" t="s">
        <v>34</v>
      </c>
      <c r="C999" s="12" t="s">
        <v>65</v>
      </c>
      <c r="D999" s="12" t="s">
        <v>43</v>
      </c>
      <c r="E999" s="12" t="s">
        <v>224</v>
      </c>
      <c r="F999" s="13" t="s">
        <v>225</v>
      </c>
      <c r="G999" s="12" t="s">
        <v>68</v>
      </c>
      <c r="H999" s="12" t="s">
        <v>226</v>
      </c>
      <c r="I999" s="12" t="s">
        <v>227</v>
      </c>
      <c r="J999" s="17" t="s">
        <v>2783</v>
      </c>
      <c r="K999" s="18" t="s">
        <v>2784</v>
      </c>
      <c r="L999" s="20">
        <v>45910.0</v>
      </c>
      <c r="M999" s="17" t="s">
        <v>28</v>
      </c>
      <c r="N999" s="9" t="s">
        <v>2997</v>
      </c>
      <c r="O999" s="17">
        <v>7.1099166E7</v>
      </c>
      <c r="P999" s="17" t="s">
        <v>2998</v>
      </c>
      <c r="Q999" s="2"/>
      <c r="U999" s="18">
        <v>9.41858816E8</v>
      </c>
      <c r="V999" s="24"/>
      <c r="W999" s="18" t="s">
        <v>76</v>
      </c>
    </row>
    <row r="1000">
      <c r="A1000" s="11"/>
      <c r="B1000" s="12" t="s">
        <v>34</v>
      </c>
      <c r="C1000" s="12" t="s">
        <v>65</v>
      </c>
      <c r="D1000" s="12" t="s">
        <v>43</v>
      </c>
      <c r="E1000" s="12" t="s">
        <v>224</v>
      </c>
      <c r="F1000" s="13" t="s">
        <v>225</v>
      </c>
      <c r="G1000" s="12" t="s">
        <v>68</v>
      </c>
      <c r="H1000" s="12" t="s">
        <v>226</v>
      </c>
      <c r="I1000" s="12" t="s">
        <v>227</v>
      </c>
      <c r="J1000" s="17" t="s">
        <v>2783</v>
      </c>
      <c r="K1000" s="18" t="s">
        <v>2784</v>
      </c>
      <c r="L1000" s="20">
        <v>45910.0</v>
      </c>
      <c r="M1000" s="17" t="s">
        <v>28</v>
      </c>
      <c r="N1000" s="9" t="s">
        <v>2994</v>
      </c>
      <c r="O1000" s="17">
        <v>4.3949075E7</v>
      </c>
      <c r="P1000" s="17" t="s">
        <v>3128</v>
      </c>
      <c r="Q1000" s="17" t="s">
        <v>108</v>
      </c>
      <c r="R1000" s="17" t="s">
        <v>109</v>
      </c>
      <c r="S1000" s="17" t="s">
        <v>3583</v>
      </c>
      <c r="U1000" s="18">
        <v>9.59013967E8</v>
      </c>
      <c r="V1000" s="24"/>
      <c r="W1000" s="18" t="s">
        <v>76</v>
      </c>
    </row>
    <row r="1001">
      <c r="A1001" s="11"/>
      <c r="B1001" s="12" t="s">
        <v>34</v>
      </c>
      <c r="C1001" s="12" t="s">
        <v>65</v>
      </c>
      <c r="D1001" s="12" t="s">
        <v>43</v>
      </c>
      <c r="E1001" s="12" t="s">
        <v>224</v>
      </c>
      <c r="F1001" s="13" t="s">
        <v>225</v>
      </c>
      <c r="G1001" s="12" t="s">
        <v>68</v>
      </c>
      <c r="H1001" s="12" t="s">
        <v>226</v>
      </c>
      <c r="I1001" s="12" t="s">
        <v>227</v>
      </c>
      <c r="J1001" s="17" t="s">
        <v>2783</v>
      </c>
      <c r="K1001" s="18" t="s">
        <v>2784</v>
      </c>
      <c r="L1001" s="20">
        <v>45910.0</v>
      </c>
      <c r="M1001" s="17" t="s">
        <v>28</v>
      </c>
      <c r="N1001" s="17" t="s">
        <v>3055</v>
      </c>
      <c r="O1001" s="17">
        <v>4.5078833E7</v>
      </c>
      <c r="P1001" s="17" t="s">
        <v>3056</v>
      </c>
      <c r="Q1001" s="17" t="s">
        <v>112</v>
      </c>
      <c r="R1001" s="17" t="s">
        <v>113</v>
      </c>
      <c r="S1001" s="17" t="s">
        <v>3584</v>
      </c>
      <c r="U1001" s="18">
        <v>9.21611401E8</v>
      </c>
      <c r="V1001" s="24"/>
      <c r="W1001" s="18" t="s">
        <v>76</v>
      </c>
    </row>
    <row r="1002">
      <c r="A1002" s="11"/>
      <c r="B1002" s="12" t="s">
        <v>34</v>
      </c>
      <c r="C1002" s="12" t="s">
        <v>65</v>
      </c>
      <c r="D1002" s="12" t="s">
        <v>43</v>
      </c>
      <c r="E1002" s="12" t="s">
        <v>224</v>
      </c>
      <c r="F1002" s="13" t="s">
        <v>225</v>
      </c>
      <c r="G1002" s="12" t="s">
        <v>68</v>
      </c>
      <c r="H1002" s="12" t="s">
        <v>226</v>
      </c>
      <c r="I1002" s="12" t="s">
        <v>227</v>
      </c>
      <c r="J1002" s="17" t="s">
        <v>2783</v>
      </c>
      <c r="K1002" s="18" t="s">
        <v>2784</v>
      </c>
      <c r="L1002" s="20">
        <v>45910.0</v>
      </c>
      <c r="M1002" s="17" t="s">
        <v>28</v>
      </c>
      <c r="N1002" s="17" t="s">
        <v>3030</v>
      </c>
      <c r="O1002" s="17">
        <v>4.5766368E7</v>
      </c>
      <c r="P1002" s="17" t="s">
        <v>3031</v>
      </c>
      <c r="Q1002" s="17" t="s">
        <v>73</v>
      </c>
      <c r="R1002" s="17" t="s">
        <v>74</v>
      </c>
      <c r="S1002" s="17" t="s">
        <v>3585</v>
      </c>
      <c r="U1002" s="18">
        <v>9.69495351E8</v>
      </c>
      <c r="V1002" s="24"/>
      <c r="W1002" s="18" t="s">
        <v>76</v>
      </c>
    </row>
    <row r="1003">
      <c r="A1003" s="11"/>
      <c r="B1003" s="12" t="s">
        <v>34</v>
      </c>
      <c r="C1003" s="12" t="s">
        <v>65</v>
      </c>
      <c r="D1003" s="12" t="s">
        <v>43</v>
      </c>
      <c r="E1003" s="12" t="s">
        <v>224</v>
      </c>
      <c r="F1003" s="13" t="s">
        <v>225</v>
      </c>
      <c r="G1003" s="12" t="s">
        <v>68</v>
      </c>
      <c r="H1003" s="12" t="s">
        <v>226</v>
      </c>
      <c r="I1003" s="12" t="s">
        <v>227</v>
      </c>
      <c r="J1003" s="17" t="s">
        <v>2783</v>
      </c>
      <c r="K1003" s="18" t="s">
        <v>2784</v>
      </c>
      <c r="L1003" s="20">
        <v>45910.0</v>
      </c>
      <c r="M1003" s="17" t="s">
        <v>28</v>
      </c>
      <c r="N1003" s="17" t="s">
        <v>3015</v>
      </c>
      <c r="O1003" s="17">
        <v>7.0512494E7</v>
      </c>
      <c r="P1003" s="17" t="s">
        <v>3016</v>
      </c>
      <c r="Q1003" s="2"/>
      <c r="U1003" s="18">
        <v>9.36631587E8</v>
      </c>
      <c r="V1003" s="24"/>
      <c r="W1003" s="18" t="s">
        <v>76</v>
      </c>
    </row>
    <row r="1004">
      <c r="A1004" s="11"/>
      <c r="B1004" s="12" t="s">
        <v>34</v>
      </c>
      <c r="C1004" s="12" t="s">
        <v>65</v>
      </c>
      <c r="D1004" s="12" t="s">
        <v>43</v>
      </c>
      <c r="E1004" s="12" t="s">
        <v>224</v>
      </c>
      <c r="F1004" s="13" t="s">
        <v>225</v>
      </c>
      <c r="G1004" s="12" t="s">
        <v>68</v>
      </c>
      <c r="H1004" s="12" t="s">
        <v>226</v>
      </c>
      <c r="I1004" s="12" t="s">
        <v>227</v>
      </c>
      <c r="J1004" s="17" t="s">
        <v>2783</v>
      </c>
      <c r="K1004" s="18" t="s">
        <v>2784</v>
      </c>
      <c r="L1004" s="20">
        <v>45910.0</v>
      </c>
      <c r="M1004" s="17" t="s">
        <v>28</v>
      </c>
      <c r="N1004" s="17" t="s">
        <v>3043</v>
      </c>
      <c r="O1004" s="17">
        <v>4.7664575E7</v>
      </c>
      <c r="P1004" s="17" t="s">
        <v>3044</v>
      </c>
      <c r="Q1004" s="17" t="s">
        <v>112</v>
      </c>
      <c r="R1004" s="17" t="s">
        <v>113</v>
      </c>
      <c r="S1004" s="17" t="s">
        <v>3586</v>
      </c>
      <c r="U1004" s="18">
        <v>9.88057803E8</v>
      </c>
      <c r="V1004" s="24"/>
      <c r="W1004" s="18" t="s">
        <v>76</v>
      </c>
    </row>
    <row r="1005">
      <c r="A1005" s="11"/>
      <c r="B1005" s="12" t="s">
        <v>34</v>
      </c>
      <c r="C1005" s="12" t="s">
        <v>65</v>
      </c>
      <c r="D1005" s="12" t="s">
        <v>43</v>
      </c>
      <c r="E1005" s="12" t="s">
        <v>224</v>
      </c>
      <c r="F1005" s="13" t="s">
        <v>225</v>
      </c>
      <c r="G1005" s="12" t="s">
        <v>68</v>
      </c>
      <c r="H1005" s="12" t="s">
        <v>226</v>
      </c>
      <c r="I1005" s="12" t="s">
        <v>227</v>
      </c>
      <c r="J1005" s="17" t="s">
        <v>2783</v>
      </c>
      <c r="K1005" s="18" t="s">
        <v>2784</v>
      </c>
      <c r="L1005" s="20">
        <v>45910.0</v>
      </c>
      <c r="M1005" s="17" t="s">
        <v>28</v>
      </c>
      <c r="N1005" s="17" t="s">
        <v>3003</v>
      </c>
      <c r="O1005" s="17">
        <v>7.6951316E7</v>
      </c>
      <c r="P1005" s="17" t="s">
        <v>3004</v>
      </c>
      <c r="Q1005" s="17" t="s">
        <v>108</v>
      </c>
      <c r="R1005" s="17" t="s">
        <v>109</v>
      </c>
      <c r="S1005" s="17" t="s">
        <v>3587</v>
      </c>
      <c r="U1005" s="18">
        <v>9.44441012E8</v>
      </c>
      <c r="V1005" s="24"/>
      <c r="W1005" s="18" t="s">
        <v>76</v>
      </c>
    </row>
    <row r="1006">
      <c r="A1006" s="11"/>
      <c r="B1006" s="12" t="s">
        <v>34</v>
      </c>
      <c r="C1006" s="12" t="s">
        <v>65</v>
      </c>
      <c r="D1006" s="12" t="s">
        <v>43</v>
      </c>
      <c r="E1006" s="12" t="s">
        <v>224</v>
      </c>
      <c r="F1006" s="13" t="s">
        <v>225</v>
      </c>
      <c r="G1006" s="12" t="s">
        <v>68</v>
      </c>
      <c r="H1006" s="12" t="s">
        <v>226</v>
      </c>
      <c r="I1006" s="12" t="s">
        <v>227</v>
      </c>
      <c r="J1006" s="17" t="s">
        <v>2783</v>
      </c>
      <c r="K1006" s="18" t="s">
        <v>2784</v>
      </c>
      <c r="L1006" s="20">
        <v>45910.0</v>
      </c>
      <c r="M1006" s="17" t="s">
        <v>28</v>
      </c>
      <c r="N1006" s="17" t="s">
        <v>3000</v>
      </c>
      <c r="O1006" s="17">
        <v>7.413385E7</v>
      </c>
      <c r="P1006" s="17" t="s">
        <v>3001</v>
      </c>
      <c r="Q1006" s="2"/>
      <c r="U1006" s="18">
        <v>9.92794414E8</v>
      </c>
      <c r="V1006" s="24"/>
      <c r="W1006" s="18" t="s">
        <v>76</v>
      </c>
    </row>
    <row r="1007">
      <c r="A1007" s="11"/>
      <c r="B1007" s="12" t="s">
        <v>34</v>
      </c>
      <c r="C1007" s="12" t="s">
        <v>65</v>
      </c>
      <c r="D1007" s="12" t="s">
        <v>43</v>
      </c>
      <c r="E1007" s="12" t="s">
        <v>224</v>
      </c>
      <c r="F1007" s="13" t="s">
        <v>225</v>
      </c>
      <c r="G1007" s="12" t="s">
        <v>68</v>
      </c>
      <c r="H1007" s="12" t="s">
        <v>226</v>
      </c>
      <c r="I1007" s="12" t="s">
        <v>227</v>
      </c>
      <c r="J1007" s="17" t="s">
        <v>2783</v>
      </c>
      <c r="K1007" s="18" t="s">
        <v>2784</v>
      </c>
      <c r="L1007" s="20">
        <v>45910.0</v>
      </c>
      <c r="M1007" s="17" t="s">
        <v>28</v>
      </c>
      <c r="N1007" s="17" t="s">
        <v>3588</v>
      </c>
      <c r="O1007" s="17">
        <v>3.2298855E7</v>
      </c>
      <c r="P1007" s="17" t="s">
        <v>3589</v>
      </c>
      <c r="Q1007" s="17" t="s">
        <v>108</v>
      </c>
      <c r="S1007" s="17" t="s">
        <v>3590</v>
      </c>
      <c r="U1007" s="18">
        <v>9.6596405E8</v>
      </c>
      <c r="V1007" s="24"/>
      <c r="W1007" s="18" t="s">
        <v>76</v>
      </c>
    </row>
    <row r="1008">
      <c r="A1008" s="11"/>
      <c r="B1008" s="12" t="s">
        <v>34</v>
      </c>
      <c r="C1008" s="12" t="s">
        <v>65</v>
      </c>
      <c r="D1008" s="12" t="s">
        <v>43</v>
      </c>
      <c r="E1008" s="12" t="s">
        <v>224</v>
      </c>
      <c r="F1008" s="13" t="s">
        <v>225</v>
      </c>
      <c r="G1008" s="12" t="s">
        <v>68</v>
      </c>
      <c r="H1008" s="12" t="s">
        <v>226</v>
      </c>
      <c r="I1008" s="12" t="s">
        <v>227</v>
      </c>
      <c r="J1008" s="17" t="s">
        <v>2783</v>
      </c>
      <c r="K1008" s="18" t="s">
        <v>2784</v>
      </c>
      <c r="L1008" s="20">
        <v>45910.0</v>
      </c>
      <c r="M1008" s="17" t="s">
        <v>28</v>
      </c>
      <c r="N1008" s="17" t="s">
        <v>3046</v>
      </c>
      <c r="O1008" s="17">
        <v>4.589156E7</v>
      </c>
      <c r="P1008" s="17" t="s">
        <v>3047</v>
      </c>
      <c r="Q1008" s="17" t="s">
        <v>112</v>
      </c>
      <c r="R1008" s="17" t="s">
        <v>113</v>
      </c>
      <c r="S1008" s="17" t="s">
        <v>3591</v>
      </c>
      <c r="U1008" s="18">
        <v>9.13147378E8</v>
      </c>
      <c r="V1008" s="24"/>
      <c r="W1008" s="18" t="s">
        <v>76</v>
      </c>
    </row>
    <row r="1009">
      <c r="A1009" s="11"/>
      <c r="B1009" s="12" t="s">
        <v>34</v>
      </c>
      <c r="C1009" s="12" t="s">
        <v>65</v>
      </c>
      <c r="D1009" s="12" t="s">
        <v>43</v>
      </c>
      <c r="E1009" s="12" t="s">
        <v>224</v>
      </c>
      <c r="F1009" s="13" t="s">
        <v>225</v>
      </c>
      <c r="G1009" s="12" t="s">
        <v>68</v>
      </c>
      <c r="H1009" s="12" t="s">
        <v>226</v>
      </c>
      <c r="I1009" s="12" t="s">
        <v>227</v>
      </c>
      <c r="J1009" s="17" t="s">
        <v>2783</v>
      </c>
      <c r="K1009" s="18" t="s">
        <v>2784</v>
      </c>
      <c r="L1009" s="20">
        <v>45910.0</v>
      </c>
      <c r="M1009" s="17" t="s">
        <v>28</v>
      </c>
      <c r="N1009" s="17" t="s">
        <v>3101</v>
      </c>
      <c r="O1009" s="17">
        <v>4.4716015E7</v>
      </c>
      <c r="P1009" s="17" t="s">
        <v>3102</v>
      </c>
      <c r="Q1009" s="17" t="s">
        <v>108</v>
      </c>
      <c r="R1009" s="17" t="s">
        <v>109</v>
      </c>
      <c r="S1009" s="17" t="s">
        <v>3592</v>
      </c>
      <c r="U1009" s="18">
        <v>9.94927083E8</v>
      </c>
      <c r="V1009" s="24"/>
      <c r="W1009" s="18" t="s">
        <v>76</v>
      </c>
    </row>
    <row r="1010">
      <c r="A1010" s="11"/>
      <c r="B1010" s="12" t="s">
        <v>34</v>
      </c>
      <c r="C1010" s="12" t="s">
        <v>65</v>
      </c>
      <c r="D1010" s="12" t="s">
        <v>43</v>
      </c>
      <c r="E1010" s="12" t="s">
        <v>224</v>
      </c>
      <c r="F1010" s="13" t="s">
        <v>225</v>
      </c>
      <c r="G1010" s="12" t="s">
        <v>68</v>
      </c>
      <c r="H1010" s="12" t="s">
        <v>226</v>
      </c>
      <c r="I1010" s="12" t="s">
        <v>227</v>
      </c>
      <c r="J1010" s="17" t="s">
        <v>2783</v>
      </c>
      <c r="K1010" s="18" t="s">
        <v>2784</v>
      </c>
      <c r="L1010" s="20">
        <v>45910.0</v>
      </c>
      <c r="M1010" s="17" t="s">
        <v>28</v>
      </c>
      <c r="N1010" s="9" t="s">
        <v>3052</v>
      </c>
      <c r="O1010" s="17">
        <v>4.5960182E7</v>
      </c>
      <c r="P1010" s="119" t="s">
        <v>3053</v>
      </c>
      <c r="Q1010" s="17" t="s">
        <v>112</v>
      </c>
      <c r="R1010" s="17" t="s">
        <v>113</v>
      </c>
      <c r="S1010" s="17" t="s">
        <v>3593</v>
      </c>
      <c r="U1010" s="18">
        <v>9.58500139E8</v>
      </c>
      <c r="V1010" s="24"/>
      <c r="W1010" s="18" t="s">
        <v>76</v>
      </c>
    </row>
    <row r="1011">
      <c r="A1011" s="11"/>
      <c r="B1011" s="12" t="s">
        <v>34</v>
      </c>
      <c r="C1011" s="12" t="s">
        <v>65</v>
      </c>
      <c r="D1011" s="12" t="s">
        <v>43</v>
      </c>
      <c r="E1011" s="12" t="s">
        <v>224</v>
      </c>
      <c r="F1011" s="45" t="s">
        <v>225</v>
      </c>
      <c r="G1011" s="12" t="s">
        <v>68</v>
      </c>
      <c r="H1011" s="12" t="s">
        <v>226</v>
      </c>
      <c r="I1011" s="12" t="s">
        <v>227</v>
      </c>
      <c r="J1011" s="17" t="s">
        <v>2783</v>
      </c>
      <c r="K1011" s="18" t="s">
        <v>2784</v>
      </c>
      <c r="L1011" s="20">
        <v>45910.0</v>
      </c>
      <c r="M1011" s="17" t="s">
        <v>28</v>
      </c>
      <c r="N1011" s="9" t="s">
        <v>3040</v>
      </c>
      <c r="O1011" s="17">
        <v>4.1985115E7</v>
      </c>
      <c r="P1011" s="17" t="s">
        <v>3041</v>
      </c>
      <c r="Q1011" s="17" t="s">
        <v>112</v>
      </c>
      <c r="R1011" s="17" t="s">
        <v>113</v>
      </c>
      <c r="S1011" s="17" t="s">
        <v>3594</v>
      </c>
      <c r="U1011" s="18">
        <v>9.58806524E8</v>
      </c>
      <c r="V1011" s="24"/>
      <c r="W1011" s="18" t="s">
        <v>76</v>
      </c>
    </row>
    <row r="1012">
      <c r="A1012" s="11"/>
      <c r="B1012" s="12" t="s">
        <v>34</v>
      </c>
      <c r="C1012" s="12" t="s">
        <v>65</v>
      </c>
      <c r="D1012" s="12" t="s">
        <v>43</v>
      </c>
      <c r="E1012" s="12" t="s">
        <v>224</v>
      </c>
      <c r="F1012" s="13" t="s">
        <v>225</v>
      </c>
      <c r="G1012" s="12" t="s">
        <v>68</v>
      </c>
      <c r="H1012" s="12" t="s">
        <v>226</v>
      </c>
      <c r="I1012" s="12" t="s">
        <v>227</v>
      </c>
      <c r="J1012" s="17" t="s">
        <v>2783</v>
      </c>
      <c r="K1012" s="18" t="s">
        <v>2784</v>
      </c>
      <c r="L1012" s="20">
        <v>45910.0</v>
      </c>
      <c r="M1012" s="17" t="s">
        <v>28</v>
      </c>
      <c r="N1012" s="9" t="s">
        <v>3098</v>
      </c>
      <c r="O1012" s="17">
        <v>4.7867908E7</v>
      </c>
      <c r="P1012" s="17" t="s">
        <v>3099</v>
      </c>
      <c r="Q1012" s="17" t="s">
        <v>108</v>
      </c>
      <c r="R1012" s="17" t="s">
        <v>109</v>
      </c>
      <c r="S1012" s="17" t="s">
        <v>3595</v>
      </c>
      <c r="U1012" s="18">
        <v>9.78254424E8</v>
      </c>
      <c r="V1012" s="24"/>
      <c r="W1012" s="18" t="s">
        <v>76</v>
      </c>
    </row>
    <row r="1013">
      <c r="A1013" s="11"/>
      <c r="B1013" s="12" t="s">
        <v>34</v>
      </c>
      <c r="C1013" s="12" t="s">
        <v>65</v>
      </c>
      <c r="D1013" s="12" t="s">
        <v>43</v>
      </c>
      <c r="E1013" s="12" t="s">
        <v>224</v>
      </c>
      <c r="F1013" s="13" t="s">
        <v>225</v>
      </c>
      <c r="G1013" s="12" t="s">
        <v>68</v>
      </c>
      <c r="H1013" s="12" t="s">
        <v>226</v>
      </c>
      <c r="I1013" s="12" t="s">
        <v>227</v>
      </c>
      <c r="J1013" s="17" t="s">
        <v>2783</v>
      </c>
      <c r="K1013" s="18" t="s">
        <v>2784</v>
      </c>
      <c r="L1013" s="20">
        <v>45910.0</v>
      </c>
      <c r="M1013" s="17" t="s">
        <v>28</v>
      </c>
      <c r="N1013" s="17" t="s">
        <v>3070</v>
      </c>
      <c r="O1013" s="17">
        <v>4.8354688E7</v>
      </c>
      <c r="P1013" s="17" t="s">
        <v>3071</v>
      </c>
      <c r="Q1013" s="17" t="s">
        <v>108</v>
      </c>
      <c r="R1013" s="17" t="s">
        <v>109</v>
      </c>
      <c r="S1013" s="17" t="s">
        <v>3596</v>
      </c>
      <c r="U1013" s="18">
        <v>9.579952018E9</v>
      </c>
      <c r="V1013" s="24"/>
      <c r="W1013" s="18" t="s">
        <v>76</v>
      </c>
    </row>
    <row r="1014">
      <c r="A1014" s="11"/>
      <c r="B1014" s="12" t="s">
        <v>34</v>
      </c>
      <c r="C1014" s="12" t="s">
        <v>65</v>
      </c>
      <c r="D1014" s="12" t="s">
        <v>43</v>
      </c>
      <c r="E1014" s="12" t="s">
        <v>224</v>
      </c>
      <c r="F1014" s="13" t="s">
        <v>225</v>
      </c>
      <c r="G1014" s="12" t="s">
        <v>68</v>
      </c>
      <c r="H1014" s="12" t="s">
        <v>226</v>
      </c>
      <c r="I1014" s="12" t="s">
        <v>227</v>
      </c>
      <c r="J1014" s="17" t="s">
        <v>2783</v>
      </c>
      <c r="K1014" s="18" t="s">
        <v>2784</v>
      </c>
      <c r="L1014" s="20">
        <v>45910.0</v>
      </c>
      <c r="M1014" s="17" t="s">
        <v>28</v>
      </c>
      <c r="N1014" s="9" t="s">
        <v>3061</v>
      </c>
      <c r="O1014" s="17">
        <v>4.544537E7</v>
      </c>
      <c r="P1014" s="17" t="s">
        <v>3062</v>
      </c>
      <c r="Q1014" s="17" t="s">
        <v>108</v>
      </c>
      <c r="R1014" s="17" t="s">
        <v>109</v>
      </c>
      <c r="S1014" s="17" t="s">
        <v>3597</v>
      </c>
      <c r="U1014" s="18">
        <v>9.37532288E8</v>
      </c>
      <c r="V1014" s="24"/>
      <c r="W1014" s="18" t="s">
        <v>76</v>
      </c>
    </row>
    <row r="1015">
      <c r="A1015" s="11"/>
      <c r="B1015" s="12" t="s">
        <v>34</v>
      </c>
      <c r="C1015" s="12" t="s">
        <v>65</v>
      </c>
      <c r="D1015" s="12" t="s">
        <v>43</v>
      </c>
      <c r="E1015" s="12" t="s">
        <v>224</v>
      </c>
      <c r="F1015" s="13" t="s">
        <v>225</v>
      </c>
      <c r="G1015" s="12" t="s">
        <v>68</v>
      </c>
      <c r="H1015" s="12" t="s">
        <v>226</v>
      </c>
      <c r="I1015" s="12" t="s">
        <v>227</v>
      </c>
      <c r="J1015" s="17" t="s">
        <v>2783</v>
      </c>
      <c r="K1015" s="18" t="s">
        <v>2784</v>
      </c>
      <c r="L1015" s="20">
        <v>45910.0</v>
      </c>
      <c r="M1015" s="17" t="s">
        <v>28</v>
      </c>
      <c r="N1015" s="119" t="s">
        <v>3130</v>
      </c>
      <c r="O1015" s="17">
        <v>7.5777002E7</v>
      </c>
      <c r="P1015" s="17" t="s">
        <v>3131</v>
      </c>
      <c r="Q1015" s="17" t="s">
        <v>108</v>
      </c>
      <c r="S1015" s="17" t="s">
        <v>3132</v>
      </c>
      <c r="U1015" s="18">
        <v>9.75070238E8</v>
      </c>
      <c r="V1015" s="24"/>
      <c r="W1015" s="18" t="s">
        <v>76</v>
      </c>
    </row>
    <row r="1016">
      <c r="A1016" s="11"/>
      <c r="B1016" s="12" t="s">
        <v>34</v>
      </c>
      <c r="C1016" s="12" t="s">
        <v>65</v>
      </c>
      <c r="D1016" s="12" t="s">
        <v>43</v>
      </c>
      <c r="E1016" s="12" t="s">
        <v>224</v>
      </c>
      <c r="F1016" s="13" t="s">
        <v>225</v>
      </c>
      <c r="G1016" s="12" t="s">
        <v>68</v>
      </c>
      <c r="H1016" s="12" t="s">
        <v>226</v>
      </c>
      <c r="I1016" s="12" t="s">
        <v>227</v>
      </c>
      <c r="J1016" s="17" t="s">
        <v>2783</v>
      </c>
      <c r="K1016" s="18" t="s">
        <v>2784</v>
      </c>
      <c r="L1016" s="20">
        <v>45910.0</v>
      </c>
      <c r="M1016" s="17" t="s">
        <v>28</v>
      </c>
      <c r="N1016" s="9" t="s">
        <v>3058</v>
      </c>
      <c r="O1016" s="17">
        <v>4.57888958E8</v>
      </c>
      <c r="P1016" s="17" t="s">
        <v>3140</v>
      </c>
      <c r="Q1016" s="17" t="s">
        <v>112</v>
      </c>
      <c r="R1016" s="17" t="s">
        <v>113</v>
      </c>
      <c r="S1016" s="17" t="s">
        <v>3598</v>
      </c>
      <c r="U1016" s="18">
        <v>9.44979736E8</v>
      </c>
      <c r="V1016" s="24"/>
      <c r="W1016" s="18" t="s">
        <v>76</v>
      </c>
    </row>
    <row r="1017">
      <c r="A1017" s="11"/>
      <c r="B1017" s="12" t="s">
        <v>34</v>
      </c>
      <c r="C1017" s="12" t="s">
        <v>65</v>
      </c>
      <c r="D1017" s="12" t="s">
        <v>43</v>
      </c>
      <c r="E1017" s="12" t="s">
        <v>224</v>
      </c>
      <c r="F1017" s="13" t="s">
        <v>225</v>
      </c>
      <c r="G1017" s="12" t="s">
        <v>68</v>
      </c>
      <c r="H1017" s="12" t="s">
        <v>226</v>
      </c>
      <c r="I1017" s="12" t="s">
        <v>227</v>
      </c>
      <c r="J1017" s="17" t="s">
        <v>2687</v>
      </c>
      <c r="K1017" s="18">
        <v>1.0</v>
      </c>
      <c r="L1017" s="20">
        <v>45910.0</v>
      </c>
      <c r="M1017" s="17" t="s">
        <v>23</v>
      </c>
      <c r="N1017" s="116" t="s">
        <v>3599</v>
      </c>
      <c r="Q1017" s="17" t="s">
        <v>108</v>
      </c>
      <c r="R1017" s="17" t="s">
        <v>109</v>
      </c>
      <c r="S1017" s="17" t="s">
        <v>2198</v>
      </c>
      <c r="U1017" s="24"/>
      <c r="V1017" s="24"/>
      <c r="W1017" s="18" t="s">
        <v>76</v>
      </c>
    </row>
    <row r="1018">
      <c r="A1018" s="11"/>
      <c r="B1018" s="12" t="s">
        <v>34</v>
      </c>
      <c r="C1018" s="12" t="s">
        <v>65</v>
      </c>
      <c r="D1018" s="12" t="s">
        <v>43</v>
      </c>
      <c r="E1018" s="12" t="s">
        <v>224</v>
      </c>
      <c r="F1018" s="13" t="s">
        <v>225</v>
      </c>
      <c r="G1018" s="12" t="s">
        <v>68</v>
      </c>
      <c r="H1018" s="12" t="s">
        <v>226</v>
      </c>
      <c r="I1018" s="12" t="s">
        <v>227</v>
      </c>
      <c r="J1018" s="17" t="s">
        <v>2687</v>
      </c>
      <c r="K1018" s="18">
        <v>1.0</v>
      </c>
      <c r="L1018" s="20">
        <v>45910.0</v>
      </c>
      <c r="M1018" s="17" t="s">
        <v>23</v>
      </c>
      <c r="N1018" s="116" t="s">
        <v>3600</v>
      </c>
      <c r="Q1018" s="17" t="s">
        <v>112</v>
      </c>
      <c r="R1018" s="17" t="s">
        <v>113</v>
      </c>
      <c r="S1018" s="17" t="s">
        <v>2220</v>
      </c>
      <c r="U1018" s="24"/>
      <c r="V1018" s="24"/>
      <c r="W1018" s="18" t="s">
        <v>76</v>
      </c>
    </row>
    <row r="1019">
      <c r="A1019" s="11"/>
      <c r="B1019" s="12" t="s">
        <v>34</v>
      </c>
      <c r="C1019" s="12" t="s">
        <v>65</v>
      </c>
      <c r="D1019" s="12" t="s">
        <v>43</v>
      </c>
      <c r="E1019" s="12" t="s">
        <v>224</v>
      </c>
      <c r="F1019" s="13" t="s">
        <v>225</v>
      </c>
      <c r="G1019" s="12" t="s">
        <v>68</v>
      </c>
      <c r="H1019" s="12" t="s">
        <v>226</v>
      </c>
      <c r="I1019" s="12" t="s">
        <v>227</v>
      </c>
      <c r="J1019" s="17" t="s">
        <v>2687</v>
      </c>
      <c r="K1019" s="18">
        <v>1.0</v>
      </c>
      <c r="L1019" s="20">
        <v>45910.0</v>
      </c>
      <c r="M1019" s="17" t="s">
        <v>23</v>
      </c>
      <c r="N1019" s="116" t="s">
        <v>3601</v>
      </c>
      <c r="Q1019" s="17" t="s">
        <v>73</v>
      </c>
      <c r="R1019" s="17" t="s">
        <v>74</v>
      </c>
      <c r="S1019" s="17" t="s">
        <v>2202</v>
      </c>
      <c r="U1019" s="24"/>
      <c r="V1019" s="24"/>
      <c r="W1019" s="18" t="s">
        <v>76</v>
      </c>
    </row>
    <row r="1020">
      <c r="A1020" s="11"/>
      <c r="B1020" s="12" t="s">
        <v>34</v>
      </c>
      <c r="C1020" s="12" t="s">
        <v>65</v>
      </c>
      <c r="D1020" s="12" t="s">
        <v>43</v>
      </c>
      <c r="E1020" s="12" t="s">
        <v>224</v>
      </c>
      <c r="F1020" s="13" t="s">
        <v>225</v>
      </c>
      <c r="G1020" s="12" t="s">
        <v>68</v>
      </c>
      <c r="H1020" s="12" t="s">
        <v>226</v>
      </c>
      <c r="I1020" s="12" t="s">
        <v>227</v>
      </c>
      <c r="J1020" s="17" t="s">
        <v>2687</v>
      </c>
      <c r="K1020" s="18">
        <v>1.0</v>
      </c>
      <c r="L1020" s="20">
        <v>45910.0</v>
      </c>
      <c r="M1020" s="17" t="s">
        <v>23</v>
      </c>
      <c r="N1020" s="17" t="s">
        <v>3602</v>
      </c>
      <c r="Q1020" s="17" t="s">
        <v>73</v>
      </c>
      <c r="R1020" s="17" t="s">
        <v>74</v>
      </c>
      <c r="S1020" s="17" t="s">
        <v>2202</v>
      </c>
      <c r="U1020" s="24"/>
      <c r="V1020" s="24"/>
      <c r="W1020" s="18" t="s">
        <v>76</v>
      </c>
    </row>
    <row r="1021">
      <c r="A1021" s="11"/>
      <c r="B1021" s="12" t="s">
        <v>43</v>
      </c>
      <c r="C1021" s="12" t="s">
        <v>65</v>
      </c>
      <c r="D1021" s="12" t="s">
        <v>43</v>
      </c>
      <c r="E1021" s="12" t="s">
        <v>203</v>
      </c>
      <c r="F1021" s="13" t="s">
        <v>204</v>
      </c>
      <c r="G1021" s="12" t="s">
        <v>68</v>
      </c>
      <c r="H1021" s="12" t="s">
        <v>205</v>
      </c>
      <c r="I1021" s="12" t="s">
        <v>206</v>
      </c>
      <c r="J1021" s="17" t="s">
        <v>2687</v>
      </c>
      <c r="K1021" s="18">
        <v>1.0</v>
      </c>
      <c r="L1021" s="20">
        <v>45911.0</v>
      </c>
      <c r="M1021" s="17" t="s">
        <v>23</v>
      </c>
      <c r="N1021" s="116" t="s">
        <v>3603</v>
      </c>
      <c r="Q1021" s="17" t="s">
        <v>73</v>
      </c>
      <c r="R1021" s="17" t="s">
        <v>1797</v>
      </c>
      <c r="S1021" s="17" t="s">
        <v>2391</v>
      </c>
      <c r="U1021" s="24"/>
      <c r="V1021" s="24"/>
      <c r="W1021" s="18" t="s">
        <v>76</v>
      </c>
    </row>
    <row r="1022">
      <c r="A1022" s="11"/>
      <c r="B1022" s="12" t="s">
        <v>43</v>
      </c>
      <c r="C1022" s="12" t="s">
        <v>65</v>
      </c>
      <c r="D1022" s="12" t="s">
        <v>43</v>
      </c>
      <c r="E1022" s="12" t="s">
        <v>203</v>
      </c>
      <c r="F1022" s="13" t="s">
        <v>204</v>
      </c>
      <c r="G1022" s="12" t="s">
        <v>68</v>
      </c>
      <c r="H1022" s="12" t="s">
        <v>205</v>
      </c>
      <c r="I1022" s="12" t="s">
        <v>206</v>
      </c>
      <c r="J1022" s="17" t="s">
        <v>2687</v>
      </c>
      <c r="K1022" s="18">
        <v>1.0</v>
      </c>
      <c r="L1022" s="20">
        <v>45911.0</v>
      </c>
      <c r="M1022" s="17" t="s">
        <v>23</v>
      </c>
      <c r="N1022" s="124" t="s">
        <v>3604</v>
      </c>
      <c r="Q1022" s="17" t="s">
        <v>108</v>
      </c>
      <c r="R1022" s="17" t="s">
        <v>109</v>
      </c>
      <c r="S1022" s="17" t="s">
        <v>2198</v>
      </c>
      <c r="U1022" s="24"/>
      <c r="V1022" s="24"/>
      <c r="W1022" s="18" t="s">
        <v>76</v>
      </c>
    </row>
    <row r="1023">
      <c r="A1023" s="11"/>
      <c r="B1023" s="12" t="s">
        <v>43</v>
      </c>
      <c r="C1023" s="12" t="s">
        <v>65</v>
      </c>
      <c r="D1023" s="12" t="s">
        <v>43</v>
      </c>
      <c r="E1023" s="12" t="s">
        <v>203</v>
      </c>
      <c r="F1023" s="13" t="s">
        <v>204</v>
      </c>
      <c r="G1023" s="12" t="s">
        <v>68</v>
      </c>
      <c r="H1023" s="12" t="s">
        <v>205</v>
      </c>
      <c r="I1023" s="12" t="s">
        <v>206</v>
      </c>
      <c r="J1023" s="17" t="s">
        <v>2779</v>
      </c>
      <c r="K1023" s="18" t="s">
        <v>2780</v>
      </c>
      <c r="L1023" s="20">
        <v>45911.0</v>
      </c>
      <c r="M1023" s="17" t="s">
        <v>28</v>
      </c>
      <c r="N1023" s="17" t="s">
        <v>3605</v>
      </c>
      <c r="O1023" s="17">
        <v>7.5723727E7</v>
      </c>
      <c r="P1023" s="17" t="s">
        <v>3606</v>
      </c>
      <c r="Q1023" s="17" t="s">
        <v>73</v>
      </c>
      <c r="R1023" s="17" t="s">
        <v>74</v>
      </c>
      <c r="S1023" s="17" t="s">
        <v>3607</v>
      </c>
      <c r="U1023" s="24"/>
      <c r="V1023" s="24"/>
      <c r="W1023" s="18" t="s">
        <v>76</v>
      </c>
    </row>
    <row r="1024">
      <c r="A1024" s="11"/>
      <c r="B1024" s="12" t="s">
        <v>43</v>
      </c>
      <c r="C1024" s="12" t="s">
        <v>65</v>
      </c>
      <c r="D1024" s="12" t="s">
        <v>43</v>
      </c>
      <c r="E1024" s="12" t="s">
        <v>203</v>
      </c>
      <c r="F1024" s="13" t="s">
        <v>204</v>
      </c>
      <c r="G1024" s="12" t="s">
        <v>68</v>
      </c>
      <c r="H1024" s="12" t="s">
        <v>205</v>
      </c>
      <c r="I1024" s="12" t="s">
        <v>206</v>
      </c>
      <c r="J1024" s="17" t="s">
        <v>2779</v>
      </c>
      <c r="K1024" s="18" t="s">
        <v>2780</v>
      </c>
      <c r="L1024" s="20">
        <v>45911.0</v>
      </c>
      <c r="M1024" s="17" t="s">
        <v>28</v>
      </c>
      <c r="N1024" s="17" t="s">
        <v>3608</v>
      </c>
      <c r="O1024" s="17">
        <v>4.767867E7</v>
      </c>
      <c r="P1024" s="17" t="s">
        <v>3609</v>
      </c>
      <c r="Q1024" s="17" t="s">
        <v>108</v>
      </c>
      <c r="R1024" s="17" t="s">
        <v>109</v>
      </c>
      <c r="S1024" s="17" t="s">
        <v>3610</v>
      </c>
      <c r="U1024" s="24"/>
      <c r="V1024" s="24"/>
      <c r="W1024" s="18" t="s">
        <v>76</v>
      </c>
    </row>
    <row r="1025">
      <c r="A1025" s="11"/>
      <c r="B1025" s="12" t="s">
        <v>43</v>
      </c>
      <c r="C1025" s="12" t="s">
        <v>65</v>
      </c>
      <c r="D1025" s="12" t="s">
        <v>43</v>
      </c>
      <c r="E1025" s="12" t="s">
        <v>203</v>
      </c>
      <c r="F1025" s="13" t="s">
        <v>204</v>
      </c>
      <c r="G1025" s="12" t="s">
        <v>68</v>
      </c>
      <c r="H1025" s="12" t="s">
        <v>205</v>
      </c>
      <c r="I1025" s="12" t="s">
        <v>206</v>
      </c>
      <c r="J1025" s="17" t="s">
        <v>2779</v>
      </c>
      <c r="K1025" s="18" t="s">
        <v>2780</v>
      </c>
      <c r="L1025" s="20">
        <v>45911.0</v>
      </c>
      <c r="M1025" s="17" t="s">
        <v>28</v>
      </c>
      <c r="N1025" s="17" t="s">
        <v>3611</v>
      </c>
      <c r="O1025" s="17">
        <v>7.256852E7</v>
      </c>
      <c r="P1025" s="17" t="s">
        <v>3612</v>
      </c>
      <c r="Q1025" s="17" t="s">
        <v>73</v>
      </c>
      <c r="R1025" s="17" t="s">
        <v>74</v>
      </c>
      <c r="S1025" s="17" t="s">
        <v>3613</v>
      </c>
      <c r="U1025" s="24"/>
      <c r="V1025" s="24"/>
      <c r="W1025" s="18" t="s">
        <v>76</v>
      </c>
    </row>
    <row r="1026">
      <c r="A1026" s="11"/>
      <c r="B1026" s="12" t="s">
        <v>43</v>
      </c>
      <c r="C1026" s="12" t="s">
        <v>65</v>
      </c>
      <c r="D1026" s="12" t="s">
        <v>43</v>
      </c>
      <c r="E1026" s="12" t="s">
        <v>203</v>
      </c>
      <c r="F1026" s="13" t="s">
        <v>204</v>
      </c>
      <c r="G1026" s="12" t="s">
        <v>68</v>
      </c>
      <c r="H1026" s="12" t="s">
        <v>205</v>
      </c>
      <c r="I1026" s="12" t="s">
        <v>206</v>
      </c>
      <c r="J1026" s="17" t="s">
        <v>2779</v>
      </c>
      <c r="K1026" s="18" t="s">
        <v>2780</v>
      </c>
      <c r="L1026" s="20">
        <v>45911.0</v>
      </c>
      <c r="M1026" s="17" t="s">
        <v>28</v>
      </c>
      <c r="N1026" s="17" t="s">
        <v>3614</v>
      </c>
      <c r="O1026" s="17">
        <v>3.229857E7</v>
      </c>
      <c r="P1026" s="17" t="s">
        <v>3615</v>
      </c>
      <c r="Q1026" s="17" t="s">
        <v>112</v>
      </c>
      <c r="R1026" s="17" t="s">
        <v>113</v>
      </c>
      <c r="S1026" s="17" t="s">
        <v>3616</v>
      </c>
      <c r="U1026" s="24"/>
      <c r="V1026" s="24"/>
      <c r="W1026" s="18" t="s">
        <v>76</v>
      </c>
    </row>
    <row r="1027">
      <c r="A1027" s="11"/>
      <c r="B1027" s="12" t="s">
        <v>43</v>
      </c>
      <c r="C1027" s="12" t="s">
        <v>65</v>
      </c>
      <c r="D1027" s="12" t="s">
        <v>43</v>
      </c>
      <c r="E1027" s="12" t="s">
        <v>203</v>
      </c>
      <c r="F1027" s="13" t="s">
        <v>204</v>
      </c>
      <c r="G1027" s="12" t="s">
        <v>68</v>
      </c>
      <c r="H1027" s="12" t="s">
        <v>205</v>
      </c>
      <c r="I1027" s="12" t="s">
        <v>206</v>
      </c>
      <c r="J1027" s="17" t="s">
        <v>2779</v>
      </c>
      <c r="K1027" s="18" t="s">
        <v>2780</v>
      </c>
      <c r="L1027" s="20">
        <v>45911.0</v>
      </c>
      <c r="M1027" s="17" t="s">
        <v>28</v>
      </c>
      <c r="N1027" s="17" t="s">
        <v>3617</v>
      </c>
      <c r="O1027" s="17">
        <v>7.3992117E7</v>
      </c>
      <c r="Q1027" s="17" t="s">
        <v>73</v>
      </c>
      <c r="R1027" s="17" t="s">
        <v>74</v>
      </c>
      <c r="S1027" s="17" t="s">
        <v>2202</v>
      </c>
      <c r="U1027" s="24"/>
      <c r="V1027" s="24"/>
      <c r="W1027" s="18" t="s">
        <v>76</v>
      </c>
    </row>
    <row r="1028">
      <c r="A1028" s="11"/>
      <c r="B1028" s="12" t="s">
        <v>43</v>
      </c>
      <c r="C1028" s="12" t="s">
        <v>65</v>
      </c>
      <c r="D1028" s="12" t="s">
        <v>43</v>
      </c>
      <c r="E1028" s="12" t="s">
        <v>203</v>
      </c>
      <c r="F1028" s="13" t="s">
        <v>204</v>
      </c>
      <c r="G1028" s="12" t="s">
        <v>68</v>
      </c>
      <c r="H1028" s="12" t="s">
        <v>205</v>
      </c>
      <c r="I1028" s="12" t="s">
        <v>206</v>
      </c>
      <c r="J1028" s="17" t="s">
        <v>2779</v>
      </c>
      <c r="K1028" s="18" t="s">
        <v>2780</v>
      </c>
      <c r="L1028" s="20">
        <v>45911.0</v>
      </c>
      <c r="M1028" s="17" t="s">
        <v>28</v>
      </c>
      <c r="N1028" s="17" t="s">
        <v>3618</v>
      </c>
      <c r="O1028" s="17">
        <v>4.1112838E7</v>
      </c>
      <c r="P1028" s="17" t="s">
        <v>3619</v>
      </c>
      <c r="Q1028" s="17" t="s">
        <v>73</v>
      </c>
      <c r="R1028" s="17" t="s">
        <v>74</v>
      </c>
      <c r="S1028" s="17" t="s">
        <v>3620</v>
      </c>
      <c r="U1028" s="24"/>
      <c r="V1028" s="24"/>
      <c r="W1028" s="18" t="s">
        <v>76</v>
      </c>
    </row>
    <row r="1029">
      <c r="A1029" s="11"/>
      <c r="B1029" s="12" t="s">
        <v>43</v>
      </c>
      <c r="C1029" s="12" t="s">
        <v>65</v>
      </c>
      <c r="D1029" s="12" t="s">
        <v>43</v>
      </c>
      <c r="E1029" s="12" t="s">
        <v>203</v>
      </c>
      <c r="F1029" s="13" t="s">
        <v>204</v>
      </c>
      <c r="G1029" s="12" t="s">
        <v>68</v>
      </c>
      <c r="H1029" s="12" t="s">
        <v>205</v>
      </c>
      <c r="I1029" s="12" t="s">
        <v>206</v>
      </c>
      <c r="J1029" s="17" t="s">
        <v>2779</v>
      </c>
      <c r="K1029" s="18" t="s">
        <v>2780</v>
      </c>
      <c r="L1029" s="20">
        <v>45911.0</v>
      </c>
      <c r="M1029" s="17" t="s">
        <v>28</v>
      </c>
      <c r="N1029" s="17" t="s">
        <v>3621</v>
      </c>
      <c r="O1029" s="17">
        <v>4.3893167E7</v>
      </c>
      <c r="P1029" s="17" t="s">
        <v>3622</v>
      </c>
      <c r="Q1029" s="17" t="s">
        <v>108</v>
      </c>
      <c r="R1029" s="17" t="s">
        <v>109</v>
      </c>
      <c r="S1029" s="17" t="s">
        <v>3623</v>
      </c>
      <c r="U1029" s="24"/>
      <c r="V1029" s="24"/>
      <c r="W1029" s="18" t="s">
        <v>76</v>
      </c>
    </row>
    <row r="1030">
      <c r="A1030" s="11"/>
      <c r="B1030" s="23"/>
      <c r="C1030" s="23"/>
      <c r="D1030" s="23"/>
      <c r="E1030" s="23"/>
      <c r="F1030" s="1"/>
      <c r="G1030" s="23"/>
      <c r="H1030" s="23"/>
      <c r="I1030" s="23"/>
      <c r="J1030" s="2"/>
      <c r="K1030" s="24"/>
      <c r="L1030" s="40"/>
      <c r="M1030" s="2"/>
      <c r="Q1030" s="2"/>
      <c r="U1030" s="24"/>
      <c r="V1030" s="24"/>
      <c r="W1030" s="18"/>
    </row>
    <row r="1031">
      <c r="A1031" s="11"/>
      <c r="B1031" s="12" t="s">
        <v>7</v>
      </c>
      <c r="C1031" s="12" t="s">
        <v>8</v>
      </c>
      <c r="D1031" s="12" t="s">
        <v>24</v>
      </c>
      <c r="E1031" s="12" t="s">
        <v>32</v>
      </c>
      <c r="F1031" s="13" t="s">
        <v>30</v>
      </c>
      <c r="G1031" s="12" t="s">
        <v>68</v>
      </c>
      <c r="H1031" s="12" t="s">
        <v>573</v>
      </c>
      <c r="I1031" s="12" t="s">
        <v>574</v>
      </c>
      <c r="J1031" s="17" t="s">
        <v>2783</v>
      </c>
      <c r="K1031" s="18" t="s">
        <v>2784</v>
      </c>
      <c r="L1031" s="20">
        <v>45909.0</v>
      </c>
      <c r="M1031" s="17" t="s">
        <v>23</v>
      </c>
      <c r="N1031" s="21" t="s">
        <v>2174</v>
      </c>
      <c r="O1031" s="122">
        <v>4.3532615E7</v>
      </c>
      <c r="P1031" s="21"/>
      <c r="Q1031" s="21" t="s">
        <v>73</v>
      </c>
      <c r="R1031" s="21" t="s">
        <v>2172</v>
      </c>
      <c r="S1031" s="17" t="s">
        <v>2177</v>
      </c>
      <c r="U1031" s="24"/>
      <c r="V1031" s="24"/>
      <c r="W1031" s="18" t="s">
        <v>577</v>
      </c>
    </row>
    <row r="1032">
      <c r="A1032" s="11"/>
      <c r="B1032" s="12" t="s">
        <v>7</v>
      </c>
      <c r="C1032" s="12" t="s">
        <v>8</v>
      </c>
      <c r="D1032" s="12" t="s">
        <v>24</v>
      </c>
      <c r="E1032" s="12" t="s">
        <v>32</v>
      </c>
      <c r="F1032" s="13" t="s">
        <v>30</v>
      </c>
      <c r="G1032" s="12" t="s">
        <v>68</v>
      </c>
      <c r="H1032" s="12" t="s">
        <v>573</v>
      </c>
      <c r="I1032" s="12" t="s">
        <v>574</v>
      </c>
      <c r="J1032" s="17" t="s">
        <v>2783</v>
      </c>
      <c r="K1032" s="18" t="s">
        <v>2784</v>
      </c>
      <c r="L1032" s="20">
        <v>45909.0</v>
      </c>
      <c r="M1032" s="17" t="s">
        <v>28</v>
      </c>
      <c r="N1032" s="21" t="s">
        <v>2174</v>
      </c>
      <c r="O1032" s="122">
        <v>4.3532615E7</v>
      </c>
      <c r="P1032" s="21" t="s">
        <v>2175</v>
      </c>
      <c r="Q1032" s="21" t="s">
        <v>73</v>
      </c>
      <c r="R1032" s="21" t="s">
        <v>2172</v>
      </c>
      <c r="S1032" s="17" t="s">
        <v>2176</v>
      </c>
      <c r="U1032" s="24"/>
      <c r="V1032" s="24"/>
      <c r="W1032" s="18" t="s">
        <v>577</v>
      </c>
    </row>
    <row r="1033">
      <c r="A1033" s="11"/>
      <c r="B1033" s="12" t="s">
        <v>7</v>
      </c>
      <c r="C1033" s="12" t="s">
        <v>8</v>
      </c>
      <c r="D1033" s="12" t="s">
        <v>24</v>
      </c>
      <c r="E1033" s="12" t="s">
        <v>32</v>
      </c>
      <c r="F1033" s="13" t="s">
        <v>30</v>
      </c>
      <c r="G1033" s="12" t="s">
        <v>68</v>
      </c>
      <c r="H1033" s="12" t="s">
        <v>573</v>
      </c>
      <c r="I1033" s="12" t="s">
        <v>574</v>
      </c>
      <c r="J1033" s="17" t="s">
        <v>2783</v>
      </c>
      <c r="K1033" s="18" t="s">
        <v>2784</v>
      </c>
      <c r="L1033" s="20">
        <v>45909.0</v>
      </c>
      <c r="M1033" s="17" t="s">
        <v>28</v>
      </c>
      <c r="N1033" s="17" t="s">
        <v>2171</v>
      </c>
      <c r="O1033" s="17">
        <v>7.3014611E7</v>
      </c>
      <c r="P1033" s="17" t="s">
        <v>1785</v>
      </c>
      <c r="Q1033" s="17" t="s">
        <v>112</v>
      </c>
      <c r="R1033" s="21" t="s">
        <v>2172</v>
      </c>
      <c r="S1033" s="17" t="s">
        <v>2173</v>
      </c>
      <c r="U1033" s="24"/>
      <c r="V1033" s="24"/>
      <c r="W1033" s="18" t="s">
        <v>577</v>
      </c>
    </row>
    <row r="1034">
      <c r="A1034" s="11"/>
      <c r="B1034" s="12" t="s">
        <v>7</v>
      </c>
      <c r="C1034" s="12" t="s">
        <v>8</v>
      </c>
      <c r="D1034" s="12" t="s">
        <v>24</v>
      </c>
      <c r="E1034" s="12" t="s">
        <v>32</v>
      </c>
      <c r="F1034" s="13" t="s">
        <v>30</v>
      </c>
      <c r="G1034" s="12" t="s">
        <v>68</v>
      </c>
      <c r="H1034" s="12" t="s">
        <v>573</v>
      </c>
      <c r="I1034" s="12" t="s">
        <v>574</v>
      </c>
      <c r="J1034" s="17" t="s">
        <v>2783</v>
      </c>
      <c r="K1034" s="18" t="s">
        <v>2784</v>
      </c>
      <c r="L1034" s="20">
        <v>45909.0</v>
      </c>
      <c r="M1034" s="17" t="s">
        <v>28</v>
      </c>
      <c r="N1034" s="21" t="s">
        <v>3294</v>
      </c>
      <c r="O1034" s="122">
        <v>7.6539015E7</v>
      </c>
      <c r="P1034" s="21" t="s">
        <v>1786</v>
      </c>
      <c r="Q1034" s="17" t="s">
        <v>73</v>
      </c>
      <c r="R1034" s="21" t="s">
        <v>2172</v>
      </c>
      <c r="S1034" s="17" t="s">
        <v>3624</v>
      </c>
      <c r="U1034" s="24"/>
      <c r="V1034" s="24"/>
      <c r="W1034" s="18" t="s">
        <v>577</v>
      </c>
    </row>
    <row r="1035">
      <c r="A1035" s="11"/>
      <c r="B1035" s="12" t="s">
        <v>7</v>
      </c>
      <c r="C1035" s="12" t="s">
        <v>8</v>
      </c>
      <c r="D1035" s="12" t="s">
        <v>24</v>
      </c>
      <c r="E1035" s="12" t="s">
        <v>32</v>
      </c>
      <c r="F1035" s="13" t="s">
        <v>30</v>
      </c>
      <c r="G1035" s="12" t="s">
        <v>68</v>
      </c>
      <c r="H1035" s="12" t="s">
        <v>573</v>
      </c>
      <c r="I1035" s="12" t="s">
        <v>574</v>
      </c>
      <c r="J1035" s="17" t="s">
        <v>2783</v>
      </c>
      <c r="K1035" s="18" t="s">
        <v>2784</v>
      </c>
      <c r="L1035" s="20">
        <v>45909.0</v>
      </c>
      <c r="M1035" s="17" t="s">
        <v>28</v>
      </c>
      <c r="N1035" s="21" t="s">
        <v>3296</v>
      </c>
      <c r="O1035" s="122">
        <v>7.5667634E7</v>
      </c>
      <c r="P1035" s="21" t="s">
        <v>2056</v>
      </c>
      <c r="Q1035" s="17" t="s">
        <v>112</v>
      </c>
      <c r="R1035" s="21" t="s">
        <v>2172</v>
      </c>
      <c r="S1035" s="17" t="s">
        <v>3625</v>
      </c>
      <c r="U1035" s="24"/>
      <c r="V1035" s="24"/>
      <c r="W1035" s="18" t="s">
        <v>577</v>
      </c>
    </row>
    <row r="1036">
      <c r="A1036" s="11"/>
      <c r="B1036" s="12" t="s">
        <v>7</v>
      </c>
      <c r="C1036" s="12" t="s">
        <v>8</v>
      </c>
      <c r="D1036" s="12" t="s">
        <v>24</v>
      </c>
      <c r="E1036" s="12" t="s">
        <v>32</v>
      </c>
      <c r="F1036" s="13" t="s">
        <v>30</v>
      </c>
      <c r="G1036" s="12" t="s">
        <v>68</v>
      </c>
      <c r="H1036" s="12" t="s">
        <v>573</v>
      </c>
      <c r="I1036" s="12" t="s">
        <v>574</v>
      </c>
      <c r="J1036" s="17" t="s">
        <v>2783</v>
      </c>
      <c r="K1036" s="18" t="s">
        <v>2784</v>
      </c>
      <c r="L1036" s="20">
        <v>45909.0</v>
      </c>
      <c r="M1036" s="17" t="s">
        <v>28</v>
      </c>
      <c r="N1036" s="17" t="s">
        <v>3626</v>
      </c>
      <c r="O1036" s="17">
        <v>7.6168709E7</v>
      </c>
      <c r="P1036" s="17" t="s">
        <v>2057</v>
      </c>
      <c r="Q1036" s="17" t="s">
        <v>108</v>
      </c>
      <c r="R1036" s="21" t="s">
        <v>2172</v>
      </c>
      <c r="S1036" s="17" t="s">
        <v>3627</v>
      </c>
      <c r="U1036" s="24"/>
      <c r="V1036" s="18" t="s">
        <v>3628</v>
      </c>
      <c r="W1036" s="18" t="s">
        <v>577</v>
      </c>
    </row>
    <row r="1037">
      <c r="A1037" s="11"/>
      <c r="B1037" s="12" t="s">
        <v>7</v>
      </c>
      <c r="C1037" s="12" t="s">
        <v>8</v>
      </c>
      <c r="D1037" s="12" t="s">
        <v>24</v>
      </c>
      <c r="E1037" s="12" t="s">
        <v>29</v>
      </c>
      <c r="F1037" s="13" t="s">
        <v>27</v>
      </c>
      <c r="G1037" s="12" t="s">
        <v>68</v>
      </c>
      <c r="H1037" s="12" t="s">
        <v>801</v>
      </c>
      <c r="I1037" s="12" t="s">
        <v>802</v>
      </c>
      <c r="J1037" s="17" t="s">
        <v>2783</v>
      </c>
      <c r="K1037" s="18" t="s">
        <v>2784</v>
      </c>
      <c r="L1037" s="20">
        <v>45911.0</v>
      </c>
      <c r="M1037" s="17" t="s">
        <v>23</v>
      </c>
      <c r="N1037" s="21" t="s">
        <v>2369</v>
      </c>
      <c r="O1037" s="122">
        <v>4.7102534E7</v>
      </c>
      <c r="P1037" s="21"/>
      <c r="Q1037" s="21" t="s">
        <v>73</v>
      </c>
      <c r="R1037" s="21" t="s">
        <v>2055</v>
      </c>
      <c r="U1037" s="24"/>
      <c r="V1037" s="24"/>
      <c r="W1037" s="18" t="s">
        <v>577</v>
      </c>
    </row>
    <row r="1038">
      <c r="A1038" s="11"/>
      <c r="B1038" s="12" t="s">
        <v>7</v>
      </c>
      <c r="C1038" s="12" t="s">
        <v>8</v>
      </c>
      <c r="D1038" s="12" t="s">
        <v>24</v>
      </c>
      <c r="E1038" s="12" t="s">
        <v>29</v>
      </c>
      <c r="F1038" s="13" t="s">
        <v>27</v>
      </c>
      <c r="G1038" s="12" t="s">
        <v>68</v>
      </c>
      <c r="H1038" s="12" t="s">
        <v>801</v>
      </c>
      <c r="I1038" s="12" t="s">
        <v>802</v>
      </c>
      <c r="J1038" s="17" t="s">
        <v>2783</v>
      </c>
      <c r="K1038" s="18" t="s">
        <v>2784</v>
      </c>
      <c r="L1038" s="20">
        <v>45911.0</v>
      </c>
      <c r="M1038" s="17" t="s">
        <v>28</v>
      </c>
      <c r="N1038" s="21" t="s">
        <v>2365</v>
      </c>
      <c r="O1038" s="122">
        <v>4.8090717E7</v>
      </c>
      <c r="P1038" s="48" t="s">
        <v>1792</v>
      </c>
      <c r="Q1038" s="21" t="s">
        <v>108</v>
      </c>
      <c r="R1038" s="21" t="s">
        <v>2055</v>
      </c>
      <c r="S1038" s="17" t="s">
        <v>2366</v>
      </c>
      <c r="U1038" s="24"/>
      <c r="V1038" s="24"/>
      <c r="W1038" s="18" t="s">
        <v>577</v>
      </c>
    </row>
    <row r="1039">
      <c r="A1039" s="11"/>
      <c r="B1039" s="12" t="s">
        <v>7</v>
      </c>
      <c r="C1039" s="12" t="s">
        <v>8</v>
      </c>
      <c r="D1039" s="12" t="s">
        <v>24</v>
      </c>
      <c r="E1039" s="12" t="s">
        <v>29</v>
      </c>
      <c r="F1039" s="13" t="s">
        <v>27</v>
      </c>
      <c r="G1039" s="12" t="s">
        <v>68</v>
      </c>
      <c r="H1039" s="12" t="s">
        <v>801</v>
      </c>
      <c r="I1039" s="12" t="s">
        <v>802</v>
      </c>
      <c r="J1039" s="17" t="s">
        <v>2783</v>
      </c>
      <c r="K1039" s="18" t="s">
        <v>2784</v>
      </c>
      <c r="L1039" s="20">
        <v>45911.0</v>
      </c>
      <c r="M1039" s="17" t="s">
        <v>28</v>
      </c>
      <c r="N1039" s="21" t="s">
        <v>2367</v>
      </c>
      <c r="O1039" s="122">
        <v>4.6024435E7</v>
      </c>
      <c r="P1039" s="21" t="s">
        <v>1794</v>
      </c>
      <c r="Q1039" s="21" t="s">
        <v>112</v>
      </c>
      <c r="R1039" s="21" t="s">
        <v>2055</v>
      </c>
      <c r="S1039" s="17" t="s">
        <v>2368</v>
      </c>
      <c r="U1039" s="24"/>
      <c r="V1039" s="24"/>
      <c r="W1039" s="18" t="s">
        <v>577</v>
      </c>
    </row>
    <row r="1040">
      <c r="A1040" s="11"/>
      <c r="B1040" s="12" t="s">
        <v>7</v>
      </c>
      <c r="C1040" s="12" t="s">
        <v>8</v>
      </c>
      <c r="D1040" s="12" t="s">
        <v>24</v>
      </c>
      <c r="E1040" s="12" t="s">
        <v>29</v>
      </c>
      <c r="F1040" s="13" t="s">
        <v>27</v>
      </c>
      <c r="G1040" s="12" t="s">
        <v>68</v>
      </c>
      <c r="H1040" s="12" t="s">
        <v>801</v>
      </c>
      <c r="I1040" s="12" t="s">
        <v>802</v>
      </c>
      <c r="J1040" s="17" t="s">
        <v>2783</v>
      </c>
      <c r="K1040" s="18" t="s">
        <v>2784</v>
      </c>
      <c r="L1040" s="20">
        <v>45911.0</v>
      </c>
      <c r="M1040" s="17" t="s">
        <v>28</v>
      </c>
      <c r="N1040" s="21" t="s">
        <v>3629</v>
      </c>
      <c r="O1040" s="122">
        <v>4.2864641E7</v>
      </c>
      <c r="P1040" s="21" t="s">
        <v>1794</v>
      </c>
      <c r="Q1040" s="48" t="s">
        <v>112</v>
      </c>
      <c r="R1040" s="21" t="s">
        <v>2055</v>
      </c>
      <c r="S1040" s="17" t="s">
        <v>2368</v>
      </c>
      <c r="U1040" s="24"/>
      <c r="V1040" s="24"/>
      <c r="W1040" s="18" t="s">
        <v>577</v>
      </c>
    </row>
    <row r="1041">
      <c r="A1041" s="11"/>
      <c r="B1041" s="12" t="s">
        <v>7</v>
      </c>
      <c r="C1041" s="12" t="s">
        <v>8</v>
      </c>
      <c r="D1041" s="12" t="s">
        <v>24</v>
      </c>
      <c r="E1041" s="12" t="s">
        <v>29</v>
      </c>
      <c r="F1041" s="13" t="s">
        <v>27</v>
      </c>
      <c r="G1041" s="12" t="s">
        <v>68</v>
      </c>
      <c r="H1041" s="12" t="s">
        <v>801</v>
      </c>
      <c r="I1041" s="12" t="s">
        <v>802</v>
      </c>
      <c r="J1041" s="17" t="s">
        <v>2783</v>
      </c>
      <c r="K1041" s="18" t="s">
        <v>2784</v>
      </c>
      <c r="L1041" s="20">
        <v>45911.0</v>
      </c>
      <c r="M1041" s="17" t="s">
        <v>28</v>
      </c>
      <c r="N1041" s="17" t="s">
        <v>3630</v>
      </c>
      <c r="O1041" s="17">
        <v>4.8150454E7</v>
      </c>
      <c r="P1041" s="17" t="s">
        <v>1790</v>
      </c>
      <c r="Q1041" s="17" t="s">
        <v>108</v>
      </c>
      <c r="R1041" s="21" t="s">
        <v>2055</v>
      </c>
      <c r="S1041" s="17" t="s">
        <v>3631</v>
      </c>
      <c r="U1041" s="24"/>
      <c r="V1041" s="18" t="s">
        <v>3632</v>
      </c>
      <c r="W1041" s="18" t="s">
        <v>577</v>
      </c>
    </row>
    <row r="1042">
      <c r="A1042" s="11"/>
      <c r="B1042" s="12" t="s">
        <v>7</v>
      </c>
      <c r="C1042" s="12" t="s">
        <v>8</v>
      </c>
      <c r="D1042" s="12" t="s">
        <v>24</v>
      </c>
      <c r="E1042" s="12" t="s">
        <v>25</v>
      </c>
      <c r="F1042" s="13" t="s">
        <v>26</v>
      </c>
      <c r="G1042" s="12" t="s">
        <v>68</v>
      </c>
      <c r="H1042" s="12" t="s">
        <v>994</v>
      </c>
      <c r="I1042" s="12" t="s">
        <v>995</v>
      </c>
      <c r="J1042" s="17" t="s">
        <v>2783</v>
      </c>
      <c r="K1042" s="18" t="s">
        <v>2784</v>
      </c>
      <c r="L1042" s="20">
        <v>45916.0</v>
      </c>
      <c r="M1042" s="17" t="s">
        <v>23</v>
      </c>
      <c r="N1042" s="21" t="s">
        <v>3298</v>
      </c>
      <c r="O1042" s="122">
        <v>3.1923023E7</v>
      </c>
      <c r="P1042" s="21"/>
      <c r="Q1042" s="48" t="s">
        <v>73</v>
      </c>
      <c r="R1042" s="21" t="s">
        <v>2004</v>
      </c>
      <c r="S1042" s="17" t="s">
        <v>3299</v>
      </c>
      <c r="U1042" s="24"/>
      <c r="V1042" s="18"/>
      <c r="W1042" s="18" t="s">
        <v>577</v>
      </c>
    </row>
    <row r="1043">
      <c r="A1043" s="11"/>
      <c r="B1043" s="12" t="s">
        <v>7</v>
      </c>
      <c r="C1043" s="12" t="s">
        <v>8</v>
      </c>
      <c r="D1043" s="12" t="s">
        <v>24</v>
      </c>
      <c r="E1043" s="12" t="s">
        <v>25</v>
      </c>
      <c r="F1043" s="13" t="s">
        <v>26</v>
      </c>
      <c r="G1043" s="12" t="s">
        <v>68</v>
      </c>
      <c r="H1043" s="12" t="s">
        <v>994</v>
      </c>
      <c r="I1043" s="12" t="s">
        <v>995</v>
      </c>
      <c r="J1043" s="17" t="s">
        <v>2783</v>
      </c>
      <c r="K1043" s="18" t="s">
        <v>2784</v>
      </c>
      <c r="L1043" s="20">
        <v>45916.0</v>
      </c>
      <c r="M1043" s="17" t="s">
        <v>23</v>
      </c>
      <c r="N1043" s="21" t="s">
        <v>3300</v>
      </c>
      <c r="O1043" s="122">
        <v>4.5803595E7</v>
      </c>
      <c r="P1043" s="21"/>
      <c r="Q1043" s="48" t="s">
        <v>112</v>
      </c>
      <c r="R1043" s="21" t="s">
        <v>2028</v>
      </c>
      <c r="S1043" s="17" t="s">
        <v>3301</v>
      </c>
      <c r="U1043" s="24"/>
      <c r="V1043" s="18"/>
      <c r="W1043" s="18" t="s">
        <v>577</v>
      </c>
    </row>
    <row r="1044">
      <c r="A1044" s="11"/>
      <c r="B1044" s="12" t="s">
        <v>7</v>
      </c>
      <c r="C1044" s="12" t="s">
        <v>8</v>
      </c>
      <c r="D1044" s="12" t="s">
        <v>24</v>
      </c>
      <c r="E1044" s="12" t="s">
        <v>25</v>
      </c>
      <c r="F1044" s="13" t="s">
        <v>26</v>
      </c>
      <c r="G1044" s="12" t="s">
        <v>68</v>
      </c>
      <c r="H1044" s="12" t="s">
        <v>994</v>
      </c>
      <c r="I1044" s="12" t="s">
        <v>995</v>
      </c>
      <c r="J1044" s="17" t="s">
        <v>2783</v>
      </c>
      <c r="K1044" s="18" t="s">
        <v>2784</v>
      </c>
      <c r="L1044" s="20">
        <v>45916.0</v>
      </c>
      <c r="M1044" s="17" t="s">
        <v>23</v>
      </c>
      <c r="N1044" s="17" t="s">
        <v>3633</v>
      </c>
      <c r="O1044" s="17">
        <v>1.5860456E7</v>
      </c>
      <c r="P1044" s="17"/>
      <c r="Q1044" s="17" t="s">
        <v>73</v>
      </c>
      <c r="R1044" s="48" t="s">
        <v>3634</v>
      </c>
      <c r="S1044" s="17" t="s">
        <v>3635</v>
      </c>
      <c r="U1044" s="24"/>
      <c r="V1044" s="18" t="s">
        <v>3632</v>
      </c>
      <c r="W1044" s="18" t="s">
        <v>577</v>
      </c>
    </row>
    <row r="1045">
      <c r="A1045" s="11"/>
      <c r="B1045" s="12" t="s">
        <v>7</v>
      </c>
      <c r="C1045" s="12" t="s">
        <v>8</v>
      </c>
      <c r="D1045" s="12" t="s">
        <v>24</v>
      </c>
      <c r="E1045" s="12" t="s">
        <v>25</v>
      </c>
      <c r="F1045" s="13" t="s">
        <v>26</v>
      </c>
      <c r="G1045" s="12" t="s">
        <v>68</v>
      </c>
      <c r="H1045" s="12" t="s">
        <v>994</v>
      </c>
      <c r="I1045" s="12" t="s">
        <v>995</v>
      </c>
      <c r="J1045" s="17" t="s">
        <v>2783</v>
      </c>
      <c r="K1045" s="18" t="s">
        <v>2784</v>
      </c>
      <c r="L1045" s="20">
        <v>45916.0</v>
      </c>
      <c r="M1045" s="17" t="s">
        <v>28</v>
      </c>
      <c r="N1045" s="17" t="s">
        <v>2944</v>
      </c>
      <c r="O1045" s="17">
        <v>4.1830179E7</v>
      </c>
      <c r="P1045" s="17" t="s">
        <v>2007</v>
      </c>
      <c r="Q1045" s="17" t="s">
        <v>73</v>
      </c>
      <c r="R1045" s="17" t="s">
        <v>2004</v>
      </c>
      <c r="S1045" s="17" t="s">
        <v>2945</v>
      </c>
      <c r="U1045" s="24"/>
      <c r="V1045" s="18"/>
      <c r="W1045" s="18" t="s">
        <v>577</v>
      </c>
    </row>
    <row r="1046">
      <c r="A1046" s="11"/>
      <c r="B1046" s="12" t="s">
        <v>7</v>
      </c>
      <c r="C1046" s="12" t="s">
        <v>8</v>
      </c>
      <c r="D1046" s="12" t="s">
        <v>24</v>
      </c>
      <c r="E1046" s="12" t="s">
        <v>25</v>
      </c>
      <c r="F1046" s="13" t="s">
        <v>26</v>
      </c>
      <c r="G1046" s="12" t="s">
        <v>68</v>
      </c>
      <c r="H1046" s="12" t="s">
        <v>994</v>
      </c>
      <c r="I1046" s="12" t="s">
        <v>995</v>
      </c>
      <c r="J1046" s="17" t="s">
        <v>2783</v>
      </c>
      <c r="K1046" s="18" t="s">
        <v>2784</v>
      </c>
      <c r="L1046" s="20">
        <v>45916.0</v>
      </c>
      <c r="M1046" s="17" t="s">
        <v>28</v>
      </c>
      <c r="N1046" s="17" t="s">
        <v>2963</v>
      </c>
      <c r="O1046" s="17">
        <v>7.3976831E7</v>
      </c>
      <c r="P1046" s="17" t="s">
        <v>2038</v>
      </c>
      <c r="Q1046" s="17" t="s">
        <v>112</v>
      </c>
      <c r="R1046" s="17" t="s">
        <v>2028</v>
      </c>
      <c r="S1046" s="17" t="s">
        <v>2964</v>
      </c>
      <c r="U1046" s="24"/>
      <c r="V1046" s="18"/>
      <c r="W1046" s="18" t="s">
        <v>577</v>
      </c>
    </row>
    <row r="1047">
      <c r="A1047" s="11"/>
      <c r="B1047" s="12" t="s">
        <v>7</v>
      </c>
      <c r="C1047" s="12" t="s">
        <v>8</v>
      </c>
      <c r="D1047" s="12" t="s">
        <v>24</v>
      </c>
      <c r="E1047" s="12" t="s">
        <v>25</v>
      </c>
      <c r="F1047" s="13" t="s">
        <v>26</v>
      </c>
      <c r="G1047" s="12" t="s">
        <v>68</v>
      </c>
      <c r="H1047" s="12" t="s">
        <v>994</v>
      </c>
      <c r="I1047" s="12" t="s">
        <v>995</v>
      </c>
      <c r="J1047" s="17" t="s">
        <v>2783</v>
      </c>
      <c r="K1047" s="18" t="s">
        <v>2784</v>
      </c>
      <c r="L1047" s="20">
        <v>45916.0</v>
      </c>
      <c r="M1047" s="17" t="s">
        <v>28</v>
      </c>
      <c r="N1047" s="17" t="s">
        <v>2983</v>
      </c>
      <c r="O1047" s="17">
        <v>7.7325208E7</v>
      </c>
      <c r="P1047" s="17" t="s">
        <v>2023</v>
      </c>
      <c r="Q1047" s="17" t="s">
        <v>108</v>
      </c>
      <c r="R1047" s="17" t="s">
        <v>2016</v>
      </c>
      <c r="S1047" s="17" t="s">
        <v>2984</v>
      </c>
      <c r="U1047" s="24"/>
      <c r="V1047" s="18"/>
      <c r="W1047" s="18" t="s">
        <v>577</v>
      </c>
    </row>
    <row r="1048">
      <c r="A1048" s="11"/>
      <c r="B1048" s="12" t="s">
        <v>7</v>
      </c>
      <c r="C1048" s="12" t="s">
        <v>8</v>
      </c>
      <c r="D1048" s="12" t="s">
        <v>24</v>
      </c>
      <c r="E1048" s="12" t="s">
        <v>25</v>
      </c>
      <c r="F1048" s="13" t="s">
        <v>26</v>
      </c>
      <c r="G1048" s="12" t="s">
        <v>68</v>
      </c>
      <c r="H1048" s="12" t="s">
        <v>994</v>
      </c>
      <c r="I1048" s="12" t="s">
        <v>995</v>
      </c>
      <c r="J1048" s="17" t="s">
        <v>2783</v>
      </c>
      <c r="K1048" s="18" t="s">
        <v>2784</v>
      </c>
      <c r="L1048" s="20">
        <v>45916.0</v>
      </c>
      <c r="M1048" s="17" t="s">
        <v>28</v>
      </c>
      <c r="N1048" s="17" t="s">
        <v>3315</v>
      </c>
      <c r="O1048" s="17">
        <v>7.5518734E7</v>
      </c>
      <c r="P1048" s="17" t="s">
        <v>3316</v>
      </c>
      <c r="Q1048" s="17" t="s">
        <v>112</v>
      </c>
      <c r="R1048" s="17" t="s">
        <v>2028</v>
      </c>
      <c r="S1048" s="17" t="s">
        <v>3317</v>
      </c>
      <c r="U1048" s="24"/>
      <c r="V1048" s="18"/>
      <c r="W1048" s="18" t="s">
        <v>577</v>
      </c>
    </row>
    <row r="1049">
      <c r="A1049" s="11"/>
      <c r="B1049" s="12" t="s">
        <v>7</v>
      </c>
      <c r="C1049" s="12" t="s">
        <v>8</v>
      </c>
      <c r="D1049" s="12" t="s">
        <v>24</v>
      </c>
      <c r="E1049" s="12" t="s">
        <v>25</v>
      </c>
      <c r="F1049" s="13" t="s">
        <v>26</v>
      </c>
      <c r="G1049" s="12" t="s">
        <v>68</v>
      </c>
      <c r="H1049" s="12" t="s">
        <v>994</v>
      </c>
      <c r="I1049" s="12" t="s">
        <v>995</v>
      </c>
      <c r="J1049" s="17" t="s">
        <v>2783</v>
      </c>
      <c r="K1049" s="18" t="s">
        <v>2784</v>
      </c>
      <c r="L1049" s="20">
        <v>45916.0</v>
      </c>
      <c r="M1049" s="17" t="s">
        <v>28</v>
      </c>
      <c r="N1049" s="17" t="s">
        <v>3636</v>
      </c>
      <c r="O1049" s="17">
        <v>4.1512875E7</v>
      </c>
      <c r="P1049" s="17" t="s">
        <v>3637</v>
      </c>
      <c r="Q1049" s="17" t="s">
        <v>112</v>
      </c>
      <c r="R1049" s="17" t="s">
        <v>2028</v>
      </c>
      <c r="S1049" s="17" t="s">
        <v>3638</v>
      </c>
      <c r="U1049" s="24"/>
      <c r="V1049" s="18"/>
      <c r="W1049" s="18" t="s">
        <v>577</v>
      </c>
    </row>
    <row r="1050">
      <c r="A1050" s="11"/>
      <c r="B1050" s="12" t="s">
        <v>7</v>
      </c>
      <c r="C1050" s="12" t="s">
        <v>8</v>
      </c>
      <c r="D1050" s="12" t="s">
        <v>24</v>
      </c>
      <c r="E1050" s="12" t="s">
        <v>25</v>
      </c>
      <c r="F1050" s="13" t="s">
        <v>26</v>
      </c>
      <c r="G1050" s="12" t="s">
        <v>68</v>
      </c>
      <c r="H1050" s="12" t="s">
        <v>994</v>
      </c>
      <c r="I1050" s="12" t="s">
        <v>995</v>
      </c>
      <c r="J1050" s="17" t="s">
        <v>2783</v>
      </c>
      <c r="K1050" s="18" t="s">
        <v>2784</v>
      </c>
      <c r="L1050" s="20">
        <v>45916.0</v>
      </c>
      <c r="M1050" s="17" t="s">
        <v>28</v>
      </c>
      <c r="N1050" s="17" t="s">
        <v>2979</v>
      </c>
      <c r="O1050" s="17">
        <v>4.3412647E7</v>
      </c>
      <c r="P1050" s="17" t="s">
        <v>2030</v>
      </c>
      <c r="Q1050" s="17" t="s">
        <v>112</v>
      </c>
      <c r="R1050" s="17" t="s">
        <v>2028</v>
      </c>
      <c r="S1050" s="17" t="s">
        <v>2980</v>
      </c>
      <c r="U1050" s="24"/>
      <c r="V1050" s="18" t="s">
        <v>3632</v>
      </c>
      <c r="W1050" s="18" t="s">
        <v>577</v>
      </c>
    </row>
    <row r="1051">
      <c r="A1051" s="11"/>
      <c r="B1051" s="12" t="s">
        <v>7</v>
      </c>
      <c r="C1051" s="12" t="s">
        <v>8</v>
      </c>
      <c r="D1051" s="12" t="s">
        <v>24</v>
      </c>
      <c r="E1051" s="12" t="s">
        <v>25</v>
      </c>
      <c r="F1051" s="13" t="s">
        <v>26</v>
      </c>
      <c r="G1051" s="12" t="s">
        <v>68</v>
      </c>
      <c r="H1051" s="12" t="s">
        <v>994</v>
      </c>
      <c r="I1051" s="12" t="s">
        <v>995</v>
      </c>
      <c r="J1051" s="17" t="s">
        <v>2783</v>
      </c>
      <c r="K1051" s="18" t="s">
        <v>2784</v>
      </c>
      <c r="L1051" s="20">
        <v>45916.0</v>
      </c>
      <c r="M1051" s="17" t="s">
        <v>28</v>
      </c>
      <c r="N1051" s="17" t="s">
        <v>3639</v>
      </c>
      <c r="O1051" s="17">
        <v>4.7708472E7</v>
      </c>
      <c r="P1051" s="17"/>
      <c r="Q1051" s="17"/>
      <c r="R1051" s="21"/>
      <c r="S1051" s="17"/>
      <c r="U1051" s="24"/>
      <c r="V1051" s="18" t="s">
        <v>3632</v>
      </c>
      <c r="W1051" s="18" t="s">
        <v>577</v>
      </c>
    </row>
    <row r="1052">
      <c r="A1052" s="11"/>
      <c r="B1052" s="12" t="s">
        <v>7</v>
      </c>
      <c r="C1052" s="12" t="s">
        <v>37</v>
      </c>
      <c r="D1052" s="12" t="s">
        <v>38</v>
      </c>
      <c r="E1052" s="12" t="s">
        <v>45</v>
      </c>
      <c r="F1052" s="13" t="s">
        <v>44</v>
      </c>
      <c r="G1052" s="12" t="s">
        <v>68</v>
      </c>
      <c r="H1052" s="12" t="s">
        <v>830</v>
      </c>
      <c r="I1052" s="12" t="s">
        <v>831</v>
      </c>
      <c r="J1052" s="17" t="s">
        <v>2783</v>
      </c>
      <c r="K1052" s="18" t="s">
        <v>2784</v>
      </c>
      <c r="L1052" s="20">
        <v>45917.0</v>
      </c>
      <c r="M1052" s="17" t="s">
        <v>23</v>
      </c>
      <c r="N1052" s="46" t="s">
        <v>2303</v>
      </c>
      <c r="O1052" s="47">
        <v>4.0135418E7</v>
      </c>
      <c r="P1052" s="46"/>
      <c r="Q1052" s="48" t="s">
        <v>73</v>
      </c>
      <c r="R1052" s="21" t="s">
        <v>74</v>
      </c>
      <c r="S1052" s="17" t="s">
        <v>2202</v>
      </c>
      <c r="U1052" s="24"/>
      <c r="V1052" s="18"/>
      <c r="W1052" s="18" t="s">
        <v>577</v>
      </c>
    </row>
    <row r="1053">
      <c r="A1053" s="11"/>
      <c r="B1053" s="12" t="s">
        <v>7</v>
      </c>
      <c r="C1053" s="12" t="s">
        <v>37</v>
      </c>
      <c r="D1053" s="12" t="s">
        <v>38</v>
      </c>
      <c r="E1053" s="12" t="s">
        <v>45</v>
      </c>
      <c r="F1053" s="13" t="s">
        <v>44</v>
      </c>
      <c r="G1053" s="12" t="s">
        <v>68</v>
      </c>
      <c r="H1053" s="12" t="s">
        <v>830</v>
      </c>
      <c r="I1053" s="12" t="s">
        <v>831</v>
      </c>
      <c r="J1053" s="17" t="s">
        <v>2783</v>
      </c>
      <c r="K1053" s="18" t="s">
        <v>2784</v>
      </c>
      <c r="L1053" s="20">
        <v>45917.0</v>
      </c>
      <c r="M1053" s="17" t="s">
        <v>23</v>
      </c>
      <c r="N1053" s="46" t="s">
        <v>2304</v>
      </c>
      <c r="O1053" s="47">
        <v>3.3335394E7</v>
      </c>
      <c r="P1053" s="46"/>
      <c r="Q1053" s="48" t="s">
        <v>112</v>
      </c>
      <c r="R1053" s="21" t="s">
        <v>113</v>
      </c>
      <c r="S1053" s="17" t="s">
        <v>2220</v>
      </c>
      <c r="U1053" s="24"/>
      <c r="V1053" s="18"/>
      <c r="W1053" s="18" t="s">
        <v>577</v>
      </c>
    </row>
    <row r="1054">
      <c r="A1054" s="11"/>
      <c r="B1054" s="12" t="s">
        <v>7</v>
      </c>
      <c r="C1054" s="12" t="s">
        <v>37</v>
      </c>
      <c r="D1054" s="12" t="s">
        <v>38</v>
      </c>
      <c r="E1054" s="12" t="s">
        <v>45</v>
      </c>
      <c r="F1054" s="13" t="s">
        <v>44</v>
      </c>
      <c r="G1054" s="12" t="s">
        <v>68</v>
      </c>
      <c r="H1054" s="12" t="s">
        <v>830</v>
      </c>
      <c r="I1054" s="12" t="s">
        <v>831</v>
      </c>
      <c r="J1054" s="17" t="s">
        <v>2783</v>
      </c>
      <c r="K1054" s="18" t="s">
        <v>2784</v>
      </c>
      <c r="L1054" s="20">
        <v>45917.0</v>
      </c>
      <c r="M1054" s="17" t="s">
        <v>23</v>
      </c>
      <c r="N1054" s="46" t="s">
        <v>2305</v>
      </c>
      <c r="O1054" s="47">
        <v>4.6033972E7</v>
      </c>
      <c r="P1054" s="46"/>
      <c r="Q1054" s="48" t="s">
        <v>108</v>
      </c>
      <c r="R1054" s="21" t="s">
        <v>109</v>
      </c>
      <c r="S1054" s="17" t="s">
        <v>2198</v>
      </c>
      <c r="U1054" s="24"/>
      <c r="V1054" s="18"/>
      <c r="W1054" s="18" t="s">
        <v>577</v>
      </c>
    </row>
    <row r="1055">
      <c r="A1055" s="11"/>
      <c r="B1055" s="12" t="s">
        <v>7</v>
      </c>
      <c r="C1055" s="12" t="s">
        <v>37</v>
      </c>
      <c r="D1055" s="12" t="s">
        <v>38</v>
      </c>
      <c r="E1055" s="12" t="s">
        <v>45</v>
      </c>
      <c r="F1055" s="13" t="s">
        <v>44</v>
      </c>
      <c r="G1055" s="12" t="s">
        <v>68</v>
      </c>
      <c r="H1055" s="12" t="s">
        <v>830</v>
      </c>
      <c r="I1055" s="12" t="s">
        <v>831</v>
      </c>
      <c r="J1055" s="17" t="s">
        <v>2783</v>
      </c>
      <c r="K1055" s="18" t="s">
        <v>2784</v>
      </c>
      <c r="L1055" s="20">
        <v>45917.0</v>
      </c>
      <c r="M1055" s="17" t="s">
        <v>28</v>
      </c>
      <c r="N1055" s="46" t="s">
        <v>2306</v>
      </c>
      <c r="O1055" s="47">
        <v>4.6307538E7</v>
      </c>
      <c r="P1055" s="46" t="s">
        <v>2307</v>
      </c>
      <c r="Q1055" s="46" t="s">
        <v>112</v>
      </c>
      <c r="R1055" s="21" t="s">
        <v>113</v>
      </c>
      <c r="S1055" s="17" t="s">
        <v>2308</v>
      </c>
      <c r="U1055" s="24"/>
      <c r="V1055" s="18"/>
      <c r="W1055" s="18" t="s">
        <v>577</v>
      </c>
    </row>
    <row r="1056">
      <c r="A1056" s="11"/>
      <c r="B1056" s="12" t="s">
        <v>7</v>
      </c>
      <c r="C1056" s="12" t="s">
        <v>37</v>
      </c>
      <c r="D1056" s="12" t="s">
        <v>38</v>
      </c>
      <c r="E1056" s="12" t="s">
        <v>45</v>
      </c>
      <c r="F1056" s="13" t="s">
        <v>44</v>
      </c>
      <c r="G1056" s="12" t="s">
        <v>68</v>
      </c>
      <c r="H1056" s="12" t="s">
        <v>830</v>
      </c>
      <c r="I1056" s="12" t="s">
        <v>831</v>
      </c>
      <c r="J1056" s="17" t="s">
        <v>2783</v>
      </c>
      <c r="K1056" s="18" t="s">
        <v>2784</v>
      </c>
      <c r="L1056" s="20">
        <v>45917.0</v>
      </c>
      <c r="M1056" s="17" t="s">
        <v>28</v>
      </c>
      <c r="N1056" s="46" t="s">
        <v>2313</v>
      </c>
      <c r="O1056" s="47">
        <v>4.558911E7</v>
      </c>
      <c r="P1056" s="46" t="s">
        <v>1830</v>
      </c>
      <c r="Q1056" s="46" t="s">
        <v>108</v>
      </c>
      <c r="R1056" s="21" t="s">
        <v>109</v>
      </c>
      <c r="S1056" s="17" t="s">
        <v>2314</v>
      </c>
      <c r="U1056" s="24"/>
      <c r="V1056" s="18"/>
      <c r="W1056" s="18" t="s">
        <v>577</v>
      </c>
    </row>
    <row r="1057">
      <c r="A1057" s="11"/>
      <c r="B1057" s="12" t="s">
        <v>7</v>
      </c>
      <c r="C1057" s="12" t="s">
        <v>37</v>
      </c>
      <c r="D1057" s="12" t="s">
        <v>38</v>
      </c>
      <c r="E1057" s="12" t="s">
        <v>45</v>
      </c>
      <c r="F1057" s="13" t="s">
        <v>44</v>
      </c>
      <c r="G1057" s="12" t="s">
        <v>68</v>
      </c>
      <c r="H1057" s="12" t="s">
        <v>830</v>
      </c>
      <c r="I1057" s="12" t="s">
        <v>831</v>
      </c>
      <c r="J1057" s="17" t="s">
        <v>2783</v>
      </c>
      <c r="K1057" s="18" t="s">
        <v>2784</v>
      </c>
      <c r="L1057" s="20">
        <v>45917.0</v>
      </c>
      <c r="M1057" s="17" t="s">
        <v>28</v>
      </c>
      <c r="N1057" s="46" t="s">
        <v>2315</v>
      </c>
      <c r="O1057" s="47">
        <v>4.857957E7</v>
      </c>
      <c r="P1057" s="46" t="s">
        <v>1829</v>
      </c>
      <c r="Q1057" s="46" t="s">
        <v>108</v>
      </c>
      <c r="R1057" s="21" t="s">
        <v>109</v>
      </c>
      <c r="S1057" s="17" t="s">
        <v>2316</v>
      </c>
      <c r="U1057" s="24"/>
      <c r="V1057" s="18"/>
      <c r="W1057" s="18" t="s">
        <v>577</v>
      </c>
    </row>
    <row r="1058">
      <c r="A1058" s="11"/>
      <c r="B1058" s="12" t="s">
        <v>7</v>
      </c>
      <c r="C1058" s="12" t="s">
        <v>37</v>
      </c>
      <c r="D1058" s="12" t="s">
        <v>38</v>
      </c>
      <c r="E1058" s="12" t="s">
        <v>45</v>
      </c>
      <c r="F1058" s="13" t="s">
        <v>44</v>
      </c>
      <c r="G1058" s="12" t="s">
        <v>68</v>
      </c>
      <c r="H1058" s="12" t="s">
        <v>830</v>
      </c>
      <c r="I1058" s="12" t="s">
        <v>831</v>
      </c>
      <c r="J1058" s="17" t="s">
        <v>2783</v>
      </c>
      <c r="K1058" s="18" t="s">
        <v>2784</v>
      </c>
      <c r="L1058" s="20">
        <v>45917.0</v>
      </c>
      <c r="M1058" s="17" t="s">
        <v>28</v>
      </c>
      <c r="N1058" s="48" t="s">
        <v>2317</v>
      </c>
      <c r="O1058" s="47">
        <v>3.1679891E7</v>
      </c>
      <c r="P1058" s="46" t="s">
        <v>1822</v>
      </c>
      <c r="Q1058" s="46" t="s">
        <v>108</v>
      </c>
      <c r="R1058" s="21" t="s">
        <v>109</v>
      </c>
      <c r="S1058" s="17" t="s">
        <v>2318</v>
      </c>
      <c r="U1058" s="24"/>
      <c r="V1058" s="18"/>
      <c r="W1058" s="18" t="s">
        <v>577</v>
      </c>
    </row>
    <row r="1059">
      <c r="A1059" s="11"/>
      <c r="B1059" s="12" t="s">
        <v>7</v>
      </c>
      <c r="C1059" s="12" t="s">
        <v>37</v>
      </c>
      <c r="D1059" s="12" t="s">
        <v>38</v>
      </c>
      <c r="E1059" s="12" t="s">
        <v>45</v>
      </c>
      <c r="F1059" s="13" t="s">
        <v>44</v>
      </c>
      <c r="G1059" s="12" t="s">
        <v>68</v>
      </c>
      <c r="H1059" s="12" t="s">
        <v>830</v>
      </c>
      <c r="I1059" s="12" t="s">
        <v>831</v>
      </c>
      <c r="J1059" s="17" t="s">
        <v>2783</v>
      </c>
      <c r="K1059" s="18" t="s">
        <v>2784</v>
      </c>
      <c r="L1059" s="20">
        <v>45917.0</v>
      </c>
      <c r="M1059" s="17" t="s">
        <v>28</v>
      </c>
      <c r="N1059" s="46" t="s">
        <v>2319</v>
      </c>
      <c r="O1059" s="47">
        <v>4.5439712E7</v>
      </c>
      <c r="P1059" s="46" t="s">
        <v>2320</v>
      </c>
      <c r="Q1059" s="46" t="s">
        <v>108</v>
      </c>
      <c r="R1059" s="21" t="s">
        <v>109</v>
      </c>
      <c r="S1059" s="17" t="s">
        <v>2321</v>
      </c>
      <c r="U1059" s="24"/>
      <c r="V1059" s="18"/>
      <c r="W1059" s="125" t="s">
        <v>577</v>
      </c>
    </row>
    <row r="1060">
      <c r="A1060" s="11"/>
      <c r="B1060" s="12" t="s">
        <v>7</v>
      </c>
      <c r="C1060" s="12" t="s">
        <v>37</v>
      </c>
      <c r="D1060" s="12" t="s">
        <v>38</v>
      </c>
      <c r="E1060" s="12" t="s">
        <v>45</v>
      </c>
      <c r="F1060" s="13" t="s">
        <v>44</v>
      </c>
      <c r="G1060" s="12" t="s">
        <v>68</v>
      </c>
      <c r="H1060" s="12" t="s">
        <v>830</v>
      </c>
      <c r="I1060" s="12" t="s">
        <v>831</v>
      </c>
      <c r="J1060" s="17" t="s">
        <v>2783</v>
      </c>
      <c r="K1060" s="18" t="s">
        <v>2784</v>
      </c>
      <c r="L1060" s="20">
        <v>45917.0</v>
      </c>
      <c r="M1060" s="17" t="s">
        <v>28</v>
      </c>
      <c r="N1060" s="46" t="s">
        <v>2326</v>
      </c>
      <c r="O1060" s="47">
        <v>7.6618048E7</v>
      </c>
      <c r="P1060" s="46" t="s">
        <v>2327</v>
      </c>
      <c r="Q1060" s="46" t="s">
        <v>73</v>
      </c>
      <c r="R1060" s="21" t="s">
        <v>74</v>
      </c>
      <c r="S1060" s="17" t="s">
        <v>2328</v>
      </c>
      <c r="U1060" s="24"/>
      <c r="V1060" s="18"/>
      <c r="W1060" s="125" t="s">
        <v>577</v>
      </c>
    </row>
    <row r="1061">
      <c r="A1061" s="11"/>
      <c r="B1061" s="12" t="s">
        <v>7</v>
      </c>
      <c r="C1061" s="12" t="s">
        <v>37</v>
      </c>
      <c r="D1061" s="12" t="s">
        <v>38</v>
      </c>
      <c r="E1061" s="12" t="s">
        <v>45</v>
      </c>
      <c r="F1061" s="13" t="s">
        <v>44</v>
      </c>
      <c r="G1061" s="12" t="s">
        <v>68</v>
      </c>
      <c r="H1061" s="12" t="s">
        <v>830</v>
      </c>
      <c r="I1061" s="12" t="s">
        <v>831</v>
      </c>
      <c r="J1061" s="17" t="s">
        <v>2783</v>
      </c>
      <c r="K1061" s="18" t="s">
        <v>2784</v>
      </c>
      <c r="L1061" s="20">
        <v>45917.0</v>
      </c>
      <c r="M1061" s="17" t="s">
        <v>28</v>
      </c>
      <c r="N1061" s="46" t="s">
        <v>2331</v>
      </c>
      <c r="O1061" s="47">
        <v>4.1078093E7</v>
      </c>
      <c r="P1061" s="46" t="s">
        <v>1820</v>
      </c>
      <c r="Q1061" s="46" t="s">
        <v>112</v>
      </c>
      <c r="R1061" s="21" t="s">
        <v>113</v>
      </c>
      <c r="S1061" s="17" t="s">
        <v>2332</v>
      </c>
      <c r="U1061" s="24"/>
      <c r="V1061" s="18"/>
      <c r="W1061" s="125" t="s">
        <v>577</v>
      </c>
    </row>
    <row r="1062">
      <c r="A1062" s="11"/>
      <c r="B1062" s="12" t="s">
        <v>7</v>
      </c>
      <c r="C1062" s="12" t="s">
        <v>37</v>
      </c>
      <c r="D1062" s="12" t="s">
        <v>38</v>
      </c>
      <c r="E1062" s="12" t="s">
        <v>45</v>
      </c>
      <c r="F1062" s="13" t="s">
        <v>44</v>
      </c>
      <c r="G1062" s="12" t="s">
        <v>68</v>
      </c>
      <c r="H1062" s="12" t="s">
        <v>830</v>
      </c>
      <c r="I1062" s="12" t="s">
        <v>831</v>
      </c>
      <c r="J1062" s="17" t="s">
        <v>2783</v>
      </c>
      <c r="K1062" s="18" t="s">
        <v>2784</v>
      </c>
      <c r="L1062" s="20">
        <v>45917.0</v>
      </c>
      <c r="M1062" s="17" t="s">
        <v>28</v>
      </c>
      <c r="N1062" s="46" t="s">
        <v>2333</v>
      </c>
      <c r="O1062" s="47">
        <v>7.651461E7</v>
      </c>
      <c r="P1062" s="46" t="s">
        <v>1812</v>
      </c>
      <c r="Q1062" s="46" t="s">
        <v>73</v>
      </c>
      <c r="R1062" s="21" t="s">
        <v>74</v>
      </c>
      <c r="S1062" s="17" t="s">
        <v>2334</v>
      </c>
      <c r="U1062" s="24"/>
      <c r="V1062" s="18"/>
      <c r="W1062" s="125" t="s">
        <v>577</v>
      </c>
    </row>
    <row r="1063">
      <c r="A1063" s="11"/>
      <c r="B1063" s="12" t="s">
        <v>7</v>
      </c>
      <c r="C1063" s="12" t="s">
        <v>37</v>
      </c>
      <c r="D1063" s="12" t="s">
        <v>38</v>
      </c>
      <c r="E1063" s="12" t="s">
        <v>45</v>
      </c>
      <c r="F1063" s="13" t="s">
        <v>44</v>
      </c>
      <c r="G1063" s="12" t="s">
        <v>68</v>
      </c>
      <c r="H1063" s="12" t="s">
        <v>830</v>
      </c>
      <c r="I1063" s="12" t="s">
        <v>831</v>
      </c>
      <c r="J1063" s="17" t="s">
        <v>2783</v>
      </c>
      <c r="K1063" s="18" t="s">
        <v>2784</v>
      </c>
      <c r="L1063" s="20">
        <v>45917.0</v>
      </c>
      <c r="M1063" s="17" t="s">
        <v>28</v>
      </c>
      <c r="N1063" s="46" t="s">
        <v>2338</v>
      </c>
      <c r="O1063" s="47">
        <v>4.6985169E7</v>
      </c>
      <c r="P1063" s="46" t="s">
        <v>2339</v>
      </c>
      <c r="Q1063" s="46" t="s">
        <v>112</v>
      </c>
      <c r="R1063" s="21" t="s">
        <v>113</v>
      </c>
      <c r="S1063" s="17" t="s">
        <v>2340</v>
      </c>
      <c r="U1063" s="24"/>
      <c r="V1063" s="18"/>
      <c r="W1063" s="125" t="s">
        <v>577</v>
      </c>
    </row>
    <row r="1064">
      <c r="A1064" s="11"/>
      <c r="B1064" s="12" t="s">
        <v>7</v>
      </c>
      <c r="C1064" s="12" t="s">
        <v>37</v>
      </c>
      <c r="D1064" s="12" t="s">
        <v>38</v>
      </c>
      <c r="E1064" s="12" t="s">
        <v>45</v>
      </c>
      <c r="F1064" s="13" t="s">
        <v>44</v>
      </c>
      <c r="G1064" s="12" t="s">
        <v>68</v>
      </c>
      <c r="H1064" s="12" t="s">
        <v>830</v>
      </c>
      <c r="I1064" s="12" t="s">
        <v>831</v>
      </c>
      <c r="J1064" s="17" t="s">
        <v>2783</v>
      </c>
      <c r="K1064" s="18" t="s">
        <v>2784</v>
      </c>
      <c r="L1064" s="20">
        <v>45917.0</v>
      </c>
      <c r="M1064" s="17" t="s">
        <v>28</v>
      </c>
      <c r="N1064" s="46" t="s">
        <v>2341</v>
      </c>
      <c r="O1064" s="47">
        <v>4.6646388E7</v>
      </c>
      <c r="P1064" s="48" t="s">
        <v>1823</v>
      </c>
      <c r="Q1064" s="46" t="s">
        <v>108</v>
      </c>
      <c r="R1064" s="21" t="s">
        <v>109</v>
      </c>
      <c r="S1064" s="17" t="s">
        <v>2342</v>
      </c>
      <c r="U1064" s="24"/>
      <c r="V1064" s="18"/>
      <c r="W1064" s="125" t="s">
        <v>577</v>
      </c>
    </row>
    <row r="1065">
      <c r="A1065" s="11"/>
      <c r="B1065" s="12" t="s">
        <v>7</v>
      </c>
      <c r="C1065" s="12" t="s">
        <v>37</v>
      </c>
      <c r="D1065" s="12" t="s">
        <v>38</v>
      </c>
      <c r="E1065" s="12" t="s">
        <v>45</v>
      </c>
      <c r="F1065" s="13" t="s">
        <v>44</v>
      </c>
      <c r="G1065" s="12" t="s">
        <v>68</v>
      </c>
      <c r="H1065" s="12" t="s">
        <v>830</v>
      </c>
      <c r="I1065" s="12" t="s">
        <v>831</v>
      </c>
      <c r="J1065" s="17" t="s">
        <v>2783</v>
      </c>
      <c r="K1065" s="18" t="s">
        <v>2784</v>
      </c>
      <c r="L1065" s="20">
        <v>45917.0</v>
      </c>
      <c r="M1065" s="17" t="s">
        <v>28</v>
      </c>
      <c r="N1065" s="46" t="s">
        <v>2352</v>
      </c>
      <c r="O1065" s="47">
        <v>4.5436196E7</v>
      </c>
      <c r="P1065" s="48" t="s">
        <v>2063</v>
      </c>
      <c r="Q1065" s="46" t="s">
        <v>108</v>
      </c>
      <c r="R1065" s="21" t="s">
        <v>109</v>
      </c>
      <c r="S1065" s="17" t="s">
        <v>2353</v>
      </c>
      <c r="U1065" s="24"/>
      <c r="V1065" s="18"/>
      <c r="W1065" s="125" t="s">
        <v>577</v>
      </c>
    </row>
    <row r="1066">
      <c r="A1066" s="11"/>
      <c r="B1066" s="12" t="s">
        <v>7</v>
      </c>
      <c r="C1066" s="12" t="s">
        <v>37</v>
      </c>
      <c r="D1066" s="12" t="s">
        <v>38</v>
      </c>
      <c r="E1066" s="12" t="s">
        <v>45</v>
      </c>
      <c r="F1066" s="13" t="s">
        <v>44</v>
      </c>
      <c r="G1066" s="12" t="s">
        <v>68</v>
      </c>
      <c r="H1066" s="12" t="s">
        <v>830</v>
      </c>
      <c r="I1066" s="12" t="s">
        <v>831</v>
      </c>
      <c r="J1066" s="17" t="s">
        <v>2783</v>
      </c>
      <c r="K1066" s="18" t="s">
        <v>2784</v>
      </c>
      <c r="L1066" s="20">
        <v>45917.0</v>
      </c>
      <c r="M1066" s="17" t="s">
        <v>28</v>
      </c>
      <c r="N1066" s="17" t="s">
        <v>3320</v>
      </c>
      <c r="O1066" s="17">
        <v>7.0807705E7</v>
      </c>
      <c r="P1066" s="17" t="s">
        <v>1821</v>
      </c>
      <c r="Q1066" s="17" t="s">
        <v>112</v>
      </c>
      <c r="R1066" s="17" t="s">
        <v>113</v>
      </c>
      <c r="S1066" s="17" t="s">
        <v>3321</v>
      </c>
      <c r="U1066" s="24"/>
      <c r="V1066" s="18"/>
      <c r="W1066" s="125" t="s">
        <v>577</v>
      </c>
    </row>
    <row r="1067">
      <c r="A1067" s="11"/>
      <c r="B1067" s="12" t="s">
        <v>7</v>
      </c>
      <c r="C1067" s="12" t="s">
        <v>37</v>
      </c>
      <c r="D1067" s="12" t="s">
        <v>38</v>
      </c>
      <c r="E1067" s="12" t="s">
        <v>45</v>
      </c>
      <c r="F1067" s="13" t="s">
        <v>44</v>
      </c>
      <c r="G1067" s="12" t="s">
        <v>68</v>
      </c>
      <c r="H1067" s="12" t="s">
        <v>830</v>
      </c>
      <c r="I1067" s="12" t="s">
        <v>831</v>
      </c>
      <c r="J1067" s="17" t="s">
        <v>2783</v>
      </c>
      <c r="K1067" s="18" t="s">
        <v>2784</v>
      </c>
      <c r="L1067" s="20">
        <v>45917.0</v>
      </c>
      <c r="M1067" s="17" t="s">
        <v>28</v>
      </c>
      <c r="N1067" s="17" t="s">
        <v>3640</v>
      </c>
      <c r="O1067" s="17">
        <v>7.0776733E7</v>
      </c>
      <c r="P1067" s="17" t="s">
        <v>1819</v>
      </c>
      <c r="Q1067" s="17" t="s">
        <v>112</v>
      </c>
      <c r="R1067" s="17" t="s">
        <v>113</v>
      </c>
      <c r="S1067" s="17" t="s">
        <v>3641</v>
      </c>
      <c r="U1067" s="24"/>
      <c r="V1067" s="18" t="s">
        <v>3632</v>
      </c>
      <c r="W1067" s="125" t="s">
        <v>577</v>
      </c>
    </row>
    <row r="1068">
      <c r="A1068" s="11"/>
      <c r="B1068" s="12" t="s">
        <v>7</v>
      </c>
      <c r="C1068" s="12" t="s">
        <v>8</v>
      </c>
      <c r="D1068" s="12" t="s">
        <v>24</v>
      </c>
      <c r="E1068" s="12" t="s">
        <v>35</v>
      </c>
      <c r="F1068" s="13" t="s">
        <v>33</v>
      </c>
      <c r="G1068" s="12" t="s">
        <v>68</v>
      </c>
      <c r="H1068" s="12" t="s">
        <v>813</v>
      </c>
      <c r="I1068" s="12" t="s">
        <v>814</v>
      </c>
      <c r="J1068" s="17" t="s">
        <v>2783</v>
      </c>
      <c r="K1068" s="18" t="s">
        <v>2784</v>
      </c>
      <c r="L1068" s="20">
        <v>45919.0</v>
      </c>
      <c r="M1068" s="17" t="s">
        <v>23</v>
      </c>
      <c r="N1068" s="17" t="s">
        <v>2389</v>
      </c>
      <c r="O1068" s="17">
        <v>3.1629591E7</v>
      </c>
      <c r="Q1068" s="17" t="s">
        <v>108</v>
      </c>
      <c r="R1068" s="17" t="s">
        <v>109</v>
      </c>
      <c r="S1068" s="17" t="s">
        <v>2198</v>
      </c>
      <c r="U1068" s="24"/>
      <c r="V1068" s="18"/>
      <c r="W1068" s="125" t="s">
        <v>577</v>
      </c>
    </row>
    <row r="1069">
      <c r="A1069" s="11"/>
      <c r="B1069" s="12" t="s">
        <v>7</v>
      </c>
      <c r="C1069" s="12" t="s">
        <v>8</v>
      </c>
      <c r="D1069" s="12" t="s">
        <v>24</v>
      </c>
      <c r="E1069" s="12" t="s">
        <v>35</v>
      </c>
      <c r="F1069" s="13" t="s">
        <v>33</v>
      </c>
      <c r="G1069" s="12" t="s">
        <v>68</v>
      </c>
      <c r="H1069" s="12" t="s">
        <v>813</v>
      </c>
      <c r="I1069" s="12" t="s">
        <v>814</v>
      </c>
      <c r="J1069" s="17" t="s">
        <v>2783</v>
      </c>
      <c r="K1069" s="18" t="s">
        <v>2784</v>
      </c>
      <c r="L1069" s="20">
        <v>45919.0</v>
      </c>
      <c r="M1069" s="17" t="s">
        <v>23</v>
      </c>
      <c r="N1069" s="17" t="s">
        <v>2390</v>
      </c>
      <c r="O1069" s="17">
        <v>7.3863258E7</v>
      </c>
      <c r="P1069" s="98"/>
      <c r="Q1069" s="17" t="s">
        <v>73</v>
      </c>
      <c r="R1069" s="17" t="s">
        <v>1797</v>
      </c>
      <c r="S1069" s="17" t="s">
        <v>2391</v>
      </c>
      <c r="U1069" s="24"/>
      <c r="V1069" s="18"/>
      <c r="W1069" s="125" t="s">
        <v>577</v>
      </c>
    </row>
    <row r="1070">
      <c r="A1070" s="11"/>
      <c r="B1070" s="12" t="s">
        <v>7</v>
      </c>
      <c r="C1070" s="12" t="s">
        <v>8</v>
      </c>
      <c r="D1070" s="12" t="s">
        <v>24</v>
      </c>
      <c r="E1070" s="12" t="s">
        <v>35</v>
      </c>
      <c r="F1070" s="13" t="s">
        <v>33</v>
      </c>
      <c r="G1070" s="12" t="s">
        <v>68</v>
      </c>
      <c r="H1070" s="12" t="s">
        <v>813</v>
      </c>
      <c r="I1070" s="12" t="s">
        <v>814</v>
      </c>
      <c r="J1070" s="17" t="s">
        <v>2783</v>
      </c>
      <c r="K1070" s="18" t="s">
        <v>2784</v>
      </c>
      <c r="L1070" s="20">
        <v>45919.0</v>
      </c>
      <c r="M1070" s="17" t="s">
        <v>28</v>
      </c>
      <c r="N1070" s="46" t="s">
        <v>2371</v>
      </c>
      <c r="O1070" s="47">
        <v>6.2210552E7</v>
      </c>
      <c r="P1070" s="46" t="s">
        <v>1801</v>
      </c>
      <c r="Q1070" s="48" t="s">
        <v>112</v>
      </c>
      <c r="R1070" s="21" t="s">
        <v>1797</v>
      </c>
      <c r="S1070" s="17" t="s">
        <v>2372</v>
      </c>
      <c r="U1070" s="24"/>
      <c r="V1070" s="18"/>
      <c r="W1070" s="125" t="s">
        <v>577</v>
      </c>
    </row>
    <row r="1071">
      <c r="A1071" s="11"/>
      <c r="B1071" s="12" t="s">
        <v>7</v>
      </c>
      <c r="C1071" s="12" t="s">
        <v>8</v>
      </c>
      <c r="D1071" s="12" t="s">
        <v>24</v>
      </c>
      <c r="E1071" s="12" t="s">
        <v>35</v>
      </c>
      <c r="F1071" s="13" t="s">
        <v>33</v>
      </c>
      <c r="G1071" s="12" t="s">
        <v>68</v>
      </c>
      <c r="H1071" s="12" t="s">
        <v>813</v>
      </c>
      <c r="I1071" s="12" t="s">
        <v>814</v>
      </c>
      <c r="J1071" s="17" t="s">
        <v>2783</v>
      </c>
      <c r="K1071" s="18" t="s">
        <v>2784</v>
      </c>
      <c r="L1071" s="20">
        <v>45919.0</v>
      </c>
      <c r="M1071" s="17" t="s">
        <v>28</v>
      </c>
      <c r="N1071" s="46" t="s">
        <v>2373</v>
      </c>
      <c r="O1071" s="47">
        <v>4.3179451E7</v>
      </c>
      <c r="P1071" s="46" t="s">
        <v>1803</v>
      </c>
      <c r="Q1071" s="48" t="s">
        <v>108</v>
      </c>
      <c r="R1071" s="21" t="s">
        <v>109</v>
      </c>
      <c r="S1071" s="17" t="s">
        <v>2374</v>
      </c>
      <c r="U1071" s="24"/>
      <c r="V1071" s="18"/>
      <c r="W1071" s="125" t="s">
        <v>577</v>
      </c>
    </row>
    <row r="1072">
      <c r="A1072" s="11"/>
      <c r="B1072" s="12" t="s">
        <v>7</v>
      </c>
      <c r="C1072" s="12" t="s">
        <v>8</v>
      </c>
      <c r="D1072" s="12" t="s">
        <v>24</v>
      </c>
      <c r="E1072" s="12" t="s">
        <v>35</v>
      </c>
      <c r="F1072" s="13" t="s">
        <v>33</v>
      </c>
      <c r="G1072" s="12" t="s">
        <v>68</v>
      </c>
      <c r="H1072" s="12" t="s">
        <v>813</v>
      </c>
      <c r="I1072" s="12" t="s">
        <v>814</v>
      </c>
      <c r="J1072" s="17" t="s">
        <v>2783</v>
      </c>
      <c r="K1072" s="18" t="s">
        <v>2784</v>
      </c>
      <c r="L1072" s="20">
        <v>45919.0</v>
      </c>
      <c r="M1072" s="17" t="s">
        <v>28</v>
      </c>
      <c r="N1072" s="46" t="s">
        <v>2378</v>
      </c>
      <c r="O1072" s="47">
        <v>7.0945989E7</v>
      </c>
      <c r="P1072" s="46" t="s">
        <v>2379</v>
      </c>
      <c r="Q1072" s="48" t="s">
        <v>112</v>
      </c>
      <c r="R1072" s="21" t="s">
        <v>1797</v>
      </c>
      <c r="S1072" s="17" t="s">
        <v>2380</v>
      </c>
      <c r="U1072" s="24"/>
      <c r="V1072" s="18"/>
      <c r="W1072" s="125" t="s">
        <v>577</v>
      </c>
    </row>
    <row r="1073">
      <c r="A1073" s="11"/>
      <c r="B1073" s="12" t="s">
        <v>7</v>
      </c>
      <c r="C1073" s="12" t="s">
        <v>8</v>
      </c>
      <c r="D1073" s="12" t="s">
        <v>24</v>
      </c>
      <c r="E1073" s="12" t="s">
        <v>35</v>
      </c>
      <c r="F1073" s="13" t="s">
        <v>33</v>
      </c>
      <c r="G1073" s="12" t="s">
        <v>68</v>
      </c>
      <c r="H1073" s="12" t="s">
        <v>813</v>
      </c>
      <c r="I1073" s="12" t="s">
        <v>814</v>
      </c>
      <c r="J1073" s="17" t="s">
        <v>2783</v>
      </c>
      <c r="K1073" s="18" t="s">
        <v>2784</v>
      </c>
      <c r="L1073" s="20">
        <v>45919.0</v>
      </c>
      <c r="M1073" s="17" t="s">
        <v>28</v>
      </c>
      <c r="N1073" s="46" t="s">
        <v>2385</v>
      </c>
      <c r="O1073" s="47">
        <v>4.6807974E7</v>
      </c>
      <c r="P1073" s="46" t="s">
        <v>1796</v>
      </c>
      <c r="Q1073" s="48" t="s">
        <v>108</v>
      </c>
      <c r="R1073" s="21" t="s">
        <v>109</v>
      </c>
      <c r="S1073" s="17" t="s">
        <v>2386</v>
      </c>
      <c r="U1073" s="24"/>
      <c r="V1073" s="18"/>
      <c r="W1073" s="125" t="s">
        <v>577</v>
      </c>
    </row>
    <row r="1074">
      <c r="A1074" s="11"/>
      <c r="B1074" s="12" t="s">
        <v>7</v>
      </c>
      <c r="C1074" s="12" t="s">
        <v>8</v>
      </c>
      <c r="D1074" s="12" t="s">
        <v>24</v>
      </c>
      <c r="E1074" s="12" t="s">
        <v>35</v>
      </c>
      <c r="F1074" s="13" t="s">
        <v>33</v>
      </c>
      <c r="G1074" s="12" t="s">
        <v>68</v>
      </c>
      <c r="H1074" s="12" t="s">
        <v>813</v>
      </c>
      <c r="I1074" s="12" t="s">
        <v>814</v>
      </c>
      <c r="J1074" s="17" t="s">
        <v>2783</v>
      </c>
      <c r="K1074" s="18" t="s">
        <v>2784</v>
      </c>
      <c r="L1074" s="20">
        <v>45919.0</v>
      </c>
      <c r="M1074" s="17" t="s">
        <v>28</v>
      </c>
      <c r="N1074" s="46" t="s">
        <v>2387</v>
      </c>
      <c r="O1074" s="47">
        <v>4.1150084E7</v>
      </c>
      <c r="P1074" s="46" t="s">
        <v>1800</v>
      </c>
      <c r="Q1074" s="48" t="s">
        <v>112</v>
      </c>
      <c r="R1074" s="21" t="s">
        <v>1797</v>
      </c>
      <c r="S1074" s="17" t="s">
        <v>2388</v>
      </c>
      <c r="U1074" s="24"/>
      <c r="V1074" s="18"/>
      <c r="W1074" s="125" t="s">
        <v>577</v>
      </c>
    </row>
    <row r="1075">
      <c r="A1075" s="11"/>
      <c r="B1075" s="12" t="s">
        <v>7</v>
      </c>
      <c r="C1075" s="12" t="s">
        <v>37</v>
      </c>
      <c r="D1075" s="12" t="s">
        <v>38</v>
      </c>
      <c r="E1075" s="12" t="s">
        <v>45</v>
      </c>
      <c r="F1075" s="13" t="s">
        <v>44</v>
      </c>
      <c r="G1075" s="12" t="s">
        <v>68</v>
      </c>
      <c r="H1075" s="12" t="s">
        <v>830</v>
      </c>
      <c r="I1075" s="12" t="s">
        <v>831</v>
      </c>
      <c r="J1075" s="17" t="s">
        <v>2687</v>
      </c>
      <c r="K1075" s="18">
        <v>2.0</v>
      </c>
      <c r="L1075" s="20">
        <v>45918.0</v>
      </c>
      <c r="M1075" s="17" t="s">
        <v>23</v>
      </c>
      <c r="N1075" s="46" t="s">
        <v>2303</v>
      </c>
      <c r="O1075" s="47">
        <v>4.0135418E7</v>
      </c>
      <c r="P1075" s="46"/>
      <c r="Q1075" s="48" t="s">
        <v>73</v>
      </c>
      <c r="R1075" s="21" t="s">
        <v>74</v>
      </c>
      <c r="S1075" s="17" t="s">
        <v>2202</v>
      </c>
      <c r="U1075" s="24"/>
      <c r="V1075" s="18"/>
      <c r="W1075" s="125" t="s">
        <v>577</v>
      </c>
    </row>
    <row r="1076">
      <c r="A1076" s="11"/>
      <c r="B1076" s="12" t="s">
        <v>7</v>
      </c>
      <c r="C1076" s="12" t="s">
        <v>37</v>
      </c>
      <c r="D1076" s="12" t="s">
        <v>38</v>
      </c>
      <c r="E1076" s="12" t="s">
        <v>45</v>
      </c>
      <c r="F1076" s="13" t="s">
        <v>44</v>
      </c>
      <c r="G1076" s="12" t="s">
        <v>68</v>
      </c>
      <c r="H1076" s="12" t="s">
        <v>830</v>
      </c>
      <c r="I1076" s="12" t="s">
        <v>831</v>
      </c>
      <c r="J1076" s="17" t="s">
        <v>2687</v>
      </c>
      <c r="K1076" s="18">
        <v>2.0</v>
      </c>
      <c r="L1076" s="20">
        <v>45918.0</v>
      </c>
      <c r="M1076" s="17" t="s">
        <v>23</v>
      </c>
      <c r="N1076" s="46" t="s">
        <v>2304</v>
      </c>
      <c r="O1076" s="47">
        <v>3.3335394E7</v>
      </c>
      <c r="P1076" s="46"/>
      <c r="Q1076" s="48" t="s">
        <v>112</v>
      </c>
      <c r="R1076" s="21" t="s">
        <v>113</v>
      </c>
      <c r="S1076" s="17" t="s">
        <v>2220</v>
      </c>
      <c r="U1076" s="24"/>
      <c r="V1076" s="18"/>
      <c r="W1076" s="125" t="s">
        <v>577</v>
      </c>
    </row>
    <row r="1077">
      <c r="A1077" s="11"/>
      <c r="B1077" s="12" t="s">
        <v>7</v>
      </c>
      <c r="C1077" s="12" t="s">
        <v>37</v>
      </c>
      <c r="D1077" s="12" t="s">
        <v>38</v>
      </c>
      <c r="E1077" s="12" t="s">
        <v>45</v>
      </c>
      <c r="F1077" s="13" t="s">
        <v>44</v>
      </c>
      <c r="G1077" s="12" t="s">
        <v>68</v>
      </c>
      <c r="H1077" s="12" t="s">
        <v>830</v>
      </c>
      <c r="I1077" s="12" t="s">
        <v>831</v>
      </c>
      <c r="J1077" s="17" t="s">
        <v>2687</v>
      </c>
      <c r="K1077" s="18">
        <v>2.0</v>
      </c>
      <c r="L1077" s="20">
        <v>45918.0</v>
      </c>
      <c r="M1077" s="17" t="s">
        <v>23</v>
      </c>
      <c r="N1077" s="46" t="s">
        <v>2305</v>
      </c>
      <c r="O1077" s="47">
        <v>4.6033972E7</v>
      </c>
      <c r="P1077" s="46"/>
      <c r="Q1077" s="48" t="s">
        <v>108</v>
      </c>
      <c r="R1077" s="21" t="s">
        <v>109</v>
      </c>
      <c r="S1077" s="17" t="s">
        <v>2198</v>
      </c>
      <c r="U1077" s="24"/>
      <c r="V1077" s="18"/>
      <c r="W1077" s="125" t="s">
        <v>577</v>
      </c>
    </row>
    <row r="1078">
      <c r="A1078" s="11"/>
      <c r="B1078" s="12" t="s">
        <v>7</v>
      </c>
      <c r="C1078" s="12" t="s">
        <v>8</v>
      </c>
      <c r="D1078" s="12" t="s">
        <v>24</v>
      </c>
      <c r="E1078" s="12" t="s">
        <v>35</v>
      </c>
      <c r="F1078" s="13" t="s">
        <v>33</v>
      </c>
      <c r="G1078" s="12" t="s">
        <v>68</v>
      </c>
      <c r="H1078" s="12" t="s">
        <v>813</v>
      </c>
      <c r="I1078" s="12" t="s">
        <v>814</v>
      </c>
      <c r="J1078" s="17" t="s">
        <v>2687</v>
      </c>
      <c r="K1078" s="18">
        <v>2.0</v>
      </c>
      <c r="L1078" s="20">
        <v>45918.0</v>
      </c>
      <c r="M1078" s="17" t="s">
        <v>23</v>
      </c>
      <c r="N1078" s="17" t="s">
        <v>2389</v>
      </c>
      <c r="O1078" s="17">
        <v>3.1629591E7</v>
      </c>
      <c r="Q1078" s="17" t="s">
        <v>108</v>
      </c>
      <c r="R1078" s="17" t="s">
        <v>109</v>
      </c>
      <c r="S1078" s="17" t="s">
        <v>2198</v>
      </c>
      <c r="U1078" s="24"/>
      <c r="V1078" s="18"/>
      <c r="W1078" s="125" t="s">
        <v>577</v>
      </c>
    </row>
    <row r="1079">
      <c r="A1079" s="11"/>
      <c r="B1079" s="12" t="s">
        <v>7</v>
      </c>
      <c r="C1079" s="12" t="s">
        <v>8</v>
      </c>
      <c r="D1079" s="12" t="s">
        <v>24</v>
      </c>
      <c r="E1079" s="12" t="s">
        <v>35</v>
      </c>
      <c r="F1079" s="13" t="s">
        <v>33</v>
      </c>
      <c r="G1079" s="12" t="s">
        <v>68</v>
      </c>
      <c r="H1079" s="12" t="s">
        <v>813</v>
      </c>
      <c r="I1079" s="12" t="s">
        <v>814</v>
      </c>
      <c r="J1079" s="17" t="s">
        <v>2687</v>
      </c>
      <c r="K1079" s="18">
        <v>2.0</v>
      </c>
      <c r="L1079" s="20">
        <v>45918.0</v>
      </c>
      <c r="M1079" s="17" t="s">
        <v>23</v>
      </c>
      <c r="N1079" s="17" t="s">
        <v>2390</v>
      </c>
      <c r="O1079" s="17">
        <v>7.3863258E7</v>
      </c>
      <c r="P1079" s="98"/>
      <c r="Q1079" s="17" t="s">
        <v>73</v>
      </c>
      <c r="R1079" s="17" t="s">
        <v>1797</v>
      </c>
      <c r="S1079" s="17" t="s">
        <v>2391</v>
      </c>
      <c r="U1079" s="24"/>
      <c r="V1079" s="18"/>
      <c r="W1079" s="125" t="s">
        <v>577</v>
      </c>
    </row>
    <row r="1080">
      <c r="A1080" s="11"/>
      <c r="B1080" s="12" t="s">
        <v>7</v>
      </c>
      <c r="C1080" s="12" t="s">
        <v>8</v>
      </c>
      <c r="D1080" s="12" t="s">
        <v>24</v>
      </c>
      <c r="E1080" s="12" t="s">
        <v>29</v>
      </c>
      <c r="F1080" s="13" t="s">
        <v>27</v>
      </c>
      <c r="G1080" s="12" t="s">
        <v>68</v>
      </c>
      <c r="H1080" s="12" t="s">
        <v>801</v>
      </c>
      <c r="I1080" s="12" t="s">
        <v>802</v>
      </c>
      <c r="J1080" s="17" t="s">
        <v>2687</v>
      </c>
      <c r="K1080" s="18">
        <v>2.0</v>
      </c>
      <c r="L1080" s="20">
        <v>45918.0</v>
      </c>
      <c r="M1080" s="17" t="s">
        <v>23</v>
      </c>
      <c r="N1080" s="17" t="s">
        <v>2369</v>
      </c>
      <c r="O1080" s="17">
        <v>4.7102534E7</v>
      </c>
      <c r="P1080" s="17"/>
      <c r="Q1080" s="17" t="s">
        <v>73</v>
      </c>
      <c r="R1080" s="48" t="s">
        <v>2055</v>
      </c>
      <c r="S1080" s="17" t="s">
        <v>2370</v>
      </c>
      <c r="U1080" s="24"/>
      <c r="V1080" s="18"/>
      <c r="W1080" s="125" t="s">
        <v>577</v>
      </c>
    </row>
    <row r="1081">
      <c r="A1081" s="11"/>
      <c r="B1081" s="12" t="s">
        <v>7</v>
      </c>
      <c r="C1081" s="12" t="s">
        <v>8</v>
      </c>
      <c r="D1081" s="12" t="s">
        <v>24</v>
      </c>
      <c r="E1081" s="12" t="s">
        <v>25</v>
      </c>
      <c r="F1081" s="13" t="s">
        <v>50</v>
      </c>
      <c r="G1081" s="12" t="s">
        <v>86</v>
      </c>
      <c r="H1081" s="12" t="s">
        <v>3307</v>
      </c>
      <c r="I1081" s="12"/>
      <c r="J1081" s="17" t="s">
        <v>2687</v>
      </c>
      <c r="K1081" s="18">
        <v>2.0</v>
      </c>
      <c r="L1081" s="20">
        <v>45918.0</v>
      </c>
      <c r="M1081" s="17" t="s">
        <v>23</v>
      </c>
      <c r="N1081" s="17" t="s">
        <v>3325</v>
      </c>
      <c r="O1081" s="17">
        <v>1.5852271E7</v>
      </c>
      <c r="P1081" s="17"/>
      <c r="Q1081" s="17" t="s">
        <v>73</v>
      </c>
      <c r="R1081" s="48" t="s">
        <v>3309</v>
      </c>
      <c r="S1081" s="17" t="s">
        <v>3310</v>
      </c>
      <c r="U1081" s="24"/>
      <c r="V1081" s="18"/>
      <c r="W1081" s="125" t="s">
        <v>577</v>
      </c>
    </row>
    <row r="1082">
      <c r="A1082" s="126"/>
      <c r="B1082" s="127" t="s">
        <v>7</v>
      </c>
      <c r="C1082" s="127" t="s">
        <v>8</v>
      </c>
      <c r="D1082" s="127" t="s">
        <v>24</v>
      </c>
      <c r="E1082" s="127" t="s">
        <v>25</v>
      </c>
      <c r="F1082" s="128" t="s">
        <v>50</v>
      </c>
      <c r="G1082" s="127" t="s">
        <v>86</v>
      </c>
      <c r="H1082" s="127" t="s">
        <v>3307</v>
      </c>
      <c r="I1082" s="127"/>
      <c r="J1082" s="129" t="s">
        <v>2687</v>
      </c>
      <c r="K1082" s="125">
        <v>2.0</v>
      </c>
      <c r="L1082" s="130">
        <v>45918.0</v>
      </c>
      <c r="M1082" s="129" t="s">
        <v>23</v>
      </c>
      <c r="N1082" s="17" t="s">
        <v>3633</v>
      </c>
      <c r="O1082" s="17">
        <v>1.5860456E7</v>
      </c>
      <c r="P1082" s="129"/>
      <c r="Q1082" s="129" t="s">
        <v>73</v>
      </c>
      <c r="R1082" s="131" t="s">
        <v>3634</v>
      </c>
      <c r="S1082" s="129" t="s">
        <v>3635</v>
      </c>
      <c r="T1082" s="132"/>
      <c r="U1082" s="133"/>
      <c r="V1082" s="18" t="s">
        <v>3632</v>
      </c>
      <c r="W1082" s="125" t="s">
        <v>577</v>
      </c>
    </row>
    <row r="1083">
      <c r="A1083" s="11"/>
      <c r="B1083" s="12" t="s">
        <v>7</v>
      </c>
      <c r="C1083" s="12" t="s">
        <v>8</v>
      </c>
      <c r="D1083" s="12" t="s">
        <v>15</v>
      </c>
      <c r="E1083" s="12" t="s">
        <v>15</v>
      </c>
      <c r="F1083" s="13" t="s">
        <v>16</v>
      </c>
      <c r="G1083" s="12" t="s">
        <v>68</v>
      </c>
      <c r="H1083" s="12" t="s">
        <v>928</v>
      </c>
      <c r="I1083" s="12" t="s">
        <v>929</v>
      </c>
      <c r="J1083" s="17" t="s">
        <v>2779</v>
      </c>
      <c r="K1083" s="18" t="s">
        <v>3642</v>
      </c>
      <c r="L1083" s="20">
        <v>45890.0</v>
      </c>
      <c r="M1083" s="17" t="s">
        <v>28</v>
      </c>
      <c r="N1083" s="17" t="s">
        <v>3643</v>
      </c>
      <c r="O1083" s="17">
        <v>7.6088826E7</v>
      </c>
      <c r="Q1083" s="17" t="s">
        <v>112</v>
      </c>
      <c r="R1083" s="17" t="s">
        <v>113</v>
      </c>
      <c r="S1083" s="17" t="s">
        <v>2220</v>
      </c>
      <c r="U1083" s="24"/>
      <c r="V1083" s="24"/>
      <c r="W1083" s="18" t="s">
        <v>915</v>
      </c>
    </row>
    <row r="1084">
      <c r="A1084" s="11"/>
      <c r="B1084" s="12" t="s">
        <v>7</v>
      </c>
      <c r="C1084" s="12" t="s">
        <v>8</v>
      </c>
      <c r="D1084" s="12" t="s">
        <v>15</v>
      </c>
      <c r="E1084" s="12" t="s">
        <v>15</v>
      </c>
      <c r="F1084" s="13" t="s">
        <v>16</v>
      </c>
      <c r="G1084" s="12" t="s">
        <v>68</v>
      </c>
      <c r="H1084" s="12" t="s">
        <v>928</v>
      </c>
      <c r="I1084" s="12" t="s">
        <v>929</v>
      </c>
      <c r="J1084" s="17" t="s">
        <v>2779</v>
      </c>
      <c r="K1084" s="18" t="s">
        <v>3642</v>
      </c>
      <c r="L1084" s="20">
        <v>45890.0</v>
      </c>
      <c r="M1084" s="17" t="s">
        <v>28</v>
      </c>
      <c r="N1084" s="17" t="s">
        <v>3644</v>
      </c>
      <c r="O1084" s="17">
        <v>7.0610296E7</v>
      </c>
      <c r="Q1084" s="17" t="s">
        <v>112</v>
      </c>
      <c r="R1084" s="17" t="s">
        <v>1939</v>
      </c>
      <c r="S1084" s="17" t="s">
        <v>2220</v>
      </c>
      <c r="U1084" s="24"/>
      <c r="V1084" s="24"/>
      <c r="W1084" s="18" t="s">
        <v>915</v>
      </c>
    </row>
    <row r="1085">
      <c r="A1085" s="11"/>
      <c r="B1085" s="12" t="s">
        <v>7</v>
      </c>
      <c r="C1085" s="12" t="s">
        <v>8</v>
      </c>
      <c r="D1085" s="12" t="s">
        <v>15</v>
      </c>
      <c r="E1085" s="12" t="s">
        <v>15</v>
      </c>
      <c r="F1085" s="13" t="s">
        <v>16</v>
      </c>
      <c r="G1085" s="12" t="s">
        <v>68</v>
      </c>
      <c r="H1085" s="12" t="s">
        <v>928</v>
      </c>
      <c r="I1085" s="12" t="s">
        <v>929</v>
      </c>
      <c r="J1085" s="17" t="s">
        <v>2779</v>
      </c>
      <c r="K1085" s="18" t="s">
        <v>3642</v>
      </c>
      <c r="L1085" s="20">
        <v>45890.0</v>
      </c>
      <c r="M1085" s="17" t="s">
        <v>28</v>
      </c>
      <c r="N1085" s="17" t="s">
        <v>3645</v>
      </c>
      <c r="O1085" s="17">
        <v>7.0610292E7</v>
      </c>
      <c r="Q1085" s="17" t="s">
        <v>108</v>
      </c>
      <c r="R1085" s="17" t="s">
        <v>3534</v>
      </c>
      <c r="S1085" s="17" t="s">
        <v>2198</v>
      </c>
      <c r="U1085" s="24"/>
      <c r="V1085" s="24"/>
      <c r="W1085" s="18" t="s">
        <v>915</v>
      </c>
    </row>
    <row r="1086">
      <c r="A1086" s="11"/>
      <c r="B1086" s="12" t="s">
        <v>7</v>
      </c>
      <c r="C1086" s="12" t="s">
        <v>8</v>
      </c>
      <c r="D1086" s="12" t="s">
        <v>15</v>
      </c>
      <c r="E1086" s="12" t="s">
        <v>15</v>
      </c>
      <c r="F1086" s="13" t="s">
        <v>16</v>
      </c>
      <c r="G1086" s="12" t="s">
        <v>68</v>
      </c>
      <c r="H1086" s="12" t="s">
        <v>928</v>
      </c>
      <c r="I1086" s="12" t="s">
        <v>929</v>
      </c>
      <c r="J1086" s="17" t="s">
        <v>2779</v>
      </c>
      <c r="K1086" s="18" t="s">
        <v>3642</v>
      </c>
      <c r="L1086" s="20">
        <v>45890.0</v>
      </c>
      <c r="M1086" s="17" t="s">
        <v>28</v>
      </c>
      <c r="N1086" s="17" t="s">
        <v>3530</v>
      </c>
      <c r="O1086" s="17">
        <v>3.1655185E7</v>
      </c>
      <c r="Q1086" s="17" t="s">
        <v>112</v>
      </c>
      <c r="R1086" s="17" t="s">
        <v>1939</v>
      </c>
      <c r="S1086" s="17" t="s">
        <v>2220</v>
      </c>
      <c r="U1086" s="24"/>
      <c r="V1086" s="24"/>
      <c r="W1086" s="18" t="s">
        <v>915</v>
      </c>
    </row>
    <row r="1087">
      <c r="A1087" s="11"/>
      <c r="B1087" s="12" t="s">
        <v>7</v>
      </c>
      <c r="C1087" s="12" t="s">
        <v>8</v>
      </c>
      <c r="D1087" s="12" t="s">
        <v>15</v>
      </c>
      <c r="E1087" s="12" t="s">
        <v>15</v>
      </c>
      <c r="F1087" s="13" t="s">
        <v>16</v>
      </c>
      <c r="G1087" s="12" t="s">
        <v>68</v>
      </c>
      <c r="H1087" s="12" t="s">
        <v>928</v>
      </c>
      <c r="I1087" s="12" t="s">
        <v>929</v>
      </c>
      <c r="J1087" s="17" t="s">
        <v>2779</v>
      </c>
      <c r="K1087" s="18" t="s">
        <v>3642</v>
      </c>
      <c r="L1087" s="20">
        <v>45890.0</v>
      </c>
      <c r="M1087" s="17" t="s">
        <v>28</v>
      </c>
      <c r="N1087" s="17" t="s">
        <v>3533</v>
      </c>
      <c r="O1087" s="17">
        <v>4.292167E7</v>
      </c>
      <c r="Q1087" s="17" t="s">
        <v>108</v>
      </c>
      <c r="R1087" s="17" t="s">
        <v>3534</v>
      </c>
      <c r="S1087" s="17" t="s">
        <v>2198</v>
      </c>
      <c r="U1087" s="24"/>
      <c r="V1087" s="24"/>
      <c r="W1087" s="18" t="s">
        <v>915</v>
      </c>
    </row>
    <row r="1088">
      <c r="A1088" s="11"/>
      <c r="B1088" s="12" t="s">
        <v>7</v>
      </c>
      <c r="C1088" s="12" t="s">
        <v>8</v>
      </c>
      <c r="D1088" s="12" t="s">
        <v>15</v>
      </c>
      <c r="E1088" s="12" t="s">
        <v>15</v>
      </c>
      <c r="F1088" s="13" t="s">
        <v>16</v>
      </c>
      <c r="G1088" s="12" t="s">
        <v>68</v>
      </c>
      <c r="H1088" s="12" t="s">
        <v>928</v>
      </c>
      <c r="I1088" s="12" t="s">
        <v>929</v>
      </c>
      <c r="J1088" s="17" t="s">
        <v>2169</v>
      </c>
      <c r="K1088" s="18" t="s">
        <v>3642</v>
      </c>
      <c r="L1088" s="20">
        <v>45890.0</v>
      </c>
      <c r="M1088" s="17" t="s">
        <v>28</v>
      </c>
      <c r="N1088" s="17" t="s">
        <v>3646</v>
      </c>
      <c r="O1088" s="17">
        <v>4.1510125E7</v>
      </c>
      <c r="Q1088" s="17" t="s">
        <v>112</v>
      </c>
      <c r="R1088" s="17" t="s">
        <v>1939</v>
      </c>
      <c r="S1088" s="17" t="s">
        <v>2220</v>
      </c>
      <c r="U1088" s="24"/>
      <c r="V1088" s="24"/>
      <c r="W1088" s="18" t="s">
        <v>915</v>
      </c>
    </row>
    <row r="1089">
      <c r="A1089" s="11"/>
      <c r="B1089" s="12" t="s">
        <v>7</v>
      </c>
      <c r="C1089" s="12" t="s">
        <v>8</v>
      </c>
      <c r="D1089" s="12" t="s">
        <v>15</v>
      </c>
      <c r="E1089" s="12" t="s">
        <v>15</v>
      </c>
      <c r="F1089" s="13" t="s">
        <v>16</v>
      </c>
      <c r="G1089" s="12" t="s">
        <v>68</v>
      </c>
      <c r="H1089" s="12" t="s">
        <v>928</v>
      </c>
      <c r="I1089" s="12" t="s">
        <v>929</v>
      </c>
      <c r="J1089" s="17" t="s">
        <v>2779</v>
      </c>
      <c r="K1089" s="18" t="s">
        <v>3642</v>
      </c>
      <c r="L1089" s="20">
        <v>45890.0</v>
      </c>
      <c r="M1089" s="17" t="s">
        <v>28</v>
      </c>
      <c r="N1089" s="17" t="s">
        <v>3540</v>
      </c>
      <c r="O1089" s="17">
        <v>7.166571E7</v>
      </c>
      <c r="Q1089" s="17" t="s">
        <v>112</v>
      </c>
      <c r="R1089" s="17" t="s">
        <v>1939</v>
      </c>
      <c r="S1089" s="17" t="s">
        <v>2220</v>
      </c>
      <c r="U1089" s="24"/>
      <c r="V1089" s="24"/>
      <c r="W1089" s="18" t="s">
        <v>915</v>
      </c>
    </row>
    <row r="1090">
      <c r="A1090" s="11"/>
      <c r="B1090" s="12" t="s">
        <v>7</v>
      </c>
      <c r="C1090" s="12" t="s">
        <v>8</v>
      </c>
      <c r="D1090" s="12" t="s">
        <v>15</v>
      </c>
      <c r="E1090" s="12" t="s">
        <v>15</v>
      </c>
      <c r="F1090" s="13" t="s">
        <v>16</v>
      </c>
      <c r="G1090" s="12" t="s">
        <v>68</v>
      </c>
      <c r="H1090" s="12" t="s">
        <v>928</v>
      </c>
      <c r="I1090" s="12" t="s">
        <v>929</v>
      </c>
      <c r="J1090" s="17" t="s">
        <v>2779</v>
      </c>
      <c r="K1090" s="18" t="s">
        <v>3642</v>
      </c>
      <c r="L1090" s="20">
        <v>45890.0</v>
      </c>
      <c r="M1090" s="17" t="s">
        <v>28</v>
      </c>
      <c r="N1090" s="17" t="s">
        <v>3647</v>
      </c>
      <c r="O1090" s="17">
        <v>7.6753561E7</v>
      </c>
      <c r="Q1090" s="17" t="s">
        <v>108</v>
      </c>
      <c r="R1090" s="17" t="s">
        <v>3534</v>
      </c>
      <c r="S1090" s="17" t="s">
        <v>2198</v>
      </c>
      <c r="U1090" s="24"/>
      <c r="V1090" s="24"/>
      <c r="W1090" s="18" t="s">
        <v>915</v>
      </c>
    </row>
    <row r="1091">
      <c r="A1091" s="11"/>
      <c r="B1091" s="12" t="s">
        <v>7</v>
      </c>
      <c r="C1091" s="12" t="s">
        <v>8</v>
      </c>
      <c r="D1091" s="12" t="s">
        <v>15</v>
      </c>
      <c r="E1091" s="12" t="s">
        <v>17</v>
      </c>
      <c r="F1091" s="13" t="s">
        <v>18</v>
      </c>
      <c r="G1091" s="12" t="s">
        <v>68</v>
      </c>
      <c r="H1091" s="12" t="s">
        <v>954</v>
      </c>
      <c r="I1091" s="12" t="s">
        <v>955</v>
      </c>
      <c r="J1091" s="17" t="s">
        <v>2779</v>
      </c>
      <c r="K1091" s="18" t="s">
        <v>3642</v>
      </c>
      <c r="L1091" s="20">
        <v>45887.0</v>
      </c>
      <c r="M1091" s="17" t="s">
        <v>28</v>
      </c>
      <c r="N1091" s="17" t="s">
        <v>3648</v>
      </c>
      <c r="O1091" s="17">
        <v>4.0377537E7</v>
      </c>
      <c r="Q1091" s="17" t="s">
        <v>73</v>
      </c>
      <c r="R1091" s="17" t="s">
        <v>1589</v>
      </c>
      <c r="S1091" s="17" t="s">
        <v>2202</v>
      </c>
      <c r="U1091" s="24"/>
      <c r="V1091" s="24"/>
      <c r="W1091" s="18" t="s">
        <v>915</v>
      </c>
    </row>
    <row r="1092">
      <c r="A1092" s="11"/>
      <c r="B1092" s="12" t="s">
        <v>7</v>
      </c>
      <c r="C1092" s="12" t="s">
        <v>8</v>
      </c>
      <c r="D1092" s="12" t="s">
        <v>15</v>
      </c>
      <c r="E1092" s="12" t="s">
        <v>17</v>
      </c>
      <c r="F1092" s="13" t="s">
        <v>18</v>
      </c>
      <c r="G1092" s="12" t="s">
        <v>68</v>
      </c>
      <c r="H1092" s="12" t="s">
        <v>954</v>
      </c>
      <c r="I1092" s="12" t="s">
        <v>955</v>
      </c>
      <c r="J1092" s="17" t="s">
        <v>2779</v>
      </c>
      <c r="K1092" s="18" t="s">
        <v>3642</v>
      </c>
      <c r="L1092" s="20">
        <v>45887.0</v>
      </c>
      <c r="M1092" s="17" t="s">
        <v>28</v>
      </c>
      <c r="N1092" s="17" t="s">
        <v>3649</v>
      </c>
      <c r="O1092" s="17">
        <v>7.4297835E7</v>
      </c>
      <c r="Q1092" s="17" t="s">
        <v>112</v>
      </c>
      <c r="R1092" s="17" t="s">
        <v>1939</v>
      </c>
      <c r="S1092" s="17" t="s">
        <v>2220</v>
      </c>
      <c r="U1092" s="24"/>
      <c r="V1092" s="24"/>
      <c r="W1092" s="18" t="s">
        <v>915</v>
      </c>
    </row>
    <row r="1093">
      <c r="A1093" s="11"/>
      <c r="B1093" s="12" t="s">
        <v>7</v>
      </c>
      <c r="C1093" s="12" t="s">
        <v>8</v>
      </c>
      <c r="D1093" s="12" t="s">
        <v>15</v>
      </c>
      <c r="E1093" s="12" t="s">
        <v>17</v>
      </c>
      <c r="F1093" s="13" t="s">
        <v>18</v>
      </c>
      <c r="G1093" s="12" t="s">
        <v>68</v>
      </c>
      <c r="H1093" s="12" t="s">
        <v>954</v>
      </c>
      <c r="I1093" s="12" t="s">
        <v>955</v>
      </c>
      <c r="J1093" s="17" t="s">
        <v>2779</v>
      </c>
      <c r="K1093" s="18" t="s">
        <v>3642</v>
      </c>
      <c r="L1093" s="20">
        <v>45887.0</v>
      </c>
      <c r="M1093" s="17" t="s">
        <v>28</v>
      </c>
      <c r="N1093" s="17" t="s">
        <v>3650</v>
      </c>
      <c r="O1093" s="17">
        <v>4.3321862E7</v>
      </c>
      <c r="Q1093" s="17" t="s">
        <v>108</v>
      </c>
      <c r="R1093" s="17" t="s">
        <v>3534</v>
      </c>
      <c r="S1093" s="17" t="s">
        <v>2198</v>
      </c>
      <c r="U1093" s="24"/>
      <c r="V1093" s="24"/>
      <c r="W1093" s="18" t="s">
        <v>915</v>
      </c>
    </row>
    <row r="1094">
      <c r="A1094" s="11"/>
      <c r="B1094" s="12" t="s">
        <v>7</v>
      </c>
      <c r="C1094" s="12" t="s">
        <v>8</v>
      </c>
      <c r="D1094" s="12" t="s">
        <v>15</v>
      </c>
      <c r="E1094" s="12" t="s">
        <v>17</v>
      </c>
      <c r="F1094" s="13" t="s">
        <v>18</v>
      </c>
      <c r="G1094" s="12" t="s">
        <v>68</v>
      </c>
      <c r="H1094" s="12" t="s">
        <v>954</v>
      </c>
      <c r="I1094" s="12" t="s">
        <v>955</v>
      </c>
      <c r="J1094" s="17" t="s">
        <v>2779</v>
      </c>
      <c r="K1094" s="18" t="s">
        <v>3642</v>
      </c>
      <c r="L1094" s="20">
        <v>45887.0</v>
      </c>
      <c r="M1094" s="17" t="s">
        <v>28</v>
      </c>
      <c r="N1094" s="17" t="s">
        <v>2280</v>
      </c>
      <c r="O1094" s="17">
        <v>7.6580695E7</v>
      </c>
      <c r="Q1094" s="17" t="s">
        <v>108</v>
      </c>
      <c r="R1094" s="17" t="s">
        <v>3534</v>
      </c>
      <c r="S1094" s="17" t="s">
        <v>2198</v>
      </c>
      <c r="U1094" s="24"/>
      <c r="V1094" s="24"/>
      <c r="W1094" s="18" t="s">
        <v>915</v>
      </c>
    </row>
    <row r="1095">
      <c r="A1095" s="11"/>
      <c r="B1095" s="12" t="s">
        <v>7</v>
      </c>
      <c r="C1095" s="12" t="s">
        <v>8</v>
      </c>
      <c r="D1095" s="12" t="s">
        <v>15</v>
      </c>
      <c r="E1095" s="12" t="s">
        <v>17</v>
      </c>
      <c r="F1095" s="13" t="s">
        <v>18</v>
      </c>
      <c r="G1095" s="12" t="s">
        <v>68</v>
      </c>
      <c r="H1095" s="12" t="s">
        <v>954</v>
      </c>
      <c r="I1095" s="12" t="s">
        <v>955</v>
      </c>
      <c r="J1095" s="17" t="s">
        <v>2779</v>
      </c>
      <c r="K1095" s="18" t="s">
        <v>3642</v>
      </c>
      <c r="L1095" s="20">
        <v>45887.0</v>
      </c>
      <c r="M1095" s="17" t="s">
        <v>28</v>
      </c>
      <c r="N1095" s="17" t="s">
        <v>3651</v>
      </c>
      <c r="O1095" s="17">
        <v>4.6767679E7</v>
      </c>
      <c r="Q1095" s="17" t="s">
        <v>112</v>
      </c>
      <c r="R1095" s="17" t="s">
        <v>1939</v>
      </c>
      <c r="S1095" s="17" t="s">
        <v>2220</v>
      </c>
      <c r="U1095" s="24"/>
      <c r="V1095" s="24"/>
      <c r="W1095" s="18" t="s">
        <v>915</v>
      </c>
    </row>
    <row r="1096">
      <c r="A1096" s="11"/>
      <c r="B1096" s="12" t="s">
        <v>7</v>
      </c>
      <c r="C1096" s="12" t="s">
        <v>8</v>
      </c>
      <c r="D1096" s="12" t="s">
        <v>15</v>
      </c>
      <c r="E1096" s="12" t="s">
        <v>17</v>
      </c>
      <c r="F1096" s="13" t="s">
        <v>18</v>
      </c>
      <c r="G1096" s="12" t="s">
        <v>68</v>
      </c>
      <c r="H1096" s="12" t="s">
        <v>954</v>
      </c>
      <c r="I1096" s="12" t="s">
        <v>955</v>
      </c>
      <c r="J1096" s="17" t="s">
        <v>2779</v>
      </c>
      <c r="K1096" s="18" t="s">
        <v>3642</v>
      </c>
      <c r="L1096" s="20">
        <v>45887.0</v>
      </c>
      <c r="M1096" s="17" t="s">
        <v>23</v>
      </c>
      <c r="N1096" s="17" t="s">
        <v>3652</v>
      </c>
      <c r="O1096" s="17">
        <v>4.5987279E7</v>
      </c>
      <c r="Q1096" s="17" t="s">
        <v>108</v>
      </c>
      <c r="R1096" s="17" t="s">
        <v>3653</v>
      </c>
      <c r="S1096" s="17" t="s">
        <v>3654</v>
      </c>
      <c r="U1096" s="24"/>
      <c r="V1096" s="24"/>
      <c r="W1096" s="18" t="s">
        <v>915</v>
      </c>
    </row>
    <row r="1097">
      <c r="A1097" s="11"/>
      <c r="B1097" s="12" t="s">
        <v>7</v>
      </c>
      <c r="C1097" s="12" t="s">
        <v>8</v>
      </c>
      <c r="D1097" s="12" t="s">
        <v>15</v>
      </c>
      <c r="E1097" s="12" t="s">
        <v>21</v>
      </c>
      <c r="F1097" s="13" t="s">
        <v>19</v>
      </c>
      <c r="G1097" s="12" t="s">
        <v>68</v>
      </c>
      <c r="H1097" s="12" t="s">
        <v>968</v>
      </c>
      <c r="I1097" s="12" t="s">
        <v>969</v>
      </c>
      <c r="J1097" s="17" t="s">
        <v>2779</v>
      </c>
      <c r="K1097" s="18" t="s">
        <v>3642</v>
      </c>
      <c r="L1097" s="19">
        <v>45882.0</v>
      </c>
      <c r="M1097" s="17" t="s">
        <v>28</v>
      </c>
      <c r="N1097" s="17" t="s">
        <v>3655</v>
      </c>
      <c r="O1097" s="17">
        <v>4.4308537E7</v>
      </c>
      <c r="Q1097" s="17" t="s">
        <v>112</v>
      </c>
      <c r="R1097" s="17" t="s">
        <v>1939</v>
      </c>
      <c r="S1097" s="17" t="s">
        <v>2220</v>
      </c>
      <c r="U1097" s="24"/>
      <c r="V1097" s="24"/>
      <c r="W1097" s="18" t="s">
        <v>915</v>
      </c>
    </row>
    <row r="1098">
      <c r="A1098" s="11"/>
      <c r="B1098" s="12" t="s">
        <v>7</v>
      </c>
      <c r="C1098" s="12" t="s">
        <v>8</v>
      </c>
      <c r="D1098" s="12" t="s">
        <v>15</v>
      </c>
      <c r="E1098" s="12" t="s">
        <v>21</v>
      </c>
      <c r="F1098" s="13" t="s">
        <v>19</v>
      </c>
      <c r="G1098" s="12" t="s">
        <v>68</v>
      </c>
      <c r="H1098" s="12" t="s">
        <v>968</v>
      </c>
      <c r="I1098" s="12" t="s">
        <v>969</v>
      </c>
      <c r="J1098" s="17" t="s">
        <v>2779</v>
      </c>
      <c r="K1098" s="18" t="s">
        <v>3642</v>
      </c>
      <c r="L1098" s="19">
        <v>45882.0</v>
      </c>
      <c r="M1098" s="17" t="s">
        <v>28</v>
      </c>
      <c r="N1098" s="17" t="s">
        <v>3656</v>
      </c>
      <c r="O1098" s="17">
        <v>719336.0</v>
      </c>
      <c r="Q1098" s="17" t="s">
        <v>108</v>
      </c>
      <c r="R1098" s="17" t="s">
        <v>3534</v>
      </c>
      <c r="S1098" s="17" t="s">
        <v>2198</v>
      </c>
      <c r="U1098" s="24"/>
      <c r="V1098" s="24"/>
      <c r="W1098" s="18" t="s">
        <v>915</v>
      </c>
    </row>
    <row r="1099">
      <c r="A1099" s="11"/>
      <c r="B1099" s="12" t="s">
        <v>7</v>
      </c>
      <c r="C1099" s="12" t="s">
        <v>8</v>
      </c>
      <c r="D1099" s="12" t="s">
        <v>15</v>
      </c>
      <c r="E1099" s="12" t="s">
        <v>21</v>
      </c>
      <c r="F1099" s="13" t="s">
        <v>19</v>
      </c>
      <c r="G1099" s="12" t="s">
        <v>68</v>
      </c>
      <c r="H1099" s="12" t="s">
        <v>968</v>
      </c>
      <c r="I1099" s="12" t="s">
        <v>969</v>
      </c>
      <c r="J1099" s="17" t="s">
        <v>2779</v>
      </c>
      <c r="K1099" s="18" t="s">
        <v>3642</v>
      </c>
      <c r="L1099" s="19">
        <v>45882.0</v>
      </c>
      <c r="M1099" s="17" t="s">
        <v>28</v>
      </c>
      <c r="N1099" s="17" t="s">
        <v>3657</v>
      </c>
      <c r="O1099" s="17">
        <v>7.6452769E7</v>
      </c>
      <c r="Q1099" s="17" t="s">
        <v>112</v>
      </c>
      <c r="R1099" s="17" t="s">
        <v>1939</v>
      </c>
      <c r="S1099" s="17" t="s">
        <v>2220</v>
      </c>
      <c r="U1099" s="24"/>
      <c r="V1099" s="24"/>
      <c r="W1099" s="18" t="s">
        <v>915</v>
      </c>
    </row>
    <row r="1100">
      <c r="A1100" s="11"/>
      <c r="B1100" s="12" t="s">
        <v>7</v>
      </c>
      <c r="C1100" s="12" t="s">
        <v>8</v>
      </c>
      <c r="D1100" s="12" t="s">
        <v>15</v>
      </c>
      <c r="E1100" s="12" t="s">
        <v>21</v>
      </c>
      <c r="F1100" s="13" t="s">
        <v>19</v>
      </c>
      <c r="G1100" s="12" t="s">
        <v>68</v>
      </c>
      <c r="H1100" s="12" t="s">
        <v>968</v>
      </c>
      <c r="I1100" s="12" t="s">
        <v>969</v>
      </c>
      <c r="J1100" s="17" t="s">
        <v>2779</v>
      </c>
      <c r="K1100" s="18" t="s">
        <v>3642</v>
      </c>
      <c r="L1100" s="19">
        <v>45882.0</v>
      </c>
      <c r="M1100" s="17" t="s">
        <v>28</v>
      </c>
      <c r="N1100" s="17" t="s">
        <v>2290</v>
      </c>
      <c r="O1100" s="17">
        <v>7.6844742E7</v>
      </c>
      <c r="Q1100" s="17" t="s">
        <v>112</v>
      </c>
      <c r="R1100" s="17" t="s">
        <v>1939</v>
      </c>
      <c r="S1100" s="17" t="s">
        <v>2220</v>
      </c>
      <c r="U1100" s="24"/>
      <c r="V1100" s="24"/>
      <c r="W1100" s="18" t="s">
        <v>915</v>
      </c>
    </row>
    <row r="1101">
      <c r="A1101" s="11"/>
      <c r="B1101" s="12" t="s">
        <v>7</v>
      </c>
      <c r="C1101" s="12" t="s">
        <v>8</v>
      </c>
      <c r="D1101" s="12" t="s">
        <v>15</v>
      </c>
      <c r="E1101" s="12" t="s">
        <v>21</v>
      </c>
      <c r="F1101" s="13" t="s">
        <v>19</v>
      </c>
      <c r="G1101" s="12" t="s">
        <v>68</v>
      </c>
      <c r="H1101" s="12" t="s">
        <v>968</v>
      </c>
      <c r="I1101" s="12" t="s">
        <v>969</v>
      </c>
      <c r="J1101" s="17" t="s">
        <v>2779</v>
      </c>
      <c r="K1101" s="18" t="s">
        <v>3642</v>
      </c>
      <c r="L1101" s="19">
        <v>45882.0</v>
      </c>
      <c r="M1101" s="17" t="s">
        <v>28</v>
      </c>
      <c r="N1101" s="17" t="s">
        <v>3658</v>
      </c>
      <c r="O1101" s="17">
        <v>7.5268779E7</v>
      </c>
      <c r="Q1101" s="17" t="s">
        <v>73</v>
      </c>
      <c r="R1101" s="17" t="s">
        <v>1589</v>
      </c>
      <c r="S1101" s="17" t="s">
        <v>2202</v>
      </c>
      <c r="U1101" s="24"/>
      <c r="V1101" s="24"/>
      <c r="W1101" s="18" t="s">
        <v>915</v>
      </c>
    </row>
    <row r="1102">
      <c r="A1102" s="11"/>
      <c r="B1102" s="12" t="s">
        <v>7</v>
      </c>
      <c r="C1102" s="12" t="s">
        <v>8</v>
      </c>
      <c r="D1102" s="12" t="s">
        <v>15</v>
      </c>
      <c r="E1102" s="12" t="s">
        <v>21</v>
      </c>
      <c r="F1102" s="13" t="s">
        <v>19</v>
      </c>
      <c r="G1102" s="12" t="s">
        <v>68</v>
      </c>
      <c r="H1102" s="12" t="s">
        <v>968</v>
      </c>
      <c r="I1102" s="12" t="s">
        <v>969</v>
      </c>
      <c r="J1102" s="17" t="s">
        <v>2779</v>
      </c>
      <c r="K1102" s="18" t="s">
        <v>3642</v>
      </c>
      <c r="L1102" s="19">
        <v>45882.0</v>
      </c>
      <c r="M1102" s="17" t="s">
        <v>28</v>
      </c>
      <c r="N1102" s="17" t="s">
        <v>2292</v>
      </c>
      <c r="O1102" s="17">
        <v>4.1420205E7</v>
      </c>
      <c r="Q1102" s="17" t="s">
        <v>108</v>
      </c>
      <c r="R1102" s="17" t="s">
        <v>3534</v>
      </c>
      <c r="S1102" s="17" t="s">
        <v>2198</v>
      </c>
      <c r="U1102" s="24"/>
      <c r="V1102" s="24"/>
      <c r="W1102" s="18" t="s">
        <v>915</v>
      </c>
    </row>
    <row r="1103">
      <c r="A1103" s="11"/>
      <c r="B1103" s="12" t="s">
        <v>7</v>
      </c>
      <c r="C1103" s="12" t="s">
        <v>8</v>
      </c>
      <c r="D1103" s="12" t="s">
        <v>15</v>
      </c>
      <c r="E1103" s="12" t="s">
        <v>21</v>
      </c>
      <c r="F1103" s="13" t="s">
        <v>19</v>
      </c>
      <c r="G1103" s="12" t="s">
        <v>68</v>
      </c>
      <c r="H1103" s="12" t="s">
        <v>968</v>
      </c>
      <c r="I1103" s="12" t="s">
        <v>969</v>
      </c>
      <c r="J1103" s="17" t="s">
        <v>2779</v>
      </c>
      <c r="K1103" s="18" t="s">
        <v>3642</v>
      </c>
      <c r="L1103" s="19">
        <v>45882.0</v>
      </c>
      <c r="M1103" s="17" t="s">
        <v>28</v>
      </c>
      <c r="N1103" s="17" t="s">
        <v>3659</v>
      </c>
      <c r="O1103" s="17">
        <v>4.6962682E7</v>
      </c>
      <c r="Q1103" s="17" t="s">
        <v>112</v>
      </c>
      <c r="R1103" s="17" t="s">
        <v>3660</v>
      </c>
      <c r="S1103" s="17" t="s">
        <v>2220</v>
      </c>
      <c r="U1103" s="24"/>
      <c r="V1103" s="24"/>
      <c r="W1103" s="18" t="s">
        <v>915</v>
      </c>
    </row>
    <row r="1104">
      <c r="A1104" s="11"/>
      <c r="B1104" s="12" t="s">
        <v>7</v>
      </c>
      <c r="C1104" s="12" t="s">
        <v>8</v>
      </c>
      <c r="D1104" s="12" t="s">
        <v>15</v>
      </c>
      <c r="E1104" s="12" t="s">
        <v>21</v>
      </c>
      <c r="F1104" s="13" t="s">
        <v>19</v>
      </c>
      <c r="G1104" s="12" t="s">
        <v>68</v>
      </c>
      <c r="H1104" s="12" t="s">
        <v>968</v>
      </c>
      <c r="I1104" s="12" t="s">
        <v>969</v>
      </c>
      <c r="J1104" s="17" t="s">
        <v>2779</v>
      </c>
      <c r="K1104" s="18" t="s">
        <v>3642</v>
      </c>
      <c r="L1104" s="19">
        <v>45882.0</v>
      </c>
      <c r="M1104" s="17" t="s">
        <v>28</v>
      </c>
      <c r="N1104" s="17" t="s">
        <v>3661</v>
      </c>
      <c r="O1104" s="17">
        <v>7.0827937E7</v>
      </c>
      <c r="Q1104" s="17" t="s">
        <v>108</v>
      </c>
      <c r="R1104" s="17" t="s">
        <v>3662</v>
      </c>
      <c r="S1104" s="17" t="s">
        <v>2198</v>
      </c>
      <c r="U1104" s="24"/>
      <c r="V1104" s="24"/>
      <c r="W1104" s="18" t="s">
        <v>915</v>
      </c>
    </row>
    <row r="1105">
      <c r="A1105" s="11"/>
      <c r="B1105" s="12" t="s">
        <v>7</v>
      </c>
      <c r="C1105" s="12" t="s">
        <v>8</v>
      </c>
      <c r="D1105" s="12" t="s">
        <v>15</v>
      </c>
      <c r="E1105" s="12" t="s">
        <v>21</v>
      </c>
      <c r="F1105" s="13" t="s">
        <v>19</v>
      </c>
      <c r="G1105" s="12" t="s">
        <v>68</v>
      </c>
      <c r="H1105" s="12" t="s">
        <v>968</v>
      </c>
      <c r="I1105" s="12" t="s">
        <v>969</v>
      </c>
      <c r="J1105" s="17" t="s">
        <v>2779</v>
      </c>
      <c r="K1105" s="18" t="s">
        <v>3642</v>
      </c>
      <c r="L1105" s="19">
        <v>45882.0</v>
      </c>
      <c r="M1105" s="17" t="s">
        <v>28</v>
      </c>
      <c r="N1105" s="17" t="s">
        <v>3663</v>
      </c>
      <c r="O1105" s="17">
        <v>7.203794E7</v>
      </c>
      <c r="Q1105" s="17" t="s">
        <v>73</v>
      </c>
      <c r="R1105" s="17" t="s">
        <v>1589</v>
      </c>
      <c r="S1105" s="17" t="s">
        <v>2202</v>
      </c>
      <c r="U1105" s="24"/>
      <c r="V1105" s="24"/>
      <c r="W1105" s="18" t="s">
        <v>915</v>
      </c>
    </row>
    <row r="1106">
      <c r="A1106" s="11"/>
      <c r="B1106" s="12" t="s">
        <v>7</v>
      </c>
      <c r="C1106" s="12" t="s">
        <v>8</v>
      </c>
      <c r="D1106" s="12" t="s">
        <v>15</v>
      </c>
      <c r="E1106" s="12" t="s">
        <v>21</v>
      </c>
      <c r="F1106" s="13" t="s">
        <v>19</v>
      </c>
      <c r="G1106" s="12" t="s">
        <v>68</v>
      </c>
      <c r="H1106" s="12" t="s">
        <v>968</v>
      </c>
      <c r="I1106" s="12" t="s">
        <v>969</v>
      </c>
      <c r="J1106" s="17" t="s">
        <v>2779</v>
      </c>
      <c r="K1106" s="18" t="s">
        <v>3642</v>
      </c>
      <c r="L1106" s="19">
        <v>45882.0</v>
      </c>
      <c r="M1106" s="17" t="s">
        <v>28</v>
      </c>
      <c r="N1106" s="17" t="s">
        <v>3664</v>
      </c>
      <c r="O1106" s="17">
        <v>4.0508884E7</v>
      </c>
      <c r="Q1106" s="17" t="s">
        <v>108</v>
      </c>
      <c r="R1106" s="17" t="s">
        <v>3534</v>
      </c>
      <c r="S1106" s="17" t="s">
        <v>2198</v>
      </c>
      <c r="U1106" s="24"/>
      <c r="V1106" s="24"/>
      <c r="W1106" s="18" t="s">
        <v>915</v>
      </c>
    </row>
    <row r="1107">
      <c r="A1107" s="11"/>
      <c r="B1107" s="12" t="s">
        <v>7</v>
      </c>
      <c r="C1107" s="12" t="s">
        <v>8</v>
      </c>
      <c r="D1107" s="12" t="s">
        <v>15</v>
      </c>
      <c r="E1107" s="12" t="s">
        <v>21</v>
      </c>
      <c r="F1107" s="13" t="s">
        <v>19</v>
      </c>
      <c r="G1107" s="12" t="s">
        <v>68</v>
      </c>
      <c r="H1107" s="12" t="s">
        <v>968</v>
      </c>
      <c r="I1107" s="12" t="s">
        <v>969</v>
      </c>
      <c r="J1107" s="17" t="s">
        <v>2779</v>
      </c>
      <c r="K1107" s="18" t="s">
        <v>3642</v>
      </c>
      <c r="L1107" s="19">
        <v>45882.0</v>
      </c>
      <c r="M1107" s="17" t="s">
        <v>28</v>
      </c>
      <c r="N1107" s="17" t="s">
        <v>3665</v>
      </c>
      <c r="O1107" s="17">
        <v>7.080889E7</v>
      </c>
      <c r="Q1107" s="17" t="s">
        <v>108</v>
      </c>
      <c r="R1107" s="17" t="s">
        <v>3534</v>
      </c>
      <c r="S1107" s="17" t="s">
        <v>2198</v>
      </c>
      <c r="U1107" s="24"/>
      <c r="V1107" s="24"/>
      <c r="W1107" s="18" t="s">
        <v>915</v>
      </c>
    </row>
    <row r="1108">
      <c r="A1108" s="11"/>
      <c r="B1108" s="12" t="s">
        <v>7</v>
      </c>
      <c r="C1108" s="12" t="s">
        <v>8</v>
      </c>
      <c r="D1108" s="12" t="s">
        <v>15</v>
      </c>
      <c r="E1108" s="12" t="s">
        <v>21</v>
      </c>
      <c r="F1108" s="13" t="s">
        <v>19</v>
      </c>
      <c r="G1108" s="12" t="s">
        <v>68</v>
      </c>
      <c r="H1108" s="12" t="s">
        <v>968</v>
      </c>
      <c r="I1108" s="12" t="s">
        <v>969</v>
      </c>
      <c r="J1108" s="17" t="s">
        <v>2779</v>
      </c>
      <c r="K1108" s="18" t="s">
        <v>3642</v>
      </c>
      <c r="L1108" s="19">
        <v>45882.0</v>
      </c>
      <c r="M1108" s="17" t="s">
        <v>28</v>
      </c>
      <c r="N1108" s="17" t="s">
        <v>2284</v>
      </c>
      <c r="O1108" s="17">
        <v>4.1945018E7</v>
      </c>
      <c r="Q1108" s="2"/>
      <c r="U1108" s="24"/>
      <c r="V1108" s="24"/>
      <c r="W1108" s="18" t="s">
        <v>915</v>
      </c>
    </row>
    <row r="1109">
      <c r="A1109" s="11"/>
      <c r="B1109" s="12" t="s">
        <v>7</v>
      </c>
      <c r="C1109" s="12" t="s">
        <v>8</v>
      </c>
      <c r="D1109" s="12" t="s">
        <v>15</v>
      </c>
      <c r="E1109" s="12" t="s">
        <v>21</v>
      </c>
      <c r="F1109" s="13" t="s">
        <v>19</v>
      </c>
      <c r="G1109" s="12" t="s">
        <v>68</v>
      </c>
      <c r="H1109" s="12" t="s">
        <v>968</v>
      </c>
      <c r="I1109" s="12" t="s">
        <v>969</v>
      </c>
      <c r="J1109" s="17" t="s">
        <v>2779</v>
      </c>
      <c r="K1109" s="18" t="s">
        <v>3642</v>
      </c>
      <c r="L1109" s="19">
        <v>45882.0</v>
      </c>
      <c r="M1109" s="17" t="s">
        <v>28</v>
      </c>
      <c r="N1109" s="17" t="s">
        <v>3666</v>
      </c>
      <c r="O1109" s="17">
        <v>7.1933696E7</v>
      </c>
      <c r="Q1109" s="2"/>
      <c r="U1109" s="24"/>
      <c r="V1109" s="24"/>
      <c r="W1109" s="18" t="s">
        <v>915</v>
      </c>
    </row>
    <row r="1110">
      <c r="A1110" s="11"/>
      <c r="B1110" s="12" t="s">
        <v>7</v>
      </c>
      <c r="C1110" s="12" t="s">
        <v>8</v>
      </c>
      <c r="D1110" s="12" t="s">
        <v>15</v>
      </c>
      <c r="E1110" s="12" t="s">
        <v>21</v>
      </c>
      <c r="F1110" s="13" t="s">
        <v>19</v>
      </c>
      <c r="G1110" s="12" t="s">
        <v>68</v>
      </c>
      <c r="H1110" s="12" t="s">
        <v>968</v>
      </c>
      <c r="I1110" s="12" t="s">
        <v>969</v>
      </c>
      <c r="J1110" s="17" t="s">
        <v>2779</v>
      </c>
      <c r="K1110" s="18" t="s">
        <v>3642</v>
      </c>
      <c r="L1110" s="19">
        <v>45882.0</v>
      </c>
      <c r="M1110" s="17" t="s">
        <v>28</v>
      </c>
      <c r="N1110" s="17" t="s">
        <v>3667</v>
      </c>
      <c r="O1110" s="17">
        <v>7.2037949E7</v>
      </c>
      <c r="Q1110" s="2"/>
      <c r="U1110" s="24"/>
      <c r="V1110" s="24"/>
      <c r="W1110" s="18" t="s">
        <v>915</v>
      </c>
    </row>
    <row r="1111">
      <c r="A1111" s="11"/>
      <c r="B1111" s="12" t="s">
        <v>7</v>
      </c>
      <c r="C1111" s="12" t="s">
        <v>8</v>
      </c>
      <c r="D1111" s="12" t="s">
        <v>15</v>
      </c>
      <c r="E1111" s="12" t="s">
        <v>21</v>
      </c>
      <c r="F1111" s="13" t="s">
        <v>19</v>
      </c>
      <c r="G1111" s="12" t="s">
        <v>68</v>
      </c>
      <c r="H1111" s="12" t="s">
        <v>968</v>
      </c>
      <c r="I1111" s="12" t="s">
        <v>969</v>
      </c>
      <c r="J1111" s="17" t="s">
        <v>2779</v>
      </c>
      <c r="K1111" s="18" t="s">
        <v>3642</v>
      </c>
      <c r="L1111" s="19">
        <v>45882.0</v>
      </c>
      <c r="M1111" s="17" t="s">
        <v>28</v>
      </c>
      <c r="N1111" s="17" t="s">
        <v>3668</v>
      </c>
      <c r="O1111" s="17">
        <v>4.4474801E7</v>
      </c>
      <c r="Q1111" s="2"/>
      <c r="U1111" s="24"/>
      <c r="V1111" s="24"/>
      <c r="W1111" s="18" t="s">
        <v>915</v>
      </c>
    </row>
    <row r="1112">
      <c r="A1112" s="11"/>
      <c r="B1112" s="12" t="s">
        <v>7</v>
      </c>
      <c r="C1112" s="12" t="s">
        <v>8</v>
      </c>
      <c r="D1112" s="12" t="s">
        <v>15</v>
      </c>
      <c r="E1112" s="12" t="s">
        <v>21</v>
      </c>
      <c r="F1112" s="13" t="s">
        <v>19</v>
      </c>
      <c r="G1112" s="12" t="s">
        <v>68</v>
      </c>
      <c r="H1112" s="12" t="s">
        <v>968</v>
      </c>
      <c r="I1112" s="12" t="s">
        <v>969</v>
      </c>
      <c r="J1112" s="17" t="s">
        <v>2779</v>
      </c>
      <c r="K1112" s="18" t="s">
        <v>3642</v>
      </c>
      <c r="L1112" s="19">
        <v>45882.0</v>
      </c>
      <c r="M1112" s="17" t="s">
        <v>28</v>
      </c>
      <c r="N1112" s="17" t="s">
        <v>3669</v>
      </c>
      <c r="O1112" s="17">
        <v>4.7046375E7</v>
      </c>
      <c r="Q1112" s="2"/>
      <c r="U1112" s="24"/>
      <c r="V1112" s="24"/>
      <c r="W1112" s="18" t="s">
        <v>915</v>
      </c>
    </row>
    <row r="1113">
      <c r="A1113" s="11"/>
      <c r="B1113" s="12" t="s">
        <v>7</v>
      </c>
      <c r="C1113" s="12" t="s">
        <v>8</v>
      </c>
      <c r="D1113" s="12" t="s">
        <v>15</v>
      </c>
      <c r="E1113" s="12" t="s">
        <v>21</v>
      </c>
      <c r="F1113" s="13" t="s">
        <v>19</v>
      </c>
      <c r="G1113" s="12" t="s">
        <v>68</v>
      </c>
      <c r="H1113" s="12" t="s">
        <v>968</v>
      </c>
      <c r="I1113" s="12" t="s">
        <v>969</v>
      </c>
      <c r="J1113" s="17" t="s">
        <v>2779</v>
      </c>
      <c r="K1113" s="18" t="s">
        <v>3642</v>
      </c>
      <c r="L1113" s="19">
        <v>45882.0</v>
      </c>
      <c r="M1113" s="17" t="s">
        <v>23</v>
      </c>
      <c r="N1113" s="17" t="s">
        <v>2282</v>
      </c>
      <c r="O1113" s="17">
        <v>7.1092345E7</v>
      </c>
      <c r="Q1113" s="2"/>
      <c r="U1113" s="24"/>
      <c r="V1113" s="24"/>
      <c r="W1113" s="18" t="s">
        <v>915</v>
      </c>
    </row>
    <row r="1114">
      <c r="A1114" s="11"/>
      <c r="B1114" s="12" t="s">
        <v>7</v>
      </c>
      <c r="C1114" s="12" t="s">
        <v>8</v>
      </c>
      <c r="D1114" s="12" t="s">
        <v>15</v>
      </c>
      <c r="E1114" s="12" t="s">
        <v>21</v>
      </c>
      <c r="F1114" s="13" t="s">
        <v>19</v>
      </c>
      <c r="G1114" s="12" t="s">
        <v>68</v>
      </c>
      <c r="H1114" s="12" t="s">
        <v>968</v>
      </c>
      <c r="I1114" s="12" t="s">
        <v>969</v>
      </c>
      <c r="J1114" s="17" t="s">
        <v>2779</v>
      </c>
      <c r="K1114" s="18" t="s">
        <v>3642</v>
      </c>
      <c r="L1114" s="19">
        <v>45882.0</v>
      </c>
      <c r="M1114" s="17" t="s">
        <v>23</v>
      </c>
      <c r="N1114" s="17" t="s">
        <v>3670</v>
      </c>
      <c r="O1114" s="17">
        <v>7.1652366E7</v>
      </c>
      <c r="Q1114" s="2"/>
      <c r="U1114" s="24"/>
      <c r="V1114" s="24"/>
      <c r="W1114" s="18" t="s">
        <v>915</v>
      </c>
    </row>
    <row r="1115">
      <c r="A1115" s="11"/>
      <c r="B1115" s="12" t="s">
        <v>7</v>
      </c>
      <c r="C1115" s="12" t="s">
        <v>8</v>
      </c>
      <c r="D1115" s="12" t="s">
        <v>9</v>
      </c>
      <c r="E1115" s="12" t="s">
        <v>10</v>
      </c>
      <c r="F1115" s="13" t="s">
        <v>11</v>
      </c>
      <c r="G1115" s="12" t="s">
        <v>68</v>
      </c>
      <c r="H1115" s="12" t="s">
        <v>911</v>
      </c>
      <c r="I1115" s="12" t="s">
        <v>912</v>
      </c>
      <c r="J1115" s="17" t="s">
        <v>2779</v>
      </c>
      <c r="K1115" s="18" t="s">
        <v>3642</v>
      </c>
      <c r="L1115" s="20">
        <v>45883.0</v>
      </c>
      <c r="M1115" s="17" t="s">
        <v>23</v>
      </c>
      <c r="N1115" s="17" t="s">
        <v>3671</v>
      </c>
      <c r="O1115" s="17">
        <v>4.5010912E7</v>
      </c>
      <c r="Q1115" s="17" t="s">
        <v>108</v>
      </c>
      <c r="R1115" s="17" t="s">
        <v>3642</v>
      </c>
      <c r="S1115" s="17" t="s">
        <v>3672</v>
      </c>
      <c r="U1115" s="24"/>
      <c r="V1115" s="24"/>
      <c r="W1115" s="18" t="s">
        <v>915</v>
      </c>
    </row>
    <row r="1116">
      <c r="A1116" s="11"/>
      <c r="B1116" s="12" t="s">
        <v>7</v>
      </c>
      <c r="C1116" s="12" t="s">
        <v>8</v>
      </c>
      <c r="D1116" s="12" t="s">
        <v>9</v>
      </c>
      <c r="E1116" s="12" t="s">
        <v>10</v>
      </c>
      <c r="F1116" s="13" t="s">
        <v>11</v>
      </c>
      <c r="G1116" s="12" t="s">
        <v>68</v>
      </c>
      <c r="H1116" s="12" t="s">
        <v>911</v>
      </c>
      <c r="I1116" s="12" t="s">
        <v>912</v>
      </c>
      <c r="J1116" s="17" t="s">
        <v>2779</v>
      </c>
      <c r="K1116" s="18" t="s">
        <v>3642</v>
      </c>
      <c r="L1116" s="20">
        <v>45883.0</v>
      </c>
      <c r="M1116" s="17" t="s">
        <v>28</v>
      </c>
      <c r="N1116" s="17" t="s">
        <v>2299</v>
      </c>
      <c r="O1116" s="17">
        <v>7.1397433E7</v>
      </c>
      <c r="P1116" s="17" t="s">
        <v>3673</v>
      </c>
      <c r="Q1116" s="17" t="s">
        <v>112</v>
      </c>
      <c r="R1116" s="17">
        <v>4.0</v>
      </c>
      <c r="S1116" s="17" t="s">
        <v>3674</v>
      </c>
      <c r="U1116" s="24"/>
      <c r="V1116" s="24"/>
      <c r="W1116" s="18" t="s">
        <v>915</v>
      </c>
    </row>
    <row r="1117">
      <c r="A1117" s="11"/>
      <c r="B1117" s="12" t="s">
        <v>7</v>
      </c>
      <c r="C1117" s="12" t="s">
        <v>8</v>
      </c>
      <c r="D1117" s="12" t="s">
        <v>9</v>
      </c>
      <c r="E1117" s="12" t="s">
        <v>10</v>
      </c>
      <c r="F1117" s="13" t="s">
        <v>11</v>
      </c>
      <c r="G1117" s="12" t="s">
        <v>68</v>
      </c>
      <c r="H1117" s="12" t="s">
        <v>911</v>
      </c>
      <c r="I1117" s="12" t="s">
        <v>912</v>
      </c>
      <c r="J1117" s="17" t="s">
        <v>2779</v>
      </c>
      <c r="K1117" s="18" t="s">
        <v>3642</v>
      </c>
      <c r="L1117" s="20">
        <v>45883.0</v>
      </c>
      <c r="M1117" s="17" t="s">
        <v>28</v>
      </c>
      <c r="N1117" s="17" t="s">
        <v>2302</v>
      </c>
      <c r="O1117" s="17">
        <v>4.5960059E7</v>
      </c>
      <c r="P1117" s="17" t="s">
        <v>3675</v>
      </c>
      <c r="Q1117" s="17" t="s">
        <v>108</v>
      </c>
      <c r="S1117" s="17" t="s">
        <v>3676</v>
      </c>
      <c r="U1117" s="24"/>
      <c r="V1117" s="24"/>
      <c r="W1117" s="18" t="s">
        <v>915</v>
      </c>
    </row>
    <row r="1118">
      <c r="A1118" s="11"/>
      <c r="B1118" s="12" t="s">
        <v>7</v>
      </c>
      <c r="C1118" s="12" t="s">
        <v>8</v>
      </c>
      <c r="D1118" s="12" t="s">
        <v>9</v>
      </c>
      <c r="E1118" s="12" t="s">
        <v>10</v>
      </c>
      <c r="F1118" s="13" t="s">
        <v>11</v>
      </c>
      <c r="G1118" s="12" t="s">
        <v>68</v>
      </c>
      <c r="H1118" s="12" t="s">
        <v>911</v>
      </c>
      <c r="I1118" s="12" t="s">
        <v>912</v>
      </c>
      <c r="J1118" s="17" t="s">
        <v>2779</v>
      </c>
      <c r="K1118" s="18" t="s">
        <v>3642</v>
      </c>
      <c r="L1118" s="20">
        <v>45883.0</v>
      </c>
      <c r="M1118" s="17" t="s">
        <v>23</v>
      </c>
      <c r="N1118" s="17" t="s">
        <v>3677</v>
      </c>
      <c r="O1118" s="17">
        <v>454233.0</v>
      </c>
      <c r="Q1118" s="17" t="s">
        <v>108</v>
      </c>
      <c r="R1118" s="17" t="s">
        <v>3678</v>
      </c>
      <c r="S1118" s="17" t="s">
        <v>3679</v>
      </c>
      <c r="U1118" s="24"/>
      <c r="V1118" s="24"/>
      <c r="W1118" s="18" t="s">
        <v>915</v>
      </c>
    </row>
    <row r="1119">
      <c r="A1119" s="11"/>
      <c r="B1119" s="12" t="s">
        <v>7</v>
      </c>
      <c r="C1119" s="12" t="s">
        <v>8</v>
      </c>
      <c r="D1119" s="12" t="s">
        <v>9</v>
      </c>
      <c r="E1119" s="12" t="s">
        <v>10</v>
      </c>
      <c r="F1119" s="13" t="s">
        <v>11</v>
      </c>
      <c r="G1119" s="12" t="s">
        <v>68</v>
      </c>
      <c r="H1119" s="12" t="s">
        <v>911</v>
      </c>
      <c r="I1119" s="12" t="s">
        <v>912</v>
      </c>
      <c r="J1119" s="17" t="s">
        <v>2779</v>
      </c>
      <c r="K1119" s="18" t="s">
        <v>3642</v>
      </c>
      <c r="L1119" s="20">
        <v>45883.0</v>
      </c>
      <c r="M1119" s="17" t="s">
        <v>23</v>
      </c>
      <c r="N1119" s="17" t="s">
        <v>3680</v>
      </c>
      <c r="O1119" s="17">
        <v>4.6444871E7</v>
      </c>
      <c r="Q1119" s="17" t="s">
        <v>108</v>
      </c>
      <c r="R1119" s="17" t="s">
        <v>3534</v>
      </c>
      <c r="S1119" s="17" t="s">
        <v>2198</v>
      </c>
      <c r="U1119" s="24"/>
      <c r="V1119" s="24"/>
      <c r="W1119" s="18" t="s">
        <v>915</v>
      </c>
    </row>
    <row r="1120">
      <c r="A1120" s="11"/>
      <c r="B1120" s="12" t="s">
        <v>7</v>
      </c>
      <c r="C1120" s="12" t="s">
        <v>8</v>
      </c>
      <c r="D1120" s="12" t="s">
        <v>9</v>
      </c>
      <c r="E1120" s="12" t="s">
        <v>10</v>
      </c>
      <c r="F1120" s="13" t="s">
        <v>11</v>
      </c>
      <c r="G1120" s="12" t="s">
        <v>68</v>
      </c>
      <c r="H1120" s="12" t="s">
        <v>911</v>
      </c>
      <c r="I1120" s="12" t="s">
        <v>912</v>
      </c>
      <c r="J1120" s="17" t="s">
        <v>2779</v>
      </c>
      <c r="K1120" s="18" t="s">
        <v>3642</v>
      </c>
      <c r="L1120" s="20">
        <v>45883.0</v>
      </c>
      <c r="M1120" s="17" t="s">
        <v>28</v>
      </c>
      <c r="N1120" s="17" t="s">
        <v>3681</v>
      </c>
      <c r="O1120" s="17">
        <v>7.34682E7</v>
      </c>
      <c r="P1120" s="17" t="s">
        <v>3682</v>
      </c>
      <c r="Q1120" s="17" t="s">
        <v>73</v>
      </c>
      <c r="R1120" s="17" t="s">
        <v>1589</v>
      </c>
      <c r="S1120" s="17" t="s">
        <v>3683</v>
      </c>
      <c r="U1120" s="24"/>
      <c r="V1120" s="24"/>
      <c r="W1120" s="18" t="s">
        <v>915</v>
      </c>
    </row>
    <row r="1121">
      <c r="A1121" s="11"/>
      <c r="B1121" s="12" t="s">
        <v>7</v>
      </c>
      <c r="C1121" s="12" t="s">
        <v>8</v>
      </c>
      <c r="D1121" s="12" t="s">
        <v>9</v>
      </c>
      <c r="E1121" s="12" t="s">
        <v>10</v>
      </c>
      <c r="F1121" s="13" t="s">
        <v>11</v>
      </c>
      <c r="G1121" s="12" t="s">
        <v>68</v>
      </c>
      <c r="H1121" s="12" t="s">
        <v>911</v>
      </c>
      <c r="I1121" s="12" t="s">
        <v>912</v>
      </c>
      <c r="J1121" s="17" t="s">
        <v>2779</v>
      </c>
      <c r="K1121" s="18" t="s">
        <v>3642</v>
      </c>
      <c r="L1121" s="20">
        <v>45883.0</v>
      </c>
      <c r="M1121" s="17" t="s">
        <v>28</v>
      </c>
      <c r="N1121" s="17" t="s">
        <v>3684</v>
      </c>
      <c r="O1121" s="17">
        <v>6.1626565E7</v>
      </c>
      <c r="P1121" s="17" t="s">
        <v>3685</v>
      </c>
      <c r="Q1121" s="17" t="s">
        <v>73</v>
      </c>
      <c r="R1121" s="17" t="s">
        <v>1589</v>
      </c>
      <c r="S1121" s="17" t="s">
        <v>3686</v>
      </c>
      <c r="U1121" s="24"/>
      <c r="V1121" s="24"/>
      <c r="W1121" s="18" t="s">
        <v>915</v>
      </c>
    </row>
    <row r="1122">
      <c r="A1122" s="11"/>
      <c r="B1122" s="12" t="s">
        <v>7</v>
      </c>
      <c r="C1122" s="12" t="s">
        <v>8</v>
      </c>
      <c r="D1122" s="12" t="s">
        <v>9</v>
      </c>
      <c r="E1122" s="12" t="s">
        <v>10</v>
      </c>
      <c r="F1122" s="13" t="s">
        <v>11</v>
      </c>
      <c r="G1122" s="12" t="s">
        <v>68</v>
      </c>
      <c r="H1122" s="12" t="s">
        <v>911</v>
      </c>
      <c r="I1122" s="12" t="s">
        <v>912</v>
      </c>
      <c r="J1122" s="17" t="s">
        <v>2779</v>
      </c>
      <c r="K1122" s="18" t="s">
        <v>3642</v>
      </c>
      <c r="L1122" s="20">
        <v>45883.0</v>
      </c>
      <c r="M1122" s="17" t="s">
        <v>28</v>
      </c>
      <c r="N1122" s="17" t="s">
        <v>3687</v>
      </c>
      <c r="O1122" s="17">
        <v>7.2150266E7</v>
      </c>
      <c r="Q1122" s="17" t="s">
        <v>108</v>
      </c>
      <c r="R1122" s="17" t="s">
        <v>3534</v>
      </c>
      <c r="S1122" s="17" t="s">
        <v>2198</v>
      </c>
      <c r="U1122" s="24"/>
      <c r="V1122" s="24"/>
      <c r="W1122" s="18" t="s">
        <v>915</v>
      </c>
    </row>
    <row r="1123">
      <c r="A1123" s="11"/>
      <c r="B1123" s="12" t="s">
        <v>7</v>
      </c>
      <c r="C1123" s="12" t="s">
        <v>8</v>
      </c>
      <c r="D1123" s="12" t="s">
        <v>9</v>
      </c>
      <c r="E1123" s="12" t="s">
        <v>10</v>
      </c>
      <c r="F1123" s="13" t="s">
        <v>11</v>
      </c>
      <c r="G1123" s="12" t="s">
        <v>68</v>
      </c>
      <c r="H1123" s="12" t="s">
        <v>911</v>
      </c>
      <c r="I1123" s="12" t="s">
        <v>912</v>
      </c>
      <c r="J1123" s="17" t="s">
        <v>2779</v>
      </c>
      <c r="K1123" s="18" t="s">
        <v>3642</v>
      </c>
      <c r="L1123" s="20">
        <v>45883.0</v>
      </c>
      <c r="M1123" s="17" t="s">
        <v>28</v>
      </c>
      <c r="N1123" s="17" t="s">
        <v>3688</v>
      </c>
      <c r="O1123" s="17">
        <v>4.227157E7</v>
      </c>
      <c r="P1123" s="17" t="s">
        <v>3689</v>
      </c>
      <c r="Q1123" s="17" t="s">
        <v>73</v>
      </c>
      <c r="R1123" s="17" t="s">
        <v>1589</v>
      </c>
      <c r="S1123" s="17" t="s">
        <v>3690</v>
      </c>
      <c r="U1123" s="24"/>
      <c r="V1123" s="24"/>
      <c r="W1123" s="18" t="s">
        <v>915</v>
      </c>
    </row>
    <row r="1124">
      <c r="A1124" s="11"/>
      <c r="B1124" s="12" t="s">
        <v>7</v>
      </c>
      <c r="C1124" s="12" t="s">
        <v>8</v>
      </c>
      <c r="D1124" s="12" t="s">
        <v>9</v>
      </c>
      <c r="E1124" s="12" t="s">
        <v>10</v>
      </c>
      <c r="F1124" s="13" t="s">
        <v>11</v>
      </c>
      <c r="G1124" s="12" t="s">
        <v>68</v>
      </c>
      <c r="H1124" s="12" t="s">
        <v>911</v>
      </c>
      <c r="I1124" s="12" t="s">
        <v>912</v>
      </c>
      <c r="J1124" s="17" t="s">
        <v>2779</v>
      </c>
      <c r="K1124" s="18" t="s">
        <v>3642</v>
      </c>
      <c r="L1124" s="20">
        <v>45883.0</v>
      </c>
      <c r="M1124" s="17" t="s">
        <v>28</v>
      </c>
      <c r="N1124" s="17" t="s">
        <v>3691</v>
      </c>
      <c r="P1124" s="17" t="s">
        <v>3692</v>
      </c>
      <c r="Q1124" s="17" t="s">
        <v>73</v>
      </c>
      <c r="R1124" s="17" t="s">
        <v>1589</v>
      </c>
      <c r="S1124" s="17" t="s">
        <v>3693</v>
      </c>
      <c r="U1124" s="24"/>
      <c r="V1124" s="24"/>
      <c r="W1124" s="18" t="s">
        <v>915</v>
      </c>
    </row>
    <row r="1125">
      <c r="A1125" s="11"/>
      <c r="B1125" s="12" t="s">
        <v>7</v>
      </c>
      <c r="C1125" s="12" t="s">
        <v>8</v>
      </c>
      <c r="D1125" s="12" t="s">
        <v>9</v>
      </c>
      <c r="E1125" s="12" t="s">
        <v>10</v>
      </c>
      <c r="F1125" s="13" t="s">
        <v>11</v>
      </c>
      <c r="G1125" s="12" t="s">
        <v>68</v>
      </c>
      <c r="H1125" s="12" t="s">
        <v>911</v>
      </c>
      <c r="I1125" s="12" t="s">
        <v>912</v>
      </c>
      <c r="J1125" s="17" t="s">
        <v>2779</v>
      </c>
      <c r="K1125" s="18" t="s">
        <v>3642</v>
      </c>
      <c r="L1125" s="20">
        <v>45883.0</v>
      </c>
      <c r="M1125" s="17" t="s">
        <v>28</v>
      </c>
      <c r="N1125" s="17" t="s">
        <v>3694</v>
      </c>
      <c r="O1125" s="17">
        <v>4.6963088E7</v>
      </c>
      <c r="P1125" s="17" t="s">
        <v>3695</v>
      </c>
      <c r="Q1125" s="17" t="s">
        <v>112</v>
      </c>
      <c r="R1125" s="17" t="s">
        <v>3642</v>
      </c>
      <c r="S1125" s="17" t="s">
        <v>3696</v>
      </c>
      <c r="U1125" s="24"/>
      <c r="V1125" s="24"/>
      <c r="W1125" s="18" t="s">
        <v>915</v>
      </c>
    </row>
    <row r="1126">
      <c r="A1126" s="11"/>
      <c r="B1126" s="12" t="s">
        <v>7</v>
      </c>
      <c r="C1126" s="12" t="s">
        <v>8</v>
      </c>
      <c r="D1126" s="12" t="s">
        <v>9</v>
      </c>
      <c r="E1126" s="12" t="s">
        <v>10</v>
      </c>
      <c r="F1126" s="13" t="s">
        <v>11</v>
      </c>
      <c r="G1126" s="12" t="s">
        <v>68</v>
      </c>
      <c r="H1126" s="12" t="s">
        <v>911</v>
      </c>
      <c r="I1126" s="12" t="s">
        <v>912</v>
      </c>
      <c r="J1126" s="17" t="s">
        <v>2779</v>
      </c>
      <c r="K1126" s="18" t="s">
        <v>3642</v>
      </c>
      <c r="L1126" s="20">
        <v>45883.0</v>
      </c>
      <c r="M1126" s="17" t="s">
        <v>28</v>
      </c>
      <c r="N1126" s="17" t="s">
        <v>3697</v>
      </c>
      <c r="O1126" s="17">
        <v>3.1925853E7</v>
      </c>
      <c r="P1126" s="17" t="s">
        <v>3698</v>
      </c>
      <c r="Q1126" s="17" t="s">
        <v>108</v>
      </c>
      <c r="R1126" s="17" t="s">
        <v>3534</v>
      </c>
      <c r="S1126" s="17" t="s">
        <v>3699</v>
      </c>
      <c r="U1126" s="24"/>
      <c r="V1126" s="24"/>
      <c r="W1126" s="18" t="s">
        <v>915</v>
      </c>
    </row>
    <row r="1127">
      <c r="A1127" s="11"/>
      <c r="B1127" s="12" t="s">
        <v>7</v>
      </c>
      <c r="C1127" s="12" t="s">
        <v>8</v>
      </c>
      <c r="D1127" s="12" t="s">
        <v>9</v>
      </c>
      <c r="E1127" s="12" t="s">
        <v>10</v>
      </c>
      <c r="F1127" s="13" t="s">
        <v>11</v>
      </c>
      <c r="G1127" s="12" t="s">
        <v>68</v>
      </c>
      <c r="H1127" s="12" t="s">
        <v>911</v>
      </c>
      <c r="I1127" s="12" t="s">
        <v>912</v>
      </c>
      <c r="J1127" s="17" t="s">
        <v>2779</v>
      </c>
      <c r="K1127" s="18" t="s">
        <v>3642</v>
      </c>
      <c r="L1127" s="20">
        <v>45883.0</v>
      </c>
      <c r="M1127" s="17" t="s">
        <v>28</v>
      </c>
      <c r="N1127" s="17" t="s">
        <v>3700</v>
      </c>
      <c r="O1127" s="17">
        <v>1.0691904E7</v>
      </c>
      <c r="P1127" s="17" t="s">
        <v>3701</v>
      </c>
      <c r="Q1127" s="17" t="s">
        <v>108</v>
      </c>
      <c r="R1127" s="17" t="s">
        <v>3534</v>
      </c>
      <c r="S1127" s="17" t="s">
        <v>3702</v>
      </c>
      <c r="U1127" s="24"/>
      <c r="V1127" s="24"/>
      <c r="W1127" s="18" t="s">
        <v>915</v>
      </c>
    </row>
    <row r="1128">
      <c r="A1128" s="11"/>
      <c r="B1128" s="12" t="s">
        <v>7</v>
      </c>
      <c r="C1128" s="12" t="s">
        <v>8</v>
      </c>
      <c r="D1128" s="12" t="s">
        <v>9</v>
      </c>
      <c r="E1128" s="12" t="s">
        <v>10</v>
      </c>
      <c r="F1128" s="13" t="s">
        <v>11</v>
      </c>
      <c r="G1128" s="12" t="s">
        <v>68</v>
      </c>
      <c r="H1128" s="12" t="s">
        <v>911</v>
      </c>
      <c r="I1128" s="12" t="s">
        <v>912</v>
      </c>
      <c r="J1128" s="17" t="s">
        <v>2779</v>
      </c>
      <c r="K1128" s="18" t="s">
        <v>3642</v>
      </c>
      <c r="L1128" s="20">
        <v>45883.0</v>
      </c>
      <c r="M1128" s="17" t="s">
        <v>28</v>
      </c>
      <c r="N1128" s="17" t="s">
        <v>3703</v>
      </c>
      <c r="O1128" s="17">
        <v>7.5107889E7</v>
      </c>
      <c r="P1128" s="17" t="s">
        <v>3704</v>
      </c>
      <c r="Q1128" s="17" t="s">
        <v>108</v>
      </c>
      <c r="R1128" s="17" t="s">
        <v>3534</v>
      </c>
      <c r="S1128" s="17" t="s">
        <v>3705</v>
      </c>
      <c r="U1128" s="24"/>
      <c r="V1128" s="24"/>
      <c r="W1128" s="18" t="s">
        <v>915</v>
      </c>
    </row>
    <row r="1129">
      <c r="A1129" s="11"/>
      <c r="B1129" s="12" t="s">
        <v>7</v>
      </c>
      <c r="C1129" s="12" t="s">
        <v>8</v>
      </c>
      <c r="D1129" s="12" t="s">
        <v>9</v>
      </c>
      <c r="E1129" s="12" t="s">
        <v>10</v>
      </c>
      <c r="F1129" s="13" t="s">
        <v>11</v>
      </c>
      <c r="G1129" s="12" t="s">
        <v>68</v>
      </c>
      <c r="H1129" s="12" t="s">
        <v>911</v>
      </c>
      <c r="I1129" s="12" t="s">
        <v>912</v>
      </c>
      <c r="J1129" s="17" t="s">
        <v>2779</v>
      </c>
      <c r="K1129" s="18" t="s">
        <v>3642</v>
      </c>
      <c r="L1129" s="20">
        <v>45883.0</v>
      </c>
      <c r="M1129" s="17" t="s">
        <v>28</v>
      </c>
      <c r="N1129" s="17" t="s">
        <v>3706</v>
      </c>
      <c r="O1129" s="17">
        <v>4.3650962E7</v>
      </c>
      <c r="P1129" s="17" t="s">
        <v>3704</v>
      </c>
      <c r="Q1129" s="17" t="s">
        <v>108</v>
      </c>
      <c r="R1129" s="17" t="s">
        <v>3534</v>
      </c>
      <c r="S1129" s="17" t="s">
        <v>3705</v>
      </c>
      <c r="U1129" s="24"/>
      <c r="V1129" s="24"/>
      <c r="W1129" s="18" t="s">
        <v>915</v>
      </c>
    </row>
    <row r="1130">
      <c r="A1130" s="11"/>
      <c r="B1130" s="12" t="s">
        <v>7</v>
      </c>
      <c r="C1130" s="12" t="s">
        <v>8</v>
      </c>
      <c r="D1130" s="12" t="s">
        <v>9</v>
      </c>
      <c r="E1130" s="12" t="s">
        <v>10</v>
      </c>
      <c r="F1130" s="13" t="s">
        <v>11</v>
      </c>
      <c r="G1130" s="12" t="s">
        <v>68</v>
      </c>
      <c r="H1130" s="12" t="s">
        <v>911</v>
      </c>
      <c r="I1130" s="12" t="s">
        <v>912</v>
      </c>
      <c r="J1130" s="17" t="s">
        <v>2779</v>
      </c>
      <c r="K1130" s="18" t="s">
        <v>3642</v>
      </c>
      <c r="L1130" s="20">
        <v>45883.0</v>
      </c>
      <c r="M1130" s="17" t="s">
        <v>28</v>
      </c>
      <c r="N1130" s="17" t="s">
        <v>3707</v>
      </c>
      <c r="O1130" s="17">
        <v>7.2239784E7</v>
      </c>
      <c r="P1130" s="17" t="s">
        <v>3708</v>
      </c>
      <c r="Q1130" s="17" t="s">
        <v>108</v>
      </c>
      <c r="R1130" s="17" t="s">
        <v>109</v>
      </c>
      <c r="S1130" s="17" t="s">
        <v>3709</v>
      </c>
      <c r="U1130" s="24"/>
      <c r="V1130" s="24"/>
      <c r="W1130" s="18" t="s">
        <v>915</v>
      </c>
    </row>
    <row r="1131">
      <c r="A1131" s="11"/>
      <c r="B1131" s="12" t="s">
        <v>7</v>
      </c>
      <c r="C1131" s="12" t="s">
        <v>8</v>
      </c>
      <c r="D1131" s="12" t="s">
        <v>15</v>
      </c>
      <c r="E1131" s="12" t="s">
        <v>17</v>
      </c>
      <c r="F1131" s="13" t="s">
        <v>18</v>
      </c>
      <c r="G1131" s="12" t="s">
        <v>68</v>
      </c>
      <c r="H1131" s="12" t="s">
        <v>954</v>
      </c>
      <c r="I1131" s="12" t="s">
        <v>955</v>
      </c>
      <c r="J1131" s="17" t="s">
        <v>2783</v>
      </c>
      <c r="K1131" s="18" t="s">
        <v>3710</v>
      </c>
      <c r="L1131" s="20">
        <v>45908.0</v>
      </c>
      <c r="M1131" s="17" t="s">
        <v>28</v>
      </c>
      <c r="N1131" s="17" t="s">
        <v>3649</v>
      </c>
      <c r="O1131" s="17">
        <v>7.4297835E7</v>
      </c>
      <c r="Q1131" s="17" t="s">
        <v>112</v>
      </c>
      <c r="S1131" s="17" t="s">
        <v>112</v>
      </c>
      <c r="U1131" s="24"/>
      <c r="V1131" s="24"/>
      <c r="W1131" s="18" t="s">
        <v>915</v>
      </c>
    </row>
    <row r="1132">
      <c r="A1132" s="11"/>
      <c r="B1132" s="12" t="s">
        <v>7</v>
      </c>
      <c r="C1132" s="12" t="s">
        <v>8</v>
      </c>
      <c r="D1132" s="12" t="s">
        <v>15</v>
      </c>
      <c r="E1132" s="12" t="s">
        <v>17</v>
      </c>
      <c r="F1132" s="13" t="s">
        <v>18</v>
      </c>
      <c r="G1132" s="12" t="s">
        <v>68</v>
      </c>
      <c r="H1132" s="12" t="s">
        <v>954</v>
      </c>
      <c r="I1132" s="12" t="s">
        <v>955</v>
      </c>
      <c r="J1132" s="17" t="s">
        <v>2783</v>
      </c>
      <c r="K1132" s="18" t="s">
        <v>3710</v>
      </c>
      <c r="L1132" s="20">
        <v>45908.0</v>
      </c>
      <c r="M1132" s="17" t="s">
        <v>28</v>
      </c>
      <c r="N1132" s="17" t="s">
        <v>3650</v>
      </c>
      <c r="O1132" s="17">
        <v>4.3321862E7</v>
      </c>
      <c r="Q1132" s="17" t="s">
        <v>108</v>
      </c>
      <c r="S1132" s="17" t="s">
        <v>108</v>
      </c>
      <c r="U1132" s="24"/>
      <c r="V1132" s="24"/>
      <c r="W1132" s="18" t="s">
        <v>915</v>
      </c>
    </row>
    <row r="1133">
      <c r="A1133" s="11"/>
      <c r="B1133" s="12" t="s">
        <v>7</v>
      </c>
      <c r="C1133" s="12" t="s">
        <v>8</v>
      </c>
      <c r="D1133" s="12" t="s">
        <v>15</v>
      </c>
      <c r="E1133" s="12" t="s">
        <v>17</v>
      </c>
      <c r="F1133" s="13" t="s">
        <v>18</v>
      </c>
      <c r="G1133" s="12" t="s">
        <v>68</v>
      </c>
      <c r="H1133" s="12" t="s">
        <v>954</v>
      </c>
      <c r="I1133" s="12" t="s">
        <v>955</v>
      </c>
      <c r="J1133" s="17" t="s">
        <v>2783</v>
      </c>
      <c r="K1133" s="18" t="s">
        <v>3710</v>
      </c>
      <c r="L1133" s="20">
        <v>45908.0</v>
      </c>
      <c r="M1133" s="17" t="s">
        <v>28</v>
      </c>
      <c r="N1133" s="17" t="s">
        <v>2280</v>
      </c>
      <c r="O1133" s="17">
        <v>7.6580695E7</v>
      </c>
      <c r="Q1133" s="17" t="s">
        <v>108</v>
      </c>
      <c r="S1133" s="17" t="s">
        <v>108</v>
      </c>
      <c r="U1133" s="24"/>
      <c r="V1133" s="24"/>
      <c r="W1133" s="18" t="s">
        <v>915</v>
      </c>
    </row>
    <row r="1134">
      <c r="A1134" s="11"/>
      <c r="B1134" s="12" t="s">
        <v>7</v>
      </c>
      <c r="C1134" s="12" t="s">
        <v>8</v>
      </c>
      <c r="D1134" s="12" t="s">
        <v>15</v>
      </c>
      <c r="E1134" s="12" t="s">
        <v>17</v>
      </c>
      <c r="F1134" s="13" t="s">
        <v>18</v>
      </c>
      <c r="G1134" s="12" t="s">
        <v>68</v>
      </c>
      <c r="H1134" s="12" t="s">
        <v>954</v>
      </c>
      <c r="I1134" s="12" t="s">
        <v>955</v>
      </c>
      <c r="J1134" s="17" t="s">
        <v>2783</v>
      </c>
      <c r="K1134" s="18" t="s">
        <v>3710</v>
      </c>
      <c r="L1134" s="20">
        <v>45908.0</v>
      </c>
      <c r="M1134" s="17" t="s">
        <v>23</v>
      </c>
      <c r="N1134" s="17" t="s">
        <v>2271</v>
      </c>
      <c r="O1134" s="17">
        <v>4.5987279E7</v>
      </c>
      <c r="Q1134" s="17" t="s">
        <v>108</v>
      </c>
      <c r="R1134" s="17" t="s">
        <v>2055</v>
      </c>
      <c r="S1134" s="17" t="s">
        <v>3654</v>
      </c>
      <c r="U1134" s="24"/>
      <c r="V1134" s="24"/>
      <c r="W1134" s="18" t="s">
        <v>915</v>
      </c>
    </row>
    <row r="1135">
      <c r="A1135" s="11"/>
      <c r="B1135" s="12" t="s">
        <v>7</v>
      </c>
      <c r="C1135" s="12" t="s">
        <v>8</v>
      </c>
      <c r="D1135" s="12" t="s">
        <v>15</v>
      </c>
      <c r="E1135" s="12" t="s">
        <v>17</v>
      </c>
      <c r="F1135" s="13" t="s">
        <v>18</v>
      </c>
      <c r="G1135" s="12" t="s">
        <v>68</v>
      </c>
      <c r="H1135" s="12" t="s">
        <v>954</v>
      </c>
      <c r="I1135" s="12" t="s">
        <v>955</v>
      </c>
      <c r="J1135" s="17" t="s">
        <v>2687</v>
      </c>
      <c r="K1135" s="18">
        <v>1.0</v>
      </c>
      <c r="L1135" s="20">
        <v>45894.0</v>
      </c>
      <c r="M1135" s="17" t="s">
        <v>23</v>
      </c>
      <c r="N1135" s="17" t="s">
        <v>2271</v>
      </c>
      <c r="O1135" s="17">
        <v>4.5987279E7</v>
      </c>
      <c r="Q1135" s="17" t="s">
        <v>108</v>
      </c>
      <c r="R1135" s="17" t="s">
        <v>3653</v>
      </c>
      <c r="S1135" s="17" t="s">
        <v>3654</v>
      </c>
      <c r="U1135" s="24"/>
      <c r="V1135" s="24"/>
      <c r="W1135" s="18" t="s">
        <v>915</v>
      </c>
    </row>
    <row r="1136">
      <c r="A1136" s="11"/>
      <c r="B1136" s="12" t="s">
        <v>7</v>
      </c>
      <c r="C1136" s="12" t="s">
        <v>8</v>
      </c>
      <c r="D1136" s="12" t="s">
        <v>9</v>
      </c>
      <c r="E1136" s="12" t="s">
        <v>10</v>
      </c>
      <c r="F1136" s="13" t="s">
        <v>11</v>
      </c>
      <c r="G1136" s="12" t="s">
        <v>68</v>
      </c>
      <c r="H1136" s="12" t="s">
        <v>911</v>
      </c>
      <c r="I1136" s="12" t="s">
        <v>912</v>
      </c>
      <c r="J1136" s="17" t="s">
        <v>2687</v>
      </c>
      <c r="K1136" s="18">
        <v>1.0</v>
      </c>
      <c r="L1136" s="20">
        <v>45894.0</v>
      </c>
      <c r="M1136" s="17" t="s">
        <v>23</v>
      </c>
      <c r="N1136" s="17" t="s">
        <v>3680</v>
      </c>
      <c r="O1136" s="17">
        <v>4.6444871E7</v>
      </c>
      <c r="Q1136" s="17" t="s">
        <v>108</v>
      </c>
      <c r="R1136" s="17" t="s">
        <v>109</v>
      </c>
      <c r="S1136" s="17" t="s">
        <v>2198</v>
      </c>
      <c r="U1136" s="24"/>
      <c r="V1136" s="24"/>
      <c r="W1136" s="18" t="s">
        <v>915</v>
      </c>
    </row>
    <row r="1137">
      <c r="A1137" s="11"/>
      <c r="B1137" s="12" t="s">
        <v>7</v>
      </c>
      <c r="C1137" s="12" t="s">
        <v>8</v>
      </c>
      <c r="D1137" s="12" t="s">
        <v>9</v>
      </c>
      <c r="E1137" s="12" t="s">
        <v>10</v>
      </c>
      <c r="F1137" s="13" t="s">
        <v>11</v>
      </c>
      <c r="G1137" s="12" t="s">
        <v>68</v>
      </c>
      <c r="H1137" s="12" t="s">
        <v>911</v>
      </c>
      <c r="I1137" s="12" t="s">
        <v>912</v>
      </c>
      <c r="J1137" s="17" t="s">
        <v>2687</v>
      </c>
      <c r="K1137" s="18">
        <v>1.0</v>
      </c>
      <c r="L1137" s="20">
        <v>45894.0</v>
      </c>
      <c r="M1137" s="17" t="s">
        <v>23</v>
      </c>
      <c r="N1137" s="17" t="s">
        <v>3671</v>
      </c>
      <c r="O1137" s="17">
        <v>4.5010912E7</v>
      </c>
      <c r="Q1137" s="2"/>
      <c r="R1137" s="17" t="s">
        <v>3642</v>
      </c>
      <c r="S1137" s="17" t="s">
        <v>2780</v>
      </c>
      <c r="U1137" s="24"/>
      <c r="V1137" s="24"/>
      <c r="W1137" s="18" t="s">
        <v>915</v>
      </c>
    </row>
    <row r="1138">
      <c r="A1138" s="11"/>
      <c r="B1138" s="12" t="s">
        <v>7</v>
      </c>
      <c r="C1138" s="12" t="s">
        <v>8</v>
      </c>
      <c r="D1138" s="12" t="s">
        <v>15</v>
      </c>
      <c r="E1138" s="12" t="s">
        <v>15</v>
      </c>
      <c r="F1138" s="13" t="s">
        <v>16</v>
      </c>
      <c r="G1138" s="12" t="s">
        <v>68</v>
      </c>
      <c r="H1138" s="12" t="s">
        <v>928</v>
      </c>
      <c r="I1138" s="12" t="s">
        <v>929</v>
      </c>
      <c r="J1138" s="17" t="s">
        <v>2687</v>
      </c>
      <c r="K1138" s="18">
        <v>1.0</v>
      </c>
      <c r="L1138" s="20">
        <v>45894.0</v>
      </c>
      <c r="M1138" s="17" t="s">
        <v>23</v>
      </c>
      <c r="N1138" s="17" t="s">
        <v>3537</v>
      </c>
      <c r="O1138" s="17">
        <v>4.4662441E7</v>
      </c>
      <c r="Q1138" s="2"/>
      <c r="R1138" s="17" t="s">
        <v>3678</v>
      </c>
      <c r="S1138" s="17" t="s">
        <v>3711</v>
      </c>
      <c r="U1138" s="24"/>
      <c r="V1138" s="24"/>
      <c r="W1138" s="18" t="s">
        <v>915</v>
      </c>
    </row>
    <row r="1139">
      <c r="A1139" s="11"/>
      <c r="B1139" s="12" t="s">
        <v>7</v>
      </c>
      <c r="C1139" s="12" t="s">
        <v>8</v>
      </c>
      <c r="D1139" s="12" t="s">
        <v>15</v>
      </c>
      <c r="E1139" s="12" t="s">
        <v>15</v>
      </c>
      <c r="F1139" s="13" t="s">
        <v>16</v>
      </c>
      <c r="G1139" s="12" t="s">
        <v>68</v>
      </c>
      <c r="H1139" s="12" t="s">
        <v>928</v>
      </c>
      <c r="I1139" s="12" t="s">
        <v>929</v>
      </c>
      <c r="J1139" s="17" t="s">
        <v>2687</v>
      </c>
      <c r="K1139" s="18">
        <v>1.0</v>
      </c>
      <c r="L1139" s="20">
        <v>45894.0</v>
      </c>
      <c r="M1139" s="17" t="s">
        <v>23</v>
      </c>
      <c r="N1139" s="17" t="s">
        <v>3712</v>
      </c>
      <c r="O1139" s="17">
        <v>7.3302101E7</v>
      </c>
      <c r="Q1139" s="2"/>
      <c r="R1139" s="17" t="s">
        <v>1939</v>
      </c>
      <c r="S1139" s="17" t="s">
        <v>113</v>
      </c>
      <c r="U1139" s="24"/>
      <c r="V1139" s="24"/>
      <c r="W1139" s="18" t="s">
        <v>915</v>
      </c>
    </row>
    <row r="1140">
      <c r="A1140" s="11"/>
      <c r="B1140" s="12" t="s">
        <v>7</v>
      </c>
      <c r="C1140" s="12" t="s">
        <v>8</v>
      </c>
      <c r="D1140" s="12" t="s">
        <v>15</v>
      </c>
      <c r="E1140" s="12" t="s">
        <v>15</v>
      </c>
      <c r="F1140" s="13" t="s">
        <v>16</v>
      </c>
      <c r="G1140" s="12" t="s">
        <v>68</v>
      </c>
      <c r="H1140" s="12" t="s">
        <v>928</v>
      </c>
      <c r="I1140" s="12" t="s">
        <v>929</v>
      </c>
      <c r="J1140" s="17" t="s">
        <v>2687</v>
      </c>
      <c r="K1140" s="18">
        <v>1.0</v>
      </c>
      <c r="L1140" s="20">
        <v>45894.0</v>
      </c>
      <c r="M1140" s="17" t="s">
        <v>23</v>
      </c>
      <c r="N1140" s="17" t="s">
        <v>3713</v>
      </c>
      <c r="O1140" s="17">
        <v>3.1928376E7</v>
      </c>
      <c r="Q1140" s="2"/>
      <c r="U1140" s="24"/>
      <c r="V1140" s="24"/>
      <c r="W1140" s="18" t="s">
        <v>915</v>
      </c>
    </row>
    <row r="1141">
      <c r="A1141" s="11"/>
      <c r="B1141" s="12" t="s">
        <v>7</v>
      </c>
      <c r="C1141" s="12" t="s">
        <v>8</v>
      </c>
      <c r="D1141" s="12" t="s">
        <v>15</v>
      </c>
      <c r="E1141" s="12" t="s">
        <v>15</v>
      </c>
      <c r="F1141" s="13" t="s">
        <v>16</v>
      </c>
      <c r="G1141" s="12" t="s">
        <v>68</v>
      </c>
      <c r="H1141" s="12" t="s">
        <v>928</v>
      </c>
      <c r="I1141" s="12" t="s">
        <v>929</v>
      </c>
      <c r="J1141" s="17" t="s">
        <v>2687</v>
      </c>
      <c r="K1141" s="18">
        <v>1.0</v>
      </c>
      <c r="L1141" s="20">
        <v>45894.0</v>
      </c>
      <c r="M1141" s="17" t="s">
        <v>23</v>
      </c>
      <c r="N1141" s="17" t="s">
        <v>3714</v>
      </c>
      <c r="O1141" s="17">
        <v>7.2029599E7</v>
      </c>
      <c r="Q1141" s="2"/>
      <c r="R1141" s="17" t="s">
        <v>1589</v>
      </c>
      <c r="S1141" s="17" t="s">
        <v>74</v>
      </c>
      <c r="U1141" s="24"/>
      <c r="V1141" s="24"/>
      <c r="W1141" s="18" t="s">
        <v>915</v>
      </c>
    </row>
    <row r="1142">
      <c r="A1142" s="11"/>
      <c r="B1142" s="12" t="s">
        <v>7</v>
      </c>
      <c r="C1142" s="12" t="s">
        <v>8</v>
      </c>
      <c r="D1142" s="12" t="s">
        <v>15</v>
      </c>
      <c r="E1142" s="12" t="s">
        <v>21</v>
      </c>
      <c r="F1142" s="13" t="s">
        <v>19</v>
      </c>
      <c r="G1142" s="12" t="s">
        <v>68</v>
      </c>
      <c r="H1142" s="12" t="s">
        <v>968</v>
      </c>
      <c r="I1142" s="12" t="s">
        <v>969</v>
      </c>
      <c r="J1142" s="17" t="s">
        <v>2687</v>
      </c>
      <c r="K1142" s="18">
        <v>1.0</v>
      </c>
      <c r="L1142" s="20">
        <v>45894.0</v>
      </c>
      <c r="M1142" s="17" t="s">
        <v>23</v>
      </c>
      <c r="N1142" s="17" t="s">
        <v>3715</v>
      </c>
      <c r="O1142" s="17">
        <v>4.0148783E7</v>
      </c>
      <c r="Q1142" s="2"/>
      <c r="R1142" s="17" t="s">
        <v>3534</v>
      </c>
      <c r="S1142" s="17" t="s">
        <v>109</v>
      </c>
      <c r="U1142" s="24"/>
      <c r="V1142" s="24"/>
      <c r="W1142" s="18" t="s">
        <v>915</v>
      </c>
    </row>
    <row r="1143">
      <c r="A1143" s="11"/>
      <c r="B1143" s="12" t="s">
        <v>7</v>
      </c>
      <c r="C1143" s="12" t="s">
        <v>8</v>
      </c>
      <c r="D1143" s="12" t="s">
        <v>15</v>
      </c>
      <c r="E1143" s="12" t="s">
        <v>21</v>
      </c>
      <c r="F1143" s="13" t="s">
        <v>19</v>
      </c>
      <c r="G1143" s="12" t="s">
        <v>68</v>
      </c>
      <c r="H1143" s="12" t="s">
        <v>968</v>
      </c>
      <c r="I1143" s="12" t="s">
        <v>969</v>
      </c>
      <c r="J1143" s="17" t="s">
        <v>2687</v>
      </c>
      <c r="K1143" s="18">
        <v>1.0</v>
      </c>
      <c r="L1143" s="20">
        <v>45894.0</v>
      </c>
      <c r="M1143" s="17" t="s">
        <v>23</v>
      </c>
      <c r="N1143" s="17" t="s">
        <v>2282</v>
      </c>
      <c r="O1143" s="17">
        <v>7.1092345E7</v>
      </c>
      <c r="Q1143" s="2"/>
      <c r="R1143" s="17" t="s">
        <v>1589</v>
      </c>
      <c r="S1143" s="17" t="s">
        <v>74</v>
      </c>
      <c r="U1143" s="24"/>
      <c r="V1143" s="24"/>
      <c r="W1143" s="18" t="s">
        <v>915</v>
      </c>
    </row>
    <row r="1144">
      <c r="A1144" s="11"/>
      <c r="B1144" s="12" t="s">
        <v>7</v>
      </c>
      <c r="C1144" s="12" t="s">
        <v>8</v>
      </c>
      <c r="D1144" s="12" t="s">
        <v>15</v>
      </c>
      <c r="E1144" s="12" t="s">
        <v>21</v>
      </c>
      <c r="F1144" s="13" t="s">
        <v>19</v>
      </c>
      <c r="G1144" s="12" t="s">
        <v>68</v>
      </c>
      <c r="H1144" s="12" t="s">
        <v>968</v>
      </c>
      <c r="I1144" s="12" t="s">
        <v>969</v>
      </c>
      <c r="J1144" s="17" t="s">
        <v>2687</v>
      </c>
      <c r="K1144" s="18">
        <v>1.0</v>
      </c>
      <c r="L1144" s="20">
        <v>45894.0</v>
      </c>
      <c r="M1144" s="17" t="s">
        <v>23</v>
      </c>
      <c r="N1144" s="17" t="s">
        <v>3670</v>
      </c>
      <c r="O1144" s="17">
        <v>7.1652366E7</v>
      </c>
      <c r="Q1144" s="2"/>
      <c r="R1144" s="17" t="s">
        <v>113</v>
      </c>
      <c r="S1144" s="17" t="s">
        <v>113</v>
      </c>
      <c r="U1144" s="24"/>
      <c r="V1144" s="24"/>
      <c r="W1144" s="18" t="s">
        <v>915</v>
      </c>
    </row>
    <row r="1145">
      <c r="A1145" s="11"/>
      <c r="B1145" s="12" t="s">
        <v>43</v>
      </c>
      <c r="C1145" s="12" t="s">
        <v>65</v>
      </c>
      <c r="D1145" s="12" t="s">
        <v>43</v>
      </c>
      <c r="E1145" s="12" t="s">
        <v>188</v>
      </c>
      <c r="F1145" s="13" t="s">
        <v>189</v>
      </c>
      <c r="G1145" s="12" t="s">
        <v>68</v>
      </c>
      <c r="H1145" s="12" t="s">
        <v>190</v>
      </c>
      <c r="I1145" s="12" t="s">
        <v>191</v>
      </c>
      <c r="J1145" s="17" t="s">
        <v>2779</v>
      </c>
      <c r="K1145" s="18" t="s">
        <v>2780</v>
      </c>
      <c r="L1145" s="20">
        <v>45917.0</v>
      </c>
      <c r="M1145" s="17" t="s">
        <v>28</v>
      </c>
      <c r="N1145" s="17" t="s">
        <v>3716</v>
      </c>
      <c r="O1145" s="17">
        <v>7.2551321E7</v>
      </c>
      <c r="P1145" s="17" t="s">
        <v>3717</v>
      </c>
      <c r="Q1145" s="17" t="s">
        <v>108</v>
      </c>
      <c r="R1145" s="17" t="s">
        <v>109</v>
      </c>
      <c r="S1145" s="17" t="s">
        <v>3718</v>
      </c>
      <c r="U1145" s="24"/>
      <c r="V1145" s="24"/>
      <c r="W1145" s="18" t="s">
        <v>76</v>
      </c>
    </row>
    <row r="1146">
      <c r="A1146" s="11"/>
      <c r="B1146" s="12" t="s">
        <v>43</v>
      </c>
      <c r="C1146" s="12" t="s">
        <v>65</v>
      </c>
      <c r="D1146" s="12" t="s">
        <v>43</v>
      </c>
      <c r="E1146" s="12" t="s">
        <v>188</v>
      </c>
      <c r="F1146" s="13" t="s">
        <v>189</v>
      </c>
      <c r="G1146" s="12" t="s">
        <v>68</v>
      </c>
      <c r="H1146" s="12" t="s">
        <v>190</v>
      </c>
      <c r="I1146" s="12" t="s">
        <v>191</v>
      </c>
      <c r="J1146" s="17" t="s">
        <v>2779</v>
      </c>
      <c r="K1146" s="18" t="s">
        <v>2780</v>
      </c>
      <c r="L1146" s="20">
        <v>45917.0</v>
      </c>
      <c r="M1146" s="17" t="s">
        <v>28</v>
      </c>
      <c r="N1146" s="17" t="s">
        <v>3719</v>
      </c>
      <c r="O1146" s="17">
        <v>7.2569243E7</v>
      </c>
      <c r="P1146" s="17" t="s">
        <v>3720</v>
      </c>
      <c r="Q1146" s="17" t="s">
        <v>73</v>
      </c>
      <c r="R1146" s="17" t="s">
        <v>74</v>
      </c>
      <c r="S1146" s="17" t="s">
        <v>3721</v>
      </c>
      <c r="U1146" s="24"/>
      <c r="V1146" s="24"/>
      <c r="W1146" s="18" t="s">
        <v>76</v>
      </c>
    </row>
    <row r="1147">
      <c r="A1147" s="11"/>
      <c r="B1147" s="12" t="s">
        <v>43</v>
      </c>
      <c r="C1147" s="12" t="s">
        <v>65</v>
      </c>
      <c r="D1147" s="12" t="s">
        <v>43</v>
      </c>
      <c r="E1147" s="12" t="s">
        <v>188</v>
      </c>
      <c r="F1147" s="13" t="s">
        <v>189</v>
      </c>
      <c r="G1147" s="12" t="s">
        <v>68</v>
      </c>
      <c r="H1147" s="12" t="s">
        <v>190</v>
      </c>
      <c r="I1147" s="12" t="s">
        <v>191</v>
      </c>
      <c r="J1147" s="17" t="s">
        <v>2779</v>
      </c>
      <c r="K1147" s="18" t="s">
        <v>2780</v>
      </c>
      <c r="L1147" s="20">
        <v>45917.0</v>
      </c>
      <c r="M1147" s="17" t="s">
        <v>28</v>
      </c>
      <c r="N1147" s="17" t="s">
        <v>3722</v>
      </c>
      <c r="O1147" s="17">
        <v>4.4265821E7</v>
      </c>
      <c r="P1147" s="17" t="s">
        <v>3723</v>
      </c>
      <c r="Q1147" s="2"/>
      <c r="S1147" s="17" t="s">
        <v>3723</v>
      </c>
      <c r="U1147" s="24"/>
      <c r="V1147" s="24"/>
      <c r="W1147" s="18" t="s">
        <v>76</v>
      </c>
    </row>
    <row r="1148">
      <c r="A1148" s="11"/>
      <c r="B1148" s="12" t="s">
        <v>43</v>
      </c>
      <c r="C1148" s="12" t="s">
        <v>65</v>
      </c>
      <c r="D1148" s="12" t="s">
        <v>43</v>
      </c>
      <c r="E1148" s="12" t="s">
        <v>188</v>
      </c>
      <c r="F1148" s="13" t="s">
        <v>189</v>
      </c>
      <c r="G1148" s="12" t="s">
        <v>68</v>
      </c>
      <c r="H1148" s="12" t="s">
        <v>190</v>
      </c>
      <c r="I1148" s="12" t="s">
        <v>191</v>
      </c>
      <c r="J1148" s="17" t="s">
        <v>2779</v>
      </c>
      <c r="K1148" s="18" t="s">
        <v>2780</v>
      </c>
      <c r="L1148" s="20">
        <v>45917.0</v>
      </c>
      <c r="M1148" s="17" t="s">
        <v>28</v>
      </c>
      <c r="N1148" s="17" t="s">
        <v>3724</v>
      </c>
      <c r="O1148" s="17">
        <v>4.377673E7</v>
      </c>
      <c r="P1148" s="17" t="s">
        <v>3725</v>
      </c>
      <c r="Q1148" s="17" t="s">
        <v>108</v>
      </c>
      <c r="R1148" s="17" t="s">
        <v>3726</v>
      </c>
      <c r="S1148" s="17" t="s">
        <v>3727</v>
      </c>
      <c r="U1148" s="24"/>
      <c r="V1148" s="24"/>
      <c r="W1148" s="18" t="s">
        <v>76</v>
      </c>
    </row>
    <row r="1149">
      <c r="A1149" s="11"/>
      <c r="B1149" s="12" t="s">
        <v>43</v>
      </c>
      <c r="C1149" s="12" t="s">
        <v>65</v>
      </c>
      <c r="D1149" s="12" t="s">
        <v>43</v>
      </c>
      <c r="E1149" s="12" t="s">
        <v>188</v>
      </c>
      <c r="F1149" s="13" t="s">
        <v>189</v>
      </c>
      <c r="G1149" s="12" t="s">
        <v>68</v>
      </c>
      <c r="H1149" s="12" t="s">
        <v>190</v>
      </c>
      <c r="I1149" s="12" t="s">
        <v>191</v>
      </c>
      <c r="J1149" s="17" t="s">
        <v>2779</v>
      </c>
      <c r="K1149" s="18" t="s">
        <v>2780</v>
      </c>
      <c r="L1149" s="20">
        <v>45917.0</v>
      </c>
      <c r="M1149" s="17" t="s">
        <v>28</v>
      </c>
      <c r="N1149" s="17" t="s">
        <v>3728</v>
      </c>
      <c r="O1149" s="17">
        <v>4.238406E7</v>
      </c>
      <c r="P1149" s="17" t="s">
        <v>3729</v>
      </c>
      <c r="Q1149" s="17" t="s">
        <v>112</v>
      </c>
      <c r="R1149" s="17" t="s">
        <v>113</v>
      </c>
      <c r="S1149" s="17" t="s">
        <v>3730</v>
      </c>
      <c r="U1149" s="24"/>
      <c r="V1149" s="24"/>
      <c r="W1149" s="18" t="s">
        <v>76</v>
      </c>
    </row>
    <row r="1150">
      <c r="A1150" s="11"/>
      <c r="B1150" s="12" t="s">
        <v>43</v>
      </c>
      <c r="C1150" s="12" t="s">
        <v>65</v>
      </c>
      <c r="D1150" s="12" t="s">
        <v>43</v>
      </c>
      <c r="E1150" s="12" t="s">
        <v>188</v>
      </c>
      <c r="F1150" s="13" t="s">
        <v>189</v>
      </c>
      <c r="G1150" s="12" t="s">
        <v>68</v>
      </c>
      <c r="H1150" s="12" t="s">
        <v>190</v>
      </c>
      <c r="I1150" s="12" t="s">
        <v>191</v>
      </c>
      <c r="J1150" s="17" t="s">
        <v>2779</v>
      </c>
      <c r="K1150" s="18" t="s">
        <v>2780</v>
      </c>
      <c r="L1150" s="20">
        <v>45917.0</v>
      </c>
      <c r="M1150" s="17" t="s">
        <v>28</v>
      </c>
      <c r="N1150" s="17" t="s">
        <v>3731</v>
      </c>
      <c r="O1150" s="17">
        <v>4.2616128E7</v>
      </c>
      <c r="P1150" s="17" t="s">
        <v>3732</v>
      </c>
      <c r="Q1150" s="17" t="s">
        <v>112</v>
      </c>
      <c r="R1150" s="17" t="s">
        <v>113</v>
      </c>
      <c r="S1150" s="17" t="s">
        <v>3733</v>
      </c>
      <c r="U1150" s="24"/>
      <c r="V1150" s="24"/>
      <c r="W1150" s="18" t="s">
        <v>76</v>
      </c>
    </row>
    <row r="1151">
      <c r="A1151" s="11"/>
      <c r="B1151" s="12" t="s">
        <v>43</v>
      </c>
      <c r="C1151" s="12" t="s">
        <v>65</v>
      </c>
      <c r="D1151" s="12" t="s">
        <v>43</v>
      </c>
      <c r="E1151" s="12" t="s">
        <v>188</v>
      </c>
      <c r="F1151" s="13" t="s">
        <v>189</v>
      </c>
      <c r="G1151" s="12" t="s">
        <v>68</v>
      </c>
      <c r="H1151" s="12" t="s">
        <v>190</v>
      </c>
      <c r="I1151" s="12" t="s">
        <v>191</v>
      </c>
      <c r="J1151" s="17" t="s">
        <v>2779</v>
      </c>
      <c r="K1151" s="18" t="s">
        <v>2780</v>
      </c>
      <c r="L1151" s="20">
        <v>45917.0</v>
      </c>
      <c r="M1151" s="17" t="s">
        <v>28</v>
      </c>
      <c r="N1151" s="17" t="s">
        <v>3734</v>
      </c>
      <c r="O1151" s="17">
        <v>4.6811256E7</v>
      </c>
      <c r="P1151" s="17" t="s">
        <v>3184</v>
      </c>
      <c r="Q1151" s="17" t="s">
        <v>73</v>
      </c>
      <c r="R1151" s="17" t="s">
        <v>74</v>
      </c>
      <c r="S1151" s="17" t="s">
        <v>3735</v>
      </c>
      <c r="U1151" s="24"/>
      <c r="V1151" s="24"/>
      <c r="W1151" s="18" t="s">
        <v>76</v>
      </c>
    </row>
    <row r="1152">
      <c r="A1152" s="11"/>
      <c r="B1152" s="12" t="s">
        <v>43</v>
      </c>
      <c r="C1152" s="12" t="s">
        <v>65</v>
      </c>
      <c r="D1152" s="12" t="s">
        <v>43</v>
      </c>
      <c r="E1152" s="12" t="s">
        <v>188</v>
      </c>
      <c r="F1152" s="13" t="s">
        <v>189</v>
      </c>
      <c r="G1152" s="12" t="s">
        <v>68</v>
      </c>
      <c r="H1152" s="12" t="s">
        <v>190</v>
      </c>
      <c r="I1152" s="12" t="s">
        <v>191</v>
      </c>
      <c r="J1152" s="17" t="s">
        <v>2779</v>
      </c>
      <c r="K1152" s="18" t="s">
        <v>2780</v>
      </c>
      <c r="L1152" s="20">
        <v>45917.0</v>
      </c>
      <c r="M1152" s="17" t="s">
        <v>28</v>
      </c>
      <c r="N1152" s="17" t="s">
        <v>3180</v>
      </c>
      <c r="O1152" s="17">
        <v>7.2568669E7</v>
      </c>
      <c r="P1152" s="17" t="s">
        <v>3181</v>
      </c>
      <c r="Q1152" s="17" t="s">
        <v>112</v>
      </c>
      <c r="S1152" s="17" t="s">
        <v>3182</v>
      </c>
      <c r="U1152" s="24"/>
      <c r="V1152" s="24"/>
      <c r="W1152" s="18" t="s">
        <v>76</v>
      </c>
    </row>
    <row r="1153">
      <c r="A1153" s="11"/>
      <c r="B1153" s="12" t="s">
        <v>43</v>
      </c>
      <c r="C1153" s="12" t="s">
        <v>65</v>
      </c>
      <c r="D1153" s="12" t="s">
        <v>43</v>
      </c>
      <c r="E1153" s="12" t="s">
        <v>188</v>
      </c>
      <c r="F1153" s="13" t="s">
        <v>189</v>
      </c>
      <c r="G1153" s="12" t="s">
        <v>68</v>
      </c>
      <c r="H1153" s="12" t="s">
        <v>190</v>
      </c>
      <c r="I1153" s="12" t="s">
        <v>191</v>
      </c>
      <c r="J1153" s="17" t="s">
        <v>2779</v>
      </c>
      <c r="K1153" s="18" t="s">
        <v>2780</v>
      </c>
      <c r="L1153" s="20">
        <v>45917.0</v>
      </c>
      <c r="M1153" s="17" t="s">
        <v>28</v>
      </c>
      <c r="N1153" s="17" t="s">
        <v>3736</v>
      </c>
      <c r="O1153" s="17">
        <v>7.4426417E7</v>
      </c>
      <c r="P1153" s="17" t="s">
        <v>3187</v>
      </c>
      <c r="Q1153" s="2"/>
      <c r="S1153" s="17" t="s">
        <v>3187</v>
      </c>
      <c r="U1153" s="24"/>
      <c r="V1153" s="24"/>
      <c r="W1153" s="18" t="s">
        <v>76</v>
      </c>
    </row>
    <row r="1154">
      <c r="A1154" s="11"/>
      <c r="B1154" s="12" t="s">
        <v>43</v>
      </c>
      <c r="C1154" s="12" t="s">
        <v>65</v>
      </c>
      <c r="D1154" s="12" t="s">
        <v>43</v>
      </c>
      <c r="E1154" s="12" t="s">
        <v>188</v>
      </c>
      <c r="F1154" s="13" t="s">
        <v>189</v>
      </c>
      <c r="G1154" s="12" t="s">
        <v>68</v>
      </c>
      <c r="H1154" s="12" t="s">
        <v>190</v>
      </c>
      <c r="I1154" s="12" t="s">
        <v>191</v>
      </c>
      <c r="J1154" s="17" t="s">
        <v>2779</v>
      </c>
      <c r="K1154" s="18" t="s">
        <v>2780</v>
      </c>
      <c r="L1154" s="20">
        <v>45917.0</v>
      </c>
      <c r="M1154" s="17" t="s">
        <v>28</v>
      </c>
      <c r="N1154" s="17" t="s">
        <v>3737</v>
      </c>
      <c r="O1154" s="17">
        <v>4.5037249E7</v>
      </c>
      <c r="P1154" s="17" t="s">
        <v>3738</v>
      </c>
      <c r="Q1154" s="17" t="s">
        <v>108</v>
      </c>
      <c r="R1154" s="17" t="s">
        <v>109</v>
      </c>
      <c r="S1154" s="17" t="s">
        <v>3739</v>
      </c>
      <c r="U1154" s="24"/>
      <c r="V1154" s="24"/>
      <c r="W1154" s="18" t="s">
        <v>76</v>
      </c>
    </row>
    <row r="1155">
      <c r="A1155" s="11"/>
      <c r="B1155" s="12" t="s">
        <v>43</v>
      </c>
      <c r="C1155" s="12" t="s">
        <v>65</v>
      </c>
      <c r="D1155" s="12" t="s">
        <v>43</v>
      </c>
      <c r="E1155" s="12" t="s">
        <v>188</v>
      </c>
      <c r="F1155" s="13" t="s">
        <v>189</v>
      </c>
      <c r="G1155" s="12" t="s">
        <v>68</v>
      </c>
      <c r="H1155" s="12" t="s">
        <v>190</v>
      </c>
      <c r="I1155" s="12" t="s">
        <v>191</v>
      </c>
      <c r="J1155" s="17" t="s">
        <v>2779</v>
      </c>
      <c r="K1155" s="18" t="s">
        <v>2780</v>
      </c>
      <c r="L1155" s="20">
        <v>45917.0</v>
      </c>
      <c r="M1155" s="17" t="s">
        <v>28</v>
      </c>
      <c r="N1155" s="17" t="s">
        <v>3198</v>
      </c>
      <c r="O1155" s="17">
        <v>7.6740609E7</v>
      </c>
      <c r="P1155" s="17" t="s">
        <v>3740</v>
      </c>
      <c r="Q1155" s="17" t="s">
        <v>112</v>
      </c>
      <c r="R1155" s="17" t="s">
        <v>113</v>
      </c>
      <c r="S1155" s="17" t="s">
        <v>3741</v>
      </c>
      <c r="U1155" s="24"/>
      <c r="V1155" s="24"/>
      <c r="W1155" s="18" t="s">
        <v>76</v>
      </c>
    </row>
    <row r="1156">
      <c r="A1156" s="11"/>
      <c r="B1156" s="12" t="s">
        <v>43</v>
      </c>
      <c r="C1156" s="12" t="s">
        <v>65</v>
      </c>
      <c r="D1156" s="12" t="s">
        <v>43</v>
      </c>
      <c r="E1156" s="12" t="s">
        <v>188</v>
      </c>
      <c r="F1156" s="13" t="s">
        <v>189</v>
      </c>
      <c r="G1156" s="12" t="s">
        <v>68</v>
      </c>
      <c r="H1156" s="12" t="s">
        <v>190</v>
      </c>
      <c r="I1156" s="12" t="s">
        <v>191</v>
      </c>
      <c r="J1156" s="17" t="s">
        <v>2779</v>
      </c>
      <c r="K1156" s="18" t="s">
        <v>2780</v>
      </c>
      <c r="L1156" s="20">
        <v>45917.0</v>
      </c>
      <c r="M1156" s="17" t="s">
        <v>28</v>
      </c>
      <c r="N1156" s="17" t="s">
        <v>3742</v>
      </c>
      <c r="O1156" s="17">
        <v>4.2955151E7</v>
      </c>
      <c r="P1156" s="17" t="s">
        <v>3743</v>
      </c>
      <c r="Q1156" s="2"/>
      <c r="S1156" s="17" t="s">
        <v>3743</v>
      </c>
      <c r="U1156" s="24"/>
      <c r="V1156" s="24"/>
      <c r="W1156" s="18" t="s">
        <v>76</v>
      </c>
    </row>
    <row r="1157">
      <c r="A1157" s="11"/>
      <c r="B1157" s="12" t="s">
        <v>43</v>
      </c>
      <c r="C1157" s="12" t="s">
        <v>65</v>
      </c>
      <c r="D1157" s="12" t="s">
        <v>43</v>
      </c>
      <c r="E1157" s="12" t="s">
        <v>188</v>
      </c>
      <c r="F1157" s="13" t="s">
        <v>189</v>
      </c>
      <c r="G1157" s="12" t="s">
        <v>68</v>
      </c>
      <c r="H1157" s="12" t="s">
        <v>190</v>
      </c>
      <c r="I1157" s="12" t="s">
        <v>191</v>
      </c>
      <c r="J1157" s="17" t="s">
        <v>2779</v>
      </c>
      <c r="K1157" s="18" t="s">
        <v>2780</v>
      </c>
      <c r="L1157" s="20">
        <v>45917.0</v>
      </c>
      <c r="M1157" s="17" t="s">
        <v>28</v>
      </c>
      <c r="N1157" s="17" t="s">
        <v>3744</v>
      </c>
      <c r="O1157" s="17">
        <v>4.3893169E7</v>
      </c>
      <c r="P1157" s="17" t="s">
        <v>3745</v>
      </c>
      <c r="Q1157" s="17" t="s">
        <v>73</v>
      </c>
      <c r="R1157" s="17" t="s">
        <v>74</v>
      </c>
      <c r="S1157" s="17" t="s">
        <v>3746</v>
      </c>
      <c r="U1157" s="24"/>
      <c r="V1157" s="24"/>
      <c r="W1157" s="18" t="s">
        <v>76</v>
      </c>
    </row>
    <row r="1158">
      <c r="A1158" s="11"/>
      <c r="B1158" s="12" t="s">
        <v>43</v>
      </c>
      <c r="C1158" s="12" t="s">
        <v>65</v>
      </c>
      <c r="D1158" s="12" t="s">
        <v>43</v>
      </c>
      <c r="E1158" s="12" t="s">
        <v>188</v>
      </c>
      <c r="F1158" s="13" t="s">
        <v>189</v>
      </c>
      <c r="G1158" s="12" t="s">
        <v>68</v>
      </c>
      <c r="H1158" s="12" t="s">
        <v>190</v>
      </c>
      <c r="I1158" s="12" t="s">
        <v>191</v>
      </c>
      <c r="J1158" s="17" t="s">
        <v>2779</v>
      </c>
      <c r="K1158" s="18" t="s">
        <v>2780</v>
      </c>
      <c r="L1158" s="20">
        <v>45917.0</v>
      </c>
      <c r="M1158" s="17" t="s">
        <v>28</v>
      </c>
      <c r="N1158" s="17" t="s">
        <v>3747</v>
      </c>
      <c r="O1158" s="17">
        <v>4.5308289E7</v>
      </c>
      <c r="P1158" s="17" t="s">
        <v>3748</v>
      </c>
      <c r="Q1158" s="17" t="s">
        <v>73</v>
      </c>
      <c r="S1158" s="17" t="s">
        <v>3749</v>
      </c>
      <c r="U1158" s="24"/>
      <c r="V1158" s="24"/>
      <c r="W1158" s="18" t="s">
        <v>76</v>
      </c>
    </row>
    <row r="1159">
      <c r="A1159" s="11"/>
      <c r="B1159" s="12" t="s">
        <v>43</v>
      </c>
      <c r="C1159" s="12" t="s">
        <v>65</v>
      </c>
      <c r="D1159" s="12" t="s">
        <v>43</v>
      </c>
      <c r="E1159" s="12" t="s">
        <v>188</v>
      </c>
      <c r="F1159" s="13" t="s">
        <v>189</v>
      </c>
      <c r="G1159" s="12" t="s">
        <v>68</v>
      </c>
      <c r="H1159" s="12" t="s">
        <v>190</v>
      </c>
      <c r="I1159" s="12" t="s">
        <v>191</v>
      </c>
      <c r="J1159" s="17" t="s">
        <v>2779</v>
      </c>
      <c r="K1159" s="18" t="s">
        <v>2780</v>
      </c>
      <c r="L1159" s="20">
        <v>45917.0</v>
      </c>
      <c r="M1159" s="17" t="s">
        <v>28</v>
      </c>
      <c r="N1159" s="17" t="s">
        <v>3750</v>
      </c>
      <c r="O1159" s="17">
        <v>4.8321573E7</v>
      </c>
      <c r="P1159" s="17" t="s">
        <v>3751</v>
      </c>
      <c r="Q1159" s="17" t="s">
        <v>112</v>
      </c>
      <c r="R1159" s="17" t="s">
        <v>113</v>
      </c>
      <c r="S1159" s="17" t="s">
        <v>3752</v>
      </c>
      <c r="U1159" s="24"/>
      <c r="V1159" s="24"/>
      <c r="W1159" s="18" t="s">
        <v>76</v>
      </c>
    </row>
    <row r="1160">
      <c r="A1160" s="11"/>
      <c r="B1160" s="12" t="s">
        <v>43</v>
      </c>
      <c r="C1160" s="12" t="s">
        <v>65</v>
      </c>
      <c r="D1160" s="12" t="s">
        <v>43</v>
      </c>
      <c r="E1160" s="12" t="s">
        <v>188</v>
      </c>
      <c r="F1160" s="13" t="s">
        <v>189</v>
      </c>
      <c r="G1160" s="12" t="s">
        <v>68</v>
      </c>
      <c r="H1160" s="12" t="s">
        <v>190</v>
      </c>
      <c r="I1160" s="12" t="s">
        <v>191</v>
      </c>
      <c r="J1160" s="17" t="s">
        <v>2779</v>
      </c>
      <c r="K1160" s="18" t="s">
        <v>2780</v>
      </c>
      <c r="L1160" s="20">
        <v>45917.0</v>
      </c>
      <c r="M1160" s="17" t="s">
        <v>28</v>
      </c>
      <c r="N1160" s="17" t="s">
        <v>3753</v>
      </c>
      <c r="O1160" s="17">
        <v>3.23044883E8</v>
      </c>
      <c r="P1160" s="17" t="s">
        <v>3754</v>
      </c>
      <c r="Q1160" s="17" t="s">
        <v>112</v>
      </c>
      <c r="R1160" s="17" t="s">
        <v>113</v>
      </c>
      <c r="S1160" s="17" t="s">
        <v>3755</v>
      </c>
      <c r="U1160" s="24"/>
      <c r="V1160" s="24"/>
      <c r="W1160" s="18" t="s">
        <v>76</v>
      </c>
    </row>
    <row r="1161">
      <c r="A1161" s="11"/>
      <c r="B1161" s="12" t="s">
        <v>43</v>
      </c>
      <c r="C1161" s="12" t="s">
        <v>65</v>
      </c>
      <c r="D1161" s="12" t="s">
        <v>43</v>
      </c>
      <c r="E1161" s="12" t="s">
        <v>188</v>
      </c>
      <c r="F1161" s="13" t="s">
        <v>189</v>
      </c>
      <c r="G1161" s="12" t="s">
        <v>68</v>
      </c>
      <c r="H1161" s="12" t="s">
        <v>190</v>
      </c>
      <c r="I1161" s="12" t="s">
        <v>191</v>
      </c>
      <c r="J1161" s="17" t="s">
        <v>2779</v>
      </c>
      <c r="K1161" s="18" t="s">
        <v>2780</v>
      </c>
      <c r="L1161" s="20">
        <v>45917.0</v>
      </c>
      <c r="M1161" s="17" t="s">
        <v>28</v>
      </c>
      <c r="N1161" s="17" t="s">
        <v>3756</v>
      </c>
      <c r="O1161" s="17">
        <v>7.2603507E7</v>
      </c>
      <c r="P1161" s="17" t="s">
        <v>3757</v>
      </c>
      <c r="Q1161" s="17" t="s">
        <v>108</v>
      </c>
      <c r="S1161" s="17" t="s">
        <v>3758</v>
      </c>
      <c r="U1161" s="24"/>
      <c r="V1161" s="24"/>
      <c r="W1161" s="18" t="s">
        <v>76</v>
      </c>
    </row>
    <row r="1162">
      <c r="A1162" s="11"/>
      <c r="B1162" s="12" t="s">
        <v>43</v>
      </c>
      <c r="C1162" s="12" t="s">
        <v>65</v>
      </c>
      <c r="D1162" s="12" t="s">
        <v>43</v>
      </c>
      <c r="E1162" s="12" t="s">
        <v>188</v>
      </c>
      <c r="F1162" s="13" t="s">
        <v>189</v>
      </c>
      <c r="G1162" s="12" t="s">
        <v>68</v>
      </c>
      <c r="H1162" s="12" t="s">
        <v>190</v>
      </c>
      <c r="I1162" s="12" t="s">
        <v>191</v>
      </c>
      <c r="J1162" s="17" t="s">
        <v>2779</v>
      </c>
      <c r="K1162" s="18" t="s">
        <v>2780</v>
      </c>
      <c r="L1162" s="20">
        <v>45917.0</v>
      </c>
      <c r="M1162" s="17" t="s">
        <v>23</v>
      </c>
      <c r="N1162" s="17" t="s">
        <v>3408</v>
      </c>
      <c r="Q1162" s="17" t="s">
        <v>108</v>
      </c>
      <c r="R1162" s="17" t="s">
        <v>109</v>
      </c>
      <c r="S1162" s="17" t="s">
        <v>2198</v>
      </c>
      <c r="U1162" s="24"/>
      <c r="V1162" s="24"/>
      <c r="W1162" s="18" t="s">
        <v>76</v>
      </c>
    </row>
    <row r="1163">
      <c r="A1163" s="11"/>
      <c r="B1163" s="12" t="s">
        <v>43</v>
      </c>
      <c r="C1163" s="12" t="s">
        <v>65</v>
      </c>
      <c r="D1163" s="12" t="s">
        <v>43</v>
      </c>
      <c r="E1163" s="12" t="s">
        <v>188</v>
      </c>
      <c r="F1163" s="13" t="s">
        <v>189</v>
      </c>
      <c r="G1163" s="12" t="s">
        <v>68</v>
      </c>
      <c r="H1163" s="12" t="s">
        <v>190</v>
      </c>
      <c r="I1163" s="12" t="s">
        <v>191</v>
      </c>
      <c r="J1163" s="17" t="s">
        <v>2779</v>
      </c>
      <c r="K1163" s="18" t="s">
        <v>2780</v>
      </c>
      <c r="L1163" s="20">
        <v>45917.0</v>
      </c>
      <c r="M1163" s="17" t="s">
        <v>23</v>
      </c>
      <c r="N1163" s="116" t="s">
        <v>3407</v>
      </c>
      <c r="Q1163" s="17" t="s">
        <v>73</v>
      </c>
      <c r="R1163" s="17" t="s">
        <v>74</v>
      </c>
      <c r="S1163" s="17" t="s">
        <v>2202</v>
      </c>
      <c r="U1163" s="24"/>
      <c r="V1163" s="24"/>
      <c r="W1163" s="18" t="s">
        <v>76</v>
      </c>
    </row>
    <row r="1164">
      <c r="A1164" s="11"/>
      <c r="B1164" s="12" t="s">
        <v>43</v>
      </c>
      <c r="C1164" s="12" t="s">
        <v>65</v>
      </c>
      <c r="D1164" s="12" t="s">
        <v>43</v>
      </c>
      <c r="E1164" s="12" t="s">
        <v>188</v>
      </c>
      <c r="F1164" s="13" t="s">
        <v>189</v>
      </c>
      <c r="G1164" s="12" t="s">
        <v>68</v>
      </c>
      <c r="H1164" s="12" t="s">
        <v>190</v>
      </c>
      <c r="I1164" s="12" t="s">
        <v>191</v>
      </c>
      <c r="J1164" s="17" t="s">
        <v>2779</v>
      </c>
      <c r="K1164" s="18" t="s">
        <v>2780</v>
      </c>
      <c r="L1164" s="20">
        <v>45917.0</v>
      </c>
      <c r="M1164" s="17" t="s">
        <v>23</v>
      </c>
      <c r="N1164" s="17" t="s">
        <v>3759</v>
      </c>
      <c r="Q1164" s="17" t="s">
        <v>112</v>
      </c>
      <c r="R1164" s="17" t="s">
        <v>113</v>
      </c>
      <c r="S1164" s="17" t="s">
        <v>2220</v>
      </c>
      <c r="U1164" s="24"/>
      <c r="V1164" s="24"/>
      <c r="W1164" s="18" t="s">
        <v>76</v>
      </c>
    </row>
    <row r="1165">
      <c r="A1165" s="11"/>
      <c r="B1165" s="12" t="s">
        <v>43</v>
      </c>
      <c r="C1165" s="12" t="s">
        <v>65</v>
      </c>
      <c r="D1165" s="12" t="s">
        <v>43</v>
      </c>
      <c r="E1165" s="12" t="s">
        <v>66</v>
      </c>
      <c r="F1165" s="13" t="s">
        <v>67</v>
      </c>
      <c r="G1165" s="12" t="s">
        <v>68</v>
      </c>
      <c r="H1165" s="12" t="s">
        <v>69</v>
      </c>
      <c r="I1165" s="12" t="s">
        <v>70</v>
      </c>
      <c r="J1165" s="17" t="s">
        <v>2779</v>
      </c>
      <c r="K1165" s="18">
        <v>4.0</v>
      </c>
      <c r="L1165" s="20">
        <v>45917.0</v>
      </c>
      <c r="M1165" s="17" t="s">
        <v>28</v>
      </c>
      <c r="N1165" s="17" t="s">
        <v>3760</v>
      </c>
      <c r="O1165" s="17">
        <v>4.6544994E7</v>
      </c>
      <c r="P1165" s="17" t="s">
        <v>3761</v>
      </c>
      <c r="Q1165" s="17" t="s">
        <v>73</v>
      </c>
      <c r="R1165" s="17" t="s">
        <v>74</v>
      </c>
      <c r="S1165" s="17" t="s">
        <v>3762</v>
      </c>
      <c r="U1165" s="24"/>
      <c r="V1165" s="24"/>
      <c r="W1165" s="18" t="s">
        <v>76</v>
      </c>
    </row>
    <row r="1166">
      <c r="A1166" s="11"/>
      <c r="B1166" s="12" t="s">
        <v>43</v>
      </c>
      <c r="C1166" s="12" t="s">
        <v>65</v>
      </c>
      <c r="D1166" s="12" t="s">
        <v>43</v>
      </c>
      <c r="E1166" s="12" t="s">
        <v>66</v>
      </c>
      <c r="F1166" s="13" t="s">
        <v>67</v>
      </c>
      <c r="G1166" s="12" t="s">
        <v>68</v>
      </c>
      <c r="H1166" s="12" t="s">
        <v>69</v>
      </c>
      <c r="I1166" s="12" t="s">
        <v>70</v>
      </c>
      <c r="J1166" s="17" t="s">
        <v>2779</v>
      </c>
      <c r="K1166" s="18">
        <v>4.0</v>
      </c>
      <c r="L1166" s="20">
        <v>45917.0</v>
      </c>
      <c r="M1166" s="17" t="s">
        <v>28</v>
      </c>
      <c r="N1166" s="17" t="s">
        <v>3763</v>
      </c>
      <c r="O1166" s="17">
        <v>4.8760216E7</v>
      </c>
      <c r="P1166" s="17" t="s">
        <v>3764</v>
      </c>
      <c r="Q1166" s="17" t="s">
        <v>73</v>
      </c>
      <c r="R1166" s="17" t="s">
        <v>74</v>
      </c>
      <c r="S1166" s="17" t="s">
        <v>3765</v>
      </c>
      <c r="U1166" s="24"/>
      <c r="V1166" s="24"/>
      <c r="W1166" s="18" t="s">
        <v>76</v>
      </c>
    </row>
    <row r="1167">
      <c r="A1167" s="11"/>
      <c r="B1167" s="12" t="s">
        <v>43</v>
      </c>
      <c r="C1167" s="12" t="s">
        <v>65</v>
      </c>
      <c r="D1167" s="12" t="s">
        <v>43</v>
      </c>
      <c r="E1167" s="12" t="s">
        <v>66</v>
      </c>
      <c r="F1167" s="13" t="s">
        <v>67</v>
      </c>
      <c r="G1167" s="12" t="s">
        <v>68</v>
      </c>
      <c r="H1167" s="12" t="s">
        <v>69</v>
      </c>
      <c r="I1167" s="12" t="s">
        <v>70</v>
      </c>
      <c r="J1167" s="17" t="s">
        <v>2779</v>
      </c>
      <c r="K1167" s="18">
        <v>4.0</v>
      </c>
      <c r="L1167" s="20">
        <v>45917.0</v>
      </c>
      <c r="M1167" s="17" t="s">
        <v>28</v>
      </c>
      <c r="N1167" s="17" t="s">
        <v>71</v>
      </c>
      <c r="O1167" s="17">
        <v>7.1278187E7</v>
      </c>
      <c r="P1167" s="17" t="s">
        <v>3766</v>
      </c>
      <c r="Q1167" s="17" t="s">
        <v>73</v>
      </c>
      <c r="R1167" s="17" t="s">
        <v>74</v>
      </c>
      <c r="S1167" s="17" t="s">
        <v>3767</v>
      </c>
      <c r="U1167" s="24"/>
      <c r="V1167" s="24"/>
      <c r="W1167" s="18" t="s">
        <v>76</v>
      </c>
    </row>
    <row r="1168">
      <c r="A1168" s="11"/>
      <c r="B1168" s="12" t="s">
        <v>43</v>
      </c>
      <c r="C1168" s="12" t="s">
        <v>65</v>
      </c>
      <c r="D1168" s="12" t="s">
        <v>43</v>
      </c>
      <c r="E1168" s="12" t="s">
        <v>66</v>
      </c>
      <c r="F1168" s="13" t="s">
        <v>67</v>
      </c>
      <c r="G1168" s="12" t="s">
        <v>68</v>
      </c>
      <c r="H1168" s="12" t="s">
        <v>69</v>
      </c>
      <c r="I1168" s="12" t="s">
        <v>70</v>
      </c>
      <c r="J1168" s="17" t="s">
        <v>2779</v>
      </c>
      <c r="K1168" s="18">
        <v>4.0</v>
      </c>
      <c r="L1168" s="20">
        <v>45917.0</v>
      </c>
      <c r="M1168" s="17" t="s">
        <v>28</v>
      </c>
      <c r="N1168" s="17" t="s">
        <v>3768</v>
      </c>
      <c r="O1168" s="17">
        <v>7.2574717E7</v>
      </c>
      <c r="P1168" s="17" t="s">
        <v>3769</v>
      </c>
      <c r="Q1168" s="17" t="s">
        <v>112</v>
      </c>
      <c r="R1168" s="17" t="s">
        <v>113</v>
      </c>
      <c r="S1168" s="17" t="s">
        <v>3770</v>
      </c>
      <c r="U1168" s="24"/>
      <c r="V1168" s="24"/>
      <c r="W1168" s="18" t="s">
        <v>76</v>
      </c>
    </row>
    <row r="1169">
      <c r="A1169" s="11"/>
      <c r="B1169" s="12" t="s">
        <v>43</v>
      </c>
      <c r="C1169" s="12" t="s">
        <v>65</v>
      </c>
      <c r="D1169" s="12" t="s">
        <v>43</v>
      </c>
      <c r="E1169" s="12" t="s">
        <v>66</v>
      </c>
      <c r="F1169" s="13" t="s">
        <v>67</v>
      </c>
      <c r="G1169" s="12" t="s">
        <v>68</v>
      </c>
      <c r="H1169" s="12" t="s">
        <v>69</v>
      </c>
      <c r="I1169" s="12" t="s">
        <v>70</v>
      </c>
      <c r="J1169" s="17" t="s">
        <v>2779</v>
      </c>
      <c r="K1169" s="18">
        <v>4.0</v>
      </c>
      <c r="L1169" s="20">
        <v>45917.0</v>
      </c>
      <c r="M1169" s="17" t="s">
        <v>28</v>
      </c>
      <c r="N1169" s="17" t="s">
        <v>3771</v>
      </c>
      <c r="P1169" s="17" t="s">
        <v>3772</v>
      </c>
      <c r="Q1169" s="17" t="s">
        <v>108</v>
      </c>
      <c r="R1169" s="17" t="s">
        <v>109</v>
      </c>
      <c r="S1169" s="17" t="s">
        <v>3773</v>
      </c>
      <c r="U1169" s="24"/>
      <c r="V1169" s="24"/>
      <c r="W1169" s="18" t="s">
        <v>76</v>
      </c>
    </row>
    <row r="1170">
      <c r="A1170" s="11"/>
      <c r="B1170" s="12" t="s">
        <v>43</v>
      </c>
      <c r="C1170" s="12" t="s">
        <v>65</v>
      </c>
      <c r="D1170" s="12" t="s">
        <v>43</v>
      </c>
      <c r="E1170" s="12" t="s">
        <v>66</v>
      </c>
      <c r="F1170" s="13" t="s">
        <v>67</v>
      </c>
      <c r="G1170" s="12" t="s">
        <v>68</v>
      </c>
      <c r="H1170" s="12" t="s">
        <v>69</v>
      </c>
      <c r="I1170" s="12" t="s">
        <v>70</v>
      </c>
      <c r="J1170" s="17" t="s">
        <v>2779</v>
      </c>
      <c r="K1170" s="18">
        <v>4.0</v>
      </c>
      <c r="L1170" s="20">
        <v>45917.0</v>
      </c>
      <c r="M1170" s="17" t="s">
        <v>28</v>
      </c>
      <c r="N1170" s="17" t="s">
        <v>3774</v>
      </c>
      <c r="O1170" s="17">
        <v>4.0618501E7</v>
      </c>
      <c r="P1170" s="17" t="s">
        <v>3775</v>
      </c>
      <c r="Q1170" s="17" t="s">
        <v>108</v>
      </c>
      <c r="R1170" s="17" t="s">
        <v>109</v>
      </c>
      <c r="S1170" s="17" t="s">
        <v>3776</v>
      </c>
      <c r="U1170" s="24"/>
      <c r="V1170" s="24"/>
      <c r="W1170" s="18" t="s">
        <v>76</v>
      </c>
    </row>
    <row r="1171">
      <c r="A1171" s="11"/>
      <c r="B1171" s="12" t="s">
        <v>43</v>
      </c>
      <c r="C1171" s="12" t="s">
        <v>65</v>
      </c>
      <c r="D1171" s="12" t="s">
        <v>43</v>
      </c>
      <c r="E1171" s="12" t="s">
        <v>66</v>
      </c>
      <c r="F1171" s="13" t="s">
        <v>67</v>
      </c>
      <c r="G1171" s="12" t="s">
        <v>68</v>
      </c>
      <c r="H1171" s="12" t="s">
        <v>69</v>
      </c>
      <c r="I1171" s="12" t="s">
        <v>70</v>
      </c>
      <c r="J1171" s="17" t="s">
        <v>2779</v>
      </c>
      <c r="K1171" s="18">
        <v>4.0</v>
      </c>
      <c r="L1171" s="20">
        <v>45917.0</v>
      </c>
      <c r="M1171" s="17" t="s">
        <v>28</v>
      </c>
      <c r="N1171" s="17" t="s">
        <v>3777</v>
      </c>
      <c r="P1171" s="17" t="s">
        <v>3761</v>
      </c>
      <c r="Q1171" s="17" t="s">
        <v>73</v>
      </c>
      <c r="R1171" s="17" t="s">
        <v>74</v>
      </c>
      <c r="S1171" s="17" t="s">
        <v>3762</v>
      </c>
      <c r="U1171" s="24"/>
      <c r="V1171" s="24"/>
      <c r="W1171" s="18" t="s">
        <v>76</v>
      </c>
    </row>
    <row r="1172">
      <c r="A1172" s="11"/>
      <c r="B1172" s="12" t="s">
        <v>43</v>
      </c>
      <c r="C1172" s="12" t="s">
        <v>65</v>
      </c>
      <c r="D1172" s="12" t="s">
        <v>43</v>
      </c>
      <c r="E1172" s="12" t="s">
        <v>66</v>
      </c>
      <c r="F1172" s="13" t="s">
        <v>67</v>
      </c>
      <c r="G1172" s="12" t="s">
        <v>68</v>
      </c>
      <c r="H1172" s="12" t="s">
        <v>69</v>
      </c>
      <c r="I1172" s="12" t="s">
        <v>70</v>
      </c>
      <c r="J1172" s="17" t="s">
        <v>2779</v>
      </c>
      <c r="K1172" s="18">
        <v>4.0</v>
      </c>
      <c r="L1172" s="20">
        <v>45917.0</v>
      </c>
      <c r="M1172" s="17" t="s">
        <v>23</v>
      </c>
      <c r="N1172" s="17" t="s">
        <v>3410</v>
      </c>
      <c r="Q1172" s="17" t="s">
        <v>108</v>
      </c>
      <c r="R1172" s="17" t="s">
        <v>109</v>
      </c>
      <c r="S1172" s="17" t="s">
        <v>2198</v>
      </c>
      <c r="U1172" s="24"/>
      <c r="V1172" s="24"/>
      <c r="W1172" s="18" t="s">
        <v>76</v>
      </c>
    </row>
    <row r="1173">
      <c r="A1173" s="11"/>
      <c r="B1173" s="12" t="s">
        <v>43</v>
      </c>
      <c r="C1173" s="12" t="s">
        <v>65</v>
      </c>
      <c r="D1173" s="12" t="s">
        <v>43</v>
      </c>
      <c r="E1173" s="12" t="s">
        <v>66</v>
      </c>
      <c r="F1173" s="13" t="s">
        <v>67</v>
      </c>
      <c r="G1173" s="12" t="s">
        <v>68</v>
      </c>
      <c r="H1173" s="12" t="s">
        <v>69</v>
      </c>
      <c r="I1173" s="12" t="s">
        <v>70</v>
      </c>
      <c r="J1173" s="17" t="s">
        <v>2779</v>
      </c>
      <c r="K1173" s="18">
        <v>4.0</v>
      </c>
      <c r="L1173" s="20">
        <v>45917.0</v>
      </c>
      <c r="M1173" s="17" t="s">
        <v>23</v>
      </c>
      <c r="N1173" s="17" t="s">
        <v>3161</v>
      </c>
      <c r="Q1173" s="17" t="s">
        <v>73</v>
      </c>
      <c r="R1173" s="17" t="s">
        <v>74</v>
      </c>
      <c r="S1173" s="17" t="s">
        <v>2202</v>
      </c>
      <c r="U1173" s="24"/>
      <c r="V1173" s="24"/>
      <c r="W1173" s="18" t="s">
        <v>76</v>
      </c>
    </row>
    <row r="1174">
      <c r="A1174" s="11"/>
      <c r="B1174" s="12" t="s">
        <v>34</v>
      </c>
      <c r="C1174" s="12" t="s">
        <v>65</v>
      </c>
      <c r="D1174" s="12" t="s">
        <v>43</v>
      </c>
      <c r="E1174" s="12" t="s">
        <v>224</v>
      </c>
      <c r="F1174" s="13" t="s">
        <v>225</v>
      </c>
      <c r="G1174" s="12" t="s">
        <v>68</v>
      </c>
      <c r="H1174" s="12" t="s">
        <v>226</v>
      </c>
      <c r="I1174" s="12" t="s">
        <v>227</v>
      </c>
      <c r="J1174" s="17" t="s">
        <v>2796</v>
      </c>
      <c r="K1174" s="18" t="s">
        <v>2797</v>
      </c>
      <c r="L1174" s="20">
        <v>45930.0</v>
      </c>
      <c r="M1174" s="17" t="s">
        <v>28</v>
      </c>
      <c r="N1174" s="17" t="s">
        <v>3082</v>
      </c>
      <c r="O1174" s="17">
        <v>7.4986709E7</v>
      </c>
      <c r="P1174" s="17" t="s">
        <v>3083</v>
      </c>
      <c r="Q1174" s="17" t="s">
        <v>108</v>
      </c>
      <c r="R1174" s="17" t="s">
        <v>109</v>
      </c>
      <c r="S1174" s="17" t="s">
        <v>3578</v>
      </c>
      <c r="U1174" s="18">
        <v>9.63547935E8</v>
      </c>
      <c r="V1174" s="24"/>
      <c r="W1174" s="18" t="s">
        <v>76</v>
      </c>
    </row>
    <row r="1175">
      <c r="A1175" s="11"/>
      <c r="B1175" s="12" t="s">
        <v>34</v>
      </c>
      <c r="C1175" s="12" t="s">
        <v>65</v>
      </c>
      <c r="D1175" s="12" t="s">
        <v>43</v>
      </c>
      <c r="E1175" s="12" t="s">
        <v>224</v>
      </c>
      <c r="F1175" s="13" t="s">
        <v>225</v>
      </c>
      <c r="G1175" s="12" t="s">
        <v>68</v>
      </c>
      <c r="H1175" s="12" t="s">
        <v>226</v>
      </c>
      <c r="I1175" s="12" t="s">
        <v>227</v>
      </c>
      <c r="J1175" s="17" t="s">
        <v>2796</v>
      </c>
      <c r="K1175" s="18" t="s">
        <v>2797</v>
      </c>
      <c r="L1175" s="20">
        <v>45930.0</v>
      </c>
      <c r="M1175" s="17" t="s">
        <v>28</v>
      </c>
      <c r="N1175" s="17" t="s">
        <v>2989</v>
      </c>
      <c r="O1175" s="17">
        <v>4.5241127E7</v>
      </c>
      <c r="P1175" s="17" t="s">
        <v>3104</v>
      </c>
      <c r="Q1175" s="17" t="s">
        <v>112</v>
      </c>
      <c r="R1175" s="17" t="s">
        <v>113</v>
      </c>
      <c r="S1175" s="17" t="s">
        <v>3778</v>
      </c>
      <c r="U1175" s="18">
        <v>9.64771066E8</v>
      </c>
      <c r="V1175" s="24"/>
      <c r="W1175" s="18" t="s">
        <v>76</v>
      </c>
    </row>
    <row r="1176">
      <c r="A1176" s="11"/>
      <c r="B1176" s="12" t="s">
        <v>34</v>
      </c>
      <c r="C1176" s="12" t="s">
        <v>65</v>
      </c>
      <c r="D1176" s="12" t="s">
        <v>43</v>
      </c>
      <c r="E1176" s="12" t="s">
        <v>224</v>
      </c>
      <c r="F1176" s="13" t="s">
        <v>225</v>
      </c>
      <c r="G1176" s="12" t="s">
        <v>68</v>
      </c>
      <c r="H1176" s="12" t="s">
        <v>226</v>
      </c>
      <c r="I1176" s="12" t="s">
        <v>227</v>
      </c>
      <c r="J1176" s="17" t="s">
        <v>2796</v>
      </c>
      <c r="K1176" s="18" t="s">
        <v>2797</v>
      </c>
      <c r="L1176" s="20">
        <v>45930.0</v>
      </c>
      <c r="M1176" s="17" t="s">
        <v>28</v>
      </c>
      <c r="N1176" s="17" t="s">
        <v>3779</v>
      </c>
      <c r="O1176" s="17">
        <v>7.2574751E7</v>
      </c>
      <c r="P1176" s="17" t="s">
        <v>3086</v>
      </c>
      <c r="Q1176" s="17" t="s">
        <v>112</v>
      </c>
      <c r="R1176" s="17" t="s">
        <v>113</v>
      </c>
      <c r="S1176" s="17" t="s">
        <v>3577</v>
      </c>
      <c r="U1176" s="18">
        <v>9.78357548E8</v>
      </c>
      <c r="V1176" s="24"/>
      <c r="W1176" s="18" t="s">
        <v>76</v>
      </c>
    </row>
    <row r="1177">
      <c r="A1177" s="11"/>
      <c r="B1177" s="12" t="s">
        <v>34</v>
      </c>
      <c r="C1177" s="12" t="s">
        <v>65</v>
      </c>
      <c r="D1177" s="12" t="s">
        <v>43</v>
      </c>
      <c r="E1177" s="12" t="s">
        <v>224</v>
      </c>
      <c r="F1177" s="13" t="s">
        <v>225</v>
      </c>
      <c r="G1177" s="12" t="s">
        <v>68</v>
      </c>
      <c r="H1177" s="12" t="s">
        <v>226</v>
      </c>
      <c r="I1177" s="12" t="s">
        <v>227</v>
      </c>
      <c r="J1177" s="17" t="s">
        <v>2796</v>
      </c>
      <c r="K1177" s="18" t="s">
        <v>2797</v>
      </c>
      <c r="L1177" s="20">
        <v>45930.0</v>
      </c>
      <c r="M1177" s="17" t="s">
        <v>28</v>
      </c>
      <c r="N1177" s="17" t="s">
        <v>3024</v>
      </c>
      <c r="O1177" s="17">
        <v>7.4397931E7</v>
      </c>
      <c r="P1177" s="17" t="s">
        <v>3780</v>
      </c>
      <c r="Q1177" s="17" t="s">
        <v>108</v>
      </c>
      <c r="R1177" s="17" t="s">
        <v>109</v>
      </c>
      <c r="S1177" s="17" t="s">
        <v>3781</v>
      </c>
      <c r="U1177" s="18">
        <v>9.4750865E8</v>
      </c>
      <c r="V1177" s="24"/>
      <c r="W1177" s="18" t="s">
        <v>76</v>
      </c>
    </row>
    <row r="1178">
      <c r="A1178" s="11"/>
      <c r="B1178" s="12" t="s">
        <v>34</v>
      </c>
      <c r="C1178" s="12" t="s">
        <v>65</v>
      </c>
      <c r="D1178" s="12" t="s">
        <v>43</v>
      </c>
      <c r="E1178" s="12" t="s">
        <v>224</v>
      </c>
      <c r="F1178" s="13" t="s">
        <v>225</v>
      </c>
      <c r="G1178" s="12" t="s">
        <v>68</v>
      </c>
      <c r="H1178" s="12" t="s">
        <v>226</v>
      </c>
      <c r="I1178" s="12" t="s">
        <v>227</v>
      </c>
      <c r="J1178" s="17" t="s">
        <v>2796</v>
      </c>
      <c r="K1178" s="18" t="s">
        <v>2797</v>
      </c>
      <c r="L1178" s="20">
        <v>45930.0</v>
      </c>
      <c r="M1178" s="17" t="s">
        <v>28</v>
      </c>
      <c r="N1178" s="17" t="s">
        <v>3006</v>
      </c>
      <c r="O1178" s="17">
        <v>4.7602211E7</v>
      </c>
      <c r="P1178" s="17" t="s">
        <v>3007</v>
      </c>
      <c r="Q1178" s="17" t="s">
        <v>73</v>
      </c>
      <c r="R1178" s="17" t="s">
        <v>74</v>
      </c>
      <c r="S1178" s="17" t="s">
        <v>3556</v>
      </c>
      <c r="U1178" s="18">
        <v>9.32778767E8</v>
      </c>
      <c r="V1178" s="24"/>
      <c r="W1178" s="18" t="s">
        <v>76</v>
      </c>
    </row>
    <row r="1179">
      <c r="A1179" s="11"/>
      <c r="B1179" s="12" t="s">
        <v>34</v>
      </c>
      <c r="C1179" s="12" t="s">
        <v>65</v>
      </c>
      <c r="D1179" s="12" t="s">
        <v>43</v>
      </c>
      <c r="E1179" s="12" t="s">
        <v>224</v>
      </c>
      <c r="F1179" s="13" t="s">
        <v>225</v>
      </c>
      <c r="G1179" s="12" t="s">
        <v>68</v>
      </c>
      <c r="H1179" s="12" t="s">
        <v>226</v>
      </c>
      <c r="I1179" s="12" t="s">
        <v>227</v>
      </c>
      <c r="J1179" s="17" t="s">
        <v>2796</v>
      </c>
      <c r="K1179" s="18" t="s">
        <v>2797</v>
      </c>
      <c r="L1179" s="20">
        <v>45930.0</v>
      </c>
      <c r="M1179" s="17" t="s">
        <v>28</v>
      </c>
      <c r="N1179" s="17" t="s">
        <v>3076</v>
      </c>
      <c r="O1179" s="17">
        <v>4.6455121E7</v>
      </c>
      <c r="P1179" s="17" t="s">
        <v>3077</v>
      </c>
      <c r="Q1179" s="17" t="s">
        <v>73</v>
      </c>
      <c r="R1179" s="17" t="s">
        <v>74</v>
      </c>
      <c r="S1179" s="17" t="s">
        <v>3555</v>
      </c>
      <c r="U1179" s="18">
        <v>9.56664652E8</v>
      </c>
      <c r="V1179" s="24"/>
      <c r="W1179" s="18" t="s">
        <v>76</v>
      </c>
    </row>
    <row r="1180">
      <c r="A1180" s="11"/>
      <c r="B1180" s="12" t="s">
        <v>34</v>
      </c>
      <c r="C1180" s="12" t="s">
        <v>65</v>
      </c>
      <c r="D1180" s="12" t="s">
        <v>43</v>
      </c>
      <c r="E1180" s="12" t="s">
        <v>224</v>
      </c>
      <c r="F1180" s="13" t="s">
        <v>225</v>
      </c>
      <c r="G1180" s="12" t="s">
        <v>68</v>
      </c>
      <c r="H1180" s="12" t="s">
        <v>226</v>
      </c>
      <c r="I1180" s="12" t="s">
        <v>227</v>
      </c>
      <c r="J1180" s="17" t="s">
        <v>2796</v>
      </c>
      <c r="K1180" s="18" t="s">
        <v>2797</v>
      </c>
      <c r="L1180" s="20">
        <v>45930.0</v>
      </c>
      <c r="M1180" s="17" t="s">
        <v>28</v>
      </c>
      <c r="N1180" s="17" t="s">
        <v>3109</v>
      </c>
      <c r="O1180" s="17">
        <v>4.70984E7</v>
      </c>
      <c r="P1180" s="17" t="s">
        <v>3110</v>
      </c>
      <c r="Q1180" s="17" t="s">
        <v>73</v>
      </c>
      <c r="R1180" s="17" t="s">
        <v>74</v>
      </c>
      <c r="S1180" s="17" t="s">
        <v>3564</v>
      </c>
      <c r="U1180" s="18">
        <v>9.68389209E8</v>
      </c>
      <c r="V1180" s="24"/>
      <c r="W1180" s="18" t="s">
        <v>76</v>
      </c>
    </row>
    <row r="1181">
      <c r="A1181" s="11"/>
      <c r="B1181" s="12" t="s">
        <v>34</v>
      </c>
      <c r="C1181" s="12" t="s">
        <v>65</v>
      </c>
      <c r="D1181" s="12" t="s">
        <v>43</v>
      </c>
      <c r="E1181" s="12" t="s">
        <v>224</v>
      </c>
      <c r="F1181" s="13" t="s">
        <v>225</v>
      </c>
      <c r="G1181" s="12" t="s">
        <v>68</v>
      </c>
      <c r="H1181" s="12" t="s">
        <v>226</v>
      </c>
      <c r="I1181" s="12" t="s">
        <v>227</v>
      </c>
      <c r="J1181" s="17" t="s">
        <v>2796</v>
      </c>
      <c r="K1181" s="18" t="s">
        <v>2797</v>
      </c>
      <c r="L1181" s="20">
        <v>45930.0</v>
      </c>
      <c r="M1181" s="17" t="s">
        <v>28</v>
      </c>
      <c r="N1181" s="17" t="s">
        <v>3091</v>
      </c>
      <c r="O1181" s="17">
        <v>4.7696352E7</v>
      </c>
      <c r="P1181" s="17" t="s">
        <v>3025</v>
      </c>
      <c r="Q1181" s="17" t="s">
        <v>73</v>
      </c>
      <c r="R1181" s="17" t="s">
        <v>74</v>
      </c>
      <c r="S1181" s="17" t="s">
        <v>3782</v>
      </c>
      <c r="U1181" s="18">
        <v>9.93754564E8</v>
      </c>
      <c r="V1181" s="24"/>
      <c r="W1181" s="18" t="s">
        <v>76</v>
      </c>
    </row>
    <row r="1182">
      <c r="A1182" s="11"/>
      <c r="B1182" s="12" t="s">
        <v>34</v>
      </c>
      <c r="C1182" s="12" t="s">
        <v>65</v>
      </c>
      <c r="D1182" s="12" t="s">
        <v>43</v>
      </c>
      <c r="E1182" s="12" t="s">
        <v>224</v>
      </c>
      <c r="F1182" s="13" t="s">
        <v>225</v>
      </c>
      <c r="G1182" s="12" t="s">
        <v>68</v>
      </c>
      <c r="H1182" s="12" t="s">
        <v>226</v>
      </c>
      <c r="I1182" s="12" t="s">
        <v>227</v>
      </c>
      <c r="J1182" s="17" t="s">
        <v>2796</v>
      </c>
      <c r="K1182" s="18" t="s">
        <v>2797</v>
      </c>
      <c r="L1182" s="20">
        <v>45930.0</v>
      </c>
      <c r="M1182" s="17" t="s">
        <v>28</v>
      </c>
      <c r="N1182" s="17" t="s">
        <v>3551</v>
      </c>
      <c r="O1182" s="17">
        <v>4.8264395E7</v>
      </c>
      <c r="P1182" s="17" t="s">
        <v>3552</v>
      </c>
      <c r="Q1182" s="2"/>
      <c r="U1182" s="18">
        <v>9.91779484E8</v>
      </c>
      <c r="V1182" s="24"/>
      <c r="W1182" s="18" t="s">
        <v>76</v>
      </c>
    </row>
    <row r="1183">
      <c r="A1183" s="11"/>
      <c r="B1183" s="12" t="s">
        <v>34</v>
      </c>
      <c r="C1183" s="12" t="s">
        <v>65</v>
      </c>
      <c r="D1183" s="12" t="s">
        <v>43</v>
      </c>
      <c r="E1183" s="12" t="s">
        <v>224</v>
      </c>
      <c r="F1183" s="13" t="s">
        <v>225</v>
      </c>
      <c r="G1183" s="12" t="s">
        <v>68</v>
      </c>
      <c r="H1183" s="12" t="s">
        <v>226</v>
      </c>
      <c r="I1183" s="12" t="s">
        <v>227</v>
      </c>
      <c r="J1183" s="17" t="s">
        <v>2796</v>
      </c>
      <c r="K1183" s="18" t="s">
        <v>2797</v>
      </c>
      <c r="L1183" s="20">
        <v>45930.0</v>
      </c>
      <c r="M1183" s="17" t="s">
        <v>28</v>
      </c>
      <c r="N1183" s="9" t="s">
        <v>3088</v>
      </c>
      <c r="O1183" s="17">
        <v>7.3468947E7</v>
      </c>
      <c r="P1183" s="17" t="s">
        <v>3089</v>
      </c>
      <c r="Q1183" s="17" t="s">
        <v>112</v>
      </c>
      <c r="R1183" s="17" t="s">
        <v>113</v>
      </c>
      <c r="S1183" s="17" t="s">
        <v>3783</v>
      </c>
      <c r="U1183" s="18">
        <v>9.79883715E8</v>
      </c>
      <c r="V1183" s="24"/>
      <c r="W1183" s="18" t="s">
        <v>76</v>
      </c>
    </row>
    <row r="1184">
      <c r="A1184" s="11"/>
      <c r="B1184" s="12" t="s">
        <v>34</v>
      </c>
      <c r="C1184" s="12" t="s">
        <v>65</v>
      </c>
      <c r="D1184" s="12" t="s">
        <v>43</v>
      </c>
      <c r="E1184" s="12" t="s">
        <v>224</v>
      </c>
      <c r="F1184" s="13" t="s">
        <v>225</v>
      </c>
      <c r="G1184" s="12" t="s">
        <v>68</v>
      </c>
      <c r="H1184" s="12" t="s">
        <v>226</v>
      </c>
      <c r="I1184" s="12" t="s">
        <v>227</v>
      </c>
      <c r="J1184" s="17" t="s">
        <v>2796</v>
      </c>
      <c r="K1184" s="18" t="s">
        <v>2797</v>
      </c>
      <c r="L1184" s="20">
        <v>45930.0</v>
      </c>
      <c r="M1184" s="17" t="s">
        <v>28</v>
      </c>
      <c r="N1184" s="17" t="s">
        <v>2991</v>
      </c>
      <c r="O1184" s="17">
        <v>7.2108997E7</v>
      </c>
      <c r="P1184" s="17" t="s">
        <v>2992</v>
      </c>
      <c r="Q1184" s="17" t="s">
        <v>73</v>
      </c>
      <c r="R1184" s="17" t="s">
        <v>74</v>
      </c>
      <c r="S1184" s="17" t="s">
        <v>3548</v>
      </c>
      <c r="U1184" s="18">
        <v>9.67750884E8</v>
      </c>
      <c r="V1184" s="24"/>
      <c r="W1184" s="18" t="s">
        <v>76</v>
      </c>
    </row>
    <row r="1185">
      <c r="A1185" s="11"/>
      <c r="B1185" s="12" t="s">
        <v>34</v>
      </c>
      <c r="C1185" s="12" t="s">
        <v>65</v>
      </c>
      <c r="D1185" s="12" t="s">
        <v>43</v>
      </c>
      <c r="E1185" s="12" t="s">
        <v>224</v>
      </c>
      <c r="F1185" s="13" t="s">
        <v>225</v>
      </c>
      <c r="G1185" s="12" t="s">
        <v>68</v>
      </c>
      <c r="H1185" s="12" t="s">
        <v>226</v>
      </c>
      <c r="I1185" s="12" t="s">
        <v>227</v>
      </c>
      <c r="J1185" s="17" t="s">
        <v>2796</v>
      </c>
      <c r="K1185" s="18" t="s">
        <v>2797</v>
      </c>
      <c r="L1185" s="20">
        <v>45930.0</v>
      </c>
      <c r="M1185" s="17" t="s">
        <v>28</v>
      </c>
      <c r="N1185" s="17" t="s">
        <v>2987</v>
      </c>
      <c r="O1185" s="17">
        <v>7.3489266E7</v>
      </c>
      <c r="P1185" s="16" t="s">
        <v>1523</v>
      </c>
      <c r="Q1185" s="17" t="s">
        <v>112</v>
      </c>
      <c r="R1185" s="17" t="s">
        <v>113</v>
      </c>
      <c r="S1185" s="17" t="s">
        <v>3550</v>
      </c>
      <c r="U1185" s="18">
        <v>9.65601304E8</v>
      </c>
      <c r="V1185" s="24"/>
      <c r="W1185" s="18" t="s">
        <v>76</v>
      </c>
    </row>
    <row r="1186">
      <c r="A1186" s="11"/>
      <c r="B1186" s="12" t="s">
        <v>34</v>
      </c>
      <c r="C1186" s="12" t="s">
        <v>65</v>
      </c>
      <c r="D1186" s="12" t="s">
        <v>43</v>
      </c>
      <c r="E1186" s="12" t="s">
        <v>224</v>
      </c>
      <c r="F1186" s="13" t="s">
        <v>225</v>
      </c>
      <c r="G1186" s="12" t="s">
        <v>68</v>
      </c>
      <c r="H1186" s="12" t="s">
        <v>226</v>
      </c>
      <c r="I1186" s="12" t="s">
        <v>227</v>
      </c>
      <c r="J1186" s="17" t="s">
        <v>2796</v>
      </c>
      <c r="K1186" s="18" t="s">
        <v>2797</v>
      </c>
      <c r="L1186" s="20">
        <v>45930.0</v>
      </c>
      <c r="M1186" s="17" t="s">
        <v>28</v>
      </c>
      <c r="N1186" s="17" t="s">
        <v>3049</v>
      </c>
      <c r="O1186" s="17">
        <v>7.2043462E7</v>
      </c>
      <c r="P1186" s="17" t="s">
        <v>3050</v>
      </c>
      <c r="Q1186" s="17" t="s">
        <v>112</v>
      </c>
      <c r="R1186" s="17" t="s">
        <v>113</v>
      </c>
      <c r="S1186" s="17" t="s">
        <v>3784</v>
      </c>
      <c r="U1186" s="18">
        <v>9.57674318E8</v>
      </c>
      <c r="V1186" s="24"/>
      <c r="W1186" s="18" t="s">
        <v>76</v>
      </c>
    </row>
    <row r="1187">
      <c r="A1187" s="11"/>
      <c r="B1187" s="23"/>
      <c r="C1187" s="23"/>
      <c r="D1187" s="23"/>
      <c r="E1187" s="23"/>
      <c r="F1187" s="13" t="s">
        <v>225</v>
      </c>
      <c r="G1187" s="23"/>
      <c r="H1187" s="23"/>
      <c r="I1187" s="23"/>
      <c r="J1187" s="17" t="s">
        <v>2796</v>
      </c>
      <c r="K1187" s="18" t="s">
        <v>2797</v>
      </c>
      <c r="L1187" s="20">
        <v>45930.0</v>
      </c>
      <c r="M1187" s="17" t="s">
        <v>28</v>
      </c>
      <c r="N1187" s="17" t="s">
        <v>3064</v>
      </c>
      <c r="O1187" s="17">
        <v>4.463827E7</v>
      </c>
      <c r="P1187" s="17" t="s">
        <v>3065</v>
      </c>
      <c r="Q1187" s="17" t="s">
        <v>73</v>
      </c>
      <c r="R1187" s="17" t="s">
        <v>74</v>
      </c>
      <c r="S1187" s="17" t="s">
        <v>3785</v>
      </c>
      <c r="U1187" s="24"/>
      <c r="V1187" s="24"/>
      <c r="W1187" s="18" t="s">
        <v>76</v>
      </c>
    </row>
    <row r="1188">
      <c r="A1188" s="11"/>
      <c r="B1188" s="12" t="s">
        <v>34</v>
      </c>
      <c r="C1188" s="12" t="s">
        <v>65</v>
      </c>
      <c r="D1188" s="12" t="s">
        <v>43</v>
      </c>
      <c r="E1188" s="12" t="s">
        <v>224</v>
      </c>
      <c r="F1188" s="13" t="s">
        <v>225</v>
      </c>
      <c r="G1188" s="12" t="s">
        <v>68</v>
      </c>
      <c r="H1188" s="12" t="s">
        <v>226</v>
      </c>
      <c r="I1188" s="12" t="s">
        <v>227</v>
      </c>
      <c r="J1188" s="17" t="s">
        <v>2796</v>
      </c>
      <c r="K1188" s="18" t="s">
        <v>2797</v>
      </c>
      <c r="L1188" s="20">
        <v>45930.0</v>
      </c>
      <c r="M1188" s="17" t="s">
        <v>28</v>
      </c>
      <c r="N1188" s="17" t="s">
        <v>2994</v>
      </c>
      <c r="O1188" s="17">
        <v>4.3949075E7</v>
      </c>
      <c r="P1188" s="17" t="s">
        <v>3128</v>
      </c>
      <c r="Q1188" s="17" t="s">
        <v>108</v>
      </c>
      <c r="R1188" s="17" t="s">
        <v>109</v>
      </c>
      <c r="S1188" s="17" t="s">
        <v>3583</v>
      </c>
      <c r="U1188" s="18">
        <v>9.59013967E8</v>
      </c>
      <c r="V1188" s="24"/>
      <c r="W1188" s="18" t="s">
        <v>76</v>
      </c>
    </row>
    <row r="1189">
      <c r="A1189" s="11"/>
      <c r="B1189" s="12" t="s">
        <v>34</v>
      </c>
      <c r="C1189" s="12" t="s">
        <v>65</v>
      </c>
      <c r="D1189" s="12" t="s">
        <v>43</v>
      </c>
      <c r="E1189" s="12" t="s">
        <v>224</v>
      </c>
      <c r="F1189" s="13" t="s">
        <v>225</v>
      </c>
      <c r="G1189" s="12" t="s">
        <v>68</v>
      </c>
      <c r="H1189" s="12" t="s">
        <v>226</v>
      </c>
      <c r="I1189" s="12" t="s">
        <v>227</v>
      </c>
      <c r="J1189" s="17" t="s">
        <v>2796</v>
      </c>
      <c r="K1189" s="18" t="s">
        <v>2797</v>
      </c>
      <c r="L1189" s="20">
        <v>45930.0</v>
      </c>
      <c r="M1189" s="17" t="s">
        <v>28</v>
      </c>
      <c r="N1189" s="17" t="s">
        <v>3037</v>
      </c>
      <c r="O1189" s="17">
        <v>7.6836651E7</v>
      </c>
      <c r="P1189" s="17" t="s">
        <v>3038</v>
      </c>
      <c r="Q1189" s="17" t="s">
        <v>112</v>
      </c>
      <c r="R1189" s="17" t="s">
        <v>113</v>
      </c>
      <c r="S1189" s="17" t="s">
        <v>3786</v>
      </c>
      <c r="U1189" s="24"/>
      <c r="V1189" s="24"/>
      <c r="W1189" s="18" t="s">
        <v>76</v>
      </c>
    </row>
    <row r="1190">
      <c r="A1190" s="11"/>
      <c r="B1190" s="12" t="s">
        <v>34</v>
      </c>
      <c r="C1190" s="12" t="s">
        <v>65</v>
      </c>
      <c r="D1190" s="12" t="s">
        <v>43</v>
      </c>
      <c r="E1190" s="12" t="s">
        <v>224</v>
      </c>
      <c r="F1190" s="13" t="s">
        <v>225</v>
      </c>
      <c r="G1190" s="12" t="s">
        <v>68</v>
      </c>
      <c r="H1190" s="12" t="s">
        <v>226</v>
      </c>
      <c r="I1190" s="12" t="s">
        <v>227</v>
      </c>
      <c r="J1190" s="17" t="s">
        <v>2796</v>
      </c>
      <c r="K1190" s="18" t="s">
        <v>2797</v>
      </c>
      <c r="L1190" s="20">
        <v>45930.0</v>
      </c>
      <c r="M1190" s="17" t="s">
        <v>28</v>
      </c>
      <c r="N1190" s="17" t="s">
        <v>3034</v>
      </c>
      <c r="O1190" s="17">
        <v>4.719226E7</v>
      </c>
      <c r="P1190" s="17" t="s">
        <v>3035</v>
      </c>
      <c r="Q1190" s="17" t="s">
        <v>73</v>
      </c>
      <c r="R1190" s="17" t="s">
        <v>74</v>
      </c>
      <c r="S1190" s="17" t="s">
        <v>3565</v>
      </c>
      <c r="U1190" s="18">
        <v>9.20527376E8</v>
      </c>
      <c r="V1190" s="24"/>
      <c r="W1190" s="18" t="s">
        <v>76</v>
      </c>
    </row>
    <row r="1191">
      <c r="A1191" s="11"/>
      <c r="B1191" s="23"/>
      <c r="C1191" s="23"/>
      <c r="D1191" s="23"/>
      <c r="E1191" s="23"/>
      <c r="F1191" s="13" t="s">
        <v>225</v>
      </c>
      <c r="G1191" s="23"/>
      <c r="H1191" s="23"/>
      <c r="I1191" s="23"/>
      <c r="J1191" s="17" t="s">
        <v>2796</v>
      </c>
      <c r="K1191" s="18" t="s">
        <v>2797</v>
      </c>
      <c r="L1191" s="20">
        <v>45930.0</v>
      </c>
      <c r="M1191" s="17" t="s">
        <v>28</v>
      </c>
      <c r="N1191" s="119" t="s">
        <v>3058</v>
      </c>
      <c r="O1191" s="17">
        <v>4.5888958E7</v>
      </c>
      <c r="P1191" s="17" t="s">
        <v>3787</v>
      </c>
      <c r="Q1191" s="17" t="s">
        <v>112</v>
      </c>
      <c r="R1191" s="17" t="s">
        <v>113</v>
      </c>
      <c r="S1191" s="17" t="s">
        <v>3788</v>
      </c>
      <c r="U1191" s="18">
        <v>9.44979736E8</v>
      </c>
      <c r="V1191" s="24"/>
      <c r="W1191" s="18" t="s">
        <v>76</v>
      </c>
    </row>
    <row r="1192">
      <c r="A1192" s="11"/>
      <c r="B1192" s="12" t="s">
        <v>34</v>
      </c>
      <c r="C1192" s="12" t="s">
        <v>65</v>
      </c>
      <c r="D1192" s="12" t="s">
        <v>43</v>
      </c>
      <c r="E1192" s="12" t="s">
        <v>224</v>
      </c>
      <c r="F1192" s="13" t="s">
        <v>225</v>
      </c>
      <c r="G1192" s="12" t="s">
        <v>68</v>
      </c>
      <c r="H1192" s="12" t="s">
        <v>226</v>
      </c>
      <c r="I1192" s="12" t="s">
        <v>227</v>
      </c>
      <c r="J1192" s="17" t="s">
        <v>2796</v>
      </c>
      <c r="K1192" s="18" t="s">
        <v>2797</v>
      </c>
      <c r="L1192" s="20">
        <v>45930.0</v>
      </c>
      <c r="M1192" s="17" t="s">
        <v>28</v>
      </c>
      <c r="N1192" s="17" t="s">
        <v>3030</v>
      </c>
      <c r="O1192" s="17">
        <v>4.5766368E7</v>
      </c>
      <c r="P1192" s="17" t="s">
        <v>3031</v>
      </c>
      <c r="Q1192" s="17" t="s">
        <v>73</v>
      </c>
      <c r="R1192" s="17" t="s">
        <v>74</v>
      </c>
      <c r="S1192" s="17" t="s">
        <v>3585</v>
      </c>
      <c r="U1192" s="18">
        <v>9.69495331E8</v>
      </c>
      <c r="V1192" s="24"/>
      <c r="W1192" s="18" t="s">
        <v>76</v>
      </c>
    </row>
    <row r="1193">
      <c r="A1193" s="11"/>
      <c r="B1193" s="12" t="s">
        <v>34</v>
      </c>
      <c r="C1193" s="12" t="s">
        <v>65</v>
      </c>
      <c r="D1193" s="12" t="s">
        <v>43</v>
      </c>
      <c r="E1193" s="12" t="s">
        <v>224</v>
      </c>
      <c r="F1193" s="13" t="s">
        <v>225</v>
      </c>
      <c r="G1193" s="12" t="s">
        <v>68</v>
      </c>
      <c r="H1193" s="12" t="s">
        <v>226</v>
      </c>
      <c r="I1193" s="12" t="s">
        <v>227</v>
      </c>
      <c r="J1193" s="17" t="s">
        <v>2796</v>
      </c>
      <c r="K1193" s="18" t="s">
        <v>2797</v>
      </c>
      <c r="L1193" s="20">
        <v>45930.0</v>
      </c>
      <c r="M1193" s="17" t="s">
        <v>28</v>
      </c>
      <c r="N1193" s="17" t="s">
        <v>3067</v>
      </c>
      <c r="O1193" s="17">
        <v>7.6665754E7</v>
      </c>
      <c r="P1193" s="17" t="s">
        <v>3068</v>
      </c>
      <c r="Q1193" s="17" t="s">
        <v>73</v>
      </c>
      <c r="R1193" s="17" t="s">
        <v>74</v>
      </c>
      <c r="S1193" s="17" t="s">
        <v>3789</v>
      </c>
      <c r="U1193" s="18">
        <v>9.56604528E8</v>
      </c>
      <c r="V1193" s="24"/>
      <c r="W1193" s="18" t="s">
        <v>76</v>
      </c>
    </row>
    <row r="1194">
      <c r="A1194" s="11"/>
      <c r="B1194" s="12" t="s">
        <v>34</v>
      </c>
      <c r="C1194" s="12" t="s">
        <v>65</v>
      </c>
      <c r="D1194" s="12" t="s">
        <v>43</v>
      </c>
      <c r="E1194" s="12" t="s">
        <v>224</v>
      </c>
      <c r="F1194" s="13" t="s">
        <v>225</v>
      </c>
      <c r="G1194" s="12" t="s">
        <v>68</v>
      </c>
      <c r="H1194" s="12" t="s">
        <v>226</v>
      </c>
      <c r="I1194" s="12" t="s">
        <v>227</v>
      </c>
      <c r="J1194" s="17" t="s">
        <v>2796</v>
      </c>
      <c r="K1194" s="18" t="s">
        <v>2797</v>
      </c>
      <c r="L1194" s="20">
        <v>45930.0</v>
      </c>
      <c r="M1194" s="17" t="s">
        <v>28</v>
      </c>
      <c r="N1194" s="17" t="s">
        <v>3018</v>
      </c>
      <c r="O1194" s="17">
        <v>7.1096768E7</v>
      </c>
      <c r="P1194" s="17" t="s">
        <v>3019</v>
      </c>
      <c r="Q1194" s="17" t="s">
        <v>112</v>
      </c>
      <c r="R1194" s="17" t="s">
        <v>113</v>
      </c>
      <c r="S1194" s="17" t="s">
        <v>3790</v>
      </c>
      <c r="U1194" s="18">
        <v>9.84865468E8</v>
      </c>
      <c r="V1194" s="24"/>
      <c r="W1194" s="18" t="s">
        <v>76</v>
      </c>
    </row>
    <row r="1195">
      <c r="A1195" s="11"/>
      <c r="B1195" s="23"/>
      <c r="C1195" s="23"/>
      <c r="D1195" s="23"/>
      <c r="E1195" s="23"/>
      <c r="F1195" s="13" t="s">
        <v>225</v>
      </c>
      <c r="G1195" s="23"/>
      <c r="H1195" s="23"/>
      <c r="I1195" s="23"/>
      <c r="J1195" s="17" t="s">
        <v>2796</v>
      </c>
      <c r="K1195" s="18" t="s">
        <v>2797</v>
      </c>
      <c r="L1195" s="20">
        <v>45930.0</v>
      </c>
      <c r="M1195" s="17" t="s">
        <v>28</v>
      </c>
      <c r="N1195" s="17" t="s">
        <v>3033</v>
      </c>
      <c r="O1195" s="17">
        <v>7.5841362E7</v>
      </c>
      <c r="P1195" s="17" t="s">
        <v>2995</v>
      </c>
      <c r="Q1195" s="17" t="s">
        <v>108</v>
      </c>
      <c r="R1195" s="17" t="s">
        <v>109</v>
      </c>
      <c r="S1195" s="17" t="s">
        <v>3567</v>
      </c>
      <c r="U1195" s="18">
        <v>9.38611907E8</v>
      </c>
      <c r="V1195" s="24"/>
      <c r="W1195" s="18" t="s">
        <v>76</v>
      </c>
    </row>
    <row r="1196">
      <c r="A1196" s="11"/>
      <c r="B1196" s="12" t="s">
        <v>34</v>
      </c>
      <c r="C1196" s="12" t="s">
        <v>65</v>
      </c>
      <c r="D1196" s="12" t="s">
        <v>43</v>
      </c>
      <c r="E1196" s="12" t="s">
        <v>224</v>
      </c>
      <c r="F1196" s="13" t="s">
        <v>225</v>
      </c>
      <c r="G1196" s="12" t="s">
        <v>68</v>
      </c>
      <c r="H1196" s="12" t="s">
        <v>226</v>
      </c>
      <c r="I1196" s="12" t="s">
        <v>227</v>
      </c>
      <c r="J1196" s="17" t="s">
        <v>2796</v>
      </c>
      <c r="K1196" s="18" t="s">
        <v>2797</v>
      </c>
      <c r="L1196" s="20">
        <v>45930.0</v>
      </c>
      <c r="M1196" s="17" t="s">
        <v>28</v>
      </c>
      <c r="N1196" s="17" t="s">
        <v>3052</v>
      </c>
      <c r="O1196" s="17">
        <v>4.5960182E7</v>
      </c>
      <c r="P1196" s="119" t="s">
        <v>3053</v>
      </c>
      <c r="Q1196" s="17" t="s">
        <v>112</v>
      </c>
      <c r="R1196" s="17" t="s">
        <v>113</v>
      </c>
      <c r="S1196" s="17" t="s">
        <v>3593</v>
      </c>
      <c r="U1196" s="18">
        <v>9.58500139E8</v>
      </c>
      <c r="V1196" s="24"/>
      <c r="W1196" s="18" t="s">
        <v>76</v>
      </c>
    </row>
    <row r="1197">
      <c r="A1197" s="11"/>
      <c r="B1197" s="23"/>
      <c r="C1197" s="23"/>
      <c r="D1197" s="23"/>
      <c r="E1197" s="23"/>
      <c r="F1197" s="13" t="s">
        <v>225</v>
      </c>
      <c r="G1197" s="23"/>
      <c r="H1197" s="23"/>
      <c r="I1197" s="23"/>
      <c r="J1197" s="17" t="s">
        <v>2796</v>
      </c>
      <c r="K1197" s="18" t="s">
        <v>2797</v>
      </c>
      <c r="L1197" s="20">
        <v>45930.0</v>
      </c>
      <c r="M1197" s="17" t="s">
        <v>28</v>
      </c>
      <c r="N1197" s="17" t="s">
        <v>3043</v>
      </c>
      <c r="O1197" s="17">
        <v>4.7664575E7</v>
      </c>
      <c r="P1197" s="17" t="s">
        <v>3044</v>
      </c>
      <c r="Q1197" s="17" t="s">
        <v>112</v>
      </c>
      <c r="R1197" s="17" t="s">
        <v>113</v>
      </c>
      <c r="S1197" s="17" t="s">
        <v>3586</v>
      </c>
      <c r="U1197" s="18">
        <v>9.7664575E7</v>
      </c>
      <c r="V1197" s="24"/>
      <c r="W1197" s="18" t="s">
        <v>76</v>
      </c>
    </row>
    <row r="1198">
      <c r="A1198" s="11"/>
      <c r="B1198" s="12" t="s">
        <v>34</v>
      </c>
      <c r="C1198" s="12" t="s">
        <v>65</v>
      </c>
      <c r="D1198" s="12" t="s">
        <v>43</v>
      </c>
      <c r="E1198" s="12" t="s">
        <v>224</v>
      </c>
      <c r="F1198" s="13" t="s">
        <v>225</v>
      </c>
      <c r="G1198" s="12" t="s">
        <v>68</v>
      </c>
      <c r="H1198" s="12" t="s">
        <v>226</v>
      </c>
      <c r="I1198" s="12" t="s">
        <v>227</v>
      </c>
      <c r="J1198" s="17" t="s">
        <v>2796</v>
      </c>
      <c r="K1198" s="18" t="s">
        <v>2797</v>
      </c>
      <c r="L1198" s="20">
        <v>45930.0</v>
      </c>
      <c r="M1198" s="17" t="s">
        <v>28</v>
      </c>
      <c r="N1198" s="17" t="s">
        <v>3055</v>
      </c>
      <c r="O1198" s="17">
        <v>4.5078833E7</v>
      </c>
      <c r="P1198" s="17" t="s">
        <v>3056</v>
      </c>
      <c r="Q1198" s="17" t="s">
        <v>112</v>
      </c>
      <c r="R1198" s="17" t="s">
        <v>113</v>
      </c>
      <c r="S1198" s="17" t="s">
        <v>3584</v>
      </c>
      <c r="U1198" s="18">
        <v>9.21611401E8</v>
      </c>
      <c r="V1198" s="24"/>
      <c r="W1198" s="18" t="s">
        <v>76</v>
      </c>
    </row>
    <row r="1199">
      <c r="A1199" s="11"/>
      <c r="B1199" s="12" t="s">
        <v>34</v>
      </c>
      <c r="C1199" s="12" t="s">
        <v>65</v>
      </c>
      <c r="D1199" s="12" t="s">
        <v>43</v>
      </c>
      <c r="E1199" s="12" t="s">
        <v>224</v>
      </c>
      <c r="F1199" s="13" t="s">
        <v>225</v>
      </c>
      <c r="G1199" s="12" t="s">
        <v>68</v>
      </c>
      <c r="H1199" s="12" t="s">
        <v>226</v>
      </c>
      <c r="I1199" s="12" t="s">
        <v>227</v>
      </c>
      <c r="J1199" s="17" t="s">
        <v>2796</v>
      </c>
      <c r="K1199" s="18" t="s">
        <v>2797</v>
      </c>
      <c r="L1199" s="20">
        <v>45930.0</v>
      </c>
      <c r="M1199" s="17" t="s">
        <v>28</v>
      </c>
      <c r="N1199" s="17" t="s">
        <v>3021</v>
      </c>
      <c r="O1199" s="17">
        <v>4.8762263E7</v>
      </c>
      <c r="P1199" s="17" t="s">
        <v>3022</v>
      </c>
      <c r="Q1199" s="17" t="s">
        <v>73</v>
      </c>
      <c r="S1199" s="17" t="s">
        <v>3023</v>
      </c>
      <c r="U1199" s="24"/>
      <c r="V1199" s="24"/>
      <c r="W1199" s="18" t="s">
        <v>76</v>
      </c>
    </row>
    <row r="1200">
      <c r="A1200" s="11"/>
      <c r="B1200" s="12" t="s">
        <v>34</v>
      </c>
      <c r="C1200" s="12" t="s">
        <v>65</v>
      </c>
      <c r="D1200" s="12" t="s">
        <v>43</v>
      </c>
      <c r="E1200" s="12" t="s">
        <v>224</v>
      </c>
      <c r="F1200" s="13" t="s">
        <v>225</v>
      </c>
      <c r="G1200" s="12" t="s">
        <v>68</v>
      </c>
      <c r="H1200" s="12" t="s">
        <v>226</v>
      </c>
      <c r="I1200" s="12" t="s">
        <v>227</v>
      </c>
      <c r="J1200" s="17" t="s">
        <v>2796</v>
      </c>
      <c r="K1200" s="18" t="s">
        <v>2797</v>
      </c>
      <c r="L1200" s="20">
        <v>45930.0</v>
      </c>
      <c r="M1200" s="17" t="s">
        <v>28</v>
      </c>
      <c r="N1200" s="9" t="s">
        <v>3061</v>
      </c>
      <c r="O1200" s="17">
        <v>4.544537E7</v>
      </c>
      <c r="P1200" s="17" t="s">
        <v>3062</v>
      </c>
      <c r="Q1200" s="17" t="s">
        <v>108</v>
      </c>
      <c r="R1200" s="17" t="s">
        <v>109</v>
      </c>
      <c r="S1200" s="17" t="s">
        <v>3597</v>
      </c>
      <c r="U1200" s="18">
        <v>9.37532288E8</v>
      </c>
      <c r="V1200" s="24"/>
      <c r="W1200" s="18" t="s">
        <v>76</v>
      </c>
    </row>
    <row r="1201">
      <c r="A1201" s="11"/>
      <c r="B1201" s="12" t="s">
        <v>34</v>
      </c>
      <c r="C1201" s="12" t="s">
        <v>65</v>
      </c>
      <c r="D1201" s="12" t="s">
        <v>43</v>
      </c>
      <c r="E1201" s="12" t="s">
        <v>224</v>
      </c>
      <c r="F1201" s="13" t="s">
        <v>225</v>
      </c>
      <c r="G1201" s="12" t="s">
        <v>68</v>
      </c>
      <c r="H1201" s="12" t="s">
        <v>226</v>
      </c>
      <c r="I1201" s="12" t="s">
        <v>227</v>
      </c>
      <c r="J1201" s="17" t="s">
        <v>2796</v>
      </c>
      <c r="K1201" s="18" t="s">
        <v>2797</v>
      </c>
      <c r="L1201" s="20">
        <v>45930.0</v>
      </c>
      <c r="M1201" s="17" t="s">
        <v>28</v>
      </c>
      <c r="N1201" s="9" t="s">
        <v>2997</v>
      </c>
      <c r="O1201" s="17">
        <v>7.0199166E7</v>
      </c>
      <c r="P1201" s="17" t="s">
        <v>2998</v>
      </c>
      <c r="Q1201" s="17" t="s">
        <v>108</v>
      </c>
      <c r="R1201" s="17" t="s">
        <v>109</v>
      </c>
      <c r="S1201" s="17" t="s">
        <v>3791</v>
      </c>
      <c r="U1201" s="18">
        <v>9.41858816E8</v>
      </c>
      <c r="V1201" s="24"/>
      <c r="W1201" s="18" t="s">
        <v>76</v>
      </c>
    </row>
    <row r="1202">
      <c r="A1202" s="11"/>
      <c r="B1202" s="12" t="s">
        <v>34</v>
      </c>
      <c r="C1202" s="12" t="s">
        <v>65</v>
      </c>
      <c r="D1202" s="12" t="s">
        <v>43</v>
      </c>
      <c r="E1202" s="12" t="s">
        <v>224</v>
      </c>
      <c r="F1202" s="13" t="s">
        <v>225</v>
      </c>
      <c r="G1202" s="12" t="s">
        <v>68</v>
      </c>
      <c r="H1202" s="12" t="s">
        <v>226</v>
      </c>
      <c r="I1202" s="12" t="s">
        <v>227</v>
      </c>
      <c r="J1202" s="17" t="s">
        <v>2796</v>
      </c>
      <c r="K1202" s="18" t="s">
        <v>2797</v>
      </c>
      <c r="L1202" s="20">
        <v>45930.0</v>
      </c>
      <c r="M1202" s="17" t="s">
        <v>28</v>
      </c>
      <c r="N1202" s="9" t="s">
        <v>3079</v>
      </c>
      <c r="O1202" s="17">
        <v>4.4754591E7</v>
      </c>
      <c r="P1202" s="17" t="s">
        <v>3080</v>
      </c>
      <c r="Q1202" s="17" t="s">
        <v>108</v>
      </c>
      <c r="R1202" s="17" t="s">
        <v>109</v>
      </c>
      <c r="S1202" s="17" t="s">
        <v>3792</v>
      </c>
      <c r="U1202" s="18">
        <v>9.47453523E8</v>
      </c>
      <c r="V1202" s="24"/>
      <c r="W1202" s="18" t="s">
        <v>76</v>
      </c>
    </row>
    <row r="1203">
      <c r="A1203" s="11"/>
      <c r="B1203" s="23"/>
      <c r="C1203" s="23"/>
      <c r="D1203" s="23"/>
      <c r="E1203" s="23"/>
      <c r="F1203" s="13" t="s">
        <v>225</v>
      </c>
      <c r="G1203" s="23"/>
      <c r="H1203" s="23"/>
      <c r="I1203" s="23"/>
      <c r="J1203" s="17" t="s">
        <v>2796</v>
      </c>
      <c r="K1203" s="18" t="s">
        <v>2797</v>
      </c>
      <c r="L1203" s="20">
        <v>45930.0</v>
      </c>
      <c r="M1203" s="17" t="s">
        <v>28</v>
      </c>
      <c r="N1203" s="17" t="s">
        <v>3010</v>
      </c>
      <c r="O1203" s="17">
        <v>7.2276634E7</v>
      </c>
      <c r="P1203" s="17" t="s">
        <v>3011</v>
      </c>
      <c r="Q1203" s="17" t="s">
        <v>73</v>
      </c>
      <c r="R1203" s="17" t="s">
        <v>74</v>
      </c>
      <c r="S1203" s="17" t="s">
        <v>3566</v>
      </c>
      <c r="U1203" s="18">
        <v>9.75443836E8</v>
      </c>
      <c r="V1203" s="24"/>
      <c r="W1203" s="18" t="s">
        <v>76</v>
      </c>
    </row>
    <row r="1204">
      <c r="A1204" s="11"/>
      <c r="B1204" s="12" t="s">
        <v>34</v>
      </c>
      <c r="C1204" s="12" t="s">
        <v>65</v>
      </c>
      <c r="D1204" s="12" t="s">
        <v>43</v>
      </c>
      <c r="E1204" s="12" t="s">
        <v>224</v>
      </c>
      <c r="F1204" s="13" t="s">
        <v>225</v>
      </c>
      <c r="G1204" s="12" t="s">
        <v>68</v>
      </c>
      <c r="H1204" s="12" t="s">
        <v>226</v>
      </c>
      <c r="I1204" s="12" t="s">
        <v>227</v>
      </c>
      <c r="J1204" s="17" t="s">
        <v>2796</v>
      </c>
      <c r="K1204" s="18" t="s">
        <v>2797</v>
      </c>
      <c r="L1204" s="20">
        <v>45930.0</v>
      </c>
      <c r="M1204" s="17" t="s">
        <v>28</v>
      </c>
      <c r="N1204" s="17" t="s">
        <v>3125</v>
      </c>
      <c r="O1204" s="17">
        <v>8.0172432E7</v>
      </c>
      <c r="P1204" s="17" t="s">
        <v>3572</v>
      </c>
      <c r="Q1204" s="17" t="s">
        <v>73</v>
      </c>
      <c r="R1204" s="17" t="s">
        <v>74</v>
      </c>
      <c r="S1204" s="17" t="s">
        <v>3573</v>
      </c>
      <c r="U1204" s="18">
        <v>9.64125801E8</v>
      </c>
      <c r="V1204" s="24"/>
      <c r="W1204" s="18" t="s">
        <v>76</v>
      </c>
    </row>
    <row r="1205">
      <c r="A1205" s="11"/>
      <c r="B1205" s="23"/>
      <c r="C1205" s="23"/>
      <c r="D1205" s="23"/>
      <c r="E1205" s="23"/>
      <c r="F1205" s="13" t="s">
        <v>225</v>
      </c>
      <c r="G1205" s="23"/>
      <c r="H1205" s="23"/>
      <c r="I1205" s="23"/>
      <c r="J1205" s="17" t="s">
        <v>2796</v>
      </c>
      <c r="K1205" s="18" t="s">
        <v>2797</v>
      </c>
      <c r="L1205" s="20">
        <v>45930.0</v>
      </c>
      <c r="M1205" s="17" t="s">
        <v>28</v>
      </c>
      <c r="N1205" s="17" t="s">
        <v>3793</v>
      </c>
      <c r="O1205" s="17">
        <v>7.0512494E7</v>
      </c>
      <c r="P1205" s="17" t="s">
        <v>3016</v>
      </c>
      <c r="Q1205" s="17" t="s">
        <v>73</v>
      </c>
      <c r="S1205" s="17" t="s">
        <v>3017</v>
      </c>
      <c r="U1205" s="18">
        <v>9.36631587E8</v>
      </c>
      <c r="V1205" s="24"/>
      <c r="W1205" s="18" t="s">
        <v>76</v>
      </c>
    </row>
    <row r="1206">
      <c r="A1206" s="11"/>
      <c r="B1206" s="12" t="s">
        <v>34</v>
      </c>
      <c r="C1206" s="12" t="s">
        <v>65</v>
      </c>
      <c r="D1206" s="12" t="s">
        <v>43</v>
      </c>
      <c r="E1206" s="12" t="s">
        <v>224</v>
      </c>
      <c r="F1206" s="13" t="s">
        <v>225</v>
      </c>
      <c r="G1206" s="12" t="s">
        <v>68</v>
      </c>
      <c r="H1206" s="12" t="s">
        <v>226</v>
      </c>
      <c r="I1206" s="12" t="s">
        <v>227</v>
      </c>
      <c r="J1206" s="17" t="s">
        <v>2796</v>
      </c>
      <c r="K1206" s="18" t="s">
        <v>2797</v>
      </c>
      <c r="L1206" s="20">
        <v>45930.0</v>
      </c>
      <c r="M1206" s="17" t="s">
        <v>28</v>
      </c>
      <c r="N1206" s="9" t="s">
        <v>3027</v>
      </c>
      <c r="O1206" s="17">
        <v>4.5853653E7</v>
      </c>
      <c r="P1206" s="17" t="s">
        <v>3028</v>
      </c>
      <c r="Q1206" s="17" t="s">
        <v>108</v>
      </c>
      <c r="R1206" s="17" t="s">
        <v>109</v>
      </c>
      <c r="S1206" s="17" t="s">
        <v>3794</v>
      </c>
      <c r="U1206" s="18">
        <v>9.47697734E8</v>
      </c>
      <c r="V1206" s="24"/>
      <c r="W1206" s="18" t="s">
        <v>76</v>
      </c>
    </row>
    <row r="1207">
      <c r="A1207" s="11"/>
      <c r="B1207" s="12" t="s">
        <v>34</v>
      </c>
      <c r="C1207" s="12" t="s">
        <v>65</v>
      </c>
      <c r="D1207" s="12" t="s">
        <v>43</v>
      </c>
      <c r="E1207" s="12" t="s">
        <v>224</v>
      </c>
      <c r="F1207" s="13" t="s">
        <v>225</v>
      </c>
      <c r="G1207" s="12" t="s">
        <v>68</v>
      </c>
      <c r="H1207" s="12" t="s">
        <v>226</v>
      </c>
      <c r="I1207" s="12" t="s">
        <v>227</v>
      </c>
      <c r="J1207" s="17" t="s">
        <v>2796</v>
      </c>
      <c r="K1207" s="18" t="s">
        <v>2797</v>
      </c>
      <c r="L1207" s="20">
        <v>45930.0</v>
      </c>
      <c r="M1207" s="17" t="s">
        <v>28</v>
      </c>
      <c r="N1207" s="17" t="s">
        <v>3119</v>
      </c>
      <c r="O1207" s="17">
        <v>7.2568635E7</v>
      </c>
      <c r="P1207" s="17" t="s">
        <v>3120</v>
      </c>
      <c r="Q1207" s="17" t="s">
        <v>108</v>
      </c>
      <c r="R1207" s="17" t="s">
        <v>109</v>
      </c>
      <c r="S1207" s="17" t="s">
        <v>3574</v>
      </c>
      <c r="U1207" s="18">
        <v>9.83952239E8</v>
      </c>
      <c r="V1207" s="24"/>
      <c r="W1207" s="18" t="s">
        <v>76</v>
      </c>
    </row>
    <row r="1208">
      <c r="A1208" s="11"/>
      <c r="B1208" s="12" t="s">
        <v>34</v>
      </c>
      <c r="C1208" s="12" t="s">
        <v>65</v>
      </c>
      <c r="D1208" s="12" t="s">
        <v>43</v>
      </c>
      <c r="E1208" s="12" t="s">
        <v>224</v>
      </c>
      <c r="F1208" s="13" t="s">
        <v>225</v>
      </c>
      <c r="G1208" s="12" t="s">
        <v>68</v>
      </c>
      <c r="H1208" s="12" t="s">
        <v>226</v>
      </c>
      <c r="I1208" s="12" t="s">
        <v>227</v>
      </c>
      <c r="J1208" s="17" t="s">
        <v>2796</v>
      </c>
      <c r="K1208" s="18" t="s">
        <v>2797</v>
      </c>
      <c r="L1208" s="20">
        <v>45930.0</v>
      </c>
      <c r="M1208" s="17" t="s">
        <v>28</v>
      </c>
      <c r="N1208" s="17" t="s">
        <v>3795</v>
      </c>
      <c r="O1208" s="17">
        <v>7.6951316E7</v>
      </c>
      <c r="P1208" s="17" t="s">
        <v>3796</v>
      </c>
      <c r="Q1208" s="17" t="s">
        <v>108</v>
      </c>
      <c r="R1208" s="17" t="s">
        <v>109</v>
      </c>
      <c r="S1208" s="17" t="s">
        <v>3797</v>
      </c>
      <c r="U1208" s="18">
        <v>9.44441012E8</v>
      </c>
      <c r="V1208" s="24"/>
      <c r="W1208" s="18" t="s">
        <v>76</v>
      </c>
    </row>
    <row r="1209">
      <c r="A1209" s="11"/>
      <c r="B1209" s="23"/>
      <c r="C1209" s="23"/>
      <c r="D1209" s="23"/>
      <c r="E1209" s="23"/>
      <c r="F1209" s="13" t="s">
        <v>225</v>
      </c>
      <c r="G1209" s="23"/>
      <c r="H1209" s="23"/>
      <c r="I1209" s="23"/>
      <c r="J1209" s="17" t="s">
        <v>2796</v>
      </c>
      <c r="K1209" s="18" t="s">
        <v>2797</v>
      </c>
      <c r="L1209" s="20">
        <v>45930.0</v>
      </c>
      <c r="M1209" s="17" t="s">
        <v>28</v>
      </c>
      <c r="N1209" s="17" t="s">
        <v>3013</v>
      </c>
      <c r="O1209" s="17">
        <v>7.6744264E7</v>
      </c>
      <c r="P1209" s="17" t="s">
        <v>1527</v>
      </c>
      <c r="Q1209" s="17" t="s">
        <v>112</v>
      </c>
      <c r="R1209" s="17" t="s">
        <v>113</v>
      </c>
      <c r="S1209" s="17" t="s">
        <v>3798</v>
      </c>
      <c r="U1209" s="18">
        <v>9.71023914E8</v>
      </c>
      <c r="V1209" s="24"/>
      <c r="W1209" s="18" t="s">
        <v>76</v>
      </c>
    </row>
    <row r="1210">
      <c r="A1210" s="11"/>
      <c r="B1210" s="12" t="s">
        <v>34</v>
      </c>
      <c r="C1210" s="12" t="s">
        <v>65</v>
      </c>
      <c r="D1210" s="12" t="s">
        <v>43</v>
      </c>
      <c r="E1210" s="12" t="s">
        <v>224</v>
      </c>
      <c r="F1210" s="13" t="s">
        <v>225</v>
      </c>
      <c r="G1210" s="12" t="s">
        <v>68</v>
      </c>
      <c r="H1210" s="12" t="s">
        <v>226</v>
      </c>
      <c r="I1210" s="12" t="s">
        <v>227</v>
      </c>
      <c r="J1210" s="17" t="s">
        <v>2796</v>
      </c>
      <c r="K1210" s="18" t="s">
        <v>2797</v>
      </c>
      <c r="L1210" s="20">
        <v>45930.0</v>
      </c>
      <c r="M1210" s="17" t="s">
        <v>28</v>
      </c>
      <c r="N1210" s="17" t="s">
        <v>3000</v>
      </c>
      <c r="O1210" s="17">
        <v>7.413385E7</v>
      </c>
      <c r="P1210" s="17" t="s">
        <v>3001</v>
      </c>
      <c r="Q1210" s="2"/>
      <c r="U1210" s="18">
        <v>9.92794414E8</v>
      </c>
      <c r="V1210" s="24"/>
      <c r="W1210" s="18" t="s">
        <v>76</v>
      </c>
    </row>
    <row r="1211">
      <c r="A1211" s="11"/>
      <c r="B1211" s="12" t="s">
        <v>34</v>
      </c>
      <c r="C1211" s="12" t="s">
        <v>65</v>
      </c>
      <c r="D1211" s="12" t="s">
        <v>43</v>
      </c>
      <c r="E1211" s="12" t="s">
        <v>224</v>
      </c>
      <c r="F1211" s="13" t="s">
        <v>225</v>
      </c>
      <c r="G1211" s="12" t="s">
        <v>68</v>
      </c>
      <c r="H1211" s="12" t="s">
        <v>226</v>
      </c>
      <c r="I1211" s="12" t="s">
        <v>227</v>
      </c>
      <c r="J1211" s="17" t="s">
        <v>2796</v>
      </c>
      <c r="K1211" s="18" t="s">
        <v>2797</v>
      </c>
      <c r="L1211" s="20">
        <v>45930.0</v>
      </c>
      <c r="M1211" s="17" t="s">
        <v>28</v>
      </c>
      <c r="N1211" s="17" t="s">
        <v>3073</v>
      </c>
      <c r="O1211" s="17">
        <v>7.2569811E7</v>
      </c>
      <c r="P1211" s="17" t="s">
        <v>3074</v>
      </c>
      <c r="Q1211" s="17" t="s">
        <v>73</v>
      </c>
      <c r="R1211" s="17" t="s">
        <v>74</v>
      </c>
      <c r="S1211" s="17" t="s">
        <v>3582</v>
      </c>
      <c r="U1211" s="18">
        <v>9.29384155E8</v>
      </c>
      <c r="V1211" s="24"/>
      <c r="W1211" s="18" t="s">
        <v>76</v>
      </c>
    </row>
    <row r="1212">
      <c r="A1212" s="11"/>
      <c r="B1212" s="12" t="s">
        <v>34</v>
      </c>
      <c r="C1212" s="12" t="s">
        <v>65</v>
      </c>
      <c r="D1212" s="12" t="s">
        <v>43</v>
      </c>
      <c r="E1212" s="12" t="s">
        <v>224</v>
      </c>
      <c r="F1212" s="13" t="s">
        <v>225</v>
      </c>
      <c r="G1212" s="12" t="s">
        <v>68</v>
      </c>
      <c r="H1212" s="12" t="s">
        <v>226</v>
      </c>
      <c r="I1212" s="12" t="s">
        <v>227</v>
      </c>
      <c r="J1212" s="17" t="s">
        <v>2796</v>
      </c>
      <c r="K1212" s="18" t="s">
        <v>2797</v>
      </c>
      <c r="L1212" s="20">
        <v>45930.0</v>
      </c>
      <c r="M1212" s="17" t="s">
        <v>28</v>
      </c>
      <c r="N1212" s="17" t="s">
        <v>3070</v>
      </c>
      <c r="O1212" s="17">
        <v>4.8354688E7</v>
      </c>
      <c r="P1212" s="17" t="s">
        <v>3071</v>
      </c>
      <c r="Q1212" s="17" t="s">
        <v>108</v>
      </c>
      <c r="R1212" s="17" t="s">
        <v>109</v>
      </c>
      <c r="S1212" s="17" t="s">
        <v>3596</v>
      </c>
      <c r="U1212" s="18">
        <v>9.57952018E8</v>
      </c>
      <c r="V1212" s="24"/>
      <c r="W1212" s="18" t="s">
        <v>76</v>
      </c>
    </row>
    <row r="1213">
      <c r="A1213" s="11"/>
      <c r="B1213" s="12" t="s">
        <v>34</v>
      </c>
      <c r="C1213" s="12" t="s">
        <v>65</v>
      </c>
      <c r="D1213" s="12" t="s">
        <v>43</v>
      </c>
      <c r="E1213" s="12" t="s">
        <v>224</v>
      </c>
      <c r="F1213" s="13" t="s">
        <v>225</v>
      </c>
      <c r="G1213" s="12" t="s">
        <v>68</v>
      </c>
      <c r="H1213" s="12" t="s">
        <v>226</v>
      </c>
      <c r="I1213" s="12" t="s">
        <v>227</v>
      </c>
      <c r="J1213" s="17" t="s">
        <v>2796</v>
      </c>
      <c r="K1213" s="18" t="s">
        <v>2797</v>
      </c>
      <c r="L1213" s="20">
        <v>45930.0</v>
      </c>
      <c r="M1213" s="17" t="s">
        <v>28</v>
      </c>
      <c r="N1213" s="17" t="s">
        <v>3137</v>
      </c>
      <c r="O1213" s="17">
        <v>7.077413E7</v>
      </c>
      <c r="P1213" s="17" t="s">
        <v>3138</v>
      </c>
      <c r="Q1213" s="17" t="s">
        <v>108</v>
      </c>
      <c r="R1213" s="17" t="s">
        <v>109</v>
      </c>
      <c r="S1213" s="17" t="s">
        <v>3581</v>
      </c>
      <c r="U1213" s="18">
        <v>9.78891466E8</v>
      </c>
      <c r="V1213" s="24"/>
      <c r="W1213" s="18" t="s">
        <v>76</v>
      </c>
    </row>
    <row r="1214">
      <c r="A1214" s="11"/>
      <c r="B1214" s="12" t="s">
        <v>34</v>
      </c>
      <c r="C1214" s="12" t="s">
        <v>65</v>
      </c>
      <c r="D1214" s="12" t="s">
        <v>43</v>
      </c>
      <c r="E1214" s="12" t="s">
        <v>224</v>
      </c>
      <c r="F1214" s="13" t="s">
        <v>225</v>
      </c>
      <c r="G1214" s="12" t="s">
        <v>68</v>
      </c>
      <c r="H1214" s="12" t="s">
        <v>226</v>
      </c>
      <c r="I1214" s="12" t="s">
        <v>227</v>
      </c>
      <c r="J1214" s="17" t="s">
        <v>2796</v>
      </c>
      <c r="K1214" s="18" t="s">
        <v>2797</v>
      </c>
      <c r="L1214" s="20">
        <v>45930.0</v>
      </c>
      <c r="M1214" s="17" t="s">
        <v>28</v>
      </c>
      <c r="N1214" s="17" t="s">
        <v>3113</v>
      </c>
      <c r="O1214" s="17">
        <v>3.2303652E7</v>
      </c>
      <c r="P1214" s="119" t="s">
        <v>3114</v>
      </c>
      <c r="Q1214" s="17" t="s">
        <v>112</v>
      </c>
      <c r="R1214" s="17" t="s">
        <v>113</v>
      </c>
      <c r="S1214" s="17" t="s">
        <v>3571</v>
      </c>
      <c r="U1214" s="18">
        <v>9.76434792E8</v>
      </c>
      <c r="V1214" s="24"/>
      <c r="W1214" s="18" t="s">
        <v>76</v>
      </c>
    </row>
    <row r="1215">
      <c r="A1215" s="11"/>
      <c r="B1215" s="23"/>
      <c r="C1215" s="23"/>
      <c r="D1215" s="23"/>
      <c r="E1215" s="23"/>
      <c r="F1215" s="13" t="s">
        <v>225</v>
      </c>
      <c r="G1215" s="23"/>
      <c r="H1215" s="23"/>
      <c r="I1215" s="23"/>
      <c r="J1215" s="17" t="s">
        <v>2796</v>
      </c>
      <c r="K1215" s="18" t="s">
        <v>2797</v>
      </c>
      <c r="L1215" s="20">
        <v>45930.0</v>
      </c>
      <c r="M1215" s="17" t="s">
        <v>28</v>
      </c>
      <c r="N1215" s="17" t="s">
        <v>3046</v>
      </c>
      <c r="O1215" s="17">
        <v>4.589156E7</v>
      </c>
      <c r="P1215" s="17" t="s">
        <v>3047</v>
      </c>
      <c r="Q1215" s="17" t="s">
        <v>112</v>
      </c>
      <c r="R1215" s="17" t="s">
        <v>113</v>
      </c>
      <c r="S1215" s="17" t="s">
        <v>3591</v>
      </c>
      <c r="U1215" s="18">
        <v>9.13147378E8</v>
      </c>
      <c r="V1215" s="24"/>
      <c r="W1215" s="18" t="s">
        <v>76</v>
      </c>
    </row>
    <row r="1216">
      <c r="A1216" s="11"/>
      <c r="B1216" s="12" t="s">
        <v>34</v>
      </c>
      <c r="C1216" s="12" t="s">
        <v>65</v>
      </c>
      <c r="D1216" s="12" t="s">
        <v>43</v>
      </c>
      <c r="E1216" s="12" t="s">
        <v>224</v>
      </c>
      <c r="F1216" s="13" t="s">
        <v>225</v>
      </c>
      <c r="G1216" s="12" t="s">
        <v>68</v>
      </c>
      <c r="H1216" s="12" t="s">
        <v>226</v>
      </c>
      <c r="I1216" s="12" t="s">
        <v>227</v>
      </c>
      <c r="J1216" s="17" t="s">
        <v>2796</v>
      </c>
      <c r="K1216" s="18" t="s">
        <v>2797</v>
      </c>
      <c r="L1216" s="20">
        <v>45930.0</v>
      </c>
      <c r="M1216" s="17" t="s">
        <v>28</v>
      </c>
      <c r="N1216" s="17" t="s">
        <v>3101</v>
      </c>
      <c r="O1216" s="17">
        <v>4.4716015E7</v>
      </c>
      <c r="P1216" s="17" t="s">
        <v>3102</v>
      </c>
      <c r="Q1216" s="17" t="s">
        <v>108</v>
      </c>
      <c r="R1216" s="17" t="s">
        <v>109</v>
      </c>
      <c r="S1216" s="17" t="s">
        <v>3592</v>
      </c>
      <c r="U1216" s="18">
        <v>9.94927083E8</v>
      </c>
      <c r="V1216" s="24"/>
      <c r="W1216" s="18" t="s">
        <v>76</v>
      </c>
    </row>
    <row r="1217">
      <c r="A1217" s="11"/>
      <c r="B1217" s="23"/>
      <c r="C1217" s="23"/>
      <c r="D1217" s="23"/>
      <c r="E1217" s="23"/>
      <c r="F1217" s="13" t="s">
        <v>225</v>
      </c>
      <c r="G1217" s="23"/>
      <c r="H1217" s="23"/>
      <c r="I1217" s="23"/>
      <c r="J1217" s="17" t="s">
        <v>2796</v>
      </c>
      <c r="K1217" s="18" t="s">
        <v>2797</v>
      </c>
      <c r="L1217" s="20">
        <v>45930.0</v>
      </c>
      <c r="M1217" s="17" t="s">
        <v>28</v>
      </c>
      <c r="N1217" s="17" t="s">
        <v>3093</v>
      </c>
      <c r="O1217" s="17">
        <v>4.1705861E7</v>
      </c>
      <c r="P1217" s="17" t="s">
        <v>3094</v>
      </c>
      <c r="Q1217" s="17" t="s">
        <v>112</v>
      </c>
      <c r="R1217" s="17" t="s">
        <v>113</v>
      </c>
      <c r="S1217" s="17" t="s">
        <v>3799</v>
      </c>
      <c r="U1217" s="18">
        <v>9.56710549E8</v>
      </c>
      <c r="V1217" s="24"/>
      <c r="W1217" s="18" t="s">
        <v>76</v>
      </c>
    </row>
    <row r="1218">
      <c r="A1218" s="11"/>
      <c r="B1218" s="12" t="s">
        <v>34</v>
      </c>
      <c r="C1218" s="12" t="s">
        <v>65</v>
      </c>
      <c r="D1218" s="12" t="s">
        <v>43</v>
      </c>
      <c r="E1218" s="12" t="s">
        <v>224</v>
      </c>
      <c r="F1218" s="13" t="s">
        <v>225</v>
      </c>
      <c r="G1218" s="12" t="s">
        <v>68</v>
      </c>
      <c r="H1218" s="12" t="s">
        <v>226</v>
      </c>
      <c r="I1218" s="12" t="s">
        <v>227</v>
      </c>
      <c r="J1218" s="17" t="s">
        <v>2796</v>
      </c>
      <c r="K1218" s="18" t="s">
        <v>2797</v>
      </c>
      <c r="L1218" s="20">
        <v>45930.0</v>
      </c>
      <c r="M1218" s="17" t="s">
        <v>28</v>
      </c>
      <c r="N1218" s="17" t="s">
        <v>3040</v>
      </c>
      <c r="O1218" s="17">
        <v>4.1985115E7</v>
      </c>
      <c r="P1218" s="17" t="s">
        <v>3041</v>
      </c>
      <c r="Q1218" s="17" t="s">
        <v>112</v>
      </c>
      <c r="R1218" s="17" t="s">
        <v>113</v>
      </c>
      <c r="S1218" s="17" t="s">
        <v>3594</v>
      </c>
      <c r="U1218" s="18">
        <v>9.58806524E8</v>
      </c>
      <c r="V1218" s="24"/>
      <c r="W1218" s="18" t="s">
        <v>76</v>
      </c>
    </row>
    <row r="1219">
      <c r="A1219" s="11"/>
      <c r="B1219" s="12" t="s">
        <v>34</v>
      </c>
      <c r="C1219" s="12" t="s">
        <v>65</v>
      </c>
      <c r="D1219" s="12" t="s">
        <v>43</v>
      </c>
      <c r="E1219" s="12" t="s">
        <v>224</v>
      </c>
      <c r="F1219" s="13" t="s">
        <v>225</v>
      </c>
      <c r="G1219" s="12" t="s">
        <v>68</v>
      </c>
      <c r="H1219" s="12" t="s">
        <v>226</v>
      </c>
      <c r="I1219" s="12" t="s">
        <v>227</v>
      </c>
      <c r="J1219" s="17" t="s">
        <v>2796</v>
      </c>
      <c r="K1219" s="18" t="s">
        <v>2797</v>
      </c>
      <c r="L1219" s="20">
        <v>45930.0</v>
      </c>
      <c r="M1219" s="17" t="s">
        <v>28</v>
      </c>
      <c r="N1219" s="17" t="s">
        <v>3800</v>
      </c>
      <c r="O1219" s="17">
        <v>4.519337E7</v>
      </c>
      <c r="P1219" s="17" t="s">
        <v>3801</v>
      </c>
      <c r="Q1219" s="17" t="s">
        <v>112</v>
      </c>
      <c r="R1219" s="17" t="s">
        <v>113</v>
      </c>
      <c r="S1219" s="17" t="s">
        <v>3802</v>
      </c>
      <c r="U1219" s="18">
        <v>9.91698613E8</v>
      </c>
      <c r="V1219" s="24"/>
      <c r="W1219" s="18" t="s">
        <v>76</v>
      </c>
    </row>
    <row r="1220">
      <c r="A1220" s="11"/>
      <c r="B1220" s="12" t="s">
        <v>7</v>
      </c>
      <c r="C1220" s="12" t="s">
        <v>8</v>
      </c>
      <c r="D1220" s="12" t="s">
        <v>15</v>
      </c>
      <c r="E1220" s="12" t="s">
        <v>15</v>
      </c>
      <c r="F1220" s="13" t="s">
        <v>16</v>
      </c>
      <c r="G1220" s="12" t="s">
        <v>68</v>
      </c>
      <c r="H1220" s="12" t="s">
        <v>928</v>
      </c>
      <c r="I1220" s="12" t="s">
        <v>929</v>
      </c>
      <c r="J1220" s="17" t="s">
        <v>2783</v>
      </c>
      <c r="K1220" s="18" t="s">
        <v>2784</v>
      </c>
      <c r="L1220" s="19">
        <v>45916.0</v>
      </c>
      <c r="M1220" s="17" t="s">
        <v>28</v>
      </c>
      <c r="N1220" s="17" t="s">
        <v>3803</v>
      </c>
      <c r="O1220" s="17">
        <v>7.6088826E7</v>
      </c>
      <c r="Q1220" s="17" t="s">
        <v>112</v>
      </c>
      <c r="S1220" s="17" t="s">
        <v>112</v>
      </c>
      <c r="U1220" s="24"/>
      <c r="V1220" s="24"/>
      <c r="W1220" s="18" t="s">
        <v>915</v>
      </c>
    </row>
    <row r="1221">
      <c r="A1221" s="11"/>
      <c r="B1221" s="12" t="s">
        <v>7</v>
      </c>
      <c r="C1221" s="12" t="s">
        <v>8</v>
      </c>
      <c r="D1221" s="12" t="s">
        <v>15</v>
      </c>
      <c r="E1221" s="12" t="s">
        <v>15</v>
      </c>
      <c r="F1221" s="13" t="s">
        <v>16</v>
      </c>
      <c r="G1221" s="12" t="s">
        <v>68</v>
      </c>
      <c r="H1221" s="12" t="s">
        <v>928</v>
      </c>
      <c r="I1221" s="12" t="s">
        <v>929</v>
      </c>
      <c r="J1221" s="17" t="s">
        <v>2783</v>
      </c>
      <c r="K1221" s="18" t="s">
        <v>2784</v>
      </c>
      <c r="L1221" s="19">
        <v>45916.0</v>
      </c>
      <c r="M1221" s="17" t="s">
        <v>28</v>
      </c>
      <c r="N1221" s="17" t="s">
        <v>3804</v>
      </c>
      <c r="O1221" s="17">
        <v>3.1655185E7</v>
      </c>
      <c r="Q1221" s="17" t="s">
        <v>112</v>
      </c>
      <c r="S1221" s="17" t="s">
        <v>112</v>
      </c>
      <c r="U1221" s="24"/>
      <c r="V1221" s="24"/>
      <c r="W1221" s="18" t="s">
        <v>915</v>
      </c>
    </row>
    <row r="1222">
      <c r="A1222" s="11"/>
      <c r="B1222" s="12" t="s">
        <v>7</v>
      </c>
      <c r="C1222" s="12" t="s">
        <v>8</v>
      </c>
      <c r="D1222" s="12" t="s">
        <v>15</v>
      </c>
      <c r="E1222" s="12" t="s">
        <v>15</v>
      </c>
      <c r="F1222" s="13" t="s">
        <v>16</v>
      </c>
      <c r="G1222" s="12" t="s">
        <v>68</v>
      </c>
      <c r="H1222" s="12" t="s">
        <v>928</v>
      </c>
      <c r="I1222" s="12" t="s">
        <v>929</v>
      </c>
      <c r="J1222" s="17" t="s">
        <v>2783</v>
      </c>
      <c r="K1222" s="18" t="s">
        <v>2784</v>
      </c>
      <c r="L1222" s="19">
        <v>45916.0</v>
      </c>
      <c r="M1222" s="17" t="s">
        <v>28</v>
      </c>
      <c r="N1222" s="17" t="s">
        <v>3805</v>
      </c>
      <c r="O1222" s="17">
        <v>4.1510125E7</v>
      </c>
      <c r="Q1222" s="17" t="s">
        <v>112</v>
      </c>
      <c r="U1222" s="24"/>
      <c r="V1222" s="24"/>
      <c r="W1222" s="18" t="s">
        <v>915</v>
      </c>
    </row>
    <row r="1223">
      <c r="A1223" s="11"/>
      <c r="B1223" s="12" t="s">
        <v>7</v>
      </c>
      <c r="C1223" s="12" t="s">
        <v>8</v>
      </c>
      <c r="D1223" s="12" t="s">
        <v>15</v>
      </c>
      <c r="E1223" s="12" t="s">
        <v>15</v>
      </c>
      <c r="F1223" s="13" t="s">
        <v>16</v>
      </c>
      <c r="G1223" s="12" t="s">
        <v>68</v>
      </c>
      <c r="H1223" s="12" t="s">
        <v>928</v>
      </c>
      <c r="I1223" s="12" t="s">
        <v>929</v>
      </c>
      <c r="J1223" s="17" t="s">
        <v>2783</v>
      </c>
      <c r="K1223" s="18" t="s">
        <v>2784</v>
      </c>
      <c r="L1223" s="19">
        <v>45916.0</v>
      </c>
      <c r="M1223" s="17" t="s">
        <v>28</v>
      </c>
      <c r="N1223" s="17" t="s">
        <v>3806</v>
      </c>
      <c r="O1223" s="17">
        <v>7.166571E7</v>
      </c>
      <c r="Q1223" s="17" t="s">
        <v>112</v>
      </c>
      <c r="S1223" s="17" t="s">
        <v>112</v>
      </c>
      <c r="U1223" s="24"/>
      <c r="V1223" s="24"/>
      <c r="W1223" s="18" t="s">
        <v>915</v>
      </c>
    </row>
    <row r="1224">
      <c r="A1224" s="11"/>
      <c r="B1224" s="12" t="s">
        <v>7</v>
      </c>
      <c r="C1224" s="12" t="s">
        <v>8</v>
      </c>
      <c r="D1224" s="12" t="s">
        <v>15</v>
      </c>
      <c r="E1224" s="12" t="s">
        <v>15</v>
      </c>
      <c r="F1224" s="13" t="s">
        <v>16</v>
      </c>
      <c r="G1224" s="12" t="s">
        <v>68</v>
      </c>
      <c r="H1224" s="12" t="s">
        <v>928</v>
      </c>
      <c r="I1224" s="12" t="s">
        <v>929</v>
      </c>
      <c r="J1224" s="17" t="s">
        <v>2783</v>
      </c>
      <c r="K1224" s="18" t="s">
        <v>2784</v>
      </c>
      <c r="L1224" s="19">
        <v>45916.0</v>
      </c>
      <c r="M1224" s="17" t="s">
        <v>28</v>
      </c>
      <c r="N1224" s="17" t="s">
        <v>3807</v>
      </c>
      <c r="O1224" s="17">
        <v>7.0115443E7</v>
      </c>
      <c r="Q1224" s="17" t="s">
        <v>112</v>
      </c>
      <c r="S1224" s="17" t="s">
        <v>112</v>
      </c>
      <c r="U1224" s="24"/>
      <c r="V1224" s="24"/>
      <c r="W1224" s="18" t="s">
        <v>915</v>
      </c>
    </row>
    <row r="1225">
      <c r="A1225" s="11"/>
      <c r="B1225" s="12" t="s">
        <v>7</v>
      </c>
      <c r="C1225" s="12" t="s">
        <v>8</v>
      </c>
      <c r="D1225" s="12" t="s">
        <v>15</v>
      </c>
      <c r="E1225" s="12" t="s">
        <v>15</v>
      </c>
      <c r="F1225" s="13" t="s">
        <v>16</v>
      </c>
      <c r="G1225" s="12" t="s">
        <v>68</v>
      </c>
      <c r="H1225" s="12" t="s">
        <v>928</v>
      </c>
      <c r="I1225" s="12" t="s">
        <v>929</v>
      </c>
      <c r="J1225" s="17" t="s">
        <v>2783</v>
      </c>
      <c r="K1225" s="18" t="s">
        <v>2784</v>
      </c>
      <c r="L1225" s="19">
        <v>45916.0</v>
      </c>
      <c r="M1225" s="17" t="s">
        <v>28</v>
      </c>
      <c r="N1225" s="17" t="s">
        <v>3808</v>
      </c>
      <c r="O1225" s="17">
        <v>4.4663709E7</v>
      </c>
      <c r="Q1225" s="17" t="s">
        <v>108</v>
      </c>
      <c r="S1225" s="17" t="s">
        <v>108</v>
      </c>
      <c r="U1225" s="24"/>
      <c r="V1225" s="24"/>
      <c r="W1225" s="18" t="s">
        <v>915</v>
      </c>
    </row>
    <row r="1226">
      <c r="A1226" s="11"/>
      <c r="B1226" s="12" t="s">
        <v>7</v>
      </c>
      <c r="C1226" s="12" t="s">
        <v>8</v>
      </c>
      <c r="D1226" s="12" t="s">
        <v>15</v>
      </c>
      <c r="E1226" s="12" t="s">
        <v>15</v>
      </c>
      <c r="F1226" s="13" t="s">
        <v>16</v>
      </c>
      <c r="G1226" s="12" t="s">
        <v>68</v>
      </c>
      <c r="H1226" s="12" t="s">
        <v>928</v>
      </c>
      <c r="I1226" s="12" t="s">
        <v>929</v>
      </c>
      <c r="J1226" s="17" t="s">
        <v>2783</v>
      </c>
      <c r="K1226" s="18" t="s">
        <v>2784</v>
      </c>
      <c r="L1226" s="19">
        <v>45916.0</v>
      </c>
      <c r="M1226" s="17" t="s">
        <v>28</v>
      </c>
      <c r="N1226" s="17" t="s">
        <v>3809</v>
      </c>
      <c r="O1226" s="17">
        <v>7.0115449E7</v>
      </c>
      <c r="Q1226" s="17" t="s">
        <v>112</v>
      </c>
      <c r="S1226" s="17" t="s">
        <v>112</v>
      </c>
      <c r="U1226" s="24"/>
      <c r="V1226" s="24"/>
      <c r="W1226" s="18" t="s">
        <v>915</v>
      </c>
    </row>
    <row r="1227">
      <c r="A1227" s="11"/>
      <c r="B1227" s="12" t="s">
        <v>7</v>
      </c>
      <c r="C1227" s="12" t="s">
        <v>8</v>
      </c>
      <c r="D1227" s="12" t="s">
        <v>15</v>
      </c>
      <c r="E1227" s="12" t="s">
        <v>15</v>
      </c>
      <c r="F1227" s="13" t="s">
        <v>16</v>
      </c>
      <c r="G1227" s="12" t="s">
        <v>68</v>
      </c>
      <c r="H1227" s="12" t="s">
        <v>928</v>
      </c>
      <c r="I1227" s="12" t="s">
        <v>929</v>
      </c>
      <c r="J1227" s="17" t="s">
        <v>2783</v>
      </c>
      <c r="K1227" s="18" t="s">
        <v>2784</v>
      </c>
      <c r="L1227" s="19">
        <v>45916.0</v>
      </c>
      <c r="M1227" s="17" t="s">
        <v>28</v>
      </c>
      <c r="N1227" s="17" t="s">
        <v>3810</v>
      </c>
      <c r="O1227" s="17">
        <v>4.3809111E7</v>
      </c>
      <c r="Q1227" s="17" t="s">
        <v>73</v>
      </c>
      <c r="S1227" s="17" t="s">
        <v>73</v>
      </c>
      <c r="U1227" s="24"/>
      <c r="V1227" s="24"/>
      <c r="W1227" s="18" t="s">
        <v>915</v>
      </c>
    </row>
    <row r="1228">
      <c r="A1228" s="11"/>
      <c r="B1228" s="12" t="s">
        <v>7</v>
      </c>
      <c r="C1228" s="12" t="s">
        <v>8</v>
      </c>
      <c r="D1228" s="12" t="s">
        <v>15</v>
      </c>
      <c r="E1228" s="12" t="s">
        <v>15</v>
      </c>
      <c r="F1228" s="13" t="s">
        <v>16</v>
      </c>
      <c r="G1228" s="12" t="s">
        <v>68</v>
      </c>
      <c r="H1228" s="12" t="s">
        <v>928</v>
      </c>
      <c r="I1228" s="12" t="s">
        <v>929</v>
      </c>
      <c r="J1228" s="17" t="s">
        <v>2783</v>
      </c>
      <c r="K1228" s="18" t="s">
        <v>2784</v>
      </c>
      <c r="L1228" s="19">
        <v>45916.0</v>
      </c>
      <c r="M1228" s="17" t="s">
        <v>28</v>
      </c>
      <c r="N1228" s="17" t="s">
        <v>3811</v>
      </c>
      <c r="O1228" s="17">
        <v>7.230569E7</v>
      </c>
      <c r="Q1228" s="17" t="s">
        <v>108</v>
      </c>
      <c r="S1228" s="17" t="s">
        <v>108</v>
      </c>
      <c r="U1228" s="24"/>
      <c r="V1228" s="24"/>
      <c r="W1228" s="18" t="s">
        <v>915</v>
      </c>
    </row>
    <row r="1229">
      <c r="A1229" s="11"/>
      <c r="B1229" s="12" t="s">
        <v>7</v>
      </c>
      <c r="C1229" s="12" t="s">
        <v>8</v>
      </c>
      <c r="D1229" s="12" t="s">
        <v>15</v>
      </c>
      <c r="E1229" s="12" t="s">
        <v>15</v>
      </c>
      <c r="F1229" s="13" t="s">
        <v>16</v>
      </c>
      <c r="G1229" s="12" t="s">
        <v>68</v>
      </c>
      <c r="H1229" s="12" t="s">
        <v>928</v>
      </c>
      <c r="I1229" s="12" t="s">
        <v>929</v>
      </c>
      <c r="J1229" s="17" t="s">
        <v>2783</v>
      </c>
      <c r="K1229" s="18" t="s">
        <v>2784</v>
      </c>
      <c r="L1229" s="19">
        <v>45916.0</v>
      </c>
      <c r="M1229" s="17" t="s">
        <v>28</v>
      </c>
      <c r="N1229" s="17" t="s">
        <v>3812</v>
      </c>
      <c r="O1229" s="17">
        <v>7.3591581E7</v>
      </c>
      <c r="Q1229" s="17" t="s">
        <v>112</v>
      </c>
      <c r="S1229" s="17" t="s">
        <v>112</v>
      </c>
      <c r="U1229" s="24"/>
      <c r="V1229" s="24"/>
      <c r="W1229" s="18" t="s">
        <v>915</v>
      </c>
    </row>
    <row r="1230">
      <c r="A1230" s="11"/>
      <c r="B1230" s="12" t="s">
        <v>7</v>
      </c>
      <c r="C1230" s="12" t="s">
        <v>8</v>
      </c>
      <c r="D1230" s="12" t="s">
        <v>15</v>
      </c>
      <c r="E1230" s="12" t="s">
        <v>15</v>
      </c>
      <c r="F1230" s="13" t="s">
        <v>16</v>
      </c>
      <c r="G1230" s="12" t="s">
        <v>68</v>
      </c>
      <c r="H1230" s="12" t="s">
        <v>928</v>
      </c>
      <c r="I1230" s="12" t="s">
        <v>929</v>
      </c>
      <c r="J1230" s="17" t="s">
        <v>2783</v>
      </c>
      <c r="K1230" s="18" t="s">
        <v>2784</v>
      </c>
      <c r="L1230" s="19">
        <v>45916.0</v>
      </c>
      <c r="M1230" s="17" t="s">
        <v>28</v>
      </c>
      <c r="N1230" s="17" t="s">
        <v>3533</v>
      </c>
      <c r="O1230" s="17">
        <v>4.292167E7</v>
      </c>
      <c r="Q1230" s="17" t="s">
        <v>108</v>
      </c>
      <c r="S1230" s="17" t="s">
        <v>108</v>
      </c>
      <c r="U1230" s="24"/>
      <c r="V1230" s="24"/>
      <c r="W1230" s="18" t="s">
        <v>915</v>
      </c>
    </row>
    <row r="1231">
      <c r="A1231" s="11"/>
      <c r="B1231" s="12" t="s">
        <v>7</v>
      </c>
      <c r="C1231" s="12" t="s">
        <v>8</v>
      </c>
      <c r="D1231" s="12" t="s">
        <v>15</v>
      </c>
      <c r="E1231" s="12" t="s">
        <v>15</v>
      </c>
      <c r="F1231" s="13" t="s">
        <v>16</v>
      </c>
      <c r="G1231" s="12" t="s">
        <v>68</v>
      </c>
      <c r="H1231" s="12" t="s">
        <v>928</v>
      </c>
      <c r="I1231" s="12" t="s">
        <v>929</v>
      </c>
      <c r="J1231" s="17" t="s">
        <v>2783</v>
      </c>
      <c r="K1231" s="18" t="s">
        <v>2784</v>
      </c>
      <c r="L1231" s="19">
        <v>45916.0</v>
      </c>
      <c r="M1231" s="17" t="s">
        <v>28</v>
      </c>
      <c r="N1231" s="17" t="s">
        <v>3813</v>
      </c>
      <c r="O1231" s="17">
        <v>7.0571358E7</v>
      </c>
      <c r="Q1231" s="17" t="s">
        <v>108</v>
      </c>
      <c r="S1231" s="17" t="s">
        <v>108</v>
      </c>
      <c r="U1231" s="24"/>
      <c r="V1231" s="24"/>
      <c r="W1231" s="18" t="s">
        <v>915</v>
      </c>
    </row>
    <row r="1232">
      <c r="A1232" s="11"/>
      <c r="B1232" s="12" t="s">
        <v>7</v>
      </c>
      <c r="C1232" s="12" t="s">
        <v>8</v>
      </c>
      <c r="D1232" s="12" t="s">
        <v>15</v>
      </c>
      <c r="E1232" s="12" t="s">
        <v>15</v>
      </c>
      <c r="F1232" s="13" t="s">
        <v>16</v>
      </c>
      <c r="G1232" s="12" t="s">
        <v>68</v>
      </c>
      <c r="H1232" s="12" t="s">
        <v>928</v>
      </c>
      <c r="I1232" s="12" t="s">
        <v>929</v>
      </c>
      <c r="J1232" s="17" t="s">
        <v>2783</v>
      </c>
      <c r="K1232" s="18" t="s">
        <v>2784</v>
      </c>
      <c r="L1232" s="19">
        <v>45916.0</v>
      </c>
      <c r="M1232" s="17" t="s">
        <v>23</v>
      </c>
      <c r="N1232" s="17" t="s">
        <v>3714</v>
      </c>
      <c r="O1232" s="17">
        <v>7.2029599E7</v>
      </c>
      <c r="Q1232" s="17" t="s">
        <v>73</v>
      </c>
      <c r="S1232" s="17" t="s">
        <v>73</v>
      </c>
      <c r="U1232" s="24"/>
      <c r="V1232" s="24"/>
      <c r="W1232" s="18" t="s">
        <v>915</v>
      </c>
    </row>
    <row r="1233">
      <c r="A1233" s="11"/>
      <c r="B1233" s="12" t="s">
        <v>7</v>
      </c>
      <c r="C1233" s="12" t="s">
        <v>8</v>
      </c>
      <c r="D1233" s="12" t="s">
        <v>15</v>
      </c>
      <c r="E1233" s="12" t="s">
        <v>15</v>
      </c>
      <c r="F1233" s="13" t="s">
        <v>16</v>
      </c>
      <c r="G1233" s="12" t="s">
        <v>68</v>
      </c>
      <c r="H1233" s="12" t="s">
        <v>928</v>
      </c>
      <c r="I1233" s="12" t="s">
        <v>929</v>
      </c>
      <c r="J1233" s="17" t="s">
        <v>2783</v>
      </c>
      <c r="K1233" s="18" t="s">
        <v>2784</v>
      </c>
      <c r="L1233" s="19">
        <v>45916.0</v>
      </c>
      <c r="M1233" s="17" t="s">
        <v>23</v>
      </c>
      <c r="N1233" s="17" t="s">
        <v>3814</v>
      </c>
      <c r="O1233" s="17">
        <v>9.2787173E7</v>
      </c>
      <c r="Q1233" s="17" t="s">
        <v>108</v>
      </c>
      <c r="S1233" s="17" t="s">
        <v>108</v>
      </c>
      <c r="U1233" s="24"/>
      <c r="V1233" s="24"/>
      <c r="W1233" s="18" t="s">
        <v>915</v>
      </c>
    </row>
    <row r="1234">
      <c r="A1234" s="11"/>
      <c r="B1234" s="12" t="s">
        <v>7</v>
      </c>
      <c r="C1234" s="12" t="s">
        <v>8</v>
      </c>
      <c r="D1234" s="12" t="s">
        <v>15</v>
      </c>
      <c r="E1234" s="12" t="s">
        <v>15</v>
      </c>
      <c r="F1234" s="13" t="s">
        <v>16</v>
      </c>
      <c r="G1234" s="12" t="s">
        <v>68</v>
      </c>
      <c r="H1234" s="12" t="s">
        <v>928</v>
      </c>
      <c r="I1234" s="12" t="s">
        <v>929</v>
      </c>
      <c r="J1234" s="17" t="s">
        <v>2783</v>
      </c>
      <c r="K1234" s="18" t="s">
        <v>2784</v>
      </c>
      <c r="L1234" s="19">
        <v>45916.0</v>
      </c>
      <c r="M1234" s="17" t="s">
        <v>23</v>
      </c>
      <c r="N1234" s="17" t="s">
        <v>3815</v>
      </c>
      <c r="O1234" s="17">
        <v>7.3302101E7</v>
      </c>
      <c r="Q1234" s="17" t="s">
        <v>112</v>
      </c>
      <c r="S1234" s="17" t="s">
        <v>112</v>
      </c>
      <c r="U1234" s="24"/>
      <c r="V1234" s="24"/>
      <c r="W1234" s="18" t="s">
        <v>915</v>
      </c>
    </row>
    <row r="1235">
      <c r="A1235" s="11"/>
      <c r="B1235" s="12" t="s">
        <v>7</v>
      </c>
      <c r="C1235" s="12" t="s">
        <v>8</v>
      </c>
      <c r="D1235" s="12" t="s">
        <v>15</v>
      </c>
      <c r="E1235" s="12" t="s">
        <v>21</v>
      </c>
      <c r="F1235" s="13" t="s">
        <v>19</v>
      </c>
      <c r="G1235" s="12" t="s">
        <v>68</v>
      </c>
      <c r="H1235" s="12" t="s">
        <v>968</v>
      </c>
      <c r="I1235" s="12" t="s">
        <v>969</v>
      </c>
      <c r="J1235" s="17" t="s">
        <v>2783</v>
      </c>
      <c r="K1235" s="18" t="s">
        <v>2784</v>
      </c>
      <c r="L1235" s="20">
        <v>45918.0</v>
      </c>
      <c r="M1235" s="17" t="s">
        <v>28</v>
      </c>
      <c r="N1235" s="17" t="s">
        <v>3659</v>
      </c>
      <c r="O1235" s="17">
        <v>4.6962682E7</v>
      </c>
      <c r="Q1235" s="17" t="s">
        <v>112</v>
      </c>
      <c r="S1235" s="17" t="s">
        <v>112</v>
      </c>
      <c r="U1235" s="24"/>
      <c r="V1235" s="24"/>
      <c r="W1235" s="18" t="s">
        <v>915</v>
      </c>
    </row>
    <row r="1236">
      <c r="A1236" s="11"/>
      <c r="B1236" s="12" t="s">
        <v>7</v>
      </c>
      <c r="C1236" s="12" t="s">
        <v>8</v>
      </c>
      <c r="D1236" s="12" t="s">
        <v>15</v>
      </c>
      <c r="E1236" s="12" t="s">
        <v>21</v>
      </c>
      <c r="F1236" s="13" t="s">
        <v>19</v>
      </c>
      <c r="G1236" s="12" t="s">
        <v>68</v>
      </c>
      <c r="H1236" s="12" t="s">
        <v>968</v>
      </c>
      <c r="I1236" s="12" t="s">
        <v>969</v>
      </c>
      <c r="J1236" s="17" t="s">
        <v>2783</v>
      </c>
      <c r="K1236" s="18" t="s">
        <v>2784</v>
      </c>
      <c r="L1236" s="20">
        <v>45918.0</v>
      </c>
      <c r="M1236" s="17" t="s">
        <v>28</v>
      </c>
      <c r="N1236" s="17" t="s">
        <v>2284</v>
      </c>
      <c r="O1236" s="17">
        <v>4.1945018E7</v>
      </c>
      <c r="Q1236" s="17" t="s">
        <v>112</v>
      </c>
      <c r="S1236" s="17" t="s">
        <v>112</v>
      </c>
      <c r="U1236" s="24"/>
      <c r="V1236" s="24"/>
      <c r="W1236" s="18" t="s">
        <v>915</v>
      </c>
    </row>
    <row r="1237">
      <c r="A1237" s="11"/>
      <c r="B1237" s="12" t="s">
        <v>7</v>
      </c>
      <c r="C1237" s="12" t="s">
        <v>8</v>
      </c>
      <c r="D1237" s="12" t="s">
        <v>15</v>
      </c>
      <c r="E1237" s="12" t="s">
        <v>21</v>
      </c>
      <c r="F1237" s="13" t="s">
        <v>19</v>
      </c>
      <c r="G1237" s="12" t="s">
        <v>68</v>
      </c>
      <c r="H1237" s="12" t="s">
        <v>968</v>
      </c>
      <c r="I1237" s="12" t="s">
        <v>969</v>
      </c>
      <c r="J1237" s="17" t="s">
        <v>2783</v>
      </c>
      <c r="K1237" s="18" t="s">
        <v>2784</v>
      </c>
      <c r="L1237" s="20">
        <v>45918.0</v>
      </c>
      <c r="M1237" s="17" t="s">
        <v>28</v>
      </c>
      <c r="N1237" s="17" t="s">
        <v>2285</v>
      </c>
      <c r="O1237" s="17">
        <v>7.1933696E7</v>
      </c>
      <c r="Q1237" s="17" t="s">
        <v>112</v>
      </c>
      <c r="S1237" s="17" t="s">
        <v>112</v>
      </c>
      <c r="U1237" s="24"/>
      <c r="V1237" s="24"/>
      <c r="W1237" s="18" t="s">
        <v>915</v>
      </c>
    </row>
    <row r="1238">
      <c r="A1238" s="11"/>
      <c r="B1238" s="12" t="s">
        <v>7</v>
      </c>
      <c r="C1238" s="12" t="s">
        <v>8</v>
      </c>
      <c r="D1238" s="12" t="s">
        <v>15</v>
      </c>
      <c r="E1238" s="12" t="s">
        <v>21</v>
      </c>
      <c r="F1238" s="13" t="s">
        <v>19</v>
      </c>
      <c r="G1238" s="12" t="s">
        <v>68</v>
      </c>
      <c r="H1238" s="12" t="s">
        <v>968</v>
      </c>
      <c r="I1238" s="12" t="s">
        <v>969</v>
      </c>
      <c r="J1238" s="17" t="s">
        <v>2783</v>
      </c>
      <c r="K1238" s="18" t="s">
        <v>2784</v>
      </c>
      <c r="L1238" s="20">
        <v>45918.0</v>
      </c>
      <c r="M1238" s="17" t="s">
        <v>28</v>
      </c>
      <c r="N1238" s="17" t="s">
        <v>3816</v>
      </c>
      <c r="O1238" s="17">
        <v>4.4474801E7</v>
      </c>
      <c r="Q1238" s="17" t="s">
        <v>112</v>
      </c>
      <c r="S1238" s="17" t="s">
        <v>112</v>
      </c>
      <c r="U1238" s="24"/>
      <c r="V1238" s="24"/>
      <c r="W1238" s="18" t="s">
        <v>915</v>
      </c>
    </row>
    <row r="1239">
      <c r="A1239" s="11"/>
      <c r="B1239" s="12" t="s">
        <v>7</v>
      </c>
      <c r="C1239" s="12" t="s">
        <v>8</v>
      </c>
      <c r="D1239" s="12" t="s">
        <v>15</v>
      </c>
      <c r="E1239" s="12" t="s">
        <v>21</v>
      </c>
      <c r="F1239" s="13" t="s">
        <v>19</v>
      </c>
      <c r="G1239" s="12" t="s">
        <v>68</v>
      </c>
      <c r="H1239" s="12" t="s">
        <v>968</v>
      </c>
      <c r="I1239" s="12" t="s">
        <v>969</v>
      </c>
      <c r="J1239" s="17" t="s">
        <v>2783</v>
      </c>
      <c r="K1239" s="18" t="s">
        <v>2784</v>
      </c>
      <c r="L1239" s="20">
        <v>45918.0</v>
      </c>
      <c r="M1239" s="17" t="s">
        <v>28</v>
      </c>
      <c r="N1239" s="17" t="s">
        <v>3656</v>
      </c>
      <c r="O1239" s="17">
        <v>7.1933694E7</v>
      </c>
      <c r="Q1239" s="17" t="s">
        <v>108</v>
      </c>
      <c r="S1239" s="17" t="s">
        <v>108</v>
      </c>
      <c r="U1239" s="24"/>
      <c r="V1239" s="24"/>
      <c r="W1239" s="18" t="s">
        <v>915</v>
      </c>
    </row>
    <row r="1240">
      <c r="A1240" s="11"/>
      <c r="B1240" s="12" t="s">
        <v>7</v>
      </c>
      <c r="C1240" s="12" t="s">
        <v>8</v>
      </c>
      <c r="D1240" s="12" t="s">
        <v>15</v>
      </c>
      <c r="E1240" s="12" t="s">
        <v>21</v>
      </c>
      <c r="F1240" s="13" t="s">
        <v>19</v>
      </c>
      <c r="G1240" s="12" t="s">
        <v>68</v>
      </c>
      <c r="H1240" s="12" t="s">
        <v>968</v>
      </c>
      <c r="I1240" s="12" t="s">
        <v>969</v>
      </c>
      <c r="J1240" s="17" t="s">
        <v>2783</v>
      </c>
      <c r="K1240" s="18" t="s">
        <v>2784</v>
      </c>
      <c r="L1240" s="20">
        <v>45918.0</v>
      </c>
      <c r="M1240" s="17" t="s">
        <v>28</v>
      </c>
      <c r="N1240" s="17" t="s">
        <v>3657</v>
      </c>
      <c r="O1240" s="17">
        <v>7.6452769E7</v>
      </c>
      <c r="Q1240" s="17" t="s">
        <v>112</v>
      </c>
      <c r="S1240" s="17" t="s">
        <v>112</v>
      </c>
      <c r="U1240" s="24"/>
      <c r="V1240" s="24"/>
      <c r="W1240" s="18" t="s">
        <v>915</v>
      </c>
    </row>
    <row r="1241">
      <c r="A1241" s="11"/>
      <c r="B1241" s="12" t="s">
        <v>7</v>
      </c>
      <c r="C1241" s="12" t="s">
        <v>8</v>
      </c>
      <c r="D1241" s="12" t="s">
        <v>15</v>
      </c>
      <c r="E1241" s="12" t="s">
        <v>21</v>
      </c>
      <c r="F1241" s="13" t="s">
        <v>19</v>
      </c>
      <c r="G1241" s="12" t="s">
        <v>68</v>
      </c>
      <c r="H1241" s="12" t="s">
        <v>968</v>
      </c>
      <c r="I1241" s="12" t="s">
        <v>969</v>
      </c>
      <c r="J1241" s="17" t="s">
        <v>2783</v>
      </c>
      <c r="K1241" s="18" t="s">
        <v>2784</v>
      </c>
      <c r="L1241" s="20">
        <v>45918.0</v>
      </c>
      <c r="M1241" s="17" t="s">
        <v>28</v>
      </c>
      <c r="N1241" s="17" t="s">
        <v>2290</v>
      </c>
      <c r="O1241" s="17">
        <v>7.6844742E7</v>
      </c>
      <c r="Q1241" s="17" t="s">
        <v>112</v>
      </c>
      <c r="S1241" s="17" t="s">
        <v>112</v>
      </c>
      <c r="U1241" s="24"/>
      <c r="V1241" s="24"/>
      <c r="W1241" s="18" t="s">
        <v>915</v>
      </c>
    </row>
    <row r="1242">
      <c r="A1242" s="11"/>
      <c r="B1242" s="12" t="s">
        <v>7</v>
      </c>
      <c r="C1242" s="12" t="s">
        <v>8</v>
      </c>
      <c r="D1242" s="12" t="s">
        <v>15</v>
      </c>
      <c r="E1242" s="12" t="s">
        <v>21</v>
      </c>
      <c r="F1242" s="13" t="s">
        <v>19</v>
      </c>
      <c r="G1242" s="12" t="s">
        <v>68</v>
      </c>
      <c r="H1242" s="12" t="s">
        <v>968</v>
      </c>
      <c r="I1242" s="12" t="s">
        <v>969</v>
      </c>
      <c r="J1242" s="17" t="s">
        <v>2783</v>
      </c>
      <c r="K1242" s="18" t="s">
        <v>2784</v>
      </c>
      <c r="L1242" s="20">
        <v>45918.0</v>
      </c>
      <c r="M1242" s="17" t="s">
        <v>28</v>
      </c>
      <c r="N1242" s="17" t="s">
        <v>3817</v>
      </c>
      <c r="O1242" s="17">
        <v>7.5268779E7</v>
      </c>
      <c r="Q1242" s="17" t="s">
        <v>73</v>
      </c>
      <c r="S1242" s="17" t="s">
        <v>73</v>
      </c>
      <c r="U1242" s="24"/>
      <c r="V1242" s="24"/>
      <c r="W1242" s="18" t="s">
        <v>915</v>
      </c>
    </row>
    <row r="1243">
      <c r="A1243" s="11"/>
      <c r="B1243" s="12" t="s">
        <v>7</v>
      </c>
      <c r="C1243" s="12" t="s">
        <v>8</v>
      </c>
      <c r="D1243" s="12" t="s">
        <v>15</v>
      </c>
      <c r="E1243" s="12" t="s">
        <v>21</v>
      </c>
      <c r="F1243" s="13" t="s">
        <v>19</v>
      </c>
      <c r="G1243" s="12" t="s">
        <v>68</v>
      </c>
      <c r="H1243" s="12" t="s">
        <v>968</v>
      </c>
      <c r="I1243" s="12" t="s">
        <v>969</v>
      </c>
      <c r="J1243" s="17" t="s">
        <v>2783</v>
      </c>
      <c r="K1243" s="18" t="s">
        <v>2784</v>
      </c>
      <c r="L1243" s="20">
        <v>45918.0</v>
      </c>
      <c r="M1243" s="17" t="s">
        <v>28</v>
      </c>
      <c r="N1243" s="17" t="s">
        <v>3818</v>
      </c>
      <c r="O1243" s="17">
        <v>4.1420205E7</v>
      </c>
      <c r="Q1243" s="17" t="s">
        <v>108</v>
      </c>
      <c r="S1243" s="17" t="s">
        <v>108</v>
      </c>
      <c r="U1243" s="24"/>
      <c r="V1243" s="24"/>
      <c r="W1243" s="18" t="s">
        <v>915</v>
      </c>
    </row>
    <row r="1244">
      <c r="A1244" s="11"/>
      <c r="B1244" s="12" t="s">
        <v>7</v>
      </c>
      <c r="C1244" s="12" t="s">
        <v>8</v>
      </c>
      <c r="D1244" s="12" t="s">
        <v>15</v>
      </c>
      <c r="E1244" s="12" t="s">
        <v>21</v>
      </c>
      <c r="F1244" s="13" t="s">
        <v>19</v>
      </c>
      <c r="G1244" s="12" t="s">
        <v>68</v>
      </c>
      <c r="H1244" s="12" t="s">
        <v>968</v>
      </c>
      <c r="I1244" s="12" t="s">
        <v>969</v>
      </c>
      <c r="J1244" s="17" t="s">
        <v>2783</v>
      </c>
      <c r="K1244" s="18" t="s">
        <v>2784</v>
      </c>
      <c r="L1244" s="20">
        <v>45918.0</v>
      </c>
      <c r="M1244" s="17" t="s">
        <v>28</v>
      </c>
      <c r="N1244" s="17" t="s">
        <v>3665</v>
      </c>
      <c r="Q1244" s="17" t="s">
        <v>108</v>
      </c>
      <c r="S1244" s="17" t="s">
        <v>108</v>
      </c>
      <c r="U1244" s="24"/>
      <c r="V1244" s="24"/>
      <c r="W1244" s="18" t="s">
        <v>915</v>
      </c>
    </row>
    <row r="1245">
      <c r="A1245" s="11"/>
      <c r="B1245" s="12" t="s">
        <v>7</v>
      </c>
      <c r="C1245" s="12" t="s">
        <v>8</v>
      </c>
      <c r="D1245" s="12" t="s">
        <v>9</v>
      </c>
      <c r="E1245" s="12" t="s">
        <v>10</v>
      </c>
      <c r="F1245" s="13" t="s">
        <v>11</v>
      </c>
      <c r="G1245" s="12" t="s">
        <v>68</v>
      </c>
      <c r="H1245" s="12" t="s">
        <v>911</v>
      </c>
      <c r="I1245" s="12" t="s">
        <v>912</v>
      </c>
      <c r="J1245" s="17" t="s">
        <v>2783</v>
      </c>
      <c r="K1245" s="18" t="s">
        <v>2784</v>
      </c>
      <c r="L1245" s="20">
        <v>45915.0</v>
      </c>
      <c r="M1245" s="17" t="s">
        <v>23</v>
      </c>
      <c r="N1245" s="17" t="s">
        <v>3671</v>
      </c>
      <c r="O1245" s="17">
        <v>4.5010912E7</v>
      </c>
      <c r="Q1245" s="17" t="s">
        <v>73</v>
      </c>
      <c r="S1245" s="17" t="s">
        <v>73</v>
      </c>
      <c r="U1245" s="24"/>
      <c r="V1245" s="24"/>
      <c r="W1245" s="18" t="s">
        <v>915</v>
      </c>
    </row>
    <row r="1246">
      <c r="A1246" s="11"/>
      <c r="B1246" s="12" t="s">
        <v>7</v>
      </c>
      <c r="C1246" s="12" t="s">
        <v>8</v>
      </c>
      <c r="D1246" s="12" t="s">
        <v>9</v>
      </c>
      <c r="E1246" s="12" t="s">
        <v>10</v>
      </c>
      <c r="F1246" s="13" t="s">
        <v>11</v>
      </c>
      <c r="G1246" s="12" t="s">
        <v>68</v>
      </c>
      <c r="H1246" s="12" t="s">
        <v>911</v>
      </c>
      <c r="I1246" s="12" t="s">
        <v>912</v>
      </c>
      <c r="J1246" s="17" t="s">
        <v>2783</v>
      </c>
      <c r="K1246" s="18" t="s">
        <v>2784</v>
      </c>
      <c r="L1246" s="20">
        <v>45915.0</v>
      </c>
      <c r="M1246" s="17" t="s">
        <v>28</v>
      </c>
      <c r="N1246" s="17" t="s">
        <v>2299</v>
      </c>
      <c r="O1246" s="17">
        <v>7.1397433E7</v>
      </c>
      <c r="Q1246" s="17" t="s">
        <v>112</v>
      </c>
      <c r="S1246" s="17" t="s">
        <v>112</v>
      </c>
      <c r="U1246" s="24"/>
      <c r="V1246" s="24"/>
      <c r="W1246" s="18" t="s">
        <v>915</v>
      </c>
    </row>
    <row r="1247">
      <c r="A1247" s="11"/>
      <c r="B1247" s="12" t="s">
        <v>7</v>
      </c>
      <c r="C1247" s="12" t="s">
        <v>8</v>
      </c>
      <c r="D1247" s="12" t="s">
        <v>9</v>
      </c>
      <c r="E1247" s="12" t="s">
        <v>10</v>
      </c>
      <c r="F1247" s="13" t="s">
        <v>11</v>
      </c>
      <c r="G1247" s="12" t="s">
        <v>68</v>
      </c>
      <c r="H1247" s="12" t="s">
        <v>911</v>
      </c>
      <c r="I1247" s="12" t="s">
        <v>912</v>
      </c>
      <c r="J1247" s="17" t="s">
        <v>2783</v>
      </c>
      <c r="K1247" s="18" t="s">
        <v>2784</v>
      </c>
      <c r="L1247" s="20">
        <v>45915.0</v>
      </c>
      <c r="M1247" s="17" t="s">
        <v>23</v>
      </c>
      <c r="N1247" s="17" t="s">
        <v>2301</v>
      </c>
      <c r="O1247" s="17">
        <v>4.6444871E7</v>
      </c>
      <c r="Q1247" s="17" t="s">
        <v>108</v>
      </c>
      <c r="S1247" s="17" t="s">
        <v>108</v>
      </c>
      <c r="U1247" s="24"/>
      <c r="V1247" s="24"/>
      <c r="W1247" s="18" t="s">
        <v>915</v>
      </c>
    </row>
    <row r="1248">
      <c r="A1248" s="11"/>
      <c r="B1248" s="12" t="s">
        <v>7</v>
      </c>
      <c r="C1248" s="12" t="s">
        <v>8</v>
      </c>
      <c r="D1248" s="12" t="s">
        <v>9</v>
      </c>
      <c r="E1248" s="12" t="s">
        <v>10</v>
      </c>
      <c r="F1248" s="13" t="s">
        <v>11</v>
      </c>
      <c r="G1248" s="12" t="s">
        <v>68</v>
      </c>
      <c r="H1248" s="12" t="s">
        <v>911</v>
      </c>
      <c r="I1248" s="12" t="s">
        <v>912</v>
      </c>
      <c r="J1248" s="17" t="s">
        <v>2783</v>
      </c>
      <c r="K1248" s="18" t="s">
        <v>2784</v>
      </c>
      <c r="L1248" s="20">
        <v>45915.0</v>
      </c>
      <c r="M1248" s="17" t="s">
        <v>28</v>
      </c>
      <c r="N1248" s="17" t="s">
        <v>3688</v>
      </c>
      <c r="O1248" s="17">
        <v>4.227157E7</v>
      </c>
      <c r="Q1248" s="17" t="s">
        <v>73</v>
      </c>
      <c r="S1248" s="17" t="s">
        <v>73</v>
      </c>
      <c r="U1248" s="24"/>
      <c r="V1248" s="24"/>
      <c r="W1248" s="18" t="s">
        <v>915</v>
      </c>
    </row>
    <row r="1249">
      <c r="A1249" s="11"/>
      <c r="B1249" s="12" t="s">
        <v>7</v>
      </c>
      <c r="C1249" s="12" t="s">
        <v>8</v>
      </c>
      <c r="D1249" s="12" t="s">
        <v>9</v>
      </c>
      <c r="E1249" s="12" t="s">
        <v>10</v>
      </c>
      <c r="F1249" s="13" t="s">
        <v>11</v>
      </c>
      <c r="G1249" s="12" t="s">
        <v>68</v>
      </c>
      <c r="H1249" s="12" t="s">
        <v>911</v>
      </c>
      <c r="I1249" s="12" t="s">
        <v>912</v>
      </c>
      <c r="J1249" s="17" t="s">
        <v>2783</v>
      </c>
      <c r="K1249" s="18" t="s">
        <v>2784</v>
      </c>
      <c r="L1249" s="20">
        <v>45915.0</v>
      </c>
      <c r="M1249" s="17" t="s">
        <v>28</v>
      </c>
      <c r="N1249" s="17" t="s">
        <v>3697</v>
      </c>
      <c r="O1249" s="17">
        <v>3.1925853E7</v>
      </c>
      <c r="Q1249" s="17" t="s">
        <v>108</v>
      </c>
      <c r="S1249" s="17" t="s">
        <v>108</v>
      </c>
      <c r="U1249" s="24"/>
      <c r="V1249" s="24"/>
      <c r="W1249" s="18" t="s">
        <v>915</v>
      </c>
    </row>
    <row r="1250">
      <c r="A1250" s="11"/>
      <c r="B1250" s="12" t="s">
        <v>7</v>
      </c>
      <c r="C1250" s="12" t="s">
        <v>8</v>
      </c>
      <c r="D1250" s="12" t="s">
        <v>9</v>
      </c>
      <c r="E1250" s="12" t="s">
        <v>10</v>
      </c>
      <c r="F1250" s="13" t="s">
        <v>11</v>
      </c>
      <c r="G1250" s="12" t="s">
        <v>68</v>
      </c>
      <c r="H1250" s="12" t="s">
        <v>911</v>
      </c>
      <c r="I1250" s="12" t="s">
        <v>912</v>
      </c>
      <c r="J1250" s="17" t="s">
        <v>2783</v>
      </c>
      <c r="K1250" s="18" t="s">
        <v>2784</v>
      </c>
      <c r="L1250" s="20">
        <v>45915.0</v>
      </c>
      <c r="M1250" s="17" t="s">
        <v>28</v>
      </c>
      <c r="N1250" s="17" t="s">
        <v>3819</v>
      </c>
      <c r="O1250" s="17">
        <v>1.0691904E7</v>
      </c>
      <c r="Q1250" s="17" t="s">
        <v>108</v>
      </c>
      <c r="S1250" s="17" t="s">
        <v>108</v>
      </c>
      <c r="U1250" s="24"/>
      <c r="V1250" s="24"/>
      <c r="W1250" s="18" t="s">
        <v>915</v>
      </c>
    </row>
    <row r="1251">
      <c r="A1251" s="11"/>
      <c r="B1251" s="12" t="s">
        <v>22</v>
      </c>
      <c r="C1251" s="12" t="s">
        <v>22</v>
      </c>
      <c r="D1251" s="12" t="s">
        <v>22</v>
      </c>
      <c r="E1251" s="12" t="s">
        <v>593</v>
      </c>
      <c r="F1251" s="13" t="s">
        <v>594</v>
      </c>
      <c r="G1251" s="12" t="s">
        <v>68</v>
      </c>
      <c r="H1251" s="12" t="s">
        <v>595</v>
      </c>
      <c r="I1251" s="12" t="s">
        <v>596</v>
      </c>
      <c r="J1251" s="17" t="s">
        <v>2783</v>
      </c>
      <c r="K1251" s="18" t="s">
        <v>2784</v>
      </c>
      <c r="L1251" s="20">
        <v>45925.0</v>
      </c>
      <c r="M1251" s="17" t="s">
        <v>28</v>
      </c>
      <c r="N1251" s="17" t="s">
        <v>3820</v>
      </c>
      <c r="O1251" s="17">
        <v>7.7807181E7</v>
      </c>
      <c r="P1251" s="17" t="s">
        <v>2184</v>
      </c>
      <c r="Q1251" s="17" t="s">
        <v>73</v>
      </c>
      <c r="R1251" s="17" t="s">
        <v>74</v>
      </c>
      <c r="S1251" s="17" t="s">
        <v>2185</v>
      </c>
      <c r="U1251" s="24"/>
      <c r="V1251" s="24"/>
      <c r="W1251" s="18" t="s">
        <v>588</v>
      </c>
    </row>
    <row r="1252">
      <c r="A1252" s="11"/>
      <c r="B1252" s="12" t="s">
        <v>22</v>
      </c>
      <c r="C1252" s="12" t="s">
        <v>22</v>
      </c>
      <c r="D1252" s="12" t="s">
        <v>22</v>
      </c>
      <c r="E1252" s="12" t="s">
        <v>593</v>
      </c>
      <c r="F1252" s="13" t="s">
        <v>594</v>
      </c>
      <c r="G1252" s="12" t="s">
        <v>68</v>
      </c>
      <c r="H1252" s="12" t="s">
        <v>595</v>
      </c>
      <c r="I1252" s="12" t="s">
        <v>596</v>
      </c>
      <c r="J1252" s="17" t="s">
        <v>2783</v>
      </c>
      <c r="K1252" s="18" t="s">
        <v>2784</v>
      </c>
      <c r="L1252" s="20">
        <v>45925.0</v>
      </c>
      <c r="M1252" s="17" t="s">
        <v>28</v>
      </c>
      <c r="N1252" s="17" t="s">
        <v>3821</v>
      </c>
      <c r="O1252" s="17">
        <v>4.5735062E7</v>
      </c>
      <c r="P1252" s="17" t="s">
        <v>3822</v>
      </c>
      <c r="Q1252" s="17" t="s">
        <v>73</v>
      </c>
      <c r="R1252" s="17" t="s">
        <v>74</v>
      </c>
      <c r="S1252" s="17" t="s">
        <v>3823</v>
      </c>
      <c r="U1252" s="24"/>
      <c r="V1252" s="24"/>
      <c r="W1252" s="18" t="s">
        <v>588</v>
      </c>
    </row>
    <row r="1253">
      <c r="A1253" s="11"/>
      <c r="B1253" s="12" t="s">
        <v>22</v>
      </c>
      <c r="C1253" s="12" t="s">
        <v>22</v>
      </c>
      <c r="D1253" s="12" t="s">
        <v>22</v>
      </c>
      <c r="E1253" s="12" t="s">
        <v>593</v>
      </c>
      <c r="F1253" s="13" t="s">
        <v>594</v>
      </c>
      <c r="G1253" s="12" t="s">
        <v>68</v>
      </c>
      <c r="H1253" s="12" t="s">
        <v>595</v>
      </c>
      <c r="I1253" s="12" t="s">
        <v>596</v>
      </c>
      <c r="J1253" s="17" t="s">
        <v>2783</v>
      </c>
      <c r="K1253" s="18" t="s">
        <v>2784</v>
      </c>
      <c r="L1253" s="20">
        <v>45925.0</v>
      </c>
      <c r="M1253" s="17" t="s">
        <v>28</v>
      </c>
      <c r="N1253" s="17" t="s">
        <v>3821</v>
      </c>
      <c r="O1253" s="17">
        <v>4.5735062E7</v>
      </c>
      <c r="P1253" s="17" t="s">
        <v>3824</v>
      </c>
      <c r="Q1253" s="17" t="s">
        <v>108</v>
      </c>
      <c r="R1253" s="17" t="s">
        <v>109</v>
      </c>
      <c r="S1253" s="17" t="s">
        <v>3825</v>
      </c>
      <c r="U1253" s="24"/>
      <c r="V1253" s="24"/>
      <c r="W1253" s="18" t="s">
        <v>588</v>
      </c>
    </row>
    <row r="1254">
      <c r="A1254" s="11"/>
      <c r="B1254" s="23"/>
      <c r="C1254" s="23"/>
      <c r="D1254" s="23"/>
      <c r="E1254" s="23"/>
      <c r="F1254" s="13" t="s">
        <v>594</v>
      </c>
      <c r="G1254" s="23"/>
      <c r="H1254" s="23"/>
      <c r="I1254" s="23"/>
      <c r="J1254" s="17" t="s">
        <v>2783</v>
      </c>
      <c r="K1254" s="18" t="s">
        <v>2784</v>
      </c>
      <c r="L1254" s="20">
        <v>45925.0</v>
      </c>
      <c r="M1254" s="17" t="s">
        <v>28</v>
      </c>
      <c r="N1254" s="17" t="s">
        <v>3485</v>
      </c>
      <c r="O1254" s="17">
        <v>7.1118884E7</v>
      </c>
      <c r="Q1254" s="17" t="s">
        <v>73</v>
      </c>
      <c r="R1254" s="17" t="s">
        <v>74</v>
      </c>
      <c r="S1254" s="17" t="s">
        <v>2202</v>
      </c>
      <c r="U1254" s="24"/>
      <c r="V1254" s="24"/>
      <c r="W1254" s="18" t="s">
        <v>588</v>
      </c>
    </row>
    <row r="1255">
      <c r="A1255" s="11"/>
      <c r="B1255" s="23"/>
      <c r="C1255" s="23"/>
      <c r="D1255" s="23"/>
      <c r="E1255" s="23"/>
      <c r="F1255" s="13" t="s">
        <v>594</v>
      </c>
      <c r="G1255" s="23"/>
      <c r="H1255" s="23"/>
      <c r="I1255" s="23"/>
      <c r="J1255" s="17" t="s">
        <v>2783</v>
      </c>
      <c r="K1255" s="18" t="s">
        <v>2784</v>
      </c>
      <c r="L1255" s="20">
        <v>45925.0</v>
      </c>
      <c r="M1255" s="17" t="s">
        <v>28</v>
      </c>
      <c r="N1255" s="17" t="s">
        <v>2186</v>
      </c>
      <c r="O1255" s="17">
        <v>4.0991197E7</v>
      </c>
      <c r="P1255" s="17" t="s">
        <v>3826</v>
      </c>
      <c r="Q1255" s="17" t="s">
        <v>112</v>
      </c>
      <c r="R1255" s="17" t="s">
        <v>113</v>
      </c>
      <c r="S1255" s="17" t="s">
        <v>3827</v>
      </c>
      <c r="U1255" s="24"/>
      <c r="V1255" s="24"/>
      <c r="W1255" s="18" t="s">
        <v>588</v>
      </c>
    </row>
    <row r="1256">
      <c r="A1256" s="11"/>
      <c r="B1256" s="23"/>
      <c r="C1256" s="23"/>
      <c r="D1256" s="23"/>
      <c r="E1256" s="23"/>
      <c r="F1256" s="13" t="s">
        <v>594</v>
      </c>
      <c r="G1256" s="23"/>
      <c r="H1256" s="23"/>
      <c r="I1256" s="23"/>
      <c r="J1256" s="17" t="s">
        <v>2783</v>
      </c>
      <c r="K1256" s="18" t="s">
        <v>2784</v>
      </c>
      <c r="L1256" s="20">
        <v>45925.0</v>
      </c>
      <c r="M1256" s="17" t="s">
        <v>28</v>
      </c>
      <c r="N1256" s="17" t="s">
        <v>3828</v>
      </c>
      <c r="O1256" s="17">
        <v>4.3064696E7</v>
      </c>
      <c r="Q1256" s="17" t="s">
        <v>73</v>
      </c>
      <c r="R1256" s="17" t="s">
        <v>74</v>
      </c>
      <c r="S1256" s="17" t="s">
        <v>2202</v>
      </c>
      <c r="U1256" s="24"/>
      <c r="V1256" s="24"/>
      <c r="W1256" s="18" t="s">
        <v>588</v>
      </c>
    </row>
    <row r="1257">
      <c r="A1257" s="11"/>
      <c r="B1257" s="12" t="s">
        <v>22</v>
      </c>
      <c r="C1257" s="12" t="s">
        <v>22</v>
      </c>
      <c r="D1257" s="12" t="s">
        <v>22</v>
      </c>
      <c r="E1257" s="12" t="s">
        <v>593</v>
      </c>
      <c r="F1257" s="13" t="s">
        <v>594</v>
      </c>
      <c r="G1257" s="12" t="s">
        <v>68</v>
      </c>
      <c r="H1257" s="12" t="s">
        <v>595</v>
      </c>
      <c r="I1257" s="12" t="s">
        <v>596</v>
      </c>
      <c r="J1257" s="17" t="s">
        <v>2783</v>
      </c>
      <c r="K1257" s="18" t="s">
        <v>2784</v>
      </c>
      <c r="L1257" s="20">
        <v>45925.0</v>
      </c>
      <c r="M1257" s="17" t="s">
        <v>28</v>
      </c>
      <c r="N1257" s="17" t="s">
        <v>3829</v>
      </c>
      <c r="O1257" s="17">
        <v>7.5721531E7</v>
      </c>
      <c r="Q1257" s="17" t="s">
        <v>108</v>
      </c>
      <c r="R1257" s="17" t="s">
        <v>109</v>
      </c>
      <c r="S1257" s="17" t="s">
        <v>2198</v>
      </c>
      <c r="U1257" s="24"/>
      <c r="V1257" s="24"/>
      <c r="W1257" s="18" t="s">
        <v>588</v>
      </c>
    </row>
    <row r="1258">
      <c r="A1258" s="11"/>
      <c r="B1258" s="12" t="s">
        <v>22</v>
      </c>
      <c r="C1258" s="12" t="s">
        <v>22</v>
      </c>
      <c r="D1258" s="12" t="s">
        <v>22</v>
      </c>
      <c r="E1258" s="12" t="s">
        <v>593</v>
      </c>
      <c r="F1258" s="13" t="s">
        <v>594</v>
      </c>
      <c r="G1258" s="12" t="s">
        <v>68</v>
      </c>
      <c r="H1258" s="12" t="s">
        <v>595</v>
      </c>
      <c r="I1258" s="12" t="s">
        <v>596</v>
      </c>
      <c r="J1258" s="17" t="s">
        <v>2783</v>
      </c>
      <c r="K1258" s="18" t="s">
        <v>2784</v>
      </c>
      <c r="L1258" s="20">
        <v>45925.0</v>
      </c>
      <c r="M1258" s="17" t="s">
        <v>28</v>
      </c>
      <c r="N1258" s="17" t="s">
        <v>3830</v>
      </c>
      <c r="O1258" s="17">
        <v>4.5349445E7</v>
      </c>
      <c r="P1258" s="17" t="s">
        <v>3449</v>
      </c>
      <c r="Q1258" s="17" t="s">
        <v>112</v>
      </c>
      <c r="R1258" s="17" t="s">
        <v>113</v>
      </c>
      <c r="S1258" s="17" t="s">
        <v>3450</v>
      </c>
      <c r="U1258" s="24"/>
      <c r="V1258" s="24"/>
      <c r="W1258" s="18" t="s">
        <v>588</v>
      </c>
    </row>
    <row r="1259">
      <c r="A1259" s="11"/>
      <c r="B1259" s="23"/>
      <c r="C1259" s="23"/>
      <c r="D1259" s="23"/>
      <c r="E1259" s="23"/>
      <c r="F1259" s="13" t="s">
        <v>594</v>
      </c>
      <c r="G1259" s="23"/>
      <c r="H1259" s="23"/>
      <c r="I1259" s="23"/>
      <c r="J1259" s="17" t="s">
        <v>2783</v>
      </c>
      <c r="K1259" s="18" t="s">
        <v>2784</v>
      </c>
      <c r="L1259" s="20">
        <v>45925.0</v>
      </c>
      <c r="M1259" s="17" t="s">
        <v>28</v>
      </c>
      <c r="N1259" s="17" t="s">
        <v>2189</v>
      </c>
      <c r="O1259" s="17">
        <v>7.1774918E7</v>
      </c>
      <c r="P1259" s="17" t="s">
        <v>3831</v>
      </c>
      <c r="Q1259" s="17" t="s">
        <v>112</v>
      </c>
      <c r="R1259" s="17" t="s">
        <v>113</v>
      </c>
      <c r="S1259" s="17" t="s">
        <v>3832</v>
      </c>
      <c r="U1259" s="24"/>
      <c r="V1259" s="24"/>
      <c r="W1259" s="18" t="s">
        <v>588</v>
      </c>
    </row>
    <row r="1260">
      <c r="A1260" s="11"/>
      <c r="B1260" s="12" t="s">
        <v>22</v>
      </c>
      <c r="C1260" s="12" t="s">
        <v>22</v>
      </c>
      <c r="D1260" s="12" t="s">
        <v>22</v>
      </c>
      <c r="E1260" s="12" t="s">
        <v>593</v>
      </c>
      <c r="F1260" s="13" t="s">
        <v>594</v>
      </c>
      <c r="G1260" s="12" t="s">
        <v>68</v>
      </c>
      <c r="H1260" s="12" t="s">
        <v>595</v>
      </c>
      <c r="I1260" s="12" t="s">
        <v>596</v>
      </c>
      <c r="J1260" s="17" t="s">
        <v>2783</v>
      </c>
      <c r="K1260" s="18" t="s">
        <v>2784</v>
      </c>
      <c r="L1260" s="20">
        <v>45925.0</v>
      </c>
      <c r="M1260" s="17" t="s">
        <v>28</v>
      </c>
      <c r="N1260" s="17" t="s">
        <v>3461</v>
      </c>
      <c r="O1260" s="17">
        <v>7.0235567E7</v>
      </c>
      <c r="P1260" s="17" t="s">
        <v>3462</v>
      </c>
      <c r="Q1260" s="17" t="s">
        <v>73</v>
      </c>
      <c r="R1260" s="17" t="s">
        <v>74</v>
      </c>
      <c r="S1260" s="17" t="s">
        <v>3833</v>
      </c>
      <c r="U1260" s="24"/>
      <c r="V1260" s="24"/>
      <c r="W1260" s="18" t="s">
        <v>588</v>
      </c>
    </row>
    <row r="1261">
      <c r="A1261" s="11"/>
      <c r="B1261" s="12" t="s">
        <v>22</v>
      </c>
      <c r="C1261" s="12" t="s">
        <v>22</v>
      </c>
      <c r="D1261" s="12" t="s">
        <v>22</v>
      </c>
      <c r="E1261" s="12" t="s">
        <v>593</v>
      </c>
      <c r="F1261" s="13" t="s">
        <v>594</v>
      </c>
      <c r="G1261" s="12" t="s">
        <v>68</v>
      </c>
      <c r="H1261" s="12" t="s">
        <v>595</v>
      </c>
      <c r="I1261" s="12" t="s">
        <v>596</v>
      </c>
      <c r="J1261" s="17" t="s">
        <v>2783</v>
      </c>
      <c r="K1261" s="18" t="s">
        <v>2784</v>
      </c>
      <c r="L1261" s="20">
        <v>45925.0</v>
      </c>
      <c r="M1261" s="17" t="s">
        <v>28</v>
      </c>
      <c r="N1261" s="17" t="s">
        <v>3834</v>
      </c>
      <c r="O1261" s="17">
        <v>7.0235567E7</v>
      </c>
      <c r="P1261" s="17" t="s">
        <v>3464</v>
      </c>
      <c r="Q1261" s="17" t="s">
        <v>108</v>
      </c>
      <c r="R1261" s="17" t="s">
        <v>109</v>
      </c>
      <c r="S1261" s="17" t="s">
        <v>3835</v>
      </c>
      <c r="U1261" s="24"/>
      <c r="V1261" s="24"/>
      <c r="W1261" s="18" t="s">
        <v>588</v>
      </c>
    </row>
    <row r="1262">
      <c r="A1262" s="11"/>
      <c r="B1262" s="12" t="s">
        <v>22</v>
      </c>
      <c r="C1262" s="12" t="s">
        <v>22</v>
      </c>
      <c r="D1262" s="12" t="s">
        <v>22</v>
      </c>
      <c r="E1262" s="12" t="s">
        <v>593</v>
      </c>
      <c r="F1262" s="13" t="s">
        <v>594</v>
      </c>
      <c r="G1262" s="12" t="s">
        <v>68</v>
      </c>
      <c r="H1262" s="12" t="s">
        <v>595</v>
      </c>
      <c r="I1262" s="12" t="s">
        <v>596</v>
      </c>
      <c r="J1262" s="17" t="s">
        <v>2783</v>
      </c>
      <c r="K1262" s="18" t="s">
        <v>2784</v>
      </c>
      <c r="L1262" s="20">
        <v>45925.0</v>
      </c>
      <c r="M1262" s="17" t="s">
        <v>28</v>
      </c>
      <c r="N1262" s="17" t="s">
        <v>3836</v>
      </c>
      <c r="O1262" s="17">
        <v>4.1144605E7</v>
      </c>
      <c r="P1262" s="17" t="s">
        <v>3837</v>
      </c>
      <c r="Q1262" s="17" t="s">
        <v>112</v>
      </c>
      <c r="R1262" s="17" t="s">
        <v>113</v>
      </c>
      <c r="S1262" s="17" t="s">
        <v>3838</v>
      </c>
      <c r="U1262" s="24"/>
      <c r="V1262" s="24"/>
      <c r="W1262" s="18" t="s">
        <v>588</v>
      </c>
    </row>
    <row r="1263">
      <c r="A1263" s="11"/>
      <c r="B1263" s="12" t="s">
        <v>22</v>
      </c>
      <c r="C1263" s="12" t="s">
        <v>22</v>
      </c>
      <c r="D1263" s="12" t="s">
        <v>22</v>
      </c>
      <c r="E1263" s="12" t="s">
        <v>593</v>
      </c>
      <c r="F1263" s="13" t="s">
        <v>594</v>
      </c>
      <c r="G1263" s="12" t="s">
        <v>68</v>
      </c>
      <c r="H1263" s="12" t="s">
        <v>595</v>
      </c>
      <c r="I1263" s="12" t="s">
        <v>596</v>
      </c>
      <c r="J1263" s="17" t="s">
        <v>2783</v>
      </c>
      <c r="K1263" s="18" t="s">
        <v>2784</v>
      </c>
      <c r="L1263" s="20">
        <v>45925.0</v>
      </c>
      <c r="M1263" s="17" t="s">
        <v>28</v>
      </c>
      <c r="N1263" s="17" t="s">
        <v>3839</v>
      </c>
      <c r="O1263" s="17">
        <v>3.2124427E7</v>
      </c>
      <c r="Q1263" s="17" t="s">
        <v>112</v>
      </c>
      <c r="R1263" s="17" t="s">
        <v>113</v>
      </c>
      <c r="S1263" s="17" t="s">
        <v>2220</v>
      </c>
      <c r="U1263" s="24"/>
      <c r="V1263" s="24"/>
      <c r="W1263" s="18" t="s">
        <v>588</v>
      </c>
    </row>
    <row r="1264">
      <c r="A1264" s="11"/>
      <c r="B1264" s="12" t="s">
        <v>22</v>
      </c>
      <c r="C1264" s="12" t="s">
        <v>22</v>
      </c>
      <c r="D1264" s="12" t="s">
        <v>22</v>
      </c>
      <c r="E1264" s="12" t="s">
        <v>593</v>
      </c>
      <c r="F1264" s="13" t="s">
        <v>594</v>
      </c>
      <c r="G1264" s="12" t="s">
        <v>68</v>
      </c>
      <c r="H1264" s="12" t="s">
        <v>595</v>
      </c>
      <c r="I1264" s="12" t="s">
        <v>596</v>
      </c>
      <c r="J1264" s="17" t="s">
        <v>2783</v>
      </c>
      <c r="K1264" s="18" t="s">
        <v>2784</v>
      </c>
      <c r="L1264" s="20">
        <v>45925.0</v>
      </c>
      <c r="M1264" s="17" t="s">
        <v>28</v>
      </c>
      <c r="N1264" s="17" t="s">
        <v>3840</v>
      </c>
      <c r="O1264" s="17">
        <v>4.652609E7</v>
      </c>
      <c r="P1264" s="17" t="s">
        <v>3841</v>
      </c>
      <c r="Q1264" s="17" t="s">
        <v>112</v>
      </c>
      <c r="R1264" s="17" t="s">
        <v>113</v>
      </c>
      <c r="S1264" s="17" t="s">
        <v>3842</v>
      </c>
      <c r="U1264" s="24"/>
      <c r="V1264" s="24"/>
      <c r="W1264" s="18" t="s">
        <v>588</v>
      </c>
    </row>
    <row r="1265">
      <c r="A1265" s="11"/>
      <c r="B1265" s="12" t="s">
        <v>22</v>
      </c>
      <c r="C1265" s="12" t="s">
        <v>22</v>
      </c>
      <c r="D1265" s="12" t="s">
        <v>22</v>
      </c>
      <c r="E1265" s="12" t="s">
        <v>593</v>
      </c>
      <c r="F1265" s="13" t="s">
        <v>594</v>
      </c>
      <c r="G1265" s="12" t="s">
        <v>68</v>
      </c>
      <c r="H1265" s="12" t="s">
        <v>595</v>
      </c>
      <c r="I1265" s="12" t="s">
        <v>596</v>
      </c>
      <c r="J1265" s="17" t="s">
        <v>2783</v>
      </c>
      <c r="K1265" s="18" t="s">
        <v>2784</v>
      </c>
      <c r="L1265" s="20">
        <v>45925.0</v>
      </c>
      <c r="M1265" s="17" t="s">
        <v>28</v>
      </c>
      <c r="N1265" s="17" t="s">
        <v>2192</v>
      </c>
      <c r="O1265" s="17">
        <v>7.2620267E7</v>
      </c>
      <c r="P1265" s="17" t="s">
        <v>2193</v>
      </c>
      <c r="Q1265" s="17" t="s">
        <v>112</v>
      </c>
      <c r="R1265" s="17" t="s">
        <v>113</v>
      </c>
      <c r="S1265" s="17" t="s">
        <v>2194</v>
      </c>
      <c r="U1265" s="24"/>
      <c r="V1265" s="24"/>
      <c r="W1265" s="18" t="s">
        <v>588</v>
      </c>
    </row>
    <row r="1266">
      <c r="A1266" s="11"/>
      <c r="B1266" s="23"/>
      <c r="C1266" s="23"/>
      <c r="D1266" s="23"/>
      <c r="E1266" s="23"/>
      <c r="F1266" s="13" t="s">
        <v>594</v>
      </c>
      <c r="G1266" s="23"/>
      <c r="H1266" s="23"/>
      <c r="I1266" s="23"/>
      <c r="J1266" s="17" t="s">
        <v>2783</v>
      </c>
      <c r="K1266" s="18" t="s">
        <v>2784</v>
      </c>
      <c r="L1266" s="20">
        <v>45925.0</v>
      </c>
      <c r="M1266" s="17" t="s">
        <v>28</v>
      </c>
      <c r="N1266" s="17" t="s">
        <v>3471</v>
      </c>
      <c r="O1266" s="17">
        <v>3.212458E7</v>
      </c>
      <c r="Q1266" s="17" t="s">
        <v>112</v>
      </c>
      <c r="R1266" s="17" t="s">
        <v>113</v>
      </c>
      <c r="S1266" s="17" t="s">
        <v>2220</v>
      </c>
      <c r="U1266" s="24"/>
      <c r="V1266" s="24"/>
      <c r="W1266" s="18" t="s">
        <v>588</v>
      </c>
    </row>
    <row r="1267">
      <c r="A1267" s="11"/>
      <c r="B1267" s="23"/>
      <c r="C1267" s="23"/>
      <c r="D1267" s="23"/>
      <c r="E1267" s="23"/>
      <c r="F1267" s="13" t="s">
        <v>594</v>
      </c>
      <c r="G1267" s="23"/>
      <c r="H1267" s="23"/>
      <c r="I1267" s="23"/>
      <c r="J1267" s="17" t="s">
        <v>2783</v>
      </c>
      <c r="K1267" s="18" t="s">
        <v>2784</v>
      </c>
      <c r="L1267" s="20">
        <v>45925.0</v>
      </c>
      <c r="M1267" s="17" t="s">
        <v>28</v>
      </c>
      <c r="N1267" s="17" t="s">
        <v>3482</v>
      </c>
      <c r="O1267" s="17">
        <v>7.0167177E7</v>
      </c>
      <c r="P1267" s="17" t="s">
        <v>3483</v>
      </c>
      <c r="Q1267" s="17" t="s">
        <v>73</v>
      </c>
      <c r="R1267" s="17" t="s">
        <v>74</v>
      </c>
      <c r="S1267" s="17" t="s">
        <v>3843</v>
      </c>
      <c r="U1267" s="24"/>
      <c r="V1267" s="24"/>
      <c r="W1267" s="18" t="s">
        <v>588</v>
      </c>
    </row>
    <row r="1268">
      <c r="A1268" s="11"/>
      <c r="B1268" s="12" t="s">
        <v>22</v>
      </c>
      <c r="C1268" s="12" t="s">
        <v>22</v>
      </c>
      <c r="D1268" s="12" t="s">
        <v>22</v>
      </c>
      <c r="E1268" s="12" t="s">
        <v>593</v>
      </c>
      <c r="F1268" s="13" t="s">
        <v>594</v>
      </c>
      <c r="G1268" s="12" t="s">
        <v>68</v>
      </c>
      <c r="H1268" s="12" t="s">
        <v>595</v>
      </c>
      <c r="I1268" s="12" t="s">
        <v>596</v>
      </c>
      <c r="J1268" s="17" t="s">
        <v>2783</v>
      </c>
      <c r="K1268" s="18" t="s">
        <v>2784</v>
      </c>
      <c r="L1268" s="20">
        <v>45925.0</v>
      </c>
      <c r="M1268" s="17" t="s">
        <v>28</v>
      </c>
      <c r="N1268" s="17" t="s">
        <v>3474</v>
      </c>
      <c r="O1268" s="17">
        <v>4.3723835E7</v>
      </c>
      <c r="P1268" s="17" t="s">
        <v>3472</v>
      </c>
      <c r="Q1268" s="17" t="s">
        <v>112</v>
      </c>
      <c r="R1268" s="17" t="s">
        <v>113</v>
      </c>
      <c r="S1268" s="17" t="s">
        <v>3844</v>
      </c>
      <c r="U1268" s="24"/>
      <c r="V1268" s="24"/>
      <c r="W1268" s="18" t="s">
        <v>588</v>
      </c>
    </row>
    <row r="1269">
      <c r="A1269" s="11"/>
      <c r="B1269" s="12" t="s">
        <v>22</v>
      </c>
      <c r="C1269" s="12" t="s">
        <v>22</v>
      </c>
      <c r="D1269" s="12" t="s">
        <v>22</v>
      </c>
      <c r="E1269" s="12" t="s">
        <v>593</v>
      </c>
      <c r="F1269" s="13" t="s">
        <v>594</v>
      </c>
      <c r="G1269" s="12" t="s">
        <v>68</v>
      </c>
      <c r="H1269" s="12" t="s">
        <v>595</v>
      </c>
      <c r="I1269" s="12" t="s">
        <v>596</v>
      </c>
      <c r="J1269" s="17" t="s">
        <v>2783</v>
      </c>
      <c r="K1269" s="18" t="s">
        <v>2784</v>
      </c>
      <c r="L1269" s="20">
        <v>45925.0</v>
      </c>
      <c r="M1269" s="17" t="s">
        <v>28</v>
      </c>
      <c r="N1269" s="17" t="s">
        <v>3845</v>
      </c>
      <c r="O1269" s="17">
        <v>4.7443859E7</v>
      </c>
      <c r="Q1269" s="17" t="s">
        <v>73</v>
      </c>
      <c r="R1269" s="17" t="s">
        <v>74</v>
      </c>
      <c r="S1269" s="17" t="s">
        <v>2202</v>
      </c>
      <c r="U1269" s="24"/>
      <c r="V1269" s="24"/>
      <c r="W1269" s="18" t="s">
        <v>588</v>
      </c>
    </row>
    <row r="1270">
      <c r="A1270" s="11"/>
      <c r="B1270" s="23"/>
      <c r="C1270" s="23"/>
      <c r="D1270" s="23"/>
      <c r="E1270" s="23"/>
      <c r="F1270" s="13" t="s">
        <v>594</v>
      </c>
      <c r="G1270" s="23"/>
      <c r="H1270" s="23"/>
      <c r="I1270" s="23"/>
      <c r="J1270" s="17" t="s">
        <v>2783</v>
      </c>
      <c r="K1270" s="18" t="s">
        <v>2784</v>
      </c>
      <c r="L1270" s="20">
        <v>45925.0</v>
      </c>
      <c r="M1270" s="17" t="s">
        <v>28</v>
      </c>
      <c r="N1270" s="17" t="s">
        <v>3846</v>
      </c>
      <c r="O1270" s="17">
        <v>3.2117783E7</v>
      </c>
      <c r="Q1270" s="17" t="s">
        <v>112</v>
      </c>
      <c r="R1270" s="17" t="s">
        <v>113</v>
      </c>
      <c r="S1270" s="17" t="s">
        <v>2220</v>
      </c>
      <c r="U1270" s="24"/>
      <c r="V1270" s="24"/>
      <c r="W1270" s="18" t="s">
        <v>588</v>
      </c>
    </row>
    <row r="1271">
      <c r="A1271" s="11"/>
      <c r="B1271" s="12" t="s">
        <v>22</v>
      </c>
      <c r="C1271" s="12" t="s">
        <v>22</v>
      </c>
      <c r="D1271" s="12" t="s">
        <v>22</v>
      </c>
      <c r="E1271" s="12" t="s">
        <v>593</v>
      </c>
      <c r="F1271" s="13" t="s">
        <v>594</v>
      </c>
      <c r="G1271" s="12" t="s">
        <v>68</v>
      </c>
      <c r="H1271" s="12" t="s">
        <v>595</v>
      </c>
      <c r="I1271" s="12" t="s">
        <v>596</v>
      </c>
      <c r="J1271" s="17" t="s">
        <v>2783</v>
      </c>
      <c r="K1271" s="18" t="s">
        <v>2784</v>
      </c>
      <c r="L1271" s="20">
        <v>45925.0</v>
      </c>
      <c r="M1271" s="17" t="s">
        <v>28</v>
      </c>
      <c r="N1271" s="17" t="s">
        <v>3847</v>
      </c>
      <c r="O1271" s="17">
        <v>3.2136762E7</v>
      </c>
      <c r="Q1271" s="17" t="s">
        <v>112</v>
      </c>
      <c r="R1271" s="17" t="s">
        <v>113</v>
      </c>
      <c r="S1271" s="17" t="s">
        <v>2220</v>
      </c>
      <c r="U1271" s="24"/>
      <c r="V1271" s="24"/>
      <c r="W1271" s="18" t="s">
        <v>588</v>
      </c>
    </row>
    <row r="1272">
      <c r="A1272" s="11"/>
      <c r="B1272" s="12" t="s">
        <v>22</v>
      </c>
      <c r="C1272" s="12" t="s">
        <v>22</v>
      </c>
      <c r="D1272" s="12" t="s">
        <v>22</v>
      </c>
      <c r="E1272" s="12" t="s">
        <v>593</v>
      </c>
      <c r="F1272" s="13" t="s">
        <v>594</v>
      </c>
      <c r="G1272" s="12" t="s">
        <v>68</v>
      </c>
      <c r="H1272" s="12" t="s">
        <v>595</v>
      </c>
      <c r="I1272" s="12" t="s">
        <v>596</v>
      </c>
      <c r="J1272" s="17" t="s">
        <v>2783</v>
      </c>
      <c r="K1272" s="18" t="s">
        <v>2784</v>
      </c>
      <c r="L1272" s="20">
        <v>45925.0</v>
      </c>
      <c r="M1272" s="17" t="s">
        <v>28</v>
      </c>
      <c r="N1272" s="17" t="s">
        <v>3458</v>
      </c>
      <c r="O1272" s="17">
        <v>7.5561811E7</v>
      </c>
      <c r="P1272" s="17" t="s">
        <v>3459</v>
      </c>
      <c r="Q1272" s="17" t="s">
        <v>112</v>
      </c>
      <c r="R1272" s="17" t="s">
        <v>113</v>
      </c>
      <c r="S1272" s="17" t="s">
        <v>3848</v>
      </c>
      <c r="U1272" s="24"/>
      <c r="V1272" s="24"/>
      <c r="W1272" s="18" t="s">
        <v>588</v>
      </c>
    </row>
    <row r="1273">
      <c r="A1273" s="11"/>
      <c r="B1273" s="12" t="s">
        <v>22</v>
      </c>
      <c r="C1273" s="12" t="s">
        <v>22</v>
      </c>
      <c r="D1273" s="12" t="s">
        <v>22</v>
      </c>
      <c r="E1273" s="12" t="s">
        <v>593</v>
      </c>
      <c r="F1273" s="13" t="s">
        <v>594</v>
      </c>
      <c r="G1273" s="12" t="s">
        <v>68</v>
      </c>
      <c r="H1273" s="12" t="s">
        <v>595</v>
      </c>
      <c r="I1273" s="12" t="s">
        <v>596</v>
      </c>
      <c r="J1273" s="17" t="s">
        <v>2783</v>
      </c>
      <c r="K1273" s="18" t="s">
        <v>2784</v>
      </c>
      <c r="L1273" s="20">
        <v>45925.0</v>
      </c>
      <c r="M1273" s="17" t="s">
        <v>28</v>
      </c>
      <c r="N1273" s="17" t="s">
        <v>3469</v>
      </c>
      <c r="O1273" s="17">
        <v>7.6246931E7</v>
      </c>
      <c r="P1273" s="17" t="s">
        <v>3849</v>
      </c>
      <c r="Q1273" s="17" t="s">
        <v>112</v>
      </c>
      <c r="R1273" s="17" t="s">
        <v>113</v>
      </c>
      <c r="S1273" s="17" t="s">
        <v>3850</v>
      </c>
      <c r="U1273" s="24"/>
      <c r="V1273" s="24"/>
      <c r="W1273" s="18" t="s">
        <v>588</v>
      </c>
    </row>
    <row r="1274">
      <c r="A1274" s="11"/>
      <c r="B1274" s="23"/>
      <c r="C1274" s="23"/>
      <c r="D1274" s="23"/>
      <c r="E1274" s="23"/>
      <c r="F1274" s="13" t="s">
        <v>594</v>
      </c>
      <c r="G1274" s="23"/>
      <c r="H1274" s="23"/>
      <c r="I1274" s="23"/>
      <c r="J1274" s="17" t="s">
        <v>2783</v>
      </c>
      <c r="K1274" s="18" t="s">
        <v>2784</v>
      </c>
      <c r="L1274" s="20">
        <v>45925.0</v>
      </c>
      <c r="M1274" s="17" t="s">
        <v>23</v>
      </c>
      <c r="N1274" s="17" t="s">
        <v>2199</v>
      </c>
      <c r="O1274" s="17">
        <v>7.0083156E7</v>
      </c>
      <c r="P1274" s="17" t="s">
        <v>3849</v>
      </c>
      <c r="Q1274" s="17" t="s">
        <v>108</v>
      </c>
      <c r="R1274" s="17" t="s">
        <v>109</v>
      </c>
      <c r="S1274" s="17" t="s">
        <v>3851</v>
      </c>
      <c r="U1274" s="24"/>
      <c r="V1274" s="24"/>
      <c r="W1274" s="18" t="s">
        <v>588</v>
      </c>
    </row>
    <row r="1275">
      <c r="A1275" s="11"/>
      <c r="B1275" s="12" t="s">
        <v>22</v>
      </c>
      <c r="C1275" s="12" t="s">
        <v>22</v>
      </c>
      <c r="D1275" s="12" t="s">
        <v>22</v>
      </c>
      <c r="E1275" s="12" t="s">
        <v>593</v>
      </c>
      <c r="F1275" s="13" t="s">
        <v>594</v>
      </c>
      <c r="G1275" s="12" t="s">
        <v>68</v>
      </c>
      <c r="H1275" s="12" t="s">
        <v>595</v>
      </c>
      <c r="I1275" s="12" t="s">
        <v>596</v>
      </c>
      <c r="J1275" s="17" t="s">
        <v>2783</v>
      </c>
      <c r="K1275" s="18" t="s">
        <v>2784</v>
      </c>
      <c r="L1275" s="20">
        <v>45925.0</v>
      </c>
      <c r="M1275" s="17" t="s">
        <v>23</v>
      </c>
      <c r="N1275" s="17" t="s">
        <v>3852</v>
      </c>
      <c r="O1275" s="17">
        <v>7.2159413E7</v>
      </c>
      <c r="Q1275" s="17" t="s">
        <v>108</v>
      </c>
      <c r="R1275" s="17" t="s">
        <v>109</v>
      </c>
      <c r="S1275" s="17" t="s">
        <v>2198</v>
      </c>
      <c r="U1275" s="24"/>
      <c r="V1275" s="24"/>
      <c r="W1275" s="18" t="s">
        <v>588</v>
      </c>
    </row>
    <row r="1276">
      <c r="A1276" s="11"/>
      <c r="B1276" s="23"/>
      <c r="C1276" s="23"/>
      <c r="D1276" s="23"/>
      <c r="E1276" s="23"/>
      <c r="F1276" s="13" t="s">
        <v>594</v>
      </c>
      <c r="G1276" s="23"/>
      <c r="H1276" s="23"/>
      <c r="I1276" s="23"/>
      <c r="J1276" s="17" t="s">
        <v>2783</v>
      </c>
      <c r="K1276" s="18" t="s">
        <v>2784</v>
      </c>
      <c r="L1276" s="20">
        <v>45925.0</v>
      </c>
      <c r="M1276" s="17" t="s">
        <v>28</v>
      </c>
      <c r="N1276" s="17" t="s">
        <v>3853</v>
      </c>
      <c r="O1276" s="17">
        <v>4.0057918E7</v>
      </c>
      <c r="P1276" s="17" t="s">
        <v>3854</v>
      </c>
      <c r="Q1276" s="17" t="s">
        <v>73</v>
      </c>
      <c r="R1276" s="17" t="s">
        <v>74</v>
      </c>
      <c r="S1276" s="17" t="s">
        <v>3855</v>
      </c>
      <c r="U1276" s="24"/>
      <c r="V1276" s="24"/>
      <c r="W1276" s="18" t="s">
        <v>588</v>
      </c>
    </row>
    <row r="1277">
      <c r="A1277" s="11"/>
      <c r="B1277" s="23"/>
      <c r="C1277" s="23"/>
      <c r="D1277" s="23"/>
      <c r="E1277" s="23"/>
      <c r="F1277" s="13" t="s">
        <v>594</v>
      </c>
      <c r="G1277" s="23"/>
      <c r="H1277" s="23"/>
      <c r="I1277" s="23"/>
      <c r="J1277" s="17" t="s">
        <v>2783</v>
      </c>
      <c r="K1277" s="18" t="s">
        <v>2784</v>
      </c>
      <c r="L1277" s="20">
        <v>45925.0</v>
      </c>
      <c r="M1277" s="17" t="s">
        <v>23</v>
      </c>
      <c r="N1277" s="17" t="s">
        <v>2195</v>
      </c>
      <c r="O1277" s="17">
        <v>3.2948075E7</v>
      </c>
      <c r="Q1277" s="17" t="s">
        <v>112</v>
      </c>
      <c r="R1277" s="17" t="s">
        <v>113</v>
      </c>
      <c r="S1277" s="17" t="s">
        <v>2220</v>
      </c>
      <c r="U1277" s="24"/>
      <c r="V1277" s="24"/>
      <c r="W1277" s="18" t="s">
        <v>588</v>
      </c>
    </row>
    <row r="1278">
      <c r="A1278" s="11"/>
      <c r="B1278" s="23"/>
      <c r="C1278" s="23"/>
      <c r="D1278" s="23"/>
      <c r="E1278" s="23"/>
      <c r="F1278" s="13" t="s">
        <v>594</v>
      </c>
      <c r="G1278" s="23"/>
      <c r="H1278" s="23"/>
      <c r="I1278" s="23"/>
      <c r="J1278" s="17" t="s">
        <v>2783</v>
      </c>
      <c r="K1278" s="18" t="s">
        <v>2784</v>
      </c>
      <c r="L1278" s="20">
        <v>45925.0</v>
      </c>
      <c r="M1278" s="17" t="s">
        <v>23</v>
      </c>
      <c r="N1278" s="17" t="s">
        <v>3856</v>
      </c>
      <c r="O1278" s="17">
        <v>7.6856294E7</v>
      </c>
      <c r="Q1278" s="17" t="s">
        <v>73</v>
      </c>
      <c r="R1278" s="17" t="s">
        <v>74</v>
      </c>
      <c r="S1278" s="17" t="s">
        <v>2202</v>
      </c>
      <c r="U1278" s="24"/>
      <c r="V1278" s="24"/>
      <c r="W1278" s="18" t="s">
        <v>588</v>
      </c>
    </row>
    <row r="1279">
      <c r="A1279" s="11"/>
      <c r="B1279" s="23"/>
      <c r="C1279" s="23"/>
      <c r="D1279" s="23"/>
      <c r="E1279" s="23"/>
      <c r="F1279" s="13" t="s">
        <v>594</v>
      </c>
      <c r="G1279" s="23"/>
      <c r="H1279" s="23"/>
      <c r="I1279" s="23"/>
      <c r="J1279" s="17" t="s">
        <v>2783</v>
      </c>
      <c r="K1279" s="18" t="s">
        <v>2784</v>
      </c>
      <c r="L1279" s="20">
        <v>45925.0</v>
      </c>
      <c r="M1279" s="17" t="s">
        <v>23</v>
      </c>
      <c r="N1279" s="17" t="s">
        <v>2201</v>
      </c>
      <c r="O1279" s="17">
        <v>4.110177E7</v>
      </c>
      <c r="Q1279" s="17" t="s">
        <v>73</v>
      </c>
      <c r="R1279" s="17" t="s">
        <v>74</v>
      </c>
      <c r="S1279" s="17" t="s">
        <v>2202</v>
      </c>
      <c r="U1279" s="24"/>
      <c r="V1279" s="24"/>
      <c r="W1279" s="18" t="s">
        <v>588</v>
      </c>
    </row>
    <row r="1280">
      <c r="A1280" s="11"/>
      <c r="B1280" s="12" t="s">
        <v>7</v>
      </c>
      <c r="C1280" s="12" t="s">
        <v>37</v>
      </c>
      <c r="D1280" s="12" t="s">
        <v>38</v>
      </c>
      <c r="E1280" s="12" t="s">
        <v>41</v>
      </c>
      <c r="F1280" s="13" t="s">
        <v>39</v>
      </c>
      <c r="G1280" s="12" t="s">
        <v>68</v>
      </c>
      <c r="H1280" s="12" t="s">
        <v>902</v>
      </c>
      <c r="I1280" s="12" t="s">
        <v>903</v>
      </c>
      <c r="J1280" s="17" t="s">
        <v>2783</v>
      </c>
      <c r="K1280" s="18" t="s">
        <v>2784</v>
      </c>
      <c r="L1280" s="20">
        <v>45922.0</v>
      </c>
      <c r="M1280" s="17" t="s">
        <v>28</v>
      </c>
      <c r="N1280" s="17" t="s">
        <v>2212</v>
      </c>
      <c r="O1280" s="17">
        <v>4.7562942E7</v>
      </c>
      <c r="P1280" s="17" t="s">
        <v>2213</v>
      </c>
      <c r="Q1280" s="17" t="s">
        <v>112</v>
      </c>
      <c r="R1280" s="17" t="s">
        <v>113</v>
      </c>
      <c r="S1280" s="17" t="s">
        <v>2214</v>
      </c>
      <c r="U1280" s="24"/>
      <c r="V1280" s="24"/>
      <c r="W1280" s="18" t="s">
        <v>588</v>
      </c>
    </row>
    <row r="1281">
      <c r="A1281" s="11"/>
      <c r="B1281" s="12" t="s">
        <v>7</v>
      </c>
      <c r="C1281" s="12" t="s">
        <v>37</v>
      </c>
      <c r="D1281" s="12" t="s">
        <v>38</v>
      </c>
      <c r="E1281" s="12" t="s">
        <v>41</v>
      </c>
      <c r="F1281" s="13" t="s">
        <v>39</v>
      </c>
      <c r="G1281" s="12" t="s">
        <v>68</v>
      </c>
      <c r="H1281" s="12" t="s">
        <v>902</v>
      </c>
      <c r="I1281" s="12" t="s">
        <v>903</v>
      </c>
      <c r="J1281" s="17" t="s">
        <v>2783</v>
      </c>
      <c r="K1281" s="18" t="s">
        <v>2784</v>
      </c>
      <c r="L1281" s="20">
        <v>45922.0</v>
      </c>
      <c r="M1281" s="17" t="s">
        <v>23</v>
      </c>
      <c r="N1281" s="17" t="s">
        <v>3857</v>
      </c>
      <c r="O1281" s="17">
        <v>4.1068782E7</v>
      </c>
      <c r="Q1281" s="17" t="s">
        <v>112</v>
      </c>
      <c r="R1281" s="17" t="s">
        <v>113</v>
      </c>
      <c r="S1281" s="17" t="s">
        <v>2220</v>
      </c>
      <c r="U1281" s="24"/>
      <c r="V1281" s="24"/>
      <c r="W1281" s="18" t="s">
        <v>588</v>
      </c>
    </row>
    <row r="1282">
      <c r="A1282" s="11"/>
      <c r="B1282" s="12" t="s">
        <v>7</v>
      </c>
      <c r="C1282" s="12" t="s">
        <v>37</v>
      </c>
      <c r="D1282" s="12" t="s">
        <v>38</v>
      </c>
      <c r="E1282" s="12" t="s">
        <v>41</v>
      </c>
      <c r="F1282" s="13" t="s">
        <v>39</v>
      </c>
      <c r="G1282" s="12" t="s">
        <v>68</v>
      </c>
      <c r="H1282" s="12" t="s">
        <v>902</v>
      </c>
      <c r="I1282" s="12" t="s">
        <v>903</v>
      </c>
      <c r="J1282" s="17" t="s">
        <v>2783</v>
      </c>
      <c r="K1282" s="18" t="s">
        <v>2784</v>
      </c>
      <c r="L1282" s="20">
        <v>45922.0</v>
      </c>
      <c r="M1282" s="17" t="s">
        <v>23</v>
      </c>
      <c r="N1282" s="17" t="s">
        <v>3858</v>
      </c>
      <c r="O1282" s="17">
        <v>3.2647526E7</v>
      </c>
      <c r="Q1282" s="17" t="s">
        <v>108</v>
      </c>
      <c r="R1282" s="17" t="s">
        <v>109</v>
      </c>
      <c r="S1282" s="17" t="s">
        <v>2198</v>
      </c>
      <c r="U1282" s="24"/>
      <c r="V1282" s="24"/>
      <c r="W1282" s="18" t="s">
        <v>588</v>
      </c>
    </row>
    <row r="1283">
      <c r="A1283" s="11"/>
      <c r="B1283" s="12" t="s">
        <v>7</v>
      </c>
      <c r="C1283" s="12" t="s">
        <v>37</v>
      </c>
      <c r="D1283" s="12" t="s">
        <v>38</v>
      </c>
      <c r="E1283" s="12" t="s">
        <v>41</v>
      </c>
      <c r="F1283" s="13" t="s">
        <v>39</v>
      </c>
      <c r="G1283" s="12" t="s">
        <v>68</v>
      </c>
      <c r="H1283" s="12" t="s">
        <v>902</v>
      </c>
      <c r="I1283" s="12" t="s">
        <v>903</v>
      </c>
      <c r="J1283" s="17" t="s">
        <v>2687</v>
      </c>
      <c r="K1283" s="18" t="s">
        <v>2170</v>
      </c>
      <c r="L1283" s="20">
        <v>45922.0</v>
      </c>
      <c r="M1283" s="17" t="s">
        <v>23</v>
      </c>
      <c r="N1283" s="17" t="s">
        <v>3857</v>
      </c>
      <c r="O1283" s="17">
        <v>4.1068782E7</v>
      </c>
      <c r="Q1283" s="17" t="s">
        <v>112</v>
      </c>
      <c r="R1283" s="17" t="s">
        <v>113</v>
      </c>
      <c r="S1283" s="17" t="s">
        <v>2220</v>
      </c>
      <c r="U1283" s="24"/>
      <c r="V1283" s="24"/>
      <c r="W1283" s="18" t="s">
        <v>588</v>
      </c>
    </row>
    <row r="1284">
      <c r="A1284" s="11"/>
      <c r="B1284" s="12" t="s">
        <v>7</v>
      </c>
      <c r="C1284" s="12" t="s">
        <v>37</v>
      </c>
      <c r="D1284" s="12" t="s">
        <v>38</v>
      </c>
      <c r="E1284" s="12" t="s">
        <v>41</v>
      </c>
      <c r="F1284" s="13" t="s">
        <v>39</v>
      </c>
      <c r="G1284" s="12" t="s">
        <v>68</v>
      </c>
      <c r="H1284" s="12" t="s">
        <v>902</v>
      </c>
      <c r="I1284" s="12" t="s">
        <v>903</v>
      </c>
      <c r="J1284" s="17" t="s">
        <v>2687</v>
      </c>
      <c r="K1284" s="18" t="s">
        <v>2170</v>
      </c>
      <c r="L1284" s="20">
        <v>45922.0</v>
      </c>
      <c r="M1284" s="17" t="s">
        <v>23</v>
      </c>
      <c r="N1284" s="17" t="s">
        <v>3858</v>
      </c>
      <c r="O1284" s="17">
        <v>3.2647526E7</v>
      </c>
      <c r="Q1284" s="17" t="s">
        <v>108</v>
      </c>
      <c r="R1284" s="17" t="s">
        <v>109</v>
      </c>
      <c r="S1284" s="17" t="s">
        <v>2198</v>
      </c>
      <c r="U1284" s="24"/>
      <c r="V1284" s="24"/>
      <c r="W1284" s="18" t="s">
        <v>588</v>
      </c>
    </row>
    <row r="1285">
      <c r="A1285" s="11"/>
      <c r="B1285" s="12" t="s">
        <v>7</v>
      </c>
      <c r="C1285" s="12" t="s">
        <v>37</v>
      </c>
      <c r="D1285" s="12" t="s">
        <v>38</v>
      </c>
      <c r="E1285" s="12" t="s">
        <v>38</v>
      </c>
      <c r="F1285" s="13" t="s">
        <v>42</v>
      </c>
      <c r="G1285" s="12" t="s">
        <v>68</v>
      </c>
      <c r="H1285" s="12" t="s">
        <v>584</v>
      </c>
      <c r="I1285" s="12" t="s">
        <v>585</v>
      </c>
      <c r="J1285" s="17" t="s">
        <v>2783</v>
      </c>
      <c r="K1285" s="18" t="s">
        <v>2784</v>
      </c>
      <c r="L1285" s="20">
        <v>45930.0</v>
      </c>
      <c r="M1285" s="17" t="s">
        <v>28</v>
      </c>
      <c r="N1285" s="17" t="s">
        <v>2227</v>
      </c>
      <c r="O1285" s="17">
        <v>7.6636299E7</v>
      </c>
      <c r="P1285" s="17" t="s">
        <v>2228</v>
      </c>
      <c r="Q1285" s="17" t="s">
        <v>108</v>
      </c>
      <c r="R1285" s="17" t="s">
        <v>109</v>
      </c>
      <c r="S1285" s="17" t="s">
        <v>2229</v>
      </c>
      <c r="U1285" s="24"/>
      <c r="V1285" s="24"/>
      <c r="W1285" s="18" t="s">
        <v>588</v>
      </c>
    </row>
    <row r="1286">
      <c r="A1286" s="11"/>
      <c r="B1286" s="12" t="s">
        <v>7</v>
      </c>
      <c r="C1286" s="12" t="s">
        <v>37</v>
      </c>
      <c r="D1286" s="12" t="s">
        <v>38</v>
      </c>
      <c r="E1286" s="12" t="s">
        <v>38</v>
      </c>
      <c r="F1286" s="13" t="s">
        <v>42</v>
      </c>
      <c r="G1286" s="12" t="s">
        <v>68</v>
      </c>
      <c r="H1286" s="12" t="s">
        <v>584</v>
      </c>
      <c r="I1286" s="12" t="s">
        <v>585</v>
      </c>
      <c r="J1286" s="17" t="s">
        <v>2783</v>
      </c>
      <c r="K1286" s="18" t="s">
        <v>2784</v>
      </c>
      <c r="L1286" s="20">
        <v>45930.0</v>
      </c>
      <c r="M1286" s="17" t="s">
        <v>28</v>
      </c>
      <c r="N1286" s="17" t="s">
        <v>3859</v>
      </c>
      <c r="O1286" s="17">
        <v>4.2780995E7</v>
      </c>
      <c r="P1286" s="17" t="s">
        <v>2222</v>
      </c>
      <c r="Q1286" s="17" t="s">
        <v>108</v>
      </c>
      <c r="R1286" s="17" t="s">
        <v>109</v>
      </c>
      <c r="S1286" s="17" t="s">
        <v>2223</v>
      </c>
      <c r="U1286" s="24"/>
      <c r="V1286" s="24"/>
      <c r="W1286" s="18" t="s">
        <v>588</v>
      </c>
    </row>
    <row r="1287">
      <c r="A1287" s="11"/>
      <c r="B1287" s="12" t="s">
        <v>7</v>
      </c>
      <c r="C1287" s="12" t="s">
        <v>37</v>
      </c>
      <c r="D1287" s="12" t="s">
        <v>38</v>
      </c>
      <c r="E1287" s="12" t="s">
        <v>38</v>
      </c>
      <c r="F1287" s="13" t="s">
        <v>42</v>
      </c>
      <c r="G1287" s="12" t="s">
        <v>68</v>
      </c>
      <c r="H1287" s="12" t="s">
        <v>584</v>
      </c>
      <c r="I1287" s="12" t="s">
        <v>585</v>
      </c>
      <c r="J1287" s="17" t="s">
        <v>2783</v>
      </c>
      <c r="K1287" s="18" t="s">
        <v>2784</v>
      </c>
      <c r="L1287" s="20">
        <v>45930.0</v>
      </c>
      <c r="M1287" s="17" t="s">
        <v>23</v>
      </c>
      <c r="N1287" s="17" t="s">
        <v>3288</v>
      </c>
      <c r="O1287" s="17">
        <v>3.1925876E7</v>
      </c>
      <c r="Q1287" s="17" t="s">
        <v>108</v>
      </c>
      <c r="R1287" s="17" t="s">
        <v>109</v>
      </c>
      <c r="S1287" s="17" t="s">
        <v>2198</v>
      </c>
      <c r="U1287" s="24"/>
      <c r="V1287" s="24"/>
      <c r="W1287" s="18" t="s">
        <v>588</v>
      </c>
    </row>
    <row r="1288">
      <c r="A1288" s="11"/>
      <c r="B1288" s="12" t="s">
        <v>7</v>
      </c>
      <c r="C1288" s="12" t="s">
        <v>37</v>
      </c>
      <c r="D1288" s="12" t="s">
        <v>38</v>
      </c>
      <c r="E1288" s="12" t="s">
        <v>38</v>
      </c>
      <c r="F1288" s="13" t="s">
        <v>42</v>
      </c>
      <c r="G1288" s="12" t="s">
        <v>68</v>
      </c>
      <c r="H1288" s="12" t="s">
        <v>584</v>
      </c>
      <c r="I1288" s="12" t="s">
        <v>585</v>
      </c>
      <c r="J1288" s="17" t="s">
        <v>2687</v>
      </c>
      <c r="K1288" s="18">
        <v>2.0</v>
      </c>
      <c r="L1288" s="20">
        <v>45930.0</v>
      </c>
      <c r="M1288" s="17" t="s">
        <v>23</v>
      </c>
      <c r="N1288" s="17" t="s">
        <v>3288</v>
      </c>
      <c r="O1288" s="17">
        <v>3.1925876E7</v>
      </c>
      <c r="Q1288" s="17" t="s">
        <v>108</v>
      </c>
      <c r="R1288" s="17" t="s">
        <v>109</v>
      </c>
      <c r="S1288" s="17" t="s">
        <v>2198</v>
      </c>
      <c r="U1288" s="24"/>
      <c r="V1288" s="24"/>
      <c r="W1288" s="18" t="s">
        <v>588</v>
      </c>
    </row>
    <row r="1289">
      <c r="A1289" s="11"/>
      <c r="B1289" s="12" t="s">
        <v>7</v>
      </c>
      <c r="C1289" s="12" t="s">
        <v>37</v>
      </c>
      <c r="D1289" s="12" t="s">
        <v>38</v>
      </c>
      <c r="E1289" s="12" t="s">
        <v>38</v>
      </c>
      <c r="F1289" s="13" t="s">
        <v>42</v>
      </c>
      <c r="G1289" s="12" t="s">
        <v>68</v>
      </c>
      <c r="H1289" s="12" t="s">
        <v>584</v>
      </c>
      <c r="I1289" s="12" t="s">
        <v>585</v>
      </c>
      <c r="J1289" s="17" t="s">
        <v>2783</v>
      </c>
      <c r="K1289" s="18" t="s">
        <v>2784</v>
      </c>
      <c r="L1289" s="20">
        <v>45930.0</v>
      </c>
      <c r="M1289" s="17" t="s">
        <v>28</v>
      </c>
      <c r="N1289" s="17" t="s">
        <v>3288</v>
      </c>
      <c r="O1289" s="17">
        <v>3.1925876E7</v>
      </c>
      <c r="P1289" s="17" t="s">
        <v>3289</v>
      </c>
      <c r="Q1289" s="17" t="s">
        <v>108</v>
      </c>
      <c r="R1289" s="17" t="s">
        <v>109</v>
      </c>
      <c r="S1289" s="17" t="s">
        <v>3290</v>
      </c>
      <c r="U1289" s="24"/>
      <c r="V1289" s="24"/>
      <c r="W1289" s="18" t="s">
        <v>588</v>
      </c>
    </row>
    <row r="1290">
      <c r="A1290" s="11"/>
      <c r="B1290" s="12" t="s">
        <v>7</v>
      </c>
      <c r="C1290" s="12" t="s">
        <v>37</v>
      </c>
      <c r="D1290" s="12" t="s">
        <v>38</v>
      </c>
      <c r="E1290" s="12" t="s">
        <v>41</v>
      </c>
      <c r="F1290" s="13" t="s">
        <v>39</v>
      </c>
      <c r="G1290" s="12" t="s">
        <v>68</v>
      </c>
      <c r="H1290" s="12" t="s">
        <v>902</v>
      </c>
      <c r="I1290" s="12" t="s">
        <v>903</v>
      </c>
      <c r="J1290" s="17" t="s">
        <v>2796</v>
      </c>
      <c r="K1290" s="18" t="s">
        <v>2797</v>
      </c>
      <c r="L1290" s="20">
        <v>45922.0</v>
      </c>
      <c r="M1290" s="17" t="s">
        <v>28</v>
      </c>
      <c r="N1290" s="17" t="s">
        <v>2212</v>
      </c>
      <c r="O1290" s="17">
        <v>4.7562942E7</v>
      </c>
      <c r="P1290" s="17" t="s">
        <v>2213</v>
      </c>
      <c r="Q1290" s="17" t="s">
        <v>112</v>
      </c>
      <c r="R1290" s="17" t="s">
        <v>113</v>
      </c>
      <c r="S1290" s="17" t="s">
        <v>2214</v>
      </c>
      <c r="U1290" s="24"/>
      <c r="V1290" s="24"/>
      <c r="W1290" s="18" t="s">
        <v>588</v>
      </c>
    </row>
    <row r="1291">
      <c r="A1291" s="11"/>
      <c r="B1291" s="12" t="s">
        <v>7</v>
      </c>
      <c r="C1291" s="12" t="s">
        <v>37</v>
      </c>
      <c r="D1291" s="12" t="s">
        <v>38</v>
      </c>
      <c r="E1291" s="12" t="s">
        <v>41</v>
      </c>
      <c r="F1291" s="13" t="s">
        <v>39</v>
      </c>
      <c r="G1291" s="12" t="s">
        <v>68</v>
      </c>
      <c r="H1291" s="12" t="s">
        <v>902</v>
      </c>
      <c r="I1291" s="12" t="s">
        <v>903</v>
      </c>
      <c r="J1291" s="17" t="s">
        <v>2796</v>
      </c>
      <c r="K1291" s="18" t="s">
        <v>2797</v>
      </c>
      <c r="L1291" s="20">
        <v>45922.0</v>
      </c>
      <c r="M1291" s="17" t="s">
        <v>23</v>
      </c>
      <c r="N1291" s="17" t="s">
        <v>3857</v>
      </c>
      <c r="O1291" s="17">
        <v>4.1068782E7</v>
      </c>
      <c r="Q1291" s="17" t="s">
        <v>112</v>
      </c>
      <c r="R1291" s="17" t="s">
        <v>113</v>
      </c>
      <c r="S1291" s="17" t="s">
        <v>2220</v>
      </c>
      <c r="U1291" s="24"/>
      <c r="V1291" s="24"/>
      <c r="W1291" s="18" t="s">
        <v>588</v>
      </c>
    </row>
    <row r="1292">
      <c r="A1292" s="11"/>
      <c r="B1292" s="12" t="s">
        <v>7</v>
      </c>
      <c r="C1292" s="12" t="s">
        <v>37</v>
      </c>
      <c r="D1292" s="12" t="s">
        <v>38</v>
      </c>
      <c r="E1292" s="12" t="s">
        <v>41</v>
      </c>
      <c r="F1292" s="13" t="s">
        <v>39</v>
      </c>
      <c r="G1292" s="12" t="s">
        <v>68</v>
      </c>
      <c r="H1292" s="12" t="s">
        <v>902</v>
      </c>
      <c r="I1292" s="12" t="s">
        <v>903</v>
      </c>
      <c r="J1292" s="17" t="s">
        <v>2796</v>
      </c>
      <c r="K1292" s="18" t="s">
        <v>2797</v>
      </c>
      <c r="L1292" s="20">
        <v>45922.0</v>
      </c>
      <c r="M1292" s="17" t="s">
        <v>23</v>
      </c>
      <c r="N1292" s="17" t="s">
        <v>3858</v>
      </c>
      <c r="O1292" s="17">
        <v>3.2647526E7</v>
      </c>
      <c r="Q1292" s="17" t="s">
        <v>108</v>
      </c>
      <c r="R1292" s="17" t="s">
        <v>109</v>
      </c>
      <c r="S1292" s="17" t="s">
        <v>2198</v>
      </c>
      <c r="U1292" s="24"/>
      <c r="V1292" s="24"/>
      <c r="W1292" s="18" t="s">
        <v>588</v>
      </c>
    </row>
    <row r="1293">
      <c r="A1293" s="11"/>
      <c r="B1293" s="12" t="s">
        <v>7</v>
      </c>
      <c r="C1293" s="12" t="s">
        <v>37</v>
      </c>
      <c r="D1293" s="12" t="s">
        <v>38</v>
      </c>
      <c r="E1293" s="12" t="s">
        <v>38</v>
      </c>
      <c r="F1293" s="13" t="s">
        <v>42</v>
      </c>
      <c r="G1293" s="12" t="s">
        <v>68</v>
      </c>
      <c r="H1293" s="12" t="s">
        <v>584</v>
      </c>
      <c r="I1293" s="12" t="s">
        <v>585</v>
      </c>
      <c r="J1293" s="17" t="s">
        <v>2796</v>
      </c>
      <c r="K1293" s="18" t="s">
        <v>2797</v>
      </c>
      <c r="L1293" s="20">
        <v>45930.0</v>
      </c>
      <c r="M1293" s="17" t="s">
        <v>28</v>
      </c>
      <c r="N1293" s="17" t="s">
        <v>2227</v>
      </c>
      <c r="O1293" s="17">
        <v>7.6636299E7</v>
      </c>
      <c r="P1293" s="17" t="s">
        <v>2228</v>
      </c>
      <c r="Q1293" s="17" t="s">
        <v>108</v>
      </c>
      <c r="R1293" s="17" t="s">
        <v>109</v>
      </c>
      <c r="S1293" s="17" t="s">
        <v>2229</v>
      </c>
      <c r="U1293" s="24"/>
      <c r="V1293" s="24"/>
      <c r="W1293" s="18" t="s">
        <v>588</v>
      </c>
    </row>
    <row r="1294">
      <c r="A1294" s="11"/>
      <c r="B1294" s="12" t="s">
        <v>7</v>
      </c>
      <c r="C1294" s="12" t="s">
        <v>37</v>
      </c>
      <c r="D1294" s="12" t="s">
        <v>38</v>
      </c>
      <c r="E1294" s="12" t="s">
        <v>38</v>
      </c>
      <c r="F1294" s="13" t="s">
        <v>42</v>
      </c>
      <c r="G1294" s="12" t="s">
        <v>68</v>
      </c>
      <c r="H1294" s="12" t="s">
        <v>584</v>
      </c>
      <c r="I1294" s="12" t="s">
        <v>585</v>
      </c>
      <c r="J1294" s="17" t="s">
        <v>2796</v>
      </c>
      <c r="K1294" s="18" t="s">
        <v>2797</v>
      </c>
      <c r="L1294" s="20">
        <v>45930.0</v>
      </c>
      <c r="M1294" s="17" t="s">
        <v>28</v>
      </c>
      <c r="N1294" s="17" t="s">
        <v>3859</v>
      </c>
      <c r="O1294" s="17">
        <v>4.2780995E7</v>
      </c>
      <c r="P1294" s="17" t="s">
        <v>2222</v>
      </c>
      <c r="Q1294" s="17" t="s">
        <v>108</v>
      </c>
      <c r="R1294" s="17" t="s">
        <v>109</v>
      </c>
      <c r="S1294" s="17" t="s">
        <v>2223</v>
      </c>
      <c r="U1294" s="24"/>
      <c r="V1294" s="24"/>
      <c r="W1294" s="18" t="s">
        <v>588</v>
      </c>
    </row>
    <row r="1295">
      <c r="A1295" s="11"/>
      <c r="B1295" s="12" t="s">
        <v>7</v>
      </c>
      <c r="C1295" s="12" t="s">
        <v>37</v>
      </c>
      <c r="D1295" s="12" t="s">
        <v>38</v>
      </c>
      <c r="E1295" s="12" t="s">
        <v>38</v>
      </c>
      <c r="F1295" s="13" t="s">
        <v>42</v>
      </c>
      <c r="G1295" s="12" t="s">
        <v>68</v>
      </c>
      <c r="H1295" s="12" t="s">
        <v>584</v>
      </c>
      <c r="I1295" s="12" t="s">
        <v>585</v>
      </c>
      <c r="J1295" s="17" t="s">
        <v>2796</v>
      </c>
      <c r="K1295" s="18" t="s">
        <v>2797</v>
      </c>
      <c r="L1295" s="20">
        <v>45930.0</v>
      </c>
      <c r="M1295" s="17" t="s">
        <v>23</v>
      </c>
      <c r="N1295" s="17" t="s">
        <v>3288</v>
      </c>
      <c r="O1295" s="17">
        <v>3.1925876E7</v>
      </c>
      <c r="Q1295" s="17" t="s">
        <v>108</v>
      </c>
      <c r="R1295" s="17" t="s">
        <v>109</v>
      </c>
      <c r="S1295" s="17" t="s">
        <v>2198</v>
      </c>
      <c r="U1295" s="24"/>
      <c r="V1295" s="24"/>
      <c r="W1295" s="18" t="s">
        <v>588</v>
      </c>
    </row>
    <row r="1296">
      <c r="A1296" s="11"/>
      <c r="B1296" s="12" t="s">
        <v>7</v>
      </c>
      <c r="C1296" s="12" t="s">
        <v>37</v>
      </c>
      <c r="D1296" s="12" t="s">
        <v>38</v>
      </c>
      <c r="E1296" s="12" t="s">
        <v>38</v>
      </c>
      <c r="F1296" s="13" t="s">
        <v>42</v>
      </c>
      <c r="G1296" s="12" t="s">
        <v>68</v>
      </c>
      <c r="H1296" s="12" t="s">
        <v>584</v>
      </c>
      <c r="I1296" s="12" t="s">
        <v>585</v>
      </c>
      <c r="J1296" s="17" t="s">
        <v>2796</v>
      </c>
      <c r="K1296" s="18" t="s">
        <v>2797</v>
      </c>
      <c r="L1296" s="20">
        <v>45930.0</v>
      </c>
      <c r="M1296" s="17" t="s">
        <v>28</v>
      </c>
      <c r="N1296" s="17" t="s">
        <v>3288</v>
      </c>
      <c r="O1296" s="17">
        <v>3.1925876E7</v>
      </c>
      <c r="P1296" s="17" t="s">
        <v>3289</v>
      </c>
      <c r="Q1296" s="17" t="s">
        <v>108</v>
      </c>
      <c r="R1296" s="17" t="s">
        <v>109</v>
      </c>
      <c r="S1296" s="17" t="s">
        <v>3290</v>
      </c>
      <c r="U1296" s="24"/>
      <c r="V1296" s="24"/>
      <c r="W1296" s="18" t="s">
        <v>588</v>
      </c>
    </row>
    <row r="1297">
      <c r="A1297" s="11"/>
      <c r="B1297" s="12" t="s">
        <v>34</v>
      </c>
      <c r="C1297" s="12" t="s">
        <v>65</v>
      </c>
      <c r="D1297" s="12" t="s">
        <v>43</v>
      </c>
      <c r="E1297" s="12" t="s">
        <v>717</v>
      </c>
      <c r="F1297" s="13" t="s">
        <v>718</v>
      </c>
      <c r="G1297" s="12" t="s">
        <v>68</v>
      </c>
      <c r="H1297" s="12" t="s">
        <v>719</v>
      </c>
      <c r="I1297" s="12" t="s">
        <v>720</v>
      </c>
      <c r="J1297" s="17" t="s">
        <v>2783</v>
      </c>
      <c r="K1297" s="18" t="s">
        <v>2784</v>
      </c>
      <c r="L1297" s="20">
        <v>45916.0</v>
      </c>
      <c r="M1297" s="17" t="s">
        <v>28</v>
      </c>
      <c r="N1297" s="17" t="s">
        <v>2557</v>
      </c>
      <c r="P1297" s="17" t="s">
        <v>2558</v>
      </c>
      <c r="Q1297" s="17" t="s">
        <v>73</v>
      </c>
      <c r="R1297" s="17" t="s">
        <v>2536</v>
      </c>
      <c r="S1297" s="17" t="s">
        <v>2559</v>
      </c>
      <c r="U1297" s="24"/>
      <c r="V1297" s="24"/>
      <c r="W1297" s="18" t="s">
        <v>638</v>
      </c>
    </row>
    <row r="1298">
      <c r="A1298" s="11"/>
      <c r="B1298" s="12" t="s">
        <v>34</v>
      </c>
      <c r="C1298" s="12" t="s">
        <v>65</v>
      </c>
      <c r="D1298" s="12" t="s">
        <v>43</v>
      </c>
      <c r="E1298" s="12" t="s">
        <v>717</v>
      </c>
      <c r="F1298" s="13" t="s">
        <v>718</v>
      </c>
      <c r="G1298" s="12" t="s">
        <v>68</v>
      </c>
      <c r="H1298" s="12" t="s">
        <v>719</v>
      </c>
      <c r="I1298" s="12" t="s">
        <v>720</v>
      </c>
      <c r="J1298" s="17" t="s">
        <v>2783</v>
      </c>
      <c r="K1298" s="18" t="s">
        <v>2784</v>
      </c>
      <c r="L1298" s="20">
        <v>45916.0</v>
      </c>
      <c r="M1298" s="17" t="s">
        <v>28</v>
      </c>
      <c r="N1298" s="17" t="s">
        <v>3860</v>
      </c>
      <c r="P1298" s="17" t="s">
        <v>2552</v>
      </c>
      <c r="Q1298" s="17" t="s">
        <v>108</v>
      </c>
      <c r="R1298" s="17" t="s">
        <v>2521</v>
      </c>
      <c r="S1298" s="17" t="s">
        <v>2553</v>
      </c>
      <c r="U1298" s="24"/>
      <c r="V1298" s="24"/>
      <c r="W1298" s="18" t="s">
        <v>638</v>
      </c>
    </row>
    <row r="1299">
      <c r="A1299" s="11"/>
      <c r="B1299" s="12" t="s">
        <v>34</v>
      </c>
      <c r="C1299" s="12" t="s">
        <v>65</v>
      </c>
      <c r="D1299" s="12" t="s">
        <v>43</v>
      </c>
      <c r="E1299" s="12" t="s">
        <v>717</v>
      </c>
      <c r="F1299" s="13" t="s">
        <v>718</v>
      </c>
      <c r="G1299" s="12" t="s">
        <v>68</v>
      </c>
      <c r="H1299" s="12" t="s">
        <v>719</v>
      </c>
      <c r="I1299" s="12" t="s">
        <v>720</v>
      </c>
      <c r="J1299" s="17" t="s">
        <v>2783</v>
      </c>
      <c r="K1299" s="18" t="s">
        <v>2784</v>
      </c>
      <c r="L1299" s="20">
        <v>45916.0</v>
      </c>
      <c r="M1299" s="17" t="s">
        <v>28</v>
      </c>
      <c r="N1299" s="17" t="s">
        <v>2575</v>
      </c>
      <c r="P1299" s="17" t="s">
        <v>2576</v>
      </c>
      <c r="Q1299" s="17" t="s">
        <v>73</v>
      </c>
      <c r="R1299" s="17" t="s">
        <v>2536</v>
      </c>
      <c r="S1299" s="17" t="s">
        <v>2577</v>
      </c>
      <c r="U1299" s="24"/>
      <c r="V1299" s="24"/>
      <c r="W1299" s="18" t="s">
        <v>638</v>
      </c>
    </row>
    <row r="1300">
      <c r="A1300" s="11"/>
      <c r="B1300" s="12" t="s">
        <v>34</v>
      </c>
      <c r="C1300" s="12" t="s">
        <v>65</v>
      </c>
      <c r="D1300" s="12" t="s">
        <v>43</v>
      </c>
      <c r="E1300" s="12" t="s">
        <v>717</v>
      </c>
      <c r="F1300" s="13" t="s">
        <v>718</v>
      </c>
      <c r="G1300" s="12" t="s">
        <v>68</v>
      </c>
      <c r="H1300" s="12" t="s">
        <v>719</v>
      </c>
      <c r="I1300" s="12" t="s">
        <v>720</v>
      </c>
      <c r="J1300" s="17" t="s">
        <v>2783</v>
      </c>
      <c r="K1300" s="18" t="s">
        <v>2784</v>
      </c>
      <c r="L1300" s="20">
        <v>45916.0</v>
      </c>
      <c r="M1300" s="17" t="s">
        <v>28</v>
      </c>
      <c r="N1300" s="17" t="s">
        <v>2544</v>
      </c>
      <c r="P1300" s="17" t="s">
        <v>2545</v>
      </c>
      <c r="Q1300" s="17" t="s">
        <v>73</v>
      </c>
      <c r="R1300" s="17" t="s">
        <v>2536</v>
      </c>
      <c r="S1300" s="17" t="s">
        <v>2546</v>
      </c>
      <c r="U1300" s="24"/>
      <c r="V1300" s="24"/>
      <c r="W1300" s="18" t="s">
        <v>638</v>
      </c>
    </row>
    <row r="1301">
      <c r="A1301" s="11"/>
      <c r="B1301" s="12" t="s">
        <v>34</v>
      </c>
      <c r="C1301" s="12" t="s">
        <v>65</v>
      </c>
      <c r="D1301" s="12" t="s">
        <v>43</v>
      </c>
      <c r="E1301" s="12" t="s">
        <v>717</v>
      </c>
      <c r="F1301" s="13" t="s">
        <v>718</v>
      </c>
      <c r="G1301" s="12" t="s">
        <v>68</v>
      </c>
      <c r="H1301" s="12" t="s">
        <v>719</v>
      </c>
      <c r="I1301" s="12" t="s">
        <v>720</v>
      </c>
      <c r="J1301" s="17" t="s">
        <v>2783</v>
      </c>
      <c r="K1301" s="18" t="s">
        <v>2784</v>
      </c>
      <c r="L1301" s="20">
        <v>45916.0</v>
      </c>
      <c r="M1301" s="17" t="s">
        <v>28</v>
      </c>
      <c r="N1301" s="17" t="s">
        <v>3861</v>
      </c>
      <c r="P1301" s="17" t="s">
        <v>3332</v>
      </c>
      <c r="Q1301" s="17" t="s">
        <v>112</v>
      </c>
      <c r="R1301" s="17" t="s">
        <v>2526</v>
      </c>
      <c r="S1301" s="17" t="s">
        <v>3333</v>
      </c>
      <c r="U1301" s="24"/>
      <c r="V1301" s="24"/>
      <c r="W1301" s="18" t="s">
        <v>638</v>
      </c>
    </row>
    <row r="1302">
      <c r="A1302" s="11"/>
      <c r="B1302" s="12" t="s">
        <v>34</v>
      </c>
      <c r="C1302" s="12" t="s">
        <v>65</v>
      </c>
      <c r="D1302" s="12" t="s">
        <v>43</v>
      </c>
      <c r="E1302" s="12" t="s">
        <v>717</v>
      </c>
      <c r="F1302" s="13" t="s">
        <v>718</v>
      </c>
      <c r="G1302" s="12" t="s">
        <v>68</v>
      </c>
      <c r="H1302" s="12" t="s">
        <v>719</v>
      </c>
      <c r="I1302" s="12" t="s">
        <v>720</v>
      </c>
      <c r="J1302" s="17" t="s">
        <v>2783</v>
      </c>
      <c r="K1302" s="18" t="s">
        <v>2784</v>
      </c>
      <c r="L1302" s="20">
        <v>45916.0</v>
      </c>
      <c r="M1302" s="17" t="s">
        <v>28</v>
      </c>
      <c r="N1302" s="17" t="s">
        <v>2534</v>
      </c>
      <c r="P1302" s="17" t="s">
        <v>2535</v>
      </c>
      <c r="Q1302" s="17" t="s">
        <v>108</v>
      </c>
      <c r="R1302" s="17" t="s">
        <v>2521</v>
      </c>
      <c r="S1302" s="17" t="s">
        <v>3862</v>
      </c>
      <c r="U1302" s="24"/>
      <c r="V1302" s="24"/>
      <c r="W1302" s="18" t="s">
        <v>638</v>
      </c>
    </row>
    <row r="1303">
      <c r="A1303" s="11"/>
      <c r="B1303" s="12" t="s">
        <v>34</v>
      </c>
      <c r="C1303" s="12" t="s">
        <v>65</v>
      </c>
      <c r="D1303" s="12" t="s">
        <v>43</v>
      </c>
      <c r="E1303" s="12" t="s">
        <v>717</v>
      </c>
      <c r="F1303" s="13" t="s">
        <v>718</v>
      </c>
      <c r="G1303" s="12" t="s">
        <v>68</v>
      </c>
      <c r="H1303" s="12" t="s">
        <v>719</v>
      </c>
      <c r="I1303" s="12" t="s">
        <v>720</v>
      </c>
      <c r="J1303" s="17" t="s">
        <v>2783</v>
      </c>
      <c r="K1303" s="18" t="s">
        <v>2784</v>
      </c>
      <c r="L1303" s="20">
        <v>45916.0</v>
      </c>
      <c r="M1303" s="17" t="s">
        <v>28</v>
      </c>
      <c r="N1303" s="17" t="s">
        <v>3863</v>
      </c>
      <c r="P1303" s="17" t="s">
        <v>2585</v>
      </c>
      <c r="Q1303" s="17" t="s">
        <v>73</v>
      </c>
      <c r="R1303" s="17" t="s">
        <v>2536</v>
      </c>
      <c r="S1303" s="17" t="s">
        <v>2586</v>
      </c>
      <c r="U1303" s="24"/>
      <c r="V1303" s="24"/>
      <c r="W1303" s="18" t="s">
        <v>638</v>
      </c>
    </row>
    <row r="1304">
      <c r="A1304" s="11"/>
      <c r="B1304" s="12" t="s">
        <v>34</v>
      </c>
      <c r="C1304" s="12" t="s">
        <v>65</v>
      </c>
      <c r="D1304" s="12" t="s">
        <v>43</v>
      </c>
      <c r="E1304" s="12" t="s">
        <v>717</v>
      </c>
      <c r="F1304" s="13" t="s">
        <v>718</v>
      </c>
      <c r="G1304" s="12" t="s">
        <v>68</v>
      </c>
      <c r="H1304" s="12" t="s">
        <v>719</v>
      </c>
      <c r="I1304" s="12" t="s">
        <v>720</v>
      </c>
      <c r="J1304" s="17" t="s">
        <v>2783</v>
      </c>
      <c r="K1304" s="18" t="s">
        <v>2784</v>
      </c>
      <c r="L1304" s="20">
        <v>45916.0</v>
      </c>
      <c r="M1304" s="17" t="s">
        <v>28</v>
      </c>
      <c r="N1304" s="17" t="s">
        <v>3864</v>
      </c>
      <c r="Q1304" s="2"/>
      <c r="U1304" s="24"/>
      <c r="V1304" s="24"/>
      <c r="W1304" s="18" t="s">
        <v>638</v>
      </c>
    </row>
    <row r="1305">
      <c r="A1305" s="11"/>
      <c r="B1305" s="12" t="s">
        <v>34</v>
      </c>
      <c r="C1305" s="12" t="s">
        <v>65</v>
      </c>
      <c r="D1305" s="12" t="s">
        <v>43</v>
      </c>
      <c r="E1305" s="12" t="s">
        <v>717</v>
      </c>
      <c r="F1305" s="13" t="s">
        <v>718</v>
      </c>
      <c r="G1305" s="12" t="s">
        <v>68</v>
      </c>
      <c r="H1305" s="12" t="s">
        <v>719</v>
      </c>
      <c r="I1305" s="12" t="s">
        <v>720</v>
      </c>
      <c r="J1305" s="17" t="s">
        <v>2783</v>
      </c>
      <c r="K1305" s="18" t="s">
        <v>2784</v>
      </c>
      <c r="L1305" s="20">
        <v>45916.0</v>
      </c>
      <c r="M1305" s="17" t="s">
        <v>28</v>
      </c>
      <c r="N1305" s="17" t="s">
        <v>3865</v>
      </c>
      <c r="P1305" s="17" t="s">
        <v>3866</v>
      </c>
      <c r="Q1305" s="17" t="s">
        <v>73</v>
      </c>
      <c r="R1305" s="17" t="s">
        <v>2536</v>
      </c>
      <c r="S1305" s="17" t="s">
        <v>3867</v>
      </c>
      <c r="U1305" s="24"/>
      <c r="V1305" s="24"/>
      <c r="W1305" s="18" t="s">
        <v>638</v>
      </c>
    </row>
    <row r="1306">
      <c r="A1306" s="11"/>
      <c r="B1306" s="12" t="s">
        <v>34</v>
      </c>
      <c r="C1306" s="12" t="s">
        <v>65</v>
      </c>
      <c r="D1306" s="12" t="s">
        <v>43</v>
      </c>
      <c r="E1306" s="12" t="s">
        <v>717</v>
      </c>
      <c r="F1306" s="13" t="s">
        <v>718</v>
      </c>
      <c r="G1306" s="12" t="s">
        <v>68</v>
      </c>
      <c r="H1306" s="12" t="s">
        <v>719</v>
      </c>
      <c r="I1306" s="12" t="s">
        <v>720</v>
      </c>
      <c r="J1306" s="17" t="s">
        <v>2783</v>
      </c>
      <c r="K1306" s="18" t="s">
        <v>2784</v>
      </c>
      <c r="L1306" s="20">
        <v>45916.0</v>
      </c>
      <c r="M1306" s="17" t="s">
        <v>28</v>
      </c>
      <c r="N1306" s="17" t="s">
        <v>3868</v>
      </c>
      <c r="P1306" s="17" t="s">
        <v>3869</v>
      </c>
      <c r="Q1306" s="17" t="s">
        <v>112</v>
      </c>
      <c r="R1306" s="17" t="s">
        <v>2526</v>
      </c>
      <c r="S1306" s="17" t="s">
        <v>3870</v>
      </c>
      <c r="U1306" s="24"/>
      <c r="V1306" s="24"/>
      <c r="W1306" s="18" t="s">
        <v>638</v>
      </c>
    </row>
    <row r="1307">
      <c r="A1307" s="11"/>
      <c r="B1307" s="12" t="s">
        <v>34</v>
      </c>
      <c r="C1307" s="12" t="s">
        <v>65</v>
      </c>
      <c r="D1307" s="12" t="s">
        <v>43</v>
      </c>
      <c r="E1307" s="12" t="s">
        <v>717</v>
      </c>
      <c r="F1307" s="13" t="s">
        <v>718</v>
      </c>
      <c r="G1307" s="12" t="s">
        <v>68</v>
      </c>
      <c r="H1307" s="12" t="s">
        <v>719</v>
      </c>
      <c r="I1307" s="12" t="s">
        <v>720</v>
      </c>
      <c r="J1307" s="17" t="s">
        <v>2783</v>
      </c>
      <c r="K1307" s="18" t="s">
        <v>2784</v>
      </c>
      <c r="L1307" s="20">
        <v>45916.0</v>
      </c>
      <c r="M1307" s="17" t="s">
        <v>28</v>
      </c>
      <c r="N1307" s="17" t="s">
        <v>2572</v>
      </c>
      <c r="P1307" s="17" t="s">
        <v>3329</v>
      </c>
      <c r="Q1307" s="17" t="s">
        <v>112</v>
      </c>
      <c r="R1307" s="17" t="s">
        <v>2526</v>
      </c>
      <c r="S1307" s="17" t="s">
        <v>3330</v>
      </c>
      <c r="U1307" s="24"/>
      <c r="V1307" s="24"/>
      <c r="W1307" s="18" t="s">
        <v>638</v>
      </c>
    </row>
    <row r="1308">
      <c r="A1308" s="11"/>
      <c r="B1308" s="12" t="s">
        <v>34</v>
      </c>
      <c r="C1308" s="12" t="s">
        <v>65</v>
      </c>
      <c r="D1308" s="12" t="s">
        <v>43</v>
      </c>
      <c r="E1308" s="12" t="s">
        <v>717</v>
      </c>
      <c r="F1308" s="13" t="s">
        <v>718</v>
      </c>
      <c r="G1308" s="12" t="s">
        <v>68</v>
      </c>
      <c r="H1308" s="12" t="s">
        <v>719</v>
      </c>
      <c r="I1308" s="12" t="s">
        <v>720</v>
      </c>
      <c r="J1308" s="17" t="s">
        <v>2783</v>
      </c>
      <c r="K1308" s="18" t="s">
        <v>2784</v>
      </c>
      <c r="L1308" s="20">
        <v>45916.0</v>
      </c>
      <c r="M1308" s="17" t="s">
        <v>28</v>
      </c>
      <c r="N1308" s="17" t="s">
        <v>3871</v>
      </c>
      <c r="P1308" s="17" t="s">
        <v>3872</v>
      </c>
      <c r="Q1308" s="17" t="s">
        <v>73</v>
      </c>
      <c r="R1308" s="17" t="s">
        <v>2536</v>
      </c>
      <c r="S1308" s="17" t="s">
        <v>3873</v>
      </c>
      <c r="U1308" s="24"/>
      <c r="V1308" s="24"/>
      <c r="W1308" s="18" t="s">
        <v>638</v>
      </c>
    </row>
    <row r="1309">
      <c r="A1309" s="11"/>
      <c r="B1309" s="12" t="s">
        <v>34</v>
      </c>
      <c r="C1309" s="12" t="s">
        <v>65</v>
      </c>
      <c r="D1309" s="12" t="s">
        <v>43</v>
      </c>
      <c r="E1309" s="12" t="s">
        <v>717</v>
      </c>
      <c r="F1309" s="13" t="s">
        <v>718</v>
      </c>
      <c r="G1309" s="12" t="s">
        <v>68</v>
      </c>
      <c r="H1309" s="12" t="s">
        <v>719</v>
      </c>
      <c r="I1309" s="12" t="s">
        <v>720</v>
      </c>
      <c r="J1309" s="17" t="s">
        <v>2783</v>
      </c>
      <c r="K1309" s="18" t="s">
        <v>2784</v>
      </c>
      <c r="L1309" s="20">
        <v>45916.0</v>
      </c>
      <c r="M1309" s="17" t="s">
        <v>28</v>
      </c>
      <c r="N1309" s="17" t="s">
        <v>2587</v>
      </c>
      <c r="O1309" s="17">
        <v>7.2108898E7</v>
      </c>
      <c r="P1309" s="17" t="s">
        <v>2588</v>
      </c>
      <c r="Q1309" s="17" t="s">
        <v>73</v>
      </c>
      <c r="R1309" s="17" t="s">
        <v>2536</v>
      </c>
      <c r="S1309" s="17" t="s">
        <v>2589</v>
      </c>
      <c r="U1309" s="24"/>
      <c r="V1309" s="24"/>
      <c r="W1309" s="18" t="s">
        <v>638</v>
      </c>
    </row>
    <row r="1310">
      <c r="A1310" s="11"/>
      <c r="B1310" s="12" t="s">
        <v>34</v>
      </c>
      <c r="C1310" s="12" t="s">
        <v>65</v>
      </c>
      <c r="D1310" s="12" t="s">
        <v>43</v>
      </c>
      <c r="E1310" s="12" t="s">
        <v>717</v>
      </c>
      <c r="F1310" s="13" t="s">
        <v>718</v>
      </c>
      <c r="G1310" s="12" t="s">
        <v>68</v>
      </c>
      <c r="H1310" s="12" t="s">
        <v>719</v>
      </c>
      <c r="I1310" s="12" t="s">
        <v>720</v>
      </c>
      <c r="J1310" s="17" t="s">
        <v>2783</v>
      </c>
      <c r="K1310" s="18" t="s">
        <v>2784</v>
      </c>
      <c r="L1310" s="20">
        <v>45916.0</v>
      </c>
      <c r="M1310" s="17" t="s">
        <v>28</v>
      </c>
      <c r="N1310" s="17" t="s">
        <v>3874</v>
      </c>
      <c r="O1310" s="17">
        <v>4.6841383E7</v>
      </c>
      <c r="P1310" s="17" t="s">
        <v>3875</v>
      </c>
      <c r="Q1310" s="17" t="s">
        <v>73</v>
      </c>
      <c r="R1310" s="17" t="s">
        <v>2536</v>
      </c>
      <c r="S1310" s="17" t="s">
        <v>3876</v>
      </c>
      <c r="U1310" s="24"/>
      <c r="V1310" s="24"/>
      <c r="W1310" s="18" t="s">
        <v>638</v>
      </c>
    </row>
    <row r="1311">
      <c r="A1311" s="11"/>
      <c r="B1311" s="12" t="s">
        <v>34</v>
      </c>
      <c r="C1311" s="12" t="s">
        <v>65</v>
      </c>
      <c r="D1311" s="12" t="s">
        <v>43</v>
      </c>
      <c r="E1311" s="12" t="s">
        <v>717</v>
      </c>
      <c r="F1311" s="13" t="s">
        <v>718</v>
      </c>
      <c r="G1311" s="12" t="s">
        <v>68</v>
      </c>
      <c r="H1311" s="12" t="s">
        <v>719</v>
      </c>
      <c r="I1311" s="12" t="s">
        <v>720</v>
      </c>
      <c r="J1311" s="17" t="s">
        <v>2783</v>
      </c>
      <c r="K1311" s="18" t="s">
        <v>2784</v>
      </c>
      <c r="L1311" s="20">
        <v>45916.0</v>
      </c>
      <c r="M1311" s="17" t="s">
        <v>28</v>
      </c>
      <c r="N1311" s="17" t="s">
        <v>3877</v>
      </c>
      <c r="O1311" s="17">
        <v>4.4662331E7</v>
      </c>
      <c r="P1311" s="17" t="s">
        <v>3878</v>
      </c>
      <c r="Q1311" s="17" t="s">
        <v>73</v>
      </c>
      <c r="R1311" s="17" t="s">
        <v>2536</v>
      </c>
      <c r="S1311" s="17" t="s">
        <v>3879</v>
      </c>
      <c r="U1311" s="24"/>
      <c r="V1311" s="24"/>
      <c r="W1311" s="18" t="s">
        <v>638</v>
      </c>
    </row>
    <row r="1312">
      <c r="A1312" s="11"/>
      <c r="B1312" s="12" t="s">
        <v>34</v>
      </c>
      <c r="C1312" s="12" t="s">
        <v>65</v>
      </c>
      <c r="D1312" s="12" t="s">
        <v>43</v>
      </c>
      <c r="E1312" s="12" t="s">
        <v>717</v>
      </c>
      <c r="F1312" s="13" t="s">
        <v>718</v>
      </c>
      <c r="G1312" s="12" t="s">
        <v>68</v>
      </c>
      <c r="H1312" s="12" t="s">
        <v>719</v>
      </c>
      <c r="I1312" s="12" t="s">
        <v>720</v>
      </c>
      <c r="J1312" s="17" t="s">
        <v>2783</v>
      </c>
      <c r="K1312" s="18" t="s">
        <v>2784</v>
      </c>
      <c r="L1312" s="20">
        <v>45916.0</v>
      </c>
      <c r="M1312" s="17" t="s">
        <v>28</v>
      </c>
      <c r="N1312" s="17" t="s">
        <v>2590</v>
      </c>
      <c r="O1312" s="17">
        <v>7.7075089E7</v>
      </c>
      <c r="P1312" s="17" t="s">
        <v>3334</v>
      </c>
      <c r="Q1312" s="17" t="s">
        <v>73</v>
      </c>
      <c r="R1312" s="17" t="s">
        <v>2536</v>
      </c>
      <c r="S1312" s="17" t="s">
        <v>3335</v>
      </c>
      <c r="U1312" s="24"/>
      <c r="V1312" s="24"/>
      <c r="W1312" s="18" t="s">
        <v>638</v>
      </c>
    </row>
    <row r="1313">
      <c r="A1313" s="11"/>
      <c r="B1313" s="12" t="s">
        <v>34</v>
      </c>
      <c r="C1313" s="12" t="s">
        <v>65</v>
      </c>
      <c r="D1313" s="12" t="s">
        <v>43</v>
      </c>
      <c r="E1313" s="12" t="s">
        <v>717</v>
      </c>
      <c r="F1313" s="13" t="s">
        <v>718</v>
      </c>
      <c r="G1313" s="12" t="s">
        <v>68</v>
      </c>
      <c r="H1313" s="12" t="s">
        <v>719</v>
      </c>
      <c r="I1313" s="12" t="s">
        <v>720</v>
      </c>
      <c r="J1313" s="17" t="s">
        <v>2783</v>
      </c>
      <c r="K1313" s="18" t="s">
        <v>2784</v>
      </c>
      <c r="L1313" s="20">
        <v>45916.0</v>
      </c>
      <c r="M1313" s="17" t="s">
        <v>28</v>
      </c>
      <c r="N1313" s="17" t="s">
        <v>2596</v>
      </c>
      <c r="O1313" s="17">
        <v>4.2872395E7</v>
      </c>
      <c r="P1313" s="17" t="s">
        <v>2597</v>
      </c>
      <c r="Q1313" s="17" t="s">
        <v>73</v>
      </c>
      <c r="R1313" s="17" t="s">
        <v>2536</v>
      </c>
      <c r="S1313" s="17" t="s">
        <v>3880</v>
      </c>
      <c r="U1313" s="24"/>
      <c r="V1313" s="24"/>
      <c r="W1313" s="18" t="s">
        <v>638</v>
      </c>
    </row>
    <row r="1314">
      <c r="A1314" s="11"/>
      <c r="B1314" s="12" t="s">
        <v>34</v>
      </c>
      <c r="C1314" s="12" t="s">
        <v>65</v>
      </c>
      <c r="D1314" s="12" t="s">
        <v>43</v>
      </c>
      <c r="E1314" s="12" t="s">
        <v>717</v>
      </c>
      <c r="F1314" s="13" t="s">
        <v>718</v>
      </c>
      <c r="G1314" s="12" t="s">
        <v>68</v>
      </c>
      <c r="H1314" s="12" t="s">
        <v>719</v>
      </c>
      <c r="I1314" s="12" t="s">
        <v>720</v>
      </c>
      <c r="J1314" s="17" t="s">
        <v>2783</v>
      </c>
      <c r="K1314" s="18" t="s">
        <v>2784</v>
      </c>
      <c r="L1314" s="20">
        <v>45916.0</v>
      </c>
      <c r="M1314" s="17" t="s">
        <v>28</v>
      </c>
      <c r="N1314" s="17" t="s">
        <v>3881</v>
      </c>
      <c r="O1314" s="17">
        <v>3.2303679E7</v>
      </c>
      <c r="P1314" s="17" t="s">
        <v>3344</v>
      </c>
      <c r="Q1314" s="17" t="s">
        <v>112</v>
      </c>
      <c r="R1314" s="17" t="s">
        <v>2536</v>
      </c>
      <c r="S1314" s="17" t="s">
        <v>3882</v>
      </c>
      <c r="U1314" s="24"/>
      <c r="V1314" s="24"/>
      <c r="W1314" s="18" t="s">
        <v>638</v>
      </c>
    </row>
    <row r="1315">
      <c r="A1315" s="11"/>
      <c r="B1315" s="12" t="s">
        <v>34</v>
      </c>
      <c r="C1315" s="12" t="s">
        <v>65</v>
      </c>
      <c r="D1315" s="12" t="s">
        <v>43</v>
      </c>
      <c r="E1315" s="12" t="s">
        <v>717</v>
      </c>
      <c r="F1315" s="13" t="s">
        <v>718</v>
      </c>
      <c r="G1315" s="12" t="s">
        <v>68</v>
      </c>
      <c r="H1315" s="12" t="s">
        <v>719</v>
      </c>
      <c r="I1315" s="12" t="s">
        <v>720</v>
      </c>
      <c r="J1315" s="17" t="s">
        <v>2783</v>
      </c>
      <c r="K1315" s="18" t="s">
        <v>2784</v>
      </c>
      <c r="L1315" s="20">
        <v>45916.0</v>
      </c>
      <c r="M1315" s="17" t="s">
        <v>28</v>
      </c>
      <c r="N1315" s="17" t="s">
        <v>2578</v>
      </c>
      <c r="O1315" s="17">
        <v>4.5566017E7</v>
      </c>
      <c r="P1315" s="17" t="s">
        <v>2579</v>
      </c>
      <c r="Q1315" s="17" t="s">
        <v>112</v>
      </c>
      <c r="R1315" s="17" t="s">
        <v>2526</v>
      </c>
      <c r="S1315" s="17" t="s">
        <v>2580</v>
      </c>
      <c r="U1315" s="24"/>
      <c r="V1315" s="24"/>
      <c r="W1315" s="18" t="s">
        <v>638</v>
      </c>
    </row>
    <row r="1316">
      <c r="A1316" s="11"/>
      <c r="B1316" s="12" t="s">
        <v>34</v>
      </c>
      <c r="C1316" s="12" t="s">
        <v>65</v>
      </c>
      <c r="D1316" s="12" t="s">
        <v>43</v>
      </c>
      <c r="E1316" s="12" t="s">
        <v>717</v>
      </c>
      <c r="F1316" s="13" t="s">
        <v>718</v>
      </c>
      <c r="G1316" s="12" t="s">
        <v>68</v>
      </c>
      <c r="H1316" s="12" t="s">
        <v>719</v>
      </c>
      <c r="I1316" s="12" t="s">
        <v>720</v>
      </c>
      <c r="J1316" s="17" t="s">
        <v>2783</v>
      </c>
      <c r="K1316" s="18" t="s">
        <v>2784</v>
      </c>
      <c r="L1316" s="20">
        <v>45916.0</v>
      </c>
      <c r="M1316" s="17" t="s">
        <v>28</v>
      </c>
      <c r="N1316" s="17" t="s">
        <v>3883</v>
      </c>
      <c r="O1316" s="17">
        <v>4.6147378E7</v>
      </c>
      <c r="P1316" s="17" t="s">
        <v>3884</v>
      </c>
      <c r="Q1316" s="17" t="s">
        <v>112</v>
      </c>
      <c r="R1316" s="17" t="s">
        <v>2526</v>
      </c>
      <c r="S1316" s="17" t="s">
        <v>3885</v>
      </c>
      <c r="U1316" s="24"/>
      <c r="V1316" s="24"/>
      <c r="W1316" s="18" t="s">
        <v>638</v>
      </c>
    </row>
    <row r="1317">
      <c r="A1317" s="11"/>
      <c r="B1317" s="12" t="s">
        <v>34</v>
      </c>
      <c r="C1317" s="12" t="s">
        <v>65</v>
      </c>
      <c r="D1317" s="12" t="s">
        <v>43</v>
      </c>
      <c r="E1317" s="12" t="s">
        <v>717</v>
      </c>
      <c r="F1317" s="13" t="s">
        <v>718</v>
      </c>
      <c r="G1317" s="12" t="s">
        <v>68</v>
      </c>
      <c r="H1317" s="12" t="s">
        <v>719</v>
      </c>
      <c r="I1317" s="12" t="s">
        <v>720</v>
      </c>
      <c r="J1317" s="17" t="s">
        <v>2783</v>
      </c>
      <c r="K1317" s="18" t="s">
        <v>2784</v>
      </c>
      <c r="L1317" s="20">
        <v>45916.0</v>
      </c>
      <c r="M1317" s="17" t="s">
        <v>28</v>
      </c>
      <c r="N1317" s="17" t="s">
        <v>2550</v>
      </c>
      <c r="Q1317" s="2"/>
      <c r="U1317" s="24"/>
      <c r="V1317" s="24"/>
      <c r="W1317" s="18" t="s">
        <v>638</v>
      </c>
    </row>
    <row r="1318">
      <c r="A1318" s="11"/>
      <c r="B1318" s="12" t="s">
        <v>34</v>
      </c>
      <c r="C1318" s="12" t="s">
        <v>65</v>
      </c>
      <c r="D1318" s="12" t="s">
        <v>43</v>
      </c>
      <c r="E1318" s="12" t="s">
        <v>717</v>
      </c>
      <c r="F1318" s="13" t="s">
        <v>718</v>
      </c>
      <c r="G1318" s="12" t="s">
        <v>68</v>
      </c>
      <c r="H1318" s="12" t="s">
        <v>719</v>
      </c>
      <c r="I1318" s="12" t="s">
        <v>720</v>
      </c>
      <c r="J1318" s="17" t="s">
        <v>2783</v>
      </c>
      <c r="K1318" s="18" t="s">
        <v>2784</v>
      </c>
      <c r="L1318" s="20">
        <v>45916.0</v>
      </c>
      <c r="M1318" s="17" t="s">
        <v>28</v>
      </c>
      <c r="N1318" s="17" t="s">
        <v>3886</v>
      </c>
      <c r="O1318" s="17">
        <v>3.1830739E7</v>
      </c>
      <c r="P1318" s="17" t="s">
        <v>3887</v>
      </c>
      <c r="Q1318" s="17" t="s">
        <v>112</v>
      </c>
      <c r="R1318" s="17" t="s">
        <v>2526</v>
      </c>
      <c r="S1318" s="17" t="s">
        <v>3888</v>
      </c>
      <c r="U1318" s="24"/>
      <c r="V1318" s="24"/>
      <c r="W1318" s="18" t="s">
        <v>638</v>
      </c>
    </row>
    <row r="1319">
      <c r="A1319" s="11"/>
      <c r="B1319" s="12" t="s">
        <v>34</v>
      </c>
      <c r="C1319" s="12" t="s">
        <v>65</v>
      </c>
      <c r="D1319" s="12" t="s">
        <v>43</v>
      </c>
      <c r="E1319" s="12" t="s">
        <v>717</v>
      </c>
      <c r="F1319" s="13" t="s">
        <v>718</v>
      </c>
      <c r="G1319" s="12" t="s">
        <v>68</v>
      </c>
      <c r="H1319" s="12" t="s">
        <v>719</v>
      </c>
      <c r="I1319" s="12" t="s">
        <v>720</v>
      </c>
      <c r="J1319" s="17" t="s">
        <v>2783</v>
      </c>
      <c r="K1319" s="18" t="s">
        <v>2784</v>
      </c>
      <c r="L1319" s="20">
        <v>45916.0</v>
      </c>
      <c r="M1319" s="17" t="s">
        <v>28</v>
      </c>
      <c r="N1319" s="17" t="s">
        <v>3889</v>
      </c>
      <c r="P1319" s="17" t="s">
        <v>3890</v>
      </c>
      <c r="Q1319" s="17" t="s">
        <v>112</v>
      </c>
      <c r="R1319" s="17" t="s">
        <v>2526</v>
      </c>
      <c r="S1319" s="17" t="s">
        <v>3891</v>
      </c>
      <c r="U1319" s="24"/>
      <c r="V1319" s="24"/>
      <c r="W1319" s="18" t="s">
        <v>638</v>
      </c>
    </row>
    <row r="1320">
      <c r="A1320" s="11"/>
      <c r="B1320" s="12" t="s">
        <v>34</v>
      </c>
      <c r="C1320" s="12" t="s">
        <v>65</v>
      </c>
      <c r="D1320" s="12" t="s">
        <v>43</v>
      </c>
      <c r="E1320" s="12" t="s">
        <v>717</v>
      </c>
      <c r="F1320" s="13" t="s">
        <v>718</v>
      </c>
      <c r="G1320" s="12" t="s">
        <v>68</v>
      </c>
      <c r="H1320" s="12" t="s">
        <v>719</v>
      </c>
      <c r="I1320" s="12" t="s">
        <v>720</v>
      </c>
      <c r="J1320" s="17" t="s">
        <v>2783</v>
      </c>
      <c r="K1320" s="18" t="s">
        <v>2784</v>
      </c>
      <c r="L1320" s="20">
        <v>45916.0</v>
      </c>
      <c r="M1320" s="17" t="s">
        <v>28</v>
      </c>
      <c r="N1320" s="17" t="s">
        <v>2524</v>
      </c>
      <c r="O1320" s="17">
        <v>4.155927E7</v>
      </c>
      <c r="P1320" s="17" t="s">
        <v>2525</v>
      </c>
      <c r="Q1320" s="17" t="s">
        <v>112</v>
      </c>
      <c r="R1320" s="17" t="s">
        <v>2526</v>
      </c>
      <c r="U1320" s="24"/>
      <c r="V1320" s="24"/>
      <c r="W1320" s="18" t="s">
        <v>638</v>
      </c>
    </row>
    <row r="1321">
      <c r="A1321" s="11"/>
      <c r="B1321" s="12" t="s">
        <v>34</v>
      </c>
      <c r="C1321" s="12" t="s">
        <v>65</v>
      </c>
      <c r="D1321" s="12" t="s">
        <v>43</v>
      </c>
      <c r="E1321" s="12" t="s">
        <v>717</v>
      </c>
      <c r="F1321" s="13" t="s">
        <v>718</v>
      </c>
      <c r="G1321" s="12" t="s">
        <v>68</v>
      </c>
      <c r="H1321" s="12" t="s">
        <v>719</v>
      </c>
      <c r="I1321" s="12" t="s">
        <v>720</v>
      </c>
      <c r="J1321" s="17" t="s">
        <v>2783</v>
      </c>
      <c r="K1321" s="18" t="s">
        <v>2784</v>
      </c>
      <c r="L1321" s="20">
        <v>45916.0</v>
      </c>
      <c r="M1321" s="17" t="s">
        <v>28</v>
      </c>
      <c r="N1321" s="17" t="s">
        <v>3892</v>
      </c>
      <c r="O1321" s="17">
        <v>7.2558738E7</v>
      </c>
      <c r="P1321" s="17" t="s">
        <v>3893</v>
      </c>
      <c r="Q1321" s="17" t="s">
        <v>112</v>
      </c>
      <c r="R1321" s="17" t="s">
        <v>2526</v>
      </c>
      <c r="S1321" s="17" t="s">
        <v>3894</v>
      </c>
      <c r="U1321" s="24"/>
      <c r="V1321" s="24"/>
      <c r="W1321" s="18" t="s">
        <v>638</v>
      </c>
    </row>
    <row r="1322">
      <c r="A1322" s="11"/>
      <c r="B1322" s="12" t="s">
        <v>34</v>
      </c>
      <c r="C1322" s="12" t="s">
        <v>65</v>
      </c>
      <c r="D1322" s="12" t="s">
        <v>83</v>
      </c>
      <c r="E1322" s="12" t="s">
        <v>632</v>
      </c>
      <c r="F1322" s="13" t="s">
        <v>633</v>
      </c>
      <c r="G1322" s="12" t="s">
        <v>68</v>
      </c>
      <c r="H1322" s="12" t="s">
        <v>634</v>
      </c>
      <c r="I1322" s="12" t="s">
        <v>635</v>
      </c>
      <c r="J1322" s="17" t="s">
        <v>2779</v>
      </c>
      <c r="K1322" s="18" t="s">
        <v>2780</v>
      </c>
      <c r="L1322" s="20">
        <v>45909.0</v>
      </c>
      <c r="M1322" s="17" t="s">
        <v>28</v>
      </c>
      <c r="N1322" s="112" t="s">
        <v>2430</v>
      </c>
      <c r="O1322" s="17">
        <v>7.2125061E7</v>
      </c>
      <c r="P1322" s="17" t="s">
        <v>2431</v>
      </c>
      <c r="Q1322" s="17" t="s">
        <v>112</v>
      </c>
      <c r="R1322" s="17" t="s">
        <v>2394</v>
      </c>
      <c r="S1322" s="17" t="s">
        <v>2432</v>
      </c>
      <c r="U1322" s="24"/>
      <c r="V1322" s="24"/>
      <c r="W1322" s="18" t="s">
        <v>638</v>
      </c>
    </row>
    <row r="1323">
      <c r="A1323" s="11"/>
      <c r="B1323" s="12" t="s">
        <v>34</v>
      </c>
      <c r="C1323" s="12" t="s">
        <v>65</v>
      </c>
      <c r="D1323" s="12" t="s">
        <v>83</v>
      </c>
      <c r="E1323" s="12" t="s">
        <v>632</v>
      </c>
      <c r="F1323" s="13" t="s">
        <v>633</v>
      </c>
      <c r="G1323" s="12" t="s">
        <v>68</v>
      </c>
      <c r="H1323" s="12" t="s">
        <v>634</v>
      </c>
      <c r="I1323" s="12" t="s">
        <v>635</v>
      </c>
      <c r="J1323" s="17" t="s">
        <v>2779</v>
      </c>
      <c r="K1323" s="18" t="s">
        <v>2780</v>
      </c>
      <c r="L1323" s="20">
        <v>45909.0</v>
      </c>
      <c r="M1323" s="17" t="s">
        <v>28</v>
      </c>
      <c r="N1323" s="17" t="s">
        <v>2421</v>
      </c>
      <c r="O1323" s="17">
        <v>7.1964894E7</v>
      </c>
      <c r="P1323" s="17" t="s">
        <v>2422</v>
      </c>
      <c r="Q1323" s="17" t="s">
        <v>73</v>
      </c>
      <c r="R1323" s="17" t="s">
        <v>2407</v>
      </c>
      <c r="S1323" s="17" t="s">
        <v>2423</v>
      </c>
      <c r="U1323" s="24"/>
      <c r="V1323" s="24"/>
      <c r="W1323" s="18" t="s">
        <v>638</v>
      </c>
    </row>
    <row r="1324">
      <c r="A1324" s="11"/>
      <c r="B1324" s="12" t="s">
        <v>34</v>
      </c>
      <c r="C1324" s="12" t="s">
        <v>65</v>
      </c>
      <c r="D1324" s="12" t="s">
        <v>83</v>
      </c>
      <c r="E1324" s="12" t="s">
        <v>632</v>
      </c>
      <c r="F1324" s="13" t="s">
        <v>633</v>
      </c>
      <c r="G1324" s="12" t="s">
        <v>68</v>
      </c>
      <c r="H1324" s="12" t="s">
        <v>634</v>
      </c>
      <c r="I1324" s="12" t="s">
        <v>635</v>
      </c>
      <c r="J1324" s="17" t="s">
        <v>2779</v>
      </c>
      <c r="K1324" s="18" t="s">
        <v>2780</v>
      </c>
      <c r="L1324" s="20">
        <v>45909.0</v>
      </c>
      <c r="M1324" s="17" t="s">
        <v>28</v>
      </c>
      <c r="N1324" s="17" t="s">
        <v>2402</v>
      </c>
      <c r="P1324" s="17" t="s">
        <v>2403</v>
      </c>
      <c r="Q1324" s="17" t="s">
        <v>112</v>
      </c>
      <c r="R1324" s="17" t="s">
        <v>2394</v>
      </c>
      <c r="S1324" s="17" t="s">
        <v>2404</v>
      </c>
      <c r="U1324" s="24"/>
      <c r="V1324" s="24"/>
      <c r="W1324" s="18" t="s">
        <v>638</v>
      </c>
    </row>
    <row r="1325">
      <c r="A1325" s="11"/>
      <c r="B1325" s="12" t="s">
        <v>34</v>
      </c>
      <c r="C1325" s="12" t="s">
        <v>65</v>
      </c>
      <c r="D1325" s="12" t="s">
        <v>83</v>
      </c>
      <c r="E1325" s="12" t="s">
        <v>632</v>
      </c>
      <c r="F1325" s="13" t="s">
        <v>633</v>
      </c>
      <c r="G1325" s="12" t="s">
        <v>68</v>
      </c>
      <c r="H1325" s="12" t="s">
        <v>634</v>
      </c>
      <c r="I1325" s="12" t="s">
        <v>635</v>
      </c>
      <c r="J1325" s="17" t="s">
        <v>2779</v>
      </c>
      <c r="K1325" s="18" t="s">
        <v>2780</v>
      </c>
      <c r="L1325" s="20">
        <v>45909.0</v>
      </c>
      <c r="M1325" s="17" t="s">
        <v>28</v>
      </c>
      <c r="N1325" s="17" t="s">
        <v>2396</v>
      </c>
      <c r="Q1325" s="2"/>
      <c r="U1325" s="24"/>
      <c r="V1325" s="24"/>
      <c r="W1325" s="18" t="s">
        <v>638</v>
      </c>
    </row>
    <row r="1326">
      <c r="A1326" s="11"/>
      <c r="B1326" s="12" t="s">
        <v>34</v>
      </c>
      <c r="C1326" s="12" t="s">
        <v>65</v>
      </c>
      <c r="D1326" s="12" t="s">
        <v>83</v>
      </c>
      <c r="E1326" s="12" t="s">
        <v>632</v>
      </c>
      <c r="F1326" s="13" t="s">
        <v>633</v>
      </c>
      <c r="G1326" s="12" t="s">
        <v>68</v>
      </c>
      <c r="H1326" s="12" t="s">
        <v>634</v>
      </c>
      <c r="I1326" s="12" t="s">
        <v>635</v>
      </c>
      <c r="J1326" s="17" t="s">
        <v>2779</v>
      </c>
      <c r="K1326" s="18" t="s">
        <v>2780</v>
      </c>
      <c r="L1326" s="20">
        <v>45909.0</v>
      </c>
      <c r="M1326" s="17" t="s">
        <v>28</v>
      </c>
      <c r="N1326" s="17" t="s">
        <v>2415</v>
      </c>
      <c r="O1326" s="17">
        <v>4.346857E7</v>
      </c>
      <c r="P1326" s="17" t="s">
        <v>2416</v>
      </c>
      <c r="Q1326" s="17" t="s">
        <v>112</v>
      </c>
      <c r="R1326" s="17" t="s">
        <v>2394</v>
      </c>
      <c r="S1326" s="17" t="s">
        <v>2417</v>
      </c>
      <c r="U1326" s="24"/>
      <c r="V1326" s="24"/>
      <c r="W1326" s="18" t="s">
        <v>638</v>
      </c>
    </row>
    <row r="1327">
      <c r="A1327" s="11"/>
      <c r="B1327" s="12" t="s">
        <v>34</v>
      </c>
      <c r="C1327" s="12" t="s">
        <v>65</v>
      </c>
      <c r="D1327" s="12" t="s">
        <v>83</v>
      </c>
      <c r="E1327" s="12" t="s">
        <v>632</v>
      </c>
      <c r="F1327" s="13" t="s">
        <v>633</v>
      </c>
      <c r="G1327" s="12" t="s">
        <v>68</v>
      </c>
      <c r="H1327" s="12" t="s">
        <v>634</v>
      </c>
      <c r="I1327" s="12" t="s">
        <v>635</v>
      </c>
      <c r="J1327" s="17" t="s">
        <v>2779</v>
      </c>
      <c r="K1327" s="18" t="s">
        <v>2780</v>
      </c>
      <c r="L1327" s="20">
        <v>45909.0</v>
      </c>
      <c r="M1327" s="17" t="s">
        <v>28</v>
      </c>
      <c r="N1327" s="17" t="s">
        <v>2398</v>
      </c>
      <c r="P1327" s="17" t="s">
        <v>2399</v>
      </c>
      <c r="Q1327" s="17" t="s">
        <v>108</v>
      </c>
      <c r="R1327" s="17" t="s">
        <v>2400</v>
      </c>
      <c r="S1327" s="17" t="s">
        <v>2401</v>
      </c>
      <c r="U1327" s="24"/>
      <c r="V1327" s="24"/>
      <c r="W1327" s="18" t="s">
        <v>638</v>
      </c>
    </row>
    <row r="1328">
      <c r="A1328" s="11"/>
      <c r="B1328" s="12" t="s">
        <v>34</v>
      </c>
      <c r="C1328" s="12" t="s">
        <v>65</v>
      </c>
      <c r="D1328" s="12" t="s">
        <v>83</v>
      </c>
      <c r="E1328" s="12" t="s">
        <v>632</v>
      </c>
      <c r="F1328" s="13" t="s">
        <v>633</v>
      </c>
      <c r="G1328" s="12" t="s">
        <v>68</v>
      </c>
      <c r="H1328" s="12" t="s">
        <v>634</v>
      </c>
      <c r="I1328" s="12" t="s">
        <v>635</v>
      </c>
      <c r="J1328" s="17" t="s">
        <v>2779</v>
      </c>
      <c r="K1328" s="18" t="s">
        <v>2780</v>
      </c>
      <c r="L1328" s="20">
        <v>45909.0</v>
      </c>
      <c r="M1328" s="17" t="s">
        <v>28</v>
      </c>
      <c r="N1328" s="17" t="s">
        <v>2409</v>
      </c>
      <c r="P1328" s="17" t="s">
        <v>2410</v>
      </c>
      <c r="Q1328" s="17" t="s">
        <v>108</v>
      </c>
      <c r="R1328" s="17" t="s">
        <v>2400</v>
      </c>
      <c r="S1328" s="17" t="s">
        <v>2411</v>
      </c>
      <c r="U1328" s="24"/>
      <c r="V1328" s="24"/>
      <c r="W1328" s="18" t="s">
        <v>638</v>
      </c>
    </row>
    <row r="1329">
      <c r="A1329" s="11"/>
      <c r="B1329" s="12" t="s">
        <v>34</v>
      </c>
      <c r="C1329" s="12" t="s">
        <v>65</v>
      </c>
      <c r="D1329" s="12" t="s">
        <v>83</v>
      </c>
      <c r="E1329" s="12" t="s">
        <v>632</v>
      </c>
      <c r="F1329" s="13" t="s">
        <v>633</v>
      </c>
      <c r="G1329" s="12" t="s">
        <v>68</v>
      </c>
      <c r="H1329" s="12" t="s">
        <v>634</v>
      </c>
      <c r="I1329" s="12" t="s">
        <v>635</v>
      </c>
      <c r="J1329" s="17" t="s">
        <v>2779</v>
      </c>
      <c r="K1329" s="18" t="s">
        <v>2780</v>
      </c>
      <c r="L1329" s="20">
        <v>45909.0</v>
      </c>
      <c r="M1329" s="17" t="s">
        <v>28</v>
      </c>
      <c r="N1329" s="17" t="s">
        <v>2418</v>
      </c>
      <c r="P1329" s="17" t="s">
        <v>2419</v>
      </c>
      <c r="Q1329" s="17" t="s">
        <v>112</v>
      </c>
      <c r="R1329" s="17" t="s">
        <v>2394</v>
      </c>
      <c r="S1329" s="17" t="s">
        <v>3895</v>
      </c>
      <c r="U1329" s="24"/>
      <c r="V1329" s="24"/>
      <c r="W1329" s="18" t="s">
        <v>638</v>
      </c>
    </row>
    <row r="1330">
      <c r="A1330" s="11"/>
      <c r="B1330" s="12" t="s">
        <v>34</v>
      </c>
      <c r="C1330" s="12" t="s">
        <v>65</v>
      </c>
      <c r="D1330" s="12" t="s">
        <v>83</v>
      </c>
      <c r="E1330" s="12" t="s">
        <v>632</v>
      </c>
      <c r="F1330" s="13" t="s">
        <v>633</v>
      </c>
      <c r="G1330" s="12" t="s">
        <v>68</v>
      </c>
      <c r="H1330" s="12" t="s">
        <v>634</v>
      </c>
      <c r="I1330" s="12" t="s">
        <v>635</v>
      </c>
      <c r="J1330" s="17" t="s">
        <v>2779</v>
      </c>
      <c r="K1330" s="18" t="s">
        <v>2780</v>
      </c>
      <c r="L1330" s="20">
        <v>45909.0</v>
      </c>
      <c r="M1330" s="17" t="s">
        <v>28</v>
      </c>
      <c r="N1330" s="17" t="s">
        <v>3896</v>
      </c>
      <c r="Q1330" s="2"/>
      <c r="U1330" s="24"/>
      <c r="V1330" s="24"/>
      <c r="W1330" s="18" t="s">
        <v>638</v>
      </c>
    </row>
    <row r="1331">
      <c r="A1331" s="11"/>
      <c r="B1331" s="12" t="s">
        <v>34</v>
      </c>
      <c r="C1331" s="12" t="s">
        <v>65</v>
      </c>
      <c r="D1331" s="12" t="s">
        <v>83</v>
      </c>
      <c r="E1331" s="12" t="s">
        <v>632</v>
      </c>
      <c r="F1331" s="13" t="s">
        <v>633</v>
      </c>
      <c r="G1331" s="12" t="s">
        <v>68</v>
      </c>
      <c r="H1331" s="12" t="s">
        <v>634</v>
      </c>
      <c r="I1331" s="12" t="s">
        <v>635</v>
      </c>
      <c r="J1331" s="17" t="s">
        <v>2779</v>
      </c>
      <c r="K1331" s="18" t="s">
        <v>2780</v>
      </c>
      <c r="L1331" s="20">
        <v>45909.0</v>
      </c>
      <c r="M1331" s="17" t="s">
        <v>28</v>
      </c>
      <c r="N1331" s="17" t="s">
        <v>2433</v>
      </c>
      <c r="O1331" s="17">
        <v>4.6467472E7</v>
      </c>
      <c r="P1331" s="17" t="s">
        <v>2434</v>
      </c>
      <c r="Q1331" s="17" t="s">
        <v>112</v>
      </c>
      <c r="R1331" s="17" t="s">
        <v>2394</v>
      </c>
      <c r="S1331" s="17" t="s">
        <v>2435</v>
      </c>
      <c r="U1331" s="24"/>
      <c r="V1331" s="24"/>
      <c r="W1331" s="18" t="s">
        <v>638</v>
      </c>
    </row>
    <row r="1332">
      <c r="A1332" s="11"/>
      <c r="B1332" s="12" t="s">
        <v>34</v>
      </c>
      <c r="C1332" s="12" t="s">
        <v>65</v>
      </c>
      <c r="D1332" s="12" t="s">
        <v>83</v>
      </c>
      <c r="E1332" s="12" t="s">
        <v>632</v>
      </c>
      <c r="F1332" s="13" t="s">
        <v>633</v>
      </c>
      <c r="G1332" s="12" t="s">
        <v>68</v>
      </c>
      <c r="H1332" s="12" t="s">
        <v>634</v>
      </c>
      <c r="I1332" s="12" t="s">
        <v>635</v>
      </c>
      <c r="J1332" s="17" t="s">
        <v>2779</v>
      </c>
      <c r="K1332" s="18" t="s">
        <v>2780</v>
      </c>
      <c r="L1332" s="20">
        <v>45909.0</v>
      </c>
      <c r="M1332" s="17" t="s">
        <v>28</v>
      </c>
      <c r="N1332" s="17" t="s">
        <v>2445</v>
      </c>
      <c r="O1332" s="17">
        <v>7.2114988E7</v>
      </c>
      <c r="P1332" s="17" t="s">
        <v>2446</v>
      </c>
      <c r="Q1332" s="17" t="s">
        <v>112</v>
      </c>
      <c r="R1332" s="17" t="s">
        <v>2394</v>
      </c>
      <c r="S1332" s="17" t="s">
        <v>2447</v>
      </c>
      <c r="U1332" s="24"/>
      <c r="V1332" s="24"/>
      <c r="W1332" s="18" t="s">
        <v>638</v>
      </c>
    </row>
    <row r="1333">
      <c r="A1333" s="11"/>
      <c r="B1333" s="12" t="s">
        <v>34</v>
      </c>
      <c r="C1333" s="12" t="s">
        <v>65</v>
      </c>
      <c r="D1333" s="12" t="s">
        <v>83</v>
      </c>
      <c r="E1333" s="12" t="s">
        <v>632</v>
      </c>
      <c r="F1333" s="13" t="s">
        <v>633</v>
      </c>
      <c r="G1333" s="12" t="s">
        <v>68</v>
      </c>
      <c r="H1333" s="12" t="s">
        <v>634</v>
      </c>
      <c r="I1333" s="12" t="s">
        <v>635</v>
      </c>
      <c r="J1333" s="17" t="s">
        <v>2779</v>
      </c>
      <c r="K1333" s="18" t="s">
        <v>2780</v>
      </c>
      <c r="L1333" s="20">
        <v>45909.0</v>
      </c>
      <c r="M1333" s="17" t="s">
        <v>28</v>
      </c>
      <c r="N1333" s="17" t="s">
        <v>3897</v>
      </c>
      <c r="O1333" s="17">
        <v>3.23376193E8</v>
      </c>
      <c r="P1333" s="17" t="s">
        <v>2419</v>
      </c>
      <c r="Q1333" s="17" t="s">
        <v>112</v>
      </c>
      <c r="R1333" s="17" t="s">
        <v>2394</v>
      </c>
      <c r="S1333" s="17" t="s">
        <v>2420</v>
      </c>
      <c r="U1333" s="24"/>
      <c r="V1333" s="24"/>
      <c r="W1333" s="18" t="s">
        <v>638</v>
      </c>
    </row>
    <row r="1334">
      <c r="A1334" s="11"/>
      <c r="B1334" s="12" t="s">
        <v>34</v>
      </c>
      <c r="C1334" s="12" t="s">
        <v>65</v>
      </c>
      <c r="D1334" s="12" t="s">
        <v>83</v>
      </c>
      <c r="E1334" s="12" t="s">
        <v>632</v>
      </c>
      <c r="F1334" s="13" t="s">
        <v>633</v>
      </c>
      <c r="G1334" s="12" t="s">
        <v>68</v>
      </c>
      <c r="H1334" s="12" t="s">
        <v>634</v>
      </c>
      <c r="I1334" s="12" t="s">
        <v>635</v>
      </c>
      <c r="J1334" s="17" t="s">
        <v>2779</v>
      </c>
      <c r="K1334" s="18" t="s">
        <v>2780</v>
      </c>
      <c r="L1334" s="20">
        <v>45909.0</v>
      </c>
      <c r="M1334" s="17" t="s">
        <v>28</v>
      </c>
      <c r="N1334" s="17" t="s">
        <v>2436</v>
      </c>
      <c r="O1334" s="17">
        <v>7.2106666E7</v>
      </c>
      <c r="P1334" s="17" t="s">
        <v>2437</v>
      </c>
      <c r="Q1334" s="17" t="s">
        <v>112</v>
      </c>
      <c r="R1334" s="17" t="s">
        <v>2394</v>
      </c>
      <c r="S1334" s="17" t="s">
        <v>2438</v>
      </c>
      <c r="U1334" s="24"/>
      <c r="V1334" s="24"/>
      <c r="W1334" s="18" t="s">
        <v>638</v>
      </c>
    </row>
    <row r="1335">
      <c r="A1335" s="11"/>
      <c r="B1335" s="12" t="s">
        <v>34</v>
      </c>
      <c r="C1335" s="12" t="s">
        <v>65</v>
      </c>
      <c r="D1335" s="12" t="s">
        <v>83</v>
      </c>
      <c r="E1335" s="12" t="s">
        <v>632</v>
      </c>
      <c r="F1335" s="13" t="s">
        <v>633</v>
      </c>
      <c r="G1335" s="12" t="s">
        <v>68</v>
      </c>
      <c r="H1335" s="12" t="s">
        <v>634</v>
      </c>
      <c r="I1335" s="12" t="s">
        <v>635</v>
      </c>
      <c r="J1335" s="17" t="s">
        <v>2779</v>
      </c>
      <c r="K1335" s="18" t="s">
        <v>2780</v>
      </c>
      <c r="L1335" s="20">
        <v>45909.0</v>
      </c>
      <c r="M1335" s="17" t="s">
        <v>28</v>
      </c>
      <c r="N1335" s="17" t="s">
        <v>3898</v>
      </c>
      <c r="O1335" s="17">
        <v>6.229274E7</v>
      </c>
      <c r="P1335" s="17" t="s">
        <v>3899</v>
      </c>
      <c r="Q1335" s="17" t="s">
        <v>112</v>
      </c>
      <c r="R1335" s="17" t="s">
        <v>2394</v>
      </c>
      <c r="S1335" s="17" t="s">
        <v>3900</v>
      </c>
      <c r="U1335" s="24"/>
      <c r="V1335" s="24"/>
      <c r="W1335" s="18" t="s">
        <v>638</v>
      </c>
    </row>
    <row r="1336">
      <c r="A1336" s="11"/>
      <c r="B1336" s="12" t="s">
        <v>34</v>
      </c>
      <c r="C1336" s="12" t="s">
        <v>65</v>
      </c>
      <c r="D1336" s="12" t="s">
        <v>83</v>
      </c>
      <c r="E1336" s="12" t="s">
        <v>632</v>
      </c>
      <c r="F1336" s="13" t="s">
        <v>633</v>
      </c>
      <c r="G1336" s="12" t="s">
        <v>68</v>
      </c>
      <c r="H1336" s="12" t="s">
        <v>634</v>
      </c>
      <c r="I1336" s="12" t="s">
        <v>635</v>
      </c>
      <c r="J1336" s="17" t="s">
        <v>2779</v>
      </c>
      <c r="K1336" s="18" t="s">
        <v>2780</v>
      </c>
      <c r="L1336" s="20">
        <v>45909.0</v>
      </c>
      <c r="M1336" s="17" t="s">
        <v>28</v>
      </c>
      <c r="N1336" s="17" t="s">
        <v>2439</v>
      </c>
      <c r="O1336" s="17">
        <v>7.5839065E7</v>
      </c>
      <c r="P1336" s="17" t="s">
        <v>2440</v>
      </c>
      <c r="Q1336" s="17" t="s">
        <v>112</v>
      </c>
      <c r="R1336" s="17" t="s">
        <v>2394</v>
      </c>
      <c r="S1336" s="17" t="s">
        <v>2441</v>
      </c>
      <c r="U1336" s="24"/>
      <c r="V1336" s="24"/>
      <c r="W1336" s="18" t="s">
        <v>638</v>
      </c>
    </row>
    <row r="1337">
      <c r="A1337" s="11"/>
      <c r="B1337" s="12" t="s">
        <v>34</v>
      </c>
      <c r="C1337" s="12" t="s">
        <v>65</v>
      </c>
      <c r="D1337" s="12" t="s">
        <v>83</v>
      </c>
      <c r="E1337" s="12" t="s">
        <v>632</v>
      </c>
      <c r="F1337" s="13" t="s">
        <v>633</v>
      </c>
      <c r="G1337" s="12" t="s">
        <v>68</v>
      </c>
      <c r="H1337" s="12" t="s">
        <v>634</v>
      </c>
      <c r="I1337" s="12" t="s">
        <v>635</v>
      </c>
      <c r="J1337" s="17" t="s">
        <v>2779</v>
      </c>
      <c r="K1337" s="18" t="s">
        <v>2780</v>
      </c>
      <c r="L1337" s="20">
        <v>45909.0</v>
      </c>
      <c r="M1337" s="17" t="s">
        <v>28</v>
      </c>
      <c r="N1337" s="17" t="s">
        <v>3901</v>
      </c>
      <c r="P1337" s="17" t="s">
        <v>2425</v>
      </c>
      <c r="Q1337" s="17" t="s">
        <v>108</v>
      </c>
      <c r="R1337" s="17" t="s">
        <v>2400</v>
      </c>
      <c r="S1337" s="17" t="s">
        <v>2426</v>
      </c>
      <c r="U1337" s="24"/>
      <c r="V1337" s="24"/>
      <c r="W1337" s="18" t="s">
        <v>638</v>
      </c>
    </row>
    <row r="1338">
      <c r="A1338" s="11"/>
      <c r="B1338" s="12" t="s">
        <v>34</v>
      </c>
      <c r="C1338" s="12" t="s">
        <v>65</v>
      </c>
      <c r="D1338" s="12" t="s">
        <v>83</v>
      </c>
      <c r="E1338" s="12" t="s">
        <v>632</v>
      </c>
      <c r="F1338" s="13" t="s">
        <v>633</v>
      </c>
      <c r="G1338" s="12" t="s">
        <v>68</v>
      </c>
      <c r="H1338" s="12" t="s">
        <v>634</v>
      </c>
      <c r="I1338" s="12" t="s">
        <v>635</v>
      </c>
      <c r="J1338" s="17" t="s">
        <v>2779</v>
      </c>
      <c r="K1338" s="18" t="s">
        <v>2780</v>
      </c>
      <c r="L1338" s="20">
        <v>45909.0</v>
      </c>
      <c r="M1338" s="17" t="s">
        <v>28</v>
      </c>
      <c r="N1338" s="17" t="s">
        <v>2392</v>
      </c>
      <c r="P1338" s="17" t="s">
        <v>2393</v>
      </c>
      <c r="Q1338" s="17" t="s">
        <v>112</v>
      </c>
      <c r="R1338" s="17" t="s">
        <v>2394</v>
      </c>
      <c r="S1338" s="17" t="s">
        <v>2395</v>
      </c>
      <c r="U1338" s="24"/>
      <c r="V1338" s="24"/>
      <c r="W1338" s="18" t="s">
        <v>638</v>
      </c>
    </row>
    <row r="1339">
      <c r="A1339" s="11"/>
      <c r="B1339" s="12" t="s">
        <v>34</v>
      </c>
      <c r="C1339" s="12" t="s">
        <v>65</v>
      </c>
      <c r="D1339" s="12" t="s">
        <v>83</v>
      </c>
      <c r="E1339" s="12" t="s">
        <v>632</v>
      </c>
      <c r="F1339" s="13" t="s">
        <v>633</v>
      </c>
      <c r="G1339" s="12" t="s">
        <v>68</v>
      </c>
      <c r="H1339" s="12" t="s">
        <v>634</v>
      </c>
      <c r="I1339" s="12" t="s">
        <v>635</v>
      </c>
      <c r="J1339" s="17" t="s">
        <v>2779</v>
      </c>
      <c r="K1339" s="18" t="s">
        <v>2780</v>
      </c>
      <c r="L1339" s="20">
        <v>45909.0</v>
      </c>
      <c r="M1339" s="17" t="s">
        <v>28</v>
      </c>
      <c r="N1339" s="17" t="s">
        <v>2448</v>
      </c>
      <c r="O1339" s="17">
        <v>7.3515438E7</v>
      </c>
      <c r="P1339" s="17" t="s">
        <v>2449</v>
      </c>
      <c r="Q1339" s="17" t="s">
        <v>112</v>
      </c>
      <c r="R1339" s="17" t="s">
        <v>2394</v>
      </c>
      <c r="S1339" s="17" t="s">
        <v>2450</v>
      </c>
      <c r="U1339" s="24"/>
      <c r="V1339" s="24"/>
      <c r="W1339" s="18" t="s">
        <v>638</v>
      </c>
    </row>
    <row r="1340">
      <c r="A1340" s="11"/>
      <c r="B1340" s="12" t="s">
        <v>34</v>
      </c>
      <c r="C1340" s="12" t="s">
        <v>65</v>
      </c>
      <c r="D1340" s="12" t="s">
        <v>83</v>
      </c>
      <c r="E1340" s="12" t="s">
        <v>632</v>
      </c>
      <c r="F1340" s="13" t="s">
        <v>633</v>
      </c>
      <c r="G1340" s="12" t="s">
        <v>68</v>
      </c>
      <c r="H1340" s="12" t="s">
        <v>634</v>
      </c>
      <c r="I1340" s="12" t="s">
        <v>635</v>
      </c>
      <c r="J1340" s="17" t="s">
        <v>2779</v>
      </c>
      <c r="K1340" s="18" t="s">
        <v>2780</v>
      </c>
      <c r="L1340" s="20">
        <v>45909.0</v>
      </c>
      <c r="M1340" s="17" t="s">
        <v>28</v>
      </c>
      <c r="N1340" s="17" t="s">
        <v>2424</v>
      </c>
      <c r="P1340" s="17" t="s">
        <v>2425</v>
      </c>
      <c r="Q1340" s="17" t="s">
        <v>108</v>
      </c>
      <c r="R1340" s="17" t="s">
        <v>2400</v>
      </c>
      <c r="S1340" s="17" t="s">
        <v>2426</v>
      </c>
      <c r="U1340" s="24"/>
      <c r="V1340" s="24"/>
      <c r="W1340" s="18" t="s">
        <v>638</v>
      </c>
    </row>
    <row r="1341">
      <c r="A1341" s="11"/>
      <c r="B1341" s="12" t="s">
        <v>34</v>
      </c>
      <c r="C1341" s="12" t="s">
        <v>65</v>
      </c>
      <c r="D1341" s="12" t="s">
        <v>43</v>
      </c>
      <c r="E1341" s="12" t="s">
        <v>2451</v>
      </c>
      <c r="F1341" s="13" t="s">
        <v>667</v>
      </c>
      <c r="G1341" s="12" t="s">
        <v>68</v>
      </c>
      <c r="H1341" s="12" t="s">
        <v>668</v>
      </c>
      <c r="I1341" s="12" t="s">
        <v>669</v>
      </c>
      <c r="J1341" s="17" t="s">
        <v>2779</v>
      </c>
      <c r="K1341" s="18" t="s">
        <v>2780</v>
      </c>
      <c r="L1341" s="20">
        <v>45909.0</v>
      </c>
      <c r="M1341" s="17" t="s">
        <v>28</v>
      </c>
      <c r="N1341" s="17" t="s">
        <v>2476</v>
      </c>
      <c r="O1341" s="17">
        <v>7.2568623E7</v>
      </c>
      <c r="P1341" s="17" t="s">
        <v>2477</v>
      </c>
      <c r="Q1341" s="17" t="s">
        <v>73</v>
      </c>
      <c r="R1341" s="17" t="s">
        <v>74</v>
      </c>
      <c r="S1341" s="17" t="s">
        <v>2478</v>
      </c>
      <c r="U1341" s="24"/>
      <c r="V1341" s="24"/>
      <c r="W1341" s="18" t="s">
        <v>638</v>
      </c>
    </row>
    <row r="1342">
      <c r="A1342" s="11"/>
      <c r="B1342" s="12" t="s">
        <v>34</v>
      </c>
      <c r="C1342" s="12" t="s">
        <v>65</v>
      </c>
      <c r="D1342" s="12" t="s">
        <v>43</v>
      </c>
      <c r="E1342" s="12" t="s">
        <v>2451</v>
      </c>
      <c r="F1342" s="13" t="s">
        <v>667</v>
      </c>
      <c r="G1342" s="12" t="s">
        <v>68</v>
      </c>
      <c r="H1342" s="12" t="s">
        <v>668</v>
      </c>
      <c r="I1342" s="12" t="s">
        <v>669</v>
      </c>
      <c r="J1342" s="17" t="s">
        <v>2779</v>
      </c>
      <c r="K1342" s="18" t="s">
        <v>2780</v>
      </c>
      <c r="L1342" s="20">
        <v>45909.0</v>
      </c>
      <c r="M1342" s="17" t="s">
        <v>28</v>
      </c>
      <c r="N1342" s="17" t="s">
        <v>3902</v>
      </c>
      <c r="O1342" s="17">
        <v>4.4545098E7</v>
      </c>
      <c r="P1342" s="17" t="s">
        <v>2480</v>
      </c>
      <c r="Q1342" s="17" t="s">
        <v>112</v>
      </c>
      <c r="R1342" s="17" t="s">
        <v>113</v>
      </c>
      <c r="S1342" s="17" t="s">
        <v>2481</v>
      </c>
      <c r="U1342" s="24"/>
      <c r="V1342" s="24"/>
      <c r="W1342" s="18" t="s">
        <v>638</v>
      </c>
    </row>
    <row r="1343">
      <c r="A1343" s="11"/>
      <c r="B1343" s="12" t="s">
        <v>34</v>
      </c>
      <c r="C1343" s="12" t="s">
        <v>65</v>
      </c>
      <c r="D1343" s="12" t="s">
        <v>43</v>
      </c>
      <c r="E1343" s="12" t="s">
        <v>2451</v>
      </c>
      <c r="F1343" s="13" t="s">
        <v>667</v>
      </c>
      <c r="G1343" s="12" t="s">
        <v>68</v>
      </c>
      <c r="H1343" s="12" t="s">
        <v>668</v>
      </c>
      <c r="I1343" s="12" t="s">
        <v>669</v>
      </c>
      <c r="J1343" s="17" t="s">
        <v>2779</v>
      </c>
      <c r="K1343" s="18" t="s">
        <v>2780</v>
      </c>
      <c r="L1343" s="20">
        <v>45909.0</v>
      </c>
      <c r="M1343" s="17" t="s">
        <v>28</v>
      </c>
      <c r="N1343" s="17" t="s">
        <v>2482</v>
      </c>
      <c r="O1343" s="17">
        <v>7.3244474E7</v>
      </c>
      <c r="Q1343" s="17" t="s">
        <v>108</v>
      </c>
      <c r="R1343" s="17" t="s">
        <v>109</v>
      </c>
      <c r="S1343" s="17" t="s">
        <v>2198</v>
      </c>
      <c r="U1343" s="24"/>
      <c r="V1343" s="24"/>
      <c r="W1343" s="18" t="s">
        <v>638</v>
      </c>
    </row>
    <row r="1344">
      <c r="A1344" s="11"/>
      <c r="B1344" s="12" t="s">
        <v>34</v>
      </c>
      <c r="C1344" s="12" t="s">
        <v>65</v>
      </c>
      <c r="D1344" s="12" t="s">
        <v>43</v>
      </c>
      <c r="E1344" s="12" t="s">
        <v>2451</v>
      </c>
      <c r="F1344" s="13" t="s">
        <v>667</v>
      </c>
      <c r="G1344" s="12" t="s">
        <v>68</v>
      </c>
      <c r="H1344" s="12" t="s">
        <v>668</v>
      </c>
      <c r="I1344" s="12" t="s">
        <v>669</v>
      </c>
      <c r="J1344" s="17" t="s">
        <v>2779</v>
      </c>
      <c r="K1344" s="18" t="s">
        <v>2780</v>
      </c>
      <c r="L1344" s="20">
        <v>45909.0</v>
      </c>
      <c r="M1344" s="17" t="s">
        <v>28</v>
      </c>
      <c r="N1344" s="17" t="s">
        <v>2455</v>
      </c>
      <c r="P1344" s="17" t="s">
        <v>2456</v>
      </c>
      <c r="Q1344" s="17" t="s">
        <v>73</v>
      </c>
      <c r="R1344" s="17" t="s">
        <v>74</v>
      </c>
      <c r="S1344" s="17" t="s">
        <v>2457</v>
      </c>
      <c r="U1344" s="24"/>
      <c r="V1344" s="24"/>
      <c r="W1344" s="18" t="s">
        <v>638</v>
      </c>
    </row>
    <row r="1345">
      <c r="A1345" s="11"/>
      <c r="B1345" s="12" t="s">
        <v>34</v>
      </c>
      <c r="C1345" s="12" t="s">
        <v>65</v>
      </c>
      <c r="D1345" s="12" t="s">
        <v>43</v>
      </c>
      <c r="E1345" s="12" t="s">
        <v>2451</v>
      </c>
      <c r="F1345" s="13" t="s">
        <v>667</v>
      </c>
      <c r="G1345" s="12" t="s">
        <v>68</v>
      </c>
      <c r="H1345" s="12" t="s">
        <v>668</v>
      </c>
      <c r="I1345" s="12" t="s">
        <v>669</v>
      </c>
      <c r="J1345" s="17" t="s">
        <v>2779</v>
      </c>
      <c r="K1345" s="18" t="s">
        <v>2780</v>
      </c>
      <c r="L1345" s="20">
        <v>45909.0</v>
      </c>
      <c r="M1345" s="17" t="s">
        <v>28</v>
      </c>
      <c r="N1345" s="17" t="s">
        <v>3903</v>
      </c>
      <c r="O1345" s="17">
        <v>7.2113549E7</v>
      </c>
      <c r="P1345" s="17" t="s">
        <v>3904</v>
      </c>
      <c r="Q1345" s="17" t="s">
        <v>73</v>
      </c>
      <c r="R1345" s="17" t="s">
        <v>74</v>
      </c>
      <c r="S1345" s="17" t="s">
        <v>3905</v>
      </c>
      <c r="U1345" s="24"/>
      <c r="V1345" s="24"/>
      <c r="W1345" s="18" t="s">
        <v>638</v>
      </c>
    </row>
    <row r="1346">
      <c r="A1346" s="11"/>
      <c r="B1346" s="12" t="s">
        <v>34</v>
      </c>
      <c r="C1346" s="12" t="s">
        <v>65</v>
      </c>
      <c r="D1346" s="12" t="s">
        <v>43</v>
      </c>
      <c r="E1346" s="12" t="s">
        <v>2451</v>
      </c>
      <c r="F1346" s="13" t="s">
        <v>667</v>
      </c>
      <c r="G1346" s="12" t="s">
        <v>68</v>
      </c>
      <c r="H1346" s="12" t="s">
        <v>668</v>
      </c>
      <c r="I1346" s="12" t="s">
        <v>669</v>
      </c>
      <c r="J1346" s="17" t="s">
        <v>2779</v>
      </c>
      <c r="K1346" s="18" t="s">
        <v>2780</v>
      </c>
      <c r="L1346" s="20">
        <v>45909.0</v>
      </c>
      <c r="M1346" s="17" t="s">
        <v>28</v>
      </c>
      <c r="N1346" s="17" t="s">
        <v>2473</v>
      </c>
      <c r="O1346" s="17">
        <v>4.6444885E7</v>
      </c>
      <c r="P1346" s="17" t="s">
        <v>2474</v>
      </c>
      <c r="Q1346" s="17" t="s">
        <v>112</v>
      </c>
      <c r="R1346" s="17" t="s">
        <v>113</v>
      </c>
      <c r="S1346" s="17" t="s">
        <v>2475</v>
      </c>
      <c r="U1346" s="24"/>
      <c r="V1346" s="24"/>
      <c r="W1346" s="18" t="s">
        <v>638</v>
      </c>
    </row>
    <row r="1347">
      <c r="A1347" s="11"/>
      <c r="B1347" s="12" t="s">
        <v>34</v>
      </c>
      <c r="C1347" s="12" t="s">
        <v>65</v>
      </c>
      <c r="D1347" s="12" t="s">
        <v>43</v>
      </c>
      <c r="E1347" s="12" t="s">
        <v>2451</v>
      </c>
      <c r="F1347" s="13" t="s">
        <v>667</v>
      </c>
      <c r="G1347" s="12" t="s">
        <v>68</v>
      </c>
      <c r="H1347" s="12" t="s">
        <v>668</v>
      </c>
      <c r="I1347" s="12" t="s">
        <v>669</v>
      </c>
      <c r="J1347" s="17" t="s">
        <v>2779</v>
      </c>
      <c r="K1347" s="18" t="s">
        <v>2780</v>
      </c>
      <c r="L1347" s="20">
        <v>45909.0</v>
      </c>
      <c r="M1347" s="17" t="s">
        <v>28</v>
      </c>
      <c r="N1347" s="17" t="s">
        <v>2467</v>
      </c>
      <c r="O1347" s="17">
        <v>4.7328558E7</v>
      </c>
      <c r="P1347" s="17" t="s">
        <v>3906</v>
      </c>
      <c r="Q1347" s="17" t="s">
        <v>73</v>
      </c>
      <c r="R1347" s="17" t="s">
        <v>74</v>
      </c>
      <c r="S1347" s="17" t="s">
        <v>2469</v>
      </c>
      <c r="U1347" s="24"/>
      <c r="V1347" s="24"/>
      <c r="W1347" s="18" t="s">
        <v>638</v>
      </c>
    </row>
    <row r="1348">
      <c r="A1348" s="11"/>
      <c r="B1348" s="12" t="s">
        <v>34</v>
      </c>
      <c r="C1348" s="12" t="s">
        <v>65</v>
      </c>
      <c r="D1348" s="12" t="s">
        <v>43</v>
      </c>
      <c r="E1348" s="12" t="s">
        <v>2451</v>
      </c>
      <c r="F1348" s="13" t="s">
        <v>667</v>
      </c>
      <c r="G1348" s="12" t="s">
        <v>68</v>
      </c>
      <c r="H1348" s="12" t="s">
        <v>668</v>
      </c>
      <c r="I1348" s="12" t="s">
        <v>669</v>
      </c>
      <c r="J1348" s="17" t="s">
        <v>2779</v>
      </c>
      <c r="K1348" s="18" t="s">
        <v>2780</v>
      </c>
      <c r="L1348" s="20">
        <v>45909.0</v>
      </c>
      <c r="M1348" s="17" t="s">
        <v>28</v>
      </c>
      <c r="N1348" s="17" t="s">
        <v>3907</v>
      </c>
      <c r="P1348" s="17" t="s">
        <v>2465</v>
      </c>
      <c r="Q1348" s="17" t="s">
        <v>112</v>
      </c>
      <c r="R1348" s="17" t="s">
        <v>113</v>
      </c>
      <c r="S1348" s="17" t="s">
        <v>2466</v>
      </c>
      <c r="U1348" s="24"/>
      <c r="V1348" s="24"/>
      <c r="W1348" s="18" t="s">
        <v>638</v>
      </c>
    </row>
    <row r="1349">
      <c r="A1349" s="11"/>
      <c r="B1349" s="12" t="s">
        <v>34</v>
      </c>
      <c r="C1349" s="12" t="s">
        <v>65</v>
      </c>
      <c r="D1349" s="12" t="s">
        <v>43</v>
      </c>
      <c r="E1349" s="12" t="s">
        <v>2451</v>
      </c>
      <c r="F1349" s="13" t="s">
        <v>667</v>
      </c>
      <c r="G1349" s="12" t="s">
        <v>68</v>
      </c>
      <c r="H1349" s="12" t="s">
        <v>668</v>
      </c>
      <c r="I1349" s="12" t="s">
        <v>669</v>
      </c>
      <c r="J1349" s="17" t="s">
        <v>2779</v>
      </c>
      <c r="K1349" s="18" t="s">
        <v>2780</v>
      </c>
      <c r="L1349" s="20">
        <v>45909.0</v>
      </c>
      <c r="M1349" s="17" t="s">
        <v>28</v>
      </c>
      <c r="N1349" s="17" t="s">
        <v>3908</v>
      </c>
      <c r="O1349" s="17">
        <v>7.2737101E7</v>
      </c>
      <c r="P1349" s="17" t="s">
        <v>3909</v>
      </c>
      <c r="Q1349" s="17" t="s">
        <v>112</v>
      </c>
      <c r="R1349" s="17" t="s">
        <v>113</v>
      </c>
      <c r="S1349" s="17" t="s">
        <v>3910</v>
      </c>
      <c r="U1349" s="24"/>
      <c r="V1349" s="24"/>
      <c r="W1349" s="18" t="s">
        <v>638</v>
      </c>
    </row>
    <row r="1350">
      <c r="A1350" s="11"/>
      <c r="B1350" s="12" t="s">
        <v>34</v>
      </c>
      <c r="C1350" s="12" t="s">
        <v>65</v>
      </c>
      <c r="D1350" s="12" t="s">
        <v>43</v>
      </c>
      <c r="E1350" s="12" t="s">
        <v>2451</v>
      </c>
      <c r="F1350" s="13" t="s">
        <v>667</v>
      </c>
      <c r="G1350" s="12" t="s">
        <v>68</v>
      </c>
      <c r="H1350" s="12" t="s">
        <v>668</v>
      </c>
      <c r="I1350" s="12" t="s">
        <v>669</v>
      </c>
      <c r="J1350" s="17" t="s">
        <v>2779</v>
      </c>
      <c r="K1350" s="18" t="s">
        <v>2780</v>
      </c>
      <c r="L1350" s="20">
        <v>45909.0</v>
      </c>
      <c r="M1350" s="17" t="s">
        <v>28</v>
      </c>
      <c r="N1350" s="17" t="s">
        <v>2458</v>
      </c>
      <c r="O1350" s="17">
        <v>4.3468589E7</v>
      </c>
      <c r="P1350" s="17" t="s">
        <v>2459</v>
      </c>
      <c r="Q1350" s="17" t="s">
        <v>108</v>
      </c>
      <c r="R1350" s="17" t="s">
        <v>109</v>
      </c>
      <c r="S1350" s="17" t="s">
        <v>2460</v>
      </c>
      <c r="U1350" s="24"/>
      <c r="V1350" s="24"/>
      <c r="W1350" s="18" t="s">
        <v>638</v>
      </c>
    </row>
    <row r="1351">
      <c r="A1351" s="11"/>
      <c r="B1351" s="12" t="s">
        <v>34</v>
      </c>
      <c r="C1351" s="12" t="s">
        <v>65</v>
      </c>
      <c r="D1351" s="12" t="s">
        <v>43</v>
      </c>
      <c r="E1351" s="12" t="s">
        <v>2451</v>
      </c>
      <c r="F1351" s="13" t="s">
        <v>667</v>
      </c>
      <c r="G1351" s="12" t="s">
        <v>68</v>
      </c>
      <c r="H1351" s="12" t="s">
        <v>668</v>
      </c>
      <c r="I1351" s="12" t="s">
        <v>669</v>
      </c>
      <c r="J1351" s="17" t="s">
        <v>2779</v>
      </c>
      <c r="K1351" s="18" t="s">
        <v>2780</v>
      </c>
      <c r="L1351" s="20">
        <v>45909.0</v>
      </c>
      <c r="M1351" s="17" t="s">
        <v>28</v>
      </c>
      <c r="N1351" s="17" t="s">
        <v>2461</v>
      </c>
      <c r="O1351" s="17">
        <v>7.74218E7</v>
      </c>
      <c r="P1351" s="17" t="s">
        <v>2462</v>
      </c>
      <c r="Q1351" s="17" t="s">
        <v>112</v>
      </c>
      <c r="R1351" s="17" t="s">
        <v>113</v>
      </c>
      <c r="S1351" s="17" t="s">
        <v>2463</v>
      </c>
      <c r="U1351" s="24"/>
      <c r="V1351" s="24"/>
      <c r="W1351" s="18" t="s">
        <v>638</v>
      </c>
    </row>
    <row r="1352">
      <c r="A1352" s="11"/>
      <c r="B1352" s="12" t="s">
        <v>34</v>
      </c>
      <c r="C1352" s="12" t="s">
        <v>65</v>
      </c>
      <c r="D1352" s="12" t="s">
        <v>43</v>
      </c>
      <c r="E1352" s="12" t="s">
        <v>2451</v>
      </c>
      <c r="F1352" s="13" t="s">
        <v>667</v>
      </c>
      <c r="G1352" s="12" t="s">
        <v>68</v>
      </c>
      <c r="H1352" s="12" t="s">
        <v>668</v>
      </c>
      <c r="I1352" s="12" t="s">
        <v>669</v>
      </c>
      <c r="J1352" s="17" t="s">
        <v>2779</v>
      </c>
      <c r="K1352" s="18" t="s">
        <v>2780</v>
      </c>
      <c r="L1352" s="20">
        <v>45909.0</v>
      </c>
      <c r="M1352" s="17" t="s">
        <v>28</v>
      </c>
      <c r="N1352" s="17" t="s">
        <v>2464</v>
      </c>
      <c r="O1352" s="17">
        <v>4.8215795E7</v>
      </c>
      <c r="P1352" s="17" t="s">
        <v>2465</v>
      </c>
      <c r="Q1352" s="17" t="s">
        <v>112</v>
      </c>
      <c r="R1352" s="17" t="s">
        <v>113</v>
      </c>
      <c r="S1352" s="17" t="s">
        <v>2466</v>
      </c>
      <c r="U1352" s="24"/>
      <c r="V1352" s="24"/>
      <c r="W1352" s="18" t="s">
        <v>638</v>
      </c>
    </row>
    <row r="1353">
      <c r="A1353" s="11"/>
      <c r="B1353" s="12" t="s">
        <v>34</v>
      </c>
      <c r="C1353" s="12" t="s">
        <v>65</v>
      </c>
      <c r="D1353" s="12" t="s">
        <v>43</v>
      </c>
      <c r="E1353" s="12" t="s">
        <v>2451</v>
      </c>
      <c r="F1353" s="13" t="s">
        <v>667</v>
      </c>
      <c r="G1353" s="12" t="s">
        <v>68</v>
      </c>
      <c r="H1353" s="12" t="s">
        <v>668</v>
      </c>
      <c r="I1353" s="12" t="s">
        <v>669</v>
      </c>
      <c r="J1353" s="17" t="s">
        <v>2779</v>
      </c>
      <c r="K1353" s="18" t="s">
        <v>2780</v>
      </c>
      <c r="L1353" s="20">
        <v>45909.0</v>
      </c>
      <c r="M1353" s="17" t="s">
        <v>28</v>
      </c>
      <c r="N1353" s="17" t="s">
        <v>2452</v>
      </c>
      <c r="O1353" s="17">
        <v>3.2303863E7</v>
      </c>
      <c r="P1353" s="17" t="s">
        <v>2453</v>
      </c>
      <c r="Q1353" s="17" t="s">
        <v>108</v>
      </c>
      <c r="R1353" s="17" t="s">
        <v>109</v>
      </c>
      <c r="S1353" s="17" t="s">
        <v>2454</v>
      </c>
      <c r="U1353" s="24"/>
      <c r="V1353" s="24"/>
      <c r="W1353" s="18" t="s">
        <v>638</v>
      </c>
    </row>
    <row r="1354">
      <c r="A1354" s="11"/>
      <c r="B1354" s="12" t="s">
        <v>34</v>
      </c>
      <c r="C1354" s="12" t="s">
        <v>65</v>
      </c>
      <c r="D1354" s="12" t="s">
        <v>43</v>
      </c>
      <c r="E1354" s="12" t="s">
        <v>2451</v>
      </c>
      <c r="F1354" s="13" t="s">
        <v>667</v>
      </c>
      <c r="G1354" s="12" t="s">
        <v>68</v>
      </c>
      <c r="H1354" s="12" t="s">
        <v>668</v>
      </c>
      <c r="I1354" s="12" t="s">
        <v>669</v>
      </c>
      <c r="J1354" s="17" t="s">
        <v>2779</v>
      </c>
      <c r="K1354" s="18" t="s">
        <v>2780</v>
      </c>
      <c r="L1354" s="20">
        <v>45909.0</v>
      </c>
      <c r="M1354" s="17" t="s">
        <v>28</v>
      </c>
      <c r="N1354" s="17" t="s">
        <v>3911</v>
      </c>
      <c r="P1354" s="17" t="s">
        <v>3912</v>
      </c>
      <c r="Q1354" s="17" t="s">
        <v>108</v>
      </c>
      <c r="R1354" s="17" t="s">
        <v>109</v>
      </c>
      <c r="S1354" s="17" t="s">
        <v>3913</v>
      </c>
      <c r="U1354" s="24"/>
      <c r="V1354" s="24"/>
      <c r="W1354" s="18" t="s">
        <v>638</v>
      </c>
    </row>
    <row r="1355">
      <c r="A1355" s="11"/>
      <c r="B1355" s="12" t="s">
        <v>34</v>
      </c>
      <c r="C1355" s="12" t="s">
        <v>65</v>
      </c>
      <c r="D1355" s="12" t="s">
        <v>83</v>
      </c>
      <c r="E1355" s="12" t="s">
        <v>632</v>
      </c>
      <c r="F1355" s="13" t="s">
        <v>633</v>
      </c>
      <c r="G1355" s="12" t="s">
        <v>68</v>
      </c>
      <c r="H1355" s="12" t="s">
        <v>634</v>
      </c>
      <c r="I1355" s="12" t="s">
        <v>635</v>
      </c>
      <c r="J1355" s="17" t="s">
        <v>2783</v>
      </c>
      <c r="K1355" s="18" t="s">
        <v>2784</v>
      </c>
      <c r="L1355" s="20">
        <v>45923.0</v>
      </c>
      <c r="M1355" s="17" t="s">
        <v>28</v>
      </c>
      <c r="N1355" s="112" t="s">
        <v>2430</v>
      </c>
      <c r="O1355" s="17">
        <v>7.2125061E7</v>
      </c>
      <c r="P1355" s="17" t="s">
        <v>2431</v>
      </c>
      <c r="Q1355" s="17" t="s">
        <v>112</v>
      </c>
      <c r="R1355" s="17" t="s">
        <v>2394</v>
      </c>
      <c r="S1355" s="17" t="s">
        <v>2432</v>
      </c>
      <c r="U1355" s="24"/>
      <c r="V1355" s="24"/>
      <c r="W1355" s="18" t="s">
        <v>638</v>
      </c>
    </row>
    <row r="1356">
      <c r="A1356" s="11"/>
      <c r="B1356" s="12" t="s">
        <v>34</v>
      </c>
      <c r="C1356" s="12" t="s">
        <v>65</v>
      </c>
      <c r="D1356" s="12" t="s">
        <v>83</v>
      </c>
      <c r="E1356" s="12" t="s">
        <v>632</v>
      </c>
      <c r="F1356" s="13" t="s">
        <v>633</v>
      </c>
      <c r="G1356" s="12" t="s">
        <v>68</v>
      </c>
      <c r="H1356" s="12" t="s">
        <v>634</v>
      </c>
      <c r="I1356" s="12" t="s">
        <v>635</v>
      </c>
      <c r="J1356" s="17" t="s">
        <v>2783</v>
      </c>
      <c r="K1356" s="18" t="s">
        <v>2784</v>
      </c>
      <c r="L1356" s="20">
        <v>45923.0</v>
      </c>
      <c r="M1356" s="17" t="s">
        <v>28</v>
      </c>
      <c r="N1356" s="17" t="s">
        <v>2421</v>
      </c>
      <c r="O1356" s="17">
        <v>7.1964894E7</v>
      </c>
      <c r="P1356" s="17" t="s">
        <v>2422</v>
      </c>
      <c r="Q1356" s="17" t="s">
        <v>73</v>
      </c>
      <c r="R1356" s="17" t="s">
        <v>2407</v>
      </c>
      <c r="S1356" s="17" t="s">
        <v>2423</v>
      </c>
      <c r="U1356" s="24"/>
      <c r="V1356" s="24"/>
      <c r="W1356" s="18" t="s">
        <v>638</v>
      </c>
    </row>
    <row r="1357">
      <c r="A1357" s="11"/>
      <c r="B1357" s="12" t="s">
        <v>34</v>
      </c>
      <c r="C1357" s="12" t="s">
        <v>65</v>
      </c>
      <c r="D1357" s="12" t="s">
        <v>83</v>
      </c>
      <c r="E1357" s="12" t="s">
        <v>632</v>
      </c>
      <c r="F1357" s="13" t="s">
        <v>633</v>
      </c>
      <c r="G1357" s="12" t="s">
        <v>68</v>
      </c>
      <c r="H1357" s="12" t="s">
        <v>634</v>
      </c>
      <c r="I1357" s="12" t="s">
        <v>635</v>
      </c>
      <c r="J1357" s="17" t="s">
        <v>2783</v>
      </c>
      <c r="K1357" s="18" t="s">
        <v>2784</v>
      </c>
      <c r="L1357" s="20">
        <v>45923.0</v>
      </c>
      <c r="M1357" s="17" t="s">
        <v>28</v>
      </c>
      <c r="N1357" s="17" t="s">
        <v>2402</v>
      </c>
      <c r="P1357" s="17" t="s">
        <v>2403</v>
      </c>
      <c r="Q1357" s="17" t="s">
        <v>112</v>
      </c>
      <c r="R1357" s="17" t="s">
        <v>2394</v>
      </c>
      <c r="S1357" s="17" t="s">
        <v>2404</v>
      </c>
      <c r="U1357" s="24"/>
      <c r="V1357" s="24"/>
      <c r="W1357" s="18" t="s">
        <v>638</v>
      </c>
    </row>
    <row r="1358">
      <c r="A1358" s="11"/>
      <c r="B1358" s="12" t="s">
        <v>34</v>
      </c>
      <c r="C1358" s="12" t="s">
        <v>65</v>
      </c>
      <c r="D1358" s="12" t="s">
        <v>83</v>
      </c>
      <c r="E1358" s="12" t="s">
        <v>632</v>
      </c>
      <c r="F1358" s="13" t="s">
        <v>633</v>
      </c>
      <c r="G1358" s="12" t="s">
        <v>68</v>
      </c>
      <c r="H1358" s="12" t="s">
        <v>634</v>
      </c>
      <c r="I1358" s="12" t="s">
        <v>635</v>
      </c>
      <c r="J1358" s="17" t="s">
        <v>2783</v>
      </c>
      <c r="K1358" s="18" t="s">
        <v>2784</v>
      </c>
      <c r="L1358" s="20">
        <v>45923.0</v>
      </c>
      <c r="M1358" s="17" t="s">
        <v>28</v>
      </c>
      <c r="N1358" s="17" t="s">
        <v>2396</v>
      </c>
      <c r="Q1358" s="2"/>
      <c r="S1358" s="17"/>
      <c r="U1358" s="24"/>
      <c r="V1358" s="24"/>
      <c r="W1358" s="18" t="s">
        <v>638</v>
      </c>
    </row>
    <row r="1359">
      <c r="A1359" s="11"/>
      <c r="B1359" s="12" t="s">
        <v>34</v>
      </c>
      <c r="C1359" s="12" t="s">
        <v>65</v>
      </c>
      <c r="D1359" s="12" t="s">
        <v>83</v>
      </c>
      <c r="E1359" s="12" t="s">
        <v>632</v>
      </c>
      <c r="F1359" s="13" t="s">
        <v>633</v>
      </c>
      <c r="G1359" s="12" t="s">
        <v>68</v>
      </c>
      <c r="H1359" s="12" t="s">
        <v>634</v>
      </c>
      <c r="I1359" s="12" t="s">
        <v>635</v>
      </c>
      <c r="J1359" s="17" t="s">
        <v>2783</v>
      </c>
      <c r="K1359" s="18" t="s">
        <v>2784</v>
      </c>
      <c r="L1359" s="20">
        <v>45923.0</v>
      </c>
      <c r="M1359" s="17" t="s">
        <v>28</v>
      </c>
      <c r="N1359" s="17" t="s">
        <v>2415</v>
      </c>
      <c r="O1359" s="17">
        <v>4.346857E7</v>
      </c>
      <c r="P1359" s="17" t="s">
        <v>2416</v>
      </c>
      <c r="Q1359" s="17" t="s">
        <v>112</v>
      </c>
      <c r="R1359" s="17" t="s">
        <v>2394</v>
      </c>
      <c r="S1359" s="17" t="s">
        <v>2417</v>
      </c>
      <c r="U1359" s="24"/>
      <c r="V1359" s="24"/>
      <c r="W1359" s="18" t="s">
        <v>638</v>
      </c>
    </row>
    <row r="1360">
      <c r="A1360" s="11"/>
      <c r="B1360" s="12" t="s">
        <v>34</v>
      </c>
      <c r="C1360" s="12" t="s">
        <v>65</v>
      </c>
      <c r="D1360" s="12" t="s">
        <v>83</v>
      </c>
      <c r="E1360" s="12" t="s">
        <v>632</v>
      </c>
      <c r="F1360" s="13" t="s">
        <v>633</v>
      </c>
      <c r="G1360" s="12" t="s">
        <v>68</v>
      </c>
      <c r="H1360" s="12" t="s">
        <v>634</v>
      </c>
      <c r="I1360" s="12" t="s">
        <v>635</v>
      </c>
      <c r="J1360" s="17" t="s">
        <v>2783</v>
      </c>
      <c r="K1360" s="18" t="s">
        <v>2784</v>
      </c>
      <c r="L1360" s="20">
        <v>45923.0</v>
      </c>
      <c r="M1360" s="17" t="s">
        <v>28</v>
      </c>
      <c r="N1360" s="17" t="s">
        <v>2398</v>
      </c>
      <c r="P1360" s="17" t="s">
        <v>2399</v>
      </c>
      <c r="Q1360" s="17" t="s">
        <v>108</v>
      </c>
      <c r="R1360" s="17" t="s">
        <v>2400</v>
      </c>
      <c r="S1360" s="17" t="s">
        <v>2401</v>
      </c>
      <c r="U1360" s="24"/>
      <c r="V1360" s="24"/>
      <c r="W1360" s="18" t="s">
        <v>638</v>
      </c>
    </row>
    <row r="1361">
      <c r="A1361" s="11"/>
      <c r="B1361" s="12" t="s">
        <v>34</v>
      </c>
      <c r="C1361" s="12" t="s">
        <v>65</v>
      </c>
      <c r="D1361" s="12" t="s">
        <v>83</v>
      </c>
      <c r="E1361" s="12" t="s">
        <v>632</v>
      </c>
      <c r="F1361" s="13" t="s">
        <v>633</v>
      </c>
      <c r="G1361" s="12" t="s">
        <v>68</v>
      </c>
      <c r="H1361" s="12" t="s">
        <v>634</v>
      </c>
      <c r="I1361" s="12" t="s">
        <v>635</v>
      </c>
      <c r="J1361" s="17" t="s">
        <v>2783</v>
      </c>
      <c r="K1361" s="18" t="s">
        <v>2784</v>
      </c>
      <c r="L1361" s="20">
        <v>45923.0</v>
      </c>
      <c r="M1361" s="17" t="s">
        <v>28</v>
      </c>
      <c r="N1361" s="17" t="s">
        <v>2409</v>
      </c>
      <c r="P1361" s="17" t="s">
        <v>2410</v>
      </c>
      <c r="Q1361" s="17" t="s">
        <v>108</v>
      </c>
      <c r="R1361" s="17" t="s">
        <v>2400</v>
      </c>
      <c r="S1361" s="17" t="s">
        <v>2411</v>
      </c>
      <c r="U1361" s="24"/>
      <c r="V1361" s="24"/>
      <c r="W1361" s="18" t="s">
        <v>638</v>
      </c>
    </row>
    <row r="1362">
      <c r="A1362" s="11"/>
      <c r="B1362" s="12" t="s">
        <v>34</v>
      </c>
      <c r="C1362" s="12" t="s">
        <v>65</v>
      </c>
      <c r="D1362" s="12" t="s">
        <v>83</v>
      </c>
      <c r="E1362" s="12" t="s">
        <v>632</v>
      </c>
      <c r="F1362" s="13" t="s">
        <v>633</v>
      </c>
      <c r="G1362" s="12" t="s">
        <v>68</v>
      </c>
      <c r="H1362" s="12" t="s">
        <v>634</v>
      </c>
      <c r="I1362" s="12" t="s">
        <v>635</v>
      </c>
      <c r="J1362" s="17" t="s">
        <v>2783</v>
      </c>
      <c r="K1362" s="18" t="s">
        <v>2784</v>
      </c>
      <c r="L1362" s="20">
        <v>45923.0</v>
      </c>
      <c r="M1362" s="17" t="s">
        <v>28</v>
      </c>
      <c r="N1362" s="17" t="s">
        <v>2418</v>
      </c>
      <c r="P1362" s="17" t="s">
        <v>2419</v>
      </c>
      <c r="Q1362" s="17" t="s">
        <v>112</v>
      </c>
      <c r="R1362" s="17" t="s">
        <v>2394</v>
      </c>
      <c r="S1362" s="17" t="s">
        <v>2420</v>
      </c>
      <c r="U1362" s="24"/>
      <c r="V1362" s="24"/>
      <c r="W1362" s="18" t="s">
        <v>638</v>
      </c>
    </row>
    <row r="1363">
      <c r="A1363" s="11"/>
      <c r="B1363" s="12" t="s">
        <v>34</v>
      </c>
      <c r="C1363" s="12" t="s">
        <v>65</v>
      </c>
      <c r="D1363" s="12" t="s">
        <v>83</v>
      </c>
      <c r="E1363" s="12" t="s">
        <v>632</v>
      </c>
      <c r="F1363" s="13" t="s">
        <v>633</v>
      </c>
      <c r="G1363" s="12" t="s">
        <v>68</v>
      </c>
      <c r="H1363" s="12" t="s">
        <v>634</v>
      </c>
      <c r="I1363" s="12" t="s">
        <v>635</v>
      </c>
      <c r="J1363" s="17" t="s">
        <v>2783</v>
      </c>
      <c r="K1363" s="18" t="s">
        <v>2784</v>
      </c>
      <c r="L1363" s="20">
        <v>45923.0</v>
      </c>
      <c r="M1363" s="17" t="s">
        <v>28</v>
      </c>
      <c r="N1363" s="17" t="s">
        <v>3896</v>
      </c>
      <c r="Q1363" s="2"/>
      <c r="S1363" s="17"/>
      <c r="U1363" s="24"/>
      <c r="V1363" s="24"/>
      <c r="W1363" s="18" t="s">
        <v>638</v>
      </c>
    </row>
    <row r="1364">
      <c r="A1364" s="11"/>
      <c r="B1364" s="12" t="s">
        <v>34</v>
      </c>
      <c r="C1364" s="12" t="s">
        <v>65</v>
      </c>
      <c r="D1364" s="12" t="s">
        <v>83</v>
      </c>
      <c r="E1364" s="12" t="s">
        <v>632</v>
      </c>
      <c r="F1364" s="13" t="s">
        <v>633</v>
      </c>
      <c r="G1364" s="12" t="s">
        <v>68</v>
      </c>
      <c r="H1364" s="12" t="s">
        <v>634</v>
      </c>
      <c r="I1364" s="12" t="s">
        <v>635</v>
      </c>
      <c r="J1364" s="17" t="s">
        <v>2783</v>
      </c>
      <c r="K1364" s="18" t="s">
        <v>2784</v>
      </c>
      <c r="L1364" s="20">
        <v>45923.0</v>
      </c>
      <c r="M1364" s="17" t="s">
        <v>28</v>
      </c>
      <c r="N1364" s="17" t="s">
        <v>2433</v>
      </c>
      <c r="O1364" s="17">
        <v>4.6467472E7</v>
      </c>
      <c r="P1364" s="17" t="s">
        <v>2434</v>
      </c>
      <c r="Q1364" s="17" t="s">
        <v>112</v>
      </c>
      <c r="R1364" s="17" t="s">
        <v>2394</v>
      </c>
      <c r="S1364" s="17" t="s">
        <v>2435</v>
      </c>
      <c r="U1364" s="24"/>
      <c r="V1364" s="24"/>
      <c r="W1364" s="18" t="s">
        <v>638</v>
      </c>
    </row>
    <row r="1365">
      <c r="A1365" s="11"/>
      <c r="B1365" s="12" t="s">
        <v>34</v>
      </c>
      <c r="C1365" s="12" t="s">
        <v>65</v>
      </c>
      <c r="D1365" s="12" t="s">
        <v>83</v>
      </c>
      <c r="E1365" s="12" t="s">
        <v>632</v>
      </c>
      <c r="F1365" s="13" t="s">
        <v>633</v>
      </c>
      <c r="G1365" s="12" t="s">
        <v>68</v>
      </c>
      <c r="H1365" s="12" t="s">
        <v>634</v>
      </c>
      <c r="I1365" s="12" t="s">
        <v>635</v>
      </c>
      <c r="J1365" s="17" t="s">
        <v>2783</v>
      </c>
      <c r="K1365" s="18" t="s">
        <v>2784</v>
      </c>
      <c r="L1365" s="20">
        <v>45923.0</v>
      </c>
      <c r="M1365" s="17" t="s">
        <v>28</v>
      </c>
      <c r="N1365" s="17" t="s">
        <v>2445</v>
      </c>
      <c r="O1365" s="17">
        <v>7.2114988E7</v>
      </c>
      <c r="P1365" s="17" t="s">
        <v>2446</v>
      </c>
      <c r="Q1365" s="17" t="s">
        <v>112</v>
      </c>
      <c r="R1365" s="17" t="s">
        <v>2394</v>
      </c>
      <c r="S1365" s="17" t="s">
        <v>2447</v>
      </c>
      <c r="U1365" s="24"/>
      <c r="V1365" s="24"/>
      <c r="W1365" s="18" t="s">
        <v>638</v>
      </c>
    </row>
    <row r="1366">
      <c r="A1366" s="11"/>
      <c r="B1366" s="12" t="s">
        <v>34</v>
      </c>
      <c r="C1366" s="12" t="s">
        <v>65</v>
      </c>
      <c r="D1366" s="12" t="s">
        <v>83</v>
      </c>
      <c r="E1366" s="12" t="s">
        <v>632</v>
      </c>
      <c r="F1366" s="13" t="s">
        <v>633</v>
      </c>
      <c r="G1366" s="12" t="s">
        <v>68</v>
      </c>
      <c r="H1366" s="12" t="s">
        <v>634</v>
      </c>
      <c r="I1366" s="12" t="s">
        <v>635</v>
      </c>
      <c r="J1366" s="17" t="s">
        <v>2783</v>
      </c>
      <c r="K1366" s="18" t="s">
        <v>2784</v>
      </c>
      <c r="L1366" s="20">
        <v>45923.0</v>
      </c>
      <c r="M1366" s="17" t="s">
        <v>28</v>
      </c>
      <c r="N1366" s="17" t="s">
        <v>3897</v>
      </c>
      <c r="O1366" s="17">
        <v>3.23376193E8</v>
      </c>
      <c r="P1366" s="17" t="s">
        <v>2419</v>
      </c>
      <c r="Q1366" s="17" t="s">
        <v>112</v>
      </c>
      <c r="R1366" s="17" t="s">
        <v>2394</v>
      </c>
      <c r="S1366" s="17" t="s">
        <v>2420</v>
      </c>
      <c r="U1366" s="24"/>
      <c r="V1366" s="24"/>
      <c r="W1366" s="18" t="s">
        <v>638</v>
      </c>
    </row>
    <row r="1367">
      <c r="A1367" s="11"/>
      <c r="B1367" s="12" t="s">
        <v>34</v>
      </c>
      <c r="C1367" s="12" t="s">
        <v>65</v>
      </c>
      <c r="D1367" s="12" t="s">
        <v>83</v>
      </c>
      <c r="E1367" s="12" t="s">
        <v>632</v>
      </c>
      <c r="F1367" s="13" t="s">
        <v>633</v>
      </c>
      <c r="G1367" s="12" t="s">
        <v>68</v>
      </c>
      <c r="H1367" s="12" t="s">
        <v>634</v>
      </c>
      <c r="I1367" s="12" t="s">
        <v>635</v>
      </c>
      <c r="J1367" s="17" t="s">
        <v>2783</v>
      </c>
      <c r="K1367" s="18" t="s">
        <v>2784</v>
      </c>
      <c r="L1367" s="20">
        <v>45923.0</v>
      </c>
      <c r="M1367" s="17" t="s">
        <v>28</v>
      </c>
      <c r="N1367" s="17" t="s">
        <v>2436</v>
      </c>
      <c r="O1367" s="17">
        <v>7.2106666E7</v>
      </c>
      <c r="P1367" s="17" t="s">
        <v>2437</v>
      </c>
      <c r="Q1367" s="17" t="s">
        <v>112</v>
      </c>
      <c r="R1367" s="17" t="s">
        <v>2394</v>
      </c>
      <c r="S1367" s="17" t="s">
        <v>2438</v>
      </c>
      <c r="U1367" s="24"/>
      <c r="V1367" s="24"/>
      <c r="W1367" s="18" t="s">
        <v>638</v>
      </c>
    </row>
    <row r="1368">
      <c r="A1368" s="11"/>
      <c r="B1368" s="12" t="s">
        <v>34</v>
      </c>
      <c r="C1368" s="12" t="s">
        <v>65</v>
      </c>
      <c r="D1368" s="12" t="s">
        <v>83</v>
      </c>
      <c r="E1368" s="12" t="s">
        <v>632</v>
      </c>
      <c r="F1368" s="13" t="s">
        <v>633</v>
      </c>
      <c r="G1368" s="12" t="s">
        <v>68</v>
      </c>
      <c r="H1368" s="12" t="s">
        <v>634</v>
      </c>
      <c r="I1368" s="12" t="s">
        <v>635</v>
      </c>
      <c r="J1368" s="17" t="s">
        <v>2783</v>
      </c>
      <c r="K1368" s="18" t="s">
        <v>2784</v>
      </c>
      <c r="L1368" s="20">
        <v>45923.0</v>
      </c>
      <c r="M1368" s="17" t="s">
        <v>28</v>
      </c>
      <c r="N1368" s="17" t="s">
        <v>3898</v>
      </c>
      <c r="O1368" s="17">
        <v>6.229274E7</v>
      </c>
      <c r="P1368" s="17" t="s">
        <v>3899</v>
      </c>
      <c r="Q1368" s="17" t="s">
        <v>112</v>
      </c>
      <c r="R1368" s="17" t="s">
        <v>2394</v>
      </c>
      <c r="S1368" s="17" t="s">
        <v>3900</v>
      </c>
      <c r="U1368" s="24"/>
      <c r="V1368" s="24"/>
      <c r="W1368" s="18" t="s">
        <v>638</v>
      </c>
    </row>
    <row r="1369">
      <c r="A1369" s="11"/>
      <c r="B1369" s="12" t="s">
        <v>34</v>
      </c>
      <c r="C1369" s="12" t="s">
        <v>65</v>
      </c>
      <c r="D1369" s="12" t="s">
        <v>83</v>
      </c>
      <c r="E1369" s="12" t="s">
        <v>632</v>
      </c>
      <c r="F1369" s="13" t="s">
        <v>633</v>
      </c>
      <c r="G1369" s="12" t="s">
        <v>68</v>
      </c>
      <c r="H1369" s="12" t="s">
        <v>634</v>
      </c>
      <c r="I1369" s="12" t="s">
        <v>635</v>
      </c>
      <c r="J1369" s="17" t="s">
        <v>2783</v>
      </c>
      <c r="K1369" s="18" t="s">
        <v>2784</v>
      </c>
      <c r="L1369" s="20">
        <v>45923.0</v>
      </c>
      <c r="M1369" s="17" t="s">
        <v>28</v>
      </c>
      <c r="N1369" s="17" t="s">
        <v>2439</v>
      </c>
      <c r="O1369" s="17">
        <v>7.5839065E7</v>
      </c>
      <c r="P1369" s="17" t="s">
        <v>2440</v>
      </c>
      <c r="Q1369" s="17" t="s">
        <v>112</v>
      </c>
      <c r="R1369" s="17" t="s">
        <v>2394</v>
      </c>
      <c r="S1369" s="17" t="s">
        <v>2441</v>
      </c>
      <c r="U1369" s="24"/>
      <c r="V1369" s="24"/>
      <c r="W1369" s="18" t="s">
        <v>638</v>
      </c>
    </row>
    <row r="1370">
      <c r="A1370" s="11"/>
      <c r="B1370" s="12" t="s">
        <v>34</v>
      </c>
      <c r="C1370" s="12" t="s">
        <v>65</v>
      </c>
      <c r="D1370" s="12" t="s">
        <v>83</v>
      </c>
      <c r="E1370" s="12" t="s">
        <v>632</v>
      </c>
      <c r="F1370" s="13" t="s">
        <v>633</v>
      </c>
      <c r="G1370" s="12" t="s">
        <v>68</v>
      </c>
      <c r="H1370" s="12" t="s">
        <v>634</v>
      </c>
      <c r="I1370" s="12" t="s">
        <v>635</v>
      </c>
      <c r="J1370" s="17" t="s">
        <v>2783</v>
      </c>
      <c r="K1370" s="18" t="s">
        <v>2784</v>
      </c>
      <c r="L1370" s="20">
        <v>45923.0</v>
      </c>
      <c r="M1370" s="17" t="s">
        <v>28</v>
      </c>
      <c r="N1370" s="17" t="s">
        <v>3901</v>
      </c>
      <c r="P1370" s="17" t="s">
        <v>2425</v>
      </c>
      <c r="Q1370" s="17" t="s">
        <v>108</v>
      </c>
      <c r="R1370" s="17" t="s">
        <v>2400</v>
      </c>
      <c r="S1370" s="17" t="s">
        <v>2426</v>
      </c>
      <c r="U1370" s="24"/>
      <c r="V1370" s="24"/>
      <c r="W1370" s="18" t="s">
        <v>638</v>
      </c>
    </row>
    <row r="1371">
      <c r="A1371" s="11"/>
      <c r="B1371" s="12" t="s">
        <v>34</v>
      </c>
      <c r="C1371" s="12" t="s">
        <v>65</v>
      </c>
      <c r="D1371" s="12" t="s">
        <v>83</v>
      </c>
      <c r="E1371" s="12" t="s">
        <v>632</v>
      </c>
      <c r="F1371" s="13" t="s">
        <v>633</v>
      </c>
      <c r="G1371" s="12" t="s">
        <v>68</v>
      </c>
      <c r="H1371" s="12" t="s">
        <v>634</v>
      </c>
      <c r="I1371" s="12" t="s">
        <v>635</v>
      </c>
      <c r="J1371" s="17" t="s">
        <v>2783</v>
      </c>
      <c r="K1371" s="18" t="s">
        <v>2784</v>
      </c>
      <c r="L1371" s="20">
        <v>45923.0</v>
      </c>
      <c r="M1371" s="17" t="s">
        <v>28</v>
      </c>
      <c r="N1371" s="17" t="s">
        <v>2392</v>
      </c>
      <c r="P1371" s="17" t="s">
        <v>2393</v>
      </c>
      <c r="Q1371" s="17" t="s">
        <v>112</v>
      </c>
      <c r="R1371" s="17" t="s">
        <v>2394</v>
      </c>
      <c r="S1371" s="17" t="s">
        <v>2395</v>
      </c>
      <c r="U1371" s="24"/>
      <c r="V1371" s="24"/>
      <c r="W1371" s="18" t="s">
        <v>638</v>
      </c>
    </row>
    <row r="1372">
      <c r="A1372" s="11"/>
      <c r="B1372" s="12" t="s">
        <v>34</v>
      </c>
      <c r="C1372" s="12" t="s">
        <v>65</v>
      </c>
      <c r="D1372" s="12" t="s">
        <v>83</v>
      </c>
      <c r="E1372" s="12" t="s">
        <v>632</v>
      </c>
      <c r="F1372" s="13" t="s">
        <v>633</v>
      </c>
      <c r="G1372" s="12" t="s">
        <v>68</v>
      </c>
      <c r="H1372" s="12" t="s">
        <v>634</v>
      </c>
      <c r="I1372" s="12" t="s">
        <v>635</v>
      </c>
      <c r="J1372" s="17" t="s">
        <v>2783</v>
      </c>
      <c r="K1372" s="18" t="s">
        <v>2784</v>
      </c>
      <c r="L1372" s="20">
        <v>45923.0</v>
      </c>
      <c r="M1372" s="17" t="s">
        <v>28</v>
      </c>
      <c r="N1372" s="17" t="s">
        <v>2448</v>
      </c>
      <c r="O1372" s="17">
        <v>7.3515438E7</v>
      </c>
      <c r="P1372" s="17" t="s">
        <v>2449</v>
      </c>
      <c r="Q1372" s="17" t="s">
        <v>112</v>
      </c>
      <c r="R1372" s="17" t="s">
        <v>2394</v>
      </c>
      <c r="S1372" s="17" t="s">
        <v>2450</v>
      </c>
      <c r="U1372" s="24"/>
      <c r="V1372" s="24"/>
      <c r="W1372" s="18" t="s">
        <v>638</v>
      </c>
    </row>
    <row r="1373">
      <c r="A1373" s="11"/>
      <c r="B1373" s="12" t="s">
        <v>34</v>
      </c>
      <c r="C1373" s="12" t="s">
        <v>65</v>
      </c>
      <c r="D1373" s="12" t="s">
        <v>83</v>
      </c>
      <c r="E1373" s="12" t="s">
        <v>632</v>
      </c>
      <c r="F1373" s="13" t="s">
        <v>633</v>
      </c>
      <c r="G1373" s="12" t="s">
        <v>68</v>
      </c>
      <c r="H1373" s="12" t="s">
        <v>634</v>
      </c>
      <c r="I1373" s="12" t="s">
        <v>635</v>
      </c>
      <c r="J1373" s="17" t="s">
        <v>2783</v>
      </c>
      <c r="K1373" s="18" t="s">
        <v>2784</v>
      </c>
      <c r="L1373" s="20">
        <v>45923.0</v>
      </c>
      <c r="M1373" s="17" t="s">
        <v>28</v>
      </c>
      <c r="N1373" s="17" t="s">
        <v>2424</v>
      </c>
      <c r="P1373" s="17" t="s">
        <v>2425</v>
      </c>
      <c r="Q1373" s="17" t="s">
        <v>108</v>
      </c>
      <c r="R1373" s="17" t="s">
        <v>2400</v>
      </c>
      <c r="S1373" s="17" t="s">
        <v>2426</v>
      </c>
      <c r="U1373" s="24"/>
      <c r="V1373" s="24"/>
      <c r="W1373" s="18" t="s">
        <v>638</v>
      </c>
    </row>
    <row r="1374">
      <c r="A1374" s="11"/>
      <c r="B1374" s="12" t="s">
        <v>34</v>
      </c>
      <c r="C1374" s="12" t="s">
        <v>65</v>
      </c>
      <c r="D1374" s="12" t="s">
        <v>43</v>
      </c>
      <c r="E1374" s="12" t="s">
        <v>2451</v>
      </c>
      <c r="F1374" s="13" t="s">
        <v>667</v>
      </c>
      <c r="G1374" s="12" t="s">
        <v>68</v>
      </c>
      <c r="H1374" s="12" t="s">
        <v>668</v>
      </c>
      <c r="I1374" s="12" t="s">
        <v>669</v>
      </c>
      <c r="J1374" s="17" t="s">
        <v>2783</v>
      </c>
      <c r="K1374" s="18" t="s">
        <v>2784</v>
      </c>
      <c r="L1374" s="20">
        <v>45923.0</v>
      </c>
      <c r="M1374" s="17" t="s">
        <v>28</v>
      </c>
      <c r="N1374" s="17" t="s">
        <v>2476</v>
      </c>
      <c r="O1374" s="17">
        <v>7.2568623E7</v>
      </c>
      <c r="P1374" s="17" t="s">
        <v>2477</v>
      </c>
      <c r="Q1374" s="17" t="s">
        <v>73</v>
      </c>
      <c r="R1374" s="17" t="s">
        <v>74</v>
      </c>
      <c r="S1374" s="17" t="s">
        <v>2478</v>
      </c>
      <c r="U1374" s="24"/>
      <c r="V1374" s="24"/>
      <c r="W1374" s="18" t="s">
        <v>638</v>
      </c>
    </row>
    <row r="1375">
      <c r="A1375" s="11"/>
      <c r="B1375" s="12" t="s">
        <v>34</v>
      </c>
      <c r="C1375" s="12" t="s">
        <v>65</v>
      </c>
      <c r="D1375" s="12" t="s">
        <v>43</v>
      </c>
      <c r="E1375" s="12" t="s">
        <v>2451</v>
      </c>
      <c r="F1375" s="13" t="s">
        <v>667</v>
      </c>
      <c r="G1375" s="12" t="s">
        <v>68</v>
      </c>
      <c r="H1375" s="12" t="s">
        <v>668</v>
      </c>
      <c r="I1375" s="12" t="s">
        <v>669</v>
      </c>
      <c r="J1375" s="17" t="s">
        <v>2783</v>
      </c>
      <c r="K1375" s="18" t="s">
        <v>2784</v>
      </c>
      <c r="L1375" s="20">
        <v>45923.0</v>
      </c>
      <c r="M1375" s="17" t="s">
        <v>28</v>
      </c>
      <c r="N1375" s="17" t="s">
        <v>3902</v>
      </c>
      <c r="O1375" s="17">
        <v>4.4545098E7</v>
      </c>
      <c r="P1375" s="17" t="s">
        <v>2480</v>
      </c>
      <c r="Q1375" s="17" t="s">
        <v>112</v>
      </c>
      <c r="R1375" s="17" t="s">
        <v>113</v>
      </c>
      <c r="S1375" s="17" t="s">
        <v>2481</v>
      </c>
      <c r="U1375" s="24"/>
      <c r="V1375" s="24"/>
      <c r="W1375" s="18" t="s">
        <v>638</v>
      </c>
    </row>
    <row r="1376">
      <c r="A1376" s="11"/>
      <c r="B1376" s="12" t="s">
        <v>34</v>
      </c>
      <c r="C1376" s="12" t="s">
        <v>65</v>
      </c>
      <c r="D1376" s="12" t="s">
        <v>43</v>
      </c>
      <c r="E1376" s="12" t="s">
        <v>2451</v>
      </c>
      <c r="F1376" s="13" t="s">
        <v>667</v>
      </c>
      <c r="G1376" s="12" t="s">
        <v>68</v>
      </c>
      <c r="H1376" s="12" t="s">
        <v>668</v>
      </c>
      <c r="I1376" s="12" t="s">
        <v>669</v>
      </c>
      <c r="J1376" s="17" t="s">
        <v>2783</v>
      </c>
      <c r="K1376" s="18" t="s">
        <v>2784</v>
      </c>
      <c r="L1376" s="20">
        <v>45923.0</v>
      </c>
      <c r="M1376" s="17" t="s">
        <v>28</v>
      </c>
      <c r="N1376" s="17" t="s">
        <v>2482</v>
      </c>
      <c r="O1376" s="17">
        <v>7.3244474E7</v>
      </c>
      <c r="Q1376" s="17" t="s">
        <v>108</v>
      </c>
      <c r="R1376" s="17" t="s">
        <v>109</v>
      </c>
      <c r="S1376" s="17" t="s">
        <v>2198</v>
      </c>
      <c r="U1376" s="24"/>
      <c r="V1376" s="24"/>
      <c r="W1376" s="18" t="s">
        <v>638</v>
      </c>
    </row>
    <row r="1377">
      <c r="A1377" s="11"/>
      <c r="B1377" s="12" t="s">
        <v>34</v>
      </c>
      <c r="C1377" s="12" t="s">
        <v>65</v>
      </c>
      <c r="D1377" s="12" t="s">
        <v>43</v>
      </c>
      <c r="E1377" s="12" t="s">
        <v>2451</v>
      </c>
      <c r="F1377" s="13" t="s">
        <v>667</v>
      </c>
      <c r="G1377" s="12" t="s">
        <v>68</v>
      </c>
      <c r="H1377" s="12" t="s">
        <v>668</v>
      </c>
      <c r="I1377" s="12" t="s">
        <v>669</v>
      </c>
      <c r="J1377" s="17" t="s">
        <v>2783</v>
      </c>
      <c r="K1377" s="18" t="s">
        <v>2784</v>
      </c>
      <c r="L1377" s="20">
        <v>45923.0</v>
      </c>
      <c r="M1377" s="17" t="s">
        <v>28</v>
      </c>
      <c r="N1377" s="17" t="s">
        <v>2455</v>
      </c>
      <c r="P1377" s="17" t="s">
        <v>2456</v>
      </c>
      <c r="Q1377" s="17" t="s">
        <v>73</v>
      </c>
      <c r="R1377" s="17" t="s">
        <v>74</v>
      </c>
      <c r="S1377" s="17" t="s">
        <v>2457</v>
      </c>
      <c r="U1377" s="24"/>
      <c r="V1377" s="24"/>
      <c r="W1377" s="18" t="s">
        <v>638</v>
      </c>
    </row>
    <row r="1378">
      <c r="A1378" s="11"/>
      <c r="B1378" s="12" t="s">
        <v>34</v>
      </c>
      <c r="C1378" s="12" t="s">
        <v>65</v>
      </c>
      <c r="D1378" s="12" t="s">
        <v>43</v>
      </c>
      <c r="E1378" s="12" t="s">
        <v>2451</v>
      </c>
      <c r="F1378" s="13" t="s">
        <v>667</v>
      </c>
      <c r="G1378" s="12" t="s">
        <v>68</v>
      </c>
      <c r="H1378" s="12" t="s">
        <v>668</v>
      </c>
      <c r="I1378" s="12" t="s">
        <v>669</v>
      </c>
      <c r="J1378" s="17" t="s">
        <v>2783</v>
      </c>
      <c r="K1378" s="18" t="s">
        <v>2784</v>
      </c>
      <c r="L1378" s="20">
        <v>45923.0</v>
      </c>
      <c r="M1378" s="17" t="s">
        <v>28</v>
      </c>
      <c r="N1378" s="17" t="s">
        <v>3903</v>
      </c>
      <c r="O1378" s="17">
        <v>7.2113549E7</v>
      </c>
      <c r="P1378" s="17" t="s">
        <v>3904</v>
      </c>
      <c r="Q1378" s="17" t="s">
        <v>73</v>
      </c>
      <c r="R1378" s="17" t="s">
        <v>74</v>
      </c>
      <c r="S1378" s="17" t="s">
        <v>3905</v>
      </c>
      <c r="U1378" s="24"/>
      <c r="V1378" s="24"/>
      <c r="W1378" s="18" t="s">
        <v>638</v>
      </c>
    </row>
    <row r="1379">
      <c r="A1379" s="11"/>
      <c r="B1379" s="12" t="s">
        <v>34</v>
      </c>
      <c r="C1379" s="12" t="s">
        <v>65</v>
      </c>
      <c r="D1379" s="12" t="s">
        <v>43</v>
      </c>
      <c r="E1379" s="12" t="s">
        <v>2451</v>
      </c>
      <c r="F1379" s="13" t="s">
        <v>667</v>
      </c>
      <c r="G1379" s="12" t="s">
        <v>68</v>
      </c>
      <c r="H1379" s="12" t="s">
        <v>668</v>
      </c>
      <c r="I1379" s="12" t="s">
        <v>669</v>
      </c>
      <c r="J1379" s="17" t="s">
        <v>2783</v>
      </c>
      <c r="K1379" s="18" t="s">
        <v>2784</v>
      </c>
      <c r="L1379" s="20">
        <v>45923.0</v>
      </c>
      <c r="M1379" s="17" t="s">
        <v>28</v>
      </c>
      <c r="N1379" s="17" t="s">
        <v>2473</v>
      </c>
      <c r="O1379" s="17">
        <v>4.6444885E7</v>
      </c>
      <c r="P1379" s="17" t="s">
        <v>2474</v>
      </c>
      <c r="Q1379" s="17" t="s">
        <v>112</v>
      </c>
      <c r="R1379" s="17" t="s">
        <v>113</v>
      </c>
      <c r="S1379" s="17" t="s">
        <v>2475</v>
      </c>
      <c r="U1379" s="24"/>
      <c r="V1379" s="24"/>
      <c r="W1379" s="18" t="s">
        <v>638</v>
      </c>
    </row>
    <row r="1380">
      <c r="A1380" s="11"/>
      <c r="B1380" s="12" t="s">
        <v>34</v>
      </c>
      <c r="C1380" s="12" t="s">
        <v>65</v>
      </c>
      <c r="D1380" s="12" t="s">
        <v>43</v>
      </c>
      <c r="E1380" s="12" t="s">
        <v>2451</v>
      </c>
      <c r="F1380" s="13" t="s">
        <v>667</v>
      </c>
      <c r="G1380" s="12" t="s">
        <v>68</v>
      </c>
      <c r="H1380" s="12" t="s">
        <v>668</v>
      </c>
      <c r="I1380" s="12" t="s">
        <v>669</v>
      </c>
      <c r="J1380" s="17" t="s">
        <v>2783</v>
      </c>
      <c r="K1380" s="18" t="s">
        <v>2784</v>
      </c>
      <c r="L1380" s="20">
        <v>45923.0</v>
      </c>
      <c r="M1380" s="17" t="s">
        <v>28</v>
      </c>
      <c r="N1380" s="17" t="s">
        <v>2467</v>
      </c>
      <c r="O1380" s="17">
        <v>4.7328558E7</v>
      </c>
      <c r="P1380" s="17" t="s">
        <v>3906</v>
      </c>
      <c r="Q1380" s="17" t="s">
        <v>73</v>
      </c>
      <c r="R1380" s="17" t="s">
        <v>74</v>
      </c>
      <c r="S1380" s="17" t="s">
        <v>2469</v>
      </c>
      <c r="U1380" s="24"/>
      <c r="V1380" s="24"/>
      <c r="W1380" s="18" t="s">
        <v>638</v>
      </c>
    </row>
    <row r="1381">
      <c r="A1381" s="11"/>
      <c r="B1381" s="12" t="s">
        <v>34</v>
      </c>
      <c r="C1381" s="12" t="s">
        <v>65</v>
      </c>
      <c r="D1381" s="12" t="s">
        <v>43</v>
      </c>
      <c r="E1381" s="12" t="s">
        <v>2451</v>
      </c>
      <c r="F1381" s="13" t="s">
        <v>667</v>
      </c>
      <c r="G1381" s="12" t="s">
        <v>68</v>
      </c>
      <c r="H1381" s="12" t="s">
        <v>668</v>
      </c>
      <c r="I1381" s="12" t="s">
        <v>669</v>
      </c>
      <c r="J1381" s="17" t="s">
        <v>2783</v>
      </c>
      <c r="K1381" s="18" t="s">
        <v>2784</v>
      </c>
      <c r="L1381" s="20">
        <v>45923.0</v>
      </c>
      <c r="M1381" s="17" t="s">
        <v>28</v>
      </c>
      <c r="N1381" s="17" t="s">
        <v>3907</v>
      </c>
      <c r="P1381" s="17" t="s">
        <v>2465</v>
      </c>
      <c r="Q1381" s="17" t="s">
        <v>112</v>
      </c>
      <c r="R1381" s="17" t="s">
        <v>113</v>
      </c>
      <c r="S1381" s="17" t="s">
        <v>2466</v>
      </c>
      <c r="U1381" s="24"/>
      <c r="V1381" s="24"/>
      <c r="W1381" s="18" t="s">
        <v>638</v>
      </c>
    </row>
    <row r="1382">
      <c r="A1382" s="11"/>
      <c r="B1382" s="12" t="s">
        <v>34</v>
      </c>
      <c r="C1382" s="12" t="s">
        <v>65</v>
      </c>
      <c r="D1382" s="12" t="s">
        <v>43</v>
      </c>
      <c r="E1382" s="12" t="s">
        <v>2451</v>
      </c>
      <c r="F1382" s="13" t="s">
        <v>667</v>
      </c>
      <c r="G1382" s="12" t="s">
        <v>68</v>
      </c>
      <c r="H1382" s="12" t="s">
        <v>668</v>
      </c>
      <c r="I1382" s="12" t="s">
        <v>669</v>
      </c>
      <c r="J1382" s="17" t="s">
        <v>2783</v>
      </c>
      <c r="K1382" s="18" t="s">
        <v>2784</v>
      </c>
      <c r="L1382" s="20">
        <v>45923.0</v>
      </c>
      <c r="M1382" s="17" t="s">
        <v>28</v>
      </c>
      <c r="N1382" s="17" t="s">
        <v>3908</v>
      </c>
      <c r="O1382" s="17">
        <v>7.2737101E7</v>
      </c>
      <c r="P1382" s="17" t="s">
        <v>3909</v>
      </c>
      <c r="Q1382" s="17" t="s">
        <v>112</v>
      </c>
      <c r="R1382" s="17" t="s">
        <v>113</v>
      </c>
      <c r="S1382" s="17" t="s">
        <v>3910</v>
      </c>
      <c r="U1382" s="24"/>
      <c r="V1382" s="24"/>
      <c r="W1382" s="18" t="s">
        <v>638</v>
      </c>
    </row>
    <row r="1383">
      <c r="A1383" s="11"/>
      <c r="B1383" s="12" t="s">
        <v>34</v>
      </c>
      <c r="C1383" s="12" t="s">
        <v>65</v>
      </c>
      <c r="D1383" s="12" t="s">
        <v>43</v>
      </c>
      <c r="E1383" s="12" t="s">
        <v>2451</v>
      </c>
      <c r="F1383" s="13" t="s">
        <v>667</v>
      </c>
      <c r="G1383" s="12" t="s">
        <v>68</v>
      </c>
      <c r="H1383" s="12" t="s">
        <v>668</v>
      </c>
      <c r="I1383" s="12" t="s">
        <v>669</v>
      </c>
      <c r="J1383" s="17" t="s">
        <v>2783</v>
      </c>
      <c r="K1383" s="18" t="s">
        <v>2784</v>
      </c>
      <c r="L1383" s="20">
        <v>45923.0</v>
      </c>
      <c r="M1383" s="17" t="s">
        <v>28</v>
      </c>
      <c r="N1383" s="17" t="s">
        <v>2458</v>
      </c>
      <c r="O1383" s="17">
        <v>4.3468589E7</v>
      </c>
      <c r="P1383" s="17" t="s">
        <v>2459</v>
      </c>
      <c r="Q1383" s="17" t="s">
        <v>108</v>
      </c>
      <c r="R1383" s="17" t="s">
        <v>109</v>
      </c>
      <c r="S1383" s="17" t="s">
        <v>2460</v>
      </c>
      <c r="U1383" s="24"/>
      <c r="V1383" s="24"/>
      <c r="W1383" s="18" t="s">
        <v>638</v>
      </c>
    </row>
    <row r="1384">
      <c r="A1384" s="11"/>
      <c r="B1384" s="12" t="s">
        <v>34</v>
      </c>
      <c r="C1384" s="12" t="s">
        <v>65</v>
      </c>
      <c r="D1384" s="12" t="s">
        <v>43</v>
      </c>
      <c r="E1384" s="12" t="s">
        <v>2451</v>
      </c>
      <c r="F1384" s="13" t="s">
        <v>667</v>
      </c>
      <c r="G1384" s="12" t="s">
        <v>68</v>
      </c>
      <c r="H1384" s="12" t="s">
        <v>668</v>
      </c>
      <c r="I1384" s="12" t="s">
        <v>669</v>
      </c>
      <c r="J1384" s="17" t="s">
        <v>2783</v>
      </c>
      <c r="K1384" s="18" t="s">
        <v>2784</v>
      </c>
      <c r="L1384" s="20">
        <v>45923.0</v>
      </c>
      <c r="M1384" s="17" t="s">
        <v>28</v>
      </c>
      <c r="N1384" s="17" t="s">
        <v>2461</v>
      </c>
      <c r="O1384" s="17">
        <v>7.74218E7</v>
      </c>
      <c r="P1384" s="17" t="s">
        <v>2462</v>
      </c>
      <c r="Q1384" s="17" t="s">
        <v>112</v>
      </c>
      <c r="R1384" s="17" t="str">
        <f>IFERROR(__xludf.DUMMYFUNCTION("CONCATENATE(REGEXEXTRACT(Q1384,""[\d]+""),"" años"")"),"4 años")</f>
        <v>4 años</v>
      </c>
      <c r="S1384" s="17" t="s">
        <v>2463</v>
      </c>
      <c r="U1384" s="24"/>
      <c r="V1384" s="24"/>
      <c r="W1384" s="18" t="s">
        <v>638</v>
      </c>
    </row>
    <row r="1385">
      <c r="A1385" s="11"/>
      <c r="B1385" s="12" t="s">
        <v>34</v>
      </c>
      <c r="C1385" s="12" t="s">
        <v>65</v>
      </c>
      <c r="D1385" s="12" t="s">
        <v>43</v>
      </c>
      <c r="E1385" s="12" t="s">
        <v>2451</v>
      </c>
      <c r="F1385" s="13" t="s">
        <v>667</v>
      </c>
      <c r="G1385" s="12" t="s">
        <v>68</v>
      </c>
      <c r="H1385" s="12" t="s">
        <v>668</v>
      </c>
      <c r="I1385" s="12" t="s">
        <v>669</v>
      </c>
      <c r="J1385" s="17" t="s">
        <v>2783</v>
      </c>
      <c r="K1385" s="18" t="s">
        <v>2784</v>
      </c>
      <c r="L1385" s="20">
        <v>45923.0</v>
      </c>
      <c r="M1385" s="17" t="s">
        <v>28</v>
      </c>
      <c r="N1385" s="17" t="s">
        <v>2464</v>
      </c>
      <c r="O1385" s="17">
        <v>4.8215795E7</v>
      </c>
      <c r="P1385" s="17" t="s">
        <v>2465</v>
      </c>
      <c r="Q1385" s="17" t="s">
        <v>112</v>
      </c>
      <c r="R1385" s="17" t="str">
        <f>IFERROR(__xludf.DUMMYFUNCTION("CONCATENATE(REGEXEXTRACT(Q1385,""[\d]+""),"" años"")"),"4 años")</f>
        <v>4 años</v>
      </c>
      <c r="S1385" s="17" t="s">
        <v>2466</v>
      </c>
      <c r="U1385" s="24"/>
      <c r="V1385" s="24"/>
      <c r="W1385" s="18" t="s">
        <v>638</v>
      </c>
    </row>
    <row r="1386">
      <c r="A1386" s="11"/>
      <c r="B1386" s="12" t="s">
        <v>34</v>
      </c>
      <c r="C1386" s="12" t="s">
        <v>65</v>
      </c>
      <c r="D1386" s="12" t="s">
        <v>43</v>
      </c>
      <c r="E1386" s="12" t="s">
        <v>2451</v>
      </c>
      <c r="F1386" s="13" t="s">
        <v>667</v>
      </c>
      <c r="G1386" s="12" t="s">
        <v>68</v>
      </c>
      <c r="H1386" s="12" t="s">
        <v>668</v>
      </c>
      <c r="I1386" s="12" t="s">
        <v>669</v>
      </c>
      <c r="J1386" s="17" t="s">
        <v>2783</v>
      </c>
      <c r="K1386" s="18" t="s">
        <v>2784</v>
      </c>
      <c r="L1386" s="20">
        <v>45923.0</v>
      </c>
      <c r="M1386" s="17" t="s">
        <v>28</v>
      </c>
      <c r="N1386" s="17" t="s">
        <v>2452</v>
      </c>
      <c r="O1386" s="17">
        <v>3.2303863E7</v>
      </c>
      <c r="P1386" s="17" t="s">
        <v>2453</v>
      </c>
      <c r="Q1386" s="17" t="s">
        <v>108</v>
      </c>
      <c r="R1386" s="17" t="str">
        <f>IFERROR(__xludf.DUMMYFUNCTION("CONCATENATE(REGEXEXTRACT(Q1386,""[\d]+""),"" años"")"),"5 años")</f>
        <v>5 años</v>
      </c>
      <c r="S1386" s="17" t="s">
        <v>2454</v>
      </c>
      <c r="U1386" s="24"/>
      <c r="V1386" s="24"/>
      <c r="W1386" s="18" t="s">
        <v>638</v>
      </c>
    </row>
    <row r="1387">
      <c r="A1387" s="11"/>
      <c r="B1387" s="12" t="s">
        <v>34</v>
      </c>
      <c r="C1387" s="12" t="s">
        <v>65</v>
      </c>
      <c r="D1387" s="12" t="s">
        <v>43</v>
      </c>
      <c r="E1387" s="12" t="s">
        <v>2451</v>
      </c>
      <c r="F1387" s="13" t="s">
        <v>667</v>
      </c>
      <c r="G1387" s="12" t="s">
        <v>68</v>
      </c>
      <c r="H1387" s="12" t="s">
        <v>668</v>
      </c>
      <c r="I1387" s="12" t="s">
        <v>669</v>
      </c>
      <c r="J1387" s="17" t="s">
        <v>2783</v>
      </c>
      <c r="K1387" s="18" t="s">
        <v>2784</v>
      </c>
      <c r="L1387" s="20">
        <v>45923.0</v>
      </c>
      <c r="M1387" s="17" t="s">
        <v>28</v>
      </c>
      <c r="N1387" s="17" t="s">
        <v>3911</v>
      </c>
      <c r="P1387" s="17" t="s">
        <v>3912</v>
      </c>
      <c r="Q1387" s="17" t="s">
        <v>108</v>
      </c>
      <c r="R1387" s="17" t="str">
        <f>IFERROR(__xludf.DUMMYFUNCTION("CONCATENATE(REGEXEXTRACT(Q1387,""[\d]+""),"" años"")"),"5 años")</f>
        <v>5 años</v>
      </c>
      <c r="S1387" s="17" t="s">
        <v>3913</v>
      </c>
      <c r="U1387" s="24"/>
      <c r="V1387" s="24"/>
      <c r="W1387" s="18" t="s">
        <v>638</v>
      </c>
    </row>
    <row r="1388">
      <c r="A1388" s="11"/>
      <c r="B1388" s="12" t="s">
        <v>34</v>
      </c>
      <c r="C1388" s="12" t="s">
        <v>65</v>
      </c>
      <c r="D1388" s="12" t="s">
        <v>43</v>
      </c>
      <c r="E1388" s="12" t="s">
        <v>2451</v>
      </c>
      <c r="F1388" s="13" t="s">
        <v>667</v>
      </c>
      <c r="G1388" s="12" t="s">
        <v>68</v>
      </c>
      <c r="H1388" s="12" t="s">
        <v>668</v>
      </c>
      <c r="I1388" s="12" t="s">
        <v>669</v>
      </c>
      <c r="J1388" s="17" t="s">
        <v>2687</v>
      </c>
      <c r="K1388" s="18">
        <v>1.0</v>
      </c>
      <c r="L1388" s="20">
        <v>45923.0</v>
      </c>
      <c r="M1388" s="17" t="s">
        <v>23</v>
      </c>
      <c r="N1388" s="17" t="s">
        <v>3914</v>
      </c>
      <c r="P1388" s="17"/>
      <c r="Q1388" s="17" t="s">
        <v>112</v>
      </c>
      <c r="R1388" s="17" t="str">
        <f>IFERROR(__xludf.DUMMYFUNCTION("CONCATENATE(REGEXEXTRACT(Q1388,""[\d]+""),"" años"")"),"4 años")</f>
        <v>4 años</v>
      </c>
      <c r="S1388" s="17" t="s">
        <v>2220</v>
      </c>
      <c r="U1388" s="24"/>
      <c r="V1388" s="24"/>
      <c r="W1388" s="18" t="s">
        <v>638</v>
      </c>
    </row>
    <row r="1389">
      <c r="A1389" s="11"/>
      <c r="B1389" s="12" t="s">
        <v>34</v>
      </c>
      <c r="C1389" s="12" t="s">
        <v>65</v>
      </c>
      <c r="D1389" s="12" t="s">
        <v>43</v>
      </c>
      <c r="E1389" s="12" t="s">
        <v>2451</v>
      </c>
      <c r="F1389" s="13" t="s">
        <v>667</v>
      </c>
      <c r="G1389" s="12" t="s">
        <v>68</v>
      </c>
      <c r="H1389" s="12" t="s">
        <v>668</v>
      </c>
      <c r="I1389" s="12" t="s">
        <v>669</v>
      </c>
      <c r="J1389" s="17" t="s">
        <v>2687</v>
      </c>
      <c r="K1389" s="18">
        <v>1.0</v>
      </c>
      <c r="L1389" s="20">
        <v>45923.0</v>
      </c>
      <c r="M1389" s="17" t="s">
        <v>23</v>
      </c>
      <c r="N1389" s="17" t="s">
        <v>3915</v>
      </c>
      <c r="P1389" s="17"/>
      <c r="Q1389" s="17" t="s">
        <v>73</v>
      </c>
      <c r="R1389" s="17" t="str">
        <f>IFERROR(__xludf.DUMMYFUNCTION("CONCATENATE(REGEXEXTRACT(Q1389,""[\d]+""),"" años"")"),"3 años")</f>
        <v>3 años</v>
      </c>
      <c r="S1389" s="17" t="s">
        <v>2202</v>
      </c>
      <c r="U1389" s="24"/>
      <c r="V1389" s="24"/>
      <c r="W1389" s="18" t="s">
        <v>638</v>
      </c>
    </row>
    <row r="1390">
      <c r="A1390" s="11"/>
      <c r="B1390" s="12" t="s">
        <v>34</v>
      </c>
      <c r="C1390" s="12" t="s">
        <v>65</v>
      </c>
      <c r="D1390" s="12" t="s">
        <v>43</v>
      </c>
      <c r="E1390" s="12" t="s">
        <v>773</v>
      </c>
      <c r="F1390" s="13" t="s">
        <v>774</v>
      </c>
      <c r="G1390" s="12" t="s">
        <v>68</v>
      </c>
      <c r="H1390" s="12" t="s">
        <v>775</v>
      </c>
      <c r="I1390" s="12" t="s">
        <v>776</v>
      </c>
      <c r="J1390" s="17" t="s">
        <v>2783</v>
      </c>
      <c r="K1390" s="18" t="s">
        <v>2784</v>
      </c>
      <c r="L1390" s="20">
        <v>45903.0</v>
      </c>
      <c r="M1390" s="17" t="s">
        <v>28</v>
      </c>
      <c r="N1390" s="17" t="s">
        <v>2635</v>
      </c>
      <c r="O1390" s="17">
        <v>6.0392387E7</v>
      </c>
      <c r="P1390" s="17" t="s">
        <v>2636</v>
      </c>
      <c r="Q1390" s="17" t="s">
        <v>73</v>
      </c>
      <c r="R1390" s="17" t="str">
        <f>IFERROR(__xludf.DUMMYFUNCTION("CONCATENATE(REGEXEXTRACT(Q1390,""[\d]+""),"" años"")"),"3 años")</f>
        <v>3 años</v>
      </c>
      <c r="S1390" s="17" t="s">
        <v>2637</v>
      </c>
      <c r="U1390" s="24"/>
      <c r="V1390" s="24"/>
      <c r="W1390" s="24"/>
    </row>
    <row r="1391">
      <c r="A1391" s="11"/>
      <c r="B1391" s="12" t="s">
        <v>34</v>
      </c>
      <c r="C1391" s="12" t="s">
        <v>65</v>
      </c>
      <c r="D1391" s="12" t="s">
        <v>43</v>
      </c>
      <c r="E1391" s="12" t="s">
        <v>773</v>
      </c>
      <c r="F1391" s="13" t="s">
        <v>774</v>
      </c>
      <c r="G1391" s="12" t="s">
        <v>68</v>
      </c>
      <c r="H1391" s="12" t="s">
        <v>775</v>
      </c>
      <c r="I1391" s="12" t="s">
        <v>776</v>
      </c>
      <c r="J1391" s="17" t="s">
        <v>2783</v>
      </c>
      <c r="K1391" s="18" t="s">
        <v>2784</v>
      </c>
      <c r="L1391" s="20">
        <v>45903.0</v>
      </c>
      <c r="M1391" s="17" t="s">
        <v>28</v>
      </c>
      <c r="N1391" s="17" t="s">
        <v>2625</v>
      </c>
      <c r="O1391" s="17">
        <v>7.2959698E7</v>
      </c>
      <c r="P1391" s="17" t="s">
        <v>2626</v>
      </c>
      <c r="Q1391" s="17" t="s">
        <v>112</v>
      </c>
      <c r="R1391" s="17" t="str">
        <f>IFERROR(__xludf.DUMMYFUNCTION("CONCATENATE(REGEXEXTRACT(Q1391,""[\d]+""),"" años"")"),"4 años")</f>
        <v>4 años</v>
      </c>
      <c r="S1391" s="17" t="s">
        <v>3366</v>
      </c>
      <c r="U1391" s="24"/>
      <c r="V1391" s="24"/>
      <c r="W1391" s="24"/>
    </row>
    <row r="1392">
      <c r="A1392" s="11"/>
      <c r="B1392" s="12" t="s">
        <v>34</v>
      </c>
      <c r="C1392" s="12" t="s">
        <v>65</v>
      </c>
      <c r="D1392" s="12" t="s">
        <v>43</v>
      </c>
      <c r="E1392" s="12" t="s">
        <v>773</v>
      </c>
      <c r="F1392" s="13" t="s">
        <v>774</v>
      </c>
      <c r="G1392" s="12" t="s">
        <v>68</v>
      </c>
      <c r="H1392" s="12" t="s">
        <v>775</v>
      </c>
      <c r="I1392" s="12" t="s">
        <v>776</v>
      </c>
      <c r="J1392" s="17" t="s">
        <v>2783</v>
      </c>
      <c r="K1392" s="18" t="s">
        <v>2784</v>
      </c>
      <c r="L1392" s="20">
        <v>45903.0</v>
      </c>
      <c r="M1392" s="17" t="s">
        <v>28</v>
      </c>
      <c r="N1392" s="17" t="s">
        <v>3357</v>
      </c>
      <c r="O1392" s="17">
        <v>4.0572029E7</v>
      </c>
      <c r="P1392" s="17" t="s">
        <v>2603</v>
      </c>
      <c r="Q1392" s="17" t="s">
        <v>108</v>
      </c>
      <c r="R1392" s="17" t="str">
        <f>IFERROR(__xludf.DUMMYFUNCTION("CONCATENATE(REGEXEXTRACT(Q1392,""[\d]+""),"" años"")"),"5 años")</f>
        <v>5 años</v>
      </c>
      <c r="S1392" s="17" t="s">
        <v>3358</v>
      </c>
      <c r="U1392" s="24"/>
      <c r="V1392" s="24"/>
      <c r="W1392" s="24"/>
    </row>
    <row r="1393">
      <c r="A1393" s="11"/>
      <c r="B1393" s="12" t="s">
        <v>34</v>
      </c>
      <c r="C1393" s="12" t="s">
        <v>65</v>
      </c>
      <c r="D1393" s="12" t="s">
        <v>43</v>
      </c>
      <c r="E1393" s="12" t="s">
        <v>773</v>
      </c>
      <c r="F1393" s="13" t="s">
        <v>774</v>
      </c>
      <c r="G1393" s="12" t="s">
        <v>68</v>
      </c>
      <c r="H1393" s="12" t="s">
        <v>775</v>
      </c>
      <c r="I1393" s="12" t="s">
        <v>776</v>
      </c>
      <c r="J1393" s="17" t="s">
        <v>2783</v>
      </c>
      <c r="K1393" s="18" t="s">
        <v>2784</v>
      </c>
      <c r="L1393" s="20">
        <v>45903.0</v>
      </c>
      <c r="M1393" s="17" t="s">
        <v>28</v>
      </c>
      <c r="N1393" s="17" t="s">
        <v>2621</v>
      </c>
      <c r="O1393" s="17">
        <v>7.3392781E7</v>
      </c>
      <c r="P1393" s="17" t="s">
        <v>2622</v>
      </c>
      <c r="Q1393" s="17" t="s">
        <v>73</v>
      </c>
      <c r="R1393" s="17" t="str">
        <f>IFERROR(__xludf.DUMMYFUNCTION("CONCATENATE(REGEXEXTRACT(Q1393,""[\d]+""),"" años"")"),"3 años")</f>
        <v>3 años</v>
      </c>
      <c r="S1393" s="17" t="s">
        <v>3916</v>
      </c>
      <c r="U1393" s="24"/>
      <c r="V1393" s="24"/>
      <c r="W1393" s="24"/>
    </row>
    <row r="1394">
      <c r="A1394" s="11"/>
      <c r="B1394" s="12" t="s">
        <v>34</v>
      </c>
      <c r="C1394" s="12" t="s">
        <v>65</v>
      </c>
      <c r="D1394" s="12" t="s">
        <v>43</v>
      </c>
      <c r="E1394" s="12" t="s">
        <v>773</v>
      </c>
      <c r="F1394" s="13" t="s">
        <v>774</v>
      </c>
      <c r="G1394" s="12" t="s">
        <v>68</v>
      </c>
      <c r="H1394" s="12" t="s">
        <v>775</v>
      </c>
      <c r="I1394" s="12" t="s">
        <v>776</v>
      </c>
      <c r="J1394" s="17" t="s">
        <v>2783</v>
      </c>
      <c r="K1394" s="18" t="s">
        <v>2784</v>
      </c>
      <c r="L1394" s="20">
        <v>45903.0</v>
      </c>
      <c r="M1394" s="17" t="s">
        <v>28</v>
      </c>
      <c r="N1394" s="17" t="s">
        <v>2618</v>
      </c>
      <c r="O1394" s="17">
        <v>7.6731148E7</v>
      </c>
      <c r="P1394" s="17" t="s">
        <v>2619</v>
      </c>
      <c r="Q1394" s="17" t="s">
        <v>108</v>
      </c>
      <c r="R1394" s="17" t="str">
        <f>IFERROR(__xludf.DUMMYFUNCTION("CONCATENATE(REGEXEXTRACT(Q1394,""[\d]+""),"" años"")"),"5 años")</f>
        <v>5 años</v>
      </c>
      <c r="S1394" s="17" t="s">
        <v>2620</v>
      </c>
      <c r="U1394" s="24"/>
      <c r="V1394" s="24"/>
      <c r="W1394" s="24"/>
    </row>
    <row r="1395">
      <c r="A1395" s="11"/>
      <c r="B1395" s="12" t="s">
        <v>34</v>
      </c>
      <c r="C1395" s="12" t="s">
        <v>65</v>
      </c>
      <c r="D1395" s="12" t="s">
        <v>43</v>
      </c>
      <c r="E1395" s="12" t="s">
        <v>773</v>
      </c>
      <c r="F1395" s="13" t="s">
        <v>774</v>
      </c>
      <c r="G1395" s="12" t="s">
        <v>68</v>
      </c>
      <c r="H1395" s="12" t="s">
        <v>775</v>
      </c>
      <c r="I1395" s="12" t="s">
        <v>776</v>
      </c>
      <c r="J1395" s="17" t="s">
        <v>2783</v>
      </c>
      <c r="K1395" s="18" t="s">
        <v>2784</v>
      </c>
      <c r="L1395" s="20">
        <v>45903.0</v>
      </c>
      <c r="M1395" s="17" t="s">
        <v>28</v>
      </c>
      <c r="N1395" s="17" t="s">
        <v>2609</v>
      </c>
      <c r="O1395" s="17">
        <v>7.1000156E7</v>
      </c>
      <c r="P1395" s="17" t="s">
        <v>2610</v>
      </c>
      <c r="Q1395" s="17" t="s">
        <v>108</v>
      </c>
      <c r="R1395" s="17" t="str">
        <f>IFERROR(__xludf.DUMMYFUNCTION("CONCATENATE(REGEXEXTRACT(Q1395,""[\d]+""),"" años"")"),"5 años")</f>
        <v>5 años</v>
      </c>
      <c r="S1395" s="17" t="s">
        <v>3352</v>
      </c>
      <c r="U1395" s="24"/>
      <c r="V1395" s="24"/>
      <c r="W1395" s="24"/>
    </row>
    <row r="1396">
      <c r="A1396" s="11"/>
      <c r="B1396" s="12" t="s">
        <v>34</v>
      </c>
      <c r="C1396" s="12" t="s">
        <v>65</v>
      </c>
      <c r="D1396" s="12" t="s">
        <v>43</v>
      </c>
      <c r="E1396" s="12" t="s">
        <v>773</v>
      </c>
      <c r="F1396" s="13" t="s">
        <v>774</v>
      </c>
      <c r="G1396" s="12" t="s">
        <v>68</v>
      </c>
      <c r="H1396" s="12" t="s">
        <v>775</v>
      </c>
      <c r="I1396" s="12" t="s">
        <v>776</v>
      </c>
      <c r="J1396" s="17" t="s">
        <v>2783</v>
      </c>
      <c r="K1396" s="18" t="s">
        <v>2784</v>
      </c>
      <c r="L1396" s="20">
        <v>45903.0</v>
      </c>
      <c r="M1396" s="17" t="s">
        <v>28</v>
      </c>
      <c r="N1396" s="17" t="s">
        <v>2629</v>
      </c>
      <c r="O1396" s="17">
        <v>4.7473337E7</v>
      </c>
      <c r="P1396" s="17" t="s">
        <v>2630</v>
      </c>
      <c r="Q1396" s="17" t="s">
        <v>112</v>
      </c>
      <c r="R1396" s="17" t="str">
        <f>IFERROR(__xludf.DUMMYFUNCTION("CONCATENATE(REGEXEXTRACT(Q1396,""[\d]+""),"" años"")"),"4 años")</f>
        <v>4 años</v>
      </c>
      <c r="S1396" s="17" t="s">
        <v>3356</v>
      </c>
      <c r="U1396" s="24"/>
      <c r="V1396" s="24"/>
      <c r="W1396" s="24"/>
    </row>
    <row r="1397">
      <c r="A1397" s="11"/>
      <c r="B1397" s="12" t="s">
        <v>34</v>
      </c>
      <c r="C1397" s="12" t="s">
        <v>65</v>
      </c>
      <c r="D1397" s="12" t="s">
        <v>43</v>
      </c>
      <c r="E1397" s="12" t="s">
        <v>773</v>
      </c>
      <c r="F1397" s="13" t="s">
        <v>774</v>
      </c>
      <c r="G1397" s="12" t="s">
        <v>68</v>
      </c>
      <c r="H1397" s="12" t="s">
        <v>775</v>
      </c>
      <c r="I1397" s="12" t="s">
        <v>776</v>
      </c>
      <c r="J1397" s="17" t="s">
        <v>2783</v>
      </c>
      <c r="K1397" s="18" t="s">
        <v>2784</v>
      </c>
      <c r="L1397" s="20">
        <v>45903.0</v>
      </c>
      <c r="M1397" s="17" t="s">
        <v>28</v>
      </c>
      <c r="N1397" s="17" t="s">
        <v>2599</v>
      </c>
      <c r="O1397" s="17">
        <v>4.8010027E7</v>
      </c>
      <c r="P1397" s="17" t="s">
        <v>2600</v>
      </c>
      <c r="Q1397" s="17" t="s">
        <v>73</v>
      </c>
      <c r="R1397" s="17" t="str">
        <f>IFERROR(__xludf.DUMMYFUNCTION("CONCATENATE(REGEXEXTRACT(Q1397,""[\d]+""),"" años"")"),"3 años")</f>
        <v>3 años</v>
      </c>
      <c r="S1397" s="17" t="s">
        <v>2601</v>
      </c>
      <c r="U1397" s="24"/>
      <c r="V1397" s="24"/>
      <c r="W1397" s="24"/>
    </row>
    <row r="1398">
      <c r="A1398" s="11"/>
      <c r="B1398" s="12" t="s">
        <v>34</v>
      </c>
      <c r="C1398" s="12" t="s">
        <v>65</v>
      </c>
      <c r="D1398" s="12" t="s">
        <v>43</v>
      </c>
      <c r="E1398" s="12" t="s">
        <v>773</v>
      </c>
      <c r="F1398" s="13" t="s">
        <v>774</v>
      </c>
      <c r="G1398" s="12" t="s">
        <v>68</v>
      </c>
      <c r="H1398" s="12" t="s">
        <v>775</v>
      </c>
      <c r="I1398" s="12" t="s">
        <v>776</v>
      </c>
      <c r="J1398" s="17" t="s">
        <v>2783</v>
      </c>
      <c r="K1398" s="18" t="s">
        <v>2784</v>
      </c>
      <c r="L1398" s="20">
        <v>45903.0</v>
      </c>
      <c r="M1398" s="17" t="s">
        <v>28</v>
      </c>
      <c r="N1398" s="17" t="s">
        <v>2606</v>
      </c>
      <c r="O1398" s="17">
        <v>7.4398753E7</v>
      </c>
      <c r="P1398" s="17" t="s">
        <v>2607</v>
      </c>
      <c r="Q1398" s="17" t="s">
        <v>108</v>
      </c>
      <c r="R1398" s="17" t="str">
        <f>IFERROR(__xludf.DUMMYFUNCTION("CONCATENATE(REGEXEXTRACT(Q1398,""[\d]+""),"" años"")"),"5 años")</f>
        <v>5 años</v>
      </c>
      <c r="S1398" s="17" t="s">
        <v>3917</v>
      </c>
      <c r="U1398" s="24"/>
      <c r="V1398" s="24"/>
      <c r="W1398" s="24"/>
    </row>
    <row r="1399">
      <c r="A1399" s="11"/>
      <c r="B1399" s="12" t="s">
        <v>34</v>
      </c>
      <c r="C1399" s="12" t="s">
        <v>65</v>
      </c>
      <c r="D1399" s="12" t="s">
        <v>43</v>
      </c>
      <c r="E1399" s="12" t="s">
        <v>773</v>
      </c>
      <c r="F1399" s="13" t="s">
        <v>774</v>
      </c>
      <c r="G1399" s="12" t="s">
        <v>68</v>
      </c>
      <c r="H1399" s="12" t="s">
        <v>775</v>
      </c>
      <c r="I1399" s="12" t="s">
        <v>776</v>
      </c>
      <c r="J1399" s="17" t="s">
        <v>2783</v>
      </c>
      <c r="K1399" s="18" t="s">
        <v>2784</v>
      </c>
      <c r="L1399" s="20">
        <v>45903.0</v>
      </c>
      <c r="M1399" s="17" t="s">
        <v>28</v>
      </c>
      <c r="N1399" s="17" t="s">
        <v>2632</v>
      </c>
      <c r="O1399" s="17">
        <v>7.6378338E7</v>
      </c>
      <c r="P1399" s="17" t="s">
        <v>2633</v>
      </c>
      <c r="Q1399" s="17" t="s">
        <v>73</v>
      </c>
      <c r="R1399" s="17" t="str">
        <f>IFERROR(__xludf.DUMMYFUNCTION("CONCATENATE(REGEXEXTRACT(Q1399,""[\d]+""),"" años"")"),"3 años")</f>
        <v>3 años</v>
      </c>
      <c r="S1399" s="17" t="s">
        <v>2634</v>
      </c>
      <c r="U1399" s="24"/>
      <c r="V1399" s="24"/>
      <c r="W1399" s="24"/>
    </row>
    <row r="1400">
      <c r="A1400" s="11"/>
      <c r="B1400" s="12" t="s">
        <v>34</v>
      </c>
      <c r="C1400" s="12" t="s">
        <v>65</v>
      </c>
      <c r="D1400" s="12" t="s">
        <v>43</v>
      </c>
      <c r="E1400" s="12" t="s">
        <v>773</v>
      </c>
      <c r="F1400" s="13" t="s">
        <v>774</v>
      </c>
      <c r="G1400" s="12" t="s">
        <v>68</v>
      </c>
      <c r="H1400" s="12" t="s">
        <v>775</v>
      </c>
      <c r="I1400" s="12" t="s">
        <v>776</v>
      </c>
      <c r="J1400" s="17" t="s">
        <v>2783</v>
      </c>
      <c r="K1400" s="18" t="s">
        <v>2784</v>
      </c>
      <c r="L1400" s="20">
        <v>45903.0</v>
      </c>
      <c r="M1400" s="17" t="s">
        <v>28</v>
      </c>
      <c r="N1400" s="17" t="s">
        <v>2612</v>
      </c>
      <c r="O1400" s="17">
        <v>7.1016949E7</v>
      </c>
      <c r="P1400" s="17" t="s">
        <v>2613</v>
      </c>
      <c r="Q1400" s="17" t="s">
        <v>73</v>
      </c>
      <c r="R1400" s="17" t="str">
        <f>IFERROR(__xludf.DUMMYFUNCTION("CONCATENATE(REGEXEXTRACT(Q1400,""[\d]+""),"" años"")"),"3 años")</f>
        <v>3 años</v>
      </c>
      <c r="S1400" s="17" t="s">
        <v>3918</v>
      </c>
      <c r="U1400" s="24"/>
      <c r="V1400" s="24"/>
      <c r="W1400" s="24"/>
    </row>
    <row r="1401">
      <c r="A1401" s="11"/>
      <c r="B1401" s="12" t="s">
        <v>34</v>
      </c>
      <c r="C1401" s="12" t="s">
        <v>65</v>
      </c>
      <c r="D1401" s="12" t="s">
        <v>43</v>
      </c>
      <c r="E1401" s="12" t="s">
        <v>717</v>
      </c>
      <c r="F1401" s="13" t="s">
        <v>718</v>
      </c>
      <c r="G1401" s="12" t="s">
        <v>68</v>
      </c>
      <c r="H1401" s="12" t="s">
        <v>719</v>
      </c>
      <c r="I1401" s="12" t="s">
        <v>720</v>
      </c>
      <c r="J1401" s="17" t="s">
        <v>2687</v>
      </c>
      <c r="K1401" s="18">
        <v>1.0</v>
      </c>
      <c r="L1401" s="20">
        <v>45926.0</v>
      </c>
      <c r="M1401" s="17" t="s">
        <v>28</v>
      </c>
      <c r="N1401" s="17" t="s">
        <v>3919</v>
      </c>
      <c r="P1401" s="17"/>
      <c r="Q1401" s="17" t="s">
        <v>112</v>
      </c>
      <c r="R1401" s="17" t="s">
        <v>113</v>
      </c>
      <c r="S1401" s="17" t="s">
        <v>2220</v>
      </c>
      <c r="U1401" s="24"/>
      <c r="V1401" s="24"/>
      <c r="W1401" s="24"/>
    </row>
    <row r="1402">
      <c r="A1402" s="11"/>
      <c r="B1402" s="12" t="s">
        <v>34</v>
      </c>
      <c r="C1402" s="12" t="s">
        <v>65</v>
      </c>
      <c r="D1402" s="12" t="s">
        <v>43</v>
      </c>
      <c r="E1402" s="12" t="s">
        <v>717</v>
      </c>
      <c r="F1402" s="13" t="s">
        <v>718</v>
      </c>
      <c r="G1402" s="12" t="s">
        <v>68</v>
      </c>
      <c r="H1402" s="12" t="s">
        <v>719</v>
      </c>
      <c r="I1402" s="12" t="s">
        <v>720</v>
      </c>
      <c r="J1402" s="17" t="s">
        <v>2687</v>
      </c>
      <c r="K1402" s="18">
        <v>1.0</v>
      </c>
      <c r="L1402" s="20">
        <v>45926.0</v>
      </c>
      <c r="M1402" s="17" t="s">
        <v>28</v>
      </c>
      <c r="N1402" s="17" t="s">
        <v>3920</v>
      </c>
      <c r="P1402" s="17"/>
      <c r="Q1402" s="17" t="s">
        <v>73</v>
      </c>
      <c r="R1402" s="17" t="s">
        <v>74</v>
      </c>
      <c r="S1402" s="17" t="s">
        <v>2202</v>
      </c>
      <c r="U1402" s="24"/>
      <c r="V1402" s="24"/>
      <c r="W1402" s="24"/>
    </row>
    <row r="1403">
      <c r="A1403" s="11"/>
      <c r="B1403" s="12" t="s">
        <v>34</v>
      </c>
      <c r="C1403" s="12" t="s">
        <v>65</v>
      </c>
      <c r="D1403" s="12" t="s">
        <v>43</v>
      </c>
      <c r="E1403" s="12" t="s">
        <v>717</v>
      </c>
      <c r="F1403" s="13" t="s">
        <v>718</v>
      </c>
      <c r="G1403" s="12" t="s">
        <v>68</v>
      </c>
      <c r="H1403" s="12" t="s">
        <v>719</v>
      </c>
      <c r="I1403" s="12" t="s">
        <v>720</v>
      </c>
      <c r="J1403" s="17" t="s">
        <v>2687</v>
      </c>
      <c r="K1403" s="18">
        <v>1.0</v>
      </c>
      <c r="L1403" s="20">
        <v>45926.0</v>
      </c>
      <c r="M1403" s="17" t="s">
        <v>28</v>
      </c>
      <c r="N1403" s="17" t="s">
        <v>3921</v>
      </c>
      <c r="P1403" s="17"/>
      <c r="Q1403" s="17" t="s">
        <v>73</v>
      </c>
      <c r="R1403" s="17" t="s">
        <v>3922</v>
      </c>
      <c r="S1403" s="17" t="s">
        <v>3923</v>
      </c>
      <c r="U1403" s="24"/>
      <c r="V1403" s="24"/>
      <c r="W1403" s="24"/>
    </row>
    <row r="1404">
      <c r="A1404" s="11"/>
      <c r="B1404" s="12" t="s">
        <v>34</v>
      </c>
      <c r="C1404" s="12" t="s">
        <v>65</v>
      </c>
      <c r="D1404" s="12" t="s">
        <v>43</v>
      </c>
      <c r="E1404" s="12" t="s">
        <v>717</v>
      </c>
      <c r="F1404" s="13" t="s">
        <v>718</v>
      </c>
      <c r="G1404" s="12" t="s">
        <v>68</v>
      </c>
      <c r="H1404" s="12" t="s">
        <v>719</v>
      </c>
      <c r="I1404" s="12" t="s">
        <v>720</v>
      </c>
      <c r="J1404" s="17" t="s">
        <v>2687</v>
      </c>
      <c r="K1404" s="18">
        <v>1.0</v>
      </c>
      <c r="L1404" s="20">
        <v>45926.0</v>
      </c>
      <c r="M1404" s="17" t="s">
        <v>28</v>
      </c>
      <c r="N1404" s="17" t="s">
        <v>3924</v>
      </c>
      <c r="P1404" s="17"/>
      <c r="Q1404" s="17" t="s">
        <v>108</v>
      </c>
      <c r="R1404" s="17" t="s">
        <v>109</v>
      </c>
      <c r="S1404" s="17" t="s">
        <v>2198</v>
      </c>
      <c r="U1404" s="24"/>
      <c r="V1404" s="24"/>
      <c r="W1404" s="24"/>
    </row>
    <row r="1405">
      <c r="A1405" s="11"/>
      <c r="B1405" s="12" t="s">
        <v>34</v>
      </c>
      <c r="C1405" s="12" t="s">
        <v>65</v>
      </c>
      <c r="D1405" s="12" t="s">
        <v>43</v>
      </c>
      <c r="E1405" s="12" t="s">
        <v>691</v>
      </c>
      <c r="F1405" s="13" t="s">
        <v>692</v>
      </c>
      <c r="G1405" s="12" t="s">
        <v>68</v>
      </c>
      <c r="H1405" s="12" t="s">
        <v>693</v>
      </c>
      <c r="I1405" s="12" t="s">
        <v>694</v>
      </c>
      <c r="J1405" s="17" t="s">
        <v>2687</v>
      </c>
      <c r="K1405" s="18">
        <v>1.0</v>
      </c>
      <c r="L1405" s="20">
        <v>45926.0</v>
      </c>
      <c r="M1405" s="17" t="s">
        <v>28</v>
      </c>
      <c r="N1405" s="17" t="s">
        <v>3925</v>
      </c>
      <c r="P1405" s="17"/>
      <c r="Q1405" s="17" t="s">
        <v>108</v>
      </c>
      <c r="R1405" s="17" t="s">
        <v>3922</v>
      </c>
      <c r="S1405" s="17" t="s">
        <v>3926</v>
      </c>
      <c r="U1405" s="24"/>
      <c r="V1405" s="24"/>
      <c r="W1405" s="24"/>
    </row>
    <row r="1406">
      <c r="A1406" s="11"/>
      <c r="B1406" s="12" t="s">
        <v>34</v>
      </c>
      <c r="C1406" s="12" t="s">
        <v>65</v>
      </c>
      <c r="D1406" s="12" t="s">
        <v>43</v>
      </c>
      <c r="E1406" s="12" t="s">
        <v>691</v>
      </c>
      <c r="F1406" s="13" t="s">
        <v>692</v>
      </c>
      <c r="G1406" s="12" t="s">
        <v>68</v>
      </c>
      <c r="H1406" s="12" t="s">
        <v>693</v>
      </c>
      <c r="I1406" s="12" t="s">
        <v>694</v>
      </c>
      <c r="J1406" s="17" t="s">
        <v>2687</v>
      </c>
      <c r="K1406" s="18">
        <v>1.0</v>
      </c>
      <c r="L1406" s="20">
        <v>45926.0</v>
      </c>
      <c r="M1406" s="17" t="s">
        <v>28</v>
      </c>
      <c r="N1406" s="17" t="s">
        <v>3927</v>
      </c>
      <c r="P1406" s="17"/>
      <c r="Q1406" s="17" t="s">
        <v>73</v>
      </c>
      <c r="R1406" s="17" t="s">
        <v>74</v>
      </c>
      <c r="S1406" s="17" t="s">
        <v>2202</v>
      </c>
      <c r="U1406" s="24"/>
      <c r="V1406" s="24"/>
      <c r="W1406" s="24"/>
    </row>
    <row r="1407">
      <c r="A1407" s="11"/>
      <c r="B1407" s="12" t="s">
        <v>34</v>
      </c>
      <c r="C1407" s="12" t="s">
        <v>65</v>
      </c>
      <c r="D1407" s="12" t="s">
        <v>43</v>
      </c>
      <c r="E1407" s="12" t="s">
        <v>691</v>
      </c>
      <c r="F1407" s="13" t="s">
        <v>692</v>
      </c>
      <c r="G1407" s="12" t="s">
        <v>68</v>
      </c>
      <c r="H1407" s="12" t="s">
        <v>693</v>
      </c>
      <c r="I1407" s="12" t="s">
        <v>694</v>
      </c>
      <c r="J1407" s="17" t="s">
        <v>2687</v>
      </c>
      <c r="K1407" s="18">
        <v>1.0</v>
      </c>
      <c r="L1407" s="20">
        <v>45926.0</v>
      </c>
      <c r="M1407" s="17" t="s">
        <v>28</v>
      </c>
      <c r="N1407" s="17" t="s">
        <v>3928</v>
      </c>
      <c r="P1407" s="17"/>
      <c r="Q1407" s="17" t="s">
        <v>108</v>
      </c>
      <c r="R1407" s="17" t="s">
        <v>109</v>
      </c>
      <c r="S1407" s="17" t="s">
        <v>2198</v>
      </c>
      <c r="U1407" s="24"/>
      <c r="V1407" s="24"/>
      <c r="W1407" s="24"/>
    </row>
    <row r="1408">
      <c r="A1408" s="11"/>
      <c r="B1408" s="12" t="s">
        <v>34</v>
      </c>
      <c r="C1408" s="12" t="s">
        <v>65</v>
      </c>
      <c r="D1408" s="12" t="s">
        <v>43</v>
      </c>
      <c r="E1408" s="12" t="s">
        <v>691</v>
      </c>
      <c r="F1408" s="13" t="s">
        <v>692</v>
      </c>
      <c r="G1408" s="12" t="s">
        <v>68</v>
      </c>
      <c r="H1408" s="12" t="s">
        <v>693</v>
      </c>
      <c r="I1408" s="12" t="s">
        <v>694</v>
      </c>
      <c r="J1408" s="17" t="s">
        <v>2687</v>
      </c>
      <c r="K1408" s="18">
        <v>1.0</v>
      </c>
      <c r="L1408" s="20">
        <v>45926.0</v>
      </c>
      <c r="M1408" s="17" t="s">
        <v>28</v>
      </c>
      <c r="N1408" s="17" t="s">
        <v>3406</v>
      </c>
      <c r="P1408" s="17"/>
      <c r="Q1408" s="17" t="s">
        <v>73</v>
      </c>
      <c r="R1408" s="17" t="s">
        <v>3929</v>
      </c>
      <c r="S1408" s="17" t="s">
        <v>3930</v>
      </c>
      <c r="U1408" s="24"/>
      <c r="V1408" s="24"/>
      <c r="W1408" s="24"/>
    </row>
    <row r="1409">
      <c r="A1409" s="11"/>
      <c r="B1409" s="12" t="s">
        <v>34</v>
      </c>
      <c r="C1409" s="12" t="s">
        <v>65</v>
      </c>
      <c r="D1409" s="12" t="s">
        <v>43</v>
      </c>
      <c r="E1409" s="12" t="s">
        <v>691</v>
      </c>
      <c r="F1409" s="13" t="s">
        <v>692</v>
      </c>
      <c r="G1409" s="12" t="s">
        <v>68</v>
      </c>
      <c r="H1409" s="12" t="s">
        <v>693</v>
      </c>
      <c r="I1409" s="12" t="s">
        <v>694</v>
      </c>
      <c r="J1409" s="17" t="s">
        <v>2687</v>
      </c>
      <c r="K1409" s="18">
        <v>1.0</v>
      </c>
      <c r="L1409" s="20">
        <v>45926.0</v>
      </c>
      <c r="M1409" s="17" t="s">
        <v>28</v>
      </c>
      <c r="N1409" s="17" t="s">
        <v>3405</v>
      </c>
      <c r="P1409" s="17"/>
      <c r="Q1409" s="17" t="s">
        <v>112</v>
      </c>
      <c r="R1409" s="17" t="s">
        <v>113</v>
      </c>
      <c r="S1409" s="17" t="s">
        <v>2220</v>
      </c>
      <c r="U1409" s="24"/>
      <c r="V1409" s="24"/>
      <c r="W1409" s="24"/>
    </row>
    <row r="1410">
      <c r="A1410" s="11"/>
      <c r="B1410" s="12" t="s">
        <v>34</v>
      </c>
      <c r="C1410" s="12" t="s">
        <v>65</v>
      </c>
      <c r="D1410" s="12" t="s">
        <v>43</v>
      </c>
      <c r="E1410" s="12" t="s">
        <v>773</v>
      </c>
      <c r="F1410" s="13" t="s">
        <v>774</v>
      </c>
      <c r="G1410" s="12" t="s">
        <v>68</v>
      </c>
      <c r="H1410" s="12" t="s">
        <v>775</v>
      </c>
      <c r="I1410" s="12" t="s">
        <v>776</v>
      </c>
      <c r="J1410" s="17" t="s">
        <v>2687</v>
      </c>
      <c r="K1410" s="18">
        <v>1.0</v>
      </c>
      <c r="L1410" s="20">
        <v>45926.0</v>
      </c>
      <c r="M1410" s="17" t="s">
        <v>28</v>
      </c>
      <c r="N1410" s="17" t="s">
        <v>3931</v>
      </c>
      <c r="P1410" s="17"/>
      <c r="Q1410" s="17" t="s">
        <v>112</v>
      </c>
      <c r="R1410" s="17" t="s">
        <v>3932</v>
      </c>
      <c r="S1410" s="17" t="s">
        <v>3933</v>
      </c>
      <c r="U1410" s="24"/>
      <c r="V1410" s="24"/>
      <c r="W1410" s="24"/>
    </row>
    <row r="1411">
      <c r="A1411" s="11"/>
      <c r="B1411" s="12" t="s">
        <v>34</v>
      </c>
      <c r="C1411" s="12" t="s">
        <v>65</v>
      </c>
      <c r="D1411" s="12" t="s">
        <v>43</v>
      </c>
      <c r="E1411" s="12" t="s">
        <v>773</v>
      </c>
      <c r="F1411" s="13" t="s">
        <v>774</v>
      </c>
      <c r="G1411" s="12" t="s">
        <v>68</v>
      </c>
      <c r="H1411" s="12" t="s">
        <v>775</v>
      </c>
      <c r="I1411" s="12" t="s">
        <v>776</v>
      </c>
      <c r="J1411" s="17" t="s">
        <v>2687</v>
      </c>
      <c r="K1411" s="18">
        <v>1.0</v>
      </c>
      <c r="L1411" s="20">
        <v>45926.0</v>
      </c>
      <c r="M1411" s="17" t="s">
        <v>28</v>
      </c>
      <c r="N1411" s="17" t="s">
        <v>3934</v>
      </c>
      <c r="P1411" s="17"/>
      <c r="Q1411" s="17" t="s">
        <v>73</v>
      </c>
      <c r="R1411" s="17" t="str">
        <f>IFERROR(__xludf.DUMMYFUNCTION("CONCATENATE(REGEXEXTRACT(Q1411,""[\d]+""),"" años"")"),"3 años")</f>
        <v>3 años</v>
      </c>
      <c r="S1411" s="17" t="s">
        <v>2202</v>
      </c>
      <c r="U1411" s="24"/>
      <c r="V1411" s="24"/>
      <c r="W1411" s="24"/>
    </row>
    <row r="1412">
      <c r="A1412" s="11"/>
      <c r="B1412" s="12" t="s">
        <v>34</v>
      </c>
      <c r="C1412" s="12" t="s">
        <v>65</v>
      </c>
      <c r="D1412" s="12" t="s">
        <v>83</v>
      </c>
      <c r="E1412" s="12" t="s">
        <v>632</v>
      </c>
      <c r="F1412" s="13" t="s">
        <v>633</v>
      </c>
      <c r="G1412" s="12" t="s">
        <v>68</v>
      </c>
      <c r="H1412" s="12" t="s">
        <v>634</v>
      </c>
      <c r="I1412" s="12" t="s">
        <v>635</v>
      </c>
      <c r="J1412" s="17" t="s">
        <v>2687</v>
      </c>
      <c r="K1412" s="18">
        <v>1.0</v>
      </c>
      <c r="L1412" s="20">
        <v>45931.0</v>
      </c>
      <c r="M1412" s="17" t="s">
        <v>23</v>
      </c>
      <c r="N1412" s="17" t="s">
        <v>3935</v>
      </c>
      <c r="P1412" s="17"/>
      <c r="Q1412" s="17" t="s">
        <v>73</v>
      </c>
      <c r="R1412" s="17" t="str">
        <f>IFERROR(__xludf.DUMMYFUNCTION("CONCATENATE(REGEXEXTRACT(Q1412,""[\d]+""),"" años"")"),"3 años")</f>
        <v>3 años</v>
      </c>
      <c r="S1412" s="17" t="s">
        <v>2202</v>
      </c>
      <c r="U1412" s="24"/>
      <c r="V1412" s="24"/>
      <c r="W1412" s="24"/>
    </row>
    <row r="1413">
      <c r="A1413" s="11"/>
      <c r="B1413" s="12" t="s">
        <v>34</v>
      </c>
      <c r="C1413" s="12" t="s">
        <v>65</v>
      </c>
      <c r="D1413" s="12" t="s">
        <v>83</v>
      </c>
      <c r="E1413" s="12" t="s">
        <v>632</v>
      </c>
      <c r="F1413" s="13" t="s">
        <v>633</v>
      </c>
      <c r="G1413" s="12" t="s">
        <v>68</v>
      </c>
      <c r="H1413" s="12" t="s">
        <v>634</v>
      </c>
      <c r="I1413" s="12" t="s">
        <v>635</v>
      </c>
      <c r="J1413" s="17" t="s">
        <v>2687</v>
      </c>
      <c r="K1413" s="18">
        <v>1.0</v>
      </c>
      <c r="L1413" s="20">
        <v>45931.0</v>
      </c>
      <c r="M1413" s="17" t="s">
        <v>23</v>
      </c>
      <c r="N1413" s="17" t="s">
        <v>3936</v>
      </c>
      <c r="P1413" s="17"/>
      <c r="Q1413" s="17" t="s">
        <v>112</v>
      </c>
      <c r="R1413" s="17" t="str">
        <f>IFERROR(__xludf.DUMMYFUNCTION("CONCATENATE(REGEXEXTRACT(Q1413,""[\d]+""),"" años"")"),"4 años")</f>
        <v>4 años</v>
      </c>
      <c r="S1413" s="17" t="s">
        <v>2220</v>
      </c>
      <c r="U1413" s="24"/>
      <c r="V1413" s="24"/>
      <c r="W1413" s="24"/>
    </row>
    <row r="1414">
      <c r="A1414" s="11"/>
      <c r="B1414" s="12" t="s">
        <v>34</v>
      </c>
      <c r="C1414" s="12" t="s">
        <v>65</v>
      </c>
      <c r="D1414" s="12" t="s">
        <v>83</v>
      </c>
      <c r="E1414" s="12" t="s">
        <v>632</v>
      </c>
      <c r="F1414" s="13" t="s">
        <v>633</v>
      </c>
      <c r="G1414" s="12" t="s">
        <v>68</v>
      </c>
      <c r="H1414" s="12" t="s">
        <v>634</v>
      </c>
      <c r="I1414" s="12" t="s">
        <v>635</v>
      </c>
      <c r="J1414" s="17" t="s">
        <v>2687</v>
      </c>
      <c r="K1414" s="18">
        <v>1.0</v>
      </c>
      <c r="L1414" s="20">
        <v>45931.0</v>
      </c>
      <c r="M1414" s="17" t="s">
        <v>23</v>
      </c>
      <c r="N1414" s="17" t="s">
        <v>3937</v>
      </c>
      <c r="P1414" s="17"/>
      <c r="Q1414" s="17" t="s">
        <v>108</v>
      </c>
      <c r="R1414" s="17" t="str">
        <f>IFERROR(__xludf.DUMMYFUNCTION("CONCATENATE(REGEXEXTRACT(Q1414,""[\d]+""),"" años"")"),"5 años")</f>
        <v>5 años</v>
      </c>
      <c r="S1414" s="17" t="s">
        <v>2198</v>
      </c>
      <c r="U1414" s="24"/>
      <c r="V1414" s="24"/>
      <c r="W1414" s="24"/>
    </row>
    <row r="1415">
      <c r="A1415" s="11"/>
      <c r="B1415" s="12" t="s">
        <v>34</v>
      </c>
      <c r="C1415" s="12" t="s">
        <v>65</v>
      </c>
      <c r="D1415" s="12" t="s">
        <v>83</v>
      </c>
      <c r="E1415" s="12" t="s">
        <v>632</v>
      </c>
      <c r="F1415" s="13" t="s">
        <v>633</v>
      </c>
      <c r="G1415" s="12" t="s">
        <v>68</v>
      </c>
      <c r="H1415" s="12" t="s">
        <v>634</v>
      </c>
      <c r="I1415" s="12" t="s">
        <v>635</v>
      </c>
      <c r="J1415" s="17" t="s">
        <v>2687</v>
      </c>
      <c r="K1415" s="18">
        <v>1.0</v>
      </c>
      <c r="L1415" s="20">
        <v>45931.0</v>
      </c>
      <c r="M1415" s="17" t="s">
        <v>23</v>
      </c>
      <c r="N1415" s="17" t="s">
        <v>3938</v>
      </c>
      <c r="P1415" s="17"/>
      <c r="Q1415" s="17" t="s">
        <v>73</v>
      </c>
      <c r="R1415" s="17" t="str">
        <f>IFERROR(__xludf.DUMMYFUNCTION("CONCATENATE(REGEXEXTRACT(Q1415,""[\d]+""),"" años"")"),"3 años")</f>
        <v>3 años</v>
      </c>
      <c r="S1415" s="17" t="s">
        <v>2202</v>
      </c>
      <c r="U1415" s="24"/>
      <c r="V1415" s="24"/>
      <c r="W1415" s="24"/>
    </row>
    <row r="1416">
      <c r="A1416" s="11"/>
      <c r="B1416" s="12" t="s">
        <v>43</v>
      </c>
      <c r="C1416" s="12" t="s">
        <v>65</v>
      </c>
      <c r="D1416" s="12" t="s">
        <v>43</v>
      </c>
      <c r="E1416" s="12" t="s">
        <v>66</v>
      </c>
      <c r="F1416" s="13" t="s">
        <v>67</v>
      </c>
      <c r="G1416" s="12" t="s">
        <v>68</v>
      </c>
      <c r="H1416" s="12" t="s">
        <v>69</v>
      </c>
      <c r="I1416" s="12" t="s">
        <v>70</v>
      </c>
      <c r="J1416" s="17" t="s">
        <v>2783</v>
      </c>
      <c r="K1416" s="18" t="s">
        <v>2784</v>
      </c>
      <c r="L1416" s="20">
        <v>45932.0</v>
      </c>
      <c r="M1416" s="17" t="s">
        <v>28</v>
      </c>
      <c r="N1416" s="17" t="s">
        <v>3939</v>
      </c>
      <c r="P1416" s="17" t="s">
        <v>1577</v>
      </c>
      <c r="Q1416" s="17" t="s">
        <v>73</v>
      </c>
      <c r="R1416" s="17" t="str">
        <f>IFERROR(__xludf.DUMMYFUNCTION("CONCATENATE(REGEXEXTRACT(Q1416,""[\d]+""),"" años"")"),"3 años")</f>
        <v>3 años</v>
      </c>
      <c r="S1416" s="17" t="s">
        <v>3427</v>
      </c>
      <c r="U1416" s="24"/>
      <c r="V1416" s="24"/>
      <c r="W1416" s="18" t="s">
        <v>76</v>
      </c>
    </row>
    <row r="1417">
      <c r="A1417" s="11"/>
      <c r="B1417" s="12" t="s">
        <v>43</v>
      </c>
      <c r="C1417" s="12" t="s">
        <v>65</v>
      </c>
      <c r="D1417" s="12" t="s">
        <v>43</v>
      </c>
      <c r="E1417" s="12" t="s">
        <v>66</v>
      </c>
      <c r="F1417" s="13" t="s">
        <v>67</v>
      </c>
      <c r="G1417" s="12" t="s">
        <v>68</v>
      </c>
      <c r="H1417" s="12" t="s">
        <v>69</v>
      </c>
      <c r="I1417" s="12" t="s">
        <v>70</v>
      </c>
      <c r="J1417" s="17" t="s">
        <v>2783</v>
      </c>
      <c r="K1417" s="18" t="s">
        <v>2784</v>
      </c>
      <c r="L1417" s="20">
        <v>45932.0</v>
      </c>
      <c r="M1417" s="17" t="s">
        <v>28</v>
      </c>
      <c r="N1417" s="17" t="s">
        <v>3940</v>
      </c>
      <c r="P1417" s="17" t="s">
        <v>3941</v>
      </c>
      <c r="Q1417" s="17" t="s">
        <v>112</v>
      </c>
      <c r="R1417" s="17" t="str">
        <f>IFERROR(__xludf.DUMMYFUNCTION("CONCATENATE(REGEXEXTRACT(Q1417,""[\d]+""),"" años"")"),"4 años")</f>
        <v>4 años</v>
      </c>
      <c r="S1417" s="17" t="s">
        <v>3942</v>
      </c>
      <c r="U1417" s="24"/>
      <c r="V1417" s="24"/>
      <c r="W1417" s="18" t="s">
        <v>76</v>
      </c>
    </row>
    <row r="1418">
      <c r="A1418" s="11"/>
      <c r="B1418" s="12" t="s">
        <v>43</v>
      </c>
      <c r="C1418" s="12" t="s">
        <v>65</v>
      </c>
      <c r="D1418" s="12" t="s">
        <v>43</v>
      </c>
      <c r="E1418" s="12" t="s">
        <v>66</v>
      </c>
      <c r="F1418" s="13" t="s">
        <v>67</v>
      </c>
      <c r="G1418" s="12" t="s">
        <v>68</v>
      </c>
      <c r="H1418" s="12" t="s">
        <v>69</v>
      </c>
      <c r="I1418" s="12" t="s">
        <v>70</v>
      </c>
      <c r="J1418" s="17" t="s">
        <v>2783</v>
      </c>
      <c r="K1418" s="18" t="s">
        <v>2784</v>
      </c>
      <c r="L1418" s="20">
        <v>45932.0</v>
      </c>
      <c r="M1418" s="17" t="s">
        <v>28</v>
      </c>
      <c r="N1418" s="17" t="s">
        <v>3943</v>
      </c>
      <c r="O1418" s="17">
        <v>7.6418425E7</v>
      </c>
      <c r="P1418" s="17" t="s">
        <v>3437</v>
      </c>
      <c r="Q1418" s="17" t="s">
        <v>112</v>
      </c>
      <c r="R1418" s="17" t="str">
        <f>IFERROR(__xludf.DUMMYFUNCTION("CONCATENATE(REGEXEXTRACT(Q1418,""[\d]+""),"" años"")"),"4 años")</f>
        <v>4 años</v>
      </c>
      <c r="S1418" s="17" t="s">
        <v>3438</v>
      </c>
      <c r="U1418" s="24"/>
      <c r="V1418" s="24"/>
      <c r="W1418" s="18" t="s">
        <v>76</v>
      </c>
    </row>
    <row r="1419">
      <c r="A1419" s="11"/>
      <c r="B1419" s="12" t="s">
        <v>43</v>
      </c>
      <c r="C1419" s="12" t="s">
        <v>65</v>
      </c>
      <c r="D1419" s="12" t="s">
        <v>43</v>
      </c>
      <c r="E1419" s="12" t="s">
        <v>66</v>
      </c>
      <c r="F1419" s="13" t="s">
        <v>67</v>
      </c>
      <c r="G1419" s="12" t="s">
        <v>68</v>
      </c>
      <c r="H1419" s="12" t="s">
        <v>69</v>
      </c>
      <c r="I1419" s="12" t="s">
        <v>70</v>
      </c>
      <c r="J1419" s="17" t="s">
        <v>2783</v>
      </c>
      <c r="K1419" s="18" t="s">
        <v>2784</v>
      </c>
      <c r="L1419" s="20">
        <v>45932.0</v>
      </c>
      <c r="M1419" s="17" t="s">
        <v>28</v>
      </c>
      <c r="N1419" s="17" t="s">
        <v>3944</v>
      </c>
      <c r="O1419" s="17">
        <v>7.1278187E7</v>
      </c>
      <c r="P1419" s="17" t="s">
        <v>3766</v>
      </c>
      <c r="Q1419" s="17" t="s">
        <v>73</v>
      </c>
      <c r="R1419" s="17" t="str">
        <f>IFERROR(__xludf.DUMMYFUNCTION("CONCATENATE(REGEXEXTRACT(Q1419,""[\d]+""),"" años"")"),"3 años")</f>
        <v>3 años</v>
      </c>
      <c r="S1419" s="17" t="s">
        <v>3767</v>
      </c>
      <c r="U1419" s="24"/>
      <c r="V1419" s="24"/>
      <c r="W1419" s="18" t="s">
        <v>76</v>
      </c>
    </row>
    <row r="1420">
      <c r="A1420" s="11"/>
      <c r="B1420" s="12" t="s">
        <v>43</v>
      </c>
      <c r="C1420" s="12" t="s">
        <v>65</v>
      </c>
      <c r="D1420" s="12" t="s">
        <v>43</v>
      </c>
      <c r="E1420" s="12" t="s">
        <v>66</v>
      </c>
      <c r="F1420" s="13" t="s">
        <v>67</v>
      </c>
      <c r="G1420" s="12" t="s">
        <v>68</v>
      </c>
      <c r="H1420" s="12" t="s">
        <v>69</v>
      </c>
      <c r="I1420" s="12" t="s">
        <v>70</v>
      </c>
      <c r="J1420" s="17" t="s">
        <v>2783</v>
      </c>
      <c r="K1420" s="18" t="s">
        <v>2784</v>
      </c>
      <c r="L1420" s="20">
        <v>45932.0</v>
      </c>
      <c r="M1420" s="17" t="s">
        <v>28</v>
      </c>
      <c r="N1420" s="17" t="s">
        <v>3417</v>
      </c>
      <c r="O1420" s="17">
        <v>4.7187138E7</v>
      </c>
      <c r="P1420" s="17" t="s">
        <v>3418</v>
      </c>
      <c r="Q1420" s="17" t="s">
        <v>112</v>
      </c>
      <c r="R1420" s="17" t="str">
        <f>IFERROR(__xludf.DUMMYFUNCTION("CONCATENATE(REGEXEXTRACT(Q1420,""[\d]+""),"" años"")"),"4 años")</f>
        <v>4 años</v>
      </c>
      <c r="S1420" s="17" t="s">
        <v>3419</v>
      </c>
      <c r="U1420" s="24"/>
      <c r="V1420" s="24"/>
      <c r="W1420" s="18" t="s">
        <v>76</v>
      </c>
    </row>
    <row r="1421">
      <c r="A1421" s="11"/>
      <c r="B1421" s="12" t="s">
        <v>43</v>
      </c>
      <c r="C1421" s="12" t="s">
        <v>65</v>
      </c>
      <c r="D1421" s="12" t="s">
        <v>43</v>
      </c>
      <c r="E1421" s="12" t="s">
        <v>66</v>
      </c>
      <c r="F1421" s="13" t="s">
        <v>67</v>
      </c>
      <c r="G1421" s="12" t="s">
        <v>68</v>
      </c>
      <c r="H1421" s="12" t="s">
        <v>69</v>
      </c>
      <c r="I1421" s="12" t="s">
        <v>70</v>
      </c>
      <c r="J1421" s="17" t="s">
        <v>2783</v>
      </c>
      <c r="K1421" s="18" t="s">
        <v>2784</v>
      </c>
      <c r="L1421" s="20">
        <v>45932.0</v>
      </c>
      <c r="M1421" s="17" t="s">
        <v>28</v>
      </c>
      <c r="N1421" s="17" t="s">
        <v>3420</v>
      </c>
      <c r="O1421" s="17">
        <v>4.7878808E7</v>
      </c>
      <c r="P1421" s="17" t="s">
        <v>3421</v>
      </c>
      <c r="Q1421" s="17" t="s">
        <v>73</v>
      </c>
      <c r="R1421" s="17" t="str">
        <f>IFERROR(__xludf.DUMMYFUNCTION("CONCATENATE(REGEXEXTRACT(Q1421,""[\d]+""),"" años"")"),"3 años")</f>
        <v>3 años</v>
      </c>
      <c r="S1421" s="17" t="s">
        <v>3422</v>
      </c>
      <c r="U1421" s="24"/>
      <c r="V1421" s="24"/>
      <c r="W1421" s="18" t="s">
        <v>76</v>
      </c>
    </row>
    <row r="1422">
      <c r="A1422" s="11"/>
      <c r="B1422" s="12" t="s">
        <v>43</v>
      </c>
      <c r="C1422" s="12" t="s">
        <v>65</v>
      </c>
      <c r="D1422" s="12" t="s">
        <v>43</v>
      </c>
      <c r="E1422" s="12" t="s">
        <v>66</v>
      </c>
      <c r="F1422" s="13" t="s">
        <v>67</v>
      </c>
      <c r="G1422" s="12" t="s">
        <v>68</v>
      </c>
      <c r="H1422" s="12" t="s">
        <v>69</v>
      </c>
      <c r="I1422" s="12" t="s">
        <v>70</v>
      </c>
      <c r="J1422" s="17" t="s">
        <v>2783</v>
      </c>
      <c r="K1422" s="18" t="s">
        <v>2784</v>
      </c>
      <c r="L1422" s="20">
        <v>45932.0</v>
      </c>
      <c r="M1422" s="17" t="s">
        <v>28</v>
      </c>
      <c r="N1422" s="17" t="s">
        <v>3945</v>
      </c>
      <c r="P1422" s="17" t="s">
        <v>3946</v>
      </c>
      <c r="Q1422" s="17" t="s">
        <v>73</v>
      </c>
      <c r="R1422" s="17" t="str">
        <f>IFERROR(__xludf.DUMMYFUNCTION("CONCATENATE(REGEXEXTRACT(Q1422,""[\d]+""),"" años"")"),"3 años")</f>
        <v>3 años</v>
      </c>
      <c r="S1422" s="17" t="s">
        <v>3947</v>
      </c>
      <c r="U1422" s="24"/>
      <c r="V1422" s="24"/>
      <c r="W1422" s="18" t="s">
        <v>76</v>
      </c>
    </row>
    <row r="1423">
      <c r="A1423" s="11"/>
      <c r="B1423" s="12" t="s">
        <v>43</v>
      </c>
      <c r="C1423" s="12" t="s">
        <v>65</v>
      </c>
      <c r="D1423" s="12" t="s">
        <v>43</v>
      </c>
      <c r="E1423" s="12" t="s">
        <v>66</v>
      </c>
      <c r="F1423" s="13" t="s">
        <v>67</v>
      </c>
      <c r="G1423" s="12" t="s">
        <v>68</v>
      </c>
      <c r="H1423" s="12" t="s">
        <v>69</v>
      </c>
      <c r="I1423" s="12" t="s">
        <v>70</v>
      </c>
      <c r="J1423" s="17" t="s">
        <v>2783</v>
      </c>
      <c r="K1423" s="18" t="s">
        <v>2784</v>
      </c>
      <c r="L1423" s="20">
        <v>45932.0</v>
      </c>
      <c r="M1423" s="17" t="s">
        <v>28</v>
      </c>
      <c r="N1423" s="17" t="s">
        <v>3411</v>
      </c>
      <c r="O1423" s="17">
        <v>4.6534994E7</v>
      </c>
      <c r="P1423" s="17" t="s">
        <v>3412</v>
      </c>
      <c r="Q1423" s="17" t="s">
        <v>73</v>
      </c>
      <c r="R1423" s="17" t="str">
        <f>IFERROR(__xludf.DUMMYFUNCTION("CONCATENATE(REGEXEXTRACT(Q1423,""[\d]+""),"" años"")"),"3 años")</f>
        <v>3 años</v>
      </c>
      <c r="S1423" s="17" t="s">
        <v>3413</v>
      </c>
      <c r="U1423" s="24"/>
      <c r="V1423" s="24"/>
      <c r="W1423" s="18" t="s">
        <v>76</v>
      </c>
    </row>
    <row r="1424">
      <c r="A1424" s="11"/>
      <c r="B1424" s="12" t="s">
        <v>43</v>
      </c>
      <c r="C1424" s="12" t="s">
        <v>65</v>
      </c>
      <c r="D1424" s="12" t="s">
        <v>43</v>
      </c>
      <c r="E1424" s="12" t="s">
        <v>66</v>
      </c>
      <c r="F1424" s="13" t="s">
        <v>67</v>
      </c>
      <c r="G1424" s="12" t="s">
        <v>68</v>
      </c>
      <c r="H1424" s="12" t="s">
        <v>69</v>
      </c>
      <c r="I1424" s="12" t="s">
        <v>70</v>
      </c>
      <c r="J1424" s="17" t="s">
        <v>2783</v>
      </c>
      <c r="K1424" s="18" t="s">
        <v>2784</v>
      </c>
      <c r="L1424" s="20">
        <v>45932.0</v>
      </c>
      <c r="M1424" s="17" t="s">
        <v>23</v>
      </c>
      <c r="N1424" s="17" t="s">
        <v>3161</v>
      </c>
      <c r="P1424" s="17"/>
      <c r="Q1424" s="17" t="s">
        <v>73</v>
      </c>
      <c r="R1424" s="17" t="str">
        <f>IFERROR(__xludf.DUMMYFUNCTION("CONCATENATE(REGEXEXTRACT(Q1424,""[\d]+""),"" años"")"),"3 años")</f>
        <v>3 años</v>
      </c>
      <c r="S1424" s="17" t="s">
        <v>2202</v>
      </c>
      <c r="U1424" s="24"/>
      <c r="V1424" s="24"/>
      <c r="W1424" s="18" t="s">
        <v>76</v>
      </c>
    </row>
    <row r="1425">
      <c r="A1425" s="11"/>
      <c r="B1425" s="12" t="s">
        <v>43</v>
      </c>
      <c r="C1425" s="12" t="s">
        <v>65</v>
      </c>
      <c r="D1425" s="12" t="s">
        <v>43</v>
      </c>
      <c r="E1425" s="12" t="s">
        <v>66</v>
      </c>
      <c r="F1425" s="13" t="s">
        <v>67</v>
      </c>
      <c r="G1425" s="12" t="s">
        <v>68</v>
      </c>
      <c r="H1425" s="12" t="s">
        <v>69</v>
      </c>
      <c r="I1425" s="12" t="s">
        <v>70</v>
      </c>
      <c r="J1425" s="17" t="s">
        <v>2783</v>
      </c>
      <c r="K1425" s="18" t="s">
        <v>2784</v>
      </c>
      <c r="L1425" s="20">
        <v>45932.0</v>
      </c>
      <c r="M1425" s="17" t="s">
        <v>23</v>
      </c>
      <c r="N1425" s="17" t="s">
        <v>3410</v>
      </c>
      <c r="P1425" s="17"/>
      <c r="Q1425" s="17" t="s">
        <v>108</v>
      </c>
      <c r="R1425" s="17" t="str">
        <f>IFERROR(__xludf.DUMMYFUNCTION("CONCATENATE(REGEXEXTRACT(Q1425,""[\d]+""),"" años"")"),"5 años")</f>
        <v>5 años</v>
      </c>
      <c r="S1425" s="17" t="s">
        <v>2198</v>
      </c>
      <c r="U1425" s="24"/>
      <c r="V1425" s="24"/>
      <c r="W1425" s="18" t="s">
        <v>76</v>
      </c>
    </row>
    <row r="1426">
      <c r="A1426" s="11"/>
      <c r="B1426" s="12" t="s">
        <v>43</v>
      </c>
      <c r="C1426" s="12" t="s">
        <v>65</v>
      </c>
      <c r="D1426" s="12" t="s">
        <v>43</v>
      </c>
      <c r="E1426" s="12" t="s">
        <v>66</v>
      </c>
      <c r="F1426" s="13" t="s">
        <v>67</v>
      </c>
      <c r="G1426" s="12" t="s">
        <v>68</v>
      </c>
      <c r="H1426" s="12" t="s">
        <v>69</v>
      </c>
      <c r="I1426" s="12" t="s">
        <v>70</v>
      </c>
      <c r="J1426" s="17" t="s">
        <v>2783</v>
      </c>
      <c r="K1426" s="18" t="s">
        <v>2784</v>
      </c>
      <c r="L1426" s="20">
        <v>45932.0</v>
      </c>
      <c r="M1426" s="17" t="s">
        <v>28</v>
      </c>
      <c r="N1426" s="17" t="s">
        <v>3948</v>
      </c>
      <c r="O1426" s="17">
        <v>7.2109064E7</v>
      </c>
      <c r="P1426" s="17" t="s">
        <v>3429</v>
      </c>
      <c r="Q1426" s="17" t="s">
        <v>112</v>
      </c>
      <c r="R1426" s="17" t="str">
        <f>IFERROR(__xludf.DUMMYFUNCTION("CONCATENATE(REGEXEXTRACT(Q1426,""[\d]+""),"" años"")"),"4 años")</f>
        <v>4 años</v>
      </c>
      <c r="S1426" s="17" t="s">
        <v>3430</v>
      </c>
      <c r="U1426" s="24"/>
      <c r="V1426" s="24"/>
      <c r="W1426" s="18" t="s">
        <v>76</v>
      </c>
    </row>
    <row r="1427">
      <c r="A1427" s="11"/>
      <c r="B1427" s="12" t="s">
        <v>43</v>
      </c>
      <c r="C1427" s="12" t="s">
        <v>65</v>
      </c>
      <c r="D1427" s="12" t="s">
        <v>43</v>
      </c>
      <c r="E1427" s="12" t="s">
        <v>66</v>
      </c>
      <c r="F1427" s="13" t="s">
        <v>67</v>
      </c>
      <c r="G1427" s="12" t="s">
        <v>68</v>
      </c>
      <c r="H1427" s="12" t="s">
        <v>69</v>
      </c>
      <c r="I1427" s="12" t="s">
        <v>70</v>
      </c>
      <c r="J1427" s="17" t="s">
        <v>2687</v>
      </c>
      <c r="K1427" s="18">
        <v>1.0</v>
      </c>
      <c r="L1427" s="20">
        <v>45924.0</v>
      </c>
      <c r="M1427" s="17" t="s">
        <v>23</v>
      </c>
      <c r="N1427" s="17" t="s">
        <v>3161</v>
      </c>
      <c r="P1427" s="17"/>
      <c r="Q1427" s="17" t="s">
        <v>73</v>
      </c>
      <c r="R1427" s="17" t="s">
        <v>74</v>
      </c>
      <c r="S1427" s="17" t="s">
        <v>2202</v>
      </c>
      <c r="U1427" s="24"/>
      <c r="V1427" s="24"/>
      <c r="W1427" s="18" t="s">
        <v>76</v>
      </c>
    </row>
    <row r="1428">
      <c r="A1428" s="11"/>
      <c r="B1428" s="12" t="s">
        <v>43</v>
      </c>
      <c r="C1428" s="12" t="s">
        <v>65</v>
      </c>
      <c r="D1428" s="12" t="s">
        <v>43</v>
      </c>
      <c r="E1428" s="12" t="s">
        <v>66</v>
      </c>
      <c r="F1428" s="13" t="s">
        <v>67</v>
      </c>
      <c r="G1428" s="12" t="s">
        <v>68</v>
      </c>
      <c r="H1428" s="12" t="s">
        <v>69</v>
      </c>
      <c r="I1428" s="12" t="s">
        <v>70</v>
      </c>
      <c r="J1428" s="17" t="s">
        <v>2687</v>
      </c>
      <c r="K1428" s="18">
        <v>1.0</v>
      </c>
      <c r="L1428" s="20">
        <v>45924.0</v>
      </c>
      <c r="M1428" s="17" t="s">
        <v>23</v>
      </c>
      <c r="N1428" s="17" t="s">
        <v>3410</v>
      </c>
      <c r="P1428" s="17"/>
      <c r="Q1428" s="17" t="s">
        <v>108</v>
      </c>
      <c r="R1428" s="17" t="s">
        <v>109</v>
      </c>
      <c r="S1428" s="17" t="s">
        <v>2198</v>
      </c>
      <c r="U1428" s="24"/>
      <c r="V1428" s="24"/>
      <c r="W1428" s="18" t="s">
        <v>76</v>
      </c>
    </row>
    <row r="1429">
      <c r="A1429" s="11"/>
      <c r="B1429" s="12" t="s">
        <v>43</v>
      </c>
      <c r="C1429" s="12" t="s">
        <v>65</v>
      </c>
      <c r="D1429" s="12" t="s">
        <v>43</v>
      </c>
      <c r="E1429" s="12" t="s">
        <v>66</v>
      </c>
      <c r="F1429" s="13" t="s">
        <v>67</v>
      </c>
      <c r="G1429" s="12" t="s">
        <v>68</v>
      </c>
      <c r="H1429" s="12" t="s">
        <v>69</v>
      </c>
      <c r="I1429" s="12" t="s">
        <v>70</v>
      </c>
      <c r="J1429" s="17" t="s">
        <v>2687</v>
      </c>
      <c r="K1429" s="18">
        <v>1.0</v>
      </c>
      <c r="L1429" s="20">
        <v>45924.0</v>
      </c>
      <c r="M1429" s="17" t="s">
        <v>23</v>
      </c>
      <c r="N1429" s="17" t="s">
        <v>3949</v>
      </c>
      <c r="P1429" s="17"/>
      <c r="Q1429" s="17" t="s">
        <v>112</v>
      </c>
      <c r="R1429" s="17" t="s">
        <v>113</v>
      </c>
      <c r="S1429" s="17" t="s">
        <v>2220</v>
      </c>
      <c r="U1429" s="24"/>
      <c r="V1429" s="24"/>
      <c r="W1429" s="18" t="s">
        <v>76</v>
      </c>
    </row>
    <row r="1430">
      <c r="A1430" s="11"/>
      <c r="B1430" s="12" t="s">
        <v>43</v>
      </c>
      <c r="C1430" s="12" t="s">
        <v>65</v>
      </c>
      <c r="D1430" s="12" t="s">
        <v>43</v>
      </c>
      <c r="E1430" s="12" t="s">
        <v>188</v>
      </c>
      <c r="F1430" s="13" t="s">
        <v>189</v>
      </c>
      <c r="G1430" s="12" t="s">
        <v>68</v>
      </c>
      <c r="H1430" s="12" t="s">
        <v>190</v>
      </c>
      <c r="I1430" s="12" t="s">
        <v>191</v>
      </c>
      <c r="J1430" s="17" t="s">
        <v>2783</v>
      </c>
      <c r="K1430" s="18" t="s">
        <v>2784</v>
      </c>
      <c r="L1430" s="20">
        <v>45932.0</v>
      </c>
      <c r="M1430" s="17" t="s">
        <v>28</v>
      </c>
      <c r="N1430" s="9" t="s">
        <v>3198</v>
      </c>
      <c r="O1430" s="17">
        <v>7.6740605E7</v>
      </c>
      <c r="P1430" s="17" t="s">
        <v>3199</v>
      </c>
      <c r="Q1430" s="17" t="s">
        <v>112</v>
      </c>
      <c r="R1430" s="17"/>
      <c r="S1430" s="17" t="s">
        <v>3950</v>
      </c>
      <c r="U1430" s="24"/>
      <c r="V1430" s="24"/>
      <c r="W1430" s="18" t="s">
        <v>76</v>
      </c>
    </row>
    <row r="1431">
      <c r="A1431" s="11"/>
      <c r="B1431" s="12" t="s">
        <v>43</v>
      </c>
      <c r="C1431" s="12" t="s">
        <v>65</v>
      </c>
      <c r="D1431" s="12" t="s">
        <v>43</v>
      </c>
      <c r="E1431" s="12" t="s">
        <v>188</v>
      </c>
      <c r="F1431" s="13" t="s">
        <v>189</v>
      </c>
      <c r="G1431" s="12" t="s">
        <v>68</v>
      </c>
      <c r="H1431" s="12" t="s">
        <v>190</v>
      </c>
      <c r="I1431" s="12" t="s">
        <v>191</v>
      </c>
      <c r="J1431" s="17" t="s">
        <v>2783</v>
      </c>
      <c r="K1431" s="18" t="s">
        <v>2784</v>
      </c>
      <c r="L1431" s="20">
        <v>45932.0</v>
      </c>
      <c r="M1431" s="17" t="s">
        <v>28</v>
      </c>
      <c r="N1431" s="9" t="s">
        <v>3951</v>
      </c>
      <c r="O1431" s="17">
        <v>4.6600104E7</v>
      </c>
      <c r="P1431" s="17" t="s">
        <v>3952</v>
      </c>
      <c r="Q1431" s="17" t="s">
        <v>73</v>
      </c>
      <c r="R1431" s="17"/>
      <c r="S1431" s="17" t="s">
        <v>3953</v>
      </c>
      <c r="U1431" s="24"/>
      <c r="V1431" s="24"/>
      <c r="W1431" s="18" t="s">
        <v>76</v>
      </c>
    </row>
    <row r="1432">
      <c r="A1432" s="11"/>
      <c r="B1432" s="12" t="s">
        <v>43</v>
      </c>
      <c r="C1432" s="12" t="s">
        <v>65</v>
      </c>
      <c r="D1432" s="12" t="s">
        <v>43</v>
      </c>
      <c r="E1432" s="12" t="s">
        <v>188</v>
      </c>
      <c r="F1432" s="13" t="s">
        <v>189</v>
      </c>
      <c r="G1432" s="12" t="s">
        <v>68</v>
      </c>
      <c r="H1432" s="12" t="s">
        <v>190</v>
      </c>
      <c r="I1432" s="12" t="s">
        <v>191</v>
      </c>
      <c r="J1432" s="17" t="s">
        <v>2783</v>
      </c>
      <c r="K1432" s="18" t="s">
        <v>2784</v>
      </c>
      <c r="L1432" s="20">
        <v>45932.0</v>
      </c>
      <c r="M1432" s="17" t="s">
        <v>28</v>
      </c>
      <c r="N1432" s="9" t="s">
        <v>3177</v>
      </c>
      <c r="O1432" s="17">
        <v>4.8321573E7</v>
      </c>
      <c r="P1432" s="17" t="s">
        <v>3178</v>
      </c>
      <c r="Q1432" s="17" t="s">
        <v>112</v>
      </c>
      <c r="R1432" s="17"/>
      <c r="S1432" s="17" t="s">
        <v>3179</v>
      </c>
      <c r="U1432" s="24"/>
      <c r="V1432" s="24"/>
      <c r="W1432" s="18" t="s">
        <v>76</v>
      </c>
    </row>
    <row r="1433">
      <c r="A1433" s="11"/>
      <c r="B1433" s="12" t="s">
        <v>43</v>
      </c>
      <c r="C1433" s="12" t="s">
        <v>65</v>
      </c>
      <c r="D1433" s="12" t="s">
        <v>43</v>
      </c>
      <c r="E1433" s="12" t="s">
        <v>188</v>
      </c>
      <c r="F1433" s="13" t="s">
        <v>189</v>
      </c>
      <c r="G1433" s="12" t="s">
        <v>68</v>
      </c>
      <c r="H1433" s="12" t="s">
        <v>190</v>
      </c>
      <c r="I1433" s="12" t="s">
        <v>191</v>
      </c>
      <c r="J1433" s="17" t="s">
        <v>2783</v>
      </c>
      <c r="K1433" s="18" t="s">
        <v>2784</v>
      </c>
      <c r="L1433" s="20">
        <v>45932.0</v>
      </c>
      <c r="M1433" s="17" t="s">
        <v>28</v>
      </c>
      <c r="N1433" s="9" t="s">
        <v>3747</v>
      </c>
      <c r="O1433" s="17">
        <v>4.5308289E7</v>
      </c>
      <c r="P1433" s="17" t="s">
        <v>3748</v>
      </c>
      <c r="Q1433" s="17" t="s">
        <v>73</v>
      </c>
      <c r="R1433" s="17"/>
      <c r="S1433" s="17" t="s">
        <v>3749</v>
      </c>
      <c r="U1433" s="24"/>
      <c r="V1433" s="24"/>
      <c r="W1433" s="18" t="s">
        <v>76</v>
      </c>
    </row>
    <row r="1434">
      <c r="A1434" s="11"/>
      <c r="B1434" s="12" t="s">
        <v>43</v>
      </c>
      <c r="C1434" s="12" t="s">
        <v>65</v>
      </c>
      <c r="D1434" s="12" t="s">
        <v>43</v>
      </c>
      <c r="E1434" s="12" t="s">
        <v>188</v>
      </c>
      <c r="F1434" s="13" t="s">
        <v>189</v>
      </c>
      <c r="G1434" s="12" t="s">
        <v>68</v>
      </c>
      <c r="H1434" s="12" t="s">
        <v>190</v>
      </c>
      <c r="I1434" s="12" t="s">
        <v>191</v>
      </c>
      <c r="J1434" s="17" t="s">
        <v>2783</v>
      </c>
      <c r="K1434" s="18" t="s">
        <v>2784</v>
      </c>
      <c r="L1434" s="20">
        <v>45932.0</v>
      </c>
      <c r="M1434" s="17" t="s">
        <v>28</v>
      </c>
      <c r="N1434" s="9" t="s">
        <v>3192</v>
      </c>
      <c r="O1434" s="17">
        <v>7.2551321E7</v>
      </c>
      <c r="P1434" s="17" t="s">
        <v>3193</v>
      </c>
      <c r="Q1434" s="17" t="s">
        <v>108</v>
      </c>
      <c r="R1434" s="17"/>
      <c r="S1434" s="17" t="s">
        <v>3194</v>
      </c>
      <c r="U1434" s="24"/>
      <c r="V1434" s="24"/>
      <c r="W1434" s="18" t="s">
        <v>76</v>
      </c>
    </row>
    <row r="1435">
      <c r="A1435" s="11"/>
      <c r="B1435" s="12" t="s">
        <v>43</v>
      </c>
      <c r="C1435" s="12" t="s">
        <v>65</v>
      </c>
      <c r="D1435" s="12" t="s">
        <v>43</v>
      </c>
      <c r="E1435" s="12" t="s">
        <v>188</v>
      </c>
      <c r="F1435" s="13" t="s">
        <v>189</v>
      </c>
      <c r="G1435" s="12" t="s">
        <v>68</v>
      </c>
      <c r="H1435" s="12" t="s">
        <v>190</v>
      </c>
      <c r="I1435" s="12" t="s">
        <v>191</v>
      </c>
      <c r="J1435" s="17" t="s">
        <v>2783</v>
      </c>
      <c r="K1435" s="18" t="s">
        <v>2784</v>
      </c>
      <c r="L1435" s="20">
        <v>45932.0</v>
      </c>
      <c r="M1435" s="17" t="s">
        <v>28</v>
      </c>
      <c r="N1435" s="9" t="s">
        <v>3954</v>
      </c>
      <c r="O1435" s="17">
        <v>7.2568669E7</v>
      </c>
      <c r="P1435" s="17" t="s">
        <v>3181</v>
      </c>
      <c r="Q1435" s="17" t="s">
        <v>112</v>
      </c>
      <c r="R1435" s="17"/>
      <c r="S1435" s="17" t="s">
        <v>3182</v>
      </c>
      <c r="U1435" s="24"/>
      <c r="V1435" s="24"/>
      <c r="W1435" s="18" t="s">
        <v>76</v>
      </c>
    </row>
    <row r="1436">
      <c r="A1436" s="11"/>
      <c r="B1436" s="12" t="s">
        <v>43</v>
      </c>
      <c r="C1436" s="12" t="s">
        <v>65</v>
      </c>
      <c r="D1436" s="12" t="s">
        <v>43</v>
      </c>
      <c r="E1436" s="12" t="s">
        <v>188</v>
      </c>
      <c r="F1436" s="13" t="s">
        <v>189</v>
      </c>
      <c r="G1436" s="12" t="s">
        <v>68</v>
      </c>
      <c r="H1436" s="12" t="s">
        <v>190</v>
      </c>
      <c r="I1436" s="12" t="s">
        <v>191</v>
      </c>
      <c r="J1436" s="17" t="s">
        <v>2783</v>
      </c>
      <c r="K1436" s="18" t="s">
        <v>2784</v>
      </c>
      <c r="L1436" s="20">
        <v>45932.0</v>
      </c>
      <c r="M1436" s="17" t="s">
        <v>28</v>
      </c>
      <c r="N1436" s="9" t="s">
        <v>3208</v>
      </c>
      <c r="O1436" s="17">
        <v>4.2410734E7</v>
      </c>
      <c r="P1436" s="17" t="s">
        <v>3209</v>
      </c>
      <c r="Q1436" s="17" t="s">
        <v>73</v>
      </c>
      <c r="R1436" s="17"/>
      <c r="S1436" s="17" t="s">
        <v>3210</v>
      </c>
      <c r="U1436" s="24"/>
      <c r="V1436" s="24"/>
      <c r="W1436" s="18" t="s">
        <v>76</v>
      </c>
    </row>
    <row r="1437">
      <c r="A1437" s="11"/>
      <c r="B1437" s="12" t="s">
        <v>43</v>
      </c>
      <c r="C1437" s="12" t="s">
        <v>65</v>
      </c>
      <c r="D1437" s="12" t="s">
        <v>43</v>
      </c>
      <c r="E1437" s="12" t="s">
        <v>188</v>
      </c>
      <c r="F1437" s="13" t="s">
        <v>189</v>
      </c>
      <c r="G1437" s="12" t="s">
        <v>68</v>
      </c>
      <c r="H1437" s="12" t="s">
        <v>190</v>
      </c>
      <c r="I1437" s="12" t="s">
        <v>191</v>
      </c>
      <c r="J1437" s="17" t="s">
        <v>2783</v>
      </c>
      <c r="K1437" s="18" t="s">
        <v>2784</v>
      </c>
      <c r="L1437" s="20">
        <v>45932.0</v>
      </c>
      <c r="M1437" s="17" t="s">
        <v>28</v>
      </c>
      <c r="N1437" s="9" t="s">
        <v>3955</v>
      </c>
      <c r="O1437" s="17">
        <v>3.2304483E7</v>
      </c>
      <c r="P1437" s="17" t="s">
        <v>3956</v>
      </c>
      <c r="Q1437" s="17" t="s">
        <v>112</v>
      </c>
      <c r="R1437" s="17"/>
      <c r="S1437" s="17" t="s">
        <v>3957</v>
      </c>
      <c r="U1437" s="24"/>
      <c r="V1437" s="24"/>
      <c r="W1437" s="18" t="s">
        <v>76</v>
      </c>
    </row>
    <row r="1438">
      <c r="A1438" s="11"/>
      <c r="B1438" s="12" t="s">
        <v>43</v>
      </c>
      <c r="C1438" s="12" t="s">
        <v>65</v>
      </c>
      <c r="D1438" s="12" t="s">
        <v>43</v>
      </c>
      <c r="E1438" s="12" t="s">
        <v>188</v>
      </c>
      <c r="F1438" s="13" t="s">
        <v>189</v>
      </c>
      <c r="G1438" s="12" t="s">
        <v>68</v>
      </c>
      <c r="H1438" s="12" t="s">
        <v>190</v>
      </c>
      <c r="I1438" s="12" t="s">
        <v>191</v>
      </c>
      <c r="J1438" s="17" t="s">
        <v>2783</v>
      </c>
      <c r="K1438" s="18" t="s">
        <v>2784</v>
      </c>
      <c r="L1438" s="20">
        <v>45932.0</v>
      </c>
      <c r="M1438" s="17" t="s">
        <v>28</v>
      </c>
      <c r="N1438" s="9" t="s">
        <v>3958</v>
      </c>
      <c r="P1438" s="17" t="s">
        <v>3959</v>
      </c>
      <c r="Q1438" s="17" t="s">
        <v>112</v>
      </c>
      <c r="R1438" s="17"/>
      <c r="S1438" s="17" t="s">
        <v>3960</v>
      </c>
      <c r="U1438" s="24"/>
      <c r="V1438" s="24"/>
      <c r="W1438" s="18" t="s">
        <v>76</v>
      </c>
    </row>
    <row r="1439">
      <c r="A1439" s="11"/>
      <c r="B1439" s="12" t="s">
        <v>43</v>
      </c>
      <c r="C1439" s="12" t="s">
        <v>65</v>
      </c>
      <c r="D1439" s="12" t="s">
        <v>43</v>
      </c>
      <c r="E1439" s="12" t="s">
        <v>188</v>
      </c>
      <c r="F1439" s="13" t="s">
        <v>189</v>
      </c>
      <c r="G1439" s="12" t="s">
        <v>68</v>
      </c>
      <c r="H1439" s="12" t="s">
        <v>190</v>
      </c>
      <c r="I1439" s="12" t="s">
        <v>191</v>
      </c>
      <c r="J1439" s="17" t="s">
        <v>2783</v>
      </c>
      <c r="K1439" s="18" t="s">
        <v>2784</v>
      </c>
      <c r="L1439" s="20">
        <v>45932.0</v>
      </c>
      <c r="M1439" s="17" t="s">
        <v>28</v>
      </c>
      <c r="N1439" s="9" t="s">
        <v>3200</v>
      </c>
      <c r="O1439" s="17">
        <v>4.3893169E7</v>
      </c>
      <c r="P1439" s="17" t="s">
        <v>3201</v>
      </c>
      <c r="Q1439" s="17" t="s">
        <v>73</v>
      </c>
      <c r="R1439" s="17"/>
      <c r="S1439" s="17" t="s">
        <v>3202</v>
      </c>
      <c r="U1439" s="24"/>
      <c r="V1439" s="24"/>
      <c r="W1439" s="18" t="s">
        <v>76</v>
      </c>
    </row>
    <row r="1440">
      <c r="A1440" s="11"/>
      <c r="B1440" s="12" t="s">
        <v>43</v>
      </c>
      <c r="C1440" s="12" t="s">
        <v>65</v>
      </c>
      <c r="D1440" s="12" t="s">
        <v>43</v>
      </c>
      <c r="E1440" s="12" t="s">
        <v>188</v>
      </c>
      <c r="F1440" s="13" t="s">
        <v>189</v>
      </c>
      <c r="G1440" s="12" t="s">
        <v>68</v>
      </c>
      <c r="H1440" s="12" t="s">
        <v>190</v>
      </c>
      <c r="I1440" s="12" t="s">
        <v>191</v>
      </c>
      <c r="J1440" s="17" t="s">
        <v>2783</v>
      </c>
      <c r="K1440" s="18" t="s">
        <v>2784</v>
      </c>
      <c r="L1440" s="20">
        <v>45932.0</v>
      </c>
      <c r="M1440" s="17" t="s">
        <v>23</v>
      </c>
      <c r="N1440" s="134" t="s">
        <v>3407</v>
      </c>
      <c r="P1440" s="17"/>
      <c r="Q1440" s="17" t="s">
        <v>73</v>
      </c>
      <c r="R1440" s="17"/>
      <c r="S1440" s="17" t="s">
        <v>73</v>
      </c>
      <c r="U1440" s="24"/>
      <c r="V1440" s="24"/>
      <c r="W1440" s="18" t="s">
        <v>76</v>
      </c>
    </row>
    <row r="1441">
      <c r="A1441" s="11"/>
      <c r="B1441" s="12" t="s">
        <v>43</v>
      </c>
      <c r="C1441" s="12" t="s">
        <v>65</v>
      </c>
      <c r="D1441" s="12" t="s">
        <v>43</v>
      </c>
      <c r="E1441" s="12" t="s">
        <v>188</v>
      </c>
      <c r="F1441" s="13" t="s">
        <v>189</v>
      </c>
      <c r="G1441" s="12" t="s">
        <v>68</v>
      </c>
      <c r="H1441" s="12" t="s">
        <v>190</v>
      </c>
      <c r="I1441" s="12" t="s">
        <v>191</v>
      </c>
      <c r="J1441" s="17" t="s">
        <v>2783</v>
      </c>
      <c r="K1441" s="18" t="s">
        <v>2784</v>
      </c>
      <c r="L1441" s="20">
        <v>45932.0</v>
      </c>
      <c r="M1441" s="17" t="s">
        <v>23</v>
      </c>
      <c r="N1441" s="9" t="s">
        <v>3409</v>
      </c>
      <c r="P1441" s="17"/>
      <c r="Q1441" s="17" t="s">
        <v>112</v>
      </c>
      <c r="R1441" s="17"/>
      <c r="S1441" s="17" t="s">
        <v>112</v>
      </c>
      <c r="U1441" s="24"/>
      <c r="V1441" s="24"/>
      <c r="W1441" s="18" t="s">
        <v>76</v>
      </c>
    </row>
    <row r="1442">
      <c r="A1442" s="11"/>
      <c r="B1442" s="12" t="s">
        <v>43</v>
      </c>
      <c r="C1442" s="12" t="s">
        <v>65</v>
      </c>
      <c r="D1442" s="12" t="s">
        <v>43</v>
      </c>
      <c r="E1442" s="12" t="s">
        <v>203</v>
      </c>
      <c r="F1442" s="13" t="s">
        <v>204</v>
      </c>
      <c r="G1442" s="12" t="s">
        <v>68</v>
      </c>
      <c r="H1442" s="12" t="s">
        <v>205</v>
      </c>
      <c r="I1442" s="12" t="s">
        <v>206</v>
      </c>
      <c r="J1442" s="17" t="s">
        <v>2783</v>
      </c>
      <c r="K1442" s="18" t="s">
        <v>2784</v>
      </c>
      <c r="L1442" s="20">
        <v>45930.0</v>
      </c>
      <c r="M1442" s="17" t="s">
        <v>28</v>
      </c>
      <c r="N1442" s="17" t="s">
        <v>3608</v>
      </c>
      <c r="O1442" s="17">
        <v>4.767867E7</v>
      </c>
      <c r="P1442" s="17" t="s">
        <v>3609</v>
      </c>
      <c r="Q1442" s="17" t="s">
        <v>108</v>
      </c>
      <c r="R1442" s="17"/>
      <c r="S1442" s="17" t="s">
        <v>3961</v>
      </c>
      <c r="U1442" s="24"/>
      <c r="V1442" s="24"/>
      <c r="W1442" s="18" t="s">
        <v>76</v>
      </c>
    </row>
    <row r="1443">
      <c r="A1443" s="11"/>
      <c r="B1443" s="12" t="s">
        <v>43</v>
      </c>
      <c r="C1443" s="12" t="s">
        <v>65</v>
      </c>
      <c r="D1443" s="12" t="s">
        <v>43</v>
      </c>
      <c r="E1443" s="12" t="s">
        <v>203</v>
      </c>
      <c r="F1443" s="13" t="s">
        <v>204</v>
      </c>
      <c r="G1443" s="12" t="s">
        <v>68</v>
      </c>
      <c r="H1443" s="12" t="s">
        <v>205</v>
      </c>
      <c r="I1443" s="12" t="s">
        <v>206</v>
      </c>
      <c r="J1443" s="17" t="s">
        <v>2783</v>
      </c>
      <c r="K1443" s="18" t="s">
        <v>2784</v>
      </c>
      <c r="L1443" s="20">
        <v>45930.0</v>
      </c>
      <c r="M1443" s="17" t="s">
        <v>28</v>
      </c>
      <c r="N1443" s="17" t="s">
        <v>3962</v>
      </c>
      <c r="O1443" s="17">
        <v>4.8845055E7</v>
      </c>
      <c r="P1443" s="17" t="s">
        <v>3963</v>
      </c>
      <c r="Q1443" s="17" t="s">
        <v>73</v>
      </c>
      <c r="R1443" s="17"/>
      <c r="S1443" s="17" t="s">
        <v>3964</v>
      </c>
      <c r="U1443" s="24"/>
      <c r="V1443" s="24"/>
      <c r="W1443" s="18" t="s">
        <v>76</v>
      </c>
    </row>
    <row r="1444">
      <c r="A1444" s="11"/>
      <c r="B1444" s="12" t="s">
        <v>22</v>
      </c>
      <c r="C1444" s="12" t="s">
        <v>22</v>
      </c>
      <c r="D1444" s="12" t="s">
        <v>22</v>
      </c>
      <c r="E1444" s="12" t="s">
        <v>624</v>
      </c>
      <c r="F1444" s="13" t="s">
        <v>625</v>
      </c>
      <c r="G1444" s="12" t="s">
        <v>68</v>
      </c>
      <c r="H1444" s="12" t="s">
        <v>626</v>
      </c>
      <c r="I1444" s="12" t="s">
        <v>627</v>
      </c>
      <c r="J1444" s="17" t="s">
        <v>2783</v>
      </c>
      <c r="K1444" s="18" t="s">
        <v>2784</v>
      </c>
      <c r="L1444" s="20">
        <v>45937.0</v>
      </c>
      <c r="M1444" s="17" t="s">
        <v>28</v>
      </c>
      <c r="N1444" s="17" t="s">
        <v>3217</v>
      </c>
      <c r="P1444" s="17"/>
      <c r="Q1444" s="17" t="s">
        <v>112</v>
      </c>
      <c r="R1444" s="17"/>
      <c r="S1444" s="17" t="s">
        <v>112</v>
      </c>
      <c r="U1444" s="24"/>
      <c r="V1444" s="24"/>
      <c r="W1444" s="18" t="s">
        <v>588</v>
      </c>
    </row>
    <row r="1445">
      <c r="A1445" s="11"/>
      <c r="B1445" s="12" t="s">
        <v>22</v>
      </c>
      <c r="C1445" s="12" t="s">
        <v>22</v>
      </c>
      <c r="D1445" s="12" t="s">
        <v>22</v>
      </c>
      <c r="E1445" s="12" t="s">
        <v>624</v>
      </c>
      <c r="F1445" s="13" t="s">
        <v>625</v>
      </c>
      <c r="G1445" s="12" t="s">
        <v>68</v>
      </c>
      <c r="H1445" s="12" t="s">
        <v>626</v>
      </c>
      <c r="I1445" s="12" t="s">
        <v>627</v>
      </c>
      <c r="J1445" s="17" t="s">
        <v>2783</v>
      </c>
      <c r="K1445" s="18" t="s">
        <v>2784</v>
      </c>
      <c r="L1445" s="20">
        <v>45937.0</v>
      </c>
      <c r="M1445" s="17" t="s">
        <v>28</v>
      </c>
      <c r="N1445" s="17" t="s">
        <v>3965</v>
      </c>
      <c r="O1445" s="17">
        <v>7.5552355E7</v>
      </c>
      <c r="P1445" s="17" t="s">
        <v>3966</v>
      </c>
      <c r="Q1445" s="17" t="s">
        <v>112</v>
      </c>
      <c r="R1445" s="17"/>
      <c r="S1445" s="17" t="s">
        <v>3967</v>
      </c>
      <c r="U1445" s="24"/>
      <c r="V1445" s="24"/>
      <c r="W1445" s="18" t="s">
        <v>588</v>
      </c>
    </row>
    <row r="1446">
      <c r="A1446" s="11"/>
      <c r="B1446" s="12" t="s">
        <v>22</v>
      </c>
      <c r="C1446" s="12" t="s">
        <v>22</v>
      </c>
      <c r="D1446" s="12" t="s">
        <v>22</v>
      </c>
      <c r="E1446" s="12" t="s">
        <v>624</v>
      </c>
      <c r="F1446" s="13" t="s">
        <v>625</v>
      </c>
      <c r="G1446" s="12" t="s">
        <v>68</v>
      </c>
      <c r="H1446" s="12" t="s">
        <v>626</v>
      </c>
      <c r="I1446" s="12" t="s">
        <v>627</v>
      </c>
      <c r="J1446" s="17" t="s">
        <v>2783</v>
      </c>
      <c r="K1446" s="18" t="s">
        <v>2784</v>
      </c>
      <c r="L1446" s="20">
        <v>45937.0</v>
      </c>
      <c r="M1446" s="17" t="s">
        <v>28</v>
      </c>
      <c r="N1446" s="17" t="s">
        <v>3968</v>
      </c>
      <c r="O1446" s="17">
        <v>4.1528744E7</v>
      </c>
      <c r="P1446" s="17" t="s">
        <v>3969</v>
      </c>
      <c r="Q1446" s="17" t="s">
        <v>112</v>
      </c>
      <c r="R1446" s="17"/>
      <c r="S1446" s="17" t="s">
        <v>3970</v>
      </c>
      <c r="U1446" s="24"/>
      <c r="V1446" s="24"/>
      <c r="W1446" s="18" t="s">
        <v>588</v>
      </c>
    </row>
    <row r="1447">
      <c r="A1447" s="11"/>
      <c r="B1447" s="12" t="s">
        <v>22</v>
      </c>
      <c r="C1447" s="12" t="s">
        <v>22</v>
      </c>
      <c r="D1447" s="12" t="s">
        <v>22</v>
      </c>
      <c r="E1447" s="12" t="s">
        <v>624</v>
      </c>
      <c r="F1447" s="13" t="s">
        <v>625</v>
      </c>
      <c r="G1447" s="12" t="s">
        <v>68</v>
      </c>
      <c r="H1447" s="12" t="s">
        <v>626</v>
      </c>
      <c r="I1447" s="12" t="s">
        <v>627</v>
      </c>
      <c r="J1447" s="17" t="s">
        <v>2783</v>
      </c>
      <c r="K1447" s="18" t="s">
        <v>2784</v>
      </c>
      <c r="L1447" s="20">
        <v>45937.0</v>
      </c>
      <c r="M1447" s="17" t="s">
        <v>28</v>
      </c>
      <c r="N1447" s="17" t="s">
        <v>3971</v>
      </c>
      <c r="P1447" s="17"/>
      <c r="Q1447" s="17"/>
      <c r="R1447" s="17"/>
      <c r="S1447" s="17"/>
      <c r="U1447" s="24"/>
      <c r="V1447" s="24"/>
      <c r="W1447" s="18" t="s">
        <v>588</v>
      </c>
    </row>
    <row r="1448">
      <c r="A1448" s="11"/>
      <c r="B1448" s="12" t="s">
        <v>22</v>
      </c>
      <c r="C1448" s="12" t="s">
        <v>22</v>
      </c>
      <c r="D1448" s="12" t="s">
        <v>22</v>
      </c>
      <c r="E1448" s="12" t="s">
        <v>624</v>
      </c>
      <c r="F1448" s="13" t="s">
        <v>625</v>
      </c>
      <c r="G1448" s="12" t="s">
        <v>68</v>
      </c>
      <c r="H1448" s="12" t="s">
        <v>626</v>
      </c>
      <c r="I1448" s="12" t="s">
        <v>627</v>
      </c>
      <c r="J1448" s="17" t="s">
        <v>2783</v>
      </c>
      <c r="K1448" s="18" t="s">
        <v>2784</v>
      </c>
      <c r="L1448" s="20">
        <v>45937.0</v>
      </c>
      <c r="M1448" s="17" t="s">
        <v>28</v>
      </c>
      <c r="N1448" s="17" t="s">
        <v>3972</v>
      </c>
      <c r="P1448" s="17"/>
      <c r="Q1448" s="17"/>
      <c r="R1448" s="17"/>
      <c r="S1448" s="17"/>
      <c r="U1448" s="24"/>
      <c r="V1448" s="24"/>
      <c r="W1448" s="18" t="s">
        <v>588</v>
      </c>
    </row>
    <row r="1449">
      <c r="A1449" s="11"/>
      <c r="B1449" s="12" t="s">
        <v>22</v>
      </c>
      <c r="C1449" s="12" t="s">
        <v>22</v>
      </c>
      <c r="D1449" s="12" t="s">
        <v>22</v>
      </c>
      <c r="E1449" s="12" t="s">
        <v>624</v>
      </c>
      <c r="F1449" s="13" t="s">
        <v>625</v>
      </c>
      <c r="G1449" s="12" t="s">
        <v>68</v>
      </c>
      <c r="H1449" s="12" t="s">
        <v>626</v>
      </c>
      <c r="I1449" s="12" t="s">
        <v>627</v>
      </c>
      <c r="J1449" s="17" t="s">
        <v>2783</v>
      </c>
      <c r="K1449" s="18" t="s">
        <v>2784</v>
      </c>
      <c r="L1449" s="20">
        <v>45937.0</v>
      </c>
      <c r="M1449" s="17" t="s">
        <v>28</v>
      </c>
      <c r="N1449" s="17" t="s">
        <v>3973</v>
      </c>
      <c r="P1449" s="17"/>
      <c r="Q1449" s="17"/>
      <c r="R1449" s="17"/>
      <c r="S1449" s="17"/>
      <c r="U1449" s="24"/>
      <c r="V1449" s="24"/>
      <c r="W1449" s="18" t="s">
        <v>588</v>
      </c>
    </row>
    <row r="1450">
      <c r="A1450" s="11"/>
      <c r="B1450" s="12" t="s">
        <v>22</v>
      </c>
      <c r="C1450" s="12" t="s">
        <v>22</v>
      </c>
      <c r="D1450" s="12" t="s">
        <v>22</v>
      </c>
      <c r="E1450" s="12" t="s">
        <v>624</v>
      </c>
      <c r="F1450" s="13" t="s">
        <v>625</v>
      </c>
      <c r="G1450" s="12" t="s">
        <v>68</v>
      </c>
      <c r="H1450" s="12" t="s">
        <v>626</v>
      </c>
      <c r="I1450" s="12" t="s">
        <v>627</v>
      </c>
      <c r="J1450" s="17" t="s">
        <v>2783</v>
      </c>
      <c r="K1450" s="18" t="s">
        <v>2784</v>
      </c>
      <c r="L1450" s="20">
        <v>45937.0</v>
      </c>
      <c r="M1450" s="17" t="s">
        <v>28</v>
      </c>
      <c r="N1450" s="17" t="s">
        <v>2231</v>
      </c>
      <c r="P1450" s="17"/>
      <c r="Q1450" s="17"/>
      <c r="R1450" s="17"/>
      <c r="S1450" s="17"/>
      <c r="U1450" s="24"/>
      <c r="V1450" s="24"/>
      <c r="W1450" s="18" t="s">
        <v>588</v>
      </c>
    </row>
    <row r="1451">
      <c r="A1451" s="11"/>
      <c r="B1451" s="12" t="s">
        <v>22</v>
      </c>
      <c r="C1451" s="12" t="s">
        <v>22</v>
      </c>
      <c r="D1451" s="12" t="s">
        <v>22</v>
      </c>
      <c r="E1451" s="12" t="s">
        <v>624</v>
      </c>
      <c r="F1451" s="13" t="s">
        <v>625</v>
      </c>
      <c r="G1451" s="12" t="s">
        <v>68</v>
      </c>
      <c r="H1451" s="12" t="s">
        <v>626</v>
      </c>
      <c r="I1451" s="12" t="s">
        <v>627</v>
      </c>
      <c r="J1451" s="17" t="s">
        <v>2783</v>
      </c>
      <c r="K1451" s="18" t="s">
        <v>2784</v>
      </c>
      <c r="L1451" s="20">
        <v>45937.0</v>
      </c>
      <c r="M1451" s="17" t="s">
        <v>28</v>
      </c>
      <c r="N1451" s="17" t="s">
        <v>2235</v>
      </c>
      <c r="P1451" s="17"/>
      <c r="Q1451" s="17"/>
      <c r="R1451" s="17"/>
      <c r="S1451" s="17"/>
      <c r="U1451" s="24"/>
      <c r="V1451" s="24"/>
      <c r="W1451" s="18" t="s">
        <v>588</v>
      </c>
    </row>
    <row r="1452">
      <c r="A1452" s="11"/>
      <c r="B1452" s="12" t="s">
        <v>22</v>
      </c>
      <c r="C1452" s="12" t="s">
        <v>22</v>
      </c>
      <c r="D1452" s="12" t="s">
        <v>22</v>
      </c>
      <c r="E1452" s="12" t="s">
        <v>624</v>
      </c>
      <c r="F1452" s="13" t="s">
        <v>625</v>
      </c>
      <c r="G1452" s="12" t="s">
        <v>68</v>
      </c>
      <c r="H1452" s="12" t="s">
        <v>626</v>
      </c>
      <c r="I1452" s="12" t="s">
        <v>627</v>
      </c>
      <c r="J1452" s="17" t="s">
        <v>2796</v>
      </c>
      <c r="K1452" s="18" t="s">
        <v>2797</v>
      </c>
      <c r="L1452" s="20">
        <v>45939.0</v>
      </c>
      <c r="M1452" s="17" t="s">
        <v>28</v>
      </c>
      <c r="N1452" s="17" t="s">
        <v>3974</v>
      </c>
      <c r="P1452" s="17"/>
      <c r="Q1452" s="17"/>
      <c r="R1452" s="17"/>
      <c r="S1452" s="17"/>
      <c r="U1452" s="24"/>
      <c r="V1452" s="24"/>
      <c r="W1452" s="18" t="s">
        <v>588</v>
      </c>
    </row>
    <row r="1453">
      <c r="A1453" s="11"/>
      <c r="B1453" s="12" t="s">
        <v>22</v>
      </c>
      <c r="C1453" s="12" t="s">
        <v>22</v>
      </c>
      <c r="D1453" s="12" t="s">
        <v>22</v>
      </c>
      <c r="E1453" s="12" t="s">
        <v>624</v>
      </c>
      <c r="F1453" s="13" t="s">
        <v>625</v>
      </c>
      <c r="G1453" s="12" t="s">
        <v>68</v>
      </c>
      <c r="H1453" s="12" t="s">
        <v>626</v>
      </c>
      <c r="I1453" s="12" t="s">
        <v>627</v>
      </c>
      <c r="J1453" s="17" t="s">
        <v>2796</v>
      </c>
      <c r="K1453" s="18" t="s">
        <v>2797</v>
      </c>
      <c r="L1453" s="20">
        <v>45939.0</v>
      </c>
      <c r="M1453" s="17" t="s">
        <v>28</v>
      </c>
      <c r="N1453" s="17" t="s">
        <v>3217</v>
      </c>
      <c r="P1453" s="17"/>
      <c r="Q1453" s="17"/>
      <c r="R1453" s="17"/>
      <c r="S1453" s="17"/>
      <c r="U1453" s="24"/>
      <c r="V1453" s="24"/>
      <c r="W1453" s="18" t="s">
        <v>588</v>
      </c>
    </row>
    <row r="1454">
      <c r="A1454" s="11"/>
      <c r="B1454" s="12" t="s">
        <v>22</v>
      </c>
      <c r="C1454" s="12" t="s">
        <v>22</v>
      </c>
      <c r="D1454" s="12" t="s">
        <v>22</v>
      </c>
      <c r="E1454" s="12" t="s">
        <v>624</v>
      </c>
      <c r="F1454" s="13" t="s">
        <v>625</v>
      </c>
      <c r="G1454" s="12" t="s">
        <v>68</v>
      </c>
      <c r="H1454" s="12" t="s">
        <v>626</v>
      </c>
      <c r="I1454" s="12" t="s">
        <v>627</v>
      </c>
      <c r="J1454" s="17" t="s">
        <v>2796</v>
      </c>
      <c r="K1454" s="18" t="s">
        <v>2797</v>
      </c>
      <c r="L1454" s="20">
        <v>45939.0</v>
      </c>
      <c r="M1454" s="17" t="s">
        <v>28</v>
      </c>
      <c r="N1454" s="17" t="s">
        <v>2231</v>
      </c>
      <c r="P1454" s="17"/>
      <c r="Q1454" s="17"/>
      <c r="R1454" s="17"/>
      <c r="S1454" s="17"/>
      <c r="U1454" s="24"/>
      <c r="V1454" s="24"/>
      <c r="W1454" s="18" t="s">
        <v>588</v>
      </c>
    </row>
    <row r="1455">
      <c r="A1455" s="11"/>
      <c r="B1455" s="23"/>
      <c r="C1455" s="23"/>
      <c r="D1455" s="23"/>
      <c r="E1455" s="23"/>
      <c r="F1455" s="13" t="s">
        <v>625</v>
      </c>
      <c r="G1455" s="23"/>
      <c r="H1455" s="23"/>
      <c r="I1455" s="23"/>
      <c r="J1455" s="17" t="s">
        <v>2796</v>
      </c>
      <c r="K1455" s="18" t="s">
        <v>2797</v>
      </c>
      <c r="L1455" s="20">
        <v>45939.0</v>
      </c>
      <c r="M1455" s="17" t="s">
        <v>28</v>
      </c>
      <c r="N1455" s="17" t="s">
        <v>3234</v>
      </c>
      <c r="P1455" s="17"/>
      <c r="Q1455" s="17"/>
      <c r="R1455" s="17"/>
      <c r="S1455" s="17"/>
      <c r="U1455" s="24"/>
      <c r="V1455" s="24"/>
      <c r="W1455" s="18" t="s">
        <v>588</v>
      </c>
    </row>
    <row r="1456">
      <c r="A1456" s="11"/>
      <c r="B1456" s="23"/>
      <c r="C1456" s="23"/>
      <c r="D1456" s="23"/>
      <c r="E1456" s="23"/>
      <c r="F1456" s="13" t="s">
        <v>625</v>
      </c>
      <c r="G1456" s="23"/>
      <c r="H1456" s="23"/>
      <c r="I1456" s="23"/>
      <c r="J1456" s="17" t="s">
        <v>2796</v>
      </c>
      <c r="K1456" s="18" t="s">
        <v>2797</v>
      </c>
      <c r="L1456" s="20">
        <v>45939.0</v>
      </c>
      <c r="M1456" s="17" t="s">
        <v>28</v>
      </c>
      <c r="N1456" s="17" t="s">
        <v>2248</v>
      </c>
      <c r="P1456" s="17"/>
      <c r="Q1456" s="17"/>
      <c r="R1456" s="17"/>
      <c r="S1456" s="17"/>
      <c r="U1456" s="24"/>
      <c r="V1456" s="24"/>
      <c r="W1456" s="18" t="s">
        <v>588</v>
      </c>
    </row>
    <row r="1457">
      <c r="A1457" s="11"/>
      <c r="B1457" s="23"/>
      <c r="C1457" s="23"/>
      <c r="D1457" s="23"/>
      <c r="E1457" s="23"/>
      <c r="F1457" s="13" t="s">
        <v>625</v>
      </c>
      <c r="G1457" s="23"/>
      <c r="H1457" s="23"/>
      <c r="I1457" s="23"/>
      <c r="J1457" s="17" t="s">
        <v>2796</v>
      </c>
      <c r="K1457" s="18" t="s">
        <v>2797</v>
      </c>
      <c r="L1457" s="20">
        <v>45939.0</v>
      </c>
      <c r="M1457" s="17" t="s">
        <v>28</v>
      </c>
      <c r="N1457" s="17" t="s">
        <v>3218</v>
      </c>
      <c r="P1457" s="17"/>
      <c r="Q1457" s="17"/>
      <c r="R1457" s="17"/>
      <c r="S1457" s="17"/>
      <c r="U1457" s="24"/>
      <c r="V1457" s="24"/>
      <c r="W1457" s="18" t="s">
        <v>588</v>
      </c>
    </row>
    <row r="1458">
      <c r="A1458" s="11"/>
      <c r="B1458" s="12" t="s">
        <v>22</v>
      </c>
      <c r="C1458" s="12" t="s">
        <v>22</v>
      </c>
      <c r="D1458" s="12" t="s">
        <v>22</v>
      </c>
      <c r="E1458" s="12" t="s">
        <v>593</v>
      </c>
      <c r="F1458" s="13" t="s">
        <v>594</v>
      </c>
      <c r="G1458" s="12" t="s">
        <v>68</v>
      </c>
      <c r="H1458" s="12" t="s">
        <v>595</v>
      </c>
      <c r="I1458" s="12" t="s">
        <v>596</v>
      </c>
      <c r="J1458" s="17" t="s">
        <v>2796</v>
      </c>
      <c r="K1458" s="18" t="s">
        <v>2797</v>
      </c>
      <c r="L1458" s="20">
        <v>45939.0</v>
      </c>
      <c r="M1458" s="17" t="s">
        <v>28</v>
      </c>
      <c r="N1458" s="17" t="s">
        <v>3975</v>
      </c>
      <c r="P1458" s="17"/>
      <c r="Q1458" s="17"/>
      <c r="R1458" s="17"/>
      <c r="S1458" s="17"/>
      <c r="U1458" s="24"/>
      <c r="V1458" s="24"/>
      <c r="W1458" s="18" t="s">
        <v>588</v>
      </c>
    </row>
    <row r="1459">
      <c r="A1459" s="11"/>
      <c r="B1459" s="12" t="s">
        <v>22</v>
      </c>
      <c r="C1459" s="12" t="s">
        <v>22</v>
      </c>
      <c r="D1459" s="12" t="s">
        <v>22</v>
      </c>
      <c r="E1459" s="12" t="s">
        <v>593</v>
      </c>
      <c r="F1459" s="13" t="s">
        <v>594</v>
      </c>
      <c r="G1459" s="12" t="s">
        <v>68</v>
      </c>
      <c r="H1459" s="12" t="s">
        <v>595</v>
      </c>
      <c r="I1459" s="12" t="s">
        <v>596</v>
      </c>
      <c r="J1459" s="17" t="s">
        <v>2796</v>
      </c>
      <c r="K1459" s="18" t="s">
        <v>2797</v>
      </c>
      <c r="L1459" s="20">
        <v>45939.0</v>
      </c>
      <c r="M1459" s="17" t="s">
        <v>28</v>
      </c>
      <c r="N1459" s="17" t="s">
        <v>3482</v>
      </c>
      <c r="O1459" s="17">
        <v>7.0167177E7</v>
      </c>
      <c r="P1459" s="17" t="s">
        <v>3483</v>
      </c>
      <c r="Q1459" s="17" t="s">
        <v>73</v>
      </c>
      <c r="R1459" s="17" t="s">
        <v>74</v>
      </c>
      <c r="S1459" s="17" t="s">
        <v>3843</v>
      </c>
      <c r="U1459" s="24"/>
      <c r="V1459" s="24"/>
      <c r="W1459" s="18" t="s">
        <v>588</v>
      </c>
    </row>
    <row r="1460">
      <c r="A1460" s="11"/>
      <c r="B1460" s="12" t="s">
        <v>22</v>
      </c>
      <c r="C1460" s="12" t="s">
        <v>22</v>
      </c>
      <c r="D1460" s="12" t="s">
        <v>22</v>
      </c>
      <c r="E1460" s="12" t="s">
        <v>593</v>
      </c>
      <c r="F1460" s="13" t="s">
        <v>594</v>
      </c>
      <c r="G1460" s="12" t="s">
        <v>68</v>
      </c>
      <c r="H1460" s="12" t="s">
        <v>595</v>
      </c>
      <c r="I1460" s="12" t="s">
        <v>596</v>
      </c>
      <c r="J1460" s="17" t="s">
        <v>2796</v>
      </c>
      <c r="K1460" s="18" t="s">
        <v>2797</v>
      </c>
      <c r="L1460" s="20">
        <v>45939.0</v>
      </c>
      <c r="M1460" s="17" t="s">
        <v>23</v>
      </c>
      <c r="N1460" s="17" t="s">
        <v>3856</v>
      </c>
      <c r="P1460" s="17"/>
      <c r="Q1460" s="17" t="s">
        <v>73</v>
      </c>
      <c r="R1460" s="17"/>
      <c r="S1460" s="17" t="s">
        <v>73</v>
      </c>
      <c r="U1460" s="24"/>
      <c r="V1460" s="24"/>
      <c r="W1460" s="18" t="s">
        <v>588</v>
      </c>
    </row>
    <row r="1461">
      <c r="A1461" s="11"/>
      <c r="B1461" s="12" t="s">
        <v>22</v>
      </c>
      <c r="C1461" s="12" t="s">
        <v>22</v>
      </c>
      <c r="D1461" s="12" t="s">
        <v>22</v>
      </c>
      <c r="E1461" s="12" t="s">
        <v>593</v>
      </c>
      <c r="F1461" s="13" t="s">
        <v>594</v>
      </c>
      <c r="G1461" s="12" t="s">
        <v>68</v>
      </c>
      <c r="H1461" s="12" t="s">
        <v>595</v>
      </c>
      <c r="I1461" s="12" t="s">
        <v>596</v>
      </c>
      <c r="J1461" s="17" t="s">
        <v>2796</v>
      </c>
      <c r="K1461" s="18" t="s">
        <v>2797</v>
      </c>
      <c r="L1461" s="20">
        <v>45939.0</v>
      </c>
      <c r="M1461" s="17" t="s">
        <v>23</v>
      </c>
      <c r="N1461" s="17" t="s">
        <v>2195</v>
      </c>
      <c r="P1461" s="17"/>
      <c r="Q1461" s="17" t="s">
        <v>112</v>
      </c>
      <c r="R1461" s="17"/>
      <c r="S1461" s="17" t="s">
        <v>112</v>
      </c>
      <c r="U1461" s="24"/>
      <c r="V1461" s="24"/>
      <c r="W1461" s="18" t="s">
        <v>588</v>
      </c>
    </row>
    <row r="1462">
      <c r="A1462" s="11"/>
      <c r="B1462" s="12" t="s">
        <v>22</v>
      </c>
      <c r="C1462" s="12" t="s">
        <v>22</v>
      </c>
      <c r="D1462" s="12" t="s">
        <v>22</v>
      </c>
      <c r="E1462" s="12" t="s">
        <v>593</v>
      </c>
      <c r="F1462" s="13" t="s">
        <v>594</v>
      </c>
      <c r="G1462" s="12" t="s">
        <v>68</v>
      </c>
      <c r="H1462" s="12" t="s">
        <v>595</v>
      </c>
      <c r="I1462" s="12" t="s">
        <v>596</v>
      </c>
      <c r="J1462" s="17" t="s">
        <v>2796</v>
      </c>
      <c r="K1462" s="18" t="s">
        <v>2797</v>
      </c>
      <c r="L1462" s="20">
        <v>45939.0</v>
      </c>
      <c r="M1462" s="17" t="s">
        <v>28</v>
      </c>
      <c r="N1462" s="17" t="s">
        <v>3976</v>
      </c>
      <c r="P1462" s="17"/>
      <c r="Q1462" s="17" t="s">
        <v>108</v>
      </c>
      <c r="R1462" s="17"/>
      <c r="S1462" s="17" t="s">
        <v>108</v>
      </c>
      <c r="U1462" s="24"/>
      <c r="V1462" s="24"/>
      <c r="W1462" s="18" t="s">
        <v>588</v>
      </c>
    </row>
    <row r="1463">
      <c r="A1463" s="11"/>
      <c r="B1463" s="12" t="s">
        <v>22</v>
      </c>
      <c r="C1463" s="12" t="s">
        <v>22</v>
      </c>
      <c r="D1463" s="12" t="s">
        <v>22</v>
      </c>
      <c r="E1463" s="12" t="s">
        <v>593</v>
      </c>
      <c r="F1463" s="13" t="s">
        <v>594</v>
      </c>
      <c r="G1463" s="12" t="s">
        <v>68</v>
      </c>
      <c r="H1463" s="12" t="s">
        <v>595</v>
      </c>
      <c r="I1463" s="12" t="s">
        <v>596</v>
      </c>
      <c r="J1463" s="17" t="s">
        <v>2796</v>
      </c>
      <c r="K1463" s="18" t="s">
        <v>2797</v>
      </c>
      <c r="L1463" s="20">
        <v>45939.0</v>
      </c>
      <c r="M1463" s="17" t="s">
        <v>28</v>
      </c>
      <c r="N1463" s="17" t="s">
        <v>2199</v>
      </c>
      <c r="P1463" s="17"/>
      <c r="Q1463" s="17"/>
      <c r="R1463" s="17"/>
      <c r="S1463" s="17"/>
      <c r="U1463" s="24"/>
      <c r="V1463" s="24"/>
      <c r="W1463" s="18" t="s">
        <v>588</v>
      </c>
    </row>
    <row r="1464">
      <c r="A1464" s="11"/>
      <c r="B1464" s="12" t="s">
        <v>22</v>
      </c>
      <c r="C1464" s="12" t="s">
        <v>22</v>
      </c>
      <c r="D1464" s="12" t="s">
        <v>22</v>
      </c>
      <c r="E1464" s="12" t="s">
        <v>593</v>
      </c>
      <c r="F1464" s="13" t="s">
        <v>594</v>
      </c>
      <c r="G1464" s="12" t="s">
        <v>68</v>
      </c>
      <c r="H1464" s="12" t="s">
        <v>595</v>
      </c>
      <c r="I1464" s="12" t="s">
        <v>596</v>
      </c>
      <c r="J1464" s="17" t="s">
        <v>2796</v>
      </c>
      <c r="K1464" s="18" t="s">
        <v>2797</v>
      </c>
      <c r="L1464" s="20">
        <v>45939.0</v>
      </c>
      <c r="M1464" s="17" t="s">
        <v>23</v>
      </c>
      <c r="N1464" s="17" t="s">
        <v>2199</v>
      </c>
      <c r="P1464" s="17"/>
      <c r="Q1464" s="17" t="s">
        <v>108</v>
      </c>
      <c r="R1464" s="17"/>
      <c r="S1464" s="17" t="s">
        <v>108</v>
      </c>
      <c r="U1464" s="24"/>
      <c r="V1464" s="24"/>
      <c r="W1464" s="18" t="s">
        <v>588</v>
      </c>
    </row>
    <row r="1465">
      <c r="A1465" s="11"/>
      <c r="B1465" s="12" t="s">
        <v>22</v>
      </c>
      <c r="C1465" s="12" t="s">
        <v>22</v>
      </c>
      <c r="D1465" s="12" t="s">
        <v>22</v>
      </c>
      <c r="E1465" s="12" t="s">
        <v>593</v>
      </c>
      <c r="F1465" s="13" t="s">
        <v>594</v>
      </c>
      <c r="G1465" s="12" t="s">
        <v>68</v>
      </c>
      <c r="H1465" s="12" t="s">
        <v>595</v>
      </c>
      <c r="I1465" s="12" t="s">
        <v>596</v>
      </c>
      <c r="J1465" s="17" t="s">
        <v>2796</v>
      </c>
      <c r="K1465" s="18" t="s">
        <v>2797</v>
      </c>
      <c r="L1465" s="20">
        <v>45939.0</v>
      </c>
      <c r="M1465" s="17" t="s">
        <v>28</v>
      </c>
      <c r="N1465" s="17" t="s">
        <v>3977</v>
      </c>
      <c r="P1465" s="17"/>
      <c r="Q1465" s="17"/>
      <c r="R1465" s="17"/>
      <c r="S1465" s="17"/>
      <c r="U1465" s="24"/>
      <c r="V1465" s="24"/>
      <c r="W1465" s="18" t="s">
        <v>588</v>
      </c>
    </row>
    <row r="1466">
      <c r="A1466" s="11"/>
      <c r="B1466" s="12" t="s">
        <v>34</v>
      </c>
      <c r="C1466" s="12" t="s">
        <v>65</v>
      </c>
      <c r="D1466" s="12" t="s">
        <v>83</v>
      </c>
      <c r="E1466" s="12" t="s">
        <v>632</v>
      </c>
      <c r="F1466" s="13" t="s">
        <v>633</v>
      </c>
      <c r="G1466" s="12" t="s">
        <v>68</v>
      </c>
      <c r="H1466" s="12" t="s">
        <v>634</v>
      </c>
      <c r="I1466" s="12" t="s">
        <v>635</v>
      </c>
      <c r="J1466" s="17" t="s">
        <v>2796</v>
      </c>
      <c r="K1466" s="18" t="s">
        <v>2797</v>
      </c>
      <c r="L1466" s="20">
        <v>45938.0</v>
      </c>
      <c r="M1466" s="17" t="s">
        <v>28</v>
      </c>
      <c r="N1466" s="17" t="s">
        <v>2430</v>
      </c>
      <c r="O1466" s="17">
        <v>7.2125061E7</v>
      </c>
      <c r="P1466" s="17" t="s">
        <v>2431</v>
      </c>
      <c r="Q1466" s="17" t="s">
        <v>112</v>
      </c>
      <c r="R1466" s="17"/>
      <c r="S1466" s="17" t="s">
        <v>3978</v>
      </c>
      <c r="U1466" s="24"/>
      <c r="V1466" s="24"/>
      <c r="W1466" s="18" t="s">
        <v>638</v>
      </c>
    </row>
    <row r="1467">
      <c r="A1467" s="11"/>
      <c r="B1467" s="12" t="s">
        <v>34</v>
      </c>
      <c r="C1467" s="12" t="s">
        <v>65</v>
      </c>
      <c r="D1467" s="12" t="s">
        <v>83</v>
      </c>
      <c r="E1467" s="12" t="s">
        <v>632</v>
      </c>
      <c r="F1467" s="13" t="s">
        <v>633</v>
      </c>
      <c r="G1467" s="12" t="s">
        <v>68</v>
      </c>
      <c r="H1467" s="12" t="s">
        <v>634</v>
      </c>
      <c r="I1467" s="12" t="s">
        <v>635</v>
      </c>
      <c r="J1467" s="17" t="s">
        <v>2796</v>
      </c>
      <c r="K1467" s="18" t="s">
        <v>2797</v>
      </c>
      <c r="L1467" s="20">
        <v>45938.0</v>
      </c>
      <c r="M1467" s="17" t="s">
        <v>28</v>
      </c>
      <c r="N1467" s="17" t="s">
        <v>2436</v>
      </c>
      <c r="O1467" s="17">
        <v>7.2106666E7</v>
      </c>
      <c r="P1467" s="17" t="s">
        <v>2437</v>
      </c>
      <c r="Q1467" s="17" t="s">
        <v>112</v>
      </c>
      <c r="R1467" s="17"/>
      <c r="S1467" s="17" t="s">
        <v>3979</v>
      </c>
      <c r="U1467" s="24"/>
      <c r="V1467" s="24"/>
      <c r="W1467" s="18" t="s">
        <v>638</v>
      </c>
    </row>
    <row r="1468">
      <c r="A1468" s="11"/>
      <c r="B1468" s="12" t="s">
        <v>34</v>
      </c>
      <c r="C1468" s="12" t="s">
        <v>65</v>
      </c>
      <c r="D1468" s="12" t="s">
        <v>83</v>
      </c>
      <c r="E1468" s="12" t="s">
        <v>632</v>
      </c>
      <c r="F1468" s="13" t="s">
        <v>633</v>
      </c>
      <c r="G1468" s="12" t="s">
        <v>68</v>
      </c>
      <c r="H1468" s="12" t="s">
        <v>634</v>
      </c>
      <c r="I1468" s="12" t="s">
        <v>635</v>
      </c>
      <c r="J1468" s="17" t="s">
        <v>2796</v>
      </c>
      <c r="K1468" s="18" t="s">
        <v>2797</v>
      </c>
      <c r="L1468" s="20">
        <v>45938.0</v>
      </c>
      <c r="M1468" s="17" t="s">
        <v>28</v>
      </c>
      <c r="N1468" s="17" t="s">
        <v>2421</v>
      </c>
      <c r="O1468" s="17">
        <v>7.1964894E7</v>
      </c>
      <c r="P1468" s="17" t="s">
        <v>2422</v>
      </c>
      <c r="Q1468" s="17" t="s">
        <v>73</v>
      </c>
      <c r="R1468" s="17"/>
      <c r="S1468" s="17" t="s">
        <v>3980</v>
      </c>
      <c r="U1468" s="24"/>
      <c r="V1468" s="24"/>
      <c r="W1468" s="18" t="s">
        <v>638</v>
      </c>
    </row>
    <row r="1469">
      <c r="A1469" s="11"/>
      <c r="B1469" s="12" t="s">
        <v>34</v>
      </c>
      <c r="C1469" s="12" t="s">
        <v>65</v>
      </c>
      <c r="D1469" s="12" t="s">
        <v>83</v>
      </c>
      <c r="E1469" s="12" t="s">
        <v>632</v>
      </c>
      <c r="F1469" s="13" t="s">
        <v>633</v>
      </c>
      <c r="G1469" s="12" t="s">
        <v>68</v>
      </c>
      <c r="H1469" s="12" t="s">
        <v>634</v>
      </c>
      <c r="I1469" s="12" t="s">
        <v>635</v>
      </c>
      <c r="J1469" s="17" t="s">
        <v>2796</v>
      </c>
      <c r="K1469" s="18" t="s">
        <v>2797</v>
      </c>
      <c r="L1469" s="20">
        <v>45938.0</v>
      </c>
      <c r="M1469" s="17" t="s">
        <v>28</v>
      </c>
      <c r="N1469" s="17" t="s">
        <v>2409</v>
      </c>
      <c r="P1469" s="17" t="s">
        <v>2410</v>
      </c>
      <c r="Q1469" s="17" t="s">
        <v>108</v>
      </c>
      <c r="R1469" s="17"/>
      <c r="S1469" s="17" t="s">
        <v>3981</v>
      </c>
      <c r="U1469" s="24"/>
      <c r="V1469" s="24"/>
      <c r="W1469" s="18" t="s">
        <v>638</v>
      </c>
    </row>
    <row r="1470">
      <c r="A1470" s="11"/>
      <c r="B1470" s="12" t="s">
        <v>34</v>
      </c>
      <c r="C1470" s="12" t="s">
        <v>65</v>
      </c>
      <c r="D1470" s="12" t="s">
        <v>83</v>
      </c>
      <c r="E1470" s="12" t="s">
        <v>632</v>
      </c>
      <c r="F1470" s="13" t="s">
        <v>633</v>
      </c>
      <c r="G1470" s="12" t="s">
        <v>68</v>
      </c>
      <c r="H1470" s="12" t="s">
        <v>634</v>
      </c>
      <c r="I1470" s="12" t="s">
        <v>635</v>
      </c>
      <c r="J1470" s="17" t="s">
        <v>2796</v>
      </c>
      <c r="K1470" s="18" t="s">
        <v>2797</v>
      </c>
      <c r="L1470" s="20">
        <v>45938.0</v>
      </c>
      <c r="M1470" s="17" t="s">
        <v>28</v>
      </c>
      <c r="N1470" s="17" t="s">
        <v>2445</v>
      </c>
      <c r="O1470" s="17">
        <v>7.2114988E7</v>
      </c>
      <c r="P1470" s="17" t="s">
        <v>2446</v>
      </c>
      <c r="Q1470" s="17" t="s">
        <v>112</v>
      </c>
      <c r="R1470" s="17"/>
      <c r="S1470" s="17" t="s">
        <v>3982</v>
      </c>
      <c r="U1470" s="24"/>
      <c r="V1470" s="24"/>
      <c r="W1470" s="18" t="s">
        <v>638</v>
      </c>
    </row>
    <row r="1471">
      <c r="A1471" s="11"/>
      <c r="B1471" s="12" t="s">
        <v>34</v>
      </c>
      <c r="C1471" s="12" t="s">
        <v>65</v>
      </c>
      <c r="D1471" s="12" t="s">
        <v>83</v>
      </c>
      <c r="E1471" s="12" t="s">
        <v>632</v>
      </c>
      <c r="F1471" s="13" t="s">
        <v>633</v>
      </c>
      <c r="G1471" s="12" t="s">
        <v>68</v>
      </c>
      <c r="H1471" s="12" t="s">
        <v>634</v>
      </c>
      <c r="I1471" s="12" t="s">
        <v>635</v>
      </c>
      <c r="J1471" s="17" t="s">
        <v>2796</v>
      </c>
      <c r="K1471" s="18" t="s">
        <v>2797</v>
      </c>
      <c r="L1471" s="20">
        <v>45938.0</v>
      </c>
      <c r="M1471" s="17" t="s">
        <v>28</v>
      </c>
      <c r="N1471" s="17" t="s">
        <v>3896</v>
      </c>
      <c r="P1471" s="17"/>
      <c r="Q1471" s="17"/>
      <c r="R1471" s="17"/>
      <c r="S1471" s="17"/>
      <c r="U1471" s="24"/>
      <c r="V1471" s="24"/>
      <c r="W1471" s="18" t="s">
        <v>638</v>
      </c>
    </row>
    <row r="1472">
      <c r="A1472" s="11"/>
      <c r="B1472" s="12" t="s">
        <v>34</v>
      </c>
      <c r="C1472" s="12" t="s">
        <v>65</v>
      </c>
      <c r="D1472" s="12" t="s">
        <v>83</v>
      </c>
      <c r="E1472" s="12" t="s">
        <v>632</v>
      </c>
      <c r="F1472" s="13" t="s">
        <v>633</v>
      </c>
      <c r="G1472" s="12" t="s">
        <v>68</v>
      </c>
      <c r="H1472" s="12" t="s">
        <v>634</v>
      </c>
      <c r="I1472" s="12" t="s">
        <v>635</v>
      </c>
      <c r="J1472" s="17" t="s">
        <v>2796</v>
      </c>
      <c r="K1472" s="18" t="s">
        <v>2797</v>
      </c>
      <c r="L1472" s="20">
        <v>45938.0</v>
      </c>
      <c r="M1472" s="17" t="s">
        <v>28</v>
      </c>
      <c r="N1472" s="17" t="s">
        <v>2439</v>
      </c>
      <c r="O1472" s="17">
        <v>7.5839065E7</v>
      </c>
      <c r="P1472" s="17" t="s">
        <v>2440</v>
      </c>
      <c r="Q1472" s="17" t="s">
        <v>112</v>
      </c>
      <c r="R1472" s="17"/>
      <c r="S1472" s="17" t="s">
        <v>3983</v>
      </c>
      <c r="U1472" s="24"/>
      <c r="V1472" s="24"/>
      <c r="W1472" s="18" t="s">
        <v>638</v>
      </c>
    </row>
    <row r="1473">
      <c r="A1473" s="11"/>
      <c r="B1473" s="12" t="s">
        <v>34</v>
      </c>
      <c r="C1473" s="12" t="s">
        <v>65</v>
      </c>
      <c r="D1473" s="12" t="s">
        <v>83</v>
      </c>
      <c r="E1473" s="12" t="s">
        <v>632</v>
      </c>
      <c r="F1473" s="13" t="s">
        <v>633</v>
      </c>
      <c r="G1473" s="12" t="s">
        <v>68</v>
      </c>
      <c r="H1473" s="12" t="s">
        <v>634</v>
      </c>
      <c r="I1473" s="12" t="s">
        <v>635</v>
      </c>
      <c r="J1473" s="17" t="s">
        <v>2796</v>
      </c>
      <c r="K1473" s="18" t="s">
        <v>2797</v>
      </c>
      <c r="L1473" s="20">
        <v>45938.0</v>
      </c>
      <c r="M1473" s="17" t="s">
        <v>28</v>
      </c>
      <c r="N1473" s="17" t="s">
        <v>3898</v>
      </c>
      <c r="O1473" s="17">
        <v>6.229274E7</v>
      </c>
      <c r="P1473" s="17" t="s">
        <v>3899</v>
      </c>
      <c r="Q1473" s="17" t="s">
        <v>112</v>
      </c>
      <c r="R1473" s="17"/>
      <c r="S1473" s="17" t="s">
        <v>3984</v>
      </c>
      <c r="U1473" s="24"/>
      <c r="V1473" s="24"/>
      <c r="W1473" s="18" t="s">
        <v>638</v>
      </c>
    </row>
    <row r="1474">
      <c r="A1474" s="11"/>
      <c r="B1474" s="12" t="s">
        <v>34</v>
      </c>
      <c r="C1474" s="12" t="s">
        <v>65</v>
      </c>
      <c r="D1474" s="12" t="s">
        <v>83</v>
      </c>
      <c r="E1474" s="12" t="s">
        <v>632</v>
      </c>
      <c r="F1474" s="13" t="s">
        <v>633</v>
      </c>
      <c r="G1474" s="12" t="s">
        <v>68</v>
      </c>
      <c r="H1474" s="12" t="s">
        <v>634</v>
      </c>
      <c r="I1474" s="12" t="s">
        <v>635</v>
      </c>
      <c r="J1474" s="17" t="s">
        <v>2796</v>
      </c>
      <c r="K1474" s="18" t="s">
        <v>2797</v>
      </c>
      <c r="L1474" s="20">
        <v>45938.0</v>
      </c>
      <c r="M1474" s="17" t="s">
        <v>28</v>
      </c>
      <c r="N1474" s="17" t="s">
        <v>3901</v>
      </c>
      <c r="P1474" s="17" t="s">
        <v>2425</v>
      </c>
      <c r="Q1474" s="17" t="s">
        <v>108</v>
      </c>
      <c r="R1474" s="17"/>
      <c r="S1474" s="17" t="s">
        <v>3985</v>
      </c>
      <c r="U1474" s="24"/>
      <c r="V1474" s="24"/>
      <c r="W1474" s="18" t="s">
        <v>638</v>
      </c>
    </row>
    <row r="1475">
      <c r="A1475" s="11"/>
      <c r="B1475" s="12" t="s">
        <v>34</v>
      </c>
      <c r="C1475" s="12" t="s">
        <v>65</v>
      </c>
      <c r="D1475" s="12" t="s">
        <v>83</v>
      </c>
      <c r="E1475" s="12" t="s">
        <v>632</v>
      </c>
      <c r="F1475" s="13" t="s">
        <v>633</v>
      </c>
      <c r="G1475" s="12" t="s">
        <v>68</v>
      </c>
      <c r="H1475" s="12" t="s">
        <v>634</v>
      </c>
      <c r="I1475" s="12" t="s">
        <v>635</v>
      </c>
      <c r="J1475" s="17" t="s">
        <v>2796</v>
      </c>
      <c r="K1475" s="18" t="s">
        <v>2797</v>
      </c>
      <c r="L1475" s="20">
        <v>45938.0</v>
      </c>
      <c r="M1475" s="17" t="s">
        <v>28</v>
      </c>
      <c r="N1475" s="17" t="s">
        <v>2448</v>
      </c>
      <c r="O1475" s="17">
        <v>7.3515438E7</v>
      </c>
      <c r="P1475" s="17" t="s">
        <v>2449</v>
      </c>
      <c r="Q1475" s="17" t="s">
        <v>112</v>
      </c>
      <c r="R1475" s="17"/>
      <c r="S1475" s="17" t="s">
        <v>3986</v>
      </c>
      <c r="U1475" s="24"/>
      <c r="V1475" s="24"/>
      <c r="W1475" s="18" t="s">
        <v>638</v>
      </c>
    </row>
    <row r="1476">
      <c r="A1476" s="11"/>
      <c r="B1476" s="12" t="s">
        <v>34</v>
      </c>
      <c r="C1476" s="12" t="s">
        <v>65</v>
      </c>
      <c r="D1476" s="12" t="s">
        <v>83</v>
      </c>
      <c r="E1476" s="12" t="s">
        <v>632</v>
      </c>
      <c r="F1476" s="13" t="s">
        <v>633</v>
      </c>
      <c r="G1476" s="12" t="s">
        <v>68</v>
      </c>
      <c r="H1476" s="12" t="s">
        <v>634</v>
      </c>
      <c r="I1476" s="12" t="s">
        <v>635</v>
      </c>
      <c r="J1476" s="17" t="s">
        <v>2796</v>
      </c>
      <c r="K1476" s="18" t="s">
        <v>2797</v>
      </c>
      <c r="L1476" s="20">
        <v>45938.0</v>
      </c>
      <c r="M1476" s="17" t="s">
        <v>28</v>
      </c>
      <c r="N1476" s="17" t="s">
        <v>2392</v>
      </c>
      <c r="P1476" s="17" t="s">
        <v>2393</v>
      </c>
      <c r="Q1476" s="17" t="s">
        <v>112</v>
      </c>
      <c r="R1476" s="17"/>
      <c r="S1476" s="17" t="s">
        <v>3987</v>
      </c>
      <c r="U1476" s="24"/>
      <c r="V1476" s="24"/>
      <c r="W1476" s="18" t="s">
        <v>638</v>
      </c>
    </row>
    <row r="1477">
      <c r="A1477" s="11"/>
      <c r="B1477" s="12" t="s">
        <v>34</v>
      </c>
      <c r="C1477" s="12" t="s">
        <v>65</v>
      </c>
      <c r="D1477" s="12" t="s">
        <v>83</v>
      </c>
      <c r="E1477" s="12" t="s">
        <v>632</v>
      </c>
      <c r="F1477" s="13" t="s">
        <v>633</v>
      </c>
      <c r="G1477" s="12" t="s">
        <v>68</v>
      </c>
      <c r="H1477" s="12" t="s">
        <v>634</v>
      </c>
      <c r="I1477" s="12" t="s">
        <v>635</v>
      </c>
      <c r="J1477" s="17" t="s">
        <v>2796</v>
      </c>
      <c r="K1477" s="18" t="s">
        <v>2797</v>
      </c>
      <c r="L1477" s="20">
        <v>45938.0</v>
      </c>
      <c r="M1477" s="17" t="s">
        <v>28</v>
      </c>
      <c r="N1477" s="17" t="s">
        <v>2433</v>
      </c>
      <c r="O1477" s="17">
        <v>4.6467472E7</v>
      </c>
      <c r="P1477" s="17" t="s">
        <v>2434</v>
      </c>
      <c r="Q1477" s="17" t="s">
        <v>112</v>
      </c>
      <c r="R1477" s="17"/>
      <c r="S1477" s="17" t="s">
        <v>3988</v>
      </c>
      <c r="U1477" s="24"/>
      <c r="V1477" s="24"/>
      <c r="W1477" s="18" t="s">
        <v>638</v>
      </c>
    </row>
    <row r="1478">
      <c r="A1478" s="11"/>
      <c r="B1478" s="12" t="s">
        <v>34</v>
      </c>
      <c r="C1478" s="12" t="s">
        <v>65</v>
      </c>
      <c r="D1478" s="12" t="s">
        <v>83</v>
      </c>
      <c r="E1478" s="12" t="s">
        <v>632</v>
      </c>
      <c r="F1478" s="13" t="s">
        <v>633</v>
      </c>
      <c r="G1478" s="12" t="s">
        <v>68</v>
      </c>
      <c r="H1478" s="12" t="s">
        <v>634</v>
      </c>
      <c r="I1478" s="12" t="s">
        <v>635</v>
      </c>
      <c r="J1478" s="17" t="s">
        <v>2796</v>
      </c>
      <c r="K1478" s="18" t="s">
        <v>2797</v>
      </c>
      <c r="L1478" s="20">
        <v>45938.0</v>
      </c>
      <c r="M1478" s="17" t="s">
        <v>28</v>
      </c>
      <c r="N1478" s="17" t="s">
        <v>3897</v>
      </c>
      <c r="O1478" s="17">
        <v>3.23376193E8</v>
      </c>
      <c r="P1478" s="17" t="s">
        <v>2419</v>
      </c>
      <c r="Q1478" s="17" t="s">
        <v>112</v>
      </c>
      <c r="R1478" s="17"/>
      <c r="S1478" s="17" t="s">
        <v>3895</v>
      </c>
      <c r="U1478" s="24"/>
      <c r="V1478" s="24"/>
      <c r="W1478" s="18" t="s">
        <v>638</v>
      </c>
    </row>
    <row r="1479">
      <c r="A1479" s="11"/>
      <c r="B1479" s="12" t="s">
        <v>34</v>
      </c>
      <c r="C1479" s="12" t="s">
        <v>65</v>
      </c>
      <c r="D1479" s="12" t="s">
        <v>83</v>
      </c>
      <c r="E1479" s="12" t="s">
        <v>632</v>
      </c>
      <c r="F1479" s="13" t="s">
        <v>633</v>
      </c>
      <c r="G1479" s="12" t="s">
        <v>68</v>
      </c>
      <c r="H1479" s="12" t="s">
        <v>634</v>
      </c>
      <c r="I1479" s="12" t="s">
        <v>635</v>
      </c>
      <c r="J1479" s="17" t="s">
        <v>2796</v>
      </c>
      <c r="K1479" s="18" t="s">
        <v>2797</v>
      </c>
      <c r="L1479" s="20">
        <v>45938.0</v>
      </c>
      <c r="M1479" s="17" t="s">
        <v>28</v>
      </c>
      <c r="N1479" s="17" t="s">
        <v>2398</v>
      </c>
      <c r="P1479" s="17" t="s">
        <v>3989</v>
      </c>
      <c r="Q1479" s="17" t="s">
        <v>108</v>
      </c>
      <c r="R1479" s="17"/>
      <c r="S1479" s="17" t="s">
        <v>3990</v>
      </c>
      <c r="U1479" s="24"/>
      <c r="V1479" s="24"/>
      <c r="W1479" s="18" t="s">
        <v>638</v>
      </c>
    </row>
    <row r="1480">
      <c r="A1480" s="11"/>
      <c r="B1480" s="12" t="s">
        <v>34</v>
      </c>
      <c r="C1480" s="12" t="s">
        <v>65</v>
      </c>
      <c r="D1480" s="12" t="s">
        <v>83</v>
      </c>
      <c r="E1480" s="12" t="s">
        <v>632</v>
      </c>
      <c r="F1480" s="13" t="s">
        <v>633</v>
      </c>
      <c r="G1480" s="12" t="s">
        <v>68</v>
      </c>
      <c r="H1480" s="12" t="s">
        <v>634</v>
      </c>
      <c r="I1480" s="12" t="s">
        <v>635</v>
      </c>
      <c r="J1480" s="17" t="s">
        <v>2796</v>
      </c>
      <c r="K1480" s="18" t="s">
        <v>2797</v>
      </c>
      <c r="L1480" s="20">
        <v>45938.0</v>
      </c>
      <c r="M1480" s="17" t="s">
        <v>28</v>
      </c>
      <c r="N1480" s="17" t="s">
        <v>2396</v>
      </c>
      <c r="P1480" s="17"/>
      <c r="Q1480" s="17"/>
      <c r="R1480" s="17"/>
      <c r="S1480" s="17"/>
      <c r="U1480" s="24"/>
      <c r="V1480" s="24"/>
      <c r="W1480" s="18" t="s">
        <v>638</v>
      </c>
    </row>
    <row r="1481">
      <c r="A1481" s="11"/>
      <c r="B1481" s="12" t="s">
        <v>34</v>
      </c>
      <c r="C1481" s="12" t="s">
        <v>65</v>
      </c>
      <c r="D1481" s="12" t="s">
        <v>83</v>
      </c>
      <c r="E1481" s="12" t="s">
        <v>632</v>
      </c>
      <c r="F1481" s="13" t="s">
        <v>633</v>
      </c>
      <c r="G1481" s="12" t="s">
        <v>68</v>
      </c>
      <c r="H1481" s="12" t="s">
        <v>634</v>
      </c>
      <c r="I1481" s="12" t="s">
        <v>635</v>
      </c>
      <c r="J1481" s="17" t="s">
        <v>2796</v>
      </c>
      <c r="K1481" s="18" t="s">
        <v>2797</v>
      </c>
      <c r="L1481" s="20">
        <v>45938.0</v>
      </c>
      <c r="M1481" s="17" t="s">
        <v>28</v>
      </c>
      <c r="N1481" s="17" t="s">
        <v>2402</v>
      </c>
      <c r="P1481" s="17" t="s">
        <v>2403</v>
      </c>
      <c r="Q1481" s="17" t="s">
        <v>112</v>
      </c>
      <c r="R1481" s="17"/>
      <c r="S1481" s="17" t="s">
        <v>3991</v>
      </c>
      <c r="U1481" s="24"/>
      <c r="V1481" s="24"/>
      <c r="W1481" s="18" t="s">
        <v>638</v>
      </c>
    </row>
    <row r="1482">
      <c r="A1482" s="11"/>
      <c r="B1482" s="12" t="s">
        <v>34</v>
      </c>
      <c r="C1482" s="12" t="s">
        <v>65</v>
      </c>
      <c r="D1482" s="12" t="s">
        <v>83</v>
      </c>
      <c r="E1482" s="12" t="s">
        <v>632</v>
      </c>
      <c r="F1482" s="13" t="s">
        <v>633</v>
      </c>
      <c r="G1482" s="12" t="s">
        <v>68</v>
      </c>
      <c r="H1482" s="12" t="s">
        <v>634</v>
      </c>
      <c r="I1482" s="12" t="s">
        <v>635</v>
      </c>
      <c r="J1482" s="17" t="s">
        <v>2796</v>
      </c>
      <c r="K1482" s="18" t="s">
        <v>2797</v>
      </c>
      <c r="L1482" s="20">
        <v>45938.0</v>
      </c>
      <c r="M1482" s="17" t="s">
        <v>28</v>
      </c>
      <c r="N1482" s="17" t="s">
        <v>2415</v>
      </c>
      <c r="O1482" s="17">
        <v>4.346857E7</v>
      </c>
      <c r="P1482" s="17" t="s">
        <v>2416</v>
      </c>
      <c r="Q1482" s="17" t="s">
        <v>112</v>
      </c>
      <c r="R1482" s="17"/>
      <c r="S1482" s="17" t="s">
        <v>3992</v>
      </c>
      <c r="U1482" s="24"/>
      <c r="V1482" s="24"/>
      <c r="W1482" s="18" t="s">
        <v>638</v>
      </c>
    </row>
    <row r="1483">
      <c r="A1483" s="11"/>
      <c r="B1483" s="12" t="s">
        <v>34</v>
      </c>
      <c r="C1483" s="12" t="s">
        <v>65</v>
      </c>
      <c r="D1483" s="12" t="s">
        <v>83</v>
      </c>
      <c r="E1483" s="12" t="s">
        <v>632</v>
      </c>
      <c r="F1483" s="13" t="s">
        <v>633</v>
      </c>
      <c r="G1483" s="12" t="s">
        <v>68</v>
      </c>
      <c r="H1483" s="12" t="s">
        <v>634</v>
      </c>
      <c r="I1483" s="12" t="s">
        <v>635</v>
      </c>
      <c r="J1483" s="17" t="s">
        <v>2796</v>
      </c>
      <c r="K1483" s="18" t="s">
        <v>2797</v>
      </c>
      <c r="L1483" s="20">
        <v>45938.0</v>
      </c>
      <c r="M1483" s="17" t="s">
        <v>28</v>
      </c>
      <c r="N1483" s="17" t="s">
        <v>2418</v>
      </c>
      <c r="P1483" s="17" t="s">
        <v>2419</v>
      </c>
      <c r="Q1483" s="17" t="s">
        <v>112</v>
      </c>
      <c r="R1483" s="17"/>
      <c r="S1483" s="17" t="s">
        <v>3895</v>
      </c>
      <c r="U1483" s="24"/>
      <c r="V1483" s="24"/>
      <c r="W1483" s="18" t="s">
        <v>638</v>
      </c>
    </row>
    <row r="1484">
      <c r="A1484" s="11"/>
      <c r="B1484" s="12" t="s">
        <v>34</v>
      </c>
      <c r="C1484" s="12" t="s">
        <v>65</v>
      </c>
      <c r="D1484" s="12" t="s">
        <v>83</v>
      </c>
      <c r="E1484" s="12" t="s">
        <v>632</v>
      </c>
      <c r="F1484" s="13" t="s">
        <v>633</v>
      </c>
      <c r="G1484" s="12" t="s">
        <v>68</v>
      </c>
      <c r="H1484" s="12" t="s">
        <v>634</v>
      </c>
      <c r="I1484" s="12" t="s">
        <v>635</v>
      </c>
      <c r="J1484" s="17" t="s">
        <v>2796</v>
      </c>
      <c r="K1484" s="18" t="s">
        <v>2797</v>
      </c>
      <c r="L1484" s="20">
        <v>45938.0</v>
      </c>
      <c r="M1484" s="17" t="s">
        <v>28</v>
      </c>
      <c r="N1484" s="17" t="s">
        <v>2424</v>
      </c>
      <c r="P1484" s="17" t="s">
        <v>2425</v>
      </c>
      <c r="Q1484" s="17" t="s">
        <v>108</v>
      </c>
      <c r="R1484" s="17"/>
      <c r="S1484" s="17" t="s">
        <v>3985</v>
      </c>
      <c r="U1484" s="24"/>
      <c r="V1484" s="24"/>
      <c r="W1484" s="18" t="s">
        <v>638</v>
      </c>
    </row>
    <row r="1485">
      <c r="A1485" s="11"/>
      <c r="B1485" s="12" t="s">
        <v>34</v>
      </c>
      <c r="C1485" s="12" t="s">
        <v>65</v>
      </c>
      <c r="D1485" s="12" t="s">
        <v>83</v>
      </c>
      <c r="E1485" s="12" t="s">
        <v>632</v>
      </c>
      <c r="F1485" s="13" t="s">
        <v>633</v>
      </c>
      <c r="G1485" s="12" t="s">
        <v>68</v>
      </c>
      <c r="H1485" s="12" t="s">
        <v>634</v>
      </c>
      <c r="I1485" s="12" t="s">
        <v>635</v>
      </c>
      <c r="J1485" s="17" t="s">
        <v>2687</v>
      </c>
      <c r="K1485" s="18">
        <v>2.0</v>
      </c>
      <c r="L1485" s="20">
        <v>45938.0</v>
      </c>
      <c r="M1485" s="17" t="s">
        <v>28</v>
      </c>
      <c r="N1485" s="17" t="s">
        <v>3935</v>
      </c>
      <c r="P1485" s="17"/>
      <c r="Q1485" s="17" t="s">
        <v>73</v>
      </c>
      <c r="R1485" s="17"/>
      <c r="S1485" s="17"/>
      <c r="U1485" s="24"/>
      <c r="V1485" s="24"/>
      <c r="W1485" s="18"/>
    </row>
    <row r="1486">
      <c r="A1486" s="11"/>
      <c r="B1486" s="12" t="s">
        <v>34</v>
      </c>
      <c r="C1486" s="12" t="s">
        <v>65</v>
      </c>
      <c r="D1486" s="12" t="s">
        <v>83</v>
      </c>
      <c r="E1486" s="12" t="s">
        <v>632</v>
      </c>
      <c r="F1486" s="13" t="s">
        <v>633</v>
      </c>
      <c r="G1486" s="12" t="s">
        <v>68</v>
      </c>
      <c r="H1486" s="12" t="s">
        <v>634</v>
      </c>
      <c r="I1486" s="12" t="s">
        <v>635</v>
      </c>
      <c r="J1486" s="17" t="s">
        <v>2687</v>
      </c>
      <c r="K1486" s="18">
        <v>2.0</v>
      </c>
      <c r="L1486" s="20">
        <v>45938.0</v>
      </c>
      <c r="M1486" s="17" t="s">
        <v>28</v>
      </c>
      <c r="N1486" s="17" t="s">
        <v>3936</v>
      </c>
      <c r="P1486" s="17"/>
      <c r="Q1486" s="17" t="s">
        <v>112</v>
      </c>
      <c r="R1486" s="17"/>
      <c r="S1486" s="17"/>
      <c r="U1486" s="24"/>
      <c r="V1486" s="24"/>
      <c r="W1486" s="18"/>
    </row>
    <row r="1487">
      <c r="A1487" s="11"/>
      <c r="B1487" s="12" t="s">
        <v>34</v>
      </c>
      <c r="C1487" s="12" t="s">
        <v>65</v>
      </c>
      <c r="D1487" s="12" t="s">
        <v>83</v>
      </c>
      <c r="E1487" s="12" t="s">
        <v>632</v>
      </c>
      <c r="F1487" s="13" t="s">
        <v>633</v>
      </c>
      <c r="G1487" s="12" t="s">
        <v>68</v>
      </c>
      <c r="H1487" s="12" t="s">
        <v>634</v>
      </c>
      <c r="I1487" s="12" t="s">
        <v>635</v>
      </c>
      <c r="J1487" s="17" t="s">
        <v>2687</v>
      </c>
      <c r="K1487" s="18">
        <v>2.0</v>
      </c>
      <c r="L1487" s="20">
        <v>45938.0</v>
      </c>
      <c r="M1487" s="17" t="s">
        <v>28</v>
      </c>
      <c r="N1487" s="17" t="s">
        <v>3937</v>
      </c>
      <c r="P1487" s="17"/>
      <c r="Q1487" s="17" t="s">
        <v>108</v>
      </c>
      <c r="R1487" s="17"/>
      <c r="S1487" s="17"/>
      <c r="U1487" s="24"/>
      <c r="V1487" s="24"/>
      <c r="W1487" s="18"/>
    </row>
    <row r="1488">
      <c r="A1488" s="11"/>
      <c r="B1488" s="12" t="s">
        <v>34</v>
      </c>
      <c r="C1488" s="12" t="s">
        <v>65</v>
      </c>
      <c r="D1488" s="12" t="s">
        <v>83</v>
      </c>
      <c r="E1488" s="12" t="s">
        <v>632</v>
      </c>
      <c r="F1488" s="13" t="s">
        <v>633</v>
      </c>
      <c r="G1488" s="12" t="s">
        <v>68</v>
      </c>
      <c r="H1488" s="12" t="s">
        <v>634</v>
      </c>
      <c r="I1488" s="12" t="s">
        <v>635</v>
      </c>
      <c r="J1488" s="17" t="s">
        <v>2687</v>
      </c>
      <c r="K1488" s="18">
        <v>2.0</v>
      </c>
      <c r="L1488" s="20">
        <v>45938.0</v>
      </c>
      <c r="M1488" s="17" t="s">
        <v>28</v>
      </c>
      <c r="N1488" s="17" t="s">
        <v>3938</v>
      </c>
      <c r="P1488" s="17"/>
      <c r="Q1488" s="17" t="s">
        <v>73</v>
      </c>
      <c r="R1488" s="17"/>
      <c r="S1488" s="17"/>
      <c r="U1488" s="24"/>
      <c r="V1488" s="24"/>
      <c r="W1488" s="18"/>
    </row>
    <row r="1489">
      <c r="A1489" s="11"/>
      <c r="B1489" s="12" t="s">
        <v>34</v>
      </c>
      <c r="C1489" s="12" t="s">
        <v>65</v>
      </c>
      <c r="D1489" s="12" t="s">
        <v>43</v>
      </c>
      <c r="E1489" s="12" t="s">
        <v>773</v>
      </c>
      <c r="F1489" s="13" t="s">
        <v>774</v>
      </c>
      <c r="G1489" s="12" t="s">
        <v>68</v>
      </c>
      <c r="H1489" s="12" t="s">
        <v>775</v>
      </c>
      <c r="I1489" s="12" t="s">
        <v>776</v>
      </c>
      <c r="J1489" s="17" t="s">
        <v>2796</v>
      </c>
      <c r="K1489" s="18" t="s">
        <v>2797</v>
      </c>
      <c r="L1489" s="20">
        <v>45937.0</v>
      </c>
      <c r="M1489" s="17" t="s">
        <v>28</v>
      </c>
      <c r="N1489" s="17" t="s">
        <v>3348</v>
      </c>
      <c r="O1489" s="17">
        <v>7.1016949E7</v>
      </c>
      <c r="P1489" s="17" t="s">
        <v>2613</v>
      </c>
      <c r="Q1489" s="17" t="s">
        <v>73</v>
      </c>
      <c r="R1489" s="17"/>
      <c r="S1489" s="17" t="s">
        <v>2614</v>
      </c>
      <c r="U1489" s="24"/>
      <c r="V1489" s="24"/>
      <c r="W1489" s="18" t="s">
        <v>638</v>
      </c>
    </row>
    <row r="1490">
      <c r="A1490" s="11"/>
      <c r="B1490" s="12" t="s">
        <v>34</v>
      </c>
      <c r="C1490" s="12" t="s">
        <v>65</v>
      </c>
      <c r="D1490" s="12" t="s">
        <v>43</v>
      </c>
      <c r="E1490" s="12" t="s">
        <v>773</v>
      </c>
      <c r="F1490" s="13" t="s">
        <v>774</v>
      </c>
      <c r="G1490" s="12" t="s">
        <v>68</v>
      </c>
      <c r="H1490" s="12" t="s">
        <v>775</v>
      </c>
      <c r="I1490" s="12" t="s">
        <v>776</v>
      </c>
      <c r="J1490" s="17" t="s">
        <v>2796</v>
      </c>
      <c r="K1490" s="18" t="s">
        <v>2797</v>
      </c>
      <c r="L1490" s="20">
        <v>45937.0</v>
      </c>
      <c r="M1490" s="17" t="s">
        <v>28</v>
      </c>
      <c r="N1490" s="17" t="s">
        <v>2625</v>
      </c>
      <c r="O1490" s="17">
        <v>7.2939698E7</v>
      </c>
      <c r="P1490" s="17" t="s">
        <v>2626</v>
      </c>
      <c r="Q1490" s="17" t="s">
        <v>112</v>
      </c>
      <c r="R1490" s="17"/>
      <c r="S1490" s="17" t="s">
        <v>3993</v>
      </c>
      <c r="U1490" s="24"/>
      <c r="V1490" s="24"/>
      <c r="W1490" s="18" t="s">
        <v>638</v>
      </c>
    </row>
    <row r="1491">
      <c r="A1491" s="11"/>
      <c r="B1491" s="12" t="s">
        <v>34</v>
      </c>
      <c r="C1491" s="12" t="s">
        <v>65</v>
      </c>
      <c r="D1491" s="12" t="s">
        <v>43</v>
      </c>
      <c r="E1491" s="12" t="s">
        <v>773</v>
      </c>
      <c r="F1491" s="13" t="s">
        <v>774</v>
      </c>
      <c r="G1491" s="12" t="s">
        <v>68</v>
      </c>
      <c r="H1491" s="12" t="s">
        <v>775</v>
      </c>
      <c r="I1491" s="12" t="s">
        <v>776</v>
      </c>
      <c r="J1491" s="17" t="s">
        <v>2796</v>
      </c>
      <c r="K1491" s="18" t="s">
        <v>2797</v>
      </c>
      <c r="L1491" s="20">
        <v>45937.0</v>
      </c>
      <c r="M1491" s="17" t="s">
        <v>28</v>
      </c>
      <c r="N1491" s="17" t="s">
        <v>2632</v>
      </c>
      <c r="O1491" s="17">
        <v>4.2195094E7</v>
      </c>
      <c r="P1491" s="17" t="s">
        <v>2633</v>
      </c>
      <c r="Q1491" s="17" t="s">
        <v>73</v>
      </c>
      <c r="R1491" s="17"/>
      <c r="S1491" s="17" t="s">
        <v>3994</v>
      </c>
      <c r="U1491" s="24"/>
      <c r="V1491" s="24"/>
      <c r="W1491" s="18" t="s">
        <v>638</v>
      </c>
    </row>
    <row r="1492">
      <c r="A1492" s="11"/>
      <c r="B1492" s="12" t="s">
        <v>34</v>
      </c>
      <c r="C1492" s="12" t="s">
        <v>65</v>
      </c>
      <c r="D1492" s="12" t="s">
        <v>43</v>
      </c>
      <c r="E1492" s="12" t="s">
        <v>773</v>
      </c>
      <c r="F1492" s="13" t="s">
        <v>774</v>
      </c>
      <c r="G1492" s="12" t="s">
        <v>68</v>
      </c>
      <c r="H1492" s="12" t="s">
        <v>775</v>
      </c>
      <c r="I1492" s="12" t="s">
        <v>776</v>
      </c>
      <c r="J1492" s="17" t="s">
        <v>2796</v>
      </c>
      <c r="K1492" s="18" t="s">
        <v>2797</v>
      </c>
      <c r="L1492" s="20">
        <v>45937.0</v>
      </c>
      <c r="M1492" s="17" t="s">
        <v>28</v>
      </c>
      <c r="N1492" s="17" t="s">
        <v>2615</v>
      </c>
      <c r="O1492" s="17">
        <v>4.2868544E7</v>
      </c>
      <c r="P1492" s="17" t="s">
        <v>2616</v>
      </c>
      <c r="Q1492" s="17" t="s">
        <v>112</v>
      </c>
      <c r="R1492" s="17"/>
      <c r="S1492" s="17" t="s">
        <v>3995</v>
      </c>
      <c r="U1492" s="24"/>
      <c r="V1492" s="24"/>
      <c r="W1492" s="18" t="s">
        <v>638</v>
      </c>
    </row>
    <row r="1493">
      <c r="A1493" s="11"/>
      <c r="B1493" s="12" t="s">
        <v>34</v>
      </c>
      <c r="C1493" s="12" t="s">
        <v>65</v>
      </c>
      <c r="D1493" s="12" t="s">
        <v>43</v>
      </c>
      <c r="E1493" s="12" t="s">
        <v>773</v>
      </c>
      <c r="F1493" s="13" t="s">
        <v>774</v>
      </c>
      <c r="G1493" s="12" t="s">
        <v>68</v>
      </c>
      <c r="H1493" s="12" t="s">
        <v>775</v>
      </c>
      <c r="I1493" s="12" t="s">
        <v>776</v>
      </c>
      <c r="J1493" s="17" t="s">
        <v>2796</v>
      </c>
      <c r="K1493" s="18" t="s">
        <v>2797</v>
      </c>
      <c r="L1493" s="20">
        <v>45937.0</v>
      </c>
      <c r="M1493" s="17" t="s">
        <v>28</v>
      </c>
      <c r="N1493" s="17" t="s">
        <v>3353</v>
      </c>
      <c r="O1493" s="17">
        <v>7.1213948E7</v>
      </c>
      <c r="P1493" s="17" t="s">
        <v>3354</v>
      </c>
      <c r="Q1493" s="17" t="s">
        <v>112</v>
      </c>
      <c r="R1493" s="17"/>
      <c r="S1493" s="17" t="s">
        <v>3996</v>
      </c>
      <c r="U1493" s="24"/>
      <c r="V1493" s="24"/>
      <c r="W1493" s="18" t="s">
        <v>638</v>
      </c>
    </row>
    <row r="1494">
      <c r="A1494" s="11"/>
      <c r="B1494" s="12" t="s">
        <v>34</v>
      </c>
      <c r="C1494" s="12" t="s">
        <v>65</v>
      </c>
      <c r="D1494" s="12" t="s">
        <v>43</v>
      </c>
      <c r="E1494" s="12" t="s">
        <v>773</v>
      </c>
      <c r="F1494" s="13" t="s">
        <v>774</v>
      </c>
      <c r="G1494" s="12" t="s">
        <v>68</v>
      </c>
      <c r="H1494" s="12" t="s">
        <v>775</v>
      </c>
      <c r="I1494" s="12" t="s">
        <v>776</v>
      </c>
      <c r="J1494" s="17" t="s">
        <v>2796</v>
      </c>
      <c r="K1494" s="18" t="s">
        <v>2797</v>
      </c>
      <c r="L1494" s="20">
        <v>45937.0</v>
      </c>
      <c r="M1494" s="17" t="s">
        <v>28</v>
      </c>
      <c r="N1494" s="17" t="s">
        <v>3363</v>
      </c>
      <c r="O1494" s="17">
        <v>7.4398753E7</v>
      </c>
      <c r="P1494" s="17" t="s">
        <v>3364</v>
      </c>
      <c r="Q1494" s="17" t="s">
        <v>108</v>
      </c>
      <c r="R1494" s="17"/>
      <c r="S1494" s="17" t="s">
        <v>3997</v>
      </c>
      <c r="U1494" s="24"/>
      <c r="V1494" s="24"/>
      <c r="W1494" s="18" t="s">
        <v>638</v>
      </c>
    </row>
    <row r="1495">
      <c r="A1495" s="11"/>
      <c r="B1495" s="12" t="s">
        <v>34</v>
      </c>
      <c r="C1495" s="12" t="s">
        <v>65</v>
      </c>
      <c r="D1495" s="12" t="s">
        <v>43</v>
      </c>
      <c r="E1495" s="12" t="s">
        <v>773</v>
      </c>
      <c r="F1495" s="13" t="s">
        <v>774</v>
      </c>
      <c r="G1495" s="12" t="s">
        <v>68</v>
      </c>
      <c r="H1495" s="12" t="s">
        <v>775</v>
      </c>
      <c r="I1495" s="12" t="s">
        <v>776</v>
      </c>
      <c r="J1495" s="17" t="s">
        <v>2796</v>
      </c>
      <c r="K1495" s="18" t="s">
        <v>2797</v>
      </c>
      <c r="L1495" s="20">
        <v>45937.0</v>
      </c>
      <c r="M1495" s="17" t="s">
        <v>28</v>
      </c>
      <c r="N1495" s="17" t="s">
        <v>2635</v>
      </c>
      <c r="O1495" s="17">
        <v>6.0392387E7</v>
      </c>
      <c r="P1495" s="17" t="s">
        <v>3998</v>
      </c>
      <c r="Q1495" s="17" t="s">
        <v>73</v>
      </c>
      <c r="R1495" s="17"/>
      <c r="S1495" s="17" t="s">
        <v>3999</v>
      </c>
      <c r="U1495" s="24"/>
      <c r="V1495" s="24"/>
      <c r="W1495" s="18" t="s">
        <v>638</v>
      </c>
    </row>
    <row r="1496">
      <c r="A1496" s="11"/>
      <c r="B1496" s="12" t="s">
        <v>34</v>
      </c>
      <c r="C1496" s="12" t="s">
        <v>65</v>
      </c>
      <c r="D1496" s="12" t="s">
        <v>43</v>
      </c>
      <c r="E1496" s="12" t="s">
        <v>773</v>
      </c>
      <c r="F1496" s="13" t="s">
        <v>774</v>
      </c>
      <c r="G1496" s="12" t="s">
        <v>68</v>
      </c>
      <c r="H1496" s="12" t="s">
        <v>775</v>
      </c>
      <c r="I1496" s="12" t="s">
        <v>776</v>
      </c>
      <c r="J1496" s="17" t="s">
        <v>2796</v>
      </c>
      <c r="K1496" s="18" t="s">
        <v>2797</v>
      </c>
      <c r="L1496" s="20">
        <v>45937.0</v>
      </c>
      <c r="M1496" s="17" t="s">
        <v>28</v>
      </c>
      <c r="N1496" s="17" t="s">
        <v>3367</v>
      </c>
      <c r="O1496" s="17">
        <v>7.6731148E7</v>
      </c>
      <c r="P1496" s="17" t="s">
        <v>3368</v>
      </c>
      <c r="Q1496" s="17" t="s">
        <v>108</v>
      </c>
      <c r="R1496" s="17"/>
      <c r="S1496" s="17" t="s">
        <v>4000</v>
      </c>
      <c r="U1496" s="24"/>
      <c r="V1496" s="24"/>
      <c r="W1496" s="18" t="s">
        <v>638</v>
      </c>
    </row>
    <row r="1497">
      <c r="A1497" s="11"/>
      <c r="B1497" s="12" t="s">
        <v>34</v>
      </c>
      <c r="C1497" s="12" t="s">
        <v>65</v>
      </c>
      <c r="D1497" s="12" t="s">
        <v>43</v>
      </c>
      <c r="E1497" s="12" t="s">
        <v>773</v>
      </c>
      <c r="F1497" s="13" t="s">
        <v>774</v>
      </c>
      <c r="G1497" s="12" t="s">
        <v>68</v>
      </c>
      <c r="H1497" s="12" t="s">
        <v>775</v>
      </c>
      <c r="I1497" s="12" t="s">
        <v>776</v>
      </c>
      <c r="J1497" s="17" t="s">
        <v>2796</v>
      </c>
      <c r="K1497" s="18" t="s">
        <v>2797</v>
      </c>
      <c r="L1497" s="20">
        <v>45937.0</v>
      </c>
      <c r="M1497" s="17" t="s">
        <v>28</v>
      </c>
      <c r="N1497" s="17" t="s">
        <v>3361</v>
      </c>
      <c r="O1497" s="17">
        <v>7.3392781E7</v>
      </c>
      <c r="P1497" s="17" t="s">
        <v>2622</v>
      </c>
      <c r="Q1497" s="17" t="s">
        <v>108</v>
      </c>
      <c r="R1497" s="17"/>
      <c r="S1497" s="17" t="s">
        <v>4001</v>
      </c>
      <c r="U1497" s="24"/>
      <c r="V1497" s="24"/>
      <c r="W1497" s="18" t="s">
        <v>638</v>
      </c>
    </row>
    <row r="1498">
      <c r="A1498" s="11"/>
      <c r="B1498" s="12" t="s">
        <v>34</v>
      </c>
      <c r="C1498" s="12" t="s">
        <v>65</v>
      </c>
      <c r="D1498" s="12" t="s">
        <v>43</v>
      </c>
      <c r="E1498" s="12" t="s">
        <v>773</v>
      </c>
      <c r="F1498" s="13" t="s">
        <v>774</v>
      </c>
      <c r="G1498" s="12" t="s">
        <v>68</v>
      </c>
      <c r="H1498" s="12" t="s">
        <v>775</v>
      </c>
      <c r="I1498" s="12" t="s">
        <v>776</v>
      </c>
      <c r="J1498" s="17" t="s">
        <v>2796</v>
      </c>
      <c r="K1498" s="18" t="s">
        <v>2797</v>
      </c>
      <c r="L1498" s="20">
        <v>45937.0</v>
      </c>
      <c r="M1498" s="17" t="s">
        <v>28</v>
      </c>
      <c r="N1498" s="17" t="s">
        <v>2609</v>
      </c>
      <c r="O1498" s="17">
        <v>7.1000156E7</v>
      </c>
      <c r="P1498" s="17" t="s">
        <v>2610</v>
      </c>
      <c r="Q1498" s="17" t="s">
        <v>108</v>
      </c>
      <c r="R1498" s="17"/>
      <c r="S1498" s="17" t="s">
        <v>4002</v>
      </c>
      <c r="U1498" s="24"/>
      <c r="V1498" s="24"/>
      <c r="W1498" s="18" t="s">
        <v>638</v>
      </c>
    </row>
    <row r="1499">
      <c r="A1499" s="11"/>
      <c r="B1499" s="12" t="s">
        <v>34</v>
      </c>
      <c r="C1499" s="12" t="s">
        <v>65</v>
      </c>
      <c r="D1499" s="12" t="s">
        <v>43</v>
      </c>
      <c r="E1499" s="12" t="s">
        <v>773</v>
      </c>
      <c r="F1499" s="13" t="s">
        <v>774</v>
      </c>
      <c r="G1499" s="12" t="s">
        <v>68</v>
      </c>
      <c r="H1499" s="12" t="s">
        <v>775</v>
      </c>
      <c r="I1499" s="12" t="s">
        <v>776</v>
      </c>
      <c r="J1499" s="17" t="s">
        <v>2796</v>
      </c>
      <c r="K1499" s="18" t="s">
        <v>2797</v>
      </c>
      <c r="L1499" s="20">
        <v>45937.0</v>
      </c>
      <c r="M1499" s="17" t="s">
        <v>28</v>
      </c>
      <c r="N1499" s="17" t="s">
        <v>2629</v>
      </c>
      <c r="O1499" s="17">
        <v>4.7473337E7</v>
      </c>
      <c r="P1499" s="17" t="s">
        <v>2630</v>
      </c>
      <c r="Q1499" s="17" t="s">
        <v>112</v>
      </c>
      <c r="R1499" s="17"/>
      <c r="S1499" s="17" t="s">
        <v>4003</v>
      </c>
      <c r="U1499" s="24"/>
      <c r="V1499" s="24"/>
      <c r="W1499" s="18" t="s">
        <v>638</v>
      </c>
    </row>
    <row r="1500">
      <c r="A1500" s="11"/>
      <c r="B1500" s="12" t="s">
        <v>34</v>
      </c>
      <c r="C1500" s="12" t="s">
        <v>65</v>
      </c>
      <c r="D1500" s="12" t="s">
        <v>43</v>
      </c>
      <c r="E1500" s="12" t="s">
        <v>773</v>
      </c>
      <c r="F1500" s="13" t="s">
        <v>774</v>
      </c>
      <c r="G1500" s="12" t="s">
        <v>68</v>
      </c>
      <c r="H1500" s="12" t="s">
        <v>775</v>
      </c>
      <c r="I1500" s="12" t="s">
        <v>776</v>
      </c>
      <c r="J1500" s="17" t="s">
        <v>2796</v>
      </c>
      <c r="K1500" s="18" t="s">
        <v>2797</v>
      </c>
      <c r="L1500" s="20">
        <v>45937.0</v>
      </c>
      <c r="M1500" s="17" t="s">
        <v>28</v>
      </c>
      <c r="N1500" s="17" t="s">
        <v>2599</v>
      </c>
      <c r="O1500" s="17">
        <v>4.8010027E7</v>
      </c>
      <c r="P1500" s="17" t="s">
        <v>2600</v>
      </c>
      <c r="Q1500" s="17" t="s">
        <v>112</v>
      </c>
      <c r="R1500" s="17"/>
      <c r="S1500" s="17" t="s">
        <v>4004</v>
      </c>
      <c r="U1500" s="24"/>
      <c r="V1500" s="24"/>
      <c r="W1500" s="18" t="s">
        <v>638</v>
      </c>
    </row>
    <row r="1501">
      <c r="A1501" s="11"/>
      <c r="B1501" s="12" t="s">
        <v>34</v>
      </c>
      <c r="C1501" s="12" t="s">
        <v>65</v>
      </c>
      <c r="D1501" s="12" t="s">
        <v>43</v>
      </c>
      <c r="E1501" s="12" t="s">
        <v>773</v>
      </c>
      <c r="F1501" s="13" t="s">
        <v>774</v>
      </c>
      <c r="G1501" s="12" t="s">
        <v>68</v>
      </c>
      <c r="H1501" s="12" t="s">
        <v>775</v>
      </c>
      <c r="I1501" s="12" t="s">
        <v>776</v>
      </c>
      <c r="J1501" s="17" t="s">
        <v>2796</v>
      </c>
      <c r="K1501" s="18" t="s">
        <v>2797</v>
      </c>
      <c r="L1501" s="20">
        <v>45937.0</v>
      </c>
      <c r="M1501" s="17" t="s">
        <v>28</v>
      </c>
      <c r="N1501" s="17" t="s">
        <v>3357</v>
      </c>
      <c r="O1501" s="17">
        <v>4.0572029E7</v>
      </c>
      <c r="P1501" s="17" t="s">
        <v>2603</v>
      </c>
      <c r="Q1501" s="17" t="s">
        <v>108</v>
      </c>
      <c r="R1501" s="17"/>
      <c r="S1501" s="17" t="s">
        <v>4005</v>
      </c>
      <c r="U1501" s="24"/>
      <c r="V1501" s="24"/>
      <c r="W1501" s="18" t="s">
        <v>638</v>
      </c>
    </row>
    <row r="1502">
      <c r="A1502" s="11"/>
      <c r="B1502" s="12" t="s">
        <v>7</v>
      </c>
      <c r="C1502" s="12" t="s">
        <v>37</v>
      </c>
      <c r="D1502" s="12" t="s">
        <v>38</v>
      </c>
      <c r="E1502" s="12" t="s">
        <v>45</v>
      </c>
      <c r="F1502" s="13" t="s">
        <v>44</v>
      </c>
      <c r="G1502" s="12" t="s">
        <v>68</v>
      </c>
      <c r="H1502" s="12" t="s">
        <v>830</v>
      </c>
      <c r="I1502" s="12" t="s">
        <v>831</v>
      </c>
      <c r="J1502" s="17" t="s">
        <v>2796</v>
      </c>
      <c r="K1502" s="18" t="s">
        <v>2797</v>
      </c>
      <c r="L1502" s="20">
        <v>45952.0</v>
      </c>
      <c r="M1502" s="17" t="s">
        <v>23</v>
      </c>
      <c r="N1502" s="46" t="s">
        <v>2303</v>
      </c>
      <c r="O1502" s="47">
        <v>4.0135418E7</v>
      </c>
      <c r="P1502" s="46"/>
      <c r="Q1502" s="48" t="s">
        <v>73</v>
      </c>
      <c r="R1502" s="48" t="s">
        <v>74</v>
      </c>
      <c r="S1502" s="17" t="s">
        <v>2202</v>
      </c>
      <c r="U1502" s="24"/>
      <c r="V1502" s="24"/>
      <c r="W1502" s="18" t="s">
        <v>577</v>
      </c>
    </row>
    <row r="1503">
      <c r="A1503" s="11"/>
      <c r="B1503" s="12" t="s">
        <v>7</v>
      </c>
      <c r="C1503" s="12" t="s">
        <v>37</v>
      </c>
      <c r="D1503" s="12" t="s">
        <v>38</v>
      </c>
      <c r="E1503" s="12" t="s">
        <v>45</v>
      </c>
      <c r="F1503" s="13" t="s">
        <v>44</v>
      </c>
      <c r="G1503" s="12" t="s">
        <v>68</v>
      </c>
      <c r="H1503" s="12" t="s">
        <v>830</v>
      </c>
      <c r="I1503" s="12" t="s">
        <v>831</v>
      </c>
      <c r="J1503" s="17" t="s">
        <v>2796</v>
      </c>
      <c r="K1503" s="18" t="s">
        <v>2797</v>
      </c>
      <c r="L1503" s="20">
        <v>45952.0</v>
      </c>
      <c r="M1503" s="17" t="s">
        <v>23</v>
      </c>
      <c r="N1503" s="46" t="s">
        <v>2304</v>
      </c>
      <c r="O1503" s="47">
        <v>3.3335394E7</v>
      </c>
      <c r="P1503" s="46"/>
      <c r="Q1503" s="48" t="s">
        <v>112</v>
      </c>
      <c r="R1503" s="48" t="s">
        <v>113</v>
      </c>
      <c r="S1503" s="17" t="s">
        <v>2220</v>
      </c>
      <c r="U1503" s="24"/>
      <c r="V1503" s="24"/>
      <c r="W1503" s="18" t="s">
        <v>577</v>
      </c>
    </row>
    <row r="1504">
      <c r="A1504" s="11"/>
      <c r="B1504" s="12" t="s">
        <v>7</v>
      </c>
      <c r="C1504" s="12" t="s">
        <v>37</v>
      </c>
      <c r="D1504" s="12" t="s">
        <v>38</v>
      </c>
      <c r="E1504" s="12" t="s">
        <v>45</v>
      </c>
      <c r="F1504" s="13" t="s">
        <v>44</v>
      </c>
      <c r="G1504" s="12" t="s">
        <v>68</v>
      </c>
      <c r="H1504" s="12" t="s">
        <v>830</v>
      </c>
      <c r="I1504" s="12" t="s">
        <v>831</v>
      </c>
      <c r="J1504" s="17" t="s">
        <v>2796</v>
      </c>
      <c r="K1504" s="18" t="s">
        <v>2797</v>
      </c>
      <c r="L1504" s="20">
        <v>45952.0</v>
      </c>
      <c r="M1504" s="17" t="s">
        <v>28</v>
      </c>
      <c r="N1504" s="48" t="s">
        <v>2317</v>
      </c>
      <c r="O1504" s="122">
        <v>3.1679891E7</v>
      </c>
      <c r="P1504" s="21" t="s">
        <v>1822</v>
      </c>
      <c r="Q1504" s="46" t="s">
        <v>108</v>
      </c>
      <c r="R1504" s="46" t="s">
        <v>109</v>
      </c>
      <c r="S1504" s="17" t="s">
        <v>2318</v>
      </c>
      <c r="U1504" s="24"/>
      <c r="V1504" s="24"/>
      <c r="W1504" s="18" t="s">
        <v>577</v>
      </c>
    </row>
    <row r="1505">
      <c r="A1505" s="11"/>
      <c r="B1505" s="12" t="s">
        <v>7</v>
      </c>
      <c r="C1505" s="12" t="s">
        <v>37</v>
      </c>
      <c r="D1505" s="12" t="s">
        <v>38</v>
      </c>
      <c r="E1505" s="12" t="s">
        <v>45</v>
      </c>
      <c r="F1505" s="13" t="s">
        <v>44</v>
      </c>
      <c r="G1505" s="12" t="s">
        <v>68</v>
      </c>
      <c r="H1505" s="12" t="s">
        <v>830</v>
      </c>
      <c r="I1505" s="12" t="s">
        <v>831</v>
      </c>
      <c r="J1505" s="17" t="s">
        <v>2796</v>
      </c>
      <c r="K1505" s="18" t="s">
        <v>2797</v>
      </c>
      <c r="L1505" s="20">
        <v>45952.0</v>
      </c>
      <c r="M1505" s="17" t="s">
        <v>28</v>
      </c>
      <c r="N1505" s="46" t="s">
        <v>2322</v>
      </c>
      <c r="O1505" s="122">
        <v>7.1988406E7</v>
      </c>
      <c r="P1505" s="46" t="s">
        <v>1826</v>
      </c>
      <c r="Q1505" s="46" t="s">
        <v>108</v>
      </c>
      <c r="R1505" s="46" t="s">
        <v>109</v>
      </c>
      <c r="S1505" s="17" t="s">
        <v>2323</v>
      </c>
      <c r="U1505" s="24"/>
      <c r="V1505" s="24"/>
      <c r="W1505" s="18" t="s">
        <v>577</v>
      </c>
    </row>
    <row r="1506">
      <c r="A1506" s="11"/>
      <c r="B1506" s="12" t="s">
        <v>7</v>
      </c>
      <c r="C1506" s="12" t="s">
        <v>37</v>
      </c>
      <c r="D1506" s="12" t="s">
        <v>38</v>
      </c>
      <c r="E1506" s="12" t="s">
        <v>45</v>
      </c>
      <c r="F1506" s="13" t="s">
        <v>44</v>
      </c>
      <c r="G1506" s="12" t="s">
        <v>68</v>
      </c>
      <c r="H1506" s="12" t="s">
        <v>830</v>
      </c>
      <c r="I1506" s="12" t="s">
        <v>831</v>
      </c>
      <c r="J1506" s="17" t="s">
        <v>2796</v>
      </c>
      <c r="K1506" s="18" t="s">
        <v>2797</v>
      </c>
      <c r="L1506" s="20">
        <v>45952.0</v>
      </c>
      <c r="M1506" s="17" t="s">
        <v>28</v>
      </c>
      <c r="N1506" s="46" t="s">
        <v>2324</v>
      </c>
      <c r="O1506" s="122">
        <v>4.5458285E7</v>
      </c>
      <c r="P1506" s="46" t="s">
        <v>2058</v>
      </c>
      <c r="Q1506" s="46" t="s">
        <v>73</v>
      </c>
      <c r="R1506" s="46" t="s">
        <v>74</v>
      </c>
      <c r="S1506" s="17" t="s">
        <v>2325</v>
      </c>
      <c r="U1506" s="24"/>
      <c r="V1506" s="24"/>
      <c r="W1506" s="18" t="s">
        <v>577</v>
      </c>
    </row>
    <row r="1507">
      <c r="A1507" s="11"/>
      <c r="B1507" s="12" t="s">
        <v>7</v>
      </c>
      <c r="C1507" s="12" t="s">
        <v>37</v>
      </c>
      <c r="D1507" s="12" t="s">
        <v>38</v>
      </c>
      <c r="E1507" s="12" t="s">
        <v>45</v>
      </c>
      <c r="F1507" s="13" t="s">
        <v>44</v>
      </c>
      <c r="G1507" s="12" t="s">
        <v>68</v>
      </c>
      <c r="H1507" s="12" t="s">
        <v>830</v>
      </c>
      <c r="I1507" s="12" t="s">
        <v>831</v>
      </c>
      <c r="J1507" s="17" t="s">
        <v>2796</v>
      </c>
      <c r="K1507" s="18" t="s">
        <v>2797</v>
      </c>
      <c r="L1507" s="20">
        <v>45952.0</v>
      </c>
      <c r="M1507" s="17" t="s">
        <v>28</v>
      </c>
      <c r="N1507" s="46" t="s">
        <v>2326</v>
      </c>
      <c r="O1507" s="122">
        <v>7.6618048E7</v>
      </c>
      <c r="P1507" s="46" t="s">
        <v>2327</v>
      </c>
      <c r="Q1507" s="46" t="s">
        <v>73</v>
      </c>
      <c r="R1507" s="46" t="s">
        <v>74</v>
      </c>
      <c r="S1507" s="17" t="s">
        <v>2328</v>
      </c>
      <c r="U1507" s="24"/>
      <c r="V1507" s="24"/>
      <c r="W1507" s="18" t="s">
        <v>577</v>
      </c>
    </row>
    <row r="1508">
      <c r="A1508" s="11"/>
      <c r="B1508" s="12" t="s">
        <v>7</v>
      </c>
      <c r="C1508" s="12" t="s">
        <v>37</v>
      </c>
      <c r="D1508" s="12" t="s">
        <v>38</v>
      </c>
      <c r="E1508" s="12" t="s">
        <v>45</v>
      </c>
      <c r="F1508" s="13" t="s">
        <v>44</v>
      </c>
      <c r="G1508" s="12" t="s">
        <v>68</v>
      </c>
      <c r="H1508" s="12" t="s">
        <v>830</v>
      </c>
      <c r="I1508" s="12" t="s">
        <v>831</v>
      </c>
      <c r="J1508" s="17" t="s">
        <v>2796</v>
      </c>
      <c r="K1508" s="18" t="s">
        <v>2797</v>
      </c>
      <c r="L1508" s="20">
        <v>45952.0</v>
      </c>
      <c r="M1508" s="17" t="s">
        <v>28</v>
      </c>
      <c r="N1508" s="46" t="s">
        <v>2338</v>
      </c>
      <c r="O1508" s="122">
        <v>4.6985169E7</v>
      </c>
      <c r="P1508" s="46" t="s">
        <v>2339</v>
      </c>
      <c r="Q1508" s="46" t="s">
        <v>112</v>
      </c>
      <c r="R1508" s="46" t="s">
        <v>113</v>
      </c>
      <c r="S1508" s="17" t="s">
        <v>2340</v>
      </c>
      <c r="U1508" s="24"/>
      <c r="V1508" s="24"/>
      <c r="W1508" s="18" t="s">
        <v>577</v>
      </c>
    </row>
    <row r="1509">
      <c r="A1509" s="11"/>
      <c r="B1509" s="12" t="s">
        <v>7</v>
      </c>
      <c r="C1509" s="12" t="s">
        <v>37</v>
      </c>
      <c r="D1509" s="12" t="s">
        <v>38</v>
      </c>
      <c r="E1509" s="12" t="s">
        <v>45</v>
      </c>
      <c r="F1509" s="13" t="s">
        <v>44</v>
      </c>
      <c r="G1509" s="12" t="s">
        <v>68</v>
      </c>
      <c r="H1509" s="12" t="s">
        <v>830</v>
      </c>
      <c r="I1509" s="12" t="s">
        <v>831</v>
      </c>
      <c r="J1509" s="17" t="s">
        <v>2796</v>
      </c>
      <c r="K1509" s="18" t="s">
        <v>2797</v>
      </c>
      <c r="L1509" s="20">
        <v>45952.0</v>
      </c>
      <c r="M1509" s="17" t="s">
        <v>28</v>
      </c>
      <c r="N1509" s="46" t="s">
        <v>2341</v>
      </c>
      <c r="O1509" s="122">
        <v>4.6646388E7</v>
      </c>
      <c r="P1509" s="48" t="s">
        <v>1823</v>
      </c>
      <c r="Q1509" s="46" t="s">
        <v>108</v>
      </c>
      <c r="R1509" s="46" t="s">
        <v>109</v>
      </c>
      <c r="S1509" s="17" t="s">
        <v>2342</v>
      </c>
      <c r="U1509" s="24"/>
      <c r="V1509" s="24"/>
      <c r="W1509" s="18" t="s">
        <v>577</v>
      </c>
    </row>
    <row r="1510">
      <c r="A1510" s="11"/>
      <c r="B1510" s="12" t="s">
        <v>7</v>
      </c>
      <c r="C1510" s="12" t="s">
        <v>37</v>
      </c>
      <c r="D1510" s="12" t="s">
        <v>38</v>
      </c>
      <c r="E1510" s="12" t="s">
        <v>45</v>
      </c>
      <c r="F1510" s="13" t="s">
        <v>44</v>
      </c>
      <c r="G1510" s="12" t="s">
        <v>68</v>
      </c>
      <c r="H1510" s="12" t="s">
        <v>830</v>
      </c>
      <c r="I1510" s="12" t="s">
        <v>831</v>
      </c>
      <c r="J1510" s="17" t="s">
        <v>2796</v>
      </c>
      <c r="K1510" s="18" t="s">
        <v>2797</v>
      </c>
      <c r="L1510" s="20">
        <v>45952.0</v>
      </c>
      <c r="M1510" s="17" t="s">
        <v>28</v>
      </c>
      <c r="N1510" s="46" t="s">
        <v>2345</v>
      </c>
      <c r="O1510" s="122">
        <v>4.4921013E7</v>
      </c>
      <c r="P1510" s="46" t="s">
        <v>1827</v>
      </c>
      <c r="Q1510" s="46" t="s">
        <v>108</v>
      </c>
      <c r="R1510" s="46" t="s">
        <v>109</v>
      </c>
      <c r="S1510" s="17" t="s">
        <v>2346</v>
      </c>
      <c r="U1510" s="24"/>
      <c r="V1510" s="24"/>
      <c r="W1510" s="18" t="s">
        <v>577</v>
      </c>
    </row>
    <row r="1511">
      <c r="A1511" s="11"/>
      <c r="B1511" s="12" t="s">
        <v>7</v>
      </c>
      <c r="C1511" s="12" t="s">
        <v>37</v>
      </c>
      <c r="D1511" s="12" t="s">
        <v>38</v>
      </c>
      <c r="E1511" s="12" t="s">
        <v>45</v>
      </c>
      <c r="F1511" s="13" t="s">
        <v>44</v>
      </c>
      <c r="G1511" s="12" t="s">
        <v>68</v>
      </c>
      <c r="H1511" s="12" t="s">
        <v>830</v>
      </c>
      <c r="I1511" s="12" t="s">
        <v>831</v>
      </c>
      <c r="J1511" s="17" t="s">
        <v>2796</v>
      </c>
      <c r="K1511" s="18" t="s">
        <v>2797</v>
      </c>
      <c r="L1511" s="20">
        <v>45952.0</v>
      </c>
      <c r="M1511" s="17" t="s">
        <v>28</v>
      </c>
      <c r="N1511" s="46" t="s">
        <v>2350</v>
      </c>
      <c r="O1511" s="122">
        <v>4.8210825E7</v>
      </c>
      <c r="P1511" s="46" t="s">
        <v>1825</v>
      </c>
      <c r="Q1511" s="46" t="s">
        <v>108</v>
      </c>
      <c r="R1511" s="46" t="s">
        <v>109</v>
      </c>
      <c r="S1511" s="17" t="s">
        <v>2351</v>
      </c>
      <c r="U1511" s="24"/>
      <c r="V1511" s="24"/>
      <c r="W1511" s="18" t="s">
        <v>577</v>
      </c>
    </row>
    <row r="1512">
      <c r="A1512" s="11"/>
      <c r="B1512" s="12" t="s">
        <v>7</v>
      </c>
      <c r="C1512" s="12" t="s">
        <v>37</v>
      </c>
      <c r="D1512" s="12" t="s">
        <v>38</v>
      </c>
      <c r="E1512" s="12" t="s">
        <v>45</v>
      </c>
      <c r="F1512" s="13" t="s">
        <v>44</v>
      </c>
      <c r="G1512" s="12" t="s">
        <v>68</v>
      </c>
      <c r="H1512" s="12" t="s">
        <v>830</v>
      </c>
      <c r="I1512" s="12" t="s">
        <v>831</v>
      </c>
      <c r="J1512" s="17" t="s">
        <v>2796</v>
      </c>
      <c r="K1512" s="18" t="s">
        <v>2797</v>
      </c>
      <c r="L1512" s="20">
        <v>45952.0</v>
      </c>
      <c r="M1512" s="17" t="s">
        <v>28</v>
      </c>
      <c r="N1512" s="46" t="s">
        <v>2352</v>
      </c>
      <c r="O1512" s="122">
        <v>4.5436196E7</v>
      </c>
      <c r="P1512" s="48" t="s">
        <v>2063</v>
      </c>
      <c r="Q1512" s="46" t="s">
        <v>108</v>
      </c>
      <c r="R1512" s="46" t="s">
        <v>109</v>
      </c>
      <c r="S1512" s="17" t="s">
        <v>2353</v>
      </c>
      <c r="U1512" s="24"/>
      <c r="V1512" s="24"/>
      <c r="W1512" s="18" t="s">
        <v>577</v>
      </c>
    </row>
    <row r="1513">
      <c r="A1513" s="11"/>
      <c r="B1513" s="12" t="s">
        <v>7</v>
      </c>
      <c r="C1513" s="12" t="s">
        <v>37</v>
      </c>
      <c r="D1513" s="12" t="s">
        <v>38</v>
      </c>
      <c r="E1513" s="12" t="s">
        <v>45</v>
      </c>
      <c r="F1513" s="13" t="s">
        <v>44</v>
      </c>
      <c r="G1513" s="12" t="s">
        <v>68</v>
      </c>
      <c r="H1513" s="12" t="s">
        <v>830</v>
      </c>
      <c r="I1513" s="12" t="s">
        <v>831</v>
      </c>
      <c r="J1513" s="17" t="s">
        <v>2796</v>
      </c>
      <c r="K1513" s="18" t="s">
        <v>2797</v>
      </c>
      <c r="L1513" s="20">
        <v>45952.0</v>
      </c>
      <c r="M1513" s="17" t="s">
        <v>28</v>
      </c>
      <c r="N1513" s="46" t="s">
        <v>2358</v>
      </c>
      <c r="O1513" s="122">
        <v>4.6371978E7</v>
      </c>
      <c r="P1513" s="46" t="s">
        <v>2359</v>
      </c>
      <c r="Q1513" s="46" t="s">
        <v>73</v>
      </c>
      <c r="R1513" s="46" t="s">
        <v>74</v>
      </c>
      <c r="S1513" s="17" t="s">
        <v>2360</v>
      </c>
      <c r="U1513" s="24"/>
      <c r="V1513" s="24"/>
      <c r="W1513" s="18" t="s">
        <v>577</v>
      </c>
    </row>
    <row r="1514">
      <c r="A1514" s="11"/>
      <c r="B1514" s="12" t="s">
        <v>7</v>
      </c>
      <c r="C1514" s="12" t="s">
        <v>37</v>
      </c>
      <c r="D1514" s="12" t="s">
        <v>38</v>
      </c>
      <c r="E1514" s="12" t="s">
        <v>45</v>
      </c>
      <c r="F1514" s="13" t="s">
        <v>44</v>
      </c>
      <c r="G1514" s="12" t="s">
        <v>68</v>
      </c>
      <c r="H1514" s="12" t="s">
        <v>830</v>
      </c>
      <c r="I1514" s="12" t="s">
        <v>831</v>
      </c>
      <c r="J1514" s="17" t="s">
        <v>2796</v>
      </c>
      <c r="K1514" s="18" t="s">
        <v>2797</v>
      </c>
      <c r="L1514" s="20">
        <v>45952.0</v>
      </c>
      <c r="M1514" s="17" t="s">
        <v>28</v>
      </c>
      <c r="N1514" s="46" t="s">
        <v>2313</v>
      </c>
      <c r="O1514" s="122">
        <v>4.558911E7</v>
      </c>
      <c r="P1514" s="46" t="s">
        <v>1830</v>
      </c>
      <c r="Q1514" s="46" t="s">
        <v>108</v>
      </c>
      <c r="R1514" s="46" t="s">
        <v>109</v>
      </c>
      <c r="S1514" s="17" t="s">
        <v>2314</v>
      </c>
      <c r="U1514" s="24"/>
      <c r="V1514" s="24"/>
      <c r="W1514" s="18" t="s">
        <v>577</v>
      </c>
    </row>
    <row r="1515">
      <c r="A1515" s="11"/>
      <c r="B1515" s="12" t="s">
        <v>7</v>
      </c>
      <c r="C1515" s="12" t="s">
        <v>37</v>
      </c>
      <c r="D1515" s="12" t="s">
        <v>38</v>
      </c>
      <c r="E1515" s="12" t="s">
        <v>45</v>
      </c>
      <c r="F1515" s="13" t="s">
        <v>44</v>
      </c>
      <c r="G1515" s="12" t="s">
        <v>68</v>
      </c>
      <c r="H1515" s="12" t="s">
        <v>830</v>
      </c>
      <c r="I1515" s="12" t="s">
        <v>831</v>
      </c>
      <c r="J1515" s="17" t="s">
        <v>2796</v>
      </c>
      <c r="K1515" s="18" t="s">
        <v>2797</v>
      </c>
      <c r="L1515" s="20">
        <v>45952.0</v>
      </c>
      <c r="M1515" s="17" t="s">
        <v>28</v>
      </c>
      <c r="N1515" s="46" t="s">
        <v>2319</v>
      </c>
      <c r="O1515" s="122">
        <v>4.5439712E7</v>
      </c>
      <c r="P1515" s="46" t="s">
        <v>2320</v>
      </c>
      <c r="Q1515" s="46" t="s">
        <v>108</v>
      </c>
      <c r="R1515" s="46" t="s">
        <v>109</v>
      </c>
      <c r="S1515" s="17" t="s">
        <v>2321</v>
      </c>
      <c r="U1515" s="24"/>
      <c r="V1515" s="24"/>
      <c r="W1515" s="18" t="s">
        <v>577</v>
      </c>
    </row>
    <row r="1516">
      <c r="A1516" s="11"/>
      <c r="B1516" s="12" t="s">
        <v>7</v>
      </c>
      <c r="C1516" s="12" t="s">
        <v>37</v>
      </c>
      <c r="D1516" s="12" t="s">
        <v>38</v>
      </c>
      <c r="E1516" s="12" t="s">
        <v>45</v>
      </c>
      <c r="F1516" s="13" t="s">
        <v>44</v>
      </c>
      <c r="G1516" s="12" t="s">
        <v>68</v>
      </c>
      <c r="H1516" s="12" t="s">
        <v>830</v>
      </c>
      <c r="I1516" s="12" t="s">
        <v>831</v>
      </c>
      <c r="J1516" s="17" t="s">
        <v>2796</v>
      </c>
      <c r="K1516" s="18" t="s">
        <v>2797</v>
      </c>
      <c r="L1516" s="20">
        <v>45952.0</v>
      </c>
      <c r="M1516" s="17" t="s">
        <v>28</v>
      </c>
      <c r="N1516" s="46" t="s">
        <v>2329</v>
      </c>
      <c r="O1516" s="122">
        <v>7.7696147E7</v>
      </c>
      <c r="P1516" s="46" t="s">
        <v>2059</v>
      </c>
      <c r="Q1516" s="46" t="s">
        <v>73</v>
      </c>
      <c r="R1516" s="46" t="s">
        <v>74</v>
      </c>
      <c r="S1516" s="17" t="s">
        <v>2330</v>
      </c>
      <c r="U1516" s="24"/>
      <c r="V1516" s="24"/>
      <c r="W1516" s="18" t="s">
        <v>577</v>
      </c>
    </row>
    <row r="1517">
      <c r="A1517" s="11"/>
      <c r="B1517" s="12" t="s">
        <v>7</v>
      </c>
      <c r="C1517" s="12" t="s">
        <v>37</v>
      </c>
      <c r="D1517" s="12" t="s">
        <v>38</v>
      </c>
      <c r="E1517" s="12" t="s">
        <v>45</v>
      </c>
      <c r="F1517" s="13" t="s">
        <v>44</v>
      </c>
      <c r="G1517" s="12" t="s">
        <v>68</v>
      </c>
      <c r="H1517" s="12" t="s">
        <v>830</v>
      </c>
      <c r="I1517" s="12" t="s">
        <v>831</v>
      </c>
      <c r="J1517" s="17" t="s">
        <v>2796</v>
      </c>
      <c r="K1517" s="18" t="s">
        <v>2797</v>
      </c>
      <c r="L1517" s="20">
        <v>45952.0</v>
      </c>
      <c r="M1517" s="17" t="s">
        <v>28</v>
      </c>
      <c r="N1517" s="46" t="s">
        <v>2333</v>
      </c>
      <c r="O1517" s="122">
        <v>7.651461E7</v>
      </c>
      <c r="P1517" s="46" t="s">
        <v>1812</v>
      </c>
      <c r="Q1517" s="46" t="s">
        <v>73</v>
      </c>
      <c r="R1517" s="46" t="s">
        <v>74</v>
      </c>
      <c r="S1517" s="17" t="s">
        <v>2334</v>
      </c>
      <c r="U1517" s="24"/>
      <c r="V1517" s="24"/>
      <c r="W1517" s="18" t="s">
        <v>577</v>
      </c>
    </row>
    <row r="1518">
      <c r="A1518" s="11"/>
      <c r="B1518" s="12" t="s">
        <v>7</v>
      </c>
      <c r="C1518" s="12" t="s">
        <v>37</v>
      </c>
      <c r="D1518" s="12" t="s">
        <v>38</v>
      </c>
      <c r="E1518" s="12" t="s">
        <v>45</v>
      </c>
      <c r="F1518" s="13" t="s">
        <v>44</v>
      </c>
      <c r="G1518" s="12" t="s">
        <v>68</v>
      </c>
      <c r="H1518" s="12" t="s">
        <v>830</v>
      </c>
      <c r="I1518" s="12" t="s">
        <v>831</v>
      </c>
      <c r="J1518" s="17" t="s">
        <v>2796</v>
      </c>
      <c r="K1518" s="18" t="s">
        <v>2797</v>
      </c>
      <c r="L1518" s="20">
        <v>45952.0</v>
      </c>
      <c r="M1518" s="17" t="s">
        <v>28</v>
      </c>
      <c r="N1518" s="46" t="s">
        <v>2343</v>
      </c>
      <c r="O1518" s="122">
        <v>7.5240694E7</v>
      </c>
      <c r="P1518" s="46" t="s">
        <v>2062</v>
      </c>
      <c r="Q1518" s="46" t="s">
        <v>112</v>
      </c>
      <c r="R1518" s="46" t="s">
        <v>113</v>
      </c>
      <c r="S1518" s="17" t="s">
        <v>2344</v>
      </c>
      <c r="U1518" s="24"/>
      <c r="V1518" s="24"/>
      <c r="W1518" s="18" t="s">
        <v>577</v>
      </c>
    </row>
    <row r="1519">
      <c r="A1519" s="11"/>
      <c r="B1519" s="12" t="s">
        <v>7</v>
      </c>
      <c r="C1519" s="12" t="s">
        <v>37</v>
      </c>
      <c r="D1519" s="12" t="s">
        <v>38</v>
      </c>
      <c r="E1519" s="12" t="s">
        <v>45</v>
      </c>
      <c r="F1519" s="13" t="s">
        <v>44</v>
      </c>
      <c r="G1519" s="12" t="s">
        <v>68</v>
      </c>
      <c r="H1519" s="12" t="s">
        <v>830</v>
      </c>
      <c r="I1519" s="12" t="s">
        <v>831</v>
      </c>
      <c r="J1519" s="17" t="s">
        <v>2796</v>
      </c>
      <c r="K1519" s="18" t="s">
        <v>2797</v>
      </c>
      <c r="L1519" s="20">
        <v>45952.0</v>
      </c>
      <c r="M1519" s="17" t="s">
        <v>28</v>
      </c>
      <c r="N1519" s="46" t="s">
        <v>2354</v>
      </c>
      <c r="O1519" s="122">
        <v>7.6056958E7</v>
      </c>
      <c r="P1519" s="46" t="s">
        <v>2355</v>
      </c>
      <c r="Q1519" s="46" t="s">
        <v>73</v>
      </c>
      <c r="R1519" s="46" t="s">
        <v>74</v>
      </c>
      <c r="S1519" s="17" t="s">
        <v>2356</v>
      </c>
      <c r="U1519" s="24"/>
      <c r="V1519" s="18"/>
      <c r="W1519" s="18" t="s">
        <v>577</v>
      </c>
    </row>
    <row r="1520">
      <c r="A1520" s="11"/>
      <c r="B1520" s="12" t="s">
        <v>7</v>
      </c>
      <c r="C1520" s="12" t="s">
        <v>37</v>
      </c>
      <c r="D1520" s="12" t="s">
        <v>38</v>
      </c>
      <c r="E1520" s="12" t="s">
        <v>45</v>
      </c>
      <c r="F1520" s="13" t="s">
        <v>44</v>
      </c>
      <c r="G1520" s="12" t="s">
        <v>68</v>
      </c>
      <c r="H1520" s="12" t="s">
        <v>830</v>
      </c>
      <c r="I1520" s="12" t="s">
        <v>831</v>
      </c>
      <c r="J1520" s="17" t="s">
        <v>2796</v>
      </c>
      <c r="K1520" s="18" t="s">
        <v>2797</v>
      </c>
      <c r="L1520" s="20">
        <v>45952.0</v>
      </c>
      <c r="M1520" s="17" t="s">
        <v>28</v>
      </c>
      <c r="N1520" s="17" t="s">
        <v>4006</v>
      </c>
      <c r="O1520" s="17">
        <v>7.6910873E7</v>
      </c>
      <c r="P1520" s="17" t="s">
        <v>4007</v>
      </c>
      <c r="Q1520" s="17" t="s">
        <v>73</v>
      </c>
      <c r="R1520" s="46" t="s">
        <v>74</v>
      </c>
      <c r="S1520" s="17" t="s">
        <v>4008</v>
      </c>
      <c r="U1520" s="24"/>
      <c r="V1520" s="18" t="s">
        <v>3632</v>
      </c>
      <c r="W1520" s="18" t="s">
        <v>577</v>
      </c>
    </row>
    <row r="1521">
      <c r="A1521" s="11"/>
      <c r="B1521" s="12" t="s">
        <v>7</v>
      </c>
      <c r="C1521" s="12" t="s">
        <v>37</v>
      </c>
      <c r="D1521" s="12" t="s">
        <v>38</v>
      </c>
      <c r="E1521" s="12" t="s">
        <v>45</v>
      </c>
      <c r="F1521" s="13" t="s">
        <v>44</v>
      </c>
      <c r="G1521" s="12" t="s">
        <v>68</v>
      </c>
      <c r="H1521" s="12" t="s">
        <v>830</v>
      </c>
      <c r="I1521" s="12" t="s">
        <v>831</v>
      </c>
      <c r="J1521" s="17" t="s">
        <v>2796</v>
      </c>
      <c r="K1521" s="18" t="s">
        <v>2797</v>
      </c>
      <c r="L1521" s="20">
        <v>45952.0</v>
      </c>
      <c r="M1521" s="17" t="s">
        <v>28</v>
      </c>
      <c r="N1521" s="17" t="s">
        <v>4009</v>
      </c>
      <c r="O1521" s="17">
        <v>4.7530645E7</v>
      </c>
      <c r="P1521" s="17" t="s">
        <v>2060</v>
      </c>
      <c r="Q1521" s="17" t="s">
        <v>112</v>
      </c>
      <c r="R1521" s="17" t="s">
        <v>113</v>
      </c>
      <c r="S1521" s="17" t="s">
        <v>4010</v>
      </c>
      <c r="U1521" s="24"/>
      <c r="V1521" s="18" t="s">
        <v>3632</v>
      </c>
      <c r="W1521" s="18" t="s">
        <v>577</v>
      </c>
    </row>
    <row r="1522">
      <c r="A1522" s="11"/>
      <c r="B1522" s="12" t="s">
        <v>7</v>
      </c>
      <c r="C1522" s="12" t="s">
        <v>37</v>
      </c>
      <c r="D1522" s="12" t="s">
        <v>38</v>
      </c>
      <c r="E1522" s="12" t="s">
        <v>45</v>
      </c>
      <c r="F1522" s="13" t="s">
        <v>44</v>
      </c>
      <c r="G1522" s="12" t="s">
        <v>68</v>
      </c>
      <c r="H1522" s="12" t="s">
        <v>830</v>
      </c>
      <c r="I1522" s="12" t="s">
        <v>831</v>
      </c>
      <c r="J1522" s="17" t="s">
        <v>2796</v>
      </c>
      <c r="K1522" s="18" t="s">
        <v>2797</v>
      </c>
      <c r="L1522" s="20">
        <v>45952.0</v>
      </c>
      <c r="M1522" s="17" t="s">
        <v>28</v>
      </c>
      <c r="N1522" s="17" t="s">
        <v>4011</v>
      </c>
      <c r="O1522" s="17">
        <v>7.6713279E7</v>
      </c>
      <c r="P1522" s="17" t="s">
        <v>2061</v>
      </c>
      <c r="Q1522" s="17" t="s">
        <v>112</v>
      </c>
      <c r="R1522" s="17" t="s">
        <v>113</v>
      </c>
      <c r="S1522" s="17" t="s">
        <v>4012</v>
      </c>
      <c r="U1522" s="24"/>
      <c r="V1522" s="18" t="s">
        <v>3632</v>
      </c>
      <c r="W1522" s="18" t="s">
        <v>577</v>
      </c>
    </row>
    <row r="1523">
      <c r="A1523" s="11"/>
      <c r="B1523" s="12" t="s">
        <v>7</v>
      </c>
      <c r="C1523" s="12" t="s">
        <v>8</v>
      </c>
      <c r="D1523" s="12" t="s">
        <v>24</v>
      </c>
      <c r="E1523" s="12" t="s">
        <v>32</v>
      </c>
      <c r="F1523" s="13" t="s">
        <v>30</v>
      </c>
      <c r="G1523" s="12" t="s">
        <v>68</v>
      </c>
      <c r="H1523" s="12" t="s">
        <v>573</v>
      </c>
      <c r="I1523" s="12" t="s">
        <v>574</v>
      </c>
      <c r="J1523" s="17" t="s">
        <v>2796</v>
      </c>
      <c r="K1523" s="18" t="s">
        <v>2797</v>
      </c>
      <c r="L1523" s="20">
        <v>45953.0</v>
      </c>
      <c r="M1523" s="17" t="s">
        <v>23</v>
      </c>
      <c r="N1523" s="21" t="s">
        <v>2174</v>
      </c>
      <c r="O1523" s="122">
        <v>4.3532615E7</v>
      </c>
      <c r="P1523" s="46"/>
      <c r="Q1523" s="46" t="s">
        <v>73</v>
      </c>
      <c r="R1523" s="17" t="s">
        <v>4013</v>
      </c>
      <c r="S1523" s="17" t="s">
        <v>4014</v>
      </c>
      <c r="U1523" s="24"/>
      <c r="V1523" s="24"/>
      <c r="W1523" s="18" t="s">
        <v>577</v>
      </c>
    </row>
    <row r="1524">
      <c r="A1524" s="11"/>
      <c r="B1524" s="12" t="s">
        <v>7</v>
      </c>
      <c r="C1524" s="12" t="s">
        <v>8</v>
      </c>
      <c r="D1524" s="12" t="s">
        <v>24</v>
      </c>
      <c r="E1524" s="12" t="s">
        <v>32</v>
      </c>
      <c r="F1524" s="13" t="s">
        <v>30</v>
      </c>
      <c r="G1524" s="12" t="s">
        <v>68</v>
      </c>
      <c r="H1524" s="12" t="s">
        <v>573</v>
      </c>
      <c r="I1524" s="12" t="s">
        <v>574</v>
      </c>
      <c r="J1524" s="17" t="s">
        <v>2796</v>
      </c>
      <c r="K1524" s="18" t="s">
        <v>2797</v>
      </c>
      <c r="L1524" s="20">
        <v>45953.0</v>
      </c>
      <c r="M1524" s="17" t="s">
        <v>23</v>
      </c>
      <c r="N1524" s="48" t="s">
        <v>4015</v>
      </c>
      <c r="O1524" s="52">
        <v>4.6961255E7</v>
      </c>
      <c r="P1524" s="46"/>
      <c r="Q1524" s="46" t="s">
        <v>73</v>
      </c>
      <c r="R1524" s="17" t="s">
        <v>4013</v>
      </c>
      <c r="S1524" s="17" t="s">
        <v>4014</v>
      </c>
      <c r="U1524" s="24"/>
      <c r="V1524" s="18" t="s">
        <v>4016</v>
      </c>
      <c r="W1524" s="18" t="s">
        <v>577</v>
      </c>
    </row>
    <row r="1525">
      <c r="A1525" s="11"/>
      <c r="B1525" s="12" t="s">
        <v>7</v>
      </c>
      <c r="C1525" s="12" t="s">
        <v>8</v>
      </c>
      <c r="D1525" s="12" t="s">
        <v>24</v>
      </c>
      <c r="E1525" s="12" t="s">
        <v>32</v>
      </c>
      <c r="F1525" s="13" t="s">
        <v>30</v>
      </c>
      <c r="G1525" s="12" t="s">
        <v>68</v>
      </c>
      <c r="H1525" s="12" t="s">
        <v>573</v>
      </c>
      <c r="I1525" s="12" t="s">
        <v>574</v>
      </c>
      <c r="J1525" s="17" t="s">
        <v>2796</v>
      </c>
      <c r="K1525" s="18" t="s">
        <v>2797</v>
      </c>
      <c r="L1525" s="20">
        <v>45953.0</v>
      </c>
      <c r="M1525" s="17" t="s">
        <v>28</v>
      </c>
      <c r="N1525" s="46" t="s">
        <v>2174</v>
      </c>
      <c r="O1525" s="122">
        <v>4.3532615E7</v>
      </c>
      <c r="P1525" s="46" t="s">
        <v>2175</v>
      </c>
      <c r="Q1525" s="46" t="s">
        <v>73</v>
      </c>
      <c r="R1525" s="17" t="s">
        <v>4013</v>
      </c>
      <c r="S1525" s="17" t="s">
        <v>4017</v>
      </c>
      <c r="U1525" s="24"/>
      <c r="V1525" s="24"/>
      <c r="W1525" s="18" t="s">
        <v>577</v>
      </c>
    </row>
    <row r="1526">
      <c r="A1526" s="11"/>
      <c r="B1526" s="12" t="s">
        <v>7</v>
      </c>
      <c r="C1526" s="12" t="s">
        <v>8</v>
      </c>
      <c r="D1526" s="12" t="s">
        <v>24</v>
      </c>
      <c r="E1526" s="12" t="s">
        <v>32</v>
      </c>
      <c r="F1526" s="13" t="s">
        <v>30</v>
      </c>
      <c r="G1526" s="12" t="s">
        <v>68</v>
      </c>
      <c r="H1526" s="12" t="s">
        <v>573</v>
      </c>
      <c r="I1526" s="12" t="s">
        <v>574</v>
      </c>
      <c r="J1526" s="17" t="s">
        <v>2796</v>
      </c>
      <c r="K1526" s="18" t="s">
        <v>2797</v>
      </c>
      <c r="L1526" s="20">
        <v>45953.0</v>
      </c>
      <c r="M1526" s="17" t="s">
        <v>28</v>
      </c>
      <c r="N1526" s="46" t="s">
        <v>3296</v>
      </c>
      <c r="O1526" s="122">
        <v>7.5667634E7</v>
      </c>
      <c r="P1526" s="46" t="s">
        <v>2056</v>
      </c>
      <c r="Q1526" s="46" t="s">
        <v>112</v>
      </c>
      <c r="R1526" s="17" t="s">
        <v>4013</v>
      </c>
      <c r="S1526" s="17" t="s">
        <v>4018</v>
      </c>
      <c r="U1526" s="24"/>
      <c r="V1526" s="24"/>
      <c r="W1526" s="18" t="s">
        <v>577</v>
      </c>
    </row>
    <row r="1527">
      <c r="A1527" s="11"/>
      <c r="B1527" s="12" t="s">
        <v>7</v>
      </c>
      <c r="C1527" s="12" t="s">
        <v>8</v>
      </c>
      <c r="D1527" s="12" t="s">
        <v>24</v>
      </c>
      <c r="E1527" s="12" t="s">
        <v>32</v>
      </c>
      <c r="F1527" s="13" t="s">
        <v>30</v>
      </c>
      <c r="G1527" s="12" t="s">
        <v>68</v>
      </c>
      <c r="H1527" s="12" t="s">
        <v>573</v>
      </c>
      <c r="I1527" s="12" t="s">
        <v>574</v>
      </c>
      <c r="J1527" s="17" t="s">
        <v>2796</v>
      </c>
      <c r="K1527" s="18" t="s">
        <v>2797</v>
      </c>
      <c r="L1527" s="20">
        <v>45953.0</v>
      </c>
      <c r="M1527" s="17" t="s">
        <v>28</v>
      </c>
      <c r="N1527" s="46" t="s">
        <v>3626</v>
      </c>
      <c r="O1527" s="122">
        <v>7.6168709E7</v>
      </c>
      <c r="P1527" s="48" t="s">
        <v>2057</v>
      </c>
      <c r="Q1527" s="46" t="s">
        <v>108</v>
      </c>
      <c r="R1527" s="17" t="s">
        <v>4013</v>
      </c>
      <c r="S1527" s="17" t="s">
        <v>4019</v>
      </c>
      <c r="U1527" s="24"/>
      <c r="V1527" s="24"/>
      <c r="W1527" s="18" t="s">
        <v>577</v>
      </c>
    </row>
    <row r="1528">
      <c r="A1528" s="11"/>
      <c r="B1528" s="12" t="s">
        <v>7</v>
      </c>
      <c r="C1528" s="12" t="s">
        <v>8</v>
      </c>
      <c r="D1528" s="12" t="s">
        <v>24</v>
      </c>
      <c r="E1528" s="12" t="s">
        <v>32</v>
      </c>
      <c r="F1528" s="13" t="s">
        <v>30</v>
      </c>
      <c r="G1528" s="12" t="s">
        <v>68</v>
      </c>
      <c r="H1528" s="12" t="s">
        <v>573</v>
      </c>
      <c r="I1528" s="12" t="s">
        <v>574</v>
      </c>
      <c r="J1528" s="17" t="s">
        <v>2796</v>
      </c>
      <c r="K1528" s="18" t="s">
        <v>2797</v>
      </c>
      <c r="L1528" s="20">
        <v>45953.0</v>
      </c>
      <c r="M1528" s="17" t="s">
        <v>28</v>
      </c>
      <c r="N1528" s="21" t="s">
        <v>3292</v>
      </c>
      <c r="O1528" s="17">
        <v>4.5219188E7</v>
      </c>
      <c r="P1528" s="21" t="s">
        <v>1782</v>
      </c>
      <c r="Q1528" s="48" t="s">
        <v>108</v>
      </c>
      <c r="R1528" s="17" t="s">
        <v>4013</v>
      </c>
      <c r="S1528" s="17" t="s">
        <v>4020</v>
      </c>
      <c r="U1528" s="24"/>
      <c r="V1528" s="24"/>
      <c r="W1528" s="18"/>
    </row>
    <row r="1529">
      <c r="A1529" s="11"/>
      <c r="B1529" s="12" t="s">
        <v>7</v>
      </c>
      <c r="C1529" s="12" t="s">
        <v>8</v>
      </c>
      <c r="D1529" s="12" t="s">
        <v>24</v>
      </c>
      <c r="E1529" s="12" t="s">
        <v>29</v>
      </c>
      <c r="F1529" s="13" t="s">
        <v>27</v>
      </c>
      <c r="G1529" s="12" t="s">
        <v>68</v>
      </c>
      <c r="H1529" s="12" t="s">
        <v>801</v>
      </c>
      <c r="I1529" s="12" t="s">
        <v>802</v>
      </c>
      <c r="J1529" s="17" t="s">
        <v>2796</v>
      </c>
      <c r="K1529" s="18" t="s">
        <v>2797</v>
      </c>
      <c r="L1529" s="20">
        <v>45953.0</v>
      </c>
      <c r="M1529" s="17" t="s">
        <v>23</v>
      </c>
      <c r="N1529" s="17" t="s">
        <v>2369</v>
      </c>
      <c r="O1529" s="17">
        <v>4.7102534E7</v>
      </c>
      <c r="Q1529" s="17" t="s">
        <v>73</v>
      </c>
      <c r="R1529" s="17" t="s">
        <v>2055</v>
      </c>
      <c r="S1529" s="17" t="s">
        <v>2370</v>
      </c>
      <c r="U1529" s="24"/>
      <c r="V1529" s="24"/>
      <c r="W1529" s="18" t="s">
        <v>577</v>
      </c>
    </row>
    <row r="1530">
      <c r="A1530" s="11"/>
      <c r="B1530" s="12" t="s">
        <v>7</v>
      </c>
      <c r="C1530" s="12" t="s">
        <v>8</v>
      </c>
      <c r="D1530" s="12" t="s">
        <v>24</v>
      </c>
      <c r="E1530" s="12" t="s">
        <v>29</v>
      </c>
      <c r="F1530" s="13" t="s">
        <v>27</v>
      </c>
      <c r="G1530" s="12" t="s">
        <v>68</v>
      </c>
      <c r="H1530" s="12" t="s">
        <v>801</v>
      </c>
      <c r="I1530" s="12" t="s">
        <v>802</v>
      </c>
      <c r="J1530" s="17" t="s">
        <v>2796</v>
      </c>
      <c r="K1530" s="18" t="s">
        <v>2797</v>
      </c>
      <c r="L1530" s="20">
        <v>45953.0</v>
      </c>
      <c r="M1530" s="17" t="s">
        <v>23</v>
      </c>
      <c r="N1530" s="17" t="s">
        <v>4021</v>
      </c>
      <c r="O1530" s="17">
        <v>3.1662394E7</v>
      </c>
      <c r="P1530" s="17"/>
      <c r="Q1530" s="17"/>
      <c r="R1530" s="18" t="s">
        <v>4022</v>
      </c>
      <c r="S1530" s="17" t="s">
        <v>4022</v>
      </c>
      <c r="U1530" s="24"/>
      <c r="V1530" s="18" t="s">
        <v>4022</v>
      </c>
      <c r="W1530" s="18" t="s">
        <v>577</v>
      </c>
    </row>
    <row r="1531">
      <c r="A1531" s="11"/>
      <c r="B1531" s="12" t="s">
        <v>7</v>
      </c>
      <c r="C1531" s="12" t="s">
        <v>8</v>
      </c>
      <c r="D1531" s="12" t="s">
        <v>24</v>
      </c>
      <c r="E1531" s="12" t="s">
        <v>29</v>
      </c>
      <c r="F1531" s="13" t="s">
        <v>27</v>
      </c>
      <c r="G1531" s="12" t="s">
        <v>68</v>
      </c>
      <c r="H1531" s="12" t="s">
        <v>801</v>
      </c>
      <c r="I1531" s="12" t="s">
        <v>802</v>
      </c>
      <c r="J1531" s="17" t="s">
        <v>2796</v>
      </c>
      <c r="K1531" s="18" t="s">
        <v>2797</v>
      </c>
      <c r="L1531" s="20">
        <v>45953.0</v>
      </c>
      <c r="M1531" s="17" t="s">
        <v>28</v>
      </c>
      <c r="N1531" s="17" t="s">
        <v>2367</v>
      </c>
      <c r="O1531" s="17">
        <v>4.6024435E7</v>
      </c>
      <c r="P1531" s="17" t="s">
        <v>1794</v>
      </c>
      <c r="Q1531" s="17" t="s">
        <v>112</v>
      </c>
      <c r="R1531" s="17" t="s">
        <v>2055</v>
      </c>
      <c r="S1531" s="17" t="s">
        <v>2368</v>
      </c>
      <c r="U1531" s="24"/>
      <c r="V1531" s="24"/>
      <c r="W1531" s="18" t="s">
        <v>577</v>
      </c>
    </row>
    <row r="1532">
      <c r="A1532" s="11"/>
      <c r="B1532" s="12" t="s">
        <v>7</v>
      </c>
      <c r="C1532" s="12" t="s">
        <v>8</v>
      </c>
      <c r="D1532" s="12" t="s">
        <v>24</v>
      </c>
      <c r="E1532" s="12" t="s">
        <v>29</v>
      </c>
      <c r="F1532" s="13" t="s">
        <v>27</v>
      </c>
      <c r="G1532" s="12" t="s">
        <v>68</v>
      </c>
      <c r="H1532" s="12" t="s">
        <v>801</v>
      </c>
      <c r="I1532" s="12" t="s">
        <v>802</v>
      </c>
      <c r="J1532" s="17" t="s">
        <v>2796</v>
      </c>
      <c r="K1532" s="18" t="s">
        <v>2797</v>
      </c>
      <c r="L1532" s="20">
        <v>45953.0</v>
      </c>
      <c r="M1532" s="17" t="s">
        <v>28</v>
      </c>
      <c r="N1532" s="17" t="s">
        <v>3629</v>
      </c>
      <c r="O1532" s="17">
        <v>4.2864641E7</v>
      </c>
      <c r="P1532" s="17" t="s">
        <v>1794</v>
      </c>
      <c r="Q1532" s="17" t="s">
        <v>112</v>
      </c>
      <c r="R1532" s="17" t="s">
        <v>2055</v>
      </c>
      <c r="S1532" s="17" t="s">
        <v>2368</v>
      </c>
      <c r="U1532" s="24"/>
      <c r="V1532" s="24"/>
      <c r="W1532" s="18" t="s">
        <v>577</v>
      </c>
    </row>
    <row r="1533">
      <c r="A1533" s="11"/>
      <c r="B1533" s="12" t="s">
        <v>7</v>
      </c>
      <c r="C1533" s="12" t="s">
        <v>8</v>
      </c>
      <c r="D1533" s="12" t="s">
        <v>24</v>
      </c>
      <c r="E1533" s="12" t="s">
        <v>29</v>
      </c>
      <c r="F1533" s="13" t="s">
        <v>27</v>
      </c>
      <c r="G1533" s="12" t="s">
        <v>68</v>
      </c>
      <c r="H1533" s="12" t="s">
        <v>801</v>
      </c>
      <c r="I1533" s="12" t="s">
        <v>802</v>
      </c>
      <c r="J1533" s="17" t="s">
        <v>2796</v>
      </c>
      <c r="K1533" s="18" t="s">
        <v>2797</v>
      </c>
      <c r="L1533" s="20">
        <v>45953.0</v>
      </c>
      <c r="M1533" s="17" t="s">
        <v>28</v>
      </c>
      <c r="N1533" s="21" t="s">
        <v>2361</v>
      </c>
      <c r="O1533" s="122">
        <v>4.5083577E7</v>
      </c>
      <c r="P1533" s="48" t="s">
        <v>1793</v>
      </c>
      <c r="Q1533" s="21" t="s">
        <v>108</v>
      </c>
      <c r="R1533" s="21" t="s">
        <v>2055</v>
      </c>
      <c r="S1533" s="17" t="s">
        <v>2362</v>
      </c>
      <c r="U1533" s="24"/>
      <c r="V1533" s="24"/>
      <c r="W1533" s="18" t="s">
        <v>577</v>
      </c>
    </row>
    <row r="1534">
      <c r="A1534" s="11"/>
      <c r="B1534" s="12" t="s">
        <v>7</v>
      </c>
      <c r="C1534" s="12" t="s">
        <v>8</v>
      </c>
      <c r="D1534" s="12" t="s">
        <v>24</v>
      </c>
      <c r="E1534" s="12" t="s">
        <v>25</v>
      </c>
      <c r="F1534" s="13" t="s">
        <v>26</v>
      </c>
      <c r="G1534" s="12" t="s">
        <v>68</v>
      </c>
      <c r="H1534" s="12" t="s">
        <v>994</v>
      </c>
      <c r="I1534" s="12" t="s">
        <v>995</v>
      </c>
      <c r="J1534" s="17" t="s">
        <v>2796</v>
      </c>
      <c r="K1534" s="18" t="s">
        <v>2797</v>
      </c>
      <c r="L1534" s="20">
        <v>45959.0</v>
      </c>
      <c r="M1534" s="17" t="s">
        <v>23</v>
      </c>
      <c r="N1534" s="21" t="s">
        <v>3298</v>
      </c>
      <c r="O1534" s="122">
        <v>3.1923023E7</v>
      </c>
      <c r="P1534" s="21"/>
      <c r="Q1534" s="48" t="s">
        <v>73</v>
      </c>
      <c r="R1534" s="21" t="s">
        <v>2004</v>
      </c>
      <c r="S1534" s="17"/>
      <c r="U1534" s="24"/>
      <c r="V1534" s="24"/>
      <c r="W1534" s="18" t="s">
        <v>577</v>
      </c>
    </row>
    <row r="1535">
      <c r="A1535" s="11"/>
      <c r="B1535" s="12" t="s">
        <v>7</v>
      </c>
      <c r="C1535" s="12" t="s">
        <v>8</v>
      </c>
      <c r="D1535" s="12" t="s">
        <v>24</v>
      </c>
      <c r="E1535" s="12" t="s">
        <v>25</v>
      </c>
      <c r="F1535" s="13" t="s">
        <v>26</v>
      </c>
      <c r="G1535" s="12" t="s">
        <v>68</v>
      </c>
      <c r="H1535" s="12" t="s">
        <v>994</v>
      </c>
      <c r="I1535" s="12" t="s">
        <v>995</v>
      </c>
      <c r="J1535" s="17" t="s">
        <v>2796</v>
      </c>
      <c r="K1535" s="18" t="s">
        <v>2797</v>
      </c>
      <c r="L1535" s="20">
        <v>45959.0</v>
      </c>
      <c r="M1535" s="17" t="s">
        <v>23</v>
      </c>
      <c r="N1535" s="21" t="s">
        <v>3300</v>
      </c>
      <c r="O1535" s="122">
        <v>4.5803595E7</v>
      </c>
      <c r="P1535" s="21"/>
      <c r="Q1535" s="48" t="s">
        <v>112</v>
      </c>
      <c r="R1535" s="21" t="s">
        <v>2028</v>
      </c>
      <c r="S1535" s="17"/>
      <c r="U1535" s="24"/>
      <c r="V1535" s="24"/>
      <c r="W1535" s="18" t="s">
        <v>577</v>
      </c>
    </row>
    <row r="1536">
      <c r="A1536" s="11"/>
      <c r="B1536" s="12" t="s">
        <v>7</v>
      </c>
      <c r="C1536" s="12" t="s">
        <v>8</v>
      </c>
      <c r="D1536" s="12" t="s">
        <v>24</v>
      </c>
      <c r="E1536" s="12" t="s">
        <v>25</v>
      </c>
      <c r="F1536" s="13" t="s">
        <v>26</v>
      </c>
      <c r="G1536" s="12" t="s">
        <v>68</v>
      </c>
      <c r="H1536" s="12" t="s">
        <v>994</v>
      </c>
      <c r="I1536" s="12" t="s">
        <v>995</v>
      </c>
      <c r="J1536" s="17" t="s">
        <v>2796</v>
      </c>
      <c r="K1536" s="18" t="s">
        <v>2797</v>
      </c>
      <c r="L1536" s="20">
        <v>45959.0</v>
      </c>
      <c r="M1536" s="17" t="s">
        <v>23</v>
      </c>
      <c r="N1536" s="48" t="s">
        <v>4023</v>
      </c>
      <c r="O1536" s="52">
        <v>4.2042818E7</v>
      </c>
      <c r="P1536" s="21"/>
      <c r="Q1536" s="48" t="s">
        <v>73</v>
      </c>
      <c r="R1536" s="48" t="s">
        <v>3922</v>
      </c>
      <c r="S1536" s="17" t="s">
        <v>3923</v>
      </c>
      <c r="U1536" s="24"/>
      <c r="V1536" s="18" t="s">
        <v>3306</v>
      </c>
      <c r="W1536" s="18" t="s">
        <v>577</v>
      </c>
    </row>
    <row r="1537">
      <c r="A1537" s="11"/>
      <c r="B1537" s="12" t="s">
        <v>7</v>
      </c>
      <c r="C1537" s="12" t="s">
        <v>8</v>
      </c>
      <c r="D1537" s="12" t="s">
        <v>24</v>
      </c>
      <c r="E1537" s="12" t="s">
        <v>25</v>
      </c>
      <c r="F1537" s="13" t="s">
        <v>26</v>
      </c>
      <c r="G1537" s="12" t="s">
        <v>68</v>
      </c>
      <c r="H1537" s="12" t="s">
        <v>994</v>
      </c>
      <c r="I1537" s="12" t="s">
        <v>995</v>
      </c>
      <c r="J1537" s="17" t="s">
        <v>2796</v>
      </c>
      <c r="K1537" s="18" t="s">
        <v>2797</v>
      </c>
      <c r="L1537" s="20">
        <v>45959.0</v>
      </c>
      <c r="M1537" s="17" t="s">
        <v>28</v>
      </c>
      <c r="N1537" s="21" t="s">
        <v>2960</v>
      </c>
      <c r="O1537" s="122">
        <v>7.3976827E7</v>
      </c>
      <c r="P1537" s="46" t="s">
        <v>2961</v>
      </c>
      <c r="Q1537" s="21" t="s">
        <v>112</v>
      </c>
      <c r="R1537" s="21" t="s">
        <v>2028</v>
      </c>
      <c r="S1537" s="17" t="s">
        <v>2962</v>
      </c>
      <c r="U1537" s="24"/>
      <c r="V1537" s="24"/>
      <c r="W1537" s="18" t="s">
        <v>577</v>
      </c>
    </row>
    <row r="1538">
      <c r="A1538" s="11"/>
      <c r="B1538" s="12" t="s">
        <v>7</v>
      </c>
      <c r="C1538" s="12" t="s">
        <v>8</v>
      </c>
      <c r="D1538" s="12" t="s">
        <v>24</v>
      </c>
      <c r="E1538" s="12" t="s">
        <v>25</v>
      </c>
      <c r="F1538" s="13" t="s">
        <v>26</v>
      </c>
      <c r="G1538" s="12" t="s">
        <v>68</v>
      </c>
      <c r="H1538" s="12" t="s">
        <v>994</v>
      </c>
      <c r="I1538" s="12" t="s">
        <v>995</v>
      </c>
      <c r="J1538" s="17" t="s">
        <v>2796</v>
      </c>
      <c r="K1538" s="18" t="s">
        <v>2797</v>
      </c>
      <c r="L1538" s="20">
        <v>45959.0</v>
      </c>
      <c r="M1538" s="17" t="s">
        <v>28</v>
      </c>
      <c r="N1538" s="21" t="s">
        <v>2963</v>
      </c>
      <c r="O1538" s="122">
        <v>7.3976831E7</v>
      </c>
      <c r="P1538" s="46" t="s">
        <v>2038</v>
      </c>
      <c r="Q1538" s="21" t="s">
        <v>112</v>
      </c>
      <c r="R1538" s="21" t="s">
        <v>2028</v>
      </c>
      <c r="S1538" s="17" t="s">
        <v>2964</v>
      </c>
      <c r="U1538" s="24"/>
      <c r="V1538" s="24"/>
      <c r="W1538" s="18" t="s">
        <v>577</v>
      </c>
    </row>
    <row r="1539">
      <c r="A1539" s="11"/>
      <c r="B1539" s="12" t="s">
        <v>7</v>
      </c>
      <c r="C1539" s="12" t="s">
        <v>8</v>
      </c>
      <c r="D1539" s="12" t="s">
        <v>24</v>
      </c>
      <c r="E1539" s="12" t="s">
        <v>25</v>
      </c>
      <c r="F1539" s="13" t="s">
        <v>26</v>
      </c>
      <c r="G1539" s="12" t="s">
        <v>68</v>
      </c>
      <c r="H1539" s="12" t="s">
        <v>994</v>
      </c>
      <c r="I1539" s="12" t="s">
        <v>995</v>
      </c>
      <c r="J1539" s="17" t="s">
        <v>2796</v>
      </c>
      <c r="K1539" s="18" t="s">
        <v>2797</v>
      </c>
      <c r="L1539" s="20">
        <v>45959.0</v>
      </c>
      <c r="M1539" s="17" t="s">
        <v>28</v>
      </c>
      <c r="N1539" s="21" t="s">
        <v>2967</v>
      </c>
      <c r="O1539" s="122">
        <v>4.5221309E7</v>
      </c>
      <c r="P1539" s="46" t="s">
        <v>2005</v>
      </c>
      <c r="Q1539" s="21" t="s">
        <v>73</v>
      </c>
      <c r="R1539" s="21" t="s">
        <v>2004</v>
      </c>
      <c r="S1539" s="17" t="s">
        <v>2968</v>
      </c>
      <c r="U1539" s="24"/>
      <c r="V1539" s="24"/>
      <c r="W1539" s="18" t="s">
        <v>577</v>
      </c>
    </row>
    <row r="1540">
      <c r="A1540" s="11"/>
      <c r="B1540" s="12" t="s">
        <v>7</v>
      </c>
      <c r="C1540" s="12" t="s">
        <v>8</v>
      </c>
      <c r="D1540" s="12" t="s">
        <v>24</v>
      </c>
      <c r="E1540" s="12" t="s">
        <v>25</v>
      </c>
      <c r="F1540" s="13" t="s">
        <v>26</v>
      </c>
      <c r="G1540" s="12" t="s">
        <v>68</v>
      </c>
      <c r="H1540" s="12" t="s">
        <v>994</v>
      </c>
      <c r="I1540" s="12" t="s">
        <v>995</v>
      </c>
      <c r="J1540" s="17" t="s">
        <v>2796</v>
      </c>
      <c r="K1540" s="18" t="s">
        <v>2797</v>
      </c>
      <c r="L1540" s="20">
        <v>45959.0</v>
      </c>
      <c r="M1540" s="17" t="s">
        <v>28</v>
      </c>
      <c r="N1540" s="21" t="s">
        <v>2969</v>
      </c>
      <c r="O1540" s="122">
        <v>4.6527678E7</v>
      </c>
      <c r="P1540" s="46" t="s">
        <v>2015</v>
      </c>
      <c r="Q1540" s="21" t="s">
        <v>73</v>
      </c>
      <c r="R1540" s="21" t="s">
        <v>2004</v>
      </c>
      <c r="S1540" s="17" t="s">
        <v>2970</v>
      </c>
      <c r="U1540" s="24"/>
      <c r="V1540" s="24"/>
      <c r="W1540" s="18" t="s">
        <v>577</v>
      </c>
    </row>
    <row r="1541">
      <c r="A1541" s="11"/>
      <c r="B1541" s="12" t="s">
        <v>7</v>
      </c>
      <c r="C1541" s="12" t="s">
        <v>8</v>
      </c>
      <c r="D1541" s="12" t="s">
        <v>24</v>
      </c>
      <c r="E1541" s="12" t="s">
        <v>25</v>
      </c>
      <c r="F1541" s="13" t="s">
        <v>26</v>
      </c>
      <c r="G1541" s="12" t="s">
        <v>68</v>
      </c>
      <c r="H1541" s="12" t="s">
        <v>994</v>
      </c>
      <c r="I1541" s="12" t="s">
        <v>995</v>
      </c>
      <c r="J1541" s="17" t="s">
        <v>2796</v>
      </c>
      <c r="K1541" s="18" t="s">
        <v>2797</v>
      </c>
      <c r="L1541" s="20">
        <v>45959.0</v>
      </c>
      <c r="M1541" s="17" t="s">
        <v>28</v>
      </c>
      <c r="N1541" s="21" t="s">
        <v>2971</v>
      </c>
      <c r="O1541" s="122">
        <v>4.8783496E7</v>
      </c>
      <c r="P1541" s="46" t="s">
        <v>2074</v>
      </c>
      <c r="Q1541" s="21" t="s">
        <v>112</v>
      </c>
      <c r="R1541" s="48" t="s">
        <v>2028</v>
      </c>
      <c r="S1541" s="17" t="s">
        <v>2972</v>
      </c>
      <c r="U1541" s="24"/>
      <c r="V1541" s="24"/>
      <c r="W1541" s="18" t="s">
        <v>577</v>
      </c>
    </row>
    <row r="1542">
      <c r="A1542" s="11"/>
      <c r="B1542" s="12" t="s">
        <v>7</v>
      </c>
      <c r="C1542" s="12" t="s">
        <v>8</v>
      </c>
      <c r="D1542" s="12" t="s">
        <v>24</v>
      </c>
      <c r="E1542" s="12" t="s">
        <v>25</v>
      </c>
      <c r="F1542" s="13" t="s">
        <v>26</v>
      </c>
      <c r="G1542" s="12" t="s">
        <v>68</v>
      </c>
      <c r="H1542" s="12" t="s">
        <v>994</v>
      </c>
      <c r="I1542" s="12" t="s">
        <v>995</v>
      </c>
      <c r="J1542" s="17" t="s">
        <v>2796</v>
      </c>
      <c r="K1542" s="18" t="s">
        <v>2797</v>
      </c>
      <c r="L1542" s="20">
        <v>45959.0</v>
      </c>
      <c r="M1542" s="17" t="s">
        <v>28</v>
      </c>
      <c r="N1542" s="21" t="s">
        <v>2976</v>
      </c>
      <c r="O1542" s="122">
        <v>4.4360153E7</v>
      </c>
      <c r="P1542" s="46" t="s">
        <v>2977</v>
      </c>
      <c r="Q1542" s="21" t="s">
        <v>73</v>
      </c>
      <c r="R1542" s="21" t="s">
        <v>2004</v>
      </c>
      <c r="S1542" s="17" t="s">
        <v>2978</v>
      </c>
      <c r="U1542" s="24"/>
      <c r="V1542" s="24"/>
      <c r="W1542" s="18" t="s">
        <v>577</v>
      </c>
    </row>
    <row r="1543">
      <c r="A1543" s="11"/>
      <c r="B1543" s="12" t="s">
        <v>7</v>
      </c>
      <c r="C1543" s="12" t="s">
        <v>8</v>
      </c>
      <c r="D1543" s="12" t="s">
        <v>24</v>
      </c>
      <c r="E1543" s="12" t="s">
        <v>25</v>
      </c>
      <c r="F1543" s="13" t="s">
        <v>26</v>
      </c>
      <c r="G1543" s="12" t="s">
        <v>68</v>
      </c>
      <c r="H1543" s="12" t="s">
        <v>994</v>
      </c>
      <c r="I1543" s="12" t="s">
        <v>995</v>
      </c>
      <c r="J1543" s="17" t="s">
        <v>2796</v>
      </c>
      <c r="K1543" s="18" t="s">
        <v>2797</v>
      </c>
      <c r="L1543" s="20">
        <v>45959.0</v>
      </c>
      <c r="M1543" s="17" t="s">
        <v>28</v>
      </c>
      <c r="N1543" s="48" t="s">
        <v>2946</v>
      </c>
      <c r="O1543" s="48">
        <v>3.192394E7</v>
      </c>
      <c r="P1543" s="17" t="s">
        <v>2066</v>
      </c>
      <c r="Q1543" s="21" t="s">
        <v>73</v>
      </c>
      <c r="R1543" s="21" t="s">
        <v>2004</v>
      </c>
      <c r="S1543" s="17" t="s">
        <v>2947</v>
      </c>
      <c r="U1543" s="24"/>
      <c r="V1543" s="24"/>
      <c r="W1543" s="18" t="s">
        <v>577</v>
      </c>
    </row>
    <row r="1544">
      <c r="A1544" s="11"/>
      <c r="B1544" s="12" t="s">
        <v>7</v>
      </c>
      <c r="C1544" s="12" t="s">
        <v>8</v>
      </c>
      <c r="D1544" s="12" t="s">
        <v>24</v>
      </c>
      <c r="E1544" s="12" t="s">
        <v>25</v>
      </c>
      <c r="F1544" s="13" t="s">
        <v>26</v>
      </c>
      <c r="G1544" s="12" t="s">
        <v>68</v>
      </c>
      <c r="H1544" s="12" t="s">
        <v>994</v>
      </c>
      <c r="I1544" s="12" t="s">
        <v>995</v>
      </c>
      <c r="J1544" s="17" t="s">
        <v>2796</v>
      </c>
      <c r="K1544" s="18" t="s">
        <v>2797</v>
      </c>
      <c r="L1544" s="20">
        <v>45959.0</v>
      </c>
      <c r="M1544" s="17" t="s">
        <v>28</v>
      </c>
      <c r="N1544" s="21" t="s">
        <v>3313</v>
      </c>
      <c r="O1544" s="122">
        <v>7.5895296E7</v>
      </c>
      <c r="P1544" s="46" t="s">
        <v>2009</v>
      </c>
      <c r="Q1544" s="21" t="s">
        <v>73</v>
      </c>
      <c r="R1544" s="21" t="s">
        <v>2004</v>
      </c>
      <c r="S1544" s="17"/>
      <c r="U1544" s="24"/>
      <c r="V1544" s="24"/>
      <c r="W1544" s="18" t="s">
        <v>577</v>
      </c>
    </row>
    <row r="1545">
      <c r="A1545" s="11"/>
      <c r="B1545" s="12" t="s">
        <v>7</v>
      </c>
      <c r="C1545" s="12" t="s">
        <v>8</v>
      </c>
      <c r="D1545" s="12" t="s">
        <v>24</v>
      </c>
      <c r="E1545" s="12" t="s">
        <v>25</v>
      </c>
      <c r="F1545" s="13" t="s">
        <v>26</v>
      </c>
      <c r="G1545" s="12" t="s">
        <v>68</v>
      </c>
      <c r="H1545" s="12" t="s">
        <v>994</v>
      </c>
      <c r="I1545" s="12" t="s">
        <v>995</v>
      </c>
      <c r="J1545" s="17" t="s">
        <v>2796</v>
      </c>
      <c r="K1545" s="18" t="s">
        <v>2797</v>
      </c>
      <c r="L1545" s="20">
        <v>45959.0</v>
      </c>
      <c r="M1545" s="17" t="s">
        <v>28</v>
      </c>
      <c r="N1545" s="21" t="s">
        <v>3315</v>
      </c>
      <c r="O1545" s="122">
        <v>7.5518734E7</v>
      </c>
      <c r="P1545" s="46" t="s">
        <v>3316</v>
      </c>
      <c r="Q1545" s="21" t="s">
        <v>112</v>
      </c>
      <c r="R1545" s="21" t="s">
        <v>2028</v>
      </c>
      <c r="S1545" s="17" t="s">
        <v>3317</v>
      </c>
      <c r="U1545" s="24"/>
      <c r="V1545" s="24"/>
      <c r="W1545" s="18" t="s">
        <v>577</v>
      </c>
    </row>
    <row r="1546">
      <c r="A1546" s="11"/>
      <c r="B1546" s="12" t="s">
        <v>7</v>
      </c>
      <c r="C1546" s="12" t="s">
        <v>8</v>
      </c>
      <c r="D1546" s="12" t="s">
        <v>24</v>
      </c>
      <c r="E1546" s="12" t="s">
        <v>25</v>
      </c>
      <c r="F1546" s="13" t="s">
        <v>26</v>
      </c>
      <c r="G1546" s="12" t="s">
        <v>68</v>
      </c>
      <c r="H1546" s="12" t="s">
        <v>994</v>
      </c>
      <c r="I1546" s="12" t="s">
        <v>995</v>
      </c>
      <c r="J1546" s="17" t="s">
        <v>2796</v>
      </c>
      <c r="K1546" s="18" t="s">
        <v>2797</v>
      </c>
      <c r="L1546" s="20">
        <v>45959.0</v>
      </c>
      <c r="M1546" s="17" t="s">
        <v>28</v>
      </c>
      <c r="N1546" s="17" t="s">
        <v>3636</v>
      </c>
      <c r="O1546" s="17">
        <v>4.1512875E7</v>
      </c>
      <c r="P1546" s="17" t="s">
        <v>3637</v>
      </c>
      <c r="Q1546" s="17" t="s">
        <v>112</v>
      </c>
      <c r="R1546" s="17" t="s">
        <v>2028</v>
      </c>
      <c r="S1546" s="17" t="s">
        <v>3638</v>
      </c>
      <c r="U1546" s="24"/>
      <c r="V1546" s="24"/>
      <c r="W1546" s="18" t="s">
        <v>577</v>
      </c>
    </row>
    <row r="1547">
      <c r="A1547" s="11"/>
      <c r="B1547" s="12" t="s">
        <v>7</v>
      </c>
      <c r="C1547" s="12" t="s">
        <v>8</v>
      </c>
      <c r="D1547" s="12" t="s">
        <v>24</v>
      </c>
      <c r="E1547" s="12" t="s">
        <v>25</v>
      </c>
      <c r="F1547" s="13" t="s">
        <v>26</v>
      </c>
      <c r="G1547" s="12" t="s">
        <v>68</v>
      </c>
      <c r="H1547" s="12" t="s">
        <v>994</v>
      </c>
      <c r="I1547" s="12" t="s">
        <v>995</v>
      </c>
      <c r="J1547" s="17" t="s">
        <v>2796</v>
      </c>
      <c r="K1547" s="18" t="s">
        <v>2797</v>
      </c>
      <c r="L1547" s="20">
        <v>45959.0</v>
      </c>
      <c r="M1547" s="17" t="s">
        <v>28</v>
      </c>
      <c r="N1547" s="48" t="s">
        <v>4024</v>
      </c>
      <c r="O1547" s="52">
        <v>4.6147885E7</v>
      </c>
      <c r="P1547" s="48" t="s">
        <v>4025</v>
      </c>
      <c r="Q1547" s="48" t="s">
        <v>112</v>
      </c>
      <c r="R1547" s="17" t="s">
        <v>2028</v>
      </c>
      <c r="S1547" s="17" t="s">
        <v>4026</v>
      </c>
      <c r="U1547" s="24"/>
      <c r="V1547" s="24"/>
      <c r="W1547" s="18" t="s">
        <v>577</v>
      </c>
    </row>
    <row r="1548">
      <c r="A1548" s="11"/>
      <c r="B1548" s="12" t="s">
        <v>7</v>
      </c>
      <c r="C1548" s="12" t="s">
        <v>8</v>
      </c>
      <c r="D1548" s="12" t="s">
        <v>24</v>
      </c>
      <c r="E1548" s="12" t="s">
        <v>25</v>
      </c>
      <c r="F1548" s="13" t="s">
        <v>26</v>
      </c>
      <c r="G1548" s="12" t="s">
        <v>68</v>
      </c>
      <c r="H1548" s="12" t="s">
        <v>994</v>
      </c>
      <c r="I1548" s="12" t="s">
        <v>995</v>
      </c>
      <c r="J1548" s="17" t="s">
        <v>2796</v>
      </c>
      <c r="K1548" s="18" t="s">
        <v>2797</v>
      </c>
      <c r="L1548" s="20">
        <v>45959.0</v>
      </c>
      <c r="M1548" s="17" t="s">
        <v>28</v>
      </c>
      <c r="N1548" s="48" t="s">
        <v>4027</v>
      </c>
      <c r="O1548" s="52">
        <v>7.6910888E7</v>
      </c>
      <c r="P1548" s="48" t="s">
        <v>2068</v>
      </c>
      <c r="Q1548" s="48" t="s">
        <v>73</v>
      </c>
      <c r="R1548" s="21" t="s">
        <v>2004</v>
      </c>
      <c r="S1548" s="17" t="s">
        <v>4028</v>
      </c>
      <c r="U1548" s="24"/>
      <c r="V1548" s="24"/>
      <c r="W1548" s="18" t="s">
        <v>577</v>
      </c>
    </row>
    <row r="1549">
      <c r="A1549" s="11"/>
      <c r="B1549" s="12" t="s">
        <v>7</v>
      </c>
      <c r="C1549" s="12" t="s">
        <v>8</v>
      </c>
      <c r="D1549" s="12" t="s">
        <v>24</v>
      </c>
      <c r="E1549" s="12" t="s">
        <v>25</v>
      </c>
      <c r="F1549" s="13" t="s">
        <v>26</v>
      </c>
      <c r="G1549" s="12" t="s">
        <v>68</v>
      </c>
      <c r="H1549" s="12" t="s">
        <v>994</v>
      </c>
      <c r="I1549" s="12" t="s">
        <v>995</v>
      </c>
      <c r="J1549" s="17" t="s">
        <v>2796</v>
      </c>
      <c r="K1549" s="18" t="s">
        <v>2797</v>
      </c>
      <c r="L1549" s="20">
        <v>45959.0</v>
      </c>
      <c r="M1549" s="17" t="s">
        <v>28</v>
      </c>
      <c r="N1549" s="48" t="s">
        <v>4029</v>
      </c>
      <c r="O1549" s="52">
        <v>7.7663968E7</v>
      </c>
      <c r="P1549" s="48" t="s">
        <v>4030</v>
      </c>
      <c r="Q1549" s="48" t="s">
        <v>73</v>
      </c>
      <c r="R1549" s="21" t="s">
        <v>2004</v>
      </c>
      <c r="S1549" s="17" t="s">
        <v>4031</v>
      </c>
      <c r="U1549" s="24"/>
      <c r="V1549" s="24"/>
      <c r="W1549" s="18" t="s">
        <v>577</v>
      </c>
    </row>
    <row r="1550">
      <c r="A1550" s="11"/>
      <c r="B1550" s="12" t="s">
        <v>7</v>
      </c>
      <c r="C1550" s="12" t="s">
        <v>8</v>
      </c>
      <c r="D1550" s="12" t="s">
        <v>24</v>
      </c>
      <c r="E1550" s="12" t="s">
        <v>25</v>
      </c>
      <c r="F1550" s="13" t="s">
        <v>26</v>
      </c>
      <c r="G1550" s="12" t="s">
        <v>68</v>
      </c>
      <c r="H1550" s="12" t="s">
        <v>994</v>
      </c>
      <c r="I1550" s="12" t="s">
        <v>995</v>
      </c>
      <c r="J1550" s="17" t="s">
        <v>2796</v>
      </c>
      <c r="K1550" s="18" t="s">
        <v>2797</v>
      </c>
      <c r="L1550" s="20">
        <v>45959.0</v>
      </c>
      <c r="M1550" s="17" t="s">
        <v>28</v>
      </c>
      <c r="N1550" s="48" t="s">
        <v>4032</v>
      </c>
      <c r="O1550" s="52">
        <v>4.3447251E7</v>
      </c>
      <c r="P1550" s="48" t="s">
        <v>4033</v>
      </c>
      <c r="Q1550" s="48" t="s">
        <v>73</v>
      </c>
      <c r="R1550" s="21" t="s">
        <v>2004</v>
      </c>
      <c r="S1550" s="17" t="s">
        <v>4034</v>
      </c>
      <c r="U1550" s="24"/>
      <c r="V1550" s="24"/>
      <c r="W1550" s="18" t="s">
        <v>577</v>
      </c>
    </row>
    <row r="1551">
      <c r="A1551" s="11"/>
      <c r="B1551" s="12" t="s">
        <v>7</v>
      </c>
      <c r="C1551" s="12" t="s">
        <v>8</v>
      </c>
      <c r="D1551" s="12" t="s">
        <v>24</v>
      </c>
      <c r="E1551" s="12" t="s">
        <v>25</v>
      </c>
      <c r="F1551" s="13" t="s">
        <v>26</v>
      </c>
      <c r="G1551" s="12" t="s">
        <v>68</v>
      </c>
      <c r="H1551" s="12" t="s">
        <v>994</v>
      </c>
      <c r="I1551" s="12" t="s">
        <v>995</v>
      </c>
      <c r="J1551" s="17" t="s">
        <v>2796</v>
      </c>
      <c r="K1551" s="18" t="s">
        <v>2797</v>
      </c>
      <c r="L1551" s="20">
        <v>45959.0</v>
      </c>
      <c r="M1551" s="17" t="s">
        <v>28</v>
      </c>
      <c r="N1551" s="48" t="s">
        <v>4032</v>
      </c>
      <c r="O1551" s="52">
        <v>4.3447251E7</v>
      </c>
      <c r="P1551" s="48" t="s">
        <v>4035</v>
      </c>
      <c r="Q1551" s="48" t="s">
        <v>108</v>
      </c>
      <c r="R1551" s="17" t="s">
        <v>2016</v>
      </c>
      <c r="S1551" s="17" t="s">
        <v>4036</v>
      </c>
      <c r="U1551" s="24"/>
      <c r="V1551" s="24"/>
      <c r="W1551" s="18"/>
    </row>
    <row r="1552">
      <c r="A1552" s="11"/>
      <c r="B1552" s="12" t="s">
        <v>7</v>
      </c>
      <c r="C1552" s="12" t="s">
        <v>8</v>
      </c>
      <c r="D1552" s="12" t="s">
        <v>24</v>
      </c>
      <c r="E1552" s="12" t="s">
        <v>35</v>
      </c>
      <c r="F1552" s="13" t="s">
        <v>33</v>
      </c>
      <c r="G1552" s="12" t="s">
        <v>68</v>
      </c>
      <c r="H1552" s="12" t="s">
        <v>813</v>
      </c>
      <c r="I1552" s="12" t="s">
        <v>814</v>
      </c>
      <c r="J1552" s="17" t="s">
        <v>2796</v>
      </c>
      <c r="K1552" s="18" t="s">
        <v>2797</v>
      </c>
      <c r="L1552" s="20">
        <v>45960.0</v>
      </c>
      <c r="M1552" s="17" t="s">
        <v>23</v>
      </c>
      <c r="N1552" s="17" t="s">
        <v>2390</v>
      </c>
      <c r="O1552" s="17">
        <v>7.3863258E7</v>
      </c>
      <c r="Q1552" s="17" t="s">
        <v>73</v>
      </c>
      <c r="R1552" s="17" t="s">
        <v>1797</v>
      </c>
      <c r="S1552" s="17"/>
      <c r="U1552" s="24"/>
      <c r="V1552" s="24"/>
      <c r="W1552" s="18" t="s">
        <v>577</v>
      </c>
    </row>
    <row r="1553">
      <c r="A1553" s="11"/>
      <c r="B1553" s="12" t="s">
        <v>7</v>
      </c>
      <c r="C1553" s="12" t="s">
        <v>8</v>
      </c>
      <c r="D1553" s="12" t="s">
        <v>24</v>
      </c>
      <c r="E1553" s="12" t="s">
        <v>35</v>
      </c>
      <c r="F1553" s="13" t="s">
        <v>33</v>
      </c>
      <c r="G1553" s="12" t="s">
        <v>68</v>
      </c>
      <c r="H1553" s="12" t="s">
        <v>813</v>
      </c>
      <c r="I1553" s="12" t="s">
        <v>814</v>
      </c>
      <c r="J1553" s="17" t="s">
        <v>2796</v>
      </c>
      <c r="K1553" s="18" t="s">
        <v>2797</v>
      </c>
      <c r="L1553" s="20">
        <v>45960.0</v>
      </c>
      <c r="M1553" s="17" t="s">
        <v>23</v>
      </c>
      <c r="N1553" s="17" t="s">
        <v>2389</v>
      </c>
      <c r="O1553" s="17">
        <v>3.1629591E7</v>
      </c>
      <c r="Q1553" s="17" t="s">
        <v>108</v>
      </c>
      <c r="R1553" s="17" t="s">
        <v>109</v>
      </c>
      <c r="S1553" s="17"/>
      <c r="U1553" s="24"/>
      <c r="V1553" s="24"/>
      <c r="W1553" s="18" t="s">
        <v>577</v>
      </c>
    </row>
    <row r="1554">
      <c r="A1554" s="11"/>
      <c r="B1554" s="12" t="s">
        <v>7</v>
      </c>
      <c r="C1554" s="12" t="s">
        <v>8</v>
      </c>
      <c r="D1554" s="12" t="s">
        <v>24</v>
      </c>
      <c r="E1554" s="12" t="s">
        <v>35</v>
      </c>
      <c r="F1554" s="13" t="s">
        <v>33</v>
      </c>
      <c r="G1554" s="12" t="s">
        <v>68</v>
      </c>
      <c r="H1554" s="12" t="s">
        <v>813</v>
      </c>
      <c r="I1554" s="12" t="s">
        <v>814</v>
      </c>
      <c r="J1554" s="17" t="s">
        <v>2796</v>
      </c>
      <c r="K1554" s="18" t="s">
        <v>2797</v>
      </c>
      <c r="L1554" s="20">
        <v>45960.0</v>
      </c>
      <c r="M1554" s="17" t="s">
        <v>28</v>
      </c>
      <c r="N1554" s="21" t="s">
        <v>2375</v>
      </c>
      <c r="O1554" s="122">
        <v>4.7154372E7</v>
      </c>
      <c r="P1554" s="48" t="s">
        <v>2376</v>
      </c>
      <c r="Q1554" s="48" t="s">
        <v>108</v>
      </c>
      <c r="R1554" s="17" t="s">
        <v>109</v>
      </c>
      <c r="S1554" s="17" t="s">
        <v>2377</v>
      </c>
      <c r="U1554" s="24"/>
      <c r="V1554" s="24"/>
      <c r="W1554" s="18" t="s">
        <v>577</v>
      </c>
    </row>
    <row r="1555">
      <c r="A1555" s="11"/>
      <c r="B1555" s="12" t="s">
        <v>7</v>
      </c>
      <c r="C1555" s="12" t="s">
        <v>8</v>
      </c>
      <c r="D1555" s="12" t="s">
        <v>24</v>
      </c>
      <c r="E1555" s="12" t="s">
        <v>35</v>
      </c>
      <c r="F1555" s="13" t="s">
        <v>33</v>
      </c>
      <c r="G1555" s="12" t="s">
        <v>68</v>
      </c>
      <c r="H1555" s="12" t="s">
        <v>813</v>
      </c>
      <c r="I1555" s="12" t="s">
        <v>814</v>
      </c>
      <c r="J1555" s="17" t="s">
        <v>2796</v>
      </c>
      <c r="K1555" s="18" t="s">
        <v>2797</v>
      </c>
      <c r="L1555" s="20">
        <v>45960.0</v>
      </c>
      <c r="M1555" s="17" t="s">
        <v>28</v>
      </c>
      <c r="N1555" s="21" t="s">
        <v>2378</v>
      </c>
      <c r="O1555" s="52">
        <v>7.0945989E7</v>
      </c>
      <c r="P1555" s="48" t="s">
        <v>2379</v>
      </c>
      <c r="Q1555" s="21" t="s">
        <v>112</v>
      </c>
      <c r="R1555" s="17" t="s">
        <v>113</v>
      </c>
      <c r="S1555" s="17" t="s">
        <v>4037</v>
      </c>
      <c r="U1555" s="24"/>
      <c r="V1555" s="24"/>
      <c r="W1555" s="18" t="s">
        <v>577</v>
      </c>
    </row>
    <row r="1556">
      <c r="A1556" s="11"/>
      <c r="B1556" s="12" t="s">
        <v>7</v>
      </c>
      <c r="C1556" s="12" t="s">
        <v>8</v>
      </c>
      <c r="D1556" s="12" t="s">
        <v>24</v>
      </c>
      <c r="E1556" s="12" t="s">
        <v>35</v>
      </c>
      <c r="F1556" s="13" t="s">
        <v>33</v>
      </c>
      <c r="G1556" s="12" t="s">
        <v>68</v>
      </c>
      <c r="H1556" s="12" t="s">
        <v>813</v>
      </c>
      <c r="I1556" s="12" t="s">
        <v>814</v>
      </c>
      <c r="J1556" s="17" t="s">
        <v>2796</v>
      </c>
      <c r="K1556" s="18" t="s">
        <v>2797</v>
      </c>
      <c r="L1556" s="20">
        <v>45960.0</v>
      </c>
      <c r="M1556" s="17" t="s">
        <v>28</v>
      </c>
      <c r="N1556" s="21" t="s">
        <v>2385</v>
      </c>
      <c r="O1556" s="122">
        <v>4.6807974E7</v>
      </c>
      <c r="P1556" s="21" t="s">
        <v>1796</v>
      </c>
      <c r="Q1556" s="21" t="s">
        <v>108</v>
      </c>
      <c r="R1556" s="17" t="s">
        <v>109</v>
      </c>
      <c r="S1556" s="17" t="s">
        <v>2386</v>
      </c>
      <c r="U1556" s="24"/>
      <c r="V1556" s="24"/>
      <c r="W1556" s="18" t="s">
        <v>577</v>
      </c>
    </row>
    <row r="1557">
      <c r="A1557" s="11"/>
      <c r="B1557" s="12" t="s">
        <v>7</v>
      </c>
      <c r="C1557" s="12" t="s">
        <v>8</v>
      </c>
      <c r="D1557" s="12" t="s">
        <v>24</v>
      </c>
      <c r="E1557" s="12" t="s">
        <v>35</v>
      </c>
      <c r="F1557" s="13" t="s">
        <v>33</v>
      </c>
      <c r="G1557" s="12" t="s">
        <v>68</v>
      </c>
      <c r="H1557" s="12" t="s">
        <v>813</v>
      </c>
      <c r="I1557" s="12" t="s">
        <v>814</v>
      </c>
      <c r="J1557" s="17" t="s">
        <v>2796</v>
      </c>
      <c r="K1557" s="18" t="s">
        <v>2797</v>
      </c>
      <c r="L1557" s="20">
        <v>45960.0</v>
      </c>
      <c r="M1557" s="17" t="s">
        <v>28</v>
      </c>
      <c r="N1557" s="21" t="s">
        <v>2387</v>
      </c>
      <c r="O1557" s="122">
        <v>4.1150084E7</v>
      </c>
      <c r="P1557" s="46" t="s">
        <v>1800</v>
      </c>
      <c r="Q1557" s="21" t="s">
        <v>112</v>
      </c>
      <c r="R1557" s="17" t="s">
        <v>113</v>
      </c>
      <c r="S1557" s="17" t="s">
        <v>4038</v>
      </c>
      <c r="U1557" s="24"/>
      <c r="V1557" s="24"/>
      <c r="W1557" s="18" t="s">
        <v>577</v>
      </c>
    </row>
    <row r="1558">
      <c r="A1558" s="11"/>
      <c r="B1558" s="12" t="s">
        <v>7</v>
      </c>
      <c r="C1558" s="12" t="s">
        <v>8</v>
      </c>
      <c r="D1558" s="12" t="s">
        <v>24</v>
      </c>
      <c r="E1558" s="12" t="s">
        <v>35</v>
      </c>
      <c r="F1558" s="13" t="s">
        <v>33</v>
      </c>
      <c r="G1558" s="12" t="s">
        <v>68</v>
      </c>
      <c r="H1558" s="12" t="s">
        <v>813</v>
      </c>
      <c r="I1558" s="12" t="s">
        <v>814</v>
      </c>
      <c r="J1558" s="17" t="s">
        <v>2796</v>
      </c>
      <c r="K1558" s="18" t="s">
        <v>2797</v>
      </c>
      <c r="L1558" s="20">
        <v>45960.0</v>
      </c>
      <c r="M1558" s="17" t="s">
        <v>28</v>
      </c>
      <c r="N1558" s="17" t="s">
        <v>2381</v>
      </c>
      <c r="O1558" s="17">
        <v>4.5987431E7</v>
      </c>
      <c r="P1558" s="17" t="s">
        <v>1799</v>
      </c>
      <c r="Q1558" s="17" t="s">
        <v>112</v>
      </c>
      <c r="R1558" s="17" t="s">
        <v>1797</v>
      </c>
      <c r="S1558" s="17" t="s">
        <v>2382</v>
      </c>
      <c r="U1558" s="24"/>
      <c r="V1558" s="24"/>
      <c r="W1558" s="18" t="s">
        <v>577</v>
      </c>
    </row>
    <row r="1559">
      <c r="A1559" s="11"/>
      <c r="B1559" s="12" t="s">
        <v>7</v>
      </c>
      <c r="C1559" s="12" t="s">
        <v>8</v>
      </c>
      <c r="D1559" s="12" t="s">
        <v>24</v>
      </c>
      <c r="E1559" s="12" t="s">
        <v>35</v>
      </c>
      <c r="F1559" s="13" t="s">
        <v>33</v>
      </c>
      <c r="G1559" s="12" t="s">
        <v>68</v>
      </c>
      <c r="H1559" s="12" t="s">
        <v>813</v>
      </c>
      <c r="I1559" s="12" t="s">
        <v>814</v>
      </c>
      <c r="J1559" s="17" t="s">
        <v>2796</v>
      </c>
      <c r="K1559" s="18" t="s">
        <v>2797</v>
      </c>
      <c r="L1559" s="20">
        <v>45960.0</v>
      </c>
      <c r="M1559" s="17" t="s">
        <v>28</v>
      </c>
      <c r="N1559" s="17" t="s">
        <v>2383</v>
      </c>
      <c r="O1559" s="17">
        <v>7.6625817E7</v>
      </c>
      <c r="P1559" s="17" t="s">
        <v>1798</v>
      </c>
      <c r="Q1559" s="17" t="s">
        <v>112</v>
      </c>
      <c r="R1559" s="17" t="s">
        <v>1797</v>
      </c>
      <c r="S1559" s="17" t="s">
        <v>2384</v>
      </c>
      <c r="U1559" s="24"/>
      <c r="V1559" s="24"/>
      <c r="W1559" s="18" t="s">
        <v>577</v>
      </c>
    </row>
    <row r="1560">
      <c r="A1560" s="11"/>
      <c r="B1560" s="12" t="s">
        <v>7</v>
      </c>
      <c r="C1560" s="12" t="s">
        <v>8</v>
      </c>
      <c r="D1560" s="12" t="s">
        <v>15</v>
      </c>
      <c r="E1560" s="12" t="s">
        <v>15</v>
      </c>
      <c r="F1560" s="13" t="s">
        <v>16</v>
      </c>
      <c r="G1560" s="12" t="s">
        <v>68</v>
      </c>
      <c r="H1560" s="12" t="s">
        <v>928</v>
      </c>
      <c r="I1560" s="12" t="s">
        <v>929</v>
      </c>
      <c r="J1560" s="17" t="s">
        <v>2796</v>
      </c>
      <c r="K1560" s="18" t="s">
        <v>2797</v>
      </c>
      <c r="L1560" s="20">
        <v>45953.0</v>
      </c>
      <c r="M1560" s="17" t="s">
        <v>28</v>
      </c>
      <c r="N1560" s="17" t="s">
        <v>4039</v>
      </c>
      <c r="O1560" s="17">
        <v>7.6088826E7</v>
      </c>
      <c r="P1560" s="17"/>
      <c r="Q1560" s="17" t="s">
        <v>112</v>
      </c>
      <c r="R1560" s="17"/>
      <c r="S1560" s="17" t="s">
        <v>112</v>
      </c>
      <c r="U1560" s="24"/>
      <c r="V1560" s="24"/>
      <c r="W1560" s="18" t="s">
        <v>915</v>
      </c>
    </row>
    <row r="1561">
      <c r="A1561" s="11"/>
      <c r="B1561" s="12" t="s">
        <v>7</v>
      </c>
      <c r="C1561" s="12" t="s">
        <v>8</v>
      </c>
      <c r="D1561" s="12" t="s">
        <v>15</v>
      </c>
      <c r="E1561" s="12" t="s">
        <v>15</v>
      </c>
      <c r="F1561" s="13" t="s">
        <v>16</v>
      </c>
      <c r="G1561" s="12" t="s">
        <v>68</v>
      </c>
      <c r="H1561" s="12" t="s">
        <v>928</v>
      </c>
      <c r="I1561" s="12" t="s">
        <v>929</v>
      </c>
      <c r="J1561" s="17" t="s">
        <v>2796</v>
      </c>
      <c r="K1561" s="18" t="s">
        <v>4040</v>
      </c>
      <c r="L1561" s="20">
        <v>45953.0</v>
      </c>
      <c r="M1561" s="17" t="s">
        <v>28</v>
      </c>
      <c r="N1561" s="17" t="s">
        <v>4041</v>
      </c>
      <c r="O1561" s="17">
        <v>3.1655185E7</v>
      </c>
      <c r="P1561" s="17"/>
      <c r="Q1561" s="17" t="s">
        <v>112</v>
      </c>
      <c r="R1561" s="17"/>
      <c r="S1561" s="17" t="s">
        <v>112</v>
      </c>
      <c r="U1561" s="24"/>
      <c r="V1561" s="24"/>
      <c r="W1561" s="18" t="s">
        <v>915</v>
      </c>
    </row>
    <row r="1562">
      <c r="A1562" s="11"/>
      <c r="B1562" s="12" t="s">
        <v>7</v>
      </c>
      <c r="C1562" s="12" t="s">
        <v>8</v>
      </c>
      <c r="D1562" s="12" t="s">
        <v>15</v>
      </c>
      <c r="E1562" s="12" t="s">
        <v>15</v>
      </c>
      <c r="F1562" s="13" t="s">
        <v>16</v>
      </c>
      <c r="G1562" s="12" t="s">
        <v>68</v>
      </c>
      <c r="H1562" s="12" t="s">
        <v>928</v>
      </c>
      <c r="I1562" s="12" t="s">
        <v>929</v>
      </c>
      <c r="J1562" s="17" t="s">
        <v>2796</v>
      </c>
      <c r="K1562" s="18" t="s">
        <v>4040</v>
      </c>
      <c r="L1562" s="20">
        <v>45953.0</v>
      </c>
      <c r="M1562" s="17" t="s">
        <v>28</v>
      </c>
      <c r="N1562" s="17" t="s">
        <v>4042</v>
      </c>
      <c r="O1562" s="17">
        <v>7.230569E7</v>
      </c>
      <c r="P1562" s="17"/>
      <c r="Q1562" s="17" t="s">
        <v>108</v>
      </c>
      <c r="R1562" s="17"/>
      <c r="S1562" s="17" t="s">
        <v>108</v>
      </c>
      <c r="U1562" s="24"/>
      <c r="V1562" s="24"/>
      <c r="W1562" s="18" t="s">
        <v>915</v>
      </c>
    </row>
    <row r="1563">
      <c r="A1563" s="11"/>
      <c r="B1563" s="12" t="s">
        <v>7</v>
      </c>
      <c r="C1563" s="12" t="s">
        <v>8</v>
      </c>
      <c r="D1563" s="12" t="s">
        <v>15</v>
      </c>
      <c r="E1563" s="12" t="s">
        <v>15</v>
      </c>
      <c r="F1563" s="13" t="s">
        <v>16</v>
      </c>
      <c r="G1563" s="12" t="s">
        <v>68</v>
      </c>
      <c r="H1563" s="12" t="s">
        <v>928</v>
      </c>
      <c r="I1563" s="12" t="s">
        <v>929</v>
      </c>
      <c r="J1563" s="17" t="s">
        <v>2796</v>
      </c>
      <c r="K1563" s="18" t="s">
        <v>4040</v>
      </c>
      <c r="L1563" s="20">
        <v>45953.0</v>
      </c>
      <c r="M1563" s="17" t="s">
        <v>28</v>
      </c>
      <c r="N1563" s="17" t="s">
        <v>3539</v>
      </c>
      <c r="O1563" s="17">
        <v>4.1510125E7</v>
      </c>
      <c r="P1563" s="17"/>
      <c r="Q1563" s="17" t="s">
        <v>112</v>
      </c>
      <c r="R1563" s="17"/>
      <c r="S1563" s="17" t="s">
        <v>112</v>
      </c>
      <c r="U1563" s="24"/>
      <c r="V1563" s="24"/>
      <c r="W1563" s="18" t="s">
        <v>915</v>
      </c>
    </row>
    <row r="1564">
      <c r="A1564" s="11"/>
      <c r="B1564" s="12" t="s">
        <v>7</v>
      </c>
      <c r="C1564" s="12" t="s">
        <v>8</v>
      </c>
      <c r="D1564" s="12" t="s">
        <v>15</v>
      </c>
      <c r="E1564" s="12" t="s">
        <v>15</v>
      </c>
      <c r="F1564" s="13" t="s">
        <v>16</v>
      </c>
      <c r="G1564" s="12" t="s">
        <v>68</v>
      </c>
      <c r="H1564" s="12" t="s">
        <v>928</v>
      </c>
      <c r="I1564" s="12" t="s">
        <v>929</v>
      </c>
      <c r="J1564" s="17" t="s">
        <v>2796</v>
      </c>
      <c r="K1564" s="18" t="s">
        <v>4040</v>
      </c>
      <c r="L1564" s="20">
        <v>45953.0</v>
      </c>
      <c r="M1564" s="17" t="s">
        <v>28</v>
      </c>
      <c r="N1564" s="17" t="s">
        <v>3807</v>
      </c>
      <c r="O1564" s="17">
        <v>7.0115443E7</v>
      </c>
      <c r="P1564" s="17"/>
      <c r="Q1564" s="17" t="s">
        <v>112</v>
      </c>
      <c r="R1564" s="17"/>
      <c r="S1564" s="17" t="s">
        <v>112</v>
      </c>
      <c r="U1564" s="24"/>
      <c r="V1564" s="24"/>
      <c r="W1564" s="18" t="s">
        <v>915</v>
      </c>
    </row>
    <row r="1565">
      <c r="A1565" s="11"/>
      <c r="B1565" s="12" t="s">
        <v>7</v>
      </c>
      <c r="C1565" s="12" t="s">
        <v>8</v>
      </c>
      <c r="D1565" s="12" t="s">
        <v>15</v>
      </c>
      <c r="E1565" s="12" t="s">
        <v>15</v>
      </c>
      <c r="F1565" s="13" t="s">
        <v>16</v>
      </c>
      <c r="G1565" s="12" t="s">
        <v>68</v>
      </c>
      <c r="H1565" s="12" t="s">
        <v>928</v>
      </c>
      <c r="I1565" s="12" t="s">
        <v>929</v>
      </c>
      <c r="J1565" s="17" t="s">
        <v>2796</v>
      </c>
      <c r="K1565" s="18" t="s">
        <v>4040</v>
      </c>
      <c r="L1565" s="20">
        <v>45953.0</v>
      </c>
      <c r="M1565" s="17" t="s">
        <v>28</v>
      </c>
      <c r="N1565" s="17" t="s">
        <v>4043</v>
      </c>
      <c r="O1565" s="17">
        <v>4.4663709E7</v>
      </c>
      <c r="P1565" s="17"/>
      <c r="Q1565" s="17" t="s">
        <v>108</v>
      </c>
      <c r="R1565" s="17"/>
      <c r="S1565" s="17" t="s">
        <v>108</v>
      </c>
      <c r="U1565" s="24"/>
      <c r="V1565" s="24"/>
      <c r="W1565" s="18" t="s">
        <v>915</v>
      </c>
    </row>
    <row r="1566">
      <c r="A1566" s="11"/>
      <c r="B1566" s="12" t="s">
        <v>7</v>
      </c>
      <c r="C1566" s="12" t="s">
        <v>8</v>
      </c>
      <c r="D1566" s="12" t="s">
        <v>15</v>
      </c>
      <c r="E1566" s="12" t="s">
        <v>15</v>
      </c>
      <c r="F1566" s="13" t="s">
        <v>16</v>
      </c>
      <c r="G1566" s="12" t="s">
        <v>68</v>
      </c>
      <c r="H1566" s="12" t="s">
        <v>928</v>
      </c>
      <c r="I1566" s="12" t="s">
        <v>929</v>
      </c>
      <c r="J1566" s="17" t="s">
        <v>2796</v>
      </c>
      <c r="K1566" s="18" t="s">
        <v>4040</v>
      </c>
      <c r="L1566" s="20">
        <v>45953.0</v>
      </c>
      <c r="M1566" s="17" t="s">
        <v>28</v>
      </c>
      <c r="N1566" s="17" t="s">
        <v>4044</v>
      </c>
      <c r="O1566" s="17">
        <v>4.5986634E7</v>
      </c>
      <c r="P1566" s="17"/>
      <c r="Q1566" s="17" t="s">
        <v>73</v>
      </c>
      <c r="R1566" s="17"/>
      <c r="S1566" s="17" t="s">
        <v>73</v>
      </c>
      <c r="U1566" s="24"/>
      <c r="V1566" s="24"/>
      <c r="W1566" s="18" t="s">
        <v>915</v>
      </c>
    </row>
    <row r="1567">
      <c r="A1567" s="11"/>
      <c r="B1567" s="12" t="s">
        <v>7</v>
      </c>
      <c r="C1567" s="12" t="s">
        <v>8</v>
      </c>
      <c r="D1567" s="12" t="s">
        <v>15</v>
      </c>
      <c r="E1567" s="12" t="s">
        <v>15</v>
      </c>
      <c r="F1567" s="13" t="s">
        <v>16</v>
      </c>
      <c r="G1567" s="12" t="s">
        <v>68</v>
      </c>
      <c r="H1567" s="12" t="s">
        <v>928</v>
      </c>
      <c r="I1567" s="12" t="s">
        <v>929</v>
      </c>
      <c r="J1567" s="17" t="s">
        <v>2796</v>
      </c>
      <c r="K1567" s="18" t="s">
        <v>4040</v>
      </c>
      <c r="L1567" s="20">
        <v>45953.0</v>
      </c>
      <c r="M1567" s="17" t="s">
        <v>28</v>
      </c>
      <c r="N1567" s="17" t="s">
        <v>4045</v>
      </c>
      <c r="O1567" s="17">
        <v>4.185287E7</v>
      </c>
      <c r="P1567" s="17"/>
      <c r="Q1567" s="17" t="s">
        <v>73</v>
      </c>
      <c r="R1567" s="17"/>
      <c r="S1567" s="17" t="s">
        <v>73</v>
      </c>
      <c r="U1567" s="24"/>
      <c r="V1567" s="24"/>
      <c r="W1567" s="18" t="s">
        <v>915</v>
      </c>
    </row>
    <row r="1568">
      <c r="A1568" s="11"/>
      <c r="B1568" s="12" t="s">
        <v>7</v>
      </c>
      <c r="C1568" s="12" t="s">
        <v>8</v>
      </c>
      <c r="D1568" s="12" t="s">
        <v>15</v>
      </c>
      <c r="E1568" s="12" t="s">
        <v>15</v>
      </c>
      <c r="F1568" s="13" t="s">
        <v>16</v>
      </c>
      <c r="G1568" s="12" t="s">
        <v>68</v>
      </c>
      <c r="H1568" s="12" t="s">
        <v>928</v>
      </c>
      <c r="I1568" s="12" t="s">
        <v>929</v>
      </c>
      <c r="J1568" s="17" t="s">
        <v>2796</v>
      </c>
      <c r="K1568" s="18" t="s">
        <v>4040</v>
      </c>
      <c r="L1568" s="20">
        <v>45953.0</v>
      </c>
      <c r="M1568" s="17" t="s">
        <v>28</v>
      </c>
      <c r="N1568" s="17" t="s">
        <v>4046</v>
      </c>
      <c r="O1568" s="17">
        <v>3.1928442E7</v>
      </c>
      <c r="P1568" s="17"/>
      <c r="Q1568" s="17" t="s">
        <v>73</v>
      </c>
      <c r="R1568" s="17"/>
      <c r="S1568" s="17" t="s">
        <v>73</v>
      </c>
      <c r="U1568" s="24"/>
      <c r="V1568" s="24"/>
      <c r="W1568" s="18" t="s">
        <v>915</v>
      </c>
    </row>
    <row r="1569">
      <c r="A1569" s="11"/>
      <c r="B1569" s="12" t="s">
        <v>7</v>
      </c>
      <c r="C1569" s="12" t="s">
        <v>8</v>
      </c>
      <c r="D1569" s="12" t="s">
        <v>15</v>
      </c>
      <c r="E1569" s="12" t="s">
        <v>15</v>
      </c>
      <c r="F1569" s="13" t="s">
        <v>16</v>
      </c>
      <c r="G1569" s="12" t="s">
        <v>68</v>
      </c>
      <c r="H1569" s="12" t="s">
        <v>928</v>
      </c>
      <c r="I1569" s="12" t="s">
        <v>929</v>
      </c>
      <c r="J1569" s="17" t="s">
        <v>2796</v>
      </c>
      <c r="K1569" s="18" t="s">
        <v>4040</v>
      </c>
      <c r="L1569" s="20">
        <v>45953.0</v>
      </c>
      <c r="M1569" s="17" t="s">
        <v>28</v>
      </c>
      <c r="N1569" s="17" t="s">
        <v>3540</v>
      </c>
      <c r="O1569" s="17">
        <v>7.166571E7</v>
      </c>
      <c r="P1569" s="17"/>
      <c r="Q1569" s="17" t="s">
        <v>112</v>
      </c>
      <c r="R1569" s="17"/>
      <c r="S1569" s="17" t="s">
        <v>112</v>
      </c>
      <c r="U1569" s="24"/>
      <c r="V1569" s="24"/>
      <c r="W1569" s="18" t="s">
        <v>915</v>
      </c>
    </row>
    <row r="1570">
      <c r="A1570" s="11"/>
      <c r="B1570" s="12" t="s">
        <v>7</v>
      </c>
      <c r="C1570" s="12" t="s">
        <v>8</v>
      </c>
      <c r="D1570" s="12" t="s">
        <v>15</v>
      </c>
      <c r="E1570" s="12" t="s">
        <v>15</v>
      </c>
      <c r="F1570" s="13" t="s">
        <v>16</v>
      </c>
      <c r="G1570" s="12" t="s">
        <v>68</v>
      </c>
      <c r="H1570" s="12" t="s">
        <v>928</v>
      </c>
      <c r="I1570" s="12" t="s">
        <v>929</v>
      </c>
      <c r="J1570" s="17" t="s">
        <v>2796</v>
      </c>
      <c r="K1570" s="18" t="s">
        <v>4040</v>
      </c>
      <c r="L1570" s="20">
        <v>45953.0</v>
      </c>
      <c r="M1570" s="17" t="s">
        <v>28</v>
      </c>
      <c r="N1570" s="17" t="s">
        <v>4047</v>
      </c>
      <c r="O1570" s="17">
        <v>7.0571358E7</v>
      </c>
      <c r="P1570" s="17"/>
      <c r="Q1570" s="17" t="s">
        <v>108</v>
      </c>
      <c r="R1570" s="17"/>
      <c r="S1570" s="17" t="s">
        <v>108</v>
      </c>
      <c r="U1570" s="24"/>
      <c r="V1570" s="24"/>
      <c r="W1570" s="18" t="s">
        <v>915</v>
      </c>
    </row>
    <row r="1571">
      <c r="A1571" s="11"/>
      <c r="B1571" s="12" t="s">
        <v>7</v>
      </c>
      <c r="C1571" s="12" t="s">
        <v>8</v>
      </c>
      <c r="D1571" s="12" t="s">
        <v>15</v>
      </c>
      <c r="E1571" s="12" t="s">
        <v>17</v>
      </c>
      <c r="F1571" s="13" t="s">
        <v>18</v>
      </c>
      <c r="G1571" s="12" t="s">
        <v>68</v>
      </c>
      <c r="H1571" s="12" t="s">
        <v>954</v>
      </c>
      <c r="I1571" s="12" t="s">
        <v>955</v>
      </c>
      <c r="J1571" s="17" t="s">
        <v>2796</v>
      </c>
      <c r="K1571" s="18" t="s">
        <v>4040</v>
      </c>
      <c r="L1571" s="20">
        <v>45950.0</v>
      </c>
      <c r="M1571" s="17" t="s">
        <v>28</v>
      </c>
      <c r="N1571" s="17" t="s">
        <v>4048</v>
      </c>
      <c r="O1571" s="17">
        <v>7.6646031E7</v>
      </c>
      <c r="P1571" s="17" t="s">
        <v>4049</v>
      </c>
      <c r="Q1571" s="17" t="s">
        <v>112</v>
      </c>
      <c r="R1571" s="17"/>
      <c r="S1571" s="17" t="s">
        <v>4050</v>
      </c>
      <c r="U1571" s="24"/>
      <c r="V1571" s="24"/>
      <c r="W1571" s="18" t="s">
        <v>915</v>
      </c>
    </row>
    <row r="1572">
      <c r="A1572" s="11"/>
      <c r="B1572" s="12" t="s">
        <v>7</v>
      </c>
      <c r="C1572" s="12" t="s">
        <v>8</v>
      </c>
      <c r="D1572" s="12" t="s">
        <v>15</v>
      </c>
      <c r="E1572" s="12" t="s">
        <v>17</v>
      </c>
      <c r="F1572" s="13" t="s">
        <v>18</v>
      </c>
      <c r="G1572" s="12" t="s">
        <v>68</v>
      </c>
      <c r="H1572" s="12" t="s">
        <v>954</v>
      </c>
      <c r="I1572" s="12" t="s">
        <v>955</v>
      </c>
      <c r="J1572" s="17" t="s">
        <v>2796</v>
      </c>
      <c r="K1572" s="18" t="s">
        <v>4040</v>
      </c>
      <c r="L1572" s="20">
        <v>45950.0</v>
      </c>
      <c r="M1572" s="17" t="s">
        <v>28</v>
      </c>
      <c r="N1572" s="17" t="s">
        <v>2274</v>
      </c>
      <c r="O1572" s="17">
        <v>4.0377537E7</v>
      </c>
      <c r="P1572" s="17" t="s">
        <v>4051</v>
      </c>
      <c r="Q1572" s="17" t="s">
        <v>112</v>
      </c>
      <c r="R1572" s="17"/>
      <c r="S1572" s="17" t="s">
        <v>4052</v>
      </c>
      <c r="U1572" s="24"/>
      <c r="V1572" s="24"/>
      <c r="W1572" s="18" t="s">
        <v>915</v>
      </c>
    </row>
    <row r="1573">
      <c r="A1573" s="11"/>
      <c r="B1573" s="12" t="s">
        <v>7</v>
      </c>
      <c r="C1573" s="12" t="s">
        <v>8</v>
      </c>
      <c r="D1573" s="12" t="s">
        <v>15</v>
      </c>
      <c r="E1573" s="12" t="s">
        <v>17</v>
      </c>
      <c r="F1573" s="13" t="s">
        <v>18</v>
      </c>
      <c r="G1573" s="12" t="s">
        <v>68</v>
      </c>
      <c r="H1573" s="12" t="s">
        <v>954</v>
      </c>
      <c r="I1573" s="12" t="s">
        <v>955</v>
      </c>
      <c r="J1573" s="17" t="s">
        <v>2796</v>
      </c>
      <c r="K1573" s="18" t="s">
        <v>4040</v>
      </c>
      <c r="L1573" s="20">
        <v>45950.0</v>
      </c>
      <c r="M1573" s="17" t="s">
        <v>28</v>
      </c>
      <c r="N1573" s="17" t="s">
        <v>4053</v>
      </c>
      <c r="O1573" s="17">
        <v>4.3321862E7</v>
      </c>
      <c r="P1573" s="17" t="s">
        <v>2077</v>
      </c>
      <c r="Q1573" s="17" t="s">
        <v>108</v>
      </c>
      <c r="R1573" s="17"/>
      <c r="S1573" s="17" t="s">
        <v>4054</v>
      </c>
      <c r="U1573" s="24"/>
      <c r="V1573" s="24"/>
      <c r="W1573" s="18" t="s">
        <v>915</v>
      </c>
    </row>
    <row r="1574">
      <c r="A1574" s="11"/>
      <c r="B1574" s="12" t="s">
        <v>7</v>
      </c>
      <c r="C1574" s="12" t="s">
        <v>8</v>
      </c>
      <c r="D1574" s="12" t="s">
        <v>15</v>
      </c>
      <c r="E1574" s="12" t="s">
        <v>17</v>
      </c>
      <c r="F1574" s="13" t="s">
        <v>18</v>
      </c>
      <c r="G1574" s="12" t="s">
        <v>68</v>
      </c>
      <c r="H1574" s="12" t="s">
        <v>954</v>
      </c>
      <c r="I1574" s="12" t="s">
        <v>955</v>
      </c>
      <c r="J1574" s="17" t="s">
        <v>2796</v>
      </c>
      <c r="K1574" s="18" t="s">
        <v>4040</v>
      </c>
      <c r="L1574" s="20">
        <v>45950.0</v>
      </c>
      <c r="M1574" s="17" t="s">
        <v>28</v>
      </c>
      <c r="N1574" s="17" t="s">
        <v>4055</v>
      </c>
      <c r="O1574" s="17">
        <v>4.1790226E7</v>
      </c>
      <c r="P1574" s="17" t="s">
        <v>2077</v>
      </c>
      <c r="Q1574" s="17" t="s">
        <v>108</v>
      </c>
      <c r="R1574" s="17"/>
      <c r="S1574" s="17" t="s">
        <v>4054</v>
      </c>
      <c r="U1574" s="24"/>
      <c r="V1574" s="24"/>
      <c r="W1574" s="18" t="s">
        <v>915</v>
      </c>
    </row>
    <row r="1575">
      <c r="A1575" s="11"/>
      <c r="B1575" s="12" t="s">
        <v>7</v>
      </c>
      <c r="C1575" s="12" t="s">
        <v>8</v>
      </c>
      <c r="D1575" s="12" t="s">
        <v>9</v>
      </c>
      <c r="E1575" s="12" t="s">
        <v>10</v>
      </c>
      <c r="F1575" s="13" t="s">
        <v>11</v>
      </c>
      <c r="G1575" s="12" t="s">
        <v>68</v>
      </c>
      <c r="H1575" s="12" t="s">
        <v>911</v>
      </c>
      <c r="I1575" s="12" t="s">
        <v>912</v>
      </c>
      <c r="J1575" s="17" t="s">
        <v>2796</v>
      </c>
      <c r="K1575" s="18" t="s">
        <v>4040</v>
      </c>
      <c r="L1575" s="20">
        <v>45952.0</v>
      </c>
      <c r="M1575" s="17" t="s">
        <v>28</v>
      </c>
      <c r="N1575" s="17" t="s">
        <v>4056</v>
      </c>
      <c r="O1575" s="17">
        <v>7.54682E7</v>
      </c>
      <c r="P1575" s="17" t="s">
        <v>4057</v>
      </c>
      <c r="Q1575" s="17" t="s">
        <v>73</v>
      </c>
      <c r="R1575" s="17"/>
      <c r="S1575" s="17" t="s">
        <v>4058</v>
      </c>
      <c r="U1575" s="24"/>
      <c r="V1575" s="24"/>
      <c r="W1575" s="18" t="s">
        <v>915</v>
      </c>
    </row>
    <row r="1576">
      <c r="A1576" s="11"/>
      <c r="B1576" s="12" t="s">
        <v>7</v>
      </c>
      <c r="C1576" s="12" t="s">
        <v>8</v>
      </c>
      <c r="D1576" s="12" t="s">
        <v>9</v>
      </c>
      <c r="E1576" s="12" t="s">
        <v>10</v>
      </c>
      <c r="F1576" s="13" t="s">
        <v>11</v>
      </c>
      <c r="G1576" s="12" t="s">
        <v>68</v>
      </c>
      <c r="H1576" s="12" t="s">
        <v>911</v>
      </c>
      <c r="I1576" s="12" t="s">
        <v>912</v>
      </c>
      <c r="J1576" s="17" t="s">
        <v>2796</v>
      </c>
      <c r="K1576" s="18" t="s">
        <v>4040</v>
      </c>
      <c r="L1576" s="20">
        <v>45952.0</v>
      </c>
      <c r="M1576" s="17" t="s">
        <v>28</v>
      </c>
      <c r="N1576" s="17" t="s">
        <v>4059</v>
      </c>
      <c r="O1576" s="17">
        <v>3.1925852E7</v>
      </c>
      <c r="P1576" s="17" t="s">
        <v>4060</v>
      </c>
      <c r="Q1576" s="17" t="s">
        <v>73</v>
      </c>
      <c r="R1576" s="17"/>
      <c r="S1576" s="17" t="s">
        <v>4061</v>
      </c>
      <c r="U1576" s="24"/>
      <c r="V1576" s="24"/>
      <c r="W1576" s="18" t="s">
        <v>915</v>
      </c>
    </row>
    <row r="1577">
      <c r="A1577" s="11"/>
      <c r="B1577" s="12" t="s">
        <v>7</v>
      </c>
      <c r="C1577" s="12" t="s">
        <v>8</v>
      </c>
      <c r="D1577" s="12" t="s">
        <v>9</v>
      </c>
      <c r="E1577" s="12" t="s">
        <v>10</v>
      </c>
      <c r="F1577" s="13" t="s">
        <v>11</v>
      </c>
      <c r="G1577" s="12" t="s">
        <v>68</v>
      </c>
      <c r="H1577" s="12" t="s">
        <v>911</v>
      </c>
      <c r="I1577" s="12" t="s">
        <v>912</v>
      </c>
      <c r="J1577" s="17" t="s">
        <v>2796</v>
      </c>
      <c r="K1577" s="18" t="s">
        <v>4040</v>
      </c>
      <c r="L1577" s="20">
        <v>45952.0</v>
      </c>
      <c r="M1577" s="17" t="s">
        <v>28</v>
      </c>
      <c r="N1577" s="17" t="s">
        <v>4062</v>
      </c>
      <c r="O1577" s="17">
        <v>6.1626065E7</v>
      </c>
      <c r="P1577" s="17" t="s">
        <v>4063</v>
      </c>
      <c r="Q1577" s="17" t="s">
        <v>73</v>
      </c>
      <c r="R1577" s="17"/>
      <c r="S1577" s="17" t="s">
        <v>4064</v>
      </c>
      <c r="U1577" s="24"/>
      <c r="V1577" s="24"/>
      <c r="W1577" s="18" t="s">
        <v>915</v>
      </c>
    </row>
    <row r="1578">
      <c r="A1578" s="11"/>
      <c r="B1578" s="12" t="s">
        <v>7</v>
      </c>
      <c r="C1578" s="12" t="s">
        <v>8</v>
      </c>
      <c r="D1578" s="12" t="s">
        <v>9</v>
      </c>
      <c r="E1578" s="12" t="s">
        <v>10</v>
      </c>
      <c r="F1578" s="13" t="s">
        <v>11</v>
      </c>
      <c r="G1578" s="12" t="s">
        <v>68</v>
      </c>
      <c r="H1578" s="12" t="s">
        <v>911</v>
      </c>
      <c r="I1578" s="12" t="s">
        <v>912</v>
      </c>
      <c r="J1578" s="17" t="s">
        <v>2796</v>
      </c>
      <c r="K1578" s="18" t="s">
        <v>4040</v>
      </c>
      <c r="L1578" s="20">
        <v>45952.0</v>
      </c>
      <c r="M1578" s="17" t="s">
        <v>28</v>
      </c>
      <c r="N1578" s="17" t="s">
        <v>4065</v>
      </c>
      <c r="O1578" s="17">
        <v>7.2239784E7</v>
      </c>
      <c r="P1578" s="17" t="s">
        <v>4066</v>
      </c>
      <c r="Q1578" s="17" t="s">
        <v>108</v>
      </c>
      <c r="R1578" s="17"/>
      <c r="S1578" s="17" t="s">
        <v>4067</v>
      </c>
      <c r="U1578" s="24"/>
      <c r="V1578" s="24"/>
      <c r="W1578" s="18" t="s">
        <v>915</v>
      </c>
    </row>
    <row r="1579">
      <c r="A1579" s="11"/>
      <c r="B1579" s="12" t="s">
        <v>7</v>
      </c>
      <c r="C1579" s="12" t="s">
        <v>8</v>
      </c>
      <c r="D1579" s="12" t="s">
        <v>9</v>
      </c>
      <c r="E1579" s="12" t="s">
        <v>10</v>
      </c>
      <c r="F1579" s="13" t="s">
        <v>11</v>
      </c>
      <c r="G1579" s="12" t="s">
        <v>68</v>
      </c>
      <c r="H1579" s="12" t="s">
        <v>911</v>
      </c>
      <c r="I1579" s="12" t="s">
        <v>912</v>
      </c>
      <c r="J1579" s="17" t="s">
        <v>2796</v>
      </c>
      <c r="K1579" s="18" t="s">
        <v>4040</v>
      </c>
      <c r="L1579" s="20">
        <v>45952.0</v>
      </c>
      <c r="M1579" s="17" t="s">
        <v>28</v>
      </c>
      <c r="N1579" s="17" t="s">
        <v>4068</v>
      </c>
      <c r="O1579" s="17">
        <v>7.2150266E7</v>
      </c>
      <c r="P1579" s="17" t="s">
        <v>4069</v>
      </c>
      <c r="Q1579" s="17" t="s">
        <v>108</v>
      </c>
      <c r="R1579" s="17"/>
      <c r="S1579" s="17" t="s">
        <v>4070</v>
      </c>
      <c r="U1579" s="24"/>
      <c r="V1579" s="24"/>
      <c r="W1579" s="18" t="s">
        <v>915</v>
      </c>
    </row>
    <row r="1580">
      <c r="A1580" s="11"/>
      <c r="B1580" s="12" t="s">
        <v>7</v>
      </c>
      <c r="C1580" s="12" t="s">
        <v>8</v>
      </c>
      <c r="D1580" s="12" t="s">
        <v>9</v>
      </c>
      <c r="E1580" s="12" t="s">
        <v>10</v>
      </c>
      <c r="F1580" s="13" t="s">
        <v>11</v>
      </c>
      <c r="G1580" s="12" t="s">
        <v>68</v>
      </c>
      <c r="H1580" s="12" t="s">
        <v>911</v>
      </c>
      <c r="I1580" s="12" t="s">
        <v>912</v>
      </c>
      <c r="J1580" s="17" t="s">
        <v>2796</v>
      </c>
      <c r="K1580" s="18" t="s">
        <v>4040</v>
      </c>
      <c r="L1580" s="20">
        <v>45952.0</v>
      </c>
      <c r="M1580" s="17" t="s">
        <v>28</v>
      </c>
      <c r="N1580" s="17" t="s">
        <v>3700</v>
      </c>
      <c r="O1580" s="17">
        <v>1.0691909E7</v>
      </c>
      <c r="P1580" s="17" t="s">
        <v>4071</v>
      </c>
      <c r="Q1580" s="17" t="s">
        <v>108</v>
      </c>
      <c r="R1580" s="17"/>
      <c r="S1580" s="17" t="s">
        <v>4072</v>
      </c>
      <c r="U1580" s="24"/>
      <c r="V1580" s="24"/>
      <c r="W1580" s="18" t="s">
        <v>915</v>
      </c>
    </row>
    <row r="1581">
      <c r="A1581" s="11"/>
      <c r="B1581" s="12" t="s">
        <v>7</v>
      </c>
      <c r="C1581" s="12" t="s">
        <v>8</v>
      </c>
      <c r="D1581" s="12" t="s">
        <v>9</v>
      </c>
      <c r="E1581" s="12" t="s">
        <v>10</v>
      </c>
      <c r="F1581" s="13" t="s">
        <v>11</v>
      </c>
      <c r="G1581" s="12" t="s">
        <v>68</v>
      </c>
      <c r="H1581" s="12" t="s">
        <v>911</v>
      </c>
      <c r="I1581" s="12" t="s">
        <v>912</v>
      </c>
      <c r="J1581" s="17" t="s">
        <v>2796</v>
      </c>
      <c r="K1581" s="18" t="s">
        <v>4040</v>
      </c>
      <c r="L1581" s="20">
        <v>45952.0</v>
      </c>
      <c r="M1581" s="17" t="s">
        <v>28</v>
      </c>
      <c r="N1581" s="17" t="s">
        <v>4073</v>
      </c>
      <c r="O1581" s="17">
        <v>3.1925853E7</v>
      </c>
      <c r="P1581" s="17" t="s">
        <v>3698</v>
      </c>
      <c r="Q1581" s="17" t="s">
        <v>108</v>
      </c>
      <c r="R1581" s="17"/>
      <c r="S1581" s="17" t="s">
        <v>4074</v>
      </c>
      <c r="U1581" s="24"/>
      <c r="V1581" s="24"/>
      <c r="W1581" s="18" t="s">
        <v>915</v>
      </c>
    </row>
    <row r="1582">
      <c r="A1582" s="11"/>
      <c r="B1582" s="12" t="s">
        <v>7</v>
      </c>
      <c r="C1582" s="12" t="s">
        <v>8</v>
      </c>
      <c r="D1582" s="12" t="s">
        <v>9</v>
      </c>
      <c r="E1582" s="12" t="s">
        <v>10</v>
      </c>
      <c r="F1582" s="13" t="s">
        <v>11</v>
      </c>
      <c r="G1582" s="12" t="s">
        <v>68</v>
      </c>
      <c r="H1582" s="12" t="s">
        <v>911</v>
      </c>
      <c r="I1582" s="12" t="s">
        <v>912</v>
      </c>
      <c r="J1582" s="17" t="s">
        <v>2796</v>
      </c>
      <c r="K1582" s="18" t="s">
        <v>4040</v>
      </c>
      <c r="L1582" s="20">
        <v>45952.0</v>
      </c>
      <c r="M1582" s="17" t="s">
        <v>28</v>
      </c>
      <c r="N1582" s="17" t="s">
        <v>2302</v>
      </c>
      <c r="O1582" s="17">
        <v>4.5960059E7</v>
      </c>
      <c r="P1582" s="17" t="s">
        <v>4075</v>
      </c>
      <c r="Q1582" s="17" t="s">
        <v>108</v>
      </c>
      <c r="R1582" s="17"/>
      <c r="S1582" s="17" t="s">
        <v>4076</v>
      </c>
      <c r="U1582" s="24"/>
      <c r="V1582" s="24"/>
      <c r="W1582" s="18" t="s">
        <v>915</v>
      </c>
    </row>
    <row r="1583">
      <c r="A1583" s="11"/>
      <c r="B1583" s="12" t="s">
        <v>7</v>
      </c>
      <c r="C1583" s="12" t="s">
        <v>8</v>
      </c>
      <c r="D1583" s="12" t="s">
        <v>9</v>
      </c>
      <c r="E1583" s="12" t="s">
        <v>10</v>
      </c>
      <c r="F1583" s="13" t="s">
        <v>11</v>
      </c>
      <c r="G1583" s="12" t="s">
        <v>68</v>
      </c>
      <c r="H1583" s="12" t="s">
        <v>911</v>
      </c>
      <c r="I1583" s="12" t="s">
        <v>912</v>
      </c>
      <c r="J1583" s="17" t="s">
        <v>2796</v>
      </c>
      <c r="K1583" s="18" t="s">
        <v>4040</v>
      </c>
      <c r="L1583" s="20">
        <v>45952.0</v>
      </c>
      <c r="M1583" s="17" t="s">
        <v>28</v>
      </c>
      <c r="N1583" s="17" t="s">
        <v>3703</v>
      </c>
      <c r="O1583" s="17">
        <v>7.5107889E7</v>
      </c>
      <c r="P1583" s="17" t="s">
        <v>4077</v>
      </c>
      <c r="Q1583" s="17" t="s">
        <v>108</v>
      </c>
      <c r="R1583" s="17"/>
      <c r="S1583" s="17" t="s">
        <v>4078</v>
      </c>
      <c r="U1583" s="24"/>
      <c r="V1583" s="24"/>
      <c r="W1583" s="18" t="s">
        <v>915</v>
      </c>
    </row>
    <row r="1584">
      <c r="A1584" s="11"/>
      <c r="B1584" s="12" t="s">
        <v>7</v>
      </c>
      <c r="C1584" s="12" t="s">
        <v>8</v>
      </c>
      <c r="D1584" s="12" t="s">
        <v>9</v>
      </c>
      <c r="E1584" s="12" t="s">
        <v>10</v>
      </c>
      <c r="F1584" s="13" t="s">
        <v>11</v>
      </c>
      <c r="G1584" s="12" t="s">
        <v>68</v>
      </c>
      <c r="H1584" s="12" t="s">
        <v>911</v>
      </c>
      <c r="I1584" s="12" t="s">
        <v>912</v>
      </c>
      <c r="J1584" s="17" t="s">
        <v>2796</v>
      </c>
      <c r="K1584" s="18" t="s">
        <v>4040</v>
      </c>
      <c r="L1584" s="20">
        <v>45952.0</v>
      </c>
      <c r="M1584" s="17" t="s">
        <v>28</v>
      </c>
      <c r="N1584" s="17" t="s">
        <v>4079</v>
      </c>
      <c r="O1584" s="17">
        <v>4.7589512E7</v>
      </c>
      <c r="P1584" s="17" t="s">
        <v>4080</v>
      </c>
      <c r="Q1584" s="17" t="s">
        <v>112</v>
      </c>
      <c r="R1584" s="17"/>
      <c r="S1584" s="17" t="s">
        <v>4081</v>
      </c>
      <c r="U1584" s="24"/>
      <c r="V1584" s="24"/>
      <c r="W1584" s="18" t="s">
        <v>915</v>
      </c>
    </row>
    <row r="1585">
      <c r="A1585" s="11"/>
      <c r="B1585" s="12" t="s">
        <v>7</v>
      </c>
      <c r="C1585" s="12" t="s">
        <v>8</v>
      </c>
      <c r="D1585" s="12" t="s">
        <v>9</v>
      </c>
      <c r="E1585" s="12" t="s">
        <v>10</v>
      </c>
      <c r="F1585" s="13" t="s">
        <v>11</v>
      </c>
      <c r="G1585" s="12" t="s">
        <v>68</v>
      </c>
      <c r="H1585" s="12" t="s">
        <v>911</v>
      </c>
      <c r="I1585" s="12" t="s">
        <v>912</v>
      </c>
      <c r="J1585" s="17" t="s">
        <v>2796</v>
      </c>
      <c r="K1585" s="18" t="s">
        <v>4040</v>
      </c>
      <c r="L1585" s="20">
        <v>45952.0</v>
      </c>
      <c r="M1585" s="17" t="s">
        <v>28</v>
      </c>
      <c r="N1585" s="17" t="s">
        <v>4082</v>
      </c>
      <c r="O1585" s="17">
        <v>4.6912082E7</v>
      </c>
      <c r="P1585" s="17" t="s">
        <v>4083</v>
      </c>
      <c r="Q1585" s="17" t="s">
        <v>112</v>
      </c>
      <c r="R1585" s="17"/>
      <c r="S1585" s="17" t="s">
        <v>4084</v>
      </c>
      <c r="U1585" s="24"/>
      <c r="V1585" s="24"/>
      <c r="W1585" s="18" t="s">
        <v>915</v>
      </c>
    </row>
    <row r="1586">
      <c r="A1586" s="11"/>
      <c r="B1586" s="12" t="s">
        <v>7</v>
      </c>
      <c r="C1586" s="12" t="s">
        <v>8</v>
      </c>
      <c r="D1586" s="12" t="s">
        <v>9</v>
      </c>
      <c r="E1586" s="12" t="s">
        <v>10</v>
      </c>
      <c r="F1586" s="13" t="s">
        <v>11</v>
      </c>
      <c r="G1586" s="12" t="s">
        <v>68</v>
      </c>
      <c r="H1586" s="12" t="s">
        <v>911</v>
      </c>
      <c r="I1586" s="12" t="s">
        <v>912</v>
      </c>
      <c r="J1586" s="17" t="s">
        <v>2796</v>
      </c>
      <c r="K1586" s="18" t="s">
        <v>4040</v>
      </c>
      <c r="L1586" s="20">
        <v>45952.0</v>
      </c>
      <c r="M1586" s="17" t="s">
        <v>28</v>
      </c>
      <c r="N1586" s="17" t="s">
        <v>3688</v>
      </c>
      <c r="O1586" s="17">
        <v>4.227457E7</v>
      </c>
      <c r="P1586" s="17" t="s">
        <v>4085</v>
      </c>
      <c r="Q1586" s="17" t="s">
        <v>73</v>
      </c>
      <c r="R1586" s="17"/>
      <c r="S1586" s="17" t="s">
        <v>4086</v>
      </c>
      <c r="U1586" s="24"/>
      <c r="V1586" s="24"/>
      <c r="W1586" s="18" t="s">
        <v>915</v>
      </c>
    </row>
    <row r="1587">
      <c r="A1587" s="11"/>
      <c r="B1587" s="12" t="s">
        <v>7</v>
      </c>
      <c r="C1587" s="12" t="s">
        <v>8</v>
      </c>
      <c r="D1587" s="12" t="s">
        <v>9</v>
      </c>
      <c r="E1587" s="12" t="s">
        <v>10</v>
      </c>
      <c r="F1587" s="13" t="s">
        <v>11</v>
      </c>
      <c r="G1587" s="12" t="s">
        <v>68</v>
      </c>
      <c r="H1587" s="12" t="s">
        <v>911</v>
      </c>
      <c r="I1587" s="12" t="s">
        <v>912</v>
      </c>
      <c r="J1587" s="17" t="s">
        <v>2796</v>
      </c>
      <c r="K1587" s="18" t="s">
        <v>4040</v>
      </c>
      <c r="L1587" s="20">
        <v>45952.0</v>
      </c>
      <c r="M1587" s="17" t="s">
        <v>28</v>
      </c>
      <c r="N1587" s="17" t="s">
        <v>2299</v>
      </c>
      <c r="O1587" s="17">
        <v>7.1397433E7</v>
      </c>
      <c r="P1587" s="17" t="s">
        <v>3673</v>
      </c>
      <c r="Q1587" s="17" t="s">
        <v>112</v>
      </c>
      <c r="R1587" s="17"/>
      <c r="S1587" s="17" t="s">
        <v>4087</v>
      </c>
      <c r="U1587" s="24"/>
      <c r="V1587" s="24"/>
      <c r="W1587" s="18" t="s">
        <v>915</v>
      </c>
    </row>
    <row r="1588">
      <c r="A1588" s="11"/>
      <c r="B1588" s="12" t="s">
        <v>7</v>
      </c>
      <c r="C1588" s="12" t="s">
        <v>8</v>
      </c>
      <c r="D1588" s="12" t="s">
        <v>9</v>
      </c>
      <c r="E1588" s="12" t="s">
        <v>10</v>
      </c>
      <c r="F1588" s="13" t="s">
        <v>11</v>
      </c>
      <c r="G1588" s="12" t="s">
        <v>68</v>
      </c>
      <c r="H1588" s="12" t="s">
        <v>911</v>
      </c>
      <c r="I1588" s="12" t="s">
        <v>912</v>
      </c>
      <c r="J1588" s="17" t="s">
        <v>2796</v>
      </c>
      <c r="K1588" s="18" t="s">
        <v>4040</v>
      </c>
      <c r="L1588" s="20">
        <v>45952.0</v>
      </c>
      <c r="M1588" s="17" t="s">
        <v>28</v>
      </c>
      <c r="N1588" s="17" t="s">
        <v>4088</v>
      </c>
      <c r="O1588" s="17">
        <v>3.1677083E7</v>
      </c>
      <c r="P1588" s="17" t="s">
        <v>4089</v>
      </c>
      <c r="Q1588" s="17" t="s">
        <v>112</v>
      </c>
      <c r="R1588" s="17"/>
      <c r="S1588" s="17" t="s">
        <v>4090</v>
      </c>
      <c r="U1588" s="24"/>
      <c r="V1588" s="24"/>
      <c r="W1588" s="18" t="s">
        <v>915</v>
      </c>
    </row>
    <row r="1589">
      <c r="A1589" s="11"/>
      <c r="B1589" s="12" t="s">
        <v>7</v>
      </c>
      <c r="C1589" s="12" t="s">
        <v>8</v>
      </c>
      <c r="D1589" s="12" t="s">
        <v>9</v>
      </c>
      <c r="E1589" s="12" t="s">
        <v>10</v>
      </c>
      <c r="F1589" s="13" t="s">
        <v>11</v>
      </c>
      <c r="G1589" s="12" t="s">
        <v>68</v>
      </c>
      <c r="H1589" s="12" t="s">
        <v>911</v>
      </c>
      <c r="I1589" s="12" t="s">
        <v>912</v>
      </c>
      <c r="J1589" s="17" t="s">
        <v>2796</v>
      </c>
      <c r="K1589" s="18" t="s">
        <v>4040</v>
      </c>
      <c r="L1589" s="20">
        <v>45952.0</v>
      </c>
      <c r="M1589" s="17" t="s">
        <v>23</v>
      </c>
      <c r="N1589" s="17" t="s">
        <v>4091</v>
      </c>
      <c r="O1589" s="17">
        <v>4.6444871E7</v>
      </c>
      <c r="P1589" s="17"/>
      <c r="Q1589" s="17" t="s">
        <v>73</v>
      </c>
      <c r="R1589" s="17"/>
      <c r="S1589" s="17" t="s">
        <v>73</v>
      </c>
      <c r="U1589" s="24"/>
      <c r="V1589" s="24"/>
      <c r="W1589" s="18" t="s">
        <v>915</v>
      </c>
    </row>
    <row r="1590">
      <c r="A1590" s="11"/>
      <c r="B1590" s="12" t="s">
        <v>7</v>
      </c>
      <c r="C1590" s="12" t="s">
        <v>8</v>
      </c>
      <c r="D1590" s="12" t="s">
        <v>15</v>
      </c>
      <c r="E1590" s="12" t="s">
        <v>21</v>
      </c>
      <c r="F1590" s="13" t="s">
        <v>19</v>
      </c>
      <c r="G1590" s="12" t="s">
        <v>68</v>
      </c>
      <c r="H1590" s="12" t="s">
        <v>968</v>
      </c>
      <c r="I1590" s="12" t="s">
        <v>969</v>
      </c>
      <c r="J1590" s="17" t="s">
        <v>2796</v>
      </c>
      <c r="K1590" s="18" t="s">
        <v>4040</v>
      </c>
      <c r="L1590" s="20">
        <v>45953.0</v>
      </c>
      <c r="M1590" s="17" t="s">
        <v>28</v>
      </c>
      <c r="N1590" s="17" t="s">
        <v>3670</v>
      </c>
      <c r="O1590" s="17">
        <v>7.1652366E7</v>
      </c>
      <c r="P1590" s="17"/>
      <c r="Q1590" s="17"/>
      <c r="R1590" s="17"/>
      <c r="S1590" s="17"/>
      <c r="U1590" s="24"/>
      <c r="V1590" s="24"/>
      <c r="W1590" s="18" t="s">
        <v>915</v>
      </c>
    </row>
    <row r="1591">
      <c r="A1591" s="11"/>
      <c r="B1591" s="12" t="s">
        <v>7</v>
      </c>
      <c r="C1591" s="12" t="s">
        <v>8</v>
      </c>
      <c r="D1591" s="12" t="s">
        <v>15</v>
      </c>
      <c r="E1591" s="12" t="s">
        <v>21</v>
      </c>
      <c r="F1591" s="13" t="s">
        <v>19</v>
      </c>
      <c r="G1591" s="12" t="s">
        <v>68</v>
      </c>
      <c r="H1591" s="12" t="s">
        <v>968</v>
      </c>
      <c r="I1591" s="12" t="s">
        <v>969</v>
      </c>
      <c r="J1591" s="17" t="s">
        <v>2796</v>
      </c>
      <c r="K1591" s="18" t="s">
        <v>4040</v>
      </c>
      <c r="L1591" s="20">
        <v>45953.0</v>
      </c>
      <c r="M1591" s="17" t="s">
        <v>28</v>
      </c>
      <c r="N1591" s="17" t="s">
        <v>4092</v>
      </c>
      <c r="O1591" s="17">
        <v>4.6962682E7</v>
      </c>
      <c r="P1591" s="17" t="s">
        <v>4093</v>
      </c>
      <c r="Q1591" s="17"/>
      <c r="R1591" s="17"/>
      <c r="S1591" s="17" t="s">
        <v>4093</v>
      </c>
      <c r="U1591" s="24"/>
      <c r="V1591" s="24"/>
      <c r="W1591" s="18" t="s">
        <v>915</v>
      </c>
    </row>
    <row r="1592">
      <c r="A1592" s="11"/>
      <c r="B1592" s="12" t="s">
        <v>7</v>
      </c>
      <c r="C1592" s="12" t="s">
        <v>8</v>
      </c>
      <c r="D1592" s="12" t="s">
        <v>15</v>
      </c>
      <c r="E1592" s="12" t="s">
        <v>21</v>
      </c>
      <c r="F1592" s="13" t="s">
        <v>19</v>
      </c>
      <c r="G1592" s="12" t="s">
        <v>68</v>
      </c>
      <c r="H1592" s="12" t="s">
        <v>968</v>
      </c>
      <c r="I1592" s="12" t="s">
        <v>969</v>
      </c>
      <c r="J1592" s="17" t="s">
        <v>2796</v>
      </c>
      <c r="K1592" s="18" t="s">
        <v>4040</v>
      </c>
      <c r="L1592" s="20">
        <v>45953.0</v>
      </c>
      <c r="M1592" s="17" t="s">
        <v>28</v>
      </c>
      <c r="N1592" s="17" t="s">
        <v>3655</v>
      </c>
      <c r="O1592" s="17">
        <v>4.4308537E7</v>
      </c>
      <c r="P1592" s="17" t="s">
        <v>4094</v>
      </c>
      <c r="Q1592" s="17"/>
      <c r="R1592" s="17"/>
      <c r="S1592" s="17" t="s">
        <v>4095</v>
      </c>
      <c r="U1592" s="24"/>
      <c r="V1592" s="24"/>
      <c r="W1592" s="18" t="s">
        <v>915</v>
      </c>
    </row>
    <row r="1593">
      <c r="A1593" s="11"/>
      <c r="B1593" s="12" t="s">
        <v>7</v>
      </c>
      <c r="C1593" s="12" t="s">
        <v>8</v>
      </c>
      <c r="D1593" s="12" t="s">
        <v>15</v>
      </c>
      <c r="E1593" s="12" t="s">
        <v>21</v>
      </c>
      <c r="F1593" s="13" t="s">
        <v>19</v>
      </c>
      <c r="G1593" s="12" t="s">
        <v>68</v>
      </c>
      <c r="H1593" s="12" t="s">
        <v>968</v>
      </c>
      <c r="I1593" s="12" t="s">
        <v>969</v>
      </c>
      <c r="J1593" s="17" t="s">
        <v>2796</v>
      </c>
      <c r="K1593" s="18" t="s">
        <v>4040</v>
      </c>
      <c r="L1593" s="20">
        <v>45953.0</v>
      </c>
      <c r="M1593" s="17" t="s">
        <v>28</v>
      </c>
      <c r="N1593" s="17" t="s">
        <v>2284</v>
      </c>
      <c r="O1593" s="17">
        <v>4.1945018E7</v>
      </c>
      <c r="P1593" s="17" t="s">
        <v>4096</v>
      </c>
      <c r="Q1593" s="17"/>
      <c r="R1593" s="17"/>
      <c r="S1593" s="17" t="s">
        <v>4097</v>
      </c>
      <c r="U1593" s="24"/>
      <c r="V1593" s="24"/>
      <c r="W1593" s="18" t="s">
        <v>915</v>
      </c>
    </row>
    <row r="1594">
      <c r="A1594" s="11"/>
      <c r="B1594" s="12" t="s">
        <v>7</v>
      </c>
      <c r="C1594" s="12" t="s">
        <v>8</v>
      </c>
      <c r="D1594" s="12" t="s">
        <v>15</v>
      </c>
      <c r="E1594" s="12" t="s">
        <v>21</v>
      </c>
      <c r="F1594" s="13" t="s">
        <v>19</v>
      </c>
      <c r="G1594" s="12" t="s">
        <v>68</v>
      </c>
      <c r="H1594" s="12" t="s">
        <v>968</v>
      </c>
      <c r="I1594" s="12" t="s">
        <v>969</v>
      </c>
      <c r="J1594" s="17" t="s">
        <v>2796</v>
      </c>
      <c r="K1594" s="18" t="s">
        <v>4040</v>
      </c>
      <c r="L1594" s="20">
        <v>45953.0</v>
      </c>
      <c r="M1594" s="17" t="s">
        <v>28</v>
      </c>
      <c r="N1594" s="17" t="s">
        <v>2285</v>
      </c>
      <c r="O1594" s="17">
        <v>7.1933696E7</v>
      </c>
      <c r="P1594" s="17" t="s">
        <v>4098</v>
      </c>
      <c r="Q1594" s="17"/>
      <c r="R1594" s="17"/>
      <c r="S1594" s="17" t="s">
        <v>4099</v>
      </c>
      <c r="U1594" s="24"/>
      <c r="V1594" s="24"/>
      <c r="W1594" s="18" t="s">
        <v>915</v>
      </c>
    </row>
    <row r="1595">
      <c r="A1595" s="11"/>
      <c r="B1595" s="12" t="s">
        <v>7</v>
      </c>
      <c r="C1595" s="12" t="s">
        <v>8</v>
      </c>
      <c r="D1595" s="12" t="s">
        <v>15</v>
      </c>
      <c r="E1595" s="12" t="s">
        <v>21</v>
      </c>
      <c r="F1595" s="13" t="s">
        <v>19</v>
      </c>
      <c r="G1595" s="12" t="s">
        <v>68</v>
      </c>
      <c r="H1595" s="12" t="s">
        <v>968</v>
      </c>
      <c r="I1595" s="12" t="s">
        <v>969</v>
      </c>
      <c r="J1595" s="17" t="s">
        <v>2796</v>
      </c>
      <c r="K1595" s="18" t="s">
        <v>4040</v>
      </c>
      <c r="L1595" s="20">
        <v>45953.0</v>
      </c>
      <c r="M1595" s="17" t="s">
        <v>28</v>
      </c>
      <c r="N1595" s="17" t="s">
        <v>4100</v>
      </c>
      <c r="O1595" s="17">
        <v>7.2037949E7</v>
      </c>
      <c r="P1595" s="17" t="s">
        <v>4101</v>
      </c>
      <c r="Q1595" s="17"/>
      <c r="R1595" s="17"/>
      <c r="S1595" s="17" t="s">
        <v>4102</v>
      </c>
      <c r="U1595" s="24"/>
      <c r="V1595" s="24"/>
      <c r="W1595" s="18" t="s">
        <v>915</v>
      </c>
    </row>
    <row r="1596">
      <c r="A1596" s="11"/>
      <c r="B1596" s="12" t="s">
        <v>7</v>
      </c>
      <c r="C1596" s="12" t="s">
        <v>8</v>
      </c>
      <c r="D1596" s="12" t="s">
        <v>15</v>
      </c>
      <c r="E1596" s="12" t="s">
        <v>21</v>
      </c>
      <c r="F1596" s="13" t="s">
        <v>19</v>
      </c>
      <c r="G1596" s="12" t="s">
        <v>68</v>
      </c>
      <c r="H1596" s="12" t="s">
        <v>968</v>
      </c>
      <c r="I1596" s="12" t="s">
        <v>969</v>
      </c>
      <c r="J1596" s="17" t="s">
        <v>2796</v>
      </c>
      <c r="K1596" s="18" t="s">
        <v>4040</v>
      </c>
      <c r="L1596" s="20">
        <v>45953.0</v>
      </c>
      <c r="M1596" s="17" t="s">
        <v>28</v>
      </c>
      <c r="N1596" s="17" t="s">
        <v>3816</v>
      </c>
      <c r="O1596" s="17">
        <v>4.4474801E7</v>
      </c>
      <c r="P1596" s="17" t="s">
        <v>4103</v>
      </c>
      <c r="Q1596" s="17"/>
      <c r="R1596" s="17"/>
      <c r="S1596" s="17" t="s">
        <v>4104</v>
      </c>
      <c r="U1596" s="24"/>
      <c r="V1596" s="24"/>
      <c r="W1596" s="18" t="s">
        <v>915</v>
      </c>
    </row>
    <row r="1597">
      <c r="A1597" s="11"/>
      <c r="B1597" s="12" t="s">
        <v>7</v>
      </c>
      <c r="C1597" s="12" t="s">
        <v>8</v>
      </c>
      <c r="D1597" s="12" t="s">
        <v>15</v>
      </c>
      <c r="E1597" s="12" t="s">
        <v>21</v>
      </c>
      <c r="F1597" s="13" t="s">
        <v>19</v>
      </c>
      <c r="G1597" s="12" t="s">
        <v>68</v>
      </c>
      <c r="H1597" s="12" t="s">
        <v>968</v>
      </c>
      <c r="I1597" s="12" t="s">
        <v>969</v>
      </c>
      <c r="J1597" s="17" t="s">
        <v>2796</v>
      </c>
      <c r="K1597" s="18" t="s">
        <v>4040</v>
      </c>
      <c r="L1597" s="20">
        <v>45953.0</v>
      </c>
      <c r="M1597" s="17" t="s">
        <v>28</v>
      </c>
      <c r="N1597" s="17" t="s">
        <v>3656</v>
      </c>
      <c r="O1597" s="17">
        <v>7.1933694E7</v>
      </c>
      <c r="P1597" s="17" t="s">
        <v>4105</v>
      </c>
      <c r="Q1597" s="17"/>
      <c r="R1597" s="17"/>
      <c r="S1597" s="17" t="s">
        <v>4106</v>
      </c>
      <c r="U1597" s="24"/>
      <c r="V1597" s="24"/>
      <c r="W1597" s="18" t="s">
        <v>915</v>
      </c>
    </row>
    <row r="1598">
      <c r="A1598" s="11"/>
      <c r="B1598" s="12" t="s">
        <v>7</v>
      </c>
      <c r="C1598" s="12" t="s">
        <v>8</v>
      </c>
      <c r="D1598" s="12" t="s">
        <v>15</v>
      </c>
      <c r="E1598" s="12" t="s">
        <v>21</v>
      </c>
      <c r="F1598" s="13" t="s">
        <v>19</v>
      </c>
      <c r="G1598" s="12" t="s">
        <v>68</v>
      </c>
      <c r="H1598" s="12" t="s">
        <v>968</v>
      </c>
      <c r="I1598" s="12" t="s">
        <v>969</v>
      </c>
      <c r="J1598" s="17" t="s">
        <v>2796</v>
      </c>
      <c r="K1598" s="18" t="s">
        <v>4040</v>
      </c>
      <c r="L1598" s="20">
        <v>45953.0</v>
      </c>
      <c r="M1598" s="17" t="s">
        <v>28</v>
      </c>
      <c r="N1598" s="17" t="s">
        <v>2289</v>
      </c>
      <c r="O1598" s="17">
        <v>7.6452769E7</v>
      </c>
      <c r="P1598" s="17" t="s">
        <v>4107</v>
      </c>
      <c r="Q1598" s="17"/>
      <c r="R1598" s="17"/>
      <c r="S1598" s="17" t="s">
        <v>4108</v>
      </c>
      <c r="U1598" s="24"/>
      <c r="V1598" s="24"/>
      <c r="W1598" s="18" t="s">
        <v>915</v>
      </c>
    </row>
    <row r="1599">
      <c r="A1599" s="11"/>
      <c r="B1599" s="12" t="s">
        <v>7</v>
      </c>
      <c r="C1599" s="12" t="s">
        <v>8</v>
      </c>
      <c r="D1599" s="12" t="s">
        <v>15</v>
      </c>
      <c r="E1599" s="12" t="s">
        <v>21</v>
      </c>
      <c r="F1599" s="13" t="s">
        <v>19</v>
      </c>
      <c r="G1599" s="12" t="s">
        <v>68</v>
      </c>
      <c r="H1599" s="12" t="s">
        <v>968</v>
      </c>
      <c r="I1599" s="12" t="s">
        <v>969</v>
      </c>
      <c r="J1599" s="17" t="s">
        <v>2796</v>
      </c>
      <c r="K1599" s="18" t="s">
        <v>4040</v>
      </c>
      <c r="L1599" s="20">
        <v>45953.0</v>
      </c>
      <c r="M1599" s="17" t="s">
        <v>28</v>
      </c>
      <c r="N1599" s="17" t="s">
        <v>2290</v>
      </c>
      <c r="O1599" s="17">
        <v>7.6844742E7</v>
      </c>
      <c r="P1599" s="17" t="s">
        <v>4109</v>
      </c>
      <c r="Q1599" s="17"/>
      <c r="R1599" s="17"/>
      <c r="S1599" s="17" t="s">
        <v>4110</v>
      </c>
      <c r="U1599" s="24"/>
      <c r="V1599" s="24"/>
      <c r="W1599" s="18" t="s">
        <v>915</v>
      </c>
    </row>
    <row r="1600">
      <c r="A1600" s="11"/>
      <c r="B1600" s="12" t="s">
        <v>7</v>
      </c>
      <c r="C1600" s="12" t="s">
        <v>8</v>
      </c>
      <c r="D1600" s="12" t="s">
        <v>15</v>
      </c>
      <c r="E1600" s="12" t="s">
        <v>21</v>
      </c>
      <c r="F1600" s="13" t="s">
        <v>19</v>
      </c>
      <c r="G1600" s="12" t="s">
        <v>68</v>
      </c>
      <c r="H1600" s="12" t="s">
        <v>968</v>
      </c>
      <c r="I1600" s="12" t="s">
        <v>969</v>
      </c>
      <c r="J1600" s="17" t="s">
        <v>2796</v>
      </c>
      <c r="K1600" s="18" t="s">
        <v>4040</v>
      </c>
      <c r="L1600" s="20">
        <v>45953.0</v>
      </c>
      <c r="M1600" s="17" t="s">
        <v>28</v>
      </c>
      <c r="N1600" s="17" t="s">
        <v>3817</v>
      </c>
      <c r="O1600" s="17">
        <v>7.5268779E7</v>
      </c>
      <c r="P1600" s="17" t="s">
        <v>4111</v>
      </c>
      <c r="Q1600" s="17"/>
      <c r="R1600" s="17"/>
      <c r="S1600" s="17" t="s">
        <v>4112</v>
      </c>
      <c r="U1600" s="24"/>
      <c r="V1600" s="24"/>
      <c r="W1600" s="18" t="s">
        <v>915</v>
      </c>
    </row>
    <row r="1601">
      <c r="A1601" s="11"/>
      <c r="B1601" s="12" t="s">
        <v>7</v>
      </c>
      <c r="C1601" s="12" t="s">
        <v>8</v>
      </c>
      <c r="D1601" s="12" t="s">
        <v>15</v>
      </c>
      <c r="E1601" s="12" t="s">
        <v>21</v>
      </c>
      <c r="F1601" s="13" t="s">
        <v>19</v>
      </c>
      <c r="G1601" s="12" t="s">
        <v>68</v>
      </c>
      <c r="H1601" s="12" t="s">
        <v>968</v>
      </c>
      <c r="I1601" s="12" t="s">
        <v>969</v>
      </c>
      <c r="J1601" s="17" t="s">
        <v>2796</v>
      </c>
      <c r="K1601" s="18" t="s">
        <v>4040</v>
      </c>
      <c r="L1601" s="20">
        <v>45953.0</v>
      </c>
      <c r="M1601" s="17" t="s">
        <v>28</v>
      </c>
      <c r="N1601" s="17" t="s">
        <v>3818</v>
      </c>
      <c r="O1601" s="17">
        <v>4.1420205E7</v>
      </c>
      <c r="P1601" s="17" t="s">
        <v>4113</v>
      </c>
      <c r="Q1601" s="17"/>
      <c r="R1601" s="17"/>
      <c r="S1601" s="17" t="s">
        <v>4113</v>
      </c>
      <c r="U1601" s="24"/>
      <c r="V1601" s="24"/>
      <c r="W1601" s="18" t="s">
        <v>915</v>
      </c>
    </row>
    <row r="1602">
      <c r="A1602" s="11"/>
      <c r="B1602" s="12" t="s">
        <v>7</v>
      </c>
      <c r="C1602" s="12" t="s">
        <v>8</v>
      </c>
      <c r="D1602" s="12" t="s">
        <v>15</v>
      </c>
      <c r="E1602" s="12" t="s">
        <v>21</v>
      </c>
      <c r="F1602" s="13" t="s">
        <v>19</v>
      </c>
      <c r="G1602" s="12" t="s">
        <v>68</v>
      </c>
      <c r="H1602" s="12" t="s">
        <v>968</v>
      </c>
      <c r="I1602" s="12" t="s">
        <v>969</v>
      </c>
      <c r="J1602" s="17" t="s">
        <v>2796</v>
      </c>
      <c r="K1602" s="18" t="s">
        <v>4040</v>
      </c>
      <c r="L1602" s="20">
        <v>45953.0</v>
      </c>
      <c r="M1602" s="17" t="s">
        <v>28</v>
      </c>
      <c r="N1602" s="17" t="s">
        <v>2294</v>
      </c>
      <c r="O1602" s="17">
        <v>7.0827937E7</v>
      </c>
      <c r="P1602" s="17" t="s">
        <v>4114</v>
      </c>
      <c r="Q1602" s="17"/>
      <c r="R1602" s="17"/>
      <c r="S1602" s="17" t="s">
        <v>4115</v>
      </c>
      <c r="U1602" s="24"/>
      <c r="V1602" s="24"/>
      <c r="W1602" s="18" t="s">
        <v>915</v>
      </c>
    </row>
    <row r="1603">
      <c r="A1603" s="11"/>
      <c r="B1603" s="12" t="s">
        <v>7</v>
      </c>
      <c r="C1603" s="12" t="s">
        <v>8</v>
      </c>
      <c r="D1603" s="12" t="s">
        <v>15</v>
      </c>
      <c r="E1603" s="12" t="s">
        <v>21</v>
      </c>
      <c r="F1603" s="13" t="s">
        <v>19</v>
      </c>
      <c r="G1603" s="12" t="s">
        <v>68</v>
      </c>
      <c r="H1603" s="12" t="s">
        <v>968</v>
      </c>
      <c r="I1603" s="12" t="s">
        <v>969</v>
      </c>
      <c r="J1603" s="17" t="s">
        <v>2796</v>
      </c>
      <c r="K1603" s="18" t="s">
        <v>4040</v>
      </c>
      <c r="L1603" s="20">
        <v>45953.0</v>
      </c>
      <c r="M1603" s="17" t="s">
        <v>28</v>
      </c>
      <c r="N1603" s="17" t="s">
        <v>2295</v>
      </c>
      <c r="O1603" s="17">
        <v>7.203794E7</v>
      </c>
      <c r="P1603" s="17" t="s">
        <v>4116</v>
      </c>
      <c r="Q1603" s="17"/>
      <c r="R1603" s="17"/>
      <c r="S1603" s="17" t="s">
        <v>4117</v>
      </c>
      <c r="U1603" s="24"/>
      <c r="V1603" s="24"/>
      <c r="W1603" s="18" t="s">
        <v>915</v>
      </c>
    </row>
    <row r="1604">
      <c r="A1604" s="11"/>
      <c r="B1604" s="12" t="s">
        <v>7</v>
      </c>
      <c r="C1604" s="12" t="s">
        <v>8</v>
      </c>
      <c r="D1604" s="12" t="s">
        <v>15</v>
      </c>
      <c r="E1604" s="12" t="s">
        <v>21</v>
      </c>
      <c r="F1604" s="13" t="s">
        <v>19</v>
      </c>
      <c r="G1604" s="12" t="s">
        <v>68</v>
      </c>
      <c r="H1604" s="12" t="s">
        <v>968</v>
      </c>
      <c r="I1604" s="12" t="s">
        <v>969</v>
      </c>
      <c r="J1604" s="17" t="s">
        <v>2796</v>
      </c>
      <c r="K1604" s="18" t="s">
        <v>4040</v>
      </c>
      <c r="L1604" s="20">
        <v>45953.0</v>
      </c>
      <c r="M1604" s="17" t="s">
        <v>28</v>
      </c>
      <c r="N1604" s="17" t="s">
        <v>2296</v>
      </c>
      <c r="O1604" s="17">
        <v>4.0508884E7</v>
      </c>
      <c r="P1604" s="17"/>
      <c r="Q1604" s="17"/>
      <c r="R1604" s="17"/>
      <c r="S1604" s="17"/>
      <c r="U1604" s="24"/>
      <c r="V1604" s="24"/>
      <c r="W1604" s="18" t="s">
        <v>915</v>
      </c>
    </row>
    <row r="1605">
      <c r="A1605" s="11"/>
      <c r="B1605" s="12" t="s">
        <v>7</v>
      </c>
      <c r="C1605" s="12" t="s">
        <v>8</v>
      </c>
      <c r="D1605" s="12" t="s">
        <v>15</v>
      </c>
      <c r="E1605" s="12" t="s">
        <v>21</v>
      </c>
      <c r="F1605" s="13" t="s">
        <v>19</v>
      </c>
      <c r="G1605" s="12" t="s">
        <v>68</v>
      </c>
      <c r="H1605" s="12" t="s">
        <v>968</v>
      </c>
      <c r="I1605" s="12" t="s">
        <v>969</v>
      </c>
      <c r="J1605" s="17" t="s">
        <v>2796</v>
      </c>
      <c r="K1605" s="18" t="s">
        <v>4040</v>
      </c>
      <c r="L1605" s="20">
        <v>45953.0</v>
      </c>
      <c r="M1605" s="17" t="s">
        <v>28</v>
      </c>
      <c r="N1605" s="17" t="s">
        <v>3665</v>
      </c>
      <c r="O1605" s="17">
        <v>7.080889E7</v>
      </c>
      <c r="P1605" s="17" t="s">
        <v>4118</v>
      </c>
      <c r="Q1605" s="17"/>
      <c r="R1605" s="17"/>
      <c r="S1605" s="17" t="s">
        <v>4119</v>
      </c>
      <c r="U1605" s="24"/>
      <c r="V1605" s="24"/>
      <c r="W1605" s="18" t="s">
        <v>915</v>
      </c>
    </row>
    <row r="1606">
      <c r="A1606" s="11"/>
      <c r="B1606" s="12" t="s">
        <v>7</v>
      </c>
      <c r="C1606" s="12" t="s">
        <v>8</v>
      </c>
      <c r="D1606" s="12" t="s">
        <v>15</v>
      </c>
      <c r="E1606" s="12" t="s">
        <v>21</v>
      </c>
      <c r="F1606" s="13" t="s">
        <v>19</v>
      </c>
      <c r="G1606" s="12" t="s">
        <v>68</v>
      </c>
      <c r="H1606" s="12" t="s">
        <v>968</v>
      </c>
      <c r="I1606" s="12" t="s">
        <v>969</v>
      </c>
      <c r="J1606" s="17" t="s">
        <v>2796</v>
      </c>
      <c r="K1606" s="18" t="s">
        <v>4040</v>
      </c>
      <c r="L1606" s="20">
        <v>45953.0</v>
      </c>
      <c r="M1606" s="17" t="s">
        <v>28</v>
      </c>
      <c r="N1606" s="17" t="s">
        <v>2288</v>
      </c>
      <c r="O1606" s="17">
        <v>7.6447489E7</v>
      </c>
      <c r="P1606" s="17" t="s">
        <v>4120</v>
      </c>
      <c r="Q1606" s="17"/>
      <c r="R1606" s="17"/>
      <c r="S1606" s="17" t="s">
        <v>4121</v>
      </c>
      <c r="U1606" s="24"/>
      <c r="V1606" s="24"/>
      <c r="W1606" s="18" t="s">
        <v>915</v>
      </c>
    </row>
    <row r="1607">
      <c r="A1607" s="11"/>
      <c r="B1607" s="12" t="s">
        <v>34</v>
      </c>
      <c r="C1607" s="12" t="s">
        <v>65</v>
      </c>
      <c r="D1607" s="12" t="s">
        <v>43</v>
      </c>
      <c r="E1607" s="12" t="s">
        <v>224</v>
      </c>
      <c r="F1607" s="13" t="s">
        <v>225</v>
      </c>
      <c r="G1607" s="12" t="s">
        <v>68</v>
      </c>
      <c r="H1607" s="12" t="s">
        <v>226</v>
      </c>
      <c r="I1607" s="12" t="s">
        <v>227</v>
      </c>
      <c r="J1607" s="17" t="s">
        <v>2800</v>
      </c>
      <c r="K1607" s="18">
        <v>9.0</v>
      </c>
      <c r="L1607" s="20">
        <v>45953.0</v>
      </c>
      <c r="M1607" s="17" t="s">
        <v>28</v>
      </c>
      <c r="N1607" s="9" t="s">
        <v>3061</v>
      </c>
      <c r="O1607" s="17">
        <v>4.544537E7</v>
      </c>
      <c r="P1607" s="17" t="s">
        <v>3062</v>
      </c>
      <c r="Q1607" s="17" t="s">
        <v>108</v>
      </c>
      <c r="R1607" s="17" t="s">
        <v>109</v>
      </c>
      <c r="S1607" s="17" t="s">
        <v>3597</v>
      </c>
      <c r="U1607" s="24"/>
      <c r="V1607" s="24"/>
      <c r="W1607" s="18" t="s">
        <v>76</v>
      </c>
    </row>
    <row r="1608">
      <c r="A1608" s="11"/>
      <c r="B1608" s="12" t="s">
        <v>34</v>
      </c>
      <c r="C1608" s="12" t="s">
        <v>65</v>
      </c>
      <c r="D1608" s="12" t="s">
        <v>43</v>
      </c>
      <c r="E1608" s="12" t="s">
        <v>224</v>
      </c>
      <c r="F1608" s="13" t="s">
        <v>225</v>
      </c>
      <c r="G1608" s="12" t="s">
        <v>68</v>
      </c>
      <c r="H1608" s="12" t="s">
        <v>226</v>
      </c>
      <c r="I1608" s="12" t="s">
        <v>227</v>
      </c>
      <c r="J1608" s="17" t="s">
        <v>2800</v>
      </c>
      <c r="K1608" s="18">
        <v>9.0</v>
      </c>
      <c r="L1608" s="20">
        <v>45953.0</v>
      </c>
      <c r="M1608" s="17" t="s">
        <v>28</v>
      </c>
      <c r="N1608" s="17" t="s">
        <v>4122</v>
      </c>
      <c r="O1608" s="135" t="s">
        <v>4123</v>
      </c>
      <c r="P1608" s="17" t="s">
        <v>4124</v>
      </c>
      <c r="Q1608" s="17" t="s">
        <v>73</v>
      </c>
      <c r="R1608" s="17" t="s">
        <v>74</v>
      </c>
      <c r="S1608" s="17" t="s">
        <v>4125</v>
      </c>
      <c r="U1608" s="24"/>
      <c r="V1608" s="24"/>
      <c r="W1608" s="18" t="s">
        <v>76</v>
      </c>
    </row>
    <row r="1609">
      <c r="A1609" s="11"/>
      <c r="B1609" s="12" t="s">
        <v>34</v>
      </c>
      <c r="C1609" s="12" t="s">
        <v>65</v>
      </c>
      <c r="D1609" s="12" t="s">
        <v>43</v>
      </c>
      <c r="E1609" s="12" t="s">
        <v>224</v>
      </c>
      <c r="F1609" s="13" t="s">
        <v>225</v>
      </c>
      <c r="G1609" s="12" t="s">
        <v>68</v>
      </c>
      <c r="H1609" s="12" t="s">
        <v>226</v>
      </c>
      <c r="I1609" s="12" t="s">
        <v>227</v>
      </c>
      <c r="J1609" s="17" t="s">
        <v>2800</v>
      </c>
      <c r="K1609" s="18">
        <v>9.0</v>
      </c>
      <c r="L1609" s="20">
        <v>45953.0</v>
      </c>
      <c r="M1609" s="17" t="s">
        <v>28</v>
      </c>
      <c r="N1609" s="17" t="s">
        <v>3551</v>
      </c>
      <c r="O1609" s="17">
        <v>4.8264395E7</v>
      </c>
      <c r="P1609" s="17" t="s">
        <v>3552</v>
      </c>
      <c r="Q1609" s="17" t="s">
        <v>73</v>
      </c>
      <c r="R1609" s="17" t="s">
        <v>74</v>
      </c>
      <c r="S1609" s="17" t="s">
        <v>3553</v>
      </c>
      <c r="U1609" s="24"/>
      <c r="V1609" s="24"/>
      <c r="W1609" s="18" t="s">
        <v>76</v>
      </c>
    </row>
    <row r="1610">
      <c r="A1610" s="11"/>
      <c r="B1610" s="12" t="s">
        <v>34</v>
      </c>
      <c r="C1610" s="12" t="s">
        <v>65</v>
      </c>
      <c r="D1610" s="12" t="s">
        <v>43</v>
      </c>
      <c r="E1610" s="12" t="s">
        <v>224</v>
      </c>
      <c r="F1610" s="13" t="s">
        <v>225</v>
      </c>
      <c r="G1610" s="12" t="s">
        <v>68</v>
      </c>
      <c r="H1610" s="12" t="s">
        <v>226</v>
      </c>
      <c r="I1610" s="12" t="s">
        <v>227</v>
      </c>
      <c r="J1610" s="17" t="s">
        <v>2800</v>
      </c>
      <c r="K1610" s="18">
        <v>9.0</v>
      </c>
      <c r="L1610" s="20">
        <v>45953.0</v>
      </c>
      <c r="M1610" s="17" t="s">
        <v>28</v>
      </c>
      <c r="N1610" s="17" t="s">
        <v>3021</v>
      </c>
      <c r="O1610" s="17">
        <v>4.8762263E7</v>
      </c>
      <c r="P1610" s="17" t="s">
        <v>3022</v>
      </c>
      <c r="Q1610" s="17" t="s">
        <v>73</v>
      </c>
      <c r="R1610" s="17" t="s">
        <v>74</v>
      </c>
      <c r="S1610" s="17" t="s">
        <v>4126</v>
      </c>
      <c r="U1610" s="24"/>
      <c r="V1610" s="24"/>
      <c r="W1610" s="18" t="s">
        <v>76</v>
      </c>
    </row>
    <row r="1611">
      <c r="A1611" s="11"/>
      <c r="B1611" s="12" t="s">
        <v>34</v>
      </c>
      <c r="C1611" s="12" t="s">
        <v>65</v>
      </c>
      <c r="D1611" s="12" t="s">
        <v>43</v>
      </c>
      <c r="E1611" s="12" t="s">
        <v>224</v>
      </c>
      <c r="F1611" s="13" t="s">
        <v>225</v>
      </c>
      <c r="G1611" s="12" t="s">
        <v>68</v>
      </c>
      <c r="H1611" s="12" t="s">
        <v>226</v>
      </c>
      <c r="I1611" s="12" t="s">
        <v>227</v>
      </c>
      <c r="J1611" s="17" t="s">
        <v>2800</v>
      </c>
      <c r="K1611" s="18">
        <v>9.0</v>
      </c>
      <c r="L1611" s="20">
        <v>45953.0</v>
      </c>
      <c r="M1611" s="17" t="s">
        <v>28</v>
      </c>
      <c r="N1611" s="9" t="s">
        <v>3079</v>
      </c>
      <c r="O1611" s="17">
        <v>4.4754591E7</v>
      </c>
      <c r="P1611" s="17" t="s">
        <v>3080</v>
      </c>
      <c r="Q1611" s="17" t="s">
        <v>108</v>
      </c>
      <c r="R1611" s="17" t="s">
        <v>109</v>
      </c>
      <c r="S1611" s="17" t="s">
        <v>3792</v>
      </c>
      <c r="U1611" s="24"/>
      <c r="V1611" s="24"/>
      <c r="W1611" s="18" t="s">
        <v>76</v>
      </c>
    </row>
    <row r="1612">
      <c r="A1612" s="11"/>
      <c r="B1612" s="12" t="s">
        <v>34</v>
      </c>
      <c r="C1612" s="12" t="s">
        <v>65</v>
      </c>
      <c r="D1612" s="12" t="s">
        <v>43</v>
      </c>
      <c r="E1612" s="12" t="s">
        <v>224</v>
      </c>
      <c r="F1612" s="13" t="s">
        <v>225</v>
      </c>
      <c r="G1612" s="12" t="s">
        <v>68</v>
      </c>
      <c r="H1612" s="12" t="s">
        <v>226</v>
      </c>
      <c r="I1612" s="12" t="s">
        <v>227</v>
      </c>
      <c r="J1612" s="17" t="s">
        <v>2800</v>
      </c>
      <c r="K1612" s="18">
        <v>9.0</v>
      </c>
      <c r="L1612" s="20">
        <v>45953.0</v>
      </c>
      <c r="M1612" s="17" t="s">
        <v>28</v>
      </c>
      <c r="N1612" s="17" t="s">
        <v>3800</v>
      </c>
      <c r="O1612" s="17">
        <v>4.519337E7</v>
      </c>
      <c r="P1612" s="17" t="s">
        <v>3801</v>
      </c>
      <c r="Q1612" s="17" t="s">
        <v>112</v>
      </c>
      <c r="R1612" s="17" t="s">
        <v>113</v>
      </c>
      <c r="S1612" s="17" t="s">
        <v>3802</v>
      </c>
      <c r="U1612" s="24"/>
      <c r="V1612" s="24"/>
      <c r="W1612" s="18" t="s">
        <v>76</v>
      </c>
    </row>
    <row r="1613">
      <c r="A1613" s="11"/>
      <c r="B1613" s="12" t="s">
        <v>34</v>
      </c>
      <c r="C1613" s="12" t="s">
        <v>65</v>
      </c>
      <c r="D1613" s="12" t="s">
        <v>43</v>
      </c>
      <c r="E1613" s="12" t="s">
        <v>224</v>
      </c>
      <c r="F1613" s="13" t="s">
        <v>225</v>
      </c>
      <c r="G1613" s="12" t="s">
        <v>68</v>
      </c>
      <c r="H1613" s="12" t="s">
        <v>226</v>
      </c>
      <c r="I1613" s="12" t="s">
        <v>227</v>
      </c>
      <c r="J1613" s="17" t="s">
        <v>2800</v>
      </c>
      <c r="K1613" s="18">
        <v>9.0</v>
      </c>
      <c r="L1613" s="20">
        <v>45953.0</v>
      </c>
      <c r="M1613" s="17" t="s">
        <v>28</v>
      </c>
      <c r="N1613" s="17" t="s">
        <v>4127</v>
      </c>
      <c r="O1613" s="17">
        <v>4.5259636E7</v>
      </c>
      <c r="P1613" s="17" t="s">
        <v>4128</v>
      </c>
      <c r="Q1613" s="17" t="s">
        <v>112</v>
      </c>
      <c r="R1613" s="17" t="s">
        <v>113</v>
      </c>
      <c r="S1613" s="17" t="s">
        <v>4129</v>
      </c>
      <c r="U1613" s="24"/>
      <c r="V1613" s="24"/>
      <c r="W1613" s="18" t="s">
        <v>76</v>
      </c>
    </row>
    <row r="1614">
      <c r="A1614" s="11"/>
      <c r="B1614" s="12" t="s">
        <v>34</v>
      </c>
      <c r="C1614" s="12" t="s">
        <v>65</v>
      </c>
      <c r="D1614" s="12" t="s">
        <v>43</v>
      </c>
      <c r="E1614" s="12" t="s">
        <v>224</v>
      </c>
      <c r="F1614" s="13" t="s">
        <v>225</v>
      </c>
      <c r="G1614" s="12" t="s">
        <v>68</v>
      </c>
      <c r="H1614" s="12" t="s">
        <v>226</v>
      </c>
      <c r="I1614" s="12" t="s">
        <v>227</v>
      </c>
      <c r="J1614" s="17" t="s">
        <v>2800</v>
      </c>
      <c r="K1614" s="18">
        <v>9.0</v>
      </c>
      <c r="L1614" s="20">
        <v>45953.0</v>
      </c>
      <c r="M1614" s="17" t="s">
        <v>28</v>
      </c>
      <c r="N1614" s="17" t="s">
        <v>4130</v>
      </c>
      <c r="O1614" s="17">
        <v>4.5672779E7</v>
      </c>
      <c r="P1614" s="17" t="s">
        <v>3102</v>
      </c>
      <c r="Q1614" s="17" t="s">
        <v>108</v>
      </c>
      <c r="R1614" s="17" t="s">
        <v>109</v>
      </c>
      <c r="S1614" s="17" t="s">
        <v>3592</v>
      </c>
      <c r="U1614" s="24"/>
      <c r="V1614" s="24"/>
      <c r="W1614" s="18" t="s">
        <v>76</v>
      </c>
    </row>
    <row r="1615">
      <c r="A1615" s="11"/>
      <c r="B1615" s="23"/>
      <c r="C1615" s="23"/>
      <c r="D1615" s="23"/>
      <c r="E1615" s="23"/>
      <c r="F1615" s="13" t="s">
        <v>225</v>
      </c>
      <c r="G1615" s="23"/>
      <c r="H1615" s="23"/>
      <c r="I1615" s="23"/>
      <c r="J1615" s="17" t="s">
        <v>2800</v>
      </c>
      <c r="K1615" s="18">
        <v>9.0</v>
      </c>
      <c r="L1615" s="20">
        <v>45953.0</v>
      </c>
      <c r="M1615" s="17" t="s">
        <v>28</v>
      </c>
      <c r="N1615" s="17" t="s">
        <v>3043</v>
      </c>
      <c r="O1615" s="17">
        <v>4.7664575E7</v>
      </c>
      <c r="P1615" s="17" t="s">
        <v>3044</v>
      </c>
      <c r="Q1615" s="17" t="s">
        <v>112</v>
      </c>
      <c r="R1615" s="17" t="s">
        <v>113</v>
      </c>
      <c r="S1615" s="17" t="s">
        <v>3586</v>
      </c>
      <c r="U1615" s="24"/>
      <c r="V1615" s="24"/>
      <c r="W1615" s="18" t="s">
        <v>76</v>
      </c>
    </row>
    <row r="1616">
      <c r="A1616" s="11"/>
      <c r="B1616" s="12" t="s">
        <v>34</v>
      </c>
      <c r="C1616" s="12" t="s">
        <v>65</v>
      </c>
      <c r="D1616" s="12" t="s">
        <v>43</v>
      </c>
      <c r="E1616" s="12" t="s">
        <v>224</v>
      </c>
      <c r="F1616" s="13" t="s">
        <v>225</v>
      </c>
      <c r="G1616" s="12" t="s">
        <v>68</v>
      </c>
      <c r="H1616" s="12" t="s">
        <v>226</v>
      </c>
      <c r="I1616" s="12" t="s">
        <v>227</v>
      </c>
      <c r="J1616" s="17" t="s">
        <v>2800</v>
      </c>
      <c r="K1616" s="18">
        <v>9.0</v>
      </c>
      <c r="L1616" s="20">
        <v>45953.0</v>
      </c>
      <c r="M1616" s="17" t="s">
        <v>28</v>
      </c>
      <c r="N1616" s="17" t="s">
        <v>3073</v>
      </c>
      <c r="O1616" s="17">
        <v>7.2569811E7</v>
      </c>
      <c r="P1616" s="17" t="s">
        <v>3074</v>
      </c>
      <c r="Q1616" s="17" t="s">
        <v>73</v>
      </c>
      <c r="R1616" s="17" t="s">
        <v>74</v>
      </c>
      <c r="S1616" s="17" t="s">
        <v>3582</v>
      </c>
      <c r="U1616" s="24"/>
      <c r="V1616" s="24"/>
      <c r="W1616" s="18" t="s">
        <v>76</v>
      </c>
    </row>
    <row r="1617">
      <c r="A1617" s="11"/>
      <c r="B1617" s="12" t="s">
        <v>34</v>
      </c>
      <c r="C1617" s="12" t="s">
        <v>65</v>
      </c>
      <c r="D1617" s="12" t="s">
        <v>43</v>
      </c>
      <c r="E1617" s="12" t="s">
        <v>224</v>
      </c>
      <c r="F1617" s="13" t="s">
        <v>225</v>
      </c>
      <c r="G1617" s="12" t="s">
        <v>68</v>
      </c>
      <c r="H1617" s="12" t="s">
        <v>226</v>
      </c>
      <c r="I1617" s="12" t="s">
        <v>227</v>
      </c>
      <c r="J1617" s="17" t="s">
        <v>2800</v>
      </c>
      <c r="K1617" s="18">
        <v>9.0</v>
      </c>
      <c r="L1617" s="20">
        <v>45953.0</v>
      </c>
      <c r="M1617" s="17" t="s">
        <v>28</v>
      </c>
      <c r="N1617" s="17" t="s">
        <v>2987</v>
      </c>
      <c r="O1617" s="17">
        <v>7.3489266E7</v>
      </c>
      <c r="P1617" s="16" t="s">
        <v>1523</v>
      </c>
      <c r="Q1617" s="17" t="s">
        <v>112</v>
      </c>
      <c r="R1617" s="17" t="s">
        <v>113</v>
      </c>
      <c r="S1617" s="17" t="s">
        <v>3550</v>
      </c>
      <c r="U1617" s="24"/>
      <c r="V1617" s="24"/>
      <c r="W1617" s="18" t="s">
        <v>76</v>
      </c>
    </row>
    <row r="1618">
      <c r="A1618" s="11"/>
      <c r="B1618" s="12" t="s">
        <v>34</v>
      </c>
      <c r="C1618" s="12" t="s">
        <v>65</v>
      </c>
      <c r="D1618" s="12" t="s">
        <v>43</v>
      </c>
      <c r="E1618" s="12" t="s">
        <v>224</v>
      </c>
      <c r="F1618" s="13" t="s">
        <v>225</v>
      </c>
      <c r="G1618" s="12" t="s">
        <v>68</v>
      </c>
      <c r="H1618" s="12" t="s">
        <v>226</v>
      </c>
      <c r="I1618" s="12" t="s">
        <v>227</v>
      </c>
      <c r="J1618" s="17" t="s">
        <v>2800</v>
      </c>
      <c r="K1618" s="18">
        <v>9.0</v>
      </c>
      <c r="L1618" s="20">
        <v>45953.0</v>
      </c>
      <c r="M1618" s="17" t="s">
        <v>28</v>
      </c>
      <c r="N1618" s="17" t="s">
        <v>4131</v>
      </c>
      <c r="O1618" s="17">
        <v>7.1771163E7</v>
      </c>
      <c r="P1618" s="17"/>
      <c r="Q1618" s="17" t="s">
        <v>112</v>
      </c>
      <c r="R1618" s="17" t="s">
        <v>113</v>
      </c>
      <c r="S1618" s="17" t="s">
        <v>3783</v>
      </c>
      <c r="U1618" s="24"/>
      <c r="V1618" s="24"/>
      <c r="W1618" s="18" t="s">
        <v>76</v>
      </c>
    </row>
    <row r="1619">
      <c r="A1619" s="11"/>
      <c r="B1619" s="12" t="s">
        <v>34</v>
      </c>
      <c r="C1619" s="12" t="s">
        <v>65</v>
      </c>
      <c r="D1619" s="12" t="s">
        <v>43</v>
      </c>
      <c r="E1619" s="12" t="s">
        <v>224</v>
      </c>
      <c r="F1619" s="13" t="s">
        <v>225</v>
      </c>
      <c r="G1619" s="12" t="s">
        <v>68</v>
      </c>
      <c r="H1619" s="12" t="s">
        <v>226</v>
      </c>
      <c r="I1619" s="12" t="s">
        <v>227</v>
      </c>
      <c r="J1619" s="17" t="s">
        <v>2800</v>
      </c>
      <c r="K1619" s="18">
        <v>9.0</v>
      </c>
      <c r="L1619" s="20">
        <v>45953.0</v>
      </c>
      <c r="M1619" s="17" t="s">
        <v>28</v>
      </c>
      <c r="N1619" s="17" t="s">
        <v>2991</v>
      </c>
      <c r="O1619" s="17">
        <v>7.2108997E7</v>
      </c>
      <c r="P1619" s="17" t="s">
        <v>2992</v>
      </c>
      <c r="Q1619" s="17" t="s">
        <v>73</v>
      </c>
      <c r="R1619" s="17" t="s">
        <v>74</v>
      </c>
      <c r="S1619" s="17" t="s">
        <v>3548</v>
      </c>
      <c r="U1619" s="24"/>
      <c r="V1619" s="24"/>
      <c r="W1619" s="18" t="s">
        <v>76</v>
      </c>
    </row>
    <row r="1620">
      <c r="A1620" s="11"/>
      <c r="B1620" s="12" t="s">
        <v>34</v>
      </c>
      <c r="C1620" s="12" t="s">
        <v>65</v>
      </c>
      <c r="D1620" s="12" t="s">
        <v>43</v>
      </c>
      <c r="E1620" s="12" t="s">
        <v>224</v>
      </c>
      <c r="F1620" s="13" t="s">
        <v>225</v>
      </c>
      <c r="G1620" s="12" t="s">
        <v>68</v>
      </c>
      <c r="H1620" s="12" t="s">
        <v>226</v>
      </c>
      <c r="I1620" s="12" t="s">
        <v>227</v>
      </c>
      <c r="J1620" s="17" t="s">
        <v>2800</v>
      </c>
      <c r="K1620" s="18">
        <v>9.0</v>
      </c>
      <c r="L1620" s="20">
        <v>45953.0</v>
      </c>
      <c r="M1620" s="17" t="s">
        <v>28</v>
      </c>
      <c r="N1620" s="17" t="s">
        <v>3561</v>
      </c>
      <c r="O1620" s="17">
        <v>4.7239072E7</v>
      </c>
      <c r="P1620" s="17" t="s">
        <v>3562</v>
      </c>
      <c r="Q1620" s="17" t="s">
        <v>108</v>
      </c>
      <c r="R1620" s="17" t="s">
        <v>109</v>
      </c>
      <c r="S1620" s="17" t="s">
        <v>3563</v>
      </c>
      <c r="U1620" s="24"/>
      <c r="V1620" s="24"/>
      <c r="W1620" s="18" t="s">
        <v>76</v>
      </c>
    </row>
    <row r="1621">
      <c r="A1621" s="11"/>
      <c r="B1621" s="23"/>
      <c r="C1621" s="23"/>
      <c r="D1621" s="23"/>
      <c r="E1621" s="23"/>
      <c r="F1621" s="13" t="s">
        <v>225</v>
      </c>
      <c r="G1621" s="23"/>
      <c r="H1621" s="23"/>
      <c r="I1621" s="23"/>
      <c r="J1621" s="17" t="s">
        <v>2800</v>
      </c>
      <c r="K1621" s="18">
        <v>9.0</v>
      </c>
      <c r="L1621" s="20">
        <v>45953.0</v>
      </c>
      <c r="M1621" s="17" t="s">
        <v>28</v>
      </c>
      <c r="N1621" s="17" t="s">
        <v>3046</v>
      </c>
      <c r="O1621" s="17">
        <v>4.589156E7</v>
      </c>
      <c r="P1621" s="17" t="s">
        <v>3047</v>
      </c>
      <c r="Q1621" s="17" t="s">
        <v>112</v>
      </c>
      <c r="R1621" s="17" t="s">
        <v>113</v>
      </c>
      <c r="S1621" s="17" t="s">
        <v>3591</v>
      </c>
      <c r="U1621" s="24"/>
      <c r="V1621" s="24"/>
      <c r="W1621" s="18" t="s">
        <v>76</v>
      </c>
    </row>
    <row r="1622">
      <c r="A1622" s="11"/>
      <c r="B1622" s="12" t="s">
        <v>34</v>
      </c>
      <c r="C1622" s="12" t="s">
        <v>65</v>
      </c>
      <c r="D1622" s="12" t="s">
        <v>43</v>
      </c>
      <c r="E1622" s="12" t="s">
        <v>224</v>
      </c>
      <c r="F1622" s="13" t="s">
        <v>225</v>
      </c>
      <c r="G1622" s="12" t="s">
        <v>68</v>
      </c>
      <c r="H1622" s="12" t="s">
        <v>226</v>
      </c>
      <c r="I1622" s="12" t="s">
        <v>227</v>
      </c>
      <c r="J1622" s="17" t="s">
        <v>2800</v>
      </c>
      <c r="K1622" s="18">
        <v>9.0</v>
      </c>
      <c r="L1622" s="20">
        <v>45953.0</v>
      </c>
      <c r="M1622" s="17" t="s">
        <v>28</v>
      </c>
      <c r="N1622" s="17" t="s">
        <v>3049</v>
      </c>
      <c r="O1622" s="17">
        <v>7.2043462E7</v>
      </c>
      <c r="P1622" s="17" t="s">
        <v>3050</v>
      </c>
      <c r="Q1622" s="17" t="s">
        <v>112</v>
      </c>
      <c r="R1622" s="17" t="s">
        <v>113</v>
      </c>
      <c r="S1622" s="17" t="s">
        <v>3784</v>
      </c>
      <c r="U1622" s="24"/>
      <c r="V1622" s="24"/>
      <c r="W1622" s="18" t="s">
        <v>76</v>
      </c>
    </row>
    <row r="1623">
      <c r="A1623" s="11"/>
      <c r="B1623" s="12" t="s">
        <v>34</v>
      </c>
      <c r="C1623" s="12" t="s">
        <v>65</v>
      </c>
      <c r="D1623" s="12" t="s">
        <v>43</v>
      </c>
      <c r="E1623" s="12" t="s">
        <v>224</v>
      </c>
      <c r="F1623" s="13" t="s">
        <v>225</v>
      </c>
      <c r="G1623" s="12" t="s">
        <v>68</v>
      </c>
      <c r="H1623" s="12" t="s">
        <v>226</v>
      </c>
      <c r="I1623" s="12" t="s">
        <v>227</v>
      </c>
      <c r="J1623" s="17" t="s">
        <v>2800</v>
      </c>
      <c r="K1623" s="18">
        <v>9.0</v>
      </c>
      <c r="L1623" s="20">
        <v>45953.0</v>
      </c>
      <c r="M1623" s="17" t="s">
        <v>28</v>
      </c>
      <c r="N1623" s="17" t="s">
        <v>4132</v>
      </c>
      <c r="O1623" s="17">
        <v>7.1099156E7</v>
      </c>
      <c r="P1623" s="17" t="s">
        <v>3589</v>
      </c>
      <c r="Q1623" s="17" t="s">
        <v>108</v>
      </c>
      <c r="R1623" s="17" t="s">
        <v>109</v>
      </c>
      <c r="S1623" s="17" t="s">
        <v>4133</v>
      </c>
      <c r="U1623" s="24"/>
      <c r="V1623" s="24"/>
      <c r="W1623" s="18" t="s">
        <v>76</v>
      </c>
    </row>
    <row r="1624">
      <c r="A1624" s="11"/>
      <c r="B1624" s="23"/>
      <c r="C1624" s="23"/>
      <c r="D1624" s="23"/>
      <c r="E1624" s="23"/>
      <c r="F1624" s="13" t="s">
        <v>225</v>
      </c>
      <c r="G1624" s="23"/>
      <c r="H1624" s="23"/>
      <c r="I1624" s="23"/>
      <c r="J1624" s="17" t="s">
        <v>2800</v>
      </c>
      <c r="K1624" s="18">
        <v>9.0</v>
      </c>
      <c r="L1624" s="20">
        <v>45953.0</v>
      </c>
      <c r="M1624" s="17" t="s">
        <v>28</v>
      </c>
      <c r="N1624" s="17" t="s">
        <v>3024</v>
      </c>
      <c r="O1624" s="17">
        <v>7.4397931E7</v>
      </c>
      <c r="P1624" s="17" t="s">
        <v>4134</v>
      </c>
      <c r="Q1624" s="17" t="s">
        <v>108</v>
      </c>
      <c r="R1624" s="17"/>
      <c r="S1624" s="17" t="s">
        <v>4135</v>
      </c>
      <c r="U1624" s="24"/>
      <c r="V1624" s="24"/>
      <c r="W1624" s="18" t="s">
        <v>76</v>
      </c>
    </row>
    <row r="1625">
      <c r="A1625" s="11"/>
      <c r="B1625" s="12" t="s">
        <v>34</v>
      </c>
      <c r="C1625" s="12" t="s">
        <v>65</v>
      </c>
      <c r="D1625" s="12" t="s">
        <v>43</v>
      </c>
      <c r="E1625" s="12" t="s">
        <v>224</v>
      </c>
      <c r="F1625" s="13" t="s">
        <v>225</v>
      </c>
      <c r="G1625" s="12" t="s">
        <v>68</v>
      </c>
      <c r="H1625" s="12" t="s">
        <v>226</v>
      </c>
      <c r="I1625" s="12" t="s">
        <v>227</v>
      </c>
      <c r="J1625" s="17" t="s">
        <v>2800</v>
      </c>
      <c r="K1625" s="18">
        <v>9.0</v>
      </c>
      <c r="L1625" s="20">
        <v>45953.0</v>
      </c>
      <c r="M1625" s="17" t="s">
        <v>28</v>
      </c>
      <c r="N1625" s="17" t="s">
        <v>3112</v>
      </c>
      <c r="O1625" s="17">
        <v>7.2574751E7</v>
      </c>
      <c r="P1625" s="17" t="s">
        <v>3086</v>
      </c>
      <c r="Q1625" s="17" t="s">
        <v>112</v>
      </c>
      <c r="R1625" s="17"/>
      <c r="S1625" s="17" t="s">
        <v>3087</v>
      </c>
      <c r="U1625" s="24"/>
      <c r="V1625" s="24"/>
      <c r="W1625" s="18" t="s">
        <v>76</v>
      </c>
    </row>
    <row r="1626">
      <c r="A1626" s="11"/>
      <c r="B1626" s="12" t="s">
        <v>34</v>
      </c>
      <c r="C1626" s="12" t="s">
        <v>65</v>
      </c>
      <c r="D1626" s="12" t="s">
        <v>43</v>
      </c>
      <c r="E1626" s="12" t="s">
        <v>224</v>
      </c>
      <c r="F1626" s="13" t="s">
        <v>225</v>
      </c>
      <c r="G1626" s="12" t="s">
        <v>68</v>
      </c>
      <c r="H1626" s="12" t="s">
        <v>226</v>
      </c>
      <c r="I1626" s="12" t="s">
        <v>227</v>
      </c>
      <c r="J1626" s="17" t="s">
        <v>2800</v>
      </c>
      <c r="K1626" s="18">
        <v>9.0</v>
      </c>
      <c r="L1626" s="20">
        <v>45953.0</v>
      </c>
      <c r="M1626" s="17" t="s">
        <v>28</v>
      </c>
      <c r="N1626" s="17" t="s">
        <v>3082</v>
      </c>
      <c r="O1626" s="17">
        <v>7.4986709E7</v>
      </c>
      <c r="P1626" s="17" t="s">
        <v>3083</v>
      </c>
      <c r="Q1626" s="17" t="s">
        <v>73</v>
      </c>
      <c r="R1626" s="17"/>
      <c r="S1626" s="17" t="s">
        <v>4136</v>
      </c>
      <c r="U1626" s="24"/>
      <c r="V1626" s="24"/>
      <c r="W1626" s="18" t="s">
        <v>76</v>
      </c>
    </row>
    <row r="1627">
      <c r="A1627" s="11"/>
      <c r="B1627" s="12" t="s">
        <v>34</v>
      </c>
      <c r="C1627" s="12" t="s">
        <v>65</v>
      </c>
      <c r="D1627" s="12" t="s">
        <v>43</v>
      </c>
      <c r="E1627" s="12" t="s">
        <v>224</v>
      </c>
      <c r="F1627" s="13" t="s">
        <v>225</v>
      </c>
      <c r="G1627" s="12" t="s">
        <v>68</v>
      </c>
      <c r="H1627" s="12" t="s">
        <v>226</v>
      </c>
      <c r="I1627" s="12" t="s">
        <v>227</v>
      </c>
      <c r="J1627" s="17" t="s">
        <v>2800</v>
      </c>
      <c r="K1627" s="18">
        <v>9.0</v>
      </c>
      <c r="L1627" s="20">
        <v>45953.0</v>
      </c>
      <c r="M1627" s="17" t="s">
        <v>28</v>
      </c>
      <c r="N1627" s="17" t="s">
        <v>3033</v>
      </c>
      <c r="O1627" s="17">
        <v>7.5841362E7</v>
      </c>
      <c r="P1627" s="17" t="s">
        <v>2995</v>
      </c>
      <c r="Q1627" s="17" t="s">
        <v>108</v>
      </c>
      <c r="R1627" s="17"/>
      <c r="S1627" s="17" t="s">
        <v>2996</v>
      </c>
      <c r="U1627" s="24"/>
      <c r="V1627" s="24"/>
      <c r="W1627" s="18" t="s">
        <v>76</v>
      </c>
    </row>
    <row r="1628">
      <c r="A1628" s="11"/>
      <c r="B1628" s="23"/>
      <c r="C1628" s="23"/>
      <c r="D1628" s="23"/>
      <c r="E1628" s="23"/>
      <c r="F1628" s="13" t="s">
        <v>225</v>
      </c>
      <c r="G1628" s="23"/>
      <c r="H1628" s="23"/>
      <c r="I1628" s="23"/>
      <c r="J1628" s="17" t="s">
        <v>2800</v>
      </c>
      <c r="K1628" s="18">
        <v>9.0</v>
      </c>
      <c r="L1628" s="20">
        <v>45953.0</v>
      </c>
      <c r="M1628" s="17" t="s">
        <v>28</v>
      </c>
      <c r="N1628" s="17" t="s">
        <v>3037</v>
      </c>
      <c r="O1628" s="17">
        <v>7.6836651E7</v>
      </c>
      <c r="P1628" s="17" t="s">
        <v>3038</v>
      </c>
      <c r="Q1628" s="17" t="s">
        <v>112</v>
      </c>
      <c r="R1628" s="17"/>
      <c r="S1628" s="17" t="s">
        <v>3039</v>
      </c>
      <c r="U1628" s="24"/>
      <c r="V1628" s="24"/>
      <c r="W1628" s="18" t="s">
        <v>76</v>
      </c>
    </row>
    <row r="1629">
      <c r="A1629" s="11"/>
      <c r="B1629" s="12" t="s">
        <v>34</v>
      </c>
      <c r="C1629" s="12" t="s">
        <v>65</v>
      </c>
      <c r="D1629" s="12" t="s">
        <v>43</v>
      </c>
      <c r="E1629" s="12" t="s">
        <v>224</v>
      </c>
      <c r="F1629" s="13" t="s">
        <v>225</v>
      </c>
      <c r="G1629" s="12" t="s">
        <v>68</v>
      </c>
      <c r="H1629" s="12" t="s">
        <v>226</v>
      </c>
      <c r="I1629" s="12" t="s">
        <v>227</v>
      </c>
      <c r="J1629" s="17" t="s">
        <v>2800</v>
      </c>
      <c r="K1629" s="18">
        <v>9.0</v>
      </c>
      <c r="L1629" s="20">
        <v>45953.0</v>
      </c>
      <c r="M1629" s="17" t="s">
        <v>28</v>
      </c>
      <c r="N1629" s="17" t="s">
        <v>4137</v>
      </c>
      <c r="O1629" s="17">
        <v>4.3662495E7</v>
      </c>
      <c r="P1629" s="17" t="s">
        <v>3041</v>
      </c>
      <c r="Q1629" s="17" t="s">
        <v>112</v>
      </c>
      <c r="R1629" s="17"/>
      <c r="S1629" s="17" t="s">
        <v>3042</v>
      </c>
      <c r="U1629" s="24"/>
      <c r="V1629" s="24"/>
      <c r="W1629" s="18" t="s">
        <v>76</v>
      </c>
    </row>
    <row r="1630">
      <c r="A1630" s="11"/>
      <c r="B1630" s="12" t="s">
        <v>34</v>
      </c>
      <c r="C1630" s="12" t="s">
        <v>65</v>
      </c>
      <c r="D1630" s="12" t="s">
        <v>43</v>
      </c>
      <c r="E1630" s="12" t="s">
        <v>224</v>
      </c>
      <c r="F1630" s="13" t="s">
        <v>225</v>
      </c>
      <c r="G1630" s="12" t="s">
        <v>68</v>
      </c>
      <c r="H1630" s="12" t="s">
        <v>226</v>
      </c>
      <c r="I1630" s="12" t="s">
        <v>227</v>
      </c>
      <c r="J1630" s="17" t="s">
        <v>2800</v>
      </c>
      <c r="K1630" s="18">
        <v>9.0</v>
      </c>
      <c r="L1630" s="20">
        <v>45953.0</v>
      </c>
      <c r="M1630" s="17" t="s">
        <v>28</v>
      </c>
      <c r="N1630" s="17" t="s">
        <v>3055</v>
      </c>
      <c r="O1630" s="17">
        <v>4.5078833E7</v>
      </c>
      <c r="P1630" s="17" t="s">
        <v>3056</v>
      </c>
      <c r="Q1630" s="17" t="s">
        <v>112</v>
      </c>
      <c r="R1630" s="17"/>
      <c r="S1630" s="17" t="s">
        <v>3057</v>
      </c>
      <c r="U1630" s="24"/>
      <c r="V1630" s="24"/>
      <c r="W1630" s="18" t="s">
        <v>76</v>
      </c>
    </row>
    <row r="1631">
      <c r="A1631" s="11"/>
      <c r="B1631" s="12" t="s">
        <v>34</v>
      </c>
      <c r="C1631" s="12" t="s">
        <v>65</v>
      </c>
      <c r="D1631" s="12" t="s">
        <v>43</v>
      </c>
      <c r="E1631" s="12" t="s">
        <v>224</v>
      </c>
      <c r="F1631" s="13" t="s">
        <v>225</v>
      </c>
      <c r="G1631" s="12" t="s">
        <v>68</v>
      </c>
      <c r="H1631" s="12" t="s">
        <v>226</v>
      </c>
      <c r="I1631" s="12" t="s">
        <v>227</v>
      </c>
      <c r="J1631" s="17" t="s">
        <v>2800</v>
      </c>
      <c r="K1631" s="18">
        <v>9.0</v>
      </c>
      <c r="L1631" s="20">
        <v>45953.0</v>
      </c>
      <c r="M1631" s="17" t="s">
        <v>28</v>
      </c>
      <c r="N1631" s="17" t="s">
        <v>3052</v>
      </c>
      <c r="O1631" s="17">
        <v>4.5960182E7</v>
      </c>
      <c r="P1631" s="119" t="s">
        <v>3053</v>
      </c>
      <c r="Q1631" s="17" t="s">
        <v>112</v>
      </c>
      <c r="R1631" s="17"/>
      <c r="S1631" s="17" t="s">
        <v>3054</v>
      </c>
      <c r="U1631" s="24"/>
      <c r="V1631" s="24"/>
      <c r="W1631" s="18" t="s">
        <v>76</v>
      </c>
    </row>
    <row r="1632">
      <c r="A1632" s="11"/>
      <c r="B1632" s="12" t="s">
        <v>34</v>
      </c>
      <c r="C1632" s="12" t="s">
        <v>65</v>
      </c>
      <c r="D1632" s="12" t="s">
        <v>43</v>
      </c>
      <c r="E1632" s="12" t="s">
        <v>224</v>
      </c>
      <c r="F1632" s="13" t="s">
        <v>225</v>
      </c>
      <c r="G1632" s="12" t="s">
        <v>68</v>
      </c>
      <c r="H1632" s="12" t="s">
        <v>226</v>
      </c>
      <c r="I1632" s="12" t="s">
        <v>227</v>
      </c>
      <c r="J1632" s="17" t="s">
        <v>2800</v>
      </c>
      <c r="K1632" s="18">
        <v>9.0</v>
      </c>
      <c r="L1632" s="20">
        <v>45953.0</v>
      </c>
      <c r="M1632" s="17" t="s">
        <v>28</v>
      </c>
      <c r="N1632" s="17" t="s">
        <v>4138</v>
      </c>
      <c r="O1632" s="17">
        <v>7.2105464E7</v>
      </c>
      <c r="P1632" s="17" t="s">
        <v>4139</v>
      </c>
      <c r="Q1632" s="17"/>
      <c r="R1632" s="17"/>
      <c r="S1632" s="17" t="s">
        <v>4139</v>
      </c>
      <c r="U1632" s="24"/>
      <c r="V1632" s="24"/>
      <c r="W1632" s="18" t="s">
        <v>76</v>
      </c>
    </row>
    <row r="1633">
      <c r="A1633" s="11"/>
      <c r="B1633" s="23"/>
      <c r="C1633" s="23"/>
      <c r="D1633" s="23"/>
      <c r="E1633" s="23"/>
      <c r="F1633" s="13" t="s">
        <v>225</v>
      </c>
      <c r="G1633" s="23"/>
      <c r="H1633" s="23"/>
      <c r="I1633" s="23"/>
      <c r="J1633" s="17" t="s">
        <v>2800</v>
      </c>
      <c r="K1633" s="18">
        <v>9.0</v>
      </c>
      <c r="L1633" s="20">
        <v>45953.0</v>
      </c>
      <c r="M1633" s="17" t="s">
        <v>28</v>
      </c>
      <c r="N1633" s="119" t="s">
        <v>3058</v>
      </c>
      <c r="O1633" s="17">
        <v>4.5888958E7</v>
      </c>
      <c r="P1633" s="17" t="s">
        <v>3059</v>
      </c>
      <c r="Q1633" s="17" t="s">
        <v>112</v>
      </c>
      <c r="R1633" s="17"/>
      <c r="S1633" s="17" t="s">
        <v>3060</v>
      </c>
      <c r="U1633" s="24"/>
      <c r="V1633" s="24"/>
      <c r="W1633" s="18" t="s">
        <v>76</v>
      </c>
    </row>
    <row r="1634">
      <c r="A1634" s="11"/>
      <c r="B1634" s="12" t="s">
        <v>34</v>
      </c>
      <c r="C1634" s="12" t="s">
        <v>65</v>
      </c>
      <c r="D1634" s="12" t="s">
        <v>43</v>
      </c>
      <c r="E1634" s="12" t="s">
        <v>224</v>
      </c>
      <c r="F1634" s="13" t="s">
        <v>225</v>
      </c>
      <c r="G1634" s="12" t="s">
        <v>68</v>
      </c>
      <c r="H1634" s="12" t="s">
        <v>226</v>
      </c>
      <c r="I1634" s="12" t="s">
        <v>227</v>
      </c>
      <c r="J1634" s="17" t="s">
        <v>2800</v>
      </c>
      <c r="K1634" s="18">
        <v>9.0</v>
      </c>
      <c r="L1634" s="20">
        <v>45953.0</v>
      </c>
      <c r="M1634" s="17" t="s">
        <v>28</v>
      </c>
      <c r="N1634" s="17" t="s">
        <v>3064</v>
      </c>
      <c r="O1634" s="17">
        <v>4.463827E7</v>
      </c>
      <c r="P1634" s="17" t="s">
        <v>3065</v>
      </c>
      <c r="Q1634" s="17" t="s">
        <v>73</v>
      </c>
      <c r="R1634" s="17"/>
      <c r="S1634" s="17" t="s">
        <v>3066</v>
      </c>
      <c r="U1634" s="24"/>
      <c r="V1634" s="24"/>
      <c r="W1634" s="18" t="s">
        <v>76</v>
      </c>
    </row>
    <row r="1635">
      <c r="A1635" s="11"/>
      <c r="B1635" s="12" t="s">
        <v>34</v>
      </c>
      <c r="C1635" s="12" t="s">
        <v>65</v>
      </c>
      <c r="D1635" s="12" t="s">
        <v>43</v>
      </c>
      <c r="E1635" s="12" t="s">
        <v>224</v>
      </c>
      <c r="F1635" s="13" t="s">
        <v>225</v>
      </c>
      <c r="G1635" s="12" t="s">
        <v>68</v>
      </c>
      <c r="H1635" s="12" t="s">
        <v>226</v>
      </c>
      <c r="I1635" s="12" t="s">
        <v>227</v>
      </c>
      <c r="J1635" s="17" t="s">
        <v>2800</v>
      </c>
      <c r="K1635" s="18">
        <v>9.0</v>
      </c>
      <c r="L1635" s="20">
        <v>45953.0</v>
      </c>
      <c r="M1635" s="17" t="s">
        <v>28</v>
      </c>
      <c r="N1635" s="17" t="s">
        <v>3070</v>
      </c>
      <c r="O1635" s="17">
        <v>4.8354688E7</v>
      </c>
      <c r="P1635" s="17" t="s">
        <v>3071</v>
      </c>
      <c r="Q1635" s="17" t="s">
        <v>108</v>
      </c>
      <c r="R1635" s="17"/>
      <c r="S1635" s="17" t="s">
        <v>3072</v>
      </c>
      <c r="U1635" s="24"/>
      <c r="V1635" s="24"/>
      <c r="W1635" s="18" t="s">
        <v>76</v>
      </c>
    </row>
    <row r="1636">
      <c r="A1636" s="11"/>
      <c r="B1636" s="12" t="s">
        <v>34</v>
      </c>
      <c r="C1636" s="12" t="s">
        <v>65</v>
      </c>
      <c r="D1636" s="12" t="s">
        <v>43</v>
      </c>
      <c r="E1636" s="12" t="s">
        <v>224</v>
      </c>
      <c r="F1636" s="13" t="s">
        <v>225</v>
      </c>
      <c r="G1636" s="12" t="s">
        <v>68</v>
      </c>
      <c r="H1636" s="12" t="s">
        <v>226</v>
      </c>
      <c r="I1636" s="12" t="s">
        <v>227</v>
      </c>
      <c r="J1636" s="17" t="s">
        <v>2800</v>
      </c>
      <c r="K1636" s="18">
        <v>9.0</v>
      </c>
      <c r="L1636" s="20">
        <v>45953.0</v>
      </c>
      <c r="M1636" s="17" t="s">
        <v>28</v>
      </c>
      <c r="N1636" s="17" t="s">
        <v>3018</v>
      </c>
      <c r="O1636" s="17">
        <v>7.1096768E7</v>
      </c>
      <c r="P1636" s="17" t="s">
        <v>3019</v>
      </c>
      <c r="Q1636" s="17" t="s">
        <v>112</v>
      </c>
      <c r="R1636" s="17"/>
      <c r="S1636" s="17" t="s">
        <v>3020</v>
      </c>
      <c r="U1636" s="24"/>
      <c r="V1636" s="24"/>
      <c r="W1636" s="18" t="s">
        <v>76</v>
      </c>
    </row>
    <row r="1637">
      <c r="A1637" s="11"/>
      <c r="B1637" s="12" t="s">
        <v>34</v>
      </c>
      <c r="C1637" s="12" t="s">
        <v>65</v>
      </c>
      <c r="D1637" s="12" t="s">
        <v>43</v>
      </c>
      <c r="E1637" s="12" t="s">
        <v>224</v>
      </c>
      <c r="F1637" s="13" t="s">
        <v>225</v>
      </c>
      <c r="G1637" s="12" t="s">
        <v>68</v>
      </c>
      <c r="H1637" s="12" t="s">
        <v>226</v>
      </c>
      <c r="I1637" s="12" t="s">
        <v>227</v>
      </c>
      <c r="J1637" s="17" t="s">
        <v>2800</v>
      </c>
      <c r="K1637" s="18">
        <v>9.0</v>
      </c>
      <c r="L1637" s="20">
        <v>45953.0</v>
      </c>
      <c r="M1637" s="17" t="s">
        <v>28</v>
      </c>
      <c r="N1637" s="9" t="s">
        <v>3091</v>
      </c>
      <c r="O1637" s="17">
        <v>4.7696352E7</v>
      </c>
      <c r="P1637" s="17" t="s">
        <v>3123</v>
      </c>
      <c r="Q1637" s="17" t="s">
        <v>73</v>
      </c>
      <c r="R1637" s="17"/>
      <c r="S1637" s="17" t="s">
        <v>3124</v>
      </c>
      <c r="U1637" s="24"/>
      <c r="V1637" s="24"/>
      <c r="W1637" s="18" t="s">
        <v>76</v>
      </c>
    </row>
    <row r="1638">
      <c r="A1638" s="11"/>
      <c r="B1638" s="12" t="s">
        <v>34</v>
      </c>
      <c r="C1638" s="12" t="s">
        <v>65</v>
      </c>
      <c r="D1638" s="12" t="s">
        <v>43</v>
      </c>
      <c r="E1638" s="12" t="s">
        <v>224</v>
      </c>
      <c r="F1638" s="13" t="s">
        <v>225</v>
      </c>
      <c r="G1638" s="12" t="s">
        <v>68</v>
      </c>
      <c r="H1638" s="12" t="s">
        <v>226</v>
      </c>
      <c r="I1638" s="12" t="s">
        <v>227</v>
      </c>
      <c r="J1638" s="17" t="s">
        <v>2800</v>
      </c>
      <c r="K1638" s="18">
        <v>9.0</v>
      </c>
      <c r="L1638" s="20">
        <v>45953.0</v>
      </c>
      <c r="M1638" s="17" t="s">
        <v>28</v>
      </c>
      <c r="N1638" s="17" t="s">
        <v>3015</v>
      </c>
      <c r="O1638" s="17">
        <v>7.0512494E7</v>
      </c>
      <c r="P1638" s="17" t="s">
        <v>3016</v>
      </c>
      <c r="Q1638" s="17" t="s">
        <v>73</v>
      </c>
      <c r="R1638" s="17"/>
      <c r="S1638" s="17" t="s">
        <v>3017</v>
      </c>
      <c r="U1638" s="24"/>
      <c r="V1638" s="24"/>
      <c r="W1638" s="18" t="s">
        <v>76</v>
      </c>
    </row>
    <row r="1639">
      <c r="A1639" s="11"/>
      <c r="B1639" s="12" t="s">
        <v>34</v>
      </c>
      <c r="C1639" s="12" t="s">
        <v>65</v>
      </c>
      <c r="D1639" s="12" t="s">
        <v>43</v>
      </c>
      <c r="E1639" s="12" t="s">
        <v>224</v>
      </c>
      <c r="F1639" s="13" t="s">
        <v>225</v>
      </c>
      <c r="G1639" s="12" t="s">
        <v>68</v>
      </c>
      <c r="H1639" s="12" t="s">
        <v>226</v>
      </c>
      <c r="I1639" s="12" t="s">
        <v>227</v>
      </c>
      <c r="J1639" s="17" t="s">
        <v>2800</v>
      </c>
      <c r="K1639" s="18">
        <v>9.0</v>
      </c>
      <c r="L1639" s="20">
        <v>45953.0</v>
      </c>
      <c r="M1639" s="17" t="s">
        <v>28</v>
      </c>
      <c r="N1639" s="17" t="s">
        <v>3034</v>
      </c>
      <c r="O1639" s="17">
        <v>4.719226E7</v>
      </c>
      <c r="P1639" s="17" t="s">
        <v>3035</v>
      </c>
      <c r="Q1639" s="17" t="s">
        <v>73</v>
      </c>
      <c r="R1639" s="17"/>
      <c r="S1639" s="17" t="s">
        <v>3036</v>
      </c>
      <c r="U1639" s="24"/>
      <c r="V1639" s="24"/>
      <c r="W1639" s="18" t="s">
        <v>76</v>
      </c>
    </row>
    <row r="1640">
      <c r="A1640" s="11"/>
      <c r="B1640" s="12" t="s">
        <v>34</v>
      </c>
      <c r="C1640" s="12" t="s">
        <v>65</v>
      </c>
      <c r="D1640" s="12" t="s">
        <v>43</v>
      </c>
      <c r="E1640" s="12" t="s">
        <v>224</v>
      </c>
      <c r="F1640" s="13" t="s">
        <v>225</v>
      </c>
      <c r="G1640" s="12" t="s">
        <v>68</v>
      </c>
      <c r="H1640" s="12" t="s">
        <v>226</v>
      </c>
      <c r="I1640" s="12" t="s">
        <v>227</v>
      </c>
      <c r="J1640" s="17" t="s">
        <v>2800</v>
      </c>
      <c r="K1640" s="18">
        <v>9.0</v>
      </c>
      <c r="L1640" s="20">
        <v>45953.0</v>
      </c>
      <c r="M1640" s="17" t="s">
        <v>28</v>
      </c>
      <c r="N1640" s="9" t="s">
        <v>3146</v>
      </c>
      <c r="O1640" s="17">
        <v>7.6744204E7</v>
      </c>
      <c r="P1640" s="17" t="s">
        <v>1527</v>
      </c>
      <c r="Q1640" s="17" t="s">
        <v>112</v>
      </c>
      <c r="R1640" s="17"/>
      <c r="S1640" s="17" t="s">
        <v>3014</v>
      </c>
      <c r="U1640" s="24"/>
      <c r="V1640" s="24"/>
      <c r="W1640" s="18" t="s">
        <v>76</v>
      </c>
    </row>
    <row r="1641">
      <c r="A1641" s="11"/>
      <c r="B1641" s="12" t="s">
        <v>34</v>
      </c>
      <c r="C1641" s="12" t="s">
        <v>65</v>
      </c>
      <c r="D1641" s="12" t="s">
        <v>43</v>
      </c>
      <c r="E1641" s="12" t="s">
        <v>224</v>
      </c>
      <c r="F1641" s="13" t="s">
        <v>225</v>
      </c>
      <c r="G1641" s="12" t="s">
        <v>68</v>
      </c>
      <c r="H1641" s="12" t="s">
        <v>226</v>
      </c>
      <c r="I1641" s="12" t="s">
        <v>227</v>
      </c>
      <c r="J1641" s="17" t="s">
        <v>2800</v>
      </c>
      <c r="K1641" s="18">
        <v>9.0</v>
      </c>
      <c r="L1641" s="20">
        <v>45953.0</v>
      </c>
      <c r="M1641" s="17" t="s">
        <v>28</v>
      </c>
      <c r="N1641" s="17" t="s">
        <v>3119</v>
      </c>
      <c r="O1641" s="17">
        <v>7.2568635E7</v>
      </c>
      <c r="P1641" s="17" t="s">
        <v>3120</v>
      </c>
      <c r="Q1641" s="17" t="s">
        <v>108</v>
      </c>
      <c r="R1641" s="17"/>
      <c r="S1641" s="17" t="s">
        <v>3121</v>
      </c>
      <c r="U1641" s="24"/>
      <c r="V1641" s="24"/>
      <c r="W1641" s="18" t="s">
        <v>76</v>
      </c>
    </row>
    <row r="1642">
      <c r="A1642" s="11"/>
      <c r="B1642" s="12" t="s">
        <v>34</v>
      </c>
      <c r="C1642" s="12" t="s">
        <v>65</v>
      </c>
      <c r="D1642" s="12" t="s">
        <v>43</v>
      </c>
      <c r="E1642" s="12" t="s">
        <v>224</v>
      </c>
      <c r="F1642" s="13" t="s">
        <v>225</v>
      </c>
      <c r="G1642" s="12" t="s">
        <v>68</v>
      </c>
      <c r="H1642" s="12" t="s">
        <v>226</v>
      </c>
      <c r="I1642" s="12" t="s">
        <v>227</v>
      </c>
      <c r="J1642" s="17" t="s">
        <v>2800</v>
      </c>
      <c r="K1642" s="18">
        <v>9.0</v>
      </c>
      <c r="L1642" s="20">
        <v>45953.0</v>
      </c>
      <c r="M1642" s="17" t="s">
        <v>28</v>
      </c>
      <c r="N1642" s="17" t="s">
        <v>3030</v>
      </c>
      <c r="O1642" s="17">
        <v>4.5766368E7</v>
      </c>
      <c r="P1642" s="17" t="s">
        <v>3031</v>
      </c>
      <c r="Q1642" s="17" t="s">
        <v>73</v>
      </c>
      <c r="R1642" s="17"/>
      <c r="S1642" s="17" t="s">
        <v>3032</v>
      </c>
      <c r="U1642" s="24"/>
      <c r="V1642" s="24"/>
      <c r="W1642" s="18" t="s">
        <v>76</v>
      </c>
    </row>
    <row r="1643">
      <c r="A1643" s="11"/>
      <c r="B1643" s="23"/>
      <c r="C1643" s="23"/>
      <c r="D1643" s="23"/>
      <c r="E1643" s="23"/>
      <c r="F1643" s="13" t="s">
        <v>225</v>
      </c>
      <c r="G1643" s="23"/>
      <c r="H1643" s="23"/>
      <c r="I1643" s="23"/>
      <c r="J1643" s="17" t="s">
        <v>2800</v>
      </c>
      <c r="K1643" s="18">
        <v>9.0</v>
      </c>
      <c r="L1643" s="20">
        <v>45953.0</v>
      </c>
      <c r="M1643" s="17" t="s">
        <v>28</v>
      </c>
      <c r="N1643" s="17" t="s">
        <v>3003</v>
      </c>
      <c r="O1643" s="17">
        <v>7.6951316E7</v>
      </c>
      <c r="P1643" s="17" t="s">
        <v>3004</v>
      </c>
      <c r="Q1643" s="17" t="s">
        <v>112</v>
      </c>
      <c r="R1643" s="17"/>
      <c r="S1643" s="17" t="s">
        <v>4140</v>
      </c>
      <c r="U1643" s="24"/>
      <c r="V1643" s="24"/>
      <c r="W1643" s="18" t="s">
        <v>76</v>
      </c>
    </row>
    <row r="1644">
      <c r="A1644" s="11"/>
      <c r="B1644" s="12" t="s">
        <v>34</v>
      </c>
      <c r="C1644" s="12" t="s">
        <v>65</v>
      </c>
      <c r="D1644" s="12" t="s">
        <v>43</v>
      </c>
      <c r="E1644" s="12" t="s">
        <v>224</v>
      </c>
      <c r="F1644" s="13" t="s">
        <v>225</v>
      </c>
      <c r="G1644" s="12" t="s">
        <v>68</v>
      </c>
      <c r="H1644" s="12" t="s">
        <v>226</v>
      </c>
      <c r="I1644" s="12" t="s">
        <v>227</v>
      </c>
      <c r="J1644" s="17" t="s">
        <v>2800</v>
      </c>
      <c r="K1644" s="18">
        <v>9.0</v>
      </c>
      <c r="L1644" s="20">
        <v>45953.0</v>
      </c>
      <c r="M1644" s="17" t="s">
        <v>28</v>
      </c>
      <c r="N1644" s="17" t="s">
        <v>3000</v>
      </c>
      <c r="O1644" s="17">
        <v>7.413385E7</v>
      </c>
      <c r="P1644" s="17" t="s">
        <v>3001</v>
      </c>
      <c r="Q1644" s="17" t="s">
        <v>108</v>
      </c>
      <c r="R1644" s="17"/>
      <c r="S1644" s="17" t="s">
        <v>3002</v>
      </c>
      <c r="U1644" s="24"/>
      <c r="V1644" s="24"/>
      <c r="W1644" s="18" t="s">
        <v>76</v>
      </c>
    </row>
    <row r="1645">
      <c r="A1645" s="11"/>
      <c r="B1645" s="23"/>
      <c r="C1645" s="23"/>
      <c r="D1645" s="23"/>
      <c r="E1645" s="23"/>
      <c r="F1645" s="13" t="s">
        <v>225</v>
      </c>
      <c r="G1645" s="23"/>
      <c r="H1645" s="23"/>
      <c r="I1645" s="23"/>
      <c r="J1645" s="17" t="s">
        <v>2800</v>
      </c>
      <c r="K1645" s="18">
        <v>9.0</v>
      </c>
      <c r="L1645" s="20">
        <v>45953.0</v>
      </c>
      <c r="M1645" s="17" t="s">
        <v>28</v>
      </c>
      <c r="N1645" s="17" t="s">
        <v>3076</v>
      </c>
      <c r="O1645" s="17">
        <v>4.6455121E7</v>
      </c>
      <c r="P1645" s="17" t="s">
        <v>3077</v>
      </c>
      <c r="Q1645" s="17" t="s">
        <v>73</v>
      </c>
      <c r="R1645" s="17"/>
      <c r="S1645" s="17" t="s">
        <v>3078</v>
      </c>
      <c r="U1645" s="24"/>
      <c r="V1645" s="24"/>
      <c r="W1645" s="18" t="s">
        <v>76</v>
      </c>
    </row>
    <row r="1646">
      <c r="A1646" s="11"/>
      <c r="B1646" s="12" t="s">
        <v>34</v>
      </c>
      <c r="C1646" s="12" t="s">
        <v>65</v>
      </c>
      <c r="D1646" s="12" t="s">
        <v>43</v>
      </c>
      <c r="E1646" s="12" t="s">
        <v>224</v>
      </c>
      <c r="F1646" s="13" t="s">
        <v>225</v>
      </c>
      <c r="G1646" s="12" t="s">
        <v>68</v>
      </c>
      <c r="H1646" s="12" t="s">
        <v>226</v>
      </c>
      <c r="I1646" s="12" t="s">
        <v>227</v>
      </c>
      <c r="J1646" s="17" t="s">
        <v>2800</v>
      </c>
      <c r="K1646" s="18">
        <v>9.0</v>
      </c>
      <c r="L1646" s="20">
        <v>45953.0</v>
      </c>
      <c r="M1646" s="17" t="s">
        <v>28</v>
      </c>
      <c r="N1646" s="9" t="s">
        <v>2994</v>
      </c>
      <c r="O1646" s="17">
        <v>4.3949075E7</v>
      </c>
      <c r="P1646" s="17" t="s">
        <v>3128</v>
      </c>
      <c r="Q1646" s="17" t="s">
        <v>108</v>
      </c>
      <c r="R1646" s="17"/>
      <c r="S1646" s="17" t="s">
        <v>3129</v>
      </c>
      <c r="U1646" s="24"/>
      <c r="V1646" s="24"/>
      <c r="W1646" s="18" t="s">
        <v>76</v>
      </c>
    </row>
    <row r="1647">
      <c r="A1647" s="11"/>
      <c r="B1647" s="12" t="s">
        <v>34</v>
      </c>
      <c r="C1647" s="12" t="s">
        <v>65</v>
      </c>
      <c r="D1647" s="12" t="s">
        <v>43</v>
      </c>
      <c r="E1647" s="12" t="s">
        <v>224</v>
      </c>
      <c r="F1647" s="13" t="s">
        <v>225</v>
      </c>
      <c r="G1647" s="12" t="s">
        <v>68</v>
      </c>
      <c r="H1647" s="12" t="s">
        <v>226</v>
      </c>
      <c r="I1647" s="12" t="s">
        <v>227</v>
      </c>
      <c r="J1647" s="17" t="s">
        <v>2800</v>
      </c>
      <c r="K1647" s="18">
        <v>9.0</v>
      </c>
      <c r="L1647" s="20">
        <v>45953.0</v>
      </c>
      <c r="M1647" s="17" t="s">
        <v>28</v>
      </c>
      <c r="N1647" s="17" t="s">
        <v>3006</v>
      </c>
      <c r="O1647" s="17">
        <v>4.7602211E7</v>
      </c>
      <c r="P1647" s="17" t="s">
        <v>3007</v>
      </c>
      <c r="Q1647" s="17" t="s">
        <v>73</v>
      </c>
      <c r="R1647" s="17"/>
      <c r="S1647" s="17" t="s">
        <v>3008</v>
      </c>
      <c r="U1647" s="24"/>
      <c r="V1647" s="24"/>
      <c r="W1647" s="18" t="s">
        <v>76</v>
      </c>
    </row>
    <row r="1648">
      <c r="A1648" s="11"/>
      <c r="B1648" s="12" t="s">
        <v>34</v>
      </c>
      <c r="C1648" s="12" t="s">
        <v>65</v>
      </c>
      <c r="D1648" s="12" t="s">
        <v>43</v>
      </c>
      <c r="E1648" s="12" t="s">
        <v>224</v>
      </c>
      <c r="F1648" s="13" t="s">
        <v>225</v>
      </c>
      <c r="G1648" s="12" t="s">
        <v>68</v>
      </c>
      <c r="H1648" s="12" t="s">
        <v>226</v>
      </c>
      <c r="I1648" s="12" t="s">
        <v>227</v>
      </c>
      <c r="J1648" s="17" t="s">
        <v>2800</v>
      </c>
      <c r="K1648" s="18">
        <v>9.0</v>
      </c>
      <c r="L1648" s="20">
        <v>45953.0</v>
      </c>
      <c r="M1648" s="17" t="s">
        <v>28</v>
      </c>
      <c r="N1648" s="17" t="s">
        <v>3109</v>
      </c>
      <c r="O1648" s="17">
        <v>4.70984E7</v>
      </c>
      <c r="P1648" s="17" t="s">
        <v>3110</v>
      </c>
      <c r="Q1648" s="17" t="s">
        <v>73</v>
      </c>
      <c r="R1648" s="17"/>
      <c r="S1648" s="17" t="s">
        <v>3111</v>
      </c>
      <c r="U1648" s="24"/>
      <c r="V1648" s="24"/>
      <c r="W1648" s="18" t="s">
        <v>76</v>
      </c>
    </row>
    <row r="1649">
      <c r="A1649" s="11"/>
      <c r="B1649" s="12" t="s">
        <v>34</v>
      </c>
      <c r="C1649" s="12" t="s">
        <v>65</v>
      </c>
      <c r="D1649" s="12" t="s">
        <v>43</v>
      </c>
      <c r="E1649" s="12" t="s">
        <v>224</v>
      </c>
      <c r="F1649" s="13" t="s">
        <v>225</v>
      </c>
      <c r="G1649" s="12" t="s">
        <v>68</v>
      </c>
      <c r="H1649" s="12" t="s">
        <v>226</v>
      </c>
      <c r="I1649" s="12" t="s">
        <v>227</v>
      </c>
      <c r="J1649" s="17" t="s">
        <v>2800</v>
      </c>
      <c r="K1649" s="18">
        <v>9.0</v>
      </c>
      <c r="L1649" s="20">
        <v>45953.0</v>
      </c>
      <c r="M1649" s="17" t="s">
        <v>28</v>
      </c>
      <c r="N1649" s="17" t="s">
        <v>4141</v>
      </c>
      <c r="O1649" s="17">
        <v>4.403828E7</v>
      </c>
      <c r="P1649" s="17" t="s">
        <v>4142</v>
      </c>
      <c r="Q1649" s="17"/>
      <c r="R1649" s="17"/>
      <c r="S1649" s="17" t="s">
        <v>4142</v>
      </c>
      <c r="U1649" s="24"/>
      <c r="V1649" s="24"/>
      <c r="W1649" s="18" t="s">
        <v>76</v>
      </c>
    </row>
    <row r="1650">
      <c r="A1650" s="11"/>
      <c r="B1650" s="12" t="s">
        <v>34</v>
      </c>
      <c r="C1650" s="12" t="s">
        <v>65</v>
      </c>
      <c r="D1650" s="12" t="s">
        <v>43</v>
      </c>
      <c r="E1650" s="12" t="s">
        <v>224</v>
      </c>
      <c r="F1650" s="13" t="s">
        <v>225</v>
      </c>
      <c r="G1650" s="12" t="s">
        <v>68</v>
      </c>
      <c r="H1650" s="12" t="s">
        <v>226</v>
      </c>
      <c r="I1650" s="12" t="s">
        <v>227</v>
      </c>
      <c r="J1650" s="17" t="s">
        <v>2800</v>
      </c>
      <c r="K1650" s="18">
        <v>9.0</v>
      </c>
      <c r="L1650" s="20">
        <v>45953.0</v>
      </c>
      <c r="M1650" s="17" t="s">
        <v>28</v>
      </c>
      <c r="N1650" s="17" t="s">
        <v>3010</v>
      </c>
      <c r="O1650" s="17">
        <v>7.2276634E7</v>
      </c>
      <c r="P1650" s="17" t="s">
        <v>3011</v>
      </c>
      <c r="Q1650" s="17" t="s">
        <v>73</v>
      </c>
      <c r="R1650" s="17"/>
      <c r="S1650" s="17" t="s">
        <v>3012</v>
      </c>
      <c r="U1650" s="24"/>
      <c r="V1650" s="24"/>
      <c r="W1650" s="18" t="s">
        <v>76</v>
      </c>
    </row>
    <row r="1651">
      <c r="A1651" s="11"/>
      <c r="B1651" s="23"/>
      <c r="C1651" s="23"/>
      <c r="D1651" s="23"/>
      <c r="E1651" s="23"/>
      <c r="F1651" s="13" t="s">
        <v>225</v>
      </c>
      <c r="G1651" s="23"/>
      <c r="H1651" s="23"/>
      <c r="I1651" s="23"/>
      <c r="J1651" s="17" t="s">
        <v>2800</v>
      </c>
      <c r="K1651" s="18">
        <v>9.0</v>
      </c>
      <c r="L1651" s="20">
        <v>45953.0</v>
      </c>
      <c r="M1651" s="17" t="s">
        <v>28</v>
      </c>
      <c r="N1651" s="17" t="s">
        <v>3125</v>
      </c>
      <c r="O1651" s="17">
        <v>8.0172432E7</v>
      </c>
      <c r="P1651" s="17" t="s">
        <v>3126</v>
      </c>
      <c r="Q1651" s="17" t="s">
        <v>73</v>
      </c>
      <c r="R1651" s="17"/>
      <c r="S1651" s="17" t="s">
        <v>3127</v>
      </c>
      <c r="U1651" s="24"/>
      <c r="V1651" s="24"/>
      <c r="W1651" s="18" t="s">
        <v>76</v>
      </c>
    </row>
    <row r="1652">
      <c r="A1652" s="11"/>
      <c r="B1652" s="12" t="s">
        <v>34</v>
      </c>
      <c r="C1652" s="12" t="s">
        <v>65</v>
      </c>
      <c r="D1652" s="12" t="s">
        <v>43</v>
      </c>
      <c r="E1652" s="12" t="s">
        <v>224</v>
      </c>
      <c r="F1652" s="13" t="s">
        <v>225</v>
      </c>
      <c r="G1652" s="12" t="s">
        <v>68</v>
      </c>
      <c r="H1652" s="12" t="s">
        <v>226</v>
      </c>
      <c r="I1652" s="12" t="s">
        <v>227</v>
      </c>
      <c r="J1652" s="17" t="s">
        <v>2800</v>
      </c>
      <c r="K1652" s="18">
        <v>9.0</v>
      </c>
      <c r="L1652" s="20">
        <v>45953.0</v>
      </c>
      <c r="M1652" s="17" t="s">
        <v>23</v>
      </c>
      <c r="N1652" s="116" t="s">
        <v>3600</v>
      </c>
      <c r="P1652" s="17"/>
      <c r="Q1652" s="17" t="s">
        <v>112</v>
      </c>
      <c r="R1652" s="17"/>
      <c r="S1652" s="17" t="s">
        <v>112</v>
      </c>
      <c r="U1652" s="24"/>
      <c r="V1652" s="24"/>
      <c r="W1652" s="18" t="s">
        <v>76</v>
      </c>
    </row>
    <row r="1653">
      <c r="A1653" s="11"/>
      <c r="B1653" s="12" t="s">
        <v>34</v>
      </c>
      <c r="C1653" s="12" t="s">
        <v>65</v>
      </c>
      <c r="D1653" s="12" t="s">
        <v>43</v>
      </c>
      <c r="E1653" s="12" t="s">
        <v>224</v>
      </c>
      <c r="F1653" s="13" t="s">
        <v>225</v>
      </c>
      <c r="G1653" s="12" t="s">
        <v>68</v>
      </c>
      <c r="H1653" s="12" t="s">
        <v>226</v>
      </c>
      <c r="I1653" s="12" t="s">
        <v>227</v>
      </c>
      <c r="J1653" s="17" t="s">
        <v>2687</v>
      </c>
      <c r="K1653" s="18">
        <v>2.0</v>
      </c>
      <c r="L1653" s="20">
        <v>45953.0</v>
      </c>
      <c r="M1653" s="17" t="s">
        <v>23</v>
      </c>
      <c r="N1653" s="116" t="s">
        <v>3600</v>
      </c>
      <c r="P1653" s="17"/>
      <c r="Q1653" s="17" t="s">
        <v>112</v>
      </c>
      <c r="R1653" s="17"/>
      <c r="S1653" s="17" t="s">
        <v>112</v>
      </c>
      <c r="U1653" s="24"/>
      <c r="V1653" s="24"/>
      <c r="W1653" s="18" t="s">
        <v>76</v>
      </c>
    </row>
    <row r="1654">
      <c r="A1654" s="11"/>
      <c r="B1654" s="23"/>
      <c r="C1654" s="23"/>
      <c r="D1654" s="23"/>
      <c r="E1654" s="23"/>
      <c r="F1654" s="13" t="s">
        <v>225</v>
      </c>
      <c r="G1654" s="23"/>
      <c r="H1654" s="23"/>
      <c r="I1654" s="23"/>
      <c r="J1654" s="17" t="s">
        <v>2687</v>
      </c>
      <c r="K1654" s="18">
        <v>2.0</v>
      </c>
      <c r="L1654" s="20">
        <v>45953.0</v>
      </c>
      <c r="M1654" s="17" t="s">
        <v>23</v>
      </c>
      <c r="N1654" s="116" t="s">
        <v>3599</v>
      </c>
      <c r="P1654" s="17"/>
      <c r="Q1654" s="17" t="s">
        <v>108</v>
      </c>
      <c r="R1654" s="17"/>
      <c r="S1654" s="17" t="s">
        <v>108</v>
      </c>
      <c r="U1654" s="24"/>
      <c r="V1654" s="24"/>
      <c r="W1654" s="18" t="s">
        <v>76</v>
      </c>
    </row>
    <row r="1655">
      <c r="A1655" s="11"/>
      <c r="B1655" s="12" t="s">
        <v>34</v>
      </c>
      <c r="C1655" s="12" t="s">
        <v>65</v>
      </c>
      <c r="D1655" s="12" t="s">
        <v>43</v>
      </c>
      <c r="E1655" s="12" t="s">
        <v>224</v>
      </c>
      <c r="F1655" s="13" t="s">
        <v>225</v>
      </c>
      <c r="G1655" s="12" t="s">
        <v>68</v>
      </c>
      <c r="H1655" s="12" t="s">
        <v>226</v>
      </c>
      <c r="I1655" s="12" t="s">
        <v>227</v>
      </c>
      <c r="J1655" s="17" t="s">
        <v>2687</v>
      </c>
      <c r="K1655" s="18">
        <v>2.0</v>
      </c>
      <c r="L1655" s="20">
        <v>45953.0</v>
      </c>
      <c r="M1655" s="17" t="s">
        <v>23</v>
      </c>
      <c r="N1655" s="116" t="s">
        <v>3601</v>
      </c>
      <c r="P1655" s="17"/>
      <c r="Q1655" s="17" t="s">
        <v>73</v>
      </c>
      <c r="R1655" s="17"/>
      <c r="S1655" s="17" t="s">
        <v>73</v>
      </c>
      <c r="U1655" s="24"/>
      <c r="V1655" s="24"/>
      <c r="W1655" s="18" t="s">
        <v>76</v>
      </c>
    </row>
    <row r="1656">
      <c r="A1656" s="11"/>
      <c r="B1656" s="12" t="s">
        <v>34</v>
      </c>
      <c r="C1656" s="12" t="s">
        <v>65</v>
      </c>
      <c r="D1656" s="12" t="s">
        <v>43</v>
      </c>
      <c r="E1656" s="12" t="s">
        <v>224</v>
      </c>
      <c r="F1656" s="13" t="s">
        <v>225</v>
      </c>
      <c r="G1656" s="12" t="s">
        <v>68</v>
      </c>
      <c r="H1656" s="12" t="s">
        <v>226</v>
      </c>
      <c r="I1656" s="12" t="s">
        <v>227</v>
      </c>
      <c r="J1656" s="17" t="s">
        <v>2687</v>
      </c>
      <c r="K1656" s="18">
        <v>2.0</v>
      </c>
      <c r="L1656" s="20">
        <v>45953.0</v>
      </c>
      <c r="M1656" s="17" t="s">
        <v>23</v>
      </c>
      <c r="N1656" s="17" t="s">
        <v>4143</v>
      </c>
      <c r="P1656" s="17"/>
      <c r="Q1656" s="17"/>
      <c r="S1656" s="17" t="s">
        <v>4144</v>
      </c>
      <c r="U1656" s="24"/>
      <c r="V1656" s="17" t="s">
        <v>4145</v>
      </c>
      <c r="W1656" s="18" t="s">
        <v>76</v>
      </c>
    </row>
    <row r="1657">
      <c r="A1657" s="11"/>
      <c r="B1657" s="12" t="s">
        <v>43</v>
      </c>
      <c r="C1657" s="12" t="s">
        <v>65</v>
      </c>
      <c r="D1657" s="12" t="s">
        <v>43</v>
      </c>
      <c r="E1657" s="12" t="s">
        <v>188</v>
      </c>
      <c r="F1657" s="13" t="s">
        <v>189</v>
      </c>
      <c r="G1657" s="12" t="s">
        <v>68</v>
      </c>
      <c r="H1657" s="12" t="s">
        <v>190</v>
      </c>
      <c r="I1657" s="12" t="s">
        <v>191</v>
      </c>
      <c r="J1657" s="17" t="s">
        <v>2796</v>
      </c>
      <c r="K1657" s="18" t="s">
        <v>2797</v>
      </c>
      <c r="L1657" s="20">
        <v>45958.0</v>
      </c>
      <c r="M1657" s="17" t="s">
        <v>28</v>
      </c>
      <c r="N1657" s="17" t="s">
        <v>3192</v>
      </c>
      <c r="O1657" s="17">
        <v>7.2551321E7</v>
      </c>
      <c r="P1657" s="17" t="s">
        <v>3193</v>
      </c>
      <c r="Q1657" s="17" t="s">
        <v>108</v>
      </c>
      <c r="R1657" s="17"/>
      <c r="S1657" s="17" t="s">
        <v>3194</v>
      </c>
      <c r="U1657" s="24"/>
      <c r="V1657" s="24"/>
      <c r="W1657" s="18" t="s">
        <v>76</v>
      </c>
    </row>
    <row r="1658">
      <c r="A1658" s="11"/>
      <c r="B1658" s="12" t="s">
        <v>43</v>
      </c>
      <c r="C1658" s="12" t="s">
        <v>65</v>
      </c>
      <c r="D1658" s="12" t="s">
        <v>43</v>
      </c>
      <c r="E1658" s="12" t="s">
        <v>188</v>
      </c>
      <c r="F1658" s="13" t="s">
        <v>189</v>
      </c>
      <c r="G1658" s="12" t="s">
        <v>68</v>
      </c>
      <c r="H1658" s="12" t="s">
        <v>190</v>
      </c>
      <c r="I1658" s="12" t="s">
        <v>191</v>
      </c>
      <c r="J1658" s="17" t="s">
        <v>2796</v>
      </c>
      <c r="K1658" s="18" t="s">
        <v>2797</v>
      </c>
      <c r="L1658" s="20">
        <v>45958.0</v>
      </c>
      <c r="M1658" s="17" t="s">
        <v>28</v>
      </c>
      <c r="N1658" s="136" t="s">
        <v>3174</v>
      </c>
      <c r="O1658" s="17">
        <v>4.5308287E7</v>
      </c>
      <c r="P1658" s="17" t="s">
        <v>3175</v>
      </c>
      <c r="Q1658" s="17" t="s">
        <v>73</v>
      </c>
      <c r="R1658" s="17"/>
      <c r="S1658" s="17" t="s">
        <v>3176</v>
      </c>
      <c r="U1658" s="24"/>
      <c r="V1658" s="24"/>
      <c r="W1658" s="18" t="s">
        <v>76</v>
      </c>
    </row>
    <row r="1659">
      <c r="A1659" s="11"/>
      <c r="B1659" s="12" t="s">
        <v>43</v>
      </c>
      <c r="C1659" s="12" t="s">
        <v>65</v>
      </c>
      <c r="D1659" s="12" t="s">
        <v>43</v>
      </c>
      <c r="E1659" s="12" t="s">
        <v>188</v>
      </c>
      <c r="F1659" s="13" t="s">
        <v>189</v>
      </c>
      <c r="G1659" s="12" t="s">
        <v>68</v>
      </c>
      <c r="H1659" s="12" t="s">
        <v>190</v>
      </c>
      <c r="I1659" s="12" t="s">
        <v>191</v>
      </c>
      <c r="J1659" s="17" t="s">
        <v>2796</v>
      </c>
      <c r="K1659" s="18" t="s">
        <v>2797</v>
      </c>
      <c r="L1659" s="20">
        <v>45958.0</v>
      </c>
      <c r="M1659" s="17" t="s">
        <v>28</v>
      </c>
      <c r="N1659" s="17" t="s">
        <v>3180</v>
      </c>
      <c r="O1659" s="17">
        <v>7.2568669E7</v>
      </c>
      <c r="P1659" s="17" t="s">
        <v>3181</v>
      </c>
      <c r="Q1659" s="17" t="s">
        <v>112</v>
      </c>
      <c r="R1659" s="17"/>
      <c r="S1659" s="17" t="s">
        <v>3182</v>
      </c>
      <c r="U1659" s="24"/>
      <c r="V1659" s="24"/>
      <c r="W1659" s="18" t="s">
        <v>76</v>
      </c>
    </row>
    <row r="1660">
      <c r="A1660" s="11"/>
      <c r="B1660" s="23"/>
      <c r="C1660" s="23"/>
      <c r="D1660" s="23"/>
      <c r="E1660" s="23"/>
      <c r="F1660" s="13" t="s">
        <v>189</v>
      </c>
      <c r="G1660" s="23"/>
      <c r="H1660" s="23"/>
      <c r="I1660" s="23"/>
      <c r="J1660" s="17" t="s">
        <v>2796</v>
      </c>
      <c r="K1660" s="18" t="s">
        <v>2797</v>
      </c>
      <c r="L1660" s="20">
        <v>45958.0</v>
      </c>
      <c r="M1660" s="17" t="s">
        <v>28</v>
      </c>
      <c r="N1660" s="17" t="s">
        <v>3186</v>
      </c>
      <c r="O1660" s="17">
        <v>7.4426417E7</v>
      </c>
      <c r="P1660" s="17" t="s">
        <v>3187</v>
      </c>
      <c r="Q1660" s="17" t="s">
        <v>108</v>
      </c>
      <c r="R1660" s="17"/>
      <c r="S1660" s="17" t="s">
        <v>3188</v>
      </c>
      <c r="U1660" s="24"/>
      <c r="V1660" s="24"/>
      <c r="W1660" s="18" t="s">
        <v>76</v>
      </c>
    </row>
    <row r="1661">
      <c r="A1661" s="11"/>
      <c r="B1661" s="23"/>
      <c r="C1661" s="23"/>
      <c r="D1661" s="23"/>
      <c r="E1661" s="23"/>
      <c r="F1661" s="13" t="s">
        <v>189</v>
      </c>
      <c r="G1661" s="23"/>
      <c r="H1661" s="23"/>
      <c r="I1661" s="23"/>
      <c r="J1661" s="17" t="s">
        <v>2796</v>
      </c>
      <c r="K1661" s="18" t="s">
        <v>2797</v>
      </c>
      <c r="L1661" s="20">
        <v>45958.0</v>
      </c>
      <c r="M1661" s="17" t="s">
        <v>28</v>
      </c>
      <c r="N1661" s="17" t="s">
        <v>3728</v>
      </c>
      <c r="O1661" s="17">
        <v>4.238406E7</v>
      </c>
      <c r="P1661" s="17" t="s">
        <v>3729</v>
      </c>
      <c r="Q1661" s="17" t="s">
        <v>112</v>
      </c>
      <c r="R1661" s="17"/>
      <c r="S1661" s="17" t="s">
        <v>4146</v>
      </c>
      <c r="U1661" s="24"/>
      <c r="V1661" s="24"/>
      <c r="W1661" s="18" t="s">
        <v>76</v>
      </c>
    </row>
    <row r="1662">
      <c r="A1662" s="11"/>
      <c r="B1662" s="12" t="s">
        <v>43</v>
      </c>
      <c r="C1662" s="12" t="s">
        <v>65</v>
      </c>
      <c r="D1662" s="12" t="s">
        <v>43</v>
      </c>
      <c r="E1662" s="12" t="s">
        <v>188</v>
      </c>
      <c r="F1662" s="13" t="s">
        <v>189</v>
      </c>
      <c r="G1662" s="12" t="s">
        <v>68</v>
      </c>
      <c r="H1662" s="12" t="s">
        <v>190</v>
      </c>
      <c r="I1662" s="12" t="s">
        <v>191</v>
      </c>
      <c r="J1662" s="17" t="s">
        <v>2796</v>
      </c>
      <c r="K1662" s="18" t="s">
        <v>2797</v>
      </c>
      <c r="L1662" s="20">
        <v>45958.0</v>
      </c>
      <c r="M1662" s="17" t="s">
        <v>28</v>
      </c>
      <c r="N1662" s="17" t="s">
        <v>3951</v>
      </c>
      <c r="O1662" s="17">
        <v>4.6600104E7</v>
      </c>
      <c r="P1662" s="17" t="s">
        <v>3952</v>
      </c>
      <c r="Q1662" s="17" t="s">
        <v>73</v>
      </c>
      <c r="R1662" s="17"/>
      <c r="S1662" s="17" t="s">
        <v>3953</v>
      </c>
      <c r="U1662" s="24"/>
      <c r="V1662" s="24"/>
      <c r="W1662" s="18" t="s">
        <v>76</v>
      </c>
    </row>
    <row r="1663">
      <c r="A1663" s="11"/>
      <c r="B1663" s="23"/>
      <c r="C1663" s="23"/>
      <c r="D1663" s="23"/>
      <c r="E1663" s="23"/>
      <c r="F1663" s="13" t="s">
        <v>189</v>
      </c>
      <c r="G1663" s="23"/>
      <c r="H1663" s="23"/>
      <c r="I1663" s="23"/>
      <c r="J1663" s="17" t="s">
        <v>2796</v>
      </c>
      <c r="K1663" s="18" t="s">
        <v>2797</v>
      </c>
      <c r="L1663" s="20">
        <v>45958.0</v>
      </c>
      <c r="M1663" s="17" t="s">
        <v>28</v>
      </c>
      <c r="N1663" s="17" t="s">
        <v>3722</v>
      </c>
      <c r="O1663" s="17">
        <v>4.4265821E7</v>
      </c>
      <c r="P1663" s="17" t="s">
        <v>3723</v>
      </c>
      <c r="Q1663" s="17"/>
      <c r="R1663" s="17"/>
      <c r="S1663" s="17"/>
      <c r="U1663" s="24"/>
      <c r="V1663" s="24"/>
      <c r="W1663" s="18" t="s">
        <v>76</v>
      </c>
    </row>
    <row r="1664">
      <c r="A1664" s="11"/>
      <c r="B1664" s="23"/>
      <c r="C1664" s="23"/>
      <c r="D1664" s="23"/>
      <c r="E1664" s="23"/>
      <c r="F1664" s="13" t="s">
        <v>189</v>
      </c>
      <c r="G1664" s="23"/>
      <c r="H1664" s="23"/>
      <c r="I1664" s="23"/>
      <c r="J1664" s="17" t="s">
        <v>2796</v>
      </c>
      <c r="K1664" s="18" t="s">
        <v>2797</v>
      </c>
      <c r="L1664" s="20">
        <v>45958.0</v>
      </c>
      <c r="M1664" s="17" t="s">
        <v>28</v>
      </c>
      <c r="N1664" s="17" t="s">
        <v>3756</v>
      </c>
      <c r="O1664" s="17">
        <v>7.2603507E7</v>
      </c>
      <c r="P1664" s="17" t="s">
        <v>3757</v>
      </c>
      <c r="Q1664" s="17" t="s">
        <v>108</v>
      </c>
      <c r="R1664" s="17"/>
      <c r="S1664" s="17" t="s">
        <v>3758</v>
      </c>
      <c r="U1664" s="24"/>
      <c r="V1664" s="24"/>
      <c r="W1664" s="18" t="s">
        <v>76</v>
      </c>
    </row>
    <row r="1665">
      <c r="A1665" s="11"/>
      <c r="B1665" s="12" t="s">
        <v>43</v>
      </c>
      <c r="C1665" s="12" t="s">
        <v>65</v>
      </c>
      <c r="D1665" s="12" t="s">
        <v>43</v>
      </c>
      <c r="E1665" s="12" t="s">
        <v>188</v>
      </c>
      <c r="F1665" s="13" t="s">
        <v>189</v>
      </c>
      <c r="G1665" s="12" t="s">
        <v>68</v>
      </c>
      <c r="H1665" s="12" t="s">
        <v>190</v>
      </c>
      <c r="I1665" s="12" t="s">
        <v>191</v>
      </c>
      <c r="J1665" s="17" t="s">
        <v>2796</v>
      </c>
      <c r="K1665" s="18" t="s">
        <v>2797</v>
      </c>
      <c r="L1665" s="20">
        <v>45958.0</v>
      </c>
      <c r="M1665" s="17" t="s">
        <v>28</v>
      </c>
      <c r="N1665" s="17" t="s">
        <v>4147</v>
      </c>
      <c r="O1665" s="17">
        <v>4.377674E7</v>
      </c>
      <c r="P1665" s="17" t="s">
        <v>3190</v>
      </c>
      <c r="Q1665" s="17" t="s">
        <v>108</v>
      </c>
      <c r="R1665" s="17"/>
      <c r="S1665" s="17" t="s">
        <v>3191</v>
      </c>
      <c r="U1665" s="24"/>
      <c r="V1665" s="24"/>
      <c r="W1665" s="18" t="s">
        <v>76</v>
      </c>
    </row>
    <row r="1666">
      <c r="A1666" s="11"/>
      <c r="B1666" s="23"/>
      <c r="C1666" s="23"/>
      <c r="D1666" s="23"/>
      <c r="E1666" s="23"/>
      <c r="F1666" s="13" t="s">
        <v>189</v>
      </c>
      <c r="G1666" s="23"/>
      <c r="H1666" s="23"/>
      <c r="I1666" s="23"/>
      <c r="J1666" s="17" t="s">
        <v>2796</v>
      </c>
      <c r="K1666" s="18" t="s">
        <v>2797</v>
      </c>
      <c r="L1666" s="20">
        <v>45958.0</v>
      </c>
      <c r="M1666" s="17" t="s">
        <v>28</v>
      </c>
      <c r="N1666" s="9" t="s">
        <v>3958</v>
      </c>
      <c r="P1666" s="17" t="s">
        <v>4148</v>
      </c>
      <c r="Q1666" s="17" t="s">
        <v>112</v>
      </c>
      <c r="R1666" s="17"/>
      <c r="S1666" s="17" t="s">
        <v>4149</v>
      </c>
      <c r="U1666" s="24"/>
      <c r="V1666" s="24"/>
      <c r="W1666" s="18" t="s">
        <v>76</v>
      </c>
    </row>
    <row r="1667">
      <c r="A1667" s="11"/>
      <c r="B1667" s="12" t="s">
        <v>43</v>
      </c>
      <c r="C1667" s="12" t="s">
        <v>65</v>
      </c>
      <c r="D1667" s="12" t="s">
        <v>43</v>
      </c>
      <c r="E1667" s="12" t="s">
        <v>188</v>
      </c>
      <c r="F1667" s="13" t="s">
        <v>189</v>
      </c>
      <c r="G1667" s="12" t="s">
        <v>68</v>
      </c>
      <c r="H1667" s="12" t="s">
        <v>190</v>
      </c>
      <c r="I1667" s="12" t="s">
        <v>191</v>
      </c>
      <c r="J1667" s="17" t="s">
        <v>2796</v>
      </c>
      <c r="K1667" s="18" t="s">
        <v>2797</v>
      </c>
      <c r="L1667" s="20">
        <v>45958.0</v>
      </c>
      <c r="M1667" s="17" t="s">
        <v>28</v>
      </c>
      <c r="N1667" s="17" t="s">
        <v>3198</v>
      </c>
      <c r="O1667" s="17">
        <v>7.6740605E7</v>
      </c>
      <c r="P1667" s="17" t="s">
        <v>3199</v>
      </c>
      <c r="Q1667" s="17" t="s">
        <v>112</v>
      </c>
      <c r="R1667" s="17"/>
      <c r="S1667" s="17" t="s">
        <v>3950</v>
      </c>
      <c r="U1667" s="24"/>
      <c r="V1667" s="24"/>
      <c r="W1667" s="18" t="s">
        <v>76</v>
      </c>
    </row>
    <row r="1668">
      <c r="A1668" s="11"/>
      <c r="B1668" s="12" t="s">
        <v>43</v>
      </c>
      <c r="C1668" s="12" t="s">
        <v>65</v>
      </c>
      <c r="D1668" s="12" t="s">
        <v>43</v>
      </c>
      <c r="E1668" s="12" t="s">
        <v>188</v>
      </c>
      <c r="F1668" s="13" t="s">
        <v>189</v>
      </c>
      <c r="G1668" s="12" t="s">
        <v>68</v>
      </c>
      <c r="H1668" s="12" t="s">
        <v>190</v>
      </c>
      <c r="I1668" s="12" t="s">
        <v>191</v>
      </c>
      <c r="J1668" s="17" t="s">
        <v>2796</v>
      </c>
      <c r="K1668" s="18" t="s">
        <v>2797</v>
      </c>
      <c r="L1668" s="20">
        <v>45958.0</v>
      </c>
      <c r="M1668" s="17" t="s">
        <v>28</v>
      </c>
      <c r="N1668" s="136" t="s">
        <v>3183</v>
      </c>
      <c r="O1668" s="17">
        <v>7.6740605E7</v>
      </c>
      <c r="P1668" s="17" t="s">
        <v>3184</v>
      </c>
      <c r="Q1668" s="17" t="s">
        <v>73</v>
      </c>
      <c r="R1668" s="17"/>
      <c r="S1668" s="17"/>
      <c r="U1668" s="24"/>
      <c r="V1668" s="24"/>
      <c r="W1668" s="18" t="s">
        <v>76</v>
      </c>
    </row>
    <row r="1669">
      <c r="A1669" s="11"/>
      <c r="B1669" s="23"/>
      <c r="C1669" s="23"/>
      <c r="D1669" s="23"/>
      <c r="E1669" s="23"/>
      <c r="F1669" s="13" t="s">
        <v>189</v>
      </c>
      <c r="G1669" s="23"/>
      <c r="H1669" s="23"/>
      <c r="I1669" s="23"/>
      <c r="J1669" s="17" t="s">
        <v>2796</v>
      </c>
      <c r="K1669" s="18" t="s">
        <v>2797</v>
      </c>
      <c r="L1669" s="20">
        <v>45958.0</v>
      </c>
      <c r="M1669" s="17" t="s">
        <v>28</v>
      </c>
      <c r="N1669" s="17" t="s">
        <v>3177</v>
      </c>
      <c r="O1669" s="17">
        <v>4.8321573E7</v>
      </c>
      <c r="P1669" s="17" t="s">
        <v>3178</v>
      </c>
      <c r="Q1669" s="17" t="s">
        <v>112</v>
      </c>
      <c r="R1669" s="17"/>
      <c r="S1669" s="17" t="s">
        <v>3179</v>
      </c>
      <c r="U1669" s="24"/>
      <c r="V1669" s="24"/>
      <c r="W1669" s="18" t="s">
        <v>76</v>
      </c>
    </row>
    <row r="1670">
      <c r="A1670" s="11"/>
      <c r="B1670" s="12" t="s">
        <v>43</v>
      </c>
      <c r="C1670" s="12" t="s">
        <v>65</v>
      </c>
      <c r="D1670" s="12" t="s">
        <v>43</v>
      </c>
      <c r="E1670" s="12" t="s">
        <v>188</v>
      </c>
      <c r="F1670" s="13" t="s">
        <v>189</v>
      </c>
      <c r="G1670" s="12" t="s">
        <v>68</v>
      </c>
      <c r="H1670" s="12" t="s">
        <v>190</v>
      </c>
      <c r="I1670" s="12" t="s">
        <v>191</v>
      </c>
      <c r="J1670" s="17" t="s">
        <v>2796</v>
      </c>
      <c r="K1670" s="18" t="s">
        <v>2797</v>
      </c>
      <c r="L1670" s="20">
        <v>45958.0</v>
      </c>
      <c r="M1670" s="17" t="s">
        <v>28</v>
      </c>
      <c r="N1670" s="48" t="s">
        <v>4150</v>
      </c>
      <c r="O1670" s="17">
        <v>4.3893169E7</v>
      </c>
      <c r="P1670" s="17" t="s">
        <v>3201</v>
      </c>
      <c r="Q1670" s="17" t="s">
        <v>73</v>
      </c>
      <c r="R1670" s="17"/>
      <c r="S1670" s="17" t="s">
        <v>3202</v>
      </c>
      <c r="U1670" s="24"/>
      <c r="V1670" s="24"/>
      <c r="W1670" s="18" t="s">
        <v>76</v>
      </c>
    </row>
    <row r="1671">
      <c r="A1671" s="11"/>
      <c r="B1671" s="23"/>
      <c r="C1671" s="23"/>
      <c r="D1671" s="23"/>
      <c r="E1671" s="23"/>
      <c r="F1671" s="13" t="s">
        <v>189</v>
      </c>
      <c r="G1671" s="23"/>
      <c r="H1671" s="23"/>
      <c r="I1671" s="23"/>
      <c r="J1671" s="17" t="s">
        <v>2796</v>
      </c>
      <c r="K1671" s="18" t="s">
        <v>2797</v>
      </c>
      <c r="L1671" s="20">
        <v>45958.0</v>
      </c>
      <c r="M1671" s="17" t="s">
        <v>23</v>
      </c>
      <c r="N1671" s="116" t="s">
        <v>3407</v>
      </c>
      <c r="P1671" s="17"/>
      <c r="Q1671" s="17" t="s">
        <v>73</v>
      </c>
      <c r="R1671" s="17"/>
      <c r="S1671" s="17" t="s">
        <v>73</v>
      </c>
      <c r="U1671" s="24"/>
      <c r="V1671" s="24"/>
      <c r="W1671" s="18" t="s">
        <v>76</v>
      </c>
    </row>
    <row r="1672">
      <c r="A1672" s="11"/>
      <c r="B1672" s="12" t="s">
        <v>43</v>
      </c>
      <c r="C1672" s="12" t="s">
        <v>65</v>
      </c>
      <c r="D1672" s="12" t="s">
        <v>43</v>
      </c>
      <c r="E1672" s="12" t="s">
        <v>66</v>
      </c>
      <c r="F1672" s="13" t="s">
        <v>67</v>
      </c>
      <c r="G1672" s="12" t="s">
        <v>68</v>
      </c>
      <c r="H1672" s="12" t="s">
        <v>69</v>
      </c>
      <c r="I1672" s="12" t="s">
        <v>70</v>
      </c>
      <c r="J1672" s="17" t="s">
        <v>2796</v>
      </c>
      <c r="K1672" s="18">
        <v>7.0</v>
      </c>
      <c r="L1672" s="20">
        <v>45952.0</v>
      </c>
      <c r="M1672" s="17" t="s">
        <v>28</v>
      </c>
      <c r="N1672" s="17" t="s">
        <v>3154</v>
      </c>
      <c r="P1672" s="17" t="s">
        <v>1579</v>
      </c>
      <c r="Q1672" s="17" t="s">
        <v>73</v>
      </c>
      <c r="R1672" s="17"/>
      <c r="S1672" s="17" t="s">
        <v>3155</v>
      </c>
      <c r="U1672" s="24"/>
      <c r="V1672" s="24"/>
      <c r="W1672" s="18" t="s">
        <v>76</v>
      </c>
    </row>
    <row r="1673">
      <c r="A1673" s="11"/>
      <c r="B1673" s="12" t="s">
        <v>43</v>
      </c>
      <c r="C1673" s="12" t="s">
        <v>65</v>
      </c>
      <c r="D1673" s="12" t="s">
        <v>43</v>
      </c>
      <c r="E1673" s="12" t="s">
        <v>66</v>
      </c>
      <c r="F1673" s="13" t="s">
        <v>67</v>
      </c>
      <c r="G1673" s="12" t="s">
        <v>68</v>
      </c>
      <c r="H1673" s="12" t="s">
        <v>69</v>
      </c>
      <c r="I1673" s="12" t="s">
        <v>70</v>
      </c>
      <c r="J1673" s="17" t="s">
        <v>2796</v>
      </c>
      <c r="K1673" s="18">
        <v>7.0</v>
      </c>
      <c r="L1673" s="20">
        <v>45952.0</v>
      </c>
      <c r="M1673" s="17" t="s">
        <v>28</v>
      </c>
      <c r="N1673" s="17" t="s">
        <v>3944</v>
      </c>
      <c r="O1673" s="17">
        <v>7.1278187E7</v>
      </c>
      <c r="P1673" s="17" t="s">
        <v>3766</v>
      </c>
      <c r="Q1673" s="17" t="s">
        <v>73</v>
      </c>
      <c r="R1673" s="17"/>
      <c r="S1673" s="17" t="s">
        <v>4151</v>
      </c>
      <c r="U1673" s="24"/>
      <c r="V1673" s="24"/>
      <c r="W1673" s="18" t="s">
        <v>76</v>
      </c>
    </row>
    <row r="1674">
      <c r="A1674" s="11"/>
      <c r="B1674" s="12" t="s">
        <v>43</v>
      </c>
      <c r="C1674" s="12" t="s">
        <v>65</v>
      </c>
      <c r="D1674" s="12" t="s">
        <v>43</v>
      </c>
      <c r="E1674" s="12" t="s">
        <v>66</v>
      </c>
      <c r="F1674" s="13" t="s">
        <v>67</v>
      </c>
      <c r="G1674" s="12" t="s">
        <v>68</v>
      </c>
      <c r="H1674" s="12" t="s">
        <v>69</v>
      </c>
      <c r="I1674" s="12" t="s">
        <v>70</v>
      </c>
      <c r="J1674" s="17" t="s">
        <v>2796</v>
      </c>
      <c r="K1674" s="18">
        <v>7.0</v>
      </c>
      <c r="L1674" s="20">
        <v>45952.0</v>
      </c>
      <c r="M1674" s="17" t="s">
        <v>28</v>
      </c>
      <c r="N1674" s="17" t="s">
        <v>3433</v>
      </c>
      <c r="O1674" s="17">
        <v>4.1808044E7</v>
      </c>
      <c r="P1674" s="17" t="s">
        <v>3434</v>
      </c>
      <c r="Q1674" s="17" t="s">
        <v>73</v>
      </c>
      <c r="R1674" s="17"/>
      <c r="S1674" s="17" t="s">
        <v>4152</v>
      </c>
      <c r="U1674" s="24"/>
      <c r="V1674" s="24"/>
      <c r="W1674" s="18" t="s">
        <v>76</v>
      </c>
    </row>
    <row r="1675">
      <c r="A1675" s="11"/>
      <c r="B1675" s="12" t="s">
        <v>43</v>
      </c>
      <c r="C1675" s="12" t="s">
        <v>65</v>
      </c>
      <c r="D1675" s="12" t="s">
        <v>43</v>
      </c>
      <c r="E1675" s="12" t="s">
        <v>66</v>
      </c>
      <c r="F1675" s="13" t="s">
        <v>67</v>
      </c>
      <c r="G1675" s="12" t="s">
        <v>68</v>
      </c>
      <c r="H1675" s="12" t="s">
        <v>69</v>
      </c>
      <c r="I1675" s="12" t="s">
        <v>70</v>
      </c>
      <c r="J1675" s="17" t="s">
        <v>2796</v>
      </c>
      <c r="K1675" s="18">
        <v>7.0</v>
      </c>
      <c r="L1675" s="20">
        <v>45952.0</v>
      </c>
      <c r="M1675" s="17" t="s">
        <v>23</v>
      </c>
      <c r="N1675" s="17" t="s">
        <v>3410</v>
      </c>
      <c r="P1675" s="17"/>
      <c r="Q1675" s="17" t="s">
        <v>108</v>
      </c>
      <c r="R1675" s="17"/>
      <c r="S1675" s="17" t="s">
        <v>108</v>
      </c>
      <c r="U1675" s="24"/>
      <c r="V1675" s="24"/>
      <c r="W1675" s="18" t="s">
        <v>76</v>
      </c>
    </row>
    <row r="1676">
      <c r="A1676" s="11"/>
      <c r="B1676" s="12" t="s">
        <v>43</v>
      </c>
      <c r="C1676" s="12" t="s">
        <v>65</v>
      </c>
      <c r="D1676" s="12" t="s">
        <v>43</v>
      </c>
      <c r="E1676" s="12" t="s">
        <v>66</v>
      </c>
      <c r="F1676" s="13" t="s">
        <v>67</v>
      </c>
      <c r="G1676" s="12" t="s">
        <v>68</v>
      </c>
      <c r="H1676" s="12" t="s">
        <v>69</v>
      </c>
      <c r="I1676" s="12" t="s">
        <v>70</v>
      </c>
      <c r="J1676" s="17" t="s">
        <v>2796</v>
      </c>
      <c r="K1676" s="18">
        <v>7.0</v>
      </c>
      <c r="L1676" s="20">
        <v>45952.0</v>
      </c>
      <c r="M1676" s="17" t="s">
        <v>23</v>
      </c>
      <c r="N1676" s="17" t="s">
        <v>3161</v>
      </c>
      <c r="P1676" s="17"/>
      <c r="Q1676" s="17" t="s">
        <v>73</v>
      </c>
      <c r="R1676" s="17"/>
      <c r="S1676" s="17" t="s">
        <v>73</v>
      </c>
      <c r="U1676" s="24"/>
      <c r="V1676" s="24"/>
      <c r="W1676" s="18" t="s">
        <v>76</v>
      </c>
    </row>
    <row r="1677">
      <c r="A1677" s="11"/>
      <c r="B1677" s="23"/>
      <c r="C1677" s="23"/>
      <c r="D1677" s="23"/>
      <c r="E1677" s="23"/>
      <c r="F1677" s="13" t="s">
        <v>67</v>
      </c>
      <c r="G1677" s="23"/>
      <c r="H1677" s="23"/>
      <c r="I1677" s="23"/>
      <c r="J1677" s="17" t="s">
        <v>2796</v>
      </c>
      <c r="K1677" s="18">
        <v>8.0</v>
      </c>
      <c r="L1677" s="20">
        <v>45960.0</v>
      </c>
      <c r="M1677" s="17" t="s">
        <v>28</v>
      </c>
      <c r="N1677" s="17" t="s">
        <v>3944</v>
      </c>
      <c r="O1677" s="17">
        <v>7.1278187E7</v>
      </c>
      <c r="P1677" s="17" t="s">
        <v>3766</v>
      </c>
      <c r="Q1677" s="17" t="s">
        <v>73</v>
      </c>
      <c r="R1677" s="17"/>
      <c r="S1677" s="17" t="s">
        <v>4151</v>
      </c>
      <c r="U1677" s="24"/>
      <c r="V1677" s="24"/>
      <c r="W1677" s="18" t="s">
        <v>76</v>
      </c>
    </row>
    <row r="1678">
      <c r="A1678" s="11"/>
      <c r="B1678" s="23"/>
      <c r="C1678" s="23"/>
      <c r="D1678" s="23"/>
      <c r="E1678" s="23"/>
      <c r="F1678" s="13" t="s">
        <v>67</v>
      </c>
      <c r="G1678" s="23"/>
      <c r="H1678" s="23"/>
      <c r="I1678" s="23"/>
      <c r="J1678" s="17" t="s">
        <v>2796</v>
      </c>
      <c r="K1678" s="18">
        <v>8.0</v>
      </c>
      <c r="L1678" s="20">
        <v>45960.0</v>
      </c>
      <c r="M1678" s="17" t="s">
        <v>28</v>
      </c>
      <c r="N1678" s="17" t="s">
        <v>3433</v>
      </c>
      <c r="O1678" s="17">
        <v>4.1808044E7</v>
      </c>
      <c r="P1678" s="17" t="s">
        <v>3434</v>
      </c>
      <c r="Q1678" s="17" t="s">
        <v>73</v>
      </c>
      <c r="R1678" s="17"/>
      <c r="S1678" s="17" t="s">
        <v>4152</v>
      </c>
      <c r="U1678" s="24"/>
      <c r="V1678" s="24"/>
      <c r="W1678" s="18" t="s">
        <v>76</v>
      </c>
    </row>
    <row r="1679">
      <c r="A1679" s="11"/>
      <c r="B1679" s="23"/>
      <c r="C1679" s="23"/>
      <c r="D1679" s="23"/>
      <c r="E1679" s="23"/>
      <c r="F1679" s="13" t="s">
        <v>67</v>
      </c>
      <c r="G1679" s="23"/>
      <c r="H1679" s="23"/>
      <c r="I1679" s="23"/>
      <c r="J1679" s="17" t="s">
        <v>2796</v>
      </c>
      <c r="K1679" s="18">
        <v>8.0</v>
      </c>
      <c r="L1679" s="20">
        <v>45960.0</v>
      </c>
      <c r="M1679" s="17" t="s">
        <v>28</v>
      </c>
      <c r="N1679" s="17" t="s">
        <v>3152</v>
      </c>
      <c r="P1679" s="17" t="s">
        <v>81</v>
      </c>
      <c r="Q1679" s="17" t="s">
        <v>73</v>
      </c>
      <c r="R1679" s="17"/>
      <c r="S1679" s="17" t="s">
        <v>3153</v>
      </c>
      <c r="U1679" s="24"/>
      <c r="V1679" s="24"/>
      <c r="W1679" s="18" t="s">
        <v>76</v>
      </c>
    </row>
    <row r="1680">
      <c r="A1680" s="11"/>
      <c r="B1680" s="12" t="s">
        <v>43</v>
      </c>
      <c r="C1680" s="12" t="s">
        <v>65</v>
      </c>
      <c r="D1680" s="12" t="s">
        <v>43</v>
      </c>
      <c r="E1680" s="12" t="s">
        <v>66</v>
      </c>
      <c r="F1680" s="13" t="s">
        <v>67</v>
      </c>
      <c r="G1680" s="12" t="s">
        <v>68</v>
      </c>
      <c r="H1680" s="12" t="s">
        <v>69</v>
      </c>
      <c r="I1680" s="12" t="s">
        <v>70</v>
      </c>
      <c r="J1680" s="17" t="s">
        <v>2796</v>
      </c>
      <c r="K1680" s="18">
        <v>8.0</v>
      </c>
      <c r="L1680" s="20">
        <v>45960.0</v>
      </c>
      <c r="M1680" s="17" t="s">
        <v>28</v>
      </c>
      <c r="N1680" s="17" t="s">
        <v>3760</v>
      </c>
      <c r="O1680" s="17">
        <v>4.6544994E7</v>
      </c>
      <c r="P1680" s="17" t="s">
        <v>3761</v>
      </c>
      <c r="Q1680" s="17" t="s">
        <v>73</v>
      </c>
      <c r="R1680" s="17"/>
      <c r="S1680" s="17" t="s">
        <v>4153</v>
      </c>
      <c r="U1680" s="24"/>
      <c r="V1680" s="24"/>
      <c r="W1680" s="18" t="s">
        <v>76</v>
      </c>
    </row>
    <row r="1681">
      <c r="A1681" s="11"/>
      <c r="B1681" s="23"/>
      <c r="C1681" s="23"/>
      <c r="D1681" s="23"/>
      <c r="E1681" s="23"/>
      <c r="F1681" s="13" t="s">
        <v>67</v>
      </c>
      <c r="G1681" s="23"/>
      <c r="H1681" s="23"/>
      <c r="I1681" s="23"/>
      <c r="J1681" s="17" t="s">
        <v>2796</v>
      </c>
      <c r="K1681" s="18">
        <v>8.0</v>
      </c>
      <c r="L1681" s="20">
        <v>45960.0</v>
      </c>
      <c r="M1681" s="17" t="s">
        <v>28</v>
      </c>
      <c r="N1681" s="17" t="s">
        <v>3442</v>
      </c>
      <c r="O1681" s="17">
        <v>7.4533716E7</v>
      </c>
      <c r="P1681" s="17" t="s">
        <v>3443</v>
      </c>
      <c r="Q1681" s="17" t="s">
        <v>108</v>
      </c>
      <c r="R1681" s="17"/>
      <c r="S1681" s="17" t="s">
        <v>4154</v>
      </c>
      <c r="U1681" s="24"/>
      <c r="V1681" s="24"/>
      <c r="W1681" s="18" t="s">
        <v>76</v>
      </c>
    </row>
    <row r="1682">
      <c r="A1682" s="11"/>
      <c r="B1682" s="12" t="s">
        <v>43</v>
      </c>
      <c r="C1682" s="12" t="s">
        <v>65</v>
      </c>
      <c r="D1682" s="12" t="s">
        <v>43</v>
      </c>
      <c r="E1682" s="12" t="s">
        <v>66</v>
      </c>
      <c r="F1682" s="13" t="s">
        <v>67</v>
      </c>
      <c r="G1682" s="12" t="s">
        <v>68</v>
      </c>
      <c r="H1682" s="12" t="s">
        <v>69</v>
      </c>
      <c r="I1682" s="12" t="s">
        <v>70</v>
      </c>
      <c r="J1682" s="17" t="s">
        <v>2796</v>
      </c>
      <c r="K1682" s="18">
        <v>8.0</v>
      </c>
      <c r="L1682" s="20">
        <v>45960.0</v>
      </c>
      <c r="M1682" s="17" t="s">
        <v>28</v>
      </c>
      <c r="N1682" s="137" t="s">
        <v>4155</v>
      </c>
      <c r="P1682" s="17" t="s">
        <v>3946</v>
      </c>
      <c r="Q1682" s="17" t="s">
        <v>73</v>
      </c>
      <c r="R1682" s="17"/>
      <c r="S1682" s="17" t="s">
        <v>4156</v>
      </c>
      <c r="U1682" s="24"/>
      <c r="V1682" s="24"/>
      <c r="W1682" s="18" t="s">
        <v>76</v>
      </c>
    </row>
    <row r="1683">
      <c r="A1683" s="11"/>
      <c r="B1683" s="12" t="s">
        <v>43</v>
      </c>
      <c r="C1683" s="12" t="s">
        <v>65</v>
      </c>
      <c r="D1683" s="12" t="s">
        <v>43</v>
      </c>
      <c r="E1683" s="12" t="s">
        <v>66</v>
      </c>
      <c r="F1683" s="13" t="s">
        <v>67</v>
      </c>
      <c r="G1683" s="12" t="s">
        <v>68</v>
      </c>
      <c r="H1683" s="12" t="s">
        <v>69</v>
      </c>
      <c r="I1683" s="12" t="s">
        <v>70</v>
      </c>
      <c r="J1683" s="17" t="s">
        <v>2796</v>
      </c>
      <c r="K1683" s="18">
        <v>8.0</v>
      </c>
      <c r="L1683" s="20">
        <v>45960.0</v>
      </c>
      <c r="M1683" s="17" t="s">
        <v>28</v>
      </c>
      <c r="N1683" s="17" t="s">
        <v>4157</v>
      </c>
      <c r="P1683" s="17" t="s">
        <v>4158</v>
      </c>
      <c r="Q1683" s="17" t="s">
        <v>112</v>
      </c>
      <c r="R1683" s="17"/>
      <c r="S1683" s="17" t="s">
        <v>4159</v>
      </c>
      <c r="U1683" s="24"/>
      <c r="V1683" s="24"/>
      <c r="W1683" s="18" t="s">
        <v>76</v>
      </c>
    </row>
    <row r="1684">
      <c r="A1684" s="11"/>
      <c r="B1684" s="23"/>
      <c r="C1684" s="23"/>
      <c r="D1684" s="23"/>
      <c r="E1684" s="23"/>
      <c r="F1684" s="13" t="s">
        <v>67</v>
      </c>
      <c r="G1684" s="23"/>
      <c r="H1684" s="23"/>
      <c r="I1684" s="23"/>
      <c r="J1684" s="17" t="s">
        <v>2796</v>
      </c>
      <c r="K1684" s="18">
        <v>8.0</v>
      </c>
      <c r="L1684" s="20">
        <v>45960.0</v>
      </c>
      <c r="M1684" s="17" t="s">
        <v>28</v>
      </c>
      <c r="N1684" s="17" t="s">
        <v>4160</v>
      </c>
      <c r="P1684" s="17" t="s">
        <v>4161</v>
      </c>
      <c r="Q1684" s="17" t="s">
        <v>73</v>
      </c>
      <c r="R1684" s="17"/>
      <c r="S1684" s="17" t="s">
        <v>4162</v>
      </c>
      <c r="U1684" s="24"/>
      <c r="V1684" s="24"/>
      <c r="W1684" s="18" t="s">
        <v>76</v>
      </c>
    </row>
    <row r="1685">
      <c r="A1685" s="11"/>
      <c r="B1685" s="12" t="s">
        <v>43</v>
      </c>
      <c r="C1685" s="12" t="s">
        <v>65</v>
      </c>
      <c r="D1685" s="12" t="s">
        <v>43</v>
      </c>
      <c r="E1685" s="12" t="s">
        <v>66</v>
      </c>
      <c r="F1685" s="13" t="s">
        <v>67</v>
      </c>
      <c r="G1685" s="12" t="s">
        <v>68</v>
      </c>
      <c r="H1685" s="12" t="s">
        <v>69</v>
      </c>
      <c r="I1685" s="12" t="s">
        <v>70</v>
      </c>
      <c r="J1685" s="17" t="s">
        <v>2796</v>
      </c>
      <c r="K1685" s="18">
        <v>8.0</v>
      </c>
      <c r="L1685" s="20">
        <v>45960.0</v>
      </c>
      <c r="M1685" s="17" t="s">
        <v>28</v>
      </c>
      <c r="N1685" s="17" t="s">
        <v>3417</v>
      </c>
      <c r="P1685" s="119" t="s">
        <v>1586</v>
      </c>
      <c r="Q1685" s="17" t="s">
        <v>112</v>
      </c>
      <c r="R1685" s="17"/>
      <c r="S1685" s="17" t="s">
        <v>3159</v>
      </c>
      <c r="U1685" s="24"/>
      <c r="V1685" s="24"/>
      <c r="W1685" s="18" t="s">
        <v>76</v>
      </c>
    </row>
    <row r="1686">
      <c r="A1686" s="11"/>
      <c r="B1686" s="12" t="s">
        <v>43</v>
      </c>
      <c r="C1686" s="12" t="s">
        <v>65</v>
      </c>
      <c r="D1686" s="12" t="s">
        <v>43</v>
      </c>
      <c r="E1686" s="12" t="s">
        <v>203</v>
      </c>
      <c r="F1686" s="13" t="s">
        <v>204</v>
      </c>
      <c r="G1686" s="12" t="s">
        <v>68</v>
      </c>
      <c r="H1686" s="12" t="s">
        <v>205</v>
      </c>
      <c r="I1686" s="12" t="s">
        <v>206</v>
      </c>
      <c r="J1686" s="17" t="s">
        <v>2796</v>
      </c>
      <c r="K1686" s="18">
        <v>7.0</v>
      </c>
      <c r="L1686" s="20">
        <v>45951.0</v>
      </c>
      <c r="M1686" s="17" t="s">
        <v>28</v>
      </c>
      <c r="N1686" s="17" t="s">
        <v>4163</v>
      </c>
      <c r="O1686" s="17">
        <v>3.2288379E7</v>
      </c>
      <c r="P1686" s="17" t="s">
        <v>4164</v>
      </c>
      <c r="Q1686" s="17" t="s">
        <v>73</v>
      </c>
      <c r="R1686" s="17"/>
      <c r="S1686" s="17" t="s">
        <v>4165</v>
      </c>
      <c r="U1686" s="24"/>
      <c r="V1686" s="24"/>
      <c r="W1686" s="18" t="s">
        <v>76</v>
      </c>
    </row>
    <row r="1687">
      <c r="A1687" s="11"/>
      <c r="B1687" s="12" t="s">
        <v>43</v>
      </c>
      <c r="C1687" s="12" t="s">
        <v>65</v>
      </c>
      <c r="D1687" s="12" t="s">
        <v>43</v>
      </c>
      <c r="E1687" s="12" t="s">
        <v>203</v>
      </c>
      <c r="F1687" s="13" t="s">
        <v>204</v>
      </c>
      <c r="G1687" s="12" t="s">
        <v>68</v>
      </c>
      <c r="H1687" s="12" t="s">
        <v>205</v>
      </c>
      <c r="I1687" s="12" t="s">
        <v>206</v>
      </c>
      <c r="J1687" s="17" t="s">
        <v>2796</v>
      </c>
      <c r="K1687" s="18">
        <v>7.0</v>
      </c>
      <c r="L1687" s="20">
        <v>45951.0</v>
      </c>
      <c r="M1687" s="17" t="s">
        <v>28</v>
      </c>
      <c r="N1687" s="17" t="s">
        <v>4166</v>
      </c>
      <c r="O1687" s="17">
        <v>7.3312557E7</v>
      </c>
      <c r="P1687" s="17" t="s">
        <v>4167</v>
      </c>
      <c r="Q1687" s="17" t="s">
        <v>73</v>
      </c>
      <c r="R1687" s="17"/>
      <c r="S1687" s="17" t="s">
        <v>4168</v>
      </c>
      <c r="U1687" s="24"/>
      <c r="V1687" s="24"/>
      <c r="W1687" s="18" t="s">
        <v>76</v>
      </c>
    </row>
    <row r="1688">
      <c r="A1688" s="11"/>
      <c r="B1688" s="12" t="s">
        <v>43</v>
      </c>
      <c r="C1688" s="12" t="s">
        <v>65</v>
      </c>
      <c r="D1688" s="12" t="s">
        <v>43</v>
      </c>
      <c r="E1688" s="12" t="s">
        <v>203</v>
      </c>
      <c r="F1688" s="13" t="s">
        <v>204</v>
      </c>
      <c r="G1688" s="12" t="s">
        <v>68</v>
      </c>
      <c r="H1688" s="12" t="s">
        <v>205</v>
      </c>
      <c r="I1688" s="12" t="s">
        <v>206</v>
      </c>
      <c r="J1688" s="17" t="s">
        <v>2796</v>
      </c>
      <c r="K1688" s="18">
        <v>7.0</v>
      </c>
      <c r="L1688" s="20">
        <v>45951.0</v>
      </c>
      <c r="M1688" s="17" t="s">
        <v>28</v>
      </c>
      <c r="N1688" s="17" t="s">
        <v>4169</v>
      </c>
      <c r="O1688" s="17">
        <v>7.1016979E7</v>
      </c>
      <c r="P1688" s="17" t="s">
        <v>4170</v>
      </c>
      <c r="Q1688" s="17" t="s">
        <v>73</v>
      </c>
      <c r="R1688" s="17"/>
      <c r="S1688" s="17" t="s">
        <v>4171</v>
      </c>
      <c r="U1688" s="24"/>
      <c r="V1688" s="24"/>
      <c r="W1688" s="18" t="s">
        <v>76</v>
      </c>
    </row>
    <row r="1689">
      <c r="A1689" s="11"/>
      <c r="B1689" s="12" t="s">
        <v>43</v>
      </c>
      <c r="C1689" s="12" t="s">
        <v>65</v>
      </c>
      <c r="D1689" s="12" t="s">
        <v>43</v>
      </c>
      <c r="E1689" s="12" t="s">
        <v>203</v>
      </c>
      <c r="F1689" s="13" t="s">
        <v>204</v>
      </c>
      <c r="G1689" s="12" t="s">
        <v>68</v>
      </c>
      <c r="H1689" s="12" t="s">
        <v>205</v>
      </c>
      <c r="I1689" s="12" t="s">
        <v>206</v>
      </c>
      <c r="J1689" s="17" t="s">
        <v>2796</v>
      </c>
      <c r="K1689" s="18">
        <v>7.0</v>
      </c>
      <c r="L1689" s="20">
        <v>45951.0</v>
      </c>
      <c r="M1689" s="17" t="s">
        <v>28</v>
      </c>
      <c r="N1689" s="17" t="s">
        <v>3617</v>
      </c>
      <c r="O1689" s="17">
        <v>7.3992117E7</v>
      </c>
      <c r="P1689" s="17" t="s">
        <v>4172</v>
      </c>
      <c r="Q1689" s="17" t="s">
        <v>73</v>
      </c>
      <c r="R1689" s="17"/>
      <c r="S1689" s="17" t="s">
        <v>4173</v>
      </c>
      <c r="U1689" s="24"/>
      <c r="V1689" s="24"/>
      <c r="W1689" s="18" t="s">
        <v>76</v>
      </c>
    </row>
    <row r="1690">
      <c r="A1690" s="11"/>
      <c r="B1690" s="12" t="s">
        <v>43</v>
      </c>
      <c r="C1690" s="12" t="s">
        <v>65</v>
      </c>
      <c r="D1690" s="12" t="s">
        <v>321</v>
      </c>
      <c r="E1690" s="12" t="s">
        <v>321</v>
      </c>
      <c r="F1690" s="13" t="s">
        <v>322</v>
      </c>
      <c r="G1690" s="12" t="s">
        <v>68</v>
      </c>
      <c r="H1690" s="12" t="s">
        <v>323</v>
      </c>
      <c r="I1690" s="12" t="s">
        <v>324</v>
      </c>
      <c r="J1690" s="17" t="s">
        <v>2687</v>
      </c>
      <c r="K1690" s="18">
        <v>1.0</v>
      </c>
      <c r="L1690" s="20"/>
      <c r="M1690" s="17" t="s">
        <v>23</v>
      </c>
      <c r="N1690" s="116" t="s">
        <v>4174</v>
      </c>
      <c r="O1690" s="17">
        <v>7.4426463E7</v>
      </c>
      <c r="P1690" s="17"/>
      <c r="Q1690" s="17" t="s">
        <v>73</v>
      </c>
      <c r="R1690" s="17" t="s">
        <v>4175</v>
      </c>
      <c r="S1690" s="17" t="s">
        <v>4176</v>
      </c>
      <c r="U1690" s="24"/>
      <c r="V1690" s="24"/>
      <c r="W1690" s="18" t="s">
        <v>76</v>
      </c>
    </row>
    <row r="1691">
      <c r="A1691" s="11"/>
      <c r="B1691" s="12" t="s">
        <v>43</v>
      </c>
      <c r="C1691" s="12" t="s">
        <v>65</v>
      </c>
      <c r="D1691" s="12" t="s">
        <v>321</v>
      </c>
      <c r="E1691" s="12" t="s">
        <v>321</v>
      </c>
      <c r="F1691" s="13" t="s">
        <v>322</v>
      </c>
      <c r="G1691" s="12" t="s">
        <v>68</v>
      </c>
      <c r="H1691" s="12" t="s">
        <v>323</v>
      </c>
      <c r="I1691" s="12" t="s">
        <v>324</v>
      </c>
      <c r="J1691" s="17" t="s">
        <v>2687</v>
      </c>
      <c r="K1691" s="18">
        <v>1.0</v>
      </c>
      <c r="L1691" s="20"/>
      <c r="M1691" s="17" t="s">
        <v>23</v>
      </c>
      <c r="N1691" s="116" t="s">
        <v>4177</v>
      </c>
      <c r="P1691" s="17"/>
      <c r="Q1691" s="17" t="s">
        <v>112</v>
      </c>
      <c r="R1691" s="17"/>
      <c r="S1691" s="17" t="s">
        <v>112</v>
      </c>
      <c r="U1691" s="24"/>
      <c r="V1691" s="24"/>
      <c r="W1691" s="18" t="s">
        <v>76</v>
      </c>
    </row>
    <row r="1692">
      <c r="A1692" s="11"/>
      <c r="B1692" s="12" t="s">
        <v>43</v>
      </c>
      <c r="C1692" s="12" t="s">
        <v>65</v>
      </c>
      <c r="D1692" s="12" t="s">
        <v>321</v>
      </c>
      <c r="E1692" s="12" t="s">
        <v>321</v>
      </c>
      <c r="F1692" s="13" t="s">
        <v>322</v>
      </c>
      <c r="G1692" s="12" t="s">
        <v>68</v>
      </c>
      <c r="H1692" s="12" t="s">
        <v>323</v>
      </c>
      <c r="I1692" s="12" t="s">
        <v>324</v>
      </c>
      <c r="J1692" s="17" t="s">
        <v>2687</v>
      </c>
      <c r="K1692" s="18">
        <v>1.0</v>
      </c>
      <c r="L1692" s="20"/>
      <c r="M1692" s="17" t="s">
        <v>23</v>
      </c>
      <c r="N1692" s="17" t="s">
        <v>4178</v>
      </c>
      <c r="O1692" s="17">
        <v>4.5112687E7</v>
      </c>
      <c r="Q1692" s="17" t="s">
        <v>73</v>
      </c>
      <c r="R1692" s="17" t="s">
        <v>4179</v>
      </c>
      <c r="S1692" s="17" t="s">
        <v>4180</v>
      </c>
      <c r="U1692" s="24"/>
      <c r="V1692" s="24"/>
      <c r="W1692" s="18" t="s">
        <v>76</v>
      </c>
    </row>
    <row r="1693">
      <c r="A1693" s="11"/>
      <c r="B1693" s="23"/>
      <c r="C1693" s="23"/>
      <c r="D1693" s="23"/>
      <c r="E1693" s="23"/>
      <c r="F1693" s="13" t="s">
        <v>322</v>
      </c>
      <c r="G1693" s="23"/>
      <c r="H1693" s="23"/>
      <c r="I1693" s="23"/>
      <c r="J1693" s="17" t="s">
        <v>2687</v>
      </c>
      <c r="K1693" s="18">
        <v>1.0</v>
      </c>
      <c r="L1693" s="20"/>
      <c r="M1693" s="17" t="s">
        <v>23</v>
      </c>
      <c r="N1693" s="123" t="s">
        <v>3525</v>
      </c>
      <c r="O1693" s="17">
        <v>4.2160169E7</v>
      </c>
      <c r="P1693" s="17"/>
      <c r="Q1693" s="17" t="s">
        <v>108</v>
      </c>
      <c r="R1693" s="17" t="s">
        <v>4181</v>
      </c>
      <c r="S1693" s="17" t="s">
        <v>4182</v>
      </c>
      <c r="U1693" s="24"/>
      <c r="V1693" s="24"/>
      <c r="W1693" s="18" t="s">
        <v>76</v>
      </c>
    </row>
    <row r="1694">
      <c r="A1694" s="11"/>
      <c r="B1694" s="12" t="s">
        <v>43</v>
      </c>
      <c r="C1694" s="12" t="s">
        <v>65</v>
      </c>
      <c r="D1694" s="12" t="s">
        <v>321</v>
      </c>
      <c r="E1694" s="12" t="s">
        <v>321</v>
      </c>
      <c r="F1694" s="13" t="s">
        <v>322</v>
      </c>
      <c r="G1694" s="12" t="s">
        <v>68</v>
      </c>
      <c r="H1694" s="12" t="s">
        <v>323</v>
      </c>
      <c r="I1694" s="12" t="s">
        <v>324</v>
      </c>
      <c r="J1694" s="17" t="s">
        <v>2687</v>
      </c>
      <c r="K1694" s="18">
        <v>1.0</v>
      </c>
      <c r="L1694" s="20"/>
      <c r="M1694" s="17" t="s">
        <v>23</v>
      </c>
      <c r="N1694" s="17" t="s">
        <v>4183</v>
      </c>
      <c r="O1694" s="17">
        <v>3.1669626E7</v>
      </c>
      <c r="P1694" s="17"/>
      <c r="Q1694" s="17" t="s">
        <v>112</v>
      </c>
      <c r="R1694" s="17" t="s">
        <v>4184</v>
      </c>
      <c r="S1694" s="17" t="s">
        <v>4185</v>
      </c>
      <c r="U1694" s="24"/>
      <c r="V1694" s="24"/>
      <c r="W1694" s="18" t="s">
        <v>76</v>
      </c>
    </row>
    <row r="1695">
      <c r="A1695" s="11"/>
      <c r="B1695" s="23"/>
      <c r="C1695" s="23"/>
      <c r="D1695" s="23"/>
      <c r="E1695" s="23"/>
      <c r="F1695" s="13" t="s">
        <v>322</v>
      </c>
      <c r="G1695" s="23"/>
      <c r="H1695" s="23"/>
      <c r="I1695" s="23"/>
      <c r="J1695" s="17" t="s">
        <v>2687</v>
      </c>
      <c r="K1695" s="18">
        <v>1.0</v>
      </c>
      <c r="L1695" s="20"/>
      <c r="M1695" s="17" t="s">
        <v>23</v>
      </c>
      <c r="N1695" s="17" t="s">
        <v>4186</v>
      </c>
      <c r="O1695" s="17">
        <v>4.3823655E7</v>
      </c>
      <c r="P1695" s="17"/>
      <c r="Q1695" s="17" t="s">
        <v>73</v>
      </c>
      <c r="R1695" s="17" t="s">
        <v>4175</v>
      </c>
      <c r="S1695" s="17" t="s">
        <v>4176</v>
      </c>
      <c r="U1695" s="24"/>
      <c r="V1695" s="24"/>
      <c r="W1695" s="18" t="s">
        <v>76</v>
      </c>
    </row>
    <row r="1696">
      <c r="A1696" s="11"/>
      <c r="B1696" s="12" t="s">
        <v>43</v>
      </c>
      <c r="C1696" s="12" t="s">
        <v>65</v>
      </c>
      <c r="D1696" s="12" t="s">
        <v>321</v>
      </c>
      <c r="E1696" s="12" t="s">
        <v>321</v>
      </c>
      <c r="F1696" s="13" t="s">
        <v>322</v>
      </c>
      <c r="G1696" s="12" t="s">
        <v>68</v>
      </c>
      <c r="H1696" s="12" t="s">
        <v>323</v>
      </c>
      <c r="I1696" s="12" t="s">
        <v>324</v>
      </c>
      <c r="J1696" s="17" t="s">
        <v>2687</v>
      </c>
      <c r="K1696" s="18">
        <v>1.0</v>
      </c>
      <c r="L1696" s="20"/>
      <c r="M1696" s="17" t="s">
        <v>23</v>
      </c>
      <c r="N1696" s="17" t="s">
        <v>4187</v>
      </c>
      <c r="O1696" s="17">
        <v>4.0687336E7</v>
      </c>
      <c r="P1696" s="17"/>
      <c r="Q1696" s="17" t="s">
        <v>73</v>
      </c>
      <c r="R1696" s="17" t="s">
        <v>4179</v>
      </c>
      <c r="S1696" s="17" t="s">
        <v>4180</v>
      </c>
      <c r="U1696" s="24"/>
      <c r="V1696" s="24"/>
      <c r="W1696" s="18" t="s">
        <v>76</v>
      </c>
    </row>
    <row r="1697">
      <c r="A1697" s="11"/>
      <c r="B1697" s="12" t="s">
        <v>43</v>
      </c>
      <c r="C1697" s="12" t="s">
        <v>65</v>
      </c>
      <c r="D1697" s="12" t="s">
        <v>321</v>
      </c>
      <c r="E1697" s="12" t="s">
        <v>321</v>
      </c>
      <c r="F1697" s="13" t="s">
        <v>322</v>
      </c>
      <c r="G1697" s="12" t="s">
        <v>68</v>
      </c>
      <c r="H1697" s="12" t="s">
        <v>323</v>
      </c>
      <c r="I1697" s="12" t="s">
        <v>324</v>
      </c>
      <c r="J1697" s="17" t="s">
        <v>2687</v>
      </c>
      <c r="K1697" s="18">
        <v>1.0</v>
      </c>
      <c r="L1697" s="20"/>
      <c r="M1697" s="17" t="s">
        <v>23</v>
      </c>
      <c r="N1697" s="17" t="s">
        <v>4188</v>
      </c>
      <c r="O1697" s="17">
        <v>3.1666667E7</v>
      </c>
      <c r="P1697" s="17"/>
      <c r="Q1697" s="17" t="s">
        <v>108</v>
      </c>
      <c r="R1697" s="17" t="s">
        <v>4189</v>
      </c>
      <c r="S1697" s="17" t="s">
        <v>4190</v>
      </c>
      <c r="U1697" s="24"/>
      <c r="V1697" s="24"/>
      <c r="W1697" s="18" t="s">
        <v>76</v>
      </c>
    </row>
    <row r="1698">
      <c r="A1698" s="11"/>
      <c r="B1698" s="23"/>
      <c r="C1698" s="23"/>
      <c r="D1698" s="23"/>
      <c r="E1698" s="23"/>
      <c r="F1698" s="13" t="s">
        <v>322</v>
      </c>
      <c r="G1698" s="23"/>
      <c r="H1698" s="23"/>
      <c r="I1698" s="23"/>
      <c r="J1698" s="17" t="s">
        <v>2779</v>
      </c>
      <c r="K1698" s="18" t="s">
        <v>2780</v>
      </c>
      <c r="L1698" s="20">
        <v>45959.0</v>
      </c>
      <c r="M1698" s="17" t="s">
        <v>28</v>
      </c>
      <c r="N1698" s="17" t="s">
        <v>3522</v>
      </c>
      <c r="O1698" s="17">
        <v>4.7527243E7</v>
      </c>
      <c r="P1698" s="17" t="s">
        <v>3523</v>
      </c>
      <c r="Q1698" s="17" t="s">
        <v>73</v>
      </c>
      <c r="R1698" s="17" t="s">
        <v>4175</v>
      </c>
      <c r="S1698" s="17" t="s">
        <v>4191</v>
      </c>
      <c r="U1698" s="24"/>
      <c r="V1698" s="24"/>
      <c r="W1698" s="18" t="s">
        <v>76</v>
      </c>
    </row>
    <row r="1699">
      <c r="A1699" s="11"/>
      <c r="B1699" s="12" t="s">
        <v>43</v>
      </c>
      <c r="C1699" s="12" t="s">
        <v>65</v>
      </c>
      <c r="D1699" s="12" t="s">
        <v>321</v>
      </c>
      <c r="E1699" s="12" t="s">
        <v>321</v>
      </c>
      <c r="F1699" s="13" t="s">
        <v>322</v>
      </c>
      <c r="G1699" s="12" t="s">
        <v>68</v>
      </c>
      <c r="H1699" s="12" t="s">
        <v>323</v>
      </c>
      <c r="I1699" s="12" t="s">
        <v>324</v>
      </c>
      <c r="J1699" s="17" t="s">
        <v>2779</v>
      </c>
      <c r="K1699" s="18" t="s">
        <v>2780</v>
      </c>
      <c r="L1699" s="20">
        <v>45959.0</v>
      </c>
      <c r="M1699" s="17" t="s">
        <v>28</v>
      </c>
      <c r="N1699" s="17" t="s">
        <v>3496</v>
      </c>
      <c r="O1699" s="17">
        <v>4.2459563E7</v>
      </c>
      <c r="P1699" s="17" t="s">
        <v>3497</v>
      </c>
      <c r="Q1699" s="17" t="s">
        <v>73</v>
      </c>
      <c r="R1699" s="17" t="s">
        <v>4175</v>
      </c>
      <c r="S1699" s="17" t="s">
        <v>4192</v>
      </c>
      <c r="U1699" s="24"/>
      <c r="V1699" s="24"/>
      <c r="W1699" s="18" t="s">
        <v>76</v>
      </c>
    </row>
    <row r="1700">
      <c r="A1700" s="11"/>
      <c r="B1700" s="12" t="s">
        <v>34</v>
      </c>
      <c r="C1700" s="12" t="s">
        <v>65</v>
      </c>
      <c r="D1700" s="12" t="s">
        <v>43</v>
      </c>
      <c r="E1700" s="12" t="s">
        <v>717</v>
      </c>
      <c r="F1700" s="13" t="s">
        <v>718</v>
      </c>
      <c r="G1700" s="12" t="s">
        <v>68</v>
      </c>
      <c r="H1700" s="12" t="s">
        <v>719</v>
      </c>
      <c r="I1700" s="12" t="s">
        <v>720</v>
      </c>
      <c r="J1700" s="17" t="s">
        <v>2687</v>
      </c>
      <c r="K1700" s="18">
        <v>2.0</v>
      </c>
      <c r="L1700" s="20">
        <v>45961.0</v>
      </c>
      <c r="M1700" s="2"/>
      <c r="N1700" s="17" t="s">
        <v>3919</v>
      </c>
      <c r="P1700" s="17"/>
      <c r="Q1700" s="17" t="s">
        <v>112</v>
      </c>
      <c r="R1700" s="17"/>
      <c r="S1700" s="17" t="s">
        <v>112</v>
      </c>
      <c r="U1700" s="24"/>
      <c r="V1700" s="24"/>
      <c r="W1700" s="18" t="s">
        <v>638</v>
      </c>
    </row>
    <row r="1701">
      <c r="A1701" s="11"/>
      <c r="B1701" s="12" t="s">
        <v>34</v>
      </c>
      <c r="C1701" s="12" t="s">
        <v>65</v>
      </c>
      <c r="D1701" s="12" t="s">
        <v>43</v>
      </c>
      <c r="E1701" s="12" t="s">
        <v>717</v>
      </c>
      <c r="F1701" s="13" t="s">
        <v>718</v>
      </c>
      <c r="G1701" s="12" t="s">
        <v>68</v>
      </c>
      <c r="H1701" s="12" t="s">
        <v>719</v>
      </c>
      <c r="I1701" s="12" t="s">
        <v>720</v>
      </c>
      <c r="J1701" s="17" t="s">
        <v>2687</v>
      </c>
      <c r="K1701" s="18">
        <v>2.0</v>
      </c>
      <c r="L1701" s="20">
        <v>45961.0</v>
      </c>
      <c r="M1701" s="2"/>
      <c r="N1701" s="17" t="s">
        <v>3920</v>
      </c>
      <c r="P1701" s="17"/>
      <c r="Q1701" s="17" t="s">
        <v>73</v>
      </c>
      <c r="R1701" s="17"/>
      <c r="S1701" s="17" t="s">
        <v>73</v>
      </c>
      <c r="U1701" s="24"/>
      <c r="V1701" s="24"/>
      <c r="W1701" s="18" t="s">
        <v>638</v>
      </c>
    </row>
    <row r="1702">
      <c r="A1702" s="11"/>
      <c r="B1702" s="12" t="s">
        <v>34</v>
      </c>
      <c r="C1702" s="12" t="s">
        <v>65</v>
      </c>
      <c r="D1702" s="12" t="s">
        <v>43</v>
      </c>
      <c r="E1702" s="12" t="s">
        <v>717</v>
      </c>
      <c r="F1702" s="13" t="s">
        <v>718</v>
      </c>
      <c r="G1702" s="12" t="s">
        <v>68</v>
      </c>
      <c r="H1702" s="12" t="s">
        <v>719</v>
      </c>
      <c r="I1702" s="12" t="s">
        <v>720</v>
      </c>
      <c r="J1702" s="17" t="s">
        <v>2687</v>
      </c>
      <c r="K1702" s="18">
        <v>2.0</v>
      </c>
      <c r="L1702" s="20">
        <v>45961.0</v>
      </c>
      <c r="M1702" s="2"/>
      <c r="N1702" s="17" t="s">
        <v>3921</v>
      </c>
      <c r="P1702" s="17"/>
      <c r="Q1702" s="17" t="s">
        <v>73</v>
      </c>
      <c r="R1702" s="17" t="s">
        <v>3922</v>
      </c>
      <c r="S1702" s="17" t="s">
        <v>3923</v>
      </c>
      <c r="U1702" s="24"/>
      <c r="V1702" s="24"/>
      <c r="W1702" s="18" t="s">
        <v>638</v>
      </c>
    </row>
    <row r="1703">
      <c r="A1703" s="11"/>
      <c r="B1703" s="12" t="s">
        <v>34</v>
      </c>
      <c r="C1703" s="12" t="s">
        <v>65</v>
      </c>
      <c r="D1703" s="12" t="s">
        <v>43</v>
      </c>
      <c r="E1703" s="12" t="s">
        <v>717</v>
      </c>
      <c r="F1703" s="13" t="s">
        <v>718</v>
      </c>
      <c r="G1703" s="12" t="s">
        <v>68</v>
      </c>
      <c r="H1703" s="12" t="s">
        <v>719</v>
      </c>
      <c r="I1703" s="12" t="s">
        <v>720</v>
      </c>
      <c r="J1703" s="17" t="s">
        <v>2687</v>
      </c>
      <c r="K1703" s="18">
        <v>2.0</v>
      </c>
      <c r="L1703" s="20">
        <v>45961.0</v>
      </c>
      <c r="M1703" s="2"/>
      <c r="N1703" s="17" t="s">
        <v>3924</v>
      </c>
      <c r="P1703" s="17"/>
      <c r="Q1703" s="17" t="s">
        <v>108</v>
      </c>
      <c r="R1703" s="17"/>
      <c r="S1703" s="17" t="s">
        <v>108</v>
      </c>
      <c r="U1703" s="24"/>
      <c r="V1703" s="24"/>
      <c r="W1703" s="18" t="s">
        <v>638</v>
      </c>
    </row>
    <row r="1704">
      <c r="A1704" s="11"/>
      <c r="B1704" s="12" t="s">
        <v>34</v>
      </c>
      <c r="C1704" s="12" t="s">
        <v>65</v>
      </c>
      <c r="D1704" s="12" t="s">
        <v>43</v>
      </c>
      <c r="E1704" s="12" t="s">
        <v>691</v>
      </c>
      <c r="F1704" s="13" t="s">
        <v>692</v>
      </c>
      <c r="G1704" s="12" t="s">
        <v>68</v>
      </c>
      <c r="H1704" s="12" t="s">
        <v>693</v>
      </c>
      <c r="I1704" s="12" t="s">
        <v>694</v>
      </c>
      <c r="J1704" s="17" t="s">
        <v>2687</v>
      </c>
      <c r="K1704" s="18">
        <v>2.0</v>
      </c>
      <c r="L1704" s="20">
        <v>45961.0</v>
      </c>
      <c r="M1704" s="2"/>
      <c r="N1704" s="17" t="s">
        <v>3925</v>
      </c>
      <c r="P1704" s="17"/>
      <c r="Q1704" s="17" t="s">
        <v>73</v>
      </c>
      <c r="R1704" s="17" t="s">
        <v>3922</v>
      </c>
      <c r="S1704" s="17" t="s">
        <v>3923</v>
      </c>
      <c r="U1704" s="24"/>
      <c r="V1704" s="24"/>
      <c r="W1704" s="18" t="s">
        <v>638</v>
      </c>
    </row>
    <row r="1705">
      <c r="A1705" s="11"/>
      <c r="B1705" s="12" t="s">
        <v>34</v>
      </c>
      <c r="C1705" s="12" t="s">
        <v>65</v>
      </c>
      <c r="D1705" s="12" t="s">
        <v>43</v>
      </c>
      <c r="E1705" s="12" t="s">
        <v>691</v>
      </c>
      <c r="F1705" s="13" t="s">
        <v>692</v>
      </c>
      <c r="G1705" s="12" t="s">
        <v>68</v>
      </c>
      <c r="H1705" s="12" t="s">
        <v>693</v>
      </c>
      <c r="I1705" s="12" t="s">
        <v>694</v>
      </c>
      <c r="J1705" s="17" t="s">
        <v>2687</v>
      </c>
      <c r="K1705" s="18">
        <v>2.0</v>
      </c>
      <c r="L1705" s="20">
        <v>45961.0</v>
      </c>
      <c r="M1705" s="2"/>
      <c r="N1705" s="17" t="s">
        <v>3927</v>
      </c>
      <c r="P1705" s="17"/>
      <c r="Q1705" s="17" t="s">
        <v>73</v>
      </c>
      <c r="R1705" s="17"/>
      <c r="S1705" s="17" t="s">
        <v>73</v>
      </c>
      <c r="U1705" s="24"/>
      <c r="V1705" s="24"/>
      <c r="W1705" s="18" t="s">
        <v>638</v>
      </c>
    </row>
    <row r="1706">
      <c r="A1706" s="11"/>
      <c r="B1706" s="12" t="s">
        <v>34</v>
      </c>
      <c r="C1706" s="12" t="s">
        <v>65</v>
      </c>
      <c r="D1706" s="12" t="s">
        <v>43</v>
      </c>
      <c r="E1706" s="12" t="s">
        <v>691</v>
      </c>
      <c r="F1706" s="13" t="s">
        <v>692</v>
      </c>
      <c r="G1706" s="12" t="s">
        <v>68</v>
      </c>
      <c r="H1706" s="12" t="s">
        <v>693</v>
      </c>
      <c r="I1706" s="12" t="s">
        <v>694</v>
      </c>
      <c r="J1706" s="17" t="s">
        <v>2687</v>
      </c>
      <c r="K1706" s="18">
        <v>2.0</v>
      </c>
      <c r="L1706" s="20">
        <v>45961.0</v>
      </c>
      <c r="M1706" s="2"/>
      <c r="N1706" s="17" t="s">
        <v>3928</v>
      </c>
      <c r="P1706" s="17"/>
      <c r="Q1706" s="17" t="s">
        <v>108</v>
      </c>
      <c r="R1706" s="17"/>
      <c r="S1706" s="17" t="s">
        <v>108</v>
      </c>
      <c r="U1706" s="24"/>
      <c r="V1706" s="24"/>
      <c r="W1706" s="18" t="s">
        <v>638</v>
      </c>
    </row>
    <row r="1707">
      <c r="A1707" s="11"/>
      <c r="B1707" s="12" t="s">
        <v>34</v>
      </c>
      <c r="C1707" s="12" t="s">
        <v>65</v>
      </c>
      <c r="D1707" s="12" t="s">
        <v>43</v>
      </c>
      <c r="E1707" s="12" t="s">
        <v>691</v>
      </c>
      <c r="F1707" s="13" t="s">
        <v>692</v>
      </c>
      <c r="G1707" s="12" t="s">
        <v>68</v>
      </c>
      <c r="H1707" s="12" t="s">
        <v>693</v>
      </c>
      <c r="I1707" s="12" t="s">
        <v>694</v>
      </c>
      <c r="J1707" s="17" t="s">
        <v>2687</v>
      </c>
      <c r="K1707" s="18">
        <v>2.0</v>
      </c>
      <c r="L1707" s="20">
        <v>45961.0</v>
      </c>
      <c r="M1707" s="2"/>
      <c r="N1707" s="17" t="s">
        <v>3406</v>
      </c>
      <c r="P1707" s="17"/>
      <c r="Q1707" s="17" t="s">
        <v>73</v>
      </c>
      <c r="R1707" s="17"/>
      <c r="S1707" s="17" t="s">
        <v>73</v>
      </c>
      <c r="U1707" s="24"/>
      <c r="V1707" s="24"/>
      <c r="W1707" s="18" t="s">
        <v>638</v>
      </c>
    </row>
    <row r="1708">
      <c r="A1708" s="11"/>
      <c r="B1708" s="12" t="s">
        <v>34</v>
      </c>
      <c r="C1708" s="12" t="s">
        <v>65</v>
      </c>
      <c r="D1708" s="12" t="s">
        <v>43</v>
      </c>
      <c r="E1708" s="12" t="s">
        <v>691</v>
      </c>
      <c r="F1708" s="13" t="s">
        <v>692</v>
      </c>
      <c r="G1708" s="12" t="s">
        <v>68</v>
      </c>
      <c r="H1708" s="12" t="s">
        <v>693</v>
      </c>
      <c r="I1708" s="12" t="s">
        <v>694</v>
      </c>
      <c r="J1708" s="17" t="s">
        <v>2687</v>
      </c>
      <c r="K1708" s="18">
        <v>2.0</v>
      </c>
      <c r="L1708" s="20">
        <v>45961.0</v>
      </c>
      <c r="M1708" s="2"/>
      <c r="N1708" s="17" t="s">
        <v>3405</v>
      </c>
      <c r="P1708" s="17"/>
      <c r="Q1708" s="17" t="s">
        <v>112</v>
      </c>
      <c r="R1708" s="17"/>
      <c r="S1708" s="17" t="s">
        <v>112</v>
      </c>
      <c r="U1708" s="24"/>
      <c r="V1708" s="24"/>
      <c r="W1708" s="18" t="s">
        <v>638</v>
      </c>
    </row>
    <row r="1709">
      <c r="A1709" s="11"/>
      <c r="B1709" s="12" t="s">
        <v>34</v>
      </c>
      <c r="C1709" s="12" t="s">
        <v>65</v>
      </c>
      <c r="D1709" s="12" t="s">
        <v>43</v>
      </c>
      <c r="E1709" s="12" t="s">
        <v>773</v>
      </c>
      <c r="F1709" s="13" t="s">
        <v>774</v>
      </c>
      <c r="G1709" s="12" t="s">
        <v>68</v>
      </c>
      <c r="H1709" s="12" t="s">
        <v>775</v>
      </c>
      <c r="I1709" s="12" t="s">
        <v>776</v>
      </c>
      <c r="J1709" s="17" t="s">
        <v>2687</v>
      </c>
      <c r="K1709" s="18">
        <v>2.0</v>
      </c>
      <c r="L1709" s="20">
        <v>45961.0</v>
      </c>
      <c r="M1709" s="2"/>
      <c r="N1709" s="17" t="s">
        <v>3931</v>
      </c>
      <c r="P1709" s="17"/>
      <c r="Q1709" s="17" t="s">
        <v>108</v>
      </c>
      <c r="R1709" s="17"/>
      <c r="S1709" s="17" t="s">
        <v>108</v>
      </c>
      <c r="U1709" s="24"/>
      <c r="V1709" s="24"/>
      <c r="W1709" s="18" t="s">
        <v>638</v>
      </c>
    </row>
    <row r="1710">
      <c r="A1710" s="11"/>
      <c r="B1710" s="12" t="s">
        <v>34</v>
      </c>
      <c r="C1710" s="12" t="s">
        <v>65</v>
      </c>
      <c r="D1710" s="12" t="s">
        <v>43</v>
      </c>
      <c r="E1710" s="12" t="s">
        <v>773</v>
      </c>
      <c r="F1710" s="13" t="s">
        <v>774</v>
      </c>
      <c r="G1710" s="12" t="s">
        <v>68</v>
      </c>
      <c r="H1710" s="12" t="s">
        <v>775</v>
      </c>
      <c r="I1710" s="12" t="s">
        <v>776</v>
      </c>
      <c r="J1710" s="17" t="s">
        <v>2687</v>
      </c>
      <c r="K1710" s="18">
        <v>2.0</v>
      </c>
      <c r="L1710" s="20">
        <v>45961.0</v>
      </c>
      <c r="M1710" s="2"/>
      <c r="N1710" s="17" t="s">
        <v>3934</v>
      </c>
      <c r="P1710" s="17"/>
      <c r="Q1710" s="17" t="s">
        <v>73</v>
      </c>
      <c r="R1710" s="17"/>
      <c r="S1710" s="17" t="s">
        <v>73</v>
      </c>
      <c r="U1710" s="24"/>
      <c r="V1710" s="24"/>
      <c r="W1710" s="18" t="s">
        <v>638</v>
      </c>
    </row>
    <row r="1711">
      <c r="A1711" s="11"/>
      <c r="B1711" s="12" t="s">
        <v>7</v>
      </c>
      <c r="C1711" s="12" t="s">
        <v>8</v>
      </c>
      <c r="D1711" s="12" t="s">
        <v>15</v>
      </c>
      <c r="E1711" s="12" t="s">
        <v>17</v>
      </c>
      <c r="F1711" s="13" t="s">
        <v>18</v>
      </c>
      <c r="G1711" s="12" t="s">
        <v>68</v>
      </c>
      <c r="H1711" s="12" t="s">
        <v>954</v>
      </c>
      <c r="I1711" s="12" t="s">
        <v>955</v>
      </c>
      <c r="J1711" s="17" t="s">
        <v>2800</v>
      </c>
      <c r="K1711" s="18">
        <v>9.0</v>
      </c>
      <c r="L1711" s="20">
        <v>45964.0</v>
      </c>
      <c r="M1711" s="17" t="s">
        <v>28</v>
      </c>
      <c r="N1711" s="17" t="s">
        <v>4193</v>
      </c>
      <c r="O1711" s="17">
        <v>7.4297835E7</v>
      </c>
      <c r="P1711" s="17" t="s">
        <v>4194</v>
      </c>
      <c r="Q1711" s="17" t="s">
        <v>112</v>
      </c>
      <c r="R1711" s="17"/>
      <c r="S1711" s="17" t="s">
        <v>4195</v>
      </c>
      <c r="U1711" s="24"/>
      <c r="V1711" s="24"/>
      <c r="W1711" s="18" t="s">
        <v>915</v>
      </c>
    </row>
    <row r="1712">
      <c r="A1712" s="11"/>
      <c r="B1712" s="12" t="s">
        <v>7</v>
      </c>
      <c r="C1712" s="12" t="s">
        <v>8</v>
      </c>
      <c r="D1712" s="12" t="s">
        <v>15</v>
      </c>
      <c r="E1712" s="12" t="s">
        <v>17</v>
      </c>
      <c r="F1712" s="13" t="s">
        <v>18</v>
      </c>
      <c r="G1712" s="12" t="s">
        <v>68</v>
      </c>
      <c r="H1712" s="12" t="s">
        <v>954</v>
      </c>
      <c r="I1712" s="12" t="s">
        <v>955</v>
      </c>
      <c r="J1712" s="17" t="s">
        <v>2800</v>
      </c>
      <c r="K1712" s="18">
        <v>9.0</v>
      </c>
      <c r="L1712" s="20">
        <v>45964.0</v>
      </c>
      <c r="M1712" s="17" t="s">
        <v>28</v>
      </c>
      <c r="N1712" s="17" t="s">
        <v>4196</v>
      </c>
      <c r="O1712" s="17">
        <v>7.6646031E7</v>
      </c>
      <c r="P1712" s="17" t="s">
        <v>4197</v>
      </c>
      <c r="Q1712" s="17" t="s">
        <v>73</v>
      </c>
      <c r="R1712" s="17"/>
      <c r="S1712" s="17" t="s">
        <v>4198</v>
      </c>
      <c r="U1712" s="24"/>
      <c r="V1712" s="24"/>
      <c r="W1712" s="18" t="s">
        <v>915</v>
      </c>
    </row>
    <row r="1713">
      <c r="A1713" s="11"/>
      <c r="B1713" s="12" t="s">
        <v>7</v>
      </c>
      <c r="C1713" s="12" t="s">
        <v>8</v>
      </c>
      <c r="D1713" s="12" t="s">
        <v>15</v>
      </c>
      <c r="E1713" s="12" t="s">
        <v>17</v>
      </c>
      <c r="F1713" s="13" t="s">
        <v>18</v>
      </c>
      <c r="G1713" s="12" t="s">
        <v>68</v>
      </c>
      <c r="H1713" s="12" t="s">
        <v>954</v>
      </c>
      <c r="I1713" s="12" t="s">
        <v>955</v>
      </c>
      <c r="J1713" s="17" t="s">
        <v>2800</v>
      </c>
      <c r="K1713" s="18">
        <v>9.0</v>
      </c>
      <c r="L1713" s="20">
        <v>45964.0</v>
      </c>
      <c r="M1713" s="17" t="s">
        <v>28</v>
      </c>
      <c r="N1713" s="17" t="s">
        <v>4055</v>
      </c>
      <c r="O1713" s="17">
        <v>4.1790226E7</v>
      </c>
      <c r="P1713" s="17" t="s">
        <v>2077</v>
      </c>
      <c r="Q1713" s="17" t="s">
        <v>108</v>
      </c>
      <c r="R1713" s="17"/>
      <c r="S1713" s="17" t="s">
        <v>4054</v>
      </c>
      <c r="U1713" s="24"/>
      <c r="V1713" s="24"/>
      <c r="W1713" s="18" t="s">
        <v>915</v>
      </c>
    </row>
    <row r="1714">
      <c r="A1714" s="11"/>
      <c r="B1714" s="12" t="s">
        <v>7</v>
      </c>
      <c r="C1714" s="12" t="s">
        <v>8</v>
      </c>
      <c r="D1714" s="12" t="s">
        <v>15</v>
      </c>
      <c r="E1714" s="12" t="s">
        <v>17</v>
      </c>
      <c r="F1714" s="13" t="s">
        <v>18</v>
      </c>
      <c r="G1714" s="12" t="s">
        <v>68</v>
      </c>
      <c r="H1714" s="12" t="s">
        <v>954</v>
      </c>
      <c r="I1714" s="12" t="s">
        <v>955</v>
      </c>
      <c r="J1714" s="17" t="s">
        <v>2800</v>
      </c>
      <c r="K1714" s="18">
        <v>9.0</v>
      </c>
      <c r="L1714" s="20">
        <v>45964.0</v>
      </c>
      <c r="M1714" s="17" t="s">
        <v>28</v>
      </c>
      <c r="N1714" s="17" t="s">
        <v>4053</v>
      </c>
      <c r="O1714" s="17">
        <v>4.3321862E7</v>
      </c>
      <c r="P1714" s="17" t="s">
        <v>2077</v>
      </c>
      <c r="Q1714" s="17" t="s">
        <v>108</v>
      </c>
      <c r="R1714" s="17"/>
      <c r="S1714" s="17" t="s">
        <v>4054</v>
      </c>
      <c r="U1714" s="24"/>
      <c r="V1714" s="24"/>
      <c r="W1714" s="18" t="s">
        <v>915</v>
      </c>
    </row>
    <row r="1715">
      <c r="A1715" s="11"/>
      <c r="B1715" s="12" t="s">
        <v>7</v>
      </c>
      <c r="C1715" s="12" t="s">
        <v>8</v>
      </c>
      <c r="D1715" s="12" t="s">
        <v>15</v>
      </c>
      <c r="E1715" s="12" t="s">
        <v>17</v>
      </c>
      <c r="F1715" s="13" t="s">
        <v>18</v>
      </c>
      <c r="G1715" s="12" t="s">
        <v>68</v>
      </c>
      <c r="H1715" s="12" t="s">
        <v>954</v>
      </c>
      <c r="I1715" s="12" t="s">
        <v>955</v>
      </c>
      <c r="J1715" s="17" t="s">
        <v>2800</v>
      </c>
      <c r="K1715" s="18">
        <v>9.0</v>
      </c>
      <c r="L1715" s="20">
        <v>45964.0</v>
      </c>
      <c r="M1715" s="17" t="s">
        <v>28</v>
      </c>
      <c r="N1715" s="17" t="s">
        <v>4199</v>
      </c>
      <c r="O1715" s="17">
        <v>4.0377537E7</v>
      </c>
      <c r="P1715" s="17" t="s">
        <v>4051</v>
      </c>
      <c r="Q1715" s="17" t="s">
        <v>73</v>
      </c>
      <c r="R1715" s="17"/>
      <c r="S1715" s="17" t="s">
        <v>4200</v>
      </c>
      <c r="U1715" s="24"/>
      <c r="V1715" s="24"/>
      <c r="W1715" s="18" t="s">
        <v>915</v>
      </c>
    </row>
    <row r="1716">
      <c r="A1716" s="11"/>
      <c r="B1716" s="12" t="s">
        <v>7</v>
      </c>
      <c r="C1716" s="12" t="s">
        <v>8</v>
      </c>
      <c r="D1716" s="12" t="s">
        <v>15</v>
      </c>
      <c r="E1716" s="12" t="s">
        <v>17</v>
      </c>
      <c r="F1716" s="13" t="s">
        <v>18</v>
      </c>
      <c r="G1716" s="12" t="s">
        <v>68</v>
      </c>
      <c r="H1716" s="12" t="s">
        <v>954</v>
      </c>
      <c r="I1716" s="12" t="s">
        <v>955</v>
      </c>
      <c r="J1716" s="17" t="s">
        <v>2800</v>
      </c>
      <c r="K1716" s="18">
        <v>9.0</v>
      </c>
      <c r="L1716" s="20">
        <v>45964.0</v>
      </c>
      <c r="M1716" s="17" t="s">
        <v>23</v>
      </c>
      <c r="N1716" s="17" t="s">
        <v>4201</v>
      </c>
      <c r="P1716" s="17"/>
      <c r="Q1716" s="17"/>
      <c r="R1716" s="17"/>
      <c r="S1716" s="17"/>
      <c r="U1716" s="24"/>
      <c r="V1716" s="24"/>
      <c r="W1716" s="18" t="s">
        <v>915</v>
      </c>
    </row>
    <row r="1717">
      <c r="A1717" s="11"/>
      <c r="B1717" s="12" t="s">
        <v>7</v>
      </c>
      <c r="C1717" s="12" t="s">
        <v>8</v>
      </c>
      <c r="D1717" s="12" t="s">
        <v>15</v>
      </c>
      <c r="E1717" s="12" t="s">
        <v>21</v>
      </c>
      <c r="F1717" s="13" t="s">
        <v>19</v>
      </c>
      <c r="G1717" s="12" t="s">
        <v>68</v>
      </c>
      <c r="H1717" s="12" t="s">
        <v>968</v>
      </c>
      <c r="I1717" s="12" t="s">
        <v>969</v>
      </c>
      <c r="J1717" s="17" t="s">
        <v>2800</v>
      </c>
      <c r="K1717" s="18">
        <v>9.0</v>
      </c>
      <c r="L1717" s="20">
        <v>45966.0</v>
      </c>
      <c r="M1717" s="17" t="s">
        <v>28</v>
      </c>
      <c r="N1717" s="17" t="s">
        <v>4202</v>
      </c>
      <c r="O1717" s="17">
        <v>4.6962682E7</v>
      </c>
      <c r="P1717" s="17" t="s">
        <v>4203</v>
      </c>
      <c r="Q1717" s="17" t="s">
        <v>112</v>
      </c>
      <c r="R1717" s="17"/>
      <c r="S1717" s="17" t="s">
        <v>4204</v>
      </c>
      <c r="U1717" s="24"/>
      <c r="V1717" s="24"/>
      <c r="W1717" s="18" t="s">
        <v>915</v>
      </c>
    </row>
    <row r="1718">
      <c r="A1718" s="11"/>
      <c r="B1718" s="12" t="s">
        <v>7</v>
      </c>
      <c r="C1718" s="12" t="s">
        <v>8</v>
      </c>
      <c r="D1718" s="12" t="s">
        <v>15</v>
      </c>
      <c r="E1718" s="12" t="s">
        <v>21</v>
      </c>
      <c r="F1718" s="13" t="s">
        <v>19</v>
      </c>
      <c r="G1718" s="12" t="s">
        <v>68</v>
      </c>
      <c r="H1718" s="12" t="s">
        <v>968</v>
      </c>
      <c r="I1718" s="12" t="s">
        <v>969</v>
      </c>
      <c r="J1718" s="17" t="s">
        <v>2800</v>
      </c>
      <c r="K1718" s="18">
        <v>9.0</v>
      </c>
      <c r="L1718" s="20">
        <v>45966.0</v>
      </c>
      <c r="M1718" s="17" t="s">
        <v>28</v>
      </c>
      <c r="N1718" s="17" t="s">
        <v>4205</v>
      </c>
      <c r="O1718" s="17">
        <v>4.4308537E7</v>
      </c>
      <c r="P1718" s="17" t="s">
        <v>4206</v>
      </c>
      <c r="Q1718" s="17" t="s">
        <v>112</v>
      </c>
      <c r="R1718" s="17"/>
      <c r="S1718" s="17" t="s">
        <v>4207</v>
      </c>
      <c r="U1718" s="24"/>
      <c r="V1718" s="24"/>
      <c r="W1718" s="18" t="s">
        <v>915</v>
      </c>
    </row>
    <row r="1719">
      <c r="A1719" s="11"/>
      <c r="B1719" s="12" t="s">
        <v>7</v>
      </c>
      <c r="C1719" s="12" t="s">
        <v>8</v>
      </c>
      <c r="D1719" s="12" t="s">
        <v>15</v>
      </c>
      <c r="E1719" s="12" t="s">
        <v>21</v>
      </c>
      <c r="F1719" s="13" t="s">
        <v>19</v>
      </c>
      <c r="G1719" s="12" t="s">
        <v>68</v>
      </c>
      <c r="H1719" s="12" t="s">
        <v>968</v>
      </c>
      <c r="I1719" s="12" t="s">
        <v>969</v>
      </c>
      <c r="J1719" s="17" t="s">
        <v>2800</v>
      </c>
      <c r="K1719" s="18">
        <v>9.0</v>
      </c>
      <c r="L1719" s="20">
        <v>45966.0</v>
      </c>
      <c r="M1719" s="17" t="s">
        <v>28</v>
      </c>
      <c r="N1719" s="17" t="s">
        <v>3816</v>
      </c>
      <c r="O1719" s="17">
        <v>4.4474801E7</v>
      </c>
      <c r="P1719" s="17" t="s">
        <v>4103</v>
      </c>
      <c r="Q1719" s="17" t="s">
        <v>112</v>
      </c>
      <c r="R1719" s="17"/>
      <c r="S1719" s="17" t="s">
        <v>4208</v>
      </c>
      <c r="U1719" s="24"/>
      <c r="V1719" s="24"/>
      <c r="W1719" s="18" t="s">
        <v>915</v>
      </c>
    </row>
    <row r="1720">
      <c r="A1720" s="11"/>
      <c r="B1720" s="12" t="s">
        <v>7</v>
      </c>
      <c r="C1720" s="12" t="s">
        <v>8</v>
      </c>
      <c r="D1720" s="12" t="s">
        <v>15</v>
      </c>
      <c r="E1720" s="12" t="s">
        <v>21</v>
      </c>
      <c r="F1720" s="13" t="s">
        <v>19</v>
      </c>
      <c r="G1720" s="12" t="s">
        <v>68</v>
      </c>
      <c r="H1720" s="12" t="s">
        <v>968</v>
      </c>
      <c r="I1720" s="12" t="s">
        <v>969</v>
      </c>
      <c r="J1720" s="17" t="s">
        <v>2800</v>
      </c>
      <c r="K1720" s="18">
        <v>9.0</v>
      </c>
      <c r="L1720" s="20">
        <v>45966.0</v>
      </c>
      <c r="M1720" s="17" t="s">
        <v>28</v>
      </c>
      <c r="N1720" s="17" t="s">
        <v>3818</v>
      </c>
      <c r="O1720" s="17">
        <v>4.1420205E7</v>
      </c>
      <c r="P1720" s="17" t="s">
        <v>4209</v>
      </c>
      <c r="Q1720" s="17" t="s">
        <v>108</v>
      </c>
      <c r="R1720" s="17"/>
      <c r="S1720" s="17" t="s">
        <v>4210</v>
      </c>
      <c r="U1720" s="24"/>
      <c r="V1720" s="24"/>
      <c r="W1720" s="18" t="s">
        <v>915</v>
      </c>
    </row>
    <row r="1721">
      <c r="A1721" s="11"/>
      <c r="B1721" s="12" t="s">
        <v>7</v>
      </c>
      <c r="C1721" s="12" t="s">
        <v>8</v>
      </c>
      <c r="D1721" s="12" t="s">
        <v>15</v>
      </c>
      <c r="E1721" s="12" t="s">
        <v>21</v>
      </c>
      <c r="F1721" s="13" t="s">
        <v>19</v>
      </c>
      <c r="G1721" s="12" t="s">
        <v>68</v>
      </c>
      <c r="H1721" s="12" t="s">
        <v>968</v>
      </c>
      <c r="I1721" s="12" t="s">
        <v>969</v>
      </c>
      <c r="J1721" s="17" t="s">
        <v>2800</v>
      </c>
      <c r="K1721" s="18">
        <v>9.0</v>
      </c>
      <c r="L1721" s="20">
        <v>45966.0</v>
      </c>
      <c r="M1721" s="17" t="s">
        <v>28</v>
      </c>
      <c r="N1721" s="17" t="s">
        <v>4211</v>
      </c>
      <c r="O1721" s="17">
        <v>4.7046375E7</v>
      </c>
      <c r="P1721" s="17" t="s">
        <v>4212</v>
      </c>
      <c r="Q1721" s="17" t="s">
        <v>108</v>
      </c>
      <c r="R1721" s="17"/>
      <c r="S1721" s="17" t="s">
        <v>4213</v>
      </c>
      <c r="U1721" s="24"/>
      <c r="V1721" s="24"/>
      <c r="W1721" s="18" t="s">
        <v>915</v>
      </c>
    </row>
    <row r="1722">
      <c r="A1722" s="11"/>
      <c r="B1722" s="12" t="s">
        <v>7</v>
      </c>
      <c r="C1722" s="12" t="s">
        <v>8</v>
      </c>
      <c r="D1722" s="12" t="s">
        <v>15</v>
      </c>
      <c r="E1722" s="12" t="s">
        <v>21</v>
      </c>
      <c r="F1722" s="13" t="s">
        <v>19</v>
      </c>
      <c r="G1722" s="12" t="s">
        <v>68</v>
      </c>
      <c r="H1722" s="12" t="s">
        <v>968</v>
      </c>
      <c r="I1722" s="12" t="s">
        <v>969</v>
      </c>
      <c r="J1722" s="17" t="s">
        <v>2800</v>
      </c>
      <c r="K1722" s="18">
        <v>9.0</v>
      </c>
      <c r="L1722" s="20">
        <v>45966.0</v>
      </c>
      <c r="M1722" s="17" t="s">
        <v>28</v>
      </c>
      <c r="N1722" s="17" t="s">
        <v>2295</v>
      </c>
      <c r="O1722" s="17">
        <v>7.203794E7</v>
      </c>
      <c r="P1722" s="17" t="s">
        <v>4214</v>
      </c>
      <c r="Q1722" s="17" t="s">
        <v>73</v>
      </c>
      <c r="R1722" s="17"/>
      <c r="S1722" s="17" t="s">
        <v>4215</v>
      </c>
      <c r="U1722" s="24"/>
      <c r="V1722" s="24"/>
      <c r="W1722" s="18" t="s">
        <v>915</v>
      </c>
    </row>
    <row r="1723">
      <c r="A1723" s="11"/>
      <c r="B1723" s="12" t="s">
        <v>7</v>
      </c>
      <c r="C1723" s="12" t="s">
        <v>8</v>
      </c>
      <c r="D1723" s="12" t="s">
        <v>15</v>
      </c>
      <c r="E1723" s="12" t="s">
        <v>21</v>
      </c>
      <c r="F1723" s="13" t="s">
        <v>19</v>
      </c>
      <c r="G1723" s="12" t="s">
        <v>68</v>
      </c>
      <c r="H1723" s="12" t="s">
        <v>968</v>
      </c>
      <c r="I1723" s="12" t="s">
        <v>969</v>
      </c>
      <c r="J1723" s="17" t="s">
        <v>2800</v>
      </c>
      <c r="K1723" s="18">
        <v>9.0</v>
      </c>
      <c r="L1723" s="20">
        <v>45966.0</v>
      </c>
      <c r="M1723" s="17" t="s">
        <v>28</v>
      </c>
      <c r="N1723" s="17" t="s">
        <v>2290</v>
      </c>
      <c r="O1723" s="17">
        <v>7.6844742E7</v>
      </c>
      <c r="P1723" s="17" t="s">
        <v>4216</v>
      </c>
      <c r="Q1723" s="17" t="s">
        <v>112</v>
      </c>
      <c r="R1723" s="17"/>
      <c r="S1723" s="17" t="s">
        <v>4217</v>
      </c>
      <c r="U1723" s="24"/>
      <c r="V1723" s="24"/>
      <c r="W1723" s="18" t="s">
        <v>915</v>
      </c>
    </row>
    <row r="1724">
      <c r="A1724" s="11"/>
      <c r="B1724" s="12" t="s">
        <v>7</v>
      </c>
      <c r="C1724" s="12" t="s">
        <v>8</v>
      </c>
      <c r="D1724" s="12" t="s">
        <v>15</v>
      </c>
      <c r="E1724" s="12" t="s">
        <v>21</v>
      </c>
      <c r="F1724" s="13" t="s">
        <v>19</v>
      </c>
      <c r="G1724" s="12" t="s">
        <v>68</v>
      </c>
      <c r="H1724" s="12" t="s">
        <v>968</v>
      </c>
      <c r="I1724" s="12" t="s">
        <v>969</v>
      </c>
      <c r="J1724" s="17" t="s">
        <v>2800</v>
      </c>
      <c r="K1724" s="18">
        <v>9.0</v>
      </c>
      <c r="L1724" s="20">
        <v>45966.0</v>
      </c>
      <c r="M1724" s="17" t="s">
        <v>28</v>
      </c>
      <c r="N1724" s="17" t="s">
        <v>4218</v>
      </c>
      <c r="O1724" s="17">
        <v>7.5268779E7</v>
      </c>
      <c r="P1724" s="17" t="s">
        <v>4219</v>
      </c>
      <c r="Q1724" s="17" t="s">
        <v>73</v>
      </c>
      <c r="R1724" s="17"/>
      <c r="S1724" s="17" t="s">
        <v>4220</v>
      </c>
      <c r="U1724" s="24"/>
      <c r="V1724" s="24"/>
      <c r="W1724" s="18" t="s">
        <v>915</v>
      </c>
    </row>
    <row r="1725">
      <c r="A1725" s="11"/>
      <c r="B1725" s="12" t="s">
        <v>7</v>
      </c>
      <c r="C1725" s="12" t="s">
        <v>8</v>
      </c>
      <c r="D1725" s="12" t="s">
        <v>15</v>
      </c>
      <c r="E1725" s="12" t="s">
        <v>21</v>
      </c>
      <c r="F1725" s="13" t="s">
        <v>19</v>
      </c>
      <c r="G1725" s="12" t="s">
        <v>68</v>
      </c>
      <c r="H1725" s="12" t="s">
        <v>968</v>
      </c>
      <c r="I1725" s="12" t="s">
        <v>969</v>
      </c>
      <c r="J1725" s="17" t="s">
        <v>2800</v>
      </c>
      <c r="K1725" s="18">
        <v>9.0</v>
      </c>
      <c r="L1725" s="20">
        <v>45966.0</v>
      </c>
      <c r="M1725" s="17" t="s">
        <v>28</v>
      </c>
      <c r="N1725" s="17" t="s">
        <v>4221</v>
      </c>
      <c r="O1725" s="17">
        <v>4.0508884E7</v>
      </c>
      <c r="P1725" s="17" t="s">
        <v>4222</v>
      </c>
      <c r="Q1725" s="17" t="s">
        <v>108</v>
      </c>
      <c r="R1725" s="17"/>
      <c r="S1725" s="17" t="s">
        <v>4223</v>
      </c>
      <c r="U1725" s="24"/>
      <c r="V1725" s="24"/>
      <c r="W1725" s="18" t="s">
        <v>915</v>
      </c>
    </row>
    <row r="1726">
      <c r="A1726" s="11"/>
      <c r="B1726" s="12" t="s">
        <v>7</v>
      </c>
      <c r="C1726" s="12" t="s">
        <v>8</v>
      </c>
      <c r="D1726" s="12" t="s">
        <v>15</v>
      </c>
      <c r="E1726" s="12" t="s">
        <v>21</v>
      </c>
      <c r="F1726" s="13" t="s">
        <v>19</v>
      </c>
      <c r="G1726" s="12" t="s">
        <v>68</v>
      </c>
      <c r="H1726" s="12" t="s">
        <v>968</v>
      </c>
      <c r="I1726" s="12" t="s">
        <v>969</v>
      </c>
      <c r="J1726" s="17" t="s">
        <v>2800</v>
      </c>
      <c r="K1726" s="18">
        <v>9.0</v>
      </c>
      <c r="L1726" s="20">
        <v>45966.0</v>
      </c>
      <c r="M1726" s="17" t="s">
        <v>28</v>
      </c>
      <c r="N1726" s="17" t="s">
        <v>2294</v>
      </c>
      <c r="O1726" s="17">
        <v>7.0827937E7</v>
      </c>
      <c r="P1726" s="17" t="s">
        <v>4224</v>
      </c>
      <c r="Q1726" s="17" t="s">
        <v>73</v>
      </c>
      <c r="R1726" s="17"/>
      <c r="S1726" s="17" t="s">
        <v>4225</v>
      </c>
      <c r="U1726" s="24"/>
      <c r="V1726" s="24"/>
      <c r="W1726" s="18" t="s">
        <v>915</v>
      </c>
    </row>
    <row r="1727">
      <c r="A1727" s="11"/>
      <c r="B1727" s="12" t="s">
        <v>7</v>
      </c>
      <c r="C1727" s="12" t="s">
        <v>8</v>
      </c>
      <c r="D1727" s="12" t="s">
        <v>15</v>
      </c>
      <c r="E1727" s="12" t="s">
        <v>21</v>
      </c>
      <c r="F1727" s="13" t="s">
        <v>19</v>
      </c>
      <c r="G1727" s="12" t="s">
        <v>68</v>
      </c>
      <c r="H1727" s="12" t="s">
        <v>968</v>
      </c>
      <c r="I1727" s="12" t="s">
        <v>969</v>
      </c>
      <c r="J1727" s="17" t="s">
        <v>2800</v>
      </c>
      <c r="K1727" s="18">
        <v>9.0</v>
      </c>
      <c r="L1727" s="20">
        <v>45966.0</v>
      </c>
      <c r="M1727" s="17" t="s">
        <v>28</v>
      </c>
      <c r="N1727" s="17" t="s">
        <v>4226</v>
      </c>
      <c r="O1727" s="17">
        <v>7.6447489E7</v>
      </c>
      <c r="P1727" s="17" t="s">
        <v>4227</v>
      </c>
      <c r="Q1727" s="17" t="s">
        <v>73</v>
      </c>
      <c r="R1727" s="17"/>
      <c r="S1727" s="17" t="s">
        <v>4228</v>
      </c>
      <c r="U1727" s="24"/>
      <c r="V1727" s="24"/>
      <c r="W1727" s="18" t="s">
        <v>915</v>
      </c>
    </row>
    <row r="1728">
      <c r="A1728" s="11"/>
      <c r="B1728" s="12" t="s">
        <v>7</v>
      </c>
      <c r="C1728" s="12" t="s">
        <v>8</v>
      </c>
      <c r="D1728" s="12" t="s">
        <v>15</v>
      </c>
      <c r="E1728" s="12" t="s">
        <v>21</v>
      </c>
      <c r="F1728" s="13" t="s">
        <v>19</v>
      </c>
      <c r="G1728" s="12" t="s">
        <v>68</v>
      </c>
      <c r="H1728" s="12" t="s">
        <v>968</v>
      </c>
      <c r="I1728" s="12" t="s">
        <v>969</v>
      </c>
      <c r="J1728" s="17" t="s">
        <v>2800</v>
      </c>
      <c r="K1728" s="18">
        <v>9.0</v>
      </c>
      <c r="L1728" s="20">
        <v>45966.0</v>
      </c>
      <c r="M1728" s="17" t="s">
        <v>28</v>
      </c>
      <c r="N1728" s="17" t="s">
        <v>4229</v>
      </c>
      <c r="O1728" s="17">
        <v>7.1933696E7</v>
      </c>
      <c r="P1728" s="17" t="s">
        <v>4230</v>
      </c>
      <c r="Q1728" s="17" t="s">
        <v>108</v>
      </c>
      <c r="R1728" s="17"/>
      <c r="S1728" s="17" t="s">
        <v>4231</v>
      </c>
      <c r="U1728" s="24"/>
      <c r="V1728" s="24"/>
      <c r="W1728" s="18" t="s">
        <v>915</v>
      </c>
    </row>
    <row r="1729">
      <c r="A1729" s="11"/>
      <c r="B1729" s="12" t="s">
        <v>7</v>
      </c>
      <c r="C1729" s="12" t="s">
        <v>8</v>
      </c>
      <c r="D1729" s="12" t="s">
        <v>15</v>
      </c>
      <c r="E1729" s="12" t="s">
        <v>21</v>
      </c>
      <c r="F1729" s="13" t="s">
        <v>19</v>
      </c>
      <c r="G1729" s="12" t="s">
        <v>68</v>
      </c>
      <c r="H1729" s="12" t="s">
        <v>968</v>
      </c>
      <c r="I1729" s="12" t="s">
        <v>969</v>
      </c>
      <c r="J1729" s="17" t="s">
        <v>2800</v>
      </c>
      <c r="K1729" s="18">
        <v>9.0</v>
      </c>
      <c r="L1729" s="20">
        <v>45966.0</v>
      </c>
      <c r="M1729" s="17" t="s">
        <v>28</v>
      </c>
      <c r="N1729" s="17" t="s">
        <v>3665</v>
      </c>
      <c r="O1729" s="17">
        <v>7.080889E7</v>
      </c>
      <c r="P1729" s="17" t="s">
        <v>4232</v>
      </c>
      <c r="Q1729" s="17" t="s">
        <v>108</v>
      </c>
      <c r="R1729" s="17"/>
      <c r="S1729" s="17" t="s">
        <v>4233</v>
      </c>
      <c r="U1729" s="24"/>
      <c r="V1729" s="24"/>
      <c r="W1729" s="18" t="s">
        <v>915</v>
      </c>
    </row>
    <row r="1730">
      <c r="A1730" s="11"/>
      <c r="B1730" s="12" t="s">
        <v>7</v>
      </c>
      <c r="C1730" s="12" t="s">
        <v>8</v>
      </c>
      <c r="D1730" s="12" t="s">
        <v>15</v>
      </c>
      <c r="E1730" s="12" t="s">
        <v>21</v>
      </c>
      <c r="F1730" s="13" t="s">
        <v>19</v>
      </c>
      <c r="G1730" s="12" t="s">
        <v>68</v>
      </c>
      <c r="H1730" s="12" t="s">
        <v>968</v>
      </c>
      <c r="I1730" s="12" t="s">
        <v>969</v>
      </c>
      <c r="J1730" s="17" t="s">
        <v>2800</v>
      </c>
      <c r="K1730" s="18">
        <v>9.0</v>
      </c>
      <c r="L1730" s="20">
        <v>45966.0</v>
      </c>
      <c r="M1730" s="17" t="s">
        <v>28</v>
      </c>
      <c r="N1730" s="17" t="s">
        <v>2287</v>
      </c>
      <c r="O1730" s="17">
        <v>7.1933694E7</v>
      </c>
      <c r="P1730" s="17" t="s">
        <v>4105</v>
      </c>
      <c r="Q1730" s="17" t="s">
        <v>108</v>
      </c>
      <c r="R1730" s="17"/>
      <c r="S1730" s="17" t="s">
        <v>4234</v>
      </c>
      <c r="U1730" s="24"/>
      <c r="V1730" s="24"/>
      <c r="W1730" s="18" t="s">
        <v>915</v>
      </c>
    </row>
    <row r="1731">
      <c r="A1731" s="11"/>
      <c r="B1731" s="12" t="s">
        <v>7</v>
      </c>
      <c r="C1731" s="12" t="s">
        <v>8</v>
      </c>
      <c r="D1731" s="12" t="s">
        <v>15</v>
      </c>
      <c r="E1731" s="12" t="s">
        <v>21</v>
      </c>
      <c r="F1731" s="13" t="s">
        <v>19</v>
      </c>
      <c r="G1731" s="12" t="s">
        <v>68</v>
      </c>
      <c r="H1731" s="12" t="s">
        <v>968</v>
      </c>
      <c r="I1731" s="12" t="s">
        <v>969</v>
      </c>
      <c r="J1731" s="17" t="s">
        <v>2800</v>
      </c>
      <c r="K1731" s="18">
        <v>9.0</v>
      </c>
      <c r="L1731" s="20">
        <v>45966.0</v>
      </c>
      <c r="M1731" s="17" t="s">
        <v>28</v>
      </c>
      <c r="N1731" s="17" t="s">
        <v>2289</v>
      </c>
      <c r="O1731" s="17">
        <v>7.6852169E7</v>
      </c>
      <c r="P1731" s="17" t="s">
        <v>4235</v>
      </c>
      <c r="Q1731" s="17" t="s">
        <v>112</v>
      </c>
      <c r="R1731" s="17"/>
      <c r="S1731" s="17" t="s">
        <v>4236</v>
      </c>
      <c r="U1731" s="24"/>
      <c r="V1731" s="24"/>
      <c r="W1731" s="18" t="s">
        <v>915</v>
      </c>
    </row>
    <row r="1732">
      <c r="A1732" s="11"/>
      <c r="B1732" s="12" t="s">
        <v>43</v>
      </c>
      <c r="C1732" s="12" t="s">
        <v>65</v>
      </c>
      <c r="D1732" s="12" t="s">
        <v>321</v>
      </c>
      <c r="E1732" s="12" t="s">
        <v>321</v>
      </c>
      <c r="F1732" s="13" t="s">
        <v>322</v>
      </c>
      <c r="G1732" s="12" t="s">
        <v>68</v>
      </c>
      <c r="H1732" s="12" t="s">
        <v>323</v>
      </c>
      <c r="I1732" s="12" t="s">
        <v>324</v>
      </c>
      <c r="J1732" s="17" t="s">
        <v>2783</v>
      </c>
      <c r="K1732" s="18" t="s">
        <v>2784</v>
      </c>
      <c r="L1732" s="20">
        <v>45966.0</v>
      </c>
      <c r="M1732" s="17" t="s">
        <v>28</v>
      </c>
      <c r="N1732" s="138" t="s">
        <v>4237</v>
      </c>
      <c r="O1732" s="17">
        <v>7.2624568E7</v>
      </c>
      <c r="P1732" s="17" t="s">
        <v>4238</v>
      </c>
      <c r="Q1732" s="17" t="s">
        <v>112</v>
      </c>
      <c r="R1732" s="17"/>
      <c r="S1732" s="17" t="s">
        <v>4239</v>
      </c>
      <c r="U1732" s="24"/>
      <c r="V1732" s="24"/>
      <c r="W1732" s="18" t="s">
        <v>76</v>
      </c>
    </row>
    <row r="1733">
      <c r="A1733" s="11"/>
      <c r="B1733" s="12" t="s">
        <v>43</v>
      </c>
      <c r="C1733" s="12" t="s">
        <v>65</v>
      </c>
      <c r="D1733" s="12" t="s">
        <v>321</v>
      </c>
      <c r="E1733" s="12" t="s">
        <v>321</v>
      </c>
      <c r="F1733" s="13" t="s">
        <v>322</v>
      </c>
      <c r="G1733" s="12" t="s">
        <v>68</v>
      </c>
      <c r="H1733" s="12" t="s">
        <v>323</v>
      </c>
      <c r="I1733" s="12" t="s">
        <v>324</v>
      </c>
      <c r="J1733" s="17" t="s">
        <v>2783</v>
      </c>
      <c r="K1733" s="18" t="s">
        <v>2784</v>
      </c>
      <c r="L1733" s="20">
        <v>45966.0</v>
      </c>
      <c r="M1733" s="17" t="s">
        <v>28</v>
      </c>
      <c r="N1733" s="138" t="s">
        <v>4240</v>
      </c>
      <c r="O1733" s="17">
        <v>7.2568344E7</v>
      </c>
      <c r="P1733" s="17" t="s">
        <v>4241</v>
      </c>
      <c r="Q1733" s="17" t="s">
        <v>73</v>
      </c>
      <c r="R1733" s="17"/>
      <c r="S1733" s="17" t="s">
        <v>4242</v>
      </c>
      <c r="U1733" s="24"/>
      <c r="V1733" s="24"/>
      <c r="W1733" s="18" t="s">
        <v>76</v>
      </c>
    </row>
    <row r="1734">
      <c r="A1734" s="11"/>
      <c r="B1734" s="12" t="s">
        <v>43</v>
      </c>
      <c r="C1734" s="12" t="s">
        <v>65</v>
      </c>
      <c r="D1734" s="12" t="s">
        <v>321</v>
      </c>
      <c r="E1734" s="12" t="s">
        <v>321</v>
      </c>
      <c r="F1734" s="13" t="s">
        <v>322</v>
      </c>
      <c r="G1734" s="12" t="s">
        <v>68</v>
      </c>
      <c r="H1734" s="12" t="s">
        <v>323</v>
      </c>
      <c r="I1734" s="12" t="s">
        <v>324</v>
      </c>
      <c r="J1734" s="17" t="s">
        <v>2783</v>
      </c>
      <c r="K1734" s="18" t="s">
        <v>2784</v>
      </c>
      <c r="L1734" s="20">
        <v>45966.0</v>
      </c>
      <c r="M1734" s="17" t="s">
        <v>28</v>
      </c>
      <c r="N1734" s="138" t="s">
        <v>4243</v>
      </c>
      <c r="O1734" s="17">
        <v>4.4236319E7</v>
      </c>
      <c r="P1734" s="17" t="s">
        <v>4244</v>
      </c>
      <c r="Q1734" s="17" t="s">
        <v>73</v>
      </c>
      <c r="R1734" s="17"/>
      <c r="S1734" s="17" t="s">
        <v>4245</v>
      </c>
      <c r="U1734" s="24"/>
      <c r="V1734" s="24"/>
      <c r="W1734" s="18" t="s">
        <v>76</v>
      </c>
    </row>
    <row r="1735">
      <c r="A1735" s="11"/>
      <c r="B1735" s="12" t="s">
        <v>43</v>
      </c>
      <c r="C1735" s="12" t="s">
        <v>65</v>
      </c>
      <c r="D1735" s="12" t="s">
        <v>321</v>
      </c>
      <c r="E1735" s="12" t="s">
        <v>321</v>
      </c>
      <c r="F1735" s="13" t="s">
        <v>322</v>
      </c>
      <c r="G1735" s="12" t="s">
        <v>68</v>
      </c>
      <c r="H1735" s="12" t="s">
        <v>323</v>
      </c>
      <c r="I1735" s="12" t="s">
        <v>324</v>
      </c>
      <c r="J1735" s="17" t="s">
        <v>2783</v>
      </c>
      <c r="K1735" s="18" t="s">
        <v>2784</v>
      </c>
      <c r="L1735" s="20">
        <v>45966.0</v>
      </c>
      <c r="M1735" s="17" t="s">
        <v>28</v>
      </c>
      <c r="N1735" s="138" t="s">
        <v>4246</v>
      </c>
      <c r="O1735" s="17">
        <v>7.256834E7</v>
      </c>
      <c r="P1735" s="17" t="s">
        <v>4247</v>
      </c>
      <c r="Q1735" s="17" t="s">
        <v>73</v>
      </c>
      <c r="R1735" s="17"/>
      <c r="S1735" s="17" t="s">
        <v>4248</v>
      </c>
      <c r="U1735" s="24"/>
      <c r="V1735" s="24"/>
      <c r="W1735" s="18" t="s">
        <v>76</v>
      </c>
    </row>
    <row r="1736">
      <c r="A1736" s="11"/>
      <c r="B1736" s="12" t="s">
        <v>43</v>
      </c>
      <c r="C1736" s="12" t="s">
        <v>65</v>
      </c>
      <c r="D1736" s="12" t="s">
        <v>321</v>
      </c>
      <c r="E1736" s="12" t="s">
        <v>321</v>
      </c>
      <c r="F1736" s="13" t="s">
        <v>322</v>
      </c>
      <c r="G1736" s="12" t="s">
        <v>68</v>
      </c>
      <c r="H1736" s="12" t="s">
        <v>323</v>
      </c>
      <c r="I1736" s="12" t="s">
        <v>324</v>
      </c>
      <c r="J1736" s="17" t="s">
        <v>2783</v>
      </c>
      <c r="K1736" s="18" t="s">
        <v>2784</v>
      </c>
      <c r="L1736" s="20">
        <v>45966.0</v>
      </c>
      <c r="M1736" s="17" t="s">
        <v>28</v>
      </c>
      <c r="N1736" s="138" t="s">
        <v>4249</v>
      </c>
      <c r="O1736" s="17">
        <v>6.1119812E7</v>
      </c>
      <c r="P1736" s="17" t="s">
        <v>4250</v>
      </c>
      <c r="Q1736" s="17"/>
      <c r="R1736" s="17"/>
      <c r="S1736" s="17" t="s">
        <v>4250</v>
      </c>
      <c r="U1736" s="24"/>
      <c r="V1736" s="24"/>
      <c r="W1736" s="18" t="s">
        <v>76</v>
      </c>
    </row>
    <row r="1737">
      <c r="A1737" s="11"/>
      <c r="B1737" s="12" t="s">
        <v>43</v>
      </c>
      <c r="C1737" s="12" t="s">
        <v>65</v>
      </c>
      <c r="D1737" s="12" t="s">
        <v>321</v>
      </c>
      <c r="E1737" s="12" t="s">
        <v>321</v>
      </c>
      <c r="F1737" s="13" t="s">
        <v>322</v>
      </c>
      <c r="G1737" s="12" t="s">
        <v>68</v>
      </c>
      <c r="H1737" s="12" t="s">
        <v>323</v>
      </c>
      <c r="I1737" s="12" t="s">
        <v>324</v>
      </c>
      <c r="J1737" s="17" t="s">
        <v>2783</v>
      </c>
      <c r="K1737" s="18" t="s">
        <v>3710</v>
      </c>
      <c r="L1737" s="20">
        <v>45966.0</v>
      </c>
      <c r="M1737" s="17" t="s">
        <v>28</v>
      </c>
      <c r="N1737" s="138" t="s">
        <v>4251</v>
      </c>
      <c r="O1737" s="17">
        <v>4.658396E7</v>
      </c>
      <c r="P1737" s="17" t="s">
        <v>4252</v>
      </c>
      <c r="Q1737" s="17"/>
      <c r="R1737" s="17"/>
      <c r="S1737" s="17" t="s">
        <v>4252</v>
      </c>
      <c r="U1737" s="24"/>
      <c r="V1737" s="24"/>
      <c r="W1737" s="18" t="s">
        <v>76</v>
      </c>
    </row>
    <row r="1738">
      <c r="A1738" s="11"/>
      <c r="B1738" s="12" t="s">
        <v>7</v>
      </c>
      <c r="C1738" s="12" t="s">
        <v>8</v>
      </c>
      <c r="D1738" s="12" t="s">
        <v>24</v>
      </c>
      <c r="E1738" s="12" t="s">
        <v>32</v>
      </c>
      <c r="F1738" s="13" t="s">
        <v>30</v>
      </c>
      <c r="G1738" s="12" t="s">
        <v>68</v>
      </c>
      <c r="H1738" s="12" t="s">
        <v>573</v>
      </c>
      <c r="I1738" s="12" t="s">
        <v>574</v>
      </c>
      <c r="J1738" s="17" t="s">
        <v>2800</v>
      </c>
      <c r="K1738" s="18">
        <v>9.0</v>
      </c>
      <c r="L1738" s="20">
        <v>45967.0</v>
      </c>
      <c r="M1738" s="17" t="s">
        <v>23</v>
      </c>
      <c r="N1738" s="46" t="s">
        <v>2174</v>
      </c>
      <c r="O1738" s="122">
        <v>4.3532615E7</v>
      </c>
      <c r="P1738" s="17"/>
      <c r="Q1738" s="17" t="s">
        <v>73</v>
      </c>
      <c r="R1738" s="17" t="s">
        <v>4013</v>
      </c>
      <c r="S1738" s="17" t="s">
        <v>4014</v>
      </c>
      <c r="U1738" s="24"/>
      <c r="V1738" s="24"/>
      <c r="W1738" s="18" t="s">
        <v>577</v>
      </c>
    </row>
    <row r="1739">
      <c r="A1739" s="11"/>
      <c r="B1739" s="12" t="s">
        <v>7</v>
      </c>
      <c r="C1739" s="12" t="s">
        <v>8</v>
      </c>
      <c r="D1739" s="12" t="s">
        <v>24</v>
      </c>
      <c r="E1739" s="12" t="s">
        <v>32</v>
      </c>
      <c r="F1739" s="13" t="s">
        <v>30</v>
      </c>
      <c r="G1739" s="12" t="s">
        <v>68</v>
      </c>
      <c r="H1739" s="12" t="s">
        <v>573</v>
      </c>
      <c r="I1739" s="12" t="s">
        <v>574</v>
      </c>
      <c r="J1739" s="17" t="s">
        <v>2800</v>
      </c>
      <c r="K1739" s="18">
        <v>9.0</v>
      </c>
      <c r="L1739" s="20">
        <v>45967.0</v>
      </c>
      <c r="M1739" s="17" t="s">
        <v>23</v>
      </c>
      <c r="N1739" s="48" t="s">
        <v>4015</v>
      </c>
      <c r="O1739" s="52">
        <v>4.6961255E7</v>
      </c>
      <c r="P1739" s="48"/>
      <c r="Q1739" s="46" t="s">
        <v>73</v>
      </c>
      <c r="R1739" s="17" t="s">
        <v>4013</v>
      </c>
      <c r="S1739" s="17" t="s">
        <v>4014</v>
      </c>
      <c r="U1739" s="24"/>
      <c r="V1739" s="18" t="s">
        <v>4016</v>
      </c>
      <c r="W1739" s="18" t="s">
        <v>577</v>
      </c>
    </row>
    <row r="1740">
      <c r="A1740" s="11"/>
      <c r="B1740" s="12" t="s">
        <v>7</v>
      </c>
      <c r="C1740" s="12" t="s">
        <v>8</v>
      </c>
      <c r="D1740" s="12" t="s">
        <v>24</v>
      </c>
      <c r="E1740" s="12" t="s">
        <v>32</v>
      </c>
      <c r="F1740" s="13" t="s">
        <v>30</v>
      </c>
      <c r="G1740" s="12" t="s">
        <v>68</v>
      </c>
      <c r="H1740" s="12" t="s">
        <v>573</v>
      </c>
      <c r="I1740" s="12" t="s">
        <v>574</v>
      </c>
      <c r="J1740" s="17" t="s">
        <v>2800</v>
      </c>
      <c r="K1740" s="18">
        <v>9.0</v>
      </c>
      <c r="L1740" s="20">
        <v>45967.0</v>
      </c>
      <c r="M1740" s="17" t="s">
        <v>23</v>
      </c>
      <c r="N1740" s="48" t="s">
        <v>4253</v>
      </c>
      <c r="O1740" s="52">
        <v>3.213569E7</v>
      </c>
      <c r="P1740" s="48"/>
      <c r="Q1740" s="46"/>
      <c r="R1740" s="17" t="s">
        <v>4022</v>
      </c>
      <c r="S1740" s="17" t="s">
        <v>4022</v>
      </c>
      <c r="U1740" s="24"/>
      <c r="V1740" s="17" t="s">
        <v>4022</v>
      </c>
      <c r="W1740" s="18" t="s">
        <v>577</v>
      </c>
    </row>
    <row r="1741">
      <c r="A1741" s="11"/>
      <c r="B1741" s="12" t="s">
        <v>7</v>
      </c>
      <c r="C1741" s="12" t="s">
        <v>8</v>
      </c>
      <c r="D1741" s="12" t="s">
        <v>24</v>
      </c>
      <c r="E1741" s="12" t="s">
        <v>32</v>
      </c>
      <c r="F1741" s="13" t="s">
        <v>30</v>
      </c>
      <c r="G1741" s="12" t="s">
        <v>68</v>
      </c>
      <c r="H1741" s="12" t="s">
        <v>573</v>
      </c>
      <c r="I1741" s="12" t="s">
        <v>574</v>
      </c>
      <c r="J1741" s="17" t="s">
        <v>2800</v>
      </c>
      <c r="K1741" s="18">
        <v>9.0</v>
      </c>
      <c r="L1741" s="20">
        <v>45967.0</v>
      </c>
      <c r="M1741" s="17" t="s">
        <v>23</v>
      </c>
      <c r="N1741" s="17" t="s">
        <v>4254</v>
      </c>
      <c r="O1741" s="17">
        <v>7.0603114E7</v>
      </c>
      <c r="P1741" s="17"/>
      <c r="Q1741" s="17"/>
      <c r="R1741" s="17" t="s">
        <v>4255</v>
      </c>
      <c r="S1741" s="17" t="s">
        <v>4255</v>
      </c>
      <c r="U1741" s="24"/>
      <c r="V1741" s="17" t="s">
        <v>4255</v>
      </c>
      <c r="W1741" s="18" t="s">
        <v>577</v>
      </c>
    </row>
    <row r="1742">
      <c r="A1742" s="11"/>
      <c r="B1742" s="12" t="s">
        <v>7</v>
      </c>
      <c r="C1742" s="12" t="s">
        <v>8</v>
      </c>
      <c r="D1742" s="12" t="s">
        <v>24</v>
      </c>
      <c r="E1742" s="12" t="s">
        <v>32</v>
      </c>
      <c r="F1742" s="13" t="s">
        <v>30</v>
      </c>
      <c r="G1742" s="12" t="s">
        <v>68</v>
      </c>
      <c r="H1742" s="12" t="s">
        <v>573</v>
      </c>
      <c r="I1742" s="12" t="s">
        <v>574</v>
      </c>
      <c r="J1742" s="17" t="s">
        <v>2800</v>
      </c>
      <c r="K1742" s="18">
        <v>9.0</v>
      </c>
      <c r="L1742" s="20">
        <v>45967.0</v>
      </c>
      <c r="M1742" s="17" t="s">
        <v>23</v>
      </c>
      <c r="N1742" s="46" t="s">
        <v>2174</v>
      </c>
      <c r="O1742" s="122">
        <v>4.3532615E7</v>
      </c>
      <c r="P1742" s="46" t="s">
        <v>2175</v>
      </c>
      <c r="Q1742" s="46" t="s">
        <v>73</v>
      </c>
      <c r="R1742" s="46" t="s">
        <v>2172</v>
      </c>
      <c r="S1742" s="17" t="s">
        <v>2176</v>
      </c>
      <c r="U1742" s="24"/>
      <c r="V1742" s="24"/>
      <c r="W1742" s="18" t="s">
        <v>577</v>
      </c>
    </row>
    <row r="1743">
      <c r="A1743" s="11"/>
      <c r="B1743" s="12" t="s">
        <v>7</v>
      </c>
      <c r="C1743" s="12" t="s">
        <v>8</v>
      </c>
      <c r="D1743" s="12" t="s">
        <v>24</v>
      </c>
      <c r="E1743" s="12" t="s">
        <v>32</v>
      </c>
      <c r="F1743" s="13" t="s">
        <v>30</v>
      </c>
      <c r="G1743" s="12" t="s">
        <v>68</v>
      </c>
      <c r="H1743" s="12" t="s">
        <v>573</v>
      </c>
      <c r="I1743" s="12" t="s">
        <v>574</v>
      </c>
      <c r="J1743" s="17" t="s">
        <v>2800</v>
      </c>
      <c r="K1743" s="18">
        <v>9.0</v>
      </c>
      <c r="L1743" s="20">
        <v>45967.0</v>
      </c>
      <c r="M1743" s="17" t="s">
        <v>28</v>
      </c>
      <c r="N1743" s="46" t="s">
        <v>2171</v>
      </c>
      <c r="O1743" s="122">
        <v>7.3014611E7</v>
      </c>
      <c r="P1743" s="46" t="s">
        <v>1785</v>
      </c>
      <c r="Q1743" s="46" t="s">
        <v>112</v>
      </c>
      <c r="R1743" s="46" t="s">
        <v>2172</v>
      </c>
      <c r="S1743" s="17" t="s">
        <v>2173</v>
      </c>
      <c r="U1743" s="24"/>
      <c r="V1743" s="24"/>
      <c r="W1743" s="18" t="s">
        <v>577</v>
      </c>
    </row>
    <row r="1744">
      <c r="A1744" s="11"/>
      <c r="B1744" s="12" t="s">
        <v>7</v>
      </c>
      <c r="C1744" s="12" t="s">
        <v>8</v>
      </c>
      <c r="D1744" s="12" t="s">
        <v>24</v>
      </c>
      <c r="E1744" s="12" t="s">
        <v>32</v>
      </c>
      <c r="F1744" s="13" t="s">
        <v>30</v>
      </c>
      <c r="G1744" s="12" t="s">
        <v>68</v>
      </c>
      <c r="H1744" s="12" t="s">
        <v>573</v>
      </c>
      <c r="I1744" s="12" t="s">
        <v>574</v>
      </c>
      <c r="J1744" s="17" t="s">
        <v>2800</v>
      </c>
      <c r="K1744" s="18">
        <v>9.0</v>
      </c>
      <c r="L1744" s="20">
        <v>45967.0</v>
      </c>
      <c r="M1744" s="17" t="s">
        <v>28</v>
      </c>
      <c r="N1744" s="46" t="s">
        <v>3296</v>
      </c>
      <c r="O1744" s="122">
        <v>7.5667634E7</v>
      </c>
      <c r="P1744" s="46" t="s">
        <v>2056</v>
      </c>
      <c r="Q1744" s="46" t="s">
        <v>112</v>
      </c>
      <c r="R1744" s="46" t="s">
        <v>2172</v>
      </c>
      <c r="S1744" s="17" t="s">
        <v>3625</v>
      </c>
      <c r="U1744" s="24"/>
      <c r="V1744" s="24"/>
      <c r="W1744" s="18" t="s">
        <v>577</v>
      </c>
    </row>
    <row r="1745">
      <c r="A1745" s="11"/>
      <c r="B1745" s="12" t="s">
        <v>7</v>
      </c>
      <c r="C1745" s="12" t="s">
        <v>8</v>
      </c>
      <c r="D1745" s="12" t="s">
        <v>24</v>
      </c>
      <c r="E1745" s="12" t="s">
        <v>32</v>
      </c>
      <c r="F1745" s="13" t="s">
        <v>30</v>
      </c>
      <c r="G1745" s="12" t="s">
        <v>68</v>
      </c>
      <c r="H1745" s="12" t="s">
        <v>573</v>
      </c>
      <c r="I1745" s="12" t="s">
        <v>574</v>
      </c>
      <c r="J1745" s="17" t="s">
        <v>2800</v>
      </c>
      <c r="K1745" s="18">
        <v>9.0</v>
      </c>
      <c r="L1745" s="20">
        <v>45967.0</v>
      </c>
      <c r="M1745" s="17" t="s">
        <v>28</v>
      </c>
      <c r="N1745" s="21" t="s">
        <v>3292</v>
      </c>
      <c r="O1745" s="17">
        <v>4.5219188E7</v>
      </c>
      <c r="P1745" s="21" t="s">
        <v>1782</v>
      </c>
      <c r="Q1745" s="17" t="s">
        <v>108</v>
      </c>
      <c r="R1745" s="21" t="s">
        <v>2055</v>
      </c>
      <c r="S1745" s="17" t="s">
        <v>3293</v>
      </c>
      <c r="U1745" s="24"/>
      <c r="V1745" s="24"/>
      <c r="W1745" s="18" t="s">
        <v>577</v>
      </c>
    </row>
    <row r="1746">
      <c r="A1746" s="11"/>
      <c r="B1746" s="12" t="s">
        <v>7</v>
      </c>
      <c r="C1746" s="12" t="s">
        <v>8</v>
      </c>
      <c r="D1746" s="12" t="s">
        <v>24</v>
      </c>
      <c r="E1746" s="12" t="s">
        <v>32</v>
      </c>
      <c r="F1746" s="13" t="s">
        <v>30</v>
      </c>
      <c r="G1746" s="12" t="s">
        <v>68</v>
      </c>
      <c r="H1746" s="12" t="s">
        <v>573</v>
      </c>
      <c r="I1746" s="12" t="s">
        <v>574</v>
      </c>
      <c r="J1746" s="17" t="s">
        <v>2800</v>
      </c>
      <c r="K1746" s="18">
        <v>9.0</v>
      </c>
      <c r="L1746" s="20">
        <v>45967.0</v>
      </c>
      <c r="M1746" s="17" t="s">
        <v>28</v>
      </c>
      <c r="N1746" s="17" t="s">
        <v>4256</v>
      </c>
      <c r="O1746" s="17">
        <v>4.286252E7</v>
      </c>
      <c r="P1746" s="17" t="s">
        <v>1788</v>
      </c>
      <c r="Q1746" s="17" t="s">
        <v>108</v>
      </c>
      <c r="R1746" s="21" t="s">
        <v>2055</v>
      </c>
      <c r="S1746" s="17" t="s">
        <v>4257</v>
      </c>
      <c r="U1746" s="24"/>
      <c r="V1746" s="18" t="s">
        <v>3632</v>
      </c>
      <c r="W1746" s="18" t="s">
        <v>577</v>
      </c>
    </row>
    <row r="1747">
      <c r="A1747" s="11"/>
      <c r="B1747" s="12" t="s">
        <v>7</v>
      </c>
      <c r="C1747" s="12" t="s">
        <v>8</v>
      </c>
      <c r="D1747" s="12" t="s">
        <v>24</v>
      </c>
      <c r="E1747" s="12" t="s">
        <v>32</v>
      </c>
      <c r="F1747" s="13" t="s">
        <v>30</v>
      </c>
      <c r="G1747" s="12" t="s">
        <v>68</v>
      </c>
      <c r="H1747" s="12" t="s">
        <v>573</v>
      </c>
      <c r="I1747" s="12" t="s">
        <v>574</v>
      </c>
      <c r="J1747" s="17" t="s">
        <v>2687</v>
      </c>
      <c r="K1747" s="18" t="s">
        <v>2170</v>
      </c>
      <c r="L1747" s="20">
        <v>45971.0</v>
      </c>
      <c r="M1747" s="17" t="s">
        <v>23</v>
      </c>
      <c r="N1747" s="46" t="s">
        <v>2174</v>
      </c>
      <c r="O1747" s="122">
        <v>4.3532615E7</v>
      </c>
      <c r="P1747" s="17"/>
      <c r="Q1747" s="17" t="s">
        <v>73</v>
      </c>
      <c r="R1747" s="17" t="s">
        <v>4013</v>
      </c>
      <c r="S1747" s="17" t="s">
        <v>4014</v>
      </c>
      <c r="U1747" s="24"/>
      <c r="V1747" s="139" t="s">
        <v>4258</v>
      </c>
      <c r="W1747" s="18" t="s">
        <v>577</v>
      </c>
    </row>
    <row r="1748">
      <c r="A1748" s="11"/>
      <c r="B1748" s="12" t="s">
        <v>7</v>
      </c>
      <c r="C1748" s="12" t="s">
        <v>8</v>
      </c>
      <c r="D1748" s="12" t="s">
        <v>24</v>
      </c>
      <c r="E1748" s="12" t="s">
        <v>25</v>
      </c>
      <c r="F1748" s="13" t="s">
        <v>26</v>
      </c>
      <c r="G1748" s="12" t="s">
        <v>68</v>
      </c>
      <c r="H1748" s="12" t="s">
        <v>994</v>
      </c>
      <c r="I1748" s="12" t="s">
        <v>995</v>
      </c>
      <c r="J1748" s="17" t="s">
        <v>2800</v>
      </c>
      <c r="K1748" s="18">
        <v>9.0</v>
      </c>
      <c r="L1748" s="20">
        <v>45972.0</v>
      </c>
      <c r="M1748" s="17" t="s">
        <v>23</v>
      </c>
      <c r="N1748" s="17" t="s">
        <v>3298</v>
      </c>
      <c r="O1748" s="17">
        <v>3.1923023E7</v>
      </c>
      <c r="Q1748" s="17" t="s">
        <v>73</v>
      </c>
      <c r="R1748" s="17" t="s">
        <v>2004</v>
      </c>
      <c r="S1748" s="17" t="s">
        <v>3299</v>
      </c>
      <c r="U1748" s="24"/>
      <c r="V1748" s="24"/>
      <c r="W1748" s="18" t="s">
        <v>577</v>
      </c>
    </row>
    <row r="1749">
      <c r="A1749" s="11"/>
      <c r="B1749" s="12" t="s">
        <v>7</v>
      </c>
      <c r="C1749" s="12" t="s">
        <v>8</v>
      </c>
      <c r="D1749" s="12" t="s">
        <v>24</v>
      </c>
      <c r="E1749" s="12" t="s">
        <v>25</v>
      </c>
      <c r="F1749" s="13" t="s">
        <v>26</v>
      </c>
      <c r="G1749" s="12" t="s">
        <v>68</v>
      </c>
      <c r="H1749" s="12" t="s">
        <v>994</v>
      </c>
      <c r="I1749" s="12" t="s">
        <v>995</v>
      </c>
      <c r="J1749" s="17" t="s">
        <v>2800</v>
      </c>
      <c r="K1749" s="18">
        <v>9.0</v>
      </c>
      <c r="L1749" s="20">
        <v>45972.0</v>
      </c>
      <c r="M1749" s="17" t="s">
        <v>23</v>
      </c>
      <c r="N1749" s="17" t="s">
        <v>3300</v>
      </c>
      <c r="O1749" s="17">
        <v>4.5803595E7</v>
      </c>
      <c r="Q1749" s="17" t="s">
        <v>112</v>
      </c>
      <c r="R1749" s="17" t="s">
        <v>2028</v>
      </c>
      <c r="S1749" s="17" t="s">
        <v>3301</v>
      </c>
      <c r="U1749" s="24"/>
      <c r="V1749" s="24"/>
      <c r="W1749" s="18" t="s">
        <v>577</v>
      </c>
    </row>
    <row r="1750">
      <c r="A1750" s="11"/>
      <c r="B1750" s="12" t="s">
        <v>7</v>
      </c>
      <c r="C1750" s="12" t="s">
        <v>8</v>
      </c>
      <c r="D1750" s="12" t="s">
        <v>24</v>
      </c>
      <c r="E1750" s="12" t="s">
        <v>25</v>
      </c>
      <c r="F1750" s="13" t="s">
        <v>26</v>
      </c>
      <c r="G1750" s="12" t="s">
        <v>68</v>
      </c>
      <c r="H1750" s="12" t="s">
        <v>994</v>
      </c>
      <c r="I1750" s="12" t="s">
        <v>995</v>
      </c>
      <c r="J1750" s="17" t="s">
        <v>2800</v>
      </c>
      <c r="K1750" s="18">
        <v>9.0</v>
      </c>
      <c r="L1750" s="20">
        <v>45972.0</v>
      </c>
      <c r="M1750" s="17" t="s">
        <v>23</v>
      </c>
      <c r="N1750" s="17" t="s">
        <v>3302</v>
      </c>
      <c r="O1750" s="17">
        <v>3.2657886E7</v>
      </c>
      <c r="Q1750" s="17" t="s">
        <v>108</v>
      </c>
      <c r="R1750" s="17" t="s">
        <v>2016</v>
      </c>
      <c r="S1750" s="17" t="s">
        <v>2951</v>
      </c>
      <c r="U1750" s="24"/>
      <c r="V1750" s="24"/>
      <c r="W1750" s="18" t="s">
        <v>577</v>
      </c>
    </row>
    <row r="1751">
      <c r="A1751" s="11"/>
      <c r="B1751" s="12" t="s">
        <v>7</v>
      </c>
      <c r="C1751" s="12" t="s">
        <v>8</v>
      </c>
      <c r="D1751" s="12" t="s">
        <v>24</v>
      </c>
      <c r="E1751" s="12" t="s">
        <v>25</v>
      </c>
      <c r="F1751" s="13" t="s">
        <v>26</v>
      </c>
      <c r="G1751" s="12" t="s">
        <v>68</v>
      </c>
      <c r="H1751" s="12" t="s">
        <v>994</v>
      </c>
      <c r="I1751" s="12" t="s">
        <v>995</v>
      </c>
      <c r="J1751" s="17" t="s">
        <v>2800</v>
      </c>
      <c r="K1751" s="18">
        <v>9.0</v>
      </c>
      <c r="L1751" s="20">
        <v>45972.0</v>
      </c>
      <c r="M1751" s="17" t="s">
        <v>23</v>
      </c>
      <c r="N1751" s="48" t="s">
        <v>4023</v>
      </c>
      <c r="O1751" s="52">
        <v>4.2042818E7</v>
      </c>
      <c r="P1751" s="21"/>
      <c r="Q1751" s="48" t="s">
        <v>73</v>
      </c>
      <c r="R1751" s="48" t="s">
        <v>3922</v>
      </c>
      <c r="S1751" s="17" t="s">
        <v>3923</v>
      </c>
      <c r="U1751" s="24"/>
      <c r="V1751" s="18" t="s">
        <v>4259</v>
      </c>
      <c r="W1751" s="18" t="s">
        <v>577</v>
      </c>
    </row>
    <row r="1752">
      <c r="A1752" s="11"/>
      <c r="B1752" s="12" t="s">
        <v>7</v>
      </c>
      <c r="C1752" s="12" t="s">
        <v>8</v>
      </c>
      <c r="D1752" s="12" t="s">
        <v>24</v>
      </c>
      <c r="E1752" s="12" t="s">
        <v>25</v>
      </c>
      <c r="F1752" s="13" t="s">
        <v>26</v>
      </c>
      <c r="G1752" s="12" t="s">
        <v>68</v>
      </c>
      <c r="H1752" s="12" t="s">
        <v>994</v>
      </c>
      <c r="I1752" s="12" t="s">
        <v>995</v>
      </c>
      <c r="J1752" s="17" t="s">
        <v>2800</v>
      </c>
      <c r="K1752" s="18">
        <v>9.0</v>
      </c>
      <c r="L1752" s="20">
        <v>45972.0</v>
      </c>
      <c r="M1752" s="17" t="s">
        <v>28</v>
      </c>
      <c r="N1752" s="48" t="s">
        <v>2946</v>
      </c>
      <c r="O1752" s="48">
        <v>3.192394E7</v>
      </c>
      <c r="P1752" s="17" t="s">
        <v>2066</v>
      </c>
      <c r="Q1752" s="17" t="s">
        <v>73</v>
      </c>
      <c r="R1752" s="17"/>
      <c r="S1752" s="17" t="s">
        <v>4260</v>
      </c>
      <c r="U1752" s="24"/>
      <c r="V1752" s="24"/>
      <c r="W1752" s="18" t="s">
        <v>577</v>
      </c>
    </row>
    <row r="1753">
      <c r="A1753" s="11"/>
      <c r="B1753" s="12" t="s">
        <v>7</v>
      </c>
      <c r="C1753" s="12" t="s">
        <v>8</v>
      </c>
      <c r="D1753" s="12" t="s">
        <v>24</v>
      </c>
      <c r="E1753" s="12" t="s">
        <v>25</v>
      </c>
      <c r="F1753" s="13" t="s">
        <v>26</v>
      </c>
      <c r="G1753" s="12" t="s">
        <v>68</v>
      </c>
      <c r="H1753" s="12" t="s">
        <v>994</v>
      </c>
      <c r="I1753" s="12" t="s">
        <v>995</v>
      </c>
      <c r="J1753" s="17" t="s">
        <v>2800</v>
      </c>
      <c r="K1753" s="18">
        <v>9.0</v>
      </c>
      <c r="L1753" s="20">
        <v>45972.0</v>
      </c>
      <c r="M1753" s="17" t="s">
        <v>28</v>
      </c>
      <c r="N1753" s="17" t="s">
        <v>4261</v>
      </c>
      <c r="O1753" s="17">
        <v>4.2016491E7</v>
      </c>
      <c r="P1753" s="17" t="s">
        <v>4262</v>
      </c>
      <c r="Q1753" s="17" t="s">
        <v>112</v>
      </c>
      <c r="R1753" s="17" t="s">
        <v>2028</v>
      </c>
      <c r="S1753" s="17" t="s">
        <v>4263</v>
      </c>
      <c r="U1753" s="24"/>
      <c r="V1753" s="24"/>
      <c r="W1753" s="18" t="s">
        <v>577</v>
      </c>
    </row>
    <row r="1754">
      <c r="A1754" s="11"/>
      <c r="B1754" s="12" t="s">
        <v>7</v>
      </c>
      <c r="C1754" s="12" t="s">
        <v>8</v>
      </c>
      <c r="D1754" s="12" t="s">
        <v>24</v>
      </c>
      <c r="E1754" s="12" t="s">
        <v>25</v>
      </c>
      <c r="F1754" s="13" t="s">
        <v>26</v>
      </c>
      <c r="G1754" s="12" t="s">
        <v>68</v>
      </c>
      <c r="H1754" s="12" t="s">
        <v>994</v>
      </c>
      <c r="I1754" s="12" t="s">
        <v>995</v>
      </c>
      <c r="J1754" s="17" t="s">
        <v>2800</v>
      </c>
      <c r="K1754" s="18">
        <v>9.0</v>
      </c>
      <c r="L1754" s="20">
        <v>45972.0</v>
      </c>
      <c r="M1754" s="17" t="s">
        <v>28</v>
      </c>
      <c r="N1754" s="17" t="s">
        <v>2963</v>
      </c>
      <c r="O1754" s="17">
        <v>7.3976831E7</v>
      </c>
      <c r="P1754" s="17" t="s">
        <v>2038</v>
      </c>
      <c r="Q1754" s="17" t="s">
        <v>112</v>
      </c>
      <c r="R1754" s="17" t="s">
        <v>2028</v>
      </c>
      <c r="S1754" s="17" t="s">
        <v>2964</v>
      </c>
      <c r="U1754" s="24"/>
      <c r="V1754" s="24"/>
      <c r="W1754" s="18" t="s">
        <v>577</v>
      </c>
    </row>
    <row r="1755">
      <c r="A1755" s="11"/>
      <c r="B1755" s="12" t="s">
        <v>7</v>
      </c>
      <c r="C1755" s="12" t="s">
        <v>8</v>
      </c>
      <c r="D1755" s="12" t="s">
        <v>24</v>
      </c>
      <c r="E1755" s="12" t="s">
        <v>25</v>
      </c>
      <c r="F1755" s="13" t="s">
        <v>26</v>
      </c>
      <c r="G1755" s="12" t="s">
        <v>68</v>
      </c>
      <c r="H1755" s="12" t="s">
        <v>994</v>
      </c>
      <c r="I1755" s="12" t="s">
        <v>995</v>
      </c>
      <c r="J1755" s="17" t="s">
        <v>2800</v>
      </c>
      <c r="K1755" s="18">
        <v>9.0</v>
      </c>
      <c r="L1755" s="20">
        <v>45972.0</v>
      </c>
      <c r="M1755" s="17" t="s">
        <v>28</v>
      </c>
      <c r="N1755" s="17" t="s">
        <v>4264</v>
      </c>
      <c r="O1755" s="17">
        <v>7.6173901E7</v>
      </c>
      <c r="P1755" s="17" t="s">
        <v>2038</v>
      </c>
      <c r="Q1755" s="17" t="s">
        <v>112</v>
      </c>
      <c r="R1755" s="17" t="s">
        <v>2028</v>
      </c>
      <c r="S1755" s="17" t="s">
        <v>2964</v>
      </c>
      <c r="U1755" s="24"/>
      <c r="V1755" s="24"/>
      <c r="W1755" s="18" t="s">
        <v>577</v>
      </c>
    </row>
    <row r="1756">
      <c r="A1756" s="11"/>
      <c r="B1756" s="12" t="s">
        <v>7</v>
      </c>
      <c r="C1756" s="12" t="s">
        <v>8</v>
      </c>
      <c r="D1756" s="12" t="s">
        <v>24</v>
      </c>
      <c r="E1756" s="12" t="s">
        <v>25</v>
      </c>
      <c r="F1756" s="13" t="s">
        <v>26</v>
      </c>
      <c r="G1756" s="12" t="s">
        <v>68</v>
      </c>
      <c r="H1756" s="12" t="s">
        <v>994</v>
      </c>
      <c r="I1756" s="12" t="s">
        <v>995</v>
      </c>
      <c r="J1756" s="17" t="s">
        <v>2800</v>
      </c>
      <c r="K1756" s="18">
        <v>9.0</v>
      </c>
      <c r="L1756" s="20">
        <v>45972.0</v>
      </c>
      <c r="M1756" s="17" t="s">
        <v>28</v>
      </c>
      <c r="N1756" s="17" t="s">
        <v>2967</v>
      </c>
      <c r="O1756" s="17">
        <v>4.5221309E7</v>
      </c>
      <c r="P1756" s="17" t="s">
        <v>2005</v>
      </c>
      <c r="Q1756" s="17" t="s">
        <v>73</v>
      </c>
      <c r="R1756" s="17" t="s">
        <v>2004</v>
      </c>
      <c r="S1756" s="17" t="s">
        <v>2968</v>
      </c>
      <c r="U1756" s="24"/>
      <c r="V1756" s="24"/>
      <c r="W1756" s="18" t="s">
        <v>577</v>
      </c>
    </row>
    <row r="1757">
      <c r="A1757" s="11"/>
      <c r="B1757" s="12" t="s">
        <v>7</v>
      </c>
      <c r="C1757" s="12" t="s">
        <v>8</v>
      </c>
      <c r="D1757" s="12" t="s">
        <v>24</v>
      </c>
      <c r="E1757" s="12" t="s">
        <v>25</v>
      </c>
      <c r="F1757" s="13" t="s">
        <v>26</v>
      </c>
      <c r="G1757" s="12" t="s">
        <v>68</v>
      </c>
      <c r="H1757" s="12" t="s">
        <v>994</v>
      </c>
      <c r="I1757" s="12" t="s">
        <v>995</v>
      </c>
      <c r="J1757" s="17" t="s">
        <v>2800</v>
      </c>
      <c r="K1757" s="18">
        <v>9.0</v>
      </c>
      <c r="L1757" s="20">
        <v>45972.0</v>
      </c>
      <c r="M1757" s="17" t="s">
        <v>28</v>
      </c>
      <c r="N1757" s="46" t="s">
        <v>2971</v>
      </c>
      <c r="O1757" s="122">
        <v>4.8783496E7</v>
      </c>
      <c r="P1757" s="46" t="s">
        <v>2074</v>
      </c>
      <c r="Q1757" s="46" t="s">
        <v>112</v>
      </c>
      <c r="R1757" s="46" t="s">
        <v>2028</v>
      </c>
      <c r="S1757" s="17" t="s">
        <v>2972</v>
      </c>
      <c r="U1757" s="24"/>
      <c r="V1757" s="24"/>
      <c r="W1757" s="18" t="s">
        <v>577</v>
      </c>
    </row>
    <row r="1758">
      <c r="A1758" s="11"/>
      <c r="B1758" s="12" t="s">
        <v>7</v>
      </c>
      <c r="C1758" s="12" t="s">
        <v>8</v>
      </c>
      <c r="D1758" s="12" t="s">
        <v>24</v>
      </c>
      <c r="E1758" s="12" t="s">
        <v>25</v>
      </c>
      <c r="F1758" s="13" t="s">
        <v>26</v>
      </c>
      <c r="G1758" s="12" t="s">
        <v>68</v>
      </c>
      <c r="H1758" s="12" t="s">
        <v>994</v>
      </c>
      <c r="I1758" s="12" t="s">
        <v>995</v>
      </c>
      <c r="J1758" s="17" t="s">
        <v>2800</v>
      </c>
      <c r="K1758" s="18">
        <v>9.0</v>
      </c>
      <c r="L1758" s="20">
        <v>45972.0</v>
      </c>
      <c r="M1758" s="17" t="s">
        <v>28</v>
      </c>
      <c r="N1758" s="46" t="s">
        <v>2976</v>
      </c>
      <c r="O1758" s="122">
        <v>4.4360153E7</v>
      </c>
      <c r="P1758" s="46" t="s">
        <v>2977</v>
      </c>
      <c r="Q1758" s="46" t="s">
        <v>73</v>
      </c>
      <c r="R1758" s="46" t="s">
        <v>2004</v>
      </c>
      <c r="S1758" s="17" t="s">
        <v>2978</v>
      </c>
      <c r="U1758" s="24"/>
      <c r="V1758" s="24"/>
      <c r="W1758" s="18" t="s">
        <v>577</v>
      </c>
    </row>
    <row r="1759">
      <c r="A1759" s="11"/>
      <c r="B1759" s="12" t="s">
        <v>7</v>
      </c>
      <c r="C1759" s="12" t="s">
        <v>8</v>
      </c>
      <c r="D1759" s="12" t="s">
        <v>24</v>
      </c>
      <c r="E1759" s="12" t="s">
        <v>25</v>
      </c>
      <c r="F1759" s="13" t="s">
        <v>26</v>
      </c>
      <c r="G1759" s="12" t="s">
        <v>68</v>
      </c>
      <c r="H1759" s="12" t="s">
        <v>994</v>
      </c>
      <c r="I1759" s="12" t="s">
        <v>995</v>
      </c>
      <c r="J1759" s="17" t="s">
        <v>2800</v>
      </c>
      <c r="K1759" s="18">
        <v>9.0</v>
      </c>
      <c r="L1759" s="20">
        <v>45972.0</v>
      </c>
      <c r="M1759" s="17" t="s">
        <v>28</v>
      </c>
      <c r="N1759" s="46" t="s">
        <v>3315</v>
      </c>
      <c r="O1759" s="122">
        <v>7.5518734E7</v>
      </c>
      <c r="P1759" s="46" t="s">
        <v>3316</v>
      </c>
      <c r="Q1759" s="46" t="s">
        <v>112</v>
      </c>
      <c r="R1759" s="46" t="s">
        <v>2028</v>
      </c>
      <c r="S1759" s="17" t="s">
        <v>3317</v>
      </c>
      <c r="U1759" s="24"/>
      <c r="V1759" s="24"/>
      <c r="W1759" s="18" t="s">
        <v>577</v>
      </c>
    </row>
    <row r="1760">
      <c r="A1760" s="11"/>
      <c r="B1760" s="12" t="s">
        <v>7</v>
      </c>
      <c r="C1760" s="12" t="s">
        <v>8</v>
      </c>
      <c r="D1760" s="12" t="s">
        <v>24</v>
      </c>
      <c r="E1760" s="12" t="s">
        <v>25</v>
      </c>
      <c r="F1760" s="13" t="s">
        <v>26</v>
      </c>
      <c r="G1760" s="12" t="s">
        <v>68</v>
      </c>
      <c r="H1760" s="12" t="s">
        <v>994</v>
      </c>
      <c r="I1760" s="12" t="s">
        <v>995</v>
      </c>
      <c r="J1760" s="17" t="s">
        <v>2800</v>
      </c>
      <c r="K1760" s="18">
        <v>9.0</v>
      </c>
      <c r="L1760" s="20">
        <v>45972.0</v>
      </c>
      <c r="M1760" s="17" t="s">
        <v>28</v>
      </c>
      <c r="N1760" s="46" t="s">
        <v>3636</v>
      </c>
      <c r="O1760" s="122">
        <v>4.1512875E7</v>
      </c>
      <c r="P1760" s="46" t="s">
        <v>3637</v>
      </c>
      <c r="Q1760" s="46" t="s">
        <v>112</v>
      </c>
      <c r="R1760" s="46" t="s">
        <v>2028</v>
      </c>
      <c r="S1760" s="17" t="s">
        <v>3638</v>
      </c>
      <c r="U1760" s="24"/>
      <c r="V1760" s="24"/>
      <c r="W1760" s="18" t="s">
        <v>577</v>
      </c>
    </row>
    <row r="1761">
      <c r="A1761" s="11"/>
      <c r="B1761" s="12" t="s">
        <v>7</v>
      </c>
      <c r="C1761" s="12" t="s">
        <v>8</v>
      </c>
      <c r="D1761" s="12" t="s">
        <v>24</v>
      </c>
      <c r="E1761" s="12" t="s">
        <v>25</v>
      </c>
      <c r="F1761" s="13" t="s">
        <v>26</v>
      </c>
      <c r="G1761" s="12" t="s">
        <v>68</v>
      </c>
      <c r="H1761" s="12" t="s">
        <v>994</v>
      </c>
      <c r="I1761" s="12" t="s">
        <v>995</v>
      </c>
      <c r="J1761" s="17" t="s">
        <v>2800</v>
      </c>
      <c r="K1761" s="18">
        <v>9.0</v>
      </c>
      <c r="L1761" s="20">
        <v>45972.0</v>
      </c>
      <c r="M1761" s="17" t="s">
        <v>28</v>
      </c>
      <c r="N1761" s="46" t="s">
        <v>4024</v>
      </c>
      <c r="O1761" s="122">
        <v>4.6147885E7</v>
      </c>
      <c r="P1761" s="46" t="s">
        <v>4025</v>
      </c>
      <c r="Q1761" s="46" t="s">
        <v>112</v>
      </c>
      <c r="R1761" s="46" t="s">
        <v>2028</v>
      </c>
      <c r="S1761" s="17" t="s">
        <v>4026</v>
      </c>
      <c r="U1761" s="24"/>
      <c r="V1761" s="24"/>
      <c r="W1761" s="18" t="s">
        <v>577</v>
      </c>
    </row>
    <row r="1762">
      <c r="A1762" s="11"/>
      <c r="B1762" s="12" t="s">
        <v>7</v>
      </c>
      <c r="C1762" s="12" t="s">
        <v>8</v>
      </c>
      <c r="D1762" s="12" t="s">
        <v>24</v>
      </c>
      <c r="E1762" s="12" t="s">
        <v>25</v>
      </c>
      <c r="F1762" s="13" t="s">
        <v>26</v>
      </c>
      <c r="G1762" s="12" t="s">
        <v>68</v>
      </c>
      <c r="H1762" s="12" t="s">
        <v>994</v>
      </c>
      <c r="I1762" s="12" t="s">
        <v>995</v>
      </c>
      <c r="J1762" s="17" t="s">
        <v>2800</v>
      </c>
      <c r="K1762" s="18">
        <v>9.0</v>
      </c>
      <c r="L1762" s="20">
        <v>45972.0</v>
      </c>
      <c r="M1762" s="17" t="s">
        <v>28</v>
      </c>
      <c r="N1762" s="46" t="s">
        <v>4027</v>
      </c>
      <c r="O1762" s="122">
        <v>7.6910888E7</v>
      </c>
      <c r="P1762" s="46" t="s">
        <v>2068</v>
      </c>
      <c r="Q1762" s="46" t="s">
        <v>73</v>
      </c>
      <c r="R1762" s="48" t="s">
        <v>2004</v>
      </c>
      <c r="S1762" s="17" t="s">
        <v>4028</v>
      </c>
      <c r="U1762" s="24"/>
      <c r="V1762" s="24"/>
      <c r="W1762" s="18" t="s">
        <v>577</v>
      </c>
    </row>
    <row r="1763">
      <c r="A1763" s="11"/>
      <c r="B1763" s="12" t="s">
        <v>7</v>
      </c>
      <c r="C1763" s="12" t="s">
        <v>8</v>
      </c>
      <c r="D1763" s="12" t="s">
        <v>24</v>
      </c>
      <c r="E1763" s="12" t="s">
        <v>25</v>
      </c>
      <c r="F1763" s="13" t="s">
        <v>26</v>
      </c>
      <c r="G1763" s="12" t="s">
        <v>68</v>
      </c>
      <c r="H1763" s="12" t="s">
        <v>994</v>
      </c>
      <c r="I1763" s="12" t="s">
        <v>995</v>
      </c>
      <c r="J1763" s="17" t="s">
        <v>2800</v>
      </c>
      <c r="K1763" s="18">
        <v>9.0</v>
      </c>
      <c r="L1763" s="20">
        <v>45972.0</v>
      </c>
      <c r="M1763" s="17" t="s">
        <v>28</v>
      </c>
      <c r="N1763" s="46" t="s">
        <v>4029</v>
      </c>
      <c r="O1763" s="122">
        <v>7.7663968E7</v>
      </c>
      <c r="P1763" s="46" t="s">
        <v>4030</v>
      </c>
      <c r="Q1763" s="46" t="s">
        <v>73</v>
      </c>
      <c r="R1763" s="48" t="s">
        <v>2004</v>
      </c>
      <c r="S1763" s="17" t="s">
        <v>4031</v>
      </c>
      <c r="U1763" s="24"/>
      <c r="V1763" s="24"/>
      <c r="W1763" s="18" t="s">
        <v>577</v>
      </c>
    </row>
    <row r="1764">
      <c r="A1764" s="11"/>
      <c r="B1764" s="12" t="s">
        <v>7</v>
      </c>
      <c r="C1764" s="12" t="s">
        <v>8</v>
      </c>
      <c r="D1764" s="12" t="s">
        <v>24</v>
      </c>
      <c r="E1764" s="12" t="s">
        <v>25</v>
      </c>
      <c r="F1764" s="13" t="s">
        <v>26</v>
      </c>
      <c r="G1764" s="12" t="s">
        <v>68</v>
      </c>
      <c r="H1764" s="12" t="s">
        <v>994</v>
      </c>
      <c r="I1764" s="12" t="s">
        <v>995</v>
      </c>
      <c r="J1764" s="17" t="s">
        <v>2800</v>
      </c>
      <c r="K1764" s="18">
        <v>9.0</v>
      </c>
      <c r="L1764" s="20">
        <v>45972.0</v>
      </c>
      <c r="M1764" s="17" t="s">
        <v>28</v>
      </c>
      <c r="N1764" s="46" t="s">
        <v>4032</v>
      </c>
      <c r="O1764" s="122">
        <v>4.3447251E7</v>
      </c>
      <c r="P1764" s="46" t="s">
        <v>4033</v>
      </c>
      <c r="Q1764" s="46" t="s">
        <v>73</v>
      </c>
      <c r="R1764" s="48" t="s">
        <v>2004</v>
      </c>
      <c r="S1764" s="17" t="s">
        <v>4034</v>
      </c>
      <c r="U1764" s="24"/>
      <c r="V1764" s="24"/>
      <c r="W1764" s="18" t="s">
        <v>577</v>
      </c>
    </row>
    <row r="1765">
      <c r="A1765" s="11"/>
      <c r="B1765" s="12" t="s">
        <v>7</v>
      </c>
      <c r="C1765" s="12" t="s">
        <v>8</v>
      </c>
      <c r="D1765" s="12" t="s">
        <v>24</v>
      </c>
      <c r="E1765" s="12" t="s">
        <v>25</v>
      </c>
      <c r="F1765" s="13" t="s">
        <v>26</v>
      </c>
      <c r="G1765" s="12" t="s">
        <v>68</v>
      </c>
      <c r="H1765" s="12" t="s">
        <v>994</v>
      </c>
      <c r="I1765" s="12" t="s">
        <v>995</v>
      </c>
      <c r="J1765" s="17" t="s">
        <v>2800</v>
      </c>
      <c r="K1765" s="18">
        <v>9.0</v>
      </c>
      <c r="L1765" s="20">
        <v>45972.0</v>
      </c>
      <c r="M1765" s="17" t="s">
        <v>28</v>
      </c>
      <c r="N1765" s="46" t="s">
        <v>4032</v>
      </c>
      <c r="O1765" s="47">
        <v>4.3447251E7</v>
      </c>
      <c r="P1765" s="21" t="s">
        <v>4035</v>
      </c>
      <c r="Q1765" s="46" t="s">
        <v>108</v>
      </c>
      <c r="R1765" s="46" t="s">
        <v>2016</v>
      </c>
      <c r="S1765" s="17" t="s">
        <v>4036</v>
      </c>
      <c r="U1765" s="24"/>
      <c r="V1765" s="24"/>
      <c r="W1765" s="18" t="s">
        <v>577</v>
      </c>
    </row>
    <row r="1766">
      <c r="A1766" s="11"/>
      <c r="B1766" s="12" t="s">
        <v>7</v>
      </c>
      <c r="C1766" s="12" t="s">
        <v>8</v>
      </c>
      <c r="D1766" s="12" t="s">
        <v>24</v>
      </c>
      <c r="E1766" s="12" t="s">
        <v>25</v>
      </c>
      <c r="F1766" s="13" t="s">
        <v>26</v>
      </c>
      <c r="G1766" s="12" t="s">
        <v>68</v>
      </c>
      <c r="H1766" s="12" t="s">
        <v>994</v>
      </c>
      <c r="I1766" s="12" t="s">
        <v>995</v>
      </c>
      <c r="J1766" s="17" t="s">
        <v>2800</v>
      </c>
      <c r="K1766" s="18">
        <v>9.0</v>
      </c>
      <c r="L1766" s="20">
        <v>45972.0</v>
      </c>
      <c r="M1766" s="17" t="s">
        <v>28</v>
      </c>
      <c r="N1766" s="17" t="s">
        <v>2979</v>
      </c>
      <c r="O1766" s="17">
        <v>4.3412647E7</v>
      </c>
      <c r="P1766" s="17" t="s">
        <v>2030</v>
      </c>
      <c r="Q1766" s="48" t="s">
        <v>112</v>
      </c>
      <c r="R1766" s="46" t="s">
        <v>2028</v>
      </c>
      <c r="S1766" s="17" t="s">
        <v>2980</v>
      </c>
      <c r="U1766" s="24"/>
      <c r="V1766" s="24"/>
      <c r="W1766" s="18" t="s">
        <v>577</v>
      </c>
    </row>
    <row r="1767">
      <c r="A1767" s="11"/>
      <c r="B1767" s="12" t="s">
        <v>7</v>
      </c>
      <c r="C1767" s="12" t="s">
        <v>8</v>
      </c>
      <c r="D1767" s="12" t="s">
        <v>24</v>
      </c>
      <c r="E1767" s="12" t="s">
        <v>25</v>
      </c>
      <c r="F1767" s="13" t="s">
        <v>26</v>
      </c>
      <c r="G1767" s="12" t="s">
        <v>68</v>
      </c>
      <c r="H1767" s="12" t="s">
        <v>994</v>
      </c>
      <c r="I1767" s="12" t="s">
        <v>995</v>
      </c>
      <c r="J1767" s="17" t="s">
        <v>2800</v>
      </c>
      <c r="K1767" s="18">
        <v>9.0</v>
      </c>
      <c r="L1767" s="20">
        <v>45972.0</v>
      </c>
      <c r="M1767" s="17" t="s">
        <v>28</v>
      </c>
      <c r="N1767" s="48" t="s">
        <v>4265</v>
      </c>
      <c r="O1767" s="52">
        <v>4.1998791E7</v>
      </c>
      <c r="P1767" s="48" t="s">
        <v>4266</v>
      </c>
      <c r="Q1767" s="48" t="s">
        <v>112</v>
      </c>
      <c r="R1767" s="46" t="s">
        <v>2028</v>
      </c>
      <c r="S1767" s="17" t="s">
        <v>4267</v>
      </c>
      <c r="U1767" s="24"/>
      <c r="V1767" s="24"/>
      <c r="W1767" s="18" t="s">
        <v>577</v>
      </c>
    </row>
    <row r="1768">
      <c r="A1768" s="11"/>
      <c r="B1768" s="12" t="s">
        <v>7</v>
      </c>
      <c r="C1768" s="12" t="s">
        <v>8</v>
      </c>
      <c r="D1768" s="12" t="s">
        <v>24</v>
      </c>
      <c r="E1768" s="12" t="s">
        <v>25</v>
      </c>
      <c r="F1768" s="13" t="s">
        <v>26</v>
      </c>
      <c r="G1768" s="12" t="s">
        <v>68</v>
      </c>
      <c r="H1768" s="12" t="s">
        <v>994</v>
      </c>
      <c r="I1768" s="12" t="s">
        <v>995</v>
      </c>
      <c r="J1768" s="17" t="s">
        <v>2800</v>
      </c>
      <c r="K1768" s="18">
        <v>9.0</v>
      </c>
      <c r="L1768" s="20">
        <v>45972.0</v>
      </c>
      <c r="M1768" s="17" t="s">
        <v>28</v>
      </c>
      <c r="N1768" s="46" t="s">
        <v>2969</v>
      </c>
      <c r="O1768" s="47">
        <v>4.6527678E7</v>
      </c>
      <c r="P1768" s="46" t="s">
        <v>2015</v>
      </c>
      <c r="Q1768" s="46" t="s">
        <v>73</v>
      </c>
      <c r="R1768" s="46" t="s">
        <v>2004</v>
      </c>
      <c r="S1768" s="17" t="s">
        <v>2970</v>
      </c>
      <c r="U1768" s="24"/>
      <c r="V1768" s="24"/>
      <c r="W1768" s="18" t="s">
        <v>577</v>
      </c>
    </row>
    <row r="1769">
      <c r="A1769" s="11"/>
      <c r="B1769" s="12" t="s">
        <v>7</v>
      </c>
      <c r="C1769" s="12" t="s">
        <v>8</v>
      </c>
      <c r="D1769" s="12" t="s">
        <v>24</v>
      </c>
      <c r="E1769" s="12" t="s">
        <v>25</v>
      </c>
      <c r="F1769" s="13" t="s">
        <v>26</v>
      </c>
      <c r="G1769" s="12" t="s">
        <v>68</v>
      </c>
      <c r="H1769" s="12" t="s">
        <v>994</v>
      </c>
      <c r="I1769" s="12" t="s">
        <v>995</v>
      </c>
      <c r="J1769" s="17" t="s">
        <v>2800</v>
      </c>
      <c r="K1769" s="18">
        <v>9.0</v>
      </c>
      <c r="L1769" s="20">
        <v>45972.0</v>
      </c>
      <c r="M1769" s="17" t="s">
        <v>28</v>
      </c>
      <c r="N1769" s="21" t="s">
        <v>2983</v>
      </c>
      <c r="O1769" s="122">
        <v>7.7325208E7</v>
      </c>
      <c r="P1769" s="21" t="s">
        <v>2023</v>
      </c>
      <c r="Q1769" s="21" t="s">
        <v>108</v>
      </c>
      <c r="R1769" s="21" t="s">
        <v>2016</v>
      </c>
      <c r="S1769" s="17" t="s">
        <v>2984</v>
      </c>
      <c r="U1769" s="24"/>
      <c r="V1769" s="24"/>
      <c r="W1769" s="18" t="s">
        <v>577</v>
      </c>
    </row>
    <row r="1770">
      <c r="A1770" s="11"/>
      <c r="B1770" s="12" t="s">
        <v>7</v>
      </c>
      <c r="C1770" s="12" t="s">
        <v>37</v>
      </c>
      <c r="D1770" s="12" t="s">
        <v>38</v>
      </c>
      <c r="E1770" s="12" t="s">
        <v>45</v>
      </c>
      <c r="F1770" s="13" t="s">
        <v>44</v>
      </c>
      <c r="G1770" s="12" t="s">
        <v>68</v>
      </c>
      <c r="H1770" s="12" t="s">
        <v>830</v>
      </c>
      <c r="I1770" s="12" t="s">
        <v>831</v>
      </c>
      <c r="J1770" s="17" t="s">
        <v>2800</v>
      </c>
      <c r="K1770" s="18">
        <v>9.0</v>
      </c>
      <c r="L1770" s="20">
        <v>45973.0</v>
      </c>
      <c r="M1770" s="17" t="s">
        <v>23</v>
      </c>
      <c r="N1770" s="17" t="s">
        <v>2304</v>
      </c>
      <c r="O1770" s="17">
        <v>3.3335394E7</v>
      </c>
      <c r="P1770" s="17"/>
      <c r="Q1770" s="17" t="s">
        <v>112</v>
      </c>
      <c r="R1770" s="17" t="s">
        <v>113</v>
      </c>
      <c r="S1770" s="17" t="s">
        <v>112</v>
      </c>
      <c r="U1770" s="24"/>
      <c r="V1770" s="24"/>
      <c r="W1770" s="18" t="s">
        <v>577</v>
      </c>
    </row>
    <row r="1771">
      <c r="A1771" s="11"/>
      <c r="B1771" s="12" t="s">
        <v>7</v>
      </c>
      <c r="C1771" s="12" t="s">
        <v>37</v>
      </c>
      <c r="D1771" s="12" t="s">
        <v>38</v>
      </c>
      <c r="E1771" s="12" t="s">
        <v>45</v>
      </c>
      <c r="F1771" s="13" t="s">
        <v>44</v>
      </c>
      <c r="G1771" s="12" t="s">
        <v>68</v>
      </c>
      <c r="H1771" s="12" t="s">
        <v>830</v>
      </c>
      <c r="I1771" s="12" t="s">
        <v>831</v>
      </c>
      <c r="J1771" s="17" t="s">
        <v>2800</v>
      </c>
      <c r="K1771" s="18">
        <v>9.0</v>
      </c>
      <c r="L1771" s="20">
        <v>45973.0</v>
      </c>
      <c r="M1771" s="17" t="s">
        <v>23</v>
      </c>
      <c r="N1771" s="17" t="s">
        <v>2305</v>
      </c>
      <c r="O1771" s="17">
        <v>4.6033972E7</v>
      </c>
      <c r="Q1771" s="17" t="s">
        <v>108</v>
      </c>
      <c r="R1771" s="17" t="s">
        <v>109</v>
      </c>
      <c r="S1771" s="17" t="s">
        <v>2198</v>
      </c>
      <c r="U1771" s="24"/>
      <c r="V1771" s="24"/>
      <c r="W1771" s="18" t="s">
        <v>577</v>
      </c>
    </row>
    <row r="1772">
      <c r="A1772" s="11"/>
      <c r="B1772" s="12" t="s">
        <v>7</v>
      </c>
      <c r="C1772" s="12" t="s">
        <v>37</v>
      </c>
      <c r="D1772" s="12" t="s">
        <v>38</v>
      </c>
      <c r="E1772" s="12" t="s">
        <v>45</v>
      </c>
      <c r="F1772" s="13" t="s">
        <v>44</v>
      </c>
      <c r="G1772" s="12" t="s">
        <v>68</v>
      </c>
      <c r="H1772" s="12" t="s">
        <v>830</v>
      </c>
      <c r="I1772" s="12" t="s">
        <v>831</v>
      </c>
      <c r="J1772" s="17" t="s">
        <v>2800</v>
      </c>
      <c r="K1772" s="18">
        <v>9.0</v>
      </c>
      <c r="L1772" s="20">
        <v>45973.0</v>
      </c>
      <c r="M1772" s="17" t="s">
        <v>28</v>
      </c>
      <c r="N1772" s="46" t="s">
        <v>2313</v>
      </c>
      <c r="O1772" s="122">
        <v>4.558911E7</v>
      </c>
      <c r="P1772" s="46" t="s">
        <v>1830</v>
      </c>
      <c r="Q1772" s="46" t="s">
        <v>108</v>
      </c>
      <c r="R1772" s="46" t="s">
        <v>109</v>
      </c>
      <c r="S1772" s="17" t="s">
        <v>2314</v>
      </c>
      <c r="U1772" s="24"/>
      <c r="V1772" s="24"/>
      <c r="W1772" s="18" t="s">
        <v>577</v>
      </c>
    </row>
    <row r="1773">
      <c r="A1773" s="11"/>
      <c r="B1773" s="12" t="s">
        <v>7</v>
      </c>
      <c r="C1773" s="12" t="s">
        <v>37</v>
      </c>
      <c r="D1773" s="12" t="s">
        <v>38</v>
      </c>
      <c r="E1773" s="12" t="s">
        <v>45</v>
      </c>
      <c r="F1773" s="13" t="s">
        <v>44</v>
      </c>
      <c r="G1773" s="12" t="s">
        <v>68</v>
      </c>
      <c r="H1773" s="12" t="s">
        <v>830</v>
      </c>
      <c r="I1773" s="12" t="s">
        <v>831</v>
      </c>
      <c r="J1773" s="17" t="s">
        <v>2800</v>
      </c>
      <c r="K1773" s="18">
        <v>9.0</v>
      </c>
      <c r="L1773" s="20">
        <v>45973.0</v>
      </c>
      <c r="M1773" s="17" t="s">
        <v>28</v>
      </c>
      <c r="N1773" s="46" t="s">
        <v>2319</v>
      </c>
      <c r="O1773" s="122">
        <v>4.5439712E7</v>
      </c>
      <c r="P1773" s="46" t="s">
        <v>2320</v>
      </c>
      <c r="Q1773" s="46" t="s">
        <v>108</v>
      </c>
      <c r="R1773" s="46" t="s">
        <v>109</v>
      </c>
      <c r="S1773" s="17" t="s">
        <v>2321</v>
      </c>
      <c r="U1773" s="24"/>
      <c r="V1773" s="24"/>
      <c r="W1773" s="18" t="s">
        <v>577</v>
      </c>
    </row>
    <row r="1774">
      <c r="A1774" s="11"/>
      <c r="B1774" s="12" t="s">
        <v>7</v>
      </c>
      <c r="C1774" s="12" t="s">
        <v>37</v>
      </c>
      <c r="D1774" s="12" t="s">
        <v>38</v>
      </c>
      <c r="E1774" s="12" t="s">
        <v>45</v>
      </c>
      <c r="F1774" s="13" t="s">
        <v>44</v>
      </c>
      <c r="G1774" s="12" t="s">
        <v>68</v>
      </c>
      <c r="H1774" s="12" t="s">
        <v>830</v>
      </c>
      <c r="I1774" s="12" t="s">
        <v>831</v>
      </c>
      <c r="J1774" s="17" t="s">
        <v>2800</v>
      </c>
      <c r="K1774" s="18">
        <v>9.0</v>
      </c>
      <c r="L1774" s="20">
        <v>45973.0</v>
      </c>
      <c r="M1774" s="17" t="s">
        <v>28</v>
      </c>
      <c r="N1774" s="46" t="s">
        <v>2324</v>
      </c>
      <c r="O1774" s="122">
        <v>4.5458285E7</v>
      </c>
      <c r="P1774" s="46" t="s">
        <v>2058</v>
      </c>
      <c r="Q1774" s="46" t="s">
        <v>73</v>
      </c>
      <c r="R1774" s="46" t="s">
        <v>74</v>
      </c>
      <c r="S1774" s="17" t="s">
        <v>2325</v>
      </c>
      <c r="U1774" s="24"/>
      <c r="V1774" s="24"/>
      <c r="W1774" s="18" t="s">
        <v>577</v>
      </c>
    </row>
    <row r="1775">
      <c r="A1775" s="11"/>
      <c r="B1775" s="12" t="s">
        <v>7</v>
      </c>
      <c r="C1775" s="12" t="s">
        <v>37</v>
      </c>
      <c r="D1775" s="12" t="s">
        <v>38</v>
      </c>
      <c r="E1775" s="12" t="s">
        <v>45</v>
      </c>
      <c r="F1775" s="13" t="s">
        <v>44</v>
      </c>
      <c r="G1775" s="12" t="s">
        <v>68</v>
      </c>
      <c r="H1775" s="12" t="s">
        <v>830</v>
      </c>
      <c r="I1775" s="12" t="s">
        <v>831</v>
      </c>
      <c r="J1775" s="17" t="s">
        <v>2800</v>
      </c>
      <c r="K1775" s="18">
        <v>9.0</v>
      </c>
      <c r="L1775" s="20">
        <v>45973.0</v>
      </c>
      <c r="M1775" s="17" t="s">
        <v>28</v>
      </c>
      <c r="N1775" s="46" t="s">
        <v>2326</v>
      </c>
      <c r="O1775" s="122">
        <v>7.6618048E7</v>
      </c>
      <c r="P1775" s="46" t="s">
        <v>2327</v>
      </c>
      <c r="Q1775" s="46" t="s">
        <v>73</v>
      </c>
      <c r="R1775" s="46" t="s">
        <v>74</v>
      </c>
      <c r="S1775" s="17" t="s">
        <v>2328</v>
      </c>
      <c r="U1775" s="24"/>
      <c r="V1775" s="24"/>
      <c r="W1775" s="18" t="s">
        <v>577</v>
      </c>
    </row>
    <row r="1776">
      <c r="A1776" s="11"/>
      <c r="B1776" s="12" t="s">
        <v>7</v>
      </c>
      <c r="C1776" s="12" t="s">
        <v>37</v>
      </c>
      <c r="D1776" s="12" t="s">
        <v>38</v>
      </c>
      <c r="E1776" s="12" t="s">
        <v>45</v>
      </c>
      <c r="F1776" s="13" t="s">
        <v>44</v>
      </c>
      <c r="G1776" s="12" t="s">
        <v>68</v>
      </c>
      <c r="H1776" s="12" t="s">
        <v>830</v>
      </c>
      <c r="I1776" s="12" t="s">
        <v>831</v>
      </c>
      <c r="J1776" s="17" t="s">
        <v>2800</v>
      </c>
      <c r="K1776" s="18">
        <v>9.0</v>
      </c>
      <c r="L1776" s="20">
        <v>45973.0</v>
      </c>
      <c r="M1776" s="17" t="s">
        <v>28</v>
      </c>
      <c r="N1776" s="46" t="s">
        <v>2333</v>
      </c>
      <c r="O1776" s="122">
        <v>7.651461E7</v>
      </c>
      <c r="P1776" s="46" t="s">
        <v>1812</v>
      </c>
      <c r="Q1776" s="46" t="s">
        <v>73</v>
      </c>
      <c r="R1776" s="46" t="s">
        <v>74</v>
      </c>
      <c r="S1776" s="17" t="s">
        <v>2334</v>
      </c>
      <c r="U1776" s="24"/>
      <c r="V1776" s="24"/>
      <c r="W1776" s="18" t="s">
        <v>577</v>
      </c>
    </row>
    <row r="1777">
      <c r="A1777" s="11"/>
      <c r="B1777" s="12" t="s">
        <v>7</v>
      </c>
      <c r="C1777" s="12" t="s">
        <v>37</v>
      </c>
      <c r="D1777" s="12" t="s">
        <v>38</v>
      </c>
      <c r="E1777" s="12" t="s">
        <v>45</v>
      </c>
      <c r="F1777" s="13" t="s">
        <v>44</v>
      </c>
      <c r="G1777" s="12" t="s">
        <v>68</v>
      </c>
      <c r="H1777" s="12" t="s">
        <v>830</v>
      </c>
      <c r="I1777" s="12" t="s">
        <v>831</v>
      </c>
      <c r="J1777" s="17" t="s">
        <v>2800</v>
      </c>
      <c r="K1777" s="18">
        <v>9.0</v>
      </c>
      <c r="L1777" s="20">
        <v>45973.0</v>
      </c>
      <c r="M1777" s="17" t="s">
        <v>28</v>
      </c>
      <c r="N1777" s="46" t="s">
        <v>2341</v>
      </c>
      <c r="O1777" s="122">
        <v>4.6646388E7</v>
      </c>
      <c r="P1777" s="48" t="s">
        <v>1823</v>
      </c>
      <c r="Q1777" s="46" t="s">
        <v>108</v>
      </c>
      <c r="R1777" s="46" t="s">
        <v>109</v>
      </c>
      <c r="S1777" s="17" t="s">
        <v>2342</v>
      </c>
      <c r="U1777" s="24"/>
      <c r="V1777" s="24"/>
      <c r="W1777" s="18" t="s">
        <v>577</v>
      </c>
    </row>
    <row r="1778">
      <c r="A1778" s="11"/>
      <c r="B1778" s="12" t="s">
        <v>7</v>
      </c>
      <c r="C1778" s="12" t="s">
        <v>37</v>
      </c>
      <c r="D1778" s="12" t="s">
        <v>38</v>
      </c>
      <c r="E1778" s="12" t="s">
        <v>45</v>
      </c>
      <c r="F1778" s="13" t="s">
        <v>44</v>
      </c>
      <c r="G1778" s="12" t="s">
        <v>68</v>
      </c>
      <c r="H1778" s="12" t="s">
        <v>830</v>
      </c>
      <c r="I1778" s="12" t="s">
        <v>831</v>
      </c>
      <c r="J1778" s="17" t="s">
        <v>2800</v>
      </c>
      <c r="K1778" s="18">
        <v>9.0</v>
      </c>
      <c r="L1778" s="20">
        <v>45973.0</v>
      </c>
      <c r="M1778" s="17" t="s">
        <v>28</v>
      </c>
      <c r="N1778" s="46" t="s">
        <v>2352</v>
      </c>
      <c r="O1778" s="122">
        <v>4.5436196E7</v>
      </c>
      <c r="P1778" s="48" t="s">
        <v>2063</v>
      </c>
      <c r="Q1778" s="46" t="s">
        <v>108</v>
      </c>
      <c r="R1778" s="46" t="s">
        <v>109</v>
      </c>
      <c r="S1778" s="17" t="s">
        <v>2353</v>
      </c>
      <c r="U1778" s="24"/>
      <c r="V1778" s="24"/>
      <c r="W1778" s="18" t="s">
        <v>577</v>
      </c>
    </row>
    <row r="1779">
      <c r="A1779" s="11"/>
      <c r="B1779" s="12" t="s">
        <v>7</v>
      </c>
      <c r="C1779" s="12" t="s">
        <v>37</v>
      </c>
      <c r="D1779" s="12" t="s">
        <v>38</v>
      </c>
      <c r="E1779" s="12" t="s">
        <v>45</v>
      </c>
      <c r="F1779" s="13" t="s">
        <v>44</v>
      </c>
      <c r="G1779" s="12" t="s">
        <v>68</v>
      </c>
      <c r="H1779" s="12" t="s">
        <v>830</v>
      </c>
      <c r="I1779" s="12" t="s">
        <v>831</v>
      </c>
      <c r="J1779" s="17" t="s">
        <v>2800</v>
      </c>
      <c r="K1779" s="18">
        <v>9.0</v>
      </c>
      <c r="L1779" s="20">
        <v>45973.0</v>
      </c>
      <c r="M1779" s="17" t="s">
        <v>28</v>
      </c>
      <c r="N1779" s="46" t="s">
        <v>2358</v>
      </c>
      <c r="O1779" s="122">
        <v>4.6371978E7</v>
      </c>
      <c r="P1779" s="46" t="s">
        <v>2359</v>
      </c>
      <c r="Q1779" s="46" t="s">
        <v>73</v>
      </c>
      <c r="R1779" s="46" t="s">
        <v>74</v>
      </c>
      <c r="S1779" s="17" t="s">
        <v>2360</v>
      </c>
      <c r="U1779" s="24"/>
      <c r="V1779" s="24"/>
      <c r="W1779" s="18" t="s">
        <v>577</v>
      </c>
    </row>
    <row r="1780">
      <c r="A1780" s="11"/>
      <c r="B1780" s="12" t="s">
        <v>7</v>
      </c>
      <c r="C1780" s="12" t="s">
        <v>37</v>
      </c>
      <c r="D1780" s="12" t="s">
        <v>38</v>
      </c>
      <c r="E1780" s="12" t="s">
        <v>45</v>
      </c>
      <c r="F1780" s="13" t="s">
        <v>44</v>
      </c>
      <c r="G1780" s="12" t="s">
        <v>68</v>
      </c>
      <c r="H1780" s="12" t="s">
        <v>830</v>
      </c>
      <c r="I1780" s="12" t="s">
        <v>831</v>
      </c>
      <c r="J1780" s="17" t="s">
        <v>2800</v>
      </c>
      <c r="K1780" s="18">
        <v>9.0</v>
      </c>
      <c r="L1780" s="20">
        <v>45973.0</v>
      </c>
      <c r="M1780" s="17" t="s">
        <v>28</v>
      </c>
      <c r="N1780" s="17" t="s">
        <v>2317</v>
      </c>
      <c r="O1780" s="17">
        <v>3.1679891E7</v>
      </c>
      <c r="P1780" s="17" t="s">
        <v>1822</v>
      </c>
      <c r="Q1780" s="17" t="s">
        <v>108</v>
      </c>
      <c r="R1780" s="17" t="s">
        <v>109</v>
      </c>
      <c r="S1780" s="17" t="s">
        <v>2318</v>
      </c>
      <c r="U1780" s="24"/>
      <c r="V1780" s="24"/>
      <c r="W1780" s="18" t="s">
        <v>577</v>
      </c>
    </row>
    <row r="1781">
      <c r="A1781" s="11"/>
      <c r="B1781" s="12" t="s">
        <v>7</v>
      </c>
      <c r="C1781" s="12" t="s">
        <v>37</v>
      </c>
      <c r="D1781" s="12" t="s">
        <v>38</v>
      </c>
      <c r="E1781" s="12" t="s">
        <v>45</v>
      </c>
      <c r="F1781" s="13" t="s">
        <v>44</v>
      </c>
      <c r="G1781" s="12" t="s">
        <v>68</v>
      </c>
      <c r="H1781" s="12" t="s">
        <v>830</v>
      </c>
      <c r="I1781" s="12" t="s">
        <v>831</v>
      </c>
      <c r="J1781" s="17" t="s">
        <v>2800</v>
      </c>
      <c r="K1781" s="18">
        <v>9.0</v>
      </c>
      <c r="L1781" s="20">
        <v>45973.0</v>
      </c>
      <c r="M1781" s="17" t="s">
        <v>28</v>
      </c>
      <c r="N1781" s="17" t="s">
        <v>3320</v>
      </c>
      <c r="O1781" s="17">
        <v>7.0807705E7</v>
      </c>
      <c r="P1781" s="17" t="s">
        <v>1821</v>
      </c>
      <c r="Q1781" s="17" t="s">
        <v>112</v>
      </c>
      <c r="R1781" s="17" t="s">
        <v>113</v>
      </c>
      <c r="S1781" s="17" t="s">
        <v>3321</v>
      </c>
      <c r="U1781" s="24"/>
      <c r="V1781" s="24"/>
      <c r="W1781" s="18" t="s">
        <v>577</v>
      </c>
    </row>
    <row r="1782">
      <c r="A1782" s="11"/>
      <c r="B1782" s="12" t="s">
        <v>7</v>
      </c>
      <c r="C1782" s="12" t="s">
        <v>37</v>
      </c>
      <c r="D1782" s="12" t="s">
        <v>38</v>
      </c>
      <c r="E1782" s="12" t="s">
        <v>45</v>
      </c>
      <c r="F1782" s="13" t="s">
        <v>44</v>
      </c>
      <c r="G1782" s="12" t="s">
        <v>68</v>
      </c>
      <c r="H1782" s="12" t="s">
        <v>830</v>
      </c>
      <c r="I1782" s="12" t="s">
        <v>831</v>
      </c>
      <c r="J1782" s="17" t="s">
        <v>2800</v>
      </c>
      <c r="K1782" s="18">
        <v>9.0</v>
      </c>
      <c r="L1782" s="20">
        <v>45973.0</v>
      </c>
      <c r="M1782" s="17" t="s">
        <v>28</v>
      </c>
      <c r="N1782" s="17" t="s">
        <v>3640</v>
      </c>
      <c r="O1782" s="17">
        <v>7.0776733E7</v>
      </c>
      <c r="P1782" s="17" t="s">
        <v>1819</v>
      </c>
      <c r="Q1782" s="17" t="s">
        <v>112</v>
      </c>
      <c r="R1782" s="17" t="s">
        <v>113</v>
      </c>
      <c r="S1782" s="17" t="s">
        <v>3641</v>
      </c>
      <c r="U1782" s="24"/>
      <c r="V1782" s="24"/>
      <c r="W1782" s="18" t="s">
        <v>577</v>
      </c>
    </row>
    <row r="1783">
      <c r="A1783" s="11"/>
      <c r="B1783" s="12" t="s">
        <v>7</v>
      </c>
      <c r="C1783" s="12" t="s">
        <v>37</v>
      </c>
      <c r="D1783" s="12" t="s">
        <v>38</v>
      </c>
      <c r="E1783" s="12" t="s">
        <v>45</v>
      </c>
      <c r="F1783" s="13" t="s">
        <v>44</v>
      </c>
      <c r="G1783" s="12" t="s">
        <v>68</v>
      </c>
      <c r="H1783" s="12" t="s">
        <v>830</v>
      </c>
      <c r="I1783" s="12" t="s">
        <v>831</v>
      </c>
      <c r="J1783" s="17" t="s">
        <v>2800</v>
      </c>
      <c r="K1783" s="18">
        <v>9.0</v>
      </c>
      <c r="L1783" s="20">
        <v>45973.0</v>
      </c>
      <c r="M1783" s="17" t="s">
        <v>28</v>
      </c>
      <c r="N1783" s="17" t="s">
        <v>4011</v>
      </c>
      <c r="O1783" s="17">
        <v>7.6713279E7</v>
      </c>
      <c r="P1783" s="17" t="s">
        <v>2061</v>
      </c>
      <c r="Q1783" s="17" t="s">
        <v>112</v>
      </c>
      <c r="R1783" s="17" t="s">
        <v>113</v>
      </c>
      <c r="S1783" s="17" t="s">
        <v>4012</v>
      </c>
      <c r="U1783" s="24"/>
      <c r="V1783" s="24"/>
      <c r="W1783" s="18" t="s">
        <v>577</v>
      </c>
    </row>
    <row r="1784">
      <c r="A1784" s="11"/>
      <c r="B1784" s="12" t="s">
        <v>7</v>
      </c>
      <c r="C1784" s="12" t="s">
        <v>37</v>
      </c>
      <c r="D1784" s="12" t="s">
        <v>38</v>
      </c>
      <c r="E1784" s="12" t="s">
        <v>45</v>
      </c>
      <c r="F1784" s="13" t="s">
        <v>44</v>
      </c>
      <c r="G1784" s="12" t="s">
        <v>68</v>
      </c>
      <c r="H1784" s="12" t="s">
        <v>830</v>
      </c>
      <c r="I1784" s="12" t="s">
        <v>831</v>
      </c>
      <c r="J1784" s="17" t="s">
        <v>2800</v>
      </c>
      <c r="K1784" s="18">
        <v>9.0</v>
      </c>
      <c r="L1784" s="20">
        <v>45973.0</v>
      </c>
      <c r="M1784" s="17" t="s">
        <v>28</v>
      </c>
      <c r="N1784" s="46" t="s">
        <v>2306</v>
      </c>
      <c r="O1784" s="122">
        <v>4.6307538E7</v>
      </c>
      <c r="P1784" s="46" t="s">
        <v>2307</v>
      </c>
      <c r="Q1784" s="46" t="s">
        <v>112</v>
      </c>
      <c r="R1784" s="46" t="s">
        <v>113</v>
      </c>
      <c r="S1784" s="17" t="s">
        <v>2308</v>
      </c>
      <c r="U1784" s="24"/>
      <c r="V1784" s="24"/>
      <c r="W1784" s="18" t="s">
        <v>577</v>
      </c>
    </row>
    <row r="1785">
      <c r="A1785" s="11"/>
      <c r="B1785" s="12" t="s">
        <v>7</v>
      </c>
      <c r="C1785" s="12" t="s">
        <v>37</v>
      </c>
      <c r="D1785" s="12" t="s">
        <v>38</v>
      </c>
      <c r="E1785" s="12" t="s">
        <v>45</v>
      </c>
      <c r="F1785" s="13" t="s">
        <v>44</v>
      </c>
      <c r="G1785" s="12" t="s">
        <v>68</v>
      </c>
      <c r="H1785" s="12" t="s">
        <v>830</v>
      </c>
      <c r="I1785" s="12" t="s">
        <v>831</v>
      </c>
      <c r="J1785" s="17" t="s">
        <v>2800</v>
      </c>
      <c r="K1785" s="18">
        <v>9.0</v>
      </c>
      <c r="L1785" s="20">
        <v>45973.0</v>
      </c>
      <c r="M1785" s="17" t="s">
        <v>28</v>
      </c>
      <c r="N1785" s="46" t="s">
        <v>2329</v>
      </c>
      <c r="O1785" s="122">
        <v>7.7696147E7</v>
      </c>
      <c r="P1785" s="46" t="s">
        <v>2059</v>
      </c>
      <c r="Q1785" s="46" t="s">
        <v>73</v>
      </c>
      <c r="R1785" s="46" t="s">
        <v>74</v>
      </c>
      <c r="S1785" s="17" t="s">
        <v>2330</v>
      </c>
      <c r="U1785" s="24"/>
      <c r="V1785" s="24"/>
      <c r="W1785" s="18" t="s">
        <v>577</v>
      </c>
    </row>
    <row r="1786">
      <c r="A1786" s="11"/>
      <c r="B1786" s="12" t="s">
        <v>7</v>
      </c>
      <c r="C1786" s="12" t="s">
        <v>37</v>
      </c>
      <c r="D1786" s="12" t="s">
        <v>38</v>
      </c>
      <c r="E1786" s="12" t="s">
        <v>45</v>
      </c>
      <c r="F1786" s="13" t="s">
        <v>44</v>
      </c>
      <c r="G1786" s="12" t="s">
        <v>68</v>
      </c>
      <c r="H1786" s="12" t="s">
        <v>830</v>
      </c>
      <c r="I1786" s="12" t="s">
        <v>831</v>
      </c>
      <c r="J1786" s="17" t="s">
        <v>2800</v>
      </c>
      <c r="K1786" s="18">
        <v>9.0</v>
      </c>
      <c r="L1786" s="20">
        <v>45973.0</v>
      </c>
      <c r="M1786" s="17" t="s">
        <v>28</v>
      </c>
      <c r="N1786" s="46" t="s">
        <v>2343</v>
      </c>
      <c r="O1786" s="122">
        <v>7.5240694E7</v>
      </c>
      <c r="P1786" s="46" t="s">
        <v>2062</v>
      </c>
      <c r="Q1786" s="46" t="s">
        <v>112</v>
      </c>
      <c r="R1786" s="46" t="s">
        <v>113</v>
      </c>
      <c r="S1786" s="17" t="s">
        <v>2344</v>
      </c>
      <c r="U1786" s="24"/>
      <c r="V1786" s="24"/>
      <c r="W1786" s="18" t="s">
        <v>577</v>
      </c>
    </row>
    <row r="1787">
      <c r="A1787" s="11"/>
      <c r="B1787" s="12" t="s">
        <v>7</v>
      </c>
      <c r="C1787" s="12" t="s">
        <v>37</v>
      </c>
      <c r="D1787" s="12" t="s">
        <v>38</v>
      </c>
      <c r="E1787" s="12" t="s">
        <v>45</v>
      </c>
      <c r="F1787" s="13" t="s">
        <v>44</v>
      </c>
      <c r="G1787" s="12" t="s">
        <v>68</v>
      </c>
      <c r="H1787" s="12" t="s">
        <v>830</v>
      </c>
      <c r="I1787" s="12" t="s">
        <v>831</v>
      </c>
      <c r="J1787" s="17" t="s">
        <v>2800</v>
      </c>
      <c r="K1787" s="18">
        <v>9.0</v>
      </c>
      <c r="L1787" s="20">
        <v>45973.0</v>
      </c>
      <c r="M1787" s="17" t="s">
        <v>28</v>
      </c>
      <c r="N1787" s="17" t="s">
        <v>4268</v>
      </c>
      <c r="P1787" s="17" t="s">
        <v>2060</v>
      </c>
      <c r="Q1787" s="17" t="s">
        <v>112</v>
      </c>
      <c r="R1787" s="17" t="s">
        <v>113</v>
      </c>
      <c r="S1787" s="17" t="s">
        <v>4010</v>
      </c>
      <c r="U1787" s="24"/>
      <c r="V1787" s="24"/>
      <c r="W1787" s="18" t="s">
        <v>577</v>
      </c>
    </row>
    <row r="1788">
      <c r="A1788" s="11"/>
      <c r="B1788" s="12" t="s">
        <v>7</v>
      </c>
      <c r="C1788" s="12" t="s">
        <v>37</v>
      </c>
      <c r="D1788" s="12" t="s">
        <v>38</v>
      </c>
      <c r="E1788" s="12" t="s">
        <v>45</v>
      </c>
      <c r="F1788" s="13" t="s">
        <v>44</v>
      </c>
      <c r="G1788" s="12" t="s">
        <v>68</v>
      </c>
      <c r="H1788" s="12" t="s">
        <v>830</v>
      </c>
      <c r="I1788" s="12" t="s">
        <v>831</v>
      </c>
      <c r="J1788" s="17" t="s">
        <v>2800</v>
      </c>
      <c r="K1788" s="18">
        <v>9.0</v>
      </c>
      <c r="L1788" s="20">
        <v>45973.0</v>
      </c>
      <c r="M1788" s="17" t="s">
        <v>28</v>
      </c>
      <c r="N1788" s="17" t="s">
        <v>2335</v>
      </c>
      <c r="O1788" s="17">
        <v>4.2262686E7</v>
      </c>
      <c r="P1788" s="17" t="s">
        <v>2336</v>
      </c>
      <c r="Q1788" s="17" t="s">
        <v>73</v>
      </c>
      <c r="R1788" s="17" t="s">
        <v>74</v>
      </c>
      <c r="S1788" s="17" t="s">
        <v>2337</v>
      </c>
      <c r="U1788" s="24"/>
      <c r="V1788" s="24"/>
      <c r="W1788" s="18" t="s">
        <v>577</v>
      </c>
    </row>
    <row r="1789">
      <c r="A1789" s="11"/>
      <c r="B1789" s="12" t="s">
        <v>7</v>
      </c>
      <c r="C1789" s="12" t="s">
        <v>37</v>
      </c>
      <c r="D1789" s="12" t="s">
        <v>38</v>
      </c>
      <c r="E1789" s="12" t="s">
        <v>45</v>
      </c>
      <c r="F1789" s="13" t="s">
        <v>44</v>
      </c>
      <c r="G1789" s="12" t="s">
        <v>68</v>
      </c>
      <c r="H1789" s="12" t="s">
        <v>830</v>
      </c>
      <c r="I1789" s="12" t="s">
        <v>831</v>
      </c>
      <c r="J1789" s="17" t="s">
        <v>2800</v>
      </c>
      <c r="K1789" s="18">
        <v>9.0</v>
      </c>
      <c r="L1789" s="20">
        <v>45973.0</v>
      </c>
      <c r="M1789" s="17" t="s">
        <v>28</v>
      </c>
      <c r="N1789" s="46" t="s">
        <v>2322</v>
      </c>
      <c r="O1789" s="47">
        <v>7.1988406E7</v>
      </c>
      <c r="P1789" s="46" t="s">
        <v>1826</v>
      </c>
      <c r="Q1789" s="46" t="s">
        <v>108</v>
      </c>
      <c r="R1789" s="46" t="s">
        <v>109</v>
      </c>
      <c r="S1789" s="17" t="s">
        <v>2323</v>
      </c>
      <c r="U1789" s="24"/>
      <c r="V1789" s="24"/>
      <c r="W1789" s="18" t="s">
        <v>577</v>
      </c>
    </row>
    <row r="1790">
      <c r="A1790" s="11"/>
      <c r="B1790" s="12" t="s">
        <v>7</v>
      </c>
      <c r="C1790" s="12" t="s">
        <v>37</v>
      </c>
      <c r="D1790" s="12" t="s">
        <v>38</v>
      </c>
      <c r="E1790" s="12" t="s">
        <v>45</v>
      </c>
      <c r="F1790" s="13" t="s">
        <v>44</v>
      </c>
      <c r="G1790" s="12" t="s">
        <v>68</v>
      </c>
      <c r="H1790" s="12" t="s">
        <v>830</v>
      </c>
      <c r="I1790" s="12" t="s">
        <v>831</v>
      </c>
      <c r="J1790" s="17" t="s">
        <v>2800</v>
      </c>
      <c r="K1790" s="18">
        <v>9.0</v>
      </c>
      <c r="L1790" s="20">
        <v>45973.0</v>
      </c>
      <c r="M1790" s="17" t="s">
        <v>28</v>
      </c>
      <c r="N1790" s="46" t="s">
        <v>2331</v>
      </c>
      <c r="O1790" s="47">
        <v>4.1078093E7</v>
      </c>
      <c r="P1790" s="46" t="s">
        <v>1820</v>
      </c>
      <c r="Q1790" s="46" t="s">
        <v>112</v>
      </c>
      <c r="R1790" s="46" t="s">
        <v>113</v>
      </c>
      <c r="S1790" s="17" t="s">
        <v>2332</v>
      </c>
      <c r="U1790" s="24"/>
      <c r="V1790" s="24"/>
      <c r="W1790" s="18" t="s">
        <v>577</v>
      </c>
    </row>
    <row r="1791">
      <c r="A1791" s="11"/>
      <c r="B1791" s="12" t="s">
        <v>7</v>
      </c>
      <c r="C1791" s="12" t="s">
        <v>37</v>
      </c>
      <c r="D1791" s="12" t="s">
        <v>38</v>
      </c>
      <c r="E1791" s="12" t="s">
        <v>45</v>
      </c>
      <c r="F1791" s="13" t="s">
        <v>44</v>
      </c>
      <c r="G1791" s="12" t="s">
        <v>68</v>
      </c>
      <c r="H1791" s="12" t="s">
        <v>830</v>
      </c>
      <c r="I1791" s="12" t="s">
        <v>831</v>
      </c>
      <c r="J1791" s="17" t="s">
        <v>2800</v>
      </c>
      <c r="K1791" s="18">
        <v>9.0</v>
      </c>
      <c r="L1791" s="20">
        <v>45973.0</v>
      </c>
      <c r="M1791" s="17" t="s">
        <v>28</v>
      </c>
      <c r="N1791" s="46" t="s">
        <v>2345</v>
      </c>
      <c r="O1791" s="47">
        <v>4.4921013E7</v>
      </c>
      <c r="P1791" s="46" t="s">
        <v>1827</v>
      </c>
      <c r="Q1791" s="46" t="s">
        <v>108</v>
      </c>
      <c r="R1791" s="46" t="s">
        <v>109</v>
      </c>
      <c r="S1791" s="17" t="s">
        <v>2346</v>
      </c>
      <c r="U1791" s="24"/>
      <c r="V1791" s="24"/>
      <c r="W1791" s="18" t="s">
        <v>577</v>
      </c>
    </row>
    <row r="1792">
      <c r="A1792" s="11"/>
      <c r="B1792" s="12" t="s">
        <v>7</v>
      </c>
      <c r="C1792" s="12" t="s">
        <v>37</v>
      </c>
      <c r="D1792" s="12" t="s">
        <v>38</v>
      </c>
      <c r="E1792" s="12" t="s">
        <v>45</v>
      </c>
      <c r="F1792" s="13" t="s">
        <v>44</v>
      </c>
      <c r="G1792" s="12" t="s">
        <v>68</v>
      </c>
      <c r="H1792" s="12" t="s">
        <v>830</v>
      </c>
      <c r="I1792" s="12" t="s">
        <v>831</v>
      </c>
      <c r="J1792" s="17" t="s">
        <v>2800</v>
      </c>
      <c r="K1792" s="18">
        <v>9.0</v>
      </c>
      <c r="L1792" s="20">
        <v>45973.0</v>
      </c>
      <c r="M1792" s="17" t="s">
        <v>28</v>
      </c>
      <c r="N1792" s="46" t="s">
        <v>2350</v>
      </c>
      <c r="O1792" s="47">
        <v>4.8210825E7</v>
      </c>
      <c r="P1792" s="46" t="s">
        <v>1825</v>
      </c>
      <c r="Q1792" s="46" t="s">
        <v>108</v>
      </c>
      <c r="R1792" s="46" t="s">
        <v>109</v>
      </c>
      <c r="S1792" s="17" t="s">
        <v>2351</v>
      </c>
      <c r="U1792" s="24"/>
      <c r="V1792" s="24"/>
      <c r="W1792" s="18" t="s">
        <v>577</v>
      </c>
    </row>
    <row r="1793">
      <c r="A1793" s="11"/>
      <c r="B1793" s="12" t="s">
        <v>7</v>
      </c>
      <c r="C1793" s="12" t="s">
        <v>37</v>
      </c>
      <c r="D1793" s="12" t="s">
        <v>38</v>
      </c>
      <c r="E1793" s="12" t="s">
        <v>45</v>
      </c>
      <c r="F1793" s="13" t="s">
        <v>44</v>
      </c>
      <c r="G1793" s="12" t="s">
        <v>68</v>
      </c>
      <c r="H1793" s="12" t="s">
        <v>830</v>
      </c>
      <c r="I1793" s="12" t="s">
        <v>831</v>
      </c>
      <c r="J1793" s="17" t="s">
        <v>2800</v>
      </c>
      <c r="K1793" s="18">
        <v>9.0</v>
      </c>
      <c r="L1793" s="20">
        <v>45973.0</v>
      </c>
      <c r="M1793" s="17" t="s">
        <v>28</v>
      </c>
      <c r="N1793" s="46" t="s">
        <v>2354</v>
      </c>
      <c r="O1793" s="122">
        <v>7.6056958E7</v>
      </c>
      <c r="P1793" s="46" t="s">
        <v>2355</v>
      </c>
      <c r="Q1793" s="46" t="s">
        <v>73</v>
      </c>
      <c r="R1793" s="46" t="s">
        <v>74</v>
      </c>
      <c r="S1793" s="17"/>
      <c r="U1793" s="24"/>
      <c r="V1793" s="24"/>
      <c r="W1793" s="18"/>
    </row>
    <row r="1794">
      <c r="A1794" s="11"/>
      <c r="B1794" s="12" t="s">
        <v>7</v>
      </c>
      <c r="C1794" s="12" t="s">
        <v>37</v>
      </c>
      <c r="D1794" s="12" t="s">
        <v>38</v>
      </c>
      <c r="E1794" s="12" t="s">
        <v>45</v>
      </c>
      <c r="F1794" s="13" t="s">
        <v>44</v>
      </c>
      <c r="G1794" s="12" t="s">
        <v>68</v>
      </c>
      <c r="H1794" s="12" t="s">
        <v>830</v>
      </c>
      <c r="I1794" s="12" t="s">
        <v>831</v>
      </c>
      <c r="J1794" s="17" t="s">
        <v>2800</v>
      </c>
      <c r="K1794" s="18">
        <v>9.0</v>
      </c>
      <c r="L1794" s="20">
        <v>45973.0</v>
      </c>
      <c r="M1794" s="17" t="s">
        <v>28</v>
      </c>
      <c r="N1794" s="17" t="s">
        <v>2347</v>
      </c>
      <c r="O1794" s="17">
        <v>7.6056878E7</v>
      </c>
      <c r="P1794" s="17" t="s">
        <v>2348</v>
      </c>
      <c r="Q1794" s="17" t="s">
        <v>73</v>
      </c>
      <c r="R1794" s="17" t="s">
        <v>74</v>
      </c>
      <c r="S1794" s="17"/>
      <c r="U1794" s="24"/>
      <c r="V1794" s="24"/>
      <c r="W1794" s="18"/>
    </row>
    <row r="1795">
      <c r="A1795" s="11"/>
      <c r="B1795" s="12" t="s">
        <v>7</v>
      </c>
      <c r="C1795" s="12" t="s">
        <v>8</v>
      </c>
      <c r="D1795" s="12" t="s">
        <v>24</v>
      </c>
      <c r="E1795" s="12" t="s">
        <v>29</v>
      </c>
      <c r="F1795" s="13" t="s">
        <v>27</v>
      </c>
      <c r="G1795" s="12" t="s">
        <v>68</v>
      </c>
      <c r="H1795" s="12" t="s">
        <v>801</v>
      </c>
      <c r="I1795" s="12" t="s">
        <v>802</v>
      </c>
      <c r="J1795" s="17" t="s">
        <v>2800</v>
      </c>
      <c r="K1795" s="18">
        <v>9.0</v>
      </c>
      <c r="L1795" s="20">
        <v>45974.0</v>
      </c>
      <c r="M1795" s="17" t="s">
        <v>23</v>
      </c>
      <c r="N1795" s="21" t="s">
        <v>2369</v>
      </c>
      <c r="O1795" s="122">
        <v>4.7102534E7</v>
      </c>
      <c r="P1795" s="21"/>
      <c r="Q1795" s="21" t="s">
        <v>73</v>
      </c>
      <c r="R1795" s="21" t="s">
        <v>2055</v>
      </c>
      <c r="S1795" s="17" t="s">
        <v>2370</v>
      </c>
      <c r="U1795" s="24"/>
      <c r="V1795" s="24"/>
      <c r="W1795" s="18" t="s">
        <v>577</v>
      </c>
    </row>
    <row r="1796">
      <c r="A1796" s="11"/>
      <c r="B1796" s="12" t="s">
        <v>7</v>
      </c>
      <c r="C1796" s="12" t="s">
        <v>8</v>
      </c>
      <c r="D1796" s="12" t="s">
        <v>24</v>
      </c>
      <c r="E1796" s="12" t="s">
        <v>29</v>
      </c>
      <c r="F1796" s="13" t="s">
        <v>27</v>
      </c>
      <c r="G1796" s="12" t="s">
        <v>68</v>
      </c>
      <c r="H1796" s="12" t="s">
        <v>801</v>
      </c>
      <c r="I1796" s="12" t="s">
        <v>802</v>
      </c>
      <c r="J1796" s="17" t="s">
        <v>2800</v>
      </c>
      <c r="K1796" s="18">
        <v>9.0</v>
      </c>
      <c r="L1796" s="20">
        <v>45974.0</v>
      </c>
      <c r="M1796" s="17" t="s">
        <v>28</v>
      </c>
      <c r="N1796" s="21" t="s">
        <v>2365</v>
      </c>
      <c r="O1796" s="122">
        <v>4.8090717E7</v>
      </c>
      <c r="P1796" s="48" t="s">
        <v>1792</v>
      </c>
      <c r="Q1796" s="21" t="s">
        <v>108</v>
      </c>
      <c r="R1796" s="21" t="s">
        <v>2055</v>
      </c>
      <c r="S1796" s="17" t="s">
        <v>2366</v>
      </c>
      <c r="U1796" s="24"/>
      <c r="V1796" s="24"/>
      <c r="W1796" s="18" t="s">
        <v>577</v>
      </c>
    </row>
    <row r="1797">
      <c r="A1797" s="11"/>
      <c r="B1797" s="12" t="s">
        <v>7</v>
      </c>
      <c r="C1797" s="12" t="s">
        <v>8</v>
      </c>
      <c r="D1797" s="12" t="s">
        <v>24</v>
      </c>
      <c r="E1797" s="12" t="s">
        <v>29</v>
      </c>
      <c r="F1797" s="13" t="s">
        <v>27</v>
      </c>
      <c r="G1797" s="12" t="s">
        <v>68</v>
      </c>
      <c r="H1797" s="12" t="s">
        <v>801</v>
      </c>
      <c r="I1797" s="12" t="s">
        <v>802</v>
      </c>
      <c r="J1797" s="17" t="s">
        <v>2800</v>
      </c>
      <c r="K1797" s="18">
        <v>9.0</v>
      </c>
      <c r="L1797" s="20">
        <v>45974.0</v>
      </c>
      <c r="M1797" s="17" t="s">
        <v>28</v>
      </c>
      <c r="N1797" s="21" t="s">
        <v>2367</v>
      </c>
      <c r="O1797" s="122">
        <v>4.6024435E7</v>
      </c>
      <c r="P1797" s="21" t="s">
        <v>1794</v>
      </c>
      <c r="Q1797" s="21" t="s">
        <v>112</v>
      </c>
      <c r="R1797" s="21" t="s">
        <v>2055</v>
      </c>
      <c r="S1797" s="17" t="s">
        <v>2368</v>
      </c>
      <c r="U1797" s="24"/>
      <c r="V1797" s="24"/>
      <c r="W1797" s="18" t="s">
        <v>577</v>
      </c>
    </row>
    <row r="1798">
      <c r="A1798" s="11"/>
      <c r="B1798" s="12" t="s">
        <v>7</v>
      </c>
      <c r="C1798" s="12" t="s">
        <v>8</v>
      </c>
      <c r="D1798" s="12" t="s">
        <v>24</v>
      </c>
      <c r="E1798" s="12" t="s">
        <v>29</v>
      </c>
      <c r="F1798" s="13" t="s">
        <v>27</v>
      </c>
      <c r="G1798" s="12" t="s">
        <v>68</v>
      </c>
      <c r="H1798" s="12" t="s">
        <v>801</v>
      </c>
      <c r="I1798" s="12" t="s">
        <v>802</v>
      </c>
      <c r="J1798" s="17" t="s">
        <v>2800</v>
      </c>
      <c r="K1798" s="18">
        <v>9.0</v>
      </c>
      <c r="L1798" s="20">
        <v>45974.0</v>
      </c>
      <c r="M1798" s="17" t="s">
        <v>28</v>
      </c>
      <c r="N1798" s="21" t="s">
        <v>3629</v>
      </c>
      <c r="O1798" s="122">
        <v>4.2864641E7</v>
      </c>
      <c r="P1798" s="21" t="s">
        <v>1794</v>
      </c>
      <c r="Q1798" s="48" t="s">
        <v>112</v>
      </c>
      <c r="R1798" s="21" t="s">
        <v>2055</v>
      </c>
      <c r="S1798" s="17" t="s">
        <v>2368</v>
      </c>
      <c r="U1798" s="24"/>
      <c r="V1798" s="24"/>
      <c r="W1798" s="18" t="s">
        <v>577</v>
      </c>
    </row>
    <row r="1799">
      <c r="A1799" s="11"/>
      <c r="B1799" s="12" t="s">
        <v>7</v>
      </c>
      <c r="C1799" s="12" t="s">
        <v>8</v>
      </c>
      <c r="D1799" s="12" t="s">
        <v>24</v>
      </c>
      <c r="E1799" s="12" t="s">
        <v>29</v>
      </c>
      <c r="F1799" s="13" t="s">
        <v>27</v>
      </c>
      <c r="G1799" s="12" t="s">
        <v>68</v>
      </c>
      <c r="H1799" s="12" t="s">
        <v>801</v>
      </c>
      <c r="I1799" s="12" t="s">
        <v>802</v>
      </c>
      <c r="J1799" s="17" t="s">
        <v>2800</v>
      </c>
      <c r="K1799" s="18">
        <v>9.0</v>
      </c>
      <c r="L1799" s="20">
        <v>45974.0</v>
      </c>
      <c r="M1799" s="17" t="s">
        <v>28</v>
      </c>
      <c r="N1799" s="21" t="s">
        <v>2361</v>
      </c>
      <c r="O1799" s="122">
        <v>4.5083577E7</v>
      </c>
      <c r="P1799" s="48" t="s">
        <v>1793</v>
      </c>
      <c r="Q1799" s="21" t="s">
        <v>108</v>
      </c>
      <c r="R1799" s="21" t="s">
        <v>2055</v>
      </c>
      <c r="S1799" s="17" t="s">
        <v>2362</v>
      </c>
      <c r="U1799" s="24"/>
      <c r="V1799" s="24"/>
      <c r="W1799" s="18" t="s">
        <v>577</v>
      </c>
    </row>
    <row r="1800">
      <c r="A1800" s="11"/>
      <c r="B1800" s="12" t="s">
        <v>7</v>
      </c>
      <c r="C1800" s="12" t="s">
        <v>8</v>
      </c>
      <c r="D1800" s="12" t="s">
        <v>24</v>
      </c>
      <c r="E1800" s="12" t="s">
        <v>35</v>
      </c>
      <c r="F1800" s="13" t="s">
        <v>33</v>
      </c>
      <c r="G1800" s="12" t="s">
        <v>68</v>
      </c>
      <c r="H1800" s="12" t="s">
        <v>813</v>
      </c>
      <c r="I1800" s="12" t="s">
        <v>814</v>
      </c>
      <c r="J1800" s="17" t="s">
        <v>2800</v>
      </c>
      <c r="K1800" s="18">
        <v>9.0</v>
      </c>
      <c r="L1800" s="20">
        <v>45975.0</v>
      </c>
      <c r="M1800" s="17" t="s">
        <v>23</v>
      </c>
      <c r="N1800" s="17" t="s">
        <v>2389</v>
      </c>
      <c r="O1800" s="17">
        <v>3.1629591E7</v>
      </c>
      <c r="Q1800" s="17" t="s">
        <v>108</v>
      </c>
      <c r="R1800" s="17" t="s">
        <v>109</v>
      </c>
      <c r="S1800" s="17" t="s">
        <v>2198</v>
      </c>
      <c r="U1800" s="24"/>
      <c r="V1800" s="24"/>
      <c r="W1800" s="18" t="s">
        <v>577</v>
      </c>
    </row>
    <row r="1801">
      <c r="A1801" s="11"/>
      <c r="B1801" s="12" t="s">
        <v>7</v>
      </c>
      <c r="C1801" s="12" t="s">
        <v>8</v>
      </c>
      <c r="D1801" s="12" t="s">
        <v>24</v>
      </c>
      <c r="E1801" s="12" t="s">
        <v>35</v>
      </c>
      <c r="F1801" s="13" t="s">
        <v>33</v>
      </c>
      <c r="G1801" s="12" t="s">
        <v>68</v>
      </c>
      <c r="H1801" s="12" t="s">
        <v>813</v>
      </c>
      <c r="I1801" s="12" t="s">
        <v>814</v>
      </c>
      <c r="J1801" s="17" t="s">
        <v>2800</v>
      </c>
      <c r="K1801" s="18">
        <v>9.0</v>
      </c>
      <c r="L1801" s="20">
        <v>45975.0</v>
      </c>
      <c r="M1801" s="17" t="s">
        <v>23</v>
      </c>
      <c r="N1801" s="48" t="s">
        <v>4253</v>
      </c>
      <c r="O1801" s="52">
        <v>3.213569E7</v>
      </c>
      <c r="P1801" s="17"/>
      <c r="Q1801" s="17"/>
      <c r="R1801" s="17" t="s">
        <v>4022</v>
      </c>
      <c r="S1801" s="17" t="s">
        <v>4022</v>
      </c>
      <c r="U1801" s="24"/>
      <c r="V1801" s="17" t="s">
        <v>4022</v>
      </c>
      <c r="W1801" s="18" t="s">
        <v>577</v>
      </c>
    </row>
    <row r="1802">
      <c r="A1802" s="11"/>
      <c r="B1802" s="12" t="s">
        <v>7</v>
      </c>
      <c r="C1802" s="12" t="s">
        <v>8</v>
      </c>
      <c r="D1802" s="12" t="s">
        <v>24</v>
      </c>
      <c r="E1802" s="12" t="s">
        <v>35</v>
      </c>
      <c r="F1802" s="13" t="s">
        <v>33</v>
      </c>
      <c r="G1802" s="12" t="s">
        <v>68</v>
      </c>
      <c r="H1802" s="12" t="s">
        <v>813</v>
      </c>
      <c r="I1802" s="12" t="s">
        <v>814</v>
      </c>
      <c r="J1802" s="17" t="s">
        <v>2800</v>
      </c>
      <c r="K1802" s="18">
        <v>9.0</v>
      </c>
      <c r="L1802" s="20">
        <v>45975.0</v>
      </c>
      <c r="M1802" s="17" t="s">
        <v>23</v>
      </c>
      <c r="N1802" s="17" t="s">
        <v>4254</v>
      </c>
      <c r="O1802" s="17">
        <v>7.0603114E7</v>
      </c>
      <c r="Q1802" s="17"/>
      <c r="R1802" s="17" t="s">
        <v>4255</v>
      </c>
      <c r="S1802" s="17" t="s">
        <v>4255</v>
      </c>
      <c r="U1802" s="24"/>
      <c r="V1802" s="17" t="s">
        <v>4255</v>
      </c>
      <c r="W1802" s="18" t="s">
        <v>577</v>
      </c>
    </row>
    <row r="1803">
      <c r="A1803" s="11"/>
      <c r="B1803" s="12" t="s">
        <v>7</v>
      </c>
      <c r="C1803" s="12" t="s">
        <v>8</v>
      </c>
      <c r="D1803" s="12" t="s">
        <v>24</v>
      </c>
      <c r="E1803" s="12" t="s">
        <v>35</v>
      </c>
      <c r="F1803" s="13" t="s">
        <v>33</v>
      </c>
      <c r="G1803" s="12" t="s">
        <v>68</v>
      </c>
      <c r="H1803" s="12" t="s">
        <v>813</v>
      </c>
      <c r="I1803" s="12" t="s">
        <v>814</v>
      </c>
      <c r="J1803" s="17" t="s">
        <v>2800</v>
      </c>
      <c r="K1803" s="18">
        <v>9.0</v>
      </c>
      <c r="L1803" s="20">
        <v>45975.0</v>
      </c>
      <c r="M1803" s="17" t="s">
        <v>28</v>
      </c>
      <c r="N1803" s="21" t="s">
        <v>2375</v>
      </c>
      <c r="O1803" s="122">
        <v>4.7154372E7</v>
      </c>
      <c r="P1803" s="48" t="s">
        <v>2376</v>
      </c>
      <c r="Q1803" s="48" t="s">
        <v>108</v>
      </c>
      <c r="R1803" s="17" t="s">
        <v>109</v>
      </c>
      <c r="S1803" s="17" t="s">
        <v>2377</v>
      </c>
      <c r="U1803" s="24"/>
      <c r="V1803" s="24"/>
      <c r="W1803" s="18" t="s">
        <v>577</v>
      </c>
    </row>
    <row r="1804">
      <c r="A1804" s="11"/>
      <c r="B1804" s="12" t="s">
        <v>7</v>
      </c>
      <c r="C1804" s="12" t="s">
        <v>8</v>
      </c>
      <c r="D1804" s="12" t="s">
        <v>24</v>
      </c>
      <c r="E1804" s="12" t="s">
        <v>35</v>
      </c>
      <c r="F1804" s="13" t="s">
        <v>33</v>
      </c>
      <c r="G1804" s="12" t="s">
        <v>68</v>
      </c>
      <c r="H1804" s="12" t="s">
        <v>813</v>
      </c>
      <c r="I1804" s="12" t="s">
        <v>814</v>
      </c>
      <c r="J1804" s="17" t="s">
        <v>2800</v>
      </c>
      <c r="K1804" s="18">
        <v>9.0</v>
      </c>
      <c r="L1804" s="20">
        <v>45975.0</v>
      </c>
      <c r="M1804" s="17" t="s">
        <v>28</v>
      </c>
      <c r="N1804" s="21" t="s">
        <v>2378</v>
      </c>
      <c r="O1804" s="52">
        <v>7.0945989E7</v>
      </c>
      <c r="P1804" s="48" t="s">
        <v>2379</v>
      </c>
      <c r="Q1804" s="21" t="s">
        <v>112</v>
      </c>
      <c r="R1804" s="17" t="s">
        <v>1797</v>
      </c>
      <c r="S1804" s="17" t="s">
        <v>2380</v>
      </c>
      <c r="U1804" s="24"/>
      <c r="V1804" s="24"/>
      <c r="W1804" s="18" t="s">
        <v>577</v>
      </c>
    </row>
    <row r="1805">
      <c r="A1805" s="11"/>
      <c r="B1805" s="12" t="s">
        <v>7</v>
      </c>
      <c r="C1805" s="12" t="s">
        <v>8</v>
      </c>
      <c r="D1805" s="12" t="s">
        <v>24</v>
      </c>
      <c r="E1805" s="12" t="s">
        <v>35</v>
      </c>
      <c r="F1805" s="13" t="s">
        <v>33</v>
      </c>
      <c r="G1805" s="12" t="s">
        <v>68</v>
      </c>
      <c r="H1805" s="12" t="s">
        <v>813</v>
      </c>
      <c r="I1805" s="12" t="s">
        <v>814</v>
      </c>
      <c r="J1805" s="17" t="s">
        <v>2800</v>
      </c>
      <c r="K1805" s="18">
        <v>9.0</v>
      </c>
      <c r="L1805" s="20">
        <v>45975.0</v>
      </c>
      <c r="M1805" s="17" t="s">
        <v>28</v>
      </c>
      <c r="N1805" s="21" t="s">
        <v>2385</v>
      </c>
      <c r="O1805" s="122">
        <v>4.6807974E7</v>
      </c>
      <c r="P1805" s="21" t="s">
        <v>1796</v>
      </c>
      <c r="Q1805" s="21" t="s">
        <v>108</v>
      </c>
      <c r="R1805" s="17" t="s">
        <v>109</v>
      </c>
      <c r="S1805" s="17" t="s">
        <v>2386</v>
      </c>
      <c r="U1805" s="24"/>
      <c r="V1805" s="24"/>
      <c r="W1805" s="18" t="s">
        <v>577</v>
      </c>
    </row>
    <row r="1806">
      <c r="A1806" s="11"/>
      <c r="B1806" s="12" t="s">
        <v>7</v>
      </c>
      <c r="C1806" s="12" t="s">
        <v>8</v>
      </c>
      <c r="D1806" s="12" t="s">
        <v>24</v>
      </c>
      <c r="E1806" s="12" t="s">
        <v>35</v>
      </c>
      <c r="F1806" s="13" t="s">
        <v>33</v>
      </c>
      <c r="G1806" s="12" t="s">
        <v>68</v>
      </c>
      <c r="H1806" s="12" t="s">
        <v>813</v>
      </c>
      <c r="I1806" s="12" t="s">
        <v>814</v>
      </c>
      <c r="J1806" s="17" t="s">
        <v>2800</v>
      </c>
      <c r="K1806" s="18">
        <v>9.0</v>
      </c>
      <c r="L1806" s="20">
        <v>45975.0</v>
      </c>
      <c r="M1806" s="17" t="s">
        <v>28</v>
      </c>
      <c r="N1806" s="21" t="s">
        <v>2387</v>
      </c>
      <c r="O1806" s="122">
        <v>4.1150084E7</v>
      </c>
      <c r="P1806" s="46" t="s">
        <v>1800</v>
      </c>
      <c r="Q1806" s="21" t="s">
        <v>112</v>
      </c>
      <c r="R1806" s="17" t="s">
        <v>1797</v>
      </c>
      <c r="S1806" s="17" t="s">
        <v>2388</v>
      </c>
      <c r="U1806" s="24"/>
      <c r="V1806" s="24"/>
      <c r="W1806" s="18" t="s">
        <v>577</v>
      </c>
    </row>
    <row r="1807">
      <c r="A1807" s="11"/>
      <c r="B1807" s="12" t="s">
        <v>7</v>
      </c>
      <c r="C1807" s="12" t="s">
        <v>8</v>
      </c>
      <c r="D1807" s="12" t="s">
        <v>24</v>
      </c>
      <c r="E1807" s="12" t="s">
        <v>35</v>
      </c>
      <c r="F1807" s="13" t="s">
        <v>33</v>
      </c>
      <c r="G1807" s="12" t="s">
        <v>68</v>
      </c>
      <c r="H1807" s="12" t="s">
        <v>813</v>
      </c>
      <c r="I1807" s="12" t="s">
        <v>814</v>
      </c>
      <c r="J1807" s="17" t="s">
        <v>2800</v>
      </c>
      <c r="K1807" s="18">
        <v>9.0</v>
      </c>
      <c r="L1807" s="20">
        <v>45975.0</v>
      </c>
      <c r="M1807" s="17" t="s">
        <v>28</v>
      </c>
      <c r="N1807" s="17" t="s">
        <v>2381</v>
      </c>
      <c r="O1807" s="17">
        <v>4.5987431E7</v>
      </c>
      <c r="P1807" s="17" t="s">
        <v>1799</v>
      </c>
      <c r="Q1807" s="17" t="s">
        <v>112</v>
      </c>
      <c r="R1807" s="17" t="s">
        <v>1797</v>
      </c>
      <c r="S1807" s="17" t="s">
        <v>2382</v>
      </c>
      <c r="U1807" s="24"/>
      <c r="V1807" s="24"/>
      <c r="W1807" s="18" t="s">
        <v>577</v>
      </c>
    </row>
    <row r="1808">
      <c r="A1808" s="11"/>
      <c r="B1808" s="12" t="s">
        <v>7</v>
      </c>
      <c r="C1808" s="12" t="s">
        <v>8</v>
      </c>
      <c r="D1808" s="12" t="s">
        <v>24</v>
      </c>
      <c r="E1808" s="12" t="s">
        <v>35</v>
      </c>
      <c r="F1808" s="13" t="s">
        <v>33</v>
      </c>
      <c r="G1808" s="12" t="s">
        <v>68</v>
      </c>
      <c r="H1808" s="12" t="s">
        <v>813</v>
      </c>
      <c r="I1808" s="12" t="s">
        <v>814</v>
      </c>
      <c r="J1808" s="17" t="s">
        <v>2800</v>
      </c>
      <c r="K1808" s="18">
        <v>9.0</v>
      </c>
      <c r="L1808" s="20">
        <v>45975.0</v>
      </c>
      <c r="M1808" s="17" t="s">
        <v>28</v>
      </c>
      <c r="N1808" s="17" t="s">
        <v>2383</v>
      </c>
      <c r="O1808" s="17">
        <v>7.6625817E7</v>
      </c>
      <c r="P1808" s="17" t="s">
        <v>1798</v>
      </c>
      <c r="Q1808" s="17" t="s">
        <v>112</v>
      </c>
      <c r="R1808" s="17" t="s">
        <v>1797</v>
      </c>
      <c r="S1808" s="17" t="s">
        <v>2384</v>
      </c>
      <c r="U1808" s="24"/>
      <c r="V1808" s="24"/>
      <c r="W1808" s="18" t="s">
        <v>577</v>
      </c>
    </row>
    <row r="1809">
      <c r="A1809" s="11"/>
      <c r="B1809" s="12" t="s">
        <v>7</v>
      </c>
      <c r="C1809" s="12" t="s">
        <v>8</v>
      </c>
      <c r="D1809" s="12" t="s">
        <v>24</v>
      </c>
      <c r="E1809" s="12" t="s">
        <v>35</v>
      </c>
      <c r="F1809" s="13" t="s">
        <v>33</v>
      </c>
      <c r="G1809" s="12" t="s">
        <v>68</v>
      </c>
      <c r="H1809" s="12" t="s">
        <v>813</v>
      </c>
      <c r="I1809" s="12" t="s">
        <v>814</v>
      </c>
      <c r="J1809" s="17" t="s">
        <v>2800</v>
      </c>
      <c r="K1809" s="18">
        <v>9.0</v>
      </c>
      <c r="L1809" s="20">
        <v>45975.0</v>
      </c>
      <c r="M1809" s="17" t="s">
        <v>28</v>
      </c>
      <c r="N1809" s="17" t="s">
        <v>2371</v>
      </c>
      <c r="O1809" s="17">
        <v>6.2210552E7</v>
      </c>
      <c r="P1809" s="17" t="s">
        <v>1801</v>
      </c>
      <c r="Q1809" s="17" t="s">
        <v>112</v>
      </c>
      <c r="R1809" s="17" t="s">
        <v>1797</v>
      </c>
      <c r="S1809" s="17" t="s">
        <v>2372</v>
      </c>
      <c r="U1809" s="24"/>
      <c r="V1809" s="24"/>
      <c r="W1809" s="18" t="s">
        <v>577</v>
      </c>
    </row>
    <row r="1810">
      <c r="A1810" s="11"/>
      <c r="B1810" s="12" t="s">
        <v>7</v>
      </c>
      <c r="C1810" s="12" t="s">
        <v>8</v>
      </c>
      <c r="D1810" s="12" t="s">
        <v>24</v>
      </c>
      <c r="E1810" s="12" t="s">
        <v>35</v>
      </c>
      <c r="F1810" s="13" t="s">
        <v>33</v>
      </c>
      <c r="G1810" s="12" t="s">
        <v>68</v>
      </c>
      <c r="H1810" s="12" t="s">
        <v>813</v>
      </c>
      <c r="I1810" s="12" t="s">
        <v>814</v>
      </c>
      <c r="J1810" s="17" t="s">
        <v>2800</v>
      </c>
      <c r="K1810" s="18">
        <v>9.0</v>
      </c>
      <c r="L1810" s="20">
        <v>45975.0</v>
      </c>
      <c r="M1810" s="17" t="s">
        <v>28</v>
      </c>
      <c r="N1810" s="17" t="s">
        <v>2373</v>
      </c>
      <c r="O1810" s="17">
        <v>4.3179451E7</v>
      </c>
      <c r="P1810" s="17" t="s">
        <v>1803</v>
      </c>
      <c r="Q1810" s="17" t="s">
        <v>108</v>
      </c>
      <c r="R1810" s="17" t="s">
        <v>109</v>
      </c>
      <c r="S1810" s="17" t="s">
        <v>2374</v>
      </c>
      <c r="U1810" s="24"/>
      <c r="V1810" s="24"/>
      <c r="W1810" s="18" t="s">
        <v>577</v>
      </c>
    </row>
    <row r="1811">
      <c r="A1811" s="11"/>
      <c r="B1811" s="12" t="s">
        <v>7</v>
      </c>
      <c r="C1811" s="12" t="s">
        <v>8</v>
      </c>
      <c r="D1811" s="12" t="s">
        <v>24</v>
      </c>
      <c r="E1811" s="12" t="s">
        <v>35</v>
      </c>
      <c r="F1811" s="13" t="s">
        <v>33</v>
      </c>
      <c r="G1811" s="12" t="s">
        <v>68</v>
      </c>
      <c r="H1811" s="12" t="s">
        <v>813</v>
      </c>
      <c r="I1811" s="12" t="s">
        <v>814</v>
      </c>
      <c r="J1811" s="17" t="s">
        <v>2800</v>
      </c>
      <c r="K1811" s="18">
        <v>9.0</v>
      </c>
      <c r="L1811" s="20">
        <v>45975.0</v>
      </c>
      <c r="M1811" s="17" t="s">
        <v>28</v>
      </c>
      <c r="N1811" s="17" t="s">
        <v>4269</v>
      </c>
      <c r="O1811" s="17">
        <v>4.4103851E7</v>
      </c>
      <c r="P1811" s="17" t="s">
        <v>1803</v>
      </c>
      <c r="Q1811" s="17" t="s">
        <v>108</v>
      </c>
      <c r="R1811" s="17" t="s">
        <v>109</v>
      </c>
      <c r="S1811" s="17" t="s">
        <v>2374</v>
      </c>
      <c r="U1811" s="24"/>
      <c r="V1811" s="24"/>
      <c r="W1811" s="18" t="s">
        <v>577</v>
      </c>
    </row>
    <row r="1812">
      <c r="A1812" s="11"/>
      <c r="B1812" s="12" t="s">
        <v>7</v>
      </c>
      <c r="C1812" s="12" t="s">
        <v>8</v>
      </c>
      <c r="D1812" s="12" t="s">
        <v>24</v>
      </c>
      <c r="E1812" s="12" t="s">
        <v>35</v>
      </c>
      <c r="F1812" s="13" t="s">
        <v>33</v>
      </c>
      <c r="G1812" s="12" t="s">
        <v>68</v>
      </c>
      <c r="H1812" s="12" t="s">
        <v>813</v>
      </c>
      <c r="I1812" s="12" t="s">
        <v>814</v>
      </c>
      <c r="J1812" s="17" t="s">
        <v>2800</v>
      </c>
      <c r="K1812" s="18">
        <v>9.0</v>
      </c>
      <c r="L1812" s="20">
        <v>45975.0</v>
      </c>
      <c r="M1812" s="17" t="s">
        <v>28</v>
      </c>
      <c r="N1812" s="17" t="s">
        <v>3322</v>
      </c>
      <c r="O1812" s="17">
        <v>4.8181558E7</v>
      </c>
      <c r="P1812" s="17" t="s">
        <v>3323</v>
      </c>
      <c r="Q1812" s="17" t="s">
        <v>112</v>
      </c>
      <c r="R1812" s="17" t="s">
        <v>1797</v>
      </c>
      <c r="S1812" s="17" t="s">
        <v>3324</v>
      </c>
      <c r="U1812" s="24"/>
      <c r="V1812" s="24"/>
      <c r="W1812" s="18" t="s">
        <v>577</v>
      </c>
    </row>
    <row r="1813">
      <c r="A1813" s="11"/>
      <c r="B1813" s="12" t="s">
        <v>7</v>
      </c>
      <c r="C1813" s="12" t="s">
        <v>37</v>
      </c>
      <c r="D1813" s="12" t="s">
        <v>38</v>
      </c>
      <c r="E1813" s="12" t="s">
        <v>45</v>
      </c>
      <c r="F1813" s="13" t="s">
        <v>44</v>
      </c>
      <c r="G1813" s="12" t="s">
        <v>68</v>
      </c>
      <c r="H1813" s="12" t="s">
        <v>830</v>
      </c>
      <c r="I1813" s="12" t="s">
        <v>831</v>
      </c>
      <c r="J1813" s="17" t="s">
        <v>2687</v>
      </c>
      <c r="K1813" s="18">
        <v>3.0</v>
      </c>
      <c r="L1813" s="20">
        <v>45979.0</v>
      </c>
      <c r="M1813" s="17" t="s">
        <v>23</v>
      </c>
      <c r="N1813" s="17" t="s">
        <v>2304</v>
      </c>
      <c r="O1813" s="17">
        <v>3.3335394E7</v>
      </c>
      <c r="P1813" s="17"/>
      <c r="Q1813" s="17" t="s">
        <v>112</v>
      </c>
      <c r="R1813" s="17" t="s">
        <v>113</v>
      </c>
      <c r="S1813" s="17" t="s">
        <v>2220</v>
      </c>
      <c r="U1813" s="24"/>
      <c r="V1813" s="24"/>
      <c r="W1813" s="18" t="s">
        <v>577</v>
      </c>
    </row>
    <row r="1814">
      <c r="A1814" s="11"/>
      <c r="B1814" s="12" t="s">
        <v>7</v>
      </c>
      <c r="C1814" s="12" t="s">
        <v>37</v>
      </c>
      <c r="D1814" s="12" t="s">
        <v>38</v>
      </c>
      <c r="E1814" s="12" t="s">
        <v>45</v>
      </c>
      <c r="F1814" s="13" t="s">
        <v>44</v>
      </c>
      <c r="G1814" s="12" t="s">
        <v>68</v>
      </c>
      <c r="H1814" s="12" t="s">
        <v>830</v>
      </c>
      <c r="I1814" s="12" t="s">
        <v>831</v>
      </c>
      <c r="J1814" s="17" t="s">
        <v>2687</v>
      </c>
      <c r="K1814" s="18">
        <v>3.0</v>
      </c>
      <c r="L1814" s="20">
        <v>45979.0</v>
      </c>
      <c r="M1814" s="17" t="s">
        <v>23</v>
      </c>
      <c r="N1814" s="17" t="s">
        <v>2305</v>
      </c>
      <c r="O1814" s="17">
        <v>4.6033972E7</v>
      </c>
      <c r="P1814" s="17"/>
      <c r="Q1814" s="17" t="s">
        <v>108</v>
      </c>
      <c r="R1814" s="17" t="s">
        <v>109</v>
      </c>
      <c r="S1814" s="17" t="s">
        <v>2198</v>
      </c>
      <c r="U1814" s="24"/>
      <c r="V1814" s="24"/>
      <c r="W1814" s="18" t="s">
        <v>577</v>
      </c>
    </row>
    <row r="1815">
      <c r="A1815" s="11"/>
      <c r="B1815" s="12" t="s">
        <v>7</v>
      </c>
      <c r="C1815" s="12" t="s">
        <v>37</v>
      </c>
      <c r="D1815" s="12" t="s">
        <v>38</v>
      </c>
      <c r="E1815" s="12" t="s">
        <v>45</v>
      </c>
      <c r="F1815" s="13" t="s">
        <v>44</v>
      </c>
      <c r="G1815" s="12" t="s">
        <v>68</v>
      </c>
      <c r="H1815" s="12" t="s">
        <v>830</v>
      </c>
      <c r="I1815" s="12" t="s">
        <v>831</v>
      </c>
      <c r="J1815" s="17" t="s">
        <v>2687</v>
      </c>
      <c r="K1815" s="18">
        <v>3.0</v>
      </c>
      <c r="L1815" s="20">
        <v>45979.0</v>
      </c>
      <c r="M1815" s="17" t="s">
        <v>23</v>
      </c>
      <c r="N1815" s="17" t="s">
        <v>2303</v>
      </c>
      <c r="O1815" s="17">
        <v>4.0135418E7</v>
      </c>
      <c r="P1815" s="17"/>
      <c r="Q1815" s="17" t="s">
        <v>73</v>
      </c>
      <c r="R1815" s="17" t="s">
        <v>74</v>
      </c>
      <c r="S1815" s="17" t="s">
        <v>2202</v>
      </c>
      <c r="U1815" s="24"/>
      <c r="V1815" s="24"/>
      <c r="W1815" s="18" t="s">
        <v>577</v>
      </c>
    </row>
    <row r="1816">
      <c r="A1816" s="11"/>
      <c r="B1816" s="12" t="s">
        <v>7</v>
      </c>
      <c r="C1816" s="12" t="s">
        <v>8</v>
      </c>
      <c r="D1816" s="12" t="s">
        <v>24</v>
      </c>
      <c r="E1816" s="12" t="s">
        <v>25</v>
      </c>
      <c r="F1816" s="13" t="s">
        <v>26</v>
      </c>
      <c r="G1816" s="12" t="s">
        <v>68</v>
      </c>
      <c r="H1816" s="12" t="s">
        <v>994</v>
      </c>
      <c r="I1816" s="12" t="s">
        <v>995</v>
      </c>
      <c r="J1816" s="17" t="s">
        <v>2687</v>
      </c>
      <c r="K1816" s="18">
        <v>3.0</v>
      </c>
      <c r="L1816" s="20">
        <v>45979.0</v>
      </c>
      <c r="M1816" s="17" t="s">
        <v>23</v>
      </c>
      <c r="N1816" s="17" t="s">
        <v>3298</v>
      </c>
      <c r="O1816" s="17">
        <v>3.1923023E7</v>
      </c>
      <c r="P1816" s="17"/>
      <c r="Q1816" s="17" t="s">
        <v>73</v>
      </c>
      <c r="R1816" s="17" t="s">
        <v>2004</v>
      </c>
      <c r="S1816" s="17" t="s">
        <v>3299</v>
      </c>
      <c r="U1816" s="24"/>
      <c r="V1816" s="24"/>
      <c r="W1816" s="18" t="s">
        <v>577</v>
      </c>
    </row>
    <row r="1817">
      <c r="A1817" s="11"/>
      <c r="B1817" s="12" t="s">
        <v>7</v>
      </c>
      <c r="C1817" s="12" t="s">
        <v>8</v>
      </c>
      <c r="D1817" s="12" t="s">
        <v>24</v>
      </c>
      <c r="E1817" s="12" t="s">
        <v>25</v>
      </c>
      <c r="F1817" s="13" t="s">
        <v>26</v>
      </c>
      <c r="G1817" s="12" t="s">
        <v>68</v>
      </c>
      <c r="H1817" s="12" t="s">
        <v>994</v>
      </c>
      <c r="I1817" s="12" t="s">
        <v>995</v>
      </c>
      <c r="J1817" s="17" t="s">
        <v>2687</v>
      </c>
      <c r="K1817" s="18">
        <v>3.0</v>
      </c>
      <c r="L1817" s="20">
        <v>45979.0</v>
      </c>
      <c r="M1817" s="17" t="s">
        <v>23</v>
      </c>
      <c r="N1817" s="17" t="s">
        <v>3300</v>
      </c>
      <c r="O1817" s="17">
        <v>4.5803595E7</v>
      </c>
      <c r="P1817" s="17"/>
      <c r="Q1817" s="17" t="s">
        <v>112</v>
      </c>
      <c r="R1817" s="17" t="s">
        <v>2028</v>
      </c>
      <c r="S1817" s="17" t="s">
        <v>3301</v>
      </c>
      <c r="U1817" s="24"/>
      <c r="V1817" s="24"/>
      <c r="W1817" s="18" t="s">
        <v>577</v>
      </c>
    </row>
    <row r="1818">
      <c r="A1818" s="11"/>
      <c r="B1818" s="12" t="s">
        <v>7</v>
      </c>
      <c r="C1818" s="12" t="s">
        <v>8</v>
      </c>
      <c r="D1818" s="12" t="s">
        <v>24</v>
      </c>
      <c r="E1818" s="12" t="s">
        <v>25</v>
      </c>
      <c r="F1818" s="13" t="s">
        <v>26</v>
      </c>
      <c r="G1818" s="12" t="s">
        <v>68</v>
      </c>
      <c r="H1818" s="12" t="s">
        <v>994</v>
      </c>
      <c r="I1818" s="12" t="s">
        <v>995</v>
      </c>
      <c r="J1818" s="17" t="s">
        <v>2687</v>
      </c>
      <c r="K1818" s="18">
        <v>3.0</v>
      </c>
      <c r="L1818" s="20">
        <v>45979.0</v>
      </c>
      <c r="M1818" s="17" t="s">
        <v>23</v>
      </c>
      <c r="N1818" s="17" t="s">
        <v>3302</v>
      </c>
      <c r="O1818" s="17">
        <v>3.2657886E7</v>
      </c>
      <c r="P1818" s="17"/>
      <c r="Q1818" s="17" t="s">
        <v>108</v>
      </c>
      <c r="R1818" s="17" t="s">
        <v>2016</v>
      </c>
      <c r="S1818" s="17" t="s">
        <v>2951</v>
      </c>
      <c r="U1818" s="24"/>
      <c r="V1818" s="18" t="s">
        <v>3632</v>
      </c>
      <c r="W1818" s="18" t="s">
        <v>577</v>
      </c>
    </row>
    <row r="1819">
      <c r="A1819" s="11"/>
      <c r="B1819" s="12" t="s">
        <v>7</v>
      </c>
      <c r="C1819" s="12" t="s">
        <v>8</v>
      </c>
      <c r="D1819" s="12" t="s">
        <v>24</v>
      </c>
      <c r="E1819" s="12" t="s">
        <v>25</v>
      </c>
      <c r="F1819" s="13" t="s">
        <v>26</v>
      </c>
      <c r="G1819" s="12" t="s">
        <v>68</v>
      </c>
      <c r="H1819" s="12" t="s">
        <v>994</v>
      </c>
      <c r="I1819" s="12" t="s">
        <v>995</v>
      </c>
      <c r="J1819" s="17" t="s">
        <v>2687</v>
      </c>
      <c r="K1819" s="18">
        <v>3.0</v>
      </c>
      <c r="L1819" s="20">
        <v>45979.0</v>
      </c>
      <c r="M1819" s="17" t="s">
        <v>23</v>
      </c>
      <c r="N1819" s="48" t="s">
        <v>4023</v>
      </c>
      <c r="O1819" s="52">
        <v>4.2042818E7</v>
      </c>
      <c r="P1819" s="21"/>
      <c r="Q1819" s="48" t="s">
        <v>73</v>
      </c>
      <c r="R1819" s="48" t="s">
        <v>3922</v>
      </c>
      <c r="S1819" s="17" t="s">
        <v>3923</v>
      </c>
      <c r="U1819" s="24"/>
      <c r="V1819" s="18" t="s">
        <v>4259</v>
      </c>
      <c r="W1819" s="18" t="s">
        <v>577</v>
      </c>
    </row>
    <row r="1820">
      <c r="A1820" s="11"/>
      <c r="B1820" s="12" t="s">
        <v>7</v>
      </c>
      <c r="C1820" s="12" t="s">
        <v>8</v>
      </c>
      <c r="D1820" s="12" t="s">
        <v>24</v>
      </c>
      <c r="E1820" s="12" t="s">
        <v>35</v>
      </c>
      <c r="F1820" s="13" t="s">
        <v>33</v>
      </c>
      <c r="G1820" s="12" t="s">
        <v>68</v>
      </c>
      <c r="H1820" s="12" t="s">
        <v>813</v>
      </c>
      <c r="I1820" s="12" t="s">
        <v>814</v>
      </c>
      <c r="J1820" s="17" t="s">
        <v>2687</v>
      </c>
      <c r="K1820" s="18">
        <v>3.0</v>
      </c>
      <c r="L1820" s="20">
        <v>45979.0</v>
      </c>
      <c r="M1820" s="17" t="s">
        <v>23</v>
      </c>
      <c r="N1820" s="17" t="s">
        <v>2389</v>
      </c>
      <c r="O1820" s="17">
        <v>3.1629591E7</v>
      </c>
      <c r="P1820" s="17"/>
      <c r="Q1820" s="17" t="s">
        <v>108</v>
      </c>
      <c r="R1820" s="17" t="s">
        <v>109</v>
      </c>
      <c r="S1820" s="17" t="s">
        <v>2198</v>
      </c>
      <c r="U1820" s="24"/>
      <c r="V1820" s="24"/>
      <c r="W1820" s="18" t="s">
        <v>577</v>
      </c>
    </row>
    <row r="1821">
      <c r="A1821" s="11"/>
      <c r="B1821" s="12" t="s">
        <v>7</v>
      </c>
      <c r="C1821" s="12" t="s">
        <v>8</v>
      </c>
      <c r="D1821" s="12" t="s">
        <v>24</v>
      </c>
      <c r="E1821" s="12" t="s">
        <v>35</v>
      </c>
      <c r="F1821" s="13" t="s">
        <v>33</v>
      </c>
      <c r="G1821" s="12" t="s">
        <v>68</v>
      </c>
      <c r="H1821" s="12" t="s">
        <v>813</v>
      </c>
      <c r="I1821" s="12" t="s">
        <v>814</v>
      </c>
      <c r="J1821" s="17" t="s">
        <v>2687</v>
      </c>
      <c r="K1821" s="18">
        <v>3.0</v>
      </c>
      <c r="L1821" s="20">
        <v>45979.0</v>
      </c>
      <c r="M1821" s="17" t="s">
        <v>23</v>
      </c>
      <c r="N1821" s="17" t="s">
        <v>2390</v>
      </c>
      <c r="O1821" s="17">
        <v>7.3863258E7</v>
      </c>
      <c r="P1821" s="17"/>
      <c r="Q1821" s="17" t="s">
        <v>73</v>
      </c>
      <c r="R1821" s="17" t="s">
        <v>1797</v>
      </c>
      <c r="S1821" s="17" t="s">
        <v>2391</v>
      </c>
      <c r="U1821" s="24"/>
      <c r="V1821" s="24"/>
      <c r="W1821" s="18" t="s">
        <v>577</v>
      </c>
    </row>
    <row r="1822">
      <c r="A1822" s="11"/>
      <c r="B1822" s="12" t="s">
        <v>7</v>
      </c>
      <c r="C1822" s="12" t="s">
        <v>8</v>
      </c>
      <c r="D1822" s="12" t="s">
        <v>24</v>
      </c>
      <c r="E1822" s="12" t="s">
        <v>29</v>
      </c>
      <c r="F1822" s="13" t="s">
        <v>27</v>
      </c>
      <c r="G1822" s="12" t="s">
        <v>68</v>
      </c>
      <c r="H1822" s="12" t="s">
        <v>801</v>
      </c>
      <c r="I1822" s="12" t="s">
        <v>802</v>
      </c>
      <c r="J1822" s="17" t="s">
        <v>2687</v>
      </c>
      <c r="K1822" s="18">
        <v>3.0</v>
      </c>
      <c r="L1822" s="20">
        <v>45979.0</v>
      </c>
      <c r="M1822" s="17" t="s">
        <v>23</v>
      </c>
      <c r="N1822" s="21" t="s">
        <v>2369</v>
      </c>
      <c r="O1822" s="122">
        <v>4.7102534E7</v>
      </c>
      <c r="P1822" s="17"/>
      <c r="Q1822" s="17" t="s">
        <v>73</v>
      </c>
      <c r="R1822" s="17" t="s">
        <v>2172</v>
      </c>
      <c r="S1822" s="17" t="s">
        <v>2177</v>
      </c>
      <c r="U1822" s="24"/>
      <c r="V1822" s="24"/>
      <c r="W1822" s="18" t="s">
        <v>577</v>
      </c>
    </row>
    <row r="1823">
      <c r="A1823" s="11"/>
      <c r="B1823" s="12" t="s">
        <v>7</v>
      </c>
      <c r="C1823" s="12" t="s">
        <v>8</v>
      </c>
      <c r="D1823" s="12" t="s">
        <v>24</v>
      </c>
      <c r="E1823" s="12" t="s">
        <v>32</v>
      </c>
      <c r="F1823" s="13" t="s">
        <v>30</v>
      </c>
      <c r="G1823" s="12" t="s">
        <v>68</v>
      </c>
      <c r="H1823" s="12" t="s">
        <v>573</v>
      </c>
      <c r="I1823" s="12" t="s">
        <v>574</v>
      </c>
      <c r="J1823" s="17" t="s">
        <v>2687</v>
      </c>
      <c r="K1823" s="18">
        <v>3.0</v>
      </c>
      <c r="L1823" s="20">
        <v>45979.0</v>
      </c>
      <c r="M1823" s="17" t="s">
        <v>23</v>
      </c>
      <c r="N1823" s="17" t="s">
        <v>2174</v>
      </c>
      <c r="O1823" s="17">
        <v>4.3532615E7</v>
      </c>
      <c r="Q1823" s="17" t="s">
        <v>73</v>
      </c>
      <c r="R1823" s="17" t="s">
        <v>2172</v>
      </c>
      <c r="S1823" s="17" t="s">
        <v>73</v>
      </c>
      <c r="U1823" s="24"/>
      <c r="V1823" s="24"/>
      <c r="W1823" s="18" t="s">
        <v>577</v>
      </c>
    </row>
    <row r="1824">
      <c r="A1824" s="11"/>
      <c r="B1824" s="12" t="s">
        <v>7</v>
      </c>
      <c r="C1824" s="12" t="s">
        <v>8</v>
      </c>
      <c r="D1824" s="12" t="s">
        <v>24</v>
      </c>
      <c r="E1824" s="12" t="s">
        <v>25</v>
      </c>
      <c r="F1824" s="13" t="s">
        <v>50</v>
      </c>
      <c r="G1824" s="12" t="s">
        <v>86</v>
      </c>
      <c r="H1824" s="12" t="s">
        <v>3307</v>
      </c>
      <c r="I1824" s="12"/>
      <c r="J1824" s="17" t="s">
        <v>2687</v>
      </c>
      <c r="K1824" s="18">
        <v>3.0</v>
      </c>
      <c r="L1824" s="20">
        <v>45979.0</v>
      </c>
      <c r="M1824" s="17" t="s">
        <v>23</v>
      </c>
      <c r="N1824" s="17" t="s">
        <v>3325</v>
      </c>
      <c r="O1824" s="17">
        <v>1.5852271E7</v>
      </c>
      <c r="P1824" s="17"/>
      <c r="Q1824" s="17" t="s">
        <v>73</v>
      </c>
      <c r="R1824" s="17" t="s">
        <v>3309</v>
      </c>
      <c r="S1824" s="17" t="s">
        <v>4270</v>
      </c>
      <c r="U1824" s="24"/>
      <c r="V1824" s="24"/>
      <c r="W1824" s="18" t="s">
        <v>577</v>
      </c>
    </row>
    <row r="1825">
      <c r="A1825" s="11"/>
      <c r="B1825" s="12" t="s">
        <v>7</v>
      </c>
      <c r="C1825" s="12" t="s">
        <v>8</v>
      </c>
      <c r="D1825" s="12" t="s">
        <v>24</v>
      </c>
      <c r="E1825" s="12" t="s">
        <v>25</v>
      </c>
      <c r="F1825" s="13" t="s">
        <v>50</v>
      </c>
      <c r="G1825" s="12" t="s">
        <v>86</v>
      </c>
      <c r="H1825" s="12" t="s">
        <v>3307</v>
      </c>
      <c r="I1825" s="12"/>
      <c r="J1825" s="17" t="s">
        <v>2687</v>
      </c>
      <c r="K1825" s="18">
        <v>3.0</v>
      </c>
      <c r="L1825" s="20">
        <v>45979.0</v>
      </c>
      <c r="M1825" s="17" t="s">
        <v>23</v>
      </c>
      <c r="N1825" s="17" t="s">
        <v>3633</v>
      </c>
      <c r="O1825" s="17">
        <v>1.5860456E7</v>
      </c>
      <c r="P1825" s="17"/>
      <c r="Q1825" s="17" t="s">
        <v>73</v>
      </c>
      <c r="R1825" s="17" t="s">
        <v>4271</v>
      </c>
      <c r="S1825" s="17" t="s">
        <v>4272</v>
      </c>
      <c r="U1825" s="24"/>
      <c r="V1825" s="17" t="s">
        <v>4271</v>
      </c>
      <c r="W1825" s="18" t="s">
        <v>577</v>
      </c>
    </row>
    <row r="1826">
      <c r="A1826" s="11"/>
      <c r="B1826" s="12" t="s">
        <v>7</v>
      </c>
      <c r="C1826" s="12" t="s">
        <v>8</v>
      </c>
      <c r="D1826" s="12" t="s">
        <v>9</v>
      </c>
      <c r="E1826" s="12" t="s">
        <v>10</v>
      </c>
      <c r="F1826" s="13" t="s">
        <v>11</v>
      </c>
      <c r="G1826" s="12" t="s">
        <v>68</v>
      </c>
      <c r="H1826" s="12" t="s">
        <v>911</v>
      </c>
      <c r="I1826" s="12" t="s">
        <v>912</v>
      </c>
      <c r="J1826" s="17" t="s">
        <v>2800</v>
      </c>
      <c r="K1826" s="18">
        <v>9.0</v>
      </c>
      <c r="L1826" s="20">
        <v>45972.0</v>
      </c>
      <c r="M1826" s="17" t="s">
        <v>28</v>
      </c>
      <c r="N1826" s="17" t="s">
        <v>3694</v>
      </c>
      <c r="O1826" s="17">
        <v>4.6963088E7</v>
      </c>
      <c r="P1826" s="17" t="s">
        <v>4273</v>
      </c>
      <c r="Q1826" s="17" t="s">
        <v>112</v>
      </c>
      <c r="R1826" s="17"/>
      <c r="S1826" s="17" t="s">
        <v>4274</v>
      </c>
      <c r="U1826" s="24"/>
      <c r="V1826" s="24"/>
      <c r="W1826" s="18" t="s">
        <v>915</v>
      </c>
    </row>
    <row r="1827">
      <c r="A1827" s="11"/>
      <c r="B1827" s="12" t="s">
        <v>7</v>
      </c>
      <c r="C1827" s="12" t="s">
        <v>8</v>
      </c>
      <c r="D1827" s="12" t="s">
        <v>9</v>
      </c>
      <c r="E1827" s="12" t="s">
        <v>10</v>
      </c>
      <c r="F1827" s="13" t="s">
        <v>11</v>
      </c>
      <c r="G1827" s="12" t="s">
        <v>68</v>
      </c>
      <c r="H1827" s="12" t="s">
        <v>911</v>
      </c>
      <c r="I1827" s="12" t="s">
        <v>912</v>
      </c>
      <c r="J1827" s="17" t="s">
        <v>2800</v>
      </c>
      <c r="K1827" s="18">
        <v>9.0</v>
      </c>
      <c r="L1827" s="20">
        <v>45972.0</v>
      </c>
      <c r="M1827" s="17" t="s">
        <v>28</v>
      </c>
      <c r="N1827" s="17" t="s">
        <v>2299</v>
      </c>
      <c r="O1827" s="17">
        <v>7.1397433E7</v>
      </c>
      <c r="P1827" s="17" t="s">
        <v>4275</v>
      </c>
      <c r="Q1827" s="17" t="s">
        <v>73</v>
      </c>
      <c r="R1827" s="17" t="s">
        <v>1589</v>
      </c>
      <c r="S1827" s="17" t="s">
        <v>4276</v>
      </c>
      <c r="U1827" s="24"/>
      <c r="V1827" s="24"/>
      <c r="W1827" s="18" t="s">
        <v>915</v>
      </c>
    </row>
    <row r="1828">
      <c r="A1828" s="11"/>
      <c r="B1828" s="12" t="s">
        <v>7</v>
      </c>
      <c r="C1828" s="12" t="s">
        <v>8</v>
      </c>
      <c r="D1828" s="12" t="s">
        <v>9</v>
      </c>
      <c r="E1828" s="12" t="s">
        <v>10</v>
      </c>
      <c r="F1828" s="13" t="s">
        <v>11</v>
      </c>
      <c r="G1828" s="12" t="s">
        <v>68</v>
      </c>
      <c r="H1828" s="12" t="s">
        <v>911</v>
      </c>
      <c r="I1828" s="12" t="s">
        <v>912</v>
      </c>
      <c r="J1828" s="17" t="s">
        <v>2800</v>
      </c>
      <c r="K1828" s="18">
        <v>9.0</v>
      </c>
      <c r="L1828" s="20">
        <v>45972.0</v>
      </c>
      <c r="M1828" s="17" t="s">
        <v>28</v>
      </c>
      <c r="N1828" s="17" t="s">
        <v>4277</v>
      </c>
      <c r="O1828" s="17">
        <v>4.227157E7</v>
      </c>
      <c r="P1828" s="17" t="s">
        <v>4278</v>
      </c>
      <c r="Q1828" s="17" t="s">
        <v>112</v>
      </c>
      <c r="R1828" s="17" t="s">
        <v>1939</v>
      </c>
      <c r="S1828" s="17" t="s">
        <v>4279</v>
      </c>
      <c r="U1828" s="24"/>
      <c r="V1828" s="24"/>
      <c r="W1828" s="18" t="s">
        <v>915</v>
      </c>
    </row>
    <row r="1829">
      <c r="A1829" s="11"/>
      <c r="B1829" s="12" t="s">
        <v>7</v>
      </c>
      <c r="C1829" s="12" t="s">
        <v>8</v>
      </c>
      <c r="D1829" s="12" t="s">
        <v>9</v>
      </c>
      <c r="E1829" s="12" t="s">
        <v>10</v>
      </c>
      <c r="F1829" s="13" t="s">
        <v>11</v>
      </c>
      <c r="G1829" s="12" t="s">
        <v>68</v>
      </c>
      <c r="H1829" s="12" t="s">
        <v>911</v>
      </c>
      <c r="I1829" s="12" t="s">
        <v>912</v>
      </c>
      <c r="J1829" s="17" t="s">
        <v>2800</v>
      </c>
      <c r="K1829" s="18">
        <v>9.0</v>
      </c>
      <c r="L1829" s="20">
        <v>45972.0</v>
      </c>
      <c r="M1829" s="17" t="s">
        <v>28</v>
      </c>
      <c r="N1829" s="17" t="s">
        <v>4073</v>
      </c>
      <c r="O1829" s="17">
        <v>3.1925853E7</v>
      </c>
      <c r="P1829" s="17" t="s">
        <v>4280</v>
      </c>
      <c r="Q1829" s="17" t="s">
        <v>108</v>
      </c>
      <c r="R1829" s="17" t="s">
        <v>3534</v>
      </c>
      <c r="S1829" s="17" t="s">
        <v>4281</v>
      </c>
      <c r="U1829" s="24"/>
      <c r="V1829" s="24"/>
      <c r="W1829" s="18" t="s">
        <v>915</v>
      </c>
    </row>
    <row r="1830">
      <c r="A1830" s="11"/>
      <c r="B1830" s="12" t="s">
        <v>7</v>
      </c>
      <c r="C1830" s="12" t="s">
        <v>8</v>
      </c>
      <c r="D1830" s="12" t="s">
        <v>9</v>
      </c>
      <c r="E1830" s="12" t="s">
        <v>10</v>
      </c>
      <c r="F1830" s="13" t="s">
        <v>11</v>
      </c>
      <c r="G1830" s="12" t="s">
        <v>68</v>
      </c>
      <c r="H1830" s="12" t="s">
        <v>911</v>
      </c>
      <c r="I1830" s="12" t="s">
        <v>912</v>
      </c>
      <c r="J1830" s="17" t="s">
        <v>2800</v>
      </c>
      <c r="K1830" s="18">
        <v>9.0</v>
      </c>
      <c r="L1830" s="20">
        <v>45972.0</v>
      </c>
      <c r="M1830" s="17" t="s">
        <v>28</v>
      </c>
      <c r="N1830" s="17" t="s">
        <v>4282</v>
      </c>
      <c r="O1830" s="17">
        <v>4.5960059E7</v>
      </c>
      <c r="P1830" s="17" t="s">
        <v>4283</v>
      </c>
      <c r="Q1830" s="17" t="s">
        <v>73</v>
      </c>
      <c r="R1830" s="17" t="s">
        <v>1589</v>
      </c>
      <c r="S1830" s="17" t="s">
        <v>4284</v>
      </c>
      <c r="U1830" s="24"/>
      <c r="V1830" s="24"/>
      <c r="W1830" s="18" t="s">
        <v>915</v>
      </c>
    </row>
    <row r="1831">
      <c r="A1831" s="11"/>
      <c r="B1831" s="12" t="s">
        <v>7</v>
      </c>
      <c r="C1831" s="12" t="s">
        <v>8</v>
      </c>
      <c r="D1831" s="12" t="s">
        <v>9</v>
      </c>
      <c r="E1831" s="12" t="s">
        <v>10</v>
      </c>
      <c r="F1831" s="13" t="s">
        <v>11</v>
      </c>
      <c r="G1831" s="12" t="s">
        <v>68</v>
      </c>
      <c r="H1831" s="12" t="s">
        <v>911</v>
      </c>
      <c r="I1831" s="12" t="s">
        <v>912</v>
      </c>
      <c r="J1831" s="17" t="s">
        <v>2800</v>
      </c>
      <c r="K1831" s="18">
        <v>9.0</v>
      </c>
      <c r="L1831" s="20">
        <v>45972.0</v>
      </c>
      <c r="M1831" s="17" t="s">
        <v>28</v>
      </c>
      <c r="N1831" s="17" t="s">
        <v>4056</v>
      </c>
      <c r="O1831" s="17">
        <v>7.34682E7</v>
      </c>
      <c r="P1831" s="17" t="s">
        <v>4285</v>
      </c>
      <c r="Q1831" s="17" t="s">
        <v>73</v>
      </c>
      <c r="R1831" s="17" t="s">
        <v>1589</v>
      </c>
      <c r="S1831" s="17" t="s">
        <v>4286</v>
      </c>
      <c r="U1831" s="24"/>
      <c r="V1831" s="24"/>
      <c r="W1831" s="18" t="s">
        <v>915</v>
      </c>
    </row>
    <row r="1832">
      <c r="A1832" s="11"/>
      <c r="B1832" s="12" t="s">
        <v>7</v>
      </c>
      <c r="C1832" s="12" t="s">
        <v>8</v>
      </c>
      <c r="D1832" s="12" t="s">
        <v>9</v>
      </c>
      <c r="E1832" s="12" t="s">
        <v>10</v>
      </c>
      <c r="F1832" s="13" t="s">
        <v>11</v>
      </c>
      <c r="G1832" s="12" t="s">
        <v>68</v>
      </c>
      <c r="H1832" s="12" t="s">
        <v>911</v>
      </c>
      <c r="I1832" s="12" t="s">
        <v>912</v>
      </c>
      <c r="J1832" s="17" t="s">
        <v>2800</v>
      </c>
      <c r="K1832" s="18">
        <v>9.0</v>
      </c>
      <c r="L1832" s="20">
        <v>45972.0</v>
      </c>
      <c r="M1832" s="17" t="s">
        <v>28</v>
      </c>
      <c r="N1832" s="17" t="s">
        <v>4088</v>
      </c>
      <c r="O1832" s="17">
        <v>3.1677083E7</v>
      </c>
      <c r="P1832" s="17" t="s">
        <v>4287</v>
      </c>
      <c r="Q1832" s="17" t="s">
        <v>112</v>
      </c>
      <c r="R1832" s="17" t="s">
        <v>1939</v>
      </c>
      <c r="S1832" s="17" t="s">
        <v>4288</v>
      </c>
      <c r="U1832" s="24"/>
      <c r="V1832" s="24"/>
      <c r="W1832" s="18" t="s">
        <v>915</v>
      </c>
    </row>
    <row r="1833">
      <c r="A1833" s="11"/>
      <c r="B1833" s="12" t="s">
        <v>7</v>
      </c>
      <c r="C1833" s="12" t="s">
        <v>8</v>
      </c>
      <c r="D1833" s="12" t="s">
        <v>9</v>
      </c>
      <c r="E1833" s="12" t="s">
        <v>10</v>
      </c>
      <c r="F1833" s="13" t="s">
        <v>11</v>
      </c>
      <c r="G1833" s="12" t="s">
        <v>68</v>
      </c>
      <c r="H1833" s="12" t="s">
        <v>911</v>
      </c>
      <c r="I1833" s="12" t="s">
        <v>912</v>
      </c>
      <c r="J1833" s="17" t="s">
        <v>2800</v>
      </c>
      <c r="K1833" s="18">
        <v>9.0</v>
      </c>
      <c r="L1833" s="20">
        <v>45972.0</v>
      </c>
      <c r="M1833" s="17" t="s">
        <v>28</v>
      </c>
      <c r="N1833" s="17" t="s">
        <v>4062</v>
      </c>
      <c r="O1833" s="17">
        <v>6.1626065E7</v>
      </c>
      <c r="P1833" s="17" t="s">
        <v>4063</v>
      </c>
      <c r="Q1833" s="17" t="s">
        <v>73</v>
      </c>
      <c r="R1833" s="17" t="s">
        <v>1589</v>
      </c>
      <c r="S1833" s="17" t="s">
        <v>4289</v>
      </c>
      <c r="U1833" s="24"/>
      <c r="V1833" s="24"/>
      <c r="W1833" s="18" t="s">
        <v>915</v>
      </c>
    </row>
    <row r="1834">
      <c r="A1834" s="11"/>
      <c r="B1834" s="12" t="s">
        <v>7</v>
      </c>
      <c r="C1834" s="12" t="s">
        <v>8</v>
      </c>
      <c r="D1834" s="12" t="s">
        <v>9</v>
      </c>
      <c r="E1834" s="12" t="s">
        <v>10</v>
      </c>
      <c r="F1834" s="13" t="s">
        <v>11</v>
      </c>
      <c r="G1834" s="12" t="s">
        <v>68</v>
      </c>
      <c r="H1834" s="12" t="s">
        <v>911</v>
      </c>
      <c r="I1834" s="12" t="s">
        <v>912</v>
      </c>
      <c r="J1834" s="17" t="s">
        <v>2800</v>
      </c>
      <c r="K1834" s="18">
        <v>9.0</v>
      </c>
      <c r="L1834" s="20">
        <v>45972.0</v>
      </c>
      <c r="M1834" s="17" t="s">
        <v>23</v>
      </c>
      <c r="N1834" s="17" t="s">
        <v>4290</v>
      </c>
      <c r="O1834" s="17">
        <v>4.3260635E7</v>
      </c>
      <c r="P1834" s="17"/>
      <c r="Q1834" s="17"/>
      <c r="R1834" s="17"/>
      <c r="S1834" s="17"/>
      <c r="U1834" s="24"/>
      <c r="V1834" s="24"/>
      <c r="W1834" s="18" t="s">
        <v>915</v>
      </c>
    </row>
    <row r="1835">
      <c r="A1835" s="11"/>
      <c r="B1835" s="12" t="s">
        <v>7</v>
      </c>
      <c r="C1835" s="12" t="s">
        <v>8</v>
      </c>
      <c r="D1835" s="12" t="s">
        <v>9</v>
      </c>
      <c r="E1835" s="12" t="s">
        <v>10</v>
      </c>
      <c r="F1835" s="13" t="s">
        <v>11</v>
      </c>
      <c r="G1835" s="12" t="s">
        <v>68</v>
      </c>
      <c r="H1835" s="12" t="s">
        <v>911</v>
      </c>
      <c r="I1835" s="12" t="s">
        <v>912</v>
      </c>
      <c r="J1835" s="17" t="s">
        <v>2800</v>
      </c>
      <c r="K1835" s="18">
        <v>9.0</v>
      </c>
      <c r="L1835" s="20">
        <v>45972.0</v>
      </c>
      <c r="M1835" s="17" t="s">
        <v>23</v>
      </c>
      <c r="N1835" s="17" t="s">
        <v>4291</v>
      </c>
      <c r="O1835" s="17">
        <v>4.6444871E7</v>
      </c>
      <c r="P1835" s="17" t="s">
        <v>4292</v>
      </c>
      <c r="Q1835" s="17" t="s">
        <v>73</v>
      </c>
      <c r="R1835" s="17" t="s">
        <v>1589</v>
      </c>
      <c r="S1835" s="17" t="s">
        <v>4293</v>
      </c>
      <c r="U1835" s="24"/>
      <c r="V1835" s="24"/>
      <c r="W1835" s="18" t="s">
        <v>915</v>
      </c>
    </row>
    <row r="1836">
      <c r="A1836" s="11"/>
      <c r="B1836" s="12" t="s">
        <v>7</v>
      </c>
      <c r="C1836" s="12" t="s">
        <v>8</v>
      </c>
      <c r="D1836" s="12" t="s">
        <v>9</v>
      </c>
      <c r="E1836" s="12" t="s">
        <v>10</v>
      </c>
      <c r="F1836" s="13" t="s">
        <v>11</v>
      </c>
      <c r="G1836" s="12" t="s">
        <v>68</v>
      </c>
      <c r="H1836" s="12" t="s">
        <v>911</v>
      </c>
      <c r="I1836" s="12" t="s">
        <v>912</v>
      </c>
      <c r="J1836" s="17" t="s">
        <v>2800</v>
      </c>
      <c r="K1836" s="18">
        <v>9.0</v>
      </c>
      <c r="L1836" s="20">
        <v>45972.0</v>
      </c>
      <c r="M1836" s="17" t="s">
        <v>23</v>
      </c>
      <c r="N1836" s="17" t="s">
        <v>2298</v>
      </c>
      <c r="O1836" s="17">
        <v>4.5010912E7</v>
      </c>
      <c r="P1836" s="17"/>
      <c r="Q1836" s="17" t="s">
        <v>112</v>
      </c>
      <c r="R1836" s="17" t="s">
        <v>4294</v>
      </c>
      <c r="S1836" s="17" t="s">
        <v>4295</v>
      </c>
      <c r="U1836" s="24"/>
      <c r="V1836" s="24"/>
      <c r="W1836" s="18" t="s">
        <v>915</v>
      </c>
    </row>
    <row r="1837">
      <c r="A1837" s="11"/>
      <c r="B1837" s="12" t="s">
        <v>7</v>
      </c>
      <c r="C1837" s="12" t="s">
        <v>8</v>
      </c>
      <c r="D1837" s="12" t="s">
        <v>15</v>
      </c>
      <c r="E1837" s="12" t="s">
        <v>15</v>
      </c>
      <c r="F1837" s="13" t="s">
        <v>16</v>
      </c>
      <c r="G1837" s="12" t="s">
        <v>68</v>
      </c>
      <c r="H1837" s="12" t="s">
        <v>928</v>
      </c>
      <c r="I1837" s="12" t="s">
        <v>929</v>
      </c>
      <c r="J1837" s="17" t="s">
        <v>2800</v>
      </c>
      <c r="K1837" s="18">
        <v>9.0</v>
      </c>
      <c r="L1837" s="20">
        <v>45978.0</v>
      </c>
      <c r="M1837" s="17" t="s">
        <v>23</v>
      </c>
      <c r="N1837" s="17" t="s">
        <v>4296</v>
      </c>
      <c r="O1837" s="17">
        <v>4.4662441E7</v>
      </c>
      <c r="P1837" s="17"/>
      <c r="Q1837" s="17" t="s">
        <v>108</v>
      </c>
      <c r="R1837" s="17"/>
      <c r="S1837" s="17" t="s">
        <v>108</v>
      </c>
      <c r="U1837" s="24"/>
      <c r="V1837" s="24"/>
      <c r="W1837" s="18" t="s">
        <v>915</v>
      </c>
    </row>
    <row r="1838">
      <c r="A1838" s="11"/>
      <c r="B1838" s="12" t="s">
        <v>7</v>
      </c>
      <c r="C1838" s="12" t="s">
        <v>8</v>
      </c>
      <c r="D1838" s="12" t="s">
        <v>15</v>
      </c>
      <c r="E1838" s="12" t="s">
        <v>15</v>
      </c>
      <c r="F1838" s="13" t="s">
        <v>16</v>
      </c>
      <c r="G1838" s="12" t="s">
        <v>68</v>
      </c>
      <c r="H1838" s="12" t="s">
        <v>928</v>
      </c>
      <c r="I1838" s="12" t="s">
        <v>929</v>
      </c>
      <c r="J1838" s="17" t="s">
        <v>2800</v>
      </c>
      <c r="K1838" s="18">
        <v>9.0</v>
      </c>
      <c r="L1838" s="20">
        <v>45978.0</v>
      </c>
      <c r="M1838" s="17" t="s">
        <v>23</v>
      </c>
      <c r="N1838" s="17" t="s">
        <v>4297</v>
      </c>
      <c r="O1838" s="17">
        <v>7.2029599E7</v>
      </c>
      <c r="P1838" s="17"/>
      <c r="Q1838" s="17" t="s">
        <v>73</v>
      </c>
      <c r="R1838" s="17"/>
      <c r="S1838" s="17" t="s">
        <v>73</v>
      </c>
      <c r="U1838" s="24"/>
      <c r="V1838" s="24"/>
      <c r="W1838" s="18" t="s">
        <v>915</v>
      </c>
    </row>
    <row r="1839">
      <c r="A1839" s="11"/>
      <c r="B1839" s="12" t="s">
        <v>7</v>
      </c>
      <c r="C1839" s="12" t="s">
        <v>8</v>
      </c>
      <c r="D1839" s="12" t="s">
        <v>15</v>
      </c>
      <c r="E1839" s="12" t="s">
        <v>15</v>
      </c>
      <c r="F1839" s="13" t="s">
        <v>16</v>
      </c>
      <c r="G1839" s="12" t="s">
        <v>68</v>
      </c>
      <c r="H1839" s="12" t="s">
        <v>928</v>
      </c>
      <c r="I1839" s="12" t="s">
        <v>929</v>
      </c>
      <c r="J1839" s="17" t="s">
        <v>2800</v>
      </c>
      <c r="K1839" s="18">
        <v>9.0</v>
      </c>
      <c r="L1839" s="20">
        <v>45978.0</v>
      </c>
      <c r="M1839" s="17" t="s">
        <v>23</v>
      </c>
      <c r="N1839" s="17" t="s">
        <v>3712</v>
      </c>
      <c r="O1839" s="17">
        <v>7.3302101E7</v>
      </c>
      <c r="P1839" s="17"/>
      <c r="Q1839" s="17" t="s">
        <v>112</v>
      </c>
      <c r="R1839" s="17"/>
      <c r="S1839" s="17" t="s">
        <v>112</v>
      </c>
      <c r="U1839" s="24"/>
      <c r="V1839" s="24"/>
      <c r="W1839" s="18" t="s">
        <v>915</v>
      </c>
    </row>
    <row r="1840">
      <c r="A1840" s="11"/>
      <c r="B1840" s="12" t="s">
        <v>7</v>
      </c>
      <c r="C1840" s="12" t="s">
        <v>8</v>
      </c>
      <c r="D1840" s="12" t="s">
        <v>15</v>
      </c>
      <c r="E1840" s="12" t="s">
        <v>15</v>
      </c>
      <c r="F1840" s="13" t="s">
        <v>16</v>
      </c>
      <c r="G1840" s="12" t="s">
        <v>68</v>
      </c>
      <c r="H1840" s="12" t="s">
        <v>928</v>
      </c>
      <c r="I1840" s="12" t="s">
        <v>929</v>
      </c>
      <c r="J1840" s="17" t="s">
        <v>2800</v>
      </c>
      <c r="K1840" s="18">
        <v>9.0</v>
      </c>
      <c r="L1840" s="20">
        <v>45978.0</v>
      </c>
      <c r="M1840" s="17" t="s">
        <v>28</v>
      </c>
      <c r="N1840" s="17" t="s">
        <v>4298</v>
      </c>
      <c r="O1840" s="17">
        <v>3.1928402E7</v>
      </c>
      <c r="P1840" s="17" t="s">
        <v>4299</v>
      </c>
      <c r="Q1840" s="17" t="s">
        <v>108</v>
      </c>
      <c r="R1840" s="17"/>
      <c r="S1840" s="17" t="s">
        <v>4300</v>
      </c>
      <c r="U1840" s="24"/>
      <c r="V1840" s="24"/>
      <c r="W1840" s="18" t="s">
        <v>915</v>
      </c>
    </row>
    <row r="1841">
      <c r="A1841" s="11"/>
      <c r="B1841" s="12" t="s">
        <v>7</v>
      </c>
      <c r="C1841" s="12" t="s">
        <v>8</v>
      </c>
      <c r="D1841" s="12" t="s">
        <v>15</v>
      </c>
      <c r="E1841" s="12" t="s">
        <v>15</v>
      </c>
      <c r="F1841" s="13" t="s">
        <v>16</v>
      </c>
      <c r="G1841" s="12" t="s">
        <v>68</v>
      </c>
      <c r="H1841" s="12" t="s">
        <v>928</v>
      </c>
      <c r="I1841" s="12" t="s">
        <v>929</v>
      </c>
      <c r="J1841" s="17" t="s">
        <v>2800</v>
      </c>
      <c r="K1841" s="18">
        <v>9.0</v>
      </c>
      <c r="L1841" s="20">
        <v>45978.0</v>
      </c>
      <c r="M1841" s="17" t="s">
        <v>28</v>
      </c>
      <c r="N1841" s="17" t="s">
        <v>4301</v>
      </c>
      <c r="O1841" s="17">
        <v>7.0610296E7</v>
      </c>
      <c r="P1841" s="17" t="s">
        <v>4302</v>
      </c>
      <c r="Q1841" s="17" t="s">
        <v>112</v>
      </c>
      <c r="R1841" s="17"/>
      <c r="S1841" s="17" t="s">
        <v>4303</v>
      </c>
      <c r="U1841" s="24"/>
      <c r="V1841" s="24"/>
      <c r="W1841" s="18" t="s">
        <v>915</v>
      </c>
    </row>
    <row r="1842">
      <c r="A1842" s="11"/>
      <c r="B1842" s="12" t="s">
        <v>7</v>
      </c>
      <c r="C1842" s="12" t="s">
        <v>8</v>
      </c>
      <c r="D1842" s="12" t="s">
        <v>15</v>
      </c>
      <c r="E1842" s="12" t="s">
        <v>15</v>
      </c>
      <c r="F1842" s="13" t="s">
        <v>16</v>
      </c>
      <c r="G1842" s="12" t="s">
        <v>68</v>
      </c>
      <c r="H1842" s="12" t="s">
        <v>928</v>
      </c>
      <c r="I1842" s="12" t="s">
        <v>929</v>
      </c>
      <c r="J1842" s="17" t="s">
        <v>2800</v>
      </c>
      <c r="K1842" s="18">
        <v>9.0</v>
      </c>
      <c r="L1842" s="20">
        <v>45978.0</v>
      </c>
      <c r="M1842" s="17" t="s">
        <v>28</v>
      </c>
      <c r="N1842" s="17" t="s">
        <v>4304</v>
      </c>
      <c r="O1842" s="17">
        <v>7.6664315E7</v>
      </c>
      <c r="P1842" s="17" t="s">
        <v>4305</v>
      </c>
      <c r="Q1842" s="17" t="s">
        <v>73</v>
      </c>
      <c r="R1842" s="17"/>
      <c r="S1842" s="17" t="s">
        <v>4306</v>
      </c>
      <c r="U1842" s="24"/>
      <c r="V1842" s="24"/>
      <c r="W1842" s="18" t="s">
        <v>915</v>
      </c>
    </row>
    <row r="1843">
      <c r="A1843" s="11"/>
      <c r="B1843" s="12" t="s">
        <v>7</v>
      </c>
      <c r="C1843" s="12" t="s">
        <v>8</v>
      </c>
      <c r="D1843" s="12" t="s">
        <v>15</v>
      </c>
      <c r="E1843" s="12" t="s">
        <v>15</v>
      </c>
      <c r="F1843" s="13" t="s">
        <v>16</v>
      </c>
      <c r="G1843" s="12" t="s">
        <v>68</v>
      </c>
      <c r="H1843" s="12" t="s">
        <v>928</v>
      </c>
      <c r="I1843" s="12" t="s">
        <v>929</v>
      </c>
      <c r="J1843" s="17" t="s">
        <v>2800</v>
      </c>
      <c r="K1843" s="18">
        <v>9.0</v>
      </c>
      <c r="L1843" s="20">
        <v>45978.0</v>
      </c>
      <c r="M1843" s="17" t="s">
        <v>28</v>
      </c>
      <c r="N1843" s="17" t="s">
        <v>4307</v>
      </c>
      <c r="O1843" s="17">
        <v>4.3809111E7</v>
      </c>
      <c r="P1843" s="17" t="s">
        <v>4308</v>
      </c>
      <c r="Q1843" s="17" t="s">
        <v>73</v>
      </c>
      <c r="R1843" s="17"/>
      <c r="S1843" s="17" t="s">
        <v>4309</v>
      </c>
      <c r="U1843" s="24"/>
      <c r="V1843" s="24"/>
      <c r="W1843" s="18" t="s">
        <v>915</v>
      </c>
    </row>
    <row r="1844">
      <c r="A1844" s="11"/>
      <c r="B1844" s="12" t="s">
        <v>7</v>
      </c>
      <c r="C1844" s="12" t="s">
        <v>8</v>
      </c>
      <c r="D1844" s="12" t="s">
        <v>15</v>
      </c>
      <c r="E1844" s="12" t="s">
        <v>15</v>
      </c>
      <c r="F1844" s="13" t="s">
        <v>16</v>
      </c>
      <c r="G1844" s="12" t="s">
        <v>68</v>
      </c>
      <c r="H1844" s="12" t="s">
        <v>928</v>
      </c>
      <c r="I1844" s="12" t="s">
        <v>929</v>
      </c>
      <c r="J1844" s="17" t="s">
        <v>2800</v>
      </c>
      <c r="K1844" s="18">
        <v>9.0</v>
      </c>
      <c r="L1844" s="20">
        <v>45978.0</v>
      </c>
      <c r="M1844" s="17" t="s">
        <v>28</v>
      </c>
      <c r="N1844" s="17" t="s">
        <v>4310</v>
      </c>
      <c r="O1844" s="17">
        <v>7.0115449E7</v>
      </c>
      <c r="P1844" s="17" t="s">
        <v>4311</v>
      </c>
      <c r="Q1844" s="17" t="s">
        <v>112</v>
      </c>
      <c r="R1844" s="17"/>
      <c r="S1844" s="17" t="s">
        <v>4312</v>
      </c>
      <c r="U1844" s="24"/>
      <c r="V1844" s="24"/>
      <c r="W1844" s="18" t="s">
        <v>915</v>
      </c>
    </row>
    <row r="1845">
      <c r="A1845" s="11"/>
      <c r="B1845" s="12" t="s">
        <v>7</v>
      </c>
      <c r="C1845" s="12" t="s">
        <v>8</v>
      </c>
      <c r="D1845" s="12" t="s">
        <v>15</v>
      </c>
      <c r="E1845" s="12" t="s">
        <v>15</v>
      </c>
      <c r="F1845" s="13" t="s">
        <v>16</v>
      </c>
      <c r="G1845" s="12" t="s">
        <v>68</v>
      </c>
      <c r="H1845" s="12" t="s">
        <v>928</v>
      </c>
      <c r="I1845" s="12" t="s">
        <v>929</v>
      </c>
      <c r="J1845" s="17" t="s">
        <v>2800</v>
      </c>
      <c r="K1845" s="18">
        <v>9.0</v>
      </c>
      <c r="L1845" s="20">
        <v>45978.0</v>
      </c>
      <c r="M1845" s="17" t="s">
        <v>28</v>
      </c>
      <c r="N1845" s="17" t="s">
        <v>3540</v>
      </c>
      <c r="O1845" s="17">
        <v>7.166571E7</v>
      </c>
      <c r="P1845" s="17" t="s">
        <v>4313</v>
      </c>
      <c r="Q1845" s="17" t="s">
        <v>112</v>
      </c>
      <c r="R1845" s="17"/>
      <c r="S1845" s="17" t="s">
        <v>4314</v>
      </c>
      <c r="U1845" s="24"/>
      <c r="V1845" s="24"/>
      <c r="W1845" s="18" t="s">
        <v>915</v>
      </c>
    </row>
    <row r="1846">
      <c r="A1846" s="11"/>
      <c r="B1846" s="12" t="s">
        <v>7</v>
      </c>
      <c r="C1846" s="12" t="s">
        <v>8</v>
      </c>
      <c r="D1846" s="12" t="s">
        <v>15</v>
      </c>
      <c r="E1846" s="12" t="s">
        <v>15</v>
      </c>
      <c r="F1846" s="13" t="s">
        <v>16</v>
      </c>
      <c r="G1846" s="12" t="s">
        <v>68</v>
      </c>
      <c r="H1846" s="12" t="s">
        <v>928</v>
      </c>
      <c r="I1846" s="12" t="s">
        <v>929</v>
      </c>
      <c r="J1846" s="17" t="s">
        <v>2800</v>
      </c>
      <c r="K1846" s="18">
        <v>9.0</v>
      </c>
      <c r="L1846" s="20">
        <v>45978.0</v>
      </c>
      <c r="M1846" s="17" t="s">
        <v>28</v>
      </c>
      <c r="N1846" s="17" t="s">
        <v>4039</v>
      </c>
      <c r="O1846" s="17">
        <v>7.6088826E7</v>
      </c>
      <c r="P1846" s="17" t="s">
        <v>4315</v>
      </c>
      <c r="Q1846" s="17" t="s">
        <v>112</v>
      </c>
      <c r="R1846" s="17"/>
      <c r="S1846" s="17" t="s">
        <v>4316</v>
      </c>
      <c r="U1846" s="24"/>
      <c r="V1846" s="24"/>
      <c r="W1846" s="18" t="s">
        <v>915</v>
      </c>
    </row>
    <row r="1847">
      <c r="A1847" s="11"/>
      <c r="B1847" s="12" t="s">
        <v>7</v>
      </c>
      <c r="C1847" s="12" t="s">
        <v>8</v>
      </c>
      <c r="D1847" s="12" t="s">
        <v>15</v>
      </c>
      <c r="E1847" s="12" t="s">
        <v>15</v>
      </c>
      <c r="F1847" s="13" t="s">
        <v>16</v>
      </c>
      <c r="G1847" s="12" t="s">
        <v>68</v>
      </c>
      <c r="H1847" s="12" t="s">
        <v>928</v>
      </c>
      <c r="I1847" s="12" t="s">
        <v>929</v>
      </c>
      <c r="J1847" s="17" t="s">
        <v>2800</v>
      </c>
      <c r="K1847" s="18">
        <v>9.0</v>
      </c>
      <c r="L1847" s="20">
        <v>45978.0</v>
      </c>
      <c r="M1847" s="17" t="s">
        <v>28</v>
      </c>
      <c r="N1847" s="17" t="s">
        <v>4317</v>
      </c>
      <c r="O1847" s="17">
        <v>4.5986634E7</v>
      </c>
      <c r="P1847" s="17" t="s">
        <v>4318</v>
      </c>
      <c r="Q1847" s="17" t="s">
        <v>73</v>
      </c>
      <c r="R1847" s="17"/>
      <c r="S1847" s="17" t="s">
        <v>4319</v>
      </c>
      <c r="U1847" s="24"/>
      <c r="V1847" s="24"/>
      <c r="W1847" s="18" t="s">
        <v>915</v>
      </c>
    </row>
    <row r="1848">
      <c r="A1848" s="11"/>
      <c r="B1848" s="12" t="s">
        <v>7</v>
      </c>
      <c r="C1848" s="12" t="s">
        <v>8</v>
      </c>
      <c r="D1848" s="12" t="s">
        <v>15</v>
      </c>
      <c r="E1848" s="12" t="s">
        <v>15</v>
      </c>
      <c r="F1848" s="13" t="s">
        <v>16</v>
      </c>
      <c r="G1848" s="12" t="s">
        <v>68</v>
      </c>
      <c r="H1848" s="12" t="s">
        <v>928</v>
      </c>
      <c r="I1848" s="12" t="s">
        <v>929</v>
      </c>
      <c r="J1848" s="17" t="s">
        <v>2800</v>
      </c>
      <c r="K1848" s="18">
        <v>9.0</v>
      </c>
      <c r="L1848" s="20">
        <v>45978.0</v>
      </c>
      <c r="M1848" s="17" t="s">
        <v>28</v>
      </c>
      <c r="N1848" s="17" t="s">
        <v>4320</v>
      </c>
      <c r="O1848" s="17">
        <v>7.3591581E7</v>
      </c>
      <c r="P1848" s="17" t="s">
        <v>4321</v>
      </c>
      <c r="Q1848" s="17" t="s">
        <v>112</v>
      </c>
      <c r="R1848" s="17"/>
      <c r="S1848" s="17" t="s">
        <v>4322</v>
      </c>
      <c r="U1848" s="24"/>
      <c r="V1848" s="24"/>
      <c r="W1848" s="18" t="s">
        <v>915</v>
      </c>
    </row>
    <row r="1849">
      <c r="A1849" s="11"/>
      <c r="B1849" s="12" t="s">
        <v>7</v>
      </c>
      <c r="C1849" s="12" t="s">
        <v>8</v>
      </c>
      <c r="D1849" s="12" t="s">
        <v>15</v>
      </c>
      <c r="E1849" s="12" t="s">
        <v>15</v>
      </c>
      <c r="F1849" s="13" t="s">
        <v>16</v>
      </c>
      <c r="G1849" s="12" t="s">
        <v>68</v>
      </c>
      <c r="H1849" s="12" t="s">
        <v>928</v>
      </c>
      <c r="I1849" s="12" t="s">
        <v>929</v>
      </c>
      <c r="J1849" s="17" t="s">
        <v>2800</v>
      </c>
      <c r="K1849" s="18">
        <v>9.0</v>
      </c>
      <c r="L1849" s="20">
        <v>45978.0</v>
      </c>
      <c r="M1849" s="17" t="s">
        <v>28</v>
      </c>
      <c r="N1849" s="17" t="s">
        <v>4323</v>
      </c>
      <c r="O1849" s="17">
        <v>4.7035847E7</v>
      </c>
      <c r="P1849" s="17" t="s">
        <v>4324</v>
      </c>
      <c r="Q1849" s="17" t="s">
        <v>108</v>
      </c>
      <c r="R1849" s="17"/>
      <c r="S1849" s="17" t="s">
        <v>4325</v>
      </c>
      <c r="U1849" s="24"/>
      <c r="V1849" s="24"/>
      <c r="W1849" s="18" t="s">
        <v>915</v>
      </c>
    </row>
    <row r="1850">
      <c r="A1850" s="11"/>
      <c r="B1850" s="12" t="s">
        <v>7</v>
      </c>
      <c r="C1850" s="12" t="s">
        <v>8</v>
      </c>
      <c r="D1850" s="12" t="s">
        <v>15</v>
      </c>
      <c r="E1850" s="12" t="s">
        <v>15</v>
      </c>
      <c r="F1850" s="13" t="s">
        <v>16</v>
      </c>
      <c r="G1850" s="12" t="s">
        <v>68</v>
      </c>
      <c r="H1850" s="12" t="s">
        <v>928</v>
      </c>
      <c r="I1850" s="12" t="s">
        <v>929</v>
      </c>
      <c r="J1850" s="17" t="s">
        <v>2800</v>
      </c>
      <c r="K1850" s="18">
        <v>9.0</v>
      </c>
      <c r="L1850" s="20">
        <v>45978.0</v>
      </c>
      <c r="M1850" s="17" t="s">
        <v>28</v>
      </c>
      <c r="N1850" s="17" t="s">
        <v>4326</v>
      </c>
      <c r="O1850" s="17">
        <v>7.6753561E7</v>
      </c>
      <c r="P1850" s="17" t="s">
        <v>4327</v>
      </c>
      <c r="Q1850" s="17" t="s">
        <v>108</v>
      </c>
      <c r="R1850" s="17"/>
      <c r="S1850" s="17" t="s">
        <v>4328</v>
      </c>
      <c r="U1850" s="24"/>
      <c r="V1850" s="24"/>
      <c r="W1850" s="18" t="s">
        <v>915</v>
      </c>
    </row>
    <row r="1851">
      <c r="A1851" s="11"/>
      <c r="B1851" s="12" t="s">
        <v>7</v>
      </c>
      <c r="C1851" s="12" t="s">
        <v>8</v>
      </c>
      <c r="D1851" s="12" t="s">
        <v>15</v>
      </c>
      <c r="E1851" s="12" t="s">
        <v>15</v>
      </c>
      <c r="F1851" s="13" t="s">
        <v>16</v>
      </c>
      <c r="G1851" s="12" t="s">
        <v>68</v>
      </c>
      <c r="H1851" s="12" t="s">
        <v>928</v>
      </c>
      <c r="I1851" s="12" t="s">
        <v>929</v>
      </c>
      <c r="J1851" s="17" t="s">
        <v>2800</v>
      </c>
      <c r="K1851" s="18">
        <v>9.0</v>
      </c>
      <c r="L1851" s="20">
        <v>45978.0</v>
      </c>
      <c r="M1851" s="17" t="s">
        <v>28</v>
      </c>
      <c r="N1851" s="17" t="s">
        <v>4046</v>
      </c>
      <c r="O1851" s="17">
        <v>3.1928442E7</v>
      </c>
      <c r="P1851" s="17" t="s">
        <v>4329</v>
      </c>
      <c r="Q1851" s="17" t="s">
        <v>73</v>
      </c>
      <c r="R1851" s="17"/>
      <c r="S1851" s="17" t="s">
        <v>4330</v>
      </c>
      <c r="U1851" s="24"/>
      <c r="V1851" s="24"/>
      <c r="W1851" s="18" t="s">
        <v>915</v>
      </c>
    </row>
    <row r="1852">
      <c r="A1852" s="11"/>
      <c r="B1852" s="12" t="s">
        <v>7</v>
      </c>
      <c r="C1852" s="12" t="s">
        <v>8</v>
      </c>
      <c r="D1852" s="12" t="s">
        <v>15</v>
      </c>
      <c r="E1852" s="12" t="s">
        <v>15</v>
      </c>
      <c r="F1852" s="13" t="s">
        <v>16</v>
      </c>
      <c r="G1852" s="12" t="s">
        <v>68</v>
      </c>
      <c r="H1852" s="12" t="s">
        <v>928</v>
      </c>
      <c r="I1852" s="12" t="s">
        <v>929</v>
      </c>
      <c r="J1852" s="17" t="s">
        <v>2800</v>
      </c>
      <c r="K1852" s="18">
        <v>9.0</v>
      </c>
      <c r="L1852" s="20">
        <v>45978.0</v>
      </c>
      <c r="M1852" s="17" t="s">
        <v>28</v>
      </c>
      <c r="N1852" s="17" t="s">
        <v>3807</v>
      </c>
      <c r="O1852" s="17">
        <v>7.0115443E7</v>
      </c>
      <c r="P1852" s="17" t="s">
        <v>4331</v>
      </c>
      <c r="Q1852" s="17" t="s">
        <v>108</v>
      </c>
      <c r="R1852" s="17"/>
      <c r="S1852" s="17" t="s">
        <v>4332</v>
      </c>
      <c r="U1852" s="24"/>
      <c r="V1852" s="24"/>
      <c r="W1852" s="18" t="s">
        <v>915</v>
      </c>
    </row>
    <row r="1853">
      <c r="A1853" s="11"/>
      <c r="B1853" s="12" t="s">
        <v>7</v>
      </c>
      <c r="C1853" s="12" t="s">
        <v>8</v>
      </c>
      <c r="D1853" s="12" t="s">
        <v>15</v>
      </c>
      <c r="E1853" s="12" t="s">
        <v>15</v>
      </c>
      <c r="F1853" s="13" t="s">
        <v>16</v>
      </c>
      <c r="G1853" s="12" t="s">
        <v>68</v>
      </c>
      <c r="H1853" s="12" t="s">
        <v>928</v>
      </c>
      <c r="I1853" s="12" t="s">
        <v>929</v>
      </c>
      <c r="J1853" s="17" t="s">
        <v>2800</v>
      </c>
      <c r="K1853" s="18">
        <v>9.0</v>
      </c>
      <c r="L1853" s="20">
        <v>45978.0</v>
      </c>
      <c r="M1853" s="17" t="s">
        <v>28</v>
      </c>
      <c r="N1853" s="17" t="s">
        <v>3811</v>
      </c>
      <c r="O1853" s="17">
        <v>7.230569E7</v>
      </c>
      <c r="P1853" s="17" t="s">
        <v>4333</v>
      </c>
      <c r="Q1853" s="17" t="s">
        <v>108</v>
      </c>
      <c r="R1853" s="17"/>
      <c r="S1853" s="17" t="s">
        <v>4334</v>
      </c>
      <c r="U1853" s="24"/>
      <c r="V1853" s="24"/>
      <c r="W1853" s="18" t="s">
        <v>915</v>
      </c>
    </row>
    <row r="1854">
      <c r="A1854" s="11"/>
      <c r="B1854" s="12" t="s">
        <v>7</v>
      </c>
      <c r="C1854" s="12" t="s">
        <v>8</v>
      </c>
      <c r="D1854" s="12" t="s">
        <v>15</v>
      </c>
      <c r="E1854" s="12" t="s">
        <v>15</v>
      </c>
      <c r="F1854" s="13" t="s">
        <v>16</v>
      </c>
      <c r="G1854" s="12" t="s">
        <v>68</v>
      </c>
      <c r="H1854" s="12" t="s">
        <v>928</v>
      </c>
      <c r="I1854" s="12" t="s">
        <v>929</v>
      </c>
      <c r="J1854" s="17" t="s">
        <v>2800</v>
      </c>
      <c r="K1854" s="18">
        <v>9.0</v>
      </c>
      <c r="L1854" s="20">
        <v>45978.0</v>
      </c>
      <c r="M1854" s="17" t="s">
        <v>28</v>
      </c>
      <c r="N1854" s="17" t="s">
        <v>3804</v>
      </c>
      <c r="O1854" s="17">
        <v>3.1655185E7</v>
      </c>
      <c r="P1854" s="17" t="s">
        <v>4335</v>
      </c>
      <c r="Q1854" s="17" t="s">
        <v>112</v>
      </c>
      <c r="R1854" s="17"/>
      <c r="S1854" s="17" t="s">
        <v>4336</v>
      </c>
      <c r="U1854" s="24"/>
      <c r="V1854" s="24"/>
      <c r="W1854" s="18" t="s">
        <v>915</v>
      </c>
    </row>
    <row r="1855">
      <c r="A1855" s="11"/>
      <c r="B1855" s="12" t="s">
        <v>7</v>
      </c>
      <c r="C1855" s="12" t="s">
        <v>8</v>
      </c>
      <c r="D1855" s="12" t="s">
        <v>15</v>
      </c>
      <c r="E1855" s="12" t="s">
        <v>15</v>
      </c>
      <c r="F1855" s="13" t="s">
        <v>16</v>
      </c>
      <c r="G1855" s="12" t="s">
        <v>68</v>
      </c>
      <c r="H1855" s="12" t="s">
        <v>928</v>
      </c>
      <c r="I1855" s="12" t="s">
        <v>929</v>
      </c>
      <c r="J1855" s="17" t="s">
        <v>2800</v>
      </c>
      <c r="K1855" s="18">
        <v>9.0</v>
      </c>
      <c r="L1855" s="20">
        <v>45978.0</v>
      </c>
      <c r="M1855" s="17" t="s">
        <v>28</v>
      </c>
      <c r="N1855" s="17" t="s">
        <v>4337</v>
      </c>
      <c r="O1855" s="17">
        <v>4.4663709E7</v>
      </c>
      <c r="P1855" s="17" t="s">
        <v>4338</v>
      </c>
      <c r="Q1855" s="17" t="s">
        <v>108</v>
      </c>
      <c r="R1855" s="17"/>
      <c r="S1855" s="17" t="s">
        <v>4339</v>
      </c>
      <c r="U1855" s="24"/>
      <c r="V1855" s="24"/>
      <c r="W1855" s="18" t="s">
        <v>915</v>
      </c>
    </row>
    <row r="1856">
      <c r="A1856" s="11"/>
      <c r="B1856" s="12" t="s">
        <v>7</v>
      </c>
      <c r="C1856" s="12" t="s">
        <v>8</v>
      </c>
      <c r="D1856" s="12" t="s">
        <v>15</v>
      </c>
      <c r="E1856" s="12" t="s">
        <v>17</v>
      </c>
      <c r="F1856" s="13" t="s">
        <v>18</v>
      </c>
      <c r="G1856" s="12" t="s">
        <v>68</v>
      </c>
      <c r="H1856" s="12" t="s">
        <v>954</v>
      </c>
      <c r="I1856" s="12" t="s">
        <v>955</v>
      </c>
      <c r="J1856" s="17" t="s">
        <v>2687</v>
      </c>
      <c r="K1856" s="18">
        <v>2.0</v>
      </c>
      <c r="L1856" s="20">
        <v>45938.0</v>
      </c>
      <c r="M1856" s="17" t="s">
        <v>23</v>
      </c>
      <c r="N1856" s="17" t="s">
        <v>4201</v>
      </c>
      <c r="O1856" s="17">
        <v>4.5987279E7</v>
      </c>
      <c r="P1856" s="17"/>
      <c r="Q1856" s="17"/>
      <c r="R1856" s="17"/>
      <c r="S1856" s="17"/>
      <c r="U1856" s="24"/>
      <c r="V1856" s="24"/>
      <c r="W1856" s="18" t="s">
        <v>915</v>
      </c>
    </row>
    <row r="1857">
      <c r="A1857" s="11"/>
      <c r="B1857" s="12" t="s">
        <v>7</v>
      </c>
      <c r="C1857" s="12" t="s">
        <v>8</v>
      </c>
      <c r="D1857" s="12" t="s">
        <v>9</v>
      </c>
      <c r="E1857" s="12" t="s">
        <v>10</v>
      </c>
      <c r="F1857" s="13" t="s">
        <v>11</v>
      </c>
      <c r="G1857" s="12" t="s">
        <v>68</v>
      </c>
      <c r="H1857" s="12" t="s">
        <v>911</v>
      </c>
      <c r="I1857" s="12" t="s">
        <v>912</v>
      </c>
      <c r="J1857" s="17" t="s">
        <v>2687</v>
      </c>
      <c r="K1857" s="18">
        <v>2.0</v>
      </c>
      <c r="L1857" s="20">
        <v>45938.0</v>
      </c>
      <c r="M1857" s="17" t="s">
        <v>23</v>
      </c>
      <c r="N1857" s="17" t="s">
        <v>2301</v>
      </c>
      <c r="O1857" s="17">
        <v>4.6444871E7</v>
      </c>
      <c r="P1857" s="17"/>
      <c r="Q1857" s="17"/>
      <c r="R1857" s="17"/>
      <c r="S1857" s="17"/>
      <c r="U1857" s="24"/>
      <c r="V1857" s="24"/>
      <c r="W1857" s="18" t="s">
        <v>915</v>
      </c>
    </row>
    <row r="1858">
      <c r="A1858" s="11"/>
      <c r="B1858" s="12" t="s">
        <v>7</v>
      </c>
      <c r="C1858" s="12" t="s">
        <v>8</v>
      </c>
      <c r="D1858" s="12" t="s">
        <v>9</v>
      </c>
      <c r="E1858" s="12" t="s">
        <v>10</v>
      </c>
      <c r="F1858" s="13" t="s">
        <v>11</v>
      </c>
      <c r="G1858" s="12" t="s">
        <v>68</v>
      </c>
      <c r="H1858" s="12" t="s">
        <v>911</v>
      </c>
      <c r="I1858" s="12" t="s">
        <v>912</v>
      </c>
      <c r="J1858" s="17" t="s">
        <v>2687</v>
      </c>
      <c r="K1858" s="18">
        <v>2.0</v>
      </c>
      <c r="L1858" s="20">
        <v>45938.0</v>
      </c>
      <c r="M1858" s="17" t="s">
        <v>23</v>
      </c>
      <c r="N1858" s="17" t="s">
        <v>2298</v>
      </c>
      <c r="O1858" s="17">
        <v>4.5010912E7</v>
      </c>
      <c r="P1858" s="17"/>
      <c r="Q1858" s="17"/>
      <c r="R1858" s="17"/>
      <c r="S1858" s="17"/>
      <c r="U1858" s="24"/>
      <c r="V1858" s="24"/>
      <c r="W1858" s="18" t="s">
        <v>915</v>
      </c>
    </row>
    <row r="1859">
      <c r="A1859" s="11"/>
      <c r="B1859" s="12" t="s">
        <v>7</v>
      </c>
      <c r="C1859" s="12" t="s">
        <v>8</v>
      </c>
      <c r="D1859" s="12" t="s">
        <v>15</v>
      </c>
      <c r="E1859" s="12" t="s">
        <v>15</v>
      </c>
      <c r="F1859" s="13" t="s">
        <v>16</v>
      </c>
      <c r="G1859" s="12" t="s">
        <v>68</v>
      </c>
      <c r="H1859" s="12" t="s">
        <v>928</v>
      </c>
      <c r="I1859" s="12" t="s">
        <v>929</v>
      </c>
      <c r="J1859" s="17" t="s">
        <v>2687</v>
      </c>
      <c r="K1859" s="18">
        <v>2.0</v>
      </c>
      <c r="L1859" s="20">
        <v>45938.0</v>
      </c>
      <c r="M1859" s="17" t="s">
        <v>23</v>
      </c>
      <c r="N1859" s="17" t="s">
        <v>4296</v>
      </c>
      <c r="O1859" s="17">
        <v>4.4662441E7</v>
      </c>
      <c r="P1859" s="17"/>
      <c r="Q1859" s="17"/>
      <c r="R1859" s="17"/>
      <c r="S1859" s="17"/>
      <c r="U1859" s="24"/>
      <c r="V1859" s="24"/>
      <c r="W1859" s="18" t="s">
        <v>915</v>
      </c>
    </row>
    <row r="1860">
      <c r="A1860" s="11"/>
      <c r="B1860" s="12" t="s">
        <v>7</v>
      </c>
      <c r="C1860" s="12" t="s">
        <v>8</v>
      </c>
      <c r="D1860" s="12" t="s">
        <v>15</v>
      </c>
      <c r="E1860" s="12" t="s">
        <v>15</v>
      </c>
      <c r="F1860" s="13" t="s">
        <v>16</v>
      </c>
      <c r="G1860" s="12" t="s">
        <v>68</v>
      </c>
      <c r="H1860" s="12" t="s">
        <v>928</v>
      </c>
      <c r="I1860" s="12" t="s">
        <v>929</v>
      </c>
      <c r="J1860" s="17" t="s">
        <v>2687</v>
      </c>
      <c r="K1860" s="18">
        <v>2.0</v>
      </c>
      <c r="L1860" s="20">
        <v>45938.0</v>
      </c>
      <c r="M1860" s="17" t="s">
        <v>23</v>
      </c>
      <c r="N1860" s="17" t="s">
        <v>3712</v>
      </c>
      <c r="O1860" s="17">
        <v>7.3302101E7</v>
      </c>
      <c r="P1860" s="17"/>
      <c r="Q1860" s="17"/>
      <c r="R1860" s="17"/>
      <c r="S1860" s="17"/>
      <c r="U1860" s="24"/>
      <c r="V1860" s="24"/>
      <c r="W1860" s="18" t="s">
        <v>915</v>
      </c>
    </row>
    <row r="1861">
      <c r="A1861" s="11"/>
      <c r="B1861" s="12" t="s">
        <v>7</v>
      </c>
      <c r="C1861" s="12" t="s">
        <v>8</v>
      </c>
      <c r="D1861" s="12" t="s">
        <v>15</v>
      </c>
      <c r="E1861" s="12" t="s">
        <v>15</v>
      </c>
      <c r="F1861" s="13" t="s">
        <v>16</v>
      </c>
      <c r="G1861" s="12" t="s">
        <v>68</v>
      </c>
      <c r="H1861" s="12" t="s">
        <v>928</v>
      </c>
      <c r="I1861" s="12" t="s">
        <v>929</v>
      </c>
      <c r="J1861" s="17" t="s">
        <v>2687</v>
      </c>
      <c r="K1861" s="18">
        <v>2.0</v>
      </c>
      <c r="L1861" s="20">
        <v>45938.0</v>
      </c>
      <c r="M1861" s="17" t="s">
        <v>23</v>
      </c>
      <c r="N1861" s="17" t="s">
        <v>4340</v>
      </c>
      <c r="O1861" s="17">
        <v>3.1928376E7</v>
      </c>
      <c r="P1861" s="17"/>
      <c r="Q1861" s="17"/>
      <c r="R1861" s="17"/>
      <c r="S1861" s="17"/>
      <c r="U1861" s="24"/>
      <c r="V1861" s="24"/>
      <c r="W1861" s="18" t="s">
        <v>915</v>
      </c>
    </row>
    <row r="1862">
      <c r="A1862" s="11"/>
      <c r="B1862" s="12" t="s">
        <v>7</v>
      </c>
      <c r="C1862" s="12" t="s">
        <v>8</v>
      </c>
      <c r="D1862" s="12" t="s">
        <v>15</v>
      </c>
      <c r="E1862" s="12" t="s">
        <v>15</v>
      </c>
      <c r="F1862" s="13" t="s">
        <v>16</v>
      </c>
      <c r="G1862" s="12" t="s">
        <v>68</v>
      </c>
      <c r="H1862" s="12" t="s">
        <v>928</v>
      </c>
      <c r="I1862" s="12" t="s">
        <v>929</v>
      </c>
      <c r="J1862" s="17" t="s">
        <v>2687</v>
      </c>
      <c r="K1862" s="18">
        <v>2.0</v>
      </c>
      <c r="L1862" s="20">
        <v>45938.0</v>
      </c>
      <c r="M1862" s="17" t="s">
        <v>23</v>
      </c>
      <c r="N1862" s="17" t="s">
        <v>4297</v>
      </c>
      <c r="O1862" s="17">
        <v>7.2029599E7</v>
      </c>
      <c r="P1862" s="17"/>
      <c r="Q1862" s="17"/>
      <c r="R1862" s="17"/>
      <c r="S1862" s="17"/>
      <c r="U1862" s="24"/>
      <c r="V1862" s="24"/>
      <c r="W1862" s="18" t="s">
        <v>915</v>
      </c>
    </row>
    <row r="1863">
      <c r="A1863" s="11"/>
      <c r="B1863" s="12" t="s">
        <v>7</v>
      </c>
      <c r="C1863" s="12" t="s">
        <v>8</v>
      </c>
      <c r="D1863" s="12" t="s">
        <v>15</v>
      </c>
      <c r="E1863" s="12" t="s">
        <v>21</v>
      </c>
      <c r="F1863" s="13" t="s">
        <v>19</v>
      </c>
      <c r="G1863" s="12" t="s">
        <v>68</v>
      </c>
      <c r="H1863" s="12" t="s">
        <v>968</v>
      </c>
      <c r="I1863" s="12" t="s">
        <v>969</v>
      </c>
      <c r="J1863" s="17" t="s">
        <v>2687</v>
      </c>
      <c r="K1863" s="18">
        <v>2.0</v>
      </c>
      <c r="L1863" s="20">
        <v>45938.0</v>
      </c>
      <c r="M1863" s="17" t="s">
        <v>23</v>
      </c>
      <c r="N1863" s="17" t="s">
        <v>4341</v>
      </c>
      <c r="O1863" s="17">
        <v>4.0148783E7</v>
      </c>
      <c r="P1863" s="17"/>
      <c r="Q1863" s="17"/>
      <c r="R1863" s="17"/>
      <c r="S1863" s="17"/>
      <c r="U1863" s="24"/>
      <c r="V1863" s="24"/>
      <c r="W1863" s="18" t="s">
        <v>915</v>
      </c>
    </row>
    <row r="1864">
      <c r="A1864" s="11"/>
      <c r="B1864" s="12" t="s">
        <v>7</v>
      </c>
      <c r="C1864" s="12" t="s">
        <v>8</v>
      </c>
      <c r="D1864" s="12" t="s">
        <v>15</v>
      </c>
      <c r="E1864" s="12" t="s">
        <v>21</v>
      </c>
      <c r="F1864" s="13" t="s">
        <v>19</v>
      </c>
      <c r="G1864" s="12" t="s">
        <v>68</v>
      </c>
      <c r="H1864" s="12" t="s">
        <v>968</v>
      </c>
      <c r="I1864" s="12" t="s">
        <v>969</v>
      </c>
      <c r="J1864" s="17" t="s">
        <v>2687</v>
      </c>
      <c r="K1864" s="18">
        <v>2.0</v>
      </c>
      <c r="L1864" s="20">
        <v>45938.0</v>
      </c>
      <c r="M1864" s="17" t="s">
        <v>23</v>
      </c>
      <c r="N1864" s="17" t="s">
        <v>2282</v>
      </c>
      <c r="O1864" s="17">
        <v>7.1092345E7</v>
      </c>
      <c r="P1864" s="17"/>
      <c r="Q1864" s="17"/>
      <c r="R1864" s="17"/>
      <c r="S1864" s="17"/>
      <c r="U1864" s="24"/>
      <c r="V1864" s="24"/>
      <c r="W1864" s="18" t="s">
        <v>915</v>
      </c>
    </row>
    <row r="1865">
      <c r="A1865" s="11"/>
      <c r="B1865" s="12" t="s">
        <v>7</v>
      </c>
      <c r="C1865" s="12" t="s">
        <v>8</v>
      </c>
      <c r="D1865" s="12" t="s">
        <v>15</v>
      </c>
      <c r="E1865" s="12" t="s">
        <v>21</v>
      </c>
      <c r="F1865" s="13" t="s">
        <v>19</v>
      </c>
      <c r="G1865" s="12" t="s">
        <v>68</v>
      </c>
      <c r="H1865" s="12" t="s">
        <v>968</v>
      </c>
      <c r="I1865" s="12" t="s">
        <v>969</v>
      </c>
      <c r="J1865" s="17" t="s">
        <v>2687</v>
      </c>
      <c r="K1865" s="18">
        <v>2.0</v>
      </c>
      <c r="L1865" s="20">
        <v>45938.0</v>
      </c>
      <c r="M1865" s="17" t="s">
        <v>23</v>
      </c>
      <c r="N1865" s="17" t="s">
        <v>3670</v>
      </c>
      <c r="O1865" s="17">
        <v>7.1652366E7</v>
      </c>
      <c r="P1865" s="17"/>
      <c r="Q1865" s="17"/>
      <c r="R1865" s="17"/>
      <c r="S1865" s="17"/>
      <c r="U1865" s="24"/>
      <c r="V1865" s="24"/>
      <c r="W1865" s="18" t="s">
        <v>915</v>
      </c>
    </row>
    <row r="1866">
      <c r="A1866" s="11"/>
      <c r="B1866" s="12" t="s">
        <v>7</v>
      </c>
      <c r="C1866" s="12" t="s">
        <v>8</v>
      </c>
      <c r="D1866" s="12" t="s">
        <v>15</v>
      </c>
      <c r="E1866" s="12" t="s">
        <v>17</v>
      </c>
      <c r="F1866" s="13" t="s">
        <v>18</v>
      </c>
      <c r="G1866" s="12" t="s">
        <v>68</v>
      </c>
      <c r="H1866" s="12" t="s">
        <v>954</v>
      </c>
      <c r="I1866" s="12" t="s">
        <v>955</v>
      </c>
      <c r="J1866" s="17" t="s">
        <v>2687</v>
      </c>
      <c r="K1866" s="18">
        <v>3.0</v>
      </c>
      <c r="L1866" s="20">
        <v>45974.0</v>
      </c>
      <c r="M1866" s="17" t="s">
        <v>23</v>
      </c>
      <c r="N1866" s="17" t="s">
        <v>4201</v>
      </c>
      <c r="O1866" s="17">
        <v>4.5987279E7</v>
      </c>
      <c r="P1866" s="17"/>
      <c r="Q1866" s="17"/>
      <c r="R1866" s="17"/>
      <c r="S1866" s="17"/>
      <c r="U1866" s="24"/>
      <c r="V1866" s="24"/>
      <c r="W1866" s="18" t="s">
        <v>915</v>
      </c>
    </row>
    <row r="1867">
      <c r="A1867" s="11"/>
      <c r="B1867" s="12" t="s">
        <v>7</v>
      </c>
      <c r="C1867" s="12" t="s">
        <v>8</v>
      </c>
      <c r="D1867" s="12" t="s">
        <v>9</v>
      </c>
      <c r="E1867" s="12" t="s">
        <v>10</v>
      </c>
      <c r="F1867" s="13" t="s">
        <v>11</v>
      </c>
      <c r="G1867" s="12" t="s">
        <v>68</v>
      </c>
      <c r="H1867" s="12" t="s">
        <v>911</v>
      </c>
      <c r="I1867" s="12" t="s">
        <v>912</v>
      </c>
      <c r="J1867" s="17" t="s">
        <v>2687</v>
      </c>
      <c r="K1867" s="18">
        <v>3.0</v>
      </c>
      <c r="L1867" s="20">
        <v>45974.0</v>
      </c>
      <c r="M1867" s="17" t="s">
        <v>23</v>
      </c>
      <c r="N1867" s="17" t="s">
        <v>2301</v>
      </c>
      <c r="O1867" s="17">
        <v>4.6444871E7</v>
      </c>
      <c r="P1867" s="17"/>
      <c r="Q1867" s="17"/>
      <c r="R1867" s="17"/>
      <c r="S1867" s="17"/>
      <c r="U1867" s="24"/>
      <c r="V1867" s="24"/>
      <c r="W1867" s="18" t="s">
        <v>915</v>
      </c>
    </row>
    <row r="1868">
      <c r="A1868" s="11"/>
      <c r="B1868" s="12" t="s">
        <v>7</v>
      </c>
      <c r="C1868" s="12" t="s">
        <v>8</v>
      </c>
      <c r="D1868" s="12" t="s">
        <v>9</v>
      </c>
      <c r="E1868" s="12" t="s">
        <v>10</v>
      </c>
      <c r="F1868" s="13" t="s">
        <v>11</v>
      </c>
      <c r="G1868" s="12" t="s">
        <v>68</v>
      </c>
      <c r="H1868" s="12" t="s">
        <v>911</v>
      </c>
      <c r="I1868" s="12" t="s">
        <v>912</v>
      </c>
      <c r="J1868" s="17" t="s">
        <v>2687</v>
      </c>
      <c r="K1868" s="18">
        <v>3.0</v>
      </c>
      <c r="L1868" s="20">
        <v>45974.0</v>
      </c>
      <c r="M1868" s="17" t="s">
        <v>23</v>
      </c>
      <c r="N1868" s="17" t="s">
        <v>2298</v>
      </c>
      <c r="O1868" s="17">
        <v>4.5010912E7</v>
      </c>
      <c r="P1868" s="17"/>
      <c r="Q1868" s="17"/>
      <c r="R1868" s="17"/>
      <c r="S1868" s="17"/>
      <c r="U1868" s="24"/>
      <c r="V1868" s="24"/>
      <c r="W1868" s="18" t="s">
        <v>915</v>
      </c>
    </row>
    <row r="1869">
      <c r="A1869" s="11"/>
      <c r="B1869" s="12" t="s">
        <v>7</v>
      </c>
      <c r="C1869" s="12" t="s">
        <v>8</v>
      </c>
      <c r="D1869" s="12" t="s">
        <v>15</v>
      </c>
      <c r="E1869" s="12" t="s">
        <v>15</v>
      </c>
      <c r="F1869" s="13" t="s">
        <v>16</v>
      </c>
      <c r="G1869" s="12" t="s">
        <v>68</v>
      </c>
      <c r="H1869" s="12" t="s">
        <v>928</v>
      </c>
      <c r="I1869" s="12" t="s">
        <v>929</v>
      </c>
      <c r="J1869" s="17" t="s">
        <v>2687</v>
      </c>
      <c r="K1869" s="18">
        <v>3.0</v>
      </c>
      <c r="L1869" s="20">
        <v>45974.0</v>
      </c>
      <c r="M1869" s="17" t="s">
        <v>23</v>
      </c>
      <c r="N1869" s="17" t="s">
        <v>4296</v>
      </c>
      <c r="O1869" s="17">
        <v>4.4662441E7</v>
      </c>
      <c r="P1869" s="17"/>
      <c r="Q1869" s="17"/>
      <c r="R1869" s="17"/>
      <c r="S1869" s="17"/>
      <c r="U1869" s="24"/>
      <c r="V1869" s="24"/>
      <c r="W1869" s="18" t="s">
        <v>915</v>
      </c>
    </row>
    <row r="1870">
      <c r="A1870" s="11"/>
      <c r="B1870" s="12" t="s">
        <v>7</v>
      </c>
      <c r="C1870" s="12" t="s">
        <v>8</v>
      </c>
      <c r="D1870" s="12" t="s">
        <v>15</v>
      </c>
      <c r="E1870" s="12" t="s">
        <v>15</v>
      </c>
      <c r="F1870" s="13" t="s">
        <v>16</v>
      </c>
      <c r="G1870" s="12" t="s">
        <v>68</v>
      </c>
      <c r="H1870" s="12" t="s">
        <v>928</v>
      </c>
      <c r="I1870" s="12" t="s">
        <v>929</v>
      </c>
      <c r="J1870" s="17" t="s">
        <v>2687</v>
      </c>
      <c r="K1870" s="18">
        <v>3.0</v>
      </c>
      <c r="L1870" s="20">
        <v>45974.0</v>
      </c>
      <c r="M1870" s="17" t="s">
        <v>23</v>
      </c>
      <c r="N1870" s="17" t="s">
        <v>3712</v>
      </c>
      <c r="O1870" s="17">
        <v>7.3302101E7</v>
      </c>
      <c r="P1870" s="17"/>
      <c r="Q1870" s="17"/>
      <c r="R1870" s="17"/>
      <c r="S1870" s="17"/>
      <c r="U1870" s="24"/>
      <c r="V1870" s="24"/>
      <c r="W1870" s="18" t="s">
        <v>915</v>
      </c>
    </row>
    <row r="1871">
      <c r="A1871" s="11"/>
      <c r="B1871" s="12" t="s">
        <v>7</v>
      </c>
      <c r="C1871" s="12" t="s">
        <v>8</v>
      </c>
      <c r="D1871" s="12" t="s">
        <v>15</v>
      </c>
      <c r="E1871" s="12" t="s">
        <v>15</v>
      </c>
      <c r="F1871" s="13" t="s">
        <v>16</v>
      </c>
      <c r="G1871" s="12" t="s">
        <v>68</v>
      </c>
      <c r="H1871" s="12" t="s">
        <v>928</v>
      </c>
      <c r="I1871" s="12" t="s">
        <v>929</v>
      </c>
      <c r="J1871" s="17" t="s">
        <v>2687</v>
      </c>
      <c r="K1871" s="18">
        <v>3.0</v>
      </c>
      <c r="L1871" s="20">
        <v>45974.0</v>
      </c>
      <c r="M1871" s="17" t="s">
        <v>23</v>
      </c>
      <c r="N1871" s="17" t="s">
        <v>4297</v>
      </c>
      <c r="O1871" s="17">
        <v>7.2029599E7</v>
      </c>
      <c r="P1871" s="17"/>
      <c r="Q1871" s="17"/>
      <c r="R1871" s="17"/>
      <c r="S1871" s="17"/>
      <c r="U1871" s="24"/>
      <c r="V1871" s="24"/>
      <c r="W1871" s="18" t="s">
        <v>915</v>
      </c>
    </row>
    <row r="1872">
      <c r="A1872" s="11"/>
      <c r="B1872" s="12" t="s">
        <v>7</v>
      </c>
      <c r="C1872" s="12" t="s">
        <v>8</v>
      </c>
      <c r="D1872" s="12" t="s">
        <v>15</v>
      </c>
      <c r="E1872" s="12" t="s">
        <v>21</v>
      </c>
      <c r="F1872" s="13" t="s">
        <v>19</v>
      </c>
      <c r="G1872" s="12" t="s">
        <v>68</v>
      </c>
      <c r="H1872" s="12" t="s">
        <v>968</v>
      </c>
      <c r="I1872" s="12" t="s">
        <v>969</v>
      </c>
      <c r="J1872" s="17" t="s">
        <v>2687</v>
      </c>
      <c r="K1872" s="18">
        <v>3.0</v>
      </c>
      <c r="L1872" s="20">
        <v>45974.0</v>
      </c>
      <c r="M1872" s="17" t="s">
        <v>23</v>
      </c>
      <c r="N1872" s="17" t="s">
        <v>4341</v>
      </c>
      <c r="O1872" s="17">
        <v>4.0148783E7</v>
      </c>
      <c r="P1872" s="17"/>
      <c r="Q1872" s="17"/>
      <c r="R1872" s="17"/>
      <c r="S1872" s="17"/>
      <c r="U1872" s="24"/>
      <c r="V1872" s="24"/>
      <c r="W1872" s="18" t="s">
        <v>915</v>
      </c>
    </row>
    <row r="1873">
      <c r="A1873" s="11"/>
      <c r="B1873" s="12" t="s">
        <v>7</v>
      </c>
      <c r="C1873" s="12" t="s">
        <v>8</v>
      </c>
      <c r="D1873" s="12" t="s">
        <v>15</v>
      </c>
      <c r="E1873" s="12" t="s">
        <v>21</v>
      </c>
      <c r="F1873" s="13" t="s">
        <v>19</v>
      </c>
      <c r="G1873" s="12" t="s">
        <v>68</v>
      </c>
      <c r="H1873" s="12" t="s">
        <v>968</v>
      </c>
      <c r="I1873" s="12" t="s">
        <v>969</v>
      </c>
      <c r="J1873" s="17" t="s">
        <v>2687</v>
      </c>
      <c r="K1873" s="18">
        <v>3.0</v>
      </c>
      <c r="L1873" s="20">
        <v>45974.0</v>
      </c>
      <c r="M1873" s="17" t="s">
        <v>23</v>
      </c>
      <c r="N1873" s="17" t="s">
        <v>2282</v>
      </c>
      <c r="O1873" s="17">
        <v>7.1092345E7</v>
      </c>
      <c r="P1873" s="17"/>
      <c r="Q1873" s="17"/>
      <c r="R1873" s="17"/>
      <c r="S1873" s="17"/>
      <c r="U1873" s="24"/>
      <c r="V1873" s="24"/>
      <c r="W1873" s="18" t="s">
        <v>915</v>
      </c>
    </row>
    <row r="1874">
      <c r="A1874" s="11"/>
      <c r="B1874" s="12" t="s">
        <v>7</v>
      </c>
      <c r="C1874" s="12" t="s">
        <v>8</v>
      </c>
      <c r="D1874" s="12" t="s">
        <v>15</v>
      </c>
      <c r="E1874" s="12" t="s">
        <v>21</v>
      </c>
      <c r="F1874" s="13" t="s">
        <v>19</v>
      </c>
      <c r="G1874" s="12" t="s">
        <v>68</v>
      </c>
      <c r="H1874" s="12" t="s">
        <v>968</v>
      </c>
      <c r="I1874" s="12" t="s">
        <v>969</v>
      </c>
      <c r="J1874" s="17" t="s">
        <v>2687</v>
      </c>
      <c r="K1874" s="18">
        <v>3.0</v>
      </c>
      <c r="L1874" s="20">
        <v>45974.0</v>
      </c>
      <c r="M1874" s="17" t="s">
        <v>23</v>
      </c>
      <c r="N1874" s="17" t="s">
        <v>3670</v>
      </c>
      <c r="O1874" s="17">
        <v>7.1652366E7</v>
      </c>
      <c r="P1874" s="17"/>
      <c r="Q1874" s="17"/>
      <c r="R1874" s="17"/>
      <c r="S1874" s="17"/>
      <c r="U1874" s="24"/>
      <c r="V1874" s="24"/>
      <c r="W1874" s="18" t="s">
        <v>915</v>
      </c>
    </row>
    <row r="1875">
      <c r="A1875" s="11"/>
      <c r="B1875" s="12" t="s">
        <v>43</v>
      </c>
      <c r="C1875" s="12" t="s">
        <v>65</v>
      </c>
      <c r="D1875" s="12" t="s">
        <v>321</v>
      </c>
      <c r="E1875" s="12" t="s">
        <v>321</v>
      </c>
      <c r="F1875" s="13" t="s">
        <v>322</v>
      </c>
      <c r="G1875" s="12" t="s">
        <v>68</v>
      </c>
      <c r="H1875" s="12" t="s">
        <v>323</v>
      </c>
      <c r="I1875" s="12" t="s">
        <v>324</v>
      </c>
      <c r="J1875" s="17" t="s">
        <v>2796</v>
      </c>
      <c r="K1875" s="18" t="s">
        <v>2797</v>
      </c>
      <c r="L1875" s="20">
        <v>45973.0</v>
      </c>
      <c r="M1875" s="17" t="s">
        <v>28</v>
      </c>
      <c r="N1875" s="17" t="s">
        <v>4342</v>
      </c>
      <c r="P1875" s="17" t="s">
        <v>4343</v>
      </c>
      <c r="Q1875" s="17" t="s">
        <v>108</v>
      </c>
      <c r="R1875" s="17"/>
      <c r="S1875" s="17" t="s">
        <v>4344</v>
      </c>
      <c r="U1875" s="24"/>
      <c r="V1875" s="24"/>
      <c r="W1875" s="18" t="s">
        <v>76</v>
      </c>
    </row>
    <row r="1876">
      <c r="A1876" s="11"/>
      <c r="B1876" s="12" t="s">
        <v>43</v>
      </c>
      <c r="C1876" s="12" t="s">
        <v>65</v>
      </c>
      <c r="D1876" s="12" t="s">
        <v>321</v>
      </c>
      <c r="E1876" s="12" t="s">
        <v>321</v>
      </c>
      <c r="F1876" s="13" t="s">
        <v>322</v>
      </c>
      <c r="G1876" s="12" t="s">
        <v>68</v>
      </c>
      <c r="H1876" s="12" t="s">
        <v>323</v>
      </c>
      <c r="I1876" s="12" t="s">
        <v>324</v>
      </c>
      <c r="J1876" s="17" t="s">
        <v>2796</v>
      </c>
      <c r="K1876" s="18" t="s">
        <v>2797</v>
      </c>
      <c r="L1876" s="20">
        <v>45973.0</v>
      </c>
      <c r="M1876" s="17" t="s">
        <v>28</v>
      </c>
      <c r="N1876" s="17" t="s">
        <v>4345</v>
      </c>
      <c r="P1876" s="17" t="s">
        <v>4346</v>
      </c>
      <c r="Q1876" s="17" t="s">
        <v>112</v>
      </c>
      <c r="R1876" s="17"/>
      <c r="S1876" s="17" t="s">
        <v>4347</v>
      </c>
      <c r="U1876" s="24"/>
      <c r="V1876" s="24"/>
      <c r="W1876" s="18" t="s">
        <v>76</v>
      </c>
    </row>
    <row r="1877">
      <c r="A1877" s="11"/>
      <c r="B1877" s="12" t="s">
        <v>43</v>
      </c>
      <c r="C1877" s="12" t="s">
        <v>65</v>
      </c>
      <c r="D1877" s="12" t="s">
        <v>321</v>
      </c>
      <c r="E1877" s="12" t="s">
        <v>321</v>
      </c>
      <c r="F1877" s="13" t="s">
        <v>322</v>
      </c>
      <c r="G1877" s="12" t="s">
        <v>68</v>
      </c>
      <c r="H1877" s="12" t="s">
        <v>323</v>
      </c>
      <c r="I1877" s="12" t="s">
        <v>324</v>
      </c>
      <c r="J1877" s="17" t="s">
        <v>2796</v>
      </c>
      <c r="K1877" s="18" t="s">
        <v>2797</v>
      </c>
      <c r="L1877" s="20">
        <v>45973.0</v>
      </c>
      <c r="M1877" s="17" t="s">
        <v>28</v>
      </c>
      <c r="N1877" s="17" t="s">
        <v>4348</v>
      </c>
      <c r="P1877" s="17" t="s">
        <v>4349</v>
      </c>
      <c r="Q1877" s="17" t="s">
        <v>108</v>
      </c>
      <c r="R1877" s="17"/>
      <c r="S1877" s="17" t="s">
        <v>4350</v>
      </c>
      <c r="U1877" s="24"/>
      <c r="V1877" s="24"/>
      <c r="W1877" s="18" t="s">
        <v>76</v>
      </c>
    </row>
    <row r="1878">
      <c r="A1878" s="11"/>
      <c r="B1878" s="23"/>
      <c r="C1878" s="23"/>
      <c r="D1878" s="23"/>
      <c r="E1878" s="23"/>
      <c r="F1878" s="13" t="s">
        <v>322</v>
      </c>
      <c r="G1878" s="23"/>
      <c r="H1878" s="23"/>
      <c r="I1878" s="23"/>
      <c r="J1878" s="17" t="s">
        <v>2796</v>
      </c>
      <c r="K1878" s="18" t="s">
        <v>4040</v>
      </c>
      <c r="L1878" s="20">
        <v>45973.0</v>
      </c>
      <c r="M1878" s="17" t="s">
        <v>28</v>
      </c>
      <c r="N1878" s="17" t="s">
        <v>4351</v>
      </c>
      <c r="P1878" s="17" t="s">
        <v>4352</v>
      </c>
      <c r="Q1878" s="17" t="s">
        <v>108</v>
      </c>
      <c r="R1878" s="17"/>
      <c r="S1878" s="17" t="s">
        <v>4353</v>
      </c>
      <c r="U1878" s="24"/>
      <c r="V1878" s="24"/>
      <c r="W1878" s="18" t="s">
        <v>76</v>
      </c>
    </row>
    <row r="1879">
      <c r="A1879" s="11"/>
      <c r="B1879" s="12" t="s">
        <v>7</v>
      </c>
      <c r="C1879" s="12" t="s">
        <v>37</v>
      </c>
      <c r="D1879" s="12" t="s">
        <v>38</v>
      </c>
      <c r="E1879" s="12" t="s">
        <v>41</v>
      </c>
      <c r="F1879" s="13" t="s">
        <v>39</v>
      </c>
      <c r="G1879" s="12" t="s">
        <v>68</v>
      </c>
      <c r="H1879" s="12" t="s">
        <v>902</v>
      </c>
      <c r="I1879" s="12" t="s">
        <v>903</v>
      </c>
      <c r="J1879" s="17" t="s">
        <v>2800</v>
      </c>
      <c r="K1879" s="18" t="s">
        <v>2801</v>
      </c>
      <c r="L1879" s="20">
        <v>45972.0</v>
      </c>
      <c r="M1879" s="17" t="s">
        <v>28</v>
      </c>
      <c r="N1879" s="17" t="s">
        <v>2209</v>
      </c>
      <c r="O1879" s="17">
        <v>4.3484532E7</v>
      </c>
      <c r="P1879" s="17" t="s">
        <v>2210</v>
      </c>
      <c r="Q1879" s="17" t="s">
        <v>112</v>
      </c>
      <c r="R1879" s="17" t="s">
        <v>113</v>
      </c>
      <c r="S1879" s="17" t="s">
        <v>2211</v>
      </c>
      <c r="U1879" s="24"/>
      <c r="V1879" s="24"/>
      <c r="W1879" s="18" t="s">
        <v>588</v>
      </c>
    </row>
    <row r="1880">
      <c r="A1880" s="11"/>
      <c r="B1880" s="12" t="s">
        <v>7</v>
      </c>
      <c r="C1880" s="12" t="s">
        <v>37</v>
      </c>
      <c r="D1880" s="12" t="s">
        <v>38</v>
      </c>
      <c r="E1880" s="12" t="s">
        <v>41</v>
      </c>
      <c r="F1880" s="13" t="s">
        <v>39</v>
      </c>
      <c r="G1880" s="12" t="s">
        <v>68</v>
      </c>
      <c r="H1880" s="12" t="s">
        <v>902</v>
      </c>
      <c r="I1880" s="12" t="s">
        <v>903</v>
      </c>
      <c r="J1880" s="17" t="s">
        <v>2800</v>
      </c>
      <c r="K1880" s="18" t="s">
        <v>2801</v>
      </c>
      <c r="L1880" s="20">
        <v>45972.0</v>
      </c>
      <c r="M1880" s="17" t="s">
        <v>28</v>
      </c>
      <c r="N1880" s="17" t="s">
        <v>2212</v>
      </c>
      <c r="O1880" s="17">
        <v>4.7562942E7</v>
      </c>
      <c r="P1880" s="17" t="s">
        <v>2213</v>
      </c>
      <c r="Q1880" s="17" t="s">
        <v>112</v>
      </c>
      <c r="R1880" s="17" t="s">
        <v>113</v>
      </c>
      <c r="S1880" s="17" t="s">
        <v>2214</v>
      </c>
      <c r="U1880" s="24"/>
      <c r="V1880" s="24"/>
      <c r="W1880" s="18" t="s">
        <v>588</v>
      </c>
    </row>
    <row r="1881">
      <c r="A1881" s="11"/>
      <c r="B1881" s="12" t="s">
        <v>7</v>
      </c>
      <c r="C1881" s="12" t="s">
        <v>37</v>
      </c>
      <c r="D1881" s="12" t="s">
        <v>38</v>
      </c>
      <c r="E1881" s="12" t="s">
        <v>41</v>
      </c>
      <c r="F1881" s="13" t="s">
        <v>39</v>
      </c>
      <c r="G1881" s="12" t="s">
        <v>68</v>
      </c>
      <c r="H1881" s="12" t="s">
        <v>902</v>
      </c>
      <c r="I1881" s="12" t="s">
        <v>903</v>
      </c>
      <c r="J1881" s="17" t="s">
        <v>2800</v>
      </c>
      <c r="K1881" s="18" t="s">
        <v>2801</v>
      </c>
      <c r="L1881" s="20">
        <v>45972.0</v>
      </c>
      <c r="M1881" s="17" t="s">
        <v>23</v>
      </c>
      <c r="N1881" s="17" t="s">
        <v>2218</v>
      </c>
      <c r="O1881" s="17">
        <v>3.2647526E7</v>
      </c>
      <c r="P1881" s="17"/>
      <c r="Q1881" s="17" t="s">
        <v>108</v>
      </c>
      <c r="R1881" s="17" t="s">
        <v>109</v>
      </c>
      <c r="S1881" s="17" t="s">
        <v>2198</v>
      </c>
      <c r="U1881" s="24"/>
      <c r="V1881" s="24"/>
      <c r="W1881" s="18" t="s">
        <v>588</v>
      </c>
    </row>
    <row r="1882">
      <c r="A1882" s="11"/>
      <c r="B1882" s="12" t="s">
        <v>7</v>
      </c>
      <c r="C1882" s="12" t="s">
        <v>37</v>
      </c>
      <c r="D1882" s="12" t="s">
        <v>38</v>
      </c>
      <c r="E1882" s="12" t="s">
        <v>41</v>
      </c>
      <c r="F1882" s="13" t="s">
        <v>39</v>
      </c>
      <c r="G1882" s="12" t="s">
        <v>68</v>
      </c>
      <c r="H1882" s="12" t="s">
        <v>902</v>
      </c>
      <c r="I1882" s="12" t="s">
        <v>903</v>
      </c>
      <c r="J1882" s="17" t="s">
        <v>2800</v>
      </c>
      <c r="K1882" s="18" t="s">
        <v>2801</v>
      </c>
      <c r="L1882" s="20">
        <v>45972.0</v>
      </c>
      <c r="M1882" s="17" t="s">
        <v>23</v>
      </c>
      <c r="N1882" s="17" t="s">
        <v>2219</v>
      </c>
      <c r="O1882" s="17">
        <v>4.1068782E7</v>
      </c>
      <c r="P1882" s="17"/>
      <c r="Q1882" s="17" t="s">
        <v>112</v>
      </c>
      <c r="R1882" s="17" t="s">
        <v>113</v>
      </c>
      <c r="S1882" s="17" t="s">
        <v>2220</v>
      </c>
      <c r="U1882" s="24"/>
      <c r="V1882" s="24"/>
      <c r="W1882" s="18" t="s">
        <v>588</v>
      </c>
    </row>
    <row r="1883">
      <c r="A1883" s="11"/>
      <c r="B1883" s="12" t="s">
        <v>7</v>
      </c>
      <c r="C1883" s="12" t="s">
        <v>37</v>
      </c>
      <c r="D1883" s="12" t="s">
        <v>38</v>
      </c>
      <c r="E1883" s="12" t="s">
        <v>38</v>
      </c>
      <c r="F1883" s="13" t="s">
        <v>42</v>
      </c>
      <c r="G1883" s="12" t="s">
        <v>68</v>
      </c>
      <c r="H1883" s="12" t="s">
        <v>584</v>
      </c>
      <c r="I1883" s="12" t="s">
        <v>585</v>
      </c>
      <c r="J1883" s="17" t="s">
        <v>2800</v>
      </c>
      <c r="K1883" s="18" t="s">
        <v>2801</v>
      </c>
      <c r="L1883" s="20">
        <v>45973.0</v>
      </c>
      <c r="M1883" s="17" t="s">
        <v>28</v>
      </c>
      <c r="N1883" s="17" t="s">
        <v>2224</v>
      </c>
      <c r="O1883" s="17">
        <v>4.4073423E7</v>
      </c>
      <c r="P1883" s="17" t="s">
        <v>2225</v>
      </c>
      <c r="Q1883" s="17" t="s">
        <v>108</v>
      </c>
      <c r="R1883" s="17" t="s">
        <v>109</v>
      </c>
      <c r="S1883" s="17" t="s">
        <v>2226</v>
      </c>
      <c r="U1883" s="24"/>
      <c r="V1883" s="24"/>
      <c r="W1883" s="18" t="s">
        <v>588</v>
      </c>
    </row>
    <row r="1884">
      <c r="A1884" s="11"/>
      <c r="B1884" s="12" t="s">
        <v>7</v>
      </c>
      <c r="C1884" s="12" t="s">
        <v>37</v>
      </c>
      <c r="D1884" s="12" t="s">
        <v>38</v>
      </c>
      <c r="E1884" s="12" t="s">
        <v>38</v>
      </c>
      <c r="F1884" s="13" t="s">
        <v>42</v>
      </c>
      <c r="G1884" s="12" t="s">
        <v>68</v>
      </c>
      <c r="H1884" s="12" t="s">
        <v>584</v>
      </c>
      <c r="I1884" s="12" t="s">
        <v>585</v>
      </c>
      <c r="J1884" s="17" t="s">
        <v>2800</v>
      </c>
      <c r="K1884" s="18" t="s">
        <v>2801</v>
      </c>
      <c r="L1884" s="20">
        <v>45973.0</v>
      </c>
      <c r="M1884" s="17" t="s">
        <v>28</v>
      </c>
      <c r="N1884" s="17" t="s">
        <v>2221</v>
      </c>
      <c r="O1884" s="17">
        <v>4.8572692E7</v>
      </c>
      <c r="P1884" s="17" t="s">
        <v>2222</v>
      </c>
      <c r="Q1884" s="17" t="s">
        <v>112</v>
      </c>
      <c r="R1884" s="17" t="s">
        <v>113</v>
      </c>
      <c r="S1884" s="17" t="s">
        <v>4354</v>
      </c>
      <c r="U1884" s="24"/>
      <c r="V1884" s="24"/>
      <c r="W1884" s="18" t="s">
        <v>588</v>
      </c>
    </row>
    <row r="1885">
      <c r="A1885" s="11"/>
      <c r="B1885" s="12" t="s">
        <v>7</v>
      </c>
      <c r="C1885" s="12" t="s">
        <v>37</v>
      </c>
      <c r="D1885" s="12" t="s">
        <v>38</v>
      </c>
      <c r="E1885" s="12" t="s">
        <v>38</v>
      </c>
      <c r="F1885" s="13" t="s">
        <v>42</v>
      </c>
      <c r="G1885" s="12" t="s">
        <v>68</v>
      </c>
      <c r="H1885" s="12" t="s">
        <v>584</v>
      </c>
      <c r="I1885" s="12" t="s">
        <v>585</v>
      </c>
      <c r="J1885" s="17" t="s">
        <v>2800</v>
      </c>
      <c r="K1885" s="18" t="s">
        <v>2801</v>
      </c>
      <c r="L1885" s="20">
        <v>45973.0</v>
      </c>
      <c r="M1885" s="17" t="s">
        <v>28</v>
      </c>
      <c r="N1885" s="17" t="s">
        <v>2227</v>
      </c>
      <c r="O1885" s="17">
        <v>7.6636299E7</v>
      </c>
      <c r="P1885" s="17" t="s">
        <v>2228</v>
      </c>
      <c r="Q1885" s="17" t="s">
        <v>108</v>
      </c>
      <c r="R1885" s="17" t="s">
        <v>109</v>
      </c>
      <c r="S1885" s="17" t="s">
        <v>2229</v>
      </c>
      <c r="U1885" s="24"/>
      <c r="V1885" s="24"/>
      <c r="W1885" s="18" t="s">
        <v>588</v>
      </c>
    </row>
    <row r="1886">
      <c r="A1886" s="11"/>
      <c r="B1886" s="12" t="s">
        <v>7</v>
      </c>
      <c r="C1886" s="12" t="s">
        <v>37</v>
      </c>
      <c r="D1886" s="12" t="s">
        <v>38</v>
      </c>
      <c r="E1886" s="12" t="s">
        <v>38</v>
      </c>
      <c r="F1886" s="13" t="s">
        <v>42</v>
      </c>
      <c r="G1886" s="12" t="s">
        <v>68</v>
      </c>
      <c r="H1886" s="12" t="s">
        <v>584</v>
      </c>
      <c r="I1886" s="12" t="s">
        <v>585</v>
      </c>
      <c r="J1886" s="17" t="s">
        <v>2800</v>
      </c>
      <c r="K1886" s="18" t="s">
        <v>2801</v>
      </c>
      <c r="L1886" s="20">
        <v>45973.0</v>
      </c>
      <c r="M1886" s="17" t="s">
        <v>28</v>
      </c>
      <c r="N1886" s="17" t="s">
        <v>3288</v>
      </c>
      <c r="O1886" s="17">
        <v>3.1925876E7</v>
      </c>
      <c r="P1886" s="17" t="s">
        <v>3289</v>
      </c>
      <c r="Q1886" s="17" t="s">
        <v>108</v>
      </c>
      <c r="R1886" s="17" t="s">
        <v>109</v>
      </c>
      <c r="S1886" s="17" t="s">
        <v>3290</v>
      </c>
      <c r="U1886" s="24"/>
      <c r="V1886" s="24"/>
      <c r="W1886" s="18" t="s">
        <v>588</v>
      </c>
    </row>
    <row r="1887">
      <c r="A1887" s="11"/>
      <c r="B1887" s="12" t="s">
        <v>7</v>
      </c>
      <c r="C1887" s="12" t="s">
        <v>37</v>
      </c>
      <c r="D1887" s="12" t="s">
        <v>38</v>
      </c>
      <c r="E1887" s="12" t="s">
        <v>38</v>
      </c>
      <c r="F1887" s="13" t="s">
        <v>42</v>
      </c>
      <c r="G1887" s="12" t="s">
        <v>68</v>
      </c>
      <c r="H1887" s="12" t="s">
        <v>584</v>
      </c>
      <c r="I1887" s="12" t="s">
        <v>585</v>
      </c>
      <c r="J1887" s="17" t="s">
        <v>2800</v>
      </c>
      <c r="K1887" s="18" t="s">
        <v>2801</v>
      </c>
      <c r="L1887" s="20">
        <v>45973.0</v>
      </c>
      <c r="M1887" s="17" t="s">
        <v>23</v>
      </c>
      <c r="N1887" s="17" t="s">
        <v>3288</v>
      </c>
      <c r="O1887" s="17">
        <v>3.1925876E7</v>
      </c>
      <c r="P1887" s="17"/>
      <c r="Q1887" s="17" t="s">
        <v>108</v>
      </c>
      <c r="R1887" s="17" t="s">
        <v>109</v>
      </c>
      <c r="S1887" s="17" t="s">
        <v>2198</v>
      </c>
      <c r="U1887" s="24"/>
      <c r="V1887" s="24"/>
      <c r="W1887" s="18" t="s">
        <v>588</v>
      </c>
    </row>
    <row r="1888">
      <c r="A1888" s="11"/>
      <c r="B1888" s="12" t="s">
        <v>22</v>
      </c>
      <c r="C1888" s="12" t="s">
        <v>22</v>
      </c>
      <c r="D1888" s="12" t="s">
        <v>22</v>
      </c>
      <c r="E1888" s="12" t="s">
        <v>593</v>
      </c>
      <c r="F1888" s="13" t="s">
        <v>594</v>
      </c>
      <c r="G1888" s="12" t="s">
        <v>68</v>
      </c>
      <c r="H1888" s="12" t="s">
        <v>595</v>
      </c>
      <c r="I1888" s="12" t="s">
        <v>596</v>
      </c>
      <c r="J1888" s="17" t="s">
        <v>2800</v>
      </c>
      <c r="K1888" s="18" t="s">
        <v>2801</v>
      </c>
      <c r="L1888" s="20">
        <v>45967.0</v>
      </c>
      <c r="M1888" s="17" t="s">
        <v>28</v>
      </c>
      <c r="N1888" s="17" t="s">
        <v>3485</v>
      </c>
      <c r="O1888" s="17">
        <v>7.1118884E7</v>
      </c>
      <c r="P1888" s="17" t="s">
        <v>3486</v>
      </c>
      <c r="Q1888" s="17" t="s">
        <v>73</v>
      </c>
      <c r="R1888" s="17" t="s">
        <v>74</v>
      </c>
      <c r="S1888" s="17" t="s">
        <v>4355</v>
      </c>
      <c r="U1888" s="24"/>
      <c r="V1888" s="24"/>
      <c r="W1888" s="18" t="s">
        <v>588</v>
      </c>
    </row>
    <row r="1889">
      <c r="A1889" s="11"/>
      <c r="B1889" s="12" t="s">
        <v>22</v>
      </c>
      <c r="C1889" s="12" t="s">
        <v>22</v>
      </c>
      <c r="D1889" s="12" t="s">
        <v>22</v>
      </c>
      <c r="E1889" s="12" t="s">
        <v>593</v>
      </c>
      <c r="F1889" s="13" t="s">
        <v>594</v>
      </c>
      <c r="G1889" s="12" t="s">
        <v>68</v>
      </c>
      <c r="H1889" s="12" t="s">
        <v>595</v>
      </c>
      <c r="I1889" s="12" t="s">
        <v>596</v>
      </c>
      <c r="J1889" s="17" t="s">
        <v>2800</v>
      </c>
      <c r="K1889" s="18" t="s">
        <v>2801</v>
      </c>
      <c r="L1889" s="20">
        <v>45967.0</v>
      </c>
      <c r="M1889" s="17" t="s">
        <v>28</v>
      </c>
      <c r="N1889" s="17" t="s">
        <v>3482</v>
      </c>
      <c r="O1889" s="17">
        <v>7.0167177E7</v>
      </c>
      <c r="P1889" s="17" t="s">
        <v>3483</v>
      </c>
      <c r="Q1889" s="17" t="s">
        <v>73</v>
      </c>
      <c r="R1889" s="17" t="s">
        <v>74</v>
      </c>
      <c r="S1889" s="17" t="s">
        <v>3843</v>
      </c>
      <c r="U1889" s="24"/>
      <c r="V1889" s="24"/>
      <c r="W1889" s="18" t="s">
        <v>588</v>
      </c>
    </row>
    <row r="1890">
      <c r="A1890" s="11"/>
      <c r="B1890" s="12" t="s">
        <v>22</v>
      </c>
      <c r="C1890" s="12" t="s">
        <v>22</v>
      </c>
      <c r="D1890" s="12" t="s">
        <v>22</v>
      </c>
      <c r="E1890" s="12" t="s">
        <v>624</v>
      </c>
      <c r="F1890" s="13" t="s">
        <v>625</v>
      </c>
      <c r="G1890" s="12" t="s">
        <v>68</v>
      </c>
      <c r="H1890" s="12" t="s">
        <v>626</v>
      </c>
      <c r="I1890" s="12" t="s">
        <v>627</v>
      </c>
      <c r="J1890" s="17" t="s">
        <v>2800</v>
      </c>
      <c r="K1890" s="18" t="s">
        <v>2801</v>
      </c>
      <c r="L1890" s="20">
        <v>45974.0</v>
      </c>
      <c r="M1890" s="17" t="s">
        <v>28</v>
      </c>
      <c r="N1890" s="17" t="s">
        <v>2260</v>
      </c>
      <c r="O1890" s="17">
        <v>7.6175434E7</v>
      </c>
      <c r="P1890" s="17" t="s">
        <v>2261</v>
      </c>
      <c r="Q1890" s="17" t="s">
        <v>73</v>
      </c>
      <c r="R1890" s="17" t="s">
        <v>74</v>
      </c>
      <c r="S1890" s="17" t="s">
        <v>4356</v>
      </c>
      <c r="U1890" s="24"/>
      <c r="V1890" s="24"/>
      <c r="W1890" s="18" t="s">
        <v>588</v>
      </c>
    </row>
    <row r="1891">
      <c r="A1891" s="11"/>
      <c r="B1891" s="12" t="s">
        <v>22</v>
      </c>
      <c r="C1891" s="12" t="s">
        <v>22</v>
      </c>
      <c r="D1891" s="12" t="s">
        <v>22</v>
      </c>
      <c r="E1891" s="12" t="s">
        <v>624</v>
      </c>
      <c r="F1891" s="13" t="s">
        <v>625</v>
      </c>
      <c r="G1891" s="12" t="s">
        <v>68</v>
      </c>
      <c r="H1891" s="12" t="s">
        <v>626</v>
      </c>
      <c r="I1891" s="12" t="s">
        <v>627</v>
      </c>
      <c r="J1891" s="17" t="s">
        <v>2800</v>
      </c>
      <c r="K1891" s="18" t="s">
        <v>2801</v>
      </c>
      <c r="L1891" s="20">
        <v>45974.0</v>
      </c>
      <c r="M1891" s="17" t="s">
        <v>28</v>
      </c>
      <c r="N1891" s="17" t="s">
        <v>2248</v>
      </c>
      <c r="O1891" s="17">
        <v>4.4917221E7</v>
      </c>
      <c r="P1891" s="17" t="s">
        <v>2249</v>
      </c>
      <c r="Q1891" s="17" t="s">
        <v>108</v>
      </c>
      <c r="R1891" s="17" t="s">
        <v>109</v>
      </c>
      <c r="S1891" s="17" t="s">
        <v>4357</v>
      </c>
      <c r="U1891" s="24"/>
      <c r="V1891" s="24"/>
      <c r="W1891" s="18" t="s">
        <v>588</v>
      </c>
    </row>
    <row r="1892">
      <c r="A1892" s="11"/>
      <c r="B1892" s="12" t="s">
        <v>22</v>
      </c>
      <c r="C1892" s="12" t="s">
        <v>22</v>
      </c>
      <c r="D1892" s="12" t="s">
        <v>22</v>
      </c>
      <c r="E1892" s="12" t="s">
        <v>624</v>
      </c>
      <c r="F1892" s="13" t="s">
        <v>625</v>
      </c>
      <c r="G1892" s="12" t="s">
        <v>68</v>
      </c>
      <c r="H1892" s="12" t="s">
        <v>626</v>
      </c>
      <c r="I1892" s="12" t="s">
        <v>627</v>
      </c>
      <c r="J1892" s="17" t="s">
        <v>2800</v>
      </c>
      <c r="K1892" s="18" t="s">
        <v>2801</v>
      </c>
      <c r="L1892" s="20">
        <v>45974.0</v>
      </c>
      <c r="M1892" s="17" t="s">
        <v>28</v>
      </c>
      <c r="N1892" s="17" t="s">
        <v>2241</v>
      </c>
      <c r="O1892" s="17">
        <v>4.4328573E7</v>
      </c>
      <c r="P1892" s="17" t="s">
        <v>2242</v>
      </c>
      <c r="Q1892" s="17" t="s">
        <v>108</v>
      </c>
      <c r="R1892" s="17" t="s">
        <v>109</v>
      </c>
      <c r="S1892" s="17" t="s">
        <v>4358</v>
      </c>
      <c r="U1892" s="24"/>
      <c r="V1892" s="24"/>
      <c r="W1892" s="18" t="s">
        <v>588</v>
      </c>
    </row>
    <row r="1893">
      <c r="A1893" s="11"/>
      <c r="B1893" s="12" t="s">
        <v>22</v>
      </c>
      <c r="C1893" s="12" t="s">
        <v>22</v>
      </c>
      <c r="D1893" s="12" t="s">
        <v>22</v>
      </c>
      <c r="E1893" s="12" t="s">
        <v>624</v>
      </c>
      <c r="F1893" s="13" t="s">
        <v>625</v>
      </c>
      <c r="G1893" s="12" t="s">
        <v>68</v>
      </c>
      <c r="H1893" s="12" t="s">
        <v>626</v>
      </c>
      <c r="I1893" s="12" t="s">
        <v>627</v>
      </c>
      <c r="J1893" s="17" t="s">
        <v>2800</v>
      </c>
      <c r="K1893" s="18" t="s">
        <v>2801</v>
      </c>
      <c r="L1893" s="20">
        <v>45974.0</v>
      </c>
      <c r="M1893" s="17" t="s">
        <v>28</v>
      </c>
      <c r="N1893" s="17" t="s">
        <v>2257</v>
      </c>
      <c r="O1893" s="17">
        <v>7.6548195E7</v>
      </c>
      <c r="P1893" s="17" t="s">
        <v>2258</v>
      </c>
      <c r="Q1893" s="17" t="s">
        <v>112</v>
      </c>
      <c r="R1893" s="17" t="s">
        <v>113</v>
      </c>
      <c r="S1893" s="17" t="s">
        <v>4359</v>
      </c>
      <c r="U1893" s="24"/>
      <c r="V1893" s="24"/>
      <c r="W1893" s="18" t="s">
        <v>588</v>
      </c>
    </row>
    <row r="1894">
      <c r="A1894" s="11"/>
      <c r="B1894" s="12" t="s">
        <v>22</v>
      </c>
      <c r="C1894" s="12" t="s">
        <v>22</v>
      </c>
      <c r="D1894" s="12" t="s">
        <v>22</v>
      </c>
      <c r="E1894" s="12" t="s">
        <v>624</v>
      </c>
      <c r="F1894" s="13" t="s">
        <v>625</v>
      </c>
      <c r="G1894" s="12" t="s">
        <v>68</v>
      </c>
      <c r="H1894" s="12" t="s">
        <v>626</v>
      </c>
      <c r="I1894" s="12" t="s">
        <v>627</v>
      </c>
      <c r="J1894" s="17" t="s">
        <v>2800</v>
      </c>
      <c r="K1894" s="18" t="s">
        <v>2801</v>
      </c>
      <c r="L1894" s="20">
        <v>45974.0</v>
      </c>
      <c r="M1894" s="17" t="s">
        <v>28</v>
      </c>
      <c r="N1894" s="17" t="s">
        <v>2235</v>
      </c>
      <c r="O1894" s="17">
        <v>4.1263195E7</v>
      </c>
      <c r="P1894" s="17" t="s">
        <v>2236</v>
      </c>
      <c r="Q1894" s="17" t="s">
        <v>112</v>
      </c>
      <c r="R1894" s="17" t="s">
        <v>113</v>
      </c>
      <c r="S1894" s="17" t="s">
        <v>4360</v>
      </c>
      <c r="U1894" s="24"/>
      <c r="V1894" s="24"/>
      <c r="W1894" s="18" t="s">
        <v>588</v>
      </c>
    </row>
    <row r="1895">
      <c r="A1895" s="11"/>
      <c r="B1895" s="12" t="s">
        <v>22</v>
      </c>
      <c r="C1895" s="12" t="s">
        <v>22</v>
      </c>
      <c r="D1895" s="12" t="s">
        <v>22</v>
      </c>
      <c r="E1895" s="12" t="s">
        <v>624</v>
      </c>
      <c r="F1895" s="13" t="s">
        <v>625</v>
      </c>
      <c r="G1895" s="12" t="s">
        <v>68</v>
      </c>
      <c r="H1895" s="12" t="s">
        <v>626</v>
      </c>
      <c r="I1895" s="12" t="s">
        <v>627</v>
      </c>
      <c r="J1895" s="17" t="s">
        <v>2800</v>
      </c>
      <c r="K1895" s="18" t="s">
        <v>2801</v>
      </c>
      <c r="L1895" s="20">
        <v>45974.0</v>
      </c>
      <c r="M1895" s="17" t="s">
        <v>28</v>
      </c>
      <c r="N1895" s="17" t="s">
        <v>3968</v>
      </c>
      <c r="O1895" s="17">
        <v>4.1528744E7</v>
      </c>
      <c r="P1895" s="17" t="s">
        <v>3969</v>
      </c>
      <c r="Q1895" s="17" t="s">
        <v>112</v>
      </c>
      <c r="R1895" s="17" t="s">
        <v>113</v>
      </c>
      <c r="S1895" s="17" t="s">
        <v>4361</v>
      </c>
      <c r="U1895" s="24"/>
      <c r="V1895" s="24"/>
      <c r="W1895" s="18" t="s">
        <v>588</v>
      </c>
    </row>
    <row r="1896">
      <c r="A1896" s="11"/>
      <c r="B1896" s="12" t="s">
        <v>22</v>
      </c>
      <c r="C1896" s="12" t="s">
        <v>22</v>
      </c>
      <c r="D1896" s="12" t="s">
        <v>22</v>
      </c>
      <c r="E1896" s="12" t="s">
        <v>624</v>
      </c>
      <c r="F1896" s="13" t="s">
        <v>625</v>
      </c>
      <c r="G1896" s="12" t="s">
        <v>68</v>
      </c>
      <c r="H1896" s="12" t="s">
        <v>626</v>
      </c>
      <c r="I1896" s="12" t="s">
        <v>627</v>
      </c>
      <c r="J1896" s="17" t="s">
        <v>2800</v>
      </c>
      <c r="K1896" s="18" t="s">
        <v>2801</v>
      </c>
      <c r="L1896" s="20">
        <v>45974.0</v>
      </c>
      <c r="M1896" s="17" t="s">
        <v>28</v>
      </c>
      <c r="N1896" s="17" t="s">
        <v>2244</v>
      </c>
      <c r="O1896" s="17">
        <v>4.7052597E7</v>
      </c>
      <c r="P1896" s="17" t="s">
        <v>2245</v>
      </c>
      <c r="Q1896" s="17" t="s">
        <v>108</v>
      </c>
      <c r="R1896" s="17" t="s">
        <v>109</v>
      </c>
      <c r="S1896" s="17" t="s">
        <v>4362</v>
      </c>
      <c r="U1896" s="24"/>
      <c r="V1896" s="24"/>
      <c r="W1896" s="18" t="s">
        <v>588</v>
      </c>
    </row>
    <row r="1897">
      <c r="A1897" s="11"/>
      <c r="B1897" s="12" t="s">
        <v>22</v>
      </c>
      <c r="C1897" s="12" t="s">
        <v>22</v>
      </c>
      <c r="D1897" s="12" t="s">
        <v>22</v>
      </c>
      <c r="E1897" s="12" t="s">
        <v>624</v>
      </c>
      <c r="F1897" s="13" t="s">
        <v>625</v>
      </c>
      <c r="G1897" s="12" t="s">
        <v>68</v>
      </c>
      <c r="H1897" s="12" t="s">
        <v>626</v>
      </c>
      <c r="I1897" s="12" t="s">
        <v>627</v>
      </c>
      <c r="J1897" s="17" t="s">
        <v>2687</v>
      </c>
      <c r="K1897" s="18" t="s">
        <v>4363</v>
      </c>
      <c r="L1897" s="20">
        <v>45966.0</v>
      </c>
      <c r="M1897" s="17" t="s">
        <v>23</v>
      </c>
      <c r="N1897" s="17" t="s">
        <v>4364</v>
      </c>
      <c r="O1897" s="17">
        <v>4.5618178E7</v>
      </c>
      <c r="P1897" s="17"/>
      <c r="Q1897" s="17" t="s">
        <v>108</v>
      </c>
      <c r="R1897" s="17" t="s">
        <v>109</v>
      </c>
      <c r="S1897" s="17" t="s">
        <v>2198</v>
      </c>
      <c r="U1897" s="24"/>
      <c r="V1897" s="24"/>
      <c r="W1897" s="18" t="s">
        <v>588</v>
      </c>
    </row>
    <row r="1898">
      <c r="A1898" s="11"/>
      <c r="B1898" s="12" t="s">
        <v>22</v>
      </c>
      <c r="C1898" s="12" t="s">
        <v>22</v>
      </c>
      <c r="D1898" s="12" t="s">
        <v>22</v>
      </c>
      <c r="E1898" s="12" t="s">
        <v>624</v>
      </c>
      <c r="F1898" s="13" t="s">
        <v>625</v>
      </c>
      <c r="G1898" s="12" t="s">
        <v>68</v>
      </c>
      <c r="H1898" s="12" t="s">
        <v>626</v>
      </c>
      <c r="I1898" s="12" t="s">
        <v>627</v>
      </c>
      <c r="J1898" s="17" t="s">
        <v>2687</v>
      </c>
      <c r="K1898" s="18" t="s">
        <v>4363</v>
      </c>
      <c r="L1898" s="20">
        <v>45966.0</v>
      </c>
      <c r="M1898" s="17" t="s">
        <v>23</v>
      </c>
      <c r="N1898" s="17" t="s">
        <v>3237</v>
      </c>
      <c r="O1898" s="17">
        <v>7.5461891E7</v>
      </c>
      <c r="P1898" s="17"/>
      <c r="Q1898" s="17" t="s">
        <v>112</v>
      </c>
      <c r="R1898" s="17" t="s">
        <v>113</v>
      </c>
      <c r="S1898" s="17" t="s">
        <v>2220</v>
      </c>
      <c r="U1898" s="24"/>
      <c r="V1898" s="24"/>
      <c r="W1898" s="18" t="s">
        <v>588</v>
      </c>
    </row>
    <row r="1899">
      <c r="A1899" s="11"/>
      <c r="B1899" s="12" t="s">
        <v>22</v>
      </c>
      <c r="C1899" s="12" t="s">
        <v>22</v>
      </c>
      <c r="D1899" s="12" t="s">
        <v>22</v>
      </c>
      <c r="E1899" s="12" t="s">
        <v>593</v>
      </c>
      <c r="F1899" s="13" t="s">
        <v>594</v>
      </c>
      <c r="G1899" s="12" t="s">
        <v>68</v>
      </c>
      <c r="H1899" s="12" t="s">
        <v>595</v>
      </c>
      <c r="I1899" s="12" t="s">
        <v>596</v>
      </c>
      <c r="J1899" s="17" t="s">
        <v>2687</v>
      </c>
      <c r="K1899" s="18" t="s">
        <v>4363</v>
      </c>
      <c r="L1899" s="20">
        <v>45966.0</v>
      </c>
      <c r="M1899" s="17" t="s">
        <v>23</v>
      </c>
      <c r="N1899" s="17" t="s">
        <v>2199</v>
      </c>
      <c r="O1899" s="17">
        <v>7.0083156E7</v>
      </c>
      <c r="P1899" s="17"/>
      <c r="Q1899" s="17" t="s">
        <v>108</v>
      </c>
      <c r="R1899" s="17" t="s">
        <v>109</v>
      </c>
      <c r="S1899" s="17" t="s">
        <v>2198</v>
      </c>
      <c r="U1899" s="24"/>
      <c r="V1899" s="24"/>
      <c r="W1899" s="18" t="s">
        <v>588</v>
      </c>
    </row>
    <row r="1900">
      <c r="A1900" s="11"/>
      <c r="B1900" s="12" t="s">
        <v>22</v>
      </c>
      <c r="C1900" s="12" t="s">
        <v>22</v>
      </c>
      <c r="D1900" s="12" t="s">
        <v>22</v>
      </c>
      <c r="E1900" s="12" t="s">
        <v>593</v>
      </c>
      <c r="F1900" s="13" t="s">
        <v>594</v>
      </c>
      <c r="G1900" s="12" t="s">
        <v>68</v>
      </c>
      <c r="H1900" s="12" t="s">
        <v>595</v>
      </c>
      <c r="I1900" s="12" t="s">
        <v>596</v>
      </c>
      <c r="J1900" s="17" t="s">
        <v>2687</v>
      </c>
      <c r="K1900" s="18" t="s">
        <v>4363</v>
      </c>
      <c r="L1900" s="20">
        <v>45966.0</v>
      </c>
      <c r="M1900" s="17" t="s">
        <v>23</v>
      </c>
      <c r="N1900" s="17" t="s">
        <v>4365</v>
      </c>
      <c r="O1900" s="17">
        <v>3.2948075E7</v>
      </c>
      <c r="P1900" s="17"/>
      <c r="Q1900" s="17" t="s">
        <v>112</v>
      </c>
      <c r="R1900" s="17" t="s">
        <v>113</v>
      </c>
      <c r="S1900" s="17" t="s">
        <v>2220</v>
      </c>
      <c r="U1900" s="24"/>
      <c r="V1900" s="24"/>
      <c r="W1900" s="18" t="s">
        <v>588</v>
      </c>
    </row>
    <row r="1901">
      <c r="A1901" s="11"/>
      <c r="B1901" s="12" t="s">
        <v>22</v>
      </c>
      <c r="C1901" s="12" t="s">
        <v>22</v>
      </c>
      <c r="D1901" s="12" t="s">
        <v>22</v>
      </c>
      <c r="E1901" s="12" t="s">
        <v>593</v>
      </c>
      <c r="F1901" s="13" t="s">
        <v>594</v>
      </c>
      <c r="G1901" s="12" t="s">
        <v>68</v>
      </c>
      <c r="H1901" s="12" t="s">
        <v>595</v>
      </c>
      <c r="I1901" s="12" t="s">
        <v>596</v>
      </c>
      <c r="J1901" s="17" t="s">
        <v>2687</v>
      </c>
      <c r="K1901" s="18" t="s">
        <v>4363</v>
      </c>
      <c r="L1901" s="20">
        <v>45966.0</v>
      </c>
      <c r="M1901" s="17" t="s">
        <v>23</v>
      </c>
      <c r="N1901" s="17" t="s">
        <v>2201</v>
      </c>
      <c r="O1901" s="17">
        <v>4.110177E7</v>
      </c>
      <c r="P1901" s="17"/>
      <c r="Q1901" s="17" t="s">
        <v>73</v>
      </c>
      <c r="R1901" s="17" t="s">
        <v>74</v>
      </c>
      <c r="S1901" s="17" t="s">
        <v>2202</v>
      </c>
      <c r="U1901" s="24"/>
      <c r="V1901" s="24"/>
      <c r="W1901" s="18" t="s">
        <v>588</v>
      </c>
    </row>
    <row r="1902">
      <c r="A1902" s="11"/>
      <c r="B1902" s="12" t="s">
        <v>22</v>
      </c>
      <c r="C1902" s="12" t="s">
        <v>22</v>
      </c>
      <c r="D1902" s="12" t="s">
        <v>22</v>
      </c>
      <c r="E1902" s="12" t="s">
        <v>593</v>
      </c>
      <c r="F1902" s="13" t="s">
        <v>594</v>
      </c>
      <c r="G1902" s="12" t="s">
        <v>68</v>
      </c>
      <c r="H1902" s="12" t="s">
        <v>595</v>
      </c>
      <c r="I1902" s="12" t="s">
        <v>596</v>
      </c>
      <c r="J1902" s="17" t="s">
        <v>2687</v>
      </c>
      <c r="K1902" s="18" t="s">
        <v>4363</v>
      </c>
      <c r="L1902" s="20">
        <v>45966.0</v>
      </c>
      <c r="M1902" s="17" t="s">
        <v>23</v>
      </c>
      <c r="N1902" s="17" t="s">
        <v>4366</v>
      </c>
      <c r="O1902" s="17">
        <v>7.6856294E7</v>
      </c>
      <c r="P1902" s="17"/>
      <c r="Q1902" s="17" t="s">
        <v>73</v>
      </c>
      <c r="R1902" s="17" t="s">
        <v>74</v>
      </c>
      <c r="S1902" s="17" t="s">
        <v>2202</v>
      </c>
      <c r="U1902" s="24"/>
      <c r="V1902" s="24"/>
      <c r="W1902" s="18" t="s">
        <v>588</v>
      </c>
    </row>
    <row r="1903">
      <c r="A1903" s="11"/>
      <c r="B1903" s="12" t="s">
        <v>7</v>
      </c>
      <c r="C1903" s="12" t="s">
        <v>37</v>
      </c>
      <c r="D1903" s="12" t="s">
        <v>38</v>
      </c>
      <c r="E1903" s="12" t="s">
        <v>38</v>
      </c>
      <c r="F1903" s="13" t="s">
        <v>42</v>
      </c>
      <c r="G1903" s="12" t="s">
        <v>68</v>
      </c>
      <c r="H1903" s="12" t="s">
        <v>584</v>
      </c>
      <c r="I1903" s="12" t="s">
        <v>585</v>
      </c>
      <c r="J1903" s="17" t="s">
        <v>2687</v>
      </c>
      <c r="K1903" s="18">
        <v>3.0</v>
      </c>
      <c r="L1903" s="20">
        <v>45973.0</v>
      </c>
      <c r="M1903" s="17" t="s">
        <v>23</v>
      </c>
      <c r="N1903" s="17" t="s">
        <v>3288</v>
      </c>
      <c r="O1903" s="17">
        <v>3.1925876E7</v>
      </c>
      <c r="P1903" s="17"/>
      <c r="Q1903" s="17" t="s">
        <v>108</v>
      </c>
      <c r="R1903" s="17" t="s">
        <v>109</v>
      </c>
      <c r="S1903" s="17" t="s">
        <v>2198</v>
      </c>
      <c r="U1903" s="24"/>
      <c r="V1903" s="24"/>
      <c r="W1903" s="18" t="s">
        <v>588</v>
      </c>
    </row>
    <row r="1904">
      <c r="A1904" s="11"/>
      <c r="B1904" s="12" t="s">
        <v>7</v>
      </c>
      <c r="C1904" s="12" t="s">
        <v>37</v>
      </c>
      <c r="D1904" s="12" t="s">
        <v>38</v>
      </c>
      <c r="E1904" s="12" t="s">
        <v>41</v>
      </c>
      <c r="F1904" s="13" t="s">
        <v>39</v>
      </c>
      <c r="G1904" s="12" t="s">
        <v>68</v>
      </c>
      <c r="H1904" s="12" t="s">
        <v>902</v>
      </c>
      <c r="I1904" s="12" t="s">
        <v>903</v>
      </c>
      <c r="J1904" s="17" t="s">
        <v>2687</v>
      </c>
      <c r="K1904" s="18">
        <v>3.0</v>
      </c>
      <c r="L1904" s="20">
        <v>45972.0</v>
      </c>
      <c r="M1904" s="17" t="s">
        <v>23</v>
      </c>
      <c r="N1904" s="17" t="s">
        <v>2218</v>
      </c>
      <c r="O1904" s="17">
        <v>3.2647526E7</v>
      </c>
      <c r="P1904" s="17"/>
      <c r="Q1904" s="17" t="s">
        <v>108</v>
      </c>
      <c r="R1904" s="17" t="s">
        <v>109</v>
      </c>
      <c r="S1904" s="17" t="s">
        <v>2198</v>
      </c>
      <c r="U1904" s="24"/>
      <c r="V1904" s="24"/>
      <c r="W1904" s="18" t="s">
        <v>588</v>
      </c>
    </row>
    <row r="1905">
      <c r="A1905" s="11"/>
      <c r="B1905" s="12" t="s">
        <v>7</v>
      </c>
      <c r="C1905" s="12" t="s">
        <v>37</v>
      </c>
      <c r="D1905" s="12" t="s">
        <v>38</v>
      </c>
      <c r="E1905" s="12" t="s">
        <v>41</v>
      </c>
      <c r="F1905" s="13" t="s">
        <v>39</v>
      </c>
      <c r="G1905" s="12" t="s">
        <v>68</v>
      </c>
      <c r="H1905" s="12" t="s">
        <v>902</v>
      </c>
      <c r="I1905" s="12" t="s">
        <v>903</v>
      </c>
      <c r="J1905" s="17" t="s">
        <v>2687</v>
      </c>
      <c r="K1905" s="18">
        <v>3.0</v>
      </c>
      <c r="L1905" s="20">
        <v>45972.0</v>
      </c>
      <c r="M1905" s="17" t="s">
        <v>23</v>
      </c>
      <c r="N1905" s="17" t="s">
        <v>2219</v>
      </c>
      <c r="O1905" s="17">
        <v>4.1068782E7</v>
      </c>
      <c r="P1905" s="17"/>
      <c r="Q1905" s="17" t="s">
        <v>112</v>
      </c>
      <c r="R1905" s="17" t="s">
        <v>113</v>
      </c>
      <c r="S1905" s="17" t="s">
        <v>2220</v>
      </c>
      <c r="U1905" s="24"/>
      <c r="V1905" s="24"/>
      <c r="W1905" s="18" t="s">
        <v>588</v>
      </c>
    </row>
    <row r="1906">
      <c r="A1906" s="11"/>
      <c r="B1906" s="12" t="s">
        <v>43</v>
      </c>
      <c r="C1906" s="12" t="s">
        <v>65</v>
      </c>
      <c r="D1906" s="12" t="s">
        <v>321</v>
      </c>
      <c r="E1906" s="12" t="s">
        <v>321</v>
      </c>
      <c r="F1906" s="13" t="s">
        <v>322</v>
      </c>
      <c r="G1906" s="12" t="s">
        <v>68</v>
      </c>
      <c r="H1906" s="12" t="s">
        <v>323</v>
      </c>
      <c r="I1906" s="12" t="s">
        <v>324</v>
      </c>
      <c r="J1906" s="17" t="s">
        <v>2796</v>
      </c>
      <c r="K1906" s="18" t="s">
        <v>2797</v>
      </c>
      <c r="L1906" s="20">
        <v>45973.0</v>
      </c>
      <c r="M1906" s="17" t="s">
        <v>28</v>
      </c>
      <c r="N1906" s="17" t="s">
        <v>4342</v>
      </c>
      <c r="P1906" s="17" t="s">
        <v>4367</v>
      </c>
      <c r="Q1906" s="17" t="s">
        <v>108</v>
      </c>
      <c r="R1906" s="17"/>
      <c r="S1906" s="17" t="s">
        <v>4368</v>
      </c>
      <c r="U1906" s="24"/>
      <c r="V1906" s="24"/>
      <c r="W1906" s="18" t="s">
        <v>76</v>
      </c>
    </row>
    <row r="1907">
      <c r="A1907" s="11"/>
      <c r="B1907" s="12" t="s">
        <v>43</v>
      </c>
      <c r="C1907" s="12" t="s">
        <v>65</v>
      </c>
      <c r="D1907" s="12" t="s">
        <v>321</v>
      </c>
      <c r="E1907" s="12" t="s">
        <v>321</v>
      </c>
      <c r="F1907" s="13" t="s">
        <v>322</v>
      </c>
      <c r="G1907" s="12" t="s">
        <v>68</v>
      </c>
      <c r="H1907" s="12" t="s">
        <v>323</v>
      </c>
      <c r="I1907" s="12" t="s">
        <v>324</v>
      </c>
      <c r="J1907" s="17" t="s">
        <v>2796</v>
      </c>
      <c r="K1907" s="18" t="s">
        <v>2797</v>
      </c>
      <c r="L1907" s="20">
        <v>45973.0</v>
      </c>
      <c r="M1907" s="17" t="s">
        <v>28</v>
      </c>
      <c r="N1907" s="17" t="s">
        <v>4345</v>
      </c>
      <c r="P1907" s="17" t="s">
        <v>4346</v>
      </c>
      <c r="Q1907" s="17" t="s">
        <v>112</v>
      </c>
      <c r="R1907" s="17"/>
      <c r="S1907" s="17" t="s">
        <v>4347</v>
      </c>
      <c r="U1907" s="24"/>
      <c r="V1907" s="24"/>
      <c r="W1907" s="18" t="s">
        <v>76</v>
      </c>
    </row>
    <row r="1908">
      <c r="A1908" s="11"/>
      <c r="B1908" s="12" t="s">
        <v>43</v>
      </c>
      <c r="C1908" s="12" t="s">
        <v>65</v>
      </c>
      <c r="D1908" s="12" t="s">
        <v>321</v>
      </c>
      <c r="E1908" s="12" t="s">
        <v>321</v>
      </c>
      <c r="F1908" s="13" t="s">
        <v>322</v>
      </c>
      <c r="G1908" s="12" t="s">
        <v>68</v>
      </c>
      <c r="H1908" s="12" t="s">
        <v>323</v>
      </c>
      <c r="I1908" s="12" t="s">
        <v>324</v>
      </c>
      <c r="J1908" s="17" t="s">
        <v>2796</v>
      </c>
      <c r="K1908" s="18" t="s">
        <v>2797</v>
      </c>
      <c r="L1908" s="20">
        <v>45973.0</v>
      </c>
      <c r="M1908" s="17" t="s">
        <v>28</v>
      </c>
      <c r="N1908" s="17" t="s">
        <v>4348</v>
      </c>
      <c r="P1908" s="17" t="s">
        <v>4369</v>
      </c>
      <c r="Q1908" s="17" t="s">
        <v>108</v>
      </c>
      <c r="R1908" s="17" t="s">
        <v>2311</v>
      </c>
      <c r="S1908" s="17" t="s">
        <v>4370</v>
      </c>
      <c r="U1908" s="24"/>
      <c r="V1908" s="24"/>
      <c r="W1908" s="18" t="s">
        <v>76</v>
      </c>
    </row>
    <row r="1909">
      <c r="A1909" s="11"/>
      <c r="B1909" s="12" t="s">
        <v>43</v>
      </c>
      <c r="C1909" s="12" t="s">
        <v>65</v>
      </c>
      <c r="D1909" s="12" t="s">
        <v>321</v>
      </c>
      <c r="E1909" s="12" t="s">
        <v>321</v>
      </c>
      <c r="F1909" s="13" t="s">
        <v>322</v>
      </c>
      <c r="G1909" s="12" t="s">
        <v>68</v>
      </c>
      <c r="H1909" s="12" t="s">
        <v>323</v>
      </c>
      <c r="I1909" s="12" t="s">
        <v>324</v>
      </c>
      <c r="J1909" s="17" t="s">
        <v>2796</v>
      </c>
      <c r="K1909" s="18" t="s">
        <v>2797</v>
      </c>
      <c r="L1909" s="20">
        <v>45973.0</v>
      </c>
      <c r="M1909" s="17" t="s">
        <v>28</v>
      </c>
      <c r="N1909" s="17" t="s">
        <v>4371</v>
      </c>
      <c r="P1909" s="17" t="s">
        <v>4352</v>
      </c>
      <c r="Q1909" s="17" t="s">
        <v>112</v>
      </c>
      <c r="R1909" s="17"/>
      <c r="S1909" s="17" t="s">
        <v>4372</v>
      </c>
      <c r="U1909" s="24"/>
      <c r="V1909" s="24"/>
      <c r="W1909" s="18" t="s">
        <v>76</v>
      </c>
    </row>
    <row r="1910">
      <c r="A1910" s="11"/>
      <c r="B1910" s="12" t="s">
        <v>34</v>
      </c>
      <c r="C1910" s="12" t="s">
        <v>65</v>
      </c>
      <c r="D1910" s="12" t="s">
        <v>43</v>
      </c>
      <c r="E1910" s="12" t="s">
        <v>691</v>
      </c>
      <c r="F1910" s="13" t="s">
        <v>692</v>
      </c>
      <c r="G1910" s="12" t="s">
        <v>68</v>
      </c>
      <c r="H1910" s="12" t="s">
        <v>693</v>
      </c>
      <c r="I1910" s="12" t="s">
        <v>694</v>
      </c>
      <c r="J1910" s="17" t="s">
        <v>2783</v>
      </c>
      <c r="K1910" s="18" t="s">
        <v>2784</v>
      </c>
      <c r="L1910" s="20">
        <v>45904.0</v>
      </c>
      <c r="M1910" s="17" t="s">
        <v>28</v>
      </c>
      <c r="N1910" s="17" t="s">
        <v>4373</v>
      </c>
      <c r="O1910" s="17">
        <v>4.8993574E7</v>
      </c>
      <c r="Q1910" s="17" t="s">
        <v>112</v>
      </c>
      <c r="R1910" s="17"/>
      <c r="S1910" s="17" t="s">
        <v>112</v>
      </c>
      <c r="U1910" s="24"/>
      <c r="V1910" s="24"/>
      <c r="W1910" s="18" t="s">
        <v>638</v>
      </c>
    </row>
    <row r="1911">
      <c r="A1911" s="11"/>
      <c r="B1911" s="12" t="s">
        <v>34</v>
      </c>
      <c r="C1911" s="12" t="s">
        <v>65</v>
      </c>
      <c r="D1911" s="12" t="s">
        <v>43</v>
      </c>
      <c r="E1911" s="12" t="s">
        <v>691</v>
      </c>
      <c r="F1911" s="13" t="s">
        <v>692</v>
      </c>
      <c r="G1911" s="12" t="s">
        <v>68</v>
      </c>
      <c r="H1911" s="12" t="s">
        <v>693</v>
      </c>
      <c r="I1911" s="12" t="s">
        <v>694</v>
      </c>
      <c r="J1911" s="17" t="s">
        <v>2783</v>
      </c>
      <c r="K1911" s="18" t="s">
        <v>2784</v>
      </c>
      <c r="L1911" s="20">
        <v>45904.0</v>
      </c>
      <c r="M1911" s="17" t="s">
        <v>28</v>
      </c>
      <c r="N1911" s="17" t="s">
        <v>4374</v>
      </c>
      <c r="O1911" s="17">
        <v>7.193507E7</v>
      </c>
      <c r="P1911" s="17"/>
      <c r="Q1911" s="17" t="s">
        <v>112</v>
      </c>
      <c r="R1911" s="17"/>
      <c r="S1911" s="17" t="s">
        <v>112</v>
      </c>
      <c r="U1911" s="24"/>
      <c r="V1911" s="24"/>
      <c r="W1911" s="18" t="s">
        <v>638</v>
      </c>
    </row>
    <row r="1912">
      <c r="A1912" s="11"/>
      <c r="B1912" s="12" t="s">
        <v>34</v>
      </c>
      <c r="C1912" s="12" t="s">
        <v>65</v>
      </c>
      <c r="D1912" s="12" t="s">
        <v>43</v>
      </c>
      <c r="E1912" s="12" t="s">
        <v>691</v>
      </c>
      <c r="F1912" s="13" t="s">
        <v>692</v>
      </c>
      <c r="G1912" s="12" t="s">
        <v>68</v>
      </c>
      <c r="H1912" s="12" t="s">
        <v>693</v>
      </c>
      <c r="I1912" s="12" t="s">
        <v>694</v>
      </c>
      <c r="J1912" s="17" t="s">
        <v>2783</v>
      </c>
      <c r="K1912" s="18" t="s">
        <v>2784</v>
      </c>
      <c r="L1912" s="20">
        <v>45904.0</v>
      </c>
      <c r="M1912" s="17" t="s">
        <v>28</v>
      </c>
      <c r="N1912" s="17" t="s">
        <v>4375</v>
      </c>
      <c r="O1912" s="17">
        <v>7.2603569E7</v>
      </c>
      <c r="P1912" s="17"/>
      <c r="Q1912" s="17" t="s">
        <v>112</v>
      </c>
      <c r="R1912" s="17"/>
      <c r="S1912" s="17" t="s">
        <v>112</v>
      </c>
      <c r="U1912" s="24"/>
      <c r="V1912" s="24"/>
      <c r="W1912" s="18" t="s">
        <v>638</v>
      </c>
    </row>
    <row r="1913">
      <c r="A1913" s="11"/>
      <c r="B1913" s="12" t="s">
        <v>34</v>
      </c>
      <c r="C1913" s="12" t="s">
        <v>65</v>
      </c>
      <c r="D1913" s="12" t="s">
        <v>43</v>
      </c>
      <c r="E1913" s="12" t="s">
        <v>691</v>
      </c>
      <c r="F1913" s="13" t="s">
        <v>692</v>
      </c>
      <c r="G1913" s="12" t="s">
        <v>68</v>
      </c>
      <c r="H1913" s="12" t="s">
        <v>693</v>
      </c>
      <c r="I1913" s="12" t="s">
        <v>694</v>
      </c>
      <c r="J1913" s="17" t="s">
        <v>2783</v>
      </c>
      <c r="K1913" s="18" t="s">
        <v>2784</v>
      </c>
      <c r="L1913" s="20">
        <v>45904.0</v>
      </c>
      <c r="M1913" s="17" t="s">
        <v>28</v>
      </c>
      <c r="N1913" s="17" t="s">
        <v>4376</v>
      </c>
      <c r="O1913" s="17">
        <v>7.0989409E7</v>
      </c>
      <c r="P1913" s="17"/>
      <c r="Q1913" s="17" t="s">
        <v>112</v>
      </c>
      <c r="R1913" s="17"/>
      <c r="S1913" s="17" t="s">
        <v>112</v>
      </c>
      <c r="U1913" s="24"/>
      <c r="V1913" s="24"/>
      <c r="W1913" s="18" t="s">
        <v>638</v>
      </c>
    </row>
    <row r="1914">
      <c r="A1914" s="11"/>
      <c r="B1914" s="12" t="s">
        <v>34</v>
      </c>
      <c r="C1914" s="12" t="s">
        <v>65</v>
      </c>
      <c r="D1914" s="12" t="s">
        <v>43</v>
      </c>
      <c r="E1914" s="12" t="s">
        <v>691</v>
      </c>
      <c r="F1914" s="13" t="s">
        <v>692</v>
      </c>
      <c r="G1914" s="12" t="s">
        <v>68</v>
      </c>
      <c r="H1914" s="12" t="s">
        <v>693</v>
      </c>
      <c r="I1914" s="12" t="s">
        <v>694</v>
      </c>
      <c r="J1914" s="17" t="s">
        <v>2783</v>
      </c>
      <c r="K1914" s="18" t="s">
        <v>2784</v>
      </c>
      <c r="L1914" s="20">
        <v>45904.0</v>
      </c>
      <c r="M1914" s="17" t="s">
        <v>28</v>
      </c>
      <c r="N1914" s="17" t="s">
        <v>4377</v>
      </c>
      <c r="O1914" s="17">
        <v>4.5963541E7</v>
      </c>
      <c r="P1914" s="17"/>
      <c r="Q1914" s="17" t="s">
        <v>112</v>
      </c>
      <c r="R1914" s="17"/>
      <c r="S1914" s="17" t="s">
        <v>112</v>
      </c>
      <c r="U1914" s="24"/>
      <c r="V1914" s="24"/>
      <c r="W1914" s="18" t="s">
        <v>638</v>
      </c>
    </row>
    <row r="1915">
      <c r="A1915" s="11"/>
      <c r="B1915" s="12" t="s">
        <v>34</v>
      </c>
      <c r="C1915" s="12" t="s">
        <v>65</v>
      </c>
      <c r="D1915" s="12" t="s">
        <v>43</v>
      </c>
      <c r="E1915" s="12" t="s">
        <v>691</v>
      </c>
      <c r="F1915" s="13" t="s">
        <v>692</v>
      </c>
      <c r="G1915" s="12" t="s">
        <v>68</v>
      </c>
      <c r="H1915" s="12" t="s">
        <v>693</v>
      </c>
      <c r="I1915" s="12" t="s">
        <v>694</v>
      </c>
      <c r="J1915" s="17" t="s">
        <v>2783</v>
      </c>
      <c r="K1915" s="18" t="s">
        <v>2784</v>
      </c>
      <c r="L1915" s="20">
        <v>45904.0</v>
      </c>
      <c r="M1915" s="17" t="s">
        <v>28</v>
      </c>
      <c r="N1915" s="17" t="s">
        <v>4378</v>
      </c>
      <c r="O1915" s="17">
        <v>7.2116884E7</v>
      </c>
      <c r="P1915" s="17"/>
      <c r="Q1915" s="17" t="s">
        <v>112</v>
      </c>
      <c r="R1915" s="17"/>
      <c r="S1915" s="17" t="s">
        <v>112</v>
      </c>
      <c r="U1915" s="24"/>
      <c r="V1915" s="24"/>
      <c r="W1915" s="18" t="s">
        <v>638</v>
      </c>
    </row>
    <row r="1916">
      <c r="A1916" s="11"/>
      <c r="B1916" s="12" t="s">
        <v>34</v>
      </c>
      <c r="C1916" s="12" t="s">
        <v>65</v>
      </c>
      <c r="D1916" s="12" t="s">
        <v>43</v>
      </c>
      <c r="E1916" s="12" t="s">
        <v>691</v>
      </c>
      <c r="F1916" s="13" t="s">
        <v>692</v>
      </c>
      <c r="G1916" s="12" t="s">
        <v>68</v>
      </c>
      <c r="H1916" s="12" t="s">
        <v>693</v>
      </c>
      <c r="I1916" s="12" t="s">
        <v>694</v>
      </c>
      <c r="J1916" s="17" t="s">
        <v>2783</v>
      </c>
      <c r="K1916" s="18" t="s">
        <v>2784</v>
      </c>
      <c r="L1916" s="20">
        <v>45904.0</v>
      </c>
      <c r="M1916" s="17" t="s">
        <v>28</v>
      </c>
      <c r="N1916" s="17" t="s">
        <v>4379</v>
      </c>
      <c r="O1916" s="17">
        <v>4.3079984E7</v>
      </c>
      <c r="P1916" s="17"/>
      <c r="Q1916" s="17" t="s">
        <v>112</v>
      </c>
      <c r="R1916" s="17"/>
      <c r="S1916" s="17" t="s">
        <v>112</v>
      </c>
      <c r="U1916" s="24"/>
      <c r="V1916" s="24"/>
      <c r="W1916" s="18" t="s">
        <v>638</v>
      </c>
    </row>
    <row r="1917">
      <c r="A1917" s="11"/>
      <c r="B1917" s="12" t="s">
        <v>34</v>
      </c>
      <c r="C1917" s="12" t="s">
        <v>65</v>
      </c>
      <c r="D1917" s="12" t="s">
        <v>43</v>
      </c>
      <c r="E1917" s="12" t="s">
        <v>691</v>
      </c>
      <c r="F1917" s="13" t="s">
        <v>692</v>
      </c>
      <c r="G1917" s="12" t="s">
        <v>68</v>
      </c>
      <c r="H1917" s="12" t="s">
        <v>693</v>
      </c>
      <c r="I1917" s="12" t="s">
        <v>694</v>
      </c>
      <c r="J1917" s="17" t="s">
        <v>2783</v>
      </c>
      <c r="K1917" s="18" t="s">
        <v>2784</v>
      </c>
      <c r="L1917" s="20">
        <v>45904.0</v>
      </c>
      <c r="M1917" s="17" t="s">
        <v>28</v>
      </c>
      <c r="N1917" s="17" t="s">
        <v>3370</v>
      </c>
      <c r="O1917" s="17">
        <v>4.6073434E7</v>
      </c>
      <c r="P1917" s="17"/>
      <c r="Q1917" s="17" t="s">
        <v>112</v>
      </c>
      <c r="R1917" s="17"/>
      <c r="S1917" s="17" t="s">
        <v>112</v>
      </c>
      <c r="U1917" s="24"/>
      <c r="V1917" s="24"/>
      <c r="W1917" s="18" t="s">
        <v>638</v>
      </c>
    </row>
    <row r="1918">
      <c r="A1918" s="11"/>
      <c r="B1918" s="12" t="s">
        <v>34</v>
      </c>
      <c r="C1918" s="12" t="s">
        <v>65</v>
      </c>
      <c r="D1918" s="12" t="s">
        <v>43</v>
      </c>
      <c r="E1918" s="12" t="s">
        <v>691</v>
      </c>
      <c r="F1918" s="13" t="s">
        <v>692</v>
      </c>
      <c r="G1918" s="12" t="s">
        <v>68</v>
      </c>
      <c r="H1918" s="12" t="s">
        <v>693</v>
      </c>
      <c r="I1918" s="12" t="s">
        <v>694</v>
      </c>
      <c r="J1918" s="17" t="s">
        <v>2783</v>
      </c>
      <c r="K1918" s="18" t="s">
        <v>2784</v>
      </c>
      <c r="L1918" s="20">
        <v>45904.0</v>
      </c>
      <c r="M1918" s="17" t="s">
        <v>28</v>
      </c>
      <c r="N1918" s="17" t="s">
        <v>4380</v>
      </c>
      <c r="O1918" s="17">
        <v>4.4521142E7</v>
      </c>
      <c r="P1918" s="17"/>
      <c r="Q1918" s="17" t="s">
        <v>108</v>
      </c>
      <c r="R1918" s="17"/>
      <c r="S1918" s="17" t="s">
        <v>108</v>
      </c>
      <c r="U1918" s="24"/>
      <c r="V1918" s="24"/>
      <c r="W1918" s="18" t="s">
        <v>638</v>
      </c>
    </row>
    <row r="1919">
      <c r="A1919" s="11"/>
      <c r="B1919" s="12" t="s">
        <v>34</v>
      </c>
      <c r="C1919" s="12" t="s">
        <v>65</v>
      </c>
      <c r="D1919" s="12" t="s">
        <v>43</v>
      </c>
      <c r="E1919" s="12" t="s">
        <v>691</v>
      </c>
      <c r="F1919" s="13" t="s">
        <v>692</v>
      </c>
      <c r="G1919" s="12" t="s">
        <v>68</v>
      </c>
      <c r="H1919" s="12" t="s">
        <v>693</v>
      </c>
      <c r="I1919" s="12" t="s">
        <v>694</v>
      </c>
      <c r="J1919" s="17" t="s">
        <v>2783</v>
      </c>
      <c r="K1919" s="18" t="s">
        <v>2784</v>
      </c>
      <c r="L1919" s="20">
        <v>45904.0</v>
      </c>
      <c r="M1919" s="17" t="s">
        <v>28</v>
      </c>
      <c r="N1919" s="17" t="s">
        <v>3382</v>
      </c>
      <c r="O1919" s="17">
        <v>7.2095142E7</v>
      </c>
      <c r="P1919" s="17"/>
      <c r="Q1919" s="17" t="s">
        <v>108</v>
      </c>
      <c r="R1919" s="17"/>
      <c r="S1919" s="17" t="s">
        <v>108</v>
      </c>
      <c r="U1919" s="24"/>
      <c r="V1919" s="24"/>
      <c r="W1919" s="18" t="s">
        <v>638</v>
      </c>
    </row>
    <row r="1920">
      <c r="A1920" s="11"/>
      <c r="B1920" s="12" t="s">
        <v>34</v>
      </c>
      <c r="C1920" s="12" t="s">
        <v>65</v>
      </c>
      <c r="D1920" s="12" t="s">
        <v>43</v>
      </c>
      <c r="E1920" s="12" t="s">
        <v>691</v>
      </c>
      <c r="F1920" s="13" t="s">
        <v>692</v>
      </c>
      <c r="G1920" s="12" t="s">
        <v>68</v>
      </c>
      <c r="H1920" s="12" t="s">
        <v>693</v>
      </c>
      <c r="I1920" s="12" t="s">
        <v>694</v>
      </c>
      <c r="J1920" s="17" t="s">
        <v>2783</v>
      </c>
      <c r="K1920" s="18" t="s">
        <v>2784</v>
      </c>
      <c r="L1920" s="20">
        <v>45904.0</v>
      </c>
      <c r="M1920" s="17" t="s">
        <v>28</v>
      </c>
      <c r="N1920" s="17" t="s">
        <v>4381</v>
      </c>
      <c r="O1920" s="17">
        <v>7.0989408E7</v>
      </c>
      <c r="P1920" s="17"/>
      <c r="Q1920" s="17" t="s">
        <v>108</v>
      </c>
      <c r="R1920" s="17"/>
      <c r="S1920" s="17" t="s">
        <v>108</v>
      </c>
      <c r="U1920" s="24"/>
      <c r="V1920" s="24"/>
      <c r="W1920" s="18" t="s">
        <v>638</v>
      </c>
    </row>
    <row r="1921">
      <c r="A1921" s="11"/>
      <c r="B1921" s="12" t="s">
        <v>34</v>
      </c>
      <c r="C1921" s="12" t="s">
        <v>65</v>
      </c>
      <c r="D1921" s="12" t="s">
        <v>43</v>
      </c>
      <c r="E1921" s="12" t="s">
        <v>691</v>
      </c>
      <c r="F1921" s="13" t="s">
        <v>692</v>
      </c>
      <c r="G1921" s="12" t="s">
        <v>68</v>
      </c>
      <c r="H1921" s="12" t="s">
        <v>693</v>
      </c>
      <c r="I1921" s="12" t="s">
        <v>694</v>
      </c>
      <c r="J1921" s="17" t="s">
        <v>2783</v>
      </c>
      <c r="K1921" s="18" t="s">
        <v>2784</v>
      </c>
      <c r="L1921" s="20">
        <v>45904.0</v>
      </c>
      <c r="M1921" s="17" t="s">
        <v>28</v>
      </c>
      <c r="N1921" s="17" t="s">
        <v>3397</v>
      </c>
      <c r="O1921" s="17">
        <v>7.6196519E7</v>
      </c>
      <c r="P1921" s="17"/>
      <c r="Q1921" s="17" t="s">
        <v>108</v>
      </c>
      <c r="R1921" s="17"/>
      <c r="S1921" s="17" t="s">
        <v>108</v>
      </c>
      <c r="U1921" s="24"/>
      <c r="V1921" s="24"/>
      <c r="W1921" s="18" t="s">
        <v>638</v>
      </c>
    </row>
    <row r="1922">
      <c r="A1922" s="11"/>
      <c r="B1922" s="12" t="s">
        <v>34</v>
      </c>
      <c r="C1922" s="12" t="s">
        <v>65</v>
      </c>
      <c r="D1922" s="12" t="s">
        <v>43</v>
      </c>
      <c r="E1922" s="12" t="s">
        <v>691</v>
      </c>
      <c r="F1922" s="13" t="s">
        <v>692</v>
      </c>
      <c r="G1922" s="12" t="s">
        <v>68</v>
      </c>
      <c r="H1922" s="12" t="s">
        <v>693</v>
      </c>
      <c r="I1922" s="12" t="s">
        <v>694</v>
      </c>
      <c r="J1922" s="17" t="s">
        <v>2783</v>
      </c>
      <c r="K1922" s="18" t="s">
        <v>2784</v>
      </c>
      <c r="L1922" s="20">
        <v>45904.0</v>
      </c>
      <c r="M1922" s="17" t="s">
        <v>28</v>
      </c>
      <c r="N1922" s="17" t="s">
        <v>2510</v>
      </c>
      <c r="O1922" s="17">
        <v>7350738.0</v>
      </c>
      <c r="P1922" s="17"/>
      <c r="Q1922" s="17" t="s">
        <v>108</v>
      </c>
      <c r="R1922" s="17"/>
      <c r="S1922" s="17" t="s">
        <v>108</v>
      </c>
      <c r="U1922" s="24"/>
      <c r="V1922" s="24"/>
      <c r="W1922" s="18" t="s">
        <v>638</v>
      </c>
    </row>
    <row r="1923">
      <c r="A1923" s="11"/>
      <c r="B1923" s="12" t="s">
        <v>34</v>
      </c>
      <c r="C1923" s="12" t="s">
        <v>65</v>
      </c>
      <c r="D1923" s="12" t="s">
        <v>43</v>
      </c>
      <c r="E1923" s="12" t="s">
        <v>691</v>
      </c>
      <c r="F1923" s="13" t="s">
        <v>692</v>
      </c>
      <c r="G1923" s="12" t="s">
        <v>68</v>
      </c>
      <c r="H1923" s="12" t="s">
        <v>693</v>
      </c>
      <c r="I1923" s="12" t="s">
        <v>694</v>
      </c>
      <c r="J1923" s="17" t="s">
        <v>2783</v>
      </c>
      <c r="K1923" s="18" t="s">
        <v>2784</v>
      </c>
      <c r="L1923" s="20">
        <v>45904.0</v>
      </c>
      <c r="M1923" s="17" t="s">
        <v>28</v>
      </c>
      <c r="N1923" s="17" t="s">
        <v>4382</v>
      </c>
      <c r="O1923" s="17">
        <v>7.4081121E7</v>
      </c>
      <c r="P1923" s="17"/>
      <c r="Q1923" s="17" t="s">
        <v>108</v>
      </c>
      <c r="R1923" s="17"/>
      <c r="S1923" s="17" t="s">
        <v>108</v>
      </c>
      <c r="U1923" s="24"/>
      <c r="V1923" s="24"/>
      <c r="W1923" s="18" t="s">
        <v>638</v>
      </c>
    </row>
    <row r="1924">
      <c r="A1924" s="11"/>
      <c r="B1924" s="12" t="s">
        <v>34</v>
      </c>
      <c r="C1924" s="12" t="s">
        <v>65</v>
      </c>
      <c r="D1924" s="12" t="s">
        <v>43</v>
      </c>
      <c r="E1924" s="12" t="s">
        <v>717</v>
      </c>
      <c r="F1924" s="13" t="s">
        <v>718</v>
      </c>
      <c r="G1924" s="12" t="s">
        <v>68</v>
      </c>
      <c r="H1924" s="12" t="s">
        <v>719</v>
      </c>
      <c r="I1924" s="12" t="s">
        <v>720</v>
      </c>
      <c r="J1924" s="17" t="s">
        <v>2796</v>
      </c>
      <c r="K1924" s="18" t="s">
        <v>2797</v>
      </c>
      <c r="L1924" s="20">
        <v>45946.0</v>
      </c>
      <c r="M1924" s="17" t="s">
        <v>28</v>
      </c>
      <c r="N1924" s="17" t="s">
        <v>4383</v>
      </c>
      <c r="P1924" s="17"/>
      <c r="Q1924" s="17"/>
      <c r="R1924" s="17"/>
      <c r="S1924" s="17"/>
      <c r="U1924" s="24"/>
      <c r="V1924" s="24"/>
      <c r="W1924" s="18" t="s">
        <v>638</v>
      </c>
    </row>
    <row r="1925">
      <c r="A1925" s="11"/>
      <c r="B1925" s="12" t="s">
        <v>34</v>
      </c>
      <c r="C1925" s="12" t="s">
        <v>65</v>
      </c>
      <c r="D1925" s="12" t="s">
        <v>43</v>
      </c>
      <c r="E1925" s="12" t="s">
        <v>717</v>
      </c>
      <c r="F1925" s="13" t="s">
        <v>718</v>
      </c>
      <c r="G1925" s="12" t="s">
        <v>68</v>
      </c>
      <c r="H1925" s="12" t="s">
        <v>719</v>
      </c>
      <c r="I1925" s="12" t="s">
        <v>720</v>
      </c>
      <c r="J1925" s="17" t="s">
        <v>2796</v>
      </c>
      <c r="K1925" s="18" t="s">
        <v>2797</v>
      </c>
      <c r="L1925" s="20">
        <v>45946.0</v>
      </c>
      <c r="M1925" s="17" t="s">
        <v>28</v>
      </c>
      <c r="N1925" s="17" t="s">
        <v>2572</v>
      </c>
      <c r="P1925" s="17"/>
      <c r="Q1925" s="17"/>
      <c r="R1925" s="17"/>
      <c r="S1925" s="17"/>
      <c r="U1925" s="24"/>
      <c r="V1925" s="24"/>
      <c r="W1925" s="18" t="s">
        <v>638</v>
      </c>
    </row>
    <row r="1926">
      <c r="A1926" s="11"/>
      <c r="B1926" s="12" t="s">
        <v>34</v>
      </c>
      <c r="C1926" s="12" t="s">
        <v>65</v>
      </c>
      <c r="D1926" s="12" t="s">
        <v>43</v>
      </c>
      <c r="E1926" s="12" t="s">
        <v>717</v>
      </c>
      <c r="F1926" s="13" t="s">
        <v>718</v>
      </c>
      <c r="G1926" s="12" t="s">
        <v>68</v>
      </c>
      <c r="H1926" s="12" t="s">
        <v>719</v>
      </c>
      <c r="I1926" s="12" t="s">
        <v>720</v>
      </c>
      <c r="J1926" s="17" t="s">
        <v>2796</v>
      </c>
      <c r="K1926" s="18" t="s">
        <v>2797</v>
      </c>
      <c r="L1926" s="20">
        <v>45946.0</v>
      </c>
      <c r="M1926" s="17" t="s">
        <v>28</v>
      </c>
      <c r="N1926" s="17" t="s">
        <v>4384</v>
      </c>
      <c r="P1926" s="17"/>
      <c r="Q1926" s="17"/>
      <c r="R1926" s="17"/>
      <c r="S1926" s="17"/>
      <c r="U1926" s="24"/>
      <c r="V1926" s="24"/>
      <c r="W1926" s="18" t="s">
        <v>638</v>
      </c>
    </row>
    <row r="1927">
      <c r="A1927" s="11"/>
      <c r="B1927" s="12" t="s">
        <v>34</v>
      </c>
      <c r="C1927" s="12" t="s">
        <v>65</v>
      </c>
      <c r="D1927" s="12" t="s">
        <v>43</v>
      </c>
      <c r="E1927" s="12" t="s">
        <v>717</v>
      </c>
      <c r="F1927" s="13" t="s">
        <v>718</v>
      </c>
      <c r="G1927" s="12" t="s">
        <v>68</v>
      </c>
      <c r="H1927" s="12" t="s">
        <v>719</v>
      </c>
      <c r="I1927" s="12" t="s">
        <v>720</v>
      </c>
      <c r="J1927" s="17" t="s">
        <v>2796</v>
      </c>
      <c r="K1927" s="18" t="s">
        <v>2797</v>
      </c>
      <c r="L1927" s="20">
        <v>45946.0</v>
      </c>
      <c r="M1927" s="17" t="s">
        <v>28</v>
      </c>
      <c r="N1927" s="17" t="s">
        <v>4385</v>
      </c>
      <c r="P1927" s="17"/>
      <c r="Q1927" s="17"/>
      <c r="R1927" s="17"/>
      <c r="S1927" s="17"/>
      <c r="U1927" s="24"/>
      <c r="V1927" s="24"/>
      <c r="W1927" s="18" t="s">
        <v>638</v>
      </c>
    </row>
    <row r="1928">
      <c r="A1928" s="11"/>
      <c r="B1928" s="12" t="s">
        <v>34</v>
      </c>
      <c r="C1928" s="12" t="s">
        <v>65</v>
      </c>
      <c r="D1928" s="12" t="s">
        <v>43</v>
      </c>
      <c r="E1928" s="12" t="s">
        <v>717</v>
      </c>
      <c r="F1928" s="13" t="s">
        <v>718</v>
      </c>
      <c r="G1928" s="12" t="s">
        <v>68</v>
      </c>
      <c r="H1928" s="12" t="s">
        <v>719</v>
      </c>
      <c r="I1928" s="12" t="s">
        <v>720</v>
      </c>
      <c r="J1928" s="17" t="s">
        <v>2796</v>
      </c>
      <c r="K1928" s="18" t="s">
        <v>2797</v>
      </c>
      <c r="L1928" s="20">
        <v>45946.0</v>
      </c>
      <c r="M1928" s="17" t="s">
        <v>28</v>
      </c>
      <c r="N1928" s="17" t="s">
        <v>4386</v>
      </c>
      <c r="P1928" s="17"/>
      <c r="Q1928" s="17"/>
      <c r="R1928" s="17"/>
      <c r="S1928" s="17"/>
      <c r="U1928" s="24"/>
      <c r="V1928" s="24"/>
      <c r="W1928" s="18" t="s">
        <v>638</v>
      </c>
    </row>
    <row r="1929">
      <c r="A1929" s="11"/>
      <c r="B1929" s="12" t="s">
        <v>34</v>
      </c>
      <c r="C1929" s="12" t="s">
        <v>65</v>
      </c>
      <c r="D1929" s="12" t="s">
        <v>43</v>
      </c>
      <c r="E1929" s="12" t="s">
        <v>717</v>
      </c>
      <c r="F1929" s="13" t="s">
        <v>718</v>
      </c>
      <c r="G1929" s="12" t="s">
        <v>68</v>
      </c>
      <c r="H1929" s="12" t="s">
        <v>719</v>
      </c>
      <c r="I1929" s="12" t="s">
        <v>720</v>
      </c>
      <c r="J1929" s="17" t="s">
        <v>2796</v>
      </c>
      <c r="K1929" s="18" t="s">
        <v>2797</v>
      </c>
      <c r="L1929" s="20">
        <v>45946.0</v>
      </c>
      <c r="M1929" s="17" t="s">
        <v>28</v>
      </c>
      <c r="N1929" s="17" t="s">
        <v>4387</v>
      </c>
      <c r="P1929" s="17"/>
      <c r="Q1929" s="17"/>
      <c r="R1929" s="17"/>
      <c r="S1929" s="17"/>
      <c r="U1929" s="24"/>
      <c r="V1929" s="24"/>
      <c r="W1929" s="18" t="s">
        <v>638</v>
      </c>
    </row>
    <row r="1930">
      <c r="A1930" s="11"/>
      <c r="B1930" s="12" t="s">
        <v>34</v>
      </c>
      <c r="C1930" s="12" t="s">
        <v>65</v>
      </c>
      <c r="D1930" s="12" t="s">
        <v>43</v>
      </c>
      <c r="E1930" s="12" t="s">
        <v>717</v>
      </c>
      <c r="F1930" s="13" t="s">
        <v>718</v>
      </c>
      <c r="G1930" s="12" t="s">
        <v>68</v>
      </c>
      <c r="H1930" s="12" t="s">
        <v>719</v>
      </c>
      <c r="I1930" s="12" t="s">
        <v>720</v>
      </c>
      <c r="J1930" s="17" t="s">
        <v>2796</v>
      </c>
      <c r="K1930" s="18" t="s">
        <v>2797</v>
      </c>
      <c r="L1930" s="20">
        <v>45946.0</v>
      </c>
      <c r="M1930" s="17" t="s">
        <v>28</v>
      </c>
      <c r="N1930" s="17" t="s">
        <v>3860</v>
      </c>
      <c r="P1930" s="17"/>
      <c r="Q1930" s="17"/>
      <c r="R1930" s="17"/>
      <c r="S1930" s="17"/>
      <c r="U1930" s="24"/>
      <c r="V1930" s="24"/>
      <c r="W1930" s="18" t="s">
        <v>638</v>
      </c>
    </row>
    <row r="1931">
      <c r="A1931" s="11"/>
      <c r="B1931" s="12" t="s">
        <v>34</v>
      </c>
      <c r="C1931" s="12" t="s">
        <v>65</v>
      </c>
      <c r="D1931" s="12" t="s">
        <v>43</v>
      </c>
      <c r="E1931" s="12" t="s">
        <v>717</v>
      </c>
      <c r="F1931" s="13" t="s">
        <v>718</v>
      </c>
      <c r="G1931" s="12" t="s">
        <v>68</v>
      </c>
      <c r="H1931" s="12" t="s">
        <v>719</v>
      </c>
      <c r="I1931" s="12" t="s">
        <v>720</v>
      </c>
      <c r="J1931" s="17" t="s">
        <v>2796</v>
      </c>
      <c r="K1931" s="18" t="s">
        <v>2797</v>
      </c>
      <c r="L1931" s="20">
        <v>45946.0</v>
      </c>
      <c r="M1931" s="17" t="s">
        <v>28</v>
      </c>
      <c r="N1931" s="17" t="s">
        <v>4388</v>
      </c>
      <c r="P1931" s="17"/>
      <c r="Q1931" s="17"/>
      <c r="R1931" s="17"/>
      <c r="S1931" s="17"/>
      <c r="U1931" s="24"/>
      <c r="V1931" s="24"/>
      <c r="W1931" s="18" t="s">
        <v>638</v>
      </c>
    </row>
    <row r="1932">
      <c r="A1932" s="11"/>
      <c r="B1932" s="12" t="s">
        <v>34</v>
      </c>
      <c r="C1932" s="12" t="s">
        <v>65</v>
      </c>
      <c r="D1932" s="12" t="s">
        <v>43</v>
      </c>
      <c r="E1932" s="12" t="s">
        <v>717</v>
      </c>
      <c r="F1932" s="13" t="s">
        <v>718</v>
      </c>
      <c r="G1932" s="12" t="s">
        <v>68</v>
      </c>
      <c r="H1932" s="12" t="s">
        <v>719</v>
      </c>
      <c r="I1932" s="12" t="s">
        <v>720</v>
      </c>
      <c r="J1932" s="17" t="s">
        <v>2796</v>
      </c>
      <c r="K1932" s="18" t="s">
        <v>2797</v>
      </c>
      <c r="L1932" s="20">
        <v>45946.0</v>
      </c>
      <c r="M1932" s="17" t="s">
        <v>28</v>
      </c>
      <c r="N1932" s="17" t="s">
        <v>2596</v>
      </c>
      <c r="P1932" s="17"/>
      <c r="Q1932" s="17"/>
      <c r="R1932" s="17"/>
      <c r="S1932" s="17"/>
      <c r="U1932" s="24"/>
      <c r="V1932" s="24"/>
      <c r="W1932" s="18" t="s">
        <v>638</v>
      </c>
    </row>
    <row r="1933">
      <c r="A1933" s="11"/>
      <c r="B1933" s="12" t="s">
        <v>34</v>
      </c>
      <c r="C1933" s="12" t="s">
        <v>65</v>
      </c>
      <c r="D1933" s="12" t="s">
        <v>43</v>
      </c>
      <c r="E1933" s="12" t="s">
        <v>717</v>
      </c>
      <c r="F1933" s="13" t="s">
        <v>718</v>
      </c>
      <c r="G1933" s="12" t="s">
        <v>68</v>
      </c>
      <c r="H1933" s="12" t="s">
        <v>719</v>
      </c>
      <c r="I1933" s="12" t="s">
        <v>720</v>
      </c>
      <c r="J1933" s="17" t="s">
        <v>2796</v>
      </c>
      <c r="K1933" s="18" t="s">
        <v>2797</v>
      </c>
      <c r="L1933" s="20">
        <v>45946.0</v>
      </c>
      <c r="M1933" s="17" t="s">
        <v>28</v>
      </c>
      <c r="N1933" s="17" t="s">
        <v>4389</v>
      </c>
      <c r="P1933" s="17"/>
      <c r="Q1933" s="17"/>
      <c r="R1933" s="17"/>
      <c r="S1933" s="17"/>
      <c r="U1933" s="24"/>
      <c r="V1933" s="24"/>
      <c r="W1933" s="18" t="s">
        <v>638</v>
      </c>
    </row>
    <row r="1934">
      <c r="A1934" s="11"/>
      <c r="B1934" s="12" t="s">
        <v>34</v>
      </c>
      <c r="C1934" s="12" t="s">
        <v>65</v>
      </c>
      <c r="D1934" s="12" t="s">
        <v>43</v>
      </c>
      <c r="E1934" s="12" t="s">
        <v>717</v>
      </c>
      <c r="F1934" s="13" t="s">
        <v>718</v>
      </c>
      <c r="G1934" s="12" t="s">
        <v>68</v>
      </c>
      <c r="H1934" s="12" t="s">
        <v>719</v>
      </c>
      <c r="I1934" s="12" t="s">
        <v>720</v>
      </c>
      <c r="J1934" s="17" t="s">
        <v>2796</v>
      </c>
      <c r="K1934" s="18" t="s">
        <v>2797</v>
      </c>
      <c r="L1934" s="20">
        <v>45946.0</v>
      </c>
      <c r="M1934" s="17" t="s">
        <v>28</v>
      </c>
      <c r="N1934" s="17" t="s">
        <v>2524</v>
      </c>
      <c r="P1934" s="17"/>
      <c r="Q1934" s="17"/>
      <c r="R1934" s="17"/>
      <c r="S1934" s="17"/>
      <c r="U1934" s="24"/>
      <c r="V1934" s="24"/>
      <c r="W1934" s="18" t="s">
        <v>638</v>
      </c>
    </row>
    <row r="1935">
      <c r="A1935" s="11"/>
      <c r="B1935" s="12" t="s">
        <v>34</v>
      </c>
      <c r="C1935" s="12" t="s">
        <v>65</v>
      </c>
      <c r="D1935" s="12" t="s">
        <v>43</v>
      </c>
      <c r="E1935" s="12" t="s">
        <v>717</v>
      </c>
      <c r="F1935" s="13" t="s">
        <v>718</v>
      </c>
      <c r="G1935" s="12" t="s">
        <v>68</v>
      </c>
      <c r="H1935" s="12" t="s">
        <v>719</v>
      </c>
      <c r="I1935" s="12" t="s">
        <v>720</v>
      </c>
      <c r="J1935" s="17" t="s">
        <v>2796</v>
      </c>
      <c r="K1935" s="18" t="s">
        <v>2797</v>
      </c>
      <c r="L1935" s="20">
        <v>45946.0</v>
      </c>
      <c r="M1935" s="17" t="s">
        <v>28</v>
      </c>
      <c r="N1935" s="17" t="s">
        <v>4390</v>
      </c>
      <c r="P1935" s="17"/>
      <c r="Q1935" s="17"/>
      <c r="R1935" s="17"/>
      <c r="S1935" s="17"/>
      <c r="U1935" s="24"/>
      <c r="V1935" s="24"/>
      <c r="W1935" s="18" t="s">
        <v>638</v>
      </c>
    </row>
    <row r="1936">
      <c r="A1936" s="11"/>
      <c r="B1936" s="12" t="s">
        <v>34</v>
      </c>
      <c r="C1936" s="12" t="s">
        <v>65</v>
      </c>
      <c r="D1936" s="12" t="s">
        <v>43</v>
      </c>
      <c r="E1936" s="12" t="s">
        <v>717</v>
      </c>
      <c r="F1936" s="13" t="s">
        <v>718</v>
      </c>
      <c r="G1936" s="12" t="s">
        <v>68</v>
      </c>
      <c r="H1936" s="12" t="s">
        <v>719</v>
      </c>
      <c r="I1936" s="12" t="s">
        <v>720</v>
      </c>
      <c r="J1936" s="17" t="s">
        <v>2796</v>
      </c>
      <c r="K1936" s="18" t="s">
        <v>2797</v>
      </c>
      <c r="L1936" s="20">
        <v>45946.0</v>
      </c>
      <c r="M1936" s="17" t="s">
        <v>28</v>
      </c>
      <c r="N1936" s="17" t="s">
        <v>4391</v>
      </c>
      <c r="P1936" s="17"/>
      <c r="Q1936" s="17"/>
      <c r="R1936" s="17"/>
      <c r="S1936" s="17"/>
      <c r="U1936" s="24"/>
      <c r="V1936" s="24"/>
      <c r="W1936" s="18" t="s">
        <v>638</v>
      </c>
    </row>
    <row r="1937">
      <c r="A1937" s="11"/>
      <c r="B1937" s="12" t="s">
        <v>34</v>
      </c>
      <c r="C1937" s="12" t="s">
        <v>65</v>
      </c>
      <c r="D1937" s="12" t="s">
        <v>43</v>
      </c>
      <c r="E1937" s="12" t="s">
        <v>717</v>
      </c>
      <c r="F1937" s="13" t="s">
        <v>718</v>
      </c>
      <c r="G1937" s="12" t="s">
        <v>68</v>
      </c>
      <c r="H1937" s="12" t="s">
        <v>719</v>
      </c>
      <c r="I1937" s="12" t="s">
        <v>720</v>
      </c>
      <c r="J1937" s="17" t="s">
        <v>2796</v>
      </c>
      <c r="K1937" s="18" t="s">
        <v>2797</v>
      </c>
      <c r="L1937" s="20">
        <v>45946.0</v>
      </c>
      <c r="M1937" s="17" t="s">
        <v>28</v>
      </c>
      <c r="N1937" s="17" t="s">
        <v>4392</v>
      </c>
      <c r="P1937" s="17"/>
      <c r="Q1937" s="17"/>
      <c r="R1937" s="17"/>
      <c r="S1937" s="17"/>
      <c r="U1937" s="24"/>
      <c r="V1937" s="24"/>
      <c r="W1937" s="18" t="s">
        <v>638</v>
      </c>
    </row>
    <row r="1938">
      <c r="A1938" s="11"/>
      <c r="B1938" s="12" t="s">
        <v>34</v>
      </c>
      <c r="C1938" s="12" t="s">
        <v>65</v>
      </c>
      <c r="D1938" s="12" t="s">
        <v>43</v>
      </c>
      <c r="E1938" s="12" t="s">
        <v>717</v>
      </c>
      <c r="F1938" s="13" t="s">
        <v>718</v>
      </c>
      <c r="G1938" s="12" t="s">
        <v>68</v>
      </c>
      <c r="H1938" s="12" t="s">
        <v>719</v>
      </c>
      <c r="I1938" s="12" t="s">
        <v>720</v>
      </c>
      <c r="J1938" s="17" t="s">
        <v>2796</v>
      </c>
      <c r="K1938" s="18" t="s">
        <v>2797</v>
      </c>
      <c r="L1938" s="20">
        <v>45946.0</v>
      </c>
      <c r="M1938" s="17" t="s">
        <v>28</v>
      </c>
      <c r="N1938" s="17" t="s">
        <v>2528</v>
      </c>
      <c r="P1938" s="17"/>
      <c r="Q1938" s="17"/>
      <c r="R1938" s="17"/>
      <c r="S1938" s="17"/>
      <c r="U1938" s="24"/>
      <c r="V1938" s="24"/>
      <c r="W1938" s="18" t="s">
        <v>638</v>
      </c>
    </row>
    <row r="1939">
      <c r="A1939" s="11"/>
      <c r="B1939" s="12" t="s">
        <v>34</v>
      </c>
      <c r="C1939" s="12" t="s">
        <v>65</v>
      </c>
      <c r="D1939" s="12" t="s">
        <v>43</v>
      </c>
      <c r="E1939" s="12" t="s">
        <v>717</v>
      </c>
      <c r="F1939" s="13" t="s">
        <v>718</v>
      </c>
      <c r="G1939" s="12" t="s">
        <v>68</v>
      </c>
      <c r="H1939" s="12" t="s">
        <v>719</v>
      </c>
      <c r="I1939" s="12" t="s">
        <v>720</v>
      </c>
      <c r="J1939" s="17" t="s">
        <v>2796</v>
      </c>
      <c r="K1939" s="18" t="s">
        <v>2797</v>
      </c>
      <c r="L1939" s="20">
        <v>45946.0</v>
      </c>
      <c r="M1939" s="17" t="s">
        <v>28</v>
      </c>
      <c r="N1939" s="17" t="s">
        <v>4393</v>
      </c>
      <c r="P1939" s="17"/>
      <c r="Q1939" s="17"/>
      <c r="R1939" s="17"/>
      <c r="S1939" s="17"/>
      <c r="U1939" s="24"/>
      <c r="V1939" s="24"/>
      <c r="W1939" s="18" t="s">
        <v>638</v>
      </c>
    </row>
    <row r="1940">
      <c r="A1940" s="11"/>
      <c r="B1940" s="12" t="s">
        <v>34</v>
      </c>
      <c r="C1940" s="12" t="s">
        <v>65</v>
      </c>
      <c r="D1940" s="12" t="s">
        <v>43</v>
      </c>
      <c r="E1940" s="12" t="s">
        <v>717</v>
      </c>
      <c r="F1940" s="13" t="s">
        <v>718</v>
      </c>
      <c r="G1940" s="12" t="s">
        <v>68</v>
      </c>
      <c r="H1940" s="12" t="s">
        <v>719</v>
      </c>
      <c r="I1940" s="12" t="s">
        <v>720</v>
      </c>
      <c r="J1940" s="17" t="s">
        <v>2796</v>
      </c>
      <c r="K1940" s="18" t="s">
        <v>2797</v>
      </c>
      <c r="L1940" s="20">
        <v>45946.0</v>
      </c>
      <c r="M1940" s="17" t="s">
        <v>28</v>
      </c>
      <c r="N1940" s="17" t="s">
        <v>4394</v>
      </c>
      <c r="P1940" s="17"/>
      <c r="Q1940" s="17"/>
      <c r="R1940" s="17"/>
      <c r="S1940" s="17"/>
      <c r="U1940" s="24"/>
      <c r="V1940" s="24"/>
      <c r="W1940" s="18" t="s">
        <v>638</v>
      </c>
    </row>
    <row r="1941">
      <c r="A1941" s="11"/>
      <c r="B1941" s="12" t="s">
        <v>34</v>
      </c>
      <c r="C1941" s="12" t="s">
        <v>65</v>
      </c>
      <c r="D1941" s="12" t="s">
        <v>43</v>
      </c>
      <c r="E1941" s="12" t="s">
        <v>717</v>
      </c>
      <c r="F1941" s="13" t="s">
        <v>718</v>
      </c>
      <c r="G1941" s="12" t="s">
        <v>68</v>
      </c>
      <c r="H1941" s="12" t="s">
        <v>719</v>
      </c>
      <c r="I1941" s="12" t="s">
        <v>720</v>
      </c>
      <c r="J1941" s="17" t="s">
        <v>2796</v>
      </c>
      <c r="K1941" s="18" t="s">
        <v>2797</v>
      </c>
      <c r="L1941" s="20">
        <v>45946.0</v>
      </c>
      <c r="M1941" s="17" t="s">
        <v>28</v>
      </c>
      <c r="N1941" s="17" t="s">
        <v>4395</v>
      </c>
      <c r="P1941" s="17"/>
      <c r="Q1941" s="17"/>
      <c r="R1941" s="17"/>
      <c r="S1941" s="17"/>
      <c r="U1941" s="24"/>
      <c r="V1941" s="24"/>
      <c r="W1941" s="18" t="s">
        <v>638</v>
      </c>
    </row>
    <row r="1942">
      <c r="A1942" s="11"/>
      <c r="B1942" s="12" t="s">
        <v>34</v>
      </c>
      <c r="C1942" s="12" t="s">
        <v>65</v>
      </c>
      <c r="D1942" s="12" t="s">
        <v>43</v>
      </c>
      <c r="E1942" s="12" t="s">
        <v>717</v>
      </c>
      <c r="F1942" s="13" t="s">
        <v>718</v>
      </c>
      <c r="G1942" s="12" t="s">
        <v>68</v>
      </c>
      <c r="H1942" s="12" t="s">
        <v>719</v>
      </c>
      <c r="I1942" s="12" t="s">
        <v>720</v>
      </c>
      <c r="J1942" s="17" t="s">
        <v>2796</v>
      </c>
      <c r="K1942" s="18" t="s">
        <v>2797</v>
      </c>
      <c r="L1942" s="20">
        <v>45946.0</v>
      </c>
      <c r="M1942" s="17" t="s">
        <v>28</v>
      </c>
      <c r="N1942" s="17" t="s">
        <v>4396</v>
      </c>
      <c r="P1942" s="17"/>
      <c r="Q1942" s="17"/>
      <c r="R1942" s="17"/>
      <c r="S1942" s="17"/>
      <c r="U1942" s="24"/>
      <c r="V1942" s="24"/>
      <c r="W1942" s="18" t="s">
        <v>638</v>
      </c>
    </row>
    <row r="1943">
      <c r="A1943" s="11"/>
      <c r="B1943" s="12" t="s">
        <v>34</v>
      </c>
      <c r="C1943" s="12" t="s">
        <v>65</v>
      </c>
      <c r="D1943" s="12" t="s">
        <v>43</v>
      </c>
      <c r="E1943" s="12" t="s">
        <v>717</v>
      </c>
      <c r="F1943" s="13" t="s">
        <v>718</v>
      </c>
      <c r="G1943" s="12" t="s">
        <v>68</v>
      </c>
      <c r="H1943" s="12" t="s">
        <v>719</v>
      </c>
      <c r="I1943" s="12" t="s">
        <v>720</v>
      </c>
      <c r="J1943" s="17" t="s">
        <v>2796</v>
      </c>
      <c r="K1943" s="18" t="s">
        <v>2797</v>
      </c>
      <c r="L1943" s="20">
        <v>45946.0</v>
      </c>
      <c r="M1943" s="17" t="s">
        <v>28</v>
      </c>
      <c r="N1943" s="17" t="s">
        <v>4397</v>
      </c>
      <c r="P1943" s="17"/>
      <c r="Q1943" s="17"/>
      <c r="R1943" s="17"/>
      <c r="S1943" s="17"/>
      <c r="U1943" s="24"/>
      <c r="V1943" s="24"/>
      <c r="W1943" s="18" t="s">
        <v>638</v>
      </c>
    </row>
    <row r="1944">
      <c r="A1944" s="11"/>
      <c r="B1944" s="12" t="s">
        <v>34</v>
      </c>
      <c r="C1944" s="12" t="s">
        <v>65</v>
      </c>
      <c r="D1944" s="12" t="s">
        <v>43</v>
      </c>
      <c r="E1944" s="12" t="s">
        <v>717</v>
      </c>
      <c r="F1944" s="13" t="s">
        <v>718</v>
      </c>
      <c r="G1944" s="12" t="s">
        <v>68</v>
      </c>
      <c r="H1944" s="12" t="s">
        <v>719</v>
      </c>
      <c r="I1944" s="12" t="s">
        <v>720</v>
      </c>
      <c r="J1944" s="17" t="s">
        <v>2796</v>
      </c>
      <c r="K1944" s="18" t="s">
        <v>2797</v>
      </c>
      <c r="L1944" s="20">
        <v>45946.0</v>
      </c>
      <c r="M1944" s="17" t="s">
        <v>28</v>
      </c>
      <c r="N1944" s="17" t="s">
        <v>3331</v>
      </c>
      <c r="P1944" s="17"/>
      <c r="Q1944" s="17"/>
      <c r="R1944" s="17"/>
      <c r="S1944" s="17"/>
      <c r="U1944" s="24"/>
      <c r="V1944" s="24"/>
      <c r="W1944" s="18" t="s">
        <v>638</v>
      </c>
    </row>
    <row r="1945">
      <c r="A1945" s="11"/>
      <c r="B1945" s="12" t="s">
        <v>34</v>
      </c>
      <c r="C1945" s="12" t="s">
        <v>65</v>
      </c>
      <c r="D1945" s="12" t="s">
        <v>43</v>
      </c>
      <c r="E1945" s="12" t="s">
        <v>717</v>
      </c>
      <c r="F1945" s="13" t="s">
        <v>718</v>
      </c>
      <c r="G1945" s="12" t="s">
        <v>68</v>
      </c>
      <c r="H1945" s="12" t="s">
        <v>719</v>
      </c>
      <c r="I1945" s="12" t="s">
        <v>720</v>
      </c>
      <c r="J1945" s="17" t="s">
        <v>2796</v>
      </c>
      <c r="K1945" s="18" t="s">
        <v>2797</v>
      </c>
      <c r="L1945" s="20">
        <v>45946.0</v>
      </c>
      <c r="M1945" s="17" t="s">
        <v>28</v>
      </c>
      <c r="N1945" s="17" t="s">
        <v>4398</v>
      </c>
      <c r="P1945" s="17"/>
      <c r="Q1945" s="17"/>
      <c r="R1945" s="17"/>
      <c r="S1945" s="17"/>
      <c r="U1945" s="24"/>
      <c r="V1945" s="24"/>
      <c r="W1945" s="18" t="s">
        <v>638</v>
      </c>
    </row>
    <row r="1946">
      <c r="A1946" s="11"/>
      <c r="B1946" s="12" t="s">
        <v>34</v>
      </c>
      <c r="C1946" s="12" t="s">
        <v>65</v>
      </c>
      <c r="D1946" s="12" t="s">
        <v>43</v>
      </c>
      <c r="E1946" s="12" t="s">
        <v>717</v>
      </c>
      <c r="F1946" s="13" t="s">
        <v>718</v>
      </c>
      <c r="G1946" s="12" t="s">
        <v>68</v>
      </c>
      <c r="H1946" s="12" t="s">
        <v>719</v>
      </c>
      <c r="I1946" s="12" t="s">
        <v>720</v>
      </c>
      <c r="J1946" s="17" t="s">
        <v>2796</v>
      </c>
      <c r="K1946" s="18" t="s">
        <v>2797</v>
      </c>
      <c r="L1946" s="20">
        <v>45946.0</v>
      </c>
      <c r="M1946" s="17" t="s">
        <v>28</v>
      </c>
      <c r="N1946" s="17" t="s">
        <v>2590</v>
      </c>
      <c r="P1946" s="17"/>
      <c r="Q1946" s="17"/>
      <c r="R1946" s="17"/>
      <c r="S1946" s="17"/>
      <c r="U1946" s="24"/>
      <c r="V1946" s="24"/>
      <c r="W1946" s="18" t="s">
        <v>638</v>
      </c>
    </row>
    <row r="1947">
      <c r="A1947" s="11"/>
      <c r="B1947" s="12" t="s">
        <v>34</v>
      </c>
      <c r="C1947" s="12" t="s">
        <v>65</v>
      </c>
      <c r="D1947" s="12" t="s">
        <v>43</v>
      </c>
      <c r="E1947" s="12" t="s">
        <v>717</v>
      </c>
      <c r="F1947" s="13" t="s">
        <v>718</v>
      </c>
      <c r="G1947" s="12" t="s">
        <v>68</v>
      </c>
      <c r="H1947" s="12" t="s">
        <v>719</v>
      </c>
      <c r="I1947" s="12" t="s">
        <v>720</v>
      </c>
      <c r="J1947" s="17" t="s">
        <v>2796</v>
      </c>
      <c r="K1947" s="18" t="s">
        <v>2797</v>
      </c>
      <c r="L1947" s="20">
        <v>45946.0</v>
      </c>
      <c r="M1947" s="17" t="s">
        <v>28</v>
      </c>
      <c r="N1947" s="17" t="s">
        <v>4399</v>
      </c>
      <c r="P1947" s="17"/>
      <c r="Q1947" s="17"/>
      <c r="R1947" s="17"/>
      <c r="S1947" s="17"/>
      <c r="U1947" s="24"/>
      <c r="V1947" s="24"/>
      <c r="W1947" s="18" t="s">
        <v>638</v>
      </c>
    </row>
    <row r="1948">
      <c r="A1948" s="11"/>
      <c r="B1948" s="12" t="s">
        <v>34</v>
      </c>
      <c r="C1948" s="12" t="s">
        <v>65</v>
      </c>
      <c r="D1948" s="12" t="s">
        <v>43</v>
      </c>
      <c r="E1948" s="12" t="s">
        <v>717</v>
      </c>
      <c r="F1948" s="13" t="s">
        <v>718</v>
      </c>
      <c r="G1948" s="12" t="s">
        <v>68</v>
      </c>
      <c r="H1948" s="12" t="s">
        <v>719</v>
      </c>
      <c r="I1948" s="12" t="s">
        <v>720</v>
      </c>
      <c r="J1948" s="17" t="s">
        <v>2796</v>
      </c>
      <c r="K1948" s="18" t="s">
        <v>2797</v>
      </c>
      <c r="L1948" s="20">
        <v>45946.0</v>
      </c>
      <c r="M1948" s="17" t="s">
        <v>28</v>
      </c>
      <c r="N1948" s="17" t="s">
        <v>3874</v>
      </c>
      <c r="P1948" s="17"/>
      <c r="Q1948" s="17"/>
      <c r="R1948" s="17"/>
      <c r="S1948" s="17"/>
      <c r="U1948" s="24"/>
      <c r="V1948" s="24"/>
      <c r="W1948" s="18" t="s">
        <v>638</v>
      </c>
    </row>
    <row r="1949">
      <c r="A1949" s="11"/>
      <c r="B1949" s="12" t="s">
        <v>34</v>
      </c>
      <c r="C1949" s="12" t="s">
        <v>65</v>
      </c>
      <c r="D1949" s="12" t="s">
        <v>83</v>
      </c>
      <c r="E1949" s="12" t="s">
        <v>632</v>
      </c>
      <c r="F1949" s="13" t="s">
        <v>633</v>
      </c>
      <c r="G1949" s="12" t="s">
        <v>68</v>
      </c>
      <c r="H1949" s="12" t="s">
        <v>634</v>
      </c>
      <c r="I1949" s="12" t="s">
        <v>635</v>
      </c>
      <c r="J1949" s="17" t="s">
        <v>2800</v>
      </c>
      <c r="K1949" s="18" t="s">
        <v>2801</v>
      </c>
      <c r="L1949" s="20">
        <v>45966.0</v>
      </c>
      <c r="M1949" s="17" t="s">
        <v>28</v>
      </c>
      <c r="N1949" s="81" t="s">
        <v>2430</v>
      </c>
      <c r="O1949" s="122">
        <v>7.2125061E7</v>
      </c>
      <c r="P1949" s="46" t="s">
        <v>2431</v>
      </c>
      <c r="Q1949" s="46" t="s">
        <v>112</v>
      </c>
      <c r="R1949" s="17"/>
      <c r="S1949" s="17"/>
      <c r="U1949" s="24"/>
      <c r="V1949" s="24"/>
      <c r="W1949" s="18" t="s">
        <v>638</v>
      </c>
    </row>
    <row r="1950">
      <c r="A1950" s="11"/>
      <c r="B1950" s="12" t="s">
        <v>34</v>
      </c>
      <c r="C1950" s="12" t="s">
        <v>65</v>
      </c>
      <c r="D1950" s="12" t="s">
        <v>83</v>
      </c>
      <c r="E1950" s="12" t="s">
        <v>632</v>
      </c>
      <c r="F1950" s="13" t="s">
        <v>633</v>
      </c>
      <c r="G1950" s="12" t="s">
        <v>68</v>
      </c>
      <c r="H1950" s="12" t="s">
        <v>634</v>
      </c>
      <c r="I1950" s="12" t="s">
        <v>635</v>
      </c>
      <c r="J1950" s="17" t="s">
        <v>2800</v>
      </c>
      <c r="K1950" s="18" t="s">
        <v>2801</v>
      </c>
      <c r="L1950" s="20">
        <v>45966.0</v>
      </c>
      <c r="M1950" s="17" t="s">
        <v>28</v>
      </c>
      <c r="N1950" s="46" t="s">
        <v>2421</v>
      </c>
      <c r="O1950" s="122">
        <v>7.1964894E7</v>
      </c>
      <c r="P1950" s="46" t="s">
        <v>2422</v>
      </c>
      <c r="Q1950" s="46" t="s">
        <v>73</v>
      </c>
      <c r="R1950" s="17"/>
      <c r="S1950" s="17"/>
      <c r="U1950" s="24"/>
      <c r="V1950" s="24"/>
      <c r="W1950" s="18" t="s">
        <v>638</v>
      </c>
    </row>
    <row r="1951">
      <c r="A1951" s="11"/>
      <c r="B1951" s="12" t="s">
        <v>34</v>
      </c>
      <c r="C1951" s="12" t="s">
        <v>65</v>
      </c>
      <c r="D1951" s="12" t="s">
        <v>83</v>
      </c>
      <c r="E1951" s="12" t="s">
        <v>632</v>
      </c>
      <c r="F1951" s="13" t="s">
        <v>633</v>
      </c>
      <c r="G1951" s="12" t="s">
        <v>68</v>
      </c>
      <c r="H1951" s="12" t="s">
        <v>634</v>
      </c>
      <c r="I1951" s="12" t="s">
        <v>635</v>
      </c>
      <c r="J1951" s="17" t="s">
        <v>2800</v>
      </c>
      <c r="K1951" s="18" t="s">
        <v>2801</v>
      </c>
      <c r="L1951" s="20">
        <v>45966.0</v>
      </c>
      <c r="M1951" s="17" t="s">
        <v>28</v>
      </c>
      <c r="N1951" s="46" t="s">
        <v>2402</v>
      </c>
      <c r="O1951" s="21"/>
      <c r="P1951" s="46" t="s">
        <v>2403</v>
      </c>
      <c r="Q1951" s="46" t="s">
        <v>112</v>
      </c>
      <c r="R1951" s="17"/>
      <c r="S1951" s="17"/>
      <c r="U1951" s="24"/>
      <c r="V1951" s="24"/>
      <c r="W1951" s="18" t="s">
        <v>638</v>
      </c>
    </row>
    <row r="1952">
      <c r="A1952" s="11"/>
      <c r="B1952" s="12" t="s">
        <v>34</v>
      </c>
      <c r="C1952" s="12" t="s">
        <v>65</v>
      </c>
      <c r="D1952" s="12" t="s">
        <v>83</v>
      </c>
      <c r="E1952" s="12" t="s">
        <v>632</v>
      </c>
      <c r="F1952" s="13" t="s">
        <v>633</v>
      </c>
      <c r="G1952" s="12" t="s">
        <v>68</v>
      </c>
      <c r="H1952" s="12" t="s">
        <v>634</v>
      </c>
      <c r="I1952" s="12" t="s">
        <v>635</v>
      </c>
      <c r="J1952" s="17" t="s">
        <v>2800</v>
      </c>
      <c r="K1952" s="18" t="s">
        <v>2801</v>
      </c>
      <c r="L1952" s="20">
        <v>45966.0</v>
      </c>
      <c r="M1952" s="17" t="s">
        <v>28</v>
      </c>
      <c r="N1952" s="46" t="s">
        <v>2396</v>
      </c>
      <c r="O1952" s="21"/>
      <c r="P1952" s="46"/>
      <c r="Q1952" s="46"/>
      <c r="R1952" s="17"/>
      <c r="S1952" s="17"/>
      <c r="U1952" s="24"/>
      <c r="V1952" s="24"/>
      <c r="W1952" s="18" t="s">
        <v>638</v>
      </c>
    </row>
    <row r="1953">
      <c r="A1953" s="11"/>
      <c r="B1953" s="12" t="s">
        <v>34</v>
      </c>
      <c r="C1953" s="12" t="s">
        <v>65</v>
      </c>
      <c r="D1953" s="12" t="s">
        <v>83</v>
      </c>
      <c r="E1953" s="12" t="s">
        <v>632</v>
      </c>
      <c r="F1953" s="13" t="s">
        <v>633</v>
      </c>
      <c r="G1953" s="12" t="s">
        <v>68</v>
      </c>
      <c r="H1953" s="12" t="s">
        <v>634</v>
      </c>
      <c r="I1953" s="12" t="s">
        <v>635</v>
      </c>
      <c r="J1953" s="17" t="s">
        <v>2800</v>
      </c>
      <c r="K1953" s="18" t="s">
        <v>2801</v>
      </c>
      <c r="L1953" s="20">
        <v>45966.0</v>
      </c>
      <c r="M1953" s="17" t="s">
        <v>28</v>
      </c>
      <c r="N1953" s="46" t="s">
        <v>2415</v>
      </c>
      <c r="O1953" s="122">
        <v>4.346857E7</v>
      </c>
      <c r="P1953" s="46" t="s">
        <v>2416</v>
      </c>
      <c r="Q1953" s="46" t="s">
        <v>112</v>
      </c>
      <c r="R1953" s="17"/>
      <c r="S1953" s="17"/>
      <c r="U1953" s="24"/>
      <c r="V1953" s="24"/>
      <c r="W1953" s="18" t="s">
        <v>638</v>
      </c>
    </row>
    <row r="1954">
      <c r="A1954" s="11"/>
      <c r="B1954" s="12" t="s">
        <v>34</v>
      </c>
      <c r="C1954" s="12" t="s">
        <v>65</v>
      </c>
      <c r="D1954" s="12" t="s">
        <v>83</v>
      </c>
      <c r="E1954" s="12" t="s">
        <v>632</v>
      </c>
      <c r="F1954" s="13" t="s">
        <v>633</v>
      </c>
      <c r="G1954" s="12" t="s">
        <v>68</v>
      </c>
      <c r="H1954" s="12" t="s">
        <v>634</v>
      </c>
      <c r="I1954" s="12" t="s">
        <v>635</v>
      </c>
      <c r="J1954" s="17" t="s">
        <v>2800</v>
      </c>
      <c r="K1954" s="18" t="s">
        <v>2801</v>
      </c>
      <c r="L1954" s="20">
        <v>45966.0</v>
      </c>
      <c r="M1954" s="17" t="s">
        <v>28</v>
      </c>
      <c r="N1954" s="46" t="s">
        <v>2398</v>
      </c>
      <c r="O1954" s="21"/>
      <c r="P1954" s="46" t="s">
        <v>2399</v>
      </c>
      <c r="Q1954" s="46" t="s">
        <v>108</v>
      </c>
      <c r="R1954" s="17"/>
      <c r="S1954" s="17"/>
      <c r="U1954" s="24"/>
      <c r="V1954" s="24"/>
      <c r="W1954" s="18" t="s">
        <v>638</v>
      </c>
    </row>
    <row r="1955">
      <c r="A1955" s="11"/>
      <c r="B1955" s="12" t="s">
        <v>34</v>
      </c>
      <c r="C1955" s="12" t="s">
        <v>65</v>
      </c>
      <c r="D1955" s="12" t="s">
        <v>83</v>
      </c>
      <c r="E1955" s="12" t="s">
        <v>632</v>
      </c>
      <c r="F1955" s="13" t="s">
        <v>633</v>
      </c>
      <c r="G1955" s="12" t="s">
        <v>68</v>
      </c>
      <c r="H1955" s="12" t="s">
        <v>634</v>
      </c>
      <c r="I1955" s="12" t="s">
        <v>635</v>
      </c>
      <c r="J1955" s="17" t="s">
        <v>2800</v>
      </c>
      <c r="K1955" s="18" t="s">
        <v>2801</v>
      </c>
      <c r="L1955" s="20">
        <v>45966.0</v>
      </c>
      <c r="M1955" s="17" t="s">
        <v>28</v>
      </c>
      <c r="N1955" s="46" t="s">
        <v>2409</v>
      </c>
      <c r="O1955" s="21"/>
      <c r="P1955" s="46" t="s">
        <v>2410</v>
      </c>
      <c r="Q1955" s="46" t="s">
        <v>108</v>
      </c>
      <c r="R1955" s="17"/>
      <c r="S1955" s="17"/>
      <c r="U1955" s="24"/>
      <c r="V1955" s="24"/>
      <c r="W1955" s="18" t="s">
        <v>638</v>
      </c>
    </row>
    <row r="1956">
      <c r="A1956" s="11"/>
      <c r="B1956" s="12" t="s">
        <v>34</v>
      </c>
      <c r="C1956" s="12" t="s">
        <v>65</v>
      </c>
      <c r="D1956" s="12" t="s">
        <v>83</v>
      </c>
      <c r="E1956" s="12" t="s">
        <v>632</v>
      </c>
      <c r="F1956" s="13" t="s">
        <v>633</v>
      </c>
      <c r="G1956" s="12" t="s">
        <v>68</v>
      </c>
      <c r="H1956" s="12" t="s">
        <v>634</v>
      </c>
      <c r="I1956" s="12" t="s">
        <v>635</v>
      </c>
      <c r="J1956" s="17" t="s">
        <v>2800</v>
      </c>
      <c r="K1956" s="18" t="s">
        <v>2801</v>
      </c>
      <c r="L1956" s="20">
        <v>45966.0</v>
      </c>
      <c r="M1956" s="17" t="s">
        <v>28</v>
      </c>
      <c r="N1956" s="46" t="s">
        <v>2418</v>
      </c>
      <c r="O1956" s="21"/>
      <c r="P1956" s="46" t="s">
        <v>2419</v>
      </c>
      <c r="Q1956" s="46" t="s">
        <v>112</v>
      </c>
      <c r="R1956" s="17"/>
      <c r="S1956" s="17"/>
      <c r="U1956" s="24"/>
      <c r="V1956" s="24"/>
      <c r="W1956" s="18" t="s">
        <v>638</v>
      </c>
    </row>
    <row r="1957">
      <c r="A1957" s="11"/>
      <c r="B1957" s="12" t="s">
        <v>34</v>
      </c>
      <c r="C1957" s="12" t="s">
        <v>65</v>
      </c>
      <c r="D1957" s="12" t="s">
        <v>83</v>
      </c>
      <c r="E1957" s="12" t="s">
        <v>632</v>
      </c>
      <c r="F1957" s="13" t="s">
        <v>633</v>
      </c>
      <c r="G1957" s="12" t="s">
        <v>68</v>
      </c>
      <c r="H1957" s="12" t="s">
        <v>634</v>
      </c>
      <c r="I1957" s="12" t="s">
        <v>635</v>
      </c>
      <c r="J1957" s="17" t="s">
        <v>2800</v>
      </c>
      <c r="K1957" s="18" t="s">
        <v>2801</v>
      </c>
      <c r="L1957" s="20">
        <v>45966.0</v>
      </c>
      <c r="M1957" s="17" t="s">
        <v>28</v>
      </c>
      <c r="N1957" s="46" t="s">
        <v>3896</v>
      </c>
      <c r="O1957" s="21"/>
      <c r="P1957" s="46"/>
      <c r="Q1957" s="46"/>
      <c r="R1957" s="17"/>
      <c r="S1957" s="17"/>
      <c r="U1957" s="24"/>
      <c r="V1957" s="24"/>
      <c r="W1957" s="18" t="s">
        <v>638</v>
      </c>
    </row>
    <row r="1958">
      <c r="A1958" s="11"/>
      <c r="B1958" s="12" t="s">
        <v>34</v>
      </c>
      <c r="C1958" s="12" t="s">
        <v>65</v>
      </c>
      <c r="D1958" s="12" t="s">
        <v>83</v>
      </c>
      <c r="E1958" s="12" t="s">
        <v>632</v>
      </c>
      <c r="F1958" s="13" t="s">
        <v>633</v>
      </c>
      <c r="G1958" s="12" t="s">
        <v>68</v>
      </c>
      <c r="H1958" s="12" t="s">
        <v>634</v>
      </c>
      <c r="I1958" s="12" t="s">
        <v>635</v>
      </c>
      <c r="J1958" s="17" t="s">
        <v>2800</v>
      </c>
      <c r="K1958" s="18" t="s">
        <v>2801</v>
      </c>
      <c r="L1958" s="20">
        <v>45966.0</v>
      </c>
      <c r="M1958" s="17" t="s">
        <v>28</v>
      </c>
      <c r="N1958" s="46" t="s">
        <v>2433</v>
      </c>
      <c r="O1958" s="122">
        <v>4.6467472E7</v>
      </c>
      <c r="P1958" s="46" t="s">
        <v>2434</v>
      </c>
      <c r="Q1958" s="46" t="s">
        <v>112</v>
      </c>
      <c r="R1958" s="17"/>
      <c r="S1958" s="17"/>
      <c r="U1958" s="24"/>
      <c r="V1958" s="24"/>
      <c r="W1958" s="18" t="s">
        <v>638</v>
      </c>
    </row>
    <row r="1959">
      <c r="A1959" s="11"/>
      <c r="B1959" s="12" t="s">
        <v>34</v>
      </c>
      <c r="C1959" s="12" t="s">
        <v>65</v>
      </c>
      <c r="D1959" s="12" t="s">
        <v>83</v>
      </c>
      <c r="E1959" s="12" t="s">
        <v>632</v>
      </c>
      <c r="F1959" s="13" t="s">
        <v>633</v>
      </c>
      <c r="G1959" s="12" t="s">
        <v>68</v>
      </c>
      <c r="H1959" s="12" t="s">
        <v>634</v>
      </c>
      <c r="I1959" s="12" t="s">
        <v>635</v>
      </c>
      <c r="J1959" s="17" t="s">
        <v>2800</v>
      </c>
      <c r="K1959" s="18" t="s">
        <v>2801</v>
      </c>
      <c r="L1959" s="20">
        <v>45966.0</v>
      </c>
      <c r="M1959" s="17" t="s">
        <v>28</v>
      </c>
      <c r="N1959" s="46" t="s">
        <v>2445</v>
      </c>
      <c r="O1959" s="122">
        <v>7.2114988E7</v>
      </c>
      <c r="P1959" s="46" t="s">
        <v>2446</v>
      </c>
      <c r="Q1959" s="46" t="s">
        <v>112</v>
      </c>
      <c r="R1959" s="17"/>
      <c r="S1959" s="17"/>
      <c r="U1959" s="24"/>
      <c r="V1959" s="24"/>
      <c r="W1959" s="18" t="s">
        <v>638</v>
      </c>
    </row>
    <row r="1960">
      <c r="A1960" s="11"/>
      <c r="B1960" s="12" t="s">
        <v>34</v>
      </c>
      <c r="C1960" s="12" t="s">
        <v>65</v>
      </c>
      <c r="D1960" s="12" t="s">
        <v>83</v>
      </c>
      <c r="E1960" s="12" t="s">
        <v>632</v>
      </c>
      <c r="F1960" s="13" t="s">
        <v>633</v>
      </c>
      <c r="G1960" s="12" t="s">
        <v>68</v>
      </c>
      <c r="H1960" s="12" t="s">
        <v>634</v>
      </c>
      <c r="I1960" s="12" t="s">
        <v>635</v>
      </c>
      <c r="J1960" s="17" t="s">
        <v>2800</v>
      </c>
      <c r="K1960" s="18" t="s">
        <v>2801</v>
      </c>
      <c r="L1960" s="20">
        <v>45966.0</v>
      </c>
      <c r="M1960" s="17" t="s">
        <v>28</v>
      </c>
      <c r="N1960" s="46" t="s">
        <v>3897</v>
      </c>
      <c r="O1960" s="122">
        <v>3.23376193E8</v>
      </c>
      <c r="P1960" s="46" t="s">
        <v>2419</v>
      </c>
      <c r="Q1960" s="46" t="s">
        <v>112</v>
      </c>
      <c r="R1960" s="17"/>
      <c r="S1960" s="17"/>
      <c r="U1960" s="24"/>
      <c r="V1960" s="24"/>
      <c r="W1960" s="18" t="s">
        <v>638</v>
      </c>
    </row>
    <row r="1961">
      <c r="A1961" s="11"/>
      <c r="B1961" s="12" t="s">
        <v>34</v>
      </c>
      <c r="C1961" s="12" t="s">
        <v>65</v>
      </c>
      <c r="D1961" s="12" t="s">
        <v>83</v>
      </c>
      <c r="E1961" s="12" t="s">
        <v>632</v>
      </c>
      <c r="F1961" s="13" t="s">
        <v>633</v>
      </c>
      <c r="G1961" s="12" t="s">
        <v>68</v>
      </c>
      <c r="H1961" s="12" t="s">
        <v>634</v>
      </c>
      <c r="I1961" s="12" t="s">
        <v>635</v>
      </c>
      <c r="J1961" s="17" t="s">
        <v>2800</v>
      </c>
      <c r="K1961" s="18" t="s">
        <v>2801</v>
      </c>
      <c r="L1961" s="20">
        <v>45966.0</v>
      </c>
      <c r="M1961" s="17" t="s">
        <v>28</v>
      </c>
      <c r="N1961" s="46" t="s">
        <v>2436</v>
      </c>
      <c r="O1961" s="122">
        <v>7.2106666E7</v>
      </c>
      <c r="P1961" s="46" t="s">
        <v>2437</v>
      </c>
      <c r="Q1961" s="46" t="s">
        <v>112</v>
      </c>
      <c r="R1961" s="17"/>
      <c r="S1961" s="17"/>
      <c r="U1961" s="24"/>
      <c r="V1961" s="24"/>
      <c r="W1961" s="18" t="s">
        <v>638</v>
      </c>
    </row>
    <row r="1962">
      <c r="A1962" s="11"/>
      <c r="B1962" s="12" t="s">
        <v>34</v>
      </c>
      <c r="C1962" s="12" t="s">
        <v>65</v>
      </c>
      <c r="D1962" s="12" t="s">
        <v>83</v>
      </c>
      <c r="E1962" s="12" t="s">
        <v>632</v>
      </c>
      <c r="F1962" s="13" t="s">
        <v>633</v>
      </c>
      <c r="G1962" s="12" t="s">
        <v>68</v>
      </c>
      <c r="H1962" s="12" t="s">
        <v>634</v>
      </c>
      <c r="I1962" s="12" t="s">
        <v>635</v>
      </c>
      <c r="J1962" s="17" t="s">
        <v>2800</v>
      </c>
      <c r="K1962" s="18" t="s">
        <v>2801</v>
      </c>
      <c r="L1962" s="20">
        <v>45966.0</v>
      </c>
      <c r="M1962" s="17" t="s">
        <v>28</v>
      </c>
      <c r="N1962" s="46" t="s">
        <v>3898</v>
      </c>
      <c r="O1962" s="122">
        <v>6.229274E7</v>
      </c>
      <c r="P1962" s="46" t="s">
        <v>3899</v>
      </c>
      <c r="Q1962" s="46" t="s">
        <v>112</v>
      </c>
      <c r="R1962" s="17"/>
      <c r="S1962" s="17"/>
      <c r="U1962" s="24"/>
      <c r="V1962" s="24"/>
      <c r="W1962" s="18" t="s">
        <v>638</v>
      </c>
    </row>
    <row r="1963">
      <c r="A1963" s="11"/>
      <c r="B1963" s="12" t="s">
        <v>34</v>
      </c>
      <c r="C1963" s="12" t="s">
        <v>65</v>
      </c>
      <c r="D1963" s="12" t="s">
        <v>83</v>
      </c>
      <c r="E1963" s="12" t="s">
        <v>632</v>
      </c>
      <c r="F1963" s="13" t="s">
        <v>633</v>
      </c>
      <c r="G1963" s="12" t="s">
        <v>68</v>
      </c>
      <c r="H1963" s="12" t="s">
        <v>634</v>
      </c>
      <c r="I1963" s="12" t="s">
        <v>635</v>
      </c>
      <c r="J1963" s="17" t="s">
        <v>2800</v>
      </c>
      <c r="K1963" s="18" t="s">
        <v>2801</v>
      </c>
      <c r="L1963" s="20">
        <v>45966.0</v>
      </c>
      <c r="M1963" s="17" t="s">
        <v>28</v>
      </c>
      <c r="N1963" s="46" t="s">
        <v>2439</v>
      </c>
      <c r="O1963" s="122">
        <v>7.5839065E7</v>
      </c>
      <c r="P1963" s="46" t="s">
        <v>2440</v>
      </c>
      <c r="Q1963" s="46" t="s">
        <v>112</v>
      </c>
      <c r="R1963" s="17"/>
      <c r="S1963" s="17"/>
      <c r="U1963" s="24"/>
      <c r="V1963" s="24"/>
      <c r="W1963" s="18" t="s">
        <v>638</v>
      </c>
    </row>
    <row r="1964">
      <c r="A1964" s="11"/>
      <c r="B1964" s="12" t="s">
        <v>34</v>
      </c>
      <c r="C1964" s="12" t="s">
        <v>65</v>
      </c>
      <c r="D1964" s="12" t="s">
        <v>83</v>
      </c>
      <c r="E1964" s="12" t="s">
        <v>632</v>
      </c>
      <c r="F1964" s="13" t="s">
        <v>633</v>
      </c>
      <c r="G1964" s="12" t="s">
        <v>68</v>
      </c>
      <c r="H1964" s="12" t="s">
        <v>634</v>
      </c>
      <c r="I1964" s="12" t="s">
        <v>635</v>
      </c>
      <c r="J1964" s="17" t="s">
        <v>2800</v>
      </c>
      <c r="K1964" s="18" t="s">
        <v>2801</v>
      </c>
      <c r="L1964" s="20">
        <v>45966.0</v>
      </c>
      <c r="M1964" s="17" t="s">
        <v>28</v>
      </c>
      <c r="N1964" s="46" t="s">
        <v>3901</v>
      </c>
      <c r="O1964" s="21"/>
      <c r="P1964" s="46" t="s">
        <v>2425</v>
      </c>
      <c r="Q1964" s="46" t="s">
        <v>108</v>
      </c>
      <c r="R1964" s="17"/>
      <c r="S1964" s="17"/>
      <c r="U1964" s="24"/>
      <c r="V1964" s="24"/>
      <c r="W1964" s="18" t="s">
        <v>638</v>
      </c>
    </row>
    <row r="1965">
      <c r="A1965" s="11"/>
      <c r="B1965" s="12" t="s">
        <v>34</v>
      </c>
      <c r="C1965" s="12" t="s">
        <v>65</v>
      </c>
      <c r="D1965" s="12" t="s">
        <v>83</v>
      </c>
      <c r="E1965" s="12" t="s">
        <v>632</v>
      </c>
      <c r="F1965" s="13" t="s">
        <v>633</v>
      </c>
      <c r="G1965" s="12" t="s">
        <v>68</v>
      </c>
      <c r="H1965" s="12" t="s">
        <v>634</v>
      </c>
      <c r="I1965" s="12" t="s">
        <v>635</v>
      </c>
      <c r="J1965" s="17" t="s">
        <v>2800</v>
      </c>
      <c r="K1965" s="18" t="s">
        <v>2801</v>
      </c>
      <c r="L1965" s="20">
        <v>45966.0</v>
      </c>
      <c r="M1965" s="17" t="s">
        <v>28</v>
      </c>
      <c r="N1965" s="46" t="s">
        <v>2392</v>
      </c>
      <c r="O1965" s="21"/>
      <c r="P1965" s="46" t="s">
        <v>2393</v>
      </c>
      <c r="Q1965" s="46" t="s">
        <v>112</v>
      </c>
      <c r="R1965" s="17"/>
      <c r="S1965" s="17"/>
      <c r="U1965" s="24"/>
      <c r="V1965" s="24"/>
      <c r="W1965" s="18" t="s">
        <v>638</v>
      </c>
    </row>
    <row r="1966">
      <c r="A1966" s="11"/>
      <c r="B1966" s="12" t="s">
        <v>34</v>
      </c>
      <c r="C1966" s="12" t="s">
        <v>65</v>
      </c>
      <c r="D1966" s="12" t="s">
        <v>83</v>
      </c>
      <c r="E1966" s="12" t="s">
        <v>632</v>
      </c>
      <c r="F1966" s="13" t="s">
        <v>633</v>
      </c>
      <c r="G1966" s="12" t="s">
        <v>68</v>
      </c>
      <c r="H1966" s="12" t="s">
        <v>634</v>
      </c>
      <c r="I1966" s="12" t="s">
        <v>635</v>
      </c>
      <c r="J1966" s="17" t="s">
        <v>2800</v>
      </c>
      <c r="K1966" s="18" t="s">
        <v>2801</v>
      </c>
      <c r="L1966" s="20">
        <v>45966.0</v>
      </c>
      <c r="M1966" s="17" t="s">
        <v>28</v>
      </c>
      <c r="N1966" s="46" t="s">
        <v>2448</v>
      </c>
      <c r="O1966" s="122">
        <v>7.3515438E7</v>
      </c>
      <c r="P1966" s="46" t="s">
        <v>2449</v>
      </c>
      <c r="Q1966" s="46" t="s">
        <v>112</v>
      </c>
      <c r="R1966" s="17"/>
      <c r="S1966" s="17"/>
      <c r="U1966" s="24"/>
      <c r="V1966" s="24"/>
      <c r="W1966" s="18" t="s">
        <v>638</v>
      </c>
    </row>
    <row r="1967">
      <c r="A1967" s="11"/>
      <c r="B1967" s="12" t="s">
        <v>34</v>
      </c>
      <c r="C1967" s="12" t="s">
        <v>65</v>
      </c>
      <c r="D1967" s="12" t="s">
        <v>83</v>
      </c>
      <c r="E1967" s="12" t="s">
        <v>632</v>
      </c>
      <c r="F1967" s="13" t="s">
        <v>633</v>
      </c>
      <c r="G1967" s="12" t="s">
        <v>68</v>
      </c>
      <c r="H1967" s="12" t="s">
        <v>634</v>
      </c>
      <c r="I1967" s="12" t="s">
        <v>635</v>
      </c>
      <c r="J1967" s="17" t="s">
        <v>2800</v>
      </c>
      <c r="K1967" s="18" t="s">
        <v>2801</v>
      </c>
      <c r="L1967" s="20">
        <v>45966.0</v>
      </c>
      <c r="M1967" s="17" t="s">
        <v>28</v>
      </c>
      <c r="N1967" s="46" t="s">
        <v>2424</v>
      </c>
      <c r="O1967" s="21"/>
      <c r="P1967" s="46" t="s">
        <v>2425</v>
      </c>
      <c r="Q1967" s="46" t="s">
        <v>108</v>
      </c>
      <c r="R1967" s="17"/>
      <c r="S1967" s="17"/>
      <c r="U1967" s="24"/>
      <c r="V1967" s="24"/>
      <c r="W1967" s="18" t="s">
        <v>638</v>
      </c>
    </row>
    <row r="1968">
      <c r="A1968" s="11"/>
      <c r="B1968" s="12" t="s">
        <v>34</v>
      </c>
      <c r="C1968" s="12" t="s">
        <v>65</v>
      </c>
      <c r="D1968" s="12" t="s">
        <v>43</v>
      </c>
      <c r="E1968" s="12" t="s">
        <v>666</v>
      </c>
      <c r="F1968" s="13" t="s">
        <v>667</v>
      </c>
      <c r="G1968" s="12" t="s">
        <v>68</v>
      </c>
      <c r="H1968" s="12" t="s">
        <v>668</v>
      </c>
      <c r="I1968" s="12" t="s">
        <v>669</v>
      </c>
      <c r="J1968" s="17" t="s">
        <v>2796</v>
      </c>
      <c r="K1968" s="18" t="s">
        <v>2797</v>
      </c>
      <c r="L1968" s="20">
        <v>45958.0</v>
      </c>
      <c r="M1968" s="17" t="s">
        <v>28</v>
      </c>
      <c r="N1968" s="17" t="s">
        <v>2476</v>
      </c>
      <c r="O1968" s="17">
        <v>7.2568623E7</v>
      </c>
      <c r="P1968" s="17" t="s">
        <v>2477</v>
      </c>
      <c r="Q1968" s="17" t="s">
        <v>73</v>
      </c>
      <c r="R1968" s="17" t="s">
        <v>74</v>
      </c>
      <c r="S1968" s="17" t="s">
        <v>2478</v>
      </c>
      <c r="U1968" s="24"/>
      <c r="V1968" s="24"/>
      <c r="W1968" s="18" t="s">
        <v>638</v>
      </c>
    </row>
    <row r="1969">
      <c r="A1969" s="11"/>
      <c r="B1969" s="12" t="s">
        <v>34</v>
      </c>
      <c r="C1969" s="12" t="s">
        <v>65</v>
      </c>
      <c r="D1969" s="12" t="s">
        <v>43</v>
      </c>
      <c r="E1969" s="12" t="s">
        <v>666</v>
      </c>
      <c r="F1969" s="13" t="s">
        <v>667</v>
      </c>
      <c r="G1969" s="12" t="s">
        <v>68</v>
      </c>
      <c r="H1969" s="12" t="s">
        <v>668</v>
      </c>
      <c r="I1969" s="12" t="s">
        <v>669</v>
      </c>
      <c r="J1969" s="17" t="s">
        <v>2796</v>
      </c>
      <c r="K1969" s="18" t="s">
        <v>2797</v>
      </c>
      <c r="L1969" s="20">
        <v>45958.0</v>
      </c>
      <c r="M1969" s="17" t="s">
        <v>28</v>
      </c>
      <c r="N1969" s="17" t="s">
        <v>3902</v>
      </c>
      <c r="O1969" s="17">
        <v>4.4545098E7</v>
      </c>
      <c r="P1969" s="17" t="s">
        <v>2480</v>
      </c>
      <c r="Q1969" s="17" t="s">
        <v>112</v>
      </c>
      <c r="R1969" s="17" t="s">
        <v>113</v>
      </c>
      <c r="S1969" s="17" t="s">
        <v>2481</v>
      </c>
      <c r="U1969" s="24"/>
      <c r="V1969" s="24"/>
      <c r="W1969" s="18" t="s">
        <v>638</v>
      </c>
    </row>
    <row r="1970">
      <c r="A1970" s="11"/>
      <c r="B1970" s="12" t="s">
        <v>34</v>
      </c>
      <c r="C1970" s="12" t="s">
        <v>65</v>
      </c>
      <c r="D1970" s="12" t="s">
        <v>43</v>
      </c>
      <c r="E1970" s="12" t="s">
        <v>666</v>
      </c>
      <c r="F1970" s="13" t="s">
        <v>667</v>
      </c>
      <c r="G1970" s="12" t="s">
        <v>68</v>
      </c>
      <c r="H1970" s="12" t="s">
        <v>668</v>
      </c>
      <c r="I1970" s="12" t="s">
        <v>669</v>
      </c>
      <c r="J1970" s="17" t="s">
        <v>2796</v>
      </c>
      <c r="K1970" s="18" t="s">
        <v>2797</v>
      </c>
      <c r="L1970" s="20">
        <v>45958.0</v>
      </c>
      <c r="M1970" s="17" t="s">
        <v>28</v>
      </c>
      <c r="N1970" s="17" t="s">
        <v>2482</v>
      </c>
      <c r="O1970" s="17">
        <v>7.3244474E7</v>
      </c>
      <c r="Q1970" s="17" t="s">
        <v>108</v>
      </c>
      <c r="R1970" s="17" t="s">
        <v>109</v>
      </c>
      <c r="S1970" s="17" t="s">
        <v>2198</v>
      </c>
      <c r="U1970" s="24"/>
      <c r="V1970" s="24"/>
      <c r="W1970" s="18" t="s">
        <v>638</v>
      </c>
    </row>
    <row r="1971">
      <c r="A1971" s="11"/>
      <c r="B1971" s="12" t="s">
        <v>34</v>
      </c>
      <c r="C1971" s="12" t="s">
        <v>65</v>
      </c>
      <c r="D1971" s="12" t="s">
        <v>43</v>
      </c>
      <c r="E1971" s="12" t="s">
        <v>666</v>
      </c>
      <c r="F1971" s="13" t="s">
        <v>667</v>
      </c>
      <c r="G1971" s="12" t="s">
        <v>68</v>
      </c>
      <c r="H1971" s="12" t="s">
        <v>668</v>
      </c>
      <c r="I1971" s="12" t="s">
        <v>669</v>
      </c>
      <c r="J1971" s="17" t="s">
        <v>2796</v>
      </c>
      <c r="K1971" s="18" t="s">
        <v>2797</v>
      </c>
      <c r="L1971" s="20">
        <v>45958.0</v>
      </c>
      <c r="M1971" s="17" t="s">
        <v>28</v>
      </c>
      <c r="N1971" s="17" t="s">
        <v>2455</v>
      </c>
      <c r="P1971" s="17" t="s">
        <v>2456</v>
      </c>
      <c r="Q1971" s="17" t="s">
        <v>73</v>
      </c>
      <c r="R1971" s="17" t="s">
        <v>74</v>
      </c>
      <c r="S1971" s="17" t="s">
        <v>2457</v>
      </c>
      <c r="U1971" s="24"/>
      <c r="V1971" s="24"/>
      <c r="W1971" s="18" t="s">
        <v>638</v>
      </c>
    </row>
    <row r="1972">
      <c r="A1972" s="11"/>
      <c r="B1972" s="12" t="s">
        <v>34</v>
      </c>
      <c r="C1972" s="12" t="s">
        <v>65</v>
      </c>
      <c r="D1972" s="12" t="s">
        <v>43</v>
      </c>
      <c r="E1972" s="12" t="s">
        <v>666</v>
      </c>
      <c r="F1972" s="13" t="s">
        <v>667</v>
      </c>
      <c r="G1972" s="12" t="s">
        <v>68</v>
      </c>
      <c r="H1972" s="12" t="s">
        <v>668</v>
      </c>
      <c r="I1972" s="12" t="s">
        <v>669</v>
      </c>
      <c r="J1972" s="17" t="s">
        <v>2796</v>
      </c>
      <c r="K1972" s="18" t="s">
        <v>2797</v>
      </c>
      <c r="L1972" s="20">
        <v>45958.0</v>
      </c>
      <c r="M1972" s="17" t="s">
        <v>28</v>
      </c>
      <c r="N1972" s="17" t="s">
        <v>3903</v>
      </c>
      <c r="O1972" s="17">
        <v>7.2113549E7</v>
      </c>
      <c r="P1972" s="17" t="s">
        <v>3904</v>
      </c>
      <c r="Q1972" s="17" t="s">
        <v>73</v>
      </c>
      <c r="R1972" s="17" t="s">
        <v>74</v>
      </c>
      <c r="S1972" s="17" t="s">
        <v>3905</v>
      </c>
      <c r="U1972" s="24"/>
      <c r="V1972" s="24"/>
      <c r="W1972" s="18" t="s">
        <v>638</v>
      </c>
    </row>
    <row r="1973">
      <c r="A1973" s="11"/>
      <c r="B1973" s="12" t="s">
        <v>34</v>
      </c>
      <c r="C1973" s="12" t="s">
        <v>65</v>
      </c>
      <c r="D1973" s="12" t="s">
        <v>43</v>
      </c>
      <c r="E1973" s="12" t="s">
        <v>666</v>
      </c>
      <c r="F1973" s="13" t="s">
        <v>667</v>
      </c>
      <c r="G1973" s="12" t="s">
        <v>68</v>
      </c>
      <c r="H1973" s="12" t="s">
        <v>668</v>
      </c>
      <c r="I1973" s="12" t="s">
        <v>669</v>
      </c>
      <c r="J1973" s="17" t="s">
        <v>2796</v>
      </c>
      <c r="K1973" s="18" t="s">
        <v>2797</v>
      </c>
      <c r="L1973" s="20">
        <v>45958.0</v>
      </c>
      <c r="M1973" s="17" t="s">
        <v>28</v>
      </c>
      <c r="N1973" s="17" t="s">
        <v>2473</v>
      </c>
      <c r="O1973" s="17">
        <v>4.6444885E7</v>
      </c>
      <c r="P1973" s="17" t="s">
        <v>2474</v>
      </c>
      <c r="Q1973" s="17" t="s">
        <v>112</v>
      </c>
      <c r="R1973" s="17" t="s">
        <v>113</v>
      </c>
      <c r="S1973" s="17" t="s">
        <v>2475</v>
      </c>
      <c r="U1973" s="24"/>
      <c r="V1973" s="24"/>
      <c r="W1973" s="18" t="s">
        <v>638</v>
      </c>
    </row>
    <row r="1974">
      <c r="A1974" s="11"/>
      <c r="B1974" s="12" t="s">
        <v>34</v>
      </c>
      <c r="C1974" s="12" t="s">
        <v>65</v>
      </c>
      <c r="D1974" s="12" t="s">
        <v>43</v>
      </c>
      <c r="E1974" s="12" t="s">
        <v>666</v>
      </c>
      <c r="F1974" s="13" t="s">
        <v>667</v>
      </c>
      <c r="G1974" s="12" t="s">
        <v>68</v>
      </c>
      <c r="H1974" s="12" t="s">
        <v>668</v>
      </c>
      <c r="I1974" s="12" t="s">
        <v>669</v>
      </c>
      <c r="J1974" s="17" t="s">
        <v>2796</v>
      </c>
      <c r="K1974" s="18" t="s">
        <v>2797</v>
      </c>
      <c r="L1974" s="20">
        <v>45958.0</v>
      </c>
      <c r="M1974" s="17" t="s">
        <v>28</v>
      </c>
      <c r="N1974" s="17" t="s">
        <v>2467</v>
      </c>
      <c r="O1974" s="17">
        <v>4.7328558E7</v>
      </c>
      <c r="P1974" s="17" t="s">
        <v>3906</v>
      </c>
      <c r="Q1974" s="17" t="s">
        <v>73</v>
      </c>
      <c r="R1974" s="17" t="s">
        <v>74</v>
      </c>
      <c r="S1974" s="17" t="s">
        <v>2469</v>
      </c>
      <c r="U1974" s="24"/>
      <c r="V1974" s="24"/>
      <c r="W1974" s="18" t="s">
        <v>638</v>
      </c>
    </row>
    <row r="1975">
      <c r="A1975" s="11"/>
      <c r="B1975" s="12" t="s">
        <v>34</v>
      </c>
      <c r="C1975" s="12" t="s">
        <v>65</v>
      </c>
      <c r="D1975" s="12" t="s">
        <v>43</v>
      </c>
      <c r="E1975" s="12" t="s">
        <v>666</v>
      </c>
      <c r="F1975" s="13" t="s">
        <v>667</v>
      </c>
      <c r="G1975" s="12" t="s">
        <v>68</v>
      </c>
      <c r="H1975" s="12" t="s">
        <v>668</v>
      </c>
      <c r="I1975" s="12" t="s">
        <v>669</v>
      </c>
      <c r="J1975" s="17" t="s">
        <v>2796</v>
      </c>
      <c r="K1975" s="18" t="s">
        <v>2797</v>
      </c>
      <c r="L1975" s="20">
        <v>45958.0</v>
      </c>
      <c r="M1975" s="17" t="s">
        <v>28</v>
      </c>
      <c r="N1975" s="17" t="s">
        <v>3907</v>
      </c>
      <c r="P1975" s="17" t="s">
        <v>2465</v>
      </c>
      <c r="Q1975" s="17" t="s">
        <v>112</v>
      </c>
      <c r="R1975" s="17" t="s">
        <v>113</v>
      </c>
      <c r="S1975" s="17" t="s">
        <v>2466</v>
      </c>
      <c r="U1975" s="24"/>
      <c r="V1975" s="24"/>
      <c r="W1975" s="18" t="s">
        <v>638</v>
      </c>
    </row>
    <row r="1976">
      <c r="A1976" s="11"/>
      <c r="B1976" s="12" t="s">
        <v>34</v>
      </c>
      <c r="C1976" s="12" t="s">
        <v>65</v>
      </c>
      <c r="D1976" s="12" t="s">
        <v>43</v>
      </c>
      <c r="E1976" s="12" t="s">
        <v>666</v>
      </c>
      <c r="F1976" s="13" t="s">
        <v>667</v>
      </c>
      <c r="G1976" s="12" t="s">
        <v>68</v>
      </c>
      <c r="H1976" s="12" t="s">
        <v>668</v>
      </c>
      <c r="I1976" s="12" t="s">
        <v>669</v>
      </c>
      <c r="J1976" s="17" t="s">
        <v>2796</v>
      </c>
      <c r="K1976" s="18" t="s">
        <v>2797</v>
      </c>
      <c r="L1976" s="20">
        <v>45958.0</v>
      </c>
      <c r="M1976" s="17" t="s">
        <v>28</v>
      </c>
      <c r="N1976" s="17" t="s">
        <v>3908</v>
      </c>
      <c r="O1976" s="17">
        <v>7.2737101E7</v>
      </c>
      <c r="P1976" s="17" t="s">
        <v>3909</v>
      </c>
      <c r="Q1976" s="17" t="s">
        <v>112</v>
      </c>
      <c r="R1976" s="17" t="s">
        <v>113</v>
      </c>
      <c r="S1976" s="17" t="s">
        <v>3910</v>
      </c>
      <c r="U1976" s="24"/>
      <c r="V1976" s="24"/>
      <c r="W1976" s="18" t="s">
        <v>638</v>
      </c>
    </row>
    <row r="1977">
      <c r="A1977" s="11"/>
      <c r="B1977" s="12" t="s">
        <v>34</v>
      </c>
      <c r="C1977" s="12" t="s">
        <v>65</v>
      </c>
      <c r="D1977" s="12" t="s">
        <v>43</v>
      </c>
      <c r="E1977" s="12" t="s">
        <v>666</v>
      </c>
      <c r="F1977" s="13" t="s">
        <v>667</v>
      </c>
      <c r="G1977" s="12" t="s">
        <v>68</v>
      </c>
      <c r="H1977" s="12" t="s">
        <v>668</v>
      </c>
      <c r="I1977" s="12" t="s">
        <v>669</v>
      </c>
      <c r="J1977" s="17" t="s">
        <v>2796</v>
      </c>
      <c r="K1977" s="18" t="s">
        <v>2797</v>
      </c>
      <c r="L1977" s="20">
        <v>45958.0</v>
      </c>
      <c r="M1977" s="17" t="s">
        <v>28</v>
      </c>
      <c r="N1977" s="17" t="s">
        <v>2458</v>
      </c>
      <c r="O1977" s="17">
        <v>4.3468589E7</v>
      </c>
      <c r="P1977" s="17" t="s">
        <v>2459</v>
      </c>
      <c r="Q1977" s="17" t="s">
        <v>108</v>
      </c>
      <c r="R1977" s="17" t="s">
        <v>109</v>
      </c>
      <c r="S1977" s="17" t="s">
        <v>2460</v>
      </c>
      <c r="U1977" s="24"/>
      <c r="V1977" s="24"/>
      <c r="W1977" s="18" t="s">
        <v>638</v>
      </c>
    </row>
    <row r="1978">
      <c r="A1978" s="11"/>
      <c r="B1978" s="12" t="s">
        <v>34</v>
      </c>
      <c r="C1978" s="12" t="s">
        <v>65</v>
      </c>
      <c r="D1978" s="12" t="s">
        <v>43</v>
      </c>
      <c r="E1978" s="12" t="s">
        <v>666</v>
      </c>
      <c r="F1978" s="13" t="s">
        <v>667</v>
      </c>
      <c r="G1978" s="12" t="s">
        <v>68</v>
      </c>
      <c r="H1978" s="12" t="s">
        <v>668</v>
      </c>
      <c r="I1978" s="12" t="s">
        <v>669</v>
      </c>
      <c r="J1978" s="17" t="s">
        <v>2796</v>
      </c>
      <c r="K1978" s="18" t="s">
        <v>2797</v>
      </c>
      <c r="L1978" s="20">
        <v>45958.0</v>
      </c>
      <c r="M1978" s="17" t="s">
        <v>28</v>
      </c>
      <c r="N1978" s="17" t="s">
        <v>2461</v>
      </c>
      <c r="O1978" s="17">
        <v>7.74218E7</v>
      </c>
      <c r="P1978" s="17" t="s">
        <v>2462</v>
      </c>
      <c r="Q1978" s="17" t="s">
        <v>112</v>
      </c>
      <c r="R1978" s="17" t="s">
        <v>113</v>
      </c>
      <c r="S1978" s="17" t="s">
        <v>2463</v>
      </c>
      <c r="U1978" s="24"/>
      <c r="V1978" s="24"/>
      <c r="W1978" s="18" t="s">
        <v>638</v>
      </c>
    </row>
    <row r="1979">
      <c r="A1979" s="11"/>
      <c r="B1979" s="12" t="s">
        <v>34</v>
      </c>
      <c r="C1979" s="12" t="s">
        <v>65</v>
      </c>
      <c r="D1979" s="12" t="s">
        <v>43</v>
      </c>
      <c r="E1979" s="12" t="s">
        <v>666</v>
      </c>
      <c r="F1979" s="13" t="s">
        <v>667</v>
      </c>
      <c r="G1979" s="12" t="s">
        <v>68</v>
      </c>
      <c r="H1979" s="12" t="s">
        <v>668</v>
      </c>
      <c r="I1979" s="12" t="s">
        <v>669</v>
      </c>
      <c r="J1979" s="17" t="s">
        <v>2796</v>
      </c>
      <c r="K1979" s="18" t="s">
        <v>2797</v>
      </c>
      <c r="L1979" s="20">
        <v>45958.0</v>
      </c>
      <c r="M1979" s="17" t="s">
        <v>28</v>
      </c>
      <c r="N1979" s="17" t="s">
        <v>2464</v>
      </c>
      <c r="O1979" s="17">
        <v>4.8215795E7</v>
      </c>
      <c r="P1979" s="17" t="s">
        <v>2465</v>
      </c>
      <c r="Q1979" s="17" t="s">
        <v>112</v>
      </c>
      <c r="R1979" s="17" t="s">
        <v>113</v>
      </c>
      <c r="S1979" s="17" t="s">
        <v>2466</v>
      </c>
      <c r="U1979" s="24"/>
      <c r="V1979" s="24"/>
      <c r="W1979" s="18" t="s">
        <v>638</v>
      </c>
    </row>
    <row r="1980">
      <c r="A1980" s="11"/>
      <c r="B1980" s="12" t="s">
        <v>34</v>
      </c>
      <c r="C1980" s="12" t="s">
        <v>65</v>
      </c>
      <c r="D1980" s="12" t="s">
        <v>43</v>
      </c>
      <c r="E1980" s="12" t="s">
        <v>666</v>
      </c>
      <c r="F1980" s="13" t="s">
        <v>667</v>
      </c>
      <c r="G1980" s="12" t="s">
        <v>68</v>
      </c>
      <c r="H1980" s="12" t="s">
        <v>668</v>
      </c>
      <c r="I1980" s="12" t="s">
        <v>669</v>
      </c>
      <c r="J1980" s="17" t="s">
        <v>2796</v>
      </c>
      <c r="K1980" s="18" t="s">
        <v>2797</v>
      </c>
      <c r="L1980" s="20">
        <v>45958.0</v>
      </c>
      <c r="M1980" s="17" t="s">
        <v>28</v>
      </c>
      <c r="N1980" s="17" t="s">
        <v>2452</v>
      </c>
      <c r="O1980" s="17">
        <v>3.2303863E7</v>
      </c>
      <c r="P1980" s="17" t="s">
        <v>2453</v>
      </c>
      <c r="Q1980" s="17" t="s">
        <v>108</v>
      </c>
      <c r="R1980" s="17" t="s">
        <v>109</v>
      </c>
      <c r="S1980" s="17" t="s">
        <v>2454</v>
      </c>
      <c r="U1980" s="24"/>
      <c r="V1980" s="24"/>
      <c r="W1980" s="18" t="s">
        <v>638</v>
      </c>
    </row>
    <row r="1981">
      <c r="A1981" s="11"/>
      <c r="B1981" s="12" t="s">
        <v>34</v>
      </c>
      <c r="C1981" s="12" t="s">
        <v>65</v>
      </c>
      <c r="D1981" s="12" t="s">
        <v>43</v>
      </c>
      <c r="E1981" s="12" t="s">
        <v>666</v>
      </c>
      <c r="F1981" s="13" t="s">
        <v>667</v>
      </c>
      <c r="G1981" s="12" t="s">
        <v>68</v>
      </c>
      <c r="H1981" s="12" t="s">
        <v>668</v>
      </c>
      <c r="I1981" s="12" t="s">
        <v>669</v>
      </c>
      <c r="J1981" s="17" t="s">
        <v>2796</v>
      </c>
      <c r="K1981" s="18" t="s">
        <v>2797</v>
      </c>
      <c r="L1981" s="20">
        <v>45958.0</v>
      </c>
      <c r="M1981" s="17" t="s">
        <v>28</v>
      </c>
      <c r="N1981" s="17" t="s">
        <v>3911</v>
      </c>
      <c r="P1981" s="17" t="s">
        <v>3912</v>
      </c>
      <c r="Q1981" s="17" t="s">
        <v>108</v>
      </c>
      <c r="R1981" s="17" t="s">
        <v>109</v>
      </c>
      <c r="S1981" s="17" t="s">
        <v>3913</v>
      </c>
      <c r="U1981" s="24"/>
      <c r="V1981" s="24"/>
      <c r="W1981" s="18" t="s">
        <v>638</v>
      </c>
    </row>
    <row r="1982">
      <c r="A1982" s="11"/>
      <c r="B1982" s="12" t="s">
        <v>34</v>
      </c>
      <c r="C1982" s="12" t="s">
        <v>65</v>
      </c>
      <c r="D1982" s="12" t="s">
        <v>43</v>
      </c>
      <c r="E1982" s="12" t="s">
        <v>773</v>
      </c>
      <c r="F1982" s="13" t="s">
        <v>774</v>
      </c>
      <c r="G1982" s="12" t="s">
        <v>68</v>
      </c>
      <c r="H1982" s="12" t="s">
        <v>775</v>
      </c>
      <c r="I1982" s="12" t="s">
        <v>776</v>
      </c>
      <c r="J1982" s="17" t="s">
        <v>2800</v>
      </c>
      <c r="K1982" s="18" t="s">
        <v>2801</v>
      </c>
      <c r="L1982" s="20">
        <v>45971.0</v>
      </c>
      <c r="M1982" s="17" t="s">
        <v>28</v>
      </c>
      <c r="N1982" s="46" t="s">
        <v>3348</v>
      </c>
      <c r="O1982" s="122">
        <v>7.1016949E7</v>
      </c>
      <c r="P1982" s="46" t="s">
        <v>2613</v>
      </c>
      <c r="Q1982" s="46" t="s">
        <v>73</v>
      </c>
      <c r="R1982" s="46"/>
      <c r="S1982" s="46" t="s">
        <v>2614</v>
      </c>
      <c r="U1982" s="24"/>
      <c r="V1982" s="24"/>
      <c r="W1982" s="18" t="s">
        <v>638</v>
      </c>
    </row>
    <row r="1983">
      <c r="A1983" s="11"/>
      <c r="B1983" s="12" t="s">
        <v>34</v>
      </c>
      <c r="C1983" s="12" t="s">
        <v>65</v>
      </c>
      <c r="D1983" s="12" t="s">
        <v>43</v>
      </c>
      <c r="E1983" s="12" t="s">
        <v>773</v>
      </c>
      <c r="F1983" s="13" t="s">
        <v>774</v>
      </c>
      <c r="G1983" s="12" t="s">
        <v>68</v>
      </c>
      <c r="H1983" s="12" t="s">
        <v>775</v>
      </c>
      <c r="I1983" s="12" t="s">
        <v>776</v>
      </c>
      <c r="J1983" s="17" t="s">
        <v>2800</v>
      </c>
      <c r="K1983" s="18" t="s">
        <v>2801</v>
      </c>
      <c r="L1983" s="20">
        <v>45971.0</v>
      </c>
      <c r="M1983" s="17" t="s">
        <v>28</v>
      </c>
      <c r="N1983" s="46" t="s">
        <v>2625</v>
      </c>
      <c r="O1983" s="122">
        <v>7.2939698E7</v>
      </c>
      <c r="P1983" s="46" t="s">
        <v>2626</v>
      </c>
      <c r="Q1983" s="46" t="s">
        <v>112</v>
      </c>
      <c r="R1983" s="46"/>
      <c r="S1983" s="46" t="s">
        <v>3993</v>
      </c>
      <c r="U1983" s="24"/>
      <c r="V1983" s="24"/>
      <c r="W1983" s="18" t="s">
        <v>638</v>
      </c>
    </row>
    <row r="1984">
      <c r="A1984" s="11"/>
      <c r="B1984" s="12" t="s">
        <v>34</v>
      </c>
      <c r="C1984" s="12" t="s">
        <v>65</v>
      </c>
      <c r="D1984" s="12" t="s">
        <v>43</v>
      </c>
      <c r="E1984" s="12" t="s">
        <v>773</v>
      </c>
      <c r="F1984" s="13" t="s">
        <v>774</v>
      </c>
      <c r="G1984" s="12" t="s">
        <v>68</v>
      </c>
      <c r="H1984" s="12" t="s">
        <v>775</v>
      </c>
      <c r="I1984" s="12" t="s">
        <v>776</v>
      </c>
      <c r="J1984" s="17" t="s">
        <v>2800</v>
      </c>
      <c r="K1984" s="18" t="s">
        <v>2801</v>
      </c>
      <c r="L1984" s="20">
        <v>45971.0</v>
      </c>
      <c r="M1984" s="17" t="s">
        <v>28</v>
      </c>
      <c r="N1984" s="46" t="s">
        <v>2632</v>
      </c>
      <c r="O1984" s="122">
        <v>4.2195094E7</v>
      </c>
      <c r="P1984" s="46" t="s">
        <v>2633</v>
      </c>
      <c r="Q1984" s="46" t="s">
        <v>73</v>
      </c>
      <c r="R1984" s="46"/>
      <c r="S1984" s="46" t="s">
        <v>3994</v>
      </c>
      <c r="U1984" s="24"/>
      <c r="V1984" s="24"/>
      <c r="W1984" s="18" t="s">
        <v>638</v>
      </c>
    </row>
    <row r="1985">
      <c r="A1985" s="11"/>
      <c r="B1985" s="12" t="s">
        <v>34</v>
      </c>
      <c r="C1985" s="12" t="s">
        <v>65</v>
      </c>
      <c r="D1985" s="12" t="s">
        <v>43</v>
      </c>
      <c r="E1985" s="12" t="s">
        <v>773</v>
      </c>
      <c r="F1985" s="13" t="s">
        <v>774</v>
      </c>
      <c r="G1985" s="12" t="s">
        <v>68</v>
      </c>
      <c r="H1985" s="12" t="s">
        <v>775</v>
      </c>
      <c r="I1985" s="12" t="s">
        <v>776</v>
      </c>
      <c r="J1985" s="17" t="s">
        <v>2800</v>
      </c>
      <c r="K1985" s="18" t="s">
        <v>2801</v>
      </c>
      <c r="L1985" s="20">
        <v>45971.0</v>
      </c>
      <c r="M1985" s="17" t="s">
        <v>28</v>
      </c>
      <c r="N1985" s="46" t="s">
        <v>2615</v>
      </c>
      <c r="O1985" s="122">
        <v>4.2868544E7</v>
      </c>
      <c r="P1985" s="46" t="s">
        <v>2616</v>
      </c>
      <c r="Q1985" s="46" t="s">
        <v>112</v>
      </c>
      <c r="R1985" s="46"/>
      <c r="S1985" s="46" t="s">
        <v>3995</v>
      </c>
      <c r="U1985" s="24"/>
      <c r="V1985" s="24"/>
      <c r="W1985" s="18" t="s">
        <v>638</v>
      </c>
    </row>
    <row r="1986">
      <c r="A1986" s="11"/>
      <c r="B1986" s="12" t="s">
        <v>34</v>
      </c>
      <c r="C1986" s="12" t="s">
        <v>65</v>
      </c>
      <c r="D1986" s="12" t="s">
        <v>43</v>
      </c>
      <c r="E1986" s="12" t="s">
        <v>773</v>
      </c>
      <c r="F1986" s="13" t="s">
        <v>774</v>
      </c>
      <c r="G1986" s="12" t="s">
        <v>68</v>
      </c>
      <c r="H1986" s="12" t="s">
        <v>775</v>
      </c>
      <c r="I1986" s="12" t="s">
        <v>776</v>
      </c>
      <c r="J1986" s="17" t="s">
        <v>2800</v>
      </c>
      <c r="K1986" s="18" t="s">
        <v>2801</v>
      </c>
      <c r="L1986" s="20">
        <v>45971.0</v>
      </c>
      <c r="M1986" s="17" t="s">
        <v>28</v>
      </c>
      <c r="N1986" s="46" t="s">
        <v>3353</v>
      </c>
      <c r="O1986" s="122">
        <v>7.1213948E7</v>
      </c>
      <c r="P1986" s="46" t="s">
        <v>3354</v>
      </c>
      <c r="Q1986" s="46" t="s">
        <v>112</v>
      </c>
      <c r="R1986" s="46"/>
      <c r="S1986" s="46" t="s">
        <v>3996</v>
      </c>
      <c r="U1986" s="24"/>
      <c r="V1986" s="24"/>
      <c r="W1986" s="18" t="s">
        <v>638</v>
      </c>
    </row>
    <row r="1987">
      <c r="A1987" s="11"/>
      <c r="B1987" s="12" t="s">
        <v>34</v>
      </c>
      <c r="C1987" s="12" t="s">
        <v>65</v>
      </c>
      <c r="D1987" s="12" t="s">
        <v>43</v>
      </c>
      <c r="E1987" s="12" t="s">
        <v>773</v>
      </c>
      <c r="F1987" s="13" t="s">
        <v>774</v>
      </c>
      <c r="G1987" s="12" t="s">
        <v>68</v>
      </c>
      <c r="H1987" s="12" t="s">
        <v>775</v>
      </c>
      <c r="I1987" s="12" t="s">
        <v>776</v>
      </c>
      <c r="J1987" s="17" t="s">
        <v>2800</v>
      </c>
      <c r="K1987" s="18" t="s">
        <v>2801</v>
      </c>
      <c r="L1987" s="20">
        <v>45971.0</v>
      </c>
      <c r="M1987" s="17" t="s">
        <v>28</v>
      </c>
      <c r="N1987" s="46" t="s">
        <v>3363</v>
      </c>
      <c r="O1987" s="122">
        <v>7.4398753E7</v>
      </c>
      <c r="P1987" s="46" t="s">
        <v>3364</v>
      </c>
      <c r="Q1987" s="46" t="s">
        <v>108</v>
      </c>
      <c r="R1987" s="46"/>
      <c r="S1987" s="46" t="s">
        <v>3997</v>
      </c>
      <c r="U1987" s="24"/>
      <c r="V1987" s="24"/>
      <c r="W1987" s="18" t="s">
        <v>638</v>
      </c>
    </row>
    <row r="1988">
      <c r="A1988" s="11"/>
      <c r="B1988" s="12" t="s">
        <v>34</v>
      </c>
      <c r="C1988" s="12" t="s">
        <v>65</v>
      </c>
      <c r="D1988" s="12" t="s">
        <v>43</v>
      </c>
      <c r="E1988" s="12" t="s">
        <v>773</v>
      </c>
      <c r="F1988" s="13" t="s">
        <v>774</v>
      </c>
      <c r="G1988" s="12" t="s">
        <v>68</v>
      </c>
      <c r="H1988" s="12" t="s">
        <v>775</v>
      </c>
      <c r="I1988" s="12" t="s">
        <v>776</v>
      </c>
      <c r="J1988" s="17" t="s">
        <v>2800</v>
      </c>
      <c r="K1988" s="18" t="s">
        <v>2801</v>
      </c>
      <c r="L1988" s="20">
        <v>45971.0</v>
      </c>
      <c r="M1988" s="17" t="s">
        <v>28</v>
      </c>
      <c r="N1988" s="46" t="s">
        <v>2635</v>
      </c>
      <c r="O1988" s="122">
        <v>6.0392387E7</v>
      </c>
      <c r="P1988" s="46" t="s">
        <v>3998</v>
      </c>
      <c r="Q1988" s="46" t="s">
        <v>73</v>
      </c>
      <c r="R1988" s="46"/>
      <c r="S1988" s="46" t="s">
        <v>3999</v>
      </c>
      <c r="U1988" s="24"/>
      <c r="V1988" s="24"/>
      <c r="W1988" s="18" t="s">
        <v>638</v>
      </c>
    </row>
    <row r="1989">
      <c r="A1989" s="11"/>
      <c r="B1989" s="12" t="s">
        <v>34</v>
      </c>
      <c r="C1989" s="12" t="s">
        <v>65</v>
      </c>
      <c r="D1989" s="12" t="s">
        <v>43</v>
      </c>
      <c r="E1989" s="12" t="s">
        <v>773</v>
      </c>
      <c r="F1989" s="13" t="s">
        <v>774</v>
      </c>
      <c r="G1989" s="12" t="s">
        <v>68</v>
      </c>
      <c r="H1989" s="12" t="s">
        <v>775</v>
      </c>
      <c r="I1989" s="12" t="s">
        <v>776</v>
      </c>
      <c r="J1989" s="17" t="s">
        <v>2800</v>
      </c>
      <c r="K1989" s="18" t="s">
        <v>2801</v>
      </c>
      <c r="L1989" s="20">
        <v>45971.0</v>
      </c>
      <c r="M1989" s="17" t="s">
        <v>28</v>
      </c>
      <c r="N1989" s="46" t="s">
        <v>3367</v>
      </c>
      <c r="O1989" s="122">
        <v>7.6731148E7</v>
      </c>
      <c r="P1989" s="46" t="s">
        <v>3368</v>
      </c>
      <c r="Q1989" s="46" t="s">
        <v>108</v>
      </c>
      <c r="R1989" s="46"/>
      <c r="S1989" s="46" t="s">
        <v>4000</v>
      </c>
      <c r="U1989" s="24"/>
      <c r="V1989" s="24"/>
      <c r="W1989" s="18" t="s">
        <v>638</v>
      </c>
    </row>
    <row r="1990">
      <c r="A1990" s="11"/>
      <c r="B1990" s="12" t="s">
        <v>34</v>
      </c>
      <c r="C1990" s="12" t="s">
        <v>65</v>
      </c>
      <c r="D1990" s="12" t="s">
        <v>43</v>
      </c>
      <c r="E1990" s="12" t="s">
        <v>773</v>
      </c>
      <c r="F1990" s="13" t="s">
        <v>774</v>
      </c>
      <c r="G1990" s="12" t="s">
        <v>68</v>
      </c>
      <c r="H1990" s="12" t="s">
        <v>775</v>
      </c>
      <c r="I1990" s="12" t="s">
        <v>776</v>
      </c>
      <c r="J1990" s="17" t="s">
        <v>2800</v>
      </c>
      <c r="K1990" s="18" t="s">
        <v>2801</v>
      </c>
      <c r="L1990" s="20">
        <v>45971.0</v>
      </c>
      <c r="M1990" s="17" t="s">
        <v>28</v>
      </c>
      <c r="N1990" s="46" t="s">
        <v>3361</v>
      </c>
      <c r="O1990" s="122">
        <v>7.3392781E7</v>
      </c>
      <c r="P1990" s="46" t="s">
        <v>2622</v>
      </c>
      <c r="Q1990" s="46" t="s">
        <v>108</v>
      </c>
      <c r="R1990" s="46"/>
      <c r="S1990" s="46" t="s">
        <v>4001</v>
      </c>
      <c r="U1990" s="24"/>
      <c r="V1990" s="24"/>
      <c r="W1990" s="18" t="s">
        <v>638</v>
      </c>
    </row>
    <row r="1991">
      <c r="A1991" s="11"/>
      <c r="B1991" s="12" t="s">
        <v>34</v>
      </c>
      <c r="C1991" s="12" t="s">
        <v>65</v>
      </c>
      <c r="D1991" s="12" t="s">
        <v>43</v>
      </c>
      <c r="E1991" s="12" t="s">
        <v>773</v>
      </c>
      <c r="F1991" s="13" t="s">
        <v>774</v>
      </c>
      <c r="G1991" s="12" t="s">
        <v>68</v>
      </c>
      <c r="H1991" s="12" t="s">
        <v>775</v>
      </c>
      <c r="I1991" s="12" t="s">
        <v>776</v>
      </c>
      <c r="J1991" s="17" t="s">
        <v>2800</v>
      </c>
      <c r="K1991" s="18" t="s">
        <v>2801</v>
      </c>
      <c r="L1991" s="20">
        <v>45971.0</v>
      </c>
      <c r="M1991" s="17" t="s">
        <v>28</v>
      </c>
      <c r="N1991" s="46" t="s">
        <v>2609</v>
      </c>
      <c r="O1991" s="122">
        <v>7.1000156E7</v>
      </c>
      <c r="P1991" s="46" t="s">
        <v>2610</v>
      </c>
      <c r="Q1991" s="46" t="s">
        <v>108</v>
      </c>
      <c r="R1991" s="46"/>
      <c r="S1991" s="46" t="s">
        <v>4002</v>
      </c>
      <c r="U1991" s="24"/>
      <c r="V1991" s="24"/>
      <c r="W1991" s="18" t="s">
        <v>638</v>
      </c>
    </row>
    <row r="1992">
      <c r="A1992" s="11"/>
      <c r="B1992" s="12" t="s">
        <v>34</v>
      </c>
      <c r="C1992" s="12" t="s">
        <v>65</v>
      </c>
      <c r="D1992" s="12" t="s">
        <v>43</v>
      </c>
      <c r="E1992" s="12" t="s">
        <v>773</v>
      </c>
      <c r="F1992" s="13" t="s">
        <v>774</v>
      </c>
      <c r="G1992" s="12" t="s">
        <v>68</v>
      </c>
      <c r="H1992" s="12" t="s">
        <v>775</v>
      </c>
      <c r="I1992" s="12" t="s">
        <v>776</v>
      </c>
      <c r="J1992" s="17" t="s">
        <v>2800</v>
      </c>
      <c r="K1992" s="18" t="s">
        <v>2801</v>
      </c>
      <c r="L1992" s="20">
        <v>45971.0</v>
      </c>
      <c r="M1992" s="17" t="s">
        <v>28</v>
      </c>
      <c r="N1992" s="46" t="s">
        <v>2629</v>
      </c>
      <c r="O1992" s="122">
        <v>4.7473337E7</v>
      </c>
      <c r="P1992" s="46" t="s">
        <v>2630</v>
      </c>
      <c r="Q1992" s="46" t="s">
        <v>112</v>
      </c>
      <c r="R1992" s="46"/>
      <c r="S1992" s="46" t="s">
        <v>4003</v>
      </c>
      <c r="U1992" s="24"/>
      <c r="V1992" s="24"/>
      <c r="W1992" s="18" t="s">
        <v>638</v>
      </c>
    </row>
    <row r="1993">
      <c r="A1993" s="11"/>
      <c r="B1993" s="12" t="s">
        <v>34</v>
      </c>
      <c r="C1993" s="12" t="s">
        <v>65</v>
      </c>
      <c r="D1993" s="12" t="s">
        <v>43</v>
      </c>
      <c r="E1993" s="12" t="s">
        <v>773</v>
      </c>
      <c r="F1993" s="13" t="s">
        <v>774</v>
      </c>
      <c r="G1993" s="12" t="s">
        <v>68</v>
      </c>
      <c r="H1993" s="12" t="s">
        <v>775</v>
      </c>
      <c r="I1993" s="12" t="s">
        <v>776</v>
      </c>
      <c r="J1993" s="17" t="s">
        <v>2800</v>
      </c>
      <c r="K1993" s="18" t="s">
        <v>2801</v>
      </c>
      <c r="L1993" s="20">
        <v>45971.0</v>
      </c>
      <c r="M1993" s="17" t="s">
        <v>28</v>
      </c>
      <c r="N1993" s="46" t="s">
        <v>2599</v>
      </c>
      <c r="O1993" s="122">
        <v>4.8010027E7</v>
      </c>
      <c r="P1993" s="46" t="s">
        <v>2600</v>
      </c>
      <c r="Q1993" s="46" t="s">
        <v>112</v>
      </c>
      <c r="R1993" s="46"/>
      <c r="S1993" s="46" t="s">
        <v>4004</v>
      </c>
      <c r="U1993" s="24"/>
      <c r="V1993" s="24"/>
      <c r="W1993" s="18" t="s">
        <v>638</v>
      </c>
    </row>
    <row r="1994">
      <c r="A1994" s="11"/>
      <c r="B1994" s="12" t="s">
        <v>34</v>
      </c>
      <c r="C1994" s="12" t="s">
        <v>65</v>
      </c>
      <c r="D1994" s="12" t="s">
        <v>43</v>
      </c>
      <c r="E1994" s="12" t="s">
        <v>773</v>
      </c>
      <c r="F1994" s="13" t="s">
        <v>774</v>
      </c>
      <c r="G1994" s="12" t="s">
        <v>68</v>
      </c>
      <c r="H1994" s="12" t="s">
        <v>775</v>
      </c>
      <c r="I1994" s="12" t="s">
        <v>776</v>
      </c>
      <c r="J1994" s="17" t="s">
        <v>2800</v>
      </c>
      <c r="K1994" s="18" t="s">
        <v>2801</v>
      </c>
      <c r="L1994" s="20">
        <v>45971.0</v>
      </c>
      <c r="M1994" s="17" t="s">
        <v>28</v>
      </c>
      <c r="N1994" s="46" t="s">
        <v>3357</v>
      </c>
      <c r="O1994" s="122">
        <v>4.0572029E7</v>
      </c>
      <c r="P1994" s="46" t="s">
        <v>2603</v>
      </c>
      <c r="Q1994" s="46" t="s">
        <v>108</v>
      </c>
      <c r="R1994" s="46"/>
      <c r="S1994" s="46" t="s">
        <v>4005</v>
      </c>
      <c r="U1994" s="24"/>
      <c r="V1994" s="24"/>
      <c r="W1994" s="18" t="s">
        <v>638</v>
      </c>
    </row>
    <row r="1995">
      <c r="A1995" s="11"/>
      <c r="B1995" s="12" t="s">
        <v>34</v>
      </c>
      <c r="C1995" s="12" t="s">
        <v>65</v>
      </c>
      <c r="D1995" s="12" t="s">
        <v>43</v>
      </c>
      <c r="E1995" s="12" t="s">
        <v>666</v>
      </c>
      <c r="F1995" s="13" t="s">
        <v>667</v>
      </c>
      <c r="G1995" s="12" t="s">
        <v>68</v>
      </c>
      <c r="H1995" s="12" t="s">
        <v>668</v>
      </c>
      <c r="I1995" s="12" t="s">
        <v>669</v>
      </c>
      <c r="J1995" s="17" t="s">
        <v>2800</v>
      </c>
      <c r="K1995" s="18" t="s">
        <v>2801</v>
      </c>
      <c r="L1995" s="20">
        <v>45966.0</v>
      </c>
      <c r="M1995" s="17" t="s">
        <v>28</v>
      </c>
      <c r="N1995" s="17" t="s">
        <v>2476</v>
      </c>
      <c r="O1995" s="17">
        <v>7.2568623E7</v>
      </c>
      <c r="P1995" s="17" t="s">
        <v>2477</v>
      </c>
      <c r="Q1995" s="17" t="s">
        <v>73</v>
      </c>
      <c r="R1995" s="17" t="s">
        <v>74</v>
      </c>
      <c r="S1995" s="17"/>
      <c r="U1995" s="24"/>
      <c r="V1995" s="24"/>
      <c r="W1995" s="18" t="s">
        <v>638</v>
      </c>
    </row>
    <row r="1996">
      <c r="A1996" s="11"/>
      <c r="B1996" s="12" t="s">
        <v>34</v>
      </c>
      <c r="C1996" s="12" t="s">
        <v>65</v>
      </c>
      <c r="D1996" s="12" t="s">
        <v>43</v>
      </c>
      <c r="E1996" s="12" t="s">
        <v>666</v>
      </c>
      <c r="F1996" s="13" t="s">
        <v>667</v>
      </c>
      <c r="G1996" s="12" t="s">
        <v>68</v>
      </c>
      <c r="H1996" s="12" t="s">
        <v>668</v>
      </c>
      <c r="I1996" s="12" t="s">
        <v>669</v>
      </c>
      <c r="J1996" s="17" t="s">
        <v>2800</v>
      </c>
      <c r="K1996" s="18" t="s">
        <v>2801</v>
      </c>
      <c r="L1996" s="20">
        <v>45966.0</v>
      </c>
      <c r="M1996" s="17" t="s">
        <v>28</v>
      </c>
      <c r="N1996" s="17" t="s">
        <v>3902</v>
      </c>
      <c r="O1996" s="17">
        <v>4.4545098E7</v>
      </c>
      <c r="P1996" s="17" t="s">
        <v>2480</v>
      </c>
      <c r="Q1996" s="17" t="s">
        <v>112</v>
      </c>
      <c r="R1996" s="17" t="s">
        <v>113</v>
      </c>
      <c r="S1996" s="17"/>
      <c r="U1996" s="24"/>
      <c r="V1996" s="24"/>
      <c r="W1996" s="18" t="s">
        <v>638</v>
      </c>
    </row>
    <row r="1997">
      <c r="A1997" s="11"/>
      <c r="B1997" s="12" t="s">
        <v>34</v>
      </c>
      <c r="C1997" s="12" t="s">
        <v>65</v>
      </c>
      <c r="D1997" s="12" t="s">
        <v>43</v>
      </c>
      <c r="E1997" s="12" t="s">
        <v>666</v>
      </c>
      <c r="F1997" s="13" t="s">
        <v>667</v>
      </c>
      <c r="G1997" s="12" t="s">
        <v>68</v>
      </c>
      <c r="H1997" s="12" t="s">
        <v>668</v>
      </c>
      <c r="I1997" s="12" t="s">
        <v>669</v>
      </c>
      <c r="J1997" s="17" t="s">
        <v>2800</v>
      </c>
      <c r="K1997" s="18" t="s">
        <v>2801</v>
      </c>
      <c r="L1997" s="20">
        <v>45966.0</v>
      </c>
      <c r="M1997" s="17" t="s">
        <v>28</v>
      </c>
      <c r="N1997" s="17" t="s">
        <v>2482</v>
      </c>
      <c r="O1997" s="17">
        <v>7.3244474E7</v>
      </c>
      <c r="Q1997" s="17" t="s">
        <v>108</v>
      </c>
      <c r="R1997" s="17" t="s">
        <v>109</v>
      </c>
      <c r="S1997" s="17"/>
      <c r="U1997" s="24"/>
      <c r="V1997" s="24"/>
      <c r="W1997" s="18" t="s">
        <v>638</v>
      </c>
    </row>
    <row r="1998">
      <c r="A1998" s="11"/>
      <c r="B1998" s="12" t="s">
        <v>34</v>
      </c>
      <c r="C1998" s="12" t="s">
        <v>65</v>
      </c>
      <c r="D1998" s="12" t="s">
        <v>43</v>
      </c>
      <c r="E1998" s="12" t="s">
        <v>666</v>
      </c>
      <c r="F1998" s="13" t="s">
        <v>667</v>
      </c>
      <c r="G1998" s="12" t="s">
        <v>68</v>
      </c>
      <c r="H1998" s="12" t="s">
        <v>668</v>
      </c>
      <c r="I1998" s="12" t="s">
        <v>669</v>
      </c>
      <c r="J1998" s="17" t="s">
        <v>2800</v>
      </c>
      <c r="K1998" s="18" t="s">
        <v>2801</v>
      </c>
      <c r="L1998" s="20">
        <v>45966.0</v>
      </c>
      <c r="M1998" s="17" t="s">
        <v>28</v>
      </c>
      <c r="N1998" s="17" t="s">
        <v>2455</v>
      </c>
      <c r="P1998" s="17" t="s">
        <v>2456</v>
      </c>
      <c r="Q1998" s="17" t="s">
        <v>73</v>
      </c>
      <c r="R1998" s="17" t="s">
        <v>74</v>
      </c>
      <c r="S1998" s="17"/>
      <c r="U1998" s="24"/>
      <c r="V1998" s="24"/>
      <c r="W1998" s="18" t="s">
        <v>638</v>
      </c>
    </row>
    <row r="1999">
      <c r="A1999" s="11"/>
      <c r="B1999" s="12" t="s">
        <v>34</v>
      </c>
      <c r="C1999" s="12" t="s">
        <v>65</v>
      </c>
      <c r="D1999" s="12" t="s">
        <v>43</v>
      </c>
      <c r="E1999" s="12" t="s">
        <v>666</v>
      </c>
      <c r="F1999" s="13" t="s">
        <v>667</v>
      </c>
      <c r="G1999" s="12" t="s">
        <v>68</v>
      </c>
      <c r="H1999" s="12" t="s">
        <v>668</v>
      </c>
      <c r="I1999" s="12" t="s">
        <v>669</v>
      </c>
      <c r="J1999" s="17" t="s">
        <v>2800</v>
      </c>
      <c r="K1999" s="18" t="s">
        <v>2801</v>
      </c>
      <c r="L1999" s="20">
        <v>45966.0</v>
      </c>
      <c r="M1999" s="17" t="s">
        <v>28</v>
      </c>
      <c r="N1999" s="17" t="s">
        <v>3903</v>
      </c>
      <c r="O1999" s="17">
        <v>7.2113549E7</v>
      </c>
      <c r="P1999" s="17" t="s">
        <v>3904</v>
      </c>
      <c r="Q1999" s="17" t="s">
        <v>73</v>
      </c>
      <c r="R1999" s="17" t="s">
        <v>74</v>
      </c>
      <c r="S1999" s="17"/>
      <c r="U1999" s="24"/>
      <c r="V1999" s="24"/>
      <c r="W1999" s="18" t="s">
        <v>638</v>
      </c>
    </row>
    <row r="2000">
      <c r="A2000" s="11"/>
      <c r="B2000" s="12" t="s">
        <v>34</v>
      </c>
      <c r="C2000" s="12" t="s">
        <v>65</v>
      </c>
      <c r="D2000" s="12" t="s">
        <v>43</v>
      </c>
      <c r="E2000" s="12" t="s">
        <v>666</v>
      </c>
      <c r="F2000" s="13" t="s">
        <v>667</v>
      </c>
      <c r="G2000" s="12" t="s">
        <v>68</v>
      </c>
      <c r="H2000" s="12" t="s">
        <v>668</v>
      </c>
      <c r="I2000" s="12" t="s">
        <v>669</v>
      </c>
      <c r="J2000" s="17" t="s">
        <v>2800</v>
      </c>
      <c r="K2000" s="18" t="s">
        <v>2801</v>
      </c>
      <c r="L2000" s="20">
        <v>45966.0</v>
      </c>
      <c r="M2000" s="17" t="s">
        <v>28</v>
      </c>
      <c r="N2000" s="17" t="s">
        <v>2473</v>
      </c>
      <c r="O2000" s="17">
        <v>4.6444885E7</v>
      </c>
      <c r="P2000" s="17" t="s">
        <v>2474</v>
      </c>
      <c r="Q2000" s="17" t="s">
        <v>112</v>
      </c>
      <c r="R2000" s="17" t="s">
        <v>113</v>
      </c>
      <c r="S2000" s="17"/>
      <c r="U2000" s="24"/>
      <c r="V2000" s="24"/>
      <c r="W2000" s="18" t="s">
        <v>638</v>
      </c>
    </row>
    <row r="2001">
      <c r="A2001" s="11"/>
      <c r="B2001" s="12" t="s">
        <v>34</v>
      </c>
      <c r="C2001" s="12" t="s">
        <v>65</v>
      </c>
      <c r="D2001" s="12" t="s">
        <v>43</v>
      </c>
      <c r="E2001" s="12" t="s">
        <v>666</v>
      </c>
      <c r="F2001" s="13" t="s">
        <v>667</v>
      </c>
      <c r="G2001" s="12" t="s">
        <v>68</v>
      </c>
      <c r="H2001" s="12" t="s">
        <v>668</v>
      </c>
      <c r="I2001" s="12" t="s">
        <v>669</v>
      </c>
      <c r="J2001" s="17" t="s">
        <v>2800</v>
      </c>
      <c r="K2001" s="18" t="s">
        <v>2801</v>
      </c>
      <c r="L2001" s="20">
        <v>45966.0</v>
      </c>
      <c r="M2001" s="17" t="s">
        <v>28</v>
      </c>
      <c r="N2001" s="17" t="s">
        <v>2467</v>
      </c>
      <c r="O2001" s="17">
        <v>4.7328558E7</v>
      </c>
      <c r="P2001" s="17" t="s">
        <v>3906</v>
      </c>
      <c r="Q2001" s="17" t="s">
        <v>73</v>
      </c>
      <c r="R2001" s="17" t="s">
        <v>74</v>
      </c>
      <c r="S2001" s="17"/>
      <c r="U2001" s="24"/>
      <c r="V2001" s="24"/>
      <c r="W2001" s="18" t="s">
        <v>638</v>
      </c>
    </row>
    <row r="2002">
      <c r="A2002" s="11"/>
      <c r="B2002" s="12" t="s">
        <v>34</v>
      </c>
      <c r="C2002" s="12" t="s">
        <v>65</v>
      </c>
      <c r="D2002" s="12" t="s">
        <v>43</v>
      </c>
      <c r="E2002" s="12" t="s">
        <v>666</v>
      </c>
      <c r="F2002" s="13" t="s">
        <v>667</v>
      </c>
      <c r="G2002" s="12" t="s">
        <v>68</v>
      </c>
      <c r="H2002" s="12" t="s">
        <v>668</v>
      </c>
      <c r="I2002" s="12" t="s">
        <v>669</v>
      </c>
      <c r="J2002" s="17" t="s">
        <v>2800</v>
      </c>
      <c r="K2002" s="18" t="s">
        <v>2801</v>
      </c>
      <c r="L2002" s="20">
        <v>45966.0</v>
      </c>
      <c r="M2002" s="17" t="s">
        <v>28</v>
      </c>
      <c r="N2002" s="17" t="s">
        <v>3907</v>
      </c>
      <c r="P2002" s="17" t="s">
        <v>2465</v>
      </c>
      <c r="Q2002" s="17" t="s">
        <v>112</v>
      </c>
      <c r="R2002" s="17" t="s">
        <v>113</v>
      </c>
      <c r="S2002" s="17"/>
      <c r="U2002" s="24"/>
      <c r="V2002" s="24"/>
      <c r="W2002" s="18" t="s">
        <v>638</v>
      </c>
    </row>
    <row r="2003">
      <c r="A2003" s="11"/>
      <c r="B2003" s="12" t="s">
        <v>34</v>
      </c>
      <c r="C2003" s="12" t="s">
        <v>65</v>
      </c>
      <c r="D2003" s="12" t="s">
        <v>43</v>
      </c>
      <c r="E2003" s="12" t="s">
        <v>666</v>
      </c>
      <c r="F2003" s="13" t="s">
        <v>667</v>
      </c>
      <c r="G2003" s="12" t="s">
        <v>68</v>
      </c>
      <c r="H2003" s="12" t="s">
        <v>668</v>
      </c>
      <c r="I2003" s="12" t="s">
        <v>669</v>
      </c>
      <c r="J2003" s="17" t="s">
        <v>2800</v>
      </c>
      <c r="K2003" s="18" t="s">
        <v>2801</v>
      </c>
      <c r="L2003" s="20">
        <v>45966.0</v>
      </c>
      <c r="M2003" s="17" t="s">
        <v>28</v>
      </c>
      <c r="N2003" s="17" t="s">
        <v>3908</v>
      </c>
      <c r="O2003" s="17">
        <v>7.2737101E7</v>
      </c>
      <c r="P2003" s="17" t="s">
        <v>3909</v>
      </c>
      <c r="Q2003" s="17" t="s">
        <v>112</v>
      </c>
      <c r="R2003" s="17" t="s">
        <v>113</v>
      </c>
      <c r="S2003" s="17"/>
      <c r="U2003" s="24"/>
      <c r="V2003" s="24"/>
      <c r="W2003" s="18" t="s">
        <v>638</v>
      </c>
    </row>
    <row r="2004">
      <c r="A2004" s="11"/>
      <c r="B2004" s="12" t="s">
        <v>34</v>
      </c>
      <c r="C2004" s="12" t="s">
        <v>65</v>
      </c>
      <c r="D2004" s="12" t="s">
        <v>43</v>
      </c>
      <c r="E2004" s="12" t="s">
        <v>666</v>
      </c>
      <c r="F2004" s="13" t="s">
        <v>667</v>
      </c>
      <c r="G2004" s="12" t="s">
        <v>68</v>
      </c>
      <c r="H2004" s="12" t="s">
        <v>668</v>
      </c>
      <c r="I2004" s="12" t="s">
        <v>669</v>
      </c>
      <c r="J2004" s="17" t="s">
        <v>2800</v>
      </c>
      <c r="K2004" s="18" t="s">
        <v>2801</v>
      </c>
      <c r="L2004" s="20">
        <v>45966.0</v>
      </c>
      <c r="M2004" s="17" t="s">
        <v>28</v>
      </c>
      <c r="N2004" s="17" t="s">
        <v>2458</v>
      </c>
      <c r="O2004" s="17">
        <v>4.3468589E7</v>
      </c>
      <c r="P2004" s="17" t="s">
        <v>2459</v>
      </c>
      <c r="Q2004" s="17" t="s">
        <v>108</v>
      </c>
      <c r="R2004" s="17" t="s">
        <v>109</v>
      </c>
      <c r="S2004" s="17"/>
      <c r="U2004" s="24"/>
      <c r="V2004" s="24"/>
      <c r="W2004" s="18" t="s">
        <v>638</v>
      </c>
    </row>
    <row r="2005">
      <c r="A2005" s="11"/>
      <c r="B2005" s="12" t="s">
        <v>34</v>
      </c>
      <c r="C2005" s="12" t="s">
        <v>65</v>
      </c>
      <c r="D2005" s="12" t="s">
        <v>43</v>
      </c>
      <c r="E2005" s="12" t="s">
        <v>666</v>
      </c>
      <c r="F2005" s="13" t="s">
        <v>667</v>
      </c>
      <c r="G2005" s="12" t="s">
        <v>68</v>
      </c>
      <c r="H2005" s="12" t="s">
        <v>668</v>
      </c>
      <c r="I2005" s="12" t="s">
        <v>669</v>
      </c>
      <c r="J2005" s="17" t="s">
        <v>2800</v>
      </c>
      <c r="K2005" s="18" t="s">
        <v>2801</v>
      </c>
      <c r="L2005" s="20">
        <v>45966.0</v>
      </c>
      <c r="M2005" s="17" t="s">
        <v>28</v>
      </c>
      <c r="N2005" s="17" t="s">
        <v>2461</v>
      </c>
      <c r="O2005" s="17">
        <v>7.74218E7</v>
      </c>
      <c r="P2005" s="17" t="s">
        <v>2462</v>
      </c>
      <c r="Q2005" s="17" t="s">
        <v>112</v>
      </c>
      <c r="R2005" s="17" t="s">
        <v>113</v>
      </c>
      <c r="S2005" s="17"/>
      <c r="U2005" s="24"/>
      <c r="V2005" s="24"/>
      <c r="W2005" s="18" t="s">
        <v>638</v>
      </c>
    </row>
    <row r="2006">
      <c r="A2006" s="11"/>
      <c r="B2006" s="12" t="s">
        <v>34</v>
      </c>
      <c r="C2006" s="12" t="s">
        <v>65</v>
      </c>
      <c r="D2006" s="12" t="s">
        <v>43</v>
      </c>
      <c r="E2006" s="12" t="s">
        <v>666</v>
      </c>
      <c r="F2006" s="13" t="s">
        <v>667</v>
      </c>
      <c r="G2006" s="12" t="s">
        <v>68</v>
      </c>
      <c r="H2006" s="12" t="s">
        <v>668</v>
      </c>
      <c r="I2006" s="12" t="s">
        <v>669</v>
      </c>
      <c r="J2006" s="17" t="s">
        <v>2800</v>
      </c>
      <c r="K2006" s="18" t="s">
        <v>2801</v>
      </c>
      <c r="L2006" s="20">
        <v>45966.0</v>
      </c>
      <c r="M2006" s="17" t="s">
        <v>28</v>
      </c>
      <c r="N2006" s="17" t="s">
        <v>2464</v>
      </c>
      <c r="O2006" s="17">
        <v>4.8215795E7</v>
      </c>
      <c r="P2006" s="17" t="s">
        <v>2465</v>
      </c>
      <c r="Q2006" s="17" t="s">
        <v>112</v>
      </c>
      <c r="R2006" s="17" t="s">
        <v>113</v>
      </c>
      <c r="S2006" s="17"/>
      <c r="U2006" s="24"/>
      <c r="V2006" s="24"/>
      <c r="W2006" s="18" t="s">
        <v>638</v>
      </c>
    </row>
    <row r="2007">
      <c r="A2007" s="11"/>
      <c r="B2007" s="12" t="s">
        <v>34</v>
      </c>
      <c r="C2007" s="12" t="s">
        <v>65</v>
      </c>
      <c r="D2007" s="12" t="s">
        <v>43</v>
      </c>
      <c r="E2007" s="12" t="s">
        <v>666</v>
      </c>
      <c r="F2007" s="13" t="s">
        <v>667</v>
      </c>
      <c r="G2007" s="12" t="s">
        <v>68</v>
      </c>
      <c r="H2007" s="12" t="s">
        <v>668</v>
      </c>
      <c r="I2007" s="12" t="s">
        <v>669</v>
      </c>
      <c r="J2007" s="17" t="s">
        <v>2800</v>
      </c>
      <c r="K2007" s="18" t="s">
        <v>2801</v>
      </c>
      <c r="L2007" s="20">
        <v>45966.0</v>
      </c>
      <c r="M2007" s="17" t="s">
        <v>28</v>
      </c>
      <c r="N2007" s="17" t="s">
        <v>2452</v>
      </c>
      <c r="O2007" s="17">
        <v>3.2303863E7</v>
      </c>
      <c r="P2007" s="17" t="s">
        <v>2453</v>
      </c>
      <c r="Q2007" s="17" t="s">
        <v>108</v>
      </c>
      <c r="R2007" s="17" t="s">
        <v>109</v>
      </c>
      <c r="S2007" s="17"/>
      <c r="U2007" s="24"/>
      <c r="V2007" s="24"/>
      <c r="W2007" s="18" t="s">
        <v>638</v>
      </c>
    </row>
    <row r="2008">
      <c r="A2008" s="11"/>
      <c r="B2008" s="12" t="s">
        <v>34</v>
      </c>
      <c r="C2008" s="12" t="s">
        <v>65</v>
      </c>
      <c r="D2008" s="12" t="s">
        <v>43</v>
      </c>
      <c r="E2008" s="12" t="s">
        <v>666</v>
      </c>
      <c r="F2008" s="13" t="s">
        <v>667</v>
      </c>
      <c r="G2008" s="12" t="s">
        <v>68</v>
      </c>
      <c r="H2008" s="12" t="s">
        <v>668</v>
      </c>
      <c r="I2008" s="12" t="s">
        <v>669</v>
      </c>
      <c r="J2008" s="17" t="s">
        <v>2800</v>
      </c>
      <c r="K2008" s="18" t="s">
        <v>2801</v>
      </c>
      <c r="L2008" s="20">
        <v>45966.0</v>
      </c>
      <c r="M2008" s="17" t="s">
        <v>28</v>
      </c>
      <c r="N2008" s="17" t="s">
        <v>3911</v>
      </c>
      <c r="P2008" s="17" t="s">
        <v>3912</v>
      </c>
      <c r="Q2008" s="17" t="s">
        <v>108</v>
      </c>
      <c r="R2008" s="17" t="s">
        <v>109</v>
      </c>
      <c r="S2008" s="17"/>
      <c r="U2008" s="24"/>
      <c r="V2008" s="24"/>
      <c r="W2008" s="18" t="s">
        <v>638</v>
      </c>
    </row>
    <row r="2009">
      <c r="A2009" s="11"/>
      <c r="B2009" s="12" t="s">
        <v>34</v>
      </c>
      <c r="C2009" s="12" t="s">
        <v>65</v>
      </c>
      <c r="D2009" s="12" t="s">
        <v>43</v>
      </c>
      <c r="E2009" s="12" t="s">
        <v>666</v>
      </c>
      <c r="F2009" s="13" t="s">
        <v>667</v>
      </c>
      <c r="G2009" s="12" t="s">
        <v>68</v>
      </c>
      <c r="H2009" s="12" t="s">
        <v>668</v>
      </c>
      <c r="I2009" s="12" t="s">
        <v>669</v>
      </c>
      <c r="J2009" s="17" t="s">
        <v>2687</v>
      </c>
      <c r="K2009" s="18">
        <v>2.0</v>
      </c>
      <c r="L2009" s="20">
        <v>45966.0</v>
      </c>
      <c r="M2009" s="17" t="s">
        <v>23</v>
      </c>
      <c r="N2009" s="17" t="s">
        <v>3914</v>
      </c>
      <c r="P2009" s="17"/>
      <c r="Q2009" s="17" t="s">
        <v>112</v>
      </c>
      <c r="R2009" s="17"/>
      <c r="S2009" s="17"/>
      <c r="U2009" s="24"/>
      <c r="V2009" s="24"/>
      <c r="W2009" s="18"/>
    </row>
    <row r="2010">
      <c r="A2010" s="11"/>
      <c r="B2010" s="12" t="s">
        <v>34</v>
      </c>
      <c r="C2010" s="12" t="s">
        <v>65</v>
      </c>
      <c r="D2010" s="12" t="s">
        <v>43</v>
      </c>
      <c r="E2010" s="12" t="s">
        <v>666</v>
      </c>
      <c r="F2010" s="13" t="s">
        <v>667</v>
      </c>
      <c r="G2010" s="12" t="s">
        <v>68</v>
      </c>
      <c r="H2010" s="12" t="s">
        <v>668</v>
      </c>
      <c r="I2010" s="12" t="s">
        <v>669</v>
      </c>
      <c r="J2010" s="17" t="s">
        <v>2687</v>
      </c>
      <c r="K2010" s="18">
        <v>2.0</v>
      </c>
      <c r="L2010" s="20">
        <v>45966.0</v>
      </c>
      <c r="M2010" s="17" t="s">
        <v>23</v>
      </c>
      <c r="N2010" s="17" t="s">
        <v>3915</v>
      </c>
      <c r="P2010" s="17"/>
      <c r="Q2010" s="17" t="s">
        <v>73</v>
      </c>
      <c r="R2010" s="17"/>
      <c r="S2010" s="17"/>
      <c r="U2010" s="24"/>
      <c r="V2010" s="24"/>
      <c r="W2010" s="18"/>
    </row>
    <row r="2011">
      <c r="A2011" s="11"/>
      <c r="B2011" s="12" t="s">
        <v>34</v>
      </c>
      <c r="C2011" s="12" t="s">
        <v>65</v>
      </c>
      <c r="D2011" s="12" t="s">
        <v>43</v>
      </c>
      <c r="E2011" s="12" t="s">
        <v>717</v>
      </c>
      <c r="F2011" s="13" t="s">
        <v>718</v>
      </c>
      <c r="G2011" s="12" t="s">
        <v>68</v>
      </c>
      <c r="H2011" s="12" t="s">
        <v>719</v>
      </c>
      <c r="I2011" s="12" t="s">
        <v>720</v>
      </c>
      <c r="J2011" s="17" t="s">
        <v>2800</v>
      </c>
      <c r="K2011" s="18" t="s">
        <v>2801</v>
      </c>
      <c r="L2011" s="20">
        <v>45965.0</v>
      </c>
      <c r="M2011" s="17" t="s">
        <v>28</v>
      </c>
      <c r="N2011" s="17" t="s">
        <v>4383</v>
      </c>
      <c r="P2011" s="17"/>
      <c r="Q2011" s="17"/>
      <c r="R2011" s="17"/>
      <c r="S2011" s="17"/>
      <c r="U2011" s="24"/>
      <c r="V2011" s="24"/>
      <c r="W2011" s="18" t="s">
        <v>638</v>
      </c>
    </row>
    <row r="2012">
      <c r="A2012" s="11"/>
      <c r="B2012" s="12" t="s">
        <v>34</v>
      </c>
      <c r="C2012" s="12" t="s">
        <v>65</v>
      </c>
      <c r="D2012" s="12" t="s">
        <v>43</v>
      </c>
      <c r="E2012" s="12" t="s">
        <v>717</v>
      </c>
      <c r="F2012" s="13" t="s">
        <v>718</v>
      </c>
      <c r="G2012" s="12" t="s">
        <v>68</v>
      </c>
      <c r="H2012" s="12" t="s">
        <v>719</v>
      </c>
      <c r="I2012" s="12" t="s">
        <v>720</v>
      </c>
      <c r="J2012" s="17" t="s">
        <v>2800</v>
      </c>
      <c r="K2012" s="18" t="s">
        <v>2801</v>
      </c>
      <c r="L2012" s="20">
        <v>45965.0</v>
      </c>
      <c r="M2012" s="17" t="s">
        <v>28</v>
      </c>
      <c r="N2012" s="17" t="s">
        <v>2572</v>
      </c>
      <c r="P2012" s="17"/>
      <c r="Q2012" s="17"/>
      <c r="R2012" s="17"/>
      <c r="S2012" s="17"/>
      <c r="U2012" s="24"/>
      <c r="V2012" s="24"/>
      <c r="W2012" s="18" t="s">
        <v>638</v>
      </c>
    </row>
    <row r="2013">
      <c r="A2013" s="11"/>
      <c r="B2013" s="12" t="s">
        <v>34</v>
      </c>
      <c r="C2013" s="12" t="s">
        <v>65</v>
      </c>
      <c r="D2013" s="12" t="s">
        <v>43</v>
      </c>
      <c r="E2013" s="12" t="s">
        <v>717</v>
      </c>
      <c r="F2013" s="13" t="s">
        <v>718</v>
      </c>
      <c r="G2013" s="12" t="s">
        <v>68</v>
      </c>
      <c r="H2013" s="12" t="s">
        <v>719</v>
      </c>
      <c r="I2013" s="12" t="s">
        <v>720</v>
      </c>
      <c r="J2013" s="17" t="s">
        <v>2800</v>
      </c>
      <c r="K2013" s="18" t="s">
        <v>2801</v>
      </c>
      <c r="L2013" s="20">
        <v>45965.0</v>
      </c>
      <c r="M2013" s="17" t="s">
        <v>28</v>
      </c>
      <c r="N2013" s="17" t="s">
        <v>4384</v>
      </c>
      <c r="P2013" s="17"/>
      <c r="Q2013" s="17"/>
      <c r="R2013" s="17"/>
      <c r="S2013" s="17"/>
      <c r="U2013" s="24"/>
      <c r="V2013" s="24"/>
      <c r="W2013" s="18" t="s">
        <v>638</v>
      </c>
    </row>
    <row r="2014">
      <c r="A2014" s="11"/>
      <c r="B2014" s="12" t="s">
        <v>34</v>
      </c>
      <c r="C2014" s="12" t="s">
        <v>65</v>
      </c>
      <c r="D2014" s="12" t="s">
        <v>43</v>
      </c>
      <c r="E2014" s="12" t="s">
        <v>717</v>
      </c>
      <c r="F2014" s="13" t="s">
        <v>718</v>
      </c>
      <c r="G2014" s="12" t="s">
        <v>68</v>
      </c>
      <c r="H2014" s="12" t="s">
        <v>719</v>
      </c>
      <c r="I2014" s="12" t="s">
        <v>720</v>
      </c>
      <c r="J2014" s="17" t="s">
        <v>2800</v>
      </c>
      <c r="K2014" s="18" t="s">
        <v>2801</v>
      </c>
      <c r="L2014" s="20">
        <v>45965.0</v>
      </c>
      <c r="M2014" s="17" t="s">
        <v>28</v>
      </c>
      <c r="N2014" s="17" t="s">
        <v>4385</v>
      </c>
      <c r="P2014" s="17"/>
      <c r="Q2014" s="17"/>
      <c r="R2014" s="17"/>
      <c r="S2014" s="17"/>
      <c r="U2014" s="24"/>
      <c r="V2014" s="24"/>
      <c r="W2014" s="18" t="s">
        <v>638</v>
      </c>
    </row>
    <row r="2015">
      <c r="A2015" s="11"/>
      <c r="B2015" s="12" t="s">
        <v>34</v>
      </c>
      <c r="C2015" s="12" t="s">
        <v>65</v>
      </c>
      <c r="D2015" s="12" t="s">
        <v>43</v>
      </c>
      <c r="E2015" s="12" t="s">
        <v>717</v>
      </c>
      <c r="F2015" s="13" t="s">
        <v>718</v>
      </c>
      <c r="G2015" s="12" t="s">
        <v>68</v>
      </c>
      <c r="H2015" s="12" t="s">
        <v>719</v>
      </c>
      <c r="I2015" s="12" t="s">
        <v>720</v>
      </c>
      <c r="J2015" s="17" t="s">
        <v>2800</v>
      </c>
      <c r="K2015" s="18" t="s">
        <v>2801</v>
      </c>
      <c r="L2015" s="20">
        <v>45965.0</v>
      </c>
      <c r="M2015" s="17" t="s">
        <v>28</v>
      </c>
      <c r="N2015" s="17" t="s">
        <v>4386</v>
      </c>
      <c r="P2015" s="17"/>
      <c r="Q2015" s="17"/>
      <c r="R2015" s="17"/>
      <c r="S2015" s="17"/>
      <c r="U2015" s="24"/>
      <c r="V2015" s="24"/>
      <c r="W2015" s="18" t="s">
        <v>638</v>
      </c>
    </row>
    <row r="2016">
      <c r="A2016" s="11"/>
      <c r="B2016" s="12" t="s">
        <v>34</v>
      </c>
      <c r="C2016" s="12" t="s">
        <v>65</v>
      </c>
      <c r="D2016" s="12" t="s">
        <v>43</v>
      </c>
      <c r="E2016" s="12" t="s">
        <v>717</v>
      </c>
      <c r="F2016" s="13" t="s">
        <v>718</v>
      </c>
      <c r="G2016" s="12" t="s">
        <v>68</v>
      </c>
      <c r="H2016" s="12" t="s">
        <v>719</v>
      </c>
      <c r="I2016" s="12" t="s">
        <v>720</v>
      </c>
      <c r="J2016" s="17" t="s">
        <v>2800</v>
      </c>
      <c r="K2016" s="18" t="s">
        <v>2801</v>
      </c>
      <c r="L2016" s="20">
        <v>45965.0</v>
      </c>
      <c r="M2016" s="17" t="s">
        <v>28</v>
      </c>
      <c r="N2016" s="17" t="s">
        <v>4387</v>
      </c>
      <c r="P2016" s="17"/>
      <c r="Q2016" s="17"/>
      <c r="R2016" s="17"/>
      <c r="S2016" s="17"/>
      <c r="U2016" s="24"/>
      <c r="V2016" s="24"/>
      <c r="W2016" s="18" t="s">
        <v>638</v>
      </c>
    </row>
    <row r="2017">
      <c r="A2017" s="11"/>
      <c r="B2017" s="12" t="s">
        <v>34</v>
      </c>
      <c r="C2017" s="12" t="s">
        <v>65</v>
      </c>
      <c r="D2017" s="12" t="s">
        <v>43</v>
      </c>
      <c r="E2017" s="12" t="s">
        <v>717</v>
      </c>
      <c r="F2017" s="13" t="s">
        <v>718</v>
      </c>
      <c r="G2017" s="12" t="s">
        <v>68</v>
      </c>
      <c r="H2017" s="12" t="s">
        <v>719</v>
      </c>
      <c r="I2017" s="12" t="s">
        <v>720</v>
      </c>
      <c r="J2017" s="17" t="s">
        <v>2800</v>
      </c>
      <c r="K2017" s="18" t="s">
        <v>2801</v>
      </c>
      <c r="L2017" s="20">
        <v>45965.0</v>
      </c>
      <c r="M2017" s="17" t="s">
        <v>28</v>
      </c>
      <c r="N2017" s="17" t="s">
        <v>3860</v>
      </c>
      <c r="P2017" s="17"/>
      <c r="Q2017" s="17"/>
      <c r="R2017" s="17"/>
      <c r="S2017" s="17"/>
      <c r="U2017" s="24"/>
      <c r="V2017" s="24"/>
      <c r="W2017" s="18" t="s">
        <v>638</v>
      </c>
    </row>
    <row r="2018">
      <c r="A2018" s="11"/>
      <c r="B2018" s="12" t="s">
        <v>34</v>
      </c>
      <c r="C2018" s="12" t="s">
        <v>65</v>
      </c>
      <c r="D2018" s="12" t="s">
        <v>43</v>
      </c>
      <c r="E2018" s="12" t="s">
        <v>717</v>
      </c>
      <c r="F2018" s="13" t="s">
        <v>718</v>
      </c>
      <c r="G2018" s="12" t="s">
        <v>68</v>
      </c>
      <c r="H2018" s="12" t="s">
        <v>719</v>
      </c>
      <c r="I2018" s="12" t="s">
        <v>720</v>
      </c>
      <c r="J2018" s="17" t="s">
        <v>2800</v>
      </c>
      <c r="K2018" s="18" t="s">
        <v>2801</v>
      </c>
      <c r="L2018" s="20">
        <v>45965.0</v>
      </c>
      <c r="M2018" s="17" t="s">
        <v>28</v>
      </c>
      <c r="N2018" s="17" t="s">
        <v>4388</v>
      </c>
      <c r="P2018" s="17"/>
      <c r="Q2018" s="17"/>
      <c r="R2018" s="17"/>
      <c r="S2018" s="17"/>
      <c r="U2018" s="24"/>
      <c r="V2018" s="24"/>
      <c r="W2018" s="18" t="s">
        <v>638</v>
      </c>
    </row>
    <row r="2019">
      <c r="A2019" s="11"/>
      <c r="B2019" s="12" t="s">
        <v>34</v>
      </c>
      <c r="C2019" s="12" t="s">
        <v>65</v>
      </c>
      <c r="D2019" s="12" t="s">
        <v>43</v>
      </c>
      <c r="E2019" s="12" t="s">
        <v>717</v>
      </c>
      <c r="F2019" s="13" t="s">
        <v>718</v>
      </c>
      <c r="G2019" s="12" t="s">
        <v>68</v>
      </c>
      <c r="H2019" s="12" t="s">
        <v>719</v>
      </c>
      <c r="I2019" s="12" t="s">
        <v>720</v>
      </c>
      <c r="J2019" s="17" t="s">
        <v>2800</v>
      </c>
      <c r="K2019" s="18" t="s">
        <v>2801</v>
      </c>
      <c r="L2019" s="20">
        <v>45965.0</v>
      </c>
      <c r="M2019" s="17" t="s">
        <v>28</v>
      </c>
      <c r="N2019" s="17" t="s">
        <v>2596</v>
      </c>
      <c r="P2019" s="17"/>
      <c r="Q2019" s="17"/>
      <c r="R2019" s="17"/>
      <c r="S2019" s="17"/>
      <c r="U2019" s="24"/>
      <c r="V2019" s="24"/>
      <c r="W2019" s="18" t="s">
        <v>638</v>
      </c>
    </row>
    <row r="2020">
      <c r="A2020" s="11"/>
      <c r="B2020" s="12" t="s">
        <v>34</v>
      </c>
      <c r="C2020" s="12" t="s">
        <v>65</v>
      </c>
      <c r="D2020" s="12" t="s">
        <v>43</v>
      </c>
      <c r="E2020" s="12" t="s">
        <v>717</v>
      </c>
      <c r="F2020" s="13" t="s">
        <v>718</v>
      </c>
      <c r="G2020" s="12" t="s">
        <v>68</v>
      </c>
      <c r="H2020" s="12" t="s">
        <v>719</v>
      </c>
      <c r="I2020" s="12" t="s">
        <v>720</v>
      </c>
      <c r="J2020" s="17" t="s">
        <v>2800</v>
      </c>
      <c r="K2020" s="18" t="s">
        <v>2801</v>
      </c>
      <c r="L2020" s="20">
        <v>45965.0</v>
      </c>
      <c r="M2020" s="17" t="s">
        <v>28</v>
      </c>
      <c r="N2020" s="17" t="s">
        <v>4389</v>
      </c>
      <c r="P2020" s="17"/>
      <c r="Q2020" s="17"/>
      <c r="R2020" s="17"/>
      <c r="S2020" s="17"/>
      <c r="U2020" s="24"/>
      <c r="V2020" s="24"/>
      <c r="W2020" s="18" t="s">
        <v>638</v>
      </c>
    </row>
    <row r="2021">
      <c r="A2021" s="11"/>
      <c r="B2021" s="12" t="s">
        <v>34</v>
      </c>
      <c r="C2021" s="12" t="s">
        <v>65</v>
      </c>
      <c r="D2021" s="12" t="s">
        <v>43</v>
      </c>
      <c r="E2021" s="12" t="s">
        <v>717</v>
      </c>
      <c r="F2021" s="13" t="s">
        <v>718</v>
      </c>
      <c r="G2021" s="12" t="s">
        <v>68</v>
      </c>
      <c r="H2021" s="12" t="s">
        <v>719</v>
      </c>
      <c r="I2021" s="12" t="s">
        <v>720</v>
      </c>
      <c r="J2021" s="17" t="s">
        <v>2800</v>
      </c>
      <c r="K2021" s="18" t="s">
        <v>2801</v>
      </c>
      <c r="L2021" s="20">
        <v>45965.0</v>
      </c>
      <c r="M2021" s="17" t="s">
        <v>28</v>
      </c>
      <c r="N2021" s="17" t="s">
        <v>2524</v>
      </c>
      <c r="P2021" s="17"/>
      <c r="Q2021" s="17"/>
      <c r="R2021" s="17"/>
      <c r="S2021" s="17"/>
      <c r="U2021" s="24"/>
      <c r="V2021" s="24"/>
      <c r="W2021" s="18" t="s">
        <v>638</v>
      </c>
    </row>
    <row r="2022">
      <c r="A2022" s="11"/>
      <c r="B2022" s="12" t="s">
        <v>34</v>
      </c>
      <c r="C2022" s="12" t="s">
        <v>65</v>
      </c>
      <c r="D2022" s="12" t="s">
        <v>43</v>
      </c>
      <c r="E2022" s="12" t="s">
        <v>717</v>
      </c>
      <c r="F2022" s="13" t="s">
        <v>718</v>
      </c>
      <c r="G2022" s="12" t="s">
        <v>68</v>
      </c>
      <c r="H2022" s="12" t="s">
        <v>719</v>
      </c>
      <c r="I2022" s="12" t="s">
        <v>720</v>
      </c>
      <c r="J2022" s="17" t="s">
        <v>2800</v>
      </c>
      <c r="K2022" s="18" t="s">
        <v>2801</v>
      </c>
      <c r="L2022" s="20">
        <v>45965.0</v>
      </c>
      <c r="M2022" s="17" t="s">
        <v>28</v>
      </c>
      <c r="N2022" s="17" t="s">
        <v>4390</v>
      </c>
      <c r="P2022" s="17"/>
      <c r="Q2022" s="17"/>
      <c r="R2022" s="17"/>
      <c r="S2022" s="17"/>
      <c r="U2022" s="24"/>
      <c r="V2022" s="24"/>
      <c r="W2022" s="18" t="s">
        <v>638</v>
      </c>
    </row>
    <row r="2023">
      <c r="A2023" s="11"/>
      <c r="B2023" s="12" t="s">
        <v>34</v>
      </c>
      <c r="C2023" s="12" t="s">
        <v>65</v>
      </c>
      <c r="D2023" s="12" t="s">
        <v>43</v>
      </c>
      <c r="E2023" s="12" t="s">
        <v>717</v>
      </c>
      <c r="F2023" s="13" t="s">
        <v>718</v>
      </c>
      <c r="G2023" s="12" t="s">
        <v>68</v>
      </c>
      <c r="H2023" s="12" t="s">
        <v>719</v>
      </c>
      <c r="I2023" s="12" t="s">
        <v>720</v>
      </c>
      <c r="J2023" s="17" t="s">
        <v>2800</v>
      </c>
      <c r="K2023" s="18" t="s">
        <v>2801</v>
      </c>
      <c r="L2023" s="20">
        <v>45965.0</v>
      </c>
      <c r="M2023" s="17" t="s">
        <v>28</v>
      </c>
      <c r="N2023" s="17" t="s">
        <v>4391</v>
      </c>
      <c r="P2023" s="17"/>
      <c r="Q2023" s="17"/>
      <c r="R2023" s="17"/>
      <c r="S2023" s="17"/>
      <c r="U2023" s="24"/>
      <c r="V2023" s="24"/>
      <c r="W2023" s="18" t="s">
        <v>638</v>
      </c>
    </row>
    <row r="2024">
      <c r="A2024" s="11"/>
      <c r="B2024" s="12" t="s">
        <v>34</v>
      </c>
      <c r="C2024" s="12" t="s">
        <v>65</v>
      </c>
      <c r="D2024" s="12" t="s">
        <v>43</v>
      </c>
      <c r="E2024" s="12" t="s">
        <v>717</v>
      </c>
      <c r="F2024" s="13" t="s">
        <v>718</v>
      </c>
      <c r="G2024" s="12" t="s">
        <v>68</v>
      </c>
      <c r="H2024" s="12" t="s">
        <v>719</v>
      </c>
      <c r="I2024" s="12" t="s">
        <v>720</v>
      </c>
      <c r="J2024" s="17" t="s">
        <v>2800</v>
      </c>
      <c r="K2024" s="18" t="s">
        <v>2801</v>
      </c>
      <c r="L2024" s="20">
        <v>45965.0</v>
      </c>
      <c r="M2024" s="17" t="s">
        <v>28</v>
      </c>
      <c r="N2024" s="17" t="s">
        <v>4392</v>
      </c>
      <c r="P2024" s="17"/>
      <c r="Q2024" s="17"/>
      <c r="R2024" s="17"/>
      <c r="S2024" s="17"/>
      <c r="U2024" s="24"/>
      <c r="V2024" s="24"/>
      <c r="W2024" s="18" t="s">
        <v>638</v>
      </c>
    </row>
    <row r="2025">
      <c r="A2025" s="11"/>
      <c r="B2025" s="12" t="s">
        <v>34</v>
      </c>
      <c r="C2025" s="12" t="s">
        <v>65</v>
      </c>
      <c r="D2025" s="12" t="s">
        <v>43</v>
      </c>
      <c r="E2025" s="12" t="s">
        <v>717</v>
      </c>
      <c r="F2025" s="13" t="s">
        <v>718</v>
      </c>
      <c r="G2025" s="12" t="s">
        <v>68</v>
      </c>
      <c r="H2025" s="12" t="s">
        <v>719</v>
      </c>
      <c r="I2025" s="12" t="s">
        <v>720</v>
      </c>
      <c r="J2025" s="17" t="s">
        <v>2800</v>
      </c>
      <c r="K2025" s="18" t="s">
        <v>2801</v>
      </c>
      <c r="L2025" s="20">
        <v>45965.0</v>
      </c>
      <c r="M2025" s="17" t="s">
        <v>28</v>
      </c>
      <c r="N2025" s="17" t="s">
        <v>2528</v>
      </c>
      <c r="P2025" s="17"/>
      <c r="Q2025" s="17"/>
      <c r="R2025" s="17"/>
      <c r="S2025" s="17"/>
      <c r="U2025" s="24"/>
      <c r="V2025" s="24"/>
      <c r="W2025" s="18" t="s">
        <v>638</v>
      </c>
    </row>
    <row r="2026">
      <c r="A2026" s="11"/>
      <c r="B2026" s="12" t="s">
        <v>34</v>
      </c>
      <c r="C2026" s="12" t="s">
        <v>65</v>
      </c>
      <c r="D2026" s="12" t="s">
        <v>43</v>
      </c>
      <c r="E2026" s="12" t="s">
        <v>717</v>
      </c>
      <c r="F2026" s="13" t="s">
        <v>718</v>
      </c>
      <c r="G2026" s="12" t="s">
        <v>68</v>
      </c>
      <c r="H2026" s="12" t="s">
        <v>719</v>
      </c>
      <c r="I2026" s="12" t="s">
        <v>720</v>
      </c>
      <c r="J2026" s="17" t="s">
        <v>2800</v>
      </c>
      <c r="K2026" s="18" t="s">
        <v>2801</v>
      </c>
      <c r="L2026" s="20">
        <v>45965.0</v>
      </c>
      <c r="M2026" s="17" t="s">
        <v>28</v>
      </c>
      <c r="N2026" s="17" t="s">
        <v>4393</v>
      </c>
      <c r="P2026" s="17"/>
      <c r="Q2026" s="17"/>
      <c r="R2026" s="17"/>
      <c r="S2026" s="17"/>
      <c r="U2026" s="24"/>
      <c r="V2026" s="24"/>
      <c r="W2026" s="18" t="s">
        <v>638</v>
      </c>
    </row>
    <row r="2027">
      <c r="A2027" s="11"/>
      <c r="B2027" s="12" t="s">
        <v>34</v>
      </c>
      <c r="C2027" s="12" t="s">
        <v>65</v>
      </c>
      <c r="D2027" s="12" t="s">
        <v>43</v>
      </c>
      <c r="E2027" s="12" t="s">
        <v>717</v>
      </c>
      <c r="F2027" s="13" t="s">
        <v>718</v>
      </c>
      <c r="G2027" s="12" t="s">
        <v>68</v>
      </c>
      <c r="H2027" s="12" t="s">
        <v>719</v>
      </c>
      <c r="I2027" s="12" t="s">
        <v>720</v>
      </c>
      <c r="J2027" s="17" t="s">
        <v>2800</v>
      </c>
      <c r="K2027" s="18" t="s">
        <v>2801</v>
      </c>
      <c r="L2027" s="20">
        <v>45965.0</v>
      </c>
      <c r="M2027" s="17" t="s">
        <v>28</v>
      </c>
      <c r="N2027" s="17" t="s">
        <v>4394</v>
      </c>
      <c r="P2027" s="17"/>
      <c r="Q2027" s="17"/>
      <c r="R2027" s="17"/>
      <c r="S2027" s="17"/>
      <c r="U2027" s="24"/>
      <c r="V2027" s="24"/>
      <c r="W2027" s="18" t="s">
        <v>638</v>
      </c>
    </row>
    <row r="2028">
      <c r="A2028" s="11"/>
      <c r="B2028" s="12" t="s">
        <v>34</v>
      </c>
      <c r="C2028" s="12" t="s">
        <v>65</v>
      </c>
      <c r="D2028" s="12" t="s">
        <v>43</v>
      </c>
      <c r="E2028" s="12" t="s">
        <v>717</v>
      </c>
      <c r="F2028" s="13" t="s">
        <v>718</v>
      </c>
      <c r="G2028" s="12" t="s">
        <v>68</v>
      </c>
      <c r="H2028" s="12" t="s">
        <v>719</v>
      </c>
      <c r="I2028" s="12" t="s">
        <v>720</v>
      </c>
      <c r="J2028" s="17" t="s">
        <v>2800</v>
      </c>
      <c r="K2028" s="18" t="s">
        <v>2801</v>
      </c>
      <c r="L2028" s="20">
        <v>45965.0</v>
      </c>
      <c r="M2028" s="17" t="s">
        <v>28</v>
      </c>
      <c r="N2028" s="17" t="s">
        <v>4395</v>
      </c>
      <c r="P2028" s="17"/>
      <c r="Q2028" s="17"/>
      <c r="R2028" s="17"/>
      <c r="S2028" s="17"/>
      <c r="U2028" s="24"/>
      <c r="V2028" s="24"/>
      <c r="W2028" s="18" t="s">
        <v>638</v>
      </c>
    </row>
    <row r="2029">
      <c r="A2029" s="11"/>
      <c r="B2029" s="12" t="s">
        <v>34</v>
      </c>
      <c r="C2029" s="12" t="s">
        <v>65</v>
      </c>
      <c r="D2029" s="12" t="s">
        <v>43</v>
      </c>
      <c r="E2029" s="12" t="s">
        <v>717</v>
      </c>
      <c r="F2029" s="13" t="s">
        <v>718</v>
      </c>
      <c r="G2029" s="12" t="s">
        <v>68</v>
      </c>
      <c r="H2029" s="12" t="s">
        <v>719</v>
      </c>
      <c r="I2029" s="12" t="s">
        <v>720</v>
      </c>
      <c r="J2029" s="17" t="s">
        <v>2800</v>
      </c>
      <c r="K2029" s="18" t="s">
        <v>2801</v>
      </c>
      <c r="L2029" s="20">
        <v>45965.0</v>
      </c>
      <c r="M2029" s="17" t="s">
        <v>28</v>
      </c>
      <c r="N2029" s="17" t="s">
        <v>4396</v>
      </c>
      <c r="P2029" s="17"/>
      <c r="Q2029" s="17"/>
      <c r="R2029" s="17"/>
      <c r="S2029" s="17"/>
      <c r="U2029" s="24"/>
      <c r="V2029" s="24"/>
      <c r="W2029" s="18" t="s">
        <v>638</v>
      </c>
    </row>
    <row r="2030">
      <c r="A2030" s="11"/>
      <c r="B2030" s="12" t="s">
        <v>34</v>
      </c>
      <c r="C2030" s="12" t="s">
        <v>65</v>
      </c>
      <c r="D2030" s="12" t="s">
        <v>43</v>
      </c>
      <c r="E2030" s="12" t="s">
        <v>717</v>
      </c>
      <c r="F2030" s="13" t="s">
        <v>718</v>
      </c>
      <c r="G2030" s="12" t="s">
        <v>68</v>
      </c>
      <c r="H2030" s="12" t="s">
        <v>719</v>
      </c>
      <c r="I2030" s="12" t="s">
        <v>720</v>
      </c>
      <c r="J2030" s="17" t="s">
        <v>2800</v>
      </c>
      <c r="K2030" s="18" t="s">
        <v>2801</v>
      </c>
      <c r="L2030" s="20">
        <v>45965.0</v>
      </c>
      <c r="M2030" s="17" t="s">
        <v>28</v>
      </c>
      <c r="N2030" s="17" t="s">
        <v>4397</v>
      </c>
      <c r="P2030" s="17"/>
      <c r="Q2030" s="17"/>
      <c r="R2030" s="17"/>
      <c r="S2030" s="17"/>
      <c r="U2030" s="24"/>
      <c r="V2030" s="24"/>
      <c r="W2030" s="18" t="s">
        <v>638</v>
      </c>
    </row>
    <row r="2031">
      <c r="A2031" s="11"/>
      <c r="B2031" s="12" t="s">
        <v>34</v>
      </c>
      <c r="C2031" s="12" t="s">
        <v>65</v>
      </c>
      <c r="D2031" s="12" t="s">
        <v>43</v>
      </c>
      <c r="E2031" s="12" t="s">
        <v>717</v>
      </c>
      <c r="F2031" s="13" t="s">
        <v>718</v>
      </c>
      <c r="G2031" s="12" t="s">
        <v>68</v>
      </c>
      <c r="H2031" s="12" t="s">
        <v>719</v>
      </c>
      <c r="I2031" s="12" t="s">
        <v>720</v>
      </c>
      <c r="J2031" s="17" t="s">
        <v>2800</v>
      </c>
      <c r="K2031" s="18" t="s">
        <v>2801</v>
      </c>
      <c r="L2031" s="20">
        <v>45965.0</v>
      </c>
      <c r="M2031" s="17" t="s">
        <v>28</v>
      </c>
      <c r="N2031" s="17" t="s">
        <v>3331</v>
      </c>
      <c r="P2031" s="17"/>
      <c r="Q2031" s="17"/>
      <c r="R2031" s="17"/>
      <c r="S2031" s="17"/>
      <c r="U2031" s="24"/>
      <c r="V2031" s="24"/>
      <c r="W2031" s="18" t="s">
        <v>638</v>
      </c>
    </row>
    <row r="2032">
      <c r="A2032" s="11"/>
      <c r="B2032" s="12" t="s">
        <v>34</v>
      </c>
      <c r="C2032" s="12" t="s">
        <v>65</v>
      </c>
      <c r="D2032" s="12" t="s">
        <v>43</v>
      </c>
      <c r="E2032" s="12" t="s">
        <v>717</v>
      </c>
      <c r="F2032" s="13" t="s">
        <v>718</v>
      </c>
      <c r="G2032" s="12" t="s">
        <v>68</v>
      </c>
      <c r="H2032" s="12" t="s">
        <v>719</v>
      </c>
      <c r="I2032" s="12" t="s">
        <v>720</v>
      </c>
      <c r="J2032" s="17" t="s">
        <v>2800</v>
      </c>
      <c r="K2032" s="18" t="s">
        <v>2801</v>
      </c>
      <c r="L2032" s="20">
        <v>45965.0</v>
      </c>
      <c r="M2032" s="17" t="s">
        <v>28</v>
      </c>
      <c r="N2032" s="17" t="s">
        <v>4400</v>
      </c>
      <c r="P2032" s="17"/>
      <c r="Q2032" s="17"/>
      <c r="R2032" s="17"/>
      <c r="S2032" s="17"/>
      <c r="U2032" s="24"/>
      <c r="V2032" s="24"/>
      <c r="W2032" s="18" t="s">
        <v>638</v>
      </c>
    </row>
    <row r="2033">
      <c r="A2033" s="11"/>
      <c r="B2033" s="12" t="s">
        <v>34</v>
      </c>
      <c r="C2033" s="12" t="s">
        <v>65</v>
      </c>
      <c r="D2033" s="12" t="s">
        <v>43</v>
      </c>
      <c r="E2033" s="12" t="s">
        <v>717</v>
      </c>
      <c r="F2033" s="13" t="s">
        <v>718</v>
      </c>
      <c r="G2033" s="12" t="s">
        <v>68</v>
      </c>
      <c r="H2033" s="12" t="s">
        <v>719</v>
      </c>
      <c r="I2033" s="12" t="s">
        <v>720</v>
      </c>
      <c r="J2033" s="17" t="s">
        <v>2800</v>
      </c>
      <c r="K2033" s="18" t="s">
        <v>2801</v>
      </c>
      <c r="L2033" s="20">
        <v>45965.0</v>
      </c>
      <c r="M2033" s="17" t="s">
        <v>28</v>
      </c>
      <c r="N2033" s="17" t="s">
        <v>2590</v>
      </c>
      <c r="P2033" s="17"/>
      <c r="Q2033" s="17"/>
      <c r="R2033" s="17"/>
      <c r="S2033" s="17"/>
      <c r="U2033" s="24"/>
      <c r="V2033" s="24"/>
      <c r="W2033" s="18" t="s">
        <v>638</v>
      </c>
    </row>
    <row r="2034">
      <c r="A2034" s="11"/>
      <c r="B2034" s="12" t="s">
        <v>34</v>
      </c>
      <c r="C2034" s="12" t="s">
        <v>65</v>
      </c>
      <c r="D2034" s="12" t="s">
        <v>43</v>
      </c>
      <c r="E2034" s="12" t="s">
        <v>717</v>
      </c>
      <c r="F2034" s="13" t="s">
        <v>718</v>
      </c>
      <c r="G2034" s="12" t="s">
        <v>68</v>
      </c>
      <c r="H2034" s="12" t="s">
        <v>719</v>
      </c>
      <c r="I2034" s="12" t="s">
        <v>720</v>
      </c>
      <c r="J2034" s="17" t="s">
        <v>2800</v>
      </c>
      <c r="K2034" s="18" t="s">
        <v>2801</v>
      </c>
      <c r="L2034" s="20">
        <v>45965.0</v>
      </c>
      <c r="M2034" s="17" t="s">
        <v>28</v>
      </c>
      <c r="N2034" s="17" t="s">
        <v>4399</v>
      </c>
      <c r="P2034" s="17"/>
      <c r="Q2034" s="17"/>
      <c r="R2034" s="17"/>
      <c r="S2034" s="17"/>
      <c r="U2034" s="24"/>
      <c r="V2034" s="24"/>
      <c r="W2034" s="18" t="s">
        <v>638</v>
      </c>
    </row>
    <row r="2035">
      <c r="A2035" s="11"/>
      <c r="B2035" s="12" t="s">
        <v>34</v>
      </c>
      <c r="C2035" s="12" t="s">
        <v>65</v>
      </c>
      <c r="D2035" s="12" t="s">
        <v>43</v>
      </c>
      <c r="E2035" s="12" t="s">
        <v>717</v>
      </c>
      <c r="F2035" s="13" t="s">
        <v>718</v>
      </c>
      <c r="G2035" s="12" t="s">
        <v>68</v>
      </c>
      <c r="H2035" s="12" t="s">
        <v>719</v>
      </c>
      <c r="I2035" s="12" t="s">
        <v>720</v>
      </c>
      <c r="J2035" s="17" t="s">
        <v>2800</v>
      </c>
      <c r="K2035" s="18" t="s">
        <v>2801</v>
      </c>
      <c r="L2035" s="20">
        <v>45965.0</v>
      </c>
      <c r="M2035" s="17" t="s">
        <v>28</v>
      </c>
      <c r="N2035" s="17" t="s">
        <v>3874</v>
      </c>
      <c r="P2035" s="17"/>
      <c r="Q2035" s="17"/>
      <c r="R2035" s="17"/>
      <c r="S2035" s="17"/>
      <c r="U2035" s="24"/>
      <c r="V2035" s="24"/>
      <c r="W2035" s="18" t="s">
        <v>638</v>
      </c>
    </row>
    <row r="2036">
      <c r="A2036" s="11"/>
      <c r="B2036" s="12" t="s">
        <v>34</v>
      </c>
      <c r="C2036" s="12" t="s">
        <v>65</v>
      </c>
      <c r="D2036" s="12" t="s">
        <v>43</v>
      </c>
      <c r="E2036" s="12" t="s">
        <v>691</v>
      </c>
      <c r="F2036" s="13" t="s">
        <v>692</v>
      </c>
      <c r="G2036" s="12" t="s">
        <v>68</v>
      </c>
      <c r="H2036" s="12" t="s">
        <v>693</v>
      </c>
      <c r="I2036" s="12" t="s">
        <v>694</v>
      </c>
      <c r="J2036" s="17" t="s">
        <v>2800</v>
      </c>
      <c r="K2036" s="18" t="s">
        <v>2801</v>
      </c>
      <c r="L2036" s="20">
        <v>45975.0</v>
      </c>
      <c r="M2036" s="17" t="s">
        <v>28</v>
      </c>
      <c r="N2036" s="17" t="s">
        <v>4373</v>
      </c>
      <c r="O2036" s="17">
        <v>4.8993574E7</v>
      </c>
      <c r="P2036" s="17"/>
      <c r="Q2036" s="17"/>
      <c r="R2036" s="17"/>
      <c r="S2036" s="17"/>
      <c r="U2036" s="24"/>
      <c r="V2036" s="24"/>
      <c r="W2036" s="18" t="s">
        <v>638</v>
      </c>
    </row>
    <row r="2037">
      <c r="A2037" s="11"/>
      <c r="B2037" s="12" t="s">
        <v>34</v>
      </c>
      <c r="C2037" s="12" t="s">
        <v>65</v>
      </c>
      <c r="D2037" s="12" t="s">
        <v>43</v>
      </c>
      <c r="E2037" s="12" t="s">
        <v>691</v>
      </c>
      <c r="F2037" s="13" t="s">
        <v>692</v>
      </c>
      <c r="G2037" s="12" t="s">
        <v>68</v>
      </c>
      <c r="H2037" s="12" t="s">
        <v>693</v>
      </c>
      <c r="I2037" s="12" t="s">
        <v>694</v>
      </c>
      <c r="J2037" s="17" t="s">
        <v>2800</v>
      </c>
      <c r="K2037" s="18" t="s">
        <v>2801</v>
      </c>
      <c r="L2037" s="20">
        <v>45975.0</v>
      </c>
      <c r="M2037" s="17" t="s">
        <v>28</v>
      </c>
      <c r="N2037" s="17" t="s">
        <v>4374</v>
      </c>
      <c r="O2037" s="17">
        <v>7.193507E7</v>
      </c>
      <c r="P2037" s="17"/>
      <c r="Q2037" s="17"/>
      <c r="R2037" s="17"/>
      <c r="S2037" s="17"/>
      <c r="U2037" s="24"/>
      <c r="V2037" s="24"/>
      <c r="W2037" s="18" t="s">
        <v>638</v>
      </c>
    </row>
    <row r="2038">
      <c r="A2038" s="11"/>
      <c r="B2038" s="12" t="s">
        <v>34</v>
      </c>
      <c r="C2038" s="12" t="s">
        <v>65</v>
      </c>
      <c r="D2038" s="12" t="s">
        <v>43</v>
      </c>
      <c r="E2038" s="12" t="s">
        <v>691</v>
      </c>
      <c r="F2038" s="13" t="s">
        <v>692</v>
      </c>
      <c r="G2038" s="12" t="s">
        <v>68</v>
      </c>
      <c r="H2038" s="12" t="s">
        <v>693</v>
      </c>
      <c r="I2038" s="12" t="s">
        <v>694</v>
      </c>
      <c r="J2038" s="17" t="s">
        <v>2800</v>
      </c>
      <c r="K2038" s="18" t="s">
        <v>2801</v>
      </c>
      <c r="L2038" s="20">
        <v>45975.0</v>
      </c>
      <c r="M2038" s="17" t="s">
        <v>28</v>
      </c>
      <c r="N2038" s="17" t="s">
        <v>3376</v>
      </c>
      <c r="O2038" s="17">
        <v>7.2603569E7</v>
      </c>
      <c r="P2038" s="17"/>
      <c r="Q2038" s="17"/>
      <c r="R2038" s="17"/>
      <c r="S2038" s="17"/>
      <c r="U2038" s="24"/>
      <c r="V2038" s="24"/>
      <c r="W2038" s="18" t="s">
        <v>638</v>
      </c>
    </row>
    <row r="2039">
      <c r="A2039" s="11"/>
      <c r="B2039" s="12" t="s">
        <v>34</v>
      </c>
      <c r="C2039" s="12" t="s">
        <v>65</v>
      </c>
      <c r="D2039" s="12" t="s">
        <v>43</v>
      </c>
      <c r="E2039" s="12" t="s">
        <v>691</v>
      </c>
      <c r="F2039" s="13" t="s">
        <v>692</v>
      </c>
      <c r="G2039" s="12" t="s">
        <v>68</v>
      </c>
      <c r="H2039" s="12" t="s">
        <v>693</v>
      </c>
      <c r="I2039" s="12" t="s">
        <v>694</v>
      </c>
      <c r="J2039" s="17" t="s">
        <v>2800</v>
      </c>
      <c r="K2039" s="18" t="s">
        <v>2801</v>
      </c>
      <c r="L2039" s="20">
        <v>45975.0</v>
      </c>
      <c r="M2039" s="17" t="s">
        <v>28</v>
      </c>
      <c r="N2039" s="17" t="s">
        <v>4376</v>
      </c>
      <c r="O2039" s="17">
        <v>7.0989409E7</v>
      </c>
      <c r="P2039" s="17"/>
      <c r="Q2039" s="17"/>
      <c r="R2039" s="17"/>
      <c r="S2039" s="17"/>
      <c r="U2039" s="24"/>
      <c r="V2039" s="24"/>
      <c r="W2039" s="18" t="s">
        <v>638</v>
      </c>
    </row>
    <row r="2040">
      <c r="A2040" s="11"/>
      <c r="B2040" s="12" t="s">
        <v>34</v>
      </c>
      <c r="C2040" s="12" t="s">
        <v>65</v>
      </c>
      <c r="D2040" s="12" t="s">
        <v>43</v>
      </c>
      <c r="E2040" s="12" t="s">
        <v>691</v>
      </c>
      <c r="F2040" s="13" t="s">
        <v>692</v>
      </c>
      <c r="G2040" s="12" t="s">
        <v>68</v>
      </c>
      <c r="H2040" s="12" t="s">
        <v>693</v>
      </c>
      <c r="I2040" s="12" t="s">
        <v>694</v>
      </c>
      <c r="J2040" s="17" t="s">
        <v>2800</v>
      </c>
      <c r="K2040" s="18" t="s">
        <v>2801</v>
      </c>
      <c r="L2040" s="20">
        <v>45975.0</v>
      </c>
      <c r="M2040" s="17" t="s">
        <v>28</v>
      </c>
      <c r="N2040" s="17" t="s">
        <v>4377</v>
      </c>
      <c r="O2040" s="17">
        <v>4.5963541E7</v>
      </c>
      <c r="P2040" s="17"/>
      <c r="Q2040" s="17"/>
      <c r="R2040" s="17"/>
      <c r="S2040" s="17"/>
      <c r="U2040" s="24"/>
      <c r="V2040" s="24"/>
      <c r="W2040" s="18" t="s">
        <v>638</v>
      </c>
    </row>
    <row r="2041">
      <c r="A2041" s="11"/>
      <c r="B2041" s="12" t="s">
        <v>34</v>
      </c>
      <c r="C2041" s="12" t="s">
        <v>65</v>
      </c>
      <c r="D2041" s="12" t="s">
        <v>43</v>
      </c>
      <c r="E2041" s="12" t="s">
        <v>691</v>
      </c>
      <c r="F2041" s="13" t="s">
        <v>692</v>
      </c>
      <c r="G2041" s="12" t="s">
        <v>68</v>
      </c>
      <c r="H2041" s="12" t="s">
        <v>693</v>
      </c>
      <c r="I2041" s="12" t="s">
        <v>694</v>
      </c>
      <c r="J2041" s="17" t="s">
        <v>2800</v>
      </c>
      <c r="K2041" s="18" t="s">
        <v>2801</v>
      </c>
      <c r="L2041" s="20">
        <v>45975.0</v>
      </c>
      <c r="M2041" s="17" t="s">
        <v>28</v>
      </c>
      <c r="N2041" s="17" t="s">
        <v>4378</v>
      </c>
      <c r="O2041" s="17">
        <v>7.2116884E7</v>
      </c>
      <c r="P2041" s="17"/>
      <c r="Q2041" s="17"/>
      <c r="R2041" s="17"/>
      <c r="S2041" s="17"/>
      <c r="U2041" s="24"/>
      <c r="V2041" s="24"/>
      <c r="W2041" s="18" t="s">
        <v>638</v>
      </c>
    </row>
    <row r="2042">
      <c r="A2042" s="11"/>
      <c r="B2042" s="12" t="s">
        <v>34</v>
      </c>
      <c r="C2042" s="12" t="s">
        <v>65</v>
      </c>
      <c r="D2042" s="12" t="s">
        <v>43</v>
      </c>
      <c r="E2042" s="12" t="s">
        <v>691</v>
      </c>
      <c r="F2042" s="13" t="s">
        <v>692</v>
      </c>
      <c r="G2042" s="12" t="s">
        <v>68</v>
      </c>
      <c r="H2042" s="12" t="s">
        <v>693</v>
      </c>
      <c r="I2042" s="12" t="s">
        <v>694</v>
      </c>
      <c r="J2042" s="17" t="s">
        <v>2800</v>
      </c>
      <c r="K2042" s="18" t="s">
        <v>2801</v>
      </c>
      <c r="L2042" s="20">
        <v>45975.0</v>
      </c>
      <c r="M2042" s="17" t="s">
        <v>28</v>
      </c>
      <c r="N2042" s="17" t="s">
        <v>4379</v>
      </c>
      <c r="O2042" s="17">
        <v>4.3079984E7</v>
      </c>
      <c r="P2042" s="17"/>
      <c r="Q2042" s="17"/>
      <c r="R2042" s="17"/>
      <c r="S2042" s="17"/>
      <c r="U2042" s="24"/>
      <c r="V2042" s="24"/>
      <c r="W2042" s="18" t="s">
        <v>638</v>
      </c>
    </row>
    <row r="2043">
      <c r="A2043" s="11"/>
      <c r="B2043" s="12" t="s">
        <v>34</v>
      </c>
      <c r="C2043" s="12" t="s">
        <v>65</v>
      </c>
      <c r="D2043" s="12" t="s">
        <v>43</v>
      </c>
      <c r="E2043" s="12" t="s">
        <v>691</v>
      </c>
      <c r="F2043" s="13" t="s">
        <v>692</v>
      </c>
      <c r="G2043" s="12" t="s">
        <v>68</v>
      </c>
      <c r="H2043" s="12" t="s">
        <v>693</v>
      </c>
      <c r="I2043" s="12" t="s">
        <v>694</v>
      </c>
      <c r="J2043" s="17" t="s">
        <v>2800</v>
      </c>
      <c r="K2043" s="18" t="s">
        <v>2801</v>
      </c>
      <c r="L2043" s="20">
        <v>45975.0</v>
      </c>
      <c r="M2043" s="17" t="s">
        <v>28</v>
      </c>
      <c r="N2043" s="17" t="s">
        <v>3370</v>
      </c>
      <c r="O2043" s="17">
        <v>4.6073434E7</v>
      </c>
      <c r="P2043" s="17"/>
      <c r="Q2043" s="17"/>
      <c r="R2043" s="17"/>
      <c r="S2043" s="17"/>
      <c r="U2043" s="24"/>
      <c r="V2043" s="24"/>
      <c r="W2043" s="18" t="s">
        <v>638</v>
      </c>
    </row>
    <row r="2044">
      <c r="A2044" s="11"/>
      <c r="B2044" s="12" t="s">
        <v>34</v>
      </c>
      <c r="C2044" s="12" t="s">
        <v>65</v>
      </c>
      <c r="D2044" s="12" t="s">
        <v>43</v>
      </c>
      <c r="E2044" s="12" t="s">
        <v>691</v>
      </c>
      <c r="F2044" s="13" t="s">
        <v>692</v>
      </c>
      <c r="G2044" s="12" t="s">
        <v>68</v>
      </c>
      <c r="H2044" s="12" t="s">
        <v>693</v>
      </c>
      <c r="I2044" s="12" t="s">
        <v>694</v>
      </c>
      <c r="J2044" s="17" t="s">
        <v>2800</v>
      </c>
      <c r="K2044" s="18" t="s">
        <v>2801</v>
      </c>
      <c r="L2044" s="20">
        <v>45975.0</v>
      </c>
      <c r="M2044" s="17" t="s">
        <v>28</v>
      </c>
      <c r="N2044" s="17" t="s">
        <v>4380</v>
      </c>
      <c r="O2044" s="17">
        <v>4.4521142E7</v>
      </c>
      <c r="P2044" s="17"/>
      <c r="Q2044" s="17"/>
      <c r="R2044" s="17"/>
      <c r="S2044" s="17"/>
      <c r="U2044" s="24"/>
      <c r="V2044" s="24"/>
      <c r="W2044" s="18" t="s">
        <v>638</v>
      </c>
    </row>
    <row r="2045">
      <c r="A2045" s="11"/>
      <c r="B2045" s="12" t="s">
        <v>34</v>
      </c>
      <c r="C2045" s="12" t="s">
        <v>65</v>
      </c>
      <c r="D2045" s="12" t="s">
        <v>43</v>
      </c>
      <c r="E2045" s="12" t="s">
        <v>691</v>
      </c>
      <c r="F2045" s="13" t="s">
        <v>692</v>
      </c>
      <c r="G2045" s="12" t="s">
        <v>68</v>
      </c>
      <c r="H2045" s="12" t="s">
        <v>693</v>
      </c>
      <c r="I2045" s="12" t="s">
        <v>694</v>
      </c>
      <c r="J2045" s="17" t="s">
        <v>2800</v>
      </c>
      <c r="K2045" s="18" t="s">
        <v>2801</v>
      </c>
      <c r="L2045" s="20">
        <v>45975.0</v>
      </c>
      <c r="M2045" s="17" t="s">
        <v>28</v>
      </c>
      <c r="N2045" s="17" t="s">
        <v>3382</v>
      </c>
      <c r="O2045" s="17">
        <v>7.2095142E7</v>
      </c>
      <c r="P2045" s="17"/>
      <c r="Q2045" s="17"/>
      <c r="R2045" s="17"/>
      <c r="S2045" s="17"/>
      <c r="U2045" s="24"/>
      <c r="V2045" s="24"/>
      <c r="W2045" s="18" t="s">
        <v>638</v>
      </c>
    </row>
    <row r="2046">
      <c r="A2046" s="11"/>
      <c r="B2046" s="12" t="s">
        <v>34</v>
      </c>
      <c r="C2046" s="12" t="s">
        <v>65</v>
      </c>
      <c r="D2046" s="12" t="s">
        <v>43</v>
      </c>
      <c r="E2046" s="12" t="s">
        <v>691</v>
      </c>
      <c r="F2046" s="13" t="s">
        <v>692</v>
      </c>
      <c r="G2046" s="12" t="s">
        <v>68</v>
      </c>
      <c r="H2046" s="12" t="s">
        <v>693</v>
      </c>
      <c r="I2046" s="12" t="s">
        <v>694</v>
      </c>
      <c r="J2046" s="17" t="s">
        <v>2800</v>
      </c>
      <c r="K2046" s="18" t="s">
        <v>2801</v>
      </c>
      <c r="L2046" s="20">
        <v>45975.0</v>
      </c>
      <c r="M2046" s="17" t="s">
        <v>28</v>
      </c>
      <c r="N2046" s="17" t="s">
        <v>4381</v>
      </c>
      <c r="O2046" s="17">
        <v>7.0989408E7</v>
      </c>
      <c r="P2046" s="17"/>
      <c r="Q2046" s="17"/>
      <c r="R2046" s="17"/>
      <c r="S2046" s="17"/>
      <c r="U2046" s="24"/>
      <c r="V2046" s="24"/>
      <c r="W2046" s="18" t="s">
        <v>638</v>
      </c>
    </row>
    <row r="2047">
      <c r="A2047" s="11"/>
      <c r="B2047" s="12" t="s">
        <v>34</v>
      </c>
      <c r="C2047" s="12" t="s">
        <v>65</v>
      </c>
      <c r="D2047" s="12" t="s">
        <v>43</v>
      </c>
      <c r="E2047" s="12" t="s">
        <v>691</v>
      </c>
      <c r="F2047" s="13" t="s">
        <v>692</v>
      </c>
      <c r="G2047" s="12" t="s">
        <v>68</v>
      </c>
      <c r="H2047" s="12" t="s">
        <v>693</v>
      </c>
      <c r="I2047" s="12" t="s">
        <v>694</v>
      </c>
      <c r="J2047" s="17" t="s">
        <v>2800</v>
      </c>
      <c r="K2047" s="18" t="s">
        <v>2801</v>
      </c>
      <c r="L2047" s="20">
        <v>45975.0</v>
      </c>
      <c r="M2047" s="17" t="s">
        <v>28</v>
      </c>
      <c r="N2047" s="17" t="s">
        <v>3397</v>
      </c>
      <c r="O2047" s="17">
        <v>7.6196519E7</v>
      </c>
      <c r="P2047" s="17"/>
      <c r="Q2047" s="17"/>
      <c r="R2047" s="17"/>
      <c r="S2047" s="17"/>
      <c r="U2047" s="24"/>
      <c r="V2047" s="24"/>
      <c r="W2047" s="18" t="s">
        <v>638</v>
      </c>
    </row>
    <row r="2048">
      <c r="A2048" s="11"/>
      <c r="B2048" s="12" t="s">
        <v>34</v>
      </c>
      <c r="C2048" s="12" t="s">
        <v>65</v>
      </c>
      <c r="D2048" s="12" t="s">
        <v>43</v>
      </c>
      <c r="E2048" s="12" t="s">
        <v>691</v>
      </c>
      <c r="F2048" s="13" t="s">
        <v>692</v>
      </c>
      <c r="G2048" s="12" t="s">
        <v>68</v>
      </c>
      <c r="H2048" s="12" t="s">
        <v>693</v>
      </c>
      <c r="I2048" s="12" t="s">
        <v>694</v>
      </c>
      <c r="J2048" s="17" t="s">
        <v>2800</v>
      </c>
      <c r="K2048" s="18" t="s">
        <v>2801</v>
      </c>
      <c r="L2048" s="20">
        <v>45975.0</v>
      </c>
      <c r="M2048" s="17" t="s">
        <v>28</v>
      </c>
      <c r="N2048" s="17" t="s">
        <v>2510</v>
      </c>
      <c r="O2048" s="17">
        <v>7350738.0</v>
      </c>
      <c r="P2048" s="17"/>
      <c r="Q2048" s="17"/>
      <c r="R2048" s="17"/>
      <c r="S2048" s="17"/>
      <c r="U2048" s="24"/>
      <c r="V2048" s="24"/>
      <c r="W2048" s="18" t="s">
        <v>638</v>
      </c>
    </row>
    <row r="2049">
      <c r="A2049" s="11"/>
      <c r="B2049" s="12" t="s">
        <v>34</v>
      </c>
      <c r="C2049" s="12" t="s">
        <v>65</v>
      </c>
      <c r="D2049" s="12" t="s">
        <v>43</v>
      </c>
      <c r="E2049" s="12" t="s">
        <v>691</v>
      </c>
      <c r="F2049" s="13" t="s">
        <v>692</v>
      </c>
      <c r="G2049" s="12" t="s">
        <v>68</v>
      </c>
      <c r="H2049" s="12" t="s">
        <v>693</v>
      </c>
      <c r="I2049" s="12" t="s">
        <v>694</v>
      </c>
      <c r="J2049" s="17" t="s">
        <v>2800</v>
      </c>
      <c r="K2049" s="18" t="s">
        <v>2801</v>
      </c>
      <c r="L2049" s="20">
        <v>45975.0</v>
      </c>
      <c r="M2049" s="17" t="s">
        <v>28</v>
      </c>
      <c r="N2049" s="17" t="s">
        <v>4382</v>
      </c>
      <c r="O2049" s="17">
        <v>7.4081121E7</v>
      </c>
      <c r="P2049" s="17"/>
      <c r="Q2049" s="17"/>
      <c r="R2049" s="17"/>
      <c r="S2049" s="17"/>
      <c r="U2049" s="24"/>
      <c r="V2049" s="24"/>
      <c r="W2049" s="18" t="s">
        <v>638</v>
      </c>
    </row>
    <row r="2050">
      <c r="A2050" s="11"/>
      <c r="B2050" s="12" t="s">
        <v>43</v>
      </c>
      <c r="C2050" s="12" t="s">
        <v>65</v>
      </c>
      <c r="D2050" s="12" t="s">
        <v>43</v>
      </c>
      <c r="E2050" s="12" t="s">
        <v>203</v>
      </c>
      <c r="F2050" s="13" t="s">
        <v>204</v>
      </c>
      <c r="G2050" s="12" t="s">
        <v>68</v>
      </c>
      <c r="H2050" s="12" t="s">
        <v>205</v>
      </c>
      <c r="I2050" s="12" t="s">
        <v>206</v>
      </c>
      <c r="J2050" s="17" t="s">
        <v>2796</v>
      </c>
      <c r="K2050" s="18">
        <v>8.0</v>
      </c>
      <c r="L2050" s="20">
        <v>45965.0</v>
      </c>
      <c r="M2050" s="17" t="s">
        <v>28</v>
      </c>
      <c r="N2050" s="77" t="s">
        <v>3274</v>
      </c>
      <c r="O2050" s="17">
        <v>7.2558909E7</v>
      </c>
      <c r="P2050" s="17" t="s">
        <v>3275</v>
      </c>
      <c r="Q2050" s="17" t="s">
        <v>108</v>
      </c>
      <c r="R2050" s="17"/>
      <c r="S2050" s="17" t="s">
        <v>108</v>
      </c>
      <c r="U2050" s="24"/>
      <c r="V2050" s="24"/>
      <c r="W2050" s="18" t="s">
        <v>76</v>
      </c>
    </row>
    <row r="2051">
      <c r="A2051" s="11"/>
      <c r="B2051" s="12" t="s">
        <v>43</v>
      </c>
      <c r="C2051" s="12" t="s">
        <v>65</v>
      </c>
      <c r="D2051" s="12" t="s">
        <v>43</v>
      </c>
      <c r="E2051" s="12" t="s">
        <v>203</v>
      </c>
      <c r="F2051" s="13" t="s">
        <v>204</v>
      </c>
      <c r="G2051" s="12" t="s">
        <v>68</v>
      </c>
      <c r="H2051" s="12" t="s">
        <v>205</v>
      </c>
      <c r="I2051" s="12" t="s">
        <v>206</v>
      </c>
      <c r="J2051" s="17" t="s">
        <v>2796</v>
      </c>
      <c r="K2051" s="18">
        <v>8.0</v>
      </c>
      <c r="L2051" s="20">
        <v>45965.0</v>
      </c>
      <c r="M2051" s="17" t="s">
        <v>28</v>
      </c>
      <c r="N2051" s="137" t="s">
        <v>3605</v>
      </c>
      <c r="O2051" s="17">
        <v>7.5723727E7</v>
      </c>
      <c r="P2051" s="17" t="s">
        <v>3606</v>
      </c>
      <c r="Q2051" s="17" t="s">
        <v>73</v>
      </c>
      <c r="R2051" s="17"/>
      <c r="S2051" s="17" t="s">
        <v>73</v>
      </c>
      <c r="U2051" s="24"/>
      <c r="V2051" s="24"/>
      <c r="W2051" s="18" t="s">
        <v>76</v>
      </c>
    </row>
    <row r="2052">
      <c r="A2052" s="11"/>
      <c r="B2052" s="12" t="s">
        <v>43</v>
      </c>
      <c r="C2052" s="12" t="s">
        <v>65</v>
      </c>
      <c r="D2052" s="12" t="s">
        <v>43</v>
      </c>
      <c r="E2052" s="12" t="s">
        <v>203</v>
      </c>
      <c r="F2052" s="13" t="s">
        <v>204</v>
      </c>
      <c r="G2052" s="12" t="s">
        <v>68</v>
      </c>
      <c r="H2052" s="12" t="s">
        <v>205</v>
      </c>
      <c r="I2052" s="12" t="s">
        <v>206</v>
      </c>
      <c r="J2052" s="17" t="s">
        <v>2796</v>
      </c>
      <c r="K2052" s="18">
        <v>8.0</v>
      </c>
      <c r="L2052" s="20">
        <v>45965.0</v>
      </c>
      <c r="M2052" s="17" t="s">
        <v>28</v>
      </c>
      <c r="N2052" s="17" t="s">
        <v>4401</v>
      </c>
      <c r="O2052" s="17">
        <v>7.256852E7</v>
      </c>
      <c r="P2052" s="17" t="s">
        <v>3612</v>
      </c>
      <c r="Q2052" s="17" t="s">
        <v>73</v>
      </c>
      <c r="R2052" s="17"/>
      <c r="S2052" s="17" t="s">
        <v>73</v>
      </c>
      <c r="U2052" s="24"/>
      <c r="V2052" s="24"/>
      <c r="W2052" s="18" t="s">
        <v>76</v>
      </c>
    </row>
    <row r="2053">
      <c r="A2053" s="11"/>
      <c r="B2053" s="12" t="s">
        <v>43</v>
      </c>
      <c r="C2053" s="12" t="s">
        <v>65</v>
      </c>
      <c r="D2053" s="12" t="s">
        <v>43</v>
      </c>
      <c r="E2053" s="12" t="s">
        <v>203</v>
      </c>
      <c r="F2053" s="13" t="s">
        <v>204</v>
      </c>
      <c r="G2053" s="12" t="s">
        <v>68</v>
      </c>
      <c r="H2053" s="12" t="s">
        <v>205</v>
      </c>
      <c r="I2053" s="12" t="s">
        <v>206</v>
      </c>
      <c r="J2053" s="17" t="s">
        <v>2796</v>
      </c>
      <c r="K2053" s="18">
        <v>8.0</v>
      </c>
      <c r="L2053" s="20">
        <v>45965.0</v>
      </c>
      <c r="M2053" s="17" t="s">
        <v>28</v>
      </c>
      <c r="N2053" s="81" t="s">
        <v>4402</v>
      </c>
      <c r="P2053" s="17" t="s">
        <v>4403</v>
      </c>
      <c r="Q2053" s="17" t="s">
        <v>112</v>
      </c>
      <c r="R2053" s="17"/>
      <c r="S2053" s="17" t="s">
        <v>4404</v>
      </c>
      <c r="U2053" s="24"/>
      <c r="V2053" s="24"/>
      <c r="W2053" s="18" t="s">
        <v>76</v>
      </c>
    </row>
    <row r="2054">
      <c r="A2054" s="11"/>
      <c r="B2054" s="12" t="s">
        <v>43</v>
      </c>
      <c r="C2054" s="12" t="s">
        <v>65</v>
      </c>
      <c r="D2054" s="12" t="s">
        <v>43</v>
      </c>
      <c r="E2054" s="12" t="s">
        <v>203</v>
      </c>
      <c r="F2054" s="13" t="s">
        <v>204</v>
      </c>
      <c r="G2054" s="12" t="s">
        <v>68</v>
      </c>
      <c r="H2054" s="12" t="s">
        <v>205</v>
      </c>
      <c r="I2054" s="12" t="s">
        <v>206</v>
      </c>
      <c r="J2054" s="17" t="s">
        <v>2796</v>
      </c>
      <c r="K2054" s="18">
        <v>8.0</v>
      </c>
      <c r="L2054" s="20">
        <v>45965.0</v>
      </c>
      <c r="M2054" s="17" t="s">
        <v>28</v>
      </c>
      <c r="N2054" s="81" t="s">
        <v>4405</v>
      </c>
      <c r="P2054" s="17" t="s">
        <v>4406</v>
      </c>
      <c r="Q2054" s="17" t="s">
        <v>73</v>
      </c>
      <c r="R2054" s="17"/>
      <c r="S2054" s="17" t="s">
        <v>4407</v>
      </c>
      <c r="U2054" s="24"/>
      <c r="V2054" s="24"/>
      <c r="W2054" s="18" t="s">
        <v>76</v>
      </c>
    </row>
    <row r="2055">
      <c r="A2055" s="11"/>
      <c r="B2055" s="12" t="s">
        <v>43</v>
      </c>
      <c r="C2055" s="12" t="s">
        <v>65</v>
      </c>
      <c r="D2055" s="12" t="s">
        <v>43</v>
      </c>
      <c r="E2055" s="12" t="s">
        <v>203</v>
      </c>
      <c r="F2055" s="13" t="s">
        <v>204</v>
      </c>
      <c r="G2055" s="12" t="s">
        <v>68</v>
      </c>
      <c r="H2055" s="12" t="s">
        <v>205</v>
      </c>
      <c r="I2055" s="12" t="s">
        <v>206</v>
      </c>
      <c r="J2055" s="17" t="s">
        <v>2687</v>
      </c>
      <c r="K2055" s="18">
        <v>2.0</v>
      </c>
      <c r="L2055" s="17" t="s">
        <v>4408</v>
      </c>
      <c r="M2055" s="17" t="s">
        <v>23</v>
      </c>
      <c r="N2055" s="116" t="s">
        <v>3603</v>
      </c>
      <c r="P2055" s="17"/>
      <c r="Q2055" s="17" t="s">
        <v>73</v>
      </c>
      <c r="R2055" s="17" t="s">
        <v>1797</v>
      </c>
      <c r="S2055" s="17" t="s">
        <v>2391</v>
      </c>
      <c r="U2055" s="24"/>
      <c r="V2055" s="24"/>
      <c r="W2055" s="18" t="s">
        <v>76</v>
      </c>
    </row>
    <row r="2056">
      <c r="A2056" s="11"/>
      <c r="B2056" s="12" t="s">
        <v>43</v>
      </c>
      <c r="C2056" s="12" t="s">
        <v>65</v>
      </c>
      <c r="D2056" s="12" t="s">
        <v>43</v>
      </c>
      <c r="E2056" s="12" t="s">
        <v>203</v>
      </c>
      <c r="F2056" s="13" t="s">
        <v>204</v>
      </c>
      <c r="G2056" s="12" t="s">
        <v>68</v>
      </c>
      <c r="H2056" s="12" t="s">
        <v>205</v>
      </c>
      <c r="I2056" s="12" t="s">
        <v>206</v>
      </c>
      <c r="J2056" s="17" t="s">
        <v>2687</v>
      </c>
      <c r="K2056" s="18">
        <v>2.0</v>
      </c>
      <c r="L2056" s="20">
        <v>45951.0</v>
      </c>
      <c r="M2056" s="17" t="s">
        <v>23</v>
      </c>
      <c r="N2056" s="124" t="s">
        <v>3604</v>
      </c>
      <c r="P2056" s="17"/>
      <c r="Q2056" s="17" t="s">
        <v>108</v>
      </c>
      <c r="R2056" s="17"/>
      <c r="S2056" s="17" t="s">
        <v>108</v>
      </c>
      <c r="U2056" s="24"/>
      <c r="V2056" s="24"/>
      <c r="W2056" s="18" t="s">
        <v>76</v>
      </c>
    </row>
    <row r="2057">
      <c r="A2057" s="11"/>
      <c r="B2057" s="12" t="s">
        <v>43</v>
      </c>
      <c r="C2057" s="12" t="s">
        <v>65</v>
      </c>
      <c r="D2057" s="12" t="s">
        <v>43</v>
      </c>
      <c r="E2057" s="12" t="s">
        <v>203</v>
      </c>
      <c r="F2057" s="13" t="s">
        <v>204</v>
      </c>
      <c r="G2057" s="12" t="s">
        <v>68</v>
      </c>
      <c r="H2057" s="12" t="s">
        <v>205</v>
      </c>
      <c r="I2057" s="12" t="s">
        <v>206</v>
      </c>
      <c r="J2057" s="17" t="s">
        <v>2687</v>
      </c>
      <c r="K2057" s="18">
        <v>3.0</v>
      </c>
      <c r="L2057" s="20">
        <v>45974.0</v>
      </c>
      <c r="M2057" s="17" t="s">
        <v>23</v>
      </c>
      <c r="N2057" s="116" t="s">
        <v>3603</v>
      </c>
      <c r="P2057" s="17"/>
      <c r="Q2057" s="17" t="s">
        <v>73</v>
      </c>
      <c r="R2057" s="17" t="s">
        <v>1797</v>
      </c>
      <c r="S2057" s="17" t="s">
        <v>2391</v>
      </c>
      <c r="U2057" s="24"/>
      <c r="V2057" s="24"/>
      <c r="W2057" s="18" t="s">
        <v>76</v>
      </c>
    </row>
    <row r="2058">
      <c r="A2058" s="11"/>
      <c r="B2058" s="12" t="s">
        <v>43</v>
      </c>
      <c r="C2058" s="12" t="s">
        <v>65</v>
      </c>
      <c r="D2058" s="12" t="s">
        <v>43</v>
      </c>
      <c r="E2058" s="12" t="s">
        <v>203</v>
      </c>
      <c r="F2058" s="13" t="s">
        <v>204</v>
      </c>
      <c r="G2058" s="12" t="s">
        <v>68</v>
      </c>
      <c r="H2058" s="12" t="s">
        <v>205</v>
      </c>
      <c r="I2058" s="12" t="s">
        <v>206</v>
      </c>
      <c r="J2058" s="17" t="s">
        <v>2687</v>
      </c>
      <c r="K2058" s="18">
        <v>3.0</v>
      </c>
      <c r="L2058" s="20">
        <v>45974.0</v>
      </c>
      <c r="M2058" s="17" t="s">
        <v>23</v>
      </c>
      <c r="N2058" s="124" t="s">
        <v>3604</v>
      </c>
      <c r="P2058" s="17"/>
      <c r="Q2058" s="17" t="s">
        <v>108</v>
      </c>
      <c r="R2058" s="17"/>
      <c r="S2058" s="17" t="s">
        <v>108</v>
      </c>
      <c r="U2058" s="24"/>
      <c r="V2058" s="24"/>
      <c r="W2058" s="18" t="s">
        <v>76</v>
      </c>
    </row>
    <row r="2059">
      <c r="A2059" s="11"/>
      <c r="B2059" s="12" t="s">
        <v>43</v>
      </c>
      <c r="C2059" s="12" t="s">
        <v>65</v>
      </c>
      <c r="D2059" s="12" t="s">
        <v>43</v>
      </c>
      <c r="E2059" s="12" t="s">
        <v>66</v>
      </c>
      <c r="F2059" s="13" t="s">
        <v>67</v>
      </c>
      <c r="G2059" s="12" t="s">
        <v>68</v>
      </c>
      <c r="H2059" s="12" t="s">
        <v>69</v>
      </c>
      <c r="I2059" s="12" t="s">
        <v>70</v>
      </c>
      <c r="J2059" s="17" t="s">
        <v>2687</v>
      </c>
      <c r="K2059" s="18">
        <v>2.0</v>
      </c>
      <c r="L2059" s="20">
        <v>45961.0</v>
      </c>
      <c r="M2059" s="17" t="s">
        <v>23</v>
      </c>
      <c r="N2059" s="17" t="s">
        <v>3161</v>
      </c>
      <c r="P2059" s="17"/>
      <c r="Q2059" s="17" t="s">
        <v>73</v>
      </c>
      <c r="R2059" s="17"/>
      <c r="S2059" s="17" t="s">
        <v>73</v>
      </c>
      <c r="U2059" s="24"/>
      <c r="V2059" s="24"/>
      <c r="W2059" s="18" t="s">
        <v>76</v>
      </c>
    </row>
    <row r="2060">
      <c r="A2060" s="11"/>
      <c r="B2060" s="12" t="s">
        <v>43</v>
      </c>
      <c r="C2060" s="12" t="s">
        <v>65</v>
      </c>
      <c r="D2060" s="12" t="s">
        <v>43</v>
      </c>
      <c r="E2060" s="12" t="s">
        <v>66</v>
      </c>
      <c r="F2060" s="13" t="s">
        <v>67</v>
      </c>
      <c r="G2060" s="12" t="s">
        <v>68</v>
      </c>
      <c r="H2060" s="12" t="s">
        <v>69</v>
      </c>
      <c r="I2060" s="12" t="s">
        <v>70</v>
      </c>
      <c r="J2060" s="17" t="s">
        <v>2687</v>
      </c>
      <c r="K2060" s="18">
        <v>2.0</v>
      </c>
      <c r="L2060" s="20">
        <v>45961.0</v>
      </c>
      <c r="M2060" s="17" t="s">
        <v>23</v>
      </c>
      <c r="N2060" s="17" t="s">
        <v>3410</v>
      </c>
      <c r="P2060" s="17"/>
      <c r="Q2060" s="17" t="s">
        <v>108</v>
      </c>
      <c r="R2060" s="17"/>
      <c r="S2060" s="17" t="s">
        <v>108</v>
      </c>
      <c r="U2060" s="24"/>
      <c r="V2060" s="24"/>
      <c r="W2060" s="18" t="s">
        <v>76</v>
      </c>
    </row>
    <row r="2061">
      <c r="A2061" s="11"/>
      <c r="B2061" s="12" t="s">
        <v>43</v>
      </c>
      <c r="C2061" s="12" t="s">
        <v>65</v>
      </c>
      <c r="D2061" s="12" t="s">
        <v>43</v>
      </c>
      <c r="E2061" s="12" t="s">
        <v>66</v>
      </c>
      <c r="F2061" s="13" t="s">
        <v>67</v>
      </c>
      <c r="G2061" s="12" t="s">
        <v>68</v>
      </c>
      <c r="H2061" s="12" t="s">
        <v>69</v>
      </c>
      <c r="I2061" s="12" t="s">
        <v>70</v>
      </c>
      <c r="J2061" s="17" t="s">
        <v>2687</v>
      </c>
      <c r="K2061" s="18">
        <v>2.0</v>
      </c>
      <c r="L2061" s="20">
        <v>45961.0</v>
      </c>
      <c r="M2061" s="17" t="s">
        <v>23</v>
      </c>
      <c r="N2061" s="17" t="s">
        <v>3949</v>
      </c>
      <c r="P2061" s="17"/>
      <c r="Q2061" s="17" t="s">
        <v>112</v>
      </c>
      <c r="R2061" s="17"/>
      <c r="S2061" s="17" t="s">
        <v>112</v>
      </c>
      <c r="U2061" s="24"/>
      <c r="V2061" s="24"/>
      <c r="W2061" s="18" t="s">
        <v>76</v>
      </c>
    </row>
    <row r="2062">
      <c r="A2062" s="11"/>
      <c r="B2062" s="12" t="s">
        <v>43</v>
      </c>
      <c r="C2062" s="12" t="s">
        <v>65</v>
      </c>
      <c r="D2062" s="12" t="s">
        <v>43</v>
      </c>
      <c r="E2062" s="12" t="s">
        <v>66</v>
      </c>
      <c r="F2062" s="13" t="s">
        <v>67</v>
      </c>
      <c r="G2062" s="12" t="s">
        <v>68</v>
      </c>
      <c r="H2062" s="12" t="s">
        <v>69</v>
      </c>
      <c r="I2062" s="12" t="s">
        <v>70</v>
      </c>
      <c r="J2062" s="17" t="s">
        <v>2687</v>
      </c>
      <c r="K2062" s="18">
        <v>3.0</v>
      </c>
      <c r="L2062" s="20">
        <v>45975.0</v>
      </c>
      <c r="M2062" s="17" t="s">
        <v>23</v>
      </c>
      <c r="N2062" s="17" t="s">
        <v>3161</v>
      </c>
      <c r="P2062" s="17"/>
      <c r="Q2062" s="17" t="s">
        <v>73</v>
      </c>
      <c r="R2062" s="17"/>
      <c r="S2062" s="17" t="s">
        <v>73</v>
      </c>
      <c r="U2062" s="24"/>
      <c r="V2062" s="24"/>
      <c r="W2062" s="18" t="s">
        <v>76</v>
      </c>
    </row>
    <row r="2063">
      <c r="A2063" s="11"/>
      <c r="B2063" s="12" t="s">
        <v>43</v>
      </c>
      <c r="C2063" s="12" t="s">
        <v>65</v>
      </c>
      <c r="D2063" s="12" t="s">
        <v>43</v>
      </c>
      <c r="E2063" s="12" t="s">
        <v>66</v>
      </c>
      <c r="F2063" s="13" t="s">
        <v>67</v>
      </c>
      <c r="G2063" s="12" t="s">
        <v>68</v>
      </c>
      <c r="H2063" s="12" t="s">
        <v>69</v>
      </c>
      <c r="I2063" s="12" t="s">
        <v>70</v>
      </c>
      <c r="J2063" s="17" t="s">
        <v>2687</v>
      </c>
      <c r="K2063" s="18">
        <v>3.0</v>
      </c>
      <c r="L2063" s="20">
        <v>45975.0</v>
      </c>
      <c r="M2063" s="17" t="s">
        <v>23</v>
      </c>
      <c r="N2063" s="17" t="s">
        <v>3410</v>
      </c>
      <c r="P2063" s="17"/>
      <c r="Q2063" s="17" t="s">
        <v>108</v>
      </c>
      <c r="R2063" s="17"/>
      <c r="S2063" s="17" t="s">
        <v>108</v>
      </c>
      <c r="U2063" s="24"/>
      <c r="V2063" s="24"/>
      <c r="W2063" s="18" t="s">
        <v>76</v>
      </c>
    </row>
    <row r="2064">
      <c r="A2064" s="11"/>
      <c r="B2064" s="12" t="s">
        <v>43</v>
      </c>
      <c r="C2064" s="12" t="s">
        <v>65</v>
      </c>
      <c r="D2064" s="12" t="s">
        <v>43</v>
      </c>
      <c r="E2064" s="12" t="s">
        <v>188</v>
      </c>
      <c r="F2064" s="13" t="s">
        <v>189</v>
      </c>
      <c r="G2064" s="12" t="s">
        <v>68</v>
      </c>
      <c r="H2064" s="12" t="s">
        <v>190</v>
      </c>
      <c r="I2064" s="12" t="s">
        <v>191</v>
      </c>
      <c r="J2064" s="17" t="s">
        <v>2687</v>
      </c>
      <c r="K2064" s="18">
        <v>2.0</v>
      </c>
      <c r="L2064" s="20">
        <v>45961.0</v>
      </c>
      <c r="M2064" s="17" t="s">
        <v>23</v>
      </c>
      <c r="N2064" s="17" t="s">
        <v>3408</v>
      </c>
      <c r="P2064" s="17"/>
      <c r="Q2064" s="17" t="s">
        <v>108</v>
      </c>
      <c r="R2064" s="17"/>
      <c r="S2064" s="17" t="s">
        <v>108</v>
      </c>
      <c r="U2064" s="24"/>
      <c r="V2064" s="24"/>
      <c r="W2064" s="18" t="s">
        <v>76</v>
      </c>
    </row>
    <row r="2065">
      <c r="A2065" s="11"/>
      <c r="B2065" s="12" t="s">
        <v>43</v>
      </c>
      <c r="C2065" s="12" t="s">
        <v>65</v>
      </c>
      <c r="D2065" s="12" t="s">
        <v>43</v>
      </c>
      <c r="E2065" s="12" t="s">
        <v>188</v>
      </c>
      <c r="F2065" s="13" t="s">
        <v>189</v>
      </c>
      <c r="G2065" s="12" t="s">
        <v>68</v>
      </c>
      <c r="H2065" s="12" t="s">
        <v>190</v>
      </c>
      <c r="I2065" s="12" t="s">
        <v>191</v>
      </c>
      <c r="J2065" s="17" t="s">
        <v>2687</v>
      </c>
      <c r="K2065" s="18">
        <v>2.0</v>
      </c>
      <c r="L2065" s="20">
        <v>45961.0</v>
      </c>
      <c r="M2065" s="17" t="s">
        <v>23</v>
      </c>
      <c r="N2065" s="116" t="s">
        <v>3407</v>
      </c>
      <c r="P2065" s="17"/>
      <c r="Q2065" s="17" t="s">
        <v>73</v>
      </c>
      <c r="R2065" s="17"/>
      <c r="S2065" s="17" t="s">
        <v>73</v>
      </c>
      <c r="U2065" s="24"/>
      <c r="V2065" s="24"/>
      <c r="W2065" s="18" t="s">
        <v>76</v>
      </c>
    </row>
    <row r="2066">
      <c r="A2066" s="11"/>
      <c r="B2066" s="12" t="s">
        <v>43</v>
      </c>
      <c r="C2066" s="12" t="s">
        <v>65</v>
      </c>
      <c r="D2066" s="12" t="s">
        <v>43</v>
      </c>
      <c r="E2066" s="12" t="s">
        <v>188</v>
      </c>
      <c r="F2066" s="13" t="s">
        <v>189</v>
      </c>
      <c r="G2066" s="12" t="s">
        <v>68</v>
      </c>
      <c r="H2066" s="12" t="s">
        <v>190</v>
      </c>
      <c r="I2066" s="12" t="s">
        <v>191</v>
      </c>
      <c r="J2066" s="17" t="s">
        <v>2687</v>
      </c>
      <c r="K2066" s="18">
        <v>2.0</v>
      </c>
      <c r="L2066" s="20">
        <v>45961.0</v>
      </c>
      <c r="M2066" s="17" t="s">
        <v>23</v>
      </c>
      <c r="N2066" s="17" t="s">
        <v>3759</v>
      </c>
      <c r="P2066" s="17"/>
      <c r="Q2066" s="17" t="s">
        <v>112</v>
      </c>
      <c r="R2066" s="17"/>
      <c r="S2066" s="17" t="s">
        <v>112</v>
      </c>
      <c r="U2066" s="24"/>
      <c r="V2066" s="24"/>
      <c r="W2066" s="18" t="s">
        <v>76</v>
      </c>
    </row>
    <row r="2067">
      <c r="A2067" s="11"/>
      <c r="B2067" s="23"/>
      <c r="C2067" s="23"/>
      <c r="D2067" s="23"/>
      <c r="E2067" s="23"/>
      <c r="F2067" s="13" t="s">
        <v>189</v>
      </c>
      <c r="G2067" s="23"/>
      <c r="H2067" s="23"/>
      <c r="I2067" s="23"/>
      <c r="J2067" s="17" t="s">
        <v>2687</v>
      </c>
      <c r="K2067" s="18">
        <v>3.0</v>
      </c>
      <c r="L2067" s="20">
        <v>45971.0</v>
      </c>
      <c r="M2067" s="17" t="s">
        <v>23</v>
      </c>
      <c r="N2067" s="17" t="s">
        <v>3408</v>
      </c>
      <c r="P2067" s="17"/>
      <c r="Q2067" s="17" t="s">
        <v>108</v>
      </c>
      <c r="R2067" s="17"/>
      <c r="S2067" s="17" t="s">
        <v>108</v>
      </c>
      <c r="U2067" s="24"/>
      <c r="V2067" s="24"/>
      <c r="W2067" s="18" t="s">
        <v>76</v>
      </c>
    </row>
    <row r="2068">
      <c r="A2068" s="11"/>
      <c r="B2068" s="12" t="s">
        <v>43</v>
      </c>
      <c r="C2068" s="12" t="s">
        <v>65</v>
      </c>
      <c r="D2068" s="12" t="s">
        <v>43</v>
      </c>
      <c r="E2068" s="12" t="s">
        <v>188</v>
      </c>
      <c r="F2068" s="13" t="s">
        <v>189</v>
      </c>
      <c r="G2068" s="12" t="s">
        <v>68</v>
      </c>
      <c r="H2068" s="12" t="s">
        <v>190</v>
      </c>
      <c r="I2068" s="12" t="s">
        <v>191</v>
      </c>
      <c r="J2068" s="17" t="s">
        <v>2687</v>
      </c>
      <c r="K2068" s="18">
        <v>3.0</v>
      </c>
      <c r="L2068" s="20">
        <v>45971.0</v>
      </c>
      <c r="M2068" s="17" t="s">
        <v>23</v>
      </c>
      <c r="N2068" s="116" t="s">
        <v>3407</v>
      </c>
      <c r="P2068" s="17"/>
      <c r="Q2068" s="17" t="s">
        <v>73</v>
      </c>
      <c r="R2068" s="17"/>
      <c r="S2068" s="17" t="s">
        <v>73</v>
      </c>
      <c r="U2068" s="24"/>
      <c r="V2068" s="24"/>
      <c r="W2068" s="18" t="s">
        <v>76</v>
      </c>
    </row>
    <row r="2069">
      <c r="A2069" s="11"/>
      <c r="B2069" s="12" t="s">
        <v>43</v>
      </c>
      <c r="C2069" s="12" t="s">
        <v>65</v>
      </c>
      <c r="D2069" s="12" t="s">
        <v>43</v>
      </c>
      <c r="E2069" s="12" t="s">
        <v>188</v>
      </c>
      <c r="F2069" s="13" t="s">
        <v>189</v>
      </c>
      <c r="G2069" s="12" t="s">
        <v>68</v>
      </c>
      <c r="H2069" s="12" t="s">
        <v>190</v>
      </c>
      <c r="I2069" s="12" t="s">
        <v>191</v>
      </c>
      <c r="J2069" s="17" t="s">
        <v>2687</v>
      </c>
      <c r="K2069" s="18">
        <v>3.0</v>
      </c>
      <c r="L2069" s="20">
        <v>45971.0</v>
      </c>
      <c r="M2069" s="17" t="s">
        <v>23</v>
      </c>
      <c r="N2069" s="17" t="s">
        <v>3759</v>
      </c>
      <c r="P2069" s="17"/>
      <c r="Q2069" s="17" t="s">
        <v>112</v>
      </c>
      <c r="R2069" s="17"/>
      <c r="S2069" s="17" t="s">
        <v>112</v>
      </c>
      <c r="U2069" s="24"/>
      <c r="V2069" s="24"/>
      <c r="W2069" s="18" t="s">
        <v>76</v>
      </c>
    </row>
    <row r="2070">
      <c r="A2070" s="11"/>
      <c r="B2070" s="12" t="s">
        <v>34</v>
      </c>
      <c r="C2070" s="12" t="s">
        <v>65</v>
      </c>
      <c r="D2070" s="12" t="s">
        <v>43</v>
      </c>
      <c r="E2070" s="12" t="s">
        <v>224</v>
      </c>
      <c r="F2070" s="13" t="s">
        <v>225</v>
      </c>
      <c r="G2070" s="12" t="s">
        <v>68</v>
      </c>
      <c r="H2070" s="12" t="s">
        <v>226</v>
      </c>
      <c r="I2070" s="12" t="s">
        <v>227</v>
      </c>
      <c r="J2070" s="17" t="s">
        <v>2687</v>
      </c>
      <c r="K2070" s="18">
        <v>3.0</v>
      </c>
      <c r="L2070" s="20">
        <v>45978.0</v>
      </c>
      <c r="M2070" s="17" t="s">
        <v>23</v>
      </c>
      <c r="N2070" s="116" t="s">
        <v>3599</v>
      </c>
      <c r="P2070" s="17"/>
      <c r="Q2070" s="17" t="s">
        <v>108</v>
      </c>
      <c r="R2070" s="17"/>
      <c r="S2070" s="17" t="s">
        <v>108</v>
      </c>
      <c r="U2070" s="24"/>
      <c r="V2070" s="24"/>
      <c r="W2070" s="18" t="s">
        <v>76</v>
      </c>
    </row>
    <row r="2071">
      <c r="A2071" s="11"/>
      <c r="B2071" s="12" t="s">
        <v>34</v>
      </c>
      <c r="C2071" s="12" t="s">
        <v>65</v>
      </c>
      <c r="D2071" s="12" t="s">
        <v>43</v>
      </c>
      <c r="E2071" s="12" t="s">
        <v>224</v>
      </c>
      <c r="F2071" s="13" t="s">
        <v>225</v>
      </c>
      <c r="G2071" s="12" t="s">
        <v>68</v>
      </c>
      <c r="H2071" s="12" t="s">
        <v>226</v>
      </c>
      <c r="I2071" s="12" t="s">
        <v>227</v>
      </c>
      <c r="J2071" s="17" t="s">
        <v>2687</v>
      </c>
      <c r="K2071" s="18">
        <v>3.0</v>
      </c>
      <c r="L2071" s="20">
        <v>45978.0</v>
      </c>
      <c r="M2071" s="17" t="s">
        <v>23</v>
      </c>
      <c r="N2071" s="116" t="s">
        <v>3600</v>
      </c>
      <c r="P2071" s="17"/>
      <c r="Q2071" s="17" t="s">
        <v>112</v>
      </c>
      <c r="R2071" s="17"/>
      <c r="S2071" s="17" t="s">
        <v>112</v>
      </c>
      <c r="U2071" s="24"/>
      <c r="V2071" s="24"/>
      <c r="W2071" s="18" t="s">
        <v>76</v>
      </c>
    </row>
    <row r="2072">
      <c r="A2072" s="11"/>
      <c r="B2072" s="23"/>
      <c r="C2072" s="23"/>
      <c r="D2072" s="23"/>
      <c r="E2072" s="23"/>
      <c r="F2072" s="13" t="s">
        <v>225</v>
      </c>
      <c r="G2072" s="23"/>
      <c r="H2072" s="23"/>
      <c r="I2072" s="23"/>
      <c r="J2072" s="17" t="s">
        <v>2687</v>
      </c>
      <c r="K2072" s="18">
        <v>3.0</v>
      </c>
      <c r="L2072" s="20">
        <v>45978.0</v>
      </c>
      <c r="M2072" s="17" t="s">
        <v>23</v>
      </c>
      <c r="N2072" s="116" t="s">
        <v>4143</v>
      </c>
      <c r="P2072" s="17"/>
      <c r="Q2072" s="17"/>
      <c r="R2072" s="17"/>
      <c r="S2072" s="17"/>
      <c r="U2072" s="24"/>
      <c r="V2072" s="18" t="s">
        <v>4409</v>
      </c>
      <c r="W2072" s="18" t="s">
        <v>76</v>
      </c>
    </row>
    <row r="2073">
      <c r="A2073" s="11"/>
      <c r="B2073" s="12" t="s">
        <v>34</v>
      </c>
      <c r="C2073" s="12" t="s">
        <v>65</v>
      </c>
      <c r="D2073" s="12" t="s">
        <v>43</v>
      </c>
      <c r="E2073" s="12" t="s">
        <v>224</v>
      </c>
      <c r="F2073" s="13" t="s">
        <v>225</v>
      </c>
      <c r="G2073" s="12" t="s">
        <v>68</v>
      </c>
      <c r="H2073" s="12" t="s">
        <v>226</v>
      </c>
      <c r="I2073" s="12" t="s">
        <v>227</v>
      </c>
      <c r="J2073" s="17" t="s">
        <v>2687</v>
      </c>
      <c r="K2073" s="18">
        <v>3.0</v>
      </c>
      <c r="L2073" s="20">
        <v>45978.0</v>
      </c>
      <c r="M2073" s="17" t="s">
        <v>23</v>
      </c>
      <c r="N2073" s="17" t="s">
        <v>3602</v>
      </c>
      <c r="P2073" s="17"/>
      <c r="Q2073" s="17" t="s">
        <v>73</v>
      </c>
      <c r="R2073" s="17"/>
      <c r="S2073" s="17" t="s">
        <v>73</v>
      </c>
      <c r="U2073" s="24"/>
      <c r="V2073" s="24"/>
      <c r="W2073" s="18" t="s">
        <v>76</v>
      </c>
    </row>
    <row r="2074">
      <c r="A2074" s="11"/>
      <c r="B2074" s="12" t="s">
        <v>34</v>
      </c>
      <c r="C2074" s="12" t="s">
        <v>65</v>
      </c>
      <c r="D2074" s="12" t="s">
        <v>43</v>
      </c>
      <c r="E2074" s="12" t="s">
        <v>717</v>
      </c>
      <c r="F2074" s="13" t="s">
        <v>718</v>
      </c>
      <c r="G2074" s="12" t="s">
        <v>68</v>
      </c>
      <c r="H2074" s="12" t="s">
        <v>719</v>
      </c>
      <c r="I2074" s="12" t="s">
        <v>720</v>
      </c>
      <c r="J2074" s="17" t="s">
        <v>2687</v>
      </c>
      <c r="K2074" s="18">
        <v>3.0</v>
      </c>
      <c r="L2074" s="20">
        <v>45986.0</v>
      </c>
      <c r="M2074" s="17" t="s">
        <v>23</v>
      </c>
      <c r="N2074" s="17" t="s">
        <v>3919</v>
      </c>
      <c r="P2074" s="17"/>
      <c r="Q2074" s="17" t="s">
        <v>112</v>
      </c>
      <c r="R2074" s="17"/>
      <c r="S2074" s="17"/>
      <c r="U2074" s="24"/>
      <c r="V2074" s="24"/>
      <c r="W2074" s="24"/>
    </row>
    <row r="2075">
      <c r="A2075" s="11"/>
      <c r="B2075" s="12" t="s">
        <v>34</v>
      </c>
      <c r="C2075" s="12" t="s">
        <v>65</v>
      </c>
      <c r="D2075" s="12" t="s">
        <v>43</v>
      </c>
      <c r="E2075" s="12" t="s">
        <v>717</v>
      </c>
      <c r="F2075" s="13" t="s">
        <v>718</v>
      </c>
      <c r="G2075" s="12" t="s">
        <v>68</v>
      </c>
      <c r="H2075" s="12" t="s">
        <v>719</v>
      </c>
      <c r="I2075" s="12" t="s">
        <v>720</v>
      </c>
      <c r="J2075" s="17" t="s">
        <v>2687</v>
      </c>
      <c r="K2075" s="18">
        <v>3.0</v>
      </c>
      <c r="L2075" s="20">
        <v>45986.0</v>
      </c>
      <c r="M2075" s="17" t="s">
        <v>23</v>
      </c>
      <c r="N2075" s="17" t="s">
        <v>3920</v>
      </c>
      <c r="P2075" s="17"/>
      <c r="Q2075" s="17" t="s">
        <v>73</v>
      </c>
      <c r="R2075" s="17"/>
      <c r="S2075" s="17"/>
      <c r="U2075" s="24"/>
      <c r="V2075" s="24"/>
      <c r="W2075" s="24"/>
    </row>
    <row r="2076">
      <c r="A2076" s="11"/>
      <c r="B2076" s="12" t="s">
        <v>34</v>
      </c>
      <c r="C2076" s="12" t="s">
        <v>65</v>
      </c>
      <c r="D2076" s="12" t="s">
        <v>43</v>
      </c>
      <c r="E2076" s="12" t="s">
        <v>717</v>
      </c>
      <c r="F2076" s="13" t="s">
        <v>718</v>
      </c>
      <c r="G2076" s="12" t="s">
        <v>68</v>
      </c>
      <c r="H2076" s="12" t="s">
        <v>719</v>
      </c>
      <c r="I2076" s="12" t="s">
        <v>720</v>
      </c>
      <c r="J2076" s="17" t="s">
        <v>2687</v>
      </c>
      <c r="K2076" s="18">
        <v>3.0</v>
      </c>
      <c r="L2076" s="20">
        <v>45986.0</v>
      </c>
      <c r="M2076" s="17" t="s">
        <v>23</v>
      </c>
      <c r="N2076" s="17" t="s">
        <v>3921</v>
      </c>
      <c r="P2076" s="17"/>
      <c r="Q2076" s="17" t="s">
        <v>73</v>
      </c>
      <c r="R2076" s="17"/>
      <c r="S2076" s="17"/>
      <c r="U2076" s="24"/>
      <c r="V2076" s="24"/>
      <c r="W2076" s="24"/>
    </row>
    <row r="2077">
      <c r="A2077" s="11"/>
      <c r="B2077" s="12" t="s">
        <v>34</v>
      </c>
      <c r="C2077" s="12" t="s">
        <v>65</v>
      </c>
      <c r="D2077" s="12" t="s">
        <v>43</v>
      </c>
      <c r="E2077" s="12" t="s">
        <v>717</v>
      </c>
      <c r="F2077" s="13" t="s">
        <v>718</v>
      </c>
      <c r="G2077" s="12" t="s">
        <v>68</v>
      </c>
      <c r="H2077" s="12" t="s">
        <v>719</v>
      </c>
      <c r="I2077" s="12" t="s">
        <v>720</v>
      </c>
      <c r="J2077" s="17" t="s">
        <v>2687</v>
      </c>
      <c r="K2077" s="18">
        <v>3.0</v>
      </c>
      <c r="L2077" s="20">
        <v>45986.0</v>
      </c>
      <c r="M2077" s="17" t="s">
        <v>23</v>
      </c>
      <c r="N2077" s="17" t="s">
        <v>3924</v>
      </c>
      <c r="P2077" s="17"/>
      <c r="Q2077" s="17" t="s">
        <v>108</v>
      </c>
      <c r="R2077" s="17"/>
      <c r="S2077" s="17"/>
      <c r="U2077" s="24"/>
      <c r="V2077" s="24"/>
      <c r="W2077" s="24"/>
    </row>
    <row r="2078">
      <c r="A2078" s="11"/>
      <c r="B2078" s="12" t="s">
        <v>34</v>
      </c>
      <c r="C2078" s="12" t="s">
        <v>65</v>
      </c>
      <c r="D2078" s="12" t="s">
        <v>43</v>
      </c>
      <c r="E2078" s="12" t="s">
        <v>691</v>
      </c>
      <c r="F2078" s="13" t="s">
        <v>692</v>
      </c>
      <c r="G2078" s="12" t="s">
        <v>68</v>
      </c>
      <c r="H2078" s="12" t="s">
        <v>693</v>
      </c>
      <c r="I2078" s="12" t="s">
        <v>694</v>
      </c>
      <c r="J2078" s="17" t="s">
        <v>2687</v>
      </c>
      <c r="K2078" s="18">
        <v>3.0</v>
      </c>
      <c r="L2078" s="20">
        <v>45986.0</v>
      </c>
      <c r="M2078" s="17" t="s">
        <v>23</v>
      </c>
      <c r="N2078" s="17" t="s">
        <v>3925</v>
      </c>
      <c r="P2078" s="17"/>
      <c r="Q2078" s="17" t="s">
        <v>73</v>
      </c>
      <c r="R2078" s="17"/>
      <c r="S2078" s="17"/>
      <c r="U2078" s="24"/>
      <c r="V2078" s="24"/>
      <c r="W2078" s="24"/>
    </row>
    <row r="2079">
      <c r="A2079" s="11"/>
      <c r="B2079" s="12" t="s">
        <v>34</v>
      </c>
      <c r="C2079" s="12" t="s">
        <v>65</v>
      </c>
      <c r="D2079" s="12" t="s">
        <v>43</v>
      </c>
      <c r="E2079" s="12" t="s">
        <v>691</v>
      </c>
      <c r="F2079" s="13" t="s">
        <v>692</v>
      </c>
      <c r="G2079" s="12" t="s">
        <v>68</v>
      </c>
      <c r="H2079" s="12" t="s">
        <v>693</v>
      </c>
      <c r="I2079" s="12" t="s">
        <v>694</v>
      </c>
      <c r="J2079" s="17" t="s">
        <v>2687</v>
      </c>
      <c r="K2079" s="18">
        <v>3.0</v>
      </c>
      <c r="L2079" s="20">
        <v>45986.0</v>
      </c>
      <c r="M2079" s="17" t="s">
        <v>23</v>
      </c>
      <c r="N2079" s="17" t="s">
        <v>3927</v>
      </c>
      <c r="P2079" s="17"/>
      <c r="Q2079" s="17" t="s">
        <v>73</v>
      </c>
      <c r="R2079" s="17"/>
      <c r="S2079" s="17"/>
      <c r="U2079" s="24"/>
      <c r="V2079" s="24"/>
      <c r="W2079" s="24"/>
    </row>
    <row r="2080">
      <c r="A2080" s="11"/>
      <c r="B2080" s="12" t="s">
        <v>34</v>
      </c>
      <c r="C2080" s="12" t="s">
        <v>65</v>
      </c>
      <c r="D2080" s="12" t="s">
        <v>43</v>
      </c>
      <c r="E2080" s="12" t="s">
        <v>691</v>
      </c>
      <c r="F2080" s="13" t="s">
        <v>692</v>
      </c>
      <c r="G2080" s="12" t="s">
        <v>68</v>
      </c>
      <c r="H2080" s="12" t="s">
        <v>693</v>
      </c>
      <c r="I2080" s="12" t="s">
        <v>694</v>
      </c>
      <c r="J2080" s="17" t="s">
        <v>2687</v>
      </c>
      <c r="K2080" s="18">
        <v>3.0</v>
      </c>
      <c r="L2080" s="20">
        <v>45986.0</v>
      </c>
      <c r="M2080" s="17" t="s">
        <v>23</v>
      </c>
      <c r="N2080" s="17" t="s">
        <v>3928</v>
      </c>
      <c r="P2080" s="17"/>
      <c r="Q2080" s="17" t="s">
        <v>108</v>
      </c>
      <c r="R2080" s="17"/>
      <c r="S2080" s="17"/>
      <c r="U2080" s="24"/>
      <c r="V2080" s="24"/>
      <c r="W2080" s="24"/>
    </row>
    <row r="2081">
      <c r="A2081" s="11"/>
      <c r="B2081" s="12" t="s">
        <v>34</v>
      </c>
      <c r="C2081" s="12" t="s">
        <v>65</v>
      </c>
      <c r="D2081" s="12" t="s">
        <v>43</v>
      </c>
      <c r="E2081" s="12" t="s">
        <v>691</v>
      </c>
      <c r="F2081" s="13" t="s">
        <v>692</v>
      </c>
      <c r="G2081" s="12" t="s">
        <v>68</v>
      </c>
      <c r="H2081" s="12" t="s">
        <v>693</v>
      </c>
      <c r="I2081" s="12" t="s">
        <v>694</v>
      </c>
      <c r="J2081" s="17" t="s">
        <v>2687</v>
      </c>
      <c r="K2081" s="18">
        <v>3.0</v>
      </c>
      <c r="L2081" s="20">
        <v>45986.0</v>
      </c>
      <c r="M2081" s="17" t="s">
        <v>23</v>
      </c>
      <c r="N2081" s="17" t="s">
        <v>3406</v>
      </c>
      <c r="P2081" s="17"/>
      <c r="Q2081" s="17" t="s">
        <v>73</v>
      </c>
      <c r="R2081" s="17"/>
      <c r="S2081" s="17"/>
      <c r="U2081" s="24"/>
      <c r="V2081" s="24"/>
      <c r="W2081" s="24"/>
    </row>
    <row r="2082">
      <c r="A2082" s="11"/>
      <c r="B2082" s="12" t="s">
        <v>34</v>
      </c>
      <c r="C2082" s="12" t="s">
        <v>65</v>
      </c>
      <c r="D2082" s="12" t="s">
        <v>43</v>
      </c>
      <c r="E2082" s="12" t="s">
        <v>691</v>
      </c>
      <c r="F2082" s="13" t="s">
        <v>692</v>
      </c>
      <c r="G2082" s="12" t="s">
        <v>68</v>
      </c>
      <c r="H2082" s="12" t="s">
        <v>693</v>
      </c>
      <c r="I2082" s="12" t="s">
        <v>694</v>
      </c>
      <c r="J2082" s="17" t="s">
        <v>2687</v>
      </c>
      <c r="K2082" s="18">
        <v>3.0</v>
      </c>
      <c r="L2082" s="20">
        <v>45986.0</v>
      </c>
      <c r="M2082" s="17" t="s">
        <v>23</v>
      </c>
      <c r="N2082" s="17" t="s">
        <v>3405</v>
      </c>
      <c r="P2082" s="17"/>
      <c r="Q2082" s="17" t="s">
        <v>112</v>
      </c>
      <c r="R2082" s="17"/>
      <c r="S2082" s="17"/>
      <c r="U2082" s="24"/>
      <c r="V2082" s="24"/>
      <c r="W2082" s="24"/>
    </row>
    <row r="2083">
      <c r="A2083" s="11"/>
      <c r="B2083" s="12" t="s">
        <v>34</v>
      </c>
      <c r="C2083" s="12" t="s">
        <v>65</v>
      </c>
      <c r="D2083" s="12" t="s">
        <v>43</v>
      </c>
      <c r="E2083" s="12" t="s">
        <v>773</v>
      </c>
      <c r="F2083" s="13" t="s">
        <v>774</v>
      </c>
      <c r="G2083" s="12" t="s">
        <v>68</v>
      </c>
      <c r="H2083" s="12" t="s">
        <v>775</v>
      </c>
      <c r="I2083" s="12" t="s">
        <v>776</v>
      </c>
      <c r="J2083" s="17" t="s">
        <v>2687</v>
      </c>
      <c r="K2083" s="18">
        <v>3.0</v>
      </c>
      <c r="L2083" s="20">
        <v>45986.0</v>
      </c>
      <c r="M2083" s="17" t="s">
        <v>23</v>
      </c>
      <c r="N2083" s="17" t="s">
        <v>3931</v>
      </c>
      <c r="P2083" s="17"/>
      <c r="Q2083" s="17" t="s">
        <v>108</v>
      </c>
      <c r="R2083" s="17"/>
      <c r="S2083" s="17"/>
      <c r="U2083" s="24"/>
      <c r="V2083" s="24"/>
      <c r="W2083" s="24"/>
    </row>
    <row r="2084">
      <c r="A2084" s="11"/>
      <c r="B2084" s="12" t="s">
        <v>34</v>
      </c>
      <c r="C2084" s="12" t="s">
        <v>65</v>
      </c>
      <c r="D2084" s="12" t="s">
        <v>43</v>
      </c>
      <c r="E2084" s="12" t="s">
        <v>773</v>
      </c>
      <c r="F2084" s="13" t="s">
        <v>774</v>
      </c>
      <c r="G2084" s="12" t="s">
        <v>68</v>
      </c>
      <c r="H2084" s="12" t="s">
        <v>775</v>
      </c>
      <c r="I2084" s="12" t="s">
        <v>776</v>
      </c>
      <c r="J2084" s="17" t="s">
        <v>2687</v>
      </c>
      <c r="K2084" s="18">
        <v>3.0</v>
      </c>
      <c r="L2084" s="20">
        <v>45986.0</v>
      </c>
      <c r="M2084" s="17" t="s">
        <v>23</v>
      </c>
      <c r="N2084" s="17" t="s">
        <v>3934</v>
      </c>
      <c r="P2084" s="17"/>
      <c r="Q2084" s="17" t="s">
        <v>73</v>
      </c>
      <c r="R2084" s="17"/>
      <c r="S2084" s="17"/>
      <c r="U2084" s="24"/>
      <c r="V2084" s="24"/>
      <c r="W2084" s="24"/>
    </row>
    <row r="2085">
      <c r="A2085" s="11"/>
      <c r="B2085" s="12" t="s">
        <v>34</v>
      </c>
      <c r="C2085" s="12" t="s">
        <v>65</v>
      </c>
      <c r="D2085" s="12" t="s">
        <v>43</v>
      </c>
      <c r="E2085" s="12" t="s">
        <v>666</v>
      </c>
      <c r="F2085" s="13" t="s">
        <v>667</v>
      </c>
      <c r="G2085" s="12" t="s">
        <v>68</v>
      </c>
      <c r="H2085" s="12" t="s">
        <v>668</v>
      </c>
      <c r="I2085" s="12" t="s">
        <v>669</v>
      </c>
      <c r="J2085" s="17" t="s">
        <v>2687</v>
      </c>
      <c r="K2085" s="18">
        <v>3.0</v>
      </c>
      <c r="L2085" s="20">
        <v>45979.0</v>
      </c>
      <c r="M2085" s="17" t="s">
        <v>23</v>
      </c>
      <c r="N2085" s="17" t="s">
        <v>3914</v>
      </c>
      <c r="P2085" s="17"/>
      <c r="Q2085" s="17" t="s">
        <v>112</v>
      </c>
      <c r="R2085" s="17"/>
      <c r="S2085" s="17"/>
      <c r="U2085" s="24"/>
      <c r="V2085" s="24"/>
      <c r="W2085" s="24"/>
    </row>
    <row r="2086">
      <c r="A2086" s="11"/>
      <c r="B2086" s="12" t="s">
        <v>34</v>
      </c>
      <c r="C2086" s="12" t="s">
        <v>65</v>
      </c>
      <c r="D2086" s="12" t="s">
        <v>43</v>
      </c>
      <c r="E2086" s="12" t="s">
        <v>666</v>
      </c>
      <c r="F2086" s="13" t="s">
        <v>667</v>
      </c>
      <c r="G2086" s="12" t="s">
        <v>68</v>
      </c>
      <c r="H2086" s="12" t="s">
        <v>668</v>
      </c>
      <c r="I2086" s="12" t="s">
        <v>669</v>
      </c>
      <c r="J2086" s="17" t="s">
        <v>2687</v>
      </c>
      <c r="K2086" s="18">
        <v>3.0</v>
      </c>
      <c r="L2086" s="20">
        <v>45979.0</v>
      </c>
      <c r="M2086" s="17" t="s">
        <v>23</v>
      </c>
      <c r="N2086" s="17" t="s">
        <v>3915</v>
      </c>
      <c r="P2086" s="17"/>
      <c r="Q2086" s="17" t="s">
        <v>73</v>
      </c>
      <c r="R2086" s="17"/>
      <c r="S2086" s="17"/>
      <c r="U2086" s="24"/>
      <c r="V2086" s="24"/>
      <c r="W2086" s="24"/>
    </row>
    <row r="2087">
      <c r="A2087" s="11"/>
      <c r="B2087" s="12" t="s">
        <v>34</v>
      </c>
      <c r="C2087" s="12" t="s">
        <v>65</v>
      </c>
      <c r="D2087" s="12" t="s">
        <v>83</v>
      </c>
      <c r="E2087" s="12" t="s">
        <v>632</v>
      </c>
      <c r="F2087" s="13" t="s">
        <v>633</v>
      </c>
      <c r="G2087" s="12" t="s">
        <v>68</v>
      </c>
      <c r="H2087" s="12" t="s">
        <v>634</v>
      </c>
      <c r="I2087" s="12" t="s">
        <v>635</v>
      </c>
      <c r="J2087" s="17" t="s">
        <v>2687</v>
      </c>
      <c r="K2087" s="18">
        <v>3.0</v>
      </c>
      <c r="L2087" s="20">
        <v>45979.0</v>
      </c>
      <c r="M2087" s="17" t="s">
        <v>23</v>
      </c>
      <c r="N2087" s="17" t="s">
        <v>3935</v>
      </c>
      <c r="P2087" s="17"/>
      <c r="Q2087" s="17" t="s">
        <v>73</v>
      </c>
      <c r="R2087" s="17"/>
      <c r="S2087" s="17" t="s">
        <v>73</v>
      </c>
      <c r="U2087" s="24"/>
      <c r="V2087" s="24"/>
      <c r="W2087" s="24"/>
    </row>
    <row r="2088">
      <c r="A2088" s="11"/>
      <c r="B2088" s="12" t="s">
        <v>34</v>
      </c>
      <c r="C2088" s="12" t="s">
        <v>65</v>
      </c>
      <c r="D2088" s="12" t="s">
        <v>83</v>
      </c>
      <c r="E2088" s="12" t="s">
        <v>632</v>
      </c>
      <c r="F2088" s="13" t="s">
        <v>633</v>
      </c>
      <c r="G2088" s="12" t="s">
        <v>68</v>
      </c>
      <c r="H2088" s="12" t="s">
        <v>634</v>
      </c>
      <c r="I2088" s="12" t="s">
        <v>635</v>
      </c>
      <c r="J2088" s="17" t="s">
        <v>2687</v>
      </c>
      <c r="K2088" s="18">
        <v>3.0</v>
      </c>
      <c r="L2088" s="20">
        <v>45979.0</v>
      </c>
      <c r="M2088" s="17" t="s">
        <v>23</v>
      </c>
      <c r="N2088" s="17" t="s">
        <v>3936</v>
      </c>
      <c r="P2088" s="17"/>
      <c r="Q2088" s="17" t="s">
        <v>112</v>
      </c>
      <c r="R2088" s="17"/>
      <c r="S2088" s="17" t="s">
        <v>112</v>
      </c>
      <c r="U2088" s="24"/>
      <c r="V2088" s="24"/>
      <c r="W2088" s="24"/>
    </row>
    <row r="2089">
      <c r="A2089" s="11"/>
      <c r="B2089" s="12" t="s">
        <v>34</v>
      </c>
      <c r="C2089" s="12" t="s">
        <v>65</v>
      </c>
      <c r="D2089" s="12" t="s">
        <v>83</v>
      </c>
      <c r="E2089" s="12" t="s">
        <v>632</v>
      </c>
      <c r="F2089" s="13" t="s">
        <v>633</v>
      </c>
      <c r="G2089" s="12" t="s">
        <v>68</v>
      </c>
      <c r="H2089" s="12" t="s">
        <v>634</v>
      </c>
      <c r="I2089" s="12" t="s">
        <v>635</v>
      </c>
      <c r="J2089" s="17" t="s">
        <v>2687</v>
      </c>
      <c r="K2089" s="18">
        <v>3.0</v>
      </c>
      <c r="L2089" s="20">
        <v>45979.0</v>
      </c>
      <c r="M2089" s="17" t="s">
        <v>23</v>
      </c>
      <c r="N2089" s="17" t="s">
        <v>3937</v>
      </c>
      <c r="P2089" s="17"/>
      <c r="Q2089" s="17" t="s">
        <v>108</v>
      </c>
      <c r="R2089" s="17"/>
      <c r="S2089" s="17" t="s">
        <v>108</v>
      </c>
      <c r="U2089" s="24"/>
      <c r="V2089" s="24"/>
      <c r="W2089" s="24"/>
    </row>
    <row r="2090">
      <c r="A2090" s="11"/>
      <c r="B2090" s="12" t="s">
        <v>34</v>
      </c>
      <c r="C2090" s="12" t="s">
        <v>65</v>
      </c>
      <c r="D2090" s="12" t="s">
        <v>83</v>
      </c>
      <c r="E2090" s="12" t="s">
        <v>632</v>
      </c>
      <c r="F2090" s="13" t="s">
        <v>633</v>
      </c>
      <c r="G2090" s="12" t="s">
        <v>68</v>
      </c>
      <c r="H2090" s="12" t="s">
        <v>634</v>
      </c>
      <c r="I2090" s="12" t="s">
        <v>635</v>
      </c>
      <c r="J2090" s="17" t="s">
        <v>2687</v>
      </c>
      <c r="K2090" s="18">
        <v>3.0</v>
      </c>
      <c r="L2090" s="20">
        <v>45979.0</v>
      </c>
      <c r="M2090" s="17" t="s">
        <v>23</v>
      </c>
      <c r="N2090" s="17" t="s">
        <v>3938</v>
      </c>
      <c r="P2090" s="17"/>
      <c r="Q2090" s="17" t="s">
        <v>112</v>
      </c>
      <c r="R2090" s="17"/>
      <c r="S2090" s="17" t="s">
        <v>112</v>
      </c>
      <c r="U2090" s="24"/>
      <c r="V2090" s="24"/>
      <c r="W2090" s="24"/>
    </row>
    <row r="2091">
      <c r="A2091" s="11"/>
      <c r="B2091" s="23"/>
      <c r="C2091" s="23"/>
      <c r="D2091" s="23"/>
      <c r="E2091" s="23"/>
      <c r="F2091" s="1"/>
      <c r="G2091" s="23"/>
      <c r="H2091" s="23"/>
      <c r="I2091" s="23"/>
      <c r="J2091" s="2"/>
      <c r="K2091" s="18"/>
      <c r="L2091" s="20"/>
      <c r="M2091" s="2"/>
      <c r="N2091" s="17"/>
      <c r="P2091" s="17"/>
      <c r="Q2091" s="17"/>
      <c r="R2091" s="17"/>
      <c r="S2091" s="17"/>
      <c r="U2091" s="24"/>
      <c r="V2091" s="24"/>
      <c r="W2091" s="24"/>
    </row>
    <row r="2092">
      <c r="A2092" s="11"/>
      <c r="B2092" s="23"/>
      <c r="C2092" s="23"/>
      <c r="D2092" s="23"/>
      <c r="E2092" s="23"/>
      <c r="F2092" s="1"/>
      <c r="G2092" s="23"/>
      <c r="H2092" s="23"/>
      <c r="I2092" s="23"/>
      <c r="J2092" s="2"/>
      <c r="K2092" s="18"/>
      <c r="L2092" s="20"/>
      <c r="M2092" s="2"/>
      <c r="N2092" s="17"/>
      <c r="P2092" s="17"/>
      <c r="Q2092" s="17"/>
      <c r="R2092" s="17"/>
      <c r="S2092" s="17"/>
      <c r="U2092" s="24"/>
      <c r="V2092" s="24"/>
      <c r="W2092" s="24"/>
    </row>
    <row r="2093">
      <c r="A2093" s="11"/>
      <c r="B2093" s="23"/>
      <c r="C2093" s="23"/>
      <c r="D2093" s="23"/>
      <c r="E2093" s="23"/>
      <c r="F2093" s="1"/>
      <c r="G2093" s="23"/>
      <c r="H2093" s="23"/>
      <c r="I2093" s="23"/>
      <c r="J2093" s="2"/>
      <c r="K2093" s="18"/>
      <c r="L2093" s="20"/>
      <c r="M2093" s="2"/>
      <c r="N2093" s="17"/>
      <c r="P2093" s="17"/>
      <c r="Q2093" s="17"/>
      <c r="R2093" s="17"/>
      <c r="S2093" s="17"/>
      <c r="U2093" s="24"/>
      <c r="V2093" s="24"/>
      <c r="W2093" s="24"/>
    </row>
    <row r="2094">
      <c r="A2094" s="11"/>
      <c r="B2094" s="23"/>
      <c r="C2094" s="23"/>
      <c r="D2094" s="23"/>
      <c r="E2094" s="23"/>
      <c r="F2094" s="1"/>
      <c r="G2094" s="23"/>
      <c r="H2094" s="23"/>
      <c r="I2094" s="23"/>
      <c r="J2094" s="2"/>
      <c r="K2094" s="18"/>
      <c r="L2094" s="20"/>
      <c r="M2094" s="2"/>
      <c r="N2094" s="17"/>
      <c r="P2094" s="17"/>
      <c r="Q2094" s="17"/>
      <c r="R2094" s="17"/>
      <c r="S2094" s="17"/>
      <c r="U2094" s="24"/>
      <c r="V2094" s="24"/>
      <c r="W2094" s="24"/>
    </row>
    <row r="2095">
      <c r="A2095" s="11"/>
      <c r="B2095" s="23"/>
      <c r="C2095" s="23"/>
      <c r="D2095" s="23"/>
      <c r="E2095" s="23"/>
      <c r="F2095" s="1"/>
      <c r="G2095" s="23"/>
      <c r="H2095" s="23"/>
      <c r="I2095" s="23"/>
      <c r="J2095" s="2"/>
      <c r="K2095" s="18"/>
      <c r="L2095" s="20"/>
      <c r="M2095" s="2"/>
      <c r="N2095" s="17"/>
      <c r="P2095" s="17"/>
      <c r="Q2095" s="17"/>
      <c r="R2095" s="17"/>
      <c r="S2095" s="17"/>
      <c r="U2095" s="24"/>
      <c r="V2095" s="24"/>
      <c r="W2095" s="24"/>
    </row>
    <row r="2096">
      <c r="A2096" s="11"/>
      <c r="B2096" s="23"/>
      <c r="C2096" s="23"/>
      <c r="D2096" s="23"/>
      <c r="E2096" s="23"/>
      <c r="F2096" s="1"/>
      <c r="G2096" s="23"/>
      <c r="H2096" s="23"/>
      <c r="I2096" s="23"/>
      <c r="J2096" s="2"/>
      <c r="K2096" s="18"/>
      <c r="L2096" s="20"/>
      <c r="M2096" s="2"/>
      <c r="N2096" s="17"/>
      <c r="P2096" s="17"/>
      <c r="Q2096" s="17"/>
      <c r="R2096" s="17"/>
      <c r="S2096" s="17"/>
      <c r="U2096" s="24"/>
      <c r="V2096" s="24"/>
      <c r="W2096" s="24"/>
    </row>
    <row r="2097">
      <c r="A2097" s="11"/>
      <c r="B2097" s="23"/>
      <c r="C2097" s="23"/>
      <c r="D2097" s="23"/>
      <c r="E2097" s="23"/>
      <c r="F2097" s="1"/>
      <c r="G2097" s="23"/>
      <c r="H2097" s="23"/>
      <c r="I2097" s="23"/>
      <c r="J2097" s="2"/>
      <c r="K2097" s="18"/>
      <c r="L2097" s="20"/>
      <c r="M2097" s="2"/>
      <c r="N2097" s="17"/>
      <c r="P2097" s="17"/>
      <c r="Q2097" s="17"/>
      <c r="R2097" s="17"/>
      <c r="S2097" s="17"/>
      <c r="U2097" s="24"/>
      <c r="V2097" s="24"/>
      <c r="W2097" s="24"/>
    </row>
    <row r="2098">
      <c r="A2098" s="11"/>
      <c r="B2098" s="23"/>
      <c r="C2098" s="23"/>
      <c r="D2098" s="23"/>
      <c r="E2098" s="23"/>
      <c r="F2098" s="1"/>
      <c r="G2098" s="23"/>
      <c r="H2098" s="23"/>
      <c r="I2098" s="23"/>
      <c r="J2098" s="2"/>
      <c r="K2098" s="18"/>
      <c r="L2098" s="20"/>
      <c r="M2098" s="2"/>
      <c r="N2098" s="17"/>
      <c r="P2098" s="17"/>
      <c r="Q2098" s="17"/>
      <c r="R2098" s="17"/>
      <c r="S2098" s="17"/>
      <c r="U2098" s="24"/>
      <c r="V2098" s="24"/>
      <c r="W2098" s="24"/>
    </row>
    <row r="2099">
      <c r="A2099" s="11"/>
      <c r="B2099" s="23"/>
      <c r="C2099" s="23"/>
      <c r="D2099" s="23"/>
      <c r="E2099" s="23"/>
      <c r="F2099" s="1"/>
      <c r="G2099" s="23"/>
      <c r="H2099" s="23"/>
      <c r="I2099" s="23"/>
      <c r="J2099" s="2"/>
      <c r="K2099" s="18"/>
      <c r="L2099" s="20"/>
      <c r="M2099" s="2"/>
      <c r="N2099" s="17"/>
      <c r="P2099" s="17"/>
      <c r="Q2099" s="17"/>
      <c r="R2099" s="17"/>
      <c r="S2099" s="17"/>
      <c r="U2099" s="24"/>
      <c r="V2099" s="24"/>
      <c r="W2099" s="24"/>
    </row>
    <row r="2100">
      <c r="A2100" s="11"/>
      <c r="B2100" s="23"/>
      <c r="C2100" s="23"/>
      <c r="D2100" s="23"/>
      <c r="E2100" s="23"/>
      <c r="F2100" s="1"/>
      <c r="G2100" s="23"/>
      <c r="H2100" s="23"/>
      <c r="I2100" s="23"/>
      <c r="J2100" s="2"/>
      <c r="K2100" s="18"/>
      <c r="L2100" s="20"/>
      <c r="M2100" s="2"/>
      <c r="N2100" s="17"/>
      <c r="P2100" s="17"/>
      <c r="Q2100" s="17"/>
      <c r="R2100" s="17"/>
      <c r="S2100" s="17"/>
      <c r="U2100" s="24"/>
      <c r="V2100" s="24"/>
      <c r="W2100" s="24"/>
    </row>
    <row r="2101">
      <c r="A2101" s="11"/>
      <c r="B2101" s="23"/>
      <c r="C2101" s="23"/>
      <c r="D2101" s="23"/>
      <c r="E2101" s="23"/>
      <c r="F2101" s="1"/>
      <c r="G2101" s="23"/>
      <c r="H2101" s="23"/>
      <c r="I2101" s="23"/>
      <c r="J2101" s="2"/>
      <c r="K2101" s="18"/>
      <c r="L2101" s="20"/>
      <c r="M2101" s="2"/>
      <c r="N2101" s="17"/>
      <c r="P2101" s="17"/>
      <c r="Q2101" s="17"/>
      <c r="R2101" s="17"/>
      <c r="S2101" s="17"/>
      <c r="U2101" s="24"/>
      <c r="V2101" s="24"/>
      <c r="W2101" s="24"/>
    </row>
    <row r="2102">
      <c r="A2102" s="11"/>
      <c r="B2102" s="23"/>
      <c r="C2102" s="23"/>
      <c r="D2102" s="23"/>
      <c r="E2102" s="23"/>
      <c r="F2102" s="1"/>
      <c r="G2102" s="23"/>
      <c r="H2102" s="23"/>
      <c r="I2102" s="23"/>
      <c r="J2102" s="2"/>
      <c r="K2102" s="18"/>
      <c r="L2102" s="20"/>
      <c r="M2102" s="2"/>
      <c r="N2102" s="17"/>
      <c r="P2102" s="17"/>
      <c r="Q2102" s="17"/>
      <c r="R2102" s="17"/>
      <c r="S2102" s="17"/>
      <c r="U2102" s="24"/>
      <c r="V2102" s="24"/>
      <c r="W2102" s="24"/>
    </row>
    <row r="2103">
      <c r="A2103" s="11"/>
      <c r="B2103" s="23"/>
      <c r="C2103" s="23"/>
      <c r="D2103" s="23"/>
      <c r="E2103" s="23"/>
      <c r="F2103" s="1"/>
      <c r="G2103" s="23"/>
      <c r="H2103" s="23"/>
      <c r="I2103" s="23"/>
      <c r="J2103" s="2"/>
      <c r="K2103" s="18"/>
      <c r="L2103" s="20"/>
      <c r="M2103" s="2"/>
      <c r="N2103" s="17"/>
      <c r="P2103" s="17"/>
      <c r="Q2103" s="17"/>
      <c r="R2103" s="17"/>
      <c r="S2103" s="17"/>
      <c r="U2103" s="24"/>
      <c r="V2103" s="24"/>
      <c r="W2103" s="24"/>
    </row>
    <row r="2104">
      <c r="A2104" s="11"/>
      <c r="B2104" s="23"/>
      <c r="C2104" s="23"/>
      <c r="D2104" s="23"/>
      <c r="E2104" s="23"/>
      <c r="F2104" s="1"/>
      <c r="G2104" s="23"/>
      <c r="H2104" s="23"/>
      <c r="I2104" s="23"/>
      <c r="J2104" s="2"/>
      <c r="K2104" s="18"/>
      <c r="L2104" s="20"/>
      <c r="M2104" s="2"/>
      <c r="N2104" s="17"/>
      <c r="P2104" s="17"/>
      <c r="Q2104" s="17"/>
      <c r="R2104" s="17"/>
      <c r="S2104" s="17"/>
      <c r="U2104" s="24"/>
      <c r="V2104" s="24"/>
      <c r="W2104" s="24"/>
    </row>
    <row r="2105">
      <c r="A2105" s="11"/>
      <c r="B2105" s="23"/>
      <c r="C2105" s="23"/>
      <c r="D2105" s="23"/>
      <c r="E2105" s="23"/>
      <c r="F2105" s="1"/>
      <c r="G2105" s="23"/>
      <c r="H2105" s="23"/>
      <c r="I2105" s="23"/>
      <c r="J2105" s="2"/>
      <c r="K2105" s="18"/>
      <c r="L2105" s="20"/>
      <c r="M2105" s="2"/>
      <c r="N2105" s="17"/>
      <c r="P2105" s="17"/>
      <c r="Q2105" s="17"/>
      <c r="R2105" s="17"/>
      <c r="S2105" s="17"/>
      <c r="U2105" s="24"/>
      <c r="V2105" s="24"/>
      <c r="W2105" s="24"/>
    </row>
    <row r="2106">
      <c r="A2106" s="11"/>
      <c r="B2106" s="23"/>
      <c r="C2106" s="23"/>
      <c r="D2106" s="23"/>
      <c r="E2106" s="23"/>
      <c r="F2106" s="1"/>
      <c r="G2106" s="23"/>
      <c r="H2106" s="23"/>
      <c r="I2106" s="23"/>
      <c r="J2106" s="2"/>
      <c r="K2106" s="18"/>
      <c r="L2106" s="20"/>
      <c r="M2106" s="2"/>
      <c r="N2106" s="17"/>
      <c r="P2106" s="17"/>
      <c r="Q2106" s="17"/>
      <c r="R2106" s="17"/>
      <c r="S2106" s="17"/>
      <c r="U2106" s="24"/>
      <c r="V2106" s="24"/>
      <c r="W2106" s="24"/>
    </row>
    <row r="2107">
      <c r="A2107" s="11"/>
      <c r="B2107" s="23"/>
      <c r="C2107" s="23"/>
      <c r="D2107" s="23"/>
      <c r="E2107" s="23"/>
      <c r="F2107" s="1"/>
      <c r="G2107" s="23"/>
      <c r="H2107" s="23"/>
      <c r="I2107" s="23"/>
      <c r="J2107" s="2"/>
      <c r="K2107" s="18"/>
      <c r="L2107" s="20"/>
      <c r="M2107" s="2"/>
      <c r="N2107" s="17"/>
      <c r="P2107" s="17"/>
      <c r="Q2107" s="17"/>
      <c r="R2107" s="17"/>
      <c r="S2107" s="17"/>
      <c r="U2107" s="24"/>
      <c r="V2107" s="24"/>
      <c r="W2107" s="24"/>
    </row>
    <row r="2108">
      <c r="A2108" s="11"/>
      <c r="B2108" s="23"/>
      <c r="C2108" s="23"/>
      <c r="D2108" s="23"/>
      <c r="E2108" s="23"/>
      <c r="F2108" s="1"/>
      <c r="G2108" s="23"/>
      <c r="H2108" s="23"/>
      <c r="I2108" s="23"/>
      <c r="J2108" s="2"/>
      <c r="K2108" s="18"/>
      <c r="L2108" s="20"/>
      <c r="M2108" s="2"/>
      <c r="N2108" s="17"/>
      <c r="P2108" s="17"/>
      <c r="Q2108" s="17"/>
      <c r="R2108" s="17"/>
      <c r="S2108" s="17"/>
      <c r="U2108" s="24"/>
      <c r="V2108" s="24"/>
      <c r="W2108" s="24"/>
    </row>
    <row r="2109">
      <c r="A2109" s="11"/>
      <c r="B2109" s="23"/>
      <c r="C2109" s="23"/>
      <c r="D2109" s="23"/>
      <c r="E2109" s="23"/>
      <c r="F2109" s="1"/>
      <c r="G2109" s="23"/>
      <c r="H2109" s="23"/>
      <c r="I2109" s="23"/>
      <c r="J2109" s="2"/>
      <c r="K2109" s="18"/>
      <c r="L2109" s="20"/>
      <c r="M2109" s="2"/>
      <c r="N2109" s="17"/>
      <c r="P2109" s="17"/>
      <c r="Q2109" s="17"/>
      <c r="R2109" s="17"/>
      <c r="S2109" s="17"/>
      <c r="U2109" s="24"/>
      <c r="V2109" s="24"/>
      <c r="W2109" s="24"/>
    </row>
    <row r="2110">
      <c r="A2110" s="11"/>
      <c r="B2110" s="23"/>
      <c r="C2110" s="23"/>
      <c r="D2110" s="23"/>
      <c r="E2110" s="23"/>
      <c r="F2110" s="1"/>
      <c r="G2110" s="23"/>
      <c r="H2110" s="23"/>
      <c r="I2110" s="23"/>
      <c r="J2110" s="2"/>
      <c r="K2110" s="18"/>
      <c r="L2110" s="20"/>
      <c r="M2110" s="2"/>
      <c r="N2110" s="17"/>
      <c r="P2110" s="17"/>
      <c r="Q2110" s="17"/>
      <c r="R2110" s="17"/>
      <c r="S2110" s="17"/>
      <c r="U2110" s="24"/>
      <c r="V2110" s="24"/>
      <c r="W2110" s="24"/>
    </row>
    <row r="2111">
      <c r="A2111" s="11"/>
      <c r="B2111" s="23"/>
      <c r="C2111" s="23"/>
      <c r="D2111" s="23"/>
      <c r="E2111" s="23"/>
      <c r="F2111" s="1"/>
      <c r="G2111" s="23"/>
      <c r="H2111" s="23"/>
      <c r="I2111" s="23"/>
      <c r="J2111" s="2"/>
      <c r="K2111" s="18"/>
      <c r="L2111" s="20"/>
      <c r="M2111" s="2"/>
      <c r="N2111" s="17"/>
      <c r="P2111" s="17"/>
      <c r="Q2111" s="17"/>
      <c r="R2111" s="17"/>
      <c r="S2111" s="17"/>
      <c r="U2111" s="24"/>
      <c r="V2111" s="24"/>
      <c r="W2111" s="24"/>
    </row>
    <row r="2112">
      <c r="A2112" s="11"/>
      <c r="B2112" s="23"/>
      <c r="C2112" s="23"/>
      <c r="D2112" s="23"/>
      <c r="E2112" s="23"/>
      <c r="F2112" s="1"/>
      <c r="G2112" s="23"/>
      <c r="H2112" s="23"/>
      <c r="I2112" s="23"/>
      <c r="J2112" s="2"/>
      <c r="K2112" s="18"/>
      <c r="L2112" s="20"/>
      <c r="M2112" s="2"/>
      <c r="N2112" s="17"/>
      <c r="P2112" s="17"/>
      <c r="Q2112" s="17"/>
      <c r="R2112" s="17"/>
      <c r="S2112" s="17"/>
      <c r="U2112" s="24"/>
      <c r="V2112" s="24"/>
      <c r="W2112" s="24"/>
    </row>
    <row r="2113">
      <c r="A2113" s="11"/>
      <c r="B2113" s="23"/>
      <c r="C2113" s="23"/>
      <c r="D2113" s="23"/>
      <c r="E2113" s="23"/>
      <c r="F2113" s="1"/>
      <c r="G2113" s="23"/>
      <c r="H2113" s="23"/>
      <c r="I2113" s="23"/>
      <c r="J2113" s="2"/>
      <c r="K2113" s="18"/>
      <c r="L2113" s="20"/>
      <c r="M2113" s="2"/>
      <c r="N2113" s="17"/>
      <c r="P2113" s="17"/>
      <c r="Q2113" s="17"/>
      <c r="R2113" s="17"/>
      <c r="S2113" s="17"/>
      <c r="U2113" s="24"/>
      <c r="V2113" s="24"/>
      <c r="W2113" s="24"/>
    </row>
    <row r="2114">
      <c r="A2114" s="11"/>
      <c r="B2114" s="23"/>
      <c r="C2114" s="23"/>
      <c r="D2114" s="23"/>
      <c r="E2114" s="23"/>
      <c r="F2114" s="1"/>
      <c r="G2114" s="23"/>
      <c r="H2114" s="23"/>
      <c r="I2114" s="23"/>
      <c r="J2114" s="2"/>
      <c r="K2114" s="18"/>
      <c r="L2114" s="20"/>
      <c r="M2114" s="2"/>
      <c r="N2114" s="17"/>
      <c r="P2114" s="17"/>
      <c r="Q2114" s="17"/>
      <c r="R2114" s="17"/>
      <c r="S2114" s="17"/>
      <c r="U2114" s="24"/>
      <c r="V2114" s="24"/>
      <c r="W2114" s="24"/>
    </row>
    <row r="2115">
      <c r="A2115" s="11"/>
      <c r="B2115" s="23"/>
      <c r="C2115" s="23"/>
      <c r="D2115" s="23"/>
      <c r="E2115" s="23"/>
      <c r="F2115" s="1"/>
      <c r="G2115" s="23"/>
      <c r="H2115" s="23"/>
      <c r="I2115" s="23"/>
      <c r="J2115" s="2"/>
      <c r="K2115" s="18"/>
      <c r="L2115" s="20"/>
      <c r="M2115" s="2"/>
      <c r="N2115" s="17"/>
      <c r="P2115" s="17"/>
      <c r="Q2115" s="17"/>
      <c r="R2115" s="17"/>
      <c r="S2115" s="17"/>
      <c r="U2115" s="24"/>
      <c r="V2115" s="24"/>
      <c r="W2115" s="24"/>
    </row>
    <row r="2116">
      <c r="A2116" s="11"/>
      <c r="B2116" s="23"/>
      <c r="C2116" s="23"/>
      <c r="D2116" s="23"/>
      <c r="E2116" s="23"/>
      <c r="F2116" s="1"/>
      <c r="G2116" s="23"/>
      <c r="H2116" s="23"/>
      <c r="I2116" s="23"/>
      <c r="J2116" s="2"/>
      <c r="K2116" s="18"/>
      <c r="L2116" s="20"/>
      <c r="M2116" s="2"/>
      <c r="N2116" s="17"/>
      <c r="P2116" s="17"/>
      <c r="Q2116" s="17"/>
      <c r="R2116" s="17"/>
      <c r="S2116" s="17"/>
      <c r="U2116" s="24"/>
      <c r="V2116" s="24"/>
      <c r="W2116" s="24"/>
    </row>
    <row r="2117">
      <c r="A2117" s="11"/>
      <c r="B2117" s="23"/>
      <c r="C2117" s="23"/>
      <c r="D2117" s="23"/>
      <c r="E2117" s="23"/>
      <c r="F2117" s="1"/>
      <c r="G2117" s="23"/>
      <c r="H2117" s="23"/>
      <c r="I2117" s="23"/>
      <c r="J2117" s="2"/>
      <c r="K2117" s="18"/>
      <c r="L2117" s="20"/>
      <c r="M2117" s="2"/>
      <c r="N2117" s="17"/>
      <c r="P2117" s="17"/>
      <c r="Q2117" s="17"/>
      <c r="R2117" s="17"/>
      <c r="S2117" s="17"/>
      <c r="U2117" s="24"/>
      <c r="V2117" s="24"/>
      <c r="W2117" s="24"/>
    </row>
    <row r="2118">
      <c r="A2118" s="11"/>
      <c r="B2118" s="23"/>
      <c r="C2118" s="23"/>
      <c r="D2118" s="23"/>
      <c r="E2118" s="23"/>
      <c r="F2118" s="1"/>
      <c r="G2118" s="23"/>
      <c r="H2118" s="23"/>
      <c r="I2118" s="23"/>
      <c r="J2118" s="2"/>
      <c r="K2118" s="18"/>
      <c r="L2118" s="20"/>
      <c r="M2118" s="2"/>
      <c r="N2118" s="17"/>
      <c r="P2118" s="17"/>
      <c r="Q2118" s="17"/>
      <c r="R2118" s="17"/>
      <c r="S2118" s="17"/>
      <c r="U2118" s="24"/>
      <c r="V2118" s="24"/>
      <c r="W2118" s="24"/>
    </row>
    <row r="2119">
      <c r="A2119" s="11"/>
      <c r="B2119" s="23"/>
      <c r="C2119" s="23"/>
      <c r="D2119" s="23"/>
      <c r="E2119" s="23"/>
      <c r="F2119" s="1"/>
      <c r="G2119" s="23"/>
      <c r="H2119" s="23"/>
      <c r="I2119" s="23"/>
      <c r="J2119" s="2"/>
      <c r="K2119" s="18"/>
      <c r="L2119" s="20"/>
      <c r="M2119" s="2"/>
      <c r="N2119" s="17"/>
      <c r="P2119" s="17"/>
      <c r="Q2119" s="17"/>
      <c r="R2119" s="17"/>
      <c r="S2119" s="17"/>
      <c r="U2119" s="24"/>
      <c r="V2119" s="24"/>
      <c r="W2119" s="24"/>
    </row>
    <row r="2120">
      <c r="A2120" s="11"/>
      <c r="B2120" s="23"/>
      <c r="C2120" s="23"/>
      <c r="D2120" s="23"/>
      <c r="E2120" s="23"/>
      <c r="F2120" s="1"/>
      <c r="G2120" s="23"/>
      <c r="H2120" s="23"/>
      <c r="I2120" s="23"/>
      <c r="J2120" s="2"/>
      <c r="K2120" s="18"/>
      <c r="L2120" s="20"/>
      <c r="M2120" s="2"/>
      <c r="N2120" s="17"/>
      <c r="P2120" s="17"/>
      <c r="Q2120" s="17"/>
      <c r="R2120" s="17"/>
      <c r="S2120" s="17"/>
      <c r="U2120" s="24"/>
      <c r="V2120" s="24"/>
      <c r="W2120" s="24"/>
    </row>
    <row r="2121">
      <c r="A2121" s="11"/>
      <c r="B2121" s="23"/>
      <c r="C2121" s="23"/>
      <c r="D2121" s="23"/>
      <c r="E2121" s="23"/>
      <c r="F2121" s="1"/>
      <c r="G2121" s="23"/>
      <c r="H2121" s="23"/>
      <c r="I2121" s="23"/>
      <c r="J2121" s="2"/>
      <c r="K2121" s="18"/>
      <c r="L2121" s="20"/>
      <c r="M2121" s="2"/>
      <c r="N2121" s="17"/>
      <c r="P2121" s="17"/>
      <c r="Q2121" s="17"/>
      <c r="R2121" s="17"/>
      <c r="S2121" s="17"/>
      <c r="U2121" s="24"/>
      <c r="V2121" s="24"/>
      <c r="W2121" s="24"/>
    </row>
    <row r="2122">
      <c r="A2122" s="11"/>
      <c r="B2122" s="23"/>
      <c r="C2122" s="23"/>
      <c r="D2122" s="23"/>
      <c r="E2122" s="23"/>
      <c r="F2122" s="1"/>
      <c r="G2122" s="23"/>
      <c r="H2122" s="23"/>
      <c r="I2122" s="23"/>
      <c r="J2122" s="2"/>
      <c r="K2122" s="18"/>
      <c r="L2122" s="20"/>
      <c r="M2122" s="2"/>
      <c r="N2122" s="17"/>
      <c r="P2122" s="17"/>
      <c r="Q2122" s="17"/>
      <c r="R2122" s="17"/>
      <c r="S2122" s="17"/>
      <c r="U2122" s="24"/>
      <c r="V2122" s="24"/>
      <c r="W2122" s="24"/>
    </row>
    <row r="2123">
      <c r="A2123" s="11"/>
      <c r="B2123" s="23"/>
      <c r="C2123" s="23"/>
      <c r="D2123" s="23"/>
      <c r="E2123" s="23"/>
      <c r="F2123" s="1"/>
      <c r="G2123" s="23"/>
      <c r="H2123" s="23"/>
      <c r="I2123" s="23"/>
      <c r="J2123" s="2"/>
      <c r="K2123" s="18"/>
      <c r="L2123" s="20"/>
      <c r="M2123" s="2"/>
      <c r="N2123" s="17"/>
      <c r="P2123" s="17"/>
      <c r="Q2123" s="17"/>
      <c r="R2123" s="17"/>
      <c r="S2123" s="17"/>
      <c r="U2123" s="24"/>
      <c r="V2123" s="24"/>
      <c r="W2123" s="24"/>
    </row>
    <row r="2124">
      <c r="A2124" s="11"/>
      <c r="B2124" s="23"/>
      <c r="C2124" s="23"/>
      <c r="D2124" s="23"/>
      <c r="E2124" s="23"/>
      <c r="F2124" s="1"/>
      <c r="G2124" s="23"/>
      <c r="H2124" s="23"/>
      <c r="I2124" s="23"/>
      <c r="J2124" s="2"/>
      <c r="K2124" s="18"/>
      <c r="L2124" s="20"/>
      <c r="M2124" s="2"/>
      <c r="N2124" s="17"/>
      <c r="P2124" s="17"/>
      <c r="Q2124" s="17"/>
      <c r="R2124" s="17"/>
      <c r="S2124" s="17"/>
      <c r="U2124" s="24"/>
      <c r="V2124" s="24"/>
      <c r="W2124" s="24"/>
    </row>
    <row r="2125">
      <c r="A2125" s="11"/>
      <c r="B2125" s="23"/>
      <c r="C2125" s="23"/>
      <c r="D2125" s="23"/>
      <c r="E2125" s="23"/>
      <c r="F2125" s="1"/>
      <c r="G2125" s="23"/>
      <c r="H2125" s="23"/>
      <c r="I2125" s="23"/>
      <c r="J2125" s="2"/>
      <c r="K2125" s="18"/>
      <c r="L2125" s="20"/>
      <c r="M2125" s="2"/>
      <c r="N2125" s="17"/>
      <c r="P2125" s="17"/>
      <c r="Q2125" s="17"/>
      <c r="R2125" s="17"/>
      <c r="S2125" s="17"/>
      <c r="U2125" s="24"/>
      <c r="V2125" s="24"/>
      <c r="W2125" s="24"/>
    </row>
    <row r="2126">
      <c r="A2126" s="11"/>
      <c r="B2126" s="23"/>
      <c r="C2126" s="23"/>
      <c r="D2126" s="23"/>
      <c r="E2126" s="23"/>
      <c r="F2126" s="1"/>
      <c r="G2126" s="23"/>
      <c r="H2126" s="23"/>
      <c r="I2126" s="23"/>
      <c r="J2126" s="2"/>
      <c r="K2126" s="18"/>
      <c r="L2126" s="20"/>
      <c r="M2126" s="2"/>
      <c r="N2126" s="17"/>
      <c r="P2126" s="17"/>
      <c r="Q2126" s="17"/>
      <c r="R2126" s="17"/>
      <c r="S2126" s="17"/>
      <c r="U2126" s="24"/>
      <c r="V2126" s="24"/>
      <c r="W2126" s="24"/>
    </row>
    <row r="2127">
      <c r="A2127" s="11"/>
      <c r="B2127" s="23"/>
      <c r="C2127" s="23"/>
      <c r="D2127" s="23"/>
      <c r="E2127" s="23"/>
      <c r="F2127" s="1"/>
      <c r="G2127" s="23"/>
      <c r="H2127" s="23"/>
      <c r="I2127" s="23"/>
      <c r="J2127" s="2"/>
      <c r="K2127" s="18"/>
      <c r="L2127" s="20"/>
      <c r="M2127" s="2"/>
      <c r="N2127" s="17"/>
      <c r="P2127" s="17"/>
      <c r="Q2127" s="17"/>
      <c r="R2127" s="17"/>
      <c r="S2127" s="17"/>
      <c r="U2127" s="24"/>
      <c r="V2127" s="24"/>
      <c r="W2127" s="24"/>
    </row>
    <row r="2128">
      <c r="A2128" s="11"/>
      <c r="B2128" s="23"/>
      <c r="C2128" s="23"/>
      <c r="D2128" s="23"/>
      <c r="E2128" s="23"/>
      <c r="F2128" s="1"/>
      <c r="G2128" s="23"/>
      <c r="H2128" s="23"/>
      <c r="I2128" s="23"/>
      <c r="J2128" s="2"/>
      <c r="K2128" s="18"/>
      <c r="L2128" s="20"/>
      <c r="M2128" s="2"/>
      <c r="N2128" s="17"/>
      <c r="P2128" s="17"/>
      <c r="Q2128" s="17"/>
      <c r="R2128" s="17"/>
      <c r="S2128" s="17"/>
      <c r="U2128" s="24"/>
      <c r="V2128" s="24"/>
      <c r="W2128" s="24"/>
    </row>
    <row r="2129">
      <c r="A2129" s="11"/>
      <c r="B2129" s="23"/>
      <c r="C2129" s="23"/>
      <c r="D2129" s="23"/>
      <c r="E2129" s="23"/>
      <c r="F2129" s="1"/>
      <c r="G2129" s="23"/>
      <c r="H2129" s="23"/>
      <c r="I2129" s="23"/>
      <c r="J2129" s="2"/>
      <c r="K2129" s="18"/>
      <c r="L2129" s="20"/>
      <c r="M2129" s="2"/>
      <c r="N2129" s="17"/>
      <c r="P2129" s="17"/>
      <c r="Q2129" s="17"/>
      <c r="R2129" s="17"/>
      <c r="S2129" s="17"/>
      <c r="U2129" s="24"/>
      <c r="V2129" s="24"/>
      <c r="W2129" s="24"/>
    </row>
    <row r="2130">
      <c r="A2130" s="11"/>
      <c r="B2130" s="23"/>
      <c r="C2130" s="23"/>
      <c r="D2130" s="23"/>
      <c r="E2130" s="23"/>
      <c r="F2130" s="1"/>
      <c r="G2130" s="23"/>
      <c r="H2130" s="23"/>
      <c r="I2130" s="23"/>
      <c r="J2130" s="2"/>
      <c r="K2130" s="18"/>
      <c r="L2130" s="20"/>
      <c r="M2130" s="2"/>
      <c r="N2130" s="17"/>
      <c r="P2130" s="17"/>
      <c r="Q2130" s="17"/>
      <c r="R2130" s="17"/>
      <c r="S2130" s="17"/>
      <c r="U2130" s="24"/>
      <c r="V2130" s="24"/>
      <c r="W2130" s="24"/>
    </row>
    <row r="2131">
      <c r="A2131" s="11"/>
      <c r="B2131" s="23"/>
      <c r="C2131" s="23"/>
      <c r="D2131" s="23"/>
      <c r="E2131" s="23"/>
      <c r="F2131" s="1"/>
      <c r="G2131" s="23"/>
      <c r="H2131" s="23"/>
      <c r="I2131" s="23"/>
      <c r="J2131" s="2"/>
      <c r="K2131" s="18"/>
      <c r="L2131" s="20"/>
      <c r="M2131" s="2"/>
      <c r="N2131" s="17"/>
      <c r="P2131" s="17"/>
      <c r="Q2131" s="17"/>
      <c r="R2131" s="17"/>
      <c r="S2131" s="17"/>
      <c r="U2131" s="24"/>
      <c r="V2131" s="24"/>
      <c r="W2131" s="24"/>
    </row>
    <row r="2132">
      <c r="A2132" s="11"/>
      <c r="B2132" s="23"/>
      <c r="C2132" s="23"/>
      <c r="D2132" s="23"/>
      <c r="E2132" s="23"/>
      <c r="F2132" s="1"/>
      <c r="G2132" s="23"/>
      <c r="H2132" s="23"/>
      <c r="I2132" s="23"/>
      <c r="J2132" s="2"/>
      <c r="K2132" s="18"/>
      <c r="L2132" s="20"/>
      <c r="M2132" s="2"/>
      <c r="N2132" s="17"/>
      <c r="P2132" s="17"/>
      <c r="Q2132" s="17"/>
      <c r="R2132" s="17"/>
      <c r="S2132" s="17"/>
      <c r="U2132" s="24"/>
      <c r="V2132" s="24"/>
      <c r="W2132" s="24"/>
    </row>
    <row r="2133">
      <c r="A2133" s="11"/>
      <c r="B2133" s="23"/>
      <c r="C2133" s="23"/>
      <c r="D2133" s="23"/>
      <c r="E2133" s="23"/>
      <c r="F2133" s="1"/>
      <c r="G2133" s="23"/>
      <c r="H2133" s="23"/>
      <c r="I2133" s="23"/>
      <c r="J2133" s="2"/>
      <c r="K2133" s="18"/>
      <c r="L2133" s="20"/>
      <c r="M2133" s="2"/>
      <c r="N2133" s="17"/>
      <c r="P2133" s="17"/>
      <c r="Q2133" s="17"/>
      <c r="R2133" s="17"/>
      <c r="S2133" s="17"/>
      <c r="U2133" s="24"/>
      <c r="V2133" s="24"/>
      <c r="W2133" s="24"/>
    </row>
    <row r="2134">
      <c r="A2134" s="11"/>
      <c r="B2134" s="23"/>
      <c r="C2134" s="23"/>
      <c r="D2134" s="23"/>
      <c r="E2134" s="23"/>
      <c r="F2134" s="1"/>
      <c r="G2134" s="23"/>
      <c r="H2134" s="23"/>
      <c r="I2134" s="23"/>
      <c r="J2134" s="2"/>
      <c r="K2134" s="18"/>
      <c r="L2134" s="20"/>
      <c r="M2134" s="2"/>
      <c r="N2134" s="17"/>
      <c r="P2134" s="17"/>
      <c r="Q2134" s="17"/>
      <c r="R2134" s="17"/>
      <c r="S2134" s="17"/>
      <c r="U2134" s="24"/>
      <c r="V2134" s="24"/>
      <c r="W2134" s="24"/>
    </row>
    <row r="2135">
      <c r="A2135" s="11"/>
      <c r="B2135" s="23"/>
      <c r="C2135" s="23"/>
      <c r="D2135" s="23"/>
      <c r="E2135" s="23"/>
      <c r="F2135" s="1"/>
      <c r="G2135" s="23"/>
      <c r="H2135" s="23"/>
      <c r="I2135" s="23"/>
      <c r="J2135" s="2"/>
      <c r="K2135" s="18"/>
      <c r="L2135" s="20"/>
      <c r="M2135" s="2"/>
      <c r="N2135" s="17"/>
      <c r="P2135" s="17"/>
      <c r="Q2135" s="17"/>
      <c r="R2135" s="17"/>
      <c r="S2135" s="17"/>
      <c r="U2135" s="24"/>
      <c r="V2135" s="24"/>
      <c r="W2135" s="24"/>
    </row>
    <row r="2136">
      <c r="A2136" s="11"/>
      <c r="B2136" s="23"/>
      <c r="C2136" s="23"/>
      <c r="D2136" s="23"/>
      <c r="E2136" s="23"/>
      <c r="F2136" s="1"/>
      <c r="G2136" s="23"/>
      <c r="H2136" s="23"/>
      <c r="I2136" s="23"/>
      <c r="J2136" s="2"/>
      <c r="K2136" s="18"/>
      <c r="L2136" s="20"/>
      <c r="M2136" s="2"/>
      <c r="N2136" s="17"/>
      <c r="P2136" s="17"/>
      <c r="Q2136" s="17"/>
      <c r="R2136" s="17"/>
      <c r="S2136" s="17"/>
      <c r="U2136" s="24"/>
      <c r="V2136" s="24"/>
      <c r="W2136" s="24"/>
    </row>
    <row r="2137">
      <c r="A2137" s="11"/>
      <c r="B2137" s="23"/>
      <c r="C2137" s="23"/>
      <c r="D2137" s="23"/>
      <c r="E2137" s="23"/>
      <c r="F2137" s="1"/>
      <c r="G2137" s="23"/>
      <c r="H2137" s="23"/>
      <c r="I2137" s="23"/>
      <c r="J2137" s="2"/>
      <c r="K2137" s="18"/>
      <c r="L2137" s="20"/>
      <c r="M2137" s="2"/>
      <c r="N2137" s="17"/>
      <c r="P2137" s="17"/>
      <c r="Q2137" s="17"/>
      <c r="R2137" s="17"/>
      <c r="S2137" s="17"/>
      <c r="U2137" s="24"/>
      <c r="V2137" s="24"/>
      <c r="W2137" s="24"/>
    </row>
    <row r="2138">
      <c r="A2138" s="11"/>
      <c r="B2138" s="23"/>
      <c r="C2138" s="23"/>
      <c r="D2138" s="23"/>
      <c r="E2138" s="23"/>
      <c r="F2138" s="1"/>
      <c r="G2138" s="23"/>
      <c r="H2138" s="23"/>
      <c r="I2138" s="23"/>
      <c r="J2138" s="2"/>
      <c r="K2138" s="18"/>
      <c r="L2138" s="20"/>
      <c r="M2138" s="2"/>
      <c r="N2138" s="17"/>
      <c r="P2138" s="17"/>
      <c r="Q2138" s="17"/>
      <c r="R2138" s="17"/>
      <c r="S2138" s="17"/>
      <c r="U2138" s="24"/>
      <c r="V2138" s="24"/>
      <c r="W2138" s="24"/>
    </row>
    <row r="2139">
      <c r="A2139" s="11"/>
      <c r="B2139" s="23"/>
      <c r="C2139" s="23"/>
      <c r="D2139" s="23"/>
      <c r="E2139" s="23"/>
      <c r="F2139" s="1"/>
      <c r="G2139" s="23"/>
      <c r="H2139" s="23"/>
      <c r="I2139" s="23"/>
      <c r="J2139" s="2"/>
      <c r="K2139" s="18"/>
      <c r="L2139" s="20"/>
      <c r="M2139" s="2"/>
      <c r="N2139" s="17"/>
      <c r="P2139" s="17"/>
      <c r="Q2139" s="17"/>
      <c r="R2139" s="17"/>
      <c r="S2139" s="17"/>
      <c r="U2139" s="24"/>
      <c r="V2139" s="24"/>
      <c r="W2139" s="24"/>
    </row>
    <row r="2140">
      <c r="A2140" s="11"/>
      <c r="B2140" s="23"/>
      <c r="C2140" s="23"/>
      <c r="D2140" s="23"/>
      <c r="E2140" s="23"/>
      <c r="F2140" s="1"/>
      <c r="G2140" s="23"/>
      <c r="H2140" s="23"/>
      <c r="I2140" s="23"/>
      <c r="J2140" s="2"/>
      <c r="K2140" s="18"/>
      <c r="L2140" s="20"/>
      <c r="M2140" s="2"/>
      <c r="N2140" s="17"/>
      <c r="P2140" s="17"/>
      <c r="Q2140" s="17"/>
      <c r="R2140" s="17"/>
      <c r="S2140" s="17"/>
      <c r="U2140" s="24"/>
      <c r="V2140" s="24"/>
      <c r="W2140" s="24"/>
    </row>
    <row r="2141">
      <c r="A2141" s="11"/>
      <c r="B2141" s="23"/>
      <c r="C2141" s="23"/>
      <c r="D2141" s="23"/>
      <c r="E2141" s="23"/>
      <c r="F2141" s="1"/>
      <c r="G2141" s="23"/>
      <c r="H2141" s="23"/>
      <c r="I2141" s="23"/>
      <c r="J2141" s="2"/>
      <c r="K2141" s="18"/>
      <c r="L2141" s="20"/>
      <c r="M2141" s="2"/>
      <c r="N2141" s="17"/>
      <c r="P2141" s="17"/>
      <c r="Q2141" s="17"/>
      <c r="R2141" s="17"/>
      <c r="S2141" s="17"/>
      <c r="U2141" s="24"/>
      <c r="V2141" s="24"/>
      <c r="W2141" s="24"/>
    </row>
    <row r="2142">
      <c r="A2142" s="11"/>
      <c r="B2142" s="23"/>
      <c r="C2142" s="23"/>
      <c r="D2142" s="23"/>
      <c r="E2142" s="23"/>
      <c r="F2142" s="1"/>
      <c r="G2142" s="23"/>
      <c r="H2142" s="23"/>
      <c r="I2142" s="23"/>
      <c r="J2142" s="2"/>
      <c r="K2142" s="18"/>
      <c r="L2142" s="20"/>
      <c r="M2142" s="2"/>
      <c r="N2142" s="17"/>
      <c r="P2142" s="17"/>
      <c r="Q2142" s="17"/>
      <c r="R2142" s="17"/>
      <c r="S2142" s="17"/>
      <c r="U2142" s="24"/>
      <c r="V2142" s="24"/>
      <c r="W2142" s="24"/>
    </row>
    <row r="2143">
      <c r="A2143" s="11"/>
      <c r="B2143" s="23"/>
      <c r="C2143" s="23"/>
      <c r="D2143" s="23"/>
      <c r="E2143" s="23"/>
      <c r="F2143" s="1"/>
      <c r="G2143" s="23"/>
      <c r="H2143" s="23"/>
      <c r="I2143" s="23"/>
      <c r="J2143" s="2"/>
      <c r="K2143" s="18"/>
      <c r="L2143" s="20"/>
      <c r="M2143" s="2"/>
      <c r="N2143" s="17"/>
      <c r="P2143" s="17"/>
      <c r="Q2143" s="17"/>
      <c r="R2143" s="17"/>
      <c r="S2143" s="17"/>
      <c r="U2143" s="24"/>
      <c r="V2143" s="24"/>
      <c r="W2143" s="24"/>
    </row>
    <row r="2144">
      <c r="A2144" s="11"/>
      <c r="B2144" s="23"/>
      <c r="C2144" s="23"/>
      <c r="D2144" s="23"/>
      <c r="E2144" s="23"/>
      <c r="F2144" s="1"/>
      <c r="G2144" s="23"/>
      <c r="H2144" s="23"/>
      <c r="I2144" s="23"/>
      <c r="J2144" s="2"/>
      <c r="K2144" s="18"/>
      <c r="L2144" s="20"/>
      <c r="M2144" s="2"/>
      <c r="N2144" s="17"/>
      <c r="P2144" s="17"/>
      <c r="Q2144" s="17"/>
      <c r="R2144" s="17"/>
      <c r="S2144" s="17"/>
      <c r="U2144" s="24"/>
      <c r="V2144" s="24"/>
      <c r="W2144" s="24"/>
    </row>
    <row r="2145">
      <c r="A2145" s="11"/>
      <c r="B2145" s="23"/>
      <c r="C2145" s="23"/>
      <c r="D2145" s="23"/>
      <c r="E2145" s="23"/>
      <c r="F2145" s="1"/>
      <c r="G2145" s="23"/>
      <c r="H2145" s="23"/>
      <c r="I2145" s="23"/>
      <c r="J2145" s="2"/>
      <c r="K2145" s="18"/>
      <c r="L2145" s="20"/>
      <c r="M2145" s="2"/>
      <c r="N2145" s="17"/>
      <c r="P2145" s="17"/>
      <c r="Q2145" s="17"/>
      <c r="R2145" s="17"/>
      <c r="S2145" s="17"/>
      <c r="U2145" s="24"/>
      <c r="V2145" s="24"/>
      <c r="W2145" s="24"/>
    </row>
    <row r="2146">
      <c r="A2146" s="11"/>
      <c r="B2146" s="23"/>
      <c r="C2146" s="23"/>
      <c r="D2146" s="23"/>
      <c r="E2146" s="23"/>
      <c r="F2146" s="1"/>
      <c r="G2146" s="23"/>
      <c r="H2146" s="23"/>
      <c r="I2146" s="23"/>
      <c r="J2146" s="2"/>
      <c r="K2146" s="18"/>
      <c r="L2146" s="20"/>
      <c r="M2146" s="2"/>
      <c r="N2146" s="17"/>
      <c r="P2146" s="17"/>
      <c r="Q2146" s="17"/>
      <c r="R2146" s="17"/>
      <c r="S2146" s="17"/>
      <c r="U2146" s="24"/>
      <c r="V2146" s="24"/>
      <c r="W2146" s="24"/>
    </row>
    <row r="2147">
      <c r="A2147" s="11"/>
      <c r="B2147" s="23"/>
      <c r="C2147" s="23"/>
      <c r="D2147" s="23"/>
      <c r="E2147" s="23"/>
      <c r="F2147" s="1"/>
      <c r="G2147" s="23"/>
      <c r="H2147" s="23"/>
      <c r="I2147" s="23"/>
      <c r="J2147" s="2"/>
      <c r="K2147" s="18"/>
      <c r="L2147" s="20"/>
      <c r="M2147" s="2"/>
      <c r="N2147" s="17"/>
      <c r="P2147" s="17"/>
      <c r="Q2147" s="17"/>
      <c r="R2147" s="17"/>
      <c r="S2147" s="17"/>
      <c r="U2147" s="24"/>
      <c r="V2147" s="24"/>
      <c r="W2147" s="24"/>
    </row>
    <row r="2148">
      <c r="A2148" s="11"/>
      <c r="B2148" s="23"/>
      <c r="C2148" s="23"/>
      <c r="D2148" s="23"/>
      <c r="E2148" s="23"/>
      <c r="F2148" s="1"/>
      <c r="G2148" s="23"/>
      <c r="H2148" s="23"/>
      <c r="I2148" s="23"/>
      <c r="J2148" s="2"/>
      <c r="K2148" s="18"/>
      <c r="L2148" s="20"/>
      <c r="M2148" s="2"/>
      <c r="N2148" s="17"/>
      <c r="P2148" s="17"/>
      <c r="Q2148" s="17"/>
      <c r="R2148" s="17"/>
      <c r="S2148" s="17"/>
      <c r="U2148" s="24"/>
      <c r="V2148" s="24"/>
      <c r="W2148" s="24"/>
    </row>
    <row r="2149">
      <c r="A2149" s="11"/>
      <c r="B2149" s="23"/>
      <c r="C2149" s="23"/>
      <c r="D2149" s="23"/>
      <c r="E2149" s="23"/>
      <c r="F2149" s="1"/>
      <c r="G2149" s="23"/>
      <c r="H2149" s="23"/>
      <c r="I2149" s="23"/>
      <c r="J2149" s="2"/>
      <c r="K2149" s="18"/>
      <c r="L2149" s="20"/>
      <c r="M2149" s="2"/>
      <c r="N2149" s="17"/>
      <c r="P2149" s="17"/>
      <c r="Q2149" s="17"/>
      <c r="R2149" s="17"/>
      <c r="S2149" s="17"/>
      <c r="U2149" s="24"/>
      <c r="V2149" s="24"/>
      <c r="W2149" s="24"/>
    </row>
    <row r="2150">
      <c r="A2150" s="11"/>
      <c r="B2150" s="23"/>
      <c r="C2150" s="23"/>
      <c r="D2150" s="23"/>
      <c r="E2150" s="23"/>
      <c r="F2150" s="1"/>
      <c r="G2150" s="23"/>
      <c r="H2150" s="23"/>
      <c r="I2150" s="23"/>
      <c r="J2150" s="2"/>
      <c r="K2150" s="18"/>
      <c r="L2150" s="20"/>
      <c r="M2150" s="2"/>
      <c r="N2150" s="17"/>
      <c r="P2150" s="17"/>
      <c r="Q2150" s="17"/>
      <c r="R2150" s="17"/>
      <c r="S2150" s="17"/>
      <c r="U2150" s="24"/>
      <c r="V2150" s="24"/>
      <c r="W2150" s="24"/>
    </row>
    <row r="2151">
      <c r="A2151" s="11"/>
      <c r="B2151" s="23"/>
      <c r="C2151" s="23"/>
      <c r="D2151" s="23"/>
      <c r="E2151" s="23"/>
      <c r="F2151" s="1"/>
      <c r="G2151" s="23"/>
      <c r="H2151" s="23"/>
      <c r="I2151" s="23"/>
      <c r="J2151" s="2"/>
      <c r="K2151" s="18"/>
      <c r="L2151" s="20"/>
      <c r="M2151" s="2"/>
      <c r="N2151" s="17"/>
      <c r="P2151" s="17"/>
      <c r="Q2151" s="17"/>
      <c r="R2151" s="17"/>
      <c r="S2151" s="17"/>
      <c r="U2151" s="24"/>
      <c r="V2151" s="24"/>
      <c r="W2151" s="24"/>
    </row>
    <row r="2152">
      <c r="A2152" s="11"/>
      <c r="B2152" s="23"/>
      <c r="C2152" s="23"/>
      <c r="D2152" s="23"/>
      <c r="E2152" s="23"/>
      <c r="F2152" s="1"/>
      <c r="G2152" s="23"/>
      <c r="H2152" s="23"/>
      <c r="I2152" s="23"/>
      <c r="J2152" s="2"/>
      <c r="K2152" s="18"/>
      <c r="L2152" s="20"/>
      <c r="M2152" s="2"/>
      <c r="N2152" s="17"/>
      <c r="P2152" s="17"/>
      <c r="Q2152" s="17"/>
      <c r="R2152" s="17"/>
      <c r="S2152" s="17"/>
      <c r="U2152" s="24"/>
      <c r="V2152" s="24"/>
      <c r="W2152" s="24"/>
    </row>
    <row r="2153">
      <c r="A2153" s="11"/>
      <c r="B2153" s="23"/>
      <c r="C2153" s="23"/>
      <c r="D2153" s="23"/>
      <c r="E2153" s="23"/>
      <c r="F2153" s="1"/>
      <c r="G2153" s="23"/>
      <c r="H2153" s="23"/>
      <c r="I2153" s="23"/>
      <c r="J2153" s="2"/>
      <c r="K2153" s="18"/>
      <c r="L2153" s="20"/>
      <c r="M2153" s="2"/>
      <c r="N2153" s="17"/>
      <c r="P2153" s="17"/>
      <c r="Q2153" s="17"/>
      <c r="R2153" s="17"/>
      <c r="S2153" s="17"/>
      <c r="U2153" s="24"/>
      <c r="V2153" s="24"/>
      <c r="W2153" s="24"/>
    </row>
    <row r="2154">
      <c r="A2154" s="11"/>
      <c r="B2154" s="23"/>
      <c r="C2154" s="23"/>
      <c r="D2154" s="23"/>
      <c r="E2154" s="23"/>
      <c r="F2154" s="1"/>
      <c r="G2154" s="23"/>
      <c r="H2154" s="23"/>
      <c r="I2154" s="23"/>
      <c r="J2154" s="2"/>
      <c r="K2154" s="18"/>
      <c r="L2154" s="20"/>
      <c r="M2154" s="2"/>
      <c r="N2154" s="17"/>
      <c r="P2154" s="17"/>
      <c r="Q2154" s="17"/>
      <c r="R2154" s="17"/>
      <c r="S2154" s="17"/>
      <c r="U2154" s="24"/>
      <c r="V2154" s="24"/>
      <c r="W2154" s="24"/>
    </row>
    <row r="2155">
      <c r="A2155" s="11"/>
      <c r="B2155" s="23"/>
      <c r="C2155" s="23"/>
      <c r="D2155" s="23"/>
      <c r="E2155" s="23"/>
      <c r="F2155" s="1"/>
      <c r="G2155" s="23"/>
      <c r="H2155" s="23"/>
      <c r="I2155" s="23"/>
      <c r="J2155" s="2"/>
      <c r="K2155" s="18"/>
      <c r="L2155" s="20"/>
      <c r="M2155" s="2"/>
      <c r="N2155" s="17"/>
      <c r="P2155" s="17"/>
      <c r="Q2155" s="17"/>
      <c r="R2155" s="17"/>
      <c r="S2155" s="17"/>
      <c r="U2155" s="24"/>
      <c r="V2155" s="24"/>
      <c r="W2155" s="24"/>
    </row>
    <row r="2156">
      <c r="A2156" s="11"/>
      <c r="B2156" s="23"/>
      <c r="C2156" s="23"/>
      <c r="D2156" s="23"/>
      <c r="E2156" s="23"/>
      <c r="F2156" s="1"/>
      <c r="G2156" s="23"/>
      <c r="H2156" s="23"/>
      <c r="I2156" s="23"/>
      <c r="J2156" s="2"/>
      <c r="K2156" s="18"/>
      <c r="L2156" s="20"/>
      <c r="M2156" s="2"/>
      <c r="N2156" s="17"/>
      <c r="P2156" s="17"/>
      <c r="Q2156" s="17"/>
      <c r="R2156" s="17"/>
      <c r="S2156" s="17"/>
      <c r="U2156" s="24"/>
      <c r="V2156" s="24"/>
      <c r="W2156" s="24"/>
    </row>
    <row r="2157">
      <c r="A2157" s="11"/>
      <c r="B2157" s="23"/>
      <c r="C2157" s="23"/>
      <c r="D2157" s="23"/>
      <c r="E2157" s="23"/>
      <c r="F2157" s="1"/>
      <c r="G2157" s="23"/>
      <c r="H2157" s="23"/>
      <c r="I2157" s="23"/>
      <c r="J2157" s="2"/>
      <c r="K2157" s="18"/>
      <c r="L2157" s="20"/>
      <c r="M2157" s="2"/>
      <c r="N2157" s="17"/>
      <c r="P2157" s="17"/>
      <c r="Q2157" s="17"/>
      <c r="R2157" s="17"/>
      <c r="S2157" s="17"/>
      <c r="U2157" s="24"/>
      <c r="V2157" s="24"/>
      <c r="W2157" s="24"/>
    </row>
    <row r="2158">
      <c r="A2158" s="11"/>
      <c r="B2158" s="23"/>
      <c r="C2158" s="23"/>
      <c r="D2158" s="23"/>
      <c r="E2158" s="23"/>
      <c r="F2158" s="1"/>
      <c r="G2158" s="23"/>
      <c r="H2158" s="23"/>
      <c r="I2158" s="23"/>
      <c r="J2158" s="2"/>
      <c r="K2158" s="18"/>
      <c r="L2158" s="20"/>
      <c r="M2158" s="2"/>
      <c r="N2158" s="17"/>
      <c r="P2158" s="17"/>
      <c r="Q2158" s="17"/>
      <c r="R2158" s="17"/>
      <c r="S2158" s="17"/>
      <c r="U2158" s="24"/>
      <c r="V2158" s="24"/>
      <c r="W2158" s="24"/>
    </row>
    <row r="2159">
      <c r="A2159" s="11"/>
      <c r="B2159" s="23"/>
      <c r="C2159" s="23"/>
      <c r="D2159" s="23"/>
      <c r="E2159" s="23"/>
      <c r="F2159" s="1"/>
      <c r="G2159" s="23"/>
      <c r="H2159" s="23"/>
      <c r="I2159" s="23"/>
      <c r="J2159" s="2"/>
      <c r="K2159" s="18"/>
      <c r="L2159" s="20"/>
      <c r="M2159" s="2"/>
      <c r="N2159" s="17"/>
      <c r="P2159" s="17"/>
      <c r="Q2159" s="17"/>
      <c r="R2159" s="17"/>
      <c r="S2159" s="17"/>
      <c r="U2159" s="24"/>
      <c r="V2159" s="24"/>
      <c r="W2159" s="24"/>
    </row>
    <row r="2160">
      <c r="A2160" s="11"/>
      <c r="B2160" s="23"/>
      <c r="C2160" s="23"/>
      <c r="D2160" s="23"/>
      <c r="E2160" s="23"/>
      <c r="F2160" s="1"/>
      <c r="G2160" s="23"/>
      <c r="H2160" s="23"/>
      <c r="I2160" s="23"/>
      <c r="J2160" s="2"/>
      <c r="K2160" s="18"/>
      <c r="L2160" s="20"/>
      <c r="M2160" s="2"/>
      <c r="N2160" s="17"/>
      <c r="P2160" s="17"/>
      <c r="Q2160" s="17"/>
      <c r="R2160" s="17"/>
      <c r="S2160" s="17"/>
      <c r="U2160" s="24"/>
      <c r="V2160" s="24"/>
      <c r="W2160" s="24"/>
    </row>
    <row r="2161">
      <c r="A2161" s="11"/>
      <c r="B2161" s="23"/>
      <c r="C2161" s="23"/>
      <c r="D2161" s="23"/>
      <c r="E2161" s="23"/>
      <c r="F2161" s="1"/>
      <c r="G2161" s="23"/>
      <c r="H2161" s="23"/>
      <c r="I2161" s="23"/>
      <c r="J2161" s="2"/>
      <c r="K2161" s="18"/>
      <c r="L2161" s="20"/>
      <c r="M2161" s="2"/>
      <c r="N2161" s="17"/>
      <c r="P2161" s="17"/>
      <c r="Q2161" s="17"/>
      <c r="R2161" s="17"/>
      <c r="S2161" s="17"/>
      <c r="U2161" s="24"/>
      <c r="V2161" s="24"/>
      <c r="W2161" s="24"/>
    </row>
    <row r="2162">
      <c r="A2162" s="11"/>
      <c r="B2162" s="23"/>
      <c r="C2162" s="23"/>
      <c r="D2162" s="23"/>
      <c r="E2162" s="23"/>
      <c r="F2162" s="1"/>
      <c r="G2162" s="23"/>
      <c r="H2162" s="23"/>
      <c r="I2162" s="23"/>
      <c r="J2162" s="2"/>
      <c r="K2162" s="18"/>
      <c r="L2162" s="20"/>
      <c r="M2162" s="2"/>
      <c r="N2162" s="17"/>
      <c r="P2162" s="17"/>
      <c r="Q2162" s="17"/>
      <c r="R2162" s="17"/>
      <c r="S2162" s="17"/>
      <c r="U2162" s="24"/>
      <c r="V2162" s="24"/>
      <c r="W2162" s="24"/>
    </row>
    <row r="2163">
      <c r="A2163" s="11"/>
      <c r="B2163" s="23"/>
      <c r="C2163" s="23"/>
      <c r="D2163" s="23"/>
      <c r="E2163" s="23"/>
      <c r="F2163" s="1"/>
      <c r="G2163" s="23"/>
      <c r="H2163" s="23"/>
      <c r="I2163" s="23"/>
      <c r="J2163" s="2"/>
      <c r="K2163" s="18"/>
      <c r="L2163" s="20"/>
      <c r="M2163" s="2"/>
      <c r="N2163" s="17"/>
      <c r="P2163" s="17"/>
      <c r="Q2163" s="17"/>
      <c r="R2163" s="17"/>
      <c r="S2163" s="17"/>
      <c r="U2163" s="24"/>
      <c r="V2163" s="24"/>
      <c r="W2163" s="24"/>
    </row>
    <row r="2164">
      <c r="A2164" s="11"/>
      <c r="B2164" s="23"/>
      <c r="C2164" s="23"/>
      <c r="D2164" s="23"/>
      <c r="E2164" s="23"/>
      <c r="F2164" s="1"/>
      <c r="G2164" s="23"/>
      <c r="H2164" s="23"/>
      <c r="I2164" s="23"/>
      <c r="J2164" s="2"/>
      <c r="K2164" s="18"/>
      <c r="L2164" s="20"/>
      <c r="M2164" s="2"/>
      <c r="N2164" s="17"/>
      <c r="P2164" s="17"/>
      <c r="Q2164" s="17"/>
      <c r="R2164" s="17"/>
      <c r="S2164" s="17"/>
      <c r="U2164" s="24"/>
      <c r="V2164" s="24"/>
      <c r="W2164" s="24"/>
    </row>
    <row r="2165">
      <c r="A2165" s="11"/>
      <c r="B2165" s="23"/>
      <c r="C2165" s="23"/>
      <c r="D2165" s="23"/>
      <c r="E2165" s="23"/>
      <c r="F2165" s="1"/>
      <c r="G2165" s="23"/>
      <c r="H2165" s="23"/>
      <c r="I2165" s="23"/>
      <c r="J2165" s="2"/>
      <c r="K2165" s="18"/>
      <c r="L2165" s="20"/>
      <c r="M2165" s="2"/>
      <c r="N2165" s="17"/>
      <c r="P2165" s="17"/>
      <c r="Q2165" s="17"/>
      <c r="R2165" s="17"/>
      <c r="S2165" s="17"/>
      <c r="U2165" s="24"/>
      <c r="V2165" s="24"/>
      <c r="W2165" s="24"/>
    </row>
    <row r="2166">
      <c r="A2166" s="11"/>
      <c r="B2166" s="23"/>
      <c r="C2166" s="23"/>
      <c r="D2166" s="23"/>
      <c r="E2166" s="23"/>
      <c r="F2166" s="1"/>
      <c r="G2166" s="23"/>
      <c r="H2166" s="23"/>
      <c r="I2166" s="23"/>
      <c r="J2166" s="2"/>
      <c r="K2166" s="18"/>
      <c r="L2166" s="20"/>
      <c r="M2166" s="2"/>
      <c r="N2166" s="17"/>
      <c r="P2166" s="17"/>
      <c r="Q2166" s="17"/>
      <c r="R2166" s="17"/>
      <c r="S2166" s="17"/>
      <c r="U2166" s="24"/>
      <c r="V2166" s="24"/>
      <c r="W2166" s="24"/>
    </row>
    <row r="2167">
      <c r="A2167" s="11"/>
      <c r="B2167" s="23"/>
      <c r="C2167" s="23"/>
      <c r="D2167" s="23"/>
      <c r="E2167" s="23"/>
      <c r="F2167" s="1"/>
      <c r="G2167" s="23"/>
      <c r="H2167" s="23"/>
      <c r="I2167" s="23"/>
      <c r="J2167" s="2"/>
      <c r="K2167" s="18"/>
      <c r="L2167" s="20"/>
      <c r="M2167" s="2"/>
      <c r="N2167" s="17"/>
      <c r="P2167" s="17"/>
      <c r="Q2167" s="17"/>
      <c r="R2167" s="17"/>
      <c r="S2167" s="17"/>
      <c r="U2167" s="24"/>
      <c r="V2167" s="24"/>
      <c r="W2167" s="24"/>
    </row>
    <row r="2168">
      <c r="A2168" s="11"/>
      <c r="B2168" s="23"/>
      <c r="C2168" s="23"/>
      <c r="D2168" s="23"/>
      <c r="E2168" s="23"/>
      <c r="F2168" s="1"/>
      <c r="G2168" s="23"/>
      <c r="H2168" s="23"/>
      <c r="I2168" s="23"/>
      <c r="J2168" s="2"/>
      <c r="K2168" s="18"/>
      <c r="L2168" s="20"/>
      <c r="M2168" s="2"/>
      <c r="N2168" s="17"/>
      <c r="P2168" s="17"/>
      <c r="Q2168" s="17"/>
      <c r="R2168" s="17"/>
      <c r="S2168" s="17"/>
      <c r="U2168" s="24"/>
      <c r="V2168" s="24"/>
      <c r="W2168" s="24"/>
    </row>
    <row r="2169">
      <c r="A2169" s="11"/>
      <c r="B2169" s="23"/>
      <c r="C2169" s="23"/>
      <c r="D2169" s="23"/>
      <c r="E2169" s="23"/>
      <c r="F2169" s="1"/>
      <c r="G2169" s="23"/>
      <c r="H2169" s="23"/>
      <c r="I2169" s="23"/>
      <c r="J2169" s="2"/>
      <c r="K2169" s="18"/>
      <c r="L2169" s="20"/>
      <c r="M2169" s="2"/>
      <c r="N2169" s="17"/>
      <c r="P2169" s="17"/>
      <c r="Q2169" s="17"/>
      <c r="R2169" s="17"/>
      <c r="S2169" s="17"/>
      <c r="U2169" s="24"/>
      <c r="V2169" s="24"/>
      <c r="W2169" s="24"/>
    </row>
    <row r="2170">
      <c r="A2170" s="11"/>
      <c r="B2170" s="23"/>
      <c r="C2170" s="23"/>
      <c r="D2170" s="23"/>
      <c r="E2170" s="23"/>
      <c r="F2170" s="1"/>
      <c r="G2170" s="23"/>
      <c r="H2170" s="23"/>
      <c r="I2170" s="23"/>
      <c r="J2170" s="2"/>
      <c r="K2170" s="18"/>
      <c r="L2170" s="20"/>
      <c r="M2170" s="2"/>
      <c r="N2170" s="17"/>
      <c r="P2170" s="17"/>
      <c r="Q2170" s="17"/>
      <c r="R2170" s="17"/>
      <c r="S2170" s="17"/>
      <c r="U2170" s="24"/>
      <c r="V2170" s="24"/>
      <c r="W2170" s="24"/>
    </row>
    <row r="2171">
      <c r="A2171" s="11"/>
      <c r="B2171" s="23"/>
      <c r="C2171" s="23"/>
      <c r="D2171" s="23"/>
      <c r="E2171" s="23"/>
      <c r="F2171" s="1"/>
      <c r="G2171" s="23"/>
      <c r="H2171" s="23"/>
      <c r="I2171" s="23"/>
      <c r="J2171" s="2"/>
      <c r="K2171" s="18"/>
      <c r="L2171" s="20"/>
      <c r="M2171" s="2"/>
      <c r="N2171" s="17"/>
      <c r="P2171" s="17"/>
      <c r="Q2171" s="17"/>
      <c r="R2171" s="17"/>
      <c r="S2171" s="17"/>
      <c r="U2171" s="24"/>
      <c r="V2171" s="24"/>
      <c r="W2171" s="24"/>
    </row>
    <row r="2172">
      <c r="A2172" s="11"/>
      <c r="B2172" s="23"/>
      <c r="C2172" s="23"/>
      <c r="D2172" s="23"/>
      <c r="E2172" s="23"/>
      <c r="F2172" s="1"/>
      <c r="G2172" s="23"/>
      <c r="H2172" s="23"/>
      <c r="I2172" s="23"/>
      <c r="J2172" s="2"/>
      <c r="K2172" s="18"/>
      <c r="L2172" s="20"/>
      <c r="M2172" s="2"/>
      <c r="N2172" s="17"/>
      <c r="P2172" s="17"/>
      <c r="Q2172" s="17"/>
      <c r="R2172" s="17"/>
      <c r="S2172" s="17"/>
      <c r="U2172" s="24"/>
      <c r="V2172" s="24"/>
      <c r="W2172" s="24"/>
    </row>
    <row r="2173">
      <c r="A2173" s="11"/>
      <c r="B2173" s="23"/>
      <c r="C2173" s="23"/>
      <c r="D2173" s="23"/>
      <c r="E2173" s="23"/>
      <c r="F2173" s="1"/>
      <c r="G2173" s="23"/>
      <c r="H2173" s="23"/>
      <c r="I2173" s="23"/>
      <c r="J2173" s="2"/>
      <c r="K2173" s="18"/>
      <c r="L2173" s="20"/>
      <c r="M2173" s="2"/>
      <c r="N2173" s="17"/>
      <c r="P2173" s="17"/>
      <c r="Q2173" s="17"/>
      <c r="R2173" s="17"/>
      <c r="S2173" s="17"/>
      <c r="U2173" s="24"/>
      <c r="V2173" s="24"/>
      <c r="W2173" s="24"/>
    </row>
    <row r="2174">
      <c r="A2174" s="11"/>
      <c r="B2174" s="23"/>
      <c r="C2174" s="23"/>
      <c r="D2174" s="23"/>
      <c r="E2174" s="23"/>
      <c r="F2174" s="1"/>
      <c r="G2174" s="23"/>
      <c r="H2174" s="23"/>
      <c r="I2174" s="23"/>
      <c r="J2174" s="2"/>
      <c r="K2174" s="18"/>
      <c r="L2174" s="20"/>
      <c r="M2174" s="2"/>
      <c r="N2174" s="17"/>
      <c r="P2174" s="17"/>
      <c r="Q2174" s="17"/>
      <c r="R2174" s="17"/>
      <c r="S2174" s="17"/>
      <c r="U2174" s="24"/>
      <c r="V2174" s="24"/>
      <c r="W2174" s="24"/>
    </row>
    <row r="2175">
      <c r="A2175" s="11"/>
      <c r="B2175" s="23"/>
      <c r="C2175" s="23"/>
      <c r="D2175" s="23"/>
      <c r="E2175" s="23"/>
      <c r="F2175" s="1"/>
      <c r="G2175" s="23"/>
      <c r="H2175" s="23"/>
      <c r="I2175" s="23"/>
      <c r="J2175" s="2"/>
      <c r="K2175" s="18"/>
      <c r="L2175" s="20"/>
      <c r="M2175" s="2"/>
      <c r="N2175" s="17"/>
      <c r="P2175" s="17"/>
      <c r="Q2175" s="17"/>
      <c r="R2175" s="17"/>
      <c r="S2175" s="17"/>
      <c r="U2175" s="24"/>
      <c r="V2175" s="24"/>
      <c r="W2175" s="24"/>
    </row>
    <row r="2176">
      <c r="A2176" s="11"/>
      <c r="B2176" s="23"/>
      <c r="C2176" s="23"/>
      <c r="D2176" s="23"/>
      <c r="E2176" s="23"/>
      <c r="F2176" s="1"/>
      <c r="G2176" s="23"/>
      <c r="H2176" s="23"/>
      <c r="I2176" s="23"/>
      <c r="J2176" s="2"/>
      <c r="K2176" s="18"/>
      <c r="L2176" s="20"/>
      <c r="M2176" s="2"/>
      <c r="N2176" s="17"/>
      <c r="P2176" s="17"/>
      <c r="Q2176" s="17"/>
      <c r="R2176" s="17"/>
      <c r="S2176" s="17"/>
      <c r="U2176" s="24"/>
      <c r="V2176" s="24"/>
      <c r="W2176" s="24"/>
    </row>
    <row r="2177">
      <c r="A2177" s="11"/>
      <c r="B2177" s="23"/>
      <c r="C2177" s="23"/>
      <c r="D2177" s="23"/>
      <c r="E2177" s="23"/>
      <c r="F2177" s="1"/>
      <c r="G2177" s="23"/>
      <c r="H2177" s="23"/>
      <c r="I2177" s="23"/>
      <c r="J2177" s="2"/>
      <c r="K2177" s="18"/>
      <c r="L2177" s="20"/>
      <c r="M2177" s="2"/>
      <c r="N2177" s="17"/>
      <c r="P2177" s="17"/>
      <c r="Q2177" s="17"/>
      <c r="R2177" s="17"/>
      <c r="S2177" s="17"/>
      <c r="U2177" s="24"/>
      <c r="V2177" s="24"/>
      <c r="W2177" s="24"/>
    </row>
    <row r="2178">
      <c r="A2178" s="11"/>
      <c r="B2178" s="23"/>
      <c r="C2178" s="23"/>
      <c r="D2178" s="23"/>
      <c r="E2178" s="23"/>
      <c r="F2178" s="1"/>
      <c r="G2178" s="23"/>
      <c r="H2178" s="23"/>
      <c r="I2178" s="23"/>
      <c r="J2178" s="2"/>
      <c r="K2178" s="18"/>
      <c r="L2178" s="20"/>
      <c r="M2178" s="2"/>
      <c r="N2178" s="17"/>
      <c r="P2178" s="17"/>
      <c r="Q2178" s="17"/>
      <c r="R2178" s="17"/>
      <c r="S2178" s="17"/>
      <c r="U2178" s="24"/>
      <c r="V2178" s="24"/>
      <c r="W2178" s="24"/>
    </row>
    <row r="2179">
      <c r="A2179" s="11"/>
      <c r="B2179" s="23"/>
      <c r="C2179" s="23"/>
      <c r="D2179" s="23"/>
      <c r="E2179" s="23"/>
      <c r="F2179" s="1"/>
      <c r="G2179" s="23"/>
      <c r="H2179" s="23"/>
      <c r="I2179" s="23"/>
      <c r="J2179" s="2"/>
      <c r="K2179" s="18"/>
      <c r="L2179" s="20"/>
      <c r="M2179" s="2"/>
      <c r="N2179" s="17"/>
      <c r="P2179" s="17"/>
      <c r="Q2179" s="17"/>
      <c r="R2179" s="17"/>
      <c r="S2179" s="17"/>
      <c r="U2179" s="24"/>
      <c r="V2179" s="24"/>
      <c r="W2179" s="24"/>
    </row>
    <row r="2180">
      <c r="A2180" s="11"/>
      <c r="B2180" s="23"/>
      <c r="C2180" s="23"/>
      <c r="D2180" s="23"/>
      <c r="E2180" s="23"/>
      <c r="F2180" s="1"/>
      <c r="G2180" s="23"/>
      <c r="H2180" s="23"/>
      <c r="I2180" s="23"/>
      <c r="J2180" s="2"/>
      <c r="K2180" s="18"/>
      <c r="L2180" s="20"/>
      <c r="M2180" s="2"/>
      <c r="N2180" s="17"/>
      <c r="P2180" s="17"/>
      <c r="Q2180" s="17"/>
      <c r="R2180" s="17"/>
      <c r="S2180" s="17"/>
      <c r="U2180" s="24"/>
      <c r="V2180" s="24"/>
      <c r="W2180" s="24"/>
    </row>
    <row r="2181">
      <c r="A2181" s="11"/>
      <c r="B2181" s="23"/>
      <c r="C2181" s="23"/>
      <c r="D2181" s="23"/>
      <c r="E2181" s="23"/>
      <c r="F2181" s="1"/>
      <c r="G2181" s="23"/>
      <c r="H2181" s="23"/>
      <c r="I2181" s="23"/>
      <c r="J2181" s="2"/>
      <c r="K2181" s="18"/>
      <c r="L2181" s="20"/>
      <c r="M2181" s="2"/>
      <c r="N2181" s="17"/>
      <c r="P2181" s="17"/>
      <c r="Q2181" s="17"/>
      <c r="R2181" s="17"/>
      <c r="S2181" s="17"/>
      <c r="U2181" s="24"/>
      <c r="V2181" s="24"/>
      <c r="W2181" s="24"/>
    </row>
    <row r="2182">
      <c r="A2182" s="11"/>
      <c r="B2182" s="23"/>
      <c r="C2182" s="23"/>
      <c r="D2182" s="23"/>
      <c r="E2182" s="23"/>
      <c r="F2182" s="1"/>
      <c r="G2182" s="23"/>
      <c r="H2182" s="23"/>
      <c r="I2182" s="23"/>
      <c r="J2182" s="2"/>
      <c r="K2182" s="18"/>
      <c r="L2182" s="20"/>
      <c r="M2182" s="2"/>
      <c r="N2182" s="17"/>
      <c r="P2182" s="17"/>
      <c r="Q2182" s="17"/>
      <c r="R2182" s="17"/>
      <c r="S2182" s="17"/>
      <c r="U2182" s="24"/>
      <c r="V2182" s="24"/>
      <c r="W2182" s="24"/>
    </row>
    <row r="2183">
      <c r="A2183" s="11"/>
      <c r="B2183" s="23"/>
      <c r="C2183" s="23"/>
      <c r="D2183" s="23"/>
      <c r="E2183" s="23"/>
      <c r="F2183" s="1"/>
      <c r="G2183" s="23"/>
      <c r="H2183" s="23"/>
      <c r="I2183" s="23"/>
      <c r="J2183" s="2"/>
      <c r="K2183" s="18"/>
      <c r="L2183" s="20"/>
      <c r="M2183" s="2"/>
      <c r="N2183" s="17"/>
      <c r="P2183" s="17"/>
      <c r="Q2183" s="17"/>
      <c r="R2183" s="17"/>
      <c r="S2183" s="17"/>
      <c r="U2183" s="24"/>
      <c r="V2183" s="24"/>
      <c r="W2183" s="24"/>
    </row>
    <row r="2184">
      <c r="A2184" s="11"/>
      <c r="B2184" s="23"/>
      <c r="C2184" s="23"/>
      <c r="D2184" s="23"/>
      <c r="E2184" s="23"/>
      <c r="F2184" s="1"/>
      <c r="G2184" s="23"/>
      <c r="H2184" s="23"/>
      <c r="I2184" s="23"/>
      <c r="J2184" s="2"/>
      <c r="K2184" s="18"/>
      <c r="L2184" s="20"/>
      <c r="M2184" s="2"/>
      <c r="N2184" s="17"/>
      <c r="P2184" s="17"/>
      <c r="Q2184" s="17"/>
      <c r="R2184" s="17"/>
      <c r="S2184" s="17"/>
      <c r="U2184" s="24"/>
      <c r="V2184" s="24"/>
      <c r="W2184" s="24"/>
    </row>
    <row r="2185">
      <c r="A2185" s="11"/>
      <c r="B2185" s="23"/>
      <c r="C2185" s="23"/>
      <c r="D2185" s="23"/>
      <c r="E2185" s="23"/>
      <c r="F2185" s="1"/>
      <c r="G2185" s="23"/>
      <c r="H2185" s="23"/>
      <c r="I2185" s="23"/>
      <c r="J2185" s="2"/>
      <c r="K2185" s="18"/>
      <c r="L2185" s="20"/>
      <c r="M2185" s="2"/>
      <c r="N2185" s="17"/>
      <c r="P2185" s="17"/>
      <c r="Q2185" s="17"/>
      <c r="R2185" s="17"/>
      <c r="S2185" s="17"/>
      <c r="U2185" s="24"/>
      <c r="V2185" s="24"/>
      <c r="W2185" s="24"/>
    </row>
    <row r="2186">
      <c r="A2186" s="11"/>
      <c r="B2186" s="23"/>
      <c r="C2186" s="23"/>
      <c r="D2186" s="23"/>
      <c r="E2186" s="23"/>
      <c r="F2186" s="1"/>
      <c r="G2186" s="23"/>
      <c r="H2186" s="23"/>
      <c r="I2186" s="23"/>
      <c r="J2186" s="2"/>
      <c r="K2186" s="18"/>
      <c r="L2186" s="20"/>
      <c r="M2186" s="2"/>
      <c r="N2186" s="17"/>
      <c r="P2186" s="17"/>
      <c r="Q2186" s="17"/>
      <c r="R2186" s="17"/>
      <c r="S2186" s="17"/>
      <c r="U2186" s="24"/>
      <c r="V2186" s="24"/>
      <c r="W2186" s="24"/>
    </row>
    <row r="2187">
      <c r="A2187" s="11"/>
      <c r="B2187" s="23"/>
      <c r="C2187" s="23"/>
      <c r="D2187" s="23"/>
      <c r="E2187" s="23"/>
      <c r="F2187" s="1"/>
      <c r="G2187" s="23"/>
      <c r="H2187" s="23"/>
      <c r="I2187" s="23"/>
      <c r="J2187" s="2"/>
      <c r="K2187" s="18"/>
      <c r="L2187" s="20"/>
      <c r="M2187" s="2"/>
      <c r="N2187" s="17"/>
      <c r="P2187" s="17"/>
      <c r="Q2187" s="17"/>
      <c r="R2187" s="17"/>
      <c r="S2187" s="17"/>
      <c r="U2187" s="24"/>
      <c r="V2187" s="24"/>
      <c r="W2187" s="24"/>
    </row>
    <row r="2188">
      <c r="A2188" s="11"/>
      <c r="B2188" s="23"/>
      <c r="C2188" s="23"/>
      <c r="D2188" s="23"/>
      <c r="E2188" s="23"/>
      <c r="F2188" s="1"/>
      <c r="G2188" s="23"/>
      <c r="H2188" s="23"/>
      <c r="I2188" s="23"/>
      <c r="J2188" s="2"/>
      <c r="K2188" s="18"/>
      <c r="L2188" s="20"/>
      <c r="M2188" s="2"/>
      <c r="N2188" s="17"/>
      <c r="P2188" s="17"/>
      <c r="Q2188" s="17"/>
      <c r="R2188" s="17"/>
      <c r="S2188" s="17"/>
      <c r="U2188" s="24"/>
      <c r="V2188" s="24"/>
      <c r="W2188" s="24"/>
    </row>
    <row r="2189">
      <c r="A2189" s="11"/>
      <c r="B2189" s="23"/>
      <c r="C2189" s="23"/>
      <c r="D2189" s="23"/>
      <c r="E2189" s="23"/>
      <c r="F2189" s="1"/>
      <c r="G2189" s="23"/>
      <c r="H2189" s="23"/>
      <c r="I2189" s="23"/>
      <c r="J2189" s="2"/>
      <c r="K2189" s="18"/>
      <c r="L2189" s="20"/>
      <c r="M2189" s="2"/>
      <c r="N2189" s="17"/>
      <c r="P2189" s="17"/>
      <c r="Q2189" s="17"/>
      <c r="R2189" s="17"/>
      <c r="S2189" s="17"/>
      <c r="U2189" s="24"/>
      <c r="V2189" s="24"/>
      <c r="W2189" s="24"/>
    </row>
    <row r="2190">
      <c r="A2190" s="11"/>
      <c r="B2190" s="23"/>
      <c r="C2190" s="23"/>
      <c r="D2190" s="23"/>
      <c r="E2190" s="23"/>
      <c r="F2190" s="1"/>
      <c r="G2190" s="23"/>
      <c r="H2190" s="23"/>
      <c r="I2190" s="23"/>
      <c r="J2190" s="2"/>
      <c r="K2190" s="18"/>
      <c r="L2190" s="20"/>
      <c r="M2190" s="2"/>
      <c r="N2190" s="17"/>
      <c r="P2190" s="17"/>
      <c r="Q2190" s="17"/>
      <c r="R2190" s="17"/>
      <c r="S2190" s="17"/>
      <c r="U2190" s="24"/>
      <c r="V2190" s="24"/>
      <c r="W2190" s="24"/>
    </row>
    <row r="2191">
      <c r="A2191" s="11"/>
      <c r="B2191" s="23"/>
      <c r="C2191" s="23"/>
      <c r="D2191" s="23"/>
      <c r="E2191" s="23"/>
      <c r="F2191" s="1"/>
      <c r="G2191" s="23"/>
      <c r="H2191" s="23"/>
      <c r="I2191" s="23"/>
      <c r="J2191" s="2"/>
      <c r="K2191" s="18"/>
      <c r="L2191" s="20"/>
      <c r="M2191" s="2"/>
      <c r="N2191" s="17"/>
      <c r="P2191" s="17"/>
      <c r="Q2191" s="17"/>
      <c r="R2191" s="17"/>
      <c r="S2191" s="17"/>
      <c r="U2191" s="24"/>
      <c r="V2191" s="24"/>
      <c r="W2191" s="24"/>
    </row>
    <row r="2192">
      <c r="A2192" s="11"/>
      <c r="B2192" s="23"/>
      <c r="C2192" s="23"/>
      <c r="D2192" s="23"/>
      <c r="E2192" s="23"/>
      <c r="F2192" s="1"/>
      <c r="G2192" s="23"/>
      <c r="H2192" s="23"/>
      <c r="I2192" s="23"/>
      <c r="J2192" s="2"/>
      <c r="K2192" s="18"/>
      <c r="L2192" s="20"/>
      <c r="M2192" s="2"/>
      <c r="N2192" s="17"/>
      <c r="P2192" s="17"/>
      <c r="Q2192" s="17"/>
      <c r="R2192" s="17"/>
      <c r="S2192" s="17"/>
      <c r="U2192" s="24"/>
      <c r="V2192" s="24"/>
      <c r="W2192" s="24"/>
    </row>
    <row r="2193">
      <c r="A2193" s="11"/>
      <c r="B2193" s="23"/>
      <c r="C2193" s="23"/>
      <c r="D2193" s="23"/>
      <c r="E2193" s="23"/>
      <c r="F2193" s="1"/>
      <c r="G2193" s="23"/>
      <c r="H2193" s="23"/>
      <c r="I2193" s="23"/>
      <c r="J2193" s="2"/>
      <c r="K2193" s="18"/>
      <c r="L2193" s="20"/>
      <c r="M2193" s="2"/>
      <c r="N2193" s="17"/>
      <c r="P2193" s="17"/>
      <c r="Q2193" s="17"/>
      <c r="R2193" s="17"/>
      <c r="S2193" s="17"/>
      <c r="U2193" s="24"/>
      <c r="V2193" s="24"/>
      <c r="W2193" s="24"/>
    </row>
    <row r="2194">
      <c r="A2194" s="11"/>
      <c r="B2194" s="23"/>
      <c r="C2194" s="23"/>
      <c r="D2194" s="23"/>
      <c r="E2194" s="23"/>
      <c r="F2194" s="1"/>
      <c r="G2194" s="23"/>
      <c r="H2194" s="23"/>
      <c r="I2194" s="23"/>
      <c r="J2194" s="2"/>
      <c r="K2194" s="18"/>
      <c r="L2194" s="20"/>
      <c r="M2194" s="2"/>
      <c r="N2194" s="17"/>
      <c r="P2194" s="17"/>
      <c r="Q2194" s="17"/>
      <c r="R2194" s="17"/>
      <c r="S2194" s="17"/>
      <c r="U2194" s="24"/>
      <c r="V2194" s="24"/>
      <c r="W2194" s="24"/>
    </row>
    <row r="2195">
      <c r="A2195" s="11"/>
      <c r="B2195" s="23"/>
      <c r="C2195" s="23"/>
      <c r="D2195" s="23"/>
      <c r="E2195" s="23"/>
      <c r="F2195" s="1"/>
      <c r="G2195" s="23"/>
      <c r="H2195" s="23"/>
      <c r="I2195" s="23"/>
      <c r="J2195" s="2"/>
      <c r="K2195" s="18"/>
      <c r="L2195" s="20"/>
      <c r="M2195" s="2"/>
      <c r="N2195" s="17"/>
      <c r="P2195" s="17"/>
      <c r="Q2195" s="17"/>
      <c r="R2195" s="17"/>
      <c r="S2195" s="17"/>
      <c r="U2195" s="24"/>
      <c r="V2195" s="24"/>
      <c r="W2195" s="24"/>
    </row>
    <row r="2196">
      <c r="A2196" s="11"/>
      <c r="B2196" s="23"/>
      <c r="C2196" s="23"/>
      <c r="D2196" s="23"/>
      <c r="E2196" s="23"/>
      <c r="F2196" s="1"/>
      <c r="G2196" s="23"/>
      <c r="H2196" s="23"/>
      <c r="I2196" s="23"/>
      <c r="J2196" s="2"/>
      <c r="K2196" s="18"/>
      <c r="L2196" s="20"/>
      <c r="M2196" s="2"/>
      <c r="N2196" s="17"/>
      <c r="P2196" s="17"/>
      <c r="Q2196" s="17"/>
      <c r="R2196" s="17"/>
      <c r="S2196" s="17"/>
      <c r="U2196" s="24"/>
      <c r="V2196" s="24"/>
      <c r="W2196" s="24"/>
    </row>
    <row r="2197">
      <c r="A2197" s="11"/>
      <c r="B2197" s="23"/>
      <c r="C2197" s="23"/>
      <c r="D2197" s="23"/>
      <c r="E2197" s="23"/>
      <c r="F2197" s="1"/>
      <c r="G2197" s="23"/>
      <c r="H2197" s="23"/>
      <c r="I2197" s="23"/>
      <c r="J2197" s="2"/>
      <c r="K2197" s="18"/>
      <c r="L2197" s="20"/>
      <c r="M2197" s="2"/>
      <c r="N2197" s="17"/>
      <c r="P2197" s="17"/>
      <c r="Q2197" s="17"/>
      <c r="R2197" s="17"/>
      <c r="S2197" s="17"/>
      <c r="U2197" s="24"/>
      <c r="V2197" s="24"/>
      <c r="W2197" s="24"/>
    </row>
    <row r="2198">
      <c r="A2198" s="11"/>
      <c r="B2198" s="23"/>
      <c r="C2198" s="23"/>
      <c r="D2198" s="23"/>
      <c r="E2198" s="23"/>
      <c r="F2198" s="1"/>
      <c r="G2198" s="23"/>
      <c r="H2198" s="23"/>
      <c r="I2198" s="23"/>
      <c r="J2198" s="2"/>
      <c r="K2198" s="18"/>
      <c r="L2198" s="20"/>
      <c r="M2198" s="2"/>
      <c r="N2198" s="17"/>
      <c r="P2198" s="17"/>
      <c r="Q2198" s="17"/>
      <c r="R2198" s="17"/>
      <c r="S2198" s="17"/>
      <c r="U2198" s="24"/>
      <c r="V2198" s="24"/>
      <c r="W2198" s="24"/>
    </row>
    <row r="2199">
      <c r="A2199" s="11"/>
      <c r="B2199" s="23"/>
      <c r="C2199" s="23"/>
      <c r="D2199" s="23"/>
      <c r="E2199" s="23"/>
      <c r="F2199" s="1"/>
      <c r="G2199" s="23"/>
      <c r="H2199" s="23"/>
      <c r="I2199" s="23"/>
      <c r="J2199" s="2"/>
      <c r="K2199" s="18"/>
      <c r="L2199" s="20"/>
      <c r="M2199" s="2"/>
      <c r="N2199" s="17"/>
      <c r="P2199" s="17"/>
      <c r="Q2199" s="17"/>
      <c r="R2199" s="17"/>
      <c r="S2199" s="17"/>
      <c r="U2199" s="24"/>
      <c r="V2199" s="24"/>
      <c r="W2199" s="24"/>
    </row>
    <row r="2200">
      <c r="A2200" s="11"/>
      <c r="B2200" s="23"/>
      <c r="C2200" s="23"/>
      <c r="D2200" s="23"/>
      <c r="E2200" s="23"/>
      <c r="F2200" s="1"/>
      <c r="G2200" s="23"/>
      <c r="H2200" s="23"/>
      <c r="I2200" s="23"/>
      <c r="J2200" s="2"/>
      <c r="K2200" s="18"/>
      <c r="L2200" s="20"/>
      <c r="M2200" s="2"/>
      <c r="N2200" s="17"/>
      <c r="P2200" s="17"/>
      <c r="Q2200" s="17"/>
      <c r="R2200" s="17"/>
      <c r="S2200" s="17"/>
      <c r="U2200" s="24"/>
      <c r="V2200" s="24"/>
      <c r="W2200" s="24"/>
    </row>
    <row r="2201">
      <c r="A2201" s="11"/>
      <c r="B2201" s="23"/>
      <c r="C2201" s="23"/>
      <c r="D2201" s="23"/>
      <c r="E2201" s="23"/>
      <c r="F2201" s="1"/>
      <c r="G2201" s="23"/>
      <c r="H2201" s="23"/>
      <c r="I2201" s="23"/>
      <c r="J2201" s="2"/>
      <c r="K2201" s="18"/>
      <c r="L2201" s="20"/>
      <c r="M2201" s="2"/>
      <c r="N2201" s="17"/>
      <c r="P2201" s="17"/>
      <c r="Q2201" s="17"/>
      <c r="R2201" s="17"/>
      <c r="S2201" s="17"/>
      <c r="U2201" s="24"/>
      <c r="V2201" s="24"/>
      <c r="W2201" s="24"/>
    </row>
    <row r="2202">
      <c r="A2202" s="11"/>
      <c r="B2202" s="23"/>
      <c r="C2202" s="23"/>
      <c r="D2202" s="23"/>
      <c r="E2202" s="23"/>
      <c r="F2202" s="1"/>
      <c r="G2202" s="23"/>
      <c r="H2202" s="23"/>
      <c r="I2202" s="23"/>
      <c r="J2202" s="2"/>
      <c r="K2202" s="18"/>
      <c r="L2202" s="20"/>
      <c r="M2202" s="2"/>
      <c r="N2202" s="17"/>
      <c r="P2202" s="17"/>
      <c r="Q2202" s="17"/>
      <c r="R2202" s="17"/>
      <c r="S2202" s="17"/>
      <c r="U2202" s="24"/>
      <c r="V2202" s="24"/>
      <c r="W2202" s="24"/>
    </row>
    <row r="2203">
      <c r="A2203" s="11"/>
      <c r="B2203" s="23"/>
      <c r="C2203" s="23"/>
      <c r="D2203" s="23"/>
      <c r="E2203" s="23"/>
      <c r="F2203" s="1"/>
      <c r="G2203" s="23"/>
      <c r="H2203" s="23"/>
      <c r="I2203" s="23"/>
      <c r="J2203" s="2"/>
      <c r="K2203" s="18"/>
      <c r="L2203" s="20"/>
      <c r="M2203" s="2"/>
      <c r="N2203" s="17"/>
      <c r="P2203" s="17"/>
      <c r="Q2203" s="17"/>
      <c r="R2203" s="17"/>
      <c r="S2203" s="17"/>
      <c r="U2203" s="24"/>
      <c r="V2203" s="24"/>
      <c r="W2203" s="24"/>
    </row>
    <row r="2204">
      <c r="A2204" s="11"/>
      <c r="B2204" s="23"/>
      <c r="C2204" s="23"/>
      <c r="D2204" s="23"/>
      <c r="E2204" s="23"/>
      <c r="F2204" s="1"/>
      <c r="G2204" s="23"/>
      <c r="H2204" s="23"/>
      <c r="I2204" s="23"/>
      <c r="J2204" s="2"/>
      <c r="K2204" s="18"/>
      <c r="L2204" s="20"/>
      <c r="M2204" s="2"/>
      <c r="N2204" s="17"/>
      <c r="P2204" s="17"/>
      <c r="Q2204" s="17"/>
      <c r="R2204" s="17"/>
      <c r="S2204" s="17"/>
      <c r="U2204" s="24"/>
      <c r="V2204" s="24"/>
      <c r="W2204" s="24"/>
    </row>
    <row r="2205">
      <c r="A2205" s="11"/>
      <c r="B2205" s="23"/>
      <c r="C2205" s="23"/>
      <c r="D2205" s="23"/>
      <c r="E2205" s="23"/>
      <c r="F2205" s="1"/>
      <c r="G2205" s="23"/>
      <c r="H2205" s="23"/>
      <c r="I2205" s="23"/>
      <c r="J2205" s="2"/>
      <c r="K2205" s="18"/>
      <c r="L2205" s="20"/>
      <c r="M2205" s="2"/>
      <c r="N2205" s="17"/>
      <c r="P2205" s="17"/>
      <c r="Q2205" s="17"/>
      <c r="R2205" s="17"/>
      <c r="S2205" s="17"/>
      <c r="U2205" s="24"/>
      <c r="V2205" s="24"/>
      <c r="W2205" s="24"/>
    </row>
    <row r="2206">
      <c r="A2206" s="11"/>
      <c r="B2206" s="23"/>
      <c r="C2206" s="23"/>
      <c r="D2206" s="23"/>
      <c r="E2206" s="23"/>
      <c r="F2206" s="1"/>
      <c r="G2206" s="23"/>
      <c r="H2206" s="23"/>
      <c r="I2206" s="23"/>
      <c r="J2206" s="2"/>
      <c r="K2206" s="18"/>
      <c r="L2206" s="20"/>
      <c r="M2206" s="2"/>
      <c r="N2206" s="17"/>
      <c r="P2206" s="17"/>
      <c r="Q2206" s="17"/>
      <c r="R2206" s="17"/>
      <c r="S2206" s="17"/>
      <c r="U2206" s="24"/>
      <c r="V2206" s="24"/>
      <c r="W2206" s="24"/>
    </row>
    <row r="2207">
      <c r="A2207" s="11"/>
      <c r="B2207" s="23"/>
      <c r="C2207" s="23"/>
      <c r="D2207" s="23"/>
      <c r="E2207" s="23"/>
      <c r="F2207" s="1"/>
      <c r="G2207" s="23"/>
      <c r="H2207" s="23"/>
      <c r="I2207" s="23"/>
      <c r="J2207" s="2"/>
      <c r="K2207" s="18"/>
      <c r="L2207" s="20"/>
      <c r="M2207" s="2"/>
      <c r="N2207" s="17"/>
      <c r="P2207" s="17"/>
      <c r="Q2207" s="17"/>
      <c r="R2207" s="17"/>
      <c r="S2207" s="17"/>
      <c r="U2207" s="24"/>
      <c r="V2207" s="24"/>
      <c r="W2207" s="24"/>
    </row>
    <row r="2208">
      <c r="A2208" s="11"/>
      <c r="B2208" s="23"/>
      <c r="C2208" s="23"/>
      <c r="D2208" s="23"/>
      <c r="E2208" s="23"/>
      <c r="F2208" s="1"/>
      <c r="G2208" s="23"/>
      <c r="H2208" s="23"/>
      <c r="I2208" s="23"/>
      <c r="J2208" s="2"/>
      <c r="K2208" s="18"/>
      <c r="L2208" s="20"/>
      <c r="M2208" s="2"/>
      <c r="N2208" s="17"/>
      <c r="P2208" s="17"/>
      <c r="Q2208" s="17"/>
      <c r="R2208" s="17"/>
      <c r="S2208" s="17"/>
      <c r="U2208" s="24"/>
      <c r="V2208" s="24"/>
      <c r="W2208" s="24"/>
    </row>
    <row r="2209">
      <c r="A2209" s="11"/>
      <c r="B2209" s="23"/>
      <c r="C2209" s="23"/>
      <c r="D2209" s="23"/>
      <c r="E2209" s="23"/>
      <c r="F2209" s="1"/>
      <c r="G2209" s="23"/>
      <c r="H2209" s="23"/>
      <c r="I2209" s="23"/>
      <c r="J2209" s="2"/>
      <c r="K2209" s="18"/>
      <c r="L2209" s="20"/>
      <c r="M2209" s="2"/>
      <c r="N2209" s="17"/>
      <c r="P2209" s="17"/>
      <c r="Q2209" s="17"/>
      <c r="R2209" s="17"/>
      <c r="S2209" s="17"/>
      <c r="U2209" s="24"/>
      <c r="V2209" s="24"/>
      <c r="W2209" s="24"/>
    </row>
    <row r="2210">
      <c r="A2210" s="11"/>
      <c r="B2210" s="23"/>
      <c r="C2210" s="23"/>
      <c r="D2210" s="23"/>
      <c r="E2210" s="23"/>
      <c r="F2210" s="1"/>
      <c r="G2210" s="23"/>
      <c r="H2210" s="23"/>
      <c r="I2210" s="23"/>
      <c r="J2210" s="2"/>
      <c r="K2210" s="18"/>
      <c r="L2210" s="20"/>
      <c r="M2210" s="2"/>
      <c r="N2210" s="17"/>
      <c r="P2210" s="17"/>
      <c r="Q2210" s="17"/>
      <c r="R2210" s="17"/>
      <c r="S2210" s="17"/>
      <c r="U2210" s="24"/>
      <c r="V2210" s="24"/>
      <c r="W2210" s="24"/>
    </row>
    <row r="2211">
      <c r="A2211" s="11"/>
      <c r="B2211" s="23"/>
      <c r="C2211" s="23"/>
      <c r="D2211" s="23"/>
      <c r="E2211" s="23"/>
      <c r="F2211" s="1"/>
      <c r="G2211" s="23"/>
      <c r="H2211" s="23"/>
      <c r="I2211" s="23"/>
      <c r="J2211" s="2"/>
      <c r="K2211" s="18"/>
      <c r="L2211" s="20"/>
      <c r="M2211" s="2"/>
      <c r="N2211" s="17"/>
      <c r="P2211" s="17"/>
      <c r="Q2211" s="17"/>
      <c r="R2211" s="17"/>
      <c r="S2211" s="17"/>
      <c r="U2211" s="24"/>
      <c r="V2211" s="24"/>
      <c r="W2211" s="24"/>
    </row>
    <row r="2212">
      <c r="A2212" s="11"/>
      <c r="B2212" s="23"/>
      <c r="C2212" s="23"/>
      <c r="D2212" s="23"/>
      <c r="E2212" s="23"/>
      <c r="F2212" s="1"/>
      <c r="G2212" s="23"/>
      <c r="H2212" s="23"/>
      <c r="I2212" s="23"/>
      <c r="J2212" s="2"/>
      <c r="K2212" s="18"/>
      <c r="L2212" s="20"/>
      <c r="M2212" s="2"/>
      <c r="N2212" s="17"/>
      <c r="P2212" s="17"/>
      <c r="Q2212" s="17"/>
      <c r="R2212" s="17"/>
      <c r="S2212" s="17"/>
      <c r="U2212" s="24"/>
      <c r="V2212" s="24"/>
      <c r="W2212" s="24"/>
    </row>
    <row r="2213">
      <c r="A2213" s="11"/>
      <c r="B2213" s="23"/>
      <c r="C2213" s="23"/>
      <c r="D2213" s="23"/>
      <c r="E2213" s="23"/>
      <c r="F2213" s="1"/>
      <c r="G2213" s="23"/>
      <c r="H2213" s="23"/>
      <c r="I2213" s="23"/>
      <c r="J2213" s="2"/>
      <c r="K2213" s="18"/>
      <c r="L2213" s="20"/>
      <c r="M2213" s="2"/>
      <c r="N2213" s="17"/>
      <c r="P2213" s="17"/>
      <c r="Q2213" s="17"/>
      <c r="R2213" s="17"/>
      <c r="S2213" s="17"/>
      <c r="U2213" s="24"/>
      <c r="V2213" s="24"/>
      <c r="W2213" s="24"/>
    </row>
    <row r="2214">
      <c r="A2214" s="11"/>
      <c r="B2214" s="23"/>
      <c r="C2214" s="23"/>
      <c r="D2214" s="23"/>
      <c r="E2214" s="23"/>
      <c r="F2214" s="1"/>
      <c r="G2214" s="23"/>
      <c r="H2214" s="23"/>
      <c r="I2214" s="23"/>
      <c r="J2214" s="2"/>
      <c r="K2214" s="18"/>
      <c r="L2214" s="20"/>
      <c r="M2214" s="2"/>
      <c r="N2214" s="17"/>
      <c r="P2214" s="17"/>
      <c r="Q2214" s="17"/>
      <c r="R2214" s="17"/>
      <c r="S2214" s="17"/>
      <c r="U2214" s="24"/>
      <c r="V2214" s="24"/>
      <c r="W2214" s="24"/>
    </row>
    <row r="2215">
      <c r="A2215" s="11"/>
      <c r="B2215" s="23"/>
      <c r="C2215" s="23"/>
      <c r="D2215" s="23"/>
      <c r="E2215" s="23"/>
      <c r="F2215" s="1"/>
      <c r="G2215" s="23"/>
      <c r="H2215" s="23"/>
      <c r="I2215" s="23"/>
      <c r="J2215" s="2"/>
      <c r="K2215" s="18"/>
      <c r="L2215" s="20"/>
      <c r="M2215" s="2"/>
      <c r="N2215" s="17"/>
      <c r="P2215" s="17"/>
      <c r="Q2215" s="17"/>
      <c r="R2215" s="17"/>
      <c r="S2215" s="17"/>
      <c r="U2215" s="24"/>
      <c r="V2215" s="24"/>
      <c r="W2215" s="24"/>
    </row>
    <row r="2216">
      <c r="A2216" s="11"/>
      <c r="B2216" s="23"/>
      <c r="C2216" s="23"/>
      <c r="D2216" s="23"/>
      <c r="E2216" s="23"/>
      <c r="F2216" s="1"/>
      <c r="G2216" s="23"/>
      <c r="H2216" s="23"/>
      <c r="I2216" s="23"/>
      <c r="J2216" s="2"/>
      <c r="K2216" s="18"/>
      <c r="L2216" s="20"/>
      <c r="M2216" s="2"/>
      <c r="N2216" s="17"/>
      <c r="P2216" s="17"/>
      <c r="Q2216" s="17"/>
      <c r="R2216" s="17"/>
      <c r="S2216" s="17"/>
      <c r="U2216" s="24"/>
      <c r="V2216" s="24"/>
      <c r="W2216" s="24"/>
    </row>
    <row r="2217">
      <c r="A2217" s="11"/>
      <c r="B2217" s="23"/>
      <c r="C2217" s="23"/>
      <c r="D2217" s="23"/>
      <c r="E2217" s="23"/>
      <c r="F2217" s="1"/>
      <c r="G2217" s="23"/>
      <c r="H2217" s="23"/>
      <c r="I2217" s="23"/>
      <c r="J2217" s="2"/>
      <c r="K2217" s="18"/>
      <c r="L2217" s="20"/>
      <c r="M2217" s="2"/>
      <c r="N2217" s="17"/>
      <c r="P2217" s="17"/>
      <c r="Q2217" s="17"/>
      <c r="R2217" s="17"/>
      <c r="S2217" s="17"/>
      <c r="U2217" s="24"/>
      <c r="V2217" s="24"/>
      <c r="W2217" s="24"/>
    </row>
    <row r="2218">
      <c r="A2218" s="11"/>
      <c r="B2218" s="23"/>
      <c r="C2218" s="23"/>
      <c r="D2218" s="23"/>
      <c r="E2218" s="23"/>
      <c r="F2218" s="1"/>
      <c r="G2218" s="23"/>
      <c r="H2218" s="23"/>
      <c r="I2218" s="23"/>
      <c r="J2218" s="2"/>
      <c r="K2218" s="18"/>
      <c r="L2218" s="20"/>
      <c r="M2218" s="2"/>
      <c r="N2218" s="17"/>
      <c r="P2218" s="17"/>
      <c r="Q2218" s="17"/>
      <c r="R2218" s="17"/>
      <c r="S2218" s="17"/>
      <c r="U2218" s="24"/>
      <c r="V2218" s="24"/>
      <c r="W2218" s="24"/>
    </row>
    <row r="2219">
      <c r="A2219" s="11"/>
      <c r="B2219" s="23"/>
      <c r="C2219" s="23"/>
      <c r="D2219" s="23"/>
      <c r="E2219" s="23"/>
      <c r="F2219" s="1"/>
      <c r="G2219" s="23"/>
      <c r="H2219" s="23"/>
      <c r="I2219" s="23"/>
      <c r="J2219" s="2"/>
      <c r="K2219" s="18"/>
      <c r="L2219" s="20"/>
      <c r="M2219" s="2"/>
      <c r="N2219" s="17"/>
      <c r="P2219" s="17"/>
      <c r="Q2219" s="17"/>
      <c r="R2219" s="17"/>
      <c r="S2219" s="17"/>
      <c r="U2219" s="24"/>
      <c r="V2219" s="24"/>
      <c r="W2219" s="24"/>
    </row>
    <row r="2220">
      <c r="A2220" s="11"/>
      <c r="B2220" s="23"/>
      <c r="C2220" s="23"/>
      <c r="D2220" s="23"/>
      <c r="E2220" s="23"/>
      <c r="F2220" s="1"/>
      <c r="G2220" s="23"/>
      <c r="H2220" s="23"/>
      <c r="I2220" s="23"/>
      <c r="J2220" s="2"/>
      <c r="K2220" s="18"/>
      <c r="L2220" s="20"/>
      <c r="M2220" s="2"/>
      <c r="N2220" s="17"/>
      <c r="P2220" s="17"/>
      <c r="Q2220" s="17"/>
      <c r="R2220" s="17"/>
      <c r="S2220" s="17"/>
      <c r="U2220" s="24"/>
      <c r="V2220" s="24"/>
      <c r="W2220" s="24"/>
    </row>
    <row r="2221">
      <c r="A2221" s="11"/>
      <c r="B2221" s="23"/>
      <c r="C2221" s="23"/>
      <c r="D2221" s="23"/>
      <c r="E2221" s="23"/>
      <c r="F2221" s="1"/>
      <c r="G2221" s="23"/>
      <c r="H2221" s="23"/>
      <c r="I2221" s="23"/>
      <c r="J2221" s="2"/>
      <c r="K2221" s="18"/>
      <c r="L2221" s="20"/>
      <c r="M2221" s="2"/>
      <c r="N2221" s="17"/>
      <c r="P2221" s="17"/>
      <c r="Q2221" s="17"/>
      <c r="R2221" s="17"/>
      <c r="S2221" s="17"/>
      <c r="U2221" s="24"/>
      <c r="V2221" s="24"/>
      <c r="W2221" s="24"/>
    </row>
    <row r="2222">
      <c r="A2222" s="11"/>
      <c r="B2222" s="23"/>
      <c r="C2222" s="23"/>
      <c r="D2222" s="23"/>
      <c r="E2222" s="23"/>
      <c r="F2222" s="1"/>
      <c r="G2222" s="23"/>
      <c r="H2222" s="23"/>
      <c r="I2222" s="23"/>
      <c r="J2222" s="2"/>
      <c r="K2222" s="18"/>
      <c r="L2222" s="20"/>
      <c r="M2222" s="2"/>
      <c r="N2222" s="17"/>
      <c r="P2222" s="17"/>
      <c r="Q2222" s="17"/>
      <c r="R2222" s="17"/>
      <c r="S2222" s="17"/>
      <c r="U2222" s="24"/>
      <c r="V2222" s="24"/>
      <c r="W2222" s="24"/>
    </row>
    <row r="2223">
      <c r="A2223" s="11"/>
      <c r="B2223" s="23"/>
      <c r="C2223" s="23"/>
      <c r="D2223" s="23"/>
      <c r="E2223" s="23"/>
      <c r="F2223" s="1"/>
      <c r="G2223" s="23"/>
      <c r="H2223" s="23"/>
      <c r="I2223" s="23"/>
      <c r="J2223" s="2"/>
      <c r="K2223" s="18"/>
      <c r="L2223" s="20"/>
      <c r="M2223" s="2"/>
      <c r="N2223" s="17"/>
      <c r="P2223" s="17"/>
      <c r="Q2223" s="17"/>
      <c r="R2223" s="17"/>
      <c r="S2223" s="17"/>
      <c r="U2223" s="24"/>
      <c r="V2223" s="24"/>
      <c r="W2223" s="24"/>
    </row>
    <row r="2224">
      <c r="A2224" s="11"/>
      <c r="B2224" s="23"/>
      <c r="C2224" s="23"/>
      <c r="D2224" s="23"/>
      <c r="E2224" s="23"/>
      <c r="F2224" s="1"/>
      <c r="G2224" s="23"/>
      <c r="H2224" s="23"/>
      <c r="I2224" s="23"/>
      <c r="J2224" s="2"/>
      <c r="K2224" s="18"/>
      <c r="L2224" s="20"/>
      <c r="M2224" s="2"/>
      <c r="N2224" s="17"/>
      <c r="P2224" s="17"/>
      <c r="Q2224" s="17"/>
      <c r="R2224" s="17"/>
      <c r="S2224" s="17"/>
      <c r="U2224" s="24"/>
      <c r="V2224" s="24"/>
      <c r="W2224" s="24"/>
    </row>
    <row r="2225">
      <c r="A2225" s="11"/>
      <c r="B2225" s="23"/>
      <c r="C2225" s="23"/>
      <c r="D2225" s="23"/>
      <c r="E2225" s="23"/>
      <c r="F2225" s="1"/>
      <c r="G2225" s="23"/>
      <c r="H2225" s="23"/>
      <c r="I2225" s="23"/>
      <c r="J2225" s="2"/>
      <c r="K2225" s="18"/>
      <c r="L2225" s="20"/>
      <c r="M2225" s="2"/>
      <c r="N2225" s="17"/>
      <c r="P2225" s="17"/>
      <c r="Q2225" s="17"/>
      <c r="R2225" s="17"/>
      <c r="S2225" s="17"/>
      <c r="U2225" s="24"/>
      <c r="V2225" s="24"/>
      <c r="W2225" s="24"/>
    </row>
    <row r="2226">
      <c r="A2226" s="11"/>
      <c r="B2226" s="23"/>
      <c r="C2226" s="23"/>
      <c r="D2226" s="23"/>
      <c r="E2226" s="23"/>
      <c r="F2226" s="1"/>
      <c r="G2226" s="23"/>
      <c r="H2226" s="23"/>
      <c r="I2226" s="23"/>
      <c r="J2226" s="2"/>
      <c r="K2226" s="18"/>
      <c r="L2226" s="20"/>
      <c r="M2226" s="2"/>
      <c r="N2226" s="17"/>
      <c r="P2226" s="17"/>
      <c r="Q2226" s="17"/>
      <c r="R2226" s="17"/>
      <c r="S2226" s="17"/>
      <c r="U2226" s="24"/>
      <c r="V2226" s="24"/>
      <c r="W2226" s="24"/>
    </row>
    <row r="2227">
      <c r="A2227" s="11"/>
      <c r="B2227" s="23"/>
      <c r="C2227" s="23"/>
      <c r="D2227" s="23"/>
      <c r="E2227" s="23"/>
      <c r="F2227" s="1"/>
      <c r="G2227" s="23"/>
      <c r="H2227" s="23"/>
      <c r="I2227" s="23"/>
      <c r="J2227" s="2"/>
      <c r="K2227" s="18"/>
      <c r="L2227" s="20"/>
      <c r="M2227" s="2"/>
      <c r="N2227" s="17"/>
      <c r="P2227" s="17"/>
      <c r="Q2227" s="17"/>
      <c r="R2227" s="17"/>
      <c r="S2227" s="17"/>
      <c r="U2227" s="24"/>
      <c r="V2227" s="24"/>
      <c r="W2227" s="24"/>
    </row>
    <row r="2228">
      <c r="A2228" s="11"/>
      <c r="B2228" s="23"/>
      <c r="C2228" s="23"/>
      <c r="D2228" s="23"/>
      <c r="E2228" s="23"/>
      <c r="F2228" s="1"/>
      <c r="G2228" s="23"/>
      <c r="H2228" s="23"/>
      <c r="I2228" s="23"/>
      <c r="J2228" s="2"/>
      <c r="K2228" s="18"/>
      <c r="L2228" s="20"/>
      <c r="M2228" s="2"/>
      <c r="N2228" s="17"/>
      <c r="P2228" s="17"/>
      <c r="Q2228" s="17"/>
      <c r="R2228" s="17"/>
      <c r="S2228" s="17"/>
      <c r="U2228" s="24"/>
      <c r="V2228" s="24"/>
      <c r="W2228" s="24"/>
    </row>
    <row r="2229">
      <c r="A2229" s="11"/>
      <c r="B2229" s="23"/>
      <c r="C2229" s="23"/>
      <c r="D2229" s="23"/>
      <c r="E2229" s="23"/>
      <c r="F2229" s="1"/>
      <c r="G2229" s="23"/>
      <c r="H2229" s="23"/>
      <c r="I2229" s="23"/>
      <c r="J2229" s="2"/>
      <c r="K2229" s="18"/>
      <c r="L2229" s="20"/>
      <c r="M2229" s="2"/>
      <c r="N2229" s="17"/>
      <c r="P2229" s="17"/>
      <c r="Q2229" s="17"/>
      <c r="R2229" s="17"/>
      <c r="S2229" s="17"/>
      <c r="U2229" s="24"/>
      <c r="V2229" s="24"/>
      <c r="W2229" s="24"/>
    </row>
    <row r="2230">
      <c r="A2230" s="11"/>
      <c r="B2230" s="23"/>
      <c r="C2230" s="23"/>
      <c r="D2230" s="23"/>
      <c r="E2230" s="23"/>
      <c r="F2230" s="1"/>
      <c r="G2230" s="23"/>
      <c r="H2230" s="23"/>
      <c r="I2230" s="23"/>
      <c r="J2230" s="2"/>
      <c r="K2230" s="18"/>
      <c r="L2230" s="20"/>
      <c r="M2230" s="2"/>
      <c r="N2230" s="17"/>
      <c r="P2230" s="17"/>
      <c r="Q2230" s="17"/>
      <c r="R2230" s="17"/>
      <c r="S2230" s="17"/>
      <c r="U2230" s="24"/>
      <c r="V2230" s="24"/>
      <c r="W2230" s="24"/>
    </row>
    <row r="2231">
      <c r="A2231" s="11"/>
      <c r="B2231" s="23"/>
      <c r="C2231" s="23"/>
      <c r="D2231" s="23"/>
      <c r="E2231" s="23"/>
      <c r="F2231" s="1"/>
      <c r="G2231" s="23"/>
      <c r="H2231" s="23"/>
      <c r="I2231" s="23"/>
      <c r="J2231" s="2"/>
      <c r="K2231" s="18"/>
      <c r="L2231" s="20"/>
      <c r="M2231" s="2"/>
      <c r="N2231" s="17"/>
      <c r="P2231" s="17"/>
      <c r="Q2231" s="17"/>
      <c r="R2231" s="17"/>
      <c r="S2231" s="17"/>
      <c r="U2231" s="24"/>
      <c r="V2231" s="24"/>
      <c r="W2231" s="24"/>
    </row>
    <row r="2232">
      <c r="A2232" s="11"/>
      <c r="B2232" s="23"/>
      <c r="C2232" s="23"/>
      <c r="D2232" s="23"/>
      <c r="E2232" s="23"/>
      <c r="F2232" s="1"/>
      <c r="G2232" s="23"/>
      <c r="H2232" s="23"/>
      <c r="I2232" s="23"/>
      <c r="J2232" s="2"/>
      <c r="K2232" s="18"/>
      <c r="L2232" s="20"/>
      <c r="M2232" s="2"/>
      <c r="N2232" s="17"/>
      <c r="P2232" s="17"/>
      <c r="Q2232" s="17"/>
      <c r="R2232" s="17"/>
      <c r="S2232" s="17"/>
      <c r="U2232" s="24"/>
      <c r="V2232" s="24"/>
      <c r="W2232" s="24"/>
    </row>
    <row r="2233">
      <c r="A2233" s="11"/>
      <c r="B2233" s="23"/>
      <c r="C2233" s="23"/>
      <c r="D2233" s="23"/>
      <c r="E2233" s="23"/>
      <c r="F2233" s="1"/>
      <c r="G2233" s="23"/>
      <c r="H2233" s="23"/>
      <c r="I2233" s="23"/>
      <c r="J2233" s="2"/>
      <c r="K2233" s="18"/>
      <c r="L2233" s="20"/>
      <c r="M2233" s="2"/>
      <c r="N2233" s="17"/>
      <c r="P2233" s="17"/>
      <c r="Q2233" s="17"/>
      <c r="R2233" s="17"/>
      <c r="S2233" s="17"/>
      <c r="U2233" s="24"/>
      <c r="V2233" s="24"/>
      <c r="W2233" s="24"/>
    </row>
    <row r="2234">
      <c r="A2234" s="11"/>
      <c r="B2234" s="23"/>
      <c r="C2234" s="23"/>
      <c r="D2234" s="23"/>
      <c r="E2234" s="23"/>
      <c r="F2234" s="1"/>
      <c r="G2234" s="23"/>
      <c r="H2234" s="23"/>
      <c r="I2234" s="23"/>
      <c r="J2234" s="2"/>
      <c r="K2234" s="18"/>
      <c r="L2234" s="20"/>
      <c r="M2234" s="2"/>
      <c r="N2234" s="17"/>
      <c r="P2234" s="17"/>
      <c r="Q2234" s="17"/>
      <c r="R2234" s="17"/>
      <c r="S2234" s="17"/>
      <c r="U2234" s="24"/>
      <c r="V2234" s="24"/>
      <c r="W2234" s="24"/>
    </row>
    <row r="2235">
      <c r="A2235" s="11"/>
      <c r="B2235" s="23"/>
      <c r="C2235" s="23"/>
      <c r="D2235" s="23"/>
      <c r="E2235" s="23"/>
      <c r="F2235" s="1"/>
      <c r="G2235" s="23"/>
      <c r="H2235" s="23"/>
      <c r="I2235" s="23"/>
      <c r="J2235" s="2"/>
      <c r="K2235" s="18"/>
      <c r="L2235" s="20"/>
      <c r="M2235" s="2"/>
      <c r="N2235" s="17"/>
      <c r="P2235" s="17"/>
      <c r="Q2235" s="17"/>
      <c r="R2235" s="17"/>
      <c r="S2235" s="17"/>
      <c r="U2235" s="24"/>
      <c r="V2235" s="24"/>
      <c r="W2235" s="24"/>
    </row>
    <row r="2236">
      <c r="A2236" s="11"/>
      <c r="B2236" s="23"/>
      <c r="C2236" s="23"/>
      <c r="D2236" s="23"/>
      <c r="E2236" s="23"/>
      <c r="F2236" s="1"/>
      <c r="G2236" s="23"/>
      <c r="H2236" s="23"/>
      <c r="I2236" s="23"/>
      <c r="J2236" s="2"/>
      <c r="K2236" s="18"/>
      <c r="L2236" s="20"/>
      <c r="M2236" s="2"/>
      <c r="N2236" s="17"/>
      <c r="P2236" s="17"/>
      <c r="Q2236" s="17"/>
      <c r="R2236" s="17"/>
      <c r="S2236" s="17"/>
      <c r="U2236" s="24"/>
      <c r="V2236" s="24"/>
      <c r="W2236" s="24"/>
    </row>
    <row r="2237">
      <c r="A2237" s="11"/>
      <c r="B2237" s="23"/>
      <c r="C2237" s="23"/>
      <c r="D2237" s="23"/>
      <c r="E2237" s="23"/>
      <c r="F2237" s="1"/>
      <c r="G2237" s="23"/>
      <c r="H2237" s="23"/>
      <c r="I2237" s="23"/>
      <c r="J2237" s="2"/>
      <c r="K2237" s="18"/>
      <c r="L2237" s="20"/>
      <c r="M2237" s="2"/>
      <c r="N2237" s="17"/>
      <c r="P2237" s="17"/>
      <c r="Q2237" s="17"/>
      <c r="R2237" s="17"/>
      <c r="S2237" s="17"/>
      <c r="U2237" s="24"/>
      <c r="V2237" s="24"/>
      <c r="W2237" s="24"/>
    </row>
    <row r="2238">
      <c r="A2238" s="11"/>
      <c r="B2238" s="23"/>
      <c r="C2238" s="23"/>
      <c r="D2238" s="23"/>
      <c r="E2238" s="23"/>
      <c r="F2238" s="1"/>
      <c r="G2238" s="23"/>
      <c r="H2238" s="23"/>
      <c r="I2238" s="23"/>
      <c r="J2238" s="2"/>
      <c r="K2238" s="18"/>
      <c r="L2238" s="20"/>
      <c r="M2238" s="2"/>
      <c r="N2238" s="17"/>
      <c r="P2238" s="17"/>
      <c r="Q2238" s="17"/>
      <c r="R2238" s="17"/>
      <c r="S2238" s="17"/>
      <c r="U2238" s="24"/>
      <c r="V2238" s="24"/>
      <c r="W2238" s="24"/>
    </row>
    <row r="2239">
      <c r="A2239" s="11"/>
      <c r="B2239" s="23"/>
      <c r="C2239" s="23"/>
      <c r="D2239" s="23"/>
      <c r="E2239" s="23"/>
      <c r="F2239" s="1"/>
      <c r="G2239" s="23"/>
      <c r="H2239" s="23"/>
      <c r="I2239" s="23"/>
      <c r="J2239" s="2"/>
      <c r="K2239" s="18"/>
      <c r="L2239" s="20"/>
      <c r="M2239" s="2"/>
      <c r="N2239" s="17"/>
      <c r="P2239" s="17"/>
      <c r="Q2239" s="17"/>
      <c r="R2239" s="17"/>
      <c r="S2239" s="17"/>
      <c r="U2239" s="24"/>
      <c r="V2239" s="24"/>
      <c r="W2239" s="24"/>
    </row>
    <row r="2240">
      <c r="A2240" s="11"/>
      <c r="B2240" s="23"/>
      <c r="C2240" s="23"/>
      <c r="D2240" s="23"/>
      <c r="E2240" s="23"/>
      <c r="F2240" s="1"/>
      <c r="G2240" s="23"/>
      <c r="H2240" s="23"/>
      <c r="I2240" s="23"/>
      <c r="J2240" s="2"/>
      <c r="K2240" s="18"/>
      <c r="L2240" s="20"/>
      <c r="M2240" s="2"/>
      <c r="N2240" s="17"/>
      <c r="P2240" s="17"/>
      <c r="Q2240" s="17"/>
      <c r="R2240" s="17"/>
      <c r="S2240" s="17"/>
      <c r="U2240" s="24"/>
      <c r="V2240" s="24"/>
      <c r="W2240" s="24"/>
    </row>
    <row r="2241">
      <c r="A2241" s="11"/>
      <c r="B2241" s="23"/>
      <c r="C2241" s="23"/>
      <c r="D2241" s="23"/>
      <c r="E2241" s="23"/>
      <c r="F2241" s="1"/>
      <c r="G2241" s="23"/>
      <c r="H2241" s="23"/>
      <c r="I2241" s="23"/>
      <c r="J2241" s="2"/>
      <c r="K2241" s="18"/>
      <c r="L2241" s="20"/>
      <c r="M2241" s="2"/>
      <c r="N2241" s="17"/>
      <c r="P2241" s="17"/>
      <c r="Q2241" s="17"/>
      <c r="R2241" s="17"/>
      <c r="S2241" s="17"/>
      <c r="U2241" s="24"/>
      <c r="V2241" s="24"/>
      <c r="W2241" s="24"/>
    </row>
    <row r="2242">
      <c r="A2242" s="11"/>
      <c r="B2242" s="23"/>
      <c r="C2242" s="23"/>
      <c r="D2242" s="23"/>
      <c r="E2242" s="23"/>
      <c r="F2242" s="1"/>
      <c r="G2242" s="23"/>
      <c r="H2242" s="23"/>
      <c r="I2242" s="23"/>
      <c r="J2242" s="2"/>
      <c r="K2242" s="18"/>
      <c r="L2242" s="20"/>
      <c r="M2242" s="2"/>
      <c r="N2242" s="17"/>
      <c r="P2242" s="17"/>
      <c r="Q2242" s="17"/>
      <c r="R2242" s="17"/>
      <c r="S2242" s="17"/>
      <c r="U2242" s="24"/>
      <c r="V2242" s="24"/>
      <c r="W2242" s="24"/>
    </row>
    <row r="2243">
      <c r="A2243" s="11"/>
      <c r="B2243" s="23"/>
      <c r="C2243" s="23"/>
      <c r="D2243" s="23"/>
      <c r="E2243" s="23"/>
      <c r="F2243" s="1"/>
      <c r="G2243" s="23"/>
      <c r="H2243" s="23"/>
      <c r="I2243" s="23"/>
      <c r="J2243" s="2"/>
      <c r="K2243" s="18"/>
      <c r="L2243" s="20"/>
      <c r="M2243" s="2"/>
      <c r="N2243" s="17"/>
      <c r="P2243" s="17"/>
      <c r="Q2243" s="17"/>
      <c r="R2243" s="17"/>
      <c r="S2243" s="17"/>
      <c r="U2243" s="24"/>
      <c r="V2243" s="24"/>
      <c r="W2243" s="24"/>
    </row>
    <row r="2244">
      <c r="A2244" s="11"/>
      <c r="B2244" s="23"/>
      <c r="C2244" s="23"/>
      <c r="D2244" s="23"/>
      <c r="E2244" s="23"/>
      <c r="F2244" s="1"/>
      <c r="G2244" s="23"/>
      <c r="H2244" s="23"/>
      <c r="I2244" s="23"/>
      <c r="J2244" s="2"/>
      <c r="K2244" s="18"/>
      <c r="L2244" s="20"/>
      <c r="M2244" s="2"/>
      <c r="N2244" s="17"/>
      <c r="P2244" s="17"/>
      <c r="Q2244" s="17"/>
      <c r="R2244" s="17"/>
      <c r="S2244" s="17"/>
      <c r="U2244" s="24"/>
      <c r="V2244" s="24"/>
      <c r="W2244" s="24"/>
    </row>
    <row r="2245">
      <c r="A2245" s="11"/>
      <c r="B2245" s="23"/>
      <c r="C2245" s="23"/>
      <c r="D2245" s="23"/>
      <c r="E2245" s="23"/>
      <c r="F2245" s="1"/>
      <c r="G2245" s="23"/>
      <c r="H2245" s="23"/>
      <c r="I2245" s="23"/>
      <c r="J2245" s="2"/>
      <c r="K2245" s="18"/>
      <c r="L2245" s="20"/>
      <c r="M2245" s="2"/>
      <c r="N2245" s="17"/>
      <c r="P2245" s="17"/>
      <c r="Q2245" s="17"/>
      <c r="R2245" s="17"/>
      <c r="S2245" s="17"/>
      <c r="U2245" s="24"/>
      <c r="V2245" s="24"/>
      <c r="W2245" s="24"/>
    </row>
    <row r="2246">
      <c r="A2246" s="11"/>
      <c r="B2246" s="23"/>
      <c r="C2246" s="23"/>
      <c r="D2246" s="23"/>
      <c r="E2246" s="23"/>
      <c r="F2246" s="1"/>
      <c r="G2246" s="23"/>
      <c r="H2246" s="23"/>
      <c r="I2246" s="23"/>
      <c r="J2246" s="2"/>
      <c r="K2246" s="18"/>
      <c r="L2246" s="20"/>
      <c r="M2246" s="2"/>
      <c r="N2246" s="17"/>
      <c r="P2246" s="17"/>
      <c r="Q2246" s="17"/>
      <c r="R2246" s="17"/>
      <c r="S2246" s="17"/>
      <c r="U2246" s="24"/>
      <c r="V2246" s="24"/>
      <c r="W2246" s="24"/>
    </row>
    <row r="2247">
      <c r="A2247" s="11"/>
      <c r="B2247" s="23"/>
      <c r="C2247" s="23"/>
      <c r="D2247" s="23"/>
      <c r="E2247" s="23"/>
      <c r="F2247" s="1"/>
      <c r="G2247" s="23"/>
      <c r="H2247" s="23"/>
      <c r="I2247" s="23"/>
      <c r="J2247" s="2"/>
      <c r="K2247" s="18"/>
      <c r="L2247" s="20"/>
      <c r="M2247" s="2"/>
      <c r="N2247" s="17"/>
      <c r="P2247" s="17"/>
      <c r="Q2247" s="17"/>
      <c r="R2247" s="17"/>
      <c r="S2247" s="17"/>
      <c r="U2247" s="24"/>
      <c r="V2247" s="24"/>
      <c r="W2247" s="24"/>
    </row>
    <row r="2248">
      <c r="A2248" s="11"/>
      <c r="B2248" s="23"/>
      <c r="C2248" s="23"/>
      <c r="D2248" s="23"/>
      <c r="E2248" s="23"/>
      <c r="F2248" s="1"/>
      <c r="G2248" s="23"/>
      <c r="H2248" s="23"/>
      <c r="I2248" s="23"/>
      <c r="J2248" s="2"/>
      <c r="K2248" s="18"/>
      <c r="L2248" s="20"/>
      <c r="M2248" s="2"/>
      <c r="N2248" s="17"/>
      <c r="P2248" s="17"/>
      <c r="Q2248" s="17"/>
      <c r="R2248" s="17"/>
      <c r="S2248" s="17"/>
      <c r="U2248" s="24"/>
      <c r="V2248" s="24"/>
      <c r="W2248" s="24"/>
    </row>
    <row r="2249">
      <c r="A2249" s="11"/>
      <c r="B2249" s="23"/>
      <c r="C2249" s="23"/>
      <c r="D2249" s="23"/>
      <c r="E2249" s="23"/>
      <c r="F2249" s="1"/>
      <c r="G2249" s="23"/>
      <c r="H2249" s="23"/>
      <c r="I2249" s="23"/>
      <c r="J2249" s="2"/>
      <c r="K2249" s="18"/>
      <c r="L2249" s="20"/>
      <c r="M2249" s="2"/>
      <c r="N2249" s="17"/>
      <c r="P2249" s="17"/>
      <c r="Q2249" s="17"/>
      <c r="R2249" s="17"/>
      <c r="S2249" s="17"/>
      <c r="U2249" s="24"/>
      <c r="V2249" s="24"/>
      <c r="W2249" s="24"/>
    </row>
    <row r="2250">
      <c r="A2250" s="11"/>
      <c r="B2250" s="23"/>
      <c r="C2250" s="23"/>
      <c r="D2250" s="23"/>
      <c r="E2250" s="23"/>
      <c r="F2250" s="1"/>
      <c r="G2250" s="23"/>
      <c r="H2250" s="23"/>
      <c r="I2250" s="23"/>
      <c r="J2250" s="2"/>
      <c r="K2250" s="18"/>
      <c r="L2250" s="20"/>
      <c r="M2250" s="2"/>
      <c r="N2250" s="17"/>
      <c r="P2250" s="17"/>
      <c r="Q2250" s="17"/>
      <c r="R2250" s="17"/>
      <c r="S2250" s="17"/>
      <c r="U2250" s="24"/>
      <c r="V2250" s="24"/>
      <c r="W2250" s="24"/>
    </row>
    <row r="2251">
      <c r="A2251" s="11"/>
      <c r="B2251" s="23"/>
      <c r="C2251" s="23"/>
      <c r="D2251" s="23"/>
      <c r="E2251" s="23"/>
      <c r="F2251" s="1"/>
      <c r="G2251" s="23"/>
      <c r="H2251" s="23"/>
      <c r="I2251" s="23"/>
      <c r="J2251" s="2"/>
      <c r="K2251" s="18"/>
      <c r="L2251" s="20"/>
      <c r="M2251" s="2"/>
      <c r="N2251" s="17"/>
      <c r="P2251" s="17"/>
      <c r="Q2251" s="17"/>
      <c r="R2251" s="17"/>
      <c r="S2251" s="17"/>
      <c r="U2251" s="24"/>
      <c r="V2251" s="24"/>
      <c r="W2251" s="24"/>
    </row>
    <row r="2252">
      <c r="A2252" s="11"/>
      <c r="B2252" s="23"/>
      <c r="C2252" s="23"/>
      <c r="D2252" s="23"/>
      <c r="E2252" s="23"/>
      <c r="F2252" s="1"/>
      <c r="G2252" s="23"/>
      <c r="H2252" s="23"/>
      <c r="I2252" s="23"/>
      <c r="J2252" s="2"/>
      <c r="K2252" s="18"/>
      <c r="L2252" s="20"/>
      <c r="M2252" s="2"/>
      <c r="N2252" s="17"/>
      <c r="P2252" s="17"/>
      <c r="Q2252" s="17"/>
      <c r="R2252" s="17"/>
      <c r="S2252" s="17"/>
      <c r="U2252" s="24"/>
      <c r="V2252" s="24"/>
      <c r="W2252" s="24"/>
    </row>
    <row r="2253">
      <c r="A2253" s="11"/>
      <c r="B2253" s="23"/>
      <c r="C2253" s="23"/>
      <c r="D2253" s="23"/>
      <c r="E2253" s="23"/>
      <c r="F2253" s="1"/>
      <c r="G2253" s="23"/>
      <c r="H2253" s="23"/>
      <c r="I2253" s="23"/>
      <c r="J2253" s="2"/>
      <c r="K2253" s="18"/>
      <c r="L2253" s="20"/>
      <c r="M2253" s="2"/>
      <c r="N2253" s="17"/>
      <c r="P2253" s="17"/>
      <c r="Q2253" s="17"/>
      <c r="R2253" s="17"/>
      <c r="S2253" s="17"/>
      <c r="U2253" s="24"/>
      <c r="V2253" s="24"/>
      <c r="W2253" s="24"/>
    </row>
    <row r="2254">
      <c r="A2254" s="11"/>
      <c r="B2254" s="23"/>
      <c r="C2254" s="23"/>
      <c r="D2254" s="23"/>
      <c r="E2254" s="23"/>
      <c r="F2254" s="1"/>
      <c r="G2254" s="23"/>
      <c r="H2254" s="23"/>
      <c r="I2254" s="23"/>
      <c r="J2254" s="2"/>
      <c r="K2254" s="18"/>
      <c r="L2254" s="20"/>
      <c r="M2254" s="2"/>
      <c r="N2254" s="17"/>
      <c r="P2254" s="17"/>
      <c r="Q2254" s="17"/>
      <c r="R2254" s="17"/>
      <c r="S2254" s="17"/>
      <c r="U2254" s="24"/>
      <c r="V2254" s="24"/>
      <c r="W2254" s="24"/>
    </row>
    <row r="2255">
      <c r="A2255" s="11"/>
      <c r="B2255" s="23"/>
      <c r="C2255" s="23"/>
      <c r="D2255" s="23"/>
      <c r="E2255" s="23"/>
      <c r="F2255" s="1"/>
      <c r="G2255" s="23"/>
      <c r="H2255" s="23"/>
      <c r="I2255" s="23"/>
      <c r="J2255" s="2"/>
      <c r="K2255" s="18"/>
      <c r="L2255" s="20"/>
      <c r="M2255" s="2"/>
      <c r="N2255" s="17"/>
      <c r="P2255" s="17"/>
      <c r="Q2255" s="17"/>
      <c r="R2255" s="17"/>
      <c r="S2255" s="17"/>
      <c r="U2255" s="24"/>
      <c r="V2255" s="24"/>
      <c r="W2255" s="24"/>
    </row>
    <row r="2256">
      <c r="A2256" s="11"/>
      <c r="B2256" s="23"/>
      <c r="C2256" s="23"/>
      <c r="D2256" s="23"/>
      <c r="E2256" s="23"/>
      <c r="F2256" s="1"/>
      <c r="G2256" s="23"/>
      <c r="H2256" s="23"/>
      <c r="I2256" s="23"/>
      <c r="J2256" s="2"/>
      <c r="K2256" s="18"/>
      <c r="L2256" s="20"/>
      <c r="M2256" s="2"/>
      <c r="N2256" s="17"/>
      <c r="P2256" s="17"/>
      <c r="Q2256" s="17"/>
      <c r="R2256" s="17"/>
      <c r="S2256" s="17"/>
      <c r="U2256" s="24"/>
      <c r="V2256" s="24"/>
      <c r="W2256" s="24"/>
    </row>
    <row r="2257">
      <c r="A2257" s="11"/>
      <c r="B2257" s="23"/>
      <c r="C2257" s="23"/>
      <c r="D2257" s="23"/>
      <c r="E2257" s="23"/>
      <c r="F2257" s="1"/>
      <c r="G2257" s="23"/>
      <c r="H2257" s="23"/>
      <c r="I2257" s="23"/>
      <c r="J2257" s="2"/>
      <c r="K2257" s="18"/>
      <c r="L2257" s="20"/>
      <c r="M2257" s="2"/>
      <c r="N2257" s="17"/>
      <c r="P2257" s="17"/>
      <c r="Q2257" s="17"/>
      <c r="R2257" s="17"/>
      <c r="S2257" s="17"/>
      <c r="U2257" s="24"/>
      <c r="V2257" s="24"/>
      <c r="W2257" s="24"/>
    </row>
    <row r="2258">
      <c r="A2258" s="11"/>
      <c r="B2258" s="23"/>
      <c r="C2258" s="23"/>
      <c r="D2258" s="23"/>
      <c r="E2258" s="23"/>
      <c r="F2258" s="1"/>
      <c r="G2258" s="23"/>
      <c r="H2258" s="23"/>
      <c r="I2258" s="23"/>
      <c r="J2258" s="2"/>
      <c r="K2258" s="18"/>
      <c r="L2258" s="20"/>
      <c r="M2258" s="2"/>
      <c r="N2258" s="17"/>
      <c r="P2258" s="17"/>
      <c r="Q2258" s="17"/>
      <c r="R2258" s="17"/>
      <c r="S2258" s="17"/>
      <c r="U2258" s="24"/>
      <c r="V2258" s="24"/>
      <c r="W2258" s="24"/>
    </row>
    <row r="2259">
      <c r="A2259" s="11"/>
      <c r="B2259" s="23"/>
      <c r="C2259" s="23"/>
      <c r="D2259" s="23"/>
      <c r="E2259" s="23"/>
      <c r="F2259" s="1"/>
      <c r="G2259" s="23"/>
      <c r="H2259" s="23"/>
      <c r="I2259" s="23"/>
      <c r="J2259" s="2"/>
      <c r="K2259" s="18"/>
      <c r="L2259" s="20"/>
      <c r="M2259" s="2"/>
      <c r="N2259" s="17"/>
      <c r="P2259" s="17"/>
      <c r="Q2259" s="17"/>
      <c r="R2259" s="17"/>
      <c r="S2259" s="17"/>
      <c r="U2259" s="24"/>
      <c r="V2259" s="24"/>
      <c r="W2259" s="24"/>
    </row>
    <row r="2260">
      <c r="A2260" s="11"/>
      <c r="B2260" s="23"/>
      <c r="C2260" s="23"/>
      <c r="D2260" s="23"/>
      <c r="E2260" s="23"/>
      <c r="F2260" s="1"/>
      <c r="G2260" s="23"/>
      <c r="H2260" s="23"/>
      <c r="I2260" s="23"/>
      <c r="J2260" s="2"/>
      <c r="K2260" s="18"/>
      <c r="L2260" s="20"/>
      <c r="M2260" s="2"/>
      <c r="N2260" s="17"/>
      <c r="P2260" s="17"/>
      <c r="Q2260" s="17"/>
      <c r="R2260" s="17"/>
      <c r="S2260" s="17"/>
      <c r="U2260" s="24"/>
      <c r="V2260" s="24"/>
      <c r="W2260" s="24"/>
    </row>
    <row r="2261">
      <c r="A2261" s="11"/>
      <c r="B2261" s="23"/>
      <c r="C2261" s="23"/>
      <c r="D2261" s="23"/>
      <c r="E2261" s="23"/>
      <c r="F2261" s="1"/>
      <c r="G2261" s="23"/>
      <c r="H2261" s="23"/>
      <c r="I2261" s="23"/>
      <c r="J2261" s="2"/>
      <c r="K2261" s="18"/>
      <c r="L2261" s="20"/>
      <c r="M2261" s="2"/>
      <c r="N2261" s="17"/>
      <c r="P2261" s="17"/>
      <c r="Q2261" s="17"/>
      <c r="R2261" s="17"/>
      <c r="S2261" s="17"/>
      <c r="U2261" s="24"/>
      <c r="V2261" s="24"/>
      <c r="W2261" s="24"/>
    </row>
    <row r="2262">
      <c r="A2262" s="11"/>
      <c r="B2262" s="23"/>
      <c r="C2262" s="23"/>
      <c r="D2262" s="23"/>
      <c r="E2262" s="23"/>
      <c r="F2262" s="1"/>
      <c r="G2262" s="23"/>
      <c r="H2262" s="23"/>
      <c r="I2262" s="23"/>
      <c r="J2262" s="2"/>
      <c r="K2262" s="18"/>
      <c r="L2262" s="20"/>
      <c r="M2262" s="2"/>
      <c r="N2262" s="17"/>
      <c r="P2262" s="17"/>
      <c r="Q2262" s="17"/>
      <c r="R2262" s="17"/>
      <c r="S2262" s="17"/>
      <c r="U2262" s="24"/>
      <c r="V2262" s="24"/>
      <c r="W2262" s="24"/>
    </row>
    <row r="2263">
      <c r="A2263" s="11"/>
      <c r="B2263" s="23"/>
      <c r="C2263" s="23"/>
      <c r="D2263" s="23"/>
      <c r="E2263" s="23"/>
      <c r="F2263" s="1"/>
      <c r="G2263" s="23"/>
      <c r="H2263" s="23"/>
      <c r="I2263" s="23"/>
      <c r="J2263" s="2"/>
      <c r="K2263" s="18"/>
      <c r="L2263" s="20"/>
      <c r="M2263" s="2"/>
      <c r="N2263" s="17"/>
      <c r="P2263" s="17"/>
      <c r="Q2263" s="17"/>
      <c r="R2263" s="17"/>
      <c r="S2263" s="17"/>
      <c r="U2263" s="24"/>
      <c r="V2263" s="24"/>
      <c r="W2263" s="24"/>
    </row>
    <row r="2264">
      <c r="A2264" s="11"/>
      <c r="B2264" s="23"/>
      <c r="C2264" s="23"/>
      <c r="D2264" s="23"/>
      <c r="E2264" s="23"/>
      <c r="F2264" s="1"/>
      <c r="G2264" s="23"/>
      <c r="H2264" s="23"/>
      <c r="I2264" s="23"/>
      <c r="J2264" s="2"/>
      <c r="K2264" s="18"/>
      <c r="L2264" s="20"/>
      <c r="M2264" s="2"/>
      <c r="N2264" s="17"/>
      <c r="P2264" s="17"/>
      <c r="Q2264" s="17"/>
      <c r="R2264" s="17"/>
      <c r="S2264" s="17"/>
      <c r="U2264" s="24"/>
      <c r="V2264" s="24"/>
      <c r="W2264" s="24"/>
    </row>
    <row r="2265">
      <c r="A2265" s="11"/>
      <c r="B2265" s="23"/>
      <c r="C2265" s="23"/>
      <c r="D2265" s="23"/>
      <c r="E2265" s="23"/>
      <c r="F2265" s="1"/>
      <c r="G2265" s="23"/>
      <c r="H2265" s="23"/>
      <c r="I2265" s="23"/>
      <c r="J2265" s="2"/>
      <c r="K2265" s="18"/>
      <c r="L2265" s="20"/>
      <c r="M2265" s="2"/>
      <c r="N2265" s="17"/>
      <c r="P2265" s="17"/>
      <c r="Q2265" s="17"/>
      <c r="R2265" s="17"/>
      <c r="S2265" s="17"/>
      <c r="U2265" s="24"/>
      <c r="V2265" s="24"/>
      <c r="W2265" s="24"/>
    </row>
    <row r="2266">
      <c r="A2266" s="11"/>
      <c r="B2266" s="23"/>
      <c r="C2266" s="23"/>
      <c r="D2266" s="23"/>
      <c r="E2266" s="23"/>
      <c r="F2266" s="1"/>
      <c r="G2266" s="23"/>
      <c r="H2266" s="23"/>
      <c r="I2266" s="23"/>
      <c r="J2266" s="2"/>
      <c r="K2266" s="18"/>
      <c r="L2266" s="20"/>
      <c r="M2266" s="2"/>
      <c r="N2266" s="17"/>
      <c r="P2266" s="17"/>
      <c r="Q2266" s="17"/>
      <c r="R2266" s="17"/>
      <c r="S2266" s="17"/>
      <c r="U2266" s="24"/>
      <c r="V2266" s="24"/>
      <c r="W2266" s="24"/>
    </row>
    <row r="2267">
      <c r="A2267" s="11"/>
      <c r="B2267" s="23"/>
      <c r="C2267" s="23"/>
      <c r="D2267" s="23"/>
      <c r="E2267" s="23"/>
      <c r="F2267" s="1"/>
      <c r="G2267" s="23"/>
      <c r="H2267" s="23"/>
      <c r="I2267" s="23"/>
      <c r="J2267" s="2"/>
      <c r="K2267" s="18"/>
      <c r="L2267" s="20"/>
      <c r="M2267" s="2"/>
      <c r="N2267" s="17"/>
      <c r="P2267" s="17"/>
      <c r="Q2267" s="17"/>
      <c r="R2267" s="17"/>
      <c r="S2267" s="17"/>
      <c r="U2267" s="24"/>
      <c r="V2267" s="24"/>
      <c r="W2267" s="24"/>
    </row>
    <row r="2268">
      <c r="A2268" s="11"/>
      <c r="B2268" s="23"/>
      <c r="C2268" s="23"/>
      <c r="D2268" s="23"/>
      <c r="E2268" s="23"/>
      <c r="F2268" s="1"/>
      <c r="G2268" s="23"/>
      <c r="H2268" s="23"/>
      <c r="I2268" s="23"/>
      <c r="J2268" s="2"/>
      <c r="K2268" s="18"/>
      <c r="L2268" s="20"/>
      <c r="M2268" s="2"/>
      <c r="N2268" s="17"/>
      <c r="P2268" s="17"/>
      <c r="Q2268" s="17"/>
      <c r="R2268" s="17"/>
      <c r="S2268" s="17"/>
      <c r="U2268" s="24"/>
      <c r="V2268" s="24"/>
      <c r="W2268" s="24"/>
    </row>
    <row r="2269">
      <c r="A2269" s="11"/>
      <c r="B2269" s="23"/>
      <c r="C2269" s="23"/>
      <c r="D2269" s="23"/>
      <c r="E2269" s="23"/>
      <c r="F2269" s="1"/>
      <c r="G2269" s="23"/>
      <c r="H2269" s="23"/>
      <c r="I2269" s="23"/>
      <c r="J2269" s="2"/>
      <c r="K2269" s="18"/>
      <c r="L2269" s="20"/>
      <c r="M2269" s="2"/>
      <c r="N2269" s="17"/>
      <c r="P2269" s="17"/>
      <c r="Q2269" s="17"/>
      <c r="R2269" s="17"/>
      <c r="S2269" s="17"/>
      <c r="U2269" s="24"/>
      <c r="V2269" s="24"/>
      <c r="W2269" s="24"/>
    </row>
    <row r="2270">
      <c r="A2270" s="11"/>
      <c r="B2270" s="23"/>
      <c r="C2270" s="23"/>
      <c r="D2270" s="23"/>
      <c r="E2270" s="23"/>
      <c r="F2270" s="1"/>
      <c r="G2270" s="23"/>
      <c r="H2270" s="23"/>
      <c r="I2270" s="23"/>
      <c r="J2270" s="2"/>
      <c r="K2270" s="18"/>
      <c r="L2270" s="20"/>
      <c r="M2270" s="2"/>
      <c r="N2270" s="17"/>
      <c r="P2270" s="17"/>
      <c r="Q2270" s="17"/>
      <c r="R2270" s="17"/>
      <c r="S2270" s="17"/>
      <c r="U2270" s="24"/>
      <c r="V2270" s="24"/>
      <c r="W2270" s="24"/>
    </row>
    <row r="2271">
      <c r="A2271" s="11"/>
      <c r="B2271" s="23"/>
      <c r="C2271" s="23"/>
      <c r="D2271" s="23"/>
      <c r="E2271" s="23"/>
      <c r="F2271" s="1"/>
      <c r="G2271" s="23"/>
      <c r="H2271" s="23"/>
      <c r="I2271" s="23"/>
      <c r="J2271" s="2"/>
      <c r="K2271" s="18"/>
      <c r="L2271" s="20"/>
      <c r="M2271" s="2"/>
      <c r="N2271" s="17"/>
      <c r="P2271" s="17"/>
      <c r="Q2271" s="17"/>
      <c r="R2271" s="17"/>
      <c r="S2271" s="17"/>
      <c r="U2271" s="24"/>
      <c r="V2271" s="24"/>
      <c r="W2271" s="24"/>
    </row>
    <row r="2272">
      <c r="A2272" s="11"/>
      <c r="B2272" s="23"/>
      <c r="C2272" s="23"/>
      <c r="D2272" s="23"/>
      <c r="E2272" s="23"/>
      <c r="F2272" s="1"/>
      <c r="G2272" s="23"/>
      <c r="H2272" s="23"/>
      <c r="I2272" s="23"/>
      <c r="J2272" s="2"/>
      <c r="K2272" s="18"/>
      <c r="L2272" s="20"/>
      <c r="M2272" s="2"/>
      <c r="N2272" s="17"/>
      <c r="P2272" s="17"/>
      <c r="Q2272" s="17"/>
      <c r="R2272" s="17"/>
      <c r="S2272" s="17"/>
      <c r="U2272" s="24"/>
      <c r="V2272" s="24"/>
      <c r="W2272" s="24"/>
    </row>
    <row r="2273">
      <c r="A2273" s="11"/>
      <c r="B2273" s="23"/>
      <c r="C2273" s="23"/>
      <c r="D2273" s="23"/>
      <c r="E2273" s="23"/>
      <c r="F2273" s="1"/>
      <c r="G2273" s="23"/>
      <c r="H2273" s="23"/>
      <c r="I2273" s="23"/>
      <c r="J2273" s="2"/>
      <c r="K2273" s="18"/>
      <c r="L2273" s="20"/>
      <c r="M2273" s="2"/>
      <c r="N2273" s="17"/>
      <c r="P2273" s="17"/>
      <c r="Q2273" s="17"/>
      <c r="R2273" s="17"/>
      <c r="S2273" s="17"/>
      <c r="U2273" s="24"/>
      <c r="V2273" s="24"/>
      <c r="W2273" s="24"/>
    </row>
    <row r="2274">
      <c r="A2274" s="11"/>
      <c r="B2274" s="23"/>
      <c r="C2274" s="23"/>
      <c r="D2274" s="23"/>
      <c r="E2274" s="23"/>
      <c r="F2274" s="1"/>
      <c r="G2274" s="23"/>
      <c r="H2274" s="23"/>
      <c r="I2274" s="23"/>
      <c r="J2274" s="2"/>
      <c r="K2274" s="18"/>
      <c r="L2274" s="20"/>
      <c r="M2274" s="2"/>
      <c r="N2274" s="17"/>
      <c r="P2274" s="17"/>
      <c r="Q2274" s="17"/>
      <c r="R2274" s="17"/>
      <c r="S2274" s="17"/>
      <c r="U2274" s="24"/>
      <c r="V2274" s="24"/>
      <c r="W2274" s="24"/>
    </row>
    <row r="2275">
      <c r="A2275" s="11"/>
      <c r="B2275" s="23"/>
      <c r="C2275" s="23"/>
      <c r="D2275" s="23"/>
      <c r="E2275" s="23"/>
      <c r="F2275" s="1"/>
      <c r="G2275" s="23"/>
      <c r="H2275" s="23"/>
      <c r="I2275" s="23"/>
      <c r="J2275" s="2"/>
      <c r="K2275" s="18"/>
      <c r="L2275" s="20"/>
      <c r="M2275" s="2"/>
      <c r="N2275" s="17"/>
      <c r="P2275" s="17"/>
      <c r="Q2275" s="17"/>
      <c r="R2275" s="17"/>
      <c r="S2275" s="17"/>
      <c r="U2275" s="24"/>
      <c r="V2275" s="24"/>
      <c r="W2275" s="24"/>
    </row>
    <row r="2276">
      <c r="A2276" s="11"/>
      <c r="B2276" s="23"/>
      <c r="C2276" s="23"/>
      <c r="D2276" s="23"/>
      <c r="E2276" s="23"/>
      <c r="F2276" s="1"/>
      <c r="G2276" s="23"/>
      <c r="H2276" s="23"/>
      <c r="I2276" s="23"/>
      <c r="J2276" s="2"/>
      <c r="K2276" s="18"/>
      <c r="L2276" s="20"/>
      <c r="M2276" s="2"/>
      <c r="N2276" s="17"/>
      <c r="P2276" s="17"/>
      <c r="Q2276" s="17"/>
      <c r="R2276" s="17"/>
      <c r="S2276" s="17"/>
      <c r="U2276" s="24"/>
      <c r="V2276" s="24"/>
      <c r="W2276" s="24"/>
    </row>
    <row r="2277">
      <c r="A2277" s="11"/>
      <c r="B2277" s="23"/>
      <c r="C2277" s="23"/>
      <c r="D2277" s="23"/>
      <c r="E2277" s="23"/>
      <c r="F2277" s="1"/>
      <c r="G2277" s="23"/>
      <c r="H2277" s="23"/>
      <c r="I2277" s="23"/>
      <c r="J2277" s="2"/>
      <c r="K2277" s="18"/>
      <c r="L2277" s="20"/>
      <c r="M2277" s="2"/>
      <c r="N2277" s="17"/>
      <c r="P2277" s="17"/>
      <c r="Q2277" s="17"/>
      <c r="R2277" s="17"/>
      <c r="S2277" s="17"/>
      <c r="U2277" s="24"/>
      <c r="V2277" s="24"/>
      <c r="W2277" s="24"/>
    </row>
    <row r="2278">
      <c r="A2278" s="11"/>
      <c r="B2278" s="23"/>
      <c r="C2278" s="23"/>
      <c r="D2278" s="23"/>
      <c r="E2278" s="23"/>
      <c r="F2278" s="1"/>
      <c r="G2278" s="23"/>
      <c r="H2278" s="23"/>
      <c r="I2278" s="23"/>
      <c r="J2278" s="2"/>
      <c r="K2278" s="18"/>
      <c r="L2278" s="20"/>
      <c r="M2278" s="2"/>
      <c r="N2278" s="17"/>
      <c r="P2278" s="17"/>
      <c r="Q2278" s="17"/>
      <c r="R2278" s="17"/>
      <c r="S2278" s="17"/>
      <c r="U2278" s="24"/>
      <c r="V2278" s="24"/>
      <c r="W2278" s="24"/>
    </row>
    <row r="2279">
      <c r="A2279" s="11"/>
      <c r="B2279" s="23"/>
      <c r="C2279" s="23"/>
      <c r="D2279" s="23"/>
      <c r="E2279" s="23"/>
      <c r="F2279" s="1"/>
      <c r="G2279" s="23"/>
      <c r="H2279" s="23"/>
      <c r="I2279" s="23"/>
      <c r="J2279" s="2"/>
      <c r="K2279" s="18"/>
      <c r="L2279" s="20"/>
      <c r="M2279" s="2"/>
      <c r="N2279" s="17"/>
      <c r="P2279" s="17"/>
      <c r="Q2279" s="17"/>
      <c r="R2279" s="17"/>
      <c r="S2279" s="17"/>
      <c r="U2279" s="24"/>
      <c r="V2279" s="24"/>
      <c r="W2279" s="24"/>
    </row>
    <row r="2280">
      <c r="A2280" s="11"/>
      <c r="B2280" s="23"/>
      <c r="C2280" s="23"/>
      <c r="D2280" s="23"/>
      <c r="E2280" s="23"/>
      <c r="F2280" s="1"/>
      <c r="G2280" s="23"/>
      <c r="H2280" s="23"/>
      <c r="I2280" s="23"/>
      <c r="J2280" s="2"/>
      <c r="K2280" s="18"/>
      <c r="L2280" s="20"/>
      <c r="M2280" s="2"/>
      <c r="N2280" s="17"/>
      <c r="P2280" s="17"/>
      <c r="Q2280" s="17"/>
      <c r="R2280" s="17"/>
      <c r="S2280" s="17"/>
      <c r="U2280" s="24"/>
      <c r="V2280" s="24"/>
      <c r="W2280" s="24"/>
    </row>
    <row r="2281">
      <c r="A2281" s="11"/>
      <c r="B2281" s="23"/>
      <c r="C2281" s="23"/>
      <c r="D2281" s="23"/>
      <c r="E2281" s="23"/>
      <c r="F2281" s="1"/>
      <c r="G2281" s="23"/>
      <c r="H2281" s="23"/>
      <c r="I2281" s="23"/>
      <c r="J2281" s="2"/>
      <c r="K2281" s="18"/>
      <c r="L2281" s="20"/>
      <c r="M2281" s="2"/>
      <c r="N2281" s="17"/>
      <c r="P2281" s="17"/>
      <c r="Q2281" s="17"/>
      <c r="R2281" s="17"/>
      <c r="S2281" s="17"/>
      <c r="U2281" s="24"/>
      <c r="V2281" s="24"/>
      <c r="W2281" s="24"/>
    </row>
    <row r="2282">
      <c r="A2282" s="11"/>
      <c r="B2282" s="23"/>
      <c r="C2282" s="23"/>
      <c r="D2282" s="23"/>
      <c r="E2282" s="23"/>
      <c r="F2282" s="1"/>
      <c r="G2282" s="23"/>
      <c r="H2282" s="23"/>
      <c r="I2282" s="23"/>
      <c r="J2282" s="2"/>
      <c r="K2282" s="18"/>
      <c r="L2282" s="20"/>
      <c r="M2282" s="2"/>
      <c r="N2282" s="17"/>
      <c r="P2282" s="17"/>
      <c r="Q2282" s="17"/>
      <c r="R2282" s="17"/>
      <c r="S2282" s="17"/>
      <c r="U2282" s="24"/>
      <c r="V2282" s="24"/>
      <c r="W2282" s="24"/>
    </row>
    <row r="2283">
      <c r="A2283" s="11"/>
      <c r="B2283" s="23"/>
      <c r="C2283" s="23"/>
      <c r="D2283" s="23"/>
      <c r="E2283" s="23"/>
      <c r="F2283" s="1"/>
      <c r="G2283" s="23"/>
      <c r="H2283" s="23"/>
      <c r="I2283" s="23"/>
      <c r="J2283" s="2"/>
      <c r="K2283" s="18"/>
      <c r="L2283" s="20"/>
      <c r="M2283" s="2"/>
      <c r="N2283" s="17"/>
      <c r="P2283" s="17"/>
      <c r="Q2283" s="17"/>
      <c r="R2283" s="17"/>
      <c r="S2283" s="17"/>
      <c r="U2283" s="24"/>
      <c r="V2283" s="24"/>
      <c r="W2283" s="24"/>
    </row>
    <row r="2284">
      <c r="A2284" s="11"/>
      <c r="B2284" s="23"/>
      <c r="C2284" s="23"/>
      <c r="D2284" s="23"/>
      <c r="E2284" s="23"/>
      <c r="F2284" s="1"/>
      <c r="G2284" s="23"/>
      <c r="H2284" s="23"/>
      <c r="I2284" s="23"/>
      <c r="J2284" s="2"/>
      <c r="K2284" s="18"/>
      <c r="L2284" s="20"/>
      <c r="M2284" s="2"/>
      <c r="N2284" s="17"/>
      <c r="P2284" s="17"/>
      <c r="Q2284" s="17"/>
      <c r="R2284" s="17"/>
      <c r="S2284" s="17"/>
      <c r="U2284" s="24"/>
      <c r="V2284" s="24"/>
      <c r="W2284" s="24"/>
    </row>
    <row r="2285">
      <c r="A2285" s="11"/>
      <c r="B2285" s="23"/>
      <c r="C2285" s="23"/>
      <c r="D2285" s="23"/>
      <c r="E2285" s="23"/>
      <c r="F2285" s="1"/>
      <c r="G2285" s="23"/>
      <c r="H2285" s="23"/>
      <c r="I2285" s="23"/>
      <c r="J2285" s="2"/>
      <c r="K2285" s="18"/>
      <c r="L2285" s="20"/>
      <c r="M2285" s="2"/>
      <c r="N2285" s="17"/>
      <c r="P2285" s="17"/>
      <c r="Q2285" s="17"/>
      <c r="R2285" s="17"/>
      <c r="S2285" s="17"/>
      <c r="U2285" s="24"/>
      <c r="V2285" s="24"/>
      <c r="W2285" s="24"/>
    </row>
    <row r="2286">
      <c r="A2286" s="11"/>
      <c r="B2286" s="23"/>
      <c r="C2286" s="23"/>
      <c r="D2286" s="23"/>
      <c r="E2286" s="23"/>
      <c r="F2286" s="1"/>
      <c r="G2286" s="23"/>
      <c r="H2286" s="23"/>
      <c r="I2286" s="23"/>
      <c r="J2286" s="2"/>
      <c r="K2286" s="18"/>
      <c r="L2286" s="20"/>
      <c r="M2286" s="2"/>
      <c r="N2286" s="17"/>
      <c r="P2286" s="17"/>
      <c r="Q2286" s="17"/>
      <c r="R2286" s="17"/>
      <c r="S2286" s="17"/>
      <c r="U2286" s="24"/>
      <c r="V2286" s="24"/>
      <c r="W2286" s="24"/>
    </row>
    <row r="2287">
      <c r="A2287" s="11"/>
      <c r="B2287" s="23"/>
      <c r="C2287" s="23"/>
      <c r="D2287" s="23"/>
      <c r="E2287" s="23"/>
      <c r="F2287" s="1"/>
      <c r="G2287" s="23"/>
      <c r="H2287" s="23"/>
      <c r="I2287" s="23"/>
      <c r="J2287" s="2"/>
      <c r="K2287" s="18"/>
      <c r="L2287" s="20"/>
      <c r="M2287" s="2"/>
      <c r="N2287" s="17"/>
      <c r="P2287" s="17"/>
      <c r="Q2287" s="17"/>
      <c r="R2287" s="17"/>
      <c r="S2287" s="17"/>
      <c r="U2287" s="24"/>
      <c r="V2287" s="24"/>
      <c r="W2287" s="24"/>
    </row>
    <row r="2288">
      <c r="A2288" s="11"/>
      <c r="B2288" s="23"/>
      <c r="C2288" s="23"/>
      <c r="D2288" s="23"/>
      <c r="E2288" s="23"/>
      <c r="F2288" s="1"/>
      <c r="G2288" s="23"/>
      <c r="H2288" s="23"/>
      <c r="I2288" s="23"/>
      <c r="J2288" s="2"/>
      <c r="K2288" s="18"/>
      <c r="L2288" s="20"/>
      <c r="M2288" s="2"/>
      <c r="N2288" s="17"/>
      <c r="P2288" s="17"/>
      <c r="Q2288" s="17"/>
      <c r="R2288" s="17"/>
      <c r="S2288" s="17"/>
      <c r="U2288" s="24"/>
      <c r="V2288" s="24"/>
      <c r="W2288" s="24"/>
    </row>
    <row r="2289">
      <c r="A2289" s="11"/>
      <c r="B2289" s="23"/>
      <c r="C2289" s="23"/>
      <c r="D2289" s="23"/>
      <c r="E2289" s="23"/>
      <c r="F2289" s="1"/>
      <c r="G2289" s="23"/>
      <c r="H2289" s="23"/>
      <c r="I2289" s="23"/>
      <c r="J2289" s="2"/>
      <c r="K2289" s="18"/>
      <c r="L2289" s="20"/>
      <c r="M2289" s="2"/>
      <c r="N2289" s="17"/>
      <c r="P2289" s="17"/>
      <c r="Q2289" s="17"/>
      <c r="R2289" s="17"/>
      <c r="S2289" s="17"/>
      <c r="U2289" s="24"/>
      <c r="V2289" s="24"/>
      <c r="W2289" s="24"/>
    </row>
    <row r="2290">
      <c r="A2290" s="11"/>
      <c r="B2290" s="23"/>
      <c r="C2290" s="23"/>
      <c r="D2290" s="23"/>
      <c r="E2290" s="23"/>
      <c r="F2290" s="1"/>
      <c r="G2290" s="23"/>
      <c r="H2290" s="23"/>
      <c r="I2290" s="23"/>
      <c r="J2290" s="2"/>
      <c r="K2290" s="18"/>
      <c r="L2290" s="20"/>
      <c r="M2290" s="2"/>
      <c r="N2290" s="17"/>
      <c r="P2290" s="17"/>
      <c r="Q2290" s="17"/>
      <c r="R2290" s="17"/>
      <c r="S2290" s="17"/>
      <c r="U2290" s="24"/>
      <c r="V2290" s="24"/>
      <c r="W2290" s="24"/>
    </row>
    <row r="2291">
      <c r="A2291" s="11"/>
      <c r="B2291" s="23"/>
      <c r="C2291" s="23"/>
      <c r="D2291" s="23"/>
      <c r="E2291" s="23"/>
      <c r="F2291" s="1"/>
      <c r="G2291" s="23"/>
      <c r="H2291" s="23"/>
      <c r="I2291" s="23"/>
      <c r="J2291" s="2"/>
      <c r="K2291" s="18"/>
      <c r="L2291" s="20"/>
      <c r="M2291" s="2"/>
      <c r="N2291" s="17"/>
      <c r="P2291" s="17"/>
      <c r="Q2291" s="17"/>
      <c r="R2291" s="17"/>
      <c r="S2291" s="17"/>
      <c r="U2291" s="24"/>
      <c r="V2291" s="24"/>
      <c r="W2291" s="24"/>
    </row>
    <row r="2292">
      <c r="A2292" s="11"/>
      <c r="B2292" s="23"/>
      <c r="C2292" s="23"/>
      <c r="D2292" s="23"/>
      <c r="E2292" s="23"/>
      <c r="F2292" s="1"/>
      <c r="G2292" s="23"/>
      <c r="H2292" s="23"/>
      <c r="I2292" s="23"/>
      <c r="J2292" s="2"/>
      <c r="K2292" s="18"/>
      <c r="L2292" s="20"/>
      <c r="M2292" s="2"/>
      <c r="N2292" s="17"/>
      <c r="P2292" s="17"/>
      <c r="Q2292" s="17"/>
      <c r="R2292" s="17"/>
      <c r="S2292" s="17"/>
      <c r="U2292" s="24"/>
      <c r="V2292" s="24"/>
      <c r="W2292" s="24"/>
    </row>
    <row r="2293">
      <c r="A2293" s="11"/>
      <c r="B2293" s="23"/>
      <c r="C2293" s="23"/>
      <c r="D2293" s="23"/>
      <c r="E2293" s="23"/>
      <c r="F2293" s="1"/>
      <c r="G2293" s="23"/>
      <c r="H2293" s="23"/>
      <c r="I2293" s="23"/>
      <c r="J2293" s="2"/>
      <c r="K2293" s="18"/>
      <c r="L2293" s="20"/>
      <c r="M2293" s="2"/>
      <c r="N2293" s="17"/>
      <c r="P2293" s="17"/>
      <c r="Q2293" s="17"/>
      <c r="R2293" s="17"/>
      <c r="S2293" s="17"/>
      <c r="U2293" s="24"/>
      <c r="V2293" s="24"/>
      <c r="W2293" s="24"/>
    </row>
    <row r="2294">
      <c r="A2294" s="11"/>
      <c r="B2294" s="23"/>
      <c r="C2294" s="23"/>
      <c r="D2294" s="23"/>
      <c r="E2294" s="23"/>
      <c r="F2294" s="1"/>
      <c r="G2294" s="23"/>
      <c r="H2294" s="23"/>
      <c r="I2294" s="23"/>
      <c r="J2294" s="2"/>
      <c r="K2294" s="18"/>
      <c r="L2294" s="20"/>
      <c r="M2294" s="2"/>
      <c r="N2294" s="17"/>
      <c r="P2294" s="17"/>
      <c r="Q2294" s="17"/>
      <c r="R2294" s="17"/>
      <c r="S2294" s="17"/>
      <c r="U2294" s="24"/>
      <c r="V2294" s="24"/>
      <c r="W2294" s="24"/>
    </row>
    <row r="2295">
      <c r="A2295" s="11"/>
      <c r="B2295" s="23"/>
      <c r="C2295" s="23"/>
      <c r="D2295" s="23"/>
      <c r="E2295" s="23"/>
      <c r="F2295" s="1"/>
      <c r="G2295" s="23"/>
      <c r="H2295" s="23"/>
      <c r="I2295" s="23"/>
      <c r="J2295" s="2"/>
      <c r="K2295" s="18"/>
      <c r="L2295" s="20"/>
      <c r="M2295" s="2"/>
      <c r="N2295" s="17"/>
      <c r="P2295" s="17"/>
      <c r="Q2295" s="17"/>
      <c r="R2295" s="17"/>
      <c r="S2295" s="17"/>
      <c r="U2295" s="24"/>
      <c r="V2295" s="24"/>
      <c r="W2295" s="24"/>
    </row>
    <row r="2296">
      <c r="A2296" s="11"/>
      <c r="B2296" s="23"/>
      <c r="C2296" s="23"/>
      <c r="D2296" s="23"/>
      <c r="E2296" s="23"/>
      <c r="F2296" s="1"/>
      <c r="G2296" s="23"/>
      <c r="H2296" s="23"/>
      <c r="I2296" s="23"/>
      <c r="J2296" s="2"/>
      <c r="K2296" s="18"/>
      <c r="L2296" s="20"/>
      <c r="M2296" s="2"/>
      <c r="N2296" s="17"/>
      <c r="P2296" s="17"/>
      <c r="Q2296" s="17"/>
      <c r="R2296" s="17"/>
      <c r="S2296" s="17"/>
      <c r="U2296" s="24"/>
      <c r="V2296" s="24"/>
      <c r="W2296" s="24"/>
    </row>
    <row r="2297">
      <c r="A2297" s="11"/>
      <c r="B2297" s="23"/>
      <c r="C2297" s="23"/>
      <c r="D2297" s="23"/>
      <c r="E2297" s="23"/>
      <c r="F2297" s="1"/>
      <c r="G2297" s="23"/>
      <c r="H2297" s="23"/>
      <c r="I2297" s="23"/>
      <c r="J2297" s="2"/>
      <c r="K2297" s="18"/>
      <c r="L2297" s="20"/>
      <c r="M2297" s="2"/>
      <c r="N2297" s="17"/>
      <c r="P2297" s="17"/>
      <c r="Q2297" s="17"/>
      <c r="R2297" s="17"/>
      <c r="S2297" s="17"/>
      <c r="U2297" s="24"/>
      <c r="V2297" s="24"/>
      <c r="W2297" s="24"/>
    </row>
    <row r="2298">
      <c r="A2298" s="11"/>
      <c r="B2298" s="23"/>
      <c r="C2298" s="23"/>
      <c r="D2298" s="23"/>
      <c r="E2298" s="23"/>
      <c r="F2298" s="1"/>
      <c r="G2298" s="23"/>
      <c r="H2298" s="23"/>
      <c r="I2298" s="23"/>
      <c r="J2298" s="2"/>
      <c r="K2298" s="18"/>
      <c r="L2298" s="20"/>
      <c r="M2298" s="2"/>
      <c r="N2298" s="17"/>
      <c r="P2298" s="17"/>
      <c r="Q2298" s="17"/>
      <c r="R2298" s="17"/>
      <c r="S2298" s="17"/>
      <c r="U2298" s="24"/>
      <c r="V2298" s="24"/>
      <c r="W2298" s="24"/>
    </row>
    <row r="2299">
      <c r="A2299" s="11"/>
      <c r="B2299" s="23"/>
      <c r="C2299" s="23"/>
      <c r="D2299" s="23"/>
      <c r="E2299" s="23"/>
      <c r="F2299" s="1"/>
      <c r="G2299" s="23"/>
      <c r="H2299" s="23"/>
      <c r="I2299" s="23"/>
      <c r="J2299" s="2"/>
      <c r="K2299" s="18"/>
      <c r="L2299" s="20"/>
      <c r="M2299" s="2"/>
      <c r="N2299" s="17"/>
      <c r="P2299" s="17"/>
      <c r="Q2299" s="17"/>
      <c r="R2299" s="17"/>
      <c r="S2299" s="17"/>
      <c r="U2299" s="24"/>
      <c r="V2299" s="24"/>
      <c r="W2299" s="24"/>
    </row>
    <row r="2300">
      <c r="A2300" s="11"/>
      <c r="B2300" s="23"/>
      <c r="C2300" s="23"/>
      <c r="D2300" s="23"/>
      <c r="E2300" s="23"/>
      <c r="F2300" s="1"/>
      <c r="G2300" s="23"/>
      <c r="H2300" s="23"/>
      <c r="I2300" s="23"/>
      <c r="J2300" s="2"/>
      <c r="K2300" s="18"/>
      <c r="L2300" s="20"/>
      <c r="M2300" s="2"/>
      <c r="N2300" s="17"/>
      <c r="P2300" s="17"/>
      <c r="Q2300" s="17"/>
      <c r="R2300" s="17"/>
      <c r="S2300" s="17"/>
      <c r="U2300" s="24"/>
      <c r="V2300" s="24"/>
      <c r="W2300" s="24"/>
    </row>
    <row r="2301">
      <c r="A2301" s="11"/>
      <c r="B2301" s="23"/>
      <c r="C2301" s="23"/>
      <c r="D2301" s="23"/>
      <c r="E2301" s="23"/>
      <c r="F2301" s="1"/>
      <c r="G2301" s="23"/>
      <c r="H2301" s="23"/>
      <c r="I2301" s="23"/>
      <c r="J2301" s="2"/>
      <c r="K2301" s="18"/>
      <c r="L2301" s="20"/>
      <c r="M2301" s="2"/>
      <c r="N2301" s="17"/>
      <c r="P2301" s="17"/>
      <c r="Q2301" s="17"/>
      <c r="R2301" s="17"/>
      <c r="S2301" s="17"/>
      <c r="U2301" s="24"/>
      <c r="V2301" s="24"/>
      <c r="W2301" s="24"/>
    </row>
    <row r="2302">
      <c r="A2302" s="11"/>
      <c r="B2302" s="23"/>
      <c r="C2302" s="23"/>
      <c r="D2302" s="23"/>
      <c r="E2302" s="23"/>
      <c r="F2302" s="1"/>
      <c r="G2302" s="23"/>
      <c r="H2302" s="23"/>
      <c r="I2302" s="23"/>
      <c r="J2302" s="2"/>
      <c r="K2302" s="18"/>
      <c r="L2302" s="20"/>
      <c r="M2302" s="2"/>
      <c r="N2302" s="17"/>
      <c r="P2302" s="17"/>
      <c r="Q2302" s="17"/>
      <c r="R2302" s="17"/>
      <c r="S2302" s="17"/>
      <c r="U2302" s="24"/>
      <c r="V2302" s="24"/>
      <c r="W2302" s="24"/>
    </row>
    <row r="2303">
      <c r="A2303" s="11"/>
      <c r="B2303" s="23"/>
      <c r="C2303" s="23"/>
      <c r="D2303" s="23"/>
      <c r="E2303" s="23"/>
      <c r="F2303" s="1"/>
      <c r="G2303" s="23"/>
      <c r="H2303" s="23"/>
      <c r="I2303" s="23"/>
      <c r="J2303" s="2"/>
      <c r="K2303" s="18"/>
      <c r="L2303" s="20"/>
      <c r="M2303" s="2"/>
      <c r="N2303" s="17"/>
      <c r="P2303" s="17"/>
      <c r="Q2303" s="17"/>
      <c r="R2303" s="17"/>
      <c r="S2303" s="17"/>
      <c r="U2303" s="24"/>
      <c r="V2303" s="24"/>
      <c r="W2303" s="24"/>
    </row>
    <row r="2304">
      <c r="A2304" s="11"/>
      <c r="B2304" s="23"/>
      <c r="C2304" s="23"/>
      <c r="D2304" s="23"/>
      <c r="E2304" s="23"/>
      <c r="F2304" s="1"/>
      <c r="G2304" s="23"/>
      <c r="H2304" s="23"/>
      <c r="I2304" s="23"/>
      <c r="J2304" s="2"/>
      <c r="K2304" s="18"/>
      <c r="L2304" s="20"/>
      <c r="M2304" s="2"/>
      <c r="N2304" s="17"/>
      <c r="P2304" s="17"/>
      <c r="Q2304" s="17"/>
      <c r="R2304" s="17"/>
      <c r="S2304" s="17"/>
      <c r="U2304" s="24"/>
      <c r="V2304" s="24"/>
      <c r="W2304" s="24"/>
    </row>
    <row r="2305">
      <c r="A2305" s="11"/>
      <c r="B2305" s="23"/>
      <c r="C2305" s="23"/>
      <c r="D2305" s="23"/>
      <c r="E2305" s="23"/>
      <c r="F2305" s="1"/>
      <c r="G2305" s="23"/>
      <c r="H2305" s="23"/>
      <c r="I2305" s="23"/>
      <c r="J2305" s="2"/>
      <c r="K2305" s="18"/>
      <c r="L2305" s="20"/>
      <c r="M2305" s="2"/>
      <c r="N2305" s="17"/>
      <c r="P2305" s="17"/>
      <c r="Q2305" s="17"/>
      <c r="R2305" s="17"/>
      <c r="S2305" s="17"/>
      <c r="U2305" s="24"/>
      <c r="V2305" s="24"/>
      <c r="W2305" s="24"/>
    </row>
    <row r="2306">
      <c r="A2306" s="11"/>
      <c r="B2306" s="23"/>
      <c r="C2306" s="23"/>
      <c r="D2306" s="23"/>
      <c r="E2306" s="23"/>
      <c r="F2306" s="1"/>
      <c r="G2306" s="23"/>
      <c r="H2306" s="23"/>
      <c r="I2306" s="23"/>
      <c r="J2306" s="2"/>
      <c r="K2306" s="18"/>
      <c r="L2306" s="20"/>
      <c r="M2306" s="2"/>
      <c r="N2306" s="17"/>
      <c r="P2306" s="17"/>
      <c r="Q2306" s="17"/>
      <c r="R2306" s="17"/>
      <c r="S2306" s="17"/>
      <c r="U2306" s="24"/>
      <c r="V2306" s="24"/>
      <c r="W2306" s="24"/>
    </row>
    <row r="2307">
      <c r="A2307" s="11"/>
      <c r="B2307" s="23"/>
      <c r="C2307" s="23"/>
      <c r="D2307" s="23"/>
      <c r="E2307" s="23"/>
      <c r="F2307" s="1"/>
      <c r="G2307" s="23"/>
      <c r="H2307" s="23"/>
      <c r="I2307" s="23"/>
      <c r="J2307" s="2"/>
      <c r="K2307" s="18"/>
      <c r="L2307" s="20"/>
      <c r="M2307" s="2"/>
      <c r="N2307" s="17"/>
      <c r="P2307" s="17"/>
      <c r="Q2307" s="17"/>
      <c r="R2307" s="17"/>
      <c r="S2307" s="17"/>
      <c r="U2307" s="24"/>
      <c r="V2307" s="24"/>
      <c r="W2307" s="24"/>
    </row>
    <row r="2308">
      <c r="A2308" s="11"/>
      <c r="B2308" s="23"/>
      <c r="C2308" s="23"/>
      <c r="D2308" s="23"/>
      <c r="E2308" s="23"/>
      <c r="F2308" s="1"/>
      <c r="G2308" s="23"/>
      <c r="H2308" s="23"/>
      <c r="I2308" s="23"/>
      <c r="J2308" s="2"/>
      <c r="K2308" s="18"/>
      <c r="L2308" s="20"/>
      <c r="M2308" s="2"/>
      <c r="N2308" s="17"/>
      <c r="P2308" s="17"/>
      <c r="Q2308" s="17"/>
      <c r="R2308" s="17"/>
      <c r="S2308" s="17"/>
      <c r="U2308" s="24"/>
      <c r="V2308" s="24"/>
      <c r="W2308" s="24"/>
    </row>
    <row r="2309">
      <c r="A2309" s="11"/>
      <c r="B2309" s="23"/>
      <c r="C2309" s="23"/>
      <c r="D2309" s="23"/>
      <c r="E2309" s="23"/>
      <c r="F2309" s="1"/>
      <c r="G2309" s="23"/>
      <c r="H2309" s="23"/>
      <c r="I2309" s="23"/>
      <c r="J2309" s="2"/>
      <c r="K2309" s="18"/>
      <c r="L2309" s="20"/>
      <c r="M2309" s="2"/>
      <c r="N2309" s="17"/>
      <c r="P2309" s="17"/>
      <c r="Q2309" s="17"/>
      <c r="R2309" s="17"/>
      <c r="S2309" s="17"/>
      <c r="U2309" s="24"/>
      <c r="V2309" s="24"/>
      <c r="W2309" s="24"/>
    </row>
    <row r="2310">
      <c r="A2310" s="11"/>
      <c r="B2310" s="23"/>
      <c r="C2310" s="23"/>
      <c r="D2310" s="23"/>
      <c r="E2310" s="23"/>
      <c r="F2310" s="1"/>
      <c r="G2310" s="23"/>
      <c r="H2310" s="23"/>
      <c r="I2310" s="23"/>
      <c r="J2310" s="2"/>
      <c r="K2310" s="18"/>
      <c r="L2310" s="20"/>
      <c r="M2310" s="2"/>
      <c r="N2310" s="17"/>
      <c r="P2310" s="17"/>
      <c r="Q2310" s="17"/>
      <c r="R2310" s="17"/>
      <c r="S2310" s="17"/>
      <c r="U2310" s="24"/>
      <c r="V2310" s="24"/>
      <c r="W2310" s="24"/>
    </row>
    <row r="2311">
      <c r="A2311" s="11"/>
      <c r="B2311" s="23"/>
      <c r="C2311" s="23"/>
      <c r="D2311" s="23"/>
      <c r="E2311" s="23"/>
      <c r="F2311" s="1"/>
      <c r="G2311" s="23"/>
      <c r="H2311" s="23"/>
      <c r="I2311" s="23"/>
      <c r="J2311" s="2"/>
      <c r="K2311" s="18"/>
      <c r="L2311" s="20"/>
      <c r="M2311" s="2"/>
      <c r="N2311" s="17"/>
      <c r="P2311" s="17"/>
      <c r="Q2311" s="17"/>
      <c r="R2311" s="17"/>
      <c r="S2311" s="17"/>
      <c r="U2311" s="24"/>
      <c r="V2311" s="24"/>
      <c r="W2311" s="24"/>
    </row>
    <row r="2312">
      <c r="A2312" s="11"/>
      <c r="B2312" s="23"/>
      <c r="C2312" s="23"/>
      <c r="D2312" s="23"/>
      <c r="E2312" s="23"/>
      <c r="F2312" s="1"/>
      <c r="G2312" s="23"/>
      <c r="H2312" s="23"/>
      <c r="I2312" s="23"/>
      <c r="J2312" s="2"/>
      <c r="K2312" s="18"/>
      <c r="L2312" s="20"/>
      <c r="M2312" s="2"/>
      <c r="N2312" s="17"/>
      <c r="P2312" s="17"/>
      <c r="Q2312" s="17"/>
      <c r="R2312" s="17"/>
      <c r="S2312" s="17"/>
      <c r="U2312" s="24"/>
      <c r="V2312" s="24"/>
      <c r="W2312" s="24"/>
    </row>
    <row r="2313">
      <c r="A2313" s="11"/>
      <c r="B2313" s="23"/>
      <c r="C2313" s="23"/>
      <c r="D2313" s="23"/>
      <c r="E2313" s="23"/>
      <c r="F2313" s="1"/>
      <c r="G2313" s="23"/>
      <c r="H2313" s="23"/>
      <c r="I2313" s="23"/>
      <c r="J2313" s="2"/>
      <c r="K2313" s="18"/>
      <c r="L2313" s="20"/>
      <c r="M2313" s="2"/>
      <c r="N2313" s="17"/>
      <c r="P2313" s="17"/>
      <c r="Q2313" s="17"/>
      <c r="R2313" s="17"/>
      <c r="S2313" s="17"/>
      <c r="U2313" s="24"/>
      <c r="V2313" s="24"/>
      <c r="W2313" s="24"/>
    </row>
    <row r="2314">
      <c r="A2314" s="11"/>
      <c r="B2314" s="23"/>
      <c r="C2314" s="23"/>
      <c r="D2314" s="23"/>
      <c r="E2314" s="23"/>
      <c r="F2314" s="1"/>
      <c r="G2314" s="23"/>
      <c r="H2314" s="23"/>
      <c r="I2314" s="23"/>
      <c r="J2314" s="2"/>
      <c r="K2314" s="18"/>
      <c r="L2314" s="20"/>
      <c r="M2314" s="2"/>
      <c r="N2314" s="17"/>
      <c r="P2314" s="17"/>
      <c r="Q2314" s="17"/>
      <c r="R2314" s="17"/>
      <c r="S2314" s="17"/>
      <c r="U2314" s="24"/>
      <c r="V2314" s="24"/>
      <c r="W2314" s="24"/>
    </row>
    <row r="2315">
      <c r="A2315" s="11"/>
      <c r="B2315" s="23"/>
      <c r="C2315" s="23"/>
      <c r="D2315" s="23"/>
      <c r="E2315" s="23"/>
      <c r="F2315" s="1"/>
      <c r="G2315" s="23"/>
      <c r="H2315" s="23"/>
      <c r="I2315" s="23"/>
      <c r="J2315" s="2"/>
      <c r="K2315" s="18"/>
      <c r="L2315" s="20"/>
      <c r="M2315" s="2"/>
      <c r="N2315" s="17"/>
      <c r="P2315" s="17"/>
      <c r="Q2315" s="17"/>
      <c r="R2315" s="17"/>
      <c r="S2315" s="17"/>
      <c r="U2315" s="24"/>
      <c r="V2315" s="24"/>
      <c r="W2315" s="24"/>
    </row>
    <row r="2316">
      <c r="A2316" s="11"/>
      <c r="B2316" s="23"/>
      <c r="C2316" s="23"/>
      <c r="D2316" s="23"/>
      <c r="E2316" s="23"/>
      <c r="F2316" s="1"/>
      <c r="G2316" s="23"/>
      <c r="H2316" s="23"/>
      <c r="I2316" s="23"/>
      <c r="J2316" s="2"/>
      <c r="K2316" s="18"/>
      <c r="L2316" s="20"/>
      <c r="M2316" s="2"/>
      <c r="N2316" s="17"/>
      <c r="P2316" s="17"/>
      <c r="Q2316" s="17"/>
      <c r="R2316" s="17"/>
      <c r="S2316" s="17"/>
      <c r="U2316" s="24"/>
      <c r="V2316" s="24"/>
      <c r="W2316" s="24"/>
    </row>
    <row r="2317">
      <c r="A2317" s="11"/>
      <c r="B2317" s="23"/>
      <c r="C2317" s="23"/>
      <c r="D2317" s="23"/>
      <c r="E2317" s="23"/>
      <c r="F2317" s="1"/>
      <c r="G2317" s="23"/>
      <c r="H2317" s="23"/>
      <c r="I2317" s="23"/>
      <c r="J2317" s="2"/>
      <c r="K2317" s="18"/>
      <c r="L2317" s="20"/>
      <c r="M2317" s="2"/>
      <c r="N2317" s="17"/>
      <c r="P2317" s="17"/>
      <c r="Q2317" s="17"/>
      <c r="R2317" s="17"/>
      <c r="S2317" s="17"/>
      <c r="U2317" s="24"/>
      <c r="V2317" s="24"/>
      <c r="W2317" s="24"/>
    </row>
    <row r="2318">
      <c r="A2318" s="11"/>
      <c r="B2318" s="23"/>
      <c r="C2318" s="23"/>
      <c r="D2318" s="23"/>
      <c r="E2318" s="23"/>
      <c r="F2318" s="1"/>
      <c r="G2318" s="23"/>
      <c r="H2318" s="23"/>
      <c r="I2318" s="23"/>
      <c r="J2318" s="2"/>
      <c r="K2318" s="18"/>
      <c r="L2318" s="20"/>
      <c r="M2318" s="2"/>
      <c r="N2318" s="17"/>
      <c r="P2318" s="17"/>
      <c r="Q2318" s="17"/>
      <c r="R2318" s="17"/>
      <c r="S2318" s="17"/>
      <c r="U2318" s="24"/>
      <c r="V2318" s="24"/>
      <c r="W2318" s="24"/>
    </row>
    <row r="2319">
      <c r="A2319" s="11"/>
      <c r="B2319" s="23"/>
      <c r="C2319" s="23"/>
      <c r="D2319" s="23"/>
      <c r="E2319" s="23"/>
      <c r="F2319" s="1"/>
      <c r="G2319" s="23"/>
      <c r="H2319" s="23"/>
      <c r="I2319" s="23"/>
      <c r="J2319" s="2"/>
      <c r="K2319" s="18"/>
      <c r="L2319" s="20"/>
      <c r="M2319" s="2"/>
      <c r="N2319" s="17"/>
      <c r="P2319" s="17"/>
      <c r="Q2319" s="17"/>
      <c r="R2319" s="17"/>
      <c r="S2319" s="17"/>
      <c r="U2319" s="24"/>
      <c r="V2319" s="24"/>
      <c r="W2319" s="24"/>
    </row>
    <row r="2320">
      <c r="A2320" s="11"/>
      <c r="B2320" s="23"/>
      <c r="C2320" s="23"/>
      <c r="D2320" s="23"/>
      <c r="E2320" s="23"/>
      <c r="F2320" s="1"/>
      <c r="G2320" s="23"/>
      <c r="H2320" s="23"/>
      <c r="I2320" s="23"/>
      <c r="J2320" s="2"/>
      <c r="K2320" s="18"/>
      <c r="L2320" s="20"/>
      <c r="M2320" s="2"/>
      <c r="N2320" s="17"/>
      <c r="P2320" s="17"/>
      <c r="Q2320" s="17"/>
      <c r="R2320" s="17"/>
      <c r="S2320" s="17"/>
      <c r="U2320" s="24"/>
      <c r="V2320" s="24"/>
      <c r="W2320" s="24"/>
    </row>
    <row r="2321">
      <c r="A2321" s="11"/>
      <c r="B2321" s="23"/>
      <c r="C2321" s="23"/>
      <c r="D2321" s="23"/>
      <c r="E2321" s="23"/>
      <c r="F2321" s="1"/>
      <c r="G2321" s="23"/>
      <c r="H2321" s="23"/>
      <c r="I2321" s="23"/>
      <c r="J2321" s="2"/>
      <c r="K2321" s="18"/>
      <c r="L2321" s="20"/>
      <c r="M2321" s="2"/>
      <c r="N2321" s="17"/>
      <c r="P2321" s="17"/>
      <c r="Q2321" s="17"/>
      <c r="R2321" s="17"/>
      <c r="S2321" s="17"/>
      <c r="U2321" s="24"/>
      <c r="V2321" s="24"/>
      <c r="W2321" s="24"/>
    </row>
    <row r="2322">
      <c r="A2322" s="11"/>
      <c r="B2322" s="23"/>
      <c r="C2322" s="23"/>
      <c r="D2322" s="23"/>
      <c r="E2322" s="23"/>
      <c r="F2322" s="1"/>
      <c r="G2322" s="23"/>
      <c r="H2322" s="23"/>
      <c r="I2322" s="23"/>
      <c r="J2322" s="2"/>
      <c r="K2322" s="18"/>
      <c r="L2322" s="20"/>
      <c r="M2322" s="2"/>
      <c r="N2322" s="17"/>
      <c r="P2322" s="17"/>
      <c r="Q2322" s="17"/>
      <c r="R2322" s="17"/>
      <c r="S2322" s="17"/>
      <c r="U2322" s="24"/>
      <c r="V2322" s="24"/>
      <c r="W2322" s="24"/>
    </row>
    <row r="2323">
      <c r="A2323" s="11"/>
      <c r="B2323" s="23"/>
      <c r="C2323" s="23"/>
      <c r="D2323" s="23"/>
      <c r="E2323" s="23"/>
      <c r="F2323" s="1"/>
      <c r="G2323" s="23"/>
      <c r="H2323" s="23"/>
      <c r="I2323" s="23"/>
      <c r="J2323" s="2"/>
      <c r="K2323" s="18"/>
      <c r="L2323" s="20"/>
      <c r="M2323" s="2"/>
      <c r="N2323" s="17"/>
      <c r="P2323" s="17"/>
      <c r="Q2323" s="17"/>
      <c r="R2323" s="17"/>
      <c r="S2323" s="17"/>
      <c r="U2323" s="24"/>
      <c r="V2323" s="24"/>
      <c r="W2323" s="24"/>
    </row>
    <row r="2324">
      <c r="A2324" s="11"/>
      <c r="B2324" s="23"/>
      <c r="C2324" s="23"/>
      <c r="D2324" s="23"/>
      <c r="E2324" s="23"/>
      <c r="F2324" s="1"/>
      <c r="G2324" s="23"/>
      <c r="H2324" s="23"/>
      <c r="I2324" s="23"/>
      <c r="J2324" s="2"/>
      <c r="K2324" s="18"/>
      <c r="L2324" s="20"/>
      <c r="M2324" s="2"/>
      <c r="N2324" s="17"/>
      <c r="P2324" s="17"/>
      <c r="Q2324" s="17"/>
      <c r="R2324" s="17"/>
      <c r="S2324" s="17"/>
      <c r="U2324" s="24"/>
      <c r="V2324" s="24"/>
      <c r="W2324" s="24"/>
    </row>
    <row r="2325">
      <c r="A2325" s="11"/>
      <c r="B2325" s="23"/>
      <c r="C2325" s="23"/>
      <c r="D2325" s="23"/>
      <c r="E2325" s="23"/>
      <c r="F2325" s="1"/>
      <c r="G2325" s="23"/>
      <c r="H2325" s="23"/>
      <c r="I2325" s="23"/>
      <c r="J2325" s="2"/>
      <c r="K2325" s="18"/>
      <c r="L2325" s="20"/>
      <c r="M2325" s="2"/>
      <c r="N2325" s="17"/>
      <c r="P2325" s="17"/>
      <c r="Q2325" s="17"/>
      <c r="R2325" s="17"/>
      <c r="S2325" s="17"/>
      <c r="U2325" s="24"/>
      <c r="V2325" s="24"/>
      <c r="W2325" s="24"/>
    </row>
    <row r="2326">
      <c r="A2326" s="11"/>
      <c r="B2326" s="23"/>
      <c r="C2326" s="23"/>
      <c r="D2326" s="23"/>
      <c r="E2326" s="23"/>
      <c r="F2326" s="1"/>
      <c r="G2326" s="23"/>
      <c r="H2326" s="23"/>
      <c r="I2326" s="23"/>
      <c r="J2326" s="2"/>
      <c r="K2326" s="18"/>
      <c r="L2326" s="20"/>
      <c r="M2326" s="2"/>
      <c r="N2326" s="17"/>
      <c r="P2326" s="17"/>
      <c r="Q2326" s="17"/>
      <c r="R2326" s="17"/>
      <c r="S2326" s="17"/>
      <c r="U2326" s="24"/>
      <c r="V2326" s="24"/>
      <c r="W2326" s="24"/>
    </row>
    <row r="2327">
      <c r="A2327" s="11"/>
      <c r="B2327" s="23"/>
      <c r="C2327" s="23"/>
      <c r="D2327" s="23"/>
      <c r="E2327" s="23"/>
      <c r="F2327" s="1"/>
      <c r="G2327" s="23"/>
      <c r="H2327" s="23"/>
      <c r="I2327" s="23"/>
      <c r="J2327" s="2"/>
      <c r="K2327" s="18"/>
      <c r="L2327" s="20"/>
      <c r="M2327" s="2"/>
      <c r="N2327" s="17"/>
      <c r="P2327" s="17"/>
      <c r="Q2327" s="17"/>
      <c r="R2327" s="17"/>
      <c r="S2327" s="17"/>
      <c r="U2327" s="24"/>
      <c r="V2327" s="24"/>
      <c r="W2327" s="24"/>
    </row>
    <row r="2328">
      <c r="A2328" s="11"/>
      <c r="B2328" s="23"/>
      <c r="C2328" s="23"/>
      <c r="D2328" s="23"/>
      <c r="E2328" s="23"/>
      <c r="F2328" s="1"/>
      <c r="G2328" s="23"/>
      <c r="H2328" s="23"/>
      <c r="I2328" s="23"/>
      <c r="J2328" s="2"/>
      <c r="K2328" s="18"/>
      <c r="L2328" s="20"/>
      <c r="M2328" s="2"/>
      <c r="N2328" s="17"/>
      <c r="P2328" s="17"/>
      <c r="Q2328" s="17"/>
      <c r="R2328" s="17"/>
      <c r="S2328" s="17"/>
      <c r="U2328" s="24"/>
      <c r="V2328" s="24"/>
      <c r="W2328" s="24"/>
    </row>
    <row r="2329">
      <c r="A2329" s="11"/>
      <c r="B2329" s="23"/>
      <c r="C2329" s="23"/>
      <c r="D2329" s="23"/>
      <c r="E2329" s="23"/>
      <c r="F2329" s="1"/>
      <c r="G2329" s="23"/>
      <c r="H2329" s="23"/>
      <c r="I2329" s="23"/>
      <c r="J2329" s="2"/>
      <c r="K2329" s="18"/>
      <c r="L2329" s="20"/>
      <c r="M2329" s="2"/>
      <c r="N2329" s="17"/>
      <c r="P2329" s="17"/>
      <c r="Q2329" s="17"/>
      <c r="R2329" s="17"/>
      <c r="S2329" s="17"/>
      <c r="U2329" s="24"/>
      <c r="V2329" s="24"/>
      <c r="W2329" s="24"/>
    </row>
    <row r="2330">
      <c r="A2330" s="11"/>
      <c r="B2330" s="23"/>
      <c r="C2330" s="23"/>
      <c r="D2330" s="23"/>
      <c r="E2330" s="23"/>
      <c r="F2330" s="1"/>
      <c r="G2330" s="23"/>
      <c r="H2330" s="23"/>
      <c r="I2330" s="23"/>
      <c r="J2330" s="2"/>
      <c r="K2330" s="18"/>
      <c r="L2330" s="20"/>
      <c r="M2330" s="2"/>
      <c r="N2330" s="17"/>
      <c r="P2330" s="17"/>
      <c r="Q2330" s="17"/>
      <c r="R2330" s="17"/>
      <c r="S2330" s="17"/>
      <c r="U2330" s="24"/>
      <c r="V2330" s="24"/>
      <c r="W2330" s="24"/>
    </row>
    <row r="2331">
      <c r="A2331" s="11"/>
      <c r="B2331" s="23"/>
      <c r="C2331" s="23"/>
      <c r="D2331" s="23"/>
      <c r="E2331" s="23"/>
      <c r="F2331" s="1"/>
      <c r="G2331" s="23"/>
      <c r="H2331" s="23"/>
      <c r="I2331" s="23"/>
      <c r="J2331" s="2"/>
      <c r="K2331" s="18"/>
      <c r="L2331" s="20"/>
      <c r="M2331" s="2"/>
      <c r="N2331" s="17"/>
      <c r="P2331" s="17"/>
      <c r="Q2331" s="17"/>
      <c r="R2331" s="17"/>
      <c r="S2331" s="17"/>
      <c r="U2331" s="24"/>
      <c r="V2331" s="24"/>
      <c r="W2331" s="24"/>
    </row>
    <row r="2332">
      <c r="A2332" s="11"/>
      <c r="B2332" s="23"/>
      <c r="C2332" s="23"/>
      <c r="D2332" s="23"/>
      <c r="E2332" s="23"/>
      <c r="F2332" s="1"/>
      <c r="G2332" s="23"/>
      <c r="H2332" s="23"/>
      <c r="I2332" s="23"/>
      <c r="J2332" s="2"/>
      <c r="K2332" s="18"/>
      <c r="L2332" s="20"/>
      <c r="M2332" s="2"/>
      <c r="N2332" s="17"/>
      <c r="P2332" s="17"/>
      <c r="Q2332" s="17"/>
      <c r="R2332" s="17"/>
      <c r="S2332" s="17"/>
      <c r="U2332" s="24"/>
      <c r="V2332" s="24"/>
      <c r="W2332" s="24"/>
    </row>
    <row r="2333">
      <c r="A2333" s="11"/>
      <c r="B2333" s="23"/>
      <c r="C2333" s="23"/>
      <c r="D2333" s="23"/>
      <c r="E2333" s="23"/>
      <c r="F2333" s="1"/>
      <c r="G2333" s="23"/>
      <c r="H2333" s="23"/>
      <c r="I2333" s="23"/>
      <c r="J2333" s="2"/>
      <c r="K2333" s="18"/>
      <c r="L2333" s="20"/>
      <c r="M2333" s="2"/>
      <c r="N2333" s="17"/>
      <c r="P2333" s="17"/>
      <c r="Q2333" s="17"/>
      <c r="R2333" s="17"/>
      <c r="S2333" s="17"/>
      <c r="U2333" s="24"/>
      <c r="V2333" s="24"/>
      <c r="W2333" s="24"/>
    </row>
    <row r="2334">
      <c r="A2334" s="11"/>
      <c r="B2334" s="23"/>
      <c r="C2334" s="23"/>
      <c r="D2334" s="23"/>
      <c r="E2334" s="23"/>
      <c r="F2334" s="1"/>
      <c r="G2334" s="23"/>
      <c r="H2334" s="23"/>
      <c r="I2334" s="23"/>
      <c r="J2334" s="2"/>
      <c r="K2334" s="18"/>
      <c r="L2334" s="20"/>
      <c r="M2334" s="2"/>
      <c r="N2334" s="17"/>
      <c r="P2334" s="17"/>
      <c r="Q2334" s="17"/>
      <c r="R2334" s="17"/>
      <c r="S2334" s="17"/>
      <c r="U2334" s="24"/>
      <c r="V2334" s="24"/>
      <c r="W2334" s="24"/>
    </row>
    <row r="2335">
      <c r="A2335" s="11"/>
      <c r="B2335" s="23"/>
      <c r="C2335" s="23"/>
      <c r="D2335" s="23"/>
      <c r="E2335" s="23"/>
      <c r="F2335" s="1"/>
      <c r="G2335" s="23"/>
      <c r="H2335" s="23"/>
      <c r="I2335" s="23"/>
      <c r="J2335" s="2"/>
      <c r="K2335" s="18"/>
      <c r="L2335" s="20"/>
      <c r="M2335" s="2"/>
      <c r="N2335" s="17"/>
      <c r="P2335" s="17"/>
      <c r="Q2335" s="17"/>
      <c r="R2335" s="17"/>
      <c r="S2335" s="17"/>
      <c r="U2335" s="24"/>
      <c r="V2335" s="24"/>
      <c r="W2335" s="24"/>
    </row>
    <row r="2336">
      <c r="A2336" s="11"/>
      <c r="B2336" s="23"/>
      <c r="C2336" s="23"/>
      <c r="D2336" s="23"/>
      <c r="E2336" s="23"/>
      <c r="F2336" s="1"/>
      <c r="G2336" s="23"/>
      <c r="H2336" s="23"/>
      <c r="I2336" s="23"/>
      <c r="J2336" s="2"/>
      <c r="K2336" s="18"/>
      <c r="L2336" s="20"/>
      <c r="M2336" s="2"/>
      <c r="N2336" s="17"/>
      <c r="P2336" s="17"/>
      <c r="Q2336" s="17"/>
      <c r="R2336" s="17"/>
      <c r="S2336" s="17"/>
      <c r="U2336" s="24"/>
      <c r="V2336" s="24"/>
      <c r="W2336" s="24"/>
    </row>
    <row r="2337">
      <c r="A2337" s="11"/>
      <c r="B2337" s="23"/>
      <c r="C2337" s="23"/>
      <c r="D2337" s="23"/>
      <c r="E2337" s="23"/>
      <c r="F2337" s="1"/>
      <c r="G2337" s="23"/>
      <c r="H2337" s="23"/>
      <c r="I2337" s="23"/>
      <c r="J2337" s="2"/>
      <c r="K2337" s="18"/>
      <c r="L2337" s="20"/>
      <c r="M2337" s="2"/>
      <c r="N2337" s="17"/>
      <c r="P2337" s="17"/>
      <c r="Q2337" s="17"/>
      <c r="R2337" s="17"/>
      <c r="S2337" s="17"/>
      <c r="U2337" s="24"/>
      <c r="V2337" s="24"/>
      <c r="W2337" s="24"/>
    </row>
    <row r="2338">
      <c r="A2338" s="11"/>
      <c r="B2338" s="23"/>
      <c r="C2338" s="23"/>
      <c r="D2338" s="23"/>
      <c r="E2338" s="23"/>
      <c r="F2338" s="1"/>
      <c r="G2338" s="23"/>
      <c r="H2338" s="23"/>
      <c r="I2338" s="23"/>
      <c r="J2338" s="2"/>
      <c r="K2338" s="18"/>
      <c r="L2338" s="20"/>
      <c r="M2338" s="2"/>
      <c r="N2338" s="17"/>
      <c r="P2338" s="17"/>
      <c r="Q2338" s="17"/>
      <c r="R2338" s="17"/>
      <c r="S2338" s="17"/>
      <c r="U2338" s="24"/>
      <c r="V2338" s="24"/>
      <c r="W2338" s="24"/>
    </row>
    <row r="2339">
      <c r="A2339" s="11"/>
      <c r="B2339" s="23"/>
      <c r="C2339" s="23"/>
      <c r="D2339" s="23"/>
      <c r="E2339" s="23"/>
      <c r="F2339" s="1"/>
      <c r="G2339" s="23"/>
      <c r="H2339" s="23"/>
      <c r="I2339" s="23"/>
      <c r="J2339" s="2"/>
      <c r="K2339" s="18"/>
      <c r="L2339" s="20"/>
      <c r="M2339" s="2"/>
      <c r="N2339" s="17"/>
      <c r="P2339" s="17"/>
      <c r="Q2339" s="17"/>
      <c r="R2339" s="17"/>
      <c r="S2339" s="17"/>
      <c r="U2339" s="24"/>
      <c r="V2339" s="24"/>
      <c r="W2339" s="24"/>
    </row>
    <row r="2340">
      <c r="A2340" s="11"/>
      <c r="B2340" s="23"/>
      <c r="C2340" s="23"/>
      <c r="D2340" s="23"/>
      <c r="E2340" s="23"/>
      <c r="F2340" s="1"/>
      <c r="G2340" s="23"/>
      <c r="H2340" s="23"/>
      <c r="I2340" s="23"/>
      <c r="J2340" s="2"/>
      <c r="K2340" s="18"/>
      <c r="L2340" s="20"/>
      <c r="M2340" s="2"/>
      <c r="N2340" s="17"/>
      <c r="P2340" s="17"/>
      <c r="Q2340" s="17"/>
      <c r="R2340" s="17"/>
      <c r="S2340" s="17"/>
      <c r="U2340" s="24"/>
      <c r="V2340" s="24"/>
      <c r="W2340" s="24"/>
    </row>
    <row r="2341">
      <c r="A2341" s="11"/>
      <c r="B2341" s="23"/>
      <c r="C2341" s="23"/>
      <c r="D2341" s="23"/>
      <c r="E2341" s="23"/>
      <c r="F2341" s="1"/>
      <c r="G2341" s="23"/>
      <c r="H2341" s="23"/>
      <c r="I2341" s="23"/>
      <c r="J2341" s="2"/>
      <c r="K2341" s="18"/>
      <c r="L2341" s="20"/>
      <c r="M2341" s="2"/>
      <c r="N2341" s="17"/>
      <c r="P2341" s="17"/>
      <c r="Q2341" s="17"/>
      <c r="R2341" s="17"/>
      <c r="S2341" s="17"/>
      <c r="U2341" s="24"/>
      <c r="V2341" s="24"/>
      <c r="W2341" s="24"/>
    </row>
    <row r="2342">
      <c r="A2342" s="11"/>
      <c r="B2342" s="23"/>
      <c r="C2342" s="23"/>
      <c r="D2342" s="23"/>
      <c r="E2342" s="23"/>
      <c r="F2342" s="1"/>
      <c r="G2342" s="23"/>
      <c r="H2342" s="23"/>
      <c r="I2342" s="23"/>
      <c r="J2342" s="2"/>
      <c r="K2342" s="18"/>
      <c r="L2342" s="20"/>
      <c r="M2342" s="2"/>
      <c r="N2342" s="17"/>
      <c r="P2342" s="17"/>
      <c r="Q2342" s="17"/>
      <c r="R2342" s="17"/>
      <c r="S2342" s="17"/>
      <c r="U2342" s="24"/>
      <c r="V2342" s="24"/>
      <c r="W2342" s="24"/>
    </row>
    <row r="2343">
      <c r="A2343" s="11"/>
      <c r="B2343" s="23"/>
      <c r="C2343" s="23"/>
      <c r="D2343" s="23"/>
      <c r="E2343" s="23"/>
      <c r="F2343" s="1"/>
      <c r="G2343" s="23"/>
      <c r="H2343" s="23"/>
      <c r="I2343" s="23"/>
      <c r="J2343" s="2"/>
      <c r="K2343" s="18"/>
      <c r="L2343" s="20"/>
      <c r="M2343" s="2"/>
      <c r="N2343" s="17"/>
      <c r="P2343" s="17"/>
      <c r="Q2343" s="17"/>
      <c r="R2343" s="17"/>
      <c r="S2343" s="17"/>
      <c r="U2343" s="24"/>
      <c r="V2343" s="24"/>
      <c r="W2343" s="24"/>
    </row>
    <row r="2344">
      <c r="A2344" s="11"/>
      <c r="B2344" s="23"/>
      <c r="C2344" s="23"/>
      <c r="D2344" s="23"/>
      <c r="E2344" s="23"/>
      <c r="F2344" s="1"/>
      <c r="G2344" s="23"/>
      <c r="H2344" s="23"/>
      <c r="I2344" s="23"/>
      <c r="J2344" s="2"/>
      <c r="K2344" s="18"/>
      <c r="L2344" s="20"/>
      <c r="M2344" s="2"/>
      <c r="N2344" s="17"/>
      <c r="P2344" s="17"/>
      <c r="Q2344" s="17"/>
      <c r="R2344" s="17"/>
      <c r="S2344" s="17"/>
      <c r="U2344" s="24"/>
      <c r="V2344" s="24"/>
      <c r="W2344" s="24"/>
    </row>
    <row r="2345">
      <c r="A2345" s="11"/>
      <c r="B2345" s="23"/>
      <c r="C2345" s="23"/>
      <c r="D2345" s="23"/>
      <c r="E2345" s="23"/>
      <c r="F2345" s="1"/>
      <c r="G2345" s="23"/>
      <c r="H2345" s="23"/>
      <c r="I2345" s="23"/>
      <c r="J2345" s="2"/>
      <c r="K2345" s="18"/>
      <c r="L2345" s="20"/>
      <c r="M2345" s="2"/>
      <c r="N2345" s="17"/>
      <c r="P2345" s="17"/>
      <c r="Q2345" s="17"/>
      <c r="R2345" s="17"/>
      <c r="S2345" s="17"/>
      <c r="U2345" s="24"/>
      <c r="V2345" s="24"/>
      <c r="W2345" s="24"/>
    </row>
    <row r="2346">
      <c r="A2346" s="11"/>
      <c r="B2346" s="23"/>
      <c r="C2346" s="23"/>
      <c r="D2346" s="23"/>
      <c r="E2346" s="23"/>
      <c r="F2346" s="1"/>
      <c r="G2346" s="23"/>
      <c r="H2346" s="23"/>
      <c r="I2346" s="23"/>
      <c r="J2346" s="2"/>
      <c r="K2346" s="18"/>
      <c r="L2346" s="20"/>
      <c r="M2346" s="2"/>
      <c r="N2346" s="17"/>
      <c r="P2346" s="17"/>
      <c r="Q2346" s="17"/>
      <c r="R2346" s="17"/>
      <c r="S2346" s="17"/>
      <c r="U2346" s="24"/>
      <c r="V2346" s="24"/>
      <c r="W2346" s="24"/>
    </row>
    <row r="2347">
      <c r="A2347" s="11"/>
      <c r="B2347" s="23"/>
      <c r="C2347" s="23"/>
      <c r="D2347" s="23"/>
      <c r="E2347" s="23"/>
      <c r="F2347" s="1"/>
      <c r="G2347" s="23"/>
      <c r="H2347" s="23"/>
      <c r="I2347" s="23"/>
      <c r="J2347" s="2"/>
      <c r="K2347" s="18"/>
      <c r="L2347" s="20"/>
      <c r="M2347" s="2"/>
      <c r="N2347" s="17"/>
      <c r="P2347" s="17"/>
      <c r="Q2347" s="17"/>
      <c r="R2347" s="17"/>
      <c r="S2347" s="17"/>
      <c r="U2347" s="24"/>
      <c r="V2347" s="24"/>
      <c r="W2347" s="24"/>
    </row>
    <row r="2348">
      <c r="A2348" s="11"/>
      <c r="B2348" s="23"/>
      <c r="C2348" s="23"/>
      <c r="D2348" s="23"/>
      <c r="E2348" s="23"/>
      <c r="F2348" s="1"/>
      <c r="G2348" s="23"/>
      <c r="H2348" s="23"/>
      <c r="I2348" s="23"/>
      <c r="J2348" s="2"/>
      <c r="K2348" s="18"/>
      <c r="L2348" s="20"/>
      <c r="M2348" s="2"/>
      <c r="N2348" s="17"/>
      <c r="P2348" s="17"/>
      <c r="Q2348" s="17"/>
      <c r="R2348" s="17"/>
      <c r="S2348" s="17"/>
      <c r="U2348" s="24"/>
      <c r="V2348" s="24"/>
      <c r="W2348" s="24"/>
    </row>
    <row r="2349">
      <c r="A2349" s="11"/>
      <c r="B2349" s="23"/>
      <c r="C2349" s="23"/>
      <c r="D2349" s="23"/>
      <c r="E2349" s="23"/>
      <c r="F2349" s="1"/>
      <c r="G2349" s="23"/>
      <c r="H2349" s="23"/>
      <c r="I2349" s="23"/>
      <c r="J2349" s="2"/>
      <c r="K2349" s="18"/>
      <c r="L2349" s="20"/>
      <c r="M2349" s="2"/>
      <c r="N2349" s="17"/>
      <c r="P2349" s="17"/>
      <c r="Q2349" s="17"/>
      <c r="R2349" s="17"/>
      <c r="S2349" s="17"/>
      <c r="U2349" s="24"/>
      <c r="V2349" s="24"/>
      <c r="W2349" s="24"/>
    </row>
    <row r="2350">
      <c r="A2350" s="11"/>
      <c r="B2350" s="23"/>
      <c r="C2350" s="23"/>
      <c r="D2350" s="23"/>
      <c r="E2350" s="23"/>
      <c r="F2350" s="1"/>
      <c r="G2350" s="23"/>
      <c r="H2350" s="23"/>
      <c r="I2350" s="23"/>
      <c r="J2350" s="2"/>
      <c r="K2350" s="18"/>
      <c r="L2350" s="20"/>
      <c r="M2350" s="2"/>
      <c r="N2350" s="17"/>
      <c r="P2350" s="17"/>
      <c r="Q2350" s="17"/>
      <c r="R2350" s="17"/>
      <c r="S2350" s="17"/>
      <c r="U2350" s="24"/>
      <c r="V2350" s="24"/>
      <c r="W2350" s="24"/>
    </row>
    <row r="2351">
      <c r="A2351" s="11"/>
      <c r="B2351" s="23"/>
      <c r="C2351" s="23"/>
      <c r="D2351" s="23"/>
      <c r="E2351" s="23"/>
      <c r="F2351" s="1"/>
      <c r="G2351" s="23"/>
      <c r="H2351" s="23"/>
      <c r="I2351" s="23"/>
      <c r="J2351" s="2"/>
      <c r="K2351" s="18"/>
      <c r="L2351" s="20"/>
      <c r="M2351" s="2"/>
      <c r="N2351" s="17"/>
      <c r="P2351" s="17"/>
      <c r="Q2351" s="17"/>
      <c r="R2351" s="17"/>
      <c r="S2351" s="17"/>
      <c r="U2351" s="24"/>
      <c r="V2351" s="24"/>
      <c r="W2351" s="24"/>
    </row>
    <row r="2352">
      <c r="A2352" s="11"/>
      <c r="B2352" s="23"/>
      <c r="C2352" s="23"/>
      <c r="D2352" s="23"/>
      <c r="E2352" s="23"/>
      <c r="F2352" s="1"/>
      <c r="G2352" s="23"/>
      <c r="H2352" s="23"/>
      <c r="I2352" s="23"/>
      <c r="J2352" s="2"/>
      <c r="K2352" s="18"/>
      <c r="L2352" s="20"/>
      <c r="M2352" s="2"/>
      <c r="N2352" s="17"/>
      <c r="P2352" s="17"/>
      <c r="Q2352" s="17"/>
      <c r="R2352" s="17"/>
      <c r="S2352" s="17"/>
      <c r="U2352" s="24"/>
      <c r="V2352" s="24"/>
      <c r="W2352" s="24"/>
    </row>
    <row r="2353">
      <c r="A2353" s="11"/>
      <c r="B2353" s="23"/>
      <c r="C2353" s="23"/>
      <c r="D2353" s="23"/>
      <c r="E2353" s="23"/>
      <c r="F2353" s="1"/>
      <c r="G2353" s="23"/>
      <c r="H2353" s="23"/>
      <c r="I2353" s="23"/>
      <c r="J2353" s="2"/>
      <c r="K2353" s="18"/>
      <c r="L2353" s="20"/>
      <c r="M2353" s="2"/>
      <c r="N2353" s="17"/>
      <c r="P2353" s="17"/>
      <c r="Q2353" s="17"/>
      <c r="R2353" s="17"/>
      <c r="S2353" s="17"/>
      <c r="U2353" s="24"/>
      <c r="V2353" s="24"/>
      <c r="W2353" s="24"/>
    </row>
    <row r="2354">
      <c r="A2354" s="11"/>
      <c r="B2354" s="23"/>
      <c r="C2354" s="23"/>
      <c r="D2354" s="23"/>
      <c r="E2354" s="23"/>
      <c r="F2354" s="1"/>
      <c r="G2354" s="23"/>
      <c r="H2354" s="23"/>
      <c r="I2354" s="23"/>
      <c r="J2354" s="2"/>
      <c r="K2354" s="18"/>
      <c r="L2354" s="20"/>
      <c r="M2354" s="2"/>
      <c r="N2354" s="17"/>
      <c r="P2354" s="17"/>
      <c r="Q2354" s="17"/>
      <c r="R2354" s="17"/>
      <c r="S2354" s="17"/>
      <c r="U2354" s="24"/>
      <c r="V2354" s="24"/>
      <c r="W2354" s="24"/>
    </row>
    <row r="2355">
      <c r="A2355" s="11"/>
      <c r="B2355" s="23"/>
      <c r="C2355" s="23"/>
      <c r="D2355" s="23"/>
      <c r="E2355" s="23"/>
      <c r="F2355" s="1"/>
      <c r="G2355" s="23"/>
      <c r="H2355" s="23"/>
      <c r="I2355" s="23"/>
      <c r="J2355" s="2"/>
      <c r="K2355" s="18"/>
      <c r="L2355" s="20"/>
      <c r="M2355" s="2"/>
      <c r="N2355" s="17"/>
      <c r="P2355" s="17"/>
      <c r="Q2355" s="17"/>
      <c r="R2355" s="17"/>
      <c r="S2355" s="17"/>
      <c r="U2355" s="24"/>
      <c r="V2355" s="24"/>
      <c r="W2355" s="24"/>
    </row>
    <row r="2356">
      <c r="A2356" s="11"/>
      <c r="B2356" s="23"/>
      <c r="C2356" s="23"/>
      <c r="D2356" s="23"/>
      <c r="E2356" s="23"/>
      <c r="F2356" s="1"/>
      <c r="G2356" s="23"/>
      <c r="H2356" s="23"/>
      <c r="I2356" s="23"/>
      <c r="J2356" s="2"/>
      <c r="K2356" s="18"/>
      <c r="L2356" s="20"/>
      <c r="M2356" s="2"/>
      <c r="N2356" s="17"/>
      <c r="P2356" s="17"/>
      <c r="Q2356" s="17"/>
      <c r="R2356" s="17"/>
      <c r="S2356" s="17"/>
      <c r="U2356" s="24"/>
      <c r="V2356" s="24"/>
      <c r="W2356" s="24"/>
    </row>
    <row r="2357">
      <c r="A2357" s="11"/>
      <c r="B2357" s="23"/>
      <c r="C2357" s="23"/>
      <c r="D2357" s="23"/>
      <c r="E2357" s="23"/>
      <c r="F2357" s="1"/>
      <c r="G2357" s="23"/>
      <c r="H2357" s="23"/>
      <c r="I2357" s="23"/>
      <c r="J2357" s="2"/>
      <c r="K2357" s="18"/>
      <c r="L2357" s="20"/>
      <c r="M2357" s="2"/>
      <c r="N2357" s="17"/>
      <c r="P2357" s="17"/>
      <c r="Q2357" s="17"/>
      <c r="R2357" s="17"/>
      <c r="S2357" s="17"/>
      <c r="U2357" s="24"/>
      <c r="V2357" s="24"/>
      <c r="W2357" s="24"/>
    </row>
    <row r="2358">
      <c r="A2358" s="11"/>
      <c r="B2358" s="23"/>
      <c r="C2358" s="23"/>
      <c r="D2358" s="23"/>
      <c r="E2358" s="23"/>
      <c r="F2358" s="1"/>
      <c r="G2358" s="23"/>
      <c r="H2358" s="23"/>
      <c r="I2358" s="23"/>
      <c r="J2358" s="2"/>
      <c r="K2358" s="18"/>
      <c r="L2358" s="20"/>
      <c r="M2358" s="2"/>
      <c r="N2358" s="17"/>
      <c r="P2358" s="17"/>
      <c r="Q2358" s="17"/>
      <c r="R2358" s="17"/>
      <c r="S2358" s="17"/>
      <c r="U2358" s="24"/>
      <c r="V2358" s="24"/>
      <c r="W2358" s="24"/>
    </row>
    <row r="2359">
      <c r="A2359" s="11"/>
      <c r="B2359" s="23"/>
      <c r="C2359" s="23"/>
      <c r="D2359" s="23"/>
      <c r="E2359" s="23"/>
      <c r="F2359" s="1"/>
      <c r="G2359" s="23"/>
      <c r="H2359" s="23"/>
      <c r="I2359" s="23"/>
      <c r="J2359" s="2"/>
      <c r="K2359" s="18"/>
      <c r="L2359" s="20"/>
      <c r="M2359" s="2"/>
      <c r="N2359" s="17"/>
      <c r="P2359" s="17"/>
      <c r="Q2359" s="17"/>
      <c r="R2359" s="17"/>
      <c r="S2359" s="17"/>
      <c r="U2359" s="24"/>
      <c r="V2359" s="24"/>
      <c r="W2359" s="24"/>
    </row>
    <row r="2360">
      <c r="A2360" s="11"/>
      <c r="B2360" s="23"/>
      <c r="C2360" s="23"/>
      <c r="D2360" s="23"/>
      <c r="E2360" s="23"/>
      <c r="F2360" s="1"/>
      <c r="G2360" s="23"/>
      <c r="H2360" s="23"/>
      <c r="I2360" s="23"/>
      <c r="J2360" s="2"/>
      <c r="K2360" s="18"/>
      <c r="L2360" s="20"/>
      <c r="M2360" s="2"/>
      <c r="N2360" s="17"/>
      <c r="P2360" s="17"/>
      <c r="Q2360" s="17"/>
      <c r="R2360" s="17"/>
      <c r="S2360" s="17"/>
      <c r="U2360" s="24"/>
      <c r="V2360" s="24"/>
      <c r="W2360" s="24"/>
    </row>
    <row r="2361">
      <c r="A2361" s="11"/>
      <c r="B2361" s="23"/>
      <c r="C2361" s="23"/>
      <c r="D2361" s="23"/>
      <c r="E2361" s="23"/>
      <c r="F2361" s="1"/>
      <c r="G2361" s="23"/>
      <c r="H2361" s="23"/>
      <c r="I2361" s="23"/>
      <c r="J2361" s="2"/>
      <c r="K2361" s="18"/>
      <c r="L2361" s="20"/>
      <c r="M2361" s="2"/>
      <c r="N2361" s="17"/>
      <c r="P2361" s="17"/>
      <c r="Q2361" s="17"/>
      <c r="R2361" s="17"/>
      <c r="S2361" s="17"/>
      <c r="U2361" s="24"/>
      <c r="V2361" s="24"/>
      <c r="W2361" s="24"/>
    </row>
    <row r="2362">
      <c r="A2362" s="11"/>
      <c r="B2362" s="23"/>
      <c r="C2362" s="23"/>
      <c r="D2362" s="23"/>
      <c r="E2362" s="23"/>
      <c r="F2362" s="1"/>
      <c r="G2362" s="23"/>
      <c r="H2362" s="23"/>
      <c r="I2362" s="23"/>
      <c r="J2362" s="2"/>
      <c r="K2362" s="18"/>
      <c r="L2362" s="20"/>
      <c r="M2362" s="2"/>
      <c r="N2362" s="17"/>
      <c r="P2362" s="17"/>
      <c r="Q2362" s="17"/>
      <c r="R2362" s="17"/>
      <c r="S2362" s="17"/>
      <c r="U2362" s="24"/>
      <c r="V2362" s="24"/>
      <c r="W2362" s="24"/>
    </row>
    <row r="2363">
      <c r="A2363" s="11"/>
      <c r="B2363" s="23"/>
      <c r="C2363" s="23"/>
      <c r="D2363" s="23"/>
      <c r="E2363" s="23"/>
      <c r="F2363" s="1"/>
      <c r="G2363" s="23"/>
      <c r="H2363" s="23"/>
      <c r="I2363" s="23"/>
      <c r="J2363" s="2"/>
      <c r="K2363" s="18"/>
      <c r="L2363" s="20"/>
      <c r="M2363" s="2"/>
      <c r="N2363" s="17"/>
      <c r="P2363" s="17"/>
      <c r="Q2363" s="17"/>
      <c r="R2363" s="17"/>
      <c r="S2363" s="17"/>
      <c r="U2363" s="24"/>
      <c r="V2363" s="24"/>
      <c r="W2363" s="24"/>
    </row>
    <row r="2364">
      <c r="A2364" s="11"/>
      <c r="B2364" s="23"/>
      <c r="C2364" s="23"/>
      <c r="D2364" s="23"/>
      <c r="E2364" s="23"/>
      <c r="F2364" s="1"/>
      <c r="G2364" s="23"/>
      <c r="H2364" s="23"/>
      <c r="I2364" s="23"/>
      <c r="J2364" s="2"/>
      <c r="K2364" s="18"/>
      <c r="L2364" s="20"/>
      <c r="M2364" s="2"/>
      <c r="N2364" s="17"/>
      <c r="P2364" s="17"/>
      <c r="Q2364" s="17"/>
      <c r="R2364" s="17"/>
      <c r="S2364" s="17"/>
      <c r="U2364" s="24"/>
      <c r="V2364" s="24"/>
      <c r="W2364" s="24"/>
    </row>
    <row r="2365">
      <c r="A2365" s="11"/>
      <c r="B2365" s="23"/>
      <c r="C2365" s="23"/>
      <c r="D2365" s="23"/>
      <c r="E2365" s="23"/>
      <c r="F2365" s="1"/>
      <c r="G2365" s="23"/>
      <c r="H2365" s="23"/>
      <c r="I2365" s="23"/>
      <c r="J2365" s="2"/>
      <c r="K2365" s="18"/>
      <c r="L2365" s="20"/>
      <c r="M2365" s="2"/>
      <c r="N2365" s="17"/>
      <c r="P2365" s="17"/>
      <c r="Q2365" s="17"/>
      <c r="R2365" s="17"/>
      <c r="S2365" s="17"/>
      <c r="U2365" s="24"/>
      <c r="V2365" s="24"/>
      <c r="W2365" s="24"/>
    </row>
    <row r="2366">
      <c r="A2366" s="11"/>
      <c r="B2366" s="23"/>
      <c r="C2366" s="23"/>
      <c r="D2366" s="23"/>
      <c r="E2366" s="23"/>
      <c r="F2366" s="1"/>
      <c r="G2366" s="23"/>
      <c r="H2366" s="23"/>
      <c r="I2366" s="23"/>
      <c r="J2366" s="2"/>
      <c r="K2366" s="18"/>
      <c r="L2366" s="20"/>
      <c r="M2366" s="2"/>
      <c r="N2366" s="17"/>
      <c r="P2366" s="17"/>
      <c r="Q2366" s="17"/>
      <c r="R2366" s="17"/>
      <c r="S2366" s="17"/>
      <c r="U2366" s="24"/>
      <c r="V2366" s="24"/>
      <c r="W2366" s="24"/>
    </row>
    <row r="2367">
      <c r="A2367" s="11"/>
      <c r="B2367" s="23"/>
      <c r="C2367" s="23"/>
      <c r="D2367" s="23"/>
      <c r="E2367" s="23"/>
      <c r="F2367" s="1"/>
      <c r="G2367" s="23"/>
      <c r="H2367" s="23"/>
      <c r="I2367" s="23"/>
      <c r="J2367" s="2"/>
      <c r="K2367" s="18"/>
      <c r="L2367" s="20"/>
      <c r="M2367" s="2"/>
      <c r="N2367" s="17"/>
      <c r="P2367" s="17"/>
      <c r="Q2367" s="17"/>
      <c r="R2367" s="17"/>
      <c r="S2367" s="17"/>
      <c r="U2367" s="24"/>
      <c r="V2367" s="24"/>
      <c r="W2367" s="24"/>
    </row>
    <row r="2368">
      <c r="A2368" s="11"/>
      <c r="B2368" s="23"/>
      <c r="C2368" s="23"/>
      <c r="D2368" s="23"/>
      <c r="E2368" s="23"/>
      <c r="F2368" s="1"/>
      <c r="G2368" s="23"/>
      <c r="H2368" s="23"/>
      <c r="I2368" s="23"/>
      <c r="J2368" s="2"/>
      <c r="K2368" s="18"/>
      <c r="L2368" s="20"/>
      <c r="M2368" s="2"/>
      <c r="N2368" s="17"/>
      <c r="P2368" s="17"/>
      <c r="Q2368" s="17"/>
      <c r="R2368" s="17"/>
      <c r="S2368" s="17"/>
      <c r="U2368" s="24"/>
      <c r="V2368" s="24"/>
      <c r="W2368" s="24"/>
    </row>
    <row r="2369">
      <c r="A2369" s="11"/>
      <c r="B2369" s="23"/>
      <c r="C2369" s="23"/>
      <c r="D2369" s="23"/>
      <c r="E2369" s="23"/>
      <c r="F2369" s="1"/>
      <c r="G2369" s="23"/>
      <c r="H2369" s="23"/>
      <c r="I2369" s="23"/>
      <c r="J2369" s="2"/>
      <c r="K2369" s="18"/>
      <c r="L2369" s="20"/>
      <c r="M2369" s="2"/>
      <c r="N2369" s="17"/>
      <c r="P2369" s="17"/>
      <c r="Q2369" s="17"/>
      <c r="R2369" s="17"/>
      <c r="S2369" s="17"/>
      <c r="U2369" s="24"/>
      <c r="V2369" s="24"/>
      <c r="W2369" s="24"/>
    </row>
    <row r="2370">
      <c r="A2370" s="11"/>
      <c r="B2370" s="23"/>
      <c r="C2370" s="23"/>
      <c r="D2370" s="23"/>
      <c r="E2370" s="23"/>
      <c r="F2370" s="1"/>
      <c r="G2370" s="23"/>
      <c r="H2370" s="23"/>
      <c r="I2370" s="23"/>
      <c r="J2370" s="2"/>
      <c r="K2370" s="18"/>
      <c r="L2370" s="20"/>
      <c r="M2370" s="2"/>
      <c r="N2370" s="17"/>
      <c r="P2370" s="17"/>
      <c r="Q2370" s="17"/>
      <c r="R2370" s="17"/>
      <c r="S2370" s="17"/>
      <c r="U2370" s="24"/>
      <c r="V2370" s="24"/>
      <c r="W2370" s="24"/>
    </row>
    <row r="2371">
      <c r="A2371" s="11"/>
      <c r="B2371" s="23"/>
      <c r="C2371" s="23"/>
      <c r="D2371" s="23"/>
      <c r="E2371" s="23"/>
      <c r="F2371" s="1"/>
      <c r="G2371" s="23"/>
      <c r="H2371" s="23"/>
      <c r="I2371" s="23"/>
      <c r="J2371" s="2"/>
      <c r="K2371" s="18"/>
      <c r="L2371" s="20"/>
      <c r="M2371" s="2"/>
      <c r="N2371" s="17"/>
      <c r="P2371" s="17"/>
      <c r="Q2371" s="17"/>
      <c r="R2371" s="17"/>
      <c r="S2371" s="17"/>
      <c r="U2371" s="24"/>
      <c r="V2371" s="24"/>
      <c r="W2371" s="24"/>
    </row>
    <row r="2372">
      <c r="A2372" s="11"/>
      <c r="B2372" s="23"/>
      <c r="C2372" s="23"/>
      <c r="D2372" s="23"/>
      <c r="E2372" s="23"/>
      <c r="F2372" s="1"/>
      <c r="G2372" s="23"/>
      <c r="H2372" s="23"/>
      <c r="I2372" s="23"/>
      <c r="J2372" s="2"/>
      <c r="K2372" s="18"/>
      <c r="L2372" s="20"/>
      <c r="M2372" s="2"/>
      <c r="N2372" s="17"/>
      <c r="P2372" s="17"/>
      <c r="Q2372" s="17"/>
      <c r="R2372" s="17"/>
      <c r="S2372" s="17"/>
      <c r="U2372" s="24"/>
      <c r="V2372" s="24"/>
      <c r="W2372" s="24"/>
    </row>
    <row r="2373">
      <c r="A2373" s="11"/>
      <c r="B2373" s="23"/>
      <c r="C2373" s="23"/>
      <c r="D2373" s="23"/>
      <c r="E2373" s="23"/>
      <c r="F2373" s="1"/>
      <c r="G2373" s="23"/>
      <c r="H2373" s="23"/>
      <c r="I2373" s="23"/>
      <c r="J2373" s="2"/>
      <c r="K2373" s="18"/>
      <c r="L2373" s="20"/>
      <c r="M2373" s="2"/>
      <c r="N2373" s="17"/>
      <c r="P2373" s="17"/>
      <c r="Q2373" s="17"/>
      <c r="R2373" s="17"/>
      <c r="S2373" s="17"/>
      <c r="U2373" s="24"/>
      <c r="V2373" s="24"/>
      <c r="W2373" s="24"/>
    </row>
    <row r="2374">
      <c r="A2374" s="11"/>
      <c r="B2374" s="23"/>
      <c r="C2374" s="23"/>
      <c r="D2374" s="23"/>
      <c r="E2374" s="23"/>
      <c r="F2374" s="1"/>
      <c r="G2374" s="23"/>
      <c r="H2374" s="23"/>
      <c r="I2374" s="23"/>
      <c r="J2374" s="2"/>
      <c r="K2374" s="18"/>
      <c r="L2374" s="20"/>
      <c r="M2374" s="2"/>
      <c r="N2374" s="17"/>
      <c r="P2374" s="17"/>
      <c r="Q2374" s="17"/>
      <c r="R2374" s="17"/>
      <c r="S2374" s="17"/>
      <c r="U2374" s="24"/>
      <c r="V2374" s="24"/>
      <c r="W2374" s="24"/>
    </row>
    <row r="2375">
      <c r="A2375" s="11"/>
      <c r="B2375" s="23"/>
      <c r="C2375" s="23"/>
      <c r="D2375" s="23"/>
      <c r="E2375" s="23"/>
      <c r="F2375" s="1"/>
      <c r="G2375" s="23"/>
      <c r="H2375" s="23"/>
      <c r="I2375" s="23"/>
      <c r="J2375" s="2"/>
      <c r="K2375" s="18"/>
      <c r="L2375" s="20"/>
      <c r="M2375" s="2"/>
      <c r="N2375" s="17"/>
      <c r="P2375" s="17"/>
      <c r="Q2375" s="17"/>
      <c r="R2375" s="17"/>
      <c r="S2375" s="17"/>
      <c r="U2375" s="24"/>
      <c r="V2375" s="24"/>
      <c r="W2375" s="24"/>
    </row>
    <row r="2376">
      <c r="A2376" s="11"/>
      <c r="B2376" s="23"/>
      <c r="C2376" s="23"/>
      <c r="D2376" s="23"/>
      <c r="E2376" s="23"/>
      <c r="F2376" s="1"/>
      <c r="G2376" s="23"/>
      <c r="H2376" s="23"/>
      <c r="I2376" s="23"/>
      <c r="J2376" s="2"/>
      <c r="K2376" s="18"/>
      <c r="L2376" s="20"/>
      <c r="M2376" s="2"/>
      <c r="N2376" s="17"/>
      <c r="P2376" s="17"/>
      <c r="Q2376" s="17"/>
      <c r="R2376" s="17"/>
      <c r="S2376" s="17"/>
      <c r="U2376" s="24"/>
      <c r="V2376" s="24"/>
      <c r="W2376" s="24"/>
    </row>
    <row r="2377">
      <c r="A2377" s="11"/>
      <c r="B2377" s="23"/>
      <c r="C2377" s="23"/>
      <c r="D2377" s="23"/>
      <c r="E2377" s="23"/>
      <c r="F2377" s="1"/>
      <c r="G2377" s="23"/>
      <c r="H2377" s="23"/>
      <c r="I2377" s="23"/>
      <c r="J2377" s="2"/>
      <c r="K2377" s="18"/>
      <c r="L2377" s="20"/>
      <c r="M2377" s="2"/>
      <c r="N2377" s="17"/>
      <c r="P2377" s="17"/>
      <c r="Q2377" s="17"/>
      <c r="R2377" s="17"/>
      <c r="S2377" s="17"/>
      <c r="U2377" s="24"/>
      <c r="V2377" s="24"/>
      <c r="W2377" s="24"/>
    </row>
    <row r="2378">
      <c r="A2378" s="11"/>
      <c r="B2378" s="23"/>
      <c r="C2378" s="23"/>
      <c r="D2378" s="23"/>
      <c r="E2378" s="23"/>
      <c r="F2378" s="1"/>
      <c r="G2378" s="23"/>
      <c r="H2378" s="23"/>
      <c r="I2378" s="23"/>
      <c r="J2378" s="2"/>
      <c r="K2378" s="18"/>
      <c r="L2378" s="20"/>
      <c r="M2378" s="2"/>
      <c r="N2378" s="17"/>
      <c r="P2378" s="17"/>
      <c r="Q2378" s="17"/>
      <c r="R2378" s="17"/>
      <c r="S2378" s="17"/>
      <c r="U2378" s="24"/>
      <c r="V2378" s="24"/>
      <c r="W2378" s="24"/>
    </row>
    <row r="2379">
      <c r="A2379" s="11"/>
      <c r="B2379" s="23"/>
      <c r="C2379" s="23"/>
      <c r="D2379" s="23"/>
      <c r="E2379" s="23"/>
      <c r="F2379" s="1"/>
      <c r="G2379" s="23"/>
      <c r="H2379" s="23"/>
      <c r="I2379" s="23"/>
      <c r="J2379" s="2"/>
      <c r="K2379" s="18"/>
      <c r="L2379" s="20"/>
      <c r="M2379" s="2"/>
      <c r="N2379" s="17"/>
      <c r="P2379" s="17"/>
      <c r="Q2379" s="17"/>
      <c r="R2379" s="17"/>
      <c r="S2379" s="17"/>
      <c r="U2379" s="24"/>
      <c r="V2379" s="24"/>
      <c r="W2379" s="24"/>
    </row>
    <row r="2380">
      <c r="A2380" s="11"/>
      <c r="B2380" s="23"/>
      <c r="C2380" s="23"/>
      <c r="D2380" s="23"/>
      <c r="E2380" s="23"/>
      <c r="F2380" s="1"/>
      <c r="G2380" s="23"/>
      <c r="H2380" s="23"/>
      <c r="I2380" s="23"/>
      <c r="J2380" s="2"/>
      <c r="K2380" s="18"/>
      <c r="L2380" s="20"/>
      <c r="M2380" s="2"/>
      <c r="N2380" s="17"/>
      <c r="P2380" s="17"/>
      <c r="Q2380" s="17"/>
      <c r="R2380" s="17"/>
      <c r="S2380" s="17"/>
      <c r="U2380" s="24"/>
      <c r="V2380" s="24"/>
      <c r="W2380" s="24"/>
    </row>
    <row r="2381">
      <c r="A2381" s="11"/>
      <c r="B2381" s="23"/>
      <c r="C2381" s="23"/>
      <c r="D2381" s="23"/>
      <c r="E2381" s="23"/>
      <c r="F2381" s="1"/>
      <c r="G2381" s="23"/>
      <c r="H2381" s="23"/>
      <c r="I2381" s="23"/>
      <c r="J2381" s="2"/>
      <c r="K2381" s="18"/>
      <c r="L2381" s="20"/>
      <c r="M2381" s="2"/>
      <c r="N2381" s="17"/>
      <c r="P2381" s="17"/>
      <c r="Q2381" s="17"/>
      <c r="R2381" s="17"/>
      <c r="S2381" s="17"/>
      <c r="U2381" s="24"/>
      <c r="V2381" s="24"/>
      <c r="W2381" s="24"/>
    </row>
    <row r="2382">
      <c r="A2382" s="11"/>
      <c r="B2382" s="23"/>
      <c r="C2382" s="23"/>
      <c r="D2382" s="23"/>
      <c r="E2382" s="23"/>
      <c r="F2382" s="1"/>
      <c r="G2382" s="23"/>
      <c r="H2382" s="23"/>
      <c r="I2382" s="23"/>
      <c r="J2382" s="2"/>
      <c r="K2382" s="18"/>
      <c r="L2382" s="20"/>
      <c r="M2382" s="2"/>
      <c r="N2382" s="17"/>
      <c r="P2382" s="17"/>
      <c r="Q2382" s="17"/>
      <c r="R2382" s="17"/>
      <c r="S2382" s="17"/>
      <c r="U2382" s="24"/>
      <c r="V2382" s="24"/>
      <c r="W2382" s="24"/>
    </row>
    <row r="2383">
      <c r="A2383" s="11"/>
      <c r="B2383" s="23"/>
      <c r="C2383" s="23"/>
      <c r="D2383" s="23"/>
      <c r="E2383" s="23"/>
      <c r="F2383" s="1"/>
      <c r="G2383" s="23"/>
      <c r="H2383" s="23"/>
      <c r="I2383" s="23"/>
      <c r="J2383" s="2"/>
      <c r="K2383" s="18"/>
      <c r="L2383" s="20"/>
      <c r="M2383" s="2"/>
      <c r="N2383" s="17"/>
      <c r="P2383" s="17"/>
      <c r="Q2383" s="17"/>
      <c r="R2383" s="17"/>
      <c r="S2383" s="17"/>
      <c r="U2383" s="24"/>
      <c r="V2383" s="24"/>
      <c r="W2383" s="24"/>
    </row>
    <row r="2384">
      <c r="A2384" s="11"/>
      <c r="B2384" s="23"/>
      <c r="C2384" s="23"/>
      <c r="D2384" s="23"/>
      <c r="E2384" s="23"/>
      <c r="F2384" s="1"/>
      <c r="G2384" s="23"/>
      <c r="H2384" s="23"/>
      <c r="I2384" s="23"/>
      <c r="J2384" s="2"/>
      <c r="K2384" s="18"/>
      <c r="L2384" s="20"/>
      <c r="M2384" s="2"/>
      <c r="N2384" s="17"/>
      <c r="P2384" s="17"/>
      <c r="Q2384" s="17"/>
      <c r="R2384" s="17"/>
      <c r="S2384" s="17"/>
      <c r="U2384" s="24"/>
      <c r="V2384" s="24"/>
      <c r="W2384" s="24"/>
    </row>
    <row r="2385">
      <c r="A2385" s="11"/>
      <c r="B2385" s="23"/>
      <c r="C2385" s="23"/>
      <c r="D2385" s="23"/>
      <c r="E2385" s="23"/>
      <c r="F2385" s="1"/>
      <c r="G2385" s="23"/>
      <c r="H2385" s="23"/>
      <c r="I2385" s="23"/>
      <c r="J2385" s="2"/>
      <c r="K2385" s="18"/>
      <c r="L2385" s="20"/>
      <c r="M2385" s="2"/>
      <c r="N2385" s="17"/>
      <c r="P2385" s="17"/>
      <c r="Q2385" s="17"/>
      <c r="R2385" s="17"/>
      <c r="S2385" s="17"/>
      <c r="U2385" s="24"/>
      <c r="V2385" s="24"/>
      <c r="W2385" s="24"/>
    </row>
    <row r="2386">
      <c r="A2386" s="11"/>
      <c r="B2386" s="23"/>
      <c r="C2386" s="23"/>
      <c r="D2386" s="23"/>
      <c r="E2386" s="23"/>
      <c r="F2386" s="1"/>
      <c r="G2386" s="23"/>
      <c r="H2386" s="23"/>
      <c r="I2386" s="23"/>
      <c r="J2386" s="2"/>
      <c r="K2386" s="18"/>
      <c r="L2386" s="20"/>
      <c r="M2386" s="2"/>
      <c r="N2386" s="17"/>
      <c r="P2386" s="17"/>
      <c r="Q2386" s="17"/>
      <c r="R2386" s="17"/>
      <c r="S2386" s="17"/>
      <c r="U2386" s="24"/>
      <c r="V2386" s="24"/>
      <c r="W2386" s="24"/>
    </row>
    <row r="2387">
      <c r="A2387" s="11"/>
      <c r="B2387" s="23"/>
      <c r="C2387" s="23"/>
      <c r="D2387" s="23"/>
      <c r="E2387" s="23"/>
      <c r="F2387" s="1"/>
      <c r="G2387" s="23"/>
      <c r="H2387" s="23"/>
      <c r="I2387" s="23"/>
      <c r="J2387" s="2"/>
      <c r="K2387" s="18"/>
      <c r="L2387" s="20"/>
      <c r="M2387" s="2"/>
      <c r="N2387" s="17"/>
      <c r="P2387" s="17"/>
      <c r="Q2387" s="17"/>
      <c r="R2387" s="17"/>
      <c r="S2387" s="17"/>
      <c r="U2387" s="24"/>
      <c r="V2387" s="24"/>
      <c r="W2387" s="24"/>
    </row>
    <row r="2388">
      <c r="A2388" s="11"/>
      <c r="B2388" s="23"/>
      <c r="C2388" s="23"/>
      <c r="D2388" s="23"/>
      <c r="E2388" s="23"/>
      <c r="F2388" s="1"/>
      <c r="G2388" s="23"/>
      <c r="H2388" s="23"/>
      <c r="I2388" s="23"/>
      <c r="J2388" s="2"/>
      <c r="K2388" s="18"/>
      <c r="L2388" s="20"/>
      <c r="M2388" s="2"/>
      <c r="N2388" s="17"/>
      <c r="P2388" s="17"/>
      <c r="Q2388" s="17"/>
      <c r="R2388" s="17"/>
      <c r="S2388" s="17"/>
      <c r="U2388" s="24"/>
      <c r="V2388" s="24"/>
      <c r="W2388" s="24"/>
    </row>
    <row r="2389">
      <c r="A2389" s="11"/>
      <c r="B2389" s="23"/>
      <c r="C2389" s="23"/>
      <c r="D2389" s="23"/>
      <c r="E2389" s="23"/>
      <c r="F2389" s="1"/>
      <c r="G2389" s="23"/>
      <c r="H2389" s="23"/>
      <c r="I2389" s="23"/>
      <c r="J2389" s="2"/>
      <c r="K2389" s="18"/>
      <c r="L2389" s="20"/>
      <c r="M2389" s="2"/>
      <c r="N2389" s="17"/>
      <c r="P2389" s="17"/>
      <c r="Q2389" s="17"/>
      <c r="R2389" s="17"/>
      <c r="S2389" s="17"/>
      <c r="U2389" s="24"/>
      <c r="V2389" s="24"/>
      <c r="W2389" s="24"/>
    </row>
    <row r="2390">
      <c r="A2390" s="11"/>
      <c r="B2390" s="23"/>
      <c r="C2390" s="23"/>
      <c r="D2390" s="23"/>
      <c r="E2390" s="23"/>
      <c r="F2390" s="1"/>
      <c r="G2390" s="23"/>
      <c r="H2390" s="23"/>
      <c r="I2390" s="23"/>
      <c r="J2390" s="2"/>
      <c r="K2390" s="18"/>
      <c r="L2390" s="20"/>
      <c r="M2390" s="2"/>
      <c r="N2390" s="17"/>
      <c r="P2390" s="17"/>
      <c r="Q2390" s="17"/>
      <c r="R2390" s="17"/>
      <c r="S2390" s="17"/>
      <c r="U2390" s="24"/>
      <c r="V2390" s="24"/>
      <c r="W2390" s="24"/>
    </row>
    <row r="2391">
      <c r="A2391" s="11"/>
      <c r="B2391" s="23"/>
      <c r="C2391" s="23"/>
      <c r="D2391" s="23"/>
      <c r="E2391" s="23"/>
      <c r="F2391" s="1"/>
      <c r="G2391" s="23"/>
      <c r="H2391" s="23"/>
      <c r="I2391" s="23"/>
      <c r="J2391" s="2"/>
      <c r="K2391" s="18"/>
      <c r="L2391" s="20"/>
      <c r="M2391" s="2"/>
      <c r="N2391" s="17"/>
      <c r="P2391" s="17"/>
      <c r="Q2391" s="17"/>
      <c r="R2391" s="17"/>
      <c r="S2391" s="17"/>
      <c r="U2391" s="24"/>
      <c r="V2391" s="24"/>
      <c r="W2391" s="24"/>
    </row>
    <row r="2392">
      <c r="A2392" s="11"/>
      <c r="B2392" s="23"/>
      <c r="C2392" s="23"/>
      <c r="D2392" s="23"/>
      <c r="E2392" s="23"/>
      <c r="F2392" s="1"/>
      <c r="G2392" s="23"/>
      <c r="H2392" s="23"/>
      <c r="I2392" s="23"/>
      <c r="J2392" s="2"/>
      <c r="K2392" s="18"/>
      <c r="L2392" s="20"/>
      <c r="M2392" s="2"/>
      <c r="N2392" s="17"/>
      <c r="P2392" s="17"/>
      <c r="Q2392" s="17"/>
      <c r="R2392" s="17"/>
      <c r="S2392" s="17"/>
      <c r="U2392" s="24"/>
      <c r="V2392" s="24"/>
      <c r="W2392" s="24"/>
    </row>
    <row r="2393">
      <c r="A2393" s="11"/>
      <c r="B2393" s="23"/>
      <c r="C2393" s="23"/>
      <c r="D2393" s="23"/>
      <c r="E2393" s="23"/>
      <c r="F2393" s="1"/>
      <c r="G2393" s="23"/>
      <c r="H2393" s="23"/>
      <c r="I2393" s="23"/>
      <c r="J2393" s="2"/>
      <c r="K2393" s="18"/>
      <c r="L2393" s="20"/>
      <c r="M2393" s="2"/>
      <c r="N2393" s="17"/>
      <c r="P2393" s="17"/>
      <c r="Q2393" s="17"/>
      <c r="R2393" s="17"/>
      <c r="S2393" s="17"/>
      <c r="U2393" s="24"/>
      <c r="V2393" s="24"/>
      <c r="W2393" s="24"/>
    </row>
    <row r="2394">
      <c r="A2394" s="11"/>
      <c r="B2394" s="23"/>
      <c r="C2394" s="23"/>
      <c r="D2394" s="23"/>
      <c r="E2394" s="23"/>
      <c r="F2394" s="1"/>
      <c r="G2394" s="23"/>
      <c r="H2394" s="23"/>
      <c r="I2394" s="23"/>
      <c r="J2394" s="2"/>
      <c r="K2394" s="18"/>
      <c r="L2394" s="20"/>
      <c r="M2394" s="2"/>
      <c r="N2394" s="17"/>
      <c r="P2394" s="17"/>
      <c r="Q2394" s="17"/>
      <c r="R2394" s="17"/>
      <c r="S2394" s="17"/>
      <c r="U2394" s="24"/>
      <c r="V2394" s="24"/>
      <c r="W2394" s="24"/>
    </row>
    <row r="2395">
      <c r="A2395" s="11"/>
      <c r="B2395" s="23"/>
      <c r="C2395" s="23"/>
      <c r="D2395" s="23"/>
      <c r="E2395" s="23"/>
      <c r="F2395" s="1"/>
      <c r="G2395" s="23"/>
      <c r="H2395" s="23"/>
      <c r="I2395" s="23"/>
      <c r="J2395" s="2"/>
      <c r="K2395" s="18"/>
      <c r="L2395" s="20"/>
      <c r="M2395" s="2"/>
      <c r="N2395" s="17"/>
      <c r="P2395" s="17"/>
      <c r="Q2395" s="17"/>
      <c r="R2395" s="17"/>
      <c r="S2395" s="17"/>
      <c r="U2395" s="24"/>
      <c r="V2395" s="24"/>
      <c r="W2395" s="24"/>
    </row>
    <row r="2396">
      <c r="A2396" s="11"/>
      <c r="B2396" s="23"/>
      <c r="C2396" s="23"/>
      <c r="D2396" s="23"/>
      <c r="E2396" s="23"/>
      <c r="F2396" s="1"/>
      <c r="G2396" s="23"/>
      <c r="H2396" s="23"/>
      <c r="I2396" s="23"/>
      <c r="J2396" s="2"/>
      <c r="K2396" s="18"/>
      <c r="L2396" s="20"/>
      <c r="M2396" s="2"/>
      <c r="N2396" s="17"/>
      <c r="P2396" s="17"/>
      <c r="Q2396" s="17"/>
      <c r="R2396" s="17"/>
      <c r="S2396" s="17"/>
      <c r="U2396" s="24"/>
      <c r="V2396" s="24"/>
      <c r="W2396" s="24"/>
    </row>
    <row r="2397">
      <c r="A2397" s="11"/>
      <c r="B2397" s="23"/>
      <c r="C2397" s="23"/>
      <c r="D2397" s="23"/>
      <c r="E2397" s="23"/>
      <c r="F2397" s="1"/>
      <c r="G2397" s="23"/>
      <c r="H2397" s="23"/>
      <c r="I2397" s="23"/>
      <c r="J2397" s="2"/>
      <c r="K2397" s="18"/>
      <c r="L2397" s="20"/>
      <c r="M2397" s="2"/>
      <c r="N2397" s="17"/>
      <c r="P2397" s="17"/>
      <c r="Q2397" s="17"/>
      <c r="R2397" s="17"/>
      <c r="S2397" s="17"/>
      <c r="U2397" s="24"/>
      <c r="V2397" s="24"/>
      <c r="W2397" s="24"/>
    </row>
    <row r="2398">
      <c r="A2398" s="11"/>
      <c r="B2398" s="23"/>
      <c r="C2398" s="23"/>
      <c r="D2398" s="23"/>
      <c r="E2398" s="23"/>
      <c r="F2398" s="1"/>
      <c r="G2398" s="23"/>
      <c r="H2398" s="23"/>
      <c r="I2398" s="23"/>
      <c r="J2398" s="2"/>
      <c r="K2398" s="18"/>
      <c r="L2398" s="20"/>
      <c r="M2398" s="2"/>
      <c r="N2398" s="17"/>
      <c r="P2398" s="17"/>
      <c r="Q2398" s="17"/>
      <c r="R2398" s="17"/>
      <c r="S2398" s="17"/>
      <c r="U2398" s="24"/>
      <c r="V2398" s="24"/>
      <c r="W2398" s="24"/>
    </row>
    <row r="2399">
      <c r="A2399" s="11"/>
      <c r="B2399" s="23"/>
      <c r="C2399" s="23"/>
      <c r="D2399" s="23"/>
      <c r="E2399" s="23"/>
      <c r="F2399" s="1"/>
      <c r="G2399" s="23"/>
      <c r="H2399" s="23"/>
      <c r="I2399" s="23"/>
      <c r="J2399" s="2"/>
      <c r="K2399" s="18"/>
      <c r="L2399" s="20"/>
      <c r="M2399" s="2"/>
      <c r="N2399" s="17"/>
      <c r="P2399" s="17"/>
      <c r="Q2399" s="17"/>
      <c r="R2399" s="17"/>
      <c r="S2399" s="17"/>
      <c r="U2399" s="24"/>
      <c r="V2399" s="24"/>
      <c r="W2399" s="24"/>
    </row>
    <row r="2400">
      <c r="A2400" s="11"/>
      <c r="B2400" s="23"/>
      <c r="C2400" s="23"/>
      <c r="D2400" s="23"/>
      <c r="E2400" s="23"/>
      <c r="F2400" s="1"/>
      <c r="G2400" s="23"/>
      <c r="H2400" s="23"/>
      <c r="I2400" s="23"/>
      <c r="J2400" s="2"/>
      <c r="K2400" s="18"/>
      <c r="L2400" s="20"/>
      <c r="M2400" s="2"/>
      <c r="N2400" s="17"/>
      <c r="P2400" s="17"/>
      <c r="Q2400" s="17"/>
      <c r="R2400" s="17"/>
      <c r="S2400" s="17"/>
      <c r="U2400" s="24"/>
      <c r="V2400" s="24"/>
      <c r="W2400" s="24"/>
    </row>
    <row r="2401">
      <c r="A2401" s="11"/>
      <c r="B2401" s="23"/>
      <c r="C2401" s="23"/>
      <c r="D2401" s="23"/>
      <c r="E2401" s="23"/>
      <c r="F2401" s="1"/>
      <c r="G2401" s="23"/>
      <c r="H2401" s="23"/>
      <c r="I2401" s="23"/>
      <c r="J2401" s="2"/>
      <c r="K2401" s="18"/>
      <c r="L2401" s="20"/>
      <c r="M2401" s="2"/>
      <c r="N2401" s="17"/>
      <c r="P2401" s="17"/>
      <c r="Q2401" s="17"/>
      <c r="R2401" s="17"/>
      <c r="S2401" s="17"/>
      <c r="U2401" s="24"/>
      <c r="V2401" s="24"/>
      <c r="W2401" s="24"/>
    </row>
    <row r="2402">
      <c r="A2402" s="11"/>
      <c r="B2402" s="23"/>
      <c r="C2402" s="23"/>
      <c r="D2402" s="23"/>
      <c r="E2402" s="23"/>
      <c r="F2402" s="1"/>
      <c r="G2402" s="23"/>
      <c r="H2402" s="23"/>
      <c r="I2402" s="23"/>
      <c r="J2402" s="2"/>
      <c r="K2402" s="18"/>
      <c r="L2402" s="20"/>
      <c r="M2402" s="2"/>
      <c r="N2402" s="17"/>
      <c r="P2402" s="17"/>
      <c r="Q2402" s="17"/>
      <c r="R2402" s="17"/>
      <c r="S2402" s="17"/>
      <c r="U2402" s="24"/>
      <c r="V2402" s="24"/>
      <c r="W2402" s="24"/>
    </row>
    <row r="2403">
      <c r="A2403" s="11"/>
      <c r="B2403" s="23"/>
      <c r="C2403" s="23"/>
      <c r="D2403" s="23"/>
      <c r="E2403" s="23"/>
      <c r="F2403" s="1"/>
      <c r="G2403" s="23"/>
      <c r="H2403" s="23"/>
      <c r="I2403" s="23"/>
      <c r="J2403" s="2"/>
      <c r="K2403" s="18"/>
      <c r="L2403" s="20"/>
      <c r="M2403" s="2"/>
      <c r="N2403" s="17"/>
      <c r="P2403" s="17"/>
      <c r="Q2403" s="17"/>
      <c r="R2403" s="17"/>
      <c r="S2403" s="17"/>
      <c r="U2403" s="24"/>
      <c r="V2403" s="24"/>
      <c r="W2403" s="24"/>
    </row>
    <row r="2404">
      <c r="A2404" s="11"/>
      <c r="B2404" s="23"/>
      <c r="C2404" s="23"/>
      <c r="D2404" s="23"/>
      <c r="E2404" s="23"/>
      <c r="F2404" s="1"/>
      <c r="G2404" s="23"/>
      <c r="H2404" s="23"/>
      <c r="I2404" s="23"/>
      <c r="J2404" s="2"/>
      <c r="K2404" s="18"/>
      <c r="L2404" s="20"/>
      <c r="M2404" s="2"/>
      <c r="N2404" s="17"/>
      <c r="P2404" s="17"/>
      <c r="Q2404" s="17"/>
      <c r="R2404" s="17"/>
      <c r="S2404" s="17"/>
      <c r="U2404" s="24"/>
      <c r="V2404" s="24"/>
      <c r="W2404" s="24"/>
    </row>
    <row r="2405">
      <c r="A2405" s="11"/>
      <c r="B2405" s="23"/>
      <c r="C2405" s="23"/>
      <c r="D2405" s="23"/>
      <c r="E2405" s="23"/>
      <c r="F2405" s="1"/>
      <c r="G2405" s="23"/>
      <c r="H2405" s="23"/>
      <c r="I2405" s="23"/>
      <c r="J2405" s="2"/>
      <c r="K2405" s="18"/>
      <c r="L2405" s="20"/>
      <c r="M2405" s="2"/>
      <c r="N2405" s="17"/>
      <c r="P2405" s="17"/>
      <c r="Q2405" s="17"/>
      <c r="R2405" s="17"/>
      <c r="S2405" s="17"/>
      <c r="U2405" s="24"/>
      <c r="V2405" s="24"/>
      <c r="W2405" s="24"/>
    </row>
    <row r="2406">
      <c r="A2406" s="11"/>
      <c r="B2406" s="23"/>
      <c r="C2406" s="23"/>
      <c r="D2406" s="23"/>
      <c r="E2406" s="23"/>
      <c r="F2406" s="1"/>
      <c r="G2406" s="23"/>
      <c r="H2406" s="23"/>
      <c r="I2406" s="23"/>
      <c r="J2406" s="2"/>
      <c r="K2406" s="18"/>
      <c r="L2406" s="20"/>
      <c r="M2406" s="2"/>
      <c r="N2406" s="17"/>
      <c r="P2406" s="17"/>
      <c r="Q2406" s="17"/>
      <c r="R2406" s="17"/>
      <c r="S2406" s="17"/>
      <c r="U2406" s="24"/>
      <c r="V2406" s="24"/>
      <c r="W2406" s="24"/>
    </row>
    <row r="2407">
      <c r="A2407" s="11"/>
      <c r="B2407" s="23"/>
      <c r="C2407" s="23"/>
      <c r="D2407" s="23"/>
      <c r="E2407" s="23"/>
      <c r="F2407" s="1"/>
      <c r="G2407" s="23"/>
      <c r="H2407" s="23"/>
      <c r="I2407" s="23"/>
      <c r="J2407" s="2"/>
      <c r="K2407" s="18"/>
      <c r="L2407" s="20"/>
      <c r="M2407" s="2"/>
      <c r="N2407" s="17"/>
      <c r="P2407" s="17"/>
      <c r="Q2407" s="17"/>
      <c r="R2407" s="17"/>
      <c r="S2407" s="17"/>
      <c r="U2407" s="24"/>
      <c r="V2407" s="24"/>
      <c r="W2407" s="24"/>
    </row>
    <row r="2408">
      <c r="A2408" s="11"/>
      <c r="B2408" s="23"/>
      <c r="C2408" s="23"/>
      <c r="D2408" s="23"/>
      <c r="E2408" s="23"/>
      <c r="F2408" s="1"/>
      <c r="G2408" s="23"/>
      <c r="H2408" s="23"/>
      <c r="I2408" s="23"/>
      <c r="J2408" s="2"/>
      <c r="K2408" s="18"/>
      <c r="L2408" s="20"/>
      <c r="M2408" s="2"/>
      <c r="N2408" s="17"/>
      <c r="P2408" s="17"/>
      <c r="Q2408" s="17"/>
      <c r="R2408" s="17"/>
      <c r="S2408" s="17"/>
      <c r="U2408" s="24"/>
      <c r="V2408" s="24"/>
      <c r="W2408" s="24"/>
    </row>
    <row r="2409">
      <c r="A2409" s="11"/>
      <c r="B2409" s="23"/>
      <c r="C2409" s="23"/>
      <c r="D2409" s="23"/>
      <c r="E2409" s="23"/>
      <c r="F2409" s="1"/>
      <c r="G2409" s="23"/>
      <c r="H2409" s="23"/>
      <c r="I2409" s="23"/>
      <c r="J2409" s="2"/>
      <c r="K2409" s="18"/>
      <c r="L2409" s="20"/>
      <c r="M2409" s="2"/>
      <c r="N2409" s="17"/>
      <c r="P2409" s="17"/>
      <c r="Q2409" s="17"/>
      <c r="R2409" s="17"/>
      <c r="S2409" s="17"/>
      <c r="U2409" s="24"/>
      <c r="V2409" s="24"/>
      <c r="W2409" s="24"/>
    </row>
    <row r="2410">
      <c r="A2410" s="11"/>
      <c r="B2410" s="23"/>
      <c r="C2410" s="23"/>
      <c r="D2410" s="23"/>
      <c r="E2410" s="23"/>
      <c r="F2410" s="1"/>
      <c r="G2410" s="23"/>
      <c r="H2410" s="23"/>
      <c r="I2410" s="23"/>
      <c r="J2410" s="2"/>
      <c r="K2410" s="18"/>
      <c r="L2410" s="20"/>
      <c r="M2410" s="2"/>
      <c r="N2410" s="17"/>
      <c r="P2410" s="17"/>
      <c r="Q2410" s="17"/>
      <c r="R2410" s="17"/>
      <c r="S2410" s="17"/>
      <c r="U2410" s="24"/>
      <c r="V2410" s="24"/>
      <c r="W2410" s="24"/>
    </row>
    <row r="2411">
      <c r="A2411" s="11"/>
      <c r="B2411" s="23"/>
      <c r="C2411" s="23"/>
      <c r="D2411" s="23"/>
      <c r="E2411" s="23"/>
      <c r="F2411" s="1"/>
      <c r="G2411" s="23"/>
      <c r="H2411" s="23"/>
      <c r="I2411" s="23"/>
      <c r="J2411" s="2"/>
      <c r="K2411" s="18"/>
      <c r="L2411" s="20"/>
      <c r="M2411" s="2"/>
      <c r="N2411" s="17"/>
      <c r="P2411" s="17"/>
      <c r="Q2411" s="17"/>
      <c r="R2411" s="17"/>
      <c r="S2411" s="17"/>
      <c r="U2411" s="24"/>
      <c r="V2411" s="24"/>
      <c r="W2411" s="24"/>
    </row>
    <row r="2412">
      <c r="A2412" s="11"/>
      <c r="B2412" s="23"/>
      <c r="C2412" s="23"/>
      <c r="D2412" s="23"/>
      <c r="E2412" s="23"/>
      <c r="F2412" s="1"/>
      <c r="G2412" s="23"/>
      <c r="H2412" s="23"/>
      <c r="I2412" s="23"/>
      <c r="J2412" s="2"/>
      <c r="K2412" s="18"/>
      <c r="L2412" s="20"/>
      <c r="M2412" s="2"/>
      <c r="N2412" s="17"/>
      <c r="P2412" s="17"/>
      <c r="Q2412" s="17"/>
      <c r="R2412" s="17"/>
      <c r="S2412" s="17"/>
      <c r="U2412" s="24"/>
      <c r="V2412" s="24"/>
      <c r="W2412" s="24"/>
    </row>
    <row r="2413">
      <c r="A2413" s="11"/>
      <c r="B2413" s="23"/>
      <c r="C2413" s="23"/>
      <c r="D2413" s="23"/>
      <c r="E2413" s="23"/>
      <c r="F2413" s="1"/>
      <c r="G2413" s="23"/>
      <c r="H2413" s="23"/>
      <c r="I2413" s="23"/>
      <c r="J2413" s="2"/>
      <c r="K2413" s="18"/>
      <c r="L2413" s="20"/>
      <c r="M2413" s="2"/>
      <c r="N2413" s="17"/>
      <c r="P2413" s="17"/>
      <c r="Q2413" s="17"/>
      <c r="R2413" s="17"/>
      <c r="S2413" s="17"/>
      <c r="U2413" s="24"/>
      <c r="V2413" s="24"/>
      <c r="W2413" s="24"/>
    </row>
    <row r="2414">
      <c r="A2414" s="11"/>
      <c r="B2414" s="23"/>
      <c r="C2414" s="23"/>
      <c r="D2414" s="23"/>
      <c r="E2414" s="23"/>
      <c r="F2414" s="1"/>
      <c r="G2414" s="23"/>
      <c r="H2414" s="23"/>
      <c r="I2414" s="23"/>
      <c r="J2414" s="2"/>
      <c r="K2414" s="18"/>
      <c r="L2414" s="20"/>
      <c r="M2414" s="2"/>
      <c r="N2414" s="17"/>
      <c r="P2414" s="17"/>
      <c r="Q2414" s="17"/>
      <c r="R2414" s="17"/>
      <c r="S2414" s="17"/>
      <c r="U2414" s="24"/>
      <c r="V2414" s="24"/>
      <c r="W2414" s="24"/>
    </row>
    <row r="2415">
      <c r="A2415" s="11"/>
      <c r="B2415" s="23"/>
      <c r="C2415" s="23"/>
      <c r="D2415" s="23"/>
      <c r="E2415" s="23"/>
      <c r="F2415" s="1"/>
      <c r="G2415" s="23"/>
      <c r="H2415" s="23"/>
      <c r="I2415" s="23"/>
      <c r="J2415" s="2"/>
      <c r="K2415" s="18"/>
      <c r="L2415" s="20"/>
      <c r="M2415" s="2"/>
      <c r="N2415" s="17"/>
      <c r="P2415" s="17"/>
      <c r="Q2415" s="17"/>
      <c r="R2415" s="17"/>
      <c r="S2415" s="17"/>
      <c r="U2415" s="24"/>
      <c r="V2415" s="24"/>
      <c r="W2415" s="24"/>
    </row>
    <row r="2416">
      <c r="A2416" s="11"/>
      <c r="B2416" s="23"/>
      <c r="C2416" s="23"/>
      <c r="D2416" s="23"/>
      <c r="E2416" s="23"/>
      <c r="F2416" s="1"/>
      <c r="G2416" s="23"/>
      <c r="H2416" s="23"/>
      <c r="I2416" s="23"/>
      <c r="J2416" s="2"/>
      <c r="K2416" s="18"/>
      <c r="L2416" s="20"/>
      <c r="M2416" s="2"/>
      <c r="N2416" s="17"/>
      <c r="P2416" s="17"/>
      <c r="Q2416" s="17"/>
      <c r="R2416" s="17"/>
      <c r="S2416" s="17"/>
      <c r="U2416" s="24"/>
      <c r="V2416" s="24"/>
      <c r="W2416" s="24"/>
    </row>
    <row r="2417">
      <c r="A2417" s="11"/>
      <c r="B2417" s="23"/>
      <c r="C2417" s="23"/>
      <c r="D2417" s="23"/>
      <c r="E2417" s="23"/>
      <c r="F2417" s="1"/>
      <c r="G2417" s="23"/>
      <c r="H2417" s="23"/>
      <c r="I2417" s="23"/>
      <c r="J2417" s="2"/>
      <c r="K2417" s="18"/>
      <c r="L2417" s="20"/>
      <c r="M2417" s="2"/>
      <c r="N2417" s="17"/>
      <c r="P2417" s="17"/>
      <c r="Q2417" s="17"/>
      <c r="R2417" s="17"/>
      <c r="S2417" s="17"/>
      <c r="U2417" s="24"/>
      <c r="V2417" s="24"/>
      <c r="W2417" s="24"/>
    </row>
    <row r="2418">
      <c r="A2418" s="11"/>
      <c r="B2418" s="23"/>
      <c r="C2418" s="23"/>
      <c r="D2418" s="23"/>
      <c r="E2418" s="23"/>
      <c r="F2418" s="1"/>
      <c r="G2418" s="23"/>
      <c r="H2418" s="23"/>
      <c r="I2418" s="23"/>
      <c r="J2418" s="2"/>
      <c r="K2418" s="18"/>
      <c r="L2418" s="20"/>
      <c r="M2418" s="2"/>
      <c r="N2418" s="17"/>
      <c r="P2418" s="17"/>
      <c r="Q2418" s="17"/>
      <c r="R2418" s="17"/>
      <c r="S2418" s="17"/>
      <c r="U2418" s="24"/>
      <c r="V2418" s="24"/>
      <c r="W2418" s="24"/>
    </row>
    <row r="2419">
      <c r="A2419" s="11"/>
      <c r="B2419" s="23"/>
      <c r="C2419" s="23"/>
      <c r="D2419" s="23"/>
      <c r="E2419" s="23"/>
      <c r="F2419" s="1"/>
      <c r="G2419" s="23"/>
      <c r="H2419" s="23"/>
      <c r="I2419" s="23"/>
      <c r="J2419" s="2"/>
      <c r="K2419" s="18"/>
      <c r="L2419" s="20"/>
      <c r="M2419" s="2"/>
      <c r="N2419" s="17"/>
      <c r="P2419" s="17"/>
      <c r="Q2419" s="17"/>
      <c r="R2419" s="17"/>
      <c r="S2419" s="17"/>
      <c r="U2419" s="24"/>
      <c r="V2419" s="24"/>
      <c r="W2419" s="24"/>
    </row>
    <row r="2420">
      <c r="A2420" s="11"/>
      <c r="B2420" s="23"/>
      <c r="C2420" s="23"/>
      <c r="D2420" s="23"/>
      <c r="E2420" s="23"/>
      <c r="F2420" s="1"/>
      <c r="G2420" s="23"/>
      <c r="H2420" s="23"/>
      <c r="I2420" s="23"/>
      <c r="J2420" s="2"/>
      <c r="K2420" s="18"/>
      <c r="L2420" s="20"/>
      <c r="M2420" s="2"/>
      <c r="N2420" s="17"/>
      <c r="P2420" s="17"/>
      <c r="Q2420" s="17"/>
      <c r="R2420" s="17"/>
      <c r="S2420" s="17"/>
      <c r="U2420" s="24"/>
      <c r="V2420" s="24"/>
      <c r="W2420" s="24"/>
    </row>
    <row r="2421">
      <c r="A2421" s="11"/>
      <c r="B2421" s="23"/>
      <c r="C2421" s="23"/>
      <c r="D2421" s="23"/>
      <c r="E2421" s="23"/>
      <c r="F2421" s="1"/>
      <c r="G2421" s="23"/>
      <c r="H2421" s="23"/>
      <c r="I2421" s="23"/>
      <c r="J2421" s="2"/>
      <c r="K2421" s="18"/>
      <c r="L2421" s="20"/>
      <c r="M2421" s="2"/>
      <c r="N2421" s="17"/>
      <c r="P2421" s="17"/>
      <c r="Q2421" s="17"/>
      <c r="R2421" s="17"/>
      <c r="S2421" s="17"/>
      <c r="U2421" s="24"/>
      <c r="V2421" s="24"/>
      <c r="W2421" s="24"/>
    </row>
    <row r="2422">
      <c r="A2422" s="11"/>
      <c r="B2422" s="23"/>
      <c r="C2422" s="23"/>
      <c r="D2422" s="23"/>
      <c r="E2422" s="23"/>
      <c r="F2422" s="1"/>
      <c r="G2422" s="23"/>
      <c r="H2422" s="23"/>
      <c r="I2422" s="23"/>
      <c r="J2422" s="2"/>
      <c r="K2422" s="18"/>
      <c r="L2422" s="20"/>
      <c r="M2422" s="2"/>
      <c r="N2422" s="17"/>
      <c r="P2422" s="17"/>
      <c r="Q2422" s="17"/>
      <c r="R2422" s="17"/>
      <c r="S2422" s="17"/>
      <c r="U2422" s="24"/>
      <c r="V2422" s="24"/>
      <c r="W2422" s="24"/>
    </row>
    <row r="2423">
      <c r="A2423" s="11"/>
      <c r="B2423" s="23"/>
      <c r="C2423" s="23"/>
      <c r="D2423" s="23"/>
      <c r="E2423" s="23"/>
      <c r="F2423" s="1"/>
      <c r="G2423" s="23"/>
      <c r="H2423" s="23"/>
      <c r="I2423" s="23"/>
      <c r="J2423" s="2"/>
      <c r="K2423" s="18"/>
      <c r="L2423" s="20"/>
      <c r="M2423" s="2"/>
      <c r="N2423" s="17"/>
      <c r="P2423" s="17"/>
      <c r="Q2423" s="17"/>
      <c r="R2423" s="17"/>
      <c r="S2423" s="17"/>
      <c r="U2423" s="24"/>
      <c r="V2423" s="24"/>
      <c r="W2423" s="24"/>
    </row>
    <row r="2424">
      <c r="A2424" s="11"/>
      <c r="B2424" s="23"/>
      <c r="C2424" s="23"/>
      <c r="D2424" s="23"/>
      <c r="E2424" s="23"/>
      <c r="F2424" s="1"/>
      <c r="G2424" s="23"/>
      <c r="H2424" s="23"/>
      <c r="I2424" s="23"/>
      <c r="J2424" s="2"/>
      <c r="K2424" s="18"/>
      <c r="L2424" s="20"/>
      <c r="M2424" s="2"/>
      <c r="N2424" s="17"/>
      <c r="P2424" s="17"/>
      <c r="Q2424" s="17"/>
      <c r="R2424" s="17"/>
      <c r="S2424" s="17"/>
      <c r="U2424" s="24"/>
      <c r="V2424" s="24"/>
      <c r="W2424" s="24"/>
    </row>
    <row r="2425">
      <c r="A2425" s="11"/>
      <c r="B2425" s="23"/>
      <c r="C2425" s="23"/>
      <c r="D2425" s="23"/>
      <c r="E2425" s="23"/>
      <c r="F2425" s="1"/>
      <c r="G2425" s="23"/>
      <c r="H2425" s="23"/>
      <c r="I2425" s="23"/>
      <c r="J2425" s="2"/>
      <c r="K2425" s="18"/>
      <c r="L2425" s="20"/>
      <c r="M2425" s="2"/>
      <c r="N2425" s="17"/>
      <c r="P2425" s="17"/>
      <c r="Q2425" s="17"/>
      <c r="R2425" s="17"/>
      <c r="S2425" s="17"/>
      <c r="U2425" s="24"/>
      <c r="V2425" s="24"/>
      <c r="W2425" s="24"/>
    </row>
    <row r="2426">
      <c r="A2426" s="11"/>
      <c r="B2426" s="23"/>
      <c r="C2426" s="23"/>
      <c r="D2426" s="23"/>
      <c r="E2426" s="23"/>
      <c r="F2426" s="1"/>
      <c r="G2426" s="23"/>
      <c r="H2426" s="23"/>
      <c r="I2426" s="23"/>
      <c r="J2426" s="2"/>
      <c r="K2426" s="18"/>
      <c r="L2426" s="20"/>
      <c r="M2426" s="2"/>
      <c r="N2426" s="17"/>
      <c r="P2426" s="17"/>
      <c r="Q2426" s="17"/>
      <c r="R2426" s="17"/>
      <c r="S2426" s="17"/>
      <c r="U2426" s="24"/>
      <c r="V2426" s="24"/>
      <c r="W2426" s="24"/>
    </row>
    <row r="2427">
      <c r="A2427" s="11"/>
      <c r="B2427" s="23"/>
      <c r="C2427" s="23"/>
      <c r="D2427" s="23"/>
      <c r="E2427" s="23"/>
      <c r="F2427" s="1"/>
      <c r="G2427" s="23"/>
      <c r="H2427" s="23"/>
      <c r="I2427" s="23"/>
      <c r="J2427" s="2"/>
      <c r="K2427" s="18"/>
      <c r="L2427" s="20"/>
      <c r="M2427" s="2"/>
      <c r="N2427" s="17"/>
      <c r="P2427" s="17"/>
      <c r="Q2427" s="17"/>
      <c r="R2427" s="17"/>
      <c r="S2427" s="17"/>
      <c r="U2427" s="24"/>
      <c r="V2427" s="24"/>
      <c r="W2427" s="24"/>
    </row>
    <row r="2428">
      <c r="A2428" s="11"/>
      <c r="B2428" s="23"/>
      <c r="C2428" s="23"/>
      <c r="D2428" s="23"/>
      <c r="E2428" s="23"/>
      <c r="F2428" s="1"/>
      <c r="G2428" s="23"/>
      <c r="H2428" s="23"/>
      <c r="I2428" s="23"/>
      <c r="J2428" s="2"/>
      <c r="K2428" s="18"/>
      <c r="L2428" s="20"/>
      <c r="M2428" s="2"/>
      <c r="N2428" s="17"/>
      <c r="P2428" s="17"/>
      <c r="Q2428" s="17"/>
      <c r="R2428" s="17"/>
      <c r="S2428" s="17"/>
      <c r="U2428" s="24"/>
      <c r="V2428" s="24"/>
      <c r="W2428" s="24"/>
    </row>
    <row r="2429">
      <c r="A2429" s="11"/>
      <c r="B2429" s="23"/>
      <c r="C2429" s="23"/>
      <c r="D2429" s="23"/>
      <c r="E2429" s="23"/>
      <c r="F2429" s="1"/>
      <c r="G2429" s="23"/>
      <c r="H2429" s="23"/>
      <c r="I2429" s="23"/>
      <c r="J2429" s="2"/>
      <c r="K2429" s="18"/>
      <c r="L2429" s="20"/>
      <c r="M2429" s="2"/>
      <c r="N2429" s="17"/>
      <c r="P2429" s="17"/>
      <c r="Q2429" s="17"/>
      <c r="R2429" s="17"/>
      <c r="S2429" s="17"/>
      <c r="U2429" s="24"/>
      <c r="V2429" s="24"/>
      <c r="W2429" s="24"/>
    </row>
    <row r="2430">
      <c r="A2430" s="11"/>
      <c r="B2430" s="23"/>
      <c r="C2430" s="23"/>
      <c r="D2430" s="23"/>
      <c r="E2430" s="23"/>
      <c r="F2430" s="1"/>
      <c r="G2430" s="23"/>
      <c r="H2430" s="23"/>
      <c r="I2430" s="23"/>
      <c r="J2430" s="2"/>
      <c r="K2430" s="18"/>
      <c r="L2430" s="20"/>
      <c r="M2430" s="2"/>
      <c r="N2430" s="17"/>
      <c r="P2430" s="17"/>
      <c r="Q2430" s="17"/>
      <c r="R2430" s="17"/>
      <c r="S2430" s="17"/>
      <c r="U2430" s="24"/>
      <c r="V2430" s="24"/>
      <c r="W2430" s="24"/>
    </row>
    <row r="2431">
      <c r="A2431" s="11"/>
      <c r="B2431" s="23"/>
      <c r="C2431" s="23"/>
      <c r="D2431" s="23"/>
      <c r="E2431" s="23"/>
      <c r="F2431" s="1"/>
      <c r="G2431" s="23"/>
      <c r="H2431" s="23"/>
      <c r="I2431" s="23"/>
      <c r="J2431" s="2"/>
      <c r="K2431" s="18"/>
      <c r="L2431" s="20"/>
      <c r="M2431" s="2"/>
      <c r="N2431" s="17"/>
      <c r="P2431" s="17"/>
      <c r="Q2431" s="17"/>
      <c r="R2431" s="17"/>
      <c r="S2431" s="17"/>
      <c r="U2431" s="24"/>
      <c r="V2431" s="24"/>
      <c r="W2431" s="24"/>
    </row>
    <row r="2432">
      <c r="A2432" s="11"/>
      <c r="B2432" s="23"/>
      <c r="C2432" s="23"/>
      <c r="D2432" s="23"/>
      <c r="E2432" s="23"/>
      <c r="F2432" s="1"/>
      <c r="G2432" s="23"/>
      <c r="H2432" s="23"/>
      <c r="I2432" s="23"/>
      <c r="J2432" s="2"/>
      <c r="K2432" s="18"/>
      <c r="L2432" s="20"/>
      <c r="M2432" s="2"/>
      <c r="N2432" s="17"/>
      <c r="P2432" s="17"/>
      <c r="Q2432" s="17"/>
      <c r="R2432" s="17"/>
      <c r="S2432" s="17"/>
      <c r="U2432" s="24"/>
      <c r="V2432" s="24"/>
      <c r="W2432" s="24"/>
    </row>
    <row r="2433">
      <c r="A2433" s="11"/>
      <c r="B2433" s="23"/>
      <c r="C2433" s="23"/>
      <c r="D2433" s="23"/>
      <c r="E2433" s="23"/>
      <c r="F2433" s="1"/>
      <c r="G2433" s="23"/>
      <c r="H2433" s="23"/>
      <c r="I2433" s="23"/>
      <c r="J2433" s="2"/>
      <c r="K2433" s="18"/>
      <c r="L2433" s="20"/>
      <c r="M2433" s="2"/>
      <c r="N2433" s="17"/>
      <c r="P2433" s="17"/>
      <c r="Q2433" s="17"/>
      <c r="R2433" s="17"/>
      <c r="S2433" s="17"/>
      <c r="U2433" s="24"/>
      <c r="V2433" s="24"/>
      <c r="W2433" s="24"/>
    </row>
    <row r="2434">
      <c r="A2434" s="11"/>
      <c r="B2434" s="23"/>
      <c r="C2434" s="23"/>
      <c r="D2434" s="23"/>
      <c r="E2434" s="23"/>
      <c r="F2434" s="1"/>
      <c r="G2434" s="23"/>
      <c r="H2434" s="23"/>
      <c r="I2434" s="23"/>
      <c r="J2434" s="2"/>
      <c r="K2434" s="18"/>
      <c r="L2434" s="20"/>
      <c r="M2434" s="2"/>
      <c r="N2434" s="17"/>
      <c r="P2434" s="17"/>
      <c r="Q2434" s="17"/>
      <c r="R2434" s="17"/>
      <c r="S2434" s="17"/>
      <c r="U2434" s="24"/>
      <c r="V2434" s="24"/>
      <c r="W2434" s="24"/>
    </row>
    <row r="2435">
      <c r="A2435" s="11"/>
      <c r="B2435" s="23"/>
      <c r="C2435" s="23"/>
      <c r="D2435" s="23"/>
      <c r="E2435" s="23"/>
      <c r="F2435" s="1"/>
      <c r="G2435" s="23"/>
      <c r="H2435" s="23"/>
      <c r="I2435" s="23"/>
      <c r="J2435" s="2"/>
      <c r="K2435" s="18"/>
      <c r="L2435" s="20"/>
      <c r="M2435" s="2"/>
      <c r="N2435" s="17"/>
      <c r="P2435" s="17"/>
      <c r="Q2435" s="17"/>
      <c r="R2435" s="17"/>
      <c r="S2435" s="17"/>
      <c r="U2435" s="24"/>
      <c r="V2435" s="24"/>
      <c r="W2435" s="24"/>
    </row>
    <row r="2436">
      <c r="A2436" s="11"/>
      <c r="B2436" s="23"/>
      <c r="C2436" s="23"/>
      <c r="D2436" s="23"/>
      <c r="E2436" s="23"/>
      <c r="F2436" s="1"/>
      <c r="G2436" s="23"/>
      <c r="H2436" s="23"/>
      <c r="I2436" s="23"/>
      <c r="J2436" s="2"/>
      <c r="K2436" s="18"/>
      <c r="L2436" s="20"/>
      <c r="M2436" s="2"/>
      <c r="N2436" s="17"/>
      <c r="P2436" s="17"/>
      <c r="Q2436" s="17"/>
      <c r="R2436" s="17"/>
      <c r="S2436" s="17"/>
      <c r="U2436" s="24"/>
      <c r="V2436" s="24"/>
      <c r="W2436" s="24"/>
    </row>
    <row r="2437">
      <c r="A2437" s="11"/>
      <c r="B2437" s="23"/>
      <c r="C2437" s="23"/>
      <c r="D2437" s="23"/>
      <c r="E2437" s="23"/>
      <c r="F2437" s="1"/>
      <c r="G2437" s="23"/>
      <c r="H2437" s="23"/>
      <c r="I2437" s="23"/>
      <c r="J2437" s="2"/>
      <c r="K2437" s="18"/>
      <c r="L2437" s="20"/>
      <c r="M2437" s="2"/>
      <c r="N2437" s="17"/>
      <c r="P2437" s="17"/>
      <c r="Q2437" s="17"/>
      <c r="R2437" s="17"/>
      <c r="S2437" s="17"/>
      <c r="U2437" s="24"/>
      <c r="V2437" s="24"/>
      <c r="W2437" s="24"/>
    </row>
    <row r="2438">
      <c r="A2438" s="11"/>
      <c r="B2438" s="23"/>
      <c r="C2438" s="23"/>
      <c r="D2438" s="23"/>
      <c r="E2438" s="23"/>
      <c r="F2438" s="1"/>
      <c r="G2438" s="23"/>
      <c r="H2438" s="23"/>
      <c r="I2438" s="23"/>
      <c r="J2438" s="2"/>
      <c r="K2438" s="18"/>
      <c r="L2438" s="20"/>
      <c r="M2438" s="2"/>
      <c r="N2438" s="17"/>
      <c r="P2438" s="17"/>
      <c r="Q2438" s="17"/>
      <c r="R2438" s="17"/>
      <c r="S2438" s="17"/>
      <c r="U2438" s="24"/>
      <c r="V2438" s="24"/>
      <c r="W2438" s="24"/>
    </row>
  </sheetData>
  <dataValidations>
    <dataValidation type="list" allowBlank="1" showErrorMessage="1" sqref="F2:F2438">
      <formula1>IIEE[Institución educativa]</formula1>
    </dataValidation>
    <dataValidation type="list" allowBlank="1" showErrorMessage="1" sqref="W2:W2438">
      <formula1>Facilitador_a[Facilitador/a]</formula1>
    </dataValidation>
    <dataValidation type="list" allowBlank="1" showErrorMessage="1" sqref="J2:J2438">
      <formula1>"Autoconciencia,Autorregulación,Conciencia social,Habilidades relacionales,Toma de decisiones responsables,Taller con docentes"</formula1>
    </dataValidation>
    <dataValidation type="list" allowBlank="1" showErrorMessage="1" sqref="M2:M2438">
      <formula1>"Familia,Docente"</formula1>
    </dataValidation>
    <dataValidation type="list" allowBlank="1" showErrorMessage="1" sqref="Q2:Q2438">
      <formula1>"Ini-3ero,Ini-4rto,Ini-5nto"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6.13"/>
    <col customWidth="1" min="3" max="3" width="10.88"/>
    <col customWidth="1" min="4" max="4" width="19.88"/>
    <col customWidth="1" min="5" max="5" width="14.38"/>
    <col customWidth="1" min="6" max="6" width="18.13"/>
    <col customWidth="1" min="7" max="7" width="17.88"/>
    <col customWidth="1" min="8" max="8" width="11.25"/>
    <col customWidth="1" min="9" max="9" width="8.5"/>
    <col customWidth="1" min="10" max="10" width="14.13"/>
    <col customWidth="1" min="11" max="11" width="13.75"/>
    <col customWidth="1" min="12" max="12" width="26.88"/>
    <col customWidth="1" min="13" max="13" width="5.13"/>
    <col customWidth="1" min="14" max="14" width="16.88"/>
    <col customWidth="1" min="15" max="15" width="21.63"/>
    <col customWidth="1" min="16" max="24" width="5.88"/>
    <col customWidth="1" min="25" max="25" width="6.75"/>
    <col customWidth="1" min="26" max="26" width="6.63"/>
    <col customWidth="1" min="27" max="28" width="6.75"/>
    <col customWidth="1" min="29" max="29" width="19.75"/>
    <col customWidth="1" min="30" max="30" width="11.13"/>
    <col customWidth="1" min="31" max="31" width="23.88"/>
  </cols>
  <sheetData>
    <row r="1">
      <c r="A1" s="3" t="s">
        <v>51</v>
      </c>
      <c r="B1" s="4" t="s">
        <v>0</v>
      </c>
      <c r="C1" s="4" t="s">
        <v>1</v>
      </c>
      <c r="D1" s="4" t="s">
        <v>2</v>
      </c>
      <c r="E1" s="4" t="s">
        <v>3</v>
      </c>
      <c r="F1" s="5" t="s">
        <v>4</v>
      </c>
      <c r="G1" s="4" t="s">
        <v>52</v>
      </c>
      <c r="H1" s="4" t="s">
        <v>53</v>
      </c>
      <c r="I1" s="4" t="s">
        <v>54</v>
      </c>
      <c r="J1" s="7" t="s">
        <v>59</v>
      </c>
      <c r="K1" s="6" t="s">
        <v>60</v>
      </c>
      <c r="L1" s="7" t="s">
        <v>56</v>
      </c>
      <c r="M1" s="6" t="s">
        <v>167</v>
      </c>
      <c r="N1" s="6" t="s">
        <v>168</v>
      </c>
      <c r="O1" s="6" t="s">
        <v>169</v>
      </c>
      <c r="P1" s="93" t="s">
        <v>4410</v>
      </c>
      <c r="Q1" s="86" t="s">
        <v>4411</v>
      </c>
      <c r="R1" s="86" t="s">
        <v>4412</v>
      </c>
      <c r="S1" s="86" t="s">
        <v>4413</v>
      </c>
      <c r="T1" s="86" t="s">
        <v>4414</v>
      </c>
      <c r="U1" s="86" t="s">
        <v>4415</v>
      </c>
      <c r="V1" s="86" t="s">
        <v>4416</v>
      </c>
      <c r="W1" s="86" t="s">
        <v>4417</v>
      </c>
      <c r="X1" s="86" t="s">
        <v>4418</v>
      </c>
      <c r="Y1" s="86" t="s">
        <v>4419</v>
      </c>
      <c r="Z1" s="86" t="s">
        <v>4420</v>
      </c>
      <c r="AA1" s="86" t="s">
        <v>4421</v>
      </c>
      <c r="AB1" s="86" t="s">
        <v>4422</v>
      </c>
      <c r="AC1" s="93" t="s">
        <v>4423</v>
      </c>
      <c r="AD1" s="6" t="s">
        <v>63</v>
      </c>
      <c r="AE1" s="10" t="s">
        <v>64</v>
      </c>
    </row>
    <row r="2">
      <c r="A2" s="106">
        <v>1.0</v>
      </c>
      <c r="B2" s="12" t="s">
        <v>34</v>
      </c>
      <c r="C2" s="12" t="s">
        <v>65</v>
      </c>
      <c r="D2" s="12" t="s">
        <v>102</v>
      </c>
      <c r="E2" s="12" t="s">
        <v>103</v>
      </c>
      <c r="F2" s="33" t="s">
        <v>104</v>
      </c>
      <c r="G2" s="12" t="s">
        <v>68</v>
      </c>
      <c r="H2" s="12" t="s">
        <v>105</v>
      </c>
      <c r="I2" s="12" t="s">
        <v>106</v>
      </c>
      <c r="J2" s="17" t="s">
        <v>73</v>
      </c>
      <c r="K2" s="17" t="s">
        <v>74</v>
      </c>
      <c r="L2" s="17" t="s">
        <v>2821</v>
      </c>
      <c r="M2" s="17">
        <v>23.0</v>
      </c>
      <c r="N2" s="20">
        <v>45848.0</v>
      </c>
      <c r="O2" s="17" t="s">
        <v>194</v>
      </c>
      <c r="P2" s="93" t="s">
        <v>4424</v>
      </c>
      <c r="Q2" s="93" t="s">
        <v>4424</v>
      </c>
      <c r="R2" s="93" t="s">
        <v>4424</v>
      </c>
      <c r="S2" s="93" t="s">
        <v>4424</v>
      </c>
      <c r="T2" s="93" t="s">
        <v>4424</v>
      </c>
      <c r="U2" s="93" t="s">
        <v>4425</v>
      </c>
      <c r="V2" s="93" t="s">
        <v>4425</v>
      </c>
      <c r="W2" s="93" t="s">
        <v>4425</v>
      </c>
      <c r="X2" s="93" t="s">
        <v>4424</v>
      </c>
      <c r="Y2" s="93" t="s">
        <v>4424</v>
      </c>
      <c r="Z2" s="93" t="s">
        <v>4424</v>
      </c>
      <c r="AA2" s="93" t="s">
        <v>4424</v>
      </c>
      <c r="AB2" s="93" t="s">
        <v>4426</v>
      </c>
      <c r="AC2" s="93" t="s">
        <v>4427</v>
      </c>
      <c r="AE2" s="18" t="s">
        <v>92</v>
      </c>
    </row>
    <row r="3">
      <c r="A3" s="106">
        <v>2.0</v>
      </c>
      <c r="B3" s="12" t="s">
        <v>34</v>
      </c>
      <c r="C3" s="12" t="s">
        <v>65</v>
      </c>
      <c r="D3" s="12" t="s">
        <v>102</v>
      </c>
      <c r="E3" s="12" t="s">
        <v>103</v>
      </c>
      <c r="F3" s="33" t="s">
        <v>104</v>
      </c>
      <c r="G3" s="12" t="s">
        <v>68</v>
      </c>
      <c r="H3" s="12" t="s">
        <v>105</v>
      </c>
      <c r="I3" s="12" t="s">
        <v>106</v>
      </c>
      <c r="J3" s="17" t="s">
        <v>108</v>
      </c>
      <c r="K3" s="17" t="s">
        <v>1775</v>
      </c>
      <c r="L3" s="17" t="s">
        <v>2822</v>
      </c>
      <c r="M3" s="17">
        <v>26.0</v>
      </c>
      <c r="N3" s="20">
        <v>45849.0</v>
      </c>
      <c r="O3" s="17" t="s">
        <v>194</v>
      </c>
      <c r="P3" s="93" t="s">
        <v>4428</v>
      </c>
      <c r="Q3" s="93" t="s">
        <v>4424</v>
      </c>
      <c r="R3" s="93" t="s">
        <v>4428</v>
      </c>
      <c r="S3" s="93" t="s">
        <v>4428</v>
      </c>
      <c r="T3" s="93" t="s">
        <v>4428</v>
      </c>
      <c r="U3" s="93" t="s">
        <v>4428</v>
      </c>
      <c r="V3" s="93" t="s">
        <v>4428</v>
      </c>
      <c r="W3" s="93" t="s">
        <v>4428</v>
      </c>
      <c r="X3" s="93" t="s">
        <v>4424</v>
      </c>
      <c r="Y3" s="93" t="s">
        <v>4428</v>
      </c>
      <c r="Z3" s="93" t="s">
        <v>4428</v>
      </c>
      <c r="AA3" s="93" t="s">
        <v>4428</v>
      </c>
      <c r="AB3" s="93" t="s">
        <v>4428</v>
      </c>
      <c r="AC3" s="93" t="s">
        <v>4429</v>
      </c>
      <c r="AE3" s="18" t="s">
        <v>92</v>
      </c>
    </row>
    <row r="4">
      <c r="A4" s="106">
        <v>3.0</v>
      </c>
      <c r="B4" s="12" t="s">
        <v>34</v>
      </c>
      <c r="C4" s="12" t="s">
        <v>65</v>
      </c>
      <c r="D4" s="12" t="s">
        <v>83</v>
      </c>
      <c r="E4" s="12" t="s">
        <v>84</v>
      </c>
      <c r="F4" s="33" t="s">
        <v>85</v>
      </c>
      <c r="G4" s="12" t="s">
        <v>86</v>
      </c>
      <c r="H4" s="12" t="s">
        <v>87</v>
      </c>
      <c r="I4" s="12"/>
      <c r="J4" s="17" t="s">
        <v>73</v>
      </c>
      <c r="K4" s="17" t="s">
        <v>4430</v>
      </c>
      <c r="L4" s="17" t="s">
        <v>2851</v>
      </c>
      <c r="M4" s="17">
        <v>26.0</v>
      </c>
      <c r="N4" s="20">
        <v>45828.0</v>
      </c>
      <c r="O4" s="17" t="s">
        <v>194</v>
      </c>
      <c r="P4" s="93" t="s">
        <v>4424</v>
      </c>
      <c r="Q4" s="93" t="s">
        <v>4424</v>
      </c>
      <c r="R4" s="93" t="s">
        <v>4428</v>
      </c>
      <c r="S4" s="93" t="s">
        <v>4424</v>
      </c>
      <c r="T4" s="93" t="s">
        <v>4428</v>
      </c>
      <c r="U4" s="93" t="s">
        <v>4425</v>
      </c>
      <c r="V4" s="93" t="s">
        <v>4424</v>
      </c>
      <c r="W4" s="93" t="s">
        <v>4424</v>
      </c>
      <c r="X4" s="93" t="s">
        <v>4425</v>
      </c>
      <c r="Y4" s="140" t="s">
        <v>4424</v>
      </c>
      <c r="Z4" s="140" t="s">
        <v>4425</v>
      </c>
      <c r="AA4" s="93" t="s">
        <v>4424</v>
      </c>
      <c r="AB4" s="93" t="s">
        <v>4425</v>
      </c>
      <c r="AC4" s="93" t="s">
        <v>4431</v>
      </c>
      <c r="AE4" s="18" t="s">
        <v>92</v>
      </c>
    </row>
    <row r="5">
      <c r="A5" s="106">
        <v>5.0</v>
      </c>
      <c r="B5" s="12" t="s">
        <v>34</v>
      </c>
      <c r="C5" s="12" t="s">
        <v>65</v>
      </c>
      <c r="D5" s="12" t="s">
        <v>83</v>
      </c>
      <c r="E5" s="12" t="s">
        <v>120</v>
      </c>
      <c r="F5" s="33" t="s">
        <v>121</v>
      </c>
      <c r="G5" s="12" t="s">
        <v>68</v>
      </c>
      <c r="H5" s="12" t="s">
        <v>122</v>
      </c>
      <c r="I5" s="12" t="s">
        <v>123</v>
      </c>
      <c r="J5" s="17" t="s">
        <v>73</v>
      </c>
      <c r="K5" s="17" t="s">
        <v>4430</v>
      </c>
      <c r="L5" s="17" t="s">
        <v>2943</v>
      </c>
      <c r="M5" s="17">
        <v>49.0</v>
      </c>
      <c r="N5" s="20">
        <v>45831.0</v>
      </c>
      <c r="O5" s="17" t="s">
        <v>194</v>
      </c>
      <c r="P5" s="93" t="s">
        <v>4424</v>
      </c>
      <c r="Q5" s="93" t="s">
        <v>4428</v>
      </c>
      <c r="R5" s="93" t="s">
        <v>4428</v>
      </c>
      <c r="S5" s="93" t="s">
        <v>4428</v>
      </c>
      <c r="T5" s="93" t="s">
        <v>4428</v>
      </c>
      <c r="U5" s="93" t="s">
        <v>4424</v>
      </c>
      <c r="V5" s="93" t="s">
        <v>4424</v>
      </c>
      <c r="W5" s="93" t="s">
        <v>4428</v>
      </c>
      <c r="X5" s="93" t="s">
        <v>4424</v>
      </c>
      <c r="Y5" s="140" t="s">
        <v>4424</v>
      </c>
      <c r="Z5" s="140" t="s">
        <v>4425</v>
      </c>
      <c r="AA5" s="93" t="s">
        <v>4425</v>
      </c>
      <c r="AB5" s="93" t="s">
        <v>4425</v>
      </c>
      <c r="AC5" s="93" t="s">
        <v>4432</v>
      </c>
      <c r="AE5" s="18" t="s">
        <v>92</v>
      </c>
    </row>
    <row r="6">
      <c r="A6" s="106">
        <v>6.0</v>
      </c>
      <c r="B6" s="12" t="s">
        <v>34</v>
      </c>
      <c r="C6" s="12" t="s">
        <v>65</v>
      </c>
      <c r="D6" s="12" t="s">
        <v>102</v>
      </c>
      <c r="E6" s="12" t="s">
        <v>142</v>
      </c>
      <c r="F6" s="33" t="s">
        <v>143</v>
      </c>
      <c r="G6" s="12" t="s">
        <v>68</v>
      </c>
      <c r="H6" s="12" t="s">
        <v>144</v>
      </c>
      <c r="I6" s="12" t="s">
        <v>145</v>
      </c>
      <c r="J6" s="17" t="s">
        <v>108</v>
      </c>
      <c r="K6" s="17" t="s">
        <v>109</v>
      </c>
      <c r="L6" s="17" t="s">
        <v>2775</v>
      </c>
      <c r="M6" s="17">
        <v>25.0</v>
      </c>
      <c r="N6" s="20">
        <v>45841.0</v>
      </c>
      <c r="O6" s="17" t="s">
        <v>194</v>
      </c>
      <c r="P6" s="93" t="s">
        <v>4424</v>
      </c>
      <c r="Q6" s="93" t="s">
        <v>4425</v>
      </c>
      <c r="R6" s="93" t="s">
        <v>4424</v>
      </c>
      <c r="S6" s="93" t="s">
        <v>4425</v>
      </c>
      <c r="T6" s="93" t="s">
        <v>4424</v>
      </c>
      <c r="U6" s="93" t="s">
        <v>4425</v>
      </c>
      <c r="V6" s="93" t="s">
        <v>4425</v>
      </c>
      <c r="W6" s="93" t="s">
        <v>4426</v>
      </c>
      <c r="X6" s="93" t="s">
        <v>4426</v>
      </c>
      <c r="Y6" s="140" t="s">
        <v>4425</v>
      </c>
      <c r="Z6" s="140" t="s">
        <v>4425</v>
      </c>
      <c r="AA6" s="93" t="s">
        <v>4425</v>
      </c>
      <c r="AB6" s="93" t="s">
        <v>4425</v>
      </c>
      <c r="AC6" s="93" t="s">
        <v>4433</v>
      </c>
      <c r="AE6" s="18" t="s">
        <v>92</v>
      </c>
    </row>
    <row r="7">
      <c r="A7" s="106">
        <v>7.0</v>
      </c>
      <c r="B7" s="12" t="s">
        <v>34</v>
      </c>
      <c r="C7" s="12" t="s">
        <v>65</v>
      </c>
      <c r="D7" s="12" t="s">
        <v>102</v>
      </c>
      <c r="E7" s="12" t="s">
        <v>142</v>
      </c>
      <c r="F7" s="33" t="s">
        <v>143</v>
      </c>
      <c r="G7" s="12" t="s">
        <v>68</v>
      </c>
      <c r="H7" s="12" t="s">
        <v>144</v>
      </c>
      <c r="I7" s="12" t="s">
        <v>145</v>
      </c>
      <c r="J7" s="17" t="s">
        <v>112</v>
      </c>
      <c r="K7" s="17" t="s">
        <v>113</v>
      </c>
      <c r="L7" s="17" t="s">
        <v>2776</v>
      </c>
      <c r="M7" s="17">
        <v>33.0</v>
      </c>
      <c r="N7" s="20">
        <v>45841.0</v>
      </c>
      <c r="O7" s="17" t="s">
        <v>194</v>
      </c>
      <c r="P7" s="93" t="s">
        <v>4428</v>
      </c>
      <c r="Q7" s="93" t="s">
        <v>4424</v>
      </c>
      <c r="R7" s="93" t="s">
        <v>4424</v>
      </c>
      <c r="S7" s="93" t="s">
        <v>4428</v>
      </c>
      <c r="T7" s="93" t="s">
        <v>4428</v>
      </c>
      <c r="U7" s="93" t="s">
        <v>4428</v>
      </c>
      <c r="V7" s="93" t="s">
        <v>4425</v>
      </c>
      <c r="W7" s="93" t="s">
        <v>4425</v>
      </c>
      <c r="X7" s="93" t="s">
        <v>4428</v>
      </c>
      <c r="Y7" s="93" t="s">
        <v>4428</v>
      </c>
      <c r="Z7" s="93" t="s">
        <v>4425</v>
      </c>
      <c r="AA7" s="93" t="s">
        <v>4428</v>
      </c>
      <c r="AB7" s="93" t="s">
        <v>4424</v>
      </c>
      <c r="AC7" s="93" t="s">
        <v>4434</v>
      </c>
      <c r="AE7" s="18" t="s">
        <v>92</v>
      </c>
    </row>
    <row r="8">
      <c r="A8" s="106">
        <v>8.0</v>
      </c>
      <c r="B8" s="12" t="s">
        <v>34</v>
      </c>
      <c r="C8" s="12" t="s">
        <v>65</v>
      </c>
      <c r="D8" s="12" t="s">
        <v>102</v>
      </c>
      <c r="E8" s="12" t="s">
        <v>142</v>
      </c>
      <c r="F8" s="33" t="s">
        <v>143</v>
      </c>
      <c r="G8" s="12" t="s">
        <v>68</v>
      </c>
      <c r="H8" s="12" t="s">
        <v>144</v>
      </c>
      <c r="I8" s="12" t="s">
        <v>145</v>
      </c>
      <c r="J8" s="17" t="s">
        <v>108</v>
      </c>
      <c r="K8" s="17" t="s">
        <v>109</v>
      </c>
      <c r="L8" s="17" t="s">
        <v>2777</v>
      </c>
      <c r="M8" s="17">
        <v>43.0</v>
      </c>
      <c r="N8" s="20">
        <v>45841.0</v>
      </c>
      <c r="O8" s="17" t="s">
        <v>194</v>
      </c>
      <c r="P8" s="93" t="s">
        <v>4426</v>
      </c>
      <c r="Q8" s="93" t="s">
        <v>4424</v>
      </c>
      <c r="R8" s="93" t="s">
        <v>4428</v>
      </c>
      <c r="S8" s="93" t="s">
        <v>4428</v>
      </c>
      <c r="T8" s="93" t="s">
        <v>4428</v>
      </c>
      <c r="U8" s="93" t="s">
        <v>4428</v>
      </c>
      <c r="V8" s="93" t="s">
        <v>4424</v>
      </c>
      <c r="W8" s="93" t="s">
        <v>4428</v>
      </c>
      <c r="X8" s="93" t="s">
        <v>4428</v>
      </c>
      <c r="Y8" s="93" t="s">
        <v>4428</v>
      </c>
      <c r="Z8" s="93" t="s">
        <v>4424</v>
      </c>
      <c r="AA8" s="93" t="s">
        <v>4428</v>
      </c>
      <c r="AB8" s="93" t="s">
        <v>4425</v>
      </c>
      <c r="AC8" s="93" t="s">
        <v>4435</v>
      </c>
      <c r="AE8" s="18" t="s">
        <v>92</v>
      </c>
    </row>
    <row r="9">
      <c r="A9" s="106">
        <v>9.0</v>
      </c>
      <c r="B9" s="12" t="s">
        <v>34</v>
      </c>
      <c r="C9" s="12" t="s">
        <v>65</v>
      </c>
      <c r="D9" s="12" t="s">
        <v>102</v>
      </c>
      <c r="E9" s="12" t="s">
        <v>142</v>
      </c>
      <c r="F9" s="33" t="s">
        <v>143</v>
      </c>
      <c r="G9" s="12" t="s">
        <v>68</v>
      </c>
      <c r="H9" s="12" t="s">
        <v>144</v>
      </c>
      <c r="I9" s="12" t="s">
        <v>145</v>
      </c>
      <c r="J9" s="17" t="s">
        <v>73</v>
      </c>
      <c r="K9" s="17" t="s">
        <v>74</v>
      </c>
      <c r="L9" s="17" t="s">
        <v>2778</v>
      </c>
      <c r="M9" s="17">
        <v>51.0</v>
      </c>
      <c r="N9" s="20">
        <v>45841.0</v>
      </c>
      <c r="O9" s="17" t="s">
        <v>194</v>
      </c>
      <c r="P9" s="93" t="s">
        <v>4428</v>
      </c>
      <c r="Q9" s="93" t="s">
        <v>4424</v>
      </c>
      <c r="R9" s="93" t="s">
        <v>4425</v>
      </c>
      <c r="S9" s="93" t="s">
        <v>4424</v>
      </c>
      <c r="T9" s="93" t="s">
        <v>4424</v>
      </c>
      <c r="U9" s="93" t="s">
        <v>4424</v>
      </c>
      <c r="V9" s="93" t="s">
        <v>4425</v>
      </c>
      <c r="W9" s="93" t="s">
        <v>4424</v>
      </c>
      <c r="X9" s="93" t="s">
        <v>4425</v>
      </c>
      <c r="Y9" s="93" t="s">
        <v>4424</v>
      </c>
      <c r="Z9" s="93" t="s">
        <v>4426</v>
      </c>
      <c r="AA9" s="93" t="s">
        <v>4424</v>
      </c>
      <c r="AB9" s="93" t="s">
        <v>4425</v>
      </c>
      <c r="AC9" s="93" t="s">
        <v>4436</v>
      </c>
      <c r="AE9" s="18" t="s">
        <v>92</v>
      </c>
    </row>
    <row r="10">
      <c r="A10" s="106">
        <v>10.0</v>
      </c>
      <c r="B10" s="12" t="s">
        <v>34</v>
      </c>
      <c r="C10" s="12" t="s">
        <v>65</v>
      </c>
      <c r="D10" s="12" t="s">
        <v>43</v>
      </c>
      <c r="E10" s="12" t="s">
        <v>224</v>
      </c>
      <c r="F10" s="33" t="s">
        <v>225</v>
      </c>
      <c r="G10" s="12" t="s">
        <v>68</v>
      </c>
      <c r="H10" s="12" t="s">
        <v>226</v>
      </c>
      <c r="I10" s="12" t="s">
        <v>227</v>
      </c>
      <c r="J10" s="17" t="s">
        <v>112</v>
      </c>
      <c r="K10" s="17" t="s">
        <v>113</v>
      </c>
      <c r="L10" s="116" t="s">
        <v>3600</v>
      </c>
      <c r="M10" s="17">
        <v>45.0</v>
      </c>
      <c r="N10" s="20">
        <v>45834.0</v>
      </c>
      <c r="O10" s="17" t="s">
        <v>194</v>
      </c>
      <c r="P10" s="141" t="s">
        <v>4437</v>
      </c>
      <c r="Q10" s="141" t="s">
        <v>4428</v>
      </c>
      <c r="R10" s="141" t="s">
        <v>4428</v>
      </c>
      <c r="S10" s="141" t="s">
        <v>4428</v>
      </c>
      <c r="T10" s="141" t="s">
        <v>4428</v>
      </c>
      <c r="U10" s="141" t="s">
        <v>4428</v>
      </c>
      <c r="V10" s="141" t="s">
        <v>4428</v>
      </c>
      <c r="W10" s="141" t="s">
        <v>4428</v>
      </c>
      <c r="X10" s="141" t="s">
        <v>4428</v>
      </c>
      <c r="Y10" s="141" t="s">
        <v>4428</v>
      </c>
      <c r="Z10" s="141" t="s">
        <v>4437</v>
      </c>
      <c r="AA10" s="141" t="s">
        <v>4428</v>
      </c>
      <c r="AB10" s="141" t="s">
        <v>4437</v>
      </c>
      <c r="AC10" s="142" t="s">
        <v>4438</v>
      </c>
      <c r="AD10" s="143"/>
      <c r="AE10" s="18" t="s">
        <v>76</v>
      </c>
    </row>
    <row r="11">
      <c r="A11" s="106">
        <v>11.0</v>
      </c>
      <c r="B11" s="12" t="s">
        <v>34</v>
      </c>
      <c r="C11" s="12" t="s">
        <v>65</v>
      </c>
      <c r="D11" s="12" t="s">
        <v>43</v>
      </c>
      <c r="E11" s="12" t="s">
        <v>224</v>
      </c>
      <c r="F11" s="33" t="s">
        <v>225</v>
      </c>
      <c r="G11" s="12" t="s">
        <v>68</v>
      </c>
      <c r="H11" s="12" t="s">
        <v>226</v>
      </c>
      <c r="I11" s="12" t="s">
        <v>227</v>
      </c>
      <c r="J11" s="17" t="s">
        <v>108</v>
      </c>
      <c r="K11" s="17" t="s">
        <v>109</v>
      </c>
      <c r="L11" s="116" t="s">
        <v>3599</v>
      </c>
      <c r="M11" s="17">
        <v>34.0</v>
      </c>
      <c r="N11" s="20">
        <v>45834.0</v>
      </c>
      <c r="O11" s="17" t="s">
        <v>194</v>
      </c>
      <c r="P11" s="144" t="s">
        <v>4424</v>
      </c>
      <c r="Q11" s="144" t="s">
        <v>4424</v>
      </c>
      <c r="R11" s="144" t="s">
        <v>4424</v>
      </c>
      <c r="S11" s="144" t="s">
        <v>4428</v>
      </c>
      <c r="T11" s="144" t="s">
        <v>4428</v>
      </c>
      <c r="U11" s="144" t="s">
        <v>4428</v>
      </c>
      <c r="V11" s="144" t="s">
        <v>4424</v>
      </c>
      <c r="W11" s="144" t="s">
        <v>4424</v>
      </c>
      <c r="X11" s="144" t="s">
        <v>4424</v>
      </c>
      <c r="Y11" s="144" t="s">
        <v>4424</v>
      </c>
      <c r="Z11" s="144" t="s">
        <v>4425</v>
      </c>
      <c r="AA11" s="144" t="s">
        <v>4428</v>
      </c>
      <c r="AB11" s="144" t="s">
        <v>4425</v>
      </c>
      <c r="AC11" s="145" t="s">
        <v>4439</v>
      </c>
      <c r="AD11" s="146"/>
      <c r="AE11" s="18" t="s">
        <v>76</v>
      </c>
    </row>
    <row r="12">
      <c r="A12" s="106">
        <v>12.0</v>
      </c>
      <c r="B12" s="12" t="s">
        <v>34</v>
      </c>
      <c r="C12" s="12" t="s">
        <v>65</v>
      </c>
      <c r="D12" s="12" t="s">
        <v>43</v>
      </c>
      <c r="E12" s="12" t="s">
        <v>224</v>
      </c>
      <c r="F12" s="33" t="s">
        <v>225</v>
      </c>
      <c r="G12" s="12" t="s">
        <v>68</v>
      </c>
      <c r="H12" s="12" t="s">
        <v>226</v>
      </c>
      <c r="I12" s="12" t="s">
        <v>227</v>
      </c>
      <c r="J12" s="17" t="s">
        <v>73</v>
      </c>
      <c r="K12" s="17" t="s">
        <v>74</v>
      </c>
      <c r="L12" s="116" t="s">
        <v>3601</v>
      </c>
      <c r="M12" s="17">
        <v>32.0</v>
      </c>
      <c r="N12" s="20">
        <v>45834.0</v>
      </c>
      <c r="O12" s="17" t="s">
        <v>194</v>
      </c>
      <c r="P12" s="147" t="s">
        <v>4425</v>
      </c>
      <c r="Q12" s="147" t="s">
        <v>4424</v>
      </c>
      <c r="R12" s="147" t="s">
        <v>4428</v>
      </c>
      <c r="S12" s="147" t="s">
        <v>4424</v>
      </c>
      <c r="T12" s="147" t="s">
        <v>4424</v>
      </c>
      <c r="U12" s="147" t="s">
        <v>4425</v>
      </c>
      <c r="V12" s="147" t="s">
        <v>4425</v>
      </c>
      <c r="W12" s="147" t="s">
        <v>4424</v>
      </c>
      <c r="X12" s="147" t="s">
        <v>4424</v>
      </c>
      <c r="Y12" s="147" t="s">
        <v>4425</v>
      </c>
      <c r="Z12" s="147" t="s">
        <v>4425</v>
      </c>
      <c r="AA12" s="147" t="s">
        <v>4424</v>
      </c>
      <c r="AB12" s="147" t="s">
        <v>4425</v>
      </c>
      <c r="AC12" s="148" t="s">
        <v>4440</v>
      </c>
      <c r="AD12" s="149"/>
      <c r="AE12" s="18" t="s">
        <v>76</v>
      </c>
    </row>
    <row r="13">
      <c r="A13" s="106">
        <v>13.0</v>
      </c>
      <c r="B13" s="12" t="s">
        <v>34</v>
      </c>
      <c r="C13" s="12" t="s">
        <v>65</v>
      </c>
      <c r="D13" s="12" t="s">
        <v>102</v>
      </c>
      <c r="E13" s="12" t="s">
        <v>455</v>
      </c>
      <c r="F13" s="33" t="s">
        <v>456</v>
      </c>
      <c r="G13" s="12" t="s">
        <v>68</v>
      </c>
      <c r="H13" s="12" t="s">
        <v>457</v>
      </c>
      <c r="I13" s="12" t="s">
        <v>458</v>
      </c>
      <c r="J13" s="17" t="s">
        <v>112</v>
      </c>
      <c r="K13" s="17" t="s">
        <v>113</v>
      </c>
      <c r="L13" s="116" t="s">
        <v>4441</v>
      </c>
      <c r="M13" s="17">
        <v>32.0</v>
      </c>
      <c r="N13" s="20">
        <v>45841.0</v>
      </c>
      <c r="O13" s="17" t="s">
        <v>194</v>
      </c>
      <c r="P13" s="150" t="s">
        <v>4425</v>
      </c>
      <c r="Q13" s="151" t="s">
        <v>4425</v>
      </c>
      <c r="R13" s="151" t="s">
        <v>4424</v>
      </c>
      <c r="S13" s="151" t="s">
        <v>4424</v>
      </c>
      <c r="T13" s="151" t="s">
        <v>4424</v>
      </c>
      <c r="U13" s="151" t="s">
        <v>4424</v>
      </c>
      <c r="V13" s="151" t="s">
        <v>4424</v>
      </c>
      <c r="W13" s="151" t="s">
        <v>4424</v>
      </c>
      <c r="X13" s="151" t="s">
        <v>4424</v>
      </c>
      <c r="Y13" s="151" t="s">
        <v>4424</v>
      </c>
      <c r="Z13" s="151" t="s">
        <v>4426</v>
      </c>
      <c r="AA13" s="151" t="s">
        <v>4426</v>
      </c>
      <c r="AB13" s="151" t="s">
        <v>4437</v>
      </c>
      <c r="AC13" s="152" t="s">
        <v>4442</v>
      </c>
      <c r="AD13" s="153"/>
      <c r="AE13" s="18" t="s">
        <v>92</v>
      </c>
    </row>
    <row r="14">
      <c r="A14" s="106">
        <v>14.0</v>
      </c>
      <c r="B14" s="12" t="s">
        <v>34</v>
      </c>
      <c r="C14" s="12" t="s">
        <v>65</v>
      </c>
      <c r="D14" s="12" t="s">
        <v>102</v>
      </c>
      <c r="E14" s="12" t="s">
        <v>455</v>
      </c>
      <c r="F14" s="33" t="s">
        <v>456</v>
      </c>
      <c r="G14" s="12" t="s">
        <v>68</v>
      </c>
      <c r="H14" s="12" t="s">
        <v>457</v>
      </c>
      <c r="I14" s="12" t="s">
        <v>458</v>
      </c>
      <c r="J14" s="17" t="s">
        <v>73</v>
      </c>
      <c r="K14" s="17" t="s">
        <v>74</v>
      </c>
      <c r="L14" s="116" t="s">
        <v>2686</v>
      </c>
      <c r="M14" s="17">
        <v>57.0</v>
      </c>
      <c r="N14" s="20">
        <v>45841.0</v>
      </c>
      <c r="O14" s="17" t="s">
        <v>194</v>
      </c>
      <c r="P14" s="154" t="s">
        <v>4428</v>
      </c>
      <c r="Q14" s="155" t="s">
        <v>4424</v>
      </c>
      <c r="R14" s="155" t="s">
        <v>4426</v>
      </c>
      <c r="S14" s="155" t="s">
        <v>4428</v>
      </c>
      <c r="T14" s="155" t="s">
        <v>4428</v>
      </c>
      <c r="U14" s="155" t="s">
        <v>4426</v>
      </c>
      <c r="V14" s="155" t="s">
        <v>4426</v>
      </c>
      <c r="W14" s="155" t="s">
        <v>4424</v>
      </c>
      <c r="X14" s="155" t="s">
        <v>4428</v>
      </c>
      <c r="Y14" s="155" t="s">
        <v>4424</v>
      </c>
      <c r="Z14" s="155" t="s">
        <v>4428</v>
      </c>
      <c r="AA14" s="155" t="s">
        <v>4428</v>
      </c>
      <c r="AB14" s="155" t="s">
        <v>4437</v>
      </c>
      <c r="AC14" s="156"/>
      <c r="AD14" s="153"/>
      <c r="AE14" s="18" t="s">
        <v>92</v>
      </c>
    </row>
    <row r="15">
      <c r="A15" s="106">
        <v>15.0</v>
      </c>
      <c r="B15" s="12" t="s">
        <v>34</v>
      </c>
      <c r="C15" s="12" t="s">
        <v>65</v>
      </c>
      <c r="D15" s="12" t="s">
        <v>102</v>
      </c>
      <c r="E15" s="12" t="s">
        <v>455</v>
      </c>
      <c r="F15" s="33" t="s">
        <v>456</v>
      </c>
      <c r="G15" s="12" t="s">
        <v>68</v>
      </c>
      <c r="H15" s="12" t="s">
        <v>457</v>
      </c>
      <c r="I15" s="12" t="s">
        <v>458</v>
      </c>
      <c r="J15" s="17" t="s">
        <v>108</v>
      </c>
      <c r="K15" s="17" t="s">
        <v>109</v>
      </c>
      <c r="L15" s="116" t="s">
        <v>4443</v>
      </c>
      <c r="M15" s="17">
        <v>26.0</v>
      </c>
      <c r="N15" s="20">
        <v>45841.0</v>
      </c>
      <c r="O15" s="17" t="s">
        <v>194</v>
      </c>
      <c r="P15" s="157" t="s">
        <v>4424</v>
      </c>
      <c r="Q15" s="158" t="s">
        <v>4425</v>
      </c>
      <c r="R15" s="158" t="s">
        <v>4425</v>
      </c>
      <c r="S15" s="158" t="s">
        <v>4424</v>
      </c>
      <c r="T15" s="158" t="s">
        <v>4424</v>
      </c>
      <c r="U15" s="158" t="s">
        <v>4424</v>
      </c>
      <c r="V15" s="158" t="s">
        <v>4426</v>
      </c>
      <c r="W15" s="158" t="s">
        <v>4428</v>
      </c>
      <c r="X15" s="158" t="s">
        <v>4424</v>
      </c>
      <c r="Y15" s="158" t="s">
        <v>4428</v>
      </c>
      <c r="Z15" s="158" t="s">
        <v>4425</v>
      </c>
      <c r="AA15" s="158" t="s">
        <v>4428</v>
      </c>
      <c r="AB15" s="158" t="s">
        <v>4426</v>
      </c>
      <c r="AC15" s="159" t="s">
        <v>4444</v>
      </c>
      <c r="AD15" s="153"/>
      <c r="AE15" s="18" t="s">
        <v>92</v>
      </c>
    </row>
    <row r="16">
      <c r="A16" s="106">
        <v>1.0</v>
      </c>
      <c r="B16" s="12" t="s">
        <v>34</v>
      </c>
      <c r="C16" s="12" t="s">
        <v>65</v>
      </c>
      <c r="D16" s="12" t="s">
        <v>102</v>
      </c>
      <c r="E16" s="12" t="s">
        <v>103</v>
      </c>
      <c r="F16" s="33" t="s">
        <v>104</v>
      </c>
      <c r="G16" s="12" t="s">
        <v>68</v>
      </c>
      <c r="H16" s="12" t="s">
        <v>105</v>
      </c>
      <c r="I16" s="12" t="s">
        <v>106</v>
      </c>
      <c r="J16" s="17" t="s">
        <v>73</v>
      </c>
      <c r="K16" s="17" t="s">
        <v>74</v>
      </c>
      <c r="L16" s="17" t="s">
        <v>2821</v>
      </c>
      <c r="M16" s="17">
        <v>23.0</v>
      </c>
      <c r="N16" s="20">
        <v>45979.0</v>
      </c>
      <c r="O16" s="17" t="s">
        <v>428</v>
      </c>
      <c r="P16" s="160" t="s">
        <v>4424</v>
      </c>
      <c r="Q16" s="160" t="s">
        <v>4424</v>
      </c>
      <c r="R16" s="160" t="s">
        <v>4424</v>
      </c>
      <c r="S16" s="160" t="s">
        <v>4424</v>
      </c>
      <c r="T16" s="160" t="s">
        <v>4428</v>
      </c>
      <c r="U16" s="160" t="s">
        <v>4424</v>
      </c>
      <c r="V16" s="160" t="s">
        <v>4428</v>
      </c>
      <c r="W16" s="160" t="s">
        <v>4424</v>
      </c>
      <c r="X16" s="160" t="s">
        <v>4428</v>
      </c>
      <c r="Y16" s="160" t="s">
        <v>4428</v>
      </c>
      <c r="Z16" s="160" t="s">
        <v>4425</v>
      </c>
      <c r="AA16" s="160" t="s">
        <v>4428</v>
      </c>
      <c r="AB16" s="160" t="s">
        <v>4426</v>
      </c>
      <c r="AC16" s="160" t="s">
        <v>4445</v>
      </c>
      <c r="AE16" s="18" t="s">
        <v>92</v>
      </c>
    </row>
    <row r="17">
      <c r="A17" s="106">
        <v>2.0</v>
      </c>
      <c r="B17" s="12" t="s">
        <v>34</v>
      </c>
      <c r="C17" s="12" t="s">
        <v>65</v>
      </c>
      <c r="D17" s="12" t="s">
        <v>102</v>
      </c>
      <c r="E17" s="12" t="s">
        <v>103</v>
      </c>
      <c r="F17" s="33" t="s">
        <v>104</v>
      </c>
      <c r="G17" s="12" t="s">
        <v>68</v>
      </c>
      <c r="H17" s="12" t="s">
        <v>105</v>
      </c>
      <c r="I17" s="12" t="s">
        <v>106</v>
      </c>
      <c r="J17" s="17" t="s">
        <v>108</v>
      </c>
      <c r="K17" s="17" t="s">
        <v>1775</v>
      </c>
      <c r="L17" s="17" t="s">
        <v>2822</v>
      </c>
      <c r="M17" s="17">
        <v>26.0</v>
      </c>
      <c r="N17" s="20">
        <v>45979.0</v>
      </c>
      <c r="O17" s="17" t="s">
        <v>428</v>
      </c>
      <c r="P17" s="161" t="s">
        <v>4424</v>
      </c>
      <c r="Q17" s="161" t="s">
        <v>4424</v>
      </c>
      <c r="R17" s="161" t="s">
        <v>4425</v>
      </c>
      <c r="S17" s="161" t="s">
        <v>4424</v>
      </c>
      <c r="T17" s="161" t="s">
        <v>4424</v>
      </c>
      <c r="U17" s="161" t="s">
        <v>4425</v>
      </c>
      <c r="V17" s="161" t="s">
        <v>4425</v>
      </c>
      <c r="W17" s="161" t="s">
        <v>4424</v>
      </c>
      <c r="X17" s="161" t="s">
        <v>4424</v>
      </c>
      <c r="Y17" s="161" t="s">
        <v>4424</v>
      </c>
      <c r="Z17" s="161" t="s">
        <v>4425</v>
      </c>
      <c r="AA17" s="161" t="s">
        <v>4428</v>
      </c>
      <c r="AB17" s="161" t="s">
        <v>4428</v>
      </c>
      <c r="AC17" s="161" t="s">
        <v>4446</v>
      </c>
      <c r="AE17" s="18" t="s">
        <v>92</v>
      </c>
    </row>
    <row r="18">
      <c r="A18" s="106">
        <v>3.0</v>
      </c>
      <c r="B18" s="12" t="s">
        <v>34</v>
      </c>
      <c r="C18" s="12" t="s">
        <v>65</v>
      </c>
      <c r="D18" s="12" t="s">
        <v>83</v>
      </c>
      <c r="E18" s="12" t="s">
        <v>84</v>
      </c>
      <c r="F18" s="33" t="s">
        <v>85</v>
      </c>
      <c r="G18" s="12" t="s">
        <v>86</v>
      </c>
      <c r="H18" s="12" t="s">
        <v>87</v>
      </c>
      <c r="I18" s="12"/>
      <c r="J18" s="17" t="s">
        <v>73</v>
      </c>
      <c r="K18" s="17" t="s">
        <v>4430</v>
      </c>
      <c r="L18" s="17" t="s">
        <v>2851</v>
      </c>
      <c r="M18" s="17">
        <v>26.0</v>
      </c>
      <c r="N18" s="20">
        <v>45979.0</v>
      </c>
      <c r="O18" s="17" t="s">
        <v>428</v>
      </c>
      <c r="P18" s="160" t="s">
        <v>4424</v>
      </c>
      <c r="Q18" s="160" t="s">
        <v>4424</v>
      </c>
      <c r="R18" s="160" t="s">
        <v>4428</v>
      </c>
      <c r="S18" s="160" t="s">
        <v>4424</v>
      </c>
      <c r="T18" s="160" t="s">
        <v>4428</v>
      </c>
      <c r="U18" s="160" t="s">
        <v>4424</v>
      </c>
      <c r="V18" s="160" t="s">
        <v>4425</v>
      </c>
      <c r="W18" s="160" t="s">
        <v>4428</v>
      </c>
      <c r="X18" s="160" t="s">
        <v>4428</v>
      </c>
      <c r="Y18" s="162" t="s">
        <v>4424</v>
      </c>
      <c r="Z18" s="162" t="s">
        <v>4424</v>
      </c>
      <c r="AA18" s="160" t="s">
        <v>4424</v>
      </c>
      <c r="AB18" s="160" t="s">
        <v>4425</v>
      </c>
      <c r="AC18" s="160" t="s">
        <v>4447</v>
      </c>
      <c r="AE18" s="18" t="s">
        <v>92</v>
      </c>
    </row>
    <row r="19">
      <c r="A19" s="106">
        <v>5.0</v>
      </c>
      <c r="B19" s="12" t="s">
        <v>34</v>
      </c>
      <c r="C19" s="12" t="s">
        <v>65</v>
      </c>
      <c r="D19" s="12" t="s">
        <v>83</v>
      </c>
      <c r="E19" s="12" t="s">
        <v>120</v>
      </c>
      <c r="F19" s="33" t="s">
        <v>121</v>
      </c>
      <c r="G19" s="12" t="s">
        <v>68</v>
      </c>
      <c r="H19" s="12" t="s">
        <v>122</v>
      </c>
      <c r="I19" s="12" t="s">
        <v>123</v>
      </c>
      <c r="J19" s="17" t="s">
        <v>73</v>
      </c>
      <c r="K19" s="17" t="s">
        <v>4430</v>
      </c>
      <c r="L19" s="17" t="s">
        <v>2943</v>
      </c>
      <c r="M19" s="17">
        <v>49.0</v>
      </c>
      <c r="N19" s="20">
        <v>45979.0</v>
      </c>
      <c r="O19" s="17" t="s">
        <v>428</v>
      </c>
      <c r="P19" s="161" t="s">
        <v>4424</v>
      </c>
      <c r="Q19" s="161" t="s">
        <v>4425</v>
      </c>
      <c r="R19" s="161" t="s">
        <v>4428</v>
      </c>
      <c r="S19" s="161" t="s">
        <v>4424</v>
      </c>
      <c r="T19" s="161" t="s">
        <v>4428</v>
      </c>
      <c r="U19" s="161" t="s">
        <v>4424</v>
      </c>
      <c r="V19" s="161" t="s">
        <v>4425</v>
      </c>
      <c r="W19" s="161" t="s">
        <v>4424</v>
      </c>
      <c r="X19" s="161" t="s">
        <v>4428</v>
      </c>
      <c r="Y19" s="163" t="s">
        <v>4424</v>
      </c>
      <c r="Z19" s="163" t="s">
        <v>4424</v>
      </c>
      <c r="AA19" s="161" t="s">
        <v>4425</v>
      </c>
      <c r="AB19" s="161" t="s">
        <v>4426</v>
      </c>
      <c r="AC19" s="161" t="s">
        <v>4448</v>
      </c>
      <c r="AE19" s="18" t="s">
        <v>92</v>
      </c>
    </row>
    <row r="20">
      <c r="A20" s="106">
        <v>6.0</v>
      </c>
      <c r="B20" s="12" t="s">
        <v>34</v>
      </c>
      <c r="C20" s="12" t="s">
        <v>65</v>
      </c>
      <c r="D20" s="12" t="s">
        <v>102</v>
      </c>
      <c r="E20" s="12" t="s">
        <v>142</v>
      </c>
      <c r="F20" s="33" t="s">
        <v>143</v>
      </c>
      <c r="G20" s="12" t="s">
        <v>68</v>
      </c>
      <c r="H20" s="12" t="s">
        <v>144</v>
      </c>
      <c r="I20" s="12" t="s">
        <v>145</v>
      </c>
      <c r="J20" s="17" t="s">
        <v>108</v>
      </c>
      <c r="K20" s="17" t="s">
        <v>109</v>
      </c>
      <c r="L20" s="17" t="s">
        <v>2775</v>
      </c>
      <c r="M20" s="17">
        <v>25.0</v>
      </c>
      <c r="N20" s="20">
        <v>45979.0</v>
      </c>
      <c r="O20" s="17" t="s">
        <v>428</v>
      </c>
      <c r="P20" s="160" t="s">
        <v>4428</v>
      </c>
      <c r="Q20" s="160" t="s">
        <v>4425</v>
      </c>
      <c r="R20" s="160" t="s">
        <v>4428</v>
      </c>
      <c r="S20" s="160" t="s">
        <v>4424</v>
      </c>
      <c r="T20" s="160" t="s">
        <v>4424</v>
      </c>
      <c r="U20" s="160" t="s">
        <v>4425</v>
      </c>
      <c r="V20" s="160" t="s">
        <v>4425</v>
      </c>
      <c r="W20" s="160" t="s">
        <v>4424</v>
      </c>
      <c r="X20" s="160" t="s">
        <v>4425</v>
      </c>
      <c r="Y20" s="162" t="s">
        <v>4424</v>
      </c>
      <c r="Z20" s="162" t="s">
        <v>4424</v>
      </c>
      <c r="AA20" s="160" t="s">
        <v>4425</v>
      </c>
      <c r="AB20" s="160" t="s">
        <v>4425</v>
      </c>
      <c r="AC20" s="160" t="s">
        <v>4449</v>
      </c>
      <c r="AE20" s="18" t="s">
        <v>92</v>
      </c>
    </row>
    <row r="21">
      <c r="A21" s="106">
        <v>7.0</v>
      </c>
      <c r="B21" s="12" t="s">
        <v>34</v>
      </c>
      <c r="C21" s="12" t="s">
        <v>65</v>
      </c>
      <c r="D21" s="12" t="s">
        <v>102</v>
      </c>
      <c r="E21" s="12" t="s">
        <v>142</v>
      </c>
      <c r="F21" s="33" t="s">
        <v>143</v>
      </c>
      <c r="G21" s="12" t="s">
        <v>68</v>
      </c>
      <c r="H21" s="12" t="s">
        <v>144</v>
      </c>
      <c r="I21" s="12" t="s">
        <v>145</v>
      </c>
      <c r="J21" s="17" t="s">
        <v>112</v>
      </c>
      <c r="K21" s="17" t="s">
        <v>113</v>
      </c>
      <c r="L21" s="17" t="s">
        <v>2776</v>
      </c>
      <c r="M21" s="17">
        <v>33.0</v>
      </c>
      <c r="N21" s="20">
        <v>45979.0</v>
      </c>
      <c r="O21" s="17" t="s">
        <v>428</v>
      </c>
      <c r="P21" s="161" t="s">
        <v>4428</v>
      </c>
      <c r="Q21" s="161" t="s">
        <v>4424</v>
      </c>
      <c r="R21" s="161" t="s">
        <v>4424</v>
      </c>
      <c r="S21" s="161" t="s">
        <v>4428</v>
      </c>
      <c r="T21" s="161" t="s">
        <v>4428</v>
      </c>
      <c r="U21" s="161" t="s">
        <v>4428</v>
      </c>
      <c r="V21" s="161" t="s">
        <v>4424</v>
      </c>
      <c r="W21" s="161" t="s">
        <v>4424</v>
      </c>
      <c r="X21" s="161" t="s">
        <v>4428</v>
      </c>
      <c r="Y21" s="161" t="s">
        <v>4428</v>
      </c>
      <c r="Z21" s="161" t="s">
        <v>4425</v>
      </c>
      <c r="AA21" s="161" t="s">
        <v>4428</v>
      </c>
      <c r="AB21" s="161" t="s">
        <v>4424</v>
      </c>
      <c r="AC21" s="89"/>
      <c r="AE21" s="18" t="s">
        <v>92</v>
      </c>
    </row>
    <row r="22">
      <c r="A22" s="106">
        <v>8.0</v>
      </c>
      <c r="B22" s="12" t="s">
        <v>34</v>
      </c>
      <c r="C22" s="12" t="s">
        <v>65</v>
      </c>
      <c r="D22" s="12" t="s">
        <v>102</v>
      </c>
      <c r="E22" s="12" t="s">
        <v>142</v>
      </c>
      <c r="F22" s="33" t="s">
        <v>143</v>
      </c>
      <c r="G22" s="12" t="s">
        <v>68</v>
      </c>
      <c r="H22" s="12" t="s">
        <v>144</v>
      </c>
      <c r="I22" s="12" t="s">
        <v>145</v>
      </c>
      <c r="J22" s="17" t="s">
        <v>108</v>
      </c>
      <c r="K22" s="17" t="s">
        <v>109</v>
      </c>
      <c r="L22" s="17" t="s">
        <v>2777</v>
      </c>
      <c r="M22" s="17">
        <v>43.0</v>
      </c>
      <c r="N22" s="20">
        <v>45979.0</v>
      </c>
      <c r="O22" s="17" t="s">
        <v>428</v>
      </c>
      <c r="P22" s="160" t="s">
        <v>4426</v>
      </c>
      <c r="Q22" s="160" t="s">
        <v>4424</v>
      </c>
      <c r="R22" s="160" t="s">
        <v>4424</v>
      </c>
      <c r="S22" s="160" t="s">
        <v>4424</v>
      </c>
      <c r="T22" s="160" t="s">
        <v>4428</v>
      </c>
      <c r="U22" s="160" t="s">
        <v>4428</v>
      </c>
      <c r="V22" s="160" t="s">
        <v>4424</v>
      </c>
      <c r="W22" s="160" t="s">
        <v>4428</v>
      </c>
      <c r="X22" s="160" t="s">
        <v>4424</v>
      </c>
      <c r="Y22" s="160" t="s">
        <v>4428</v>
      </c>
      <c r="Z22" s="160" t="s">
        <v>4424</v>
      </c>
      <c r="AA22" s="160" t="s">
        <v>4428</v>
      </c>
      <c r="AB22" s="160" t="s">
        <v>4425</v>
      </c>
      <c r="AC22" s="160" t="s">
        <v>4450</v>
      </c>
      <c r="AE22" s="18" t="s">
        <v>92</v>
      </c>
    </row>
    <row r="23">
      <c r="A23" s="106">
        <v>9.0</v>
      </c>
      <c r="B23" s="12" t="s">
        <v>34</v>
      </c>
      <c r="C23" s="12" t="s">
        <v>65</v>
      </c>
      <c r="D23" s="12" t="s">
        <v>102</v>
      </c>
      <c r="E23" s="12" t="s">
        <v>142</v>
      </c>
      <c r="F23" s="33" t="s">
        <v>143</v>
      </c>
      <c r="G23" s="12" t="s">
        <v>68</v>
      </c>
      <c r="H23" s="12" t="s">
        <v>144</v>
      </c>
      <c r="I23" s="12" t="s">
        <v>145</v>
      </c>
      <c r="J23" s="17" t="s">
        <v>73</v>
      </c>
      <c r="K23" s="17" t="s">
        <v>74</v>
      </c>
      <c r="L23" s="17" t="s">
        <v>2778</v>
      </c>
      <c r="M23" s="17">
        <v>50.0</v>
      </c>
      <c r="N23" s="20">
        <v>45979.0</v>
      </c>
      <c r="O23" s="17" t="s">
        <v>428</v>
      </c>
      <c r="P23" s="161" t="s">
        <v>4428</v>
      </c>
      <c r="Q23" s="161" t="s">
        <v>4425</v>
      </c>
      <c r="R23" s="161" t="s">
        <v>4425</v>
      </c>
      <c r="S23" s="161" t="s">
        <v>4424</v>
      </c>
      <c r="T23" s="161" t="s">
        <v>4425</v>
      </c>
      <c r="U23" s="161" t="s">
        <v>4425</v>
      </c>
      <c r="V23" s="161" t="s">
        <v>4424</v>
      </c>
      <c r="W23" s="161" t="s">
        <v>4424</v>
      </c>
      <c r="X23" s="161" t="s">
        <v>4424</v>
      </c>
      <c r="Y23" s="161" t="s">
        <v>4424</v>
      </c>
      <c r="Z23" s="161" t="s">
        <v>4426</v>
      </c>
      <c r="AA23" s="161" t="s">
        <v>4424</v>
      </c>
      <c r="AB23" s="161" t="s">
        <v>4426</v>
      </c>
      <c r="AC23" s="161" t="s">
        <v>4451</v>
      </c>
      <c r="AE23" s="18" t="s">
        <v>92</v>
      </c>
    </row>
    <row r="24">
      <c r="A24" s="106">
        <v>13.0</v>
      </c>
      <c r="B24" s="12" t="s">
        <v>34</v>
      </c>
      <c r="C24" s="12" t="s">
        <v>65</v>
      </c>
      <c r="D24" s="12" t="s">
        <v>102</v>
      </c>
      <c r="E24" s="12" t="s">
        <v>455</v>
      </c>
      <c r="F24" s="33" t="s">
        <v>456</v>
      </c>
      <c r="G24" s="12" t="s">
        <v>68</v>
      </c>
      <c r="H24" s="12" t="s">
        <v>457</v>
      </c>
      <c r="I24" s="12" t="s">
        <v>458</v>
      </c>
      <c r="J24" s="17" t="s">
        <v>112</v>
      </c>
      <c r="K24" s="17" t="s">
        <v>113</v>
      </c>
      <c r="L24" s="116" t="s">
        <v>4441</v>
      </c>
      <c r="M24" s="17">
        <v>32.0</v>
      </c>
      <c r="N24" s="20">
        <v>45979.0</v>
      </c>
      <c r="O24" s="17" t="s">
        <v>428</v>
      </c>
      <c r="P24" s="154" t="s">
        <v>4424</v>
      </c>
      <c r="Q24" s="155" t="s">
        <v>4424</v>
      </c>
      <c r="R24" s="155" t="s">
        <v>4424</v>
      </c>
      <c r="S24" s="155" t="s">
        <v>4428</v>
      </c>
      <c r="T24" s="155" t="s">
        <v>4424</v>
      </c>
      <c r="U24" s="155" t="s">
        <v>4424</v>
      </c>
      <c r="V24" s="155" t="s">
        <v>4424</v>
      </c>
      <c r="W24" s="155" t="s">
        <v>4424</v>
      </c>
      <c r="X24" s="155" t="s">
        <v>4424</v>
      </c>
      <c r="Y24" s="155" t="s">
        <v>4424</v>
      </c>
      <c r="Z24" s="155" t="s">
        <v>4425</v>
      </c>
      <c r="AA24" s="155" t="s">
        <v>4425</v>
      </c>
      <c r="AB24" s="155" t="s">
        <v>4425</v>
      </c>
      <c r="AC24" s="164" t="s">
        <v>4452</v>
      </c>
      <c r="AD24" s="153"/>
      <c r="AE24" s="18" t="s">
        <v>92</v>
      </c>
    </row>
    <row r="25">
      <c r="A25" s="106">
        <v>14.0</v>
      </c>
      <c r="B25" s="12" t="s">
        <v>34</v>
      </c>
      <c r="C25" s="12" t="s">
        <v>65</v>
      </c>
      <c r="D25" s="12" t="s">
        <v>102</v>
      </c>
      <c r="E25" s="12" t="s">
        <v>455</v>
      </c>
      <c r="F25" s="33" t="s">
        <v>456</v>
      </c>
      <c r="G25" s="12" t="s">
        <v>68</v>
      </c>
      <c r="H25" s="12" t="s">
        <v>457</v>
      </c>
      <c r="I25" s="12" t="s">
        <v>458</v>
      </c>
      <c r="J25" s="17" t="s">
        <v>73</v>
      </c>
      <c r="K25" s="17" t="s">
        <v>74</v>
      </c>
      <c r="L25" s="116" t="s">
        <v>2686</v>
      </c>
      <c r="M25" s="17">
        <v>57.0</v>
      </c>
      <c r="N25" s="20">
        <v>45979.0</v>
      </c>
      <c r="O25" s="17" t="s">
        <v>428</v>
      </c>
      <c r="P25" s="157" t="s">
        <v>4426</v>
      </c>
      <c r="Q25" s="158" t="s">
        <v>4425</v>
      </c>
      <c r="R25" s="158" t="s">
        <v>4425</v>
      </c>
      <c r="S25" s="158" t="s">
        <v>4424</v>
      </c>
      <c r="T25" s="158" t="s">
        <v>4424</v>
      </c>
      <c r="U25" s="158" t="s">
        <v>4425</v>
      </c>
      <c r="V25" s="158" t="s">
        <v>4428</v>
      </c>
      <c r="W25" s="158" t="s">
        <v>4428</v>
      </c>
      <c r="X25" s="158" t="s">
        <v>4428</v>
      </c>
      <c r="Y25" s="158" t="s">
        <v>4428</v>
      </c>
      <c r="Z25" s="158" t="s">
        <v>4428</v>
      </c>
      <c r="AA25" s="158" t="s">
        <v>4424</v>
      </c>
      <c r="AB25" s="158" t="s">
        <v>4425</v>
      </c>
      <c r="AC25" s="159" t="s">
        <v>4453</v>
      </c>
      <c r="AD25" s="153"/>
      <c r="AE25" s="18" t="s">
        <v>92</v>
      </c>
    </row>
    <row r="26">
      <c r="A26" s="106">
        <v>15.0</v>
      </c>
      <c r="B26" s="12" t="s">
        <v>34</v>
      </c>
      <c r="C26" s="12" t="s">
        <v>65</v>
      </c>
      <c r="D26" s="12" t="s">
        <v>102</v>
      </c>
      <c r="E26" s="12" t="s">
        <v>455</v>
      </c>
      <c r="F26" s="33" t="s">
        <v>456</v>
      </c>
      <c r="G26" s="12" t="s">
        <v>68</v>
      </c>
      <c r="H26" s="12" t="s">
        <v>457</v>
      </c>
      <c r="I26" s="12" t="s">
        <v>458</v>
      </c>
      <c r="J26" s="17" t="s">
        <v>108</v>
      </c>
      <c r="K26" s="17" t="s">
        <v>109</v>
      </c>
      <c r="L26" s="116" t="s">
        <v>4443</v>
      </c>
      <c r="M26" s="17">
        <v>26.0</v>
      </c>
      <c r="N26" s="20">
        <v>45979.0</v>
      </c>
      <c r="O26" s="17" t="s">
        <v>428</v>
      </c>
      <c r="P26" s="154" t="s">
        <v>4424</v>
      </c>
      <c r="Q26" s="155" t="s">
        <v>4425</v>
      </c>
      <c r="R26" s="155" t="s">
        <v>4425</v>
      </c>
      <c r="S26" s="155" t="s">
        <v>4424</v>
      </c>
      <c r="T26" s="155" t="s">
        <v>4424</v>
      </c>
      <c r="U26" s="155" t="s">
        <v>4424</v>
      </c>
      <c r="V26" s="155" t="s">
        <v>4425</v>
      </c>
      <c r="W26" s="155" t="s">
        <v>4428</v>
      </c>
      <c r="X26" s="155" t="s">
        <v>4424</v>
      </c>
      <c r="Y26" s="155" t="s">
        <v>4428</v>
      </c>
      <c r="Z26" s="155" t="s">
        <v>4424</v>
      </c>
      <c r="AA26" s="155" t="s">
        <v>4428</v>
      </c>
      <c r="AB26" s="155" t="s">
        <v>4424</v>
      </c>
      <c r="AC26" s="165"/>
      <c r="AD26" s="153"/>
      <c r="AE26" s="18" t="s">
        <v>92</v>
      </c>
    </row>
    <row r="27">
      <c r="A27" s="106"/>
      <c r="B27" s="12" t="s">
        <v>34</v>
      </c>
      <c r="C27" s="12" t="s">
        <v>65</v>
      </c>
      <c r="D27" s="12" t="s">
        <v>102</v>
      </c>
      <c r="E27" s="12" t="s">
        <v>152</v>
      </c>
      <c r="F27" s="33" t="s">
        <v>153</v>
      </c>
      <c r="G27" s="12" t="s">
        <v>68</v>
      </c>
      <c r="H27" s="12" t="s">
        <v>154</v>
      </c>
      <c r="I27" s="12" t="s">
        <v>155</v>
      </c>
      <c r="J27" s="17" t="s">
        <v>112</v>
      </c>
      <c r="K27" s="17" t="s">
        <v>113</v>
      </c>
      <c r="L27" s="17" t="s">
        <v>2914</v>
      </c>
      <c r="M27" s="17">
        <v>44.0</v>
      </c>
      <c r="N27" s="20">
        <v>45979.0</v>
      </c>
      <c r="O27" s="17" t="s">
        <v>428</v>
      </c>
      <c r="P27" s="166" t="s">
        <v>4428</v>
      </c>
      <c r="Q27" s="166" t="s">
        <v>4428</v>
      </c>
      <c r="R27" s="166" t="s">
        <v>4428</v>
      </c>
      <c r="S27" s="166" t="s">
        <v>4424</v>
      </c>
      <c r="T27" s="166" t="s">
        <v>4424</v>
      </c>
      <c r="U27" s="166" t="s">
        <v>4424</v>
      </c>
      <c r="V27" s="166" t="s">
        <v>4428</v>
      </c>
      <c r="W27" s="166" t="s">
        <v>4428</v>
      </c>
      <c r="X27" s="166" t="s">
        <v>4428</v>
      </c>
      <c r="Y27" s="166" t="s">
        <v>4424</v>
      </c>
      <c r="Z27" s="166" t="s">
        <v>4425</v>
      </c>
      <c r="AA27" s="166" t="s">
        <v>4428</v>
      </c>
      <c r="AB27" s="166" t="s">
        <v>4428</v>
      </c>
      <c r="AC27" s="167" t="s">
        <v>4454</v>
      </c>
      <c r="AD27" s="168"/>
      <c r="AE27" s="18" t="s">
        <v>92</v>
      </c>
    </row>
    <row r="28">
      <c r="A28" s="106"/>
      <c r="B28" s="12" t="s">
        <v>34</v>
      </c>
      <c r="C28" s="12" t="s">
        <v>65</v>
      </c>
      <c r="D28" s="12" t="s">
        <v>102</v>
      </c>
      <c r="E28" s="12" t="s">
        <v>152</v>
      </c>
      <c r="F28" s="33" t="s">
        <v>153</v>
      </c>
      <c r="G28" s="12" t="s">
        <v>68</v>
      </c>
      <c r="H28" s="12" t="s">
        <v>154</v>
      </c>
      <c r="I28" s="12" t="s">
        <v>155</v>
      </c>
      <c r="J28" s="17" t="s">
        <v>73</v>
      </c>
      <c r="K28" s="17" t="s">
        <v>74</v>
      </c>
      <c r="L28" s="17" t="s">
        <v>2915</v>
      </c>
      <c r="M28" s="17">
        <v>45.0</v>
      </c>
      <c r="N28" s="20">
        <v>45979.0</v>
      </c>
      <c r="O28" s="17" t="s">
        <v>428</v>
      </c>
      <c r="P28" s="169" t="s">
        <v>4424</v>
      </c>
      <c r="Q28" s="169" t="s">
        <v>4428</v>
      </c>
      <c r="R28" s="169" t="s">
        <v>4428</v>
      </c>
      <c r="S28" s="169" t="s">
        <v>4424</v>
      </c>
      <c r="T28" s="169" t="s">
        <v>4424</v>
      </c>
      <c r="U28" s="169" t="s">
        <v>4424</v>
      </c>
      <c r="V28" s="169" t="s">
        <v>4428</v>
      </c>
      <c r="W28" s="169" t="s">
        <v>4428</v>
      </c>
      <c r="X28" s="169" t="s">
        <v>4424</v>
      </c>
      <c r="Y28" s="169" t="s">
        <v>4428</v>
      </c>
      <c r="Z28" s="169" t="s">
        <v>4425</v>
      </c>
      <c r="AA28" s="169" t="s">
        <v>4425</v>
      </c>
      <c r="AB28" s="169" t="s">
        <v>4437</v>
      </c>
      <c r="AC28" s="170"/>
      <c r="AD28" s="168"/>
      <c r="AE28" s="18" t="s">
        <v>92</v>
      </c>
    </row>
    <row r="29">
      <c r="A29" s="106"/>
      <c r="B29" s="12" t="s">
        <v>34</v>
      </c>
      <c r="C29" s="12" t="s">
        <v>65</v>
      </c>
      <c r="D29" s="12" t="s">
        <v>102</v>
      </c>
      <c r="E29" s="12" t="s">
        <v>152</v>
      </c>
      <c r="F29" s="33" t="s">
        <v>153</v>
      </c>
      <c r="G29" s="12" t="s">
        <v>68</v>
      </c>
      <c r="H29" s="12" t="s">
        <v>154</v>
      </c>
      <c r="I29" s="12" t="s">
        <v>155</v>
      </c>
      <c r="J29" s="17" t="s">
        <v>108</v>
      </c>
      <c r="K29" s="17" t="s">
        <v>109</v>
      </c>
      <c r="L29" s="17" t="s">
        <v>2916</v>
      </c>
      <c r="M29" s="17">
        <v>24.0</v>
      </c>
      <c r="N29" s="20">
        <v>45979.0</v>
      </c>
      <c r="O29" s="17" t="s">
        <v>428</v>
      </c>
      <c r="P29" s="166" t="s">
        <v>4425</v>
      </c>
      <c r="Q29" s="166" t="s">
        <v>4425</v>
      </c>
      <c r="R29" s="166" t="s">
        <v>4424</v>
      </c>
      <c r="S29" s="166" t="s">
        <v>4424</v>
      </c>
      <c r="T29" s="166" t="s">
        <v>4428</v>
      </c>
      <c r="U29" s="166" t="s">
        <v>4424</v>
      </c>
      <c r="V29" s="166" t="s">
        <v>4424</v>
      </c>
      <c r="W29" s="166" t="s">
        <v>4428</v>
      </c>
      <c r="X29" s="166" t="s">
        <v>4424</v>
      </c>
      <c r="Y29" s="166" t="s">
        <v>4425</v>
      </c>
      <c r="Z29" s="166" t="s">
        <v>4425</v>
      </c>
      <c r="AA29" s="166" t="s">
        <v>4424</v>
      </c>
      <c r="AB29" s="166" t="s">
        <v>4425</v>
      </c>
      <c r="AC29" s="167" t="s">
        <v>4455</v>
      </c>
      <c r="AD29" s="168"/>
      <c r="AE29" s="18" t="s">
        <v>92</v>
      </c>
    </row>
    <row r="30" ht="21.75" customHeight="1">
      <c r="A30" s="106">
        <v>16.0</v>
      </c>
      <c r="B30" s="12" t="s">
        <v>43</v>
      </c>
      <c r="C30" s="12" t="s">
        <v>65</v>
      </c>
      <c r="D30" s="12" t="s">
        <v>321</v>
      </c>
      <c r="E30" s="12" t="s">
        <v>321</v>
      </c>
      <c r="F30" s="33" t="s">
        <v>322</v>
      </c>
      <c r="G30" s="12" t="s">
        <v>68</v>
      </c>
      <c r="H30" s="12" t="s">
        <v>323</v>
      </c>
      <c r="I30" s="12" t="s">
        <v>324</v>
      </c>
      <c r="J30" s="2"/>
      <c r="L30" s="116" t="s">
        <v>4174</v>
      </c>
      <c r="M30" s="17">
        <v>30.0</v>
      </c>
      <c r="N30" s="20">
        <v>45849.0</v>
      </c>
      <c r="O30" s="17" t="s">
        <v>194</v>
      </c>
      <c r="P30" s="171" t="s">
        <v>4428</v>
      </c>
      <c r="Q30" s="172" t="s">
        <v>4424</v>
      </c>
      <c r="R30" s="172" t="s">
        <v>4424</v>
      </c>
      <c r="S30" s="172" t="s">
        <v>4425</v>
      </c>
      <c r="T30" s="172" t="s">
        <v>4428</v>
      </c>
      <c r="U30" s="172" t="s">
        <v>4424</v>
      </c>
      <c r="V30" s="172" t="s">
        <v>4424</v>
      </c>
      <c r="W30" s="172" t="s">
        <v>4425</v>
      </c>
      <c r="X30" s="172" t="s">
        <v>4425</v>
      </c>
      <c r="Y30" s="172" t="s">
        <v>4428</v>
      </c>
      <c r="Z30" s="172" t="s">
        <v>4424</v>
      </c>
      <c r="AA30" s="172" t="s">
        <v>4428</v>
      </c>
      <c r="AB30" s="172" t="s">
        <v>4425</v>
      </c>
      <c r="AC30" s="173" t="s">
        <v>4456</v>
      </c>
      <c r="AD30" s="174"/>
      <c r="AE30" s="18" t="s">
        <v>76</v>
      </c>
    </row>
    <row r="31">
      <c r="A31" s="106">
        <v>17.0</v>
      </c>
      <c r="B31" s="12" t="s">
        <v>43</v>
      </c>
      <c r="C31" s="12" t="s">
        <v>65</v>
      </c>
      <c r="D31" s="12" t="s">
        <v>321</v>
      </c>
      <c r="E31" s="12" t="s">
        <v>321</v>
      </c>
      <c r="F31" s="33" t="s">
        <v>322</v>
      </c>
      <c r="G31" s="12" t="s">
        <v>68</v>
      </c>
      <c r="H31" s="12" t="s">
        <v>323</v>
      </c>
      <c r="I31" s="12" t="s">
        <v>324</v>
      </c>
      <c r="J31" s="17" t="s">
        <v>112</v>
      </c>
      <c r="K31" s="17" t="s">
        <v>113</v>
      </c>
      <c r="L31" s="116" t="s">
        <v>4177</v>
      </c>
      <c r="M31" s="17">
        <v>47.0</v>
      </c>
      <c r="N31" s="20">
        <v>45847.0</v>
      </c>
      <c r="O31" s="17" t="s">
        <v>194</v>
      </c>
      <c r="P31" s="144" t="s">
        <v>4426</v>
      </c>
      <c r="Q31" s="144" t="s">
        <v>4428</v>
      </c>
      <c r="R31" s="144" t="s">
        <v>4428</v>
      </c>
      <c r="S31" s="144" t="s">
        <v>4428</v>
      </c>
      <c r="T31" s="144" t="s">
        <v>4428</v>
      </c>
      <c r="U31" s="144" t="s">
        <v>4428</v>
      </c>
      <c r="V31" s="144" t="s">
        <v>4428</v>
      </c>
      <c r="W31" s="144" t="s">
        <v>4428</v>
      </c>
      <c r="X31" s="144" t="s">
        <v>4424</v>
      </c>
      <c r="Y31" s="144" t="s">
        <v>4428</v>
      </c>
      <c r="Z31" s="144" t="s">
        <v>4424</v>
      </c>
      <c r="AA31" s="144" t="s">
        <v>4424</v>
      </c>
      <c r="AB31" s="144" t="s">
        <v>4424</v>
      </c>
      <c r="AC31" s="145" t="s">
        <v>4457</v>
      </c>
      <c r="AD31" s="146"/>
      <c r="AE31" s="18" t="s">
        <v>76</v>
      </c>
    </row>
    <row r="32">
      <c r="A32" s="106"/>
      <c r="B32" s="12" t="s">
        <v>43</v>
      </c>
      <c r="C32" s="12" t="s">
        <v>65</v>
      </c>
      <c r="D32" s="12" t="s">
        <v>321</v>
      </c>
      <c r="E32" s="12" t="s">
        <v>321</v>
      </c>
      <c r="F32" s="33" t="s">
        <v>322</v>
      </c>
      <c r="G32" s="12" t="s">
        <v>68</v>
      </c>
      <c r="H32" s="12" t="s">
        <v>323</v>
      </c>
      <c r="I32" s="12" t="s">
        <v>324</v>
      </c>
      <c r="J32" s="17" t="s">
        <v>73</v>
      </c>
      <c r="K32" s="17" t="s">
        <v>74</v>
      </c>
      <c r="L32" s="17" t="s">
        <v>4178</v>
      </c>
      <c r="M32" s="17">
        <v>41.0</v>
      </c>
      <c r="N32" s="20">
        <v>45879.0</v>
      </c>
      <c r="O32" s="17" t="s">
        <v>194</v>
      </c>
      <c r="P32" s="175" t="s">
        <v>4426</v>
      </c>
      <c r="Q32" s="176" t="s">
        <v>4424</v>
      </c>
      <c r="R32" s="176" t="s">
        <v>4428</v>
      </c>
      <c r="S32" s="176" t="s">
        <v>4424</v>
      </c>
      <c r="T32" s="176" t="s">
        <v>4428</v>
      </c>
      <c r="U32" s="176" t="s">
        <v>4428</v>
      </c>
      <c r="V32" s="176" t="s">
        <v>4428</v>
      </c>
      <c r="W32" s="176" t="s">
        <v>4428</v>
      </c>
      <c r="X32" s="176" t="s">
        <v>4428</v>
      </c>
      <c r="Y32" s="176" t="s">
        <v>4428</v>
      </c>
      <c r="Z32" s="176" t="s">
        <v>4428</v>
      </c>
      <c r="AA32" s="176" t="s">
        <v>4428</v>
      </c>
      <c r="AB32" s="176" t="s">
        <v>4426</v>
      </c>
      <c r="AC32" s="177"/>
      <c r="AD32" s="178"/>
      <c r="AE32" s="18" t="s">
        <v>76</v>
      </c>
    </row>
    <row r="33">
      <c r="A33" s="106"/>
      <c r="B33" s="12" t="s">
        <v>43</v>
      </c>
      <c r="C33" s="12" t="s">
        <v>65</v>
      </c>
      <c r="D33" s="12" t="s">
        <v>321</v>
      </c>
      <c r="E33" s="12" t="s">
        <v>321</v>
      </c>
      <c r="F33" s="33" t="s">
        <v>322</v>
      </c>
      <c r="G33" s="12" t="s">
        <v>68</v>
      </c>
      <c r="H33" s="12" t="s">
        <v>323</v>
      </c>
      <c r="I33" s="12" t="s">
        <v>324</v>
      </c>
      <c r="J33" s="17" t="s">
        <v>108</v>
      </c>
      <c r="K33" s="17" t="s">
        <v>109</v>
      </c>
      <c r="L33" s="123" t="s">
        <v>3525</v>
      </c>
      <c r="M33" s="17">
        <v>40.0</v>
      </c>
      <c r="N33" s="20">
        <v>45879.0</v>
      </c>
      <c r="O33" s="17" t="s">
        <v>194</v>
      </c>
      <c r="P33" s="179" t="s">
        <v>4428</v>
      </c>
      <c r="Q33" s="179" t="s">
        <v>4424</v>
      </c>
      <c r="R33" s="179" t="s">
        <v>4428</v>
      </c>
      <c r="S33" s="179" t="s">
        <v>4424</v>
      </c>
      <c r="T33" s="179" t="s">
        <v>4428</v>
      </c>
      <c r="U33" s="179" t="s">
        <v>4424</v>
      </c>
      <c r="V33" s="179" t="s">
        <v>4425</v>
      </c>
      <c r="W33" s="179" t="s">
        <v>4424</v>
      </c>
      <c r="X33" s="179" t="s">
        <v>4428</v>
      </c>
      <c r="Y33" s="179" t="s">
        <v>4428</v>
      </c>
      <c r="Z33" s="179" t="s">
        <v>4425</v>
      </c>
      <c r="AA33" s="179" t="s">
        <v>4428</v>
      </c>
      <c r="AB33" s="179" t="s">
        <v>4424</v>
      </c>
      <c r="AC33" s="180" t="s">
        <v>4458</v>
      </c>
      <c r="AD33" s="178"/>
      <c r="AE33" s="18" t="s">
        <v>76</v>
      </c>
    </row>
    <row r="34">
      <c r="A34" s="106"/>
      <c r="B34" s="12" t="s">
        <v>43</v>
      </c>
      <c r="C34" s="12" t="s">
        <v>65</v>
      </c>
      <c r="D34" s="12" t="s">
        <v>321</v>
      </c>
      <c r="E34" s="12" t="s">
        <v>321</v>
      </c>
      <c r="F34" s="33" t="s">
        <v>322</v>
      </c>
      <c r="G34" s="12" t="s">
        <v>68</v>
      </c>
      <c r="H34" s="12" t="s">
        <v>323</v>
      </c>
      <c r="I34" s="12" t="s">
        <v>324</v>
      </c>
      <c r="J34" s="17" t="s">
        <v>108</v>
      </c>
      <c r="K34" s="17" t="s">
        <v>109</v>
      </c>
      <c r="L34" s="17" t="s">
        <v>4183</v>
      </c>
      <c r="M34" s="17">
        <v>59.0</v>
      </c>
      <c r="N34" s="20">
        <v>45879.0</v>
      </c>
      <c r="O34" s="17" t="s">
        <v>194</v>
      </c>
      <c r="P34" s="147" t="s">
        <v>4424</v>
      </c>
      <c r="Q34" s="147" t="s">
        <v>4425</v>
      </c>
      <c r="R34" s="147" t="s">
        <v>4425</v>
      </c>
      <c r="S34" s="147" t="s">
        <v>4424</v>
      </c>
      <c r="T34" s="147" t="s">
        <v>4428</v>
      </c>
      <c r="U34" s="147" t="s">
        <v>4424</v>
      </c>
      <c r="V34" s="147" t="s">
        <v>4424</v>
      </c>
      <c r="W34" s="147" t="s">
        <v>4424</v>
      </c>
      <c r="X34" s="147" t="s">
        <v>4424</v>
      </c>
      <c r="Y34" s="147" t="s">
        <v>4424</v>
      </c>
      <c r="Z34" s="147" t="s">
        <v>4424</v>
      </c>
      <c r="AA34" s="147" t="s">
        <v>4424</v>
      </c>
      <c r="AB34" s="147" t="s">
        <v>4424</v>
      </c>
      <c r="AC34" s="181" t="s">
        <v>4459</v>
      </c>
      <c r="AD34" s="178"/>
      <c r="AE34" s="18" t="s">
        <v>76</v>
      </c>
    </row>
    <row r="35">
      <c r="A35" s="106">
        <v>18.0</v>
      </c>
      <c r="B35" s="12" t="s">
        <v>43</v>
      </c>
      <c r="C35" s="12" t="s">
        <v>65</v>
      </c>
      <c r="D35" s="12" t="s">
        <v>43</v>
      </c>
      <c r="E35" s="12" t="s">
        <v>203</v>
      </c>
      <c r="F35" s="33" t="s">
        <v>204</v>
      </c>
      <c r="G35" s="12" t="s">
        <v>68</v>
      </c>
      <c r="H35" s="12" t="s">
        <v>205</v>
      </c>
      <c r="I35" s="12" t="s">
        <v>206</v>
      </c>
      <c r="J35" s="17" t="s">
        <v>73</v>
      </c>
      <c r="K35" s="17" t="s">
        <v>74</v>
      </c>
      <c r="L35" s="124" t="s">
        <v>3604</v>
      </c>
      <c r="M35" s="17">
        <v>57.0</v>
      </c>
      <c r="N35" s="20">
        <v>45843.0</v>
      </c>
      <c r="O35" s="17" t="s">
        <v>194</v>
      </c>
      <c r="P35" s="179" t="s">
        <v>4424</v>
      </c>
      <c r="Q35" s="179" t="s">
        <v>4428</v>
      </c>
      <c r="R35" s="179" t="s">
        <v>4424</v>
      </c>
      <c r="S35" s="179" t="s">
        <v>4428</v>
      </c>
      <c r="T35" s="179" t="s">
        <v>4428</v>
      </c>
      <c r="U35" s="179" t="s">
        <v>4428</v>
      </c>
      <c r="V35" s="179" t="s">
        <v>4424</v>
      </c>
      <c r="W35" s="179" t="s">
        <v>4424</v>
      </c>
      <c r="X35" s="179" t="s">
        <v>4425</v>
      </c>
      <c r="Y35" s="179" t="s">
        <v>4424</v>
      </c>
      <c r="Z35" s="179" t="s">
        <v>4428</v>
      </c>
      <c r="AA35" s="179" t="s">
        <v>4428</v>
      </c>
      <c r="AB35" s="179" t="s">
        <v>4424</v>
      </c>
      <c r="AC35" s="182" t="s">
        <v>4460</v>
      </c>
      <c r="AD35" s="143"/>
      <c r="AE35" s="18" t="s">
        <v>76</v>
      </c>
    </row>
    <row r="36" ht="19.5" customHeight="1">
      <c r="A36" s="106">
        <v>19.0</v>
      </c>
      <c r="B36" s="12" t="s">
        <v>43</v>
      </c>
      <c r="C36" s="12" t="s">
        <v>65</v>
      </c>
      <c r="D36" s="12" t="s">
        <v>43</v>
      </c>
      <c r="E36" s="12" t="s">
        <v>203</v>
      </c>
      <c r="F36" s="33" t="s">
        <v>204</v>
      </c>
      <c r="G36" s="12" t="s">
        <v>68</v>
      </c>
      <c r="H36" s="12" t="s">
        <v>205</v>
      </c>
      <c r="I36" s="12" t="s">
        <v>206</v>
      </c>
      <c r="J36" s="17" t="s">
        <v>112</v>
      </c>
      <c r="K36" s="17" t="s">
        <v>1775</v>
      </c>
      <c r="L36" s="116" t="s">
        <v>3603</v>
      </c>
      <c r="M36" s="17">
        <v>49.0</v>
      </c>
      <c r="N36" s="20">
        <v>45840.0</v>
      </c>
      <c r="O36" s="17" t="s">
        <v>194</v>
      </c>
      <c r="P36" s="141" t="s">
        <v>4437</v>
      </c>
      <c r="Q36" s="141" t="s">
        <v>4425</v>
      </c>
      <c r="R36" s="141" t="s">
        <v>4428</v>
      </c>
      <c r="S36" s="141" t="s">
        <v>4428</v>
      </c>
      <c r="T36" s="141" t="s">
        <v>4428</v>
      </c>
      <c r="U36" s="141" t="s">
        <v>4428</v>
      </c>
      <c r="V36" s="141" t="s">
        <v>4424</v>
      </c>
      <c r="W36" s="141" t="s">
        <v>4424</v>
      </c>
      <c r="X36" s="141" t="s">
        <v>4424</v>
      </c>
      <c r="Y36" s="141" t="s">
        <v>4428</v>
      </c>
      <c r="Z36" s="141" t="s">
        <v>4428</v>
      </c>
      <c r="AA36" s="141" t="s">
        <v>4428</v>
      </c>
      <c r="AB36" s="141" t="s">
        <v>4426</v>
      </c>
      <c r="AC36" s="183" t="s">
        <v>4461</v>
      </c>
      <c r="AD36" s="184"/>
      <c r="AE36" s="18" t="s">
        <v>76</v>
      </c>
    </row>
    <row r="37">
      <c r="A37" s="106">
        <v>20.0</v>
      </c>
      <c r="B37" s="12" t="s">
        <v>43</v>
      </c>
      <c r="C37" s="12" t="s">
        <v>65</v>
      </c>
      <c r="D37" s="12" t="s">
        <v>43</v>
      </c>
      <c r="E37" s="12" t="s">
        <v>188</v>
      </c>
      <c r="F37" s="33" t="s">
        <v>189</v>
      </c>
      <c r="G37" s="12" t="s">
        <v>68</v>
      </c>
      <c r="H37" s="12" t="s">
        <v>190</v>
      </c>
      <c r="I37" s="12" t="s">
        <v>191</v>
      </c>
      <c r="J37" s="17" t="s">
        <v>73</v>
      </c>
      <c r="K37" s="17" t="s">
        <v>74</v>
      </c>
      <c r="L37" s="116" t="s">
        <v>3407</v>
      </c>
      <c r="M37" s="17">
        <v>28.0</v>
      </c>
      <c r="N37" s="20">
        <v>45840.0</v>
      </c>
      <c r="O37" s="17" t="s">
        <v>194</v>
      </c>
      <c r="P37" s="144" t="s">
        <v>4428</v>
      </c>
      <c r="Q37" s="144" t="s">
        <v>4428</v>
      </c>
      <c r="R37" s="144" t="s">
        <v>4424</v>
      </c>
      <c r="S37" s="144" t="s">
        <v>4424</v>
      </c>
      <c r="T37" s="144" t="s">
        <v>4424</v>
      </c>
      <c r="U37" s="144" t="s">
        <v>4424</v>
      </c>
      <c r="V37" s="144" t="s">
        <v>4424</v>
      </c>
      <c r="W37" s="144" t="s">
        <v>4428</v>
      </c>
      <c r="X37" s="144" t="s">
        <v>4428</v>
      </c>
      <c r="Y37" s="144" t="s">
        <v>4428</v>
      </c>
      <c r="Z37" s="144" t="s">
        <v>4424</v>
      </c>
      <c r="AA37" s="144" t="s">
        <v>4424</v>
      </c>
      <c r="AB37" s="144" t="s">
        <v>4426</v>
      </c>
      <c r="AC37" s="185" t="s">
        <v>4462</v>
      </c>
      <c r="AD37" s="149"/>
      <c r="AE37" s="18" t="s">
        <v>76</v>
      </c>
    </row>
    <row r="38">
      <c r="A38" s="106">
        <v>21.0</v>
      </c>
      <c r="B38" s="12" t="s">
        <v>43</v>
      </c>
      <c r="C38" s="12" t="s">
        <v>65</v>
      </c>
      <c r="D38" s="12" t="s">
        <v>43</v>
      </c>
      <c r="E38" s="12" t="s">
        <v>66</v>
      </c>
      <c r="F38" s="33" t="s">
        <v>67</v>
      </c>
      <c r="G38" s="12" t="s">
        <v>68</v>
      </c>
      <c r="H38" s="12" t="s">
        <v>69</v>
      </c>
      <c r="I38" s="12" t="s">
        <v>70</v>
      </c>
      <c r="J38" s="17" t="s">
        <v>73</v>
      </c>
      <c r="K38" s="17" t="s">
        <v>74</v>
      </c>
      <c r="L38" s="116" t="s">
        <v>3445</v>
      </c>
      <c r="M38" s="17">
        <v>26.0</v>
      </c>
      <c r="N38" s="20">
        <v>45848.0</v>
      </c>
      <c r="O38" s="17" t="s">
        <v>194</v>
      </c>
      <c r="P38" s="141" t="s">
        <v>4424</v>
      </c>
      <c r="Q38" s="141" t="s">
        <v>4424</v>
      </c>
      <c r="R38" s="141" t="s">
        <v>4428</v>
      </c>
      <c r="S38" s="141" t="s">
        <v>4425</v>
      </c>
      <c r="T38" s="141" t="s">
        <v>4428</v>
      </c>
      <c r="U38" s="141" t="s">
        <v>4424</v>
      </c>
      <c r="V38" s="141" t="s">
        <v>4424</v>
      </c>
      <c r="W38" s="141" t="s">
        <v>4428</v>
      </c>
      <c r="X38" s="141" t="s">
        <v>4428</v>
      </c>
      <c r="Y38" s="141" t="s">
        <v>4424</v>
      </c>
      <c r="Z38" s="141" t="s">
        <v>4425</v>
      </c>
      <c r="AA38" s="141" t="s">
        <v>4428</v>
      </c>
      <c r="AB38" s="141" t="s">
        <v>4425</v>
      </c>
      <c r="AC38" s="183" t="s">
        <v>4463</v>
      </c>
      <c r="AD38" s="186"/>
      <c r="AE38" s="18" t="s">
        <v>76</v>
      </c>
    </row>
    <row r="39">
      <c r="A39" s="106">
        <v>22.0</v>
      </c>
      <c r="B39" s="12" t="s">
        <v>43</v>
      </c>
      <c r="C39" s="12" t="s">
        <v>65</v>
      </c>
      <c r="D39" s="12" t="s">
        <v>43</v>
      </c>
      <c r="E39" s="12" t="s">
        <v>188</v>
      </c>
      <c r="F39" s="33" t="s">
        <v>189</v>
      </c>
      <c r="G39" s="12" t="s">
        <v>68</v>
      </c>
      <c r="H39" s="12" t="s">
        <v>190</v>
      </c>
      <c r="I39" s="12" t="s">
        <v>191</v>
      </c>
      <c r="J39" s="17" t="s">
        <v>108</v>
      </c>
      <c r="K39" s="17" t="s">
        <v>109</v>
      </c>
      <c r="L39" s="17" t="s">
        <v>3408</v>
      </c>
      <c r="M39" s="17">
        <v>30.0</v>
      </c>
      <c r="N39" s="20">
        <v>45853.0</v>
      </c>
      <c r="O39" s="17" t="s">
        <v>194</v>
      </c>
      <c r="P39" s="187" t="s">
        <v>4428</v>
      </c>
      <c r="Q39" s="188" t="s">
        <v>4424</v>
      </c>
      <c r="R39" s="188" t="s">
        <v>4428</v>
      </c>
      <c r="S39" s="188" t="s">
        <v>4428</v>
      </c>
      <c r="T39" s="188" t="s">
        <v>4428</v>
      </c>
      <c r="U39" s="188" t="s">
        <v>4428</v>
      </c>
      <c r="V39" s="188" t="s">
        <v>4424</v>
      </c>
      <c r="W39" s="188" t="s">
        <v>4428</v>
      </c>
      <c r="X39" s="188" t="s">
        <v>4424</v>
      </c>
      <c r="Y39" s="188" t="s">
        <v>4428</v>
      </c>
      <c r="Z39" s="188" t="s">
        <v>4424</v>
      </c>
      <c r="AA39" s="188" t="s">
        <v>4428</v>
      </c>
      <c r="AB39" s="188" t="s">
        <v>4425</v>
      </c>
      <c r="AC39" s="167" t="s">
        <v>4464</v>
      </c>
      <c r="AD39" s="189"/>
      <c r="AE39" s="18" t="s">
        <v>76</v>
      </c>
    </row>
    <row r="40">
      <c r="A40" s="106">
        <v>23.0</v>
      </c>
      <c r="B40" s="12" t="s">
        <v>43</v>
      </c>
      <c r="C40" s="12" t="s">
        <v>65</v>
      </c>
      <c r="D40" s="12" t="s">
        <v>43</v>
      </c>
      <c r="E40" s="12" t="s">
        <v>66</v>
      </c>
      <c r="F40" s="33" t="s">
        <v>67</v>
      </c>
      <c r="G40" s="12" t="s">
        <v>68</v>
      </c>
      <c r="H40" s="12" t="s">
        <v>69</v>
      </c>
      <c r="I40" s="12" t="s">
        <v>70</v>
      </c>
      <c r="J40" s="17" t="s">
        <v>108</v>
      </c>
      <c r="K40" s="17" t="s">
        <v>109</v>
      </c>
      <c r="L40" s="17" t="s">
        <v>4465</v>
      </c>
      <c r="M40" s="17">
        <v>46.0</v>
      </c>
      <c r="N40" s="20">
        <v>45853.0</v>
      </c>
      <c r="O40" s="17" t="s">
        <v>194</v>
      </c>
      <c r="P40" s="171" t="s">
        <v>4424</v>
      </c>
      <c r="Q40" s="172" t="s">
        <v>4424</v>
      </c>
      <c r="R40" s="172" t="s">
        <v>4428</v>
      </c>
      <c r="S40" s="172" t="s">
        <v>4424</v>
      </c>
      <c r="T40" s="172" t="s">
        <v>4424</v>
      </c>
      <c r="U40" s="172" t="s">
        <v>4428</v>
      </c>
      <c r="V40" s="172" t="s">
        <v>4424</v>
      </c>
      <c r="W40" s="172" t="s">
        <v>4424</v>
      </c>
      <c r="X40" s="172" t="s">
        <v>4425</v>
      </c>
      <c r="Y40" s="172" t="s">
        <v>4428</v>
      </c>
      <c r="Z40" s="172" t="s">
        <v>4424</v>
      </c>
      <c r="AA40" s="172" t="s">
        <v>4425</v>
      </c>
      <c r="AB40" s="172" t="s">
        <v>4425</v>
      </c>
      <c r="AC40" s="190" t="s">
        <v>4466</v>
      </c>
      <c r="AD40" s="191"/>
      <c r="AE40" s="18" t="s">
        <v>76</v>
      </c>
    </row>
    <row r="41">
      <c r="A41" s="106"/>
      <c r="B41" s="12" t="s">
        <v>34</v>
      </c>
      <c r="C41" s="12" t="s">
        <v>65</v>
      </c>
      <c r="D41" s="12" t="s">
        <v>102</v>
      </c>
      <c r="E41" s="12" t="s">
        <v>152</v>
      </c>
      <c r="F41" s="33" t="s">
        <v>153</v>
      </c>
      <c r="G41" s="12" t="s">
        <v>68</v>
      </c>
      <c r="H41" s="12" t="s">
        <v>154</v>
      </c>
      <c r="I41" s="12" t="s">
        <v>155</v>
      </c>
      <c r="J41" s="17" t="s">
        <v>108</v>
      </c>
      <c r="K41" s="17" t="s">
        <v>1775</v>
      </c>
      <c r="L41" s="17" t="s">
        <v>2914</v>
      </c>
      <c r="M41" s="17"/>
      <c r="N41" s="20">
        <v>45856.0</v>
      </c>
      <c r="O41" s="17" t="s">
        <v>194</v>
      </c>
      <c r="P41" s="166" t="s">
        <v>4428</v>
      </c>
      <c r="Q41" s="166" t="s">
        <v>4428</v>
      </c>
      <c r="R41" s="166" t="s">
        <v>4428</v>
      </c>
      <c r="S41" s="166" t="s">
        <v>4424</v>
      </c>
      <c r="T41" s="166" t="s">
        <v>4424</v>
      </c>
      <c r="U41" s="166" t="s">
        <v>4424</v>
      </c>
      <c r="V41" s="166" t="s">
        <v>4428</v>
      </c>
      <c r="W41" s="166" t="s">
        <v>4428</v>
      </c>
      <c r="X41" s="166" t="s">
        <v>4428</v>
      </c>
      <c r="Y41" s="166" t="s">
        <v>4424</v>
      </c>
      <c r="Z41" s="166" t="s">
        <v>4426</v>
      </c>
      <c r="AA41" s="166" t="s">
        <v>4428</v>
      </c>
      <c r="AB41" s="166" t="s">
        <v>4428</v>
      </c>
      <c r="AC41" s="167" t="s">
        <v>4454</v>
      </c>
      <c r="AD41" s="168"/>
      <c r="AE41" s="18" t="s">
        <v>92</v>
      </c>
    </row>
    <row r="42">
      <c r="A42" s="106"/>
      <c r="B42" s="12" t="s">
        <v>34</v>
      </c>
      <c r="C42" s="12" t="s">
        <v>65</v>
      </c>
      <c r="D42" s="12" t="s">
        <v>102</v>
      </c>
      <c r="E42" s="12" t="s">
        <v>152</v>
      </c>
      <c r="F42" s="33" t="s">
        <v>153</v>
      </c>
      <c r="G42" s="12" t="s">
        <v>68</v>
      </c>
      <c r="H42" s="12" t="s">
        <v>154</v>
      </c>
      <c r="I42" s="12" t="s">
        <v>155</v>
      </c>
      <c r="J42" s="17" t="s">
        <v>73</v>
      </c>
      <c r="K42" s="17" t="s">
        <v>74</v>
      </c>
      <c r="L42" s="17" t="s">
        <v>2915</v>
      </c>
      <c r="M42" s="17"/>
      <c r="N42" s="20">
        <v>45856.0</v>
      </c>
      <c r="O42" s="17" t="s">
        <v>194</v>
      </c>
      <c r="P42" s="169" t="s">
        <v>4428</v>
      </c>
      <c r="Q42" s="169" t="s">
        <v>4428</v>
      </c>
      <c r="R42" s="169" t="s">
        <v>4428</v>
      </c>
      <c r="S42" s="169" t="s">
        <v>4424</v>
      </c>
      <c r="T42" s="169" t="s">
        <v>4424</v>
      </c>
      <c r="U42" s="169" t="s">
        <v>4424</v>
      </c>
      <c r="V42" s="169" t="s">
        <v>4428</v>
      </c>
      <c r="W42" s="169" t="s">
        <v>4428</v>
      </c>
      <c r="X42" s="169" t="s">
        <v>4424</v>
      </c>
      <c r="Y42" s="169" t="s">
        <v>4424</v>
      </c>
      <c r="Z42" s="169" t="s">
        <v>4426</v>
      </c>
      <c r="AA42" s="169" t="s">
        <v>4428</v>
      </c>
      <c r="AB42" s="169" t="s">
        <v>4437</v>
      </c>
      <c r="AC42" s="192" t="s">
        <v>4467</v>
      </c>
      <c r="AD42" s="168"/>
      <c r="AE42" s="18" t="s">
        <v>92</v>
      </c>
    </row>
    <row r="43">
      <c r="A43" s="106"/>
      <c r="B43" s="12" t="s">
        <v>34</v>
      </c>
      <c r="C43" s="12" t="s">
        <v>65</v>
      </c>
      <c r="D43" s="12" t="s">
        <v>102</v>
      </c>
      <c r="E43" s="12" t="s">
        <v>152</v>
      </c>
      <c r="F43" s="33" t="s">
        <v>153</v>
      </c>
      <c r="G43" s="12" t="s">
        <v>68</v>
      </c>
      <c r="H43" s="12" t="s">
        <v>154</v>
      </c>
      <c r="I43" s="12" t="s">
        <v>155</v>
      </c>
      <c r="J43" s="17" t="s">
        <v>108</v>
      </c>
      <c r="K43" s="17" t="s">
        <v>109</v>
      </c>
      <c r="L43" s="17" t="s">
        <v>2916</v>
      </c>
      <c r="M43" s="17">
        <v>24.0</v>
      </c>
      <c r="N43" s="20">
        <v>45894.0</v>
      </c>
      <c r="O43" s="17" t="s">
        <v>194</v>
      </c>
      <c r="P43" s="166" t="s">
        <v>4424</v>
      </c>
      <c r="Q43" s="166" t="s">
        <v>4425</v>
      </c>
      <c r="R43" s="166" t="s">
        <v>4428</v>
      </c>
      <c r="S43" s="166" t="s">
        <v>4425</v>
      </c>
      <c r="T43" s="166" t="s">
        <v>4424</v>
      </c>
      <c r="U43" s="166" t="s">
        <v>4424</v>
      </c>
      <c r="V43" s="166" t="s">
        <v>4425</v>
      </c>
      <c r="W43" s="166" t="s">
        <v>4424</v>
      </c>
      <c r="X43" s="166" t="s">
        <v>4425</v>
      </c>
      <c r="Y43" s="166" t="s">
        <v>4424</v>
      </c>
      <c r="Z43" s="166" t="s">
        <v>4425</v>
      </c>
      <c r="AA43" s="166" t="s">
        <v>4428</v>
      </c>
      <c r="AB43" s="166" t="s">
        <v>4425</v>
      </c>
      <c r="AC43" s="167" t="s">
        <v>4468</v>
      </c>
      <c r="AD43" s="168"/>
      <c r="AE43" s="18" t="s">
        <v>92</v>
      </c>
    </row>
    <row r="44">
      <c r="A44" s="11"/>
      <c r="B44" s="12" t="s">
        <v>34</v>
      </c>
      <c r="C44" s="12" t="s">
        <v>65</v>
      </c>
      <c r="D44" s="12" t="s">
        <v>83</v>
      </c>
      <c r="E44" s="12" t="s">
        <v>632</v>
      </c>
      <c r="F44" s="33" t="s">
        <v>633</v>
      </c>
      <c r="G44" s="12" t="s">
        <v>4469</v>
      </c>
      <c r="H44" s="12" t="s">
        <v>634</v>
      </c>
      <c r="I44" s="12" t="s">
        <v>4470</v>
      </c>
      <c r="J44" s="17" t="s">
        <v>73</v>
      </c>
      <c r="K44" s="17" t="s">
        <v>1589</v>
      </c>
      <c r="L44" s="17" t="s">
        <v>3935</v>
      </c>
      <c r="M44" s="17">
        <v>30.0</v>
      </c>
      <c r="N44" s="20">
        <v>45847.0</v>
      </c>
      <c r="O44" s="17" t="s">
        <v>194</v>
      </c>
      <c r="P44" s="193" t="s">
        <v>4428</v>
      </c>
      <c r="Q44" s="194" t="s">
        <v>4428</v>
      </c>
      <c r="R44" s="194" t="s">
        <v>4428</v>
      </c>
      <c r="S44" s="194" t="s">
        <v>4428</v>
      </c>
      <c r="T44" s="194" t="s">
        <v>4428</v>
      </c>
      <c r="U44" s="194" t="s">
        <v>4424</v>
      </c>
      <c r="V44" s="194" t="s">
        <v>4428</v>
      </c>
      <c r="W44" s="194" t="s">
        <v>4428</v>
      </c>
      <c r="X44" s="194" t="s">
        <v>4424</v>
      </c>
      <c r="Y44" s="194" t="s">
        <v>4424</v>
      </c>
      <c r="Z44" s="194" t="s">
        <v>4424</v>
      </c>
      <c r="AA44" s="194" t="s">
        <v>4424</v>
      </c>
      <c r="AB44" s="194" t="s">
        <v>4428</v>
      </c>
      <c r="AC44" s="195" t="s">
        <v>4471</v>
      </c>
      <c r="AD44" s="168"/>
      <c r="AE44" s="18" t="s">
        <v>638</v>
      </c>
    </row>
    <row r="45">
      <c r="A45" s="11"/>
      <c r="B45" s="12" t="s">
        <v>34</v>
      </c>
      <c r="C45" s="12" t="s">
        <v>65</v>
      </c>
      <c r="D45" s="12" t="s">
        <v>83</v>
      </c>
      <c r="E45" s="12" t="s">
        <v>632</v>
      </c>
      <c r="F45" s="33" t="s">
        <v>633</v>
      </c>
      <c r="G45" s="12" t="s">
        <v>4469</v>
      </c>
      <c r="H45" s="12" t="s">
        <v>634</v>
      </c>
      <c r="I45" s="12" t="s">
        <v>4470</v>
      </c>
      <c r="J45" s="17" t="s">
        <v>112</v>
      </c>
      <c r="K45" s="17" t="s">
        <v>113</v>
      </c>
      <c r="L45" s="17" t="s">
        <v>3936</v>
      </c>
      <c r="M45" s="17">
        <v>25.0</v>
      </c>
      <c r="N45" s="20">
        <v>45847.0</v>
      </c>
      <c r="O45" s="17" t="s">
        <v>194</v>
      </c>
      <c r="P45" s="196" t="s">
        <v>4424</v>
      </c>
      <c r="Q45" s="196" t="s">
        <v>4424</v>
      </c>
      <c r="R45" s="196" t="s">
        <v>4428</v>
      </c>
      <c r="S45" s="196" t="s">
        <v>4424</v>
      </c>
      <c r="T45" s="196" t="s">
        <v>4428</v>
      </c>
      <c r="U45" s="196" t="s">
        <v>4428</v>
      </c>
      <c r="V45" s="196" t="s">
        <v>4424</v>
      </c>
      <c r="W45" s="196" t="s">
        <v>4424</v>
      </c>
      <c r="X45" s="196" t="s">
        <v>4424</v>
      </c>
      <c r="Y45" s="196" t="s">
        <v>4424</v>
      </c>
      <c r="Z45" s="196" t="s">
        <v>4428</v>
      </c>
      <c r="AA45" s="196" t="s">
        <v>4428</v>
      </c>
      <c r="AB45" s="196" t="s">
        <v>4425</v>
      </c>
      <c r="AC45" s="197" t="s">
        <v>4472</v>
      </c>
      <c r="AD45" s="168"/>
      <c r="AE45" s="18" t="s">
        <v>638</v>
      </c>
    </row>
    <row r="46">
      <c r="A46" s="11"/>
      <c r="B46" s="12" t="s">
        <v>34</v>
      </c>
      <c r="C46" s="12" t="s">
        <v>65</v>
      </c>
      <c r="D46" s="12" t="s">
        <v>83</v>
      </c>
      <c r="E46" s="12" t="s">
        <v>632</v>
      </c>
      <c r="F46" s="33" t="s">
        <v>633</v>
      </c>
      <c r="G46" s="12" t="s">
        <v>4469</v>
      </c>
      <c r="H46" s="12" t="s">
        <v>634</v>
      </c>
      <c r="I46" s="12" t="s">
        <v>4470</v>
      </c>
      <c r="J46" s="17" t="s">
        <v>108</v>
      </c>
      <c r="K46" s="17" t="s">
        <v>109</v>
      </c>
      <c r="L46" s="17" t="s">
        <v>3937</v>
      </c>
      <c r="M46" s="17">
        <v>25.0</v>
      </c>
      <c r="N46" s="20">
        <v>45847.0</v>
      </c>
      <c r="O46" s="17" t="s">
        <v>194</v>
      </c>
      <c r="P46" s="171" t="s">
        <v>4425</v>
      </c>
      <c r="Q46" s="172" t="s">
        <v>4428</v>
      </c>
      <c r="R46" s="172" t="s">
        <v>4424</v>
      </c>
      <c r="S46" s="172" t="s">
        <v>4428</v>
      </c>
      <c r="T46" s="172" t="s">
        <v>4428</v>
      </c>
      <c r="U46" s="172" t="s">
        <v>4424</v>
      </c>
      <c r="V46" s="172" t="s">
        <v>4424</v>
      </c>
      <c r="W46" s="172" t="s">
        <v>4428</v>
      </c>
      <c r="X46" s="172" t="s">
        <v>4424</v>
      </c>
      <c r="Y46" s="172" t="s">
        <v>4428</v>
      </c>
      <c r="Z46" s="172" t="s">
        <v>4425</v>
      </c>
      <c r="AA46" s="172" t="s">
        <v>4428</v>
      </c>
      <c r="AB46" s="172" t="s">
        <v>4425</v>
      </c>
      <c r="AC46" s="190" t="s">
        <v>4473</v>
      </c>
      <c r="AD46" s="168"/>
      <c r="AE46" s="18" t="s">
        <v>638</v>
      </c>
    </row>
    <row r="47">
      <c r="A47" s="11"/>
      <c r="B47" s="12" t="s">
        <v>34</v>
      </c>
      <c r="C47" s="12" t="s">
        <v>65</v>
      </c>
      <c r="D47" s="12" t="s">
        <v>83</v>
      </c>
      <c r="E47" s="12" t="s">
        <v>632</v>
      </c>
      <c r="F47" s="33" t="s">
        <v>633</v>
      </c>
      <c r="G47" s="12" t="s">
        <v>4469</v>
      </c>
      <c r="H47" s="12" t="s">
        <v>634</v>
      </c>
      <c r="I47" s="12" t="s">
        <v>4470</v>
      </c>
      <c r="J47" s="17" t="s">
        <v>112</v>
      </c>
      <c r="K47" s="17" t="s">
        <v>3929</v>
      </c>
      <c r="L47" s="17" t="s">
        <v>3938</v>
      </c>
      <c r="M47" s="17">
        <v>27.0</v>
      </c>
      <c r="N47" s="20">
        <v>45847.0</v>
      </c>
      <c r="O47" s="17" t="s">
        <v>194</v>
      </c>
      <c r="P47" s="196" t="s">
        <v>4428</v>
      </c>
      <c r="Q47" s="196" t="s">
        <v>4428</v>
      </c>
      <c r="R47" s="196" t="s">
        <v>4428</v>
      </c>
      <c r="S47" s="196" t="s">
        <v>4424</v>
      </c>
      <c r="T47" s="196" t="s">
        <v>4424</v>
      </c>
      <c r="U47" s="196" t="s">
        <v>4424</v>
      </c>
      <c r="V47" s="196" t="s">
        <v>4424</v>
      </c>
      <c r="W47" s="196" t="s">
        <v>4424</v>
      </c>
      <c r="X47" s="196" t="s">
        <v>4428</v>
      </c>
      <c r="Y47" s="196" t="s">
        <v>4424</v>
      </c>
      <c r="Z47" s="196" t="s">
        <v>4424</v>
      </c>
      <c r="AA47" s="196" t="s">
        <v>4428</v>
      </c>
      <c r="AB47" s="196" t="s">
        <v>4425</v>
      </c>
      <c r="AC47" s="197" t="s">
        <v>4474</v>
      </c>
      <c r="AD47" s="168"/>
      <c r="AE47" s="18" t="s">
        <v>638</v>
      </c>
    </row>
    <row r="48">
      <c r="A48" s="11"/>
      <c r="B48" s="12" t="s">
        <v>34</v>
      </c>
      <c r="C48" s="12" t="s">
        <v>65</v>
      </c>
      <c r="D48" s="12" t="s">
        <v>43</v>
      </c>
      <c r="E48" s="12" t="s">
        <v>2451</v>
      </c>
      <c r="F48" s="45" t="s">
        <v>667</v>
      </c>
      <c r="G48" s="12" t="s">
        <v>68</v>
      </c>
      <c r="H48" s="12" t="s">
        <v>668</v>
      </c>
      <c r="I48" s="12" t="s">
        <v>669</v>
      </c>
      <c r="J48" s="17" t="s">
        <v>73</v>
      </c>
      <c r="K48" s="17" t="s">
        <v>3653</v>
      </c>
      <c r="L48" s="17" t="s">
        <v>3914</v>
      </c>
      <c r="M48" s="40"/>
      <c r="N48" s="14">
        <v>45847.0</v>
      </c>
      <c r="O48" s="17" t="s">
        <v>194</v>
      </c>
      <c r="P48" s="198" t="s">
        <v>4425</v>
      </c>
      <c r="Q48" s="198" t="s">
        <v>4428</v>
      </c>
      <c r="R48" s="198" t="s">
        <v>4428</v>
      </c>
      <c r="S48" s="198" t="s">
        <v>4428</v>
      </c>
      <c r="T48" s="198" t="s">
        <v>4428</v>
      </c>
      <c r="U48" s="198" t="s">
        <v>4428</v>
      </c>
      <c r="V48" s="198" t="s">
        <v>4428</v>
      </c>
      <c r="W48" s="198" t="s">
        <v>4428</v>
      </c>
      <c r="X48" s="198" t="s">
        <v>4428</v>
      </c>
      <c r="Y48" s="198" t="s">
        <v>4428</v>
      </c>
      <c r="Z48" s="198" t="s">
        <v>4424</v>
      </c>
      <c r="AA48" s="198" t="s">
        <v>4424</v>
      </c>
      <c r="AB48" s="198" t="s">
        <v>4426</v>
      </c>
      <c r="AC48" s="199" t="s">
        <v>4475</v>
      </c>
      <c r="AD48" s="168"/>
      <c r="AE48" s="18" t="s">
        <v>638</v>
      </c>
    </row>
    <row r="49">
      <c r="A49" s="11"/>
      <c r="B49" s="12" t="s">
        <v>34</v>
      </c>
      <c r="C49" s="12" t="s">
        <v>65</v>
      </c>
      <c r="D49" s="12" t="s">
        <v>43</v>
      </c>
      <c r="E49" s="12" t="s">
        <v>2451</v>
      </c>
      <c r="F49" s="45" t="s">
        <v>667</v>
      </c>
      <c r="G49" s="12" t="s">
        <v>68</v>
      </c>
      <c r="H49" s="12" t="s">
        <v>668</v>
      </c>
      <c r="I49" s="12" t="s">
        <v>669</v>
      </c>
      <c r="J49" s="17" t="s">
        <v>73</v>
      </c>
      <c r="K49" s="17" t="s">
        <v>2055</v>
      </c>
      <c r="L49" s="17" t="s">
        <v>3915</v>
      </c>
      <c r="M49" s="17">
        <v>24.0</v>
      </c>
      <c r="N49" s="20">
        <v>45847.0</v>
      </c>
      <c r="O49" s="17" t="s">
        <v>194</v>
      </c>
      <c r="P49" s="196" t="s">
        <v>4424</v>
      </c>
      <c r="Q49" s="196" t="s">
        <v>4425</v>
      </c>
      <c r="R49" s="196" t="s">
        <v>4428</v>
      </c>
      <c r="S49" s="196" t="s">
        <v>4424</v>
      </c>
      <c r="T49" s="196" t="s">
        <v>4428</v>
      </c>
      <c r="U49" s="196" t="s">
        <v>4428</v>
      </c>
      <c r="V49" s="196" t="s">
        <v>4425</v>
      </c>
      <c r="W49" s="196" t="s">
        <v>4424</v>
      </c>
      <c r="X49" s="196" t="s">
        <v>4428</v>
      </c>
      <c r="Y49" s="196" t="s">
        <v>4425</v>
      </c>
      <c r="Z49" s="196" t="s">
        <v>4425</v>
      </c>
      <c r="AA49" s="196" t="s">
        <v>4424</v>
      </c>
      <c r="AB49" s="196" t="s">
        <v>4426</v>
      </c>
      <c r="AC49" s="197" t="s">
        <v>4476</v>
      </c>
      <c r="AD49" s="168"/>
      <c r="AE49" s="18" t="s">
        <v>638</v>
      </c>
    </row>
    <row r="50">
      <c r="A50" s="11"/>
      <c r="B50" s="12" t="s">
        <v>34</v>
      </c>
      <c r="C50" s="12" t="s">
        <v>65</v>
      </c>
      <c r="D50" s="12" t="s">
        <v>43</v>
      </c>
      <c r="E50" s="12" t="s">
        <v>691</v>
      </c>
      <c r="F50" s="33" t="s">
        <v>692</v>
      </c>
      <c r="G50" s="12" t="s">
        <v>68</v>
      </c>
      <c r="H50" s="12" t="s">
        <v>693</v>
      </c>
      <c r="I50" s="12" t="s">
        <v>694</v>
      </c>
      <c r="J50" s="17" t="s">
        <v>73</v>
      </c>
      <c r="K50" s="17" t="s">
        <v>3922</v>
      </c>
      <c r="L50" s="17" t="s">
        <v>3925</v>
      </c>
      <c r="M50" s="17">
        <v>48.0</v>
      </c>
      <c r="N50" s="20">
        <v>45848.0</v>
      </c>
      <c r="O50" s="17" t="s">
        <v>194</v>
      </c>
      <c r="P50" s="198" t="s">
        <v>4424</v>
      </c>
      <c r="Q50" s="198" t="s">
        <v>4426</v>
      </c>
      <c r="R50" s="198" t="s">
        <v>4428</v>
      </c>
      <c r="S50" s="198" t="s">
        <v>4424</v>
      </c>
      <c r="T50" s="198" t="s">
        <v>4428</v>
      </c>
      <c r="U50" s="198" t="s">
        <v>4424</v>
      </c>
      <c r="V50" s="198" t="s">
        <v>4428</v>
      </c>
      <c r="W50" s="198" t="s">
        <v>4428</v>
      </c>
      <c r="X50" s="198" t="s">
        <v>4428</v>
      </c>
      <c r="Y50" s="198" t="s">
        <v>4424</v>
      </c>
      <c r="Z50" s="198" t="s">
        <v>4426</v>
      </c>
      <c r="AA50" s="198" t="s">
        <v>4424</v>
      </c>
      <c r="AB50" s="198" t="s">
        <v>4425</v>
      </c>
      <c r="AC50" s="199" t="s">
        <v>4477</v>
      </c>
      <c r="AD50" s="168"/>
      <c r="AE50" s="18" t="s">
        <v>638</v>
      </c>
    </row>
    <row r="51">
      <c r="A51" s="11"/>
      <c r="B51" s="12" t="s">
        <v>34</v>
      </c>
      <c r="C51" s="12" t="s">
        <v>65</v>
      </c>
      <c r="D51" s="12" t="s">
        <v>43</v>
      </c>
      <c r="E51" s="12" t="s">
        <v>691</v>
      </c>
      <c r="F51" s="33" t="s">
        <v>692</v>
      </c>
      <c r="G51" s="12" t="s">
        <v>68</v>
      </c>
      <c r="H51" s="12" t="s">
        <v>693</v>
      </c>
      <c r="I51" s="12" t="s">
        <v>694</v>
      </c>
      <c r="J51" s="17" t="s">
        <v>73</v>
      </c>
      <c r="K51" s="17" t="s">
        <v>74</v>
      </c>
      <c r="L51" s="17" t="s">
        <v>3927</v>
      </c>
      <c r="M51" s="17">
        <v>27.0</v>
      </c>
      <c r="N51" s="20">
        <v>45848.0</v>
      </c>
      <c r="O51" s="17" t="s">
        <v>194</v>
      </c>
      <c r="P51" s="196" t="s">
        <v>4424</v>
      </c>
      <c r="Q51" s="196" t="s">
        <v>4424</v>
      </c>
      <c r="R51" s="196" t="s">
        <v>4428</v>
      </c>
      <c r="S51" s="196" t="s">
        <v>4428</v>
      </c>
      <c r="T51" s="196" t="s">
        <v>4428</v>
      </c>
      <c r="U51" s="196" t="s">
        <v>4428</v>
      </c>
      <c r="V51" s="196" t="s">
        <v>4424</v>
      </c>
      <c r="W51" s="196" t="s">
        <v>4428</v>
      </c>
      <c r="X51" s="196" t="s">
        <v>4428</v>
      </c>
      <c r="Y51" s="196" t="s">
        <v>4428</v>
      </c>
      <c r="Z51" s="196" t="s">
        <v>4425</v>
      </c>
      <c r="AA51" s="196" t="s">
        <v>4428</v>
      </c>
      <c r="AB51" s="196" t="s">
        <v>4424</v>
      </c>
      <c r="AC51" s="197" t="s">
        <v>4478</v>
      </c>
      <c r="AD51" s="168"/>
      <c r="AE51" s="18" t="s">
        <v>638</v>
      </c>
    </row>
    <row r="52">
      <c r="A52" s="11"/>
      <c r="B52" s="12" t="s">
        <v>34</v>
      </c>
      <c r="C52" s="12" t="s">
        <v>65</v>
      </c>
      <c r="D52" s="12" t="s">
        <v>43</v>
      </c>
      <c r="E52" s="12" t="s">
        <v>691</v>
      </c>
      <c r="F52" s="33" t="s">
        <v>692</v>
      </c>
      <c r="G52" s="12" t="s">
        <v>68</v>
      </c>
      <c r="H52" s="12" t="s">
        <v>693</v>
      </c>
      <c r="I52" s="12" t="s">
        <v>694</v>
      </c>
      <c r="J52" s="17" t="s">
        <v>108</v>
      </c>
      <c r="K52" s="17" t="s">
        <v>109</v>
      </c>
      <c r="L52" s="17" t="s">
        <v>3928</v>
      </c>
      <c r="M52" s="17">
        <v>41.0</v>
      </c>
      <c r="N52" s="20">
        <v>45848.0</v>
      </c>
      <c r="O52" s="17" t="s">
        <v>194</v>
      </c>
      <c r="P52" s="198" t="s">
        <v>4424</v>
      </c>
      <c r="Q52" s="198" t="s">
        <v>4425</v>
      </c>
      <c r="R52" s="198" t="s">
        <v>4424</v>
      </c>
      <c r="S52" s="198" t="s">
        <v>4428</v>
      </c>
      <c r="T52" s="198" t="s">
        <v>4428</v>
      </c>
      <c r="U52" s="198" t="s">
        <v>4428</v>
      </c>
      <c r="V52" s="198" t="s">
        <v>4428</v>
      </c>
      <c r="W52" s="198" t="s">
        <v>4424</v>
      </c>
      <c r="X52" s="198" t="s">
        <v>4428</v>
      </c>
      <c r="Y52" s="198" t="s">
        <v>4428</v>
      </c>
      <c r="Z52" s="198" t="s">
        <v>4426</v>
      </c>
      <c r="AA52" s="198" t="s">
        <v>4424</v>
      </c>
      <c r="AB52" s="198" t="s">
        <v>4426</v>
      </c>
      <c r="AC52" s="199" t="s">
        <v>4479</v>
      </c>
      <c r="AD52" s="168"/>
      <c r="AE52" s="18" t="s">
        <v>638</v>
      </c>
    </row>
    <row r="53">
      <c r="A53" s="11"/>
      <c r="B53" s="12" t="s">
        <v>34</v>
      </c>
      <c r="C53" s="12" t="s">
        <v>65</v>
      </c>
      <c r="D53" s="12" t="s">
        <v>43</v>
      </c>
      <c r="E53" s="12" t="s">
        <v>691</v>
      </c>
      <c r="F53" s="33" t="s">
        <v>692</v>
      </c>
      <c r="G53" s="12" t="s">
        <v>68</v>
      </c>
      <c r="H53" s="12" t="s">
        <v>693</v>
      </c>
      <c r="I53" s="12" t="s">
        <v>694</v>
      </c>
      <c r="J53" s="17" t="s">
        <v>73</v>
      </c>
      <c r="K53" s="17" t="s">
        <v>3929</v>
      </c>
      <c r="L53" s="17" t="s">
        <v>3406</v>
      </c>
      <c r="M53" s="17">
        <v>59.0</v>
      </c>
      <c r="N53" s="20">
        <v>45848.0</v>
      </c>
      <c r="O53" s="17" t="s">
        <v>194</v>
      </c>
      <c r="P53" s="196" t="s">
        <v>4424</v>
      </c>
      <c r="Q53" s="161" t="s">
        <v>4424</v>
      </c>
      <c r="R53" s="196" t="s">
        <v>4424</v>
      </c>
      <c r="S53" s="196" t="s">
        <v>4424</v>
      </c>
      <c r="T53" s="196" t="s">
        <v>4424</v>
      </c>
      <c r="U53" s="196" t="s">
        <v>4424</v>
      </c>
      <c r="V53" s="196" t="s">
        <v>4424</v>
      </c>
      <c r="W53" s="196" t="s">
        <v>4424</v>
      </c>
      <c r="X53" s="196" t="s">
        <v>4424</v>
      </c>
      <c r="Y53" s="196" t="s">
        <v>4424</v>
      </c>
      <c r="Z53" s="196" t="s">
        <v>4424</v>
      </c>
      <c r="AA53" s="196" t="s">
        <v>4424</v>
      </c>
      <c r="AB53" s="196" t="s">
        <v>4424</v>
      </c>
      <c r="AC53" s="197" t="s">
        <v>4480</v>
      </c>
      <c r="AD53" s="168"/>
      <c r="AE53" s="18" t="s">
        <v>638</v>
      </c>
    </row>
    <row r="54">
      <c r="A54" s="11"/>
      <c r="B54" s="12" t="s">
        <v>34</v>
      </c>
      <c r="C54" s="12" t="s">
        <v>65</v>
      </c>
      <c r="D54" s="12" t="s">
        <v>43</v>
      </c>
      <c r="E54" s="12" t="s">
        <v>691</v>
      </c>
      <c r="F54" s="33" t="s">
        <v>692</v>
      </c>
      <c r="G54" s="12" t="s">
        <v>68</v>
      </c>
      <c r="H54" s="12" t="s">
        <v>693</v>
      </c>
      <c r="I54" s="12" t="s">
        <v>694</v>
      </c>
      <c r="J54" s="17" t="s">
        <v>112</v>
      </c>
      <c r="K54" s="17" t="s">
        <v>113</v>
      </c>
      <c r="L54" s="17" t="s">
        <v>3405</v>
      </c>
      <c r="M54" s="40"/>
      <c r="N54" s="20">
        <v>45848.0</v>
      </c>
      <c r="O54" s="17" t="s">
        <v>194</v>
      </c>
      <c r="P54" s="198" t="s">
        <v>4424</v>
      </c>
      <c r="Q54" s="198" t="s">
        <v>4424</v>
      </c>
      <c r="R54" s="198" t="s">
        <v>4424</v>
      </c>
      <c r="S54" s="198" t="s">
        <v>4424</v>
      </c>
      <c r="T54" s="198" t="s">
        <v>4424</v>
      </c>
      <c r="U54" s="198" t="s">
        <v>4424</v>
      </c>
      <c r="V54" s="198" t="s">
        <v>4424</v>
      </c>
      <c r="W54" s="198" t="s">
        <v>4424</v>
      </c>
      <c r="X54" s="198" t="s">
        <v>4424</v>
      </c>
      <c r="Y54" s="198" t="s">
        <v>4424</v>
      </c>
      <c r="Z54" s="198" t="s">
        <v>4424</v>
      </c>
      <c r="AA54" s="198" t="s">
        <v>4424</v>
      </c>
      <c r="AB54" s="198" t="s">
        <v>4424</v>
      </c>
      <c r="AC54" s="199" t="s">
        <v>4481</v>
      </c>
      <c r="AD54" s="168"/>
      <c r="AE54" s="18" t="s">
        <v>638</v>
      </c>
    </row>
    <row r="55">
      <c r="A55" s="11"/>
      <c r="B55" s="12" t="s">
        <v>43</v>
      </c>
      <c r="C55" s="12" t="s">
        <v>65</v>
      </c>
      <c r="D55" s="12" t="s">
        <v>43</v>
      </c>
      <c r="E55" s="12" t="s">
        <v>717</v>
      </c>
      <c r="F55" s="33" t="s">
        <v>718</v>
      </c>
      <c r="G55" s="12" t="s">
        <v>68</v>
      </c>
      <c r="H55" s="12" t="s">
        <v>719</v>
      </c>
      <c r="I55" s="12" t="s">
        <v>720</v>
      </c>
      <c r="J55" s="17" t="s">
        <v>112</v>
      </c>
      <c r="K55" s="17" t="s">
        <v>113</v>
      </c>
      <c r="L55" s="17" t="s">
        <v>3919</v>
      </c>
      <c r="M55" s="17">
        <v>39.0</v>
      </c>
      <c r="N55" s="20">
        <v>45849.0</v>
      </c>
      <c r="O55" s="17" t="s">
        <v>194</v>
      </c>
      <c r="P55" s="196" t="s">
        <v>4426</v>
      </c>
      <c r="Q55" s="196" t="s">
        <v>4425</v>
      </c>
      <c r="R55" s="196" t="s">
        <v>4424</v>
      </c>
      <c r="S55" s="196" t="s">
        <v>4428</v>
      </c>
      <c r="T55" s="196" t="s">
        <v>4424</v>
      </c>
      <c r="U55" s="196" t="s">
        <v>4428</v>
      </c>
      <c r="V55" s="196" t="s">
        <v>4425</v>
      </c>
      <c r="W55" s="196" t="s">
        <v>4428</v>
      </c>
      <c r="X55" s="196" t="s">
        <v>4428</v>
      </c>
      <c r="Y55" s="196" t="s">
        <v>4424</v>
      </c>
      <c r="Z55" s="196" t="s">
        <v>4424</v>
      </c>
      <c r="AA55" s="196" t="s">
        <v>4428</v>
      </c>
      <c r="AB55" s="196" t="s">
        <v>4425</v>
      </c>
      <c r="AC55" s="197" t="s">
        <v>4482</v>
      </c>
      <c r="AD55" s="168"/>
      <c r="AE55" s="18" t="s">
        <v>638</v>
      </c>
    </row>
    <row r="56">
      <c r="A56" s="11"/>
      <c r="B56" s="12" t="s">
        <v>43</v>
      </c>
      <c r="C56" s="12" t="s">
        <v>65</v>
      </c>
      <c r="D56" s="12" t="s">
        <v>43</v>
      </c>
      <c r="E56" s="12" t="s">
        <v>717</v>
      </c>
      <c r="F56" s="33" t="s">
        <v>718</v>
      </c>
      <c r="G56" s="12" t="s">
        <v>68</v>
      </c>
      <c r="H56" s="12" t="s">
        <v>719</v>
      </c>
      <c r="I56" s="12" t="s">
        <v>720</v>
      </c>
      <c r="J56" s="17" t="s">
        <v>73</v>
      </c>
      <c r="K56" s="17" t="s">
        <v>74</v>
      </c>
      <c r="L56" s="17" t="s">
        <v>3920</v>
      </c>
      <c r="M56" s="17">
        <v>45.0</v>
      </c>
      <c r="N56" s="20">
        <v>45849.0</v>
      </c>
      <c r="O56" s="17" t="s">
        <v>194</v>
      </c>
      <c r="P56" s="198" t="s">
        <v>4424</v>
      </c>
      <c r="Q56" s="198" t="s">
        <v>4425</v>
      </c>
      <c r="R56" s="198" t="s">
        <v>4428</v>
      </c>
      <c r="S56" s="198" t="s">
        <v>4424</v>
      </c>
      <c r="T56" s="198" t="s">
        <v>4428</v>
      </c>
      <c r="U56" s="198" t="s">
        <v>4428</v>
      </c>
      <c r="V56" s="198" t="s">
        <v>4424</v>
      </c>
      <c r="W56" s="198" t="s">
        <v>4424</v>
      </c>
      <c r="X56" s="198" t="s">
        <v>4428</v>
      </c>
      <c r="Y56" s="198" t="s">
        <v>4424</v>
      </c>
      <c r="Z56" s="198" t="s">
        <v>4428</v>
      </c>
      <c r="AA56" s="198" t="s">
        <v>4428</v>
      </c>
      <c r="AB56" s="198" t="s">
        <v>4424</v>
      </c>
      <c r="AC56" s="199" t="s">
        <v>4483</v>
      </c>
      <c r="AD56" s="168"/>
      <c r="AE56" s="18" t="s">
        <v>638</v>
      </c>
    </row>
    <row r="57">
      <c r="A57" s="11"/>
      <c r="B57" s="12" t="s">
        <v>43</v>
      </c>
      <c r="C57" s="12" t="s">
        <v>65</v>
      </c>
      <c r="D57" s="12" t="s">
        <v>43</v>
      </c>
      <c r="E57" s="12" t="s">
        <v>717</v>
      </c>
      <c r="F57" s="33" t="s">
        <v>718</v>
      </c>
      <c r="G57" s="12" t="s">
        <v>68</v>
      </c>
      <c r="H57" s="12" t="s">
        <v>719</v>
      </c>
      <c r="I57" s="12" t="s">
        <v>720</v>
      </c>
      <c r="J57" s="17" t="s">
        <v>73</v>
      </c>
      <c r="K57" s="17" t="s">
        <v>3922</v>
      </c>
      <c r="L57" s="17" t="s">
        <v>3921</v>
      </c>
      <c r="M57" s="17">
        <v>44.0</v>
      </c>
      <c r="N57" s="20">
        <v>45849.0</v>
      </c>
      <c r="O57" s="17" t="s">
        <v>194</v>
      </c>
      <c r="P57" s="196" t="s">
        <v>4424</v>
      </c>
      <c r="Q57" s="196" t="s">
        <v>4424</v>
      </c>
      <c r="R57" s="196" t="s">
        <v>4424</v>
      </c>
      <c r="S57" s="196" t="s">
        <v>4424</v>
      </c>
      <c r="T57" s="196" t="s">
        <v>4424</v>
      </c>
      <c r="U57" s="196" t="s">
        <v>4428</v>
      </c>
      <c r="V57" s="196" t="s">
        <v>4424</v>
      </c>
      <c r="W57" s="196" t="s">
        <v>4424</v>
      </c>
      <c r="X57" s="196" t="s">
        <v>4424</v>
      </c>
      <c r="Y57" s="196" t="s">
        <v>4428</v>
      </c>
      <c r="Z57" s="196" t="s">
        <v>4428</v>
      </c>
      <c r="AA57" s="196" t="s">
        <v>4428</v>
      </c>
      <c r="AB57" s="196" t="s">
        <v>4424</v>
      </c>
      <c r="AC57" s="197" t="s">
        <v>4484</v>
      </c>
      <c r="AD57" s="168"/>
      <c r="AE57" s="18" t="s">
        <v>638</v>
      </c>
    </row>
    <row r="58">
      <c r="A58" s="11"/>
      <c r="B58" s="12" t="s">
        <v>43</v>
      </c>
      <c r="C58" s="12" t="s">
        <v>65</v>
      </c>
      <c r="D58" s="12" t="s">
        <v>43</v>
      </c>
      <c r="E58" s="12" t="s">
        <v>717</v>
      </c>
      <c r="F58" s="33" t="s">
        <v>718</v>
      </c>
      <c r="G58" s="12" t="s">
        <v>68</v>
      </c>
      <c r="H58" s="12" t="s">
        <v>719</v>
      </c>
      <c r="I58" s="12" t="s">
        <v>720</v>
      </c>
      <c r="J58" s="17" t="s">
        <v>108</v>
      </c>
      <c r="K58" s="17" t="s">
        <v>109</v>
      </c>
      <c r="L58" s="17" t="s">
        <v>3924</v>
      </c>
      <c r="M58" s="17">
        <v>46.0</v>
      </c>
      <c r="N58" s="20">
        <v>45849.0</v>
      </c>
      <c r="O58" s="17" t="s">
        <v>194</v>
      </c>
      <c r="P58" s="198" t="s">
        <v>4428</v>
      </c>
      <c r="Q58" s="198" t="s">
        <v>4424</v>
      </c>
      <c r="R58" s="198" t="s">
        <v>4428</v>
      </c>
      <c r="S58" s="198" t="s">
        <v>4428</v>
      </c>
      <c r="T58" s="198" t="s">
        <v>4428</v>
      </c>
      <c r="U58" s="198" t="s">
        <v>4428</v>
      </c>
      <c r="V58" s="198" t="s">
        <v>4428</v>
      </c>
      <c r="W58" s="198" t="s">
        <v>4428</v>
      </c>
      <c r="X58" s="198" t="s">
        <v>4424</v>
      </c>
      <c r="Y58" s="198" t="s">
        <v>4428</v>
      </c>
      <c r="Z58" s="198" t="s">
        <v>4424</v>
      </c>
      <c r="AA58" s="198" t="s">
        <v>4424</v>
      </c>
      <c r="AB58" s="198" t="s">
        <v>4425</v>
      </c>
      <c r="AC58" s="199" t="s">
        <v>4485</v>
      </c>
      <c r="AD58" s="168"/>
      <c r="AE58" s="18" t="s">
        <v>638</v>
      </c>
    </row>
    <row r="59">
      <c r="A59" s="11"/>
      <c r="B59" s="12" t="s">
        <v>43</v>
      </c>
      <c r="C59" s="12" t="s">
        <v>65</v>
      </c>
      <c r="D59" s="12" t="s">
        <v>43</v>
      </c>
      <c r="E59" s="12" t="s">
        <v>773</v>
      </c>
      <c r="F59" s="13" t="s">
        <v>774</v>
      </c>
      <c r="G59" s="12" t="s">
        <v>68</v>
      </c>
      <c r="H59" s="12" t="s">
        <v>775</v>
      </c>
      <c r="I59" s="12" t="s">
        <v>776</v>
      </c>
      <c r="J59" s="17" t="s">
        <v>73</v>
      </c>
      <c r="K59" s="17" t="s">
        <v>1775</v>
      </c>
      <c r="L59" s="17" t="s">
        <v>3931</v>
      </c>
      <c r="M59" s="17">
        <v>25.0</v>
      </c>
      <c r="N59" s="20">
        <v>45840.0</v>
      </c>
      <c r="O59" s="17" t="s">
        <v>194</v>
      </c>
      <c r="P59" s="196" t="s">
        <v>4425</v>
      </c>
      <c r="Q59" s="196" t="s">
        <v>4428</v>
      </c>
      <c r="R59" s="196" t="s">
        <v>4428</v>
      </c>
      <c r="S59" s="196" t="s">
        <v>4428</v>
      </c>
      <c r="T59" s="196" t="s">
        <v>4428</v>
      </c>
      <c r="U59" s="196" t="s">
        <v>4424</v>
      </c>
      <c r="V59" s="196" t="s">
        <v>4428</v>
      </c>
      <c r="W59" s="196" t="s">
        <v>4424</v>
      </c>
      <c r="X59" s="196" t="s">
        <v>4428</v>
      </c>
      <c r="Y59" s="196" t="s">
        <v>4428</v>
      </c>
      <c r="Z59" s="196" t="s">
        <v>4425</v>
      </c>
      <c r="AA59" s="196" t="s">
        <v>4424</v>
      </c>
      <c r="AB59" s="196" t="s">
        <v>4425</v>
      </c>
      <c r="AC59" s="197" t="s">
        <v>4486</v>
      </c>
      <c r="AD59" s="168"/>
      <c r="AE59" s="18" t="s">
        <v>638</v>
      </c>
    </row>
    <row r="60">
      <c r="A60" s="11"/>
      <c r="B60" s="12" t="s">
        <v>43</v>
      </c>
      <c r="C60" s="12" t="s">
        <v>65</v>
      </c>
      <c r="D60" s="12" t="s">
        <v>43</v>
      </c>
      <c r="E60" s="12" t="s">
        <v>773</v>
      </c>
      <c r="F60" s="13" t="s">
        <v>774</v>
      </c>
      <c r="G60" s="12" t="s">
        <v>68</v>
      </c>
      <c r="H60" s="12" t="s">
        <v>775</v>
      </c>
      <c r="I60" s="12" t="s">
        <v>776</v>
      </c>
      <c r="J60" s="17" t="s">
        <v>73</v>
      </c>
      <c r="K60" s="17" t="s">
        <v>74</v>
      </c>
      <c r="L60" s="17" t="s">
        <v>3934</v>
      </c>
      <c r="M60" s="40"/>
      <c r="N60" s="20">
        <v>45840.0</v>
      </c>
      <c r="O60" s="17" t="s">
        <v>194</v>
      </c>
      <c r="P60" s="198" t="s">
        <v>4424</v>
      </c>
      <c r="Q60" s="198" t="s">
        <v>4425</v>
      </c>
      <c r="R60" s="198" t="s">
        <v>4424</v>
      </c>
      <c r="S60" s="198" t="s">
        <v>4428</v>
      </c>
      <c r="T60" s="198" t="s">
        <v>4424</v>
      </c>
      <c r="U60" s="198" t="s">
        <v>4428</v>
      </c>
      <c r="V60" s="198" t="s">
        <v>4425</v>
      </c>
      <c r="W60" s="198" t="s">
        <v>4424</v>
      </c>
      <c r="X60" s="198" t="s">
        <v>4428</v>
      </c>
      <c r="Y60" s="198" t="s">
        <v>4428</v>
      </c>
      <c r="Z60" s="198" t="s">
        <v>4425</v>
      </c>
      <c r="AA60" s="198" t="s">
        <v>4428</v>
      </c>
      <c r="AB60" s="198" t="s">
        <v>4424</v>
      </c>
      <c r="AC60" s="199" t="s">
        <v>4487</v>
      </c>
      <c r="AD60" s="168"/>
      <c r="AE60" s="18" t="s">
        <v>638</v>
      </c>
    </row>
    <row r="61">
      <c r="A61" s="11"/>
      <c r="B61" s="12" t="s">
        <v>7</v>
      </c>
      <c r="C61" s="12" t="s">
        <v>8</v>
      </c>
      <c r="D61" s="12" t="s">
        <v>24</v>
      </c>
      <c r="E61" s="12" t="s">
        <v>32</v>
      </c>
      <c r="F61" s="13" t="s">
        <v>30</v>
      </c>
      <c r="G61" s="12" t="s">
        <v>68</v>
      </c>
      <c r="H61" s="12" t="s">
        <v>573</v>
      </c>
      <c r="I61" s="12" t="s">
        <v>574</v>
      </c>
      <c r="J61" s="17" t="s">
        <v>73</v>
      </c>
      <c r="K61" s="17" t="s">
        <v>4013</v>
      </c>
      <c r="L61" s="17" t="s">
        <v>2174</v>
      </c>
      <c r="M61" s="17">
        <v>39.0</v>
      </c>
      <c r="N61" s="20">
        <v>45827.0</v>
      </c>
      <c r="O61" s="17" t="s">
        <v>194</v>
      </c>
      <c r="P61" s="196" t="s">
        <v>4424</v>
      </c>
      <c r="Q61" s="196" t="s">
        <v>4424</v>
      </c>
      <c r="R61" s="196" t="s">
        <v>4428</v>
      </c>
      <c r="S61" s="196" t="s">
        <v>4424</v>
      </c>
      <c r="T61" s="196" t="s">
        <v>4428</v>
      </c>
      <c r="U61" s="196" t="s">
        <v>4424</v>
      </c>
      <c r="V61" s="196" t="s">
        <v>4424</v>
      </c>
      <c r="W61" s="196" t="s">
        <v>4428</v>
      </c>
      <c r="X61" s="196" t="s">
        <v>4428</v>
      </c>
      <c r="Y61" s="196" t="s">
        <v>4424</v>
      </c>
      <c r="Z61" s="196" t="s">
        <v>4425</v>
      </c>
      <c r="AA61" s="196" t="s">
        <v>4424</v>
      </c>
      <c r="AB61" s="196" t="s">
        <v>4425</v>
      </c>
      <c r="AC61" s="197" t="s">
        <v>4488</v>
      </c>
      <c r="AD61" s="168"/>
      <c r="AE61" s="18" t="s">
        <v>577</v>
      </c>
    </row>
    <row r="62">
      <c r="A62" s="11"/>
      <c r="B62" s="12" t="s">
        <v>7</v>
      </c>
      <c r="C62" s="12" t="s">
        <v>8</v>
      </c>
      <c r="D62" s="12" t="s">
        <v>24</v>
      </c>
      <c r="E62" s="12" t="s">
        <v>29</v>
      </c>
      <c r="F62" s="13" t="s">
        <v>27</v>
      </c>
      <c r="G62" s="12" t="s">
        <v>68</v>
      </c>
      <c r="H62" s="12" t="s">
        <v>801</v>
      </c>
      <c r="I62" s="12" t="s">
        <v>802</v>
      </c>
      <c r="J62" s="17" t="s">
        <v>73</v>
      </c>
      <c r="K62" s="17" t="s">
        <v>4013</v>
      </c>
      <c r="L62" s="17" t="s">
        <v>2369</v>
      </c>
      <c r="M62" s="17">
        <v>33.0</v>
      </c>
      <c r="N62" s="20">
        <v>45828.0</v>
      </c>
      <c r="O62" s="17" t="s">
        <v>194</v>
      </c>
      <c r="P62" s="198" t="s">
        <v>4428</v>
      </c>
      <c r="Q62" s="198" t="s">
        <v>4425</v>
      </c>
      <c r="R62" s="198" t="s">
        <v>4428</v>
      </c>
      <c r="S62" s="198" t="s">
        <v>4424</v>
      </c>
      <c r="T62" s="198" t="s">
        <v>4424</v>
      </c>
      <c r="U62" s="198" t="s">
        <v>4424</v>
      </c>
      <c r="V62" s="198" t="s">
        <v>4424</v>
      </c>
      <c r="W62" s="198" t="s">
        <v>4428</v>
      </c>
      <c r="X62" s="198" t="s">
        <v>4425</v>
      </c>
      <c r="Y62" s="198" t="s">
        <v>4428</v>
      </c>
      <c r="Z62" s="198" t="s">
        <v>4428</v>
      </c>
      <c r="AA62" s="198" t="s">
        <v>4428</v>
      </c>
      <c r="AB62" s="198" t="s">
        <v>4426</v>
      </c>
      <c r="AC62" s="199" t="s">
        <v>4489</v>
      </c>
      <c r="AD62" s="168"/>
      <c r="AE62" s="18" t="s">
        <v>577</v>
      </c>
    </row>
    <row r="63">
      <c r="A63" s="11"/>
      <c r="B63" s="12" t="s">
        <v>7</v>
      </c>
      <c r="C63" s="12" t="s">
        <v>8</v>
      </c>
      <c r="D63" s="12" t="s">
        <v>24</v>
      </c>
      <c r="E63" s="12" t="s">
        <v>35</v>
      </c>
      <c r="F63" s="13" t="s">
        <v>33</v>
      </c>
      <c r="G63" s="12" t="s">
        <v>68</v>
      </c>
      <c r="H63" s="12" t="s">
        <v>813</v>
      </c>
      <c r="I63" s="12" t="s">
        <v>814</v>
      </c>
      <c r="J63" s="17" t="s">
        <v>108</v>
      </c>
      <c r="K63" s="17" t="s">
        <v>109</v>
      </c>
      <c r="L63" s="17" t="s">
        <v>2389</v>
      </c>
      <c r="M63" s="17">
        <v>59.0</v>
      </c>
      <c r="N63" s="20">
        <v>45834.0</v>
      </c>
      <c r="O63" s="17" t="s">
        <v>194</v>
      </c>
      <c r="P63" s="196" t="s">
        <v>4424</v>
      </c>
      <c r="Q63" s="196" t="s">
        <v>4424</v>
      </c>
      <c r="R63" s="196" t="s">
        <v>4424</v>
      </c>
      <c r="S63" s="196" t="s">
        <v>4425</v>
      </c>
      <c r="T63" s="196" t="s">
        <v>4425</v>
      </c>
      <c r="U63" s="196" t="s">
        <v>4425</v>
      </c>
      <c r="V63" s="196" t="s">
        <v>4425</v>
      </c>
      <c r="W63" s="196" t="s">
        <v>4425</v>
      </c>
      <c r="X63" s="196" t="s">
        <v>4428</v>
      </c>
      <c r="Y63" s="196" t="s">
        <v>4424</v>
      </c>
      <c r="Z63" s="196" t="s">
        <v>4425</v>
      </c>
      <c r="AA63" s="196" t="s">
        <v>4428</v>
      </c>
      <c r="AB63" s="196" t="s">
        <v>4425</v>
      </c>
      <c r="AC63" s="197" t="s">
        <v>4490</v>
      </c>
      <c r="AD63" s="168"/>
      <c r="AE63" s="18" t="s">
        <v>577</v>
      </c>
    </row>
    <row r="64">
      <c r="A64" s="11"/>
      <c r="B64" s="12" t="s">
        <v>7</v>
      </c>
      <c r="C64" s="12" t="s">
        <v>8</v>
      </c>
      <c r="D64" s="12" t="s">
        <v>24</v>
      </c>
      <c r="E64" s="12" t="s">
        <v>35</v>
      </c>
      <c r="F64" s="13" t="s">
        <v>33</v>
      </c>
      <c r="G64" s="12" t="s">
        <v>68</v>
      </c>
      <c r="H64" s="12" t="s">
        <v>813</v>
      </c>
      <c r="I64" s="12" t="s">
        <v>814</v>
      </c>
      <c r="J64" s="17" t="s">
        <v>73</v>
      </c>
      <c r="K64" s="17" t="s">
        <v>1797</v>
      </c>
      <c r="L64" s="17" t="s">
        <v>2390</v>
      </c>
      <c r="M64" s="17">
        <v>23.0</v>
      </c>
      <c r="N64" s="20">
        <v>45834.0</v>
      </c>
      <c r="O64" s="17" t="s">
        <v>194</v>
      </c>
      <c r="P64" s="198" t="s">
        <v>4424</v>
      </c>
      <c r="Q64" s="198" t="s">
        <v>4424</v>
      </c>
      <c r="R64" s="198" t="s">
        <v>4428</v>
      </c>
      <c r="S64" s="198" t="s">
        <v>4424</v>
      </c>
      <c r="T64" s="198" t="s">
        <v>4428</v>
      </c>
      <c r="U64" s="198" t="s">
        <v>4424</v>
      </c>
      <c r="V64" s="198" t="s">
        <v>4428</v>
      </c>
      <c r="W64" s="198" t="s">
        <v>4428</v>
      </c>
      <c r="X64" s="198" t="s">
        <v>4424</v>
      </c>
      <c r="Y64" s="198" t="s">
        <v>4428</v>
      </c>
      <c r="Z64" s="198" t="s">
        <v>4425</v>
      </c>
      <c r="AA64" s="198" t="s">
        <v>4424</v>
      </c>
      <c r="AB64" s="198" t="s">
        <v>4428</v>
      </c>
      <c r="AC64" s="199" t="s">
        <v>4491</v>
      </c>
      <c r="AD64" s="168"/>
      <c r="AE64" s="18" t="s">
        <v>577</v>
      </c>
    </row>
    <row r="65">
      <c r="A65" s="11"/>
      <c r="B65" s="12" t="s">
        <v>7</v>
      </c>
      <c r="C65" s="12" t="s">
        <v>37</v>
      </c>
      <c r="D65" s="12" t="s">
        <v>38</v>
      </c>
      <c r="E65" s="12" t="s">
        <v>45</v>
      </c>
      <c r="F65" s="13" t="s">
        <v>44</v>
      </c>
      <c r="G65" s="12" t="s">
        <v>68</v>
      </c>
      <c r="H65" s="12" t="s">
        <v>830</v>
      </c>
      <c r="I65" s="12" t="s">
        <v>831</v>
      </c>
      <c r="J65" s="17" t="s">
        <v>73</v>
      </c>
      <c r="K65" s="17" t="s">
        <v>74</v>
      </c>
      <c r="L65" s="17" t="s">
        <v>2303</v>
      </c>
      <c r="M65" s="17">
        <v>46.0</v>
      </c>
      <c r="N65" s="20">
        <v>45832.0</v>
      </c>
      <c r="O65" s="17" t="s">
        <v>194</v>
      </c>
      <c r="P65" s="196" t="s">
        <v>4428</v>
      </c>
      <c r="Q65" s="196" t="s">
        <v>4425</v>
      </c>
      <c r="R65" s="196" t="s">
        <v>4428</v>
      </c>
      <c r="S65" s="196" t="s">
        <v>4425</v>
      </c>
      <c r="T65" s="196" t="s">
        <v>4428</v>
      </c>
      <c r="U65" s="196" t="s">
        <v>4428</v>
      </c>
      <c r="V65" s="196" t="s">
        <v>4424</v>
      </c>
      <c r="W65" s="196" t="s">
        <v>4428</v>
      </c>
      <c r="X65" s="196" t="s">
        <v>4428</v>
      </c>
      <c r="Y65" s="196" t="s">
        <v>4428</v>
      </c>
      <c r="Z65" s="196" t="s">
        <v>4428</v>
      </c>
      <c r="AA65" s="196" t="s">
        <v>4428</v>
      </c>
      <c r="AB65" s="196" t="s">
        <v>4425</v>
      </c>
      <c r="AC65" s="197" t="s">
        <v>4492</v>
      </c>
      <c r="AD65" s="168"/>
      <c r="AE65" s="18" t="s">
        <v>577</v>
      </c>
    </row>
    <row r="66">
      <c r="A66" s="11"/>
      <c r="B66" s="12" t="s">
        <v>7</v>
      </c>
      <c r="C66" s="12" t="s">
        <v>37</v>
      </c>
      <c r="D66" s="12" t="s">
        <v>38</v>
      </c>
      <c r="E66" s="12" t="s">
        <v>45</v>
      </c>
      <c r="F66" s="13" t="s">
        <v>44</v>
      </c>
      <c r="G66" s="12" t="s">
        <v>68</v>
      </c>
      <c r="H66" s="12" t="s">
        <v>830</v>
      </c>
      <c r="I66" s="12" t="s">
        <v>831</v>
      </c>
      <c r="J66" s="17" t="s">
        <v>112</v>
      </c>
      <c r="K66" s="17" t="s">
        <v>113</v>
      </c>
      <c r="L66" s="17" t="s">
        <v>2304</v>
      </c>
      <c r="M66" s="17">
        <v>51.0</v>
      </c>
      <c r="N66" s="20">
        <v>45832.0</v>
      </c>
      <c r="O66" s="17" t="s">
        <v>194</v>
      </c>
      <c r="P66" s="198" t="s">
        <v>4428</v>
      </c>
      <c r="Q66" s="198" t="s">
        <v>4424</v>
      </c>
      <c r="R66" s="200"/>
      <c r="S66" s="198" t="s">
        <v>4428</v>
      </c>
      <c r="T66" s="198" t="s">
        <v>4424</v>
      </c>
      <c r="U66" s="198" t="s">
        <v>4424</v>
      </c>
      <c r="V66" s="198" t="s">
        <v>4424</v>
      </c>
      <c r="W66" s="198" t="s">
        <v>4424</v>
      </c>
      <c r="X66" s="198" t="s">
        <v>4424</v>
      </c>
      <c r="Y66" s="198" t="s">
        <v>4424</v>
      </c>
      <c r="Z66" s="198" t="s">
        <v>4425</v>
      </c>
      <c r="AA66" s="198" t="s">
        <v>4424</v>
      </c>
      <c r="AB66" s="198" t="s">
        <v>4424</v>
      </c>
      <c r="AC66" s="199" t="s">
        <v>4493</v>
      </c>
      <c r="AD66" s="168"/>
      <c r="AE66" s="18" t="s">
        <v>577</v>
      </c>
    </row>
    <row r="67">
      <c r="A67" s="11"/>
      <c r="B67" s="12" t="s">
        <v>7</v>
      </c>
      <c r="C67" s="12" t="s">
        <v>37</v>
      </c>
      <c r="D67" s="12" t="s">
        <v>38</v>
      </c>
      <c r="E67" s="12" t="s">
        <v>45</v>
      </c>
      <c r="F67" s="13" t="s">
        <v>44</v>
      </c>
      <c r="G67" s="12" t="s">
        <v>68</v>
      </c>
      <c r="H67" s="12" t="s">
        <v>830</v>
      </c>
      <c r="I67" s="12" t="s">
        <v>831</v>
      </c>
      <c r="J67" s="17" t="s">
        <v>108</v>
      </c>
      <c r="K67" s="17" t="s">
        <v>109</v>
      </c>
      <c r="L67" s="17" t="s">
        <v>2305</v>
      </c>
      <c r="M67" s="17">
        <v>34.0</v>
      </c>
      <c r="N67" s="20">
        <v>45832.0</v>
      </c>
      <c r="O67" s="17" t="s">
        <v>194</v>
      </c>
      <c r="P67" s="196" t="s">
        <v>4428</v>
      </c>
      <c r="Q67" s="196" t="s">
        <v>4428</v>
      </c>
      <c r="R67" s="196" t="s">
        <v>4428</v>
      </c>
      <c r="S67" s="196" t="s">
        <v>4428</v>
      </c>
      <c r="T67" s="196" t="s">
        <v>4428</v>
      </c>
      <c r="U67" s="196" t="s">
        <v>4428</v>
      </c>
      <c r="V67" s="196" t="s">
        <v>4428</v>
      </c>
      <c r="W67" s="196" t="s">
        <v>4428</v>
      </c>
      <c r="X67" s="196" t="s">
        <v>4428</v>
      </c>
      <c r="Y67" s="196" t="s">
        <v>4428</v>
      </c>
      <c r="Z67" s="196" t="s">
        <v>4428</v>
      </c>
      <c r="AA67" s="196" t="s">
        <v>4428</v>
      </c>
      <c r="AB67" s="196" t="s">
        <v>4437</v>
      </c>
      <c r="AC67" s="197" t="s">
        <v>4494</v>
      </c>
      <c r="AD67" s="168"/>
      <c r="AE67" s="18" t="s">
        <v>577</v>
      </c>
    </row>
    <row r="68">
      <c r="A68" s="11"/>
      <c r="B68" s="12" t="s">
        <v>22</v>
      </c>
      <c r="C68" s="12" t="s">
        <v>22</v>
      </c>
      <c r="D68" s="12" t="s">
        <v>22</v>
      </c>
      <c r="E68" s="12" t="s">
        <v>593</v>
      </c>
      <c r="F68" s="13" t="s">
        <v>594</v>
      </c>
      <c r="G68" s="12" t="s">
        <v>68</v>
      </c>
      <c r="H68" s="12" t="s">
        <v>595</v>
      </c>
      <c r="I68" s="12" t="s">
        <v>596</v>
      </c>
      <c r="J68" s="17" t="s">
        <v>73</v>
      </c>
      <c r="K68" s="17" t="s">
        <v>74</v>
      </c>
      <c r="L68" s="17" t="s">
        <v>4495</v>
      </c>
      <c r="M68" s="17">
        <v>43.0</v>
      </c>
      <c r="N68" s="20">
        <v>45831.0</v>
      </c>
      <c r="O68" s="17" t="s">
        <v>194</v>
      </c>
      <c r="P68" s="198" t="s">
        <v>4424</v>
      </c>
      <c r="Q68" s="198" t="s">
        <v>4424</v>
      </c>
      <c r="R68" s="198" t="s">
        <v>4425</v>
      </c>
      <c r="S68" s="198" t="s">
        <v>4428</v>
      </c>
      <c r="T68" s="198" t="s">
        <v>4428</v>
      </c>
      <c r="U68" s="198" t="s">
        <v>4424</v>
      </c>
      <c r="V68" s="198" t="s">
        <v>4424</v>
      </c>
      <c r="W68" s="198" t="s">
        <v>4428</v>
      </c>
      <c r="X68" s="198" t="s">
        <v>4428</v>
      </c>
      <c r="Y68" s="198" t="s">
        <v>4428</v>
      </c>
      <c r="Z68" s="198" t="s">
        <v>4424</v>
      </c>
      <c r="AA68" s="198" t="s">
        <v>4428</v>
      </c>
      <c r="AB68" s="198" t="s">
        <v>4425</v>
      </c>
      <c r="AC68" s="199" t="s">
        <v>4496</v>
      </c>
      <c r="AD68" s="168"/>
      <c r="AE68" s="18" t="s">
        <v>588</v>
      </c>
    </row>
    <row r="69">
      <c r="A69" s="11"/>
      <c r="B69" s="12" t="s">
        <v>22</v>
      </c>
      <c r="C69" s="12" t="s">
        <v>22</v>
      </c>
      <c r="D69" s="12" t="s">
        <v>22</v>
      </c>
      <c r="E69" s="12" t="s">
        <v>593</v>
      </c>
      <c r="F69" s="13" t="s">
        <v>594</v>
      </c>
      <c r="G69" s="12" t="s">
        <v>68</v>
      </c>
      <c r="H69" s="12" t="s">
        <v>595</v>
      </c>
      <c r="I69" s="12" t="s">
        <v>596</v>
      </c>
      <c r="J69" s="17" t="s">
        <v>73</v>
      </c>
      <c r="K69" s="17" t="s">
        <v>74</v>
      </c>
      <c r="L69" s="17" t="s">
        <v>4497</v>
      </c>
      <c r="M69" s="17">
        <v>28.0</v>
      </c>
      <c r="N69" s="20">
        <v>45831.0</v>
      </c>
      <c r="O69" s="17" t="s">
        <v>194</v>
      </c>
      <c r="P69" s="196" t="s">
        <v>4424</v>
      </c>
      <c r="Q69" s="196" t="s">
        <v>4424</v>
      </c>
      <c r="R69" s="196" t="s">
        <v>4425</v>
      </c>
      <c r="S69" s="196" t="s">
        <v>4428</v>
      </c>
      <c r="T69" s="196" t="s">
        <v>4424</v>
      </c>
      <c r="U69" s="196" t="s">
        <v>4424</v>
      </c>
      <c r="V69" s="196" t="s">
        <v>4428</v>
      </c>
      <c r="W69" s="196" t="s">
        <v>4424</v>
      </c>
      <c r="X69" s="196" t="s">
        <v>4424</v>
      </c>
      <c r="Y69" s="196" t="s">
        <v>4424</v>
      </c>
      <c r="Z69" s="196" t="s">
        <v>4428</v>
      </c>
      <c r="AA69" s="196" t="s">
        <v>4424</v>
      </c>
      <c r="AB69" s="196" t="s">
        <v>4425</v>
      </c>
      <c r="AC69" s="197" t="s">
        <v>4498</v>
      </c>
      <c r="AD69" s="168"/>
      <c r="AE69" s="18" t="s">
        <v>588</v>
      </c>
    </row>
    <row r="70">
      <c r="A70" s="11"/>
      <c r="B70" s="12" t="s">
        <v>22</v>
      </c>
      <c r="C70" s="12" t="s">
        <v>22</v>
      </c>
      <c r="D70" s="12" t="s">
        <v>22</v>
      </c>
      <c r="E70" s="12" t="s">
        <v>593</v>
      </c>
      <c r="F70" s="13" t="s">
        <v>594</v>
      </c>
      <c r="G70" s="12" t="s">
        <v>68</v>
      </c>
      <c r="H70" s="12" t="s">
        <v>595</v>
      </c>
      <c r="I70" s="12" t="s">
        <v>596</v>
      </c>
      <c r="J70" s="17" t="s">
        <v>112</v>
      </c>
      <c r="K70" s="17" t="s">
        <v>113</v>
      </c>
      <c r="L70" s="17" t="s">
        <v>2195</v>
      </c>
      <c r="M70" s="17">
        <v>50.0</v>
      </c>
      <c r="N70" s="20">
        <v>45831.0</v>
      </c>
      <c r="O70" s="17" t="s">
        <v>194</v>
      </c>
      <c r="P70" s="198" t="s">
        <v>4428</v>
      </c>
      <c r="Q70" s="198" t="s">
        <v>4428</v>
      </c>
      <c r="R70" s="198" t="s">
        <v>4428</v>
      </c>
      <c r="S70" s="198" t="s">
        <v>4428</v>
      </c>
      <c r="T70" s="198" t="s">
        <v>4428</v>
      </c>
      <c r="U70" s="198" t="s">
        <v>4428</v>
      </c>
      <c r="V70" s="198" t="s">
        <v>4428</v>
      </c>
      <c r="W70" s="198" t="s">
        <v>4428</v>
      </c>
      <c r="X70" s="198" t="s">
        <v>4428</v>
      </c>
      <c r="Y70" s="198" t="s">
        <v>4428</v>
      </c>
      <c r="Z70" s="198" t="s">
        <v>4428</v>
      </c>
      <c r="AA70" s="198" t="s">
        <v>4428</v>
      </c>
      <c r="AB70" s="198" t="s">
        <v>4437</v>
      </c>
      <c r="AC70" s="199" t="s">
        <v>4499</v>
      </c>
      <c r="AD70" s="168"/>
      <c r="AE70" s="18" t="s">
        <v>588</v>
      </c>
    </row>
    <row r="71">
      <c r="A71" s="11"/>
      <c r="B71" s="12" t="s">
        <v>22</v>
      </c>
      <c r="C71" s="12" t="s">
        <v>22</v>
      </c>
      <c r="D71" s="12" t="s">
        <v>22</v>
      </c>
      <c r="E71" s="12" t="s">
        <v>593</v>
      </c>
      <c r="F71" s="13" t="s">
        <v>594</v>
      </c>
      <c r="G71" s="12" t="s">
        <v>68</v>
      </c>
      <c r="H71" s="12" t="s">
        <v>595</v>
      </c>
      <c r="I71" s="12" t="s">
        <v>596</v>
      </c>
      <c r="J71" s="17" t="s">
        <v>108</v>
      </c>
      <c r="K71" s="17" t="s">
        <v>109</v>
      </c>
      <c r="L71" s="17" t="s">
        <v>2197</v>
      </c>
      <c r="M71" s="17">
        <v>27.0</v>
      </c>
      <c r="N71" s="20">
        <v>45831.0</v>
      </c>
      <c r="O71" s="17" t="s">
        <v>194</v>
      </c>
      <c r="P71" s="196" t="s">
        <v>4424</v>
      </c>
      <c r="Q71" s="196" t="s">
        <v>4425</v>
      </c>
      <c r="R71" s="196" t="s">
        <v>4428</v>
      </c>
      <c r="S71" s="196" t="s">
        <v>4428</v>
      </c>
      <c r="T71" s="196" t="s">
        <v>4428</v>
      </c>
      <c r="U71" s="196" t="s">
        <v>4428</v>
      </c>
      <c r="V71" s="196" t="s">
        <v>4424</v>
      </c>
      <c r="W71" s="196" t="s">
        <v>4428</v>
      </c>
      <c r="X71" s="196" t="s">
        <v>4428</v>
      </c>
      <c r="Y71" s="196" t="s">
        <v>4428</v>
      </c>
      <c r="Z71" s="196" t="s">
        <v>4424</v>
      </c>
      <c r="AA71" s="196" t="s">
        <v>4428</v>
      </c>
      <c r="AB71" s="196" t="s">
        <v>4424</v>
      </c>
      <c r="AC71" s="197" t="s">
        <v>4500</v>
      </c>
      <c r="AD71" s="168"/>
      <c r="AE71" s="18" t="s">
        <v>588</v>
      </c>
    </row>
    <row r="72">
      <c r="A72" s="11"/>
      <c r="B72" s="12" t="s">
        <v>22</v>
      </c>
      <c r="C72" s="12" t="s">
        <v>22</v>
      </c>
      <c r="D72" s="12" t="s">
        <v>22</v>
      </c>
      <c r="E72" s="12" t="s">
        <v>593</v>
      </c>
      <c r="F72" s="13" t="s">
        <v>594</v>
      </c>
      <c r="G72" s="12" t="s">
        <v>68</v>
      </c>
      <c r="H72" s="12" t="s">
        <v>595</v>
      </c>
      <c r="I72" s="12" t="s">
        <v>596</v>
      </c>
      <c r="J72" s="17" t="s">
        <v>108</v>
      </c>
      <c r="K72" s="17" t="s">
        <v>109</v>
      </c>
      <c r="L72" s="17" t="s">
        <v>4501</v>
      </c>
      <c r="M72" s="17">
        <v>27.0</v>
      </c>
      <c r="N72" s="20">
        <v>45831.0</v>
      </c>
      <c r="O72" s="17" t="s">
        <v>194</v>
      </c>
      <c r="P72" s="198" t="s">
        <v>4424</v>
      </c>
      <c r="Q72" s="198" t="s">
        <v>4424</v>
      </c>
      <c r="R72" s="198" t="s">
        <v>4425</v>
      </c>
      <c r="S72" s="198" t="s">
        <v>4424</v>
      </c>
      <c r="T72" s="198" t="s">
        <v>4428</v>
      </c>
      <c r="U72" s="198" t="s">
        <v>4424</v>
      </c>
      <c r="V72" s="198" t="s">
        <v>4428</v>
      </c>
      <c r="W72" s="198" t="s">
        <v>4428</v>
      </c>
      <c r="X72" s="198" t="s">
        <v>4428</v>
      </c>
      <c r="Y72" s="198" t="s">
        <v>4424</v>
      </c>
      <c r="Z72" s="198" t="s">
        <v>4424</v>
      </c>
      <c r="AA72" s="198" t="s">
        <v>4428</v>
      </c>
      <c r="AB72" s="198" t="s">
        <v>4426</v>
      </c>
      <c r="AC72" s="199" t="s">
        <v>4502</v>
      </c>
      <c r="AD72" s="168"/>
      <c r="AE72" s="18" t="s">
        <v>588</v>
      </c>
    </row>
    <row r="73">
      <c r="A73" s="11"/>
      <c r="B73" s="12" t="s">
        <v>22</v>
      </c>
      <c r="C73" s="12" t="s">
        <v>22</v>
      </c>
      <c r="D73" s="12" t="s">
        <v>22</v>
      </c>
      <c r="E73" s="12" t="s">
        <v>624</v>
      </c>
      <c r="F73" s="13" t="s">
        <v>625</v>
      </c>
      <c r="G73" s="12" t="s">
        <v>68</v>
      </c>
      <c r="H73" s="12" t="s">
        <v>626</v>
      </c>
      <c r="I73" s="12" t="s">
        <v>627</v>
      </c>
      <c r="J73" s="17" t="s">
        <v>108</v>
      </c>
      <c r="K73" s="17" t="s">
        <v>109</v>
      </c>
      <c r="L73" s="17" t="s">
        <v>4364</v>
      </c>
      <c r="M73" s="17">
        <v>35.0</v>
      </c>
      <c r="N73" s="20">
        <v>45833.0</v>
      </c>
      <c r="O73" s="17" t="s">
        <v>194</v>
      </c>
      <c r="P73" s="196" t="s">
        <v>4424</v>
      </c>
      <c r="Q73" s="196" t="s">
        <v>4428</v>
      </c>
      <c r="R73" s="196" t="s">
        <v>4428</v>
      </c>
      <c r="S73" s="196" t="s">
        <v>4424</v>
      </c>
      <c r="T73" s="196" t="s">
        <v>4428</v>
      </c>
      <c r="U73" s="196" t="s">
        <v>4428</v>
      </c>
      <c r="V73" s="196" t="s">
        <v>4428</v>
      </c>
      <c r="W73" s="196" t="s">
        <v>4428</v>
      </c>
      <c r="X73" s="196" t="s">
        <v>4428</v>
      </c>
      <c r="Y73" s="196" t="s">
        <v>4428</v>
      </c>
      <c r="Z73" s="196" t="s">
        <v>4428</v>
      </c>
      <c r="AA73" s="196" t="s">
        <v>4428</v>
      </c>
      <c r="AB73" s="196" t="s">
        <v>4425</v>
      </c>
      <c r="AC73" s="197" t="s">
        <v>4503</v>
      </c>
      <c r="AD73" s="168"/>
      <c r="AE73" s="18" t="s">
        <v>588</v>
      </c>
    </row>
    <row r="74">
      <c r="A74" s="11"/>
      <c r="B74" s="12" t="s">
        <v>22</v>
      </c>
      <c r="C74" s="12" t="s">
        <v>22</v>
      </c>
      <c r="D74" s="12" t="s">
        <v>22</v>
      </c>
      <c r="E74" s="12" t="s">
        <v>624</v>
      </c>
      <c r="F74" s="13" t="s">
        <v>625</v>
      </c>
      <c r="G74" s="12" t="s">
        <v>68</v>
      </c>
      <c r="H74" s="12" t="s">
        <v>626</v>
      </c>
      <c r="I74" s="12" t="s">
        <v>627</v>
      </c>
      <c r="J74" s="17" t="s">
        <v>112</v>
      </c>
      <c r="K74" s="17" t="s">
        <v>1797</v>
      </c>
      <c r="L74" s="17" t="s">
        <v>4504</v>
      </c>
      <c r="M74" s="17">
        <v>28.0</v>
      </c>
      <c r="N74" s="20">
        <v>45833.0</v>
      </c>
      <c r="O74" s="17" t="s">
        <v>194</v>
      </c>
      <c r="P74" s="198" t="s">
        <v>4425</v>
      </c>
      <c r="Q74" s="198" t="s">
        <v>4425</v>
      </c>
      <c r="R74" s="198" t="s">
        <v>4424</v>
      </c>
      <c r="S74" s="198" t="s">
        <v>4424</v>
      </c>
      <c r="T74" s="198" t="s">
        <v>4428</v>
      </c>
      <c r="U74" s="198" t="s">
        <v>4428</v>
      </c>
      <c r="V74" s="198" t="s">
        <v>4428</v>
      </c>
      <c r="W74" s="198" t="s">
        <v>4424</v>
      </c>
      <c r="X74" s="198" t="s">
        <v>4424</v>
      </c>
      <c r="Y74" s="198" t="s">
        <v>4424</v>
      </c>
      <c r="Z74" s="198" t="s">
        <v>4424</v>
      </c>
      <c r="AA74" s="198" t="s">
        <v>4424</v>
      </c>
      <c r="AB74" s="198" t="s">
        <v>4437</v>
      </c>
      <c r="AC74" s="199" t="s">
        <v>4505</v>
      </c>
      <c r="AD74" s="168"/>
      <c r="AE74" s="18" t="s">
        <v>588</v>
      </c>
    </row>
    <row r="75">
      <c r="A75" s="11"/>
      <c r="B75" s="12" t="s">
        <v>7</v>
      </c>
      <c r="C75" s="12" t="s">
        <v>37</v>
      </c>
      <c r="D75" s="12" t="s">
        <v>38</v>
      </c>
      <c r="E75" s="12" t="s">
        <v>41</v>
      </c>
      <c r="F75" s="13" t="s">
        <v>39</v>
      </c>
      <c r="G75" s="12" t="s">
        <v>68</v>
      </c>
      <c r="H75" s="12" t="s">
        <v>902</v>
      </c>
      <c r="I75" s="12" t="s">
        <v>903</v>
      </c>
      <c r="J75" s="17" t="s">
        <v>108</v>
      </c>
      <c r="K75" s="17" t="s">
        <v>109</v>
      </c>
      <c r="L75" s="17" t="s">
        <v>3858</v>
      </c>
      <c r="M75" s="17">
        <v>55.0</v>
      </c>
      <c r="N75" s="20">
        <v>45826.0</v>
      </c>
      <c r="O75" s="17" t="s">
        <v>194</v>
      </c>
      <c r="P75" s="196" t="s">
        <v>4426</v>
      </c>
      <c r="Q75" s="196" t="s">
        <v>4428</v>
      </c>
      <c r="R75" s="196" t="s">
        <v>4428</v>
      </c>
      <c r="S75" s="196" t="s">
        <v>4428</v>
      </c>
      <c r="T75" s="196" t="s">
        <v>4428</v>
      </c>
      <c r="U75" s="196" t="s">
        <v>4428</v>
      </c>
      <c r="V75" s="196" t="s">
        <v>4424</v>
      </c>
      <c r="W75" s="196" t="s">
        <v>4428</v>
      </c>
      <c r="X75" s="196" t="s">
        <v>4428</v>
      </c>
      <c r="Y75" s="196" t="s">
        <v>4428</v>
      </c>
      <c r="Z75" s="196" t="s">
        <v>4428</v>
      </c>
      <c r="AA75" s="196" t="s">
        <v>4424</v>
      </c>
      <c r="AB75" s="196" t="s">
        <v>4428</v>
      </c>
      <c r="AC75" s="197" t="s">
        <v>4506</v>
      </c>
      <c r="AD75" s="168"/>
      <c r="AE75" s="18" t="s">
        <v>588</v>
      </c>
    </row>
    <row r="76">
      <c r="A76" s="11"/>
      <c r="B76" s="12" t="s">
        <v>7</v>
      </c>
      <c r="C76" s="12" t="s">
        <v>37</v>
      </c>
      <c r="D76" s="12" t="s">
        <v>38</v>
      </c>
      <c r="E76" s="12" t="s">
        <v>41</v>
      </c>
      <c r="F76" s="13" t="s">
        <v>39</v>
      </c>
      <c r="G76" s="12" t="s">
        <v>68</v>
      </c>
      <c r="H76" s="12" t="s">
        <v>902</v>
      </c>
      <c r="I76" s="12" t="s">
        <v>903</v>
      </c>
      <c r="J76" s="17" t="s">
        <v>112</v>
      </c>
      <c r="K76" s="17" t="s">
        <v>113</v>
      </c>
      <c r="L76" s="17" t="s">
        <v>3857</v>
      </c>
      <c r="M76" s="17">
        <v>43.0</v>
      </c>
      <c r="N76" s="20">
        <v>45826.0</v>
      </c>
      <c r="O76" s="17" t="s">
        <v>194</v>
      </c>
      <c r="P76" s="198" t="s">
        <v>4428</v>
      </c>
      <c r="Q76" s="198" t="s">
        <v>4428</v>
      </c>
      <c r="R76" s="198" t="s">
        <v>4428</v>
      </c>
      <c r="S76" s="198" t="s">
        <v>4428</v>
      </c>
      <c r="T76" s="198" t="s">
        <v>4428</v>
      </c>
      <c r="U76" s="198" t="s">
        <v>4428</v>
      </c>
      <c r="V76" s="198" t="s">
        <v>4428</v>
      </c>
      <c r="W76" s="198" t="s">
        <v>4428</v>
      </c>
      <c r="X76" s="198" t="s">
        <v>4428</v>
      </c>
      <c r="Y76" s="198" t="s">
        <v>4428</v>
      </c>
      <c r="Z76" s="198" t="s">
        <v>4428</v>
      </c>
      <c r="AA76" s="198" t="s">
        <v>4428</v>
      </c>
      <c r="AB76" s="198" t="s">
        <v>4424</v>
      </c>
      <c r="AC76" s="199" t="s">
        <v>4507</v>
      </c>
      <c r="AD76" s="168"/>
      <c r="AE76" s="18" t="s">
        <v>588</v>
      </c>
    </row>
    <row r="77">
      <c r="A77" s="11"/>
      <c r="B77" s="12" t="s">
        <v>7</v>
      </c>
      <c r="C77" s="12" t="s">
        <v>37</v>
      </c>
      <c r="D77" s="12" t="s">
        <v>38</v>
      </c>
      <c r="E77" s="12" t="s">
        <v>38</v>
      </c>
      <c r="F77" s="13" t="s">
        <v>42</v>
      </c>
      <c r="G77" s="12" t="s">
        <v>68</v>
      </c>
      <c r="H77" s="12" t="s">
        <v>584</v>
      </c>
      <c r="I77" s="12" t="s">
        <v>585</v>
      </c>
      <c r="J77" s="17" t="s">
        <v>112</v>
      </c>
      <c r="K77" s="17" t="s">
        <v>113</v>
      </c>
      <c r="L77" s="17" t="s">
        <v>2230</v>
      </c>
      <c r="M77" s="17">
        <v>57.0</v>
      </c>
      <c r="N77" s="20">
        <v>45828.0</v>
      </c>
      <c r="O77" s="17" t="s">
        <v>194</v>
      </c>
      <c r="P77" s="196" t="s">
        <v>4425</v>
      </c>
      <c r="Q77" s="196" t="s">
        <v>4428</v>
      </c>
      <c r="R77" s="196" t="s">
        <v>4428</v>
      </c>
      <c r="S77" s="196" t="s">
        <v>4424</v>
      </c>
      <c r="T77" s="196" t="s">
        <v>4428</v>
      </c>
      <c r="U77" s="196" t="s">
        <v>4428</v>
      </c>
      <c r="V77" s="196" t="s">
        <v>4428</v>
      </c>
      <c r="W77" s="196" t="s">
        <v>4428</v>
      </c>
      <c r="X77" s="196" t="s">
        <v>4428</v>
      </c>
      <c r="Y77" s="196" t="s">
        <v>4425</v>
      </c>
      <c r="Z77" s="196" t="s">
        <v>4424</v>
      </c>
      <c r="AA77" s="196" t="s">
        <v>4428</v>
      </c>
      <c r="AB77" s="196" t="s">
        <v>4428</v>
      </c>
      <c r="AC77" s="197" t="s">
        <v>4508</v>
      </c>
      <c r="AD77" s="168"/>
      <c r="AE77" s="18" t="s">
        <v>588</v>
      </c>
    </row>
    <row r="78">
      <c r="A78" s="11"/>
      <c r="B78" s="12" t="s">
        <v>7</v>
      </c>
      <c r="C78" s="12" t="s">
        <v>8</v>
      </c>
      <c r="D78" s="12" t="s">
        <v>15</v>
      </c>
      <c r="E78" s="12" t="s">
        <v>17</v>
      </c>
      <c r="F78" s="13" t="s">
        <v>18</v>
      </c>
      <c r="G78" s="12" t="s">
        <v>68</v>
      </c>
      <c r="H78" s="12" t="s">
        <v>954</v>
      </c>
      <c r="I78" s="12" t="s">
        <v>955</v>
      </c>
      <c r="J78" s="17" t="s">
        <v>108</v>
      </c>
      <c r="K78" s="17" t="s">
        <v>2055</v>
      </c>
      <c r="L78" s="17" t="s">
        <v>4509</v>
      </c>
      <c r="M78" s="17">
        <v>36.0</v>
      </c>
      <c r="N78" s="20">
        <v>45838.0</v>
      </c>
      <c r="O78" s="17" t="s">
        <v>194</v>
      </c>
      <c r="P78" s="198" t="s">
        <v>4424</v>
      </c>
      <c r="Q78" s="198" t="s">
        <v>4425</v>
      </c>
      <c r="R78" s="198" t="s">
        <v>4428</v>
      </c>
      <c r="S78" s="198" t="s">
        <v>4428</v>
      </c>
      <c r="T78" s="198" t="s">
        <v>4424</v>
      </c>
      <c r="U78" s="198" t="s">
        <v>4428</v>
      </c>
      <c r="V78" s="198" t="s">
        <v>4425</v>
      </c>
      <c r="W78" s="198" t="s">
        <v>4428</v>
      </c>
      <c r="X78" s="198" t="s">
        <v>4428</v>
      </c>
      <c r="Y78" s="198" t="s">
        <v>4428</v>
      </c>
      <c r="Z78" s="198" t="s">
        <v>4425</v>
      </c>
      <c r="AA78" s="198" t="s">
        <v>4428</v>
      </c>
      <c r="AB78" s="198" t="s">
        <v>4437</v>
      </c>
      <c r="AC78" s="199" t="s">
        <v>4510</v>
      </c>
      <c r="AD78" s="168"/>
      <c r="AE78" s="18" t="s">
        <v>915</v>
      </c>
    </row>
    <row r="79">
      <c r="A79" s="11"/>
      <c r="B79" s="12" t="s">
        <v>7</v>
      </c>
      <c r="C79" s="12" t="s">
        <v>8</v>
      </c>
      <c r="D79" s="12" t="s">
        <v>9</v>
      </c>
      <c r="E79" s="12" t="s">
        <v>10</v>
      </c>
      <c r="F79" s="13" t="s">
        <v>11</v>
      </c>
      <c r="G79" s="12" t="s">
        <v>68</v>
      </c>
      <c r="H79" s="12" t="s">
        <v>911</v>
      </c>
      <c r="I79" s="12" t="s">
        <v>912</v>
      </c>
      <c r="J79" s="17" t="s">
        <v>108</v>
      </c>
      <c r="K79" s="17" t="s">
        <v>3534</v>
      </c>
      <c r="L79" s="17" t="s">
        <v>4511</v>
      </c>
      <c r="M79" s="17">
        <v>35.0</v>
      </c>
      <c r="N79" s="20">
        <v>45838.0</v>
      </c>
      <c r="O79" s="17" t="s">
        <v>194</v>
      </c>
      <c r="P79" s="196" t="s">
        <v>4424</v>
      </c>
      <c r="Q79" s="196" t="s">
        <v>4424</v>
      </c>
      <c r="R79" s="196" t="s">
        <v>4428</v>
      </c>
      <c r="S79" s="196" t="s">
        <v>4425</v>
      </c>
      <c r="T79" s="196" t="s">
        <v>4428</v>
      </c>
      <c r="U79" s="196" t="s">
        <v>4428</v>
      </c>
      <c r="V79" s="196" t="s">
        <v>4425</v>
      </c>
      <c r="W79" s="196" t="s">
        <v>4424</v>
      </c>
      <c r="X79" s="196" t="s">
        <v>4424</v>
      </c>
      <c r="Y79" s="196" t="s">
        <v>4425</v>
      </c>
      <c r="Z79" s="196" t="s">
        <v>4425</v>
      </c>
      <c r="AA79" s="196" t="s">
        <v>4428</v>
      </c>
      <c r="AB79" s="196" t="s">
        <v>4424</v>
      </c>
      <c r="AC79" s="197" t="s">
        <v>4512</v>
      </c>
      <c r="AD79" s="168"/>
      <c r="AE79" s="18" t="s">
        <v>915</v>
      </c>
    </row>
    <row r="80">
      <c r="A80" s="11"/>
      <c r="B80" s="12" t="s">
        <v>7</v>
      </c>
      <c r="C80" s="12" t="s">
        <v>8</v>
      </c>
      <c r="D80" s="12" t="s">
        <v>9</v>
      </c>
      <c r="E80" s="12" t="s">
        <v>10</v>
      </c>
      <c r="F80" s="13" t="s">
        <v>11</v>
      </c>
      <c r="G80" s="12" t="s">
        <v>68</v>
      </c>
      <c r="H80" s="12" t="s">
        <v>911</v>
      </c>
      <c r="I80" s="12" t="s">
        <v>912</v>
      </c>
      <c r="J80" s="17" t="s">
        <v>73</v>
      </c>
      <c r="K80" s="17" t="s">
        <v>74</v>
      </c>
      <c r="L80" s="17" t="s">
        <v>3671</v>
      </c>
      <c r="M80" s="17">
        <v>38.0</v>
      </c>
      <c r="N80" s="20">
        <v>45838.0</v>
      </c>
      <c r="O80" s="17" t="s">
        <v>194</v>
      </c>
      <c r="P80" s="198" t="s">
        <v>4425</v>
      </c>
      <c r="Q80" s="198" t="s">
        <v>4424</v>
      </c>
      <c r="R80" s="198" t="s">
        <v>4428</v>
      </c>
      <c r="S80" s="198" t="s">
        <v>4424</v>
      </c>
      <c r="T80" s="198" t="s">
        <v>4428</v>
      </c>
      <c r="U80" s="198" t="s">
        <v>4428</v>
      </c>
      <c r="V80" s="198" t="s">
        <v>4424</v>
      </c>
      <c r="W80" s="198" t="s">
        <v>4428</v>
      </c>
      <c r="X80" s="198" t="s">
        <v>4424</v>
      </c>
      <c r="Y80" s="198" t="s">
        <v>4428</v>
      </c>
      <c r="Z80" s="198" t="s">
        <v>4425</v>
      </c>
      <c r="AA80" s="198" t="s">
        <v>4428</v>
      </c>
      <c r="AB80" s="198" t="s">
        <v>4437</v>
      </c>
      <c r="AC80" s="199" t="s">
        <v>4513</v>
      </c>
      <c r="AD80" s="168"/>
      <c r="AE80" s="18" t="s">
        <v>915</v>
      </c>
    </row>
    <row r="81">
      <c r="A81" s="11"/>
      <c r="B81" s="12" t="s">
        <v>7</v>
      </c>
      <c r="C81" s="12" t="s">
        <v>8</v>
      </c>
      <c r="D81" s="12" t="s">
        <v>15</v>
      </c>
      <c r="E81" s="12" t="s">
        <v>15</v>
      </c>
      <c r="F81" s="13" t="s">
        <v>16</v>
      </c>
      <c r="G81" s="12" t="s">
        <v>68</v>
      </c>
      <c r="H81" s="12" t="s">
        <v>928</v>
      </c>
      <c r="I81" s="12" t="s">
        <v>929</v>
      </c>
      <c r="J81" s="17" t="s">
        <v>73</v>
      </c>
      <c r="K81" s="17" t="s">
        <v>74</v>
      </c>
      <c r="L81" s="17" t="s">
        <v>4297</v>
      </c>
      <c r="M81" s="17">
        <v>31.0</v>
      </c>
      <c r="N81" s="20">
        <v>45833.0</v>
      </c>
      <c r="O81" s="17" t="s">
        <v>194</v>
      </c>
      <c r="P81" s="196" t="s">
        <v>4424</v>
      </c>
      <c r="Q81" s="196" t="s">
        <v>4424</v>
      </c>
      <c r="R81" s="196" t="s">
        <v>4424</v>
      </c>
      <c r="S81" s="196" t="s">
        <v>4424</v>
      </c>
      <c r="T81" s="196" t="s">
        <v>4428</v>
      </c>
      <c r="U81" s="196" t="s">
        <v>4424</v>
      </c>
      <c r="V81" s="196" t="s">
        <v>4424</v>
      </c>
      <c r="W81" s="196" t="s">
        <v>4424</v>
      </c>
      <c r="X81" s="196" t="s">
        <v>4428</v>
      </c>
      <c r="Y81" s="196" t="s">
        <v>4424</v>
      </c>
      <c r="Z81" s="196" t="s">
        <v>4424</v>
      </c>
      <c r="AA81" s="196" t="s">
        <v>4424</v>
      </c>
      <c r="AB81" s="196" t="s">
        <v>4425</v>
      </c>
      <c r="AC81" s="197" t="s">
        <v>4514</v>
      </c>
      <c r="AD81" s="168"/>
      <c r="AE81" s="18" t="s">
        <v>915</v>
      </c>
    </row>
    <row r="82">
      <c r="A82" s="11"/>
      <c r="B82" s="12" t="s">
        <v>7</v>
      </c>
      <c r="C82" s="12" t="s">
        <v>8</v>
      </c>
      <c r="D82" s="12" t="s">
        <v>15</v>
      </c>
      <c r="E82" s="12" t="s">
        <v>15</v>
      </c>
      <c r="F82" s="13" t="s">
        <v>16</v>
      </c>
      <c r="G82" s="12" t="s">
        <v>68</v>
      </c>
      <c r="H82" s="12" t="s">
        <v>928</v>
      </c>
      <c r="I82" s="12" t="s">
        <v>929</v>
      </c>
      <c r="J82" s="17" t="s">
        <v>108</v>
      </c>
      <c r="K82" s="17" t="s">
        <v>109</v>
      </c>
      <c r="L82" s="17" t="s">
        <v>4515</v>
      </c>
      <c r="M82" s="17">
        <v>40.0</v>
      </c>
      <c r="N82" s="20">
        <v>45833.0</v>
      </c>
      <c r="O82" s="17" t="s">
        <v>194</v>
      </c>
      <c r="P82" s="198" t="s">
        <v>4428</v>
      </c>
      <c r="Q82" s="198" t="s">
        <v>4428</v>
      </c>
      <c r="R82" s="198" t="s">
        <v>4428</v>
      </c>
      <c r="S82" s="198" t="s">
        <v>4428</v>
      </c>
      <c r="T82" s="198" t="s">
        <v>4428</v>
      </c>
      <c r="U82" s="198" t="s">
        <v>4428</v>
      </c>
      <c r="V82" s="198" t="s">
        <v>4424</v>
      </c>
      <c r="W82" s="198" t="s">
        <v>4425</v>
      </c>
      <c r="X82" s="198" t="s">
        <v>4425</v>
      </c>
      <c r="Y82" s="198" t="s">
        <v>4428</v>
      </c>
      <c r="Z82" s="198" t="s">
        <v>4424</v>
      </c>
      <c r="AA82" s="198" t="s">
        <v>4428</v>
      </c>
      <c r="AB82" s="198" t="s">
        <v>4425</v>
      </c>
      <c r="AC82" s="199" t="s">
        <v>4516</v>
      </c>
      <c r="AD82" s="168"/>
      <c r="AE82" s="18" t="s">
        <v>915</v>
      </c>
    </row>
    <row r="83">
      <c r="A83" s="11"/>
      <c r="B83" s="12" t="s">
        <v>7</v>
      </c>
      <c r="C83" s="12" t="s">
        <v>8</v>
      </c>
      <c r="D83" s="12" t="s">
        <v>15</v>
      </c>
      <c r="E83" s="12" t="s">
        <v>15</v>
      </c>
      <c r="F83" s="13" t="s">
        <v>16</v>
      </c>
      <c r="G83" s="12" t="s">
        <v>68</v>
      </c>
      <c r="H83" s="12" t="s">
        <v>928</v>
      </c>
      <c r="I83" s="12" t="s">
        <v>929</v>
      </c>
      <c r="J83" s="17" t="s">
        <v>112</v>
      </c>
      <c r="K83" s="17" t="s">
        <v>1939</v>
      </c>
      <c r="L83" s="17" t="s">
        <v>3712</v>
      </c>
      <c r="M83" s="17">
        <v>30.0</v>
      </c>
      <c r="N83" s="20">
        <v>45833.0</v>
      </c>
      <c r="O83" s="17" t="s">
        <v>194</v>
      </c>
      <c r="P83" s="196" t="s">
        <v>4425</v>
      </c>
      <c r="Q83" s="196" t="s">
        <v>4424</v>
      </c>
      <c r="R83" s="196" t="s">
        <v>4424</v>
      </c>
      <c r="S83" s="196" t="s">
        <v>4424</v>
      </c>
      <c r="T83" s="196" t="s">
        <v>4424</v>
      </c>
      <c r="U83" s="196" t="s">
        <v>4424</v>
      </c>
      <c r="V83" s="196" t="s">
        <v>4425</v>
      </c>
      <c r="W83" s="196" t="s">
        <v>4424</v>
      </c>
      <c r="X83" s="196" t="s">
        <v>4425</v>
      </c>
      <c r="Y83" s="196" t="s">
        <v>4424</v>
      </c>
      <c r="Z83" s="196" t="s">
        <v>4425</v>
      </c>
      <c r="AA83" s="196" t="s">
        <v>4428</v>
      </c>
      <c r="AB83" s="196" t="s">
        <v>4425</v>
      </c>
      <c r="AC83" s="197" t="s">
        <v>4517</v>
      </c>
      <c r="AD83" s="168"/>
      <c r="AE83" s="18" t="s">
        <v>915</v>
      </c>
    </row>
    <row r="84">
      <c r="A84" s="11"/>
      <c r="B84" s="12" t="s">
        <v>7</v>
      </c>
      <c r="C84" s="12" t="s">
        <v>8</v>
      </c>
      <c r="D84" s="12" t="s">
        <v>15</v>
      </c>
      <c r="E84" s="12" t="s">
        <v>21</v>
      </c>
      <c r="F84" s="13" t="s">
        <v>19</v>
      </c>
      <c r="G84" s="12" t="s">
        <v>68</v>
      </c>
      <c r="H84" s="12" t="s">
        <v>968</v>
      </c>
      <c r="I84" s="12" t="s">
        <v>969</v>
      </c>
      <c r="J84" s="17" t="s">
        <v>112</v>
      </c>
      <c r="K84" s="17" t="s">
        <v>113</v>
      </c>
      <c r="L84" s="17" t="s">
        <v>2283</v>
      </c>
      <c r="M84" s="40"/>
      <c r="N84" s="20">
        <v>45833.0</v>
      </c>
      <c r="O84" s="17" t="s">
        <v>194</v>
      </c>
      <c r="P84" s="198" t="s">
        <v>4428</v>
      </c>
      <c r="Q84" s="198" t="s">
        <v>4424</v>
      </c>
      <c r="R84" s="198" t="s">
        <v>4428</v>
      </c>
      <c r="S84" s="198" t="s">
        <v>4424</v>
      </c>
      <c r="T84" s="198" t="s">
        <v>4428</v>
      </c>
      <c r="U84" s="198" t="s">
        <v>4428</v>
      </c>
      <c r="V84" s="198" t="s">
        <v>4424</v>
      </c>
      <c r="W84" s="198" t="s">
        <v>4428</v>
      </c>
      <c r="X84" s="198" t="s">
        <v>4428</v>
      </c>
      <c r="Y84" s="198" t="s">
        <v>4424</v>
      </c>
      <c r="Z84" s="198" t="s">
        <v>4428</v>
      </c>
      <c r="AA84" s="198" t="s">
        <v>4428</v>
      </c>
      <c r="AB84" s="198" t="s">
        <v>4428</v>
      </c>
      <c r="AC84" s="199" t="s">
        <v>4518</v>
      </c>
      <c r="AD84" s="168"/>
      <c r="AE84" s="18" t="s">
        <v>915</v>
      </c>
    </row>
    <row r="85">
      <c r="A85" s="11"/>
      <c r="B85" s="12" t="s">
        <v>7</v>
      </c>
      <c r="C85" s="12" t="s">
        <v>8</v>
      </c>
      <c r="D85" s="12" t="s">
        <v>15</v>
      </c>
      <c r="E85" s="12" t="s">
        <v>21</v>
      </c>
      <c r="F85" s="13" t="s">
        <v>19</v>
      </c>
      <c r="G85" s="12" t="s">
        <v>68</v>
      </c>
      <c r="H85" s="12" t="s">
        <v>968</v>
      </c>
      <c r="I85" s="12" t="s">
        <v>969</v>
      </c>
      <c r="J85" s="17" t="s">
        <v>73</v>
      </c>
      <c r="K85" s="17" t="s">
        <v>1589</v>
      </c>
      <c r="L85" s="17" t="s">
        <v>4519</v>
      </c>
      <c r="M85" s="17">
        <v>25.0</v>
      </c>
      <c r="N85" s="20">
        <v>45833.0</v>
      </c>
      <c r="O85" s="17" t="s">
        <v>194</v>
      </c>
      <c r="P85" s="196" t="s">
        <v>4424</v>
      </c>
      <c r="Q85" s="196" t="s">
        <v>4428</v>
      </c>
      <c r="R85" s="196" t="s">
        <v>4424</v>
      </c>
      <c r="S85" s="196" t="s">
        <v>4425</v>
      </c>
      <c r="T85" s="196" t="s">
        <v>4424</v>
      </c>
      <c r="U85" s="196" t="s">
        <v>4424</v>
      </c>
      <c r="V85" s="196" t="s">
        <v>4428</v>
      </c>
      <c r="W85" s="196" t="s">
        <v>4428</v>
      </c>
      <c r="X85" s="196" t="s">
        <v>4426</v>
      </c>
      <c r="Y85" s="196" t="s">
        <v>4428</v>
      </c>
      <c r="Z85" s="196" t="s">
        <v>4425</v>
      </c>
      <c r="AA85" s="196" t="s">
        <v>4424</v>
      </c>
      <c r="AB85" s="196" t="s">
        <v>4426</v>
      </c>
      <c r="AC85" s="197" t="s">
        <v>4520</v>
      </c>
      <c r="AD85" s="168"/>
      <c r="AE85" s="18" t="s">
        <v>915</v>
      </c>
    </row>
    <row r="86">
      <c r="A86" s="11"/>
      <c r="B86" s="12" t="s">
        <v>7</v>
      </c>
      <c r="C86" s="12" t="s">
        <v>8</v>
      </c>
      <c r="D86" s="12" t="s">
        <v>15</v>
      </c>
      <c r="E86" s="12" t="s">
        <v>21</v>
      </c>
      <c r="F86" s="13" t="s">
        <v>19</v>
      </c>
      <c r="G86" s="12" t="s">
        <v>68</v>
      </c>
      <c r="H86" s="12" t="s">
        <v>968</v>
      </c>
      <c r="I86" s="12" t="s">
        <v>969</v>
      </c>
      <c r="J86" s="17" t="s">
        <v>108</v>
      </c>
      <c r="K86" s="17" t="s">
        <v>109</v>
      </c>
      <c r="L86" s="17" t="s">
        <v>4521</v>
      </c>
      <c r="M86" s="17">
        <v>45.0</v>
      </c>
      <c r="N86" s="20">
        <v>45833.0</v>
      </c>
      <c r="O86" s="17" t="s">
        <v>194</v>
      </c>
      <c r="P86" s="198" t="s">
        <v>4425</v>
      </c>
      <c r="Q86" s="198" t="s">
        <v>4425</v>
      </c>
      <c r="R86" s="198" t="s">
        <v>4424</v>
      </c>
      <c r="S86" s="198" t="s">
        <v>4428</v>
      </c>
      <c r="T86" s="198" t="s">
        <v>4428</v>
      </c>
      <c r="U86" s="198" t="s">
        <v>4424</v>
      </c>
      <c r="V86" s="198" t="s">
        <v>4424</v>
      </c>
      <c r="W86" s="198" t="s">
        <v>4424</v>
      </c>
      <c r="X86" s="198" t="s">
        <v>4424</v>
      </c>
      <c r="Y86" s="198" t="s">
        <v>4428</v>
      </c>
      <c r="Z86" s="198" t="s">
        <v>4426</v>
      </c>
      <c r="AA86" s="198" t="s">
        <v>4424</v>
      </c>
      <c r="AB86" s="198" t="s">
        <v>4426</v>
      </c>
      <c r="AC86" s="199" t="s">
        <v>4522</v>
      </c>
      <c r="AD86" s="168"/>
      <c r="AE86" s="18" t="s">
        <v>915</v>
      </c>
    </row>
    <row r="87">
      <c r="A87" s="11"/>
      <c r="B87" s="12" t="s">
        <v>7</v>
      </c>
      <c r="C87" s="12" t="s">
        <v>8</v>
      </c>
      <c r="D87" s="12" t="s">
        <v>24</v>
      </c>
      <c r="E87" s="12" t="s">
        <v>25</v>
      </c>
      <c r="F87" s="13" t="s">
        <v>26</v>
      </c>
      <c r="G87" s="12" t="s">
        <v>68</v>
      </c>
      <c r="H87" s="12" t="s">
        <v>994</v>
      </c>
      <c r="I87" s="12" t="s">
        <v>995</v>
      </c>
      <c r="J87" s="17" t="s">
        <v>73</v>
      </c>
      <c r="K87" s="17" t="s">
        <v>2004</v>
      </c>
      <c r="L87" s="17" t="s">
        <v>3298</v>
      </c>
      <c r="M87" s="17">
        <v>57.0</v>
      </c>
      <c r="N87" s="20">
        <v>45839.0</v>
      </c>
      <c r="O87" s="17" t="s">
        <v>194</v>
      </c>
      <c r="P87" s="196" t="s">
        <v>4425</v>
      </c>
      <c r="Q87" s="196" t="s">
        <v>4424</v>
      </c>
      <c r="R87" s="196" t="s">
        <v>4428</v>
      </c>
      <c r="S87" s="196" t="s">
        <v>4428</v>
      </c>
      <c r="T87" s="196" t="s">
        <v>4424</v>
      </c>
      <c r="U87" s="196" t="s">
        <v>4424</v>
      </c>
      <c r="V87" s="196" t="s">
        <v>4428</v>
      </c>
      <c r="W87" s="196" t="s">
        <v>4424</v>
      </c>
      <c r="X87" s="201"/>
      <c r="Y87" s="196" t="s">
        <v>4428</v>
      </c>
      <c r="Z87" s="196" t="s">
        <v>4425</v>
      </c>
      <c r="AA87" s="196" t="s">
        <v>4428</v>
      </c>
      <c r="AB87" s="196" t="s">
        <v>4437</v>
      </c>
      <c r="AC87" s="197" t="s">
        <v>4523</v>
      </c>
      <c r="AD87" s="168"/>
      <c r="AE87" s="18" t="s">
        <v>577</v>
      </c>
    </row>
    <row r="88">
      <c r="A88" s="11"/>
      <c r="B88" s="12" t="s">
        <v>7</v>
      </c>
      <c r="C88" s="12" t="s">
        <v>8</v>
      </c>
      <c r="D88" s="12" t="s">
        <v>24</v>
      </c>
      <c r="E88" s="12" t="s">
        <v>25</v>
      </c>
      <c r="F88" s="13" t="s">
        <v>26</v>
      </c>
      <c r="G88" s="12" t="s">
        <v>68</v>
      </c>
      <c r="H88" s="12" t="s">
        <v>994</v>
      </c>
      <c r="I88" s="12" t="s">
        <v>995</v>
      </c>
      <c r="J88" s="17" t="s">
        <v>112</v>
      </c>
      <c r="K88" s="17" t="s">
        <v>2028</v>
      </c>
      <c r="L88" s="17" t="s">
        <v>3300</v>
      </c>
      <c r="M88" s="17">
        <v>36.0</v>
      </c>
      <c r="N88" s="20">
        <v>45839.0</v>
      </c>
      <c r="O88" s="17" t="s">
        <v>194</v>
      </c>
      <c r="P88" s="198" t="s">
        <v>4424</v>
      </c>
      <c r="Q88" s="198" t="s">
        <v>4425</v>
      </c>
      <c r="R88" s="198" t="s">
        <v>4428</v>
      </c>
      <c r="S88" s="200"/>
      <c r="T88" s="198" t="s">
        <v>4424</v>
      </c>
      <c r="U88" s="198" t="s">
        <v>4424</v>
      </c>
      <c r="V88" s="198" t="s">
        <v>4425</v>
      </c>
      <c r="W88" s="198" t="s">
        <v>4424</v>
      </c>
      <c r="X88" s="198" t="s">
        <v>4428</v>
      </c>
      <c r="Y88" s="198" t="s">
        <v>4424</v>
      </c>
      <c r="Z88" s="198" t="s">
        <v>4425</v>
      </c>
      <c r="AA88" s="198" t="s">
        <v>4424</v>
      </c>
      <c r="AB88" s="198" t="s">
        <v>4426</v>
      </c>
      <c r="AC88" s="199" t="s">
        <v>4524</v>
      </c>
      <c r="AD88" s="168"/>
      <c r="AE88" s="18" t="s">
        <v>577</v>
      </c>
    </row>
    <row r="89">
      <c r="A89" s="11"/>
      <c r="B89" s="12" t="s">
        <v>7</v>
      </c>
      <c r="C89" s="12" t="s">
        <v>8</v>
      </c>
      <c r="D89" s="12" t="s">
        <v>24</v>
      </c>
      <c r="E89" s="12" t="s">
        <v>25</v>
      </c>
      <c r="F89" s="13" t="s">
        <v>26</v>
      </c>
      <c r="G89" s="12" t="s">
        <v>68</v>
      </c>
      <c r="H89" s="12" t="s">
        <v>994</v>
      </c>
      <c r="I89" s="12" t="s">
        <v>995</v>
      </c>
      <c r="J89" s="17" t="s">
        <v>108</v>
      </c>
      <c r="K89" s="17" t="s">
        <v>2016</v>
      </c>
      <c r="L89" s="17" t="s">
        <v>3302</v>
      </c>
      <c r="M89" s="17">
        <v>52.0</v>
      </c>
      <c r="N89" s="118">
        <v>45839.0</v>
      </c>
      <c r="O89" s="17" t="s">
        <v>194</v>
      </c>
      <c r="P89" s="196" t="s">
        <v>4425</v>
      </c>
      <c r="Q89" s="196" t="s">
        <v>4425</v>
      </c>
      <c r="R89" s="196" t="s">
        <v>4428</v>
      </c>
      <c r="S89" s="196" t="s">
        <v>4424</v>
      </c>
      <c r="T89" s="196" t="s">
        <v>4424</v>
      </c>
      <c r="U89" s="196" t="s">
        <v>4424</v>
      </c>
      <c r="V89" s="196" t="s">
        <v>4428</v>
      </c>
      <c r="W89" s="196" t="s">
        <v>4426</v>
      </c>
      <c r="X89" s="196" t="s">
        <v>4428</v>
      </c>
      <c r="Y89" s="196" t="s">
        <v>4424</v>
      </c>
      <c r="Z89" s="196" t="s">
        <v>4424</v>
      </c>
      <c r="AA89" s="196" t="s">
        <v>4428</v>
      </c>
      <c r="AB89" s="196" t="s">
        <v>4425</v>
      </c>
      <c r="AC89" s="197" t="s">
        <v>4525</v>
      </c>
      <c r="AD89" s="168"/>
      <c r="AE89" s="18" t="s">
        <v>577</v>
      </c>
    </row>
    <row r="90">
      <c r="A90" s="11"/>
      <c r="B90" s="12" t="s">
        <v>7</v>
      </c>
      <c r="C90" s="12" t="s">
        <v>37</v>
      </c>
      <c r="D90" s="12" t="s">
        <v>38</v>
      </c>
      <c r="E90" s="12" t="s">
        <v>45</v>
      </c>
      <c r="F90" s="13" t="s">
        <v>44</v>
      </c>
      <c r="G90" s="12" t="s">
        <v>68</v>
      </c>
      <c r="H90" s="12" t="s">
        <v>830</v>
      </c>
      <c r="I90" s="12" t="s">
        <v>831</v>
      </c>
      <c r="J90" s="17" t="s">
        <v>73</v>
      </c>
      <c r="K90" s="17" t="s">
        <v>74</v>
      </c>
      <c r="L90" s="17" t="s">
        <v>2303</v>
      </c>
      <c r="M90" s="17">
        <v>46.0</v>
      </c>
      <c r="N90" s="202">
        <v>45979.0</v>
      </c>
      <c r="O90" s="17" t="s">
        <v>428</v>
      </c>
      <c r="P90" s="198" t="s">
        <v>4424</v>
      </c>
      <c r="Q90" s="198" t="s">
        <v>4424</v>
      </c>
      <c r="R90" s="198" t="s">
        <v>4428</v>
      </c>
      <c r="S90" s="198" t="s">
        <v>4428</v>
      </c>
      <c r="T90" s="198" t="s">
        <v>4424</v>
      </c>
      <c r="U90" s="198" t="s">
        <v>4424</v>
      </c>
      <c r="V90" s="198" t="s">
        <v>4425</v>
      </c>
      <c r="W90" s="198" t="s">
        <v>4424</v>
      </c>
      <c r="X90" s="198" t="s">
        <v>4428</v>
      </c>
      <c r="Y90" s="198" t="s">
        <v>4428</v>
      </c>
      <c r="Z90" s="198" t="s">
        <v>4424</v>
      </c>
      <c r="AA90" s="198" t="s">
        <v>4428</v>
      </c>
      <c r="AB90" s="198" t="s">
        <v>4424</v>
      </c>
      <c r="AC90" s="199" t="s">
        <v>4526</v>
      </c>
      <c r="AD90" s="168"/>
      <c r="AE90" s="18" t="s">
        <v>577</v>
      </c>
    </row>
    <row r="91">
      <c r="A91" s="11"/>
      <c r="B91" s="12" t="s">
        <v>7</v>
      </c>
      <c r="C91" s="12" t="s">
        <v>37</v>
      </c>
      <c r="D91" s="12" t="s">
        <v>38</v>
      </c>
      <c r="E91" s="12" t="s">
        <v>45</v>
      </c>
      <c r="F91" s="13" t="s">
        <v>44</v>
      </c>
      <c r="G91" s="12" t="s">
        <v>68</v>
      </c>
      <c r="H91" s="12" t="s">
        <v>830</v>
      </c>
      <c r="I91" s="12" t="s">
        <v>831</v>
      </c>
      <c r="J91" s="17" t="s">
        <v>112</v>
      </c>
      <c r="K91" s="17" t="s">
        <v>113</v>
      </c>
      <c r="L91" s="17" t="s">
        <v>2304</v>
      </c>
      <c r="M91" s="17">
        <v>51.0</v>
      </c>
      <c r="N91" s="202">
        <v>45979.0</v>
      </c>
      <c r="O91" s="17" t="s">
        <v>428</v>
      </c>
      <c r="P91" s="196" t="s">
        <v>4425</v>
      </c>
      <c r="Q91" s="196" t="s">
        <v>4424</v>
      </c>
      <c r="R91" s="196" t="s">
        <v>4428</v>
      </c>
      <c r="S91" s="196" t="s">
        <v>4424</v>
      </c>
      <c r="T91" s="196" t="s">
        <v>4428</v>
      </c>
      <c r="U91" s="196" t="s">
        <v>4428</v>
      </c>
      <c r="V91" s="196" t="s">
        <v>4428</v>
      </c>
      <c r="W91" s="196" t="s">
        <v>4428</v>
      </c>
      <c r="X91" s="196" t="s">
        <v>4428</v>
      </c>
      <c r="Y91" s="196" t="s">
        <v>4428</v>
      </c>
      <c r="Z91" s="196" t="s">
        <v>4428</v>
      </c>
      <c r="AA91" s="196" t="s">
        <v>4424</v>
      </c>
      <c r="AB91" s="196" t="s">
        <v>4428</v>
      </c>
      <c r="AC91" s="197" t="s">
        <v>4527</v>
      </c>
      <c r="AD91" s="168"/>
      <c r="AE91" s="18" t="s">
        <v>577</v>
      </c>
    </row>
    <row r="92">
      <c r="A92" s="11"/>
      <c r="B92" s="12" t="s">
        <v>7</v>
      </c>
      <c r="C92" s="12" t="s">
        <v>37</v>
      </c>
      <c r="D92" s="12" t="s">
        <v>38</v>
      </c>
      <c r="E92" s="12" t="s">
        <v>45</v>
      </c>
      <c r="F92" s="13" t="s">
        <v>44</v>
      </c>
      <c r="G92" s="12" t="s">
        <v>68</v>
      </c>
      <c r="H92" s="12" t="s">
        <v>830</v>
      </c>
      <c r="I92" s="12" t="s">
        <v>831</v>
      </c>
      <c r="J92" s="17" t="s">
        <v>108</v>
      </c>
      <c r="K92" s="17" t="s">
        <v>109</v>
      </c>
      <c r="L92" s="17" t="s">
        <v>2305</v>
      </c>
      <c r="M92" s="17">
        <v>35.0</v>
      </c>
      <c r="N92" s="202">
        <v>45979.0</v>
      </c>
      <c r="O92" s="17" t="s">
        <v>428</v>
      </c>
      <c r="P92" s="198" t="s">
        <v>4428</v>
      </c>
      <c r="Q92" s="198" t="s">
        <v>4428</v>
      </c>
      <c r="R92" s="198" t="s">
        <v>4428</v>
      </c>
      <c r="S92" s="198" t="s">
        <v>4428</v>
      </c>
      <c r="T92" s="198" t="s">
        <v>4428</v>
      </c>
      <c r="U92" s="198" t="s">
        <v>4428</v>
      </c>
      <c r="V92" s="198" t="s">
        <v>4428</v>
      </c>
      <c r="W92" s="198" t="s">
        <v>4428</v>
      </c>
      <c r="X92" s="198" t="s">
        <v>4428</v>
      </c>
      <c r="Y92" s="198" t="s">
        <v>4428</v>
      </c>
      <c r="Z92" s="198" t="s">
        <v>4428</v>
      </c>
      <c r="AA92" s="198" t="s">
        <v>4428</v>
      </c>
      <c r="AB92" s="198" t="s">
        <v>4437</v>
      </c>
      <c r="AC92" s="199" t="s">
        <v>4528</v>
      </c>
      <c r="AD92" s="168"/>
      <c r="AE92" s="18" t="s">
        <v>577</v>
      </c>
    </row>
    <row r="93">
      <c r="A93" s="11"/>
      <c r="B93" s="12" t="s">
        <v>7</v>
      </c>
      <c r="C93" s="12" t="s">
        <v>8</v>
      </c>
      <c r="D93" s="12" t="s">
        <v>24</v>
      </c>
      <c r="E93" s="12" t="s">
        <v>25</v>
      </c>
      <c r="F93" s="13" t="s">
        <v>26</v>
      </c>
      <c r="G93" s="12" t="s">
        <v>68</v>
      </c>
      <c r="H93" s="12" t="s">
        <v>994</v>
      </c>
      <c r="I93" s="12" t="s">
        <v>995</v>
      </c>
      <c r="J93" s="17" t="s">
        <v>73</v>
      </c>
      <c r="K93" s="17" t="s">
        <v>2004</v>
      </c>
      <c r="L93" s="17" t="s">
        <v>3298</v>
      </c>
      <c r="M93" s="17">
        <v>57.0</v>
      </c>
      <c r="N93" s="202">
        <v>45979.0</v>
      </c>
      <c r="O93" s="17" t="s">
        <v>428</v>
      </c>
      <c r="P93" s="201"/>
      <c r="Q93" s="196" t="s">
        <v>4428</v>
      </c>
      <c r="R93" s="196" t="s">
        <v>4424</v>
      </c>
      <c r="S93" s="196" t="s">
        <v>4424</v>
      </c>
      <c r="T93" s="196" t="s">
        <v>4428</v>
      </c>
      <c r="U93" s="196" t="s">
        <v>4428</v>
      </c>
      <c r="V93" s="196" t="s">
        <v>4424</v>
      </c>
      <c r="W93" s="196" t="s">
        <v>4424</v>
      </c>
      <c r="X93" s="196" t="s">
        <v>4424</v>
      </c>
      <c r="Y93" s="196" t="s">
        <v>4424</v>
      </c>
      <c r="Z93" s="196" t="s">
        <v>4428</v>
      </c>
      <c r="AA93" s="196" t="s">
        <v>4424</v>
      </c>
      <c r="AB93" s="196" t="s">
        <v>4426</v>
      </c>
      <c r="AC93" s="197" t="s">
        <v>4529</v>
      </c>
      <c r="AD93" s="168"/>
      <c r="AE93" s="18" t="s">
        <v>577</v>
      </c>
    </row>
    <row r="94">
      <c r="A94" s="11"/>
      <c r="B94" s="12" t="s">
        <v>7</v>
      </c>
      <c r="C94" s="12" t="s">
        <v>8</v>
      </c>
      <c r="D94" s="12" t="s">
        <v>24</v>
      </c>
      <c r="E94" s="12" t="s">
        <v>25</v>
      </c>
      <c r="F94" s="13" t="s">
        <v>26</v>
      </c>
      <c r="G94" s="12" t="s">
        <v>68</v>
      </c>
      <c r="H94" s="12" t="s">
        <v>994</v>
      </c>
      <c r="I94" s="12" t="s">
        <v>995</v>
      </c>
      <c r="J94" s="17" t="s">
        <v>112</v>
      </c>
      <c r="K94" s="17" t="s">
        <v>2028</v>
      </c>
      <c r="L94" s="17" t="s">
        <v>3300</v>
      </c>
      <c r="M94" s="17">
        <v>36.0</v>
      </c>
      <c r="N94" s="202">
        <v>45979.0</v>
      </c>
      <c r="O94" s="17" t="s">
        <v>428</v>
      </c>
      <c r="P94" s="198" t="s">
        <v>4428</v>
      </c>
      <c r="Q94" s="198" t="s">
        <v>4424</v>
      </c>
      <c r="R94" s="198" t="s">
        <v>4428</v>
      </c>
      <c r="S94" s="198" t="s">
        <v>4424</v>
      </c>
      <c r="T94" s="198" t="s">
        <v>4424</v>
      </c>
      <c r="U94" s="198" t="s">
        <v>4424</v>
      </c>
      <c r="V94" s="198" t="s">
        <v>4424</v>
      </c>
      <c r="W94" s="198" t="s">
        <v>4425</v>
      </c>
      <c r="X94" s="198" t="s">
        <v>4424</v>
      </c>
      <c r="Y94" s="198" t="s">
        <v>4424</v>
      </c>
      <c r="Z94" s="198" t="s">
        <v>4425</v>
      </c>
      <c r="AA94" s="198" t="s">
        <v>4424</v>
      </c>
      <c r="AB94" s="198" t="s">
        <v>4424</v>
      </c>
      <c r="AC94" s="199" t="s">
        <v>4530</v>
      </c>
      <c r="AD94" s="168"/>
      <c r="AE94" s="18" t="s">
        <v>577</v>
      </c>
    </row>
    <row r="95">
      <c r="A95" s="11"/>
      <c r="B95" s="12" t="s">
        <v>7</v>
      </c>
      <c r="C95" s="12" t="s">
        <v>8</v>
      </c>
      <c r="D95" s="12" t="s">
        <v>24</v>
      </c>
      <c r="E95" s="12" t="s">
        <v>25</v>
      </c>
      <c r="F95" s="13" t="s">
        <v>26</v>
      </c>
      <c r="G95" s="12" t="s">
        <v>68</v>
      </c>
      <c r="H95" s="12" t="s">
        <v>994</v>
      </c>
      <c r="I95" s="12" t="s">
        <v>995</v>
      </c>
      <c r="J95" s="17" t="s">
        <v>108</v>
      </c>
      <c r="K95" s="17" t="s">
        <v>2016</v>
      </c>
      <c r="L95" s="17" t="s">
        <v>3302</v>
      </c>
      <c r="M95" s="17">
        <v>52.0</v>
      </c>
      <c r="N95" s="202">
        <v>45979.0</v>
      </c>
      <c r="O95" s="17" t="s">
        <v>428</v>
      </c>
      <c r="P95" s="196" t="s">
        <v>4425</v>
      </c>
      <c r="Q95" s="196" t="s">
        <v>4424</v>
      </c>
      <c r="R95" s="196" t="s">
        <v>4424</v>
      </c>
      <c r="S95" s="196" t="s">
        <v>4424</v>
      </c>
      <c r="T95" s="196" t="s">
        <v>4424</v>
      </c>
      <c r="U95" s="196" t="s">
        <v>4424</v>
      </c>
      <c r="V95" s="196" t="s">
        <v>4428</v>
      </c>
      <c r="W95" s="196" t="s">
        <v>4424</v>
      </c>
      <c r="X95" s="196" t="s">
        <v>4424</v>
      </c>
      <c r="Y95" s="196" t="s">
        <v>4424</v>
      </c>
      <c r="Z95" s="196" t="s">
        <v>4424</v>
      </c>
      <c r="AA95" s="196" t="s">
        <v>4428</v>
      </c>
      <c r="AB95" s="196" t="s">
        <v>4426</v>
      </c>
      <c r="AC95" s="197" t="s">
        <v>4531</v>
      </c>
      <c r="AD95" s="168"/>
      <c r="AE95" s="18" t="s">
        <v>577</v>
      </c>
    </row>
    <row r="96">
      <c r="A96" s="11"/>
      <c r="B96" s="12" t="s">
        <v>7</v>
      </c>
      <c r="C96" s="12" t="s">
        <v>8</v>
      </c>
      <c r="D96" s="12" t="s">
        <v>24</v>
      </c>
      <c r="E96" s="12" t="s">
        <v>35</v>
      </c>
      <c r="F96" s="13" t="s">
        <v>33</v>
      </c>
      <c r="G96" s="12" t="s">
        <v>68</v>
      </c>
      <c r="H96" s="12" t="s">
        <v>813</v>
      </c>
      <c r="I96" s="12" t="s">
        <v>814</v>
      </c>
      <c r="J96" s="17" t="s">
        <v>73</v>
      </c>
      <c r="K96" s="17" t="s">
        <v>1797</v>
      </c>
      <c r="L96" s="17" t="s">
        <v>2390</v>
      </c>
      <c r="M96" s="17">
        <v>23.0</v>
      </c>
      <c r="N96" s="202">
        <v>45979.0</v>
      </c>
      <c r="O96" s="17" t="s">
        <v>428</v>
      </c>
      <c r="P96" s="198" t="s">
        <v>4424</v>
      </c>
      <c r="Q96" s="198" t="s">
        <v>4424</v>
      </c>
      <c r="R96" s="198" t="s">
        <v>4424</v>
      </c>
      <c r="S96" s="198" t="s">
        <v>4428</v>
      </c>
      <c r="T96" s="198" t="s">
        <v>4424</v>
      </c>
      <c r="U96" s="198" t="s">
        <v>4428</v>
      </c>
      <c r="V96" s="198" t="s">
        <v>4424</v>
      </c>
      <c r="W96" s="198" t="s">
        <v>4428</v>
      </c>
      <c r="X96" s="198" t="s">
        <v>4424</v>
      </c>
      <c r="Y96" s="198" t="s">
        <v>4425</v>
      </c>
      <c r="Z96" s="198" t="s">
        <v>4424</v>
      </c>
      <c r="AA96" s="198" t="s">
        <v>4428</v>
      </c>
      <c r="AB96" s="198" t="s">
        <v>4424</v>
      </c>
      <c r="AC96" s="199" t="s">
        <v>4532</v>
      </c>
      <c r="AD96" s="168"/>
      <c r="AE96" s="18" t="s">
        <v>577</v>
      </c>
    </row>
    <row r="97">
      <c r="A97" s="11"/>
      <c r="B97" s="12" t="s">
        <v>7</v>
      </c>
      <c r="C97" s="12" t="s">
        <v>8</v>
      </c>
      <c r="D97" s="12" t="s">
        <v>24</v>
      </c>
      <c r="E97" s="12" t="s">
        <v>35</v>
      </c>
      <c r="F97" s="13" t="s">
        <v>33</v>
      </c>
      <c r="G97" s="12" t="s">
        <v>68</v>
      </c>
      <c r="H97" s="12" t="s">
        <v>813</v>
      </c>
      <c r="I97" s="12" t="s">
        <v>814</v>
      </c>
      <c r="J97" s="17" t="s">
        <v>108</v>
      </c>
      <c r="K97" s="17" t="s">
        <v>109</v>
      </c>
      <c r="L97" s="17" t="s">
        <v>2389</v>
      </c>
      <c r="M97" s="17">
        <v>59.0</v>
      </c>
      <c r="N97" s="202">
        <v>45979.0</v>
      </c>
      <c r="O97" s="17" t="s">
        <v>428</v>
      </c>
      <c r="P97" s="196" t="s">
        <v>4424</v>
      </c>
      <c r="Q97" s="196" t="s">
        <v>4425</v>
      </c>
      <c r="R97" s="196" t="s">
        <v>4428</v>
      </c>
      <c r="S97" s="196" t="s">
        <v>4424</v>
      </c>
      <c r="T97" s="196" t="s">
        <v>4424</v>
      </c>
      <c r="U97" s="196" t="s">
        <v>4424</v>
      </c>
      <c r="V97" s="196" t="s">
        <v>4425</v>
      </c>
      <c r="W97" s="196" t="s">
        <v>4428</v>
      </c>
      <c r="X97" s="196" t="s">
        <v>4424</v>
      </c>
      <c r="Y97" s="196" t="s">
        <v>4425</v>
      </c>
      <c r="Z97" s="196" t="s">
        <v>4424</v>
      </c>
      <c r="AA97" s="196" t="s">
        <v>4424</v>
      </c>
      <c r="AB97" s="196" t="s">
        <v>4425</v>
      </c>
      <c r="AC97" s="197" t="s">
        <v>4533</v>
      </c>
      <c r="AD97" s="168"/>
      <c r="AE97" s="18" t="s">
        <v>577</v>
      </c>
    </row>
    <row r="98">
      <c r="A98" s="11"/>
      <c r="B98" s="12" t="s">
        <v>7</v>
      </c>
      <c r="C98" s="12" t="s">
        <v>8</v>
      </c>
      <c r="D98" s="12" t="s">
        <v>24</v>
      </c>
      <c r="E98" s="12" t="s">
        <v>29</v>
      </c>
      <c r="F98" s="13" t="s">
        <v>27</v>
      </c>
      <c r="G98" s="12" t="s">
        <v>68</v>
      </c>
      <c r="H98" s="12" t="s">
        <v>801</v>
      </c>
      <c r="I98" s="12" t="s">
        <v>802</v>
      </c>
      <c r="J98" s="17" t="s">
        <v>73</v>
      </c>
      <c r="K98" s="17" t="s">
        <v>2055</v>
      </c>
      <c r="L98" s="17" t="s">
        <v>2369</v>
      </c>
      <c r="M98" s="17">
        <v>33.0</v>
      </c>
      <c r="N98" s="202">
        <v>45979.0</v>
      </c>
      <c r="O98" s="17" t="s">
        <v>428</v>
      </c>
      <c r="P98" s="198" t="s">
        <v>4428</v>
      </c>
      <c r="Q98" s="198" t="s">
        <v>4424</v>
      </c>
      <c r="R98" s="198" t="s">
        <v>4424</v>
      </c>
      <c r="S98" s="198" t="s">
        <v>4424</v>
      </c>
      <c r="T98" s="198" t="s">
        <v>4424</v>
      </c>
      <c r="U98" s="198" t="s">
        <v>4424</v>
      </c>
      <c r="V98" s="198" t="s">
        <v>4424</v>
      </c>
      <c r="W98" s="198" t="s">
        <v>4424</v>
      </c>
      <c r="X98" s="198" t="s">
        <v>4424</v>
      </c>
      <c r="Y98" s="198" t="s">
        <v>4428</v>
      </c>
      <c r="Z98" s="198" t="s">
        <v>4424</v>
      </c>
      <c r="AA98" s="198" t="s">
        <v>4424</v>
      </c>
      <c r="AB98" s="198" t="s">
        <v>4426</v>
      </c>
      <c r="AC98" s="199" t="s">
        <v>4534</v>
      </c>
      <c r="AD98" s="168"/>
      <c r="AE98" s="18" t="s">
        <v>577</v>
      </c>
    </row>
    <row r="99">
      <c r="A99" s="11"/>
      <c r="B99" s="12" t="s">
        <v>7</v>
      </c>
      <c r="C99" s="12" t="s">
        <v>8</v>
      </c>
      <c r="D99" s="12" t="s">
        <v>24</v>
      </c>
      <c r="E99" s="12" t="s">
        <v>32</v>
      </c>
      <c r="F99" s="13" t="s">
        <v>30</v>
      </c>
      <c r="G99" s="12" t="s">
        <v>68</v>
      </c>
      <c r="H99" s="12" t="s">
        <v>573</v>
      </c>
      <c r="I99" s="12" t="s">
        <v>574</v>
      </c>
      <c r="J99" s="17" t="s">
        <v>73</v>
      </c>
      <c r="K99" s="17" t="s">
        <v>2055</v>
      </c>
      <c r="L99" s="17" t="s">
        <v>2174</v>
      </c>
      <c r="M99" s="17">
        <v>39.0</v>
      </c>
      <c r="N99" s="202">
        <v>45979.0</v>
      </c>
      <c r="O99" s="17" t="s">
        <v>428</v>
      </c>
      <c r="P99" s="196" t="s">
        <v>4428</v>
      </c>
      <c r="Q99" s="196" t="s">
        <v>4425</v>
      </c>
      <c r="R99" s="196" t="s">
        <v>4424</v>
      </c>
      <c r="S99" s="196" t="s">
        <v>4425</v>
      </c>
      <c r="T99" s="196" t="s">
        <v>4424</v>
      </c>
      <c r="U99" s="196" t="s">
        <v>4424</v>
      </c>
      <c r="V99" s="196" t="s">
        <v>4424</v>
      </c>
      <c r="W99" s="196" t="s">
        <v>4428</v>
      </c>
      <c r="X99" s="196" t="s">
        <v>4428</v>
      </c>
      <c r="Y99" s="196" t="s">
        <v>4428</v>
      </c>
      <c r="Z99" s="196" t="s">
        <v>4425</v>
      </c>
      <c r="AA99" s="196" t="s">
        <v>4428</v>
      </c>
      <c r="AB99" s="196" t="s">
        <v>4428</v>
      </c>
      <c r="AC99" s="197" t="s">
        <v>4535</v>
      </c>
      <c r="AD99" s="168"/>
      <c r="AE99" s="18" t="s">
        <v>577</v>
      </c>
    </row>
    <row r="100">
      <c r="A100" s="11"/>
      <c r="B100" s="12" t="s">
        <v>7</v>
      </c>
      <c r="C100" s="12" t="s">
        <v>8</v>
      </c>
      <c r="D100" s="12" t="s">
        <v>24</v>
      </c>
      <c r="E100" s="12" t="s">
        <v>25</v>
      </c>
      <c r="F100" s="13" t="s">
        <v>50</v>
      </c>
      <c r="G100" s="12" t="s">
        <v>86</v>
      </c>
      <c r="H100" s="12" t="s">
        <v>3307</v>
      </c>
      <c r="I100" s="23"/>
      <c r="J100" s="17" t="s">
        <v>73</v>
      </c>
      <c r="K100" s="17" t="s">
        <v>2055</v>
      </c>
      <c r="L100" s="17" t="s">
        <v>3325</v>
      </c>
      <c r="M100" s="17">
        <v>54.0</v>
      </c>
      <c r="N100" s="202">
        <v>45979.0</v>
      </c>
      <c r="O100" s="17" t="s">
        <v>428</v>
      </c>
      <c r="P100" s="198" t="s">
        <v>4437</v>
      </c>
      <c r="Q100" s="198" t="s">
        <v>4426</v>
      </c>
      <c r="R100" s="198" t="s">
        <v>4437</v>
      </c>
      <c r="S100" s="198" t="s">
        <v>4426</v>
      </c>
      <c r="T100" s="198" t="s">
        <v>4424</v>
      </c>
      <c r="U100" s="198" t="s">
        <v>4424</v>
      </c>
      <c r="V100" s="198" t="s">
        <v>4425</v>
      </c>
      <c r="W100" s="198" t="s">
        <v>4425</v>
      </c>
      <c r="X100" s="198" t="s">
        <v>4425</v>
      </c>
      <c r="Y100" s="198" t="s">
        <v>4425</v>
      </c>
      <c r="Z100" s="198" t="s">
        <v>4425</v>
      </c>
      <c r="AA100" s="198" t="s">
        <v>4424</v>
      </c>
      <c r="AB100" s="198" t="s">
        <v>4426</v>
      </c>
      <c r="AC100" s="199" t="s">
        <v>4536</v>
      </c>
      <c r="AE100" s="18" t="s">
        <v>577</v>
      </c>
    </row>
    <row r="101">
      <c r="A101" s="11"/>
      <c r="B101" s="12" t="s">
        <v>7</v>
      </c>
      <c r="C101" s="12" t="s">
        <v>8</v>
      </c>
      <c r="D101" s="12" t="s">
        <v>24</v>
      </c>
      <c r="E101" s="12" t="s">
        <v>25</v>
      </c>
      <c r="F101" s="13" t="s">
        <v>50</v>
      </c>
      <c r="G101" s="12" t="s">
        <v>86</v>
      </c>
      <c r="H101" s="12" t="s">
        <v>3307</v>
      </c>
      <c r="I101" s="23"/>
      <c r="J101" s="17" t="s">
        <v>73</v>
      </c>
      <c r="K101" s="17" t="s">
        <v>2055</v>
      </c>
      <c r="L101" s="17" t="s">
        <v>3633</v>
      </c>
      <c r="M101" s="17">
        <v>48.0</v>
      </c>
      <c r="N101" s="202">
        <v>45979.0</v>
      </c>
      <c r="O101" s="17" t="s">
        <v>428</v>
      </c>
      <c r="P101" s="196" t="s">
        <v>4426</v>
      </c>
      <c r="Q101" s="196" t="s">
        <v>4426</v>
      </c>
      <c r="R101" s="196" t="s">
        <v>4424</v>
      </c>
      <c r="S101" s="196" t="s">
        <v>4426</v>
      </c>
      <c r="T101" s="196" t="s">
        <v>4424</v>
      </c>
      <c r="U101" s="196" t="s">
        <v>4426</v>
      </c>
      <c r="V101" s="196" t="s">
        <v>4424</v>
      </c>
      <c r="W101" s="196" t="s">
        <v>4424</v>
      </c>
      <c r="X101" s="196" t="s">
        <v>4424</v>
      </c>
      <c r="Y101" s="196" t="s">
        <v>4424</v>
      </c>
      <c r="Z101" s="196" t="s">
        <v>4426</v>
      </c>
      <c r="AA101" s="196" t="s">
        <v>4424</v>
      </c>
      <c r="AB101" s="196" t="s">
        <v>4426</v>
      </c>
      <c r="AC101" s="197" t="s">
        <v>4537</v>
      </c>
      <c r="AD101" s="17" t="s">
        <v>4271</v>
      </c>
      <c r="AE101" s="18" t="s">
        <v>577</v>
      </c>
    </row>
    <row r="102">
      <c r="A102" s="11"/>
      <c r="B102" s="12" t="s">
        <v>43</v>
      </c>
      <c r="C102" s="12" t="s">
        <v>65</v>
      </c>
      <c r="D102" s="12" t="s">
        <v>43</v>
      </c>
      <c r="E102" s="12" t="s">
        <v>66</v>
      </c>
      <c r="F102" s="13" t="s">
        <v>67</v>
      </c>
      <c r="G102" s="12" t="s">
        <v>68</v>
      </c>
      <c r="H102" s="12" t="s">
        <v>69</v>
      </c>
      <c r="I102" s="12" t="s">
        <v>70</v>
      </c>
      <c r="J102" s="17" t="s">
        <v>73</v>
      </c>
      <c r="K102" s="17" t="s">
        <v>74</v>
      </c>
      <c r="L102" s="203" t="s">
        <v>4538</v>
      </c>
      <c r="M102" s="17">
        <v>26.0</v>
      </c>
      <c r="N102" s="20">
        <v>45979.0</v>
      </c>
      <c r="O102" s="17" t="s">
        <v>428</v>
      </c>
      <c r="P102" s="147" t="s">
        <v>4424</v>
      </c>
      <c r="Q102" s="147" t="s">
        <v>4428</v>
      </c>
      <c r="R102" s="147" t="s">
        <v>4428</v>
      </c>
      <c r="S102" s="147" t="s">
        <v>4428</v>
      </c>
      <c r="T102" s="147" t="s">
        <v>4428</v>
      </c>
      <c r="U102" s="147" t="s">
        <v>4424</v>
      </c>
      <c r="V102" s="147" t="s">
        <v>4424</v>
      </c>
      <c r="W102" s="147" t="s">
        <v>4424</v>
      </c>
      <c r="X102" s="147" t="s">
        <v>4424</v>
      </c>
      <c r="Y102" s="147" t="s">
        <v>4424</v>
      </c>
      <c r="Z102" s="147" t="s">
        <v>4425</v>
      </c>
      <c r="AA102" s="147" t="s">
        <v>4424</v>
      </c>
      <c r="AB102" s="147" t="s">
        <v>4426</v>
      </c>
      <c r="AC102" s="181" t="s">
        <v>4539</v>
      </c>
      <c r="AD102" s="204"/>
      <c r="AE102" s="18" t="s">
        <v>76</v>
      </c>
    </row>
    <row r="103">
      <c r="A103" s="11"/>
      <c r="B103" s="12" t="s">
        <v>43</v>
      </c>
      <c r="C103" s="12" t="s">
        <v>65</v>
      </c>
      <c r="D103" s="12" t="s">
        <v>43</v>
      </c>
      <c r="E103" s="12" t="s">
        <v>66</v>
      </c>
      <c r="F103" s="13" t="s">
        <v>67</v>
      </c>
      <c r="G103" s="12" t="s">
        <v>68</v>
      </c>
      <c r="H103" s="12" t="s">
        <v>69</v>
      </c>
      <c r="I103" s="12" t="s">
        <v>70</v>
      </c>
      <c r="J103" s="17" t="s">
        <v>108</v>
      </c>
      <c r="K103" s="17" t="s">
        <v>109</v>
      </c>
      <c r="L103" s="205" t="s">
        <v>4540</v>
      </c>
      <c r="M103" s="17">
        <v>46.0</v>
      </c>
      <c r="N103" s="20">
        <v>45979.0</v>
      </c>
      <c r="O103" s="17" t="s">
        <v>428</v>
      </c>
      <c r="P103" s="206" t="s">
        <v>4424</v>
      </c>
      <c r="Q103" s="207" t="s">
        <v>4428</v>
      </c>
      <c r="R103" s="207" t="s">
        <v>4424</v>
      </c>
      <c r="S103" s="207" t="s">
        <v>4424</v>
      </c>
      <c r="T103" s="207" t="s">
        <v>4428</v>
      </c>
      <c r="U103" s="207" t="s">
        <v>4424</v>
      </c>
      <c r="V103" s="207" t="s">
        <v>4424</v>
      </c>
      <c r="W103" s="207" t="s">
        <v>4424</v>
      </c>
      <c r="X103" s="207" t="s">
        <v>4428</v>
      </c>
      <c r="Y103" s="207" t="s">
        <v>4424</v>
      </c>
      <c r="Z103" s="207" t="s">
        <v>4424</v>
      </c>
      <c r="AA103" s="207" t="s">
        <v>4424</v>
      </c>
      <c r="AB103" s="207" t="s">
        <v>4428</v>
      </c>
      <c r="AC103" s="167" t="s">
        <v>4541</v>
      </c>
      <c r="AD103" s="204"/>
      <c r="AE103" s="18" t="s">
        <v>76</v>
      </c>
    </row>
    <row r="104">
      <c r="A104" s="11"/>
      <c r="B104" s="12" t="s">
        <v>43</v>
      </c>
      <c r="C104" s="12" t="s">
        <v>65</v>
      </c>
      <c r="D104" s="12" t="s">
        <v>43</v>
      </c>
      <c r="E104" s="12" t="s">
        <v>188</v>
      </c>
      <c r="F104" s="13" t="s">
        <v>189</v>
      </c>
      <c r="G104" s="12" t="s">
        <v>68</v>
      </c>
      <c r="H104" s="12" t="s">
        <v>190</v>
      </c>
      <c r="I104" s="12" t="s">
        <v>191</v>
      </c>
      <c r="J104" s="17" t="s">
        <v>73</v>
      </c>
      <c r="K104" s="17" t="s">
        <v>74</v>
      </c>
      <c r="L104" s="16" t="s">
        <v>3407</v>
      </c>
      <c r="M104" s="17">
        <v>28.0</v>
      </c>
      <c r="N104" s="20">
        <v>45979.0</v>
      </c>
      <c r="O104" s="17" t="s">
        <v>428</v>
      </c>
      <c r="P104" s="141" t="s">
        <v>4428</v>
      </c>
      <c r="Q104" s="141" t="s">
        <v>4424</v>
      </c>
      <c r="R104" s="141" t="s">
        <v>4424</v>
      </c>
      <c r="S104" s="141" t="s">
        <v>4428</v>
      </c>
      <c r="T104" s="141" t="s">
        <v>4428</v>
      </c>
      <c r="U104" s="141" t="s">
        <v>4428</v>
      </c>
      <c r="V104" s="141" t="s">
        <v>4424</v>
      </c>
      <c r="W104" s="141" t="s">
        <v>4428</v>
      </c>
      <c r="X104" s="141" t="s">
        <v>4428</v>
      </c>
      <c r="Y104" s="141" t="s">
        <v>4428</v>
      </c>
      <c r="Z104" s="141" t="s">
        <v>4424</v>
      </c>
      <c r="AA104" s="141" t="s">
        <v>4428</v>
      </c>
      <c r="AB104" s="141" t="s">
        <v>4425</v>
      </c>
      <c r="AC104" s="208" t="s">
        <v>4542</v>
      </c>
      <c r="AE104" s="18" t="s">
        <v>76</v>
      </c>
    </row>
    <row r="105">
      <c r="A105" s="11"/>
      <c r="B105" s="12" t="s">
        <v>43</v>
      </c>
      <c r="C105" s="12" t="s">
        <v>65</v>
      </c>
      <c r="D105" s="12" t="s">
        <v>43</v>
      </c>
      <c r="E105" s="12" t="s">
        <v>188</v>
      </c>
      <c r="F105" s="13" t="s">
        <v>189</v>
      </c>
      <c r="G105" s="12" t="s">
        <v>68</v>
      </c>
      <c r="H105" s="12" t="s">
        <v>190</v>
      </c>
      <c r="I105" s="12" t="s">
        <v>191</v>
      </c>
      <c r="J105" s="17" t="s">
        <v>108</v>
      </c>
      <c r="K105" s="17" t="s">
        <v>109</v>
      </c>
      <c r="L105" s="16" t="s">
        <v>4543</v>
      </c>
      <c r="M105" s="17">
        <v>46.0</v>
      </c>
      <c r="N105" s="20">
        <v>45979.0</v>
      </c>
      <c r="O105" s="17" t="s">
        <v>428</v>
      </c>
      <c r="P105" s="141" t="s">
        <v>4428</v>
      </c>
      <c r="Q105" s="141" t="s">
        <v>4424</v>
      </c>
      <c r="R105" s="141" t="s">
        <v>4428</v>
      </c>
      <c r="S105" s="141" t="s">
        <v>4424</v>
      </c>
      <c r="T105" s="141" t="s">
        <v>4428</v>
      </c>
      <c r="U105" s="141" t="s">
        <v>4424</v>
      </c>
      <c r="V105" s="141" t="s">
        <v>4425</v>
      </c>
      <c r="W105" s="141" t="s">
        <v>4428</v>
      </c>
      <c r="X105" s="141" t="s">
        <v>4428</v>
      </c>
      <c r="Y105" s="141" t="s">
        <v>4428</v>
      </c>
      <c r="Z105" s="141" t="s">
        <v>4428</v>
      </c>
      <c r="AA105" s="141" t="s">
        <v>4428</v>
      </c>
      <c r="AB105" s="141" t="s">
        <v>4425</v>
      </c>
      <c r="AC105" s="208" t="s">
        <v>4544</v>
      </c>
      <c r="AE105" s="18" t="s">
        <v>76</v>
      </c>
    </row>
    <row r="106">
      <c r="A106" s="11"/>
      <c r="B106" s="12" t="s">
        <v>34</v>
      </c>
      <c r="C106" s="12" t="s">
        <v>65</v>
      </c>
      <c r="D106" s="12" t="s">
        <v>43</v>
      </c>
      <c r="E106" s="12" t="s">
        <v>224</v>
      </c>
      <c r="F106" s="13" t="s">
        <v>225</v>
      </c>
      <c r="G106" s="12" t="s">
        <v>68</v>
      </c>
      <c r="H106" s="12" t="s">
        <v>226</v>
      </c>
      <c r="I106" s="12" t="s">
        <v>227</v>
      </c>
      <c r="J106" s="17" t="s">
        <v>73</v>
      </c>
      <c r="K106" s="17" t="s">
        <v>74</v>
      </c>
      <c r="L106" s="73" t="s">
        <v>3601</v>
      </c>
      <c r="M106" s="17">
        <v>32.0</v>
      </c>
      <c r="N106" s="20">
        <v>45979.0</v>
      </c>
      <c r="O106" s="17" t="s">
        <v>428</v>
      </c>
      <c r="P106" s="209" t="s">
        <v>4428</v>
      </c>
      <c r="Q106" s="209" t="s">
        <v>4424</v>
      </c>
      <c r="R106" s="209" t="s">
        <v>4428</v>
      </c>
      <c r="S106" s="209" t="s">
        <v>4428</v>
      </c>
      <c r="T106" s="209" t="s">
        <v>4428</v>
      </c>
      <c r="U106" s="209" t="s">
        <v>4428</v>
      </c>
      <c r="V106" s="209" t="s">
        <v>4428</v>
      </c>
      <c r="W106" s="209" t="s">
        <v>4428</v>
      </c>
      <c r="X106" s="209" t="s">
        <v>4424</v>
      </c>
      <c r="Y106" s="209" t="s">
        <v>4428</v>
      </c>
      <c r="Z106" s="209" t="s">
        <v>4428</v>
      </c>
      <c r="AA106" s="209" t="s">
        <v>4428</v>
      </c>
      <c r="AB106" s="209" t="s">
        <v>4428</v>
      </c>
      <c r="AC106" s="210" t="s">
        <v>4545</v>
      </c>
      <c r="AE106" s="18" t="s">
        <v>76</v>
      </c>
    </row>
    <row r="107">
      <c r="A107" s="11"/>
      <c r="B107" s="12" t="s">
        <v>34</v>
      </c>
      <c r="C107" s="12" t="s">
        <v>65</v>
      </c>
      <c r="D107" s="12" t="s">
        <v>43</v>
      </c>
      <c r="E107" s="12" t="s">
        <v>224</v>
      </c>
      <c r="F107" s="13" t="s">
        <v>225</v>
      </c>
      <c r="G107" s="12" t="s">
        <v>68</v>
      </c>
      <c r="H107" s="12" t="s">
        <v>226</v>
      </c>
      <c r="I107" s="12" t="s">
        <v>227</v>
      </c>
      <c r="J107" s="17" t="s">
        <v>112</v>
      </c>
      <c r="K107" s="17" t="s">
        <v>113</v>
      </c>
      <c r="L107" s="16" t="s">
        <v>3600</v>
      </c>
      <c r="M107" s="17">
        <v>45.0</v>
      </c>
      <c r="N107" s="20">
        <v>45979.0</v>
      </c>
      <c r="O107" s="17" t="s">
        <v>428</v>
      </c>
      <c r="P107" s="193" t="s">
        <v>4424</v>
      </c>
      <c r="Q107" s="193" t="s">
        <v>4424</v>
      </c>
      <c r="R107" s="193" t="s">
        <v>4428</v>
      </c>
      <c r="S107" s="193" t="s">
        <v>4424</v>
      </c>
      <c r="T107" s="193" t="s">
        <v>4424</v>
      </c>
      <c r="U107" s="193" t="s">
        <v>4424</v>
      </c>
      <c r="V107" s="193" t="s">
        <v>4424</v>
      </c>
      <c r="W107" s="193" t="s">
        <v>4424</v>
      </c>
      <c r="X107" s="193" t="s">
        <v>4424</v>
      </c>
      <c r="Y107" s="193" t="s">
        <v>4424</v>
      </c>
      <c r="Z107" s="193" t="s">
        <v>4424</v>
      </c>
      <c r="AA107" s="193" t="s">
        <v>4424</v>
      </c>
      <c r="AB107" s="193" t="s">
        <v>4437</v>
      </c>
      <c r="AC107" s="160" t="s">
        <v>4546</v>
      </c>
      <c r="AE107" s="18" t="s">
        <v>76</v>
      </c>
    </row>
    <row r="108">
      <c r="A108" s="11"/>
      <c r="B108" s="12" t="s">
        <v>34</v>
      </c>
      <c r="C108" s="12" t="s">
        <v>65</v>
      </c>
      <c r="D108" s="12" t="s">
        <v>43</v>
      </c>
      <c r="E108" s="12" t="s">
        <v>224</v>
      </c>
      <c r="F108" s="13" t="s">
        <v>225</v>
      </c>
      <c r="G108" s="12" t="s">
        <v>68</v>
      </c>
      <c r="H108" s="12" t="s">
        <v>226</v>
      </c>
      <c r="I108" s="12" t="s">
        <v>227</v>
      </c>
      <c r="J108" s="17" t="s">
        <v>108</v>
      </c>
      <c r="K108" s="17" t="s">
        <v>109</v>
      </c>
      <c r="L108" s="73" t="s">
        <v>3599</v>
      </c>
      <c r="M108" s="17">
        <v>34.0</v>
      </c>
      <c r="N108" s="20">
        <v>45979.0</v>
      </c>
      <c r="O108" s="17" t="s">
        <v>428</v>
      </c>
      <c r="P108" s="193" t="s">
        <v>4424</v>
      </c>
      <c r="Q108" s="193" t="s">
        <v>4424</v>
      </c>
      <c r="R108" s="193" t="s">
        <v>4424</v>
      </c>
      <c r="S108" s="193" t="s">
        <v>4424</v>
      </c>
      <c r="T108" s="193" t="s">
        <v>4428</v>
      </c>
      <c r="U108" s="193" t="s">
        <v>4428</v>
      </c>
      <c r="V108" s="193" t="s">
        <v>4428</v>
      </c>
      <c r="W108" s="193" t="s">
        <v>4424</v>
      </c>
      <c r="X108" s="193" t="s">
        <v>4424</v>
      </c>
      <c r="Y108" s="193" t="s">
        <v>4428</v>
      </c>
      <c r="Z108" s="193" t="s">
        <v>4424</v>
      </c>
      <c r="AA108" s="193" t="s">
        <v>4424</v>
      </c>
      <c r="AB108" s="193" t="s">
        <v>4428</v>
      </c>
      <c r="AC108" s="211" t="s">
        <v>4547</v>
      </c>
      <c r="AE108" s="18" t="s">
        <v>76</v>
      </c>
    </row>
    <row r="109">
      <c r="A109" s="11"/>
      <c r="B109" s="12" t="s">
        <v>43</v>
      </c>
      <c r="C109" s="12" t="s">
        <v>65</v>
      </c>
      <c r="D109" s="12" t="s">
        <v>43</v>
      </c>
      <c r="E109" s="12" t="s">
        <v>203</v>
      </c>
      <c r="F109" s="13" t="s">
        <v>204</v>
      </c>
      <c r="G109" s="12" t="s">
        <v>68</v>
      </c>
      <c r="H109" s="12" t="s">
        <v>205</v>
      </c>
      <c r="I109" s="12" t="s">
        <v>206</v>
      </c>
      <c r="J109" s="17" t="s">
        <v>73</v>
      </c>
      <c r="K109" s="17" t="s">
        <v>1797</v>
      </c>
      <c r="L109" s="116" t="s">
        <v>3603</v>
      </c>
      <c r="M109" s="17">
        <v>49.0</v>
      </c>
      <c r="N109" s="20">
        <v>45979.0</v>
      </c>
      <c r="O109" s="17" t="s">
        <v>428</v>
      </c>
      <c r="P109" s="144" t="s">
        <v>4424</v>
      </c>
      <c r="Q109" s="144" t="s">
        <v>4425</v>
      </c>
      <c r="R109" s="144" t="s">
        <v>4428</v>
      </c>
      <c r="S109" s="144" t="s">
        <v>4428</v>
      </c>
      <c r="T109" s="144" t="s">
        <v>4428</v>
      </c>
      <c r="U109" s="144" t="s">
        <v>4428</v>
      </c>
      <c r="V109" s="144" t="s">
        <v>4424</v>
      </c>
      <c r="W109" s="144" t="s">
        <v>4424</v>
      </c>
      <c r="X109" s="144" t="s">
        <v>4428</v>
      </c>
      <c r="Y109" s="144" t="s">
        <v>4428</v>
      </c>
      <c r="Z109" s="144" t="s">
        <v>4424</v>
      </c>
      <c r="AA109" s="144" t="s">
        <v>4424</v>
      </c>
      <c r="AB109" s="144" t="s">
        <v>4425</v>
      </c>
      <c r="AC109" s="212" t="s">
        <v>4548</v>
      </c>
      <c r="AE109" s="18" t="s">
        <v>76</v>
      </c>
    </row>
    <row r="110">
      <c r="A110" s="11"/>
      <c r="B110" s="12" t="s">
        <v>43</v>
      </c>
      <c r="C110" s="12" t="s">
        <v>65</v>
      </c>
      <c r="D110" s="12" t="s">
        <v>43</v>
      </c>
      <c r="E110" s="12" t="s">
        <v>203</v>
      </c>
      <c r="F110" s="13" t="s">
        <v>204</v>
      </c>
      <c r="G110" s="12" t="s">
        <v>68</v>
      </c>
      <c r="H110" s="12" t="s">
        <v>205</v>
      </c>
      <c r="I110" s="12" t="s">
        <v>206</v>
      </c>
      <c r="J110" s="17" t="s">
        <v>108</v>
      </c>
      <c r="K110" s="17" t="s">
        <v>109</v>
      </c>
      <c r="L110" s="73" t="s">
        <v>3604</v>
      </c>
      <c r="M110" s="17">
        <v>57.0</v>
      </c>
      <c r="N110" s="20">
        <v>45979.0</v>
      </c>
      <c r="O110" s="17" t="s">
        <v>428</v>
      </c>
      <c r="P110" s="196" t="s">
        <v>4424</v>
      </c>
      <c r="Q110" s="196" t="s">
        <v>4424</v>
      </c>
      <c r="R110" s="196" t="s">
        <v>4428</v>
      </c>
      <c r="S110" s="196" t="s">
        <v>4428</v>
      </c>
      <c r="T110" s="196" t="s">
        <v>4428</v>
      </c>
      <c r="U110" s="196" t="s">
        <v>4428</v>
      </c>
      <c r="V110" s="196" t="s">
        <v>4424</v>
      </c>
      <c r="W110" s="196" t="s">
        <v>4428</v>
      </c>
      <c r="X110" s="196" t="s">
        <v>4424</v>
      </c>
      <c r="Y110" s="196" t="s">
        <v>4424</v>
      </c>
      <c r="Z110" s="196" t="s">
        <v>4425</v>
      </c>
      <c r="AA110" s="196" t="s">
        <v>4425</v>
      </c>
      <c r="AB110" s="196" t="s">
        <v>4425</v>
      </c>
      <c r="AC110" s="197" t="s">
        <v>4549</v>
      </c>
      <c r="AE110" s="18" t="s">
        <v>76</v>
      </c>
    </row>
    <row r="111">
      <c r="A111" s="11"/>
      <c r="B111" s="12" t="s">
        <v>7</v>
      </c>
      <c r="C111" s="12" t="s">
        <v>8</v>
      </c>
      <c r="D111" s="12" t="s">
        <v>9</v>
      </c>
      <c r="E111" s="12" t="s">
        <v>10</v>
      </c>
      <c r="F111" s="13" t="s">
        <v>11</v>
      </c>
      <c r="G111" s="12" t="s">
        <v>68</v>
      </c>
      <c r="H111" s="12" t="s">
        <v>911</v>
      </c>
      <c r="I111" s="12" t="s">
        <v>912</v>
      </c>
      <c r="J111" s="2"/>
      <c r="L111" s="17" t="s">
        <v>4511</v>
      </c>
      <c r="M111" s="17">
        <v>35.0</v>
      </c>
      <c r="N111" s="20">
        <v>45974.0</v>
      </c>
      <c r="O111" s="17" t="s">
        <v>428</v>
      </c>
      <c r="P111" s="93" t="s">
        <v>4428</v>
      </c>
      <c r="Q111" s="93" t="s">
        <v>4424</v>
      </c>
      <c r="R111" s="93" t="s">
        <v>4428</v>
      </c>
      <c r="S111" s="93" t="s">
        <v>4424</v>
      </c>
      <c r="T111" s="93" t="s">
        <v>4424</v>
      </c>
      <c r="U111" s="93" t="s">
        <v>4424</v>
      </c>
      <c r="V111" s="93" t="s">
        <v>4428</v>
      </c>
      <c r="W111" s="93" t="s">
        <v>4428</v>
      </c>
      <c r="X111" s="93" t="s">
        <v>4424</v>
      </c>
      <c r="Y111" s="93" t="s">
        <v>4424</v>
      </c>
      <c r="Z111" s="93" t="s">
        <v>4424</v>
      </c>
      <c r="AA111" s="93" t="s">
        <v>4428</v>
      </c>
      <c r="AB111" s="93" t="s">
        <v>4428</v>
      </c>
      <c r="AC111" s="93" t="s">
        <v>4550</v>
      </c>
      <c r="AE111" s="18" t="s">
        <v>915</v>
      </c>
    </row>
    <row r="112">
      <c r="A112" s="11"/>
      <c r="B112" s="12" t="s">
        <v>7</v>
      </c>
      <c r="C112" s="12" t="s">
        <v>8</v>
      </c>
      <c r="D112" s="12" t="s">
        <v>9</v>
      </c>
      <c r="E112" s="12" t="s">
        <v>10</v>
      </c>
      <c r="F112" s="13" t="s">
        <v>11</v>
      </c>
      <c r="G112" s="12" t="s">
        <v>68</v>
      </c>
      <c r="H112" s="12" t="s">
        <v>911</v>
      </c>
      <c r="I112" s="12" t="s">
        <v>912</v>
      </c>
      <c r="J112" s="2"/>
      <c r="L112" s="17" t="s">
        <v>3671</v>
      </c>
      <c r="M112" s="17">
        <v>37.0</v>
      </c>
      <c r="N112" s="20">
        <v>45974.0</v>
      </c>
      <c r="O112" s="17" t="s">
        <v>428</v>
      </c>
      <c r="P112" s="93" t="s">
        <v>4425</v>
      </c>
      <c r="Q112" s="93" t="s">
        <v>4424</v>
      </c>
      <c r="R112" s="93" t="s">
        <v>4428</v>
      </c>
      <c r="S112" s="93" t="s">
        <v>4428</v>
      </c>
      <c r="T112" s="93" t="s">
        <v>4424</v>
      </c>
      <c r="U112" s="93" t="s">
        <v>4424</v>
      </c>
      <c r="V112" s="93" t="s">
        <v>4424</v>
      </c>
      <c r="W112" s="93" t="s">
        <v>4428</v>
      </c>
      <c r="X112" s="93" t="s">
        <v>4428</v>
      </c>
      <c r="Y112" s="93" t="s">
        <v>4428</v>
      </c>
      <c r="Z112" s="93" t="s">
        <v>4425</v>
      </c>
      <c r="AA112" s="93" t="s">
        <v>4428</v>
      </c>
      <c r="AB112" s="93" t="s">
        <v>4426</v>
      </c>
      <c r="AC112" s="93" t="s">
        <v>4551</v>
      </c>
      <c r="AE112" s="18" t="s">
        <v>915</v>
      </c>
    </row>
    <row r="113">
      <c r="A113" s="11"/>
      <c r="B113" s="12" t="s">
        <v>7</v>
      </c>
      <c r="C113" s="12" t="s">
        <v>8</v>
      </c>
      <c r="D113" s="12" t="s">
        <v>15</v>
      </c>
      <c r="E113" s="12" t="s">
        <v>15</v>
      </c>
      <c r="F113" s="13" t="s">
        <v>16</v>
      </c>
      <c r="G113" s="12" t="s">
        <v>68</v>
      </c>
      <c r="H113" s="12" t="s">
        <v>928</v>
      </c>
      <c r="I113" s="12" t="s">
        <v>929</v>
      </c>
      <c r="J113" s="2"/>
      <c r="L113" s="17" t="s">
        <v>3712</v>
      </c>
      <c r="M113" s="17">
        <v>30.0</v>
      </c>
      <c r="N113" s="20">
        <v>45974.0</v>
      </c>
      <c r="O113" s="17" t="s">
        <v>428</v>
      </c>
      <c r="P113" s="93" t="s">
        <v>4424</v>
      </c>
      <c r="Q113" s="93" t="s">
        <v>4424</v>
      </c>
      <c r="R113" s="93" t="s">
        <v>4424</v>
      </c>
      <c r="S113" s="93" t="s">
        <v>4424</v>
      </c>
      <c r="T113" s="93" t="s">
        <v>4424</v>
      </c>
      <c r="U113" s="93" t="s">
        <v>4424</v>
      </c>
      <c r="V113" s="93" t="s">
        <v>4424</v>
      </c>
      <c r="W113" s="93" t="s">
        <v>4424</v>
      </c>
      <c r="X113" s="93" t="s">
        <v>4424</v>
      </c>
      <c r="Y113" s="93" t="s">
        <v>4424</v>
      </c>
      <c r="Z113" s="93" t="s">
        <v>4425</v>
      </c>
      <c r="AA113" s="93" t="s">
        <v>4428</v>
      </c>
      <c r="AB113" s="93" t="s">
        <v>4424</v>
      </c>
      <c r="AC113" s="93" t="s">
        <v>4552</v>
      </c>
      <c r="AE113" s="18" t="s">
        <v>915</v>
      </c>
    </row>
    <row r="114">
      <c r="A114" s="11"/>
      <c r="B114" s="12" t="s">
        <v>7</v>
      </c>
      <c r="C114" s="12" t="s">
        <v>8</v>
      </c>
      <c r="D114" s="12" t="s">
        <v>15</v>
      </c>
      <c r="E114" s="12" t="s">
        <v>15</v>
      </c>
      <c r="F114" s="13" t="s">
        <v>16</v>
      </c>
      <c r="G114" s="12" t="s">
        <v>68</v>
      </c>
      <c r="H114" s="12" t="s">
        <v>928</v>
      </c>
      <c r="I114" s="12" t="s">
        <v>929</v>
      </c>
      <c r="J114" s="2"/>
      <c r="L114" s="17" t="s">
        <v>4297</v>
      </c>
      <c r="M114" s="17">
        <v>31.0</v>
      </c>
      <c r="N114" s="20">
        <v>45974.0</v>
      </c>
      <c r="O114" s="17" t="s">
        <v>428</v>
      </c>
      <c r="P114" s="93" t="s">
        <v>4428</v>
      </c>
      <c r="Q114" s="93" t="s">
        <v>4428</v>
      </c>
      <c r="R114" s="93" t="s">
        <v>4428</v>
      </c>
      <c r="S114" s="93" t="s">
        <v>4428</v>
      </c>
      <c r="T114" s="93" t="s">
        <v>4428</v>
      </c>
      <c r="U114" s="93" t="s">
        <v>4428</v>
      </c>
      <c r="V114" s="93" t="s">
        <v>4428</v>
      </c>
      <c r="W114" s="93" t="s">
        <v>4428</v>
      </c>
      <c r="X114" s="93" t="s">
        <v>4428</v>
      </c>
      <c r="Y114" s="93" t="s">
        <v>4428</v>
      </c>
      <c r="Z114" s="93" t="s">
        <v>4424</v>
      </c>
      <c r="AA114" s="93" t="s">
        <v>4424</v>
      </c>
      <c r="AB114" s="93" t="s">
        <v>4426</v>
      </c>
      <c r="AC114" s="93" t="s">
        <v>4553</v>
      </c>
      <c r="AE114" s="18" t="s">
        <v>915</v>
      </c>
    </row>
    <row r="115">
      <c r="A115" s="11"/>
      <c r="B115" s="12" t="s">
        <v>7</v>
      </c>
      <c r="C115" s="12" t="s">
        <v>8</v>
      </c>
      <c r="D115" s="12" t="s">
        <v>15</v>
      </c>
      <c r="E115" s="12" t="s">
        <v>15</v>
      </c>
      <c r="F115" s="13" t="s">
        <v>16</v>
      </c>
      <c r="G115" s="12" t="s">
        <v>68</v>
      </c>
      <c r="H115" s="12" t="s">
        <v>928</v>
      </c>
      <c r="I115" s="12" t="s">
        <v>929</v>
      </c>
      <c r="J115" s="2"/>
      <c r="L115" s="17" t="s">
        <v>4296</v>
      </c>
      <c r="M115" s="17">
        <v>41.0</v>
      </c>
      <c r="N115" s="20">
        <v>45974.0</v>
      </c>
      <c r="O115" s="17" t="s">
        <v>428</v>
      </c>
      <c r="P115" s="93" t="s">
        <v>4428</v>
      </c>
      <c r="Q115" s="93" t="s">
        <v>4428</v>
      </c>
      <c r="R115" s="93" t="s">
        <v>4424</v>
      </c>
      <c r="S115" s="93" t="s">
        <v>4424</v>
      </c>
      <c r="T115" s="93" t="s">
        <v>4424</v>
      </c>
      <c r="U115" s="93" t="s">
        <v>4428</v>
      </c>
      <c r="V115" s="93" t="s">
        <v>4424</v>
      </c>
      <c r="W115" s="93" t="s">
        <v>4424</v>
      </c>
      <c r="X115" s="93" t="s">
        <v>4424</v>
      </c>
      <c r="Y115" s="93" t="s">
        <v>4424</v>
      </c>
      <c r="Z115" s="93" t="s">
        <v>4428</v>
      </c>
      <c r="AA115" s="93" t="s">
        <v>4428</v>
      </c>
      <c r="AB115" s="93" t="s">
        <v>4424</v>
      </c>
      <c r="AC115" s="93" t="s">
        <v>4554</v>
      </c>
      <c r="AE115" s="18" t="s">
        <v>915</v>
      </c>
    </row>
    <row r="116">
      <c r="A116" s="11"/>
      <c r="B116" s="12" t="s">
        <v>7</v>
      </c>
      <c r="C116" s="12" t="s">
        <v>8</v>
      </c>
      <c r="D116" s="12" t="s">
        <v>15</v>
      </c>
      <c r="E116" s="12" t="s">
        <v>21</v>
      </c>
      <c r="F116" s="13" t="s">
        <v>19</v>
      </c>
      <c r="G116" s="12" t="s">
        <v>68</v>
      </c>
      <c r="H116" s="12" t="s">
        <v>968</v>
      </c>
      <c r="I116" s="12" t="s">
        <v>969</v>
      </c>
      <c r="J116" s="2"/>
      <c r="L116" s="17" t="s">
        <v>2282</v>
      </c>
      <c r="M116" s="17">
        <v>26.0</v>
      </c>
      <c r="N116" s="20">
        <v>45974.0</v>
      </c>
      <c r="O116" s="17" t="s">
        <v>428</v>
      </c>
      <c r="P116" s="93" t="s">
        <v>4424</v>
      </c>
      <c r="Q116" s="93" t="s">
        <v>4428</v>
      </c>
      <c r="R116" s="93" t="s">
        <v>4424</v>
      </c>
      <c r="S116" s="93" t="s">
        <v>4428</v>
      </c>
      <c r="T116" s="93" t="s">
        <v>4428</v>
      </c>
      <c r="U116" s="93" t="s">
        <v>4428</v>
      </c>
      <c r="V116" s="93" t="s">
        <v>4425</v>
      </c>
      <c r="W116" s="93" t="s">
        <v>4428</v>
      </c>
      <c r="X116" s="93" t="s">
        <v>4424</v>
      </c>
      <c r="Y116" s="93" t="s">
        <v>4428</v>
      </c>
      <c r="Z116" s="93" t="s">
        <v>4425</v>
      </c>
      <c r="AA116" s="93" t="s">
        <v>4428</v>
      </c>
      <c r="AB116" s="93" t="s">
        <v>4426</v>
      </c>
      <c r="AC116" s="93" t="s">
        <v>4555</v>
      </c>
      <c r="AE116" s="18" t="s">
        <v>915</v>
      </c>
    </row>
    <row r="117">
      <c r="A117" s="11"/>
      <c r="B117" s="12" t="s">
        <v>7</v>
      </c>
      <c r="C117" s="12" t="s">
        <v>8</v>
      </c>
      <c r="D117" s="12" t="s">
        <v>15</v>
      </c>
      <c r="E117" s="12" t="s">
        <v>21</v>
      </c>
      <c r="F117" s="13" t="s">
        <v>19</v>
      </c>
      <c r="G117" s="12" t="s">
        <v>68</v>
      </c>
      <c r="H117" s="12" t="s">
        <v>968</v>
      </c>
      <c r="I117" s="12" t="s">
        <v>969</v>
      </c>
      <c r="J117" s="2"/>
      <c r="L117" s="17" t="s">
        <v>2283</v>
      </c>
      <c r="M117" s="17">
        <v>30.0</v>
      </c>
      <c r="N117" s="20">
        <v>45974.0</v>
      </c>
      <c r="O117" s="17" t="s">
        <v>428</v>
      </c>
      <c r="P117" s="93" t="s">
        <v>4428</v>
      </c>
      <c r="Q117" s="93" t="s">
        <v>4428</v>
      </c>
      <c r="R117" s="93" t="s">
        <v>4428</v>
      </c>
      <c r="S117" s="93" t="s">
        <v>4428</v>
      </c>
      <c r="T117" s="93" t="s">
        <v>4428</v>
      </c>
      <c r="U117" s="93" t="s">
        <v>4428</v>
      </c>
      <c r="V117" s="93" t="s">
        <v>4424</v>
      </c>
      <c r="W117" s="93" t="s">
        <v>4428</v>
      </c>
      <c r="X117" s="93" t="s">
        <v>4428</v>
      </c>
      <c r="Y117" s="93" t="s">
        <v>4424</v>
      </c>
      <c r="Z117" s="93" t="s">
        <v>4424</v>
      </c>
      <c r="AA117" s="93" t="s">
        <v>4428</v>
      </c>
      <c r="AB117" s="93" t="s">
        <v>4428</v>
      </c>
      <c r="AC117" s="93" t="s">
        <v>4556</v>
      </c>
      <c r="AE117" s="18" t="s">
        <v>915</v>
      </c>
    </row>
    <row r="118">
      <c r="A118" s="11"/>
      <c r="B118" s="12" t="s">
        <v>7</v>
      </c>
      <c r="C118" s="12" t="s">
        <v>8</v>
      </c>
      <c r="D118" s="12" t="s">
        <v>15</v>
      </c>
      <c r="E118" s="12" t="s">
        <v>21</v>
      </c>
      <c r="F118" s="13" t="s">
        <v>19</v>
      </c>
      <c r="G118" s="12" t="s">
        <v>68</v>
      </c>
      <c r="H118" s="12" t="s">
        <v>968</v>
      </c>
      <c r="I118" s="12" t="s">
        <v>969</v>
      </c>
      <c r="J118" s="2"/>
      <c r="L118" s="17" t="s">
        <v>4557</v>
      </c>
      <c r="M118" s="17">
        <v>47.0</v>
      </c>
      <c r="N118" s="20">
        <v>45974.0</v>
      </c>
      <c r="O118" s="17" t="s">
        <v>428</v>
      </c>
      <c r="P118" s="93" t="s">
        <v>4424</v>
      </c>
      <c r="Q118" s="93" t="s">
        <v>4428</v>
      </c>
      <c r="R118" s="93" t="s">
        <v>4424</v>
      </c>
      <c r="S118" s="93" t="s">
        <v>4428</v>
      </c>
      <c r="T118" s="93" t="s">
        <v>4424</v>
      </c>
      <c r="U118" s="93" t="s">
        <v>4424</v>
      </c>
      <c r="V118" s="93" t="s">
        <v>4424</v>
      </c>
      <c r="W118" s="93" t="s">
        <v>4424</v>
      </c>
      <c r="X118" s="93" t="s">
        <v>4424</v>
      </c>
      <c r="Y118" s="93" t="s">
        <v>4424</v>
      </c>
      <c r="Z118" s="93" t="s">
        <v>4424</v>
      </c>
      <c r="AA118" s="93" t="s">
        <v>4424</v>
      </c>
      <c r="AB118" s="93" t="s">
        <v>4426</v>
      </c>
      <c r="AC118" s="93" t="s">
        <v>4558</v>
      </c>
      <c r="AE118" s="18" t="s">
        <v>915</v>
      </c>
    </row>
    <row r="119">
      <c r="A119" s="11"/>
      <c r="B119" s="12" t="s">
        <v>7</v>
      </c>
      <c r="C119" s="12" t="s">
        <v>8</v>
      </c>
      <c r="D119" s="12" t="s">
        <v>15</v>
      </c>
      <c r="E119" s="12" t="s">
        <v>17</v>
      </c>
      <c r="F119" s="13" t="s">
        <v>18</v>
      </c>
      <c r="G119" s="12" t="s">
        <v>68</v>
      </c>
      <c r="H119" s="12" t="s">
        <v>954</v>
      </c>
      <c r="I119" s="12" t="s">
        <v>955</v>
      </c>
      <c r="J119" s="2"/>
      <c r="L119" s="17" t="s">
        <v>4509</v>
      </c>
      <c r="M119" s="17">
        <v>36.0</v>
      </c>
      <c r="N119" s="20">
        <v>45974.0</v>
      </c>
      <c r="O119" s="17" t="s">
        <v>428</v>
      </c>
      <c r="P119" s="93" t="s">
        <v>4428</v>
      </c>
      <c r="Q119" s="93" t="s">
        <v>4425</v>
      </c>
      <c r="R119" s="93" t="s">
        <v>4428</v>
      </c>
      <c r="S119" s="93" t="s">
        <v>4424</v>
      </c>
      <c r="T119" s="93" t="s">
        <v>4424</v>
      </c>
      <c r="U119" s="93" t="s">
        <v>4428</v>
      </c>
      <c r="V119" s="93" t="s">
        <v>4425</v>
      </c>
      <c r="W119" s="93" t="s">
        <v>4428</v>
      </c>
      <c r="X119" s="93" t="s">
        <v>4428</v>
      </c>
      <c r="Y119" s="93" t="s">
        <v>4428</v>
      </c>
      <c r="Z119" s="93" t="s">
        <v>4428</v>
      </c>
      <c r="AA119" s="93" t="s">
        <v>4428</v>
      </c>
      <c r="AB119" s="93" t="s">
        <v>4424</v>
      </c>
      <c r="AC119" s="93" t="s">
        <v>4559</v>
      </c>
      <c r="AE119" s="18" t="s">
        <v>915</v>
      </c>
    </row>
    <row r="120">
      <c r="A120" s="11"/>
      <c r="B120" s="12" t="s">
        <v>22</v>
      </c>
      <c r="C120" s="12" t="s">
        <v>22</v>
      </c>
      <c r="D120" s="12" t="s">
        <v>22</v>
      </c>
      <c r="E120" s="12" t="s">
        <v>593</v>
      </c>
      <c r="F120" s="13" t="s">
        <v>594</v>
      </c>
      <c r="G120" s="12" t="s">
        <v>68</v>
      </c>
      <c r="H120" s="12" t="s">
        <v>595</v>
      </c>
      <c r="I120" s="12" t="s">
        <v>596</v>
      </c>
      <c r="J120" s="17" t="s">
        <v>108</v>
      </c>
      <c r="K120" s="17" t="s">
        <v>109</v>
      </c>
      <c r="L120" s="17" t="s">
        <v>2197</v>
      </c>
      <c r="M120" s="17">
        <v>27.0</v>
      </c>
      <c r="N120" s="20">
        <v>45979.0</v>
      </c>
      <c r="O120" s="17" t="s">
        <v>428</v>
      </c>
      <c r="P120" s="93" t="s">
        <v>4428</v>
      </c>
      <c r="Q120" s="93" t="s">
        <v>4424</v>
      </c>
      <c r="R120" s="93" t="s">
        <v>4428</v>
      </c>
      <c r="S120" s="93" t="s">
        <v>4428</v>
      </c>
      <c r="T120" s="93" t="s">
        <v>4428</v>
      </c>
      <c r="U120" s="93" t="s">
        <v>4428</v>
      </c>
      <c r="V120" s="93" t="s">
        <v>4424</v>
      </c>
      <c r="W120" s="93" t="s">
        <v>4428</v>
      </c>
      <c r="X120" s="93" t="s">
        <v>4428</v>
      </c>
      <c r="Y120" s="93" t="s">
        <v>4424</v>
      </c>
      <c r="Z120" s="93" t="s">
        <v>4424</v>
      </c>
      <c r="AA120" s="93" t="s">
        <v>4428</v>
      </c>
      <c r="AB120" s="93" t="s">
        <v>4424</v>
      </c>
      <c r="AC120" s="93" t="s">
        <v>4560</v>
      </c>
      <c r="AE120" s="18" t="s">
        <v>588</v>
      </c>
    </row>
    <row r="121">
      <c r="A121" s="11"/>
      <c r="B121" s="12" t="s">
        <v>7</v>
      </c>
      <c r="C121" s="12" t="s">
        <v>37</v>
      </c>
      <c r="D121" s="12" t="s">
        <v>38</v>
      </c>
      <c r="E121" s="12" t="s">
        <v>38</v>
      </c>
      <c r="F121" s="13" t="s">
        <v>42</v>
      </c>
      <c r="G121" s="12" t="s">
        <v>68</v>
      </c>
      <c r="H121" s="12" t="s">
        <v>584</v>
      </c>
      <c r="I121" s="12" t="s">
        <v>585</v>
      </c>
      <c r="J121" s="17" t="s">
        <v>112</v>
      </c>
      <c r="K121" s="17" t="s">
        <v>113</v>
      </c>
      <c r="L121" s="17" t="s">
        <v>2230</v>
      </c>
      <c r="M121" s="17">
        <v>57.0</v>
      </c>
      <c r="N121" s="20">
        <v>45973.0</v>
      </c>
      <c r="O121" s="17" t="s">
        <v>428</v>
      </c>
      <c r="P121" s="93" t="s">
        <v>4425</v>
      </c>
      <c r="Q121" s="93" t="s">
        <v>4424</v>
      </c>
      <c r="R121" s="93" t="s">
        <v>4428</v>
      </c>
      <c r="S121" s="93" t="s">
        <v>4425</v>
      </c>
      <c r="T121" s="93" t="s">
        <v>4425</v>
      </c>
      <c r="U121" s="93" t="s">
        <v>4425</v>
      </c>
      <c r="V121" s="93" t="s">
        <v>4424</v>
      </c>
      <c r="W121" s="93" t="s">
        <v>4424</v>
      </c>
      <c r="X121" s="93" t="s">
        <v>4425</v>
      </c>
      <c r="Y121" s="93" t="s">
        <v>4428</v>
      </c>
      <c r="Z121" s="93" t="s">
        <v>4424</v>
      </c>
      <c r="AA121" s="93" t="s">
        <v>4425</v>
      </c>
      <c r="AB121" s="93" t="s">
        <v>4425</v>
      </c>
      <c r="AC121" s="93" t="s">
        <v>4561</v>
      </c>
      <c r="AE121" s="18" t="s">
        <v>588</v>
      </c>
    </row>
    <row r="122">
      <c r="A122" s="11"/>
      <c r="B122" s="12" t="s">
        <v>22</v>
      </c>
      <c r="C122" s="12" t="s">
        <v>22</v>
      </c>
      <c r="D122" s="12" t="s">
        <v>22</v>
      </c>
      <c r="E122" s="12" t="s">
        <v>593</v>
      </c>
      <c r="F122" s="13" t="s">
        <v>594</v>
      </c>
      <c r="G122" s="12" t="s">
        <v>68</v>
      </c>
      <c r="H122" s="12" t="s">
        <v>595</v>
      </c>
      <c r="I122" s="12" t="s">
        <v>596</v>
      </c>
      <c r="J122" s="17" t="s">
        <v>73</v>
      </c>
      <c r="K122" s="17" t="s">
        <v>74</v>
      </c>
      <c r="L122" s="17" t="s">
        <v>4495</v>
      </c>
      <c r="M122" s="17">
        <v>44.0</v>
      </c>
      <c r="N122" s="20">
        <v>45979.0</v>
      </c>
      <c r="O122" s="17" t="s">
        <v>428</v>
      </c>
      <c r="P122" s="93" t="s">
        <v>4424</v>
      </c>
      <c r="Q122" s="93" t="s">
        <v>4424</v>
      </c>
      <c r="R122" s="93" t="s">
        <v>4424</v>
      </c>
      <c r="S122" s="93" t="s">
        <v>4428</v>
      </c>
      <c r="T122" s="93" t="s">
        <v>4428</v>
      </c>
      <c r="U122" s="93" t="s">
        <v>4428</v>
      </c>
      <c r="V122" s="93" t="s">
        <v>4428</v>
      </c>
      <c r="W122" s="93" t="s">
        <v>4428</v>
      </c>
      <c r="X122" s="93" t="s">
        <v>4428</v>
      </c>
      <c r="Y122" s="93" t="s">
        <v>4424</v>
      </c>
      <c r="Z122" s="93" t="s">
        <v>4424</v>
      </c>
      <c r="AA122" s="93" t="s">
        <v>4424</v>
      </c>
      <c r="AB122" s="93" t="s">
        <v>4425</v>
      </c>
      <c r="AC122" s="93" t="s">
        <v>4562</v>
      </c>
      <c r="AE122" s="18" t="s">
        <v>588</v>
      </c>
    </row>
    <row r="123">
      <c r="A123" s="11"/>
      <c r="B123" s="12" t="s">
        <v>7</v>
      </c>
      <c r="C123" s="12" t="s">
        <v>37</v>
      </c>
      <c r="D123" s="12" t="s">
        <v>38</v>
      </c>
      <c r="E123" s="12" t="s">
        <v>41</v>
      </c>
      <c r="F123" s="13" t="s">
        <v>39</v>
      </c>
      <c r="G123" s="12" t="s">
        <v>68</v>
      </c>
      <c r="H123" s="12" t="s">
        <v>902</v>
      </c>
      <c r="I123" s="12" t="s">
        <v>903</v>
      </c>
      <c r="J123" s="17" t="s">
        <v>108</v>
      </c>
      <c r="K123" s="17" t="s">
        <v>109</v>
      </c>
      <c r="L123" s="17" t="s">
        <v>3858</v>
      </c>
      <c r="M123" s="17">
        <v>55.0</v>
      </c>
      <c r="N123" s="20">
        <v>45972.0</v>
      </c>
      <c r="O123" s="17" t="s">
        <v>428</v>
      </c>
      <c r="P123" s="93" t="s">
        <v>4425</v>
      </c>
      <c r="Q123" s="93" t="s">
        <v>4428</v>
      </c>
      <c r="R123" s="93" t="s">
        <v>4425</v>
      </c>
      <c r="S123" s="93" t="s">
        <v>4426</v>
      </c>
      <c r="T123" s="93" t="s">
        <v>4428</v>
      </c>
      <c r="U123" s="93" t="s">
        <v>4426</v>
      </c>
      <c r="V123" s="93" t="s">
        <v>4424</v>
      </c>
      <c r="W123" s="93" t="s">
        <v>4428</v>
      </c>
      <c r="X123" s="93" t="s">
        <v>4424</v>
      </c>
      <c r="Y123" s="93" t="s">
        <v>4425</v>
      </c>
      <c r="Z123" s="93" t="s">
        <v>4426</v>
      </c>
      <c r="AA123" s="93" t="s">
        <v>4428</v>
      </c>
      <c r="AB123" s="93" t="s">
        <v>4425</v>
      </c>
      <c r="AC123" s="93" t="s">
        <v>4563</v>
      </c>
      <c r="AE123" s="18" t="s">
        <v>588</v>
      </c>
    </row>
    <row r="124">
      <c r="A124" s="11"/>
      <c r="B124" s="12" t="s">
        <v>22</v>
      </c>
      <c r="C124" s="12" t="s">
        <v>22</v>
      </c>
      <c r="D124" s="12" t="s">
        <v>22</v>
      </c>
      <c r="E124" s="12" t="s">
        <v>624</v>
      </c>
      <c r="F124" s="13" t="s">
        <v>625</v>
      </c>
      <c r="G124" s="12" t="s">
        <v>68</v>
      </c>
      <c r="H124" s="12" t="s">
        <v>626</v>
      </c>
      <c r="I124" s="12" t="s">
        <v>627</v>
      </c>
      <c r="J124" s="17" t="s">
        <v>112</v>
      </c>
      <c r="K124" s="17" t="s">
        <v>113</v>
      </c>
      <c r="L124" s="17" t="s">
        <v>4504</v>
      </c>
      <c r="M124" s="17">
        <v>28.0</v>
      </c>
      <c r="N124" s="20">
        <v>45975.0</v>
      </c>
      <c r="O124" s="17" t="s">
        <v>428</v>
      </c>
      <c r="P124" s="93" t="s">
        <v>4424</v>
      </c>
      <c r="Q124" s="93" t="s">
        <v>4428</v>
      </c>
      <c r="R124" s="93" t="s">
        <v>4428</v>
      </c>
      <c r="S124" s="93" t="s">
        <v>4428</v>
      </c>
      <c r="T124" s="93" t="s">
        <v>4424</v>
      </c>
      <c r="U124" s="93" t="s">
        <v>4428</v>
      </c>
      <c r="V124" s="93" t="s">
        <v>4424</v>
      </c>
      <c r="W124" s="93" t="s">
        <v>4424</v>
      </c>
      <c r="X124" s="93" t="s">
        <v>4424</v>
      </c>
      <c r="Y124" s="93" t="s">
        <v>4428</v>
      </c>
      <c r="Z124" s="93" t="s">
        <v>4424</v>
      </c>
      <c r="AA124" s="93" t="s">
        <v>4428</v>
      </c>
      <c r="AB124" s="93" t="s">
        <v>4424</v>
      </c>
      <c r="AC124" s="93" t="s">
        <v>4564</v>
      </c>
      <c r="AE124" s="18" t="s">
        <v>588</v>
      </c>
    </row>
    <row r="125">
      <c r="A125" s="11"/>
      <c r="B125" s="12" t="s">
        <v>22</v>
      </c>
      <c r="C125" s="12" t="s">
        <v>22</v>
      </c>
      <c r="D125" s="12" t="s">
        <v>22</v>
      </c>
      <c r="E125" s="12" t="s">
        <v>624</v>
      </c>
      <c r="F125" s="13" t="s">
        <v>625</v>
      </c>
      <c r="G125" s="12" t="s">
        <v>68</v>
      </c>
      <c r="H125" s="12" t="s">
        <v>626</v>
      </c>
      <c r="I125" s="12" t="s">
        <v>627</v>
      </c>
      <c r="J125" s="17" t="s">
        <v>108</v>
      </c>
      <c r="K125" s="17" t="s">
        <v>109</v>
      </c>
      <c r="L125" s="17" t="s">
        <v>4364</v>
      </c>
      <c r="M125" s="17">
        <v>36.0</v>
      </c>
      <c r="N125" s="20">
        <v>45975.0</v>
      </c>
      <c r="O125" s="17" t="s">
        <v>428</v>
      </c>
      <c r="P125" s="93" t="s">
        <v>4424</v>
      </c>
      <c r="Q125" s="93" t="s">
        <v>4424</v>
      </c>
      <c r="R125" s="93" t="s">
        <v>4424</v>
      </c>
      <c r="S125" s="93" t="s">
        <v>4424</v>
      </c>
      <c r="T125" s="93" t="s">
        <v>4424</v>
      </c>
      <c r="U125" s="93" t="s">
        <v>4428</v>
      </c>
      <c r="V125" s="93" t="s">
        <v>4428</v>
      </c>
      <c r="W125" s="93" t="s">
        <v>4428</v>
      </c>
      <c r="X125" s="93" t="s">
        <v>4424</v>
      </c>
      <c r="Y125" s="93" t="s">
        <v>4428</v>
      </c>
      <c r="Z125" s="93" t="s">
        <v>4424</v>
      </c>
      <c r="AA125" s="93" t="s">
        <v>4424</v>
      </c>
      <c r="AB125" s="93" t="s">
        <v>4424</v>
      </c>
      <c r="AC125" s="93" t="s">
        <v>4565</v>
      </c>
      <c r="AE125" s="18" t="s">
        <v>588</v>
      </c>
    </row>
    <row r="126">
      <c r="A126" s="11"/>
      <c r="B126" s="12" t="s">
        <v>22</v>
      </c>
      <c r="C126" s="12" t="s">
        <v>22</v>
      </c>
      <c r="D126" s="12" t="s">
        <v>22</v>
      </c>
      <c r="E126" s="12" t="s">
        <v>593</v>
      </c>
      <c r="F126" s="13" t="s">
        <v>594</v>
      </c>
      <c r="G126" s="12" t="s">
        <v>68</v>
      </c>
      <c r="H126" s="12" t="s">
        <v>595</v>
      </c>
      <c r="I126" s="12" t="s">
        <v>596</v>
      </c>
      <c r="J126" s="17" t="s">
        <v>73</v>
      </c>
      <c r="K126" s="17" t="s">
        <v>74</v>
      </c>
      <c r="L126" s="17" t="s">
        <v>4497</v>
      </c>
      <c r="M126" s="17">
        <v>28.0</v>
      </c>
      <c r="N126" s="20">
        <v>45979.0</v>
      </c>
      <c r="O126" s="17" t="s">
        <v>428</v>
      </c>
      <c r="P126" s="93" t="s">
        <v>4424</v>
      </c>
      <c r="Q126" s="93" t="s">
        <v>4424</v>
      </c>
      <c r="R126" s="93" t="s">
        <v>4428</v>
      </c>
      <c r="S126" s="93" t="s">
        <v>4424</v>
      </c>
      <c r="T126" s="93" t="s">
        <v>4424</v>
      </c>
      <c r="U126" s="93" t="s">
        <v>4424</v>
      </c>
      <c r="V126" s="93" t="s">
        <v>4428</v>
      </c>
      <c r="W126" s="93" t="s">
        <v>4428</v>
      </c>
      <c r="X126" s="93" t="s">
        <v>4428</v>
      </c>
      <c r="Y126" s="93" t="s">
        <v>4424</v>
      </c>
      <c r="Z126" s="93" t="s">
        <v>4424</v>
      </c>
      <c r="AA126" s="93" t="s">
        <v>4428</v>
      </c>
      <c r="AB126" s="93" t="s">
        <v>4424</v>
      </c>
      <c r="AC126" s="93" t="s">
        <v>4566</v>
      </c>
      <c r="AE126" s="18" t="s">
        <v>588</v>
      </c>
    </row>
    <row r="127">
      <c r="A127" s="11"/>
      <c r="B127" s="12" t="s">
        <v>22</v>
      </c>
      <c r="C127" s="12" t="s">
        <v>22</v>
      </c>
      <c r="D127" s="12" t="s">
        <v>22</v>
      </c>
      <c r="E127" s="12" t="s">
        <v>593</v>
      </c>
      <c r="F127" s="13" t="s">
        <v>594</v>
      </c>
      <c r="G127" s="12" t="s">
        <v>68</v>
      </c>
      <c r="H127" s="12" t="s">
        <v>595</v>
      </c>
      <c r="I127" s="12" t="s">
        <v>596</v>
      </c>
      <c r="J127" s="17" t="s">
        <v>108</v>
      </c>
      <c r="K127" s="17" t="s">
        <v>109</v>
      </c>
      <c r="L127" s="17" t="s">
        <v>4501</v>
      </c>
      <c r="M127" s="17">
        <v>27.0</v>
      </c>
      <c r="N127" s="20">
        <v>45979.0</v>
      </c>
      <c r="O127" s="17" t="s">
        <v>428</v>
      </c>
      <c r="P127" s="93" t="s">
        <v>4428</v>
      </c>
      <c r="Q127" s="93" t="s">
        <v>4424</v>
      </c>
      <c r="R127" s="93" t="s">
        <v>4428</v>
      </c>
      <c r="S127" s="93" t="s">
        <v>4428</v>
      </c>
      <c r="T127" s="93" t="s">
        <v>4428</v>
      </c>
      <c r="U127" s="93" t="s">
        <v>4424</v>
      </c>
      <c r="V127" s="93" t="s">
        <v>4428</v>
      </c>
      <c r="W127" s="93" t="s">
        <v>4428</v>
      </c>
      <c r="X127" s="93" t="s">
        <v>4428</v>
      </c>
      <c r="Y127" s="93" t="s">
        <v>4428</v>
      </c>
      <c r="Z127" s="93" t="s">
        <v>4424</v>
      </c>
      <c r="AA127" s="93" t="s">
        <v>4428</v>
      </c>
      <c r="AB127" s="93" t="s">
        <v>4426</v>
      </c>
      <c r="AC127" s="93" t="s">
        <v>4567</v>
      </c>
      <c r="AE127" s="18" t="s">
        <v>588</v>
      </c>
    </row>
    <row r="128">
      <c r="A128" s="11"/>
      <c r="B128" s="12" t="s">
        <v>7</v>
      </c>
      <c r="C128" s="12" t="s">
        <v>37</v>
      </c>
      <c r="D128" s="12" t="s">
        <v>38</v>
      </c>
      <c r="E128" s="12" t="s">
        <v>41</v>
      </c>
      <c r="F128" s="13" t="s">
        <v>39</v>
      </c>
      <c r="G128" s="12" t="s">
        <v>68</v>
      </c>
      <c r="H128" s="12" t="s">
        <v>902</v>
      </c>
      <c r="I128" s="12" t="s">
        <v>903</v>
      </c>
      <c r="J128" s="17" t="s">
        <v>112</v>
      </c>
      <c r="K128" s="17" t="s">
        <v>113</v>
      </c>
      <c r="L128" s="17" t="s">
        <v>3857</v>
      </c>
      <c r="M128" s="17">
        <v>44.0</v>
      </c>
      <c r="N128" s="20">
        <v>45972.0</v>
      </c>
      <c r="O128" s="17" t="s">
        <v>428</v>
      </c>
      <c r="P128" s="93" t="s">
        <v>4428</v>
      </c>
      <c r="Q128" s="93" t="s">
        <v>4428</v>
      </c>
      <c r="R128" s="93" t="s">
        <v>4428</v>
      </c>
      <c r="S128" s="93" t="s">
        <v>4428</v>
      </c>
      <c r="T128" s="93" t="s">
        <v>4428</v>
      </c>
      <c r="U128" s="93" t="s">
        <v>4428</v>
      </c>
      <c r="V128" s="93" t="s">
        <v>4428</v>
      </c>
      <c r="W128" s="93" t="s">
        <v>4428</v>
      </c>
      <c r="X128" s="93" t="s">
        <v>4428</v>
      </c>
      <c r="Y128" s="93" t="s">
        <v>4428</v>
      </c>
      <c r="Z128" s="93" t="s">
        <v>4428</v>
      </c>
      <c r="AA128" s="93" t="s">
        <v>4428</v>
      </c>
      <c r="AB128" s="93" t="s">
        <v>4424</v>
      </c>
      <c r="AC128" s="93" t="s">
        <v>4568</v>
      </c>
      <c r="AE128" s="18" t="s">
        <v>588</v>
      </c>
    </row>
    <row r="129">
      <c r="A129" s="11"/>
      <c r="B129" s="12" t="s">
        <v>22</v>
      </c>
      <c r="C129" s="12" t="s">
        <v>22</v>
      </c>
      <c r="D129" s="12" t="s">
        <v>22</v>
      </c>
      <c r="E129" s="12" t="s">
        <v>593</v>
      </c>
      <c r="F129" s="13" t="s">
        <v>594</v>
      </c>
      <c r="G129" s="12" t="s">
        <v>68</v>
      </c>
      <c r="H129" s="12" t="s">
        <v>595</v>
      </c>
      <c r="I129" s="12" t="s">
        <v>596</v>
      </c>
      <c r="J129" s="17" t="s">
        <v>112</v>
      </c>
      <c r="K129" s="17" t="s">
        <v>113</v>
      </c>
      <c r="L129" s="17" t="s">
        <v>2195</v>
      </c>
      <c r="M129" s="17">
        <v>50.0</v>
      </c>
      <c r="N129" s="20">
        <v>45979.0</v>
      </c>
      <c r="O129" s="17" t="s">
        <v>428</v>
      </c>
      <c r="P129" s="93" t="s">
        <v>4424</v>
      </c>
      <c r="Q129" s="93" t="s">
        <v>4424</v>
      </c>
      <c r="R129" s="93" t="s">
        <v>4428</v>
      </c>
      <c r="S129" s="93" t="s">
        <v>4428</v>
      </c>
      <c r="T129" s="93" t="s">
        <v>4428</v>
      </c>
      <c r="U129" s="93" t="s">
        <v>4428</v>
      </c>
      <c r="V129" s="93" t="s">
        <v>4424</v>
      </c>
      <c r="W129" s="93" t="s">
        <v>4428</v>
      </c>
      <c r="X129" s="93" t="s">
        <v>4424</v>
      </c>
      <c r="Y129" s="93" t="s">
        <v>4424</v>
      </c>
      <c r="Z129" s="93" t="s">
        <v>4428</v>
      </c>
      <c r="AA129" s="93" t="s">
        <v>4428</v>
      </c>
      <c r="AB129" s="93" t="s">
        <v>4428</v>
      </c>
      <c r="AC129" s="93" t="s">
        <v>4569</v>
      </c>
      <c r="AE129" s="18" t="s">
        <v>588</v>
      </c>
    </row>
    <row r="130">
      <c r="A130" s="11"/>
      <c r="B130" s="12" t="s">
        <v>34</v>
      </c>
      <c r="C130" s="12" t="s">
        <v>65</v>
      </c>
      <c r="D130" s="12" t="s">
        <v>83</v>
      </c>
      <c r="E130" s="12" t="s">
        <v>632</v>
      </c>
      <c r="F130" s="33" t="s">
        <v>633</v>
      </c>
      <c r="G130" s="12" t="s">
        <v>68</v>
      </c>
      <c r="H130" s="12" t="s">
        <v>634</v>
      </c>
      <c r="I130" s="12" t="s">
        <v>635</v>
      </c>
      <c r="J130" s="17" t="s">
        <v>73</v>
      </c>
      <c r="K130" s="17" t="s">
        <v>1589</v>
      </c>
      <c r="L130" s="17" t="s">
        <v>3935</v>
      </c>
      <c r="M130" s="17">
        <v>30.0</v>
      </c>
      <c r="N130" s="20">
        <v>45979.0</v>
      </c>
      <c r="O130" s="17" t="s">
        <v>428</v>
      </c>
      <c r="P130" s="93" t="s">
        <v>4428</v>
      </c>
      <c r="Q130" s="93" t="s">
        <v>4424</v>
      </c>
      <c r="R130" s="93" t="s">
        <v>4424</v>
      </c>
      <c r="S130" s="93" t="s">
        <v>4424</v>
      </c>
      <c r="T130" s="93" t="s">
        <v>4424</v>
      </c>
      <c r="U130" s="93" t="s">
        <v>4428</v>
      </c>
      <c r="V130" s="93" t="s">
        <v>4424</v>
      </c>
      <c r="W130" s="93" t="s">
        <v>4428</v>
      </c>
      <c r="X130" s="93" t="s">
        <v>4428</v>
      </c>
      <c r="Y130" s="93" t="s">
        <v>4428</v>
      </c>
      <c r="Z130" s="93" t="s">
        <v>4428</v>
      </c>
      <c r="AA130" s="93" t="s">
        <v>4428</v>
      </c>
      <c r="AB130" s="93" t="s">
        <v>4428</v>
      </c>
      <c r="AC130" s="93" t="s">
        <v>4570</v>
      </c>
      <c r="AE130" s="18" t="s">
        <v>638</v>
      </c>
    </row>
    <row r="131">
      <c r="A131" s="11"/>
      <c r="B131" s="12" t="s">
        <v>34</v>
      </c>
      <c r="C131" s="12" t="s">
        <v>65</v>
      </c>
      <c r="D131" s="12" t="s">
        <v>83</v>
      </c>
      <c r="E131" s="12" t="s">
        <v>632</v>
      </c>
      <c r="F131" s="33" t="s">
        <v>633</v>
      </c>
      <c r="G131" s="12" t="s">
        <v>68</v>
      </c>
      <c r="H131" s="12" t="s">
        <v>634</v>
      </c>
      <c r="I131" s="12" t="s">
        <v>635</v>
      </c>
      <c r="J131" s="17" t="s">
        <v>112</v>
      </c>
      <c r="K131" s="17" t="s">
        <v>113</v>
      </c>
      <c r="L131" s="17" t="s">
        <v>3936</v>
      </c>
      <c r="M131" s="17">
        <v>25.0</v>
      </c>
      <c r="N131" s="20">
        <v>45979.0</v>
      </c>
      <c r="O131" s="17" t="s">
        <v>428</v>
      </c>
      <c r="P131" s="93" t="s">
        <v>4428</v>
      </c>
      <c r="Q131" s="93" t="s">
        <v>4424</v>
      </c>
      <c r="R131" s="93" t="s">
        <v>4428</v>
      </c>
      <c r="S131" s="93" t="s">
        <v>4424</v>
      </c>
      <c r="T131" s="93" t="s">
        <v>4428</v>
      </c>
      <c r="U131" s="93" t="s">
        <v>4425</v>
      </c>
      <c r="V131" s="93" t="s">
        <v>4424</v>
      </c>
      <c r="W131" s="93" t="s">
        <v>4428</v>
      </c>
      <c r="X131" s="93" t="s">
        <v>4424</v>
      </c>
      <c r="Y131" s="93" t="s">
        <v>4428</v>
      </c>
      <c r="Z131" s="93" t="s">
        <v>4428</v>
      </c>
      <c r="AA131" s="93" t="s">
        <v>4428</v>
      </c>
      <c r="AB131" s="93" t="s">
        <v>4424</v>
      </c>
      <c r="AC131" s="93" t="s">
        <v>4571</v>
      </c>
      <c r="AE131" s="18" t="s">
        <v>638</v>
      </c>
    </row>
    <row r="132">
      <c r="A132" s="11"/>
      <c r="B132" s="12" t="s">
        <v>34</v>
      </c>
      <c r="C132" s="12" t="s">
        <v>65</v>
      </c>
      <c r="D132" s="12" t="s">
        <v>83</v>
      </c>
      <c r="E132" s="12" t="s">
        <v>632</v>
      </c>
      <c r="F132" s="33" t="s">
        <v>633</v>
      </c>
      <c r="G132" s="12" t="s">
        <v>68</v>
      </c>
      <c r="H132" s="12" t="s">
        <v>634</v>
      </c>
      <c r="I132" s="12" t="s">
        <v>635</v>
      </c>
      <c r="J132" s="17" t="s">
        <v>108</v>
      </c>
      <c r="K132" s="17" t="s">
        <v>109</v>
      </c>
      <c r="L132" s="17" t="s">
        <v>3937</v>
      </c>
      <c r="M132" s="17">
        <v>25.0</v>
      </c>
      <c r="N132" s="20">
        <v>45979.0</v>
      </c>
      <c r="O132" s="17" t="s">
        <v>428</v>
      </c>
      <c r="P132" s="93" t="s">
        <v>4424</v>
      </c>
      <c r="Q132" s="93" t="s">
        <v>4424</v>
      </c>
      <c r="R132" s="93" t="s">
        <v>4425</v>
      </c>
      <c r="S132" s="93" t="s">
        <v>4425</v>
      </c>
      <c r="T132" s="93" t="s">
        <v>4424</v>
      </c>
      <c r="U132" s="93" t="s">
        <v>4425</v>
      </c>
      <c r="V132" s="93" t="s">
        <v>4424</v>
      </c>
      <c r="W132" s="93" t="s">
        <v>4424</v>
      </c>
      <c r="X132" s="93" t="s">
        <v>4424</v>
      </c>
      <c r="Y132" s="93" t="s">
        <v>4425</v>
      </c>
      <c r="Z132" s="93" t="s">
        <v>4424</v>
      </c>
      <c r="AA132" s="93" t="s">
        <v>4424</v>
      </c>
      <c r="AB132" s="93" t="s">
        <v>4425</v>
      </c>
      <c r="AC132" s="93" t="s">
        <v>4572</v>
      </c>
      <c r="AE132" s="18" t="s">
        <v>638</v>
      </c>
    </row>
    <row r="133">
      <c r="A133" s="11"/>
      <c r="B133" s="12" t="s">
        <v>34</v>
      </c>
      <c r="C133" s="12" t="s">
        <v>65</v>
      </c>
      <c r="D133" s="12" t="s">
        <v>83</v>
      </c>
      <c r="E133" s="12" t="s">
        <v>632</v>
      </c>
      <c r="F133" s="33" t="s">
        <v>633</v>
      </c>
      <c r="G133" s="12" t="s">
        <v>68</v>
      </c>
      <c r="H133" s="12" t="s">
        <v>634</v>
      </c>
      <c r="I133" s="12" t="s">
        <v>635</v>
      </c>
      <c r="J133" s="17" t="s">
        <v>112</v>
      </c>
      <c r="K133" s="17" t="s">
        <v>3929</v>
      </c>
      <c r="L133" s="17" t="s">
        <v>3938</v>
      </c>
      <c r="M133" s="17">
        <v>27.0</v>
      </c>
      <c r="N133" s="20">
        <v>45979.0</v>
      </c>
      <c r="O133" s="17" t="s">
        <v>428</v>
      </c>
      <c r="P133" s="93" t="s">
        <v>4428</v>
      </c>
      <c r="Q133" s="93" t="s">
        <v>4424</v>
      </c>
      <c r="R133" s="93" t="s">
        <v>4424</v>
      </c>
      <c r="S133" s="93" t="s">
        <v>4428</v>
      </c>
      <c r="T133" s="93" t="s">
        <v>4424</v>
      </c>
      <c r="U133" s="93" t="s">
        <v>4424</v>
      </c>
      <c r="V133" s="93" t="s">
        <v>4424</v>
      </c>
      <c r="W133" s="93" t="s">
        <v>4424</v>
      </c>
      <c r="X133" s="93" t="s">
        <v>4424</v>
      </c>
      <c r="Y133" s="93" t="s">
        <v>4425</v>
      </c>
      <c r="Z133" s="93" t="s">
        <v>4425</v>
      </c>
      <c r="AA133" s="93" t="s">
        <v>4424</v>
      </c>
      <c r="AB133" s="93" t="s">
        <v>4425</v>
      </c>
      <c r="AC133" s="93" t="s">
        <v>4573</v>
      </c>
      <c r="AE133" s="18" t="s">
        <v>638</v>
      </c>
    </row>
    <row r="134">
      <c r="A134" s="11"/>
      <c r="B134" s="12" t="s">
        <v>34</v>
      </c>
      <c r="C134" s="12" t="s">
        <v>65</v>
      </c>
      <c r="D134" s="12" t="s">
        <v>43</v>
      </c>
      <c r="E134" s="12" t="s">
        <v>666</v>
      </c>
      <c r="F134" s="45" t="s">
        <v>667</v>
      </c>
      <c r="G134" s="12" t="s">
        <v>68</v>
      </c>
      <c r="H134" s="12" t="s">
        <v>668</v>
      </c>
      <c r="I134" s="12" t="s">
        <v>669</v>
      </c>
      <c r="J134" s="17" t="s">
        <v>73</v>
      </c>
      <c r="K134" s="17" t="s">
        <v>3653</v>
      </c>
      <c r="L134" s="17" t="s">
        <v>3914</v>
      </c>
      <c r="M134" s="40"/>
      <c r="N134" s="20">
        <v>45979.0</v>
      </c>
      <c r="O134" s="17" t="s">
        <v>428</v>
      </c>
      <c r="P134" s="93" t="s">
        <v>4428</v>
      </c>
      <c r="Q134" s="93" t="s">
        <v>4428</v>
      </c>
      <c r="R134" s="93" t="s">
        <v>4428</v>
      </c>
      <c r="S134" s="93" t="s">
        <v>4428</v>
      </c>
      <c r="T134" s="93" t="s">
        <v>4428</v>
      </c>
      <c r="U134" s="93" t="s">
        <v>4428</v>
      </c>
      <c r="V134" s="93" t="s">
        <v>4428</v>
      </c>
      <c r="W134" s="93" t="s">
        <v>4424</v>
      </c>
      <c r="X134" s="93" t="s">
        <v>4424</v>
      </c>
      <c r="Y134" s="93" t="s">
        <v>4424</v>
      </c>
      <c r="Z134" s="93" t="s">
        <v>4428</v>
      </c>
      <c r="AA134" s="93" t="s">
        <v>4424</v>
      </c>
      <c r="AB134" s="93" t="s">
        <v>4425</v>
      </c>
      <c r="AC134" s="93" t="s">
        <v>4574</v>
      </c>
      <c r="AE134" s="18" t="s">
        <v>638</v>
      </c>
    </row>
    <row r="135">
      <c r="A135" s="11"/>
      <c r="B135" s="12" t="s">
        <v>34</v>
      </c>
      <c r="C135" s="12" t="s">
        <v>65</v>
      </c>
      <c r="D135" s="12" t="s">
        <v>43</v>
      </c>
      <c r="E135" s="12" t="s">
        <v>666</v>
      </c>
      <c r="F135" s="45" t="s">
        <v>667</v>
      </c>
      <c r="G135" s="12" t="s">
        <v>68</v>
      </c>
      <c r="H135" s="12" t="s">
        <v>668</v>
      </c>
      <c r="I135" s="12" t="s">
        <v>669</v>
      </c>
      <c r="J135" s="17" t="s">
        <v>73</v>
      </c>
      <c r="K135" s="17" t="s">
        <v>2055</v>
      </c>
      <c r="L135" s="17" t="s">
        <v>3915</v>
      </c>
      <c r="M135" s="17">
        <v>24.0</v>
      </c>
      <c r="N135" s="20">
        <v>45979.0</v>
      </c>
      <c r="O135" s="17" t="s">
        <v>428</v>
      </c>
      <c r="P135" s="93" t="s">
        <v>4424</v>
      </c>
      <c r="Q135" s="93" t="s">
        <v>4425</v>
      </c>
      <c r="R135" s="93" t="s">
        <v>4424</v>
      </c>
      <c r="S135" s="93" t="s">
        <v>4428</v>
      </c>
      <c r="T135" s="93" t="s">
        <v>4428</v>
      </c>
      <c r="U135" s="93" t="s">
        <v>4424</v>
      </c>
      <c r="V135" s="93" t="s">
        <v>4424</v>
      </c>
      <c r="W135" s="93" t="s">
        <v>4424</v>
      </c>
      <c r="X135" s="93" t="s">
        <v>4428</v>
      </c>
      <c r="Y135" s="93" t="s">
        <v>4424</v>
      </c>
      <c r="Z135" s="93" t="s">
        <v>4425</v>
      </c>
      <c r="AA135" s="93" t="s">
        <v>4424</v>
      </c>
      <c r="AB135" s="93" t="s">
        <v>4426</v>
      </c>
      <c r="AC135" s="93" t="s">
        <v>4575</v>
      </c>
      <c r="AE135" s="18" t="s">
        <v>638</v>
      </c>
    </row>
    <row r="136">
      <c r="A136" s="11"/>
      <c r="B136" s="12" t="s">
        <v>34</v>
      </c>
      <c r="C136" s="12" t="s">
        <v>65</v>
      </c>
      <c r="D136" s="12" t="s">
        <v>43</v>
      </c>
      <c r="E136" s="12" t="s">
        <v>691</v>
      </c>
      <c r="F136" s="33" t="s">
        <v>692</v>
      </c>
      <c r="G136" s="12" t="s">
        <v>68</v>
      </c>
      <c r="H136" s="12" t="s">
        <v>693</v>
      </c>
      <c r="I136" s="12" t="s">
        <v>694</v>
      </c>
      <c r="J136" s="17" t="s">
        <v>73</v>
      </c>
      <c r="K136" s="17" t="s">
        <v>3922</v>
      </c>
      <c r="L136" s="17" t="s">
        <v>3925</v>
      </c>
      <c r="M136" s="17">
        <v>48.0</v>
      </c>
      <c r="N136" s="20">
        <v>45988.0</v>
      </c>
      <c r="O136" s="17" t="s">
        <v>428</v>
      </c>
      <c r="P136" s="196" t="s">
        <v>4424</v>
      </c>
      <c r="Q136" s="196" t="s">
        <v>4425</v>
      </c>
      <c r="R136" s="196" t="s">
        <v>4428</v>
      </c>
      <c r="S136" s="196" t="s">
        <v>4428</v>
      </c>
      <c r="T136" s="196" t="s">
        <v>4428</v>
      </c>
      <c r="U136" s="196" t="s">
        <v>4428</v>
      </c>
      <c r="V136" s="196" t="s">
        <v>4428</v>
      </c>
      <c r="W136" s="196" t="s">
        <v>4428</v>
      </c>
      <c r="X136" s="196" t="s">
        <v>4428</v>
      </c>
      <c r="Y136" s="196" t="s">
        <v>4424</v>
      </c>
      <c r="Z136" s="196" t="s">
        <v>4424</v>
      </c>
      <c r="AA136" s="196" t="s">
        <v>4424</v>
      </c>
      <c r="AB136" s="196" t="s">
        <v>4424</v>
      </c>
      <c r="AC136" s="161" t="s">
        <v>4576</v>
      </c>
      <c r="AE136" s="18" t="s">
        <v>638</v>
      </c>
    </row>
    <row r="137">
      <c r="A137" s="11"/>
      <c r="B137" s="12" t="s">
        <v>34</v>
      </c>
      <c r="C137" s="12" t="s">
        <v>65</v>
      </c>
      <c r="D137" s="12" t="s">
        <v>43</v>
      </c>
      <c r="E137" s="12" t="s">
        <v>691</v>
      </c>
      <c r="F137" s="33" t="s">
        <v>692</v>
      </c>
      <c r="G137" s="12" t="s">
        <v>68</v>
      </c>
      <c r="H137" s="12" t="s">
        <v>693</v>
      </c>
      <c r="I137" s="12" t="s">
        <v>694</v>
      </c>
      <c r="J137" s="17" t="s">
        <v>73</v>
      </c>
      <c r="K137" s="17" t="s">
        <v>74</v>
      </c>
      <c r="L137" s="17" t="s">
        <v>3927</v>
      </c>
      <c r="M137" s="17">
        <v>27.0</v>
      </c>
      <c r="N137" s="20">
        <v>45988.0</v>
      </c>
      <c r="O137" s="17" t="s">
        <v>428</v>
      </c>
      <c r="P137" s="196" t="s">
        <v>4424</v>
      </c>
      <c r="Q137" s="196" t="s">
        <v>4424</v>
      </c>
      <c r="R137" s="196" t="s">
        <v>4428</v>
      </c>
      <c r="S137" s="196" t="s">
        <v>4428</v>
      </c>
      <c r="T137" s="196" t="s">
        <v>4428</v>
      </c>
      <c r="U137" s="196" t="s">
        <v>4428</v>
      </c>
      <c r="V137" s="196" t="s">
        <v>4424</v>
      </c>
      <c r="W137" s="196" t="s">
        <v>4428</v>
      </c>
      <c r="X137" s="196" t="s">
        <v>4428</v>
      </c>
      <c r="Y137" s="196" t="s">
        <v>4428</v>
      </c>
      <c r="Z137" s="196" t="s">
        <v>4424</v>
      </c>
      <c r="AA137" s="196" t="s">
        <v>4428</v>
      </c>
      <c r="AB137" s="196" t="s">
        <v>4424</v>
      </c>
      <c r="AC137" s="161" t="s">
        <v>4577</v>
      </c>
      <c r="AE137" s="18" t="s">
        <v>638</v>
      </c>
    </row>
    <row r="138">
      <c r="A138" s="11"/>
      <c r="B138" s="12" t="s">
        <v>34</v>
      </c>
      <c r="C138" s="12" t="s">
        <v>65</v>
      </c>
      <c r="D138" s="12" t="s">
        <v>43</v>
      </c>
      <c r="E138" s="12" t="s">
        <v>691</v>
      </c>
      <c r="F138" s="33" t="s">
        <v>692</v>
      </c>
      <c r="G138" s="12" t="s">
        <v>68</v>
      </c>
      <c r="H138" s="12" t="s">
        <v>693</v>
      </c>
      <c r="I138" s="12" t="s">
        <v>694</v>
      </c>
      <c r="J138" s="17" t="s">
        <v>108</v>
      </c>
      <c r="K138" s="17" t="s">
        <v>109</v>
      </c>
      <c r="L138" s="17" t="s">
        <v>3928</v>
      </c>
      <c r="M138" s="17">
        <v>41.0</v>
      </c>
      <c r="N138" s="20">
        <v>45988.0</v>
      </c>
      <c r="O138" s="17" t="s">
        <v>428</v>
      </c>
      <c r="P138" s="196" t="s">
        <v>4424</v>
      </c>
      <c r="Q138" s="196" t="s">
        <v>4424</v>
      </c>
      <c r="R138" s="196" t="s">
        <v>4424</v>
      </c>
      <c r="S138" s="196" t="s">
        <v>4428</v>
      </c>
      <c r="T138" s="196" t="s">
        <v>4428</v>
      </c>
      <c r="U138" s="196" t="s">
        <v>4428</v>
      </c>
      <c r="V138" s="196" t="s">
        <v>4428</v>
      </c>
      <c r="W138" s="196" t="s">
        <v>4424</v>
      </c>
      <c r="X138" s="196" t="s">
        <v>4428</v>
      </c>
      <c r="Y138" s="196" t="s">
        <v>4428</v>
      </c>
      <c r="Z138" s="196" t="s">
        <v>4425</v>
      </c>
      <c r="AA138" s="196" t="s">
        <v>4428</v>
      </c>
      <c r="AB138" s="196" t="s">
        <v>4425</v>
      </c>
      <c r="AC138" s="161" t="s">
        <v>4578</v>
      </c>
      <c r="AE138" s="18" t="s">
        <v>638</v>
      </c>
    </row>
    <row r="139">
      <c r="A139" s="11"/>
      <c r="B139" s="12" t="s">
        <v>34</v>
      </c>
      <c r="C139" s="12" t="s">
        <v>65</v>
      </c>
      <c r="D139" s="12" t="s">
        <v>43</v>
      </c>
      <c r="E139" s="12" t="s">
        <v>691</v>
      </c>
      <c r="F139" s="33" t="s">
        <v>692</v>
      </c>
      <c r="G139" s="12" t="s">
        <v>68</v>
      </c>
      <c r="H139" s="12" t="s">
        <v>693</v>
      </c>
      <c r="I139" s="12" t="s">
        <v>694</v>
      </c>
      <c r="J139" s="17" t="s">
        <v>73</v>
      </c>
      <c r="K139" s="17" t="s">
        <v>3929</v>
      </c>
      <c r="L139" s="17" t="s">
        <v>3406</v>
      </c>
      <c r="M139" s="17">
        <v>59.0</v>
      </c>
      <c r="N139" s="20">
        <v>45988.0</v>
      </c>
      <c r="O139" s="17" t="s">
        <v>428</v>
      </c>
      <c r="P139" s="196" t="s">
        <v>4424</v>
      </c>
      <c r="Q139" s="163" t="s">
        <v>4424</v>
      </c>
      <c r="R139" s="196" t="s">
        <v>4424</v>
      </c>
      <c r="S139" s="196" t="s">
        <v>4424</v>
      </c>
      <c r="T139" s="196" t="s">
        <v>4428</v>
      </c>
      <c r="U139" s="196" t="s">
        <v>4428</v>
      </c>
      <c r="V139" s="196" t="s">
        <v>4424</v>
      </c>
      <c r="W139" s="196" t="s">
        <v>4428</v>
      </c>
      <c r="X139" s="196" t="s">
        <v>4424</v>
      </c>
      <c r="Y139" s="196" t="s">
        <v>4424</v>
      </c>
      <c r="Z139" s="196" t="s">
        <v>4424</v>
      </c>
      <c r="AA139" s="196" t="s">
        <v>4424</v>
      </c>
      <c r="AB139" s="196" t="s">
        <v>4424</v>
      </c>
      <c r="AC139" s="161" t="s">
        <v>4579</v>
      </c>
      <c r="AE139" s="18" t="s">
        <v>638</v>
      </c>
    </row>
    <row r="140">
      <c r="A140" s="11"/>
      <c r="B140" s="12" t="s">
        <v>34</v>
      </c>
      <c r="C140" s="12" t="s">
        <v>65</v>
      </c>
      <c r="D140" s="12" t="s">
        <v>43</v>
      </c>
      <c r="E140" s="12" t="s">
        <v>691</v>
      </c>
      <c r="F140" s="33" t="s">
        <v>692</v>
      </c>
      <c r="G140" s="12" t="s">
        <v>68</v>
      </c>
      <c r="H140" s="12" t="s">
        <v>693</v>
      </c>
      <c r="I140" s="12" t="s">
        <v>694</v>
      </c>
      <c r="J140" s="17" t="s">
        <v>112</v>
      </c>
      <c r="K140" s="17" t="s">
        <v>113</v>
      </c>
      <c r="L140" s="17" t="s">
        <v>3405</v>
      </c>
      <c r="M140" s="40"/>
      <c r="N140" s="20">
        <v>45988.0</v>
      </c>
      <c r="O140" s="17" t="s">
        <v>428</v>
      </c>
      <c r="P140" s="196" t="s">
        <v>4424</v>
      </c>
      <c r="Q140" s="196" t="s">
        <v>4424</v>
      </c>
      <c r="R140" s="196" t="s">
        <v>4424</v>
      </c>
      <c r="S140" s="196" t="s">
        <v>4424</v>
      </c>
      <c r="T140" s="196" t="s">
        <v>4428</v>
      </c>
      <c r="U140" s="196" t="s">
        <v>4428</v>
      </c>
      <c r="V140" s="196" t="s">
        <v>4424</v>
      </c>
      <c r="W140" s="196" t="s">
        <v>4428</v>
      </c>
      <c r="X140" s="196" t="s">
        <v>4424</v>
      </c>
      <c r="Y140" s="196" t="s">
        <v>4428</v>
      </c>
      <c r="Z140" s="196" t="s">
        <v>4424</v>
      </c>
      <c r="AA140" s="196" t="s">
        <v>4424</v>
      </c>
      <c r="AB140" s="196" t="s">
        <v>4424</v>
      </c>
      <c r="AC140" s="161" t="s">
        <v>4580</v>
      </c>
      <c r="AE140" s="18" t="s">
        <v>638</v>
      </c>
    </row>
    <row r="141">
      <c r="A141" s="11"/>
      <c r="B141" s="12" t="s">
        <v>34</v>
      </c>
      <c r="C141" s="12" t="s">
        <v>65</v>
      </c>
      <c r="D141" s="12" t="s">
        <v>43</v>
      </c>
      <c r="E141" s="12" t="s">
        <v>717</v>
      </c>
      <c r="F141" s="33" t="s">
        <v>718</v>
      </c>
      <c r="G141" s="12" t="s">
        <v>68</v>
      </c>
      <c r="H141" s="12" t="s">
        <v>719</v>
      </c>
      <c r="I141" s="12" t="s">
        <v>720</v>
      </c>
      <c r="J141" s="17" t="s">
        <v>112</v>
      </c>
      <c r="K141" s="17" t="s">
        <v>113</v>
      </c>
      <c r="L141" s="17" t="s">
        <v>3919</v>
      </c>
      <c r="M141" s="17">
        <v>39.0</v>
      </c>
      <c r="N141" s="20">
        <v>45988.0</v>
      </c>
      <c r="O141" s="17" t="s">
        <v>428</v>
      </c>
      <c r="P141" s="196" t="s">
        <v>4425</v>
      </c>
      <c r="Q141" s="196" t="s">
        <v>4424</v>
      </c>
      <c r="R141" s="196" t="s">
        <v>4424</v>
      </c>
      <c r="S141" s="196" t="s">
        <v>4428</v>
      </c>
      <c r="T141" s="196" t="s">
        <v>4424</v>
      </c>
      <c r="U141" s="196" t="s">
        <v>4428</v>
      </c>
      <c r="V141" s="196" t="s">
        <v>4424</v>
      </c>
      <c r="W141" s="196" t="s">
        <v>4428</v>
      </c>
      <c r="X141" s="196" t="s">
        <v>4428</v>
      </c>
      <c r="Y141" s="196" t="s">
        <v>4428</v>
      </c>
      <c r="Z141" s="196" t="s">
        <v>4424</v>
      </c>
      <c r="AA141" s="196" t="s">
        <v>4428</v>
      </c>
      <c r="AB141" s="196" t="s">
        <v>4425</v>
      </c>
      <c r="AC141" s="161" t="s">
        <v>4581</v>
      </c>
      <c r="AE141" s="18" t="s">
        <v>638</v>
      </c>
    </row>
    <row r="142">
      <c r="A142" s="11"/>
      <c r="B142" s="12" t="s">
        <v>34</v>
      </c>
      <c r="C142" s="12" t="s">
        <v>65</v>
      </c>
      <c r="D142" s="12" t="s">
        <v>43</v>
      </c>
      <c r="E142" s="12" t="s">
        <v>717</v>
      </c>
      <c r="F142" s="33" t="s">
        <v>718</v>
      </c>
      <c r="G142" s="12" t="s">
        <v>68</v>
      </c>
      <c r="H142" s="12" t="s">
        <v>719</v>
      </c>
      <c r="I142" s="12" t="s">
        <v>720</v>
      </c>
      <c r="J142" s="17" t="s">
        <v>73</v>
      </c>
      <c r="K142" s="17" t="s">
        <v>74</v>
      </c>
      <c r="L142" s="17" t="s">
        <v>3920</v>
      </c>
      <c r="M142" s="17">
        <v>45.0</v>
      </c>
      <c r="N142" s="20">
        <v>45988.0</v>
      </c>
      <c r="O142" s="17" t="s">
        <v>428</v>
      </c>
      <c r="P142" s="196" t="s">
        <v>4424</v>
      </c>
      <c r="Q142" s="196" t="s">
        <v>4424</v>
      </c>
      <c r="R142" s="196" t="s">
        <v>4428</v>
      </c>
      <c r="S142" s="196" t="s">
        <v>4428</v>
      </c>
      <c r="T142" s="196" t="s">
        <v>4428</v>
      </c>
      <c r="U142" s="196" t="s">
        <v>4428</v>
      </c>
      <c r="V142" s="196" t="s">
        <v>4424</v>
      </c>
      <c r="W142" s="196" t="s">
        <v>4424</v>
      </c>
      <c r="X142" s="196" t="s">
        <v>4428</v>
      </c>
      <c r="Y142" s="196" t="s">
        <v>4428</v>
      </c>
      <c r="Z142" s="196" t="s">
        <v>4428</v>
      </c>
      <c r="AA142" s="196" t="s">
        <v>4428</v>
      </c>
      <c r="AB142" s="196" t="s">
        <v>4424</v>
      </c>
      <c r="AC142" s="161" t="s">
        <v>4582</v>
      </c>
      <c r="AE142" s="18" t="s">
        <v>638</v>
      </c>
    </row>
    <row r="143">
      <c r="A143" s="11"/>
      <c r="B143" s="12" t="s">
        <v>34</v>
      </c>
      <c r="C143" s="12" t="s">
        <v>65</v>
      </c>
      <c r="D143" s="12" t="s">
        <v>43</v>
      </c>
      <c r="E143" s="12" t="s">
        <v>717</v>
      </c>
      <c r="F143" s="33" t="s">
        <v>718</v>
      </c>
      <c r="G143" s="12" t="s">
        <v>68</v>
      </c>
      <c r="H143" s="12" t="s">
        <v>719</v>
      </c>
      <c r="I143" s="12" t="s">
        <v>720</v>
      </c>
      <c r="J143" s="17" t="s">
        <v>73</v>
      </c>
      <c r="K143" s="17" t="s">
        <v>3922</v>
      </c>
      <c r="L143" s="17" t="s">
        <v>3921</v>
      </c>
      <c r="M143" s="17">
        <v>44.0</v>
      </c>
      <c r="N143" s="20">
        <v>45988.0</v>
      </c>
      <c r="O143" s="17" t="s">
        <v>428</v>
      </c>
      <c r="P143" s="196" t="s">
        <v>4424</v>
      </c>
      <c r="Q143" s="196" t="s">
        <v>4424</v>
      </c>
      <c r="R143" s="196" t="s">
        <v>4424</v>
      </c>
      <c r="S143" s="196" t="s">
        <v>4428</v>
      </c>
      <c r="T143" s="196" t="s">
        <v>4424</v>
      </c>
      <c r="U143" s="196" t="s">
        <v>4428</v>
      </c>
      <c r="V143" s="196" t="s">
        <v>4424</v>
      </c>
      <c r="W143" s="196" t="s">
        <v>4424</v>
      </c>
      <c r="X143" s="196" t="s">
        <v>4424</v>
      </c>
      <c r="Y143" s="196" t="s">
        <v>4428</v>
      </c>
      <c r="Z143" s="196" t="s">
        <v>4428</v>
      </c>
      <c r="AA143" s="196" t="s">
        <v>4428</v>
      </c>
      <c r="AB143" s="196" t="s">
        <v>4424</v>
      </c>
      <c r="AC143" s="161" t="s">
        <v>4583</v>
      </c>
      <c r="AE143" s="18" t="s">
        <v>638</v>
      </c>
    </row>
    <row r="144">
      <c r="A144" s="11"/>
      <c r="B144" s="12" t="s">
        <v>34</v>
      </c>
      <c r="C144" s="12" t="s">
        <v>65</v>
      </c>
      <c r="D144" s="12" t="s">
        <v>43</v>
      </c>
      <c r="E144" s="12" t="s">
        <v>717</v>
      </c>
      <c r="F144" s="33" t="s">
        <v>718</v>
      </c>
      <c r="G144" s="12" t="s">
        <v>68</v>
      </c>
      <c r="H144" s="12" t="s">
        <v>719</v>
      </c>
      <c r="I144" s="12" t="s">
        <v>720</v>
      </c>
      <c r="J144" s="17" t="s">
        <v>108</v>
      </c>
      <c r="K144" s="17" t="s">
        <v>109</v>
      </c>
      <c r="L144" s="17" t="s">
        <v>3924</v>
      </c>
      <c r="M144" s="17">
        <v>46.0</v>
      </c>
      <c r="N144" s="20">
        <v>45988.0</v>
      </c>
      <c r="O144" s="17" t="s">
        <v>428</v>
      </c>
      <c r="P144" s="196" t="s">
        <v>4428</v>
      </c>
      <c r="Q144" s="196" t="s">
        <v>4424</v>
      </c>
      <c r="R144" s="196" t="s">
        <v>4428</v>
      </c>
      <c r="S144" s="196" t="s">
        <v>4428</v>
      </c>
      <c r="T144" s="196" t="s">
        <v>4428</v>
      </c>
      <c r="U144" s="196" t="s">
        <v>4428</v>
      </c>
      <c r="V144" s="196" t="s">
        <v>4428</v>
      </c>
      <c r="W144" s="196" t="s">
        <v>4428</v>
      </c>
      <c r="X144" s="196" t="s">
        <v>4424</v>
      </c>
      <c r="Y144" s="196" t="s">
        <v>4428</v>
      </c>
      <c r="Z144" s="196" t="s">
        <v>4424</v>
      </c>
      <c r="AA144" s="196" t="s">
        <v>4428</v>
      </c>
      <c r="AB144" s="196" t="s">
        <v>4424</v>
      </c>
      <c r="AC144" s="161" t="s">
        <v>4584</v>
      </c>
      <c r="AE144" s="18" t="s">
        <v>638</v>
      </c>
    </row>
    <row r="145">
      <c r="A145" s="11"/>
      <c r="B145" s="12" t="s">
        <v>34</v>
      </c>
      <c r="C145" s="12" t="s">
        <v>65</v>
      </c>
      <c r="D145" s="12" t="s">
        <v>43</v>
      </c>
      <c r="E145" s="12" t="s">
        <v>773</v>
      </c>
      <c r="F145" s="13" t="s">
        <v>774</v>
      </c>
      <c r="G145" s="12" t="s">
        <v>68</v>
      </c>
      <c r="H145" s="12" t="s">
        <v>775</v>
      </c>
      <c r="I145" s="12" t="s">
        <v>776</v>
      </c>
      <c r="J145" s="17" t="s">
        <v>73</v>
      </c>
      <c r="K145" s="17" t="s">
        <v>1775</v>
      </c>
      <c r="L145" s="17" t="s">
        <v>3931</v>
      </c>
      <c r="M145" s="17">
        <v>25.0</v>
      </c>
      <c r="N145" s="20">
        <v>45988.0</v>
      </c>
      <c r="O145" s="17" t="s">
        <v>428</v>
      </c>
      <c r="P145" s="196" t="s">
        <v>4424</v>
      </c>
      <c r="Q145" s="196" t="s">
        <v>4428</v>
      </c>
      <c r="R145" s="196" t="s">
        <v>4428</v>
      </c>
      <c r="S145" s="196" t="s">
        <v>4428</v>
      </c>
      <c r="T145" s="196" t="s">
        <v>4428</v>
      </c>
      <c r="U145" s="196" t="s">
        <v>4424</v>
      </c>
      <c r="V145" s="196" t="s">
        <v>4428</v>
      </c>
      <c r="W145" s="196" t="s">
        <v>4424</v>
      </c>
      <c r="X145" s="196" t="s">
        <v>4428</v>
      </c>
      <c r="Y145" s="196" t="s">
        <v>4428</v>
      </c>
      <c r="Z145" s="196" t="s">
        <v>4424</v>
      </c>
      <c r="AA145" s="196" t="s">
        <v>4424</v>
      </c>
      <c r="AB145" s="196" t="s">
        <v>4424</v>
      </c>
      <c r="AC145" s="161" t="s">
        <v>4585</v>
      </c>
      <c r="AE145" s="18" t="s">
        <v>638</v>
      </c>
    </row>
    <row r="146">
      <c r="A146" s="11"/>
      <c r="B146" s="12" t="s">
        <v>34</v>
      </c>
      <c r="C146" s="12" t="s">
        <v>65</v>
      </c>
      <c r="D146" s="12" t="s">
        <v>43</v>
      </c>
      <c r="E146" s="12" t="s">
        <v>773</v>
      </c>
      <c r="F146" s="13" t="s">
        <v>774</v>
      </c>
      <c r="G146" s="12" t="s">
        <v>68</v>
      </c>
      <c r="H146" s="12" t="s">
        <v>775</v>
      </c>
      <c r="I146" s="12" t="s">
        <v>776</v>
      </c>
      <c r="J146" s="17" t="s">
        <v>73</v>
      </c>
      <c r="K146" s="17" t="s">
        <v>74</v>
      </c>
      <c r="L146" s="17" t="s">
        <v>3934</v>
      </c>
      <c r="M146" s="40"/>
      <c r="N146" s="20">
        <v>45988.0</v>
      </c>
      <c r="O146" s="17" t="s">
        <v>428</v>
      </c>
      <c r="P146" s="196" t="s">
        <v>4428</v>
      </c>
      <c r="Q146" s="196" t="s">
        <v>4424</v>
      </c>
      <c r="R146" s="196" t="s">
        <v>4424</v>
      </c>
      <c r="S146" s="196" t="s">
        <v>4428</v>
      </c>
      <c r="T146" s="196" t="s">
        <v>4428</v>
      </c>
      <c r="U146" s="196" t="s">
        <v>4428</v>
      </c>
      <c r="V146" s="196" t="s">
        <v>4424</v>
      </c>
      <c r="W146" s="196" t="s">
        <v>4424</v>
      </c>
      <c r="X146" s="196" t="s">
        <v>4428</v>
      </c>
      <c r="Y146" s="196" t="s">
        <v>4428</v>
      </c>
      <c r="Z146" s="196" t="s">
        <v>4424</v>
      </c>
      <c r="AA146" s="196" t="s">
        <v>4428</v>
      </c>
      <c r="AB146" s="196" t="s">
        <v>4424</v>
      </c>
      <c r="AC146" s="161" t="s">
        <v>4586</v>
      </c>
      <c r="AE146" s="18" t="s">
        <v>638</v>
      </c>
    </row>
    <row r="147">
      <c r="A147" s="11"/>
      <c r="B147" s="23"/>
      <c r="C147" s="23"/>
      <c r="D147" s="23"/>
      <c r="E147" s="23"/>
      <c r="F147" s="1"/>
      <c r="G147" s="23"/>
      <c r="H147" s="23"/>
      <c r="I147" s="23"/>
      <c r="J147" s="2"/>
      <c r="M147" s="40"/>
      <c r="N147" s="40"/>
      <c r="O147" s="2"/>
      <c r="AE147" s="24"/>
    </row>
    <row r="148">
      <c r="A148" s="11"/>
      <c r="B148" s="23"/>
      <c r="C148" s="23"/>
      <c r="D148" s="23"/>
      <c r="E148" s="23"/>
      <c r="F148" s="1"/>
      <c r="G148" s="23"/>
      <c r="H148" s="23"/>
      <c r="I148" s="23"/>
      <c r="J148" s="2"/>
      <c r="M148" s="40"/>
      <c r="N148" s="40"/>
      <c r="O148" s="2"/>
      <c r="AE148" s="24"/>
    </row>
    <row r="149">
      <c r="A149" s="11"/>
      <c r="B149" s="23"/>
      <c r="C149" s="23"/>
      <c r="D149" s="23"/>
      <c r="E149" s="23"/>
      <c r="F149" s="1"/>
      <c r="G149" s="23"/>
      <c r="H149" s="23"/>
      <c r="I149" s="23"/>
      <c r="J149" s="2"/>
      <c r="M149" s="40"/>
      <c r="N149" s="40"/>
      <c r="O149" s="2"/>
      <c r="AE149" s="24"/>
    </row>
    <row r="150">
      <c r="A150" s="11"/>
      <c r="B150" s="23"/>
      <c r="C150" s="23"/>
      <c r="D150" s="23"/>
      <c r="E150" s="23"/>
      <c r="F150" s="1"/>
      <c r="G150" s="23"/>
      <c r="H150" s="23"/>
      <c r="I150" s="23"/>
      <c r="J150" s="2"/>
      <c r="M150" s="40"/>
      <c r="N150" s="40"/>
      <c r="O150" s="2"/>
      <c r="AE150" s="24"/>
    </row>
    <row r="151">
      <c r="A151" s="11"/>
      <c r="B151" s="23"/>
      <c r="C151" s="23"/>
      <c r="D151" s="23"/>
      <c r="E151" s="23"/>
      <c r="F151" s="1"/>
      <c r="G151" s="23"/>
      <c r="H151" s="23"/>
      <c r="I151" s="23"/>
      <c r="J151" s="2"/>
      <c r="M151" s="40"/>
      <c r="N151" s="40"/>
      <c r="O151" s="2"/>
      <c r="AE151" s="24"/>
    </row>
    <row r="152">
      <c r="A152" s="11"/>
      <c r="B152" s="23"/>
      <c r="C152" s="23"/>
      <c r="D152" s="23"/>
      <c r="E152" s="23"/>
      <c r="F152" s="1"/>
      <c r="G152" s="23"/>
      <c r="H152" s="23"/>
      <c r="I152" s="23"/>
      <c r="J152" s="2"/>
      <c r="M152" s="40"/>
      <c r="N152" s="40"/>
      <c r="O152" s="2"/>
      <c r="AE152" s="24"/>
    </row>
    <row r="153">
      <c r="A153" s="11"/>
      <c r="B153" s="23"/>
      <c r="C153" s="23"/>
      <c r="D153" s="23"/>
      <c r="E153" s="23"/>
      <c r="F153" s="1"/>
      <c r="G153" s="23"/>
      <c r="H153" s="23"/>
      <c r="I153" s="23"/>
      <c r="J153" s="2"/>
      <c r="M153" s="40"/>
      <c r="N153" s="40"/>
      <c r="O153" s="2"/>
      <c r="AE153" s="24"/>
    </row>
    <row r="154">
      <c r="A154" s="11"/>
      <c r="B154" s="23"/>
      <c r="C154" s="23"/>
      <c r="D154" s="23"/>
      <c r="E154" s="23"/>
      <c r="F154" s="1"/>
      <c r="G154" s="23"/>
      <c r="H154" s="23"/>
      <c r="I154" s="23"/>
      <c r="J154" s="2"/>
      <c r="M154" s="40"/>
      <c r="N154" s="40"/>
      <c r="O154" s="2"/>
      <c r="AE154" s="24"/>
    </row>
    <row r="155">
      <c r="A155" s="11"/>
      <c r="B155" s="23"/>
      <c r="C155" s="23"/>
      <c r="D155" s="23"/>
      <c r="E155" s="23"/>
      <c r="F155" s="1"/>
      <c r="G155" s="23"/>
      <c r="H155" s="23"/>
      <c r="I155" s="23"/>
      <c r="J155" s="2"/>
      <c r="M155" s="40"/>
      <c r="N155" s="40"/>
      <c r="O155" s="2"/>
      <c r="AE155" s="24"/>
    </row>
    <row r="156">
      <c r="A156" s="11"/>
      <c r="B156" s="23"/>
      <c r="C156" s="23"/>
      <c r="D156" s="23"/>
      <c r="E156" s="23"/>
      <c r="F156" s="1"/>
      <c r="G156" s="23"/>
      <c r="H156" s="23"/>
      <c r="I156" s="23"/>
      <c r="J156" s="2"/>
      <c r="M156" s="40"/>
      <c r="N156" s="40"/>
      <c r="O156" s="2"/>
      <c r="AE156" s="24"/>
    </row>
    <row r="157">
      <c r="A157" s="11"/>
      <c r="B157" s="23"/>
      <c r="C157" s="23"/>
      <c r="D157" s="23"/>
      <c r="E157" s="23"/>
      <c r="F157" s="1"/>
      <c r="G157" s="23"/>
      <c r="H157" s="23"/>
      <c r="I157" s="23"/>
      <c r="J157" s="2"/>
      <c r="M157" s="40"/>
      <c r="N157" s="40"/>
      <c r="O157" s="2"/>
      <c r="AE157" s="24"/>
    </row>
    <row r="158">
      <c r="A158" s="11"/>
      <c r="B158" s="23"/>
      <c r="C158" s="23"/>
      <c r="D158" s="23"/>
      <c r="E158" s="23"/>
      <c r="F158" s="1"/>
      <c r="G158" s="23"/>
      <c r="H158" s="23"/>
      <c r="I158" s="23"/>
      <c r="J158" s="2"/>
      <c r="M158" s="40"/>
      <c r="N158" s="40"/>
      <c r="O158" s="2"/>
      <c r="AE158" s="24"/>
    </row>
    <row r="159">
      <c r="A159" s="11"/>
      <c r="B159" s="23"/>
      <c r="C159" s="23"/>
      <c r="D159" s="23"/>
      <c r="E159" s="23"/>
      <c r="F159" s="1"/>
      <c r="G159" s="23"/>
      <c r="H159" s="23"/>
      <c r="I159" s="23"/>
      <c r="J159" s="2"/>
      <c r="M159" s="40"/>
      <c r="N159" s="40"/>
      <c r="O159" s="2"/>
      <c r="AE159" s="24"/>
    </row>
    <row r="160">
      <c r="A160" s="11"/>
      <c r="B160" s="23"/>
      <c r="C160" s="23"/>
      <c r="D160" s="23"/>
      <c r="E160" s="23"/>
      <c r="F160" s="1"/>
      <c r="G160" s="23"/>
      <c r="H160" s="23"/>
      <c r="I160" s="23"/>
      <c r="J160" s="2"/>
      <c r="M160" s="40"/>
      <c r="N160" s="40"/>
      <c r="O160" s="2"/>
      <c r="AE160" s="24"/>
    </row>
    <row r="161">
      <c r="A161" s="11"/>
      <c r="B161" s="23"/>
      <c r="C161" s="23"/>
      <c r="D161" s="23"/>
      <c r="E161" s="23"/>
      <c r="F161" s="1"/>
      <c r="G161" s="23"/>
      <c r="H161" s="23"/>
      <c r="I161" s="23"/>
      <c r="J161" s="2"/>
      <c r="M161" s="40"/>
      <c r="N161" s="40"/>
      <c r="O161" s="2"/>
      <c r="AE161" s="24"/>
    </row>
    <row r="162">
      <c r="A162" s="11"/>
      <c r="B162" s="23"/>
      <c r="C162" s="23"/>
      <c r="D162" s="23"/>
      <c r="E162" s="23"/>
      <c r="F162" s="1"/>
      <c r="G162" s="23"/>
      <c r="H162" s="23"/>
      <c r="I162" s="23"/>
      <c r="J162" s="2"/>
      <c r="M162" s="40"/>
      <c r="N162" s="40"/>
      <c r="O162" s="2"/>
      <c r="AE162" s="24"/>
    </row>
    <row r="163">
      <c r="A163" s="11"/>
      <c r="B163" s="23"/>
      <c r="C163" s="23"/>
      <c r="D163" s="23"/>
      <c r="E163" s="23"/>
      <c r="F163" s="1"/>
      <c r="G163" s="23"/>
      <c r="H163" s="23"/>
      <c r="I163" s="23"/>
      <c r="J163" s="2"/>
      <c r="M163" s="40"/>
      <c r="N163" s="40"/>
      <c r="O163" s="2"/>
      <c r="AE163" s="24"/>
    </row>
    <row r="164">
      <c r="A164" s="11"/>
      <c r="B164" s="23"/>
      <c r="C164" s="23"/>
      <c r="D164" s="23"/>
      <c r="E164" s="23"/>
      <c r="F164" s="1"/>
      <c r="G164" s="23"/>
      <c r="H164" s="23"/>
      <c r="I164" s="23"/>
      <c r="J164" s="2"/>
      <c r="M164" s="40"/>
      <c r="N164" s="40"/>
      <c r="O164" s="2"/>
      <c r="AE164" s="24"/>
    </row>
    <row r="165">
      <c r="A165" s="11"/>
      <c r="B165" s="23"/>
      <c r="C165" s="23"/>
      <c r="D165" s="23"/>
      <c r="E165" s="23"/>
      <c r="F165" s="1"/>
      <c r="G165" s="23"/>
      <c r="H165" s="23"/>
      <c r="I165" s="23"/>
      <c r="J165" s="2"/>
      <c r="M165" s="40"/>
      <c r="N165" s="40"/>
      <c r="O165" s="2"/>
      <c r="AE165" s="24"/>
    </row>
    <row r="166">
      <c r="A166" s="11"/>
      <c r="B166" s="23"/>
      <c r="C166" s="23"/>
      <c r="D166" s="23"/>
      <c r="E166" s="23"/>
      <c r="F166" s="1"/>
      <c r="G166" s="23"/>
      <c r="H166" s="23"/>
      <c r="I166" s="23"/>
      <c r="J166" s="2"/>
      <c r="M166" s="40"/>
      <c r="N166" s="40"/>
      <c r="O166" s="2"/>
      <c r="AE166" s="24"/>
    </row>
    <row r="167">
      <c r="A167" s="11"/>
      <c r="B167" s="23"/>
      <c r="C167" s="23"/>
      <c r="D167" s="23"/>
      <c r="E167" s="23"/>
      <c r="F167" s="1"/>
      <c r="G167" s="23"/>
      <c r="H167" s="23"/>
      <c r="I167" s="23"/>
      <c r="J167" s="2"/>
      <c r="M167" s="40"/>
      <c r="N167" s="40"/>
      <c r="O167" s="2"/>
      <c r="AE167" s="24"/>
    </row>
    <row r="168">
      <c r="A168" s="11"/>
      <c r="B168" s="23"/>
      <c r="C168" s="23"/>
      <c r="D168" s="23"/>
      <c r="E168" s="23"/>
      <c r="F168" s="1"/>
      <c r="G168" s="23"/>
      <c r="H168" s="23"/>
      <c r="I168" s="23"/>
      <c r="J168" s="2"/>
      <c r="M168" s="40"/>
      <c r="N168" s="40"/>
      <c r="O168" s="2"/>
      <c r="AE168" s="24"/>
    </row>
    <row r="169">
      <c r="A169" s="11"/>
      <c r="B169" s="23"/>
      <c r="C169" s="23"/>
      <c r="D169" s="23"/>
      <c r="E169" s="23"/>
      <c r="F169" s="1"/>
      <c r="G169" s="23"/>
      <c r="H169" s="23"/>
      <c r="I169" s="23"/>
      <c r="J169" s="2"/>
      <c r="M169" s="40"/>
      <c r="N169" s="40"/>
      <c r="O169" s="2"/>
      <c r="AE169" s="24"/>
    </row>
    <row r="170">
      <c r="A170" s="11"/>
      <c r="B170" s="23"/>
      <c r="C170" s="23"/>
      <c r="D170" s="23"/>
      <c r="E170" s="23"/>
      <c r="F170" s="1"/>
      <c r="G170" s="23"/>
      <c r="H170" s="23"/>
      <c r="I170" s="23"/>
      <c r="J170" s="2"/>
      <c r="M170" s="40"/>
      <c r="N170" s="40"/>
      <c r="O170" s="2"/>
      <c r="AE170" s="24"/>
    </row>
    <row r="171">
      <c r="A171" s="11"/>
      <c r="B171" s="23"/>
      <c r="C171" s="23"/>
      <c r="D171" s="23"/>
      <c r="E171" s="23"/>
      <c r="F171" s="1"/>
      <c r="G171" s="23"/>
      <c r="H171" s="23"/>
      <c r="I171" s="23"/>
      <c r="J171" s="2"/>
      <c r="M171" s="40"/>
      <c r="N171" s="40"/>
      <c r="O171" s="2"/>
      <c r="AE171" s="24"/>
    </row>
    <row r="172">
      <c r="A172" s="11"/>
      <c r="B172" s="23"/>
      <c r="C172" s="23"/>
      <c r="D172" s="23"/>
      <c r="E172" s="23"/>
      <c r="F172" s="1"/>
      <c r="G172" s="23"/>
      <c r="H172" s="23"/>
      <c r="I172" s="23"/>
      <c r="J172" s="2"/>
      <c r="M172" s="40"/>
      <c r="N172" s="40"/>
      <c r="O172" s="2"/>
      <c r="AE172" s="24"/>
    </row>
    <row r="173">
      <c r="A173" s="11"/>
      <c r="B173" s="23"/>
      <c r="C173" s="23"/>
      <c r="D173" s="23"/>
      <c r="E173" s="23"/>
      <c r="F173" s="1"/>
      <c r="G173" s="23"/>
      <c r="H173" s="23"/>
      <c r="I173" s="23"/>
      <c r="J173" s="2"/>
      <c r="M173" s="40"/>
      <c r="N173" s="40"/>
      <c r="O173" s="2"/>
      <c r="AE173" s="24"/>
    </row>
    <row r="174">
      <c r="A174" s="11"/>
      <c r="B174" s="23"/>
      <c r="C174" s="23"/>
      <c r="D174" s="23"/>
      <c r="E174" s="23"/>
      <c r="F174" s="1"/>
      <c r="G174" s="23"/>
      <c r="H174" s="23"/>
      <c r="I174" s="23"/>
      <c r="J174" s="2"/>
      <c r="M174" s="40"/>
      <c r="N174" s="40"/>
      <c r="O174" s="2"/>
      <c r="AE174" s="24"/>
    </row>
    <row r="175">
      <c r="A175" s="11"/>
      <c r="B175" s="23"/>
      <c r="C175" s="23"/>
      <c r="D175" s="23"/>
      <c r="E175" s="23"/>
      <c r="F175" s="1"/>
      <c r="G175" s="23"/>
      <c r="H175" s="23"/>
      <c r="I175" s="23"/>
      <c r="J175" s="2"/>
      <c r="M175" s="40"/>
      <c r="N175" s="40"/>
      <c r="O175" s="2"/>
      <c r="AE175" s="24"/>
    </row>
    <row r="176">
      <c r="A176" s="11"/>
      <c r="B176" s="23"/>
      <c r="C176" s="23"/>
      <c r="D176" s="23"/>
      <c r="E176" s="23"/>
      <c r="F176" s="1"/>
      <c r="G176" s="23"/>
      <c r="H176" s="23"/>
      <c r="I176" s="23"/>
      <c r="J176" s="2"/>
      <c r="M176" s="40"/>
      <c r="N176" s="40"/>
      <c r="O176" s="2"/>
      <c r="AE176" s="24"/>
    </row>
    <row r="177">
      <c r="A177" s="11"/>
      <c r="B177" s="23"/>
      <c r="C177" s="23"/>
      <c r="D177" s="23"/>
      <c r="E177" s="23"/>
      <c r="F177" s="1"/>
      <c r="G177" s="23"/>
      <c r="H177" s="23"/>
      <c r="I177" s="23"/>
      <c r="J177" s="2"/>
      <c r="M177" s="40"/>
      <c r="N177" s="40"/>
      <c r="O177" s="2"/>
      <c r="AE177" s="24"/>
    </row>
    <row r="178">
      <c r="A178" s="11"/>
      <c r="B178" s="23"/>
      <c r="C178" s="23"/>
      <c r="D178" s="23"/>
      <c r="E178" s="23"/>
      <c r="F178" s="1"/>
      <c r="G178" s="23"/>
      <c r="H178" s="23"/>
      <c r="I178" s="23"/>
      <c r="J178" s="2"/>
      <c r="M178" s="40"/>
      <c r="N178" s="40"/>
      <c r="O178" s="2"/>
      <c r="AE178" s="24"/>
    </row>
    <row r="179">
      <c r="A179" s="11"/>
      <c r="B179" s="23"/>
      <c r="C179" s="23"/>
      <c r="D179" s="23"/>
      <c r="E179" s="23"/>
      <c r="F179" s="1"/>
      <c r="G179" s="23"/>
      <c r="H179" s="23"/>
      <c r="I179" s="23"/>
      <c r="J179" s="2"/>
      <c r="M179" s="40"/>
      <c r="N179" s="40"/>
      <c r="O179" s="2"/>
      <c r="AE179" s="24"/>
    </row>
    <row r="180">
      <c r="A180" s="11"/>
      <c r="B180" s="23"/>
      <c r="C180" s="23"/>
      <c r="D180" s="23"/>
      <c r="E180" s="23"/>
      <c r="F180" s="1"/>
      <c r="G180" s="23"/>
      <c r="H180" s="23"/>
      <c r="I180" s="23"/>
      <c r="J180" s="2"/>
      <c r="M180" s="40"/>
      <c r="N180" s="40"/>
      <c r="O180" s="2"/>
      <c r="AE180" s="24"/>
    </row>
    <row r="181">
      <c r="A181" s="11"/>
      <c r="B181" s="23"/>
      <c r="C181" s="23"/>
      <c r="D181" s="23"/>
      <c r="E181" s="23"/>
      <c r="F181" s="1"/>
      <c r="G181" s="23"/>
      <c r="H181" s="23"/>
      <c r="I181" s="23"/>
      <c r="J181" s="2"/>
      <c r="M181" s="40"/>
      <c r="N181" s="40"/>
      <c r="O181" s="2"/>
      <c r="AE181" s="24"/>
    </row>
    <row r="182">
      <c r="A182" s="11"/>
      <c r="B182" s="23"/>
      <c r="C182" s="23"/>
      <c r="D182" s="23"/>
      <c r="E182" s="23"/>
      <c r="F182" s="1"/>
      <c r="G182" s="23"/>
      <c r="H182" s="23"/>
      <c r="I182" s="23"/>
      <c r="J182" s="2"/>
      <c r="M182" s="40"/>
      <c r="N182" s="40"/>
      <c r="O182" s="2"/>
      <c r="AE182" s="24"/>
    </row>
    <row r="183">
      <c r="A183" s="11"/>
      <c r="B183" s="23"/>
      <c r="C183" s="23"/>
      <c r="D183" s="23"/>
      <c r="E183" s="23"/>
      <c r="F183" s="1"/>
      <c r="G183" s="23"/>
      <c r="H183" s="23"/>
      <c r="I183" s="23"/>
      <c r="J183" s="2"/>
      <c r="M183" s="40"/>
      <c r="N183" s="40"/>
      <c r="O183" s="2"/>
      <c r="AE183" s="24"/>
    </row>
    <row r="184">
      <c r="A184" s="11"/>
      <c r="B184" s="23"/>
      <c r="C184" s="23"/>
      <c r="D184" s="23"/>
      <c r="E184" s="23"/>
      <c r="F184" s="1"/>
      <c r="G184" s="23"/>
      <c r="H184" s="23"/>
      <c r="I184" s="23"/>
      <c r="J184" s="2"/>
      <c r="M184" s="40"/>
      <c r="N184" s="40"/>
      <c r="O184" s="2"/>
      <c r="AE184" s="24"/>
    </row>
    <row r="185">
      <c r="A185" s="11"/>
      <c r="B185" s="23"/>
      <c r="C185" s="23"/>
      <c r="D185" s="23"/>
      <c r="E185" s="23"/>
      <c r="F185" s="1"/>
      <c r="G185" s="23"/>
      <c r="H185" s="23"/>
      <c r="I185" s="23"/>
      <c r="J185" s="2"/>
      <c r="M185" s="40"/>
      <c r="N185" s="40"/>
      <c r="O185" s="2"/>
      <c r="AE185" s="24"/>
    </row>
    <row r="186">
      <c r="A186" s="11"/>
      <c r="B186" s="23"/>
      <c r="C186" s="23"/>
      <c r="D186" s="23"/>
      <c r="E186" s="23"/>
      <c r="F186" s="1"/>
      <c r="G186" s="23"/>
      <c r="H186" s="23"/>
      <c r="I186" s="23"/>
      <c r="J186" s="2"/>
      <c r="M186" s="40"/>
      <c r="N186" s="40"/>
      <c r="O186" s="2"/>
      <c r="AE186" s="24"/>
    </row>
    <row r="187">
      <c r="A187" s="11"/>
      <c r="B187" s="23"/>
      <c r="C187" s="23"/>
      <c r="D187" s="23"/>
      <c r="E187" s="23"/>
      <c r="F187" s="1"/>
      <c r="G187" s="23"/>
      <c r="H187" s="23"/>
      <c r="I187" s="23"/>
      <c r="J187" s="2"/>
      <c r="M187" s="40"/>
      <c r="N187" s="40"/>
      <c r="O187" s="2"/>
      <c r="AE187" s="24"/>
    </row>
    <row r="188">
      <c r="A188" s="11"/>
      <c r="B188" s="23"/>
      <c r="C188" s="23"/>
      <c r="D188" s="23"/>
      <c r="E188" s="23"/>
      <c r="F188" s="1"/>
      <c r="G188" s="23"/>
      <c r="H188" s="23"/>
      <c r="I188" s="23"/>
      <c r="J188" s="2"/>
      <c r="M188" s="40"/>
      <c r="N188" s="40"/>
      <c r="O188" s="2"/>
      <c r="AE188" s="24"/>
    </row>
    <row r="189">
      <c r="A189" s="11"/>
      <c r="B189" s="23"/>
      <c r="C189" s="23"/>
      <c r="D189" s="23"/>
      <c r="E189" s="23"/>
      <c r="F189" s="1"/>
      <c r="G189" s="23"/>
      <c r="H189" s="23"/>
      <c r="I189" s="23"/>
      <c r="J189" s="2"/>
      <c r="M189" s="40"/>
      <c r="N189" s="40"/>
      <c r="O189" s="2"/>
      <c r="AE189" s="24"/>
    </row>
    <row r="190">
      <c r="A190" s="11"/>
      <c r="B190" s="23"/>
      <c r="C190" s="23"/>
      <c r="D190" s="23"/>
      <c r="E190" s="23"/>
      <c r="F190" s="1"/>
      <c r="G190" s="23"/>
      <c r="H190" s="23"/>
      <c r="I190" s="23"/>
      <c r="J190" s="2"/>
      <c r="M190" s="40"/>
      <c r="N190" s="40"/>
      <c r="O190" s="2"/>
      <c r="AE190" s="24"/>
    </row>
    <row r="191">
      <c r="A191" s="11"/>
      <c r="B191" s="23"/>
      <c r="C191" s="23"/>
      <c r="D191" s="23"/>
      <c r="E191" s="23"/>
      <c r="F191" s="1"/>
      <c r="G191" s="23"/>
      <c r="H191" s="23"/>
      <c r="I191" s="23"/>
      <c r="J191" s="2"/>
      <c r="M191" s="40"/>
      <c r="N191" s="40"/>
      <c r="O191" s="2"/>
      <c r="AE191" s="24"/>
    </row>
    <row r="192">
      <c r="A192" s="11"/>
      <c r="B192" s="23"/>
      <c r="C192" s="23"/>
      <c r="D192" s="23"/>
      <c r="E192" s="23"/>
      <c r="F192" s="1"/>
      <c r="G192" s="23"/>
      <c r="H192" s="23"/>
      <c r="I192" s="23"/>
      <c r="J192" s="2"/>
      <c r="M192" s="40"/>
      <c r="N192" s="40"/>
      <c r="O192" s="2"/>
      <c r="AE192" s="24"/>
    </row>
    <row r="193">
      <c r="A193" s="11"/>
      <c r="B193" s="23"/>
      <c r="C193" s="23"/>
      <c r="D193" s="23"/>
      <c r="E193" s="23"/>
      <c r="F193" s="1"/>
      <c r="G193" s="23"/>
      <c r="H193" s="23"/>
      <c r="I193" s="23"/>
      <c r="J193" s="2"/>
      <c r="M193" s="40"/>
      <c r="N193" s="40"/>
      <c r="O193" s="2"/>
      <c r="AE193" s="24"/>
    </row>
    <row r="194">
      <c r="A194" s="11"/>
      <c r="B194" s="23"/>
      <c r="C194" s="23"/>
      <c r="D194" s="23"/>
      <c r="E194" s="23"/>
      <c r="F194" s="1"/>
      <c r="G194" s="23"/>
      <c r="H194" s="23"/>
      <c r="I194" s="23"/>
      <c r="J194" s="2"/>
      <c r="M194" s="40"/>
      <c r="N194" s="40"/>
      <c r="O194" s="2"/>
      <c r="AE194" s="24"/>
    </row>
    <row r="195">
      <c r="A195" s="11"/>
      <c r="B195" s="23"/>
      <c r="C195" s="23"/>
      <c r="D195" s="23"/>
      <c r="E195" s="23"/>
      <c r="F195" s="1"/>
      <c r="G195" s="23"/>
      <c r="H195" s="23"/>
      <c r="I195" s="23"/>
      <c r="J195" s="2"/>
      <c r="M195" s="40"/>
      <c r="N195" s="40"/>
      <c r="O195" s="2"/>
      <c r="AE195" s="24"/>
    </row>
    <row r="196">
      <c r="A196" s="11"/>
      <c r="B196" s="23"/>
      <c r="C196" s="23"/>
      <c r="D196" s="23"/>
      <c r="E196" s="23"/>
      <c r="F196" s="1"/>
      <c r="G196" s="23"/>
      <c r="H196" s="23"/>
      <c r="I196" s="23"/>
      <c r="J196" s="2"/>
      <c r="M196" s="40"/>
      <c r="N196" s="40"/>
      <c r="O196" s="2"/>
      <c r="AE196" s="24"/>
    </row>
    <row r="197">
      <c r="A197" s="11"/>
      <c r="B197" s="23"/>
      <c r="C197" s="23"/>
      <c r="D197" s="23"/>
      <c r="E197" s="23"/>
      <c r="F197" s="1"/>
      <c r="G197" s="23"/>
      <c r="H197" s="23"/>
      <c r="I197" s="23"/>
      <c r="J197" s="2"/>
      <c r="M197" s="40"/>
      <c r="N197" s="40"/>
      <c r="O197" s="2"/>
      <c r="AE197" s="24"/>
    </row>
    <row r="198">
      <c r="A198" s="11"/>
      <c r="B198" s="23"/>
      <c r="C198" s="23"/>
      <c r="D198" s="23"/>
      <c r="E198" s="23"/>
      <c r="F198" s="1"/>
      <c r="G198" s="23"/>
      <c r="H198" s="23"/>
      <c r="I198" s="23"/>
      <c r="J198" s="2"/>
      <c r="M198" s="40"/>
      <c r="N198" s="40"/>
      <c r="O198" s="2"/>
      <c r="AE198" s="24"/>
    </row>
    <row r="199">
      <c r="A199" s="11"/>
      <c r="B199" s="23"/>
      <c r="C199" s="23"/>
      <c r="D199" s="23"/>
      <c r="E199" s="23"/>
      <c r="F199" s="1"/>
      <c r="G199" s="23"/>
      <c r="H199" s="23"/>
      <c r="I199" s="23"/>
      <c r="J199" s="2"/>
      <c r="M199" s="40"/>
      <c r="N199" s="40"/>
      <c r="O199" s="2"/>
      <c r="AE199" s="24"/>
    </row>
    <row r="200">
      <c r="A200" s="11"/>
      <c r="B200" s="23"/>
      <c r="C200" s="23"/>
      <c r="D200" s="23"/>
      <c r="E200" s="23"/>
      <c r="F200" s="1"/>
      <c r="G200" s="23"/>
      <c r="H200" s="23"/>
      <c r="I200" s="23"/>
      <c r="J200" s="2"/>
      <c r="M200" s="40"/>
      <c r="N200" s="40"/>
      <c r="O200" s="2"/>
      <c r="AE200" s="24"/>
    </row>
    <row r="201">
      <c r="A201" s="11"/>
      <c r="B201" s="23"/>
      <c r="C201" s="23"/>
      <c r="D201" s="23"/>
      <c r="E201" s="23"/>
      <c r="F201" s="1"/>
      <c r="G201" s="23"/>
      <c r="H201" s="23"/>
      <c r="I201" s="23"/>
      <c r="J201" s="2"/>
      <c r="M201" s="40"/>
      <c r="N201" s="40"/>
      <c r="O201" s="2"/>
      <c r="AE201" s="24"/>
    </row>
    <row r="202">
      <c r="A202" s="11"/>
      <c r="B202" s="23"/>
      <c r="C202" s="23"/>
      <c r="D202" s="23"/>
      <c r="E202" s="23"/>
      <c r="F202" s="1"/>
      <c r="G202" s="23"/>
      <c r="H202" s="23"/>
      <c r="I202" s="23"/>
      <c r="J202" s="2"/>
      <c r="M202" s="40"/>
      <c r="N202" s="40"/>
      <c r="O202" s="2"/>
      <c r="AE202" s="24"/>
    </row>
    <row r="203">
      <c r="A203" s="11"/>
      <c r="B203" s="23"/>
      <c r="C203" s="23"/>
      <c r="D203" s="23"/>
      <c r="E203" s="23"/>
      <c r="F203" s="1"/>
      <c r="G203" s="23"/>
      <c r="H203" s="23"/>
      <c r="I203" s="23"/>
      <c r="J203" s="2"/>
      <c r="M203" s="40"/>
      <c r="N203" s="40"/>
      <c r="O203" s="2"/>
      <c r="AE203" s="24"/>
    </row>
    <row r="204">
      <c r="A204" s="11"/>
      <c r="B204" s="23"/>
      <c r="C204" s="23"/>
      <c r="D204" s="23"/>
      <c r="E204" s="23"/>
      <c r="F204" s="1"/>
      <c r="G204" s="23"/>
      <c r="H204" s="23"/>
      <c r="I204" s="23"/>
      <c r="J204" s="2"/>
      <c r="M204" s="40"/>
      <c r="N204" s="40"/>
      <c r="O204" s="2"/>
      <c r="AE204" s="24"/>
    </row>
    <row r="205">
      <c r="A205" s="11"/>
      <c r="B205" s="23"/>
      <c r="C205" s="23"/>
      <c r="D205" s="23"/>
      <c r="E205" s="23"/>
      <c r="F205" s="1"/>
      <c r="G205" s="23"/>
      <c r="H205" s="23"/>
      <c r="I205" s="23"/>
      <c r="J205" s="2"/>
      <c r="M205" s="40"/>
      <c r="N205" s="40"/>
      <c r="O205" s="2"/>
      <c r="AE205" s="24"/>
    </row>
    <row r="206">
      <c r="A206" s="11"/>
      <c r="B206" s="23"/>
      <c r="C206" s="23"/>
      <c r="D206" s="23"/>
      <c r="E206" s="23"/>
      <c r="F206" s="1"/>
      <c r="G206" s="23"/>
      <c r="H206" s="23"/>
      <c r="I206" s="23"/>
      <c r="J206" s="2"/>
      <c r="M206" s="40"/>
      <c r="N206" s="40"/>
      <c r="O206" s="2"/>
      <c r="AE206" s="24"/>
    </row>
    <row r="207">
      <c r="A207" s="11"/>
      <c r="B207" s="23"/>
      <c r="C207" s="23"/>
      <c r="D207" s="23"/>
      <c r="E207" s="23"/>
      <c r="F207" s="1"/>
      <c r="G207" s="23"/>
      <c r="H207" s="23"/>
      <c r="I207" s="23"/>
      <c r="J207" s="2"/>
      <c r="M207" s="40"/>
      <c r="N207" s="40"/>
      <c r="O207" s="2"/>
      <c r="AE207" s="24"/>
    </row>
    <row r="208">
      <c r="A208" s="11"/>
      <c r="B208" s="23"/>
      <c r="C208" s="23"/>
      <c r="D208" s="23"/>
      <c r="E208" s="23"/>
      <c r="F208" s="1"/>
      <c r="G208" s="23"/>
      <c r="H208" s="23"/>
      <c r="I208" s="23"/>
      <c r="J208" s="2"/>
      <c r="M208" s="40"/>
      <c r="N208" s="40"/>
      <c r="O208" s="2"/>
      <c r="AE208" s="24"/>
    </row>
    <row r="209">
      <c r="A209" s="11"/>
      <c r="B209" s="23"/>
      <c r="C209" s="23"/>
      <c r="D209" s="23"/>
      <c r="E209" s="23"/>
      <c r="F209" s="1"/>
      <c r="G209" s="23"/>
      <c r="H209" s="23"/>
      <c r="I209" s="23"/>
      <c r="J209" s="2"/>
      <c r="M209" s="40"/>
      <c r="N209" s="40"/>
      <c r="O209" s="2"/>
      <c r="AE209" s="24"/>
    </row>
    <row r="210">
      <c r="A210" s="11"/>
      <c r="B210" s="23"/>
      <c r="C210" s="23"/>
      <c r="D210" s="23"/>
      <c r="E210" s="23"/>
      <c r="F210" s="1"/>
      <c r="G210" s="23"/>
      <c r="H210" s="23"/>
      <c r="I210" s="23"/>
      <c r="J210" s="2"/>
      <c r="M210" s="40"/>
      <c r="N210" s="40"/>
      <c r="O210" s="2"/>
      <c r="AE210" s="24"/>
    </row>
    <row r="211">
      <c r="A211" s="11"/>
      <c r="B211" s="23"/>
      <c r="C211" s="23"/>
      <c r="D211" s="23"/>
      <c r="E211" s="23"/>
      <c r="F211" s="1"/>
      <c r="G211" s="23"/>
      <c r="H211" s="23"/>
      <c r="I211" s="23"/>
      <c r="J211" s="2"/>
      <c r="M211" s="40"/>
      <c r="N211" s="40"/>
      <c r="O211" s="2"/>
      <c r="AE211" s="24"/>
    </row>
    <row r="212">
      <c r="A212" s="11"/>
      <c r="B212" s="23"/>
      <c r="C212" s="23"/>
      <c r="D212" s="23"/>
      <c r="E212" s="23"/>
      <c r="F212" s="1"/>
      <c r="G212" s="23"/>
      <c r="H212" s="23"/>
      <c r="I212" s="23"/>
      <c r="J212" s="2"/>
      <c r="M212" s="40"/>
      <c r="N212" s="40"/>
      <c r="O212" s="2"/>
      <c r="AE212" s="24"/>
    </row>
    <row r="213">
      <c r="A213" s="11"/>
      <c r="B213" s="23"/>
      <c r="C213" s="23"/>
      <c r="D213" s="23"/>
      <c r="E213" s="23"/>
      <c r="F213" s="1"/>
      <c r="G213" s="23"/>
      <c r="H213" s="23"/>
      <c r="I213" s="23"/>
      <c r="J213" s="2"/>
      <c r="M213" s="40"/>
      <c r="N213" s="40"/>
      <c r="O213" s="2"/>
      <c r="AE213" s="24"/>
    </row>
    <row r="214">
      <c r="A214" s="11"/>
      <c r="B214" s="23"/>
      <c r="C214" s="23"/>
      <c r="D214" s="23"/>
      <c r="E214" s="23"/>
      <c r="F214" s="1"/>
      <c r="G214" s="23"/>
      <c r="H214" s="23"/>
      <c r="I214" s="23"/>
      <c r="J214" s="2"/>
      <c r="M214" s="40"/>
      <c r="N214" s="40"/>
      <c r="O214" s="2"/>
      <c r="AE214" s="24"/>
    </row>
    <row r="215">
      <c r="A215" s="11"/>
      <c r="B215" s="23"/>
      <c r="C215" s="23"/>
      <c r="D215" s="23"/>
      <c r="E215" s="23"/>
      <c r="F215" s="1"/>
      <c r="G215" s="23"/>
      <c r="H215" s="23"/>
      <c r="I215" s="23"/>
      <c r="J215" s="2"/>
      <c r="M215" s="40"/>
      <c r="N215" s="40"/>
      <c r="O215" s="2"/>
      <c r="AE215" s="24"/>
    </row>
    <row r="216">
      <c r="A216" s="11"/>
      <c r="B216" s="23"/>
      <c r="C216" s="23"/>
      <c r="D216" s="23"/>
      <c r="E216" s="23"/>
      <c r="F216" s="1"/>
      <c r="G216" s="23"/>
      <c r="H216" s="23"/>
      <c r="I216" s="23"/>
      <c r="J216" s="2"/>
      <c r="M216" s="40"/>
      <c r="N216" s="40"/>
      <c r="O216" s="2"/>
      <c r="AE216" s="24"/>
    </row>
    <row r="217">
      <c r="A217" s="11"/>
      <c r="B217" s="23"/>
      <c r="C217" s="23"/>
      <c r="D217" s="23"/>
      <c r="E217" s="23"/>
      <c r="F217" s="1"/>
      <c r="G217" s="23"/>
      <c r="H217" s="23"/>
      <c r="I217" s="23"/>
      <c r="J217" s="2"/>
      <c r="M217" s="40"/>
      <c r="N217" s="40"/>
      <c r="O217" s="2"/>
      <c r="AE217" s="24"/>
    </row>
    <row r="218">
      <c r="A218" s="11"/>
      <c r="B218" s="23"/>
      <c r="C218" s="23"/>
      <c r="D218" s="23"/>
      <c r="E218" s="23"/>
      <c r="F218" s="1"/>
      <c r="G218" s="23"/>
      <c r="H218" s="23"/>
      <c r="I218" s="23"/>
      <c r="J218" s="2"/>
      <c r="M218" s="40"/>
      <c r="N218" s="40"/>
      <c r="O218" s="2"/>
      <c r="AE218" s="24"/>
    </row>
    <row r="219">
      <c r="A219" s="11"/>
      <c r="B219" s="23"/>
      <c r="C219" s="23"/>
      <c r="D219" s="23"/>
      <c r="E219" s="23"/>
      <c r="F219" s="1"/>
      <c r="G219" s="23"/>
      <c r="H219" s="23"/>
      <c r="I219" s="23"/>
      <c r="J219" s="2"/>
      <c r="M219" s="40"/>
      <c r="N219" s="40"/>
      <c r="O219" s="2"/>
      <c r="AE219" s="24"/>
    </row>
    <row r="220">
      <c r="A220" s="11"/>
      <c r="B220" s="23"/>
      <c r="C220" s="23"/>
      <c r="D220" s="23"/>
      <c r="E220" s="23"/>
      <c r="F220" s="1"/>
      <c r="G220" s="23"/>
      <c r="H220" s="23"/>
      <c r="I220" s="23"/>
      <c r="J220" s="2"/>
      <c r="M220" s="40"/>
      <c r="N220" s="40"/>
      <c r="O220" s="2"/>
      <c r="AE220" s="24"/>
    </row>
    <row r="221">
      <c r="A221" s="11"/>
      <c r="B221" s="23"/>
      <c r="C221" s="23"/>
      <c r="D221" s="23"/>
      <c r="E221" s="23"/>
      <c r="F221" s="1"/>
      <c r="G221" s="23"/>
      <c r="H221" s="23"/>
      <c r="I221" s="23"/>
      <c r="J221" s="2"/>
      <c r="M221" s="40"/>
      <c r="N221" s="40"/>
      <c r="O221" s="2"/>
      <c r="AE221" s="24"/>
    </row>
    <row r="222">
      <c r="A222" s="11"/>
      <c r="B222" s="23"/>
      <c r="C222" s="23"/>
      <c r="D222" s="23"/>
      <c r="E222" s="23"/>
      <c r="F222" s="1"/>
      <c r="G222" s="23"/>
      <c r="H222" s="23"/>
      <c r="I222" s="23"/>
      <c r="J222" s="2"/>
      <c r="M222" s="40"/>
      <c r="N222" s="40"/>
      <c r="O222" s="2"/>
      <c r="AE222" s="24"/>
    </row>
    <row r="223">
      <c r="A223" s="11"/>
      <c r="B223" s="23"/>
      <c r="C223" s="23"/>
      <c r="D223" s="23"/>
      <c r="E223" s="23"/>
      <c r="F223" s="1"/>
      <c r="G223" s="23"/>
      <c r="H223" s="23"/>
      <c r="I223" s="23"/>
      <c r="J223" s="2"/>
      <c r="M223" s="40"/>
      <c r="N223" s="40"/>
      <c r="O223" s="2"/>
      <c r="AE223" s="24"/>
    </row>
    <row r="224">
      <c r="A224" s="11"/>
      <c r="B224" s="23"/>
      <c r="C224" s="23"/>
      <c r="D224" s="23"/>
      <c r="E224" s="23"/>
      <c r="F224" s="1"/>
      <c r="G224" s="23"/>
      <c r="H224" s="23"/>
      <c r="I224" s="23"/>
      <c r="J224" s="2"/>
      <c r="M224" s="40"/>
      <c r="N224" s="40"/>
      <c r="O224" s="2"/>
      <c r="AE224" s="24"/>
    </row>
    <row r="225">
      <c r="A225" s="11"/>
      <c r="B225" s="23"/>
      <c r="C225" s="23"/>
      <c r="D225" s="23"/>
      <c r="E225" s="23"/>
      <c r="F225" s="1"/>
      <c r="G225" s="23"/>
      <c r="H225" s="23"/>
      <c r="I225" s="23"/>
      <c r="J225" s="2"/>
      <c r="M225" s="40"/>
      <c r="N225" s="40"/>
      <c r="O225" s="2"/>
      <c r="AE225" s="24"/>
    </row>
    <row r="226">
      <c r="A226" s="11"/>
      <c r="B226" s="23"/>
      <c r="C226" s="23"/>
      <c r="D226" s="23"/>
      <c r="E226" s="23"/>
      <c r="F226" s="1"/>
      <c r="G226" s="23"/>
      <c r="H226" s="23"/>
      <c r="I226" s="23"/>
      <c r="J226" s="2"/>
      <c r="M226" s="40"/>
      <c r="N226" s="40"/>
      <c r="O226" s="2"/>
      <c r="AE226" s="24"/>
    </row>
    <row r="227">
      <c r="A227" s="11"/>
      <c r="B227" s="23"/>
      <c r="C227" s="23"/>
      <c r="D227" s="23"/>
      <c r="E227" s="23"/>
      <c r="F227" s="1"/>
      <c r="G227" s="23"/>
      <c r="H227" s="23"/>
      <c r="I227" s="23"/>
      <c r="J227" s="2"/>
      <c r="M227" s="40"/>
      <c r="N227" s="40"/>
      <c r="O227" s="2"/>
      <c r="AE227" s="24"/>
    </row>
    <row r="228">
      <c r="A228" s="11"/>
      <c r="B228" s="23"/>
      <c r="C228" s="23"/>
      <c r="D228" s="23"/>
      <c r="E228" s="23"/>
      <c r="F228" s="1"/>
      <c r="G228" s="23"/>
      <c r="H228" s="23"/>
      <c r="I228" s="23"/>
      <c r="J228" s="2"/>
      <c r="M228" s="40"/>
      <c r="N228" s="40"/>
      <c r="O228" s="2"/>
      <c r="AE228" s="24"/>
    </row>
    <row r="229">
      <c r="A229" s="11"/>
      <c r="B229" s="23"/>
      <c r="C229" s="23"/>
      <c r="D229" s="23"/>
      <c r="E229" s="23"/>
      <c r="F229" s="1"/>
      <c r="G229" s="23"/>
      <c r="H229" s="23"/>
      <c r="I229" s="23"/>
      <c r="J229" s="2"/>
      <c r="M229" s="40"/>
      <c r="N229" s="40"/>
      <c r="O229" s="2"/>
      <c r="AE229" s="24"/>
    </row>
    <row r="230">
      <c r="A230" s="11"/>
      <c r="B230" s="23"/>
      <c r="C230" s="23"/>
      <c r="D230" s="23"/>
      <c r="E230" s="23"/>
      <c r="F230" s="1"/>
      <c r="G230" s="23"/>
      <c r="H230" s="23"/>
      <c r="I230" s="23"/>
      <c r="J230" s="2"/>
      <c r="M230" s="40"/>
      <c r="N230" s="40"/>
      <c r="O230" s="2"/>
      <c r="AE230" s="24"/>
    </row>
    <row r="231">
      <c r="A231" s="11"/>
      <c r="B231" s="23"/>
      <c r="C231" s="23"/>
      <c r="D231" s="23"/>
      <c r="E231" s="23"/>
      <c r="F231" s="1"/>
      <c r="G231" s="23"/>
      <c r="H231" s="23"/>
      <c r="I231" s="23"/>
      <c r="J231" s="2"/>
      <c r="M231" s="40"/>
      <c r="N231" s="40"/>
      <c r="O231" s="2"/>
      <c r="AE231" s="24"/>
    </row>
    <row r="232">
      <c r="A232" s="11"/>
      <c r="B232" s="23"/>
      <c r="C232" s="23"/>
      <c r="D232" s="23"/>
      <c r="E232" s="23"/>
      <c r="F232" s="1"/>
      <c r="G232" s="23"/>
      <c r="H232" s="23"/>
      <c r="I232" s="23"/>
      <c r="J232" s="2"/>
      <c r="M232" s="40"/>
      <c r="N232" s="40"/>
      <c r="O232" s="2"/>
      <c r="AE232" s="24"/>
    </row>
    <row r="233">
      <c r="A233" s="11"/>
      <c r="B233" s="23"/>
      <c r="C233" s="23"/>
      <c r="D233" s="23"/>
      <c r="E233" s="23"/>
      <c r="F233" s="1"/>
      <c r="G233" s="23"/>
      <c r="H233" s="23"/>
      <c r="I233" s="23"/>
      <c r="J233" s="2"/>
      <c r="M233" s="40"/>
      <c r="N233" s="40"/>
      <c r="O233" s="2"/>
      <c r="AE233" s="24"/>
    </row>
    <row r="234">
      <c r="A234" s="11"/>
      <c r="B234" s="23"/>
      <c r="C234" s="23"/>
      <c r="D234" s="23"/>
      <c r="E234" s="23"/>
      <c r="F234" s="1"/>
      <c r="G234" s="23"/>
      <c r="H234" s="23"/>
      <c r="I234" s="23"/>
      <c r="J234" s="2"/>
      <c r="M234" s="40"/>
      <c r="N234" s="40"/>
      <c r="O234" s="2"/>
      <c r="AE234" s="24"/>
    </row>
    <row r="235">
      <c r="A235" s="11"/>
      <c r="B235" s="23"/>
      <c r="C235" s="23"/>
      <c r="D235" s="23"/>
      <c r="E235" s="23"/>
      <c r="F235" s="1"/>
      <c r="G235" s="23"/>
      <c r="H235" s="23"/>
      <c r="I235" s="23"/>
      <c r="J235" s="2"/>
      <c r="M235" s="40"/>
      <c r="N235" s="40"/>
      <c r="O235" s="2"/>
      <c r="AE235" s="24"/>
    </row>
    <row r="236">
      <c r="A236" s="11"/>
      <c r="B236" s="23"/>
      <c r="C236" s="23"/>
      <c r="D236" s="23"/>
      <c r="E236" s="23"/>
      <c r="F236" s="1"/>
      <c r="G236" s="23"/>
      <c r="H236" s="23"/>
      <c r="I236" s="23"/>
      <c r="J236" s="2"/>
      <c r="M236" s="40"/>
      <c r="N236" s="40"/>
      <c r="O236" s="2"/>
      <c r="AE236" s="24"/>
    </row>
    <row r="237">
      <c r="A237" s="11"/>
      <c r="B237" s="23"/>
      <c r="C237" s="23"/>
      <c r="D237" s="23"/>
      <c r="E237" s="23"/>
      <c r="F237" s="1"/>
      <c r="G237" s="23"/>
      <c r="H237" s="23"/>
      <c r="I237" s="23"/>
      <c r="J237" s="2"/>
      <c r="M237" s="40"/>
      <c r="N237" s="40"/>
      <c r="O237" s="2"/>
      <c r="AE237" s="24"/>
    </row>
    <row r="238">
      <c r="A238" s="11"/>
      <c r="B238" s="23"/>
      <c r="C238" s="23"/>
      <c r="D238" s="23"/>
      <c r="E238" s="23"/>
      <c r="F238" s="1"/>
      <c r="G238" s="23"/>
      <c r="H238" s="23"/>
      <c r="I238" s="23"/>
      <c r="J238" s="2"/>
      <c r="M238" s="40"/>
      <c r="N238" s="40"/>
      <c r="O238" s="2"/>
      <c r="AE238" s="24"/>
    </row>
    <row r="239">
      <c r="A239" s="11"/>
      <c r="B239" s="23"/>
      <c r="C239" s="23"/>
      <c r="D239" s="23"/>
      <c r="E239" s="23"/>
      <c r="F239" s="1"/>
      <c r="G239" s="23"/>
      <c r="H239" s="23"/>
      <c r="I239" s="23"/>
      <c r="J239" s="2"/>
      <c r="M239" s="40"/>
      <c r="N239" s="40"/>
      <c r="O239" s="2"/>
      <c r="AE239" s="24"/>
    </row>
    <row r="240">
      <c r="A240" s="11"/>
      <c r="B240" s="23"/>
      <c r="C240" s="23"/>
      <c r="D240" s="23"/>
      <c r="E240" s="23"/>
      <c r="F240" s="1"/>
      <c r="G240" s="23"/>
      <c r="H240" s="23"/>
      <c r="I240" s="23"/>
      <c r="J240" s="2"/>
      <c r="M240" s="40"/>
      <c r="N240" s="40"/>
      <c r="O240" s="2"/>
      <c r="AE240" s="24"/>
    </row>
    <row r="241">
      <c r="A241" s="11"/>
      <c r="B241" s="23"/>
      <c r="C241" s="23"/>
      <c r="D241" s="23"/>
      <c r="E241" s="23"/>
      <c r="F241" s="1"/>
      <c r="G241" s="23"/>
      <c r="H241" s="23"/>
      <c r="I241" s="23"/>
      <c r="J241" s="2"/>
      <c r="M241" s="40"/>
      <c r="N241" s="40"/>
      <c r="O241" s="2"/>
      <c r="AE241" s="24"/>
    </row>
    <row r="242">
      <c r="A242" s="11"/>
      <c r="B242" s="23"/>
      <c r="C242" s="23"/>
      <c r="D242" s="23"/>
      <c r="E242" s="23"/>
      <c r="F242" s="1"/>
      <c r="G242" s="23"/>
      <c r="H242" s="23"/>
      <c r="I242" s="23"/>
      <c r="J242" s="2"/>
      <c r="M242" s="40"/>
      <c r="N242" s="40"/>
      <c r="O242" s="2"/>
      <c r="AE242" s="24"/>
    </row>
    <row r="243">
      <c r="A243" s="11"/>
      <c r="B243" s="23"/>
      <c r="C243" s="23"/>
      <c r="D243" s="23"/>
      <c r="E243" s="23"/>
      <c r="F243" s="1"/>
      <c r="G243" s="23"/>
      <c r="H243" s="23"/>
      <c r="I243" s="23"/>
      <c r="J243" s="2"/>
      <c r="M243" s="40"/>
      <c r="N243" s="40"/>
      <c r="O243" s="2"/>
      <c r="AE243" s="24"/>
    </row>
    <row r="244">
      <c r="A244" s="11"/>
      <c r="B244" s="23"/>
      <c r="C244" s="23"/>
      <c r="D244" s="23"/>
      <c r="E244" s="23"/>
      <c r="F244" s="1"/>
      <c r="G244" s="23"/>
      <c r="H244" s="23"/>
      <c r="I244" s="23"/>
      <c r="J244" s="2"/>
      <c r="M244" s="40"/>
      <c r="N244" s="40"/>
      <c r="O244" s="2"/>
      <c r="AE244" s="24"/>
    </row>
    <row r="245">
      <c r="A245" s="11"/>
      <c r="B245" s="23"/>
      <c r="C245" s="23"/>
      <c r="D245" s="23"/>
      <c r="E245" s="23"/>
      <c r="F245" s="1"/>
      <c r="G245" s="23"/>
      <c r="H245" s="23"/>
      <c r="I245" s="23"/>
      <c r="J245" s="2"/>
      <c r="M245" s="40"/>
      <c r="N245" s="40"/>
      <c r="O245" s="2"/>
      <c r="AE245" s="24"/>
    </row>
    <row r="246">
      <c r="A246" s="11"/>
      <c r="B246" s="23"/>
      <c r="C246" s="23"/>
      <c r="D246" s="23"/>
      <c r="E246" s="23"/>
      <c r="F246" s="1"/>
      <c r="G246" s="23"/>
      <c r="H246" s="23"/>
      <c r="I246" s="23"/>
      <c r="J246" s="2"/>
      <c r="M246" s="40"/>
      <c r="N246" s="40"/>
      <c r="O246" s="2"/>
      <c r="AE246" s="24"/>
    </row>
    <row r="247">
      <c r="A247" s="11"/>
      <c r="B247" s="23"/>
      <c r="C247" s="23"/>
      <c r="D247" s="23"/>
      <c r="E247" s="23"/>
      <c r="F247" s="1"/>
      <c r="G247" s="23"/>
      <c r="H247" s="23"/>
      <c r="I247" s="23"/>
      <c r="J247" s="2"/>
      <c r="M247" s="40"/>
      <c r="N247" s="40"/>
      <c r="O247" s="2"/>
      <c r="AE247" s="24"/>
    </row>
    <row r="248">
      <c r="A248" s="11"/>
      <c r="B248" s="23"/>
      <c r="C248" s="23"/>
      <c r="D248" s="23"/>
      <c r="E248" s="23"/>
      <c r="F248" s="1"/>
      <c r="G248" s="23"/>
      <c r="H248" s="23"/>
      <c r="I248" s="23"/>
      <c r="J248" s="2"/>
      <c r="M248" s="40"/>
      <c r="N248" s="40"/>
      <c r="O248" s="2"/>
      <c r="AE248" s="24"/>
    </row>
    <row r="249">
      <c r="A249" s="11"/>
      <c r="B249" s="23"/>
      <c r="C249" s="23"/>
      <c r="D249" s="23"/>
      <c r="E249" s="23"/>
      <c r="F249" s="1"/>
      <c r="G249" s="23"/>
      <c r="H249" s="23"/>
      <c r="I249" s="23"/>
      <c r="J249" s="2"/>
      <c r="M249" s="40"/>
      <c r="N249" s="40"/>
      <c r="O249" s="2"/>
      <c r="AE249" s="24"/>
    </row>
    <row r="250">
      <c r="A250" s="11"/>
      <c r="B250" s="23"/>
      <c r="C250" s="23"/>
      <c r="D250" s="23"/>
      <c r="E250" s="23"/>
      <c r="F250" s="1"/>
      <c r="G250" s="23"/>
      <c r="H250" s="23"/>
      <c r="I250" s="23"/>
      <c r="J250" s="2"/>
      <c r="M250" s="40"/>
      <c r="N250" s="40"/>
      <c r="O250" s="2"/>
      <c r="AE250" s="24"/>
    </row>
    <row r="251">
      <c r="A251" s="11"/>
      <c r="B251" s="23"/>
      <c r="C251" s="23"/>
      <c r="D251" s="23"/>
      <c r="E251" s="23"/>
      <c r="F251" s="1"/>
      <c r="G251" s="23"/>
      <c r="H251" s="23"/>
      <c r="I251" s="23"/>
      <c r="J251" s="2"/>
      <c r="M251" s="40"/>
      <c r="N251" s="40"/>
      <c r="O251" s="2"/>
      <c r="AE251" s="24"/>
    </row>
    <row r="252">
      <c r="A252" s="11"/>
      <c r="B252" s="23"/>
      <c r="C252" s="23"/>
      <c r="D252" s="23"/>
      <c r="E252" s="23"/>
      <c r="F252" s="1"/>
      <c r="G252" s="23"/>
      <c r="H252" s="23"/>
      <c r="I252" s="23"/>
      <c r="J252" s="2"/>
      <c r="M252" s="40"/>
      <c r="N252" s="40"/>
      <c r="O252" s="2"/>
      <c r="AE252" s="24"/>
    </row>
    <row r="253">
      <c r="A253" s="11"/>
      <c r="B253" s="23"/>
      <c r="C253" s="23"/>
      <c r="D253" s="23"/>
      <c r="E253" s="23"/>
      <c r="F253" s="1"/>
      <c r="G253" s="23"/>
      <c r="H253" s="23"/>
      <c r="I253" s="23"/>
      <c r="J253" s="2"/>
      <c r="M253" s="40"/>
      <c r="N253" s="40"/>
      <c r="O253" s="2"/>
      <c r="AE253" s="24"/>
    </row>
    <row r="254">
      <c r="A254" s="11"/>
      <c r="B254" s="23"/>
      <c r="C254" s="23"/>
      <c r="D254" s="23"/>
      <c r="E254" s="23"/>
      <c r="F254" s="1"/>
      <c r="G254" s="23"/>
      <c r="H254" s="23"/>
      <c r="I254" s="23"/>
      <c r="J254" s="2"/>
      <c r="M254" s="40"/>
      <c r="N254" s="40"/>
      <c r="O254" s="2"/>
      <c r="AE254" s="24"/>
    </row>
    <row r="255">
      <c r="A255" s="11"/>
      <c r="B255" s="23"/>
      <c r="C255" s="23"/>
      <c r="D255" s="23"/>
      <c r="E255" s="23"/>
      <c r="F255" s="1"/>
      <c r="G255" s="23"/>
      <c r="H255" s="23"/>
      <c r="I255" s="23"/>
      <c r="J255" s="2"/>
      <c r="M255" s="40"/>
      <c r="N255" s="40"/>
      <c r="O255" s="2"/>
      <c r="AE255" s="24"/>
    </row>
    <row r="256">
      <c r="A256" s="11"/>
      <c r="B256" s="23"/>
      <c r="C256" s="23"/>
      <c r="D256" s="23"/>
      <c r="E256" s="23"/>
      <c r="F256" s="1"/>
      <c r="G256" s="23"/>
      <c r="H256" s="23"/>
      <c r="I256" s="23"/>
      <c r="J256" s="2"/>
      <c r="M256" s="40"/>
      <c r="N256" s="40"/>
      <c r="O256" s="2"/>
      <c r="AE256" s="24"/>
    </row>
    <row r="257">
      <c r="A257" s="11"/>
      <c r="B257" s="23"/>
      <c r="C257" s="23"/>
      <c r="D257" s="23"/>
      <c r="E257" s="23"/>
      <c r="F257" s="1"/>
      <c r="G257" s="23"/>
      <c r="H257" s="23"/>
      <c r="I257" s="23"/>
      <c r="J257" s="2"/>
      <c r="M257" s="40"/>
      <c r="N257" s="40"/>
      <c r="O257" s="2"/>
      <c r="AE257" s="24"/>
    </row>
    <row r="258">
      <c r="A258" s="11"/>
      <c r="B258" s="23"/>
      <c r="C258" s="23"/>
      <c r="D258" s="23"/>
      <c r="E258" s="23"/>
      <c r="F258" s="1"/>
      <c r="G258" s="23"/>
      <c r="H258" s="23"/>
      <c r="I258" s="23"/>
      <c r="J258" s="2"/>
      <c r="M258" s="40"/>
      <c r="N258" s="40"/>
      <c r="O258" s="2"/>
      <c r="AE258" s="24"/>
    </row>
    <row r="259">
      <c r="A259" s="11"/>
      <c r="B259" s="23"/>
      <c r="C259" s="23"/>
      <c r="D259" s="23"/>
      <c r="E259" s="23"/>
      <c r="F259" s="1"/>
      <c r="G259" s="23"/>
      <c r="H259" s="23"/>
      <c r="I259" s="23"/>
      <c r="J259" s="2"/>
      <c r="M259" s="40"/>
      <c r="N259" s="40"/>
      <c r="O259" s="2"/>
      <c r="AE259" s="24"/>
    </row>
    <row r="260">
      <c r="A260" s="11"/>
      <c r="B260" s="23"/>
      <c r="C260" s="23"/>
      <c r="D260" s="23"/>
      <c r="E260" s="23"/>
      <c r="F260" s="1"/>
      <c r="G260" s="23"/>
      <c r="H260" s="23"/>
      <c r="I260" s="23"/>
      <c r="J260" s="2"/>
      <c r="M260" s="40"/>
      <c r="N260" s="40"/>
      <c r="O260" s="2"/>
      <c r="AE260" s="24"/>
    </row>
    <row r="261">
      <c r="A261" s="11"/>
      <c r="B261" s="23"/>
      <c r="C261" s="23"/>
      <c r="D261" s="23"/>
      <c r="E261" s="23"/>
      <c r="F261" s="1"/>
      <c r="G261" s="23"/>
      <c r="H261" s="23"/>
      <c r="I261" s="23"/>
      <c r="J261" s="2"/>
      <c r="M261" s="40"/>
      <c r="N261" s="40"/>
      <c r="O261" s="2"/>
      <c r="AE261" s="24"/>
    </row>
    <row r="262">
      <c r="A262" s="11"/>
      <c r="B262" s="23"/>
      <c r="C262" s="23"/>
      <c r="D262" s="23"/>
      <c r="E262" s="23"/>
      <c r="F262" s="1"/>
      <c r="G262" s="23"/>
      <c r="H262" s="23"/>
      <c r="I262" s="23"/>
      <c r="J262" s="2"/>
      <c r="M262" s="40"/>
      <c r="N262" s="40"/>
      <c r="O262" s="2"/>
      <c r="AE262" s="24"/>
    </row>
    <row r="263">
      <c r="A263" s="11"/>
      <c r="B263" s="23"/>
      <c r="C263" s="23"/>
      <c r="D263" s="23"/>
      <c r="E263" s="23"/>
      <c r="F263" s="1"/>
      <c r="G263" s="23"/>
      <c r="H263" s="23"/>
      <c r="I263" s="23"/>
      <c r="J263" s="2"/>
      <c r="M263" s="40"/>
      <c r="N263" s="40"/>
      <c r="O263" s="2"/>
      <c r="AE263" s="24"/>
    </row>
    <row r="264">
      <c r="A264" s="11"/>
      <c r="B264" s="23"/>
      <c r="C264" s="23"/>
      <c r="D264" s="23"/>
      <c r="E264" s="23"/>
      <c r="F264" s="1"/>
      <c r="G264" s="23"/>
      <c r="H264" s="23"/>
      <c r="I264" s="23"/>
      <c r="J264" s="2"/>
      <c r="M264" s="40"/>
      <c r="N264" s="40"/>
      <c r="O264" s="2"/>
      <c r="AE264" s="24"/>
    </row>
    <row r="265">
      <c r="A265" s="11"/>
      <c r="B265" s="23"/>
      <c r="C265" s="23"/>
      <c r="D265" s="23"/>
      <c r="E265" s="23"/>
      <c r="F265" s="1"/>
      <c r="G265" s="23"/>
      <c r="H265" s="23"/>
      <c r="I265" s="23"/>
      <c r="J265" s="2"/>
      <c r="M265" s="40"/>
      <c r="N265" s="40"/>
      <c r="O265" s="2"/>
      <c r="AE265" s="24"/>
    </row>
    <row r="266">
      <c r="A266" s="11"/>
      <c r="B266" s="23"/>
      <c r="C266" s="23"/>
      <c r="D266" s="23"/>
      <c r="E266" s="23"/>
      <c r="F266" s="1"/>
      <c r="G266" s="23"/>
      <c r="H266" s="23"/>
      <c r="I266" s="23"/>
      <c r="J266" s="2"/>
      <c r="M266" s="40"/>
      <c r="N266" s="40"/>
      <c r="O266" s="2"/>
      <c r="AE266" s="24"/>
    </row>
    <row r="267">
      <c r="A267" s="11"/>
      <c r="B267" s="23"/>
      <c r="C267" s="23"/>
      <c r="D267" s="23"/>
      <c r="E267" s="23"/>
      <c r="F267" s="1"/>
      <c r="G267" s="23"/>
      <c r="H267" s="23"/>
      <c r="I267" s="23"/>
      <c r="J267" s="2"/>
      <c r="M267" s="40"/>
      <c r="N267" s="40"/>
      <c r="O267" s="2"/>
      <c r="AE267" s="24"/>
    </row>
    <row r="268">
      <c r="A268" s="11"/>
      <c r="B268" s="23"/>
      <c r="C268" s="23"/>
      <c r="D268" s="23"/>
      <c r="E268" s="23"/>
      <c r="F268" s="1"/>
      <c r="G268" s="23"/>
      <c r="H268" s="23"/>
      <c r="I268" s="23"/>
      <c r="J268" s="2"/>
      <c r="M268" s="40"/>
      <c r="N268" s="40"/>
      <c r="O268" s="2"/>
      <c r="AE268" s="24"/>
    </row>
    <row r="269">
      <c r="A269" s="11"/>
      <c r="B269" s="23"/>
      <c r="C269" s="23"/>
      <c r="D269" s="23"/>
      <c r="E269" s="23"/>
      <c r="F269" s="1"/>
      <c r="G269" s="23"/>
      <c r="H269" s="23"/>
      <c r="I269" s="23"/>
      <c r="J269" s="2"/>
      <c r="M269" s="40"/>
      <c r="N269" s="40"/>
      <c r="O269" s="2"/>
      <c r="AE269" s="24"/>
    </row>
    <row r="270">
      <c r="A270" s="11"/>
      <c r="B270" s="23"/>
      <c r="C270" s="23"/>
      <c r="D270" s="23"/>
      <c r="E270" s="23"/>
      <c r="F270" s="1"/>
      <c r="G270" s="23"/>
      <c r="H270" s="23"/>
      <c r="I270" s="23"/>
      <c r="J270" s="2"/>
      <c r="M270" s="40"/>
      <c r="N270" s="40"/>
      <c r="O270" s="2"/>
      <c r="AE270" s="24"/>
    </row>
    <row r="271">
      <c r="A271" s="11"/>
      <c r="B271" s="23"/>
      <c r="C271" s="23"/>
      <c r="D271" s="23"/>
      <c r="E271" s="23"/>
      <c r="F271" s="1"/>
      <c r="G271" s="23"/>
      <c r="H271" s="23"/>
      <c r="I271" s="23"/>
      <c r="J271" s="2"/>
      <c r="M271" s="40"/>
      <c r="N271" s="40"/>
      <c r="O271" s="2"/>
      <c r="AE271" s="24"/>
    </row>
    <row r="272">
      <c r="A272" s="11"/>
      <c r="B272" s="23"/>
      <c r="C272" s="23"/>
      <c r="D272" s="23"/>
      <c r="E272" s="23"/>
      <c r="F272" s="1"/>
      <c r="G272" s="23"/>
      <c r="H272" s="23"/>
      <c r="I272" s="23"/>
      <c r="J272" s="2"/>
      <c r="M272" s="40"/>
      <c r="N272" s="40"/>
      <c r="O272" s="2"/>
      <c r="AE272" s="24"/>
    </row>
    <row r="273">
      <c r="A273" s="11"/>
      <c r="B273" s="23"/>
      <c r="C273" s="23"/>
      <c r="D273" s="23"/>
      <c r="E273" s="23"/>
      <c r="F273" s="1"/>
      <c r="G273" s="23"/>
      <c r="H273" s="23"/>
      <c r="I273" s="23"/>
      <c r="J273" s="2"/>
      <c r="M273" s="40"/>
      <c r="N273" s="40"/>
      <c r="O273" s="2"/>
      <c r="AE273" s="24"/>
    </row>
    <row r="274">
      <c r="A274" s="11"/>
      <c r="B274" s="23"/>
      <c r="C274" s="23"/>
      <c r="D274" s="23"/>
      <c r="E274" s="23"/>
      <c r="F274" s="1"/>
      <c r="G274" s="23"/>
      <c r="H274" s="23"/>
      <c r="I274" s="23"/>
      <c r="J274" s="2"/>
      <c r="M274" s="40"/>
      <c r="N274" s="40"/>
      <c r="O274" s="2"/>
      <c r="AE274" s="24"/>
    </row>
    <row r="275">
      <c r="A275" s="11"/>
      <c r="B275" s="23"/>
      <c r="C275" s="23"/>
      <c r="D275" s="23"/>
      <c r="E275" s="23"/>
      <c r="F275" s="1"/>
      <c r="G275" s="23"/>
      <c r="H275" s="23"/>
      <c r="I275" s="23"/>
      <c r="J275" s="2"/>
      <c r="M275" s="40"/>
      <c r="N275" s="40"/>
      <c r="O275" s="2"/>
      <c r="AE275" s="24"/>
    </row>
    <row r="276">
      <c r="A276" s="11"/>
      <c r="B276" s="23"/>
      <c r="C276" s="23"/>
      <c r="D276" s="23"/>
      <c r="E276" s="23"/>
      <c r="F276" s="1"/>
      <c r="G276" s="23"/>
      <c r="H276" s="23"/>
      <c r="I276" s="23"/>
      <c r="J276" s="2"/>
      <c r="M276" s="40"/>
      <c r="N276" s="40"/>
      <c r="O276" s="2"/>
      <c r="AE276" s="24"/>
    </row>
    <row r="277">
      <c r="A277" s="11"/>
      <c r="B277" s="23"/>
      <c r="C277" s="23"/>
      <c r="D277" s="23"/>
      <c r="E277" s="23"/>
      <c r="F277" s="1"/>
      <c r="G277" s="23"/>
      <c r="H277" s="23"/>
      <c r="I277" s="23"/>
      <c r="J277" s="2"/>
      <c r="M277" s="40"/>
      <c r="N277" s="40"/>
      <c r="O277" s="2"/>
      <c r="AE277" s="24"/>
    </row>
    <row r="278">
      <c r="A278" s="11"/>
      <c r="B278" s="23"/>
      <c r="C278" s="23"/>
      <c r="D278" s="23"/>
      <c r="E278" s="23"/>
      <c r="F278" s="1"/>
      <c r="G278" s="23"/>
      <c r="H278" s="23"/>
      <c r="I278" s="23"/>
      <c r="J278" s="2"/>
      <c r="M278" s="40"/>
      <c r="N278" s="40"/>
      <c r="O278" s="2"/>
      <c r="AE278" s="24"/>
    </row>
    <row r="279">
      <c r="A279" s="11"/>
      <c r="B279" s="23"/>
      <c r="C279" s="23"/>
      <c r="D279" s="23"/>
      <c r="E279" s="23"/>
      <c r="F279" s="1"/>
      <c r="G279" s="23"/>
      <c r="H279" s="23"/>
      <c r="I279" s="23"/>
      <c r="J279" s="2"/>
      <c r="M279" s="40"/>
      <c r="N279" s="40"/>
      <c r="O279" s="2"/>
      <c r="AE279" s="24"/>
    </row>
    <row r="280">
      <c r="A280" s="11"/>
      <c r="B280" s="23"/>
      <c r="C280" s="23"/>
      <c r="D280" s="23"/>
      <c r="E280" s="23"/>
      <c r="F280" s="1"/>
      <c r="G280" s="23"/>
      <c r="H280" s="23"/>
      <c r="I280" s="23"/>
      <c r="J280" s="2"/>
      <c r="M280" s="40"/>
      <c r="N280" s="40"/>
      <c r="O280" s="2"/>
      <c r="AE280" s="24"/>
    </row>
    <row r="281">
      <c r="A281" s="11"/>
      <c r="B281" s="23"/>
      <c r="C281" s="23"/>
      <c r="D281" s="23"/>
      <c r="E281" s="23"/>
      <c r="F281" s="1"/>
      <c r="G281" s="23"/>
      <c r="H281" s="23"/>
      <c r="I281" s="23"/>
      <c r="J281" s="2"/>
      <c r="M281" s="40"/>
      <c r="N281" s="40"/>
      <c r="O281" s="2"/>
      <c r="AE281" s="24"/>
    </row>
    <row r="282">
      <c r="A282" s="11"/>
      <c r="B282" s="23"/>
      <c r="C282" s="23"/>
      <c r="D282" s="23"/>
      <c r="E282" s="23"/>
      <c r="F282" s="1"/>
      <c r="G282" s="23"/>
      <c r="H282" s="23"/>
      <c r="I282" s="23"/>
      <c r="J282" s="2"/>
      <c r="M282" s="40"/>
      <c r="N282" s="40"/>
      <c r="O282" s="2"/>
      <c r="AE282" s="24"/>
    </row>
    <row r="283">
      <c r="A283" s="11"/>
      <c r="B283" s="23"/>
      <c r="C283" s="23"/>
      <c r="D283" s="23"/>
      <c r="E283" s="23"/>
      <c r="F283" s="1"/>
      <c r="G283" s="23"/>
      <c r="H283" s="23"/>
      <c r="I283" s="23"/>
      <c r="J283" s="2"/>
      <c r="M283" s="40"/>
      <c r="N283" s="40"/>
      <c r="O283" s="2"/>
      <c r="AE283" s="24"/>
    </row>
    <row r="284">
      <c r="A284" s="11"/>
      <c r="B284" s="23"/>
      <c r="C284" s="23"/>
      <c r="D284" s="23"/>
      <c r="E284" s="23"/>
      <c r="F284" s="1"/>
      <c r="G284" s="23"/>
      <c r="H284" s="23"/>
      <c r="I284" s="23"/>
      <c r="J284" s="2"/>
      <c r="M284" s="40"/>
      <c r="N284" s="40"/>
      <c r="O284" s="2"/>
      <c r="AE284" s="24"/>
    </row>
    <row r="285">
      <c r="A285" s="11"/>
      <c r="B285" s="23"/>
      <c r="C285" s="23"/>
      <c r="D285" s="23"/>
      <c r="E285" s="23"/>
      <c r="F285" s="1"/>
      <c r="G285" s="23"/>
      <c r="H285" s="23"/>
      <c r="I285" s="23"/>
      <c r="J285" s="2"/>
      <c r="M285" s="40"/>
      <c r="N285" s="40"/>
      <c r="O285" s="2"/>
      <c r="AE285" s="24"/>
    </row>
    <row r="286">
      <c r="A286" s="11"/>
      <c r="B286" s="23"/>
      <c r="C286" s="23"/>
      <c r="D286" s="23"/>
      <c r="E286" s="23"/>
      <c r="F286" s="1"/>
      <c r="G286" s="23"/>
      <c r="H286" s="23"/>
      <c r="I286" s="23"/>
      <c r="J286" s="2"/>
      <c r="M286" s="40"/>
      <c r="N286" s="40"/>
      <c r="O286" s="2"/>
      <c r="AE286" s="24"/>
    </row>
    <row r="287">
      <c r="A287" s="11"/>
      <c r="B287" s="23"/>
      <c r="C287" s="23"/>
      <c r="D287" s="23"/>
      <c r="E287" s="23"/>
      <c r="F287" s="1"/>
      <c r="G287" s="23"/>
      <c r="H287" s="23"/>
      <c r="I287" s="23"/>
      <c r="J287" s="2"/>
      <c r="M287" s="40"/>
      <c r="N287" s="40"/>
      <c r="O287" s="2"/>
      <c r="AE287" s="24"/>
    </row>
    <row r="288">
      <c r="A288" s="11"/>
      <c r="B288" s="23"/>
      <c r="C288" s="23"/>
      <c r="D288" s="23"/>
      <c r="E288" s="23"/>
      <c r="F288" s="1"/>
      <c r="G288" s="23"/>
      <c r="H288" s="23"/>
      <c r="I288" s="23"/>
      <c r="J288" s="2"/>
      <c r="M288" s="40"/>
      <c r="N288" s="40"/>
      <c r="O288" s="2"/>
      <c r="AE288" s="24"/>
    </row>
    <row r="289">
      <c r="A289" s="11"/>
      <c r="B289" s="23"/>
      <c r="C289" s="23"/>
      <c r="D289" s="23"/>
      <c r="E289" s="23"/>
      <c r="F289" s="1"/>
      <c r="G289" s="23"/>
      <c r="H289" s="23"/>
      <c r="I289" s="23"/>
      <c r="J289" s="2"/>
      <c r="M289" s="40"/>
      <c r="N289" s="40"/>
      <c r="O289" s="2"/>
      <c r="AE289" s="24"/>
    </row>
    <row r="290">
      <c r="A290" s="11"/>
      <c r="B290" s="23"/>
      <c r="C290" s="23"/>
      <c r="D290" s="23"/>
      <c r="E290" s="23"/>
      <c r="F290" s="1"/>
      <c r="G290" s="23"/>
      <c r="H290" s="23"/>
      <c r="I290" s="23"/>
      <c r="J290" s="2"/>
      <c r="M290" s="40"/>
      <c r="N290" s="40"/>
      <c r="O290" s="2"/>
      <c r="AE290" s="24"/>
    </row>
    <row r="291">
      <c r="A291" s="11"/>
      <c r="B291" s="23"/>
      <c r="C291" s="23"/>
      <c r="D291" s="23"/>
      <c r="E291" s="23"/>
      <c r="F291" s="1"/>
      <c r="G291" s="23"/>
      <c r="H291" s="23"/>
      <c r="I291" s="23"/>
      <c r="J291" s="2"/>
      <c r="M291" s="40"/>
      <c r="N291" s="40"/>
      <c r="O291" s="2"/>
      <c r="AE291" s="24"/>
    </row>
    <row r="292">
      <c r="A292" s="11"/>
      <c r="B292" s="23"/>
      <c r="C292" s="23"/>
      <c r="D292" s="23"/>
      <c r="E292" s="23"/>
      <c r="F292" s="1"/>
      <c r="G292" s="23"/>
      <c r="H292" s="23"/>
      <c r="I292" s="23"/>
      <c r="J292" s="2"/>
      <c r="M292" s="40"/>
      <c r="N292" s="40"/>
      <c r="O292" s="2"/>
      <c r="AE292" s="24"/>
    </row>
    <row r="293">
      <c r="A293" s="11"/>
      <c r="B293" s="23"/>
      <c r="C293" s="23"/>
      <c r="D293" s="23"/>
      <c r="E293" s="23"/>
      <c r="F293" s="1"/>
      <c r="G293" s="23"/>
      <c r="H293" s="23"/>
      <c r="I293" s="23"/>
      <c r="J293" s="2"/>
      <c r="M293" s="40"/>
      <c r="N293" s="40"/>
      <c r="O293" s="2"/>
      <c r="AE293" s="24"/>
    </row>
    <row r="294">
      <c r="A294" s="11"/>
      <c r="B294" s="23"/>
      <c r="C294" s="23"/>
      <c r="D294" s="23"/>
      <c r="E294" s="23"/>
      <c r="F294" s="1"/>
      <c r="G294" s="23"/>
      <c r="H294" s="23"/>
      <c r="I294" s="23"/>
      <c r="J294" s="2"/>
      <c r="M294" s="40"/>
      <c r="N294" s="40"/>
      <c r="O294" s="2"/>
      <c r="AE294" s="24"/>
    </row>
    <row r="295">
      <c r="A295" s="11"/>
      <c r="B295" s="23"/>
      <c r="C295" s="23"/>
      <c r="D295" s="23"/>
      <c r="E295" s="23"/>
      <c r="F295" s="1"/>
      <c r="G295" s="23"/>
      <c r="H295" s="23"/>
      <c r="I295" s="23"/>
      <c r="J295" s="2"/>
      <c r="M295" s="40"/>
      <c r="N295" s="40"/>
      <c r="O295" s="2"/>
      <c r="AE295" s="24"/>
    </row>
    <row r="296">
      <c r="A296" s="11"/>
      <c r="B296" s="23"/>
      <c r="C296" s="23"/>
      <c r="D296" s="23"/>
      <c r="E296" s="23"/>
      <c r="F296" s="1"/>
      <c r="G296" s="23"/>
      <c r="H296" s="23"/>
      <c r="I296" s="23"/>
      <c r="J296" s="2"/>
      <c r="M296" s="40"/>
      <c r="N296" s="40"/>
      <c r="O296" s="2"/>
      <c r="AE296" s="24"/>
    </row>
    <row r="297">
      <c r="A297" s="11"/>
      <c r="B297" s="23"/>
      <c r="C297" s="23"/>
      <c r="D297" s="23"/>
      <c r="E297" s="23"/>
      <c r="F297" s="1"/>
      <c r="G297" s="23"/>
      <c r="H297" s="23"/>
      <c r="I297" s="23"/>
      <c r="J297" s="2"/>
      <c r="M297" s="40"/>
      <c r="N297" s="40"/>
      <c r="O297" s="2"/>
      <c r="AE297" s="24"/>
    </row>
    <row r="298">
      <c r="A298" s="11"/>
      <c r="B298" s="23"/>
      <c r="C298" s="23"/>
      <c r="D298" s="23"/>
      <c r="E298" s="23"/>
      <c r="F298" s="1"/>
      <c r="G298" s="23"/>
      <c r="H298" s="23"/>
      <c r="I298" s="23"/>
      <c r="J298" s="2"/>
      <c r="M298" s="40"/>
      <c r="N298" s="40"/>
      <c r="O298" s="2"/>
      <c r="AE298" s="24"/>
    </row>
    <row r="299">
      <c r="A299" s="11"/>
      <c r="B299" s="23"/>
      <c r="C299" s="23"/>
      <c r="D299" s="23"/>
      <c r="E299" s="23"/>
      <c r="F299" s="1"/>
      <c r="G299" s="23"/>
      <c r="H299" s="23"/>
      <c r="I299" s="23"/>
      <c r="J299" s="2"/>
      <c r="M299" s="40"/>
      <c r="N299" s="40"/>
      <c r="O299" s="2"/>
      <c r="AE299" s="24"/>
    </row>
    <row r="300">
      <c r="A300" s="11"/>
      <c r="B300" s="23"/>
      <c r="C300" s="23"/>
      <c r="D300" s="23"/>
      <c r="E300" s="23"/>
      <c r="F300" s="1"/>
      <c r="G300" s="23"/>
      <c r="H300" s="23"/>
      <c r="I300" s="23"/>
      <c r="J300" s="2"/>
      <c r="M300" s="40"/>
      <c r="N300" s="40"/>
      <c r="O300" s="2"/>
      <c r="AE300" s="24"/>
    </row>
    <row r="301">
      <c r="A301" s="11"/>
      <c r="B301" s="23"/>
      <c r="C301" s="23"/>
      <c r="D301" s="23"/>
      <c r="E301" s="23"/>
      <c r="F301" s="1"/>
      <c r="G301" s="23"/>
      <c r="H301" s="23"/>
      <c r="I301" s="23"/>
      <c r="J301" s="2"/>
      <c r="M301" s="40"/>
      <c r="N301" s="40"/>
      <c r="O301" s="2"/>
      <c r="AE301" s="24"/>
    </row>
    <row r="302">
      <c r="A302" s="11"/>
      <c r="B302" s="23"/>
      <c r="C302" s="23"/>
      <c r="D302" s="23"/>
      <c r="E302" s="23"/>
      <c r="F302" s="1"/>
      <c r="G302" s="23"/>
      <c r="H302" s="23"/>
      <c r="I302" s="23"/>
      <c r="J302" s="2"/>
      <c r="M302" s="40"/>
      <c r="N302" s="40"/>
      <c r="O302" s="2"/>
      <c r="AE302" s="24"/>
    </row>
    <row r="303">
      <c r="A303" s="11"/>
      <c r="B303" s="23"/>
      <c r="C303" s="23"/>
      <c r="D303" s="23"/>
      <c r="E303" s="23"/>
      <c r="F303" s="1"/>
      <c r="G303" s="23"/>
      <c r="H303" s="23"/>
      <c r="I303" s="23"/>
      <c r="J303" s="2"/>
      <c r="M303" s="40"/>
      <c r="N303" s="40"/>
      <c r="O303" s="2"/>
      <c r="AE303" s="24"/>
    </row>
    <row r="304">
      <c r="A304" s="11"/>
      <c r="B304" s="23"/>
      <c r="C304" s="23"/>
      <c r="D304" s="23"/>
      <c r="E304" s="23"/>
      <c r="F304" s="1"/>
      <c r="G304" s="23"/>
      <c r="H304" s="23"/>
      <c r="I304" s="23"/>
      <c r="J304" s="2"/>
      <c r="M304" s="40"/>
      <c r="N304" s="40"/>
      <c r="O304" s="2"/>
      <c r="AE304" s="24"/>
    </row>
    <row r="305">
      <c r="A305" s="11"/>
      <c r="B305" s="23"/>
      <c r="C305" s="23"/>
      <c r="D305" s="23"/>
      <c r="E305" s="23"/>
      <c r="F305" s="1"/>
      <c r="G305" s="23"/>
      <c r="H305" s="23"/>
      <c r="I305" s="23"/>
      <c r="J305" s="2"/>
      <c r="M305" s="40"/>
      <c r="N305" s="40"/>
      <c r="O305" s="2"/>
      <c r="AE305" s="24"/>
    </row>
    <row r="306">
      <c r="A306" s="11"/>
      <c r="B306" s="23"/>
      <c r="C306" s="23"/>
      <c r="D306" s="23"/>
      <c r="E306" s="23"/>
      <c r="F306" s="1"/>
      <c r="G306" s="23"/>
      <c r="H306" s="23"/>
      <c r="I306" s="23"/>
      <c r="J306" s="2"/>
      <c r="M306" s="40"/>
      <c r="N306" s="40"/>
      <c r="O306" s="2"/>
      <c r="AE306" s="24"/>
    </row>
    <row r="307">
      <c r="A307" s="11"/>
      <c r="B307" s="23"/>
      <c r="C307" s="23"/>
      <c r="D307" s="23"/>
      <c r="E307" s="23"/>
      <c r="F307" s="1"/>
      <c r="G307" s="23"/>
      <c r="H307" s="23"/>
      <c r="I307" s="23"/>
      <c r="J307" s="2"/>
      <c r="M307" s="40"/>
      <c r="N307" s="40"/>
      <c r="O307" s="2"/>
      <c r="AE307" s="24"/>
    </row>
    <row r="308">
      <c r="A308" s="11"/>
      <c r="B308" s="23"/>
      <c r="C308" s="23"/>
      <c r="D308" s="23"/>
      <c r="E308" s="23"/>
      <c r="F308" s="1"/>
      <c r="G308" s="23"/>
      <c r="H308" s="23"/>
      <c r="I308" s="23"/>
      <c r="J308" s="2"/>
      <c r="M308" s="40"/>
      <c r="N308" s="40"/>
      <c r="O308" s="2"/>
      <c r="AE308" s="24"/>
    </row>
    <row r="309">
      <c r="A309" s="11"/>
      <c r="B309" s="23"/>
      <c r="C309" s="23"/>
      <c r="D309" s="23"/>
      <c r="E309" s="23"/>
      <c r="F309" s="1"/>
      <c r="G309" s="23"/>
      <c r="H309" s="23"/>
      <c r="I309" s="23"/>
      <c r="J309" s="2"/>
      <c r="M309" s="40"/>
      <c r="N309" s="40"/>
      <c r="O309" s="2"/>
      <c r="AE309" s="24"/>
    </row>
    <row r="310">
      <c r="A310" s="11"/>
      <c r="B310" s="23"/>
      <c r="C310" s="23"/>
      <c r="D310" s="23"/>
      <c r="E310" s="23"/>
      <c r="F310" s="1"/>
      <c r="G310" s="23"/>
      <c r="H310" s="23"/>
      <c r="I310" s="23"/>
      <c r="J310" s="2"/>
      <c r="M310" s="40"/>
      <c r="N310" s="40"/>
      <c r="O310" s="2"/>
      <c r="AE310" s="24"/>
    </row>
    <row r="311">
      <c r="A311" s="11"/>
      <c r="B311" s="23"/>
      <c r="C311" s="23"/>
      <c r="D311" s="23"/>
      <c r="E311" s="23"/>
      <c r="F311" s="1"/>
      <c r="G311" s="23"/>
      <c r="H311" s="23"/>
      <c r="I311" s="23"/>
      <c r="J311" s="2"/>
      <c r="M311" s="40"/>
      <c r="N311" s="40"/>
      <c r="O311" s="2"/>
      <c r="AE311" s="24"/>
    </row>
    <row r="312">
      <c r="A312" s="11"/>
      <c r="B312" s="23"/>
      <c r="C312" s="23"/>
      <c r="D312" s="23"/>
      <c r="E312" s="23"/>
      <c r="F312" s="1"/>
      <c r="G312" s="23"/>
      <c r="H312" s="23"/>
      <c r="I312" s="23"/>
      <c r="J312" s="2"/>
      <c r="M312" s="40"/>
      <c r="N312" s="40"/>
      <c r="O312" s="2"/>
      <c r="AE312" s="24"/>
    </row>
    <row r="313">
      <c r="A313" s="11"/>
      <c r="B313" s="23"/>
      <c r="C313" s="23"/>
      <c r="D313" s="23"/>
      <c r="E313" s="23"/>
      <c r="F313" s="1"/>
      <c r="G313" s="23"/>
      <c r="H313" s="23"/>
      <c r="I313" s="23"/>
      <c r="J313" s="2"/>
      <c r="M313" s="40"/>
      <c r="N313" s="40"/>
      <c r="O313" s="2"/>
      <c r="AE313" s="24"/>
    </row>
    <row r="314">
      <c r="A314" s="11"/>
      <c r="B314" s="23"/>
      <c r="C314" s="23"/>
      <c r="D314" s="23"/>
      <c r="E314" s="23"/>
      <c r="F314" s="1"/>
      <c r="G314" s="23"/>
      <c r="H314" s="23"/>
      <c r="I314" s="23"/>
      <c r="J314" s="2"/>
      <c r="M314" s="40"/>
      <c r="N314" s="40"/>
      <c r="O314" s="2"/>
      <c r="AE314" s="24"/>
    </row>
    <row r="315">
      <c r="A315" s="11"/>
      <c r="B315" s="23"/>
      <c r="C315" s="23"/>
      <c r="D315" s="23"/>
      <c r="E315" s="23"/>
      <c r="F315" s="1"/>
      <c r="G315" s="23"/>
      <c r="H315" s="23"/>
      <c r="I315" s="23"/>
      <c r="J315" s="2"/>
      <c r="M315" s="40"/>
      <c r="N315" s="40"/>
      <c r="O315" s="2"/>
      <c r="AE315" s="24"/>
    </row>
    <row r="316">
      <c r="A316" s="11"/>
      <c r="B316" s="23"/>
      <c r="C316" s="23"/>
      <c r="D316" s="23"/>
      <c r="E316" s="23"/>
      <c r="F316" s="1"/>
      <c r="G316" s="23"/>
      <c r="H316" s="23"/>
      <c r="I316" s="23"/>
      <c r="J316" s="2"/>
      <c r="M316" s="40"/>
      <c r="N316" s="40"/>
      <c r="O316" s="2"/>
      <c r="AE316" s="24"/>
    </row>
    <row r="317">
      <c r="A317" s="11"/>
      <c r="B317" s="23"/>
      <c r="C317" s="23"/>
      <c r="D317" s="23"/>
      <c r="E317" s="23"/>
      <c r="F317" s="1"/>
      <c r="G317" s="23"/>
      <c r="H317" s="23"/>
      <c r="I317" s="23"/>
      <c r="J317" s="2"/>
      <c r="M317" s="40"/>
      <c r="N317" s="40"/>
      <c r="O317" s="2"/>
      <c r="AE317" s="24"/>
    </row>
    <row r="318">
      <c r="A318" s="11"/>
      <c r="B318" s="23"/>
      <c r="C318" s="23"/>
      <c r="D318" s="23"/>
      <c r="E318" s="23"/>
      <c r="F318" s="1"/>
      <c r="G318" s="23"/>
      <c r="H318" s="23"/>
      <c r="I318" s="23"/>
      <c r="J318" s="2"/>
      <c r="M318" s="40"/>
      <c r="N318" s="40"/>
      <c r="O318" s="2"/>
      <c r="AE318" s="24"/>
    </row>
    <row r="319">
      <c r="A319" s="11"/>
      <c r="B319" s="23"/>
      <c r="C319" s="23"/>
      <c r="D319" s="23"/>
      <c r="E319" s="23"/>
      <c r="F319" s="1"/>
      <c r="G319" s="23"/>
      <c r="H319" s="23"/>
      <c r="I319" s="23"/>
      <c r="J319" s="2"/>
      <c r="M319" s="40"/>
      <c r="N319" s="40"/>
      <c r="O319" s="2"/>
      <c r="AE319" s="24"/>
    </row>
    <row r="320">
      <c r="A320" s="11"/>
      <c r="B320" s="23"/>
      <c r="C320" s="23"/>
      <c r="D320" s="23"/>
      <c r="E320" s="23"/>
      <c r="F320" s="1"/>
      <c r="G320" s="23"/>
      <c r="H320" s="23"/>
      <c r="I320" s="23"/>
      <c r="J320" s="2"/>
      <c r="M320" s="40"/>
      <c r="N320" s="40"/>
      <c r="O320" s="2"/>
      <c r="AE320" s="24"/>
    </row>
    <row r="321">
      <c r="A321" s="11"/>
      <c r="B321" s="23"/>
      <c r="C321" s="23"/>
      <c r="D321" s="23"/>
      <c r="E321" s="23"/>
      <c r="F321" s="1"/>
      <c r="G321" s="23"/>
      <c r="H321" s="23"/>
      <c r="I321" s="23"/>
      <c r="J321" s="2"/>
      <c r="M321" s="40"/>
      <c r="N321" s="40"/>
      <c r="O321" s="2"/>
      <c r="AE321" s="24"/>
    </row>
    <row r="322">
      <c r="A322" s="11"/>
      <c r="B322" s="23"/>
      <c r="C322" s="23"/>
      <c r="D322" s="23"/>
      <c r="E322" s="23"/>
      <c r="F322" s="1"/>
      <c r="G322" s="23"/>
      <c r="H322" s="23"/>
      <c r="I322" s="23"/>
      <c r="J322" s="2"/>
      <c r="M322" s="40"/>
      <c r="N322" s="40"/>
      <c r="O322" s="2"/>
      <c r="AE322" s="24"/>
    </row>
    <row r="323">
      <c r="A323" s="11"/>
      <c r="B323" s="23"/>
      <c r="C323" s="23"/>
      <c r="D323" s="23"/>
      <c r="E323" s="23"/>
      <c r="F323" s="1"/>
      <c r="G323" s="23"/>
      <c r="H323" s="23"/>
      <c r="I323" s="23"/>
      <c r="J323" s="2"/>
      <c r="M323" s="40"/>
      <c r="N323" s="40"/>
      <c r="O323" s="2"/>
      <c r="AE323" s="24"/>
    </row>
    <row r="324">
      <c r="A324" s="11"/>
      <c r="B324" s="23"/>
      <c r="C324" s="23"/>
      <c r="D324" s="23"/>
      <c r="E324" s="23"/>
      <c r="F324" s="1"/>
      <c r="G324" s="23"/>
      <c r="H324" s="23"/>
      <c r="I324" s="23"/>
      <c r="J324" s="2"/>
      <c r="M324" s="40"/>
      <c r="N324" s="40"/>
      <c r="O324" s="2"/>
      <c r="AE324" s="24"/>
    </row>
    <row r="325">
      <c r="A325" s="11"/>
      <c r="B325" s="23"/>
      <c r="C325" s="23"/>
      <c r="D325" s="23"/>
      <c r="E325" s="23"/>
      <c r="F325" s="1"/>
      <c r="G325" s="23"/>
      <c r="H325" s="23"/>
      <c r="I325" s="23"/>
      <c r="J325" s="2"/>
      <c r="M325" s="40"/>
      <c r="N325" s="40"/>
      <c r="O325" s="2"/>
      <c r="AE325" s="24"/>
    </row>
    <row r="326">
      <c r="A326" s="11"/>
      <c r="B326" s="23"/>
      <c r="C326" s="23"/>
      <c r="D326" s="23"/>
      <c r="E326" s="23"/>
      <c r="F326" s="1"/>
      <c r="G326" s="23"/>
      <c r="H326" s="23"/>
      <c r="I326" s="23"/>
      <c r="J326" s="2"/>
      <c r="M326" s="40"/>
      <c r="N326" s="40"/>
      <c r="O326" s="2"/>
      <c r="AE326" s="24"/>
    </row>
    <row r="327">
      <c r="A327" s="11"/>
      <c r="B327" s="23"/>
      <c r="C327" s="23"/>
      <c r="D327" s="23"/>
      <c r="E327" s="23"/>
      <c r="F327" s="1"/>
      <c r="G327" s="23"/>
      <c r="H327" s="23"/>
      <c r="I327" s="23"/>
      <c r="J327" s="2"/>
      <c r="M327" s="40"/>
      <c r="N327" s="40"/>
      <c r="O327" s="2"/>
      <c r="AE327" s="24"/>
    </row>
    <row r="328">
      <c r="A328" s="11"/>
      <c r="B328" s="23"/>
      <c r="C328" s="23"/>
      <c r="D328" s="23"/>
      <c r="E328" s="23"/>
      <c r="F328" s="1"/>
      <c r="G328" s="23"/>
      <c r="H328" s="23"/>
      <c r="I328" s="23"/>
      <c r="J328" s="2"/>
      <c r="M328" s="40"/>
      <c r="N328" s="40"/>
      <c r="O328" s="2"/>
      <c r="AE328" s="24"/>
    </row>
    <row r="329">
      <c r="A329" s="11"/>
      <c r="B329" s="23"/>
      <c r="C329" s="23"/>
      <c r="D329" s="23"/>
      <c r="E329" s="23"/>
      <c r="F329" s="1"/>
      <c r="G329" s="23"/>
      <c r="H329" s="23"/>
      <c r="I329" s="23"/>
      <c r="J329" s="2"/>
      <c r="M329" s="40"/>
      <c r="N329" s="40"/>
      <c r="O329" s="2"/>
      <c r="AE329" s="24"/>
    </row>
    <row r="330">
      <c r="A330" s="11"/>
      <c r="B330" s="23"/>
      <c r="C330" s="23"/>
      <c r="D330" s="23"/>
      <c r="E330" s="23"/>
      <c r="F330" s="1"/>
      <c r="G330" s="23"/>
      <c r="H330" s="23"/>
      <c r="I330" s="23"/>
      <c r="J330" s="2"/>
      <c r="M330" s="40"/>
      <c r="N330" s="40"/>
      <c r="O330" s="2"/>
      <c r="AE330" s="24"/>
    </row>
    <row r="331">
      <c r="A331" s="11"/>
      <c r="B331" s="23"/>
      <c r="C331" s="23"/>
      <c r="D331" s="23"/>
      <c r="E331" s="23"/>
      <c r="F331" s="1"/>
      <c r="G331" s="23"/>
      <c r="H331" s="23"/>
      <c r="I331" s="23"/>
      <c r="J331" s="2"/>
      <c r="M331" s="40"/>
      <c r="N331" s="40"/>
      <c r="O331" s="2"/>
      <c r="AE331" s="24"/>
    </row>
    <row r="332">
      <c r="A332" s="11"/>
      <c r="B332" s="23"/>
      <c r="C332" s="23"/>
      <c r="D332" s="23"/>
      <c r="E332" s="23"/>
      <c r="F332" s="1"/>
      <c r="G332" s="23"/>
      <c r="H332" s="23"/>
      <c r="I332" s="23"/>
      <c r="J332" s="2"/>
      <c r="M332" s="40"/>
      <c r="N332" s="40"/>
      <c r="O332" s="2"/>
      <c r="AE332" s="24"/>
    </row>
    <row r="333">
      <c r="A333" s="11"/>
      <c r="B333" s="23"/>
      <c r="C333" s="23"/>
      <c r="D333" s="23"/>
      <c r="E333" s="23"/>
      <c r="F333" s="1"/>
      <c r="G333" s="23"/>
      <c r="H333" s="23"/>
      <c r="I333" s="23"/>
      <c r="J333" s="2"/>
      <c r="M333" s="40"/>
      <c r="N333" s="40"/>
      <c r="O333" s="2"/>
      <c r="AE333" s="24"/>
    </row>
    <row r="334">
      <c r="A334" s="11"/>
      <c r="B334" s="23"/>
      <c r="C334" s="23"/>
      <c r="D334" s="23"/>
      <c r="E334" s="23"/>
      <c r="F334" s="1"/>
      <c r="G334" s="23"/>
      <c r="H334" s="23"/>
      <c r="I334" s="23"/>
      <c r="J334" s="2"/>
      <c r="M334" s="40"/>
      <c r="N334" s="40"/>
      <c r="O334" s="2"/>
      <c r="AE334" s="24"/>
    </row>
    <row r="335">
      <c r="A335" s="11"/>
      <c r="B335" s="23"/>
      <c r="C335" s="23"/>
      <c r="D335" s="23"/>
      <c r="E335" s="23"/>
      <c r="F335" s="1"/>
      <c r="G335" s="23"/>
      <c r="H335" s="23"/>
      <c r="I335" s="23"/>
      <c r="J335" s="2"/>
      <c r="M335" s="40"/>
      <c r="N335" s="40"/>
      <c r="O335" s="2"/>
      <c r="AE335" s="24"/>
    </row>
    <row r="336">
      <c r="A336" s="11"/>
      <c r="B336" s="23"/>
      <c r="C336" s="23"/>
      <c r="D336" s="23"/>
      <c r="E336" s="23"/>
      <c r="F336" s="1"/>
      <c r="G336" s="23"/>
      <c r="H336" s="23"/>
      <c r="I336" s="23"/>
      <c r="J336" s="2"/>
      <c r="M336" s="40"/>
      <c r="N336" s="40"/>
      <c r="O336" s="2"/>
      <c r="AE336" s="24"/>
    </row>
    <row r="337">
      <c r="A337" s="11"/>
      <c r="B337" s="23"/>
      <c r="C337" s="23"/>
      <c r="D337" s="23"/>
      <c r="E337" s="23"/>
      <c r="F337" s="1"/>
      <c r="G337" s="23"/>
      <c r="H337" s="23"/>
      <c r="I337" s="23"/>
      <c r="J337" s="2"/>
      <c r="M337" s="40"/>
      <c r="N337" s="40"/>
      <c r="O337" s="2"/>
      <c r="AE337" s="24"/>
    </row>
    <row r="338">
      <c r="A338" s="11"/>
      <c r="B338" s="23"/>
      <c r="C338" s="23"/>
      <c r="D338" s="23"/>
      <c r="E338" s="23"/>
      <c r="F338" s="1"/>
      <c r="G338" s="23"/>
      <c r="H338" s="23"/>
      <c r="I338" s="23"/>
      <c r="J338" s="2"/>
      <c r="M338" s="40"/>
      <c r="N338" s="40"/>
      <c r="O338" s="2"/>
      <c r="AE338" s="24"/>
    </row>
    <row r="339">
      <c r="A339" s="11"/>
      <c r="B339" s="23"/>
      <c r="C339" s="23"/>
      <c r="D339" s="23"/>
      <c r="E339" s="23"/>
      <c r="F339" s="1"/>
      <c r="G339" s="23"/>
      <c r="H339" s="23"/>
      <c r="I339" s="23"/>
      <c r="J339" s="2"/>
      <c r="M339" s="40"/>
      <c r="N339" s="40"/>
      <c r="O339" s="2"/>
      <c r="AE339" s="24"/>
    </row>
    <row r="340">
      <c r="A340" s="11"/>
      <c r="B340" s="23"/>
      <c r="C340" s="23"/>
      <c r="D340" s="23"/>
      <c r="E340" s="23"/>
      <c r="F340" s="1"/>
      <c r="G340" s="23"/>
      <c r="H340" s="23"/>
      <c r="I340" s="23"/>
      <c r="J340" s="2"/>
      <c r="M340" s="40"/>
      <c r="N340" s="40"/>
      <c r="O340" s="2"/>
      <c r="AE340" s="24"/>
    </row>
    <row r="341">
      <c r="A341" s="11"/>
      <c r="B341" s="23"/>
      <c r="C341" s="23"/>
      <c r="D341" s="23"/>
      <c r="E341" s="23"/>
      <c r="F341" s="1"/>
      <c r="G341" s="23"/>
      <c r="H341" s="23"/>
      <c r="I341" s="23"/>
      <c r="J341" s="2"/>
      <c r="M341" s="40"/>
      <c r="N341" s="40"/>
      <c r="O341" s="2"/>
      <c r="AE341" s="24"/>
    </row>
    <row r="342">
      <c r="A342" s="11"/>
      <c r="B342" s="23"/>
      <c r="C342" s="23"/>
      <c r="D342" s="23"/>
      <c r="E342" s="23"/>
      <c r="F342" s="1"/>
      <c r="G342" s="23"/>
      <c r="H342" s="23"/>
      <c r="I342" s="23"/>
      <c r="J342" s="2"/>
      <c r="M342" s="40"/>
      <c r="N342" s="40"/>
      <c r="O342" s="2"/>
      <c r="AE342" s="24"/>
    </row>
    <row r="343">
      <c r="A343" s="11"/>
      <c r="B343" s="23"/>
      <c r="C343" s="23"/>
      <c r="D343" s="23"/>
      <c r="E343" s="23"/>
      <c r="F343" s="1"/>
      <c r="G343" s="23"/>
      <c r="H343" s="23"/>
      <c r="I343" s="23"/>
      <c r="J343" s="2"/>
      <c r="M343" s="40"/>
      <c r="N343" s="40"/>
      <c r="O343" s="2"/>
      <c r="AE343" s="24"/>
    </row>
    <row r="344">
      <c r="A344" s="11"/>
      <c r="B344" s="23"/>
      <c r="C344" s="23"/>
      <c r="D344" s="23"/>
      <c r="E344" s="23"/>
      <c r="F344" s="1"/>
      <c r="G344" s="23"/>
      <c r="H344" s="23"/>
      <c r="I344" s="23"/>
      <c r="J344" s="2"/>
      <c r="M344" s="40"/>
      <c r="N344" s="40"/>
      <c r="O344" s="2"/>
      <c r="AE344" s="24"/>
    </row>
    <row r="345">
      <c r="A345" s="11"/>
      <c r="B345" s="23"/>
      <c r="C345" s="23"/>
      <c r="D345" s="23"/>
      <c r="E345" s="23"/>
      <c r="F345" s="1"/>
      <c r="G345" s="23"/>
      <c r="H345" s="23"/>
      <c r="I345" s="23"/>
      <c r="J345" s="2"/>
      <c r="M345" s="40"/>
      <c r="N345" s="40"/>
      <c r="O345" s="2"/>
      <c r="AE345" s="24"/>
    </row>
    <row r="346">
      <c r="A346" s="11"/>
      <c r="B346" s="23"/>
      <c r="C346" s="23"/>
      <c r="D346" s="23"/>
      <c r="E346" s="23"/>
      <c r="F346" s="1"/>
      <c r="G346" s="23"/>
      <c r="H346" s="23"/>
      <c r="I346" s="23"/>
      <c r="J346" s="2"/>
      <c r="M346" s="40"/>
      <c r="N346" s="40"/>
      <c r="O346" s="2"/>
      <c r="AE346" s="24"/>
    </row>
    <row r="347">
      <c r="A347" s="11"/>
      <c r="B347" s="23"/>
      <c r="C347" s="23"/>
      <c r="D347" s="23"/>
      <c r="E347" s="23"/>
      <c r="F347" s="1"/>
      <c r="G347" s="23"/>
      <c r="H347" s="23"/>
      <c r="I347" s="23"/>
      <c r="J347" s="2"/>
      <c r="M347" s="40"/>
      <c r="N347" s="40"/>
      <c r="O347" s="2"/>
      <c r="AE347" s="24"/>
    </row>
    <row r="348">
      <c r="A348" s="11"/>
      <c r="B348" s="23"/>
      <c r="C348" s="23"/>
      <c r="D348" s="23"/>
      <c r="E348" s="23"/>
      <c r="F348" s="1"/>
      <c r="G348" s="23"/>
      <c r="H348" s="23"/>
      <c r="I348" s="23"/>
      <c r="J348" s="2"/>
      <c r="M348" s="40"/>
      <c r="N348" s="40"/>
      <c r="O348" s="2"/>
      <c r="AE348" s="24"/>
    </row>
    <row r="349">
      <c r="A349" s="11"/>
      <c r="B349" s="23"/>
      <c r="C349" s="23"/>
      <c r="D349" s="23"/>
      <c r="E349" s="23"/>
      <c r="F349" s="1"/>
      <c r="G349" s="23"/>
      <c r="H349" s="23"/>
      <c r="I349" s="23"/>
      <c r="J349" s="2"/>
      <c r="M349" s="40"/>
      <c r="N349" s="40"/>
      <c r="O349" s="2"/>
      <c r="AE349" s="24"/>
    </row>
    <row r="350">
      <c r="A350" s="11"/>
      <c r="B350" s="23"/>
      <c r="C350" s="23"/>
      <c r="D350" s="23"/>
      <c r="E350" s="23"/>
      <c r="F350" s="1"/>
      <c r="G350" s="23"/>
      <c r="H350" s="23"/>
      <c r="I350" s="23"/>
      <c r="J350" s="2"/>
      <c r="M350" s="40"/>
      <c r="N350" s="40"/>
      <c r="O350" s="2"/>
      <c r="AE350" s="24"/>
    </row>
    <row r="351">
      <c r="A351" s="11"/>
      <c r="B351" s="23"/>
      <c r="C351" s="23"/>
      <c r="D351" s="23"/>
      <c r="E351" s="23"/>
      <c r="F351" s="1"/>
      <c r="G351" s="23"/>
      <c r="H351" s="23"/>
      <c r="I351" s="23"/>
      <c r="J351" s="2"/>
      <c r="M351" s="40"/>
      <c r="N351" s="40"/>
      <c r="O351" s="2"/>
      <c r="AE351" s="24"/>
    </row>
    <row r="352">
      <c r="A352" s="11"/>
      <c r="B352" s="23"/>
      <c r="C352" s="23"/>
      <c r="D352" s="23"/>
      <c r="E352" s="23"/>
      <c r="F352" s="1"/>
      <c r="G352" s="23"/>
      <c r="H352" s="23"/>
      <c r="I352" s="23"/>
      <c r="J352" s="2"/>
      <c r="M352" s="40"/>
      <c r="N352" s="40"/>
      <c r="O352" s="2"/>
      <c r="AE352" s="24"/>
    </row>
    <row r="353">
      <c r="A353" s="11"/>
      <c r="B353" s="23"/>
      <c r="C353" s="23"/>
      <c r="D353" s="23"/>
      <c r="E353" s="23"/>
      <c r="F353" s="1"/>
      <c r="G353" s="23"/>
      <c r="H353" s="23"/>
      <c r="I353" s="23"/>
      <c r="J353" s="2"/>
      <c r="M353" s="40"/>
      <c r="N353" s="40"/>
      <c r="O353" s="2"/>
      <c r="AE353" s="24"/>
    </row>
    <row r="354">
      <c r="A354" s="11"/>
      <c r="B354" s="23"/>
      <c r="C354" s="23"/>
      <c r="D354" s="23"/>
      <c r="E354" s="23"/>
      <c r="F354" s="1"/>
      <c r="G354" s="23"/>
      <c r="H354" s="23"/>
      <c r="I354" s="23"/>
      <c r="J354" s="2"/>
      <c r="M354" s="40"/>
      <c r="N354" s="40"/>
      <c r="O354" s="2"/>
      <c r="AE354" s="24"/>
    </row>
    <row r="355">
      <c r="A355" s="11"/>
      <c r="B355" s="23"/>
      <c r="C355" s="23"/>
      <c r="D355" s="23"/>
      <c r="E355" s="23"/>
      <c r="F355" s="1"/>
      <c r="G355" s="23"/>
      <c r="H355" s="23"/>
      <c r="I355" s="23"/>
      <c r="J355" s="2"/>
      <c r="M355" s="40"/>
      <c r="N355" s="40"/>
      <c r="O355" s="2"/>
      <c r="AE355" s="24"/>
    </row>
    <row r="356">
      <c r="A356" s="11"/>
      <c r="B356" s="23"/>
      <c r="C356" s="23"/>
      <c r="D356" s="23"/>
      <c r="E356" s="23"/>
      <c r="F356" s="1"/>
      <c r="G356" s="23"/>
      <c r="H356" s="23"/>
      <c r="I356" s="23"/>
      <c r="J356" s="2"/>
      <c r="M356" s="40"/>
      <c r="N356" s="40"/>
      <c r="O356" s="2"/>
      <c r="AE356" s="24"/>
    </row>
    <row r="357">
      <c r="A357" s="11"/>
      <c r="B357" s="23"/>
      <c r="C357" s="23"/>
      <c r="D357" s="23"/>
      <c r="E357" s="23"/>
      <c r="F357" s="1"/>
      <c r="G357" s="23"/>
      <c r="H357" s="23"/>
      <c r="I357" s="23"/>
      <c r="J357" s="2"/>
      <c r="M357" s="40"/>
      <c r="N357" s="40"/>
      <c r="O357" s="2"/>
      <c r="AE357" s="24"/>
    </row>
    <row r="358">
      <c r="A358" s="11"/>
      <c r="B358" s="23"/>
      <c r="C358" s="23"/>
      <c r="D358" s="23"/>
      <c r="E358" s="23"/>
      <c r="F358" s="1"/>
      <c r="G358" s="23"/>
      <c r="H358" s="23"/>
      <c r="I358" s="23"/>
      <c r="J358" s="2"/>
      <c r="M358" s="40"/>
      <c r="N358" s="40"/>
      <c r="O358" s="2"/>
      <c r="AE358" s="24"/>
    </row>
    <row r="359">
      <c r="A359" s="11"/>
      <c r="B359" s="23"/>
      <c r="C359" s="23"/>
      <c r="D359" s="23"/>
      <c r="E359" s="23"/>
      <c r="F359" s="1"/>
      <c r="G359" s="23"/>
      <c r="H359" s="23"/>
      <c r="I359" s="23"/>
      <c r="J359" s="2"/>
      <c r="M359" s="40"/>
      <c r="N359" s="40"/>
      <c r="O359" s="2"/>
      <c r="AE359" s="24"/>
    </row>
    <row r="360">
      <c r="A360" s="11"/>
      <c r="B360" s="23"/>
      <c r="C360" s="23"/>
      <c r="D360" s="23"/>
      <c r="E360" s="23"/>
      <c r="F360" s="1"/>
      <c r="G360" s="23"/>
      <c r="H360" s="23"/>
      <c r="I360" s="23"/>
      <c r="J360" s="2"/>
      <c r="M360" s="40"/>
      <c r="N360" s="40"/>
      <c r="O360" s="2"/>
      <c r="AE360" s="24"/>
    </row>
    <row r="361">
      <c r="A361" s="11"/>
      <c r="B361" s="23"/>
      <c r="C361" s="23"/>
      <c r="D361" s="23"/>
      <c r="E361" s="23"/>
      <c r="F361" s="1"/>
      <c r="G361" s="23"/>
      <c r="H361" s="23"/>
      <c r="I361" s="23"/>
      <c r="J361" s="2"/>
      <c r="M361" s="40"/>
      <c r="N361" s="40"/>
      <c r="O361" s="2"/>
      <c r="AE361" s="24"/>
    </row>
    <row r="362">
      <c r="A362" s="11"/>
      <c r="B362" s="23"/>
      <c r="C362" s="23"/>
      <c r="D362" s="23"/>
      <c r="E362" s="23"/>
      <c r="F362" s="1"/>
      <c r="G362" s="23"/>
      <c r="H362" s="23"/>
      <c r="I362" s="23"/>
      <c r="J362" s="2"/>
      <c r="M362" s="40"/>
      <c r="N362" s="40"/>
      <c r="O362" s="2"/>
      <c r="AE362" s="24"/>
    </row>
    <row r="363">
      <c r="A363" s="11"/>
      <c r="B363" s="23"/>
      <c r="C363" s="23"/>
      <c r="D363" s="23"/>
      <c r="E363" s="23"/>
      <c r="F363" s="1"/>
      <c r="G363" s="23"/>
      <c r="H363" s="23"/>
      <c r="I363" s="23"/>
      <c r="J363" s="2"/>
      <c r="M363" s="40"/>
      <c r="N363" s="40"/>
      <c r="O363" s="2"/>
      <c r="AE363" s="24"/>
    </row>
    <row r="364">
      <c r="A364" s="11"/>
      <c r="B364" s="23"/>
      <c r="C364" s="23"/>
      <c r="D364" s="23"/>
      <c r="E364" s="23"/>
      <c r="F364" s="1"/>
      <c r="G364" s="23"/>
      <c r="H364" s="23"/>
      <c r="I364" s="23"/>
      <c r="J364" s="2"/>
      <c r="M364" s="40"/>
      <c r="N364" s="40"/>
      <c r="O364" s="2"/>
      <c r="AE364" s="24"/>
    </row>
    <row r="365">
      <c r="A365" s="11"/>
      <c r="B365" s="23"/>
      <c r="C365" s="23"/>
      <c r="D365" s="23"/>
      <c r="E365" s="23"/>
      <c r="F365" s="1"/>
      <c r="G365" s="23"/>
      <c r="H365" s="23"/>
      <c r="I365" s="23"/>
      <c r="J365" s="2"/>
      <c r="M365" s="40"/>
      <c r="N365" s="40"/>
      <c r="O365" s="2"/>
      <c r="AE365" s="24"/>
    </row>
    <row r="366">
      <c r="A366" s="11"/>
      <c r="B366" s="23"/>
      <c r="C366" s="23"/>
      <c r="D366" s="23"/>
      <c r="E366" s="23"/>
      <c r="F366" s="1"/>
      <c r="G366" s="23"/>
      <c r="H366" s="23"/>
      <c r="I366" s="23"/>
      <c r="J366" s="2"/>
      <c r="M366" s="40"/>
      <c r="N366" s="40"/>
      <c r="O366" s="2"/>
      <c r="AE366" s="24"/>
    </row>
    <row r="367">
      <c r="A367" s="11"/>
      <c r="B367" s="23"/>
      <c r="C367" s="23"/>
      <c r="D367" s="23"/>
      <c r="E367" s="23"/>
      <c r="F367" s="1"/>
      <c r="G367" s="23"/>
      <c r="H367" s="23"/>
      <c r="I367" s="23"/>
      <c r="J367" s="2"/>
      <c r="M367" s="40"/>
      <c r="N367" s="40"/>
      <c r="O367" s="2"/>
      <c r="AE367" s="24"/>
    </row>
    <row r="368">
      <c r="A368" s="11"/>
      <c r="B368" s="23"/>
      <c r="C368" s="23"/>
      <c r="D368" s="23"/>
      <c r="E368" s="23"/>
      <c r="F368" s="1"/>
      <c r="G368" s="23"/>
      <c r="H368" s="23"/>
      <c r="I368" s="23"/>
      <c r="J368" s="2"/>
      <c r="M368" s="40"/>
      <c r="N368" s="40"/>
      <c r="O368" s="2"/>
      <c r="AE368" s="24"/>
    </row>
    <row r="369">
      <c r="A369" s="11"/>
      <c r="B369" s="23"/>
      <c r="C369" s="23"/>
      <c r="D369" s="23"/>
      <c r="E369" s="23"/>
      <c r="F369" s="1"/>
      <c r="G369" s="23"/>
      <c r="H369" s="23"/>
      <c r="I369" s="23"/>
      <c r="J369" s="2"/>
      <c r="M369" s="40"/>
      <c r="N369" s="40"/>
      <c r="O369" s="2"/>
      <c r="AE369" s="24"/>
    </row>
    <row r="370">
      <c r="A370" s="11"/>
      <c r="B370" s="23"/>
      <c r="C370" s="23"/>
      <c r="D370" s="23"/>
      <c r="E370" s="23"/>
      <c r="F370" s="1"/>
      <c r="G370" s="23"/>
      <c r="H370" s="23"/>
      <c r="I370" s="23"/>
      <c r="J370" s="2"/>
      <c r="M370" s="40"/>
      <c r="N370" s="40"/>
      <c r="O370" s="2"/>
      <c r="AE370" s="24"/>
    </row>
    <row r="371">
      <c r="A371" s="11"/>
      <c r="B371" s="23"/>
      <c r="C371" s="23"/>
      <c r="D371" s="23"/>
      <c r="E371" s="23"/>
      <c r="F371" s="1"/>
      <c r="G371" s="23"/>
      <c r="H371" s="23"/>
      <c r="I371" s="23"/>
      <c r="J371" s="2"/>
      <c r="M371" s="40"/>
      <c r="N371" s="40"/>
      <c r="O371" s="2"/>
      <c r="AE371" s="24"/>
    </row>
    <row r="372">
      <c r="A372" s="11"/>
      <c r="B372" s="23"/>
      <c r="C372" s="23"/>
      <c r="D372" s="23"/>
      <c r="E372" s="23"/>
      <c r="F372" s="1"/>
      <c r="G372" s="23"/>
      <c r="H372" s="23"/>
      <c r="I372" s="23"/>
      <c r="J372" s="2"/>
      <c r="M372" s="40"/>
      <c r="N372" s="40"/>
      <c r="O372" s="2"/>
      <c r="AE372" s="24"/>
    </row>
    <row r="373">
      <c r="A373" s="11"/>
      <c r="B373" s="23"/>
      <c r="C373" s="23"/>
      <c r="D373" s="23"/>
      <c r="E373" s="23"/>
      <c r="F373" s="1"/>
      <c r="G373" s="23"/>
      <c r="H373" s="23"/>
      <c r="I373" s="23"/>
      <c r="J373" s="2"/>
      <c r="M373" s="40"/>
      <c r="N373" s="40"/>
      <c r="O373" s="2"/>
      <c r="AE373" s="24"/>
    </row>
    <row r="374">
      <c r="A374" s="11"/>
      <c r="B374" s="23"/>
      <c r="C374" s="23"/>
      <c r="D374" s="23"/>
      <c r="E374" s="23"/>
      <c r="F374" s="1"/>
      <c r="G374" s="23"/>
      <c r="H374" s="23"/>
      <c r="I374" s="23"/>
      <c r="J374" s="2"/>
      <c r="M374" s="40"/>
      <c r="N374" s="40"/>
      <c r="O374" s="2"/>
      <c r="AE374" s="24"/>
    </row>
    <row r="375">
      <c r="A375" s="11"/>
      <c r="B375" s="23"/>
      <c r="C375" s="23"/>
      <c r="D375" s="23"/>
      <c r="E375" s="23"/>
      <c r="F375" s="1"/>
      <c r="G375" s="23"/>
      <c r="H375" s="23"/>
      <c r="I375" s="23"/>
      <c r="J375" s="2"/>
      <c r="M375" s="40"/>
      <c r="N375" s="40"/>
      <c r="O375" s="2"/>
      <c r="AE375" s="24"/>
    </row>
    <row r="376">
      <c r="A376" s="11"/>
      <c r="B376" s="23"/>
      <c r="C376" s="23"/>
      <c r="D376" s="23"/>
      <c r="E376" s="23"/>
      <c r="F376" s="1"/>
      <c r="G376" s="23"/>
      <c r="H376" s="23"/>
      <c r="I376" s="23"/>
      <c r="J376" s="2"/>
      <c r="M376" s="40"/>
      <c r="N376" s="40"/>
      <c r="O376" s="2"/>
      <c r="AE376" s="24"/>
    </row>
    <row r="377">
      <c r="A377" s="11"/>
      <c r="B377" s="23"/>
      <c r="C377" s="23"/>
      <c r="D377" s="23"/>
      <c r="E377" s="23"/>
      <c r="F377" s="1"/>
      <c r="G377" s="23"/>
      <c r="H377" s="23"/>
      <c r="I377" s="23"/>
      <c r="J377" s="2"/>
      <c r="M377" s="40"/>
      <c r="N377" s="40"/>
      <c r="O377" s="2"/>
      <c r="AE377" s="24"/>
    </row>
    <row r="378">
      <c r="A378" s="11"/>
      <c r="B378" s="23"/>
      <c r="C378" s="23"/>
      <c r="D378" s="23"/>
      <c r="E378" s="23"/>
      <c r="F378" s="1"/>
      <c r="G378" s="23"/>
      <c r="H378" s="23"/>
      <c r="I378" s="23"/>
      <c r="J378" s="2"/>
      <c r="M378" s="40"/>
      <c r="N378" s="40"/>
      <c r="O378" s="2"/>
      <c r="AE378" s="24"/>
    </row>
    <row r="379">
      <c r="A379" s="11"/>
      <c r="B379" s="23"/>
      <c r="C379" s="23"/>
      <c r="D379" s="23"/>
      <c r="E379" s="23"/>
      <c r="F379" s="1"/>
      <c r="G379" s="23"/>
      <c r="H379" s="23"/>
      <c r="I379" s="23"/>
      <c r="J379" s="2"/>
      <c r="M379" s="40"/>
      <c r="N379" s="40"/>
      <c r="O379" s="2"/>
      <c r="AE379" s="24"/>
    </row>
    <row r="380">
      <c r="A380" s="11"/>
      <c r="B380" s="23"/>
      <c r="C380" s="23"/>
      <c r="D380" s="23"/>
      <c r="E380" s="23"/>
      <c r="F380" s="1"/>
      <c r="G380" s="23"/>
      <c r="H380" s="23"/>
      <c r="I380" s="23"/>
      <c r="J380" s="2"/>
      <c r="M380" s="40"/>
      <c r="N380" s="40"/>
      <c r="O380" s="2"/>
      <c r="AE380" s="24"/>
    </row>
    <row r="381">
      <c r="A381" s="11"/>
      <c r="B381" s="23"/>
      <c r="C381" s="23"/>
      <c r="D381" s="23"/>
      <c r="E381" s="23"/>
      <c r="F381" s="1"/>
      <c r="G381" s="23"/>
      <c r="H381" s="23"/>
      <c r="I381" s="23"/>
      <c r="J381" s="2"/>
      <c r="M381" s="40"/>
      <c r="N381" s="40"/>
      <c r="O381" s="2"/>
      <c r="AE381" s="24"/>
    </row>
    <row r="382">
      <c r="A382" s="11"/>
      <c r="B382" s="23"/>
      <c r="C382" s="23"/>
      <c r="D382" s="23"/>
      <c r="E382" s="23"/>
      <c r="F382" s="1"/>
      <c r="G382" s="23"/>
      <c r="H382" s="23"/>
      <c r="I382" s="23"/>
      <c r="J382" s="2"/>
      <c r="M382" s="40"/>
      <c r="N382" s="40"/>
      <c r="O382" s="2"/>
      <c r="AE382" s="24"/>
    </row>
    <row r="383">
      <c r="A383" s="11"/>
      <c r="B383" s="23"/>
      <c r="C383" s="23"/>
      <c r="D383" s="23"/>
      <c r="E383" s="23"/>
      <c r="F383" s="1"/>
      <c r="G383" s="23"/>
      <c r="H383" s="23"/>
      <c r="I383" s="23"/>
      <c r="J383" s="2"/>
      <c r="M383" s="40"/>
      <c r="N383" s="40"/>
      <c r="O383" s="2"/>
      <c r="AE383" s="24"/>
    </row>
    <row r="384">
      <c r="A384" s="11"/>
      <c r="B384" s="23"/>
      <c r="C384" s="23"/>
      <c r="D384" s="23"/>
      <c r="E384" s="23"/>
      <c r="F384" s="1"/>
      <c r="G384" s="23"/>
      <c r="H384" s="23"/>
      <c r="I384" s="23"/>
      <c r="J384" s="2"/>
      <c r="M384" s="40"/>
      <c r="N384" s="40"/>
      <c r="O384" s="2"/>
      <c r="AE384" s="24"/>
    </row>
    <row r="385">
      <c r="A385" s="11"/>
      <c r="B385" s="23"/>
      <c r="C385" s="23"/>
      <c r="D385" s="23"/>
      <c r="E385" s="23"/>
      <c r="F385" s="1"/>
      <c r="G385" s="23"/>
      <c r="H385" s="23"/>
      <c r="I385" s="23"/>
      <c r="J385" s="2"/>
      <c r="M385" s="40"/>
      <c r="N385" s="40"/>
      <c r="O385" s="2"/>
      <c r="AE385" s="24"/>
    </row>
    <row r="386">
      <c r="A386" s="11"/>
      <c r="B386" s="23"/>
      <c r="C386" s="23"/>
      <c r="D386" s="23"/>
      <c r="E386" s="23"/>
      <c r="F386" s="1"/>
      <c r="G386" s="23"/>
      <c r="H386" s="23"/>
      <c r="I386" s="23"/>
      <c r="J386" s="2"/>
      <c r="M386" s="40"/>
      <c r="N386" s="40"/>
      <c r="O386" s="2"/>
      <c r="AE386" s="24"/>
    </row>
    <row r="387">
      <c r="A387" s="11"/>
      <c r="B387" s="23"/>
      <c r="C387" s="23"/>
      <c r="D387" s="23"/>
      <c r="E387" s="23"/>
      <c r="F387" s="1"/>
      <c r="G387" s="23"/>
      <c r="H387" s="23"/>
      <c r="I387" s="23"/>
      <c r="J387" s="2"/>
      <c r="M387" s="40"/>
      <c r="N387" s="40"/>
      <c r="O387" s="2"/>
      <c r="AE387" s="24"/>
    </row>
    <row r="388">
      <c r="A388" s="11"/>
      <c r="B388" s="23"/>
      <c r="C388" s="23"/>
      <c r="D388" s="23"/>
      <c r="E388" s="23"/>
      <c r="F388" s="1"/>
      <c r="G388" s="23"/>
      <c r="H388" s="23"/>
      <c r="I388" s="23"/>
      <c r="J388" s="2"/>
      <c r="M388" s="40"/>
      <c r="N388" s="40"/>
      <c r="O388" s="2"/>
      <c r="AE388" s="24"/>
    </row>
    <row r="389">
      <c r="A389" s="11"/>
      <c r="B389" s="23"/>
      <c r="C389" s="23"/>
      <c r="D389" s="23"/>
      <c r="E389" s="23"/>
      <c r="F389" s="1"/>
      <c r="G389" s="23"/>
      <c r="H389" s="23"/>
      <c r="I389" s="23"/>
      <c r="J389" s="2"/>
      <c r="M389" s="40"/>
      <c r="N389" s="40"/>
      <c r="O389" s="2"/>
      <c r="AE389" s="24"/>
    </row>
    <row r="390">
      <c r="A390" s="11"/>
      <c r="B390" s="23"/>
      <c r="C390" s="23"/>
      <c r="D390" s="23"/>
      <c r="E390" s="23"/>
      <c r="F390" s="1"/>
      <c r="G390" s="23"/>
      <c r="H390" s="23"/>
      <c r="I390" s="23"/>
      <c r="J390" s="2"/>
      <c r="M390" s="40"/>
      <c r="N390" s="40"/>
      <c r="O390" s="2"/>
      <c r="AE390" s="24"/>
    </row>
    <row r="391">
      <c r="A391" s="11"/>
      <c r="B391" s="23"/>
      <c r="C391" s="23"/>
      <c r="D391" s="23"/>
      <c r="E391" s="23"/>
      <c r="F391" s="1"/>
      <c r="G391" s="23"/>
      <c r="H391" s="23"/>
      <c r="I391" s="23"/>
      <c r="J391" s="2"/>
      <c r="M391" s="40"/>
      <c r="N391" s="40"/>
      <c r="O391" s="2"/>
      <c r="AE391" s="24"/>
    </row>
    <row r="392">
      <c r="A392" s="11"/>
      <c r="B392" s="23"/>
      <c r="C392" s="23"/>
      <c r="D392" s="23"/>
      <c r="E392" s="23"/>
      <c r="F392" s="1"/>
      <c r="G392" s="23"/>
      <c r="H392" s="23"/>
      <c r="I392" s="23"/>
      <c r="J392" s="2"/>
      <c r="M392" s="40"/>
      <c r="N392" s="40"/>
      <c r="O392" s="2"/>
      <c r="AE392" s="24"/>
    </row>
    <row r="393">
      <c r="A393" s="11"/>
      <c r="B393" s="23"/>
      <c r="C393" s="23"/>
      <c r="D393" s="23"/>
      <c r="E393" s="23"/>
      <c r="F393" s="1"/>
      <c r="G393" s="23"/>
      <c r="H393" s="23"/>
      <c r="I393" s="23"/>
      <c r="J393" s="2"/>
      <c r="M393" s="40"/>
      <c r="N393" s="40"/>
      <c r="O393" s="2"/>
      <c r="AE393" s="24"/>
    </row>
    <row r="394">
      <c r="A394" s="11"/>
      <c r="B394" s="23"/>
      <c r="C394" s="23"/>
      <c r="D394" s="23"/>
      <c r="E394" s="23"/>
      <c r="F394" s="1"/>
      <c r="G394" s="23"/>
      <c r="H394" s="23"/>
      <c r="I394" s="23"/>
      <c r="J394" s="2"/>
      <c r="M394" s="40"/>
      <c r="N394" s="40"/>
      <c r="O394" s="2"/>
      <c r="AE394" s="24"/>
    </row>
    <row r="395">
      <c r="A395" s="11"/>
      <c r="B395" s="23"/>
      <c r="C395" s="23"/>
      <c r="D395" s="23"/>
      <c r="E395" s="23"/>
      <c r="F395" s="1"/>
      <c r="G395" s="23"/>
      <c r="H395" s="23"/>
      <c r="I395" s="23"/>
      <c r="J395" s="2"/>
      <c r="M395" s="40"/>
      <c r="N395" s="40"/>
      <c r="O395" s="2"/>
      <c r="AE395" s="24"/>
    </row>
    <row r="396">
      <c r="A396" s="11"/>
      <c r="B396" s="23"/>
      <c r="C396" s="23"/>
      <c r="D396" s="23"/>
      <c r="E396" s="23"/>
      <c r="F396" s="1"/>
      <c r="G396" s="23"/>
      <c r="H396" s="23"/>
      <c r="I396" s="23"/>
      <c r="J396" s="2"/>
      <c r="M396" s="40"/>
      <c r="N396" s="40"/>
      <c r="O396" s="2"/>
      <c r="AE396" s="24"/>
    </row>
    <row r="397">
      <c r="A397" s="11"/>
      <c r="B397" s="23"/>
      <c r="C397" s="23"/>
      <c r="D397" s="23"/>
      <c r="E397" s="23"/>
      <c r="F397" s="1"/>
      <c r="G397" s="23"/>
      <c r="H397" s="23"/>
      <c r="I397" s="23"/>
      <c r="J397" s="2"/>
      <c r="M397" s="40"/>
      <c r="N397" s="40"/>
      <c r="O397" s="2"/>
      <c r="AE397" s="24"/>
    </row>
    <row r="398">
      <c r="A398" s="11"/>
      <c r="B398" s="23"/>
      <c r="C398" s="23"/>
      <c r="D398" s="23"/>
      <c r="E398" s="23"/>
      <c r="F398" s="1"/>
      <c r="G398" s="23"/>
      <c r="H398" s="23"/>
      <c r="I398" s="23"/>
      <c r="J398" s="2"/>
      <c r="M398" s="40"/>
      <c r="N398" s="40"/>
      <c r="O398" s="2"/>
      <c r="AE398" s="24"/>
    </row>
    <row r="399">
      <c r="A399" s="11"/>
      <c r="B399" s="23"/>
      <c r="C399" s="23"/>
      <c r="D399" s="23"/>
      <c r="E399" s="23"/>
      <c r="F399" s="1"/>
      <c r="G399" s="23"/>
      <c r="H399" s="23"/>
      <c r="I399" s="23"/>
      <c r="J399" s="2"/>
      <c r="M399" s="40"/>
      <c r="N399" s="40"/>
      <c r="O399" s="2"/>
      <c r="AE399" s="24"/>
    </row>
    <row r="400">
      <c r="A400" s="11"/>
      <c r="B400" s="23"/>
      <c r="C400" s="23"/>
      <c r="D400" s="23"/>
      <c r="E400" s="23"/>
      <c r="F400" s="1"/>
      <c r="G400" s="23"/>
      <c r="H400" s="23"/>
      <c r="I400" s="23"/>
      <c r="J400" s="2"/>
      <c r="M400" s="40"/>
      <c r="N400" s="40"/>
      <c r="O400" s="2"/>
      <c r="AE400" s="24"/>
    </row>
    <row r="401">
      <c r="A401" s="11"/>
      <c r="B401" s="23"/>
      <c r="C401" s="23"/>
      <c r="D401" s="23"/>
      <c r="E401" s="23"/>
      <c r="F401" s="1"/>
      <c r="G401" s="23"/>
      <c r="H401" s="23"/>
      <c r="I401" s="23"/>
      <c r="J401" s="2"/>
      <c r="M401" s="40"/>
      <c r="N401" s="40"/>
      <c r="O401" s="2"/>
      <c r="AE401" s="24"/>
    </row>
    <row r="402">
      <c r="A402" s="11"/>
      <c r="B402" s="23"/>
      <c r="C402" s="23"/>
      <c r="D402" s="23"/>
      <c r="E402" s="23"/>
      <c r="F402" s="1"/>
      <c r="G402" s="23"/>
      <c r="H402" s="23"/>
      <c r="I402" s="23"/>
      <c r="J402" s="2"/>
      <c r="M402" s="40"/>
      <c r="N402" s="40"/>
      <c r="O402" s="2"/>
      <c r="AE402" s="24"/>
    </row>
    <row r="403">
      <c r="A403" s="11"/>
      <c r="B403" s="23"/>
      <c r="C403" s="23"/>
      <c r="D403" s="23"/>
      <c r="E403" s="23"/>
      <c r="F403" s="1"/>
      <c r="G403" s="23"/>
      <c r="H403" s="23"/>
      <c r="I403" s="23"/>
      <c r="J403" s="2"/>
      <c r="M403" s="40"/>
      <c r="N403" s="40"/>
      <c r="O403" s="2"/>
      <c r="AE403" s="24"/>
    </row>
    <row r="404">
      <c r="A404" s="11"/>
      <c r="B404" s="23"/>
      <c r="C404" s="23"/>
      <c r="D404" s="23"/>
      <c r="E404" s="23"/>
      <c r="F404" s="1"/>
      <c r="G404" s="23"/>
      <c r="H404" s="23"/>
      <c r="I404" s="23"/>
      <c r="J404" s="2"/>
      <c r="M404" s="40"/>
      <c r="N404" s="40"/>
      <c r="O404" s="2"/>
      <c r="AE404" s="24"/>
    </row>
    <row r="405">
      <c r="A405" s="11"/>
      <c r="B405" s="23"/>
      <c r="C405" s="23"/>
      <c r="D405" s="23"/>
      <c r="E405" s="23"/>
      <c r="F405" s="1"/>
      <c r="G405" s="23"/>
      <c r="H405" s="23"/>
      <c r="I405" s="23"/>
      <c r="J405" s="2"/>
      <c r="M405" s="40"/>
      <c r="N405" s="40"/>
      <c r="O405" s="2"/>
      <c r="AE405" s="24"/>
    </row>
    <row r="406">
      <c r="A406" s="11"/>
      <c r="B406" s="23"/>
      <c r="C406" s="23"/>
      <c r="D406" s="23"/>
      <c r="E406" s="23"/>
      <c r="F406" s="1"/>
      <c r="G406" s="23"/>
      <c r="H406" s="23"/>
      <c r="I406" s="23"/>
      <c r="J406" s="2"/>
      <c r="M406" s="40"/>
      <c r="N406" s="40"/>
      <c r="O406" s="2"/>
      <c r="AE406" s="24"/>
    </row>
    <row r="407">
      <c r="A407" s="11"/>
      <c r="B407" s="23"/>
      <c r="C407" s="23"/>
      <c r="D407" s="23"/>
      <c r="E407" s="23"/>
      <c r="F407" s="1"/>
      <c r="G407" s="23"/>
      <c r="H407" s="23"/>
      <c r="I407" s="23"/>
      <c r="J407" s="2"/>
      <c r="M407" s="40"/>
      <c r="N407" s="40"/>
      <c r="O407" s="2"/>
      <c r="AE407" s="24"/>
    </row>
    <row r="408">
      <c r="A408" s="11"/>
      <c r="B408" s="23"/>
      <c r="C408" s="23"/>
      <c r="D408" s="23"/>
      <c r="E408" s="23"/>
      <c r="F408" s="1"/>
      <c r="G408" s="23"/>
      <c r="H408" s="23"/>
      <c r="I408" s="23"/>
      <c r="J408" s="2"/>
      <c r="M408" s="40"/>
      <c r="N408" s="40"/>
      <c r="O408" s="2"/>
      <c r="AE408" s="24"/>
    </row>
    <row r="409">
      <c r="A409" s="11"/>
      <c r="B409" s="23"/>
      <c r="C409" s="23"/>
      <c r="D409" s="23"/>
      <c r="E409" s="23"/>
      <c r="F409" s="1"/>
      <c r="G409" s="23"/>
      <c r="H409" s="23"/>
      <c r="I409" s="23"/>
      <c r="J409" s="2"/>
      <c r="M409" s="40"/>
      <c r="N409" s="40"/>
      <c r="O409" s="2"/>
      <c r="AE409" s="24"/>
    </row>
    <row r="410">
      <c r="A410" s="11"/>
      <c r="B410" s="23"/>
      <c r="C410" s="23"/>
      <c r="D410" s="23"/>
      <c r="E410" s="23"/>
      <c r="F410" s="1"/>
      <c r="G410" s="23"/>
      <c r="H410" s="23"/>
      <c r="I410" s="23"/>
      <c r="J410" s="2"/>
      <c r="M410" s="40"/>
      <c r="N410" s="40"/>
      <c r="O410" s="2"/>
      <c r="AE410" s="24"/>
    </row>
    <row r="411">
      <c r="A411" s="11"/>
      <c r="B411" s="23"/>
      <c r="C411" s="23"/>
      <c r="D411" s="23"/>
      <c r="E411" s="23"/>
      <c r="F411" s="1"/>
      <c r="G411" s="23"/>
      <c r="H411" s="23"/>
      <c r="I411" s="23"/>
      <c r="J411" s="2"/>
      <c r="M411" s="40"/>
      <c r="N411" s="40"/>
      <c r="O411" s="2"/>
      <c r="AE411" s="24"/>
    </row>
    <row r="412">
      <c r="A412" s="11"/>
      <c r="B412" s="23"/>
      <c r="C412" s="23"/>
      <c r="D412" s="23"/>
      <c r="E412" s="23"/>
      <c r="F412" s="1"/>
      <c r="G412" s="23"/>
      <c r="H412" s="23"/>
      <c r="I412" s="23"/>
      <c r="J412" s="2"/>
      <c r="M412" s="40"/>
      <c r="N412" s="40"/>
      <c r="O412" s="2"/>
      <c r="AE412" s="24"/>
    </row>
    <row r="413">
      <c r="A413" s="11"/>
      <c r="B413" s="23"/>
      <c r="C413" s="23"/>
      <c r="D413" s="23"/>
      <c r="E413" s="23"/>
      <c r="F413" s="1"/>
      <c r="G413" s="23"/>
      <c r="H413" s="23"/>
      <c r="I413" s="23"/>
      <c r="J413" s="2"/>
      <c r="M413" s="40"/>
      <c r="N413" s="40"/>
      <c r="O413" s="2"/>
      <c r="AE413" s="24"/>
    </row>
    <row r="414">
      <c r="A414" s="11"/>
      <c r="B414" s="23"/>
      <c r="C414" s="23"/>
      <c r="D414" s="23"/>
      <c r="E414" s="23"/>
      <c r="F414" s="1"/>
      <c r="G414" s="23"/>
      <c r="H414" s="23"/>
      <c r="I414" s="23"/>
      <c r="J414" s="2"/>
      <c r="M414" s="40"/>
      <c r="N414" s="40"/>
      <c r="O414" s="2"/>
      <c r="AE414" s="24"/>
    </row>
    <row r="415">
      <c r="A415" s="11"/>
      <c r="B415" s="23"/>
      <c r="C415" s="23"/>
      <c r="D415" s="23"/>
      <c r="E415" s="23"/>
      <c r="F415" s="1"/>
      <c r="G415" s="23"/>
      <c r="H415" s="23"/>
      <c r="I415" s="23"/>
      <c r="J415" s="2"/>
      <c r="M415" s="40"/>
      <c r="N415" s="40"/>
      <c r="O415" s="2"/>
      <c r="AE415" s="24"/>
    </row>
    <row r="416">
      <c r="A416" s="11"/>
      <c r="B416" s="23"/>
      <c r="C416" s="23"/>
      <c r="D416" s="23"/>
      <c r="E416" s="23"/>
      <c r="F416" s="1"/>
      <c r="G416" s="23"/>
      <c r="H416" s="23"/>
      <c r="I416" s="23"/>
      <c r="J416" s="2"/>
      <c r="M416" s="40"/>
      <c r="N416" s="40"/>
      <c r="O416" s="2"/>
      <c r="AE416" s="24"/>
    </row>
    <row r="417">
      <c r="A417" s="11"/>
      <c r="B417" s="23"/>
      <c r="C417" s="23"/>
      <c r="D417" s="23"/>
      <c r="E417" s="23"/>
      <c r="F417" s="1"/>
      <c r="G417" s="23"/>
      <c r="H417" s="23"/>
      <c r="I417" s="23"/>
      <c r="J417" s="2"/>
      <c r="M417" s="40"/>
      <c r="N417" s="40"/>
      <c r="O417" s="2"/>
      <c r="AE417" s="24"/>
    </row>
    <row r="418">
      <c r="A418" s="11"/>
      <c r="B418" s="23"/>
      <c r="C418" s="23"/>
      <c r="D418" s="23"/>
      <c r="E418" s="23"/>
      <c r="F418" s="1"/>
      <c r="G418" s="23"/>
      <c r="H418" s="23"/>
      <c r="I418" s="23"/>
      <c r="J418" s="2"/>
      <c r="M418" s="40"/>
      <c r="N418" s="40"/>
      <c r="O418" s="2"/>
      <c r="AE418" s="24"/>
    </row>
    <row r="419">
      <c r="A419" s="11"/>
      <c r="B419" s="23"/>
      <c r="C419" s="23"/>
      <c r="D419" s="23"/>
      <c r="E419" s="23"/>
      <c r="F419" s="1"/>
      <c r="G419" s="23"/>
      <c r="H419" s="23"/>
      <c r="I419" s="23"/>
      <c r="J419" s="2"/>
      <c r="M419" s="40"/>
      <c r="N419" s="40"/>
      <c r="O419" s="2"/>
      <c r="AE419" s="24"/>
    </row>
    <row r="420">
      <c r="A420" s="11"/>
      <c r="B420" s="23"/>
      <c r="C420" s="23"/>
      <c r="D420" s="23"/>
      <c r="E420" s="23"/>
      <c r="F420" s="1"/>
      <c r="G420" s="23"/>
      <c r="H420" s="23"/>
      <c r="I420" s="23"/>
      <c r="J420" s="2"/>
      <c r="M420" s="40"/>
      <c r="N420" s="40"/>
      <c r="O420" s="2"/>
      <c r="AE420" s="24"/>
    </row>
    <row r="421">
      <c r="A421" s="11"/>
      <c r="B421" s="23"/>
      <c r="C421" s="23"/>
      <c r="D421" s="23"/>
      <c r="E421" s="23"/>
      <c r="F421" s="1"/>
      <c r="G421" s="23"/>
      <c r="H421" s="23"/>
      <c r="I421" s="23"/>
      <c r="J421" s="2"/>
      <c r="M421" s="40"/>
      <c r="N421" s="40"/>
      <c r="O421" s="2"/>
      <c r="AE421" s="24"/>
    </row>
    <row r="422">
      <c r="A422" s="11"/>
      <c r="B422" s="23"/>
      <c r="C422" s="23"/>
      <c r="D422" s="23"/>
      <c r="E422" s="23"/>
      <c r="F422" s="1"/>
      <c r="G422" s="23"/>
      <c r="H422" s="23"/>
      <c r="I422" s="23"/>
      <c r="J422" s="2"/>
      <c r="M422" s="40"/>
      <c r="N422" s="40"/>
      <c r="O422" s="2"/>
      <c r="AE422" s="24"/>
    </row>
    <row r="423">
      <c r="A423" s="11"/>
      <c r="B423" s="23"/>
      <c r="C423" s="23"/>
      <c r="D423" s="23"/>
      <c r="E423" s="23"/>
      <c r="F423" s="1"/>
      <c r="G423" s="23"/>
      <c r="H423" s="23"/>
      <c r="I423" s="23"/>
      <c r="J423" s="2"/>
      <c r="M423" s="40"/>
      <c r="N423" s="40"/>
      <c r="O423" s="2"/>
      <c r="AE423" s="24"/>
    </row>
    <row r="424">
      <c r="A424" s="11"/>
      <c r="B424" s="23"/>
      <c r="C424" s="23"/>
      <c r="D424" s="23"/>
      <c r="E424" s="23"/>
      <c r="F424" s="1"/>
      <c r="G424" s="23"/>
      <c r="H424" s="23"/>
      <c r="I424" s="23"/>
      <c r="J424" s="2"/>
      <c r="M424" s="40"/>
      <c r="N424" s="40"/>
      <c r="O424" s="2"/>
      <c r="AE424" s="24"/>
    </row>
    <row r="425">
      <c r="A425" s="11"/>
      <c r="B425" s="23"/>
      <c r="C425" s="23"/>
      <c r="D425" s="23"/>
      <c r="E425" s="23"/>
      <c r="F425" s="1"/>
      <c r="G425" s="23"/>
      <c r="H425" s="23"/>
      <c r="I425" s="23"/>
      <c r="J425" s="2"/>
      <c r="M425" s="40"/>
      <c r="N425" s="40"/>
      <c r="O425" s="2"/>
      <c r="AE425" s="24"/>
    </row>
    <row r="426">
      <c r="A426" s="11"/>
      <c r="B426" s="23"/>
      <c r="C426" s="23"/>
      <c r="D426" s="23"/>
      <c r="E426" s="23"/>
      <c r="F426" s="1"/>
      <c r="G426" s="23"/>
      <c r="H426" s="23"/>
      <c r="I426" s="23"/>
      <c r="J426" s="2"/>
      <c r="M426" s="40"/>
      <c r="N426" s="40"/>
      <c r="O426" s="2"/>
      <c r="AE426" s="24"/>
    </row>
    <row r="427">
      <c r="A427" s="11"/>
      <c r="B427" s="23"/>
      <c r="C427" s="23"/>
      <c r="D427" s="23"/>
      <c r="E427" s="23"/>
      <c r="F427" s="1"/>
      <c r="G427" s="23"/>
      <c r="H427" s="23"/>
      <c r="I427" s="23"/>
      <c r="J427" s="2"/>
      <c r="M427" s="40"/>
      <c r="N427" s="40"/>
      <c r="O427" s="2"/>
      <c r="AE427" s="24"/>
    </row>
    <row r="428">
      <c r="A428" s="11"/>
      <c r="B428" s="23"/>
      <c r="C428" s="23"/>
      <c r="D428" s="23"/>
      <c r="E428" s="23"/>
      <c r="F428" s="1"/>
      <c r="G428" s="23"/>
      <c r="H428" s="23"/>
      <c r="I428" s="23"/>
      <c r="J428" s="2"/>
      <c r="M428" s="40"/>
      <c r="N428" s="40"/>
      <c r="O428" s="2"/>
      <c r="AE428" s="24"/>
    </row>
    <row r="429">
      <c r="A429" s="11"/>
      <c r="B429" s="23"/>
      <c r="C429" s="23"/>
      <c r="D429" s="23"/>
      <c r="E429" s="23"/>
      <c r="F429" s="1"/>
      <c r="G429" s="23"/>
      <c r="H429" s="23"/>
      <c r="I429" s="23"/>
      <c r="J429" s="2"/>
      <c r="M429" s="40"/>
      <c r="N429" s="40"/>
      <c r="O429" s="2"/>
      <c r="AE429" s="24"/>
    </row>
    <row r="430">
      <c r="A430" s="11"/>
      <c r="B430" s="23"/>
      <c r="C430" s="23"/>
      <c r="D430" s="23"/>
      <c r="E430" s="23"/>
      <c r="F430" s="1"/>
      <c r="G430" s="23"/>
      <c r="H430" s="23"/>
      <c r="I430" s="23"/>
      <c r="J430" s="2"/>
      <c r="M430" s="40"/>
      <c r="N430" s="40"/>
      <c r="O430" s="2"/>
      <c r="AE430" s="24"/>
    </row>
    <row r="431">
      <c r="A431" s="11"/>
      <c r="B431" s="23"/>
      <c r="C431" s="23"/>
      <c r="D431" s="23"/>
      <c r="E431" s="23"/>
      <c r="F431" s="1"/>
      <c r="G431" s="23"/>
      <c r="H431" s="23"/>
      <c r="I431" s="23"/>
      <c r="J431" s="2"/>
      <c r="M431" s="40"/>
      <c r="N431" s="40"/>
      <c r="O431" s="2"/>
      <c r="AE431" s="24"/>
    </row>
    <row r="432">
      <c r="A432" s="11"/>
      <c r="B432" s="23"/>
      <c r="C432" s="23"/>
      <c r="D432" s="23"/>
      <c r="E432" s="23"/>
      <c r="F432" s="1"/>
      <c r="G432" s="23"/>
      <c r="H432" s="23"/>
      <c r="I432" s="23"/>
      <c r="J432" s="2"/>
      <c r="M432" s="40"/>
      <c r="N432" s="40"/>
      <c r="O432" s="2"/>
      <c r="AE432" s="24"/>
    </row>
    <row r="433">
      <c r="A433" s="11"/>
      <c r="B433" s="23"/>
      <c r="C433" s="23"/>
      <c r="D433" s="23"/>
      <c r="E433" s="23"/>
      <c r="F433" s="1"/>
      <c r="G433" s="23"/>
      <c r="H433" s="23"/>
      <c r="I433" s="23"/>
      <c r="J433" s="2"/>
      <c r="M433" s="40"/>
      <c r="N433" s="40"/>
      <c r="O433" s="2"/>
      <c r="AE433" s="24"/>
    </row>
    <row r="434">
      <c r="A434" s="11"/>
      <c r="B434" s="23"/>
      <c r="C434" s="23"/>
      <c r="D434" s="23"/>
      <c r="E434" s="23"/>
      <c r="F434" s="1"/>
      <c r="G434" s="23"/>
      <c r="H434" s="23"/>
      <c r="I434" s="23"/>
      <c r="J434" s="2"/>
      <c r="M434" s="40"/>
      <c r="N434" s="40"/>
      <c r="O434" s="2"/>
      <c r="AE434" s="24"/>
    </row>
    <row r="435">
      <c r="A435" s="11"/>
      <c r="B435" s="23"/>
      <c r="C435" s="23"/>
      <c r="D435" s="23"/>
      <c r="E435" s="23"/>
      <c r="F435" s="1"/>
      <c r="G435" s="23"/>
      <c r="H435" s="23"/>
      <c r="I435" s="23"/>
      <c r="J435" s="2"/>
      <c r="M435" s="40"/>
      <c r="N435" s="40"/>
      <c r="O435" s="2"/>
      <c r="AE435" s="24"/>
    </row>
    <row r="436">
      <c r="A436" s="11"/>
      <c r="B436" s="23"/>
      <c r="C436" s="23"/>
      <c r="D436" s="23"/>
      <c r="E436" s="23"/>
      <c r="F436" s="1"/>
      <c r="G436" s="23"/>
      <c r="H436" s="23"/>
      <c r="I436" s="23"/>
      <c r="J436" s="2"/>
      <c r="M436" s="40"/>
      <c r="N436" s="40"/>
      <c r="O436" s="2"/>
      <c r="AE436" s="24"/>
    </row>
    <row r="437">
      <c r="A437" s="11"/>
      <c r="B437" s="23"/>
      <c r="C437" s="23"/>
      <c r="D437" s="23"/>
      <c r="E437" s="23"/>
      <c r="F437" s="1"/>
      <c r="G437" s="23"/>
      <c r="H437" s="23"/>
      <c r="I437" s="23"/>
      <c r="J437" s="2"/>
      <c r="M437" s="40"/>
      <c r="N437" s="40"/>
      <c r="O437" s="2"/>
      <c r="AE437" s="24"/>
    </row>
    <row r="438">
      <c r="A438" s="11"/>
      <c r="B438" s="23"/>
      <c r="C438" s="23"/>
      <c r="D438" s="23"/>
      <c r="E438" s="23"/>
      <c r="F438" s="1"/>
      <c r="G438" s="23"/>
      <c r="H438" s="23"/>
      <c r="I438" s="23"/>
      <c r="J438" s="2"/>
      <c r="M438" s="40"/>
      <c r="N438" s="40"/>
      <c r="O438" s="2"/>
      <c r="AE438" s="24"/>
    </row>
    <row r="439">
      <c r="A439" s="11"/>
      <c r="B439" s="23"/>
      <c r="C439" s="23"/>
      <c r="D439" s="23"/>
      <c r="E439" s="23"/>
      <c r="F439" s="1"/>
      <c r="G439" s="23"/>
      <c r="H439" s="23"/>
      <c r="I439" s="23"/>
      <c r="J439" s="2"/>
      <c r="M439" s="40"/>
      <c r="N439" s="40"/>
      <c r="O439" s="2"/>
      <c r="AE439" s="24"/>
    </row>
    <row r="440">
      <c r="A440" s="11"/>
      <c r="B440" s="23"/>
      <c r="C440" s="23"/>
      <c r="D440" s="23"/>
      <c r="E440" s="23"/>
      <c r="F440" s="1"/>
      <c r="G440" s="23"/>
      <c r="H440" s="23"/>
      <c r="I440" s="23"/>
      <c r="J440" s="2"/>
      <c r="M440" s="40"/>
      <c r="N440" s="40"/>
      <c r="O440" s="2"/>
      <c r="AE440" s="24"/>
    </row>
    <row r="441">
      <c r="A441" s="11"/>
      <c r="B441" s="23"/>
      <c r="C441" s="23"/>
      <c r="D441" s="23"/>
      <c r="E441" s="23"/>
      <c r="F441" s="1"/>
      <c r="G441" s="23"/>
      <c r="H441" s="23"/>
      <c r="I441" s="23"/>
      <c r="J441" s="2"/>
      <c r="M441" s="40"/>
      <c r="N441" s="40"/>
      <c r="O441" s="2"/>
      <c r="AE441" s="24"/>
    </row>
    <row r="442">
      <c r="A442" s="11"/>
      <c r="B442" s="23"/>
      <c r="C442" s="23"/>
      <c r="D442" s="23"/>
      <c r="E442" s="23"/>
      <c r="F442" s="1"/>
      <c r="G442" s="23"/>
      <c r="H442" s="23"/>
      <c r="I442" s="23"/>
      <c r="J442" s="2"/>
      <c r="M442" s="40"/>
      <c r="N442" s="40"/>
      <c r="O442" s="2"/>
      <c r="AE442" s="24"/>
    </row>
    <row r="443">
      <c r="A443" s="11"/>
      <c r="B443" s="23"/>
      <c r="C443" s="23"/>
      <c r="D443" s="23"/>
      <c r="E443" s="23"/>
      <c r="F443" s="1"/>
      <c r="G443" s="23"/>
      <c r="H443" s="23"/>
      <c r="I443" s="23"/>
      <c r="J443" s="2"/>
      <c r="M443" s="40"/>
      <c r="N443" s="40"/>
      <c r="O443" s="2"/>
      <c r="AE443" s="24"/>
    </row>
    <row r="444">
      <c r="A444" s="11"/>
      <c r="B444" s="23"/>
      <c r="C444" s="23"/>
      <c r="D444" s="23"/>
      <c r="E444" s="23"/>
      <c r="F444" s="1"/>
      <c r="G444" s="23"/>
      <c r="H444" s="23"/>
      <c r="I444" s="23"/>
      <c r="J444" s="2"/>
      <c r="M444" s="40"/>
      <c r="N444" s="40"/>
      <c r="O444" s="2"/>
      <c r="AE444" s="24"/>
    </row>
    <row r="445">
      <c r="A445" s="11"/>
      <c r="B445" s="23"/>
      <c r="C445" s="23"/>
      <c r="D445" s="23"/>
      <c r="E445" s="23"/>
      <c r="F445" s="1"/>
      <c r="G445" s="23"/>
      <c r="H445" s="23"/>
      <c r="I445" s="23"/>
      <c r="J445" s="2"/>
      <c r="M445" s="40"/>
      <c r="N445" s="40"/>
      <c r="O445" s="2"/>
      <c r="AE445" s="24"/>
    </row>
    <row r="446">
      <c r="A446" s="11"/>
      <c r="B446" s="23"/>
      <c r="C446" s="23"/>
      <c r="D446" s="23"/>
      <c r="E446" s="23"/>
      <c r="F446" s="1"/>
      <c r="G446" s="23"/>
      <c r="H446" s="23"/>
      <c r="I446" s="23"/>
      <c r="J446" s="2"/>
      <c r="M446" s="40"/>
      <c r="N446" s="40"/>
      <c r="O446" s="2"/>
      <c r="AE446" s="24"/>
    </row>
    <row r="447">
      <c r="A447" s="11"/>
      <c r="B447" s="23"/>
      <c r="C447" s="23"/>
      <c r="D447" s="23"/>
      <c r="E447" s="23"/>
      <c r="F447" s="1"/>
      <c r="G447" s="23"/>
      <c r="H447" s="23"/>
      <c r="I447" s="23"/>
      <c r="J447" s="2"/>
      <c r="M447" s="40"/>
      <c r="N447" s="40"/>
      <c r="O447" s="2"/>
      <c r="AE447" s="24"/>
    </row>
    <row r="448">
      <c r="A448" s="11"/>
      <c r="B448" s="23"/>
      <c r="C448" s="23"/>
      <c r="D448" s="23"/>
      <c r="E448" s="23"/>
      <c r="F448" s="1"/>
      <c r="G448" s="23"/>
      <c r="H448" s="23"/>
      <c r="I448" s="23"/>
      <c r="J448" s="2"/>
      <c r="M448" s="40"/>
      <c r="N448" s="40"/>
      <c r="O448" s="2"/>
      <c r="AE448" s="24"/>
    </row>
    <row r="449">
      <c r="A449" s="11"/>
      <c r="B449" s="23"/>
      <c r="C449" s="23"/>
      <c r="D449" s="23"/>
      <c r="E449" s="23"/>
      <c r="F449" s="1"/>
      <c r="G449" s="23"/>
      <c r="H449" s="23"/>
      <c r="I449" s="23"/>
      <c r="J449" s="2"/>
      <c r="M449" s="40"/>
      <c r="N449" s="40"/>
      <c r="O449" s="2"/>
      <c r="AE449" s="24"/>
    </row>
    <row r="450">
      <c r="A450" s="11"/>
      <c r="B450" s="23"/>
      <c r="C450" s="23"/>
      <c r="D450" s="23"/>
      <c r="E450" s="23"/>
      <c r="F450" s="1"/>
      <c r="G450" s="23"/>
      <c r="H450" s="23"/>
      <c r="I450" s="23"/>
      <c r="J450" s="2"/>
      <c r="M450" s="40"/>
      <c r="N450" s="40"/>
      <c r="O450" s="2"/>
      <c r="AE450" s="24"/>
    </row>
    <row r="451">
      <c r="A451" s="11"/>
      <c r="B451" s="23"/>
      <c r="C451" s="23"/>
      <c r="D451" s="23"/>
      <c r="E451" s="23"/>
      <c r="F451" s="1"/>
      <c r="G451" s="23"/>
      <c r="H451" s="23"/>
      <c r="I451" s="23"/>
      <c r="J451" s="2"/>
      <c r="M451" s="40"/>
      <c r="N451" s="40"/>
      <c r="O451" s="2"/>
      <c r="AE451" s="24"/>
    </row>
    <row r="452">
      <c r="A452" s="11"/>
      <c r="B452" s="23"/>
      <c r="C452" s="23"/>
      <c r="D452" s="23"/>
      <c r="E452" s="23"/>
      <c r="F452" s="1"/>
      <c r="G452" s="23"/>
      <c r="H452" s="23"/>
      <c r="I452" s="23"/>
      <c r="J452" s="2"/>
      <c r="M452" s="40"/>
      <c r="N452" s="40"/>
      <c r="O452" s="2"/>
      <c r="AE452" s="24"/>
    </row>
    <row r="453">
      <c r="A453" s="11"/>
      <c r="B453" s="23"/>
      <c r="C453" s="23"/>
      <c r="D453" s="23"/>
      <c r="E453" s="23"/>
      <c r="F453" s="1"/>
      <c r="G453" s="23"/>
      <c r="H453" s="23"/>
      <c r="I453" s="23"/>
      <c r="J453" s="2"/>
      <c r="M453" s="40"/>
      <c r="N453" s="40"/>
      <c r="O453" s="2"/>
      <c r="AE453" s="24"/>
    </row>
    <row r="454">
      <c r="A454" s="11"/>
      <c r="B454" s="23"/>
      <c r="C454" s="23"/>
      <c r="D454" s="23"/>
      <c r="E454" s="23"/>
      <c r="F454" s="1"/>
      <c r="G454" s="23"/>
      <c r="H454" s="23"/>
      <c r="I454" s="23"/>
      <c r="J454" s="2"/>
      <c r="M454" s="40"/>
      <c r="N454" s="40"/>
      <c r="O454" s="2"/>
      <c r="AE454" s="24"/>
    </row>
    <row r="455">
      <c r="A455" s="11"/>
      <c r="B455" s="23"/>
      <c r="C455" s="23"/>
      <c r="D455" s="23"/>
      <c r="E455" s="23"/>
      <c r="F455" s="1"/>
      <c r="G455" s="23"/>
      <c r="H455" s="23"/>
      <c r="I455" s="23"/>
      <c r="J455" s="2"/>
      <c r="M455" s="40"/>
      <c r="N455" s="40"/>
      <c r="O455" s="2"/>
      <c r="AE455" s="24"/>
    </row>
    <row r="456">
      <c r="A456" s="11"/>
      <c r="B456" s="23"/>
      <c r="C456" s="23"/>
      <c r="D456" s="23"/>
      <c r="E456" s="23"/>
      <c r="F456" s="1"/>
      <c r="G456" s="23"/>
      <c r="H456" s="23"/>
      <c r="I456" s="23"/>
      <c r="J456" s="2"/>
      <c r="M456" s="40"/>
      <c r="N456" s="40"/>
      <c r="O456" s="2"/>
      <c r="AE456" s="24"/>
    </row>
    <row r="457">
      <c r="A457" s="11"/>
      <c r="B457" s="23"/>
      <c r="C457" s="23"/>
      <c r="D457" s="23"/>
      <c r="E457" s="23"/>
      <c r="F457" s="1"/>
      <c r="G457" s="23"/>
      <c r="H457" s="23"/>
      <c r="I457" s="23"/>
      <c r="J457" s="2"/>
      <c r="M457" s="40"/>
      <c r="N457" s="40"/>
      <c r="O457" s="2"/>
      <c r="AE457" s="24"/>
    </row>
    <row r="458">
      <c r="A458" s="11"/>
      <c r="B458" s="23"/>
      <c r="C458" s="23"/>
      <c r="D458" s="23"/>
      <c r="E458" s="23"/>
      <c r="F458" s="1"/>
      <c r="G458" s="23"/>
      <c r="H458" s="23"/>
      <c r="I458" s="23"/>
      <c r="J458" s="2"/>
      <c r="M458" s="40"/>
      <c r="N458" s="40"/>
      <c r="O458" s="2"/>
      <c r="AE458" s="24"/>
    </row>
    <row r="459">
      <c r="A459" s="11"/>
      <c r="B459" s="23"/>
      <c r="C459" s="23"/>
      <c r="D459" s="23"/>
      <c r="E459" s="23"/>
      <c r="F459" s="1"/>
      <c r="G459" s="23"/>
      <c r="H459" s="23"/>
      <c r="I459" s="23"/>
      <c r="J459" s="2"/>
      <c r="M459" s="40"/>
      <c r="N459" s="40"/>
      <c r="O459" s="2"/>
      <c r="AE459" s="24"/>
    </row>
    <row r="460">
      <c r="A460" s="11"/>
      <c r="B460" s="23"/>
      <c r="C460" s="23"/>
      <c r="D460" s="23"/>
      <c r="E460" s="23"/>
      <c r="F460" s="1"/>
      <c r="G460" s="23"/>
      <c r="H460" s="23"/>
      <c r="I460" s="23"/>
      <c r="J460" s="2"/>
      <c r="M460" s="40"/>
      <c r="N460" s="40"/>
      <c r="O460" s="2"/>
      <c r="AE460" s="24"/>
    </row>
    <row r="461">
      <c r="A461" s="11"/>
      <c r="B461" s="23"/>
      <c r="C461" s="23"/>
      <c r="D461" s="23"/>
      <c r="E461" s="23"/>
      <c r="F461" s="1"/>
      <c r="G461" s="23"/>
      <c r="H461" s="23"/>
      <c r="I461" s="23"/>
      <c r="J461" s="2"/>
      <c r="M461" s="40"/>
      <c r="N461" s="40"/>
      <c r="O461" s="2"/>
      <c r="AE461" s="24"/>
    </row>
    <row r="462">
      <c r="A462" s="11"/>
      <c r="B462" s="23"/>
      <c r="C462" s="23"/>
      <c r="D462" s="23"/>
      <c r="E462" s="23"/>
      <c r="F462" s="1"/>
      <c r="G462" s="23"/>
      <c r="H462" s="23"/>
      <c r="I462" s="23"/>
      <c r="J462" s="2"/>
      <c r="M462" s="40"/>
      <c r="N462" s="40"/>
      <c r="O462" s="2"/>
      <c r="AE462" s="24"/>
    </row>
    <row r="463">
      <c r="A463" s="11"/>
      <c r="B463" s="23"/>
      <c r="C463" s="23"/>
      <c r="D463" s="23"/>
      <c r="E463" s="23"/>
      <c r="F463" s="1"/>
      <c r="G463" s="23"/>
      <c r="H463" s="23"/>
      <c r="I463" s="23"/>
      <c r="J463" s="2"/>
      <c r="M463" s="40"/>
      <c r="N463" s="40"/>
      <c r="O463" s="2"/>
      <c r="AE463" s="24"/>
    </row>
    <row r="464">
      <c r="A464" s="11"/>
      <c r="B464" s="23"/>
      <c r="C464" s="23"/>
      <c r="D464" s="23"/>
      <c r="E464" s="23"/>
      <c r="F464" s="1"/>
      <c r="G464" s="23"/>
      <c r="H464" s="23"/>
      <c r="I464" s="23"/>
      <c r="J464" s="2"/>
      <c r="M464" s="40"/>
      <c r="N464" s="40"/>
      <c r="O464" s="2"/>
      <c r="AE464" s="24"/>
    </row>
    <row r="465">
      <c r="A465" s="11"/>
      <c r="B465" s="23"/>
      <c r="C465" s="23"/>
      <c r="D465" s="23"/>
      <c r="E465" s="23"/>
      <c r="F465" s="1"/>
      <c r="G465" s="23"/>
      <c r="H465" s="23"/>
      <c r="I465" s="23"/>
      <c r="J465" s="2"/>
      <c r="M465" s="40"/>
      <c r="N465" s="40"/>
      <c r="O465" s="2"/>
      <c r="AE465" s="24"/>
    </row>
    <row r="466">
      <c r="A466" s="11"/>
      <c r="B466" s="23"/>
      <c r="C466" s="23"/>
      <c r="D466" s="23"/>
      <c r="E466" s="23"/>
      <c r="F466" s="1"/>
      <c r="G466" s="23"/>
      <c r="H466" s="23"/>
      <c r="I466" s="23"/>
      <c r="J466" s="2"/>
      <c r="M466" s="40"/>
      <c r="N466" s="40"/>
      <c r="O466" s="2"/>
      <c r="AE466" s="24"/>
    </row>
    <row r="467">
      <c r="A467" s="11"/>
      <c r="B467" s="23"/>
      <c r="C467" s="23"/>
      <c r="D467" s="23"/>
      <c r="E467" s="23"/>
      <c r="F467" s="1"/>
      <c r="G467" s="23"/>
      <c r="H467" s="23"/>
      <c r="I467" s="23"/>
      <c r="J467" s="2"/>
      <c r="M467" s="40"/>
      <c r="N467" s="40"/>
      <c r="O467" s="2"/>
      <c r="AE467" s="24"/>
    </row>
    <row r="468">
      <c r="A468" s="11"/>
      <c r="B468" s="23"/>
      <c r="C468" s="23"/>
      <c r="D468" s="23"/>
      <c r="E468" s="23"/>
      <c r="F468" s="1"/>
      <c r="G468" s="23"/>
      <c r="H468" s="23"/>
      <c r="I468" s="23"/>
      <c r="J468" s="2"/>
      <c r="M468" s="40"/>
      <c r="N468" s="40"/>
      <c r="O468" s="2"/>
      <c r="AE468" s="24"/>
    </row>
    <row r="469">
      <c r="A469" s="11"/>
      <c r="B469" s="23"/>
      <c r="C469" s="23"/>
      <c r="D469" s="23"/>
      <c r="E469" s="23"/>
      <c r="F469" s="1"/>
      <c r="G469" s="23"/>
      <c r="H469" s="23"/>
      <c r="I469" s="23"/>
      <c r="J469" s="2"/>
      <c r="M469" s="40"/>
      <c r="N469" s="40"/>
      <c r="O469" s="2"/>
      <c r="AE469" s="24"/>
    </row>
    <row r="470">
      <c r="A470" s="11"/>
      <c r="B470" s="23"/>
      <c r="C470" s="23"/>
      <c r="D470" s="23"/>
      <c r="E470" s="23"/>
      <c r="F470" s="1"/>
      <c r="G470" s="23"/>
      <c r="H470" s="23"/>
      <c r="I470" s="23"/>
      <c r="J470" s="2"/>
      <c r="M470" s="40"/>
      <c r="N470" s="40"/>
      <c r="O470" s="2"/>
      <c r="AE470" s="24"/>
    </row>
    <row r="471">
      <c r="A471" s="11"/>
      <c r="B471" s="23"/>
      <c r="C471" s="23"/>
      <c r="D471" s="23"/>
      <c r="E471" s="23"/>
      <c r="F471" s="1"/>
      <c r="G471" s="23"/>
      <c r="H471" s="23"/>
      <c r="I471" s="23"/>
      <c r="J471" s="2"/>
      <c r="M471" s="40"/>
      <c r="N471" s="40"/>
      <c r="O471" s="2"/>
      <c r="AE471" s="24"/>
    </row>
    <row r="472">
      <c r="A472" s="11"/>
      <c r="B472" s="23"/>
      <c r="C472" s="23"/>
      <c r="D472" s="23"/>
      <c r="E472" s="23"/>
      <c r="F472" s="1"/>
      <c r="G472" s="23"/>
      <c r="H472" s="23"/>
      <c r="I472" s="23"/>
      <c r="J472" s="2"/>
      <c r="M472" s="40"/>
      <c r="N472" s="40"/>
      <c r="O472" s="2"/>
      <c r="AE472" s="24"/>
    </row>
    <row r="473">
      <c r="A473" s="11"/>
      <c r="B473" s="23"/>
      <c r="C473" s="23"/>
      <c r="D473" s="23"/>
      <c r="E473" s="23"/>
      <c r="F473" s="1"/>
      <c r="G473" s="23"/>
      <c r="H473" s="23"/>
      <c r="I473" s="23"/>
      <c r="J473" s="2"/>
      <c r="M473" s="40"/>
      <c r="N473" s="40"/>
      <c r="O473" s="2"/>
      <c r="AE473" s="24"/>
    </row>
    <row r="474">
      <c r="A474" s="11"/>
      <c r="B474" s="23"/>
      <c r="C474" s="23"/>
      <c r="D474" s="23"/>
      <c r="E474" s="23"/>
      <c r="F474" s="1"/>
      <c r="G474" s="23"/>
      <c r="H474" s="23"/>
      <c r="I474" s="23"/>
      <c r="J474" s="2"/>
      <c r="M474" s="40"/>
      <c r="N474" s="40"/>
      <c r="O474" s="2"/>
      <c r="AE474" s="24"/>
    </row>
    <row r="475">
      <c r="A475" s="11"/>
      <c r="B475" s="23"/>
      <c r="C475" s="23"/>
      <c r="D475" s="23"/>
      <c r="E475" s="23"/>
      <c r="F475" s="1"/>
      <c r="G475" s="23"/>
      <c r="H475" s="23"/>
      <c r="I475" s="23"/>
      <c r="J475" s="2"/>
      <c r="M475" s="40"/>
      <c r="N475" s="40"/>
      <c r="O475" s="2"/>
      <c r="AE475" s="24"/>
    </row>
    <row r="476">
      <c r="A476" s="11"/>
      <c r="B476" s="23"/>
      <c r="C476" s="23"/>
      <c r="D476" s="23"/>
      <c r="E476" s="23"/>
      <c r="F476" s="1"/>
      <c r="G476" s="23"/>
      <c r="H476" s="23"/>
      <c r="I476" s="23"/>
      <c r="J476" s="2"/>
      <c r="M476" s="40"/>
      <c r="N476" s="40"/>
      <c r="O476" s="2"/>
      <c r="AE476" s="24"/>
    </row>
    <row r="477">
      <c r="A477" s="11"/>
      <c r="B477" s="23"/>
      <c r="C477" s="23"/>
      <c r="D477" s="23"/>
      <c r="E477" s="23"/>
      <c r="F477" s="1"/>
      <c r="G477" s="23"/>
      <c r="H477" s="23"/>
      <c r="I477" s="23"/>
      <c r="J477" s="2"/>
      <c r="M477" s="40"/>
      <c r="N477" s="40"/>
      <c r="O477" s="2"/>
      <c r="AE477" s="24"/>
    </row>
    <row r="478">
      <c r="A478" s="11"/>
      <c r="B478" s="23"/>
      <c r="C478" s="23"/>
      <c r="D478" s="23"/>
      <c r="E478" s="23"/>
      <c r="F478" s="1"/>
      <c r="G478" s="23"/>
      <c r="H478" s="23"/>
      <c r="I478" s="23"/>
      <c r="J478" s="2"/>
      <c r="M478" s="40"/>
      <c r="N478" s="40"/>
      <c r="O478" s="2"/>
      <c r="AE478" s="24"/>
    </row>
    <row r="479">
      <c r="A479" s="11"/>
      <c r="B479" s="23"/>
      <c r="C479" s="23"/>
      <c r="D479" s="23"/>
      <c r="E479" s="23"/>
      <c r="F479" s="1"/>
      <c r="G479" s="23"/>
      <c r="H479" s="23"/>
      <c r="I479" s="23"/>
      <c r="J479" s="2"/>
      <c r="M479" s="40"/>
      <c r="N479" s="40"/>
      <c r="O479" s="2"/>
      <c r="AE479" s="24"/>
    </row>
    <row r="480">
      <c r="A480" s="11"/>
      <c r="B480" s="23"/>
      <c r="C480" s="23"/>
      <c r="D480" s="23"/>
      <c r="E480" s="23"/>
      <c r="F480" s="1"/>
      <c r="G480" s="23"/>
      <c r="H480" s="23"/>
      <c r="I480" s="23"/>
      <c r="J480" s="2"/>
      <c r="M480" s="40"/>
      <c r="N480" s="40"/>
      <c r="O480" s="2"/>
      <c r="AE480" s="24"/>
    </row>
    <row r="481">
      <c r="A481" s="11"/>
      <c r="B481" s="23"/>
      <c r="C481" s="23"/>
      <c r="D481" s="23"/>
      <c r="E481" s="23"/>
      <c r="F481" s="1"/>
      <c r="G481" s="23"/>
      <c r="H481" s="23"/>
      <c r="I481" s="23"/>
      <c r="J481" s="2"/>
      <c r="M481" s="40"/>
      <c r="N481" s="40"/>
      <c r="O481" s="2"/>
      <c r="AE481" s="24"/>
    </row>
    <row r="482">
      <c r="A482" s="11"/>
      <c r="B482" s="23"/>
      <c r="C482" s="23"/>
      <c r="D482" s="23"/>
      <c r="E482" s="23"/>
      <c r="F482" s="1"/>
      <c r="G482" s="23"/>
      <c r="H482" s="23"/>
      <c r="I482" s="23"/>
      <c r="J482" s="2"/>
      <c r="M482" s="40"/>
      <c r="N482" s="40"/>
      <c r="O482" s="2"/>
      <c r="AE482" s="24"/>
    </row>
    <row r="483">
      <c r="A483" s="11"/>
      <c r="B483" s="23"/>
      <c r="C483" s="23"/>
      <c r="D483" s="23"/>
      <c r="E483" s="23"/>
      <c r="F483" s="1"/>
      <c r="G483" s="23"/>
      <c r="H483" s="23"/>
      <c r="I483" s="23"/>
      <c r="J483" s="2"/>
      <c r="M483" s="40"/>
      <c r="N483" s="40"/>
      <c r="O483" s="2"/>
      <c r="AE483" s="24"/>
    </row>
    <row r="484">
      <c r="A484" s="11"/>
      <c r="B484" s="23"/>
      <c r="C484" s="23"/>
      <c r="D484" s="23"/>
      <c r="E484" s="23"/>
      <c r="F484" s="1"/>
      <c r="G484" s="23"/>
      <c r="H484" s="23"/>
      <c r="I484" s="23"/>
      <c r="J484" s="2"/>
      <c r="M484" s="40"/>
      <c r="N484" s="40"/>
      <c r="O484" s="2"/>
      <c r="AE484" s="24"/>
    </row>
    <row r="485">
      <c r="A485" s="11"/>
      <c r="B485" s="23"/>
      <c r="C485" s="23"/>
      <c r="D485" s="23"/>
      <c r="E485" s="23"/>
      <c r="F485" s="1"/>
      <c r="G485" s="23"/>
      <c r="H485" s="23"/>
      <c r="I485" s="23"/>
      <c r="J485" s="2"/>
      <c r="M485" s="40"/>
      <c r="N485" s="40"/>
      <c r="O485" s="2"/>
      <c r="AE485" s="24"/>
    </row>
    <row r="486">
      <c r="A486" s="11"/>
      <c r="B486" s="23"/>
      <c r="C486" s="23"/>
      <c r="D486" s="23"/>
      <c r="E486" s="23"/>
      <c r="F486" s="1"/>
      <c r="G486" s="23"/>
      <c r="H486" s="23"/>
      <c r="I486" s="23"/>
      <c r="J486" s="2"/>
      <c r="M486" s="40"/>
      <c r="N486" s="40"/>
      <c r="O486" s="2"/>
      <c r="AE486" s="24"/>
    </row>
    <row r="487">
      <c r="A487" s="11"/>
      <c r="B487" s="23"/>
      <c r="C487" s="23"/>
      <c r="D487" s="23"/>
      <c r="E487" s="23"/>
      <c r="F487" s="1"/>
      <c r="G487" s="23"/>
      <c r="H487" s="23"/>
      <c r="I487" s="23"/>
      <c r="J487" s="2"/>
      <c r="M487" s="40"/>
      <c r="N487" s="40"/>
      <c r="O487" s="2"/>
      <c r="AE487" s="24"/>
    </row>
    <row r="488">
      <c r="A488" s="11"/>
      <c r="B488" s="23"/>
      <c r="C488" s="23"/>
      <c r="D488" s="23"/>
      <c r="E488" s="23"/>
      <c r="F488" s="1"/>
      <c r="G488" s="23"/>
      <c r="H488" s="23"/>
      <c r="I488" s="23"/>
      <c r="J488" s="2"/>
      <c r="M488" s="40"/>
      <c r="N488" s="40"/>
      <c r="O488" s="2"/>
      <c r="AE488" s="24"/>
    </row>
    <row r="489">
      <c r="A489" s="11"/>
      <c r="B489" s="23"/>
      <c r="C489" s="23"/>
      <c r="D489" s="23"/>
      <c r="E489" s="23"/>
      <c r="F489" s="1"/>
      <c r="G489" s="23"/>
      <c r="H489" s="23"/>
      <c r="I489" s="23"/>
      <c r="J489" s="2"/>
      <c r="M489" s="40"/>
      <c r="N489" s="40"/>
      <c r="O489" s="2"/>
      <c r="AE489" s="24"/>
    </row>
    <row r="490">
      <c r="A490" s="11"/>
      <c r="B490" s="23"/>
      <c r="C490" s="23"/>
      <c r="D490" s="23"/>
      <c r="E490" s="23"/>
      <c r="F490" s="1"/>
      <c r="G490" s="23"/>
      <c r="H490" s="23"/>
      <c r="I490" s="23"/>
      <c r="J490" s="2"/>
      <c r="M490" s="40"/>
      <c r="N490" s="40"/>
      <c r="O490" s="2"/>
      <c r="AE490" s="24"/>
    </row>
    <row r="491">
      <c r="A491" s="11"/>
      <c r="B491" s="23"/>
      <c r="C491" s="23"/>
      <c r="D491" s="23"/>
      <c r="E491" s="23"/>
      <c r="F491" s="1"/>
      <c r="G491" s="23"/>
      <c r="H491" s="23"/>
      <c r="I491" s="23"/>
      <c r="J491" s="2"/>
      <c r="M491" s="40"/>
      <c r="N491" s="40"/>
      <c r="O491" s="2"/>
      <c r="AE491" s="24"/>
    </row>
    <row r="492">
      <c r="A492" s="11"/>
      <c r="B492" s="23"/>
      <c r="C492" s="23"/>
      <c r="D492" s="23"/>
      <c r="E492" s="23"/>
      <c r="F492" s="1"/>
      <c r="G492" s="23"/>
      <c r="H492" s="23"/>
      <c r="I492" s="23"/>
      <c r="J492" s="2"/>
      <c r="M492" s="40"/>
      <c r="N492" s="40"/>
      <c r="O492" s="2"/>
      <c r="AE492" s="24"/>
    </row>
    <row r="493">
      <c r="A493" s="11"/>
      <c r="B493" s="23"/>
      <c r="C493" s="23"/>
      <c r="D493" s="23"/>
      <c r="E493" s="23"/>
      <c r="F493" s="1"/>
      <c r="G493" s="23"/>
      <c r="H493" s="23"/>
      <c r="I493" s="23"/>
      <c r="J493" s="2"/>
      <c r="M493" s="40"/>
      <c r="N493" s="40"/>
      <c r="O493" s="2"/>
      <c r="AE493" s="24"/>
    </row>
    <row r="494">
      <c r="A494" s="11"/>
      <c r="B494" s="23"/>
      <c r="C494" s="23"/>
      <c r="D494" s="23"/>
      <c r="E494" s="23"/>
      <c r="F494" s="1"/>
      <c r="G494" s="23"/>
      <c r="H494" s="23"/>
      <c r="I494" s="23"/>
      <c r="J494" s="2"/>
      <c r="M494" s="40"/>
      <c r="N494" s="40"/>
      <c r="O494" s="2"/>
      <c r="AE494" s="24"/>
    </row>
    <row r="495">
      <c r="A495" s="11"/>
      <c r="B495" s="23"/>
      <c r="C495" s="23"/>
      <c r="D495" s="23"/>
      <c r="E495" s="23"/>
      <c r="F495" s="1"/>
      <c r="G495" s="23"/>
      <c r="H495" s="23"/>
      <c r="I495" s="23"/>
      <c r="J495" s="2"/>
      <c r="M495" s="40"/>
      <c r="N495" s="40"/>
      <c r="O495" s="2"/>
      <c r="AE495" s="24"/>
    </row>
    <row r="496">
      <c r="A496" s="11"/>
      <c r="B496" s="23"/>
      <c r="C496" s="23"/>
      <c r="D496" s="23"/>
      <c r="E496" s="23"/>
      <c r="F496" s="1"/>
      <c r="G496" s="23"/>
      <c r="H496" s="23"/>
      <c r="I496" s="23"/>
      <c r="J496" s="2"/>
      <c r="M496" s="40"/>
      <c r="N496" s="40"/>
      <c r="O496" s="2"/>
      <c r="AE496" s="24"/>
    </row>
    <row r="497">
      <c r="A497" s="11"/>
      <c r="B497" s="23"/>
      <c r="C497" s="23"/>
      <c r="D497" s="23"/>
      <c r="E497" s="23"/>
      <c r="F497" s="1"/>
      <c r="G497" s="23"/>
      <c r="H497" s="23"/>
      <c r="I497" s="23"/>
      <c r="J497" s="2"/>
      <c r="M497" s="40"/>
      <c r="N497" s="40"/>
      <c r="O497" s="2"/>
      <c r="AE497" s="24"/>
    </row>
    <row r="498">
      <c r="A498" s="11"/>
      <c r="B498" s="23"/>
      <c r="C498" s="23"/>
      <c r="D498" s="23"/>
      <c r="E498" s="23"/>
      <c r="F498" s="1"/>
      <c r="G498" s="23"/>
      <c r="H498" s="23"/>
      <c r="I498" s="23"/>
      <c r="J498" s="2"/>
      <c r="M498" s="40"/>
      <c r="N498" s="40"/>
      <c r="O498" s="2"/>
      <c r="AE498" s="24"/>
    </row>
    <row r="499">
      <c r="A499" s="11"/>
      <c r="B499" s="23"/>
      <c r="C499" s="23"/>
      <c r="D499" s="23"/>
      <c r="E499" s="23"/>
      <c r="F499" s="1"/>
      <c r="G499" s="23"/>
      <c r="H499" s="23"/>
      <c r="I499" s="23"/>
      <c r="J499" s="2"/>
      <c r="M499" s="40"/>
      <c r="N499" s="40"/>
      <c r="O499" s="2"/>
      <c r="AE499" s="24"/>
    </row>
    <row r="500">
      <c r="A500" s="11"/>
      <c r="B500" s="23"/>
      <c r="C500" s="23"/>
      <c r="D500" s="23"/>
      <c r="E500" s="23"/>
      <c r="F500" s="1"/>
      <c r="G500" s="23"/>
      <c r="H500" s="23"/>
      <c r="I500" s="23"/>
      <c r="J500" s="2"/>
      <c r="M500" s="40"/>
      <c r="N500" s="40"/>
      <c r="O500" s="2"/>
      <c r="AE500" s="24"/>
    </row>
    <row r="501">
      <c r="A501" s="11"/>
      <c r="B501" s="23"/>
      <c r="C501" s="23"/>
      <c r="D501" s="23"/>
      <c r="E501" s="23"/>
      <c r="F501" s="1"/>
      <c r="G501" s="23"/>
      <c r="H501" s="23"/>
      <c r="I501" s="23"/>
      <c r="J501" s="2"/>
      <c r="M501" s="40"/>
      <c r="N501" s="40"/>
      <c r="O501" s="2"/>
      <c r="AE501" s="24"/>
    </row>
    <row r="502">
      <c r="A502" s="11"/>
      <c r="B502" s="23"/>
      <c r="C502" s="23"/>
      <c r="D502" s="23"/>
      <c r="E502" s="23"/>
      <c r="F502" s="1"/>
      <c r="G502" s="23"/>
      <c r="H502" s="23"/>
      <c r="I502" s="23"/>
      <c r="J502" s="2"/>
      <c r="M502" s="40"/>
      <c r="N502" s="40"/>
      <c r="O502" s="2"/>
      <c r="AE502" s="24"/>
    </row>
    <row r="503">
      <c r="A503" s="11"/>
      <c r="B503" s="23"/>
      <c r="C503" s="23"/>
      <c r="D503" s="23"/>
      <c r="E503" s="23"/>
      <c r="F503" s="1"/>
      <c r="G503" s="23"/>
      <c r="H503" s="23"/>
      <c r="I503" s="23"/>
      <c r="J503" s="2"/>
      <c r="M503" s="40"/>
      <c r="N503" s="40"/>
      <c r="O503" s="2"/>
      <c r="AE503" s="24"/>
    </row>
    <row r="504">
      <c r="A504" s="11"/>
      <c r="B504" s="23"/>
      <c r="C504" s="23"/>
      <c r="D504" s="23"/>
      <c r="E504" s="23"/>
      <c r="F504" s="1"/>
      <c r="G504" s="23"/>
      <c r="H504" s="23"/>
      <c r="I504" s="23"/>
      <c r="J504" s="2"/>
      <c r="M504" s="40"/>
      <c r="N504" s="40"/>
      <c r="O504" s="2"/>
      <c r="AE504" s="24"/>
    </row>
    <row r="505">
      <c r="A505" s="11"/>
      <c r="B505" s="23"/>
      <c r="C505" s="23"/>
      <c r="D505" s="23"/>
      <c r="E505" s="23"/>
      <c r="F505" s="1"/>
      <c r="G505" s="23"/>
      <c r="H505" s="23"/>
      <c r="I505" s="23"/>
      <c r="J505" s="2"/>
      <c r="M505" s="40"/>
      <c r="N505" s="40"/>
      <c r="O505" s="2"/>
      <c r="AE505" s="24"/>
    </row>
    <row r="506">
      <c r="A506" s="11"/>
      <c r="B506" s="23"/>
      <c r="C506" s="23"/>
      <c r="D506" s="23"/>
      <c r="E506" s="23"/>
      <c r="F506" s="1"/>
      <c r="G506" s="23"/>
      <c r="H506" s="23"/>
      <c r="I506" s="23"/>
      <c r="J506" s="2"/>
      <c r="M506" s="40"/>
      <c r="N506" s="40"/>
      <c r="O506" s="2"/>
      <c r="AE506" s="24"/>
    </row>
    <row r="507">
      <c r="A507" s="11"/>
      <c r="B507" s="23"/>
      <c r="C507" s="23"/>
      <c r="D507" s="23"/>
      <c r="E507" s="23"/>
      <c r="F507" s="1"/>
      <c r="G507" s="23"/>
      <c r="H507" s="23"/>
      <c r="I507" s="23"/>
      <c r="J507" s="2"/>
      <c r="M507" s="40"/>
      <c r="N507" s="40"/>
      <c r="O507" s="2"/>
      <c r="AE507" s="24"/>
    </row>
    <row r="508">
      <c r="A508" s="11"/>
      <c r="B508" s="23"/>
      <c r="C508" s="23"/>
      <c r="D508" s="23"/>
      <c r="E508" s="23"/>
      <c r="F508" s="1"/>
      <c r="G508" s="23"/>
      <c r="H508" s="23"/>
      <c r="I508" s="23"/>
      <c r="J508" s="2"/>
      <c r="M508" s="40"/>
      <c r="N508" s="40"/>
      <c r="O508" s="2"/>
      <c r="AE508" s="24"/>
    </row>
    <row r="509">
      <c r="A509" s="11"/>
      <c r="B509" s="23"/>
      <c r="C509" s="23"/>
      <c r="D509" s="23"/>
      <c r="E509" s="23"/>
      <c r="F509" s="1"/>
      <c r="G509" s="23"/>
      <c r="H509" s="23"/>
      <c r="I509" s="23"/>
      <c r="J509" s="2"/>
      <c r="M509" s="40"/>
      <c r="N509" s="40"/>
      <c r="O509" s="2"/>
      <c r="AE509" s="24"/>
    </row>
    <row r="510">
      <c r="A510" s="11"/>
      <c r="B510" s="23"/>
      <c r="C510" s="23"/>
      <c r="D510" s="23"/>
      <c r="E510" s="23"/>
      <c r="F510" s="1"/>
      <c r="G510" s="23"/>
      <c r="H510" s="23"/>
      <c r="I510" s="23"/>
      <c r="J510" s="2"/>
      <c r="M510" s="40"/>
      <c r="N510" s="40"/>
      <c r="O510" s="2"/>
      <c r="AE510" s="24"/>
    </row>
    <row r="511">
      <c r="A511" s="11"/>
      <c r="B511" s="23"/>
      <c r="C511" s="23"/>
      <c r="D511" s="23"/>
      <c r="E511" s="23"/>
      <c r="F511" s="1"/>
      <c r="G511" s="23"/>
      <c r="H511" s="23"/>
      <c r="I511" s="23"/>
      <c r="J511" s="2"/>
      <c r="M511" s="40"/>
      <c r="N511" s="40"/>
      <c r="O511" s="2"/>
      <c r="AE511" s="24"/>
    </row>
    <row r="512">
      <c r="A512" s="11"/>
      <c r="B512" s="23"/>
      <c r="C512" s="23"/>
      <c r="D512" s="23"/>
      <c r="E512" s="23"/>
      <c r="F512" s="1"/>
      <c r="G512" s="23"/>
      <c r="H512" s="23"/>
      <c r="I512" s="23"/>
      <c r="J512" s="2"/>
      <c r="M512" s="40"/>
      <c r="N512" s="40"/>
      <c r="O512" s="2"/>
      <c r="AE512" s="24"/>
    </row>
    <row r="513">
      <c r="A513" s="11"/>
      <c r="B513" s="23"/>
      <c r="C513" s="23"/>
      <c r="D513" s="23"/>
      <c r="E513" s="23"/>
      <c r="F513" s="1"/>
      <c r="G513" s="23"/>
      <c r="H513" s="23"/>
      <c r="I513" s="23"/>
      <c r="J513" s="2"/>
      <c r="M513" s="40"/>
      <c r="N513" s="40"/>
      <c r="O513" s="2"/>
      <c r="AE513" s="24"/>
    </row>
    <row r="514">
      <c r="A514" s="11"/>
      <c r="B514" s="23"/>
      <c r="C514" s="23"/>
      <c r="D514" s="23"/>
      <c r="E514" s="23"/>
      <c r="F514" s="1"/>
      <c r="G514" s="23"/>
      <c r="H514" s="23"/>
      <c r="I514" s="23"/>
      <c r="J514" s="2"/>
      <c r="M514" s="40"/>
      <c r="N514" s="40"/>
      <c r="O514" s="2"/>
      <c r="AE514" s="24"/>
    </row>
    <row r="515">
      <c r="A515" s="11"/>
      <c r="B515" s="23"/>
      <c r="C515" s="23"/>
      <c r="D515" s="23"/>
      <c r="E515" s="23"/>
      <c r="F515" s="1"/>
      <c r="G515" s="23"/>
      <c r="H515" s="23"/>
      <c r="I515" s="23"/>
      <c r="J515" s="2"/>
      <c r="M515" s="40"/>
      <c r="N515" s="40"/>
      <c r="O515" s="2"/>
      <c r="AE515" s="24"/>
    </row>
    <row r="516">
      <c r="A516" s="11"/>
      <c r="B516" s="23"/>
      <c r="C516" s="23"/>
      <c r="D516" s="23"/>
      <c r="E516" s="23"/>
      <c r="F516" s="1"/>
      <c r="G516" s="23"/>
      <c r="H516" s="23"/>
      <c r="I516" s="23"/>
      <c r="J516" s="2"/>
      <c r="M516" s="40"/>
      <c r="N516" s="40"/>
      <c r="O516" s="2"/>
      <c r="AE516" s="24"/>
    </row>
    <row r="517">
      <c r="A517" s="11"/>
      <c r="B517" s="23"/>
      <c r="C517" s="23"/>
      <c r="D517" s="23"/>
      <c r="E517" s="23"/>
      <c r="F517" s="1"/>
      <c r="G517" s="23"/>
      <c r="H517" s="23"/>
      <c r="I517" s="23"/>
      <c r="J517" s="2"/>
      <c r="M517" s="40"/>
      <c r="N517" s="40"/>
      <c r="O517" s="2"/>
      <c r="AE517" s="24"/>
    </row>
    <row r="518">
      <c r="A518" s="11"/>
      <c r="B518" s="23"/>
      <c r="C518" s="23"/>
      <c r="D518" s="23"/>
      <c r="E518" s="23"/>
      <c r="F518" s="1"/>
      <c r="G518" s="23"/>
      <c r="H518" s="23"/>
      <c r="I518" s="23"/>
      <c r="J518" s="2"/>
      <c r="M518" s="40"/>
      <c r="N518" s="40"/>
      <c r="O518" s="2"/>
      <c r="AE518" s="24"/>
    </row>
    <row r="519">
      <c r="A519" s="11"/>
      <c r="B519" s="23"/>
      <c r="C519" s="23"/>
      <c r="D519" s="23"/>
      <c r="E519" s="23"/>
      <c r="F519" s="1"/>
      <c r="G519" s="23"/>
      <c r="H519" s="23"/>
      <c r="I519" s="23"/>
      <c r="J519" s="2"/>
      <c r="M519" s="40"/>
      <c r="N519" s="40"/>
      <c r="O519" s="2"/>
      <c r="AE519" s="24"/>
    </row>
    <row r="520">
      <c r="A520" s="11"/>
      <c r="B520" s="23"/>
      <c r="C520" s="23"/>
      <c r="D520" s="23"/>
      <c r="E520" s="23"/>
      <c r="F520" s="1"/>
      <c r="G520" s="23"/>
      <c r="H520" s="23"/>
      <c r="I520" s="23"/>
      <c r="J520" s="2"/>
      <c r="M520" s="40"/>
      <c r="N520" s="40"/>
      <c r="O520" s="2"/>
      <c r="AE520" s="24"/>
    </row>
    <row r="521">
      <c r="A521" s="11"/>
      <c r="B521" s="23"/>
      <c r="C521" s="23"/>
      <c r="D521" s="23"/>
      <c r="E521" s="23"/>
      <c r="F521" s="1"/>
      <c r="G521" s="23"/>
      <c r="H521" s="23"/>
      <c r="I521" s="23"/>
      <c r="J521" s="2"/>
      <c r="M521" s="40"/>
      <c r="N521" s="40"/>
      <c r="O521" s="2"/>
      <c r="AE521" s="24"/>
    </row>
    <row r="522">
      <c r="A522" s="11"/>
      <c r="B522" s="23"/>
      <c r="C522" s="23"/>
      <c r="D522" s="23"/>
      <c r="E522" s="23"/>
      <c r="F522" s="1"/>
      <c r="G522" s="23"/>
      <c r="H522" s="23"/>
      <c r="I522" s="23"/>
      <c r="J522" s="2"/>
      <c r="M522" s="40"/>
      <c r="N522" s="40"/>
      <c r="O522" s="2"/>
      <c r="AE522" s="24"/>
    </row>
    <row r="523">
      <c r="A523" s="11"/>
      <c r="B523" s="23"/>
      <c r="C523" s="23"/>
      <c r="D523" s="23"/>
      <c r="E523" s="23"/>
      <c r="F523" s="1"/>
      <c r="G523" s="23"/>
      <c r="H523" s="23"/>
      <c r="I523" s="23"/>
      <c r="J523" s="2"/>
      <c r="M523" s="40"/>
      <c r="N523" s="40"/>
      <c r="O523" s="2"/>
      <c r="AE523" s="24"/>
    </row>
    <row r="524">
      <c r="A524" s="11"/>
      <c r="B524" s="23"/>
      <c r="C524" s="23"/>
      <c r="D524" s="23"/>
      <c r="E524" s="23"/>
      <c r="F524" s="1"/>
      <c r="G524" s="23"/>
      <c r="H524" s="23"/>
      <c r="I524" s="23"/>
      <c r="J524" s="2"/>
      <c r="M524" s="40"/>
      <c r="N524" s="40"/>
      <c r="O524" s="2"/>
      <c r="AE524" s="24"/>
    </row>
    <row r="525">
      <c r="A525" s="11"/>
      <c r="B525" s="23"/>
      <c r="C525" s="23"/>
      <c r="D525" s="23"/>
      <c r="E525" s="23"/>
      <c r="F525" s="1"/>
      <c r="G525" s="23"/>
      <c r="H525" s="23"/>
      <c r="I525" s="23"/>
      <c r="J525" s="2"/>
      <c r="M525" s="40"/>
      <c r="N525" s="40"/>
      <c r="O525" s="2"/>
      <c r="AE525" s="24"/>
    </row>
    <row r="526">
      <c r="A526" s="11"/>
      <c r="B526" s="23"/>
      <c r="C526" s="23"/>
      <c r="D526" s="23"/>
      <c r="E526" s="23"/>
      <c r="F526" s="1"/>
      <c r="G526" s="23"/>
      <c r="H526" s="23"/>
      <c r="I526" s="23"/>
      <c r="J526" s="2"/>
      <c r="M526" s="40"/>
      <c r="N526" s="40"/>
      <c r="O526" s="2"/>
      <c r="AE526" s="24"/>
    </row>
    <row r="527">
      <c r="A527" s="11"/>
      <c r="B527" s="23"/>
      <c r="C527" s="23"/>
      <c r="D527" s="23"/>
      <c r="E527" s="23"/>
      <c r="F527" s="1"/>
      <c r="G527" s="23"/>
      <c r="H527" s="23"/>
      <c r="I527" s="23"/>
      <c r="J527" s="2"/>
      <c r="M527" s="40"/>
      <c r="N527" s="40"/>
      <c r="O527" s="2"/>
      <c r="AE527" s="24"/>
    </row>
    <row r="528">
      <c r="A528" s="11"/>
      <c r="B528" s="23"/>
      <c r="C528" s="23"/>
      <c r="D528" s="23"/>
      <c r="E528" s="23"/>
      <c r="F528" s="1"/>
      <c r="G528" s="23"/>
      <c r="H528" s="23"/>
      <c r="I528" s="23"/>
      <c r="J528" s="2"/>
      <c r="M528" s="40"/>
      <c r="N528" s="40"/>
      <c r="O528" s="2"/>
      <c r="AE528" s="24"/>
    </row>
    <row r="529">
      <c r="A529" s="11"/>
      <c r="B529" s="23"/>
      <c r="C529" s="23"/>
      <c r="D529" s="23"/>
      <c r="E529" s="23"/>
      <c r="F529" s="1"/>
      <c r="G529" s="23"/>
      <c r="H529" s="23"/>
      <c r="I529" s="23"/>
      <c r="J529" s="2"/>
      <c r="M529" s="40"/>
      <c r="N529" s="40"/>
      <c r="O529" s="2"/>
      <c r="AE529" s="24"/>
    </row>
    <row r="530">
      <c r="A530" s="11"/>
      <c r="B530" s="23"/>
      <c r="C530" s="23"/>
      <c r="D530" s="23"/>
      <c r="E530" s="23"/>
      <c r="F530" s="1"/>
      <c r="G530" s="23"/>
      <c r="H530" s="23"/>
      <c r="I530" s="23"/>
      <c r="J530" s="2"/>
      <c r="M530" s="40"/>
      <c r="N530" s="40"/>
      <c r="O530" s="2"/>
      <c r="AE530" s="24"/>
    </row>
    <row r="531">
      <c r="A531" s="11"/>
      <c r="B531" s="23"/>
      <c r="C531" s="23"/>
      <c r="D531" s="23"/>
      <c r="E531" s="23"/>
      <c r="F531" s="1"/>
      <c r="G531" s="23"/>
      <c r="H531" s="23"/>
      <c r="I531" s="23"/>
      <c r="J531" s="2"/>
      <c r="M531" s="40"/>
      <c r="N531" s="40"/>
      <c r="O531" s="2"/>
      <c r="AE531" s="24"/>
    </row>
    <row r="532">
      <c r="A532" s="11"/>
      <c r="B532" s="23"/>
      <c r="C532" s="23"/>
      <c r="D532" s="23"/>
      <c r="E532" s="23"/>
      <c r="F532" s="1"/>
      <c r="G532" s="23"/>
      <c r="H532" s="23"/>
      <c r="I532" s="23"/>
      <c r="J532" s="2"/>
      <c r="M532" s="40"/>
      <c r="N532" s="40"/>
      <c r="O532" s="2"/>
      <c r="AE532" s="24"/>
    </row>
    <row r="533">
      <c r="A533" s="11"/>
      <c r="B533" s="23"/>
      <c r="C533" s="23"/>
      <c r="D533" s="23"/>
      <c r="E533" s="23"/>
      <c r="F533" s="1"/>
      <c r="G533" s="23"/>
      <c r="H533" s="23"/>
      <c r="I533" s="23"/>
      <c r="J533" s="2"/>
      <c r="M533" s="40"/>
      <c r="N533" s="40"/>
      <c r="O533" s="2"/>
      <c r="AE533" s="24"/>
    </row>
    <row r="534">
      <c r="A534" s="11"/>
      <c r="B534" s="23"/>
      <c r="C534" s="23"/>
      <c r="D534" s="23"/>
      <c r="E534" s="23"/>
      <c r="F534" s="1"/>
      <c r="G534" s="23"/>
      <c r="H534" s="23"/>
      <c r="I534" s="23"/>
      <c r="J534" s="2"/>
      <c r="M534" s="40"/>
      <c r="N534" s="40"/>
      <c r="O534" s="2"/>
      <c r="AE534" s="24"/>
    </row>
    <row r="535">
      <c r="A535" s="11"/>
      <c r="B535" s="23"/>
      <c r="C535" s="23"/>
      <c r="D535" s="23"/>
      <c r="E535" s="23"/>
      <c r="F535" s="1"/>
      <c r="G535" s="23"/>
      <c r="H535" s="23"/>
      <c r="I535" s="23"/>
      <c r="J535" s="2"/>
      <c r="M535" s="40"/>
      <c r="N535" s="40"/>
      <c r="O535" s="2"/>
      <c r="AE535" s="24"/>
    </row>
    <row r="536">
      <c r="A536" s="11"/>
      <c r="B536" s="23"/>
      <c r="C536" s="23"/>
      <c r="D536" s="23"/>
      <c r="E536" s="23"/>
      <c r="F536" s="1"/>
      <c r="G536" s="23"/>
      <c r="H536" s="23"/>
      <c r="I536" s="23"/>
      <c r="J536" s="2"/>
      <c r="M536" s="40"/>
      <c r="N536" s="40"/>
      <c r="O536" s="2"/>
      <c r="AE536" s="24"/>
    </row>
    <row r="537">
      <c r="A537" s="11"/>
      <c r="B537" s="23"/>
      <c r="C537" s="23"/>
      <c r="D537" s="23"/>
      <c r="E537" s="23"/>
      <c r="F537" s="1"/>
      <c r="G537" s="23"/>
      <c r="H537" s="23"/>
      <c r="I537" s="23"/>
      <c r="J537" s="2"/>
      <c r="M537" s="40"/>
      <c r="N537" s="40"/>
      <c r="O537" s="2"/>
      <c r="AE537" s="24"/>
    </row>
    <row r="538">
      <c r="A538" s="11"/>
      <c r="B538" s="23"/>
      <c r="C538" s="23"/>
      <c r="D538" s="23"/>
      <c r="E538" s="23"/>
      <c r="F538" s="1"/>
      <c r="G538" s="23"/>
      <c r="H538" s="23"/>
      <c r="I538" s="23"/>
      <c r="J538" s="2"/>
      <c r="M538" s="40"/>
      <c r="N538" s="40"/>
      <c r="O538" s="2"/>
      <c r="AE538" s="24"/>
    </row>
    <row r="539">
      <c r="A539" s="11"/>
      <c r="B539" s="23"/>
      <c r="C539" s="23"/>
      <c r="D539" s="23"/>
      <c r="E539" s="23"/>
      <c r="F539" s="1"/>
      <c r="G539" s="23"/>
      <c r="H539" s="23"/>
      <c r="I539" s="23"/>
      <c r="J539" s="2"/>
      <c r="M539" s="40"/>
      <c r="N539" s="40"/>
      <c r="O539" s="2"/>
      <c r="AE539" s="24"/>
    </row>
    <row r="540">
      <c r="A540" s="11"/>
      <c r="B540" s="23"/>
      <c r="C540" s="23"/>
      <c r="D540" s="23"/>
      <c r="E540" s="23"/>
      <c r="F540" s="1"/>
      <c r="G540" s="23"/>
      <c r="H540" s="23"/>
      <c r="I540" s="23"/>
      <c r="J540" s="2"/>
      <c r="M540" s="40"/>
      <c r="N540" s="40"/>
      <c r="O540" s="2"/>
      <c r="AE540" s="24"/>
    </row>
    <row r="541">
      <c r="A541" s="11"/>
      <c r="B541" s="23"/>
      <c r="C541" s="23"/>
      <c r="D541" s="23"/>
      <c r="E541" s="23"/>
      <c r="F541" s="1"/>
      <c r="G541" s="23"/>
      <c r="H541" s="23"/>
      <c r="I541" s="23"/>
      <c r="J541" s="2"/>
      <c r="M541" s="40"/>
      <c r="N541" s="40"/>
      <c r="O541" s="2"/>
      <c r="AE541" s="24"/>
    </row>
    <row r="542">
      <c r="A542" s="11"/>
      <c r="B542" s="23"/>
      <c r="C542" s="23"/>
      <c r="D542" s="23"/>
      <c r="E542" s="23"/>
      <c r="F542" s="1"/>
      <c r="G542" s="23"/>
      <c r="H542" s="23"/>
      <c r="I542" s="23"/>
      <c r="J542" s="2"/>
      <c r="M542" s="40"/>
      <c r="N542" s="40"/>
      <c r="O542" s="2"/>
      <c r="AE542" s="24"/>
    </row>
    <row r="543">
      <c r="A543" s="11"/>
      <c r="B543" s="23"/>
      <c r="C543" s="23"/>
      <c r="D543" s="23"/>
      <c r="E543" s="23"/>
      <c r="F543" s="1"/>
      <c r="G543" s="23"/>
      <c r="H543" s="23"/>
      <c r="I543" s="23"/>
      <c r="J543" s="2"/>
      <c r="M543" s="40"/>
      <c r="N543" s="40"/>
      <c r="O543" s="2"/>
      <c r="AE543" s="24"/>
    </row>
    <row r="544">
      <c r="A544" s="11"/>
      <c r="B544" s="23"/>
      <c r="C544" s="23"/>
      <c r="D544" s="23"/>
      <c r="E544" s="23"/>
      <c r="F544" s="1"/>
      <c r="G544" s="23"/>
      <c r="H544" s="23"/>
      <c r="I544" s="23"/>
      <c r="J544" s="2"/>
      <c r="M544" s="40"/>
      <c r="N544" s="40"/>
      <c r="O544" s="2"/>
      <c r="AE544" s="24"/>
    </row>
    <row r="545">
      <c r="A545" s="11"/>
      <c r="B545" s="23"/>
      <c r="C545" s="23"/>
      <c r="D545" s="23"/>
      <c r="E545" s="23"/>
      <c r="F545" s="1"/>
      <c r="G545" s="23"/>
      <c r="H545" s="23"/>
      <c r="I545" s="23"/>
      <c r="J545" s="2"/>
      <c r="M545" s="40"/>
      <c r="N545" s="40"/>
      <c r="O545" s="2"/>
      <c r="AE545" s="24"/>
    </row>
    <row r="546">
      <c r="A546" s="11"/>
      <c r="B546" s="23"/>
      <c r="C546" s="23"/>
      <c r="D546" s="23"/>
      <c r="E546" s="23"/>
      <c r="F546" s="1"/>
      <c r="G546" s="23"/>
      <c r="H546" s="23"/>
      <c r="I546" s="23"/>
      <c r="J546" s="2"/>
      <c r="M546" s="40"/>
      <c r="N546" s="40"/>
      <c r="O546" s="2"/>
      <c r="AE546" s="24"/>
    </row>
    <row r="547">
      <c r="A547" s="11"/>
      <c r="B547" s="23"/>
      <c r="C547" s="23"/>
      <c r="D547" s="23"/>
      <c r="E547" s="23"/>
      <c r="F547" s="1"/>
      <c r="G547" s="23"/>
      <c r="H547" s="23"/>
      <c r="I547" s="23"/>
      <c r="J547" s="2"/>
      <c r="M547" s="40"/>
      <c r="N547" s="40"/>
      <c r="O547" s="2"/>
      <c r="AE547" s="24"/>
    </row>
    <row r="548">
      <c r="A548" s="11"/>
      <c r="B548" s="23"/>
      <c r="C548" s="23"/>
      <c r="D548" s="23"/>
      <c r="E548" s="23"/>
      <c r="F548" s="1"/>
      <c r="G548" s="23"/>
      <c r="H548" s="23"/>
      <c r="I548" s="23"/>
      <c r="J548" s="2"/>
      <c r="M548" s="40"/>
      <c r="N548" s="40"/>
      <c r="O548" s="2"/>
      <c r="AE548" s="24"/>
    </row>
    <row r="549">
      <c r="A549" s="11"/>
      <c r="B549" s="23"/>
      <c r="C549" s="23"/>
      <c r="D549" s="23"/>
      <c r="E549" s="23"/>
      <c r="F549" s="1"/>
      <c r="G549" s="23"/>
      <c r="H549" s="23"/>
      <c r="I549" s="23"/>
      <c r="J549" s="2"/>
      <c r="M549" s="40"/>
      <c r="N549" s="40"/>
      <c r="O549" s="2"/>
      <c r="AE549" s="24"/>
    </row>
    <row r="550">
      <c r="A550" s="11"/>
      <c r="B550" s="23"/>
      <c r="C550" s="23"/>
      <c r="D550" s="23"/>
      <c r="E550" s="23"/>
      <c r="F550" s="1"/>
      <c r="G550" s="23"/>
      <c r="H550" s="23"/>
      <c r="I550" s="23"/>
      <c r="J550" s="2"/>
      <c r="M550" s="40"/>
      <c r="N550" s="40"/>
      <c r="O550" s="2"/>
      <c r="AE550" s="24"/>
    </row>
    <row r="551">
      <c r="A551" s="11"/>
      <c r="B551" s="23"/>
      <c r="C551" s="23"/>
      <c r="D551" s="23"/>
      <c r="E551" s="23"/>
      <c r="F551" s="1"/>
      <c r="G551" s="23"/>
      <c r="H551" s="23"/>
      <c r="I551" s="23"/>
      <c r="J551" s="2"/>
      <c r="M551" s="40"/>
      <c r="N551" s="40"/>
      <c r="O551" s="2"/>
      <c r="AE551" s="24"/>
    </row>
    <row r="552">
      <c r="A552" s="11"/>
      <c r="B552" s="23"/>
      <c r="C552" s="23"/>
      <c r="D552" s="23"/>
      <c r="E552" s="23"/>
      <c r="F552" s="1"/>
      <c r="G552" s="23"/>
      <c r="H552" s="23"/>
      <c r="I552" s="23"/>
      <c r="J552" s="2"/>
      <c r="M552" s="40"/>
      <c r="N552" s="40"/>
      <c r="O552" s="2"/>
      <c r="AE552" s="24"/>
    </row>
    <row r="553">
      <c r="A553" s="11"/>
      <c r="B553" s="23"/>
      <c r="C553" s="23"/>
      <c r="D553" s="23"/>
      <c r="E553" s="23"/>
      <c r="F553" s="1"/>
      <c r="G553" s="23"/>
      <c r="H553" s="23"/>
      <c r="I553" s="23"/>
      <c r="J553" s="2"/>
      <c r="M553" s="40"/>
      <c r="N553" s="40"/>
      <c r="O553" s="2"/>
      <c r="AE553" s="24"/>
    </row>
    <row r="554">
      <c r="A554" s="11"/>
      <c r="B554" s="23"/>
      <c r="C554" s="23"/>
      <c r="D554" s="23"/>
      <c r="E554" s="23"/>
      <c r="F554" s="1"/>
      <c r="G554" s="23"/>
      <c r="H554" s="23"/>
      <c r="I554" s="23"/>
      <c r="J554" s="2"/>
      <c r="M554" s="40"/>
      <c r="N554" s="40"/>
      <c r="O554" s="2"/>
      <c r="AE554" s="24"/>
    </row>
    <row r="555">
      <c r="A555" s="11"/>
      <c r="B555" s="23"/>
      <c r="C555" s="23"/>
      <c r="D555" s="23"/>
      <c r="E555" s="23"/>
      <c r="F555" s="1"/>
      <c r="G555" s="23"/>
      <c r="H555" s="23"/>
      <c r="I555" s="23"/>
      <c r="J555" s="2"/>
      <c r="M555" s="40"/>
      <c r="N555" s="40"/>
      <c r="O555" s="2"/>
      <c r="AE555" s="24"/>
    </row>
    <row r="556">
      <c r="A556" s="11"/>
      <c r="B556" s="23"/>
      <c r="C556" s="23"/>
      <c r="D556" s="23"/>
      <c r="E556" s="23"/>
      <c r="F556" s="1"/>
      <c r="G556" s="23"/>
      <c r="H556" s="23"/>
      <c r="I556" s="23"/>
      <c r="J556" s="2"/>
      <c r="M556" s="40"/>
      <c r="N556" s="40"/>
      <c r="O556" s="2"/>
      <c r="AE556" s="24"/>
    </row>
    <row r="557">
      <c r="A557" s="11"/>
      <c r="B557" s="23"/>
      <c r="C557" s="23"/>
      <c r="D557" s="23"/>
      <c r="E557" s="23"/>
      <c r="F557" s="1"/>
      <c r="G557" s="23"/>
      <c r="H557" s="23"/>
      <c r="I557" s="23"/>
      <c r="J557" s="2"/>
      <c r="M557" s="40"/>
      <c r="N557" s="40"/>
      <c r="O557" s="2"/>
      <c r="AE557" s="24"/>
    </row>
    <row r="558">
      <c r="A558" s="11"/>
      <c r="B558" s="23"/>
      <c r="C558" s="23"/>
      <c r="D558" s="23"/>
      <c r="E558" s="23"/>
      <c r="F558" s="1"/>
      <c r="G558" s="23"/>
      <c r="H558" s="23"/>
      <c r="I558" s="23"/>
      <c r="J558" s="2"/>
      <c r="M558" s="40"/>
      <c r="N558" s="40"/>
      <c r="O558" s="2"/>
      <c r="AE558" s="24"/>
    </row>
    <row r="559">
      <c r="A559" s="11"/>
      <c r="B559" s="23"/>
      <c r="C559" s="23"/>
      <c r="D559" s="23"/>
      <c r="E559" s="23"/>
      <c r="F559" s="1"/>
      <c r="G559" s="23"/>
      <c r="H559" s="23"/>
      <c r="I559" s="23"/>
      <c r="J559" s="2"/>
      <c r="M559" s="40"/>
      <c r="N559" s="40"/>
      <c r="O559" s="2"/>
      <c r="AE559" s="24"/>
    </row>
    <row r="560">
      <c r="A560" s="11"/>
      <c r="B560" s="23"/>
      <c r="C560" s="23"/>
      <c r="D560" s="23"/>
      <c r="E560" s="23"/>
      <c r="F560" s="1"/>
      <c r="G560" s="23"/>
      <c r="H560" s="23"/>
      <c r="I560" s="23"/>
      <c r="J560" s="2"/>
      <c r="M560" s="40"/>
      <c r="N560" s="40"/>
      <c r="O560" s="2"/>
      <c r="AE560" s="24"/>
    </row>
    <row r="561">
      <c r="A561" s="11"/>
      <c r="B561" s="23"/>
      <c r="C561" s="23"/>
      <c r="D561" s="23"/>
      <c r="E561" s="23"/>
      <c r="F561" s="1"/>
      <c r="G561" s="23"/>
      <c r="H561" s="23"/>
      <c r="I561" s="23"/>
      <c r="J561" s="2"/>
      <c r="M561" s="40"/>
      <c r="N561" s="40"/>
      <c r="O561" s="2"/>
      <c r="AE561" s="24"/>
    </row>
    <row r="562">
      <c r="A562" s="11"/>
      <c r="B562" s="23"/>
      <c r="C562" s="23"/>
      <c r="D562" s="23"/>
      <c r="E562" s="23"/>
      <c r="F562" s="1"/>
      <c r="G562" s="23"/>
      <c r="H562" s="23"/>
      <c r="I562" s="23"/>
      <c r="J562" s="2"/>
      <c r="M562" s="40"/>
      <c r="N562" s="40"/>
      <c r="O562" s="2"/>
      <c r="AE562" s="24"/>
    </row>
    <row r="563">
      <c r="A563" s="11"/>
      <c r="B563" s="23"/>
      <c r="C563" s="23"/>
      <c r="D563" s="23"/>
      <c r="E563" s="23"/>
      <c r="F563" s="1"/>
      <c r="G563" s="23"/>
      <c r="H563" s="23"/>
      <c r="I563" s="23"/>
      <c r="J563" s="2"/>
      <c r="M563" s="40"/>
      <c r="N563" s="40"/>
      <c r="O563" s="2"/>
      <c r="AE563" s="24"/>
    </row>
    <row r="564">
      <c r="A564" s="11"/>
      <c r="B564" s="23"/>
      <c r="C564" s="23"/>
      <c r="D564" s="23"/>
      <c r="E564" s="23"/>
      <c r="F564" s="1"/>
      <c r="G564" s="23"/>
      <c r="H564" s="23"/>
      <c r="I564" s="23"/>
      <c r="J564" s="2"/>
      <c r="M564" s="40"/>
      <c r="N564" s="40"/>
      <c r="O564" s="2"/>
      <c r="AE564" s="24"/>
    </row>
    <row r="565">
      <c r="A565" s="11"/>
      <c r="B565" s="23"/>
      <c r="C565" s="23"/>
      <c r="D565" s="23"/>
      <c r="E565" s="23"/>
      <c r="F565" s="1"/>
      <c r="G565" s="23"/>
      <c r="H565" s="23"/>
      <c r="I565" s="23"/>
      <c r="J565" s="2"/>
      <c r="M565" s="40"/>
      <c r="N565" s="40"/>
      <c r="O565" s="2"/>
      <c r="AE565" s="24"/>
    </row>
    <row r="566">
      <c r="A566" s="11"/>
      <c r="B566" s="23"/>
      <c r="C566" s="23"/>
      <c r="D566" s="23"/>
      <c r="E566" s="23"/>
      <c r="F566" s="1"/>
      <c r="G566" s="23"/>
      <c r="H566" s="23"/>
      <c r="I566" s="23"/>
      <c r="J566" s="2"/>
      <c r="M566" s="40"/>
      <c r="N566" s="40"/>
      <c r="O566" s="2"/>
      <c r="AE566" s="24"/>
    </row>
    <row r="567">
      <c r="A567" s="11"/>
      <c r="B567" s="23"/>
      <c r="C567" s="23"/>
      <c r="D567" s="23"/>
      <c r="E567" s="23"/>
      <c r="F567" s="1"/>
      <c r="G567" s="23"/>
      <c r="H567" s="23"/>
      <c r="I567" s="23"/>
      <c r="J567" s="2"/>
      <c r="M567" s="40"/>
      <c r="N567" s="40"/>
      <c r="O567" s="2"/>
      <c r="AE567" s="24"/>
    </row>
    <row r="568">
      <c r="A568" s="11"/>
      <c r="B568" s="23"/>
      <c r="C568" s="23"/>
      <c r="D568" s="23"/>
      <c r="E568" s="23"/>
      <c r="F568" s="1"/>
      <c r="G568" s="23"/>
      <c r="H568" s="23"/>
      <c r="I568" s="23"/>
      <c r="J568" s="2"/>
      <c r="M568" s="40"/>
      <c r="N568" s="40"/>
      <c r="O568" s="2"/>
      <c r="AE568" s="24"/>
    </row>
    <row r="569">
      <c r="A569" s="11"/>
      <c r="B569" s="23"/>
      <c r="C569" s="23"/>
      <c r="D569" s="23"/>
      <c r="E569" s="23"/>
      <c r="F569" s="1"/>
      <c r="G569" s="23"/>
      <c r="H569" s="23"/>
      <c r="I569" s="23"/>
      <c r="J569" s="2"/>
      <c r="M569" s="40"/>
      <c r="N569" s="40"/>
      <c r="O569" s="2"/>
      <c r="AE569" s="24"/>
    </row>
    <row r="570">
      <c r="A570" s="11"/>
      <c r="B570" s="23"/>
      <c r="C570" s="23"/>
      <c r="D570" s="23"/>
      <c r="E570" s="23"/>
      <c r="F570" s="1"/>
      <c r="G570" s="23"/>
      <c r="H570" s="23"/>
      <c r="I570" s="23"/>
      <c r="J570" s="2"/>
      <c r="M570" s="40"/>
      <c r="N570" s="40"/>
      <c r="O570" s="2"/>
      <c r="AE570" s="24"/>
    </row>
    <row r="571">
      <c r="A571" s="11"/>
      <c r="B571" s="23"/>
      <c r="C571" s="23"/>
      <c r="D571" s="23"/>
      <c r="E571" s="23"/>
      <c r="F571" s="1"/>
      <c r="G571" s="23"/>
      <c r="H571" s="23"/>
      <c r="I571" s="23"/>
      <c r="J571" s="2"/>
      <c r="M571" s="40"/>
      <c r="N571" s="40"/>
      <c r="O571" s="2"/>
      <c r="AE571" s="24"/>
    </row>
    <row r="572">
      <c r="A572" s="11"/>
      <c r="B572" s="23"/>
      <c r="C572" s="23"/>
      <c r="D572" s="23"/>
      <c r="E572" s="23"/>
      <c r="F572" s="1"/>
      <c r="G572" s="23"/>
      <c r="H572" s="23"/>
      <c r="I572" s="23"/>
      <c r="J572" s="2"/>
      <c r="M572" s="40"/>
      <c r="N572" s="40"/>
      <c r="O572" s="2"/>
      <c r="AE572" s="24"/>
    </row>
    <row r="573">
      <c r="A573" s="11"/>
      <c r="B573" s="23"/>
      <c r="C573" s="23"/>
      <c r="D573" s="23"/>
      <c r="E573" s="23"/>
      <c r="F573" s="1"/>
      <c r="G573" s="23"/>
      <c r="H573" s="23"/>
      <c r="I573" s="23"/>
      <c r="J573" s="2"/>
      <c r="M573" s="40"/>
      <c r="N573" s="40"/>
      <c r="O573" s="2"/>
      <c r="AE573" s="24"/>
    </row>
    <row r="574">
      <c r="A574" s="11"/>
      <c r="B574" s="23"/>
      <c r="C574" s="23"/>
      <c r="D574" s="23"/>
      <c r="E574" s="23"/>
      <c r="F574" s="1"/>
      <c r="G574" s="23"/>
      <c r="H574" s="23"/>
      <c r="I574" s="23"/>
      <c r="J574" s="2"/>
      <c r="M574" s="40"/>
      <c r="N574" s="40"/>
      <c r="O574" s="2"/>
      <c r="AE574" s="24"/>
    </row>
    <row r="575">
      <c r="A575" s="11"/>
      <c r="B575" s="23"/>
      <c r="C575" s="23"/>
      <c r="D575" s="23"/>
      <c r="E575" s="23"/>
      <c r="F575" s="1"/>
      <c r="G575" s="23"/>
      <c r="H575" s="23"/>
      <c r="I575" s="23"/>
      <c r="J575" s="2"/>
      <c r="M575" s="40"/>
      <c r="N575" s="40"/>
      <c r="O575" s="2"/>
      <c r="AE575" s="24"/>
    </row>
    <row r="576">
      <c r="A576" s="11"/>
      <c r="B576" s="23"/>
      <c r="C576" s="23"/>
      <c r="D576" s="23"/>
      <c r="E576" s="23"/>
      <c r="F576" s="1"/>
      <c r="G576" s="23"/>
      <c r="H576" s="23"/>
      <c r="I576" s="23"/>
      <c r="J576" s="2"/>
      <c r="M576" s="40"/>
      <c r="N576" s="40"/>
      <c r="O576" s="2"/>
      <c r="AE576" s="24"/>
    </row>
    <row r="577">
      <c r="A577" s="11"/>
      <c r="B577" s="23"/>
      <c r="C577" s="23"/>
      <c r="D577" s="23"/>
      <c r="E577" s="23"/>
      <c r="F577" s="1"/>
      <c r="G577" s="23"/>
      <c r="H577" s="23"/>
      <c r="I577" s="23"/>
      <c r="J577" s="2"/>
      <c r="M577" s="40"/>
      <c r="N577" s="40"/>
      <c r="O577" s="2"/>
      <c r="AE577" s="24"/>
    </row>
    <row r="578">
      <c r="A578" s="11"/>
      <c r="B578" s="23"/>
      <c r="C578" s="23"/>
      <c r="D578" s="23"/>
      <c r="E578" s="23"/>
      <c r="F578" s="1"/>
      <c r="G578" s="23"/>
      <c r="H578" s="23"/>
      <c r="I578" s="23"/>
      <c r="J578" s="2"/>
      <c r="M578" s="40"/>
      <c r="N578" s="40"/>
      <c r="O578" s="2"/>
      <c r="AE578" s="24"/>
    </row>
    <row r="579">
      <c r="A579" s="11"/>
      <c r="B579" s="23"/>
      <c r="C579" s="23"/>
      <c r="D579" s="23"/>
      <c r="E579" s="23"/>
      <c r="F579" s="1"/>
      <c r="G579" s="23"/>
      <c r="H579" s="23"/>
      <c r="I579" s="23"/>
      <c r="J579" s="2"/>
      <c r="M579" s="40"/>
      <c r="N579" s="40"/>
      <c r="O579" s="2"/>
      <c r="AE579" s="24"/>
    </row>
    <row r="580">
      <c r="A580" s="11"/>
      <c r="B580" s="23"/>
      <c r="C580" s="23"/>
      <c r="D580" s="23"/>
      <c r="E580" s="23"/>
      <c r="F580" s="1"/>
      <c r="G580" s="23"/>
      <c r="H580" s="23"/>
      <c r="I580" s="23"/>
      <c r="J580" s="2"/>
      <c r="M580" s="40"/>
      <c r="N580" s="40"/>
      <c r="O580" s="2"/>
      <c r="AE580" s="24"/>
    </row>
    <row r="581">
      <c r="A581" s="11"/>
      <c r="B581" s="23"/>
      <c r="C581" s="23"/>
      <c r="D581" s="23"/>
      <c r="E581" s="23"/>
      <c r="F581" s="1"/>
      <c r="G581" s="23"/>
      <c r="H581" s="23"/>
      <c r="I581" s="23"/>
      <c r="J581" s="2"/>
      <c r="M581" s="40"/>
      <c r="N581" s="40"/>
      <c r="O581" s="2"/>
      <c r="AE581" s="24"/>
    </row>
    <row r="582">
      <c r="A582" s="11"/>
      <c r="B582" s="23"/>
      <c r="C582" s="23"/>
      <c r="D582" s="23"/>
      <c r="E582" s="23"/>
      <c r="F582" s="1"/>
      <c r="G582" s="23"/>
      <c r="H582" s="23"/>
      <c r="I582" s="23"/>
      <c r="J582" s="2"/>
      <c r="M582" s="40"/>
      <c r="N582" s="40"/>
      <c r="O582" s="2"/>
      <c r="AE582" s="24"/>
    </row>
    <row r="583">
      <c r="A583" s="11"/>
      <c r="B583" s="23"/>
      <c r="C583" s="23"/>
      <c r="D583" s="23"/>
      <c r="E583" s="23"/>
      <c r="F583" s="1"/>
      <c r="G583" s="23"/>
      <c r="H583" s="23"/>
      <c r="I583" s="23"/>
      <c r="J583" s="2"/>
      <c r="M583" s="40"/>
      <c r="N583" s="40"/>
      <c r="O583" s="2"/>
      <c r="AE583" s="24"/>
    </row>
    <row r="584">
      <c r="A584" s="11"/>
      <c r="B584" s="23"/>
      <c r="C584" s="23"/>
      <c r="D584" s="23"/>
      <c r="E584" s="23"/>
      <c r="F584" s="1"/>
      <c r="G584" s="23"/>
      <c r="H584" s="23"/>
      <c r="I584" s="23"/>
      <c r="J584" s="2"/>
      <c r="M584" s="40"/>
      <c r="N584" s="40"/>
      <c r="O584" s="2"/>
      <c r="AE584" s="24"/>
    </row>
    <row r="585">
      <c r="A585" s="11"/>
      <c r="B585" s="23"/>
      <c r="C585" s="23"/>
      <c r="D585" s="23"/>
      <c r="E585" s="23"/>
      <c r="F585" s="1"/>
      <c r="G585" s="23"/>
      <c r="H585" s="23"/>
      <c r="I585" s="23"/>
      <c r="J585" s="2"/>
      <c r="M585" s="40"/>
      <c r="N585" s="40"/>
      <c r="O585" s="2"/>
      <c r="AE585" s="24"/>
    </row>
    <row r="586">
      <c r="A586" s="11"/>
      <c r="B586" s="23"/>
      <c r="C586" s="23"/>
      <c r="D586" s="23"/>
      <c r="E586" s="23"/>
      <c r="F586" s="1"/>
      <c r="G586" s="23"/>
      <c r="H586" s="23"/>
      <c r="I586" s="23"/>
      <c r="J586" s="2"/>
      <c r="M586" s="40"/>
      <c r="N586" s="40"/>
      <c r="O586" s="2"/>
      <c r="AE586" s="24"/>
    </row>
    <row r="587">
      <c r="A587" s="11"/>
      <c r="B587" s="23"/>
      <c r="C587" s="23"/>
      <c r="D587" s="23"/>
      <c r="E587" s="23"/>
      <c r="F587" s="1"/>
      <c r="G587" s="23"/>
      <c r="H587" s="23"/>
      <c r="I587" s="23"/>
      <c r="J587" s="2"/>
      <c r="M587" s="40"/>
      <c r="N587" s="40"/>
      <c r="O587" s="2"/>
      <c r="AE587" s="24"/>
    </row>
    <row r="588">
      <c r="A588" s="11"/>
      <c r="B588" s="23"/>
      <c r="C588" s="23"/>
      <c r="D588" s="23"/>
      <c r="E588" s="23"/>
      <c r="F588" s="1"/>
      <c r="G588" s="23"/>
      <c r="H588" s="23"/>
      <c r="I588" s="23"/>
      <c r="J588" s="2"/>
      <c r="M588" s="40"/>
      <c r="N588" s="40"/>
      <c r="O588" s="2"/>
      <c r="AE588" s="24"/>
    </row>
    <row r="589">
      <c r="A589" s="11"/>
      <c r="B589" s="23"/>
      <c r="C589" s="23"/>
      <c r="D589" s="23"/>
      <c r="E589" s="23"/>
      <c r="F589" s="1"/>
      <c r="G589" s="23"/>
      <c r="H589" s="23"/>
      <c r="I589" s="23"/>
      <c r="J589" s="2"/>
      <c r="M589" s="40"/>
      <c r="N589" s="40"/>
      <c r="O589" s="2"/>
      <c r="AE589" s="24"/>
    </row>
    <row r="590">
      <c r="A590" s="11"/>
      <c r="B590" s="23"/>
      <c r="C590" s="23"/>
      <c r="D590" s="23"/>
      <c r="E590" s="23"/>
      <c r="F590" s="1"/>
      <c r="G590" s="23"/>
      <c r="H590" s="23"/>
      <c r="I590" s="23"/>
      <c r="J590" s="2"/>
      <c r="M590" s="40"/>
      <c r="N590" s="40"/>
      <c r="O590" s="2"/>
      <c r="AE590" s="24"/>
    </row>
    <row r="591">
      <c r="A591" s="11"/>
      <c r="B591" s="23"/>
      <c r="C591" s="23"/>
      <c r="D591" s="23"/>
      <c r="E591" s="23"/>
      <c r="F591" s="1"/>
      <c r="G591" s="23"/>
      <c r="H591" s="23"/>
      <c r="I591" s="23"/>
      <c r="J591" s="2"/>
      <c r="M591" s="40"/>
      <c r="N591" s="40"/>
      <c r="O591" s="2"/>
      <c r="AE591" s="24"/>
    </row>
    <row r="592">
      <c r="A592" s="11"/>
      <c r="B592" s="23"/>
      <c r="C592" s="23"/>
      <c r="D592" s="23"/>
      <c r="E592" s="23"/>
      <c r="F592" s="1"/>
      <c r="G592" s="23"/>
      <c r="H592" s="23"/>
      <c r="I592" s="23"/>
      <c r="J592" s="2"/>
      <c r="M592" s="40"/>
      <c r="N592" s="40"/>
      <c r="O592" s="2"/>
      <c r="AE592" s="24"/>
    </row>
    <row r="593">
      <c r="A593" s="11"/>
      <c r="B593" s="23"/>
      <c r="C593" s="23"/>
      <c r="D593" s="23"/>
      <c r="E593" s="23"/>
      <c r="F593" s="1"/>
      <c r="G593" s="23"/>
      <c r="H593" s="23"/>
      <c r="I593" s="23"/>
      <c r="J593" s="2"/>
      <c r="M593" s="40"/>
      <c r="N593" s="40"/>
      <c r="O593" s="2"/>
      <c r="AE593" s="24"/>
    </row>
    <row r="594">
      <c r="A594" s="11"/>
      <c r="B594" s="23"/>
      <c r="C594" s="23"/>
      <c r="D594" s="23"/>
      <c r="E594" s="23"/>
      <c r="F594" s="1"/>
      <c r="G594" s="23"/>
      <c r="H594" s="23"/>
      <c r="I594" s="23"/>
      <c r="J594" s="2"/>
      <c r="M594" s="40"/>
      <c r="N594" s="40"/>
      <c r="O594" s="2"/>
      <c r="AE594" s="24"/>
    </row>
    <row r="595">
      <c r="A595" s="11"/>
      <c r="B595" s="23"/>
      <c r="C595" s="23"/>
      <c r="D595" s="23"/>
      <c r="E595" s="23"/>
      <c r="F595" s="1"/>
      <c r="G595" s="23"/>
      <c r="H595" s="23"/>
      <c r="I595" s="23"/>
      <c r="J595" s="2"/>
      <c r="M595" s="40"/>
      <c r="N595" s="40"/>
      <c r="O595" s="2"/>
      <c r="AE595" s="24"/>
    </row>
    <row r="596">
      <c r="A596" s="11"/>
      <c r="B596" s="23"/>
      <c r="C596" s="23"/>
      <c r="D596" s="23"/>
      <c r="E596" s="23"/>
      <c r="F596" s="1"/>
      <c r="G596" s="23"/>
      <c r="H596" s="23"/>
      <c r="I596" s="23"/>
      <c r="J596" s="2"/>
      <c r="M596" s="40"/>
      <c r="N596" s="40"/>
      <c r="O596" s="2"/>
      <c r="AE596" s="24"/>
    </row>
    <row r="597">
      <c r="A597" s="11"/>
      <c r="B597" s="23"/>
      <c r="C597" s="23"/>
      <c r="D597" s="23"/>
      <c r="E597" s="23"/>
      <c r="F597" s="1"/>
      <c r="G597" s="23"/>
      <c r="H597" s="23"/>
      <c r="I597" s="23"/>
      <c r="J597" s="2"/>
      <c r="M597" s="40"/>
      <c r="N597" s="40"/>
      <c r="O597" s="2"/>
      <c r="AE597" s="24"/>
    </row>
    <row r="598">
      <c r="A598" s="11"/>
      <c r="B598" s="23"/>
      <c r="C598" s="23"/>
      <c r="D598" s="23"/>
      <c r="E598" s="23"/>
      <c r="F598" s="1"/>
      <c r="G598" s="23"/>
      <c r="H598" s="23"/>
      <c r="I598" s="23"/>
      <c r="J598" s="2"/>
      <c r="M598" s="40"/>
      <c r="N598" s="40"/>
      <c r="O598" s="2"/>
      <c r="AE598" s="24"/>
    </row>
    <row r="599">
      <c r="A599" s="11"/>
      <c r="B599" s="23"/>
      <c r="C599" s="23"/>
      <c r="D599" s="23"/>
      <c r="E599" s="23"/>
      <c r="F599" s="1"/>
      <c r="G599" s="23"/>
      <c r="H599" s="23"/>
      <c r="I599" s="23"/>
      <c r="J599" s="2"/>
      <c r="M599" s="40"/>
      <c r="N599" s="40"/>
      <c r="O599" s="2"/>
      <c r="AE599" s="24"/>
    </row>
    <row r="600">
      <c r="A600" s="11"/>
      <c r="B600" s="23"/>
      <c r="C600" s="23"/>
      <c r="D600" s="23"/>
      <c r="E600" s="23"/>
      <c r="F600" s="1"/>
      <c r="G600" s="23"/>
      <c r="H600" s="23"/>
      <c r="I600" s="23"/>
      <c r="J600" s="2"/>
      <c r="M600" s="40"/>
      <c r="N600" s="40"/>
      <c r="O600" s="2"/>
      <c r="AE600" s="24"/>
    </row>
    <row r="601">
      <c r="A601" s="11"/>
      <c r="B601" s="23"/>
      <c r="C601" s="23"/>
      <c r="D601" s="23"/>
      <c r="E601" s="23"/>
      <c r="F601" s="1"/>
      <c r="G601" s="23"/>
      <c r="H601" s="23"/>
      <c r="I601" s="23"/>
      <c r="J601" s="2"/>
      <c r="M601" s="40"/>
      <c r="N601" s="40"/>
      <c r="O601" s="2"/>
      <c r="AE601" s="24"/>
    </row>
    <row r="602">
      <c r="A602" s="11"/>
      <c r="B602" s="23"/>
      <c r="C602" s="23"/>
      <c r="D602" s="23"/>
      <c r="E602" s="23"/>
      <c r="F602" s="1"/>
      <c r="G602" s="23"/>
      <c r="H602" s="23"/>
      <c r="I602" s="23"/>
      <c r="J602" s="2"/>
      <c r="M602" s="40"/>
      <c r="N602" s="40"/>
      <c r="O602" s="2"/>
      <c r="AE602" s="24"/>
    </row>
    <row r="603">
      <c r="A603" s="11"/>
      <c r="B603" s="23"/>
      <c r="C603" s="23"/>
      <c r="D603" s="23"/>
      <c r="E603" s="23"/>
      <c r="F603" s="1"/>
      <c r="G603" s="23"/>
      <c r="H603" s="23"/>
      <c r="I603" s="23"/>
      <c r="J603" s="2"/>
      <c r="M603" s="40"/>
      <c r="N603" s="40"/>
      <c r="O603" s="2"/>
      <c r="AE603" s="24"/>
    </row>
    <row r="604">
      <c r="A604" s="11"/>
      <c r="B604" s="23"/>
      <c r="C604" s="23"/>
      <c r="D604" s="23"/>
      <c r="E604" s="23"/>
      <c r="F604" s="1"/>
      <c r="G604" s="23"/>
      <c r="H604" s="23"/>
      <c r="I604" s="23"/>
      <c r="J604" s="2"/>
      <c r="M604" s="40"/>
      <c r="N604" s="40"/>
      <c r="O604" s="2"/>
      <c r="AE604" s="24"/>
    </row>
    <row r="605">
      <c r="A605" s="11"/>
      <c r="B605" s="23"/>
      <c r="C605" s="23"/>
      <c r="D605" s="23"/>
      <c r="E605" s="23"/>
      <c r="F605" s="1"/>
      <c r="G605" s="23"/>
      <c r="H605" s="23"/>
      <c r="I605" s="23"/>
      <c r="J605" s="2"/>
      <c r="M605" s="40"/>
      <c r="N605" s="40"/>
      <c r="O605" s="2"/>
      <c r="AE605" s="24"/>
    </row>
    <row r="606">
      <c r="A606" s="11"/>
      <c r="B606" s="23"/>
      <c r="C606" s="23"/>
      <c r="D606" s="23"/>
      <c r="E606" s="23"/>
      <c r="F606" s="1"/>
      <c r="G606" s="23"/>
      <c r="H606" s="23"/>
      <c r="I606" s="23"/>
      <c r="J606" s="2"/>
      <c r="M606" s="40"/>
      <c r="N606" s="40"/>
      <c r="O606" s="2"/>
      <c r="AE606" s="24"/>
    </row>
    <row r="607">
      <c r="A607" s="11"/>
      <c r="B607" s="23"/>
      <c r="C607" s="23"/>
      <c r="D607" s="23"/>
      <c r="E607" s="23"/>
      <c r="F607" s="1"/>
      <c r="G607" s="23"/>
      <c r="H607" s="23"/>
      <c r="I607" s="23"/>
      <c r="J607" s="2"/>
      <c r="M607" s="40"/>
      <c r="N607" s="40"/>
      <c r="O607" s="2"/>
      <c r="AE607" s="24"/>
    </row>
    <row r="608">
      <c r="A608" s="11"/>
      <c r="B608" s="23"/>
      <c r="C608" s="23"/>
      <c r="D608" s="23"/>
      <c r="E608" s="23"/>
      <c r="F608" s="1"/>
      <c r="G608" s="23"/>
      <c r="H608" s="23"/>
      <c r="I608" s="23"/>
      <c r="J608" s="2"/>
      <c r="M608" s="40"/>
      <c r="N608" s="40"/>
      <c r="O608" s="2"/>
      <c r="AE608" s="24"/>
    </row>
    <row r="609">
      <c r="A609" s="11"/>
      <c r="B609" s="23"/>
      <c r="C609" s="23"/>
      <c r="D609" s="23"/>
      <c r="E609" s="23"/>
      <c r="F609" s="1"/>
      <c r="G609" s="23"/>
      <c r="H609" s="23"/>
      <c r="I609" s="23"/>
      <c r="J609" s="2"/>
      <c r="M609" s="40"/>
      <c r="N609" s="40"/>
      <c r="O609" s="2"/>
      <c r="AE609" s="24"/>
    </row>
    <row r="610">
      <c r="A610" s="11"/>
      <c r="B610" s="23"/>
      <c r="C610" s="23"/>
      <c r="D610" s="23"/>
      <c r="E610" s="23"/>
      <c r="F610" s="1"/>
      <c r="G610" s="23"/>
      <c r="H610" s="23"/>
      <c r="I610" s="23"/>
      <c r="J610" s="2"/>
      <c r="M610" s="40"/>
      <c r="N610" s="40"/>
      <c r="O610" s="2"/>
      <c r="AE610" s="24"/>
    </row>
    <row r="611">
      <c r="A611" s="11"/>
      <c r="B611" s="23"/>
      <c r="C611" s="23"/>
      <c r="D611" s="23"/>
      <c r="E611" s="23"/>
      <c r="F611" s="1"/>
      <c r="G611" s="23"/>
      <c r="H611" s="23"/>
      <c r="I611" s="23"/>
      <c r="J611" s="2"/>
      <c r="M611" s="40"/>
      <c r="N611" s="40"/>
      <c r="O611" s="2"/>
      <c r="AE611" s="24"/>
    </row>
    <row r="612">
      <c r="A612" s="11"/>
      <c r="B612" s="23"/>
      <c r="C612" s="23"/>
      <c r="D612" s="23"/>
      <c r="E612" s="23"/>
      <c r="F612" s="1"/>
      <c r="G612" s="23"/>
      <c r="H612" s="23"/>
      <c r="I612" s="23"/>
      <c r="J612" s="2"/>
      <c r="M612" s="40"/>
      <c r="N612" s="40"/>
      <c r="O612" s="2"/>
      <c r="AE612" s="24"/>
    </row>
    <row r="613">
      <c r="A613" s="11"/>
      <c r="B613" s="23"/>
      <c r="C613" s="23"/>
      <c r="D613" s="23"/>
      <c r="E613" s="23"/>
      <c r="F613" s="1"/>
      <c r="G613" s="23"/>
      <c r="H613" s="23"/>
      <c r="I613" s="23"/>
      <c r="J613" s="2"/>
      <c r="M613" s="40"/>
      <c r="N613" s="40"/>
      <c r="O613" s="2"/>
      <c r="AE613" s="24"/>
    </row>
    <row r="614">
      <c r="A614" s="11"/>
      <c r="B614" s="23"/>
      <c r="C614" s="23"/>
      <c r="D614" s="23"/>
      <c r="E614" s="23"/>
      <c r="F614" s="1"/>
      <c r="G614" s="23"/>
      <c r="H614" s="23"/>
      <c r="I614" s="23"/>
      <c r="J614" s="2"/>
      <c r="M614" s="40"/>
      <c r="N614" s="40"/>
      <c r="O614" s="2"/>
      <c r="AE614" s="24"/>
    </row>
    <row r="615">
      <c r="A615" s="11"/>
      <c r="B615" s="23"/>
      <c r="C615" s="23"/>
      <c r="D615" s="23"/>
      <c r="E615" s="23"/>
      <c r="F615" s="1"/>
      <c r="G615" s="23"/>
      <c r="H615" s="23"/>
      <c r="I615" s="23"/>
      <c r="J615" s="2"/>
      <c r="M615" s="40"/>
      <c r="N615" s="40"/>
      <c r="O615" s="2"/>
      <c r="AE615" s="24"/>
    </row>
    <row r="616">
      <c r="A616" s="11"/>
      <c r="B616" s="23"/>
      <c r="C616" s="23"/>
      <c r="D616" s="23"/>
      <c r="E616" s="23"/>
      <c r="F616" s="1"/>
      <c r="G616" s="23"/>
      <c r="H616" s="23"/>
      <c r="I616" s="23"/>
      <c r="J616" s="2"/>
      <c r="M616" s="40"/>
      <c r="N616" s="40"/>
      <c r="O616" s="2"/>
      <c r="AE616" s="24"/>
    </row>
    <row r="617">
      <c r="A617" s="11"/>
      <c r="B617" s="23"/>
      <c r="C617" s="23"/>
      <c r="D617" s="23"/>
      <c r="E617" s="23"/>
      <c r="F617" s="1"/>
      <c r="G617" s="23"/>
      <c r="H617" s="23"/>
      <c r="I617" s="23"/>
      <c r="J617" s="2"/>
      <c r="M617" s="40"/>
      <c r="N617" s="40"/>
      <c r="O617" s="2"/>
      <c r="AE617" s="24"/>
    </row>
    <row r="618">
      <c r="A618" s="11"/>
      <c r="B618" s="23"/>
      <c r="C618" s="23"/>
      <c r="D618" s="23"/>
      <c r="E618" s="23"/>
      <c r="F618" s="1"/>
      <c r="G618" s="23"/>
      <c r="H618" s="23"/>
      <c r="I618" s="23"/>
      <c r="J618" s="2"/>
      <c r="M618" s="40"/>
      <c r="N618" s="40"/>
      <c r="O618" s="2"/>
      <c r="AE618" s="24"/>
    </row>
    <row r="619">
      <c r="A619" s="11"/>
      <c r="B619" s="23"/>
      <c r="C619" s="23"/>
      <c r="D619" s="23"/>
      <c r="E619" s="23"/>
      <c r="F619" s="1"/>
      <c r="G619" s="23"/>
      <c r="H619" s="23"/>
      <c r="I619" s="23"/>
      <c r="J619" s="2"/>
      <c r="M619" s="40"/>
      <c r="N619" s="40"/>
      <c r="O619" s="2"/>
      <c r="AE619" s="24"/>
    </row>
    <row r="620">
      <c r="A620" s="11"/>
      <c r="B620" s="23"/>
      <c r="C620" s="23"/>
      <c r="D620" s="23"/>
      <c r="E620" s="23"/>
      <c r="F620" s="1"/>
      <c r="G620" s="23"/>
      <c r="H620" s="23"/>
      <c r="I620" s="23"/>
      <c r="J620" s="2"/>
      <c r="M620" s="40"/>
      <c r="N620" s="40"/>
      <c r="O620" s="2"/>
      <c r="AE620" s="24"/>
    </row>
    <row r="621">
      <c r="A621" s="11"/>
      <c r="B621" s="23"/>
      <c r="C621" s="23"/>
      <c r="D621" s="23"/>
      <c r="E621" s="23"/>
      <c r="F621" s="1"/>
      <c r="G621" s="23"/>
      <c r="H621" s="23"/>
      <c r="I621" s="23"/>
      <c r="J621" s="2"/>
      <c r="M621" s="40"/>
      <c r="N621" s="40"/>
      <c r="O621" s="2"/>
      <c r="AE621" s="24"/>
    </row>
    <row r="622">
      <c r="A622" s="11"/>
      <c r="B622" s="23"/>
      <c r="C622" s="23"/>
      <c r="D622" s="23"/>
      <c r="E622" s="23"/>
      <c r="F622" s="1"/>
      <c r="G622" s="23"/>
      <c r="H622" s="23"/>
      <c r="I622" s="23"/>
      <c r="J622" s="2"/>
      <c r="M622" s="40"/>
      <c r="N622" s="40"/>
      <c r="O622" s="2"/>
      <c r="AE622" s="24"/>
    </row>
    <row r="623">
      <c r="A623" s="11"/>
      <c r="B623" s="23"/>
      <c r="C623" s="23"/>
      <c r="D623" s="23"/>
      <c r="E623" s="23"/>
      <c r="F623" s="1"/>
      <c r="G623" s="23"/>
      <c r="H623" s="23"/>
      <c r="I623" s="23"/>
      <c r="J623" s="2"/>
      <c r="M623" s="40"/>
      <c r="N623" s="40"/>
      <c r="O623" s="2"/>
      <c r="AE623" s="24"/>
    </row>
    <row r="624">
      <c r="A624" s="11"/>
      <c r="B624" s="23"/>
      <c r="C624" s="23"/>
      <c r="D624" s="23"/>
      <c r="E624" s="23"/>
      <c r="F624" s="1"/>
      <c r="G624" s="23"/>
      <c r="H624" s="23"/>
      <c r="I624" s="23"/>
      <c r="J624" s="2"/>
      <c r="M624" s="40"/>
      <c r="N624" s="40"/>
      <c r="O624" s="2"/>
      <c r="AE624" s="24"/>
    </row>
    <row r="625">
      <c r="A625" s="11"/>
      <c r="B625" s="23"/>
      <c r="C625" s="23"/>
      <c r="D625" s="23"/>
      <c r="E625" s="23"/>
      <c r="F625" s="1"/>
      <c r="G625" s="23"/>
      <c r="H625" s="23"/>
      <c r="I625" s="23"/>
      <c r="J625" s="2"/>
      <c r="M625" s="40"/>
      <c r="N625" s="40"/>
      <c r="O625" s="2"/>
      <c r="AE625" s="24"/>
    </row>
    <row r="626">
      <c r="A626" s="11"/>
      <c r="B626" s="23"/>
      <c r="C626" s="23"/>
      <c r="D626" s="23"/>
      <c r="E626" s="23"/>
      <c r="F626" s="1"/>
      <c r="G626" s="23"/>
      <c r="H626" s="23"/>
      <c r="I626" s="23"/>
      <c r="J626" s="2"/>
      <c r="M626" s="40"/>
      <c r="N626" s="40"/>
      <c r="O626" s="2"/>
      <c r="AE626" s="24"/>
    </row>
    <row r="627">
      <c r="A627" s="11"/>
      <c r="B627" s="23"/>
      <c r="C627" s="23"/>
      <c r="D627" s="23"/>
      <c r="E627" s="23"/>
      <c r="F627" s="1"/>
      <c r="G627" s="23"/>
      <c r="H627" s="23"/>
      <c r="I627" s="23"/>
      <c r="J627" s="2"/>
      <c r="M627" s="40"/>
      <c r="N627" s="40"/>
      <c r="O627" s="2"/>
      <c r="AE627" s="24"/>
    </row>
    <row r="628">
      <c r="A628" s="11"/>
      <c r="B628" s="23"/>
      <c r="C628" s="23"/>
      <c r="D628" s="23"/>
      <c r="E628" s="23"/>
      <c r="F628" s="1"/>
      <c r="G628" s="23"/>
      <c r="H628" s="23"/>
      <c r="I628" s="23"/>
      <c r="J628" s="2"/>
      <c r="M628" s="40"/>
      <c r="N628" s="40"/>
      <c r="O628" s="2"/>
      <c r="AE628" s="24"/>
    </row>
    <row r="629">
      <c r="A629" s="11"/>
      <c r="B629" s="23"/>
      <c r="C629" s="23"/>
      <c r="D629" s="23"/>
      <c r="E629" s="23"/>
      <c r="F629" s="1"/>
      <c r="G629" s="23"/>
      <c r="H629" s="23"/>
      <c r="I629" s="23"/>
      <c r="J629" s="2"/>
      <c r="M629" s="40"/>
      <c r="N629" s="40"/>
      <c r="O629" s="2"/>
      <c r="AE629" s="24"/>
    </row>
    <row r="630">
      <c r="A630" s="11"/>
      <c r="B630" s="23"/>
      <c r="C630" s="23"/>
      <c r="D630" s="23"/>
      <c r="E630" s="23"/>
      <c r="F630" s="1"/>
      <c r="G630" s="23"/>
      <c r="H630" s="23"/>
      <c r="I630" s="23"/>
      <c r="J630" s="2"/>
      <c r="M630" s="40"/>
      <c r="N630" s="40"/>
      <c r="O630" s="2"/>
      <c r="AE630" s="24"/>
    </row>
    <row r="631">
      <c r="A631" s="11"/>
      <c r="B631" s="23"/>
      <c r="C631" s="23"/>
      <c r="D631" s="23"/>
      <c r="E631" s="23"/>
      <c r="F631" s="1"/>
      <c r="G631" s="23"/>
      <c r="H631" s="23"/>
      <c r="I631" s="23"/>
      <c r="J631" s="2"/>
      <c r="M631" s="40"/>
      <c r="N631" s="40"/>
      <c r="O631" s="2"/>
      <c r="AE631" s="24"/>
    </row>
    <row r="632">
      <c r="A632" s="11"/>
      <c r="B632" s="23"/>
      <c r="C632" s="23"/>
      <c r="D632" s="23"/>
      <c r="E632" s="23"/>
      <c r="F632" s="1"/>
      <c r="G632" s="23"/>
      <c r="H632" s="23"/>
      <c r="I632" s="23"/>
      <c r="J632" s="2"/>
      <c r="M632" s="40"/>
      <c r="N632" s="40"/>
      <c r="O632" s="2"/>
      <c r="AE632" s="24"/>
    </row>
    <row r="633">
      <c r="A633" s="11"/>
      <c r="B633" s="23"/>
      <c r="C633" s="23"/>
      <c r="D633" s="23"/>
      <c r="E633" s="23"/>
      <c r="F633" s="1"/>
      <c r="G633" s="23"/>
      <c r="H633" s="23"/>
      <c r="I633" s="23"/>
      <c r="J633" s="2"/>
      <c r="M633" s="40"/>
      <c r="N633" s="40"/>
      <c r="O633" s="2"/>
      <c r="AE633" s="24"/>
    </row>
    <row r="634">
      <c r="A634" s="11"/>
      <c r="B634" s="23"/>
      <c r="C634" s="23"/>
      <c r="D634" s="23"/>
      <c r="E634" s="23"/>
      <c r="F634" s="1"/>
      <c r="G634" s="23"/>
      <c r="H634" s="23"/>
      <c r="I634" s="23"/>
      <c r="J634" s="2"/>
      <c r="M634" s="40"/>
      <c r="N634" s="40"/>
      <c r="O634" s="2"/>
      <c r="AE634" s="24"/>
    </row>
    <row r="635">
      <c r="A635" s="11"/>
      <c r="B635" s="23"/>
      <c r="C635" s="23"/>
      <c r="D635" s="23"/>
      <c r="E635" s="23"/>
      <c r="F635" s="1"/>
      <c r="G635" s="23"/>
      <c r="H635" s="23"/>
      <c r="I635" s="23"/>
      <c r="J635" s="2"/>
      <c r="M635" s="40"/>
      <c r="N635" s="40"/>
      <c r="O635" s="2"/>
      <c r="AE635" s="24"/>
    </row>
    <row r="636">
      <c r="A636" s="11"/>
      <c r="B636" s="23"/>
      <c r="C636" s="23"/>
      <c r="D636" s="23"/>
      <c r="E636" s="23"/>
      <c r="F636" s="1"/>
      <c r="G636" s="23"/>
      <c r="H636" s="23"/>
      <c r="I636" s="23"/>
      <c r="J636" s="2"/>
      <c r="M636" s="40"/>
      <c r="N636" s="40"/>
      <c r="O636" s="2"/>
      <c r="AE636" s="24"/>
    </row>
    <row r="637">
      <c r="A637" s="11"/>
      <c r="B637" s="23"/>
      <c r="C637" s="23"/>
      <c r="D637" s="23"/>
      <c r="E637" s="23"/>
      <c r="F637" s="1"/>
      <c r="G637" s="23"/>
      <c r="H637" s="23"/>
      <c r="I637" s="23"/>
      <c r="J637" s="2"/>
      <c r="M637" s="40"/>
      <c r="N637" s="40"/>
      <c r="O637" s="2"/>
      <c r="AE637" s="24"/>
    </row>
    <row r="638">
      <c r="A638" s="11"/>
      <c r="B638" s="23"/>
      <c r="C638" s="23"/>
      <c r="D638" s="23"/>
      <c r="E638" s="23"/>
      <c r="F638" s="1"/>
      <c r="G638" s="23"/>
      <c r="H638" s="23"/>
      <c r="I638" s="23"/>
      <c r="J638" s="2"/>
      <c r="M638" s="40"/>
      <c r="N638" s="40"/>
      <c r="O638" s="2"/>
      <c r="AE638" s="24"/>
    </row>
    <row r="639">
      <c r="A639" s="11"/>
      <c r="B639" s="23"/>
      <c r="C639" s="23"/>
      <c r="D639" s="23"/>
      <c r="E639" s="23"/>
      <c r="F639" s="1"/>
      <c r="G639" s="23"/>
      <c r="H639" s="23"/>
      <c r="I639" s="23"/>
      <c r="J639" s="2"/>
      <c r="M639" s="40"/>
      <c r="N639" s="40"/>
      <c r="O639" s="2"/>
      <c r="AE639" s="24"/>
    </row>
    <row r="640">
      <c r="A640" s="11"/>
      <c r="B640" s="23"/>
      <c r="C640" s="23"/>
      <c r="D640" s="23"/>
      <c r="E640" s="23"/>
      <c r="F640" s="1"/>
      <c r="G640" s="23"/>
      <c r="H640" s="23"/>
      <c r="I640" s="23"/>
      <c r="J640" s="2"/>
      <c r="M640" s="40"/>
      <c r="N640" s="40"/>
      <c r="O640" s="2"/>
      <c r="AE640" s="24"/>
    </row>
    <row r="641">
      <c r="A641" s="11"/>
      <c r="B641" s="23"/>
      <c r="C641" s="23"/>
      <c r="D641" s="23"/>
      <c r="E641" s="23"/>
      <c r="F641" s="1"/>
      <c r="G641" s="23"/>
      <c r="H641" s="23"/>
      <c r="I641" s="23"/>
      <c r="J641" s="2"/>
      <c r="M641" s="40"/>
      <c r="N641" s="40"/>
      <c r="O641" s="2"/>
      <c r="AE641" s="24"/>
    </row>
    <row r="642">
      <c r="A642" s="11"/>
      <c r="B642" s="23"/>
      <c r="C642" s="23"/>
      <c r="D642" s="23"/>
      <c r="E642" s="23"/>
      <c r="F642" s="1"/>
      <c r="G642" s="23"/>
      <c r="H642" s="23"/>
      <c r="I642" s="23"/>
      <c r="J642" s="2"/>
      <c r="M642" s="40"/>
      <c r="N642" s="40"/>
      <c r="O642" s="2"/>
      <c r="AE642" s="24"/>
    </row>
    <row r="643">
      <c r="A643" s="11"/>
      <c r="B643" s="23"/>
      <c r="C643" s="23"/>
      <c r="D643" s="23"/>
      <c r="E643" s="23"/>
      <c r="F643" s="1"/>
      <c r="G643" s="23"/>
      <c r="H643" s="23"/>
      <c r="I643" s="23"/>
      <c r="J643" s="2"/>
      <c r="M643" s="40"/>
      <c r="N643" s="40"/>
      <c r="O643" s="2"/>
      <c r="AE643" s="24"/>
    </row>
    <row r="644">
      <c r="A644" s="11"/>
      <c r="B644" s="23"/>
      <c r="C644" s="23"/>
      <c r="D644" s="23"/>
      <c r="E644" s="23"/>
      <c r="F644" s="1"/>
      <c r="G644" s="23"/>
      <c r="H644" s="23"/>
      <c r="I644" s="23"/>
      <c r="J644" s="2"/>
      <c r="M644" s="40"/>
      <c r="N644" s="40"/>
      <c r="O644" s="2"/>
      <c r="AE644" s="24"/>
    </row>
    <row r="645">
      <c r="A645" s="11"/>
      <c r="B645" s="23"/>
      <c r="C645" s="23"/>
      <c r="D645" s="23"/>
      <c r="E645" s="23"/>
      <c r="F645" s="1"/>
      <c r="G645" s="23"/>
      <c r="H645" s="23"/>
      <c r="I645" s="23"/>
      <c r="J645" s="2"/>
      <c r="M645" s="40"/>
      <c r="N645" s="40"/>
      <c r="O645" s="2"/>
      <c r="AE645" s="24"/>
    </row>
    <row r="646">
      <c r="A646" s="11"/>
      <c r="B646" s="23"/>
      <c r="C646" s="23"/>
      <c r="D646" s="23"/>
      <c r="E646" s="23"/>
      <c r="F646" s="1"/>
      <c r="G646" s="23"/>
      <c r="H646" s="23"/>
      <c r="I646" s="23"/>
      <c r="J646" s="2"/>
      <c r="M646" s="40"/>
      <c r="N646" s="40"/>
      <c r="O646" s="2"/>
      <c r="AE646" s="24"/>
    </row>
    <row r="647">
      <c r="A647" s="11"/>
      <c r="B647" s="23"/>
      <c r="C647" s="23"/>
      <c r="D647" s="23"/>
      <c r="E647" s="23"/>
      <c r="F647" s="1"/>
      <c r="G647" s="23"/>
      <c r="H647" s="23"/>
      <c r="I647" s="23"/>
      <c r="J647" s="2"/>
      <c r="M647" s="40"/>
      <c r="N647" s="40"/>
      <c r="O647" s="2"/>
      <c r="AE647" s="24"/>
    </row>
    <row r="648">
      <c r="A648" s="11"/>
      <c r="B648" s="23"/>
      <c r="C648" s="23"/>
      <c r="D648" s="23"/>
      <c r="E648" s="23"/>
      <c r="F648" s="1"/>
      <c r="G648" s="23"/>
      <c r="H648" s="23"/>
      <c r="I648" s="23"/>
      <c r="J648" s="2"/>
      <c r="M648" s="40"/>
      <c r="N648" s="40"/>
      <c r="O648" s="2"/>
      <c r="AE648" s="24"/>
    </row>
    <row r="649">
      <c r="A649" s="11"/>
      <c r="B649" s="23"/>
      <c r="C649" s="23"/>
      <c r="D649" s="23"/>
      <c r="E649" s="23"/>
      <c r="F649" s="1"/>
      <c r="G649" s="23"/>
      <c r="H649" s="23"/>
      <c r="I649" s="23"/>
      <c r="J649" s="2"/>
      <c r="M649" s="40"/>
      <c r="N649" s="40"/>
      <c r="O649" s="2"/>
      <c r="AE649" s="24"/>
    </row>
    <row r="650">
      <c r="A650" s="11"/>
      <c r="B650" s="23"/>
      <c r="C650" s="23"/>
      <c r="D650" s="23"/>
      <c r="E650" s="23"/>
      <c r="F650" s="1"/>
      <c r="G650" s="23"/>
      <c r="H650" s="23"/>
      <c r="I650" s="23"/>
      <c r="J650" s="2"/>
      <c r="M650" s="40"/>
      <c r="N650" s="40"/>
      <c r="O650" s="2"/>
      <c r="AE650" s="24"/>
    </row>
    <row r="651">
      <c r="A651" s="11"/>
      <c r="B651" s="23"/>
      <c r="C651" s="23"/>
      <c r="D651" s="23"/>
      <c r="E651" s="23"/>
      <c r="F651" s="1"/>
      <c r="G651" s="23"/>
      <c r="H651" s="23"/>
      <c r="I651" s="23"/>
      <c r="J651" s="2"/>
      <c r="M651" s="40"/>
      <c r="N651" s="40"/>
      <c r="O651" s="2"/>
      <c r="AE651" s="24"/>
    </row>
    <row r="652">
      <c r="A652" s="11"/>
      <c r="B652" s="23"/>
      <c r="C652" s="23"/>
      <c r="D652" s="23"/>
      <c r="E652" s="23"/>
      <c r="F652" s="1"/>
      <c r="G652" s="23"/>
      <c r="H652" s="23"/>
      <c r="I652" s="23"/>
      <c r="J652" s="2"/>
      <c r="M652" s="40"/>
      <c r="N652" s="40"/>
      <c r="O652" s="2"/>
      <c r="AE652" s="24"/>
    </row>
    <row r="653">
      <c r="A653" s="11"/>
      <c r="B653" s="23"/>
      <c r="C653" s="23"/>
      <c r="D653" s="23"/>
      <c r="E653" s="23"/>
      <c r="F653" s="1"/>
      <c r="G653" s="23"/>
      <c r="H653" s="23"/>
      <c r="I653" s="23"/>
      <c r="J653" s="2"/>
      <c r="M653" s="40"/>
      <c r="N653" s="40"/>
      <c r="O653" s="2"/>
      <c r="AE653" s="24"/>
    </row>
    <row r="654">
      <c r="A654" s="11"/>
      <c r="B654" s="23"/>
      <c r="C654" s="23"/>
      <c r="D654" s="23"/>
      <c r="E654" s="23"/>
      <c r="F654" s="1"/>
      <c r="G654" s="23"/>
      <c r="H654" s="23"/>
      <c r="I654" s="23"/>
      <c r="J654" s="2"/>
      <c r="M654" s="40"/>
      <c r="N654" s="40"/>
      <c r="O654" s="2"/>
      <c r="AE654" s="24"/>
    </row>
    <row r="655">
      <c r="A655" s="11"/>
      <c r="B655" s="23"/>
      <c r="C655" s="23"/>
      <c r="D655" s="23"/>
      <c r="E655" s="23"/>
      <c r="F655" s="1"/>
      <c r="G655" s="23"/>
      <c r="H655" s="23"/>
      <c r="I655" s="23"/>
      <c r="J655" s="2"/>
      <c r="M655" s="40"/>
      <c r="N655" s="40"/>
      <c r="O655" s="2"/>
      <c r="AE655" s="24"/>
    </row>
    <row r="656">
      <c r="A656" s="11"/>
      <c r="B656" s="23"/>
      <c r="C656" s="23"/>
      <c r="D656" s="23"/>
      <c r="E656" s="23"/>
      <c r="F656" s="1"/>
      <c r="G656" s="23"/>
      <c r="H656" s="23"/>
      <c r="I656" s="23"/>
      <c r="J656" s="2"/>
      <c r="M656" s="40"/>
      <c r="N656" s="40"/>
      <c r="O656" s="2"/>
      <c r="AE656" s="24"/>
    </row>
    <row r="657">
      <c r="A657" s="11"/>
      <c r="B657" s="23"/>
      <c r="C657" s="23"/>
      <c r="D657" s="23"/>
      <c r="E657" s="23"/>
      <c r="F657" s="1"/>
      <c r="G657" s="23"/>
      <c r="H657" s="23"/>
      <c r="I657" s="23"/>
      <c r="J657" s="2"/>
      <c r="M657" s="40"/>
      <c r="N657" s="40"/>
      <c r="O657" s="2"/>
      <c r="AE657" s="24"/>
    </row>
    <row r="658">
      <c r="A658" s="11"/>
      <c r="B658" s="23"/>
      <c r="C658" s="23"/>
      <c r="D658" s="23"/>
      <c r="E658" s="23"/>
      <c r="F658" s="1"/>
      <c r="G658" s="23"/>
      <c r="H658" s="23"/>
      <c r="I658" s="23"/>
      <c r="J658" s="2"/>
      <c r="M658" s="40"/>
      <c r="N658" s="40"/>
      <c r="O658" s="2"/>
      <c r="AE658" s="24"/>
    </row>
    <row r="659">
      <c r="A659" s="11"/>
      <c r="B659" s="23"/>
      <c r="C659" s="23"/>
      <c r="D659" s="23"/>
      <c r="E659" s="23"/>
      <c r="F659" s="1"/>
      <c r="G659" s="23"/>
      <c r="H659" s="23"/>
      <c r="I659" s="23"/>
      <c r="J659" s="2"/>
      <c r="M659" s="40"/>
      <c r="N659" s="40"/>
      <c r="O659" s="2"/>
      <c r="AE659" s="24"/>
    </row>
    <row r="660">
      <c r="A660" s="11"/>
      <c r="B660" s="23"/>
      <c r="C660" s="23"/>
      <c r="D660" s="23"/>
      <c r="E660" s="23"/>
      <c r="F660" s="1"/>
      <c r="G660" s="23"/>
      <c r="H660" s="23"/>
      <c r="I660" s="23"/>
      <c r="J660" s="2"/>
      <c r="M660" s="40"/>
      <c r="N660" s="40"/>
      <c r="O660" s="2"/>
      <c r="AE660" s="24"/>
    </row>
    <row r="661">
      <c r="A661" s="11"/>
      <c r="B661" s="23"/>
      <c r="C661" s="23"/>
      <c r="D661" s="23"/>
      <c r="E661" s="23"/>
      <c r="F661" s="1"/>
      <c r="G661" s="23"/>
      <c r="H661" s="23"/>
      <c r="I661" s="23"/>
      <c r="J661" s="2"/>
      <c r="M661" s="40"/>
      <c r="N661" s="40"/>
      <c r="O661" s="2"/>
      <c r="AE661" s="24"/>
    </row>
    <row r="662">
      <c r="A662" s="11"/>
      <c r="B662" s="23"/>
      <c r="C662" s="23"/>
      <c r="D662" s="23"/>
      <c r="E662" s="23"/>
      <c r="F662" s="1"/>
      <c r="G662" s="23"/>
      <c r="H662" s="23"/>
      <c r="I662" s="23"/>
      <c r="J662" s="2"/>
      <c r="M662" s="40"/>
      <c r="N662" s="40"/>
      <c r="O662" s="2"/>
      <c r="AE662" s="24"/>
    </row>
    <row r="663">
      <c r="A663" s="11"/>
      <c r="B663" s="23"/>
      <c r="C663" s="23"/>
      <c r="D663" s="23"/>
      <c r="E663" s="23"/>
      <c r="F663" s="1"/>
      <c r="G663" s="23"/>
      <c r="H663" s="23"/>
      <c r="I663" s="23"/>
      <c r="J663" s="2"/>
      <c r="M663" s="40"/>
      <c r="N663" s="40"/>
      <c r="O663" s="2"/>
      <c r="AE663" s="24"/>
    </row>
    <row r="664">
      <c r="A664" s="11"/>
      <c r="B664" s="23"/>
      <c r="C664" s="23"/>
      <c r="D664" s="23"/>
      <c r="E664" s="23"/>
      <c r="F664" s="1"/>
      <c r="G664" s="23"/>
      <c r="H664" s="23"/>
      <c r="I664" s="23"/>
      <c r="J664" s="2"/>
      <c r="M664" s="40"/>
      <c r="N664" s="40"/>
      <c r="O664" s="2"/>
      <c r="AE664" s="24"/>
    </row>
    <row r="665">
      <c r="A665" s="11"/>
      <c r="B665" s="23"/>
      <c r="C665" s="23"/>
      <c r="D665" s="23"/>
      <c r="E665" s="23"/>
      <c r="F665" s="1"/>
      <c r="G665" s="23"/>
      <c r="H665" s="23"/>
      <c r="I665" s="23"/>
      <c r="J665" s="2"/>
      <c r="M665" s="40"/>
      <c r="N665" s="40"/>
      <c r="O665" s="2"/>
      <c r="AE665" s="24"/>
    </row>
    <row r="666">
      <c r="A666" s="11"/>
      <c r="B666" s="23"/>
      <c r="C666" s="23"/>
      <c r="D666" s="23"/>
      <c r="E666" s="23"/>
      <c r="F666" s="1"/>
      <c r="G666" s="23"/>
      <c r="H666" s="23"/>
      <c r="I666" s="23"/>
      <c r="J666" s="2"/>
      <c r="M666" s="40"/>
      <c r="N666" s="40"/>
      <c r="O666" s="2"/>
      <c r="AE666" s="24"/>
    </row>
    <row r="667">
      <c r="A667" s="11"/>
      <c r="B667" s="23"/>
      <c r="C667" s="23"/>
      <c r="D667" s="23"/>
      <c r="E667" s="23"/>
      <c r="F667" s="1"/>
      <c r="G667" s="23"/>
      <c r="H667" s="23"/>
      <c r="I667" s="23"/>
      <c r="J667" s="2"/>
      <c r="M667" s="40"/>
      <c r="N667" s="40"/>
      <c r="O667" s="2"/>
      <c r="AE667" s="24"/>
    </row>
    <row r="668">
      <c r="A668" s="11"/>
      <c r="B668" s="23"/>
      <c r="C668" s="23"/>
      <c r="D668" s="23"/>
      <c r="E668" s="23"/>
      <c r="F668" s="1"/>
      <c r="G668" s="23"/>
      <c r="H668" s="23"/>
      <c r="I668" s="23"/>
      <c r="J668" s="2"/>
      <c r="M668" s="40"/>
      <c r="N668" s="40"/>
      <c r="O668" s="2"/>
      <c r="AE668" s="24"/>
    </row>
    <row r="669">
      <c r="A669" s="11"/>
      <c r="B669" s="23"/>
      <c r="C669" s="23"/>
      <c r="D669" s="23"/>
      <c r="E669" s="23"/>
      <c r="F669" s="1"/>
      <c r="G669" s="23"/>
      <c r="H669" s="23"/>
      <c r="I669" s="23"/>
      <c r="J669" s="2"/>
      <c r="M669" s="40"/>
      <c r="N669" s="40"/>
      <c r="O669" s="2"/>
      <c r="AE669" s="24"/>
    </row>
    <row r="670">
      <c r="A670" s="11"/>
      <c r="B670" s="23"/>
      <c r="C670" s="23"/>
      <c r="D670" s="23"/>
      <c r="E670" s="23"/>
      <c r="F670" s="1"/>
      <c r="G670" s="23"/>
      <c r="H670" s="23"/>
      <c r="I670" s="23"/>
      <c r="J670" s="2"/>
      <c r="M670" s="40"/>
      <c r="N670" s="40"/>
      <c r="O670" s="2"/>
      <c r="AE670" s="24"/>
    </row>
    <row r="671">
      <c r="A671" s="11"/>
      <c r="B671" s="23"/>
      <c r="C671" s="23"/>
      <c r="D671" s="23"/>
      <c r="E671" s="23"/>
      <c r="F671" s="1"/>
      <c r="G671" s="23"/>
      <c r="H671" s="23"/>
      <c r="I671" s="23"/>
      <c r="J671" s="2"/>
      <c r="M671" s="40"/>
      <c r="N671" s="40"/>
      <c r="O671" s="2"/>
      <c r="AE671" s="24"/>
    </row>
    <row r="672">
      <c r="A672" s="11"/>
      <c r="B672" s="23"/>
      <c r="C672" s="23"/>
      <c r="D672" s="23"/>
      <c r="E672" s="23"/>
      <c r="F672" s="1"/>
      <c r="G672" s="23"/>
      <c r="H672" s="23"/>
      <c r="I672" s="23"/>
      <c r="J672" s="2"/>
      <c r="M672" s="40"/>
      <c r="N672" s="40"/>
      <c r="O672" s="2"/>
      <c r="AE672" s="24"/>
    </row>
    <row r="673">
      <c r="A673" s="11"/>
      <c r="B673" s="23"/>
      <c r="C673" s="23"/>
      <c r="D673" s="23"/>
      <c r="E673" s="23"/>
      <c r="F673" s="1"/>
      <c r="G673" s="23"/>
      <c r="H673" s="23"/>
      <c r="I673" s="23"/>
      <c r="J673" s="2"/>
      <c r="M673" s="40"/>
      <c r="N673" s="40"/>
      <c r="O673" s="2"/>
      <c r="AE673" s="24"/>
    </row>
    <row r="674">
      <c r="A674" s="11"/>
      <c r="B674" s="23"/>
      <c r="C674" s="23"/>
      <c r="D674" s="23"/>
      <c r="E674" s="23"/>
      <c r="F674" s="1"/>
      <c r="G674" s="23"/>
      <c r="H674" s="23"/>
      <c r="I674" s="23"/>
      <c r="J674" s="2"/>
      <c r="M674" s="40"/>
      <c r="N674" s="40"/>
      <c r="O674" s="2"/>
      <c r="AE674" s="24"/>
    </row>
    <row r="675">
      <c r="A675" s="11"/>
      <c r="B675" s="23"/>
      <c r="C675" s="23"/>
      <c r="D675" s="23"/>
      <c r="E675" s="23"/>
      <c r="F675" s="1"/>
      <c r="G675" s="23"/>
      <c r="H675" s="23"/>
      <c r="I675" s="23"/>
      <c r="J675" s="2"/>
      <c r="M675" s="40"/>
      <c r="N675" s="40"/>
      <c r="O675" s="2"/>
      <c r="AE675" s="24"/>
    </row>
    <row r="676">
      <c r="A676" s="11"/>
      <c r="B676" s="23"/>
      <c r="C676" s="23"/>
      <c r="D676" s="23"/>
      <c r="E676" s="23"/>
      <c r="F676" s="1"/>
      <c r="G676" s="23"/>
      <c r="H676" s="23"/>
      <c r="I676" s="23"/>
      <c r="J676" s="2"/>
      <c r="M676" s="40"/>
      <c r="N676" s="40"/>
      <c r="O676" s="2"/>
      <c r="AE676" s="24"/>
    </row>
    <row r="677">
      <c r="A677" s="11"/>
      <c r="B677" s="23"/>
      <c r="C677" s="23"/>
      <c r="D677" s="23"/>
      <c r="E677" s="23"/>
      <c r="F677" s="1"/>
      <c r="G677" s="23"/>
      <c r="H677" s="23"/>
      <c r="I677" s="23"/>
      <c r="J677" s="2"/>
      <c r="M677" s="40"/>
      <c r="N677" s="40"/>
      <c r="O677" s="2"/>
      <c r="AE677" s="24"/>
    </row>
    <row r="678">
      <c r="A678" s="11"/>
      <c r="B678" s="23"/>
      <c r="C678" s="23"/>
      <c r="D678" s="23"/>
      <c r="E678" s="23"/>
      <c r="F678" s="1"/>
      <c r="G678" s="23"/>
      <c r="H678" s="23"/>
      <c r="I678" s="23"/>
      <c r="J678" s="2"/>
      <c r="M678" s="40"/>
      <c r="N678" s="40"/>
      <c r="O678" s="2"/>
      <c r="AE678" s="24"/>
    </row>
    <row r="679">
      <c r="A679" s="11"/>
      <c r="B679" s="23"/>
      <c r="C679" s="23"/>
      <c r="D679" s="23"/>
      <c r="E679" s="23"/>
      <c r="F679" s="1"/>
      <c r="G679" s="23"/>
      <c r="H679" s="23"/>
      <c r="I679" s="23"/>
      <c r="J679" s="2"/>
      <c r="M679" s="40"/>
      <c r="N679" s="40"/>
      <c r="O679" s="2"/>
      <c r="AE679" s="24"/>
    </row>
    <row r="680">
      <c r="A680" s="11"/>
      <c r="B680" s="23"/>
      <c r="C680" s="23"/>
      <c r="D680" s="23"/>
      <c r="E680" s="23"/>
      <c r="F680" s="1"/>
      <c r="G680" s="23"/>
      <c r="H680" s="23"/>
      <c r="I680" s="23"/>
      <c r="J680" s="2"/>
      <c r="M680" s="40"/>
      <c r="N680" s="40"/>
      <c r="O680" s="2"/>
      <c r="AE680" s="24"/>
    </row>
    <row r="681">
      <c r="A681" s="11"/>
      <c r="B681" s="23"/>
      <c r="C681" s="23"/>
      <c r="D681" s="23"/>
      <c r="E681" s="23"/>
      <c r="F681" s="1"/>
      <c r="G681" s="23"/>
      <c r="H681" s="23"/>
      <c r="I681" s="23"/>
      <c r="J681" s="2"/>
      <c r="M681" s="40"/>
      <c r="N681" s="40"/>
      <c r="O681" s="2"/>
      <c r="AE681" s="24"/>
    </row>
    <row r="682">
      <c r="A682" s="11"/>
      <c r="B682" s="23"/>
      <c r="C682" s="23"/>
      <c r="D682" s="23"/>
      <c r="E682" s="23"/>
      <c r="F682" s="1"/>
      <c r="G682" s="23"/>
      <c r="H682" s="23"/>
      <c r="I682" s="23"/>
      <c r="J682" s="2"/>
      <c r="M682" s="40"/>
      <c r="N682" s="40"/>
      <c r="O682" s="2"/>
      <c r="AE682" s="24"/>
    </row>
    <row r="683">
      <c r="A683" s="11"/>
      <c r="B683" s="23"/>
      <c r="C683" s="23"/>
      <c r="D683" s="23"/>
      <c r="E683" s="23"/>
      <c r="F683" s="1"/>
      <c r="G683" s="23"/>
      <c r="H683" s="23"/>
      <c r="I683" s="23"/>
      <c r="J683" s="2"/>
      <c r="M683" s="40"/>
      <c r="N683" s="40"/>
      <c r="O683" s="2"/>
      <c r="AE683" s="24"/>
    </row>
    <row r="684">
      <c r="A684" s="11"/>
      <c r="B684" s="23"/>
      <c r="C684" s="23"/>
      <c r="D684" s="23"/>
      <c r="E684" s="23"/>
      <c r="F684" s="1"/>
      <c r="G684" s="23"/>
      <c r="H684" s="23"/>
      <c r="I684" s="23"/>
      <c r="J684" s="2"/>
      <c r="M684" s="40"/>
      <c r="N684" s="40"/>
      <c r="O684" s="2"/>
      <c r="AE684" s="24"/>
    </row>
    <row r="685">
      <c r="A685" s="11"/>
      <c r="B685" s="23"/>
      <c r="C685" s="23"/>
      <c r="D685" s="23"/>
      <c r="E685" s="23"/>
      <c r="F685" s="1"/>
      <c r="G685" s="23"/>
      <c r="H685" s="23"/>
      <c r="I685" s="23"/>
      <c r="J685" s="2"/>
      <c r="M685" s="40"/>
      <c r="N685" s="40"/>
      <c r="O685" s="2"/>
      <c r="AE685" s="24"/>
    </row>
    <row r="686">
      <c r="A686" s="11"/>
      <c r="B686" s="23"/>
      <c r="C686" s="23"/>
      <c r="D686" s="23"/>
      <c r="E686" s="23"/>
      <c r="F686" s="1"/>
      <c r="G686" s="23"/>
      <c r="H686" s="23"/>
      <c r="I686" s="23"/>
      <c r="J686" s="2"/>
      <c r="M686" s="40"/>
      <c r="N686" s="40"/>
      <c r="O686" s="2"/>
      <c r="AE686" s="24"/>
    </row>
    <row r="687">
      <c r="A687" s="11"/>
      <c r="B687" s="23"/>
      <c r="C687" s="23"/>
      <c r="D687" s="23"/>
      <c r="E687" s="23"/>
      <c r="F687" s="1"/>
      <c r="G687" s="23"/>
      <c r="H687" s="23"/>
      <c r="I687" s="23"/>
      <c r="J687" s="2"/>
      <c r="M687" s="40"/>
      <c r="N687" s="40"/>
      <c r="O687" s="2"/>
      <c r="AE687" s="24"/>
    </row>
    <row r="688">
      <c r="A688" s="11"/>
      <c r="B688" s="23"/>
      <c r="C688" s="23"/>
      <c r="D688" s="23"/>
      <c r="E688" s="23"/>
      <c r="F688" s="1"/>
      <c r="G688" s="23"/>
      <c r="H688" s="23"/>
      <c r="I688" s="23"/>
      <c r="J688" s="2"/>
      <c r="M688" s="40"/>
      <c r="N688" s="40"/>
      <c r="O688" s="2"/>
      <c r="AE688" s="24"/>
    </row>
    <row r="689">
      <c r="A689" s="11"/>
      <c r="B689" s="23"/>
      <c r="C689" s="23"/>
      <c r="D689" s="23"/>
      <c r="E689" s="23"/>
      <c r="F689" s="1"/>
      <c r="G689" s="23"/>
      <c r="H689" s="23"/>
      <c r="I689" s="23"/>
      <c r="J689" s="2"/>
      <c r="M689" s="40"/>
      <c r="N689" s="40"/>
      <c r="O689" s="2"/>
      <c r="AE689" s="24"/>
    </row>
    <row r="690">
      <c r="A690" s="11"/>
      <c r="B690" s="23"/>
      <c r="C690" s="23"/>
      <c r="D690" s="23"/>
      <c r="E690" s="23"/>
      <c r="F690" s="1"/>
      <c r="G690" s="23"/>
      <c r="H690" s="23"/>
      <c r="I690" s="23"/>
      <c r="J690" s="2"/>
      <c r="M690" s="40"/>
      <c r="N690" s="40"/>
      <c r="O690" s="2"/>
      <c r="AE690" s="24"/>
    </row>
    <row r="691">
      <c r="A691" s="11"/>
      <c r="B691" s="23"/>
      <c r="C691" s="23"/>
      <c r="D691" s="23"/>
      <c r="E691" s="23"/>
      <c r="F691" s="1"/>
      <c r="G691" s="23"/>
      <c r="H691" s="23"/>
      <c r="I691" s="23"/>
      <c r="J691" s="2"/>
      <c r="M691" s="40"/>
      <c r="N691" s="40"/>
      <c r="O691" s="2"/>
      <c r="AE691" s="24"/>
    </row>
    <row r="692">
      <c r="A692" s="11"/>
      <c r="B692" s="23"/>
      <c r="C692" s="23"/>
      <c r="D692" s="23"/>
      <c r="E692" s="23"/>
      <c r="F692" s="1"/>
      <c r="G692" s="23"/>
      <c r="H692" s="23"/>
      <c r="I692" s="23"/>
      <c r="J692" s="2"/>
      <c r="M692" s="40"/>
      <c r="N692" s="40"/>
      <c r="O692" s="2"/>
      <c r="AE692" s="24"/>
    </row>
    <row r="693">
      <c r="A693" s="11"/>
      <c r="B693" s="23"/>
      <c r="C693" s="23"/>
      <c r="D693" s="23"/>
      <c r="E693" s="23"/>
      <c r="F693" s="1"/>
      <c r="G693" s="23"/>
      <c r="H693" s="23"/>
      <c r="I693" s="23"/>
      <c r="J693" s="2"/>
      <c r="M693" s="40"/>
      <c r="N693" s="40"/>
      <c r="O693" s="2"/>
      <c r="AE693" s="24"/>
    </row>
    <row r="694">
      <c r="A694" s="11"/>
      <c r="B694" s="23"/>
      <c r="C694" s="23"/>
      <c r="D694" s="23"/>
      <c r="E694" s="23"/>
      <c r="F694" s="1"/>
      <c r="G694" s="23"/>
      <c r="H694" s="23"/>
      <c r="I694" s="23"/>
      <c r="J694" s="2"/>
      <c r="M694" s="40"/>
      <c r="N694" s="40"/>
      <c r="O694" s="2"/>
      <c r="AE694" s="24"/>
    </row>
    <row r="695">
      <c r="A695" s="11"/>
      <c r="B695" s="23"/>
      <c r="C695" s="23"/>
      <c r="D695" s="23"/>
      <c r="E695" s="23"/>
      <c r="F695" s="1"/>
      <c r="G695" s="23"/>
      <c r="H695" s="23"/>
      <c r="I695" s="23"/>
      <c r="J695" s="2"/>
      <c r="M695" s="40"/>
      <c r="N695" s="40"/>
      <c r="O695" s="2"/>
      <c r="AE695" s="24"/>
    </row>
    <row r="696">
      <c r="A696" s="11"/>
      <c r="B696" s="23"/>
      <c r="C696" s="23"/>
      <c r="D696" s="23"/>
      <c r="E696" s="23"/>
      <c r="F696" s="1"/>
      <c r="G696" s="23"/>
      <c r="H696" s="23"/>
      <c r="I696" s="23"/>
      <c r="J696" s="2"/>
      <c r="M696" s="40"/>
      <c r="N696" s="40"/>
      <c r="O696" s="2"/>
      <c r="AE696" s="24"/>
    </row>
    <row r="697">
      <c r="A697" s="11"/>
      <c r="B697" s="23"/>
      <c r="C697" s="23"/>
      <c r="D697" s="23"/>
      <c r="E697" s="23"/>
      <c r="F697" s="1"/>
      <c r="G697" s="23"/>
      <c r="H697" s="23"/>
      <c r="I697" s="23"/>
      <c r="J697" s="2"/>
      <c r="M697" s="40"/>
      <c r="N697" s="40"/>
      <c r="O697" s="2"/>
      <c r="AE697" s="24"/>
    </row>
    <row r="698">
      <c r="A698" s="11"/>
      <c r="B698" s="23"/>
      <c r="C698" s="23"/>
      <c r="D698" s="23"/>
      <c r="E698" s="23"/>
      <c r="F698" s="1"/>
      <c r="G698" s="23"/>
      <c r="H698" s="23"/>
      <c r="I698" s="23"/>
      <c r="J698" s="2"/>
      <c r="M698" s="40"/>
      <c r="N698" s="40"/>
      <c r="O698" s="2"/>
      <c r="AE698" s="24"/>
    </row>
    <row r="699">
      <c r="A699" s="11"/>
      <c r="B699" s="23"/>
      <c r="C699" s="23"/>
      <c r="D699" s="23"/>
      <c r="E699" s="23"/>
      <c r="F699" s="1"/>
      <c r="G699" s="23"/>
      <c r="H699" s="23"/>
      <c r="I699" s="23"/>
      <c r="J699" s="2"/>
      <c r="M699" s="40"/>
      <c r="N699" s="40"/>
      <c r="O699" s="2"/>
      <c r="AE699" s="24"/>
    </row>
    <row r="700">
      <c r="A700" s="11"/>
      <c r="B700" s="23"/>
      <c r="C700" s="23"/>
      <c r="D700" s="23"/>
      <c r="E700" s="23"/>
      <c r="F700" s="1"/>
      <c r="G700" s="23"/>
      <c r="H700" s="23"/>
      <c r="I700" s="23"/>
      <c r="J700" s="2"/>
      <c r="M700" s="40"/>
      <c r="N700" s="40"/>
      <c r="O700" s="2"/>
      <c r="AE700" s="24"/>
    </row>
    <row r="701">
      <c r="A701" s="11"/>
      <c r="B701" s="23"/>
      <c r="C701" s="23"/>
      <c r="D701" s="23"/>
      <c r="E701" s="23"/>
      <c r="F701" s="1"/>
      <c r="G701" s="23"/>
      <c r="H701" s="23"/>
      <c r="I701" s="23"/>
      <c r="J701" s="2"/>
      <c r="M701" s="40"/>
      <c r="N701" s="40"/>
      <c r="O701" s="2"/>
      <c r="AE701" s="24"/>
    </row>
    <row r="702">
      <c r="A702" s="11"/>
      <c r="B702" s="23"/>
      <c r="C702" s="23"/>
      <c r="D702" s="23"/>
      <c r="E702" s="23"/>
      <c r="F702" s="1"/>
      <c r="G702" s="23"/>
      <c r="H702" s="23"/>
      <c r="I702" s="23"/>
      <c r="J702" s="2"/>
      <c r="M702" s="40"/>
      <c r="N702" s="40"/>
      <c r="O702" s="2"/>
      <c r="AE702" s="24"/>
    </row>
    <row r="703">
      <c r="A703" s="11"/>
      <c r="B703" s="23"/>
      <c r="C703" s="23"/>
      <c r="D703" s="23"/>
      <c r="E703" s="23"/>
      <c r="F703" s="1"/>
      <c r="G703" s="23"/>
      <c r="H703" s="23"/>
      <c r="I703" s="23"/>
      <c r="J703" s="2"/>
      <c r="M703" s="40"/>
      <c r="N703" s="40"/>
      <c r="O703" s="2"/>
      <c r="AE703" s="24"/>
    </row>
    <row r="704">
      <c r="A704" s="11"/>
      <c r="B704" s="23"/>
      <c r="C704" s="23"/>
      <c r="D704" s="23"/>
      <c r="E704" s="23"/>
      <c r="F704" s="1"/>
      <c r="G704" s="23"/>
      <c r="H704" s="23"/>
      <c r="I704" s="23"/>
      <c r="J704" s="2"/>
      <c r="M704" s="40"/>
      <c r="N704" s="40"/>
      <c r="O704" s="2"/>
      <c r="AE704" s="24"/>
    </row>
    <row r="705">
      <c r="A705" s="11"/>
      <c r="B705" s="23"/>
      <c r="C705" s="23"/>
      <c r="D705" s="23"/>
      <c r="E705" s="23"/>
      <c r="F705" s="1"/>
      <c r="G705" s="23"/>
      <c r="H705" s="23"/>
      <c r="I705" s="23"/>
      <c r="J705" s="2"/>
      <c r="M705" s="40"/>
      <c r="N705" s="40"/>
      <c r="O705" s="2"/>
      <c r="AE705" s="24"/>
    </row>
    <row r="706">
      <c r="A706" s="11"/>
      <c r="B706" s="23"/>
      <c r="C706" s="23"/>
      <c r="D706" s="23"/>
      <c r="E706" s="23"/>
      <c r="F706" s="1"/>
      <c r="G706" s="23"/>
      <c r="H706" s="23"/>
      <c r="I706" s="23"/>
      <c r="J706" s="2"/>
      <c r="M706" s="40"/>
      <c r="N706" s="40"/>
      <c r="O706" s="2"/>
      <c r="AE706" s="24"/>
    </row>
    <row r="707">
      <c r="A707" s="11"/>
      <c r="B707" s="23"/>
      <c r="C707" s="23"/>
      <c r="D707" s="23"/>
      <c r="E707" s="23"/>
      <c r="F707" s="1"/>
      <c r="G707" s="23"/>
      <c r="H707" s="23"/>
      <c r="I707" s="23"/>
      <c r="J707" s="2"/>
      <c r="M707" s="40"/>
      <c r="N707" s="40"/>
      <c r="O707" s="2"/>
      <c r="AE707" s="24"/>
    </row>
    <row r="708">
      <c r="A708" s="11"/>
      <c r="B708" s="23"/>
      <c r="C708" s="23"/>
      <c r="D708" s="23"/>
      <c r="E708" s="23"/>
      <c r="F708" s="1"/>
      <c r="G708" s="23"/>
      <c r="H708" s="23"/>
      <c r="I708" s="23"/>
      <c r="J708" s="2"/>
      <c r="M708" s="40"/>
      <c r="N708" s="40"/>
      <c r="O708" s="2"/>
      <c r="AE708" s="24"/>
    </row>
    <row r="709">
      <c r="A709" s="11"/>
      <c r="B709" s="23"/>
      <c r="C709" s="23"/>
      <c r="D709" s="23"/>
      <c r="E709" s="23"/>
      <c r="F709" s="1"/>
      <c r="G709" s="23"/>
      <c r="H709" s="23"/>
      <c r="I709" s="23"/>
      <c r="J709" s="2"/>
      <c r="M709" s="40"/>
      <c r="N709" s="40"/>
      <c r="O709" s="2"/>
      <c r="AE709" s="24"/>
    </row>
    <row r="710">
      <c r="A710" s="11"/>
      <c r="B710" s="23"/>
      <c r="C710" s="23"/>
      <c r="D710" s="23"/>
      <c r="E710" s="23"/>
      <c r="F710" s="1"/>
      <c r="G710" s="23"/>
      <c r="H710" s="23"/>
      <c r="I710" s="23"/>
      <c r="J710" s="2"/>
      <c r="M710" s="40"/>
      <c r="N710" s="40"/>
      <c r="O710" s="2"/>
      <c r="AE710" s="24"/>
    </row>
    <row r="711">
      <c r="A711" s="11"/>
      <c r="B711" s="23"/>
      <c r="C711" s="23"/>
      <c r="D711" s="23"/>
      <c r="E711" s="23"/>
      <c r="F711" s="1"/>
      <c r="G711" s="23"/>
      <c r="H711" s="23"/>
      <c r="I711" s="23"/>
      <c r="J711" s="2"/>
      <c r="M711" s="40"/>
      <c r="N711" s="40"/>
      <c r="O711" s="2"/>
      <c r="AE711" s="24"/>
    </row>
    <row r="712">
      <c r="A712" s="11"/>
      <c r="B712" s="23"/>
      <c r="C712" s="23"/>
      <c r="D712" s="23"/>
      <c r="E712" s="23"/>
      <c r="F712" s="1"/>
      <c r="G712" s="23"/>
      <c r="H712" s="23"/>
      <c r="I712" s="23"/>
      <c r="J712" s="2"/>
      <c r="M712" s="40"/>
      <c r="N712" s="40"/>
      <c r="O712" s="2"/>
      <c r="AE712" s="24"/>
    </row>
    <row r="713">
      <c r="A713" s="11"/>
      <c r="B713" s="23"/>
      <c r="C713" s="23"/>
      <c r="D713" s="23"/>
      <c r="E713" s="23"/>
      <c r="F713" s="1"/>
      <c r="G713" s="23"/>
      <c r="H713" s="23"/>
      <c r="I713" s="23"/>
      <c r="J713" s="2"/>
      <c r="M713" s="40"/>
      <c r="N713" s="40"/>
      <c r="O713" s="2"/>
      <c r="AE713" s="24"/>
    </row>
    <row r="714">
      <c r="A714" s="11"/>
      <c r="B714" s="23"/>
      <c r="C714" s="23"/>
      <c r="D714" s="23"/>
      <c r="E714" s="23"/>
      <c r="F714" s="1"/>
      <c r="G714" s="23"/>
      <c r="H714" s="23"/>
      <c r="I714" s="23"/>
      <c r="J714" s="2"/>
      <c r="M714" s="40"/>
      <c r="N714" s="40"/>
      <c r="O714" s="2"/>
      <c r="AE714" s="24"/>
    </row>
    <row r="715">
      <c r="A715" s="11"/>
      <c r="B715" s="23"/>
      <c r="C715" s="23"/>
      <c r="D715" s="23"/>
      <c r="E715" s="23"/>
      <c r="F715" s="1"/>
      <c r="G715" s="23"/>
      <c r="H715" s="23"/>
      <c r="I715" s="23"/>
      <c r="J715" s="2"/>
      <c r="M715" s="40"/>
      <c r="N715" s="40"/>
      <c r="O715" s="2"/>
      <c r="AE715" s="24"/>
    </row>
    <row r="716">
      <c r="A716" s="11"/>
      <c r="B716" s="23"/>
      <c r="C716" s="23"/>
      <c r="D716" s="23"/>
      <c r="E716" s="23"/>
      <c r="F716" s="1"/>
      <c r="G716" s="23"/>
      <c r="H716" s="23"/>
      <c r="I716" s="23"/>
      <c r="J716" s="2"/>
      <c r="M716" s="40"/>
      <c r="N716" s="40"/>
      <c r="O716" s="2"/>
      <c r="AE716" s="24"/>
    </row>
    <row r="717">
      <c r="A717" s="11"/>
      <c r="B717" s="23"/>
      <c r="C717" s="23"/>
      <c r="D717" s="23"/>
      <c r="E717" s="23"/>
      <c r="F717" s="1"/>
      <c r="G717" s="23"/>
      <c r="H717" s="23"/>
      <c r="I717" s="23"/>
      <c r="J717" s="2"/>
      <c r="M717" s="40"/>
      <c r="N717" s="40"/>
      <c r="O717" s="2"/>
      <c r="AE717" s="24"/>
    </row>
    <row r="718">
      <c r="A718" s="11"/>
      <c r="B718" s="23"/>
      <c r="C718" s="23"/>
      <c r="D718" s="23"/>
      <c r="E718" s="23"/>
      <c r="F718" s="1"/>
      <c r="G718" s="23"/>
      <c r="H718" s="23"/>
      <c r="I718" s="23"/>
      <c r="J718" s="2"/>
      <c r="M718" s="40"/>
      <c r="N718" s="40"/>
      <c r="O718" s="2"/>
      <c r="AE718" s="24"/>
    </row>
    <row r="719">
      <c r="A719" s="11"/>
      <c r="B719" s="23"/>
      <c r="C719" s="23"/>
      <c r="D719" s="23"/>
      <c r="E719" s="23"/>
      <c r="F719" s="1"/>
      <c r="G719" s="23"/>
      <c r="H719" s="23"/>
      <c r="I719" s="23"/>
      <c r="J719" s="2"/>
      <c r="M719" s="40"/>
      <c r="N719" s="40"/>
      <c r="O719" s="2"/>
      <c r="AE719" s="24"/>
    </row>
    <row r="720">
      <c r="A720" s="11"/>
      <c r="B720" s="23"/>
      <c r="C720" s="23"/>
      <c r="D720" s="23"/>
      <c r="E720" s="23"/>
      <c r="F720" s="1"/>
      <c r="G720" s="23"/>
      <c r="H720" s="23"/>
      <c r="I720" s="23"/>
      <c r="J720" s="2"/>
      <c r="M720" s="40"/>
      <c r="N720" s="40"/>
      <c r="O720" s="2"/>
      <c r="AE720" s="24"/>
    </row>
    <row r="721">
      <c r="A721" s="11"/>
      <c r="B721" s="23"/>
      <c r="C721" s="23"/>
      <c r="D721" s="23"/>
      <c r="E721" s="23"/>
      <c r="F721" s="1"/>
      <c r="G721" s="23"/>
      <c r="H721" s="23"/>
      <c r="I721" s="23"/>
      <c r="J721" s="2"/>
      <c r="M721" s="40"/>
      <c r="N721" s="40"/>
      <c r="O721" s="2"/>
      <c r="AE721" s="24"/>
    </row>
    <row r="722">
      <c r="A722" s="11"/>
      <c r="B722" s="23"/>
      <c r="C722" s="23"/>
      <c r="D722" s="23"/>
      <c r="E722" s="23"/>
      <c r="F722" s="1"/>
      <c r="G722" s="23"/>
      <c r="H722" s="23"/>
      <c r="I722" s="23"/>
      <c r="J722" s="2"/>
      <c r="M722" s="40"/>
      <c r="N722" s="40"/>
      <c r="O722" s="2"/>
      <c r="AE722" s="24"/>
    </row>
    <row r="723">
      <c r="A723" s="11"/>
      <c r="B723" s="23"/>
      <c r="C723" s="23"/>
      <c r="D723" s="23"/>
      <c r="E723" s="23"/>
      <c r="F723" s="1"/>
      <c r="G723" s="23"/>
      <c r="H723" s="23"/>
      <c r="I723" s="23"/>
      <c r="J723" s="2"/>
      <c r="M723" s="40"/>
      <c r="N723" s="40"/>
      <c r="O723" s="2"/>
      <c r="AE723" s="24"/>
    </row>
    <row r="724">
      <c r="A724" s="11"/>
      <c r="B724" s="23"/>
      <c r="C724" s="23"/>
      <c r="D724" s="23"/>
      <c r="E724" s="23"/>
      <c r="F724" s="1"/>
      <c r="G724" s="23"/>
      <c r="H724" s="23"/>
      <c r="I724" s="23"/>
      <c r="J724" s="2"/>
      <c r="M724" s="40"/>
      <c r="N724" s="40"/>
      <c r="O724" s="2"/>
      <c r="AE724" s="24"/>
    </row>
    <row r="725">
      <c r="A725" s="11"/>
      <c r="B725" s="23"/>
      <c r="C725" s="23"/>
      <c r="D725" s="23"/>
      <c r="E725" s="23"/>
      <c r="F725" s="1"/>
      <c r="G725" s="23"/>
      <c r="H725" s="23"/>
      <c r="I725" s="23"/>
      <c r="J725" s="2"/>
      <c r="M725" s="40"/>
      <c r="N725" s="40"/>
      <c r="O725" s="2"/>
      <c r="AE725" s="24"/>
    </row>
    <row r="726">
      <c r="A726" s="11"/>
      <c r="B726" s="23"/>
      <c r="C726" s="23"/>
      <c r="D726" s="23"/>
      <c r="E726" s="23"/>
      <c r="F726" s="1"/>
      <c r="G726" s="23"/>
      <c r="H726" s="23"/>
      <c r="I726" s="23"/>
      <c r="J726" s="2"/>
      <c r="M726" s="40"/>
      <c r="N726" s="40"/>
      <c r="O726" s="2"/>
      <c r="AE726" s="24"/>
    </row>
    <row r="727">
      <c r="A727" s="11"/>
      <c r="B727" s="23"/>
      <c r="C727" s="23"/>
      <c r="D727" s="23"/>
      <c r="E727" s="23"/>
      <c r="F727" s="1"/>
      <c r="G727" s="23"/>
      <c r="H727" s="23"/>
      <c r="I727" s="23"/>
      <c r="J727" s="2"/>
      <c r="M727" s="40"/>
      <c r="N727" s="40"/>
      <c r="O727" s="2"/>
      <c r="AE727" s="24"/>
    </row>
    <row r="728">
      <c r="A728" s="11"/>
      <c r="B728" s="23"/>
      <c r="C728" s="23"/>
      <c r="D728" s="23"/>
      <c r="E728" s="23"/>
      <c r="F728" s="1"/>
      <c r="G728" s="23"/>
      <c r="H728" s="23"/>
      <c r="I728" s="23"/>
      <c r="J728" s="2"/>
      <c r="M728" s="40"/>
      <c r="N728" s="40"/>
      <c r="O728" s="2"/>
      <c r="AE728" s="24"/>
    </row>
    <row r="729">
      <c r="A729" s="11"/>
      <c r="B729" s="23"/>
      <c r="C729" s="23"/>
      <c r="D729" s="23"/>
      <c r="E729" s="23"/>
      <c r="F729" s="1"/>
      <c r="G729" s="23"/>
      <c r="H729" s="23"/>
      <c r="I729" s="23"/>
      <c r="J729" s="2"/>
      <c r="M729" s="40"/>
      <c r="N729" s="40"/>
      <c r="O729" s="2"/>
      <c r="AE729" s="24"/>
    </row>
    <row r="730">
      <c r="A730" s="11"/>
      <c r="B730" s="23"/>
      <c r="C730" s="23"/>
      <c r="D730" s="23"/>
      <c r="E730" s="23"/>
      <c r="F730" s="1"/>
      <c r="G730" s="23"/>
      <c r="H730" s="23"/>
      <c r="I730" s="23"/>
      <c r="J730" s="2"/>
      <c r="M730" s="40"/>
      <c r="N730" s="40"/>
      <c r="O730" s="2"/>
      <c r="AE730" s="24"/>
    </row>
    <row r="731">
      <c r="A731" s="11"/>
      <c r="B731" s="23"/>
      <c r="C731" s="23"/>
      <c r="D731" s="23"/>
      <c r="E731" s="23"/>
      <c r="F731" s="1"/>
      <c r="G731" s="23"/>
      <c r="H731" s="23"/>
      <c r="I731" s="23"/>
      <c r="J731" s="2"/>
      <c r="M731" s="40"/>
      <c r="N731" s="40"/>
      <c r="O731" s="2"/>
      <c r="AE731" s="24"/>
    </row>
    <row r="732">
      <c r="A732" s="11"/>
      <c r="B732" s="23"/>
      <c r="C732" s="23"/>
      <c r="D732" s="23"/>
      <c r="E732" s="23"/>
      <c r="F732" s="1"/>
      <c r="G732" s="23"/>
      <c r="H732" s="23"/>
      <c r="I732" s="23"/>
      <c r="J732" s="2"/>
      <c r="M732" s="40"/>
      <c r="N732" s="40"/>
      <c r="O732" s="2"/>
      <c r="AE732" s="24"/>
    </row>
    <row r="733">
      <c r="A733" s="11"/>
      <c r="B733" s="23"/>
      <c r="C733" s="23"/>
      <c r="D733" s="23"/>
      <c r="E733" s="23"/>
      <c r="F733" s="1"/>
      <c r="G733" s="23"/>
      <c r="H733" s="23"/>
      <c r="I733" s="23"/>
      <c r="J733" s="2"/>
      <c r="M733" s="40"/>
      <c r="N733" s="40"/>
      <c r="O733" s="2"/>
      <c r="AE733" s="24"/>
    </row>
    <row r="734">
      <c r="A734" s="11"/>
      <c r="B734" s="23"/>
      <c r="C734" s="23"/>
      <c r="D734" s="23"/>
      <c r="E734" s="23"/>
      <c r="F734" s="1"/>
      <c r="G734" s="23"/>
      <c r="H734" s="23"/>
      <c r="I734" s="23"/>
      <c r="J734" s="2"/>
      <c r="M734" s="40"/>
      <c r="N734" s="40"/>
      <c r="O734" s="2"/>
      <c r="AE734" s="24"/>
    </row>
    <row r="735">
      <c r="A735" s="11"/>
      <c r="B735" s="23"/>
      <c r="C735" s="23"/>
      <c r="D735" s="23"/>
      <c r="E735" s="23"/>
      <c r="F735" s="1"/>
      <c r="G735" s="23"/>
      <c r="H735" s="23"/>
      <c r="I735" s="23"/>
      <c r="J735" s="2"/>
      <c r="M735" s="40"/>
      <c r="N735" s="40"/>
      <c r="O735" s="2"/>
      <c r="AE735" s="24"/>
    </row>
    <row r="736">
      <c r="A736" s="11"/>
      <c r="B736" s="23"/>
      <c r="C736" s="23"/>
      <c r="D736" s="23"/>
      <c r="E736" s="23"/>
      <c r="F736" s="1"/>
      <c r="G736" s="23"/>
      <c r="H736" s="23"/>
      <c r="I736" s="23"/>
      <c r="J736" s="2"/>
      <c r="M736" s="40"/>
      <c r="N736" s="40"/>
      <c r="O736" s="2"/>
      <c r="AE736" s="24"/>
    </row>
    <row r="737">
      <c r="A737" s="11"/>
      <c r="B737" s="23"/>
      <c r="C737" s="23"/>
      <c r="D737" s="23"/>
      <c r="E737" s="23"/>
      <c r="F737" s="1"/>
      <c r="G737" s="23"/>
      <c r="H737" s="23"/>
      <c r="I737" s="23"/>
      <c r="J737" s="2"/>
      <c r="M737" s="40"/>
      <c r="N737" s="40"/>
      <c r="O737" s="2"/>
      <c r="AE737" s="24"/>
    </row>
    <row r="738">
      <c r="A738" s="11"/>
      <c r="B738" s="23"/>
      <c r="C738" s="23"/>
      <c r="D738" s="23"/>
      <c r="E738" s="23"/>
      <c r="F738" s="1"/>
      <c r="G738" s="23"/>
      <c r="H738" s="23"/>
      <c r="I738" s="23"/>
      <c r="J738" s="2"/>
      <c r="M738" s="40"/>
      <c r="N738" s="40"/>
      <c r="O738" s="2"/>
      <c r="AE738" s="24"/>
    </row>
    <row r="739">
      <c r="A739" s="11"/>
      <c r="B739" s="23"/>
      <c r="C739" s="23"/>
      <c r="D739" s="23"/>
      <c r="E739" s="23"/>
      <c r="F739" s="1"/>
      <c r="G739" s="23"/>
      <c r="H739" s="23"/>
      <c r="I739" s="23"/>
      <c r="J739" s="2"/>
      <c r="M739" s="40"/>
      <c r="N739" s="40"/>
      <c r="O739" s="2"/>
      <c r="AE739" s="24"/>
    </row>
    <row r="740">
      <c r="A740" s="11"/>
      <c r="B740" s="23"/>
      <c r="C740" s="23"/>
      <c r="D740" s="23"/>
      <c r="E740" s="23"/>
      <c r="F740" s="1"/>
      <c r="G740" s="23"/>
      <c r="H740" s="23"/>
      <c r="I740" s="23"/>
      <c r="J740" s="2"/>
      <c r="M740" s="40"/>
      <c r="N740" s="40"/>
      <c r="O740" s="2"/>
      <c r="AE740" s="24"/>
    </row>
    <row r="741">
      <c r="A741" s="11"/>
      <c r="B741" s="23"/>
      <c r="C741" s="23"/>
      <c r="D741" s="23"/>
      <c r="E741" s="23"/>
      <c r="F741" s="1"/>
      <c r="G741" s="23"/>
      <c r="H741" s="23"/>
      <c r="I741" s="23"/>
      <c r="J741" s="2"/>
      <c r="M741" s="40"/>
      <c r="N741" s="40"/>
      <c r="O741" s="2"/>
      <c r="AE741" s="24"/>
    </row>
    <row r="742">
      <c r="A742" s="11"/>
      <c r="B742" s="23"/>
      <c r="C742" s="23"/>
      <c r="D742" s="23"/>
      <c r="E742" s="23"/>
      <c r="F742" s="1"/>
      <c r="G742" s="23"/>
      <c r="H742" s="23"/>
      <c r="I742" s="23"/>
      <c r="J742" s="2"/>
      <c r="M742" s="40"/>
      <c r="N742" s="40"/>
      <c r="O742" s="2"/>
      <c r="AE742" s="24"/>
    </row>
    <row r="743">
      <c r="A743" s="11"/>
      <c r="B743" s="23"/>
      <c r="C743" s="23"/>
      <c r="D743" s="23"/>
      <c r="E743" s="23"/>
      <c r="F743" s="1"/>
      <c r="G743" s="23"/>
      <c r="H743" s="23"/>
      <c r="I743" s="23"/>
      <c r="J743" s="2"/>
      <c r="M743" s="40"/>
      <c r="N743" s="40"/>
      <c r="O743" s="2"/>
      <c r="AE743" s="24"/>
    </row>
    <row r="744">
      <c r="A744" s="11"/>
      <c r="B744" s="23"/>
      <c r="C744" s="23"/>
      <c r="D744" s="23"/>
      <c r="E744" s="23"/>
      <c r="F744" s="1"/>
      <c r="G744" s="23"/>
      <c r="H744" s="23"/>
      <c r="I744" s="23"/>
      <c r="J744" s="2"/>
      <c r="M744" s="40"/>
      <c r="N744" s="40"/>
      <c r="O744" s="2"/>
      <c r="AE744" s="24"/>
    </row>
    <row r="745">
      <c r="A745" s="11"/>
      <c r="B745" s="23"/>
      <c r="C745" s="23"/>
      <c r="D745" s="23"/>
      <c r="E745" s="23"/>
      <c r="F745" s="1"/>
      <c r="G745" s="23"/>
      <c r="H745" s="23"/>
      <c r="I745" s="23"/>
      <c r="J745" s="2"/>
      <c r="M745" s="40"/>
      <c r="N745" s="40"/>
      <c r="O745" s="2"/>
      <c r="AE745" s="24"/>
    </row>
    <row r="746">
      <c r="A746" s="11"/>
      <c r="B746" s="23"/>
      <c r="C746" s="23"/>
      <c r="D746" s="23"/>
      <c r="E746" s="23"/>
      <c r="F746" s="1"/>
      <c r="G746" s="23"/>
      <c r="H746" s="23"/>
      <c r="I746" s="23"/>
      <c r="J746" s="2"/>
      <c r="M746" s="40"/>
      <c r="N746" s="40"/>
      <c r="O746" s="2"/>
      <c r="AE746" s="24"/>
    </row>
    <row r="747">
      <c r="A747" s="11"/>
      <c r="B747" s="23"/>
      <c r="C747" s="23"/>
      <c r="D747" s="23"/>
      <c r="E747" s="23"/>
      <c r="F747" s="1"/>
      <c r="G747" s="23"/>
      <c r="H747" s="23"/>
      <c r="I747" s="23"/>
      <c r="J747" s="2"/>
      <c r="M747" s="40"/>
      <c r="N747" s="40"/>
      <c r="O747" s="2"/>
      <c r="AE747" s="24"/>
    </row>
    <row r="748">
      <c r="A748" s="11"/>
      <c r="B748" s="23"/>
      <c r="C748" s="23"/>
      <c r="D748" s="23"/>
      <c r="E748" s="23"/>
      <c r="F748" s="1"/>
      <c r="G748" s="23"/>
      <c r="H748" s="23"/>
      <c r="I748" s="23"/>
      <c r="J748" s="2"/>
      <c r="M748" s="40"/>
      <c r="N748" s="40"/>
      <c r="O748" s="2"/>
      <c r="AE748" s="24"/>
    </row>
    <row r="749">
      <c r="A749" s="11"/>
      <c r="B749" s="23"/>
      <c r="C749" s="23"/>
      <c r="D749" s="23"/>
      <c r="E749" s="23"/>
      <c r="F749" s="1"/>
      <c r="G749" s="23"/>
      <c r="H749" s="23"/>
      <c r="I749" s="23"/>
      <c r="J749" s="2"/>
      <c r="M749" s="40"/>
      <c r="N749" s="40"/>
      <c r="O749" s="2"/>
      <c r="AE749" s="24"/>
    </row>
    <row r="750">
      <c r="A750" s="11"/>
      <c r="B750" s="23"/>
      <c r="C750" s="23"/>
      <c r="D750" s="23"/>
      <c r="E750" s="23"/>
      <c r="F750" s="1"/>
      <c r="G750" s="23"/>
      <c r="H750" s="23"/>
      <c r="I750" s="23"/>
      <c r="J750" s="2"/>
      <c r="M750" s="40"/>
      <c r="N750" s="40"/>
      <c r="O750" s="2"/>
      <c r="AE750" s="24"/>
    </row>
    <row r="751">
      <c r="A751" s="11"/>
      <c r="B751" s="23"/>
      <c r="C751" s="23"/>
      <c r="D751" s="23"/>
      <c r="E751" s="23"/>
      <c r="F751" s="1"/>
      <c r="G751" s="23"/>
      <c r="H751" s="23"/>
      <c r="I751" s="23"/>
      <c r="J751" s="2"/>
      <c r="M751" s="40"/>
      <c r="N751" s="40"/>
      <c r="O751" s="2"/>
      <c r="AE751" s="24"/>
    </row>
    <row r="752">
      <c r="A752" s="11"/>
      <c r="B752" s="23"/>
      <c r="C752" s="23"/>
      <c r="D752" s="23"/>
      <c r="E752" s="23"/>
      <c r="F752" s="1"/>
      <c r="G752" s="23"/>
      <c r="H752" s="23"/>
      <c r="I752" s="23"/>
      <c r="J752" s="2"/>
      <c r="M752" s="40"/>
      <c r="N752" s="40"/>
      <c r="O752" s="2"/>
      <c r="AE752" s="24"/>
    </row>
    <row r="753">
      <c r="A753" s="11"/>
      <c r="B753" s="23"/>
      <c r="C753" s="23"/>
      <c r="D753" s="23"/>
      <c r="E753" s="23"/>
      <c r="F753" s="1"/>
      <c r="G753" s="23"/>
      <c r="H753" s="23"/>
      <c r="I753" s="23"/>
      <c r="J753" s="2"/>
      <c r="M753" s="40"/>
      <c r="N753" s="40"/>
      <c r="O753" s="2"/>
      <c r="AE753" s="24"/>
    </row>
    <row r="754">
      <c r="A754" s="11"/>
      <c r="B754" s="23"/>
      <c r="C754" s="23"/>
      <c r="D754" s="23"/>
      <c r="E754" s="23"/>
      <c r="F754" s="1"/>
      <c r="G754" s="23"/>
      <c r="H754" s="23"/>
      <c r="I754" s="23"/>
      <c r="J754" s="2"/>
      <c r="M754" s="40"/>
      <c r="N754" s="40"/>
      <c r="O754" s="2"/>
      <c r="AE754" s="24"/>
    </row>
    <row r="755">
      <c r="A755" s="11"/>
      <c r="B755" s="23"/>
      <c r="C755" s="23"/>
      <c r="D755" s="23"/>
      <c r="E755" s="23"/>
      <c r="F755" s="1"/>
      <c r="G755" s="23"/>
      <c r="H755" s="23"/>
      <c r="I755" s="23"/>
      <c r="J755" s="2"/>
      <c r="M755" s="40"/>
      <c r="N755" s="40"/>
      <c r="O755" s="2"/>
      <c r="AE755" s="24"/>
    </row>
    <row r="756">
      <c r="A756" s="11"/>
      <c r="B756" s="23"/>
      <c r="C756" s="23"/>
      <c r="D756" s="23"/>
      <c r="E756" s="23"/>
      <c r="F756" s="1"/>
      <c r="G756" s="23"/>
      <c r="H756" s="23"/>
      <c r="I756" s="23"/>
      <c r="J756" s="2"/>
      <c r="M756" s="40"/>
      <c r="N756" s="40"/>
      <c r="O756" s="2"/>
      <c r="AE756" s="24"/>
    </row>
    <row r="757">
      <c r="A757" s="11"/>
      <c r="B757" s="23"/>
      <c r="C757" s="23"/>
      <c r="D757" s="23"/>
      <c r="E757" s="23"/>
      <c r="F757" s="1"/>
      <c r="G757" s="23"/>
      <c r="H757" s="23"/>
      <c r="I757" s="23"/>
      <c r="J757" s="2"/>
      <c r="M757" s="40"/>
      <c r="N757" s="40"/>
      <c r="O757" s="2"/>
      <c r="AE757" s="24"/>
    </row>
    <row r="758">
      <c r="A758" s="11"/>
      <c r="B758" s="23"/>
      <c r="C758" s="23"/>
      <c r="D758" s="23"/>
      <c r="E758" s="23"/>
      <c r="F758" s="1"/>
      <c r="G758" s="23"/>
      <c r="H758" s="23"/>
      <c r="I758" s="23"/>
      <c r="J758" s="2"/>
      <c r="M758" s="40"/>
      <c r="N758" s="40"/>
      <c r="O758" s="2"/>
      <c r="AE758" s="24"/>
    </row>
    <row r="759">
      <c r="A759" s="11"/>
      <c r="B759" s="23"/>
      <c r="C759" s="23"/>
      <c r="D759" s="23"/>
      <c r="E759" s="23"/>
      <c r="F759" s="1"/>
      <c r="G759" s="23"/>
      <c r="H759" s="23"/>
      <c r="I759" s="23"/>
      <c r="J759" s="2"/>
      <c r="M759" s="40"/>
      <c r="N759" s="40"/>
      <c r="O759" s="2"/>
      <c r="AE759" s="24"/>
    </row>
    <row r="760">
      <c r="A760" s="11"/>
      <c r="B760" s="23"/>
      <c r="C760" s="23"/>
      <c r="D760" s="23"/>
      <c r="E760" s="23"/>
      <c r="F760" s="1"/>
      <c r="G760" s="23"/>
      <c r="H760" s="23"/>
      <c r="I760" s="23"/>
      <c r="J760" s="2"/>
      <c r="M760" s="40"/>
      <c r="N760" s="40"/>
      <c r="O760" s="2"/>
      <c r="AE760" s="24"/>
    </row>
    <row r="761">
      <c r="A761" s="11"/>
      <c r="B761" s="23"/>
      <c r="C761" s="23"/>
      <c r="D761" s="23"/>
      <c r="E761" s="23"/>
      <c r="F761" s="1"/>
      <c r="G761" s="23"/>
      <c r="H761" s="23"/>
      <c r="I761" s="23"/>
      <c r="J761" s="2"/>
      <c r="M761" s="40"/>
      <c r="N761" s="40"/>
      <c r="O761" s="2"/>
      <c r="AE761" s="24"/>
    </row>
    <row r="762">
      <c r="A762" s="11"/>
      <c r="B762" s="23"/>
      <c r="C762" s="23"/>
      <c r="D762" s="23"/>
      <c r="E762" s="23"/>
      <c r="F762" s="1"/>
      <c r="G762" s="23"/>
      <c r="H762" s="23"/>
      <c r="I762" s="23"/>
      <c r="J762" s="2"/>
      <c r="M762" s="40"/>
      <c r="N762" s="40"/>
      <c r="O762" s="2"/>
      <c r="AE762" s="24"/>
    </row>
    <row r="763">
      <c r="A763" s="11"/>
      <c r="B763" s="23"/>
      <c r="C763" s="23"/>
      <c r="D763" s="23"/>
      <c r="E763" s="23"/>
      <c r="F763" s="1"/>
      <c r="G763" s="23"/>
      <c r="H763" s="23"/>
      <c r="I763" s="23"/>
      <c r="J763" s="2"/>
      <c r="M763" s="40"/>
      <c r="N763" s="40"/>
      <c r="O763" s="2"/>
      <c r="AE763" s="24"/>
    </row>
    <row r="764">
      <c r="A764" s="11"/>
      <c r="B764" s="23"/>
      <c r="C764" s="23"/>
      <c r="D764" s="23"/>
      <c r="E764" s="23"/>
      <c r="F764" s="1"/>
      <c r="G764" s="23"/>
      <c r="H764" s="23"/>
      <c r="I764" s="23"/>
      <c r="J764" s="2"/>
      <c r="M764" s="40"/>
      <c r="N764" s="40"/>
      <c r="O764" s="2"/>
      <c r="AE764" s="24"/>
    </row>
    <row r="765">
      <c r="A765" s="11"/>
      <c r="B765" s="23"/>
      <c r="C765" s="23"/>
      <c r="D765" s="23"/>
      <c r="E765" s="23"/>
      <c r="F765" s="1"/>
      <c r="G765" s="23"/>
      <c r="H765" s="23"/>
      <c r="I765" s="23"/>
      <c r="J765" s="2"/>
      <c r="M765" s="40"/>
      <c r="N765" s="40"/>
      <c r="O765" s="2"/>
      <c r="AE765" s="24"/>
    </row>
    <row r="766">
      <c r="A766" s="11"/>
      <c r="B766" s="23"/>
      <c r="C766" s="23"/>
      <c r="D766" s="23"/>
      <c r="E766" s="23"/>
      <c r="F766" s="1"/>
      <c r="G766" s="23"/>
      <c r="H766" s="23"/>
      <c r="I766" s="23"/>
      <c r="J766" s="2"/>
      <c r="M766" s="40"/>
      <c r="N766" s="40"/>
      <c r="O766" s="2"/>
      <c r="AE766" s="24"/>
    </row>
    <row r="767">
      <c r="A767" s="11"/>
      <c r="B767" s="23"/>
      <c r="C767" s="23"/>
      <c r="D767" s="23"/>
      <c r="E767" s="23"/>
      <c r="F767" s="1"/>
      <c r="G767" s="23"/>
      <c r="H767" s="23"/>
      <c r="I767" s="23"/>
      <c r="J767" s="2"/>
      <c r="M767" s="40"/>
      <c r="N767" s="40"/>
      <c r="O767" s="2"/>
      <c r="AE767" s="24"/>
    </row>
    <row r="768">
      <c r="A768" s="11"/>
      <c r="B768" s="23"/>
      <c r="C768" s="23"/>
      <c r="D768" s="23"/>
      <c r="E768" s="23"/>
      <c r="F768" s="1"/>
      <c r="G768" s="23"/>
      <c r="H768" s="23"/>
      <c r="I768" s="23"/>
      <c r="J768" s="2"/>
      <c r="M768" s="40"/>
      <c r="N768" s="40"/>
      <c r="O768" s="2"/>
      <c r="AE768" s="24"/>
    </row>
    <row r="769">
      <c r="A769" s="11"/>
      <c r="B769" s="23"/>
      <c r="C769" s="23"/>
      <c r="D769" s="23"/>
      <c r="E769" s="23"/>
      <c r="F769" s="1"/>
      <c r="G769" s="23"/>
      <c r="H769" s="23"/>
      <c r="I769" s="23"/>
      <c r="J769" s="2"/>
      <c r="M769" s="40"/>
      <c r="N769" s="40"/>
      <c r="O769" s="2"/>
      <c r="AE769" s="24"/>
    </row>
    <row r="770">
      <c r="A770" s="11"/>
      <c r="B770" s="23"/>
      <c r="C770" s="23"/>
      <c r="D770" s="23"/>
      <c r="E770" s="23"/>
      <c r="F770" s="1"/>
      <c r="G770" s="23"/>
      <c r="H770" s="23"/>
      <c r="I770" s="23"/>
      <c r="J770" s="2"/>
      <c r="M770" s="40"/>
      <c r="N770" s="40"/>
      <c r="O770" s="2"/>
      <c r="AE770" s="24"/>
    </row>
    <row r="771">
      <c r="A771" s="11"/>
      <c r="B771" s="23"/>
      <c r="C771" s="23"/>
      <c r="D771" s="23"/>
      <c r="E771" s="23"/>
      <c r="F771" s="1"/>
      <c r="G771" s="23"/>
      <c r="H771" s="23"/>
      <c r="I771" s="23"/>
      <c r="J771" s="2"/>
      <c r="M771" s="40"/>
      <c r="N771" s="40"/>
      <c r="O771" s="2"/>
      <c r="AE771" s="24"/>
    </row>
    <row r="772">
      <c r="A772" s="11"/>
      <c r="B772" s="23"/>
      <c r="C772" s="23"/>
      <c r="D772" s="23"/>
      <c r="E772" s="23"/>
      <c r="F772" s="1"/>
      <c r="G772" s="23"/>
      <c r="H772" s="23"/>
      <c r="I772" s="23"/>
      <c r="J772" s="2"/>
      <c r="M772" s="40"/>
      <c r="N772" s="40"/>
      <c r="O772" s="2"/>
      <c r="AE772" s="24"/>
    </row>
    <row r="773">
      <c r="A773" s="11"/>
      <c r="B773" s="23"/>
      <c r="C773" s="23"/>
      <c r="D773" s="23"/>
      <c r="E773" s="23"/>
      <c r="F773" s="1"/>
      <c r="G773" s="23"/>
      <c r="H773" s="23"/>
      <c r="I773" s="23"/>
      <c r="J773" s="2"/>
      <c r="M773" s="40"/>
      <c r="N773" s="40"/>
      <c r="O773" s="2"/>
      <c r="AE773" s="24"/>
    </row>
    <row r="774">
      <c r="A774" s="11"/>
      <c r="B774" s="23"/>
      <c r="C774" s="23"/>
      <c r="D774" s="23"/>
      <c r="E774" s="23"/>
      <c r="F774" s="1"/>
      <c r="G774" s="23"/>
      <c r="H774" s="23"/>
      <c r="I774" s="23"/>
      <c r="J774" s="2"/>
      <c r="M774" s="40"/>
      <c r="N774" s="40"/>
      <c r="O774" s="2"/>
      <c r="AE774" s="24"/>
    </row>
    <row r="775">
      <c r="A775" s="11"/>
      <c r="B775" s="23"/>
      <c r="C775" s="23"/>
      <c r="D775" s="23"/>
      <c r="E775" s="23"/>
      <c r="F775" s="1"/>
      <c r="G775" s="23"/>
      <c r="H775" s="23"/>
      <c r="I775" s="23"/>
      <c r="J775" s="2"/>
      <c r="M775" s="40"/>
      <c r="N775" s="40"/>
      <c r="O775" s="2"/>
      <c r="AE775" s="24"/>
    </row>
    <row r="776">
      <c r="A776" s="11"/>
      <c r="B776" s="23"/>
      <c r="C776" s="23"/>
      <c r="D776" s="23"/>
      <c r="E776" s="23"/>
      <c r="F776" s="1"/>
      <c r="G776" s="23"/>
      <c r="H776" s="23"/>
      <c r="I776" s="23"/>
      <c r="J776" s="2"/>
      <c r="M776" s="40"/>
      <c r="N776" s="40"/>
      <c r="O776" s="2"/>
      <c r="AE776" s="24"/>
    </row>
    <row r="777">
      <c r="A777" s="11"/>
      <c r="B777" s="23"/>
      <c r="C777" s="23"/>
      <c r="D777" s="23"/>
      <c r="E777" s="23"/>
      <c r="F777" s="1"/>
      <c r="G777" s="23"/>
      <c r="H777" s="23"/>
      <c r="I777" s="23"/>
      <c r="J777" s="2"/>
      <c r="M777" s="40"/>
      <c r="N777" s="40"/>
      <c r="O777" s="2"/>
      <c r="AE777" s="24"/>
    </row>
    <row r="778">
      <c r="A778" s="11"/>
      <c r="B778" s="23"/>
      <c r="C778" s="23"/>
      <c r="D778" s="23"/>
      <c r="E778" s="23"/>
      <c r="F778" s="1"/>
      <c r="G778" s="23"/>
      <c r="H778" s="23"/>
      <c r="I778" s="23"/>
      <c r="J778" s="2"/>
      <c r="M778" s="40"/>
      <c r="N778" s="40"/>
      <c r="O778" s="2"/>
      <c r="AE778" s="24"/>
    </row>
    <row r="779">
      <c r="A779" s="11"/>
      <c r="B779" s="23"/>
      <c r="C779" s="23"/>
      <c r="D779" s="23"/>
      <c r="E779" s="23"/>
      <c r="F779" s="1"/>
      <c r="G779" s="23"/>
      <c r="H779" s="23"/>
      <c r="I779" s="23"/>
      <c r="J779" s="2"/>
      <c r="M779" s="40"/>
      <c r="N779" s="40"/>
      <c r="O779" s="2"/>
      <c r="AE779" s="24"/>
    </row>
    <row r="780">
      <c r="A780" s="11"/>
      <c r="B780" s="23"/>
      <c r="C780" s="23"/>
      <c r="D780" s="23"/>
      <c r="E780" s="23"/>
      <c r="F780" s="1"/>
      <c r="G780" s="23"/>
      <c r="H780" s="23"/>
      <c r="I780" s="23"/>
      <c r="J780" s="2"/>
      <c r="M780" s="40"/>
      <c r="N780" s="40"/>
      <c r="O780" s="2"/>
      <c r="AE780" s="24"/>
    </row>
    <row r="781">
      <c r="A781" s="11"/>
      <c r="B781" s="23"/>
      <c r="C781" s="23"/>
      <c r="D781" s="23"/>
      <c r="E781" s="23"/>
      <c r="F781" s="1"/>
      <c r="G781" s="23"/>
      <c r="H781" s="23"/>
      <c r="I781" s="23"/>
      <c r="J781" s="2"/>
      <c r="M781" s="40"/>
      <c r="N781" s="40"/>
      <c r="O781" s="2"/>
      <c r="AE781" s="24"/>
    </row>
    <row r="782">
      <c r="A782" s="11"/>
      <c r="B782" s="23"/>
      <c r="C782" s="23"/>
      <c r="D782" s="23"/>
      <c r="E782" s="23"/>
      <c r="F782" s="1"/>
      <c r="G782" s="23"/>
      <c r="H782" s="23"/>
      <c r="I782" s="23"/>
      <c r="J782" s="2"/>
      <c r="M782" s="40"/>
      <c r="N782" s="40"/>
      <c r="O782" s="2"/>
      <c r="AE782" s="24"/>
    </row>
    <row r="783">
      <c r="A783" s="11"/>
      <c r="B783" s="23"/>
      <c r="C783" s="23"/>
      <c r="D783" s="23"/>
      <c r="E783" s="23"/>
      <c r="F783" s="1"/>
      <c r="G783" s="23"/>
      <c r="H783" s="23"/>
      <c r="I783" s="23"/>
      <c r="J783" s="2"/>
      <c r="M783" s="40"/>
      <c r="N783" s="40"/>
      <c r="O783" s="2"/>
      <c r="AE783" s="24"/>
    </row>
    <row r="784">
      <c r="A784" s="11"/>
      <c r="B784" s="23"/>
      <c r="C784" s="23"/>
      <c r="D784" s="23"/>
      <c r="E784" s="23"/>
      <c r="F784" s="1"/>
      <c r="G784" s="23"/>
      <c r="H784" s="23"/>
      <c r="I784" s="23"/>
      <c r="J784" s="2"/>
      <c r="M784" s="40"/>
      <c r="N784" s="40"/>
      <c r="O784" s="2"/>
      <c r="AE784" s="24"/>
    </row>
    <row r="785">
      <c r="A785" s="11"/>
      <c r="B785" s="23"/>
      <c r="C785" s="23"/>
      <c r="D785" s="23"/>
      <c r="E785" s="23"/>
      <c r="F785" s="1"/>
      <c r="G785" s="23"/>
      <c r="H785" s="23"/>
      <c r="I785" s="23"/>
      <c r="J785" s="2"/>
      <c r="M785" s="40"/>
      <c r="N785" s="40"/>
      <c r="O785" s="2"/>
      <c r="AE785" s="24"/>
    </row>
    <row r="786">
      <c r="A786" s="11"/>
      <c r="B786" s="23"/>
      <c r="C786" s="23"/>
      <c r="D786" s="23"/>
      <c r="E786" s="23"/>
      <c r="F786" s="1"/>
      <c r="G786" s="23"/>
      <c r="H786" s="23"/>
      <c r="I786" s="23"/>
      <c r="J786" s="2"/>
      <c r="M786" s="40"/>
      <c r="N786" s="40"/>
      <c r="O786" s="2"/>
      <c r="AE786" s="24"/>
    </row>
    <row r="787">
      <c r="A787" s="11"/>
      <c r="B787" s="23"/>
      <c r="C787" s="23"/>
      <c r="D787" s="23"/>
      <c r="E787" s="23"/>
      <c r="F787" s="1"/>
      <c r="G787" s="23"/>
      <c r="H787" s="23"/>
      <c r="I787" s="23"/>
      <c r="J787" s="2"/>
      <c r="M787" s="40"/>
      <c r="N787" s="40"/>
      <c r="O787" s="2"/>
      <c r="AE787" s="24"/>
    </row>
    <row r="788">
      <c r="A788" s="11"/>
      <c r="B788" s="23"/>
      <c r="C788" s="23"/>
      <c r="D788" s="23"/>
      <c r="E788" s="23"/>
      <c r="F788" s="1"/>
      <c r="G788" s="23"/>
      <c r="H788" s="23"/>
      <c r="I788" s="23"/>
      <c r="J788" s="2"/>
      <c r="M788" s="40"/>
      <c r="N788" s="40"/>
      <c r="O788" s="2"/>
      <c r="AE788" s="24"/>
    </row>
    <row r="789">
      <c r="A789" s="11"/>
      <c r="B789" s="23"/>
      <c r="C789" s="23"/>
      <c r="D789" s="23"/>
      <c r="E789" s="23"/>
      <c r="F789" s="1"/>
      <c r="G789" s="23"/>
      <c r="H789" s="23"/>
      <c r="I789" s="23"/>
      <c r="J789" s="2"/>
      <c r="M789" s="40"/>
      <c r="N789" s="40"/>
      <c r="O789" s="2"/>
      <c r="AE789" s="24"/>
    </row>
    <row r="790">
      <c r="A790" s="11"/>
      <c r="B790" s="23"/>
      <c r="C790" s="23"/>
      <c r="D790" s="23"/>
      <c r="E790" s="23"/>
      <c r="F790" s="1"/>
      <c r="G790" s="23"/>
      <c r="H790" s="23"/>
      <c r="I790" s="23"/>
      <c r="J790" s="2"/>
      <c r="M790" s="40"/>
      <c r="N790" s="40"/>
      <c r="O790" s="2"/>
      <c r="AE790" s="24"/>
    </row>
    <row r="791">
      <c r="A791" s="11"/>
      <c r="B791" s="23"/>
      <c r="C791" s="23"/>
      <c r="D791" s="23"/>
      <c r="E791" s="23"/>
      <c r="F791" s="1"/>
      <c r="G791" s="23"/>
      <c r="H791" s="23"/>
      <c r="I791" s="23"/>
      <c r="J791" s="2"/>
      <c r="M791" s="40"/>
      <c r="N791" s="40"/>
      <c r="O791" s="2"/>
      <c r="AE791" s="24"/>
    </row>
    <row r="792">
      <c r="A792" s="11"/>
      <c r="B792" s="23"/>
      <c r="C792" s="23"/>
      <c r="D792" s="23"/>
      <c r="E792" s="23"/>
      <c r="F792" s="1"/>
      <c r="G792" s="23"/>
      <c r="H792" s="23"/>
      <c r="I792" s="23"/>
      <c r="J792" s="2"/>
      <c r="M792" s="40"/>
      <c r="N792" s="40"/>
      <c r="O792" s="2"/>
      <c r="AE792" s="24"/>
    </row>
    <row r="793">
      <c r="A793" s="11"/>
      <c r="B793" s="23"/>
      <c r="C793" s="23"/>
      <c r="D793" s="23"/>
      <c r="E793" s="23"/>
      <c r="F793" s="1"/>
      <c r="G793" s="23"/>
      <c r="H793" s="23"/>
      <c r="I793" s="23"/>
      <c r="J793" s="2"/>
      <c r="M793" s="40"/>
      <c r="N793" s="40"/>
      <c r="O793" s="2"/>
      <c r="AE793" s="24"/>
    </row>
    <row r="794">
      <c r="A794" s="11"/>
      <c r="B794" s="23"/>
      <c r="C794" s="23"/>
      <c r="D794" s="23"/>
      <c r="E794" s="23"/>
      <c r="F794" s="1"/>
      <c r="G794" s="23"/>
      <c r="H794" s="23"/>
      <c r="I794" s="23"/>
      <c r="J794" s="2"/>
      <c r="M794" s="40"/>
      <c r="N794" s="40"/>
      <c r="O794" s="2"/>
      <c r="AE794" s="24"/>
    </row>
    <row r="795">
      <c r="A795" s="11"/>
      <c r="B795" s="23"/>
      <c r="C795" s="23"/>
      <c r="D795" s="23"/>
      <c r="E795" s="23"/>
      <c r="F795" s="1"/>
      <c r="G795" s="23"/>
      <c r="H795" s="23"/>
      <c r="I795" s="23"/>
      <c r="J795" s="2"/>
      <c r="M795" s="40"/>
      <c r="N795" s="40"/>
      <c r="O795" s="2"/>
      <c r="AE795" s="24"/>
    </row>
    <row r="796">
      <c r="A796" s="11"/>
      <c r="B796" s="23"/>
      <c r="C796" s="23"/>
      <c r="D796" s="23"/>
      <c r="E796" s="23"/>
      <c r="F796" s="1"/>
      <c r="G796" s="23"/>
      <c r="H796" s="23"/>
      <c r="I796" s="23"/>
      <c r="J796" s="2"/>
      <c r="M796" s="40"/>
      <c r="N796" s="40"/>
      <c r="O796" s="2"/>
      <c r="AE796" s="24"/>
    </row>
    <row r="797">
      <c r="A797" s="11"/>
      <c r="B797" s="23"/>
      <c r="C797" s="23"/>
      <c r="D797" s="23"/>
      <c r="E797" s="23"/>
      <c r="F797" s="1"/>
      <c r="G797" s="23"/>
      <c r="H797" s="23"/>
      <c r="I797" s="23"/>
      <c r="J797" s="2"/>
      <c r="M797" s="40"/>
      <c r="N797" s="40"/>
      <c r="O797" s="2"/>
      <c r="AE797" s="24"/>
    </row>
    <row r="798">
      <c r="A798" s="11"/>
      <c r="B798" s="23"/>
      <c r="C798" s="23"/>
      <c r="D798" s="23"/>
      <c r="E798" s="23"/>
      <c r="F798" s="1"/>
      <c r="G798" s="23"/>
      <c r="H798" s="23"/>
      <c r="I798" s="23"/>
      <c r="J798" s="2"/>
      <c r="M798" s="40"/>
      <c r="N798" s="40"/>
      <c r="O798" s="2"/>
      <c r="AE798" s="24"/>
    </row>
    <row r="799">
      <c r="A799" s="11"/>
      <c r="B799" s="23"/>
      <c r="C799" s="23"/>
      <c r="D799" s="23"/>
      <c r="E799" s="23"/>
      <c r="F799" s="1"/>
      <c r="G799" s="23"/>
      <c r="H799" s="23"/>
      <c r="I799" s="23"/>
      <c r="J799" s="2"/>
      <c r="M799" s="40"/>
      <c r="N799" s="40"/>
      <c r="O799" s="2"/>
      <c r="AE799" s="24"/>
    </row>
    <row r="800">
      <c r="A800" s="11"/>
      <c r="B800" s="23"/>
      <c r="C800" s="23"/>
      <c r="D800" s="23"/>
      <c r="E800" s="23"/>
      <c r="F800" s="1"/>
      <c r="G800" s="23"/>
      <c r="H800" s="23"/>
      <c r="I800" s="23"/>
      <c r="J800" s="2"/>
      <c r="M800" s="40"/>
      <c r="N800" s="40"/>
      <c r="O800" s="2"/>
      <c r="AE800" s="24"/>
    </row>
    <row r="801">
      <c r="A801" s="11"/>
      <c r="B801" s="23"/>
      <c r="C801" s="23"/>
      <c r="D801" s="23"/>
      <c r="E801" s="23"/>
      <c r="F801" s="1"/>
      <c r="G801" s="23"/>
      <c r="H801" s="23"/>
      <c r="I801" s="23"/>
      <c r="J801" s="2"/>
      <c r="M801" s="40"/>
      <c r="N801" s="40"/>
      <c r="O801" s="2"/>
      <c r="AE801" s="24"/>
    </row>
    <row r="802">
      <c r="A802" s="11"/>
      <c r="B802" s="23"/>
      <c r="C802" s="23"/>
      <c r="D802" s="23"/>
      <c r="E802" s="23"/>
      <c r="F802" s="1"/>
      <c r="G802" s="23"/>
      <c r="H802" s="23"/>
      <c r="I802" s="23"/>
      <c r="J802" s="2"/>
      <c r="M802" s="40"/>
      <c r="N802" s="40"/>
      <c r="O802" s="2"/>
      <c r="AE802" s="24"/>
    </row>
    <row r="803">
      <c r="A803" s="11"/>
      <c r="B803" s="23"/>
      <c r="C803" s="23"/>
      <c r="D803" s="23"/>
      <c r="E803" s="23"/>
      <c r="F803" s="1"/>
      <c r="G803" s="23"/>
      <c r="H803" s="23"/>
      <c r="I803" s="23"/>
      <c r="J803" s="2"/>
      <c r="M803" s="40"/>
      <c r="N803" s="40"/>
      <c r="O803" s="2"/>
      <c r="AE803" s="24"/>
    </row>
    <row r="804">
      <c r="A804" s="11"/>
      <c r="B804" s="23"/>
      <c r="C804" s="23"/>
      <c r="D804" s="23"/>
      <c r="E804" s="23"/>
      <c r="F804" s="1"/>
      <c r="G804" s="23"/>
      <c r="H804" s="23"/>
      <c r="I804" s="23"/>
      <c r="J804" s="2"/>
      <c r="M804" s="40"/>
      <c r="N804" s="40"/>
      <c r="O804" s="2"/>
      <c r="AE804" s="24"/>
    </row>
    <row r="805">
      <c r="A805" s="11"/>
      <c r="B805" s="23"/>
      <c r="C805" s="23"/>
      <c r="D805" s="23"/>
      <c r="E805" s="23"/>
      <c r="F805" s="1"/>
      <c r="G805" s="23"/>
      <c r="H805" s="23"/>
      <c r="I805" s="23"/>
      <c r="J805" s="2"/>
      <c r="M805" s="40"/>
      <c r="N805" s="40"/>
      <c r="O805" s="2"/>
      <c r="AE805" s="24"/>
    </row>
    <row r="806">
      <c r="A806" s="11"/>
      <c r="B806" s="23"/>
      <c r="C806" s="23"/>
      <c r="D806" s="23"/>
      <c r="E806" s="23"/>
      <c r="F806" s="1"/>
      <c r="G806" s="23"/>
      <c r="H806" s="23"/>
      <c r="I806" s="23"/>
      <c r="J806" s="2"/>
      <c r="M806" s="40"/>
      <c r="N806" s="40"/>
      <c r="O806" s="2"/>
      <c r="AE806" s="24"/>
    </row>
    <row r="807">
      <c r="A807" s="11"/>
      <c r="B807" s="23"/>
      <c r="C807" s="23"/>
      <c r="D807" s="23"/>
      <c r="E807" s="23"/>
      <c r="F807" s="1"/>
      <c r="G807" s="23"/>
      <c r="H807" s="23"/>
      <c r="I807" s="23"/>
      <c r="J807" s="2"/>
      <c r="M807" s="40"/>
      <c r="N807" s="40"/>
      <c r="O807" s="2"/>
      <c r="AE807" s="24"/>
    </row>
    <row r="808">
      <c r="A808" s="11"/>
      <c r="B808" s="23"/>
      <c r="C808" s="23"/>
      <c r="D808" s="23"/>
      <c r="E808" s="23"/>
      <c r="F808" s="1"/>
      <c r="G808" s="23"/>
      <c r="H808" s="23"/>
      <c r="I808" s="23"/>
      <c r="J808" s="2"/>
      <c r="M808" s="40"/>
      <c r="N808" s="40"/>
      <c r="O808" s="2"/>
      <c r="AE808" s="24"/>
    </row>
    <row r="809">
      <c r="A809" s="11"/>
      <c r="B809" s="23"/>
      <c r="C809" s="23"/>
      <c r="D809" s="23"/>
      <c r="E809" s="23"/>
      <c r="F809" s="1"/>
      <c r="G809" s="23"/>
      <c r="H809" s="23"/>
      <c r="I809" s="23"/>
      <c r="J809" s="2"/>
      <c r="M809" s="40"/>
      <c r="N809" s="40"/>
      <c r="O809" s="2"/>
      <c r="AE809" s="24"/>
    </row>
    <row r="810">
      <c r="A810" s="11"/>
      <c r="B810" s="23"/>
      <c r="C810" s="23"/>
      <c r="D810" s="23"/>
      <c r="E810" s="23"/>
      <c r="F810" s="1"/>
      <c r="G810" s="23"/>
      <c r="H810" s="23"/>
      <c r="I810" s="23"/>
      <c r="J810" s="2"/>
      <c r="M810" s="40"/>
      <c r="N810" s="40"/>
      <c r="O810" s="2"/>
      <c r="AE810" s="24"/>
    </row>
    <row r="811">
      <c r="A811" s="11"/>
      <c r="B811" s="23"/>
      <c r="C811" s="23"/>
      <c r="D811" s="23"/>
      <c r="E811" s="23"/>
      <c r="F811" s="1"/>
      <c r="G811" s="23"/>
      <c r="H811" s="23"/>
      <c r="I811" s="23"/>
      <c r="J811" s="2"/>
      <c r="M811" s="40"/>
      <c r="N811" s="40"/>
      <c r="O811" s="2"/>
      <c r="AE811" s="24"/>
    </row>
    <row r="812">
      <c r="A812" s="11"/>
      <c r="B812" s="23"/>
      <c r="C812" s="23"/>
      <c r="D812" s="23"/>
      <c r="E812" s="23"/>
      <c r="F812" s="1"/>
      <c r="G812" s="23"/>
      <c r="H812" s="23"/>
      <c r="I812" s="23"/>
      <c r="J812" s="2"/>
      <c r="M812" s="40"/>
      <c r="N812" s="40"/>
      <c r="O812" s="2"/>
      <c r="AE812" s="24"/>
    </row>
    <row r="813">
      <c r="A813" s="11"/>
      <c r="B813" s="23"/>
      <c r="C813" s="23"/>
      <c r="D813" s="23"/>
      <c r="E813" s="23"/>
      <c r="F813" s="1"/>
      <c r="G813" s="23"/>
      <c r="H813" s="23"/>
      <c r="I813" s="23"/>
      <c r="J813" s="2"/>
      <c r="M813" s="40"/>
      <c r="N813" s="40"/>
      <c r="O813" s="2"/>
      <c r="AE813" s="24"/>
    </row>
    <row r="814">
      <c r="A814" s="11"/>
      <c r="B814" s="23"/>
      <c r="C814" s="23"/>
      <c r="D814" s="23"/>
      <c r="E814" s="23"/>
      <c r="F814" s="1"/>
      <c r="G814" s="23"/>
      <c r="H814" s="23"/>
      <c r="I814" s="23"/>
      <c r="J814" s="2"/>
      <c r="M814" s="40"/>
      <c r="N814" s="40"/>
      <c r="O814" s="2"/>
      <c r="AE814" s="24"/>
    </row>
    <row r="815">
      <c r="A815" s="11"/>
      <c r="B815" s="23"/>
      <c r="C815" s="23"/>
      <c r="D815" s="23"/>
      <c r="E815" s="23"/>
      <c r="F815" s="1"/>
      <c r="G815" s="23"/>
      <c r="H815" s="23"/>
      <c r="I815" s="23"/>
      <c r="J815" s="2"/>
      <c r="M815" s="40"/>
      <c r="N815" s="40"/>
      <c r="O815" s="2"/>
      <c r="AE815" s="24"/>
    </row>
    <row r="816">
      <c r="A816" s="11"/>
      <c r="B816" s="23"/>
      <c r="C816" s="23"/>
      <c r="D816" s="23"/>
      <c r="E816" s="23"/>
      <c r="F816" s="1"/>
      <c r="G816" s="23"/>
      <c r="H816" s="23"/>
      <c r="I816" s="23"/>
      <c r="J816" s="2"/>
      <c r="M816" s="40"/>
      <c r="N816" s="40"/>
      <c r="O816" s="2"/>
      <c r="AE816" s="24"/>
    </row>
    <row r="817">
      <c r="A817" s="11"/>
      <c r="B817" s="23"/>
      <c r="C817" s="23"/>
      <c r="D817" s="23"/>
      <c r="E817" s="23"/>
      <c r="F817" s="1"/>
      <c r="G817" s="23"/>
      <c r="H817" s="23"/>
      <c r="I817" s="23"/>
      <c r="J817" s="2"/>
      <c r="M817" s="40"/>
      <c r="N817" s="40"/>
      <c r="O817" s="2"/>
      <c r="AE817" s="24"/>
    </row>
    <row r="818">
      <c r="A818" s="11"/>
      <c r="B818" s="23"/>
      <c r="C818" s="23"/>
      <c r="D818" s="23"/>
      <c r="E818" s="23"/>
      <c r="F818" s="1"/>
      <c r="G818" s="23"/>
      <c r="H818" s="23"/>
      <c r="I818" s="23"/>
      <c r="J818" s="2"/>
      <c r="M818" s="40"/>
      <c r="N818" s="40"/>
      <c r="O818" s="2"/>
      <c r="AE818" s="24"/>
    </row>
    <row r="819">
      <c r="A819" s="11"/>
      <c r="B819" s="23"/>
      <c r="C819" s="23"/>
      <c r="D819" s="23"/>
      <c r="E819" s="23"/>
      <c r="F819" s="1"/>
      <c r="G819" s="23"/>
      <c r="H819" s="23"/>
      <c r="I819" s="23"/>
      <c r="J819" s="2"/>
      <c r="M819" s="40"/>
      <c r="N819" s="40"/>
      <c r="O819" s="2"/>
      <c r="AE819" s="24"/>
    </row>
    <row r="820">
      <c r="A820" s="11"/>
      <c r="B820" s="23"/>
      <c r="C820" s="23"/>
      <c r="D820" s="23"/>
      <c r="E820" s="23"/>
      <c r="F820" s="1"/>
      <c r="G820" s="23"/>
      <c r="H820" s="23"/>
      <c r="I820" s="23"/>
      <c r="J820" s="2"/>
      <c r="M820" s="40"/>
      <c r="N820" s="40"/>
      <c r="O820" s="2"/>
      <c r="AE820" s="24"/>
    </row>
    <row r="821">
      <c r="A821" s="11"/>
      <c r="B821" s="23"/>
      <c r="C821" s="23"/>
      <c r="D821" s="23"/>
      <c r="E821" s="23"/>
      <c r="F821" s="1"/>
      <c r="G821" s="23"/>
      <c r="H821" s="23"/>
      <c r="I821" s="23"/>
      <c r="J821" s="2"/>
      <c r="M821" s="40"/>
      <c r="N821" s="40"/>
      <c r="O821" s="2"/>
      <c r="AE821" s="24"/>
    </row>
    <row r="822">
      <c r="A822" s="11"/>
      <c r="B822" s="23"/>
      <c r="C822" s="23"/>
      <c r="D822" s="23"/>
      <c r="E822" s="23"/>
      <c r="F822" s="1"/>
      <c r="G822" s="23"/>
      <c r="H822" s="23"/>
      <c r="I822" s="23"/>
      <c r="J822" s="2"/>
      <c r="M822" s="40"/>
      <c r="N822" s="40"/>
      <c r="O822" s="2"/>
      <c r="AE822" s="24"/>
    </row>
    <row r="823">
      <c r="A823" s="11"/>
      <c r="B823" s="23"/>
      <c r="C823" s="23"/>
      <c r="D823" s="23"/>
      <c r="E823" s="23"/>
      <c r="F823" s="1"/>
      <c r="G823" s="23"/>
      <c r="H823" s="23"/>
      <c r="I823" s="23"/>
      <c r="J823" s="2"/>
      <c r="M823" s="40"/>
      <c r="N823" s="40"/>
      <c r="O823" s="2"/>
      <c r="AE823" s="24"/>
    </row>
    <row r="824">
      <c r="A824" s="11"/>
      <c r="B824" s="23"/>
      <c r="C824" s="23"/>
      <c r="D824" s="23"/>
      <c r="E824" s="23"/>
      <c r="F824" s="1"/>
      <c r="G824" s="23"/>
      <c r="H824" s="23"/>
      <c r="I824" s="23"/>
      <c r="J824" s="2"/>
      <c r="M824" s="40"/>
      <c r="N824" s="40"/>
      <c r="O824" s="2"/>
      <c r="AE824" s="24"/>
    </row>
    <row r="825">
      <c r="A825" s="11"/>
      <c r="B825" s="23"/>
      <c r="C825" s="23"/>
      <c r="D825" s="23"/>
      <c r="E825" s="23"/>
      <c r="F825" s="1"/>
      <c r="G825" s="23"/>
      <c r="H825" s="23"/>
      <c r="I825" s="23"/>
      <c r="J825" s="2"/>
      <c r="M825" s="40"/>
      <c r="N825" s="40"/>
      <c r="O825" s="2"/>
      <c r="AE825" s="24"/>
    </row>
    <row r="826">
      <c r="A826" s="11"/>
      <c r="B826" s="23"/>
      <c r="C826" s="23"/>
      <c r="D826" s="23"/>
      <c r="E826" s="23"/>
      <c r="F826" s="1"/>
      <c r="G826" s="23"/>
      <c r="H826" s="23"/>
      <c r="I826" s="23"/>
      <c r="J826" s="2"/>
      <c r="M826" s="40"/>
      <c r="N826" s="40"/>
      <c r="O826" s="2"/>
      <c r="AE826" s="24"/>
    </row>
    <row r="827">
      <c r="A827" s="11"/>
      <c r="B827" s="23"/>
      <c r="C827" s="23"/>
      <c r="D827" s="23"/>
      <c r="E827" s="23"/>
      <c r="F827" s="1"/>
      <c r="G827" s="23"/>
      <c r="H827" s="23"/>
      <c r="I827" s="23"/>
      <c r="J827" s="2"/>
      <c r="M827" s="40"/>
      <c r="N827" s="40"/>
      <c r="O827" s="2"/>
      <c r="AE827" s="24"/>
    </row>
    <row r="828">
      <c r="A828" s="11"/>
      <c r="B828" s="23"/>
      <c r="C828" s="23"/>
      <c r="D828" s="23"/>
      <c r="E828" s="23"/>
      <c r="F828" s="1"/>
      <c r="G828" s="23"/>
      <c r="H828" s="23"/>
      <c r="I828" s="23"/>
      <c r="J828" s="2"/>
      <c r="M828" s="40"/>
      <c r="N828" s="40"/>
      <c r="O828" s="2"/>
      <c r="AE828" s="24"/>
    </row>
    <row r="829">
      <c r="A829" s="11"/>
      <c r="B829" s="23"/>
      <c r="C829" s="23"/>
      <c r="D829" s="23"/>
      <c r="E829" s="23"/>
      <c r="F829" s="1"/>
      <c r="G829" s="23"/>
      <c r="H829" s="23"/>
      <c r="I829" s="23"/>
      <c r="J829" s="2"/>
      <c r="M829" s="40"/>
      <c r="N829" s="40"/>
      <c r="O829" s="2"/>
      <c r="AE829" s="24"/>
    </row>
    <row r="830">
      <c r="A830" s="11"/>
      <c r="B830" s="23"/>
      <c r="C830" s="23"/>
      <c r="D830" s="23"/>
      <c r="E830" s="23"/>
      <c r="F830" s="1"/>
      <c r="G830" s="23"/>
      <c r="H830" s="23"/>
      <c r="I830" s="23"/>
      <c r="J830" s="2"/>
      <c r="M830" s="40"/>
      <c r="N830" s="40"/>
      <c r="O830" s="2"/>
      <c r="AE830" s="24"/>
    </row>
    <row r="831">
      <c r="A831" s="11"/>
      <c r="B831" s="23"/>
      <c r="C831" s="23"/>
      <c r="D831" s="23"/>
      <c r="E831" s="23"/>
      <c r="F831" s="1"/>
      <c r="G831" s="23"/>
      <c r="H831" s="23"/>
      <c r="I831" s="23"/>
      <c r="J831" s="2"/>
      <c r="M831" s="40"/>
      <c r="N831" s="40"/>
      <c r="O831" s="2"/>
      <c r="AE831" s="24"/>
    </row>
    <row r="832">
      <c r="A832" s="11"/>
      <c r="B832" s="23"/>
      <c r="C832" s="23"/>
      <c r="D832" s="23"/>
      <c r="E832" s="23"/>
      <c r="F832" s="1"/>
      <c r="G832" s="23"/>
      <c r="H832" s="23"/>
      <c r="I832" s="23"/>
      <c r="J832" s="2"/>
      <c r="M832" s="40"/>
      <c r="N832" s="40"/>
      <c r="O832" s="2"/>
      <c r="AE832" s="24"/>
    </row>
    <row r="833">
      <c r="A833" s="11"/>
      <c r="B833" s="23"/>
      <c r="C833" s="23"/>
      <c r="D833" s="23"/>
      <c r="E833" s="23"/>
      <c r="F833" s="1"/>
      <c r="G833" s="23"/>
      <c r="H833" s="23"/>
      <c r="I833" s="23"/>
      <c r="J833" s="2"/>
      <c r="M833" s="40"/>
      <c r="N833" s="40"/>
      <c r="O833" s="2"/>
      <c r="AE833" s="24"/>
    </row>
    <row r="834">
      <c r="A834" s="11"/>
      <c r="B834" s="23"/>
      <c r="C834" s="23"/>
      <c r="D834" s="23"/>
      <c r="E834" s="23"/>
      <c r="F834" s="1"/>
      <c r="G834" s="23"/>
      <c r="H834" s="23"/>
      <c r="I834" s="23"/>
      <c r="J834" s="2"/>
      <c r="M834" s="40"/>
      <c r="N834" s="40"/>
      <c r="O834" s="2"/>
      <c r="AE834" s="24"/>
    </row>
    <row r="835">
      <c r="A835" s="11"/>
      <c r="B835" s="23"/>
      <c r="C835" s="23"/>
      <c r="D835" s="23"/>
      <c r="E835" s="23"/>
      <c r="F835" s="1"/>
      <c r="G835" s="23"/>
      <c r="H835" s="23"/>
      <c r="I835" s="23"/>
      <c r="J835" s="2"/>
      <c r="M835" s="40"/>
      <c r="N835" s="40"/>
      <c r="O835" s="2"/>
      <c r="AE835" s="24"/>
    </row>
    <row r="836">
      <c r="A836" s="11"/>
      <c r="B836" s="23"/>
      <c r="C836" s="23"/>
      <c r="D836" s="23"/>
      <c r="E836" s="23"/>
      <c r="F836" s="1"/>
      <c r="G836" s="23"/>
      <c r="H836" s="23"/>
      <c r="I836" s="23"/>
      <c r="J836" s="2"/>
      <c r="M836" s="40"/>
      <c r="N836" s="40"/>
      <c r="O836" s="2"/>
      <c r="AE836" s="24"/>
    </row>
    <row r="837">
      <c r="A837" s="11"/>
      <c r="B837" s="23"/>
      <c r="C837" s="23"/>
      <c r="D837" s="23"/>
      <c r="E837" s="23"/>
      <c r="F837" s="1"/>
      <c r="G837" s="23"/>
      <c r="H837" s="23"/>
      <c r="I837" s="23"/>
      <c r="J837" s="2"/>
      <c r="M837" s="40"/>
      <c r="N837" s="40"/>
      <c r="O837" s="2"/>
      <c r="AE837" s="24"/>
    </row>
    <row r="838">
      <c r="A838" s="11"/>
      <c r="B838" s="23"/>
      <c r="C838" s="23"/>
      <c r="D838" s="23"/>
      <c r="E838" s="23"/>
      <c r="F838" s="1"/>
      <c r="G838" s="23"/>
      <c r="H838" s="23"/>
      <c r="I838" s="23"/>
      <c r="J838" s="2"/>
      <c r="M838" s="40"/>
      <c r="N838" s="40"/>
      <c r="O838" s="2"/>
      <c r="AE838" s="24"/>
    </row>
    <row r="839">
      <c r="A839" s="11"/>
      <c r="B839" s="23"/>
      <c r="C839" s="23"/>
      <c r="D839" s="23"/>
      <c r="E839" s="23"/>
      <c r="F839" s="1"/>
      <c r="G839" s="23"/>
      <c r="H839" s="23"/>
      <c r="I839" s="23"/>
      <c r="J839" s="2"/>
      <c r="M839" s="40"/>
      <c r="N839" s="40"/>
      <c r="O839" s="2"/>
      <c r="AE839" s="24"/>
    </row>
    <row r="840">
      <c r="A840" s="11"/>
      <c r="B840" s="23"/>
      <c r="C840" s="23"/>
      <c r="D840" s="23"/>
      <c r="E840" s="23"/>
      <c r="F840" s="1"/>
      <c r="G840" s="23"/>
      <c r="H840" s="23"/>
      <c r="I840" s="23"/>
      <c r="J840" s="2"/>
      <c r="M840" s="40"/>
      <c r="N840" s="40"/>
      <c r="O840" s="2"/>
      <c r="AE840" s="24"/>
    </row>
    <row r="841">
      <c r="A841" s="11"/>
      <c r="B841" s="23"/>
      <c r="C841" s="23"/>
      <c r="D841" s="23"/>
      <c r="E841" s="23"/>
      <c r="F841" s="1"/>
      <c r="G841" s="23"/>
      <c r="H841" s="23"/>
      <c r="I841" s="23"/>
      <c r="J841" s="2"/>
      <c r="M841" s="40"/>
      <c r="N841" s="40"/>
      <c r="O841" s="2"/>
      <c r="AE841" s="24"/>
    </row>
    <row r="842">
      <c r="A842" s="11"/>
      <c r="B842" s="23"/>
      <c r="C842" s="23"/>
      <c r="D842" s="23"/>
      <c r="E842" s="23"/>
      <c r="F842" s="1"/>
      <c r="G842" s="23"/>
      <c r="H842" s="23"/>
      <c r="I842" s="23"/>
      <c r="J842" s="2"/>
      <c r="M842" s="40"/>
      <c r="N842" s="40"/>
      <c r="O842" s="2"/>
      <c r="AE842" s="24"/>
    </row>
    <row r="843">
      <c r="A843" s="11"/>
      <c r="B843" s="23"/>
      <c r="C843" s="23"/>
      <c r="D843" s="23"/>
      <c r="E843" s="23"/>
      <c r="F843" s="1"/>
      <c r="G843" s="23"/>
      <c r="H843" s="23"/>
      <c r="I843" s="23"/>
      <c r="J843" s="2"/>
      <c r="M843" s="40"/>
      <c r="N843" s="40"/>
      <c r="O843" s="2"/>
      <c r="AE843" s="24"/>
    </row>
    <row r="844">
      <c r="A844" s="11"/>
      <c r="B844" s="23"/>
      <c r="C844" s="23"/>
      <c r="D844" s="23"/>
      <c r="E844" s="23"/>
      <c r="F844" s="1"/>
      <c r="G844" s="23"/>
      <c r="H844" s="23"/>
      <c r="I844" s="23"/>
      <c r="J844" s="2"/>
      <c r="M844" s="40"/>
      <c r="N844" s="40"/>
      <c r="O844" s="2"/>
      <c r="AE844" s="24"/>
    </row>
    <row r="845">
      <c r="A845" s="11"/>
      <c r="B845" s="23"/>
      <c r="C845" s="23"/>
      <c r="D845" s="23"/>
      <c r="E845" s="23"/>
      <c r="F845" s="1"/>
      <c r="G845" s="23"/>
      <c r="H845" s="23"/>
      <c r="I845" s="23"/>
      <c r="J845" s="2"/>
      <c r="M845" s="40"/>
      <c r="N845" s="40"/>
      <c r="O845" s="2"/>
      <c r="AE845" s="24"/>
    </row>
    <row r="846">
      <c r="A846" s="11"/>
      <c r="B846" s="23"/>
      <c r="C846" s="23"/>
      <c r="D846" s="23"/>
      <c r="E846" s="23"/>
      <c r="F846" s="1"/>
      <c r="G846" s="23"/>
      <c r="H846" s="23"/>
      <c r="I846" s="23"/>
      <c r="J846" s="2"/>
      <c r="M846" s="40"/>
      <c r="N846" s="40"/>
      <c r="O846" s="2"/>
      <c r="AE846" s="24"/>
    </row>
    <row r="847">
      <c r="A847" s="11"/>
      <c r="B847" s="23"/>
      <c r="C847" s="23"/>
      <c r="D847" s="23"/>
      <c r="E847" s="23"/>
      <c r="F847" s="1"/>
      <c r="G847" s="23"/>
      <c r="H847" s="23"/>
      <c r="I847" s="23"/>
      <c r="J847" s="2"/>
      <c r="M847" s="40"/>
      <c r="N847" s="40"/>
      <c r="O847" s="2"/>
      <c r="AE847" s="24"/>
    </row>
    <row r="848">
      <c r="A848" s="11"/>
      <c r="B848" s="23"/>
      <c r="C848" s="23"/>
      <c r="D848" s="23"/>
      <c r="E848" s="23"/>
      <c r="F848" s="1"/>
      <c r="G848" s="23"/>
      <c r="H848" s="23"/>
      <c r="I848" s="23"/>
      <c r="J848" s="2"/>
      <c r="M848" s="40"/>
      <c r="N848" s="40"/>
      <c r="O848" s="2"/>
      <c r="AE848" s="24"/>
    </row>
    <row r="849">
      <c r="A849" s="11"/>
      <c r="B849" s="23"/>
      <c r="C849" s="23"/>
      <c r="D849" s="23"/>
      <c r="E849" s="23"/>
      <c r="F849" s="1"/>
      <c r="G849" s="23"/>
      <c r="H849" s="23"/>
      <c r="I849" s="23"/>
      <c r="J849" s="2"/>
      <c r="M849" s="40"/>
      <c r="N849" s="40"/>
      <c r="O849" s="2"/>
      <c r="AE849" s="24"/>
    </row>
    <row r="850">
      <c r="A850" s="11"/>
      <c r="B850" s="23"/>
      <c r="C850" s="23"/>
      <c r="D850" s="23"/>
      <c r="E850" s="23"/>
      <c r="F850" s="1"/>
      <c r="G850" s="23"/>
      <c r="H850" s="23"/>
      <c r="I850" s="23"/>
      <c r="J850" s="2"/>
      <c r="M850" s="40"/>
      <c r="N850" s="40"/>
      <c r="O850" s="2"/>
      <c r="AE850" s="24"/>
    </row>
    <row r="851">
      <c r="A851" s="11"/>
      <c r="B851" s="23"/>
      <c r="C851" s="23"/>
      <c r="D851" s="23"/>
      <c r="E851" s="23"/>
      <c r="F851" s="1"/>
      <c r="G851" s="23"/>
      <c r="H851" s="23"/>
      <c r="I851" s="23"/>
      <c r="J851" s="2"/>
      <c r="M851" s="40"/>
      <c r="N851" s="40"/>
      <c r="O851" s="2"/>
      <c r="AE851" s="24"/>
    </row>
    <row r="852">
      <c r="A852" s="11"/>
      <c r="B852" s="23"/>
      <c r="C852" s="23"/>
      <c r="D852" s="23"/>
      <c r="E852" s="23"/>
      <c r="F852" s="1"/>
      <c r="G852" s="23"/>
      <c r="H852" s="23"/>
      <c r="I852" s="23"/>
      <c r="J852" s="2"/>
      <c r="M852" s="40"/>
      <c r="N852" s="40"/>
      <c r="O852" s="2"/>
      <c r="AE852" s="24"/>
    </row>
    <row r="853">
      <c r="A853" s="11"/>
      <c r="B853" s="23"/>
      <c r="C853" s="23"/>
      <c r="D853" s="23"/>
      <c r="E853" s="23"/>
      <c r="F853" s="1"/>
      <c r="G853" s="23"/>
      <c r="H853" s="23"/>
      <c r="I853" s="23"/>
      <c r="J853" s="2"/>
      <c r="M853" s="40"/>
      <c r="N853" s="40"/>
      <c r="O853" s="2"/>
      <c r="AE853" s="24"/>
    </row>
    <row r="854">
      <c r="A854" s="11"/>
      <c r="B854" s="23"/>
      <c r="C854" s="23"/>
      <c r="D854" s="23"/>
      <c r="E854" s="23"/>
      <c r="F854" s="1"/>
      <c r="G854" s="23"/>
      <c r="H854" s="23"/>
      <c r="I854" s="23"/>
      <c r="J854" s="2"/>
      <c r="M854" s="40"/>
      <c r="N854" s="40"/>
      <c r="O854" s="2"/>
      <c r="AE854" s="24"/>
    </row>
    <row r="855">
      <c r="A855" s="11"/>
      <c r="B855" s="23"/>
      <c r="C855" s="23"/>
      <c r="D855" s="23"/>
      <c r="E855" s="23"/>
      <c r="F855" s="1"/>
      <c r="G855" s="23"/>
      <c r="H855" s="23"/>
      <c r="I855" s="23"/>
      <c r="J855" s="2"/>
      <c r="M855" s="40"/>
      <c r="N855" s="40"/>
      <c r="O855" s="2"/>
      <c r="AE855" s="24"/>
    </row>
    <row r="856">
      <c r="A856" s="11"/>
      <c r="B856" s="23"/>
      <c r="C856" s="23"/>
      <c r="D856" s="23"/>
      <c r="E856" s="23"/>
      <c r="F856" s="1"/>
      <c r="G856" s="23"/>
      <c r="H856" s="23"/>
      <c r="I856" s="23"/>
      <c r="J856" s="2"/>
      <c r="M856" s="40"/>
      <c r="N856" s="40"/>
      <c r="O856" s="2"/>
      <c r="AE856" s="24"/>
    </row>
    <row r="857">
      <c r="A857" s="11"/>
      <c r="B857" s="23"/>
      <c r="C857" s="23"/>
      <c r="D857" s="23"/>
      <c r="E857" s="23"/>
      <c r="F857" s="1"/>
      <c r="G857" s="23"/>
      <c r="H857" s="23"/>
      <c r="I857" s="23"/>
      <c r="J857" s="2"/>
      <c r="M857" s="40"/>
      <c r="N857" s="40"/>
      <c r="O857" s="2"/>
      <c r="AE857" s="24"/>
    </row>
    <row r="858">
      <c r="A858" s="11"/>
      <c r="B858" s="23"/>
      <c r="C858" s="23"/>
      <c r="D858" s="23"/>
      <c r="E858" s="23"/>
      <c r="F858" s="1"/>
      <c r="G858" s="23"/>
      <c r="H858" s="23"/>
      <c r="I858" s="23"/>
      <c r="J858" s="2"/>
      <c r="M858" s="40"/>
      <c r="N858" s="40"/>
      <c r="O858" s="2"/>
      <c r="AE858" s="24"/>
    </row>
    <row r="859">
      <c r="A859" s="11"/>
      <c r="B859" s="23"/>
      <c r="C859" s="23"/>
      <c r="D859" s="23"/>
      <c r="E859" s="23"/>
      <c r="F859" s="1"/>
      <c r="G859" s="23"/>
      <c r="H859" s="23"/>
      <c r="I859" s="23"/>
      <c r="J859" s="2"/>
      <c r="M859" s="40"/>
      <c r="N859" s="40"/>
      <c r="O859" s="2"/>
      <c r="AE859" s="24"/>
    </row>
    <row r="860">
      <c r="A860" s="11"/>
      <c r="B860" s="23"/>
      <c r="C860" s="23"/>
      <c r="D860" s="23"/>
      <c r="E860" s="23"/>
      <c r="F860" s="1"/>
      <c r="G860" s="23"/>
      <c r="H860" s="23"/>
      <c r="I860" s="23"/>
      <c r="J860" s="2"/>
      <c r="M860" s="40"/>
      <c r="N860" s="40"/>
      <c r="O860" s="2"/>
      <c r="AE860" s="24"/>
    </row>
    <row r="861">
      <c r="A861" s="11"/>
      <c r="B861" s="23"/>
      <c r="C861" s="23"/>
      <c r="D861" s="23"/>
      <c r="E861" s="23"/>
      <c r="F861" s="1"/>
      <c r="G861" s="23"/>
      <c r="H861" s="23"/>
      <c r="I861" s="23"/>
      <c r="J861" s="2"/>
      <c r="M861" s="40"/>
      <c r="N861" s="40"/>
      <c r="O861" s="2"/>
      <c r="AE861" s="24"/>
    </row>
    <row r="862">
      <c r="A862" s="11"/>
      <c r="B862" s="23"/>
      <c r="C862" s="23"/>
      <c r="D862" s="23"/>
      <c r="E862" s="23"/>
      <c r="F862" s="1"/>
      <c r="G862" s="23"/>
      <c r="H862" s="23"/>
      <c r="I862" s="23"/>
      <c r="J862" s="2"/>
      <c r="M862" s="40"/>
      <c r="N862" s="40"/>
      <c r="O862" s="2"/>
      <c r="AE862" s="24"/>
    </row>
    <row r="863">
      <c r="A863" s="11"/>
      <c r="B863" s="23"/>
      <c r="C863" s="23"/>
      <c r="D863" s="23"/>
      <c r="E863" s="23"/>
      <c r="F863" s="1"/>
      <c r="G863" s="23"/>
      <c r="H863" s="23"/>
      <c r="I863" s="23"/>
      <c r="J863" s="2"/>
      <c r="M863" s="40"/>
      <c r="N863" s="40"/>
      <c r="O863" s="2"/>
      <c r="AE863" s="24"/>
    </row>
    <row r="864">
      <c r="A864" s="11"/>
      <c r="B864" s="23"/>
      <c r="C864" s="23"/>
      <c r="D864" s="23"/>
      <c r="E864" s="23"/>
      <c r="F864" s="1"/>
      <c r="G864" s="23"/>
      <c r="H864" s="23"/>
      <c r="I864" s="23"/>
      <c r="J864" s="2"/>
      <c r="M864" s="40"/>
      <c r="N864" s="40"/>
      <c r="O864" s="2"/>
      <c r="AE864" s="24"/>
    </row>
    <row r="865">
      <c r="A865" s="11"/>
      <c r="B865" s="23"/>
      <c r="C865" s="23"/>
      <c r="D865" s="23"/>
      <c r="E865" s="23"/>
      <c r="F865" s="1"/>
      <c r="G865" s="23"/>
      <c r="H865" s="23"/>
      <c r="I865" s="23"/>
      <c r="J865" s="2"/>
      <c r="M865" s="40"/>
      <c r="N865" s="40"/>
      <c r="O865" s="2"/>
      <c r="AE865" s="24"/>
    </row>
    <row r="866">
      <c r="A866" s="11"/>
      <c r="B866" s="23"/>
      <c r="C866" s="23"/>
      <c r="D866" s="23"/>
      <c r="E866" s="23"/>
      <c r="F866" s="1"/>
      <c r="G866" s="23"/>
      <c r="H866" s="23"/>
      <c r="I866" s="23"/>
      <c r="J866" s="2"/>
      <c r="M866" s="40"/>
      <c r="N866" s="40"/>
      <c r="O866" s="2"/>
      <c r="AE866" s="24"/>
    </row>
    <row r="867">
      <c r="A867" s="11"/>
      <c r="B867" s="23"/>
      <c r="C867" s="23"/>
      <c r="D867" s="23"/>
      <c r="E867" s="23"/>
      <c r="F867" s="1"/>
      <c r="G867" s="23"/>
      <c r="H867" s="23"/>
      <c r="I867" s="23"/>
      <c r="J867" s="2"/>
      <c r="M867" s="40"/>
      <c r="N867" s="40"/>
      <c r="O867" s="2"/>
      <c r="AE867" s="24"/>
    </row>
    <row r="868">
      <c r="A868" s="11"/>
      <c r="B868" s="23"/>
      <c r="C868" s="23"/>
      <c r="D868" s="23"/>
      <c r="E868" s="23"/>
      <c r="F868" s="1"/>
      <c r="G868" s="23"/>
      <c r="H868" s="23"/>
      <c r="I868" s="23"/>
      <c r="J868" s="2"/>
      <c r="M868" s="40"/>
      <c r="N868" s="40"/>
      <c r="O868" s="2"/>
      <c r="AE868" s="24"/>
    </row>
    <row r="869">
      <c r="A869" s="11"/>
      <c r="B869" s="23"/>
      <c r="C869" s="23"/>
      <c r="D869" s="23"/>
      <c r="E869" s="23"/>
      <c r="F869" s="1"/>
      <c r="G869" s="23"/>
      <c r="H869" s="23"/>
      <c r="I869" s="23"/>
      <c r="J869" s="2"/>
      <c r="M869" s="40"/>
      <c r="N869" s="40"/>
      <c r="O869" s="2"/>
      <c r="AE869" s="24"/>
    </row>
    <row r="870">
      <c r="A870" s="11"/>
      <c r="B870" s="23"/>
      <c r="C870" s="23"/>
      <c r="D870" s="23"/>
      <c r="E870" s="23"/>
      <c r="F870" s="1"/>
      <c r="G870" s="23"/>
      <c r="H870" s="23"/>
      <c r="I870" s="23"/>
      <c r="J870" s="2"/>
      <c r="M870" s="40"/>
      <c r="N870" s="40"/>
      <c r="O870" s="2"/>
      <c r="AE870" s="24"/>
    </row>
    <row r="871">
      <c r="A871" s="11"/>
      <c r="B871" s="23"/>
      <c r="C871" s="23"/>
      <c r="D871" s="23"/>
      <c r="E871" s="23"/>
      <c r="F871" s="1"/>
      <c r="G871" s="23"/>
      <c r="H871" s="23"/>
      <c r="I871" s="23"/>
      <c r="J871" s="2"/>
      <c r="M871" s="40"/>
      <c r="N871" s="40"/>
      <c r="O871" s="2"/>
      <c r="AE871" s="24"/>
    </row>
    <row r="872">
      <c r="A872" s="11"/>
      <c r="B872" s="23"/>
      <c r="C872" s="23"/>
      <c r="D872" s="23"/>
      <c r="E872" s="23"/>
      <c r="F872" s="1"/>
      <c r="G872" s="23"/>
      <c r="H872" s="23"/>
      <c r="I872" s="23"/>
      <c r="J872" s="2"/>
      <c r="M872" s="40"/>
      <c r="N872" s="40"/>
      <c r="O872" s="2"/>
      <c r="AE872" s="24"/>
    </row>
    <row r="873">
      <c r="A873" s="11"/>
      <c r="B873" s="23"/>
      <c r="C873" s="23"/>
      <c r="D873" s="23"/>
      <c r="E873" s="23"/>
      <c r="F873" s="1"/>
      <c r="G873" s="23"/>
      <c r="H873" s="23"/>
      <c r="I873" s="23"/>
      <c r="J873" s="2"/>
      <c r="M873" s="40"/>
      <c r="N873" s="40"/>
      <c r="O873" s="2"/>
      <c r="AE873" s="24"/>
    </row>
    <row r="874">
      <c r="A874" s="11"/>
      <c r="B874" s="23"/>
      <c r="C874" s="23"/>
      <c r="D874" s="23"/>
      <c r="E874" s="23"/>
      <c r="F874" s="1"/>
      <c r="G874" s="23"/>
      <c r="H874" s="23"/>
      <c r="I874" s="23"/>
      <c r="J874" s="2"/>
      <c r="M874" s="40"/>
      <c r="N874" s="40"/>
      <c r="O874" s="2"/>
      <c r="AE874" s="24"/>
    </row>
    <row r="875">
      <c r="A875" s="11"/>
      <c r="B875" s="23"/>
      <c r="C875" s="23"/>
      <c r="D875" s="23"/>
      <c r="E875" s="23"/>
      <c r="F875" s="1"/>
      <c r="G875" s="23"/>
      <c r="H875" s="23"/>
      <c r="I875" s="23"/>
      <c r="J875" s="2"/>
      <c r="M875" s="40"/>
      <c r="N875" s="40"/>
      <c r="O875" s="2"/>
      <c r="AE875" s="24"/>
    </row>
    <row r="876">
      <c r="A876" s="11"/>
      <c r="B876" s="23"/>
      <c r="C876" s="23"/>
      <c r="D876" s="23"/>
      <c r="E876" s="23"/>
      <c r="F876" s="1"/>
      <c r="G876" s="23"/>
      <c r="H876" s="23"/>
      <c r="I876" s="23"/>
      <c r="J876" s="2"/>
      <c r="M876" s="40"/>
      <c r="N876" s="40"/>
      <c r="O876" s="2"/>
      <c r="AE876" s="24"/>
    </row>
    <row r="877">
      <c r="A877" s="11"/>
      <c r="B877" s="23"/>
      <c r="C877" s="23"/>
      <c r="D877" s="23"/>
      <c r="E877" s="23"/>
      <c r="F877" s="1"/>
      <c r="G877" s="23"/>
      <c r="H877" s="23"/>
      <c r="I877" s="23"/>
      <c r="J877" s="2"/>
      <c r="M877" s="40"/>
      <c r="N877" s="40"/>
      <c r="O877" s="2"/>
      <c r="AE877" s="24"/>
    </row>
    <row r="878">
      <c r="A878" s="11"/>
      <c r="B878" s="23"/>
      <c r="C878" s="23"/>
      <c r="D878" s="23"/>
      <c r="E878" s="23"/>
      <c r="F878" s="1"/>
      <c r="G878" s="23"/>
      <c r="H878" s="23"/>
      <c r="I878" s="23"/>
      <c r="J878" s="2"/>
      <c r="M878" s="40"/>
      <c r="N878" s="40"/>
      <c r="O878" s="2"/>
      <c r="AE878" s="24"/>
    </row>
    <row r="879">
      <c r="A879" s="11"/>
      <c r="B879" s="23"/>
      <c r="C879" s="23"/>
      <c r="D879" s="23"/>
      <c r="E879" s="23"/>
      <c r="F879" s="1"/>
      <c r="G879" s="23"/>
      <c r="H879" s="23"/>
      <c r="I879" s="23"/>
      <c r="J879" s="2"/>
      <c r="M879" s="40"/>
      <c r="N879" s="40"/>
      <c r="O879" s="2"/>
      <c r="AE879" s="24"/>
    </row>
    <row r="880">
      <c r="A880" s="11"/>
      <c r="B880" s="23"/>
      <c r="C880" s="23"/>
      <c r="D880" s="23"/>
      <c r="E880" s="23"/>
      <c r="F880" s="1"/>
      <c r="G880" s="23"/>
      <c r="H880" s="23"/>
      <c r="I880" s="23"/>
      <c r="J880" s="2"/>
      <c r="M880" s="40"/>
      <c r="N880" s="40"/>
      <c r="O880" s="2"/>
      <c r="AE880" s="24"/>
    </row>
    <row r="881">
      <c r="A881" s="11"/>
      <c r="B881" s="23"/>
      <c r="C881" s="23"/>
      <c r="D881" s="23"/>
      <c r="E881" s="23"/>
      <c r="F881" s="1"/>
      <c r="G881" s="23"/>
      <c r="H881" s="23"/>
      <c r="I881" s="23"/>
      <c r="J881" s="2"/>
      <c r="M881" s="40"/>
      <c r="N881" s="40"/>
      <c r="O881" s="2"/>
      <c r="AE881" s="24"/>
    </row>
    <row r="882">
      <c r="A882" s="11"/>
      <c r="B882" s="23"/>
      <c r="C882" s="23"/>
      <c r="D882" s="23"/>
      <c r="E882" s="23"/>
      <c r="F882" s="1"/>
      <c r="G882" s="23"/>
      <c r="H882" s="23"/>
      <c r="I882" s="23"/>
      <c r="J882" s="2"/>
      <c r="M882" s="40"/>
      <c r="N882" s="40"/>
      <c r="O882" s="2"/>
      <c r="AE882" s="24"/>
    </row>
    <row r="883">
      <c r="A883" s="11"/>
      <c r="B883" s="23"/>
      <c r="C883" s="23"/>
      <c r="D883" s="23"/>
      <c r="E883" s="23"/>
      <c r="F883" s="1"/>
      <c r="G883" s="23"/>
      <c r="H883" s="23"/>
      <c r="I883" s="23"/>
      <c r="J883" s="2"/>
      <c r="M883" s="40"/>
      <c r="N883" s="40"/>
      <c r="O883" s="2"/>
      <c r="AE883" s="24"/>
    </row>
    <row r="884">
      <c r="A884" s="11"/>
      <c r="B884" s="23"/>
      <c r="C884" s="23"/>
      <c r="D884" s="23"/>
      <c r="E884" s="23"/>
      <c r="F884" s="1"/>
      <c r="G884" s="23"/>
      <c r="H884" s="23"/>
      <c r="I884" s="23"/>
      <c r="J884" s="2"/>
      <c r="M884" s="40"/>
      <c r="N884" s="40"/>
      <c r="O884" s="2"/>
      <c r="AE884" s="24"/>
    </row>
    <row r="885">
      <c r="A885" s="11"/>
      <c r="B885" s="23"/>
      <c r="C885" s="23"/>
      <c r="D885" s="23"/>
      <c r="E885" s="23"/>
      <c r="F885" s="1"/>
      <c r="G885" s="23"/>
      <c r="H885" s="23"/>
      <c r="I885" s="23"/>
      <c r="J885" s="2"/>
      <c r="M885" s="40"/>
      <c r="N885" s="40"/>
      <c r="O885" s="2"/>
      <c r="AE885" s="24"/>
    </row>
    <row r="886">
      <c r="A886" s="11"/>
      <c r="B886" s="23"/>
      <c r="C886" s="23"/>
      <c r="D886" s="23"/>
      <c r="E886" s="23"/>
      <c r="F886" s="1"/>
      <c r="G886" s="23"/>
      <c r="H886" s="23"/>
      <c r="I886" s="23"/>
      <c r="J886" s="2"/>
      <c r="M886" s="40"/>
      <c r="N886" s="40"/>
      <c r="O886" s="2"/>
      <c r="AE886" s="24"/>
    </row>
    <row r="887">
      <c r="A887" s="11"/>
      <c r="B887" s="23"/>
      <c r="C887" s="23"/>
      <c r="D887" s="23"/>
      <c r="E887" s="23"/>
      <c r="F887" s="1"/>
      <c r="G887" s="23"/>
      <c r="H887" s="23"/>
      <c r="I887" s="23"/>
      <c r="J887" s="2"/>
      <c r="M887" s="40"/>
      <c r="N887" s="40"/>
      <c r="O887" s="2"/>
      <c r="AE887" s="24"/>
    </row>
    <row r="888">
      <c r="A888" s="11"/>
      <c r="B888" s="23"/>
      <c r="C888" s="23"/>
      <c r="D888" s="23"/>
      <c r="E888" s="23"/>
      <c r="F888" s="1"/>
      <c r="G888" s="23"/>
      <c r="H888" s="23"/>
      <c r="I888" s="23"/>
      <c r="J888" s="2"/>
      <c r="M888" s="40"/>
      <c r="N888" s="40"/>
      <c r="O888" s="2"/>
      <c r="AE888" s="24"/>
    </row>
    <row r="889">
      <c r="A889" s="11"/>
      <c r="B889" s="23"/>
      <c r="C889" s="23"/>
      <c r="D889" s="23"/>
      <c r="E889" s="23"/>
      <c r="F889" s="1"/>
      <c r="G889" s="23"/>
      <c r="H889" s="23"/>
      <c r="I889" s="23"/>
      <c r="J889" s="2"/>
      <c r="M889" s="40"/>
      <c r="N889" s="40"/>
      <c r="O889" s="2"/>
      <c r="AE889" s="24"/>
    </row>
    <row r="890">
      <c r="A890" s="11"/>
      <c r="B890" s="23"/>
      <c r="C890" s="23"/>
      <c r="D890" s="23"/>
      <c r="E890" s="23"/>
      <c r="F890" s="1"/>
      <c r="G890" s="23"/>
      <c r="H890" s="23"/>
      <c r="I890" s="23"/>
      <c r="J890" s="2"/>
      <c r="M890" s="40"/>
      <c r="N890" s="40"/>
      <c r="O890" s="2"/>
      <c r="AE890" s="24"/>
    </row>
    <row r="891">
      <c r="A891" s="11"/>
      <c r="B891" s="23"/>
      <c r="C891" s="23"/>
      <c r="D891" s="23"/>
      <c r="E891" s="23"/>
      <c r="F891" s="1"/>
      <c r="G891" s="23"/>
      <c r="H891" s="23"/>
      <c r="I891" s="23"/>
      <c r="J891" s="2"/>
      <c r="M891" s="40"/>
      <c r="N891" s="40"/>
      <c r="O891" s="2"/>
      <c r="AE891" s="24"/>
    </row>
    <row r="892">
      <c r="A892" s="11"/>
      <c r="B892" s="23"/>
      <c r="C892" s="23"/>
      <c r="D892" s="23"/>
      <c r="E892" s="23"/>
      <c r="F892" s="1"/>
      <c r="G892" s="23"/>
      <c r="H892" s="23"/>
      <c r="I892" s="23"/>
      <c r="J892" s="2"/>
      <c r="M892" s="40"/>
      <c r="N892" s="40"/>
      <c r="O892" s="2"/>
      <c r="AE892" s="24"/>
    </row>
    <row r="893">
      <c r="A893" s="11"/>
      <c r="B893" s="23"/>
      <c r="C893" s="23"/>
      <c r="D893" s="23"/>
      <c r="E893" s="23"/>
      <c r="F893" s="1"/>
      <c r="G893" s="23"/>
      <c r="H893" s="23"/>
      <c r="I893" s="23"/>
      <c r="J893" s="2"/>
      <c r="M893" s="40"/>
      <c r="N893" s="40"/>
      <c r="O893" s="2"/>
      <c r="AE893" s="24"/>
    </row>
    <row r="894">
      <c r="A894" s="11"/>
      <c r="B894" s="23"/>
      <c r="C894" s="23"/>
      <c r="D894" s="23"/>
      <c r="E894" s="23"/>
      <c r="F894" s="1"/>
      <c r="G894" s="23"/>
      <c r="H894" s="23"/>
      <c r="I894" s="23"/>
      <c r="J894" s="2"/>
      <c r="M894" s="40"/>
      <c r="N894" s="40"/>
      <c r="O894" s="2"/>
      <c r="AE894" s="24"/>
    </row>
    <row r="895">
      <c r="A895" s="11"/>
      <c r="B895" s="23"/>
      <c r="C895" s="23"/>
      <c r="D895" s="23"/>
      <c r="E895" s="23"/>
      <c r="F895" s="1"/>
      <c r="G895" s="23"/>
      <c r="H895" s="23"/>
      <c r="I895" s="23"/>
      <c r="J895" s="2"/>
      <c r="M895" s="40"/>
      <c r="N895" s="40"/>
      <c r="O895" s="2"/>
      <c r="AE895" s="24"/>
    </row>
    <row r="896">
      <c r="A896" s="11"/>
      <c r="B896" s="23"/>
      <c r="C896" s="23"/>
      <c r="D896" s="23"/>
      <c r="E896" s="23"/>
      <c r="F896" s="1"/>
      <c r="G896" s="23"/>
      <c r="H896" s="23"/>
      <c r="I896" s="23"/>
      <c r="J896" s="2"/>
      <c r="M896" s="40"/>
      <c r="N896" s="40"/>
      <c r="O896" s="2"/>
      <c r="AE896" s="24"/>
    </row>
    <row r="897">
      <c r="A897" s="11"/>
      <c r="B897" s="23"/>
      <c r="C897" s="23"/>
      <c r="D897" s="23"/>
      <c r="E897" s="23"/>
      <c r="F897" s="1"/>
      <c r="G897" s="23"/>
      <c r="H897" s="23"/>
      <c r="I897" s="23"/>
      <c r="J897" s="2"/>
      <c r="M897" s="40"/>
      <c r="N897" s="40"/>
      <c r="O897" s="2"/>
      <c r="AE897" s="24"/>
    </row>
    <row r="898">
      <c r="A898" s="11"/>
      <c r="B898" s="23"/>
      <c r="C898" s="23"/>
      <c r="D898" s="23"/>
      <c r="E898" s="23"/>
      <c r="F898" s="1"/>
      <c r="G898" s="23"/>
      <c r="H898" s="23"/>
      <c r="I898" s="23"/>
      <c r="J898" s="2"/>
      <c r="M898" s="40"/>
      <c r="N898" s="40"/>
      <c r="O898" s="2"/>
      <c r="AE898" s="24"/>
    </row>
    <row r="899">
      <c r="A899" s="11"/>
      <c r="B899" s="23"/>
      <c r="C899" s="23"/>
      <c r="D899" s="23"/>
      <c r="E899" s="23"/>
      <c r="F899" s="1"/>
      <c r="G899" s="23"/>
      <c r="H899" s="23"/>
      <c r="I899" s="23"/>
      <c r="J899" s="2"/>
      <c r="M899" s="40"/>
      <c r="N899" s="40"/>
      <c r="O899" s="2"/>
      <c r="AE899" s="24"/>
    </row>
    <row r="900">
      <c r="A900" s="11"/>
      <c r="B900" s="23"/>
      <c r="C900" s="23"/>
      <c r="D900" s="23"/>
      <c r="E900" s="23"/>
      <c r="F900" s="1"/>
      <c r="G900" s="23"/>
      <c r="H900" s="23"/>
      <c r="I900" s="23"/>
      <c r="J900" s="2"/>
      <c r="M900" s="40"/>
      <c r="N900" s="40"/>
      <c r="O900" s="2"/>
      <c r="AE900" s="24"/>
    </row>
    <row r="901">
      <c r="A901" s="11"/>
      <c r="B901" s="23"/>
      <c r="C901" s="23"/>
      <c r="D901" s="23"/>
      <c r="E901" s="23"/>
      <c r="F901" s="1"/>
      <c r="G901" s="23"/>
      <c r="H901" s="23"/>
      <c r="I901" s="23"/>
      <c r="J901" s="2"/>
      <c r="M901" s="40"/>
      <c r="N901" s="40"/>
      <c r="O901" s="2"/>
      <c r="AE901" s="24"/>
    </row>
    <row r="902">
      <c r="A902" s="11"/>
      <c r="B902" s="23"/>
      <c r="C902" s="23"/>
      <c r="D902" s="23"/>
      <c r="E902" s="23"/>
      <c r="F902" s="1"/>
      <c r="G902" s="23"/>
      <c r="H902" s="23"/>
      <c r="I902" s="23"/>
      <c r="J902" s="2"/>
      <c r="M902" s="40"/>
      <c r="N902" s="40"/>
      <c r="O902" s="2"/>
      <c r="AE902" s="24"/>
    </row>
    <row r="903">
      <c r="A903" s="11"/>
      <c r="B903" s="23"/>
      <c r="C903" s="23"/>
      <c r="D903" s="23"/>
      <c r="E903" s="23"/>
      <c r="F903" s="1"/>
      <c r="G903" s="23"/>
      <c r="H903" s="23"/>
      <c r="I903" s="23"/>
      <c r="J903" s="2"/>
      <c r="M903" s="40"/>
      <c r="N903" s="40"/>
      <c r="O903" s="2"/>
      <c r="AE903" s="24"/>
    </row>
    <row r="904">
      <c r="A904" s="11"/>
      <c r="B904" s="23"/>
      <c r="C904" s="23"/>
      <c r="D904" s="23"/>
      <c r="E904" s="23"/>
      <c r="F904" s="1"/>
      <c r="G904" s="23"/>
      <c r="H904" s="23"/>
      <c r="I904" s="23"/>
      <c r="J904" s="2"/>
      <c r="M904" s="40"/>
      <c r="N904" s="40"/>
      <c r="O904" s="2"/>
      <c r="AE904" s="24"/>
    </row>
    <row r="905">
      <c r="A905" s="11"/>
      <c r="B905" s="23"/>
      <c r="C905" s="23"/>
      <c r="D905" s="23"/>
      <c r="E905" s="23"/>
      <c r="F905" s="1"/>
      <c r="G905" s="23"/>
      <c r="H905" s="23"/>
      <c r="I905" s="23"/>
      <c r="J905" s="2"/>
      <c r="M905" s="40"/>
      <c r="N905" s="40"/>
      <c r="O905" s="2"/>
      <c r="AE905" s="24"/>
    </row>
    <row r="906">
      <c r="A906" s="11"/>
      <c r="B906" s="23"/>
      <c r="C906" s="23"/>
      <c r="D906" s="23"/>
      <c r="E906" s="23"/>
      <c r="F906" s="1"/>
      <c r="G906" s="23"/>
      <c r="H906" s="23"/>
      <c r="I906" s="23"/>
      <c r="J906" s="2"/>
      <c r="M906" s="40"/>
      <c r="N906" s="40"/>
      <c r="O906" s="2"/>
      <c r="AE906" s="24"/>
    </row>
    <row r="907">
      <c r="A907" s="11"/>
      <c r="B907" s="23"/>
      <c r="C907" s="23"/>
      <c r="D907" s="23"/>
      <c r="E907" s="23"/>
      <c r="F907" s="1"/>
      <c r="G907" s="23"/>
      <c r="H907" s="23"/>
      <c r="I907" s="23"/>
      <c r="J907" s="2"/>
      <c r="M907" s="40"/>
      <c r="N907" s="40"/>
      <c r="O907" s="2"/>
      <c r="AE907" s="24"/>
    </row>
    <row r="908">
      <c r="A908" s="11"/>
      <c r="B908" s="23"/>
      <c r="C908" s="23"/>
      <c r="D908" s="23"/>
      <c r="E908" s="23"/>
      <c r="F908" s="1"/>
      <c r="G908" s="23"/>
      <c r="H908" s="23"/>
      <c r="I908" s="23"/>
      <c r="J908" s="2"/>
      <c r="M908" s="40"/>
      <c r="N908" s="40"/>
      <c r="O908" s="2"/>
      <c r="AE908" s="24"/>
    </row>
    <row r="909">
      <c r="A909" s="11"/>
      <c r="B909" s="23"/>
      <c r="C909" s="23"/>
      <c r="D909" s="23"/>
      <c r="E909" s="23"/>
      <c r="F909" s="1"/>
      <c r="G909" s="23"/>
      <c r="H909" s="23"/>
      <c r="I909" s="23"/>
      <c r="J909" s="2"/>
      <c r="M909" s="40"/>
      <c r="N909" s="40"/>
      <c r="O909" s="2"/>
      <c r="AE909" s="24"/>
    </row>
    <row r="910">
      <c r="A910" s="11"/>
      <c r="B910" s="23"/>
      <c r="C910" s="23"/>
      <c r="D910" s="23"/>
      <c r="E910" s="23"/>
      <c r="F910" s="1"/>
      <c r="G910" s="23"/>
      <c r="H910" s="23"/>
      <c r="I910" s="23"/>
      <c r="J910" s="2"/>
      <c r="M910" s="40"/>
      <c r="N910" s="40"/>
      <c r="O910" s="2"/>
      <c r="AE910" s="24"/>
    </row>
    <row r="911">
      <c r="A911" s="11"/>
      <c r="B911" s="23"/>
      <c r="C911" s="23"/>
      <c r="D911" s="23"/>
      <c r="E911" s="23"/>
      <c r="F911" s="1"/>
      <c r="G911" s="23"/>
      <c r="H911" s="23"/>
      <c r="I911" s="23"/>
      <c r="J911" s="2"/>
      <c r="M911" s="40"/>
      <c r="N911" s="40"/>
      <c r="O911" s="2"/>
      <c r="AE911" s="24"/>
    </row>
    <row r="912">
      <c r="A912" s="11"/>
      <c r="B912" s="23"/>
      <c r="C912" s="23"/>
      <c r="D912" s="23"/>
      <c r="E912" s="23"/>
      <c r="F912" s="1"/>
      <c r="G912" s="23"/>
      <c r="H912" s="23"/>
      <c r="I912" s="23"/>
      <c r="J912" s="2"/>
      <c r="M912" s="40"/>
      <c r="N912" s="40"/>
      <c r="O912" s="2"/>
      <c r="AE912" s="24"/>
    </row>
    <row r="913">
      <c r="A913" s="11"/>
      <c r="B913" s="23"/>
      <c r="C913" s="23"/>
      <c r="D913" s="23"/>
      <c r="E913" s="23"/>
      <c r="F913" s="1"/>
      <c r="G913" s="23"/>
      <c r="H913" s="23"/>
      <c r="I913" s="23"/>
      <c r="J913" s="2"/>
      <c r="M913" s="40"/>
      <c r="N913" s="40"/>
      <c r="O913" s="2"/>
      <c r="AE913" s="24"/>
    </row>
    <row r="914">
      <c r="A914" s="11"/>
      <c r="B914" s="23"/>
      <c r="C914" s="23"/>
      <c r="D914" s="23"/>
      <c r="E914" s="23"/>
      <c r="F914" s="1"/>
      <c r="G914" s="23"/>
      <c r="H914" s="23"/>
      <c r="I914" s="23"/>
      <c r="J914" s="2"/>
      <c r="M914" s="40"/>
      <c r="N914" s="40"/>
      <c r="O914" s="2"/>
      <c r="AE914" s="24"/>
    </row>
    <row r="915">
      <c r="A915" s="11"/>
      <c r="B915" s="23"/>
      <c r="C915" s="23"/>
      <c r="D915" s="23"/>
      <c r="E915" s="23"/>
      <c r="F915" s="1"/>
      <c r="G915" s="23"/>
      <c r="H915" s="23"/>
      <c r="I915" s="23"/>
      <c r="J915" s="2"/>
      <c r="M915" s="40"/>
      <c r="N915" s="40"/>
      <c r="O915" s="2"/>
      <c r="AE915" s="24"/>
    </row>
    <row r="916">
      <c r="A916" s="11"/>
      <c r="B916" s="23"/>
      <c r="C916" s="23"/>
      <c r="D916" s="23"/>
      <c r="E916" s="23"/>
      <c r="F916" s="1"/>
      <c r="G916" s="23"/>
      <c r="H916" s="23"/>
      <c r="I916" s="23"/>
      <c r="J916" s="2"/>
      <c r="M916" s="40"/>
      <c r="N916" s="40"/>
      <c r="O916" s="2"/>
      <c r="AE916" s="24"/>
    </row>
    <row r="917">
      <c r="A917" s="11"/>
      <c r="B917" s="23"/>
      <c r="C917" s="23"/>
      <c r="D917" s="23"/>
      <c r="E917" s="23"/>
      <c r="F917" s="1"/>
      <c r="G917" s="23"/>
      <c r="H917" s="23"/>
      <c r="I917" s="23"/>
      <c r="J917" s="2"/>
      <c r="M917" s="40"/>
      <c r="N917" s="40"/>
      <c r="O917" s="2"/>
      <c r="AE917" s="24"/>
    </row>
    <row r="918">
      <c r="A918" s="11"/>
      <c r="B918" s="23"/>
      <c r="C918" s="23"/>
      <c r="D918" s="23"/>
      <c r="E918" s="23"/>
      <c r="F918" s="1"/>
      <c r="G918" s="23"/>
      <c r="H918" s="23"/>
      <c r="I918" s="23"/>
      <c r="J918" s="2"/>
      <c r="M918" s="40"/>
      <c r="N918" s="40"/>
      <c r="O918" s="2"/>
      <c r="AE918" s="24"/>
    </row>
    <row r="919">
      <c r="A919" s="11"/>
      <c r="B919" s="23"/>
      <c r="C919" s="23"/>
      <c r="D919" s="23"/>
      <c r="E919" s="23"/>
      <c r="F919" s="1"/>
      <c r="G919" s="23"/>
      <c r="H919" s="23"/>
      <c r="I919" s="23"/>
      <c r="J919" s="2"/>
      <c r="M919" s="40"/>
      <c r="N919" s="40"/>
      <c r="O919" s="2"/>
      <c r="AE919" s="24"/>
    </row>
    <row r="920">
      <c r="A920" s="11"/>
      <c r="B920" s="23"/>
      <c r="C920" s="23"/>
      <c r="D920" s="23"/>
      <c r="E920" s="23"/>
      <c r="F920" s="1"/>
      <c r="G920" s="23"/>
      <c r="H920" s="23"/>
      <c r="I920" s="23"/>
      <c r="J920" s="2"/>
      <c r="M920" s="40"/>
      <c r="N920" s="40"/>
      <c r="O920" s="2"/>
      <c r="AE920" s="24"/>
    </row>
    <row r="921">
      <c r="A921" s="11"/>
      <c r="B921" s="23"/>
      <c r="C921" s="23"/>
      <c r="D921" s="23"/>
      <c r="E921" s="23"/>
      <c r="F921" s="1"/>
      <c r="G921" s="23"/>
      <c r="H921" s="23"/>
      <c r="I921" s="23"/>
      <c r="J921" s="2"/>
      <c r="M921" s="40"/>
      <c r="N921" s="40"/>
      <c r="O921" s="2"/>
      <c r="AE921" s="24"/>
    </row>
    <row r="922">
      <c r="A922" s="11"/>
      <c r="B922" s="23"/>
      <c r="C922" s="23"/>
      <c r="D922" s="23"/>
      <c r="E922" s="23"/>
      <c r="F922" s="1"/>
      <c r="G922" s="23"/>
      <c r="H922" s="23"/>
      <c r="I922" s="23"/>
      <c r="J922" s="2"/>
      <c r="M922" s="40"/>
      <c r="N922" s="40"/>
      <c r="O922" s="2"/>
      <c r="AE922" s="24"/>
    </row>
    <row r="923">
      <c r="A923" s="11"/>
      <c r="B923" s="23"/>
      <c r="C923" s="23"/>
      <c r="D923" s="23"/>
      <c r="E923" s="23"/>
      <c r="F923" s="1"/>
      <c r="G923" s="23"/>
      <c r="H923" s="23"/>
      <c r="I923" s="23"/>
      <c r="J923" s="2"/>
      <c r="M923" s="40"/>
      <c r="N923" s="40"/>
      <c r="O923" s="2"/>
      <c r="AE923" s="24"/>
    </row>
    <row r="924">
      <c r="A924" s="11"/>
      <c r="B924" s="23"/>
      <c r="C924" s="23"/>
      <c r="D924" s="23"/>
      <c r="E924" s="23"/>
      <c r="F924" s="1"/>
      <c r="G924" s="23"/>
      <c r="H924" s="23"/>
      <c r="I924" s="23"/>
      <c r="J924" s="2"/>
      <c r="M924" s="40"/>
      <c r="N924" s="40"/>
      <c r="O924" s="2"/>
      <c r="AE924" s="24"/>
    </row>
    <row r="925">
      <c r="A925" s="11"/>
      <c r="B925" s="23"/>
      <c r="C925" s="23"/>
      <c r="D925" s="23"/>
      <c r="E925" s="23"/>
      <c r="F925" s="1"/>
      <c r="G925" s="23"/>
      <c r="H925" s="23"/>
      <c r="I925" s="23"/>
      <c r="J925" s="2"/>
      <c r="M925" s="40"/>
      <c r="N925" s="40"/>
      <c r="O925" s="2"/>
      <c r="AE925" s="24"/>
    </row>
    <row r="926">
      <c r="A926" s="11"/>
      <c r="B926" s="23"/>
      <c r="C926" s="23"/>
      <c r="D926" s="23"/>
      <c r="E926" s="23"/>
      <c r="F926" s="1"/>
      <c r="G926" s="23"/>
      <c r="H926" s="23"/>
      <c r="I926" s="23"/>
      <c r="J926" s="2"/>
      <c r="M926" s="40"/>
      <c r="N926" s="40"/>
      <c r="O926" s="2"/>
      <c r="AE926" s="24"/>
    </row>
    <row r="927">
      <c r="A927" s="11"/>
      <c r="B927" s="23"/>
      <c r="C927" s="23"/>
      <c r="D927" s="23"/>
      <c r="E927" s="23"/>
      <c r="F927" s="1"/>
      <c r="G927" s="23"/>
      <c r="H927" s="23"/>
      <c r="I927" s="23"/>
      <c r="J927" s="2"/>
      <c r="M927" s="40"/>
      <c r="N927" s="40"/>
      <c r="O927" s="2"/>
      <c r="AE927" s="24"/>
    </row>
    <row r="928">
      <c r="A928" s="11"/>
      <c r="B928" s="23"/>
      <c r="C928" s="23"/>
      <c r="D928" s="23"/>
      <c r="E928" s="23"/>
      <c r="F928" s="1"/>
      <c r="G928" s="23"/>
      <c r="H928" s="23"/>
      <c r="I928" s="23"/>
      <c r="J928" s="2"/>
      <c r="M928" s="40"/>
      <c r="N928" s="40"/>
      <c r="O928" s="2"/>
      <c r="AE928" s="24"/>
    </row>
    <row r="929">
      <c r="A929" s="11"/>
      <c r="B929" s="23"/>
      <c r="C929" s="23"/>
      <c r="D929" s="23"/>
      <c r="E929" s="23"/>
      <c r="F929" s="1"/>
      <c r="G929" s="23"/>
      <c r="H929" s="23"/>
      <c r="I929" s="23"/>
      <c r="J929" s="2"/>
      <c r="M929" s="40"/>
      <c r="N929" s="40"/>
      <c r="O929" s="2"/>
      <c r="AE929" s="24"/>
    </row>
    <row r="930">
      <c r="A930" s="11"/>
      <c r="B930" s="23"/>
      <c r="C930" s="23"/>
      <c r="D930" s="23"/>
      <c r="E930" s="23"/>
      <c r="F930" s="1"/>
      <c r="G930" s="23"/>
      <c r="H930" s="23"/>
      <c r="I930" s="23"/>
      <c r="J930" s="2"/>
      <c r="M930" s="40"/>
      <c r="N930" s="40"/>
      <c r="O930" s="2"/>
      <c r="AE930" s="24"/>
    </row>
    <row r="931">
      <c r="A931" s="11"/>
      <c r="B931" s="23"/>
      <c r="C931" s="23"/>
      <c r="D931" s="23"/>
      <c r="E931" s="23"/>
      <c r="F931" s="1"/>
      <c r="G931" s="23"/>
      <c r="H931" s="23"/>
      <c r="I931" s="23"/>
      <c r="J931" s="2"/>
      <c r="M931" s="40"/>
      <c r="N931" s="40"/>
      <c r="O931" s="2"/>
      <c r="AE931" s="24"/>
    </row>
    <row r="932">
      <c r="A932" s="11"/>
      <c r="B932" s="23"/>
      <c r="C932" s="23"/>
      <c r="D932" s="23"/>
      <c r="E932" s="23"/>
      <c r="F932" s="1"/>
      <c r="G932" s="23"/>
      <c r="H932" s="23"/>
      <c r="I932" s="23"/>
      <c r="J932" s="2"/>
      <c r="M932" s="40"/>
      <c r="N932" s="40"/>
      <c r="O932" s="2"/>
      <c r="AE932" s="24"/>
    </row>
    <row r="933">
      <c r="A933" s="11"/>
      <c r="B933" s="23"/>
      <c r="C933" s="23"/>
      <c r="D933" s="23"/>
      <c r="E933" s="23"/>
      <c r="F933" s="1"/>
      <c r="G933" s="23"/>
      <c r="H933" s="23"/>
      <c r="I933" s="23"/>
      <c r="J933" s="2"/>
      <c r="M933" s="40"/>
      <c r="N933" s="40"/>
      <c r="O933" s="2"/>
      <c r="AE933" s="24"/>
    </row>
    <row r="934">
      <c r="A934" s="11"/>
      <c r="B934" s="23"/>
      <c r="C934" s="23"/>
      <c r="D934" s="23"/>
      <c r="E934" s="23"/>
      <c r="F934" s="1"/>
      <c r="G934" s="23"/>
      <c r="H934" s="23"/>
      <c r="I934" s="23"/>
      <c r="J934" s="2"/>
      <c r="M934" s="40"/>
      <c r="N934" s="40"/>
      <c r="O934" s="2"/>
      <c r="AE934" s="24"/>
    </row>
    <row r="935">
      <c r="A935" s="11"/>
      <c r="B935" s="23"/>
      <c r="C935" s="23"/>
      <c r="D935" s="23"/>
      <c r="E935" s="23"/>
      <c r="F935" s="1"/>
      <c r="G935" s="23"/>
      <c r="H935" s="23"/>
      <c r="I935" s="23"/>
      <c r="J935" s="2"/>
      <c r="M935" s="40"/>
      <c r="N935" s="40"/>
      <c r="O935" s="2"/>
      <c r="AE935" s="24"/>
    </row>
    <row r="936">
      <c r="A936" s="11"/>
      <c r="B936" s="23"/>
      <c r="C936" s="23"/>
      <c r="D936" s="23"/>
      <c r="E936" s="23"/>
      <c r="F936" s="1"/>
      <c r="G936" s="23"/>
      <c r="H936" s="23"/>
      <c r="I936" s="23"/>
      <c r="J936" s="2"/>
      <c r="M936" s="40"/>
      <c r="N936" s="40"/>
      <c r="O936" s="2"/>
      <c r="AE936" s="24"/>
    </row>
    <row r="937">
      <c r="A937" s="11"/>
      <c r="B937" s="23"/>
      <c r="C937" s="23"/>
      <c r="D937" s="23"/>
      <c r="E937" s="23"/>
      <c r="F937" s="1"/>
      <c r="G937" s="23"/>
      <c r="H937" s="23"/>
      <c r="I937" s="23"/>
      <c r="J937" s="2"/>
      <c r="M937" s="40"/>
      <c r="N937" s="40"/>
      <c r="O937" s="2"/>
      <c r="AE937" s="24"/>
    </row>
    <row r="938">
      <c r="A938" s="11"/>
      <c r="B938" s="23"/>
      <c r="C938" s="23"/>
      <c r="D938" s="23"/>
      <c r="E938" s="23"/>
      <c r="F938" s="1"/>
      <c r="G938" s="23"/>
      <c r="H938" s="23"/>
      <c r="I938" s="23"/>
      <c r="J938" s="2"/>
      <c r="M938" s="40"/>
      <c r="N938" s="40"/>
      <c r="O938" s="2"/>
      <c r="AE938" s="24"/>
    </row>
    <row r="939">
      <c r="A939" s="11"/>
      <c r="B939" s="23"/>
      <c r="C939" s="23"/>
      <c r="D939" s="23"/>
      <c r="E939" s="23"/>
      <c r="F939" s="1"/>
      <c r="G939" s="23"/>
      <c r="H939" s="23"/>
      <c r="I939" s="23"/>
      <c r="J939" s="2"/>
      <c r="M939" s="40"/>
      <c r="N939" s="40"/>
      <c r="O939" s="2"/>
      <c r="AE939" s="24"/>
    </row>
    <row r="940">
      <c r="A940" s="11"/>
      <c r="B940" s="23"/>
      <c r="C940" s="23"/>
      <c r="D940" s="23"/>
      <c r="E940" s="23"/>
      <c r="F940" s="1"/>
      <c r="G940" s="23"/>
      <c r="H940" s="23"/>
      <c r="I940" s="23"/>
      <c r="J940" s="2"/>
      <c r="M940" s="40"/>
      <c r="N940" s="40"/>
      <c r="O940" s="2"/>
      <c r="AE940" s="24"/>
    </row>
    <row r="941">
      <c r="A941" s="11"/>
      <c r="B941" s="23"/>
      <c r="C941" s="23"/>
      <c r="D941" s="23"/>
      <c r="E941" s="23"/>
      <c r="F941" s="1"/>
      <c r="G941" s="23"/>
      <c r="H941" s="23"/>
      <c r="I941" s="23"/>
      <c r="J941" s="2"/>
      <c r="M941" s="40"/>
      <c r="N941" s="40"/>
      <c r="O941" s="2"/>
      <c r="AE941" s="24"/>
    </row>
    <row r="942">
      <c r="A942" s="11"/>
      <c r="B942" s="23"/>
      <c r="C942" s="23"/>
      <c r="D942" s="23"/>
      <c r="E942" s="23"/>
      <c r="F942" s="1"/>
      <c r="G942" s="23"/>
      <c r="H942" s="23"/>
      <c r="I942" s="23"/>
      <c r="J942" s="2"/>
      <c r="M942" s="40"/>
      <c r="N942" s="40"/>
      <c r="O942" s="2"/>
      <c r="AE942" s="24"/>
    </row>
    <row r="943">
      <c r="A943" s="11"/>
      <c r="B943" s="23"/>
      <c r="C943" s="23"/>
      <c r="D943" s="23"/>
      <c r="E943" s="23"/>
      <c r="F943" s="1"/>
      <c r="G943" s="23"/>
      <c r="H943" s="23"/>
      <c r="I943" s="23"/>
      <c r="J943" s="2"/>
      <c r="M943" s="40"/>
      <c r="N943" s="40"/>
      <c r="O943" s="2"/>
      <c r="AE943" s="24"/>
    </row>
    <row r="944">
      <c r="A944" s="11"/>
      <c r="B944" s="23"/>
      <c r="C944" s="23"/>
      <c r="D944" s="23"/>
      <c r="E944" s="23"/>
      <c r="F944" s="1"/>
      <c r="G944" s="23"/>
      <c r="H944" s="23"/>
      <c r="I944" s="23"/>
      <c r="J944" s="2"/>
      <c r="M944" s="40"/>
      <c r="N944" s="40"/>
      <c r="O944" s="2"/>
      <c r="AE944" s="24"/>
    </row>
    <row r="945">
      <c r="A945" s="11"/>
      <c r="B945" s="23"/>
      <c r="C945" s="23"/>
      <c r="D945" s="23"/>
      <c r="E945" s="23"/>
      <c r="F945" s="1"/>
      <c r="G945" s="23"/>
      <c r="H945" s="23"/>
      <c r="I945" s="23"/>
      <c r="J945" s="2"/>
      <c r="M945" s="40"/>
      <c r="N945" s="40"/>
      <c r="O945" s="2"/>
      <c r="AE945" s="24"/>
    </row>
    <row r="946">
      <c r="A946" s="11"/>
      <c r="B946" s="23"/>
      <c r="C946" s="23"/>
      <c r="D946" s="23"/>
      <c r="E946" s="23"/>
      <c r="F946" s="1"/>
      <c r="G946" s="23"/>
      <c r="H946" s="23"/>
      <c r="I946" s="23"/>
      <c r="J946" s="2"/>
      <c r="M946" s="40"/>
      <c r="N946" s="40"/>
      <c r="O946" s="2"/>
      <c r="AE946" s="24"/>
    </row>
    <row r="947">
      <c r="A947" s="11"/>
      <c r="B947" s="23"/>
      <c r="C947" s="23"/>
      <c r="D947" s="23"/>
      <c r="E947" s="23"/>
      <c r="F947" s="1"/>
      <c r="G947" s="23"/>
      <c r="H947" s="23"/>
      <c r="I947" s="23"/>
      <c r="J947" s="2"/>
      <c r="M947" s="40"/>
      <c r="N947" s="40"/>
      <c r="O947" s="2"/>
      <c r="AE947" s="24"/>
    </row>
    <row r="948">
      <c r="A948" s="11"/>
      <c r="B948" s="23"/>
      <c r="C948" s="23"/>
      <c r="D948" s="23"/>
      <c r="E948" s="23"/>
      <c r="F948" s="1"/>
      <c r="G948" s="23"/>
      <c r="H948" s="23"/>
      <c r="I948" s="23"/>
      <c r="J948" s="2"/>
      <c r="M948" s="40"/>
      <c r="N948" s="40"/>
      <c r="O948" s="2"/>
      <c r="AE948" s="24"/>
    </row>
    <row r="949">
      <c r="A949" s="11"/>
      <c r="B949" s="23"/>
      <c r="C949" s="23"/>
      <c r="D949" s="23"/>
      <c r="E949" s="23"/>
      <c r="F949" s="1"/>
      <c r="G949" s="23"/>
      <c r="H949" s="23"/>
      <c r="I949" s="23"/>
      <c r="J949" s="2"/>
      <c r="M949" s="40"/>
      <c r="N949" s="40"/>
      <c r="O949" s="2"/>
      <c r="AE949" s="24"/>
    </row>
    <row r="950">
      <c r="A950" s="11"/>
      <c r="B950" s="23"/>
      <c r="C950" s="23"/>
      <c r="D950" s="23"/>
      <c r="E950" s="23"/>
      <c r="F950" s="1"/>
      <c r="G950" s="23"/>
      <c r="H950" s="23"/>
      <c r="I950" s="23"/>
      <c r="J950" s="2"/>
      <c r="M950" s="40"/>
      <c r="N950" s="40"/>
      <c r="O950" s="2"/>
      <c r="AE950" s="24"/>
    </row>
    <row r="951">
      <c r="A951" s="11"/>
      <c r="B951" s="23"/>
      <c r="C951" s="23"/>
      <c r="D951" s="23"/>
      <c r="E951" s="23"/>
      <c r="F951" s="1"/>
      <c r="G951" s="23"/>
      <c r="H951" s="23"/>
      <c r="I951" s="23"/>
      <c r="J951" s="2"/>
      <c r="M951" s="40"/>
      <c r="N951" s="40"/>
      <c r="O951" s="2"/>
      <c r="AE951" s="24"/>
    </row>
    <row r="952">
      <c r="A952" s="11"/>
      <c r="B952" s="23"/>
      <c r="C952" s="23"/>
      <c r="D952" s="23"/>
      <c r="E952" s="23"/>
      <c r="F952" s="1"/>
      <c r="G952" s="23"/>
      <c r="H952" s="23"/>
      <c r="I952" s="23"/>
      <c r="J952" s="2"/>
      <c r="M952" s="40"/>
      <c r="N952" s="40"/>
      <c r="O952" s="2"/>
      <c r="AE952" s="24"/>
    </row>
    <row r="953">
      <c r="A953" s="11"/>
      <c r="B953" s="23"/>
      <c r="C953" s="23"/>
      <c r="D953" s="23"/>
      <c r="E953" s="23"/>
      <c r="F953" s="1"/>
      <c r="G953" s="23"/>
      <c r="H953" s="23"/>
      <c r="I953" s="23"/>
      <c r="J953" s="2"/>
      <c r="M953" s="40"/>
      <c r="N953" s="40"/>
      <c r="O953" s="2"/>
      <c r="AE953" s="24"/>
    </row>
    <row r="954">
      <c r="A954" s="11"/>
      <c r="B954" s="23"/>
      <c r="C954" s="23"/>
      <c r="D954" s="23"/>
      <c r="E954" s="23"/>
      <c r="F954" s="1"/>
      <c r="G954" s="23"/>
      <c r="H954" s="23"/>
      <c r="I954" s="23"/>
      <c r="J954" s="2"/>
      <c r="M954" s="40"/>
      <c r="N954" s="40"/>
      <c r="O954" s="2"/>
      <c r="AE954" s="24"/>
    </row>
    <row r="955">
      <c r="A955" s="11"/>
      <c r="B955" s="23"/>
      <c r="C955" s="23"/>
      <c r="D955" s="23"/>
      <c r="E955" s="23"/>
      <c r="F955" s="1"/>
      <c r="G955" s="23"/>
      <c r="H955" s="23"/>
      <c r="I955" s="23"/>
      <c r="J955" s="2"/>
      <c r="M955" s="40"/>
      <c r="N955" s="40"/>
      <c r="O955" s="2"/>
      <c r="AE955" s="24"/>
    </row>
    <row r="956">
      <c r="A956" s="11"/>
      <c r="B956" s="23"/>
      <c r="C956" s="23"/>
      <c r="D956" s="23"/>
      <c r="E956" s="23"/>
      <c r="F956" s="1"/>
      <c r="G956" s="23"/>
      <c r="H956" s="23"/>
      <c r="I956" s="23"/>
      <c r="J956" s="2"/>
      <c r="M956" s="40"/>
      <c r="N956" s="40"/>
      <c r="O956" s="2"/>
      <c r="AE956" s="24"/>
    </row>
    <row r="957">
      <c r="A957" s="11"/>
      <c r="B957" s="23"/>
      <c r="C957" s="23"/>
      <c r="D957" s="23"/>
      <c r="E957" s="23"/>
      <c r="F957" s="1"/>
      <c r="G957" s="23"/>
      <c r="H957" s="23"/>
      <c r="I957" s="23"/>
      <c r="J957" s="2"/>
      <c r="M957" s="40"/>
      <c r="N957" s="40"/>
      <c r="O957" s="2"/>
      <c r="AE957" s="24"/>
    </row>
    <row r="958">
      <c r="A958" s="11"/>
      <c r="B958" s="23"/>
      <c r="C958" s="23"/>
      <c r="D958" s="23"/>
      <c r="E958" s="23"/>
      <c r="F958" s="1"/>
      <c r="G958" s="23"/>
      <c r="H958" s="23"/>
      <c r="I958" s="23"/>
      <c r="J958" s="2"/>
      <c r="M958" s="40"/>
      <c r="N958" s="40"/>
      <c r="O958" s="2"/>
      <c r="AE958" s="24"/>
    </row>
    <row r="959">
      <c r="A959" s="11"/>
      <c r="B959" s="23"/>
      <c r="C959" s="23"/>
      <c r="D959" s="23"/>
      <c r="E959" s="23"/>
      <c r="F959" s="1"/>
      <c r="G959" s="23"/>
      <c r="H959" s="23"/>
      <c r="I959" s="23"/>
      <c r="J959" s="2"/>
      <c r="M959" s="40"/>
      <c r="N959" s="40"/>
      <c r="O959" s="2"/>
      <c r="AE959" s="24"/>
    </row>
    <row r="960">
      <c r="A960" s="11"/>
      <c r="B960" s="23"/>
      <c r="C960" s="23"/>
      <c r="D960" s="23"/>
      <c r="E960" s="23"/>
      <c r="F960" s="1"/>
      <c r="G960" s="23"/>
      <c r="H960" s="23"/>
      <c r="I960" s="23"/>
      <c r="J960" s="2"/>
      <c r="M960" s="40"/>
      <c r="N960" s="40"/>
      <c r="O960" s="2"/>
      <c r="AE960" s="24"/>
    </row>
    <row r="961">
      <c r="A961" s="11"/>
      <c r="B961" s="23"/>
      <c r="C961" s="23"/>
      <c r="D961" s="23"/>
      <c r="E961" s="23"/>
      <c r="F961" s="1"/>
      <c r="G961" s="23"/>
      <c r="H961" s="23"/>
      <c r="I961" s="23"/>
      <c r="J961" s="2"/>
      <c r="M961" s="40"/>
      <c r="N961" s="40"/>
      <c r="O961" s="2"/>
      <c r="AE961" s="24"/>
    </row>
    <row r="962">
      <c r="A962" s="11"/>
      <c r="B962" s="23"/>
      <c r="C962" s="23"/>
      <c r="D962" s="23"/>
      <c r="E962" s="23"/>
      <c r="F962" s="1"/>
      <c r="G962" s="23"/>
      <c r="H962" s="23"/>
      <c r="I962" s="23"/>
      <c r="J962" s="2"/>
      <c r="M962" s="40"/>
      <c r="N962" s="40"/>
      <c r="O962" s="2"/>
      <c r="AE962" s="24"/>
    </row>
    <row r="963">
      <c r="A963" s="11"/>
      <c r="B963" s="23"/>
      <c r="C963" s="23"/>
      <c r="D963" s="23"/>
      <c r="E963" s="23"/>
      <c r="F963" s="1"/>
      <c r="G963" s="23"/>
      <c r="H963" s="23"/>
      <c r="I963" s="23"/>
      <c r="J963" s="2"/>
      <c r="M963" s="40"/>
      <c r="N963" s="40"/>
      <c r="O963" s="2"/>
      <c r="AE963" s="24"/>
    </row>
    <row r="964">
      <c r="A964" s="11"/>
      <c r="B964" s="23"/>
      <c r="C964" s="23"/>
      <c r="D964" s="23"/>
      <c r="E964" s="23"/>
      <c r="F964" s="1"/>
      <c r="G964" s="23"/>
      <c r="H964" s="23"/>
      <c r="I964" s="23"/>
      <c r="J964" s="2"/>
      <c r="M964" s="40"/>
      <c r="N964" s="40"/>
      <c r="O964" s="2"/>
      <c r="AE964" s="24"/>
    </row>
    <row r="965">
      <c r="A965" s="11"/>
      <c r="B965" s="23"/>
      <c r="C965" s="23"/>
      <c r="D965" s="23"/>
      <c r="E965" s="23"/>
      <c r="F965" s="1"/>
      <c r="G965" s="23"/>
      <c r="H965" s="23"/>
      <c r="I965" s="23"/>
      <c r="J965" s="2"/>
      <c r="M965" s="40"/>
      <c r="N965" s="40"/>
      <c r="O965" s="2"/>
      <c r="AE965" s="24"/>
    </row>
    <row r="966">
      <c r="A966" s="11"/>
      <c r="B966" s="23"/>
      <c r="C966" s="23"/>
      <c r="D966" s="23"/>
      <c r="E966" s="23"/>
      <c r="F966" s="1"/>
      <c r="G966" s="23"/>
      <c r="H966" s="23"/>
      <c r="I966" s="23"/>
      <c r="J966" s="2"/>
      <c r="M966" s="40"/>
      <c r="N966" s="40"/>
      <c r="O966" s="2"/>
      <c r="AE966" s="24"/>
    </row>
    <row r="967">
      <c r="A967" s="11"/>
      <c r="B967" s="23"/>
      <c r="C967" s="23"/>
      <c r="D967" s="23"/>
      <c r="E967" s="23"/>
      <c r="F967" s="1"/>
      <c r="G967" s="23"/>
      <c r="H967" s="23"/>
      <c r="I967" s="23"/>
      <c r="J967" s="2"/>
      <c r="M967" s="40"/>
      <c r="N967" s="40"/>
      <c r="O967" s="2"/>
      <c r="AE967" s="24"/>
    </row>
    <row r="968">
      <c r="A968" s="11"/>
      <c r="B968" s="23"/>
      <c r="C968" s="23"/>
      <c r="D968" s="23"/>
      <c r="E968" s="23"/>
      <c r="F968" s="1"/>
      <c r="G968" s="23"/>
      <c r="H968" s="23"/>
      <c r="I968" s="23"/>
      <c r="J968" s="2"/>
      <c r="M968" s="40"/>
      <c r="N968" s="40"/>
      <c r="O968" s="2"/>
      <c r="AE968" s="24"/>
    </row>
    <row r="969">
      <c r="A969" s="11"/>
      <c r="B969" s="23"/>
      <c r="C969" s="23"/>
      <c r="D969" s="23"/>
      <c r="E969" s="23"/>
      <c r="F969" s="1"/>
      <c r="G969" s="23"/>
      <c r="H969" s="23"/>
      <c r="I969" s="23"/>
      <c r="J969" s="2"/>
      <c r="M969" s="40"/>
      <c r="N969" s="40"/>
      <c r="O969" s="2"/>
      <c r="AE969" s="24"/>
    </row>
    <row r="970">
      <c r="A970" s="11"/>
      <c r="B970" s="23"/>
      <c r="C970" s="23"/>
      <c r="D970" s="23"/>
      <c r="E970" s="23"/>
      <c r="F970" s="1"/>
      <c r="G970" s="23"/>
      <c r="H970" s="23"/>
      <c r="I970" s="23"/>
      <c r="J970" s="2"/>
      <c r="M970" s="40"/>
      <c r="N970" s="40"/>
      <c r="O970" s="2"/>
      <c r="AE970" s="24"/>
    </row>
    <row r="971">
      <c r="A971" s="11"/>
      <c r="B971" s="23"/>
      <c r="C971" s="23"/>
      <c r="D971" s="23"/>
      <c r="E971" s="23"/>
      <c r="F971" s="1"/>
      <c r="G971" s="23"/>
      <c r="H971" s="23"/>
      <c r="I971" s="23"/>
      <c r="J971" s="2"/>
      <c r="M971" s="40"/>
      <c r="N971" s="40"/>
      <c r="O971" s="2"/>
      <c r="AE971" s="24"/>
    </row>
    <row r="972">
      <c r="A972" s="11"/>
      <c r="B972" s="23"/>
      <c r="C972" s="23"/>
      <c r="D972" s="23"/>
      <c r="E972" s="23"/>
      <c r="F972" s="1"/>
      <c r="G972" s="23"/>
      <c r="H972" s="23"/>
      <c r="I972" s="23"/>
      <c r="J972" s="2"/>
      <c r="M972" s="40"/>
      <c r="N972" s="40"/>
      <c r="O972" s="2"/>
      <c r="AE972" s="24"/>
    </row>
    <row r="973">
      <c r="A973" s="11"/>
      <c r="B973" s="23"/>
      <c r="C973" s="23"/>
      <c r="D973" s="23"/>
      <c r="E973" s="23"/>
      <c r="F973" s="1"/>
      <c r="G973" s="23"/>
      <c r="H973" s="23"/>
      <c r="I973" s="23"/>
      <c r="J973" s="2"/>
      <c r="M973" s="40"/>
      <c r="N973" s="40"/>
      <c r="O973" s="2"/>
      <c r="AE973" s="24"/>
    </row>
    <row r="974">
      <c r="A974" s="11"/>
      <c r="B974" s="23"/>
      <c r="C974" s="23"/>
      <c r="D974" s="23"/>
      <c r="E974" s="23"/>
      <c r="F974" s="1"/>
      <c r="G974" s="23"/>
      <c r="H974" s="23"/>
      <c r="I974" s="23"/>
      <c r="J974" s="2"/>
      <c r="M974" s="40"/>
      <c r="N974" s="40"/>
      <c r="O974" s="2"/>
      <c r="AE974" s="24"/>
    </row>
    <row r="975">
      <c r="A975" s="11"/>
      <c r="B975" s="23"/>
      <c r="C975" s="23"/>
      <c r="D975" s="23"/>
      <c r="E975" s="23"/>
      <c r="F975" s="1"/>
      <c r="G975" s="23"/>
      <c r="H975" s="23"/>
      <c r="I975" s="23"/>
      <c r="J975" s="2"/>
      <c r="M975" s="40"/>
      <c r="N975" s="40"/>
      <c r="O975" s="2"/>
      <c r="AE975" s="24"/>
    </row>
    <row r="976">
      <c r="A976" s="11"/>
      <c r="B976" s="23"/>
      <c r="C976" s="23"/>
      <c r="D976" s="23"/>
      <c r="E976" s="23"/>
      <c r="F976" s="1"/>
      <c r="G976" s="23"/>
      <c r="H976" s="23"/>
      <c r="I976" s="23"/>
      <c r="J976" s="2"/>
      <c r="M976" s="40"/>
      <c r="N976" s="40"/>
      <c r="O976" s="2"/>
      <c r="AE976" s="24"/>
    </row>
    <row r="977">
      <c r="A977" s="11"/>
      <c r="B977" s="23"/>
      <c r="C977" s="23"/>
      <c r="D977" s="23"/>
      <c r="E977" s="23"/>
      <c r="F977" s="1"/>
      <c r="G977" s="23"/>
      <c r="H977" s="23"/>
      <c r="I977" s="23"/>
      <c r="J977" s="2"/>
      <c r="M977" s="40"/>
      <c r="N977" s="40"/>
      <c r="O977" s="2"/>
      <c r="AE977" s="24"/>
    </row>
    <row r="978">
      <c r="A978" s="11"/>
      <c r="B978" s="23"/>
      <c r="C978" s="23"/>
      <c r="D978" s="23"/>
      <c r="E978" s="23"/>
      <c r="F978" s="1"/>
      <c r="G978" s="23"/>
      <c r="H978" s="23"/>
      <c r="I978" s="23"/>
      <c r="J978" s="2"/>
      <c r="M978" s="40"/>
      <c r="N978" s="40"/>
      <c r="O978" s="2"/>
      <c r="AE978" s="24"/>
    </row>
    <row r="979">
      <c r="A979" s="11"/>
      <c r="B979" s="23"/>
      <c r="C979" s="23"/>
      <c r="D979" s="23"/>
      <c r="E979" s="23"/>
      <c r="F979" s="1"/>
      <c r="G979" s="23"/>
      <c r="H979" s="23"/>
      <c r="I979" s="23"/>
      <c r="J979" s="2"/>
      <c r="M979" s="40"/>
      <c r="N979" s="40"/>
      <c r="O979" s="2"/>
      <c r="AE979" s="24"/>
    </row>
    <row r="980">
      <c r="A980" s="11"/>
      <c r="B980" s="23"/>
      <c r="C980" s="23"/>
      <c r="D980" s="23"/>
      <c r="E980" s="23"/>
      <c r="F980" s="1"/>
      <c r="G980" s="23"/>
      <c r="H980" s="23"/>
      <c r="I980" s="23"/>
      <c r="J980" s="2"/>
      <c r="M980" s="40"/>
      <c r="N980" s="40"/>
      <c r="O980" s="2"/>
      <c r="AE980" s="24"/>
    </row>
    <row r="981">
      <c r="A981" s="11"/>
      <c r="B981" s="23"/>
      <c r="C981" s="23"/>
      <c r="D981" s="23"/>
      <c r="E981" s="23"/>
      <c r="F981" s="1"/>
      <c r="G981" s="23"/>
      <c r="H981" s="23"/>
      <c r="I981" s="23"/>
      <c r="J981" s="2"/>
      <c r="M981" s="40"/>
      <c r="N981" s="40"/>
      <c r="O981" s="2"/>
      <c r="AE981" s="24"/>
    </row>
    <row r="982">
      <c r="A982" s="11"/>
      <c r="B982" s="23"/>
      <c r="C982" s="23"/>
      <c r="D982" s="23"/>
      <c r="E982" s="23"/>
      <c r="F982" s="1"/>
      <c r="G982" s="23"/>
      <c r="H982" s="23"/>
      <c r="I982" s="23"/>
      <c r="J982" s="2"/>
      <c r="M982" s="40"/>
      <c r="N982" s="40"/>
      <c r="O982" s="2"/>
      <c r="AE982" s="24"/>
    </row>
    <row r="983">
      <c r="A983" s="11"/>
      <c r="B983" s="23"/>
      <c r="C983" s="23"/>
      <c r="D983" s="23"/>
      <c r="E983" s="23"/>
      <c r="F983" s="1"/>
      <c r="G983" s="23"/>
      <c r="H983" s="23"/>
      <c r="I983" s="23"/>
      <c r="J983" s="2"/>
      <c r="M983" s="40"/>
      <c r="N983" s="40"/>
      <c r="O983" s="2"/>
      <c r="AE983" s="24"/>
    </row>
    <row r="984">
      <c r="A984" s="11"/>
      <c r="B984" s="23"/>
      <c r="C984" s="23"/>
      <c r="D984" s="23"/>
      <c r="E984" s="23"/>
      <c r="F984" s="1"/>
      <c r="G984" s="23"/>
      <c r="H984" s="23"/>
      <c r="I984" s="23"/>
      <c r="J984" s="2"/>
      <c r="M984" s="40"/>
      <c r="N984" s="40"/>
      <c r="O984" s="2"/>
      <c r="AE984" s="24"/>
    </row>
    <row r="985">
      <c r="A985" s="11"/>
      <c r="B985" s="23"/>
      <c r="C985" s="23"/>
      <c r="D985" s="23"/>
      <c r="E985" s="23"/>
      <c r="F985" s="1"/>
      <c r="G985" s="23"/>
      <c r="H985" s="23"/>
      <c r="I985" s="23"/>
      <c r="J985" s="2"/>
      <c r="M985" s="40"/>
      <c r="N985" s="40"/>
      <c r="O985" s="2"/>
      <c r="AE985" s="24"/>
    </row>
    <row r="986">
      <c r="A986" s="11"/>
      <c r="B986" s="23"/>
      <c r="C986" s="23"/>
      <c r="D986" s="23"/>
      <c r="E986" s="23"/>
      <c r="F986" s="1"/>
      <c r="G986" s="23"/>
      <c r="H986" s="23"/>
      <c r="I986" s="23"/>
      <c r="J986" s="2"/>
      <c r="M986" s="40"/>
      <c r="N986" s="40"/>
      <c r="O986" s="2"/>
      <c r="AE986" s="24"/>
    </row>
    <row r="987">
      <c r="A987" s="11"/>
      <c r="B987" s="23"/>
      <c r="C987" s="23"/>
      <c r="D987" s="23"/>
      <c r="E987" s="23"/>
      <c r="F987" s="1"/>
      <c r="G987" s="23"/>
      <c r="H987" s="23"/>
      <c r="I987" s="23"/>
      <c r="J987" s="2"/>
      <c r="M987" s="40"/>
      <c r="N987" s="40"/>
      <c r="O987" s="2"/>
      <c r="AE987" s="24"/>
    </row>
    <row r="988">
      <c r="A988" s="11"/>
      <c r="B988" s="23"/>
      <c r="C988" s="23"/>
      <c r="D988" s="23"/>
      <c r="E988" s="23"/>
      <c r="F988" s="1"/>
      <c r="G988" s="23"/>
      <c r="H988" s="23"/>
      <c r="I988" s="23"/>
      <c r="J988" s="2"/>
      <c r="M988" s="40"/>
      <c r="N988" s="40"/>
      <c r="O988" s="2"/>
      <c r="AE988" s="24"/>
    </row>
    <row r="989">
      <c r="A989" s="11"/>
      <c r="B989" s="23"/>
      <c r="C989" s="23"/>
      <c r="D989" s="23"/>
      <c r="E989" s="23"/>
      <c r="F989" s="1"/>
      <c r="G989" s="23"/>
      <c r="H989" s="23"/>
      <c r="I989" s="23"/>
      <c r="J989" s="2"/>
      <c r="M989" s="40"/>
      <c r="N989" s="40"/>
      <c r="O989" s="2"/>
      <c r="AE989" s="24"/>
    </row>
    <row r="990">
      <c r="A990" s="11"/>
      <c r="B990" s="23"/>
      <c r="C990" s="23"/>
      <c r="D990" s="23"/>
      <c r="E990" s="23"/>
      <c r="F990" s="1"/>
      <c r="G990" s="23"/>
      <c r="H990" s="23"/>
      <c r="I990" s="23"/>
      <c r="J990" s="2"/>
      <c r="M990" s="40"/>
      <c r="N990" s="40"/>
      <c r="O990" s="2"/>
      <c r="AE990" s="24"/>
    </row>
    <row r="991">
      <c r="A991" s="11"/>
      <c r="B991" s="23"/>
      <c r="C991" s="23"/>
      <c r="D991" s="23"/>
      <c r="E991" s="23"/>
      <c r="F991" s="1"/>
      <c r="G991" s="23"/>
      <c r="H991" s="23"/>
      <c r="I991" s="23"/>
      <c r="J991" s="2"/>
      <c r="M991" s="40"/>
      <c r="N991" s="40"/>
      <c r="O991" s="2"/>
      <c r="AE991" s="24"/>
    </row>
    <row r="992">
      <c r="A992" s="11"/>
      <c r="B992" s="23"/>
      <c r="C992" s="23"/>
      <c r="D992" s="23"/>
      <c r="E992" s="23"/>
      <c r="F992" s="1"/>
      <c r="G992" s="23"/>
      <c r="H992" s="23"/>
      <c r="I992" s="23"/>
      <c r="J992" s="2"/>
      <c r="M992" s="40"/>
      <c r="N992" s="40"/>
      <c r="O992" s="2"/>
      <c r="AE992" s="24"/>
    </row>
    <row r="993">
      <c r="A993" s="11"/>
      <c r="B993" s="23"/>
      <c r="C993" s="23"/>
      <c r="D993" s="23"/>
      <c r="E993" s="23"/>
      <c r="F993" s="1"/>
      <c r="G993" s="23"/>
      <c r="H993" s="23"/>
      <c r="I993" s="23"/>
      <c r="J993" s="2"/>
      <c r="M993" s="40"/>
      <c r="N993" s="40"/>
      <c r="O993" s="2"/>
      <c r="AE993" s="24"/>
    </row>
    <row r="994">
      <c r="A994" s="11"/>
      <c r="B994" s="23"/>
      <c r="C994" s="23"/>
      <c r="D994" s="23"/>
      <c r="E994" s="23"/>
      <c r="F994" s="1"/>
      <c r="G994" s="23"/>
      <c r="H994" s="23"/>
      <c r="I994" s="23"/>
      <c r="J994" s="2"/>
      <c r="M994" s="40"/>
      <c r="N994" s="40"/>
      <c r="O994" s="2"/>
      <c r="AE994" s="24"/>
    </row>
    <row r="995">
      <c r="A995" s="11"/>
      <c r="B995" s="23"/>
      <c r="C995" s="23"/>
      <c r="D995" s="23"/>
      <c r="E995" s="23"/>
      <c r="F995" s="1"/>
      <c r="G995" s="23"/>
      <c r="H995" s="23"/>
      <c r="I995" s="23"/>
      <c r="J995" s="2"/>
      <c r="M995" s="40"/>
      <c r="N995" s="40"/>
      <c r="O995" s="2"/>
      <c r="AE995" s="24"/>
    </row>
    <row r="996">
      <c r="A996" s="11"/>
      <c r="B996" s="23"/>
      <c r="C996" s="23"/>
      <c r="D996" s="23"/>
      <c r="E996" s="23"/>
      <c r="F996" s="1"/>
      <c r="G996" s="23"/>
      <c r="H996" s="23"/>
      <c r="I996" s="23"/>
      <c r="J996" s="2"/>
      <c r="M996" s="40"/>
      <c r="N996" s="40"/>
      <c r="O996" s="2"/>
      <c r="AE996" s="24"/>
    </row>
    <row r="997">
      <c r="A997" s="11"/>
      <c r="B997" s="23"/>
      <c r="C997" s="23"/>
      <c r="D997" s="23"/>
      <c r="E997" s="23"/>
      <c r="F997" s="1"/>
      <c r="G997" s="23"/>
      <c r="H997" s="23"/>
      <c r="I997" s="23"/>
      <c r="J997" s="2"/>
      <c r="M997" s="40"/>
      <c r="N997" s="40"/>
      <c r="O997" s="2"/>
      <c r="AE997" s="24"/>
    </row>
    <row r="998">
      <c r="A998" s="11"/>
      <c r="B998" s="23"/>
      <c r="C998" s="23"/>
      <c r="D998" s="23"/>
      <c r="E998" s="23"/>
      <c r="F998" s="1"/>
      <c r="G998" s="23"/>
      <c r="H998" s="23"/>
      <c r="I998" s="23"/>
      <c r="J998" s="2"/>
      <c r="M998" s="40"/>
      <c r="N998" s="40"/>
      <c r="O998" s="2"/>
      <c r="AE998" s="24"/>
    </row>
    <row r="999">
      <c r="A999" s="11"/>
      <c r="B999" s="23"/>
      <c r="C999" s="23"/>
      <c r="D999" s="23"/>
      <c r="E999" s="23"/>
      <c r="F999" s="1"/>
      <c r="G999" s="23"/>
      <c r="H999" s="23"/>
      <c r="I999" s="23"/>
      <c r="J999" s="2"/>
      <c r="M999" s="40"/>
      <c r="N999" s="40"/>
      <c r="O999" s="2"/>
      <c r="AE999" s="24"/>
    </row>
    <row r="1000">
      <c r="A1000" s="11"/>
      <c r="B1000" s="23"/>
      <c r="C1000" s="23"/>
      <c r="D1000" s="23"/>
      <c r="E1000" s="23"/>
      <c r="F1000" s="1"/>
      <c r="G1000" s="23"/>
      <c r="H1000" s="23"/>
      <c r="I1000" s="23"/>
      <c r="J1000" s="2"/>
      <c r="M1000" s="40"/>
      <c r="N1000" s="40"/>
      <c r="O1000" s="2"/>
      <c r="AE1000" s="24"/>
    </row>
    <row r="1001">
      <c r="A1001" s="11"/>
      <c r="B1001" s="23"/>
      <c r="C1001" s="23"/>
      <c r="D1001" s="23"/>
      <c r="E1001" s="23"/>
      <c r="F1001" s="1"/>
      <c r="G1001" s="23"/>
      <c r="H1001" s="23"/>
      <c r="I1001" s="23"/>
      <c r="J1001" s="2"/>
      <c r="M1001" s="40"/>
      <c r="N1001" s="40"/>
      <c r="O1001" s="2"/>
      <c r="AE1001" s="24"/>
    </row>
    <row r="1002">
      <c r="A1002" s="11"/>
      <c r="B1002" s="23"/>
      <c r="C1002" s="23"/>
      <c r="D1002" s="23"/>
      <c r="E1002" s="23"/>
      <c r="F1002" s="1"/>
      <c r="G1002" s="23"/>
      <c r="H1002" s="23"/>
      <c r="I1002" s="23"/>
      <c r="J1002" s="2"/>
      <c r="M1002" s="40"/>
      <c r="N1002" s="40"/>
      <c r="O1002" s="2"/>
      <c r="AE1002" s="24"/>
    </row>
    <row r="1003">
      <c r="A1003" s="11"/>
      <c r="B1003" s="23"/>
      <c r="C1003" s="23"/>
      <c r="D1003" s="23"/>
      <c r="E1003" s="23"/>
      <c r="F1003" s="1"/>
      <c r="G1003" s="23"/>
      <c r="H1003" s="23"/>
      <c r="I1003" s="23"/>
      <c r="J1003" s="2"/>
      <c r="M1003" s="40"/>
      <c r="N1003" s="40"/>
      <c r="O1003" s="2"/>
      <c r="AE1003" s="24"/>
    </row>
    <row r="1004">
      <c r="A1004" s="11"/>
      <c r="B1004" s="23"/>
      <c r="C1004" s="23"/>
      <c r="D1004" s="23"/>
      <c r="E1004" s="23"/>
      <c r="F1004" s="1"/>
      <c r="G1004" s="23"/>
      <c r="H1004" s="23"/>
      <c r="I1004" s="23"/>
      <c r="J1004" s="2"/>
      <c r="M1004" s="40"/>
      <c r="N1004" s="40"/>
      <c r="O1004" s="2"/>
      <c r="AE1004" s="24"/>
    </row>
    <row r="1005">
      <c r="A1005" s="11"/>
      <c r="B1005" s="23"/>
      <c r="C1005" s="23"/>
      <c r="D1005" s="23"/>
      <c r="E1005" s="23"/>
      <c r="F1005" s="1"/>
      <c r="G1005" s="23"/>
      <c r="H1005" s="23"/>
      <c r="I1005" s="23"/>
      <c r="J1005" s="2"/>
      <c r="M1005" s="40"/>
      <c r="N1005" s="40"/>
      <c r="O1005" s="2"/>
      <c r="AE1005" s="24"/>
    </row>
    <row r="1006">
      <c r="A1006" s="11"/>
      <c r="B1006" s="23"/>
      <c r="C1006" s="23"/>
      <c r="D1006" s="23"/>
      <c r="E1006" s="23"/>
      <c r="F1006" s="1"/>
      <c r="G1006" s="23"/>
      <c r="H1006" s="23"/>
      <c r="I1006" s="23"/>
      <c r="J1006" s="2"/>
      <c r="M1006" s="40"/>
      <c r="N1006" s="40"/>
      <c r="O1006" s="2"/>
      <c r="AE1006" s="24"/>
    </row>
    <row r="1007">
      <c r="A1007" s="11"/>
      <c r="B1007" s="23"/>
      <c r="C1007" s="23"/>
      <c r="D1007" s="23"/>
      <c r="E1007" s="23"/>
      <c r="F1007" s="1"/>
      <c r="G1007" s="23"/>
      <c r="H1007" s="23"/>
      <c r="I1007" s="23"/>
      <c r="J1007" s="2"/>
      <c r="M1007" s="40"/>
      <c r="N1007" s="40"/>
      <c r="O1007" s="2"/>
      <c r="AE1007" s="24"/>
    </row>
    <row r="1008">
      <c r="A1008" s="11"/>
      <c r="B1008" s="23"/>
      <c r="C1008" s="23"/>
      <c r="D1008" s="23"/>
      <c r="E1008" s="23"/>
      <c r="F1008" s="1"/>
      <c r="G1008" s="23"/>
      <c r="H1008" s="23"/>
      <c r="I1008" s="23"/>
      <c r="J1008" s="2"/>
      <c r="M1008" s="40"/>
      <c r="N1008" s="40"/>
      <c r="O1008" s="2"/>
      <c r="AE1008" s="24"/>
    </row>
    <row r="1009">
      <c r="A1009" s="11"/>
      <c r="B1009" s="23"/>
      <c r="C1009" s="23"/>
      <c r="D1009" s="23"/>
      <c r="E1009" s="23"/>
      <c r="F1009" s="1"/>
      <c r="G1009" s="23"/>
      <c r="H1009" s="23"/>
      <c r="I1009" s="23"/>
      <c r="J1009" s="2"/>
      <c r="M1009" s="40"/>
      <c r="N1009" s="40"/>
      <c r="O1009" s="2"/>
      <c r="AE1009" s="24"/>
    </row>
    <row r="1010">
      <c r="A1010" s="11"/>
      <c r="B1010" s="23"/>
      <c r="C1010" s="23"/>
      <c r="D1010" s="23"/>
      <c r="E1010" s="23"/>
      <c r="F1010" s="1"/>
      <c r="G1010" s="23"/>
      <c r="H1010" s="23"/>
      <c r="I1010" s="23"/>
      <c r="J1010" s="2"/>
      <c r="M1010" s="40"/>
      <c r="N1010" s="40"/>
      <c r="O1010" s="2"/>
      <c r="AE1010" s="24"/>
    </row>
    <row r="1011">
      <c r="A1011" s="11"/>
      <c r="B1011" s="23"/>
      <c r="C1011" s="23"/>
      <c r="D1011" s="23"/>
      <c r="E1011" s="23"/>
      <c r="F1011" s="1"/>
      <c r="G1011" s="23"/>
      <c r="H1011" s="23"/>
      <c r="I1011" s="23"/>
      <c r="J1011" s="2"/>
      <c r="M1011" s="40"/>
      <c r="N1011" s="40"/>
      <c r="O1011" s="2"/>
      <c r="AE1011" s="24"/>
    </row>
    <row r="1012">
      <c r="A1012" s="11"/>
      <c r="B1012" s="23"/>
      <c r="C1012" s="23"/>
      <c r="D1012" s="23"/>
      <c r="E1012" s="23"/>
      <c r="F1012" s="1"/>
      <c r="G1012" s="23"/>
      <c r="H1012" s="23"/>
      <c r="I1012" s="23"/>
      <c r="J1012" s="2"/>
      <c r="M1012" s="40"/>
      <c r="N1012" s="40"/>
      <c r="O1012" s="2"/>
      <c r="AE1012" s="24"/>
    </row>
    <row r="1013">
      <c r="A1013" s="11"/>
      <c r="B1013" s="23"/>
      <c r="C1013" s="23"/>
      <c r="D1013" s="23"/>
      <c r="E1013" s="23"/>
      <c r="F1013" s="1"/>
      <c r="G1013" s="23"/>
      <c r="H1013" s="23"/>
      <c r="I1013" s="23"/>
      <c r="J1013" s="2"/>
      <c r="M1013" s="40"/>
      <c r="N1013" s="40"/>
      <c r="O1013" s="2"/>
      <c r="AE1013" s="24"/>
    </row>
    <row r="1014">
      <c r="A1014" s="11"/>
      <c r="B1014" s="23"/>
      <c r="C1014" s="23"/>
      <c r="D1014" s="23"/>
      <c r="E1014" s="23"/>
      <c r="F1014" s="1"/>
      <c r="G1014" s="23"/>
      <c r="H1014" s="23"/>
      <c r="I1014" s="23"/>
      <c r="J1014" s="2"/>
      <c r="M1014" s="40"/>
      <c r="N1014" s="40"/>
      <c r="O1014" s="2"/>
      <c r="AE1014" s="24"/>
    </row>
    <row r="1015">
      <c r="A1015" s="11"/>
      <c r="B1015" s="23"/>
      <c r="C1015" s="23"/>
      <c r="D1015" s="23"/>
      <c r="E1015" s="23"/>
      <c r="F1015" s="1"/>
      <c r="G1015" s="23"/>
      <c r="H1015" s="23"/>
      <c r="I1015" s="23"/>
      <c r="J1015" s="2"/>
      <c r="M1015" s="40"/>
      <c r="N1015" s="40"/>
      <c r="O1015" s="2"/>
      <c r="AE1015" s="24"/>
    </row>
    <row r="1016">
      <c r="A1016" s="11"/>
      <c r="B1016" s="23"/>
      <c r="C1016" s="23"/>
      <c r="D1016" s="23"/>
      <c r="E1016" s="23"/>
      <c r="F1016" s="1"/>
      <c r="G1016" s="23"/>
      <c r="H1016" s="23"/>
      <c r="I1016" s="23"/>
      <c r="J1016" s="2"/>
      <c r="M1016" s="40"/>
      <c r="N1016" s="40"/>
      <c r="O1016" s="2"/>
      <c r="AE1016" s="24"/>
    </row>
    <row r="1017">
      <c r="A1017" s="11"/>
      <c r="B1017" s="23"/>
      <c r="C1017" s="23"/>
      <c r="D1017" s="23"/>
      <c r="E1017" s="23"/>
      <c r="F1017" s="1"/>
      <c r="G1017" s="23"/>
      <c r="H1017" s="23"/>
      <c r="I1017" s="23"/>
      <c r="J1017" s="2"/>
      <c r="M1017" s="40"/>
      <c r="N1017" s="40"/>
      <c r="O1017" s="2"/>
      <c r="AE1017" s="24"/>
    </row>
    <row r="1018">
      <c r="A1018" s="11"/>
      <c r="B1018" s="23"/>
      <c r="C1018" s="23"/>
      <c r="D1018" s="23"/>
      <c r="E1018" s="23"/>
      <c r="F1018" s="1"/>
      <c r="G1018" s="23"/>
      <c r="H1018" s="23"/>
      <c r="I1018" s="23"/>
      <c r="J1018" s="2"/>
      <c r="M1018" s="40"/>
      <c r="N1018" s="40"/>
      <c r="O1018" s="2"/>
      <c r="AE1018" s="24"/>
    </row>
    <row r="1019">
      <c r="A1019" s="11"/>
      <c r="B1019" s="23"/>
      <c r="C1019" s="23"/>
      <c r="D1019" s="23"/>
      <c r="E1019" s="23"/>
      <c r="F1019" s="1"/>
      <c r="G1019" s="23"/>
      <c r="H1019" s="23"/>
      <c r="I1019" s="23"/>
      <c r="J1019" s="2"/>
      <c r="M1019" s="40"/>
      <c r="N1019" s="40"/>
      <c r="O1019" s="2"/>
      <c r="AE1019" s="24"/>
    </row>
    <row r="1020">
      <c r="A1020" s="11"/>
      <c r="B1020" s="23"/>
      <c r="C1020" s="23"/>
      <c r="D1020" s="23"/>
      <c r="E1020" s="23"/>
      <c r="F1020" s="1"/>
      <c r="G1020" s="23"/>
      <c r="H1020" s="23"/>
      <c r="I1020" s="23"/>
      <c r="J1020" s="2"/>
      <c r="M1020" s="40"/>
      <c r="N1020" s="40"/>
      <c r="O1020" s="2"/>
      <c r="AE1020" s="24"/>
    </row>
  </sheetData>
  <dataValidations>
    <dataValidation type="list" allowBlank="1" showErrorMessage="1" sqref="O2:O1020">
      <formula1>"Pre test (diagnóstico),Post test (cierre)"</formula1>
    </dataValidation>
    <dataValidation type="list" allowBlank="1" showErrorMessage="1" sqref="F2:F1020">
      <formula1>IIEE[Institución educativa]</formula1>
    </dataValidation>
    <dataValidation type="list" allowBlank="1" showErrorMessage="1" sqref="AE2:AE1020">
      <formula1>Facilitador_a[Facilitador/a]</formula1>
    </dataValidation>
    <dataValidation type="list" allowBlank="1" showErrorMessage="1" sqref="J2:J1020">
      <formula1>"Ini-3ero,Ini-4rto,Ini-5nto"</formula1>
    </dataValidation>
  </dataValidations>
  <drawing r:id="rId1"/>
  <tableParts count="7">
    <tablePart r:id="rId9"/>
    <tablePart r:id="rId10"/>
    <tablePart r:id="rId11"/>
    <tablePart r:id="rId12"/>
    <tablePart r:id="rId13"/>
    <tablePart r:id="rId14"/>
    <tablePart r:id="rId1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16" width="14.75"/>
  </cols>
  <sheetData>
    <row r="4">
      <c r="B4" s="2" t="str">
        <f>'Enc. Docentes'!J1</f>
        <v>Grado</v>
      </c>
      <c r="C4" s="42" t="str">
        <f t="array" ref="C4:P4">'Enc. Docentes'!P1:AC1</f>
        <v>Me doy cuenta rápidamente cuando una situación en el aula me genera frustración o estrés.</v>
      </c>
      <c r="D4" s="42" t="s">
        <v>4411</v>
      </c>
      <c r="E4" s="42" t="s">
        <v>4412</v>
      </c>
      <c r="F4" s="42" t="s">
        <v>4413</v>
      </c>
      <c r="G4" s="42" t="s">
        <v>4414</v>
      </c>
      <c r="H4" s="42" t="s">
        <v>4415</v>
      </c>
      <c r="I4" s="42" t="s">
        <v>4416</v>
      </c>
      <c r="J4" s="42" t="s">
        <v>4417</v>
      </c>
      <c r="K4" s="42" t="s">
        <v>4418</v>
      </c>
      <c r="L4" s="42" t="s">
        <v>4419</v>
      </c>
      <c r="M4" s="42" t="s">
        <v>4420</v>
      </c>
      <c r="N4" s="42" t="s">
        <v>4421</v>
      </c>
      <c r="O4" s="42" t="s">
        <v>4422</v>
      </c>
      <c r="P4" s="42" t="s">
        <v>4423</v>
      </c>
    </row>
    <row r="5">
      <c r="B5" s="2" t="str">
        <f t="array" ref="B5:B8">SORT(UNIQUE('Enc. Docentes'!J2:J1000))</f>
        <v>Ini-3ero</v>
      </c>
      <c r="C5" s="42" t="str">
        <f t="array" ref="C5:C10">SORT(UNIQUE('Enc. Docentes'!P2:P1000))</f>
        <v>De acuerdo</v>
      </c>
      <c r="D5" s="42" t="str">
        <f t="array" ref="D5:D9">SORT(UNIQUE('Enc. Docentes'!Q2:Q1000))</f>
        <v>De acuerdo</v>
      </c>
      <c r="E5" s="42" t="str">
        <f t="array" ref="E5:E10">SORT(UNIQUE('Enc. Docentes'!R2:R1000))</f>
        <v>De acuerdo</v>
      </c>
      <c r="F5" s="42" t="str">
        <f t="array" ref="F5:F9">SORT(UNIQUE('Enc. Docentes'!S2:S1000))</f>
        <v>De acuerdo</v>
      </c>
      <c r="G5" s="42" t="str">
        <f t="array" ref="G5:G8">SORT(UNIQUE('Enc. Docentes'!T2:T1000))</f>
        <v>De acuerdo</v>
      </c>
      <c r="H5" s="42" t="str">
        <f t="array" ref="H5:H9">SORT(UNIQUE('Enc. Docentes'!U2:U1000))</f>
        <v>De acuerdo</v>
      </c>
      <c r="I5" s="42" t="str">
        <f t="array" ref="I5:I9">SORT(UNIQUE('Enc. Docentes'!V2:V1000))</f>
        <v>De acuerdo</v>
      </c>
      <c r="J5" s="42" t="str">
        <f t="array" ref="J5:J9">SORT(UNIQUE('Enc. Docentes'!W2:W1000))</f>
        <v>De acuerdo</v>
      </c>
      <c r="K5" s="42" t="str">
        <f t="array" ref="K5:K9">SORT(UNIQUE('Enc. Docentes'!X2:X1000))</f>
        <v>De acuerdo</v>
      </c>
      <c r="L5" s="42" t="str">
        <f t="array" ref="L5:L8">SORT(UNIQUE('Enc. Docentes'!Y2:Y1000))</f>
        <v>De acuerdo</v>
      </c>
      <c r="M5" s="42" t="str">
        <f t="array" ref="M5:M10">SORT(UNIQUE('Enc. Docentes'!Z2:Z1000))</f>
        <v>De acuerdo</v>
      </c>
      <c r="N5" s="42" t="str">
        <f t="array" ref="N5:N9">SORT(UNIQUE('Enc. Docentes'!AA2:AA1000))</f>
        <v>De acuerdo</v>
      </c>
      <c r="O5" s="42" t="str">
        <f t="array" ref="O5:O10">SORT(UNIQUE('Enc. Docentes'!AB2:AB1000))</f>
        <v>De acuerdo</v>
      </c>
      <c r="P5" s="2" t="str">
        <f t="array" ref="P5:P144">SORT(UNIQUE('Enc. Docentes'!AC2:AC1000))</f>
        <v>1. Conflictos entre estudiantes: discusiones, peleas. 2. Ansiedad o estres. 3. Problemas personales.</v>
      </c>
    </row>
    <row r="6">
      <c r="B6" s="2" t="s">
        <v>112</v>
      </c>
      <c r="C6" s="42" t="s">
        <v>4426</v>
      </c>
      <c r="D6" s="42" t="s">
        <v>4426</v>
      </c>
      <c r="E6" s="42" t="s">
        <v>4426</v>
      </c>
      <c r="F6" s="42" t="s">
        <v>4426</v>
      </c>
      <c r="G6" s="42" t="s">
        <v>4425</v>
      </c>
      <c r="H6" s="42" t="s">
        <v>4426</v>
      </c>
      <c r="I6" s="42" t="s">
        <v>4426</v>
      </c>
      <c r="J6" s="42" t="s">
        <v>4426</v>
      </c>
      <c r="K6" s="42" t="s">
        <v>4426</v>
      </c>
      <c r="L6" s="42" t="s">
        <v>4425</v>
      </c>
      <c r="M6" s="42" t="s">
        <v>4426</v>
      </c>
      <c r="N6" s="42" t="s">
        <v>4426</v>
      </c>
      <c r="O6" s="42" t="s">
        <v>4426</v>
      </c>
      <c r="P6" s="2" t="s">
        <v>4529</v>
      </c>
    </row>
    <row r="7">
      <c r="B7" s="2" t="s">
        <v>108</v>
      </c>
      <c r="C7" s="42" t="s">
        <v>4425</v>
      </c>
      <c r="D7" s="42" t="s">
        <v>4425</v>
      </c>
      <c r="E7" s="42" t="s">
        <v>4425</v>
      </c>
      <c r="F7" s="42" t="s">
        <v>4425</v>
      </c>
      <c r="G7" s="42" t="s">
        <v>4428</v>
      </c>
      <c r="H7" s="42" t="s">
        <v>4425</v>
      </c>
      <c r="I7" s="42" t="s">
        <v>4425</v>
      </c>
      <c r="J7" s="42" t="s">
        <v>4425</v>
      </c>
      <c r="K7" s="42" t="s">
        <v>4425</v>
      </c>
      <c r="L7" s="42" t="s">
        <v>4428</v>
      </c>
      <c r="M7" s="42" t="s">
        <v>4425</v>
      </c>
      <c r="N7" s="42" t="s">
        <v>4425</v>
      </c>
      <c r="O7" s="42" t="s">
        <v>4425</v>
      </c>
      <c r="P7" s="2" t="s">
        <v>4450</v>
      </c>
    </row>
    <row r="8">
      <c r="B8" s="2"/>
      <c r="C8" s="42" t="s">
        <v>4428</v>
      </c>
      <c r="D8" s="42" t="s">
        <v>4428</v>
      </c>
      <c r="E8" s="42" t="s">
        <v>4428</v>
      </c>
      <c r="F8" s="42" t="s">
        <v>4428</v>
      </c>
      <c r="G8" s="42"/>
      <c r="H8" s="42" t="s">
        <v>4428</v>
      </c>
      <c r="I8" s="42" t="s">
        <v>4428</v>
      </c>
      <c r="J8" s="42" t="s">
        <v>4428</v>
      </c>
      <c r="K8" s="42" t="s">
        <v>4428</v>
      </c>
      <c r="L8" s="42"/>
      <c r="M8" s="42" t="s">
        <v>4428</v>
      </c>
      <c r="N8" s="42" t="s">
        <v>4428</v>
      </c>
      <c r="O8" s="42" t="s">
        <v>4428</v>
      </c>
      <c r="P8" s="2" t="s">
        <v>4434</v>
      </c>
    </row>
    <row r="9">
      <c r="C9" s="42" t="s">
        <v>4437</v>
      </c>
      <c r="D9" s="42"/>
      <c r="E9" s="42" t="s">
        <v>4437</v>
      </c>
      <c r="F9" s="42"/>
      <c r="G9" s="42"/>
      <c r="H9" s="42"/>
      <c r="I9" s="42"/>
      <c r="J9" s="42"/>
      <c r="K9" s="42"/>
      <c r="L9" s="42"/>
      <c r="M9" s="42" t="s">
        <v>4437</v>
      </c>
      <c r="N9" s="42"/>
      <c r="O9" s="42" t="s">
        <v>4437</v>
      </c>
      <c r="P9" s="2" t="s">
        <v>4571</v>
      </c>
    </row>
    <row r="10">
      <c r="C10" s="42"/>
      <c r="D10" s="42"/>
      <c r="E10" s="42"/>
      <c r="F10" s="42"/>
      <c r="G10" s="42"/>
      <c r="H10" s="42"/>
      <c r="I10" s="42"/>
      <c r="J10" s="42"/>
      <c r="K10" s="42"/>
      <c r="L10" s="42"/>
      <c r="M10" s="42"/>
      <c r="N10" s="42"/>
      <c r="O10" s="42"/>
      <c r="P10" s="2" t="s">
        <v>4468</v>
      </c>
    </row>
    <row r="11">
      <c r="C11" s="42"/>
      <c r="D11" s="42"/>
      <c r="E11" s="42"/>
      <c r="F11" s="42"/>
      <c r="G11" s="42"/>
      <c r="H11" s="42"/>
      <c r="I11" s="42"/>
      <c r="J11" s="42"/>
      <c r="K11" s="42"/>
      <c r="L11" s="42"/>
      <c r="M11" s="42"/>
      <c r="N11" s="42"/>
      <c r="O11" s="42"/>
      <c r="P11" s="2" t="s">
        <v>4560</v>
      </c>
    </row>
    <row r="12">
      <c r="P12" s="2" t="s">
        <v>4544</v>
      </c>
    </row>
    <row r="13">
      <c r="P13" s="2" t="s">
        <v>4466</v>
      </c>
    </row>
    <row r="14">
      <c r="P14" s="2" t="s">
        <v>4484</v>
      </c>
    </row>
    <row r="15">
      <c r="P15" s="2" t="s">
        <v>4567</v>
      </c>
    </row>
    <row r="16">
      <c r="P16" s="2" t="s">
        <v>4477</v>
      </c>
    </row>
    <row r="17">
      <c r="P17" s="2" t="s">
        <v>4576</v>
      </c>
    </row>
    <row r="18">
      <c r="P18" s="2" t="s">
        <v>4453</v>
      </c>
    </row>
    <row r="19">
      <c r="P19" s="2" t="s">
        <v>4580</v>
      </c>
    </row>
    <row r="20">
      <c r="P20" s="2" t="s">
        <v>4452</v>
      </c>
    </row>
    <row r="21">
      <c r="P21" s="2" t="s">
        <v>4546</v>
      </c>
    </row>
    <row r="22">
      <c r="P22" s="2" t="s">
        <v>4565</v>
      </c>
    </row>
    <row r="23">
      <c r="P23" s="2" t="s">
        <v>4435</v>
      </c>
    </row>
    <row r="24">
      <c r="P24" s="2" t="s">
        <v>4533</v>
      </c>
    </row>
    <row r="25">
      <c r="P25" s="2" t="s">
        <v>4512</v>
      </c>
    </row>
    <row r="26">
      <c r="P26" s="2" t="s">
        <v>4476</v>
      </c>
    </row>
    <row r="27">
      <c r="P27" s="2" t="s">
        <v>4555</v>
      </c>
    </row>
    <row r="28">
      <c r="P28" s="2" t="s">
        <v>4523</v>
      </c>
    </row>
    <row r="29">
      <c r="P29" s="2" t="s">
        <v>4460</v>
      </c>
    </row>
    <row r="30">
      <c r="P30" s="2" t="s">
        <v>4449</v>
      </c>
    </row>
    <row r="31">
      <c r="P31" s="2" t="s">
        <v>4431</v>
      </c>
    </row>
    <row r="32">
      <c r="P32" s="2" t="s">
        <v>4516</v>
      </c>
    </row>
    <row r="33">
      <c r="P33" s="2" t="s">
        <v>4433</v>
      </c>
    </row>
    <row r="34">
      <c r="P34" s="2" t="s">
        <v>4535</v>
      </c>
    </row>
    <row r="35">
      <c r="P35" s="2" t="s">
        <v>4490</v>
      </c>
    </row>
    <row r="36">
      <c r="P36" s="2" t="s">
        <v>4526</v>
      </c>
    </row>
    <row r="37">
      <c r="P37" s="2" t="s">
        <v>4492</v>
      </c>
    </row>
    <row r="38">
      <c r="P38" s="2" t="s">
        <v>4496</v>
      </c>
    </row>
    <row r="39">
      <c r="P39" s="2" t="s">
        <v>4524</v>
      </c>
    </row>
    <row r="40">
      <c r="P40" s="2" t="s">
        <v>4502</v>
      </c>
    </row>
    <row r="41">
      <c r="P41" s="2" t="s">
        <v>4489</v>
      </c>
    </row>
    <row r="42">
      <c r="P42" s="2" t="s">
        <v>4461</v>
      </c>
    </row>
    <row r="43">
      <c r="P43" s="2" t="s">
        <v>4554</v>
      </c>
    </row>
    <row r="44">
      <c r="P44" s="2" t="s">
        <v>4528</v>
      </c>
    </row>
    <row r="45">
      <c r="P45" s="2" t="s">
        <v>4550</v>
      </c>
    </row>
    <row r="46">
      <c r="P46" s="2" t="s">
        <v>4520</v>
      </c>
    </row>
    <row r="47">
      <c r="P47" s="2" t="s">
        <v>4455</v>
      </c>
    </row>
    <row r="48">
      <c r="P48" s="2" t="s">
        <v>4447</v>
      </c>
    </row>
    <row r="49">
      <c r="P49" s="2" t="s">
        <v>4525</v>
      </c>
    </row>
    <row r="50">
      <c r="P50" s="2" t="s">
        <v>4494</v>
      </c>
    </row>
    <row r="51">
      <c r="P51" s="2" t="s">
        <v>4464</v>
      </c>
    </row>
    <row r="52">
      <c r="P52" s="2" t="s">
        <v>4575</v>
      </c>
    </row>
    <row r="53">
      <c r="P53" s="2" t="s">
        <v>4527</v>
      </c>
    </row>
    <row r="54">
      <c r="P54" s="2" t="s">
        <v>4439</v>
      </c>
    </row>
    <row r="55">
      <c r="P55" s="2" t="s">
        <v>4478</v>
      </c>
    </row>
    <row r="56">
      <c r="P56" s="2" t="s">
        <v>4445</v>
      </c>
    </row>
    <row r="57">
      <c r="P57" s="2" t="s">
        <v>4586</v>
      </c>
    </row>
    <row r="58">
      <c r="P58" s="2" t="s">
        <v>4427</v>
      </c>
    </row>
    <row r="59">
      <c r="P59" s="2" t="s">
        <v>4568</v>
      </c>
    </row>
    <row r="60">
      <c r="P60" s="2" t="s">
        <v>4503</v>
      </c>
    </row>
    <row r="61">
      <c r="P61" s="2" t="s">
        <v>4551</v>
      </c>
    </row>
    <row r="62">
      <c r="P62" s="2" t="s">
        <v>4562</v>
      </c>
    </row>
    <row r="63">
      <c r="P63" s="2" t="s">
        <v>4500</v>
      </c>
    </row>
    <row r="64">
      <c r="P64" s="2" t="s">
        <v>4573</v>
      </c>
    </row>
    <row r="65">
      <c r="P65" s="2" t="s">
        <v>4448</v>
      </c>
    </row>
    <row r="66">
      <c r="P66" s="2" t="s">
        <v>4488</v>
      </c>
    </row>
    <row r="67">
      <c r="P67" s="2" t="s">
        <v>4482</v>
      </c>
    </row>
    <row r="68">
      <c r="P68" s="2" t="s">
        <v>4578</v>
      </c>
    </row>
    <row r="69">
      <c r="P69" s="2" t="s">
        <v>4581</v>
      </c>
    </row>
    <row r="70">
      <c r="P70" s="2" t="s">
        <v>4552</v>
      </c>
    </row>
    <row r="71">
      <c r="P71" s="2" t="s">
        <v>4440</v>
      </c>
    </row>
    <row r="72">
      <c r="P72" s="2" t="s">
        <v>4518</v>
      </c>
    </row>
    <row r="73">
      <c r="P73" s="2" t="s">
        <v>4574</v>
      </c>
    </row>
    <row r="74">
      <c r="P74" s="2" t="s">
        <v>4483</v>
      </c>
    </row>
    <row r="75">
      <c r="P75" s="2" t="s">
        <v>4582</v>
      </c>
    </row>
    <row r="76">
      <c r="P76" s="2" t="s">
        <v>4474</v>
      </c>
    </row>
    <row r="77">
      <c r="P77" s="2" t="s">
        <v>4531</v>
      </c>
    </row>
    <row r="78">
      <c r="P78" s="2" t="s">
        <v>4493</v>
      </c>
    </row>
    <row r="79">
      <c r="P79" s="2" t="s">
        <v>4508</v>
      </c>
    </row>
    <row r="80">
      <c r="P80" s="2" t="s">
        <v>4558</v>
      </c>
    </row>
    <row r="81">
      <c r="P81" s="2" t="s">
        <v>4570</v>
      </c>
    </row>
    <row r="82">
      <c r="P82" s="2" t="s">
        <v>4471</v>
      </c>
    </row>
    <row r="83">
      <c r="P83" s="2" t="s">
        <v>4548</v>
      </c>
    </row>
    <row r="84">
      <c r="P84" s="2" t="s">
        <v>4456</v>
      </c>
    </row>
    <row r="85">
      <c r="P85" s="2" t="s">
        <v>4566</v>
      </c>
    </row>
    <row r="86">
      <c r="P86" s="2" t="s">
        <v>4585</v>
      </c>
    </row>
    <row r="87">
      <c r="P87" s="2" t="s">
        <v>4584</v>
      </c>
    </row>
    <row r="88">
      <c r="P88" s="2" t="s">
        <v>4486</v>
      </c>
    </row>
    <row r="89">
      <c r="P89" s="2" t="s">
        <v>4530</v>
      </c>
    </row>
    <row r="90">
      <c r="P90" s="2" t="s">
        <v>4542</v>
      </c>
    </row>
    <row r="91">
      <c r="P91" s="2" t="s">
        <v>4454</v>
      </c>
    </row>
    <row r="92">
      <c r="P92" s="2" t="s">
        <v>4563</v>
      </c>
    </row>
    <row r="93">
      <c r="P93" s="2" t="s">
        <v>4457</v>
      </c>
    </row>
    <row r="94">
      <c r="P94" s="2" t="s">
        <v>4438</v>
      </c>
    </row>
    <row r="95">
      <c r="P95" s="2" t="s">
        <v>4491</v>
      </c>
    </row>
    <row r="96">
      <c r="P96" s="2" t="s">
        <v>4473</v>
      </c>
    </row>
    <row r="97">
      <c r="P97" s="2" t="s">
        <v>4432</v>
      </c>
    </row>
    <row r="98">
      <c r="P98" s="2" t="s">
        <v>4572</v>
      </c>
    </row>
    <row r="99">
      <c r="P99" s="2" t="s">
        <v>4514</v>
      </c>
    </row>
    <row r="100">
      <c r="P100" s="2" t="s">
        <v>4553</v>
      </c>
    </row>
    <row r="101">
      <c r="P101" s="2" t="s">
        <v>4467</v>
      </c>
    </row>
    <row r="102">
      <c r="P102" s="2" t="s">
        <v>4517</v>
      </c>
    </row>
    <row r="103">
      <c r="P103" s="2" t="s">
        <v>4485</v>
      </c>
    </row>
    <row r="104">
      <c r="P104" s="2" t="s">
        <v>4547</v>
      </c>
    </row>
    <row r="105">
      <c r="P105" s="2" t="s">
        <v>4579</v>
      </c>
    </row>
    <row r="106">
      <c r="P106" s="2" t="s">
        <v>4536</v>
      </c>
    </row>
    <row r="107">
      <c r="P107" s="2" t="s">
        <v>4462</v>
      </c>
    </row>
    <row r="108">
      <c r="P108" s="2" t="s">
        <v>4446</v>
      </c>
    </row>
    <row r="109">
      <c r="P109" s="2" t="s">
        <v>4539</v>
      </c>
    </row>
    <row r="110">
      <c r="P110" s="2" t="s">
        <v>4545</v>
      </c>
    </row>
    <row r="111">
      <c r="P111" s="2" t="s">
        <v>4472</v>
      </c>
    </row>
    <row r="112">
      <c r="P112" s="2" t="s">
        <v>4481</v>
      </c>
    </row>
    <row r="113">
      <c r="P113" s="2" t="s">
        <v>4583</v>
      </c>
    </row>
    <row r="114">
      <c r="P114" s="2" t="s">
        <v>4458</v>
      </c>
    </row>
    <row r="115">
      <c r="P115" s="2" t="s">
        <v>4436</v>
      </c>
    </row>
    <row r="116">
      <c r="P116" s="2" t="s">
        <v>4549</v>
      </c>
    </row>
    <row r="117">
      <c r="P117" s="2" t="s">
        <v>4475</v>
      </c>
    </row>
    <row r="118">
      <c r="P118" s="2" t="s">
        <v>4451</v>
      </c>
    </row>
    <row r="119">
      <c r="P119" s="2" t="s">
        <v>4559</v>
      </c>
    </row>
    <row r="120">
      <c r="P120" s="2" t="s">
        <v>4510</v>
      </c>
    </row>
    <row r="121">
      <c r="P121" s="2" t="s">
        <v>4564</v>
      </c>
    </row>
    <row r="122">
      <c r="P122" s="2" t="s">
        <v>4480</v>
      </c>
    </row>
    <row r="123">
      <c r="P123" s="2" t="s">
        <v>4498</v>
      </c>
    </row>
    <row r="124">
      <c r="P124" s="2" t="s">
        <v>4487</v>
      </c>
    </row>
    <row r="125">
      <c r="P125" s="2" t="s">
        <v>4505</v>
      </c>
    </row>
    <row r="126">
      <c r="P126" s="2" t="s">
        <v>4444</v>
      </c>
    </row>
    <row r="127">
      <c r="P127" s="2" t="s">
        <v>4442</v>
      </c>
    </row>
    <row r="128">
      <c r="P128" s="2" t="s">
        <v>4459</v>
      </c>
    </row>
    <row r="129">
      <c r="P129" s="2" t="s">
        <v>4513</v>
      </c>
    </row>
    <row r="130">
      <c r="P130" s="2" t="s">
        <v>4561</v>
      </c>
    </row>
    <row r="131">
      <c r="P131" s="2" t="s">
        <v>4532</v>
      </c>
    </row>
    <row r="132">
      <c r="P132" s="2" t="s">
        <v>4537</v>
      </c>
    </row>
    <row r="133">
      <c r="P133" s="2" t="s">
        <v>4506</v>
      </c>
    </row>
    <row r="134">
      <c r="P134" s="2" t="s">
        <v>4534</v>
      </c>
    </row>
    <row r="135">
      <c r="P135" s="2" t="s">
        <v>4522</v>
      </c>
    </row>
    <row r="136">
      <c r="P136" s="2" t="s">
        <v>4429</v>
      </c>
    </row>
    <row r="137">
      <c r="P137" s="2" t="s">
        <v>4499</v>
      </c>
    </row>
    <row r="138">
      <c r="P138" s="2" t="s">
        <v>4507</v>
      </c>
    </row>
    <row r="139">
      <c r="P139" s="2" t="s">
        <v>4541</v>
      </c>
    </row>
    <row r="140">
      <c r="P140" s="2" t="s">
        <v>4556</v>
      </c>
    </row>
    <row r="141">
      <c r="P141" s="2" t="s">
        <v>4463</v>
      </c>
    </row>
    <row r="142">
      <c r="P142" s="2" t="s">
        <v>4577</v>
      </c>
    </row>
    <row r="143">
      <c r="P143" s="2" t="s">
        <v>4569</v>
      </c>
    </row>
    <row r="144">
      <c r="P144"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4" width="9.38"/>
    <col customWidth="1" min="5" max="5" width="16.63"/>
    <col customWidth="1" min="6" max="6" width="28.0"/>
    <col customWidth="1" min="7" max="7" width="17.88"/>
    <col customWidth="1" min="8" max="8" width="11.25"/>
    <col customWidth="1" min="9" max="9" width="8.5"/>
    <col customWidth="1" min="10" max="10" width="20.38"/>
    <col customWidth="1" min="11" max="11" width="32.75"/>
    <col customWidth="1" min="12" max="12" width="11.0"/>
    <col customWidth="1" min="13" max="13" width="21.63"/>
    <col customWidth="1" min="14" max="14" width="13.0"/>
    <col customWidth="1" min="15" max="15" width="23.88"/>
  </cols>
  <sheetData>
    <row r="1">
      <c r="A1" s="3" t="s">
        <v>51</v>
      </c>
      <c r="B1" s="4" t="s">
        <v>0</v>
      </c>
      <c r="C1" s="4" t="s">
        <v>1</v>
      </c>
      <c r="D1" s="4" t="s">
        <v>2</v>
      </c>
      <c r="E1" s="4" t="s">
        <v>3</v>
      </c>
      <c r="F1" s="5" t="s">
        <v>4</v>
      </c>
      <c r="G1" s="4" t="s">
        <v>52</v>
      </c>
      <c r="H1" s="4" t="s">
        <v>53</v>
      </c>
      <c r="I1" s="4" t="s">
        <v>54</v>
      </c>
      <c r="J1" s="6" t="s">
        <v>4587</v>
      </c>
      <c r="K1" s="6" t="s">
        <v>4588</v>
      </c>
      <c r="L1" s="6" t="s">
        <v>4589</v>
      </c>
      <c r="M1" s="6" t="s">
        <v>169</v>
      </c>
      <c r="N1" s="6" t="s">
        <v>4590</v>
      </c>
      <c r="O1" s="10" t="s">
        <v>64</v>
      </c>
    </row>
    <row r="2">
      <c r="A2" s="11"/>
      <c r="B2" s="12" t="s">
        <v>34</v>
      </c>
      <c r="C2" s="12" t="s">
        <v>65</v>
      </c>
      <c r="D2" s="12" t="s">
        <v>43</v>
      </c>
      <c r="E2" s="12" t="s">
        <v>224</v>
      </c>
      <c r="F2" s="33" t="s">
        <v>225</v>
      </c>
      <c r="G2" s="12" t="s">
        <v>68</v>
      </c>
      <c r="H2" s="12" t="s">
        <v>226</v>
      </c>
      <c r="I2" s="12" t="s">
        <v>227</v>
      </c>
      <c r="J2" s="17" t="s">
        <v>4591</v>
      </c>
      <c r="K2" s="17" t="s">
        <v>4592</v>
      </c>
      <c r="L2" s="17" t="s">
        <v>4593</v>
      </c>
      <c r="M2" s="17" t="s">
        <v>194</v>
      </c>
      <c r="O2" s="18" t="s">
        <v>76</v>
      </c>
    </row>
    <row r="3">
      <c r="A3" s="11"/>
      <c r="B3" s="12" t="s">
        <v>34</v>
      </c>
      <c r="C3" s="12" t="s">
        <v>65</v>
      </c>
      <c r="D3" s="12" t="s">
        <v>43</v>
      </c>
      <c r="E3" s="12" t="s">
        <v>224</v>
      </c>
      <c r="F3" s="33" t="s">
        <v>225</v>
      </c>
      <c r="G3" s="12" t="s">
        <v>68</v>
      </c>
      <c r="H3" s="12" t="s">
        <v>226</v>
      </c>
      <c r="I3" s="12" t="s">
        <v>227</v>
      </c>
      <c r="J3" s="17" t="s">
        <v>4591</v>
      </c>
      <c r="K3" s="17" t="s">
        <v>4594</v>
      </c>
      <c r="L3" s="17" t="s">
        <v>4593</v>
      </c>
      <c r="M3" s="17" t="s">
        <v>194</v>
      </c>
      <c r="O3" s="18" t="s">
        <v>76</v>
      </c>
    </row>
    <row r="4">
      <c r="A4" s="11"/>
      <c r="B4" s="12" t="s">
        <v>34</v>
      </c>
      <c r="C4" s="12" t="s">
        <v>65</v>
      </c>
      <c r="D4" s="12" t="s">
        <v>43</v>
      </c>
      <c r="E4" s="12" t="s">
        <v>224</v>
      </c>
      <c r="F4" s="33" t="s">
        <v>225</v>
      </c>
      <c r="G4" s="12" t="s">
        <v>68</v>
      </c>
      <c r="H4" s="12" t="s">
        <v>226</v>
      </c>
      <c r="I4" s="12" t="s">
        <v>227</v>
      </c>
      <c r="J4" s="17" t="s">
        <v>4591</v>
      </c>
      <c r="K4" s="17" t="s">
        <v>4595</v>
      </c>
      <c r="L4" s="17" t="s">
        <v>4593</v>
      </c>
      <c r="M4" s="17" t="s">
        <v>194</v>
      </c>
      <c r="O4" s="18" t="s">
        <v>76</v>
      </c>
    </row>
    <row r="5">
      <c r="A5" s="11"/>
      <c r="B5" s="12" t="s">
        <v>34</v>
      </c>
      <c r="C5" s="12" t="s">
        <v>65</v>
      </c>
      <c r="D5" s="12" t="s">
        <v>43</v>
      </c>
      <c r="E5" s="12" t="s">
        <v>224</v>
      </c>
      <c r="F5" s="33" t="s">
        <v>225</v>
      </c>
      <c r="G5" s="12" t="s">
        <v>68</v>
      </c>
      <c r="H5" s="12" t="s">
        <v>226</v>
      </c>
      <c r="I5" s="12" t="s">
        <v>227</v>
      </c>
      <c r="J5" s="17" t="s">
        <v>4591</v>
      </c>
      <c r="K5" s="17" t="s">
        <v>4596</v>
      </c>
      <c r="L5" s="17" t="s">
        <v>4593</v>
      </c>
      <c r="M5" s="17" t="s">
        <v>194</v>
      </c>
      <c r="O5" s="18" t="s">
        <v>76</v>
      </c>
    </row>
    <row r="6">
      <c r="A6" s="11"/>
      <c r="B6" s="12" t="s">
        <v>34</v>
      </c>
      <c r="C6" s="12" t="s">
        <v>65</v>
      </c>
      <c r="D6" s="12" t="s">
        <v>43</v>
      </c>
      <c r="E6" s="12" t="s">
        <v>224</v>
      </c>
      <c r="F6" s="33" t="s">
        <v>225</v>
      </c>
      <c r="G6" s="12" t="s">
        <v>68</v>
      </c>
      <c r="H6" s="12" t="s">
        <v>226</v>
      </c>
      <c r="I6" s="12" t="s">
        <v>227</v>
      </c>
      <c r="J6" s="17" t="s">
        <v>4597</v>
      </c>
      <c r="K6" s="17" t="s">
        <v>4598</v>
      </c>
      <c r="L6" s="17" t="s">
        <v>4599</v>
      </c>
      <c r="M6" s="17" t="s">
        <v>194</v>
      </c>
      <c r="O6" s="18" t="s">
        <v>76</v>
      </c>
    </row>
    <row r="7">
      <c r="A7" s="11"/>
      <c r="B7" s="12" t="s">
        <v>34</v>
      </c>
      <c r="C7" s="12" t="s">
        <v>65</v>
      </c>
      <c r="D7" s="12" t="s">
        <v>43</v>
      </c>
      <c r="E7" s="12" t="s">
        <v>224</v>
      </c>
      <c r="F7" s="33" t="s">
        <v>225</v>
      </c>
      <c r="G7" s="12" t="s">
        <v>68</v>
      </c>
      <c r="H7" s="12" t="s">
        <v>226</v>
      </c>
      <c r="I7" s="12" t="s">
        <v>227</v>
      </c>
      <c r="J7" s="17" t="s">
        <v>4597</v>
      </c>
      <c r="K7" s="17" t="s">
        <v>4600</v>
      </c>
      <c r="L7" s="17" t="s">
        <v>4599</v>
      </c>
      <c r="M7" s="17" t="s">
        <v>194</v>
      </c>
      <c r="O7" s="18" t="s">
        <v>76</v>
      </c>
    </row>
    <row r="8">
      <c r="A8" s="11"/>
      <c r="B8" s="12" t="s">
        <v>34</v>
      </c>
      <c r="C8" s="12" t="s">
        <v>65</v>
      </c>
      <c r="D8" s="12" t="s">
        <v>43</v>
      </c>
      <c r="E8" s="12" t="s">
        <v>224</v>
      </c>
      <c r="F8" s="33" t="s">
        <v>225</v>
      </c>
      <c r="G8" s="12" t="s">
        <v>68</v>
      </c>
      <c r="H8" s="12" t="s">
        <v>226</v>
      </c>
      <c r="I8" s="12" t="s">
        <v>227</v>
      </c>
      <c r="J8" s="17" t="s">
        <v>4597</v>
      </c>
      <c r="K8" s="17" t="s">
        <v>4601</v>
      </c>
      <c r="L8" s="17" t="s">
        <v>4599</v>
      </c>
      <c r="M8" s="17" t="s">
        <v>194</v>
      </c>
      <c r="O8" s="18" t="s">
        <v>76</v>
      </c>
    </row>
    <row r="9">
      <c r="A9" s="11"/>
      <c r="B9" s="12" t="s">
        <v>34</v>
      </c>
      <c r="C9" s="12" t="s">
        <v>65</v>
      </c>
      <c r="D9" s="12" t="s">
        <v>43</v>
      </c>
      <c r="E9" s="12" t="s">
        <v>224</v>
      </c>
      <c r="F9" s="33" t="s">
        <v>225</v>
      </c>
      <c r="G9" s="12" t="s">
        <v>68</v>
      </c>
      <c r="H9" s="12" t="s">
        <v>226</v>
      </c>
      <c r="I9" s="12" t="s">
        <v>227</v>
      </c>
      <c r="J9" s="17" t="s">
        <v>4597</v>
      </c>
      <c r="K9" s="17" t="s">
        <v>4602</v>
      </c>
      <c r="L9" s="17" t="s">
        <v>4599</v>
      </c>
      <c r="M9" s="17" t="s">
        <v>194</v>
      </c>
      <c r="O9" s="18" t="s">
        <v>76</v>
      </c>
    </row>
    <row r="10">
      <c r="A10" s="11"/>
      <c r="B10" s="12" t="s">
        <v>34</v>
      </c>
      <c r="C10" s="12" t="s">
        <v>65</v>
      </c>
      <c r="D10" s="12" t="s">
        <v>43</v>
      </c>
      <c r="E10" s="12" t="s">
        <v>224</v>
      </c>
      <c r="F10" s="33" t="s">
        <v>225</v>
      </c>
      <c r="G10" s="12" t="s">
        <v>68</v>
      </c>
      <c r="H10" s="12" t="s">
        <v>226</v>
      </c>
      <c r="I10" s="12" t="s">
        <v>227</v>
      </c>
      <c r="J10" s="17" t="s">
        <v>4597</v>
      </c>
      <c r="K10" s="17" t="s">
        <v>4603</v>
      </c>
      <c r="L10" s="17" t="s">
        <v>4593</v>
      </c>
      <c r="M10" s="17" t="s">
        <v>194</v>
      </c>
      <c r="O10" s="18" t="s">
        <v>76</v>
      </c>
    </row>
    <row r="11">
      <c r="A11" s="11"/>
      <c r="B11" s="12" t="s">
        <v>43</v>
      </c>
      <c r="C11" s="12" t="s">
        <v>65</v>
      </c>
      <c r="D11" s="12" t="s">
        <v>321</v>
      </c>
      <c r="E11" s="12" t="s">
        <v>321</v>
      </c>
      <c r="F11" s="33" t="s">
        <v>322</v>
      </c>
      <c r="G11" s="12" t="s">
        <v>68</v>
      </c>
      <c r="H11" s="12" t="s">
        <v>323</v>
      </c>
      <c r="I11" s="12" t="s">
        <v>324</v>
      </c>
      <c r="J11" s="17" t="s">
        <v>4591</v>
      </c>
      <c r="K11" s="17" t="s">
        <v>4592</v>
      </c>
      <c r="L11" s="17" t="s">
        <v>4593</v>
      </c>
      <c r="M11" s="17" t="s">
        <v>194</v>
      </c>
      <c r="O11" s="18" t="s">
        <v>76</v>
      </c>
    </row>
    <row r="12">
      <c r="A12" s="11"/>
      <c r="B12" s="12" t="s">
        <v>43</v>
      </c>
      <c r="C12" s="12" t="s">
        <v>65</v>
      </c>
      <c r="D12" s="12" t="s">
        <v>321</v>
      </c>
      <c r="E12" s="12" t="s">
        <v>321</v>
      </c>
      <c r="F12" s="33" t="s">
        <v>322</v>
      </c>
      <c r="G12" s="12" t="s">
        <v>68</v>
      </c>
      <c r="H12" s="12" t="s">
        <v>323</v>
      </c>
      <c r="I12" s="12" t="s">
        <v>324</v>
      </c>
      <c r="J12" s="17" t="s">
        <v>4591</v>
      </c>
      <c r="K12" s="17" t="s">
        <v>4594</v>
      </c>
      <c r="L12" s="17" t="s">
        <v>4593</v>
      </c>
      <c r="M12" s="17" t="s">
        <v>194</v>
      </c>
      <c r="O12" s="18" t="s">
        <v>76</v>
      </c>
    </row>
    <row r="13">
      <c r="A13" s="11"/>
      <c r="B13" s="12" t="s">
        <v>43</v>
      </c>
      <c r="C13" s="12" t="s">
        <v>65</v>
      </c>
      <c r="D13" s="12" t="s">
        <v>321</v>
      </c>
      <c r="E13" s="12" t="s">
        <v>321</v>
      </c>
      <c r="F13" s="33" t="s">
        <v>322</v>
      </c>
      <c r="G13" s="12" t="s">
        <v>68</v>
      </c>
      <c r="H13" s="12" t="s">
        <v>323</v>
      </c>
      <c r="I13" s="12" t="s">
        <v>324</v>
      </c>
      <c r="J13" s="17" t="s">
        <v>4591</v>
      </c>
      <c r="K13" s="17" t="s">
        <v>4595</v>
      </c>
      <c r="L13" s="17" t="s">
        <v>4604</v>
      </c>
      <c r="M13" s="17" t="s">
        <v>194</v>
      </c>
      <c r="O13" s="18" t="s">
        <v>76</v>
      </c>
    </row>
    <row r="14">
      <c r="A14" s="11"/>
      <c r="B14" s="12" t="s">
        <v>43</v>
      </c>
      <c r="C14" s="12" t="s">
        <v>65</v>
      </c>
      <c r="D14" s="12" t="s">
        <v>321</v>
      </c>
      <c r="E14" s="12" t="s">
        <v>321</v>
      </c>
      <c r="F14" s="33" t="s">
        <v>322</v>
      </c>
      <c r="G14" s="12" t="s">
        <v>68</v>
      </c>
      <c r="H14" s="12" t="s">
        <v>323</v>
      </c>
      <c r="I14" s="12" t="s">
        <v>324</v>
      </c>
      <c r="J14" s="17" t="s">
        <v>4591</v>
      </c>
      <c r="K14" s="17" t="s">
        <v>4596</v>
      </c>
      <c r="L14" s="17" t="s">
        <v>4593</v>
      </c>
      <c r="M14" s="17" t="s">
        <v>194</v>
      </c>
      <c r="O14" s="18" t="s">
        <v>76</v>
      </c>
    </row>
    <row r="15">
      <c r="A15" s="11"/>
      <c r="B15" s="12" t="s">
        <v>43</v>
      </c>
      <c r="C15" s="12" t="s">
        <v>65</v>
      </c>
      <c r="D15" s="12" t="s">
        <v>321</v>
      </c>
      <c r="E15" s="12" t="s">
        <v>321</v>
      </c>
      <c r="F15" s="33" t="s">
        <v>322</v>
      </c>
      <c r="G15" s="12" t="s">
        <v>68</v>
      </c>
      <c r="H15" s="12" t="s">
        <v>323</v>
      </c>
      <c r="I15" s="12" t="s">
        <v>324</v>
      </c>
      <c r="J15" s="17" t="s">
        <v>4597</v>
      </c>
      <c r="K15" s="17" t="s">
        <v>4598</v>
      </c>
      <c r="L15" s="17" t="s">
        <v>4593</v>
      </c>
      <c r="M15" s="17" t="s">
        <v>194</v>
      </c>
      <c r="O15" s="18" t="s">
        <v>76</v>
      </c>
    </row>
    <row r="16">
      <c r="A16" s="11"/>
      <c r="B16" s="12" t="s">
        <v>43</v>
      </c>
      <c r="C16" s="12" t="s">
        <v>65</v>
      </c>
      <c r="D16" s="12" t="s">
        <v>321</v>
      </c>
      <c r="E16" s="12" t="s">
        <v>321</v>
      </c>
      <c r="F16" s="33" t="s">
        <v>322</v>
      </c>
      <c r="G16" s="12" t="s">
        <v>68</v>
      </c>
      <c r="H16" s="12" t="s">
        <v>323</v>
      </c>
      <c r="I16" s="12" t="s">
        <v>324</v>
      </c>
      <c r="J16" s="17" t="s">
        <v>4597</v>
      </c>
      <c r="K16" s="17" t="s">
        <v>4600</v>
      </c>
      <c r="L16" s="17" t="s">
        <v>4593</v>
      </c>
      <c r="M16" s="17" t="s">
        <v>194</v>
      </c>
      <c r="O16" s="18" t="s">
        <v>76</v>
      </c>
    </row>
    <row r="17">
      <c r="A17" s="11"/>
      <c r="B17" s="12" t="s">
        <v>43</v>
      </c>
      <c r="C17" s="12" t="s">
        <v>65</v>
      </c>
      <c r="D17" s="12" t="s">
        <v>321</v>
      </c>
      <c r="E17" s="12" t="s">
        <v>321</v>
      </c>
      <c r="F17" s="33" t="s">
        <v>322</v>
      </c>
      <c r="G17" s="12" t="s">
        <v>68</v>
      </c>
      <c r="H17" s="12" t="s">
        <v>323</v>
      </c>
      <c r="I17" s="12" t="s">
        <v>324</v>
      </c>
      <c r="J17" s="17" t="s">
        <v>4597</v>
      </c>
      <c r="K17" s="17" t="s">
        <v>4601</v>
      </c>
      <c r="L17" s="17" t="s">
        <v>4599</v>
      </c>
      <c r="M17" s="17" t="s">
        <v>194</v>
      </c>
      <c r="O17" s="18" t="s">
        <v>76</v>
      </c>
    </row>
    <row r="18">
      <c r="A18" s="11"/>
      <c r="B18" s="12" t="s">
        <v>43</v>
      </c>
      <c r="C18" s="12" t="s">
        <v>65</v>
      </c>
      <c r="D18" s="12" t="s">
        <v>321</v>
      </c>
      <c r="E18" s="12" t="s">
        <v>321</v>
      </c>
      <c r="F18" s="33" t="s">
        <v>322</v>
      </c>
      <c r="G18" s="12" t="s">
        <v>68</v>
      </c>
      <c r="H18" s="12" t="s">
        <v>323</v>
      </c>
      <c r="I18" s="12" t="s">
        <v>324</v>
      </c>
      <c r="J18" s="17" t="s">
        <v>4597</v>
      </c>
      <c r="K18" s="17" t="s">
        <v>4602</v>
      </c>
      <c r="L18" s="17" t="s">
        <v>4599</v>
      </c>
      <c r="M18" s="17" t="s">
        <v>194</v>
      </c>
      <c r="O18" s="18" t="s">
        <v>76</v>
      </c>
    </row>
    <row r="19">
      <c r="A19" s="11"/>
      <c r="B19" s="12" t="s">
        <v>43</v>
      </c>
      <c r="C19" s="12" t="s">
        <v>65</v>
      </c>
      <c r="D19" s="12" t="s">
        <v>321</v>
      </c>
      <c r="E19" s="12" t="s">
        <v>321</v>
      </c>
      <c r="F19" s="33" t="s">
        <v>322</v>
      </c>
      <c r="G19" s="12" t="s">
        <v>68</v>
      </c>
      <c r="H19" s="12" t="s">
        <v>323</v>
      </c>
      <c r="I19" s="12" t="s">
        <v>324</v>
      </c>
      <c r="J19" s="17" t="s">
        <v>4597</v>
      </c>
      <c r="K19" s="17" t="s">
        <v>4603</v>
      </c>
      <c r="L19" s="17" t="s">
        <v>4593</v>
      </c>
      <c r="M19" s="17" t="s">
        <v>194</v>
      </c>
      <c r="O19" s="18" t="s">
        <v>76</v>
      </c>
    </row>
    <row r="20">
      <c r="A20" s="11"/>
      <c r="B20" s="12" t="s">
        <v>43</v>
      </c>
      <c r="C20" s="12" t="s">
        <v>65</v>
      </c>
      <c r="D20" s="12" t="s">
        <v>43</v>
      </c>
      <c r="E20" s="12" t="s">
        <v>203</v>
      </c>
      <c r="F20" s="13" t="s">
        <v>204</v>
      </c>
      <c r="G20" s="12" t="s">
        <v>68</v>
      </c>
      <c r="H20" s="12" t="s">
        <v>205</v>
      </c>
      <c r="I20" s="12" t="s">
        <v>206</v>
      </c>
      <c r="J20" s="17" t="s">
        <v>4591</v>
      </c>
      <c r="K20" s="17" t="s">
        <v>4592</v>
      </c>
      <c r="L20" s="17" t="s">
        <v>4599</v>
      </c>
      <c r="M20" s="17" t="s">
        <v>194</v>
      </c>
      <c r="O20" s="18" t="s">
        <v>76</v>
      </c>
    </row>
    <row r="21">
      <c r="A21" s="11"/>
      <c r="B21" s="12" t="s">
        <v>43</v>
      </c>
      <c r="C21" s="12" t="s">
        <v>65</v>
      </c>
      <c r="D21" s="12" t="s">
        <v>43</v>
      </c>
      <c r="E21" s="12" t="s">
        <v>203</v>
      </c>
      <c r="F21" s="13" t="s">
        <v>204</v>
      </c>
      <c r="G21" s="12" t="s">
        <v>68</v>
      </c>
      <c r="H21" s="12" t="s">
        <v>205</v>
      </c>
      <c r="I21" s="12" t="s">
        <v>206</v>
      </c>
      <c r="J21" s="17" t="s">
        <v>4591</v>
      </c>
      <c r="K21" s="17" t="s">
        <v>4594</v>
      </c>
      <c r="L21" s="17" t="s">
        <v>4599</v>
      </c>
      <c r="M21" s="17" t="s">
        <v>194</v>
      </c>
      <c r="O21" s="18" t="s">
        <v>76</v>
      </c>
    </row>
    <row r="22">
      <c r="A22" s="11"/>
      <c r="B22" s="12" t="s">
        <v>43</v>
      </c>
      <c r="C22" s="12" t="s">
        <v>65</v>
      </c>
      <c r="D22" s="12" t="s">
        <v>43</v>
      </c>
      <c r="E22" s="12" t="s">
        <v>203</v>
      </c>
      <c r="F22" s="13" t="s">
        <v>204</v>
      </c>
      <c r="G22" s="12" t="s">
        <v>68</v>
      </c>
      <c r="H22" s="12" t="s">
        <v>205</v>
      </c>
      <c r="I22" s="12" t="s">
        <v>206</v>
      </c>
      <c r="J22" s="17" t="s">
        <v>4591</v>
      </c>
      <c r="K22" s="17" t="s">
        <v>4595</v>
      </c>
      <c r="L22" s="17" t="s">
        <v>4605</v>
      </c>
      <c r="M22" s="17" t="s">
        <v>194</v>
      </c>
      <c r="O22" s="18" t="s">
        <v>76</v>
      </c>
    </row>
    <row r="23">
      <c r="A23" s="11"/>
      <c r="B23" s="12" t="s">
        <v>43</v>
      </c>
      <c r="C23" s="12" t="s">
        <v>65</v>
      </c>
      <c r="D23" s="12" t="s">
        <v>43</v>
      </c>
      <c r="E23" s="12" t="s">
        <v>203</v>
      </c>
      <c r="F23" s="13" t="s">
        <v>204</v>
      </c>
      <c r="G23" s="12" t="s">
        <v>68</v>
      </c>
      <c r="H23" s="12" t="s">
        <v>205</v>
      </c>
      <c r="I23" s="12" t="s">
        <v>206</v>
      </c>
      <c r="J23" s="17" t="s">
        <v>4591</v>
      </c>
      <c r="K23" s="17" t="s">
        <v>4596</v>
      </c>
      <c r="L23" s="17" t="s">
        <v>4599</v>
      </c>
      <c r="M23" s="17" t="s">
        <v>194</v>
      </c>
      <c r="O23" s="18" t="s">
        <v>76</v>
      </c>
    </row>
    <row r="24">
      <c r="A24" s="11"/>
      <c r="B24" s="12" t="s">
        <v>43</v>
      </c>
      <c r="C24" s="12" t="s">
        <v>65</v>
      </c>
      <c r="D24" s="12" t="s">
        <v>43</v>
      </c>
      <c r="E24" s="12" t="s">
        <v>203</v>
      </c>
      <c r="F24" s="13" t="s">
        <v>204</v>
      </c>
      <c r="G24" s="12" t="s">
        <v>68</v>
      </c>
      <c r="H24" s="12" t="s">
        <v>205</v>
      </c>
      <c r="I24" s="12" t="s">
        <v>206</v>
      </c>
      <c r="J24" s="17" t="s">
        <v>4597</v>
      </c>
      <c r="K24" s="17" t="s">
        <v>4598</v>
      </c>
      <c r="L24" s="17" t="s">
        <v>4599</v>
      </c>
      <c r="M24" s="17" t="s">
        <v>194</v>
      </c>
      <c r="O24" s="18" t="s">
        <v>76</v>
      </c>
    </row>
    <row r="25">
      <c r="A25" s="11"/>
      <c r="B25" s="12" t="s">
        <v>43</v>
      </c>
      <c r="C25" s="12" t="s">
        <v>65</v>
      </c>
      <c r="D25" s="12" t="s">
        <v>43</v>
      </c>
      <c r="E25" s="12" t="s">
        <v>203</v>
      </c>
      <c r="F25" s="13" t="s">
        <v>204</v>
      </c>
      <c r="G25" s="12" t="s">
        <v>68</v>
      </c>
      <c r="H25" s="12" t="s">
        <v>205</v>
      </c>
      <c r="I25" s="12" t="s">
        <v>206</v>
      </c>
      <c r="J25" s="17" t="s">
        <v>4597</v>
      </c>
      <c r="K25" s="17" t="s">
        <v>4600</v>
      </c>
      <c r="L25" s="17" t="s">
        <v>4599</v>
      </c>
      <c r="M25" s="17" t="s">
        <v>194</v>
      </c>
      <c r="O25" s="18" t="s">
        <v>76</v>
      </c>
    </row>
    <row r="26">
      <c r="A26" s="11"/>
      <c r="B26" s="12" t="s">
        <v>43</v>
      </c>
      <c r="C26" s="12" t="s">
        <v>65</v>
      </c>
      <c r="D26" s="12" t="s">
        <v>43</v>
      </c>
      <c r="E26" s="12" t="s">
        <v>203</v>
      </c>
      <c r="F26" s="13" t="s">
        <v>204</v>
      </c>
      <c r="G26" s="12" t="s">
        <v>68</v>
      </c>
      <c r="H26" s="12" t="s">
        <v>205</v>
      </c>
      <c r="I26" s="12" t="s">
        <v>206</v>
      </c>
      <c r="J26" s="17" t="s">
        <v>4597</v>
      </c>
      <c r="K26" s="17" t="s">
        <v>4601</v>
      </c>
      <c r="L26" s="17" t="s">
        <v>4593</v>
      </c>
      <c r="M26" s="17" t="s">
        <v>194</v>
      </c>
      <c r="O26" s="18" t="s">
        <v>76</v>
      </c>
    </row>
    <row r="27">
      <c r="A27" s="11"/>
      <c r="B27" s="12" t="s">
        <v>43</v>
      </c>
      <c r="C27" s="12" t="s">
        <v>65</v>
      </c>
      <c r="D27" s="12" t="s">
        <v>43</v>
      </c>
      <c r="E27" s="12" t="s">
        <v>203</v>
      </c>
      <c r="F27" s="13" t="s">
        <v>204</v>
      </c>
      <c r="G27" s="12" t="s">
        <v>68</v>
      </c>
      <c r="H27" s="12" t="s">
        <v>205</v>
      </c>
      <c r="I27" s="12" t="s">
        <v>206</v>
      </c>
      <c r="J27" s="17" t="s">
        <v>4597</v>
      </c>
      <c r="K27" s="17" t="s">
        <v>4602</v>
      </c>
      <c r="L27" s="17" t="s">
        <v>4605</v>
      </c>
      <c r="M27" s="17" t="s">
        <v>194</v>
      </c>
      <c r="O27" s="18" t="s">
        <v>76</v>
      </c>
    </row>
    <row r="28">
      <c r="A28" s="11"/>
      <c r="B28" s="12" t="s">
        <v>43</v>
      </c>
      <c r="C28" s="12" t="s">
        <v>65</v>
      </c>
      <c r="D28" s="12" t="s">
        <v>43</v>
      </c>
      <c r="E28" s="12" t="s">
        <v>203</v>
      </c>
      <c r="F28" s="13" t="s">
        <v>204</v>
      </c>
      <c r="G28" s="12" t="s">
        <v>68</v>
      </c>
      <c r="H28" s="12" t="s">
        <v>205</v>
      </c>
      <c r="I28" s="12" t="s">
        <v>206</v>
      </c>
      <c r="J28" s="17" t="s">
        <v>4597</v>
      </c>
      <c r="K28" s="17" t="s">
        <v>4603</v>
      </c>
      <c r="L28" s="17" t="s">
        <v>4599</v>
      </c>
      <c r="M28" s="17" t="s">
        <v>194</v>
      </c>
      <c r="O28" s="18" t="s">
        <v>76</v>
      </c>
    </row>
    <row r="29">
      <c r="A29" s="11"/>
      <c r="B29" s="12" t="s">
        <v>43</v>
      </c>
      <c r="C29" s="12" t="s">
        <v>65</v>
      </c>
      <c r="D29" s="12" t="s">
        <v>43</v>
      </c>
      <c r="E29" s="12" t="s">
        <v>66</v>
      </c>
      <c r="F29" s="13" t="s">
        <v>67</v>
      </c>
      <c r="G29" s="12" t="s">
        <v>68</v>
      </c>
      <c r="H29" s="12" t="s">
        <v>69</v>
      </c>
      <c r="I29" s="12" t="s">
        <v>70</v>
      </c>
      <c r="J29" s="17" t="s">
        <v>4591</v>
      </c>
      <c r="K29" s="17" t="s">
        <v>4592</v>
      </c>
      <c r="L29" s="17" t="s">
        <v>4599</v>
      </c>
      <c r="M29" s="17" t="s">
        <v>194</v>
      </c>
      <c r="O29" s="18" t="s">
        <v>76</v>
      </c>
    </row>
    <row r="30">
      <c r="A30" s="11"/>
      <c r="B30" s="12" t="s">
        <v>43</v>
      </c>
      <c r="C30" s="12" t="s">
        <v>65</v>
      </c>
      <c r="D30" s="12" t="s">
        <v>43</v>
      </c>
      <c r="E30" s="12" t="s">
        <v>66</v>
      </c>
      <c r="F30" s="13" t="s">
        <v>67</v>
      </c>
      <c r="G30" s="12" t="s">
        <v>68</v>
      </c>
      <c r="H30" s="12" t="s">
        <v>69</v>
      </c>
      <c r="I30" s="12" t="s">
        <v>70</v>
      </c>
      <c r="J30" s="17" t="s">
        <v>4591</v>
      </c>
      <c r="K30" s="17" t="s">
        <v>4594</v>
      </c>
      <c r="L30" s="17" t="s">
        <v>4593</v>
      </c>
      <c r="M30" s="17" t="s">
        <v>194</v>
      </c>
      <c r="O30" s="18" t="s">
        <v>76</v>
      </c>
    </row>
    <row r="31">
      <c r="A31" s="11"/>
      <c r="B31" s="12" t="s">
        <v>43</v>
      </c>
      <c r="C31" s="12" t="s">
        <v>65</v>
      </c>
      <c r="D31" s="12" t="s">
        <v>43</v>
      </c>
      <c r="E31" s="12" t="s">
        <v>66</v>
      </c>
      <c r="F31" s="13" t="s">
        <v>67</v>
      </c>
      <c r="G31" s="12" t="s">
        <v>68</v>
      </c>
      <c r="H31" s="12" t="s">
        <v>69</v>
      </c>
      <c r="I31" s="12" t="s">
        <v>70</v>
      </c>
      <c r="J31" s="17" t="s">
        <v>4591</v>
      </c>
      <c r="K31" s="17" t="s">
        <v>4595</v>
      </c>
      <c r="L31" s="17" t="s">
        <v>4599</v>
      </c>
      <c r="M31" s="17" t="s">
        <v>194</v>
      </c>
      <c r="O31" s="18" t="s">
        <v>76</v>
      </c>
    </row>
    <row r="32">
      <c r="A32" s="11"/>
      <c r="B32" s="12" t="s">
        <v>43</v>
      </c>
      <c r="C32" s="12" t="s">
        <v>65</v>
      </c>
      <c r="D32" s="12" t="s">
        <v>43</v>
      </c>
      <c r="E32" s="12" t="s">
        <v>66</v>
      </c>
      <c r="F32" s="13" t="s">
        <v>67</v>
      </c>
      <c r="G32" s="12" t="s">
        <v>68</v>
      </c>
      <c r="H32" s="12" t="s">
        <v>69</v>
      </c>
      <c r="I32" s="12" t="s">
        <v>70</v>
      </c>
      <c r="J32" s="17" t="s">
        <v>4591</v>
      </c>
      <c r="K32" s="17" t="s">
        <v>4596</v>
      </c>
      <c r="L32" s="17" t="s">
        <v>4599</v>
      </c>
      <c r="M32" s="17" t="s">
        <v>194</v>
      </c>
      <c r="O32" s="18" t="s">
        <v>76</v>
      </c>
    </row>
    <row r="33">
      <c r="A33" s="11"/>
      <c r="B33" s="12" t="s">
        <v>43</v>
      </c>
      <c r="C33" s="12" t="s">
        <v>65</v>
      </c>
      <c r="D33" s="12" t="s">
        <v>43</v>
      </c>
      <c r="E33" s="12" t="s">
        <v>66</v>
      </c>
      <c r="F33" s="13" t="s">
        <v>67</v>
      </c>
      <c r="G33" s="12" t="s">
        <v>68</v>
      </c>
      <c r="H33" s="12" t="s">
        <v>69</v>
      </c>
      <c r="I33" s="12" t="s">
        <v>70</v>
      </c>
      <c r="J33" s="17" t="s">
        <v>4597</v>
      </c>
      <c r="K33" s="17" t="s">
        <v>4598</v>
      </c>
      <c r="L33" s="17" t="s">
        <v>4599</v>
      </c>
      <c r="M33" s="17" t="s">
        <v>194</v>
      </c>
      <c r="O33" s="18" t="s">
        <v>76</v>
      </c>
    </row>
    <row r="34">
      <c r="A34" s="11"/>
      <c r="B34" s="12" t="s">
        <v>43</v>
      </c>
      <c r="C34" s="12" t="s">
        <v>65</v>
      </c>
      <c r="D34" s="12" t="s">
        <v>43</v>
      </c>
      <c r="E34" s="12" t="s">
        <v>66</v>
      </c>
      <c r="F34" s="13" t="s">
        <v>67</v>
      </c>
      <c r="G34" s="12" t="s">
        <v>68</v>
      </c>
      <c r="H34" s="12" t="s">
        <v>69</v>
      </c>
      <c r="I34" s="12" t="s">
        <v>70</v>
      </c>
      <c r="J34" s="17" t="s">
        <v>4597</v>
      </c>
      <c r="K34" s="17" t="s">
        <v>4600</v>
      </c>
      <c r="L34" s="17" t="s">
        <v>4599</v>
      </c>
      <c r="M34" s="17" t="s">
        <v>194</v>
      </c>
      <c r="O34" s="18" t="s">
        <v>76</v>
      </c>
    </row>
    <row r="35">
      <c r="A35" s="11"/>
      <c r="B35" s="12" t="s">
        <v>43</v>
      </c>
      <c r="C35" s="12" t="s">
        <v>65</v>
      </c>
      <c r="D35" s="12" t="s">
        <v>43</v>
      </c>
      <c r="E35" s="12" t="s">
        <v>66</v>
      </c>
      <c r="F35" s="13" t="s">
        <v>67</v>
      </c>
      <c r="G35" s="12" t="s">
        <v>68</v>
      </c>
      <c r="H35" s="12" t="s">
        <v>69</v>
      </c>
      <c r="I35" s="12" t="s">
        <v>70</v>
      </c>
      <c r="J35" s="17" t="s">
        <v>4597</v>
      </c>
      <c r="K35" s="17" t="s">
        <v>4601</v>
      </c>
      <c r="L35" s="17" t="s">
        <v>4599</v>
      </c>
      <c r="M35" s="17" t="s">
        <v>194</v>
      </c>
      <c r="O35" s="18" t="s">
        <v>76</v>
      </c>
    </row>
    <row r="36">
      <c r="A36" s="11"/>
      <c r="B36" s="12" t="s">
        <v>43</v>
      </c>
      <c r="C36" s="12" t="s">
        <v>65</v>
      </c>
      <c r="D36" s="12" t="s">
        <v>43</v>
      </c>
      <c r="E36" s="12" t="s">
        <v>66</v>
      </c>
      <c r="F36" s="13" t="s">
        <v>67</v>
      </c>
      <c r="G36" s="12" t="s">
        <v>68</v>
      </c>
      <c r="H36" s="12" t="s">
        <v>69</v>
      </c>
      <c r="I36" s="12" t="s">
        <v>70</v>
      </c>
      <c r="J36" s="17" t="s">
        <v>4597</v>
      </c>
      <c r="K36" s="17" t="s">
        <v>4602</v>
      </c>
      <c r="L36" s="17" t="s">
        <v>4605</v>
      </c>
      <c r="M36" s="17" t="s">
        <v>194</v>
      </c>
      <c r="O36" s="18" t="s">
        <v>76</v>
      </c>
    </row>
    <row r="37">
      <c r="A37" s="11"/>
      <c r="B37" s="12" t="s">
        <v>43</v>
      </c>
      <c r="C37" s="12" t="s">
        <v>65</v>
      </c>
      <c r="D37" s="12" t="s">
        <v>43</v>
      </c>
      <c r="E37" s="12" t="s">
        <v>66</v>
      </c>
      <c r="F37" s="13" t="s">
        <v>67</v>
      </c>
      <c r="G37" s="12" t="s">
        <v>68</v>
      </c>
      <c r="H37" s="12" t="s">
        <v>69</v>
      </c>
      <c r="I37" s="12" t="s">
        <v>70</v>
      </c>
      <c r="J37" s="17" t="s">
        <v>4597</v>
      </c>
      <c r="K37" s="17" t="s">
        <v>4603</v>
      </c>
      <c r="L37" s="17" t="s">
        <v>4605</v>
      </c>
      <c r="M37" s="17" t="s">
        <v>194</v>
      </c>
      <c r="O37" s="18" t="s">
        <v>76</v>
      </c>
    </row>
    <row r="38">
      <c r="A38" s="11"/>
      <c r="B38" s="12" t="s">
        <v>43</v>
      </c>
      <c r="C38" s="12" t="s">
        <v>65</v>
      </c>
      <c r="D38" s="12" t="s">
        <v>43</v>
      </c>
      <c r="E38" s="12" t="s">
        <v>188</v>
      </c>
      <c r="F38" s="13" t="s">
        <v>189</v>
      </c>
      <c r="G38" s="12" t="s">
        <v>68</v>
      </c>
      <c r="H38" s="12" t="s">
        <v>190</v>
      </c>
      <c r="I38" s="12" t="s">
        <v>191</v>
      </c>
      <c r="J38" s="17" t="s">
        <v>4591</v>
      </c>
      <c r="K38" s="17" t="s">
        <v>4592</v>
      </c>
      <c r="L38" s="17" t="s">
        <v>4593</v>
      </c>
      <c r="M38" s="17" t="s">
        <v>194</v>
      </c>
      <c r="O38" s="18" t="s">
        <v>76</v>
      </c>
    </row>
    <row r="39">
      <c r="A39" s="11"/>
      <c r="B39" s="12" t="s">
        <v>43</v>
      </c>
      <c r="C39" s="12" t="s">
        <v>65</v>
      </c>
      <c r="D39" s="12" t="s">
        <v>43</v>
      </c>
      <c r="E39" s="12" t="s">
        <v>188</v>
      </c>
      <c r="F39" s="13" t="s">
        <v>189</v>
      </c>
      <c r="G39" s="12" t="s">
        <v>68</v>
      </c>
      <c r="H39" s="12" t="s">
        <v>190</v>
      </c>
      <c r="I39" s="12" t="s">
        <v>191</v>
      </c>
      <c r="J39" s="17" t="s">
        <v>4591</v>
      </c>
      <c r="K39" s="17" t="s">
        <v>4594</v>
      </c>
      <c r="L39" s="17" t="s">
        <v>4593</v>
      </c>
      <c r="M39" s="17" t="s">
        <v>194</v>
      </c>
      <c r="O39" s="18" t="s">
        <v>76</v>
      </c>
    </row>
    <row r="40">
      <c r="A40" s="11"/>
      <c r="B40" s="12" t="s">
        <v>43</v>
      </c>
      <c r="C40" s="12" t="s">
        <v>65</v>
      </c>
      <c r="D40" s="12" t="s">
        <v>43</v>
      </c>
      <c r="E40" s="12" t="s">
        <v>188</v>
      </c>
      <c r="F40" s="13" t="s">
        <v>189</v>
      </c>
      <c r="G40" s="12" t="s">
        <v>68</v>
      </c>
      <c r="H40" s="12" t="s">
        <v>190</v>
      </c>
      <c r="I40" s="12" t="s">
        <v>191</v>
      </c>
      <c r="J40" s="17" t="s">
        <v>4591</v>
      </c>
      <c r="K40" s="17" t="s">
        <v>4595</v>
      </c>
      <c r="L40" s="17" t="s">
        <v>4593</v>
      </c>
      <c r="M40" s="17" t="s">
        <v>194</v>
      </c>
      <c r="O40" s="18" t="s">
        <v>76</v>
      </c>
    </row>
    <row r="41">
      <c r="A41" s="11"/>
      <c r="B41" s="12" t="s">
        <v>43</v>
      </c>
      <c r="C41" s="12" t="s">
        <v>65</v>
      </c>
      <c r="D41" s="12" t="s">
        <v>43</v>
      </c>
      <c r="E41" s="12" t="s">
        <v>188</v>
      </c>
      <c r="F41" s="13" t="s">
        <v>189</v>
      </c>
      <c r="G41" s="12" t="s">
        <v>68</v>
      </c>
      <c r="H41" s="12" t="s">
        <v>190</v>
      </c>
      <c r="I41" s="12" t="s">
        <v>191</v>
      </c>
      <c r="J41" s="17" t="s">
        <v>4591</v>
      </c>
      <c r="K41" s="17" t="s">
        <v>4596</v>
      </c>
      <c r="L41" s="17" t="s">
        <v>4593</v>
      </c>
      <c r="M41" s="17" t="s">
        <v>194</v>
      </c>
      <c r="O41" s="18" t="s">
        <v>76</v>
      </c>
    </row>
    <row r="42">
      <c r="A42" s="11"/>
      <c r="B42" s="12" t="s">
        <v>43</v>
      </c>
      <c r="C42" s="12" t="s">
        <v>65</v>
      </c>
      <c r="D42" s="12" t="s">
        <v>43</v>
      </c>
      <c r="E42" s="12" t="s">
        <v>188</v>
      </c>
      <c r="F42" s="13" t="s">
        <v>189</v>
      </c>
      <c r="G42" s="12" t="s">
        <v>68</v>
      </c>
      <c r="H42" s="12" t="s">
        <v>190</v>
      </c>
      <c r="I42" s="12" t="s">
        <v>191</v>
      </c>
      <c r="J42" s="17" t="s">
        <v>4597</v>
      </c>
      <c r="K42" s="17" t="s">
        <v>4598</v>
      </c>
      <c r="L42" s="17" t="s">
        <v>4593</v>
      </c>
      <c r="M42" s="17" t="s">
        <v>194</v>
      </c>
      <c r="O42" s="18" t="s">
        <v>76</v>
      </c>
    </row>
    <row r="43">
      <c r="A43" s="11"/>
      <c r="B43" s="12" t="s">
        <v>43</v>
      </c>
      <c r="C43" s="12" t="s">
        <v>65</v>
      </c>
      <c r="D43" s="12" t="s">
        <v>43</v>
      </c>
      <c r="E43" s="12" t="s">
        <v>188</v>
      </c>
      <c r="F43" s="13" t="s">
        <v>189</v>
      </c>
      <c r="G43" s="12" t="s">
        <v>68</v>
      </c>
      <c r="H43" s="12" t="s">
        <v>190</v>
      </c>
      <c r="I43" s="12" t="s">
        <v>191</v>
      </c>
      <c r="J43" s="17" t="s">
        <v>4597</v>
      </c>
      <c r="K43" s="17" t="s">
        <v>4600</v>
      </c>
      <c r="L43" s="17" t="s">
        <v>4599</v>
      </c>
      <c r="M43" s="17" t="s">
        <v>194</v>
      </c>
      <c r="O43" s="18" t="s">
        <v>76</v>
      </c>
    </row>
    <row r="44">
      <c r="A44" s="11"/>
      <c r="B44" s="12" t="s">
        <v>43</v>
      </c>
      <c r="C44" s="12" t="s">
        <v>65</v>
      </c>
      <c r="D44" s="12" t="s">
        <v>43</v>
      </c>
      <c r="E44" s="12" t="s">
        <v>188</v>
      </c>
      <c r="F44" s="13" t="s">
        <v>189</v>
      </c>
      <c r="G44" s="12" t="s">
        <v>68</v>
      </c>
      <c r="H44" s="12" t="s">
        <v>190</v>
      </c>
      <c r="I44" s="12" t="s">
        <v>191</v>
      </c>
      <c r="J44" s="17" t="s">
        <v>4597</v>
      </c>
      <c r="K44" s="17" t="s">
        <v>4601</v>
      </c>
      <c r="L44" s="17" t="s">
        <v>4599</v>
      </c>
      <c r="M44" s="17" t="s">
        <v>194</v>
      </c>
      <c r="O44" s="18" t="s">
        <v>76</v>
      </c>
    </row>
    <row r="45">
      <c r="A45" s="11"/>
      <c r="B45" s="12" t="s">
        <v>43</v>
      </c>
      <c r="C45" s="12" t="s">
        <v>65</v>
      </c>
      <c r="D45" s="12" t="s">
        <v>43</v>
      </c>
      <c r="E45" s="12" t="s">
        <v>188</v>
      </c>
      <c r="F45" s="13" t="s">
        <v>189</v>
      </c>
      <c r="G45" s="12" t="s">
        <v>68</v>
      </c>
      <c r="H45" s="12" t="s">
        <v>190</v>
      </c>
      <c r="I45" s="12" t="s">
        <v>191</v>
      </c>
      <c r="J45" s="17" t="s">
        <v>4597</v>
      </c>
      <c r="K45" s="17" t="s">
        <v>4602</v>
      </c>
      <c r="L45" s="17" t="s">
        <v>4599</v>
      </c>
      <c r="M45" s="17" t="s">
        <v>194</v>
      </c>
      <c r="O45" s="18" t="s">
        <v>76</v>
      </c>
    </row>
    <row r="46">
      <c r="A46" s="11"/>
      <c r="B46" s="12" t="s">
        <v>43</v>
      </c>
      <c r="C46" s="12" t="s">
        <v>65</v>
      </c>
      <c r="D46" s="12" t="s">
        <v>43</v>
      </c>
      <c r="E46" s="12" t="s">
        <v>188</v>
      </c>
      <c r="F46" s="13" t="s">
        <v>189</v>
      </c>
      <c r="G46" s="12" t="s">
        <v>68</v>
      </c>
      <c r="H46" s="12" t="s">
        <v>190</v>
      </c>
      <c r="I46" s="12" t="s">
        <v>191</v>
      </c>
      <c r="J46" s="17" t="s">
        <v>4597</v>
      </c>
      <c r="K46" s="17" t="s">
        <v>4603</v>
      </c>
      <c r="L46" s="17" t="s">
        <v>4593</v>
      </c>
      <c r="M46" s="17" t="s">
        <v>194</v>
      </c>
      <c r="O46" s="18" t="s">
        <v>76</v>
      </c>
    </row>
    <row r="47">
      <c r="A47" s="11"/>
      <c r="B47" s="12" t="s">
        <v>7</v>
      </c>
      <c r="C47" s="12" t="s">
        <v>8</v>
      </c>
      <c r="D47" s="12" t="s">
        <v>24</v>
      </c>
      <c r="E47" s="12" t="s">
        <v>32</v>
      </c>
      <c r="F47" s="13" t="s">
        <v>30</v>
      </c>
      <c r="G47" s="12" t="s">
        <v>68</v>
      </c>
      <c r="H47" s="12" t="s">
        <v>573</v>
      </c>
      <c r="I47" s="12" t="s">
        <v>574</v>
      </c>
      <c r="J47" s="17" t="s">
        <v>4591</v>
      </c>
      <c r="K47" s="17" t="s">
        <v>4592</v>
      </c>
      <c r="L47" s="17" t="s">
        <v>4599</v>
      </c>
      <c r="M47" s="17" t="s">
        <v>194</v>
      </c>
      <c r="O47" s="18" t="s">
        <v>577</v>
      </c>
    </row>
    <row r="48">
      <c r="A48" s="11"/>
      <c r="B48" s="12" t="s">
        <v>7</v>
      </c>
      <c r="C48" s="12" t="s">
        <v>8</v>
      </c>
      <c r="D48" s="12" t="s">
        <v>24</v>
      </c>
      <c r="E48" s="12" t="s">
        <v>32</v>
      </c>
      <c r="F48" s="13" t="s">
        <v>30</v>
      </c>
      <c r="G48" s="12" t="s">
        <v>68</v>
      </c>
      <c r="H48" s="12" t="s">
        <v>573</v>
      </c>
      <c r="I48" s="12" t="s">
        <v>574</v>
      </c>
      <c r="J48" s="17" t="s">
        <v>4591</v>
      </c>
      <c r="K48" s="17" t="s">
        <v>4594</v>
      </c>
      <c r="L48" s="17" t="s">
        <v>4599</v>
      </c>
      <c r="M48" s="17" t="s">
        <v>194</v>
      </c>
      <c r="O48" s="18" t="s">
        <v>577</v>
      </c>
    </row>
    <row r="49">
      <c r="A49" s="11"/>
      <c r="B49" s="12" t="s">
        <v>7</v>
      </c>
      <c r="C49" s="12" t="s">
        <v>8</v>
      </c>
      <c r="D49" s="12" t="s">
        <v>24</v>
      </c>
      <c r="E49" s="12" t="s">
        <v>32</v>
      </c>
      <c r="F49" s="13" t="s">
        <v>30</v>
      </c>
      <c r="G49" s="12" t="s">
        <v>68</v>
      </c>
      <c r="H49" s="12" t="s">
        <v>573</v>
      </c>
      <c r="I49" s="12" t="s">
        <v>574</v>
      </c>
      <c r="J49" s="17" t="s">
        <v>4591</v>
      </c>
      <c r="K49" s="17" t="s">
        <v>4595</v>
      </c>
      <c r="L49" s="17" t="s">
        <v>4599</v>
      </c>
      <c r="M49" s="17" t="s">
        <v>194</v>
      </c>
      <c r="O49" s="18" t="s">
        <v>577</v>
      </c>
    </row>
    <row r="50">
      <c r="A50" s="11"/>
      <c r="B50" s="12" t="s">
        <v>7</v>
      </c>
      <c r="C50" s="12" t="s">
        <v>8</v>
      </c>
      <c r="D50" s="12" t="s">
        <v>24</v>
      </c>
      <c r="E50" s="12" t="s">
        <v>32</v>
      </c>
      <c r="F50" s="13" t="s">
        <v>30</v>
      </c>
      <c r="G50" s="12" t="s">
        <v>68</v>
      </c>
      <c r="H50" s="12" t="s">
        <v>573</v>
      </c>
      <c r="I50" s="12" t="s">
        <v>574</v>
      </c>
      <c r="J50" s="17" t="s">
        <v>4591</v>
      </c>
      <c r="K50" s="17" t="s">
        <v>4596</v>
      </c>
      <c r="L50" s="17" t="s">
        <v>4599</v>
      </c>
      <c r="M50" s="17" t="s">
        <v>194</v>
      </c>
      <c r="O50" s="18" t="s">
        <v>577</v>
      </c>
    </row>
    <row r="51">
      <c r="A51" s="11"/>
      <c r="B51" s="12" t="s">
        <v>7</v>
      </c>
      <c r="C51" s="12" t="s">
        <v>8</v>
      </c>
      <c r="D51" s="12" t="s">
        <v>24</v>
      </c>
      <c r="E51" s="12" t="s">
        <v>32</v>
      </c>
      <c r="F51" s="13" t="s">
        <v>30</v>
      </c>
      <c r="G51" s="12" t="s">
        <v>68</v>
      </c>
      <c r="H51" s="12" t="s">
        <v>573</v>
      </c>
      <c r="I51" s="12" t="s">
        <v>574</v>
      </c>
      <c r="J51" s="17" t="s">
        <v>4597</v>
      </c>
      <c r="K51" s="17" t="s">
        <v>4598</v>
      </c>
      <c r="L51" s="17" t="s">
        <v>4599</v>
      </c>
      <c r="M51" s="17" t="s">
        <v>194</v>
      </c>
      <c r="O51" s="18" t="s">
        <v>577</v>
      </c>
    </row>
    <row r="52">
      <c r="A52" s="11"/>
      <c r="B52" s="12" t="s">
        <v>7</v>
      </c>
      <c r="C52" s="12" t="s">
        <v>8</v>
      </c>
      <c r="D52" s="12" t="s">
        <v>24</v>
      </c>
      <c r="E52" s="12" t="s">
        <v>32</v>
      </c>
      <c r="F52" s="13" t="s">
        <v>30</v>
      </c>
      <c r="G52" s="12" t="s">
        <v>68</v>
      </c>
      <c r="H52" s="12" t="s">
        <v>573</v>
      </c>
      <c r="I52" s="12" t="s">
        <v>574</v>
      </c>
      <c r="J52" s="17" t="s">
        <v>4597</v>
      </c>
      <c r="K52" s="17" t="s">
        <v>4600</v>
      </c>
      <c r="L52" s="17" t="s">
        <v>4599</v>
      </c>
      <c r="M52" s="17" t="s">
        <v>194</v>
      </c>
      <c r="O52" s="18" t="s">
        <v>577</v>
      </c>
    </row>
    <row r="53">
      <c r="A53" s="11"/>
      <c r="B53" s="12" t="s">
        <v>7</v>
      </c>
      <c r="C53" s="12" t="s">
        <v>8</v>
      </c>
      <c r="D53" s="12" t="s">
        <v>24</v>
      </c>
      <c r="E53" s="12" t="s">
        <v>32</v>
      </c>
      <c r="F53" s="13" t="s">
        <v>30</v>
      </c>
      <c r="G53" s="12" t="s">
        <v>68</v>
      </c>
      <c r="H53" s="12" t="s">
        <v>573</v>
      </c>
      <c r="I53" s="12" t="s">
        <v>574</v>
      </c>
      <c r="J53" s="17" t="s">
        <v>4597</v>
      </c>
      <c r="K53" s="17" t="s">
        <v>4601</v>
      </c>
      <c r="L53" s="17" t="s">
        <v>4599</v>
      </c>
      <c r="M53" s="17" t="s">
        <v>194</v>
      </c>
      <c r="O53" s="18" t="s">
        <v>577</v>
      </c>
    </row>
    <row r="54">
      <c r="A54" s="11"/>
      <c r="B54" s="12" t="s">
        <v>7</v>
      </c>
      <c r="C54" s="12" t="s">
        <v>8</v>
      </c>
      <c r="D54" s="12" t="s">
        <v>24</v>
      </c>
      <c r="E54" s="12" t="s">
        <v>32</v>
      </c>
      <c r="F54" s="13" t="s">
        <v>30</v>
      </c>
      <c r="G54" s="12" t="s">
        <v>68</v>
      </c>
      <c r="H54" s="12" t="s">
        <v>573</v>
      </c>
      <c r="I54" s="12" t="s">
        <v>574</v>
      </c>
      <c r="J54" s="17" t="s">
        <v>4597</v>
      </c>
      <c r="K54" s="17" t="s">
        <v>4602</v>
      </c>
      <c r="L54" s="17" t="s">
        <v>4599</v>
      </c>
      <c r="M54" s="17" t="s">
        <v>194</v>
      </c>
      <c r="O54" s="18" t="s">
        <v>577</v>
      </c>
    </row>
    <row r="55">
      <c r="A55" s="11"/>
      <c r="B55" s="12" t="s">
        <v>7</v>
      </c>
      <c r="C55" s="12" t="s">
        <v>8</v>
      </c>
      <c r="D55" s="12" t="s">
        <v>24</v>
      </c>
      <c r="E55" s="12" t="s">
        <v>32</v>
      </c>
      <c r="F55" s="13" t="s">
        <v>30</v>
      </c>
      <c r="G55" s="12" t="s">
        <v>68</v>
      </c>
      <c r="H55" s="12" t="s">
        <v>573</v>
      </c>
      <c r="I55" s="12" t="s">
        <v>574</v>
      </c>
      <c r="J55" s="17" t="s">
        <v>4597</v>
      </c>
      <c r="K55" s="17" t="s">
        <v>4603</v>
      </c>
      <c r="L55" s="17" t="s">
        <v>4593</v>
      </c>
      <c r="M55" s="17" t="s">
        <v>194</v>
      </c>
      <c r="O55" s="18" t="s">
        <v>577</v>
      </c>
    </row>
    <row r="56">
      <c r="A56" s="11"/>
      <c r="B56" s="12" t="s">
        <v>7</v>
      </c>
      <c r="C56" s="12" t="s">
        <v>8</v>
      </c>
      <c r="D56" s="12" t="s">
        <v>24</v>
      </c>
      <c r="E56" s="12" t="s">
        <v>29</v>
      </c>
      <c r="F56" s="13" t="s">
        <v>27</v>
      </c>
      <c r="G56" s="12" t="s">
        <v>68</v>
      </c>
      <c r="H56" s="12" t="s">
        <v>801</v>
      </c>
      <c r="I56" s="12" t="s">
        <v>802</v>
      </c>
      <c r="J56" s="17" t="s">
        <v>4591</v>
      </c>
      <c r="K56" s="17" t="s">
        <v>4592</v>
      </c>
      <c r="L56" s="17" t="s">
        <v>4593</v>
      </c>
      <c r="M56" s="17" t="s">
        <v>194</v>
      </c>
      <c r="O56" s="18" t="s">
        <v>577</v>
      </c>
    </row>
    <row r="57">
      <c r="A57" s="11"/>
      <c r="B57" s="12" t="s">
        <v>7</v>
      </c>
      <c r="C57" s="12" t="s">
        <v>8</v>
      </c>
      <c r="D57" s="12" t="s">
        <v>24</v>
      </c>
      <c r="E57" s="12" t="s">
        <v>29</v>
      </c>
      <c r="F57" s="13" t="s">
        <v>27</v>
      </c>
      <c r="G57" s="12" t="s">
        <v>68</v>
      </c>
      <c r="H57" s="12" t="s">
        <v>801</v>
      </c>
      <c r="I57" s="12" t="s">
        <v>802</v>
      </c>
      <c r="J57" s="17" t="s">
        <v>4591</v>
      </c>
      <c r="K57" s="17" t="s">
        <v>4594</v>
      </c>
      <c r="L57" s="17" t="s">
        <v>4604</v>
      </c>
      <c r="M57" s="17" t="s">
        <v>194</v>
      </c>
      <c r="O57" s="18" t="s">
        <v>577</v>
      </c>
    </row>
    <row r="58">
      <c r="A58" s="11"/>
      <c r="B58" s="12" t="s">
        <v>7</v>
      </c>
      <c r="C58" s="12" t="s">
        <v>8</v>
      </c>
      <c r="D58" s="12" t="s">
        <v>24</v>
      </c>
      <c r="E58" s="12" t="s">
        <v>29</v>
      </c>
      <c r="F58" s="13" t="s">
        <v>27</v>
      </c>
      <c r="G58" s="12" t="s">
        <v>68</v>
      </c>
      <c r="H58" s="12" t="s">
        <v>801</v>
      </c>
      <c r="I58" s="12" t="s">
        <v>802</v>
      </c>
      <c r="J58" s="17" t="s">
        <v>4591</v>
      </c>
      <c r="K58" s="17" t="s">
        <v>4595</v>
      </c>
      <c r="L58" s="17" t="s">
        <v>4593</v>
      </c>
      <c r="M58" s="17" t="s">
        <v>194</v>
      </c>
      <c r="O58" s="18" t="s">
        <v>577</v>
      </c>
    </row>
    <row r="59">
      <c r="A59" s="11"/>
      <c r="B59" s="12" t="s">
        <v>7</v>
      </c>
      <c r="C59" s="12" t="s">
        <v>8</v>
      </c>
      <c r="D59" s="12" t="s">
        <v>24</v>
      </c>
      <c r="E59" s="12" t="s">
        <v>29</v>
      </c>
      <c r="F59" s="13" t="s">
        <v>27</v>
      </c>
      <c r="G59" s="12" t="s">
        <v>68</v>
      </c>
      <c r="H59" s="12" t="s">
        <v>801</v>
      </c>
      <c r="I59" s="12" t="s">
        <v>802</v>
      </c>
      <c r="J59" s="17" t="s">
        <v>4591</v>
      </c>
      <c r="K59" s="17" t="s">
        <v>4596</v>
      </c>
      <c r="L59" s="17" t="s">
        <v>4604</v>
      </c>
      <c r="M59" s="17" t="s">
        <v>194</v>
      </c>
      <c r="O59" s="18" t="s">
        <v>577</v>
      </c>
    </row>
    <row r="60">
      <c r="A60" s="11"/>
      <c r="B60" s="12" t="s">
        <v>7</v>
      </c>
      <c r="C60" s="12" t="s">
        <v>8</v>
      </c>
      <c r="D60" s="12" t="s">
        <v>24</v>
      </c>
      <c r="E60" s="12" t="s">
        <v>29</v>
      </c>
      <c r="F60" s="13" t="s">
        <v>27</v>
      </c>
      <c r="G60" s="12" t="s">
        <v>68</v>
      </c>
      <c r="H60" s="12" t="s">
        <v>801</v>
      </c>
      <c r="I60" s="12" t="s">
        <v>802</v>
      </c>
      <c r="J60" s="17" t="s">
        <v>4597</v>
      </c>
      <c r="K60" s="17" t="s">
        <v>4598</v>
      </c>
      <c r="L60" s="17" t="s">
        <v>4599</v>
      </c>
      <c r="M60" s="17" t="s">
        <v>194</v>
      </c>
      <c r="O60" s="18" t="s">
        <v>577</v>
      </c>
    </row>
    <row r="61">
      <c r="A61" s="11"/>
      <c r="B61" s="12" t="s">
        <v>7</v>
      </c>
      <c r="C61" s="12" t="s">
        <v>8</v>
      </c>
      <c r="D61" s="12" t="s">
        <v>24</v>
      </c>
      <c r="E61" s="12" t="s">
        <v>29</v>
      </c>
      <c r="F61" s="13" t="s">
        <v>27</v>
      </c>
      <c r="G61" s="12" t="s">
        <v>68</v>
      </c>
      <c r="H61" s="12" t="s">
        <v>801</v>
      </c>
      <c r="I61" s="12" t="s">
        <v>802</v>
      </c>
      <c r="J61" s="17" t="s">
        <v>4597</v>
      </c>
      <c r="K61" s="17" t="s">
        <v>4600</v>
      </c>
      <c r="L61" s="17" t="s">
        <v>4599</v>
      </c>
      <c r="M61" s="17" t="s">
        <v>194</v>
      </c>
      <c r="O61" s="18" t="s">
        <v>577</v>
      </c>
    </row>
    <row r="62">
      <c r="A62" s="11"/>
      <c r="B62" s="12" t="s">
        <v>7</v>
      </c>
      <c r="C62" s="12" t="s">
        <v>8</v>
      </c>
      <c r="D62" s="12" t="s">
        <v>24</v>
      </c>
      <c r="E62" s="12" t="s">
        <v>29</v>
      </c>
      <c r="F62" s="13" t="s">
        <v>27</v>
      </c>
      <c r="G62" s="12" t="s">
        <v>68</v>
      </c>
      <c r="H62" s="12" t="s">
        <v>801</v>
      </c>
      <c r="I62" s="12" t="s">
        <v>802</v>
      </c>
      <c r="J62" s="17" t="s">
        <v>4597</v>
      </c>
      <c r="K62" s="17" t="s">
        <v>4601</v>
      </c>
      <c r="L62" s="17" t="s">
        <v>4593</v>
      </c>
      <c r="M62" s="17" t="s">
        <v>194</v>
      </c>
      <c r="O62" s="18" t="s">
        <v>577</v>
      </c>
    </row>
    <row r="63">
      <c r="A63" s="11"/>
      <c r="B63" s="12" t="s">
        <v>7</v>
      </c>
      <c r="C63" s="12" t="s">
        <v>8</v>
      </c>
      <c r="D63" s="12" t="s">
        <v>24</v>
      </c>
      <c r="E63" s="12" t="s">
        <v>29</v>
      </c>
      <c r="F63" s="13" t="s">
        <v>27</v>
      </c>
      <c r="G63" s="12" t="s">
        <v>68</v>
      </c>
      <c r="H63" s="12" t="s">
        <v>801</v>
      </c>
      <c r="I63" s="12" t="s">
        <v>802</v>
      </c>
      <c r="J63" s="17" t="s">
        <v>4597</v>
      </c>
      <c r="K63" s="17" t="s">
        <v>4602</v>
      </c>
      <c r="L63" s="17" t="s">
        <v>4593</v>
      </c>
      <c r="M63" s="17" t="s">
        <v>194</v>
      </c>
      <c r="O63" s="18" t="s">
        <v>577</v>
      </c>
    </row>
    <row r="64">
      <c r="A64" s="11"/>
      <c r="B64" s="12" t="s">
        <v>7</v>
      </c>
      <c r="C64" s="12" t="s">
        <v>8</v>
      </c>
      <c r="D64" s="12" t="s">
        <v>24</v>
      </c>
      <c r="E64" s="12" t="s">
        <v>29</v>
      </c>
      <c r="F64" s="13" t="s">
        <v>27</v>
      </c>
      <c r="G64" s="12" t="s">
        <v>68</v>
      </c>
      <c r="H64" s="12" t="s">
        <v>801</v>
      </c>
      <c r="I64" s="12" t="s">
        <v>802</v>
      </c>
      <c r="J64" s="17" t="s">
        <v>4597</v>
      </c>
      <c r="K64" s="17" t="s">
        <v>4603</v>
      </c>
      <c r="L64" s="17" t="s">
        <v>4593</v>
      </c>
      <c r="M64" s="17" t="s">
        <v>194</v>
      </c>
      <c r="O64" s="18" t="s">
        <v>577</v>
      </c>
    </row>
    <row r="65">
      <c r="A65" s="11"/>
      <c r="B65" s="12" t="s">
        <v>7</v>
      </c>
      <c r="C65" s="12" t="s">
        <v>8</v>
      </c>
      <c r="D65" s="12" t="s">
        <v>24</v>
      </c>
      <c r="E65" s="12" t="s">
        <v>35</v>
      </c>
      <c r="F65" s="13" t="s">
        <v>33</v>
      </c>
      <c r="G65" s="12" t="s">
        <v>68</v>
      </c>
      <c r="H65" s="12" t="s">
        <v>813</v>
      </c>
      <c r="I65" s="12" t="s">
        <v>814</v>
      </c>
      <c r="J65" s="17" t="s">
        <v>4591</v>
      </c>
      <c r="K65" s="17" t="s">
        <v>4592</v>
      </c>
      <c r="L65" s="17" t="s">
        <v>4599</v>
      </c>
      <c r="M65" s="17" t="s">
        <v>194</v>
      </c>
      <c r="O65" s="18" t="s">
        <v>577</v>
      </c>
    </row>
    <row r="66">
      <c r="A66" s="11"/>
      <c r="B66" s="12" t="s">
        <v>7</v>
      </c>
      <c r="C66" s="12" t="s">
        <v>8</v>
      </c>
      <c r="D66" s="12" t="s">
        <v>24</v>
      </c>
      <c r="E66" s="12" t="s">
        <v>35</v>
      </c>
      <c r="F66" s="13" t="s">
        <v>33</v>
      </c>
      <c r="G66" s="12" t="s">
        <v>68</v>
      </c>
      <c r="H66" s="12" t="s">
        <v>813</v>
      </c>
      <c r="I66" s="12" t="s">
        <v>814</v>
      </c>
      <c r="J66" s="17" t="s">
        <v>4591</v>
      </c>
      <c r="K66" s="17" t="s">
        <v>4594</v>
      </c>
      <c r="L66" s="17" t="s">
        <v>4599</v>
      </c>
      <c r="M66" s="17" t="s">
        <v>194</v>
      </c>
      <c r="O66" s="18" t="s">
        <v>577</v>
      </c>
    </row>
    <row r="67">
      <c r="A67" s="11"/>
      <c r="B67" s="12" t="s">
        <v>7</v>
      </c>
      <c r="C67" s="12" t="s">
        <v>8</v>
      </c>
      <c r="D67" s="12" t="s">
        <v>24</v>
      </c>
      <c r="E67" s="12" t="s">
        <v>35</v>
      </c>
      <c r="F67" s="13" t="s">
        <v>33</v>
      </c>
      <c r="G67" s="12" t="s">
        <v>68</v>
      </c>
      <c r="H67" s="12" t="s">
        <v>813</v>
      </c>
      <c r="I67" s="12" t="s">
        <v>814</v>
      </c>
      <c r="J67" s="17" t="s">
        <v>4591</v>
      </c>
      <c r="K67" s="17" t="s">
        <v>4595</v>
      </c>
      <c r="L67" s="17" t="s">
        <v>4599</v>
      </c>
      <c r="M67" s="17" t="s">
        <v>194</v>
      </c>
      <c r="O67" s="18" t="s">
        <v>577</v>
      </c>
    </row>
    <row r="68">
      <c r="A68" s="11"/>
      <c r="B68" s="12" t="s">
        <v>7</v>
      </c>
      <c r="C68" s="12" t="s">
        <v>8</v>
      </c>
      <c r="D68" s="12" t="s">
        <v>24</v>
      </c>
      <c r="E68" s="12" t="s">
        <v>35</v>
      </c>
      <c r="F68" s="13" t="s">
        <v>33</v>
      </c>
      <c r="G68" s="12" t="s">
        <v>68</v>
      </c>
      <c r="H68" s="12" t="s">
        <v>813</v>
      </c>
      <c r="I68" s="12" t="s">
        <v>814</v>
      </c>
      <c r="J68" s="17" t="s">
        <v>4591</v>
      </c>
      <c r="K68" s="17" t="s">
        <v>4596</v>
      </c>
      <c r="L68" s="17" t="s">
        <v>4599</v>
      </c>
      <c r="M68" s="17" t="s">
        <v>194</v>
      </c>
      <c r="O68" s="18" t="s">
        <v>577</v>
      </c>
    </row>
    <row r="69">
      <c r="A69" s="11"/>
      <c r="B69" s="12" t="s">
        <v>7</v>
      </c>
      <c r="C69" s="12" t="s">
        <v>8</v>
      </c>
      <c r="D69" s="12" t="s">
        <v>24</v>
      </c>
      <c r="E69" s="12" t="s">
        <v>35</v>
      </c>
      <c r="F69" s="13" t="s">
        <v>33</v>
      </c>
      <c r="G69" s="12" t="s">
        <v>68</v>
      </c>
      <c r="H69" s="12" t="s">
        <v>813</v>
      </c>
      <c r="I69" s="12" t="s">
        <v>814</v>
      </c>
      <c r="J69" s="17" t="s">
        <v>4597</v>
      </c>
      <c r="K69" s="17" t="s">
        <v>4598</v>
      </c>
      <c r="L69" s="17" t="s">
        <v>4599</v>
      </c>
      <c r="M69" s="17" t="s">
        <v>194</v>
      </c>
      <c r="O69" s="18" t="s">
        <v>577</v>
      </c>
    </row>
    <row r="70">
      <c r="A70" s="11"/>
      <c r="B70" s="12" t="s">
        <v>7</v>
      </c>
      <c r="C70" s="12" t="s">
        <v>8</v>
      </c>
      <c r="D70" s="12" t="s">
        <v>24</v>
      </c>
      <c r="E70" s="12" t="s">
        <v>35</v>
      </c>
      <c r="F70" s="13" t="s">
        <v>33</v>
      </c>
      <c r="G70" s="12" t="s">
        <v>68</v>
      </c>
      <c r="H70" s="12" t="s">
        <v>813</v>
      </c>
      <c r="I70" s="12" t="s">
        <v>814</v>
      </c>
      <c r="J70" s="17" t="s">
        <v>4597</v>
      </c>
      <c r="K70" s="17" t="s">
        <v>4600</v>
      </c>
      <c r="L70" s="17" t="s">
        <v>4599</v>
      </c>
      <c r="M70" s="17" t="s">
        <v>194</v>
      </c>
      <c r="O70" s="18" t="s">
        <v>577</v>
      </c>
    </row>
    <row r="71">
      <c r="A71" s="11"/>
      <c r="B71" s="12" t="s">
        <v>7</v>
      </c>
      <c r="C71" s="12" t="s">
        <v>8</v>
      </c>
      <c r="D71" s="12" t="s">
        <v>24</v>
      </c>
      <c r="E71" s="12" t="s">
        <v>35</v>
      </c>
      <c r="F71" s="13" t="s">
        <v>33</v>
      </c>
      <c r="G71" s="12" t="s">
        <v>68</v>
      </c>
      <c r="H71" s="12" t="s">
        <v>813</v>
      </c>
      <c r="I71" s="12" t="s">
        <v>814</v>
      </c>
      <c r="J71" s="17" t="s">
        <v>4597</v>
      </c>
      <c r="K71" s="17" t="s">
        <v>4601</v>
      </c>
      <c r="L71" s="17" t="s">
        <v>4599</v>
      </c>
      <c r="M71" s="17" t="s">
        <v>194</v>
      </c>
      <c r="O71" s="18" t="s">
        <v>577</v>
      </c>
    </row>
    <row r="72">
      <c r="A72" s="11"/>
      <c r="B72" s="12" t="s">
        <v>7</v>
      </c>
      <c r="C72" s="12" t="s">
        <v>8</v>
      </c>
      <c r="D72" s="12" t="s">
        <v>24</v>
      </c>
      <c r="E72" s="12" t="s">
        <v>35</v>
      </c>
      <c r="F72" s="13" t="s">
        <v>33</v>
      </c>
      <c r="G72" s="12" t="s">
        <v>68</v>
      </c>
      <c r="H72" s="12" t="s">
        <v>813</v>
      </c>
      <c r="I72" s="12" t="s">
        <v>814</v>
      </c>
      <c r="J72" s="17" t="s">
        <v>4597</v>
      </c>
      <c r="K72" s="17" t="s">
        <v>4602</v>
      </c>
      <c r="L72" s="17" t="s">
        <v>4599</v>
      </c>
      <c r="M72" s="17" t="s">
        <v>194</v>
      </c>
      <c r="O72" s="18" t="s">
        <v>577</v>
      </c>
    </row>
    <row r="73">
      <c r="A73" s="11"/>
      <c r="B73" s="12" t="s">
        <v>7</v>
      </c>
      <c r="C73" s="12" t="s">
        <v>8</v>
      </c>
      <c r="D73" s="12" t="s">
        <v>24</v>
      </c>
      <c r="E73" s="12" t="s">
        <v>35</v>
      </c>
      <c r="F73" s="13" t="s">
        <v>33</v>
      </c>
      <c r="G73" s="12" t="s">
        <v>68</v>
      </c>
      <c r="H73" s="12" t="s">
        <v>813</v>
      </c>
      <c r="I73" s="12" t="s">
        <v>814</v>
      </c>
      <c r="J73" s="17" t="s">
        <v>4597</v>
      </c>
      <c r="K73" s="17" t="s">
        <v>4603</v>
      </c>
      <c r="L73" s="17" t="s">
        <v>4593</v>
      </c>
      <c r="M73" s="17" t="s">
        <v>194</v>
      </c>
      <c r="O73" s="18" t="s">
        <v>577</v>
      </c>
    </row>
    <row r="74">
      <c r="A74" s="11"/>
      <c r="B74" s="12" t="s">
        <v>7</v>
      </c>
      <c r="C74" s="12" t="s">
        <v>37</v>
      </c>
      <c r="D74" s="12" t="s">
        <v>38</v>
      </c>
      <c r="E74" s="12" t="s">
        <v>45</v>
      </c>
      <c r="F74" s="13" t="s">
        <v>44</v>
      </c>
      <c r="G74" s="12" t="s">
        <v>68</v>
      </c>
      <c r="H74" s="12" t="s">
        <v>830</v>
      </c>
      <c r="I74" s="12" t="s">
        <v>831</v>
      </c>
      <c r="J74" s="17" t="s">
        <v>4591</v>
      </c>
      <c r="K74" s="17" t="s">
        <v>4592</v>
      </c>
      <c r="L74" s="17" t="s">
        <v>4593</v>
      </c>
      <c r="M74" s="17" t="s">
        <v>194</v>
      </c>
      <c r="O74" s="18" t="s">
        <v>577</v>
      </c>
    </row>
    <row r="75">
      <c r="A75" s="11"/>
      <c r="B75" s="12" t="s">
        <v>7</v>
      </c>
      <c r="C75" s="12" t="s">
        <v>37</v>
      </c>
      <c r="D75" s="12" t="s">
        <v>38</v>
      </c>
      <c r="E75" s="12" t="s">
        <v>45</v>
      </c>
      <c r="F75" s="13" t="s">
        <v>44</v>
      </c>
      <c r="G75" s="12" t="s">
        <v>68</v>
      </c>
      <c r="H75" s="12" t="s">
        <v>830</v>
      </c>
      <c r="I75" s="12" t="s">
        <v>831</v>
      </c>
      <c r="J75" s="17" t="s">
        <v>4591</v>
      </c>
      <c r="K75" s="17" t="s">
        <v>4594</v>
      </c>
      <c r="L75" s="17" t="s">
        <v>4599</v>
      </c>
      <c r="M75" s="17" t="s">
        <v>194</v>
      </c>
      <c r="O75" s="18" t="s">
        <v>577</v>
      </c>
    </row>
    <row r="76">
      <c r="A76" s="11"/>
      <c r="B76" s="12" t="s">
        <v>7</v>
      </c>
      <c r="C76" s="12" t="s">
        <v>37</v>
      </c>
      <c r="D76" s="12" t="s">
        <v>38</v>
      </c>
      <c r="E76" s="12" t="s">
        <v>45</v>
      </c>
      <c r="F76" s="13" t="s">
        <v>44</v>
      </c>
      <c r="G76" s="12" t="s">
        <v>68</v>
      </c>
      <c r="H76" s="12" t="s">
        <v>830</v>
      </c>
      <c r="I76" s="12" t="s">
        <v>831</v>
      </c>
      <c r="J76" s="17" t="s">
        <v>4591</v>
      </c>
      <c r="K76" s="17" t="s">
        <v>4595</v>
      </c>
      <c r="L76" s="17" t="s">
        <v>4599</v>
      </c>
      <c r="M76" s="17" t="s">
        <v>194</v>
      </c>
      <c r="O76" s="18" t="s">
        <v>577</v>
      </c>
    </row>
    <row r="77">
      <c r="A77" s="11"/>
      <c r="B77" s="12" t="s">
        <v>7</v>
      </c>
      <c r="C77" s="12" t="s">
        <v>37</v>
      </c>
      <c r="D77" s="12" t="s">
        <v>38</v>
      </c>
      <c r="E77" s="12" t="s">
        <v>45</v>
      </c>
      <c r="F77" s="13" t="s">
        <v>44</v>
      </c>
      <c r="G77" s="12" t="s">
        <v>68</v>
      </c>
      <c r="H77" s="12" t="s">
        <v>830</v>
      </c>
      <c r="I77" s="12" t="s">
        <v>831</v>
      </c>
      <c r="J77" s="17" t="s">
        <v>4591</v>
      </c>
      <c r="K77" s="17" t="s">
        <v>4596</v>
      </c>
      <c r="L77" s="17" t="s">
        <v>4599</v>
      </c>
      <c r="M77" s="17" t="s">
        <v>194</v>
      </c>
      <c r="O77" s="18" t="s">
        <v>577</v>
      </c>
    </row>
    <row r="78">
      <c r="A78" s="11"/>
      <c r="B78" s="12" t="s">
        <v>7</v>
      </c>
      <c r="C78" s="12" t="s">
        <v>37</v>
      </c>
      <c r="D78" s="12" t="s">
        <v>38</v>
      </c>
      <c r="E78" s="12" t="s">
        <v>45</v>
      </c>
      <c r="F78" s="13" t="s">
        <v>44</v>
      </c>
      <c r="G78" s="12" t="s">
        <v>68</v>
      </c>
      <c r="H78" s="12" t="s">
        <v>830</v>
      </c>
      <c r="I78" s="12" t="s">
        <v>831</v>
      </c>
      <c r="J78" s="17" t="s">
        <v>4597</v>
      </c>
      <c r="K78" s="17" t="s">
        <v>4598</v>
      </c>
      <c r="L78" s="17" t="s">
        <v>4599</v>
      </c>
      <c r="M78" s="17" t="s">
        <v>194</v>
      </c>
      <c r="O78" s="18" t="s">
        <v>577</v>
      </c>
    </row>
    <row r="79">
      <c r="A79" s="11"/>
      <c r="B79" s="12" t="s">
        <v>7</v>
      </c>
      <c r="C79" s="12" t="s">
        <v>37</v>
      </c>
      <c r="D79" s="12" t="s">
        <v>38</v>
      </c>
      <c r="E79" s="12" t="s">
        <v>45</v>
      </c>
      <c r="F79" s="13" t="s">
        <v>44</v>
      </c>
      <c r="G79" s="12" t="s">
        <v>68</v>
      </c>
      <c r="H79" s="12" t="s">
        <v>830</v>
      </c>
      <c r="I79" s="12" t="s">
        <v>831</v>
      </c>
      <c r="J79" s="17" t="s">
        <v>4597</v>
      </c>
      <c r="K79" s="17" t="s">
        <v>4600</v>
      </c>
      <c r="L79" s="17" t="s">
        <v>4599</v>
      </c>
      <c r="M79" s="17" t="s">
        <v>194</v>
      </c>
      <c r="O79" s="18" t="s">
        <v>577</v>
      </c>
    </row>
    <row r="80">
      <c r="A80" s="11"/>
      <c r="B80" s="12" t="s">
        <v>7</v>
      </c>
      <c r="C80" s="12" t="s">
        <v>37</v>
      </c>
      <c r="D80" s="12" t="s">
        <v>38</v>
      </c>
      <c r="E80" s="12" t="s">
        <v>45</v>
      </c>
      <c r="F80" s="13" t="s">
        <v>44</v>
      </c>
      <c r="G80" s="12" t="s">
        <v>68</v>
      </c>
      <c r="H80" s="12" t="s">
        <v>830</v>
      </c>
      <c r="I80" s="12" t="s">
        <v>831</v>
      </c>
      <c r="J80" s="17" t="s">
        <v>4597</v>
      </c>
      <c r="K80" s="17" t="s">
        <v>4601</v>
      </c>
      <c r="L80" s="17" t="s">
        <v>4593</v>
      </c>
      <c r="M80" s="17" t="s">
        <v>194</v>
      </c>
      <c r="O80" s="18" t="s">
        <v>577</v>
      </c>
    </row>
    <row r="81">
      <c r="A81" s="11"/>
      <c r="B81" s="12" t="s">
        <v>7</v>
      </c>
      <c r="C81" s="12" t="s">
        <v>37</v>
      </c>
      <c r="D81" s="12" t="s">
        <v>38</v>
      </c>
      <c r="E81" s="12" t="s">
        <v>45</v>
      </c>
      <c r="F81" s="13" t="s">
        <v>44</v>
      </c>
      <c r="G81" s="12" t="s">
        <v>68</v>
      </c>
      <c r="H81" s="12" t="s">
        <v>830</v>
      </c>
      <c r="I81" s="12" t="s">
        <v>831</v>
      </c>
      <c r="J81" s="17" t="s">
        <v>4597</v>
      </c>
      <c r="K81" s="17" t="s">
        <v>4602</v>
      </c>
      <c r="L81" s="17" t="s">
        <v>4599</v>
      </c>
      <c r="M81" s="17" t="s">
        <v>194</v>
      </c>
      <c r="O81" s="18" t="s">
        <v>577</v>
      </c>
    </row>
    <row r="82">
      <c r="A82" s="11"/>
      <c r="B82" s="12" t="s">
        <v>7</v>
      </c>
      <c r="C82" s="12" t="s">
        <v>37</v>
      </c>
      <c r="D82" s="12" t="s">
        <v>38</v>
      </c>
      <c r="E82" s="12" t="s">
        <v>45</v>
      </c>
      <c r="F82" s="13" t="s">
        <v>44</v>
      </c>
      <c r="G82" s="12" t="s">
        <v>68</v>
      </c>
      <c r="H82" s="12" t="s">
        <v>830</v>
      </c>
      <c r="I82" s="12" t="s">
        <v>831</v>
      </c>
      <c r="J82" s="17" t="s">
        <v>4597</v>
      </c>
      <c r="K82" s="17" t="s">
        <v>4603</v>
      </c>
      <c r="L82" s="17" t="s">
        <v>4593</v>
      </c>
      <c r="M82" s="17" t="s">
        <v>194</v>
      </c>
      <c r="O82" s="18" t="s">
        <v>577</v>
      </c>
    </row>
    <row r="83">
      <c r="A83" s="11"/>
      <c r="B83" s="12" t="s">
        <v>34</v>
      </c>
      <c r="C83" s="12" t="s">
        <v>65</v>
      </c>
      <c r="D83" s="12" t="s">
        <v>83</v>
      </c>
      <c r="E83" s="12" t="s">
        <v>84</v>
      </c>
      <c r="F83" s="13" t="s">
        <v>85</v>
      </c>
      <c r="G83" s="12" t="s">
        <v>86</v>
      </c>
      <c r="H83" s="12" t="s">
        <v>87</v>
      </c>
      <c r="I83" s="12"/>
      <c r="J83" s="17" t="s">
        <v>4591</v>
      </c>
      <c r="K83" s="17" t="s">
        <v>4592</v>
      </c>
      <c r="L83" s="17" t="s">
        <v>4593</v>
      </c>
      <c r="M83" s="17" t="s">
        <v>194</v>
      </c>
      <c r="O83" s="18" t="s">
        <v>92</v>
      </c>
    </row>
    <row r="84">
      <c r="A84" s="11"/>
      <c r="B84" s="12" t="s">
        <v>34</v>
      </c>
      <c r="C84" s="12" t="s">
        <v>65</v>
      </c>
      <c r="D84" s="12" t="s">
        <v>83</v>
      </c>
      <c r="E84" s="12" t="s">
        <v>84</v>
      </c>
      <c r="F84" s="13" t="s">
        <v>85</v>
      </c>
      <c r="G84" s="12" t="s">
        <v>86</v>
      </c>
      <c r="H84" s="12" t="s">
        <v>87</v>
      </c>
      <c r="I84" s="12"/>
      <c r="J84" s="17" t="s">
        <v>4591</v>
      </c>
      <c r="K84" s="17" t="s">
        <v>4594</v>
      </c>
      <c r="L84" s="17" t="s">
        <v>4593</v>
      </c>
      <c r="M84" s="17" t="s">
        <v>194</v>
      </c>
      <c r="O84" s="18" t="s">
        <v>92</v>
      </c>
    </row>
    <row r="85">
      <c r="A85" s="11"/>
      <c r="B85" s="12" t="s">
        <v>34</v>
      </c>
      <c r="C85" s="12" t="s">
        <v>65</v>
      </c>
      <c r="D85" s="12" t="s">
        <v>83</v>
      </c>
      <c r="E85" s="12" t="s">
        <v>84</v>
      </c>
      <c r="F85" s="13" t="s">
        <v>85</v>
      </c>
      <c r="G85" s="12" t="s">
        <v>86</v>
      </c>
      <c r="H85" s="12" t="s">
        <v>87</v>
      </c>
      <c r="I85" s="12"/>
      <c r="J85" s="17" t="s">
        <v>4591</v>
      </c>
      <c r="K85" s="17" t="s">
        <v>4595</v>
      </c>
      <c r="L85" s="17" t="s">
        <v>4593</v>
      </c>
      <c r="M85" s="17" t="s">
        <v>194</v>
      </c>
      <c r="O85" s="18" t="s">
        <v>92</v>
      </c>
    </row>
    <row r="86">
      <c r="A86" s="11"/>
      <c r="B86" s="12" t="s">
        <v>34</v>
      </c>
      <c r="C86" s="12" t="s">
        <v>65</v>
      </c>
      <c r="D86" s="12" t="s">
        <v>83</v>
      </c>
      <c r="E86" s="12" t="s">
        <v>84</v>
      </c>
      <c r="F86" s="13" t="s">
        <v>85</v>
      </c>
      <c r="G86" s="12" t="s">
        <v>86</v>
      </c>
      <c r="H86" s="12" t="s">
        <v>87</v>
      </c>
      <c r="I86" s="12"/>
      <c r="J86" s="17" t="s">
        <v>4591</v>
      </c>
      <c r="K86" s="17" t="s">
        <v>4596</v>
      </c>
      <c r="L86" s="17" t="s">
        <v>4593</v>
      </c>
      <c r="M86" s="17" t="s">
        <v>194</v>
      </c>
      <c r="O86" s="18" t="s">
        <v>92</v>
      </c>
    </row>
    <row r="87">
      <c r="A87" s="11"/>
      <c r="B87" s="12" t="s">
        <v>34</v>
      </c>
      <c r="C87" s="12" t="s">
        <v>65</v>
      </c>
      <c r="D87" s="12" t="s">
        <v>83</v>
      </c>
      <c r="E87" s="12" t="s">
        <v>84</v>
      </c>
      <c r="F87" s="13" t="s">
        <v>85</v>
      </c>
      <c r="G87" s="12" t="s">
        <v>86</v>
      </c>
      <c r="H87" s="12" t="s">
        <v>87</v>
      </c>
      <c r="I87" s="12"/>
      <c r="J87" s="17" t="s">
        <v>4597</v>
      </c>
      <c r="K87" s="17" t="s">
        <v>4598</v>
      </c>
      <c r="L87" s="17" t="s">
        <v>4599</v>
      </c>
      <c r="M87" s="17" t="s">
        <v>194</v>
      </c>
      <c r="O87" s="18" t="s">
        <v>92</v>
      </c>
    </row>
    <row r="88">
      <c r="A88" s="11"/>
      <c r="B88" s="12" t="s">
        <v>34</v>
      </c>
      <c r="C88" s="12" t="s">
        <v>65</v>
      </c>
      <c r="D88" s="12" t="s">
        <v>83</v>
      </c>
      <c r="E88" s="12" t="s">
        <v>84</v>
      </c>
      <c r="F88" s="13" t="s">
        <v>85</v>
      </c>
      <c r="G88" s="12" t="s">
        <v>86</v>
      </c>
      <c r="H88" s="12" t="s">
        <v>87</v>
      </c>
      <c r="I88" s="12"/>
      <c r="J88" s="17" t="s">
        <v>4597</v>
      </c>
      <c r="K88" s="17" t="s">
        <v>4600</v>
      </c>
      <c r="L88" s="17" t="s">
        <v>4599</v>
      </c>
      <c r="M88" s="17" t="s">
        <v>194</v>
      </c>
      <c r="O88" s="18" t="s">
        <v>92</v>
      </c>
    </row>
    <row r="89">
      <c r="A89" s="11"/>
      <c r="B89" s="12" t="s">
        <v>34</v>
      </c>
      <c r="C89" s="12" t="s">
        <v>65</v>
      </c>
      <c r="D89" s="12" t="s">
        <v>83</v>
      </c>
      <c r="E89" s="12" t="s">
        <v>84</v>
      </c>
      <c r="F89" s="13" t="s">
        <v>85</v>
      </c>
      <c r="G89" s="12" t="s">
        <v>86</v>
      </c>
      <c r="H89" s="12" t="s">
        <v>87</v>
      </c>
      <c r="I89" s="12"/>
      <c r="J89" s="17" t="s">
        <v>4597</v>
      </c>
      <c r="K89" s="17" t="s">
        <v>4601</v>
      </c>
      <c r="L89" s="17" t="s">
        <v>4593</v>
      </c>
      <c r="M89" s="17" t="s">
        <v>194</v>
      </c>
      <c r="O89" s="18" t="s">
        <v>92</v>
      </c>
    </row>
    <row r="90">
      <c r="A90" s="11"/>
      <c r="B90" s="12" t="s">
        <v>34</v>
      </c>
      <c r="C90" s="12" t="s">
        <v>65</v>
      </c>
      <c r="D90" s="12" t="s">
        <v>83</v>
      </c>
      <c r="E90" s="12" t="s">
        <v>84</v>
      </c>
      <c r="F90" s="13" t="s">
        <v>85</v>
      </c>
      <c r="G90" s="12" t="s">
        <v>86</v>
      </c>
      <c r="H90" s="12" t="s">
        <v>87</v>
      </c>
      <c r="I90" s="12"/>
      <c r="J90" s="17" t="s">
        <v>4597</v>
      </c>
      <c r="K90" s="17" t="s">
        <v>4602</v>
      </c>
      <c r="L90" s="17" t="s">
        <v>4593</v>
      </c>
      <c r="M90" s="17" t="s">
        <v>194</v>
      </c>
      <c r="O90" s="18" t="s">
        <v>92</v>
      </c>
    </row>
    <row r="91">
      <c r="A91" s="11"/>
      <c r="B91" s="12" t="s">
        <v>34</v>
      </c>
      <c r="C91" s="12" t="s">
        <v>65</v>
      </c>
      <c r="D91" s="12" t="s">
        <v>83</v>
      </c>
      <c r="E91" s="12" t="s">
        <v>84</v>
      </c>
      <c r="F91" s="13" t="s">
        <v>85</v>
      </c>
      <c r="G91" s="12" t="s">
        <v>86</v>
      </c>
      <c r="H91" s="12" t="s">
        <v>87</v>
      </c>
      <c r="I91" s="12"/>
      <c r="J91" s="17" t="s">
        <v>4597</v>
      </c>
      <c r="K91" s="17" t="s">
        <v>4603</v>
      </c>
      <c r="L91" s="17" t="s">
        <v>4599</v>
      </c>
      <c r="M91" s="17" t="s">
        <v>194</v>
      </c>
      <c r="O91" s="18" t="s">
        <v>92</v>
      </c>
    </row>
    <row r="92">
      <c r="A92" s="11"/>
      <c r="B92" s="12" t="s">
        <v>34</v>
      </c>
      <c r="C92" s="12" t="s">
        <v>65</v>
      </c>
      <c r="D92" s="12" t="s">
        <v>83</v>
      </c>
      <c r="E92" s="12" t="s">
        <v>84</v>
      </c>
      <c r="F92" s="13" t="s">
        <v>85</v>
      </c>
      <c r="G92" s="12" t="s">
        <v>86</v>
      </c>
      <c r="H92" s="12" t="s">
        <v>87</v>
      </c>
      <c r="I92" s="12"/>
      <c r="J92" s="17" t="s">
        <v>4591</v>
      </c>
      <c r="K92" s="17" t="s">
        <v>4592</v>
      </c>
      <c r="L92" s="17" t="s">
        <v>4604</v>
      </c>
      <c r="M92" s="17" t="s">
        <v>428</v>
      </c>
      <c r="O92" s="18" t="s">
        <v>92</v>
      </c>
    </row>
    <row r="93">
      <c r="A93" s="11"/>
      <c r="B93" s="12" t="s">
        <v>34</v>
      </c>
      <c r="C93" s="12" t="s">
        <v>65</v>
      </c>
      <c r="D93" s="12" t="s">
        <v>83</v>
      </c>
      <c r="E93" s="12" t="s">
        <v>84</v>
      </c>
      <c r="F93" s="13" t="s">
        <v>85</v>
      </c>
      <c r="G93" s="12" t="s">
        <v>86</v>
      </c>
      <c r="H93" s="12" t="s">
        <v>87</v>
      </c>
      <c r="I93" s="12"/>
      <c r="J93" s="17" t="s">
        <v>4591</v>
      </c>
      <c r="K93" s="17" t="s">
        <v>4594</v>
      </c>
      <c r="L93" s="17" t="s">
        <v>4604</v>
      </c>
      <c r="M93" s="17" t="s">
        <v>428</v>
      </c>
      <c r="O93" s="18" t="s">
        <v>92</v>
      </c>
    </row>
    <row r="94">
      <c r="A94" s="11"/>
      <c r="B94" s="12" t="s">
        <v>34</v>
      </c>
      <c r="C94" s="12" t="s">
        <v>65</v>
      </c>
      <c r="D94" s="12" t="s">
        <v>83</v>
      </c>
      <c r="E94" s="12" t="s">
        <v>84</v>
      </c>
      <c r="F94" s="13" t="s">
        <v>85</v>
      </c>
      <c r="G94" s="12" t="s">
        <v>86</v>
      </c>
      <c r="H94" s="12" t="s">
        <v>87</v>
      </c>
      <c r="I94" s="12"/>
      <c r="J94" s="17" t="s">
        <v>4591</v>
      </c>
      <c r="K94" s="17" t="s">
        <v>4595</v>
      </c>
      <c r="L94" s="17" t="s">
        <v>4604</v>
      </c>
      <c r="M94" s="17" t="s">
        <v>428</v>
      </c>
      <c r="O94" s="18" t="s">
        <v>92</v>
      </c>
    </row>
    <row r="95">
      <c r="A95" s="11"/>
      <c r="B95" s="12" t="s">
        <v>34</v>
      </c>
      <c r="C95" s="12" t="s">
        <v>65</v>
      </c>
      <c r="D95" s="12" t="s">
        <v>83</v>
      </c>
      <c r="E95" s="12" t="s">
        <v>84</v>
      </c>
      <c r="F95" s="13" t="s">
        <v>85</v>
      </c>
      <c r="G95" s="12" t="s">
        <v>86</v>
      </c>
      <c r="H95" s="12" t="s">
        <v>87</v>
      </c>
      <c r="I95" s="12"/>
      <c r="J95" s="17" t="s">
        <v>4591</v>
      </c>
      <c r="K95" s="17" t="s">
        <v>4596</v>
      </c>
      <c r="L95" s="17" t="s">
        <v>4604</v>
      </c>
      <c r="M95" s="17" t="s">
        <v>428</v>
      </c>
      <c r="O95" s="18" t="s">
        <v>92</v>
      </c>
    </row>
    <row r="96">
      <c r="A96" s="11"/>
      <c r="B96" s="12" t="s">
        <v>34</v>
      </c>
      <c r="C96" s="12" t="s">
        <v>65</v>
      </c>
      <c r="D96" s="12" t="s">
        <v>83</v>
      </c>
      <c r="E96" s="12" t="s">
        <v>84</v>
      </c>
      <c r="F96" s="13" t="s">
        <v>85</v>
      </c>
      <c r="G96" s="12" t="s">
        <v>86</v>
      </c>
      <c r="H96" s="12" t="s">
        <v>87</v>
      </c>
      <c r="I96" s="12"/>
      <c r="J96" s="17" t="s">
        <v>4597</v>
      </c>
      <c r="K96" s="17" t="s">
        <v>4598</v>
      </c>
      <c r="L96" s="17" t="s">
        <v>4593</v>
      </c>
      <c r="M96" s="17" t="s">
        <v>428</v>
      </c>
      <c r="O96" s="18" t="s">
        <v>92</v>
      </c>
    </row>
    <row r="97">
      <c r="A97" s="11"/>
      <c r="B97" s="12" t="s">
        <v>34</v>
      </c>
      <c r="C97" s="12" t="s">
        <v>65</v>
      </c>
      <c r="D97" s="12" t="s">
        <v>83</v>
      </c>
      <c r="E97" s="12" t="s">
        <v>84</v>
      </c>
      <c r="F97" s="13" t="s">
        <v>85</v>
      </c>
      <c r="G97" s="12" t="s">
        <v>86</v>
      </c>
      <c r="H97" s="12" t="s">
        <v>87</v>
      </c>
      <c r="I97" s="12"/>
      <c r="J97" s="17" t="s">
        <v>4597</v>
      </c>
      <c r="K97" s="17" t="s">
        <v>4600</v>
      </c>
      <c r="L97" s="17" t="s">
        <v>4593</v>
      </c>
      <c r="M97" s="17" t="s">
        <v>428</v>
      </c>
      <c r="O97" s="18" t="s">
        <v>92</v>
      </c>
    </row>
    <row r="98">
      <c r="A98" s="11"/>
      <c r="B98" s="12" t="s">
        <v>34</v>
      </c>
      <c r="C98" s="12" t="s">
        <v>65</v>
      </c>
      <c r="D98" s="12" t="s">
        <v>83</v>
      </c>
      <c r="E98" s="12" t="s">
        <v>84</v>
      </c>
      <c r="F98" s="13" t="s">
        <v>85</v>
      </c>
      <c r="G98" s="12" t="s">
        <v>86</v>
      </c>
      <c r="H98" s="12" t="s">
        <v>87</v>
      </c>
      <c r="I98" s="12"/>
      <c r="J98" s="17" t="s">
        <v>4597</v>
      </c>
      <c r="K98" s="17" t="s">
        <v>4601</v>
      </c>
      <c r="L98" s="17" t="s">
        <v>4604</v>
      </c>
      <c r="M98" s="17" t="s">
        <v>428</v>
      </c>
      <c r="O98" s="18" t="s">
        <v>92</v>
      </c>
    </row>
    <row r="99">
      <c r="A99" s="11"/>
      <c r="B99" s="12" t="s">
        <v>34</v>
      </c>
      <c r="C99" s="12" t="s">
        <v>65</v>
      </c>
      <c r="D99" s="12" t="s">
        <v>83</v>
      </c>
      <c r="E99" s="12" t="s">
        <v>84</v>
      </c>
      <c r="F99" s="13" t="s">
        <v>85</v>
      </c>
      <c r="G99" s="12" t="s">
        <v>86</v>
      </c>
      <c r="H99" s="12" t="s">
        <v>87</v>
      </c>
      <c r="I99" s="12"/>
      <c r="J99" s="17" t="s">
        <v>4597</v>
      </c>
      <c r="K99" s="17" t="s">
        <v>4602</v>
      </c>
      <c r="L99" s="17" t="s">
        <v>4593</v>
      </c>
      <c r="M99" s="17" t="s">
        <v>428</v>
      </c>
      <c r="O99" s="18" t="s">
        <v>92</v>
      </c>
    </row>
    <row r="100">
      <c r="A100" s="11"/>
      <c r="B100" s="12" t="s">
        <v>34</v>
      </c>
      <c r="C100" s="12" t="s">
        <v>65</v>
      </c>
      <c r="D100" s="12" t="s">
        <v>83</v>
      </c>
      <c r="E100" s="12" t="s">
        <v>84</v>
      </c>
      <c r="F100" s="13" t="s">
        <v>85</v>
      </c>
      <c r="G100" s="12" t="s">
        <v>86</v>
      </c>
      <c r="H100" s="12" t="s">
        <v>87</v>
      </c>
      <c r="I100" s="12"/>
      <c r="J100" s="17" t="s">
        <v>4597</v>
      </c>
      <c r="K100" s="17" t="s">
        <v>4603</v>
      </c>
      <c r="L100" s="17" t="s">
        <v>4593</v>
      </c>
      <c r="M100" s="17" t="s">
        <v>428</v>
      </c>
      <c r="O100" s="18" t="s">
        <v>92</v>
      </c>
    </row>
    <row r="101">
      <c r="A101" s="11"/>
      <c r="B101" s="12" t="s">
        <v>34</v>
      </c>
      <c r="C101" s="12" t="s">
        <v>65</v>
      </c>
      <c r="D101" s="12" t="s">
        <v>102</v>
      </c>
      <c r="E101" s="12" t="s">
        <v>103</v>
      </c>
      <c r="F101" s="13" t="s">
        <v>104</v>
      </c>
      <c r="G101" s="12" t="s">
        <v>68</v>
      </c>
      <c r="H101" s="12" t="s">
        <v>105</v>
      </c>
      <c r="I101" s="12" t="s">
        <v>106</v>
      </c>
      <c r="J101" s="17" t="s">
        <v>4591</v>
      </c>
      <c r="K101" s="17" t="s">
        <v>4592</v>
      </c>
      <c r="L101" s="17" t="s">
        <v>4605</v>
      </c>
      <c r="M101" s="17" t="s">
        <v>194</v>
      </c>
      <c r="O101" s="18" t="s">
        <v>92</v>
      </c>
    </row>
    <row r="102">
      <c r="A102" s="11"/>
      <c r="B102" s="12" t="s">
        <v>34</v>
      </c>
      <c r="C102" s="12" t="s">
        <v>65</v>
      </c>
      <c r="D102" s="12" t="s">
        <v>102</v>
      </c>
      <c r="E102" s="12" t="s">
        <v>103</v>
      </c>
      <c r="F102" s="13" t="s">
        <v>104</v>
      </c>
      <c r="G102" s="12" t="s">
        <v>68</v>
      </c>
      <c r="H102" s="12" t="s">
        <v>105</v>
      </c>
      <c r="I102" s="12" t="s">
        <v>106</v>
      </c>
      <c r="J102" s="17" t="s">
        <v>4591</v>
      </c>
      <c r="K102" s="17" t="s">
        <v>4594</v>
      </c>
      <c r="L102" s="17" t="s">
        <v>4599</v>
      </c>
      <c r="M102" s="17" t="s">
        <v>194</v>
      </c>
      <c r="O102" s="18" t="s">
        <v>92</v>
      </c>
    </row>
    <row r="103">
      <c r="A103" s="11"/>
      <c r="B103" s="12" t="s">
        <v>34</v>
      </c>
      <c r="C103" s="12" t="s">
        <v>65</v>
      </c>
      <c r="D103" s="12" t="s">
        <v>102</v>
      </c>
      <c r="E103" s="12" t="s">
        <v>103</v>
      </c>
      <c r="F103" s="13" t="s">
        <v>104</v>
      </c>
      <c r="G103" s="12" t="s">
        <v>68</v>
      </c>
      <c r="H103" s="12" t="s">
        <v>105</v>
      </c>
      <c r="I103" s="12" t="s">
        <v>106</v>
      </c>
      <c r="J103" s="17" t="s">
        <v>4591</v>
      </c>
      <c r="K103" s="17" t="s">
        <v>4595</v>
      </c>
      <c r="L103" s="17" t="s">
        <v>4599</v>
      </c>
      <c r="M103" s="17" t="s">
        <v>194</v>
      </c>
      <c r="O103" s="18" t="s">
        <v>92</v>
      </c>
    </row>
    <row r="104">
      <c r="A104" s="11"/>
      <c r="B104" s="12" t="s">
        <v>34</v>
      </c>
      <c r="C104" s="12" t="s">
        <v>65</v>
      </c>
      <c r="D104" s="12" t="s">
        <v>102</v>
      </c>
      <c r="E104" s="12" t="s">
        <v>103</v>
      </c>
      <c r="F104" s="13" t="s">
        <v>104</v>
      </c>
      <c r="G104" s="12" t="s">
        <v>68</v>
      </c>
      <c r="H104" s="12" t="s">
        <v>105</v>
      </c>
      <c r="I104" s="12" t="s">
        <v>106</v>
      </c>
      <c r="J104" s="17" t="s">
        <v>4591</v>
      </c>
      <c r="K104" s="17" t="s">
        <v>4596</v>
      </c>
      <c r="L104" s="17" t="s">
        <v>4599</v>
      </c>
      <c r="M104" s="17" t="s">
        <v>194</v>
      </c>
      <c r="O104" s="18" t="s">
        <v>92</v>
      </c>
    </row>
    <row r="105">
      <c r="A105" s="11"/>
      <c r="B105" s="12" t="s">
        <v>34</v>
      </c>
      <c r="C105" s="12" t="s">
        <v>65</v>
      </c>
      <c r="D105" s="12" t="s">
        <v>102</v>
      </c>
      <c r="E105" s="12" t="s">
        <v>103</v>
      </c>
      <c r="F105" s="13" t="s">
        <v>104</v>
      </c>
      <c r="G105" s="12" t="s">
        <v>68</v>
      </c>
      <c r="H105" s="12" t="s">
        <v>105</v>
      </c>
      <c r="I105" s="12" t="s">
        <v>106</v>
      </c>
      <c r="J105" s="17" t="s">
        <v>4597</v>
      </c>
      <c r="K105" s="17" t="s">
        <v>4598</v>
      </c>
      <c r="L105" s="17" t="s">
        <v>4593</v>
      </c>
      <c r="M105" s="17" t="s">
        <v>194</v>
      </c>
      <c r="O105" s="18" t="s">
        <v>92</v>
      </c>
    </row>
    <row r="106">
      <c r="A106" s="11"/>
      <c r="B106" s="12" t="s">
        <v>34</v>
      </c>
      <c r="C106" s="12" t="s">
        <v>65</v>
      </c>
      <c r="D106" s="12" t="s">
        <v>102</v>
      </c>
      <c r="E106" s="12" t="s">
        <v>103</v>
      </c>
      <c r="F106" s="13" t="s">
        <v>104</v>
      </c>
      <c r="G106" s="12" t="s">
        <v>68</v>
      </c>
      <c r="H106" s="12" t="s">
        <v>105</v>
      </c>
      <c r="I106" s="12" t="s">
        <v>106</v>
      </c>
      <c r="J106" s="17" t="s">
        <v>4597</v>
      </c>
      <c r="K106" s="17" t="s">
        <v>4600</v>
      </c>
      <c r="L106" s="17" t="s">
        <v>4599</v>
      </c>
      <c r="M106" s="17" t="s">
        <v>194</v>
      </c>
      <c r="O106" s="18" t="s">
        <v>92</v>
      </c>
    </row>
    <row r="107">
      <c r="A107" s="11"/>
      <c r="B107" s="12" t="s">
        <v>34</v>
      </c>
      <c r="C107" s="12" t="s">
        <v>65</v>
      </c>
      <c r="D107" s="12" t="s">
        <v>102</v>
      </c>
      <c r="E107" s="12" t="s">
        <v>103</v>
      </c>
      <c r="F107" s="13" t="s">
        <v>104</v>
      </c>
      <c r="G107" s="12" t="s">
        <v>68</v>
      </c>
      <c r="H107" s="12" t="s">
        <v>105</v>
      </c>
      <c r="I107" s="12" t="s">
        <v>106</v>
      </c>
      <c r="J107" s="17" t="s">
        <v>4597</v>
      </c>
      <c r="K107" s="17" t="s">
        <v>4601</v>
      </c>
      <c r="L107" s="17" t="s">
        <v>4593</v>
      </c>
      <c r="M107" s="17" t="s">
        <v>194</v>
      </c>
      <c r="O107" s="18" t="s">
        <v>92</v>
      </c>
    </row>
    <row r="108">
      <c r="A108" s="11"/>
      <c r="B108" s="12" t="s">
        <v>34</v>
      </c>
      <c r="C108" s="12" t="s">
        <v>65</v>
      </c>
      <c r="D108" s="12" t="s">
        <v>102</v>
      </c>
      <c r="E108" s="12" t="s">
        <v>103</v>
      </c>
      <c r="F108" s="13" t="s">
        <v>104</v>
      </c>
      <c r="G108" s="12" t="s">
        <v>68</v>
      </c>
      <c r="H108" s="12" t="s">
        <v>105</v>
      </c>
      <c r="I108" s="12" t="s">
        <v>106</v>
      </c>
      <c r="J108" s="17" t="s">
        <v>4597</v>
      </c>
      <c r="K108" s="17" t="s">
        <v>4602</v>
      </c>
      <c r="L108" s="17" t="s">
        <v>4599</v>
      </c>
      <c r="M108" s="17" t="s">
        <v>194</v>
      </c>
      <c r="O108" s="18" t="s">
        <v>92</v>
      </c>
    </row>
    <row r="109">
      <c r="A109" s="11"/>
      <c r="B109" s="12" t="s">
        <v>34</v>
      </c>
      <c r="C109" s="12" t="s">
        <v>65</v>
      </c>
      <c r="D109" s="12" t="s">
        <v>102</v>
      </c>
      <c r="E109" s="12" t="s">
        <v>103</v>
      </c>
      <c r="F109" s="13" t="s">
        <v>104</v>
      </c>
      <c r="G109" s="12" t="s">
        <v>68</v>
      </c>
      <c r="H109" s="12" t="s">
        <v>105</v>
      </c>
      <c r="I109" s="12" t="s">
        <v>106</v>
      </c>
      <c r="J109" s="17" t="s">
        <v>4597</v>
      </c>
      <c r="K109" s="17" t="s">
        <v>4603</v>
      </c>
      <c r="L109" s="17" t="s">
        <v>4599</v>
      </c>
      <c r="M109" s="17" t="s">
        <v>194</v>
      </c>
      <c r="O109" s="18" t="s">
        <v>92</v>
      </c>
    </row>
    <row r="110">
      <c r="A110" s="11"/>
      <c r="B110" s="12" t="s">
        <v>34</v>
      </c>
      <c r="C110" s="12" t="s">
        <v>65</v>
      </c>
      <c r="D110" s="12" t="s">
        <v>102</v>
      </c>
      <c r="E110" s="12" t="s">
        <v>103</v>
      </c>
      <c r="F110" s="13" t="s">
        <v>104</v>
      </c>
      <c r="G110" s="12" t="s">
        <v>68</v>
      </c>
      <c r="H110" s="12" t="s">
        <v>105</v>
      </c>
      <c r="I110" s="12" t="s">
        <v>106</v>
      </c>
      <c r="J110" s="17" t="s">
        <v>4591</v>
      </c>
      <c r="K110" s="17" t="s">
        <v>4592</v>
      </c>
      <c r="L110" s="17" t="s">
        <v>4593</v>
      </c>
      <c r="M110" s="17" t="s">
        <v>428</v>
      </c>
      <c r="O110" s="18" t="s">
        <v>92</v>
      </c>
    </row>
    <row r="111">
      <c r="A111" s="11"/>
      <c r="B111" s="12" t="s">
        <v>34</v>
      </c>
      <c r="C111" s="12" t="s">
        <v>65</v>
      </c>
      <c r="D111" s="12" t="s">
        <v>102</v>
      </c>
      <c r="E111" s="12" t="s">
        <v>103</v>
      </c>
      <c r="F111" s="13" t="s">
        <v>104</v>
      </c>
      <c r="G111" s="12" t="s">
        <v>68</v>
      </c>
      <c r="H111" s="12" t="s">
        <v>105</v>
      </c>
      <c r="I111" s="12" t="s">
        <v>106</v>
      </c>
      <c r="J111" s="17" t="s">
        <v>4591</v>
      </c>
      <c r="K111" s="17" t="s">
        <v>4594</v>
      </c>
      <c r="L111" s="17" t="s">
        <v>4593</v>
      </c>
      <c r="M111" s="17" t="s">
        <v>428</v>
      </c>
      <c r="O111" s="18" t="s">
        <v>92</v>
      </c>
    </row>
    <row r="112">
      <c r="A112" s="11"/>
      <c r="B112" s="12" t="s">
        <v>34</v>
      </c>
      <c r="C112" s="12" t="s">
        <v>65</v>
      </c>
      <c r="D112" s="12" t="s">
        <v>102</v>
      </c>
      <c r="E112" s="12" t="s">
        <v>103</v>
      </c>
      <c r="F112" s="13" t="s">
        <v>104</v>
      </c>
      <c r="G112" s="12" t="s">
        <v>68</v>
      </c>
      <c r="H112" s="12" t="s">
        <v>105</v>
      </c>
      <c r="I112" s="12" t="s">
        <v>106</v>
      </c>
      <c r="J112" s="17" t="s">
        <v>4591</v>
      </c>
      <c r="K112" s="17" t="s">
        <v>4595</v>
      </c>
      <c r="L112" s="17" t="s">
        <v>4593</v>
      </c>
      <c r="M112" s="17" t="s">
        <v>428</v>
      </c>
      <c r="O112" s="18" t="s">
        <v>92</v>
      </c>
    </row>
    <row r="113">
      <c r="A113" s="11"/>
      <c r="B113" s="12" t="s">
        <v>34</v>
      </c>
      <c r="C113" s="12" t="s">
        <v>65</v>
      </c>
      <c r="D113" s="12" t="s">
        <v>102</v>
      </c>
      <c r="E113" s="12" t="s">
        <v>103</v>
      </c>
      <c r="F113" s="13" t="s">
        <v>104</v>
      </c>
      <c r="G113" s="12" t="s">
        <v>68</v>
      </c>
      <c r="H113" s="12" t="s">
        <v>105</v>
      </c>
      <c r="I113" s="12" t="s">
        <v>106</v>
      </c>
      <c r="J113" s="17" t="s">
        <v>4591</v>
      </c>
      <c r="K113" s="17" t="s">
        <v>4596</v>
      </c>
      <c r="L113" s="17" t="s">
        <v>4593</v>
      </c>
      <c r="M113" s="17" t="s">
        <v>428</v>
      </c>
      <c r="O113" s="18" t="s">
        <v>92</v>
      </c>
    </row>
    <row r="114">
      <c r="A114" s="11"/>
      <c r="B114" s="12" t="s">
        <v>34</v>
      </c>
      <c r="C114" s="12" t="s">
        <v>65</v>
      </c>
      <c r="D114" s="12" t="s">
        <v>102</v>
      </c>
      <c r="E114" s="12" t="s">
        <v>103</v>
      </c>
      <c r="F114" s="13" t="s">
        <v>104</v>
      </c>
      <c r="G114" s="12" t="s">
        <v>68</v>
      </c>
      <c r="H114" s="12" t="s">
        <v>105</v>
      </c>
      <c r="I114" s="12" t="s">
        <v>106</v>
      </c>
      <c r="J114" s="17" t="s">
        <v>4597</v>
      </c>
      <c r="K114" s="17" t="s">
        <v>4598</v>
      </c>
      <c r="L114" s="17" t="s">
        <v>4593</v>
      </c>
      <c r="M114" s="17" t="s">
        <v>428</v>
      </c>
      <c r="O114" s="18" t="s">
        <v>92</v>
      </c>
    </row>
    <row r="115">
      <c r="A115" s="11"/>
      <c r="B115" s="12" t="s">
        <v>34</v>
      </c>
      <c r="C115" s="12" t="s">
        <v>65</v>
      </c>
      <c r="D115" s="12" t="s">
        <v>102</v>
      </c>
      <c r="E115" s="12" t="s">
        <v>103</v>
      </c>
      <c r="F115" s="13" t="s">
        <v>104</v>
      </c>
      <c r="G115" s="12" t="s">
        <v>68</v>
      </c>
      <c r="H115" s="12" t="s">
        <v>105</v>
      </c>
      <c r="I115" s="12" t="s">
        <v>106</v>
      </c>
      <c r="J115" s="17" t="s">
        <v>4597</v>
      </c>
      <c r="K115" s="17" t="s">
        <v>4600</v>
      </c>
      <c r="L115" s="17" t="s">
        <v>4593</v>
      </c>
      <c r="M115" s="17" t="s">
        <v>428</v>
      </c>
      <c r="O115" s="18" t="s">
        <v>92</v>
      </c>
    </row>
    <row r="116">
      <c r="A116" s="11"/>
      <c r="B116" s="12" t="s">
        <v>34</v>
      </c>
      <c r="C116" s="12" t="s">
        <v>65</v>
      </c>
      <c r="D116" s="12" t="s">
        <v>102</v>
      </c>
      <c r="E116" s="12" t="s">
        <v>103</v>
      </c>
      <c r="F116" s="13" t="s">
        <v>104</v>
      </c>
      <c r="G116" s="12" t="s">
        <v>68</v>
      </c>
      <c r="H116" s="12" t="s">
        <v>105</v>
      </c>
      <c r="I116" s="12" t="s">
        <v>106</v>
      </c>
      <c r="J116" s="17" t="s">
        <v>4597</v>
      </c>
      <c r="K116" s="17" t="s">
        <v>4601</v>
      </c>
      <c r="L116" s="17" t="s">
        <v>4593</v>
      </c>
      <c r="M116" s="17" t="s">
        <v>428</v>
      </c>
      <c r="O116" s="18" t="s">
        <v>92</v>
      </c>
    </row>
    <row r="117">
      <c r="A117" s="11"/>
      <c r="B117" s="12" t="s">
        <v>34</v>
      </c>
      <c r="C117" s="12" t="s">
        <v>65</v>
      </c>
      <c r="D117" s="12" t="s">
        <v>102</v>
      </c>
      <c r="E117" s="12" t="s">
        <v>103</v>
      </c>
      <c r="F117" s="13" t="s">
        <v>104</v>
      </c>
      <c r="G117" s="12" t="s">
        <v>68</v>
      </c>
      <c r="H117" s="12" t="s">
        <v>105</v>
      </c>
      <c r="I117" s="12" t="s">
        <v>106</v>
      </c>
      <c r="J117" s="17" t="s">
        <v>4597</v>
      </c>
      <c r="K117" s="17" t="s">
        <v>4602</v>
      </c>
      <c r="L117" s="17" t="s">
        <v>4593</v>
      </c>
      <c r="M117" s="17" t="s">
        <v>428</v>
      </c>
      <c r="O117" s="18" t="s">
        <v>92</v>
      </c>
    </row>
    <row r="118">
      <c r="A118" s="11"/>
      <c r="B118" s="12" t="s">
        <v>34</v>
      </c>
      <c r="C118" s="12" t="s">
        <v>65</v>
      </c>
      <c r="D118" s="12" t="s">
        <v>102</v>
      </c>
      <c r="E118" s="12" t="s">
        <v>103</v>
      </c>
      <c r="F118" s="13" t="s">
        <v>104</v>
      </c>
      <c r="G118" s="12" t="s">
        <v>68</v>
      </c>
      <c r="H118" s="12" t="s">
        <v>105</v>
      </c>
      <c r="I118" s="12" t="s">
        <v>106</v>
      </c>
      <c r="J118" s="17" t="s">
        <v>4597</v>
      </c>
      <c r="K118" s="17" t="s">
        <v>4603</v>
      </c>
      <c r="L118" s="17" t="s">
        <v>4599</v>
      </c>
      <c r="M118" s="17" t="s">
        <v>428</v>
      </c>
      <c r="O118" s="18" t="s">
        <v>92</v>
      </c>
    </row>
    <row r="119">
      <c r="A119" s="11"/>
      <c r="B119" s="12" t="s">
        <v>34</v>
      </c>
      <c r="C119" s="12" t="s">
        <v>65</v>
      </c>
      <c r="D119" s="12" t="s">
        <v>102</v>
      </c>
      <c r="E119" s="12" t="s">
        <v>142</v>
      </c>
      <c r="F119" s="13" t="s">
        <v>143</v>
      </c>
      <c r="G119" s="12" t="s">
        <v>68</v>
      </c>
      <c r="H119" s="12" t="s">
        <v>144</v>
      </c>
      <c r="I119" s="12" t="s">
        <v>145</v>
      </c>
      <c r="J119" s="17" t="s">
        <v>4591</v>
      </c>
      <c r="K119" s="17" t="s">
        <v>4592</v>
      </c>
      <c r="L119" s="17" t="s">
        <v>4605</v>
      </c>
      <c r="M119" s="17" t="s">
        <v>194</v>
      </c>
      <c r="O119" s="18" t="s">
        <v>92</v>
      </c>
    </row>
    <row r="120">
      <c r="A120" s="11"/>
      <c r="B120" s="12" t="s">
        <v>34</v>
      </c>
      <c r="C120" s="12" t="s">
        <v>65</v>
      </c>
      <c r="D120" s="12" t="s">
        <v>102</v>
      </c>
      <c r="E120" s="12" t="s">
        <v>142</v>
      </c>
      <c r="F120" s="13" t="s">
        <v>143</v>
      </c>
      <c r="G120" s="12" t="s">
        <v>68</v>
      </c>
      <c r="H120" s="12" t="s">
        <v>144</v>
      </c>
      <c r="I120" s="12" t="s">
        <v>145</v>
      </c>
      <c r="J120" s="17" t="s">
        <v>4591</v>
      </c>
      <c r="K120" s="17" t="s">
        <v>4594</v>
      </c>
      <c r="L120" s="17" t="s">
        <v>4599</v>
      </c>
      <c r="M120" s="17" t="s">
        <v>194</v>
      </c>
      <c r="O120" s="18" t="s">
        <v>92</v>
      </c>
    </row>
    <row r="121">
      <c r="A121" s="11"/>
      <c r="B121" s="12" t="s">
        <v>34</v>
      </c>
      <c r="C121" s="12" t="s">
        <v>65</v>
      </c>
      <c r="D121" s="12" t="s">
        <v>102</v>
      </c>
      <c r="E121" s="12" t="s">
        <v>142</v>
      </c>
      <c r="F121" s="13" t="s">
        <v>143</v>
      </c>
      <c r="G121" s="12" t="s">
        <v>68</v>
      </c>
      <c r="H121" s="12" t="s">
        <v>144</v>
      </c>
      <c r="I121" s="12" t="s">
        <v>145</v>
      </c>
      <c r="J121" s="17" t="s">
        <v>4591</v>
      </c>
      <c r="K121" s="17" t="s">
        <v>4595</v>
      </c>
      <c r="L121" s="17" t="s">
        <v>4599</v>
      </c>
      <c r="M121" s="17" t="s">
        <v>194</v>
      </c>
      <c r="O121" s="18" t="s">
        <v>92</v>
      </c>
    </row>
    <row r="122">
      <c r="A122" s="11"/>
      <c r="B122" s="12" t="s">
        <v>34</v>
      </c>
      <c r="C122" s="12" t="s">
        <v>65</v>
      </c>
      <c r="D122" s="12" t="s">
        <v>102</v>
      </c>
      <c r="E122" s="12" t="s">
        <v>142</v>
      </c>
      <c r="F122" s="13" t="s">
        <v>143</v>
      </c>
      <c r="G122" s="12" t="s">
        <v>68</v>
      </c>
      <c r="H122" s="12" t="s">
        <v>144</v>
      </c>
      <c r="I122" s="12" t="s">
        <v>145</v>
      </c>
      <c r="J122" s="17" t="s">
        <v>4591</v>
      </c>
      <c r="K122" s="17" t="s">
        <v>4596</v>
      </c>
      <c r="L122" s="17" t="s">
        <v>4599</v>
      </c>
      <c r="M122" s="17" t="s">
        <v>194</v>
      </c>
      <c r="O122" s="18" t="s">
        <v>92</v>
      </c>
    </row>
    <row r="123">
      <c r="A123" s="11"/>
      <c r="B123" s="12" t="s">
        <v>34</v>
      </c>
      <c r="C123" s="12" t="s">
        <v>65</v>
      </c>
      <c r="D123" s="12" t="s">
        <v>102</v>
      </c>
      <c r="E123" s="12" t="s">
        <v>142</v>
      </c>
      <c r="F123" s="13" t="s">
        <v>143</v>
      </c>
      <c r="G123" s="12" t="s">
        <v>68</v>
      </c>
      <c r="H123" s="12" t="s">
        <v>144</v>
      </c>
      <c r="I123" s="12" t="s">
        <v>145</v>
      </c>
      <c r="J123" s="17" t="s">
        <v>4597</v>
      </c>
      <c r="K123" s="17" t="s">
        <v>4598</v>
      </c>
      <c r="L123" s="17" t="s">
        <v>4599</v>
      </c>
      <c r="M123" s="17" t="s">
        <v>194</v>
      </c>
      <c r="O123" s="18" t="s">
        <v>92</v>
      </c>
    </row>
    <row r="124">
      <c r="A124" s="11"/>
      <c r="B124" s="12" t="s">
        <v>34</v>
      </c>
      <c r="C124" s="12" t="s">
        <v>65</v>
      </c>
      <c r="D124" s="12" t="s">
        <v>102</v>
      </c>
      <c r="E124" s="12" t="s">
        <v>142</v>
      </c>
      <c r="F124" s="13" t="s">
        <v>143</v>
      </c>
      <c r="G124" s="12" t="s">
        <v>68</v>
      </c>
      <c r="H124" s="12" t="s">
        <v>144</v>
      </c>
      <c r="I124" s="12" t="s">
        <v>145</v>
      </c>
      <c r="J124" s="17" t="s">
        <v>4597</v>
      </c>
      <c r="K124" s="17" t="s">
        <v>4600</v>
      </c>
      <c r="L124" s="17" t="s">
        <v>4599</v>
      </c>
      <c r="M124" s="17" t="s">
        <v>194</v>
      </c>
      <c r="O124" s="18" t="s">
        <v>92</v>
      </c>
    </row>
    <row r="125">
      <c r="A125" s="11"/>
      <c r="B125" s="12" t="s">
        <v>34</v>
      </c>
      <c r="C125" s="12" t="s">
        <v>65</v>
      </c>
      <c r="D125" s="12" t="s">
        <v>102</v>
      </c>
      <c r="E125" s="12" t="s">
        <v>142</v>
      </c>
      <c r="F125" s="13" t="s">
        <v>143</v>
      </c>
      <c r="G125" s="12" t="s">
        <v>68</v>
      </c>
      <c r="H125" s="12" t="s">
        <v>144</v>
      </c>
      <c r="I125" s="12" t="s">
        <v>145</v>
      </c>
      <c r="J125" s="17" t="s">
        <v>4597</v>
      </c>
      <c r="K125" s="17" t="s">
        <v>4601</v>
      </c>
      <c r="L125" s="17" t="s">
        <v>4593</v>
      </c>
      <c r="M125" s="17" t="s">
        <v>194</v>
      </c>
      <c r="O125" s="18" t="s">
        <v>92</v>
      </c>
    </row>
    <row r="126">
      <c r="A126" s="11"/>
      <c r="B126" s="12" t="s">
        <v>34</v>
      </c>
      <c r="C126" s="12" t="s">
        <v>65</v>
      </c>
      <c r="D126" s="12" t="s">
        <v>102</v>
      </c>
      <c r="E126" s="12" t="s">
        <v>142</v>
      </c>
      <c r="F126" s="13" t="s">
        <v>143</v>
      </c>
      <c r="G126" s="12" t="s">
        <v>68</v>
      </c>
      <c r="H126" s="12" t="s">
        <v>144</v>
      </c>
      <c r="I126" s="12" t="s">
        <v>145</v>
      </c>
      <c r="J126" s="17" t="s">
        <v>4597</v>
      </c>
      <c r="K126" s="17" t="s">
        <v>4602</v>
      </c>
      <c r="L126" s="17" t="s">
        <v>4593</v>
      </c>
      <c r="M126" s="17" t="s">
        <v>194</v>
      </c>
      <c r="O126" s="18" t="s">
        <v>92</v>
      </c>
    </row>
    <row r="127">
      <c r="A127" s="11"/>
      <c r="B127" s="12" t="s">
        <v>34</v>
      </c>
      <c r="C127" s="12" t="s">
        <v>65</v>
      </c>
      <c r="D127" s="12" t="s">
        <v>102</v>
      </c>
      <c r="E127" s="12" t="s">
        <v>142</v>
      </c>
      <c r="F127" s="13" t="s">
        <v>143</v>
      </c>
      <c r="G127" s="12" t="s">
        <v>68</v>
      </c>
      <c r="H127" s="12" t="s">
        <v>144</v>
      </c>
      <c r="I127" s="12" t="s">
        <v>145</v>
      </c>
      <c r="J127" s="17" t="s">
        <v>4597</v>
      </c>
      <c r="K127" s="17" t="s">
        <v>4603</v>
      </c>
      <c r="L127" s="17" t="s">
        <v>4605</v>
      </c>
      <c r="M127" s="17" t="s">
        <v>194</v>
      </c>
      <c r="O127" s="18" t="s">
        <v>92</v>
      </c>
    </row>
    <row r="128">
      <c r="A128" s="11"/>
      <c r="B128" s="12" t="s">
        <v>34</v>
      </c>
      <c r="C128" s="12" t="s">
        <v>65</v>
      </c>
      <c r="D128" s="12" t="s">
        <v>102</v>
      </c>
      <c r="E128" s="12" t="s">
        <v>142</v>
      </c>
      <c r="F128" s="13" t="s">
        <v>143</v>
      </c>
      <c r="G128" s="12" t="s">
        <v>68</v>
      </c>
      <c r="H128" s="12" t="s">
        <v>144</v>
      </c>
      <c r="I128" s="12" t="s">
        <v>145</v>
      </c>
      <c r="J128" s="17" t="s">
        <v>4591</v>
      </c>
      <c r="K128" s="17" t="s">
        <v>4592</v>
      </c>
      <c r="L128" s="17" t="s">
        <v>4593</v>
      </c>
      <c r="M128" s="17" t="s">
        <v>428</v>
      </c>
      <c r="O128" s="18" t="s">
        <v>92</v>
      </c>
    </row>
    <row r="129">
      <c r="A129" s="11"/>
      <c r="B129" s="12" t="s">
        <v>34</v>
      </c>
      <c r="C129" s="12" t="s">
        <v>65</v>
      </c>
      <c r="D129" s="12" t="s">
        <v>102</v>
      </c>
      <c r="E129" s="12" t="s">
        <v>142</v>
      </c>
      <c r="F129" s="13" t="s">
        <v>143</v>
      </c>
      <c r="G129" s="12" t="s">
        <v>68</v>
      </c>
      <c r="H129" s="12" t="s">
        <v>144</v>
      </c>
      <c r="I129" s="12" t="s">
        <v>145</v>
      </c>
      <c r="J129" s="17" t="s">
        <v>4591</v>
      </c>
      <c r="K129" s="17" t="s">
        <v>4594</v>
      </c>
      <c r="L129" s="17" t="s">
        <v>4593</v>
      </c>
      <c r="M129" s="17" t="s">
        <v>428</v>
      </c>
      <c r="O129" s="18" t="s">
        <v>92</v>
      </c>
    </row>
    <row r="130">
      <c r="A130" s="11"/>
      <c r="B130" s="12" t="s">
        <v>34</v>
      </c>
      <c r="C130" s="12" t="s">
        <v>65</v>
      </c>
      <c r="D130" s="12" t="s">
        <v>102</v>
      </c>
      <c r="E130" s="12" t="s">
        <v>142</v>
      </c>
      <c r="F130" s="13" t="s">
        <v>143</v>
      </c>
      <c r="G130" s="12" t="s">
        <v>68</v>
      </c>
      <c r="H130" s="12" t="s">
        <v>144</v>
      </c>
      <c r="I130" s="12" t="s">
        <v>145</v>
      </c>
      <c r="J130" s="17" t="s">
        <v>4591</v>
      </c>
      <c r="K130" s="17" t="s">
        <v>4595</v>
      </c>
      <c r="L130" s="17" t="s">
        <v>4593</v>
      </c>
      <c r="M130" s="17" t="s">
        <v>428</v>
      </c>
      <c r="O130" s="18" t="s">
        <v>92</v>
      </c>
    </row>
    <row r="131">
      <c r="A131" s="11"/>
      <c r="B131" s="12" t="s">
        <v>34</v>
      </c>
      <c r="C131" s="12" t="s">
        <v>65</v>
      </c>
      <c r="D131" s="12" t="s">
        <v>102</v>
      </c>
      <c r="E131" s="12" t="s">
        <v>142</v>
      </c>
      <c r="F131" s="13" t="s">
        <v>143</v>
      </c>
      <c r="G131" s="12" t="s">
        <v>68</v>
      </c>
      <c r="H131" s="12" t="s">
        <v>144</v>
      </c>
      <c r="I131" s="12" t="s">
        <v>145</v>
      </c>
      <c r="J131" s="17" t="s">
        <v>4591</v>
      </c>
      <c r="K131" s="17" t="s">
        <v>4596</v>
      </c>
      <c r="L131" s="17" t="s">
        <v>4593</v>
      </c>
      <c r="M131" s="17" t="s">
        <v>428</v>
      </c>
      <c r="O131" s="18" t="s">
        <v>92</v>
      </c>
    </row>
    <row r="132">
      <c r="A132" s="11"/>
      <c r="B132" s="12" t="s">
        <v>34</v>
      </c>
      <c r="C132" s="12" t="s">
        <v>65</v>
      </c>
      <c r="D132" s="12" t="s">
        <v>102</v>
      </c>
      <c r="E132" s="12" t="s">
        <v>142</v>
      </c>
      <c r="F132" s="13" t="s">
        <v>143</v>
      </c>
      <c r="G132" s="12" t="s">
        <v>68</v>
      </c>
      <c r="H132" s="12" t="s">
        <v>144</v>
      </c>
      <c r="I132" s="12" t="s">
        <v>145</v>
      </c>
      <c r="J132" s="17" t="s">
        <v>4597</v>
      </c>
      <c r="K132" s="17" t="s">
        <v>4598</v>
      </c>
      <c r="L132" s="17" t="s">
        <v>4599</v>
      </c>
      <c r="M132" s="17" t="s">
        <v>428</v>
      </c>
      <c r="O132" s="18" t="s">
        <v>92</v>
      </c>
    </row>
    <row r="133">
      <c r="A133" s="11"/>
      <c r="B133" s="12" t="s">
        <v>34</v>
      </c>
      <c r="C133" s="12" t="s">
        <v>65</v>
      </c>
      <c r="D133" s="12" t="s">
        <v>102</v>
      </c>
      <c r="E133" s="12" t="s">
        <v>142</v>
      </c>
      <c r="F133" s="13" t="s">
        <v>143</v>
      </c>
      <c r="G133" s="12" t="s">
        <v>68</v>
      </c>
      <c r="H133" s="12" t="s">
        <v>144</v>
      </c>
      <c r="I133" s="12" t="s">
        <v>145</v>
      </c>
      <c r="J133" s="17" t="s">
        <v>4597</v>
      </c>
      <c r="K133" s="17" t="s">
        <v>4600</v>
      </c>
      <c r="L133" s="17" t="s">
        <v>4593</v>
      </c>
      <c r="M133" s="17" t="s">
        <v>428</v>
      </c>
      <c r="O133" s="18" t="s">
        <v>92</v>
      </c>
    </row>
    <row r="134">
      <c r="A134" s="11"/>
      <c r="B134" s="12" t="s">
        <v>34</v>
      </c>
      <c r="C134" s="12" t="s">
        <v>65</v>
      </c>
      <c r="D134" s="12" t="s">
        <v>102</v>
      </c>
      <c r="E134" s="12" t="s">
        <v>142</v>
      </c>
      <c r="F134" s="13" t="s">
        <v>143</v>
      </c>
      <c r="G134" s="12" t="s">
        <v>68</v>
      </c>
      <c r="H134" s="12" t="s">
        <v>144</v>
      </c>
      <c r="I134" s="12" t="s">
        <v>145</v>
      </c>
      <c r="J134" s="17" t="s">
        <v>4597</v>
      </c>
      <c r="K134" s="17" t="s">
        <v>4601</v>
      </c>
      <c r="L134" s="17" t="s">
        <v>4593</v>
      </c>
      <c r="M134" s="17" t="s">
        <v>428</v>
      </c>
      <c r="O134" s="18" t="s">
        <v>92</v>
      </c>
    </row>
    <row r="135">
      <c r="A135" s="11"/>
      <c r="B135" s="12" t="s">
        <v>34</v>
      </c>
      <c r="C135" s="12" t="s">
        <v>65</v>
      </c>
      <c r="D135" s="12" t="s">
        <v>102</v>
      </c>
      <c r="E135" s="12" t="s">
        <v>142</v>
      </c>
      <c r="F135" s="13" t="s">
        <v>143</v>
      </c>
      <c r="G135" s="12" t="s">
        <v>68</v>
      </c>
      <c r="H135" s="12" t="s">
        <v>144</v>
      </c>
      <c r="I135" s="12" t="s">
        <v>145</v>
      </c>
      <c r="J135" s="17" t="s">
        <v>4597</v>
      </c>
      <c r="K135" s="17" t="s">
        <v>4602</v>
      </c>
      <c r="L135" s="17" t="s">
        <v>4593</v>
      </c>
      <c r="M135" s="17" t="s">
        <v>428</v>
      </c>
      <c r="O135" s="18" t="s">
        <v>92</v>
      </c>
    </row>
    <row r="136">
      <c r="A136" s="11"/>
      <c r="B136" s="12" t="s">
        <v>34</v>
      </c>
      <c r="C136" s="12" t="s">
        <v>65</v>
      </c>
      <c r="D136" s="12" t="s">
        <v>102</v>
      </c>
      <c r="E136" s="12" t="s">
        <v>142</v>
      </c>
      <c r="F136" s="13" t="s">
        <v>143</v>
      </c>
      <c r="G136" s="12" t="s">
        <v>68</v>
      </c>
      <c r="H136" s="12" t="s">
        <v>144</v>
      </c>
      <c r="I136" s="12" t="s">
        <v>145</v>
      </c>
      <c r="J136" s="17" t="s">
        <v>4597</v>
      </c>
      <c r="K136" s="17" t="s">
        <v>4603</v>
      </c>
      <c r="L136" s="17" t="s">
        <v>4599</v>
      </c>
      <c r="M136" s="17" t="s">
        <v>428</v>
      </c>
      <c r="O136" s="18" t="s">
        <v>92</v>
      </c>
    </row>
    <row r="137">
      <c r="A137" s="11"/>
      <c r="B137" s="12" t="s">
        <v>34</v>
      </c>
      <c r="C137" s="12" t="s">
        <v>65</v>
      </c>
      <c r="D137" s="12" t="s">
        <v>102</v>
      </c>
      <c r="E137" s="12" t="s">
        <v>455</v>
      </c>
      <c r="F137" s="13" t="s">
        <v>456</v>
      </c>
      <c r="G137" s="12" t="s">
        <v>68</v>
      </c>
      <c r="H137" s="12" t="s">
        <v>457</v>
      </c>
      <c r="I137" s="12" t="s">
        <v>458</v>
      </c>
      <c r="J137" s="17" t="s">
        <v>4591</v>
      </c>
      <c r="K137" s="17" t="s">
        <v>4592</v>
      </c>
      <c r="L137" s="17" t="s">
        <v>4599</v>
      </c>
      <c r="M137" s="17" t="s">
        <v>194</v>
      </c>
      <c r="O137" s="18" t="s">
        <v>92</v>
      </c>
    </row>
    <row r="138">
      <c r="A138" s="11"/>
      <c r="B138" s="12" t="s">
        <v>34</v>
      </c>
      <c r="C138" s="12" t="s">
        <v>65</v>
      </c>
      <c r="D138" s="12" t="s">
        <v>102</v>
      </c>
      <c r="E138" s="12" t="s">
        <v>455</v>
      </c>
      <c r="F138" s="13" t="s">
        <v>456</v>
      </c>
      <c r="G138" s="12" t="s">
        <v>68</v>
      </c>
      <c r="H138" s="12" t="s">
        <v>457</v>
      </c>
      <c r="I138" s="12" t="s">
        <v>458</v>
      </c>
      <c r="J138" s="17" t="s">
        <v>4591</v>
      </c>
      <c r="K138" s="17" t="s">
        <v>4594</v>
      </c>
      <c r="L138" s="17" t="s">
        <v>4599</v>
      </c>
      <c r="M138" s="17" t="s">
        <v>194</v>
      </c>
      <c r="O138" s="18" t="s">
        <v>92</v>
      </c>
    </row>
    <row r="139">
      <c r="A139" s="11"/>
      <c r="B139" s="12" t="s">
        <v>34</v>
      </c>
      <c r="C139" s="12" t="s">
        <v>65</v>
      </c>
      <c r="D139" s="12" t="s">
        <v>102</v>
      </c>
      <c r="E139" s="12" t="s">
        <v>455</v>
      </c>
      <c r="F139" s="13" t="s">
        <v>456</v>
      </c>
      <c r="G139" s="12" t="s">
        <v>68</v>
      </c>
      <c r="H139" s="12" t="s">
        <v>457</v>
      </c>
      <c r="I139" s="12" t="s">
        <v>458</v>
      </c>
      <c r="J139" s="17" t="s">
        <v>4591</v>
      </c>
      <c r="K139" s="17" t="s">
        <v>4595</v>
      </c>
      <c r="L139" s="17" t="s">
        <v>4605</v>
      </c>
      <c r="M139" s="17" t="s">
        <v>194</v>
      </c>
      <c r="O139" s="18" t="s">
        <v>92</v>
      </c>
    </row>
    <row r="140">
      <c r="A140" s="11"/>
      <c r="B140" s="12" t="s">
        <v>34</v>
      </c>
      <c r="C140" s="12" t="s">
        <v>65</v>
      </c>
      <c r="D140" s="12" t="s">
        <v>102</v>
      </c>
      <c r="E140" s="12" t="s">
        <v>455</v>
      </c>
      <c r="F140" s="13" t="s">
        <v>456</v>
      </c>
      <c r="G140" s="12" t="s">
        <v>68</v>
      </c>
      <c r="H140" s="12" t="s">
        <v>457</v>
      </c>
      <c r="I140" s="12" t="s">
        <v>458</v>
      </c>
      <c r="J140" s="17" t="s">
        <v>4591</v>
      </c>
      <c r="K140" s="17" t="s">
        <v>4596</v>
      </c>
      <c r="L140" s="17" t="s">
        <v>4599</v>
      </c>
      <c r="M140" s="17" t="s">
        <v>194</v>
      </c>
      <c r="O140" s="18" t="s">
        <v>92</v>
      </c>
    </row>
    <row r="141">
      <c r="A141" s="11"/>
      <c r="B141" s="12" t="s">
        <v>34</v>
      </c>
      <c r="C141" s="12" t="s">
        <v>65</v>
      </c>
      <c r="D141" s="12" t="s">
        <v>102</v>
      </c>
      <c r="E141" s="12" t="s">
        <v>455</v>
      </c>
      <c r="F141" s="13" t="s">
        <v>456</v>
      </c>
      <c r="G141" s="12" t="s">
        <v>68</v>
      </c>
      <c r="H141" s="12" t="s">
        <v>457</v>
      </c>
      <c r="I141" s="12" t="s">
        <v>458</v>
      </c>
      <c r="J141" s="17" t="s">
        <v>4597</v>
      </c>
      <c r="K141" s="17" t="s">
        <v>4598</v>
      </c>
      <c r="L141" s="17" t="s">
        <v>4599</v>
      </c>
      <c r="M141" s="17" t="s">
        <v>194</v>
      </c>
      <c r="O141" s="18" t="s">
        <v>92</v>
      </c>
    </row>
    <row r="142">
      <c r="A142" s="11"/>
      <c r="B142" s="12" t="s">
        <v>34</v>
      </c>
      <c r="C142" s="12" t="s">
        <v>65</v>
      </c>
      <c r="D142" s="12" t="s">
        <v>102</v>
      </c>
      <c r="E142" s="12" t="s">
        <v>455</v>
      </c>
      <c r="F142" s="13" t="s">
        <v>456</v>
      </c>
      <c r="G142" s="12" t="s">
        <v>68</v>
      </c>
      <c r="H142" s="12" t="s">
        <v>457</v>
      </c>
      <c r="I142" s="12" t="s">
        <v>458</v>
      </c>
      <c r="J142" s="17" t="s">
        <v>4597</v>
      </c>
      <c r="K142" s="17" t="s">
        <v>4600</v>
      </c>
      <c r="L142" s="17" t="s">
        <v>4599</v>
      </c>
      <c r="M142" s="17" t="s">
        <v>194</v>
      </c>
      <c r="O142" s="18" t="s">
        <v>92</v>
      </c>
    </row>
    <row r="143">
      <c r="A143" s="11"/>
      <c r="B143" s="12" t="s">
        <v>34</v>
      </c>
      <c r="C143" s="12" t="s">
        <v>65</v>
      </c>
      <c r="D143" s="12" t="s">
        <v>102</v>
      </c>
      <c r="E143" s="12" t="s">
        <v>455</v>
      </c>
      <c r="F143" s="13" t="s">
        <v>456</v>
      </c>
      <c r="G143" s="12" t="s">
        <v>68</v>
      </c>
      <c r="H143" s="12" t="s">
        <v>457</v>
      </c>
      <c r="I143" s="12" t="s">
        <v>458</v>
      </c>
      <c r="J143" s="17" t="s">
        <v>4597</v>
      </c>
      <c r="K143" s="17" t="s">
        <v>4601</v>
      </c>
      <c r="L143" s="17" t="s">
        <v>4593</v>
      </c>
      <c r="M143" s="17" t="s">
        <v>194</v>
      </c>
      <c r="O143" s="18" t="s">
        <v>92</v>
      </c>
    </row>
    <row r="144">
      <c r="A144" s="11"/>
      <c r="B144" s="12" t="s">
        <v>34</v>
      </c>
      <c r="C144" s="12" t="s">
        <v>65</v>
      </c>
      <c r="D144" s="12" t="s">
        <v>102</v>
      </c>
      <c r="E144" s="12" t="s">
        <v>455</v>
      </c>
      <c r="F144" s="13" t="s">
        <v>456</v>
      </c>
      <c r="G144" s="12" t="s">
        <v>68</v>
      </c>
      <c r="H144" s="12" t="s">
        <v>457</v>
      </c>
      <c r="I144" s="12" t="s">
        <v>458</v>
      </c>
      <c r="J144" s="17" t="s">
        <v>4597</v>
      </c>
      <c r="K144" s="17" t="s">
        <v>4602</v>
      </c>
      <c r="L144" s="17" t="s">
        <v>4599</v>
      </c>
      <c r="M144" s="17" t="s">
        <v>194</v>
      </c>
      <c r="O144" s="18" t="s">
        <v>92</v>
      </c>
    </row>
    <row r="145">
      <c r="A145" s="11"/>
      <c r="B145" s="12" t="s">
        <v>34</v>
      </c>
      <c r="C145" s="12" t="s">
        <v>65</v>
      </c>
      <c r="D145" s="12" t="s">
        <v>102</v>
      </c>
      <c r="E145" s="12" t="s">
        <v>455</v>
      </c>
      <c r="F145" s="13" t="s">
        <v>456</v>
      </c>
      <c r="G145" s="12" t="s">
        <v>68</v>
      </c>
      <c r="H145" s="12" t="s">
        <v>457</v>
      </c>
      <c r="I145" s="12" t="s">
        <v>458</v>
      </c>
      <c r="J145" s="17" t="s">
        <v>4597</v>
      </c>
      <c r="K145" s="17" t="s">
        <v>4603</v>
      </c>
      <c r="L145" s="17" t="s">
        <v>4599</v>
      </c>
      <c r="M145" s="17" t="s">
        <v>194</v>
      </c>
      <c r="O145" s="18" t="s">
        <v>92</v>
      </c>
    </row>
    <row r="146">
      <c r="A146" s="11"/>
      <c r="B146" s="12" t="s">
        <v>34</v>
      </c>
      <c r="C146" s="12" t="s">
        <v>65</v>
      </c>
      <c r="D146" s="12" t="s">
        <v>102</v>
      </c>
      <c r="E146" s="12" t="s">
        <v>455</v>
      </c>
      <c r="F146" s="13" t="s">
        <v>456</v>
      </c>
      <c r="G146" s="12" t="s">
        <v>68</v>
      </c>
      <c r="H146" s="12" t="s">
        <v>457</v>
      </c>
      <c r="I146" s="12" t="s">
        <v>458</v>
      </c>
      <c r="J146" s="17" t="s">
        <v>4591</v>
      </c>
      <c r="K146" s="17" t="s">
        <v>4592</v>
      </c>
      <c r="L146" s="17" t="s">
        <v>4593</v>
      </c>
      <c r="M146" s="17" t="s">
        <v>428</v>
      </c>
      <c r="O146" s="18" t="s">
        <v>92</v>
      </c>
    </row>
    <row r="147">
      <c r="A147" s="11"/>
      <c r="B147" s="12" t="s">
        <v>34</v>
      </c>
      <c r="C147" s="12" t="s">
        <v>65</v>
      </c>
      <c r="D147" s="12" t="s">
        <v>102</v>
      </c>
      <c r="E147" s="12" t="s">
        <v>455</v>
      </c>
      <c r="F147" s="13" t="s">
        <v>456</v>
      </c>
      <c r="G147" s="12" t="s">
        <v>68</v>
      </c>
      <c r="H147" s="12" t="s">
        <v>457</v>
      </c>
      <c r="I147" s="12" t="s">
        <v>458</v>
      </c>
      <c r="J147" s="17" t="s">
        <v>4591</v>
      </c>
      <c r="K147" s="17" t="s">
        <v>4594</v>
      </c>
      <c r="L147" s="17" t="s">
        <v>4593</v>
      </c>
      <c r="M147" s="17" t="s">
        <v>428</v>
      </c>
      <c r="O147" s="18" t="s">
        <v>92</v>
      </c>
    </row>
    <row r="148">
      <c r="A148" s="11"/>
      <c r="B148" s="12" t="s">
        <v>34</v>
      </c>
      <c r="C148" s="12" t="s">
        <v>65</v>
      </c>
      <c r="D148" s="12" t="s">
        <v>102</v>
      </c>
      <c r="E148" s="12" t="s">
        <v>455</v>
      </c>
      <c r="F148" s="13" t="s">
        <v>456</v>
      </c>
      <c r="G148" s="12" t="s">
        <v>68</v>
      </c>
      <c r="H148" s="12" t="s">
        <v>457</v>
      </c>
      <c r="I148" s="12" t="s">
        <v>458</v>
      </c>
      <c r="J148" s="17" t="s">
        <v>4591</v>
      </c>
      <c r="K148" s="17" t="s">
        <v>4595</v>
      </c>
      <c r="L148" s="17" t="s">
        <v>4593</v>
      </c>
      <c r="M148" s="17" t="s">
        <v>428</v>
      </c>
      <c r="O148" s="18" t="s">
        <v>92</v>
      </c>
    </row>
    <row r="149">
      <c r="A149" s="11"/>
      <c r="B149" s="12" t="s">
        <v>34</v>
      </c>
      <c r="C149" s="12" t="s">
        <v>65</v>
      </c>
      <c r="D149" s="12" t="s">
        <v>102</v>
      </c>
      <c r="E149" s="12" t="s">
        <v>455</v>
      </c>
      <c r="F149" s="13" t="s">
        <v>456</v>
      </c>
      <c r="G149" s="12" t="s">
        <v>68</v>
      </c>
      <c r="H149" s="12" t="s">
        <v>457</v>
      </c>
      <c r="I149" s="12" t="s">
        <v>458</v>
      </c>
      <c r="J149" s="17" t="s">
        <v>4591</v>
      </c>
      <c r="K149" s="17" t="s">
        <v>4596</v>
      </c>
      <c r="L149" s="17" t="s">
        <v>4593</v>
      </c>
      <c r="M149" s="17" t="s">
        <v>428</v>
      </c>
      <c r="O149" s="18" t="s">
        <v>92</v>
      </c>
    </row>
    <row r="150">
      <c r="A150" s="11"/>
      <c r="B150" s="12" t="s">
        <v>34</v>
      </c>
      <c r="C150" s="12" t="s">
        <v>65</v>
      </c>
      <c r="D150" s="12" t="s">
        <v>102</v>
      </c>
      <c r="E150" s="12" t="s">
        <v>455</v>
      </c>
      <c r="F150" s="13" t="s">
        <v>456</v>
      </c>
      <c r="G150" s="12" t="s">
        <v>68</v>
      </c>
      <c r="H150" s="12" t="s">
        <v>457</v>
      </c>
      <c r="I150" s="12" t="s">
        <v>458</v>
      </c>
      <c r="J150" s="17" t="s">
        <v>4597</v>
      </c>
      <c r="K150" s="17" t="s">
        <v>4598</v>
      </c>
      <c r="L150" s="17" t="s">
        <v>4599</v>
      </c>
      <c r="M150" s="17" t="s">
        <v>428</v>
      </c>
      <c r="O150" s="18" t="s">
        <v>92</v>
      </c>
    </row>
    <row r="151">
      <c r="A151" s="11"/>
      <c r="B151" s="12" t="s">
        <v>34</v>
      </c>
      <c r="C151" s="12" t="s">
        <v>65</v>
      </c>
      <c r="D151" s="12" t="s">
        <v>102</v>
      </c>
      <c r="E151" s="12" t="s">
        <v>455</v>
      </c>
      <c r="F151" s="13" t="s">
        <v>456</v>
      </c>
      <c r="G151" s="12" t="s">
        <v>68</v>
      </c>
      <c r="H151" s="12" t="s">
        <v>457</v>
      </c>
      <c r="I151" s="12" t="s">
        <v>458</v>
      </c>
      <c r="J151" s="17" t="s">
        <v>4597</v>
      </c>
      <c r="K151" s="17" t="s">
        <v>4600</v>
      </c>
      <c r="L151" s="17" t="s">
        <v>4593</v>
      </c>
      <c r="M151" s="17" t="s">
        <v>428</v>
      </c>
      <c r="O151" s="18" t="s">
        <v>92</v>
      </c>
    </row>
    <row r="152">
      <c r="A152" s="11"/>
      <c r="B152" s="12" t="s">
        <v>34</v>
      </c>
      <c r="C152" s="12" t="s">
        <v>65</v>
      </c>
      <c r="D152" s="12" t="s">
        <v>102</v>
      </c>
      <c r="E152" s="12" t="s">
        <v>455</v>
      </c>
      <c r="F152" s="13" t="s">
        <v>456</v>
      </c>
      <c r="G152" s="12" t="s">
        <v>68</v>
      </c>
      <c r="H152" s="12" t="s">
        <v>457</v>
      </c>
      <c r="I152" s="12" t="s">
        <v>458</v>
      </c>
      <c r="J152" s="17" t="s">
        <v>4597</v>
      </c>
      <c r="K152" s="17" t="s">
        <v>4601</v>
      </c>
      <c r="L152" s="17" t="s">
        <v>4593</v>
      </c>
      <c r="M152" s="17" t="s">
        <v>428</v>
      </c>
      <c r="O152" s="18" t="s">
        <v>92</v>
      </c>
    </row>
    <row r="153">
      <c r="A153" s="11"/>
      <c r="B153" s="12" t="s">
        <v>34</v>
      </c>
      <c r="C153" s="12" t="s">
        <v>65</v>
      </c>
      <c r="D153" s="12" t="s">
        <v>102</v>
      </c>
      <c r="E153" s="12" t="s">
        <v>455</v>
      </c>
      <c r="F153" s="13" t="s">
        <v>456</v>
      </c>
      <c r="G153" s="12" t="s">
        <v>68</v>
      </c>
      <c r="H153" s="12" t="s">
        <v>457</v>
      </c>
      <c r="I153" s="12" t="s">
        <v>458</v>
      </c>
      <c r="J153" s="17" t="s">
        <v>4597</v>
      </c>
      <c r="K153" s="17" t="s">
        <v>4602</v>
      </c>
      <c r="L153" s="17" t="s">
        <v>4593</v>
      </c>
      <c r="M153" s="17" t="s">
        <v>428</v>
      </c>
      <c r="O153" s="18" t="s">
        <v>92</v>
      </c>
    </row>
    <row r="154">
      <c r="A154" s="11"/>
      <c r="B154" s="12" t="s">
        <v>34</v>
      </c>
      <c r="C154" s="12" t="s">
        <v>65</v>
      </c>
      <c r="D154" s="12" t="s">
        <v>102</v>
      </c>
      <c r="E154" s="12" t="s">
        <v>455</v>
      </c>
      <c r="F154" s="13" t="s">
        <v>456</v>
      </c>
      <c r="G154" s="12" t="s">
        <v>68</v>
      </c>
      <c r="H154" s="12" t="s">
        <v>457</v>
      </c>
      <c r="I154" s="12" t="s">
        <v>458</v>
      </c>
      <c r="J154" s="17" t="s">
        <v>4597</v>
      </c>
      <c r="K154" s="17" t="s">
        <v>4603</v>
      </c>
      <c r="L154" s="17" t="s">
        <v>4599</v>
      </c>
      <c r="M154" s="17" t="s">
        <v>428</v>
      </c>
      <c r="O154" s="18" t="s">
        <v>92</v>
      </c>
    </row>
    <row r="155">
      <c r="A155" s="11"/>
      <c r="B155" s="12" t="s">
        <v>34</v>
      </c>
      <c r="C155" s="12" t="s">
        <v>65</v>
      </c>
      <c r="D155" s="12" t="s">
        <v>83</v>
      </c>
      <c r="E155" s="12" t="s">
        <v>120</v>
      </c>
      <c r="F155" s="13" t="s">
        <v>121</v>
      </c>
      <c r="G155" s="12" t="s">
        <v>68</v>
      </c>
      <c r="H155" s="12" t="s">
        <v>122</v>
      </c>
      <c r="I155" s="12" t="s">
        <v>123</v>
      </c>
      <c r="J155" s="17" t="s">
        <v>4591</v>
      </c>
      <c r="K155" s="17" t="s">
        <v>4592</v>
      </c>
      <c r="L155" s="17" t="s">
        <v>4605</v>
      </c>
      <c r="M155" s="17" t="s">
        <v>194</v>
      </c>
      <c r="O155" s="18" t="s">
        <v>92</v>
      </c>
    </row>
    <row r="156">
      <c r="A156" s="11"/>
      <c r="B156" s="12" t="s">
        <v>34</v>
      </c>
      <c r="C156" s="12" t="s">
        <v>65</v>
      </c>
      <c r="D156" s="12" t="s">
        <v>83</v>
      </c>
      <c r="E156" s="12" t="s">
        <v>120</v>
      </c>
      <c r="F156" s="13" t="s">
        <v>121</v>
      </c>
      <c r="G156" s="12" t="s">
        <v>68</v>
      </c>
      <c r="H156" s="12" t="s">
        <v>122</v>
      </c>
      <c r="I156" s="12" t="s">
        <v>123</v>
      </c>
      <c r="J156" s="17" t="s">
        <v>4591</v>
      </c>
      <c r="K156" s="17" t="s">
        <v>4594</v>
      </c>
      <c r="L156" s="17" t="s">
        <v>4605</v>
      </c>
      <c r="M156" s="17" t="s">
        <v>194</v>
      </c>
      <c r="O156" s="18" t="s">
        <v>92</v>
      </c>
    </row>
    <row r="157">
      <c r="A157" s="11"/>
      <c r="B157" s="12" t="s">
        <v>34</v>
      </c>
      <c r="C157" s="12" t="s">
        <v>65</v>
      </c>
      <c r="D157" s="12" t="s">
        <v>83</v>
      </c>
      <c r="E157" s="12" t="s">
        <v>120</v>
      </c>
      <c r="F157" s="13" t="s">
        <v>121</v>
      </c>
      <c r="G157" s="12" t="s">
        <v>68</v>
      </c>
      <c r="H157" s="12" t="s">
        <v>122</v>
      </c>
      <c r="I157" s="12" t="s">
        <v>123</v>
      </c>
      <c r="J157" s="17" t="s">
        <v>4591</v>
      </c>
      <c r="K157" s="17" t="s">
        <v>4595</v>
      </c>
      <c r="L157" s="17" t="s">
        <v>4599</v>
      </c>
      <c r="M157" s="17" t="s">
        <v>194</v>
      </c>
      <c r="O157" s="18" t="s">
        <v>92</v>
      </c>
    </row>
    <row r="158">
      <c r="A158" s="11"/>
      <c r="B158" s="12" t="s">
        <v>34</v>
      </c>
      <c r="C158" s="12" t="s">
        <v>65</v>
      </c>
      <c r="D158" s="12" t="s">
        <v>83</v>
      </c>
      <c r="E158" s="12" t="s">
        <v>120</v>
      </c>
      <c r="F158" s="13" t="s">
        <v>121</v>
      </c>
      <c r="G158" s="12" t="s">
        <v>68</v>
      </c>
      <c r="H158" s="12" t="s">
        <v>122</v>
      </c>
      <c r="I158" s="12" t="s">
        <v>123</v>
      </c>
      <c r="J158" s="17" t="s">
        <v>4591</v>
      </c>
      <c r="K158" s="17" t="s">
        <v>4596</v>
      </c>
      <c r="L158" s="17" t="s">
        <v>4599</v>
      </c>
      <c r="M158" s="17" t="s">
        <v>194</v>
      </c>
      <c r="O158" s="18" t="s">
        <v>92</v>
      </c>
    </row>
    <row r="159">
      <c r="A159" s="11"/>
      <c r="B159" s="12" t="s">
        <v>34</v>
      </c>
      <c r="C159" s="12" t="s">
        <v>65</v>
      </c>
      <c r="D159" s="12" t="s">
        <v>83</v>
      </c>
      <c r="E159" s="12" t="s">
        <v>120</v>
      </c>
      <c r="F159" s="13" t="s">
        <v>121</v>
      </c>
      <c r="G159" s="12" t="s">
        <v>68</v>
      </c>
      <c r="H159" s="12" t="s">
        <v>122</v>
      </c>
      <c r="I159" s="12" t="s">
        <v>123</v>
      </c>
      <c r="J159" s="17" t="s">
        <v>4597</v>
      </c>
      <c r="K159" s="17" t="s">
        <v>4598</v>
      </c>
      <c r="L159" s="17" t="s">
        <v>4605</v>
      </c>
      <c r="M159" s="17" t="s">
        <v>194</v>
      </c>
      <c r="O159" s="18" t="s">
        <v>92</v>
      </c>
    </row>
    <row r="160">
      <c r="A160" s="11"/>
      <c r="B160" s="12" t="s">
        <v>34</v>
      </c>
      <c r="C160" s="12" t="s">
        <v>65</v>
      </c>
      <c r="D160" s="12" t="s">
        <v>83</v>
      </c>
      <c r="E160" s="12" t="s">
        <v>120</v>
      </c>
      <c r="F160" s="13" t="s">
        <v>121</v>
      </c>
      <c r="G160" s="12" t="s">
        <v>68</v>
      </c>
      <c r="H160" s="12" t="s">
        <v>122</v>
      </c>
      <c r="I160" s="12" t="s">
        <v>123</v>
      </c>
      <c r="J160" s="17" t="s">
        <v>4597</v>
      </c>
      <c r="K160" s="17" t="s">
        <v>4600</v>
      </c>
      <c r="L160" s="17" t="s">
        <v>4599</v>
      </c>
      <c r="M160" s="17" t="s">
        <v>194</v>
      </c>
      <c r="O160" s="18" t="s">
        <v>92</v>
      </c>
    </row>
    <row r="161">
      <c r="A161" s="11"/>
      <c r="B161" s="12" t="s">
        <v>34</v>
      </c>
      <c r="C161" s="12" t="s">
        <v>65</v>
      </c>
      <c r="D161" s="12" t="s">
        <v>83</v>
      </c>
      <c r="E161" s="12" t="s">
        <v>120</v>
      </c>
      <c r="F161" s="13" t="s">
        <v>121</v>
      </c>
      <c r="G161" s="12" t="s">
        <v>68</v>
      </c>
      <c r="H161" s="12" t="s">
        <v>122</v>
      </c>
      <c r="I161" s="12" t="s">
        <v>123</v>
      </c>
      <c r="J161" s="17" t="s">
        <v>4597</v>
      </c>
      <c r="K161" s="17" t="s">
        <v>4601</v>
      </c>
      <c r="L161" s="17" t="s">
        <v>4599</v>
      </c>
      <c r="M161" s="17" t="s">
        <v>194</v>
      </c>
      <c r="O161" s="18" t="s">
        <v>92</v>
      </c>
    </row>
    <row r="162">
      <c r="A162" s="11"/>
      <c r="B162" s="12" t="s">
        <v>34</v>
      </c>
      <c r="C162" s="12" t="s">
        <v>65</v>
      </c>
      <c r="D162" s="12" t="s">
        <v>83</v>
      </c>
      <c r="E162" s="12" t="s">
        <v>120</v>
      </c>
      <c r="F162" s="13" t="s">
        <v>121</v>
      </c>
      <c r="G162" s="12" t="s">
        <v>68</v>
      </c>
      <c r="H162" s="12" t="s">
        <v>122</v>
      </c>
      <c r="I162" s="12" t="s">
        <v>123</v>
      </c>
      <c r="J162" s="17" t="s">
        <v>4597</v>
      </c>
      <c r="K162" s="17" t="s">
        <v>4602</v>
      </c>
      <c r="L162" s="17" t="s">
        <v>4599</v>
      </c>
      <c r="M162" s="17" t="s">
        <v>194</v>
      </c>
      <c r="O162" s="18" t="s">
        <v>92</v>
      </c>
    </row>
    <row r="163">
      <c r="A163" s="11"/>
      <c r="B163" s="12" t="s">
        <v>34</v>
      </c>
      <c r="C163" s="12" t="s">
        <v>65</v>
      </c>
      <c r="D163" s="12" t="s">
        <v>83</v>
      </c>
      <c r="E163" s="12" t="s">
        <v>120</v>
      </c>
      <c r="F163" s="13" t="s">
        <v>121</v>
      </c>
      <c r="G163" s="12" t="s">
        <v>68</v>
      </c>
      <c r="H163" s="12" t="s">
        <v>122</v>
      </c>
      <c r="I163" s="12" t="s">
        <v>123</v>
      </c>
      <c r="J163" s="17" t="s">
        <v>4597</v>
      </c>
      <c r="K163" s="17" t="s">
        <v>4603</v>
      </c>
      <c r="L163" s="17" t="s">
        <v>4599</v>
      </c>
      <c r="M163" s="17" t="s">
        <v>194</v>
      </c>
      <c r="O163" s="18" t="s">
        <v>92</v>
      </c>
    </row>
    <row r="164">
      <c r="A164" s="11"/>
      <c r="B164" s="12" t="s">
        <v>34</v>
      </c>
      <c r="C164" s="12" t="s">
        <v>65</v>
      </c>
      <c r="D164" s="12" t="s">
        <v>83</v>
      </c>
      <c r="E164" s="12" t="s">
        <v>120</v>
      </c>
      <c r="F164" s="13" t="s">
        <v>121</v>
      </c>
      <c r="G164" s="12" t="s">
        <v>68</v>
      </c>
      <c r="H164" s="12" t="s">
        <v>122</v>
      </c>
      <c r="I164" s="12" t="s">
        <v>123</v>
      </c>
      <c r="J164" s="17" t="s">
        <v>4591</v>
      </c>
      <c r="K164" s="17" t="s">
        <v>4592</v>
      </c>
      <c r="L164" s="17" t="s">
        <v>4593</v>
      </c>
      <c r="M164" s="17" t="s">
        <v>428</v>
      </c>
      <c r="O164" s="18" t="s">
        <v>92</v>
      </c>
    </row>
    <row r="165">
      <c r="A165" s="11"/>
      <c r="B165" s="12" t="s">
        <v>34</v>
      </c>
      <c r="C165" s="12" t="s">
        <v>65</v>
      </c>
      <c r="D165" s="12" t="s">
        <v>83</v>
      </c>
      <c r="E165" s="12" t="s">
        <v>120</v>
      </c>
      <c r="F165" s="13" t="s">
        <v>121</v>
      </c>
      <c r="G165" s="12" t="s">
        <v>68</v>
      </c>
      <c r="H165" s="12" t="s">
        <v>122</v>
      </c>
      <c r="I165" s="12" t="s">
        <v>123</v>
      </c>
      <c r="J165" s="17" t="s">
        <v>4591</v>
      </c>
      <c r="K165" s="17" t="s">
        <v>4594</v>
      </c>
      <c r="L165" s="17" t="s">
        <v>4593</v>
      </c>
      <c r="M165" s="17" t="s">
        <v>428</v>
      </c>
      <c r="O165" s="18" t="s">
        <v>92</v>
      </c>
    </row>
    <row r="166">
      <c r="A166" s="11"/>
      <c r="B166" s="12" t="s">
        <v>34</v>
      </c>
      <c r="C166" s="12" t="s">
        <v>65</v>
      </c>
      <c r="D166" s="12" t="s">
        <v>83</v>
      </c>
      <c r="E166" s="12" t="s">
        <v>120</v>
      </c>
      <c r="F166" s="13" t="s">
        <v>121</v>
      </c>
      <c r="G166" s="12" t="s">
        <v>68</v>
      </c>
      <c r="H166" s="12" t="s">
        <v>122</v>
      </c>
      <c r="I166" s="12" t="s">
        <v>123</v>
      </c>
      <c r="J166" s="17" t="s">
        <v>4591</v>
      </c>
      <c r="K166" s="17" t="s">
        <v>4595</v>
      </c>
      <c r="L166" s="17" t="s">
        <v>4593</v>
      </c>
      <c r="M166" s="17" t="s">
        <v>428</v>
      </c>
      <c r="O166" s="18" t="s">
        <v>92</v>
      </c>
    </row>
    <row r="167">
      <c r="A167" s="11"/>
      <c r="B167" s="12" t="s">
        <v>34</v>
      </c>
      <c r="C167" s="12" t="s">
        <v>65</v>
      </c>
      <c r="D167" s="12" t="s">
        <v>83</v>
      </c>
      <c r="E167" s="12" t="s">
        <v>120</v>
      </c>
      <c r="F167" s="13" t="s">
        <v>121</v>
      </c>
      <c r="G167" s="12" t="s">
        <v>68</v>
      </c>
      <c r="H167" s="12" t="s">
        <v>122</v>
      </c>
      <c r="I167" s="12" t="s">
        <v>123</v>
      </c>
      <c r="J167" s="17" t="s">
        <v>4591</v>
      </c>
      <c r="K167" s="17" t="s">
        <v>4596</v>
      </c>
      <c r="L167" s="17" t="s">
        <v>4593</v>
      </c>
      <c r="M167" s="17" t="s">
        <v>428</v>
      </c>
      <c r="O167" s="18" t="s">
        <v>92</v>
      </c>
    </row>
    <row r="168">
      <c r="A168" s="11"/>
      <c r="B168" s="12" t="s">
        <v>34</v>
      </c>
      <c r="C168" s="12" t="s">
        <v>65</v>
      </c>
      <c r="D168" s="12" t="s">
        <v>83</v>
      </c>
      <c r="E168" s="12" t="s">
        <v>120</v>
      </c>
      <c r="F168" s="13" t="s">
        <v>121</v>
      </c>
      <c r="G168" s="12" t="s">
        <v>68</v>
      </c>
      <c r="H168" s="12" t="s">
        <v>122</v>
      </c>
      <c r="I168" s="12" t="s">
        <v>123</v>
      </c>
      <c r="J168" s="17" t="s">
        <v>4597</v>
      </c>
      <c r="K168" s="17" t="s">
        <v>4598</v>
      </c>
      <c r="L168" s="17" t="s">
        <v>4605</v>
      </c>
      <c r="M168" s="17" t="s">
        <v>428</v>
      </c>
      <c r="O168" s="18" t="s">
        <v>92</v>
      </c>
    </row>
    <row r="169">
      <c r="A169" s="11"/>
      <c r="B169" s="12" t="s">
        <v>34</v>
      </c>
      <c r="C169" s="12" t="s">
        <v>65</v>
      </c>
      <c r="D169" s="12" t="s">
        <v>83</v>
      </c>
      <c r="E169" s="12" t="s">
        <v>120</v>
      </c>
      <c r="F169" s="13" t="s">
        <v>121</v>
      </c>
      <c r="G169" s="12" t="s">
        <v>68</v>
      </c>
      <c r="H169" s="12" t="s">
        <v>122</v>
      </c>
      <c r="I169" s="12" t="s">
        <v>123</v>
      </c>
      <c r="J169" s="17" t="s">
        <v>4597</v>
      </c>
      <c r="K169" s="17" t="s">
        <v>4600</v>
      </c>
      <c r="L169" s="17" t="s">
        <v>4599</v>
      </c>
      <c r="M169" s="17" t="s">
        <v>428</v>
      </c>
      <c r="O169" s="18" t="s">
        <v>92</v>
      </c>
    </row>
    <row r="170">
      <c r="A170" s="11"/>
      <c r="B170" s="12" t="s">
        <v>34</v>
      </c>
      <c r="C170" s="12" t="s">
        <v>65</v>
      </c>
      <c r="D170" s="12" t="s">
        <v>83</v>
      </c>
      <c r="E170" s="12" t="s">
        <v>120</v>
      </c>
      <c r="F170" s="13" t="s">
        <v>121</v>
      </c>
      <c r="G170" s="12" t="s">
        <v>68</v>
      </c>
      <c r="H170" s="12" t="s">
        <v>122</v>
      </c>
      <c r="I170" s="12" t="s">
        <v>123</v>
      </c>
      <c r="J170" s="17" t="s">
        <v>4597</v>
      </c>
      <c r="K170" s="17" t="s">
        <v>4601</v>
      </c>
      <c r="L170" s="17" t="s">
        <v>4593</v>
      </c>
      <c r="M170" s="17" t="s">
        <v>428</v>
      </c>
      <c r="O170" s="18" t="s">
        <v>92</v>
      </c>
    </row>
    <row r="171">
      <c r="A171" s="11"/>
      <c r="B171" s="12" t="s">
        <v>34</v>
      </c>
      <c r="C171" s="12" t="s">
        <v>65</v>
      </c>
      <c r="D171" s="12" t="s">
        <v>83</v>
      </c>
      <c r="E171" s="12" t="s">
        <v>120</v>
      </c>
      <c r="F171" s="13" t="s">
        <v>121</v>
      </c>
      <c r="G171" s="12" t="s">
        <v>68</v>
      </c>
      <c r="H171" s="12" t="s">
        <v>122</v>
      </c>
      <c r="I171" s="12" t="s">
        <v>123</v>
      </c>
      <c r="J171" s="17" t="s">
        <v>4597</v>
      </c>
      <c r="K171" s="17" t="s">
        <v>4602</v>
      </c>
      <c r="L171" s="17" t="s">
        <v>4593</v>
      </c>
      <c r="M171" s="17" t="s">
        <v>428</v>
      </c>
      <c r="O171" s="18" t="s">
        <v>92</v>
      </c>
    </row>
    <row r="172">
      <c r="A172" s="11"/>
      <c r="B172" s="12" t="s">
        <v>34</v>
      </c>
      <c r="C172" s="12" t="s">
        <v>65</v>
      </c>
      <c r="D172" s="12" t="s">
        <v>83</v>
      </c>
      <c r="E172" s="12" t="s">
        <v>120</v>
      </c>
      <c r="F172" s="13" t="s">
        <v>121</v>
      </c>
      <c r="G172" s="12" t="s">
        <v>68</v>
      </c>
      <c r="H172" s="12" t="s">
        <v>122</v>
      </c>
      <c r="I172" s="12" t="s">
        <v>123</v>
      </c>
      <c r="J172" s="17" t="s">
        <v>4597</v>
      </c>
      <c r="K172" s="17" t="s">
        <v>4603</v>
      </c>
      <c r="L172" s="17" t="s">
        <v>4599</v>
      </c>
      <c r="M172" s="17" t="s">
        <v>428</v>
      </c>
      <c r="O172" s="18" t="s">
        <v>92</v>
      </c>
    </row>
    <row r="173">
      <c r="A173" s="11"/>
      <c r="B173" s="12" t="s">
        <v>34</v>
      </c>
      <c r="C173" s="12" t="s">
        <v>65</v>
      </c>
      <c r="D173" s="12" t="s">
        <v>102</v>
      </c>
      <c r="E173" s="12" t="s">
        <v>152</v>
      </c>
      <c r="F173" s="13" t="s">
        <v>153</v>
      </c>
      <c r="G173" s="12" t="s">
        <v>68</v>
      </c>
      <c r="H173" s="12" t="s">
        <v>154</v>
      </c>
      <c r="I173" s="12" t="s">
        <v>155</v>
      </c>
      <c r="J173" s="17" t="s">
        <v>4591</v>
      </c>
      <c r="K173" s="17" t="s">
        <v>4592</v>
      </c>
      <c r="L173" s="17" t="s">
        <v>4599</v>
      </c>
      <c r="M173" s="17" t="s">
        <v>194</v>
      </c>
      <c r="O173" s="18" t="s">
        <v>92</v>
      </c>
    </row>
    <row r="174">
      <c r="A174" s="11"/>
      <c r="B174" s="12" t="s">
        <v>34</v>
      </c>
      <c r="C174" s="12" t="s">
        <v>65</v>
      </c>
      <c r="D174" s="12" t="s">
        <v>102</v>
      </c>
      <c r="E174" s="12" t="s">
        <v>152</v>
      </c>
      <c r="F174" s="13" t="s">
        <v>153</v>
      </c>
      <c r="G174" s="12" t="s">
        <v>68</v>
      </c>
      <c r="H174" s="12" t="s">
        <v>154</v>
      </c>
      <c r="I174" s="12" t="s">
        <v>155</v>
      </c>
      <c r="J174" s="17" t="s">
        <v>4591</v>
      </c>
      <c r="K174" s="17" t="s">
        <v>4594</v>
      </c>
      <c r="L174" s="17" t="s">
        <v>4599</v>
      </c>
      <c r="M174" s="17" t="s">
        <v>194</v>
      </c>
      <c r="O174" s="18" t="s">
        <v>92</v>
      </c>
    </row>
    <row r="175">
      <c r="A175" s="11"/>
      <c r="B175" s="12" t="s">
        <v>34</v>
      </c>
      <c r="C175" s="12" t="s">
        <v>65</v>
      </c>
      <c r="D175" s="12" t="s">
        <v>102</v>
      </c>
      <c r="E175" s="12" t="s">
        <v>152</v>
      </c>
      <c r="F175" s="13" t="s">
        <v>153</v>
      </c>
      <c r="G175" s="12" t="s">
        <v>68</v>
      </c>
      <c r="H175" s="12" t="s">
        <v>154</v>
      </c>
      <c r="I175" s="12" t="s">
        <v>155</v>
      </c>
      <c r="J175" s="17" t="s">
        <v>4591</v>
      </c>
      <c r="K175" s="17" t="s">
        <v>4595</v>
      </c>
      <c r="L175" s="17" t="s">
        <v>4599</v>
      </c>
      <c r="M175" s="17" t="s">
        <v>194</v>
      </c>
      <c r="O175" s="18" t="s">
        <v>92</v>
      </c>
    </row>
    <row r="176">
      <c r="A176" s="11"/>
      <c r="B176" s="12" t="s">
        <v>34</v>
      </c>
      <c r="C176" s="12" t="s">
        <v>65</v>
      </c>
      <c r="D176" s="12" t="s">
        <v>102</v>
      </c>
      <c r="E176" s="12" t="s">
        <v>152</v>
      </c>
      <c r="F176" s="13" t="s">
        <v>153</v>
      </c>
      <c r="G176" s="12" t="s">
        <v>68</v>
      </c>
      <c r="H176" s="12" t="s">
        <v>154</v>
      </c>
      <c r="I176" s="12" t="s">
        <v>155</v>
      </c>
      <c r="J176" s="17" t="s">
        <v>4591</v>
      </c>
      <c r="K176" s="17" t="s">
        <v>4596</v>
      </c>
      <c r="L176" s="17" t="s">
        <v>4605</v>
      </c>
      <c r="M176" s="17" t="s">
        <v>194</v>
      </c>
      <c r="O176" s="18" t="s">
        <v>92</v>
      </c>
    </row>
    <row r="177">
      <c r="A177" s="11"/>
      <c r="B177" s="12" t="s">
        <v>34</v>
      </c>
      <c r="C177" s="12" t="s">
        <v>65</v>
      </c>
      <c r="D177" s="12" t="s">
        <v>102</v>
      </c>
      <c r="E177" s="12" t="s">
        <v>152</v>
      </c>
      <c r="F177" s="13" t="s">
        <v>153</v>
      </c>
      <c r="G177" s="12" t="s">
        <v>68</v>
      </c>
      <c r="H177" s="12" t="s">
        <v>154</v>
      </c>
      <c r="I177" s="12" t="s">
        <v>155</v>
      </c>
      <c r="J177" s="17" t="s">
        <v>4597</v>
      </c>
      <c r="K177" s="17" t="s">
        <v>4598</v>
      </c>
      <c r="L177" s="17" t="s">
        <v>4599</v>
      </c>
      <c r="M177" s="17" t="s">
        <v>194</v>
      </c>
      <c r="O177" s="18" t="s">
        <v>92</v>
      </c>
    </row>
    <row r="178">
      <c r="A178" s="11"/>
      <c r="B178" s="12" t="s">
        <v>34</v>
      </c>
      <c r="C178" s="12" t="s">
        <v>65</v>
      </c>
      <c r="D178" s="12" t="s">
        <v>102</v>
      </c>
      <c r="E178" s="12" t="s">
        <v>152</v>
      </c>
      <c r="F178" s="13" t="s">
        <v>153</v>
      </c>
      <c r="G178" s="12" t="s">
        <v>68</v>
      </c>
      <c r="H178" s="12" t="s">
        <v>154</v>
      </c>
      <c r="I178" s="12" t="s">
        <v>155</v>
      </c>
      <c r="J178" s="17" t="s">
        <v>4597</v>
      </c>
      <c r="K178" s="17" t="s">
        <v>4600</v>
      </c>
      <c r="L178" s="17" t="s">
        <v>4605</v>
      </c>
      <c r="M178" s="17" t="s">
        <v>194</v>
      </c>
      <c r="O178" s="18" t="s">
        <v>92</v>
      </c>
    </row>
    <row r="179">
      <c r="A179" s="11"/>
      <c r="B179" s="12" t="s">
        <v>34</v>
      </c>
      <c r="C179" s="12" t="s">
        <v>65</v>
      </c>
      <c r="D179" s="12" t="s">
        <v>102</v>
      </c>
      <c r="E179" s="12" t="s">
        <v>152</v>
      </c>
      <c r="F179" s="13" t="s">
        <v>153</v>
      </c>
      <c r="G179" s="12" t="s">
        <v>68</v>
      </c>
      <c r="H179" s="12" t="s">
        <v>154</v>
      </c>
      <c r="I179" s="12" t="s">
        <v>155</v>
      </c>
      <c r="J179" s="17" t="s">
        <v>4597</v>
      </c>
      <c r="K179" s="17" t="s">
        <v>4601</v>
      </c>
      <c r="L179" s="17" t="s">
        <v>4605</v>
      </c>
      <c r="M179" s="17" t="s">
        <v>194</v>
      </c>
      <c r="O179" s="18" t="s">
        <v>92</v>
      </c>
    </row>
    <row r="180">
      <c r="A180" s="11"/>
      <c r="B180" s="12" t="s">
        <v>34</v>
      </c>
      <c r="C180" s="12" t="s">
        <v>65</v>
      </c>
      <c r="D180" s="12" t="s">
        <v>102</v>
      </c>
      <c r="E180" s="12" t="s">
        <v>152</v>
      </c>
      <c r="F180" s="13" t="s">
        <v>153</v>
      </c>
      <c r="G180" s="12" t="s">
        <v>68</v>
      </c>
      <c r="H180" s="12" t="s">
        <v>154</v>
      </c>
      <c r="I180" s="12" t="s">
        <v>155</v>
      </c>
      <c r="J180" s="17" t="s">
        <v>4597</v>
      </c>
      <c r="K180" s="17" t="s">
        <v>4602</v>
      </c>
      <c r="L180" s="17" t="s">
        <v>4605</v>
      </c>
      <c r="M180" s="17" t="s">
        <v>194</v>
      </c>
      <c r="O180" s="18" t="s">
        <v>92</v>
      </c>
    </row>
    <row r="181">
      <c r="A181" s="11"/>
      <c r="B181" s="12" t="s">
        <v>34</v>
      </c>
      <c r="C181" s="12" t="s">
        <v>65</v>
      </c>
      <c r="D181" s="12" t="s">
        <v>102</v>
      </c>
      <c r="E181" s="12" t="s">
        <v>152</v>
      </c>
      <c r="F181" s="13" t="s">
        <v>153</v>
      </c>
      <c r="G181" s="12" t="s">
        <v>68</v>
      </c>
      <c r="H181" s="12" t="s">
        <v>154</v>
      </c>
      <c r="I181" s="12" t="s">
        <v>155</v>
      </c>
      <c r="J181" s="17" t="s">
        <v>4597</v>
      </c>
      <c r="K181" s="17" t="s">
        <v>4603</v>
      </c>
      <c r="L181" s="17" t="s">
        <v>4599</v>
      </c>
      <c r="M181" s="17" t="s">
        <v>194</v>
      </c>
      <c r="O181" s="18" t="s">
        <v>92</v>
      </c>
    </row>
    <row r="182">
      <c r="A182" s="11"/>
      <c r="B182" s="12" t="s">
        <v>34</v>
      </c>
      <c r="C182" s="12" t="s">
        <v>65</v>
      </c>
      <c r="D182" s="12" t="s">
        <v>102</v>
      </c>
      <c r="E182" s="12" t="s">
        <v>152</v>
      </c>
      <c r="F182" s="13" t="s">
        <v>153</v>
      </c>
      <c r="G182" s="12" t="s">
        <v>68</v>
      </c>
      <c r="H182" s="12" t="s">
        <v>154</v>
      </c>
      <c r="I182" s="12" t="s">
        <v>155</v>
      </c>
      <c r="J182" s="17" t="s">
        <v>4591</v>
      </c>
      <c r="K182" s="17" t="s">
        <v>4592</v>
      </c>
      <c r="L182" s="17" t="s">
        <v>4593</v>
      </c>
      <c r="M182" s="17" t="s">
        <v>428</v>
      </c>
      <c r="O182" s="18" t="s">
        <v>92</v>
      </c>
    </row>
    <row r="183">
      <c r="A183" s="11"/>
      <c r="B183" s="12" t="s">
        <v>34</v>
      </c>
      <c r="C183" s="12" t="s">
        <v>65</v>
      </c>
      <c r="D183" s="12" t="s">
        <v>102</v>
      </c>
      <c r="E183" s="12" t="s">
        <v>152</v>
      </c>
      <c r="F183" s="13" t="s">
        <v>153</v>
      </c>
      <c r="G183" s="12" t="s">
        <v>68</v>
      </c>
      <c r="H183" s="12" t="s">
        <v>154</v>
      </c>
      <c r="I183" s="12" t="s">
        <v>155</v>
      </c>
      <c r="J183" s="17" t="s">
        <v>4591</v>
      </c>
      <c r="K183" s="17" t="s">
        <v>4594</v>
      </c>
      <c r="L183" s="17" t="s">
        <v>4593</v>
      </c>
      <c r="M183" s="17" t="s">
        <v>428</v>
      </c>
      <c r="O183" s="18" t="s">
        <v>92</v>
      </c>
    </row>
    <row r="184">
      <c r="A184" s="11"/>
      <c r="B184" s="12" t="s">
        <v>34</v>
      </c>
      <c r="C184" s="12" t="s">
        <v>65</v>
      </c>
      <c r="D184" s="12" t="s">
        <v>102</v>
      </c>
      <c r="E184" s="12" t="s">
        <v>152</v>
      </c>
      <c r="F184" s="13" t="s">
        <v>153</v>
      </c>
      <c r="G184" s="12" t="s">
        <v>68</v>
      </c>
      <c r="H184" s="12" t="s">
        <v>154</v>
      </c>
      <c r="I184" s="12" t="s">
        <v>155</v>
      </c>
      <c r="J184" s="17" t="s">
        <v>4591</v>
      </c>
      <c r="K184" s="17" t="s">
        <v>4595</v>
      </c>
      <c r="L184" s="17" t="s">
        <v>4593</v>
      </c>
      <c r="M184" s="17" t="s">
        <v>428</v>
      </c>
      <c r="O184" s="18" t="s">
        <v>92</v>
      </c>
    </row>
    <row r="185">
      <c r="A185" s="11"/>
      <c r="B185" s="12" t="s">
        <v>34</v>
      </c>
      <c r="C185" s="12" t="s">
        <v>65</v>
      </c>
      <c r="D185" s="12" t="s">
        <v>102</v>
      </c>
      <c r="E185" s="12" t="s">
        <v>152</v>
      </c>
      <c r="F185" s="13" t="s">
        <v>153</v>
      </c>
      <c r="G185" s="12" t="s">
        <v>68</v>
      </c>
      <c r="H185" s="12" t="s">
        <v>154</v>
      </c>
      <c r="I185" s="12" t="s">
        <v>155</v>
      </c>
      <c r="J185" s="17" t="s">
        <v>4591</v>
      </c>
      <c r="K185" s="17" t="s">
        <v>4596</v>
      </c>
      <c r="L185" s="17" t="s">
        <v>4599</v>
      </c>
      <c r="M185" s="17" t="s">
        <v>428</v>
      </c>
      <c r="O185" s="18" t="s">
        <v>92</v>
      </c>
    </row>
    <row r="186">
      <c r="A186" s="11"/>
      <c r="B186" s="12" t="s">
        <v>34</v>
      </c>
      <c r="C186" s="12" t="s">
        <v>65</v>
      </c>
      <c r="D186" s="12" t="s">
        <v>102</v>
      </c>
      <c r="E186" s="12" t="s">
        <v>152</v>
      </c>
      <c r="F186" s="13" t="s">
        <v>153</v>
      </c>
      <c r="G186" s="12" t="s">
        <v>68</v>
      </c>
      <c r="H186" s="12" t="s">
        <v>154</v>
      </c>
      <c r="I186" s="12" t="s">
        <v>155</v>
      </c>
      <c r="J186" s="17" t="s">
        <v>4597</v>
      </c>
      <c r="K186" s="17" t="s">
        <v>4598</v>
      </c>
      <c r="L186" s="17" t="s">
        <v>4599</v>
      </c>
      <c r="M186" s="17" t="s">
        <v>428</v>
      </c>
      <c r="O186" s="18" t="s">
        <v>92</v>
      </c>
    </row>
    <row r="187">
      <c r="A187" s="11"/>
      <c r="B187" s="12" t="s">
        <v>34</v>
      </c>
      <c r="C187" s="12" t="s">
        <v>65</v>
      </c>
      <c r="D187" s="12" t="s">
        <v>102</v>
      </c>
      <c r="E187" s="12" t="s">
        <v>152</v>
      </c>
      <c r="F187" s="13" t="s">
        <v>153</v>
      </c>
      <c r="G187" s="12" t="s">
        <v>68</v>
      </c>
      <c r="H187" s="12" t="s">
        <v>154</v>
      </c>
      <c r="I187" s="12" t="s">
        <v>155</v>
      </c>
      <c r="J187" s="17" t="s">
        <v>4597</v>
      </c>
      <c r="K187" s="17" t="s">
        <v>4600</v>
      </c>
      <c r="L187" s="17" t="s">
        <v>4593</v>
      </c>
      <c r="M187" s="17" t="s">
        <v>428</v>
      </c>
      <c r="O187" s="18" t="s">
        <v>92</v>
      </c>
    </row>
    <row r="188">
      <c r="A188" s="11"/>
      <c r="B188" s="12" t="s">
        <v>34</v>
      </c>
      <c r="C188" s="12" t="s">
        <v>65</v>
      </c>
      <c r="D188" s="12" t="s">
        <v>102</v>
      </c>
      <c r="E188" s="12" t="s">
        <v>152</v>
      </c>
      <c r="F188" s="13" t="s">
        <v>153</v>
      </c>
      <c r="G188" s="12" t="s">
        <v>68</v>
      </c>
      <c r="H188" s="12" t="s">
        <v>154</v>
      </c>
      <c r="I188" s="12" t="s">
        <v>155</v>
      </c>
      <c r="J188" s="17" t="s">
        <v>4597</v>
      </c>
      <c r="K188" s="17" t="s">
        <v>4601</v>
      </c>
      <c r="L188" s="17" t="s">
        <v>4593</v>
      </c>
      <c r="M188" s="17" t="s">
        <v>428</v>
      </c>
      <c r="O188" s="18" t="s">
        <v>92</v>
      </c>
    </row>
    <row r="189">
      <c r="A189" s="11"/>
      <c r="B189" s="12" t="s">
        <v>34</v>
      </c>
      <c r="C189" s="12" t="s">
        <v>65</v>
      </c>
      <c r="D189" s="12" t="s">
        <v>102</v>
      </c>
      <c r="E189" s="12" t="s">
        <v>152</v>
      </c>
      <c r="F189" s="13" t="s">
        <v>153</v>
      </c>
      <c r="G189" s="12" t="s">
        <v>68</v>
      </c>
      <c r="H189" s="12" t="s">
        <v>154</v>
      </c>
      <c r="I189" s="12" t="s">
        <v>155</v>
      </c>
      <c r="J189" s="17" t="s">
        <v>4597</v>
      </c>
      <c r="K189" s="17" t="s">
        <v>4602</v>
      </c>
      <c r="L189" s="17" t="s">
        <v>4599</v>
      </c>
      <c r="M189" s="17" t="s">
        <v>428</v>
      </c>
      <c r="O189" s="18" t="s">
        <v>92</v>
      </c>
    </row>
    <row r="190">
      <c r="A190" s="11"/>
      <c r="B190" s="12" t="s">
        <v>34</v>
      </c>
      <c r="C190" s="12" t="s">
        <v>65</v>
      </c>
      <c r="D190" s="12" t="s">
        <v>102</v>
      </c>
      <c r="E190" s="12" t="s">
        <v>152</v>
      </c>
      <c r="F190" s="13" t="s">
        <v>153</v>
      </c>
      <c r="G190" s="12" t="s">
        <v>68</v>
      </c>
      <c r="H190" s="12" t="s">
        <v>154</v>
      </c>
      <c r="I190" s="12" t="s">
        <v>155</v>
      </c>
      <c r="J190" s="17" t="s">
        <v>4597</v>
      </c>
      <c r="K190" s="17" t="s">
        <v>4603</v>
      </c>
      <c r="L190" s="17" t="s">
        <v>4599</v>
      </c>
      <c r="M190" s="17" t="s">
        <v>428</v>
      </c>
      <c r="O190" s="18" t="s">
        <v>92</v>
      </c>
    </row>
    <row r="191">
      <c r="A191" s="11"/>
      <c r="B191" s="12" t="s">
        <v>7</v>
      </c>
      <c r="C191" s="12" t="s">
        <v>37</v>
      </c>
      <c r="D191" s="12" t="s">
        <v>38</v>
      </c>
      <c r="E191" s="12" t="s">
        <v>38</v>
      </c>
      <c r="F191" s="13" t="s">
        <v>42</v>
      </c>
      <c r="G191" s="12" t="s">
        <v>68</v>
      </c>
      <c r="H191" s="12" t="s">
        <v>584</v>
      </c>
      <c r="I191" s="12" t="s">
        <v>585</v>
      </c>
      <c r="J191" s="17" t="s">
        <v>4591</v>
      </c>
      <c r="K191" s="17" t="s">
        <v>4592</v>
      </c>
      <c r="L191" s="17" t="s">
        <v>4599</v>
      </c>
      <c r="M191" s="17" t="s">
        <v>194</v>
      </c>
      <c r="N191" s="17" t="s">
        <v>4606</v>
      </c>
      <c r="O191" s="18" t="s">
        <v>588</v>
      </c>
    </row>
    <row r="192">
      <c r="A192" s="11"/>
      <c r="B192" s="12" t="s">
        <v>7</v>
      </c>
      <c r="C192" s="12" t="s">
        <v>37</v>
      </c>
      <c r="D192" s="12" t="s">
        <v>38</v>
      </c>
      <c r="E192" s="12" t="s">
        <v>38</v>
      </c>
      <c r="F192" s="13" t="s">
        <v>42</v>
      </c>
      <c r="G192" s="12" t="s">
        <v>68</v>
      </c>
      <c r="H192" s="12" t="s">
        <v>584</v>
      </c>
      <c r="I192" s="12" t="s">
        <v>585</v>
      </c>
      <c r="J192" s="17" t="s">
        <v>4591</v>
      </c>
      <c r="K192" s="17" t="s">
        <v>4594</v>
      </c>
      <c r="L192" s="17" t="s">
        <v>4593</v>
      </c>
      <c r="M192" s="17" t="s">
        <v>194</v>
      </c>
      <c r="O192" s="18" t="s">
        <v>588</v>
      </c>
    </row>
    <row r="193">
      <c r="A193" s="11"/>
      <c r="B193" s="12" t="s">
        <v>7</v>
      </c>
      <c r="C193" s="12" t="s">
        <v>37</v>
      </c>
      <c r="D193" s="12" t="s">
        <v>38</v>
      </c>
      <c r="E193" s="12" t="s">
        <v>38</v>
      </c>
      <c r="F193" s="13" t="s">
        <v>42</v>
      </c>
      <c r="G193" s="12" t="s">
        <v>68</v>
      </c>
      <c r="H193" s="12" t="s">
        <v>584</v>
      </c>
      <c r="I193" s="12" t="s">
        <v>585</v>
      </c>
      <c r="J193" s="17" t="s">
        <v>4591</v>
      </c>
      <c r="K193" s="17" t="s">
        <v>4595</v>
      </c>
      <c r="L193" s="17" t="s">
        <v>4593</v>
      </c>
      <c r="M193" s="17" t="s">
        <v>194</v>
      </c>
      <c r="O193" s="18" t="s">
        <v>588</v>
      </c>
    </row>
    <row r="194">
      <c r="A194" s="11"/>
      <c r="B194" s="12" t="s">
        <v>7</v>
      </c>
      <c r="C194" s="12" t="s">
        <v>37</v>
      </c>
      <c r="D194" s="12" t="s">
        <v>38</v>
      </c>
      <c r="E194" s="12" t="s">
        <v>38</v>
      </c>
      <c r="F194" s="13" t="s">
        <v>42</v>
      </c>
      <c r="G194" s="12" t="s">
        <v>68</v>
      </c>
      <c r="H194" s="12" t="s">
        <v>584</v>
      </c>
      <c r="I194" s="12" t="s">
        <v>585</v>
      </c>
      <c r="J194" s="17" t="s">
        <v>4591</v>
      </c>
      <c r="K194" s="17" t="s">
        <v>4596</v>
      </c>
      <c r="L194" s="17" t="s">
        <v>4604</v>
      </c>
      <c r="M194" s="17" t="s">
        <v>194</v>
      </c>
      <c r="O194" s="18" t="s">
        <v>588</v>
      </c>
    </row>
    <row r="195">
      <c r="A195" s="11"/>
      <c r="B195" s="12" t="s">
        <v>7</v>
      </c>
      <c r="C195" s="12" t="s">
        <v>37</v>
      </c>
      <c r="D195" s="12" t="s">
        <v>38</v>
      </c>
      <c r="E195" s="12" t="s">
        <v>38</v>
      </c>
      <c r="F195" s="13" t="s">
        <v>42</v>
      </c>
      <c r="G195" s="12" t="s">
        <v>68</v>
      </c>
      <c r="H195" s="12" t="s">
        <v>584</v>
      </c>
      <c r="I195" s="12" t="s">
        <v>585</v>
      </c>
      <c r="J195" s="17" t="s">
        <v>4597</v>
      </c>
      <c r="K195" s="17" t="s">
        <v>4598</v>
      </c>
      <c r="L195" s="17" t="s">
        <v>4605</v>
      </c>
      <c r="M195" s="17" t="s">
        <v>194</v>
      </c>
      <c r="O195" s="18" t="s">
        <v>588</v>
      </c>
    </row>
    <row r="196">
      <c r="A196" s="11"/>
      <c r="B196" s="12" t="s">
        <v>7</v>
      </c>
      <c r="C196" s="12" t="s">
        <v>37</v>
      </c>
      <c r="D196" s="12" t="s">
        <v>38</v>
      </c>
      <c r="E196" s="12" t="s">
        <v>38</v>
      </c>
      <c r="F196" s="13" t="s">
        <v>42</v>
      </c>
      <c r="G196" s="12" t="s">
        <v>68</v>
      </c>
      <c r="H196" s="12" t="s">
        <v>584</v>
      </c>
      <c r="I196" s="12" t="s">
        <v>585</v>
      </c>
      <c r="J196" s="17" t="s">
        <v>4597</v>
      </c>
      <c r="K196" s="17" t="s">
        <v>4600</v>
      </c>
      <c r="L196" s="17" t="s">
        <v>4605</v>
      </c>
      <c r="M196" s="17" t="s">
        <v>194</v>
      </c>
      <c r="O196" s="18" t="s">
        <v>588</v>
      </c>
    </row>
    <row r="197">
      <c r="A197" s="11"/>
      <c r="B197" s="12" t="s">
        <v>7</v>
      </c>
      <c r="C197" s="12" t="s">
        <v>37</v>
      </c>
      <c r="D197" s="12" t="s">
        <v>38</v>
      </c>
      <c r="E197" s="12" t="s">
        <v>38</v>
      </c>
      <c r="F197" s="13" t="s">
        <v>42</v>
      </c>
      <c r="G197" s="12" t="s">
        <v>68</v>
      </c>
      <c r="H197" s="12" t="s">
        <v>584</v>
      </c>
      <c r="I197" s="12" t="s">
        <v>585</v>
      </c>
      <c r="J197" s="17" t="s">
        <v>4597</v>
      </c>
      <c r="K197" s="17" t="s">
        <v>4601</v>
      </c>
      <c r="L197" s="17" t="s">
        <v>4605</v>
      </c>
      <c r="M197" s="17" t="s">
        <v>194</v>
      </c>
      <c r="O197" s="18" t="s">
        <v>588</v>
      </c>
    </row>
    <row r="198">
      <c r="A198" s="11"/>
      <c r="B198" s="12" t="s">
        <v>7</v>
      </c>
      <c r="C198" s="12" t="s">
        <v>37</v>
      </c>
      <c r="D198" s="12" t="s">
        <v>38</v>
      </c>
      <c r="E198" s="12" t="s">
        <v>38</v>
      </c>
      <c r="F198" s="13" t="s">
        <v>42</v>
      </c>
      <c r="G198" s="12" t="s">
        <v>68</v>
      </c>
      <c r="H198" s="12" t="s">
        <v>584</v>
      </c>
      <c r="I198" s="12" t="s">
        <v>585</v>
      </c>
      <c r="J198" s="17" t="s">
        <v>4597</v>
      </c>
      <c r="K198" s="17" t="s">
        <v>4602</v>
      </c>
      <c r="L198" s="17" t="s">
        <v>4599</v>
      </c>
      <c r="M198" s="17" t="s">
        <v>194</v>
      </c>
      <c r="O198" s="18" t="s">
        <v>588</v>
      </c>
    </row>
    <row r="199">
      <c r="A199" s="11"/>
      <c r="B199" s="12" t="s">
        <v>7</v>
      </c>
      <c r="C199" s="12" t="s">
        <v>37</v>
      </c>
      <c r="D199" s="12" t="s">
        <v>38</v>
      </c>
      <c r="E199" s="12" t="s">
        <v>38</v>
      </c>
      <c r="F199" s="13" t="s">
        <v>42</v>
      </c>
      <c r="G199" s="12" t="s">
        <v>68</v>
      </c>
      <c r="H199" s="12" t="s">
        <v>584</v>
      </c>
      <c r="I199" s="12" t="s">
        <v>585</v>
      </c>
      <c r="J199" s="17" t="s">
        <v>4597</v>
      </c>
      <c r="K199" s="17" t="s">
        <v>4603</v>
      </c>
      <c r="L199" s="17" t="s">
        <v>4605</v>
      </c>
      <c r="M199" s="17" t="s">
        <v>194</v>
      </c>
      <c r="O199" s="18" t="s">
        <v>588</v>
      </c>
    </row>
    <row r="200">
      <c r="A200" s="11"/>
      <c r="B200" s="12" t="s">
        <v>7</v>
      </c>
      <c r="C200" s="12" t="s">
        <v>37</v>
      </c>
      <c r="D200" s="12" t="s">
        <v>38</v>
      </c>
      <c r="E200" s="12" t="s">
        <v>41</v>
      </c>
      <c r="F200" s="13" t="s">
        <v>39</v>
      </c>
      <c r="G200" s="12" t="s">
        <v>68</v>
      </c>
      <c r="H200" s="12" t="s">
        <v>902</v>
      </c>
      <c r="I200" s="12" t="s">
        <v>903</v>
      </c>
      <c r="J200" s="17" t="s">
        <v>4591</v>
      </c>
      <c r="K200" s="17" t="s">
        <v>4592</v>
      </c>
      <c r="L200" s="17" t="s">
        <v>4604</v>
      </c>
      <c r="M200" s="17" t="s">
        <v>194</v>
      </c>
      <c r="O200" s="18" t="s">
        <v>588</v>
      </c>
    </row>
    <row r="201">
      <c r="A201" s="11"/>
      <c r="B201" s="12" t="s">
        <v>7</v>
      </c>
      <c r="C201" s="12" t="s">
        <v>37</v>
      </c>
      <c r="D201" s="12" t="s">
        <v>38</v>
      </c>
      <c r="E201" s="12" t="s">
        <v>41</v>
      </c>
      <c r="F201" s="13" t="s">
        <v>39</v>
      </c>
      <c r="G201" s="12" t="s">
        <v>68</v>
      </c>
      <c r="H201" s="12" t="s">
        <v>902</v>
      </c>
      <c r="I201" s="12" t="s">
        <v>903</v>
      </c>
      <c r="J201" s="17" t="s">
        <v>4591</v>
      </c>
      <c r="K201" s="17" t="s">
        <v>4594</v>
      </c>
      <c r="L201" s="17" t="s">
        <v>4593</v>
      </c>
      <c r="M201" s="17" t="s">
        <v>194</v>
      </c>
      <c r="O201" s="18" t="s">
        <v>588</v>
      </c>
    </row>
    <row r="202">
      <c r="A202" s="11"/>
      <c r="B202" s="12" t="s">
        <v>7</v>
      </c>
      <c r="C202" s="12" t="s">
        <v>37</v>
      </c>
      <c r="D202" s="12" t="s">
        <v>38</v>
      </c>
      <c r="E202" s="12" t="s">
        <v>41</v>
      </c>
      <c r="F202" s="13" t="s">
        <v>39</v>
      </c>
      <c r="G202" s="12" t="s">
        <v>68</v>
      </c>
      <c r="H202" s="12" t="s">
        <v>902</v>
      </c>
      <c r="I202" s="12" t="s">
        <v>903</v>
      </c>
      <c r="J202" s="17" t="s">
        <v>4591</v>
      </c>
      <c r="K202" s="17" t="s">
        <v>4595</v>
      </c>
      <c r="L202" s="17" t="s">
        <v>4593</v>
      </c>
      <c r="M202" s="17" t="s">
        <v>194</v>
      </c>
      <c r="O202" s="18" t="s">
        <v>588</v>
      </c>
    </row>
    <row r="203">
      <c r="A203" s="11"/>
      <c r="B203" s="12" t="s">
        <v>7</v>
      </c>
      <c r="C203" s="12" t="s">
        <v>37</v>
      </c>
      <c r="D203" s="12" t="s">
        <v>38</v>
      </c>
      <c r="E203" s="12" t="s">
        <v>41</v>
      </c>
      <c r="F203" s="13" t="s">
        <v>39</v>
      </c>
      <c r="G203" s="12" t="s">
        <v>68</v>
      </c>
      <c r="H203" s="12" t="s">
        <v>902</v>
      </c>
      <c r="I203" s="12" t="s">
        <v>903</v>
      </c>
      <c r="J203" s="17" t="s">
        <v>4591</v>
      </c>
      <c r="K203" s="17" t="s">
        <v>4596</v>
      </c>
      <c r="L203" s="17" t="s">
        <v>4604</v>
      </c>
      <c r="M203" s="17" t="s">
        <v>194</v>
      </c>
      <c r="O203" s="18" t="s">
        <v>588</v>
      </c>
    </row>
    <row r="204">
      <c r="A204" s="11"/>
      <c r="B204" s="12" t="s">
        <v>7</v>
      </c>
      <c r="C204" s="12" t="s">
        <v>37</v>
      </c>
      <c r="D204" s="12" t="s">
        <v>38</v>
      </c>
      <c r="E204" s="12" t="s">
        <v>41</v>
      </c>
      <c r="F204" s="13" t="s">
        <v>39</v>
      </c>
      <c r="G204" s="12" t="s">
        <v>68</v>
      </c>
      <c r="H204" s="12" t="s">
        <v>902</v>
      </c>
      <c r="I204" s="12" t="s">
        <v>903</v>
      </c>
      <c r="J204" s="17" t="s">
        <v>4597</v>
      </c>
      <c r="K204" s="17" t="s">
        <v>4598</v>
      </c>
      <c r="L204" s="17" t="s">
        <v>4599</v>
      </c>
      <c r="M204" s="17" t="s">
        <v>194</v>
      </c>
      <c r="O204" s="18" t="s">
        <v>588</v>
      </c>
    </row>
    <row r="205">
      <c r="A205" s="11"/>
      <c r="B205" s="12" t="s">
        <v>7</v>
      </c>
      <c r="C205" s="12" t="s">
        <v>37</v>
      </c>
      <c r="D205" s="12" t="s">
        <v>38</v>
      </c>
      <c r="E205" s="12" t="s">
        <v>41</v>
      </c>
      <c r="F205" s="13" t="s">
        <v>39</v>
      </c>
      <c r="G205" s="12" t="s">
        <v>68</v>
      </c>
      <c r="H205" s="12" t="s">
        <v>902</v>
      </c>
      <c r="I205" s="12" t="s">
        <v>903</v>
      </c>
      <c r="J205" s="17" t="s">
        <v>4597</v>
      </c>
      <c r="K205" s="17" t="s">
        <v>4600</v>
      </c>
      <c r="L205" s="17" t="s">
        <v>4599</v>
      </c>
      <c r="M205" s="17" t="s">
        <v>194</v>
      </c>
      <c r="O205" s="18" t="s">
        <v>588</v>
      </c>
    </row>
    <row r="206">
      <c r="A206" s="11"/>
      <c r="B206" s="12" t="s">
        <v>7</v>
      </c>
      <c r="C206" s="12" t="s">
        <v>37</v>
      </c>
      <c r="D206" s="12" t="s">
        <v>38</v>
      </c>
      <c r="E206" s="12" t="s">
        <v>41</v>
      </c>
      <c r="F206" s="13" t="s">
        <v>39</v>
      </c>
      <c r="G206" s="12" t="s">
        <v>68</v>
      </c>
      <c r="H206" s="12" t="s">
        <v>902</v>
      </c>
      <c r="I206" s="12" t="s">
        <v>903</v>
      </c>
      <c r="J206" s="17" t="s">
        <v>4597</v>
      </c>
      <c r="K206" s="17" t="s">
        <v>4601</v>
      </c>
      <c r="L206" s="17" t="s">
        <v>4599</v>
      </c>
      <c r="M206" s="17" t="s">
        <v>194</v>
      </c>
      <c r="O206" s="18" t="s">
        <v>588</v>
      </c>
    </row>
    <row r="207">
      <c r="A207" s="11"/>
      <c r="B207" s="12" t="s">
        <v>7</v>
      </c>
      <c r="C207" s="12" t="s">
        <v>37</v>
      </c>
      <c r="D207" s="12" t="s">
        <v>38</v>
      </c>
      <c r="E207" s="12" t="s">
        <v>41</v>
      </c>
      <c r="F207" s="13" t="s">
        <v>39</v>
      </c>
      <c r="G207" s="12" t="s">
        <v>68</v>
      </c>
      <c r="H207" s="12" t="s">
        <v>902</v>
      </c>
      <c r="I207" s="12" t="s">
        <v>903</v>
      </c>
      <c r="J207" s="17" t="s">
        <v>4597</v>
      </c>
      <c r="K207" s="17" t="s">
        <v>4602</v>
      </c>
      <c r="L207" s="17" t="s">
        <v>4599</v>
      </c>
      <c r="M207" s="17" t="s">
        <v>194</v>
      </c>
      <c r="O207" s="18" t="s">
        <v>588</v>
      </c>
    </row>
    <row r="208">
      <c r="A208" s="11"/>
      <c r="B208" s="12" t="s">
        <v>7</v>
      </c>
      <c r="C208" s="12" t="s">
        <v>37</v>
      </c>
      <c r="D208" s="12" t="s">
        <v>38</v>
      </c>
      <c r="E208" s="12" t="s">
        <v>41</v>
      </c>
      <c r="F208" s="13" t="s">
        <v>39</v>
      </c>
      <c r="G208" s="12" t="s">
        <v>68</v>
      </c>
      <c r="H208" s="12" t="s">
        <v>902</v>
      </c>
      <c r="I208" s="12" t="s">
        <v>903</v>
      </c>
      <c r="J208" s="17" t="s">
        <v>4597</v>
      </c>
      <c r="K208" s="17" t="s">
        <v>4603</v>
      </c>
      <c r="L208" s="17" t="s">
        <v>4599</v>
      </c>
      <c r="M208" s="17" t="s">
        <v>194</v>
      </c>
      <c r="O208" s="18" t="s">
        <v>588</v>
      </c>
    </row>
    <row r="209">
      <c r="A209" s="11"/>
      <c r="B209" s="12" t="s">
        <v>22</v>
      </c>
      <c r="C209" s="12" t="s">
        <v>22</v>
      </c>
      <c r="D209" s="12" t="s">
        <v>22</v>
      </c>
      <c r="E209" s="12" t="s">
        <v>624</v>
      </c>
      <c r="F209" s="13" t="s">
        <v>625</v>
      </c>
      <c r="G209" s="12" t="s">
        <v>68</v>
      </c>
      <c r="H209" s="12" t="s">
        <v>626</v>
      </c>
      <c r="I209" s="12" t="s">
        <v>627</v>
      </c>
      <c r="J209" s="17" t="s">
        <v>4591</v>
      </c>
      <c r="K209" s="17" t="s">
        <v>4592</v>
      </c>
      <c r="L209" s="17" t="s">
        <v>4593</v>
      </c>
      <c r="M209" s="17" t="s">
        <v>194</v>
      </c>
      <c r="O209" s="18" t="s">
        <v>588</v>
      </c>
    </row>
    <row r="210">
      <c r="A210" s="11"/>
      <c r="B210" s="12" t="s">
        <v>22</v>
      </c>
      <c r="C210" s="12" t="s">
        <v>22</v>
      </c>
      <c r="D210" s="12" t="s">
        <v>22</v>
      </c>
      <c r="E210" s="12" t="s">
        <v>624</v>
      </c>
      <c r="F210" s="13" t="s">
        <v>625</v>
      </c>
      <c r="G210" s="12" t="s">
        <v>68</v>
      </c>
      <c r="H210" s="12" t="s">
        <v>626</v>
      </c>
      <c r="I210" s="12" t="s">
        <v>627</v>
      </c>
      <c r="J210" s="17" t="s">
        <v>4591</v>
      </c>
      <c r="K210" s="17" t="s">
        <v>4594</v>
      </c>
      <c r="L210" s="17" t="s">
        <v>4599</v>
      </c>
      <c r="M210" s="17" t="s">
        <v>194</v>
      </c>
      <c r="O210" s="18" t="s">
        <v>588</v>
      </c>
    </row>
    <row r="211">
      <c r="A211" s="11"/>
      <c r="B211" s="12" t="s">
        <v>22</v>
      </c>
      <c r="C211" s="12" t="s">
        <v>22</v>
      </c>
      <c r="D211" s="12" t="s">
        <v>22</v>
      </c>
      <c r="E211" s="12" t="s">
        <v>624</v>
      </c>
      <c r="F211" s="13" t="s">
        <v>625</v>
      </c>
      <c r="G211" s="12" t="s">
        <v>68</v>
      </c>
      <c r="H211" s="12" t="s">
        <v>626</v>
      </c>
      <c r="I211" s="12" t="s">
        <v>627</v>
      </c>
      <c r="J211" s="17" t="s">
        <v>4591</v>
      </c>
      <c r="K211" s="17" t="s">
        <v>4595</v>
      </c>
      <c r="L211" s="17" t="s">
        <v>4593</v>
      </c>
      <c r="M211" s="17" t="s">
        <v>194</v>
      </c>
      <c r="O211" s="18" t="s">
        <v>588</v>
      </c>
    </row>
    <row r="212">
      <c r="A212" s="11"/>
      <c r="B212" s="12" t="s">
        <v>22</v>
      </c>
      <c r="C212" s="12" t="s">
        <v>22</v>
      </c>
      <c r="D212" s="12" t="s">
        <v>22</v>
      </c>
      <c r="E212" s="12" t="s">
        <v>624</v>
      </c>
      <c r="F212" s="13" t="s">
        <v>625</v>
      </c>
      <c r="G212" s="12" t="s">
        <v>68</v>
      </c>
      <c r="H212" s="12" t="s">
        <v>626</v>
      </c>
      <c r="I212" s="12" t="s">
        <v>627</v>
      </c>
      <c r="J212" s="17" t="s">
        <v>4591</v>
      </c>
      <c r="K212" s="17" t="s">
        <v>4596</v>
      </c>
      <c r="L212" s="17" t="s">
        <v>4599</v>
      </c>
      <c r="M212" s="17" t="s">
        <v>194</v>
      </c>
      <c r="O212" s="18" t="s">
        <v>588</v>
      </c>
    </row>
    <row r="213">
      <c r="A213" s="11"/>
      <c r="B213" s="12" t="s">
        <v>22</v>
      </c>
      <c r="C213" s="12" t="s">
        <v>22</v>
      </c>
      <c r="D213" s="12" t="s">
        <v>22</v>
      </c>
      <c r="E213" s="12" t="s">
        <v>624</v>
      </c>
      <c r="F213" s="13" t="s">
        <v>625</v>
      </c>
      <c r="G213" s="12" t="s">
        <v>68</v>
      </c>
      <c r="H213" s="12" t="s">
        <v>626</v>
      </c>
      <c r="I213" s="12" t="s">
        <v>627</v>
      </c>
      <c r="J213" s="17" t="s">
        <v>4597</v>
      </c>
      <c r="K213" s="17" t="s">
        <v>4598</v>
      </c>
      <c r="L213" s="17" t="s">
        <v>4593</v>
      </c>
      <c r="M213" s="17" t="s">
        <v>194</v>
      </c>
      <c r="O213" s="18" t="s">
        <v>588</v>
      </c>
    </row>
    <row r="214">
      <c r="A214" s="11"/>
      <c r="B214" s="12" t="s">
        <v>22</v>
      </c>
      <c r="C214" s="12" t="s">
        <v>22</v>
      </c>
      <c r="D214" s="12" t="s">
        <v>22</v>
      </c>
      <c r="E214" s="12" t="s">
        <v>624</v>
      </c>
      <c r="F214" s="13" t="s">
        <v>625</v>
      </c>
      <c r="G214" s="12" t="s">
        <v>68</v>
      </c>
      <c r="H214" s="12" t="s">
        <v>626</v>
      </c>
      <c r="I214" s="12" t="s">
        <v>627</v>
      </c>
      <c r="J214" s="17" t="s">
        <v>4597</v>
      </c>
      <c r="K214" s="17" t="s">
        <v>4600</v>
      </c>
      <c r="L214" s="17" t="s">
        <v>4599</v>
      </c>
      <c r="M214" s="17" t="s">
        <v>194</v>
      </c>
      <c r="O214" s="18" t="s">
        <v>588</v>
      </c>
    </row>
    <row r="215">
      <c r="A215" s="11"/>
      <c r="B215" s="12" t="s">
        <v>22</v>
      </c>
      <c r="C215" s="12" t="s">
        <v>22</v>
      </c>
      <c r="D215" s="12" t="s">
        <v>22</v>
      </c>
      <c r="E215" s="12" t="s">
        <v>624</v>
      </c>
      <c r="F215" s="13" t="s">
        <v>625</v>
      </c>
      <c r="G215" s="12" t="s">
        <v>68</v>
      </c>
      <c r="H215" s="12" t="s">
        <v>626</v>
      </c>
      <c r="I215" s="12" t="s">
        <v>627</v>
      </c>
      <c r="J215" s="17" t="s">
        <v>4597</v>
      </c>
      <c r="K215" s="17" t="s">
        <v>4601</v>
      </c>
      <c r="L215" s="17" t="s">
        <v>4599</v>
      </c>
      <c r="M215" s="17" t="s">
        <v>194</v>
      </c>
      <c r="O215" s="18" t="s">
        <v>588</v>
      </c>
    </row>
    <row r="216">
      <c r="A216" s="11"/>
      <c r="B216" s="12" t="s">
        <v>22</v>
      </c>
      <c r="C216" s="12" t="s">
        <v>22</v>
      </c>
      <c r="D216" s="12" t="s">
        <v>22</v>
      </c>
      <c r="E216" s="12" t="s">
        <v>624</v>
      </c>
      <c r="F216" s="13" t="s">
        <v>625</v>
      </c>
      <c r="G216" s="12" t="s">
        <v>68</v>
      </c>
      <c r="H216" s="12" t="s">
        <v>626</v>
      </c>
      <c r="I216" s="12" t="s">
        <v>627</v>
      </c>
      <c r="J216" s="17" t="s">
        <v>4597</v>
      </c>
      <c r="K216" s="17" t="s">
        <v>4602</v>
      </c>
      <c r="L216" s="17" t="s">
        <v>4593</v>
      </c>
      <c r="M216" s="17" t="s">
        <v>194</v>
      </c>
      <c r="O216" s="18" t="s">
        <v>588</v>
      </c>
    </row>
    <row r="217">
      <c r="A217" s="11"/>
      <c r="B217" s="12" t="s">
        <v>22</v>
      </c>
      <c r="C217" s="12" t="s">
        <v>22</v>
      </c>
      <c r="D217" s="12" t="s">
        <v>22</v>
      </c>
      <c r="E217" s="12" t="s">
        <v>624</v>
      </c>
      <c r="F217" s="13" t="s">
        <v>625</v>
      </c>
      <c r="G217" s="12" t="s">
        <v>68</v>
      </c>
      <c r="H217" s="12" t="s">
        <v>626</v>
      </c>
      <c r="I217" s="12" t="s">
        <v>627</v>
      </c>
      <c r="J217" s="17" t="s">
        <v>4597</v>
      </c>
      <c r="K217" s="17" t="s">
        <v>4603</v>
      </c>
      <c r="L217" s="17" t="s">
        <v>4599</v>
      </c>
      <c r="M217" s="17" t="s">
        <v>194</v>
      </c>
      <c r="O217" s="18" t="s">
        <v>588</v>
      </c>
    </row>
    <row r="218">
      <c r="A218" s="11"/>
      <c r="B218" s="12" t="s">
        <v>22</v>
      </c>
      <c r="C218" s="12" t="s">
        <v>22</v>
      </c>
      <c r="D218" s="12" t="s">
        <v>22</v>
      </c>
      <c r="E218" s="12" t="s">
        <v>593</v>
      </c>
      <c r="F218" s="13" t="s">
        <v>594</v>
      </c>
      <c r="G218" s="12" t="s">
        <v>68</v>
      </c>
      <c r="H218" s="12" t="s">
        <v>595</v>
      </c>
      <c r="I218" s="12" t="s">
        <v>596</v>
      </c>
      <c r="J218" s="17" t="s">
        <v>4591</v>
      </c>
      <c r="K218" s="17" t="s">
        <v>4592</v>
      </c>
      <c r="L218" s="17" t="s">
        <v>4604</v>
      </c>
      <c r="M218" s="17" t="s">
        <v>194</v>
      </c>
      <c r="O218" s="18" t="s">
        <v>588</v>
      </c>
    </row>
    <row r="219">
      <c r="A219" s="11"/>
      <c r="B219" s="12" t="s">
        <v>22</v>
      </c>
      <c r="C219" s="12" t="s">
        <v>22</v>
      </c>
      <c r="D219" s="12" t="s">
        <v>22</v>
      </c>
      <c r="E219" s="12" t="s">
        <v>593</v>
      </c>
      <c r="F219" s="13" t="s">
        <v>594</v>
      </c>
      <c r="G219" s="12" t="s">
        <v>68</v>
      </c>
      <c r="H219" s="12" t="s">
        <v>595</v>
      </c>
      <c r="I219" s="12" t="s">
        <v>596</v>
      </c>
      <c r="J219" s="17" t="s">
        <v>4591</v>
      </c>
      <c r="K219" s="17" t="s">
        <v>4594</v>
      </c>
      <c r="L219" s="17" t="s">
        <v>4604</v>
      </c>
      <c r="M219" s="17" t="s">
        <v>194</v>
      </c>
      <c r="O219" s="18" t="s">
        <v>588</v>
      </c>
    </row>
    <row r="220">
      <c r="A220" s="11"/>
      <c r="B220" s="12" t="s">
        <v>22</v>
      </c>
      <c r="C220" s="12" t="s">
        <v>22</v>
      </c>
      <c r="D220" s="12" t="s">
        <v>22</v>
      </c>
      <c r="E220" s="12" t="s">
        <v>593</v>
      </c>
      <c r="F220" s="13" t="s">
        <v>594</v>
      </c>
      <c r="G220" s="12" t="s">
        <v>68</v>
      </c>
      <c r="H220" s="12" t="s">
        <v>595</v>
      </c>
      <c r="I220" s="12" t="s">
        <v>596</v>
      </c>
      <c r="J220" s="17" t="s">
        <v>4591</v>
      </c>
      <c r="K220" s="17" t="s">
        <v>4595</v>
      </c>
      <c r="L220" s="17" t="s">
        <v>4604</v>
      </c>
      <c r="M220" s="17" t="s">
        <v>194</v>
      </c>
      <c r="O220" s="18" t="s">
        <v>588</v>
      </c>
    </row>
    <row r="221">
      <c r="A221" s="11"/>
      <c r="B221" s="12" t="s">
        <v>22</v>
      </c>
      <c r="C221" s="12" t="s">
        <v>22</v>
      </c>
      <c r="D221" s="12" t="s">
        <v>22</v>
      </c>
      <c r="E221" s="12" t="s">
        <v>593</v>
      </c>
      <c r="F221" s="13" t="s">
        <v>594</v>
      </c>
      <c r="G221" s="12" t="s">
        <v>68</v>
      </c>
      <c r="H221" s="12" t="s">
        <v>595</v>
      </c>
      <c r="I221" s="12" t="s">
        <v>596</v>
      </c>
      <c r="J221" s="17" t="s">
        <v>4591</v>
      </c>
      <c r="K221" s="17" t="s">
        <v>4596</v>
      </c>
      <c r="L221" s="17" t="s">
        <v>4593</v>
      </c>
      <c r="M221" s="17" t="s">
        <v>194</v>
      </c>
      <c r="O221" s="18" t="s">
        <v>588</v>
      </c>
    </row>
    <row r="222">
      <c r="A222" s="11"/>
      <c r="B222" s="12" t="s">
        <v>22</v>
      </c>
      <c r="C222" s="12" t="s">
        <v>22</v>
      </c>
      <c r="D222" s="12" t="s">
        <v>22</v>
      </c>
      <c r="E222" s="12" t="s">
        <v>593</v>
      </c>
      <c r="F222" s="13" t="s">
        <v>594</v>
      </c>
      <c r="G222" s="12" t="s">
        <v>68</v>
      </c>
      <c r="H222" s="12" t="s">
        <v>595</v>
      </c>
      <c r="I222" s="12" t="s">
        <v>596</v>
      </c>
      <c r="J222" s="17" t="s">
        <v>4597</v>
      </c>
      <c r="K222" s="17" t="s">
        <v>4598</v>
      </c>
      <c r="L222" s="17" t="s">
        <v>4593</v>
      </c>
      <c r="M222" s="17" t="s">
        <v>194</v>
      </c>
      <c r="O222" s="18" t="s">
        <v>588</v>
      </c>
    </row>
    <row r="223">
      <c r="A223" s="11"/>
      <c r="B223" s="12" t="s">
        <v>22</v>
      </c>
      <c r="C223" s="12" t="s">
        <v>22</v>
      </c>
      <c r="D223" s="12" t="s">
        <v>22</v>
      </c>
      <c r="E223" s="12" t="s">
        <v>593</v>
      </c>
      <c r="F223" s="13" t="s">
        <v>594</v>
      </c>
      <c r="G223" s="12" t="s">
        <v>68</v>
      </c>
      <c r="H223" s="12" t="s">
        <v>595</v>
      </c>
      <c r="I223" s="12" t="s">
        <v>596</v>
      </c>
      <c r="J223" s="17" t="s">
        <v>4597</v>
      </c>
      <c r="K223" s="17" t="s">
        <v>4600</v>
      </c>
      <c r="L223" s="17" t="s">
        <v>4593</v>
      </c>
      <c r="M223" s="17" t="s">
        <v>194</v>
      </c>
      <c r="O223" s="18" t="s">
        <v>588</v>
      </c>
    </row>
    <row r="224">
      <c r="A224" s="11"/>
      <c r="B224" s="12" t="s">
        <v>22</v>
      </c>
      <c r="C224" s="12" t="s">
        <v>22</v>
      </c>
      <c r="D224" s="12" t="s">
        <v>22</v>
      </c>
      <c r="E224" s="12" t="s">
        <v>593</v>
      </c>
      <c r="F224" s="13" t="s">
        <v>594</v>
      </c>
      <c r="G224" s="12" t="s">
        <v>68</v>
      </c>
      <c r="H224" s="12" t="s">
        <v>595</v>
      </c>
      <c r="I224" s="12" t="s">
        <v>596</v>
      </c>
      <c r="J224" s="17" t="s">
        <v>4597</v>
      </c>
      <c r="K224" s="17" t="s">
        <v>4601</v>
      </c>
      <c r="L224" s="17" t="s">
        <v>4593</v>
      </c>
      <c r="M224" s="17" t="s">
        <v>194</v>
      </c>
      <c r="O224" s="18" t="s">
        <v>588</v>
      </c>
    </row>
    <row r="225">
      <c r="A225" s="11"/>
      <c r="B225" s="12" t="s">
        <v>22</v>
      </c>
      <c r="C225" s="12" t="s">
        <v>22</v>
      </c>
      <c r="D225" s="12" t="s">
        <v>22</v>
      </c>
      <c r="E225" s="12" t="s">
        <v>593</v>
      </c>
      <c r="F225" s="13" t="s">
        <v>594</v>
      </c>
      <c r="G225" s="12" t="s">
        <v>68</v>
      </c>
      <c r="H225" s="12" t="s">
        <v>595</v>
      </c>
      <c r="I225" s="12" t="s">
        <v>596</v>
      </c>
      <c r="J225" s="17" t="s">
        <v>4597</v>
      </c>
      <c r="K225" s="17" t="s">
        <v>4602</v>
      </c>
      <c r="L225" s="17" t="s">
        <v>4605</v>
      </c>
      <c r="M225" s="17" t="s">
        <v>194</v>
      </c>
      <c r="O225" s="18" t="s">
        <v>588</v>
      </c>
    </row>
    <row r="226">
      <c r="A226" s="11"/>
      <c r="B226" s="12" t="s">
        <v>22</v>
      </c>
      <c r="C226" s="12" t="s">
        <v>22</v>
      </c>
      <c r="D226" s="12" t="s">
        <v>22</v>
      </c>
      <c r="E226" s="12" t="s">
        <v>593</v>
      </c>
      <c r="F226" s="13" t="s">
        <v>594</v>
      </c>
      <c r="G226" s="12" t="s">
        <v>68</v>
      </c>
      <c r="H226" s="12" t="s">
        <v>595</v>
      </c>
      <c r="I226" s="12" t="s">
        <v>596</v>
      </c>
      <c r="J226" s="17" t="s">
        <v>4597</v>
      </c>
      <c r="K226" s="17" t="s">
        <v>4603</v>
      </c>
      <c r="L226" s="17" t="s">
        <v>4599</v>
      </c>
      <c r="M226" s="17" t="s">
        <v>194</v>
      </c>
      <c r="O226" s="18" t="s">
        <v>588</v>
      </c>
    </row>
    <row r="227">
      <c r="A227" s="11"/>
      <c r="B227" s="12" t="s">
        <v>7</v>
      </c>
      <c r="C227" s="12" t="s">
        <v>8</v>
      </c>
      <c r="D227" s="12" t="s">
        <v>15</v>
      </c>
      <c r="E227" s="12" t="s">
        <v>17</v>
      </c>
      <c r="F227" s="13" t="s">
        <v>18</v>
      </c>
      <c r="G227" s="12" t="s">
        <v>68</v>
      </c>
      <c r="H227" s="12" t="s">
        <v>954</v>
      </c>
      <c r="I227" s="12" t="s">
        <v>955</v>
      </c>
      <c r="J227" s="17" t="s">
        <v>4591</v>
      </c>
      <c r="K227" s="17" t="s">
        <v>4592</v>
      </c>
      <c r="L227" s="17" t="s">
        <v>4599</v>
      </c>
      <c r="M227" s="17" t="s">
        <v>194</v>
      </c>
      <c r="O227" s="18" t="s">
        <v>915</v>
      </c>
    </row>
    <row r="228">
      <c r="A228" s="11"/>
      <c r="B228" s="12" t="s">
        <v>7</v>
      </c>
      <c r="C228" s="12" t="s">
        <v>8</v>
      </c>
      <c r="D228" s="12" t="s">
        <v>15</v>
      </c>
      <c r="E228" s="12" t="s">
        <v>17</v>
      </c>
      <c r="F228" s="13" t="s">
        <v>18</v>
      </c>
      <c r="G228" s="12" t="s">
        <v>68</v>
      </c>
      <c r="H228" s="12" t="s">
        <v>954</v>
      </c>
      <c r="I228" s="12" t="s">
        <v>955</v>
      </c>
      <c r="J228" s="17" t="s">
        <v>4591</v>
      </c>
      <c r="K228" s="17" t="s">
        <v>4594</v>
      </c>
      <c r="L228" s="17" t="s">
        <v>4599</v>
      </c>
      <c r="M228" s="17" t="s">
        <v>194</v>
      </c>
      <c r="O228" s="18" t="s">
        <v>915</v>
      </c>
    </row>
    <row r="229">
      <c r="A229" s="11"/>
      <c r="B229" s="12" t="s">
        <v>7</v>
      </c>
      <c r="C229" s="12" t="s">
        <v>8</v>
      </c>
      <c r="D229" s="12" t="s">
        <v>15</v>
      </c>
      <c r="E229" s="12" t="s">
        <v>17</v>
      </c>
      <c r="F229" s="13" t="s">
        <v>18</v>
      </c>
      <c r="G229" s="12" t="s">
        <v>68</v>
      </c>
      <c r="H229" s="12" t="s">
        <v>954</v>
      </c>
      <c r="I229" s="12" t="s">
        <v>955</v>
      </c>
      <c r="J229" s="17" t="s">
        <v>4591</v>
      </c>
      <c r="K229" s="17" t="s">
        <v>4595</v>
      </c>
      <c r="L229" s="17" t="s">
        <v>4599</v>
      </c>
      <c r="M229" s="17" t="s">
        <v>194</v>
      </c>
      <c r="O229" s="18" t="s">
        <v>915</v>
      </c>
    </row>
    <row r="230">
      <c r="A230" s="11"/>
      <c r="B230" s="12" t="s">
        <v>7</v>
      </c>
      <c r="C230" s="12" t="s">
        <v>8</v>
      </c>
      <c r="D230" s="12" t="s">
        <v>15</v>
      </c>
      <c r="E230" s="12" t="s">
        <v>17</v>
      </c>
      <c r="F230" s="13" t="s">
        <v>18</v>
      </c>
      <c r="G230" s="12" t="s">
        <v>68</v>
      </c>
      <c r="H230" s="12" t="s">
        <v>954</v>
      </c>
      <c r="I230" s="12" t="s">
        <v>955</v>
      </c>
      <c r="J230" s="17" t="s">
        <v>4591</v>
      </c>
      <c r="K230" s="17" t="s">
        <v>4596</v>
      </c>
      <c r="L230" s="17" t="s">
        <v>4599</v>
      </c>
      <c r="M230" s="17" t="s">
        <v>194</v>
      </c>
      <c r="O230" s="18" t="s">
        <v>915</v>
      </c>
    </row>
    <row r="231">
      <c r="A231" s="11"/>
      <c r="B231" s="12" t="s">
        <v>7</v>
      </c>
      <c r="C231" s="12" t="s">
        <v>8</v>
      </c>
      <c r="D231" s="12" t="s">
        <v>15</v>
      </c>
      <c r="E231" s="12" t="s">
        <v>17</v>
      </c>
      <c r="F231" s="13" t="s">
        <v>18</v>
      </c>
      <c r="G231" s="12" t="s">
        <v>68</v>
      </c>
      <c r="H231" s="12" t="s">
        <v>954</v>
      </c>
      <c r="I231" s="12" t="s">
        <v>955</v>
      </c>
      <c r="J231" s="17" t="s">
        <v>4597</v>
      </c>
      <c r="K231" s="17" t="s">
        <v>4598</v>
      </c>
      <c r="L231" s="17" t="s">
        <v>4599</v>
      </c>
      <c r="M231" s="17" t="s">
        <v>194</v>
      </c>
      <c r="O231" s="18" t="s">
        <v>915</v>
      </c>
    </row>
    <row r="232">
      <c r="A232" s="11"/>
      <c r="B232" s="12" t="s">
        <v>7</v>
      </c>
      <c r="C232" s="12" t="s">
        <v>8</v>
      </c>
      <c r="D232" s="12" t="s">
        <v>15</v>
      </c>
      <c r="E232" s="12" t="s">
        <v>17</v>
      </c>
      <c r="F232" s="13" t="s">
        <v>18</v>
      </c>
      <c r="G232" s="12" t="s">
        <v>68</v>
      </c>
      <c r="H232" s="12" t="s">
        <v>954</v>
      </c>
      <c r="I232" s="12" t="s">
        <v>955</v>
      </c>
      <c r="J232" s="17" t="s">
        <v>4597</v>
      </c>
      <c r="K232" s="17" t="s">
        <v>4600</v>
      </c>
      <c r="L232" s="17" t="s">
        <v>4599</v>
      </c>
      <c r="M232" s="17" t="s">
        <v>194</v>
      </c>
      <c r="O232" s="18" t="s">
        <v>915</v>
      </c>
    </row>
    <row r="233">
      <c r="A233" s="11"/>
      <c r="B233" s="12" t="s">
        <v>7</v>
      </c>
      <c r="C233" s="12" t="s">
        <v>8</v>
      </c>
      <c r="D233" s="12" t="s">
        <v>15</v>
      </c>
      <c r="E233" s="12" t="s">
        <v>17</v>
      </c>
      <c r="F233" s="13" t="s">
        <v>18</v>
      </c>
      <c r="G233" s="12" t="s">
        <v>68</v>
      </c>
      <c r="H233" s="12" t="s">
        <v>954</v>
      </c>
      <c r="I233" s="12" t="s">
        <v>955</v>
      </c>
      <c r="J233" s="17" t="s">
        <v>4597</v>
      </c>
      <c r="K233" s="17" t="s">
        <v>4601</v>
      </c>
      <c r="L233" s="17" t="s">
        <v>4599</v>
      </c>
      <c r="M233" s="17" t="s">
        <v>194</v>
      </c>
      <c r="N233" s="17" t="s">
        <v>4607</v>
      </c>
      <c r="O233" s="18" t="s">
        <v>915</v>
      </c>
    </row>
    <row r="234">
      <c r="A234" s="11"/>
      <c r="B234" s="12" t="s">
        <v>7</v>
      </c>
      <c r="C234" s="12" t="s">
        <v>8</v>
      </c>
      <c r="D234" s="12" t="s">
        <v>15</v>
      </c>
      <c r="E234" s="12" t="s">
        <v>17</v>
      </c>
      <c r="F234" s="13" t="s">
        <v>18</v>
      </c>
      <c r="G234" s="12" t="s">
        <v>68</v>
      </c>
      <c r="H234" s="12" t="s">
        <v>954</v>
      </c>
      <c r="I234" s="12" t="s">
        <v>955</v>
      </c>
      <c r="J234" s="17" t="s">
        <v>4597</v>
      </c>
      <c r="K234" s="17" t="s">
        <v>4602</v>
      </c>
      <c r="L234" s="17" t="s">
        <v>4599</v>
      </c>
      <c r="M234" s="17" t="s">
        <v>194</v>
      </c>
      <c r="N234" s="17" t="s">
        <v>4608</v>
      </c>
      <c r="O234" s="18" t="s">
        <v>915</v>
      </c>
    </row>
    <row r="235">
      <c r="A235" s="11"/>
      <c r="B235" s="12" t="s">
        <v>7</v>
      </c>
      <c r="C235" s="12" t="s">
        <v>8</v>
      </c>
      <c r="D235" s="12" t="s">
        <v>15</v>
      </c>
      <c r="E235" s="12" t="s">
        <v>17</v>
      </c>
      <c r="F235" s="13" t="s">
        <v>18</v>
      </c>
      <c r="G235" s="12" t="s">
        <v>68</v>
      </c>
      <c r="H235" s="12" t="s">
        <v>954</v>
      </c>
      <c r="I235" s="12" t="s">
        <v>955</v>
      </c>
      <c r="J235" s="17" t="s">
        <v>4597</v>
      </c>
      <c r="K235" s="17" t="s">
        <v>4603</v>
      </c>
      <c r="L235" s="17" t="s">
        <v>4593</v>
      </c>
      <c r="M235" s="17" t="s">
        <v>194</v>
      </c>
      <c r="O235" s="18" t="s">
        <v>915</v>
      </c>
    </row>
    <row r="236">
      <c r="A236" s="11"/>
      <c r="B236" s="12" t="s">
        <v>7</v>
      </c>
      <c r="C236" s="12" t="s">
        <v>8</v>
      </c>
      <c r="D236" s="12" t="s">
        <v>15</v>
      </c>
      <c r="E236" s="12" t="s">
        <v>21</v>
      </c>
      <c r="F236" s="13" t="s">
        <v>19</v>
      </c>
      <c r="G236" s="12" t="s">
        <v>68</v>
      </c>
      <c r="H236" s="12" t="s">
        <v>968</v>
      </c>
      <c r="I236" s="12" t="s">
        <v>969</v>
      </c>
      <c r="J236" s="17" t="s">
        <v>4591</v>
      </c>
      <c r="K236" s="17" t="s">
        <v>4592</v>
      </c>
      <c r="L236" s="17" t="s">
        <v>4599</v>
      </c>
      <c r="M236" s="17" t="s">
        <v>194</v>
      </c>
      <c r="O236" s="18" t="s">
        <v>915</v>
      </c>
    </row>
    <row r="237">
      <c r="A237" s="11"/>
      <c r="B237" s="12" t="s">
        <v>7</v>
      </c>
      <c r="C237" s="12" t="s">
        <v>8</v>
      </c>
      <c r="D237" s="12" t="s">
        <v>15</v>
      </c>
      <c r="E237" s="12" t="s">
        <v>21</v>
      </c>
      <c r="F237" s="13" t="s">
        <v>19</v>
      </c>
      <c r="G237" s="12" t="s">
        <v>68</v>
      </c>
      <c r="H237" s="12" t="s">
        <v>968</v>
      </c>
      <c r="I237" s="12" t="s">
        <v>969</v>
      </c>
      <c r="J237" s="17" t="s">
        <v>4591</v>
      </c>
      <c r="K237" s="17" t="s">
        <v>4594</v>
      </c>
      <c r="L237" s="17" t="s">
        <v>4599</v>
      </c>
      <c r="M237" s="17" t="s">
        <v>194</v>
      </c>
      <c r="O237" s="18" t="s">
        <v>915</v>
      </c>
    </row>
    <row r="238">
      <c r="A238" s="11"/>
      <c r="B238" s="12" t="s">
        <v>7</v>
      </c>
      <c r="C238" s="12" t="s">
        <v>8</v>
      </c>
      <c r="D238" s="12" t="s">
        <v>15</v>
      </c>
      <c r="E238" s="12" t="s">
        <v>21</v>
      </c>
      <c r="F238" s="13" t="s">
        <v>19</v>
      </c>
      <c r="G238" s="12" t="s">
        <v>68</v>
      </c>
      <c r="H238" s="12" t="s">
        <v>968</v>
      </c>
      <c r="I238" s="12" t="s">
        <v>969</v>
      </c>
      <c r="J238" s="17" t="s">
        <v>4591</v>
      </c>
      <c r="K238" s="17" t="s">
        <v>4595</v>
      </c>
      <c r="L238" s="17" t="s">
        <v>4599</v>
      </c>
      <c r="M238" s="17" t="s">
        <v>194</v>
      </c>
      <c r="O238" s="18" t="s">
        <v>915</v>
      </c>
    </row>
    <row r="239">
      <c r="A239" s="11"/>
      <c r="B239" s="12" t="s">
        <v>7</v>
      </c>
      <c r="C239" s="12" t="s">
        <v>8</v>
      </c>
      <c r="D239" s="12" t="s">
        <v>15</v>
      </c>
      <c r="E239" s="12" t="s">
        <v>21</v>
      </c>
      <c r="F239" s="13" t="s">
        <v>19</v>
      </c>
      <c r="G239" s="12" t="s">
        <v>68</v>
      </c>
      <c r="H239" s="12" t="s">
        <v>968</v>
      </c>
      <c r="I239" s="12" t="s">
        <v>969</v>
      </c>
      <c r="J239" s="17" t="s">
        <v>4591</v>
      </c>
      <c r="K239" s="17" t="s">
        <v>4596</v>
      </c>
      <c r="L239" s="17" t="s">
        <v>4599</v>
      </c>
      <c r="M239" s="17" t="s">
        <v>194</v>
      </c>
      <c r="O239" s="18" t="s">
        <v>915</v>
      </c>
    </row>
    <row r="240">
      <c r="A240" s="11"/>
      <c r="B240" s="12" t="s">
        <v>7</v>
      </c>
      <c r="C240" s="12" t="s">
        <v>8</v>
      </c>
      <c r="D240" s="12" t="s">
        <v>15</v>
      </c>
      <c r="E240" s="12" t="s">
        <v>21</v>
      </c>
      <c r="F240" s="13" t="s">
        <v>19</v>
      </c>
      <c r="G240" s="12" t="s">
        <v>68</v>
      </c>
      <c r="H240" s="12" t="s">
        <v>968</v>
      </c>
      <c r="I240" s="12" t="s">
        <v>969</v>
      </c>
      <c r="J240" s="17" t="s">
        <v>4597</v>
      </c>
      <c r="K240" s="17" t="s">
        <v>4598</v>
      </c>
      <c r="L240" s="17" t="s">
        <v>4599</v>
      </c>
      <c r="M240" s="17" t="s">
        <v>194</v>
      </c>
      <c r="O240" s="18" t="s">
        <v>915</v>
      </c>
    </row>
    <row r="241">
      <c r="A241" s="11"/>
      <c r="B241" s="12" t="s">
        <v>7</v>
      </c>
      <c r="C241" s="12" t="s">
        <v>8</v>
      </c>
      <c r="D241" s="12" t="s">
        <v>15</v>
      </c>
      <c r="E241" s="12" t="s">
        <v>21</v>
      </c>
      <c r="F241" s="13" t="s">
        <v>19</v>
      </c>
      <c r="G241" s="12" t="s">
        <v>68</v>
      </c>
      <c r="H241" s="12" t="s">
        <v>968</v>
      </c>
      <c r="I241" s="12" t="s">
        <v>969</v>
      </c>
      <c r="J241" s="17" t="s">
        <v>4597</v>
      </c>
      <c r="K241" s="17" t="s">
        <v>4600</v>
      </c>
      <c r="L241" s="17" t="s">
        <v>4599</v>
      </c>
      <c r="M241" s="17" t="s">
        <v>194</v>
      </c>
      <c r="O241" s="18" t="s">
        <v>915</v>
      </c>
    </row>
    <row r="242">
      <c r="A242" s="11"/>
      <c r="B242" s="12" t="s">
        <v>7</v>
      </c>
      <c r="C242" s="12" t="s">
        <v>8</v>
      </c>
      <c r="D242" s="12" t="s">
        <v>15</v>
      </c>
      <c r="E242" s="12" t="s">
        <v>21</v>
      </c>
      <c r="F242" s="13" t="s">
        <v>19</v>
      </c>
      <c r="G242" s="12" t="s">
        <v>68</v>
      </c>
      <c r="H242" s="12" t="s">
        <v>968</v>
      </c>
      <c r="I242" s="12" t="s">
        <v>969</v>
      </c>
      <c r="J242" s="17" t="s">
        <v>4597</v>
      </c>
      <c r="K242" s="17" t="s">
        <v>4601</v>
      </c>
      <c r="L242" s="17" t="s">
        <v>4599</v>
      </c>
      <c r="M242" s="17" t="s">
        <v>194</v>
      </c>
      <c r="O242" s="18" t="s">
        <v>915</v>
      </c>
    </row>
    <row r="243">
      <c r="A243" s="11"/>
      <c r="B243" s="12" t="s">
        <v>7</v>
      </c>
      <c r="C243" s="12" t="s">
        <v>8</v>
      </c>
      <c r="D243" s="12" t="s">
        <v>15</v>
      </c>
      <c r="E243" s="12" t="s">
        <v>21</v>
      </c>
      <c r="F243" s="13" t="s">
        <v>19</v>
      </c>
      <c r="G243" s="12" t="s">
        <v>68</v>
      </c>
      <c r="H243" s="12" t="s">
        <v>968</v>
      </c>
      <c r="I243" s="12" t="s">
        <v>969</v>
      </c>
      <c r="J243" s="17" t="s">
        <v>4597</v>
      </c>
      <c r="K243" s="17" t="s">
        <v>4602</v>
      </c>
      <c r="L243" s="17" t="s">
        <v>4593</v>
      </c>
      <c r="M243" s="17" t="s">
        <v>194</v>
      </c>
      <c r="O243" s="18" t="s">
        <v>915</v>
      </c>
    </row>
    <row r="244">
      <c r="A244" s="11"/>
      <c r="B244" s="12" t="s">
        <v>7</v>
      </c>
      <c r="C244" s="12" t="s">
        <v>8</v>
      </c>
      <c r="D244" s="12" t="s">
        <v>15</v>
      </c>
      <c r="E244" s="12" t="s">
        <v>21</v>
      </c>
      <c r="F244" s="13" t="s">
        <v>19</v>
      </c>
      <c r="G244" s="12" t="s">
        <v>68</v>
      </c>
      <c r="H244" s="12" t="s">
        <v>968</v>
      </c>
      <c r="I244" s="12" t="s">
        <v>969</v>
      </c>
      <c r="J244" s="17" t="s">
        <v>4597</v>
      </c>
      <c r="K244" s="17" t="s">
        <v>4603</v>
      </c>
      <c r="L244" s="17" t="s">
        <v>4593</v>
      </c>
      <c r="M244" s="17" t="s">
        <v>194</v>
      </c>
      <c r="O244" s="18" t="s">
        <v>915</v>
      </c>
    </row>
    <row r="245">
      <c r="A245" s="11"/>
      <c r="B245" s="12" t="s">
        <v>7</v>
      </c>
      <c r="C245" s="12" t="s">
        <v>8</v>
      </c>
      <c r="D245" s="12" t="s">
        <v>15</v>
      </c>
      <c r="E245" s="12" t="s">
        <v>15</v>
      </c>
      <c r="F245" s="13" t="s">
        <v>16</v>
      </c>
      <c r="G245" s="12" t="s">
        <v>68</v>
      </c>
      <c r="H245" s="12" t="s">
        <v>928</v>
      </c>
      <c r="I245" s="12" t="s">
        <v>929</v>
      </c>
      <c r="J245" s="17" t="s">
        <v>4591</v>
      </c>
      <c r="K245" s="17" t="s">
        <v>4592</v>
      </c>
      <c r="L245" s="17" t="s">
        <v>4599</v>
      </c>
      <c r="M245" s="17" t="s">
        <v>194</v>
      </c>
      <c r="O245" s="18" t="s">
        <v>915</v>
      </c>
    </row>
    <row r="246">
      <c r="A246" s="11"/>
      <c r="B246" s="12" t="s">
        <v>7</v>
      </c>
      <c r="C246" s="12" t="s">
        <v>8</v>
      </c>
      <c r="D246" s="12" t="s">
        <v>15</v>
      </c>
      <c r="E246" s="12" t="s">
        <v>15</v>
      </c>
      <c r="F246" s="13" t="s">
        <v>16</v>
      </c>
      <c r="G246" s="12" t="s">
        <v>68</v>
      </c>
      <c r="H246" s="12" t="s">
        <v>928</v>
      </c>
      <c r="I246" s="12" t="s">
        <v>929</v>
      </c>
      <c r="J246" s="17" t="s">
        <v>4591</v>
      </c>
      <c r="K246" s="17" t="s">
        <v>4594</v>
      </c>
      <c r="L246" s="17" t="s">
        <v>4599</v>
      </c>
      <c r="M246" s="17" t="s">
        <v>194</v>
      </c>
      <c r="O246" s="18" t="s">
        <v>915</v>
      </c>
    </row>
    <row r="247">
      <c r="A247" s="11"/>
      <c r="B247" s="12" t="s">
        <v>7</v>
      </c>
      <c r="C247" s="12" t="s">
        <v>8</v>
      </c>
      <c r="D247" s="12" t="s">
        <v>15</v>
      </c>
      <c r="E247" s="12" t="s">
        <v>15</v>
      </c>
      <c r="F247" s="13" t="s">
        <v>16</v>
      </c>
      <c r="G247" s="12" t="s">
        <v>68</v>
      </c>
      <c r="H247" s="12" t="s">
        <v>928</v>
      </c>
      <c r="I247" s="12" t="s">
        <v>929</v>
      </c>
      <c r="J247" s="17" t="s">
        <v>4591</v>
      </c>
      <c r="K247" s="17" t="s">
        <v>4595</v>
      </c>
      <c r="L247" s="17" t="s">
        <v>4599</v>
      </c>
      <c r="M247" s="17" t="s">
        <v>194</v>
      </c>
      <c r="O247" s="18" t="s">
        <v>915</v>
      </c>
    </row>
    <row r="248">
      <c r="A248" s="11"/>
      <c r="B248" s="12" t="s">
        <v>7</v>
      </c>
      <c r="C248" s="12" t="s">
        <v>8</v>
      </c>
      <c r="D248" s="12" t="s">
        <v>15</v>
      </c>
      <c r="E248" s="12" t="s">
        <v>15</v>
      </c>
      <c r="F248" s="13" t="s">
        <v>16</v>
      </c>
      <c r="G248" s="12" t="s">
        <v>68</v>
      </c>
      <c r="H248" s="12" t="s">
        <v>928</v>
      </c>
      <c r="I248" s="12" t="s">
        <v>929</v>
      </c>
      <c r="J248" s="17" t="s">
        <v>4591</v>
      </c>
      <c r="K248" s="17" t="s">
        <v>4596</v>
      </c>
      <c r="L248" s="17" t="s">
        <v>4599</v>
      </c>
      <c r="M248" s="17" t="s">
        <v>194</v>
      </c>
      <c r="O248" s="18" t="s">
        <v>915</v>
      </c>
    </row>
    <row r="249">
      <c r="A249" s="11"/>
      <c r="B249" s="12" t="s">
        <v>7</v>
      </c>
      <c r="C249" s="12" t="s">
        <v>8</v>
      </c>
      <c r="D249" s="12" t="s">
        <v>15</v>
      </c>
      <c r="E249" s="12" t="s">
        <v>15</v>
      </c>
      <c r="F249" s="13" t="s">
        <v>16</v>
      </c>
      <c r="G249" s="12" t="s">
        <v>68</v>
      </c>
      <c r="H249" s="12" t="s">
        <v>928</v>
      </c>
      <c r="I249" s="12" t="s">
        <v>929</v>
      </c>
      <c r="J249" s="17" t="s">
        <v>4597</v>
      </c>
      <c r="K249" s="17" t="s">
        <v>4598</v>
      </c>
      <c r="L249" s="17" t="s">
        <v>4599</v>
      </c>
      <c r="M249" s="17" t="s">
        <v>194</v>
      </c>
      <c r="O249" s="18" t="s">
        <v>915</v>
      </c>
    </row>
    <row r="250">
      <c r="A250" s="11"/>
      <c r="B250" s="12" t="s">
        <v>7</v>
      </c>
      <c r="C250" s="12" t="s">
        <v>8</v>
      </c>
      <c r="D250" s="12" t="s">
        <v>15</v>
      </c>
      <c r="E250" s="12" t="s">
        <v>15</v>
      </c>
      <c r="F250" s="13" t="s">
        <v>16</v>
      </c>
      <c r="G250" s="12" t="s">
        <v>68</v>
      </c>
      <c r="H250" s="12" t="s">
        <v>928</v>
      </c>
      <c r="I250" s="12" t="s">
        <v>929</v>
      </c>
      <c r="J250" s="17" t="s">
        <v>4597</v>
      </c>
      <c r="K250" s="17" t="s">
        <v>4600</v>
      </c>
      <c r="L250" s="17" t="s">
        <v>4599</v>
      </c>
      <c r="M250" s="17" t="s">
        <v>194</v>
      </c>
      <c r="O250" s="18" t="s">
        <v>915</v>
      </c>
    </row>
    <row r="251">
      <c r="A251" s="11"/>
      <c r="B251" s="12" t="s">
        <v>7</v>
      </c>
      <c r="C251" s="12" t="s">
        <v>8</v>
      </c>
      <c r="D251" s="12" t="s">
        <v>15</v>
      </c>
      <c r="E251" s="12" t="s">
        <v>15</v>
      </c>
      <c r="F251" s="13" t="s">
        <v>16</v>
      </c>
      <c r="G251" s="12" t="s">
        <v>68</v>
      </c>
      <c r="H251" s="12" t="s">
        <v>928</v>
      </c>
      <c r="I251" s="12" t="s">
        <v>929</v>
      </c>
      <c r="J251" s="17" t="s">
        <v>4597</v>
      </c>
      <c r="K251" s="17" t="s">
        <v>4601</v>
      </c>
      <c r="L251" s="17" t="s">
        <v>4599</v>
      </c>
      <c r="M251" s="17" t="s">
        <v>194</v>
      </c>
      <c r="O251" s="18" t="s">
        <v>915</v>
      </c>
    </row>
    <row r="252">
      <c r="A252" s="11"/>
      <c r="B252" s="12" t="s">
        <v>7</v>
      </c>
      <c r="C252" s="12" t="s">
        <v>8</v>
      </c>
      <c r="D252" s="12" t="s">
        <v>15</v>
      </c>
      <c r="E252" s="12" t="s">
        <v>15</v>
      </c>
      <c r="F252" s="13" t="s">
        <v>16</v>
      </c>
      <c r="G252" s="12" t="s">
        <v>68</v>
      </c>
      <c r="H252" s="12" t="s">
        <v>928</v>
      </c>
      <c r="I252" s="12" t="s">
        <v>929</v>
      </c>
      <c r="J252" s="17" t="s">
        <v>4597</v>
      </c>
      <c r="K252" s="17" t="s">
        <v>4602</v>
      </c>
      <c r="L252" s="17" t="s">
        <v>4599</v>
      </c>
      <c r="M252" s="17" t="s">
        <v>194</v>
      </c>
      <c r="O252" s="18" t="s">
        <v>915</v>
      </c>
    </row>
    <row r="253">
      <c r="A253" s="11"/>
      <c r="B253" s="12" t="s">
        <v>7</v>
      </c>
      <c r="C253" s="12" t="s">
        <v>8</v>
      </c>
      <c r="D253" s="12" t="s">
        <v>15</v>
      </c>
      <c r="E253" s="12" t="s">
        <v>15</v>
      </c>
      <c r="F253" s="13" t="s">
        <v>16</v>
      </c>
      <c r="G253" s="12" t="s">
        <v>68</v>
      </c>
      <c r="H253" s="12" t="s">
        <v>928</v>
      </c>
      <c r="I253" s="12" t="s">
        <v>929</v>
      </c>
      <c r="J253" s="17" t="s">
        <v>4597</v>
      </c>
      <c r="K253" s="17" t="s">
        <v>4603</v>
      </c>
      <c r="L253" s="17" t="s">
        <v>4593</v>
      </c>
      <c r="M253" s="17" t="s">
        <v>194</v>
      </c>
      <c r="O253" s="18" t="s">
        <v>915</v>
      </c>
    </row>
    <row r="254">
      <c r="A254" s="11"/>
      <c r="B254" s="12" t="s">
        <v>7</v>
      </c>
      <c r="C254" s="12" t="s">
        <v>8</v>
      </c>
      <c r="D254" s="12" t="s">
        <v>9</v>
      </c>
      <c r="E254" s="12" t="s">
        <v>10</v>
      </c>
      <c r="F254" s="13" t="s">
        <v>11</v>
      </c>
      <c r="G254" s="12" t="s">
        <v>68</v>
      </c>
      <c r="H254" s="12" t="s">
        <v>911</v>
      </c>
      <c r="I254" s="12" t="s">
        <v>912</v>
      </c>
      <c r="J254" s="17" t="s">
        <v>4591</v>
      </c>
      <c r="K254" s="17" t="s">
        <v>4592</v>
      </c>
      <c r="L254" s="17" t="s">
        <v>4593</v>
      </c>
      <c r="M254" s="17" t="s">
        <v>194</v>
      </c>
      <c r="O254" s="18" t="s">
        <v>915</v>
      </c>
    </row>
    <row r="255">
      <c r="A255" s="11"/>
      <c r="B255" s="12" t="s">
        <v>7</v>
      </c>
      <c r="C255" s="12" t="s">
        <v>8</v>
      </c>
      <c r="D255" s="12" t="s">
        <v>9</v>
      </c>
      <c r="E255" s="12" t="s">
        <v>10</v>
      </c>
      <c r="F255" s="13" t="s">
        <v>11</v>
      </c>
      <c r="G255" s="12" t="s">
        <v>68</v>
      </c>
      <c r="H255" s="12" t="s">
        <v>911</v>
      </c>
      <c r="I255" s="12" t="s">
        <v>912</v>
      </c>
      <c r="J255" s="17" t="s">
        <v>4591</v>
      </c>
      <c r="K255" s="17" t="s">
        <v>4594</v>
      </c>
      <c r="L255" s="17" t="s">
        <v>4599</v>
      </c>
      <c r="M255" s="17" t="s">
        <v>194</v>
      </c>
      <c r="O255" s="18" t="s">
        <v>915</v>
      </c>
    </row>
    <row r="256">
      <c r="A256" s="11"/>
      <c r="B256" s="12" t="s">
        <v>7</v>
      </c>
      <c r="C256" s="12" t="s">
        <v>8</v>
      </c>
      <c r="D256" s="12" t="s">
        <v>9</v>
      </c>
      <c r="E256" s="12" t="s">
        <v>10</v>
      </c>
      <c r="F256" s="13" t="s">
        <v>11</v>
      </c>
      <c r="G256" s="12" t="s">
        <v>68</v>
      </c>
      <c r="H256" s="12" t="s">
        <v>911</v>
      </c>
      <c r="I256" s="12" t="s">
        <v>912</v>
      </c>
      <c r="J256" s="17" t="s">
        <v>4591</v>
      </c>
      <c r="K256" s="17" t="s">
        <v>4595</v>
      </c>
      <c r="L256" s="17" t="s">
        <v>4593</v>
      </c>
      <c r="M256" s="17" t="s">
        <v>194</v>
      </c>
      <c r="O256" s="18" t="s">
        <v>915</v>
      </c>
    </row>
    <row r="257">
      <c r="A257" s="11"/>
      <c r="B257" s="12" t="s">
        <v>7</v>
      </c>
      <c r="C257" s="12" t="s">
        <v>8</v>
      </c>
      <c r="D257" s="12" t="s">
        <v>9</v>
      </c>
      <c r="E257" s="12" t="s">
        <v>10</v>
      </c>
      <c r="F257" s="13" t="s">
        <v>11</v>
      </c>
      <c r="G257" s="12" t="s">
        <v>68</v>
      </c>
      <c r="H257" s="12" t="s">
        <v>911</v>
      </c>
      <c r="I257" s="12" t="s">
        <v>912</v>
      </c>
      <c r="J257" s="17" t="s">
        <v>4591</v>
      </c>
      <c r="K257" s="17" t="s">
        <v>4596</v>
      </c>
      <c r="L257" s="17" t="s">
        <v>4599</v>
      </c>
      <c r="M257" s="17" t="s">
        <v>194</v>
      </c>
      <c r="O257" s="18" t="s">
        <v>915</v>
      </c>
    </row>
    <row r="258">
      <c r="A258" s="11"/>
      <c r="B258" s="12" t="s">
        <v>7</v>
      </c>
      <c r="C258" s="12" t="s">
        <v>8</v>
      </c>
      <c r="D258" s="12" t="s">
        <v>9</v>
      </c>
      <c r="E258" s="12" t="s">
        <v>10</v>
      </c>
      <c r="F258" s="13" t="s">
        <v>11</v>
      </c>
      <c r="G258" s="12" t="s">
        <v>68</v>
      </c>
      <c r="H258" s="12" t="s">
        <v>911</v>
      </c>
      <c r="I258" s="12" t="s">
        <v>912</v>
      </c>
      <c r="J258" s="17" t="s">
        <v>4597</v>
      </c>
      <c r="K258" s="17" t="s">
        <v>4598</v>
      </c>
      <c r="L258" s="17" t="s">
        <v>4599</v>
      </c>
      <c r="M258" s="17" t="s">
        <v>194</v>
      </c>
      <c r="O258" s="18" t="s">
        <v>915</v>
      </c>
    </row>
    <row r="259">
      <c r="A259" s="11"/>
      <c r="B259" s="12" t="s">
        <v>7</v>
      </c>
      <c r="C259" s="12" t="s">
        <v>8</v>
      </c>
      <c r="D259" s="12" t="s">
        <v>9</v>
      </c>
      <c r="E259" s="12" t="s">
        <v>10</v>
      </c>
      <c r="F259" s="13" t="s">
        <v>11</v>
      </c>
      <c r="G259" s="12" t="s">
        <v>68</v>
      </c>
      <c r="H259" s="12" t="s">
        <v>911</v>
      </c>
      <c r="I259" s="12" t="s">
        <v>912</v>
      </c>
      <c r="J259" s="17" t="s">
        <v>4597</v>
      </c>
      <c r="K259" s="17" t="s">
        <v>4600</v>
      </c>
      <c r="L259" s="17" t="s">
        <v>4599</v>
      </c>
      <c r="M259" s="17" t="s">
        <v>194</v>
      </c>
      <c r="O259" s="18" t="s">
        <v>915</v>
      </c>
    </row>
    <row r="260">
      <c r="A260" s="11"/>
      <c r="B260" s="12" t="s">
        <v>7</v>
      </c>
      <c r="C260" s="12" t="s">
        <v>8</v>
      </c>
      <c r="D260" s="12" t="s">
        <v>9</v>
      </c>
      <c r="E260" s="12" t="s">
        <v>10</v>
      </c>
      <c r="F260" s="13" t="s">
        <v>11</v>
      </c>
      <c r="G260" s="12" t="s">
        <v>68</v>
      </c>
      <c r="H260" s="12" t="s">
        <v>911</v>
      </c>
      <c r="I260" s="12" t="s">
        <v>912</v>
      </c>
      <c r="J260" s="17" t="s">
        <v>4597</v>
      </c>
      <c r="K260" s="17" t="s">
        <v>4601</v>
      </c>
      <c r="L260" s="17" t="s">
        <v>4599</v>
      </c>
      <c r="M260" s="17" t="s">
        <v>194</v>
      </c>
      <c r="O260" s="18" t="s">
        <v>915</v>
      </c>
    </row>
    <row r="261">
      <c r="A261" s="11"/>
      <c r="B261" s="12" t="s">
        <v>7</v>
      </c>
      <c r="C261" s="12" t="s">
        <v>8</v>
      </c>
      <c r="D261" s="12" t="s">
        <v>9</v>
      </c>
      <c r="E261" s="12" t="s">
        <v>10</v>
      </c>
      <c r="F261" s="13" t="s">
        <v>11</v>
      </c>
      <c r="G261" s="12" t="s">
        <v>68</v>
      </c>
      <c r="H261" s="12" t="s">
        <v>911</v>
      </c>
      <c r="I261" s="12" t="s">
        <v>912</v>
      </c>
      <c r="J261" s="17" t="s">
        <v>4597</v>
      </c>
      <c r="K261" s="17" t="s">
        <v>4602</v>
      </c>
      <c r="L261" s="17" t="s">
        <v>4599</v>
      </c>
      <c r="M261" s="17" t="s">
        <v>194</v>
      </c>
      <c r="O261" s="18" t="s">
        <v>915</v>
      </c>
    </row>
    <row r="262">
      <c r="A262" s="11"/>
      <c r="B262" s="12" t="s">
        <v>7</v>
      </c>
      <c r="C262" s="12" t="s">
        <v>8</v>
      </c>
      <c r="D262" s="12" t="s">
        <v>9</v>
      </c>
      <c r="E262" s="12" t="s">
        <v>10</v>
      </c>
      <c r="F262" s="13" t="s">
        <v>11</v>
      </c>
      <c r="G262" s="12" t="s">
        <v>68</v>
      </c>
      <c r="H262" s="12" t="s">
        <v>911</v>
      </c>
      <c r="I262" s="12" t="s">
        <v>912</v>
      </c>
      <c r="J262" s="17" t="s">
        <v>4597</v>
      </c>
      <c r="K262" s="17" t="s">
        <v>4603</v>
      </c>
      <c r="L262" s="17" t="s">
        <v>4593</v>
      </c>
      <c r="M262" s="17" t="s">
        <v>194</v>
      </c>
      <c r="O262" s="18" t="s">
        <v>915</v>
      </c>
    </row>
    <row r="263">
      <c r="A263" s="11"/>
      <c r="B263" s="12" t="s">
        <v>7</v>
      </c>
      <c r="C263" s="12" t="s">
        <v>8</v>
      </c>
      <c r="D263" s="12" t="s">
        <v>24</v>
      </c>
      <c r="E263" s="12" t="s">
        <v>25</v>
      </c>
      <c r="F263" s="13" t="s">
        <v>26</v>
      </c>
      <c r="G263" s="12" t="s">
        <v>68</v>
      </c>
      <c r="H263" s="12" t="s">
        <v>994</v>
      </c>
      <c r="I263" s="12" t="s">
        <v>995</v>
      </c>
      <c r="J263" s="17" t="s">
        <v>4591</v>
      </c>
      <c r="K263" s="17" t="s">
        <v>4592</v>
      </c>
      <c r="L263" s="17" t="s">
        <v>4599</v>
      </c>
      <c r="M263" s="17" t="s">
        <v>194</v>
      </c>
      <c r="O263" s="18" t="s">
        <v>577</v>
      </c>
    </row>
    <row r="264">
      <c r="A264" s="11"/>
      <c r="B264" s="12" t="s">
        <v>7</v>
      </c>
      <c r="C264" s="12" t="s">
        <v>8</v>
      </c>
      <c r="D264" s="12" t="s">
        <v>24</v>
      </c>
      <c r="E264" s="12" t="s">
        <v>25</v>
      </c>
      <c r="F264" s="13" t="s">
        <v>26</v>
      </c>
      <c r="G264" s="12" t="s">
        <v>68</v>
      </c>
      <c r="H264" s="12" t="s">
        <v>994</v>
      </c>
      <c r="I264" s="12" t="s">
        <v>995</v>
      </c>
      <c r="J264" s="17" t="s">
        <v>4591</v>
      </c>
      <c r="K264" s="17" t="s">
        <v>4594</v>
      </c>
      <c r="L264" s="17" t="s">
        <v>4599</v>
      </c>
      <c r="M264" s="17" t="s">
        <v>194</v>
      </c>
      <c r="O264" s="18" t="s">
        <v>577</v>
      </c>
    </row>
    <row r="265">
      <c r="A265" s="11"/>
      <c r="B265" s="12" t="s">
        <v>7</v>
      </c>
      <c r="C265" s="12" t="s">
        <v>8</v>
      </c>
      <c r="D265" s="12" t="s">
        <v>24</v>
      </c>
      <c r="E265" s="12" t="s">
        <v>25</v>
      </c>
      <c r="F265" s="13" t="s">
        <v>26</v>
      </c>
      <c r="G265" s="12" t="s">
        <v>68</v>
      </c>
      <c r="H265" s="12" t="s">
        <v>994</v>
      </c>
      <c r="I265" s="12" t="s">
        <v>995</v>
      </c>
      <c r="J265" s="17" t="s">
        <v>4591</v>
      </c>
      <c r="K265" s="17" t="s">
        <v>4595</v>
      </c>
      <c r="L265" s="17" t="s">
        <v>4599</v>
      </c>
      <c r="M265" s="17" t="s">
        <v>194</v>
      </c>
      <c r="O265" s="18" t="s">
        <v>577</v>
      </c>
    </row>
    <row r="266">
      <c r="A266" s="11"/>
      <c r="B266" s="12" t="s">
        <v>7</v>
      </c>
      <c r="C266" s="12" t="s">
        <v>8</v>
      </c>
      <c r="D266" s="12" t="s">
        <v>24</v>
      </c>
      <c r="E266" s="12" t="s">
        <v>25</v>
      </c>
      <c r="F266" s="13" t="s">
        <v>26</v>
      </c>
      <c r="G266" s="12" t="s">
        <v>68</v>
      </c>
      <c r="H266" s="12" t="s">
        <v>994</v>
      </c>
      <c r="I266" s="12" t="s">
        <v>995</v>
      </c>
      <c r="J266" s="17" t="s">
        <v>4591</v>
      </c>
      <c r="K266" s="17" t="s">
        <v>4596</v>
      </c>
      <c r="L266" s="17" t="s">
        <v>4599</v>
      </c>
      <c r="M266" s="17" t="s">
        <v>194</v>
      </c>
      <c r="O266" s="18" t="s">
        <v>577</v>
      </c>
    </row>
    <row r="267">
      <c r="A267" s="11"/>
      <c r="B267" s="12" t="s">
        <v>7</v>
      </c>
      <c r="C267" s="12" t="s">
        <v>8</v>
      </c>
      <c r="D267" s="12" t="s">
        <v>24</v>
      </c>
      <c r="E267" s="12" t="s">
        <v>25</v>
      </c>
      <c r="F267" s="13" t="s">
        <v>26</v>
      </c>
      <c r="G267" s="12" t="s">
        <v>68</v>
      </c>
      <c r="H267" s="12" t="s">
        <v>994</v>
      </c>
      <c r="I267" s="12" t="s">
        <v>995</v>
      </c>
      <c r="J267" s="17" t="s">
        <v>4597</v>
      </c>
      <c r="K267" s="17" t="s">
        <v>4598</v>
      </c>
      <c r="L267" s="17" t="s">
        <v>4599</v>
      </c>
      <c r="M267" s="17" t="s">
        <v>194</v>
      </c>
      <c r="O267" s="18" t="s">
        <v>577</v>
      </c>
    </row>
    <row r="268">
      <c r="A268" s="11"/>
      <c r="B268" s="12" t="s">
        <v>7</v>
      </c>
      <c r="C268" s="12" t="s">
        <v>8</v>
      </c>
      <c r="D268" s="12" t="s">
        <v>24</v>
      </c>
      <c r="E268" s="12" t="s">
        <v>25</v>
      </c>
      <c r="F268" s="13" t="s">
        <v>26</v>
      </c>
      <c r="G268" s="12" t="s">
        <v>68</v>
      </c>
      <c r="H268" s="12" t="s">
        <v>994</v>
      </c>
      <c r="I268" s="12" t="s">
        <v>995</v>
      </c>
      <c r="J268" s="17" t="s">
        <v>4597</v>
      </c>
      <c r="K268" s="17" t="s">
        <v>4600</v>
      </c>
      <c r="L268" s="17" t="s">
        <v>4593</v>
      </c>
      <c r="M268" s="17" t="s">
        <v>194</v>
      </c>
      <c r="O268" s="18" t="s">
        <v>577</v>
      </c>
    </row>
    <row r="269">
      <c r="A269" s="11"/>
      <c r="B269" s="12" t="s">
        <v>7</v>
      </c>
      <c r="C269" s="12" t="s">
        <v>8</v>
      </c>
      <c r="D269" s="12" t="s">
        <v>24</v>
      </c>
      <c r="E269" s="12" t="s">
        <v>25</v>
      </c>
      <c r="F269" s="13" t="s">
        <v>26</v>
      </c>
      <c r="G269" s="12" t="s">
        <v>68</v>
      </c>
      <c r="H269" s="12" t="s">
        <v>994</v>
      </c>
      <c r="I269" s="12" t="s">
        <v>995</v>
      </c>
      <c r="J269" s="17" t="s">
        <v>4597</v>
      </c>
      <c r="K269" s="17" t="s">
        <v>4601</v>
      </c>
      <c r="L269" s="17" t="s">
        <v>4599</v>
      </c>
      <c r="M269" s="17" t="s">
        <v>194</v>
      </c>
      <c r="O269" s="18" t="s">
        <v>577</v>
      </c>
    </row>
    <row r="270">
      <c r="A270" s="11"/>
      <c r="B270" s="12" t="s">
        <v>7</v>
      </c>
      <c r="C270" s="12" t="s">
        <v>8</v>
      </c>
      <c r="D270" s="12" t="s">
        <v>24</v>
      </c>
      <c r="E270" s="12" t="s">
        <v>25</v>
      </c>
      <c r="F270" s="13" t="s">
        <v>26</v>
      </c>
      <c r="G270" s="12" t="s">
        <v>68</v>
      </c>
      <c r="H270" s="12" t="s">
        <v>994</v>
      </c>
      <c r="I270" s="12" t="s">
        <v>995</v>
      </c>
      <c r="J270" s="17" t="s">
        <v>4597</v>
      </c>
      <c r="K270" s="17" t="s">
        <v>4602</v>
      </c>
      <c r="L270" s="17" t="s">
        <v>4599</v>
      </c>
      <c r="M270" s="17" t="s">
        <v>194</v>
      </c>
      <c r="O270" s="18" t="s">
        <v>577</v>
      </c>
    </row>
    <row r="271">
      <c r="A271" s="11"/>
      <c r="B271" s="12" t="s">
        <v>7</v>
      </c>
      <c r="C271" s="12" t="s">
        <v>8</v>
      </c>
      <c r="D271" s="12" t="s">
        <v>24</v>
      </c>
      <c r="E271" s="12" t="s">
        <v>25</v>
      </c>
      <c r="F271" s="13" t="s">
        <v>26</v>
      </c>
      <c r="G271" s="12" t="s">
        <v>68</v>
      </c>
      <c r="H271" s="12" t="s">
        <v>994</v>
      </c>
      <c r="I271" s="12" t="s">
        <v>995</v>
      </c>
      <c r="J271" s="17" t="s">
        <v>4597</v>
      </c>
      <c r="K271" s="17" t="s">
        <v>4603</v>
      </c>
      <c r="L271" s="17" t="s">
        <v>4599</v>
      </c>
      <c r="M271" s="17" t="s">
        <v>194</v>
      </c>
      <c r="O271" s="18" t="s">
        <v>577</v>
      </c>
    </row>
    <row r="272">
      <c r="A272" s="11"/>
      <c r="B272" s="12" t="s">
        <v>34</v>
      </c>
      <c r="C272" s="12" t="s">
        <v>65</v>
      </c>
      <c r="D272" s="12" t="s">
        <v>83</v>
      </c>
      <c r="E272" s="12" t="s">
        <v>632</v>
      </c>
      <c r="F272" s="13" t="s">
        <v>633</v>
      </c>
      <c r="G272" s="12" t="s">
        <v>68</v>
      </c>
      <c r="H272" s="12" t="s">
        <v>634</v>
      </c>
      <c r="I272" s="12" t="s">
        <v>4470</v>
      </c>
      <c r="J272" s="17" t="s">
        <v>4591</v>
      </c>
      <c r="K272" s="17" t="s">
        <v>4592</v>
      </c>
      <c r="L272" s="17" t="s">
        <v>4599</v>
      </c>
      <c r="M272" s="17" t="s">
        <v>194</v>
      </c>
      <c r="O272" s="18" t="s">
        <v>638</v>
      </c>
    </row>
    <row r="273">
      <c r="A273" s="11"/>
      <c r="B273" s="12" t="s">
        <v>34</v>
      </c>
      <c r="C273" s="12" t="s">
        <v>65</v>
      </c>
      <c r="D273" s="12" t="s">
        <v>83</v>
      </c>
      <c r="E273" s="12" t="s">
        <v>632</v>
      </c>
      <c r="F273" s="13" t="s">
        <v>633</v>
      </c>
      <c r="G273" s="12" t="s">
        <v>68</v>
      </c>
      <c r="H273" s="12" t="s">
        <v>634</v>
      </c>
      <c r="I273" s="12" t="s">
        <v>4470</v>
      </c>
      <c r="J273" s="17" t="s">
        <v>4591</v>
      </c>
      <c r="K273" s="17" t="s">
        <v>4594</v>
      </c>
      <c r="L273" s="17" t="s">
        <v>4599</v>
      </c>
      <c r="M273" s="17" t="s">
        <v>194</v>
      </c>
      <c r="O273" s="18" t="s">
        <v>638</v>
      </c>
    </row>
    <row r="274">
      <c r="A274" s="11"/>
      <c r="B274" s="12" t="s">
        <v>34</v>
      </c>
      <c r="C274" s="12" t="s">
        <v>65</v>
      </c>
      <c r="D274" s="12" t="s">
        <v>83</v>
      </c>
      <c r="E274" s="12" t="s">
        <v>632</v>
      </c>
      <c r="F274" s="13" t="s">
        <v>633</v>
      </c>
      <c r="G274" s="12" t="s">
        <v>68</v>
      </c>
      <c r="H274" s="12" t="s">
        <v>634</v>
      </c>
      <c r="I274" s="12" t="s">
        <v>4470</v>
      </c>
      <c r="J274" s="17" t="s">
        <v>4591</v>
      </c>
      <c r="K274" s="17" t="s">
        <v>4595</v>
      </c>
      <c r="L274" s="17" t="s">
        <v>4605</v>
      </c>
      <c r="M274" s="17" t="s">
        <v>194</v>
      </c>
      <c r="O274" s="18" t="s">
        <v>638</v>
      </c>
    </row>
    <row r="275">
      <c r="A275" s="11"/>
      <c r="B275" s="12" t="s">
        <v>34</v>
      </c>
      <c r="C275" s="12" t="s">
        <v>65</v>
      </c>
      <c r="D275" s="12" t="s">
        <v>83</v>
      </c>
      <c r="E275" s="12" t="s">
        <v>632</v>
      </c>
      <c r="F275" s="13" t="s">
        <v>633</v>
      </c>
      <c r="G275" s="12" t="s">
        <v>68</v>
      </c>
      <c r="H275" s="12" t="s">
        <v>634</v>
      </c>
      <c r="I275" s="12" t="s">
        <v>4470</v>
      </c>
      <c r="J275" s="17" t="s">
        <v>4591</v>
      </c>
      <c r="K275" s="17" t="s">
        <v>4596</v>
      </c>
      <c r="L275" s="17" t="s">
        <v>4599</v>
      </c>
      <c r="M275" s="17" t="s">
        <v>194</v>
      </c>
      <c r="O275" s="18" t="s">
        <v>638</v>
      </c>
    </row>
    <row r="276">
      <c r="A276" s="11"/>
      <c r="B276" s="12" t="s">
        <v>34</v>
      </c>
      <c r="C276" s="12" t="s">
        <v>65</v>
      </c>
      <c r="D276" s="12" t="s">
        <v>83</v>
      </c>
      <c r="E276" s="12" t="s">
        <v>632</v>
      </c>
      <c r="F276" s="13" t="s">
        <v>633</v>
      </c>
      <c r="G276" s="12" t="s">
        <v>68</v>
      </c>
      <c r="H276" s="12" t="s">
        <v>634</v>
      </c>
      <c r="I276" s="12" t="s">
        <v>4470</v>
      </c>
      <c r="J276" s="17" t="s">
        <v>4597</v>
      </c>
      <c r="K276" s="17" t="s">
        <v>4598</v>
      </c>
      <c r="L276" s="17" t="s">
        <v>4599</v>
      </c>
      <c r="M276" s="17" t="s">
        <v>194</v>
      </c>
      <c r="O276" s="18" t="s">
        <v>638</v>
      </c>
    </row>
    <row r="277">
      <c r="A277" s="11"/>
      <c r="B277" s="12" t="s">
        <v>34</v>
      </c>
      <c r="C277" s="12" t="s">
        <v>65</v>
      </c>
      <c r="D277" s="12" t="s">
        <v>83</v>
      </c>
      <c r="E277" s="12" t="s">
        <v>632</v>
      </c>
      <c r="F277" s="13" t="s">
        <v>633</v>
      </c>
      <c r="G277" s="12" t="s">
        <v>68</v>
      </c>
      <c r="H277" s="12" t="s">
        <v>634</v>
      </c>
      <c r="I277" s="12" t="s">
        <v>4470</v>
      </c>
      <c r="J277" s="17" t="s">
        <v>4597</v>
      </c>
      <c r="K277" s="17" t="s">
        <v>4600</v>
      </c>
      <c r="L277" s="17" t="s">
        <v>4599</v>
      </c>
      <c r="M277" s="17" t="s">
        <v>194</v>
      </c>
      <c r="O277" s="18" t="s">
        <v>638</v>
      </c>
    </row>
    <row r="278">
      <c r="A278" s="11"/>
      <c r="B278" s="12" t="s">
        <v>34</v>
      </c>
      <c r="C278" s="12" t="s">
        <v>65</v>
      </c>
      <c r="D278" s="12" t="s">
        <v>83</v>
      </c>
      <c r="E278" s="12" t="s">
        <v>632</v>
      </c>
      <c r="F278" s="13" t="s">
        <v>633</v>
      </c>
      <c r="G278" s="12" t="s">
        <v>68</v>
      </c>
      <c r="H278" s="12" t="s">
        <v>634</v>
      </c>
      <c r="I278" s="12" t="s">
        <v>4470</v>
      </c>
      <c r="J278" s="17" t="s">
        <v>4597</v>
      </c>
      <c r="K278" s="17" t="s">
        <v>4601</v>
      </c>
      <c r="L278" s="17" t="s">
        <v>4599</v>
      </c>
      <c r="M278" s="17" t="s">
        <v>194</v>
      </c>
      <c r="O278" s="18" t="s">
        <v>638</v>
      </c>
    </row>
    <row r="279">
      <c r="A279" s="11"/>
      <c r="B279" s="12" t="s">
        <v>34</v>
      </c>
      <c r="C279" s="12" t="s">
        <v>65</v>
      </c>
      <c r="D279" s="12" t="s">
        <v>83</v>
      </c>
      <c r="E279" s="12" t="s">
        <v>632</v>
      </c>
      <c r="F279" s="13" t="s">
        <v>633</v>
      </c>
      <c r="G279" s="12" t="s">
        <v>68</v>
      </c>
      <c r="H279" s="12" t="s">
        <v>634</v>
      </c>
      <c r="I279" s="12" t="s">
        <v>4470</v>
      </c>
      <c r="J279" s="17" t="s">
        <v>4597</v>
      </c>
      <c r="K279" s="17" t="s">
        <v>4602</v>
      </c>
      <c r="L279" s="17" t="s">
        <v>4599</v>
      </c>
      <c r="M279" s="17" t="s">
        <v>194</v>
      </c>
      <c r="O279" s="18" t="s">
        <v>638</v>
      </c>
    </row>
    <row r="280">
      <c r="A280" s="11"/>
      <c r="B280" s="12" t="s">
        <v>34</v>
      </c>
      <c r="C280" s="12" t="s">
        <v>65</v>
      </c>
      <c r="D280" s="12" t="s">
        <v>83</v>
      </c>
      <c r="E280" s="12" t="s">
        <v>632</v>
      </c>
      <c r="F280" s="13" t="s">
        <v>633</v>
      </c>
      <c r="G280" s="12" t="s">
        <v>68</v>
      </c>
      <c r="H280" s="12" t="s">
        <v>634</v>
      </c>
      <c r="I280" s="12" t="s">
        <v>4470</v>
      </c>
      <c r="J280" s="17" t="s">
        <v>4597</v>
      </c>
      <c r="K280" s="17" t="s">
        <v>4603</v>
      </c>
      <c r="L280" s="17" t="s">
        <v>4599</v>
      </c>
      <c r="M280" s="17" t="s">
        <v>194</v>
      </c>
      <c r="O280" s="18" t="s">
        <v>638</v>
      </c>
    </row>
    <row r="281">
      <c r="A281" s="11"/>
      <c r="B281" s="12" t="s">
        <v>34</v>
      </c>
      <c r="C281" s="12" t="s">
        <v>65</v>
      </c>
      <c r="D281" s="12" t="s">
        <v>43</v>
      </c>
      <c r="E281" s="12" t="s">
        <v>666</v>
      </c>
      <c r="F281" s="13" t="s">
        <v>667</v>
      </c>
      <c r="G281" s="12" t="s">
        <v>68</v>
      </c>
      <c r="H281" s="12" t="s">
        <v>668</v>
      </c>
      <c r="I281" s="12" t="s">
        <v>669</v>
      </c>
      <c r="J281" s="17" t="s">
        <v>4591</v>
      </c>
      <c r="K281" s="17" t="s">
        <v>4592</v>
      </c>
      <c r="L281" s="17" t="s">
        <v>4599</v>
      </c>
      <c r="M281" s="17" t="s">
        <v>194</v>
      </c>
      <c r="O281" s="18" t="s">
        <v>638</v>
      </c>
    </row>
    <row r="282">
      <c r="A282" s="11"/>
      <c r="B282" s="12" t="s">
        <v>34</v>
      </c>
      <c r="C282" s="12" t="s">
        <v>65</v>
      </c>
      <c r="D282" s="12" t="s">
        <v>43</v>
      </c>
      <c r="E282" s="12" t="s">
        <v>666</v>
      </c>
      <c r="F282" s="13" t="s">
        <v>667</v>
      </c>
      <c r="G282" s="12" t="s">
        <v>68</v>
      </c>
      <c r="H282" s="12" t="s">
        <v>668</v>
      </c>
      <c r="I282" s="12" t="s">
        <v>669</v>
      </c>
      <c r="J282" s="17" t="s">
        <v>4591</v>
      </c>
      <c r="K282" s="17" t="s">
        <v>4594</v>
      </c>
      <c r="L282" s="17" t="s">
        <v>4599</v>
      </c>
      <c r="M282" s="17" t="s">
        <v>194</v>
      </c>
      <c r="O282" s="18" t="s">
        <v>638</v>
      </c>
    </row>
    <row r="283">
      <c r="A283" s="11"/>
      <c r="B283" s="12" t="s">
        <v>34</v>
      </c>
      <c r="C283" s="12" t="s">
        <v>65</v>
      </c>
      <c r="D283" s="12" t="s">
        <v>43</v>
      </c>
      <c r="E283" s="12" t="s">
        <v>666</v>
      </c>
      <c r="F283" s="13" t="s">
        <v>667</v>
      </c>
      <c r="G283" s="12" t="s">
        <v>68</v>
      </c>
      <c r="H283" s="12" t="s">
        <v>668</v>
      </c>
      <c r="I283" s="12" t="s">
        <v>669</v>
      </c>
      <c r="J283" s="17" t="s">
        <v>4591</v>
      </c>
      <c r="K283" s="17" t="s">
        <v>4595</v>
      </c>
      <c r="L283" s="17" t="s">
        <v>4599</v>
      </c>
      <c r="M283" s="17" t="s">
        <v>194</v>
      </c>
      <c r="O283" s="18" t="s">
        <v>638</v>
      </c>
    </row>
    <row r="284">
      <c r="A284" s="11"/>
      <c r="B284" s="12" t="s">
        <v>34</v>
      </c>
      <c r="C284" s="12" t="s">
        <v>65</v>
      </c>
      <c r="D284" s="12" t="s">
        <v>43</v>
      </c>
      <c r="E284" s="12" t="s">
        <v>666</v>
      </c>
      <c r="F284" s="13" t="s">
        <v>667</v>
      </c>
      <c r="G284" s="12" t="s">
        <v>68</v>
      </c>
      <c r="H284" s="12" t="s">
        <v>668</v>
      </c>
      <c r="I284" s="12" t="s">
        <v>669</v>
      </c>
      <c r="J284" s="17" t="s">
        <v>4591</v>
      </c>
      <c r="K284" s="17" t="s">
        <v>4596</v>
      </c>
      <c r="L284" s="17" t="s">
        <v>4599</v>
      </c>
      <c r="M284" s="17" t="s">
        <v>194</v>
      </c>
      <c r="O284" s="18" t="s">
        <v>638</v>
      </c>
    </row>
    <row r="285">
      <c r="A285" s="11"/>
      <c r="B285" s="12" t="s">
        <v>34</v>
      </c>
      <c r="C285" s="12" t="s">
        <v>65</v>
      </c>
      <c r="D285" s="12" t="s">
        <v>43</v>
      </c>
      <c r="E285" s="12" t="s">
        <v>666</v>
      </c>
      <c r="F285" s="13" t="s">
        <v>667</v>
      </c>
      <c r="G285" s="12" t="s">
        <v>68</v>
      </c>
      <c r="H285" s="12" t="s">
        <v>668</v>
      </c>
      <c r="I285" s="12" t="s">
        <v>669</v>
      </c>
      <c r="J285" s="17" t="s">
        <v>4597</v>
      </c>
      <c r="K285" s="17" t="s">
        <v>4598</v>
      </c>
      <c r="L285" s="17" t="s">
        <v>4599</v>
      </c>
      <c r="M285" s="17" t="s">
        <v>194</v>
      </c>
      <c r="O285" s="18" t="s">
        <v>638</v>
      </c>
    </row>
    <row r="286">
      <c r="A286" s="11"/>
      <c r="B286" s="12" t="s">
        <v>34</v>
      </c>
      <c r="C286" s="12" t="s">
        <v>65</v>
      </c>
      <c r="D286" s="12" t="s">
        <v>43</v>
      </c>
      <c r="E286" s="12" t="s">
        <v>666</v>
      </c>
      <c r="F286" s="13" t="s">
        <v>667</v>
      </c>
      <c r="G286" s="12" t="s">
        <v>68</v>
      </c>
      <c r="H286" s="12" t="s">
        <v>668</v>
      </c>
      <c r="I286" s="12" t="s">
        <v>669</v>
      </c>
      <c r="J286" s="17" t="s">
        <v>4597</v>
      </c>
      <c r="K286" s="17" t="s">
        <v>4600</v>
      </c>
      <c r="L286" s="17" t="s">
        <v>4599</v>
      </c>
      <c r="M286" s="17" t="s">
        <v>194</v>
      </c>
      <c r="O286" s="18" t="s">
        <v>638</v>
      </c>
    </row>
    <row r="287">
      <c r="A287" s="11"/>
      <c r="B287" s="12" t="s">
        <v>34</v>
      </c>
      <c r="C287" s="12" t="s">
        <v>65</v>
      </c>
      <c r="D287" s="12" t="s">
        <v>43</v>
      </c>
      <c r="E287" s="12" t="s">
        <v>666</v>
      </c>
      <c r="F287" s="13" t="s">
        <v>667</v>
      </c>
      <c r="G287" s="12" t="s">
        <v>68</v>
      </c>
      <c r="H287" s="12" t="s">
        <v>668</v>
      </c>
      <c r="I287" s="12" t="s">
        <v>669</v>
      </c>
      <c r="J287" s="17" t="s">
        <v>4597</v>
      </c>
      <c r="K287" s="17" t="s">
        <v>4601</v>
      </c>
      <c r="L287" s="17" t="s">
        <v>4593</v>
      </c>
      <c r="M287" s="17" t="s">
        <v>194</v>
      </c>
      <c r="O287" s="18" t="s">
        <v>638</v>
      </c>
    </row>
    <row r="288">
      <c r="A288" s="11"/>
      <c r="B288" s="12" t="s">
        <v>34</v>
      </c>
      <c r="C288" s="12" t="s">
        <v>65</v>
      </c>
      <c r="D288" s="12" t="s">
        <v>43</v>
      </c>
      <c r="E288" s="12" t="s">
        <v>666</v>
      </c>
      <c r="F288" s="13" t="s">
        <v>667</v>
      </c>
      <c r="G288" s="12" t="s">
        <v>68</v>
      </c>
      <c r="H288" s="12" t="s">
        <v>668</v>
      </c>
      <c r="I288" s="12" t="s">
        <v>669</v>
      </c>
      <c r="J288" s="17" t="s">
        <v>4597</v>
      </c>
      <c r="K288" s="17" t="s">
        <v>4602</v>
      </c>
      <c r="L288" s="17" t="s">
        <v>4599</v>
      </c>
      <c r="M288" s="17" t="s">
        <v>194</v>
      </c>
      <c r="O288" s="18" t="s">
        <v>638</v>
      </c>
    </row>
    <row r="289">
      <c r="A289" s="11"/>
      <c r="B289" s="12" t="s">
        <v>34</v>
      </c>
      <c r="C289" s="12" t="s">
        <v>65</v>
      </c>
      <c r="D289" s="12" t="s">
        <v>43</v>
      </c>
      <c r="E289" s="12" t="s">
        <v>666</v>
      </c>
      <c r="F289" s="13" t="s">
        <v>667</v>
      </c>
      <c r="G289" s="12" t="s">
        <v>68</v>
      </c>
      <c r="H289" s="12" t="s">
        <v>668</v>
      </c>
      <c r="I289" s="12" t="s">
        <v>669</v>
      </c>
      <c r="J289" s="17" t="s">
        <v>4597</v>
      </c>
      <c r="K289" s="17" t="s">
        <v>4603</v>
      </c>
      <c r="L289" s="17" t="s">
        <v>4599</v>
      </c>
      <c r="M289" s="17" t="s">
        <v>194</v>
      </c>
      <c r="O289" s="18" t="s">
        <v>638</v>
      </c>
    </row>
    <row r="290">
      <c r="A290" s="11"/>
      <c r="B290" s="12" t="s">
        <v>34</v>
      </c>
      <c r="C290" s="12" t="s">
        <v>65</v>
      </c>
      <c r="D290" s="12" t="s">
        <v>43</v>
      </c>
      <c r="E290" s="12" t="s">
        <v>717</v>
      </c>
      <c r="F290" s="13" t="s">
        <v>718</v>
      </c>
      <c r="G290" s="12" t="s">
        <v>68</v>
      </c>
      <c r="H290" s="12" t="s">
        <v>719</v>
      </c>
      <c r="I290" s="12" t="s">
        <v>720</v>
      </c>
      <c r="J290" s="17" t="s">
        <v>4591</v>
      </c>
      <c r="K290" s="17" t="s">
        <v>4592</v>
      </c>
      <c r="L290" s="17" t="s">
        <v>4593</v>
      </c>
      <c r="M290" s="17" t="s">
        <v>194</v>
      </c>
      <c r="O290" s="18" t="s">
        <v>638</v>
      </c>
    </row>
    <row r="291">
      <c r="A291" s="11"/>
      <c r="B291" s="12" t="s">
        <v>34</v>
      </c>
      <c r="C291" s="12" t="s">
        <v>65</v>
      </c>
      <c r="D291" s="12" t="s">
        <v>43</v>
      </c>
      <c r="E291" s="12" t="s">
        <v>717</v>
      </c>
      <c r="F291" s="13" t="s">
        <v>718</v>
      </c>
      <c r="G291" s="12" t="s">
        <v>68</v>
      </c>
      <c r="H291" s="12" t="s">
        <v>719</v>
      </c>
      <c r="I291" s="12" t="s">
        <v>720</v>
      </c>
      <c r="J291" s="17" t="s">
        <v>4591</v>
      </c>
      <c r="K291" s="17" t="s">
        <v>4594</v>
      </c>
      <c r="L291" s="17" t="s">
        <v>4593</v>
      </c>
      <c r="M291" s="17" t="s">
        <v>194</v>
      </c>
      <c r="O291" s="18" t="s">
        <v>638</v>
      </c>
    </row>
    <row r="292">
      <c r="A292" s="11"/>
      <c r="B292" s="12" t="s">
        <v>34</v>
      </c>
      <c r="C292" s="12" t="s">
        <v>65</v>
      </c>
      <c r="D292" s="12" t="s">
        <v>43</v>
      </c>
      <c r="E292" s="12" t="s">
        <v>717</v>
      </c>
      <c r="F292" s="13" t="s">
        <v>718</v>
      </c>
      <c r="G292" s="12" t="s">
        <v>68</v>
      </c>
      <c r="H292" s="12" t="s">
        <v>719</v>
      </c>
      <c r="I292" s="12" t="s">
        <v>720</v>
      </c>
      <c r="J292" s="17" t="s">
        <v>4591</v>
      </c>
      <c r="K292" s="17" t="s">
        <v>4595</v>
      </c>
      <c r="L292" s="17" t="s">
        <v>4599</v>
      </c>
      <c r="M292" s="17" t="s">
        <v>194</v>
      </c>
      <c r="O292" s="18" t="s">
        <v>638</v>
      </c>
    </row>
    <row r="293">
      <c r="A293" s="11"/>
      <c r="B293" s="12" t="s">
        <v>34</v>
      </c>
      <c r="C293" s="12" t="s">
        <v>65</v>
      </c>
      <c r="D293" s="12" t="s">
        <v>43</v>
      </c>
      <c r="E293" s="12" t="s">
        <v>717</v>
      </c>
      <c r="F293" s="13" t="s">
        <v>718</v>
      </c>
      <c r="G293" s="12" t="s">
        <v>68</v>
      </c>
      <c r="H293" s="12" t="s">
        <v>719</v>
      </c>
      <c r="I293" s="12" t="s">
        <v>720</v>
      </c>
      <c r="J293" s="17" t="s">
        <v>4591</v>
      </c>
      <c r="K293" s="17" t="s">
        <v>4596</v>
      </c>
      <c r="L293" s="17" t="s">
        <v>4599</v>
      </c>
      <c r="M293" s="17" t="s">
        <v>194</v>
      </c>
      <c r="O293" s="18" t="s">
        <v>638</v>
      </c>
    </row>
    <row r="294">
      <c r="A294" s="11"/>
      <c r="B294" s="12" t="s">
        <v>34</v>
      </c>
      <c r="C294" s="12" t="s">
        <v>65</v>
      </c>
      <c r="D294" s="12" t="s">
        <v>43</v>
      </c>
      <c r="E294" s="12" t="s">
        <v>717</v>
      </c>
      <c r="F294" s="13" t="s">
        <v>718</v>
      </c>
      <c r="G294" s="12" t="s">
        <v>68</v>
      </c>
      <c r="H294" s="12" t="s">
        <v>719</v>
      </c>
      <c r="I294" s="12" t="s">
        <v>720</v>
      </c>
      <c r="J294" s="17" t="s">
        <v>4597</v>
      </c>
      <c r="K294" s="17" t="s">
        <v>4598</v>
      </c>
      <c r="L294" s="17" t="s">
        <v>4593</v>
      </c>
      <c r="M294" s="17" t="s">
        <v>194</v>
      </c>
      <c r="O294" s="18" t="s">
        <v>638</v>
      </c>
    </row>
    <row r="295">
      <c r="A295" s="11"/>
      <c r="B295" s="12" t="s">
        <v>34</v>
      </c>
      <c r="C295" s="12" t="s">
        <v>65</v>
      </c>
      <c r="D295" s="12" t="s">
        <v>43</v>
      </c>
      <c r="E295" s="12" t="s">
        <v>717</v>
      </c>
      <c r="F295" s="13" t="s">
        <v>718</v>
      </c>
      <c r="G295" s="12" t="s">
        <v>68</v>
      </c>
      <c r="H295" s="12" t="s">
        <v>719</v>
      </c>
      <c r="I295" s="12" t="s">
        <v>720</v>
      </c>
      <c r="J295" s="17" t="s">
        <v>4597</v>
      </c>
      <c r="K295" s="17" t="s">
        <v>4600</v>
      </c>
      <c r="L295" s="17" t="s">
        <v>4599</v>
      </c>
      <c r="M295" s="17" t="s">
        <v>194</v>
      </c>
      <c r="O295" s="18" t="s">
        <v>638</v>
      </c>
    </row>
    <row r="296">
      <c r="A296" s="11"/>
      <c r="B296" s="12" t="s">
        <v>34</v>
      </c>
      <c r="C296" s="12" t="s">
        <v>65</v>
      </c>
      <c r="D296" s="12" t="s">
        <v>43</v>
      </c>
      <c r="E296" s="12" t="s">
        <v>717</v>
      </c>
      <c r="F296" s="13" t="s">
        <v>718</v>
      </c>
      <c r="G296" s="12" t="s">
        <v>68</v>
      </c>
      <c r="H296" s="12" t="s">
        <v>719</v>
      </c>
      <c r="I296" s="12" t="s">
        <v>720</v>
      </c>
      <c r="J296" s="17" t="s">
        <v>4597</v>
      </c>
      <c r="K296" s="17" t="s">
        <v>4601</v>
      </c>
      <c r="L296" s="17" t="s">
        <v>4599</v>
      </c>
      <c r="M296" s="17" t="s">
        <v>194</v>
      </c>
      <c r="O296" s="18" t="s">
        <v>638</v>
      </c>
    </row>
    <row r="297">
      <c r="A297" s="11"/>
      <c r="B297" s="12" t="s">
        <v>34</v>
      </c>
      <c r="C297" s="12" t="s">
        <v>65</v>
      </c>
      <c r="D297" s="12" t="s">
        <v>43</v>
      </c>
      <c r="E297" s="12" t="s">
        <v>717</v>
      </c>
      <c r="F297" s="13" t="s">
        <v>718</v>
      </c>
      <c r="G297" s="12" t="s">
        <v>68</v>
      </c>
      <c r="H297" s="12" t="s">
        <v>719</v>
      </c>
      <c r="I297" s="12" t="s">
        <v>720</v>
      </c>
      <c r="J297" s="17" t="s">
        <v>4597</v>
      </c>
      <c r="K297" s="17" t="s">
        <v>4602</v>
      </c>
      <c r="L297" s="17" t="s">
        <v>4599</v>
      </c>
      <c r="M297" s="17" t="s">
        <v>194</v>
      </c>
      <c r="O297" s="18" t="s">
        <v>638</v>
      </c>
    </row>
    <row r="298">
      <c r="A298" s="11"/>
      <c r="B298" s="12" t="s">
        <v>34</v>
      </c>
      <c r="C298" s="12" t="s">
        <v>65</v>
      </c>
      <c r="D298" s="12" t="s">
        <v>43</v>
      </c>
      <c r="E298" s="12" t="s">
        <v>717</v>
      </c>
      <c r="F298" s="13" t="s">
        <v>718</v>
      </c>
      <c r="G298" s="12" t="s">
        <v>68</v>
      </c>
      <c r="H298" s="12" t="s">
        <v>719</v>
      </c>
      <c r="I298" s="12" t="s">
        <v>720</v>
      </c>
      <c r="J298" s="17" t="s">
        <v>4597</v>
      </c>
      <c r="K298" s="17" t="s">
        <v>4603</v>
      </c>
      <c r="L298" s="17" t="s">
        <v>4599</v>
      </c>
      <c r="M298" s="17" t="s">
        <v>194</v>
      </c>
      <c r="O298" s="18" t="s">
        <v>638</v>
      </c>
    </row>
    <row r="299">
      <c r="A299" s="11"/>
      <c r="B299" s="12" t="s">
        <v>34</v>
      </c>
      <c r="C299" s="12" t="s">
        <v>65</v>
      </c>
      <c r="D299" s="12" t="s">
        <v>43</v>
      </c>
      <c r="E299" s="12" t="s">
        <v>4609</v>
      </c>
      <c r="F299" s="13" t="s">
        <v>774</v>
      </c>
      <c r="G299" s="12" t="s">
        <v>68</v>
      </c>
      <c r="H299" s="12" t="s">
        <v>775</v>
      </c>
      <c r="I299" s="12" t="s">
        <v>776</v>
      </c>
      <c r="J299" s="17" t="s">
        <v>4591</v>
      </c>
      <c r="K299" s="17" t="s">
        <v>4592</v>
      </c>
      <c r="L299" s="17" t="s">
        <v>4593</v>
      </c>
      <c r="M299" s="17" t="s">
        <v>194</v>
      </c>
      <c r="O299" s="18" t="s">
        <v>638</v>
      </c>
    </row>
    <row r="300">
      <c r="A300" s="11"/>
      <c r="B300" s="12" t="s">
        <v>34</v>
      </c>
      <c r="C300" s="12" t="s">
        <v>65</v>
      </c>
      <c r="D300" s="12" t="s">
        <v>43</v>
      </c>
      <c r="E300" s="12" t="s">
        <v>4609</v>
      </c>
      <c r="F300" s="13" t="s">
        <v>774</v>
      </c>
      <c r="G300" s="12" t="s">
        <v>68</v>
      </c>
      <c r="H300" s="12" t="s">
        <v>775</v>
      </c>
      <c r="I300" s="12" t="s">
        <v>776</v>
      </c>
      <c r="J300" s="17" t="s">
        <v>4591</v>
      </c>
      <c r="K300" s="17" t="s">
        <v>4594</v>
      </c>
      <c r="L300" s="17" t="s">
        <v>4599</v>
      </c>
      <c r="M300" s="17" t="s">
        <v>194</v>
      </c>
      <c r="O300" s="18" t="s">
        <v>638</v>
      </c>
    </row>
    <row r="301">
      <c r="A301" s="11"/>
      <c r="B301" s="12" t="s">
        <v>34</v>
      </c>
      <c r="C301" s="12" t="s">
        <v>65</v>
      </c>
      <c r="D301" s="12" t="s">
        <v>43</v>
      </c>
      <c r="E301" s="12" t="s">
        <v>4609</v>
      </c>
      <c r="F301" s="13" t="s">
        <v>774</v>
      </c>
      <c r="G301" s="12" t="s">
        <v>68</v>
      </c>
      <c r="H301" s="12" t="s">
        <v>775</v>
      </c>
      <c r="I301" s="12" t="s">
        <v>776</v>
      </c>
      <c r="J301" s="17" t="s">
        <v>4591</v>
      </c>
      <c r="K301" s="17" t="s">
        <v>4595</v>
      </c>
      <c r="L301" s="17" t="s">
        <v>4599</v>
      </c>
      <c r="M301" s="17" t="s">
        <v>194</v>
      </c>
      <c r="O301" s="18" t="s">
        <v>638</v>
      </c>
    </row>
    <row r="302">
      <c r="A302" s="11"/>
      <c r="B302" s="12" t="s">
        <v>34</v>
      </c>
      <c r="C302" s="12" t="s">
        <v>65</v>
      </c>
      <c r="D302" s="12" t="s">
        <v>43</v>
      </c>
      <c r="E302" s="12" t="s">
        <v>4609</v>
      </c>
      <c r="F302" s="13" t="s">
        <v>774</v>
      </c>
      <c r="G302" s="12" t="s">
        <v>68</v>
      </c>
      <c r="H302" s="12" t="s">
        <v>775</v>
      </c>
      <c r="I302" s="12" t="s">
        <v>776</v>
      </c>
      <c r="J302" s="17" t="s">
        <v>4591</v>
      </c>
      <c r="K302" s="17" t="s">
        <v>4596</v>
      </c>
      <c r="L302" s="17" t="s">
        <v>4593</v>
      </c>
      <c r="M302" s="17" t="s">
        <v>194</v>
      </c>
      <c r="O302" s="18" t="s">
        <v>638</v>
      </c>
    </row>
    <row r="303">
      <c r="A303" s="11"/>
      <c r="B303" s="12" t="s">
        <v>34</v>
      </c>
      <c r="C303" s="12" t="s">
        <v>65</v>
      </c>
      <c r="D303" s="12" t="s">
        <v>43</v>
      </c>
      <c r="E303" s="12" t="s">
        <v>4609</v>
      </c>
      <c r="F303" s="13" t="s">
        <v>774</v>
      </c>
      <c r="G303" s="12" t="s">
        <v>68</v>
      </c>
      <c r="H303" s="12" t="s">
        <v>775</v>
      </c>
      <c r="I303" s="12" t="s">
        <v>776</v>
      </c>
      <c r="J303" s="17" t="s">
        <v>4597</v>
      </c>
      <c r="K303" s="17" t="s">
        <v>4598</v>
      </c>
      <c r="L303" s="17" t="s">
        <v>4599</v>
      </c>
      <c r="M303" s="17" t="s">
        <v>194</v>
      </c>
      <c r="O303" s="18" t="s">
        <v>638</v>
      </c>
    </row>
    <row r="304">
      <c r="A304" s="11"/>
      <c r="B304" s="12" t="s">
        <v>34</v>
      </c>
      <c r="C304" s="12" t="s">
        <v>65</v>
      </c>
      <c r="D304" s="12" t="s">
        <v>43</v>
      </c>
      <c r="E304" s="12" t="s">
        <v>4609</v>
      </c>
      <c r="F304" s="13" t="s">
        <v>774</v>
      </c>
      <c r="G304" s="12" t="s">
        <v>68</v>
      </c>
      <c r="H304" s="12" t="s">
        <v>775</v>
      </c>
      <c r="I304" s="12" t="s">
        <v>776</v>
      </c>
      <c r="J304" s="17" t="s">
        <v>4597</v>
      </c>
      <c r="K304" s="17" t="s">
        <v>4600</v>
      </c>
      <c r="L304" s="17" t="s">
        <v>4599</v>
      </c>
      <c r="M304" s="17" t="s">
        <v>194</v>
      </c>
      <c r="O304" s="18" t="s">
        <v>638</v>
      </c>
    </row>
    <row r="305">
      <c r="A305" s="11"/>
      <c r="B305" s="12" t="s">
        <v>34</v>
      </c>
      <c r="C305" s="12" t="s">
        <v>65</v>
      </c>
      <c r="D305" s="12" t="s">
        <v>43</v>
      </c>
      <c r="E305" s="12" t="s">
        <v>4609</v>
      </c>
      <c r="F305" s="13" t="s">
        <v>774</v>
      </c>
      <c r="G305" s="12" t="s">
        <v>68</v>
      </c>
      <c r="H305" s="12" t="s">
        <v>775</v>
      </c>
      <c r="I305" s="12" t="s">
        <v>776</v>
      </c>
      <c r="J305" s="17" t="s">
        <v>4597</v>
      </c>
      <c r="K305" s="17" t="s">
        <v>4601</v>
      </c>
      <c r="L305" s="17" t="s">
        <v>4599</v>
      </c>
      <c r="M305" s="17" t="s">
        <v>194</v>
      </c>
      <c r="O305" s="18" t="s">
        <v>638</v>
      </c>
    </row>
    <row r="306">
      <c r="A306" s="11"/>
      <c r="B306" s="12" t="s">
        <v>34</v>
      </c>
      <c r="C306" s="12" t="s">
        <v>65</v>
      </c>
      <c r="D306" s="12" t="s">
        <v>43</v>
      </c>
      <c r="E306" s="12" t="s">
        <v>4609</v>
      </c>
      <c r="F306" s="13" t="s">
        <v>774</v>
      </c>
      <c r="G306" s="12" t="s">
        <v>68</v>
      </c>
      <c r="H306" s="12" t="s">
        <v>775</v>
      </c>
      <c r="I306" s="12" t="s">
        <v>776</v>
      </c>
      <c r="J306" s="17" t="s">
        <v>4597</v>
      </c>
      <c r="K306" s="17" t="s">
        <v>4602</v>
      </c>
      <c r="L306" s="17" t="s">
        <v>4599</v>
      </c>
      <c r="M306" s="17" t="s">
        <v>194</v>
      </c>
      <c r="O306" s="18" t="s">
        <v>638</v>
      </c>
    </row>
    <row r="307">
      <c r="A307" s="11"/>
      <c r="B307" s="12" t="s">
        <v>34</v>
      </c>
      <c r="C307" s="12" t="s">
        <v>65</v>
      </c>
      <c r="D307" s="12" t="s">
        <v>43</v>
      </c>
      <c r="E307" s="12" t="s">
        <v>4609</v>
      </c>
      <c r="F307" s="13" t="s">
        <v>774</v>
      </c>
      <c r="G307" s="12" t="s">
        <v>68</v>
      </c>
      <c r="H307" s="12" t="s">
        <v>775</v>
      </c>
      <c r="I307" s="12" t="s">
        <v>776</v>
      </c>
      <c r="J307" s="17" t="s">
        <v>4597</v>
      </c>
      <c r="K307" s="17" t="s">
        <v>4603</v>
      </c>
      <c r="L307" s="17" t="s">
        <v>4599</v>
      </c>
      <c r="M307" s="17" t="s">
        <v>194</v>
      </c>
      <c r="O307" s="18" t="s">
        <v>638</v>
      </c>
    </row>
    <row r="308">
      <c r="A308" s="11"/>
      <c r="B308" s="12" t="s">
        <v>34</v>
      </c>
      <c r="C308" s="12" t="s">
        <v>65</v>
      </c>
      <c r="D308" s="12" t="s">
        <v>43</v>
      </c>
      <c r="E308" s="12" t="s">
        <v>691</v>
      </c>
      <c r="F308" s="13" t="s">
        <v>692</v>
      </c>
      <c r="G308" s="12" t="s">
        <v>68</v>
      </c>
      <c r="H308" s="12" t="s">
        <v>693</v>
      </c>
      <c r="I308" s="12" t="s">
        <v>694</v>
      </c>
      <c r="J308" s="17" t="s">
        <v>4591</v>
      </c>
      <c r="K308" s="17" t="s">
        <v>4592</v>
      </c>
      <c r="L308" s="17" t="s">
        <v>4593</v>
      </c>
      <c r="M308" s="17" t="s">
        <v>194</v>
      </c>
      <c r="O308" s="18" t="s">
        <v>638</v>
      </c>
    </row>
    <row r="309">
      <c r="A309" s="11"/>
      <c r="B309" s="12" t="s">
        <v>34</v>
      </c>
      <c r="C309" s="12" t="s">
        <v>65</v>
      </c>
      <c r="D309" s="12" t="s">
        <v>43</v>
      </c>
      <c r="E309" s="12" t="s">
        <v>691</v>
      </c>
      <c r="F309" s="13" t="s">
        <v>692</v>
      </c>
      <c r="G309" s="12" t="s">
        <v>68</v>
      </c>
      <c r="H309" s="12" t="s">
        <v>693</v>
      </c>
      <c r="I309" s="12" t="s">
        <v>694</v>
      </c>
      <c r="J309" s="17" t="s">
        <v>4591</v>
      </c>
      <c r="K309" s="17" t="s">
        <v>4594</v>
      </c>
      <c r="L309" s="17" t="s">
        <v>4599</v>
      </c>
      <c r="M309" s="17" t="s">
        <v>194</v>
      </c>
      <c r="O309" s="18" t="s">
        <v>638</v>
      </c>
    </row>
    <row r="310">
      <c r="A310" s="11"/>
      <c r="B310" s="12" t="s">
        <v>34</v>
      </c>
      <c r="C310" s="12" t="s">
        <v>65</v>
      </c>
      <c r="D310" s="12" t="s">
        <v>43</v>
      </c>
      <c r="E310" s="12" t="s">
        <v>691</v>
      </c>
      <c r="F310" s="13" t="s">
        <v>692</v>
      </c>
      <c r="G310" s="12" t="s">
        <v>68</v>
      </c>
      <c r="H310" s="12" t="s">
        <v>693</v>
      </c>
      <c r="I310" s="12" t="s">
        <v>694</v>
      </c>
      <c r="J310" s="17" t="s">
        <v>4591</v>
      </c>
      <c r="K310" s="17" t="s">
        <v>4595</v>
      </c>
      <c r="L310" s="17" t="s">
        <v>4599</v>
      </c>
      <c r="M310" s="17" t="s">
        <v>194</v>
      </c>
      <c r="O310" s="18" t="s">
        <v>638</v>
      </c>
    </row>
    <row r="311">
      <c r="A311" s="11"/>
      <c r="B311" s="12" t="s">
        <v>34</v>
      </c>
      <c r="C311" s="12" t="s">
        <v>65</v>
      </c>
      <c r="D311" s="12" t="s">
        <v>43</v>
      </c>
      <c r="E311" s="12" t="s">
        <v>691</v>
      </c>
      <c r="F311" s="13" t="s">
        <v>692</v>
      </c>
      <c r="G311" s="12" t="s">
        <v>68</v>
      </c>
      <c r="H311" s="12" t="s">
        <v>693</v>
      </c>
      <c r="I311" s="12" t="s">
        <v>694</v>
      </c>
      <c r="J311" s="17" t="s">
        <v>4591</v>
      </c>
      <c r="K311" s="17" t="s">
        <v>4596</v>
      </c>
      <c r="L311" s="17" t="s">
        <v>4593</v>
      </c>
      <c r="M311" s="17" t="s">
        <v>194</v>
      </c>
      <c r="O311" s="18" t="s">
        <v>638</v>
      </c>
    </row>
    <row r="312">
      <c r="A312" s="11"/>
      <c r="B312" s="12" t="s">
        <v>34</v>
      </c>
      <c r="C312" s="12" t="s">
        <v>65</v>
      </c>
      <c r="D312" s="12" t="s">
        <v>43</v>
      </c>
      <c r="E312" s="12" t="s">
        <v>691</v>
      </c>
      <c r="F312" s="13" t="s">
        <v>692</v>
      </c>
      <c r="G312" s="12" t="s">
        <v>68</v>
      </c>
      <c r="H312" s="12" t="s">
        <v>693</v>
      </c>
      <c r="I312" s="12" t="s">
        <v>694</v>
      </c>
      <c r="J312" s="17" t="s">
        <v>4597</v>
      </c>
      <c r="K312" s="17" t="s">
        <v>4598</v>
      </c>
      <c r="L312" s="17" t="s">
        <v>4593</v>
      </c>
      <c r="M312" s="17" t="s">
        <v>194</v>
      </c>
      <c r="O312" s="18" t="s">
        <v>638</v>
      </c>
    </row>
    <row r="313">
      <c r="A313" s="11"/>
      <c r="B313" s="12" t="s">
        <v>34</v>
      </c>
      <c r="C313" s="12" t="s">
        <v>65</v>
      </c>
      <c r="D313" s="12" t="s">
        <v>43</v>
      </c>
      <c r="E313" s="12" t="s">
        <v>691</v>
      </c>
      <c r="F313" s="13" t="s">
        <v>692</v>
      </c>
      <c r="G313" s="12" t="s">
        <v>68</v>
      </c>
      <c r="H313" s="12" t="s">
        <v>693</v>
      </c>
      <c r="I313" s="12" t="s">
        <v>694</v>
      </c>
      <c r="J313" s="17" t="s">
        <v>4597</v>
      </c>
      <c r="K313" s="17" t="s">
        <v>4600</v>
      </c>
      <c r="L313" s="17" t="s">
        <v>4599</v>
      </c>
      <c r="M313" s="17" t="s">
        <v>194</v>
      </c>
      <c r="O313" s="18" t="s">
        <v>638</v>
      </c>
    </row>
    <row r="314">
      <c r="A314" s="11"/>
      <c r="B314" s="12" t="s">
        <v>34</v>
      </c>
      <c r="C314" s="12" t="s">
        <v>65</v>
      </c>
      <c r="D314" s="12" t="s">
        <v>43</v>
      </c>
      <c r="E314" s="12" t="s">
        <v>691</v>
      </c>
      <c r="F314" s="13" t="s">
        <v>692</v>
      </c>
      <c r="G314" s="12" t="s">
        <v>68</v>
      </c>
      <c r="H314" s="12" t="s">
        <v>693</v>
      </c>
      <c r="I314" s="12" t="s">
        <v>694</v>
      </c>
      <c r="J314" s="17" t="s">
        <v>4597</v>
      </c>
      <c r="K314" s="17" t="s">
        <v>4601</v>
      </c>
      <c r="L314" s="17" t="s">
        <v>4599</v>
      </c>
      <c r="M314" s="17" t="s">
        <v>194</v>
      </c>
      <c r="O314" s="18" t="s">
        <v>638</v>
      </c>
    </row>
    <row r="315">
      <c r="A315" s="11"/>
      <c r="B315" s="12" t="s">
        <v>34</v>
      </c>
      <c r="C315" s="12" t="s">
        <v>65</v>
      </c>
      <c r="D315" s="12" t="s">
        <v>43</v>
      </c>
      <c r="E315" s="12" t="s">
        <v>691</v>
      </c>
      <c r="F315" s="13" t="s">
        <v>692</v>
      </c>
      <c r="G315" s="12" t="s">
        <v>68</v>
      </c>
      <c r="H315" s="12" t="s">
        <v>693</v>
      </c>
      <c r="I315" s="12" t="s">
        <v>694</v>
      </c>
      <c r="J315" s="17" t="s">
        <v>4597</v>
      </c>
      <c r="K315" s="17" t="s">
        <v>4602</v>
      </c>
      <c r="L315" s="17" t="s">
        <v>4599</v>
      </c>
      <c r="M315" s="17" t="s">
        <v>194</v>
      </c>
      <c r="O315" s="18" t="s">
        <v>638</v>
      </c>
    </row>
    <row r="316">
      <c r="A316" s="11"/>
      <c r="B316" s="12" t="s">
        <v>34</v>
      </c>
      <c r="C316" s="12" t="s">
        <v>65</v>
      </c>
      <c r="D316" s="12" t="s">
        <v>43</v>
      </c>
      <c r="E316" s="12" t="s">
        <v>691</v>
      </c>
      <c r="F316" s="13" t="s">
        <v>692</v>
      </c>
      <c r="G316" s="12" t="s">
        <v>68</v>
      </c>
      <c r="H316" s="12" t="s">
        <v>693</v>
      </c>
      <c r="I316" s="12" t="s">
        <v>694</v>
      </c>
      <c r="J316" s="17" t="s">
        <v>4597</v>
      </c>
      <c r="K316" s="17" t="s">
        <v>4603</v>
      </c>
      <c r="L316" s="17" t="s">
        <v>4599</v>
      </c>
      <c r="M316" s="17" t="s">
        <v>194</v>
      </c>
      <c r="O316" s="18" t="s">
        <v>638</v>
      </c>
    </row>
    <row r="317">
      <c r="A317" s="11"/>
      <c r="B317" s="12" t="s">
        <v>7</v>
      </c>
      <c r="C317" s="12" t="s">
        <v>8</v>
      </c>
      <c r="D317" s="12" t="s">
        <v>24</v>
      </c>
      <c r="E317" s="12" t="s">
        <v>32</v>
      </c>
      <c r="F317" s="13" t="s">
        <v>30</v>
      </c>
      <c r="G317" s="12" t="s">
        <v>68</v>
      </c>
      <c r="H317" s="12" t="s">
        <v>573</v>
      </c>
      <c r="I317" s="12" t="s">
        <v>574</v>
      </c>
      <c r="J317" s="17" t="s">
        <v>4591</v>
      </c>
      <c r="K317" s="17" t="s">
        <v>4592</v>
      </c>
      <c r="L317" s="15" t="s">
        <v>4593</v>
      </c>
      <c r="M317" s="17" t="s">
        <v>428</v>
      </c>
      <c r="O317" s="18" t="s">
        <v>577</v>
      </c>
    </row>
    <row r="318">
      <c r="A318" s="11"/>
      <c r="B318" s="12" t="s">
        <v>7</v>
      </c>
      <c r="C318" s="12" t="s">
        <v>8</v>
      </c>
      <c r="D318" s="12" t="s">
        <v>24</v>
      </c>
      <c r="E318" s="12" t="s">
        <v>32</v>
      </c>
      <c r="F318" s="13" t="s">
        <v>30</v>
      </c>
      <c r="G318" s="12" t="s">
        <v>68</v>
      </c>
      <c r="H318" s="12" t="s">
        <v>573</v>
      </c>
      <c r="I318" s="12" t="s">
        <v>574</v>
      </c>
      <c r="J318" s="17" t="s">
        <v>4591</v>
      </c>
      <c r="K318" s="17" t="s">
        <v>4594</v>
      </c>
      <c r="L318" s="15" t="s">
        <v>4599</v>
      </c>
      <c r="M318" s="17" t="s">
        <v>428</v>
      </c>
      <c r="O318" s="18" t="s">
        <v>577</v>
      </c>
    </row>
    <row r="319">
      <c r="A319" s="11"/>
      <c r="B319" s="12" t="s">
        <v>7</v>
      </c>
      <c r="C319" s="12" t="s">
        <v>8</v>
      </c>
      <c r="D319" s="12" t="s">
        <v>24</v>
      </c>
      <c r="E319" s="12" t="s">
        <v>32</v>
      </c>
      <c r="F319" s="13" t="s">
        <v>30</v>
      </c>
      <c r="G319" s="12" t="s">
        <v>68</v>
      </c>
      <c r="H319" s="12" t="s">
        <v>573</v>
      </c>
      <c r="I319" s="12" t="s">
        <v>574</v>
      </c>
      <c r="J319" s="17" t="s">
        <v>4591</v>
      </c>
      <c r="K319" s="17" t="s">
        <v>4595</v>
      </c>
      <c r="L319" s="15" t="s">
        <v>4593</v>
      </c>
      <c r="M319" s="17" t="s">
        <v>428</v>
      </c>
      <c r="O319" s="18" t="s">
        <v>577</v>
      </c>
    </row>
    <row r="320">
      <c r="A320" s="11"/>
      <c r="B320" s="12" t="s">
        <v>7</v>
      </c>
      <c r="C320" s="12" t="s">
        <v>8</v>
      </c>
      <c r="D320" s="12" t="s">
        <v>24</v>
      </c>
      <c r="E320" s="12" t="s">
        <v>32</v>
      </c>
      <c r="F320" s="13" t="s">
        <v>30</v>
      </c>
      <c r="G320" s="12" t="s">
        <v>68</v>
      </c>
      <c r="H320" s="12" t="s">
        <v>573</v>
      </c>
      <c r="I320" s="12" t="s">
        <v>574</v>
      </c>
      <c r="J320" s="17" t="s">
        <v>4591</v>
      </c>
      <c r="K320" s="17" t="s">
        <v>4596</v>
      </c>
      <c r="L320" s="15" t="s">
        <v>4593</v>
      </c>
      <c r="M320" s="17" t="s">
        <v>428</v>
      </c>
      <c r="O320" s="18" t="s">
        <v>577</v>
      </c>
    </row>
    <row r="321">
      <c r="A321" s="11"/>
      <c r="B321" s="12" t="s">
        <v>7</v>
      </c>
      <c r="C321" s="12" t="s">
        <v>8</v>
      </c>
      <c r="D321" s="12" t="s">
        <v>24</v>
      </c>
      <c r="E321" s="12" t="s">
        <v>32</v>
      </c>
      <c r="F321" s="13" t="s">
        <v>30</v>
      </c>
      <c r="G321" s="12" t="s">
        <v>68</v>
      </c>
      <c r="H321" s="12" t="s">
        <v>573</v>
      </c>
      <c r="I321" s="12" t="s">
        <v>574</v>
      </c>
      <c r="J321" s="17" t="s">
        <v>4597</v>
      </c>
      <c r="K321" s="17" t="s">
        <v>4598</v>
      </c>
      <c r="L321" s="15" t="s">
        <v>4599</v>
      </c>
      <c r="M321" s="17" t="s">
        <v>428</v>
      </c>
      <c r="O321" s="18" t="s">
        <v>577</v>
      </c>
    </row>
    <row r="322">
      <c r="A322" s="11"/>
      <c r="B322" s="12" t="s">
        <v>7</v>
      </c>
      <c r="C322" s="12" t="s">
        <v>8</v>
      </c>
      <c r="D322" s="12" t="s">
        <v>24</v>
      </c>
      <c r="E322" s="12" t="s">
        <v>32</v>
      </c>
      <c r="F322" s="13" t="s">
        <v>30</v>
      </c>
      <c r="G322" s="12" t="s">
        <v>68</v>
      </c>
      <c r="H322" s="12" t="s">
        <v>573</v>
      </c>
      <c r="I322" s="12" t="s">
        <v>574</v>
      </c>
      <c r="J322" s="17" t="s">
        <v>4597</v>
      </c>
      <c r="K322" s="17" t="s">
        <v>4600</v>
      </c>
      <c r="L322" s="15" t="s">
        <v>4599</v>
      </c>
      <c r="M322" s="17" t="s">
        <v>428</v>
      </c>
      <c r="O322" s="18" t="s">
        <v>577</v>
      </c>
    </row>
    <row r="323">
      <c r="A323" s="11"/>
      <c r="B323" s="12" t="s">
        <v>7</v>
      </c>
      <c r="C323" s="12" t="s">
        <v>8</v>
      </c>
      <c r="D323" s="12" t="s">
        <v>24</v>
      </c>
      <c r="E323" s="12" t="s">
        <v>32</v>
      </c>
      <c r="F323" s="13" t="s">
        <v>30</v>
      </c>
      <c r="G323" s="12" t="s">
        <v>68</v>
      </c>
      <c r="H323" s="12" t="s">
        <v>573</v>
      </c>
      <c r="I323" s="12" t="s">
        <v>574</v>
      </c>
      <c r="J323" s="17" t="s">
        <v>4597</v>
      </c>
      <c r="K323" s="17" t="s">
        <v>4601</v>
      </c>
      <c r="L323" s="15" t="s">
        <v>4593</v>
      </c>
      <c r="M323" s="17" t="s">
        <v>428</v>
      </c>
      <c r="O323" s="18" t="s">
        <v>577</v>
      </c>
    </row>
    <row r="324">
      <c r="A324" s="11"/>
      <c r="B324" s="12" t="s">
        <v>7</v>
      </c>
      <c r="C324" s="12" t="s">
        <v>8</v>
      </c>
      <c r="D324" s="12" t="s">
        <v>24</v>
      </c>
      <c r="E324" s="12" t="s">
        <v>32</v>
      </c>
      <c r="F324" s="13" t="s">
        <v>30</v>
      </c>
      <c r="G324" s="12" t="s">
        <v>68</v>
      </c>
      <c r="H324" s="12" t="s">
        <v>573</v>
      </c>
      <c r="I324" s="12" t="s">
        <v>574</v>
      </c>
      <c r="J324" s="17" t="s">
        <v>4597</v>
      </c>
      <c r="K324" s="17" t="s">
        <v>4602</v>
      </c>
      <c r="L324" s="15" t="s">
        <v>4593</v>
      </c>
      <c r="M324" s="17" t="s">
        <v>428</v>
      </c>
      <c r="O324" s="18" t="s">
        <v>577</v>
      </c>
    </row>
    <row r="325">
      <c r="A325" s="11"/>
      <c r="B325" s="12" t="s">
        <v>7</v>
      </c>
      <c r="C325" s="12" t="s">
        <v>8</v>
      </c>
      <c r="D325" s="12" t="s">
        <v>24</v>
      </c>
      <c r="E325" s="12" t="s">
        <v>32</v>
      </c>
      <c r="F325" s="13" t="s">
        <v>30</v>
      </c>
      <c r="G325" s="12" t="s">
        <v>68</v>
      </c>
      <c r="H325" s="12" t="s">
        <v>573</v>
      </c>
      <c r="I325" s="12" t="s">
        <v>574</v>
      </c>
      <c r="J325" s="17" t="s">
        <v>4597</v>
      </c>
      <c r="K325" s="17" t="s">
        <v>4603</v>
      </c>
      <c r="L325" s="15" t="s">
        <v>4593</v>
      </c>
      <c r="M325" s="17" t="s">
        <v>428</v>
      </c>
      <c r="O325" s="18" t="s">
        <v>577</v>
      </c>
    </row>
    <row r="326">
      <c r="A326" s="11"/>
      <c r="B326" s="12" t="s">
        <v>7</v>
      </c>
      <c r="C326" s="12" t="s">
        <v>8</v>
      </c>
      <c r="D326" s="12" t="s">
        <v>24</v>
      </c>
      <c r="E326" s="12" t="s">
        <v>29</v>
      </c>
      <c r="F326" s="13" t="s">
        <v>27</v>
      </c>
      <c r="G326" s="12" t="s">
        <v>68</v>
      </c>
      <c r="H326" s="12" t="s">
        <v>801</v>
      </c>
      <c r="I326" s="12" t="s">
        <v>802</v>
      </c>
      <c r="J326" s="17" t="s">
        <v>4591</v>
      </c>
      <c r="K326" s="17" t="s">
        <v>4592</v>
      </c>
      <c r="L326" s="15" t="s">
        <v>4593</v>
      </c>
      <c r="M326" s="17" t="s">
        <v>428</v>
      </c>
      <c r="O326" s="18" t="s">
        <v>577</v>
      </c>
    </row>
    <row r="327">
      <c r="A327" s="11"/>
      <c r="B327" s="12" t="s">
        <v>7</v>
      </c>
      <c r="C327" s="12" t="s">
        <v>8</v>
      </c>
      <c r="D327" s="12" t="s">
        <v>24</v>
      </c>
      <c r="E327" s="12" t="s">
        <v>29</v>
      </c>
      <c r="F327" s="13" t="s">
        <v>27</v>
      </c>
      <c r="G327" s="12" t="s">
        <v>68</v>
      </c>
      <c r="H327" s="12" t="s">
        <v>801</v>
      </c>
      <c r="I327" s="12" t="s">
        <v>802</v>
      </c>
      <c r="J327" s="17" t="s">
        <v>4591</v>
      </c>
      <c r="K327" s="17" t="s">
        <v>4594</v>
      </c>
      <c r="L327" s="15" t="s">
        <v>4604</v>
      </c>
      <c r="M327" s="17" t="s">
        <v>428</v>
      </c>
      <c r="O327" s="18" t="s">
        <v>577</v>
      </c>
    </row>
    <row r="328">
      <c r="A328" s="11"/>
      <c r="B328" s="12" t="s">
        <v>7</v>
      </c>
      <c r="C328" s="12" t="s">
        <v>8</v>
      </c>
      <c r="D328" s="12" t="s">
        <v>24</v>
      </c>
      <c r="E328" s="12" t="s">
        <v>29</v>
      </c>
      <c r="F328" s="13" t="s">
        <v>27</v>
      </c>
      <c r="G328" s="12" t="s">
        <v>68</v>
      </c>
      <c r="H328" s="12" t="s">
        <v>801</v>
      </c>
      <c r="I328" s="12" t="s">
        <v>802</v>
      </c>
      <c r="J328" s="17" t="s">
        <v>4591</v>
      </c>
      <c r="K328" s="17" t="s">
        <v>4595</v>
      </c>
      <c r="L328" s="15" t="s">
        <v>4593</v>
      </c>
      <c r="M328" s="17" t="s">
        <v>428</v>
      </c>
      <c r="O328" s="18" t="s">
        <v>577</v>
      </c>
    </row>
    <row r="329">
      <c r="A329" s="11"/>
      <c r="B329" s="12" t="s">
        <v>7</v>
      </c>
      <c r="C329" s="12" t="s">
        <v>8</v>
      </c>
      <c r="D329" s="12" t="s">
        <v>24</v>
      </c>
      <c r="E329" s="12" t="s">
        <v>29</v>
      </c>
      <c r="F329" s="13" t="s">
        <v>27</v>
      </c>
      <c r="G329" s="12" t="s">
        <v>68</v>
      </c>
      <c r="H329" s="12" t="s">
        <v>801</v>
      </c>
      <c r="I329" s="12" t="s">
        <v>802</v>
      </c>
      <c r="J329" s="17" t="s">
        <v>4591</v>
      </c>
      <c r="K329" s="17" t="s">
        <v>4596</v>
      </c>
      <c r="L329" s="15" t="s">
        <v>4604</v>
      </c>
      <c r="M329" s="17" t="s">
        <v>428</v>
      </c>
      <c r="O329" s="18" t="s">
        <v>577</v>
      </c>
    </row>
    <row r="330">
      <c r="A330" s="11"/>
      <c r="B330" s="12" t="s">
        <v>7</v>
      </c>
      <c r="C330" s="12" t="s">
        <v>8</v>
      </c>
      <c r="D330" s="12" t="s">
        <v>24</v>
      </c>
      <c r="E330" s="12" t="s">
        <v>29</v>
      </c>
      <c r="F330" s="13" t="s">
        <v>27</v>
      </c>
      <c r="G330" s="12" t="s">
        <v>68</v>
      </c>
      <c r="H330" s="12" t="s">
        <v>801</v>
      </c>
      <c r="I330" s="12" t="s">
        <v>802</v>
      </c>
      <c r="J330" s="17" t="s">
        <v>4597</v>
      </c>
      <c r="K330" s="17" t="s">
        <v>4598</v>
      </c>
      <c r="L330" s="15" t="s">
        <v>4599</v>
      </c>
      <c r="M330" s="17" t="s">
        <v>428</v>
      </c>
      <c r="O330" s="18" t="s">
        <v>577</v>
      </c>
    </row>
    <row r="331">
      <c r="A331" s="11"/>
      <c r="B331" s="12" t="s">
        <v>7</v>
      </c>
      <c r="C331" s="12" t="s">
        <v>8</v>
      </c>
      <c r="D331" s="12" t="s">
        <v>24</v>
      </c>
      <c r="E331" s="12" t="s">
        <v>29</v>
      </c>
      <c r="F331" s="13" t="s">
        <v>27</v>
      </c>
      <c r="G331" s="12" t="s">
        <v>68</v>
      </c>
      <c r="H331" s="12" t="s">
        <v>801</v>
      </c>
      <c r="I331" s="12" t="s">
        <v>802</v>
      </c>
      <c r="J331" s="17" t="s">
        <v>4597</v>
      </c>
      <c r="K331" s="17" t="s">
        <v>4600</v>
      </c>
      <c r="L331" s="15" t="s">
        <v>4599</v>
      </c>
      <c r="M331" s="17" t="s">
        <v>428</v>
      </c>
      <c r="O331" s="18" t="s">
        <v>577</v>
      </c>
    </row>
    <row r="332">
      <c r="A332" s="11"/>
      <c r="B332" s="12" t="s">
        <v>7</v>
      </c>
      <c r="C332" s="12" t="s">
        <v>8</v>
      </c>
      <c r="D332" s="12" t="s">
        <v>24</v>
      </c>
      <c r="E332" s="12" t="s">
        <v>29</v>
      </c>
      <c r="F332" s="13" t="s">
        <v>27</v>
      </c>
      <c r="G332" s="12" t="s">
        <v>68</v>
      </c>
      <c r="H332" s="12" t="s">
        <v>801</v>
      </c>
      <c r="I332" s="12" t="s">
        <v>802</v>
      </c>
      <c r="J332" s="17" t="s">
        <v>4597</v>
      </c>
      <c r="K332" s="17" t="s">
        <v>4601</v>
      </c>
      <c r="L332" s="15" t="s">
        <v>4593</v>
      </c>
      <c r="M332" s="17" t="s">
        <v>428</v>
      </c>
      <c r="O332" s="18" t="s">
        <v>577</v>
      </c>
    </row>
    <row r="333">
      <c r="A333" s="11"/>
      <c r="B333" s="12" t="s">
        <v>7</v>
      </c>
      <c r="C333" s="12" t="s">
        <v>8</v>
      </c>
      <c r="D333" s="12" t="s">
        <v>24</v>
      </c>
      <c r="E333" s="12" t="s">
        <v>29</v>
      </c>
      <c r="F333" s="13" t="s">
        <v>27</v>
      </c>
      <c r="G333" s="12" t="s">
        <v>68</v>
      </c>
      <c r="H333" s="12" t="s">
        <v>801</v>
      </c>
      <c r="I333" s="12" t="s">
        <v>802</v>
      </c>
      <c r="J333" s="17" t="s">
        <v>4597</v>
      </c>
      <c r="K333" s="17" t="s">
        <v>4602</v>
      </c>
      <c r="L333" s="15" t="s">
        <v>4593</v>
      </c>
      <c r="M333" s="17" t="s">
        <v>428</v>
      </c>
      <c r="O333" s="18" t="s">
        <v>577</v>
      </c>
    </row>
    <row r="334">
      <c r="A334" s="11"/>
      <c r="B334" s="12" t="s">
        <v>7</v>
      </c>
      <c r="C334" s="12" t="s">
        <v>8</v>
      </c>
      <c r="D334" s="12" t="s">
        <v>24</v>
      </c>
      <c r="E334" s="12" t="s">
        <v>29</v>
      </c>
      <c r="F334" s="13" t="s">
        <v>27</v>
      </c>
      <c r="G334" s="12" t="s">
        <v>68</v>
      </c>
      <c r="H334" s="12" t="s">
        <v>801</v>
      </c>
      <c r="I334" s="12" t="s">
        <v>802</v>
      </c>
      <c r="J334" s="17" t="s">
        <v>4597</v>
      </c>
      <c r="K334" s="17" t="s">
        <v>4603</v>
      </c>
      <c r="L334" s="15" t="s">
        <v>4593</v>
      </c>
      <c r="M334" s="17" t="s">
        <v>428</v>
      </c>
      <c r="O334" s="18" t="s">
        <v>577</v>
      </c>
    </row>
    <row r="335">
      <c r="A335" s="11"/>
      <c r="B335" s="12" t="s">
        <v>7</v>
      </c>
      <c r="C335" s="12" t="s">
        <v>8</v>
      </c>
      <c r="D335" s="12" t="s">
        <v>24</v>
      </c>
      <c r="E335" s="12" t="s">
        <v>35</v>
      </c>
      <c r="F335" s="13" t="s">
        <v>33</v>
      </c>
      <c r="G335" s="12" t="s">
        <v>68</v>
      </c>
      <c r="H335" s="12" t="s">
        <v>813</v>
      </c>
      <c r="I335" s="12" t="s">
        <v>814</v>
      </c>
      <c r="J335" s="17" t="s">
        <v>4591</v>
      </c>
      <c r="K335" s="17" t="s">
        <v>4592</v>
      </c>
      <c r="L335" s="15" t="s">
        <v>4593</v>
      </c>
      <c r="M335" s="17" t="s">
        <v>428</v>
      </c>
      <c r="O335" s="18" t="s">
        <v>577</v>
      </c>
    </row>
    <row r="336">
      <c r="A336" s="11"/>
      <c r="B336" s="12" t="s">
        <v>7</v>
      </c>
      <c r="C336" s="12" t="s">
        <v>8</v>
      </c>
      <c r="D336" s="12" t="s">
        <v>24</v>
      </c>
      <c r="E336" s="12" t="s">
        <v>35</v>
      </c>
      <c r="F336" s="13" t="s">
        <v>33</v>
      </c>
      <c r="G336" s="12" t="s">
        <v>68</v>
      </c>
      <c r="H336" s="12" t="s">
        <v>813</v>
      </c>
      <c r="I336" s="12" t="s">
        <v>814</v>
      </c>
      <c r="J336" s="17" t="s">
        <v>4591</v>
      </c>
      <c r="K336" s="17" t="s">
        <v>4594</v>
      </c>
      <c r="L336" s="15" t="s">
        <v>4599</v>
      </c>
      <c r="M336" s="17" t="s">
        <v>428</v>
      </c>
      <c r="O336" s="18" t="s">
        <v>577</v>
      </c>
    </row>
    <row r="337">
      <c r="A337" s="11"/>
      <c r="B337" s="12" t="s">
        <v>7</v>
      </c>
      <c r="C337" s="12" t="s">
        <v>8</v>
      </c>
      <c r="D337" s="12" t="s">
        <v>24</v>
      </c>
      <c r="E337" s="12" t="s">
        <v>35</v>
      </c>
      <c r="F337" s="13" t="s">
        <v>33</v>
      </c>
      <c r="G337" s="12" t="s">
        <v>68</v>
      </c>
      <c r="H337" s="12" t="s">
        <v>813</v>
      </c>
      <c r="I337" s="12" t="s">
        <v>814</v>
      </c>
      <c r="J337" s="17" t="s">
        <v>4591</v>
      </c>
      <c r="K337" s="17" t="s">
        <v>4595</v>
      </c>
      <c r="L337" s="15" t="s">
        <v>4593</v>
      </c>
      <c r="M337" s="17" t="s">
        <v>428</v>
      </c>
      <c r="O337" s="18" t="s">
        <v>577</v>
      </c>
    </row>
    <row r="338">
      <c r="A338" s="11"/>
      <c r="B338" s="12" t="s">
        <v>7</v>
      </c>
      <c r="C338" s="12" t="s">
        <v>8</v>
      </c>
      <c r="D338" s="12" t="s">
        <v>24</v>
      </c>
      <c r="E338" s="12" t="s">
        <v>35</v>
      </c>
      <c r="F338" s="13" t="s">
        <v>33</v>
      </c>
      <c r="G338" s="12" t="s">
        <v>68</v>
      </c>
      <c r="H338" s="12" t="s">
        <v>813</v>
      </c>
      <c r="I338" s="12" t="s">
        <v>814</v>
      </c>
      <c r="J338" s="17" t="s">
        <v>4591</v>
      </c>
      <c r="K338" s="17" t="s">
        <v>4596</v>
      </c>
      <c r="L338" s="15" t="s">
        <v>4593</v>
      </c>
      <c r="M338" s="17" t="s">
        <v>428</v>
      </c>
      <c r="O338" s="18" t="s">
        <v>577</v>
      </c>
    </row>
    <row r="339">
      <c r="A339" s="11"/>
      <c r="B339" s="12" t="s">
        <v>7</v>
      </c>
      <c r="C339" s="12" t="s">
        <v>8</v>
      </c>
      <c r="D339" s="12" t="s">
        <v>24</v>
      </c>
      <c r="E339" s="12" t="s">
        <v>35</v>
      </c>
      <c r="F339" s="13" t="s">
        <v>33</v>
      </c>
      <c r="G339" s="12" t="s">
        <v>68</v>
      </c>
      <c r="H339" s="12" t="s">
        <v>813</v>
      </c>
      <c r="I339" s="12" t="s">
        <v>814</v>
      </c>
      <c r="J339" s="17" t="s">
        <v>4597</v>
      </c>
      <c r="K339" s="17" t="s">
        <v>4598</v>
      </c>
      <c r="L339" s="15" t="s">
        <v>4599</v>
      </c>
      <c r="M339" s="17" t="s">
        <v>428</v>
      </c>
      <c r="O339" s="18" t="s">
        <v>577</v>
      </c>
    </row>
    <row r="340">
      <c r="A340" s="11"/>
      <c r="B340" s="12" t="s">
        <v>7</v>
      </c>
      <c r="C340" s="12" t="s">
        <v>8</v>
      </c>
      <c r="D340" s="12" t="s">
        <v>24</v>
      </c>
      <c r="E340" s="12" t="s">
        <v>35</v>
      </c>
      <c r="F340" s="13" t="s">
        <v>33</v>
      </c>
      <c r="G340" s="12" t="s">
        <v>68</v>
      </c>
      <c r="H340" s="12" t="s">
        <v>813</v>
      </c>
      <c r="I340" s="12" t="s">
        <v>814</v>
      </c>
      <c r="J340" s="17" t="s">
        <v>4597</v>
      </c>
      <c r="K340" s="17" t="s">
        <v>4600</v>
      </c>
      <c r="L340" s="15" t="s">
        <v>4599</v>
      </c>
      <c r="M340" s="17" t="s">
        <v>428</v>
      </c>
      <c r="O340" s="18" t="s">
        <v>577</v>
      </c>
    </row>
    <row r="341">
      <c r="A341" s="11"/>
      <c r="B341" s="12" t="s">
        <v>7</v>
      </c>
      <c r="C341" s="12" t="s">
        <v>8</v>
      </c>
      <c r="D341" s="12" t="s">
        <v>24</v>
      </c>
      <c r="E341" s="12" t="s">
        <v>35</v>
      </c>
      <c r="F341" s="13" t="s">
        <v>33</v>
      </c>
      <c r="G341" s="12" t="s">
        <v>68</v>
      </c>
      <c r="H341" s="12" t="s">
        <v>813</v>
      </c>
      <c r="I341" s="12" t="s">
        <v>814</v>
      </c>
      <c r="J341" s="17" t="s">
        <v>4597</v>
      </c>
      <c r="K341" s="17" t="s">
        <v>4601</v>
      </c>
      <c r="L341" s="15" t="s">
        <v>4593</v>
      </c>
      <c r="M341" s="17" t="s">
        <v>428</v>
      </c>
      <c r="O341" s="18" t="s">
        <v>577</v>
      </c>
    </row>
    <row r="342">
      <c r="A342" s="11"/>
      <c r="B342" s="12" t="s">
        <v>7</v>
      </c>
      <c r="C342" s="12" t="s">
        <v>8</v>
      </c>
      <c r="D342" s="12" t="s">
        <v>24</v>
      </c>
      <c r="E342" s="12" t="s">
        <v>35</v>
      </c>
      <c r="F342" s="13" t="s">
        <v>33</v>
      </c>
      <c r="G342" s="12" t="s">
        <v>68</v>
      </c>
      <c r="H342" s="12" t="s">
        <v>813</v>
      </c>
      <c r="I342" s="12" t="s">
        <v>814</v>
      </c>
      <c r="J342" s="17" t="s">
        <v>4597</v>
      </c>
      <c r="K342" s="17" t="s">
        <v>4602</v>
      </c>
      <c r="L342" s="15" t="s">
        <v>4593</v>
      </c>
      <c r="M342" s="17" t="s">
        <v>428</v>
      </c>
      <c r="O342" s="18" t="s">
        <v>577</v>
      </c>
    </row>
    <row r="343">
      <c r="A343" s="11"/>
      <c r="B343" s="12" t="s">
        <v>7</v>
      </c>
      <c r="C343" s="12" t="s">
        <v>8</v>
      </c>
      <c r="D343" s="12" t="s">
        <v>24</v>
      </c>
      <c r="E343" s="12" t="s">
        <v>35</v>
      </c>
      <c r="F343" s="13" t="s">
        <v>33</v>
      </c>
      <c r="G343" s="12" t="s">
        <v>68</v>
      </c>
      <c r="H343" s="12" t="s">
        <v>813</v>
      </c>
      <c r="I343" s="12" t="s">
        <v>814</v>
      </c>
      <c r="J343" s="17" t="s">
        <v>4597</v>
      </c>
      <c r="K343" s="17" t="s">
        <v>4603</v>
      </c>
      <c r="L343" s="15" t="s">
        <v>4593</v>
      </c>
      <c r="M343" s="17" t="s">
        <v>428</v>
      </c>
      <c r="O343" s="18" t="s">
        <v>577</v>
      </c>
    </row>
    <row r="344">
      <c r="A344" s="11"/>
      <c r="B344" s="12" t="s">
        <v>7</v>
      </c>
      <c r="C344" s="12" t="s">
        <v>37</v>
      </c>
      <c r="D344" s="12" t="s">
        <v>38</v>
      </c>
      <c r="E344" s="12" t="s">
        <v>45</v>
      </c>
      <c r="F344" s="13" t="s">
        <v>44</v>
      </c>
      <c r="G344" s="12" t="s">
        <v>68</v>
      </c>
      <c r="H344" s="12" t="s">
        <v>830</v>
      </c>
      <c r="I344" s="12" t="s">
        <v>831</v>
      </c>
      <c r="J344" s="17" t="s">
        <v>4591</v>
      </c>
      <c r="K344" s="17" t="s">
        <v>4592</v>
      </c>
      <c r="L344" s="15" t="s">
        <v>4593</v>
      </c>
      <c r="M344" s="17" t="s">
        <v>428</v>
      </c>
      <c r="O344" s="18" t="s">
        <v>577</v>
      </c>
    </row>
    <row r="345">
      <c r="A345" s="11"/>
      <c r="B345" s="12" t="s">
        <v>7</v>
      </c>
      <c r="C345" s="12" t="s">
        <v>37</v>
      </c>
      <c r="D345" s="12" t="s">
        <v>38</v>
      </c>
      <c r="E345" s="12" t="s">
        <v>45</v>
      </c>
      <c r="F345" s="13" t="s">
        <v>44</v>
      </c>
      <c r="G345" s="12" t="s">
        <v>68</v>
      </c>
      <c r="H345" s="12" t="s">
        <v>830</v>
      </c>
      <c r="I345" s="12" t="s">
        <v>831</v>
      </c>
      <c r="J345" s="17" t="s">
        <v>4591</v>
      </c>
      <c r="K345" s="17" t="s">
        <v>4594</v>
      </c>
      <c r="L345" s="15" t="s">
        <v>4593</v>
      </c>
      <c r="M345" s="17" t="s">
        <v>428</v>
      </c>
      <c r="O345" s="18" t="s">
        <v>577</v>
      </c>
    </row>
    <row r="346">
      <c r="A346" s="11"/>
      <c r="B346" s="12" t="s">
        <v>7</v>
      </c>
      <c r="C346" s="12" t="s">
        <v>37</v>
      </c>
      <c r="D346" s="12" t="s">
        <v>38</v>
      </c>
      <c r="E346" s="12" t="s">
        <v>45</v>
      </c>
      <c r="F346" s="13" t="s">
        <v>44</v>
      </c>
      <c r="G346" s="12" t="s">
        <v>68</v>
      </c>
      <c r="H346" s="12" t="s">
        <v>830</v>
      </c>
      <c r="I346" s="12" t="s">
        <v>831</v>
      </c>
      <c r="J346" s="17" t="s">
        <v>4591</v>
      </c>
      <c r="K346" s="17" t="s">
        <v>4595</v>
      </c>
      <c r="L346" s="15" t="s">
        <v>4593</v>
      </c>
      <c r="M346" s="17" t="s">
        <v>428</v>
      </c>
      <c r="O346" s="18" t="s">
        <v>577</v>
      </c>
    </row>
    <row r="347">
      <c r="A347" s="11"/>
      <c r="B347" s="12" t="s">
        <v>7</v>
      </c>
      <c r="C347" s="12" t="s">
        <v>37</v>
      </c>
      <c r="D347" s="12" t="s">
        <v>38</v>
      </c>
      <c r="E347" s="12" t="s">
        <v>45</v>
      </c>
      <c r="F347" s="13" t="s">
        <v>44</v>
      </c>
      <c r="G347" s="12" t="s">
        <v>68</v>
      </c>
      <c r="H347" s="12" t="s">
        <v>830</v>
      </c>
      <c r="I347" s="12" t="s">
        <v>831</v>
      </c>
      <c r="J347" s="17" t="s">
        <v>4591</v>
      </c>
      <c r="K347" s="17" t="s">
        <v>4596</v>
      </c>
      <c r="L347" s="15" t="s">
        <v>4593</v>
      </c>
      <c r="M347" s="17" t="s">
        <v>428</v>
      </c>
      <c r="O347" s="18" t="s">
        <v>577</v>
      </c>
    </row>
    <row r="348">
      <c r="A348" s="11"/>
      <c r="B348" s="12" t="s">
        <v>7</v>
      </c>
      <c r="C348" s="12" t="s">
        <v>37</v>
      </c>
      <c r="D348" s="12" t="s">
        <v>38</v>
      </c>
      <c r="E348" s="12" t="s">
        <v>45</v>
      </c>
      <c r="F348" s="13" t="s">
        <v>44</v>
      </c>
      <c r="G348" s="12" t="s">
        <v>68</v>
      </c>
      <c r="H348" s="12" t="s">
        <v>830</v>
      </c>
      <c r="I348" s="12" t="s">
        <v>831</v>
      </c>
      <c r="J348" s="17" t="s">
        <v>4597</v>
      </c>
      <c r="K348" s="17" t="s">
        <v>4598</v>
      </c>
      <c r="L348" s="15" t="s">
        <v>4599</v>
      </c>
      <c r="M348" s="17" t="s">
        <v>428</v>
      </c>
      <c r="O348" s="18" t="s">
        <v>577</v>
      </c>
    </row>
    <row r="349">
      <c r="A349" s="11"/>
      <c r="B349" s="12" t="s">
        <v>7</v>
      </c>
      <c r="C349" s="12" t="s">
        <v>37</v>
      </c>
      <c r="D349" s="12" t="s">
        <v>38</v>
      </c>
      <c r="E349" s="12" t="s">
        <v>45</v>
      </c>
      <c r="F349" s="13" t="s">
        <v>44</v>
      </c>
      <c r="G349" s="12" t="s">
        <v>68</v>
      </c>
      <c r="H349" s="12" t="s">
        <v>830</v>
      </c>
      <c r="I349" s="12" t="s">
        <v>831</v>
      </c>
      <c r="J349" s="17" t="s">
        <v>4597</v>
      </c>
      <c r="K349" s="17" t="s">
        <v>4600</v>
      </c>
      <c r="L349" s="15" t="s">
        <v>4599</v>
      </c>
      <c r="M349" s="17" t="s">
        <v>428</v>
      </c>
      <c r="O349" s="18" t="s">
        <v>577</v>
      </c>
    </row>
    <row r="350">
      <c r="A350" s="11"/>
      <c r="B350" s="12" t="s">
        <v>7</v>
      </c>
      <c r="C350" s="12" t="s">
        <v>37</v>
      </c>
      <c r="D350" s="12" t="s">
        <v>38</v>
      </c>
      <c r="E350" s="12" t="s">
        <v>45</v>
      </c>
      <c r="F350" s="13" t="s">
        <v>44</v>
      </c>
      <c r="G350" s="12" t="s">
        <v>68</v>
      </c>
      <c r="H350" s="12" t="s">
        <v>830</v>
      </c>
      <c r="I350" s="12" t="s">
        <v>831</v>
      </c>
      <c r="J350" s="17" t="s">
        <v>4597</v>
      </c>
      <c r="K350" s="17" t="s">
        <v>4601</v>
      </c>
      <c r="L350" s="15" t="s">
        <v>4593</v>
      </c>
      <c r="M350" s="17" t="s">
        <v>428</v>
      </c>
      <c r="O350" s="18" t="s">
        <v>577</v>
      </c>
    </row>
    <row r="351">
      <c r="A351" s="11"/>
      <c r="B351" s="12" t="s">
        <v>7</v>
      </c>
      <c r="C351" s="12" t="s">
        <v>37</v>
      </c>
      <c r="D351" s="12" t="s">
        <v>38</v>
      </c>
      <c r="E351" s="12" t="s">
        <v>45</v>
      </c>
      <c r="F351" s="13" t="s">
        <v>44</v>
      </c>
      <c r="G351" s="12" t="s">
        <v>68</v>
      </c>
      <c r="H351" s="12" t="s">
        <v>830</v>
      </c>
      <c r="I351" s="12" t="s">
        <v>831</v>
      </c>
      <c r="J351" s="17" t="s">
        <v>4597</v>
      </c>
      <c r="K351" s="17" t="s">
        <v>4602</v>
      </c>
      <c r="L351" s="15" t="s">
        <v>4593</v>
      </c>
      <c r="M351" s="17" t="s">
        <v>428</v>
      </c>
      <c r="O351" s="18" t="s">
        <v>577</v>
      </c>
    </row>
    <row r="352">
      <c r="A352" s="11"/>
      <c r="B352" s="12" t="s">
        <v>7</v>
      </c>
      <c r="C352" s="12" t="s">
        <v>37</v>
      </c>
      <c r="D352" s="12" t="s">
        <v>38</v>
      </c>
      <c r="E352" s="12" t="s">
        <v>45</v>
      </c>
      <c r="F352" s="13" t="s">
        <v>44</v>
      </c>
      <c r="G352" s="12" t="s">
        <v>68</v>
      </c>
      <c r="H352" s="12" t="s">
        <v>830</v>
      </c>
      <c r="I352" s="12" t="s">
        <v>831</v>
      </c>
      <c r="J352" s="17" t="s">
        <v>4597</v>
      </c>
      <c r="K352" s="17" t="s">
        <v>4603</v>
      </c>
      <c r="L352" s="15" t="s">
        <v>4593</v>
      </c>
      <c r="M352" s="17" t="s">
        <v>428</v>
      </c>
      <c r="O352" s="18" t="s">
        <v>577</v>
      </c>
    </row>
    <row r="353">
      <c r="A353" s="11"/>
      <c r="B353" s="12" t="s">
        <v>7</v>
      </c>
      <c r="C353" s="12" t="s">
        <v>8</v>
      </c>
      <c r="D353" s="12" t="s">
        <v>24</v>
      </c>
      <c r="E353" s="12" t="s">
        <v>25</v>
      </c>
      <c r="F353" s="13" t="s">
        <v>26</v>
      </c>
      <c r="G353" s="12" t="s">
        <v>68</v>
      </c>
      <c r="H353" s="12" t="s">
        <v>994</v>
      </c>
      <c r="I353" s="12" t="s">
        <v>995</v>
      </c>
      <c r="J353" s="17" t="s">
        <v>4591</v>
      </c>
      <c r="K353" s="17" t="s">
        <v>4592</v>
      </c>
      <c r="L353" s="15" t="s">
        <v>4599</v>
      </c>
      <c r="M353" s="17" t="s">
        <v>428</v>
      </c>
      <c r="O353" s="18" t="s">
        <v>577</v>
      </c>
    </row>
    <row r="354">
      <c r="A354" s="11"/>
      <c r="B354" s="12" t="s">
        <v>7</v>
      </c>
      <c r="C354" s="12" t="s">
        <v>8</v>
      </c>
      <c r="D354" s="12" t="s">
        <v>24</v>
      </c>
      <c r="E354" s="12" t="s">
        <v>25</v>
      </c>
      <c r="F354" s="13" t="s">
        <v>26</v>
      </c>
      <c r="G354" s="12" t="s">
        <v>68</v>
      </c>
      <c r="H354" s="12" t="s">
        <v>994</v>
      </c>
      <c r="I354" s="12" t="s">
        <v>995</v>
      </c>
      <c r="J354" s="17" t="s">
        <v>4591</v>
      </c>
      <c r="K354" s="17" t="s">
        <v>4594</v>
      </c>
      <c r="L354" s="15" t="s">
        <v>4599</v>
      </c>
      <c r="M354" s="17" t="s">
        <v>428</v>
      </c>
      <c r="O354" s="18" t="s">
        <v>577</v>
      </c>
    </row>
    <row r="355">
      <c r="A355" s="11"/>
      <c r="B355" s="12" t="s">
        <v>7</v>
      </c>
      <c r="C355" s="12" t="s">
        <v>8</v>
      </c>
      <c r="D355" s="12" t="s">
        <v>24</v>
      </c>
      <c r="E355" s="12" t="s">
        <v>25</v>
      </c>
      <c r="F355" s="13" t="s">
        <v>26</v>
      </c>
      <c r="G355" s="12" t="s">
        <v>68</v>
      </c>
      <c r="H355" s="12" t="s">
        <v>994</v>
      </c>
      <c r="I355" s="12" t="s">
        <v>995</v>
      </c>
      <c r="J355" s="17" t="s">
        <v>4591</v>
      </c>
      <c r="K355" s="17" t="s">
        <v>4595</v>
      </c>
      <c r="L355" s="15" t="s">
        <v>4599</v>
      </c>
      <c r="M355" s="17" t="s">
        <v>428</v>
      </c>
      <c r="O355" s="18" t="s">
        <v>577</v>
      </c>
    </row>
    <row r="356">
      <c r="A356" s="11"/>
      <c r="B356" s="12" t="s">
        <v>7</v>
      </c>
      <c r="C356" s="12" t="s">
        <v>8</v>
      </c>
      <c r="D356" s="12" t="s">
        <v>24</v>
      </c>
      <c r="E356" s="12" t="s">
        <v>25</v>
      </c>
      <c r="F356" s="13" t="s">
        <v>26</v>
      </c>
      <c r="G356" s="12" t="s">
        <v>68</v>
      </c>
      <c r="H356" s="12" t="s">
        <v>994</v>
      </c>
      <c r="I356" s="12" t="s">
        <v>995</v>
      </c>
      <c r="J356" s="17" t="s">
        <v>4591</v>
      </c>
      <c r="K356" s="17" t="s">
        <v>4596</v>
      </c>
      <c r="L356" s="15" t="s">
        <v>4593</v>
      </c>
      <c r="M356" s="17" t="s">
        <v>428</v>
      </c>
      <c r="O356" s="18" t="s">
        <v>577</v>
      </c>
    </row>
    <row r="357">
      <c r="A357" s="11"/>
      <c r="B357" s="12" t="s">
        <v>7</v>
      </c>
      <c r="C357" s="12" t="s">
        <v>8</v>
      </c>
      <c r="D357" s="12" t="s">
        <v>24</v>
      </c>
      <c r="E357" s="12" t="s">
        <v>25</v>
      </c>
      <c r="F357" s="13" t="s">
        <v>26</v>
      </c>
      <c r="G357" s="12" t="s">
        <v>68</v>
      </c>
      <c r="H357" s="12" t="s">
        <v>994</v>
      </c>
      <c r="I357" s="12" t="s">
        <v>995</v>
      </c>
      <c r="J357" s="17" t="s">
        <v>4597</v>
      </c>
      <c r="K357" s="17" t="s">
        <v>4598</v>
      </c>
      <c r="L357" s="15" t="s">
        <v>4599</v>
      </c>
      <c r="M357" s="17" t="s">
        <v>428</v>
      </c>
      <c r="O357" s="18" t="s">
        <v>577</v>
      </c>
    </row>
    <row r="358">
      <c r="A358" s="11"/>
      <c r="B358" s="12" t="s">
        <v>7</v>
      </c>
      <c r="C358" s="12" t="s">
        <v>8</v>
      </c>
      <c r="D358" s="12" t="s">
        <v>24</v>
      </c>
      <c r="E358" s="12" t="s">
        <v>25</v>
      </c>
      <c r="F358" s="13" t="s">
        <v>26</v>
      </c>
      <c r="G358" s="12" t="s">
        <v>68</v>
      </c>
      <c r="H358" s="12" t="s">
        <v>994</v>
      </c>
      <c r="I358" s="12" t="s">
        <v>995</v>
      </c>
      <c r="J358" s="17" t="s">
        <v>4597</v>
      </c>
      <c r="K358" s="17" t="s">
        <v>4600</v>
      </c>
      <c r="L358" s="15" t="s">
        <v>4599</v>
      </c>
      <c r="M358" s="17" t="s">
        <v>428</v>
      </c>
      <c r="O358" s="18" t="s">
        <v>577</v>
      </c>
    </row>
    <row r="359">
      <c r="A359" s="11"/>
      <c r="B359" s="12" t="s">
        <v>7</v>
      </c>
      <c r="C359" s="12" t="s">
        <v>8</v>
      </c>
      <c r="D359" s="12" t="s">
        <v>24</v>
      </c>
      <c r="E359" s="12" t="s">
        <v>25</v>
      </c>
      <c r="F359" s="13" t="s">
        <v>26</v>
      </c>
      <c r="G359" s="12" t="s">
        <v>68</v>
      </c>
      <c r="H359" s="12" t="s">
        <v>994</v>
      </c>
      <c r="I359" s="12" t="s">
        <v>995</v>
      </c>
      <c r="J359" s="17" t="s">
        <v>4597</v>
      </c>
      <c r="K359" s="17" t="s">
        <v>4601</v>
      </c>
      <c r="L359" s="15" t="s">
        <v>4593</v>
      </c>
      <c r="M359" s="17" t="s">
        <v>428</v>
      </c>
      <c r="O359" s="18" t="s">
        <v>577</v>
      </c>
    </row>
    <row r="360">
      <c r="A360" s="11"/>
      <c r="B360" s="12" t="s">
        <v>7</v>
      </c>
      <c r="C360" s="12" t="s">
        <v>8</v>
      </c>
      <c r="D360" s="12" t="s">
        <v>24</v>
      </c>
      <c r="E360" s="12" t="s">
        <v>25</v>
      </c>
      <c r="F360" s="13" t="s">
        <v>26</v>
      </c>
      <c r="G360" s="12" t="s">
        <v>68</v>
      </c>
      <c r="H360" s="12" t="s">
        <v>994</v>
      </c>
      <c r="I360" s="12" t="s">
        <v>995</v>
      </c>
      <c r="J360" s="17" t="s">
        <v>4597</v>
      </c>
      <c r="K360" s="17" t="s">
        <v>4602</v>
      </c>
      <c r="L360" s="15" t="s">
        <v>4593</v>
      </c>
      <c r="M360" s="17" t="s">
        <v>428</v>
      </c>
      <c r="O360" s="18" t="s">
        <v>577</v>
      </c>
    </row>
    <row r="361">
      <c r="A361" s="11"/>
      <c r="B361" s="12" t="s">
        <v>7</v>
      </c>
      <c r="C361" s="12" t="s">
        <v>8</v>
      </c>
      <c r="D361" s="12" t="s">
        <v>24</v>
      </c>
      <c r="E361" s="12" t="s">
        <v>25</v>
      </c>
      <c r="F361" s="13" t="s">
        <v>26</v>
      </c>
      <c r="G361" s="12" t="s">
        <v>68</v>
      </c>
      <c r="H361" s="12" t="s">
        <v>994</v>
      </c>
      <c r="I361" s="12" t="s">
        <v>995</v>
      </c>
      <c r="J361" s="17" t="s">
        <v>4597</v>
      </c>
      <c r="K361" s="17" t="s">
        <v>4603</v>
      </c>
      <c r="L361" s="15" t="s">
        <v>4599</v>
      </c>
      <c r="M361" s="17" t="s">
        <v>428</v>
      </c>
      <c r="O361" s="18" t="s">
        <v>577</v>
      </c>
    </row>
    <row r="362">
      <c r="A362" s="11"/>
      <c r="B362" s="12" t="s">
        <v>7</v>
      </c>
      <c r="C362" s="12" t="s">
        <v>37</v>
      </c>
      <c r="D362" s="12" t="s">
        <v>38</v>
      </c>
      <c r="E362" s="12" t="s">
        <v>38</v>
      </c>
      <c r="F362" s="13" t="s">
        <v>42</v>
      </c>
      <c r="G362" s="12" t="s">
        <v>68</v>
      </c>
      <c r="H362" s="12" t="s">
        <v>584</v>
      </c>
      <c r="I362" s="12" t="s">
        <v>585</v>
      </c>
      <c r="J362" s="17" t="s">
        <v>4591</v>
      </c>
      <c r="K362" s="17" t="s">
        <v>4592</v>
      </c>
      <c r="L362" s="17" t="s">
        <v>4593</v>
      </c>
      <c r="M362" s="17" t="s">
        <v>428</v>
      </c>
      <c r="O362" s="18" t="s">
        <v>588</v>
      </c>
    </row>
    <row r="363">
      <c r="A363" s="11"/>
      <c r="B363" s="12" t="s">
        <v>7</v>
      </c>
      <c r="C363" s="12" t="s">
        <v>37</v>
      </c>
      <c r="D363" s="12" t="s">
        <v>38</v>
      </c>
      <c r="E363" s="12" t="s">
        <v>38</v>
      </c>
      <c r="F363" s="13" t="s">
        <v>42</v>
      </c>
      <c r="G363" s="12" t="s">
        <v>68</v>
      </c>
      <c r="H363" s="12" t="s">
        <v>584</v>
      </c>
      <c r="I363" s="12" t="s">
        <v>585</v>
      </c>
      <c r="J363" s="17" t="s">
        <v>4591</v>
      </c>
      <c r="K363" s="17" t="s">
        <v>4594</v>
      </c>
      <c r="L363" s="17" t="s">
        <v>4604</v>
      </c>
      <c r="M363" s="17" t="s">
        <v>428</v>
      </c>
      <c r="O363" s="18" t="s">
        <v>588</v>
      </c>
    </row>
    <row r="364">
      <c r="A364" s="11"/>
      <c r="B364" s="12" t="s">
        <v>7</v>
      </c>
      <c r="C364" s="12" t="s">
        <v>37</v>
      </c>
      <c r="D364" s="12" t="s">
        <v>38</v>
      </c>
      <c r="E364" s="12" t="s">
        <v>38</v>
      </c>
      <c r="F364" s="13" t="s">
        <v>42</v>
      </c>
      <c r="G364" s="12" t="s">
        <v>68</v>
      </c>
      <c r="H364" s="12" t="s">
        <v>584</v>
      </c>
      <c r="I364" s="12" t="s">
        <v>585</v>
      </c>
      <c r="J364" s="17" t="s">
        <v>4591</v>
      </c>
      <c r="K364" s="17" t="s">
        <v>4595</v>
      </c>
      <c r="L364" s="17" t="s">
        <v>4604</v>
      </c>
      <c r="M364" s="17" t="s">
        <v>428</v>
      </c>
      <c r="O364" s="18" t="s">
        <v>588</v>
      </c>
    </row>
    <row r="365">
      <c r="A365" s="11"/>
      <c r="B365" s="12" t="s">
        <v>7</v>
      </c>
      <c r="C365" s="12" t="s">
        <v>37</v>
      </c>
      <c r="D365" s="12" t="s">
        <v>38</v>
      </c>
      <c r="E365" s="12" t="s">
        <v>38</v>
      </c>
      <c r="F365" s="13" t="s">
        <v>42</v>
      </c>
      <c r="G365" s="12" t="s">
        <v>68</v>
      </c>
      <c r="H365" s="12" t="s">
        <v>584</v>
      </c>
      <c r="I365" s="12" t="s">
        <v>585</v>
      </c>
      <c r="J365" s="17" t="s">
        <v>4591</v>
      </c>
      <c r="K365" s="17" t="s">
        <v>4596</v>
      </c>
      <c r="L365" s="17" t="s">
        <v>4604</v>
      </c>
      <c r="M365" s="17" t="s">
        <v>428</v>
      </c>
      <c r="O365" s="18" t="s">
        <v>588</v>
      </c>
    </row>
    <row r="366">
      <c r="A366" s="11"/>
      <c r="B366" s="12" t="s">
        <v>7</v>
      </c>
      <c r="C366" s="12" t="s">
        <v>37</v>
      </c>
      <c r="D366" s="12" t="s">
        <v>38</v>
      </c>
      <c r="E366" s="12" t="s">
        <v>38</v>
      </c>
      <c r="F366" s="13" t="s">
        <v>42</v>
      </c>
      <c r="G366" s="12" t="s">
        <v>68</v>
      </c>
      <c r="H366" s="12" t="s">
        <v>584</v>
      </c>
      <c r="I366" s="12" t="s">
        <v>585</v>
      </c>
      <c r="J366" s="17" t="s">
        <v>4597</v>
      </c>
      <c r="K366" s="17" t="s">
        <v>4598</v>
      </c>
      <c r="L366" s="17" t="s">
        <v>4604</v>
      </c>
      <c r="M366" s="17" t="s">
        <v>428</v>
      </c>
      <c r="O366" s="18" t="s">
        <v>588</v>
      </c>
    </row>
    <row r="367">
      <c r="A367" s="11"/>
      <c r="B367" s="12" t="s">
        <v>7</v>
      </c>
      <c r="C367" s="12" t="s">
        <v>37</v>
      </c>
      <c r="D367" s="12" t="s">
        <v>38</v>
      </c>
      <c r="E367" s="12" t="s">
        <v>38</v>
      </c>
      <c r="F367" s="13" t="s">
        <v>42</v>
      </c>
      <c r="G367" s="12" t="s">
        <v>68</v>
      </c>
      <c r="H367" s="12" t="s">
        <v>584</v>
      </c>
      <c r="I367" s="12" t="s">
        <v>585</v>
      </c>
      <c r="J367" s="17" t="s">
        <v>4597</v>
      </c>
      <c r="K367" s="17" t="s">
        <v>4600</v>
      </c>
      <c r="L367" s="17" t="s">
        <v>4593</v>
      </c>
      <c r="M367" s="17" t="s">
        <v>428</v>
      </c>
      <c r="O367" s="18" t="s">
        <v>588</v>
      </c>
    </row>
    <row r="368">
      <c r="A368" s="11"/>
      <c r="B368" s="12" t="s">
        <v>7</v>
      </c>
      <c r="C368" s="12" t="s">
        <v>37</v>
      </c>
      <c r="D368" s="12" t="s">
        <v>38</v>
      </c>
      <c r="E368" s="12" t="s">
        <v>38</v>
      </c>
      <c r="F368" s="13" t="s">
        <v>42</v>
      </c>
      <c r="G368" s="12" t="s">
        <v>68</v>
      </c>
      <c r="H368" s="12" t="s">
        <v>584</v>
      </c>
      <c r="I368" s="12" t="s">
        <v>585</v>
      </c>
      <c r="J368" s="17" t="s">
        <v>4597</v>
      </c>
      <c r="K368" s="17" t="s">
        <v>4601</v>
      </c>
      <c r="L368" s="17" t="s">
        <v>4593</v>
      </c>
      <c r="M368" s="17" t="s">
        <v>428</v>
      </c>
      <c r="O368" s="18" t="s">
        <v>588</v>
      </c>
    </row>
    <row r="369">
      <c r="A369" s="11"/>
      <c r="B369" s="23"/>
      <c r="C369" s="23"/>
      <c r="D369" s="23"/>
      <c r="E369" s="23"/>
      <c r="F369" s="13" t="s">
        <v>42</v>
      </c>
      <c r="G369" s="23"/>
      <c r="H369" s="23"/>
      <c r="I369" s="23"/>
      <c r="J369" s="17" t="s">
        <v>4597</v>
      </c>
      <c r="K369" s="17" t="s">
        <v>4602</v>
      </c>
      <c r="L369" s="17" t="s">
        <v>4593</v>
      </c>
      <c r="M369" s="17" t="s">
        <v>428</v>
      </c>
      <c r="O369" s="18" t="s">
        <v>588</v>
      </c>
    </row>
    <row r="370">
      <c r="A370" s="11"/>
      <c r="B370" s="12" t="s">
        <v>7</v>
      </c>
      <c r="C370" s="12" t="s">
        <v>37</v>
      </c>
      <c r="D370" s="12" t="s">
        <v>38</v>
      </c>
      <c r="E370" s="12" t="s">
        <v>38</v>
      </c>
      <c r="F370" s="13" t="s">
        <v>42</v>
      </c>
      <c r="G370" s="12" t="s">
        <v>68</v>
      </c>
      <c r="H370" s="12" t="s">
        <v>584</v>
      </c>
      <c r="I370" s="12" t="s">
        <v>585</v>
      </c>
      <c r="J370" s="17" t="s">
        <v>4597</v>
      </c>
      <c r="K370" s="17" t="s">
        <v>4603</v>
      </c>
      <c r="L370" s="17" t="s">
        <v>4599</v>
      </c>
      <c r="M370" s="17" t="s">
        <v>428</v>
      </c>
      <c r="O370" s="18" t="s">
        <v>588</v>
      </c>
    </row>
    <row r="371">
      <c r="A371" s="11"/>
      <c r="B371" s="12" t="s">
        <v>7</v>
      </c>
      <c r="C371" s="12" t="s">
        <v>37</v>
      </c>
      <c r="D371" s="12" t="s">
        <v>38</v>
      </c>
      <c r="E371" s="12" t="s">
        <v>41</v>
      </c>
      <c r="F371" s="13" t="s">
        <v>39</v>
      </c>
      <c r="G371" s="12" t="s">
        <v>68</v>
      </c>
      <c r="H371" s="12" t="s">
        <v>902</v>
      </c>
      <c r="I371" s="12" t="s">
        <v>903</v>
      </c>
      <c r="J371" s="17" t="s">
        <v>4591</v>
      </c>
      <c r="K371" s="17" t="s">
        <v>4592</v>
      </c>
      <c r="L371" s="17" t="s">
        <v>4593</v>
      </c>
      <c r="M371" s="17" t="s">
        <v>428</v>
      </c>
      <c r="O371" s="18" t="s">
        <v>588</v>
      </c>
    </row>
    <row r="372">
      <c r="A372" s="11"/>
      <c r="B372" s="12" t="s">
        <v>7</v>
      </c>
      <c r="C372" s="12" t="s">
        <v>37</v>
      </c>
      <c r="D372" s="12" t="s">
        <v>38</v>
      </c>
      <c r="E372" s="12" t="s">
        <v>41</v>
      </c>
      <c r="F372" s="13" t="s">
        <v>39</v>
      </c>
      <c r="G372" s="12" t="s">
        <v>68</v>
      </c>
      <c r="H372" s="12" t="s">
        <v>902</v>
      </c>
      <c r="I372" s="12" t="s">
        <v>903</v>
      </c>
      <c r="J372" s="17" t="s">
        <v>4591</v>
      </c>
      <c r="K372" s="17" t="s">
        <v>4594</v>
      </c>
      <c r="L372" s="17" t="s">
        <v>4593</v>
      </c>
      <c r="M372" s="17" t="s">
        <v>428</v>
      </c>
      <c r="O372" s="18" t="s">
        <v>588</v>
      </c>
    </row>
    <row r="373">
      <c r="A373" s="11"/>
      <c r="B373" s="12" t="s">
        <v>7</v>
      </c>
      <c r="C373" s="12" t="s">
        <v>37</v>
      </c>
      <c r="D373" s="12" t="s">
        <v>38</v>
      </c>
      <c r="E373" s="12" t="s">
        <v>41</v>
      </c>
      <c r="F373" s="13" t="s">
        <v>39</v>
      </c>
      <c r="G373" s="12" t="s">
        <v>68</v>
      </c>
      <c r="H373" s="12" t="s">
        <v>902</v>
      </c>
      <c r="I373" s="12" t="s">
        <v>903</v>
      </c>
      <c r="J373" s="17" t="s">
        <v>4591</v>
      </c>
      <c r="K373" s="17" t="s">
        <v>4595</v>
      </c>
      <c r="L373" s="17" t="s">
        <v>4599</v>
      </c>
      <c r="M373" s="17" t="s">
        <v>428</v>
      </c>
      <c r="O373" s="18" t="s">
        <v>588</v>
      </c>
    </row>
    <row r="374">
      <c r="A374" s="11"/>
      <c r="B374" s="12" t="s">
        <v>7</v>
      </c>
      <c r="C374" s="12" t="s">
        <v>37</v>
      </c>
      <c r="D374" s="12" t="s">
        <v>38</v>
      </c>
      <c r="E374" s="12" t="s">
        <v>41</v>
      </c>
      <c r="F374" s="13" t="s">
        <v>39</v>
      </c>
      <c r="G374" s="12" t="s">
        <v>68</v>
      </c>
      <c r="H374" s="12" t="s">
        <v>902</v>
      </c>
      <c r="I374" s="12" t="s">
        <v>903</v>
      </c>
      <c r="J374" s="17" t="s">
        <v>4591</v>
      </c>
      <c r="K374" s="17" t="s">
        <v>4596</v>
      </c>
      <c r="L374" s="17" t="s">
        <v>4593</v>
      </c>
      <c r="M374" s="17" t="s">
        <v>428</v>
      </c>
      <c r="O374" s="18" t="s">
        <v>588</v>
      </c>
    </row>
    <row r="375">
      <c r="A375" s="11"/>
      <c r="B375" s="12" t="s">
        <v>7</v>
      </c>
      <c r="C375" s="12" t="s">
        <v>37</v>
      </c>
      <c r="D375" s="12" t="s">
        <v>38</v>
      </c>
      <c r="E375" s="12" t="s">
        <v>41</v>
      </c>
      <c r="F375" s="13" t="s">
        <v>39</v>
      </c>
      <c r="G375" s="12" t="s">
        <v>68</v>
      </c>
      <c r="H375" s="12" t="s">
        <v>902</v>
      </c>
      <c r="I375" s="12" t="s">
        <v>903</v>
      </c>
      <c r="J375" s="17" t="s">
        <v>4597</v>
      </c>
      <c r="K375" s="17" t="s">
        <v>4598</v>
      </c>
      <c r="L375" s="17" t="s">
        <v>4599</v>
      </c>
      <c r="M375" s="17" t="s">
        <v>428</v>
      </c>
      <c r="O375" s="18" t="s">
        <v>588</v>
      </c>
    </row>
    <row r="376">
      <c r="A376" s="11"/>
      <c r="B376" s="12" t="s">
        <v>7</v>
      </c>
      <c r="C376" s="12" t="s">
        <v>37</v>
      </c>
      <c r="D376" s="12" t="s">
        <v>38</v>
      </c>
      <c r="E376" s="12" t="s">
        <v>41</v>
      </c>
      <c r="F376" s="13" t="s">
        <v>39</v>
      </c>
      <c r="G376" s="12" t="s">
        <v>68</v>
      </c>
      <c r="H376" s="12" t="s">
        <v>902</v>
      </c>
      <c r="I376" s="12" t="s">
        <v>903</v>
      </c>
      <c r="J376" s="17" t="s">
        <v>4597</v>
      </c>
      <c r="K376" s="17" t="s">
        <v>4600</v>
      </c>
      <c r="L376" s="17" t="s">
        <v>4599</v>
      </c>
      <c r="M376" s="17" t="s">
        <v>428</v>
      </c>
      <c r="O376" s="18" t="s">
        <v>588</v>
      </c>
    </row>
    <row r="377">
      <c r="A377" s="11"/>
      <c r="B377" s="12" t="s">
        <v>7</v>
      </c>
      <c r="C377" s="12" t="s">
        <v>37</v>
      </c>
      <c r="D377" s="12" t="s">
        <v>38</v>
      </c>
      <c r="E377" s="12" t="s">
        <v>41</v>
      </c>
      <c r="F377" s="13" t="s">
        <v>39</v>
      </c>
      <c r="G377" s="12" t="s">
        <v>68</v>
      </c>
      <c r="H377" s="12" t="s">
        <v>902</v>
      </c>
      <c r="I377" s="12" t="s">
        <v>903</v>
      </c>
      <c r="J377" s="17" t="s">
        <v>4597</v>
      </c>
      <c r="K377" s="17" t="s">
        <v>4601</v>
      </c>
      <c r="L377" s="17" t="s">
        <v>4599</v>
      </c>
      <c r="M377" s="17" t="s">
        <v>428</v>
      </c>
      <c r="O377" s="18" t="s">
        <v>588</v>
      </c>
    </row>
    <row r="378">
      <c r="A378" s="11"/>
      <c r="B378" s="12" t="s">
        <v>7</v>
      </c>
      <c r="C378" s="12" t="s">
        <v>37</v>
      </c>
      <c r="D378" s="12" t="s">
        <v>38</v>
      </c>
      <c r="E378" s="12" t="s">
        <v>41</v>
      </c>
      <c r="F378" s="13" t="s">
        <v>39</v>
      </c>
      <c r="G378" s="12" t="s">
        <v>68</v>
      </c>
      <c r="H378" s="12" t="s">
        <v>902</v>
      </c>
      <c r="I378" s="12" t="s">
        <v>903</v>
      </c>
      <c r="J378" s="17" t="s">
        <v>4597</v>
      </c>
      <c r="K378" s="17" t="s">
        <v>4602</v>
      </c>
      <c r="L378" s="17" t="s">
        <v>4605</v>
      </c>
      <c r="M378" s="17" t="s">
        <v>428</v>
      </c>
      <c r="O378" s="18" t="s">
        <v>588</v>
      </c>
    </row>
    <row r="379">
      <c r="A379" s="11"/>
      <c r="B379" s="12" t="s">
        <v>7</v>
      </c>
      <c r="C379" s="12" t="s">
        <v>37</v>
      </c>
      <c r="D379" s="12" t="s">
        <v>38</v>
      </c>
      <c r="E379" s="12" t="s">
        <v>41</v>
      </c>
      <c r="F379" s="13" t="s">
        <v>39</v>
      </c>
      <c r="G379" s="12" t="s">
        <v>68</v>
      </c>
      <c r="H379" s="12" t="s">
        <v>902</v>
      </c>
      <c r="I379" s="12" t="s">
        <v>903</v>
      </c>
      <c r="J379" s="17" t="s">
        <v>4597</v>
      </c>
      <c r="K379" s="17" t="s">
        <v>4603</v>
      </c>
      <c r="L379" s="17" t="s">
        <v>4599</v>
      </c>
      <c r="M379" s="17" t="s">
        <v>428</v>
      </c>
      <c r="O379" s="18" t="s">
        <v>588</v>
      </c>
    </row>
    <row r="380">
      <c r="A380" s="11"/>
      <c r="B380" s="12" t="s">
        <v>22</v>
      </c>
      <c r="C380" s="12" t="s">
        <v>22</v>
      </c>
      <c r="D380" s="12" t="s">
        <v>22</v>
      </c>
      <c r="E380" s="12" t="s">
        <v>624</v>
      </c>
      <c r="F380" s="13" t="s">
        <v>625</v>
      </c>
      <c r="G380" s="12" t="s">
        <v>68</v>
      </c>
      <c r="H380" s="12" t="s">
        <v>626</v>
      </c>
      <c r="I380" s="12" t="s">
        <v>627</v>
      </c>
      <c r="J380" s="17" t="s">
        <v>4591</v>
      </c>
      <c r="K380" s="17" t="s">
        <v>4592</v>
      </c>
      <c r="L380" s="17" t="s">
        <v>4593</v>
      </c>
      <c r="M380" s="17" t="s">
        <v>428</v>
      </c>
      <c r="O380" s="18" t="s">
        <v>588</v>
      </c>
    </row>
    <row r="381">
      <c r="A381" s="11"/>
      <c r="B381" s="12" t="s">
        <v>22</v>
      </c>
      <c r="C381" s="12" t="s">
        <v>22</v>
      </c>
      <c r="D381" s="12" t="s">
        <v>22</v>
      </c>
      <c r="E381" s="12" t="s">
        <v>624</v>
      </c>
      <c r="F381" s="13" t="s">
        <v>625</v>
      </c>
      <c r="G381" s="12" t="s">
        <v>68</v>
      </c>
      <c r="H381" s="12" t="s">
        <v>626</v>
      </c>
      <c r="I381" s="12" t="s">
        <v>627</v>
      </c>
      <c r="J381" s="17" t="s">
        <v>4591</v>
      </c>
      <c r="K381" s="17" t="s">
        <v>4594</v>
      </c>
      <c r="L381" s="17" t="s">
        <v>4604</v>
      </c>
      <c r="M381" s="17" t="s">
        <v>428</v>
      </c>
      <c r="O381" s="18" t="s">
        <v>588</v>
      </c>
    </row>
    <row r="382">
      <c r="A382" s="11"/>
      <c r="B382" s="12" t="s">
        <v>22</v>
      </c>
      <c r="C382" s="12" t="s">
        <v>22</v>
      </c>
      <c r="D382" s="12" t="s">
        <v>22</v>
      </c>
      <c r="E382" s="12" t="s">
        <v>624</v>
      </c>
      <c r="F382" s="13" t="s">
        <v>625</v>
      </c>
      <c r="G382" s="12" t="s">
        <v>68</v>
      </c>
      <c r="H382" s="12" t="s">
        <v>626</v>
      </c>
      <c r="I382" s="12" t="s">
        <v>627</v>
      </c>
      <c r="J382" s="17" t="s">
        <v>4591</v>
      </c>
      <c r="K382" s="17" t="s">
        <v>4595</v>
      </c>
      <c r="L382" s="17" t="s">
        <v>4604</v>
      </c>
      <c r="M382" s="17" t="s">
        <v>428</v>
      </c>
      <c r="O382" s="18" t="s">
        <v>588</v>
      </c>
    </row>
    <row r="383">
      <c r="A383" s="11"/>
      <c r="B383" s="12" t="s">
        <v>22</v>
      </c>
      <c r="C383" s="12" t="s">
        <v>22</v>
      </c>
      <c r="D383" s="12" t="s">
        <v>22</v>
      </c>
      <c r="E383" s="12" t="s">
        <v>624</v>
      </c>
      <c r="F383" s="13" t="s">
        <v>625</v>
      </c>
      <c r="G383" s="12" t="s">
        <v>68</v>
      </c>
      <c r="H383" s="12" t="s">
        <v>626</v>
      </c>
      <c r="I383" s="12" t="s">
        <v>627</v>
      </c>
      <c r="J383" s="17" t="s">
        <v>4591</v>
      </c>
      <c r="K383" s="17" t="s">
        <v>4596</v>
      </c>
      <c r="L383" s="17" t="s">
        <v>4604</v>
      </c>
      <c r="M383" s="17" t="s">
        <v>428</v>
      </c>
      <c r="O383" s="18" t="s">
        <v>588</v>
      </c>
    </row>
    <row r="384">
      <c r="A384" s="11"/>
      <c r="B384" s="12" t="s">
        <v>22</v>
      </c>
      <c r="C384" s="12" t="s">
        <v>22</v>
      </c>
      <c r="D384" s="12" t="s">
        <v>22</v>
      </c>
      <c r="E384" s="12" t="s">
        <v>624</v>
      </c>
      <c r="F384" s="13" t="s">
        <v>625</v>
      </c>
      <c r="G384" s="12" t="s">
        <v>68</v>
      </c>
      <c r="H384" s="12" t="s">
        <v>626</v>
      </c>
      <c r="I384" s="12" t="s">
        <v>627</v>
      </c>
      <c r="J384" s="17" t="s">
        <v>4597</v>
      </c>
      <c r="K384" s="17" t="s">
        <v>4598</v>
      </c>
      <c r="L384" s="17" t="s">
        <v>4593</v>
      </c>
      <c r="M384" s="17" t="s">
        <v>428</v>
      </c>
      <c r="O384" s="18" t="s">
        <v>588</v>
      </c>
    </row>
    <row r="385">
      <c r="A385" s="11"/>
      <c r="B385" s="12" t="s">
        <v>22</v>
      </c>
      <c r="C385" s="12" t="s">
        <v>22</v>
      </c>
      <c r="D385" s="12" t="s">
        <v>22</v>
      </c>
      <c r="E385" s="12" t="s">
        <v>624</v>
      </c>
      <c r="F385" s="13" t="s">
        <v>625</v>
      </c>
      <c r="G385" s="12" t="s">
        <v>68</v>
      </c>
      <c r="H385" s="12" t="s">
        <v>626</v>
      </c>
      <c r="I385" s="12" t="s">
        <v>627</v>
      </c>
      <c r="J385" s="17" t="s">
        <v>4597</v>
      </c>
      <c r="K385" s="17" t="s">
        <v>4600</v>
      </c>
      <c r="L385" s="17" t="s">
        <v>4593</v>
      </c>
      <c r="M385" s="17" t="s">
        <v>428</v>
      </c>
      <c r="O385" s="18" t="s">
        <v>588</v>
      </c>
    </row>
    <row r="386">
      <c r="A386" s="11"/>
      <c r="B386" s="12" t="s">
        <v>22</v>
      </c>
      <c r="C386" s="12" t="s">
        <v>22</v>
      </c>
      <c r="D386" s="12" t="s">
        <v>22</v>
      </c>
      <c r="E386" s="12" t="s">
        <v>624</v>
      </c>
      <c r="F386" s="13" t="s">
        <v>625</v>
      </c>
      <c r="G386" s="12" t="s">
        <v>68</v>
      </c>
      <c r="H386" s="12" t="s">
        <v>626</v>
      </c>
      <c r="I386" s="12" t="s">
        <v>627</v>
      </c>
      <c r="J386" s="17" t="s">
        <v>4597</v>
      </c>
      <c r="K386" s="17" t="s">
        <v>4601</v>
      </c>
      <c r="L386" s="17" t="s">
        <v>4593</v>
      </c>
      <c r="M386" s="17" t="s">
        <v>428</v>
      </c>
      <c r="O386" s="18" t="s">
        <v>588</v>
      </c>
    </row>
    <row r="387">
      <c r="A387" s="11"/>
      <c r="B387" s="12" t="s">
        <v>22</v>
      </c>
      <c r="C387" s="12" t="s">
        <v>22</v>
      </c>
      <c r="D387" s="12" t="s">
        <v>22</v>
      </c>
      <c r="E387" s="12" t="s">
        <v>624</v>
      </c>
      <c r="F387" s="13" t="s">
        <v>625</v>
      </c>
      <c r="G387" s="12" t="s">
        <v>68</v>
      </c>
      <c r="H387" s="12" t="s">
        <v>626</v>
      </c>
      <c r="I387" s="12" t="s">
        <v>627</v>
      </c>
      <c r="J387" s="17" t="s">
        <v>4597</v>
      </c>
      <c r="K387" s="17" t="s">
        <v>4602</v>
      </c>
      <c r="L387" s="17" t="s">
        <v>4593</v>
      </c>
      <c r="M387" s="17" t="s">
        <v>428</v>
      </c>
      <c r="O387" s="18" t="s">
        <v>588</v>
      </c>
    </row>
    <row r="388">
      <c r="A388" s="11"/>
      <c r="B388" s="12" t="s">
        <v>22</v>
      </c>
      <c r="C388" s="12" t="s">
        <v>22</v>
      </c>
      <c r="D388" s="12" t="s">
        <v>22</v>
      </c>
      <c r="E388" s="12" t="s">
        <v>624</v>
      </c>
      <c r="F388" s="13" t="s">
        <v>625</v>
      </c>
      <c r="G388" s="12" t="s">
        <v>68</v>
      </c>
      <c r="H388" s="12" t="s">
        <v>626</v>
      </c>
      <c r="I388" s="12" t="s">
        <v>627</v>
      </c>
      <c r="J388" s="17" t="s">
        <v>4597</v>
      </c>
      <c r="K388" s="17" t="s">
        <v>4603</v>
      </c>
      <c r="L388" s="17" t="s">
        <v>4593</v>
      </c>
      <c r="M388" s="17" t="s">
        <v>428</v>
      </c>
      <c r="O388" s="18" t="s">
        <v>588</v>
      </c>
    </row>
    <row r="389">
      <c r="A389" s="11"/>
      <c r="B389" s="12" t="s">
        <v>22</v>
      </c>
      <c r="C389" s="12" t="s">
        <v>22</v>
      </c>
      <c r="D389" s="12" t="s">
        <v>22</v>
      </c>
      <c r="E389" s="12" t="s">
        <v>593</v>
      </c>
      <c r="F389" s="13" t="s">
        <v>594</v>
      </c>
      <c r="G389" s="12" t="s">
        <v>68</v>
      </c>
      <c r="H389" s="12" t="s">
        <v>595</v>
      </c>
      <c r="I389" s="12" t="s">
        <v>596</v>
      </c>
      <c r="J389" s="17" t="s">
        <v>4591</v>
      </c>
      <c r="K389" s="17" t="s">
        <v>4592</v>
      </c>
      <c r="L389" s="17" t="s">
        <v>4593</v>
      </c>
      <c r="M389" s="17" t="s">
        <v>428</v>
      </c>
      <c r="O389" s="18" t="s">
        <v>588</v>
      </c>
    </row>
    <row r="390">
      <c r="A390" s="11"/>
      <c r="B390" s="12" t="s">
        <v>22</v>
      </c>
      <c r="C390" s="12" t="s">
        <v>22</v>
      </c>
      <c r="D390" s="12" t="s">
        <v>22</v>
      </c>
      <c r="E390" s="12" t="s">
        <v>593</v>
      </c>
      <c r="F390" s="13" t="s">
        <v>594</v>
      </c>
      <c r="G390" s="12" t="s">
        <v>68</v>
      </c>
      <c r="H390" s="12" t="s">
        <v>595</v>
      </c>
      <c r="I390" s="12" t="s">
        <v>596</v>
      </c>
      <c r="J390" s="17" t="s">
        <v>4591</v>
      </c>
      <c r="K390" s="17" t="s">
        <v>4594</v>
      </c>
      <c r="L390" s="17" t="s">
        <v>4593</v>
      </c>
      <c r="M390" s="17" t="s">
        <v>428</v>
      </c>
      <c r="O390" s="18" t="s">
        <v>588</v>
      </c>
    </row>
    <row r="391">
      <c r="A391" s="11"/>
      <c r="B391" s="12" t="s">
        <v>22</v>
      </c>
      <c r="C391" s="12" t="s">
        <v>22</v>
      </c>
      <c r="D391" s="12" t="s">
        <v>22</v>
      </c>
      <c r="E391" s="12" t="s">
        <v>593</v>
      </c>
      <c r="F391" s="13" t="s">
        <v>594</v>
      </c>
      <c r="G391" s="12" t="s">
        <v>68</v>
      </c>
      <c r="H391" s="12" t="s">
        <v>595</v>
      </c>
      <c r="I391" s="12" t="s">
        <v>596</v>
      </c>
      <c r="J391" s="17" t="s">
        <v>4591</v>
      </c>
      <c r="K391" s="17" t="s">
        <v>4595</v>
      </c>
      <c r="L391" s="17" t="s">
        <v>4593</v>
      </c>
      <c r="M391" s="17" t="s">
        <v>428</v>
      </c>
      <c r="O391" s="18" t="s">
        <v>588</v>
      </c>
    </row>
    <row r="392">
      <c r="A392" s="11"/>
      <c r="B392" s="12" t="s">
        <v>22</v>
      </c>
      <c r="C392" s="12" t="s">
        <v>22</v>
      </c>
      <c r="D392" s="12" t="s">
        <v>22</v>
      </c>
      <c r="E392" s="12" t="s">
        <v>593</v>
      </c>
      <c r="F392" s="13" t="s">
        <v>594</v>
      </c>
      <c r="G392" s="12" t="s">
        <v>68</v>
      </c>
      <c r="H392" s="12" t="s">
        <v>595</v>
      </c>
      <c r="I392" s="12" t="s">
        <v>596</v>
      </c>
      <c r="J392" s="17" t="s">
        <v>4591</v>
      </c>
      <c r="K392" s="17" t="s">
        <v>4596</v>
      </c>
      <c r="L392" s="17" t="s">
        <v>4593</v>
      </c>
      <c r="M392" s="17" t="s">
        <v>428</v>
      </c>
      <c r="O392" s="18" t="s">
        <v>588</v>
      </c>
    </row>
    <row r="393">
      <c r="A393" s="11"/>
      <c r="B393" s="12" t="s">
        <v>22</v>
      </c>
      <c r="C393" s="12" t="s">
        <v>22</v>
      </c>
      <c r="D393" s="12" t="s">
        <v>22</v>
      </c>
      <c r="E393" s="12" t="s">
        <v>593</v>
      </c>
      <c r="F393" s="13" t="s">
        <v>594</v>
      </c>
      <c r="G393" s="12" t="s">
        <v>68</v>
      </c>
      <c r="H393" s="12" t="s">
        <v>595</v>
      </c>
      <c r="I393" s="12" t="s">
        <v>596</v>
      </c>
      <c r="J393" s="17" t="s">
        <v>4597</v>
      </c>
      <c r="K393" s="17" t="s">
        <v>4598</v>
      </c>
      <c r="L393" s="17" t="s">
        <v>4593</v>
      </c>
      <c r="M393" s="17" t="s">
        <v>428</v>
      </c>
      <c r="O393" s="18" t="s">
        <v>588</v>
      </c>
    </row>
    <row r="394">
      <c r="A394" s="11"/>
      <c r="B394" s="12" t="s">
        <v>22</v>
      </c>
      <c r="C394" s="12" t="s">
        <v>22</v>
      </c>
      <c r="D394" s="12" t="s">
        <v>22</v>
      </c>
      <c r="E394" s="12" t="s">
        <v>593</v>
      </c>
      <c r="F394" s="13" t="s">
        <v>594</v>
      </c>
      <c r="G394" s="12" t="s">
        <v>68</v>
      </c>
      <c r="H394" s="12" t="s">
        <v>595</v>
      </c>
      <c r="I394" s="12" t="s">
        <v>596</v>
      </c>
      <c r="J394" s="17" t="s">
        <v>4597</v>
      </c>
      <c r="K394" s="17" t="s">
        <v>4600</v>
      </c>
      <c r="L394" s="17" t="s">
        <v>4593</v>
      </c>
      <c r="M394" s="17" t="s">
        <v>428</v>
      </c>
      <c r="O394" s="18" t="s">
        <v>588</v>
      </c>
    </row>
    <row r="395">
      <c r="A395" s="11"/>
      <c r="B395" s="12" t="s">
        <v>22</v>
      </c>
      <c r="C395" s="12" t="s">
        <v>22</v>
      </c>
      <c r="D395" s="12" t="s">
        <v>22</v>
      </c>
      <c r="E395" s="12" t="s">
        <v>593</v>
      </c>
      <c r="F395" s="13" t="s">
        <v>594</v>
      </c>
      <c r="G395" s="12" t="s">
        <v>68</v>
      </c>
      <c r="H395" s="12" t="s">
        <v>595</v>
      </c>
      <c r="I395" s="12" t="s">
        <v>596</v>
      </c>
      <c r="J395" s="17" t="s">
        <v>4597</v>
      </c>
      <c r="K395" s="17" t="s">
        <v>4601</v>
      </c>
      <c r="L395" s="17" t="s">
        <v>4593</v>
      </c>
      <c r="M395" s="17" t="s">
        <v>428</v>
      </c>
      <c r="O395" s="18" t="s">
        <v>588</v>
      </c>
    </row>
    <row r="396">
      <c r="A396" s="11"/>
      <c r="B396" s="12" t="s">
        <v>22</v>
      </c>
      <c r="C396" s="12" t="s">
        <v>22</v>
      </c>
      <c r="D396" s="12" t="s">
        <v>22</v>
      </c>
      <c r="E396" s="12" t="s">
        <v>593</v>
      </c>
      <c r="F396" s="13" t="s">
        <v>594</v>
      </c>
      <c r="G396" s="12" t="s">
        <v>68</v>
      </c>
      <c r="H396" s="12" t="s">
        <v>595</v>
      </c>
      <c r="I396" s="12" t="s">
        <v>596</v>
      </c>
      <c r="J396" s="17" t="s">
        <v>4597</v>
      </c>
      <c r="K396" s="17" t="s">
        <v>4602</v>
      </c>
      <c r="L396" s="17" t="s">
        <v>4593</v>
      </c>
      <c r="M396" s="17" t="s">
        <v>428</v>
      </c>
      <c r="O396" s="18" t="s">
        <v>588</v>
      </c>
    </row>
    <row r="397">
      <c r="A397" s="11"/>
      <c r="B397" s="12" t="s">
        <v>22</v>
      </c>
      <c r="C397" s="12" t="s">
        <v>22</v>
      </c>
      <c r="D397" s="12" t="s">
        <v>22</v>
      </c>
      <c r="E397" s="12" t="s">
        <v>593</v>
      </c>
      <c r="F397" s="13" t="s">
        <v>594</v>
      </c>
      <c r="G397" s="12" t="s">
        <v>68</v>
      </c>
      <c r="H397" s="12" t="s">
        <v>595</v>
      </c>
      <c r="I397" s="12" t="s">
        <v>596</v>
      </c>
      <c r="J397" s="17" t="s">
        <v>4597</v>
      </c>
      <c r="K397" s="17" t="s">
        <v>4603</v>
      </c>
      <c r="L397" s="17" t="s">
        <v>4593</v>
      </c>
      <c r="M397" s="17" t="s">
        <v>428</v>
      </c>
      <c r="O397" s="18" t="s">
        <v>588</v>
      </c>
    </row>
    <row r="398">
      <c r="A398" s="11"/>
      <c r="B398" s="12" t="s">
        <v>7</v>
      </c>
      <c r="C398" s="12" t="s">
        <v>8</v>
      </c>
      <c r="D398" s="12" t="s">
        <v>15</v>
      </c>
      <c r="E398" s="12" t="s">
        <v>17</v>
      </c>
      <c r="F398" s="13" t="s">
        <v>18</v>
      </c>
      <c r="G398" s="12" t="s">
        <v>68</v>
      </c>
      <c r="H398" s="12" t="s">
        <v>954</v>
      </c>
      <c r="I398" s="12" t="s">
        <v>955</v>
      </c>
      <c r="J398" s="17" t="s">
        <v>4591</v>
      </c>
      <c r="K398" s="17" t="s">
        <v>4592</v>
      </c>
      <c r="L398" s="17" t="s">
        <v>4593</v>
      </c>
      <c r="M398" s="17" t="s">
        <v>428</v>
      </c>
      <c r="O398" s="18" t="s">
        <v>915</v>
      </c>
    </row>
    <row r="399">
      <c r="A399" s="11"/>
      <c r="B399" s="12" t="s">
        <v>7</v>
      </c>
      <c r="C399" s="12" t="s">
        <v>8</v>
      </c>
      <c r="D399" s="12" t="s">
        <v>15</v>
      </c>
      <c r="E399" s="12" t="s">
        <v>17</v>
      </c>
      <c r="F399" s="13" t="s">
        <v>18</v>
      </c>
      <c r="G399" s="12" t="s">
        <v>68</v>
      </c>
      <c r="H399" s="12" t="s">
        <v>954</v>
      </c>
      <c r="I399" s="12" t="s">
        <v>955</v>
      </c>
      <c r="J399" s="17" t="s">
        <v>4591</v>
      </c>
      <c r="K399" s="17" t="s">
        <v>4594</v>
      </c>
      <c r="L399" s="17" t="s">
        <v>4599</v>
      </c>
      <c r="M399" s="17" t="s">
        <v>428</v>
      </c>
      <c r="O399" s="18" t="s">
        <v>915</v>
      </c>
    </row>
    <row r="400">
      <c r="A400" s="11"/>
      <c r="B400" s="12" t="s">
        <v>7</v>
      </c>
      <c r="C400" s="12" t="s">
        <v>8</v>
      </c>
      <c r="D400" s="12" t="s">
        <v>15</v>
      </c>
      <c r="E400" s="12" t="s">
        <v>17</v>
      </c>
      <c r="F400" s="13" t="s">
        <v>18</v>
      </c>
      <c r="G400" s="12" t="s">
        <v>68</v>
      </c>
      <c r="H400" s="12" t="s">
        <v>954</v>
      </c>
      <c r="I400" s="12" t="s">
        <v>955</v>
      </c>
      <c r="J400" s="17" t="s">
        <v>4591</v>
      </c>
      <c r="K400" s="17" t="s">
        <v>4595</v>
      </c>
      <c r="L400" s="17" t="s">
        <v>4593</v>
      </c>
      <c r="M400" s="17" t="s">
        <v>428</v>
      </c>
      <c r="O400" s="18" t="s">
        <v>915</v>
      </c>
    </row>
    <row r="401">
      <c r="A401" s="11"/>
      <c r="B401" s="12" t="s">
        <v>7</v>
      </c>
      <c r="C401" s="12" t="s">
        <v>8</v>
      </c>
      <c r="D401" s="12" t="s">
        <v>15</v>
      </c>
      <c r="E401" s="12" t="s">
        <v>17</v>
      </c>
      <c r="F401" s="13" t="s">
        <v>18</v>
      </c>
      <c r="G401" s="12" t="s">
        <v>68</v>
      </c>
      <c r="H401" s="12" t="s">
        <v>954</v>
      </c>
      <c r="I401" s="12" t="s">
        <v>955</v>
      </c>
      <c r="J401" s="17" t="s">
        <v>4591</v>
      </c>
      <c r="K401" s="17" t="s">
        <v>4596</v>
      </c>
      <c r="L401" s="17" t="s">
        <v>4593</v>
      </c>
      <c r="M401" s="17" t="s">
        <v>428</v>
      </c>
      <c r="O401" s="18" t="s">
        <v>915</v>
      </c>
    </row>
    <row r="402">
      <c r="A402" s="11"/>
      <c r="B402" s="12" t="s">
        <v>7</v>
      </c>
      <c r="C402" s="12" t="s">
        <v>8</v>
      </c>
      <c r="D402" s="12" t="s">
        <v>15</v>
      </c>
      <c r="E402" s="12" t="s">
        <v>17</v>
      </c>
      <c r="F402" s="13" t="s">
        <v>18</v>
      </c>
      <c r="G402" s="12" t="s">
        <v>68</v>
      </c>
      <c r="H402" s="12" t="s">
        <v>954</v>
      </c>
      <c r="I402" s="12" t="s">
        <v>955</v>
      </c>
      <c r="J402" s="17" t="s">
        <v>4597</v>
      </c>
      <c r="K402" s="17" t="s">
        <v>4598</v>
      </c>
      <c r="L402" s="17" t="s">
        <v>4599</v>
      </c>
      <c r="M402" s="17" t="s">
        <v>428</v>
      </c>
      <c r="O402" s="18" t="s">
        <v>915</v>
      </c>
    </row>
    <row r="403">
      <c r="A403" s="11"/>
      <c r="B403" s="12" t="s">
        <v>7</v>
      </c>
      <c r="C403" s="12" t="s">
        <v>8</v>
      </c>
      <c r="D403" s="12" t="s">
        <v>15</v>
      </c>
      <c r="E403" s="12" t="s">
        <v>17</v>
      </c>
      <c r="F403" s="13" t="s">
        <v>18</v>
      </c>
      <c r="G403" s="12" t="s">
        <v>68</v>
      </c>
      <c r="H403" s="12" t="s">
        <v>954</v>
      </c>
      <c r="I403" s="12" t="s">
        <v>955</v>
      </c>
      <c r="J403" s="17" t="s">
        <v>4597</v>
      </c>
      <c r="K403" s="17" t="s">
        <v>4600</v>
      </c>
      <c r="L403" s="17" t="s">
        <v>4599</v>
      </c>
      <c r="M403" s="17" t="s">
        <v>428</v>
      </c>
      <c r="O403" s="18" t="s">
        <v>915</v>
      </c>
    </row>
    <row r="404">
      <c r="A404" s="11"/>
      <c r="B404" s="12" t="s">
        <v>7</v>
      </c>
      <c r="C404" s="12" t="s">
        <v>8</v>
      </c>
      <c r="D404" s="12" t="s">
        <v>15</v>
      </c>
      <c r="E404" s="12" t="s">
        <v>17</v>
      </c>
      <c r="F404" s="13" t="s">
        <v>18</v>
      </c>
      <c r="G404" s="12" t="s">
        <v>68</v>
      </c>
      <c r="H404" s="12" t="s">
        <v>954</v>
      </c>
      <c r="I404" s="12" t="s">
        <v>955</v>
      </c>
      <c r="J404" s="17" t="s">
        <v>4597</v>
      </c>
      <c r="K404" s="17" t="s">
        <v>4601</v>
      </c>
      <c r="L404" s="17" t="s">
        <v>4599</v>
      </c>
      <c r="M404" s="17" t="s">
        <v>428</v>
      </c>
      <c r="O404" s="18" t="s">
        <v>915</v>
      </c>
    </row>
    <row r="405">
      <c r="A405" s="11"/>
      <c r="B405" s="12" t="s">
        <v>7</v>
      </c>
      <c r="C405" s="12" t="s">
        <v>8</v>
      </c>
      <c r="D405" s="12" t="s">
        <v>15</v>
      </c>
      <c r="E405" s="12" t="s">
        <v>17</v>
      </c>
      <c r="F405" s="13" t="s">
        <v>18</v>
      </c>
      <c r="G405" s="12" t="s">
        <v>68</v>
      </c>
      <c r="H405" s="12" t="s">
        <v>954</v>
      </c>
      <c r="I405" s="12" t="s">
        <v>955</v>
      </c>
      <c r="J405" s="17" t="s">
        <v>4597</v>
      </c>
      <c r="K405" s="17" t="s">
        <v>4602</v>
      </c>
      <c r="L405" s="17" t="s">
        <v>4593</v>
      </c>
      <c r="M405" s="17" t="s">
        <v>428</v>
      </c>
      <c r="O405" s="18" t="s">
        <v>915</v>
      </c>
    </row>
    <row r="406">
      <c r="A406" s="11"/>
      <c r="B406" s="12" t="s">
        <v>7</v>
      </c>
      <c r="C406" s="12" t="s">
        <v>8</v>
      </c>
      <c r="D406" s="12" t="s">
        <v>15</v>
      </c>
      <c r="E406" s="12" t="s">
        <v>17</v>
      </c>
      <c r="F406" s="13" t="s">
        <v>18</v>
      </c>
      <c r="G406" s="12" t="s">
        <v>68</v>
      </c>
      <c r="H406" s="12" t="s">
        <v>954</v>
      </c>
      <c r="I406" s="12" t="s">
        <v>955</v>
      </c>
      <c r="J406" s="17" t="s">
        <v>4597</v>
      </c>
      <c r="K406" s="17" t="s">
        <v>4603</v>
      </c>
      <c r="L406" s="17" t="s">
        <v>4593</v>
      </c>
      <c r="M406" s="17" t="s">
        <v>428</v>
      </c>
      <c r="O406" s="18" t="s">
        <v>915</v>
      </c>
    </row>
    <row r="407">
      <c r="A407" s="106" t="s">
        <v>12</v>
      </c>
      <c r="B407" s="12" t="s">
        <v>7</v>
      </c>
      <c r="C407" s="12" t="s">
        <v>8</v>
      </c>
      <c r="D407" s="12" t="s">
        <v>9</v>
      </c>
      <c r="E407" s="12" t="s">
        <v>10</v>
      </c>
      <c r="F407" s="13" t="s">
        <v>11</v>
      </c>
      <c r="G407" s="12" t="s">
        <v>68</v>
      </c>
      <c r="H407" s="12" t="s">
        <v>911</v>
      </c>
      <c r="I407" s="12" t="s">
        <v>912</v>
      </c>
      <c r="J407" s="17" t="s">
        <v>4591</v>
      </c>
      <c r="K407" s="17" t="s">
        <v>4592</v>
      </c>
      <c r="L407" s="17" t="s">
        <v>4593</v>
      </c>
      <c r="M407" s="17" t="s">
        <v>428</v>
      </c>
      <c r="O407" s="18" t="s">
        <v>915</v>
      </c>
    </row>
    <row r="408">
      <c r="A408" s="11"/>
      <c r="B408" s="12" t="s">
        <v>7</v>
      </c>
      <c r="C408" s="12" t="s">
        <v>8</v>
      </c>
      <c r="D408" s="12" t="s">
        <v>9</v>
      </c>
      <c r="E408" s="12" t="s">
        <v>10</v>
      </c>
      <c r="F408" s="13" t="s">
        <v>11</v>
      </c>
      <c r="G408" s="12" t="s">
        <v>68</v>
      </c>
      <c r="H408" s="12" t="s">
        <v>911</v>
      </c>
      <c r="I408" s="12" t="s">
        <v>912</v>
      </c>
      <c r="J408" s="17" t="s">
        <v>4591</v>
      </c>
      <c r="K408" s="17" t="s">
        <v>4594</v>
      </c>
      <c r="L408" s="17" t="s">
        <v>4593</v>
      </c>
      <c r="M408" s="17" t="s">
        <v>428</v>
      </c>
      <c r="O408" s="18" t="s">
        <v>915</v>
      </c>
    </row>
    <row r="409">
      <c r="A409" s="11"/>
      <c r="B409" s="12" t="s">
        <v>7</v>
      </c>
      <c r="C409" s="12" t="s">
        <v>8</v>
      </c>
      <c r="D409" s="12" t="s">
        <v>9</v>
      </c>
      <c r="E409" s="12" t="s">
        <v>10</v>
      </c>
      <c r="F409" s="13" t="s">
        <v>11</v>
      </c>
      <c r="G409" s="12" t="s">
        <v>68</v>
      </c>
      <c r="H409" s="12" t="s">
        <v>911</v>
      </c>
      <c r="I409" s="12" t="s">
        <v>912</v>
      </c>
      <c r="J409" s="17" t="s">
        <v>4591</v>
      </c>
      <c r="K409" s="17" t="s">
        <v>4595</v>
      </c>
      <c r="L409" s="17" t="s">
        <v>4593</v>
      </c>
      <c r="M409" s="17" t="s">
        <v>428</v>
      </c>
      <c r="O409" s="18" t="s">
        <v>915</v>
      </c>
    </row>
    <row r="410">
      <c r="A410" s="11"/>
      <c r="B410" s="12" t="s">
        <v>7</v>
      </c>
      <c r="C410" s="12" t="s">
        <v>8</v>
      </c>
      <c r="D410" s="12" t="s">
        <v>9</v>
      </c>
      <c r="E410" s="12" t="s">
        <v>10</v>
      </c>
      <c r="F410" s="13" t="s">
        <v>11</v>
      </c>
      <c r="G410" s="12" t="s">
        <v>68</v>
      </c>
      <c r="H410" s="12" t="s">
        <v>911</v>
      </c>
      <c r="I410" s="12" t="s">
        <v>912</v>
      </c>
      <c r="J410" s="17" t="s">
        <v>4591</v>
      </c>
      <c r="K410" s="17" t="s">
        <v>4596</v>
      </c>
      <c r="L410" s="17" t="s">
        <v>4593</v>
      </c>
      <c r="M410" s="17" t="s">
        <v>428</v>
      </c>
      <c r="O410" s="18" t="s">
        <v>915</v>
      </c>
    </row>
    <row r="411">
      <c r="A411" s="11"/>
      <c r="B411" s="12" t="s">
        <v>7</v>
      </c>
      <c r="C411" s="12" t="s">
        <v>8</v>
      </c>
      <c r="D411" s="12" t="s">
        <v>9</v>
      </c>
      <c r="E411" s="12" t="s">
        <v>10</v>
      </c>
      <c r="F411" s="13" t="s">
        <v>11</v>
      </c>
      <c r="G411" s="12" t="s">
        <v>68</v>
      </c>
      <c r="H411" s="12" t="s">
        <v>911</v>
      </c>
      <c r="I411" s="12" t="s">
        <v>912</v>
      </c>
      <c r="J411" s="17" t="s">
        <v>4597</v>
      </c>
      <c r="K411" s="17" t="s">
        <v>4598</v>
      </c>
      <c r="L411" s="17" t="s">
        <v>4599</v>
      </c>
      <c r="M411" s="17" t="s">
        <v>428</v>
      </c>
      <c r="O411" s="18" t="s">
        <v>915</v>
      </c>
    </row>
    <row r="412">
      <c r="A412" s="11"/>
      <c r="B412" s="12" t="s">
        <v>7</v>
      </c>
      <c r="C412" s="12" t="s">
        <v>8</v>
      </c>
      <c r="D412" s="12" t="s">
        <v>9</v>
      </c>
      <c r="E412" s="12" t="s">
        <v>10</v>
      </c>
      <c r="F412" s="13" t="s">
        <v>11</v>
      </c>
      <c r="G412" s="12" t="s">
        <v>68</v>
      </c>
      <c r="H412" s="12" t="s">
        <v>911</v>
      </c>
      <c r="I412" s="12" t="s">
        <v>912</v>
      </c>
      <c r="J412" s="17" t="s">
        <v>4597</v>
      </c>
      <c r="K412" s="17" t="s">
        <v>4600</v>
      </c>
      <c r="L412" s="17" t="s">
        <v>4599</v>
      </c>
      <c r="M412" s="17" t="s">
        <v>428</v>
      </c>
      <c r="O412" s="18" t="s">
        <v>915</v>
      </c>
    </row>
    <row r="413">
      <c r="A413" s="11"/>
      <c r="B413" s="12" t="s">
        <v>7</v>
      </c>
      <c r="C413" s="12" t="s">
        <v>8</v>
      </c>
      <c r="D413" s="12" t="s">
        <v>9</v>
      </c>
      <c r="E413" s="12" t="s">
        <v>10</v>
      </c>
      <c r="F413" s="13" t="s">
        <v>11</v>
      </c>
      <c r="G413" s="12" t="s">
        <v>68</v>
      </c>
      <c r="H413" s="12" t="s">
        <v>911</v>
      </c>
      <c r="I413" s="12" t="s">
        <v>912</v>
      </c>
      <c r="J413" s="17" t="s">
        <v>4597</v>
      </c>
      <c r="K413" s="17" t="s">
        <v>4601</v>
      </c>
      <c r="L413" s="17" t="s">
        <v>4604</v>
      </c>
      <c r="M413" s="17" t="s">
        <v>428</v>
      </c>
      <c r="O413" s="18" t="s">
        <v>915</v>
      </c>
    </row>
    <row r="414">
      <c r="A414" s="11"/>
      <c r="B414" s="12" t="s">
        <v>7</v>
      </c>
      <c r="C414" s="12" t="s">
        <v>8</v>
      </c>
      <c r="D414" s="12" t="s">
        <v>9</v>
      </c>
      <c r="E414" s="12" t="s">
        <v>10</v>
      </c>
      <c r="F414" s="13" t="s">
        <v>11</v>
      </c>
      <c r="G414" s="12" t="s">
        <v>68</v>
      </c>
      <c r="H414" s="12" t="s">
        <v>911</v>
      </c>
      <c r="I414" s="12" t="s">
        <v>912</v>
      </c>
      <c r="J414" s="17" t="s">
        <v>4597</v>
      </c>
      <c r="K414" s="17" t="s">
        <v>4602</v>
      </c>
      <c r="L414" s="17" t="s">
        <v>4599</v>
      </c>
      <c r="M414" s="17" t="s">
        <v>428</v>
      </c>
      <c r="O414" s="18" t="s">
        <v>915</v>
      </c>
    </row>
    <row r="415">
      <c r="A415" s="11"/>
      <c r="B415" s="12" t="s">
        <v>7</v>
      </c>
      <c r="C415" s="12" t="s">
        <v>8</v>
      </c>
      <c r="D415" s="12" t="s">
        <v>9</v>
      </c>
      <c r="E415" s="12" t="s">
        <v>10</v>
      </c>
      <c r="F415" s="13" t="s">
        <v>11</v>
      </c>
      <c r="G415" s="12" t="s">
        <v>68</v>
      </c>
      <c r="H415" s="12" t="s">
        <v>911</v>
      </c>
      <c r="I415" s="12" t="s">
        <v>912</v>
      </c>
      <c r="J415" s="17" t="s">
        <v>4597</v>
      </c>
      <c r="K415" s="17" t="s">
        <v>4603</v>
      </c>
      <c r="L415" s="17" t="s">
        <v>4593</v>
      </c>
      <c r="M415" s="17" t="s">
        <v>428</v>
      </c>
      <c r="O415" s="18" t="s">
        <v>915</v>
      </c>
    </row>
    <row r="416">
      <c r="A416" s="11"/>
      <c r="B416" s="12" t="s">
        <v>7</v>
      </c>
      <c r="C416" s="12" t="s">
        <v>8</v>
      </c>
      <c r="D416" s="12" t="s">
        <v>15</v>
      </c>
      <c r="E416" s="12" t="s">
        <v>15</v>
      </c>
      <c r="F416" s="13" t="s">
        <v>16</v>
      </c>
      <c r="G416" s="12" t="s">
        <v>68</v>
      </c>
      <c r="H416" s="12" t="s">
        <v>928</v>
      </c>
      <c r="I416" s="12" t="s">
        <v>929</v>
      </c>
      <c r="J416" s="17" t="s">
        <v>4591</v>
      </c>
      <c r="K416" s="17" t="s">
        <v>4592</v>
      </c>
      <c r="L416" s="17" t="s">
        <v>4599</v>
      </c>
      <c r="M416" s="17" t="s">
        <v>428</v>
      </c>
      <c r="O416" s="18" t="s">
        <v>915</v>
      </c>
    </row>
    <row r="417">
      <c r="A417" s="11"/>
      <c r="B417" s="12" t="s">
        <v>7</v>
      </c>
      <c r="C417" s="12" t="s">
        <v>8</v>
      </c>
      <c r="D417" s="12" t="s">
        <v>15</v>
      </c>
      <c r="E417" s="12" t="s">
        <v>15</v>
      </c>
      <c r="F417" s="13" t="s">
        <v>16</v>
      </c>
      <c r="G417" s="12" t="s">
        <v>68</v>
      </c>
      <c r="H417" s="12" t="s">
        <v>928</v>
      </c>
      <c r="I417" s="12" t="s">
        <v>929</v>
      </c>
      <c r="J417" s="17" t="s">
        <v>4591</v>
      </c>
      <c r="K417" s="17" t="s">
        <v>4594</v>
      </c>
      <c r="L417" s="17" t="s">
        <v>4593</v>
      </c>
      <c r="M417" s="17" t="s">
        <v>428</v>
      </c>
      <c r="O417" s="18" t="s">
        <v>915</v>
      </c>
    </row>
    <row r="418">
      <c r="A418" s="11"/>
      <c r="B418" s="12" t="s">
        <v>7</v>
      </c>
      <c r="C418" s="12" t="s">
        <v>8</v>
      </c>
      <c r="D418" s="12" t="s">
        <v>15</v>
      </c>
      <c r="E418" s="12" t="s">
        <v>15</v>
      </c>
      <c r="F418" s="13" t="s">
        <v>16</v>
      </c>
      <c r="G418" s="12" t="s">
        <v>68</v>
      </c>
      <c r="H418" s="12" t="s">
        <v>928</v>
      </c>
      <c r="I418" s="12" t="s">
        <v>929</v>
      </c>
      <c r="J418" s="17" t="s">
        <v>4591</v>
      </c>
      <c r="K418" s="17" t="s">
        <v>4595</v>
      </c>
      <c r="L418" s="17" t="s">
        <v>4599</v>
      </c>
      <c r="M418" s="17" t="s">
        <v>428</v>
      </c>
      <c r="O418" s="18" t="s">
        <v>915</v>
      </c>
    </row>
    <row r="419">
      <c r="A419" s="11"/>
      <c r="B419" s="12" t="s">
        <v>7</v>
      </c>
      <c r="C419" s="12" t="s">
        <v>8</v>
      </c>
      <c r="D419" s="12" t="s">
        <v>15</v>
      </c>
      <c r="E419" s="12" t="s">
        <v>15</v>
      </c>
      <c r="F419" s="13" t="s">
        <v>16</v>
      </c>
      <c r="G419" s="12" t="s">
        <v>68</v>
      </c>
      <c r="H419" s="12" t="s">
        <v>928</v>
      </c>
      <c r="I419" s="12" t="s">
        <v>929</v>
      </c>
      <c r="J419" s="17" t="s">
        <v>4591</v>
      </c>
      <c r="K419" s="17" t="s">
        <v>4596</v>
      </c>
      <c r="L419" s="17" t="s">
        <v>4593</v>
      </c>
      <c r="M419" s="17" t="s">
        <v>428</v>
      </c>
      <c r="O419" s="18" t="s">
        <v>915</v>
      </c>
    </row>
    <row r="420">
      <c r="A420" s="11"/>
      <c r="B420" s="12" t="s">
        <v>7</v>
      </c>
      <c r="C420" s="12" t="s">
        <v>8</v>
      </c>
      <c r="D420" s="12" t="s">
        <v>15</v>
      </c>
      <c r="E420" s="12" t="s">
        <v>15</v>
      </c>
      <c r="F420" s="13" t="s">
        <v>16</v>
      </c>
      <c r="G420" s="12" t="s">
        <v>68</v>
      </c>
      <c r="H420" s="12" t="s">
        <v>928</v>
      </c>
      <c r="I420" s="12" t="s">
        <v>929</v>
      </c>
      <c r="J420" s="17" t="s">
        <v>4597</v>
      </c>
      <c r="K420" s="17" t="s">
        <v>4598</v>
      </c>
      <c r="L420" s="17" t="s">
        <v>4599</v>
      </c>
      <c r="M420" s="17" t="s">
        <v>428</v>
      </c>
      <c r="O420" s="18" t="s">
        <v>915</v>
      </c>
    </row>
    <row r="421">
      <c r="A421" s="11"/>
      <c r="B421" s="12" t="s">
        <v>7</v>
      </c>
      <c r="C421" s="12" t="s">
        <v>8</v>
      </c>
      <c r="D421" s="12" t="s">
        <v>15</v>
      </c>
      <c r="E421" s="12" t="s">
        <v>15</v>
      </c>
      <c r="F421" s="13" t="s">
        <v>16</v>
      </c>
      <c r="G421" s="12" t="s">
        <v>68</v>
      </c>
      <c r="H421" s="12" t="s">
        <v>928</v>
      </c>
      <c r="I421" s="12" t="s">
        <v>929</v>
      </c>
      <c r="J421" s="17" t="s">
        <v>4597</v>
      </c>
      <c r="K421" s="17" t="s">
        <v>4600</v>
      </c>
      <c r="L421" s="17" t="s">
        <v>4599</v>
      </c>
      <c r="M421" s="17" t="s">
        <v>428</v>
      </c>
      <c r="O421" s="18" t="s">
        <v>915</v>
      </c>
    </row>
    <row r="422">
      <c r="A422" s="11"/>
      <c r="B422" s="12" t="s">
        <v>7</v>
      </c>
      <c r="C422" s="12" t="s">
        <v>8</v>
      </c>
      <c r="D422" s="12" t="s">
        <v>15</v>
      </c>
      <c r="E422" s="12" t="s">
        <v>15</v>
      </c>
      <c r="F422" s="13" t="s">
        <v>16</v>
      </c>
      <c r="G422" s="12" t="s">
        <v>68</v>
      </c>
      <c r="H422" s="12" t="s">
        <v>928</v>
      </c>
      <c r="I422" s="12" t="s">
        <v>929</v>
      </c>
      <c r="J422" s="17" t="s">
        <v>4597</v>
      </c>
      <c r="K422" s="17" t="s">
        <v>4601</v>
      </c>
      <c r="L422" s="17" t="s">
        <v>4599</v>
      </c>
      <c r="M422" s="17" t="s">
        <v>428</v>
      </c>
      <c r="O422" s="18" t="s">
        <v>915</v>
      </c>
    </row>
    <row r="423">
      <c r="A423" s="11"/>
      <c r="B423" s="12" t="s">
        <v>7</v>
      </c>
      <c r="C423" s="12" t="s">
        <v>8</v>
      </c>
      <c r="D423" s="12" t="s">
        <v>15</v>
      </c>
      <c r="E423" s="12" t="s">
        <v>15</v>
      </c>
      <c r="F423" s="13" t="s">
        <v>16</v>
      </c>
      <c r="G423" s="12" t="s">
        <v>68</v>
      </c>
      <c r="H423" s="12" t="s">
        <v>928</v>
      </c>
      <c r="I423" s="12" t="s">
        <v>929</v>
      </c>
      <c r="J423" s="17" t="s">
        <v>4597</v>
      </c>
      <c r="K423" s="17" t="s">
        <v>4602</v>
      </c>
      <c r="L423" s="17" t="s">
        <v>4599</v>
      </c>
      <c r="M423" s="17" t="s">
        <v>428</v>
      </c>
      <c r="O423" s="18" t="s">
        <v>915</v>
      </c>
    </row>
    <row r="424">
      <c r="A424" s="11"/>
      <c r="B424" s="12" t="s">
        <v>7</v>
      </c>
      <c r="C424" s="12" t="s">
        <v>8</v>
      </c>
      <c r="D424" s="12" t="s">
        <v>15</v>
      </c>
      <c r="E424" s="12" t="s">
        <v>15</v>
      </c>
      <c r="F424" s="13" t="s">
        <v>16</v>
      </c>
      <c r="G424" s="12" t="s">
        <v>68</v>
      </c>
      <c r="H424" s="12" t="s">
        <v>928</v>
      </c>
      <c r="I424" s="12" t="s">
        <v>929</v>
      </c>
      <c r="J424" s="17" t="s">
        <v>4597</v>
      </c>
      <c r="K424" s="17" t="s">
        <v>4603</v>
      </c>
      <c r="L424" s="17" t="s">
        <v>4593</v>
      </c>
      <c r="M424" s="17" t="s">
        <v>428</v>
      </c>
      <c r="O424" s="18" t="s">
        <v>915</v>
      </c>
    </row>
    <row r="425">
      <c r="A425" s="11"/>
      <c r="B425" s="12" t="s">
        <v>7</v>
      </c>
      <c r="C425" s="12" t="s">
        <v>8</v>
      </c>
      <c r="D425" s="12" t="s">
        <v>15</v>
      </c>
      <c r="E425" s="12" t="s">
        <v>21</v>
      </c>
      <c r="F425" s="13" t="s">
        <v>19</v>
      </c>
      <c r="G425" s="12" t="s">
        <v>68</v>
      </c>
      <c r="H425" s="12" t="s">
        <v>968</v>
      </c>
      <c r="I425" s="12" t="s">
        <v>969</v>
      </c>
      <c r="J425" s="17" t="s">
        <v>4591</v>
      </c>
      <c r="K425" s="17" t="s">
        <v>4592</v>
      </c>
      <c r="L425" s="17" t="s">
        <v>4599</v>
      </c>
      <c r="M425" s="17" t="s">
        <v>428</v>
      </c>
      <c r="O425" s="18" t="s">
        <v>915</v>
      </c>
    </row>
    <row r="426">
      <c r="A426" s="11"/>
      <c r="B426" s="12" t="s">
        <v>7</v>
      </c>
      <c r="C426" s="12" t="s">
        <v>8</v>
      </c>
      <c r="D426" s="12" t="s">
        <v>15</v>
      </c>
      <c r="E426" s="12" t="s">
        <v>21</v>
      </c>
      <c r="F426" s="13" t="s">
        <v>19</v>
      </c>
      <c r="G426" s="12" t="s">
        <v>68</v>
      </c>
      <c r="H426" s="12" t="s">
        <v>968</v>
      </c>
      <c r="I426" s="12" t="s">
        <v>969</v>
      </c>
      <c r="J426" s="17" t="s">
        <v>4591</v>
      </c>
      <c r="K426" s="17" t="s">
        <v>4594</v>
      </c>
      <c r="L426" s="17" t="s">
        <v>4593</v>
      </c>
      <c r="M426" s="17" t="s">
        <v>428</v>
      </c>
      <c r="O426" s="18" t="s">
        <v>915</v>
      </c>
    </row>
    <row r="427">
      <c r="A427" s="11"/>
      <c r="B427" s="12" t="s">
        <v>7</v>
      </c>
      <c r="C427" s="12" t="s">
        <v>8</v>
      </c>
      <c r="D427" s="12" t="s">
        <v>15</v>
      </c>
      <c r="E427" s="12" t="s">
        <v>21</v>
      </c>
      <c r="F427" s="13" t="s">
        <v>19</v>
      </c>
      <c r="G427" s="12" t="s">
        <v>68</v>
      </c>
      <c r="H427" s="12" t="s">
        <v>968</v>
      </c>
      <c r="I427" s="12" t="s">
        <v>969</v>
      </c>
      <c r="J427" s="17" t="s">
        <v>4591</v>
      </c>
      <c r="K427" s="17" t="s">
        <v>4595</v>
      </c>
      <c r="L427" s="17" t="s">
        <v>4593</v>
      </c>
      <c r="M427" s="17" t="s">
        <v>428</v>
      </c>
      <c r="O427" s="18" t="s">
        <v>915</v>
      </c>
    </row>
    <row r="428">
      <c r="A428" s="11"/>
      <c r="B428" s="12" t="s">
        <v>7</v>
      </c>
      <c r="C428" s="12" t="s">
        <v>8</v>
      </c>
      <c r="D428" s="12" t="s">
        <v>15</v>
      </c>
      <c r="E428" s="12" t="s">
        <v>21</v>
      </c>
      <c r="F428" s="13" t="s">
        <v>19</v>
      </c>
      <c r="G428" s="12" t="s">
        <v>68</v>
      </c>
      <c r="H428" s="12" t="s">
        <v>968</v>
      </c>
      <c r="I428" s="12" t="s">
        <v>969</v>
      </c>
      <c r="J428" s="17" t="s">
        <v>4591</v>
      </c>
      <c r="K428" s="17" t="s">
        <v>4596</v>
      </c>
      <c r="L428" s="17" t="s">
        <v>4593</v>
      </c>
      <c r="M428" s="17" t="s">
        <v>428</v>
      </c>
      <c r="O428" s="18" t="s">
        <v>915</v>
      </c>
    </row>
    <row r="429">
      <c r="A429" s="11"/>
      <c r="B429" s="12" t="s">
        <v>7</v>
      </c>
      <c r="C429" s="12" t="s">
        <v>8</v>
      </c>
      <c r="D429" s="12" t="s">
        <v>15</v>
      </c>
      <c r="E429" s="12" t="s">
        <v>21</v>
      </c>
      <c r="F429" s="13" t="s">
        <v>19</v>
      </c>
      <c r="G429" s="12" t="s">
        <v>68</v>
      </c>
      <c r="H429" s="12" t="s">
        <v>968</v>
      </c>
      <c r="I429" s="12" t="s">
        <v>969</v>
      </c>
      <c r="J429" s="17" t="s">
        <v>4597</v>
      </c>
      <c r="K429" s="17" t="s">
        <v>4598</v>
      </c>
      <c r="L429" s="17" t="s">
        <v>4599</v>
      </c>
      <c r="M429" s="17" t="s">
        <v>428</v>
      </c>
      <c r="O429" s="18" t="s">
        <v>915</v>
      </c>
    </row>
    <row r="430">
      <c r="A430" s="11"/>
      <c r="B430" s="12" t="s">
        <v>7</v>
      </c>
      <c r="C430" s="12" t="s">
        <v>8</v>
      </c>
      <c r="D430" s="12" t="s">
        <v>15</v>
      </c>
      <c r="E430" s="12" t="s">
        <v>21</v>
      </c>
      <c r="F430" s="13" t="s">
        <v>19</v>
      </c>
      <c r="G430" s="12" t="s">
        <v>68</v>
      </c>
      <c r="H430" s="12" t="s">
        <v>968</v>
      </c>
      <c r="I430" s="12" t="s">
        <v>969</v>
      </c>
      <c r="J430" s="17" t="s">
        <v>4597</v>
      </c>
      <c r="K430" s="17" t="s">
        <v>4600</v>
      </c>
      <c r="L430" s="17" t="s">
        <v>4599</v>
      </c>
      <c r="M430" s="17" t="s">
        <v>428</v>
      </c>
      <c r="O430" s="18" t="s">
        <v>915</v>
      </c>
    </row>
    <row r="431">
      <c r="A431" s="11"/>
      <c r="B431" s="12" t="s">
        <v>7</v>
      </c>
      <c r="C431" s="12" t="s">
        <v>8</v>
      </c>
      <c r="D431" s="12" t="s">
        <v>15</v>
      </c>
      <c r="E431" s="12" t="s">
        <v>21</v>
      </c>
      <c r="F431" s="13" t="s">
        <v>19</v>
      </c>
      <c r="G431" s="12" t="s">
        <v>68</v>
      </c>
      <c r="H431" s="12" t="s">
        <v>968</v>
      </c>
      <c r="I431" s="12" t="s">
        <v>969</v>
      </c>
      <c r="J431" s="17" t="s">
        <v>4597</v>
      </c>
      <c r="K431" s="17" t="s">
        <v>4601</v>
      </c>
      <c r="L431" s="17" t="s">
        <v>4599</v>
      </c>
      <c r="M431" s="17" t="s">
        <v>428</v>
      </c>
      <c r="O431" s="18" t="s">
        <v>915</v>
      </c>
    </row>
    <row r="432">
      <c r="A432" s="11"/>
      <c r="B432" s="12" t="s">
        <v>7</v>
      </c>
      <c r="C432" s="12" t="s">
        <v>8</v>
      </c>
      <c r="D432" s="12" t="s">
        <v>15</v>
      </c>
      <c r="E432" s="12" t="s">
        <v>21</v>
      </c>
      <c r="F432" s="13" t="s">
        <v>19</v>
      </c>
      <c r="G432" s="12" t="s">
        <v>68</v>
      </c>
      <c r="H432" s="12" t="s">
        <v>968</v>
      </c>
      <c r="I432" s="12" t="s">
        <v>969</v>
      </c>
      <c r="J432" s="17" t="s">
        <v>4597</v>
      </c>
      <c r="K432" s="17" t="s">
        <v>4602</v>
      </c>
      <c r="L432" s="17" t="s">
        <v>4593</v>
      </c>
      <c r="M432" s="17" t="s">
        <v>428</v>
      </c>
      <c r="O432" s="18" t="s">
        <v>915</v>
      </c>
    </row>
    <row r="433">
      <c r="A433" s="11"/>
      <c r="B433" s="12" t="s">
        <v>7</v>
      </c>
      <c r="C433" s="12" t="s">
        <v>8</v>
      </c>
      <c r="D433" s="12" t="s">
        <v>15</v>
      </c>
      <c r="E433" s="12" t="s">
        <v>21</v>
      </c>
      <c r="F433" s="13" t="s">
        <v>19</v>
      </c>
      <c r="G433" s="12" t="s">
        <v>68</v>
      </c>
      <c r="H433" s="12" t="s">
        <v>968</v>
      </c>
      <c r="I433" s="12" t="s">
        <v>969</v>
      </c>
      <c r="J433" s="17" t="s">
        <v>4597</v>
      </c>
      <c r="K433" s="17" t="s">
        <v>4603</v>
      </c>
      <c r="L433" s="17" t="s">
        <v>4593</v>
      </c>
      <c r="M433" s="17" t="s">
        <v>428</v>
      </c>
      <c r="O433" s="18" t="s">
        <v>915</v>
      </c>
    </row>
    <row r="434">
      <c r="A434" s="11"/>
      <c r="B434" s="12" t="s">
        <v>34</v>
      </c>
      <c r="C434" s="12" t="s">
        <v>65</v>
      </c>
      <c r="D434" s="12" t="s">
        <v>83</v>
      </c>
      <c r="E434" s="12" t="s">
        <v>632</v>
      </c>
      <c r="F434" s="13" t="s">
        <v>633</v>
      </c>
      <c r="G434" s="12" t="s">
        <v>68</v>
      </c>
      <c r="H434" s="12" t="s">
        <v>634</v>
      </c>
      <c r="I434" s="12" t="s">
        <v>635</v>
      </c>
      <c r="J434" s="17" t="s">
        <v>4591</v>
      </c>
      <c r="K434" s="17" t="s">
        <v>4592</v>
      </c>
      <c r="L434" s="17" t="s">
        <v>4593</v>
      </c>
      <c r="M434" s="17" t="s">
        <v>428</v>
      </c>
      <c r="O434" s="18" t="s">
        <v>638</v>
      </c>
    </row>
    <row r="435">
      <c r="A435" s="11"/>
      <c r="B435" s="12" t="s">
        <v>34</v>
      </c>
      <c r="C435" s="12" t="s">
        <v>65</v>
      </c>
      <c r="D435" s="12" t="s">
        <v>83</v>
      </c>
      <c r="E435" s="12" t="s">
        <v>632</v>
      </c>
      <c r="F435" s="13" t="s">
        <v>633</v>
      </c>
      <c r="G435" s="12" t="s">
        <v>68</v>
      </c>
      <c r="H435" s="12" t="s">
        <v>634</v>
      </c>
      <c r="I435" s="12" t="s">
        <v>635</v>
      </c>
      <c r="J435" s="17" t="s">
        <v>4591</v>
      </c>
      <c r="K435" s="17" t="s">
        <v>4594</v>
      </c>
      <c r="L435" s="17" t="s">
        <v>4593</v>
      </c>
      <c r="M435" s="17" t="s">
        <v>428</v>
      </c>
      <c r="O435" s="18" t="s">
        <v>638</v>
      </c>
    </row>
    <row r="436">
      <c r="A436" s="11"/>
      <c r="B436" s="12" t="s">
        <v>34</v>
      </c>
      <c r="C436" s="12" t="s">
        <v>65</v>
      </c>
      <c r="D436" s="12" t="s">
        <v>83</v>
      </c>
      <c r="E436" s="12" t="s">
        <v>632</v>
      </c>
      <c r="F436" s="13" t="s">
        <v>633</v>
      </c>
      <c r="G436" s="12" t="s">
        <v>68</v>
      </c>
      <c r="H436" s="12" t="s">
        <v>634</v>
      </c>
      <c r="I436" s="12" t="s">
        <v>635</v>
      </c>
      <c r="J436" s="17" t="s">
        <v>4591</v>
      </c>
      <c r="K436" s="17" t="s">
        <v>4595</v>
      </c>
      <c r="L436" s="17" t="s">
        <v>4593</v>
      </c>
      <c r="M436" s="17" t="s">
        <v>428</v>
      </c>
      <c r="O436" s="18" t="s">
        <v>638</v>
      </c>
    </row>
    <row r="437">
      <c r="A437" s="11"/>
      <c r="B437" s="12" t="s">
        <v>34</v>
      </c>
      <c r="C437" s="12" t="s">
        <v>65</v>
      </c>
      <c r="D437" s="12" t="s">
        <v>83</v>
      </c>
      <c r="E437" s="12" t="s">
        <v>632</v>
      </c>
      <c r="F437" s="13" t="s">
        <v>633</v>
      </c>
      <c r="G437" s="12" t="s">
        <v>68</v>
      </c>
      <c r="H437" s="12" t="s">
        <v>634</v>
      </c>
      <c r="I437" s="12" t="s">
        <v>635</v>
      </c>
      <c r="J437" s="17" t="s">
        <v>4591</v>
      </c>
      <c r="K437" s="17" t="s">
        <v>4596</v>
      </c>
      <c r="L437" s="17" t="s">
        <v>4593</v>
      </c>
      <c r="M437" s="17" t="s">
        <v>428</v>
      </c>
      <c r="O437" s="18" t="s">
        <v>638</v>
      </c>
    </row>
    <row r="438">
      <c r="A438" s="11"/>
      <c r="B438" s="12" t="s">
        <v>34</v>
      </c>
      <c r="C438" s="12" t="s">
        <v>65</v>
      </c>
      <c r="D438" s="12" t="s">
        <v>83</v>
      </c>
      <c r="E438" s="12" t="s">
        <v>632</v>
      </c>
      <c r="F438" s="13" t="s">
        <v>633</v>
      </c>
      <c r="G438" s="12" t="s">
        <v>68</v>
      </c>
      <c r="H438" s="12" t="s">
        <v>634</v>
      </c>
      <c r="I438" s="12" t="s">
        <v>635</v>
      </c>
      <c r="J438" s="17" t="s">
        <v>4597</v>
      </c>
      <c r="K438" s="17" t="s">
        <v>4598</v>
      </c>
      <c r="L438" s="17" t="s">
        <v>4599</v>
      </c>
      <c r="M438" s="17" t="s">
        <v>428</v>
      </c>
      <c r="O438" s="18" t="s">
        <v>638</v>
      </c>
    </row>
    <row r="439">
      <c r="A439" s="11"/>
      <c r="B439" s="12" t="s">
        <v>34</v>
      </c>
      <c r="C439" s="12" t="s">
        <v>65</v>
      </c>
      <c r="D439" s="12" t="s">
        <v>83</v>
      </c>
      <c r="E439" s="12" t="s">
        <v>632</v>
      </c>
      <c r="F439" s="13" t="s">
        <v>633</v>
      </c>
      <c r="G439" s="12" t="s">
        <v>68</v>
      </c>
      <c r="H439" s="12" t="s">
        <v>634</v>
      </c>
      <c r="I439" s="12" t="s">
        <v>635</v>
      </c>
      <c r="J439" s="17" t="s">
        <v>4597</v>
      </c>
      <c r="K439" s="17" t="s">
        <v>4600</v>
      </c>
      <c r="L439" s="17" t="s">
        <v>4599</v>
      </c>
      <c r="M439" s="17" t="s">
        <v>428</v>
      </c>
      <c r="O439" s="18" t="s">
        <v>638</v>
      </c>
    </row>
    <row r="440">
      <c r="A440" s="11"/>
      <c r="B440" s="12" t="s">
        <v>34</v>
      </c>
      <c r="C440" s="12" t="s">
        <v>65</v>
      </c>
      <c r="D440" s="12" t="s">
        <v>83</v>
      </c>
      <c r="E440" s="12" t="s">
        <v>632</v>
      </c>
      <c r="F440" s="13" t="s">
        <v>633</v>
      </c>
      <c r="G440" s="12" t="s">
        <v>68</v>
      </c>
      <c r="H440" s="12" t="s">
        <v>634</v>
      </c>
      <c r="I440" s="12" t="s">
        <v>635</v>
      </c>
      <c r="J440" s="17" t="s">
        <v>4597</v>
      </c>
      <c r="K440" s="17" t="s">
        <v>4601</v>
      </c>
      <c r="L440" s="17" t="s">
        <v>4593</v>
      </c>
      <c r="M440" s="17" t="s">
        <v>428</v>
      </c>
      <c r="O440" s="18" t="s">
        <v>638</v>
      </c>
    </row>
    <row r="441">
      <c r="A441" s="11"/>
      <c r="B441" s="12" t="s">
        <v>34</v>
      </c>
      <c r="C441" s="12" t="s">
        <v>65</v>
      </c>
      <c r="D441" s="12" t="s">
        <v>83</v>
      </c>
      <c r="E441" s="12" t="s">
        <v>632</v>
      </c>
      <c r="F441" s="13" t="s">
        <v>633</v>
      </c>
      <c r="G441" s="12" t="s">
        <v>68</v>
      </c>
      <c r="H441" s="12" t="s">
        <v>634</v>
      </c>
      <c r="I441" s="12" t="s">
        <v>635</v>
      </c>
      <c r="J441" s="17" t="s">
        <v>4597</v>
      </c>
      <c r="K441" s="17" t="s">
        <v>4602</v>
      </c>
      <c r="L441" s="17" t="s">
        <v>4593</v>
      </c>
      <c r="M441" s="17" t="s">
        <v>428</v>
      </c>
      <c r="O441" s="18" t="s">
        <v>638</v>
      </c>
    </row>
    <row r="442">
      <c r="A442" s="11"/>
      <c r="B442" s="12" t="s">
        <v>34</v>
      </c>
      <c r="C442" s="12" t="s">
        <v>65</v>
      </c>
      <c r="D442" s="12" t="s">
        <v>83</v>
      </c>
      <c r="E442" s="12" t="s">
        <v>632</v>
      </c>
      <c r="F442" s="13" t="s">
        <v>633</v>
      </c>
      <c r="G442" s="12" t="s">
        <v>68</v>
      </c>
      <c r="H442" s="12" t="s">
        <v>634</v>
      </c>
      <c r="I442" s="12" t="s">
        <v>635</v>
      </c>
      <c r="J442" s="17" t="s">
        <v>4597</v>
      </c>
      <c r="K442" s="17" t="s">
        <v>4603</v>
      </c>
      <c r="L442" s="17" t="s">
        <v>4593</v>
      </c>
      <c r="M442" s="17" t="s">
        <v>428</v>
      </c>
      <c r="O442" s="18" t="s">
        <v>638</v>
      </c>
    </row>
    <row r="443">
      <c r="A443" s="11"/>
      <c r="B443" s="12" t="s">
        <v>34</v>
      </c>
      <c r="C443" s="12" t="s">
        <v>65</v>
      </c>
      <c r="D443" s="12" t="s">
        <v>43</v>
      </c>
      <c r="E443" s="12" t="s">
        <v>666</v>
      </c>
      <c r="F443" s="13" t="s">
        <v>667</v>
      </c>
      <c r="G443" s="12" t="s">
        <v>68</v>
      </c>
      <c r="H443" s="12" t="s">
        <v>668</v>
      </c>
      <c r="I443" s="12" t="s">
        <v>669</v>
      </c>
      <c r="J443" s="17" t="s">
        <v>4591</v>
      </c>
      <c r="K443" s="17" t="s">
        <v>4592</v>
      </c>
      <c r="L443" s="17" t="s">
        <v>4593</v>
      </c>
      <c r="M443" s="17" t="s">
        <v>428</v>
      </c>
      <c r="O443" s="18" t="s">
        <v>638</v>
      </c>
    </row>
    <row r="444">
      <c r="A444" s="11"/>
      <c r="B444" s="12" t="s">
        <v>34</v>
      </c>
      <c r="C444" s="12" t="s">
        <v>65</v>
      </c>
      <c r="D444" s="12" t="s">
        <v>43</v>
      </c>
      <c r="E444" s="12" t="s">
        <v>666</v>
      </c>
      <c r="F444" s="13" t="s">
        <v>667</v>
      </c>
      <c r="G444" s="12" t="s">
        <v>68</v>
      </c>
      <c r="H444" s="12" t="s">
        <v>668</v>
      </c>
      <c r="I444" s="12" t="s">
        <v>669</v>
      </c>
      <c r="J444" s="17" t="s">
        <v>4591</v>
      </c>
      <c r="K444" s="17" t="s">
        <v>4594</v>
      </c>
      <c r="L444" s="17" t="s">
        <v>4599</v>
      </c>
      <c r="M444" s="17" t="s">
        <v>428</v>
      </c>
      <c r="O444" s="18" t="s">
        <v>638</v>
      </c>
    </row>
    <row r="445">
      <c r="A445" s="11"/>
      <c r="B445" s="12" t="s">
        <v>34</v>
      </c>
      <c r="C445" s="12" t="s">
        <v>65</v>
      </c>
      <c r="D445" s="12" t="s">
        <v>43</v>
      </c>
      <c r="E445" s="12" t="s">
        <v>666</v>
      </c>
      <c r="F445" s="13" t="s">
        <v>667</v>
      </c>
      <c r="G445" s="12" t="s">
        <v>68</v>
      </c>
      <c r="H445" s="12" t="s">
        <v>668</v>
      </c>
      <c r="I445" s="12" t="s">
        <v>669</v>
      </c>
      <c r="J445" s="17" t="s">
        <v>4591</v>
      </c>
      <c r="K445" s="17" t="s">
        <v>4595</v>
      </c>
      <c r="L445" s="17" t="s">
        <v>4593</v>
      </c>
      <c r="M445" s="17" t="s">
        <v>428</v>
      </c>
      <c r="O445" s="18" t="s">
        <v>638</v>
      </c>
    </row>
    <row r="446">
      <c r="A446" s="11"/>
      <c r="B446" s="12" t="s">
        <v>34</v>
      </c>
      <c r="C446" s="12" t="s">
        <v>65</v>
      </c>
      <c r="D446" s="12" t="s">
        <v>43</v>
      </c>
      <c r="E446" s="12" t="s">
        <v>666</v>
      </c>
      <c r="F446" s="13" t="s">
        <v>667</v>
      </c>
      <c r="G446" s="12" t="s">
        <v>68</v>
      </c>
      <c r="H446" s="12" t="s">
        <v>668</v>
      </c>
      <c r="I446" s="12" t="s">
        <v>669</v>
      </c>
      <c r="J446" s="17" t="s">
        <v>4591</v>
      </c>
      <c r="K446" s="17" t="s">
        <v>4596</v>
      </c>
      <c r="L446" s="17" t="s">
        <v>4593</v>
      </c>
      <c r="M446" s="17" t="s">
        <v>428</v>
      </c>
      <c r="O446" s="18" t="s">
        <v>638</v>
      </c>
    </row>
    <row r="447">
      <c r="A447" s="11"/>
      <c r="B447" s="12" t="s">
        <v>34</v>
      </c>
      <c r="C447" s="12" t="s">
        <v>65</v>
      </c>
      <c r="D447" s="12" t="s">
        <v>43</v>
      </c>
      <c r="E447" s="12" t="s">
        <v>666</v>
      </c>
      <c r="F447" s="13" t="s">
        <v>667</v>
      </c>
      <c r="G447" s="12" t="s">
        <v>68</v>
      </c>
      <c r="H447" s="12" t="s">
        <v>668</v>
      </c>
      <c r="I447" s="12" t="s">
        <v>669</v>
      </c>
      <c r="J447" s="17" t="s">
        <v>4597</v>
      </c>
      <c r="K447" s="17" t="s">
        <v>4598</v>
      </c>
      <c r="L447" s="17" t="s">
        <v>4593</v>
      </c>
      <c r="M447" s="17" t="s">
        <v>428</v>
      </c>
      <c r="O447" s="18" t="s">
        <v>638</v>
      </c>
    </row>
    <row r="448">
      <c r="A448" s="11"/>
      <c r="B448" s="12" t="s">
        <v>34</v>
      </c>
      <c r="C448" s="12" t="s">
        <v>65</v>
      </c>
      <c r="D448" s="12" t="s">
        <v>43</v>
      </c>
      <c r="E448" s="12" t="s">
        <v>666</v>
      </c>
      <c r="F448" s="13" t="s">
        <v>667</v>
      </c>
      <c r="G448" s="12" t="s">
        <v>68</v>
      </c>
      <c r="H448" s="12" t="s">
        <v>668</v>
      </c>
      <c r="I448" s="12" t="s">
        <v>669</v>
      </c>
      <c r="J448" s="17" t="s">
        <v>4597</v>
      </c>
      <c r="K448" s="17" t="s">
        <v>4600</v>
      </c>
      <c r="L448" s="17" t="s">
        <v>4593</v>
      </c>
      <c r="M448" s="17" t="s">
        <v>428</v>
      </c>
      <c r="O448" s="18" t="s">
        <v>638</v>
      </c>
    </row>
    <row r="449">
      <c r="A449" s="11"/>
      <c r="B449" s="12" t="s">
        <v>34</v>
      </c>
      <c r="C449" s="12" t="s">
        <v>65</v>
      </c>
      <c r="D449" s="12" t="s">
        <v>43</v>
      </c>
      <c r="E449" s="12" t="s">
        <v>666</v>
      </c>
      <c r="F449" s="13" t="s">
        <v>667</v>
      </c>
      <c r="G449" s="12" t="s">
        <v>68</v>
      </c>
      <c r="H449" s="12" t="s">
        <v>668</v>
      </c>
      <c r="I449" s="12" t="s">
        <v>669</v>
      </c>
      <c r="J449" s="17" t="s">
        <v>4597</v>
      </c>
      <c r="K449" s="17" t="s">
        <v>4601</v>
      </c>
      <c r="L449" s="17" t="s">
        <v>4593</v>
      </c>
      <c r="M449" s="17" t="s">
        <v>428</v>
      </c>
      <c r="O449" s="18" t="s">
        <v>638</v>
      </c>
    </row>
    <row r="450">
      <c r="A450" s="11"/>
      <c r="B450" s="12" t="s">
        <v>34</v>
      </c>
      <c r="C450" s="12" t="s">
        <v>65</v>
      </c>
      <c r="D450" s="12" t="s">
        <v>43</v>
      </c>
      <c r="E450" s="12" t="s">
        <v>666</v>
      </c>
      <c r="F450" s="13" t="s">
        <v>667</v>
      </c>
      <c r="G450" s="12" t="s">
        <v>68</v>
      </c>
      <c r="H450" s="12" t="s">
        <v>668</v>
      </c>
      <c r="I450" s="12" t="s">
        <v>669</v>
      </c>
      <c r="J450" s="17" t="s">
        <v>4597</v>
      </c>
      <c r="K450" s="17" t="s">
        <v>4602</v>
      </c>
      <c r="L450" s="17" t="s">
        <v>4604</v>
      </c>
      <c r="M450" s="17" t="s">
        <v>428</v>
      </c>
      <c r="O450" s="18" t="s">
        <v>638</v>
      </c>
    </row>
    <row r="451">
      <c r="A451" s="11"/>
      <c r="B451" s="12" t="s">
        <v>34</v>
      </c>
      <c r="C451" s="12" t="s">
        <v>65</v>
      </c>
      <c r="D451" s="12" t="s">
        <v>43</v>
      </c>
      <c r="E451" s="12" t="s">
        <v>666</v>
      </c>
      <c r="F451" s="13" t="s">
        <v>667</v>
      </c>
      <c r="G451" s="12" t="s">
        <v>68</v>
      </c>
      <c r="H451" s="12" t="s">
        <v>668</v>
      </c>
      <c r="I451" s="12" t="s">
        <v>669</v>
      </c>
      <c r="J451" s="17" t="s">
        <v>4597</v>
      </c>
      <c r="K451" s="17" t="s">
        <v>4603</v>
      </c>
      <c r="L451" s="17" t="s">
        <v>4593</v>
      </c>
      <c r="M451" s="17" t="s">
        <v>428</v>
      </c>
      <c r="O451" s="18" t="s">
        <v>638</v>
      </c>
    </row>
    <row r="452">
      <c r="A452" s="11"/>
      <c r="B452" s="12" t="s">
        <v>34</v>
      </c>
      <c r="C452" s="12" t="s">
        <v>65</v>
      </c>
      <c r="D452" s="12" t="s">
        <v>43</v>
      </c>
      <c r="E452" s="12" t="s">
        <v>717</v>
      </c>
      <c r="F452" s="13" t="s">
        <v>718</v>
      </c>
      <c r="G452" s="12" t="s">
        <v>68</v>
      </c>
      <c r="H452" s="12" t="s">
        <v>719</v>
      </c>
      <c r="I452" s="12" t="s">
        <v>720</v>
      </c>
      <c r="J452" s="17" t="s">
        <v>4591</v>
      </c>
      <c r="K452" s="17" t="s">
        <v>4592</v>
      </c>
      <c r="L452" s="17" t="s">
        <v>4593</v>
      </c>
      <c r="M452" s="17" t="s">
        <v>428</v>
      </c>
      <c r="O452" s="18" t="s">
        <v>638</v>
      </c>
    </row>
    <row r="453">
      <c r="A453" s="11"/>
      <c r="B453" s="12" t="s">
        <v>34</v>
      </c>
      <c r="C453" s="12" t="s">
        <v>65</v>
      </c>
      <c r="D453" s="12" t="s">
        <v>43</v>
      </c>
      <c r="E453" s="12" t="s">
        <v>717</v>
      </c>
      <c r="F453" s="13" t="s">
        <v>718</v>
      </c>
      <c r="G453" s="12" t="s">
        <v>68</v>
      </c>
      <c r="H453" s="12" t="s">
        <v>719</v>
      </c>
      <c r="I453" s="12" t="s">
        <v>720</v>
      </c>
      <c r="J453" s="17" t="s">
        <v>4591</v>
      </c>
      <c r="K453" s="17" t="s">
        <v>4594</v>
      </c>
      <c r="L453" s="17" t="s">
        <v>4593</v>
      </c>
      <c r="M453" s="17" t="s">
        <v>428</v>
      </c>
      <c r="O453" s="18" t="s">
        <v>638</v>
      </c>
    </row>
    <row r="454">
      <c r="A454" s="11"/>
      <c r="B454" s="12" t="s">
        <v>34</v>
      </c>
      <c r="C454" s="12" t="s">
        <v>65</v>
      </c>
      <c r="D454" s="12" t="s">
        <v>43</v>
      </c>
      <c r="E454" s="12" t="s">
        <v>717</v>
      </c>
      <c r="F454" s="13" t="s">
        <v>718</v>
      </c>
      <c r="G454" s="12" t="s">
        <v>68</v>
      </c>
      <c r="H454" s="12" t="s">
        <v>719</v>
      </c>
      <c r="I454" s="12" t="s">
        <v>720</v>
      </c>
      <c r="J454" s="17" t="s">
        <v>4591</v>
      </c>
      <c r="K454" s="17" t="s">
        <v>4595</v>
      </c>
      <c r="L454" s="17" t="s">
        <v>4593</v>
      </c>
      <c r="M454" s="17" t="s">
        <v>428</v>
      </c>
      <c r="O454" s="18" t="s">
        <v>638</v>
      </c>
    </row>
    <row r="455">
      <c r="A455" s="11"/>
      <c r="B455" s="12" t="s">
        <v>34</v>
      </c>
      <c r="C455" s="12" t="s">
        <v>65</v>
      </c>
      <c r="D455" s="12" t="s">
        <v>43</v>
      </c>
      <c r="E455" s="12" t="s">
        <v>717</v>
      </c>
      <c r="F455" s="13" t="s">
        <v>718</v>
      </c>
      <c r="G455" s="12" t="s">
        <v>68</v>
      </c>
      <c r="H455" s="12" t="s">
        <v>719</v>
      </c>
      <c r="I455" s="12" t="s">
        <v>720</v>
      </c>
      <c r="J455" s="17" t="s">
        <v>4591</v>
      </c>
      <c r="K455" s="17" t="s">
        <v>4596</v>
      </c>
      <c r="L455" s="17" t="s">
        <v>4593</v>
      </c>
      <c r="M455" s="17" t="s">
        <v>428</v>
      </c>
      <c r="O455" s="18" t="s">
        <v>638</v>
      </c>
    </row>
    <row r="456">
      <c r="A456" s="11"/>
      <c r="B456" s="12" t="s">
        <v>34</v>
      </c>
      <c r="C456" s="12" t="s">
        <v>65</v>
      </c>
      <c r="D456" s="12" t="s">
        <v>43</v>
      </c>
      <c r="E456" s="12" t="s">
        <v>717</v>
      </c>
      <c r="F456" s="13" t="s">
        <v>718</v>
      </c>
      <c r="G456" s="12" t="s">
        <v>68</v>
      </c>
      <c r="H456" s="12" t="s">
        <v>719</v>
      </c>
      <c r="I456" s="12" t="s">
        <v>720</v>
      </c>
      <c r="J456" s="17" t="s">
        <v>4597</v>
      </c>
      <c r="K456" s="17" t="s">
        <v>4598</v>
      </c>
      <c r="L456" s="17" t="s">
        <v>4593</v>
      </c>
      <c r="M456" s="17" t="s">
        <v>428</v>
      </c>
      <c r="O456" s="18" t="s">
        <v>638</v>
      </c>
    </row>
    <row r="457">
      <c r="A457" s="11"/>
      <c r="B457" s="12" t="s">
        <v>34</v>
      </c>
      <c r="C457" s="12" t="s">
        <v>65</v>
      </c>
      <c r="D457" s="12" t="s">
        <v>43</v>
      </c>
      <c r="E457" s="12" t="s">
        <v>717</v>
      </c>
      <c r="F457" s="13" t="s">
        <v>718</v>
      </c>
      <c r="G457" s="12" t="s">
        <v>68</v>
      </c>
      <c r="H457" s="12" t="s">
        <v>719</v>
      </c>
      <c r="I457" s="12" t="s">
        <v>720</v>
      </c>
      <c r="J457" s="17" t="s">
        <v>4597</v>
      </c>
      <c r="K457" s="17" t="s">
        <v>4600</v>
      </c>
      <c r="L457" s="17" t="s">
        <v>4593</v>
      </c>
      <c r="M457" s="17" t="s">
        <v>428</v>
      </c>
      <c r="O457" s="18" t="s">
        <v>638</v>
      </c>
    </row>
    <row r="458">
      <c r="A458" s="11"/>
      <c r="B458" s="12" t="s">
        <v>34</v>
      </c>
      <c r="C458" s="12" t="s">
        <v>65</v>
      </c>
      <c r="D458" s="12" t="s">
        <v>43</v>
      </c>
      <c r="E458" s="12" t="s">
        <v>717</v>
      </c>
      <c r="F458" s="13" t="s">
        <v>718</v>
      </c>
      <c r="G458" s="12" t="s">
        <v>68</v>
      </c>
      <c r="H458" s="12" t="s">
        <v>719</v>
      </c>
      <c r="I458" s="12" t="s">
        <v>720</v>
      </c>
      <c r="J458" s="17" t="s">
        <v>4597</v>
      </c>
      <c r="K458" s="17" t="s">
        <v>4601</v>
      </c>
      <c r="L458" s="17" t="s">
        <v>4593</v>
      </c>
      <c r="M458" s="17" t="s">
        <v>428</v>
      </c>
      <c r="O458" s="18" t="s">
        <v>638</v>
      </c>
    </row>
    <row r="459">
      <c r="A459" s="11"/>
      <c r="B459" s="12" t="s">
        <v>34</v>
      </c>
      <c r="C459" s="12" t="s">
        <v>65</v>
      </c>
      <c r="D459" s="12" t="s">
        <v>43</v>
      </c>
      <c r="E459" s="12" t="s">
        <v>717</v>
      </c>
      <c r="F459" s="13" t="s">
        <v>718</v>
      </c>
      <c r="G459" s="12" t="s">
        <v>68</v>
      </c>
      <c r="H459" s="12" t="s">
        <v>719</v>
      </c>
      <c r="I459" s="12" t="s">
        <v>720</v>
      </c>
      <c r="J459" s="17" t="s">
        <v>4597</v>
      </c>
      <c r="K459" s="17" t="s">
        <v>4602</v>
      </c>
      <c r="L459" s="17" t="s">
        <v>4593</v>
      </c>
      <c r="M459" s="17" t="s">
        <v>428</v>
      </c>
      <c r="O459" s="18" t="s">
        <v>638</v>
      </c>
    </row>
    <row r="460">
      <c r="A460" s="11"/>
      <c r="B460" s="12" t="s">
        <v>34</v>
      </c>
      <c r="C460" s="12" t="s">
        <v>65</v>
      </c>
      <c r="D460" s="12" t="s">
        <v>43</v>
      </c>
      <c r="E460" s="12" t="s">
        <v>717</v>
      </c>
      <c r="F460" s="13" t="s">
        <v>718</v>
      </c>
      <c r="G460" s="12" t="s">
        <v>68</v>
      </c>
      <c r="H460" s="12" t="s">
        <v>719</v>
      </c>
      <c r="I460" s="12" t="s">
        <v>720</v>
      </c>
      <c r="J460" s="17" t="s">
        <v>4597</v>
      </c>
      <c r="K460" s="17" t="s">
        <v>4603</v>
      </c>
      <c r="L460" s="17" t="s">
        <v>4593</v>
      </c>
      <c r="M460" s="17" t="s">
        <v>428</v>
      </c>
      <c r="O460" s="18" t="s">
        <v>638</v>
      </c>
    </row>
    <row r="461">
      <c r="A461" s="11"/>
      <c r="B461" s="12" t="s">
        <v>34</v>
      </c>
      <c r="C461" s="12" t="s">
        <v>65</v>
      </c>
      <c r="D461" s="12" t="s">
        <v>43</v>
      </c>
      <c r="E461" s="12" t="s">
        <v>773</v>
      </c>
      <c r="F461" s="13" t="s">
        <v>774</v>
      </c>
      <c r="G461" s="12" t="s">
        <v>68</v>
      </c>
      <c r="H461" s="12" t="s">
        <v>775</v>
      </c>
      <c r="I461" s="12" t="s">
        <v>776</v>
      </c>
      <c r="J461" s="17" t="s">
        <v>4591</v>
      </c>
      <c r="K461" s="17" t="s">
        <v>4592</v>
      </c>
      <c r="L461" s="17" t="s">
        <v>4593</v>
      </c>
      <c r="M461" s="17" t="s">
        <v>428</v>
      </c>
      <c r="O461" s="18" t="s">
        <v>638</v>
      </c>
    </row>
    <row r="462">
      <c r="A462" s="11"/>
      <c r="B462" s="12" t="s">
        <v>34</v>
      </c>
      <c r="C462" s="12" t="s">
        <v>65</v>
      </c>
      <c r="D462" s="12" t="s">
        <v>43</v>
      </c>
      <c r="E462" s="12" t="s">
        <v>773</v>
      </c>
      <c r="F462" s="13" t="s">
        <v>774</v>
      </c>
      <c r="G462" s="12" t="s">
        <v>68</v>
      </c>
      <c r="H462" s="12" t="s">
        <v>775</v>
      </c>
      <c r="I462" s="12" t="s">
        <v>776</v>
      </c>
      <c r="J462" s="17" t="s">
        <v>4591</v>
      </c>
      <c r="K462" s="17" t="s">
        <v>4594</v>
      </c>
      <c r="L462" s="17" t="s">
        <v>4604</v>
      </c>
      <c r="M462" s="17" t="s">
        <v>428</v>
      </c>
      <c r="O462" s="18" t="s">
        <v>638</v>
      </c>
    </row>
    <row r="463">
      <c r="A463" s="11"/>
      <c r="B463" s="12" t="s">
        <v>34</v>
      </c>
      <c r="C463" s="12" t="s">
        <v>65</v>
      </c>
      <c r="D463" s="12" t="s">
        <v>43</v>
      </c>
      <c r="E463" s="12" t="s">
        <v>773</v>
      </c>
      <c r="F463" s="13" t="s">
        <v>774</v>
      </c>
      <c r="G463" s="12" t="s">
        <v>68</v>
      </c>
      <c r="H463" s="12" t="s">
        <v>775</v>
      </c>
      <c r="I463" s="12" t="s">
        <v>776</v>
      </c>
      <c r="J463" s="17" t="s">
        <v>4591</v>
      </c>
      <c r="K463" s="17" t="s">
        <v>4595</v>
      </c>
      <c r="L463" s="17" t="s">
        <v>4593</v>
      </c>
      <c r="M463" s="17" t="s">
        <v>428</v>
      </c>
      <c r="O463" s="18" t="s">
        <v>638</v>
      </c>
    </row>
    <row r="464">
      <c r="A464" s="11"/>
      <c r="B464" s="12" t="s">
        <v>34</v>
      </c>
      <c r="C464" s="12" t="s">
        <v>65</v>
      </c>
      <c r="D464" s="12" t="s">
        <v>43</v>
      </c>
      <c r="E464" s="12" t="s">
        <v>773</v>
      </c>
      <c r="F464" s="13" t="s">
        <v>774</v>
      </c>
      <c r="G464" s="12" t="s">
        <v>68</v>
      </c>
      <c r="H464" s="12" t="s">
        <v>775</v>
      </c>
      <c r="I464" s="12" t="s">
        <v>776</v>
      </c>
      <c r="J464" s="17" t="s">
        <v>4591</v>
      </c>
      <c r="K464" s="17" t="s">
        <v>4596</v>
      </c>
      <c r="L464" s="17" t="s">
        <v>4593</v>
      </c>
      <c r="M464" s="17" t="s">
        <v>428</v>
      </c>
      <c r="O464" s="18" t="s">
        <v>638</v>
      </c>
    </row>
    <row r="465">
      <c r="A465" s="11"/>
      <c r="B465" s="12" t="s">
        <v>34</v>
      </c>
      <c r="C465" s="12" t="s">
        <v>65</v>
      </c>
      <c r="D465" s="12" t="s">
        <v>43</v>
      </c>
      <c r="E465" s="12" t="s">
        <v>773</v>
      </c>
      <c r="F465" s="13" t="s">
        <v>774</v>
      </c>
      <c r="G465" s="12" t="s">
        <v>68</v>
      </c>
      <c r="H465" s="12" t="s">
        <v>775</v>
      </c>
      <c r="I465" s="12" t="s">
        <v>776</v>
      </c>
      <c r="J465" s="17" t="s">
        <v>4597</v>
      </c>
      <c r="K465" s="17" t="s">
        <v>4598</v>
      </c>
      <c r="L465" s="17" t="s">
        <v>4593</v>
      </c>
      <c r="M465" s="17" t="s">
        <v>428</v>
      </c>
      <c r="O465" s="18" t="s">
        <v>638</v>
      </c>
    </row>
    <row r="466">
      <c r="A466" s="11"/>
      <c r="B466" s="12" t="s">
        <v>34</v>
      </c>
      <c r="C466" s="12" t="s">
        <v>65</v>
      </c>
      <c r="D466" s="12" t="s">
        <v>43</v>
      </c>
      <c r="E466" s="12" t="s">
        <v>773</v>
      </c>
      <c r="F466" s="13" t="s">
        <v>774</v>
      </c>
      <c r="G466" s="12" t="s">
        <v>68</v>
      </c>
      <c r="H466" s="12" t="s">
        <v>775</v>
      </c>
      <c r="I466" s="12" t="s">
        <v>776</v>
      </c>
      <c r="J466" s="17" t="s">
        <v>4597</v>
      </c>
      <c r="K466" s="17" t="s">
        <v>4600</v>
      </c>
      <c r="L466" s="17" t="s">
        <v>4593</v>
      </c>
      <c r="M466" s="17" t="s">
        <v>428</v>
      </c>
      <c r="O466" s="18" t="s">
        <v>638</v>
      </c>
    </row>
    <row r="467">
      <c r="A467" s="11"/>
      <c r="B467" s="12" t="s">
        <v>34</v>
      </c>
      <c r="C467" s="12" t="s">
        <v>65</v>
      </c>
      <c r="D467" s="12" t="s">
        <v>43</v>
      </c>
      <c r="E467" s="12" t="s">
        <v>773</v>
      </c>
      <c r="F467" s="13" t="s">
        <v>774</v>
      </c>
      <c r="G467" s="12" t="s">
        <v>68</v>
      </c>
      <c r="H467" s="12" t="s">
        <v>775</v>
      </c>
      <c r="I467" s="12" t="s">
        <v>776</v>
      </c>
      <c r="J467" s="17" t="s">
        <v>4597</v>
      </c>
      <c r="K467" s="17" t="s">
        <v>4601</v>
      </c>
      <c r="L467" s="17" t="s">
        <v>4593</v>
      </c>
      <c r="M467" s="17" t="s">
        <v>428</v>
      </c>
      <c r="O467" s="18" t="s">
        <v>638</v>
      </c>
    </row>
    <row r="468">
      <c r="A468" s="11"/>
      <c r="B468" s="12" t="s">
        <v>34</v>
      </c>
      <c r="C468" s="12" t="s">
        <v>65</v>
      </c>
      <c r="D468" s="12" t="s">
        <v>43</v>
      </c>
      <c r="E468" s="12" t="s">
        <v>773</v>
      </c>
      <c r="F468" s="13" t="s">
        <v>774</v>
      </c>
      <c r="G468" s="12" t="s">
        <v>68</v>
      </c>
      <c r="H468" s="12" t="s">
        <v>775</v>
      </c>
      <c r="I468" s="12" t="s">
        <v>776</v>
      </c>
      <c r="J468" s="17" t="s">
        <v>4597</v>
      </c>
      <c r="K468" s="17" t="s">
        <v>4602</v>
      </c>
      <c r="L468" s="17" t="s">
        <v>4604</v>
      </c>
      <c r="M468" s="17" t="s">
        <v>428</v>
      </c>
      <c r="O468" s="18" t="s">
        <v>638</v>
      </c>
    </row>
    <row r="469">
      <c r="A469" s="11"/>
      <c r="B469" s="12" t="s">
        <v>34</v>
      </c>
      <c r="C469" s="12" t="s">
        <v>65</v>
      </c>
      <c r="D469" s="12" t="s">
        <v>43</v>
      </c>
      <c r="E469" s="12" t="s">
        <v>773</v>
      </c>
      <c r="F469" s="13" t="s">
        <v>774</v>
      </c>
      <c r="G469" s="12" t="s">
        <v>68</v>
      </c>
      <c r="H469" s="12" t="s">
        <v>775</v>
      </c>
      <c r="I469" s="12" t="s">
        <v>776</v>
      </c>
      <c r="J469" s="17" t="s">
        <v>4597</v>
      </c>
      <c r="K469" s="17" t="s">
        <v>4603</v>
      </c>
      <c r="L469" s="17" t="s">
        <v>4604</v>
      </c>
      <c r="M469" s="17" t="s">
        <v>428</v>
      </c>
      <c r="O469" s="18" t="s">
        <v>638</v>
      </c>
    </row>
    <row r="470">
      <c r="A470" s="11"/>
      <c r="B470" s="12" t="s">
        <v>34</v>
      </c>
      <c r="C470" s="12" t="s">
        <v>65</v>
      </c>
      <c r="D470" s="12" t="s">
        <v>43</v>
      </c>
      <c r="E470" s="12" t="s">
        <v>691</v>
      </c>
      <c r="F470" s="13" t="s">
        <v>692</v>
      </c>
      <c r="G470" s="12" t="s">
        <v>68</v>
      </c>
      <c r="H470" s="12" t="s">
        <v>693</v>
      </c>
      <c r="I470" s="12" t="s">
        <v>694</v>
      </c>
      <c r="J470" s="17" t="s">
        <v>4591</v>
      </c>
      <c r="K470" s="17" t="s">
        <v>4592</v>
      </c>
      <c r="L470" s="17" t="s">
        <v>4593</v>
      </c>
      <c r="M470" s="17" t="s">
        <v>428</v>
      </c>
      <c r="O470" s="18" t="s">
        <v>638</v>
      </c>
    </row>
    <row r="471">
      <c r="A471" s="11"/>
      <c r="B471" s="12" t="s">
        <v>34</v>
      </c>
      <c r="C471" s="12" t="s">
        <v>65</v>
      </c>
      <c r="D471" s="12" t="s">
        <v>43</v>
      </c>
      <c r="E471" s="12" t="s">
        <v>691</v>
      </c>
      <c r="F471" s="13" t="s">
        <v>692</v>
      </c>
      <c r="G471" s="12" t="s">
        <v>68</v>
      </c>
      <c r="H471" s="12" t="s">
        <v>693</v>
      </c>
      <c r="I471" s="12" t="s">
        <v>694</v>
      </c>
      <c r="J471" s="17" t="s">
        <v>4591</v>
      </c>
      <c r="K471" s="17" t="s">
        <v>4594</v>
      </c>
      <c r="L471" s="17" t="s">
        <v>4599</v>
      </c>
      <c r="M471" s="17" t="s">
        <v>428</v>
      </c>
      <c r="O471" s="18" t="s">
        <v>638</v>
      </c>
    </row>
    <row r="472">
      <c r="A472" s="11"/>
      <c r="B472" s="12" t="s">
        <v>34</v>
      </c>
      <c r="C472" s="12" t="s">
        <v>65</v>
      </c>
      <c r="D472" s="12" t="s">
        <v>43</v>
      </c>
      <c r="E472" s="12" t="s">
        <v>691</v>
      </c>
      <c r="F472" s="13" t="s">
        <v>692</v>
      </c>
      <c r="G472" s="12" t="s">
        <v>68</v>
      </c>
      <c r="H472" s="12" t="s">
        <v>693</v>
      </c>
      <c r="I472" s="12" t="s">
        <v>694</v>
      </c>
      <c r="J472" s="17" t="s">
        <v>4591</v>
      </c>
      <c r="K472" s="17" t="s">
        <v>4595</v>
      </c>
      <c r="L472" s="17" t="s">
        <v>4593</v>
      </c>
      <c r="M472" s="17" t="s">
        <v>428</v>
      </c>
      <c r="O472" s="18" t="s">
        <v>638</v>
      </c>
    </row>
    <row r="473">
      <c r="A473" s="11"/>
      <c r="B473" s="12" t="s">
        <v>34</v>
      </c>
      <c r="C473" s="12" t="s">
        <v>65</v>
      </c>
      <c r="D473" s="12" t="s">
        <v>43</v>
      </c>
      <c r="E473" s="12" t="s">
        <v>691</v>
      </c>
      <c r="F473" s="13" t="s">
        <v>692</v>
      </c>
      <c r="G473" s="12" t="s">
        <v>68</v>
      </c>
      <c r="H473" s="12" t="s">
        <v>693</v>
      </c>
      <c r="I473" s="12" t="s">
        <v>694</v>
      </c>
      <c r="J473" s="17" t="s">
        <v>4591</v>
      </c>
      <c r="K473" s="17" t="s">
        <v>4596</v>
      </c>
      <c r="L473" s="17" t="s">
        <v>4593</v>
      </c>
      <c r="M473" s="17" t="s">
        <v>428</v>
      </c>
      <c r="O473" s="18" t="s">
        <v>638</v>
      </c>
    </row>
    <row r="474">
      <c r="A474" s="11"/>
      <c r="B474" s="12" t="s">
        <v>34</v>
      </c>
      <c r="C474" s="12" t="s">
        <v>65</v>
      </c>
      <c r="D474" s="12" t="s">
        <v>43</v>
      </c>
      <c r="E474" s="12" t="s">
        <v>691</v>
      </c>
      <c r="F474" s="13" t="s">
        <v>692</v>
      </c>
      <c r="G474" s="12" t="s">
        <v>68</v>
      </c>
      <c r="H474" s="12" t="s">
        <v>693</v>
      </c>
      <c r="I474" s="12" t="s">
        <v>694</v>
      </c>
      <c r="J474" s="17" t="s">
        <v>4597</v>
      </c>
      <c r="K474" s="17" t="s">
        <v>4598</v>
      </c>
      <c r="L474" s="17" t="s">
        <v>4593</v>
      </c>
      <c r="M474" s="17" t="s">
        <v>428</v>
      </c>
      <c r="O474" s="18" t="s">
        <v>638</v>
      </c>
    </row>
    <row r="475">
      <c r="A475" s="11"/>
      <c r="B475" s="12" t="s">
        <v>34</v>
      </c>
      <c r="C475" s="12" t="s">
        <v>65</v>
      </c>
      <c r="D475" s="12" t="s">
        <v>43</v>
      </c>
      <c r="E475" s="12" t="s">
        <v>691</v>
      </c>
      <c r="F475" s="13" t="s">
        <v>692</v>
      </c>
      <c r="G475" s="12" t="s">
        <v>68</v>
      </c>
      <c r="H475" s="12" t="s">
        <v>693</v>
      </c>
      <c r="I475" s="12" t="s">
        <v>694</v>
      </c>
      <c r="J475" s="17" t="s">
        <v>4597</v>
      </c>
      <c r="K475" s="17" t="s">
        <v>4600</v>
      </c>
      <c r="L475" s="17" t="s">
        <v>4593</v>
      </c>
      <c r="M475" s="17" t="s">
        <v>428</v>
      </c>
      <c r="O475" s="18" t="s">
        <v>638</v>
      </c>
    </row>
    <row r="476">
      <c r="A476" s="11"/>
      <c r="B476" s="12" t="s">
        <v>34</v>
      </c>
      <c r="C476" s="12" t="s">
        <v>65</v>
      </c>
      <c r="D476" s="12" t="s">
        <v>43</v>
      </c>
      <c r="E476" s="12" t="s">
        <v>691</v>
      </c>
      <c r="F476" s="13" t="s">
        <v>692</v>
      </c>
      <c r="G476" s="12" t="s">
        <v>68</v>
      </c>
      <c r="H476" s="12" t="s">
        <v>693</v>
      </c>
      <c r="I476" s="12" t="s">
        <v>694</v>
      </c>
      <c r="J476" s="17" t="s">
        <v>4597</v>
      </c>
      <c r="K476" s="17" t="s">
        <v>4601</v>
      </c>
      <c r="L476" s="17" t="s">
        <v>4593</v>
      </c>
      <c r="M476" s="17" t="s">
        <v>428</v>
      </c>
      <c r="O476" s="18" t="s">
        <v>638</v>
      </c>
    </row>
    <row r="477">
      <c r="A477" s="11"/>
      <c r="B477" s="12" t="s">
        <v>34</v>
      </c>
      <c r="C477" s="12" t="s">
        <v>65</v>
      </c>
      <c r="D477" s="12" t="s">
        <v>43</v>
      </c>
      <c r="E477" s="12" t="s">
        <v>691</v>
      </c>
      <c r="F477" s="13" t="s">
        <v>692</v>
      </c>
      <c r="G477" s="12" t="s">
        <v>68</v>
      </c>
      <c r="H477" s="12" t="s">
        <v>693</v>
      </c>
      <c r="I477" s="12" t="s">
        <v>694</v>
      </c>
      <c r="J477" s="17" t="s">
        <v>4597</v>
      </c>
      <c r="K477" s="17" t="s">
        <v>4602</v>
      </c>
      <c r="L477" s="17" t="s">
        <v>4599</v>
      </c>
      <c r="M477" s="17" t="s">
        <v>428</v>
      </c>
      <c r="O477" s="18" t="s">
        <v>638</v>
      </c>
    </row>
    <row r="478">
      <c r="A478" s="11"/>
      <c r="B478" s="12" t="s">
        <v>34</v>
      </c>
      <c r="C478" s="12" t="s">
        <v>65</v>
      </c>
      <c r="D478" s="12" t="s">
        <v>43</v>
      </c>
      <c r="E478" s="12" t="s">
        <v>691</v>
      </c>
      <c r="F478" s="13" t="s">
        <v>692</v>
      </c>
      <c r="G478" s="12" t="s">
        <v>68</v>
      </c>
      <c r="H478" s="12" t="s">
        <v>693</v>
      </c>
      <c r="I478" s="12" t="s">
        <v>694</v>
      </c>
      <c r="J478" s="17" t="s">
        <v>4597</v>
      </c>
      <c r="K478" s="17" t="s">
        <v>4603</v>
      </c>
      <c r="L478" s="17" t="s">
        <v>4593</v>
      </c>
      <c r="M478" s="17" t="s">
        <v>428</v>
      </c>
      <c r="O478" s="18" t="s">
        <v>638</v>
      </c>
    </row>
    <row r="479">
      <c r="A479" s="11"/>
      <c r="B479" s="12" t="s">
        <v>34</v>
      </c>
      <c r="C479" s="12" t="s">
        <v>65</v>
      </c>
      <c r="D479" s="12" t="s">
        <v>43</v>
      </c>
      <c r="E479" s="12" t="s">
        <v>224</v>
      </c>
      <c r="F479" s="13" t="s">
        <v>225</v>
      </c>
      <c r="G479" s="12" t="s">
        <v>68</v>
      </c>
      <c r="H479" s="12" t="s">
        <v>226</v>
      </c>
      <c r="I479" s="12" t="s">
        <v>227</v>
      </c>
      <c r="J479" s="17" t="s">
        <v>4591</v>
      </c>
      <c r="K479" s="17" t="s">
        <v>4592</v>
      </c>
      <c r="L479" s="17" t="s">
        <v>4604</v>
      </c>
      <c r="M479" s="17" t="s">
        <v>428</v>
      </c>
      <c r="O479" s="18" t="s">
        <v>76</v>
      </c>
    </row>
    <row r="480">
      <c r="A480" s="11"/>
      <c r="B480" s="12" t="s">
        <v>34</v>
      </c>
      <c r="C480" s="12" t="s">
        <v>65</v>
      </c>
      <c r="D480" s="12" t="s">
        <v>43</v>
      </c>
      <c r="E480" s="12" t="s">
        <v>224</v>
      </c>
      <c r="F480" s="13" t="s">
        <v>225</v>
      </c>
      <c r="G480" s="12" t="s">
        <v>68</v>
      </c>
      <c r="H480" s="12" t="s">
        <v>226</v>
      </c>
      <c r="I480" s="12" t="s">
        <v>227</v>
      </c>
      <c r="J480" s="17" t="s">
        <v>4591</v>
      </c>
      <c r="K480" s="17" t="s">
        <v>4594</v>
      </c>
      <c r="L480" s="17" t="s">
        <v>4593</v>
      </c>
      <c r="M480" s="17" t="s">
        <v>428</v>
      </c>
      <c r="O480" s="18" t="s">
        <v>76</v>
      </c>
    </row>
    <row r="481">
      <c r="A481" s="11"/>
      <c r="B481" s="12" t="s">
        <v>34</v>
      </c>
      <c r="C481" s="12" t="s">
        <v>65</v>
      </c>
      <c r="D481" s="12" t="s">
        <v>43</v>
      </c>
      <c r="E481" s="12" t="s">
        <v>224</v>
      </c>
      <c r="F481" s="13" t="s">
        <v>225</v>
      </c>
      <c r="G481" s="12" t="s">
        <v>68</v>
      </c>
      <c r="H481" s="12" t="s">
        <v>226</v>
      </c>
      <c r="I481" s="12" t="s">
        <v>227</v>
      </c>
      <c r="J481" s="17" t="s">
        <v>4591</v>
      </c>
      <c r="K481" s="17" t="s">
        <v>4595</v>
      </c>
      <c r="L481" s="17" t="s">
        <v>4593</v>
      </c>
      <c r="M481" s="17" t="s">
        <v>428</v>
      </c>
      <c r="O481" s="18" t="s">
        <v>76</v>
      </c>
    </row>
    <row r="482">
      <c r="A482" s="11"/>
      <c r="B482" s="12" t="s">
        <v>34</v>
      </c>
      <c r="C482" s="12" t="s">
        <v>65</v>
      </c>
      <c r="D482" s="12" t="s">
        <v>43</v>
      </c>
      <c r="E482" s="12" t="s">
        <v>224</v>
      </c>
      <c r="F482" s="13" t="s">
        <v>225</v>
      </c>
      <c r="G482" s="12" t="s">
        <v>68</v>
      </c>
      <c r="H482" s="12" t="s">
        <v>226</v>
      </c>
      <c r="I482" s="12" t="s">
        <v>227</v>
      </c>
      <c r="J482" s="17" t="s">
        <v>4591</v>
      </c>
      <c r="K482" s="17" t="s">
        <v>4596</v>
      </c>
      <c r="L482" s="17" t="s">
        <v>4604</v>
      </c>
      <c r="M482" s="17" t="s">
        <v>428</v>
      </c>
      <c r="O482" s="18" t="s">
        <v>76</v>
      </c>
    </row>
    <row r="483">
      <c r="A483" s="11"/>
      <c r="B483" s="12" t="s">
        <v>34</v>
      </c>
      <c r="C483" s="12" t="s">
        <v>65</v>
      </c>
      <c r="D483" s="12" t="s">
        <v>43</v>
      </c>
      <c r="E483" s="12" t="s">
        <v>224</v>
      </c>
      <c r="F483" s="13" t="s">
        <v>225</v>
      </c>
      <c r="G483" s="12" t="s">
        <v>68</v>
      </c>
      <c r="H483" s="12" t="s">
        <v>226</v>
      </c>
      <c r="I483" s="12" t="s">
        <v>227</v>
      </c>
      <c r="J483" s="17" t="s">
        <v>4597</v>
      </c>
      <c r="K483" s="17" t="s">
        <v>4598</v>
      </c>
      <c r="L483" s="17" t="s">
        <v>4604</v>
      </c>
      <c r="M483" s="17" t="s">
        <v>428</v>
      </c>
      <c r="O483" s="18" t="s">
        <v>76</v>
      </c>
    </row>
    <row r="484">
      <c r="A484" s="11"/>
      <c r="B484" s="12" t="s">
        <v>34</v>
      </c>
      <c r="C484" s="12" t="s">
        <v>65</v>
      </c>
      <c r="D484" s="12" t="s">
        <v>43</v>
      </c>
      <c r="E484" s="12" t="s">
        <v>224</v>
      </c>
      <c r="F484" s="13" t="s">
        <v>225</v>
      </c>
      <c r="G484" s="12" t="s">
        <v>68</v>
      </c>
      <c r="H484" s="12" t="s">
        <v>226</v>
      </c>
      <c r="I484" s="12" t="s">
        <v>227</v>
      </c>
      <c r="J484" s="17" t="s">
        <v>4597</v>
      </c>
      <c r="K484" s="17" t="s">
        <v>4600</v>
      </c>
      <c r="L484" s="17" t="s">
        <v>4593</v>
      </c>
      <c r="M484" s="17" t="s">
        <v>428</v>
      </c>
      <c r="O484" s="18" t="s">
        <v>76</v>
      </c>
    </row>
    <row r="485">
      <c r="A485" s="11"/>
      <c r="B485" s="12" t="s">
        <v>34</v>
      </c>
      <c r="C485" s="12" t="s">
        <v>65</v>
      </c>
      <c r="D485" s="12" t="s">
        <v>43</v>
      </c>
      <c r="E485" s="12" t="s">
        <v>224</v>
      </c>
      <c r="F485" s="13" t="s">
        <v>225</v>
      </c>
      <c r="G485" s="12" t="s">
        <v>68</v>
      </c>
      <c r="H485" s="12" t="s">
        <v>226</v>
      </c>
      <c r="I485" s="12" t="s">
        <v>227</v>
      </c>
      <c r="J485" s="17" t="s">
        <v>4597</v>
      </c>
      <c r="K485" s="17" t="s">
        <v>4601</v>
      </c>
      <c r="L485" s="17" t="s">
        <v>4593</v>
      </c>
      <c r="M485" s="17" t="s">
        <v>428</v>
      </c>
      <c r="O485" s="18" t="s">
        <v>76</v>
      </c>
    </row>
    <row r="486">
      <c r="A486" s="11"/>
      <c r="B486" s="12" t="s">
        <v>34</v>
      </c>
      <c r="C486" s="12" t="s">
        <v>65</v>
      </c>
      <c r="D486" s="12" t="s">
        <v>43</v>
      </c>
      <c r="E486" s="12" t="s">
        <v>224</v>
      </c>
      <c r="F486" s="13" t="s">
        <v>225</v>
      </c>
      <c r="G486" s="12" t="s">
        <v>68</v>
      </c>
      <c r="H486" s="12" t="s">
        <v>226</v>
      </c>
      <c r="I486" s="12" t="s">
        <v>227</v>
      </c>
      <c r="J486" s="17" t="s">
        <v>4597</v>
      </c>
      <c r="K486" s="17" t="s">
        <v>4602</v>
      </c>
      <c r="L486" s="17" t="s">
        <v>4604</v>
      </c>
      <c r="M486" s="17" t="s">
        <v>428</v>
      </c>
      <c r="O486" s="18" t="s">
        <v>76</v>
      </c>
    </row>
    <row r="487">
      <c r="A487" s="11"/>
      <c r="B487" s="12" t="s">
        <v>34</v>
      </c>
      <c r="C487" s="12" t="s">
        <v>65</v>
      </c>
      <c r="D487" s="12" t="s">
        <v>43</v>
      </c>
      <c r="E487" s="12" t="s">
        <v>224</v>
      </c>
      <c r="F487" s="13" t="s">
        <v>225</v>
      </c>
      <c r="G487" s="12" t="s">
        <v>68</v>
      </c>
      <c r="H487" s="12" t="s">
        <v>226</v>
      </c>
      <c r="I487" s="12" t="s">
        <v>227</v>
      </c>
      <c r="J487" s="17" t="s">
        <v>4597</v>
      </c>
      <c r="K487" s="17" t="s">
        <v>4603</v>
      </c>
      <c r="L487" s="17" t="s">
        <v>4593</v>
      </c>
      <c r="M487" s="17" t="s">
        <v>428</v>
      </c>
      <c r="O487" s="18" t="s">
        <v>76</v>
      </c>
    </row>
    <row r="488">
      <c r="A488" s="11"/>
      <c r="B488" s="12" t="s">
        <v>43</v>
      </c>
      <c r="C488" s="12" t="s">
        <v>65</v>
      </c>
      <c r="D488" s="12" t="s">
        <v>321</v>
      </c>
      <c r="E488" s="12" t="s">
        <v>321</v>
      </c>
      <c r="F488" s="13" t="s">
        <v>322</v>
      </c>
      <c r="G488" s="12" t="s">
        <v>68</v>
      </c>
      <c r="H488" s="12" t="s">
        <v>323</v>
      </c>
      <c r="I488" s="12" t="s">
        <v>324</v>
      </c>
      <c r="J488" s="17" t="s">
        <v>4591</v>
      </c>
      <c r="K488" s="17" t="s">
        <v>4592</v>
      </c>
      <c r="L488" s="17" t="s">
        <v>4604</v>
      </c>
      <c r="M488" s="17" t="s">
        <v>428</v>
      </c>
      <c r="O488" s="18" t="s">
        <v>76</v>
      </c>
    </row>
    <row r="489">
      <c r="A489" s="11"/>
      <c r="B489" s="12" t="s">
        <v>43</v>
      </c>
      <c r="C489" s="12" t="s">
        <v>65</v>
      </c>
      <c r="D489" s="12" t="s">
        <v>321</v>
      </c>
      <c r="E489" s="12" t="s">
        <v>321</v>
      </c>
      <c r="F489" s="13" t="s">
        <v>322</v>
      </c>
      <c r="G489" s="12" t="s">
        <v>68</v>
      </c>
      <c r="H489" s="12" t="s">
        <v>323</v>
      </c>
      <c r="I489" s="12" t="s">
        <v>324</v>
      </c>
      <c r="J489" s="17" t="s">
        <v>4591</v>
      </c>
      <c r="K489" s="17" t="s">
        <v>4594</v>
      </c>
      <c r="L489" s="17" t="s">
        <v>4593</v>
      </c>
      <c r="M489" s="17" t="s">
        <v>428</v>
      </c>
      <c r="O489" s="18" t="s">
        <v>76</v>
      </c>
    </row>
    <row r="490">
      <c r="A490" s="11"/>
      <c r="B490" s="12" t="s">
        <v>43</v>
      </c>
      <c r="C490" s="12" t="s">
        <v>65</v>
      </c>
      <c r="D490" s="12" t="s">
        <v>321</v>
      </c>
      <c r="E490" s="12" t="s">
        <v>321</v>
      </c>
      <c r="F490" s="13" t="s">
        <v>322</v>
      </c>
      <c r="G490" s="12" t="s">
        <v>68</v>
      </c>
      <c r="H490" s="12" t="s">
        <v>323</v>
      </c>
      <c r="I490" s="12" t="s">
        <v>324</v>
      </c>
      <c r="J490" s="17" t="s">
        <v>4591</v>
      </c>
      <c r="K490" s="17" t="s">
        <v>4595</v>
      </c>
      <c r="L490" s="17" t="s">
        <v>4593</v>
      </c>
      <c r="M490" s="17" t="s">
        <v>428</v>
      </c>
      <c r="O490" s="18" t="s">
        <v>76</v>
      </c>
    </row>
    <row r="491">
      <c r="A491" s="11"/>
      <c r="B491" s="12" t="s">
        <v>43</v>
      </c>
      <c r="C491" s="12" t="s">
        <v>65</v>
      </c>
      <c r="D491" s="12" t="s">
        <v>321</v>
      </c>
      <c r="E491" s="12" t="s">
        <v>321</v>
      </c>
      <c r="F491" s="13" t="s">
        <v>322</v>
      </c>
      <c r="G491" s="12" t="s">
        <v>68</v>
      </c>
      <c r="H491" s="12" t="s">
        <v>323</v>
      </c>
      <c r="I491" s="12" t="s">
        <v>324</v>
      </c>
      <c r="J491" s="17" t="s">
        <v>4591</v>
      </c>
      <c r="K491" s="17" t="s">
        <v>4596</v>
      </c>
      <c r="L491" s="17" t="s">
        <v>4593</v>
      </c>
      <c r="M491" s="17" t="s">
        <v>428</v>
      </c>
      <c r="O491" s="18" t="s">
        <v>76</v>
      </c>
    </row>
    <row r="492">
      <c r="A492" s="11"/>
      <c r="B492" s="12" t="s">
        <v>43</v>
      </c>
      <c r="C492" s="12" t="s">
        <v>65</v>
      </c>
      <c r="D492" s="12" t="s">
        <v>321</v>
      </c>
      <c r="E492" s="12" t="s">
        <v>321</v>
      </c>
      <c r="F492" s="13" t="s">
        <v>322</v>
      </c>
      <c r="G492" s="12" t="s">
        <v>68</v>
      </c>
      <c r="H492" s="12" t="s">
        <v>323</v>
      </c>
      <c r="I492" s="12" t="s">
        <v>324</v>
      </c>
      <c r="J492" s="17" t="s">
        <v>4597</v>
      </c>
      <c r="K492" s="17" t="s">
        <v>4598</v>
      </c>
      <c r="L492" s="17" t="s">
        <v>4593</v>
      </c>
      <c r="M492" s="17" t="s">
        <v>428</v>
      </c>
      <c r="O492" s="18" t="s">
        <v>76</v>
      </c>
    </row>
    <row r="493">
      <c r="A493" s="11"/>
      <c r="B493" s="12" t="s">
        <v>43</v>
      </c>
      <c r="C493" s="12" t="s">
        <v>65</v>
      </c>
      <c r="D493" s="12" t="s">
        <v>321</v>
      </c>
      <c r="E493" s="12" t="s">
        <v>321</v>
      </c>
      <c r="F493" s="13" t="s">
        <v>322</v>
      </c>
      <c r="G493" s="12" t="s">
        <v>68</v>
      </c>
      <c r="H493" s="12" t="s">
        <v>323</v>
      </c>
      <c r="I493" s="12" t="s">
        <v>324</v>
      </c>
      <c r="J493" s="17" t="s">
        <v>4597</v>
      </c>
      <c r="K493" s="17" t="s">
        <v>4600</v>
      </c>
      <c r="L493" s="17" t="s">
        <v>4599</v>
      </c>
      <c r="M493" s="17" t="s">
        <v>428</v>
      </c>
      <c r="O493" s="18" t="s">
        <v>76</v>
      </c>
    </row>
    <row r="494">
      <c r="A494" s="11"/>
      <c r="B494" s="12" t="s">
        <v>43</v>
      </c>
      <c r="C494" s="12" t="s">
        <v>65</v>
      </c>
      <c r="D494" s="12" t="s">
        <v>321</v>
      </c>
      <c r="E494" s="12" t="s">
        <v>321</v>
      </c>
      <c r="F494" s="13" t="s">
        <v>322</v>
      </c>
      <c r="G494" s="12" t="s">
        <v>68</v>
      </c>
      <c r="H494" s="12" t="s">
        <v>323</v>
      </c>
      <c r="I494" s="12" t="s">
        <v>324</v>
      </c>
      <c r="J494" s="17" t="s">
        <v>4597</v>
      </c>
      <c r="K494" s="17" t="s">
        <v>4601</v>
      </c>
      <c r="L494" s="17" t="s">
        <v>4593</v>
      </c>
      <c r="M494" s="17" t="s">
        <v>428</v>
      </c>
      <c r="O494" s="18" t="s">
        <v>76</v>
      </c>
    </row>
    <row r="495">
      <c r="A495" s="11"/>
      <c r="B495" s="12" t="s">
        <v>43</v>
      </c>
      <c r="C495" s="12" t="s">
        <v>65</v>
      </c>
      <c r="D495" s="12" t="s">
        <v>321</v>
      </c>
      <c r="E495" s="12" t="s">
        <v>321</v>
      </c>
      <c r="F495" s="13" t="s">
        <v>322</v>
      </c>
      <c r="G495" s="12" t="s">
        <v>68</v>
      </c>
      <c r="H495" s="12" t="s">
        <v>323</v>
      </c>
      <c r="I495" s="12" t="s">
        <v>324</v>
      </c>
      <c r="J495" s="17" t="s">
        <v>4597</v>
      </c>
      <c r="K495" s="17" t="s">
        <v>4602</v>
      </c>
      <c r="L495" s="17" t="s">
        <v>4599</v>
      </c>
      <c r="M495" s="17" t="s">
        <v>428</v>
      </c>
      <c r="O495" s="18" t="s">
        <v>76</v>
      </c>
    </row>
    <row r="496">
      <c r="A496" s="11"/>
      <c r="B496" s="12" t="s">
        <v>43</v>
      </c>
      <c r="C496" s="12" t="s">
        <v>65</v>
      </c>
      <c r="D496" s="12" t="s">
        <v>321</v>
      </c>
      <c r="E496" s="12" t="s">
        <v>321</v>
      </c>
      <c r="F496" s="13" t="s">
        <v>322</v>
      </c>
      <c r="G496" s="12" t="s">
        <v>68</v>
      </c>
      <c r="H496" s="12" t="s">
        <v>323</v>
      </c>
      <c r="I496" s="12" t="s">
        <v>324</v>
      </c>
      <c r="J496" s="17" t="s">
        <v>4597</v>
      </c>
      <c r="K496" s="17" t="s">
        <v>4603</v>
      </c>
      <c r="L496" s="17" t="s">
        <v>4599</v>
      </c>
      <c r="M496" s="17" t="s">
        <v>428</v>
      </c>
      <c r="O496" s="18" t="s">
        <v>76</v>
      </c>
    </row>
    <row r="497">
      <c r="A497" s="11"/>
      <c r="B497" s="12" t="s">
        <v>43</v>
      </c>
      <c r="C497" s="12" t="s">
        <v>65</v>
      </c>
      <c r="D497" s="12" t="s">
        <v>43</v>
      </c>
      <c r="E497" s="12" t="s">
        <v>188</v>
      </c>
      <c r="F497" s="13" t="s">
        <v>189</v>
      </c>
      <c r="G497" s="12" t="s">
        <v>68</v>
      </c>
      <c r="H497" s="12" t="s">
        <v>190</v>
      </c>
      <c r="I497" s="12" t="s">
        <v>191</v>
      </c>
      <c r="J497" s="17" t="s">
        <v>4591</v>
      </c>
      <c r="K497" s="17" t="s">
        <v>4592</v>
      </c>
      <c r="L497" s="17" t="s">
        <v>4604</v>
      </c>
      <c r="M497" s="17" t="s">
        <v>428</v>
      </c>
      <c r="O497" s="18" t="s">
        <v>76</v>
      </c>
    </row>
    <row r="498">
      <c r="A498" s="11"/>
      <c r="B498" s="12" t="s">
        <v>43</v>
      </c>
      <c r="C498" s="12" t="s">
        <v>65</v>
      </c>
      <c r="D498" s="12" t="s">
        <v>43</v>
      </c>
      <c r="E498" s="12" t="s">
        <v>188</v>
      </c>
      <c r="F498" s="13" t="s">
        <v>189</v>
      </c>
      <c r="G498" s="12" t="s">
        <v>68</v>
      </c>
      <c r="H498" s="12" t="s">
        <v>190</v>
      </c>
      <c r="I498" s="12" t="s">
        <v>191</v>
      </c>
      <c r="J498" s="17" t="s">
        <v>4591</v>
      </c>
      <c r="K498" s="17" t="s">
        <v>4594</v>
      </c>
      <c r="L498" s="17" t="s">
        <v>4593</v>
      </c>
      <c r="M498" s="17" t="s">
        <v>428</v>
      </c>
      <c r="O498" s="18" t="s">
        <v>76</v>
      </c>
    </row>
    <row r="499">
      <c r="A499" s="11"/>
      <c r="B499" s="12" t="s">
        <v>43</v>
      </c>
      <c r="C499" s="12" t="s">
        <v>65</v>
      </c>
      <c r="D499" s="12" t="s">
        <v>43</v>
      </c>
      <c r="E499" s="12" t="s">
        <v>188</v>
      </c>
      <c r="F499" s="13" t="s">
        <v>189</v>
      </c>
      <c r="G499" s="12" t="s">
        <v>68</v>
      </c>
      <c r="H499" s="12" t="s">
        <v>190</v>
      </c>
      <c r="I499" s="12" t="s">
        <v>191</v>
      </c>
      <c r="J499" s="17" t="s">
        <v>4591</v>
      </c>
      <c r="K499" s="17" t="s">
        <v>4595</v>
      </c>
      <c r="L499" s="17" t="s">
        <v>4604</v>
      </c>
      <c r="M499" s="17" t="s">
        <v>428</v>
      </c>
      <c r="O499" s="18" t="s">
        <v>76</v>
      </c>
    </row>
    <row r="500">
      <c r="A500" s="11"/>
      <c r="B500" s="12" t="s">
        <v>43</v>
      </c>
      <c r="C500" s="12" t="s">
        <v>65</v>
      </c>
      <c r="D500" s="12" t="s">
        <v>43</v>
      </c>
      <c r="E500" s="12" t="s">
        <v>188</v>
      </c>
      <c r="F500" s="13" t="s">
        <v>189</v>
      </c>
      <c r="G500" s="12" t="s">
        <v>68</v>
      </c>
      <c r="H500" s="12" t="s">
        <v>190</v>
      </c>
      <c r="I500" s="12" t="s">
        <v>191</v>
      </c>
      <c r="J500" s="17" t="s">
        <v>4591</v>
      </c>
      <c r="K500" s="17" t="s">
        <v>4596</v>
      </c>
      <c r="L500" s="17" t="s">
        <v>4604</v>
      </c>
      <c r="M500" s="17" t="s">
        <v>428</v>
      </c>
      <c r="O500" s="18" t="s">
        <v>76</v>
      </c>
    </row>
    <row r="501">
      <c r="A501" s="11"/>
      <c r="B501" s="12" t="s">
        <v>43</v>
      </c>
      <c r="C501" s="12" t="s">
        <v>65</v>
      </c>
      <c r="D501" s="12" t="s">
        <v>43</v>
      </c>
      <c r="E501" s="12" t="s">
        <v>188</v>
      </c>
      <c r="F501" s="13" t="s">
        <v>189</v>
      </c>
      <c r="G501" s="12" t="s">
        <v>68</v>
      </c>
      <c r="H501" s="12" t="s">
        <v>190</v>
      </c>
      <c r="I501" s="12" t="s">
        <v>191</v>
      </c>
      <c r="J501" s="17" t="s">
        <v>4597</v>
      </c>
      <c r="K501" s="17" t="s">
        <v>4598</v>
      </c>
      <c r="L501" s="17" t="s">
        <v>4593</v>
      </c>
      <c r="M501" s="17" t="s">
        <v>428</v>
      </c>
      <c r="O501" s="18" t="s">
        <v>76</v>
      </c>
    </row>
    <row r="502">
      <c r="A502" s="11"/>
      <c r="B502" s="12" t="s">
        <v>43</v>
      </c>
      <c r="C502" s="12" t="s">
        <v>65</v>
      </c>
      <c r="D502" s="12" t="s">
        <v>43</v>
      </c>
      <c r="E502" s="12" t="s">
        <v>188</v>
      </c>
      <c r="F502" s="13" t="s">
        <v>189</v>
      </c>
      <c r="G502" s="12" t="s">
        <v>68</v>
      </c>
      <c r="H502" s="12" t="s">
        <v>190</v>
      </c>
      <c r="I502" s="12" t="s">
        <v>191</v>
      </c>
      <c r="J502" s="17" t="s">
        <v>4597</v>
      </c>
      <c r="K502" s="17" t="s">
        <v>4600</v>
      </c>
      <c r="L502" s="17" t="s">
        <v>4593</v>
      </c>
      <c r="M502" s="17" t="s">
        <v>428</v>
      </c>
      <c r="O502" s="18" t="s">
        <v>76</v>
      </c>
    </row>
    <row r="503">
      <c r="A503" s="11"/>
      <c r="B503" s="12" t="s">
        <v>43</v>
      </c>
      <c r="C503" s="12" t="s">
        <v>65</v>
      </c>
      <c r="D503" s="12" t="s">
        <v>43</v>
      </c>
      <c r="E503" s="12" t="s">
        <v>188</v>
      </c>
      <c r="F503" s="13" t="s">
        <v>189</v>
      </c>
      <c r="G503" s="12" t="s">
        <v>68</v>
      </c>
      <c r="H503" s="12" t="s">
        <v>190</v>
      </c>
      <c r="I503" s="12" t="s">
        <v>191</v>
      </c>
      <c r="J503" s="17" t="s">
        <v>4597</v>
      </c>
      <c r="K503" s="17" t="s">
        <v>4601</v>
      </c>
      <c r="L503" s="17" t="s">
        <v>4593</v>
      </c>
      <c r="M503" s="17" t="s">
        <v>428</v>
      </c>
      <c r="O503" s="18" t="s">
        <v>76</v>
      </c>
    </row>
    <row r="504">
      <c r="A504" s="11"/>
      <c r="B504" s="12" t="s">
        <v>43</v>
      </c>
      <c r="C504" s="12" t="s">
        <v>65</v>
      </c>
      <c r="D504" s="12" t="s">
        <v>43</v>
      </c>
      <c r="E504" s="12" t="s">
        <v>188</v>
      </c>
      <c r="F504" s="13" t="s">
        <v>189</v>
      </c>
      <c r="G504" s="12" t="s">
        <v>68</v>
      </c>
      <c r="H504" s="12" t="s">
        <v>190</v>
      </c>
      <c r="I504" s="12" t="s">
        <v>191</v>
      </c>
      <c r="J504" s="17" t="s">
        <v>4597</v>
      </c>
      <c r="K504" s="17" t="s">
        <v>4602</v>
      </c>
      <c r="L504" s="17" t="s">
        <v>4593</v>
      </c>
      <c r="M504" s="17" t="s">
        <v>428</v>
      </c>
      <c r="O504" s="18" t="s">
        <v>76</v>
      </c>
    </row>
    <row r="505">
      <c r="A505" s="11"/>
      <c r="B505" s="12" t="s">
        <v>43</v>
      </c>
      <c r="C505" s="12" t="s">
        <v>65</v>
      </c>
      <c r="D505" s="12" t="s">
        <v>43</v>
      </c>
      <c r="E505" s="12" t="s">
        <v>188</v>
      </c>
      <c r="F505" s="13" t="s">
        <v>189</v>
      </c>
      <c r="G505" s="12" t="s">
        <v>68</v>
      </c>
      <c r="H505" s="12" t="s">
        <v>190</v>
      </c>
      <c r="I505" s="12" t="s">
        <v>191</v>
      </c>
      <c r="J505" s="17" t="s">
        <v>4597</v>
      </c>
      <c r="K505" s="17" t="s">
        <v>4603</v>
      </c>
      <c r="L505" s="17" t="s">
        <v>4593</v>
      </c>
      <c r="M505" s="17" t="s">
        <v>428</v>
      </c>
      <c r="O505" s="18" t="s">
        <v>76</v>
      </c>
    </row>
    <row r="506">
      <c r="A506" s="11"/>
      <c r="B506" s="12" t="s">
        <v>43</v>
      </c>
      <c r="C506" s="12" t="s">
        <v>65</v>
      </c>
      <c r="D506" s="12" t="s">
        <v>43</v>
      </c>
      <c r="E506" s="12" t="s">
        <v>203</v>
      </c>
      <c r="F506" s="13" t="s">
        <v>204</v>
      </c>
      <c r="G506" s="12" t="s">
        <v>68</v>
      </c>
      <c r="H506" s="12" t="s">
        <v>205</v>
      </c>
      <c r="I506" s="12" t="s">
        <v>206</v>
      </c>
      <c r="J506" s="17" t="s">
        <v>4591</v>
      </c>
      <c r="K506" s="17" t="s">
        <v>4592</v>
      </c>
      <c r="L506" s="17" t="s">
        <v>4604</v>
      </c>
      <c r="M506" s="17" t="s">
        <v>428</v>
      </c>
      <c r="O506" s="18" t="s">
        <v>76</v>
      </c>
    </row>
    <row r="507">
      <c r="A507" s="11"/>
      <c r="B507" s="12" t="s">
        <v>43</v>
      </c>
      <c r="C507" s="12" t="s">
        <v>65</v>
      </c>
      <c r="D507" s="12" t="s">
        <v>43</v>
      </c>
      <c r="E507" s="12" t="s">
        <v>203</v>
      </c>
      <c r="F507" s="13" t="s">
        <v>204</v>
      </c>
      <c r="G507" s="12" t="s">
        <v>68</v>
      </c>
      <c r="H507" s="12" t="s">
        <v>205</v>
      </c>
      <c r="I507" s="12" t="s">
        <v>206</v>
      </c>
      <c r="J507" s="17" t="s">
        <v>4591</v>
      </c>
      <c r="K507" s="17" t="s">
        <v>4594</v>
      </c>
      <c r="L507" s="17" t="s">
        <v>4593</v>
      </c>
      <c r="M507" s="17" t="s">
        <v>428</v>
      </c>
      <c r="O507" s="18" t="s">
        <v>76</v>
      </c>
    </row>
    <row r="508">
      <c r="A508" s="11"/>
      <c r="B508" s="12" t="s">
        <v>43</v>
      </c>
      <c r="C508" s="12" t="s">
        <v>65</v>
      </c>
      <c r="D508" s="12" t="s">
        <v>43</v>
      </c>
      <c r="E508" s="12" t="s">
        <v>203</v>
      </c>
      <c r="F508" s="13" t="s">
        <v>204</v>
      </c>
      <c r="G508" s="12" t="s">
        <v>68</v>
      </c>
      <c r="H508" s="12" t="s">
        <v>205</v>
      </c>
      <c r="I508" s="12" t="s">
        <v>206</v>
      </c>
      <c r="J508" s="17" t="s">
        <v>4591</v>
      </c>
      <c r="K508" s="17" t="s">
        <v>4595</v>
      </c>
      <c r="L508" s="17" t="s">
        <v>4599</v>
      </c>
      <c r="M508" s="17" t="s">
        <v>428</v>
      </c>
      <c r="O508" s="18" t="s">
        <v>76</v>
      </c>
    </row>
    <row r="509">
      <c r="A509" s="11"/>
      <c r="B509" s="12" t="s">
        <v>43</v>
      </c>
      <c r="C509" s="12" t="s">
        <v>65</v>
      </c>
      <c r="D509" s="12" t="s">
        <v>43</v>
      </c>
      <c r="E509" s="12" t="s">
        <v>203</v>
      </c>
      <c r="F509" s="13" t="s">
        <v>204</v>
      </c>
      <c r="G509" s="12" t="s">
        <v>68</v>
      </c>
      <c r="H509" s="12" t="s">
        <v>205</v>
      </c>
      <c r="I509" s="12" t="s">
        <v>206</v>
      </c>
      <c r="J509" s="17" t="s">
        <v>4591</v>
      </c>
      <c r="K509" s="17" t="s">
        <v>4596</v>
      </c>
      <c r="L509" s="17" t="s">
        <v>4604</v>
      </c>
      <c r="M509" s="17" t="s">
        <v>428</v>
      </c>
      <c r="O509" s="18" t="s">
        <v>76</v>
      </c>
    </row>
    <row r="510">
      <c r="A510" s="11"/>
      <c r="B510" s="23"/>
      <c r="C510" s="23"/>
      <c r="D510" s="23"/>
      <c r="E510" s="23"/>
      <c r="F510" s="13" t="s">
        <v>204</v>
      </c>
      <c r="G510" s="23"/>
      <c r="H510" s="23"/>
      <c r="I510" s="23"/>
      <c r="J510" s="17" t="s">
        <v>4597</v>
      </c>
      <c r="K510" s="17" t="s">
        <v>4598</v>
      </c>
      <c r="L510" s="17" t="s">
        <v>4593</v>
      </c>
      <c r="M510" s="17" t="s">
        <v>428</v>
      </c>
      <c r="O510" s="18" t="s">
        <v>76</v>
      </c>
    </row>
    <row r="511">
      <c r="A511" s="11"/>
      <c r="B511" s="12" t="s">
        <v>43</v>
      </c>
      <c r="C511" s="12" t="s">
        <v>65</v>
      </c>
      <c r="D511" s="12" t="s">
        <v>43</v>
      </c>
      <c r="E511" s="12" t="s">
        <v>203</v>
      </c>
      <c r="F511" s="13" t="s">
        <v>204</v>
      </c>
      <c r="G511" s="12" t="s">
        <v>68</v>
      </c>
      <c r="H511" s="12" t="s">
        <v>205</v>
      </c>
      <c r="I511" s="12" t="s">
        <v>206</v>
      </c>
      <c r="J511" s="17" t="s">
        <v>4597</v>
      </c>
      <c r="K511" s="17" t="s">
        <v>4600</v>
      </c>
      <c r="L511" s="17" t="s">
        <v>4593</v>
      </c>
      <c r="M511" s="17" t="s">
        <v>428</v>
      </c>
      <c r="O511" s="18" t="s">
        <v>76</v>
      </c>
    </row>
    <row r="512">
      <c r="A512" s="11"/>
      <c r="B512" s="12" t="s">
        <v>43</v>
      </c>
      <c r="C512" s="12" t="s">
        <v>65</v>
      </c>
      <c r="D512" s="12" t="s">
        <v>43</v>
      </c>
      <c r="E512" s="12" t="s">
        <v>203</v>
      </c>
      <c r="F512" s="13" t="s">
        <v>204</v>
      </c>
      <c r="G512" s="12" t="s">
        <v>68</v>
      </c>
      <c r="H512" s="12" t="s">
        <v>205</v>
      </c>
      <c r="I512" s="12" t="s">
        <v>206</v>
      </c>
      <c r="J512" s="17" t="s">
        <v>4597</v>
      </c>
      <c r="K512" s="17" t="s">
        <v>4601</v>
      </c>
      <c r="L512" s="17" t="s">
        <v>4593</v>
      </c>
      <c r="M512" s="17" t="s">
        <v>428</v>
      </c>
      <c r="O512" s="18" t="s">
        <v>76</v>
      </c>
    </row>
    <row r="513">
      <c r="A513" s="11"/>
      <c r="B513" s="12" t="s">
        <v>43</v>
      </c>
      <c r="C513" s="12" t="s">
        <v>65</v>
      </c>
      <c r="D513" s="12" t="s">
        <v>43</v>
      </c>
      <c r="E513" s="12" t="s">
        <v>203</v>
      </c>
      <c r="F513" s="13" t="s">
        <v>204</v>
      </c>
      <c r="G513" s="12" t="s">
        <v>68</v>
      </c>
      <c r="H513" s="12" t="s">
        <v>205</v>
      </c>
      <c r="I513" s="12" t="s">
        <v>206</v>
      </c>
      <c r="J513" s="17" t="s">
        <v>4597</v>
      </c>
      <c r="K513" s="17" t="s">
        <v>4602</v>
      </c>
      <c r="L513" s="17" t="s">
        <v>4593</v>
      </c>
      <c r="M513" s="17" t="s">
        <v>428</v>
      </c>
      <c r="O513" s="18" t="s">
        <v>76</v>
      </c>
    </row>
    <row r="514">
      <c r="A514" s="11"/>
      <c r="B514" s="12" t="s">
        <v>43</v>
      </c>
      <c r="C514" s="12" t="s">
        <v>65</v>
      </c>
      <c r="D514" s="12" t="s">
        <v>43</v>
      </c>
      <c r="E514" s="12" t="s">
        <v>203</v>
      </c>
      <c r="F514" s="13" t="s">
        <v>204</v>
      </c>
      <c r="G514" s="12" t="s">
        <v>68</v>
      </c>
      <c r="H514" s="12" t="s">
        <v>205</v>
      </c>
      <c r="I514" s="12" t="s">
        <v>206</v>
      </c>
      <c r="J514" s="17" t="s">
        <v>4597</v>
      </c>
      <c r="K514" s="17" t="s">
        <v>4603</v>
      </c>
      <c r="L514" s="17" t="s">
        <v>4593</v>
      </c>
      <c r="M514" s="17" t="s">
        <v>428</v>
      </c>
      <c r="O514" s="18" t="s">
        <v>76</v>
      </c>
    </row>
    <row r="515">
      <c r="A515" s="11"/>
      <c r="B515" s="12" t="s">
        <v>43</v>
      </c>
      <c r="C515" s="12" t="s">
        <v>65</v>
      </c>
      <c r="D515" s="12" t="s">
        <v>43</v>
      </c>
      <c r="E515" s="12" t="s">
        <v>66</v>
      </c>
      <c r="F515" s="13" t="s">
        <v>67</v>
      </c>
      <c r="G515" s="12" t="s">
        <v>68</v>
      </c>
      <c r="H515" s="12" t="s">
        <v>69</v>
      </c>
      <c r="I515" s="12" t="s">
        <v>70</v>
      </c>
      <c r="J515" s="17" t="s">
        <v>4591</v>
      </c>
      <c r="K515" s="17" t="s">
        <v>4592</v>
      </c>
      <c r="L515" s="17" t="s">
        <v>4604</v>
      </c>
      <c r="M515" s="17" t="s">
        <v>428</v>
      </c>
      <c r="O515" s="18" t="s">
        <v>76</v>
      </c>
    </row>
    <row r="516">
      <c r="A516" s="11"/>
      <c r="B516" s="12" t="s">
        <v>43</v>
      </c>
      <c r="C516" s="12" t="s">
        <v>65</v>
      </c>
      <c r="D516" s="12" t="s">
        <v>43</v>
      </c>
      <c r="E516" s="12" t="s">
        <v>66</v>
      </c>
      <c r="F516" s="13" t="s">
        <v>67</v>
      </c>
      <c r="G516" s="12" t="s">
        <v>68</v>
      </c>
      <c r="H516" s="12" t="s">
        <v>69</v>
      </c>
      <c r="I516" s="12" t="s">
        <v>70</v>
      </c>
      <c r="J516" s="17" t="s">
        <v>4591</v>
      </c>
      <c r="K516" s="17" t="s">
        <v>4594</v>
      </c>
      <c r="L516" s="17" t="s">
        <v>4604</v>
      </c>
      <c r="M516" s="17" t="s">
        <v>428</v>
      </c>
      <c r="O516" s="18" t="s">
        <v>76</v>
      </c>
    </row>
    <row r="517">
      <c r="A517" s="11"/>
      <c r="B517" s="12" t="s">
        <v>43</v>
      </c>
      <c r="C517" s="12" t="s">
        <v>65</v>
      </c>
      <c r="D517" s="12" t="s">
        <v>43</v>
      </c>
      <c r="E517" s="12" t="s">
        <v>66</v>
      </c>
      <c r="F517" s="13" t="s">
        <v>67</v>
      </c>
      <c r="G517" s="12" t="s">
        <v>68</v>
      </c>
      <c r="H517" s="12" t="s">
        <v>69</v>
      </c>
      <c r="I517" s="12" t="s">
        <v>70</v>
      </c>
      <c r="J517" s="17" t="s">
        <v>4591</v>
      </c>
      <c r="K517" s="17" t="s">
        <v>4595</v>
      </c>
      <c r="L517" s="17" t="s">
        <v>4604</v>
      </c>
      <c r="M517" s="17" t="s">
        <v>428</v>
      </c>
      <c r="O517" s="18" t="s">
        <v>76</v>
      </c>
    </row>
    <row r="518">
      <c r="A518" s="11"/>
      <c r="B518" s="12" t="s">
        <v>43</v>
      </c>
      <c r="C518" s="12" t="s">
        <v>65</v>
      </c>
      <c r="D518" s="12" t="s">
        <v>43</v>
      </c>
      <c r="E518" s="12" t="s">
        <v>66</v>
      </c>
      <c r="F518" s="13" t="s">
        <v>67</v>
      </c>
      <c r="G518" s="12" t="s">
        <v>68</v>
      </c>
      <c r="H518" s="12" t="s">
        <v>69</v>
      </c>
      <c r="I518" s="12" t="s">
        <v>70</v>
      </c>
      <c r="J518" s="17" t="s">
        <v>4591</v>
      </c>
      <c r="K518" s="17" t="s">
        <v>4596</v>
      </c>
      <c r="L518" s="17" t="s">
        <v>4604</v>
      </c>
      <c r="M518" s="17" t="s">
        <v>428</v>
      </c>
      <c r="O518" s="18" t="s">
        <v>76</v>
      </c>
    </row>
    <row r="519">
      <c r="A519" s="11"/>
      <c r="B519" s="12" t="s">
        <v>43</v>
      </c>
      <c r="C519" s="12" t="s">
        <v>65</v>
      </c>
      <c r="D519" s="12" t="s">
        <v>43</v>
      </c>
      <c r="E519" s="12" t="s">
        <v>66</v>
      </c>
      <c r="F519" s="13" t="s">
        <v>67</v>
      </c>
      <c r="G519" s="12" t="s">
        <v>68</v>
      </c>
      <c r="H519" s="12" t="s">
        <v>69</v>
      </c>
      <c r="I519" s="12" t="s">
        <v>70</v>
      </c>
      <c r="J519" s="17" t="s">
        <v>4597</v>
      </c>
      <c r="K519" s="17" t="s">
        <v>4598</v>
      </c>
      <c r="L519" s="17" t="s">
        <v>4604</v>
      </c>
      <c r="M519" s="17" t="s">
        <v>428</v>
      </c>
      <c r="O519" s="18" t="s">
        <v>76</v>
      </c>
    </row>
    <row r="520">
      <c r="A520" s="11"/>
      <c r="B520" s="12" t="s">
        <v>43</v>
      </c>
      <c r="C520" s="12" t="s">
        <v>65</v>
      </c>
      <c r="D520" s="12" t="s">
        <v>43</v>
      </c>
      <c r="E520" s="12" t="s">
        <v>66</v>
      </c>
      <c r="F520" s="13" t="s">
        <v>67</v>
      </c>
      <c r="G520" s="12" t="s">
        <v>68</v>
      </c>
      <c r="H520" s="12" t="s">
        <v>69</v>
      </c>
      <c r="I520" s="12" t="s">
        <v>70</v>
      </c>
      <c r="J520" s="17" t="s">
        <v>4597</v>
      </c>
      <c r="K520" s="17" t="s">
        <v>4600</v>
      </c>
      <c r="L520" s="17" t="s">
        <v>4593</v>
      </c>
      <c r="M520" s="17" t="s">
        <v>428</v>
      </c>
      <c r="O520" s="18" t="s">
        <v>76</v>
      </c>
    </row>
    <row r="521">
      <c r="A521" s="11"/>
      <c r="B521" s="12" t="s">
        <v>43</v>
      </c>
      <c r="C521" s="12" t="s">
        <v>65</v>
      </c>
      <c r="D521" s="12" t="s">
        <v>43</v>
      </c>
      <c r="E521" s="12" t="s">
        <v>66</v>
      </c>
      <c r="F521" s="13" t="s">
        <v>67</v>
      </c>
      <c r="G521" s="12" t="s">
        <v>68</v>
      </c>
      <c r="H521" s="12" t="s">
        <v>69</v>
      </c>
      <c r="I521" s="12" t="s">
        <v>70</v>
      </c>
      <c r="J521" s="17" t="s">
        <v>4597</v>
      </c>
      <c r="K521" s="17" t="s">
        <v>4601</v>
      </c>
      <c r="L521" s="17" t="s">
        <v>4604</v>
      </c>
      <c r="M521" s="17" t="s">
        <v>428</v>
      </c>
      <c r="O521" s="18" t="s">
        <v>76</v>
      </c>
    </row>
    <row r="522">
      <c r="A522" s="11"/>
      <c r="B522" s="12" t="s">
        <v>43</v>
      </c>
      <c r="C522" s="12" t="s">
        <v>65</v>
      </c>
      <c r="D522" s="12" t="s">
        <v>43</v>
      </c>
      <c r="E522" s="12" t="s">
        <v>66</v>
      </c>
      <c r="F522" s="13" t="s">
        <v>67</v>
      </c>
      <c r="G522" s="12" t="s">
        <v>68</v>
      </c>
      <c r="H522" s="12" t="s">
        <v>69</v>
      </c>
      <c r="I522" s="12" t="s">
        <v>70</v>
      </c>
      <c r="J522" s="17" t="s">
        <v>4597</v>
      </c>
      <c r="K522" s="17" t="s">
        <v>4602</v>
      </c>
      <c r="L522" s="17" t="s">
        <v>4593</v>
      </c>
      <c r="M522" s="17" t="s">
        <v>428</v>
      </c>
      <c r="O522" s="18" t="s">
        <v>76</v>
      </c>
    </row>
    <row r="523">
      <c r="A523" s="11"/>
      <c r="B523" s="12" t="s">
        <v>43</v>
      </c>
      <c r="C523" s="12" t="s">
        <v>65</v>
      </c>
      <c r="D523" s="12" t="s">
        <v>43</v>
      </c>
      <c r="E523" s="12" t="s">
        <v>66</v>
      </c>
      <c r="F523" s="13" t="s">
        <v>67</v>
      </c>
      <c r="G523" s="12" t="s">
        <v>68</v>
      </c>
      <c r="H523" s="12" t="s">
        <v>69</v>
      </c>
      <c r="I523" s="12" t="s">
        <v>70</v>
      </c>
      <c r="J523" s="17" t="s">
        <v>4597</v>
      </c>
      <c r="K523" s="17" t="s">
        <v>4603</v>
      </c>
      <c r="L523" s="17" t="s">
        <v>4593</v>
      </c>
      <c r="M523" s="17" t="s">
        <v>428</v>
      </c>
      <c r="O523" s="18" t="s">
        <v>76</v>
      </c>
    </row>
    <row r="524">
      <c r="A524" s="11"/>
      <c r="B524" s="23"/>
      <c r="C524" s="23"/>
      <c r="D524" s="23"/>
      <c r="E524" s="23"/>
      <c r="F524" s="1"/>
      <c r="G524" s="23"/>
      <c r="H524" s="23"/>
      <c r="I524" s="23"/>
      <c r="J524" s="2"/>
      <c r="K524" s="2"/>
      <c r="L524" s="2"/>
      <c r="M524" s="2"/>
      <c r="O524" s="24"/>
    </row>
    <row r="525">
      <c r="A525" s="11"/>
      <c r="B525" s="23"/>
      <c r="C525" s="23"/>
      <c r="D525" s="23"/>
      <c r="E525" s="23"/>
      <c r="F525" s="1"/>
      <c r="G525" s="23"/>
      <c r="H525" s="23"/>
      <c r="I525" s="23"/>
      <c r="J525" s="2"/>
      <c r="K525" s="2"/>
      <c r="L525" s="2"/>
      <c r="M525" s="2"/>
      <c r="O525" s="24"/>
    </row>
    <row r="526">
      <c r="A526" s="11"/>
      <c r="B526" s="23"/>
      <c r="C526" s="23"/>
      <c r="D526" s="23"/>
      <c r="E526" s="23"/>
      <c r="F526" s="1"/>
      <c r="G526" s="23"/>
      <c r="H526" s="23"/>
      <c r="I526" s="23"/>
      <c r="J526" s="2"/>
      <c r="K526" s="2"/>
      <c r="L526" s="2"/>
      <c r="M526" s="2"/>
      <c r="O526" s="24"/>
    </row>
    <row r="527">
      <c r="A527" s="11"/>
      <c r="B527" s="23"/>
      <c r="C527" s="23"/>
      <c r="D527" s="23"/>
      <c r="E527" s="23"/>
      <c r="F527" s="1"/>
      <c r="G527" s="23"/>
      <c r="H527" s="23"/>
      <c r="I527" s="23"/>
      <c r="J527" s="2"/>
      <c r="K527" s="2"/>
      <c r="L527" s="2"/>
      <c r="M527" s="2"/>
      <c r="O527" s="24"/>
    </row>
    <row r="528">
      <c r="A528" s="11"/>
      <c r="B528" s="23"/>
      <c r="C528" s="23"/>
      <c r="D528" s="23"/>
      <c r="E528" s="23"/>
      <c r="F528" s="1"/>
      <c r="G528" s="23"/>
      <c r="H528" s="23"/>
      <c r="I528" s="23"/>
      <c r="J528" s="2"/>
      <c r="K528" s="2"/>
      <c r="L528" s="2"/>
      <c r="M528" s="2"/>
      <c r="O528" s="24"/>
    </row>
    <row r="529">
      <c r="A529" s="11"/>
      <c r="B529" s="23"/>
      <c r="C529" s="23"/>
      <c r="D529" s="23"/>
      <c r="E529" s="23"/>
      <c r="F529" s="1"/>
      <c r="G529" s="23"/>
      <c r="H529" s="23"/>
      <c r="I529" s="23"/>
      <c r="J529" s="2"/>
      <c r="K529" s="2"/>
      <c r="L529" s="2"/>
      <c r="M529" s="2"/>
      <c r="O529" s="24"/>
    </row>
    <row r="530">
      <c r="A530" s="11"/>
      <c r="B530" s="23"/>
      <c r="C530" s="23"/>
      <c r="D530" s="23"/>
      <c r="E530" s="23"/>
      <c r="F530" s="1"/>
      <c r="G530" s="23"/>
      <c r="H530" s="23"/>
      <c r="I530" s="23"/>
      <c r="J530" s="2"/>
      <c r="K530" s="2"/>
      <c r="L530" s="2"/>
      <c r="M530" s="2"/>
      <c r="O530" s="24"/>
    </row>
    <row r="531">
      <c r="A531" s="11"/>
      <c r="B531" s="23"/>
      <c r="C531" s="23"/>
      <c r="D531" s="23"/>
      <c r="E531" s="23"/>
      <c r="F531" s="1"/>
      <c r="G531" s="23"/>
      <c r="H531" s="23"/>
      <c r="I531" s="23"/>
      <c r="J531" s="2"/>
      <c r="K531" s="2"/>
      <c r="L531" s="2"/>
      <c r="M531" s="2"/>
      <c r="O531" s="24"/>
    </row>
    <row r="532">
      <c r="A532" s="11"/>
      <c r="B532" s="23"/>
      <c r="C532" s="23"/>
      <c r="D532" s="23"/>
      <c r="E532" s="23"/>
      <c r="F532" s="1"/>
      <c r="G532" s="23"/>
      <c r="H532" s="23"/>
      <c r="I532" s="23"/>
      <c r="J532" s="2"/>
      <c r="K532" s="2"/>
      <c r="L532" s="2"/>
      <c r="M532" s="2"/>
      <c r="O532" s="24"/>
    </row>
    <row r="533">
      <c r="A533" s="11"/>
      <c r="B533" s="23"/>
      <c r="C533" s="23"/>
      <c r="D533" s="23"/>
      <c r="E533" s="23"/>
      <c r="F533" s="1"/>
      <c r="G533" s="23"/>
      <c r="H533" s="23"/>
      <c r="I533" s="23"/>
      <c r="J533" s="2"/>
      <c r="K533" s="2"/>
      <c r="L533" s="2"/>
      <c r="M533" s="2"/>
      <c r="O533" s="24"/>
    </row>
    <row r="534">
      <c r="A534" s="11"/>
      <c r="B534" s="23"/>
      <c r="C534" s="23"/>
      <c r="D534" s="23"/>
      <c r="E534" s="23"/>
      <c r="F534" s="1"/>
      <c r="G534" s="23"/>
      <c r="H534" s="23"/>
      <c r="I534" s="23"/>
      <c r="J534" s="2"/>
      <c r="K534" s="2"/>
      <c r="L534" s="2"/>
      <c r="M534" s="2"/>
      <c r="O534" s="24"/>
    </row>
    <row r="535">
      <c r="A535" s="11"/>
      <c r="B535" s="23"/>
      <c r="C535" s="23"/>
      <c r="D535" s="23"/>
      <c r="E535" s="23"/>
      <c r="F535" s="1"/>
      <c r="G535" s="23"/>
      <c r="H535" s="23"/>
      <c r="I535" s="23"/>
      <c r="J535" s="2"/>
      <c r="K535" s="2"/>
      <c r="L535" s="2"/>
      <c r="M535" s="2"/>
      <c r="O535" s="24"/>
    </row>
    <row r="536">
      <c r="A536" s="11"/>
      <c r="B536" s="23"/>
      <c r="C536" s="23"/>
      <c r="D536" s="23"/>
      <c r="E536" s="23"/>
      <c r="F536" s="1"/>
      <c r="G536" s="23"/>
      <c r="H536" s="23"/>
      <c r="I536" s="23"/>
      <c r="J536" s="2"/>
      <c r="K536" s="2"/>
      <c r="L536" s="2"/>
      <c r="M536" s="2"/>
      <c r="O536" s="24"/>
    </row>
    <row r="537">
      <c r="A537" s="11"/>
      <c r="B537" s="23"/>
      <c r="C537" s="23"/>
      <c r="D537" s="23"/>
      <c r="E537" s="23"/>
      <c r="F537" s="1"/>
      <c r="G537" s="23"/>
      <c r="H537" s="23"/>
      <c r="I537" s="23"/>
      <c r="J537" s="2"/>
      <c r="K537" s="2"/>
      <c r="L537" s="2"/>
      <c r="M537" s="2"/>
      <c r="O537" s="24"/>
    </row>
    <row r="538">
      <c r="A538" s="11"/>
      <c r="B538" s="23"/>
      <c r="C538" s="23"/>
      <c r="D538" s="23"/>
      <c r="E538" s="23"/>
      <c r="F538" s="1"/>
      <c r="G538" s="23"/>
      <c r="H538" s="23"/>
      <c r="I538" s="23"/>
      <c r="J538" s="2"/>
      <c r="K538" s="2"/>
      <c r="L538" s="2"/>
      <c r="M538" s="2"/>
      <c r="O538" s="24"/>
    </row>
    <row r="539">
      <c r="A539" s="11"/>
      <c r="B539" s="23"/>
      <c r="C539" s="23"/>
      <c r="D539" s="23"/>
      <c r="E539" s="23"/>
      <c r="F539" s="1"/>
      <c r="G539" s="23"/>
      <c r="H539" s="23"/>
      <c r="I539" s="23"/>
      <c r="J539" s="2"/>
      <c r="K539" s="2"/>
      <c r="L539" s="2"/>
      <c r="M539" s="2"/>
      <c r="O539" s="24"/>
    </row>
    <row r="540">
      <c r="A540" s="11"/>
      <c r="B540" s="23"/>
      <c r="C540" s="23"/>
      <c r="D540" s="23"/>
      <c r="E540" s="23"/>
      <c r="F540" s="1"/>
      <c r="G540" s="23"/>
      <c r="H540" s="23"/>
      <c r="I540" s="23"/>
      <c r="J540" s="2"/>
      <c r="K540" s="2"/>
      <c r="L540" s="2"/>
      <c r="M540" s="2"/>
      <c r="O540" s="24"/>
    </row>
    <row r="541">
      <c r="A541" s="11"/>
      <c r="B541" s="23"/>
      <c r="C541" s="23"/>
      <c r="D541" s="23"/>
      <c r="E541" s="23"/>
      <c r="F541" s="1"/>
      <c r="G541" s="23"/>
      <c r="H541" s="23"/>
      <c r="I541" s="23"/>
      <c r="J541" s="2"/>
      <c r="K541" s="2"/>
      <c r="L541" s="2"/>
      <c r="M541" s="2"/>
      <c r="O541" s="24"/>
    </row>
    <row r="542">
      <c r="A542" s="11"/>
      <c r="B542" s="23"/>
      <c r="C542" s="23"/>
      <c r="D542" s="23"/>
      <c r="E542" s="23"/>
      <c r="F542" s="1"/>
      <c r="G542" s="23"/>
      <c r="H542" s="23"/>
      <c r="I542" s="23"/>
      <c r="J542" s="2"/>
      <c r="K542" s="2"/>
      <c r="L542" s="2"/>
      <c r="M542" s="2"/>
      <c r="O542" s="24"/>
    </row>
    <row r="543">
      <c r="A543" s="11"/>
      <c r="B543" s="23"/>
      <c r="C543" s="23"/>
      <c r="D543" s="23"/>
      <c r="E543" s="23"/>
      <c r="F543" s="1"/>
      <c r="G543" s="23"/>
      <c r="H543" s="23"/>
      <c r="I543" s="23"/>
      <c r="J543" s="2"/>
      <c r="K543" s="2"/>
      <c r="L543" s="2"/>
      <c r="M543" s="2"/>
      <c r="O543" s="24"/>
    </row>
    <row r="544">
      <c r="A544" s="11"/>
      <c r="B544" s="23"/>
      <c r="C544" s="23"/>
      <c r="D544" s="23"/>
      <c r="E544" s="23"/>
      <c r="F544" s="1"/>
      <c r="G544" s="23"/>
      <c r="H544" s="23"/>
      <c r="I544" s="23"/>
      <c r="J544" s="2"/>
      <c r="K544" s="2"/>
      <c r="L544" s="2"/>
      <c r="M544" s="2"/>
      <c r="O544" s="24"/>
    </row>
    <row r="545">
      <c r="A545" s="11"/>
      <c r="B545" s="23"/>
      <c r="C545" s="23"/>
      <c r="D545" s="23"/>
      <c r="E545" s="23"/>
      <c r="F545" s="1"/>
      <c r="G545" s="23"/>
      <c r="H545" s="23"/>
      <c r="I545" s="23"/>
      <c r="J545" s="2"/>
      <c r="K545" s="2"/>
      <c r="L545" s="2"/>
      <c r="M545" s="2"/>
      <c r="O545" s="24"/>
    </row>
    <row r="546">
      <c r="A546" s="11"/>
      <c r="B546" s="23"/>
      <c r="C546" s="23"/>
      <c r="D546" s="23"/>
      <c r="E546" s="23"/>
      <c r="F546" s="1"/>
      <c r="G546" s="23"/>
      <c r="H546" s="23"/>
      <c r="I546" s="23"/>
      <c r="J546" s="2"/>
      <c r="K546" s="2"/>
      <c r="L546" s="2"/>
      <c r="M546" s="2"/>
      <c r="O546" s="24"/>
    </row>
    <row r="547">
      <c r="A547" s="11"/>
      <c r="B547" s="23"/>
      <c r="C547" s="23"/>
      <c r="D547" s="23"/>
      <c r="E547" s="23"/>
      <c r="F547" s="1"/>
      <c r="G547" s="23"/>
      <c r="H547" s="23"/>
      <c r="I547" s="23"/>
      <c r="J547" s="2"/>
      <c r="K547" s="2"/>
      <c r="L547" s="2"/>
      <c r="M547" s="2"/>
      <c r="O547" s="24"/>
    </row>
    <row r="548">
      <c r="A548" s="11"/>
      <c r="B548" s="23"/>
      <c r="C548" s="23"/>
      <c r="D548" s="23"/>
      <c r="E548" s="23"/>
      <c r="F548" s="1"/>
      <c r="G548" s="23"/>
      <c r="H548" s="23"/>
      <c r="I548" s="23"/>
      <c r="J548" s="2"/>
      <c r="K548" s="2"/>
      <c r="L548" s="2"/>
      <c r="M548" s="2"/>
      <c r="O548" s="24"/>
    </row>
    <row r="549">
      <c r="A549" s="11"/>
      <c r="B549" s="23"/>
      <c r="C549" s="23"/>
      <c r="D549" s="23"/>
      <c r="E549" s="23"/>
      <c r="F549" s="1"/>
      <c r="G549" s="23"/>
      <c r="H549" s="23"/>
      <c r="I549" s="23"/>
      <c r="J549" s="2"/>
      <c r="K549" s="2"/>
      <c r="L549" s="2"/>
      <c r="M549" s="2"/>
      <c r="O549" s="24"/>
    </row>
    <row r="550">
      <c r="A550" s="11"/>
      <c r="B550" s="23"/>
      <c r="C550" s="23"/>
      <c r="D550" s="23"/>
      <c r="E550" s="23"/>
      <c r="F550" s="1"/>
      <c r="G550" s="23"/>
      <c r="H550" s="23"/>
      <c r="I550" s="23"/>
      <c r="J550" s="2"/>
      <c r="K550" s="2"/>
      <c r="L550" s="2"/>
      <c r="M550" s="2"/>
      <c r="O550" s="24"/>
    </row>
    <row r="551">
      <c r="A551" s="11"/>
      <c r="B551" s="23"/>
      <c r="C551" s="23"/>
      <c r="D551" s="23"/>
      <c r="E551" s="23"/>
      <c r="F551" s="1"/>
      <c r="G551" s="23"/>
      <c r="H551" s="23"/>
      <c r="I551" s="23"/>
      <c r="J551" s="2"/>
      <c r="K551" s="2"/>
      <c r="L551" s="2"/>
      <c r="M551" s="2"/>
      <c r="O551" s="24"/>
    </row>
    <row r="552">
      <c r="A552" s="11"/>
      <c r="B552" s="23"/>
      <c r="C552" s="23"/>
      <c r="D552" s="23"/>
      <c r="E552" s="23"/>
      <c r="F552" s="1"/>
      <c r="G552" s="23"/>
      <c r="H552" s="23"/>
      <c r="I552" s="23"/>
      <c r="J552" s="2"/>
      <c r="K552" s="2"/>
      <c r="L552" s="2"/>
      <c r="M552" s="2"/>
      <c r="O552" s="24"/>
    </row>
    <row r="553">
      <c r="A553" s="11"/>
      <c r="B553" s="23"/>
      <c r="C553" s="23"/>
      <c r="D553" s="23"/>
      <c r="E553" s="23"/>
      <c r="F553" s="1"/>
      <c r="G553" s="23"/>
      <c r="H553" s="23"/>
      <c r="I553" s="23"/>
      <c r="J553" s="2"/>
      <c r="K553" s="2"/>
      <c r="L553" s="2"/>
      <c r="M553" s="2"/>
      <c r="O553" s="24"/>
    </row>
    <row r="554">
      <c r="A554" s="11"/>
      <c r="B554" s="23"/>
      <c r="C554" s="23"/>
      <c r="D554" s="23"/>
      <c r="E554" s="23"/>
      <c r="F554" s="1"/>
      <c r="G554" s="23"/>
      <c r="H554" s="23"/>
      <c r="I554" s="23"/>
      <c r="J554" s="2"/>
      <c r="K554" s="2"/>
      <c r="L554" s="2"/>
      <c r="M554" s="2"/>
      <c r="O554" s="24"/>
    </row>
    <row r="555">
      <c r="A555" s="11"/>
      <c r="B555" s="23"/>
      <c r="C555" s="23"/>
      <c r="D555" s="23"/>
      <c r="E555" s="23"/>
      <c r="F555" s="1"/>
      <c r="G555" s="23"/>
      <c r="H555" s="23"/>
      <c r="I555" s="23"/>
      <c r="J555" s="2"/>
      <c r="K555" s="2"/>
      <c r="L555" s="2"/>
      <c r="M555" s="2"/>
      <c r="O555" s="24"/>
    </row>
    <row r="556">
      <c r="A556" s="11"/>
      <c r="B556" s="23"/>
      <c r="C556" s="23"/>
      <c r="D556" s="23"/>
      <c r="E556" s="23"/>
      <c r="F556" s="1"/>
      <c r="G556" s="23"/>
      <c r="H556" s="23"/>
      <c r="I556" s="23"/>
      <c r="J556" s="2"/>
      <c r="K556" s="2"/>
      <c r="L556" s="2"/>
      <c r="M556" s="2"/>
      <c r="O556" s="24"/>
    </row>
    <row r="557">
      <c r="A557" s="11"/>
      <c r="B557" s="23"/>
      <c r="C557" s="23"/>
      <c r="D557" s="23"/>
      <c r="E557" s="23"/>
      <c r="F557" s="1"/>
      <c r="G557" s="23"/>
      <c r="H557" s="23"/>
      <c r="I557" s="23"/>
      <c r="J557" s="2"/>
      <c r="K557" s="2"/>
      <c r="L557" s="2"/>
      <c r="M557" s="2"/>
      <c r="O557" s="24"/>
    </row>
    <row r="558">
      <c r="A558" s="11"/>
      <c r="B558" s="23"/>
      <c r="C558" s="23"/>
      <c r="D558" s="23"/>
      <c r="E558" s="23"/>
      <c r="F558" s="1"/>
      <c r="G558" s="23"/>
      <c r="H558" s="23"/>
      <c r="I558" s="23"/>
      <c r="J558" s="2"/>
      <c r="K558" s="2"/>
      <c r="L558" s="2"/>
      <c r="M558" s="2"/>
      <c r="O558" s="24"/>
    </row>
    <row r="559">
      <c r="A559" s="11"/>
      <c r="B559" s="23"/>
      <c r="C559" s="23"/>
      <c r="D559" s="23"/>
      <c r="E559" s="23"/>
      <c r="F559" s="1"/>
      <c r="G559" s="23"/>
      <c r="H559" s="23"/>
      <c r="I559" s="23"/>
      <c r="J559" s="2"/>
      <c r="K559" s="2"/>
      <c r="L559" s="2"/>
      <c r="M559" s="2"/>
      <c r="O559" s="24"/>
    </row>
    <row r="560">
      <c r="A560" s="11"/>
      <c r="B560" s="23"/>
      <c r="C560" s="23"/>
      <c r="D560" s="23"/>
      <c r="E560" s="23"/>
      <c r="F560" s="1"/>
      <c r="G560" s="23"/>
      <c r="H560" s="23"/>
      <c r="I560" s="23"/>
      <c r="J560" s="2"/>
      <c r="K560" s="2"/>
      <c r="L560" s="2"/>
      <c r="M560" s="2"/>
      <c r="O560" s="24"/>
    </row>
    <row r="561">
      <c r="A561" s="11"/>
      <c r="B561" s="23"/>
      <c r="C561" s="23"/>
      <c r="D561" s="23"/>
      <c r="E561" s="23"/>
      <c r="F561" s="1"/>
      <c r="G561" s="23"/>
      <c r="H561" s="23"/>
      <c r="I561" s="23"/>
      <c r="J561" s="2"/>
      <c r="K561" s="2"/>
      <c r="L561" s="2"/>
      <c r="M561" s="2"/>
      <c r="O561" s="24"/>
    </row>
    <row r="562">
      <c r="A562" s="11"/>
      <c r="B562" s="23"/>
      <c r="C562" s="23"/>
      <c r="D562" s="23"/>
      <c r="E562" s="23"/>
      <c r="F562" s="1"/>
      <c r="G562" s="23"/>
      <c r="H562" s="23"/>
      <c r="I562" s="23"/>
      <c r="J562" s="2"/>
      <c r="K562" s="2"/>
      <c r="L562" s="2"/>
      <c r="M562" s="2"/>
      <c r="O562" s="24"/>
    </row>
    <row r="563">
      <c r="A563" s="11"/>
      <c r="B563" s="23"/>
      <c r="C563" s="23"/>
      <c r="D563" s="23"/>
      <c r="E563" s="23"/>
      <c r="F563" s="1"/>
      <c r="G563" s="23"/>
      <c r="H563" s="23"/>
      <c r="I563" s="23"/>
      <c r="J563" s="2"/>
      <c r="K563" s="2"/>
      <c r="L563" s="2"/>
      <c r="M563" s="2"/>
      <c r="O563" s="24"/>
    </row>
    <row r="564">
      <c r="A564" s="11"/>
      <c r="B564" s="23"/>
      <c r="C564" s="23"/>
      <c r="D564" s="23"/>
      <c r="E564" s="23"/>
      <c r="F564" s="1"/>
      <c r="G564" s="23"/>
      <c r="H564" s="23"/>
      <c r="I564" s="23"/>
      <c r="J564" s="2"/>
      <c r="K564" s="2"/>
      <c r="L564" s="2"/>
      <c r="M564" s="2"/>
      <c r="O564" s="24"/>
    </row>
    <row r="565">
      <c r="A565" s="11"/>
      <c r="B565" s="23"/>
      <c r="C565" s="23"/>
      <c r="D565" s="23"/>
      <c r="E565" s="23"/>
      <c r="F565" s="1"/>
      <c r="G565" s="23"/>
      <c r="H565" s="23"/>
      <c r="I565" s="23"/>
      <c r="J565" s="2"/>
      <c r="K565" s="2"/>
      <c r="L565" s="2"/>
      <c r="M565" s="2"/>
      <c r="O565" s="24"/>
    </row>
    <row r="566">
      <c r="A566" s="11"/>
      <c r="B566" s="23"/>
      <c r="C566" s="23"/>
      <c r="D566" s="23"/>
      <c r="E566" s="23"/>
      <c r="F566" s="1"/>
      <c r="G566" s="23"/>
      <c r="H566" s="23"/>
      <c r="I566" s="23"/>
      <c r="J566" s="2"/>
      <c r="K566" s="2"/>
      <c r="L566" s="2"/>
      <c r="M566" s="2"/>
      <c r="O566" s="24"/>
    </row>
    <row r="567">
      <c r="A567" s="11"/>
      <c r="B567" s="23"/>
      <c r="C567" s="23"/>
      <c r="D567" s="23"/>
      <c r="E567" s="23"/>
      <c r="F567" s="1"/>
      <c r="G567" s="23"/>
      <c r="H567" s="23"/>
      <c r="I567" s="23"/>
      <c r="J567" s="2"/>
      <c r="K567" s="2"/>
      <c r="L567" s="2"/>
      <c r="M567" s="2"/>
      <c r="O567" s="24"/>
    </row>
    <row r="568">
      <c r="A568" s="11"/>
      <c r="B568" s="23"/>
      <c r="C568" s="23"/>
      <c r="D568" s="23"/>
      <c r="E568" s="23"/>
      <c r="F568" s="1"/>
      <c r="G568" s="23"/>
      <c r="H568" s="23"/>
      <c r="I568" s="23"/>
      <c r="J568" s="2"/>
      <c r="K568" s="2"/>
      <c r="L568" s="2"/>
      <c r="M568" s="2"/>
      <c r="O568" s="24"/>
    </row>
    <row r="569">
      <c r="A569" s="11"/>
      <c r="B569" s="23"/>
      <c r="C569" s="23"/>
      <c r="D569" s="23"/>
      <c r="E569" s="23"/>
      <c r="F569" s="1"/>
      <c r="G569" s="23"/>
      <c r="H569" s="23"/>
      <c r="I569" s="23"/>
      <c r="J569" s="2"/>
      <c r="K569" s="2"/>
      <c r="L569" s="2"/>
      <c r="M569" s="2"/>
      <c r="O569" s="24"/>
    </row>
    <row r="570">
      <c r="A570" s="11"/>
      <c r="B570" s="23"/>
      <c r="C570" s="23"/>
      <c r="D570" s="23"/>
      <c r="E570" s="23"/>
      <c r="F570" s="1"/>
      <c r="G570" s="23"/>
      <c r="H570" s="23"/>
      <c r="I570" s="23"/>
      <c r="J570" s="2"/>
      <c r="K570" s="2"/>
      <c r="L570" s="2"/>
      <c r="M570" s="2"/>
      <c r="O570" s="24"/>
    </row>
    <row r="571">
      <c r="A571" s="11"/>
      <c r="B571" s="23"/>
      <c r="C571" s="23"/>
      <c r="D571" s="23"/>
      <c r="E571" s="23"/>
      <c r="F571" s="1"/>
      <c r="G571" s="23"/>
      <c r="H571" s="23"/>
      <c r="I571" s="23"/>
      <c r="J571" s="2"/>
      <c r="K571" s="2"/>
      <c r="L571" s="2"/>
      <c r="M571" s="2"/>
      <c r="O571" s="24"/>
    </row>
    <row r="572">
      <c r="A572" s="11"/>
      <c r="B572" s="23"/>
      <c r="C572" s="23"/>
      <c r="D572" s="23"/>
      <c r="E572" s="23"/>
      <c r="F572" s="1"/>
      <c r="G572" s="23"/>
      <c r="H572" s="23"/>
      <c r="I572" s="23"/>
      <c r="J572" s="2"/>
      <c r="K572" s="2"/>
      <c r="L572" s="2"/>
      <c r="M572" s="2"/>
      <c r="O572" s="24"/>
    </row>
    <row r="573">
      <c r="A573" s="11"/>
      <c r="B573" s="23"/>
      <c r="C573" s="23"/>
      <c r="D573" s="23"/>
      <c r="E573" s="23"/>
      <c r="F573" s="1"/>
      <c r="G573" s="23"/>
      <c r="H573" s="23"/>
      <c r="I573" s="23"/>
      <c r="J573" s="2"/>
      <c r="K573" s="2"/>
      <c r="L573" s="2"/>
      <c r="M573" s="2"/>
      <c r="O573" s="24"/>
    </row>
    <row r="574">
      <c r="A574" s="11"/>
      <c r="B574" s="23"/>
      <c r="C574" s="23"/>
      <c r="D574" s="23"/>
      <c r="E574" s="23"/>
      <c r="F574" s="1"/>
      <c r="G574" s="23"/>
      <c r="H574" s="23"/>
      <c r="I574" s="23"/>
      <c r="J574" s="2"/>
      <c r="K574" s="2"/>
      <c r="L574" s="2"/>
      <c r="M574" s="2"/>
      <c r="O574" s="24"/>
    </row>
    <row r="575">
      <c r="A575" s="11"/>
      <c r="B575" s="23"/>
      <c r="C575" s="23"/>
      <c r="D575" s="23"/>
      <c r="E575" s="23"/>
      <c r="F575" s="1"/>
      <c r="G575" s="23"/>
      <c r="H575" s="23"/>
      <c r="I575" s="23"/>
      <c r="J575" s="2"/>
      <c r="K575" s="2"/>
      <c r="L575" s="2"/>
      <c r="M575" s="2"/>
      <c r="O575" s="24"/>
    </row>
    <row r="576">
      <c r="A576" s="11"/>
      <c r="B576" s="23"/>
      <c r="C576" s="23"/>
      <c r="D576" s="23"/>
      <c r="E576" s="23"/>
      <c r="F576" s="1"/>
      <c r="G576" s="23"/>
      <c r="H576" s="23"/>
      <c r="I576" s="23"/>
      <c r="J576" s="2"/>
      <c r="K576" s="2"/>
      <c r="L576" s="2"/>
      <c r="M576" s="2"/>
      <c r="O576" s="24"/>
    </row>
    <row r="577">
      <c r="A577" s="11"/>
      <c r="B577" s="23"/>
      <c r="C577" s="23"/>
      <c r="D577" s="23"/>
      <c r="E577" s="23"/>
      <c r="F577" s="1"/>
      <c r="G577" s="23"/>
      <c r="H577" s="23"/>
      <c r="I577" s="23"/>
      <c r="J577" s="2"/>
      <c r="K577" s="2"/>
      <c r="L577" s="2"/>
      <c r="M577" s="2"/>
      <c r="O577" s="24"/>
    </row>
    <row r="578">
      <c r="A578" s="11"/>
      <c r="B578" s="23"/>
      <c r="C578" s="23"/>
      <c r="D578" s="23"/>
      <c r="E578" s="23"/>
      <c r="F578" s="1"/>
      <c r="G578" s="23"/>
      <c r="H578" s="23"/>
      <c r="I578" s="23"/>
      <c r="J578" s="2"/>
      <c r="K578" s="2"/>
      <c r="L578" s="2"/>
      <c r="M578" s="2"/>
      <c r="O578" s="24"/>
    </row>
    <row r="579">
      <c r="A579" s="11"/>
      <c r="B579" s="23"/>
      <c r="C579" s="23"/>
      <c r="D579" s="23"/>
      <c r="E579" s="23"/>
      <c r="F579" s="1"/>
      <c r="G579" s="23"/>
      <c r="H579" s="23"/>
      <c r="I579" s="23"/>
      <c r="J579" s="2"/>
      <c r="K579" s="2"/>
      <c r="L579" s="2"/>
      <c r="M579" s="2"/>
      <c r="O579" s="24"/>
    </row>
    <row r="580">
      <c r="A580" s="11"/>
      <c r="B580" s="23"/>
      <c r="C580" s="23"/>
      <c r="D580" s="23"/>
      <c r="E580" s="23"/>
      <c r="F580" s="1"/>
      <c r="G580" s="23"/>
      <c r="H580" s="23"/>
      <c r="I580" s="23"/>
      <c r="J580" s="2"/>
      <c r="K580" s="2"/>
      <c r="L580" s="2"/>
      <c r="M580" s="2"/>
      <c r="O580" s="24"/>
    </row>
    <row r="581">
      <c r="A581" s="11"/>
      <c r="B581" s="23"/>
      <c r="C581" s="23"/>
      <c r="D581" s="23"/>
      <c r="E581" s="23"/>
      <c r="F581" s="1"/>
      <c r="G581" s="23"/>
      <c r="H581" s="23"/>
      <c r="I581" s="23"/>
      <c r="J581" s="2"/>
      <c r="K581" s="2"/>
      <c r="L581" s="2"/>
      <c r="M581" s="2"/>
      <c r="O581" s="24"/>
    </row>
    <row r="582">
      <c r="A582" s="11"/>
      <c r="B582" s="23"/>
      <c r="C582" s="23"/>
      <c r="D582" s="23"/>
      <c r="E582" s="23"/>
      <c r="F582" s="1"/>
      <c r="G582" s="23"/>
      <c r="H582" s="23"/>
      <c r="I582" s="23"/>
      <c r="J582" s="2"/>
      <c r="K582" s="2"/>
      <c r="L582" s="2"/>
      <c r="M582" s="2"/>
      <c r="O582" s="24"/>
    </row>
    <row r="583">
      <c r="A583" s="11"/>
      <c r="B583" s="23"/>
      <c r="C583" s="23"/>
      <c r="D583" s="23"/>
      <c r="E583" s="23"/>
      <c r="F583" s="1"/>
      <c r="G583" s="23"/>
      <c r="H583" s="23"/>
      <c r="I583" s="23"/>
      <c r="J583" s="2"/>
      <c r="K583" s="2"/>
      <c r="L583" s="2"/>
      <c r="M583" s="2"/>
      <c r="O583" s="24"/>
    </row>
    <row r="584">
      <c r="A584" s="11"/>
      <c r="B584" s="23"/>
      <c r="C584" s="23"/>
      <c r="D584" s="23"/>
      <c r="E584" s="23"/>
      <c r="F584" s="1"/>
      <c r="G584" s="23"/>
      <c r="H584" s="23"/>
      <c r="I584" s="23"/>
      <c r="J584" s="2"/>
      <c r="K584" s="2"/>
      <c r="L584" s="2"/>
      <c r="M584" s="2"/>
      <c r="O584" s="24"/>
    </row>
    <row r="585">
      <c r="A585" s="11"/>
      <c r="B585" s="23"/>
      <c r="C585" s="23"/>
      <c r="D585" s="23"/>
      <c r="E585" s="23"/>
      <c r="F585" s="1"/>
      <c r="G585" s="23"/>
      <c r="H585" s="23"/>
      <c r="I585" s="23"/>
      <c r="J585" s="2"/>
      <c r="K585" s="2"/>
      <c r="L585" s="2"/>
      <c r="M585" s="2"/>
      <c r="O585" s="24"/>
    </row>
    <row r="586">
      <c r="A586" s="11"/>
      <c r="B586" s="23"/>
      <c r="C586" s="23"/>
      <c r="D586" s="23"/>
      <c r="E586" s="23"/>
      <c r="F586" s="1"/>
      <c r="G586" s="23"/>
      <c r="H586" s="23"/>
      <c r="I586" s="23"/>
      <c r="J586" s="2"/>
      <c r="K586" s="2"/>
      <c r="L586" s="2"/>
      <c r="M586" s="2"/>
      <c r="O586" s="24"/>
    </row>
    <row r="587">
      <c r="A587" s="11"/>
      <c r="B587" s="23"/>
      <c r="C587" s="23"/>
      <c r="D587" s="23"/>
      <c r="E587" s="23"/>
      <c r="F587" s="1"/>
      <c r="G587" s="23"/>
      <c r="H587" s="23"/>
      <c r="I587" s="23"/>
      <c r="J587" s="2"/>
      <c r="K587" s="2"/>
      <c r="L587" s="2"/>
      <c r="M587" s="2"/>
      <c r="O587" s="24"/>
    </row>
    <row r="588">
      <c r="A588" s="11"/>
      <c r="B588" s="23"/>
      <c r="C588" s="23"/>
      <c r="D588" s="23"/>
      <c r="E588" s="23"/>
      <c r="F588" s="1"/>
      <c r="G588" s="23"/>
      <c r="H588" s="23"/>
      <c r="I588" s="23"/>
      <c r="J588" s="2"/>
      <c r="K588" s="2"/>
      <c r="L588" s="2"/>
      <c r="M588" s="2"/>
      <c r="O588" s="24"/>
    </row>
    <row r="589">
      <c r="A589" s="11"/>
      <c r="B589" s="23"/>
      <c r="C589" s="23"/>
      <c r="D589" s="23"/>
      <c r="E589" s="23"/>
      <c r="F589" s="1"/>
      <c r="G589" s="23"/>
      <c r="H589" s="23"/>
      <c r="I589" s="23"/>
      <c r="J589" s="2"/>
      <c r="K589" s="2"/>
      <c r="L589" s="2"/>
      <c r="M589" s="2"/>
      <c r="O589" s="24"/>
    </row>
    <row r="590">
      <c r="A590" s="11"/>
      <c r="B590" s="23"/>
      <c r="C590" s="23"/>
      <c r="D590" s="23"/>
      <c r="E590" s="23"/>
      <c r="F590" s="1"/>
      <c r="G590" s="23"/>
      <c r="H590" s="23"/>
      <c r="I590" s="23"/>
      <c r="J590" s="2"/>
      <c r="K590" s="2"/>
      <c r="L590" s="2"/>
      <c r="M590" s="2"/>
      <c r="O590" s="24"/>
    </row>
    <row r="591">
      <c r="A591" s="11"/>
      <c r="B591" s="23"/>
      <c r="C591" s="23"/>
      <c r="D591" s="23"/>
      <c r="E591" s="23"/>
      <c r="F591" s="1"/>
      <c r="G591" s="23"/>
      <c r="H591" s="23"/>
      <c r="I591" s="23"/>
      <c r="J591" s="2"/>
      <c r="K591" s="2"/>
      <c r="L591" s="2"/>
      <c r="M591" s="2"/>
      <c r="O591" s="24"/>
    </row>
    <row r="592">
      <c r="A592" s="11"/>
      <c r="B592" s="23"/>
      <c r="C592" s="23"/>
      <c r="D592" s="23"/>
      <c r="E592" s="23"/>
      <c r="F592" s="1"/>
      <c r="G592" s="23"/>
      <c r="H592" s="23"/>
      <c r="I592" s="23"/>
      <c r="J592" s="2"/>
      <c r="K592" s="2"/>
      <c r="L592" s="2"/>
      <c r="M592" s="2"/>
      <c r="O592" s="24"/>
    </row>
    <row r="593">
      <c r="A593" s="11"/>
      <c r="B593" s="23"/>
      <c r="C593" s="23"/>
      <c r="D593" s="23"/>
      <c r="E593" s="23"/>
      <c r="F593" s="1"/>
      <c r="G593" s="23"/>
      <c r="H593" s="23"/>
      <c r="I593" s="23"/>
      <c r="J593" s="2"/>
      <c r="K593" s="2"/>
      <c r="L593" s="2"/>
      <c r="M593" s="2"/>
      <c r="O593" s="24"/>
    </row>
    <row r="594">
      <c r="A594" s="11"/>
      <c r="B594" s="23"/>
      <c r="C594" s="23"/>
      <c r="D594" s="23"/>
      <c r="E594" s="23"/>
      <c r="F594" s="1"/>
      <c r="G594" s="23"/>
      <c r="H594" s="23"/>
      <c r="I594" s="23"/>
      <c r="J594" s="2"/>
      <c r="K594" s="2"/>
      <c r="L594" s="2"/>
      <c r="M594" s="2"/>
      <c r="O594" s="24"/>
    </row>
    <row r="595">
      <c r="A595" s="11"/>
      <c r="B595" s="23"/>
      <c r="C595" s="23"/>
      <c r="D595" s="23"/>
      <c r="E595" s="23"/>
      <c r="F595" s="1"/>
      <c r="G595" s="23"/>
      <c r="H595" s="23"/>
      <c r="I595" s="23"/>
      <c r="J595" s="2"/>
      <c r="K595" s="2"/>
      <c r="L595" s="2"/>
      <c r="M595" s="2"/>
      <c r="O595" s="24"/>
    </row>
    <row r="596">
      <c r="A596" s="11"/>
      <c r="B596" s="23"/>
      <c r="C596" s="23"/>
      <c r="D596" s="23"/>
      <c r="E596" s="23"/>
      <c r="F596" s="1"/>
      <c r="G596" s="23"/>
      <c r="H596" s="23"/>
      <c r="I596" s="23"/>
      <c r="J596" s="2"/>
      <c r="K596" s="2"/>
      <c r="L596" s="2"/>
      <c r="M596" s="2"/>
      <c r="O596" s="24"/>
    </row>
    <row r="597">
      <c r="A597" s="11"/>
      <c r="B597" s="23"/>
      <c r="C597" s="23"/>
      <c r="D597" s="23"/>
      <c r="E597" s="23"/>
      <c r="F597" s="1"/>
      <c r="G597" s="23"/>
      <c r="H597" s="23"/>
      <c r="I597" s="23"/>
      <c r="J597" s="2"/>
      <c r="K597" s="2"/>
      <c r="L597" s="2"/>
      <c r="M597" s="2"/>
      <c r="O597" s="24"/>
    </row>
    <row r="598">
      <c r="A598" s="11"/>
      <c r="B598" s="23"/>
      <c r="C598" s="23"/>
      <c r="D598" s="23"/>
      <c r="E598" s="23"/>
      <c r="F598" s="1"/>
      <c r="G598" s="23"/>
      <c r="H598" s="23"/>
      <c r="I598" s="23"/>
      <c r="J598" s="2"/>
      <c r="K598" s="2"/>
      <c r="L598" s="2"/>
      <c r="M598" s="2"/>
      <c r="O598" s="24"/>
    </row>
    <row r="599">
      <c r="A599" s="11"/>
      <c r="B599" s="23"/>
      <c r="C599" s="23"/>
      <c r="D599" s="23"/>
      <c r="E599" s="23"/>
      <c r="F599" s="1"/>
      <c r="G599" s="23"/>
      <c r="H599" s="23"/>
      <c r="I599" s="23"/>
      <c r="J599" s="2"/>
      <c r="K599" s="2"/>
      <c r="L599" s="2"/>
      <c r="M599" s="2"/>
      <c r="O599" s="24"/>
    </row>
    <row r="600">
      <c r="A600" s="11"/>
      <c r="B600" s="23"/>
      <c r="C600" s="23"/>
      <c r="D600" s="23"/>
      <c r="E600" s="23"/>
      <c r="F600" s="1"/>
      <c r="G600" s="23"/>
      <c r="H600" s="23"/>
      <c r="I600" s="23"/>
      <c r="J600" s="2"/>
      <c r="K600" s="2"/>
      <c r="L600" s="2"/>
      <c r="M600" s="2"/>
      <c r="O600" s="24"/>
    </row>
    <row r="601">
      <c r="A601" s="11"/>
      <c r="B601" s="23"/>
      <c r="C601" s="23"/>
      <c r="D601" s="23"/>
      <c r="E601" s="23"/>
      <c r="F601" s="1"/>
      <c r="G601" s="23"/>
      <c r="H601" s="23"/>
      <c r="I601" s="23"/>
      <c r="J601" s="2"/>
      <c r="K601" s="2"/>
      <c r="L601" s="2"/>
      <c r="M601" s="2"/>
      <c r="O601" s="24"/>
    </row>
    <row r="602">
      <c r="A602" s="11"/>
      <c r="B602" s="23"/>
      <c r="C602" s="23"/>
      <c r="D602" s="23"/>
      <c r="E602" s="23"/>
      <c r="F602" s="1"/>
      <c r="G602" s="23"/>
      <c r="H602" s="23"/>
      <c r="I602" s="23"/>
      <c r="J602" s="2"/>
      <c r="K602" s="2"/>
      <c r="L602" s="2"/>
      <c r="M602" s="2"/>
      <c r="O602" s="24"/>
    </row>
    <row r="603">
      <c r="A603" s="11"/>
      <c r="B603" s="23"/>
      <c r="C603" s="23"/>
      <c r="D603" s="23"/>
      <c r="E603" s="23"/>
      <c r="F603" s="1"/>
      <c r="G603" s="23"/>
      <c r="H603" s="23"/>
      <c r="I603" s="23"/>
      <c r="J603" s="2"/>
      <c r="K603" s="2"/>
      <c r="L603" s="2"/>
      <c r="M603" s="2"/>
      <c r="O603" s="24"/>
    </row>
    <row r="604">
      <c r="A604" s="11"/>
      <c r="B604" s="23"/>
      <c r="C604" s="23"/>
      <c r="D604" s="23"/>
      <c r="E604" s="23"/>
      <c r="F604" s="1"/>
      <c r="G604" s="23"/>
      <c r="H604" s="23"/>
      <c r="I604" s="23"/>
      <c r="J604" s="2"/>
      <c r="K604" s="2"/>
      <c r="L604" s="2"/>
      <c r="M604" s="2"/>
      <c r="O604" s="24"/>
    </row>
    <row r="605">
      <c r="A605" s="11"/>
      <c r="B605" s="23"/>
      <c r="C605" s="23"/>
      <c r="D605" s="23"/>
      <c r="E605" s="23"/>
      <c r="F605" s="1"/>
      <c r="G605" s="23"/>
      <c r="H605" s="23"/>
      <c r="I605" s="23"/>
      <c r="J605" s="2"/>
      <c r="K605" s="2"/>
      <c r="L605" s="2"/>
      <c r="M605" s="2"/>
      <c r="O605" s="24"/>
    </row>
    <row r="606">
      <c r="A606" s="11"/>
      <c r="B606" s="23"/>
      <c r="C606" s="23"/>
      <c r="D606" s="23"/>
      <c r="E606" s="23"/>
      <c r="F606" s="1"/>
      <c r="G606" s="23"/>
      <c r="H606" s="23"/>
      <c r="I606" s="23"/>
      <c r="J606" s="2"/>
      <c r="K606" s="2"/>
      <c r="L606" s="2"/>
      <c r="M606" s="2"/>
      <c r="O606" s="24"/>
    </row>
    <row r="607">
      <c r="A607" s="11"/>
      <c r="B607" s="23"/>
      <c r="C607" s="23"/>
      <c r="D607" s="23"/>
      <c r="E607" s="23"/>
      <c r="F607" s="1"/>
      <c r="G607" s="23"/>
      <c r="H607" s="23"/>
      <c r="I607" s="23"/>
      <c r="J607" s="2"/>
      <c r="K607" s="2"/>
      <c r="L607" s="2"/>
      <c r="M607" s="2"/>
      <c r="O607" s="24"/>
    </row>
    <row r="608">
      <c r="A608" s="11"/>
      <c r="B608" s="23"/>
      <c r="C608" s="23"/>
      <c r="D608" s="23"/>
      <c r="E608" s="23"/>
      <c r="F608" s="1"/>
      <c r="G608" s="23"/>
      <c r="H608" s="23"/>
      <c r="I608" s="23"/>
      <c r="J608" s="2"/>
      <c r="K608" s="2"/>
      <c r="L608" s="2"/>
      <c r="M608" s="2"/>
      <c r="O608" s="24"/>
    </row>
    <row r="609">
      <c r="A609" s="11"/>
      <c r="B609" s="23"/>
      <c r="C609" s="23"/>
      <c r="D609" s="23"/>
      <c r="E609" s="23"/>
      <c r="F609" s="1"/>
      <c r="G609" s="23"/>
      <c r="H609" s="23"/>
      <c r="I609" s="23"/>
      <c r="J609" s="2"/>
      <c r="K609" s="2"/>
      <c r="L609" s="2"/>
      <c r="M609" s="2"/>
      <c r="O609" s="24"/>
    </row>
    <row r="610">
      <c r="A610" s="11"/>
      <c r="B610" s="23"/>
      <c r="C610" s="23"/>
      <c r="D610" s="23"/>
      <c r="E610" s="23"/>
      <c r="F610" s="1"/>
      <c r="G610" s="23"/>
      <c r="H610" s="23"/>
      <c r="I610" s="23"/>
      <c r="J610" s="2"/>
      <c r="K610" s="2"/>
      <c r="L610" s="2"/>
      <c r="M610" s="2"/>
      <c r="O610" s="24"/>
    </row>
    <row r="611">
      <c r="A611" s="11"/>
      <c r="B611" s="23"/>
      <c r="C611" s="23"/>
      <c r="D611" s="23"/>
      <c r="E611" s="23"/>
      <c r="F611" s="1"/>
      <c r="G611" s="23"/>
      <c r="H611" s="23"/>
      <c r="I611" s="23"/>
      <c r="J611" s="2"/>
      <c r="K611" s="2"/>
      <c r="L611" s="2"/>
      <c r="M611" s="2"/>
      <c r="O611" s="24"/>
    </row>
    <row r="612">
      <c r="A612" s="11"/>
      <c r="B612" s="23"/>
      <c r="C612" s="23"/>
      <c r="D612" s="23"/>
      <c r="E612" s="23"/>
      <c r="F612" s="1"/>
      <c r="G612" s="23"/>
      <c r="H612" s="23"/>
      <c r="I612" s="23"/>
      <c r="J612" s="2"/>
      <c r="K612" s="2"/>
      <c r="L612" s="2"/>
      <c r="M612" s="2"/>
      <c r="O612" s="24"/>
    </row>
    <row r="613">
      <c r="A613" s="11"/>
      <c r="B613" s="23"/>
      <c r="C613" s="23"/>
      <c r="D613" s="23"/>
      <c r="E613" s="23"/>
      <c r="F613" s="1"/>
      <c r="G613" s="23"/>
      <c r="H613" s="23"/>
      <c r="I613" s="23"/>
      <c r="J613" s="2"/>
      <c r="K613" s="2"/>
      <c r="L613" s="2"/>
      <c r="M613" s="2"/>
      <c r="O613" s="24"/>
    </row>
    <row r="614">
      <c r="A614" s="11"/>
      <c r="B614" s="23"/>
      <c r="C614" s="23"/>
      <c r="D614" s="23"/>
      <c r="E614" s="23"/>
      <c r="F614" s="1"/>
      <c r="G614" s="23"/>
      <c r="H614" s="23"/>
      <c r="I614" s="23"/>
      <c r="J614" s="2"/>
      <c r="K614" s="2"/>
      <c r="L614" s="2"/>
      <c r="M614" s="2"/>
      <c r="O614" s="24"/>
    </row>
    <row r="615">
      <c r="A615" s="11"/>
      <c r="B615" s="23"/>
      <c r="C615" s="23"/>
      <c r="D615" s="23"/>
      <c r="E615" s="23"/>
      <c r="F615" s="1"/>
      <c r="G615" s="23"/>
      <c r="H615" s="23"/>
      <c r="I615" s="23"/>
      <c r="J615" s="2"/>
      <c r="K615" s="2"/>
      <c r="L615" s="2"/>
      <c r="M615" s="2"/>
      <c r="O615" s="24"/>
    </row>
    <row r="616">
      <c r="A616" s="11"/>
      <c r="B616" s="23"/>
      <c r="C616" s="23"/>
      <c r="D616" s="23"/>
      <c r="E616" s="23"/>
      <c r="F616" s="1"/>
      <c r="G616" s="23"/>
      <c r="H616" s="23"/>
      <c r="I616" s="23"/>
      <c r="J616" s="2"/>
      <c r="K616" s="2"/>
      <c r="L616" s="2"/>
      <c r="M616" s="2"/>
      <c r="O616" s="24"/>
    </row>
    <row r="617">
      <c r="A617" s="11"/>
      <c r="B617" s="23"/>
      <c r="C617" s="23"/>
      <c r="D617" s="23"/>
      <c r="E617" s="23"/>
      <c r="F617" s="1"/>
      <c r="G617" s="23"/>
      <c r="H617" s="23"/>
      <c r="I617" s="23"/>
      <c r="J617" s="2"/>
      <c r="K617" s="2"/>
      <c r="L617" s="2"/>
      <c r="M617" s="2"/>
      <c r="O617" s="24"/>
    </row>
    <row r="618">
      <c r="A618" s="11"/>
      <c r="B618" s="23"/>
      <c r="C618" s="23"/>
      <c r="D618" s="23"/>
      <c r="E618" s="23"/>
      <c r="F618" s="1"/>
      <c r="G618" s="23"/>
      <c r="H618" s="23"/>
      <c r="I618" s="23"/>
      <c r="J618" s="2"/>
      <c r="K618" s="2"/>
      <c r="L618" s="2"/>
      <c r="M618" s="2"/>
      <c r="O618" s="24"/>
    </row>
    <row r="619">
      <c r="A619" s="11"/>
      <c r="B619" s="23"/>
      <c r="C619" s="23"/>
      <c r="D619" s="23"/>
      <c r="E619" s="23"/>
      <c r="F619" s="1"/>
      <c r="G619" s="23"/>
      <c r="H619" s="23"/>
      <c r="I619" s="23"/>
      <c r="J619" s="2"/>
      <c r="K619" s="2"/>
      <c r="L619" s="2"/>
      <c r="M619" s="2"/>
      <c r="O619" s="24"/>
    </row>
    <row r="620">
      <c r="A620" s="11"/>
      <c r="B620" s="23"/>
      <c r="C620" s="23"/>
      <c r="D620" s="23"/>
      <c r="E620" s="23"/>
      <c r="F620" s="1"/>
      <c r="G620" s="23"/>
      <c r="H620" s="23"/>
      <c r="I620" s="23"/>
      <c r="J620" s="2"/>
      <c r="K620" s="2"/>
      <c r="L620" s="2"/>
      <c r="M620" s="2"/>
      <c r="O620" s="24"/>
    </row>
    <row r="621">
      <c r="A621" s="11"/>
      <c r="B621" s="23"/>
      <c r="C621" s="23"/>
      <c r="D621" s="23"/>
      <c r="E621" s="23"/>
      <c r="F621" s="1"/>
      <c r="G621" s="23"/>
      <c r="H621" s="23"/>
      <c r="I621" s="23"/>
      <c r="J621" s="2"/>
      <c r="K621" s="2"/>
      <c r="L621" s="2"/>
      <c r="M621" s="2"/>
      <c r="O621" s="24"/>
    </row>
    <row r="622">
      <c r="A622" s="11"/>
      <c r="B622" s="23"/>
      <c r="C622" s="23"/>
      <c r="D622" s="23"/>
      <c r="E622" s="23"/>
      <c r="F622" s="1"/>
      <c r="G622" s="23"/>
      <c r="H622" s="23"/>
      <c r="I622" s="23"/>
      <c r="J622" s="2"/>
      <c r="K622" s="2"/>
      <c r="L622" s="2"/>
      <c r="M622" s="2"/>
      <c r="O622" s="24"/>
    </row>
    <row r="623">
      <c r="A623" s="11"/>
      <c r="B623" s="23"/>
      <c r="C623" s="23"/>
      <c r="D623" s="23"/>
      <c r="E623" s="23"/>
      <c r="F623" s="1"/>
      <c r="G623" s="23"/>
      <c r="H623" s="23"/>
      <c r="I623" s="23"/>
      <c r="J623" s="2"/>
      <c r="K623" s="2"/>
      <c r="L623" s="2"/>
      <c r="M623" s="2"/>
      <c r="O623" s="24"/>
    </row>
    <row r="624">
      <c r="A624" s="11"/>
      <c r="B624" s="23"/>
      <c r="C624" s="23"/>
      <c r="D624" s="23"/>
      <c r="E624" s="23"/>
      <c r="F624" s="1"/>
      <c r="G624" s="23"/>
      <c r="H624" s="23"/>
      <c r="I624" s="23"/>
      <c r="J624" s="2"/>
      <c r="K624" s="2"/>
      <c r="L624" s="2"/>
      <c r="M624" s="2"/>
      <c r="O624" s="24"/>
    </row>
    <row r="625">
      <c r="A625" s="11"/>
      <c r="B625" s="23"/>
      <c r="C625" s="23"/>
      <c r="D625" s="23"/>
      <c r="E625" s="23"/>
      <c r="F625" s="1"/>
      <c r="G625" s="23"/>
      <c r="H625" s="23"/>
      <c r="I625" s="23"/>
      <c r="J625" s="2"/>
      <c r="K625" s="2"/>
      <c r="L625" s="2"/>
      <c r="M625" s="2"/>
      <c r="O625" s="24"/>
    </row>
    <row r="626">
      <c r="A626" s="11"/>
      <c r="B626" s="23"/>
      <c r="C626" s="23"/>
      <c r="D626" s="23"/>
      <c r="E626" s="23"/>
      <c r="F626" s="1"/>
      <c r="G626" s="23"/>
      <c r="H626" s="23"/>
      <c r="I626" s="23"/>
      <c r="J626" s="2"/>
      <c r="K626" s="2"/>
      <c r="L626" s="2"/>
      <c r="M626" s="2"/>
      <c r="O626" s="24"/>
    </row>
    <row r="627">
      <c r="A627" s="11"/>
      <c r="B627" s="23"/>
      <c r="C627" s="23"/>
      <c r="D627" s="23"/>
      <c r="E627" s="23"/>
      <c r="F627" s="1"/>
      <c r="G627" s="23"/>
      <c r="H627" s="23"/>
      <c r="I627" s="23"/>
      <c r="J627" s="2"/>
      <c r="K627" s="2"/>
      <c r="L627" s="2"/>
      <c r="M627" s="2"/>
      <c r="O627" s="24"/>
    </row>
    <row r="628">
      <c r="A628" s="11"/>
      <c r="B628" s="23"/>
      <c r="C628" s="23"/>
      <c r="D628" s="23"/>
      <c r="E628" s="23"/>
      <c r="F628" s="1"/>
      <c r="G628" s="23"/>
      <c r="H628" s="23"/>
      <c r="I628" s="23"/>
      <c r="J628" s="2"/>
      <c r="K628" s="2"/>
      <c r="L628" s="2"/>
      <c r="M628" s="2"/>
      <c r="O628" s="24"/>
    </row>
    <row r="629">
      <c r="A629" s="11"/>
      <c r="B629" s="23"/>
      <c r="C629" s="23"/>
      <c r="D629" s="23"/>
      <c r="E629" s="23"/>
      <c r="F629" s="1"/>
      <c r="G629" s="23"/>
      <c r="H629" s="23"/>
      <c r="I629" s="23"/>
      <c r="J629" s="2"/>
      <c r="K629" s="2"/>
      <c r="L629" s="2"/>
      <c r="M629" s="2"/>
      <c r="O629" s="24"/>
    </row>
    <row r="630">
      <c r="A630" s="11"/>
      <c r="B630" s="23"/>
      <c r="C630" s="23"/>
      <c r="D630" s="23"/>
      <c r="E630" s="23"/>
      <c r="F630" s="1"/>
      <c r="G630" s="23"/>
      <c r="H630" s="23"/>
      <c r="I630" s="23"/>
      <c r="J630" s="2"/>
      <c r="K630" s="2"/>
      <c r="L630" s="2"/>
      <c r="M630" s="2"/>
      <c r="O630" s="24"/>
    </row>
    <row r="631">
      <c r="A631" s="11"/>
      <c r="B631" s="23"/>
      <c r="C631" s="23"/>
      <c r="D631" s="23"/>
      <c r="E631" s="23"/>
      <c r="F631" s="1"/>
      <c r="G631" s="23"/>
      <c r="H631" s="23"/>
      <c r="I631" s="23"/>
      <c r="J631" s="2"/>
      <c r="K631" s="2"/>
      <c r="L631" s="2"/>
      <c r="M631" s="2"/>
      <c r="O631" s="24"/>
    </row>
    <row r="632">
      <c r="A632" s="11"/>
      <c r="B632" s="23"/>
      <c r="C632" s="23"/>
      <c r="D632" s="23"/>
      <c r="E632" s="23"/>
      <c r="F632" s="1"/>
      <c r="G632" s="23"/>
      <c r="H632" s="23"/>
      <c r="I632" s="23"/>
      <c r="J632" s="2"/>
      <c r="K632" s="2"/>
      <c r="L632" s="2"/>
      <c r="M632" s="2"/>
      <c r="O632" s="24"/>
    </row>
    <row r="633">
      <c r="A633" s="11"/>
      <c r="B633" s="23"/>
      <c r="C633" s="23"/>
      <c r="D633" s="23"/>
      <c r="E633" s="23"/>
      <c r="F633" s="1"/>
      <c r="G633" s="23"/>
      <c r="H633" s="23"/>
      <c r="I633" s="23"/>
      <c r="J633" s="2"/>
      <c r="K633" s="2"/>
      <c r="L633" s="2"/>
      <c r="M633" s="2"/>
      <c r="O633" s="24"/>
    </row>
    <row r="634">
      <c r="A634" s="11"/>
      <c r="B634" s="23"/>
      <c r="C634" s="23"/>
      <c r="D634" s="23"/>
      <c r="E634" s="23"/>
      <c r="F634" s="1"/>
      <c r="G634" s="23"/>
      <c r="H634" s="23"/>
      <c r="I634" s="23"/>
      <c r="J634" s="2"/>
      <c r="K634" s="2"/>
      <c r="L634" s="2"/>
      <c r="M634" s="2"/>
      <c r="O634" s="24"/>
    </row>
    <row r="635">
      <c r="A635" s="11"/>
      <c r="B635" s="23"/>
      <c r="C635" s="23"/>
      <c r="D635" s="23"/>
      <c r="E635" s="23"/>
      <c r="F635" s="1"/>
      <c r="G635" s="23"/>
      <c r="H635" s="23"/>
      <c r="I635" s="23"/>
      <c r="J635" s="2"/>
      <c r="K635" s="2"/>
      <c r="L635" s="2"/>
      <c r="M635" s="2"/>
      <c r="O635" s="24"/>
    </row>
    <row r="636">
      <c r="A636" s="11"/>
      <c r="B636" s="23"/>
      <c r="C636" s="23"/>
      <c r="D636" s="23"/>
      <c r="E636" s="23"/>
      <c r="F636" s="1"/>
      <c r="G636" s="23"/>
      <c r="H636" s="23"/>
      <c r="I636" s="23"/>
      <c r="J636" s="2"/>
      <c r="K636" s="2"/>
      <c r="L636" s="2"/>
      <c r="M636" s="2"/>
      <c r="O636" s="24"/>
    </row>
    <row r="637">
      <c r="A637" s="11"/>
      <c r="B637" s="23"/>
      <c r="C637" s="23"/>
      <c r="D637" s="23"/>
      <c r="E637" s="23"/>
      <c r="F637" s="1"/>
      <c r="G637" s="23"/>
      <c r="H637" s="23"/>
      <c r="I637" s="23"/>
      <c r="J637" s="2"/>
      <c r="K637" s="2"/>
      <c r="L637" s="2"/>
      <c r="M637" s="2"/>
      <c r="O637" s="24"/>
    </row>
    <row r="638">
      <c r="A638" s="11"/>
      <c r="B638" s="23"/>
      <c r="C638" s="23"/>
      <c r="D638" s="23"/>
      <c r="E638" s="23"/>
      <c r="F638" s="1"/>
      <c r="G638" s="23"/>
      <c r="H638" s="23"/>
      <c r="I638" s="23"/>
      <c r="J638" s="2"/>
      <c r="K638" s="2"/>
      <c r="L638" s="2"/>
      <c r="M638" s="2"/>
      <c r="O638" s="24"/>
    </row>
    <row r="639">
      <c r="A639" s="11"/>
      <c r="B639" s="23"/>
      <c r="C639" s="23"/>
      <c r="D639" s="23"/>
      <c r="E639" s="23"/>
      <c r="F639" s="1"/>
      <c r="G639" s="23"/>
      <c r="H639" s="23"/>
      <c r="I639" s="23"/>
      <c r="J639" s="2"/>
      <c r="K639" s="2"/>
      <c r="L639" s="2"/>
      <c r="M639" s="2"/>
      <c r="O639" s="24"/>
    </row>
    <row r="640">
      <c r="A640" s="11"/>
      <c r="B640" s="23"/>
      <c r="C640" s="23"/>
      <c r="D640" s="23"/>
      <c r="E640" s="23"/>
      <c r="F640" s="1"/>
      <c r="G640" s="23"/>
      <c r="H640" s="23"/>
      <c r="I640" s="23"/>
      <c r="J640" s="2"/>
      <c r="K640" s="2"/>
      <c r="L640" s="2"/>
      <c r="M640" s="2"/>
      <c r="O640" s="24"/>
    </row>
    <row r="641">
      <c r="A641" s="11"/>
      <c r="B641" s="23"/>
      <c r="C641" s="23"/>
      <c r="D641" s="23"/>
      <c r="E641" s="23"/>
      <c r="F641" s="1"/>
      <c r="G641" s="23"/>
      <c r="H641" s="23"/>
      <c r="I641" s="23"/>
      <c r="J641" s="2"/>
      <c r="K641" s="2"/>
      <c r="L641" s="2"/>
      <c r="M641" s="2"/>
      <c r="O641" s="24"/>
    </row>
    <row r="642">
      <c r="A642" s="11"/>
      <c r="B642" s="23"/>
      <c r="C642" s="23"/>
      <c r="D642" s="23"/>
      <c r="E642" s="23"/>
      <c r="F642" s="1"/>
      <c r="G642" s="23"/>
      <c r="H642" s="23"/>
      <c r="I642" s="23"/>
      <c r="J642" s="2"/>
      <c r="K642" s="2"/>
      <c r="L642" s="2"/>
      <c r="M642" s="2"/>
      <c r="O642" s="24"/>
    </row>
    <row r="643">
      <c r="A643" s="11"/>
      <c r="B643" s="23"/>
      <c r="C643" s="23"/>
      <c r="D643" s="23"/>
      <c r="E643" s="23"/>
      <c r="F643" s="1"/>
      <c r="G643" s="23"/>
      <c r="H643" s="23"/>
      <c r="I643" s="23"/>
      <c r="J643" s="2"/>
      <c r="K643" s="2"/>
      <c r="L643" s="2"/>
      <c r="M643" s="2"/>
      <c r="O643" s="24"/>
    </row>
    <row r="644">
      <c r="A644" s="11"/>
      <c r="B644" s="23"/>
      <c r="C644" s="23"/>
      <c r="D644" s="23"/>
      <c r="E644" s="23"/>
      <c r="F644" s="1"/>
      <c r="G644" s="23"/>
      <c r="H644" s="23"/>
      <c r="I644" s="23"/>
      <c r="J644" s="2"/>
      <c r="K644" s="2"/>
      <c r="L644" s="2"/>
      <c r="M644" s="2"/>
      <c r="O644" s="24"/>
    </row>
    <row r="645">
      <c r="A645" s="11"/>
      <c r="B645" s="23"/>
      <c r="C645" s="23"/>
      <c r="D645" s="23"/>
      <c r="E645" s="23"/>
      <c r="F645" s="1"/>
      <c r="G645" s="23"/>
      <c r="H645" s="23"/>
      <c r="I645" s="23"/>
      <c r="J645" s="2"/>
      <c r="K645" s="2"/>
      <c r="L645" s="2"/>
      <c r="M645" s="2"/>
      <c r="O645" s="24"/>
    </row>
    <row r="646">
      <c r="A646" s="11"/>
      <c r="B646" s="23"/>
      <c r="C646" s="23"/>
      <c r="D646" s="23"/>
      <c r="E646" s="23"/>
      <c r="F646" s="1"/>
      <c r="G646" s="23"/>
      <c r="H646" s="23"/>
      <c r="I646" s="23"/>
      <c r="J646" s="2"/>
      <c r="K646" s="2"/>
      <c r="L646" s="2"/>
      <c r="M646" s="2"/>
      <c r="O646" s="24"/>
    </row>
    <row r="647">
      <c r="A647" s="11"/>
      <c r="B647" s="23"/>
      <c r="C647" s="23"/>
      <c r="D647" s="23"/>
      <c r="E647" s="23"/>
      <c r="F647" s="1"/>
      <c r="G647" s="23"/>
      <c r="H647" s="23"/>
      <c r="I647" s="23"/>
      <c r="J647" s="2"/>
      <c r="K647" s="2"/>
      <c r="L647" s="2"/>
      <c r="M647" s="2"/>
      <c r="O647" s="24"/>
    </row>
    <row r="648">
      <c r="A648" s="11"/>
      <c r="B648" s="23"/>
      <c r="C648" s="23"/>
      <c r="D648" s="23"/>
      <c r="E648" s="23"/>
      <c r="F648" s="1"/>
      <c r="G648" s="23"/>
      <c r="H648" s="23"/>
      <c r="I648" s="23"/>
      <c r="J648" s="2"/>
      <c r="K648" s="2"/>
      <c r="L648" s="2"/>
      <c r="M648" s="2"/>
      <c r="O648" s="24"/>
    </row>
    <row r="649">
      <c r="A649" s="11"/>
      <c r="B649" s="23"/>
      <c r="C649" s="23"/>
      <c r="D649" s="23"/>
      <c r="E649" s="23"/>
      <c r="F649" s="1"/>
      <c r="G649" s="23"/>
      <c r="H649" s="23"/>
      <c r="I649" s="23"/>
      <c r="J649" s="2"/>
      <c r="K649" s="2"/>
      <c r="L649" s="2"/>
      <c r="M649" s="2"/>
      <c r="O649" s="24"/>
    </row>
    <row r="650">
      <c r="A650" s="11"/>
      <c r="B650" s="23"/>
      <c r="C650" s="23"/>
      <c r="D650" s="23"/>
      <c r="E650" s="23"/>
      <c r="F650" s="1"/>
      <c r="G650" s="23"/>
      <c r="H650" s="23"/>
      <c r="I650" s="23"/>
      <c r="J650" s="2"/>
      <c r="K650" s="2"/>
      <c r="L650" s="2"/>
      <c r="M650" s="2"/>
      <c r="O650" s="24"/>
    </row>
    <row r="651">
      <c r="A651" s="11"/>
      <c r="B651" s="23"/>
      <c r="C651" s="23"/>
      <c r="D651" s="23"/>
      <c r="E651" s="23"/>
      <c r="F651" s="1"/>
      <c r="G651" s="23"/>
      <c r="H651" s="23"/>
      <c r="I651" s="23"/>
      <c r="J651" s="2"/>
      <c r="K651" s="2"/>
      <c r="L651" s="2"/>
      <c r="M651" s="2"/>
      <c r="O651" s="24"/>
    </row>
    <row r="652">
      <c r="A652" s="11"/>
      <c r="B652" s="23"/>
      <c r="C652" s="23"/>
      <c r="D652" s="23"/>
      <c r="E652" s="23"/>
      <c r="F652" s="1"/>
      <c r="G652" s="23"/>
      <c r="H652" s="23"/>
      <c r="I652" s="23"/>
      <c r="J652" s="2"/>
      <c r="K652" s="2"/>
      <c r="L652" s="2"/>
      <c r="M652" s="2"/>
      <c r="O652" s="24"/>
    </row>
    <row r="653">
      <c r="A653" s="11"/>
      <c r="B653" s="23"/>
      <c r="C653" s="23"/>
      <c r="D653" s="23"/>
      <c r="E653" s="23"/>
      <c r="F653" s="1"/>
      <c r="G653" s="23"/>
      <c r="H653" s="23"/>
      <c r="I653" s="23"/>
      <c r="J653" s="2"/>
      <c r="K653" s="2"/>
      <c r="L653" s="2"/>
      <c r="M653" s="2"/>
      <c r="O653" s="24"/>
    </row>
    <row r="654">
      <c r="A654" s="11"/>
      <c r="B654" s="23"/>
      <c r="C654" s="23"/>
      <c r="D654" s="23"/>
      <c r="E654" s="23"/>
      <c r="F654" s="1"/>
      <c r="G654" s="23"/>
      <c r="H654" s="23"/>
      <c r="I654" s="23"/>
      <c r="J654" s="2"/>
      <c r="K654" s="2"/>
      <c r="L654" s="2"/>
      <c r="M654" s="2"/>
      <c r="O654" s="24"/>
    </row>
    <row r="655">
      <c r="A655" s="11"/>
      <c r="B655" s="23"/>
      <c r="C655" s="23"/>
      <c r="D655" s="23"/>
      <c r="E655" s="23"/>
      <c r="F655" s="1"/>
      <c r="G655" s="23"/>
      <c r="H655" s="23"/>
      <c r="I655" s="23"/>
      <c r="J655" s="2"/>
      <c r="K655" s="2"/>
      <c r="L655" s="2"/>
      <c r="M655" s="2"/>
      <c r="O655" s="24"/>
    </row>
    <row r="656">
      <c r="A656" s="11"/>
      <c r="B656" s="23"/>
      <c r="C656" s="23"/>
      <c r="D656" s="23"/>
      <c r="E656" s="23"/>
      <c r="F656" s="1"/>
      <c r="G656" s="23"/>
      <c r="H656" s="23"/>
      <c r="I656" s="23"/>
      <c r="J656" s="2"/>
      <c r="K656" s="2"/>
      <c r="L656" s="2"/>
      <c r="M656" s="2"/>
      <c r="O656" s="24"/>
    </row>
    <row r="657">
      <c r="A657" s="11"/>
      <c r="B657" s="23"/>
      <c r="C657" s="23"/>
      <c r="D657" s="23"/>
      <c r="E657" s="23"/>
      <c r="F657" s="1"/>
      <c r="G657" s="23"/>
      <c r="H657" s="23"/>
      <c r="I657" s="23"/>
      <c r="J657" s="2"/>
      <c r="K657" s="2"/>
      <c r="L657" s="2"/>
      <c r="M657" s="2"/>
      <c r="O657" s="24"/>
    </row>
    <row r="658">
      <c r="A658" s="11"/>
      <c r="B658" s="23"/>
      <c r="C658" s="23"/>
      <c r="D658" s="23"/>
      <c r="E658" s="23"/>
      <c r="F658" s="1"/>
      <c r="G658" s="23"/>
      <c r="H658" s="23"/>
      <c r="I658" s="23"/>
      <c r="J658" s="2"/>
      <c r="K658" s="2"/>
      <c r="L658" s="2"/>
      <c r="M658" s="2"/>
      <c r="O658" s="24"/>
    </row>
    <row r="659">
      <c r="A659" s="11"/>
      <c r="B659" s="23"/>
      <c r="C659" s="23"/>
      <c r="D659" s="23"/>
      <c r="E659" s="23"/>
      <c r="F659" s="1"/>
      <c r="G659" s="23"/>
      <c r="H659" s="23"/>
      <c r="I659" s="23"/>
      <c r="J659" s="2"/>
      <c r="K659" s="2"/>
      <c r="L659" s="2"/>
      <c r="M659" s="2"/>
      <c r="O659" s="24"/>
    </row>
    <row r="660">
      <c r="A660" s="11"/>
      <c r="B660" s="23"/>
      <c r="C660" s="23"/>
      <c r="D660" s="23"/>
      <c r="E660" s="23"/>
      <c r="F660" s="1"/>
      <c r="G660" s="23"/>
      <c r="H660" s="23"/>
      <c r="I660" s="23"/>
      <c r="J660" s="2"/>
      <c r="K660" s="2"/>
      <c r="L660" s="2"/>
      <c r="M660" s="2"/>
      <c r="O660" s="24"/>
    </row>
    <row r="661">
      <c r="A661" s="11"/>
      <c r="B661" s="23"/>
      <c r="C661" s="23"/>
      <c r="D661" s="23"/>
      <c r="E661" s="23"/>
      <c r="F661" s="1"/>
      <c r="G661" s="23"/>
      <c r="H661" s="23"/>
      <c r="I661" s="23"/>
      <c r="J661" s="2"/>
      <c r="K661" s="2"/>
      <c r="L661" s="2"/>
      <c r="M661" s="2"/>
      <c r="O661" s="24"/>
    </row>
    <row r="662">
      <c r="A662" s="11"/>
      <c r="B662" s="23"/>
      <c r="C662" s="23"/>
      <c r="D662" s="23"/>
      <c r="E662" s="23"/>
      <c r="F662" s="1"/>
      <c r="G662" s="23"/>
      <c r="H662" s="23"/>
      <c r="I662" s="23"/>
      <c r="J662" s="2"/>
      <c r="K662" s="2"/>
      <c r="L662" s="2"/>
      <c r="M662" s="2"/>
      <c r="O662" s="24"/>
    </row>
    <row r="663">
      <c r="A663" s="11"/>
      <c r="B663" s="23"/>
      <c r="C663" s="23"/>
      <c r="D663" s="23"/>
      <c r="E663" s="23"/>
      <c r="F663" s="1"/>
      <c r="G663" s="23"/>
      <c r="H663" s="23"/>
      <c r="I663" s="23"/>
      <c r="J663" s="2"/>
      <c r="K663" s="2"/>
      <c r="L663" s="2"/>
      <c r="M663" s="2"/>
      <c r="O663" s="24"/>
    </row>
    <row r="664">
      <c r="A664" s="11"/>
      <c r="B664" s="23"/>
      <c r="C664" s="23"/>
      <c r="D664" s="23"/>
      <c r="E664" s="23"/>
      <c r="F664" s="1"/>
      <c r="G664" s="23"/>
      <c r="H664" s="23"/>
      <c r="I664" s="23"/>
      <c r="J664" s="2"/>
      <c r="K664" s="2"/>
      <c r="L664" s="2"/>
      <c r="M664" s="2"/>
      <c r="O664" s="24"/>
    </row>
    <row r="665">
      <c r="A665" s="11"/>
      <c r="B665" s="23"/>
      <c r="C665" s="23"/>
      <c r="D665" s="23"/>
      <c r="E665" s="23"/>
      <c r="F665" s="1"/>
      <c r="G665" s="23"/>
      <c r="H665" s="23"/>
      <c r="I665" s="23"/>
      <c r="J665" s="2"/>
      <c r="K665" s="2"/>
      <c r="L665" s="2"/>
      <c r="M665" s="2"/>
      <c r="O665" s="24"/>
    </row>
    <row r="666">
      <c r="A666" s="11"/>
      <c r="B666" s="23"/>
      <c r="C666" s="23"/>
      <c r="D666" s="23"/>
      <c r="E666" s="23"/>
      <c r="F666" s="1"/>
      <c r="G666" s="23"/>
      <c r="H666" s="23"/>
      <c r="I666" s="23"/>
      <c r="J666" s="2"/>
      <c r="K666" s="2"/>
      <c r="L666" s="2"/>
      <c r="M666" s="2"/>
      <c r="O666" s="24"/>
    </row>
    <row r="667">
      <c r="A667" s="11"/>
      <c r="B667" s="23"/>
      <c r="C667" s="23"/>
      <c r="D667" s="23"/>
      <c r="E667" s="23"/>
      <c r="F667" s="1"/>
      <c r="G667" s="23"/>
      <c r="H667" s="23"/>
      <c r="I667" s="23"/>
      <c r="J667" s="2"/>
      <c r="K667" s="2"/>
      <c r="L667" s="2"/>
      <c r="M667" s="2"/>
      <c r="O667" s="24"/>
    </row>
    <row r="668">
      <c r="A668" s="11"/>
      <c r="B668" s="23"/>
      <c r="C668" s="23"/>
      <c r="D668" s="23"/>
      <c r="E668" s="23"/>
      <c r="F668" s="1"/>
      <c r="G668" s="23"/>
      <c r="H668" s="23"/>
      <c r="I668" s="23"/>
      <c r="J668" s="2"/>
      <c r="K668" s="2"/>
      <c r="L668" s="2"/>
      <c r="M668" s="2"/>
      <c r="O668" s="24"/>
    </row>
    <row r="669">
      <c r="A669" s="11"/>
      <c r="B669" s="23"/>
      <c r="C669" s="23"/>
      <c r="D669" s="23"/>
      <c r="E669" s="23"/>
      <c r="F669" s="1"/>
      <c r="G669" s="23"/>
      <c r="H669" s="23"/>
      <c r="I669" s="23"/>
      <c r="J669" s="2"/>
      <c r="K669" s="2"/>
      <c r="L669" s="2"/>
      <c r="M669" s="2"/>
      <c r="O669" s="24"/>
    </row>
    <row r="670">
      <c r="A670" s="11"/>
      <c r="B670" s="23"/>
      <c r="C670" s="23"/>
      <c r="D670" s="23"/>
      <c r="E670" s="23"/>
      <c r="F670" s="1"/>
      <c r="G670" s="23"/>
      <c r="H670" s="23"/>
      <c r="I670" s="23"/>
      <c r="J670" s="2"/>
      <c r="K670" s="2"/>
      <c r="L670" s="2"/>
      <c r="M670" s="2"/>
      <c r="O670" s="24"/>
    </row>
    <row r="671">
      <c r="A671" s="11"/>
      <c r="B671" s="23"/>
      <c r="C671" s="23"/>
      <c r="D671" s="23"/>
      <c r="E671" s="23"/>
      <c r="F671" s="1"/>
      <c r="G671" s="23"/>
      <c r="H671" s="23"/>
      <c r="I671" s="23"/>
      <c r="J671" s="2"/>
      <c r="K671" s="2"/>
      <c r="L671" s="2"/>
      <c r="M671" s="2"/>
      <c r="O671" s="24"/>
    </row>
    <row r="672">
      <c r="A672" s="11"/>
      <c r="B672" s="23"/>
      <c r="C672" s="23"/>
      <c r="D672" s="23"/>
      <c r="E672" s="23"/>
      <c r="F672" s="1"/>
      <c r="G672" s="23"/>
      <c r="H672" s="23"/>
      <c r="I672" s="23"/>
      <c r="J672" s="2"/>
      <c r="K672" s="2"/>
      <c r="L672" s="2"/>
      <c r="M672" s="2"/>
      <c r="O672" s="24"/>
    </row>
    <row r="673">
      <c r="A673" s="11"/>
      <c r="B673" s="23"/>
      <c r="C673" s="23"/>
      <c r="D673" s="23"/>
      <c r="E673" s="23"/>
      <c r="F673" s="1"/>
      <c r="G673" s="23"/>
      <c r="H673" s="23"/>
      <c r="I673" s="23"/>
      <c r="J673" s="2"/>
      <c r="K673" s="2"/>
      <c r="L673" s="2"/>
      <c r="M673" s="2"/>
      <c r="O673" s="24"/>
    </row>
    <row r="674">
      <c r="A674" s="11"/>
      <c r="B674" s="23"/>
      <c r="C674" s="23"/>
      <c r="D674" s="23"/>
      <c r="E674" s="23"/>
      <c r="F674" s="1"/>
      <c r="G674" s="23"/>
      <c r="H674" s="23"/>
      <c r="I674" s="23"/>
      <c r="J674" s="2"/>
      <c r="K674" s="2"/>
      <c r="L674" s="2"/>
      <c r="M674" s="2"/>
      <c r="O674" s="24"/>
    </row>
    <row r="675">
      <c r="A675" s="11"/>
      <c r="B675" s="23"/>
      <c r="C675" s="23"/>
      <c r="D675" s="23"/>
      <c r="E675" s="23"/>
      <c r="F675" s="1"/>
      <c r="G675" s="23"/>
      <c r="H675" s="23"/>
      <c r="I675" s="23"/>
      <c r="J675" s="2"/>
      <c r="K675" s="2"/>
      <c r="L675" s="2"/>
      <c r="M675" s="2"/>
      <c r="O675" s="24"/>
    </row>
    <row r="676">
      <c r="A676" s="11"/>
      <c r="B676" s="23"/>
      <c r="C676" s="23"/>
      <c r="D676" s="23"/>
      <c r="E676" s="23"/>
      <c r="F676" s="1"/>
      <c r="G676" s="23"/>
      <c r="H676" s="23"/>
      <c r="I676" s="23"/>
      <c r="J676" s="2"/>
      <c r="K676" s="2"/>
      <c r="L676" s="2"/>
      <c r="M676" s="2"/>
      <c r="O676" s="24"/>
    </row>
    <row r="677">
      <c r="A677" s="11"/>
      <c r="B677" s="23"/>
      <c r="C677" s="23"/>
      <c r="D677" s="23"/>
      <c r="E677" s="23"/>
      <c r="F677" s="1"/>
      <c r="G677" s="23"/>
      <c r="H677" s="23"/>
      <c r="I677" s="23"/>
      <c r="J677" s="2"/>
      <c r="K677" s="2"/>
      <c r="L677" s="2"/>
      <c r="M677" s="2"/>
      <c r="O677" s="24"/>
    </row>
    <row r="678">
      <c r="A678" s="11"/>
      <c r="B678" s="23"/>
      <c r="C678" s="23"/>
      <c r="D678" s="23"/>
      <c r="E678" s="23"/>
      <c r="F678" s="1"/>
      <c r="G678" s="23"/>
      <c r="H678" s="23"/>
      <c r="I678" s="23"/>
      <c r="J678" s="2"/>
      <c r="K678" s="2"/>
      <c r="L678" s="2"/>
      <c r="M678" s="2"/>
      <c r="O678" s="24"/>
    </row>
    <row r="679">
      <c r="A679" s="11"/>
      <c r="B679" s="23"/>
      <c r="C679" s="23"/>
      <c r="D679" s="23"/>
      <c r="E679" s="23"/>
      <c r="F679" s="1"/>
      <c r="G679" s="23"/>
      <c r="H679" s="23"/>
      <c r="I679" s="23"/>
      <c r="J679" s="2"/>
      <c r="K679" s="2"/>
      <c r="L679" s="2"/>
      <c r="M679" s="2"/>
      <c r="O679" s="24"/>
    </row>
    <row r="680">
      <c r="A680" s="11"/>
      <c r="B680" s="23"/>
      <c r="C680" s="23"/>
      <c r="D680" s="23"/>
      <c r="E680" s="23"/>
      <c r="F680" s="1"/>
      <c r="G680" s="23"/>
      <c r="H680" s="23"/>
      <c r="I680" s="23"/>
      <c r="J680" s="2"/>
      <c r="K680" s="2"/>
      <c r="L680" s="2"/>
      <c r="M680" s="2"/>
      <c r="O680" s="24"/>
    </row>
    <row r="681">
      <c r="A681" s="11"/>
      <c r="B681" s="23"/>
      <c r="C681" s="23"/>
      <c r="D681" s="23"/>
      <c r="E681" s="23"/>
      <c r="F681" s="1"/>
      <c r="G681" s="23"/>
      <c r="H681" s="23"/>
      <c r="I681" s="23"/>
      <c r="J681" s="2"/>
      <c r="K681" s="2"/>
      <c r="L681" s="2"/>
      <c r="M681" s="2"/>
      <c r="O681" s="24"/>
    </row>
    <row r="682">
      <c r="A682" s="11"/>
      <c r="B682" s="23"/>
      <c r="C682" s="23"/>
      <c r="D682" s="23"/>
      <c r="E682" s="23"/>
      <c r="F682" s="1"/>
      <c r="G682" s="23"/>
      <c r="H682" s="23"/>
      <c r="I682" s="23"/>
      <c r="J682" s="2"/>
      <c r="K682" s="2"/>
      <c r="L682" s="2"/>
      <c r="M682" s="2"/>
      <c r="O682" s="24"/>
    </row>
    <row r="683">
      <c r="A683" s="11"/>
      <c r="B683" s="23"/>
      <c r="C683" s="23"/>
      <c r="D683" s="23"/>
      <c r="E683" s="23"/>
      <c r="F683" s="1"/>
      <c r="G683" s="23"/>
      <c r="H683" s="23"/>
      <c r="I683" s="23"/>
      <c r="J683" s="2"/>
      <c r="K683" s="2"/>
      <c r="L683" s="2"/>
      <c r="M683" s="2"/>
      <c r="O683" s="24"/>
    </row>
    <row r="684">
      <c r="A684" s="11"/>
      <c r="B684" s="23"/>
      <c r="C684" s="23"/>
      <c r="D684" s="23"/>
      <c r="E684" s="23"/>
      <c r="F684" s="1"/>
      <c r="G684" s="23"/>
      <c r="H684" s="23"/>
      <c r="I684" s="23"/>
      <c r="J684" s="2"/>
      <c r="K684" s="2"/>
      <c r="L684" s="2"/>
      <c r="M684" s="2"/>
      <c r="O684" s="24"/>
    </row>
    <row r="685">
      <c r="A685" s="11"/>
      <c r="B685" s="23"/>
      <c r="C685" s="23"/>
      <c r="D685" s="23"/>
      <c r="E685" s="23"/>
      <c r="F685" s="1"/>
      <c r="G685" s="23"/>
      <c r="H685" s="23"/>
      <c r="I685" s="23"/>
      <c r="J685" s="2"/>
      <c r="K685" s="2"/>
      <c r="L685" s="2"/>
      <c r="M685" s="2"/>
      <c r="O685" s="24"/>
    </row>
    <row r="686">
      <c r="A686" s="11"/>
      <c r="B686" s="23"/>
      <c r="C686" s="23"/>
      <c r="D686" s="23"/>
      <c r="E686" s="23"/>
      <c r="F686" s="1"/>
      <c r="G686" s="23"/>
      <c r="H686" s="23"/>
      <c r="I686" s="23"/>
      <c r="J686" s="2"/>
      <c r="K686" s="2"/>
      <c r="L686" s="2"/>
      <c r="M686" s="2"/>
      <c r="O686" s="24"/>
    </row>
    <row r="687">
      <c r="A687" s="11"/>
      <c r="B687" s="23"/>
      <c r="C687" s="23"/>
      <c r="D687" s="23"/>
      <c r="E687" s="23"/>
      <c r="F687" s="1"/>
      <c r="G687" s="23"/>
      <c r="H687" s="23"/>
      <c r="I687" s="23"/>
      <c r="J687" s="2"/>
      <c r="K687" s="2"/>
      <c r="L687" s="2"/>
      <c r="M687" s="2"/>
      <c r="O687" s="24"/>
    </row>
    <row r="688">
      <c r="A688" s="11"/>
      <c r="B688" s="23"/>
      <c r="C688" s="23"/>
      <c r="D688" s="23"/>
      <c r="E688" s="23"/>
      <c r="F688" s="1"/>
      <c r="G688" s="23"/>
      <c r="H688" s="23"/>
      <c r="I688" s="23"/>
      <c r="J688" s="2"/>
      <c r="K688" s="2"/>
      <c r="L688" s="2"/>
      <c r="M688" s="2"/>
      <c r="O688" s="24"/>
    </row>
    <row r="689">
      <c r="A689" s="11"/>
      <c r="B689" s="23"/>
      <c r="C689" s="23"/>
      <c r="D689" s="23"/>
      <c r="E689" s="23"/>
      <c r="F689" s="1"/>
      <c r="G689" s="23"/>
      <c r="H689" s="23"/>
      <c r="I689" s="23"/>
      <c r="J689" s="2"/>
      <c r="K689" s="2"/>
      <c r="L689" s="2"/>
      <c r="M689" s="2"/>
      <c r="O689" s="24"/>
    </row>
    <row r="690">
      <c r="A690" s="11"/>
      <c r="B690" s="23"/>
      <c r="C690" s="23"/>
      <c r="D690" s="23"/>
      <c r="E690" s="23"/>
      <c r="F690" s="1"/>
      <c r="G690" s="23"/>
      <c r="H690" s="23"/>
      <c r="I690" s="23"/>
      <c r="J690" s="2"/>
      <c r="K690" s="2"/>
      <c r="L690" s="2"/>
      <c r="M690" s="2"/>
      <c r="O690" s="24"/>
    </row>
    <row r="691">
      <c r="A691" s="11"/>
      <c r="B691" s="23"/>
      <c r="C691" s="23"/>
      <c r="D691" s="23"/>
      <c r="E691" s="23"/>
      <c r="F691" s="1"/>
      <c r="G691" s="23"/>
      <c r="H691" s="23"/>
      <c r="I691" s="23"/>
      <c r="J691" s="2"/>
      <c r="K691" s="2"/>
      <c r="L691" s="2"/>
      <c r="M691" s="2"/>
      <c r="O691" s="24"/>
    </row>
    <row r="692">
      <c r="A692" s="11"/>
      <c r="B692" s="23"/>
      <c r="C692" s="23"/>
      <c r="D692" s="23"/>
      <c r="E692" s="23"/>
      <c r="F692" s="1"/>
      <c r="G692" s="23"/>
      <c r="H692" s="23"/>
      <c r="I692" s="23"/>
      <c r="J692" s="2"/>
      <c r="K692" s="2"/>
      <c r="L692" s="2"/>
      <c r="M692" s="2"/>
      <c r="O692" s="24"/>
    </row>
    <row r="693">
      <c r="A693" s="11"/>
      <c r="B693" s="23"/>
      <c r="C693" s="23"/>
      <c r="D693" s="23"/>
      <c r="E693" s="23"/>
      <c r="F693" s="1"/>
      <c r="G693" s="23"/>
      <c r="H693" s="23"/>
      <c r="I693" s="23"/>
      <c r="J693" s="2"/>
      <c r="K693" s="2"/>
      <c r="L693" s="2"/>
      <c r="M693" s="2"/>
      <c r="O693" s="24"/>
    </row>
    <row r="694">
      <c r="A694" s="11"/>
      <c r="B694" s="23"/>
      <c r="C694" s="23"/>
      <c r="D694" s="23"/>
      <c r="E694" s="23"/>
      <c r="F694" s="1"/>
      <c r="G694" s="23"/>
      <c r="H694" s="23"/>
      <c r="I694" s="23"/>
      <c r="J694" s="2"/>
      <c r="K694" s="2"/>
      <c r="L694" s="2"/>
      <c r="M694" s="2"/>
      <c r="O694" s="24"/>
    </row>
    <row r="695">
      <c r="A695" s="11"/>
      <c r="B695" s="23"/>
      <c r="C695" s="23"/>
      <c r="D695" s="23"/>
      <c r="E695" s="23"/>
      <c r="F695" s="1"/>
      <c r="G695" s="23"/>
      <c r="H695" s="23"/>
      <c r="I695" s="23"/>
      <c r="J695" s="2"/>
      <c r="K695" s="2"/>
      <c r="L695" s="2"/>
      <c r="M695" s="2"/>
      <c r="O695" s="24"/>
    </row>
    <row r="696">
      <c r="A696" s="11"/>
      <c r="B696" s="23"/>
      <c r="C696" s="23"/>
      <c r="D696" s="23"/>
      <c r="E696" s="23"/>
      <c r="F696" s="1"/>
      <c r="G696" s="23"/>
      <c r="H696" s="23"/>
      <c r="I696" s="23"/>
      <c r="J696" s="2"/>
      <c r="K696" s="2"/>
      <c r="L696" s="2"/>
      <c r="M696" s="2"/>
      <c r="O696" s="24"/>
    </row>
    <row r="697">
      <c r="A697" s="11"/>
      <c r="B697" s="23"/>
      <c r="C697" s="23"/>
      <c r="D697" s="23"/>
      <c r="E697" s="23"/>
      <c r="F697" s="1"/>
      <c r="G697" s="23"/>
      <c r="H697" s="23"/>
      <c r="I697" s="23"/>
      <c r="J697" s="2"/>
      <c r="K697" s="2"/>
      <c r="L697" s="2"/>
      <c r="M697" s="2"/>
      <c r="O697" s="24"/>
    </row>
    <row r="698">
      <c r="A698" s="11"/>
      <c r="B698" s="23"/>
      <c r="C698" s="23"/>
      <c r="D698" s="23"/>
      <c r="E698" s="23"/>
      <c r="F698" s="1"/>
      <c r="G698" s="23"/>
      <c r="H698" s="23"/>
      <c r="I698" s="23"/>
      <c r="J698" s="2"/>
      <c r="K698" s="2"/>
      <c r="L698" s="2"/>
      <c r="M698" s="2"/>
      <c r="O698" s="24"/>
    </row>
    <row r="699">
      <c r="A699" s="11"/>
      <c r="B699" s="23"/>
      <c r="C699" s="23"/>
      <c r="D699" s="23"/>
      <c r="E699" s="23"/>
      <c r="F699" s="1"/>
      <c r="G699" s="23"/>
      <c r="H699" s="23"/>
      <c r="I699" s="23"/>
      <c r="J699" s="2"/>
      <c r="K699" s="2"/>
      <c r="L699" s="2"/>
      <c r="M699" s="2"/>
      <c r="O699" s="24"/>
    </row>
    <row r="700">
      <c r="A700" s="11"/>
      <c r="B700" s="23"/>
      <c r="C700" s="23"/>
      <c r="D700" s="23"/>
      <c r="E700" s="23"/>
      <c r="F700" s="1"/>
      <c r="G700" s="23"/>
      <c r="H700" s="23"/>
      <c r="I700" s="23"/>
      <c r="J700" s="2"/>
      <c r="K700" s="2"/>
      <c r="L700" s="2"/>
      <c r="M700" s="2"/>
      <c r="O700" s="24"/>
    </row>
    <row r="701">
      <c r="A701" s="11"/>
      <c r="B701" s="23"/>
      <c r="C701" s="23"/>
      <c r="D701" s="23"/>
      <c r="E701" s="23"/>
      <c r="F701" s="1"/>
      <c r="G701" s="23"/>
      <c r="H701" s="23"/>
      <c r="I701" s="23"/>
      <c r="J701" s="2"/>
      <c r="K701" s="2"/>
      <c r="L701" s="2"/>
      <c r="M701" s="2"/>
      <c r="O701" s="24"/>
    </row>
    <row r="702">
      <c r="A702" s="11"/>
      <c r="B702" s="23"/>
      <c r="C702" s="23"/>
      <c r="D702" s="23"/>
      <c r="E702" s="23"/>
      <c r="F702" s="1"/>
      <c r="G702" s="23"/>
      <c r="H702" s="23"/>
      <c r="I702" s="23"/>
      <c r="J702" s="2"/>
      <c r="K702" s="2"/>
      <c r="L702" s="2"/>
      <c r="M702" s="2"/>
      <c r="O702" s="24"/>
    </row>
    <row r="703">
      <c r="A703" s="11"/>
      <c r="B703" s="23"/>
      <c r="C703" s="23"/>
      <c r="D703" s="23"/>
      <c r="E703" s="23"/>
      <c r="F703" s="1"/>
      <c r="G703" s="23"/>
      <c r="H703" s="23"/>
      <c r="I703" s="23"/>
      <c r="J703" s="2"/>
      <c r="K703" s="2"/>
      <c r="L703" s="2"/>
      <c r="M703" s="2"/>
      <c r="O703" s="24"/>
    </row>
    <row r="704">
      <c r="A704" s="11"/>
      <c r="B704" s="23"/>
      <c r="C704" s="23"/>
      <c r="D704" s="23"/>
      <c r="E704" s="23"/>
      <c r="F704" s="1"/>
      <c r="G704" s="23"/>
      <c r="H704" s="23"/>
      <c r="I704" s="23"/>
      <c r="J704" s="2"/>
      <c r="K704" s="2"/>
      <c r="L704" s="2"/>
      <c r="M704" s="2"/>
      <c r="O704" s="24"/>
    </row>
    <row r="705">
      <c r="A705" s="11"/>
      <c r="B705" s="23"/>
      <c r="C705" s="23"/>
      <c r="D705" s="23"/>
      <c r="E705" s="23"/>
      <c r="F705" s="1"/>
      <c r="G705" s="23"/>
      <c r="H705" s="23"/>
      <c r="I705" s="23"/>
      <c r="J705" s="2"/>
      <c r="K705" s="2"/>
      <c r="L705" s="2"/>
      <c r="M705" s="2"/>
      <c r="O705" s="24"/>
    </row>
    <row r="706">
      <c r="A706" s="11"/>
      <c r="B706" s="23"/>
      <c r="C706" s="23"/>
      <c r="D706" s="23"/>
      <c r="E706" s="23"/>
      <c r="F706" s="1"/>
      <c r="G706" s="23"/>
      <c r="H706" s="23"/>
      <c r="I706" s="23"/>
      <c r="J706" s="2"/>
      <c r="K706" s="2"/>
      <c r="L706" s="2"/>
      <c r="M706" s="2"/>
      <c r="O706" s="24"/>
    </row>
    <row r="707">
      <c r="A707" s="11"/>
      <c r="B707" s="23"/>
      <c r="C707" s="23"/>
      <c r="D707" s="23"/>
      <c r="E707" s="23"/>
      <c r="F707" s="1"/>
      <c r="G707" s="23"/>
      <c r="H707" s="23"/>
      <c r="I707" s="23"/>
      <c r="J707" s="2"/>
      <c r="K707" s="2"/>
      <c r="L707" s="2"/>
      <c r="M707" s="2"/>
      <c r="O707" s="24"/>
    </row>
    <row r="708">
      <c r="A708" s="11"/>
      <c r="B708" s="23"/>
      <c r="C708" s="23"/>
      <c r="D708" s="23"/>
      <c r="E708" s="23"/>
      <c r="F708" s="1"/>
      <c r="G708" s="23"/>
      <c r="H708" s="23"/>
      <c r="I708" s="23"/>
      <c r="J708" s="2"/>
      <c r="K708" s="2"/>
      <c r="L708" s="2"/>
      <c r="M708" s="2"/>
      <c r="O708" s="24"/>
    </row>
    <row r="709">
      <c r="A709" s="11"/>
      <c r="B709" s="23"/>
      <c r="C709" s="23"/>
      <c r="D709" s="23"/>
      <c r="E709" s="23"/>
      <c r="F709" s="1"/>
      <c r="G709" s="23"/>
      <c r="H709" s="23"/>
      <c r="I709" s="23"/>
      <c r="J709" s="2"/>
      <c r="K709" s="2"/>
      <c r="L709" s="2"/>
      <c r="M709" s="2"/>
      <c r="O709" s="24"/>
    </row>
    <row r="710">
      <c r="A710" s="11"/>
      <c r="B710" s="23"/>
      <c r="C710" s="23"/>
      <c r="D710" s="23"/>
      <c r="E710" s="23"/>
      <c r="F710" s="1"/>
      <c r="G710" s="23"/>
      <c r="H710" s="23"/>
      <c r="I710" s="23"/>
      <c r="J710" s="2"/>
      <c r="K710" s="2"/>
      <c r="L710" s="2"/>
      <c r="M710" s="2"/>
      <c r="O710" s="24"/>
    </row>
    <row r="711">
      <c r="A711" s="11"/>
      <c r="B711" s="23"/>
      <c r="C711" s="23"/>
      <c r="D711" s="23"/>
      <c r="E711" s="23"/>
      <c r="F711" s="1"/>
      <c r="G711" s="23"/>
      <c r="H711" s="23"/>
      <c r="I711" s="23"/>
      <c r="J711" s="2"/>
      <c r="K711" s="2"/>
      <c r="L711" s="2"/>
      <c r="M711" s="2"/>
      <c r="O711" s="24"/>
    </row>
    <row r="712">
      <c r="A712" s="11"/>
      <c r="B712" s="23"/>
      <c r="C712" s="23"/>
      <c r="D712" s="23"/>
      <c r="E712" s="23"/>
      <c r="F712" s="1"/>
      <c r="G712" s="23"/>
      <c r="H712" s="23"/>
      <c r="I712" s="23"/>
      <c r="J712" s="2"/>
      <c r="K712" s="2"/>
      <c r="L712" s="2"/>
      <c r="M712" s="2"/>
      <c r="O712" s="24"/>
    </row>
    <row r="713">
      <c r="A713" s="11"/>
      <c r="B713" s="23"/>
      <c r="C713" s="23"/>
      <c r="D713" s="23"/>
      <c r="E713" s="23"/>
      <c r="F713" s="1"/>
      <c r="G713" s="23"/>
      <c r="H713" s="23"/>
      <c r="I713" s="23"/>
      <c r="J713" s="2"/>
      <c r="K713" s="2"/>
      <c r="L713" s="2"/>
      <c r="M713" s="2"/>
      <c r="O713" s="24"/>
    </row>
    <row r="714">
      <c r="A714" s="11"/>
      <c r="B714" s="23"/>
      <c r="C714" s="23"/>
      <c r="D714" s="23"/>
      <c r="E714" s="23"/>
      <c r="F714" s="1"/>
      <c r="G714" s="23"/>
      <c r="H714" s="23"/>
      <c r="I714" s="23"/>
      <c r="J714" s="2"/>
      <c r="K714" s="2"/>
      <c r="L714" s="2"/>
      <c r="M714" s="2"/>
      <c r="O714" s="24"/>
    </row>
    <row r="715">
      <c r="A715" s="11"/>
      <c r="B715" s="23"/>
      <c r="C715" s="23"/>
      <c r="D715" s="23"/>
      <c r="E715" s="23"/>
      <c r="F715" s="1"/>
      <c r="G715" s="23"/>
      <c r="H715" s="23"/>
      <c r="I715" s="23"/>
      <c r="J715" s="2"/>
      <c r="K715" s="2"/>
      <c r="L715" s="2"/>
      <c r="M715" s="2"/>
      <c r="O715" s="24"/>
    </row>
    <row r="716">
      <c r="A716" s="11"/>
      <c r="B716" s="23"/>
      <c r="C716" s="23"/>
      <c r="D716" s="23"/>
      <c r="E716" s="23"/>
      <c r="F716" s="1"/>
      <c r="G716" s="23"/>
      <c r="H716" s="23"/>
      <c r="I716" s="23"/>
      <c r="J716" s="2"/>
      <c r="K716" s="2"/>
      <c r="L716" s="2"/>
      <c r="M716" s="2"/>
      <c r="O716" s="24"/>
    </row>
    <row r="717">
      <c r="A717" s="11"/>
      <c r="B717" s="23"/>
      <c r="C717" s="23"/>
      <c r="D717" s="23"/>
      <c r="E717" s="23"/>
      <c r="F717" s="1"/>
      <c r="G717" s="23"/>
      <c r="H717" s="23"/>
      <c r="I717" s="23"/>
      <c r="J717" s="2"/>
      <c r="K717" s="2"/>
      <c r="L717" s="2"/>
      <c r="M717" s="2"/>
      <c r="O717" s="24"/>
    </row>
    <row r="718">
      <c r="A718" s="11"/>
      <c r="B718" s="23"/>
      <c r="C718" s="23"/>
      <c r="D718" s="23"/>
      <c r="E718" s="23"/>
      <c r="F718" s="1"/>
      <c r="G718" s="23"/>
      <c r="H718" s="23"/>
      <c r="I718" s="23"/>
      <c r="J718" s="2"/>
      <c r="K718" s="2"/>
      <c r="L718" s="2"/>
      <c r="M718" s="2"/>
      <c r="O718" s="24"/>
    </row>
    <row r="719">
      <c r="A719" s="11"/>
      <c r="B719" s="23"/>
      <c r="C719" s="23"/>
      <c r="D719" s="23"/>
      <c r="E719" s="23"/>
      <c r="F719" s="1"/>
      <c r="G719" s="23"/>
      <c r="H719" s="23"/>
      <c r="I719" s="23"/>
      <c r="J719" s="2"/>
      <c r="K719" s="2"/>
      <c r="L719" s="2"/>
      <c r="M719" s="2"/>
      <c r="O719" s="24"/>
    </row>
    <row r="720">
      <c r="A720" s="11"/>
      <c r="B720" s="23"/>
      <c r="C720" s="23"/>
      <c r="D720" s="23"/>
      <c r="E720" s="23"/>
      <c r="F720" s="1"/>
      <c r="G720" s="23"/>
      <c r="H720" s="23"/>
      <c r="I720" s="23"/>
      <c r="J720" s="2"/>
      <c r="K720" s="2"/>
      <c r="L720" s="2"/>
      <c r="M720" s="2"/>
      <c r="O720" s="24"/>
    </row>
    <row r="721">
      <c r="A721" s="11"/>
      <c r="B721" s="23"/>
      <c r="C721" s="23"/>
      <c r="D721" s="23"/>
      <c r="E721" s="23"/>
      <c r="F721" s="1"/>
      <c r="G721" s="23"/>
      <c r="H721" s="23"/>
      <c r="I721" s="23"/>
      <c r="J721" s="2"/>
      <c r="K721" s="2"/>
      <c r="L721" s="2"/>
      <c r="M721" s="2"/>
      <c r="O721" s="24"/>
    </row>
    <row r="722">
      <c r="A722" s="11"/>
      <c r="B722" s="23"/>
      <c r="C722" s="23"/>
      <c r="D722" s="23"/>
      <c r="E722" s="23"/>
      <c r="F722" s="1"/>
      <c r="G722" s="23"/>
      <c r="H722" s="23"/>
      <c r="I722" s="23"/>
      <c r="J722" s="2"/>
      <c r="K722" s="2"/>
      <c r="L722" s="2"/>
      <c r="M722" s="2"/>
      <c r="O722" s="24"/>
    </row>
    <row r="723">
      <c r="A723" s="11"/>
      <c r="B723" s="23"/>
      <c r="C723" s="23"/>
      <c r="D723" s="23"/>
      <c r="E723" s="23"/>
      <c r="F723" s="1"/>
      <c r="G723" s="23"/>
      <c r="H723" s="23"/>
      <c r="I723" s="23"/>
      <c r="J723" s="2"/>
      <c r="K723" s="2"/>
      <c r="L723" s="2"/>
      <c r="M723" s="2"/>
      <c r="O723" s="24"/>
    </row>
    <row r="724">
      <c r="A724" s="11"/>
      <c r="B724" s="23"/>
      <c r="C724" s="23"/>
      <c r="D724" s="23"/>
      <c r="E724" s="23"/>
      <c r="F724" s="1"/>
      <c r="G724" s="23"/>
      <c r="H724" s="23"/>
      <c r="I724" s="23"/>
      <c r="J724" s="2"/>
      <c r="K724" s="2"/>
      <c r="L724" s="2"/>
      <c r="M724" s="2"/>
      <c r="O724" s="24"/>
    </row>
    <row r="725">
      <c r="A725" s="11"/>
      <c r="B725" s="23"/>
      <c r="C725" s="23"/>
      <c r="D725" s="23"/>
      <c r="E725" s="23"/>
      <c r="F725" s="1"/>
      <c r="G725" s="23"/>
      <c r="H725" s="23"/>
      <c r="I725" s="23"/>
      <c r="J725" s="2"/>
      <c r="K725" s="2"/>
      <c r="L725" s="2"/>
      <c r="M725" s="2"/>
      <c r="O725" s="24"/>
    </row>
    <row r="726">
      <c r="A726" s="11"/>
      <c r="B726" s="23"/>
      <c r="C726" s="23"/>
      <c r="D726" s="23"/>
      <c r="E726" s="23"/>
      <c r="F726" s="1"/>
      <c r="G726" s="23"/>
      <c r="H726" s="23"/>
      <c r="I726" s="23"/>
      <c r="J726" s="2"/>
      <c r="K726" s="2"/>
      <c r="L726" s="2"/>
      <c r="M726" s="2"/>
      <c r="O726" s="24"/>
    </row>
    <row r="727">
      <c r="A727" s="11"/>
      <c r="B727" s="23"/>
      <c r="C727" s="23"/>
      <c r="D727" s="23"/>
      <c r="E727" s="23"/>
      <c r="F727" s="1"/>
      <c r="G727" s="23"/>
      <c r="H727" s="23"/>
      <c r="I727" s="23"/>
      <c r="J727" s="2"/>
      <c r="K727" s="2"/>
      <c r="L727" s="2"/>
      <c r="M727" s="2"/>
      <c r="O727" s="24"/>
    </row>
    <row r="728">
      <c r="A728" s="11"/>
      <c r="B728" s="23"/>
      <c r="C728" s="23"/>
      <c r="D728" s="23"/>
      <c r="E728" s="23"/>
      <c r="F728" s="1"/>
      <c r="G728" s="23"/>
      <c r="H728" s="23"/>
      <c r="I728" s="23"/>
      <c r="J728" s="2"/>
      <c r="K728" s="2"/>
      <c r="L728" s="2"/>
      <c r="M728" s="2"/>
      <c r="O728" s="24"/>
    </row>
    <row r="729">
      <c r="A729" s="11"/>
      <c r="B729" s="23"/>
      <c r="C729" s="23"/>
      <c r="D729" s="23"/>
      <c r="E729" s="23"/>
      <c r="F729" s="1"/>
      <c r="G729" s="23"/>
      <c r="H729" s="23"/>
      <c r="I729" s="23"/>
      <c r="J729" s="2"/>
      <c r="K729" s="2"/>
      <c r="L729" s="2"/>
      <c r="M729" s="2"/>
      <c r="O729" s="24"/>
    </row>
    <row r="730">
      <c r="A730" s="11"/>
      <c r="B730" s="23"/>
      <c r="C730" s="23"/>
      <c r="D730" s="23"/>
      <c r="E730" s="23"/>
      <c r="F730" s="1"/>
      <c r="G730" s="23"/>
      <c r="H730" s="23"/>
      <c r="I730" s="23"/>
      <c r="J730" s="2"/>
      <c r="K730" s="2"/>
      <c r="L730" s="2"/>
      <c r="M730" s="2"/>
      <c r="O730" s="24"/>
    </row>
    <row r="731">
      <c r="A731" s="11"/>
      <c r="B731" s="23"/>
      <c r="C731" s="23"/>
      <c r="D731" s="23"/>
      <c r="E731" s="23"/>
      <c r="F731" s="1"/>
      <c r="G731" s="23"/>
      <c r="H731" s="23"/>
      <c r="I731" s="23"/>
      <c r="J731" s="2"/>
      <c r="K731" s="2"/>
      <c r="L731" s="2"/>
      <c r="M731" s="2"/>
      <c r="O731" s="24"/>
    </row>
    <row r="732">
      <c r="A732" s="11"/>
      <c r="B732" s="23"/>
      <c r="C732" s="23"/>
      <c r="D732" s="23"/>
      <c r="E732" s="23"/>
      <c r="F732" s="1"/>
      <c r="G732" s="23"/>
      <c r="H732" s="23"/>
      <c r="I732" s="23"/>
      <c r="J732" s="2"/>
      <c r="K732" s="2"/>
      <c r="L732" s="2"/>
      <c r="M732" s="2"/>
      <c r="O732" s="24"/>
    </row>
    <row r="733">
      <c r="A733" s="11"/>
      <c r="B733" s="23"/>
      <c r="C733" s="23"/>
      <c r="D733" s="23"/>
      <c r="E733" s="23"/>
      <c r="F733" s="1"/>
      <c r="G733" s="23"/>
      <c r="H733" s="23"/>
      <c r="I733" s="23"/>
      <c r="J733" s="2"/>
      <c r="K733" s="2"/>
      <c r="L733" s="2"/>
      <c r="M733" s="2"/>
      <c r="O733" s="24"/>
    </row>
    <row r="734">
      <c r="A734" s="11"/>
      <c r="B734" s="23"/>
      <c r="C734" s="23"/>
      <c r="D734" s="23"/>
      <c r="E734" s="23"/>
      <c r="F734" s="1"/>
      <c r="G734" s="23"/>
      <c r="H734" s="23"/>
      <c r="I734" s="23"/>
      <c r="J734" s="2"/>
      <c r="K734" s="2"/>
      <c r="L734" s="2"/>
      <c r="M734" s="2"/>
      <c r="O734" s="24"/>
    </row>
    <row r="735">
      <c r="A735" s="11"/>
      <c r="B735" s="23"/>
      <c r="C735" s="23"/>
      <c r="D735" s="23"/>
      <c r="E735" s="23"/>
      <c r="F735" s="1"/>
      <c r="G735" s="23"/>
      <c r="H735" s="23"/>
      <c r="I735" s="23"/>
      <c r="J735" s="2"/>
      <c r="K735" s="2"/>
      <c r="L735" s="2"/>
      <c r="M735" s="2"/>
      <c r="O735" s="24"/>
    </row>
    <row r="736">
      <c r="A736" s="11"/>
      <c r="B736" s="23"/>
      <c r="C736" s="23"/>
      <c r="D736" s="23"/>
      <c r="E736" s="23"/>
      <c r="F736" s="1"/>
      <c r="G736" s="23"/>
      <c r="H736" s="23"/>
      <c r="I736" s="23"/>
      <c r="J736" s="2"/>
      <c r="K736" s="2"/>
      <c r="L736" s="2"/>
      <c r="M736" s="2"/>
      <c r="O736" s="24"/>
    </row>
    <row r="737">
      <c r="A737" s="11"/>
      <c r="B737" s="23"/>
      <c r="C737" s="23"/>
      <c r="D737" s="23"/>
      <c r="E737" s="23"/>
      <c r="F737" s="1"/>
      <c r="G737" s="23"/>
      <c r="H737" s="23"/>
      <c r="I737" s="23"/>
      <c r="J737" s="2"/>
      <c r="K737" s="2"/>
      <c r="L737" s="2"/>
      <c r="M737" s="2"/>
      <c r="O737" s="24"/>
    </row>
    <row r="738">
      <c r="A738" s="11"/>
      <c r="B738" s="23"/>
      <c r="C738" s="23"/>
      <c r="D738" s="23"/>
      <c r="E738" s="23"/>
      <c r="F738" s="1"/>
      <c r="G738" s="23"/>
      <c r="H738" s="23"/>
      <c r="I738" s="23"/>
      <c r="J738" s="2"/>
      <c r="K738" s="2"/>
      <c r="L738" s="2"/>
      <c r="M738" s="2"/>
      <c r="O738" s="24"/>
    </row>
    <row r="739">
      <c r="A739" s="11"/>
      <c r="B739" s="23"/>
      <c r="C739" s="23"/>
      <c r="D739" s="23"/>
      <c r="E739" s="23"/>
      <c r="F739" s="1"/>
      <c r="G739" s="23"/>
      <c r="H739" s="23"/>
      <c r="I739" s="23"/>
      <c r="J739" s="2"/>
      <c r="K739" s="2"/>
      <c r="L739" s="2"/>
      <c r="M739" s="2"/>
      <c r="O739" s="24"/>
    </row>
    <row r="740">
      <c r="A740" s="11"/>
      <c r="B740" s="23"/>
      <c r="C740" s="23"/>
      <c r="D740" s="23"/>
      <c r="E740" s="23"/>
      <c r="F740" s="1"/>
      <c r="G740" s="23"/>
      <c r="H740" s="23"/>
      <c r="I740" s="23"/>
      <c r="J740" s="2"/>
      <c r="K740" s="2"/>
      <c r="L740" s="2"/>
      <c r="M740" s="2"/>
      <c r="O740" s="24"/>
    </row>
    <row r="741">
      <c r="A741" s="11"/>
      <c r="B741" s="23"/>
      <c r="C741" s="23"/>
      <c r="D741" s="23"/>
      <c r="E741" s="23"/>
      <c r="F741" s="1"/>
      <c r="G741" s="23"/>
      <c r="H741" s="23"/>
      <c r="I741" s="23"/>
      <c r="J741" s="2"/>
      <c r="K741" s="2"/>
      <c r="L741" s="2"/>
      <c r="M741" s="2"/>
      <c r="O741" s="24"/>
    </row>
    <row r="742">
      <c r="A742" s="11"/>
      <c r="B742" s="23"/>
      <c r="C742" s="23"/>
      <c r="D742" s="23"/>
      <c r="E742" s="23"/>
      <c r="F742" s="1"/>
      <c r="G742" s="23"/>
      <c r="H742" s="23"/>
      <c r="I742" s="23"/>
      <c r="J742" s="2"/>
      <c r="K742" s="2"/>
      <c r="L742" s="2"/>
      <c r="M742" s="2"/>
      <c r="O742" s="24"/>
    </row>
    <row r="743">
      <c r="A743" s="11"/>
      <c r="B743" s="23"/>
      <c r="C743" s="23"/>
      <c r="D743" s="23"/>
      <c r="E743" s="23"/>
      <c r="F743" s="1"/>
      <c r="G743" s="23"/>
      <c r="H743" s="23"/>
      <c r="I743" s="23"/>
      <c r="J743" s="2"/>
      <c r="K743" s="2"/>
      <c r="L743" s="2"/>
      <c r="M743" s="2"/>
      <c r="O743" s="24"/>
    </row>
    <row r="744">
      <c r="A744" s="11"/>
      <c r="B744" s="23"/>
      <c r="C744" s="23"/>
      <c r="D744" s="23"/>
      <c r="E744" s="23"/>
      <c r="F744" s="1"/>
      <c r="G744" s="23"/>
      <c r="H744" s="23"/>
      <c r="I744" s="23"/>
      <c r="J744" s="2"/>
      <c r="K744" s="2"/>
      <c r="L744" s="2"/>
      <c r="M744" s="2"/>
      <c r="O744" s="24"/>
    </row>
    <row r="745">
      <c r="A745" s="11"/>
      <c r="B745" s="23"/>
      <c r="C745" s="23"/>
      <c r="D745" s="23"/>
      <c r="E745" s="23"/>
      <c r="F745" s="1"/>
      <c r="G745" s="23"/>
      <c r="H745" s="23"/>
      <c r="I745" s="23"/>
      <c r="J745" s="2"/>
      <c r="K745" s="2"/>
      <c r="L745" s="2"/>
      <c r="M745" s="2"/>
      <c r="O745" s="24"/>
    </row>
    <row r="746">
      <c r="A746" s="11"/>
      <c r="B746" s="23"/>
      <c r="C746" s="23"/>
      <c r="D746" s="23"/>
      <c r="E746" s="23"/>
      <c r="F746" s="1"/>
      <c r="G746" s="23"/>
      <c r="H746" s="23"/>
      <c r="I746" s="23"/>
      <c r="J746" s="2"/>
      <c r="K746" s="2"/>
      <c r="L746" s="2"/>
      <c r="M746" s="2"/>
      <c r="O746" s="24"/>
    </row>
    <row r="747">
      <c r="A747" s="11"/>
      <c r="B747" s="23"/>
      <c r="C747" s="23"/>
      <c r="D747" s="23"/>
      <c r="E747" s="23"/>
      <c r="F747" s="1"/>
      <c r="G747" s="23"/>
      <c r="H747" s="23"/>
      <c r="I747" s="23"/>
      <c r="J747" s="2"/>
      <c r="K747" s="2"/>
      <c r="L747" s="2"/>
      <c r="M747" s="2"/>
      <c r="O747" s="24"/>
    </row>
    <row r="748">
      <c r="A748" s="11"/>
      <c r="B748" s="23"/>
      <c r="C748" s="23"/>
      <c r="D748" s="23"/>
      <c r="E748" s="23"/>
      <c r="F748" s="1"/>
      <c r="G748" s="23"/>
      <c r="H748" s="23"/>
      <c r="I748" s="23"/>
      <c r="J748" s="2"/>
      <c r="K748" s="2"/>
      <c r="L748" s="2"/>
      <c r="M748" s="2"/>
      <c r="O748" s="24"/>
    </row>
    <row r="749">
      <c r="A749" s="11"/>
      <c r="B749" s="23"/>
      <c r="C749" s="23"/>
      <c r="D749" s="23"/>
      <c r="E749" s="23"/>
      <c r="F749" s="1"/>
      <c r="G749" s="23"/>
      <c r="H749" s="23"/>
      <c r="I749" s="23"/>
      <c r="J749" s="2"/>
      <c r="K749" s="2"/>
      <c r="L749" s="2"/>
      <c r="M749" s="2"/>
      <c r="O749" s="24"/>
    </row>
    <row r="750">
      <c r="A750" s="11"/>
      <c r="B750" s="23"/>
      <c r="C750" s="23"/>
      <c r="D750" s="23"/>
      <c r="E750" s="23"/>
      <c r="F750" s="1"/>
      <c r="G750" s="23"/>
      <c r="H750" s="23"/>
      <c r="I750" s="23"/>
      <c r="J750" s="2"/>
      <c r="K750" s="2"/>
      <c r="L750" s="2"/>
      <c r="M750" s="2"/>
      <c r="O750" s="24"/>
    </row>
    <row r="751">
      <c r="A751" s="11"/>
      <c r="B751" s="23"/>
      <c r="C751" s="23"/>
      <c r="D751" s="23"/>
      <c r="E751" s="23"/>
      <c r="F751" s="1"/>
      <c r="G751" s="23"/>
      <c r="H751" s="23"/>
      <c r="I751" s="23"/>
      <c r="J751" s="2"/>
      <c r="K751" s="2"/>
      <c r="L751" s="2"/>
      <c r="M751" s="2"/>
      <c r="O751" s="24"/>
    </row>
    <row r="752">
      <c r="A752" s="11"/>
      <c r="B752" s="23"/>
      <c r="C752" s="23"/>
      <c r="D752" s="23"/>
      <c r="E752" s="23"/>
      <c r="F752" s="1"/>
      <c r="G752" s="23"/>
      <c r="H752" s="23"/>
      <c r="I752" s="23"/>
      <c r="J752" s="2"/>
      <c r="K752" s="2"/>
      <c r="L752" s="2"/>
      <c r="M752" s="2"/>
      <c r="O752" s="24"/>
    </row>
    <row r="753">
      <c r="A753" s="11"/>
      <c r="B753" s="23"/>
      <c r="C753" s="23"/>
      <c r="D753" s="23"/>
      <c r="E753" s="23"/>
      <c r="F753" s="1"/>
      <c r="G753" s="23"/>
      <c r="H753" s="23"/>
      <c r="I753" s="23"/>
      <c r="J753" s="2"/>
      <c r="K753" s="2"/>
      <c r="L753" s="2"/>
      <c r="M753" s="2"/>
      <c r="O753" s="24"/>
    </row>
    <row r="754">
      <c r="A754" s="11"/>
      <c r="B754" s="23"/>
      <c r="C754" s="23"/>
      <c r="D754" s="23"/>
      <c r="E754" s="23"/>
      <c r="F754" s="1"/>
      <c r="G754" s="23"/>
      <c r="H754" s="23"/>
      <c r="I754" s="23"/>
      <c r="J754" s="2"/>
      <c r="K754" s="2"/>
      <c r="L754" s="2"/>
      <c r="M754" s="2"/>
      <c r="O754" s="24"/>
    </row>
    <row r="755">
      <c r="A755" s="11"/>
      <c r="B755" s="23"/>
      <c r="C755" s="23"/>
      <c r="D755" s="23"/>
      <c r="E755" s="23"/>
      <c r="F755" s="1"/>
      <c r="G755" s="23"/>
      <c r="H755" s="23"/>
      <c r="I755" s="23"/>
      <c r="J755" s="2"/>
      <c r="K755" s="2"/>
      <c r="L755" s="2"/>
      <c r="M755" s="2"/>
      <c r="O755" s="24"/>
    </row>
    <row r="756">
      <c r="A756" s="11"/>
      <c r="B756" s="23"/>
      <c r="C756" s="23"/>
      <c r="D756" s="23"/>
      <c r="E756" s="23"/>
      <c r="F756" s="1"/>
      <c r="G756" s="23"/>
      <c r="H756" s="23"/>
      <c r="I756" s="23"/>
      <c r="J756" s="2"/>
      <c r="K756" s="2"/>
      <c r="L756" s="2"/>
      <c r="M756" s="2"/>
      <c r="O756" s="24"/>
    </row>
    <row r="757">
      <c r="A757" s="11"/>
      <c r="B757" s="23"/>
      <c r="C757" s="23"/>
      <c r="D757" s="23"/>
      <c r="E757" s="23"/>
      <c r="F757" s="1"/>
      <c r="G757" s="23"/>
      <c r="H757" s="23"/>
      <c r="I757" s="23"/>
      <c r="J757" s="2"/>
      <c r="K757" s="2"/>
      <c r="L757" s="2"/>
      <c r="M757" s="2"/>
      <c r="O757" s="24"/>
    </row>
    <row r="758">
      <c r="A758" s="11"/>
      <c r="B758" s="23"/>
      <c r="C758" s="23"/>
      <c r="D758" s="23"/>
      <c r="E758" s="23"/>
      <c r="F758" s="1"/>
      <c r="G758" s="23"/>
      <c r="H758" s="23"/>
      <c r="I758" s="23"/>
      <c r="J758" s="2"/>
      <c r="K758" s="2"/>
      <c r="L758" s="2"/>
      <c r="M758" s="2"/>
      <c r="O758" s="24"/>
    </row>
    <row r="759">
      <c r="A759" s="11"/>
      <c r="B759" s="23"/>
      <c r="C759" s="23"/>
      <c r="D759" s="23"/>
      <c r="E759" s="23"/>
      <c r="F759" s="1"/>
      <c r="G759" s="23"/>
      <c r="H759" s="23"/>
      <c r="I759" s="23"/>
      <c r="J759" s="2"/>
      <c r="K759" s="2"/>
      <c r="L759" s="2"/>
      <c r="M759" s="2"/>
      <c r="O759" s="24"/>
    </row>
    <row r="760">
      <c r="A760" s="11"/>
      <c r="B760" s="23"/>
      <c r="C760" s="23"/>
      <c r="D760" s="23"/>
      <c r="E760" s="23"/>
      <c r="F760" s="1"/>
      <c r="G760" s="23"/>
      <c r="H760" s="23"/>
      <c r="I760" s="23"/>
      <c r="J760" s="2"/>
      <c r="K760" s="2"/>
      <c r="L760" s="2"/>
      <c r="M760" s="2"/>
      <c r="O760" s="24"/>
    </row>
    <row r="761">
      <c r="A761" s="11"/>
      <c r="B761" s="23"/>
      <c r="C761" s="23"/>
      <c r="D761" s="23"/>
      <c r="E761" s="23"/>
      <c r="F761" s="1"/>
      <c r="G761" s="23"/>
      <c r="H761" s="23"/>
      <c r="I761" s="23"/>
      <c r="J761" s="2"/>
      <c r="K761" s="2"/>
      <c r="L761" s="2"/>
      <c r="M761" s="2"/>
      <c r="O761" s="24"/>
    </row>
    <row r="762">
      <c r="A762" s="11"/>
      <c r="B762" s="23"/>
      <c r="C762" s="23"/>
      <c r="D762" s="23"/>
      <c r="E762" s="23"/>
      <c r="F762" s="1"/>
      <c r="G762" s="23"/>
      <c r="H762" s="23"/>
      <c r="I762" s="23"/>
      <c r="J762" s="2"/>
      <c r="K762" s="2"/>
      <c r="L762" s="2"/>
      <c r="M762" s="2"/>
      <c r="O762" s="24"/>
    </row>
    <row r="763">
      <c r="A763" s="11"/>
      <c r="B763" s="23"/>
      <c r="C763" s="23"/>
      <c r="D763" s="23"/>
      <c r="E763" s="23"/>
      <c r="F763" s="1"/>
      <c r="G763" s="23"/>
      <c r="H763" s="23"/>
      <c r="I763" s="23"/>
      <c r="J763" s="2"/>
      <c r="K763" s="2"/>
      <c r="L763" s="2"/>
      <c r="M763" s="2"/>
      <c r="O763" s="24"/>
    </row>
    <row r="764">
      <c r="A764" s="11"/>
      <c r="B764" s="23"/>
      <c r="C764" s="23"/>
      <c r="D764" s="23"/>
      <c r="E764" s="23"/>
      <c r="F764" s="1"/>
      <c r="G764" s="23"/>
      <c r="H764" s="23"/>
      <c r="I764" s="23"/>
      <c r="J764" s="2"/>
      <c r="K764" s="2"/>
      <c r="L764" s="2"/>
      <c r="M764" s="2"/>
      <c r="O764" s="24"/>
    </row>
    <row r="765">
      <c r="A765" s="11"/>
      <c r="B765" s="23"/>
      <c r="C765" s="23"/>
      <c r="D765" s="23"/>
      <c r="E765" s="23"/>
      <c r="F765" s="1"/>
      <c r="G765" s="23"/>
      <c r="H765" s="23"/>
      <c r="I765" s="23"/>
      <c r="J765" s="2"/>
      <c r="K765" s="2"/>
      <c r="L765" s="2"/>
      <c r="M765" s="2"/>
      <c r="O765" s="24"/>
    </row>
    <row r="766">
      <c r="A766" s="11"/>
      <c r="B766" s="23"/>
      <c r="C766" s="23"/>
      <c r="D766" s="23"/>
      <c r="E766" s="23"/>
      <c r="F766" s="1"/>
      <c r="G766" s="23"/>
      <c r="H766" s="23"/>
      <c r="I766" s="23"/>
      <c r="J766" s="2"/>
      <c r="K766" s="2"/>
      <c r="L766" s="2"/>
      <c r="M766" s="2"/>
      <c r="O766" s="24"/>
    </row>
    <row r="767">
      <c r="A767" s="11"/>
      <c r="B767" s="23"/>
      <c r="C767" s="23"/>
      <c r="D767" s="23"/>
      <c r="E767" s="23"/>
      <c r="F767" s="1"/>
      <c r="G767" s="23"/>
      <c r="H767" s="23"/>
      <c r="I767" s="23"/>
      <c r="J767" s="2"/>
      <c r="K767" s="2"/>
      <c r="L767" s="2"/>
      <c r="M767" s="2"/>
      <c r="O767" s="24"/>
    </row>
    <row r="768">
      <c r="A768" s="11"/>
      <c r="B768" s="23"/>
      <c r="C768" s="23"/>
      <c r="D768" s="23"/>
      <c r="E768" s="23"/>
      <c r="F768" s="1"/>
      <c r="G768" s="23"/>
      <c r="H768" s="23"/>
      <c r="I768" s="23"/>
      <c r="J768" s="2"/>
      <c r="K768" s="2"/>
      <c r="L768" s="2"/>
      <c r="M768" s="2"/>
      <c r="O768" s="24"/>
    </row>
    <row r="769">
      <c r="A769" s="11"/>
      <c r="B769" s="23"/>
      <c r="C769" s="23"/>
      <c r="D769" s="23"/>
      <c r="E769" s="23"/>
      <c r="F769" s="1"/>
      <c r="G769" s="23"/>
      <c r="H769" s="23"/>
      <c r="I769" s="23"/>
      <c r="J769" s="2"/>
      <c r="K769" s="2"/>
      <c r="L769" s="2"/>
      <c r="M769" s="2"/>
      <c r="O769" s="24"/>
    </row>
    <row r="770">
      <c r="A770" s="11"/>
      <c r="B770" s="23"/>
      <c r="C770" s="23"/>
      <c r="D770" s="23"/>
      <c r="E770" s="23"/>
      <c r="F770" s="1"/>
      <c r="G770" s="23"/>
      <c r="H770" s="23"/>
      <c r="I770" s="23"/>
      <c r="J770" s="2"/>
      <c r="K770" s="2"/>
      <c r="L770" s="2"/>
      <c r="M770" s="2"/>
      <c r="O770" s="24"/>
    </row>
    <row r="771">
      <c r="A771" s="11"/>
      <c r="B771" s="23"/>
      <c r="C771" s="23"/>
      <c r="D771" s="23"/>
      <c r="E771" s="23"/>
      <c r="F771" s="1"/>
      <c r="G771" s="23"/>
      <c r="H771" s="23"/>
      <c r="I771" s="23"/>
      <c r="J771" s="2"/>
      <c r="K771" s="2"/>
      <c r="L771" s="2"/>
      <c r="M771" s="2"/>
      <c r="O771" s="24"/>
    </row>
    <row r="772">
      <c r="A772" s="11"/>
      <c r="B772" s="23"/>
      <c r="C772" s="23"/>
      <c r="D772" s="23"/>
      <c r="E772" s="23"/>
      <c r="F772" s="1"/>
      <c r="G772" s="23"/>
      <c r="H772" s="23"/>
      <c r="I772" s="23"/>
      <c r="J772" s="2"/>
      <c r="K772" s="2"/>
      <c r="L772" s="2"/>
      <c r="M772" s="2"/>
      <c r="O772" s="24"/>
    </row>
    <row r="773">
      <c r="A773" s="11"/>
      <c r="B773" s="23"/>
      <c r="C773" s="23"/>
      <c r="D773" s="23"/>
      <c r="E773" s="23"/>
      <c r="F773" s="1"/>
      <c r="G773" s="23"/>
      <c r="H773" s="23"/>
      <c r="I773" s="23"/>
      <c r="J773" s="2"/>
      <c r="K773" s="2"/>
      <c r="L773" s="2"/>
      <c r="M773" s="2"/>
      <c r="O773" s="24"/>
    </row>
    <row r="774">
      <c r="A774" s="11"/>
      <c r="B774" s="23"/>
      <c r="C774" s="23"/>
      <c r="D774" s="23"/>
      <c r="E774" s="23"/>
      <c r="F774" s="1"/>
      <c r="G774" s="23"/>
      <c r="H774" s="23"/>
      <c r="I774" s="23"/>
      <c r="J774" s="2"/>
      <c r="K774" s="2"/>
      <c r="L774" s="2"/>
      <c r="M774" s="2"/>
      <c r="O774" s="24"/>
    </row>
    <row r="775">
      <c r="A775" s="11"/>
      <c r="B775" s="23"/>
      <c r="C775" s="23"/>
      <c r="D775" s="23"/>
      <c r="E775" s="23"/>
      <c r="F775" s="1"/>
      <c r="G775" s="23"/>
      <c r="H775" s="23"/>
      <c r="I775" s="23"/>
      <c r="J775" s="2"/>
      <c r="K775" s="2"/>
      <c r="L775" s="2"/>
      <c r="M775" s="2"/>
      <c r="O775" s="24"/>
    </row>
    <row r="776">
      <c r="A776" s="11"/>
      <c r="B776" s="23"/>
      <c r="C776" s="23"/>
      <c r="D776" s="23"/>
      <c r="E776" s="23"/>
      <c r="F776" s="1"/>
      <c r="G776" s="23"/>
      <c r="H776" s="23"/>
      <c r="I776" s="23"/>
      <c r="J776" s="2"/>
      <c r="K776" s="2"/>
      <c r="L776" s="2"/>
      <c r="M776" s="2"/>
      <c r="O776" s="24"/>
    </row>
    <row r="777">
      <c r="A777" s="11"/>
      <c r="B777" s="23"/>
      <c r="C777" s="23"/>
      <c r="D777" s="23"/>
      <c r="E777" s="23"/>
      <c r="F777" s="1"/>
      <c r="G777" s="23"/>
      <c r="H777" s="23"/>
      <c r="I777" s="23"/>
      <c r="J777" s="2"/>
      <c r="K777" s="2"/>
      <c r="L777" s="2"/>
      <c r="M777" s="2"/>
      <c r="O777" s="24"/>
    </row>
    <row r="778">
      <c r="A778" s="11"/>
      <c r="B778" s="23"/>
      <c r="C778" s="23"/>
      <c r="D778" s="23"/>
      <c r="E778" s="23"/>
      <c r="F778" s="1"/>
      <c r="G778" s="23"/>
      <c r="H778" s="23"/>
      <c r="I778" s="23"/>
      <c r="J778" s="2"/>
      <c r="K778" s="2"/>
      <c r="L778" s="2"/>
      <c r="M778" s="2"/>
      <c r="O778" s="24"/>
    </row>
    <row r="779">
      <c r="A779" s="11"/>
      <c r="B779" s="23"/>
      <c r="C779" s="23"/>
      <c r="D779" s="23"/>
      <c r="E779" s="23"/>
      <c r="F779" s="1"/>
      <c r="G779" s="23"/>
      <c r="H779" s="23"/>
      <c r="I779" s="23"/>
      <c r="J779" s="2"/>
      <c r="K779" s="2"/>
      <c r="L779" s="2"/>
      <c r="M779" s="2"/>
      <c r="O779" s="24"/>
    </row>
    <row r="780">
      <c r="A780" s="11"/>
      <c r="B780" s="23"/>
      <c r="C780" s="23"/>
      <c r="D780" s="23"/>
      <c r="E780" s="23"/>
      <c r="F780" s="1"/>
      <c r="G780" s="23"/>
      <c r="H780" s="23"/>
      <c r="I780" s="23"/>
      <c r="J780" s="2"/>
      <c r="K780" s="2"/>
      <c r="L780" s="2"/>
      <c r="M780" s="2"/>
      <c r="O780" s="24"/>
    </row>
    <row r="781">
      <c r="A781" s="11"/>
      <c r="B781" s="23"/>
      <c r="C781" s="23"/>
      <c r="D781" s="23"/>
      <c r="E781" s="23"/>
      <c r="F781" s="1"/>
      <c r="G781" s="23"/>
      <c r="H781" s="23"/>
      <c r="I781" s="23"/>
      <c r="J781" s="2"/>
      <c r="K781" s="2"/>
      <c r="L781" s="2"/>
      <c r="M781" s="2"/>
      <c r="O781" s="24"/>
    </row>
    <row r="782">
      <c r="A782" s="11"/>
      <c r="B782" s="23"/>
      <c r="C782" s="23"/>
      <c r="D782" s="23"/>
      <c r="E782" s="23"/>
      <c r="F782" s="1"/>
      <c r="G782" s="23"/>
      <c r="H782" s="23"/>
      <c r="I782" s="23"/>
      <c r="J782" s="2"/>
      <c r="K782" s="2"/>
      <c r="L782" s="2"/>
      <c r="M782" s="2"/>
      <c r="O782" s="24"/>
    </row>
    <row r="783">
      <c r="A783" s="11"/>
      <c r="B783" s="23"/>
      <c r="C783" s="23"/>
      <c r="D783" s="23"/>
      <c r="E783" s="23"/>
      <c r="F783" s="1"/>
      <c r="G783" s="23"/>
      <c r="H783" s="23"/>
      <c r="I783" s="23"/>
      <c r="J783" s="2"/>
      <c r="K783" s="2"/>
      <c r="L783" s="2"/>
      <c r="M783" s="2"/>
      <c r="O783" s="24"/>
    </row>
    <row r="784">
      <c r="A784" s="11"/>
      <c r="B784" s="23"/>
      <c r="C784" s="23"/>
      <c r="D784" s="23"/>
      <c r="E784" s="23"/>
      <c r="F784" s="1"/>
      <c r="G784" s="23"/>
      <c r="H784" s="23"/>
      <c r="I784" s="23"/>
      <c r="J784" s="2"/>
      <c r="K784" s="2"/>
      <c r="L784" s="2"/>
      <c r="M784" s="2"/>
      <c r="O784" s="24"/>
    </row>
    <row r="785">
      <c r="A785" s="11"/>
      <c r="B785" s="23"/>
      <c r="C785" s="23"/>
      <c r="D785" s="23"/>
      <c r="E785" s="23"/>
      <c r="F785" s="1"/>
      <c r="G785" s="23"/>
      <c r="H785" s="23"/>
      <c r="I785" s="23"/>
      <c r="J785" s="2"/>
      <c r="K785" s="2"/>
      <c r="L785" s="2"/>
      <c r="M785" s="2"/>
      <c r="O785" s="24"/>
    </row>
    <row r="786">
      <c r="A786" s="11"/>
      <c r="B786" s="23"/>
      <c r="C786" s="23"/>
      <c r="D786" s="23"/>
      <c r="E786" s="23"/>
      <c r="F786" s="1"/>
      <c r="G786" s="23"/>
      <c r="H786" s="23"/>
      <c r="I786" s="23"/>
      <c r="J786" s="2"/>
      <c r="K786" s="2"/>
      <c r="L786" s="2"/>
      <c r="M786" s="2"/>
      <c r="O786" s="24"/>
    </row>
    <row r="787">
      <c r="A787" s="11"/>
      <c r="B787" s="23"/>
      <c r="C787" s="23"/>
      <c r="D787" s="23"/>
      <c r="E787" s="23"/>
      <c r="F787" s="1"/>
      <c r="G787" s="23"/>
      <c r="H787" s="23"/>
      <c r="I787" s="23"/>
      <c r="J787" s="2"/>
      <c r="K787" s="2"/>
      <c r="L787" s="2"/>
      <c r="M787" s="2"/>
      <c r="O787" s="24"/>
    </row>
    <row r="788">
      <c r="A788" s="11"/>
      <c r="B788" s="23"/>
      <c r="C788" s="23"/>
      <c r="D788" s="23"/>
      <c r="E788" s="23"/>
      <c r="F788" s="1"/>
      <c r="G788" s="23"/>
      <c r="H788" s="23"/>
      <c r="I788" s="23"/>
      <c r="J788" s="2"/>
      <c r="K788" s="2"/>
      <c r="L788" s="2"/>
      <c r="M788" s="2"/>
      <c r="O788" s="24"/>
    </row>
    <row r="789">
      <c r="A789" s="11"/>
      <c r="B789" s="23"/>
      <c r="C789" s="23"/>
      <c r="D789" s="23"/>
      <c r="E789" s="23"/>
      <c r="F789" s="1"/>
      <c r="G789" s="23"/>
      <c r="H789" s="23"/>
      <c r="I789" s="23"/>
      <c r="J789" s="2"/>
      <c r="K789" s="2"/>
      <c r="L789" s="2"/>
      <c r="M789" s="2"/>
      <c r="O789" s="24"/>
    </row>
    <row r="790">
      <c r="A790" s="11"/>
      <c r="B790" s="23"/>
      <c r="C790" s="23"/>
      <c r="D790" s="23"/>
      <c r="E790" s="23"/>
      <c r="F790" s="1"/>
      <c r="G790" s="23"/>
      <c r="H790" s="23"/>
      <c r="I790" s="23"/>
      <c r="J790" s="2"/>
      <c r="K790" s="2"/>
      <c r="L790" s="2"/>
      <c r="M790" s="2"/>
      <c r="O790" s="24"/>
    </row>
    <row r="791">
      <c r="A791" s="11"/>
      <c r="B791" s="23"/>
      <c r="C791" s="23"/>
      <c r="D791" s="23"/>
      <c r="E791" s="23"/>
      <c r="F791" s="1"/>
      <c r="G791" s="23"/>
      <c r="H791" s="23"/>
      <c r="I791" s="23"/>
      <c r="J791" s="2"/>
      <c r="K791" s="2"/>
      <c r="L791" s="2"/>
      <c r="M791" s="2"/>
      <c r="O791" s="24"/>
    </row>
    <row r="792">
      <c r="A792" s="11"/>
      <c r="B792" s="23"/>
      <c r="C792" s="23"/>
      <c r="D792" s="23"/>
      <c r="E792" s="23"/>
      <c r="F792" s="1"/>
      <c r="G792" s="23"/>
      <c r="H792" s="23"/>
      <c r="I792" s="23"/>
      <c r="J792" s="2"/>
      <c r="K792" s="2"/>
      <c r="L792" s="2"/>
      <c r="M792" s="2"/>
      <c r="O792" s="24"/>
    </row>
    <row r="793">
      <c r="A793" s="11"/>
      <c r="B793" s="23"/>
      <c r="C793" s="23"/>
      <c r="D793" s="23"/>
      <c r="E793" s="23"/>
      <c r="F793" s="1"/>
      <c r="G793" s="23"/>
      <c r="H793" s="23"/>
      <c r="I793" s="23"/>
      <c r="J793" s="2"/>
      <c r="K793" s="2"/>
      <c r="L793" s="2"/>
      <c r="M793" s="2"/>
      <c r="O793" s="24"/>
    </row>
    <row r="794">
      <c r="A794" s="11"/>
      <c r="B794" s="23"/>
      <c r="C794" s="23"/>
      <c r="D794" s="23"/>
      <c r="E794" s="23"/>
      <c r="F794" s="1"/>
      <c r="G794" s="23"/>
      <c r="H794" s="23"/>
      <c r="I794" s="23"/>
      <c r="J794" s="2"/>
      <c r="K794" s="2"/>
      <c r="L794" s="2"/>
      <c r="M794" s="2"/>
      <c r="O794" s="24"/>
    </row>
    <row r="795">
      <c r="A795" s="11"/>
      <c r="B795" s="23"/>
      <c r="C795" s="23"/>
      <c r="D795" s="23"/>
      <c r="E795" s="23"/>
      <c r="F795" s="1"/>
      <c r="G795" s="23"/>
      <c r="H795" s="23"/>
      <c r="I795" s="23"/>
      <c r="J795" s="2"/>
      <c r="K795" s="2"/>
      <c r="L795" s="2"/>
      <c r="M795" s="2"/>
      <c r="O795" s="24"/>
    </row>
    <row r="796">
      <c r="A796" s="11"/>
      <c r="B796" s="23"/>
      <c r="C796" s="23"/>
      <c r="D796" s="23"/>
      <c r="E796" s="23"/>
      <c r="F796" s="1"/>
      <c r="G796" s="23"/>
      <c r="H796" s="23"/>
      <c r="I796" s="23"/>
      <c r="J796" s="2"/>
      <c r="K796" s="2"/>
      <c r="L796" s="2"/>
      <c r="M796" s="2"/>
      <c r="O796" s="24"/>
    </row>
    <row r="797">
      <c r="A797" s="11"/>
      <c r="B797" s="23"/>
      <c r="C797" s="23"/>
      <c r="D797" s="23"/>
      <c r="E797" s="23"/>
      <c r="F797" s="1"/>
      <c r="G797" s="23"/>
      <c r="H797" s="23"/>
      <c r="I797" s="23"/>
      <c r="J797" s="2"/>
      <c r="K797" s="2"/>
      <c r="L797" s="2"/>
      <c r="M797" s="2"/>
      <c r="O797" s="24"/>
    </row>
    <row r="798">
      <c r="A798" s="11"/>
      <c r="B798" s="23"/>
      <c r="C798" s="23"/>
      <c r="D798" s="23"/>
      <c r="E798" s="23"/>
      <c r="F798" s="1"/>
      <c r="G798" s="23"/>
      <c r="H798" s="23"/>
      <c r="I798" s="23"/>
      <c r="J798" s="2"/>
      <c r="K798" s="2"/>
      <c r="L798" s="2"/>
      <c r="M798" s="2"/>
      <c r="O798" s="24"/>
    </row>
    <row r="799">
      <c r="A799" s="11"/>
      <c r="B799" s="23"/>
      <c r="C799" s="23"/>
      <c r="D799" s="23"/>
      <c r="E799" s="23"/>
      <c r="F799" s="1"/>
      <c r="G799" s="23"/>
      <c r="H799" s="23"/>
      <c r="I799" s="23"/>
      <c r="J799" s="2"/>
      <c r="K799" s="2"/>
      <c r="L799" s="2"/>
      <c r="M799" s="2"/>
      <c r="O799" s="24"/>
    </row>
    <row r="800">
      <c r="A800" s="11"/>
      <c r="B800" s="23"/>
      <c r="C800" s="23"/>
      <c r="D800" s="23"/>
      <c r="E800" s="23"/>
      <c r="F800" s="1"/>
      <c r="G800" s="23"/>
      <c r="H800" s="23"/>
      <c r="I800" s="23"/>
      <c r="J800" s="2"/>
      <c r="K800" s="2"/>
      <c r="L800" s="2"/>
      <c r="M800" s="2"/>
      <c r="O800" s="24"/>
    </row>
    <row r="801">
      <c r="A801" s="11"/>
      <c r="B801" s="23"/>
      <c r="C801" s="23"/>
      <c r="D801" s="23"/>
      <c r="E801" s="23"/>
      <c r="F801" s="1"/>
      <c r="G801" s="23"/>
      <c r="H801" s="23"/>
      <c r="I801" s="23"/>
      <c r="J801" s="2"/>
      <c r="K801" s="2"/>
      <c r="L801" s="2"/>
      <c r="M801" s="2"/>
      <c r="O801" s="24"/>
    </row>
    <row r="802">
      <c r="A802" s="11"/>
      <c r="B802" s="23"/>
      <c r="C802" s="23"/>
      <c r="D802" s="23"/>
      <c r="E802" s="23"/>
      <c r="F802" s="1"/>
      <c r="G802" s="23"/>
      <c r="H802" s="23"/>
      <c r="I802" s="23"/>
      <c r="J802" s="2"/>
      <c r="K802" s="2"/>
      <c r="L802" s="2"/>
      <c r="M802" s="2"/>
      <c r="O802" s="24"/>
    </row>
    <row r="803">
      <c r="A803" s="11"/>
      <c r="B803" s="23"/>
      <c r="C803" s="23"/>
      <c r="D803" s="23"/>
      <c r="E803" s="23"/>
      <c r="F803" s="1"/>
      <c r="G803" s="23"/>
      <c r="H803" s="23"/>
      <c r="I803" s="23"/>
      <c r="J803" s="2"/>
      <c r="K803" s="2"/>
      <c r="L803" s="2"/>
      <c r="M803" s="2"/>
      <c r="O803" s="24"/>
    </row>
    <row r="804">
      <c r="A804" s="11"/>
      <c r="B804" s="23"/>
      <c r="C804" s="23"/>
      <c r="D804" s="23"/>
      <c r="E804" s="23"/>
      <c r="F804" s="1"/>
      <c r="G804" s="23"/>
      <c r="H804" s="23"/>
      <c r="I804" s="23"/>
      <c r="J804" s="2"/>
      <c r="K804" s="2"/>
      <c r="L804" s="2"/>
      <c r="M804" s="2"/>
      <c r="O804" s="24"/>
    </row>
    <row r="805">
      <c r="A805" s="11"/>
      <c r="B805" s="23"/>
      <c r="C805" s="23"/>
      <c r="D805" s="23"/>
      <c r="E805" s="23"/>
      <c r="F805" s="1"/>
      <c r="G805" s="23"/>
      <c r="H805" s="23"/>
      <c r="I805" s="23"/>
      <c r="J805" s="2"/>
      <c r="K805" s="2"/>
      <c r="L805" s="2"/>
      <c r="M805" s="2"/>
      <c r="O805" s="24"/>
    </row>
    <row r="806">
      <c r="A806" s="11"/>
      <c r="B806" s="23"/>
      <c r="C806" s="23"/>
      <c r="D806" s="23"/>
      <c r="E806" s="23"/>
      <c r="F806" s="1"/>
      <c r="G806" s="23"/>
      <c r="H806" s="23"/>
      <c r="I806" s="23"/>
      <c r="J806" s="2"/>
      <c r="K806" s="2"/>
      <c r="L806" s="2"/>
      <c r="M806" s="2"/>
      <c r="O806" s="24"/>
    </row>
    <row r="807">
      <c r="A807" s="11"/>
      <c r="B807" s="23"/>
      <c r="C807" s="23"/>
      <c r="D807" s="23"/>
      <c r="E807" s="23"/>
      <c r="F807" s="1"/>
      <c r="G807" s="23"/>
      <c r="H807" s="23"/>
      <c r="I807" s="23"/>
      <c r="J807" s="2"/>
      <c r="K807" s="2"/>
      <c r="L807" s="2"/>
      <c r="M807" s="2"/>
      <c r="O807" s="24"/>
    </row>
    <row r="808">
      <c r="A808" s="11"/>
      <c r="B808" s="23"/>
      <c r="C808" s="23"/>
      <c r="D808" s="23"/>
      <c r="E808" s="23"/>
      <c r="F808" s="1"/>
      <c r="G808" s="23"/>
      <c r="H808" s="23"/>
      <c r="I808" s="23"/>
      <c r="J808" s="2"/>
      <c r="K808" s="2"/>
      <c r="L808" s="2"/>
      <c r="M808" s="2"/>
      <c r="O808" s="24"/>
    </row>
    <row r="809">
      <c r="A809" s="11"/>
      <c r="B809" s="23"/>
      <c r="C809" s="23"/>
      <c r="D809" s="23"/>
      <c r="E809" s="23"/>
      <c r="F809" s="1"/>
      <c r="G809" s="23"/>
      <c r="H809" s="23"/>
      <c r="I809" s="23"/>
      <c r="J809" s="2"/>
      <c r="K809" s="2"/>
      <c r="L809" s="2"/>
      <c r="M809" s="2"/>
      <c r="O809" s="24"/>
    </row>
    <row r="810">
      <c r="A810" s="11"/>
      <c r="B810" s="23"/>
      <c r="C810" s="23"/>
      <c r="D810" s="23"/>
      <c r="E810" s="23"/>
      <c r="F810" s="1"/>
      <c r="G810" s="23"/>
      <c r="H810" s="23"/>
      <c r="I810" s="23"/>
      <c r="J810" s="2"/>
      <c r="K810" s="2"/>
      <c r="L810" s="2"/>
      <c r="M810" s="2"/>
      <c r="O810" s="24"/>
    </row>
    <row r="811">
      <c r="A811" s="11"/>
      <c r="B811" s="23"/>
      <c r="C811" s="23"/>
      <c r="D811" s="23"/>
      <c r="E811" s="23"/>
      <c r="F811" s="1"/>
      <c r="G811" s="23"/>
      <c r="H811" s="23"/>
      <c r="I811" s="23"/>
      <c r="J811" s="2"/>
      <c r="K811" s="2"/>
      <c r="L811" s="2"/>
      <c r="M811" s="2"/>
      <c r="O811" s="24"/>
    </row>
    <row r="812">
      <c r="A812" s="11"/>
      <c r="B812" s="23"/>
      <c r="C812" s="23"/>
      <c r="D812" s="23"/>
      <c r="E812" s="23"/>
      <c r="F812" s="1"/>
      <c r="G812" s="23"/>
      <c r="H812" s="23"/>
      <c r="I812" s="23"/>
      <c r="J812" s="2"/>
      <c r="K812" s="2"/>
      <c r="L812" s="2"/>
      <c r="M812" s="2"/>
      <c r="O812" s="24"/>
    </row>
    <row r="813">
      <c r="A813" s="11"/>
      <c r="B813" s="23"/>
      <c r="C813" s="23"/>
      <c r="D813" s="23"/>
      <c r="E813" s="23"/>
      <c r="F813" s="1"/>
      <c r="G813" s="23"/>
      <c r="H813" s="23"/>
      <c r="I813" s="23"/>
      <c r="J813" s="2"/>
      <c r="K813" s="2"/>
      <c r="L813" s="2"/>
      <c r="M813" s="2"/>
      <c r="O813" s="24"/>
    </row>
    <row r="814">
      <c r="A814" s="11"/>
      <c r="B814" s="23"/>
      <c r="C814" s="23"/>
      <c r="D814" s="23"/>
      <c r="E814" s="23"/>
      <c r="F814" s="1"/>
      <c r="G814" s="23"/>
      <c r="H814" s="23"/>
      <c r="I814" s="23"/>
      <c r="J814" s="2"/>
      <c r="K814" s="2"/>
      <c r="L814" s="2"/>
      <c r="M814" s="2"/>
      <c r="O814" s="24"/>
    </row>
    <row r="815">
      <c r="A815" s="11"/>
      <c r="B815" s="23"/>
      <c r="C815" s="23"/>
      <c r="D815" s="23"/>
      <c r="E815" s="23"/>
      <c r="F815" s="1"/>
      <c r="G815" s="23"/>
      <c r="H815" s="23"/>
      <c r="I815" s="23"/>
      <c r="J815" s="2"/>
      <c r="K815" s="2"/>
      <c r="L815" s="2"/>
      <c r="M815" s="2"/>
      <c r="O815" s="24"/>
    </row>
    <row r="816">
      <c r="A816" s="11"/>
      <c r="B816" s="23"/>
      <c r="C816" s="23"/>
      <c r="D816" s="23"/>
      <c r="E816" s="23"/>
      <c r="F816" s="1"/>
      <c r="G816" s="23"/>
      <c r="H816" s="23"/>
      <c r="I816" s="23"/>
      <c r="J816" s="2"/>
      <c r="K816" s="2"/>
      <c r="L816" s="2"/>
      <c r="M816" s="2"/>
      <c r="O816" s="24"/>
    </row>
    <row r="817">
      <c r="A817" s="11"/>
      <c r="B817" s="23"/>
      <c r="C817" s="23"/>
      <c r="D817" s="23"/>
      <c r="E817" s="23"/>
      <c r="F817" s="1"/>
      <c r="G817" s="23"/>
      <c r="H817" s="23"/>
      <c r="I817" s="23"/>
      <c r="J817" s="2"/>
      <c r="K817" s="2"/>
      <c r="L817" s="2"/>
      <c r="M817" s="2"/>
      <c r="O817" s="24"/>
    </row>
    <row r="818">
      <c r="A818" s="11"/>
      <c r="B818" s="23"/>
      <c r="C818" s="23"/>
      <c r="D818" s="23"/>
      <c r="E818" s="23"/>
      <c r="F818" s="1"/>
      <c r="G818" s="23"/>
      <c r="H818" s="23"/>
      <c r="I818" s="23"/>
      <c r="J818" s="2"/>
      <c r="K818" s="2"/>
      <c r="L818" s="2"/>
      <c r="M818" s="2"/>
      <c r="O818" s="24"/>
    </row>
    <row r="819">
      <c r="A819" s="11"/>
      <c r="B819" s="23"/>
      <c r="C819" s="23"/>
      <c r="D819" s="23"/>
      <c r="E819" s="23"/>
      <c r="F819" s="1"/>
      <c r="G819" s="23"/>
      <c r="H819" s="23"/>
      <c r="I819" s="23"/>
      <c r="J819" s="2"/>
      <c r="K819" s="2"/>
      <c r="L819" s="2"/>
      <c r="M819" s="2"/>
      <c r="O819" s="24"/>
    </row>
    <row r="820">
      <c r="A820" s="11"/>
      <c r="B820" s="23"/>
      <c r="C820" s="23"/>
      <c r="D820" s="23"/>
      <c r="E820" s="23"/>
      <c r="F820" s="1"/>
      <c r="G820" s="23"/>
      <c r="H820" s="23"/>
      <c r="I820" s="23"/>
      <c r="J820" s="2"/>
      <c r="K820" s="2"/>
      <c r="L820" s="2"/>
      <c r="M820" s="2"/>
      <c r="O820" s="24"/>
    </row>
    <row r="821">
      <c r="A821" s="11"/>
      <c r="B821" s="23"/>
      <c r="C821" s="23"/>
      <c r="D821" s="23"/>
      <c r="E821" s="23"/>
      <c r="F821" s="1"/>
      <c r="G821" s="23"/>
      <c r="H821" s="23"/>
      <c r="I821" s="23"/>
      <c r="J821" s="2"/>
      <c r="K821" s="2"/>
      <c r="L821" s="2"/>
      <c r="M821" s="2"/>
      <c r="O821" s="24"/>
    </row>
    <row r="822">
      <c r="A822" s="11"/>
      <c r="B822" s="23"/>
      <c r="C822" s="23"/>
      <c r="D822" s="23"/>
      <c r="E822" s="23"/>
      <c r="F822" s="1"/>
      <c r="G822" s="23"/>
      <c r="H822" s="23"/>
      <c r="I822" s="23"/>
      <c r="J822" s="2"/>
      <c r="K822" s="2"/>
      <c r="L822" s="2"/>
      <c r="M822" s="2"/>
      <c r="O822" s="24"/>
    </row>
    <row r="823">
      <c r="A823" s="11"/>
      <c r="B823" s="23"/>
      <c r="C823" s="23"/>
      <c r="D823" s="23"/>
      <c r="E823" s="23"/>
      <c r="F823" s="1"/>
      <c r="G823" s="23"/>
      <c r="H823" s="23"/>
      <c r="I823" s="23"/>
      <c r="J823" s="2"/>
      <c r="K823" s="2"/>
      <c r="L823" s="2"/>
      <c r="M823" s="2"/>
      <c r="O823" s="24"/>
    </row>
    <row r="824">
      <c r="A824" s="11"/>
      <c r="B824" s="23"/>
      <c r="C824" s="23"/>
      <c r="D824" s="23"/>
      <c r="E824" s="23"/>
      <c r="F824" s="1"/>
      <c r="G824" s="23"/>
      <c r="H824" s="23"/>
      <c r="I824" s="23"/>
      <c r="J824" s="2"/>
      <c r="K824" s="2"/>
      <c r="L824" s="2"/>
      <c r="M824" s="2"/>
      <c r="O824" s="24"/>
    </row>
    <row r="825">
      <c r="A825" s="11"/>
      <c r="B825" s="23"/>
      <c r="C825" s="23"/>
      <c r="D825" s="23"/>
      <c r="E825" s="23"/>
      <c r="F825" s="1"/>
      <c r="G825" s="23"/>
      <c r="H825" s="23"/>
      <c r="I825" s="23"/>
      <c r="J825" s="2"/>
      <c r="K825" s="2"/>
      <c r="L825" s="2"/>
      <c r="M825" s="2"/>
      <c r="O825" s="24"/>
    </row>
    <row r="826">
      <c r="A826" s="11"/>
      <c r="B826" s="23"/>
      <c r="C826" s="23"/>
      <c r="D826" s="23"/>
      <c r="E826" s="23"/>
      <c r="F826" s="1"/>
      <c r="G826" s="23"/>
      <c r="H826" s="23"/>
      <c r="I826" s="23"/>
      <c r="J826" s="2"/>
      <c r="K826" s="2"/>
      <c r="L826" s="2"/>
      <c r="M826" s="2"/>
      <c r="O826" s="24"/>
    </row>
    <row r="827">
      <c r="A827" s="11"/>
      <c r="B827" s="23"/>
      <c r="C827" s="23"/>
      <c r="D827" s="23"/>
      <c r="E827" s="23"/>
      <c r="F827" s="1"/>
      <c r="G827" s="23"/>
      <c r="H827" s="23"/>
      <c r="I827" s="23"/>
      <c r="J827" s="2"/>
      <c r="K827" s="2"/>
      <c r="L827" s="2"/>
      <c r="M827" s="2"/>
      <c r="O827" s="24"/>
    </row>
    <row r="828">
      <c r="A828" s="11"/>
      <c r="B828" s="23"/>
      <c r="C828" s="23"/>
      <c r="D828" s="23"/>
      <c r="E828" s="23"/>
      <c r="F828" s="1"/>
      <c r="G828" s="23"/>
      <c r="H828" s="23"/>
      <c r="I828" s="23"/>
      <c r="J828" s="2"/>
      <c r="K828" s="2"/>
      <c r="L828" s="2"/>
      <c r="M828" s="2"/>
      <c r="O828" s="24"/>
    </row>
    <row r="829">
      <c r="A829" s="11"/>
      <c r="B829" s="23"/>
      <c r="C829" s="23"/>
      <c r="D829" s="23"/>
      <c r="E829" s="23"/>
      <c r="F829" s="1"/>
      <c r="G829" s="23"/>
      <c r="H829" s="23"/>
      <c r="I829" s="23"/>
      <c r="J829" s="2"/>
      <c r="K829" s="2"/>
      <c r="L829" s="2"/>
      <c r="M829" s="2"/>
      <c r="O829" s="24"/>
    </row>
    <row r="830">
      <c r="A830" s="11"/>
      <c r="B830" s="23"/>
      <c r="C830" s="23"/>
      <c r="D830" s="23"/>
      <c r="E830" s="23"/>
      <c r="F830" s="1"/>
      <c r="G830" s="23"/>
      <c r="H830" s="23"/>
      <c r="I830" s="23"/>
      <c r="J830" s="2"/>
      <c r="K830" s="2"/>
      <c r="L830" s="2"/>
      <c r="M830" s="2"/>
      <c r="O830" s="24"/>
    </row>
    <row r="831">
      <c r="A831" s="11"/>
      <c r="B831" s="23"/>
      <c r="C831" s="23"/>
      <c r="D831" s="23"/>
      <c r="E831" s="23"/>
      <c r="F831" s="1"/>
      <c r="G831" s="23"/>
      <c r="H831" s="23"/>
      <c r="I831" s="23"/>
      <c r="J831" s="2"/>
      <c r="K831" s="2"/>
      <c r="L831" s="2"/>
      <c r="M831" s="2"/>
      <c r="O831" s="24"/>
    </row>
    <row r="832">
      <c r="A832" s="11"/>
      <c r="B832" s="23"/>
      <c r="C832" s="23"/>
      <c r="D832" s="23"/>
      <c r="E832" s="23"/>
      <c r="F832" s="1"/>
      <c r="G832" s="23"/>
      <c r="H832" s="23"/>
      <c r="I832" s="23"/>
      <c r="J832" s="2"/>
      <c r="K832" s="2"/>
      <c r="L832" s="2"/>
      <c r="M832" s="2"/>
      <c r="O832" s="24"/>
    </row>
    <row r="833">
      <c r="A833" s="11"/>
      <c r="B833" s="23"/>
      <c r="C833" s="23"/>
      <c r="D833" s="23"/>
      <c r="E833" s="23"/>
      <c r="F833" s="1"/>
      <c r="G833" s="23"/>
      <c r="H833" s="23"/>
      <c r="I833" s="23"/>
      <c r="J833" s="2"/>
      <c r="K833" s="2"/>
      <c r="L833" s="2"/>
      <c r="M833" s="2"/>
      <c r="O833" s="24"/>
    </row>
    <row r="834">
      <c r="A834" s="11"/>
      <c r="B834" s="23"/>
      <c r="C834" s="23"/>
      <c r="D834" s="23"/>
      <c r="E834" s="23"/>
      <c r="F834" s="1"/>
      <c r="G834" s="23"/>
      <c r="H834" s="23"/>
      <c r="I834" s="23"/>
      <c r="J834" s="2"/>
      <c r="K834" s="2"/>
      <c r="L834" s="2"/>
      <c r="M834" s="2"/>
      <c r="O834" s="24"/>
    </row>
    <row r="835">
      <c r="A835" s="11"/>
      <c r="B835" s="23"/>
      <c r="C835" s="23"/>
      <c r="D835" s="23"/>
      <c r="E835" s="23"/>
      <c r="F835" s="1"/>
      <c r="G835" s="23"/>
      <c r="H835" s="23"/>
      <c r="I835" s="23"/>
      <c r="J835" s="2"/>
      <c r="K835" s="2"/>
      <c r="L835" s="2"/>
      <c r="M835" s="2"/>
      <c r="O835" s="24"/>
    </row>
    <row r="836">
      <c r="A836" s="11"/>
      <c r="B836" s="23"/>
      <c r="C836" s="23"/>
      <c r="D836" s="23"/>
      <c r="E836" s="23"/>
      <c r="F836" s="1"/>
      <c r="G836" s="23"/>
      <c r="H836" s="23"/>
      <c r="I836" s="23"/>
      <c r="J836" s="2"/>
      <c r="K836" s="2"/>
      <c r="L836" s="2"/>
      <c r="M836" s="2"/>
      <c r="O836" s="24"/>
    </row>
    <row r="837">
      <c r="A837" s="11"/>
      <c r="B837" s="23"/>
      <c r="C837" s="23"/>
      <c r="D837" s="23"/>
      <c r="E837" s="23"/>
      <c r="F837" s="1"/>
      <c r="G837" s="23"/>
      <c r="H837" s="23"/>
      <c r="I837" s="23"/>
      <c r="J837" s="2"/>
      <c r="K837" s="2"/>
      <c r="L837" s="2"/>
      <c r="M837" s="2"/>
      <c r="O837" s="24"/>
    </row>
    <row r="838">
      <c r="A838" s="11"/>
      <c r="B838" s="23"/>
      <c r="C838" s="23"/>
      <c r="D838" s="23"/>
      <c r="E838" s="23"/>
      <c r="F838" s="1"/>
      <c r="G838" s="23"/>
      <c r="H838" s="23"/>
      <c r="I838" s="23"/>
      <c r="J838" s="2"/>
      <c r="K838" s="2"/>
      <c r="L838" s="2"/>
      <c r="M838" s="2"/>
      <c r="O838" s="24"/>
    </row>
    <row r="839">
      <c r="A839" s="11"/>
      <c r="B839" s="23"/>
      <c r="C839" s="23"/>
      <c r="D839" s="23"/>
      <c r="E839" s="23"/>
      <c r="F839" s="1"/>
      <c r="G839" s="23"/>
      <c r="H839" s="23"/>
      <c r="I839" s="23"/>
      <c r="J839" s="2"/>
      <c r="K839" s="2"/>
      <c r="L839" s="2"/>
      <c r="M839" s="2"/>
      <c r="O839" s="24"/>
    </row>
    <row r="840">
      <c r="A840" s="11"/>
      <c r="B840" s="23"/>
      <c r="C840" s="23"/>
      <c r="D840" s="23"/>
      <c r="E840" s="23"/>
      <c r="F840" s="1"/>
      <c r="G840" s="23"/>
      <c r="H840" s="23"/>
      <c r="I840" s="23"/>
      <c r="J840" s="2"/>
      <c r="K840" s="2"/>
      <c r="L840" s="2"/>
      <c r="M840" s="2"/>
      <c r="O840" s="24"/>
    </row>
    <row r="841">
      <c r="A841" s="11"/>
      <c r="B841" s="23"/>
      <c r="C841" s="23"/>
      <c r="D841" s="23"/>
      <c r="E841" s="23"/>
      <c r="F841" s="1"/>
      <c r="G841" s="23"/>
      <c r="H841" s="23"/>
      <c r="I841" s="23"/>
      <c r="J841" s="2"/>
      <c r="K841" s="2"/>
      <c r="L841" s="2"/>
      <c r="M841" s="2"/>
      <c r="O841" s="24"/>
    </row>
    <row r="842">
      <c r="A842" s="11"/>
      <c r="B842" s="23"/>
      <c r="C842" s="23"/>
      <c r="D842" s="23"/>
      <c r="E842" s="23"/>
      <c r="F842" s="1"/>
      <c r="G842" s="23"/>
      <c r="H842" s="23"/>
      <c r="I842" s="23"/>
      <c r="J842" s="2"/>
      <c r="K842" s="2"/>
      <c r="L842" s="2"/>
      <c r="M842" s="2"/>
      <c r="O842" s="24"/>
    </row>
    <row r="843">
      <c r="A843" s="11"/>
      <c r="B843" s="23"/>
      <c r="C843" s="23"/>
      <c r="D843" s="23"/>
      <c r="E843" s="23"/>
      <c r="F843" s="1"/>
      <c r="G843" s="23"/>
      <c r="H843" s="23"/>
      <c r="I843" s="23"/>
      <c r="J843" s="2"/>
      <c r="K843" s="2"/>
      <c r="L843" s="2"/>
      <c r="M843" s="2"/>
      <c r="O843" s="24"/>
    </row>
    <row r="844">
      <c r="A844" s="11"/>
      <c r="B844" s="23"/>
      <c r="C844" s="23"/>
      <c r="D844" s="23"/>
      <c r="E844" s="23"/>
      <c r="F844" s="1"/>
      <c r="G844" s="23"/>
      <c r="H844" s="23"/>
      <c r="I844" s="23"/>
      <c r="J844" s="2"/>
      <c r="K844" s="2"/>
      <c r="L844" s="2"/>
      <c r="M844" s="2"/>
      <c r="O844" s="24"/>
    </row>
    <row r="845">
      <c r="A845" s="11"/>
      <c r="B845" s="23"/>
      <c r="C845" s="23"/>
      <c r="D845" s="23"/>
      <c r="E845" s="23"/>
      <c r="F845" s="1"/>
      <c r="G845" s="23"/>
      <c r="H845" s="23"/>
      <c r="I845" s="23"/>
      <c r="J845" s="2"/>
      <c r="K845" s="2"/>
      <c r="L845" s="2"/>
      <c r="M845" s="2"/>
      <c r="O845" s="24"/>
    </row>
    <row r="846">
      <c r="A846" s="11"/>
      <c r="B846" s="23"/>
      <c r="C846" s="23"/>
      <c r="D846" s="23"/>
      <c r="E846" s="23"/>
      <c r="F846" s="1"/>
      <c r="G846" s="23"/>
      <c r="H846" s="23"/>
      <c r="I846" s="23"/>
      <c r="J846" s="2"/>
      <c r="K846" s="2"/>
      <c r="L846" s="2"/>
      <c r="M846" s="2"/>
      <c r="O846" s="24"/>
    </row>
    <row r="847">
      <c r="A847" s="11"/>
      <c r="B847" s="23"/>
      <c r="C847" s="23"/>
      <c r="D847" s="23"/>
      <c r="E847" s="23"/>
      <c r="F847" s="1"/>
      <c r="G847" s="23"/>
      <c r="H847" s="23"/>
      <c r="I847" s="23"/>
      <c r="J847" s="2"/>
      <c r="K847" s="2"/>
      <c r="L847" s="2"/>
      <c r="M847" s="2"/>
      <c r="O847" s="24"/>
    </row>
    <row r="848">
      <c r="A848" s="11"/>
      <c r="B848" s="23"/>
      <c r="C848" s="23"/>
      <c r="D848" s="23"/>
      <c r="E848" s="23"/>
      <c r="F848" s="1"/>
      <c r="G848" s="23"/>
      <c r="H848" s="23"/>
      <c r="I848" s="23"/>
      <c r="J848" s="2"/>
      <c r="K848" s="2"/>
      <c r="L848" s="2"/>
      <c r="M848" s="2"/>
      <c r="O848" s="24"/>
    </row>
    <row r="849">
      <c r="A849" s="11"/>
      <c r="B849" s="23"/>
      <c r="C849" s="23"/>
      <c r="D849" s="23"/>
      <c r="E849" s="23"/>
      <c r="F849" s="1"/>
      <c r="G849" s="23"/>
      <c r="H849" s="23"/>
      <c r="I849" s="23"/>
      <c r="J849" s="2"/>
      <c r="K849" s="2"/>
      <c r="L849" s="2"/>
      <c r="M849" s="2"/>
      <c r="O849" s="24"/>
    </row>
    <row r="850">
      <c r="A850" s="11"/>
      <c r="B850" s="23"/>
      <c r="C850" s="23"/>
      <c r="D850" s="23"/>
      <c r="E850" s="23"/>
      <c r="F850" s="1"/>
      <c r="G850" s="23"/>
      <c r="H850" s="23"/>
      <c r="I850" s="23"/>
      <c r="J850" s="2"/>
      <c r="K850" s="2"/>
      <c r="L850" s="2"/>
      <c r="M850" s="2"/>
      <c r="O850" s="24"/>
    </row>
    <row r="851">
      <c r="A851" s="11"/>
      <c r="B851" s="23"/>
      <c r="C851" s="23"/>
      <c r="D851" s="23"/>
      <c r="E851" s="23"/>
      <c r="F851" s="1"/>
      <c r="G851" s="23"/>
      <c r="H851" s="23"/>
      <c r="I851" s="23"/>
      <c r="J851" s="2"/>
      <c r="K851" s="2"/>
      <c r="L851" s="2"/>
      <c r="M851" s="2"/>
      <c r="O851" s="24"/>
    </row>
    <row r="852">
      <c r="A852" s="11"/>
      <c r="B852" s="23"/>
      <c r="C852" s="23"/>
      <c r="D852" s="23"/>
      <c r="E852" s="23"/>
      <c r="F852" s="1"/>
      <c r="G852" s="23"/>
      <c r="H852" s="23"/>
      <c r="I852" s="23"/>
      <c r="J852" s="2"/>
      <c r="K852" s="2"/>
      <c r="L852" s="2"/>
      <c r="M852" s="2"/>
      <c r="O852" s="24"/>
    </row>
    <row r="853">
      <c r="A853" s="11"/>
      <c r="B853" s="23"/>
      <c r="C853" s="23"/>
      <c r="D853" s="23"/>
      <c r="E853" s="23"/>
      <c r="F853" s="1"/>
      <c r="G853" s="23"/>
      <c r="H853" s="23"/>
      <c r="I853" s="23"/>
      <c r="J853" s="2"/>
      <c r="K853" s="2"/>
      <c r="L853" s="2"/>
      <c r="M853" s="2"/>
      <c r="O853" s="24"/>
    </row>
    <row r="854">
      <c r="A854" s="11"/>
      <c r="B854" s="23"/>
      <c r="C854" s="23"/>
      <c r="D854" s="23"/>
      <c r="E854" s="23"/>
      <c r="F854" s="1"/>
      <c r="G854" s="23"/>
      <c r="H854" s="23"/>
      <c r="I854" s="23"/>
      <c r="J854" s="2"/>
      <c r="K854" s="2"/>
      <c r="L854" s="2"/>
      <c r="M854" s="2"/>
      <c r="O854" s="24"/>
    </row>
    <row r="855">
      <c r="A855" s="11"/>
      <c r="B855" s="23"/>
      <c r="C855" s="23"/>
      <c r="D855" s="23"/>
      <c r="E855" s="23"/>
      <c r="F855" s="1"/>
      <c r="G855" s="23"/>
      <c r="H855" s="23"/>
      <c r="I855" s="23"/>
      <c r="J855" s="2"/>
      <c r="K855" s="2"/>
      <c r="L855" s="2"/>
      <c r="M855" s="2"/>
      <c r="O855" s="24"/>
    </row>
    <row r="856">
      <c r="A856" s="11"/>
      <c r="B856" s="23"/>
      <c r="C856" s="23"/>
      <c r="D856" s="23"/>
      <c r="E856" s="23"/>
      <c r="F856" s="1"/>
      <c r="G856" s="23"/>
      <c r="H856" s="23"/>
      <c r="I856" s="23"/>
      <c r="J856" s="2"/>
      <c r="K856" s="2"/>
      <c r="L856" s="2"/>
      <c r="M856" s="2"/>
      <c r="O856" s="24"/>
    </row>
    <row r="857">
      <c r="A857" s="11"/>
      <c r="B857" s="23"/>
      <c r="C857" s="23"/>
      <c r="D857" s="23"/>
      <c r="E857" s="23"/>
      <c r="F857" s="1"/>
      <c r="G857" s="23"/>
      <c r="H857" s="23"/>
      <c r="I857" s="23"/>
      <c r="J857" s="2"/>
      <c r="K857" s="2"/>
      <c r="L857" s="2"/>
      <c r="M857" s="2"/>
      <c r="O857" s="24"/>
    </row>
    <row r="858">
      <c r="A858" s="11"/>
      <c r="B858" s="23"/>
      <c r="C858" s="23"/>
      <c r="D858" s="23"/>
      <c r="E858" s="23"/>
      <c r="F858" s="1"/>
      <c r="G858" s="23"/>
      <c r="H858" s="23"/>
      <c r="I858" s="23"/>
      <c r="J858" s="2"/>
      <c r="K858" s="2"/>
      <c r="L858" s="2"/>
      <c r="M858" s="2"/>
      <c r="O858" s="24"/>
    </row>
    <row r="859">
      <c r="A859" s="11"/>
      <c r="B859" s="23"/>
      <c r="C859" s="23"/>
      <c r="D859" s="23"/>
      <c r="E859" s="23"/>
      <c r="F859" s="1"/>
      <c r="G859" s="23"/>
      <c r="H859" s="23"/>
      <c r="I859" s="23"/>
      <c r="J859" s="2"/>
      <c r="K859" s="2"/>
      <c r="L859" s="2"/>
      <c r="M859" s="2"/>
      <c r="O859" s="24"/>
    </row>
    <row r="860">
      <c r="A860" s="11"/>
      <c r="B860" s="23"/>
      <c r="C860" s="23"/>
      <c r="D860" s="23"/>
      <c r="E860" s="23"/>
      <c r="F860" s="1"/>
      <c r="G860" s="23"/>
      <c r="H860" s="23"/>
      <c r="I860" s="23"/>
      <c r="J860" s="2"/>
      <c r="K860" s="2"/>
      <c r="L860" s="2"/>
      <c r="M860" s="2"/>
      <c r="O860" s="24"/>
    </row>
    <row r="861">
      <c r="A861" s="11"/>
      <c r="B861" s="23"/>
      <c r="C861" s="23"/>
      <c r="D861" s="23"/>
      <c r="E861" s="23"/>
      <c r="F861" s="1"/>
      <c r="G861" s="23"/>
      <c r="H861" s="23"/>
      <c r="I861" s="23"/>
      <c r="J861" s="2"/>
      <c r="K861" s="2"/>
      <c r="L861" s="2"/>
      <c r="M861" s="2"/>
      <c r="O861" s="24"/>
    </row>
    <row r="862">
      <c r="A862" s="11"/>
      <c r="B862" s="23"/>
      <c r="C862" s="23"/>
      <c r="D862" s="23"/>
      <c r="E862" s="23"/>
      <c r="F862" s="1"/>
      <c r="G862" s="23"/>
      <c r="H862" s="23"/>
      <c r="I862" s="23"/>
      <c r="J862" s="2"/>
      <c r="K862" s="2"/>
      <c r="L862" s="2"/>
      <c r="M862" s="2"/>
      <c r="O862" s="24"/>
    </row>
    <row r="863">
      <c r="A863" s="11"/>
      <c r="B863" s="23"/>
      <c r="C863" s="23"/>
      <c r="D863" s="23"/>
      <c r="E863" s="23"/>
      <c r="F863" s="1"/>
      <c r="G863" s="23"/>
      <c r="H863" s="23"/>
      <c r="I863" s="23"/>
      <c r="J863" s="2"/>
      <c r="K863" s="2"/>
      <c r="L863" s="2"/>
      <c r="M863" s="2"/>
      <c r="O863" s="24"/>
    </row>
    <row r="864">
      <c r="A864" s="11"/>
      <c r="B864" s="23"/>
      <c r="C864" s="23"/>
      <c r="D864" s="23"/>
      <c r="E864" s="23"/>
      <c r="F864" s="1"/>
      <c r="G864" s="23"/>
      <c r="H864" s="23"/>
      <c r="I864" s="23"/>
      <c r="J864" s="2"/>
      <c r="K864" s="2"/>
      <c r="L864" s="2"/>
      <c r="M864" s="2"/>
      <c r="O864" s="24"/>
    </row>
    <row r="865">
      <c r="A865" s="11"/>
      <c r="B865" s="23"/>
      <c r="C865" s="23"/>
      <c r="D865" s="23"/>
      <c r="E865" s="23"/>
      <c r="F865" s="1"/>
      <c r="G865" s="23"/>
      <c r="H865" s="23"/>
      <c r="I865" s="23"/>
      <c r="J865" s="2"/>
      <c r="K865" s="2"/>
      <c r="L865" s="2"/>
      <c r="M865" s="2"/>
      <c r="O865" s="24"/>
    </row>
    <row r="866">
      <c r="A866" s="11"/>
      <c r="B866" s="23"/>
      <c r="C866" s="23"/>
      <c r="D866" s="23"/>
      <c r="E866" s="23"/>
      <c r="F866" s="1"/>
      <c r="G866" s="23"/>
      <c r="H866" s="23"/>
      <c r="I866" s="23"/>
      <c r="J866" s="2"/>
      <c r="K866" s="2"/>
      <c r="L866" s="2"/>
      <c r="M866" s="2"/>
      <c r="O866" s="24"/>
    </row>
    <row r="867">
      <c r="A867" s="11"/>
      <c r="B867" s="23"/>
      <c r="C867" s="23"/>
      <c r="D867" s="23"/>
      <c r="E867" s="23"/>
      <c r="F867" s="1"/>
      <c r="G867" s="23"/>
      <c r="H867" s="23"/>
      <c r="I867" s="23"/>
      <c r="J867" s="2"/>
      <c r="K867" s="2"/>
      <c r="L867" s="2"/>
      <c r="M867" s="2"/>
      <c r="O867" s="24"/>
    </row>
    <row r="868">
      <c r="A868" s="11"/>
      <c r="B868" s="23"/>
      <c r="C868" s="23"/>
      <c r="D868" s="23"/>
      <c r="E868" s="23"/>
      <c r="F868" s="1"/>
      <c r="G868" s="23"/>
      <c r="H868" s="23"/>
      <c r="I868" s="23"/>
      <c r="J868" s="2"/>
      <c r="K868" s="2"/>
      <c r="L868" s="2"/>
      <c r="M868" s="2"/>
      <c r="O868" s="24"/>
    </row>
    <row r="869">
      <c r="A869" s="11"/>
      <c r="B869" s="23"/>
      <c r="C869" s="23"/>
      <c r="D869" s="23"/>
      <c r="E869" s="23"/>
      <c r="F869" s="1"/>
      <c r="G869" s="23"/>
      <c r="H869" s="23"/>
      <c r="I869" s="23"/>
      <c r="J869" s="2"/>
      <c r="K869" s="2"/>
      <c r="L869" s="2"/>
      <c r="M869" s="2"/>
      <c r="O869" s="24"/>
    </row>
    <row r="870">
      <c r="A870" s="11"/>
      <c r="B870" s="23"/>
      <c r="C870" s="23"/>
      <c r="D870" s="23"/>
      <c r="E870" s="23"/>
      <c r="F870" s="1"/>
      <c r="G870" s="23"/>
      <c r="H870" s="23"/>
      <c r="I870" s="23"/>
      <c r="J870" s="2"/>
      <c r="K870" s="2"/>
      <c r="L870" s="2"/>
      <c r="M870" s="2"/>
      <c r="O870" s="24"/>
    </row>
    <row r="871">
      <c r="A871" s="11"/>
      <c r="B871" s="23"/>
      <c r="C871" s="23"/>
      <c r="D871" s="23"/>
      <c r="E871" s="23"/>
      <c r="F871" s="1"/>
      <c r="G871" s="23"/>
      <c r="H871" s="23"/>
      <c r="I871" s="23"/>
      <c r="J871" s="2"/>
      <c r="K871" s="2"/>
      <c r="L871" s="2"/>
      <c r="M871" s="2"/>
      <c r="O871" s="24"/>
    </row>
    <row r="872">
      <c r="A872" s="11"/>
      <c r="B872" s="23"/>
      <c r="C872" s="23"/>
      <c r="D872" s="23"/>
      <c r="E872" s="23"/>
      <c r="F872" s="1"/>
      <c r="G872" s="23"/>
      <c r="H872" s="23"/>
      <c r="I872" s="23"/>
      <c r="J872" s="2"/>
      <c r="K872" s="2"/>
      <c r="L872" s="2"/>
      <c r="M872" s="2"/>
      <c r="O872" s="24"/>
    </row>
    <row r="873">
      <c r="A873" s="11"/>
      <c r="B873" s="23"/>
      <c r="C873" s="23"/>
      <c r="D873" s="23"/>
      <c r="E873" s="23"/>
      <c r="F873" s="1"/>
      <c r="G873" s="23"/>
      <c r="H873" s="23"/>
      <c r="I873" s="23"/>
      <c r="J873" s="2"/>
      <c r="K873" s="2"/>
      <c r="L873" s="2"/>
      <c r="M873" s="2"/>
      <c r="O873" s="24"/>
    </row>
    <row r="874">
      <c r="A874" s="11"/>
      <c r="B874" s="23"/>
      <c r="C874" s="23"/>
      <c r="D874" s="23"/>
      <c r="E874" s="23"/>
      <c r="F874" s="1"/>
      <c r="G874" s="23"/>
      <c r="H874" s="23"/>
      <c r="I874" s="23"/>
      <c r="J874" s="2"/>
      <c r="K874" s="2"/>
      <c r="L874" s="2"/>
      <c r="M874" s="2"/>
      <c r="O874" s="24"/>
    </row>
    <row r="875">
      <c r="A875" s="11"/>
      <c r="B875" s="23"/>
      <c r="C875" s="23"/>
      <c r="D875" s="23"/>
      <c r="E875" s="23"/>
      <c r="F875" s="1"/>
      <c r="G875" s="23"/>
      <c r="H875" s="23"/>
      <c r="I875" s="23"/>
      <c r="J875" s="2"/>
      <c r="K875" s="2"/>
      <c r="L875" s="2"/>
      <c r="M875" s="2"/>
      <c r="O875" s="24"/>
    </row>
    <row r="876">
      <c r="A876" s="11"/>
      <c r="B876" s="23"/>
      <c r="C876" s="23"/>
      <c r="D876" s="23"/>
      <c r="E876" s="23"/>
      <c r="F876" s="1"/>
      <c r="G876" s="23"/>
      <c r="H876" s="23"/>
      <c r="I876" s="23"/>
      <c r="J876" s="2"/>
      <c r="K876" s="2"/>
      <c r="L876" s="2"/>
      <c r="M876" s="2"/>
      <c r="O876" s="24"/>
    </row>
    <row r="877">
      <c r="A877" s="11"/>
      <c r="B877" s="23"/>
      <c r="C877" s="23"/>
      <c r="D877" s="23"/>
      <c r="E877" s="23"/>
      <c r="F877" s="1"/>
      <c r="G877" s="23"/>
      <c r="H877" s="23"/>
      <c r="I877" s="23"/>
      <c r="J877" s="2"/>
      <c r="K877" s="2"/>
      <c r="L877" s="2"/>
      <c r="M877" s="2"/>
      <c r="O877" s="24"/>
    </row>
    <row r="878">
      <c r="A878" s="11"/>
      <c r="B878" s="23"/>
      <c r="C878" s="23"/>
      <c r="D878" s="23"/>
      <c r="E878" s="23"/>
      <c r="F878" s="1"/>
      <c r="G878" s="23"/>
      <c r="H878" s="23"/>
      <c r="I878" s="23"/>
      <c r="J878" s="2"/>
      <c r="K878" s="2"/>
      <c r="L878" s="2"/>
      <c r="M878" s="2"/>
      <c r="O878" s="24"/>
    </row>
    <row r="879">
      <c r="A879" s="11"/>
      <c r="B879" s="23"/>
      <c r="C879" s="23"/>
      <c r="D879" s="23"/>
      <c r="E879" s="23"/>
      <c r="F879" s="1"/>
      <c r="G879" s="23"/>
      <c r="H879" s="23"/>
      <c r="I879" s="23"/>
      <c r="J879" s="2"/>
      <c r="K879" s="2"/>
      <c r="L879" s="2"/>
      <c r="M879" s="2"/>
      <c r="O879" s="24"/>
    </row>
    <row r="880">
      <c r="A880" s="11"/>
      <c r="B880" s="23"/>
      <c r="C880" s="23"/>
      <c r="D880" s="23"/>
      <c r="E880" s="23"/>
      <c r="F880" s="1"/>
      <c r="G880" s="23"/>
      <c r="H880" s="23"/>
      <c r="I880" s="23"/>
      <c r="J880" s="2"/>
      <c r="K880" s="2"/>
      <c r="L880" s="2"/>
      <c r="M880" s="2"/>
      <c r="O880" s="24"/>
    </row>
    <row r="881">
      <c r="A881" s="11"/>
      <c r="B881" s="23"/>
      <c r="C881" s="23"/>
      <c r="D881" s="23"/>
      <c r="E881" s="23"/>
      <c r="F881" s="1"/>
      <c r="G881" s="23"/>
      <c r="H881" s="23"/>
      <c r="I881" s="23"/>
      <c r="J881" s="2"/>
      <c r="K881" s="2"/>
      <c r="L881" s="2"/>
      <c r="M881" s="2"/>
      <c r="O881" s="24"/>
    </row>
    <row r="882">
      <c r="A882" s="11"/>
      <c r="B882" s="23"/>
      <c r="C882" s="23"/>
      <c r="D882" s="23"/>
      <c r="E882" s="23"/>
      <c r="F882" s="1"/>
      <c r="G882" s="23"/>
      <c r="H882" s="23"/>
      <c r="I882" s="23"/>
      <c r="J882" s="2"/>
      <c r="K882" s="2"/>
      <c r="L882" s="2"/>
      <c r="M882" s="2"/>
      <c r="O882" s="24"/>
    </row>
    <row r="883">
      <c r="A883" s="11"/>
      <c r="B883" s="23"/>
      <c r="C883" s="23"/>
      <c r="D883" s="23"/>
      <c r="E883" s="23"/>
      <c r="F883" s="1"/>
      <c r="G883" s="23"/>
      <c r="H883" s="23"/>
      <c r="I883" s="23"/>
      <c r="J883" s="2"/>
      <c r="K883" s="2"/>
      <c r="L883" s="2"/>
      <c r="M883" s="2"/>
      <c r="O883" s="24"/>
    </row>
    <row r="884">
      <c r="A884" s="11"/>
      <c r="B884" s="23"/>
      <c r="C884" s="23"/>
      <c r="D884" s="23"/>
      <c r="E884" s="23"/>
      <c r="F884" s="1"/>
      <c r="G884" s="23"/>
      <c r="H884" s="23"/>
      <c r="I884" s="23"/>
      <c r="J884" s="2"/>
      <c r="K884" s="2"/>
      <c r="L884" s="2"/>
      <c r="M884" s="2"/>
      <c r="O884" s="24"/>
    </row>
    <row r="885">
      <c r="A885" s="11"/>
      <c r="B885" s="23"/>
      <c r="C885" s="23"/>
      <c r="D885" s="23"/>
      <c r="E885" s="23"/>
      <c r="F885" s="1"/>
      <c r="G885" s="23"/>
      <c r="H885" s="23"/>
      <c r="I885" s="23"/>
      <c r="J885" s="2"/>
      <c r="K885" s="2"/>
      <c r="L885" s="2"/>
      <c r="M885" s="2"/>
      <c r="O885" s="24"/>
    </row>
    <row r="886">
      <c r="A886" s="11"/>
      <c r="B886" s="23"/>
      <c r="C886" s="23"/>
      <c r="D886" s="23"/>
      <c r="E886" s="23"/>
      <c r="F886" s="1"/>
      <c r="G886" s="23"/>
      <c r="H886" s="23"/>
      <c r="I886" s="23"/>
      <c r="J886" s="2"/>
      <c r="K886" s="2"/>
      <c r="L886" s="2"/>
      <c r="M886" s="2"/>
      <c r="O886" s="24"/>
    </row>
    <row r="887">
      <c r="A887" s="11"/>
      <c r="B887" s="23"/>
      <c r="C887" s="23"/>
      <c r="D887" s="23"/>
      <c r="E887" s="23"/>
      <c r="F887" s="1"/>
      <c r="G887" s="23"/>
      <c r="H887" s="23"/>
      <c r="I887" s="23"/>
      <c r="J887" s="2"/>
      <c r="K887" s="2"/>
      <c r="L887" s="2"/>
      <c r="M887" s="2"/>
      <c r="O887" s="24"/>
    </row>
    <row r="888">
      <c r="A888" s="11"/>
      <c r="B888" s="23"/>
      <c r="C888" s="23"/>
      <c r="D888" s="23"/>
      <c r="E888" s="23"/>
      <c r="F888" s="1"/>
      <c r="G888" s="23"/>
      <c r="H888" s="23"/>
      <c r="I888" s="23"/>
      <c r="J888" s="2"/>
      <c r="K888" s="2"/>
      <c r="L888" s="2"/>
      <c r="M888" s="2"/>
      <c r="O888" s="24"/>
    </row>
    <row r="889">
      <c r="A889" s="11"/>
      <c r="B889" s="23"/>
      <c r="C889" s="23"/>
      <c r="D889" s="23"/>
      <c r="E889" s="23"/>
      <c r="F889" s="1"/>
      <c r="G889" s="23"/>
      <c r="H889" s="23"/>
      <c r="I889" s="23"/>
      <c r="J889" s="2"/>
      <c r="K889" s="2"/>
      <c r="L889" s="2"/>
      <c r="M889" s="2"/>
      <c r="O889" s="24"/>
    </row>
    <row r="890">
      <c r="A890" s="11"/>
      <c r="B890" s="23"/>
      <c r="C890" s="23"/>
      <c r="D890" s="23"/>
      <c r="E890" s="23"/>
      <c r="F890" s="1"/>
      <c r="G890" s="23"/>
      <c r="H890" s="23"/>
      <c r="I890" s="23"/>
      <c r="J890" s="2"/>
      <c r="K890" s="2"/>
      <c r="L890" s="2"/>
      <c r="M890" s="2"/>
      <c r="O890" s="24"/>
    </row>
    <row r="891">
      <c r="A891" s="11"/>
      <c r="B891" s="23"/>
      <c r="C891" s="23"/>
      <c r="D891" s="23"/>
      <c r="E891" s="23"/>
      <c r="F891" s="1"/>
      <c r="G891" s="23"/>
      <c r="H891" s="23"/>
      <c r="I891" s="23"/>
      <c r="J891" s="2"/>
      <c r="K891" s="2"/>
      <c r="L891" s="2"/>
      <c r="M891" s="2"/>
      <c r="O891" s="24"/>
    </row>
    <row r="892">
      <c r="A892" s="11"/>
      <c r="B892" s="23"/>
      <c r="C892" s="23"/>
      <c r="D892" s="23"/>
      <c r="E892" s="23"/>
      <c r="F892" s="1"/>
      <c r="G892" s="23"/>
      <c r="H892" s="23"/>
      <c r="I892" s="23"/>
      <c r="J892" s="2"/>
      <c r="K892" s="2"/>
      <c r="L892" s="2"/>
      <c r="M892" s="2"/>
      <c r="O892" s="24"/>
    </row>
    <row r="893">
      <c r="A893" s="11"/>
      <c r="B893" s="23"/>
      <c r="C893" s="23"/>
      <c r="D893" s="23"/>
      <c r="E893" s="23"/>
      <c r="F893" s="1"/>
      <c r="G893" s="23"/>
      <c r="H893" s="23"/>
      <c r="I893" s="23"/>
      <c r="J893" s="2"/>
      <c r="K893" s="2"/>
      <c r="L893" s="2"/>
      <c r="M893" s="2"/>
      <c r="O893" s="24"/>
    </row>
    <row r="894">
      <c r="A894" s="11"/>
      <c r="B894" s="23"/>
      <c r="C894" s="23"/>
      <c r="D894" s="23"/>
      <c r="E894" s="23"/>
      <c r="F894" s="1"/>
      <c r="G894" s="23"/>
      <c r="H894" s="23"/>
      <c r="I894" s="23"/>
      <c r="J894" s="2"/>
      <c r="K894" s="2"/>
      <c r="L894" s="2"/>
      <c r="M894" s="2"/>
      <c r="O894" s="24"/>
    </row>
    <row r="895">
      <c r="A895" s="11"/>
      <c r="B895" s="23"/>
      <c r="C895" s="23"/>
      <c r="D895" s="23"/>
      <c r="E895" s="23"/>
      <c r="F895" s="1"/>
      <c r="G895" s="23"/>
      <c r="H895" s="23"/>
      <c r="I895" s="23"/>
      <c r="J895" s="2"/>
      <c r="K895" s="2"/>
      <c r="L895" s="2"/>
      <c r="M895" s="2"/>
      <c r="O895" s="24"/>
    </row>
    <row r="896">
      <c r="A896" s="11"/>
      <c r="B896" s="23"/>
      <c r="C896" s="23"/>
      <c r="D896" s="23"/>
      <c r="E896" s="23"/>
      <c r="F896" s="1"/>
      <c r="G896" s="23"/>
      <c r="H896" s="23"/>
      <c r="I896" s="23"/>
      <c r="J896" s="2"/>
      <c r="K896" s="2"/>
      <c r="L896" s="2"/>
      <c r="M896" s="2"/>
      <c r="O896" s="24"/>
    </row>
    <row r="897">
      <c r="A897" s="11"/>
      <c r="B897" s="23"/>
      <c r="C897" s="23"/>
      <c r="D897" s="23"/>
      <c r="E897" s="23"/>
      <c r="F897" s="1"/>
      <c r="G897" s="23"/>
      <c r="H897" s="23"/>
      <c r="I897" s="23"/>
      <c r="J897" s="2"/>
      <c r="K897" s="2"/>
      <c r="L897" s="2"/>
      <c r="M897" s="2"/>
      <c r="O897" s="24"/>
    </row>
    <row r="898">
      <c r="A898" s="11"/>
      <c r="B898" s="23"/>
      <c r="C898" s="23"/>
      <c r="D898" s="23"/>
      <c r="E898" s="23"/>
      <c r="F898" s="1"/>
      <c r="G898" s="23"/>
      <c r="H898" s="23"/>
      <c r="I898" s="23"/>
      <c r="J898" s="2"/>
      <c r="K898" s="2"/>
      <c r="L898" s="2"/>
      <c r="M898" s="2"/>
      <c r="O898" s="24"/>
    </row>
    <row r="899">
      <c r="A899" s="11"/>
      <c r="B899" s="23"/>
      <c r="C899" s="23"/>
      <c r="D899" s="23"/>
      <c r="E899" s="23"/>
      <c r="F899" s="1"/>
      <c r="G899" s="23"/>
      <c r="H899" s="23"/>
      <c r="I899" s="23"/>
      <c r="J899" s="2"/>
      <c r="K899" s="2"/>
      <c r="L899" s="2"/>
      <c r="M899" s="2"/>
      <c r="O899" s="24"/>
    </row>
    <row r="900">
      <c r="A900" s="11"/>
      <c r="B900" s="23"/>
      <c r="C900" s="23"/>
      <c r="D900" s="23"/>
      <c r="E900" s="23"/>
      <c r="F900" s="1"/>
      <c r="G900" s="23"/>
      <c r="H900" s="23"/>
      <c r="I900" s="23"/>
      <c r="J900" s="2"/>
      <c r="K900" s="2"/>
      <c r="L900" s="2"/>
      <c r="M900" s="2"/>
      <c r="O900" s="24"/>
    </row>
    <row r="901">
      <c r="A901" s="11"/>
      <c r="B901" s="23"/>
      <c r="C901" s="23"/>
      <c r="D901" s="23"/>
      <c r="E901" s="23"/>
      <c r="F901" s="1"/>
      <c r="G901" s="23"/>
      <c r="H901" s="23"/>
      <c r="I901" s="23"/>
      <c r="J901" s="2"/>
      <c r="K901" s="2"/>
      <c r="L901" s="2"/>
      <c r="M901" s="2"/>
      <c r="O901" s="24"/>
    </row>
    <row r="902">
      <c r="A902" s="11"/>
      <c r="B902" s="23"/>
      <c r="C902" s="23"/>
      <c r="D902" s="23"/>
      <c r="E902" s="23"/>
      <c r="F902" s="1"/>
      <c r="G902" s="23"/>
      <c r="H902" s="23"/>
      <c r="I902" s="23"/>
      <c r="J902" s="2"/>
      <c r="K902" s="2"/>
      <c r="L902" s="2"/>
      <c r="M902" s="2"/>
      <c r="O902" s="24"/>
    </row>
    <row r="903">
      <c r="A903" s="11"/>
      <c r="B903" s="23"/>
      <c r="C903" s="23"/>
      <c r="D903" s="23"/>
      <c r="E903" s="23"/>
      <c r="F903" s="1"/>
      <c r="G903" s="23"/>
      <c r="H903" s="23"/>
      <c r="I903" s="23"/>
      <c r="J903" s="2"/>
      <c r="K903" s="2"/>
      <c r="L903" s="2"/>
      <c r="M903" s="2"/>
      <c r="O903" s="24"/>
    </row>
    <row r="904">
      <c r="A904" s="11"/>
      <c r="B904" s="23"/>
      <c r="C904" s="23"/>
      <c r="D904" s="23"/>
      <c r="E904" s="23"/>
      <c r="F904" s="1"/>
      <c r="G904" s="23"/>
      <c r="H904" s="23"/>
      <c r="I904" s="23"/>
      <c r="J904" s="2"/>
      <c r="K904" s="2"/>
      <c r="L904" s="2"/>
      <c r="M904" s="2"/>
      <c r="O904" s="24"/>
    </row>
    <row r="905">
      <c r="A905" s="11"/>
      <c r="B905" s="23"/>
      <c r="C905" s="23"/>
      <c r="D905" s="23"/>
      <c r="E905" s="23"/>
      <c r="F905" s="1"/>
      <c r="G905" s="23"/>
      <c r="H905" s="23"/>
      <c r="I905" s="23"/>
      <c r="J905" s="2"/>
      <c r="K905" s="2"/>
      <c r="L905" s="2"/>
      <c r="M905" s="2"/>
      <c r="O905" s="24"/>
    </row>
    <row r="906">
      <c r="A906" s="11"/>
      <c r="B906" s="23"/>
      <c r="C906" s="23"/>
      <c r="D906" s="23"/>
      <c r="E906" s="23"/>
      <c r="F906" s="1"/>
      <c r="G906" s="23"/>
      <c r="H906" s="23"/>
      <c r="I906" s="23"/>
      <c r="J906" s="2"/>
      <c r="K906" s="2"/>
      <c r="L906" s="2"/>
      <c r="M906" s="2"/>
      <c r="O906" s="24"/>
    </row>
    <row r="907">
      <c r="A907" s="11"/>
      <c r="B907" s="23"/>
      <c r="C907" s="23"/>
      <c r="D907" s="23"/>
      <c r="E907" s="23"/>
      <c r="F907" s="1"/>
      <c r="G907" s="23"/>
      <c r="H907" s="23"/>
      <c r="I907" s="23"/>
      <c r="J907" s="2"/>
      <c r="K907" s="2"/>
      <c r="L907" s="2"/>
      <c r="M907" s="2"/>
      <c r="O907" s="24"/>
    </row>
    <row r="908">
      <c r="A908" s="11"/>
      <c r="B908" s="23"/>
      <c r="C908" s="23"/>
      <c r="D908" s="23"/>
      <c r="E908" s="23"/>
      <c r="F908" s="1"/>
      <c r="G908" s="23"/>
      <c r="H908" s="23"/>
      <c r="I908" s="23"/>
      <c r="J908" s="2"/>
      <c r="K908" s="2"/>
      <c r="L908" s="2"/>
      <c r="M908" s="2"/>
      <c r="O908" s="24"/>
    </row>
    <row r="909">
      <c r="A909" s="11"/>
      <c r="B909" s="23"/>
      <c r="C909" s="23"/>
      <c r="D909" s="23"/>
      <c r="E909" s="23"/>
      <c r="F909" s="1"/>
      <c r="G909" s="23"/>
      <c r="H909" s="23"/>
      <c r="I909" s="23"/>
      <c r="J909" s="2"/>
      <c r="K909" s="2"/>
      <c r="L909" s="2"/>
      <c r="M909" s="2"/>
      <c r="O909" s="24"/>
    </row>
    <row r="910">
      <c r="A910" s="11"/>
      <c r="B910" s="23"/>
      <c r="C910" s="23"/>
      <c r="D910" s="23"/>
      <c r="E910" s="23"/>
      <c r="F910" s="1"/>
      <c r="G910" s="23"/>
      <c r="H910" s="23"/>
      <c r="I910" s="23"/>
      <c r="J910" s="2"/>
      <c r="K910" s="2"/>
      <c r="L910" s="2"/>
      <c r="M910" s="2"/>
      <c r="O910" s="24"/>
    </row>
    <row r="911">
      <c r="A911" s="11"/>
      <c r="B911" s="23"/>
      <c r="C911" s="23"/>
      <c r="D911" s="23"/>
      <c r="E911" s="23"/>
      <c r="F911" s="1"/>
      <c r="G911" s="23"/>
      <c r="H911" s="23"/>
      <c r="I911" s="23"/>
      <c r="J911" s="2"/>
      <c r="K911" s="2"/>
      <c r="L911" s="2"/>
      <c r="M911" s="2"/>
      <c r="O911" s="24"/>
    </row>
    <row r="912">
      <c r="A912" s="11"/>
      <c r="B912" s="23"/>
      <c r="C912" s="23"/>
      <c r="D912" s="23"/>
      <c r="E912" s="23"/>
      <c r="F912" s="1"/>
      <c r="G912" s="23"/>
      <c r="H912" s="23"/>
      <c r="I912" s="23"/>
      <c r="J912" s="2"/>
      <c r="K912" s="2"/>
      <c r="L912" s="2"/>
      <c r="M912" s="2"/>
      <c r="O912" s="24"/>
    </row>
    <row r="913">
      <c r="A913" s="11"/>
      <c r="B913" s="23"/>
      <c r="C913" s="23"/>
      <c r="D913" s="23"/>
      <c r="E913" s="23"/>
      <c r="F913" s="1"/>
      <c r="G913" s="23"/>
      <c r="H913" s="23"/>
      <c r="I913" s="23"/>
      <c r="J913" s="2"/>
      <c r="K913" s="2"/>
      <c r="L913" s="2"/>
      <c r="M913" s="2"/>
      <c r="O913" s="24"/>
    </row>
    <row r="914">
      <c r="A914" s="11"/>
      <c r="B914" s="23"/>
      <c r="C914" s="23"/>
      <c r="D914" s="23"/>
      <c r="E914" s="23"/>
      <c r="F914" s="1"/>
      <c r="G914" s="23"/>
      <c r="H914" s="23"/>
      <c r="I914" s="23"/>
      <c r="J914" s="2"/>
      <c r="K914" s="2"/>
      <c r="L914" s="2"/>
      <c r="M914" s="2"/>
      <c r="O914" s="24"/>
    </row>
    <row r="915">
      <c r="A915" s="11"/>
      <c r="B915" s="23"/>
      <c r="C915" s="23"/>
      <c r="D915" s="23"/>
      <c r="E915" s="23"/>
      <c r="F915" s="1"/>
      <c r="G915" s="23"/>
      <c r="H915" s="23"/>
      <c r="I915" s="23"/>
      <c r="J915" s="2"/>
      <c r="K915" s="2"/>
      <c r="L915" s="2"/>
      <c r="M915" s="2"/>
      <c r="O915" s="24"/>
    </row>
    <row r="916">
      <c r="A916" s="11"/>
      <c r="B916" s="23"/>
      <c r="C916" s="23"/>
      <c r="D916" s="23"/>
      <c r="E916" s="23"/>
      <c r="F916" s="1"/>
      <c r="G916" s="23"/>
      <c r="H916" s="23"/>
      <c r="I916" s="23"/>
      <c r="J916" s="2"/>
      <c r="K916" s="2"/>
      <c r="L916" s="2"/>
      <c r="M916" s="2"/>
      <c r="O916" s="24"/>
    </row>
    <row r="917">
      <c r="A917" s="11"/>
      <c r="B917" s="23"/>
      <c r="C917" s="23"/>
      <c r="D917" s="23"/>
      <c r="E917" s="23"/>
      <c r="F917" s="1"/>
      <c r="G917" s="23"/>
      <c r="H917" s="23"/>
      <c r="I917" s="23"/>
      <c r="J917" s="2"/>
      <c r="K917" s="2"/>
      <c r="L917" s="2"/>
      <c r="M917" s="2"/>
      <c r="O917" s="24"/>
    </row>
    <row r="918">
      <c r="A918" s="11"/>
      <c r="B918" s="23"/>
      <c r="C918" s="23"/>
      <c r="D918" s="23"/>
      <c r="E918" s="23"/>
      <c r="F918" s="1"/>
      <c r="G918" s="23"/>
      <c r="H918" s="23"/>
      <c r="I918" s="23"/>
      <c r="J918" s="2"/>
      <c r="K918" s="2"/>
      <c r="L918" s="2"/>
      <c r="M918" s="2"/>
      <c r="O918" s="24"/>
    </row>
    <row r="919">
      <c r="A919" s="11"/>
      <c r="B919" s="23"/>
      <c r="C919" s="23"/>
      <c r="D919" s="23"/>
      <c r="E919" s="23"/>
      <c r="F919" s="1"/>
      <c r="G919" s="23"/>
      <c r="H919" s="23"/>
      <c r="I919" s="23"/>
      <c r="J919" s="2"/>
      <c r="K919" s="2"/>
      <c r="L919" s="2"/>
      <c r="M919" s="2"/>
      <c r="O919" s="24"/>
    </row>
    <row r="920">
      <c r="A920" s="11"/>
      <c r="B920" s="23"/>
      <c r="C920" s="23"/>
      <c r="D920" s="23"/>
      <c r="E920" s="23"/>
      <c r="F920" s="1"/>
      <c r="G920" s="23"/>
      <c r="H920" s="23"/>
      <c r="I920" s="23"/>
      <c r="J920" s="2"/>
      <c r="K920" s="2"/>
      <c r="L920" s="2"/>
      <c r="M920" s="2"/>
      <c r="O920" s="24"/>
    </row>
    <row r="921">
      <c r="A921" s="11"/>
      <c r="B921" s="23"/>
      <c r="C921" s="23"/>
      <c r="D921" s="23"/>
      <c r="E921" s="23"/>
      <c r="F921" s="1"/>
      <c r="G921" s="23"/>
      <c r="H921" s="23"/>
      <c r="I921" s="23"/>
      <c r="J921" s="2"/>
      <c r="K921" s="2"/>
      <c r="L921" s="2"/>
      <c r="M921" s="2"/>
      <c r="O921" s="24"/>
    </row>
    <row r="922">
      <c r="A922" s="11"/>
      <c r="B922" s="23"/>
      <c r="C922" s="23"/>
      <c r="D922" s="23"/>
      <c r="E922" s="23"/>
      <c r="F922" s="1"/>
      <c r="G922" s="23"/>
      <c r="H922" s="23"/>
      <c r="I922" s="23"/>
      <c r="J922" s="2"/>
      <c r="K922" s="2"/>
      <c r="L922" s="2"/>
      <c r="M922" s="2"/>
      <c r="O922" s="24"/>
    </row>
    <row r="923">
      <c r="A923" s="11"/>
      <c r="B923" s="23"/>
      <c r="C923" s="23"/>
      <c r="D923" s="23"/>
      <c r="E923" s="23"/>
      <c r="F923" s="1"/>
      <c r="G923" s="23"/>
      <c r="H923" s="23"/>
      <c r="I923" s="23"/>
      <c r="J923" s="2"/>
      <c r="K923" s="2"/>
      <c r="L923" s="2"/>
      <c r="M923" s="2"/>
      <c r="O923" s="24"/>
    </row>
    <row r="924">
      <c r="A924" s="11"/>
      <c r="B924" s="23"/>
      <c r="C924" s="23"/>
      <c r="D924" s="23"/>
      <c r="E924" s="23"/>
      <c r="F924" s="1"/>
      <c r="G924" s="23"/>
      <c r="H924" s="23"/>
      <c r="I924" s="23"/>
      <c r="J924" s="2"/>
      <c r="K924" s="2"/>
      <c r="L924" s="2"/>
      <c r="M924" s="2"/>
      <c r="O924" s="24"/>
    </row>
    <row r="925">
      <c r="A925" s="11"/>
      <c r="B925" s="23"/>
      <c r="C925" s="23"/>
      <c r="D925" s="23"/>
      <c r="E925" s="23"/>
      <c r="F925" s="1"/>
      <c r="G925" s="23"/>
      <c r="H925" s="23"/>
      <c r="I925" s="23"/>
      <c r="J925" s="2"/>
      <c r="K925" s="2"/>
      <c r="L925" s="2"/>
      <c r="M925" s="2"/>
      <c r="O925" s="24"/>
    </row>
    <row r="926">
      <c r="A926" s="11"/>
      <c r="B926" s="23"/>
      <c r="C926" s="23"/>
      <c r="D926" s="23"/>
      <c r="E926" s="23"/>
      <c r="F926" s="1"/>
      <c r="G926" s="23"/>
      <c r="H926" s="23"/>
      <c r="I926" s="23"/>
      <c r="J926" s="2"/>
      <c r="K926" s="2"/>
      <c r="L926" s="2"/>
      <c r="M926" s="2"/>
      <c r="O926" s="24"/>
    </row>
    <row r="927">
      <c r="A927" s="11"/>
      <c r="B927" s="23"/>
      <c r="C927" s="23"/>
      <c r="D927" s="23"/>
      <c r="E927" s="23"/>
      <c r="F927" s="1"/>
      <c r="G927" s="23"/>
      <c r="H927" s="23"/>
      <c r="I927" s="23"/>
      <c r="J927" s="2"/>
      <c r="K927" s="2"/>
      <c r="L927" s="2"/>
      <c r="M927" s="2"/>
      <c r="O927" s="24"/>
    </row>
    <row r="928">
      <c r="A928" s="11"/>
      <c r="B928" s="23"/>
      <c r="C928" s="23"/>
      <c r="D928" s="23"/>
      <c r="E928" s="23"/>
      <c r="F928" s="1"/>
      <c r="G928" s="23"/>
      <c r="H928" s="23"/>
      <c r="I928" s="23"/>
      <c r="J928" s="2"/>
      <c r="K928" s="2"/>
      <c r="L928" s="2"/>
      <c r="M928" s="2"/>
      <c r="O928" s="24"/>
    </row>
    <row r="929">
      <c r="A929" s="11"/>
      <c r="B929" s="23"/>
      <c r="C929" s="23"/>
      <c r="D929" s="23"/>
      <c r="E929" s="23"/>
      <c r="F929" s="1"/>
      <c r="G929" s="23"/>
      <c r="H929" s="23"/>
      <c r="I929" s="23"/>
      <c r="J929" s="2"/>
      <c r="K929" s="2"/>
      <c r="L929" s="2"/>
      <c r="M929" s="2"/>
      <c r="O929" s="24"/>
    </row>
    <row r="930">
      <c r="A930" s="11"/>
      <c r="B930" s="23"/>
      <c r="C930" s="23"/>
      <c r="D930" s="23"/>
      <c r="E930" s="23"/>
      <c r="F930" s="1"/>
      <c r="G930" s="23"/>
      <c r="H930" s="23"/>
      <c r="I930" s="23"/>
      <c r="J930" s="2"/>
      <c r="K930" s="2"/>
      <c r="L930" s="2"/>
      <c r="M930" s="2"/>
      <c r="O930" s="24"/>
    </row>
    <row r="931">
      <c r="A931" s="11"/>
      <c r="B931" s="23"/>
      <c r="C931" s="23"/>
      <c r="D931" s="23"/>
      <c r="E931" s="23"/>
      <c r="F931" s="1"/>
      <c r="G931" s="23"/>
      <c r="H931" s="23"/>
      <c r="I931" s="23"/>
      <c r="J931" s="2"/>
      <c r="K931" s="2"/>
      <c r="L931" s="2"/>
      <c r="M931" s="2"/>
      <c r="O931" s="24"/>
    </row>
    <row r="932">
      <c r="A932" s="11"/>
      <c r="B932" s="23"/>
      <c r="C932" s="23"/>
      <c r="D932" s="23"/>
      <c r="E932" s="23"/>
      <c r="F932" s="1"/>
      <c r="G932" s="23"/>
      <c r="H932" s="23"/>
      <c r="I932" s="23"/>
      <c r="J932" s="2"/>
      <c r="K932" s="2"/>
      <c r="L932" s="2"/>
      <c r="M932" s="2"/>
      <c r="O932" s="24"/>
    </row>
    <row r="933">
      <c r="A933" s="11"/>
      <c r="B933" s="23"/>
      <c r="C933" s="23"/>
      <c r="D933" s="23"/>
      <c r="E933" s="23"/>
      <c r="F933" s="1"/>
      <c r="G933" s="23"/>
      <c r="H933" s="23"/>
      <c r="I933" s="23"/>
      <c r="J933" s="2"/>
      <c r="K933" s="2"/>
      <c r="L933" s="2"/>
      <c r="M933" s="2"/>
      <c r="O933" s="24"/>
    </row>
    <row r="934">
      <c r="A934" s="11"/>
      <c r="B934" s="23"/>
      <c r="C934" s="23"/>
      <c r="D934" s="23"/>
      <c r="E934" s="23"/>
      <c r="F934" s="1"/>
      <c r="G934" s="23"/>
      <c r="H934" s="23"/>
      <c r="I934" s="23"/>
      <c r="J934" s="2"/>
      <c r="K934" s="2"/>
      <c r="L934" s="2"/>
      <c r="M934" s="2"/>
      <c r="O934" s="24"/>
    </row>
    <row r="935">
      <c r="A935" s="11"/>
      <c r="B935" s="23"/>
      <c r="C935" s="23"/>
      <c r="D935" s="23"/>
      <c r="E935" s="23"/>
      <c r="F935" s="1"/>
      <c r="G935" s="23"/>
      <c r="H935" s="23"/>
      <c r="I935" s="23"/>
      <c r="J935" s="2"/>
      <c r="K935" s="2"/>
      <c r="L935" s="2"/>
      <c r="M935" s="2"/>
      <c r="O935" s="24"/>
    </row>
    <row r="936">
      <c r="A936" s="11"/>
      <c r="B936" s="23"/>
      <c r="C936" s="23"/>
      <c r="D936" s="23"/>
      <c r="E936" s="23"/>
      <c r="F936" s="1"/>
      <c r="G936" s="23"/>
      <c r="H936" s="23"/>
      <c r="I936" s="23"/>
      <c r="J936" s="2"/>
      <c r="K936" s="2"/>
      <c r="L936" s="2"/>
      <c r="M936" s="2"/>
      <c r="O936" s="24"/>
    </row>
    <row r="937">
      <c r="A937" s="11"/>
      <c r="B937" s="23"/>
      <c r="C937" s="23"/>
      <c r="D937" s="23"/>
      <c r="E937" s="23"/>
      <c r="F937" s="1"/>
      <c r="G937" s="23"/>
      <c r="H937" s="23"/>
      <c r="I937" s="23"/>
      <c r="J937" s="2"/>
      <c r="K937" s="2"/>
      <c r="L937" s="2"/>
      <c r="M937" s="2"/>
      <c r="O937" s="24"/>
    </row>
    <row r="938">
      <c r="A938" s="11"/>
      <c r="B938" s="23"/>
      <c r="C938" s="23"/>
      <c r="D938" s="23"/>
      <c r="E938" s="23"/>
      <c r="F938" s="1"/>
      <c r="G938" s="23"/>
      <c r="H938" s="23"/>
      <c r="I938" s="23"/>
      <c r="J938" s="2"/>
      <c r="K938" s="2"/>
      <c r="L938" s="2"/>
      <c r="M938" s="2"/>
      <c r="O938" s="24"/>
    </row>
    <row r="939">
      <c r="A939" s="11"/>
      <c r="B939" s="23"/>
      <c r="C939" s="23"/>
      <c r="D939" s="23"/>
      <c r="E939" s="23"/>
      <c r="F939" s="1"/>
      <c r="G939" s="23"/>
      <c r="H939" s="23"/>
      <c r="I939" s="23"/>
      <c r="J939" s="2"/>
      <c r="K939" s="2"/>
      <c r="L939" s="2"/>
      <c r="M939" s="2"/>
      <c r="O939" s="24"/>
    </row>
    <row r="940">
      <c r="A940" s="11"/>
      <c r="B940" s="23"/>
      <c r="C940" s="23"/>
      <c r="D940" s="23"/>
      <c r="E940" s="23"/>
      <c r="F940" s="1"/>
      <c r="G940" s="23"/>
      <c r="H940" s="23"/>
      <c r="I940" s="23"/>
      <c r="J940" s="2"/>
      <c r="K940" s="2"/>
      <c r="L940" s="2"/>
      <c r="M940" s="2"/>
      <c r="O940" s="24"/>
    </row>
    <row r="941">
      <c r="A941" s="11"/>
      <c r="B941" s="23"/>
      <c r="C941" s="23"/>
      <c r="D941" s="23"/>
      <c r="E941" s="23"/>
      <c r="F941" s="1"/>
      <c r="G941" s="23"/>
      <c r="H941" s="23"/>
      <c r="I941" s="23"/>
      <c r="J941" s="2"/>
      <c r="K941" s="2"/>
      <c r="L941" s="2"/>
      <c r="M941" s="2"/>
      <c r="O941" s="24"/>
    </row>
    <row r="942">
      <c r="A942" s="11"/>
      <c r="B942" s="23"/>
      <c r="C942" s="23"/>
      <c r="D942" s="23"/>
      <c r="E942" s="23"/>
      <c r="F942" s="1"/>
      <c r="G942" s="23"/>
      <c r="H942" s="23"/>
      <c r="I942" s="23"/>
      <c r="J942" s="2"/>
      <c r="K942" s="2"/>
      <c r="L942" s="2"/>
      <c r="M942" s="2"/>
      <c r="O942" s="24"/>
    </row>
    <row r="943">
      <c r="A943" s="11"/>
      <c r="B943" s="23"/>
      <c r="C943" s="23"/>
      <c r="D943" s="23"/>
      <c r="E943" s="23"/>
      <c r="F943" s="1"/>
      <c r="G943" s="23"/>
      <c r="H943" s="23"/>
      <c r="I943" s="23"/>
      <c r="J943" s="2"/>
      <c r="K943" s="2"/>
      <c r="L943" s="2"/>
      <c r="M943" s="2"/>
      <c r="O943" s="24"/>
    </row>
    <row r="944">
      <c r="A944" s="11"/>
      <c r="B944" s="23"/>
      <c r="C944" s="23"/>
      <c r="D944" s="23"/>
      <c r="E944" s="23"/>
      <c r="F944" s="1"/>
      <c r="G944" s="23"/>
      <c r="H944" s="23"/>
      <c r="I944" s="23"/>
      <c r="J944" s="2"/>
      <c r="K944" s="2"/>
      <c r="L944" s="2"/>
      <c r="M944" s="2"/>
      <c r="O944" s="24"/>
    </row>
    <row r="945">
      <c r="A945" s="11"/>
      <c r="B945" s="23"/>
      <c r="C945" s="23"/>
      <c r="D945" s="23"/>
      <c r="E945" s="23"/>
      <c r="F945" s="1"/>
      <c r="G945" s="23"/>
      <c r="H945" s="23"/>
      <c r="I945" s="23"/>
      <c r="J945" s="2"/>
      <c r="K945" s="2"/>
      <c r="L945" s="2"/>
      <c r="M945" s="2"/>
      <c r="O945" s="24"/>
    </row>
    <row r="946">
      <c r="A946" s="11"/>
      <c r="B946" s="23"/>
      <c r="C946" s="23"/>
      <c r="D946" s="23"/>
      <c r="E946" s="23"/>
      <c r="F946" s="1"/>
      <c r="G946" s="23"/>
      <c r="H946" s="23"/>
      <c r="I946" s="23"/>
      <c r="J946" s="2"/>
      <c r="K946" s="2"/>
      <c r="L946" s="2"/>
      <c r="M946" s="2"/>
      <c r="O946" s="24"/>
    </row>
    <row r="947">
      <c r="A947" s="11"/>
      <c r="B947" s="23"/>
      <c r="C947" s="23"/>
      <c r="D947" s="23"/>
      <c r="E947" s="23"/>
      <c r="F947" s="1"/>
      <c r="G947" s="23"/>
      <c r="H947" s="23"/>
      <c r="I947" s="23"/>
      <c r="J947" s="2"/>
      <c r="K947" s="2"/>
      <c r="L947" s="2"/>
      <c r="M947" s="2"/>
      <c r="O947" s="24"/>
    </row>
    <row r="948">
      <c r="A948" s="11"/>
      <c r="B948" s="23"/>
      <c r="C948" s="23"/>
      <c r="D948" s="23"/>
      <c r="E948" s="23"/>
      <c r="F948" s="1"/>
      <c r="G948" s="23"/>
      <c r="H948" s="23"/>
      <c r="I948" s="23"/>
      <c r="J948" s="2"/>
      <c r="K948" s="2"/>
      <c r="L948" s="2"/>
      <c r="M948" s="2"/>
      <c r="O948" s="24"/>
    </row>
    <row r="949">
      <c r="A949" s="11"/>
      <c r="B949" s="23"/>
      <c r="C949" s="23"/>
      <c r="D949" s="23"/>
      <c r="E949" s="23"/>
      <c r="F949" s="1"/>
      <c r="G949" s="23"/>
      <c r="H949" s="23"/>
      <c r="I949" s="23"/>
      <c r="J949" s="2"/>
      <c r="K949" s="2"/>
      <c r="L949" s="2"/>
      <c r="M949" s="2"/>
      <c r="O949" s="24"/>
    </row>
    <row r="950">
      <c r="A950" s="11"/>
      <c r="B950" s="23"/>
      <c r="C950" s="23"/>
      <c r="D950" s="23"/>
      <c r="E950" s="23"/>
      <c r="F950" s="1"/>
      <c r="G950" s="23"/>
      <c r="H950" s="23"/>
      <c r="I950" s="23"/>
      <c r="J950" s="2"/>
      <c r="K950" s="2"/>
      <c r="L950" s="2"/>
      <c r="M950" s="2"/>
      <c r="O950" s="24"/>
    </row>
    <row r="951">
      <c r="A951" s="11"/>
      <c r="B951" s="23"/>
      <c r="C951" s="23"/>
      <c r="D951" s="23"/>
      <c r="E951" s="23"/>
      <c r="F951" s="1"/>
      <c r="G951" s="23"/>
      <c r="H951" s="23"/>
      <c r="I951" s="23"/>
      <c r="J951" s="2"/>
      <c r="K951" s="2"/>
      <c r="L951" s="2"/>
      <c r="M951" s="2"/>
      <c r="O951" s="24"/>
    </row>
    <row r="952">
      <c r="A952" s="11"/>
      <c r="B952" s="23"/>
      <c r="C952" s="23"/>
      <c r="D952" s="23"/>
      <c r="E952" s="23"/>
      <c r="F952" s="1"/>
      <c r="G952" s="23"/>
      <c r="H952" s="23"/>
      <c r="I952" s="23"/>
      <c r="J952" s="2"/>
      <c r="K952" s="2"/>
      <c r="L952" s="2"/>
      <c r="M952" s="2"/>
      <c r="O952" s="24"/>
    </row>
    <row r="953">
      <c r="A953" s="11"/>
      <c r="B953" s="23"/>
      <c r="C953" s="23"/>
      <c r="D953" s="23"/>
      <c r="E953" s="23"/>
      <c r="F953" s="1"/>
      <c r="G953" s="23"/>
      <c r="H953" s="23"/>
      <c r="I953" s="23"/>
      <c r="J953" s="2"/>
      <c r="K953" s="2"/>
      <c r="L953" s="2"/>
      <c r="M953" s="2"/>
      <c r="O953" s="24"/>
    </row>
    <row r="954">
      <c r="A954" s="11"/>
      <c r="B954" s="23"/>
      <c r="C954" s="23"/>
      <c r="D954" s="23"/>
      <c r="E954" s="23"/>
      <c r="F954" s="1"/>
      <c r="G954" s="23"/>
      <c r="H954" s="23"/>
      <c r="I954" s="23"/>
      <c r="J954" s="2"/>
      <c r="K954" s="2"/>
      <c r="L954" s="2"/>
      <c r="M954" s="2"/>
      <c r="O954" s="24"/>
    </row>
    <row r="955">
      <c r="A955" s="11"/>
      <c r="B955" s="23"/>
      <c r="C955" s="23"/>
      <c r="D955" s="23"/>
      <c r="E955" s="23"/>
      <c r="F955" s="1"/>
      <c r="G955" s="23"/>
      <c r="H955" s="23"/>
      <c r="I955" s="23"/>
      <c r="J955" s="2"/>
      <c r="K955" s="2"/>
      <c r="L955" s="2"/>
      <c r="M955" s="2"/>
      <c r="O955" s="24"/>
    </row>
    <row r="956">
      <c r="A956" s="11"/>
      <c r="B956" s="23"/>
      <c r="C956" s="23"/>
      <c r="D956" s="23"/>
      <c r="E956" s="23"/>
      <c r="F956" s="1"/>
      <c r="G956" s="23"/>
      <c r="H956" s="23"/>
      <c r="I956" s="23"/>
      <c r="J956" s="2"/>
      <c r="K956" s="2"/>
      <c r="L956" s="2"/>
      <c r="M956" s="2"/>
      <c r="O956" s="24"/>
    </row>
    <row r="957">
      <c r="A957" s="11"/>
      <c r="B957" s="23"/>
      <c r="C957" s="23"/>
      <c r="D957" s="23"/>
      <c r="E957" s="23"/>
      <c r="F957" s="1"/>
      <c r="G957" s="23"/>
      <c r="H957" s="23"/>
      <c r="I957" s="23"/>
      <c r="J957" s="2"/>
      <c r="K957" s="2"/>
      <c r="L957" s="2"/>
      <c r="M957" s="2"/>
      <c r="O957" s="24"/>
    </row>
    <row r="958">
      <c r="A958" s="11"/>
      <c r="B958" s="23"/>
      <c r="C958" s="23"/>
      <c r="D958" s="23"/>
      <c r="E958" s="23"/>
      <c r="F958" s="1"/>
      <c r="G958" s="23"/>
      <c r="H958" s="23"/>
      <c r="I958" s="23"/>
      <c r="J958" s="2"/>
      <c r="K958" s="2"/>
      <c r="L958" s="2"/>
      <c r="M958" s="2"/>
      <c r="O958" s="24"/>
    </row>
    <row r="959">
      <c r="A959" s="11"/>
      <c r="B959" s="23"/>
      <c r="C959" s="23"/>
      <c r="D959" s="23"/>
      <c r="E959" s="23"/>
      <c r="F959" s="1"/>
      <c r="G959" s="23"/>
      <c r="H959" s="23"/>
      <c r="I959" s="23"/>
      <c r="J959" s="2"/>
      <c r="K959" s="2"/>
      <c r="L959" s="2"/>
      <c r="M959" s="2"/>
      <c r="O959" s="24"/>
    </row>
    <row r="960">
      <c r="A960" s="11"/>
      <c r="B960" s="23"/>
      <c r="C960" s="23"/>
      <c r="D960" s="23"/>
      <c r="E960" s="23"/>
      <c r="F960" s="1"/>
      <c r="G960" s="23"/>
      <c r="H960" s="23"/>
      <c r="I960" s="23"/>
      <c r="J960" s="2"/>
      <c r="K960" s="2"/>
      <c r="L960" s="2"/>
      <c r="M960" s="2"/>
      <c r="O960" s="24"/>
    </row>
    <row r="961">
      <c r="A961" s="11"/>
      <c r="B961" s="23"/>
      <c r="C961" s="23"/>
      <c r="D961" s="23"/>
      <c r="E961" s="23"/>
      <c r="F961" s="1"/>
      <c r="G961" s="23"/>
      <c r="H961" s="23"/>
      <c r="I961" s="23"/>
      <c r="J961" s="2"/>
      <c r="K961" s="2"/>
      <c r="L961" s="2"/>
      <c r="M961" s="2"/>
      <c r="O961" s="24"/>
    </row>
    <row r="962">
      <c r="A962" s="11"/>
      <c r="B962" s="23"/>
      <c r="C962" s="23"/>
      <c r="D962" s="23"/>
      <c r="E962" s="23"/>
      <c r="F962" s="1"/>
      <c r="G962" s="23"/>
      <c r="H962" s="23"/>
      <c r="I962" s="23"/>
      <c r="J962" s="2"/>
      <c r="K962" s="2"/>
      <c r="L962" s="2"/>
      <c r="M962" s="2"/>
      <c r="O962" s="24"/>
    </row>
    <row r="963">
      <c r="A963" s="11"/>
      <c r="B963" s="23"/>
      <c r="C963" s="23"/>
      <c r="D963" s="23"/>
      <c r="E963" s="23"/>
      <c r="F963" s="1"/>
      <c r="G963" s="23"/>
      <c r="H963" s="23"/>
      <c r="I963" s="23"/>
      <c r="J963" s="2"/>
      <c r="K963" s="2"/>
      <c r="L963" s="2"/>
      <c r="M963" s="2"/>
      <c r="O963" s="24"/>
    </row>
    <row r="964">
      <c r="A964" s="11"/>
      <c r="B964" s="23"/>
      <c r="C964" s="23"/>
      <c r="D964" s="23"/>
      <c r="E964" s="23"/>
      <c r="F964" s="1"/>
      <c r="G964" s="23"/>
      <c r="H964" s="23"/>
      <c r="I964" s="23"/>
      <c r="J964" s="2"/>
      <c r="K964" s="2"/>
      <c r="L964" s="2"/>
      <c r="M964" s="2"/>
      <c r="O964" s="24"/>
    </row>
    <row r="965">
      <c r="A965" s="11"/>
      <c r="B965" s="23"/>
      <c r="C965" s="23"/>
      <c r="D965" s="23"/>
      <c r="E965" s="23"/>
      <c r="F965" s="1"/>
      <c r="G965" s="23"/>
      <c r="H965" s="23"/>
      <c r="I965" s="23"/>
      <c r="J965" s="2"/>
      <c r="K965" s="2"/>
      <c r="L965" s="2"/>
      <c r="M965" s="2"/>
      <c r="O965" s="24"/>
    </row>
    <row r="966">
      <c r="A966" s="11"/>
      <c r="B966" s="23"/>
      <c r="C966" s="23"/>
      <c r="D966" s="23"/>
      <c r="E966" s="23"/>
      <c r="F966" s="1"/>
      <c r="G966" s="23"/>
      <c r="H966" s="23"/>
      <c r="I966" s="23"/>
      <c r="J966" s="2"/>
      <c r="K966" s="2"/>
      <c r="L966" s="2"/>
      <c r="M966" s="2"/>
      <c r="O966" s="24"/>
    </row>
    <row r="967">
      <c r="A967" s="11"/>
      <c r="B967" s="23"/>
      <c r="C967" s="23"/>
      <c r="D967" s="23"/>
      <c r="E967" s="23"/>
      <c r="F967" s="1"/>
      <c r="G967" s="23"/>
      <c r="H967" s="23"/>
      <c r="I967" s="23"/>
      <c r="J967" s="2"/>
      <c r="K967" s="2"/>
      <c r="L967" s="2"/>
      <c r="M967" s="2"/>
      <c r="O967" s="24"/>
    </row>
    <row r="968">
      <c r="A968" s="11"/>
      <c r="B968" s="23"/>
      <c r="C968" s="23"/>
      <c r="D968" s="23"/>
      <c r="E968" s="23"/>
      <c r="F968" s="1"/>
      <c r="G968" s="23"/>
      <c r="H968" s="23"/>
      <c r="I968" s="23"/>
      <c r="J968" s="2"/>
      <c r="K968" s="2"/>
      <c r="L968" s="2"/>
      <c r="M968" s="2"/>
      <c r="O968" s="24"/>
    </row>
    <row r="969">
      <c r="A969" s="11"/>
      <c r="B969" s="23"/>
      <c r="C969" s="23"/>
      <c r="D969" s="23"/>
      <c r="E969" s="23"/>
      <c r="F969" s="1"/>
      <c r="G969" s="23"/>
      <c r="H969" s="23"/>
      <c r="I969" s="23"/>
      <c r="J969" s="2"/>
      <c r="K969" s="2"/>
      <c r="L969" s="2"/>
      <c r="M969" s="2"/>
      <c r="O969" s="24"/>
    </row>
    <row r="970">
      <c r="A970" s="11"/>
      <c r="B970" s="23"/>
      <c r="C970" s="23"/>
      <c r="D970" s="23"/>
      <c r="E970" s="23"/>
      <c r="F970" s="1"/>
      <c r="G970" s="23"/>
      <c r="H970" s="23"/>
      <c r="I970" s="23"/>
      <c r="J970" s="2"/>
      <c r="K970" s="2"/>
      <c r="L970" s="2"/>
      <c r="M970" s="2"/>
      <c r="O970" s="24"/>
    </row>
    <row r="971">
      <c r="A971" s="11"/>
      <c r="B971" s="23"/>
      <c r="C971" s="23"/>
      <c r="D971" s="23"/>
      <c r="E971" s="23"/>
      <c r="F971" s="1"/>
      <c r="G971" s="23"/>
      <c r="H971" s="23"/>
      <c r="I971" s="23"/>
      <c r="J971" s="2"/>
      <c r="K971" s="2"/>
      <c r="L971" s="2"/>
      <c r="M971" s="2"/>
      <c r="O971" s="24"/>
    </row>
    <row r="972">
      <c r="A972" s="11"/>
      <c r="B972" s="23"/>
      <c r="C972" s="23"/>
      <c r="D972" s="23"/>
      <c r="E972" s="23"/>
      <c r="F972" s="1"/>
      <c r="G972" s="23"/>
      <c r="H972" s="23"/>
      <c r="I972" s="23"/>
      <c r="J972" s="2"/>
      <c r="K972" s="2"/>
      <c r="L972" s="2"/>
      <c r="M972" s="2"/>
      <c r="O972" s="24"/>
    </row>
    <row r="973">
      <c r="A973" s="11"/>
      <c r="B973" s="23"/>
      <c r="C973" s="23"/>
      <c r="D973" s="23"/>
      <c r="E973" s="23"/>
      <c r="F973" s="1"/>
      <c r="G973" s="23"/>
      <c r="H973" s="23"/>
      <c r="I973" s="23"/>
      <c r="J973" s="2"/>
      <c r="K973" s="2"/>
      <c r="L973" s="2"/>
      <c r="M973" s="2"/>
      <c r="O973" s="24"/>
    </row>
    <row r="974">
      <c r="A974" s="11"/>
      <c r="B974" s="23"/>
      <c r="C974" s="23"/>
      <c r="D974" s="23"/>
      <c r="E974" s="23"/>
      <c r="F974" s="1"/>
      <c r="G974" s="23"/>
      <c r="H974" s="23"/>
      <c r="I974" s="23"/>
      <c r="J974" s="2"/>
      <c r="K974" s="2"/>
      <c r="L974" s="2"/>
      <c r="M974" s="2"/>
      <c r="O974" s="24"/>
    </row>
    <row r="975">
      <c r="A975" s="11"/>
      <c r="B975" s="23"/>
      <c r="C975" s="23"/>
      <c r="D975" s="23"/>
      <c r="E975" s="23"/>
      <c r="F975" s="1"/>
      <c r="G975" s="23"/>
      <c r="H975" s="23"/>
      <c r="I975" s="23"/>
      <c r="J975" s="2"/>
      <c r="K975" s="2"/>
      <c r="L975" s="2"/>
      <c r="M975" s="2"/>
      <c r="O975" s="24"/>
    </row>
    <row r="976">
      <c r="A976" s="11"/>
      <c r="B976" s="23"/>
      <c r="C976" s="23"/>
      <c r="D976" s="23"/>
      <c r="E976" s="23"/>
      <c r="F976" s="1"/>
      <c r="G976" s="23"/>
      <c r="H976" s="23"/>
      <c r="I976" s="23"/>
      <c r="J976" s="2"/>
      <c r="K976" s="2"/>
      <c r="L976" s="2"/>
      <c r="M976" s="2"/>
      <c r="O976" s="24"/>
    </row>
    <row r="977">
      <c r="A977" s="11"/>
      <c r="B977" s="23"/>
      <c r="C977" s="23"/>
      <c r="D977" s="23"/>
      <c r="E977" s="23"/>
      <c r="F977" s="1"/>
      <c r="G977" s="23"/>
      <c r="H977" s="23"/>
      <c r="I977" s="23"/>
      <c r="J977" s="2"/>
      <c r="K977" s="2"/>
      <c r="L977" s="2"/>
      <c r="M977" s="2"/>
      <c r="O977" s="24"/>
    </row>
    <row r="978">
      <c r="A978" s="11"/>
      <c r="B978" s="23"/>
      <c r="C978" s="23"/>
      <c r="D978" s="23"/>
      <c r="E978" s="23"/>
      <c r="F978" s="1"/>
      <c r="G978" s="23"/>
      <c r="H978" s="23"/>
      <c r="I978" s="23"/>
      <c r="J978" s="2"/>
      <c r="K978" s="2"/>
      <c r="L978" s="2"/>
      <c r="M978" s="2"/>
      <c r="O978" s="24"/>
    </row>
    <row r="979">
      <c r="A979" s="11"/>
      <c r="B979" s="23"/>
      <c r="C979" s="23"/>
      <c r="D979" s="23"/>
      <c r="E979" s="23"/>
      <c r="F979" s="1"/>
      <c r="G979" s="23"/>
      <c r="H979" s="23"/>
      <c r="I979" s="23"/>
      <c r="J979" s="2"/>
      <c r="K979" s="2"/>
      <c r="L979" s="2"/>
      <c r="M979" s="2"/>
      <c r="O979" s="24"/>
    </row>
    <row r="980">
      <c r="A980" s="11"/>
      <c r="B980" s="23"/>
      <c r="C980" s="23"/>
      <c r="D980" s="23"/>
      <c r="E980" s="23"/>
      <c r="F980" s="1"/>
      <c r="G980" s="23"/>
      <c r="H980" s="23"/>
      <c r="I980" s="23"/>
      <c r="J980" s="2"/>
      <c r="K980" s="2"/>
      <c r="L980" s="2"/>
      <c r="M980" s="2"/>
      <c r="O980" s="24"/>
    </row>
    <row r="981">
      <c r="A981" s="11"/>
      <c r="B981" s="23"/>
      <c r="C981" s="23"/>
      <c r="D981" s="23"/>
      <c r="E981" s="23"/>
      <c r="F981" s="1"/>
      <c r="G981" s="23"/>
      <c r="H981" s="23"/>
      <c r="I981" s="23"/>
      <c r="J981" s="2"/>
      <c r="K981" s="2"/>
      <c r="L981" s="2"/>
      <c r="M981" s="2"/>
      <c r="O981" s="24"/>
    </row>
    <row r="982">
      <c r="A982" s="11"/>
      <c r="B982" s="23"/>
      <c r="C982" s="23"/>
      <c r="D982" s="23"/>
      <c r="E982" s="23"/>
      <c r="F982" s="1"/>
      <c r="G982" s="23"/>
      <c r="H982" s="23"/>
      <c r="I982" s="23"/>
      <c r="J982" s="2"/>
      <c r="K982" s="2"/>
      <c r="L982" s="2"/>
      <c r="M982" s="2"/>
      <c r="O982" s="24"/>
    </row>
    <row r="983">
      <c r="A983" s="11"/>
      <c r="B983" s="23"/>
      <c r="C983" s="23"/>
      <c r="D983" s="23"/>
      <c r="E983" s="23"/>
      <c r="F983" s="1"/>
      <c r="G983" s="23"/>
      <c r="H983" s="23"/>
      <c r="I983" s="23"/>
      <c r="J983" s="2"/>
      <c r="K983" s="2"/>
      <c r="L983" s="2"/>
      <c r="M983" s="2"/>
      <c r="O983" s="24"/>
    </row>
    <row r="984">
      <c r="A984" s="11"/>
      <c r="B984" s="23"/>
      <c r="C984" s="23"/>
      <c r="D984" s="23"/>
      <c r="E984" s="23"/>
      <c r="F984" s="1"/>
      <c r="G984" s="23"/>
      <c r="H984" s="23"/>
      <c r="I984" s="23"/>
      <c r="J984" s="2"/>
      <c r="K984" s="2"/>
      <c r="L984" s="2"/>
      <c r="M984" s="2"/>
      <c r="O984" s="24"/>
    </row>
    <row r="985">
      <c r="A985" s="11"/>
      <c r="B985" s="23"/>
      <c r="C985" s="23"/>
      <c r="D985" s="23"/>
      <c r="E985" s="23"/>
      <c r="F985" s="1"/>
      <c r="G985" s="23"/>
      <c r="H985" s="23"/>
      <c r="I985" s="23"/>
      <c r="J985" s="2"/>
      <c r="K985" s="2"/>
      <c r="L985" s="2"/>
      <c r="M985" s="2"/>
      <c r="O985" s="24"/>
    </row>
    <row r="986">
      <c r="A986" s="11"/>
      <c r="B986" s="23"/>
      <c r="C986" s="23"/>
      <c r="D986" s="23"/>
      <c r="E986" s="23"/>
      <c r="F986" s="1"/>
      <c r="G986" s="23"/>
      <c r="H986" s="23"/>
      <c r="I986" s="23"/>
      <c r="J986" s="2"/>
      <c r="K986" s="2"/>
      <c r="L986" s="2"/>
      <c r="M986" s="2"/>
      <c r="O986" s="24"/>
    </row>
    <row r="987">
      <c r="A987" s="11"/>
      <c r="B987" s="23"/>
      <c r="C987" s="23"/>
      <c r="D987" s="23"/>
      <c r="E987" s="23"/>
      <c r="F987" s="1"/>
      <c r="G987" s="23"/>
      <c r="H987" s="23"/>
      <c r="I987" s="23"/>
      <c r="J987" s="2"/>
      <c r="K987" s="2"/>
      <c r="L987" s="2"/>
      <c r="M987" s="2"/>
      <c r="O987" s="24"/>
    </row>
    <row r="988">
      <c r="A988" s="11"/>
      <c r="B988" s="23"/>
      <c r="C988" s="23"/>
      <c r="D988" s="23"/>
      <c r="E988" s="23"/>
      <c r="F988" s="1"/>
      <c r="G988" s="23"/>
      <c r="H988" s="23"/>
      <c r="I988" s="23"/>
      <c r="J988" s="2"/>
      <c r="K988" s="2"/>
      <c r="L988" s="2"/>
      <c r="M988" s="2"/>
      <c r="O988" s="24"/>
    </row>
    <row r="989">
      <c r="A989" s="11"/>
      <c r="B989" s="23"/>
      <c r="C989" s="23"/>
      <c r="D989" s="23"/>
      <c r="E989" s="23"/>
      <c r="F989" s="1"/>
      <c r="G989" s="23"/>
      <c r="H989" s="23"/>
      <c r="I989" s="23"/>
      <c r="J989" s="2"/>
      <c r="K989" s="2"/>
      <c r="L989" s="2"/>
      <c r="M989" s="2"/>
      <c r="O989" s="24"/>
    </row>
    <row r="990">
      <c r="A990" s="11"/>
      <c r="B990" s="23"/>
      <c r="C990" s="23"/>
      <c r="D990" s="23"/>
      <c r="E990" s="23"/>
      <c r="F990" s="1"/>
      <c r="G990" s="23"/>
      <c r="H990" s="23"/>
      <c r="I990" s="23"/>
      <c r="J990" s="2"/>
      <c r="K990" s="2"/>
      <c r="L990" s="2"/>
      <c r="M990" s="2"/>
      <c r="O990" s="24"/>
    </row>
    <row r="991">
      <c r="A991" s="11"/>
      <c r="B991" s="23"/>
      <c r="C991" s="23"/>
      <c r="D991" s="23"/>
      <c r="E991" s="23"/>
      <c r="F991" s="1"/>
      <c r="G991" s="23"/>
      <c r="H991" s="23"/>
      <c r="I991" s="23"/>
      <c r="J991" s="2"/>
      <c r="K991" s="2"/>
      <c r="L991" s="2"/>
      <c r="M991" s="2"/>
      <c r="O991" s="24"/>
    </row>
    <row r="992">
      <c r="A992" s="11"/>
      <c r="B992" s="23"/>
      <c r="C992" s="23"/>
      <c r="D992" s="23"/>
      <c r="E992" s="23"/>
      <c r="F992" s="1"/>
      <c r="G992" s="23"/>
      <c r="H992" s="23"/>
      <c r="I992" s="23"/>
      <c r="J992" s="2"/>
      <c r="K992" s="2"/>
      <c r="L992" s="2"/>
      <c r="M992" s="2"/>
      <c r="O992" s="24"/>
    </row>
    <row r="993">
      <c r="A993" s="11"/>
      <c r="B993" s="23"/>
      <c r="C993" s="23"/>
      <c r="D993" s="23"/>
      <c r="E993" s="23"/>
      <c r="F993" s="1"/>
      <c r="G993" s="23"/>
      <c r="H993" s="23"/>
      <c r="I993" s="23"/>
      <c r="J993" s="2"/>
      <c r="K993" s="2"/>
      <c r="L993" s="2"/>
      <c r="M993" s="2"/>
      <c r="O993" s="24"/>
    </row>
    <row r="994">
      <c r="A994" s="11"/>
      <c r="B994" s="23"/>
      <c r="C994" s="23"/>
      <c r="D994" s="23"/>
      <c r="E994" s="23"/>
      <c r="F994" s="1"/>
      <c r="G994" s="23"/>
      <c r="H994" s="23"/>
      <c r="I994" s="23"/>
      <c r="J994" s="2"/>
      <c r="K994" s="2"/>
      <c r="L994" s="2"/>
      <c r="M994" s="2"/>
      <c r="O994" s="24"/>
    </row>
    <row r="995">
      <c r="A995" s="11"/>
      <c r="B995" s="23"/>
      <c r="C995" s="23"/>
      <c r="D995" s="23"/>
      <c r="E995" s="23"/>
      <c r="F995" s="1"/>
      <c r="G995" s="23"/>
      <c r="H995" s="23"/>
      <c r="I995" s="23"/>
      <c r="J995" s="2"/>
      <c r="K995" s="2"/>
      <c r="L995" s="2"/>
      <c r="M995" s="2"/>
      <c r="O995" s="24"/>
    </row>
    <row r="996">
      <c r="A996" s="11"/>
      <c r="B996" s="23"/>
      <c r="C996" s="23"/>
      <c r="D996" s="23"/>
      <c r="E996" s="23"/>
      <c r="F996" s="1"/>
      <c r="G996" s="23"/>
      <c r="H996" s="23"/>
      <c r="I996" s="23"/>
      <c r="J996" s="2"/>
      <c r="K996" s="2"/>
      <c r="L996" s="2"/>
      <c r="M996" s="2"/>
      <c r="O996" s="24"/>
    </row>
    <row r="997">
      <c r="A997" s="11"/>
      <c r="B997" s="23"/>
      <c r="C997" s="23"/>
      <c r="D997" s="23"/>
      <c r="E997" s="23"/>
      <c r="F997" s="1"/>
      <c r="G997" s="23"/>
      <c r="H997" s="23"/>
      <c r="I997" s="23"/>
      <c r="J997" s="2"/>
      <c r="K997" s="2"/>
      <c r="L997" s="2"/>
      <c r="M997" s="2"/>
      <c r="O997" s="24"/>
    </row>
    <row r="998">
      <c r="A998" s="11"/>
      <c r="B998" s="23"/>
      <c r="C998" s="23"/>
      <c r="D998" s="23"/>
      <c r="E998" s="23"/>
      <c r="F998" s="1"/>
      <c r="G998" s="23"/>
      <c r="H998" s="23"/>
      <c r="I998" s="23"/>
      <c r="J998" s="2"/>
      <c r="K998" s="2"/>
      <c r="L998" s="2"/>
      <c r="M998" s="2"/>
      <c r="O998" s="24"/>
    </row>
    <row r="999">
      <c r="A999" s="11"/>
      <c r="B999" s="23"/>
      <c r="C999" s="23"/>
      <c r="D999" s="23"/>
      <c r="E999" s="23"/>
      <c r="F999" s="1"/>
      <c r="G999" s="23"/>
      <c r="H999" s="23"/>
      <c r="I999" s="23"/>
      <c r="J999" s="2"/>
      <c r="K999" s="2"/>
      <c r="L999" s="2"/>
      <c r="M999" s="2"/>
      <c r="O999" s="24"/>
    </row>
    <row r="1000">
      <c r="A1000" s="11"/>
      <c r="B1000" s="23"/>
      <c r="C1000" s="23"/>
      <c r="D1000" s="23"/>
      <c r="E1000" s="23"/>
      <c r="F1000" s="1"/>
      <c r="G1000" s="23"/>
      <c r="H1000" s="23"/>
      <c r="I1000" s="23"/>
      <c r="J1000" s="2"/>
      <c r="K1000" s="2"/>
      <c r="L1000" s="2"/>
      <c r="M1000" s="2"/>
      <c r="O1000" s="24"/>
    </row>
    <row r="1001">
      <c r="A1001" s="11"/>
      <c r="B1001" s="23"/>
      <c r="C1001" s="23"/>
      <c r="D1001" s="23"/>
      <c r="E1001" s="23"/>
      <c r="F1001" s="1"/>
      <c r="G1001" s="23"/>
      <c r="H1001" s="23"/>
      <c r="I1001" s="23"/>
      <c r="J1001" s="2"/>
      <c r="K1001" s="2"/>
      <c r="L1001" s="2"/>
      <c r="M1001" s="2"/>
      <c r="O1001" s="24"/>
    </row>
    <row r="1002">
      <c r="A1002" s="11"/>
      <c r="B1002" s="23"/>
      <c r="C1002" s="23"/>
      <c r="D1002" s="23"/>
      <c r="E1002" s="23"/>
      <c r="F1002" s="1"/>
      <c r="G1002" s="23"/>
      <c r="H1002" s="23"/>
      <c r="I1002" s="23"/>
      <c r="J1002" s="2"/>
      <c r="K1002" s="2"/>
      <c r="L1002" s="2"/>
      <c r="M1002" s="2"/>
      <c r="O1002" s="24"/>
    </row>
    <row r="1003">
      <c r="A1003" s="11"/>
      <c r="B1003" s="23"/>
      <c r="C1003" s="23"/>
      <c r="D1003" s="23"/>
      <c r="E1003" s="23"/>
      <c r="F1003" s="1"/>
      <c r="G1003" s="23"/>
      <c r="H1003" s="23"/>
      <c r="I1003" s="23"/>
      <c r="J1003" s="2"/>
      <c r="K1003" s="2"/>
      <c r="L1003" s="2"/>
      <c r="M1003" s="2"/>
      <c r="O1003" s="24"/>
    </row>
    <row r="1004">
      <c r="A1004" s="11"/>
      <c r="B1004" s="23"/>
      <c r="C1004" s="23"/>
      <c r="D1004" s="23"/>
      <c r="E1004" s="23"/>
      <c r="F1004" s="1"/>
      <c r="G1004" s="23"/>
      <c r="H1004" s="23"/>
      <c r="I1004" s="23"/>
      <c r="J1004" s="2"/>
      <c r="K1004" s="2"/>
      <c r="L1004" s="2"/>
      <c r="M1004" s="2"/>
      <c r="O1004" s="24"/>
    </row>
    <row r="1005">
      <c r="A1005" s="11"/>
      <c r="B1005" s="23"/>
      <c r="C1005" s="23"/>
      <c r="D1005" s="23"/>
      <c r="E1005" s="23"/>
      <c r="F1005" s="1"/>
      <c r="G1005" s="23"/>
      <c r="H1005" s="23"/>
      <c r="I1005" s="23"/>
      <c r="J1005" s="2"/>
      <c r="K1005" s="2"/>
      <c r="L1005" s="2"/>
      <c r="M1005" s="2"/>
      <c r="O1005" s="24"/>
    </row>
    <row r="1006">
      <c r="A1006" s="11"/>
      <c r="B1006" s="23"/>
      <c r="C1006" s="23"/>
      <c r="D1006" s="23"/>
      <c r="E1006" s="23"/>
      <c r="F1006" s="1"/>
      <c r="G1006" s="23"/>
      <c r="H1006" s="23"/>
      <c r="I1006" s="23"/>
      <c r="J1006" s="2"/>
      <c r="K1006" s="2"/>
      <c r="L1006" s="2"/>
      <c r="M1006" s="2"/>
      <c r="O1006" s="24"/>
    </row>
    <row r="1007">
      <c r="A1007" s="11"/>
      <c r="B1007" s="23"/>
      <c r="C1007" s="23"/>
      <c r="D1007" s="23"/>
      <c r="E1007" s="23"/>
      <c r="F1007" s="1"/>
      <c r="G1007" s="23"/>
      <c r="H1007" s="23"/>
      <c r="I1007" s="23"/>
      <c r="J1007" s="2"/>
      <c r="K1007" s="2"/>
      <c r="L1007" s="2"/>
      <c r="M1007" s="2"/>
      <c r="O1007" s="24"/>
    </row>
    <row r="1008">
      <c r="A1008" s="11"/>
      <c r="B1008" s="23"/>
      <c r="C1008" s="23"/>
      <c r="D1008" s="23"/>
      <c r="E1008" s="23"/>
      <c r="F1008" s="1"/>
      <c r="G1008" s="23"/>
      <c r="H1008" s="23"/>
      <c r="I1008" s="23"/>
      <c r="J1008" s="2"/>
      <c r="K1008" s="2"/>
      <c r="L1008" s="2"/>
      <c r="M1008" s="2"/>
      <c r="O1008" s="24"/>
    </row>
    <row r="1009">
      <c r="A1009" s="11"/>
      <c r="B1009" s="23"/>
      <c r="C1009" s="23"/>
      <c r="D1009" s="23"/>
      <c r="E1009" s="23"/>
      <c r="F1009" s="1"/>
      <c r="G1009" s="23"/>
      <c r="H1009" s="23"/>
      <c r="I1009" s="23"/>
      <c r="J1009" s="2"/>
      <c r="K1009" s="2"/>
      <c r="L1009" s="2"/>
      <c r="M1009" s="2"/>
      <c r="O1009" s="24"/>
    </row>
    <row r="1010">
      <c r="A1010" s="11"/>
      <c r="B1010" s="23"/>
      <c r="C1010" s="23"/>
      <c r="D1010" s="23"/>
      <c r="E1010" s="23"/>
      <c r="F1010" s="1"/>
      <c r="G1010" s="23"/>
      <c r="H1010" s="23"/>
      <c r="I1010" s="23"/>
      <c r="J1010" s="2"/>
      <c r="K1010" s="2"/>
      <c r="L1010" s="2"/>
      <c r="M1010" s="2"/>
      <c r="O1010" s="24"/>
    </row>
    <row r="1011">
      <c r="A1011" s="11"/>
      <c r="B1011" s="23"/>
      <c r="C1011" s="23"/>
      <c r="D1011" s="23"/>
      <c r="E1011" s="23"/>
      <c r="F1011" s="1"/>
      <c r="G1011" s="23"/>
      <c r="H1011" s="23"/>
      <c r="I1011" s="23"/>
      <c r="J1011" s="2"/>
      <c r="K1011" s="2"/>
      <c r="L1011" s="2"/>
      <c r="M1011" s="2"/>
      <c r="O1011" s="24"/>
    </row>
    <row r="1012">
      <c r="A1012" s="11"/>
      <c r="B1012" s="23"/>
      <c r="C1012" s="23"/>
      <c r="D1012" s="23"/>
      <c r="E1012" s="23"/>
      <c r="F1012" s="1"/>
      <c r="G1012" s="23"/>
      <c r="H1012" s="23"/>
      <c r="I1012" s="23"/>
      <c r="J1012" s="2"/>
      <c r="K1012" s="2"/>
      <c r="L1012" s="2"/>
      <c r="M1012" s="2"/>
      <c r="O1012" s="24"/>
    </row>
    <row r="1013">
      <c r="A1013" s="11"/>
      <c r="B1013" s="23"/>
      <c r="C1013" s="23"/>
      <c r="D1013" s="23"/>
      <c r="E1013" s="23"/>
      <c r="F1013" s="1"/>
      <c r="G1013" s="23"/>
      <c r="H1013" s="23"/>
      <c r="I1013" s="23"/>
      <c r="J1013" s="2"/>
      <c r="K1013" s="2"/>
      <c r="L1013" s="2"/>
      <c r="M1013" s="2"/>
      <c r="O1013" s="24"/>
    </row>
    <row r="1014">
      <c r="A1014" s="11"/>
      <c r="B1014" s="23"/>
      <c r="C1014" s="23"/>
      <c r="D1014" s="23"/>
      <c r="E1014" s="23"/>
      <c r="F1014" s="1"/>
      <c r="G1014" s="23"/>
      <c r="H1014" s="23"/>
      <c r="I1014" s="23"/>
      <c r="J1014" s="2"/>
      <c r="K1014" s="2"/>
      <c r="L1014" s="2"/>
      <c r="M1014" s="2"/>
      <c r="O1014" s="24"/>
    </row>
    <row r="1015">
      <c r="A1015" s="11"/>
      <c r="B1015" s="23"/>
      <c r="C1015" s="23"/>
      <c r="D1015" s="23"/>
      <c r="E1015" s="23"/>
      <c r="F1015" s="1"/>
      <c r="G1015" s="23"/>
      <c r="H1015" s="23"/>
      <c r="I1015" s="23"/>
      <c r="J1015" s="2"/>
      <c r="K1015" s="2"/>
      <c r="L1015" s="2"/>
      <c r="M1015" s="2"/>
      <c r="O1015" s="24"/>
    </row>
    <row r="1016">
      <c r="A1016" s="11"/>
      <c r="B1016" s="23"/>
      <c r="C1016" s="23"/>
      <c r="D1016" s="23"/>
      <c r="E1016" s="23"/>
      <c r="F1016" s="1"/>
      <c r="G1016" s="23"/>
      <c r="H1016" s="23"/>
      <c r="I1016" s="23"/>
      <c r="J1016" s="2"/>
      <c r="K1016" s="2"/>
      <c r="L1016" s="2"/>
      <c r="M1016" s="2"/>
      <c r="O1016" s="24"/>
    </row>
    <row r="1017">
      <c r="A1017" s="11"/>
      <c r="B1017" s="23"/>
      <c r="C1017" s="23"/>
      <c r="D1017" s="23"/>
      <c r="E1017" s="23"/>
      <c r="F1017" s="1"/>
      <c r="G1017" s="23"/>
      <c r="H1017" s="23"/>
      <c r="I1017" s="23"/>
      <c r="J1017" s="2"/>
      <c r="K1017" s="2"/>
      <c r="L1017" s="2"/>
      <c r="M1017" s="2"/>
      <c r="O1017" s="24"/>
    </row>
    <row r="1018">
      <c r="A1018" s="11"/>
      <c r="B1018" s="23"/>
      <c r="C1018" s="23"/>
      <c r="D1018" s="23"/>
      <c r="E1018" s="23"/>
      <c r="F1018" s="1"/>
      <c r="G1018" s="23"/>
      <c r="H1018" s="23"/>
      <c r="I1018" s="23"/>
      <c r="J1018" s="2"/>
      <c r="K1018" s="2"/>
      <c r="L1018" s="2"/>
      <c r="M1018" s="2"/>
      <c r="O1018" s="24"/>
    </row>
    <row r="1019">
      <c r="A1019" s="11"/>
      <c r="B1019" s="23"/>
      <c r="C1019" s="23"/>
      <c r="D1019" s="23"/>
      <c r="E1019" s="23"/>
      <c r="F1019" s="1"/>
      <c r="G1019" s="23"/>
      <c r="H1019" s="23"/>
      <c r="I1019" s="23"/>
      <c r="J1019" s="2"/>
      <c r="K1019" s="2"/>
      <c r="L1019" s="2"/>
      <c r="M1019" s="2"/>
      <c r="O1019" s="24"/>
    </row>
    <row r="1020">
      <c r="A1020" s="11"/>
      <c r="B1020" s="23"/>
      <c r="C1020" s="23"/>
      <c r="D1020" s="23"/>
      <c r="E1020" s="23"/>
      <c r="F1020" s="1"/>
      <c r="G1020" s="23"/>
      <c r="H1020" s="23"/>
      <c r="I1020" s="23"/>
      <c r="J1020" s="2"/>
      <c r="K1020" s="2"/>
      <c r="L1020" s="2"/>
      <c r="M1020" s="2"/>
      <c r="O1020" s="24"/>
    </row>
    <row r="1021">
      <c r="A1021" s="11"/>
      <c r="B1021" s="23"/>
      <c r="C1021" s="23"/>
      <c r="D1021" s="23"/>
      <c r="E1021" s="23"/>
      <c r="F1021" s="1"/>
      <c r="G1021" s="23"/>
      <c r="H1021" s="23"/>
      <c r="I1021" s="23"/>
      <c r="J1021" s="2"/>
      <c r="K1021" s="2"/>
      <c r="L1021" s="2"/>
      <c r="M1021" s="2"/>
      <c r="O1021" s="24"/>
    </row>
    <row r="1022">
      <c r="A1022" s="11"/>
      <c r="B1022" s="23"/>
      <c r="C1022" s="23"/>
      <c r="D1022" s="23"/>
      <c r="E1022" s="23"/>
      <c r="F1022" s="1"/>
      <c r="G1022" s="23"/>
      <c r="H1022" s="23"/>
      <c r="I1022" s="23"/>
      <c r="J1022" s="2"/>
      <c r="K1022" s="2"/>
      <c r="L1022" s="2"/>
      <c r="M1022" s="2"/>
      <c r="O1022" s="24"/>
    </row>
    <row r="1023">
      <c r="A1023" s="11"/>
      <c r="B1023" s="23"/>
      <c r="C1023" s="23"/>
      <c r="D1023" s="23"/>
      <c r="E1023" s="23"/>
      <c r="F1023" s="1"/>
      <c r="G1023" s="23"/>
      <c r="H1023" s="23"/>
      <c r="I1023" s="23"/>
      <c r="J1023" s="2"/>
      <c r="K1023" s="2"/>
      <c r="L1023" s="2"/>
      <c r="M1023" s="2"/>
      <c r="O1023" s="24"/>
    </row>
    <row r="1024">
      <c r="A1024" s="11"/>
      <c r="B1024" s="23"/>
      <c r="C1024" s="23"/>
      <c r="D1024" s="23"/>
      <c r="E1024" s="23"/>
      <c r="F1024" s="1"/>
      <c r="G1024" s="23"/>
      <c r="H1024" s="23"/>
      <c r="I1024" s="23"/>
      <c r="J1024" s="2"/>
      <c r="K1024" s="2"/>
      <c r="L1024" s="2"/>
      <c r="M1024" s="2"/>
      <c r="O1024" s="24"/>
    </row>
    <row r="1025">
      <c r="A1025" s="11"/>
      <c r="B1025" s="23"/>
      <c r="C1025" s="23"/>
      <c r="D1025" s="23"/>
      <c r="E1025" s="23"/>
      <c r="F1025" s="1"/>
      <c r="G1025" s="23"/>
      <c r="H1025" s="23"/>
      <c r="I1025" s="23"/>
      <c r="J1025" s="2"/>
      <c r="K1025" s="2"/>
      <c r="L1025" s="2"/>
      <c r="M1025" s="2"/>
      <c r="O1025" s="24"/>
    </row>
    <row r="1026">
      <c r="A1026" s="11"/>
      <c r="B1026" s="23"/>
      <c r="C1026" s="23"/>
      <c r="D1026" s="23"/>
      <c r="E1026" s="23"/>
      <c r="F1026" s="1"/>
      <c r="G1026" s="23"/>
      <c r="H1026" s="23"/>
      <c r="I1026" s="23"/>
      <c r="J1026" s="2"/>
      <c r="K1026" s="2"/>
      <c r="L1026" s="2"/>
      <c r="M1026" s="2"/>
      <c r="O1026" s="24"/>
    </row>
    <row r="1027">
      <c r="A1027" s="11"/>
      <c r="B1027" s="23"/>
      <c r="C1027" s="23"/>
      <c r="D1027" s="23"/>
      <c r="E1027" s="23"/>
      <c r="F1027" s="1"/>
      <c r="G1027" s="23"/>
      <c r="H1027" s="23"/>
      <c r="I1027" s="23"/>
      <c r="J1027" s="2"/>
      <c r="K1027" s="2"/>
      <c r="L1027" s="2"/>
      <c r="M1027" s="2"/>
      <c r="O1027" s="24"/>
    </row>
    <row r="1028">
      <c r="A1028" s="11"/>
      <c r="B1028" s="23"/>
      <c r="C1028" s="23"/>
      <c r="D1028" s="23"/>
      <c r="E1028" s="23"/>
      <c r="F1028" s="1"/>
      <c r="G1028" s="23"/>
      <c r="H1028" s="23"/>
      <c r="I1028" s="23"/>
      <c r="J1028" s="2"/>
      <c r="K1028" s="2"/>
      <c r="L1028" s="2"/>
      <c r="M1028" s="2"/>
      <c r="O1028" s="24"/>
    </row>
    <row r="1029">
      <c r="A1029" s="11"/>
      <c r="B1029" s="23"/>
      <c r="C1029" s="23"/>
      <c r="D1029" s="23"/>
      <c r="E1029" s="23"/>
      <c r="F1029" s="1"/>
      <c r="G1029" s="23"/>
      <c r="H1029" s="23"/>
      <c r="I1029" s="23"/>
      <c r="J1029" s="2"/>
      <c r="K1029" s="2"/>
      <c r="L1029" s="2"/>
      <c r="M1029" s="2"/>
      <c r="O1029" s="24"/>
    </row>
    <row r="1030">
      <c r="A1030" s="11"/>
      <c r="B1030" s="23"/>
      <c r="C1030" s="23"/>
      <c r="D1030" s="23"/>
      <c r="E1030" s="23"/>
      <c r="F1030" s="1"/>
      <c r="G1030" s="23"/>
      <c r="H1030" s="23"/>
      <c r="I1030" s="23"/>
      <c r="J1030" s="2"/>
      <c r="K1030" s="2"/>
      <c r="L1030" s="2"/>
      <c r="M1030" s="2"/>
      <c r="O1030" s="24"/>
    </row>
    <row r="1031">
      <c r="A1031" s="11"/>
      <c r="B1031" s="23"/>
      <c r="C1031" s="23"/>
      <c r="D1031" s="23"/>
      <c r="E1031" s="23"/>
      <c r="F1031" s="1"/>
      <c r="G1031" s="23"/>
      <c r="H1031" s="23"/>
      <c r="I1031" s="23"/>
      <c r="J1031" s="2"/>
      <c r="K1031" s="2"/>
      <c r="L1031" s="2"/>
      <c r="M1031" s="2"/>
      <c r="O1031" s="24"/>
    </row>
    <row r="1032">
      <c r="A1032" s="11"/>
      <c r="B1032" s="23"/>
      <c r="C1032" s="23"/>
      <c r="D1032" s="23"/>
      <c r="E1032" s="23"/>
      <c r="F1032" s="1"/>
      <c r="G1032" s="23"/>
      <c r="H1032" s="23"/>
      <c r="I1032" s="23"/>
      <c r="J1032" s="2"/>
      <c r="K1032" s="2"/>
      <c r="L1032" s="2"/>
      <c r="M1032" s="2"/>
      <c r="O1032" s="24"/>
    </row>
    <row r="1033">
      <c r="A1033" s="11"/>
      <c r="B1033" s="23"/>
      <c r="C1033" s="23"/>
      <c r="D1033" s="23"/>
      <c r="E1033" s="23"/>
      <c r="F1033" s="1"/>
      <c r="G1033" s="23"/>
      <c r="H1033" s="23"/>
      <c r="I1033" s="23"/>
      <c r="J1033" s="2"/>
      <c r="K1033" s="2"/>
      <c r="L1033" s="2"/>
      <c r="M1033" s="2"/>
      <c r="O1033" s="24"/>
    </row>
    <row r="1034">
      <c r="A1034" s="11"/>
      <c r="B1034" s="23"/>
      <c r="C1034" s="23"/>
      <c r="D1034" s="23"/>
      <c r="E1034" s="23"/>
      <c r="F1034" s="1"/>
      <c r="G1034" s="23"/>
      <c r="H1034" s="23"/>
      <c r="I1034" s="23"/>
      <c r="J1034" s="2"/>
      <c r="K1034" s="2"/>
      <c r="L1034" s="2"/>
      <c r="M1034" s="2"/>
      <c r="O1034" s="24"/>
    </row>
    <row r="1035">
      <c r="A1035" s="11"/>
      <c r="B1035" s="23"/>
      <c r="C1035" s="23"/>
      <c r="D1035" s="23"/>
      <c r="E1035" s="23"/>
      <c r="F1035" s="1"/>
      <c r="G1035" s="23"/>
      <c r="H1035" s="23"/>
      <c r="I1035" s="23"/>
      <c r="J1035" s="2"/>
      <c r="K1035" s="2"/>
      <c r="L1035" s="2"/>
      <c r="M1035" s="2"/>
      <c r="O1035" s="24"/>
    </row>
    <row r="1036">
      <c r="A1036" s="11"/>
      <c r="B1036" s="23"/>
      <c r="C1036" s="23"/>
      <c r="D1036" s="23"/>
      <c r="E1036" s="23"/>
      <c r="F1036" s="1"/>
      <c r="G1036" s="23"/>
      <c r="H1036" s="23"/>
      <c r="I1036" s="23"/>
      <c r="J1036" s="2"/>
      <c r="K1036" s="2"/>
      <c r="L1036" s="2"/>
      <c r="M1036" s="2"/>
      <c r="O1036" s="24"/>
    </row>
    <row r="1037">
      <c r="A1037" s="11"/>
      <c r="B1037" s="23"/>
      <c r="C1037" s="23"/>
      <c r="D1037" s="23"/>
      <c r="E1037" s="23"/>
      <c r="F1037" s="1"/>
      <c r="G1037" s="23"/>
      <c r="H1037" s="23"/>
      <c r="I1037" s="23"/>
      <c r="J1037" s="2"/>
      <c r="K1037" s="2"/>
      <c r="L1037" s="2"/>
      <c r="M1037" s="2"/>
      <c r="O1037" s="24"/>
    </row>
    <row r="1038">
      <c r="A1038" s="11"/>
      <c r="B1038" s="23"/>
      <c r="C1038" s="23"/>
      <c r="D1038" s="23"/>
      <c r="E1038" s="23"/>
      <c r="F1038" s="1"/>
      <c r="G1038" s="23"/>
      <c r="H1038" s="23"/>
      <c r="I1038" s="23"/>
      <c r="J1038" s="2"/>
      <c r="K1038" s="2"/>
      <c r="L1038" s="2"/>
      <c r="M1038" s="2"/>
      <c r="O1038" s="24"/>
    </row>
    <row r="1039">
      <c r="A1039" s="11"/>
      <c r="B1039" s="23"/>
      <c r="C1039" s="23"/>
      <c r="D1039" s="23"/>
      <c r="E1039" s="23"/>
      <c r="F1039" s="1"/>
      <c r="G1039" s="23"/>
      <c r="H1039" s="23"/>
      <c r="I1039" s="23"/>
      <c r="J1039" s="2"/>
      <c r="K1039" s="2"/>
      <c r="L1039" s="2"/>
      <c r="M1039" s="2"/>
      <c r="O1039" s="24"/>
    </row>
    <row r="1040">
      <c r="A1040" s="11"/>
      <c r="B1040" s="23"/>
      <c r="C1040" s="23"/>
      <c r="D1040" s="23"/>
      <c r="E1040" s="23"/>
      <c r="F1040" s="1"/>
      <c r="G1040" s="23"/>
      <c r="H1040" s="23"/>
      <c r="I1040" s="23"/>
      <c r="J1040" s="2"/>
      <c r="K1040" s="2"/>
      <c r="L1040" s="2"/>
      <c r="M1040" s="2"/>
      <c r="O1040" s="24"/>
    </row>
    <row r="1041">
      <c r="A1041" s="11"/>
      <c r="B1041" s="23"/>
      <c r="C1041" s="23"/>
      <c r="D1041" s="23"/>
      <c r="E1041" s="23"/>
      <c r="F1041" s="1"/>
      <c r="G1041" s="23"/>
      <c r="H1041" s="23"/>
      <c r="I1041" s="23"/>
      <c r="J1041" s="2"/>
      <c r="K1041" s="2"/>
      <c r="L1041" s="2"/>
      <c r="M1041" s="2"/>
      <c r="O1041" s="24"/>
    </row>
    <row r="1042">
      <c r="A1042" s="11"/>
      <c r="B1042" s="23"/>
      <c r="C1042" s="23"/>
      <c r="D1042" s="23"/>
      <c r="E1042" s="23"/>
      <c r="F1042" s="1"/>
      <c r="G1042" s="23"/>
      <c r="H1042" s="23"/>
      <c r="I1042" s="23"/>
      <c r="J1042" s="2"/>
      <c r="K1042" s="2"/>
      <c r="L1042" s="2"/>
      <c r="M1042" s="2"/>
      <c r="O1042" s="24"/>
    </row>
    <row r="1043">
      <c r="A1043" s="11"/>
      <c r="B1043" s="23"/>
      <c r="C1043" s="23"/>
      <c r="D1043" s="23"/>
      <c r="E1043" s="23"/>
      <c r="F1043" s="1"/>
      <c r="G1043" s="23"/>
      <c r="H1043" s="23"/>
      <c r="I1043" s="23"/>
      <c r="J1043" s="2"/>
      <c r="K1043" s="2"/>
      <c r="L1043" s="2"/>
      <c r="M1043" s="2"/>
      <c r="O1043" s="24"/>
    </row>
    <row r="1044">
      <c r="A1044" s="11"/>
      <c r="B1044" s="23"/>
      <c r="C1044" s="23"/>
      <c r="D1044" s="23"/>
      <c r="E1044" s="23"/>
      <c r="F1044" s="1"/>
      <c r="G1044" s="23"/>
      <c r="H1044" s="23"/>
      <c r="I1044" s="23"/>
      <c r="J1044" s="2"/>
      <c r="K1044" s="2"/>
      <c r="L1044" s="2"/>
      <c r="M1044" s="2"/>
      <c r="O1044" s="24"/>
    </row>
    <row r="1045">
      <c r="A1045" s="11"/>
      <c r="B1045" s="23"/>
      <c r="C1045" s="23"/>
      <c r="D1045" s="23"/>
      <c r="E1045" s="23"/>
      <c r="F1045" s="1"/>
      <c r="G1045" s="23"/>
      <c r="H1045" s="23"/>
      <c r="I1045" s="23"/>
      <c r="J1045" s="2"/>
      <c r="K1045" s="2"/>
      <c r="L1045" s="2"/>
      <c r="M1045" s="2"/>
      <c r="O1045" s="24"/>
    </row>
    <row r="1046">
      <c r="A1046" s="11"/>
      <c r="B1046" s="23"/>
      <c r="C1046" s="23"/>
      <c r="D1046" s="23"/>
      <c r="E1046" s="23"/>
      <c r="F1046" s="1"/>
      <c r="G1046" s="23"/>
      <c r="H1046" s="23"/>
      <c r="I1046" s="23"/>
      <c r="J1046" s="2"/>
      <c r="K1046" s="2"/>
      <c r="L1046" s="2"/>
      <c r="M1046" s="2"/>
      <c r="O1046" s="24"/>
    </row>
    <row r="1047">
      <c r="A1047" s="11"/>
      <c r="B1047" s="23"/>
      <c r="C1047" s="23"/>
      <c r="D1047" s="23"/>
      <c r="E1047" s="23"/>
      <c r="F1047" s="1"/>
      <c r="G1047" s="23"/>
      <c r="H1047" s="23"/>
      <c r="I1047" s="23"/>
      <c r="J1047" s="2"/>
      <c r="K1047" s="2"/>
      <c r="L1047" s="2"/>
      <c r="M1047" s="2"/>
      <c r="O1047" s="24"/>
    </row>
    <row r="1048">
      <c r="A1048" s="11"/>
      <c r="B1048" s="23"/>
      <c r="C1048" s="23"/>
      <c r="D1048" s="23"/>
      <c r="E1048" s="23"/>
      <c r="F1048" s="1"/>
      <c r="G1048" s="23"/>
      <c r="H1048" s="23"/>
      <c r="I1048" s="23"/>
      <c r="J1048" s="2"/>
      <c r="K1048" s="2"/>
      <c r="L1048" s="2"/>
      <c r="M1048" s="2"/>
      <c r="O1048" s="24"/>
    </row>
    <row r="1049">
      <c r="A1049" s="11"/>
      <c r="B1049" s="23"/>
      <c r="C1049" s="23"/>
      <c r="D1049" s="23"/>
      <c r="E1049" s="23"/>
      <c r="F1049" s="1"/>
      <c r="G1049" s="23"/>
      <c r="H1049" s="23"/>
      <c r="I1049" s="23"/>
      <c r="J1049" s="2"/>
      <c r="K1049" s="2"/>
      <c r="L1049" s="2"/>
      <c r="M1049" s="2"/>
      <c r="O1049" s="24"/>
    </row>
    <row r="1050">
      <c r="A1050" s="11"/>
      <c r="B1050" s="23"/>
      <c r="C1050" s="23"/>
      <c r="D1050" s="23"/>
      <c r="E1050" s="23"/>
      <c r="F1050" s="1"/>
      <c r="G1050" s="23"/>
      <c r="H1050" s="23"/>
      <c r="I1050" s="23"/>
      <c r="J1050" s="2"/>
      <c r="K1050" s="2"/>
      <c r="L1050" s="2"/>
      <c r="M1050" s="2"/>
      <c r="O1050" s="24"/>
    </row>
    <row r="1051">
      <c r="A1051" s="11"/>
      <c r="B1051" s="23"/>
      <c r="C1051" s="23"/>
      <c r="D1051" s="23"/>
      <c r="E1051" s="23"/>
      <c r="F1051" s="1"/>
      <c r="G1051" s="23"/>
      <c r="H1051" s="23"/>
      <c r="I1051" s="23"/>
      <c r="J1051" s="2"/>
      <c r="K1051" s="2"/>
      <c r="L1051" s="2"/>
      <c r="M1051" s="2"/>
      <c r="O1051" s="24"/>
    </row>
    <row r="1052">
      <c r="A1052" s="11"/>
      <c r="B1052" s="23"/>
      <c r="C1052" s="23"/>
      <c r="D1052" s="23"/>
      <c r="E1052" s="23"/>
      <c r="F1052" s="1"/>
      <c r="G1052" s="23"/>
      <c r="H1052" s="23"/>
      <c r="I1052" s="23"/>
      <c r="J1052" s="2"/>
      <c r="K1052" s="2"/>
      <c r="L1052" s="2"/>
      <c r="M1052" s="2"/>
      <c r="O1052" s="24"/>
    </row>
    <row r="1053">
      <c r="A1053" s="11"/>
      <c r="B1053" s="23"/>
      <c r="C1053" s="23"/>
      <c r="D1053" s="23"/>
      <c r="E1053" s="23"/>
      <c r="F1053" s="1"/>
      <c r="G1053" s="23"/>
      <c r="H1053" s="23"/>
      <c r="I1053" s="23"/>
      <c r="J1053" s="2"/>
      <c r="K1053" s="2"/>
      <c r="L1053" s="2"/>
      <c r="M1053" s="2"/>
      <c r="O1053" s="24"/>
    </row>
    <row r="1054">
      <c r="A1054" s="11"/>
      <c r="B1054" s="23"/>
      <c r="C1054" s="23"/>
      <c r="D1054" s="23"/>
      <c r="E1054" s="23"/>
      <c r="F1054" s="1"/>
      <c r="G1054" s="23"/>
      <c r="H1054" s="23"/>
      <c r="I1054" s="23"/>
      <c r="J1054" s="2"/>
      <c r="K1054" s="2"/>
      <c r="L1054" s="2"/>
      <c r="M1054" s="2"/>
      <c r="O1054" s="24"/>
    </row>
    <row r="1055">
      <c r="A1055" s="11"/>
      <c r="B1055" s="23"/>
      <c r="C1055" s="23"/>
      <c r="D1055" s="23"/>
      <c r="E1055" s="23"/>
      <c r="F1055" s="1"/>
      <c r="G1055" s="23"/>
      <c r="H1055" s="23"/>
      <c r="I1055" s="23"/>
      <c r="J1055" s="2"/>
      <c r="K1055" s="2"/>
      <c r="L1055" s="2"/>
      <c r="M1055" s="2"/>
      <c r="O1055" s="24"/>
    </row>
    <row r="1056">
      <c r="A1056" s="11"/>
      <c r="B1056" s="23"/>
      <c r="C1056" s="23"/>
      <c r="D1056" s="23"/>
      <c r="E1056" s="23"/>
      <c r="F1056" s="1"/>
      <c r="G1056" s="23"/>
      <c r="H1056" s="23"/>
      <c r="I1056" s="23"/>
      <c r="J1056" s="2"/>
      <c r="K1056" s="2"/>
      <c r="L1056" s="2"/>
      <c r="M1056" s="2"/>
      <c r="O1056" s="24"/>
    </row>
    <row r="1057">
      <c r="A1057" s="11"/>
      <c r="B1057" s="23"/>
      <c r="C1057" s="23"/>
      <c r="D1057" s="23"/>
      <c r="E1057" s="23"/>
      <c r="F1057" s="1"/>
      <c r="G1057" s="23"/>
      <c r="H1057" s="23"/>
      <c r="I1057" s="23"/>
      <c r="J1057" s="2"/>
      <c r="K1057" s="2"/>
      <c r="L1057" s="2"/>
      <c r="M1057" s="2"/>
      <c r="O1057" s="24"/>
    </row>
    <row r="1058">
      <c r="A1058" s="11"/>
      <c r="B1058" s="23"/>
      <c r="C1058" s="23"/>
      <c r="D1058" s="23"/>
      <c r="E1058" s="23"/>
      <c r="F1058" s="1"/>
      <c r="G1058" s="23"/>
      <c r="H1058" s="23"/>
      <c r="I1058" s="23"/>
      <c r="J1058" s="2"/>
      <c r="K1058" s="2"/>
      <c r="L1058" s="2"/>
      <c r="M1058" s="2"/>
      <c r="O1058" s="24"/>
    </row>
    <row r="1059">
      <c r="A1059" s="11"/>
      <c r="B1059" s="23"/>
      <c r="C1059" s="23"/>
      <c r="D1059" s="23"/>
      <c r="E1059" s="23"/>
      <c r="F1059" s="1"/>
      <c r="G1059" s="23"/>
      <c r="H1059" s="23"/>
      <c r="I1059" s="23"/>
      <c r="J1059" s="2"/>
      <c r="K1059" s="2"/>
      <c r="L1059" s="2"/>
      <c r="M1059" s="2"/>
      <c r="O1059" s="24"/>
    </row>
    <row r="1060">
      <c r="A1060" s="11"/>
      <c r="B1060" s="23"/>
      <c r="C1060" s="23"/>
      <c r="D1060" s="23"/>
      <c r="E1060" s="23"/>
      <c r="F1060" s="1"/>
      <c r="G1060" s="23"/>
      <c r="H1060" s="23"/>
      <c r="I1060" s="23"/>
      <c r="J1060" s="2"/>
      <c r="K1060" s="2"/>
      <c r="L1060" s="2"/>
      <c r="M1060" s="2"/>
      <c r="O1060" s="24"/>
    </row>
    <row r="1061">
      <c r="A1061" s="11"/>
      <c r="B1061" s="23"/>
      <c r="C1061" s="23"/>
      <c r="D1061" s="23"/>
      <c r="E1061" s="23"/>
      <c r="F1061" s="1"/>
      <c r="G1061" s="23"/>
      <c r="H1061" s="23"/>
      <c r="I1061" s="23"/>
      <c r="J1061" s="2"/>
      <c r="K1061" s="2"/>
      <c r="L1061" s="2"/>
      <c r="M1061" s="2"/>
      <c r="O1061" s="24"/>
    </row>
    <row r="1062">
      <c r="A1062" s="11"/>
      <c r="B1062" s="23"/>
      <c r="C1062" s="23"/>
      <c r="D1062" s="23"/>
      <c r="E1062" s="23"/>
      <c r="F1062" s="1"/>
      <c r="G1062" s="23"/>
      <c r="H1062" s="23"/>
      <c r="I1062" s="23"/>
      <c r="J1062" s="2"/>
      <c r="K1062" s="2"/>
      <c r="L1062" s="2"/>
      <c r="M1062" s="2"/>
      <c r="O1062" s="24"/>
    </row>
    <row r="1063">
      <c r="A1063" s="11"/>
      <c r="B1063" s="23"/>
      <c r="C1063" s="23"/>
      <c r="D1063" s="23"/>
      <c r="E1063" s="23"/>
      <c r="F1063" s="1"/>
      <c r="G1063" s="23"/>
      <c r="H1063" s="23"/>
      <c r="I1063" s="23"/>
      <c r="J1063" s="2"/>
      <c r="K1063" s="2"/>
      <c r="L1063" s="2"/>
      <c r="M1063" s="2"/>
      <c r="O1063" s="24"/>
    </row>
    <row r="1064">
      <c r="A1064" s="11"/>
      <c r="B1064" s="23"/>
      <c r="C1064" s="23"/>
      <c r="D1064" s="23"/>
      <c r="E1064" s="23"/>
      <c r="F1064" s="1"/>
      <c r="G1064" s="23"/>
      <c r="H1064" s="23"/>
      <c r="I1064" s="23"/>
      <c r="J1064" s="2"/>
      <c r="K1064" s="2"/>
      <c r="L1064" s="2"/>
      <c r="M1064" s="2"/>
      <c r="O1064" s="24"/>
    </row>
    <row r="1065">
      <c r="A1065" s="11"/>
      <c r="B1065" s="23"/>
      <c r="C1065" s="23"/>
      <c r="D1065" s="23"/>
      <c r="E1065" s="23"/>
      <c r="F1065" s="1"/>
      <c r="G1065" s="23"/>
      <c r="H1065" s="23"/>
      <c r="I1065" s="23"/>
      <c r="J1065" s="2"/>
      <c r="K1065" s="2"/>
      <c r="L1065" s="2"/>
      <c r="M1065" s="2"/>
      <c r="O1065" s="24"/>
    </row>
    <row r="1066">
      <c r="A1066" s="11"/>
      <c r="B1066" s="23"/>
      <c r="C1066" s="23"/>
      <c r="D1066" s="23"/>
      <c r="E1066" s="23"/>
      <c r="F1066" s="1"/>
      <c r="G1066" s="23"/>
      <c r="H1066" s="23"/>
      <c r="I1066" s="23"/>
      <c r="J1066" s="2"/>
      <c r="K1066" s="2"/>
      <c r="L1066" s="2"/>
      <c r="M1066" s="2"/>
      <c r="O1066" s="24"/>
    </row>
    <row r="1067">
      <c r="A1067" s="11"/>
      <c r="B1067" s="23"/>
      <c r="C1067" s="23"/>
      <c r="D1067" s="23"/>
      <c r="E1067" s="23"/>
      <c r="F1067" s="1"/>
      <c r="G1067" s="23"/>
      <c r="H1067" s="23"/>
      <c r="I1067" s="23"/>
      <c r="J1067" s="2"/>
      <c r="K1067" s="2"/>
      <c r="L1067" s="2"/>
      <c r="M1067" s="2"/>
      <c r="O1067" s="24"/>
    </row>
    <row r="1068">
      <c r="A1068" s="11"/>
      <c r="B1068" s="23"/>
      <c r="C1068" s="23"/>
      <c r="D1068" s="23"/>
      <c r="E1068" s="23"/>
      <c r="F1068" s="1"/>
      <c r="G1068" s="23"/>
      <c r="H1068" s="23"/>
      <c r="I1068" s="23"/>
      <c r="J1068" s="2"/>
      <c r="K1068" s="2"/>
      <c r="L1068" s="2"/>
      <c r="M1068" s="2"/>
      <c r="O1068" s="24"/>
    </row>
    <row r="1069">
      <c r="A1069" s="11"/>
      <c r="B1069" s="23"/>
      <c r="C1069" s="23"/>
      <c r="D1069" s="23"/>
      <c r="E1069" s="23"/>
      <c r="F1069" s="1"/>
      <c r="G1069" s="23"/>
      <c r="H1069" s="23"/>
      <c r="I1069" s="23"/>
      <c r="J1069" s="2"/>
      <c r="K1069" s="2"/>
      <c r="L1069" s="2"/>
      <c r="M1069" s="2"/>
      <c r="O1069" s="24"/>
    </row>
    <row r="1070">
      <c r="A1070" s="11"/>
      <c r="B1070" s="23"/>
      <c r="C1070" s="23"/>
      <c r="D1070" s="23"/>
      <c r="E1070" s="23"/>
      <c r="F1070" s="1"/>
      <c r="G1070" s="23"/>
      <c r="H1070" s="23"/>
      <c r="I1070" s="23"/>
      <c r="J1070" s="2"/>
      <c r="K1070" s="2"/>
      <c r="L1070" s="2"/>
      <c r="M1070" s="2"/>
      <c r="O1070" s="24"/>
    </row>
    <row r="1071">
      <c r="A1071" s="11"/>
      <c r="B1071" s="23"/>
      <c r="C1071" s="23"/>
      <c r="D1071" s="23"/>
      <c r="E1071" s="23"/>
      <c r="F1071" s="1"/>
      <c r="G1071" s="23"/>
      <c r="H1071" s="23"/>
      <c r="I1071" s="23"/>
      <c r="J1071" s="2"/>
      <c r="K1071" s="2"/>
      <c r="L1071" s="2"/>
      <c r="M1071" s="2"/>
      <c r="O1071" s="24"/>
    </row>
    <row r="1072">
      <c r="A1072" s="11"/>
      <c r="B1072" s="23"/>
      <c r="C1072" s="23"/>
      <c r="D1072" s="23"/>
      <c r="E1072" s="23"/>
      <c r="F1072" s="1"/>
      <c r="G1072" s="23"/>
      <c r="H1072" s="23"/>
      <c r="I1072" s="23"/>
      <c r="J1072" s="2"/>
      <c r="K1072" s="2"/>
      <c r="L1072" s="2"/>
      <c r="M1072" s="2"/>
      <c r="O1072" s="24"/>
    </row>
    <row r="1073">
      <c r="A1073" s="11"/>
      <c r="B1073" s="23"/>
      <c r="C1073" s="23"/>
      <c r="D1073" s="23"/>
      <c r="E1073" s="23"/>
      <c r="F1073" s="1"/>
      <c r="G1073" s="23"/>
      <c r="H1073" s="23"/>
      <c r="I1073" s="23"/>
      <c r="J1073" s="2"/>
      <c r="K1073" s="2"/>
      <c r="L1073" s="2"/>
      <c r="M1073" s="2"/>
      <c r="O1073" s="24"/>
    </row>
    <row r="1074">
      <c r="A1074" s="11"/>
      <c r="B1074" s="23"/>
      <c r="C1074" s="23"/>
      <c r="D1074" s="23"/>
      <c r="E1074" s="23"/>
      <c r="F1074" s="1"/>
      <c r="G1074" s="23"/>
      <c r="H1074" s="23"/>
      <c r="I1074" s="23"/>
      <c r="J1074" s="2"/>
      <c r="K1074" s="2"/>
      <c r="L1074" s="2"/>
      <c r="M1074" s="2"/>
      <c r="O1074" s="24"/>
    </row>
    <row r="1075">
      <c r="A1075" s="11"/>
      <c r="B1075" s="23"/>
      <c r="C1075" s="23"/>
      <c r="D1075" s="23"/>
      <c r="E1075" s="23"/>
      <c r="F1075" s="1"/>
      <c r="G1075" s="23"/>
      <c r="H1075" s="23"/>
      <c r="I1075" s="23"/>
      <c r="J1075" s="2"/>
      <c r="K1075" s="2"/>
      <c r="L1075" s="2"/>
      <c r="M1075" s="2"/>
      <c r="O1075" s="24"/>
    </row>
    <row r="1076">
      <c r="A1076" s="11"/>
      <c r="B1076" s="23"/>
      <c r="C1076" s="23"/>
      <c r="D1076" s="23"/>
      <c r="E1076" s="23"/>
      <c r="F1076" s="1"/>
      <c r="G1076" s="23"/>
      <c r="H1076" s="23"/>
      <c r="I1076" s="23"/>
      <c r="J1076" s="2"/>
      <c r="K1076" s="2"/>
      <c r="L1076" s="2"/>
      <c r="M1076" s="2"/>
      <c r="O1076" s="24"/>
    </row>
    <row r="1077">
      <c r="A1077" s="11"/>
      <c r="B1077" s="23"/>
      <c r="C1077" s="23"/>
      <c r="D1077" s="23"/>
      <c r="E1077" s="23"/>
      <c r="F1077" s="1"/>
      <c r="G1077" s="23"/>
      <c r="H1077" s="23"/>
      <c r="I1077" s="23"/>
      <c r="J1077" s="2"/>
      <c r="K1077" s="2"/>
      <c r="L1077" s="2"/>
      <c r="M1077" s="2"/>
      <c r="O1077" s="24"/>
    </row>
    <row r="1078">
      <c r="A1078" s="11"/>
      <c r="B1078" s="23"/>
      <c r="C1078" s="23"/>
      <c r="D1078" s="23"/>
      <c r="E1078" s="23"/>
      <c r="F1078" s="1"/>
      <c r="G1078" s="23"/>
      <c r="H1078" s="23"/>
      <c r="I1078" s="23"/>
      <c r="J1078" s="2"/>
      <c r="K1078" s="2"/>
      <c r="L1078" s="2"/>
      <c r="M1078" s="2"/>
      <c r="O1078" s="24"/>
    </row>
    <row r="1079">
      <c r="A1079" s="11"/>
      <c r="B1079" s="23"/>
      <c r="C1079" s="23"/>
      <c r="D1079" s="23"/>
      <c r="E1079" s="23"/>
      <c r="F1079" s="1"/>
      <c r="G1079" s="23"/>
      <c r="H1079" s="23"/>
      <c r="I1079" s="23"/>
      <c r="J1079" s="2"/>
      <c r="K1079" s="2"/>
      <c r="L1079" s="2"/>
      <c r="M1079" s="2"/>
      <c r="O1079" s="24"/>
    </row>
    <row r="1080">
      <c r="A1080" s="11"/>
      <c r="B1080" s="23"/>
      <c r="C1080" s="23"/>
      <c r="D1080" s="23"/>
      <c r="E1080" s="23"/>
      <c r="F1080" s="1"/>
      <c r="G1080" s="23"/>
      <c r="H1080" s="23"/>
      <c r="I1080" s="23"/>
      <c r="J1080" s="2"/>
      <c r="K1080" s="2"/>
      <c r="L1080" s="2"/>
      <c r="M1080" s="2"/>
      <c r="O1080" s="24"/>
    </row>
    <row r="1081">
      <c r="A1081" s="11"/>
      <c r="B1081" s="23"/>
      <c r="C1081" s="23"/>
      <c r="D1081" s="23"/>
      <c r="E1081" s="23"/>
      <c r="F1081" s="1"/>
      <c r="G1081" s="23"/>
      <c r="H1081" s="23"/>
      <c r="I1081" s="23"/>
      <c r="J1081" s="2"/>
      <c r="K1081" s="2"/>
      <c r="L1081" s="2"/>
      <c r="M1081" s="2"/>
      <c r="O1081" s="24"/>
    </row>
    <row r="1082">
      <c r="A1082" s="11"/>
      <c r="B1082" s="23"/>
      <c r="C1082" s="23"/>
      <c r="D1082" s="23"/>
      <c r="E1082" s="23"/>
      <c r="F1082" s="1"/>
      <c r="G1082" s="23"/>
      <c r="H1082" s="23"/>
      <c r="I1082" s="23"/>
      <c r="J1082" s="2"/>
      <c r="K1082" s="2"/>
      <c r="L1082" s="2"/>
      <c r="M1082" s="2"/>
      <c r="O1082" s="24"/>
    </row>
    <row r="1083">
      <c r="A1083" s="11"/>
      <c r="B1083" s="23"/>
      <c r="C1083" s="23"/>
      <c r="D1083" s="23"/>
      <c r="E1083" s="23"/>
      <c r="F1083" s="1"/>
      <c r="G1083" s="23"/>
      <c r="H1083" s="23"/>
      <c r="I1083" s="23"/>
      <c r="J1083" s="2"/>
      <c r="K1083" s="2"/>
      <c r="L1083" s="2"/>
      <c r="M1083" s="2"/>
      <c r="O1083" s="24"/>
    </row>
    <row r="1084">
      <c r="A1084" s="11"/>
      <c r="B1084" s="23"/>
      <c r="C1084" s="23"/>
      <c r="D1084" s="23"/>
      <c r="E1084" s="23"/>
      <c r="F1084" s="1"/>
      <c r="G1084" s="23"/>
      <c r="H1084" s="23"/>
      <c r="I1084" s="23"/>
      <c r="J1084" s="2"/>
      <c r="K1084" s="2"/>
      <c r="L1084" s="2"/>
      <c r="M1084" s="2"/>
      <c r="O1084" s="24"/>
    </row>
    <row r="1085">
      <c r="A1085" s="11"/>
      <c r="B1085" s="23"/>
      <c r="C1085" s="23"/>
      <c r="D1085" s="23"/>
      <c r="E1085" s="23"/>
      <c r="F1085" s="1"/>
      <c r="G1085" s="23"/>
      <c r="H1085" s="23"/>
      <c r="I1085" s="23"/>
      <c r="J1085" s="2"/>
      <c r="K1085" s="2"/>
      <c r="L1085" s="2"/>
      <c r="M1085" s="2"/>
      <c r="O1085" s="24"/>
    </row>
    <row r="1086">
      <c r="A1086" s="11"/>
      <c r="B1086" s="23"/>
      <c r="C1086" s="23"/>
      <c r="D1086" s="23"/>
      <c r="E1086" s="23"/>
      <c r="F1086" s="1"/>
      <c r="G1086" s="23"/>
      <c r="H1086" s="23"/>
      <c r="I1086" s="23"/>
      <c r="J1086" s="2"/>
      <c r="K1086" s="2"/>
      <c r="L1086" s="2"/>
      <c r="M1086" s="2"/>
      <c r="O1086" s="24"/>
    </row>
    <row r="1087">
      <c r="A1087" s="11"/>
      <c r="B1087" s="23"/>
      <c r="C1087" s="23"/>
      <c r="D1087" s="23"/>
      <c r="E1087" s="23"/>
      <c r="F1087" s="1"/>
      <c r="G1087" s="23"/>
      <c r="H1087" s="23"/>
      <c r="I1087" s="23"/>
      <c r="J1087" s="2"/>
      <c r="K1087" s="2"/>
      <c r="L1087" s="2"/>
      <c r="M1087" s="2"/>
      <c r="O1087" s="24"/>
    </row>
    <row r="1088">
      <c r="A1088" s="11"/>
      <c r="B1088" s="23"/>
      <c r="C1088" s="23"/>
      <c r="D1088" s="23"/>
      <c r="E1088" s="23"/>
      <c r="F1088" s="1"/>
      <c r="G1088" s="23"/>
      <c r="H1088" s="23"/>
      <c r="I1088" s="23"/>
      <c r="J1088" s="2"/>
      <c r="K1088" s="2"/>
      <c r="L1088" s="2"/>
      <c r="M1088" s="2"/>
      <c r="O1088" s="24"/>
    </row>
    <row r="1089">
      <c r="A1089" s="11"/>
      <c r="B1089" s="23"/>
      <c r="C1089" s="23"/>
      <c r="D1089" s="23"/>
      <c r="E1089" s="23"/>
      <c r="F1089" s="1"/>
      <c r="G1089" s="23"/>
      <c r="H1089" s="23"/>
      <c r="I1089" s="23"/>
      <c r="J1089" s="2"/>
      <c r="K1089" s="2"/>
      <c r="L1089" s="2"/>
      <c r="M1089" s="2"/>
      <c r="O1089" s="24"/>
    </row>
    <row r="1090">
      <c r="A1090" s="11"/>
      <c r="B1090" s="23"/>
      <c r="C1090" s="23"/>
      <c r="D1090" s="23"/>
      <c r="E1090" s="23"/>
      <c r="F1090" s="1"/>
      <c r="G1090" s="23"/>
      <c r="H1090" s="23"/>
      <c r="I1090" s="23"/>
      <c r="J1090" s="2"/>
      <c r="K1090" s="2"/>
      <c r="L1090" s="2"/>
      <c r="M1090" s="2"/>
      <c r="O1090" s="24"/>
    </row>
    <row r="1091">
      <c r="A1091" s="11"/>
      <c r="B1091" s="23"/>
      <c r="C1091" s="23"/>
      <c r="D1091" s="23"/>
      <c r="E1091" s="23"/>
      <c r="F1091" s="1"/>
      <c r="G1091" s="23"/>
      <c r="H1091" s="23"/>
      <c r="I1091" s="23"/>
      <c r="J1091" s="2"/>
      <c r="K1091" s="2"/>
      <c r="L1091" s="2"/>
      <c r="M1091" s="2"/>
      <c r="O1091" s="24"/>
    </row>
    <row r="1092">
      <c r="A1092" s="11"/>
      <c r="B1092" s="23"/>
      <c r="C1092" s="23"/>
      <c r="D1092" s="23"/>
      <c r="E1092" s="23"/>
      <c r="F1092" s="1"/>
      <c r="G1092" s="23"/>
      <c r="H1092" s="23"/>
      <c r="I1092" s="23"/>
      <c r="J1092" s="2"/>
      <c r="K1092" s="2"/>
      <c r="L1092" s="2"/>
      <c r="M1092" s="2"/>
      <c r="O1092" s="24"/>
    </row>
    <row r="1093">
      <c r="A1093" s="11"/>
      <c r="B1093" s="23"/>
      <c r="C1093" s="23"/>
      <c r="D1093" s="23"/>
      <c r="E1093" s="23"/>
      <c r="F1093" s="1"/>
      <c r="G1093" s="23"/>
      <c r="H1093" s="23"/>
      <c r="I1093" s="23"/>
      <c r="J1093" s="2"/>
      <c r="K1093" s="2"/>
      <c r="L1093" s="2"/>
      <c r="M1093" s="2"/>
      <c r="O1093" s="24"/>
    </row>
    <row r="1094">
      <c r="A1094" s="11"/>
      <c r="B1094" s="23"/>
      <c r="C1094" s="23"/>
      <c r="D1094" s="23"/>
      <c r="E1094" s="23"/>
      <c r="F1094" s="1"/>
      <c r="G1094" s="23"/>
      <c r="H1094" s="23"/>
      <c r="I1094" s="23"/>
      <c r="J1094" s="2"/>
      <c r="K1094" s="2"/>
      <c r="L1094" s="2"/>
      <c r="M1094" s="2"/>
      <c r="O1094" s="24"/>
    </row>
    <row r="1095">
      <c r="A1095" s="11"/>
      <c r="B1095" s="23"/>
      <c r="C1095" s="23"/>
      <c r="D1095" s="23"/>
      <c r="E1095" s="23"/>
      <c r="F1095" s="1"/>
      <c r="G1095" s="23"/>
      <c r="H1095" s="23"/>
      <c r="I1095" s="23"/>
      <c r="J1095" s="2"/>
      <c r="K1095" s="2"/>
      <c r="L1095" s="2"/>
      <c r="M1095" s="2"/>
      <c r="O1095" s="24"/>
    </row>
    <row r="1096">
      <c r="A1096" s="11"/>
      <c r="B1096" s="23"/>
      <c r="C1096" s="23"/>
      <c r="D1096" s="23"/>
      <c r="E1096" s="23"/>
      <c r="F1096" s="1"/>
      <c r="G1096" s="23"/>
      <c r="H1096" s="23"/>
      <c r="I1096" s="23"/>
      <c r="J1096" s="2"/>
      <c r="K1096" s="2"/>
      <c r="L1096" s="2"/>
      <c r="M1096" s="2"/>
      <c r="O1096" s="24"/>
    </row>
    <row r="1097">
      <c r="A1097" s="11"/>
      <c r="B1097" s="23"/>
      <c r="C1097" s="23"/>
      <c r="D1097" s="23"/>
      <c r="E1097" s="23"/>
      <c r="F1097" s="1"/>
      <c r="G1097" s="23"/>
      <c r="H1097" s="23"/>
      <c r="I1097" s="23"/>
      <c r="J1097" s="2"/>
      <c r="K1097" s="2"/>
      <c r="L1097" s="2"/>
      <c r="M1097" s="2"/>
      <c r="O1097" s="24"/>
    </row>
    <row r="1098">
      <c r="A1098" s="11"/>
      <c r="B1098" s="23"/>
      <c r="C1098" s="23"/>
      <c r="D1098" s="23"/>
      <c r="E1098" s="23"/>
      <c r="F1098" s="1"/>
      <c r="G1098" s="23"/>
      <c r="H1098" s="23"/>
      <c r="I1098" s="23"/>
      <c r="J1098" s="2"/>
      <c r="K1098" s="2"/>
      <c r="L1098" s="2"/>
      <c r="M1098" s="2"/>
      <c r="O1098" s="24"/>
    </row>
    <row r="1099">
      <c r="A1099" s="11"/>
      <c r="B1099" s="23"/>
      <c r="C1099" s="23"/>
      <c r="D1099" s="23"/>
      <c r="E1099" s="23"/>
      <c r="F1099" s="1"/>
      <c r="G1099" s="23"/>
      <c r="H1099" s="23"/>
      <c r="I1099" s="23"/>
      <c r="J1099" s="2"/>
      <c r="K1099" s="2"/>
      <c r="L1099" s="2"/>
      <c r="M1099" s="2"/>
      <c r="O1099" s="24"/>
    </row>
    <row r="1100">
      <c r="A1100" s="11"/>
      <c r="B1100" s="23"/>
      <c r="C1100" s="23"/>
      <c r="D1100" s="23"/>
      <c r="E1100" s="23"/>
      <c r="F1100" s="1"/>
      <c r="G1100" s="23"/>
      <c r="H1100" s="23"/>
      <c r="I1100" s="23"/>
      <c r="J1100" s="2"/>
      <c r="K1100" s="2"/>
      <c r="L1100" s="2"/>
      <c r="M1100" s="2"/>
      <c r="O1100" s="24"/>
    </row>
    <row r="1101">
      <c r="A1101" s="11"/>
      <c r="B1101" s="23"/>
      <c r="C1101" s="23"/>
      <c r="D1101" s="23"/>
      <c r="E1101" s="23"/>
      <c r="F1101" s="1"/>
      <c r="G1101" s="23"/>
      <c r="H1101" s="23"/>
      <c r="I1101" s="23"/>
      <c r="J1101" s="2"/>
      <c r="K1101" s="2"/>
      <c r="L1101" s="2"/>
      <c r="M1101" s="2"/>
      <c r="O1101" s="24"/>
    </row>
    <row r="1102">
      <c r="A1102" s="11"/>
      <c r="B1102" s="23"/>
      <c r="C1102" s="23"/>
      <c r="D1102" s="23"/>
      <c r="E1102" s="23"/>
      <c r="F1102" s="1"/>
      <c r="G1102" s="23"/>
      <c r="H1102" s="23"/>
      <c r="I1102" s="23"/>
      <c r="J1102" s="2"/>
      <c r="K1102" s="2"/>
      <c r="L1102" s="2"/>
      <c r="M1102" s="2"/>
      <c r="O1102" s="24"/>
    </row>
    <row r="1103">
      <c r="A1103" s="11"/>
      <c r="B1103" s="23"/>
      <c r="C1103" s="23"/>
      <c r="D1103" s="23"/>
      <c r="E1103" s="23"/>
      <c r="F1103" s="1"/>
      <c r="G1103" s="23"/>
      <c r="H1103" s="23"/>
      <c r="I1103" s="23"/>
      <c r="J1103" s="2"/>
      <c r="K1103" s="2"/>
      <c r="L1103" s="2"/>
      <c r="M1103" s="2"/>
      <c r="O1103" s="24"/>
    </row>
    <row r="1104">
      <c r="A1104" s="11"/>
      <c r="B1104" s="23"/>
      <c r="C1104" s="23"/>
      <c r="D1104" s="23"/>
      <c r="E1104" s="23"/>
      <c r="F1104" s="1"/>
      <c r="G1104" s="23"/>
      <c r="H1104" s="23"/>
      <c r="I1104" s="23"/>
      <c r="J1104" s="2"/>
      <c r="K1104" s="2"/>
      <c r="L1104" s="2"/>
      <c r="M1104" s="2"/>
      <c r="O1104" s="24"/>
    </row>
    <row r="1105">
      <c r="A1105" s="11"/>
      <c r="B1105" s="23"/>
      <c r="C1105" s="23"/>
      <c r="D1105" s="23"/>
      <c r="E1105" s="23"/>
      <c r="F1105" s="1"/>
      <c r="G1105" s="23"/>
      <c r="H1105" s="23"/>
      <c r="I1105" s="23"/>
      <c r="J1105" s="2"/>
      <c r="K1105" s="2"/>
      <c r="L1105" s="2"/>
      <c r="M1105" s="2"/>
      <c r="O1105" s="24"/>
    </row>
    <row r="1106">
      <c r="A1106" s="11"/>
      <c r="B1106" s="23"/>
      <c r="C1106" s="23"/>
      <c r="D1106" s="23"/>
      <c r="E1106" s="23"/>
      <c r="F1106" s="1"/>
      <c r="G1106" s="23"/>
      <c r="H1106" s="23"/>
      <c r="I1106" s="23"/>
      <c r="J1106" s="2"/>
      <c r="K1106" s="2"/>
      <c r="L1106" s="2"/>
      <c r="M1106" s="2"/>
      <c r="O1106" s="24"/>
    </row>
    <row r="1107">
      <c r="A1107" s="11"/>
      <c r="B1107" s="23"/>
      <c r="C1107" s="23"/>
      <c r="D1107" s="23"/>
      <c r="E1107" s="23"/>
      <c r="F1107" s="1"/>
      <c r="G1107" s="23"/>
      <c r="H1107" s="23"/>
      <c r="I1107" s="23"/>
      <c r="J1107" s="2"/>
      <c r="K1107" s="2"/>
      <c r="L1107" s="2"/>
      <c r="M1107" s="2"/>
      <c r="O1107" s="24"/>
    </row>
  </sheetData>
  <autoFilter ref="$A$1:$O$316"/>
  <dataValidations>
    <dataValidation type="list" allowBlank="1" showErrorMessage="1" sqref="M2:M1107">
      <formula1>"Pre test (diagnóstico),Post test (cierre)"</formula1>
    </dataValidation>
    <dataValidation type="list" allowBlank="1" showErrorMessage="1" sqref="L2:L1107">
      <formula1>"Nivel 1,Nivel 2,Nivel 3,Nivel 4"</formula1>
    </dataValidation>
    <dataValidation type="list" allowBlank="1" showErrorMessage="1" sqref="K2:K1107">
      <formula1>"Rutinas SEL visibles,Modelado del lenguaje emocional,Estrategias de regulación emocional,Promoción de la voz estudiantil,Visión institucional de SEL,Liderazgo en SEL,Formación del personal,Participación familiar,Evaluación y uso de datos"</formula1>
    </dataValidation>
    <dataValidation type="list" allowBlank="1" showErrorMessage="1" sqref="F2:F1107">
      <formula1>IIEE[Institución educativa]</formula1>
    </dataValidation>
    <dataValidation type="list" allowBlank="1" showErrorMessage="1" sqref="O2:O1107">
      <formula1>Facilitador_a[Facilitador/a]</formula1>
    </dataValidation>
    <dataValidation type="list" allowBlank="1" showErrorMessage="1" sqref="J2:J1107">
      <formula1>"Prácticas en aula,Sistemas escolares"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2.25"/>
    <col customWidth="1" min="3" max="3" width="8.5"/>
    <col customWidth="1" min="4" max="4" width="12.25"/>
    <col customWidth="1" min="5" max="5" width="20.88"/>
    <col customWidth="1" min="6" max="6" width="17.63"/>
    <col customWidth="1" min="7" max="7" width="12.0"/>
    <col customWidth="1" min="8" max="8" width="11.25"/>
    <col customWidth="1" min="9" max="9" width="8.5"/>
    <col customWidth="1" min="10" max="11" width="11.5"/>
    <col customWidth="1" min="12" max="12" width="23.63"/>
    <col customWidth="1" min="13" max="13" width="8.0"/>
    <col customWidth="1" min="14" max="14" width="16.88"/>
    <col customWidth="1" min="15" max="15" width="18.13"/>
    <col customWidth="1" min="16" max="16" width="13.38"/>
    <col customWidth="1" min="17" max="17" width="23.75"/>
    <col customWidth="1" min="18" max="18" width="38.5"/>
    <col customWidth="1" min="19" max="19" width="13.88"/>
    <col customWidth="1" min="20" max="20" width="24.25"/>
    <col customWidth="1" min="21" max="21" width="33.0"/>
    <col customWidth="1" min="22" max="22" width="15.13"/>
    <col customWidth="1" min="23" max="23" width="25.5"/>
    <col customWidth="1" min="24" max="24" width="34.25"/>
    <col customWidth="1" min="25" max="25" width="20.5"/>
    <col customWidth="1" min="26" max="26" width="30.88"/>
    <col customWidth="1" min="27" max="27" width="65.13"/>
    <col customWidth="1" min="28" max="28" width="28.0"/>
    <col customWidth="1" min="29" max="29" width="38.38"/>
    <col customWidth="1" min="30" max="30" width="47.13"/>
    <col customWidth="1" min="31" max="31" width="11.13"/>
    <col customWidth="1" min="32" max="32" width="23.88"/>
  </cols>
  <sheetData>
    <row r="1">
      <c r="A1" s="3" t="s">
        <v>51</v>
      </c>
      <c r="B1" s="4" t="s">
        <v>0</v>
      </c>
      <c r="C1" s="4" t="s">
        <v>1</v>
      </c>
      <c r="D1" s="4" t="s">
        <v>2</v>
      </c>
      <c r="E1" s="4" t="s">
        <v>3</v>
      </c>
      <c r="F1" s="5" t="s">
        <v>4</v>
      </c>
      <c r="G1" s="4" t="s">
        <v>52</v>
      </c>
      <c r="H1" s="4" t="s">
        <v>53</v>
      </c>
      <c r="I1" s="4" t="s">
        <v>54</v>
      </c>
      <c r="J1" s="7" t="s">
        <v>59</v>
      </c>
      <c r="K1" s="6" t="s">
        <v>60</v>
      </c>
      <c r="L1" s="7" t="s">
        <v>56</v>
      </c>
      <c r="M1" s="6" t="s">
        <v>167</v>
      </c>
      <c r="N1" s="6" t="s">
        <v>168</v>
      </c>
      <c r="O1" s="6" t="s">
        <v>169</v>
      </c>
      <c r="P1" s="6" t="s">
        <v>2169</v>
      </c>
      <c r="Q1" s="6" t="s">
        <v>4610</v>
      </c>
      <c r="R1" s="6" t="s">
        <v>4611</v>
      </c>
      <c r="S1" s="6" t="s">
        <v>2779</v>
      </c>
      <c r="T1" s="6" t="s">
        <v>4612</v>
      </c>
      <c r="U1" s="6" t="s">
        <v>4613</v>
      </c>
      <c r="V1" s="6" t="s">
        <v>2783</v>
      </c>
      <c r="W1" s="6" t="s">
        <v>4614</v>
      </c>
      <c r="X1" s="6" t="s">
        <v>4615</v>
      </c>
      <c r="Y1" s="6" t="s">
        <v>2796</v>
      </c>
      <c r="Z1" s="6" t="s">
        <v>4616</v>
      </c>
      <c r="AA1" s="6" t="s">
        <v>4617</v>
      </c>
      <c r="AB1" s="6" t="s">
        <v>2800</v>
      </c>
      <c r="AC1" s="6" t="s">
        <v>4618</v>
      </c>
      <c r="AD1" s="6" t="s">
        <v>4619</v>
      </c>
      <c r="AE1" s="6" t="s">
        <v>63</v>
      </c>
      <c r="AF1" s="10" t="s">
        <v>64</v>
      </c>
    </row>
    <row r="2">
      <c r="A2" s="11"/>
      <c r="B2" s="12" t="s">
        <v>43</v>
      </c>
      <c r="C2" s="12" t="s">
        <v>65</v>
      </c>
      <c r="D2" s="12" t="s">
        <v>43</v>
      </c>
      <c r="E2" s="12" t="s">
        <v>188</v>
      </c>
      <c r="F2" s="13" t="s">
        <v>189</v>
      </c>
      <c r="G2" s="12" t="s">
        <v>68</v>
      </c>
      <c r="H2" s="12" t="s">
        <v>190</v>
      </c>
      <c r="I2" s="12" t="s">
        <v>191</v>
      </c>
      <c r="J2" s="17" t="s">
        <v>73</v>
      </c>
      <c r="K2" s="17" t="s">
        <v>74</v>
      </c>
      <c r="L2" s="116" t="s">
        <v>3407</v>
      </c>
      <c r="M2" s="17">
        <v>28.0</v>
      </c>
      <c r="N2" s="20">
        <v>45972.0</v>
      </c>
      <c r="O2" s="17" t="s">
        <v>428</v>
      </c>
      <c r="P2" s="17" t="s">
        <v>4620</v>
      </c>
      <c r="Q2" s="17" t="s">
        <v>4621</v>
      </c>
      <c r="R2" s="16" t="s">
        <v>4622</v>
      </c>
      <c r="S2" s="17" t="s">
        <v>4620</v>
      </c>
      <c r="T2" s="17" t="s">
        <v>4623</v>
      </c>
      <c r="U2" s="16" t="s">
        <v>4624</v>
      </c>
      <c r="V2" s="17" t="s">
        <v>4620</v>
      </c>
      <c r="W2" s="17" t="s">
        <v>4621</v>
      </c>
      <c r="X2" s="16" t="s">
        <v>4625</v>
      </c>
      <c r="Y2" s="17" t="s">
        <v>4620</v>
      </c>
      <c r="Z2" s="17" t="s">
        <v>4623</v>
      </c>
      <c r="AA2" s="16" t="s">
        <v>4626</v>
      </c>
      <c r="AB2" s="17" t="s">
        <v>4620</v>
      </c>
      <c r="AC2" s="17" t="s">
        <v>4627</v>
      </c>
      <c r="AD2" s="16" t="s">
        <v>4628</v>
      </c>
      <c r="AF2" s="18" t="s">
        <v>76</v>
      </c>
    </row>
    <row r="3" ht="54.0" customHeight="1">
      <c r="A3" s="11"/>
      <c r="B3" s="12" t="s">
        <v>43</v>
      </c>
      <c r="C3" s="12" t="s">
        <v>65</v>
      </c>
      <c r="D3" s="12" t="s">
        <v>43</v>
      </c>
      <c r="E3" s="12" t="s">
        <v>188</v>
      </c>
      <c r="F3" s="13" t="s">
        <v>189</v>
      </c>
      <c r="G3" s="12" t="s">
        <v>68</v>
      </c>
      <c r="H3" s="12" t="s">
        <v>190</v>
      </c>
      <c r="I3" s="12" t="s">
        <v>191</v>
      </c>
      <c r="J3" s="17" t="s">
        <v>112</v>
      </c>
      <c r="K3" s="17" t="s">
        <v>1939</v>
      </c>
      <c r="L3" s="136" t="s">
        <v>3759</v>
      </c>
      <c r="M3" s="40"/>
      <c r="N3" s="20">
        <v>45972.0</v>
      </c>
      <c r="O3" s="17" t="s">
        <v>428</v>
      </c>
      <c r="P3" s="17" t="s">
        <v>4620</v>
      </c>
      <c r="Q3" s="17" t="s">
        <v>4621</v>
      </c>
      <c r="R3" s="16" t="s">
        <v>4629</v>
      </c>
      <c r="S3" s="17" t="s">
        <v>4620</v>
      </c>
      <c r="T3" s="17" t="s">
        <v>4621</v>
      </c>
      <c r="U3" s="16" t="s">
        <v>4630</v>
      </c>
      <c r="V3" s="17" t="s">
        <v>4620</v>
      </c>
      <c r="W3" s="17" t="s">
        <v>4621</v>
      </c>
      <c r="X3" s="16" t="s">
        <v>4631</v>
      </c>
      <c r="Y3" s="17" t="s">
        <v>4620</v>
      </c>
      <c r="Z3" s="17" t="s">
        <v>4621</v>
      </c>
      <c r="AA3" s="17" t="s">
        <v>4632</v>
      </c>
      <c r="AB3" s="17" t="s">
        <v>4620</v>
      </c>
      <c r="AC3" s="17" t="s">
        <v>4621</v>
      </c>
      <c r="AD3" s="16" t="s">
        <v>4633</v>
      </c>
      <c r="AF3" s="18" t="s">
        <v>76</v>
      </c>
    </row>
    <row r="4">
      <c r="A4" s="11"/>
      <c r="B4" s="12" t="s">
        <v>43</v>
      </c>
      <c r="C4" s="12" t="s">
        <v>65</v>
      </c>
      <c r="D4" s="12" t="s">
        <v>43</v>
      </c>
      <c r="E4" s="12" t="s">
        <v>188</v>
      </c>
      <c r="F4" s="13" t="s">
        <v>189</v>
      </c>
      <c r="G4" s="12" t="s">
        <v>68</v>
      </c>
      <c r="H4" s="12" t="s">
        <v>190</v>
      </c>
      <c r="I4" s="12" t="s">
        <v>191</v>
      </c>
      <c r="J4" s="17" t="s">
        <v>108</v>
      </c>
      <c r="K4" s="17" t="s">
        <v>109</v>
      </c>
      <c r="L4" s="17" t="s">
        <v>3408</v>
      </c>
      <c r="M4" s="17">
        <v>30.0</v>
      </c>
      <c r="N4" s="20">
        <v>45972.0</v>
      </c>
      <c r="O4" s="17" t="s">
        <v>428</v>
      </c>
      <c r="P4" s="17" t="s">
        <v>4620</v>
      </c>
      <c r="Q4" s="17" t="s">
        <v>4621</v>
      </c>
      <c r="R4" s="16" t="s">
        <v>4634</v>
      </c>
      <c r="S4" s="17" t="s">
        <v>4620</v>
      </c>
      <c r="T4" s="17" t="s">
        <v>4621</v>
      </c>
      <c r="U4" s="16" t="s">
        <v>4635</v>
      </c>
      <c r="V4" s="17" t="s">
        <v>4620</v>
      </c>
      <c r="W4" s="17" t="s">
        <v>4621</v>
      </c>
      <c r="X4" s="16" t="s">
        <v>4631</v>
      </c>
      <c r="Y4" s="17" t="s">
        <v>4620</v>
      </c>
      <c r="Z4" s="17" t="s">
        <v>4621</v>
      </c>
      <c r="AA4" s="16" t="s">
        <v>4636</v>
      </c>
      <c r="AB4" s="17" t="s">
        <v>4620</v>
      </c>
      <c r="AC4" s="17" t="s">
        <v>4621</v>
      </c>
      <c r="AD4" s="16" t="s">
        <v>4637</v>
      </c>
      <c r="AF4" s="18" t="s">
        <v>76</v>
      </c>
    </row>
    <row r="5">
      <c r="A5" s="11"/>
      <c r="B5" s="12" t="s">
        <v>43</v>
      </c>
      <c r="C5" s="12" t="s">
        <v>65</v>
      </c>
      <c r="D5" s="12" t="s">
        <v>43</v>
      </c>
      <c r="E5" s="12" t="s">
        <v>203</v>
      </c>
      <c r="F5" s="13" t="s">
        <v>204</v>
      </c>
      <c r="G5" s="12" t="s">
        <v>68</v>
      </c>
      <c r="H5" s="12" t="s">
        <v>205</v>
      </c>
      <c r="I5" s="12" t="s">
        <v>206</v>
      </c>
      <c r="J5" s="17" t="s">
        <v>73</v>
      </c>
      <c r="K5" s="17" t="s">
        <v>1797</v>
      </c>
      <c r="L5" s="116" t="s">
        <v>3603</v>
      </c>
      <c r="M5" s="40"/>
      <c r="N5" s="20">
        <v>45974.0</v>
      </c>
      <c r="O5" s="17" t="s">
        <v>428</v>
      </c>
      <c r="P5" s="17" t="s">
        <v>4620</v>
      </c>
      <c r="Q5" s="17" t="s">
        <v>4621</v>
      </c>
      <c r="R5" s="16" t="s">
        <v>4638</v>
      </c>
      <c r="S5" s="17" t="s">
        <v>4620</v>
      </c>
      <c r="T5" s="17" t="s">
        <v>4627</v>
      </c>
      <c r="U5" s="16" t="s">
        <v>4639</v>
      </c>
      <c r="V5" s="17" t="s">
        <v>4620</v>
      </c>
      <c r="W5" s="17" t="s">
        <v>4627</v>
      </c>
      <c r="X5" s="16" t="s">
        <v>4640</v>
      </c>
      <c r="Y5" s="17" t="s">
        <v>4620</v>
      </c>
      <c r="Z5" s="17" t="s">
        <v>4621</v>
      </c>
      <c r="AA5" s="16" t="s">
        <v>4641</v>
      </c>
      <c r="AB5" s="17" t="s">
        <v>4620</v>
      </c>
      <c r="AC5" s="17" t="s">
        <v>4621</v>
      </c>
      <c r="AD5" s="16" t="s">
        <v>4642</v>
      </c>
      <c r="AF5" s="18" t="s">
        <v>76</v>
      </c>
    </row>
    <row r="6">
      <c r="A6" s="11"/>
      <c r="B6" s="12" t="s">
        <v>43</v>
      </c>
      <c r="C6" s="12" t="s">
        <v>65</v>
      </c>
      <c r="D6" s="12" t="s">
        <v>43</v>
      </c>
      <c r="E6" s="12" t="s">
        <v>203</v>
      </c>
      <c r="F6" s="13" t="s">
        <v>204</v>
      </c>
      <c r="G6" s="12" t="s">
        <v>68</v>
      </c>
      <c r="H6" s="12" t="s">
        <v>205</v>
      </c>
      <c r="I6" s="12" t="s">
        <v>206</v>
      </c>
      <c r="J6" s="17" t="s">
        <v>108</v>
      </c>
      <c r="K6" s="17" t="s">
        <v>109</v>
      </c>
      <c r="L6" s="124" t="s">
        <v>3604</v>
      </c>
      <c r="M6" s="40"/>
      <c r="N6" s="20">
        <v>45974.0</v>
      </c>
      <c r="O6" s="17" t="s">
        <v>428</v>
      </c>
      <c r="P6" s="17" t="s">
        <v>4620</v>
      </c>
      <c r="Q6" s="17" t="s">
        <v>4621</v>
      </c>
      <c r="R6" s="16" t="s">
        <v>4643</v>
      </c>
      <c r="S6" s="17" t="s">
        <v>4620</v>
      </c>
      <c r="T6" s="17" t="s">
        <v>4627</v>
      </c>
      <c r="U6" s="16" t="s">
        <v>4644</v>
      </c>
      <c r="V6" s="17" t="s">
        <v>4620</v>
      </c>
      <c r="W6" s="17" t="s">
        <v>4621</v>
      </c>
      <c r="X6" s="17" t="s">
        <v>4645</v>
      </c>
      <c r="Y6" s="17" t="s">
        <v>4620</v>
      </c>
      <c r="Z6" s="17" t="s">
        <v>4627</v>
      </c>
      <c r="AA6" s="16" t="s">
        <v>4641</v>
      </c>
      <c r="AB6" s="17" t="s">
        <v>4620</v>
      </c>
      <c r="AC6" s="17" t="s">
        <v>4627</v>
      </c>
      <c r="AD6" s="17" t="s">
        <v>4646</v>
      </c>
      <c r="AF6" s="18" t="s">
        <v>76</v>
      </c>
    </row>
    <row r="7">
      <c r="A7" s="11"/>
      <c r="B7" s="12" t="s">
        <v>43</v>
      </c>
      <c r="C7" s="12" t="s">
        <v>65</v>
      </c>
      <c r="D7" s="12" t="s">
        <v>43</v>
      </c>
      <c r="E7" s="12" t="s">
        <v>66</v>
      </c>
      <c r="F7" s="13" t="s">
        <v>67</v>
      </c>
      <c r="G7" s="12" t="s">
        <v>68</v>
      </c>
      <c r="H7" s="12" t="s">
        <v>69</v>
      </c>
      <c r="I7" s="12" t="s">
        <v>70</v>
      </c>
      <c r="J7" s="17" t="s">
        <v>73</v>
      </c>
      <c r="K7" s="17" t="s">
        <v>74</v>
      </c>
      <c r="L7" s="116" t="s">
        <v>3445</v>
      </c>
      <c r="M7" s="17">
        <v>26.0</v>
      </c>
      <c r="N7" s="20">
        <v>45975.0</v>
      </c>
      <c r="O7" s="17" t="s">
        <v>428</v>
      </c>
      <c r="P7" s="17" t="s">
        <v>4620</v>
      </c>
      <c r="Q7" s="17" t="s">
        <v>4621</v>
      </c>
      <c r="R7" s="16" t="s">
        <v>4647</v>
      </c>
      <c r="S7" s="17" t="s">
        <v>4620</v>
      </c>
      <c r="T7" s="17" t="s">
        <v>4621</v>
      </c>
      <c r="U7" s="17" t="s">
        <v>4648</v>
      </c>
      <c r="V7" s="17" t="s">
        <v>4620</v>
      </c>
      <c r="W7" s="17" t="s">
        <v>4621</v>
      </c>
      <c r="X7" s="17" t="s">
        <v>4649</v>
      </c>
      <c r="Y7" s="17" t="s">
        <v>4620</v>
      </c>
      <c r="Z7" s="17" t="s">
        <v>4621</v>
      </c>
      <c r="AA7" s="16" t="s">
        <v>4641</v>
      </c>
      <c r="AB7" s="17" t="s">
        <v>4620</v>
      </c>
      <c r="AC7" s="17" t="s">
        <v>4621</v>
      </c>
      <c r="AD7" s="17" t="s">
        <v>4650</v>
      </c>
      <c r="AF7" s="18" t="s">
        <v>76</v>
      </c>
    </row>
    <row r="8">
      <c r="A8" s="11"/>
      <c r="B8" s="12" t="s">
        <v>43</v>
      </c>
      <c r="C8" s="12" t="s">
        <v>65</v>
      </c>
      <c r="D8" s="12" t="s">
        <v>43</v>
      </c>
      <c r="E8" s="12" t="s">
        <v>66</v>
      </c>
      <c r="F8" s="13" t="s">
        <v>67</v>
      </c>
      <c r="G8" s="12" t="s">
        <v>68</v>
      </c>
      <c r="H8" s="12" t="s">
        <v>69</v>
      </c>
      <c r="I8" s="12" t="s">
        <v>70</v>
      </c>
      <c r="J8" s="17" t="s">
        <v>112</v>
      </c>
      <c r="K8" s="17" t="s">
        <v>113</v>
      </c>
      <c r="L8" s="17" t="s">
        <v>3949</v>
      </c>
      <c r="M8" s="17">
        <v>58.0</v>
      </c>
      <c r="N8" s="20">
        <v>45975.0</v>
      </c>
      <c r="O8" s="17" t="s">
        <v>428</v>
      </c>
      <c r="P8" s="17" t="s">
        <v>4620</v>
      </c>
      <c r="Q8" s="17" t="s">
        <v>4621</v>
      </c>
      <c r="R8" s="17" t="s">
        <v>4651</v>
      </c>
      <c r="S8" s="17" t="s">
        <v>4620</v>
      </c>
      <c r="T8" s="17" t="s">
        <v>4621</v>
      </c>
      <c r="U8" s="17" t="s">
        <v>4652</v>
      </c>
      <c r="V8" s="17" t="s">
        <v>4620</v>
      </c>
      <c r="W8" s="17" t="s">
        <v>4621</v>
      </c>
      <c r="X8" s="17" t="s">
        <v>4649</v>
      </c>
      <c r="Y8" s="17" t="s">
        <v>4620</v>
      </c>
      <c r="Z8" s="17" t="s">
        <v>4621</v>
      </c>
      <c r="AA8" s="16" t="s">
        <v>4641</v>
      </c>
      <c r="AB8" s="17" t="s">
        <v>4620</v>
      </c>
      <c r="AC8" s="17" t="s">
        <v>4621</v>
      </c>
      <c r="AD8" s="17" t="s">
        <v>4650</v>
      </c>
      <c r="AF8" s="18" t="s">
        <v>76</v>
      </c>
    </row>
    <row r="9">
      <c r="A9" s="11"/>
      <c r="B9" s="12" t="s">
        <v>7</v>
      </c>
      <c r="C9" s="12" t="s">
        <v>37</v>
      </c>
      <c r="D9" s="12" t="s">
        <v>38</v>
      </c>
      <c r="E9" s="12" t="s">
        <v>38</v>
      </c>
      <c r="F9" s="13" t="s">
        <v>42</v>
      </c>
      <c r="G9" s="12" t="s">
        <v>68</v>
      </c>
      <c r="H9" s="12" t="s">
        <v>584</v>
      </c>
      <c r="I9" s="12" t="s">
        <v>585</v>
      </c>
      <c r="J9" s="17" t="s">
        <v>108</v>
      </c>
      <c r="K9" s="17" t="s">
        <v>1775</v>
      </c>
      <c r="L9" s="17" t="s">
        <v>3288</v>
      </c>
      <c r="M9" s="17">
        <v>57.0</v>
      </c>
      <c r="N9" s="20">
        <v>45973.0</v>
      </c>
      <c r="O9" s="17" t="s">
        <v>428</v>
      </c>
      <c r="P9" s="17" t="s">
        <v>4620</v>
      </c>
      <c r="Q9" s="17" t="s">
        <v>4621</v>
      </c>
      <c r="R9" s="17" t="s">
        <v>4653</v>
      </c>
      <c r="S9" s="17" t="s">
        <v>4620</v>
      </c>
      <c r="T9" s="17" t="s">
        <v>4621</v>
      </c>
      <c r="U9" s="17" t="s">
        <v>4654</v>
      </c>
      <c r="V9" s="17" t="s">
        <v>4620</v>
      </c>
      <c r="W9" s="17" t="s">
        <v>4623</v>
      </c>
      <c r="X9" s="17" t="s">
        <v>4655</v>
      </c>
      <c r="Y9" s="17" t="s">
        <v>4620</v>
      </c>
      <c r="Z9" s="17" t="s">
        <v>4627</v>
      </c>
      <c r="AA9" s="17" t="s">
        <v>4656</v>
      </c>
      <c r="AB9" s="17" t="s">
        <v>4620</v>
      </c>
      <c r="AC9" s="17" t="s">
        <v>4621</v>
      </c>
      <c r="AD9" s="17" t="s">
        <v>4657</v>
      </c>
      <c r="AF9" s="18" t="s">
        <v>588</v>
      </c>
    </row>
    <row r="10">
      <c r="A10" s="11"/>
      <c r="B10" s="12" t="s">
        <v>7</v>
      </c>
      <c r="C10" s="12" t="s">
        <v>37</v>
      </c>
      <c r="D10" s="12" t="s">
        <v>38</v>
      </c>
      <c r="E10" s="12" t="s">
        <v>41</v>
      </c>
      <c r="F10" s="13" t="s">
        <v>39</v>
      </c>
      <c r="G10" s="12" t="s">
        <v>68</v>
      </c>
      <c r="H10" s="12" t="s">
        <v>902</v>
      </c>
      <c r="I10" s="12" t="s">
        <v>903</v>
      </c>
      <c r="J10" s="17" t="s">
        <v>108</v>
      </c>
      <c r="K10" s="17" t="s">
        <v>109</v>
      </c>
      <c r="L10" s="17" t="s">
        <v>2218</v>
      </c>
      <c r="M10" s="17">
        <v>50.0</v>
      </c>
      <c r="N10" s="20">
        <v>45972.0</v>
      </c>
      <c r="O10" s="17" t="s">
        <v>428</v>
      </c>
      <c r="P10" s="17" t="s">
        <v>4620</v>
      </c>
      <c r="Q10" s="17" t="s">
        <v>4627</v>
      </c>
      <c r="R10" s="17" t="s">
        <v>4658</v>
      </c>
      <c r="S10" s="17" t="s">
        <v>4659</v>
      </c>
      <c r="T10" s="17" t="s">
        <v>4660</v>
      </c>
      <c r="U10" s="17" t="s">
        <v>4661</v>
      </c>
      <c r="V10" s="17" t="s">
        <v>4620</v>
      </c>
      <c r="W10" s="17" t="s">
        <v>4660</v>
      </c>
      <c r="X10" s="17" t="s">
        <v>4662</v>
      </c>
      <c r="Y10" s="17" t="s">
        <v>4620</v>
      </c>
      <c r="Z10" s="17" t="s">
        <v>4627</v>
      </c>
      <c r="AA10" s="17" t="s">
        <v>4663</v>
      </c>
      <c r="AB10" s="17" t="s">
        <v>4620</v>
      </c>
      <c r="AC10" s="17" t="s">
        <v>4627</v>
      </c>
      <c r="AD10" s="17" t="s">
        <v>4664</v>
      </c>
      <c r="AF10" s="18" t="s">
        <v>588</v>
      </c>
    </row>
    <row r="11">
      <c r="A11" s="11"/>
      <c r="B11" s="12" t="s">
        <v>7</v>
      </c>
      <c r="C11" s="12" t="s">
        <v>37</v>
      </c>
      <c r="D11" s="12" t="s">
        <v>38</v>
      </c>
      <c r="E11" s="12" t="s">
        <v>41</v>
      </c>
      <c r="F11" s="13" t="s">
        <v>39</v>
      </c>
      <c r="G11" s="12" t="s">
        <v>68</v>
      </c>
      <c r="H11" s="12" t="s">
        <v>902</v>
      </c>
      <c r="I11" s="12" t="s">
        <v>903</v>
      </c>
      <c r="J11" s="17" t="s">
        <v>112</v>
      </c>
      <c r="K11" s="17" t="s">
        <v>1797</v>
      </c>
      <c r="L11" s="17" t="s">
        <v>2219</v>
      </c>
      <c r="M11" s="17">
        <v>44.0</v>
      </c>
      <c r="N11" s="20">
        <v>45972.0</v>
      </c>
      <c r="O11" s="17" t="s">
        <v>428</v>
      </c>
      <c r="P11" s="17" t="s">
        <v>4620</v>
      </c>
      <c r="Q11" s="17" t="s">
        <v>4621</v>
      </c>
      <c r="R11" s="17" t="s">
        <v>4665</v>
      </c>
      <c r="S11" s="17" t="s">
        <v>4620</v>
      </c>
      <c r="T11" s="17" t="s">
        <v>4627</v>
      </c>
      <c r="U11" s="17" t="s">
        <v>4666</v>
      </c>
      <c r="V11" s="17" t="s">
        <v>4620</v>
      </c>
      <c r="W11" s="17" t="s">
        <v>4621</v>
      </c>
      <c r="X11" s="17" t="s">
        <v>4667</v>
      </c>
      <c r="Y11" s="17" t="s">
        <v>4620</v>
      </c>
      <c r="Z11" s="17" t="s">
        <v>4621</v>
      </c>
      <c r="AA11" s="17" t="s">
        <v>4668</v>
      </c>
      <c r="AB11" s="17" t="s">
        <v>4620</v>
      </c>
      <c r="AC11" s="17" t="s">
        <v>4627</v>
      </c>
      <c r="AD11" s="17" t="s">
        <v>4669</v>
      </c>
      <c r="AF11" s="18" t="s">
        <v>588</v>
      </c>
    </row>
    <row r="12">
      <c r="A12" s="11"/>
      <c r="B12" s="12" t="s">
        <v>7</v>
      </c>
      <c r="C12" s="12" t="s">
        <v>8</v>
      </c>
      <c r="D12" s="12" t="s">
        <v>15</v>
      </c>
      <c r="E12" s="12" t="s">
        <v>21</v>
      </c>
      <c r="F12" s="13" t="s">
        <v>19</v>
      </c>
      <c r="G12" s="12" t="s">
        <v>68</v>
      </c>
      <c r="H12" s="12" t="s">
        <v>968</v>
      </c>
      <c r="I12" s="12" t="s">
        <v>969</v>
      </c>
      <c r="J12" s="17" t="s">
        <v>73</v>
      </c>
      <c r="K12" s="17" t="s">
        <v>1589</v>
      </c>
      <c r="L12" s="17" t="s">
        <v>2282</v>
      </c>
      <c r="M12" s="40"/>
      <c r="N12" s="20">
        <v>45986.0</v>
      </c>
      <c r="O12" s="17" t="s">
        <v>428</v>
      </c>
      <c r="P12" s="17" t="s">
        <v>4620</v>
      </c>
      <c r="Q12" s="17" t="s">
        <v>4623</v>
      </c>
      <c r="R12" s="17" t="s">
        <v>4670</v>
      </c>
      <c r="S12" s="17" t="s">
        <v>4620</v>
      </c>
      <c r="T12" s="17" t="s">
        <v>4621</v>
      </c>
      <c r="U12" s="17" t="s">
        <v>4671</v>
      </c>
      <c r="V12" s="17" t="s">
        <v>4620</v>
      </c>
      <c r="W12" s="17" t="s">
        <v>4623</v>
      </c>
      <c r="X12" s="17" t="s">
        <v>4672</v>
      </c>
      <c r="Y12" s="17" t="s">
        <v>4620</v>
      </c>
      <c r="Z12" s="17" t="s">
        <v>4623</v>
      </c>
      <c r="AA12" s="17" t="s">
        <v>4673</v>
      </c>
      <c r="AB12" s="17" t="s">
        <v>4620</v>
      </c>
      <c r="AC12" s="17" t="s">
        <v>4623</v>
      </c>
      <c r="AD12" s="17" t="s">
        <v>4674</v>
      </c>
      <c r="AF12" s="18" t="s">
        <v>915</v>
      </c>
    </row>
    <row r="13">
      <c r="A13" s="11"/>
      <c r="B13" s="12" t="s">
        <v>7</v>
      </c>
      <c r="C13" s="12" t="s">
        <v>8</v>
      </c>
      <c r="D13" s="12" t="s">
        <v>15</v>
      </c>
      <c r="E13" s="12" t="s">
        <v>21</v>
      </c>
      <c r="F13" s="13" t="s">
        <v>19</v>
      </c>
      <c r="G13" s="12" t="s">
        <v>68</v>
      </c>
      <c r="H13" s="12" t="s">
        <v>968</v>
      </c>
      <c r="I13" s="12" t="s">
        <v>969</v>
      </c>
      <c r="J13" s="17" t="s">
        <v>112</v>
      </c>
      <c r="K13" s="17" t="s">
        <v>1939</v>
      </c>
      <c r="L13" s="17" t="s">
        <v>3670</v>
      </c>
      <c r="M13" s="40"/>
      <c r="N13" s="20">
        <v>45986.0</v>
      </c>
      <c r="O13" s="17" t="s">
        <v>428</v>
      </c>
      <c r="P13" s="17" t="s">
        <v>4620</v>
      </c>
      <c r="Q13" s="17" t="s">
        <v>4621</v>
      </c>
      <c r="R13" s="17" t="s">
        <v>4675</v>
      </c>
      <c r="S13" s="17" t="s">
        <v>4620</v>
      </c>
      <c r="T13" s="17" t="s">
        <v>4621</v>
      </c>
      <c r="U13" s="17" t="s">
        <v>4676</v>
      </c>
      <c r="V13" s="17" t="s">
        <v>4620</v>
      </c>
      <c r="W13" s="17" t="s">
        <v>4623</v>
      </c>
      <c r="X13" s="17" t="s">
        <v>4677</v>
      </c>
      <c r="Y13" s="17" t="s">
        <v>4620</v>
      </c>
      <c r="Z13" s="17" t="s">
        <v>4621</v>
      </c>
      <c r="AA13" s="17" t="s">
        <v>4673</v>
      </c>
      <c r="AB13" s="17" t="s">
        <v>4620</v>
      </c>
      <c r="AC13" s="17" t="s">
        <v>4623</v>
      </c>
      <c r="AD13" s="17" t="s">
        <v>4678</v>
      </c>
      <c r="AF13" s="18" t="s">
        <v>915</v>
      </c>
    </row>
    <row r="14">
      <c r="A14" s="11"/>
      <c r="B14" s="12" t="s">
        <v>7</v>
      </c>
      <c r="C14" s="12" t="s">
        <v>8</v>
      </c>
      <c r="D14" s="12" t="s">
        <v>15</v>
      </c>
      <c r="E14" s="12" t="s">
        <v>21</v>
      </c>
      <c r="F14" s="13" t="s">
        <v>19</v>
      </c>
      <c r="G14" s="12" t="s">
        <v>68</v>
      </c>
      <c r="H14" s="12" t="s">
        <v>968</v>
      </c>
      <c r="I14" s="12" t="s">
        <v>969</v>
      </c>
      <c r="J14" s="17" t="s">
        <v>108</v>
      </c>
      <c r="K14" s="17" t="s">
        <v>3534</v>
      </c>
      <c r="L14" s="17" t="s">
        <v>4679</v>
      </c>
      <c r="M14" s="40"/>
      <c r="N14" s="20">
        <v>45986.0</v>
      </c>
      <c r="O14" s="17" t="s">
        <v>428</v>
      </c>
      <c r="P14" s="17" t="s">
        <v>4620</v>
      </c>
      <c r="Q14" s="17" t="s">
        <v>4623</v>
      </c>
      <c r="R14" s="17" t="s">
        <v>4680</v>
      </c>
      <c r="S14" s="17" t="s">
        <v>4620</v>
      </c>
      <c r="T14" s="17" t="s">
        <v>4621</v>
      </c>
      <c r="U14" s="17" t="s">
        <v>4681</v>
      </c>
      <c r="V14" s="17" t="s">
        <v>4620</v>
      </c>
      <c r="W14" s="17" t="s">
        <v>4623</v>
      </c>
      <c r="X14" s="17" t="s">
        <v>4682</v>
      </c>
      <c r="Y14" s="17" t="s">
        <v>4620</v>
      </c>
      <c r="Z14" s="17" t="s">
        <v>4621</v>
      </c>
      <c r="AA14" s="17" t="s">
        <v>4683</v>
      </c>
      <c r="AB14" s="17" t="s">
        <v>4620</v>
      </c>
      <c r="AC14" s="17" t="s">
        <v>4623</v>
      </c>
      <c r="AD14" s="17" t="s">
        <v>4674</v>
      </c>
      <c r="AF14" s="18" t="s">
        <v>915</v>
      </c>
    </row>
    <row r="15">
      <c r="A15" s="11"/>
      <c r="B15" s="12" t="s">
        <v>7</v>
      </c>
      <c r="C15" s="12" t="s">
        <v>8</v>
      </c>
      <c r="D15" s="12" t="s">
        <v>15</v>
      </c>
      <c r="E15" s="12" t="s">
        <v>17</v>
      </c>
      <c r="F15" s="13" t="s">
        <v>18</v>
      </c>
      <c r="G15" s="12" t="s">
        <v>68</v>
      </c>
      <c r="H15" s="12" t="s">
        <v>954</v>
      </c>
      <c r="I15" s="12" t="s">
        <v>955</v>
      </c>
      <c r="J15" s="17" t="s">
        <v>108</v>
      </c>
      <c r="K15" s="17" t="s">
        <v>3653</v>
      </c>
      <c r="L15" s="17" t="s">
        <v>4684</v>
      </c>
      <c r="M15" s="40"/>
      <c r="N15" s="20">
        <v>45982.0</v>
      </c>
      <c r="O15" s="17" t="s">
        <v>428</v>
      </c>
      <c r="P15" s="17" t="s">
        <v>4620</v>
      </c>
      <c r="Q15" s="17" t="s">
        <v>4623</v>
      </c>
      <c r="R15" s="17" t="s">
        <v>4675</v>
      </c>
      <c r="S15" s="17" t="s">
        <v>4620</v>
      </c>
      <c r="T15" s="17" t="s">
        <v>4627</v>
      </c>
      <c r="U15" s="17" t="s">
        <v>4685</v>
      </c>
      <c r="V15" s="17" t="s">
        <v>4620</v>
      </c>
      <c r="W15" s="17" t="s">
        <v>4623</v>
      </c>
      <c r="X15" s="17" t="s">
        <v>4686</v>
      </c>
      <c r="Y15" s="17" t="s">
        <v>4620</v>
      </c>
      <c r="Z15" s="17" t="s">
        <v>4623</v>
      </c>
      <c r="AA15" s="17" t="s">
        <v>4687</v>
      </c>
      <c r="AB15" s="17" t="s">
        <v>4620</v>
      </c>
      <c r="AC15" s="17" t="s">
        <v>4621</v>
      </c>
      <c r="AD15" s="17" t="s">
        <v>4688</v>
      </c>
      <c r="AF15" s="18" t="s">
        <v>915</v>
      </c>
    </row>
    <row r="16">
      <c r="A16" s="11"/>
      <c r="B16" s="12" t="s">
        <v>7</v>
      </c>
      <c r="C16" s="12" t="s">
        <v>8</v>
      </c>
      <c r="D16" s="12" t="s">
        <v>9</v>
      </c>
      <c r="E16" s="12" t="s">
        <v>10</v>
      </c>
      <c r="F16" s="13" t="s">
        <v>11</v>
      </c>
      <c r="G16" s="12" t="s">
        <v>68</v>
      </c>
      <c r="H16" s="12" t="s">
        <v>911</v>
      </c>
      <c r="I16" s="12" t="s">
        <v>912</v>
      </c>
      <c r="J16" s="17" t="s">
        <v>112</v>
      </c>
      <c r="K16" s="17" t="s">
        <v>4294</v>
      </c>
      <c r="L16" s="17" t="s">
        <v>3671</v>
      </c>
      <c r="M16" s="40"/>
      <c r="N16" s="20">
        <v>45985.0</v>
      </c>
      <c r="O16" s="17" t="s">
        <v>428</v>
      </c>
      <c r="P16" s="17" t="s">
        <v>4620</v>
      </c>
      <c r="Q16" s="17" t="s">
        <v>4621</v>
      </c>
      <c r="R16" s="17" t="s">
        <v>4689</v>
      </c>
      <c r="S16" s="17" t="s">
        <v>4620</v>
      </c>
      <c r="T16" s="17" t="s">
        <v>4621</v>
      </c>
      <c r="U16" s="17" t="s">
        <v>4690</v>
      </c>
      <c r="V16" s="17" t="s">
        <v>4620</v>
      </c>
      <c r="W16" s="17" t="s">
        <v>4621</v>
      </c>
      <c r="X16" s="17" t="s">
        <v>4691</v>
      </c>
      <c r="Y16" s="17" t="s">
        <v>4620</v>
      </c>
      <c r="Z16" s="17" t="s">
        <v>4621</v>
      </c>
      <c r="AA16" s="17" t="s">
        <v>4692</v>
      </c>
      <c r="AB16" s="17" t="s">
        <v>4620</v>
      </c>
      <c r="AC16" s="17" t="s">
        <v>4621</v>
      </c>
      <c r="AD16" s="17" t="s">
        <v>4693</v>
      </c>
      <c r="AF16" s="18" t="s">
        <v>915</v>
      </c>
    </row>
    <row r="17">
      <c r="A17" s="11"/>
      <c r="B17" s="12" t="s">
        <v>7</v>
      </c>
      <c r="C17" s="12" t="s">
        <v>8</v>
      </c>
      <c r="D17" s="12" t="s">
        <v>9</v>
      </c>
      <c r="E17" s="12" t="s">
        <v>10</v>
      </c>
      <c r="F17" s="13" t="s">
        <v>11</v>
      </c>
      <c r="G17" s="12" t="s">
        <v>68</v>
      </c>
      <c r="H17" s="12" t="s">
        <v>911</v>
      </c>
      <c r="I17" s="12" t="s">
        <v>912</v>
      </c>
      <c r="J17" s="17" t="s">
        <v>108</v>
      </c>
      <c r="K17" s="17" t="s">
        <v>3534</v>
      </c>
      <c r="L17" s="17" t="s">
        <v>4291</v>
      </c>
      <c r="M17" s="40"/>
      <c r="N17" s="20">
        <v>45985.0</v>
      </c>
      <c r="O17" s="17" t="s">
        <v>428</v>
      </c>
      <c r="P17" s="17" t="s">
        <v>4620</v>
      </c>
      <c r="Q17" s="17" t="s">
        <v>4621</v>
      </c>
      <c r="R17" s="17" t="s">
        <v>4694</v>
      </c>
      <c r="S17" s="17" t="s">
        <v>4620</v>
      </c>
      <c r="T17" s="17" t="s">
        <v>4621</v>
      </c>
      <c r="U17" s="17" t="s">
        <v>4690</v>
      </c>
      <c r="V17" s="17" t="s">
        <v>4620</v>
      </c>
      <c r="W17" s="17" t="s">
        <v>4623</v>
      </c>
      <c r="X17" s="17" t="s">
        <v>4695</v>
      </c>
      <c r="Y17" s="17" t="s">
        <v>4620</v>
      </c>
      <c r="Z17" s="17" t="s">
        <v>4621</v>
      </c>
      <c r="AA17" s="17" t="s">
        <v>4656</v>
      </c>
      <c r="AB17" s="17" t="s">
        <v>4620</v>
      </c>
      <c r="AC17" s="17" t="s">
        <v>4623</v>
      </c>
      <c r="AD17" s="17" t="s">
        <v>4696</v>
      </c>
      <c r="AF17" s="18" t="s">
        <v>915</v>
      </c>
    </row>
    <row r="18">
      <c r="A18" s="11"/>
      <c r="B18" s="12" t="s">
        <v>7</v>
      </c>
      <c r="C18" s="12" t="s">
        <v>8</v>
      </c>
      <c r="D18" s="12" t="s">
        <v>15</v>
      </c>
      <c r="E18" s="12" t="s">
        <v>15</v>
      </c>
      <c r="F18" s="13" t="s">
        <v>16</v>
      </c>
      <c r="G18" s="12" t="s">
        <v>68</v>
      </c>
      <c r="H18" s="12" t="s">
        <v>928</v>
      </c>
      <c r="I18" s="12" t="s">
        <v>929</v>
      </c>
      <c r="J18" s="17" t="s">
        <v>73</v>
      </c>
      <c r="K18" s="17" t="s">
        <v>1589</v>
      </c>
      <c r="L18" s="17" t="s">
        <v>4697</v>
      </c>
      <c r="M18" s="40"/>
      <c r="N18" s="20">
        <v>45986.0</v>
      </c>
      <c r="O18" s="17" t="s">
        <v>428</v>
      </c>
      <c r="P18" s="17" t="s">
        <v>4620</v>
      </c>
      <c r="Q18" s="17" t="s">
        <v>4623</v>
      </c>
      <c r="R18" s="17" t="s">
        <v>4698</v>
      </c>
      <c r="S18" s="17" t="s">
        <v>4620</v>
      </c>
      <c r="T18" s="17" t="s">
        <v>4621</v>
      </c>
      <c r="U18" s="17" t="s">
        <v>4699</v>
      </c>
      <c r="V18" s="17" t="s">
        <v>4620</v>
      </c>
      <c r="W18" s="17" t="s">
        <v>4623</v>
      </c>
      <c r="X18" s="17" t="s">
        <v>4700</v>
      </c>
      <c r="Y18" s="17" t="s">
        <v>4620</v>
      </c>
      <c r="Z18" s="17" t="s">
        <v>4623</v>
      </c>
      <c r="AA18" s="17" t="s">
        <v>4701</v>
      </c>
      <c r="AB18" s="17" t="s">
        <v>4620</v>
      </c>
      <c r="AC18" s="17" t="s">
        <v>4623</v>
      </c>
      <c r="AD18" s="17" t="s">
        <v>4696</v>
      </c>
      <c r="AF18" s="18" t="s">
        <v>915</v>
      </c>
    </row>
    <row r="19">
      <c r="A19" s="11"/>
      <c r="B19" s="12" t="s">
        <v>7</v>
      </c>
      <c r="C19" s="12" t="s">
        <v>8</v>
      </c>
      <c r="D19" s="12" t="s">
        <v>15</v>
      </c>
      <c r="E19" s="12" t="s">
        <v>15</v>
      </c>
      <c r="F19" s="13" t="s">
        <v>16</v>
      </c>
      <c r="G19" s="12" t="s">
        <v>68</v>
      </c>
      <c r="H19" s="12" t="s">
        <v>928</v>
      </c>
      <c r="I19" s="12" t="s">
        <v>929</v>
      </c>
      <c r="J19" s="17" t="s">
        <v>112</v>
      </c>
      <c r="K19" s="17" t="s">
        <v>1939</v>
      </c>
      <c r="L19" s="17" t="s">
        <v>4296</v>
      </c>
      <c r="M19" s="40"/>
      <c r="N19" s="20">
        <v>45986.0</v>
      </c>
      <c r="O19" s="17" t="s">
        <v>428</v>
      </c>
      <c r="P19" s="17" t="s">
        <v>4620</v>
      </c>
      <c r="Q19" s="17" t="s">
        <v>4623</v>
      </c>
      <c r="R19" s="17" t="s">
        <v>4702</v>
      </c>
      <c r="S19" s="17" t="s">
        <v>4620</v>
      </c>
      <c r="T19" s="17" t="s">
        <v>4627</v>
      </c>
      <c r="U19" s="17" t="s">
        <v>4703</v>
      </c>
      <c r="V19" s="17" t="s">
        <v>4620</v>
      </c>
      <c r="W19" s="17" t="s">
        <v>4621</v>
      </c>
      <c r="X19" s="17" t="s">
        <v>4704</v>
      </c>
      <c r="Y19" s="17" t="s">
        <v>4620</v>
      </c>
      <c r="Z19" s="17" t="s">
        <v>4621</v>
      </c>
      <c r="AA19" s="17" t="s">
        <v>4705</v>
      </c>
      <c r="AB19" s="17" t="s">
        <v>4620</v>
      </c>
      <c r="AC19" s="17" t="s">
        <v>4621</v>
      </c>
      <c r="AD19" s="17" t="s">
        <v>4706</v>
      </c>
      <c r="AF19" s="18" t="s">
        <v>915</v>
      </c>
    </row>
    <row r="20">
      <c r="A20" s="11"/>
      <c r="B20" s="12" t="s">
        <v>7</v>
      </c>
      <c r="C20" s="12" t="s">
        <v>8</v>
      </c>
      <c r="D20" s="12" t="s">
        <v>15</v>
      </c>
      <c r="E20" s="12" t="s">
        <v>15</v>
      </c>
      <c r="F20" s="13" t="s">
        <v>16</v>
      </c>
      <c r="G20" s="12" t="s">
        <v>68</v>
      </c>
      <c r="H20" s="12" t="s">
        <v>928</v>
      </c>
      <c r="I20" s="12" t="s">
        <v>929</v>
      </c>
      <c r="J20" s="17" t="s">
        <v>108</v>
      </c>
      <c r="K20" s="17" t="s">
        <v>3534</v>
      </c>
      <c r="L20" s="17" t="s">
        <v>4707</v>
      </c>
      <c r="M20" s="40"/>
      <c r="N20" s="20">
        <v>45986.0</v>
      </c>
      <c r="O20" s="17" t="s">
        <v>428</v>
      </c>
      <c r="P20" s="17" t="s">
        <v>4620</v>
      </c>
      <c r="Q20" s="17" t="s">
        <v>4621</v>
      </c>
      <c r="R20" s="17" t="s">
        <v>4708</v>
      </c>
      <c r="S20" s="17" t="s">
        <v>4620</v>
      </c>
      <c r="T20" s="17" t="s">
        <v>4627</v>
      </c>
      <c r="U20" s="17" t="s">
        <v>4703</v>
      </c>
      <c r="V20" s="17" t="s">
        <v>4620</v>
      </c>
      <c r="W20" s="17" t="s">
        <v>4621</v>
      </c>
      <c r="X20" s="17" t="s">
        <v>4704</v>
      </c>
      <c r="Y20" s="17" t="s">
        <v>4620</v>
      </c>
      <c r="Z20" s="17" t="s">
        <v>4621</v>
      </c>
      <c r="AA20" s="17" t="s">
        <v>4709</v>
      </c>
      <c r="AB20" s="17" t="s">
        <v>4620</v>
      </c>
      <c r="AC20" s="17" t="s">
        <v>4621</v>
      </c>
      <c r="AD20" s="17" t="s">
        <v>4706</v>
      </c>
      <c r="AF20" s="18" t="s">
        <v>915</v>
      </c>
    </row>
    <row r="21">
      <c r="A21" s="11"/>
      <c r="B21" s="12" t="s">
        <v>22</v>
      </c>
      <c r="C21" s="12" t="s">
        <v>22</v>
      </c>
      <c r="D21" s="12" t="s">
        <v>22</v>
      </c>
      <c r="E21" s="12" t="s">
        <v>593</v>
      </c>
      <c r="F21" s="13" t="s">
        <v>594</v>
      </c>
      <c r="G21" s="12" t="s">
        <v>68</v>
      </c>
      <c r="H21" s="12" t="s">
        <v>595</v>
      </c>
      <c r="I21" s="12" t="s">
        <v>596</v>
      </c>
      <c r="J21" s="17" t="s">
        <v>73</v>
      </c>
      <c r="K21" s="17" t="s">
        <v>74</v>
      </c>
      <c r="L21" s="17" t="s">
        <v>4495</v>
      </c>
      <c r="M21" s="17">
        <v>44.0</v>
      </c>
      <c r="N21" s="20">
        <v>45979.0</v>
      </c>
      <c r="O21" s="17" t="s">
        <v>428</v>
      </c>
      <c r="P21" s="17" t="s">
        <v>4620</v>
      </c>
      <c r="Q21" s="17" t="s">
        <v>4621</v>
      </c>
      <c r="R21" s="17" t="s">
        <v>4710</v>
      </c>
      <c r="S21" s="17" t="s">
        <v>4620</v>
      </c>
      <c r="T21" s="17" t="s">
        <v>4621</v>
      </c>
      <c r="U21" s="17" t="s">
        <v>4711</v>
      </c>
      <c r="V21" s="17" t="s">
        <v>4620</v>
      </c>
      <c r="W21" s="17" t="s">
        <v>4621</v>
      </c>
      <c r="X21" s="17" t="s">
        <v>4712</v>
      </c>
      <c r="Y21" s="17" t="s">
        <v>4620</v>
      </c>
      <c r="Z21" s="17" t="s">
        <v>4621</v>
      </c>
      <c r="AA21" s="17" t="s">
        <v>4713</v>
      </c>
      <c r="AB21" s="17" t="s">
        <v>4620</v>
      </c>
      <c r="AC21" s="17" t="s">
        <v>4621</v>
      </c>
      <c r="AD21" s="17" t="s">
        <v>4714</v>
      </c>
      <c r="AF21" s="18" t="s">
        <v>588</v>
      </c>
    </row>
    <row r="22">
      <c r="A22" s="11"/>
      <c r="B22" s="12" t="s">
        <v>22</v>
      </c>
      <c r="C22" s="12" t="s">
        <v>22</v>
      </c>
      <c r="D22" s="12" t="s">
        <v>22</v>
      </c>
      <c r="E22" s="12" t="s">
        <v>593</v>
      </c>
      <c r="F22" s="13" t="s">
        <v>594</v>
      </c>
      <c r="G22" s="12" t="s">
        <v>68</v>
      </c>
      <c r="H22" s="12" t="s">
        <v>595</v>
      </c>
      <c r="I22" s="12" t="s">
        <v>596</v>
      </c>
      <c r="J22" s="17" t="s">
        <v>73</v>
      </c>
      <c r="K22" s="17" t="s">
        <v>74</v>
      </c>
      <c r="L22" s="17" t="s">
        <v>4497</v>
      </c>
      <c r="M22" s="17">
        <v>28.0</v>
      </c>
      <c r="N22" s="20">
        <v>45979.0</v>
      </c>
      <c r="O22" s="17" t="s">
        <v>428</v>
      </c>
      <c r="P22" s="17" t="s">
        <v>4620</v>
      </c>
      <c r="Q22" s="17" t="s">
        <v>4621</v>
      </c>
      <c r="R22" s="17" t="s">
        <v>4715</v>
      </c>
      <c r="S22" s="17" t="s">
        <v>4620</v>
      </c>
      <c r="T22" s="17" t="s">
        <v>4621</v>
      </c>
      <c r="U22" s="17" t="s">
        <v>4716</v>
      </c>
      <c r="V22" s="17" t="s">
        <v>4620</v>
      </c>
      <c r="W22" s="17" t="s">
        <v>4621</v>
      </c>
      <c r="X22" s="17" t="s">
        <v>4717</v>
      </c>
      <c r="Y22" s="17" t="s">
        <v>4620</v>
      </c>
      <c r="Z22" s="17" t="s">
        <v>4621</v>
      </c>
      <c r="AA22" s="17" t="s">
        <v>4718</v>
      </c>
      <c r="AB22" s="17" t="s">
        <v>4620</v>
      </c>
      <c r="AC22" s="17" t="s">
        <v>4621</v>
      </c>
      <c r="AD22" s="17" t="s">
        <v>4714</v>
      </c>
      <c r="AF22" s="18" t="s">
        <v>588</v>
      </c>
    </row>
    <row r="23">
      <c r="A23" s="11"/>
      <c r="B23" s="12" t="s">
        <v>22</v>
      </c>
      <c r="C23" s="12" t="s">
        <v>22</v>
      </c>
      <c r="D23" s="12" t="s">
        <v>22</v>
      </c>
      <c r="E23" s="12" t="s">
        <v>593</v>
      </c>
      <c r="F23" s="13" t="s">
        <v>594</v>
      </c>
      <c r="G23" s="12" t="s">
        <v>68</v>
      </c>
      <c r="H23" s="12" t="s">
        <v>595</v>
      </c>
      <c r="I23" s="12" t="s">
        <v>596</v>
      </c>
      <c r="J23" s="17" t="s">
        <v>108</v>
      </c>
      <c r="K23" s="17" t="s">
        <v>109</v>
      </c>
      <c r="L23" s="17" t="s">
        <v>4501</v>
      </c>
      <c r="M23" s="17">
        <v>27.0</v>
      </c>
      <c r="N23" s="20">
        <v>45979.0</v>
      </c>
      <c r="O23" s="17" t="s">
        <v>428</v>
      </c>
      <c r="P23" s="17" t="s">
        <v>4620</v>
      </c>
      <c r="Q23" s="17" t="s">
        <v>4621</v>
      </c>
      <c r="R23" s="17" t="s">
        <v>4719</v>
      </c>
      <c r="S23" s="17" t="s">
        <v>4620</v>
      </c>
      <c r="T23" s="17" t="s">
        <v>4621</v>
      </c>
      <c r="U23" s="17" t="s">
        <v>4720</v>
      </c>
      <c r="V23" s="17" t="s">
        <v>4620</v>
      </c>
      <c r="W23" s="17" t="s">
        <v>4621</v>
      </c>
      <c r="X23" s="17" t="s">
        <v>4721</v>
      </c>
      <c r="Y23" s="17" t="s">
        <v>4620</v>
      </c>
      <c r="Z23" s="17" t="s">
        <v>4621</v>
      </c>
      <c r="AA23" s="17" t="s">
        <v>4713</v>
      </c>
      <c r="AB23" s="17" t="s">
        <v>4620</v>
      </c>
      <c r="AC23" s="17" t="s">
        <v>4621</v>
      </c>
      <c r="AD23" s="17" t="s">
        <v>4714</v>
      </c>
      <c r="AF23" s="18" t="s">
        <v>588</v>
      </c>
    </row>
    <row r="24">
      <c r="A24" s="11"/>
      <c r="B24" s="12" t="s">
        <v>22</v>
      </c>
      <c r="C24" s="12" t="s">
        <v>22</v>
      </c>
      <c r="D24" s="12" t="s">
        <v>22</v>
      </c>
      <c r="E24" s="12" t="s">
        <v>593</v>
      </c>
      <c r="F24" s="13" t="s">
        <v>594</v>
      </c>
      <c r="G24" s="12" t="s">
        <v>68</v>
      </c>
      <c r="H24" s="12" t="s">
        <v>595</v>
      </c>
      <c r="I24" s="12" t="s">
        <v>596</v>
      </c>
      <c r="J24" s="17" t="s">
        <v>108</v>
      </c>
      <c r="K24" s="17" t="s">
        <v>109</v>
      </c>
      <c r="L24" s="17" t="s">
        <v>2197</v>
      </c>
      <c r="M24" s="17">
        <v>27.0</v>
      </c>
      <c r="N24" s="20">
        <v>45979.0</v>
      </c>
      <c r="O24" s="17" t="s">
        <v>428</v>
      </c>
      <c r="P24" s="17" t="s">
        <v>4620</v>
      </c>
      <c r="Q24" s="17" t="s">
        <v>4621</v>
      </c>
      <c r="R24" s="17" t="s">
        <v>4722</v>
      </c>
      <c r="S24" s="17" t="s">
        <v>4620</v>
      </c>
      <c r="T24" s="17" t="s">
        <v>4621</v>
      </c>
      <c r="U24" s="17" t="s">
        <v>4720</v>
      </c>
      <c r="V24" s="17" t="s">
        <v>4620</v>
      </c>
      <c r="W24" s="17" t="s">
        <v>4621</v>
      </c>
      <c r="X24" s="17" t="s">
        <v>4721</v>
      </c>
      <c r="Y24" s="17" t="s">
        <v>4620</v>
      </c>
      <c r="Z24" s="17" t="s">
        <v>4621</v>
      </c>
      <c r="AA24" s="17" t="s">
        <v>4713</v>
      </c>
      <c r="AB24" s="17" t="s">
        <v>4620</v>
      </c>
      <c r="AC24" s="17" t="s">
        <v>4621</v>
      </c>
      <c r="AD24" s="17" t="s">
        <v>4714</v>
      </c>
      <c r="AF24" s="18" t="s">
        <v>588</v>
      </c>
    </row>
    <row r="25">
      <c r="A25" s="11"/>
      <c r="B25" s="12" t="s">
        <v>22</v>
      </c>
      <c r="C25" s="12" t="s">
        <v>22</v>
      </c>
      <c r="D25" s="12" t="s">
        <v>22</v>
      </c>
      <c r="E25" s="12" t="s">
        <v>593</v>
      </c>
      <c r="F25" s="13" t="s">
        <v>594</v>
      </c>
      <c r="G25" s="12" t="s">
        <v>68</v>
      </c>
      <c r="H25" s="12" t="s">
        <v>595</v>
      </c>
      <c r="I25" s="12" t="s">
        <v>596</v>
      </c>
      <c r="J25" s="17" t="s">
        <v>112</v>
      </c>
      <c r="K25" s="17" t="s">
        <v>113</v>
      </c>
      <c r="L25" s="17" t="s">
        <v>2195</v>
      </c>
      <c r="M25" s="17">
        <v>50.0</v>
      </c>
      <c r="N25" s="20">
        <v>45979.0</v>
      </c>
      <c r="O25" s="17" t="s">
        <v>428</v>
      </c>
      <c r="P25" s="17" t="s">
        <v>4620</v>
      </c>
      <c r="Q25" s="17" t="s">
        <v>4621</v>
      </c>
      <c r="R25" s="17" t="s">
        <v>4723</v>
      </c>
      <c r="S25" s="17" t="s">
        <v>4620</v>
      </c>
      <c r="T25" s="17" t="s">
        <v>4627</v>
      </c>
      <c r="U25" s="17" t="s">
        <v>4724</v>
      </c>
      <c r="V25" s="17" t="s">
        <v>4620</v>
      </c>
      <c r="W25" s="17" t="s">
        <v>4621</v>
      </c>
      <c r="X25" s="17" t="s">
        <v>4725</v>
      </c>
      <c r="Y25" s="17" t="s">
        <v>4620</v>
      </c>
      <c r="Z25" s="17" t="s">
        <v>4621</v>
      </c>
      <c r="AA25" s="17" t="s">
        <v>4726</v>
      </c>
      <c r="AB25" s="17" t="s">
        <v>4620</v>
      </c>
      <c r="AC25" s="17" t="s">
        <v>4621</v>
      </c>
      <c r="AD25" s="17" t="s">
        <v>4714</v>
      </c>
      <c r="AF25" s="18" t="s">
        <v>588</v>
      </c>
    </row>
    <row r="26">
      <c r="A26" s="11"/>
      <c r="B26" s="12" t="s">
        <v>22</v>
      </c>
      <c r="C26" s="12" t="s">
        <v>22</v>
      </c>
      <c r="D26" s="12" t="s">
        <v>22</v>
      </c>
      <c r="E26" s="12" t="s">
        <v>624</v>
      </c>
      <c r="F26" s="13" t="s">
        <v>625</v>
      </c>
      <c r="G26" s="12" t="s">
        <v>68</v>
      </c>
      <c r="H26" s="12" t="s">
        <v>626</v>
      </c>
      <c r="I26" s="12" t="s">
        <v>627</v>
      </c>
      <c r="J26" s="17" t="s">
        <v>112</v>
      </c>
      <c r="K26" s="17" t="s">
        <v>113</v>
      </c>
      <c r="L26" s="17" t="s">
        <v>4504</v>
      </c>
      <c r="M26" s="17">
        <v>28.0</v>
      </c>
      <c r="N26" s="20">
        <v>45975.0</v>
      </c>
      <c r="O26" s="17" t="s">
        <v>428</v>
      </c>
      <c r="P26" s="17" t="s">
        <v>4620</v>
      </c>
      <c r="Q26" s="17" t="s">
        <v>4621</v>
      </c>
      <c r="R26" s="17" t="s">
        <v>4710</v>
      </c>
      <c r="S26" s="17" t="s">
        <v>4620</v>
      </c>
      <c r="T26" s="17" t="s">
        <v>4621</v>
      </c>
      <c r="U26" s="17" t="s">
        <v>4727</v>
      </c>
      <c r="V26" s="17" t="s">
        <v>4620</v>
      </c>
      <c r="W26" s="17" t="s">
        <v>4621</v>
      </c>
      <c r="X26" s="17" t="s">
        <v>4728</v>
      </c>
      <c r="Y26" s="17" t="s">
        <v>4620</v>
      </c>
      <c r="AA26" s="17" t="s">
        <v>4729</v>
      </c>
      <c r="AB26" s="17" t="s">
        <v>4620</v>
      </c>
      <c r="AC26" s="17" t="s">
        <v>4621</v>
      </c>
      <c r="AD26" s="17" t="s">
        <v>4730</v>
      </c>
      <c r="AF26" s="18" t="s">
        <v>588</v>
      </c>
    </row>
    <row r="27">
      <c r="A27" s="11"/>
      <c r="B27" s="12" t="s">
        <v>22</v>
      </c>
      <c r="C27" s="12" t="s">
        <v>22</v>
      </c>
      <c r="D27" s="12" t="s">
        <v>22</v>
      </c>
      <c r="E27" s="12" t="s">
        <v>624</v>
      </c>
      <c r="F27" s="13" t="s">
        <v>625</v>
      </c>
      <c r="G27" s="12" t="s">
        <v>68</v>
      </c>
      <c r="H27" s="12" t="s">
        <v>626</v>
      </c>
      <c r="I27" s="12" t="s">
        <v>627</v>
      </c>
      <c r="J27" s="17" t="s">
        <v>108</v>
      </c>
      <c r="K27" s="17" t="s">
        <v>109</v>
      </c>
      <c r="L27" s="17" t="s">
        <v>4364</v>
      </c>
      <c r="M27" s="17">
        <v>36.0</v>
      </c>
      <c r="N27" s="20">
        <v>45975.0</v>
      </c>
      <c r="O27" s="17" t="s">
        <v>428</v>
      </c>
      <c r="P27" s="17" t="s">
        <v>4620</v>
      </c>
      <c r="Q27" s="17" t="s">
        <v>4621</v>
      </c>
      <c r="R27" s="17" t="s">
        <v>4710</v>
      </c>
      <c r="S27" s="17" t="s">
        <v>4620</v>
      </c>
      <c r="T27" s="17" t="s">
        <v>4621</v>
      </c>
      <c r="U27" s="17" t="s">
        <v>4731</v>
      </c>
      <c r="V27" s="17" t="s">
        <v>4620</v>
      </c>
      <c r="W27" s="17" t="s">
        <v>4621</v>
      </c>
      <c r="X27" s="17" t="s">
        <v>4732</v>
      </c>
      <c r="Y27" s="17" t="s">
        <v>4620</v>
      </c>
      <c r="Z27" s="17" t="s">
        <v>4621</v>
      </c>
      <c r="AA27" s="17" t="s">
        <v>4733</v>
      </c>
      <c r="AB27" s="17" t="s">
        <v>4620</v>
      </c>
      <c r="AC27" s="17" t="s">
        <v>4621</v>
      </c>
      <c r="AD27" s="17" t="s">
        <v>4730</v>
      </c>
      <c r="AF27" s="18" t="s">
        <v>588</v>
      </c>
    </row>
    <row r="28">
      <c r="A28" s="11"/>
      <c r="B28" s="12" t="s">
        <v>34</v>
      </c>
      <c r="C28" s="12" t="s">
        <v>65</v>
      </c>
      <c r="D28" s="12" t="s">
        <v>83</v>
      </c>
      <c r="E28" s="12" t="s">
        <v>632</v>
      </c>
      <c r="F28" s="13" t="s">
        <v>633</v>
      </c>
      <c r="G28" s="12" t="s">
        <v>68</v>
      </c>
      <c r="H28" s="12" t="s">
        <v>634</v>
      </c>
      <c r="I28" s="12" t="s">
        <v>635</v>
      </c>
      <c r="J28" s="17" t="s">
        <v>73</v>
      </c>
      <c r="K28" s="17" t="s">
        <v>74</v>
      </c>
      <c r="L28" s="17" t="s">
        <v>3935</v>
      </c>
      <c r="M28" s="17">
        <v>30.0</v>
      </c>
      <c r="N28" s="20">
        <v>45972.0</v>
      </c>
      <c r="O28" s="17" t="s">
        <v>428</v>
      </c>
      <c r="P28" s="17" t="s">
        <v>4620</v>
      </c>
      <c r="Q28" s="17" t="s">
        <v>4627</v>
      </c>
      <c r="R28" s="17" t="s">
        <v>4734</v>
      </c>
      <c r="S28" s="17" t="s">
        <v>4620</v>
      </c>
      <c r="T28" s="17" t="s">
        <v>4627</v>
      </c>
      <c r="U28" s="17" t="s">
        <v>4735</v>
      </c>
      <c r="V28" s="17" t="s">
        <v>4620</v>
      </c>
      <c r="W28" s="17" t="s">
        <v>4621</v>
      </c>
      <c r="X28" s="17" t="s">
        <v>4736</v>
      </c>
      <c r="Y28" s="17" t="s">
        <v>4620</v>
      </c>
      <c r="Z28" s="17" t="s">
        <v>4621</v>
      </c>
      <c r="AA28" s="17" t="s">
        <v>4737</v>
      </c>
      <c r="AB28" s="17" t="s">
        <v>4620</v>
      </c>
      <c r="AC28" s="17" t="s">
        <v>4621</v>
      </c>
      <c r="AD28" s="17" t="s">
        <v>4738</v>
      </c>
      <c r="AF28" s="18" t="s">
        <v>638</v>
      </c>
    </row>
    <row r="29">
      <c r="A29" s="11"/>
      <c r="B29" s="12" t="s">
        <v>34</v>
      </c>
      <c r="C29" s="12" t="s">
        <v>65</v>
      </c>
      <c r="D29" s="12" t="s">
        <v>83</v>
      </c>
      <c r="E29" s="12" t="s">
        <v>632</v>
      </c>
      <c r="F29" s="13" t="s">
        <v>633</v>
      </c>
      <c r="G29" s="12" t="s">
        <v>68</v>
      </c>
      <c r="H29" s="12" t="s">
        <v>634</v>
      </c>
      <c r="I29" s="12" t="s">
        <v>635</v>
      </c>
      <c r="J29" s="17" t="s">
        <v>112</v>
      </c>
      <c r="K29" s="17" t="s">
        <v>113</v>
      </c>
      <c r="L29" s="17" t="s">
        <v>3936</v>
      </c>
      <c r="M29" s="17">
        <v>25.0</v>
      </c>
      <c r="N29" s="20">
        <v>45972.0</v>
      </c>
      <c r="O29" s="17" t="s">
        <v>428</v>
      </c>
      <c r="P29" s="17" t="s">
        <v>4620</v>
      </c>
      <c r="Q29" s="17" t="s">
        <v>4621</v>
      </c>
      <c r="R29" s="17" t="s">
        <v>4739</v>
      </c>
      <c r="S29" s="17" t="s">
        <v>4620</v>
      </c>
      <c r="T29" s="17" t="s">
        <v>4621</v>
      </c>
      <c r="U29" s="17" t="s">
        <v>4740</v>
      </c>
      <c r="V29" s="17" t="s">
        <v>4620</v>
      </c>
      <c r="W29" s="17" t="s">
        <v>4621</v>
      </c>
      <c r="X29" s="17" t="s">
        <v>4741</v>
      </c>
      <c r="Y29" s="17" t="s">
        <v>4620</v>
      </c>
      <c r="Z29" s="17" t="s">
        <v>4621</v>
      </c>
      <c r="AA29" s="17" t="s">
        <v>4742</v>
      </c>
      <c r="AB29" s="17" t="s">
        <v>4620</v>
      </c>
      <c r="AC29" s="17" t="s">
        <v>4621</v>
      </c>
      <c r="AD29" s="17" t="s">
        <v>4743</v>
      </c>
      <c r="AF29" s="18" t="s">
        <v>638</v>
      </c>
    </row>
    <row r="30">
      <c r="A30" s="11"/>
      <c r="B30" s="12" t="s">
        <v>34</v>
      </c>
      <c r="C30" s="12" t="s">
        <v>65</v>
      </c>
      <c r="D30" s="12" t="s">
        <v>83</v>
      </c>
      <c r="E30" s="12" t="s">
        <v>632</v>
      </c>
      <c r="F30" s="13" t="s">
        <v>633</v>
      </c>
      <c r="G30" s="12" t="s">
        <v>68</v>
      </c>
      <c r="H30" s="12" t="s">
        <v>634</v>
      </c>
      <c r="I30" s="12" t="s">
        <v>635</v>
      </c>
      <c r="J30" s="17" t="s">
        <v>108</v>
      </c>
      <c r="K30" s="17" t="s">
        <v>109</v>
      </c>
      <c r="L30" s="17" t="s">
        <v>3937</v>
      </c>
      <c r="M30" s="17">
        <v>25.0</v>
      </c>
      <c r="N30" s="20">
        <v>45972.0</v>
      </c>
      <c r="O30" s="17" t="s">
        <v>428</v>
      </c>
      <c r="P30" s="17" t="s">
        <v>4620</v>
      </c>
      <c r="Q30" s="17" t="s">
        <v>4627</v>
      </c>
      <c r="R30" s="17" t="s">
        <v>4744</v>
      </c>
      <c r="S30" s="17" t="s">
        <v>4620</v>
      </c>
      <c r="T30" s="17" t="s">
        <v>4621</v>
      </c>
      <c r="U30" s="17" t="s">
        <v>4745</v>
      </c>
      <c r="V30" s="17" t="s">
        <v>4620</v>
      </c>
      <c r="W30" s="17" t="s">
        <v>4621</v>
      </c>
      <c r="X30" s="17" t="s">
        <v>4746</v>
      </c>
      <c r="Y30" s="17" t="s">
        <v>4620</v>
      </c>
      <c r="Z30" s="17" t="s">
        <v>4621</v>
      </c>
      <c r="AA30" s="17" t="s">
        <v>4747</v>
      </c>
      <c r="AB30" s="17" t="s">
        <v>4620</v>
      </c>
      <c r="AC30" s="17" t="s">
        <v>4621</v>
      </c>
      <c r="AD30" s="17" t="s">
        <v>4748</v>
      </c>
      <c r="AF30" s="18" t="s">
        <v>638</v>
      </c>
    </row>
    <row r="31">
      <c r="A31" s="11"/>
      <c r="B31" s="12" t="s">
        <v>34</v>
      </c>
      <c r="C31" s="12" t="s">
        <v>65</v>
      </c>
      <c r="D31" s="12" t="s">
        <v>43</v>
      </c>
      <c r="E31" s="12" t="s">
        <v>666</v>
      </c>
      <c r="F31" s="13" t="s">
        <v>667</v>
      </c>
      <c r="G31" s="12" t="s">
        <v>68</v>
      </c>
      <c r="H31" s="12" t="s">
        <v>668</v>
      </c>
      <c r="I31" s="12" t="s">
        <v>669</v>
      </c>
      <c r="J31" s="17" t="s">
        <v>73</v>
      </c>
      <c r="K31" s="17" t="s">
        <v>3653</v>
      </c>
      <c r="L31" s="16" t="s">
        <v>4749</v>
      </c>
      <c r="M31" s="17">
        <v>24.0</v>
      </c>
      <c r="N31" s="20">
        <v>45972.0</v>
      </c>
      <c r="O31" s="17" t="s">
        <v>428</v>
      </c>
      <c r="P31" s="17" t="s">
        <v>4620</v>
      </c>
      <c r="Q31" s="17" t="s">
        <v>4621</v>
      </c>
      <c r="R31" s="17" t="s">
        <v>4750</v>
      </c>
      <c r="S31" s="17" t="s">
        <v>4620</v>
      </c>
      <c r="T31" s="17" t="s">
        <v>4621</v>
      </c>
      <c r="U31" s="17" t="s">
        <v>4751</v>
      </c>
      <c r="V31" s="17" t="s">
        <v>4620</v>
      </c>
      <c r="W31" s="17" t="s">
        <v>4621</v>
      </c>
      <c r="X31" s="17" t="s">
        <v>4752</v>
      </c>
      <c r="Y31" s="17" t="s">
        <v>4620</v>
      </c>
      <c r="Z31" s="17" t="s">
        <v>4621</v>
      </c>
      <c r="AA31" s="17" t="s">
        <v>4753</v>
      </c>
      <c r="AB31" s="17" t="s">
        <v>4620</v>
      </c>
      <c r="AC31" s="17" t="s">
        <v>4621</v>
      </c>
      <c r="AD31" s="17" t="s">
        <v>4754</v>
      </c>
      <c r="AF31" s="18" t="s">
        <v>638</v>
      </c>
    </row>
    <row r="32">
      <c r="A32" s="11"/>
      <c r="B32" s="12" t="s">
        <v>34</v>
      </c>
      <c r="C32" s="12" t="s">
        <v>65</v>
      </c>
      <c r="D32" s="12" t="s">
        <v>43</v>
      </c>
      <c r="E32" s="12" t="s">
        <v>717</v>
      </c>
      <c r="F32" s="13" t="s">
        <v>718</v>
      </c>
      <c r="G32" s="12" t="s">
        <v>68</v>
      </c>
      <c r="H32" s="12" t="s">
        <v>719</v>
      </c>
      <c r="I32" s="12" t="s">
        <v>720</v>
      </c>
      <c r="J32" s="17" t="s">
        <v>73</v>
      </c>
      <c r="K32" s="17" t="s">
        <v>74</v>
      </c>
      <c r="L32" s="17" t="s">
        <v>3920</v>
      </c>
      <c r="M32" s="17">
        <v>45.0</v>
      </c>
      <c r="N32" s="20">
        <v>45972.0</v>
      </c>
      <c r="O32" s="17" t="s">
        <v>428</v>
      </c>
      <c r="P32" s="17" t="s">
        <v>4620</v>
      </c>
      <c r="Q32" s="17" t="s">
        <v>4621</v>
      </c>
      <c r="R32" s="17" t="s">
        <v>4755</v>
      </c>
      <c r="S32" s="17" t="s">
        <v>4620</v>
      </c>
      <c r="T32" s="17" t="s">
        <v>4621</v>
      </c>
      <c r="U32" s="17" t="s">
        <v>4756</v>
      </c>
      <c r="V32" s="17" t="s">
        <v>4620</v>
      </c>
      <c r="W32" s="17" t="s">
        <v>4621</v>
      </c>
      <c r="X32" s="17" t="s">
        <v>4757</v>
      </c>
      <c r="Y32" s="17" t="s">
        <v>4620</v>
      </c>
      <c r="Z32" s="17" t="s">
        <v>4621</v>
      </c>
      <c r="AA32" s="17" t="s">
        <v>4758</v>
      </c>
      <c r="AB32" s="17" t="s">
        <v>4620</v>
      </c>
      <c r="AC32" s="17" t="s">
        <v>4621</v>
      </c>
      <c r="AD32" s="17" t="s">
        <v>4759</v>
      </c>
      <c r="AF32" s="18" t="s">
        <v>638</v>
      </c>
    </row>
    <row r="33">
      <c r="A33" s="11"/>
      <c r="B33" s="12" t="s">
        <v>34</v>
      </c>
      <c r="C33" s="12" t="s">
        <v>65</v>
      </c>
      <c r="D33" s="12" t="s">
        <v>43</v>
      </c>
      <c r="E33" s="12" t="s">
        <v>717</v>
      </c>
      <c r="F33" s="13" t="s">
        <v>718</v>
      </c>
      <c r="G33" s="12" t="s">
        <v>68</v>
      </c>
      <c r="H33" s="12" t="s">
        <v>719</v>
      </c>
      <c r="I33" s="12" t="s">
        <v>720</v>
      </c>
      <c r="J33" s="17" t="s">
        <v>112</v>
      </c>
      <c r="K33" s="17" t="s">
        <v>113</v>
      </c>
      <c r="L33" s="17" t="s">
        <v>3919</v>
      </c>
      <c r="M33" s="17">
        <v>39.0</v>
      </c>
      <c r="N33" s="20">
        <v>45953.0</v>
      </c>
      <c r="O33" s="17" t="s">
        <v>428</v>
      </c>
      <c r="P33" s="17" t="s">
        <v>4620</v>
      </c>
      <c r="Q33" s="17" t="s">
        <v>4621</v>
      </c>
      <c r="R33" s="17" t="s">
        <v>4760</v>
      </c>
      <c r="S33" s="17" t="s">
        <v>4620</v>
      </c>
      <c r="T33" s="17" t="s">
        <v>4621</v>
      </c>
      <c r="U33" s="17" t="s">
        <v>4761</v>
      </c>
      <c r="V33" s="17" t="s">
        <v>4620</v>
      </c>
      <c r="W33" s="17" t="s">
        <v>4621</v>
      </c>
      <c r="X33" s="17" t="s">
        <v>4762</v>
      </c>
      <c r="Y33" s="17" t="s">
        <v>4620</v>
      </c>
      <c r="Z33" s="17" t="s">
        <v>4621</v>
      </c>
      <c r="AA33" s="17" t="s">
        <v>4763</v>
      </c>
      <c r="AB33" s="17" t="s">
        <v>4620</v>
      </c>
      <c r="AC33" s="17" t="s">
        <v>4621</v>
      </c>
      <c r="AD33" s="17" t="s">
        <v>4764</v>
      </c>
      <c r="AF33" s="18" t="s">
        <v>638</v>
      </c>
    </row>
    <row r="34">
      <c r="A34" s="11"/>
      <c r="B34" s="12" t="s">
        <v>34</v>
      </c>
      <c r="C34" s="12" t="s">
        <v>65</v>
      </c>
      <c r="D34" s="12" t="s">
        <v>43</v>
      </c>
      <c r="E34" s="12" t="s">
        <v>717</v>
      </c>
      <c r="F34" s="13" t="s">
        <v>718</v>
      </c>
      <c r="G34" s="12" t="s">
        <v>68</v>
      </c>
      <c r="H34" s="12" t="s">
        <v>719</v>
      </c>
      <c r="I34" s="12" t="s">
        <v>720</v>
      </c>
      <c r="J34" s="17" t="s">
        <v>108</v>
      </c>
      <c r="K34" s="17" t="s">
        <v>109</v>
      </c>
      <c r="L34" s="17" t="s">
        <v>3924</v>
      </c>
      <c r="M34" s="17">
        <v>46.0</v>
      </c>
      <c r="N34" s="20">
        <v>45953.0</v>
      </c>
      <c r="O34" s="17" t="s">
        <v>428</v>
      </c>
      <c r="P34" s="17" t="s">
        <v>4620</v>
      </c>
      <c r="Q34" s="17" t="s">
        <v>4621</v>
      </c>
      <c r="R34" s="17" t="s">
        <v>4765</v>
      </c>
      <c r="S34" s="17" t="s">
        <v>4620</v>
      </c>
      <c r="T34" s="17" t="s">
        <v>4621</v>
      </c>
      <c r="U34" s="17" t="s">
        <v>4766</v>
      </c>
      <c r="V34" s="17" t="s">
        <v>4620</v>
      </c>
      <c r="W34" s="17" t="s">
        <v>4621</v>
      </c>
      <c r="X34" s="17" t="s">
        <v>4767</v>
      </c>
      <c r="Y34" s="17" t="s">
        <v>4620</v>
      </c>
      <c r="Z34" s="17" t="s">
        <v>4621</v>
      </c>
      <c r="AA34" s="17" t="s">
        <v>4768</v>
      </c>
      <c r="AB34" s="17" t="s">
        <v>4620</v>
      </c>
      <c r="AC34" s="17" t="s">
        <v>4621</v>
      </c>
      <c r="AD34" s="17" t="s">
        <v>4769</v>
      </c>
      <c r="AF34" s="18" t="s">
        <v>638</v>
      </c>
    </row>
    <row r="35">
      <c r="A35" s="11"/>
      <c r="B35" s="12" t="s">
        <v>34</v>
      </c>
      <c r="C35" s="12" t="s">
        <v>65</v>
      </c>
      <c r="D35" s="12" t="s">
        <v>43</v>
      </c>
      <c r="E35" s="12" t="s">
        <v>773</v>
      </c>
      <c r="F35" s="13" t="s">
        <v>774</v>
      </c>
      <c r="G35" s="12" t="s">
        <v>68</v>
      </c>
      <c r="H35" s="12" t="s">
        <v>775</v>
      </c>
      <c r="I35" s="12" t="s">
        <v>776</v>
      </c>
      <c r="J35" s="17" t="s">
        <v>73</v>
      </c>
      <c r="K35" s="17" t="s">
        <v>74</v>
      </c>
      <c r="L35" s="17" t="s">
        <v>3934</v>
      </c>
      <c r="M35" s="40"/>
      <c r="N35" s="20">
        <v>45953.0</v>
      </c>
      <c r="O35" s="17" t="s">
        <v>428</v>
      </c>
      <c r="P35" s="17" t="s">
        <v>4620</v>
      </c>
      <c r="Q35" s="17" t="s">
        <v>4621</v>
      </c>
      <c r="R35" s="17" t="s">
        <v>4750</v>
      </c>
      <c r="S35" s="17" t="s">
        <v>4620</v>
      </c>
      <c r="T35" s="17" t="s">
        <v>4621</v>
      </c>
      <c r="U35" s="17" t="s">
        <v>4770</v>
      </c>
      <c r="V35" s="17" t="s">
        <v>4620</v>
      </c>
      <c r="W35" s="17" t="s">
        <v>4621</v>
      </c>
      <c r="X35" s="17" t="s">
        <v>4771</v>
      </c>
      <c r="Y35" s="17" t="s">
        <v>4620</v>
      </c>
      <c r="Z35" s="17" t="s">
        <v>4621</v>
      </c>
      <c r="AA35" s="17" t="s">
        <v>4772</v>
      </c>
      <c r="AB35" s="17" t="s">
        <v>4620</v>
      </c>
      <c r="AC35" s="17" t="s">
        <v>4621</v>
      </c>
      <c r="AD35" s="17" t="s">
        <v>4773</v>
      </c>
      <c r="AF35" s="18" t="s">
        <v>638</v>
      </c>
    </row>
    <row r="36">
      <c r="A36" s="11"/>
      <c r="B36" s="12" t="s">
        <v>34</v>
      </c>
      <c r="C36" s="12" t="s">
        <v>65</v>
      </c>
      <c r="D36" s="12" t="s">
        <v>43</v>
      </c>
      <c r="E36" s="12" t="s">
        <v>773</v>
      </c>
      <c r="F36" s="13" t="s">
        <v>774</v>
      </c>
      <c r="G36" s="12" t="s">
        <v>68</v>
      </c>
      <c r="H36" s="12" t="s">
        <v>775</v>
      </c>
      <c r="I36" s="12" t="s">
        <v>776</v>
      </c>
      <c r="J36" s="17" t="s">
        <v>108</v>
      </c>
      <c r="K36" s="16" t="s">
        <v>4774</v>
      </c>
      <c r="L36" s="16" t="s">
        <v>3931</v>
      </c>
      <c r="M36" s="17">
        <v>25.0</v>
      </c>
      <c r="N36" s="20">
        <v>45953.0</v>
      </c>
      <c r="O36" s="17" t="s">
        <v>428</v>
      </c>
      <c r="P36" s="17" t="s">
        <v>4620</v>
      </c>
      <c r="Q36" s="17" t="s">
        <v>4623</v>
      </c>
      <c r="R36" s="17" t="s">
        <v>4775</v>
      </c>
      <c r="S36" s="17" t="s">
        <v>4620</v>
      </c>
      <c r="T36" s="17" t="s">
        <v>4621</v>
      </c>
      <c r="U36" s="17" t="s">
        <v>4776</v>
      </c>
      <c r="V36" s="17" t="s">
        <v>4620</v>
      </c>
      <c r="W36" s="17" t="s">
        <v>4621</v>
      </c>
      <c r="X36" s="17" t="s">
        <v>4777</v>
      </c>
      <c r="Y36" s="17" t="s">
        <v>4620</v>
      </c>
      <c r="Z36" s="17" t="s">
        <v>4621</v>
      </c>
      <c r="AA36" s="17" t="s">
        <v>4778</v>
      </c>
      <c r="AB36" s="17" t="s">
        <v>4620</v>
      </c>
      <c r="AC36" s="17" t="s">
        <v>4621</v>
      </c>
      <c r="AD36" s="17" t="s">
        <v>4779</v>
      </c>
      <c r="AF36" s="18" t="s">
        <v>638</v>
      </c>
    </row>
    <row r="37">
      <c r="A37" s="11"/>
      <c r="B37" s="12" t="s">
        <v>34</v>
      </c>
      <c r="C37" s="12" t="s">
        <v>65</v>
      </c>
      <c r="D37" s="12" t="s">
        <v>43</v>
      </c>
      <c r="E37" s="12" t="s">
        <v>691</v>
      </c>
      <c r="F37" s="13" t="s">
        <v>692</v>
      </c>
      <c r="G37" s="12" t="s">
        <v>68</v>
      </c>
      <c r="H37" s="12" t="s">
        <v>693</v>
      </c>
      <c r="I37" s="12" t="s">
        <v>694</v>
      </c>
      <c r="J37" s="17" t="s">
        <v>73</v>
      </c>
      <c r="K37" s="17" t="s">
        <v>74</v>
      </c>
      <c r="L37" s="17" t="s">
        <v>3927</v>
      </c>
      <c r="M37" s="17">
        <v>27.0</v>
      </c>
      <c r="N37" s="20">
        <v>45953.0</v>
      </c>
      <c r="O37" s="17" t="s">
        <v>428</v>
      </c>
      <c r="P37" s="17" t="s">
        <v>4620</v>
      </c>
      <c r="Q37" s="17" t="s">
        <v>4621</v>
      </c>
      <c r="R37" s="17" t="s">
        <v>4780</v>
      </c>
      <c r="S37" s="17" t="s">
        <v>4620</v>
      </c>
      <c r="T37" s="17" t="s">
        <v>4621</v>
      </c>
      <c r="U37" s="17" t="s">
        <v>4781</v>
      </c>
      <c r="V37" s="17" t="s">
        <v>4620</v>
      </c>
      <c r="W37" s="17" t="s">
        <v>4621</v>
      </c>
      <c r="X37" s="17" t="s">
        <v>4782</v>
      </c>
      <c r="Y37" s="17" t="s">
        <v>4620</v>
      </c>
      <c r="Z37" s="17" t="s">
        <v>4621</v>
      </c>
      <c r="AA37" s="17" t="s">
        <v>4783</v>
      </c>
      <c r="AB37" s="17" t="s">
        <v>4620</v>
      </c>
      <c r="AC37" s="17" t="s">
        <v>4621</v>
      </c>
      <c r="AD37" s="17" t="s">
        <v>4784</v>
      </c>
      <c r="AF37" s="18" t="s">
        <v>638</v>
      </c>
    </row>
    <row r="38">
      <c r="A38" s="11"/>
      <c r="B38" s="12" t="s">
        <v>34</v>
      </c>
      <c r="C38" s="12" t="s">
        <v>65</v>
      </c>
      <c r="D38" s="12" t="s">
        <v>43</v>
      </c>
      <c r="E38" s="12" t="s">
        <v>691</v>
      </c>
      <c r="F38" s="13" t="s">
        <v>692</v>
      </c>
      <c r="G38" s="12" t="s">
        <v>68</v>
      </c>
      <c r="H38" s="12" t="s">
        <v>693</v>
      </c>
      <c r="I38" s="12" t="s">
        <v>694</v>
      </c>
      <c r="J38" s="17" t="s">
        <v>112</v>
      </c>
      <c r="K38" s="17" t="s">
        <v>113</v>
      </c>
      <c r="L38" s="17" t="s">
        <v>3405</v>
      </c>
      <c r="M38" s="40"/>
      <c r="N38" s="20">
        <v>45953.0</v>
      </c>
      <c r="O38" s="17" t="s">
        <v>428</v>
      </c>
      <c r="P38" s="17" t="s">
        <v>4620</v>
      </c>
      <c r="Q38" s="17" t="s">
        <v>4627</v>
      </c>
      <c r="R38" s="17" t="s">
        <v>4780</v>
      </c>
      <c r="S38" s="17" t="s">
        <v>4620</v>
      </c>
      <c r="T38" s="17" t="s">
        <v>4621</v>
      </c>
      <c r="U38" s="17" t="s">
        <v>4785</v>
      </c>
      <c r="V38" s="17" t="s">
        <v>4620</v>
      </c>
      <c r="W38" s="17" t="s">
        <v>4621</v>
      </c>
      <c r="X38" s="17" t="s">
        <v>4786</v>
      </c>
      <c r="Y38" s="17" t="s">
        <v>4620</v>
      </c>
      <c r="Z38" s="17" t="s">
        <v>4621</v>
      </c>
      <c r="AA38" s="17" t="s">
        <v>4787</v>
      </c>
      <c r="AB38" s="17" t="s">
        <v>4620</v>
      </c>
      <c r="AC38" s="17" t="s">
        <v>4621</v>
      </c>
      <c r="AD38" s="17" t="s">
        <v>4788</v>
      </c>
      <c r="AF38" s="18" t="s">
        <v>638</v>
      </c>
    </row>
    <row r="39">
      <c r="A39" s="11"/>
      <c r="B39" s="12" t="s">
        <v>34</v>
      </c>
      <c r="C39" s="12" t="s">
        <v>65</v>
      </c>
      <c r="D39" s="12" t="s">
        <v>43</v>
      </c>
      <c r="E39" s="12" t="s">
        <v>691</v>
      </c>
      <c r="F39" s="13" t="s">
        <v>692</v>
      </c>
      <c r="G39" s="12" t="s">
        <v>68</v>
      </c>
      <c r="H39" s="12" t="s">
        <v>693</v>
      </c>
      <c r="I39" s="12" t="s">
        <v>694</v>
      </c>
      <c r="J39" s="17" t="s">
        <v>108</v>
      </c>
      <c r="K39" s="17" t="s">
        <v>109</v>
      </c>
      <c r="L39" s="16" t="s">
        <v>3928</v>
      </c>
      <c r="M39" s="17">
        <v>41.0</v>
      </c>
      <c r="N39" s="20">
        <v>45953.0</v>
      </c>
      <c r="O39" s="17" t="s">
        <v>428</v>
      </c>
      <c r="P39" s="17" t="s">
        <v>4620</v>
      </c>
      <c r="Q39" s="17" t="s">
        <v>4621</v>
      </c>
      <c r="R39" s="17" t="s">
        <v>4755</v>
      </c>
      <c r="S39" s="17" t="s">
        <v>4620</v>
      </c>
      <c r="T39" s="17" t="s">
        <v>4621</v>
      </c>
      <c r="U39" s="17" t="s">
        <v>4789</v>
      </c>
      <c r="V39" s="17" t="s">
        <v>4620</v>
      </c>
      <c r="W39" s="17" t="s">
        <v>4621</v>
      </c>
      <c r="X39" s="17" t="s">
        <v>4790</v>
      </c>
      <c r="Y39" s="17" t="s">
        <v>4620</v>
      </c>
      <c r="Z39" s="17" t="s">
        <v>4621</v>
      </c>
      <c r="AA39" s="17" t="s">
        <v>4791</v>
      </c>
      <c r="AC39" s="17" t="s">
        <v>4621</v>
      </c>
      <c r="AD39" s="17" t="s">
        <v>4792</v>
      </c>
      <c r="AF39" s="18" t="s">
        <v>638</v>
      </c>
    </row>
    <row r="40">
      <c r="A40" s="11"/>
      <c r="B40" s="12" t="s">
        <v>7</v>
      </c>
      <c r="C40" s="12" t="s">
        <v>8</v>
      </c>
      <c r="D40" s="12" t="s">
        <v>24</v>
      </c>
      <c r="E40" s="12" t="s">
        <v>32</v>
      </c>
      <c r="F40" s="13" t="s">
        <v>30</v>
      </c>
      <c r="G40" s="12" t="s">
        <v>68</v>
      </c>
      <c r="H40" s="12" t="s">
        <v>573</v>
      </c>
      <c r="I40" s="12" t="s">
        <v>574</v>
      </c>
      <c r="J40" s="17" t="s">
        <v>73</v>
      </c>
      <c r="K40" s="17" t="s">
        <v>2055</v>
      </c>
      <c r="L40" s="17" t="s">
        <v>2174</v>
      </c>
      <c r="M40" s="17">
        <v>39.0</v>
      </c>
      <c r="N40" s="20">
        <v>45971.0</v>
      </c>
      <c r="O40" s="17" t="s">
        <v>428</v>
      </c>
      <c r="P40" s="17" t="s">
        <v>4620</v>
      </c>
      <c r="Q40" s="17" t="s">
        <v>4621</v>
      </c>
      <c r="R40" s="17" t="s">
        <v>4793</v>
      </c>
      <c r="S40" s="17" t="s">
        <v>4620</v>
      </c>
      <c r="T40" s="17" t="s">
        <v>4621</v>
      </c>
      <c r="U40" s="17" t="s">
        <v>4794</v>
      </c>
      <c r="V40" s="17" t="s">
        <v>4620</v>
      </c>
      <c r="W40" s="17" t="s">
        <v>4621</v>
      </c>
      <c r="X40" s="17" t="s">
        <v>4795</v>
      </c>
      <c r="Y40" s="17" t="s">
        <v>4620</v>
      </c>
      <c r="Z40" s="17" t="s">
        <v>4621</v>
      </c>
      <c r="AA40" s="17" t="s">
        <v>4796</v>
      </c>
      <c r="AB40" s="17" t="s">
        <v>4620</v>
      </c>
      <c r="AC40" s="17" t="s">
        <v>4621</v>
      </c>
      <c r="AD40" s="17" t="s">
        <v>4797</v>
      </c>
      <c r="AF40" s="18" t="s">
        <v>577</v>
      </c>
    </row>
    <row r="41">
      <c r="A41" s="11"/>
      <c r="B41" s="12" t="s">
        <v>7</v>
      </c>
      <c r="C41" s="12" t="s">
        <v>37</v>
      </c>
      <c r="D41" s="12" t="s">
        <v>38</v>
      </c>
      <c r="E41" s="12" t="s">
        <v>45</v>
      </c>
      <c r="F41" s="13" t="s">
        <v>44</v>
      </c>
      <c r="G41" s="12" t="s">
        <v>68</v>
      </c>
      <c r="H41" s="12" t="s">
        <v>830</v>
      </c>
      <c r="I41" s="12" t="s">
        <v>831</v>
      </c>
      <c r="J41" s="17" t="s">
        <v>73</v>
      </c>
      <c r="K41" s="17" t="s">
        <v>74</v>
      </c>
      <c r="L41" s="17" t="s">
        <v>2303</v>
      </c>
      <c r="M41" s="17">
        <v>46.0</v>
      </c>
      <c r="N41" s="20">
        <v>45980.0</v>
      </c>
      <c r="O41" s="17" t="s">
        <v>428</v>
      </c>
      <c r="P41" s="17" t="s">
        <v>4620</v>
      </c>
      <c r="Q41" s="17" t="s">
        <v>4621</v>
      </c>
      <c r="R41" s="17" t="s">
        <v>4798</v>
      </c>
      <c r="S41" s="17" t="s">
        <v>4620</v>
      </c>
      <c r="T41" s="17" t="s">
        <v>4621</v>
      </c>
      <c r="U41" s="17" t="s">
        <v>4799</v>
      </c>
      <c r="V41" s="17" t="s">
        <v>4620</v>
      </c>
      <c r="W41" s="17" t="s">
        <v>4621</v>
      </c>
      <c r="X41" s="17" t="s">
        <v>4800</v>
      </c>
      <c r="Y41" s="17" t="s">
        <v>4620</v>
      </c>
      <c r="Z41" s="17" t="s">
        <v>4621</v>
      </c>
      <c r="AA41" s="17" t="s">
        <v>4801</v>
      </c>
      <c r="AB41" s="17" t="s">
        <v>4620</v>
      </c>
      <c r="AC41" s="17" t="s">
        <v>4621</v>
      </c>
      <c r="AD41" s="17" t="s">
        <v>4802</v>
      </c>
      <c r="AF41" s="18" t="s">
        <v>577</v>
      </c>
    </row>
    <row r="42">
      <c r="A42" s="11"/>
      <c r="B42" s="12" t="s">
        <v>7</v>
      </c>
      <c r="C42" s="12" t="s">
        <v>37</v>
      </c>
      <c r="D42" s="12" t="s">
        <v>38</v>
      </c>
      <c r="E42" s="12" t="s">
        <v>45</v>
      </c>
      <c r="F42" s="13" t="s">
        <v>44</v>
      </c>
      <c r="G42" s="12" t="s">
        <v>68</v>
      </c>
      <c r="H42" s="12" t="s">
        <v>830</v>
      </c>
      <c r="I42" s="12" t="s">
        <v>831</v>
      </c>
      <c r="J42" s="17" t="s">
        <v>112</v>
      </c>
      <c r="K42" s="17" t="s">
        <v>113</v>
      </c>
      <c r="L42" s="17" t="s">
        <v>2304</v>
      </c>
      <c r="M42" s="17">
        <v>51.0</v>
      </c>
      <c r="N42" s="20">
        <v>45980.0</v>
      </c>
      <c r="O42" s="17" t="s">
        <v>428</v>
      </c>
      <c r="P42" s="17" t="s">
        <v>4620</v>
      </c>
      <c r="Q42" s="17" t="s">
        <v>4621</v>
      </c>
      <c r="R42" s="17" t="s">
        <v>4803</v>
      </c>
      <c r="S42" s="17" t="s">
        <v>4620</v>
      </c>
      <c r="T42" s="17" t="s">
        <v>4621</v>
      </c>
      <c r="U42" s="17" t="s">
        <v>4804</v>
      </c>
      <c r="V42" s="17" t="s">
        <v>4620</v>
      </c>
      <c r="W42" s="17" t="s">
        <v>4621</v>
      </c>
      <c r="X42" s="17" t="s">
        <v>4805</v>
      </c>
      <c r="Y42" s="17" t="s">
        <v>4620</v>
      </c>
      <c r="Z42" s="17" t="s">
        <v>4621</v>
      </c>
      <c r="AA42" s="17" t="s">
        <v>4806</v>
      </c>
      <c r="AB42" s="17" t="s">
        <v>4620</v>
      </c>
      <c r="AC42" s="17" t="s">
        <v>4621</v>
      </c>
      <c r="AD42" s="17" t="s">
        <v>4807</v>
      </c>
      <c r="AF42" s="18" t="s">
        <v>577</v>
      </c>
    </row>
    <row r="43">
      <c r="A43" s="11"/>
      <c r="B43" s="12" t="s">
        <v>7</v>
      </c>
      <c r="C43" s="12" t="s">
        <v>37</v>
      </c>
      <c r="D43" s="12" t="s">
        <v>38</v>
      </c>
      <c r="E43" s="12" t="s">
        <v>45</v>
      </c>
      <c r="F43" s="13" t="s">
        <v>44</v>
      </c>
      <c r="G43" s="12" t="s">
        <v>68</v>
      </c>
      <c r="H43" s="12" t="s">
        <v>830</v>
      </c>
      <c r="I43" s="12" t="s">
        <v>831</v>
      </c>
      <c r="J43" s="17" t="s">
        <v>108</v>
      </c>
      <c r="K43" s="17" t="s">
        <v>109</v>
      </c>
      <c r="L43" s="17" t="s">
        <v>2305</v>
      </c>
      <c r="M43" s="17">
        <v>35.0</v>
      </c>
      <c r="N43" s="20">
        <v>45980.0</v>
      </c>
      <c r="O43" s="17" t="s">
        <v>428</v>
      </c>
      <c r="P43" s="17" t="s">
        <v>4620</v>
      </c>
      <c r="Q43" s="17" t="s">
        <v>4623</v>
      </c>
      <c r="R43" s="17" t="s">
        <v>4808</v>
      </c>
      <c r="S43" s="17" t="s">
        <v>4620</v>
      </c>
      <c r="T43" s="17" t="s">
        <v>4623</v>
      </c>
      <c r="U43" s="17" t="s">
        <v>4809</v>
      </c>
      <c r="V43" s="17" t="s">
        <v>4620</v>
      </c>
      <c r="W43" s="17" t="s">
        <v>4623</v>
      </c>
      <c r="X43" s="17" t="s">
        <v>4810</v>
      </c>
      <c r="Y43" s="17" t="s">
        <v>4620</v>
      </c>
      <c r="Z43" s="17" t="s">
        <v>4623</v>
      </c>
      <c r="AA43" s="17" t="s">
        <v>4811</v>
      </c>
      <c r="AB43" s="17" t="s">
        <v>4620</v>
      </c>
      <c r="AC43" s="17" t="s">
        <v>4623</v>
      </c>
      <c r="AD43" s="17" t="s">
        <v>4812</v>
      </c>
      <c r="AF43" s="18" t="s">
        <v>577</v>
      </c>
    </row>
    <row r="44">
      <c r="A44" s="11"/>
      <c r="B44" s="12" t="s">
        <v>7</v>
      </c>
      <c r="C44" s="12" t="s">
        <v>8</v>
      </c>
      <c r="D44" s="12" t="s">
        <v>24</v>
      </c>
      <c r="E44" s="12" t="s">
        <v>35</v>
      </c>
      <c r="F44" s="13" t="s">
        <v>33</v>
      </c>
      <c r="G44" s="12" t="s">
        <v>68</v>
      </c>
      <c r="H44" s="12" t="s">
        <v>813</v>
      </c>
      <c r="I44" s="12" t="s">
        <v>814</v>
      </c>
      <c r="J44" s="17" t="s">
        <v>73</v>
      </c>
      <c r="K44" s="17" t="s">
        <v>1797</v>
      </c>
      <c r="L44" s="17" t="s">
        <v>2390</v>
      </c>
      <c r="M44" s="17">
        <v>23.0</v>
      </c>
      <c r="N44" s="20">
        <v>45982.0</v>
      </c>
      <c r="O44" s="17" t="s">
        <v>428</v>
      </c>
      <c r="P44" s="17" t="s">
        <v>4620</v>
      </c>
      <c r="Q44" s="17" t="s">
        <v>4621</v>
      </c>
      <c r="R44" s="17" t="s">
        <v>4793</v>
      </c>
      <c r="S44" s="17" t="s">
        <v>4620</v>
      </c>
      <c r="T44" s="17" t="s">
        <v>4623</v>
      </c>
      <c r="U44" s="17" t="s">
        <v>4813</v>
      </c>
      <c r="V44" s="17" t="s">
        <v>4620</v>
      </c>
      <c r="W44" s="17" t="s">
        <v>4623</v>
      </c>
      <c r="X44" s="17" t="s">
        <v>4814</v>
      </c>
      <c r="Y44" s="17" t="s">
        <v>4620</v>
      </c>
      <c r="Z44" s="17" t="s">
        <v>4623</v>
      </c>
      <c r="AA44" s="17" t="s">
        <v>4815</v>
      </c>
      <c r="AB44" s="17" t="s">
        <v>4620</v>
      </c>
      <c r="AC44" s="17" t="s">
        <v>4623</v>
      </c>
      <c r="AD44" s="17" t="s">
        <v>4816</v>
      </c>
      <c r="AF44" s="18" t="s">
        <v>577</v>
      </c>
    </row>
    <row r="45">
      <c r="A45" s="11"/>
      <c r="B45" s="12" t="s">
        <v>7</v>
      </c>
      <c r="C45" s="12" t="s">
        <v>8</v>
      </c>
      <c r="D45" s="12" t="s">
        <v>24</v>
      </c>
      <c r="E45" s="12" t="s">
        <v>35</v>
      </c>
      <c r="F45" s="13" t="s">
        <v>33</v>
      </c>
      <c r="G45" s="12" t="s">
        <v>68</v>
      </c>
      <c r="H45" s="12" t="s">
        <v>813</v>
      </c>
      <c r="I45" s="12" t="s">
        <v>814</v>
      </c>
      <c r="J45" s="17" t="s">
        <v>108</v>
      </c>
      <c r="K45" s="17" t="s">
        <v>109</v>
      </c>
      <c r="L45" s="17" t="s">
        <v>2389</v>
      </c>
      <c r="M45" s="17">
        <v>59.0</v>
      </c>
      <c r="N45" s="20">
        <v>45982.0</v>
      </c>
      <c r="O45" s="17" t="s">
        <v>428</v>
      </c>
      <c r="P45" s="17" t="s">
        <v>4620</v>
      </c>
      <c r="Q45" s="17" t="s">
        <v>4621</v>
      </c>
      <c r="R45" s="17" t="s">
        <v>4793</v>
      </c>
      <c r="S45" s="17" t="s">
        <v>4620</v>
      </c>
      <c r="T45" s="17" t="s">
        <v>4621</v>
      </c>
      <c r="U45" s="17" t="s">
        <v>4817</v>
      </c>
      <c r="V45" s="17" t="s">
        <v>4620</v>
      </c>
      <c r="W45" s="17" t="s">
        <v>4621</v>
      </c>
      <c r="X45" s="17" t="s">
        <v>4818</v>
      </c>
      <c r="Y45" s="17" t="s">
        <v>4620</v>
      </c>
      <c r="Z45" s="17" t="s">
        <v>4623</v>
      </c>
      <c r="AA45" s="17" t="s">
        <v>4819</v>
      </c>
      <c r="AB45" s="17" t="s">
        <v>4620</v>
      </c>
      <c r="AC45" s="17" t="s">
        <v>4623</v>
      </c>
      <c r="AD45" s="17" t="s">
        <v>4820</v>
      </c>
      <c r="AF45" s="18" t="s">
        <v>577</v>
      </c>
    </row>
    <row r="46">
      <c r="A46" s="11"/>
      <c r="B46" s="12" t="s">
        <v>7</v>
      </c>
      <c r="C46" s="12" t="s">
        <v>8</v>
      </c>
      <c r="D46" s="12" t="s">
        <v>24</v>
      </c>
      <c r="E46" s="12" t="s">
        <v>25</v>
      </c>
      <c r="F46" s="13" t="s">
        <v>26</v>
      </c>
      <c r="G46" s="12" t="s">
        <v>68</v>
      </c>
      <c r="H46" s="12" t="s">
        <v>994</v>
      </c>
      <c r="I46" s="12" t="s">
        <v>995</v>
      </c>
      <c r="J46" s="17" t="s">
        <v>73</v>
      </c>
      <c r="K46" s="17" t="s">
        <v>2004</v>
      </c>
      <c r="L46" s="17" t="s">
        <v>3298</v>
      </c>
      <c r="M46" s="17">
        <v>57.0</v>
      </c>
      <c r="N46" s="20">
        <v>45985.0</v>
      </c>
      <c r="O46" s="17" t="s">
        <v>428</v>
      </c>
      <c r="P46" s="17" t="s">
        <v>4620</v>
      </c>
      <c r="Q46" s="17" t="s">
        <v>4627</v>
      </c>
      <c r="R46" s="17" t="s">
        <v>4821</v>
      </c>
      <c r="S46" s="17" t="s">
        <v>4620</v>
      </c>
      <c r="T46" s="17" t="s">
        <v>4627</v>
      </c>
      <c r="U46" s="17" t="s">
        <v>4822</v>
      </c>
      <c r="V46" s="17" t="s">
        <v>4620</v>
      </c>
      <c r="W46" s="17" t="s">
        <v>4627</v>
      </c>
      <c r="X46" s="17" t="s">
        <v>4823</v>
      </c>
      <c r="Y46" s="17" t="s">
        <v>4620</v>
      </c>
      <c r="Z46" s="17" t="s">
        <v>4627</v>
      </c>
      <c r="AA46" s="17" t="s">
        <v>4824</v>
      </c>
      <c r="AB46" s="17" t="s">
        <v>4620</v>
      </c>
      <c r="AC46" s="17" t="s">
        <v>4621</v>
      </c>
      <c r="AD46" s="17" t="s">
        <v>4825</v>
      </c>
      <c r="AF46" s="18" t="s">
        <v>577</v>
      </c>
    </row>
    <row r="47">
      <c r="A47" s="11"/>
      <c r="B47" s="12" t="s">
        <v>7</v>
      </c>
      <c r="C47" s="12" t="s">
        <v>8</v>
      </c>
      <c r="D47" s="12" t="s">
        <v>24</v>
      </c>
      <c r="E47" s="12" t="s">
        <v>25</v>
      </c>
      <c r="F47" s="13" t="s">
        <v>26</v>
      </c>
      <c r="G47" s="12" t="s">
        <v>68</v>
      </c>
      <c r="H47" s="12" t="s">
        <v>994</v>
      </c>
      <c r="I47" s="12" t="s">
        <v>995</v>
      </c>
      <c r="J47" s="17" t="s">
        <v>112</v>
      </c>
      <c r="K47" s="17" t="s">
        <v>2028</v>
      </c>
      <c r="L47" s="17" t="s">
        <v>3300</v>
      </c>
      <c r="M47" s="17">
        <v>36.0</v>
      </c>
      <c r="N47" s="20">
        <v>45985.0</v>
      </c>
      <c r="O47" s="17" t="s">
        <v>428</v>
      </c>
      <c r="P47" s="17" t="s">
        <v>4620</v>
      </c>
      <c r="Q47" s="17" t="s">
        <v>4627</v>
      </c>
      <c r="R47" s="17" t="s">
        <v>4821</v>
      </c>
      <c r="S47" s="17" t="s">
        <v>4620</v>
      </c>
      <c r="T47" s="17" t="s">
        <v>4627</v>
      </c>
      <c r="U47" s="17" t="s">
        <v>4822</v>
      </c>
      <c r="V47" s="17" t="s">
        <v>4620</v>
      </c>
      <c r="W47" s="17" t="s">
        <v>4627</v>
      </c>
      <c r="X47" s="17" t="s">
        <v>4823</v>
      </c>
      <c r="Y47" s="17" t="s">
        <v>4620</v>
      </c>
      <c r="Z47" s="17" t="s">
        <v>4627</v>
      </c>
      <c r="AA47" s="17" t="s">
        <v>4824</v>
      </c>
      <c r="AB47" s="17" t="s">
        <v>4620</v>
      </c>
      <c r="AC47" s="17" t="s">
        <v>4621</v>
      </c>
      <c r="AD47" s="17" t="s">
        <v>4825</v>
      </c>
      <c r="AF47" s="18" t="s">
        <v>577</v>
      </c>
    </row>
    <row r="48">
      <c r="A48" s="11"/>
      <c r="B48" s="12" t="s">
        <v>7</v>
      </c>
      <c r="C48" s="12" t="s">
        <v>8</v>
      </c>
      <c r="D48" s="12" t="s">
        <v>24</v>
      </c>
      <c r="E48" s="12" t="s">
        <v>25</v>
      </c>
      <c r="F48" s="13" t="s">
        <v>26</v>
      </c>
      <c r="G48" s="12" t="s">
        <v>68</v>
      </c>
      <c r="H48" s="12" t="s">
        <v>994</v>
      </c>
      <c r="I48" s="12" t="s">
        <v>995</v>
      </c>
      <c r="J48" s="17" t="s">
        <v>108</v>
      </c>
      <c r="K48" s="17" t="s">
        <v>2016</v>
      </c>
      <c r="L48" s="17" t="s">
        <v>3302</v>
      </c>
      <c r="M48" s="17">
        <v>52.0</v>
      </c>
      <c r="N48" s="20">
        <v>45985.0</v>
      </c>
      <c r="O48" s="17" t="s">
        <v>428</v>
      </c>
      <c r="P48" s="17" t="s">
        <v>4620</v>
      </c>
      <c r="Q48" s="17" t="s">
        <v>4627</v>
      </c>
      <c r="R48" s="17" t="s">
        <v>4821</v>
      </c>
      <c r="S48" s="17" t="s">
        <v>4620</v>
      </c>
      <c r="T48" s="17" t="s">
        <v>4660</v>
      </c>
      <c r="U48" s="17" t="s">
        <v>4822</v>
      </c>
      <c r="V48" s="17" t="s">
        <v>4620</v>
      </c>
      <c r="W48" s="17" t="s">
        <v>4660</v>
      </c>
      <c r="X48" s="17" t="s">
        <v>4823</v>
      </c>
      <c r="Y48" s="17" t="s">
        <v>4620</v>
      </c>
      <c r="Z48" s="17" t="s">
        <v>4627</v>
      </c>
      <c r="AA48" s="17" t="s">
        <v>4824</v>
      </c>
      <c r="AB48" s="17" t="s">
        <v>4620</v>
      </c>
      <c r="AC48" s="17" t="s">
        <v>4621</v>
      </c>
      <c r="AD48" s="17" t="s">
        <v>4825</v>
      </c>
      <c r="AF48" s="18" t="s">
        <v>577</v>
      </c>
    </row>
    <row r="49">
      <c r="A49" s="11"/>
      <c r="B49" s="12" t="s">
        <v>7</v>
      </c>
      <c r="C49" s="12" t="s">
        <v>8</v>
      </c>
      <c r="D49" s="12" t="s">
        <v>24</v>
      </c>
      <c r="E49" s="12" t="s">
        <v>29</v>
      </c>
      <c r="F49" s="13" t="s">
        <v>27</v>
      </c>
      <c r="G49" s="12" t="s">
        <v>68</v>
      </c>
      <c r="H49" s="12" t="s">
        <v>801</v>
      </c>
      <c r="I49" s="12" t="s">
        <v>802</v>
      </c>
      <c r="J49" s="17" t="s">
        <v>73</v>
      </c>
      <c r="K49" s="17" t="s">
        <v>2055</v>
      </c>
      <c r="L49" s="17" t="s">
        <v>2369</v>
      </c>
      <c r="M49" s="17">
        <v>33.0</v>
      </c>
      <c r="N49" s="20">
        <v>45986.0</v>
      </c>
      <c r="O49" s="17" t="s">
        <v>428</v>
      </c>
      <c r="P49" s="17" t="s">
        <v>4620</v>
      </c>
      <c r="Q49" s="17" t="s">
        <v>4623</v>
      </c>
      <c r="R49" s="17" t="s">
        <v>4826</v>
      </c>
      <c r="S49" s="17" t="s">
        <v>4620</v>
      </c>
      <c r="T49" s="17" t="s">
        <v>4623</v>
      </c>
      <c r="U49" s="17" t="s">
        <v>4827</v>
      </c>
      <c r="V49" s="17" t="s">
        <v>4620</v>
      </c>
      <c r="W49" s="17" t="s">
        <v>4623</v>
      </c>
      <c r="X49" s="17" t="s">
        <v>4828</v>
      </c>
      <c r="Y49" s="17" t="s">
        <v>4620</v>
      </c>
      <c r="Z49" s="17" t="s">
        <v>4623</v>
      </c>
      <c r="AA49" s="17" t="s">
        <v>4829</v>
      </c>
      <c r="AB49" s="17" t="s">
        <v>4620</v>
      </c>
      <c r="AC49" s="17" t="s">
        <v>4623</v>
      </c>
      <c r="AD49" s="17" t="s">
        <v>4830</v>
      </c>
      <c r="AF49" s="18" t="s">
        <v>577</v>
      </c>
    </row>
    <row r="50">
      <c r="A50" s="11"/>
      <c r="B50" s="12" t="s">
        <v>43</v>
      </c>
      <c r="C50" s="12" t="s">
        <v>65</v>
      </c>
      <c r="D50" s="12" t="s">
        <v>43</v>
      </c>
      <c r="E50" s="12" t="s">
        <v>66</v>
      </c>
      <c r="F50" s="13" t="s">
        <v>67</v>
      </c>
      <c r="G50" s="12" t="s">
        <v>68</v>
      </c>
      <c r="H50" s="12" t="s">
        <v>69</v>
      </c>
      <c r="I50" s="12" t="s">
        <v>70</v>
      </c>
      <c r="J50" s="17" t="s">
        <v>108</v>
      </c>
      <c r="K50" s="17" t="s">
        <v>109</v>
      </c>
      <c r="L50" s="17" t="s">
        <v>4465</v>
      </c>
      <c r="M50" s="17">
        <v>46.0</v>
      </c>
      <c r="N50" s="20">
        <v>45975.0</v>
      </c>
      <c r="O50" s="17" t="s">
        <v>428</v>
      </c>
      <c r="P50" s="17" t="s">
        <v>4620</v>
      </c>
      <c r="Q50" s="17" t="s">
        <v>4621</v>
      </c>
      <c r="R50" s="16" t="s">
        <v>4831</v>
      </c>
      <c r="S50" s="17" t="s">
        <v>4620</v>
      </c>
      <c r="T50" s="17" t="s">
        <v>4621</v>
      </c>
      <c r="U50" s="16" t="s">
        <v>4832</v>
      </c>
      <c r="V50" s="17" t="s">
        <v>4620</v>
      </c>
      <c r="W50" s="17" t="s">
        <v>4621</v>
      </c>
      <c r="X50" s="16" t="s">
        <v>4833</v>
      </c>
      <c r="Y50" s="17" t="s">
        <v>4620</v>
      </c>
      <c r="Z50" s="17" t="s">
        <v>4621</v>
      </c>
      <c r="AA50" s="16" t="s">
        <v>4834</v>
      </c>
      <c r="AB50" s="17" t="s">
        <v>4620</v>
      </c>
      <c r="AC50" s="17" t="s">
        <v>4621</v>
      </c>
      <c r="AD50" s="16" t="s">
        <v>4835</v>
      </c>
      <c r="AF50" s="18" t="s">
        <v>76</v>
      </c>
    </row>
    <row r="51">
      <c r="A51" s="11"/>
      <c r="B51" s="12" t="s">
        <v>34</v>
      </c>
      <c r="C51" s="12" t="s">
        <v>65</v>
      </c>
      <c r="D51" s="12" t="s">
        <v>43</v>
      </c>
      <c r="E51" s="12" t="s">
        <v>224</v>
      </c>
      <c r="F51" s="13" t="s">
        <v>225</v>
      </c>
      <c r="G51" s="12" t="s">
        <v>68</v>
      </c>
      <c r="H51" s="12" t="s">
        <v>226</v>
      </c>
      <c r="I51" s="12" t="s">
        <v>227</v>
      </c>
      <c r="J51" s="17" t="s">
        <v>73</v>
      </c>
      <c r="K51" s="17" t="s">
        <v>74</v>
      </c>
      <c r="L51" s="116" t="s">
        <v>3601</v>
      </c>
      <c r="M51" s="17">
        <v>32.0</v>
      </c>
      <c r="N51" s="20">
        <v>45978.0</v>
      </c>
      <c r="O51" s="17" t="s">
        <v>428</v>
      </c>
      <c r="P51" s="17" t="s">
        <v>4620</v>
      </c>
      <c r="Q51" s="17" t="s">
        <v>4621</v>
      </c>
      <c r="R51" s="17" t="s">
        <v>4836</v>
      </c>
      <c r="S51" s="17" t="s">
        <v>4620</v>
      </c>
      <c r="T51" s="17" t="s">
        <v>4621</v>
      </c>
      <c r="U51" s="17" t="s">
        <v>4837</v>
      </c>
      <c r="V51" s="17" t="s">
        <v>4620</v>
      </c>
      <c r="W51" s="17" t="s">
        <v>4621</v>
      </c>
      <c r="X51" s="16" t="s">
        <v>4833</v>
      </c>
      <c r="Y51" s="17" t="s">
        <v>4620</v>
      </c>
      <c r="Z51" s="17" t="s">
        <v>4621</v>
      </c>
      <c r="AA51" s="17" t="s">
        <v>4838</v>
      </c>
      <c r="AB51" s="17" t="s">
        <v>4620</v>
      </c>
      <c r="AC51" s="17" t="s">
        <v>4621</v>
      </c>
      <c r="AD51" s="16" t="s">
        <v>4835</v>
      </c>
      <c r="AF51" s="18" t="s">
        <v>76</v>
      </c>
    </row>
    <row r="52">
      <c r="A52" s="11"/>
      <c r="B52" s="12" t="s">
        <v>34</v>
      </c>
      <c r="C52" s="12" t="s">
        <v>65</v>
      </c>
      <c r="D52" s="12" t="s">
        <v>43</v>
      </c>
      <c r="E52" s="12" t="s">
        <v>224</v>
      </c>
      <c r="F52" s="13" t="s">
        <v>225</v>
      </c>
      <c r="G52" s="12" t="s">
        <v>68</v>
      </c>
      <c r="H52" s="12" t="s">
        <v>226</v>
      </c>
      <c r="I52" s="12" t="s">
        <v>227</v>
      </c>
      <c r="J52" s="17" t="s">
        <v>112</v>
      </c>
      <c r="K52" s="17" t="s">
        <v>113</v>
      </c>
      <c r="L52" s="116" t="s">
        <v>3600</v>
      </c>
      <c r="M52" s="17">
        <v>45.0</v>
      </c>
      <c r="N52" s="20">
        <v>45978.0</v>
      </c>
      <c r="O52" s="17" t="s">
        <v>428</v>
      </c>
      <c r="P52" s="17" t="s">
        <v>4620</v>
      </c>
      <c r="Q52" s="17" t="s">
        <v>4621</v>
      </c>
      <c r="R52" s="17" t="s">
        <v>4836</v>
      </c>
      <c r="S52" s="17" t="s">
        <v>4620</v>
      </c>
      <c r="T52" s="17" t="s">
        <v>4621</v>
      </c>
      <c r="U52" s="17" t="s">
        <v>4839</v>
      </c>
      <c r="V52" s="17" t="s">
        <v>4620</v>
      </c>
      <c r="W52" s="17" t="s">
        <v>4621</v>
      </c>
      <c r="X52" s="16" t="s">
        <v>4833</v>
      </c>
      <c r="Y52" s="17" t="s">
        <v>4620</v>
      </c>
      <c r="Z52" s="17" t="s">
        <v>4621</v>
      </c>
      <c r="AA52" s="17" t="s">
        <v>4840</v>
      </c>
      <c r="AB52" s="17" t="s">
        <v>4620</v>
      </c>
      <c r="AC52" s="17" t="s">
        <v>4621</v>
      </c>
      <c r="AD52" s="16" t="s">
        <v>4835</v>
      </c>
      <c r="AF52" s="18" t="s">
        <v>76</v>
      </c>
    </row>
    <row r="53">
      <c r="A53" s="11"/>
      <c r="B53" s="12" t="s">
        <v>34</v>
      </c>
      <c r="C53" s="12" t="s">
        <v>65</v>
      </c>
      <c r="D53" s="12" t="s">
        <v>43</v>
      </c>
      <c r="E53" s="12" t="s">
        <v>224</v>
      </c>
      <c r="F53" s="13" t="s">
        <v>225</v>
      </c>
      <c r="G53" s="12" t="s">
        <v>68</v>
      </c>
      <c r="H53" s="12" t="s">
        <v>226</v>
      </c>
      <c r="I53" s="12" t="s">
        <v>227</v>
      </c>
      <c r="J53" s="17" t="s">
        <v>108</v>
      </c>
      <c r="K53" s="17" t="s">
        <v>109</v>
      </c>
      <c r="L53" s="116" t="s">
        <v>3599</v>
      </c>
      <c r="M53" s="17">
        <v>34.0</v>
      </c>
      <c r="N53" s="20">
        <v>45978.0</v>
      </c>
      <c r="O53" s="17" t="s">
        <v>428</v>
      </c>
      <c r="P53" s="17" t="s">
        <v>4620</v>
      </c>
      <c r="Q53" s="17" t="s">
        <v>4621</v>
      </c>
      <c r="R53" s="17" t="s">
        <v>4836</v>
      </c>
      <c r="S53" s="17" t="s">
        <v>4620</v>
      </c>
      <c r="T53" s="17" t="s">
        <v>4621</v>
      </c>
      <c r="U53" s="17" t="s">
        <v>4841</v>
      </c>
      <c r="V53" s="17" t="s">
        <v>4620</v>
      </c>
      <c r="W53" s="17" t="s">
        <v>4621</v>
      </c>
      <c r="X53" s="16" t="s">
        <v>4833</v>
      </c>
      <c r="Y53" s="17" t="s">
        <v>4620</v>
      </c>
      <c r="Z53" s="17" t="s">
        <v>4621</v>
      </c>
      <c r="AA53" s="17" t="s">
        <v>4838</v>
      </c>
      <c r="AB53" s="17" t="s">
        <v>4620</v>
      </c>
      <c r="AC53" s="17" t="s">
        <v>4621</v>
      </c>
      <c r="AD53" s="16" t="s">
        <v>4835</v>
      </c>
      <c r="AF53" s="18" t="s">
        <v>76</v>
      </c>
    </row>
    <row r="54">
      <c r="A54" s="11"/>
      <c r="B54" s="12" t="s">
        <v>43</v>
      </c>
      <c r="C54" s="12" t="s">
        <v>65</v>
      </c>
      <c r="D54" s="12" t="s">
        <v>321</v>
      </c>
      <c r="E54" s="12" t="s">
        <v>321</v>
      </c>
      <c r="F54" s="13" t="s">
        <v>322</v>
      </c>
      <c r="G54" s="12" t="s">
        <v>68</v>
      </c>
      <c r="H54" s="12" t="s">
        <v>323</v>
      </c>
      <c r="I54" s="12" t="s">
        <v>324</v>
      </c>
      <c r="J54" s="17" t="s">
        <v>73</v>
      </c>
      <c r="K54" s="17" t="s">
        <v>74</v>
      </c>
      <c r="L54" s="116" t="s">
        <v>4174</v>
      </c>
      <c r="M54" s="17">
        <v>30.0</v>
      </c>
      <c r="N54" s="20">
        <v>45988.0</v>
      </c>
      <c r="O54" s="17" t="s">
        <v>428</v>
      </c>
      <c r="P54" s="17" t="s">
        <v>4620</v>
      </c>
      <c r="Q54" s="17" t="s">
        <v>4621</v>
      </c>
      <c r="R54" s="17" t="s">
        <v>4842</v>
      </c>
      <c r="S54" s="17" t="s">
        <v>4620</v>
      </c>
      <c r="T54" s="17" t="s">
        <v>4627</v>
      </c>
      <c r="U54" s="17" t="s">
        <v>4843</v>
      </c>
      <c r="V54" s="17" t="s">
        <v>4620</v>
      </c>
      <c r="W54" s="17" t="s">
        <v>4621</v>
      </c>
      <c r="X54" s="17" t="s">
        <v>4844</v>
      </c>
      <c r="Y54" s="17" t="s">
        <v>4620</v>
      </c>
      <c r="Z54" s="17" t="s">
        <v>4621</v>
      </c>
      <c r="AA54" s="17" t="s">
        <v>4838</v>
      </c>
      <c r="AB54" s="17" t="s">
        <v>4620</v>
      </c>
      <c r="AC54" s="17" t="s">
        <v>4621</v>
      </c>
      <c r="AD54" s="16" t="s">
        <v>4845</v>
      </c>
      <c r="AF54" s="18" t="s">
        <v>76</v>
      </c>
    </row>
    <row r="55">
      <c r="A55" s="11"/>
      <c r="B55" s="12" t="s">
        <v>43</v>
      </c>
      <c r="C55" s="12" t="s">
        <v>65</v>
      </c>
      <c r="D55" s="12" t="s">
        <v>321</v>
      </c>
      <c r="E55" s="12" t="s">
        <v>321</v>
      </c>
      <c r="F55" s="13" t="s">
        <v>322</v>
      </c>
      <c r="G55" s="12" t="s">
        <v>68</v>
      </c>
      <c r="H55" s="12" t="s">
        <v>323</v>
      </c>
      <c r="I55" s="12" t="s">
        <v>324</v>
      </c>
      <c r="J55" s="17" t="s">
        <v>108</v>
      </c>
      <c r="K55" s="17" t="s">
        <v>109</v>
      </c>
      <c r="L55" s="203" t="s">
        <v>3525</v>
      </c>
      <c r="M55" s="17">
        <v>40.0</v>
      </c>
      <c r="N55" s="20">
        <v>45988.0</v>
      </c>
      <c r="O55" s="17" t="s">
        <v>428</v>
      </c>
      <c r="P55" s="17" t="s">
        <v>4620</v>
      </c>
      <c r="Q55" s="17" t="s">
        <v>4621</v>
      </c>
      <c r="R55" s="17" t="s">
        <v>4836</v>
      </c>
      <c r="S55" s="17" t="s">
        <v>4620</v>
      </c>
      <c r="T55" s="17" t="s">
        <v>4621</v>
      </c>
      <c r="U55" s="17" t="s">
        <v>4846</v>
      </c>
      <c r="V55" s="17" t="s">
        <v>4620</v>
      </c>
      <c r="W55" s="17" t="s">
        <v>4627</v>
      </c>
      <c r="X55" s="17" t="s">
        <v>4847</v>
      </c>
      <c r="Y55" s="17" t="s">
        <v>4620</v>
      </c>
      <c r="Z55" s="17" t="s">
        <v>4621</v>
      </c>
      <c r="AA55" s="17" t="s">
        <v>4838</v>
      </c>
      <c r="AB55" s="17" t="s">
        <v>4620</v>
      </c>
      <c r="AC55" s="17" t="s">
        <v>4621</v>
      </c>
      <c r="AD55" s="16" t="s">
        <v>4848</v>
      </c>
      <c r="AF55" s="18" t="s">
        <v>76</v>
      </c>
    </row>
    <row r="56">
      <c r="A56" s="11"/>
      <c r="B56" s="12" t="s">
        <v>34</v>
      </c>
      <c r="C56" s="12" t="s">
        <v>65</v>
      </c>
      <c r="D56" s="12" t="s">
        <v>83</v>
      </c>
      <c r="E56" s="12" t="s">
        <v>84</v>
      </c>
      <c r="F56" s="13" t="s">
        <v>85</v>
      </c>
      <c r="G56" s="12" t="s">
        <v>86</v>
      </c>
      <c r="H56" s="12" t="s">
        <v>87</v>
      </c>
      <c r="I56" s="23"/>
      <c r="J56" s="2"/>
      <c r="K56" s="17" t="s">
        <v>1607</v>
      </c>
      <c r="L56" s="17" t="s">
        <v>2851</v>
      </c>
      <c r="M56" s="17">
        <v>26.0</v>
      </c>
      <c r="N56" s="20">
        <v>45966.0</v>
      </c>
      <c r="O56" s="17" t="s">
        <v>428</v>
      </c>
      <c r="P56" s="17" t="s">
        <v>4620</v>
      </c>
      <c r="Q56" s="17" t="s">
        <v>4621</v>
      </c>
      <c r="R56" s="17" t="s">
        <v>4849</v>
      </c>
      <c r="S56" s="17" t="s">
        <v>4620</v>
      </c>
      <c r="T56" s="17" t="s">
        <v>4621</v>
      </c>
      <c r="U56" s="17" t="s">
        <v>4850</v>
      </c>
      <c r="V56" s="17" t="s">
        <v>4620</v>
      </c>
      <c r="W56" s="17" t="s">
        <v>4621</v>
      </c>
      <c r="X56" s="17" t="s">
        <v>4851</v>
      </c>
      <c r="Y56" s="17" t="s">
        <v>4620</v>
      </c>
      <c r="Z56" s="17" t="s">
        <v>4621</v>
      </c>
      <c r="AA56" s="17" t="s">
        <v>4852</v>
      </c>
      <c r="AB56" s="17" t="s">
        <v>4620</v>
      </c>
      <c r="AC56" s="17" t="s">
        <v>4621</v>
      </c>
      <c r="AD56" s="17" t="s">
        <v>4853</v>
      </c>
      <c r="AF56" s="18" t="s">
        <v>92</v>
      </c>
    </row>
    <row r="57">
      <c r="A57" s="11"/>
      <c r="B57" s="12" t="s">
        <v>34</v>
      </c>
      <c r="C57" s="12" t="s">
        <v>65</v>
      </c>
      <c r="D57" s="12" t="s">
        <v>83</v>
      </c>
      <c r="E57" s="12" t="s">
        <v>120</v>
      </c>
      <c r="F57" s="13" t="s">
        <v>121</v>
      </c>
      <c r="G57" s="12" t="s">
        <v>68</v>
      </c>
      <c r="H57" s="12" t="s">
        <v>122</v>
      </c>
      <c r="I57" s="12" t="s">
        <v>123</v>
      </c>
      <c r="J57" s="2"/>
      <c r="K57" s="17" t="s">
        <v>1607</v>
      </c>
      <c r="L57" s="17" t="s">
        <v>2943</v>
      </c>
      <c r="M57" s="17">
        <v>49.0</v>
      </c>
      <c r="N57" s="20">
        <v>45968.0</v>
      </c>
      <c r="O57" s="17" t="s">
        <v>428</v>
      </c>
      <c r="P57" s="17" t="s">
        <v>4620</v>
      </c>
      <c r="Q57" s="17" t="s">
        <v>4621</v>
      </c>
      <c r="R57" s="17" t="s">
        <v>4854</v>
      </c>
      <c r="S57" s="17" t="s">
        <v>4620</v>
      </c>
      <c r="T57" s="17" t="s">
        <v>4621</v>
      </c>
      <c r="U57" s="17" t="s">
        <v>4855</v>
      </c>
      <c r="V57" s="17" t="s">
        <v>4620</v>
      </c>
      <c r="W57" s="17" t="s">
        <v>4621</v>
      </c>
      <c r="X57" s="17" t="s">
        <v>4856</v>
      </c>
      <c r="Y57" s="17" t="s">
        <v>4620</v>
      </c>
      <c r="Z57" s="17" t="s">
        <v>4621</v>
      </c>
      <c r="AA57" s="17" t="s">
        <v>4857</v>
      </c>
      <c r="AB57" s="17" t="s">
        <v>4620</v>
      </c>
      <c r="AC57" s="17" t="s">
        <v>4621</v>
      </c>
      <c r="AD57" s="17" t="s">
        <v>4858</v>
      </c>
      <c r="AF57" s="18" t="s">
        <v>92</v>
      </c>
    </row>
    <row r="58">
      <c r="A58" s="11"/>
      <c r="B58" s="12" t="s">
        <v>34</v>
      </c>
      <c r="C58" s="12" t="s">
        <v>65</v>
      </c>
      <c r="D58" s="12" t="s">
        <v>102</v>
      </c>
      <c r="E58" s="12" t="s">
        <v>455</v>
      </c>
      <c r="F58" s="13" t="s">
        <v>456</v>
      </c>
      <c r="G58" s="12" t="s">
        <v>68</v>
      </c>
      <c r="H58" s="12" t="s">
        <v>457</v>
      </c>
      <c r="I58" s="12" t="s">
        <v>458</v>
      </c>
      <c r="J58" s="17" t="s">
        <v>73</v>
      </c>
      <c r="K58" s="17" t="s">
        <v>74</v>
      </c>
      <c r="L58" s="116" t="s">
        <v>4859</v>
      </c>
      <c r="M58" s="17">
        <v>57.0</v>
      </c>
      <c r="N58" s="20">
        <v>45972.0</v>
      </c>
      <c r="O58" s="17" t="s">
        <v>428</v>
      </c>
      <c r="P58" s="17" t="s">
        <v>4620</v>
      </c>
      <c r="Q58" s="17" t="s">
        <v>4621</v>
      </c>
      <c r="R58" s="17" t="s">
        <v>4860</v>
      </c>
      <c r="S58" s="17" t="s">
        <v>4620</v>
      </c>
      <c r="T58" s="17" t="s">
        <v>4621</v>
      </c>
      <c r="U58" s="17" t="s">
        <v>4861</v>
      </c>
      <c r="V58" s="17" t="s">
        <v>4620</v>
      </c>
      <c r="W58" s="17" t="s">
        <v>4621</v>
      </c>
      <c r="X58" s="17" t="s">
        <v>4862</v>
      </c>
      <c r="Y58" s="17" t="s">
        <v>4620</v>
      </c>
      <c r="Z58" s="17" t="s">
        <v>4621</v>
      </c>
      <c r="AA58" s="17" t="s">
        <v>4863</v>
      </c>
      <c r="AB58" s="17" t="s">
        <v>4620</v>
      </c>
      <c r="AC58" s="17" t="s">
        <v>4621</v>
      </c>
      <c r="AD58" s="17" t="s">
        <v>4864</v>
      </c>
      <c r="AF58" s="18" t="s">
        <v>92</v>
      </c>
    </row>
    <row r="59">
      <c r="A59" s="11"/>
      <c r="B59" s="12" t="s">
        <v>34</v>
      </c>
      <c r="C59" s="12" t="s">
        <v>65</v>
      </c>
      <c r="D59" s="12" t="s">
        <v>102</v>
      </c>
      <c r="E59" s="12" t="s">
        <v>455</v>
      </c>
      <c r="F59" s="13" t="s">
        <v>456</v>
      </c>
      <c r="G59" s="12" t="s">
        <v>68</v>
      </c>
      <c r="H59" s="12" t="s">
        <v>457</v>
      </c>
      <c r="I59" s="12" t="s">
        <v>458</v>
      </c>
      <c r="J59" s="17" t="s">
        <v>112</v>
      </c>
      <c r="K59" s="17" t="s">
        <v>113</v>
      </c>
      <c r="L59" s="116" t="s">
        <v>4441</v>
      </c>
      <c r="M59" s="17">
        <v>32.0</v>
      </c>
      <c r="N59" s="20">
        <v>45972.0</v>
      </c>
      <c r="O59" s="17" t="s">
        <v>428</v>
      </c>
      <c r="P59" s="17" t="s">
        <v>4620</v>
      </c>
      <c r="Q59" s="17" t="s">
        <v>4621</v>
      </c>
      <c r="R59" s="17" t="s">
        <v>4860</v>
      </c>
      <c r="S59" s="17" t="s">
        <v>4620</v>
      </c>
      <c r="T59" s="17" t="s">
        <v>4621</v>
      </c>
      <c r="U59" s="17" t="s">
        <v>4861</v>
      </c>
      <c r="V59" s="17" t="s">
        <v>4620</v>
      </c>
      <c r="W59" s="17" t="s">
        <v>4621</v>
      </c>
      <c r="X59" s="17" t="s">
        <v>4851</v>
      </c>
      <c r="Y59" s="17" t="s">
        <v>4620</v>
      </c>
      <c r="Z59" s="17" t="s">
        <v>4621</v>
      </c>
      <c r="AA59" s="17" t="s">
        <v>4863</v>
      </c>
      <c r="AB59" s="17" t="s">
        <v>4620</v>
      </c>
      <c r="AC59" s="17" t="s">
        <v>4621</v>
      </c>
      <c r="AD59" s="16" t="s">
        <v>4848</v>
      </c>
      <c r="AF59" s="18" t="s">
        <v>92</v>
      </c>
    </row>
    <row r="60">
      <c r="A60" s="11"/>
      <c r="B60" s="12" t="s">
        <v>34</v>
      </c>
      <c r="C60" s="12" t="s">
        <v>65</v>
      </c>
      <c r="D60" s="12" t="s">
        <v>102</v>
      </c>
      <c r="E60" s="12" t="s">
        <v>455</v>
      </c>
      <c r="F60" s="13" t="s">
        <v>456</v>
      </c>
      <c r="G60" s="12" t="s">
        <v>68</v>
      </c>
      <c r="H60" s="12" t="s">
        <v>457</v>
      </c>
      <c r="I60" s="12" t="s">
        <v>458</v>
      </c>
      <c r="J60" s="17" t="s">
        <v>108</v>
      </c>
      <c r="K60" s="17" t="s">
        <v>109</v>
      </c>
      <c r="L60" s="116" t="s">
        <v>4443</v>
      </c>
      <c r="M60" s="17">
        <v>26.0</v>
      </c>
      <c r="N60" s="20">
        <v>45972.0</v>
      </c>
      <c r="O60" s="17" t="s">
        <v>428</v>
      </c>
      <c r="P60" s="17" t="s">
        <v>4620</v>
      </c>
      <c r="Q60" s="17" t="s">
        <v>4621</v>
      </c>
      <c r="R60" s="17" t="s">
        <v>4860</v>
      </c>
      <c r="S60" s="17" t="s">
        <v>4620</v>
      </c>
      <c r="T60" s="17" t="s">
        <v>4621</v>
      </c>
      <c r="U60" s="17" t="s">
        <v>4861</v>
      </c>
      <c r="V60" s="17" t="s">
        <v>4620</v>
      </c>
      <c r="W60" s="17" t="s">
        <v>4621</v>
      </c>
      <c r="X60" s="17" t="s">
        <v>4851</v>
      </c>
      <c r="Y60" s="17" t="s">
        <v>4620</v>
      </c>
      <c r="Z60" s="17" t="s">
        <v>4621</v>
      </c>
      <c r="AA60" s="17" t="s">
        <v>4863</v>
      </c>
      <c r="AB60" s="17" t="s">
        <v>4620</v>
      </c>
      <c r="AC60" s="17" t="s">
        <v>4621</v>
      </c>
      <c r="AD60" s="17" t="s">
        <v>4853</v>
      </c>
      <c r="AF60" s="18" t="s">
        <v>92</v>
      </c>
    </row>
    <row r="61">
      <c r="A61" s="11"/>
      <c r="B61" s="12" t="s">
        <v>34</v>
      </c>
      <c r="C61" s="12" t="s">
        <v>65</v>
      </c>
      <c r="D61" s="12" t="s">
        <v>102</v>
      </c>
      <c r="E61" s="12" t="s">
        <v>142</v>
      </c>
      <c r="F61" s="13" t="s">
        <v>143</v>
      </c>
      <c r="G61" s="12" t="s">
        <v>68</v>
      </c>
      <c r="H61" s="12" t="s">
        <v>144</v>
      </c>
      <c r="I61" s="12" t="s">
        <v>145</v>
      </c>
      <c r="J61" s="17" t="s">
        <v>73</v>
      </c>
      <c r="K61" s="17" t="s">
        <v>74</v>
      </c>
      <c r="L61" s="17" t="s">
        <v>2778</v>
      </c>
      <c r="M61" s="17">
        <v>50.0</v>
      </c>
      <c r="N61" s="20">
        <v>45973.0</v>
      </c>
      <c r="O61" s="17" t="s">
        <v>428</v>
      </c>
      <c r="P61" s="17" t="s">
        <v>4620</v>
      </c>
      <c r="Q61" s="17" t="s">
        <v>4621</v>
      </c>
      <c r="R61" s="17" t="s">
        <v>4860</v>
      </c>
      <c r="S61" s="17" t="s">
        <v>4620</v>
      </c>
      <c r="T61" s="17" t="s">
        <v>4621</v>
      </c>
      <c r="U61" s="17" t="s">
        <v>4861</v>
      </c>
      <c r="V61" s="17" t="s">
        <v>4620</v>
      </c>
      <c r="W61" s="17" t="s">
        <v>4621</v>
      </c>
      <c r="X61" s="17" t="s">
        <v>4851</v>
      </c>
      <c r="Y61" s="17" t="s">
        <v>4620</v>
      </c>
      <c r="Z61" s="17" t="s">
        <v>4621</v>
      </c>
      <c r="AA61" s="17" t="s">
        <v>4857</v>
      </c>
      <c r="AB61" s="17" t="s">
        <v>4620</v>
      </c>
      <c r="AC61" s="17" t="s">
        <v>4621</v>
      </c>
      <c r="AD61" s="16" t="s">
        <v>4848</v>
      </c>
      <c r="AF61" s="18" t="s">
        <v>92</v>
      </c>
    </row>
    <row r="62">
      <c r="A62" s="11"/>
      <c r="B62" s="12" t="s">
        <v>34</v>
      </c>
      <c r="C62" s="12" t="s">
        <v>65</v>
      </c>
      <c r="D62" s="12" t="s">
        <v>102</v>
      </c>
      <c r="E62" s="12" t="s">
        <v>142</v>
      </c>
      <c r="F62" s="13" t="s">
        <v>143</v>
      </c>
      <c r="G62" s="12" t="s">
        <v>68</v>
      </c>
      <c r="H62" s="12" t="s">
        <v>144</v>
      </c>
      <c r="I62" s="12" t="s">
        <v>145</v>
      </c>
      <c r="J62" s="17" t="s">
        <v>112</v>
      </c>
      <c r="K62" s="17" t="s">
        <v>113</v>
      </c>
      <c r="L62" s="17" t="s">
        <v>2776</v>
      </c>
      <c r="M62" s="17">
        <v>33.0</v>
      </c>
      <c r="N62" s="20">
        <v>45973.0</v>
      </c>
      <c r="O62" s="17" t="s">
        <v>428</v>
      </c>
      <c r="P62" s="17" t="s">
        <v>4620</v>
      </c>
      <c r="Q62" s="17" t="s">
        <v>4627</v>
      </c>
      <c r="R62" s="17" t="s">
        <v>4854</v>
      </c>
      <c r="S62" s="17" t="s">
        <v>4620</v>
      </c>
      <c r="T62" s="17" t="s">
        <v>4627</v>
      </c>
      <c r="U62" s="17" t="s">
        <v>4855</v>
      </c>
      <c r="V62" s="17" t="s">
        <v>4620</v>
      </c>
      <c r="W62" s="17" t="s">
        <v>4627</v>
      </c>
      <c r="X62" s="17" t="s">
        <v>4856</v>
      </c>
      <c r="Y62" s="17" t="s">
        <v>4620</v>
      </c>
      <c r="Z62" s="17" t="s">
        <v>4627</v>
      </c>
      <c r="AA62" s="17" t="s">
        <v>4838</v>
      </c>
      <c r="AB62" s="17" t="s">
        <v>4620</v>
      </c>
      <c r="AC62" s="17" t="s">
        <v>4621</v>
      </c>
      <c r="AD62" s="16" t="s">
        <v>4848</v>
      </c>
      <c r="AF62" s="18" t="s">
        <v>92</v>
      </c>
    </row>
    <row r="63">
      <c r="A63" s="11"/>
      <c r="B63" s="12" t="s">
        <v>34</v>
      </c>
      <c r="C63" s="12" t="s">
        <v>65</v>
      </c>
      <c r="D63" s="12" t="s">
        <v>102</v>
      </c>
      <c r="E63" s="12" t="s">
        <v>142</v>
      </c>
      <c r="F63" s="13" t="s">
        <v>143</v>
      </c>
      <c r="G63" s="12" t="s">
        <v>68</v>
      </c>
      <c r="H63" s="12" t="s">
        <v>144</v>
      </c>
      <c r="I63" s="12" t="s">
        <v>145</v>
      </c>
      <c r="J63" s="17" t="s">
        <v>108</v>
      </c>
      <c r="K63" s="17" t="s">
        <v>109</v>
      </c>
      <c r="L63" s="17" t="s">
        <v>2777</v>
      </c>
      <c r="M63" s="17">
        <v>43.0</v>
      </c>
      <c r="N63" s="20">
        <v>45973.0</v>
      </c>
      <c r="O63" s="17" t="s">
        <v>428</v>
      </c>
      <c r="P63" s="17" t="s">
        <v>4620</v>
      </c>
      <c r="Q63" s="17" t="s">
        <v>4621</v>
      </c>
      <c r="R63" s="17" t="s">
        <v>4860</v>
      </c>
      <c r="S63" s="17" t="s">
        <v>4620</v>
      </c>
      <c r="T63" s="17" t="s">
        <v>4621</v>
      </c>
      <c r="U63" s="17" t="s">
        <v>4861</v>
      </c>
      <c r="V63" s="17" t="s">
        <v>4620</v>
      </c>
      <c r="W63" s="17" t="s">
        <v>4621</v>
      </c>
      <c r="X63" s="17" t="s">
        <v>4851</v>
      </c>
      <c r="Y63" s="17" t="s">
        <v>4620</v>
      </c>
      <c r="Z63" s="17" t="s">
        <v>4621</v>
      </c>
      <c r="AA63" s="17" t="s">
        <v>4857</v>
      </c>
      <c r="AB63" s="17" t="s">
        <v>4620</v>
      </c>
      <c r="AC63" s="17" t="s">
        <v>4621</v>
      </c>
      <c r="AD63" s="17" t="s">
        <v>4858</v>
      </c>
      <c r="AF63" s="18" t="s">
        <v>92</v>
      </c>
    </row>
    <row r="64">
      <c r="A64" s="11"/>
      <c r="B64" s="12" t="s">
        <v>34</v>
      </c>
      <c r="C64" s="12" t="s">
        <v>65</v>
      </c>
      <c r="D64" s="12" t="s">
        <v>102</v>
      </c>
      <c r="E64" s="12" t="s">
        <v>142</v>
      </c>
      <c r="F64" s="13" t="s">
        <v>143</v>
      </c>
      <c r="G64" s="12" t="s">
        <v>68</v>
      </c>
      <c r="H64" s="12" t="s">
        <v>144</v>
      </c>
      <c r="I64" s="12" t="s">
        <v>145</v>
      </c>
      <c r="J64" s="17" t="s">
        <v>108</v>
      </c>
      <c r="K64" s="17" t="s">
        <v>109</v>
      </c>
      <c r="L64" s="17" t="s">
        <v>2775</v>
      </c>
      <c r="M64" s="17">
        <v>25.0</v>
      </c>
      <c r="N64" s="20">
        <v>45973.0</v>
      </c>
      <c r="O64" s="17" t="s">
        <v>428</v>
      </c>
      <c r="P64" s="17" t="s">
        <v>4620</v>
      </c>
      <c r="Q64" s="17" t="s">
        <v>4621</v>
      </c>
      <c r="R64" s="17" t="s">
        <v>4860</v>
      </c>
      <c r="S64" s="17" t="s">
        <v>4620</v>
      </c>
      <c r="T64" s="17" t="s">
        <v>4623</v>
      </c>
      <c r="U64" s="17" t="s">
        <v>4846</v>
      </c>
      <c r="V64" s="17" t="s">
        <v>4620</v>
      </c>
      <c r="W64" s="17" t="s">
        <v>4621</v>
      </c>
      <c r="X64" s="17" t="s">
        <v>4851</v>
      </c>
      <c r="Y64" s="17" t="s">
        <v>4620</v>
      </c>
      <c r="Z64" s="17" t="s">
        <v>4621</v>
      </c>
      <c r="AA64" s="17" t="s">
        <v>4857</v>
      </c>
      <c r="AB64" s="17" t="s">
        <v>4620</v>
      </c>
      <c r="AC64" s="17" t="s">
        <v>4621</v>
      </c>
      <c r="AD64" s="17" t="s">
        <v>4858</v>
      </c>
      <c r="AF64" s="18" t="s">
        <v>92</v>
      </c>
    </row>
    <row r="65">
      <c r="A65" s="11"/>
      <c r="B65" s="12" t="s">
        <v>34</v>
      </c>
      <c r="C65" s="12" t="s">
        <v>65</v>
      </c>
      <c r="D65" s="12" t="s">
        <v>102</v>
      </c>
      <c r="E65" s="12" t="s">
        <v>103</v>
      </c>
      <c r="F65" s="13" t="s">
        <v>104</v>
      </c>
      <c r="G65" s="12" t="s">
        <v>68</v>
      </c>
      <c r="H65" s="12" t="s">
        <v>105</v>
      </c>
      <c r="I65" s="12" t="s">
        <v>106</v>
      </c>
      <c r="J65" s="17" t="s">
        <v>73</v>
      </c>
      <c r="K65" s="17" t="s">
        <v>74</v>
      </c>
      <c r="L65" s="17" t="s">
        <v>2821</v>
      </c>
      <c r="M65" s="17">
        <v>23.0</v>
      </c>
      <c r="N65" s="20">
        <v>45965.0</v>
      </c>
      <c r="O65" s="17" t="s">
        <v>428</v>
      </c>
      <c r="P65" s="17" t="s">
        <v>4620</v>
      </c>
      <c r="Q65" s="17" t="s">
        <v>4623</v>
      </c>
      <c r="R65" s="17" t="s">
        <v>4854</v>
      </c>
      <c r="S65" s="17" t="s">
        <v>4620</v>
      </c>
      <c r="T65" s="17" t="s">
        <v>4621</v>
      </c>
      <c r="U65" s="17" t="s">
        <v>4861</v>
      </c>
      <c r="V65" s="17" t="s">
        <v>4620</v>
      </c>
      <c r="W65" s="17" t="s">
        <v>4621</v>
      </c>
      <c r="X65" s="17" t="s">
        <v>4851</v>
      </c>
      <c r="Y65" s="17" t="s">
        <v>4620</v>
      </c>
      <c r="Z65" s="17" t="s">
        <v>4621</v>
      </c>
      <c r="AA65" s="17" t="s">
        <v>4857</v>
      </c>
      <c r="AB65" s="17" t="s">
        <v>4620</v>
      </c>
      <c r="AC65" s="17" t="s">
        <v>4621</v>
      </c>
      <c r="AD65" s="16" t="s">
        <v>4848</v>
      </c>
      <c r="AF65" s="18" t="s">
        <v>92</v>
      </c>
    </row>
    <row r="66">
      <c r="A66" s="11"/>
      <c r="B66" s="12" t="s">
        <v>34</v>
      </c>
      <c r="C66" s="12" t="s">
        <v>65</v>
      </c>
      <c r="D66" s="12" t="s">
        <v>102</v>
      </c>
      <c r="E66" s="12" t="s">
        <v>103</v>
      </c>
      <c r="F66" s="13" t="s">
        <v>104</v>
      </c>
      <c r="G66" s="12" t="s">
        <v>68</v>
      </c>
      <c r="H66" s="12" t="s">
        <v>105</v>
      </c>
      <c r="I66" s="12" t="s">
        <v>106</v>
      </c>
      <c r="J66" s="2"/>
      <c r="K66" s="17" t="s">
        <v>1775</v>
      </c>
      <c r="L66" s="17" t="s">
        <v>2822</v>
      </c>
      <c r="M66" s="17">
        <v>26.0</v>
      </c>
      <c r="N66" s="20">
        <v>45965.0</v>
      </c>
      <c r="O66" s="17" t="s">
        <v>428</v>
      </c>
      <c r="P66" s="17" t="s">
        <v>4620</v>
      </c>
      <c r="Q66" s="17" t="s">
        <v>4621</v>
      </c>
      <c r="R66" s="17" t="s">
        <v>4860</v>
      </c>
      <c r="S66" s="17" t="s">
        <v>4620</v>
      </c>
      <c r="T66" s="17" t="s">
        <v>4621</v>
      </c>
      <c r="U66" s="17" t="s">
        <v>4861</v>
      </c>
      <c r="V66" s="17" t="s">
        <v>4620</v>
      </c>
      <c r="W66" s="17" t="s">
        <v>4621</v>
      </c>
      <c r="X66" s="17" t="s">
        <v>4851</v>
      </c>
      <c r="Y66" s="17" t="s">
        <v>4620</v>
      </c>
      <c r="Z66" s="17" t="s">
        <v>4621</v>
      </c>
      <c r="AA66" s="17" t="s">
        <v>4857</v>
      </c>
      <c r="AB66" s="17" t="s">
        <v>4620</v>
      </c>
      <c r="AC66" s="17" t="s">
        <v>4621</v>
      </c>
      <c r="AD66" s="17" t="s">
        <v>4858</v>
      </c>
      <c r="AF66" s="18" t="s">
        <v>92</v>
      </c>
    </row>
    <row r="67">
      <c r="A67" s="11"/>
      <c r="B67" s="12" t="s">
        <v>34</v>
      </c>
      <c r="C67" s="12" t="s">
        <v>65</v>
      </c>
      <c r="D67" s="12" t="s">
        <v>102</v>
      </c>
      <c r="E67" s="12" t="s">
        <v>152</v>
      </c>
      <c r="F67" s="13" t="s">
        <v>153</v>
      </c>
      <c r="G67" s="12" t="s">
        <v>68</v>
      </c>
      <c r="H67" s="12" t="s">
        <v>154</v>
      </c>
      <c r="I67" s="12" t="s">
        <v>155</v>
      </c>
      <c r="J67" s="17" t="s">
        <v>73</v>
      </c>
      <c r="K67" s="17" t="s">
        <v>74</v>
      </c>
      <c r="L67" s="17" t="s">
        <v>2914</v>
      </c>
      <c r="M67" s="17">
        <v>44.0</v>
      </c>
      <c r="N67" s="20">
        <v>45978.0</v>
      </c>
      <c r="O67" s="17" t="s">
        <v>428</v>
      </c>
      <c r="P67" s="17" t="s">
        <v>4620</v>
      </c>
      <c r="Q67" s="17" t="s">
        <v>4621</v>
      </c>
      <c r="R67" s="17" t="s">
        <v>4860</v>
      </c>
      <c r="S67" s="17" t="s">
        <v>4620</v>
      </c>
      <c r="T67" s="17" t="s">
        <v>4627</v>
      </c>
      <c r="U67" s="17" t="s">
        <v>4855</v>
      </c>
      <c r="V67" s="17" t="s">
        <v>4620</v>
      </c>
      <c r="W67" s="17" t="s">
        <v>4621</v>
      </c>
      <c r="X67" s="17" t="s">
        <v>4851</v>
      </c>
      <c r="Y67" s="17" t="s">
        <v>4620</v>
      </c>
      <c r="Z67" s="17" t="s">
        <v>4621</v>
      </c>
      <c r="AA67" s="17" t="s">
        <v>4857</v>
      </c>
      <c r="AB67" s="17" t="s">
        <v>4620</v>
      </c>
      <c r="AC67" s="17" t="s">
        <v>4621</v>
      </c>
      <c r="AD67" s="17" t="s">
        <v>4864</v>
      </c>
      <c r="AF67" s="18" t="s">
        <v>92</v>
      </c>
    </row>
    <row r="68">
      <c r="A68" s="11"/>
      <c r="B68" s="12" t="s">
        <v>34</v>
      </c>
      <c r="C68" s="12" t="s">
        <v>65</v>
      </c>
      <c r="D68" s="12" t="s">
        <v>102</v>
      </c>
      <c r="E68" s="12" t="s">
        <v>152</v>
      </c>
      <c r="F68" s="13" t="s">
        <v>153</v>
      </c>
      <c r="G68" s="12" t="s">
        <v>68</v>
      </c>
      <c r="H68" s="12" t="s">
        <v>154</v>
      </c>
      <c r="I68" s="12" t="s">
        <v>155</v>
      </c>
      <c r="J68" s="17" t="s">
        <v>112</v>
      </c>
      <c r="K68" s="17" t="s">
        <v>113</v>
      </c>
      <c r="L68" s="17" t="s">
        <v>2915</v>
      </c>
      <c r="M68" s="17">
        <v>45.0</v>
      </c>
      <c r="N68" s="20">
        <v>45978.0</v>
      </c>
      <c r="O68" s="17" t="s">
        <v>428</v>
      </c>
      <c r="P68" s="17" t="s">
        <v>4620</v>
      </c>
      <c r="Q68" s="17" t="s">
        <v>4627</v>
      </c>
      <c r="R68" s="17" t="s">
        <v>4854</v>
      </c>
      <c r="S68" s="17" t="s">
        <v>4620</v>
      </c>
      <c r="T68" s="17" t="s">
        <v>4627</v>
      </c>
      <c r="U68" s="17" t="s">
        <v>4855</v>
      </c>
      <c r="V68" s="17" t="s">
        <v>4620</v>
      </c>
      <c r="W68" s="17" t="s">
        <v>4627</v>
      </c>
      <c r="X68" s="17" t="s">
        <v>4856</v>
      </c>
      <c r="Y68" s="17" t="s">
        <v>4620</v>
      </c>
      <c r="Z68" s="17" t="s">
        <v>4621</v>
      </c>
      <c r="AA68" s="17" t="s">
        <v>4857</v>
      </c>
      <c r="AB68" s="17" t="s">
        <v>4620</v>
      </c>
      <c r="AC68" s="17" t="s">
        <v>4621</v>
      </c>
      <c r="AD68" s="17" t="s">
        <v>4864</v>
      </c>
      <c r="AF68" s="18" t="s">
        <v>92</v>
      </c>
    </row>
    <row r="69">
      <c r="A69" s="11"/>
      <c r="B69" s="12" t="s">
        <v>34</v>
      </c>
      <c r="C69" s="12" t="s">
        <v>65</v>
      </c>
      <c r="D69" s="12" t="s">
        <v>102</v>
      </c>
      <c r="E69" s="12" t="s">
        <v>152</v>
      </c>
      <c r="F69" s="13" t="s">
        <v>153</v>
      </c>
      <c r="G69" s="12" t="s">
        <v>68</v>
      </c>
      <c r="H69" s="12" t="s">
        <v>154</v>
      </c>
      <c r="I69" s="12" t="s">
        <v>155</v>
      </c>
      <c r="J69" s="17" t="s">
        <v>108</v>
      </c>
      <c r="K69" s="17" t="s">
        <v>109</v>
      </c>
      <c r="L69" s="17" t="s">
        <v>2916</v>
      </c>
      <c r="M69" s="17">
        <v>24.0</v>
      </c>
      <c r="N69" s="20">
        <v>45978.0</v>
      </c>
      <c r="O69" s="17" t="s">
        <v>428</v>
      </c>
      <c r="P69" s="17" t="s">
        <v>4620</v>
      </c>
      <c r="Q69" s="17" t="s">
        <v>4627</v>
      </c>
      <c r="R69" s="17" t="s">
        <v>4854</v>
      </c>
      <c r="S69" s="17" t="s">
        <v>4620</v>
      </c>
      <c r="T69" s="17" t="s">
        <v>4621</v>
      </c>
      <c r="U69" s="17" t="s">
        <v>4861</v>
      </c>
      <c r="V69" s="17" t="s">
        <v>4620</v>
      </c>
      <c r="W69" s="17" t="s">
        <v>4621</v>
      </c>
      <c r="X69" s="17" t="s">
        <v>4851</v>
      </c>
      <c r="Y69" s="17" t="s">
        <v>4620</v>
      </c>
      <c r="Z69" s="17" t="s">
        <v>4621</v>
      </c>
      <c r="AA69" s="17" t="s">
        <v>4857</v>
      </c>
      <c r="AB69" s="17" t="s">
        <v>4620</v>
      </c>
      <c r="AC69" s="17" t="s">
        <v>4621</v>
      </c>
      <c r="AD69" s="16" t="s">
        <v>4848</v>
      </c>
      <c r="AF69" s="18" t="s">
        <v>92</v>
      </c>
    </row>
    <row r="70">
      <c r="A70" s="11"/>
      <c r="B70" s="23"/>
      <c r="C70" s="23"/>
      <c r="D70" s="23"/>
      <c r="E70" s="23"/>
      <c r="F70" s="1"/>
      <c r="G70" s="23"/>
      <c r="H70" s="23"/>
      <c r="I70" s="23"/>
      <c r="J70" s="2"/>
      <c r="M70" s="40"/>
      <c r="N70" s="40"/>
      <c r="O70" s="2"/>
      <c r="P70" s="2"/>
      <c r="Q70" s="2"/>
      <c r="S70" s="2"/>
      <c r="T70" s="2"/>
      <c r="V70" s="2"/>
      <c r="W70" s="2"/>
      <c r="Y70" s="2"/>
      <c r="Z70" s="2"/>
      <c r="AB70" s="2"/>
      <c r="AC70" s="2"/>
      <c r="AF70" s="24"/>
    </row>
    <row r="71">
      <c r="A71" s="11"/>
      <c r="B71" s="23"/>
      <c r="C71" s="23"/>
      <c r="D71" s="23"/>
      <c r="E71" s="23"/>
      <c r="F71" s="1"/>
      <c r="G71" s="23"/>
      <c r="H71" s="23"/>
      <c r="I71" s="23"/>
      <c r="J71" s="2"/>
      <c r="M71" s="40"/>
      <c r="N71" s="40"/>
      <c r="O71" s="2"/>
      <c r="P71" s="2"/>
      <c r="Q71" s="2"/>
      <c r="S71" s="2"/>
      <c r="T71" s="2"/>
      <c r="V71" s="2"/>
      <c r="W71" s="2"/>
      <c r="Y71" s="2"/>
      <c r="Z71" s="2"/>
      <c r="AB71" s="2"/>
      <c r="AC71" s="2"/>
      <c r="AF71" s="24"/>
    </row>
    <row r="72">
      <c r="A72" s="11"/>
      <c r="B72" s="23"/>
      <c r="C72" s="23"/>
      <c r="D72" s="23"/>
      <c r="E72" s="23"/>
      <c r="F72" s="1"/>
      <c r="G72" s="23"/>
      <c r="H72" s="23"/>
      <c r="I72" s="23"/>
      <c r="J72" s="2"/>
      <c r="M72" s="40"/>
      <c r="N72" s="40"/>
      <c r="O72" s="2"/>
      <c r="P72" s="2"/>
      <c r="Q72" s="2"/>
      <c r="S72" s="2"/>
      <c r="T72" s="2"/>
      <c r="V72" s="2"/>
      <c r="W72" s="2"/>
      <c r="Y72" s="2"/>
      <c r="Z72" s="2"/>
      <c r="AB72" s="2"/>
      <c r="AC72" s="2"/>
      <c r="AF72" s="24"/>
    </row>
    <row r="73">
      <c r="A73" s="11"/>
      <c r="B73" s="23"/>
      <c r="C73" s="23"/>
      <c r="D73" s="23"/>
      <c r="E73" s="23"/>
      <c r="F73" s="1"/>
      <c r="G73" s="23"/>
      <c r="H73" s="23"/>
      <c r="I73" s="23"/>
      <c r="J73" s="2"/>
      <c r="M73" s="40"/>
      <c r="N73" s="40"/>
      <c r="O73" s="2"/>
      <c r="P73" s="2"/>
      <c r="Q73" s="2"/>
      <c r="S73" s="2"/>
      <c r="T73" s="2"/>
      <c r="V73" s="2"/>
      <c r="W73" s="2"/>
      <c r="Y73" s="2"/>
      <c r="Z73" s="2"/>
      <c r="AB73" s="2"/>
      <c r="AC73" s="2"/>
      <c r="AF73" s="24"/>
    </row>
    <row r="74">
      <c r="A74" s="11"/>
      <c r="B74" s="23"/>
      <c r="C74" s="23"/>
      <c r="D74" s="23"/>
      <c r="E74" s="23"/>
      <c r="F74" s="1"/>
      <c r="G74" s="23"/>
      <c r="H74" s="23"/>
      <c r="I74" s="23"/>
      <c r="J74" s="2"/>
      <c r="M74" s="40"/>
      <c r="N74" s="40"/>
      <c r="O74" s="2"/>
      <c r="P74" s="2"/>
      <c r="Q74" s="2"/>
      <c r="S74" s="2"/>
      <c r="T74" s="2"/>
      <c r="V74" s="2"/>
      <c r="W74" s="2"/>
      <c r="Y74" s="2"/>
      <c r="Z74" s="2"/>
      <c r="AB74" s="2"/>
      <c r="AC74" s="2"/>
      <c r="AF74" s="24"/>
    </row>
    <row r="75">
      <c r="A75" s="11"/>
      <c r="B75" s="23"/>
      <c r="C75" s="23"/>
      <c r="D75" s="23"/>
      <c r="E75" s="23"/>
      <c r="F75" s="1"/>
      <c r="G75" s="23"/>
      <c r="H75" s="23"/>
      <c r="I75" s="23"/>
      <c r="J75" s="2"/>
      <c r="M75" s="40"/>
      <c r="N75" s="40"/>
      <c r="O75" s="2"/>
      <c r="P75" s="2"/>
      <c r="Q75" s="2"/>
      <c r="S75" s="2"/>
      <c r="T75" s="2"/>
      <c r="V75" s="2"/>
      <c r="W75" s="2"/>
      <c r="Y75" s="2"/>
      <c r="Z75" s="2"/>
      <c r="AB75" s="2"/>
      <c r="AC75" s="2"/>
      <c r="AF75" s="24"/>
    </row>
    <row r="76">
      <c r="A76" s="11"/>
      <c r="B76" s="23"/>
      <c r="C76" s="23"/>
      <c r="D76" s="23"/>
      <c r="E76" s="23"/>
      <c r="F76" s="1"/>
      <c r="G76" s="23"/>
      <c r="H76" s="23"/>
      <c r="I76" s="23"/>
      <c r="J76" s="2"/>
      <c r="M76" s="40"/>
      <c r="N76" s="40"/>
      <c r="O76" s="2"/>
      <c r="P76" s="2"/>
      <c r="Q76" s="2"/>
      <c r="S76" s="2"/>
      <c r="T76" s="2"/>
      <c r="V76" s="2"/>
      <c r="W76" s="2"/>
      <c r="Y76" s="2"/>
      <c r="Z76" s="2"/>
      <c r="AB76" s="2"/>
      <c r="AC76" s="2"/>
      <c r="AF76" s="24"/>
    </row>
    <row r="77">
      <c r="A77" s="11"/>
      <c r="B77" s="23"/>
      <c r="C77" s="23"/>
      <c r="D77" s="23"/>
      <c r="E77" s="23"/>
      <c r="F77" s="1"/>
      <c r="G77" s="23"/>
      <c r="H77" s="23"/>
      <c r="I77" s="23"/>
      <c r="J77" s="2"/>
      <c r="M77" s="40"/>
      <c r="N77" s="40"/>
      <c r="O77" s="2"/>
      <c r="P77" s="2"/>
      <c r="Q77" s="2"/>
      <c r="S77" s="2"/>
      <c r="T77" s="2"/>
      <c r="V77" s="2"/>
      <c r="W77" s="2"/>
      <c r="Y77" s="2"/>
      <c r="Z77" s="2"/>
      <c r="AB77" s="2"/>
      <c r="AC77" s="2"/>
      <c r="AF77" s="24"/>
    </row>
    <row r="78">
      <c r="A78" s="11"/>
      <c r="B78" s="23"/>
      <c r="C78" s="23"/>
      <c r="D78" s="23"/>
      <c r="E78" s="23"/>
      <c r="F78" s="1"/>
      <c r="G78" s="23"/>
      <c r="H78" s="23"/>
      <c r="I78" s="23"/>
      <c r="J78" s="2"/>
      <c r="M78" s="40"/>
      <c r="N78" s="40"/>
      <c r="O78" s="2"/>
      <c r="P78" s="2"/>
      <c r="Q78" s="2"/>
      <c r="S78" s="2"/>
      <c r="T78" s="2"/>
      <c r="V78" s="2"/>
      <c r="W78" s="2"/>
      <c r="Y78" s="2"/>
      <c r="Z78" s="2"/>
      <c r="AB78" s="2"/>
      <c r="AC78" s="2"/>
      <c r="AF78" s="24"/>
    </row>
    <row r="79">
      <c r="A79" s="11"/>
      <c r="B79" s="23"/>
      <c r="C79" s="23"/>
      <c r="D79" s="23"/>
      <c r="E79" s="23"/>
      <c r="F79" s="1"/>
      <c r="G79" s="23"/>
      <c r="H79" s="23"/>
      <c r="I79" s="23"/>
      <c r="J79" s="2"/>
      <c r="M79" s="40"/>
      <c r="N79" s="40"/>
      <c r="O79" s="2"/>
      <c r="P79" s="2"/>
      <c r="Q79" s="2"/>
      <c r="S79" s="2"/>
      <c r="T79" s="2"/>
      <c r="V79" s="2"/>
      <c r="W79" s="2"/>
      <c r="Y79" s="2"/>
      <c r="Z79" s="2"/>
      <c r="AB79" s="2"/>
      <c r="AC79" s="2"/>
      <c r="AF79" s="24"/>
    </row>
    <row r="80">
      <c r="A80" s="11"/>
      <c r="B80" s="23"/>
      <c r="C80" s="23"/>
      <c r="D80" s="23"/>
      <c r="E80" s="23"/>
      <c r="F80" s="1"/>
      <c r="G80" s="23"/>
      <c r="H80" s="23"/>
      <c r="I80" s="23"/>
      <c r="J80" s="2"/>
      <c r="M80" s="40"/>
      <c r="N80" s="40"/>
      <c r="O80" s="2"/>
      <c r="P80" s="2"/>
      <c r="Q80" s="2"/>
      <c r="S80" s="2"/>
      <c r="T80" s="2"/>
      <c r="V80" s="2"/>
      <c r="W80" s="2"/>
      <c r="Y80" s="2"/>
      <c r="Z80" s="2"/>
      <c r="AB80" s="2"/>
      <c r="AC80" s="2"/>
      <c r="AF80" s="24"/>
    </row>
    <row r="81">
      <c r="A81" s="11"/>
      <c r="B81" s="23"/>
      <c r="C81" s="23"/>
      <c r="D81" s="23"/>
      <c r="E81" s="23"/>
      <c r="F81" s="1"/>
      <c r="G81" s="23"/>
      <c r="H81" s="23"/>
      <c r="I81" s="23"/>
      <c r="J81" s="2"/>
      <c r="M81" s="40"/>
      <c r="N81" s="40"/>
      <c r="O81" s="2"/>
      <c r="P81" s="2"/>
      <c r="Q81" s="2"/>
      <c r="S81" s="2"/>
      <c r="T81" s="2"/>
      <c r="V81" s="2"/>
      <c r="W81" s="2"/>
      <c r="Y81" s="2"/>
      <c r="Z81" s="2"/>
      <c r="AB81" s="2"/>
      <c r="AC81" s="2"/>
      <c r="AF81" s="24"/>
    </row>
    <row r="82">
      <c r="A82" s="11"/>
      <c r="B82" s="23"/>
      <c r="C82" s="23"/>
      <c r="D82" s="23"/>
      <c r="E82" s="23"/>
      <c r="F82" s="1"/>
      <c r="G82" s="23"/>
      <c r="H82" s="23"/>
      <c r="I82" s="23"/>
      <c r="J82" s="2"/>
      <c r="M82" s="40"/>
      <c r="N82" s="40"/>
      <c r="O82" s="2"/>
      <c r="P82" s="2"/>
      <c r="Q82" s="2"/>
      <c r="S82" s="2"/>
      <c r="T82" s="2"/>
      <c r="V82" s="2"/>
      <c r="W82" s="2"/>
      <c r="Y82" s="2"/>
      <c r="Z82" s="2"/>
      <c r="AB82" s="2"/>
      <c r="AC82" s="2"/>
      <c r="AF82" s="24"/>
    </row>
    <row r="83">
      <c r="A83" s="11"/>
      <c r="B83" s="23"/>
      <c r="C83" s="23"/>
      <c r="D83" s="23"/>
      <c r="E83" s="23"/>
      <c r="F83" s="1"/>
      <c r="G83" s="23"/>
      <c r="H83" s="23"/>
      <c r="I83" s="23"/>
      <c r="J83" s="2"/>
      <c r="M83" s="40"/>
      <c r="N83" s="40"/>
      <c r="O83" s="2"/>
      <c r="P83" s="2"/>
      <c r="Q83" s="2"/>
      <c r="S83" s="2"/>
      <c r="T83" s="2"/>
      <c r="V83" s="2"/>
      <c r="W83" s="2"/>
      <c r="Y83" s="2"/>
      <c r="Z83" s="2"/>
      <c r="AB83" s="2"/>
      <c r="AC83" s="2"/>
      <c r="AF83" s="24"/>
    </row>
    <row r="84">
      <c r="A84" s="11"/>
      <c r="B84" s="23"/>
      <c r="C84" s="23"/>
      <c r="D84" s="23"/>
      <c r="E84" s="23"/>
      <c r="F84" s="1"/>
      <c r="G84" s="23"/>
      <c r="H84" s="23"/>
      <c r="I84" s="23"/>
      <c r="J84" s="2"/>
      <c r="M84" s="40"/>
      <c r="N84" s="40"/>
      <c r="O84" s="2"/>
      <c r="P84" s="2"/>
      <c r="Q84" s="2"/>
      <c r="S84" s="2"/>
      <c r="T84" s="2"/>
      <c r="V84" s="2"/>
      <c r="W84" s="2"/>
      <c r="Y84" s="2"/>
      <c r="Z84" s="2"/>
      <c r="AB84" s="2"/>
      <c r="AC84" s="2"/>
      <c r="AF84" s="24"/>
    </row>
    <row r="85">
      <c r="A85" s="11"/>
      <c r="B85" s="23"/>
      <c r="C85" s="23"/>
      <c r="D85" s="23"/>
      <c r="E85" s="23"/>
      <c r="F85" s="1"/>
      <c r="G85" s="23"/>
      <c r="H85" s="23"/>
      <c r="I85" s="23"/>
      <c r="J85" s="2"/>
      <c r="M85" s="40"/>
      <c r="N85" s="40"/>
      <c r="O85" s="2"/>
      <c r="P85" s="2"/>
      <c r="Q85" s="2"/>
      <c r="S85" s="2"/>
      <c r="T85" s="2"/>
      <c r="V85" s="2"/>
      <c r="W85" s="2"/>
      <c r="Y85" s="2"/>
      <c r="Z85" s="2"/>
      <c r="AB85" s="2"/>
      <c r="AC85" s="2"/>
      <c r="AF85" s="24"/>
    </row>
    <row r="86">
      <c r="A86" s="11"/>
      <c r="B86" s="23"/>
      <c r="C86" s="23"/>
      <c r="D86" s="23"/>
      <c r="E86" s="23"/>
      <c r="F86" s="1"/>
      <c r="G86" s="23"/>
      <c r="H86" s="23"/>
      <c r="I86" s="23"/>
      <c r="J86" s="2"/>
      <c r="M86" s="40"/>
      <c r="N86" s="40"/>
      <c r="O86" s="2"/>
      <c r="P86" s="2"/>
      <c r="Q86" s="2"/>
      <c r="S86" s="2"/>
      <c r="T86" s="2"/>
      <c r="V86" s="2"/>
      <c r="W86" s="2"/>
      <c r="Y86" s="2"/>
      <c r="Z86" s="2"/>
      <c r="AB86" s="2"/>
      <c r="AC86" s="2"/>
      <c r="AF86" s="24"/>
    </row>
    <row r="87">
      <c r="A87" s="11"/>
      <c r="B87" s="23"/>
      <c r="C87" s="23"/>
      <c r="D87" s="23"/>
      <c r="E87" s="23"/>
      <c r="F87" s="1"/>
      <c r="G87" s="23"/>
      <c r="H87" s="23"/>
      <c r="I87" s="23"/>
      <c r="J87" s="2"/>
      <c r="M87" s="40"/>
      <c r="N87" s="40"/>
      <c r="O87" s="2"/>
      <c r="P87" s="2"/>
      <c r="Q87" s="2"/>
      <c r="S87" s="2"/>
      <c r="T87" s="2"/>
      <c r="V87" s="2"/>
      <c r="W87" s="2"/>
      <c r="Y87" s="2"/>
      <c r="Z87" s="2"/>
      <c r="AB87" s="2"/>
      <c r="AC87" s="2"/>
      <c r="AF87" s="24"/>
    </row>
    <row r="88">
      <c r="A88" s="11"/>
      <c r="B88" s="23"/>
      <c r="C88" s="23"/>
      <c r="D88" s="23"/>
      <c r="E88" s="23"/>
      <c r="F88" s="1"/>
      <c r="G88" s="23"/>
      <c r="H88" s="23"/>
      <c r="I88" s="23"/>
      <c r="J88" s="2"/>
      <c r="M88" s="40"/>
      <c r="N88" s="40"/>
      <c r="O88" s="2"/>
      <c r="P88" s="2"/>
      <c r="Q88" s="2"/>
      <c r="S88" s="2"/>
      <c r="T88" s="2"/>
      <c r="V88" s="2"/>
      <c r="W88" s="2"/>
      <c r="Y88" s="2"/>
      <c r="Z88" s="2"/>
      <c r="AB88" s="2"/>
      <c r="AC88" s="2"/>
      <c r="AF88" s="24"/>
    </row>
    <row r="89">
      <c r="A89" s="11"/>
      <c r="B89" s="23"/>
      <c r="C89" s="23"/>
      <c r="D89" s="23"/>
      <c r="E89" s="23"/>
      <c r="F89" s="1"/>
      <c r="G89" s="23"/>
      <c r="H89" s="23"/>
      <c r="I89" s="23"/>
      <c r="J89" s="2"/>
      <c r="M89" s="40"/>
      <c r="N89" s="40"/>
      <c r="O89" s="2"/>
      <c r="P89" s="2"/>
      <c r="Q89" s="2"/>
      <c r="S89" s="2"/>
      <c r="T89" s="2"/>
      <c r="V89" s="2"/>
      <c r="W89" s="2"/>
      <c r="Y89" s="2"/>
      <c r="Z89" s="2"/>
      <c r="AB89" s="2"/>
      <c r="AC89" s="2"/>
      <c r="AF89" s="24"/>
    </row>
    <row r="90">
      <c r="A90" s="11"/>
      <c r="B90" s="23"/>
      <c r="C90" s="23"/>
      <c r="D90" s="23"/>
      <c r="E90" s="23"/>
      <c r="F90" s="1"/>
      <c r="G90" s="23"/>
      <c r="H90" s="23"/>
      <c r="I90" s="23"/>
      <c r="J90" s="2"/>
      <c r="M90" s="40"/>
      <c r="N90" s="40"/>
      <c r="O90" s="2"/>
      <c r="P90" s="2"/>
      <c r="Q90" s="2"/>
      <c r="S90" s="2"/>
      <c r="T90" s="2"/>
      <c r="V90" s="2"/>
      <c r="W90" s="2"/>
      <c r="Y90" s="2"/>
      <c r="Z90" s="2"/>
      <c r="AB90" s="2"/>
      <c r="AC90" s="2"/>
      <c r="AF90" s="24"/>
    </row>
    <row r="91">
      <c r="A91" s="11"/>
      <c r="B91" s="23"/>
      <c r="C91" s="23"/>
      <c r="D91" s="23"/>
      <c r="E91" s="23"/>
      <c r="F91" s="1"/>
      <c r="G91" s="23"/>
      <c r="H91" s="23"/>
      <c r="I91" s="23"/>
      <c r="J91" s="2"/>
      <c r="M91" s="40"/>
      <c r="N91" s="40"/>
      <c r="O91" s="2"/>
      <c r="P91" s="2"/>
      <c r="Q91" s="2"/>
      <c r="S91" s="2"/>
      <c r="T91" s="2"/>
      <c r="V91" s="2"/>
      <c r="W91" s="2"/>
      <c r="Y91" s="2"/>
      <c r="Z91" s="2"/>
      <c r="AB91" s="2"/>
      <c r="AC91" s="2"/>
      <c r="AF91" s="24"/>
    </row>
    <row r="92">
      <c r="A92" s="11"/>
      <c r="B92" s="23"/>
      <c r="C92" s="23"/>
      <c r="D92" s="23"/>
      <c r="E92" s="23"/>
      <c r="F92" s="1"/>
      <c r="G92" s="23"/>
      <c r="H92" s="23"/>
      <c r="I92" s="23"/>
      <c r="J92" s="2"/>
      <c r="M92" s="40"/>
      <c r="N92" s="40"/>
      <c r="O92" s="2"/>
      <c r="P92" s="2"/>
      <c r="Q92" s="2"/>
      <c r="S92" s="2"/>
      <c r="T92" s="2"/>
      <c r="V92" s="2"/>
      <c r="W92" s="2"/>
      <c r="Y92" s="2"/>
      <c r="Z92" s="2"/>
      <c r="AB92" s="2"/>
      <c r="AC92" s="2"/>
      <c r="AF92" s="24"/>
    </row>
    <row r="93">
      <c r="A93" s="11"/>
      <c r="B93" s="23"/>
      <c r="C93" s="23"/>
      <c r="D93" s="23"/>
      <c r="E93" s="23"/>
      <c r="F93" s="1"/>
      <c r="G93" s="23"/>
      <c r="H93" s="23"/>
      <c r="I93" s="23"/>
      <c r="J93" s="2"/>
      <c r="M93" s="40"/>
      <c r="N93" s="40"/>
      <c r="O93" s="2"/>
      <c r="P93" s="2"/>
      <c r="Q93" s="2"/>
      <c r="S93" s="2"/>
      <c r="T93" s="2"/>
      <c r="V93" s="2"/>
      <c r="W93" s="2"/>
      <c r="Y93" s="2"/>
      <c r="Z93" s="2"/>
      <c r="AB93" s="2"/>
      <c r="AC93" s="2"/>
      <c r="AF93" s="24"/>
    </row>
    <row r="94">
      <c r="A94" s="11"/>
      <c r="B94" s="23"/>
      <c r="C94" s="23"/>
      <c r="D94" s="23"/>
      <c r="E94" s="23"/>
      <c r="F94" s="1"/>
      <c r="G94" s="23"/>
      <c r="H94" s="23"/>
      <c r="I94" s="23"/>
      <c r="J94" s="2"/>
      <c r="M94" s="40"/>
      <c r="N94" s="40"/>
      <c r="O94" s="2"/>
      <c r="P94" s="2"/>
      <c r="Q94" s="2"/>
      <c r="S94" s="2"/>
      <c r="T94" s="2"/>
      <c r="V94" s="2"/>
      <c r="W94" s="2"/>
      <c r="Y94" s="2"/>
      <c r="Z94" s="2"/>
      <c r="AB94" s="2"/>
      <c r="AC94" s="2"/>
      <c r="AF94" s="24"/>
    </row>
    <row r="95">
      <c r="A95" s="11"/>
      <c r="B95" s="23"/>
      <c r="C95" s="23"/>
      <c r="D95" s="23"/>
      <c r="E95" s="23"/>
      <c r="F95" s="1"/>
      <c r="G95" s="23"/>
      <c r="H95" s="23"/>
      <c r="I95" s="23"/>
      <c r="J95" s="2"/>
      <c r="M95" s="40"/>
      <c r="N95" s="40"/>
      <c r="O95" s="2"/>
      <c r="P95" s="2"/>
      <c r="Q95" s="2"/>
      <c r="S95" s="2"/>
      <c r="T95" s="2"/>
      <c r="V95" s="2"/>
      <c r="W95" s="2"/>
      <c r="Y95" s="2"/>
      <c r="Z95" s="2"/>
      <c r="AB95" s="2"/>
      <c r="AC95" s="2"/>
      <c r="AF95" s="24"/>
    </row>
    <row r="96">
      <c r="A96" s="11"/>
      <c r="B96" s="23"/>
      <c r="C96" s="23"/>
      <c r="D96" s="23"/>
      <c r="E96" s="23"/>
      <c r="F96" s="1"/>
      <c r="G96" s="23"/>
      <c r="H96" s="23"/>
      <c r="I96" s="23"/>
      <c r="J96" s="2"/>
      <c r="M96" s="40"/>
      <c r="N96" s="40"/>
      <c r="O96" s="2"/>
      <c r="P96" s="2"/>
      <c r="Q96" s="2"/>
      <c r="S96" s="2"/>
      <c r="T96" s="2"/>
      <c r="V96" s="2"/>
      <c r="W96" s="2"/>
      <c r="Y96" s="2"/>
      <c r="Z96" s="2"/>
      <c r="AB96" s="2"/>
      <c r="AC96" s="2"/>
      <c r="AF96" s="24"/>
    </row>
    <row r="97">
      <c r="A97" s="11"/>
      <c r="B97" s="23"/>
      <c r="C97" s="23"/>
      <c r="D97" s="23"/>
      <c r="E97" s="23"/>
      <c r="F97" s="1"/>
      <c r="G97" s="23"/>
      <c r="H97" s="23"/>
      <c r="I97" s="23"/>
      <c r="J97" s="2"/>
      <c r="M97" s="40"/>
      <c r="N97" s="40"/>
      <c r="O97" s="2"/>
      <c r="P97" s="2"/>
      <c r="Q97" s="2"/>
      <c r="S97" s="2"/>
      <c r="T97" s="2"/>
      <c r="V97" s="2"/>
      <c r="W97" s="2"/>
      <c r="Y97" s="2"/>
      <c r="Z97" s="2"/>
      <c r="AB97" s="2"/>
      <c r="AC97" s="2"/>
      <c r="AF97" s="24"/>
    </row>
    <row r="98">
      <c r="A98" s="11"/>
      <c r="B98" s="23"/>
      <c r="C98" s="23"/>
      <c r="D98" s="23"/>
      <c r="E98" s="23"/>
      <c r="F98" s="1"/>
      <c r="G98" s="23"/>
      <c r="H98" s="23"/>
      <c r="I98" s="23"/>
      <c r="J98" s="2"/>
      <c r="M98" s="40"/>
      <c r="N98" s="40"/>
      <c r="O98" s="2"/>
      <c r="P98" s="2"/>
      <c r="Q98" s="2"/>
      <c r="S98" s="2"/>
      <c r="T98" s="2"/>
      <c r="V98" s="2"/>
      <c r="W98" s="2"/>
      <c r="Y98" s="2"/>
      <c r="Z98" s="2"/>
      <c r="AB98" s="2"/>
      <c r="AC98" s="2"/>
      <c r="AF98" s="24"/>
    </row>
    <row r="99">
      <c r="A99" s="11"/>
      <c r="B99" s="23"/>
      <c r="C99" s="23"/>
      <c r="D99" s="23"/>
      <c r="E99" s="23"/>
      <c r="F99" s="1"/>
      <c r="G99" s="23"/>
      <c r="H99" s="23"/>
      <c r="I99" s="23"/>
      <c r="J99" s="2"/>
      <c r="M99" s="40"/>
      <c r="N99" s="40"/>
      <c r="O99" s="2"/>
      <c r="P99" s="2"/>
      <c r="Q99" s="2"/>
      <c r="S99" s="2"/>
      <c r="T99" s="2"/>
      <c r="V99" s="2"/>
      <c r="W99" s="2"/>
      <c r="Y99" s="2"/>
      <c r="Z99" s="2"/>
      <c r="AB99" s="2"/>
      <c r="AC99" s="2"/>
      <c r="AF99" s="24"/>
    </row>
    <row r="100">
      <c r="A100" s="11"/>
      <c r="B100" s="23"/>
      <c r="C100" s="23"/>
      <c r="D100" s="23"/>
      <c r="E100" s="23"/>
      <c r="F100" s="1"/>
      <c r="G100" s="23"/>
      <c r="H100" s="23"/>
      <c r="I100" s="23"/>
      <c r="J100" s="2"/>
      <c r="M100" s="40"/>
      <c r="N100" s="40"/>
      <c r="O100" s="2"/>
      <c r="P100" s="2"/>
      <c r="Q100" s="2"/>
      <c r="S100" s="2"/>
      <c r="T100" s="2"/>
      <c r="V100" s="2"/>
      <c r="W100" s="2"/>
      <c r="Y100" s="2"/>
      <c r="Z100" s="2"/>
      <c r="AB100" s="2"/>
      <c r="AC100" s="2"/>
      <c r="AF100" s="24"/>
    </row>
    <row r="101">
      <c r="A101" s="11"/>
      <c r="B101" s="23"/>
      <c r="C101" s="23"/>
      <c r="D101" s="23"/>
      <c r="E101" s="23"/>
      <c r="F101" s="1"/>
      <c r="G101" s="23"/>
      <c r="H101" s="23"/>
      <c r="I101" s="23"/>
      <c r="J101" s="2"/>
      <c r="M101" s="40"/>
      <c r="N101" s="40"/>
      <c r="O101" s="2"/>
      <c r="P101" s="2"/>
      <c r="Q101" s="2"/>
      <c r="S101" s="2"/>
      <c r="T101" s="2"/>
      <c r="V101" s="2"/>
      <c r="W101" s="2"/>
      <c r="Y101" s="2"/>
      <c r="Z101" s="2"/>
      <c r="AB101" s="2"/>
      <c r="AC101" s="2"/>
      <c r="AF101" s="24"/>
    </row>
    <row r="102">
      <c r="A102" s="11"/>
      <c r="B102" s="23"/>
      <c r="C102" s="23"/>
      <c r="D102" s="23"/>
      <c r="E102" s="23"/>
      <c r="F102" s="1"/>
      <c r="G102" s="23"/>
      <c r="H102" s="23"/>
      <c r="I102" s="23"/>
      <c r="J102" s="2"/>
      <c r="M102" s="40"/>
      <c r="N102" s="40"/>
      <c r="O102" s="2"/>
      <c r="P102" s="2"/>
      <c r="Q102" s="2"/>
      <c r="S102" s="2"/>
      <c r="T102" s="2"/>
      <c r="V102" s="2"/>
      <c r="W102" s="2"/>
      <c r="Y102" s="2"/>
      <c r="Z102" s="2"/>
      <c r="AB102" s="2"/>
      <c r="AC102" s="2"/>
      <c r="AF102" s="24"/>
    </row>
    <row r="103">
      <c r="A103" s="11"/>
      <c r="B103" s="23"/>
      <c r="C103" s="23"/>
      <c r="D103" s="23"/>
      <c r="E103" s="23"/>
      <c r="F103" s="1"/>
      <c r="G103" s="23"/>
      <c r="H103" s="23"/>
      <c r="I103" s="23"/>
      <c r="J103" s="2"/>
      <c r="M103" s="40"/>
      <c r="N103" s="40"/>
      <c r="O103" s="2"/>
      <c r="P103" s="2"/>
      <c r="Q103" s="2"/>
      <c r="S103" s="2"/>
      <c r="T103" s="2"/>
      <c r="V103" s="2"/>
      <c r="W103" s="2"/>
      <c r="Y103" s="2"/>
      <c r="Z103" s="2"/>
      <c r="AB103" s="2"/>
      <c r="AC103" s="2"/>
      <c r="AF103" s="24"/>
    </row>
    <row r="104">
      <c r="A104" s="11"/>
      <c r="B104" s="23"/>
      <c r="C104" s="23"/>
      <c r="D104" s="23"/>
      <c r="E104" s="23"/>
      <c r="F104" s="1"/>
      <c r="G104" s="23"/>
      <c r="H104" s="23"/>
      <c r="I104" s="23"/>
      <c r="J104" s="2"/>
      <c r="M104" s="40"/>
      <c r="N104" s="40"/>
      <c r="O104" s="2"/>
      <c r="P104" s="2"/>
      <c r="Q104" s="2"/>
      <c r="S104" s="2"/>
      <c r="T104" s="2"/>
      <c r="V104" s="2"/>
      <c r="W104" s="2"/>
      <c r="Y104" s="2"/>
      <c r="Z104" s="2"/>
      <c r="AB104" s="2"/>
      <c r="AC104" s="2"/>
      <c r="AF104" s="24"/>
    </row>
    <row r="105">
      <c r="A105" s="11"/>
      <c r="B105" s="23"/>
      <c r="C105" s="23"/>
      <c r="D105" s="23"/>
      <c r="E105" s="23"/>
      <c r="F105" s="1"/>
      <c r="G105" s="23"/>
      <c r="H105" s="23"/>
      <c r="I105" s="23"/>
      <c r="J105" s="2"/>
      <c r="M105" s="40"/>
      <c r="N105" s="40"/>
      <c r="O105" s="2"/>
      <c r="P105" s="2"/>
      <c r="Q105" s="2"/>
      <c r="S105" s="2"/>
      <c r="T105" s="2"/>
      <c r="V105" s="2"/>
      <c r="W105" s="2"/>
      <c r="Y105" s="2"/>
      <c r="Z105" s="2"/>
      <c r="AB105" s="2"/>
      <c r="AC105" s="2"/>
      <c r="AF105" s="24"/>
    </row>
    <row r="106">
      <c r="A106" s="11"/>
      <c r="B106" s="23"/>
      <c r="C106" s="23"/>
      <c r="D106" s="23"/>
      <c r="E106" s="23"/>
      <c r="F106" s="1"/>
      <c r="G106" s="23"/>
      <c r="H106" s="23"/>
      <c r="I106" s="23"/>
      <c r="J106" s="2"/>
      <c r="M106" s="40"/>
      <c r="N106" s="40"/>
      <c r="O106" s="2"/>
      <c r="P106" s="2"/>
      <c r="Q106" s="2"/>
      <c r="S106" s="2"/>
      <c r="T106" s="2"/>
      <c r="V106" s="2"/>
      <c r="W106" s="2"/>
      <c r="Y106" s="2"/>
      <c r="Z106" s="2"/>
      <c r="AB106" s="2"/>
      <c r="AC106" s="2"/>
      <c r="AF106" s="24"/>
    </row>
    <row r="107">
      <c r="A107" s="11"/>
      <c r="B107" s="23"/>
      <c r="C107" s="23"/>
      <c r="D107" s="23"/>
      <c r="E107" s="23"/>
      <c r="F107" s="1"/>
      <c r="G107" s="23"/>
      <c r="H107" s="23"/>
      <c r="I107" s="23"/>
      <c r="J107" s="2"/>
      <c r="M107" s="40"/>
      <c r="N107" s="40"/>
      <c r="O107" s="2"/>
      <c r="P107" s="2"/>
      <c r="Q107" s="2"/>
      <c r="S107" s="2"/>
      <c r="T107" s="2"/>
      <c r="V107" s="2"/>
      <c r="W107" s="2"/>
      <c r="Y107" s="2"/>
      <c r="Z107" s="2"/>
      <c r="AB107" s="2"/>
      <c r="AC107" s="2"/>
      <c r="AF107" s="24"/>
    </row>
    <row r="108">
      <c r="A108" s="11"/>
      <c r="B108" s="23"/>
      <c r="C108" s="23"/>
      <c r="D108" s="23"/>
      <c r="E108" s="23"/>
      <c r="F108" s="1"/>
      <c r="G108" s="23"/>
      <c r="H108" s="23"/>
      <c r="I108" s="23"/>
      <c r="J108" s="2"/>
      <c r="M108" s="40"/>
      <c r="N108" s="40"/>
      <c r="O108" s="2"/>
      <c r="P108" s="2"/>
      <c r="Q108" s="2"/>
      <c r="S108" s="2"/>
      <c r="T108" s="2"/>
      <c r="V108" s="2"/>
      <c r="W108" s="2"/>
      <c r="Y108" s="2"/>
      <c r="Z108" s="2"/>
      <c r="AB108" s="2"/>
      <c r="AC108" s="2"/>
      <c r="AF108" s="24"/>
    </row>
    <row r="109">
      <c r="A109" s="11"/>
      <c r="B109" s="23"/>
      <c r="C109" s="23"/>
      <c r="D109" s="23"/>
      <c r="E109" s="23"/>
      <c r="F109" s="1"/>
      <c r="G109" s="23"/>
      <c r="H109" s="23"/>
      <c r="I109" s="23"/>
      <c r="J109" s="2"/>
      <c r="M109" s="40"/>
      <c r="N109" s="40"/>
      <c r="O109" s="2"/>
      <c r="P109" s="2"/>
      <c r="Q109" s="2"/>
      <c r="S109" s="2"/>
      <c r="T109" s="2"/>
      <c r="V109" s="2"/>
      <c r="W109" s="2"/>
      <c r="Y109" s="2"/>
      <c r="Z109" s="2"/>
      <c r="AB109" s="2"/>
      <c r="AC109" s="2"/>
      <c r="AF109" s="24"/>
    </row>
    <row r="110">
      <c r="A110" s="11"/>
      <c r="B110" s="23"/>
      <c r="C110" s="23"/>
      <c r="D110" s="23"/>
      <c r="E110" s="23"/>
      <c r="F110" s="1"/>
      <c r="G110" s="23"/>
      <c r="H110" s="23"/>
      <c r="I110" s="23"/>
      <c r="J110" s="2"/>
      <c r="M110" s="40"/>
      <c r="N110" s="40"/>
      <c r="O110" s="2"/>
      <c r="P110" s="2"/>
      <c r="Q110" s="2"/>
      <c r="S110" s="2"/>
      <c r="T110" s="2"/>
      <c r="V110" s="2"/>
      <c r="W110" s="2"/>
      <c r="Y110" s="2"/>
      <c r="Z110" s="2"/>
      <c r="AB110" s="2"/>
      <c r="AC110" s="2"/>
      <c r="AF110" s="24"/>
    </row>
    <row r="111">
      <c r="A111" s="11"/>
      <c r="B111" s="23"/>
      <c r="C111" s="23"/>
      <c r="D111" s="23"/>
      <c r="E111" s="23"/>
      <c r="F111" s="1"/>
      <c r="G111" s="23"/>
      <c r="H111" s="23"/>
      <c r="I111" s="23"/>
      <c r="J111" s="2"/>
      <c r="M111" s="40"/>
      <c r="N111" s="40"/>
      <c r="O111" s="2"/>
      <c r="P111" s="2"/>
      <c r="Q111" s="2"/>
      <c r="S111" s="2"/>
      <c r="T111" s="2"/>
      <c r="V111" s="2"/>
      <c r="W111" s="2"/>
      <c r="Y111" s="2"/>
      <c r="Z111" s="2"/>
      <c r="AB111" s="2"/>
      <c r="AC111" s="2"/>
      <c r="AF111" s="24"/>
    </row>
    <row r="112">
      <c r="A112" s="11"/>
      <c r="B112" s="23"/>
      <c r="C112" s="23"/>
      <c r="D112" s="23"/>
      <c r="E112" s="23"/>
      <c r="F112" s="1"/>
      <c r="G112" s="23"/>
      <c r="H112" s="23"/>
      <c r="I112" s="23"/>
      <c r="J112" s="2"/>
      <c r="M112" s="40"/>
      <c r="N112" s="40"/>
      <c r="O112" s="2"/>
      <c r="P112" s="2"/>
      <c r="Q112" s="2"/>
      <c r="S112" s="2"/>
      <c r="T112" s="2"/>
      <c r="V112" s="2"/>
      <c r="W112" s="2"/>
      <c r="Y112" s="2"/>
      <c r="Z112" s="2"/>
      <c r="AB112" s="2"/>
      <c r="AC112" s="2"/>
      <c r="AF112" s="24"/>
    </row>
    <row r="113">
      <c r="A113" s="11"/>
      <c r="B113" s="23"/>
      <c r="C113" s="23"/>
      <c r="D113" s="23"/>
      <c r="E113" s="23"/>
      <c r="F113" s="1"/>
      <c r="G113" s="23"/>
      <c r="H113" s="23"/>
      <c r="I113" s="23"/>
      <c r="J113" s="2"/>
      <c r="M113" s="40"/>
      <c r="N113" s="40"/>
      <c r="O113" s="2"/>
      <c r="P113" s="2"/>
      <c r="Q113" s="2"/>
      <c r="S113" s="2"/>
      <c r="T113" s="2"/>
      <c r="V113" s="2"/>
      <c r="W113" s="2"/>
      <c r="Y113" s="2"/>
      <c r="Z113" s="2"/>
      <c r="AB113" s="2"/>
      <c r="AC113" s="2"/>
      <c r="AF113" s="24"/>
    </row>
    <row r="114">
      <c r="A114" s="11"/>
      <c r="B114" s="23"/>
      <c r="C114" s="23"/>
      <c r="D114" s="23"/>
      <c r="E114" s="23"/>
      <c r="F114" s="1"/>
      <c r="G114" s="23"/>
      <c r="H114" s="23"/>
      <c r="I114" s="23"/>
      <c r="J114" s="2"/>
      <c r="M114" s="40"/>
      <c r="N114" s="40"/>
      <c r="O114" s="2"/>
      <c r="P114" s="2"/>
      <c r="Q114" s="2"/>
      <c r="S114" s="2"/>
      <c r="T114" s="2"/>
      <c r="V114" s="2"/>
      <c r="W114" s="2"/>
      <c r="Y114" s="2"/>
      <c r="Z114" s="2"/>
      <c r="AB114" s="2"/>
      <c r="AC114" s="2"/>
      <c r="AF114" s="24"/>
    </row>
    <row r="115">
      <c r="A115" s="11"/>
      <c r="B115" s="23"/>
      <c r="C115" s="23"/>
      <c r="D115" s="23"/>
      <c r="E115" s="23"/>
      <c r="F115" s="1"/>
      <c r="G115" s="23"/>
      <c r="H115" s="23"/>
      <c r="I115" s="23"/>
      <c r="J115" s="2"/>
      <c r="M115" s="40"/>
      <c r="N115" s="40"/>
      <c r="O115" s="2"/>
      <c r="P115" s="2"/>
      <c r="Q115" s="2"/>
      <c r="S115" s="2"/>
      <c r="T115" s="2"/>
      <c r="V115" s="2"/>
      <c r="W115" s="2"/>
      <c r="Y115" s="2"/>
      <c r="Z115" s="2"/>
      <c r="AB115" s="2"/>
      <c r="AC115" s="2"/>
      <c r="AF115" s="24"/>
    </row>
    <row r="116">
      <c r="A116" s="11"/>
      <c r="B116" s="23"/>
      <c r="C116" s="23"/>
      <c r="D116" s="23"/>
      <c r="E116" s="23"/>
      <c r="F116" s="1"/>
      <c r="G116" s="23"/>
      <c r="H116" s="23"/>
      <c r="I116" s="23"/>
      <c r="J116" s="2"/>
      <c r="M116" s="40"/>
      <c r="N116" s="40"/>
      <c r="O116" s="2"/>
      <c r="P116" s="2"/>
      <c r="Q116" s="2"/>
      <c r="S116" s="2"/>
      <c r="T116" s="2"/>
      <c r="V116" s="2"/>
      <c r="W116" s="2"/>
      <c r="Y116" s="2"/>
      <c r="Z116" s="2"/>
      <c r="AB116" s="2"/>
      <c r="AC116" s="2"/>
      <c r="AF116" s="24"/>
    </row>
    <row r="117">
      <c r="A117" s="11"/>
      <c r="B117" s="23"/>
      <c r="C117" s="23"/>
      <c r="D117" s="23"/>
      <c r="E117" s="23"/>
      <c r="F117" s="1"/>
      <c r="G117" s="23"/>
      <c r="H117" s="23"/>
      <c r="I117" s="23"/>
      <c r="J117" s="2"/>
      <c r="M117" s="40"/>
      <c r="N117" s="40"/>
      <c r="O117" s="2"/>
      <c r="P117" s="2"/>
      <c r="Q117" s="2"/>
      <c r="S117" s="2"/>
      <c r="T117" s="2"/>
      <c r="V117" s="2"/>
      <c r="W117" s="2"/>
      <c r="Y117" s="2"/>
      <c r="Z117" s="2"/>
      <c r="AB117" s="2"/>
      <c r="AC117" s="2"/>
      <c r="AF117" s="24"/>
    </row>
    <row r="118">
      <c r="A118" s="11"/>
      <c r="B118" s="23"/>
      <c r="C118" s="23"/>
      <c r="D118" s="23"/>
      <c r="E118" s="23"/>
      <c r="F118" s="1"/>
      <c r="G118" s="23"/>
      <c r="H118" s="23"/>
      <c r="I118" s="23"/>
      <c r="J118" s="2"/>
      <c r="M118" s="40"/>
      <c r="N118" s="40"/>
      <c r="O118" s="2"/>
      <c r="P118" s="2"/>
      <c r="Q118" s="2"/>
      <c r="S118" s="2"/>
      <c r="T118" s="2"/>
      <c r="V118" s="2"/>
      <c r="W118" s="2"/>
      <c r="Y118" s="2"/>
      <c r="Z118" s="2"/>
      <c r="AB118" s="2"/>
      <c r="AC118" s="2"/>
      <c r="AF118" s="24"/>
    </row>
    <row r="119">
      <c r="A119" s="11"/>
      <c r="B119" s="23"/>
      <c r="C119" s="23"/>
      <c r="D119" s="23"/>
      <c r="E119" s="23"/>
      <c r="F119" s="1"/>
      <c r="G119" s="23"/>
      <c r="H119" s="23"/>
      <c r="I119" s="23"/>
      <c r="J119" s="2"/>
      <c r="M119" s="40"/>
      <c r="N119" s="40"/>
      <c r="O119" s="2"/>
      <c r="P119" s="2"/>
      <c r="Q119" s="2"/>
      <c r="S119" s="2"/>
      <c r="T119" s="2"/>
      <c r="V119" s="2"/>
      <c r="W119" s="2"/>
      <c r="Y119" s="2"/>
      <c r="Z119" s="2"/>
      <c r="AB119" s="2"/>
      <c r="AC119" s="2"/>
      <c r="AF119" s="24"/>
    </row>
    <row r="120">
      <c r="A120" s="11"/>
      <c r="B120" s="23"/>
      <c r="C120" s="23"/>
      <c r="D120" s="23"/>
      <c r="E120" s="23"/>
      <c r="F120" s="1"/>
      <c r="G120" s="23"/>
      <c r="H120" s="23"/>
      <c r="I120" s="23"/>
      <c r="J120" s="2"/>
      <c r="M120" s="40"/>
      <c r="N120" s="40"/>
      <c r="O120" s="2"/>
      <c r="P120" s="2"/>
      <c r="Q120" s="2"/>
      <c r="S120" s="2"/>
      <c r="T120" s="2"/>
      <c r="V120" s="2"/>
      <c r="W120" s="2"/>
      <c r="Y120" s="2"/>
      <c r="Z120" s="2"/>
      <c r="AB120" s="2"/>
      <c r="AC120" s="2"/>
      <c r="AF120" s="24"/>
    </row>
    <row r="121">
      <c r="A121" s="11"/>
      <c r="B121" s="23"/>
      <c r="C121" s="23"/>
      <c r="D121" s="23"/>
      <c r="E121" s="23"/>
      <c r="F121" s="1"/>
      <c r="G121" s="23"/>
      <c r="H121" s="23"/>
      <c r="I121" s="23"/>
      <c r="J121" s="2"/>
      <c r="M121" s="40"/>
      <c r="N121" s="40"/>
      <c r="O121" s="2"/>
      <c r="P121" s="2"/>
      <c r="Q121" s="2"/>
      <c r="S121" s="2"/>
      <c r="T121" s="2"/>
      <c r="V121" s="2"/>
      <c r="W121" s="2"/>
      <c r="Y121" s="2"/>
      <c r="Z121" s="2"/>
      <c r="AB121" s="2"/>
      <c r="AC121" s="2"/>
      <c r="AF121" s="24"/>
    </row>
    <row r="122">
      <c r="A122" s="11"/>
      <c r="B122" s="23"/>
      <c r="C122" s="23"/>
      <c r="D122" s="23"/>
      <c r="E122" s="23"/>
      <c r="F122" s="1"/>
      <c r="G122" s="23"/>
      <c r="H122" s="23"/>
      <c r="I122" s="23"/>
      <c r="J122" s="2"/>
      <c r="M122" s="40"/>
      <c r="N122" s="40"/>
      <c r="O122" s="2"/>
      <c r="P122" s="2"/>
      <c r="Q122" s="2"/>
      <c r="S122" s="2"/>
      <c r="T122" s="2"/>
      <c r="V122" s="2"/>
      <c r="W122" s="2"/>
      <c r="Y122" s="2"/>
      <c r="Z122" s="2"/>
      <c r="AB122" s="2"/>
      <c r="AC122" s="2"/>
      <c r="AF122" s="24"/>
    </row>
    <row r="123">
      <c r="A123" s="11"/>
      <c r="B123" s="23"/>
      <c r="C123" s="23"/>
      <c r="D123" s="23"/>
      <c r="E123" s="23"/>
      <c r="F123" s="1"/>
      <c r="G123" s="23"/>
      <c r="H123" s="23"/>
      <c r="I123" s="23"/>
      <c r="J123" s="2"/>
      <c r="M123" s="40"/>
      <c r="N123" s="40"/>
      <c r="O123" s="2"/>
      <c r="P123" s="2"/>
      <c r="Q123" s="2"/>
      <c r="S123" s="2"/>
      <c r="T123" s="2"/>
      <c r="V123" s="2"/>
      <c r="W123" s="2"/>
      <c r="Y123" s="2"/>
      <c r="Z123" s="2"/>
      <c r="AB123" s="2"/>
      <c r="AC123" s="2"/>
      <c r="AF123" s="24"/>
    </row>
    <row r="124">
      <c r="A124" s="11"/>
      <c r="B124" s="23"/>
      <c r="C124" s="23"/>
      <c r="D124" s="23"/>
      <c r="E124" s="23"/>
      <c r="F124" s="1"/>
      <c r="G124" s="23"/>
      <c r="H124" s="23"/>
      <c r="I124" s="23"/>
      <c r="J124" s="2"/>
      <c r="M124" s="40"/>
      <c r="N124" s="40"/>
      <c r="O124" s="2"/>
      <c r="P124" s="2"/>
      <c r="Q124" s="2"/>
      <c r="S124" s="2"/>
      <c r="T124" s="2"/>
      <c r="V124" s="2"/>
      <c r="W124" s="2"/>
      <c r="Y124" s="2"/>
      <c r="Z124" s="2"/>
      <c r="AB124" s="2"/>
      <c r="AC124" s="2"/>
      <c r="AF124" s="24"/>
    </row>
    <row r="125">
      <c r="A125" s="11"/>
      <c r="B125" s="23"/>
      <c r="C125" s="23"/>
      <c r="D125" s="23"/>
      <c r="E125" s="23"/>
      <c r="F125" s="1"/>
      <c r="G125" s="23"/>
      <c r="H125" s="23"/>
      <c r="I125" s="23"/>
      <c r="J125" s="2"/>
      <c r="M125" s="40"/>
      <c r="N125" s="40"/>
      <c r="O125" s="2"/>
      <c r="P125" s="2"/>
      <c r="Q125" s="2"/>
      <c r="S125" s="2"/>
      <c r="T125" s="2"/>
      <c r="V125" s="2"/>
      <c r="W125" s="2"/>
      <c r="Y125" s="2"/>
      <c r="Z125" s="2"/>
      <c r="AB125" s="2"/>
      <c r="AC125" s="2"/>
      <c r="AF125" s="24"/>
    </row>
    <row r="126">
      <c r="A126" s="11"/>
      <c r="B126" s="23"/>
      <c r="C126" s="23"/>
      <c r="D126" s="23"/>
      <c r="E126" s="23"/>
      <c r="F126" s="1"/>
      <c r="G126" s="23"/>
      <c r="H126" s="23"/>
      <c r="I126" s="23"/>
      <c r="J126" s="2"/>
      <c r="M126" s="40"/>
      <c r="N126" s="40"/>
      <c r="O126" s="2"/>
      <c r="P126" s="2"/>
      <c r="Q126" s="2"/>
      <c r="S126" s="2"/>
      <c r="T126" s="2"/>
      <c r="V126" s="2"/>
      <c r="W126" s="2"/>
      <c r="Y126" s="2"/>
      <c r="Z126" s="2"/>
      <c r="AB126" s="2"/>
      <c r="AC126" s="2"/>
      <c r="AF126" s="24"/>
    </row>
    <row r="127">
      <c r="A127" s="11"/>
      <c r="B127" s="23"/>
      <c r="C127" s="23"/>
      <c r="D127" s="23"/>
      <c r="E127" s="23"/>
      <c r="F127" s="1"/>
      <c r="G127" s="23"/>
      <c r="H127" s="23"/>
      <c r="I127" s="23"/>
      <c r="J127" s="2"/>
      <c r="M127" s="40"/>
      <c r="N127" s="40"/>
      <c r="O127" s="2"/>
      <c r="P127" s="2"/>
      <c r="Q127" s="2"/>
      <c r="S127" s="2"/>
      <c r="T127" s="2"/>
      <c r="V127" s="2"/>
      <c r="W127" s="2"/>
      <c r="Y127" s="2"/>
      <c r="Z127" s="2"/>
      <c r="AB127" s="2"/>
      <c r="AC127" s="2"/>
      <c r="AF127" s="24"/>
    </row>
    <row r="128">
      <c r="A128" s="11"/>
      <c r="B128" s="23"/>
      <c r="C128" s="23"/>
      <c r="D128" s="23"/>
      <c r="E128" s="23"/>
      <c r="F128" s="1"/>
      <c r="G128" s="23"/>
      <c r="H128" s="23"/>
      <c r="I128" s="23"/>
      <c r="J128" s="2"/>
      <c r="M128" s="40"/>
      <c r="N128" s="40"/>
      <c r="O128" s="2"/>
      <c r="P128" s="2"/>
      <c r="Q128" s="2"/>
      <c r="S128" s="2"/>
      <c r="T128" s="2"/>
      <c r="V128" s="2"/>
      <c r="W128" s="2"/>
      <c r="Y128" s="2"/>
      <c r="Z128" s="2"/>
      <c r="AB128" s="2"/>
      <c r="AC128" s="2"/>
      <c r="AF128" s="24"/>
    </row>
    <row r="129">
      <c r="A129" s="11"/>
      <c r="B129" s="23"/>
      <c r="C129" s="23"/>
      <c r="D129" s="23"/>
      <c r="E129" s="23"/>
      <c r="F129" s="1"/>
      <c r="G129" s="23"/>
      <c r="H129" s="23"/>
      <c r="I129" s="23"/>
      <c r="J129" s="2"/>
      <c r="M129" s="40"/>
      <c r="N129" s="40"/>
      <c r="O129" s="2"/>
      <c r="P129" s="2"/>
      <c r="Q129" s="2"/>
      <c r="S129" s="2"/>
      <c r="T129" s="2"/>
      <c r="V129" s="2"/>
      <c r="W129" s="2"/>
      <c r="Y129" s="2"/>
      <c r="Z129" s="2"/>
      <c r="AB129" s="2"/>
      <c r="AC129" s="2"/>
      <c r="AF129" s="24"/>
    </row>
    <row r="130">
      <c r="A130" s="11"/>
      <c r="B130" s="23"/>
      <c r="C130" s="23"/>
      <c r="D130" s="23"/>
      <c r="E130" s="23"/>
      <c r="F130" s="1"/>
      <c r="G130" s="23"/>
      <c r="H130" s="23"/>
      <c r="I130" s="23"/>
      <c r="J130" s="2"/>
      <c r="M130" s="40"/>
      <c r="N130" s="40"/>
      <c r="O130" s="2"/>
      <c r="P130" s="2"/>
      <c r="Q130" s="2"/>
      <c r="S130" s="2"/>
      <c r="T130" s="2"/>
      <c r="V130" s="2"/>
      <c r="W130" s="2"/>
      <c r="Y130" s="2"/>
      <c r="Z130" s="2"/>
      <c r="AB130" s="2"/>
      <c r="AC130" s="2"/>
      <c r="AF130" s="24"/>
    </row>
    <row r="131">
      <c r="A131" s="11"/>
      <c r="B131" s="23"/>
      <c r="C131" s="23"/>
      <c r="D131" s="23"/>
      <c r="E131" s="23"/>
      <c r="F131" s="1"/>
      <c r="G131" s="23"/>
      <c r="H131" s="23"/>
      <c r="I131" s="23"/>
      <c r="J131" s="2"/>
      <c r="M131" s="40"/>
      <c r="N131" s="40"/>
      <c r="O131" s="2"/>
      <c r="P131" s="2"/>
      <c r="Q131" s="2"/>
      <c r="S131" s="2"/>
      <c r="T131" s="2"/>
      <c r="V131" s="2"/>
      <c r="W131" s="2"/>
      <c r="Y131" s="2"/>
      <c r="Z131" s="2"/>
      <c r="AB131" s="2"/>
      <c r="AC131" s="2"/>
      <c r="AF131" s="24"/>
    </row>
    <row r="132">
      <c r="A132" s="11"/>
      <c r="B132" s="23"/>
      <c r="C132" s="23"/>
      <c r="D132" s="23"/>
      <c r="E132" s="23"/>
      <c r="F132" s="1"/>
      <c r="G132" s="23"/>
      <c r="H132" s="23"/>
      <c r="I132" s="23"/>
      <c r="J132" s="2"/>
      <c r="M132" s="40"/>
      <c r="N132" s="40"/>
      <c r="O132" s="2"/>
      <c r="P132" s="2"/>
      <c r="Q132" s="2"/>
      <c r="S132" s="2"/>
      <c r="T132" s="2"/>
      <c r="V132" s="2"/>
      <c r="W132" s="2"/>
      <c r="Y132" s="2"/>
      <c r="Z132" s="2"/>
      <c r="AB132" s="2"/>
      <c r="AC132" s="2"/>
      <c r="AF132" s="24"/>
    </row>
    <row r="133">
      <c r="A133" s="11"/>
      <c r="B133" s="23"/>
      <c r="C133" s="23"/>
      <c r="D133" s="23"/>
      <c r="E133" s="23"/>
      <c r="F133" s="1"/>
      <c r="G133" s="23"/>
      <c r="H133" s="23"/>
      <c r="I133" s="23"/>
      <c r="J133" s="2"/>
      <c r="M133" s="40"/>
      <c r="N133" s="40"/>
      <c r="O133" s="2"/>
      <c r="P133" s="2"/>
      <c r="Q133" s="2"/>
      <c r="S133" s="2"/>
      <c r="T133" s="2"/>
      <c r="V133" s="2"/>
      <c r="W133" s="2"/>
      <c r="Y133" s="2"/>
      <c r="Z133" s="2"/>
      <c r="AB133" s="2"/>
      <c r="AC133" s="2"/>
      <c r="AF133" s="24"/>
    </row>
    <row r="134">
      <c r="A134" s="11"/>
      <c r="B134" s="23"/>
      <c r="C134" s="23"/>
      <c r="D134" s="23"/>
      <c r="E134" s="23"/>
      <c r="F134" s="1"/>
      <c r="G134" s="23"/>
      <c r="H134" s="23"/>
      <c r="I134" s="23"/>
      <c r="J134" s="2"/>
      <c r="M134" s="40"/>
      <c r="N134" s="40"/>
      <c r="O134" s="2"/>
      <c r="P134" s="2"/>
      <c r="Q134" s="2"/>
      <c r="S134" s="2"/>
      <c r="T134" s="2"/>
      <c r="V134" s="2"/>
      <c r="W134" s="2"/>
      <c r="Y134" s="2"/>
      <c r="Z134" s="2"/>
      <c r="AB134" s="2"/>
      <c r="AC134" s="2"/>
      <c r="AF134" s="24"/>
    </row>
    <row r="135">
      <c r="A135" s="11"/>
      <c r="B135" s="23"/>
      <c r="C135" s="23"/>
      <c r="D135" s="23"/>
      <c r="E135" s="23"/>
      <c r="F135" s="1"/>
      <c r="G135" s="23"/>
      <c r="H135" s="23"/>
      <c r="I135" s="23"/>
      <c r="J135" s="2"/>
      <c r="M135" s="40"/>
      <c r="N135" s="40"/>
      <c r="O135" s="2"/>
      <c r="P135" s="2"/>
      <c r="Q135" s="2"/>
      <c r="S135" s="2"/>
      <c r="T135" s="2"/>
      <c r="V135" s="2"/>
      <c r="W135" s="2"/>
      <c r="Y135" s="2"/>
      <c r="Z135" s="2"/>
      <c r="AB135" s="2"/>
      <c r="AC135" s="2"/>
      <c r="AF135" s="24"/>
    </row>
    <row r="136">
      <c r="A136" s="11"/>
      <c r="B136" s="23"/>
      <c r="C136" s="23"/>
      <c r="D136" s="23"/>
      <c r="E136" s="23"/>
      <c r="F136" s="1"/>
      <c r="G136" s="23"/>
      <c r="H136" s="23"/>
      <c r="I136" s="23"/>
      <c r="J136" s="2"/>
      <c r="M136" s="40"/>
      <c r="N136" s="40"/>
      <c r="O136" s="2"/>
      <c r="P136" s="2"/>
      <c r="Q136" s="2"/>
      <c r="S136" s="2"/>
      <c r="T136" s="2"/>
      <c r="V136" s="2"/>
      <c r="W136" s="2"/>
      <c r="Y136" s="2"/>
      <c r="Z136" s="2"/>
      <c r="AB136" s="2"/>
      <c r="AC136" s="2"/>
      <c r="AF136" s="24"/>
    </row>
    <row r="137">
      <c r="A137" s="11"/>
      <c r="B137" s="23"/>
      <c r="C137" s="23"/>
      <c r="D137" s="23"/>
      <c r="E137" s="23"/>
      <c r="F137" s="1"/>
      <c r="G137" s="23"/>
      <c r="H137" s="23"/>
      <c r="I137" s="23"/>
      <c r="J137" s="2"/>
      <c r="M137" s="40"/>
      <c r="N137" s="40"/>
      <c r="O137" s="2"/>
      <c r="P137" s="2"/>
      <c r="Q137" s="2"/>
      <c r="S137" s="2"/>
      <c r="T137" s="2"/>
      <c r="V137" s="2"/>
      <c r="W137" s="2"/>
      <c r="Y137" s="2"/>
      <c r="Z137" s="2"/>
      <c r="AB137" s="2"/>
      <c r="AC137" s="2"/>
      <c r="AF137" s="24"/>
    </row>
    <row r="138">
      <c r="A138" s="11"/>
      <c r="B138" s="23"/>
      <c r="C138" s="23"/>
      <c r="D138" s="23"/>
      <c r="E138" s="23"/>
      <c r="F138" s="1"/>
      <c r="G138" s="23"/>
      <c r="H138" s="23"/>
      <c r="I138" s="23"/>
      <c r="J138" s="2"/>
      <c r="M138" s="40"/>
      <c r="N138" s="40"/>
      <c r="O138" s="2"/>
      <c r="P138" s="2"/>
      <c r="Q138" s="2"/>
      <c r="S138" s="2"/>
      <c r="T138" s="2"/>
      <c r="V138" s="2"/>
      <c r="W138" s="2"/>
      <c r="Y138" s="2"/>
      <c r="Z138" s="2"/>
      <c r="AB138" s="2"/>
      <c r="AC138" s="2"/>
      <c r="AF138" s="24"/>
    </row>
    <row r="139">
      <c r="A139" s="11"/>
      <c r="B139" s="23"/>
      <c r="C139" s="23"/>
      <c r="D139" s="23"/>
      <c r="E139" s="23"/>
      <c r="F139" s="1"/>
      <c r="G139" s="23"/>
      <c r="H139" s="23"/>
      <c r="I139" s="23"/>
      <c r="J139" s="2"/>
      <c r="M139" s="40"/>
      <c r="N139" s="40"/>
      <c r="O139" s="2"/>
      <c r="P139" s="2"/>
      <c r="Q139" s="2"/>
      <c r="S139" s="2"/>
      <c r="T139" s="2"/>
      <c r="V139" s="2"/>
      <c r="W139" s="2"/>
      <c r="Y139" s="2"/>
      <c r="Z139" s="2"/>
      <c r="AB139" s="2"/>
      <c r="AC139" s="2"/>
      <c r="AF139" s="24"/>
    </row>
    <row r="140">
      <c r="A140" s="11"/>
      <c r="B140" s="23"/>
      <c r="C140" s="23"/>
      <c r="D140" s="23"/>
      <c r="E140" s="23"/>
      <c r="F140" s="1"/>
      <c r="G140" s="23"/>
      <c r="H140" s="23"/>
      <c r="I140" s="23"/>
      <c r="J140" s="2"/>
      <c r="M140" s="40"/>
      <c r="N140" s="40"/>
      <c r="O140" s="2"/>
      <c r="P140" s="2"/>
      <c r="Q140" s="2"/>
      <c r="S140" s="2"/>
      <c r="T140" s="2"/>
      <c r="V140" s="2"/>
      <c r="W140" s="2"/>
      <c r="Y140" s="2"/>
      <c r="Z140" s="2"/>
      <c r="AB140" s="2"/>
      <c r="AC140" s="2"/>
      <c r="AF140" s="24"/>
    </row>
    <row r="141">
      <c r="A141" s="11"/>
      <c r="B141" s="23"/>
      <c r="C141" s="23"/>
      <c r="D141" s="23"/>
      <c r="E141" s="23"/>
      <c r="F141" s="1"/>
      <c r="G141" s="23"/>
      <c r="H141" s="23"/>
      <c r="I141" s="23"/>
      <c r="J141" s="2"/>
      <c r="M141" s="40"/>
      <c r="N141" s="40"/>
      <c r="O141" s="2"/>
      <c r="P141" s="2"/>
      <c r="Q141" s="2"/>
      <c r="S141" s="2"/>
      <c r="T141" s="2"/>
      <c r="V141" s="2"/>
      <c r="W141" s="2"/>
      <c r="Y141" s="2"/>
      <c r="Z141" s="2"/>
      <c r="AB141" s="2"/>
      <c r="AC141" s="2"/>
      <c r="AF141" s="24"/>
    </row>
    <row r="142">
      <c r="A142" s="11"/>
      <c r="B142" s="23"/>
      <c r="C142" s="23"/>
      <c r="D142" s="23"/>
      <c r="E142" s="23"/>
      <c r="F142" s="1"/>
      <c r="G142" s="23"/>
      <c r="H142" s="23"/>
      <c r="I142" s="23"/>
      <c r="J142" s="2"/>
      <c r="M142" s="40"/>
      <c r="N142" s="40"/>
      <c r="O142" s="2"/>
      <c r="P142" s="2"/>
      <c r="Q142" s="2"/>
      <c r="S142" s="2"/>
      <c r="T142" s="2"/>
      <c r="V142" s="2"/>
      <c r="W142" s="2"/>
      <c r="Y142" s="2"/>
      <c r="Z142" s="2"/>
      <c r="AB142" s="2"/>
      <c r="AC142" s="2"/>
      <c r="AF142" s="24"/>
    </row>
    <row r="143">
      <c r="A143" s="11"/>
      <c r="B143" s="23"/>
      <c r="C143" s="23"/>
      <c r="D143" s="23"/>
      <c r="E143" s="23"/>
      <c r="F143" s="1"/>
      <c r="G143" s="23"/>
      <c r="H143" s="23"/>
      <c r="I143" s="23"/>
      <c r="J143" s="2"/>
      <c r="M143" s="40"/>
      <c r="N143" s="40"/>
      <c r="O143" s="2"/>
      <c r="P143" s="2"/>
      <c r="Q143" s="2"/>
      <c r="S143" s="2"/>
      <c r="T143" s="2"/>
      <c r="V143" s="2"/>
      <c r="W143" s="2"/>
      <c r="Y143" s="2"/>
      <c r="Z143" s="2"/>
      <c r="AB143" s="2"/>
      <c r="AC143" s="2"/>
      <c r="AF143" s="24"/>
    </row>
    <row r="144">
      <c r="A144" s="11"/>
      <c r="B144" s="23"/>
      <c r="C144" s="23"/>
      <c r="D144" s="23"/>
      <c r="E144" s="23"/>
      <c r="F144" s="1"/>
      <c r="G144" s="23"/>
      <c r="H144" s="23"/>
      <c r="I144" s="23"/>
      <c r="J144" s="2"/>
      <c r="M144" s="40"/>
      <c r="N144" s="40"/>
      <c r="O144" s="2"/>
      <c r="P144" s="2"/>
      <c r="Q144" s="2"/>
      <c r="S144" s="2"/>
      <c r="T144" s="2"/>
      <c r="V144" s="2"/>
      <c r="W144" s="2"/>
      <c r="Y144" s="2"/>
      <c r="Z144" s="2"/>
      <c r="AB144" s="2"/>
      <c r="AC144" s="2"/>
      <c r="AF144" s="24"/>
    </row>
    <row r="145">
      <c r="A145" s="11"/>
      <c r="B145" s="23"/>
      <c r="C145" s="23"/>
      <c r="D145" s="23"/>
      <c r="E145" s="23"/>
      <c r="F145" s="1"/>
      <c r="G145" s="23"/>
      <c r="H145" s="23"/>
      <c r="I145" s="23"/>
      <c r="J145" s="2"/>
      <c r="M145" s="40"/>
      <c r="N145" s="40"/>
      <c r="O145" s="2"/>
      <c r="P145" s="2"/>
      <c r="Q145" s="2"/>
      <c r="S145" s="2"/>
      <c r="T145" s="2"/>
      <c r="V145" s="2"/>
      <c r="W145" s="2"/>
      <c r="Y145" s="2"/>
      <c r="Z145" s="2"/>
      <c r="AB145" s="2"/>
      <c r="AC145" s="2"/>
      <c r="AF145" s="24"/>
    </row>
    <row r="146">
      <c r="A146" s="11"/>
      <c r="B146" s="23"/>
      <c r="C146" s="23"/>
      <c r="D146" s="23"/>
      <c r="E146" s="23"/>
      <c r="F146" s="1"/>
      <c r="G146" s="23"/>
      <c r="H146" s="23"/>
      <c r="I146" s="23"/>
      <c r="J146" s="2"/>
      <c r="M146" s="40"/>
      <c r="N146" s="40"/>
      <c r="O146" s="2"/>
      <c r="P146" s="2"/>
      <c r="Q146" s="2"/>
      <c r="S146" s="2"/>
      <c r="T146" s="2"/>
      <c r="V146" s="2"/>
      <c r="W146" s="2"/>
      <c r="Y146" s="2"/>
      <c r="Z146" s="2"/>
      <c r="AB146" s="2"/>
      <c r="AC146" s="2"/>
      <c r="AF146" s="24"/>
    </row>
    <row r="147">
      <c r="A147" s="11"/>
      <c r="B147" s="23"/>
      <c r="C147" s="23"/>
      <c r="D147" s="23"/>
      <c r="E147" s="23"/>
      <c r="F147" s="1"/>
      <c r="G147" s="23"/>
      <c r="H147" s="23"/>
      <c r="I147" s="23"/>
      <c r="J147" s="2"/>
      <c r="M147" s="40"/>
      <c r="N147" s="40"/>
      <c r="O147" s="2"/>
      <c r="P147" s="2"/>
      <c r="Q147" s="2"/>
      <c r="S147" s="2"/>
      <c r="T147" s="2"/>
      <c r="V147" s="2"/>
      <c r="W147" s="2"/>
      <c r="Y147" s="2"/>
      <c r="Z147" s="2"/>
      <c r="AB147" s="2"/>
      <c r="AC147" s="2"/>
      <c r="AF147" s="24"/>
    </row>
    <row r="148">
      <c r="A148" s="11"/>
      <c r="B148" s="23"/>
      <c r="C148" s="23"/>
      <c r="D148" s="23"/>
      <c r="E148" s="23"/>
      <c r="F148" s="1"/>
      <c r="G148" s="23"/>
      <c r="H148" s="23"/>
      <c r="I148" s="23"/>
      <c r="J148" s="2"/>
      <c r="M148" s="40"/>
      <c r="N148" s="40"/>
      <c r="O148" s="2"/>
      <c r="P148" s="2"/>
      <c r="Q148" s="2"/>
      <c r="S148" s="2"/>
      <c r="T148" s="2"/>
      <c r="V148" s="2"/>
      <c r="W148" s="2"/>
      <c r="Y148" s="2"/>
      <c r="Z148" s="2"/>
      <c r="AB148" s="2"/>
      <c r="AC148" s="2"/>
      <c r="AF148" s="24"/>
    </row>
    <row r="149">
      <c r="A149" s="11"/>
      <c r="B149" s="23"/>
      <c r="C149" s="23"/>
      <c r="D149" s="23"/>
      <c r="E149" s="23"/>
      <c r="F149" s="1"/>
      <c r="G149" s="23"/>
      <c r="H149" s="23"/>
      <c r="I149" s="23"/>
      <c r="J149" s="2"/>
      <c r="M149" s="40"/>
      <c r="N149" s="40"/>
      <c r="O149" s="2"/>
      <c r="P149" s="2"/>
      <c r="Q149" s="2"/>
      <c r="S149" s="2"/>
      <c r="T149" s="2"/>
      <c r="V149" s="2"/>
      <c r="W149" s="2"/>
      <c r="Y149" s="2"/>
      <c r="Z149" s="2"/>
      <c r="AB149" s="2"/>
      <c r="AC149" s="2"/>
      <c r="AF149" s="24"/>
    </row>
    <row r="150">
      <c r="A150" s="11"/>
      <c r="B150" s="23"/>
      <c r="C150" s="23"/>
      <c r="D150" s="23"/>
      <c r="E150" s="23"/>
      <c r="F150" s="1"/>
      <c r="G150" s="23"/>
      <c r="H150" s="23"/>
      <c r="I150" s="23"/>
      <c r="J150" s="2"/>
      <c r="M150" s="40"/>
      <c r="N150" s="40"/>
      <c r="O150" s="2"/>
      <c r="P150" s="2"/>
      <c r="Q150" s="2"/>
      <c r="S150" s="2"/>
      <c r="T150" s="2"/>
      <c r="V150" s="2"/>
      <c r="W150" s="2"/>
      <c r="Y150" s="2"/>
      <c r="Z150" s="2"/>
      <c r="AB150" s="2"/>
      <c r="AC150" s="2"/>
      <c r="AF150" s="24"/>
    </row>
    <row r="151">
      <c r="A151" s="11"/>
      <c r="B151" s="23"/>
      <c r="C151" s="23"/>
      <c r="D151" s="23"/>
      <c r="E151" s="23"/>
      <c r="F151" s="1"/>
      <c r="G151" s="23"/>
      <c r="H151" s="23"/>
      <c r="I151" s="23"/>
      <c r="J151" s="2"/>
      <c r="M151" s="40"/>
      <c r="N151" s="40"/>
      <c r="O151" s="2"/>
      <c r="P151" s="2"/>
      <c r="Q151" s="2"/>
      <c r="S151" s="2"/>
      <c r="T151" s="2"/>
      <c r="V151" s="2"/>
      <c r="W151" s="2"/>
      <c r="Y151" s="2"/>
      <c r="Z151" s="2"/>
      <c r="AB151" s="2"/>
      <c r="AC151" s="2"/>
      <c r="AF151" s="24"/>
    </row>
    <row r="152">
      <c r="A152" s="11"/>
      <c r="B152" s="23"/>
      <c r="C152" s="23"/>
      <c r="D152" s="23"/>
      <c r="E152" s="23"/>
      <c r="F152" s="1"/>
      <c r="G152" s="23"/>
      <c r="H152" s="23"/>
      <c r="I152" s="23"/>
      <c r="J152" s="2"/>
      <c r="M152" s="40"/>
      <c r="N152" s="40"/>
      <c r="O152" s="2"/>
      <c r="P152" s="2"/>
      <c r="Q152" s="2"/>
      <c r="S152" s="2"/>
      <c r="T152" s="2"/>
      <c r="V152" s="2"/>
      <c r="W152" s="2"/>
      <c r="Y152" s="2"/>
      <c r="Z152" s="2"/>
      <c r="AB152" s="2"/>
      <c r="AC152" s="2"/>
      <c r="AF152" s="24"/>
    </row>
    <row r="153">
      <c r="A153" s="11"/>
      <c r="B153" s="23"/>
      <c r="C153" s="23"/>
      <c r="D153" s="23"/>
      <c r="E153" s="23"/>
      <c r="F153" s="1"/>
      <c r="G153" s="23"/>
      <c r="H153" s="23"/>
      <c r="I153" s="23"/>
      <c r="J153" s="2"/>
      <c r="M153" s="40"/>
      <c r="N153" s="40"/>
      <c r="O153" s="2"/>
      <c r="P153" s="2"/>
      <c r="Q153" s="2"/>
      <c r="S153" s="2"/>
      <c r="T153" s="2"/>
      <c r="V153" s="2"/>
      <c r="W153" s="2"/>
      <c r="Y153" s="2"/>
      <c r="Z153" s="2"/>
      <c r="AB153" s="2"/>
      <c r="AC153" s="2"/>
      <c r="AF153" s="24"/>
    </row>
    <row r="154">
      <c r="A154" s="11"/>
      <c r="B154" s="23"/>
      <c r="C154" s="23"/>
      <c r="D154" s="23"/>
      <c r="E154" s="23"/>
      <c r="F154" s="1"/>
      <c r="G154" s="23"/>
      <c r="H154" s="23"/>
      <c r="I154" s="23"/>
      <c r="J154" s="2"/>
      <c r="M154" s="40"/>
      <c r="N154" s="40"/>
      <c r="O154" s="2"/>
      <c r="P154" s="2"/>
      <c r="Q154" s="2"/>
      <c r="S154" s="2"/>
      <c r="T154" s="2"/>
      <c r="V154" s="2"/>
      <c r="W154" s="2"/>
      <c r="Y154" s="2"/>
      <c r="Z154" s="2"/>
      <c r="AB154" s="2"/>
      <c r="AC154" s="2"/>
      <c r="AF154" s="24"/>
    </row>
    <row r="155">
      <c r="A155" s="11"/>
      <c r="B155" s="23"/>
      <c r="C155" s="23"/>
      <c r="D155" s="23"/>
      <c r="E155" s="23"/>
      <c r="F155" s="1"/>
      <c r="G155" s="23"/>
      <c r="H155" s="23"/>
      <c r="I155" s="23"/>
      <c r="J155" s="2"/>
      <c r="M155" s="40"/>
      <c r="N155" s="40"/>
      <c r="O155" s="2"/>
      <c r="P155" s="2"/>
      <c r="Q155" s="2"/>
      <c r="S155" s="2"/>
      <c r="T155" s="2"/>
      <c r="V155" s="2"/>
      <c r="W155" s="2"/>
      <c r="Y155" s="2"/>
      <c r="Z155" s="2"/>
      <c r="AB155" s="2"/>
      <c r="AC155" s="2"/>
      <c r="AF155" s="24"/>
    </row>
    <row r="156">
      <c r="A156" s="11"/>
      <c r="B156" s="23"/>
      <c r="C156" s="23"/>
      <c r="D156" s="23"/>
      <c r="E156" s="23"/>
      <c r="F156" s="1"/>
      <c r="G156" s="23"/>
      <c r="H156" s="23"/>
      <c r="I156" s="23"/>
      <c r="J156" s="2"/>
      <c r="M156" s="40"/>
      <c r="N156" s="40"/>
      <c r="O156" s="2"/>
      <c r="P156" s="2"/>
      <c r="Q156" s="2"/>
      <c r="S156" s="2"/>
      <c r="T156" s="2"/>
      <c r="V156" s="2"/>
      <c r="W156" s="2"/>
      <c r="Y156" s="2"/>
      <c r="Z156" s="2"/>
      <c r="AB156" s="2"/>
      <c r="AC156" s="2"/>
      <c r="AF156" s="24"/>
    </row>
    <row r="157">
      <c r="A157" s="11"/>
      <c r="B157" s="23"/>
      <c r="C157" s="23"/>
      <c r="D157" s="23"/>
      <c r="E157" s="23"/>
      <c r="F157" s="1"/>
      <c r="G157" s="23"/>
      <c r="H157" s="23"/>
      <c r="I157" s="23"/>
      <c r="J157" s="2"/>
      <c r="M157" s="40"/>
      <c r="N157" s="40"/>
      <c r="O157" s="2"/>
      <c r="P157" s="2"/>
      <c r="Q157" s="2"/>
      <c r="S157" s="2"/>
      <c r="T157" s="2"/>
      <c r="V157" s="2"/>
      <c r="W157" s="2"/>
      <c r="Y157" s="2"/>
      <c r="Z157" s="2"/>
      <c r="AB157" s="2"/>
      <c r="AC157" s="2"/>
      <c r="AF157" s="24"/>
    </row>
    <row r="158">
      <c r="A158" s="11"/>
      <c r="B158" s="23"/>
      <c r="C158" s="23"/>
      <c r="D158" s="23"/>
      <c r="E158" s="23"/>
      <c r="F158" s="1"/>
      <c r="G158" s="23"/>
      <c r="H158" s="23"/>
      <c r="I158" s="23"/>
      <c r="J158" s="2"/>
      <c r="M158" s="40"/>
      <c r="N158" s="40"/>
      <c r="O158" s="2"/>
      <c r="P158" s="2"/>
      <c r="Q158" s="2"/>
      <c r="S158" s="2"/>
      <c r="T158" s="2"/>
      <c r="V158" s="2"/>
      <c r="W158" s="2"/>
      <c r="Y158" s="2"/>
      <c r="Z158" s="2"/>
      <c r="AB158" s="2"/>
      <c r="AC158" s="2"/>
      <c r="AF158" s="24"/>
    </row>
    <row r="159">
      <c r="A159" s="11"/>
      <c r="B159" s="23"/>
      <c r="C159" s="23"/>
      <c r="D159" s="23"/>
      <c r="E159" s="23"/>
      <c r="F159" s="1"/>
      <c r="G159" s="23"/>
      <c r="H159" s="23"/>
      <c r="I159" s="23"/>
      <c r="J159" s="2"/>
      <c r="M159" s="40"/>
      <c r="N159" s="40"/>
      <c r="O159" s="2"/>
      <c r="P159" s="2"/>
      <c r="Q159" s="2"/>
      <c r="S159" s="2"/>
      <c r="T159" s="2"/>
      <c r="V159" s="2"/>
      <c r="W159" s="2"/>
      <c r="Y159" s="2"/>
      <c r="Z159" s="2"/>
      <c r="AB159" s="2"/>
      <c r="AC159" s="2"/>
      <c r="AF159" s="24"/>
    </row>
    <row r="160">
      <c r="A160" s="11"/>
      <c r="B160" s="23"/>
      <c r="C160" s="23"/>
      <c r="D160" s="23"/>
      <c r="E160" s="23"/>
      <c r="F160" s="1"/>
      <c r="G160" s="23"/>
      <c r="H160" s="23"/>
      <c r="I160" s="23"/>
      <c r="J160" s="2"/>
      <c r="M160" s="40"/>
      <c r="N160" s="40"/>
      <c r="O160" s="2"/>
      <c r="P160" s="2"/>
      <c r="Q160" s="2"/>
      <c r="S160" s="2"/>
      <c r="T160" s="2"/>
      <c r="V160" s="2"/>
      <c r="W160" s="2"/>
      <c r="Y160" s="2"/>
      <c r="Z160" s="2"/>
      <c r="AB160" s="2"/>
      <c r="AC160" s="2"/>
      <c r="AF160" s="24"/>
    </row>
    <row r="161">
      <c r="A161" s="11"/>
      <c r="B161" s="23"/>
      <c r="C161" s="23"/>
      <c r="D161" s="23"/>
      <c r="E161" s="23"/>
      <c r="F161" s="1"/>
      <c r="G161" s="23"/>
      <c r="H161" s="23"/>
      <c r="I161" s="23"/>
      <c r="J161" s="2"/>
      <c r="M161" s="40"/>
      <c r="N161" s="40"/>
      <c r="O161" s="2"/>
      <c r="P161" s="2"/>
      <c r="Q161" s="2"/>
      <c r="S161" s="2"/>
      <c r="T161" s="2"/>
      <c r="V161" s="2"/>
      <c r="W161" s="2"/>
      <c r="Y161" s="2"/>
      <c r="Z161" s="2"/>
      <c r="AB161" s="2"/>
      <c r="AC161" s="2"/>
      <c r="AF161" s="24"/>
    </row>
    <row r="162">
      <c r="A162" s="11"/>
      <c r="B162" s="23"/>
      <c r="C162" s="23"/>
      <c r="D162" s="23"/>
      <c r="E162" s="23"/>
      <c r="F162" s="1"/>
      <c r="G162" s="23"/>
      <c r="H162" s="23"/>
      <c r="I162" s="23"/>
      <c r="J162" s="2"/>
      <c r="M162" s="40"/>
      <c r="N162" s="40"/>
      <c r="O162" s="2"/>
      <c r="P162" s="2"/>
      <c r="Q162" s="2"/>
      <c r="S162" s="2"/>
      <c r="T162" s="2"/>
      <c r="V162" s="2"/>
      <c r="W162" s="2"/>
      <c r="Y162" s="2"/>
      <c r="Z162" s="2"/>
      <c r="AB162" s="2"/>
      <c r="AC162" s="2"/>
      <c r="AF162" s="24"/>
    </row>
    <row r="163">
      <c r="A163" s="11"/>
      <c r="B163" s="23"/>
      <c r="C163" s="23"/>
      <c r="D163" s="23"/>
      <c r="E163" s="23"/>
      <c r="F163" s="1"/>
      <c r="G163" s="23"/>
      <c r="H163" s="23"/>
      <c r="I163" s="23"/>
      <c r="J163" s="2"/>
      <c r="M163" s="40"/>
      <c r="N163" s="40"/>
      <c r="O163" s="2"/>
      <c r="P163" s="2"/>
      <c r="Q163" s="2"/>
      <c r="S163" s="2"/>
      <c r="T163" s="2"/>
      <c r="V163" s="2"/>
      <c r="W163" s="2"/>
      <c r="Y163" s="2"/>
      <c r="Z163" s="2"/>
      <c r="AB163" s="2"/>
      <c r="AC163" s="2"/>
      <c r="AF163" s="24"/>
    </row>
    <row r="164">
      <c r="A164" s="11"/>
      <c r="B164" s="23"/>
      <c r="C164" s="23"/>
      <c r="D164" s="23"/>
      <c r="E164" s="23"/>
      <c r="F164" s="1"/>
      <c r="G164" s="23"/>
      <c r="H164" s="23"/>
      <c r="I164" s="23"/>
      <c r="J164" s="2"/>
      <c r="M164" s="40"/>
      <c r="N164" s="40"/>
      <c r="O164" s="2"/>
      <c r="P164" s="2"/>
      <c r="Q164" s="2"/>
      <c r="S164" s="2"/>
      <c r="T164" s="2"/>
      <c r="V164" s="2"/>
      <c r="W164" s="2"/>
      <c r="Y164" s="2"/>
      <c r="Z164" s="2"/>
      <c r="AB164" s="2"/>
      <c r="AC164" s="2"/>
      <c r="AF164" s="24"/>
    </row>
    <row r="165">
      <c r="A165" s="11"/>
      <c r="B165" s="23"/>
      <c r="C165" s="23"/>
      <c r="D165" s="23"/>
      <c r="E165" s="23"/>
      <c r="F165" s="1"/>
      <c r="G165" s="23"/>
      <c r="H165" s="23"/>
      <c r="I165" s="23"/>
      <c r="J165" s="2"/>
      <c r="M165" s="40"/>
      <c r="N165" s="40"/>
      <c r="O165" s="2"/>
      <c r="P165" s="2"/>
      <c r="Q165" s="2"/>
      <c r="S165" s="2"/>
      <c r="T165" s="2"/>
      <c r="V165" s="2"/>
      <c r="W165" s="2"/>
      <c r="Y165" s="2"/>
      <c r="Z165" s="2"/>
      <c r="AB165" s="2"/>
      <c r="AC165" s="2"/>
      <c r="AF165" s="24"/>
    </row>
    <row r="166">
      <c r="A166" s="11"/>
      <c r="B166" s="23"/>
      <c r="C166" s="23"/>
      <c r="D166" s="23"/>
      <c r="E166" s="23"/>
      <c r="F166" s="1"/>
      <c r="G166" s="23"/>
      <c r="H166" s="23"/>
      <c r="I166" s="23"/>
      <c r="J166" s="2"/>
      <c r="M166" s="40"/>
      <c r="N166" s="40"/>
      <c r="O166" s="2"/>
      <c r="P166" s="2"/>
      <c r="Q166" s="2"/>
      <c r="S166" s="2"/>
      <c r="T166" s="2"/>
      <c r="V166" s="2"/>
      <c r="W166" s="2"/>
      <c r="Y166" s="2"/>
      <c r="Z166" s="2"/>
      <c r="AB166" s="2"/>
      <c r="AC166" s="2"/>
      <c r="AF166" s="24"/>
    </row>
    <row r="167">
      <c r="A167" s="11"/>
      <c r="B167" s="23"/>
      <c r="C167" s="23"/>
      <c r="D167" s="23"/>
      <c r="E167" s="23"/>
      <c r="F167" s="1"/>
      <c r="G167" s="23"/>
      <c r="H167" s="23"/>
      <c r="I167" s="23"/>
      <c r="J167" s="2"/>
      <c r="M167" s="40"/>
      <c r="N167" s="40"/>
      <c r="O167" s="2"/>
      <c r="P167" s="2"/>
      <c r="Q167" s="2"/>
      <c r="S167" s="2"/>
      <c r="T167" s="2"/>
      <c r="V167" s="2"/>
      <c r="W167" s="2"/>
      <c r="Y167" s="2"/>
      <c r="Z167" s="2"/>
      <c r="AB167" s="2"/>
      <c r="AC167" s="2"/>
      <c r="AF167" s="24"/>
    </row>
    <row r="168">
      <c r="A168" s="11"/>
      <c r="B168" s="23"/>
      <c r="C168" s="23"/>
      <c r="D168" s="23"/>
      <c r="E168" s="23"/>
      <c r="F168" s="1"/>
      <c r="G168" s="23"/>
      <c r="H168" s="23"/>
      <c r="I168" s="23"/>
      <c r="J168" s="2"/>
      <c r="M168" s="40"/>
      <c r="N168" s="40"/>
      <c r="O168" s="2"/>
      <c r="P168" s="2"/>
      <c r="Q168" s="2"/>
      <c r="S168" s="2"/>
      <c r="T168" s="2"/>
      <c r="V168" s="2"/>
      <c r="W168" s="2"/>
      <c r="Y168" s="2"/>
      <c r="Z168" s="2"/>
      <c r="AB168" s="2"/>
      <c r="AC168" s="2"/>
      <c r="AF168" s="24"/>
    </row>
    <row r="169">
      <c r="A169" s="11"/>
      <c r="B169" s="23"/>
      <c r="C169" s="23"/>
      <c r="D169" s="23"/>
      <c r="E169" s="23"/>
      <c r="F169" s="1"/>
      <c r="G169" s="23"/>
      <c r="H169" s="23"/>
      <c r="I169" s="23"/>
      <c r="J169" s="2"/>
      <c r="M169" s="40"/>
      <c r="N169" s="40"/>
      <c r="O169" s="2"/>
      <c r="P169" s="2"/>
      <c r="Q169" s="2"/>
      <c r="S169" s="2"/>
      <c r="T169" s="2"/>
      <c r="V169" s="2"/>
      <c r="W169" s="2"/>
      <c r="Y169" s="2"/>
      <c r="Z169" s="2"/>
      <c r="AB169" s="2"/>
      <c r="AC169" s="2"/>
      <c r="AF169" s="24"/>
    </row>
    <row r="170">
      <c r="A170" s="11"/>
      <c r="B170" s="23"/>
      <c r="C170" s="23"/>
      <c r="D170" s="23"/>
      <c r="E170" s="23"/>
      <c r="F170" s="1"/>
      <c r="G170" s="23"/>
      <c r="H170" s="23"/>
      <c r="I170" s="23"/>
      <c r="J170" s="2"/>
      <c r="M170" s="40"/>
      <c r="N170" s="40"/>
      <c r="O170" s="2"/>
      <c r="P170" s="2"/>
      <c r="Q170" s="2"/>
      <c r="S170" s="2"/>
      <c r="T170" s="2"/>
      <c r="V170" s="2"/>
      <c r="W170" s="2"/>
      <c r="Y170" s="2"/>
      <c r="Z170" s="2"/>
      <c r="AB170" s="2"/>
      <c r="AC170" s="2"/>
      <c r="AF170" s="24"/>
    </row>
    <row r="171">
      <c r="A171" s="11"/>
      <c r="B171" s="23"/>
      <c r="C171" s="23"/>
      <c r="D171" s="23"/>
      <c r="E171" s="23"/>
      <c r="F171" s="1"/>
      <c r="G171" s="23"/>
      <c r="H171" s="23"/>
      <c r="I171" s="23"/>
      <c r="J171" s="2"/>
      <c r="M171" s="40"/>
      <c r="N171" s="40"/>
      <c r="O171" s="2"/>
      <c r="P171" s="2"/>
      <c r="Q171" s="2"/>
      <c r="S171" s="2"/>
      <c r="T171" s="2"/>
      <c r="V171" s="2"/>
      <c r="W171" s="2"/>
      <c r="Y171" s="2"/>
      <c r="Z171" s="2"/>
      <c r="AB171" s="2"/>
      <c r="AC171" s="2"/>
      <c r="AF171" s="24"/>
    </row>
    <row r="172">
      <c r="A172" s="11"/>
      <c r="B172" s="23"/>
      <c r="C172" s="23"/>
      <c r="D172" s="23"/>
      <c r="E172" s="23"/>
      <c r="F172" s="1"/>
      <c r="G172" s="23"/>
      <c r="H172" s="23"/>
      <c r="I172" s="23"/>
      <c r="J172" s="2"/>
      <c r="M172" s="40"/>
      <c r="N172" s="40"/>
      <c r="O172" s="2"/>
      <c r="P172" s="2"/>
      <c r="Q172" s="2"/>
      <c r="S172" s="2"/>
      <c r="T172" s="2"/>
      <c r="V172" s="2"/>
      <c r="W172" s="2"/>
      <c r="Y172" s="2"/>
      <c r="Z172" s="2"/>
      <c r="AB172" s="2"/>
      <c r="AC172" s="2"/>
      <c r="AF172" s="24"/>
    </row>
    <row r="173">
      <c r="A173" s="11"/>
      <c r="B173" s="23"/>
      <c r="C173" s="23"/>
      <c r="D173" s="23"/>
      <c r="E173" s="23"/>
      <c r="F173" s="1"/>
      <c r="G173" s="23"/>
      <c r="H173" s="23"/>
      <c r="I173" s="23"/>
      <c r="J173" s="2"/>
      <c r="M173" s="40"/>
      <c r="N173" s="40"/>
      <c r="O173" s="2"/>
      <c r="P173" s="2"/>
      <c r="Q173" s="2"/>
      <c r="S173" s="2"/>
      <c r="T173" s="2"/>
      <c r="V173" s="2"/>
      <c r="W173" s="2"/>
      <c r="Y173" s="2"/>
      <c r="Z173" s="2"/>
      <c r="AB173" s="2"/>
      <c r="AC173" s="2"/>
      <c r="AF173" s="24"/>
    </row>
    <row r="174">
      <c r="A174" s="11"/>
      <c r="B174" s="23"/>
      <c r="C174" s="23"/>
      <c r="D174" s="23"/>
      <c r="E174" s="23"/>
      <c r="F174" s="1"/>
      <c r="G174" s="23"/>
      <c r="H174" s="23"/>
      <c r="I174" s="23"/>
      <c r="J174" s="2"/>
      <c r="M174" s="40"/>
      <c r="N174" s="40"/>
      <c r="O174" s="2"/>
      <c r="P174" s="2"/>
      <c r="Q174" s="2"/>
      <c r="S174" s="2"/>
      <c r="T174" s="2"/>
      <c r="V174" s="2"/>
      <c r="W174" s="2"/>
      <c r="Y174" s="2"/>
      <c r="Z174" s="2"/>
      <c r="AB174" s="2"/>
      <c r="AC174" s="2"/>
      <c r="AF174" s="24"/>
    </row>
    <row r="175">
      <c r="A175" s="11"/>
      <c r="B175" s="23"/>
      <c r="C175" s="23"/>
      <c r="D175" s="23"/>
      <c r="E175" s="23"/>
      <c r="F175" s="1"/>
      <c r="G175" s="23"/>
      <c r="H175" s="23"/>
      <c r="I175" s="23"/>
      <c r="J175" s="2"/>
      <c r="M175" s="40"/>
      <c r="N175" s="40"/>
      <c r="O175" s="2"/>
      <c r="P175" s="2"/>
      <c r="Q175" s="2"/>
      <c r="S175" s="2"/>
      <c r="T175" s="2"/>
      <c r="V175" s="2"/>
      <c r="W175" s="2"/>
      <c r="Y175" s="2"/>
      <c r="Z175" s="2"/>
      <c r="AB175" s="2"/>
      <c r="AC175" s="2"/>
      <c r="AF175" s="24"/>
    </row>
    <row r="176">
      <c r="A176" s="11"/>
      <c r="B176" s="23"/>
      <c r="C176" s="23"/>
      <c r="D176" s="23"/>
      <c r="E176" s="23"/>
      <c r="F176" s="1"/>
      <c r="G176" s="23"/>
      <c r="H176" s="23"/>
      <c r="I176" s="23"/>
      <c r="J176" s="2"/>
      <c r="M176" s="40"/>
      <c r="N176" s="40"/>
      <c r="O176" s="2"/>
      <c r="P176" s="2"/>
      <c r="Q176" s="2"/>
      <c r="S176" s="2"/>
      <c r="T176" s="2"/>
      <c r="V176" s="2"/>
      <c r="W176" s="2"/>
      <c r="Y176" s="2"/>
      <c r="Z176" s="2"/>
      <c r="AB176" s="2"/>
      <c r="AC176" s="2"/>
      <c r="AF176" s="24"/>
    </row>
    <row r="177">
      <c r="A177" s="11"/>
      <c r="B177" s="23"/>
      <c r="C177" s="23"/>
      <c r="D177" s="23"/>
      <c r="E177" s="23"/>
      <c r="F177" s="1"/>
      <c r="G177" s="23"/>
      <c r="H177" s="23"/>
      <c r="I177" s="23"/>
      <c r="J177" s="2"/>
      <c r="M177" s="40"/>
      <c r="N177" s="40"/>
      <c r="O177" s="2"/>
      <c r="P177" s="2"/>
      <c r="Q177" s="2"/>
      <c r="S177" s="2"/>
      <c r="T177" s="2"/>
      <c r="V177" s="2"/>
      <c r="W177" s="2"/>
      <c r="Y177" s="2"/>
      <c r="Z177" s="2"/>
      <c r="AB177" s="2"/>
      <c r="AC177" s="2"/>
      <c r="AF177" s="24"/>
    </row>
    <row r="178">
      <c r="A178" s="11"/>
      <c r="B178" s="23"/>
      <c r="C178" s="23"/>
      <c r="D178" s="23"/>
      <c r="E178" s="23"/>
      <c r="F178" s="1"/>
      <c r="G178" s="23"/>
      <c r="H178" s="23"/>
      <c r="I178" s="23"/>
      <c r="J178" s="2"/>
      <c r="M178" s="40"/>
      <c r="N178" s="40"/>
      <c r="O178" s="2"/>
      <c r="P178" s="2"/>
      <c r="Q178" s="2"/>
      <c r="S178" s="2"/>
      <c r="T178" s="2"/>
      <c r="V178" s="2"/>
      <c r="W178" s="2"/>
      <c r="Y178" s="2"/>
      <c r="Z178" s="2"/>
      <c r="AB178" s="2"/>
      <c r="AC178" s="2"/>
      <c r="AF178" s="24"/>
    </row>
    <row r="179">
      <c r="A179" s="11"/>
      <c r="B179" s="23"/>
      <c r="C179" s="23"/>
      <c r="D179" s="23"/>
      <c r="E179" s="23"/>
      <c r="F179" s="1"/>
      <c r="G179" s="23"/>
      <c r="H179" s="23"/>
      <c r="I179" s="23"/>
      <c r="J179" s="2"/>
      <c r="M179" s="40"/>
      <c r="N179" s="40"/>
      <c r="O179" s="2"/>
      <c r="P179" s="2"/>
      <c r="Q179" s="2"/>
      <c r="S179" s="2"/>
      <c r="T179" s="2"/>
      <c r="V179" s="2"/>
      <c r="W179" s="2"/>
      <c r="Y179" s="2"/>
      <c r="Z179" s="2"/>
      <c r="AB179" s="2"/>
      <c r="AC179" s="2"/>
      <c r="AF179" s="24"/>
    </row>
    <row r="180">
      <c r="A180" s="11"/>
      <c r="B180" s="23"/>
      <c r="C180" s="23"/>
      <c r="D180" s="23"/>
      <c r="E180" s="23"/>
      <c r="F180" s="1"/>
      <c r="G180" s="23"/>
      <c r="H180" s="23"/>
      <c r="I180" s="23"/>
      <c r="J180" s="2"/>
      <c r="M180" s="40"/>
      <c r="N180" s="40"/>
      <c r="O180" s="2"/>
      <c r="P180" s="2"/>
      <c r="Q180" s="2"/>
      <c r="S180" s="2"/>
      <c r="T180" s="2"/>
      <c r="V180" s="2"/>
      <c r="W180" s="2"/>
      <c r="Y180" s="2"/>
      <c r="Z180" s="2"/>
      <c r="AB180" s="2"/>
      <c r="AC180" s="2"/>
      <c r="AF180" s="24"/>
    </row>
    <row r="181">
      <c r="A181" s="11"/>
      <c r="B181" s="23"/>
      <c r="C181" s="23"/>
      <c r="D181" s="23"/>
      <c r="E181" s="23"/>
      <c r="F181" s="1"/>
      <c r="G181" s="23"/>
      <c r="H181" s="23"/>
      <c r="I181" s="23"/>
      <c r="J181" s="2"/>
      <c r="M181" s="40"/>
      <c r="N181" s="40"/>
      <c r="O181" s="2"/>
      <c r="P181" s="2"/>
      <c r="Q181" s="2"/>
      <c r="S181" s="2"/>
      <c r="T181" s="2"/>
      <c r="V181" s="2"/>
      <c r="W181" s="2"/>
      <c r="Y181" s="2"/>
      <c r="Z181" s="2"/>
      <c r="AB181" s="2"/>
      <c r="AC181" s="2"/>
      <c r="AF181" s="24"/>
    </row>
    <row r="182">
      <c r="A182" s="11"/>
      <c r="B182" s="23"/>
      <c r="C182" s="23"/>
      <c r="D182" s="23"/>
      <c r="E182" s="23"/>
      <c r="F182" s="1"/>
      <c r="G182" s="23"/>
      <c r="H182" s="23"/>
      <c r="I182" s="23"/>
      <c r="J182" s="2"/>
      <c r="M182" s="40"/>
      <c r="N182" s="40"/>
      <c r="O182" s="2"/>
      <c r="P182" s="2"/>
      <c r="Q182" s="2"/>
      <c r="S182" s="2"/>
      <c r="T182" s="2"/>
      <c r="V182" s="2"/>
      <c r="W182" s="2"/>
      <c r="Y182" s="2"/>
      <c r="Z182" s="2"/>
      <c r="AB182" s="2"/>
      <c r="AC182" s="2"/>
      <c r="AF182" s="24"/>
    </row>
    <row r="183">
      <c r="A183" s="11"/>
      <c r="B183" s="23"/>
      <c r="C183" s="23"/>
      <c r="D183" s="23"/>
      <c r="E183" s="23"/>
      <c r="F183" s="1"/>
      <c r="G183" s="23"/>
      <c r="H183" s="23"/>
      <c r="I183" s="23"/>
      <c r="J183" s="2"/>
      <c r="M183" s="40"/>
      <c r="N183" s="40"/>
      <c r="O183" s="2"/>
      <c r="P183" s="2"/>
      <c r="Q183" s="2"/>
      <c r="S183" s="2"/>
      <c r="T183" s="2"/>
      <c r="V183" s="2"/>
      <c r="W183" s="2"/>
      <c r="Y183" s="2"/>
      <c r="Z183" s="2"/>
      <c r="AB183" s="2"/>
      <c r="AC183" s="2"/>
      <c r="AF183" s="24"/>
    </row>
    <row r="184">
      <c r="A184" s="11"/>
      <c r="B184" s="23"/>
      <c r="C184" s="23"/>
      <c r="D184" s="23"/>
      <c r="E184" s="23"/>
      <c r="F184" s="1"/>
      <c r="G184" s="23"/>
      <c r="H184" s="23"/>
      <c r="I184" s="23"/>
      <c r="J184" s="2"/>
      <c r="M184" s="40"/>
      <c r="N184" s="40"/>
      <c r="O184" s="2"/>
      <c r="P184" s="2"/>
      <c r="Q184" s="2"/>
      <c r="S184" s="2"/>
      <c r="T184" s="2"/>
      <c r="V184" s="2"/>
      <c r="W184" s="2"/>
      <c r="Y184" s="2"/>
      <c r="Z184" s="2"/>
      <c r="AB184" s="2"/>
      <c r="AC184" s="2"/>
      <c r="AF184" s="24"/>
    </row>
    <row r="185">
      <c r="A185" s="11"/>
      <c r="B185" s="23"/>
      <c r="C185" s="23"/>
      <c r="D185" s="23"/>
      <c r="E185" s="23"/>
      <c r="F185" s="1"/>
      <c r="G185" s="23"/>
      <c r="H185" s="23"/>
      <c r="I185" s="23"/>
      <c r="J185" s="2"/>
      <c r="M185" s="40"/>
      <c r="N185" s="40"/>
      <c r="O185" s="2"/>
      <c r="P185" s="2"/>
      <c r="Q185" s="2"/>
      <c r="S185" s="2"/>
      <c r="T185" s="2"/>
      <c r="V185" s="2"/>
      <c r="W185" s="2"/>
      <c r="Y185" s="2"/>
      <c r="Z185" s="2"/>
      <c r="AB185" s="2"/>
      <c r="AC185" s="2"/>
      <c r="AF185" s="24"/>
    </row>
    <row r="186">
      <c r="A186" s="11"/>
      <c r="B186" s="23"/>
      <c r="C186" s="23"/>
      <c r="D186" s="23"/>
      <c r="E186" s="23"/>
      <c r="F186" s="1"/>
      <c r="G186" s="23"/>
      <c r="H186" s="23"/>
      <c r="I186" s="23"/>
      <c r="J186" s="2"/>
      <c r="M186" s="40"/>
      <c r="N186" s="40"/>
      <c r="O186" s="2"/>
      <c r="P186" s="2"/>
      <c r="Q186" s="2"/>
      <c r="S186" s="2"/>
      <c r="T186" s="2"/>
      <c r="V186" s="2"/>
      <c r="W186" s="2"/>
      <c r="Y186" s="2"/>
      <c r="Z186" s="2"/>
      <c r="AB186" s="2"/>
      <c r="AC186" s="2"/>
      <c r="AF186" s="24"/>
    </row>
    <row r="187">
      <c r="A187" s="11"/>
      <c r="B187" s="23"/>
      <c r="C187" s="23"/>
      <c r="D187" s="23"/>
      <c r="E187" s="23"/>
      <c r="F187" s="1"/>
      <c r="G187" s="23"/>
      <c r="H187" s="23"/>
      <c r="I187" s="23"/>
      <c r="J187" s="2"/>
      <c r="M187" s="40"/>
      <c r="N187" s="40"/>
      <c r="O187" s="2"/>
      <c r="P187" s="2"/>
      <c r="Q187" s="2"/>
      <c r="S187" s="2"/>
      <c r="T187" s="2"/>
      <c r="V187" s="2"/>
      <c r="W187" s="2"/>
      <c r="Y187" s="2"/>
      <c r="Z187" s="2"/>
      <c r="AB187" s="2"/>
      <c r="AC187" s="2"/>
      <c r="AF187" s="24"/>
    </row>
    <row r="188">
      <c r="A188" s="11"/>
      <c r="B188" s="23"/>
      <c r="C188" s="23"/>
      <c r="D188" s="23"/>
      <c r="E188" s="23"/>
      <c r="F188" s="1"/>
      <c r="G188" s="23"/>
      <c r="H188" s="23"/>
      <c r="I188" s="23"/>
      <c r="J188" s="2"/>
      <c r="M188" s="40"/>
      <c r="N188" s="40"/>
      <c r="O188" s="2"/>
      <c r="P188" s="2"/>
      <c r="Q188" s="2"/>
      <c r="S188" s="2"/>
      <c r="T188" s="2"/>
      <c r="V188" s="2"/>
      <c r="W188" s="2"/>
      <c r="Y188" s="2"/>
      <c r="Z188" s="2"/>
      <c r="AB188" s="2"/>
      <c r="AC188" s="2"/>
      <c r="AF188" s="24"/>
    </row>
    <row r="189">
      <c r="A189" s="11"/>
      <c r="B189" s="23"/>
      <c r="C189" s="23"/>
      <c r="D189" s="23"/>
      <c r="E189" s="23"/>
      <c r="F189" s="1"/>
      <c r="G189" s="23"/>
      <c r="H189" s="23"/>
      <c r="I189" s="23"/>
      <c r="J189" s="2"/>
      <c r="M189" s="40"/>
      <c r="N189" s="40"/>
      <c r="O189" s="2"/>
      <c r="P189" s="2"/>
      <c r="Q189" s="2"/>
      <c r="S189" s="2"/>
      <c r="T189" s="2"/>
      <c r="V189" s="2"/>
      <c r="W189" s="2"/>
      <c r="Y189" s="2"/>
      <c r="Z189" s="2"/>
      <c r="AB189" s="2"/>
      <c r="AC189" s="2"/>
      <c r="AF189" s="24"/>
    </row>
    <row r="190">
      <c r="A190" s="11"/>
      <c r="B190" s="23"/>
      <c r="C190" s="23"/>
      <c r="D190" s="23"/>
      <c r="E190" s="23"/>
      <c r="F190" s="1"/>
      <c r="G190" s="23"/>
      <c r="H190" s="23"/>
      <c r="I190" s="23"/>
      <c r="J190" s="2"/>
      <c r="M190" s="40"/>
      <c r="N190" s="40"/>
      <c r="O190" s="2"/>
      <c r="P190" s="2"/>
      <c r="Q190" s="2"/>
      <c r="S190" s="2"/>
      <c r="T190" s="2"/>
      <c r="V190" s="2"/>
      <c r="W190" s="2"/>
      <c r="Y190" s="2"/>
      <c r="Z190" s="2"/>
      <c r="AB190" s="2"/>
      <c r="AC190" s="2"/>
      <c r="AF190" s="24"/>
    </row>
    <row r="191">
      <c r="A191" s="11"/>
      <c r="B191" s="23"/>
      <c r="C191" s="23"/>
      <c r="D191" s="23"/>
      <c r="E191" s="23"/>
      <c r="F191" s="1"/>
      <c r="G191" s="23"/>
      <c r="H191" s="23"/>
      <c r="I191" s="23"/>
      <c r="J191" s="2"/>
      <c r="M191" s="40"/>
      <c r="N191" s="40"/>
      <c r="O191" s="2"/>
      <c r="P191" s="2"/>
      <c r="Q191" s="2"/>
      <c r="S191" s="2"/>
      <c r="T191" s="2"/>
      <c r="V191" s="2"/>
      <c r="W191" s="2"/>
      <c r="Y191" s="2"/>
      <c r="Z191" s="2"/>
      <c r="AB191" s="2"/>
      <c r="AC191" s="2"/>
      <c r="AF191" s="24"/>
    </row>
    <row r="192">
      <c r="A192" s="11"/>
      <c r="B192" s="23"/>
      <c r="C192" s="23"/>
      <c r="D192" s="23"/>
      <c r="E192" s="23"/>
      <c r="F192" s="1"/>
      <c r="G192" s="23"/>
      <c r="H192" s="23"/>
      <c r="I192" s="23"/>
      <c r="J192" s="2"/>
      <c r="M192" s="40"/>
      <c r="N192" s="40"/>
      <c r="O192" s="2"/>
      <c r="P192" s="2"/>
      <c r="Q192" s="2"/>
      <c r="S192" s="2"/>
      <c r="T192" s="2"/>
      <c r="V192" s="2"/>
      <c r="W192" s="2"/>
      <c r="Y192" s="2"/>
      <c r="Z192" s="2"/>
      <c r="AB192" s="2"/>
      <c r="AC192" s="2"/>
      <c r="AF192" s="24"/>
    </row>
    <row r="193">
      <c r="A193" s="11"/>
      <c r="B193" s="23"/>
      <c r="C193" s="23"/>
      <c r="D193" s="23"/>
      <c r="E193" s="23"/>
      <c r="F193" s="1"/>
      <c r="G193" s="23"/>
      <c r="H193" s="23"/>
      <c r="I193" s="23"/>
      <c r="J193" s="2"/>
      <c r="M193" s="40"/>
      <c r="N193" s="40"/>
      <c r="O193" s="2"/>
      <c r="P193" s="2"/>
      <c r="Q193" s="2"/>
      <c r="S193" s="2"/>
      <c r="T193" s="2"/>
      <c r="V193" s="2"/>
      <c r="W193" s="2"/>
      <c r="Y193" s="2"/>
      <c r="Z193" s="2"/>
      <c r="AB193" s="2"/>
      <c r="AC193" s="2"/>
      <c r="AF193" s="24"/>
    </row>
    <row r="194">
      <c r="A194" s="11"/>
      <c r="B194" s="23"/>
      <c r="C194" s="23"/>
      <c r="D194" s="23"/>
      <c r="E194" s="23"/>
      <c r="F194" s="1"/>
      <c r="G194" s="23"/>
      <c r="H194" s="23"/>
      <c r="I194" s="23"/>
      <c r="J194" s="2"/>
      <c r="M194" s="40"/>
      <c r="N194" s="40"/>
      <c r="O194" s="2"/>
      <c r="P194" s="2"/>
      <c r="Q194" s="2"/>
      <c r="S194" s="2"/>
      <c r="T194" s="2"/>
      <c r="V194" s="2"/>
      <c r="W194" s="2"/>
      <c r="Y194" s="2"/>
      <c r="Z194" s="2"/>
      <c r="AB194" s="2"/>
      <c r="AC194" s="2"/>
      <c r="AF194" s="24"/>
    </row>
    <row r="195">
      <c r="A195" s="11"/>
      <c r="B195" s="23"/>
      <c r="C195" s="23"/>
      <c r="D195" s="23"/>
      <c r="E195" s="23"/>
      <c r="F195" s="1"/>
      <c r="G195" s="23"/>
      <c r="H195" s="23"/>
      <c r="I195" s="23"/>
      <c r="J195" s="2"/>
      <c r="M195" s="40"/>
      <c r="N195" s="40"/>
      <c r="O195" s="2"/>
      <c r="P195" s="2"/>
      <c r="Q195" s="2"/>
      <c r="S195" s="2"/>
      <c r="T195" s="2"/>
      <c r="V195" s="2"/>
      <c r="W195" s="2"/>
      <c r="Y195" s="2"/>
      <c r="Z195" s="2"/>
      <c r="AB195" s="2"/>
      <c r="AC195" s="2"/>
      <c r="AF195" s="24"/>
    </row>
    <row r="196">
      <c r="A196" s="11"/>
      <c r="B196" s="23"/>
      <c r="C196" s="23"/>
      <c r="D196" s="23"/>
      <c r="E196" s="23"/>
      <c r="F196" s="1"/>
      <c r="G196" s="23"/>
      <c r="H196" s="23"/>
      <c r="I196" s="23"/>
      <c r="J196" s="2"/>
      <c r="M196" s="40"/>
      <c r="N196" s="40"/>
      <c r="O196" s="2"/>
      <c r="P196" s="2"/>
      <c r="Q196" s="2"/>
      <c r="S196" s="2"/>
      <c r="T196" s="2"/>
      <c r="V196" s="2"/>
      <c r="W196" s="2"/>
      <c r="Y196" s="2"/>
      <c r="Z196" s="2"/>
      <c r="AB196" s="2"/>
      <c r="AC196" s="2"/>
      <c r="AF196" s="24"/>
    </row>
    <row r="197">
      <c r="A197" s="11"/>
      <c r="B197" s="23"/>
      <c r="C197" s="23"/>
      <c r="D197" s="23"/>
      <c r="E197" s="23"/>
      <c r="F197" s="1"/>
      <c r="G197" s="23"/>
      <c r="H197" s="23"/>
      <c r="I197" s="23"/>
      <c r="J197" s="2"/>
      <c r="M197" s="40"/>
      <c r="N197" s="40"/>
      <c r="O197" s="2"/>
      <c r="P197" s="2"/>
      <c r="Q197" s="2"/>
      <c r="S197" s="2"/>
      <c r="T197" s="2"/>
      <c r="V197" s="2"/>
      <c r="W197" s="2"/>
      <c r="Y197" s="2"/>
      <c r="Z197" s="2"/>
      <c r="AB197" s="2"/>
      <c r="AC197" s="2"/>
      <c r="AF197" s="24"/>
    </row>
    <row r="198">
      <c r="A198" s="11"/>
      <c r="B198" s="23"/>
      <c r="C198" s="23"/>
      <c r="D198" s="23"/>
      <c r="E198" s="23"/>
      <c r="F198" s="1"/>
      <c r="G198" s="23"/>
      <c r="H198" s="23"/>
      <c r="I198" s="23"/>
      <c r="J198" s="2"/>
      <c r="M198" s="40"/>
      <c r="N198" s="40"/>
      <c r="O198" s="2"/>
      <c r="P198" s="2"/>
      <c r="Q198" s="2"/>
      <c r="S198" s="2"/>
      <c r="T198" s="2"/>
      <c r="V198" s="2"/>
      <c r="W198" s="2"/>
      <c r="Y198" s="2"/>
      <c r="Z198" s="2"/>
      <c r="AB198" s="2"/>
      <c r="AC198" s="2"/>
      <c r="AF198" s="24"/>
    </row>
    <row r="199">
      <c r="A199" s="11"/>
      <c r="B199" s="23"/>
      <c r="C199" s="23"/>
      <c r="D199" s="23"/>
      <c r="E199" s="23"/>
      <c r="F199" s="1"/>
      <c r="G199" s="23"/>
      <c r="H199" s="23"/>
      <c r="I199" s="23"/>
      <c r="J199" s="2"/>
      <c r="M199" s="40"/>
      <c r="N199" s="40"/>
      <c r="O199" s="2"/>
      <c r="P199" s="2"/>
      <c r="Q199" s="2"/>
      <c r="S199" s="2"/>
      <c r="T199" s="2"/>
      <c r="V199" s="2"/>
      <c r="W199" s="2"/>
      <c r="Y199" s="2"/>
      <c r="Z199" s="2"/>
      <c r="AB199" s="2"/>
      <c r="AC199" s="2"/>
      <c r="AF199" s="24"/>
    </row>
    <row r="200">
      <c r="A200" s="11"/>
      <c r="B200" s="23"/>
      <c r="C200" s="23"/>
      <c r="D200" s="23"/>
      <c r="E200" s="23"/>
      <c r="F200" s="1"/>
      <c r="G200" s="23"/>
      <c r="H200" s="23"/>
      <c r="I200" s="23"/>
      <c r="J200" s="2"/>
      <c r="M200" s="40"/>
      <c r="N200" s="40"/>
      <c r="O200" s="2"/>
      <c r="P200" s="2"/>
      <c r="Q200" s="2"/>
      <c r="S200" s="2"/>
      <c r="T200" s="2"/>
      <c r="V200" s="2"/>
      <c r="W200" s="2"/>
      <c r="Y200" s="2"/>
      <c r="Z200" s="2"/>
      <c r="AB200" s="2"/>
      <c r="AC200" s="2"/>
      <c r="AF200" s="24"/>
    </row>
    <row r="201">
      <c r="A201" s="11"/>
      <c r="B201" s="23"/>
      <c r="C201" s="23"/>
      <c r="D201" s="23"/>
      <c r="E201" s="23"/>
      <c r="F201" s="1"/>
      <c r="G201" s="23"/>
      <c r="H201" s="23"/>
      <c r="I201" s="23"/>
      <c r="J201" s="2"/>
      <c r="M201" s="40"/>
      <c r="N201" s="40"/>
      <c r="O201" s="2"/>
      <c r="P201" s="2"/>
      <c r="Q201" s="2"/>
      <c r="S201" s="2"/>
      <c r="T201" s="2"/>
      <c r="V201" s="2"/>
      <c r="W201" s="2"/>
      <c r="Y201" s="2"/>
      <c r="Z201" s="2"/>
      <c r="AB201" s="2"/>
      <c r="AC201" s="2"/>
      <c r="AF201" s="24"/>
    </row>
    <row r="202">
      <c r="A202" s="11"/>
      <c r="B202" s="23"/>
      <c r="C202" s="23"/>
      <c r="D202" s="23"/>
      <c r="E202" s="23"/>
      <c r="F202" s="1"/>
      <c r="G202" s="23"/>
      <c r="H202" s="23"/>
      <c r="I202" s="23"/>
      <c r="J202" s="2"/>
      <c r="M202" s="40"/>
      <c r="N202" s="40"/>
      <c r="O202" s="2"/>
      <c r="P202" s="2"/>
      <c r="Q202" s="2"/>
      <c r="S202" s="2"/>
      <c r="T202" s="2"/>
      <c r="V202" s="2"/>
      <c r="W202" s="2"/>
      <c r="Y202" s="2"/>
      <c r="Z202" s="2"/>
      <c r="AB202" s="2"/>
      <c r="AC202" s="2"/>
      <c r="AF202" s="24"/>
    </row>
    <row r="203">
      <c r="A203" s="11"/>
      <c r="B203" s="23"/>
      <c r="C203" s="23"/>
      <c r="D203" s="23"/>
      <c r="E203" s="23"/>
      <c r="F203" s="1"/>
      <c r="G203" s="23"/>
      <c r="H203" s="23"/>
      <c r="I203" s="23"/>
      <c r="J203" s="2"/>
      <c r="M203" s="40"/>
      <c r="N203" s="40"/>
      <c r="O203" s="2"/>
      <c r="P203" s="2"/>
      <c r="Q203" s="2"/>
      <c r="S203" s="2"/>
      <c r="T203" s="2"/>
      <c r="V203" s="2"/>
      <c r="W203" s="2"/>
      <c r="Y203" s="2"/>
      <c r="Z203" s="2"/>
      <c r="AB203" s="2"/>
      <c r="AC203" s="2"/>
      <c r="AF203" s="24"/>
    </row>
    <row r="204">
      <c r="A204" s="11"/>
      <c r="B204" s="23"/>
      <c r="C204" s="23"/>
      <c r="D204" s="23"/>
      <c r="E204" s="23"/>
      <c r="F204" s="1"/>
      <c r="G204" s="23"/>
      <c r="H204" s="23"/>
      <c r="I204" s="23"/>
      <c r="J204" s="2"/>
      <c r="M204" s="40"/>
      <c r="N204" s="40"/>
      <c r="O204" s="2"/>
      <c r="P204" s="2"/>
      <c r="Q204" s="2"/>
      <c r="S204" s="2"/>
      <c r="T204" s="2"/>
      <c r="V204" s="2"/>
      <c r="W204" s="2"/>
      <c r="Y204" s="2"/>
      <c r="Z204" s="2"/>
      <c r="AB204" s="2"/>
      <c r="AC204" s="2"/>
      <c r="AF204" s="24"/>
    </row>
    <row r="205">
      <c r="A205" s="11"/>
      <c r="B205" s="23"/>
      <c r="C205" s="23"/>
      <c r="D205" s="23"/>
      <c r="E205" s="23"/>
      <c r="F205" s="1"/>
      <c r="G205" s="23"/>
      <c r="H205" s="23"/>
      <c r="I205" s="23"/>
      <c r="J205" s="2"/>
      <c r="M205" s="40"/>
      <c r="N205" s="40"/>
      <c r="O205" s="2"/>
      <c r="P205" s="2"/>
      <c r="Q205" s="2"/>
      <c r="S205" s="2"/>
      <c r="T205" s="2"/>
      <c r="V205" s="2"/>
      <c r="W205" s="2"/>
      <c r="Y205" s="2"/>
      <c r="Z205" s="2"/>
      <c r="AB205" s="2"/>
      <c r="AC205" s="2"/>
      <c r="AF205" s="24"/>
    </row>
    <row r="206">
      <c r="A206" s="11"/>
      <c r="B206" s="23"/>
      <c r="C206" s="23"/>
      <c r="D206" s="23"/>
      <c r="E206" s="23"/>
      <c r="F206" s="1"/>
      <c r="G206" s="23"/>
      <c r="H206" s="23"/>
      <c r="I206" s="23"/>
      <c r="J206" s="2"/>
      <c r="M206" s="40"/>
      <c r="N206" s="40"/>
      <c r="O206" s="2"/>
      <c r="P206" s="2"/>
      <c r="Q206" s="2"/>
      <c r="S206" s="2"/>
      <c r="T206" s="2"/>
      <c r="V206" s="2"/>
      <c r="W206" s="2"/>
      <c r="Y206" s="2"/>
      <c r="Z206" s="2"/>
      <c r="AB206" s="2"/>
      <c r="AC206" s="2"/>
      <c r="AF206" s="24"/>
    </row>
    <row r="207">
      <c r="A207" s="11"/>
      <c r="B207" s="23"/>
      <c r="C207" s="23"/>
      <c r="D207" s="23"/>
      <c r="E207" s="23"/>
      <c r="F207" s="1"/>
      <c r="G207" s="23"/>
      <c r="H207" s="23"/>
      <c r="I207" s="23"/>
      <c r="J207" s="2"/>
      <c r="M207" s="40"/>
      <c r="N207" s="40"/>
      <c r="O207" s="2"/>
      <c r="P207" s="2"/>
      <c r="Q207" s="2"/>
      <c r="S207" s="2"/>
      <c r="T207" s="2"/>
      <c r="V207" s="2"/>
      <c r="W207" s="2"/>
      <c r="Y207" s="2"/>
      <c r="Z207" s="2"/>
      <c r="AB207" s="2"/>
      <c r="AC207" s="2"/>
      <c r="AF207" s="24"/>
    </row>
    <row r="208">
      <c r="A208" s="11"/>
      <c r="B208" s="23"/>
      <c r="C208" s="23"/>
      <c r="D208" s="23"/>
      <c r="E208" s="23"/>
      <c r="F208" s="1"/>
      <c r="G208" s="23"/>
      <c r="H208" s="23"/>
      <c r="I208" s="23"/>
      <c r="J208" s="2"/>
      <c r="M208" s="40"/>
      <c r="N208" s="40"/>
      <c r="O208" s="2"/>
      <c r="P208" s="2"/>
      <c r="Q208" s="2"/>
      <c r="S208" s="2"/>
      <c r="T208" s="2"/>
      <c r="V208" s="2"/>
      <c r="W208" s="2"/>
      <c r="Y208" s="2"/>
      <c r="Z208" s="2"/>
      <c r="AB208" s="2"/>
      <c r="AC208" s="2"/>
      <c r="AF208" s="24"/>
    </row>
    <row r="209">
      <c r="A209" s="11"/>
      <c r="B209" s="23"/>
      <c r="C209" s="23"/>
      <c r="D209" s="23"/>
      <c r="E209" s="23"/>
      <c r="F209" s="1"/>
      <c r="G209" s="23"/>
      <c r="H209" s="23"/>
      <c r="I209" s="23"/>
      <c r="J209" s="2"/>
      <c r="M209" s="40"/>
      <c r="N209" s="40"/>
      <c r="O209" s="2"/>
      <c r="P209" s="2"/>
      <c r="Q209" s="2"/>
      <c r="S209" s="2"/>
      <c r="T209" s="2"/>
      <c r="V209" s="2"/>
      <c r="W209" s="2"/>
      <c r="Y209" s="2"/>
      <c r="Z209" s="2"/>
      <c r="AB209" s="2"/>
      <c r="AC209" s="2"/>
      <c r="AF209" s="24"/>
    </row>
    <row r="210">
      <c r="A210" s="11"/>
      <c r="B210" s="23"/>
      <c r="C210" s="23"/>
      <c r="D210" s="23"/>
      <c r="E210" s="23"/>
      <c r="F210" s="1"/>
      <c r="G210" s="23"/>
      <c r="H210" s="23"/>
      <c r="I210" s="23"/>
      <c r="J210" s="2"/>
      <c r="M210" s="40"/>
      <c r="N210" s="40"/>
      <c r="O210" s="2"/>
      <c r="P210" s="2"/>
      <c r="Q210" s="2"/>
      <c r="S210" s="2"/>
      <c r="T210" s="2"/>
      <c r="V210" s="2"/>
      <c r="W210" s="2"/>
      <c r="Y210" s="2"/>
      <c r="Z210" s="2"/>
      <c r="AB210" s="2"/>
      <c r="AC210" s="2"/>
      <c r="AF210" s="24"/>
    </row>
    <row r="211">
      <c r="A211" s="11"/>
      <c r="B211" s="23"/>
      <c r="C211" s="23"/>
      <c r="D211" s="23"/>
      <c r="E211" s="23"/>
      <c r="F211" s="1"/>
      <c r="G211" s="23"/>
      <c r="H211" s="23"/>
      <c r="I211" s="23"/>
      <c r="J211" s="2"/>
      <c r="M211" s="40"/>
      <c r="N211" s="40"/>
      <c r="O211" s="2"/>
      <c r="P211" s="2"/>
      <c r="Q211" s="2"/>
      <c r="S211" s="2"/>
      <c r="T211" s="2"/>
      <c r="V211" s="2"/>
      <c r="W211" s="2"/>
      <c r="Y211" s="2"/>
      <c r="Z211" s="2"/>
      <c r="AB211" s="2"/>
      <c r="AC211" s="2"/>
      <c r="AF211" s="24"/>
    </row>
    <row r="212">
      <c r="A212" s="11"/>
      <c r="B212" s="23"/>
      <c r="C212" s="23"/>
      <c r="D212" s="23"/>
      <c r="E212" s="23"/>
      <c r="F212" s="1"/>
      <c r="G212" s="23"/>
      <c r="H212" s="23"/>
      <c r="I212" s="23"/>
      <c r="J212" s="2"/>
      <c r="M212" s="40"/>
      <c r="N212" s="40"/>
      <c r="O212" s="2"/>
      <c r="P212" s="2"/>
      <c r="Q212" s="2"/>
      <c r="S212" s="2"/>
      <c r="T212" s="2"/>
      <c r="V212" s="2"/>
      <c r="W212" s="2"/>
      <c r="Y212" s="2"/>
      <c r="Z212" s="2"/>
      <c r="AB212" s="2"/>
      <c r="AC212" s="2"/>
      <c r="AF212" s="24"/>
    </row>
    <row r="213">
      <c r="A213" s="11"/>
      <c r="B213" s="23"/>
      <c r="C213" s="23"/>
      <c r="D213" s="23"/>
      <c r="E213" s="23"/>
      <c r="F213" s="1"/>
      <c r="G213" s="23"/>
      <c r="H213" s="23"/>
      <c r="I213" s="23"/>
      <c r="J213" s="2"/>
      <c r="M213" s="40"/>
      <c r="N213" s="40"/>
      <c r="O213" s="2"/>
      <c r="P213" s="2"/>
      <c r="Q213" s="2"/>
      <c r="S213" s="2"/>
      <c r="T213" s="2"/>
      <c r="V213" s="2"/>
      <c r="W213" s="2"/>
      <c r="Y213" s="2"/>
      <c r="Z213" s="2"/>
      <c r="AB213" s="2"/>
      <c r="AC213" s="2"/>
      <c r="AF213" s="24"/>
    </row>
    <row r="214">
      <c r="A214" s="11"/>
      <c r="B214" s="23"/>
      <c r="C214" s="23"/>
      <c r="D214" s="23"/>
      <c r="E214" s="23"/>
      <c r="F214" s="1"/>
      <c r="G214" s="23"/>
      <c r="H214" s="23"/>
      <c r="I214" s="23"/>
      <c r="J214" s="2"/>
      <c r="M214" s="40"/>
      <c r="N214" s="40"/>
      <c r="O214" s="2"/>
      <c r="P214" s="2"/>
      <c r="Q214" s="2"/>
      <c r="S214" s="2"/>
      <c r="T214" s="2"/>
      <c r="V214" s="2"/>
      <c r="W214" s="2"/>
      <c r="Y214" s="2"/>
      <c r="Z214" s="2"/>
      <c r="AB214" s="2"/>
      <c r="AC214" s="2"/>
      <c r="AF214" s="24"/>
    </row>
    <row r="215">
      <c r="A215" s="11"/>
      <c r="B215" s="23"/>
      <c r="C215" s="23"/>
      <c r="D215" s="23"/>
      <c r="E215" s="23"/>
      <c r="F215" s="1"/>
      <c r="G215" s="23"/>
      <c r="H215" s="23"/>
      <c r="I215" s="23"/>
      <c r="J215" s="2"/>
      <c r="M215" s="40"/>
      <c r="N215" s="40"/>
      <c r="O215" s="2"/>
      <c r="P215" s="2"/>
      <c r="Q215" s="2"/>
      <c r="S215" s="2"/>
      <c r="T215" s="2"/>
      <c r="V215" s="2"/>
      <c r="W215" s="2"/>
      <c r="Y215" s="2"/>
      <c r="Z215" s="2"/>
      <c r="AB215" s="2"/>
      <c r="AC215" s="2"/>
      <c r="AF215" s="24"/>
    </row>
    <row r="216">
      <c r="A216" s="11"/>
      <c r="B216" s="23"/>
      <c r="C216" s="23"/>
      <c r="D216" s="23"/>
      <c r="E216" s="23"/>
      <c r="F216" s="1"/>
      <c r="G216" s="23"/>
      <c r="H216" s="23"/>
      <c r="I216" s="23"/>
      <c r="J216" s="2"/>
      <c r="M216" s="40"/>
      <c r="N216" s="40"/>
      <c r="O216" s="2"/>
      <c r="P216" s="2"/>
      <c r="Q216" s="2"/>
      <c r="S216" s="2"/>
      <c r="T216" s="2"/>
      <c r="V216" s="2"/>
      <c r="W216" s="2"/>
      <c r="Y216" s="2"/>
      <c r="Z216" s="2"/>
      <c r="AB216" s="2"/>
      <c r="AC216" s="2"/>
      <c r="AF216" s="24"/>
    </row>
    <row r="217">
      <c r="A217" s="11"/>
      <c r="B217" s="23"/>
      <c r="C217" s="23"/>
      <c r="D217" s="23"/>
      <c r="E217" s="23"/>
      <c r="F217" s="1"/>
      <c r="G217" s="23"/>
      <c r="H217" s="23"/>
      <c r="I217" s="23"/>
      <c r="J217" s="2"/>
      <c r="M217" s="40"/>
      <c r="N217" s="40"/>
      <c r="O217" s="2"/>
      <c r="P217" s="2"/>
      <c r="Q217" s="2"/>
      <c r="S217" s="2"/>
      <c r="T217" s="2"/>
      <c r="V217" s="2"/>
      <c r="W217" s="2"/>
      <c r="Y217" s="2"/>
      <c r="Z217" s="2"/>
      <c r="AB217" s="2"/>
      <c r="AC217" s="2"/>
      <c r="AF217" s="24"/>
    </row>
    <row r="218">
      <c r="A218" s="11"/>
      <c r="B218" s="23"/>
      <c r="C218" s="23"/>
      <c r="D218" s="23"/>
      <c r="E218" s="23"/>
      <c r="F218" s="1"/>
      <c r="G218" s="23"/>
      <c r="H218" s="23"/>
      <c r="I218" s="23"/>
      <c r="J218" s="2"/>
      <c r="M218" s="40"/>
      <c r="N218" s="40"/>
      <c r="O218" s="2"/>
      <c r="P218" s="2"/>
      <c r="Q218" s="2"/>
      <c r="S218" s="2"/>
      <c r="T218" s="2"/>
      <c r="V218" s="2"/>
      <c r="W218" s="2"/>
      <c r="Y218" s="2"/>
      <c r="Z218" s="2"/>
      <c r="AB218" s="2"/>
      <c r="AC218" s="2"/>
      <c r="AF218" s="24"/>
    </row>
    <row r="219">
      <c r="A219" s="11"/>
      <c r="B219" s="23"/>
      <c r="C219" s="23"/>
      <c r="D219" s="23"/>
      <c r="E219" s="23"/>
      <c r="F219" s="1"/>
      <c r="G219" s="23"/>
      <c r="H219" s="23"/>
      <c r="I219" s="23"/>
      <c r="J219" s="2"/>
      <c r="M219" s="40"/>
      <c r="N219" s="40"/>
      <c r="O219" s="2"/>
      <c r="P219" s="2"/>
      <c r="Q219" s="2"/>
      <c r="S219" s="2"/>
      <c r="T219" s="2"/>
      <c r="V219" s="2"/>
      <c r="W219" s="2"/>
      <c r="Y219" s="2"/>
      <c r="Z219" s="2"/>
      <c r="AB219" s="2"/>
      <c r="AC219" s="2"/>
      <c r="AF219" s="24"/>
    </row>
    <row r="220">
      <c r="A220" s="11"/>
      <c r="B220" s="23"/>
      <c r="C220" s="23"/>
      <c r="D220" s="23"/>
      <c r="E220" s="23"/>
      <c r="F220" s="1"/>
      <c r="G220" s="23"/>
      <c r="H220" s="23"/>
      <c r="I220" s="23"/>
      <c r="J220" s="2"/>
      <c r="M220" s="40"/>
      <c r="N220" s="40"/>
      <c r="O220" s="2"/>
      <c r="P220" s="2"/>
      <c r="Q220" s="2"/>
      <c r="S220" s="2"/>
      <c r="T220" s="2"/>
      <c r="V220" s="2"/>
      <c r="W220" s="2"/>
      <c r="Y220" s="2"/>
      <c r="Z220" s="2"/>
      <c r="AB220" s="2"/>
      <c r="AC220" s="2"/>
      <c r="AF220" s="24"/>
    </row>
    <row r="221">
      <c r="A221" s="11"/>
      <c r="B221" s="23"/>
      <c r="C221" s="23"/>
      <c r="D221" s="23"/>
      <c r="E221" s="23"/>
      <c r="F221" s="1"/>
      <c r="G221" s="23"/>
      <c r="H221" s="23"/>
      <c r="I221" s="23"/>
      <c r="J221" s="2"/>
      <c r="M221" s="40"/>
      <c r="N221" s="40"/>
      <c r="O221" s="2"/>
      <c r="P221" s="2"/>
      <c r="Q221" s="2"/>
      <c r="S221" s="2"/>
      <c r="T221" s="2"/>
      <c r="V221" s="2"/>
      <c r="W221" s="2"/>
      <c r="Y221" s="2"/>
      <c r="Z221" s="2"/>
      <c r="AB221" s="2"/>
      <c r="AC221" s="2"/>
      <c r="AF221" s="24"/>
    </row>
    <row r="222">
      <c r="A222" s="11"/>
      <c r="B222" s="23"/>
      <c r="C222" s="23"/>
      <c r="D222" s="23"/>
      <c r="E222" s="23"/>
      <c r="F222" s="1"/>
      <c r="G222" s="23"/>
      <c r="H222" s="23"/>
      <c r="I222" s="23"/>
      <c r="J222" s="2"/>
      <c r="M222" s="40"/>
      <c r="N222" s="40"/>
      <c r="O222" s="2"/>
      <c r="P222" s="2"/>
      <c r="Q222" s="2"/>
      <c r="S222" s="2"/>
      <c r="T222" s="2"/>
      <c r="V222" s="2"/>
      <c r="W222" s="2"/>
      <c r="Y222" s="2"/>
      <c r="Z222" s="2"/>
      <c r="AB222" s="2"/>
      <c r="AC222" s="2"/>
      <c r="AF222" s="24"/>
    </row>
    <row r="223">
      <c r="A223" s="11"/>
      <c r="B223" s="23"/>
      <c r="C223" s="23"/>
      <c r="D223" s="23"/>
      <c r="E223" s="23"/>
      <c r="F223" s="1"/>
      <c r="G223" s="23"/>
      <c r="H223" s="23"/>
      <c r="I223" s="23"/>
      <c r="J223" s="2"/>
      <c r="M223" s="40"/>
      <c r="N223" s="40"/>
      <c r="O223" s="2"/>
      <c r="P223" s="2"/>
      <c r="Q223" s="2"/>
      <c r="S223" s="2"/>
      <c r="T223" s="2"/>
      <c r="V223" s="2"/>
      <c r="W223" s="2"/>
      <c r="Y223" s="2"/>
      <c r="Z223" s="2"/>
      <c r="AB223" s="2"/>
      <c r="AC223" s="2"/>
      <c r="AF223" s="24"/>
    </row>
    <row r="224">
      <c r="A224" s="11"/>
      <c r="B224" s="23"/>
      <c r="C224" s="23"/>
      <c r="D224" s="23"/>
      <c r="E224" s="23"/>
      <c r="F224" s="1"/>
      <c r="G224" s="23"/>
      <c r="H224" s="23"/>
      <c r="I224" s="23"/>
      <c r="J224" s="2"/>
      <c r="M224" s="40"/>
      <c r="N224" s="40"/>
      <c r="O224" s="2"/>
      <c r="P224" s="2"/>
      <c r="Q224" s="2"/>
      <c r="S224" s="2"/>
      <c r="T224" s="2"/>
      <c r="V224" s="2"/>
      <c r="W224" s="2"/>
      <c r="Y224" s="2"/>
      <c r="Z224" s="2"/>
      <c r="AB224" s="2"/>
      <c r="AC224" s="2"/>
      <c r="AF224" s="24"/>
    </row>
    <row r="225">
      <c r="A225" s="11"/>
      <c r="B225" s="23"/>
      <c r="C225" s="23"/>
      <c r="D225" s="23"/>
      <c r="E225" s="23"/>
      <c r="F225" s="1"/>
      <c r="G225" s="23"/>
      <c r="H225" s="23"/>
      <c r="I225" s="23"/>
      <c r="J225" s="2"/>
      <c r="M225" s="40"/>
      <c r="N225" s="40"/>
      <c r="O225" s="2"/>
      <c r="P225" s="2"/>
      <c r="Q225" s="2"/>
      <c r="S225" s="2"/>
      <c r="T225" s="2"/>
      <c r="V225" s="2"/>
      <c r="W225" s="2"/>
      <c r="Y225" s="2"/>
      <c r="Z225" s="2"/>
      <c r="AB225" s="2"/>
      <c r="AC225" s="2"/>
      <c r="AF225" s="24"/>
    </row>
    <row r="226">
      <c r="A226" s="11"/>
      <c r="B226" s="23"/>
      <c r="C226" s="23"/>
      <c r="D226" s="23"/>
      <c r="E226" s="23"/>
      <c r="F226" s="1"/>
      <c r="G226" s="23"/>
      <c r="H226" s="23"/>
      <c r="I226" s="23"/>
      <c r="J226" s="2"/>
      <c r="M226" s="40"/>
      <c r="N226" s="40"/>
      <c r="O226" s="2"/>
      <c r="P226" s="2"/>
      <c r="Q226" s="2"/>
      <c r="S226" s="2"/>
      <c r="T226" s="2"/>
      <c r="V226" s="2"/>
      <c r="W226" s="2"/>
      <c r="Y226" s="2"/>
      <c r="Z226" s="2"/>
      <c r="AB226" s="2"/>
      <c r="AC226" s="2"/>
      <c r="AF226" s="24"/>
    </row>
    <row r="227">
      <c r="A227" s="11"/>
      <c r="B227" s="23"/>
      <c r="C227" s="23"/>
      <c r="D227" s="23"/>
      <c r="E227" s="23"/>
      <c r="F227" s="1"/>
      <c r="G227" s="23"/>
      <c r="H227" s="23"/>
      <c r="I227" s="23"/>
      <c r="J227" s="2"/>
      <c r="M227" s="40"/>
      <c r="N227" s="40"/>
      <c r="O227" s="2"/>
      <c r="P227" s="2"/>
      <c r="Q227" s="2"/>
      <c r="S227" s="2"/>
      <c r="T227" s="2"/>
      <c r="V227" s="2"/>
      <c r="W227" s="2"/>
      <c r="Y227" s="2"/>
      <c r="Z227" s="2"/>
      <c r="AB227" s="2"/>
      <c r="AC227" s="2"/>
      <c r="AF227" s="24"/>
    </row>
    <row r="228">
      <c r="A228" s="11"/>
      <c r="B228" s="23"/>
      <c r="C228" s="23"/>
      <c r="D228" s="23"/>
      <c r="E228" s="23"/>
      <c r="F228" s="1"/>
      <c r="G228" s="23"/>
      <c r="H228" s="23"/>
      <c r="I228" s="23"/>
      <c r="J228" s="2"/>
      <c r="M228" s="40"/>
      <c r="N228" s="40"/>
      <c r="O228" s="2"/>
      <c r="P228" s="2"/>
      <c r="Q228" s="2"/>
      <c r="S228" s="2"/>
      <c r="T228" s="2"/>
      <c r="V228" s="2"/>
      <c r="W228" s="2"/>
      <c r="Y228" s="2"/>
      <c r="Z228" s="2"/>
      <c r="AB228" s="2"/>
      <c r="AC228" s="2"/>
      <c r="AF228" s="24"/>
    </row>
    <row r="229">
      <c r="A229" s="11"/>
      <c r="B229" s="23"/>
      <c r="C229" s="23"/>
      <c r="D229" s="23"/>
      <c r="E229" s="23"/>
      <c r="F229" s="1"/>
      <c r="G229" s="23"/>
      <c r="H229" s="23"/>
      <c r="I229" s="23"/>
      <c r="J229" s="2"/>
      <c r="M229" s="40"/>
      <c r="N229" s="40"/>
      <c r="O229" s="2"/>
      <c r="P229" s="2"/>
      <c r="Q229" s="2"/>
      <c r="S229" s="2"/>
      <c r="T229" s="2"/>
      <c r="V229" s="2"/>
      <c r="W229" s="2"/>
      <c r="Y229" s="2"/>
      <c r="Z229" s="2"/>
      <c r="AB229" s="2"/>
      <c r="AC229" s="2"/>
      <c r="AF229" s="24"/>
    </row>
    <row r="230">
      <c r="A230" s="11"/>
      <c r="B230" s="23"/>
      <c r="C230" s="23"/>
      <c r="D230" s="23"/>
      <c r="E230" s="23"/>
      <c r="F230" s="1"/>
      <c r="G230" s="23"/>
      <c r="H230" s="23"/>
      <c r="I230" s="23"/>
      <c r="J230" s="2"/>
      <c r="M230" s="40"/>
      <c r="N230" s="40"/>
      <c r="O230" s="2"/>
      <c r="P230" s="2"/>
      <c r="Q230" s="2"/>
      <c r="S230" s="2"/>
      <c r="T230" s="2"/>
      <c r="V230" s="2"/>
      <c r="W230" s="2"/>
      <c r="Y230" s="2"/>
      <c r="Z230" s="2"/>
      <c r="AB230" s="2"/>
      <c r="AC230" s="2"/>
      <c r="AF230" s="24"/>
    </row>
    <row r="231">
      <c r="A231" s="11"/>
      <c r="B231" s="23"/>
      <c r="C231" s="23"/>
      <c r="D231" s="23"/>
      <c r="E231" s="23"/>
      <c r="F231" s="1"/>
      <c r="G231" s="23"/>
      <c r="H231" s="23"/>
      <c r="I231" s="23"/>
      <c r="J231" s="2"/>
      <c r="M231" s="40"/>
      <c r="N231" s="40"/>
      <c r="O231" s="2"/>
      <c r="P231" s="2"/>
      <c r="Q231" s="2"/>
      <c r="S231" s="2"/>
      <c r="T231" s="2"/>
      <c r="V231" s="2"/>
      <c r="W231" s="2"/>
      <c r="Y231" s="2"/>
      <c r="Z231" s="2"/>
      <c r="AB231" s="2"/>
      <c r="AC231" s="2"/>
      <c r="AF231" s="24"/>
    </row>
    <row r="232">
      <c r="A232" s="11"/>
      <c r="B232" s="23"/>
      <c r="C232" s="23"/>
      <c r="D232" s="23"/>
      <c r="E232" s="23"/>
      <c r="F232" s="1"/>
      <c r="G232" s="23"/>
      <c r="H232" s="23"/>
      <c r="I232" s="23"/>
      <c r="J232" s="2"/>
      <c r="M232" s="40"/>
      <c r="N232" s="40"/>
      <c r="O232" s="2"/>
      <c r="P232" s="2"/>
      <c r="Q232" s="2"/>
      <c r="S232" s="2"/>
      <c r="T232" s="2"/>
      <c r="V232" s="2"/>
      <c r="W232" s="2"/>
      <c r="Y232" s="2"/>
      <c r="Z232" s="2"/>
      <c r="AB232" s="2"/>
      <c r="AC232" s="2"/>
      <c r="AF232" s="24"/>
    </row>
    <row r="233">
      <c r="A233" s="11"/>
      <c r="B233" s="23"/>
      <c r="C233" s="23"/>
      <c r="D233" s="23"/>
      <c r="E233" s="23"/>
      <c r="F233" s="1"/>
      <c r="G233" s="23"/>
      <c r="H233" s="23"/>
      <c r="I233" s="23"/>
      <c r="J233" s="2"/>
      <c r="M233" s="40"/>
      <c r="N233" s="40"/>
      <c r="O233" s="2"/>
      <c r="P233" s="2"/>
      <c r="Q233" s="2"/>
      <c r="S233" s="2"/>
      <c r="T233" s="2"/>
      <c r="V233" s="2"/>
      <c r="W233" s="2"/>
      <c r="Y233" s="2"/>
      <c r="Z233" s="2"/>
      <c r="AB233" s="2"/>
      <c r="AC233" s="2"/>
      <c r="AF233" s="24"/>
    </row>
    <row r="234">
      <c r="A234" s="11"/>
      <c r="B234" s="23"/>
      <c r="C234" s="23"/>
      <c r="D234" s="23"/>
      <c r="E234" s="23"/>
      <c r="F234" s="1"/>
      <c r="G234" s="23"/>
      <c r="H234" s="23"/>
      <c r="I234" s="23"/>
      <c r="J234" s="2"/>
      <c r="M234" s="40"/>
      <c r="N234" s="40"/>
      <c r="O234" s="2"/>
      <c r="P234" s="2"/>
      <c r="Q234" s="2"/>
      <c r="S234" s="2"/>
      <c r="T234" s="2"/>
      <c r="V234" s="2"/>
      <c r="W234" s="2"/>
      <c r="Y234" s="2"/>
      <c r="Z234" s="2"/>
      <c r="AB234" s="2"/>
      <c r="AC234" s="2"/>
      <c r="AF234" s="24"/>
    </row>
    <row r="235">
      <c r="A235" s="11"/>
      <c r="B235" s="23"/>
      <c r="C235" s="23"/>
      <c r="D235" s="23"/>
      <c r="E235" s="23"/>
      <c r="F235" s="1"/>
      <c r="G235" s="23"/>
      <c r="H235" s="23"/>
      <c r="I235" s="23"/>
      <c r="J235" s="2"/>
      <c r="M235" s="40"/>
      <c r="N235" s="40"/>
      <c r="O235" s="2"/>
      <c r="P235" s="2"/>
      <c r="Q235" s="2"/>
      <c r="S235" s="2"/>
      <c r="T235" s="2"/>
      <c r="V235" s="2"/>
      <c r="W235" s="2"/>
      <c r="Y235" s="2"/>
      <c r="Z235" s="2"/>
      <c r="AB235" s="2"/>
      <c r="AC235" s="2"/>
      <c r="AF235" s="24"/>
    </row>
    <row r="236">
      <c r="A236" s="11"/>
      <c r="B236" s="23"/>
      <c r="C236" s="23"/>
      <c r="D236" s="23"/>
      <c r="E236" s="23"/>
      <c r="F236" s="1"/>
      <c r="G236" s="23"/>
      <c r="H236" s="23"/>
      <c r="I236" s="23"/>
      <c r="J236" s="2"/>
      <c r="M236" s="40"/>
      <c r="N236" s="40"/>
      <c r="O236" s="2"/>
      <c r="P236" s="2"/>
      <c r="Q236" s="2"/>
      <c r="S236" s="2"/>
      <c r="T236" s="2"/>
      <c r="V236" s="2"/>
      <c r="W236" s="2"/>
      <c r="Y236" s="2"/>
      <c r="Z236" s="2"/>
      <c r="AB236" s="2"/>
      <c r="AC236" s="2"/>
      <c r="AF236" s="24"/>
    </row>
    <row r="237">
      <c r="A237" s="11"/>
      <c r="B237" s="23"/>
      <c r="C237" s="23"/>
      <c r="D237" s="23"/>
      <c r="E237" s="23"/>
      <c r="F237" s="1"/>
      <c r="G237" s="23"/>
      <c r="H237" s="23"/>
      <c r="I237" s="23"/>
      <c r="J237" s="2"/>
      <c r="M237" s="40"/>
      <c r="N237" s="40"/>
      <c r="O237" s="2"/>
      <c r="P237" s="2"/>
      <c r="Q237" s="2"/>
      <c r="S237" s="2"/>
      <c r="T237" s="2"/>
      <c r="V237" s="2"/>
      <c r="W237" s="2"/>
      <c r="Y237" s="2"/>
      <c r="Z237" s="2"/>
      <c r="AB237" s="2"/>
      <c r="AC237" s="2"/>
      <c r="AF237" s="24"/>
    </row>
    <row r="238">
      <c r="A238" s="11"/>
      <c r="B238" s="23"/>
      <c r="C238" s="23"/>
      <c r="D238" s="23"/>
      <c r="E238" s="23"/>
      <c r="F238" s="1"/>
      <c r="G238" s="23"/>
      <c r="H238" s="23"/>
      <c r="I238" s="23"/>
      <c r="J238" s="2"/>
      <c r="M238" s="40"/>
      <c r="N238" s="40"/>
      <c r="O238" s="2"/>
      <c r="P238" s="2"/>
      <c r="Q238" s="2"/>
      <c r="S238" s="2"/>
      <c r="T238" s="2"/>
      <c r="V238" s="2"/>
      <c r="W238" s="2"/>
      <c r="Y238" s="2"/>
      <c r="Z238" s="2"/>
      <c r="AB238" s="2"/>
      <c r="AC238" s="2"/>
      <c r="AF238" s="24"/>
    </row>
    <row r="239">
      <c r="A239" s="11"/>
      <c r="B239" s="23"/>
      <c r="C239" s="23"/>
      <c r="D239" s="23"/>
      <c r="E239" s="23"/>
      <c r="F239" s="1"/>
      <c r="G239" s="23"/>
      <c r="H239" s="23"/>
      <c r="I239" s="23"/>
      <c r="J239" s="2"/>
      <c r="M239" s="40"/>
      <c r="N239" s="40"/>
      <c r="O239" s="2"/>
      <c r="P239" s="2"/>
      <c r="Q239" s="2"/>
      <c r="S239" s="2"/>
      <c r="T239" s="2"/>
      <c r="V239" s="2"/>
      <c r="W239" s="2"/>
      <c r="Y239" s="2"/>
      <c r="Z239" s="2"/>
      <c r="AB239" s="2"/>
      <c r="AC239" s="2"/>
      <c r="AF239" s="24"/>
    </row>
    <row r="240">
      <c r="A240" s="11"/>
      <c r="B240" s="23"/>
      <c r="C240" s="23"/>
      <c r="D240" s="23"/>
      <c r="E240" s="23"/>
      <c r="F240" s="1"/>
      <c r="G240" s="23"/>
      <c r="H240" s="23"/>
      <c r="I240" s="23"/>
      <c r="J240" s="2"/>
      <c r="M240" s="40"/>
      <c r="N240" s="40"/>
      <c r="O240" s="2"/>
      <c r="P240" s="2"/>
      <c r="Q240" s="2"/>
      <c r="S240" s="2"/>
      <c r="T240" s="2"/>
      <c r="V240" s="2"/>
      <c r="W240" s="2"/>
      <c r="Y240" s="2"/>
      <c r="Z240" s="2"/>
      <c r="AB240" s="2"/>
      <c r="AC240" s="2"/>
      <c r="AF240" s="24"/>
    </row>
    <row r="241">
      <c r="A241" s="11"/>
      <c r="B241" s="23"/>
      <c r="C241" s="23"/>
      <c r="D241" s="23"/>
      <c r="E241" s="23"/>
      <c r="F241" s="1"/>
      <c r="G241" s="23"/>
      <c r="H241" s="23"/>
      <c r="I241" s="23"/>
      <c r="J241" s="2"/>
      <c r="M241" s="40"/>
      <c r="N241" s="40"/>
      <c r="O241" s="2"/>
      <c r="P241" s="2"/>
      <c r="Q241" s="2"/>
      <c r="S241" s="2"/>
      <c r="T241" s="2"/>
      <c r="V241" s="2"/>
      <c r="W241" s="2"/>
      <c r="Y241" s="2"/>
      <c r="Z241" s="2"/>
      <c r="AB241" s="2"/>
      <c r="AC241" s="2"/>
      <c r="AF241" s="24"/>
    </row>
    <row r="242">
      <c r="A242" s="11"/>
      <c r="B242" s="23"/>
      <c r="C242" s="23"/>
      <c r="D242" s="23"/>
      <c r="E242" s="23"/>
      <c r="F242" s="1"/>
      <c r="G242" s="23"/>
      <c r="H242" s="23"/>
      <c r="I242" s="23"/>
      <c r="J242" s="2"/>
      <c r="M242" s="40"/>
      <c r="N242" s="40"/>
      <c r="O242" s="2"/>
      <c r="P242" s="2"/>
      <c r="Q242" s="2"/>
      <c r="S242" s="2"/>
      <c r="T242" s="2"/>
      <c r="V242" s="2"/>
      <c r="W242" s="2"/>
      <c r="Y242" s="2"/>
      <c r="Z242" s="2"/>
      <c r="AB242" s="2"/>
      <c r="AC242" s="2"/>
      <c r="AF242" s="24"/>
    </row>
    <row r="243">
      <c r="A243" s="11"/>
      <c r="B243" s="23"/>
      <c r="C243" s="23"/>
      <c r="D243" s="23"/>
      <c r="E243" s="23"/>
      <c r="F243" s="1"/>
      <c r="G243" s="23"/>
      <c r="H243" s="23"/>
      <c r="I243" s="23"/>
      <c r="J243" s="2"/>
      <c r="M243" s="40"/>
      <c r="N243" s="40"/>
      <c r="O243" s="2"/>
      <c r="P243" s="2"/>
      <c r="Q243" s="2"/>
      <c r="S243" s="2"/>
      <c r="T243" s="2"/>
      <c r="V243" s="2"/>
      <c r="W243" s="2"/>
      <c r="Y243" s="2"/>
      <c r="Z243" s="2"/>
      <c r="AB243" s="2"/>
      <c r="AC243" s="2"/>
      <c r="AF243" s="24"/>
    </row>
    <row r="244">
      <c r="A244" s="11"/>
      <c r="B244" s="23"/>
      <c r="C244" s="23"/>
      <c r="D244" s="23"/>
      <c r="E244" s="23"/>
      <c r="F244" s="1"/>
      <c r="G244" s="23"/>
      <c r="H244" s="23"/>
      <c r="I244" s="23"/>
      <c r="J244" s="2"/>
      <c r="M244" s="40"/>
      <c r="N244" s="40"/>
      <c r="O244" s="2"/>
      <c r="P244" s="2"/>
      <c r="Q244" s="2"/>
      <c r="S244" s="2"/>
      <c r="T244" s="2"/>
      <c r="V244" s="2"/>
      <c r="W244" s="2"/>
      <c r="Y244" s="2"/>
      <c r="Z244" s="2"/>
      <c r="AB244" s="2"/>
      <c r="AC244" s="2"/>
      <c r="AF244" s="24"/>
    </row>
    <row r="245">
      <c r="A245" s="11"/>
      <c r="B245" s="23"/>
      <c r="C245" s="23"/>
      <c r="D245" s="23"/>
      <c r="E245" s="23"/>
      <c r="F245" s="1"/>
      <c r="G245" s="23"/>
      <c r="H245" s="23"/>
      <c r="I245" s="23"/>
      <c r="J245" s="2"/>
      <c r="M245" s="40"/>
      <c r="N245" s="40"/>
      <c r="O245" s="2"/>
      <c r="P245" s="2"/>
      <c r="Q245" s="2"/>
      <c r="S245" s="2"/>
      <c r="T245" s="2"/>
      <c r="V245" s="2"/>
      <c r="W245" s="2"/>
      <c r="Y245" s="2"/>
      <c r="Z245" s="2"/>
      <c r="AB245" s="2"/>
      <c r="AC245" s="2"/>
      <c r="AF245" s="24"/>
    </row>
    <row r="246">
      <c r="A246" s="11"/>
      <c r="B246" s="23"/>
      <c r="C246" s="23"/>
      <c r="D246" s="23"/>
      <c r="E246" s="23"/>
      <c r="F246" s="1"/>
      <c r="G246" s="23"/>
      <c r="H246" s="23"/>
      <c r="I246" s="23"/>
      <c r="J246" s="2"/>
      <c r="M246" s="40"/>
      <c r="N246" s="40"/>
      <c r="O246" s="2"/>
      <c r="P246" s="2"/>
      <c r="Q246" s="2"/>
      <c r="S246" s="2"/>
      <c r="T246" s="2"/>
      <c r="V246" s="2"/>
      <c r="W246" s="2"/>
      <c r="Y246" s="2"/>
      <c r="Z246" s="2"/>
      <c r="AB246" s="2"/>
      <c r="AC246" s="2"/>
      <c r="AF246" s="24"/>
    </row>
    <row r="247">
      <c r="A247" s="11"/>
      <c r="B247" s="23"/>
      <c r="C247" s="23"/>
      <c r="D247" s="23"/>
      <c r="E247" s="23"/>
      <c r="F247" s="1"/>
      <c r="G247" s="23"/>
      <c r="H247" s="23"/>
      <c r="I247" s="23"/>
      <c r="J247" s="2"/>
      <c r="M247" s="40"/>
      <c r="N247" s="40"/>
      <c r="O247" s="2"/>
      <c r="P247" s="2"/>
      <c r="Q247" s="2"/>
      <c r="S247" s="2"/>
      <c r="T247" s="2"/>
      <c r="V247" s="2"/>
      <c r="W247" s="2"/>
      <c r="Y247" s="2"/>
      <c r="Z247" s="2"/>
      <c r="AB247" s="2"/>
      <c r="AC247" s="2"/>
      <c r="AF247" s="24"/>
    </row>
    <row r="248">
      <c r="A248" s="11"/>
      <c r="B248" s="23"/>
      <c r="C248" s="23"/>
      <c r="D248" s="23"/>
      <c r="E248" s="23"/>
      <c r="F248" s="1"/>
      <c r="G248" s="23"/>
      <c r="H248" s="23"/>
      <c r="I248" s="23"/>
      <c r="J248" s="2"/>
      <c r="M248" s="40"/>
      <c r="N248" s="40"/>
      <c r="O248" s="2"/>
      <c r="P248" s="2"/>
      <c r="Q248" s="2"/>
      <c r="S248" s="2"/>
      <c r="T248" s="2"/>
      <c r="V248" s="2"/>
      <c r="W248" s="2"/>
      <c r="Y248" s="2"/>
      <c r="Z248" s="2"/>
      <c r="AB248" s="2"/>
      <c r="AC248" s="2"/>
      <c r="AF248" s="24"/>
    </row>
    <row r="249">
      <c r="A249" s="11"/>
      <c r="B249" s="23"/>
      <c r="C249" s="23"/>
      <c r="D249" s="23"/>
      <c r="E249" s="23"/>
      <c r="F249" s="1"/>
      <c r="G249" s="23"/>
      <c r="H249" s="23"/>
      <c r="I249" s="23"/>
      <c r="J249" s="2"/>
      <c r="M249" s="40"/>
      <c r="N249" s="40"/>
      <c r="O249" s="2"/>
      <c r="P249" s="2"/>
      <c r="Q249" s="2"/>
      <c r="S249" s="2"/>
      <c r="T249" s="2"/>
      <c r="V249" s="2"/>
      <c r="W249" s="2"/>
      <c r="Y249" s="2"/>
      <c r="Z249" s="2"/>
      <c r="AB249" s="2"/>
      <c r="AC249" s="2"/>
      <c r="AF249" s="24"/>
    </row>
    <row r="250">
      <c r="A250" s="11"/>
      <c r="B250" s="23"/>
      <c r="C250" s="23"/>
      <c r="D250" s="23"/>
      <c r="E250" s="23"/>
      <c r="F250" s="1"/>
      <c r="G250" s="23"/>
      <c r="H250" s="23"/>
      <c r="I250" s="23"/>
      <c r="J250" s="2"/>
      <c r="M250" s="40"/>
      <c r="N250" s="40"/>
      <c r="O250" s="2"/>
      <c r="P250" s="2"/>
      <c r="Q250" s="2"/>
      <c r="S250" s="2"/>
      <c r="T250" s="2"/>
      <c r="V250" s="2"/>
      <c r="W250" s="2"/>
      <c r="Y250" s="2"/>
      <c r="Z250" s="2"/>
      <c r="AB250" s="2"/>
      <c r="AC250" s="2"/>
      <c r="AF250" s="24"/>
    </row>
    <row r="251">
      <c r="A251" s="11"/>
      <c r="B251" s="23"/>
      <c r="C251" s="23"/>
      <c r="D251" s="23"/>
      <c r="E251" s="23"/>
      <c r="F251" s="1"/>
      <c r="G251" s="23"/>
      <c r="H251" s="23"/>
      <c r="I251" s="23"/>
      <c r="J251" s="2"/>
      <c r="M251" s="40"/>
      <c r="N251" s="40"/>
      <c r="O251" s="2"/>
      <c r="P251" s="2"/>
      <c r="Q251" s="2"/>
      <c r="S251" s="2"/>
      <c r="T251" s="2"/>
      <c r="V251" s="2"/>
      <c r="W251" s="2"/>
      <c r="Y251" s="2"/>
      <c r="Z251" s="2"/>
      <c r="AB251" s="2"/>
      <c r="AC251" s="2"/>
      <c r="AF251" s="24"/>
    </row>
    <row r="252">
      <c r="A252" s="11"/>
      <c r="B252" s="23"/>
      <c r="C252" s="23"/>
      <c r="D252" s="23"/>
      <c r="E252" s="23"/>
      <c r="F252" s="1"/>
      <c r="G252" s="23"/>
      <c r="H252" s="23"/>
      <c r="I252" s="23"/>
      <c r="J252" s="2"/>
      <c r="M252" s="40"/>
      <c r="N252" s="40"/>
      <c r="O252" s="2"/>
      <c r="P252" s="2"/>
      <c r="Q252" s="2"/>
      <c r="S252" s="2"/>
      <c r="T252" s="2"/>
      <c r="V252" s="2"/>
      <c r="W252" s="2"/>
      <c r="Y252" s="2"/>
      <c r="Z252" s="2"/>
      <c r="AB252" s="2"/>
      <c r="AC252" s="2"/>
      <c r="AF252" s="24"/>
    </row>
    <row r="253">
      <c r="A253" s="11"/>
      <c r="B253" s="23"/>
      <c r="C253" s="23"/>
      <c r="D253" s="23"/>
      <c r="E253" s="23"/>
      <c r="F253" s="1"/>
      <c r="G253" s="23"/>
      <c r="H253" s="23"/>
      <c r="I253" s="23"/>
      <c r="J253" s="2"/>
      <c r="M253" s="40"/>
      <c r="N253" s="40"/>
      <c r="O253" s="2"/>
      <c r="P253" s="2"/>
      <c r="Q253" s="2"/>
      <c r="S253" s="2"/>
      <c r="T253" s="2"/>
      <c r="V253" s="2"/>
      <c r="W253" s="2"/>
      <c r="Y253" s="2"/>
      <c r="Z253" s="2"/>
      <c r="AB253" s="2"/>
      <c r="AC253" s="2"/>
      <c r="AF253" s="24"/>
    </row>
    <row r="254">
      <c r="A254" s="11"/>
      <c r="B254" s="23"/>
      <c r="C254" s="23"/>
      <c r="D254" s="23"/>
      <c r="E254" s="23"/>
      <c r="F254" s="1"/>
      <c r="G254" s="23"/>
      <c r="H254" s="23"/>
      <c r="I254" s="23"/>
      <c r="J254" s="2"/>
      <c r="M254" s="40"/>
      <c r="N254" s="40"/>
      <c r="O254" s="2"/>
      <c r="P254" s="2"/>
      <c r="Q254" s="2"/>
      <c r="S254" s="2"/>
      <c r="T254" s="2"/>
      <c r="V254" s="2"/>
      <c r="W254" s="2"/>
      <c r="Y254" s="2"/>
      <c r="Z254" s="2"/>
      <c r="AB254" s="2"/>
      <c r="AC254" s="2"/>
      <c r="AF254" s="24"/>
    </row>
    <row r="255">
      <c r="A255" s="11"/>
      <c r="B255" s="23"/>
      <c r="C255" s="23"/>
      <c r="D255" s="23"/>
      <c r="E255" s="23"/>
      <c r="F255" s="1"/>
      <c r="G255" s="23"/>
      <c r="H255" s="23"/>
      <c r="I255" s="23"/>
      <c r="J255" s="2"/>
      <c r="M255" s="40"/>
      <c r="N255" s="40"/>
      <c r="O255" s="2"/>
      <c r="P255" s="2"/>
      <c r="Q255" s="2"/>
      <c r="S255" s="2"/>
      <c r="T255" s="2"/>
      <c r="V255" s="2"/>
      <c r="W255" s="2"/>
      <c r="Y255" s="2"/>
      <c r="Z255" s="2"/>
      <c r="AB255" s="2"/>
      <c r="AC255" s="2"/>
      <c r="AF255" s="24"/>
    </row>
    <row r="256">
      <c r="A256" s="11"/>
      <c r="B256" s="23"/>
      <c r="C256" s="23"/>
      <c r="D256" s="23"/>
      <c r="E256" s="23"/>
      <c r="F256" s="1"/>
      <c r="G256" s="23"/>
      <c r="H256" s="23"/>
      <c r="I256" s="23"/>
      <c r="J256" s="2"/>
      <c r="M256" s="40"/>
      <c r="N256" s="40"/>
      <c r="O256" s="2"/>
      <c r="P256" s="2"/>
      <c r="Q256" s="2"/>
      <c r="S256" s="2"/>
      <c r="T256" s="2"/>
      <c r="V256" s="2"/>
      <c r="W256" s="2"/>
      <c r="Y256" s="2"/>
      <c r="Z256" s="2"/>
      <c r="AB256" s="2"/>
      <c r="AC256" s="2"/>
      <c r="AF256" s="24"/>
    </row>
    <row r="257">
      <c r="A257" s="11"/>
      <c r="B257" s="23"/>
      <c r="C257" s="23"/>
      <c r="D257" s="23"/>
      <c r="E257" s="23"/>
      <c r="F257" s="1"/>
      <c r="G257" s="23"/>
      <c r="H257" s="23"/>
      <c r="I257" s="23"/>
      <c r="J257" s="2"/>
      <c r="M257" s="40"/>
      <c r="N257" s="40"/>
      <c r="O257" s="2"/>
      <c r="P257" s="2"/>
      <c r="Q257" s="2"/>
      <c r="S257" s="2"/>
      <c r="T257" s="2"/>
      <c r="V257" s="2"/>
      <c r="W257" s="2"/>
      <c r="Y257" s="2"/>
      <c r="Z257" s="2"/>
      <c r="AB257" s="2"/>
      <c r="AC257" s="2"/>
      <c r="AF257" s="24"/>
    </row>
    <row r="258">
      <c r="A258" s="11"/>
      <c r="B258" s="23"/>
      <c r="C258" s="23"/>
      <c r="D258" s="23"/>
      <c r="E258" s="23"/>
      <c r="F258" s="1"/>
      <c r="G258" s="23"/>
      <c r="H258" s="23"/>
      <c r="I258" s="23"/>
      <c r="J258" s="2"/>
      <c r="M258" s="40"/>
      <c r="N258" s="40"/>
      <c r="O258" s="2"/>
      <c r="P258" s="2"/>
      <c r="Q258" s="2"/>
      <c r="S258" s="2"/>
      <c r="T258" s="2"/>
      <c r="V258" s="2"/>
      <c r="W258" s="2"/>
      <c r="Y258" s="2"/>
      <c r="Z258" s="2"/>
      <c r="AB258" s="2"/>
      <c r="AC258" s="2"/>
      <c r="AF258" s="24"/>
    </row>
    <row r="259">
      <c r="A259" s="11"/>
      <c r="B259" s="23"/>
      <c r="C259" s="23"/>
      <c r="D259" s="23"/>
      <c r="E259" s="23"/>
      <c r="F259" s="1"/>
      <c r="G259" s="23"/>
      <c r="H259" s="23"/>
      <c r="I259" s="23"/>
      <c r="J259" s="2"/>
      <c r="M259" s="40"/>
      <c r="N259" s="40"/>
      <c r="O259" s="2"/>
      <c r="P259" s="2"/>
      <c r="Q259" s="2"/>
      <c r="S259" s="2"/>
      <c r="T259" s="2"/>
      <c r="V259" s="2"/>
      <c r="W259" s="2"/>
      <c r="Y259" s="2"/>
      <c r="Z259" s="2"/>
      <c r="AB259" s="2"/>
      <c r="AC259" s="2"/>
      <c r="AF259" s="24"/>
    </row>
    <row r="260">
      <c r="A260" s="11"/>
      <c r="B260" s="23"/>
      <c r="C260" s="23"/>
      <c r="D260" s="23"/>
      <c r="E260" s="23"/>
      <c r="F260" s="1"/>
      <c r="G260" s="23"/>
      <c r="H260" s="23"/>
      <c r="I260" s="23"/>
      <c r="J260" s="2"/>
      <c r="M260" s="40"/>
      <c r="N260" s="40"/>
      <c r="O260" s="2"/>
      <c r="P260" s="2"/>
      <c r="Q260" s="2"/>
      <c r="S260" s="2"/>
      <c r="T260" s="2"/>
      <c r="V260" s="2"/>
      <c r="W260" s="2"/>
      <c r="Y260" s="2"/>
      <c r="Z260" s="2"/>
      <c r="AB260" s="2"/>
      <c r="AC260" s="2"/>
      <c r="AF260" s="24"/>
    </row>
    <row r="261">
      <c r="A261" s="11"/>
      <c r="B261" s="23"/>
      <c r="C261" s="23"/>
      <c r="D261" s="23"/>
      <c r="E261" s="23"/>
      <c r="F261" s="1"/>
      <c r="G261" s="23"/>
      <c r="H261" s="23"/>
      <c r="I261" s="23"/>
      <c r="J261" s="2"/>
      <c r="M261" s="40"/>
      <c r="N261" s="40"/>
      <c r="O261" s="2"/>
      <c r="P261" s="2"/>
      <c r="Q261" s="2"/>
      <c r="S261" s="2"/>
      <c r="T261" s="2"/>
      <c r="V261" s="2"/>
      <c r="W261" s="2"/>
      <c r="Y261" s="2"/>
      <c r="Z261" s="2"/>
      <c r="AB261" s="2"/>
      <c r="AC261" s="2"/>
      <c r="AF261" s="24"/>
    </row>
    <row r="262">
      <c r="A262" s="11"/>
      <c r="B262" s="23"/>
      <c r="C262" s="23"/>
      <c r="D262" s="23"/>
      <c r="E262" s="23"/>
      <c r="F262" s="1"/>
      <c r="G262" s="23"/>
      <c r="H262" s="23"/>
      <c r="I262" s="23"/>
      <c r="J262" s="2"/>
      <c r="M262" s="40"/>
      <c r="N262" s="40"/>
      <c r="O262" s="2"/>
      <c r="P262" s="2"/>
      <c r="Q262" s="2"/>
      <c r="S262" s="2"/>
      <c r="T262" s="2"/>
      <c r="V262" s="2"/>
      <c r="W262" s="2"/>
      <c r="Y262" s="2"/>
      <c r="Z262" s="2"/>
      <c r="AB262" s="2"/>
      <c r="AC262" s="2"/>
      <c r="AF262" s="24"/>
    </row>
    <row r="263">
      <c r="A263" s="11"/>
      <c r="B263" s="23"/>
      <c r="C263" s="23"/>
      <c r="D263" s="23"/>
      <c r="E263" s="23"/>
      <c r="F263" s="1"/>
      <c r="G263" s="23"/>
      <c r="H263" s="23"/>
      <c r="I263" s="23"/>
      <c r="J263" s="2"/>
      <c r="M263" s="40"/>
      <c r="N263" s="40"/>
      <c r="O263" s="2"/>
      <c r="P263" s="2"/>
      <c r="Q263" s="2"/>
      <c r="S263" s="2"/>
      <c r="T263" s="2"/>
      <c r="V263" s="2"/>
      <c r="W263" s="2"/>
      <c r="Y263" s="2"/>
      <c r="Z263" s="2"/>
      <c r="AB263" s="2"/>
      <c r="AC263" s="2"/>
      <c r="AF263" s="24"/>
    </row>
    <row r="264">
      <c r="A264" s="11"/>
      <c r="B264" s="23"/>
      <c r="C264" s="23"/>
      <c r="D264" s="23"/>
      <c r="E264" s="23"/>
      <c r="F264" s="1"/>
      <c r="G264" s="23"/>
      <c r="H264" s="23"/>
      <c r="I264" s="23"/>
      <c r="J264" s="2"/>
      <c r="M264" s="40"/>
      <c r="N264" s="40"/>
      <c r="O264" s="2"/>
      <c r="P264" s="2"/>
      <c r="Q264" s="2"/>
      <c r="S264" s="2"/>
      <c r="T264" s="2"/>
      <c r="V264" s="2"/>
      <c r="W264" s="2"/>
      <c r="Y264" s="2"/>
      <c r="Z264" s="2"/>
      <c r="AB264" s="2"/>
      <c r="AC264" s="2"/>
      <c r="AF264" s="24"/>
    </row>
    <row r="265">
      <c r="A265" s="11"/>
      <c r="B265" s="23"/>
      <c r="C265" s="23"/>
      <c r="D265" s="23"/>
      <c r="E265" s="23"/>
      <c r="F265" s="1"/>
      <c r="G265" s="23"/>
      <c r="H265" s="23"/>
      <c r="I265" s="23"/>
      <c r="J265" s="2"/>
      <c r="M265" s="40"/>
      <c r="N265" s="40"/>
      <c r="O265" s="2"/>
      <c r="P265" s="2"/>
      <c r="Q265" s="2"/>
      <c r="S265" s="2"/>
      <c r="T265" s="2"/>
      <c r="V265" s="2"/>
      <c r="W265" s="2"/>
      <c r="Y265" s="2"/>
      <c r="Z265" s="2"/>
      <c r="AB265" s="2"/>
      <c r="AC265" s="2"/>
      <c r="AF265" s="24"/>
    </row>
    <row r="266">
      <c r="A266" s="11"/>
      <c r="B266" s="23"/>
      <c r="C266" s="23"/>
      <c r="D266" s="23"/>
      <c r="E266" s="23"/>
      <c r="F266" s="1"/>
      <c r="G266" s="23"/>
      <c r="H266" s="23"/>
      <c r="I266" s="23"/>
      <c r="J266" s="2"/>
      <c r="M266" s="40"/>
      <c r="N266" s="40"/>
      <c r="O266" s="2"/>
      <c r="P266" s="2"/>
      <c r="Q266" s="2"/>
      <c r="S266" s="2"/>
      <c r="T266" s="2"/>
      <c r="V266" s="2"/>
      <c r="W266" s="2"/>
      <c r="Y266" s="2"/>
      <c r="Z266" s="2"/>
      <c r="AB266" s="2"/>
      <c r="AC266" s="2"/>
      <c r="AF266" s="24"/>
    </row>
    <row r="267">
      <c r="A267" s="11"/>
      <c r="B267" s="23"/>
      <c r="C267" s="23"/>
      <c r="D267" s="23"/>
      <c r="E267" s="23"/>
      <c r="F267" s="1"/>
      <c r="G267" s="23"/>
      <c r="H267" s="23"/>
      <c r="I267" s="23"/>
      <c r="J267" s="2"/>
      <c r="M267" s="40"/>
      <c r="N267" s="40"/>
      <c r="O267" s="2"/>
      <c r="P267" s="2"/>
      <c r="Q267" s="2"/>
      <c r="S267" s="2"/>
      <c r="T267" s="2"/>
      <c r="V267" s="2"/>
      <c r="W267" s="2"/>
      <c r="Y267" s="2"/>
      <c r="Z267" s="2"/>
      <c r="AB267" s="2"/>
      <c r="AC267" s="2"/>
      <c r="AF267" s="24"/>
    </row>
    <row r="268">
      <c r="A268" s="11"/>
      <c r="B268" s="23"/>
      <c r="C268" s="23"/>
      <c r="D268" s="23"/>
      <c r="E268" s="23"/>
      <c r="F268" s="1"/>
      <c r="G268" s="23"/>
      <c r="H268" s="23"/>
      <c r="I268" s="23"/>
      <c r="J268" s="2"/>
      <c r="M268" s="40"/>
      <c r="N268" s="40"/>
      <c r="O268" s="2"/>
      <c r="P268" s="2"/>
      <c r="Q268" s="2"/>
      <c r="S268" s="2"/>
      <c r="T268" s="2"/>
      <c r="V268" s="2"/>
      <c r="W268" s="2"/>
      <c r="Y268" s="2"/>
      <c r="Z268" s="2"/>
      <c r="AB268" s="2"/>
      <c r="AC268" s="2"/>
      <c r="AF268" s="24"/>
    </row>
    <row r="269">
      <c r="A269" s="11"/>
      <c r="B269" s="23"/>
      <c r="C269" s="23"/>
      <c r="D269" s="23"/>
      <c r="E269" s="23"/>
      <c r="F269" s="1"/>
      <c r="G269" s="23"/>
      <c r="H269" s="23"/>
      <c r="I269" s="23"/>
      <c r="J269" s="2"/>
      <c r="M269" s="40"/>
      <c r="N269" s="40"/>
      <c r="O269" s="2"/>
      <c r="P269" s="2"/>
      <c r="Q269" s="2"/>
      <c r="S269" s="2"/>
      <c r="T269" s="2"/>
      <c r="V269" s="2"/>
      <c r="W269" s="2"/>
      <c r="Y269" s="2"/>
      <c r="Z269" s="2"/>
      <c r="AB269" s="2"/>
      <c r="AC269" s="2"/>
      <c r="AF269" s="24"/>
    </row>
    <row r="270">
      <c r="A270" s="11"/>
      <c r="B270" s="23"/>
      <c r="C270" s="23"/>
      <c r="D270" s="23"/>
      <c r="E270" s="23"/>
      <c r="F270" s="1"/>
      <c r="G270" s="23"/>
      <c r="H270" s="23"/>
      <c r="I270" s="23"/>
      <c r="J270" s="2"/>
      <c r="M270" s="40"/>
      <c r="N270" s="40"/>
      <c r="O270" s="2"/>
      <c r="P270" s="2"/>
      <c r="Q270" s="2"/>
      <c r="S270" s="2"/>
      <c r="T270" s="2"/>
      <c r="V270" s="2"/>
      <c r="W270" s="2"/>
      <c r="Y270" s="2"/>
      <c r="Z270" s="2"/>
      <c r="AB270" s="2"/>
      <c r="AC270" s="2"/>
      <c r="AF270" s="24"/>
    </row>
    <row r="271">
      <c r="A271" s="11"/>
      <c r="B271" s="23"/>
      <c r="C271" s="23"/>
      <c r="D271" s="23"/>
      <c r="E271" s="23"/>
      <c r="F271" s="1"/>
      <c r="G271" s="23"/>
      <c r="H271" s="23"/>
      <c r="I271" s="23"/>
      <c r="J271" s="2"/>
      <c r="M271" s="40"/>
      <c r="N271" s="40"/>
      <c r="O271" s="2"/>
      <c r="P271" s="2"/>
      <c r="Q271" s="2"/>
      <c r="S271" s="2"/>
      <c r="T271" s="2"/>
      <c r="V271" s="2"/>
      <c r="W271" s="2"/>
      <c r="Y271" s="2"/>
      <c r="Z271" s="2"/>
      <c r="AB271" s="2"/>
      <c r="AC271" s="2"/>
      <c r="AF271" s="24"/>
    </row>
    <row r="272">
      <c r="A272" s="11"/>
      <c r="B272" s="23"/>
      <c r="C272" s="23"/>
      <c r="D272" s="23"/>
      <c r="E272" s="23"/>
      <c r="F272" s="1"/>
      <c r="G272" s="23"/>
      <c r="H272" s="23"/>
      <c r="I272" s="23"/>
      <c r="J272" s="2"/>
      <c r="M272" s="40"/>
      <c r="N272" s="40"/>
      <c r="O272" s="2"/>
      <c r="P272" s="2"/>
      <c r="Q272" s="2"/>
      <c r="S272" s="2"/>
      <c r="T272" s="2"/>
      <c r="V272" s="2"/>
      <c r="W272" s="2"/>
      <c r="Y272" s="2"/>
      <c r="Z272" s="2"/>
      <c r="AB272" s="2"/>
      <c r="AC272" s="2"/>
      <c r="AF272" s="24"/>
    </row>
    <row r="273">
      <c r="A273" s="11"/>
      <c r="B273" s="23"/>
      <c r="C273" s="23"/>
      <c r="D273" s="23"/>
      <c r="E273" s="23"/>
      <c r="F273" s="1"/>
      <c r="G273" s="23"/>
      <c r="H273" s="23"/>
      <c r="I273" s="23"/>
      <c r="J273" s="2"/>
      <c r="M273" s="40"/>
      <c r="N273" s="40"/>
      <c r="O273" s="2"/>
      <c r="P273" s="2"/>
      <c r="Q273" s="2"/>
      <c r="S273" s="2"/>
      <c r="T273" s="2"/>
      <c r="V273" s="2"/>
      <c r="W273" s="2"/>
      <c r="Y273" s="2"/>
      <c r="Z273" s="2"/>
      <c r="AB273" s="2"/>
      <c r="AC273" s="2"/>
      <c r="AF273" s="24"/>
    </row>
    <row r="274">
      <c r="A274" s="11"/>
      <c r="B274" s="23"/>
      <c r="C274" s="23"/>
      <c r="D274" s="23"/>
      <c r="E274" s="23"/>
      <c r="F274" s="1"/>
      <c r="G274" s="23"/>
      <c r="H274" s="23"/>
      <c r="I274" s="23"/>
      <c r="J274" s="2"/>
      <c r="M274" s="40"/>
      <c r="N274" s="40"/>
      <c r="O274" s="2"/>
      <c r="P274" s="2"/>
      <c r="Q274" s="2"/>
      <c r="S274" s="2"/>
      <c r="T274" s="2"/>
      <c r="V274" s="2"/>
      <c r="W274" s="2"/>
      <c r="Y274" s="2"/>
      <c r="Z274" s="2"/>
      <c r="AB274" s="2"/>
      <c r="AC274" s="2"/>
      <c r="AF274" s="24"/>
    </row>
    <row r="275">
      <c r="A275" s="11"/>
      <c r="B275" s="23"/>
      <c r="C275" s="23"/>
      <c r="D275" s="23"/>
      <c r="E275" s="23"/>
      <c r="F275" s="1"/>
      <c r="G275" s="23"/>
      <c r="H275" s="23"/>
      <c r="I275" s="23"/>
      <c r="J275" s="2"/>
      <c r="M275" s="40"/>
      <c r="N275" s="40"/>
      <c r="O275" s="2"/>
      <c r="P275" s="2"/>
      <c r="Q275" s="2"/>
      <c r="S275" s="2"/>
      <c r="T275" s="2"/>
      <c r="V275" s="2"/>
      <c r="W275" s="2"/>
      <c r="Y275" s="2"/>
      <c r="Z275" s="2"/>
      <c r="AB275" s="2"/>
      <c r="AC275" s="2"/>
      <c r="AF275" s="24"/>
    </row>
    <row r="276">
      <c r="A276" s="11"/>
      <c r="B276" s="23"/>
      <c r="C276" s="23"/>
      <c r="D276" s="23"/>
      <c r="E276" s="23"/>
      <c r="F276" s="1"/>
      <c r="G276" s="23"/>
      <c r="H276" s="23"/>
      <c r="I276" s="23"/>
      <c r="J276" s="2"/>
      <c r="M276" s="40"/>
      <c r="N276" s="40"/>
      <c r="O276" s="2"/>
      <c r="P276" s="2"/>
      <c r="Q276" s="2"/>
      <c r="S276" s="2"/>
      <c r="T276" s="2"/>
      <c r="V276" s="2"/>
      <c r="W276" s="2"/>
      <c r="Y276" s="2"/>
      <c r="Z276" s="2"/>
      <c r="AB276" s="2"/>
      <c r="AC276" s="2"/>
      <c r="AF276" s="24"/>
    </row>
    <row r="277">
      <c r="A277" s="11"/>
      <c r="B277" s="23"/>
      <c r="C277" s="23"/>
      <c r="D277" s="23"/>
      <c r="E277" s="23"/>
      <c r="F277" s="1"/>
      <c r="G277" s="23"/>
      <c r="H277" s="23"/>
      <c r="I277" s="23"/>
      <c r="J277" s="2"/>
      <c r="M277" s="40"/>
      <c r="N277" s="40"/>
      <c r="O277" s="2"/>
      <c r="P277" s="2"/>
      <c r="Q277" s="2"/>
      <c r="S277" s="2"/>
      <c r="T277" s="2"/>
      <c r="V277" s="2"/>
      <c r="W277" s="2"/>
      <c r="Y277" s="2"/>
      <c r="Z277" s="2"/>
      <c r="AB277" s="2"/>
      <c r="AC277" s="2"/>
      <c r="AF277" s="24"/>
    </row>
    <row r="278">
      <c r="A278" s="11"/>
      <c r="B278" s="23"/>
      <c r="C278" s="23"/>
      <c r="D278" s="23"/>
      <c r="E278" s="23"/>
      <c r="F278" s="1"/>
      <c r="G278" s="23"/>
      <c r="H278" s="23"/>
      <c r="I278" s="23"/>
      <c r="J278" s="2"/>
      <c r="M278" s="40"/>
      <c r="N278" s="40"/>
      <c r="O278" s="2"/>
      <c r="P278" s="2"/>
      <c r="Q278" s="2"/>
      <c r="S278" s="2"/>
      <c r="T278" s="2"/>
      <c r="V278" s="2"/>
      <c r="W278" s="2"/>
      <c r="Y278" s="2"/>
      <c r="Z278" s="2"/>
      <c r="AB278" s="2"/>
      <c r="AC278" s="2"/>
      <c r="AF278" s="24"/>
    </row>
    <row r="279">
      <c r="A279" s="11"/>
      <c r="B279" s="23"/>
      <c r="C279" s="23"/>
      <c r="D279" s="23"/>
      <c r="E279" s="23"/>
      <c r="F279" s="1"/>
      <c r="G279" s="23"/>
      <c r="H279" s="23"/>
      <c r="I279" s="23"/>
      <c r="J279" s="2"/>
      <c r="M279" s="40"/>
      <c r="N279" s="40"/>
      <c r="O279" s="2"/>
      <c r="P279" s="2"/>
      <c r="Q279" s="2"/>
      <c r="S279" s="2"/>
      <c r="T279" s="2"/>
      <c r="V279" s="2"/>
      <c r="W279" s="2"/>
      <c r="Y279" s="2"/>
      <c r="Z279" s="2"/>
      <c r="AB279" s="2"/>
      <c r="AC279" s="2"/>
      <c r="AF279" s="24"/>
    </row>
    <row r="280">
      <c r="A280" s="11"/>
      <c r="B280" s="23"/>
      <c r="C280" s="23"/>
      <c r="D280" s="23"/>
      <c r="E280" s="23"/>
      <c r="F280" s="1"/>
      <c r="G280" s="23"/>
      <c r="H280" s="23"/>
      <c r="I280" s="23"/>
      <c r="J280" s="2"/>
      <c r="M280" s="40"/>
      <c r="N280" s="40"/>
      <c r="O280" s="2"/>
      <c r="P280" s="2"/>
      <c r="Q280" s="2"/>
      <c r="S280" s="2"/>
      <c r="T280" s="2"/>
      <c r="V280" s="2"/>
      <c r="W280" s="2"/>
      <c r="Y280" s="2"/>
      <c r="Z280" s="2"/>
      <c r="AB280" s="2"/>
      <c r="AC280" s="2"/>
      <c r="AF280" s="24"/>
    </row>
    <row r="281">
      <c r="A281" s="11"/>
      <c r="B281" s="23"/>
      <c r="C281" s="23"/>
      <c r="D281" s="23"/>
      <c r="E281" s="23"/>
      <c r="F281" s="1"/>
      <c r="G281" s="23"/>
      <c r="H281" s="23"/>
      <c r="I281" s="23"/>
      <c r="J281" s="2"/>
      <c r="M281" s="40"/>
      <c r="N281" s="40"/>
      <c r="O281" s="2"/>
      <c r="P281" s="2"/>
      <c r="Q281" s="2"/>
      <c r="S281" s="2"/>
      <c r="T281" s="2"/>
      <c r="V281" s="2"/>
      <c r="W281" s="2"/>
      <c r="Y281" s="2"/>
      <c r="Z281" s="2"/>
      <c r="AB281" s="2"/>
      <c r="AC281" s="2"/>
      <c r="AF281" s="24"/>
    </row>
    <row r="282">
      <c r="A282" s="11"/>
      <c r="B282" s="23"/>
      <c r="C282" s="23"/>
      <c r="D282" s="23"/>
      <c r="E282" s="23"/>
      <c r="F282" s="1"/>
      <c r="G282" s="23"/>
      <c r="H282" s="23"/>
      <c r="I282" s="23"/>
      <c r="J282" s="2"/>
      <c r="M282" s="40"/>
      <c r="N282" s="40"/>
      <c r="O282" s="2"/>
      <c r="P282" s="2"/>
      <c r="Q282" s="2"/>
      <c r="S282" s="2"/>
      <c r="T282" s="2"/>
      <c r="V282" s="2"/>
      <c r="W282" s="2"/>
      <c r="Y282" s="2"/>
      <c r="Z282" s="2"/>
      <c r="AB282" s="2"/>
      <c r="AC282" s="2"/>
      <c r="AF282" s="24"/>
    </row>
    <row r="283">
      <c r="A283" s="11"/>
      <c r="B283" s="23"/>
      <c r="C283" s="23"/>
      <c r="D283" s="23"/>
      <c r="E283" s="23"/>
      <c r="F283" s="1"/>
      <c r="G283" s="23"/>
      <c r="H283" s="23"/>
      <c r="I283" s="23"/>
      <c r="J283" s="2"/>
      <c r="M283" s="40"/>
      <c r="N283" s="40"/>
      <c r="O283" s="2"/>
      <c r="P283" s="2"/>
      <c r="Q283" s="2"/>
      <c r="S283" s="2"/>
      <c r="T283" s="2"/>
      <c r="V283" s="2"/>
      <c r="W283" s="2"/>
      <c r="Y283" s="2"/>
      <c r="Z283" s="2"/>
      <c r="AB283" s="2"/>
      <c r="AC283" s="2"/>
      <c r="AF283" s="24"/>
    </row>
    <row r="284">
      <c r="A284" s="11"/>
      <c r="B284" s="23"/>
      <c r="C284" s="23"/>
      <c r="D284" s="23"/>
      <c r="E284" s="23"/>
      <c r="F284" s="1"/>
      <c r="G284" s="23"/>
      <c r="H284" s="23"/>
      <c r="I284" s="23"/>
      <c r="J284" s="2"/>
      <c r="M284" s="40"/>
      <c r="N284" s="40"/>
      <c r="O284" s="2"/>
      <c r="P284" s="2"/>
      <c r="Q284" s="2"/>
      <c r="S284" s="2"/>
      <c r="T284" s="2"/>
      <c r="V284" s="2"/>
      <c r="W284" s="2"/>
      <c r="Y284" s="2"/>
      <c r="Z284" s="2"/>
      <c r="AB284" s="2"/>
      <c r="AC284" s="2"/>
      <c r="AF284" s="24"/>
    </row>
    <row r="285">
      <c r="A285" s="11"/>
      <c r="B285" s="23"/>
      <c r="C285" s="23"/>
      <c r="D285" s="23"/>
      <c r="E285" s="23"/>
      <c r="F285" s="1"/>
      <c r="G285" s="23"/>
      <c r="H285" s="23"/>
      <c r="I285" s="23"/>
      <c r="J285" s="2"/>
      <c r="M285" s="40"/>
      <c r="N285" s="40"/>
      <c r="O285" s="2"/>
      <c r="P285" s="2"/>
      <c r="Q285" s="2"/>
      <c r="S285" s="2"/>
      <c r="T285" s="2"/>
      <c r="V285" s="2"/>
      <c r="W285" s="2"/>
      <c r="Y285" s="2"/>
      <c r="Z285" s="2"/>
      <c r="AB285" s="2"/>
      <c r="AC285" s="2"/>
      <c r="AF285" s="24"/>
    </row>
    <row r="286">
      <c r="A286" s="11"/>
      <c r="B286" s="23"/>
      <c r="C286" s="23"/>
      <c r="D286" s="23"/>
      <c r="E286" s="23"/>
      <c r="F286" s="1"/>
      <c r="G286" s="23"/>
      <c r="H286" s="23"/>
      <c r="I286" s="23"/>
      <c r="J286" s="2"/>
      <c r="M286" s="40"/>
      <c r="N286" s="40"/>
      <c r="O286" s="2"/>
      <c r="P286" s="2"/>
      <c r="Q286" s="2"/>
      <c r="S286" s="2"/>
      <c r="T286" s="2"/>
      <c r="V286" s="2"/>
      <c r="W286" s="2"/>
      <c r="Y286" s="2"/>
      <c r="Z286" s="2"/>
      <c r="AB286" s="2"/>
      <c r="AC286" s="2"/>
      <c r="AF286" s="24"/>
    </row>
    <row r="287">
      <c r="A287" s="11"/>
      <c r="B287" s="23"/>
      <c r="C287" s="23"/>
      <c r="D287" s="23"/>
      <c r="E287" s="23"/>
      <c r="F287" s="1"/>
      <c r="G287" s="23"/>
      <c r="H287" s="23"/>
      <c r="I287" s="23"/>
      <c r="J287" s="2"/>
      <c r="M287" s="40"/>
      <c r="N287" s="40"/>
      <c r="O287" s="2"/>
      <c r="P287" s="2"/>
      <c r="Q287" s="2"/>
      <c r="S287" s="2"/>
      <c r="T287" s="2"/>
      <c r="V287" s="2"/>
      <c r="W287" s="2"/>
      <c r="Y287" s="2"/>
      <c r="Z287" s="2"/>
      <c r="AB287" s="2"/>
      <c r="AC287" s="2"/>
      <c r="AF287" s="24"/>
    </row>
    <row r="288">
      <c r="A288" s="11"/>
      <c r="B288" s="23"/>
      <c r="C288" s="23"/>
      <c r="D288" s="23"/>
      <c r="E288" s="23"/>
      <c r="F288" s="1"/>
      <c r="G288" s="23"/>
      <c r="H288" s="23"/>
      <c r="I288" s="23"/>
      <c r="J288" s="2"/>
      <c r="M288" s="40"/>
      <c r="N288" s="40"/>
      <c r="O288" s="2"/>
      <c r="P288" s="2"/>
      <c r="Q288" s="2"/>
      <c r="S288" s="2"/>
      <c r="T288" s="2"/>
      <c r="V288" s="2"/>
      <c r="W288" s="2"/>
      <c r="Y288" s="2"/>
      <c r="Z288" s="2"/>
      <c r="AB288" s="2"/>
      <c r="AC288" s="2"/>
      <c r="AF288" s="24"/>
    </row>
    <row r="289">
      <c r="A289" s="11"/>
      <c r="B289" s="23"/>
      <c r="C289" s="23"/>
      <c r="D289" s="23"/>
      <c r="E289" s="23"/>
      <c r="F289" s="1"/>
      <c r="G289" s="23"/>
      <c r="H289" s="23"/>
      <c r="I289" s="23"/>
      <c r="J289" s="2"/>
      <c r="M289" s="40"/>
      <c r="N289" s="40"/>
      <c r="O289" s="2"/>
      <c r="P289" s="2"/>
      <c r="Q289" s="2"/>
      <c r="S289" s="2"/>
      <c r="T289" s="2"/>
      <c r="V289" s="2"/>
      <c r="W289" s="2"/>
      <c r="Y289" s="2"/>
      <c r="Z289" s="2"/>
      <c r="AB289" s="2"/>
      <c r="AC289" s="2"/>
      <c r="AF289" s="24"/>
    </row>
    <row r="290">
      <c r="A290" s="11"/>
      <c r="B290" s="23"/>
      <c r="C290" s="23"/>
      <c r="D290" s="23"/>
      <c r="E290" s="23"/>
      <c r="F290" s="1"/>
      <c r="G290" s="23"/>
      <c r="H290" s="23"/>
      <c r="I290" s="23"/>
      <c r="J290" s="2"/>
      <c r="M290" s="40"/>
      <c r="N290" s="40"/>
      <c r="O290" s="2"/>
      <c r="P290" s="2"/>
      <c r="Q290" s="2"/>
      <c r="S290" s="2"/>
      <c r="T290" s="2"/>
      <c r="V290" s="2"/>
      <c r="W290" s="2"/>
      <c r="Y290" s="2"/>
      <c r="Z290" s="2"/>
      <c r="AB290" s="2"/>
      <c r="AC290" s="2"/>
      <c r="AF290" s="24"/>
    </row>
    <row r="291">
      <c r="A291" s="11"/>
      <c r="B291" s="23"/>
      <c r="C291" s="23"/>
      <c r="D291" s="23"/>
      <c r="E291" s="23"/>
      <c r="F291" s="1"/>
      <c r="G291" s="23"/>
      <c r="H291" s="23"/>
      <c r="I291" s="23"/>
      <c r="J291" s="2"/>
      <c r="M291" s="40"/>
      <c r="N291" s="40"/>
      <c r="O291" s="2"/>
      <c r="P291" s="2"/>
      <c r="Q291" s="2"/>
      <c r="S291" s="2"/>
      <c r="T291" s="2"/>
      <c r="V291" s="2"/>
      <c r="W291" s="2"/>
      <c r="Y291" s="2"/>
      <c r="Z291" s="2"/>
      <c r="AB291" s="2"/>
      <c r="AC291" s="2"/>
      <c r="AF291" s="24"/>
    </row>
    <row r="292">
      <c r="A292" s="11"/>
      <c r="B292" s="23"/>
      <c r="C292" s="23"/>
      <c r="D292" s="23"/>
      <c r="E292" s="23"/>
      <c r="F292" s="1"/>
      <c r="G292" s="23"/>
      <c r="H292" s="23"/>
      <c r="I292" s="23"/>
      <c r="J292" s="2"/>
      <c r="M292" s="40"/>
      <c r="N292" s="40"/>
      <c r="O292" s="2"/>
      <c r="P292" s="2"/>
      <c r="Q292" s="2"/>
      <c r="S292" s="2"/>
      <c r="T292" s="2"/>
      <c r="V292" s="2"/>
      <c r="W292" s="2"/>
      <c r="Y292" s="2"/>
      <c r="Z292" s="2"/>
      <c r="AB292" s="2"/>
      <c r="AC292" s="2"/>
      <c r="AF292" s="24"/>
    </row>
    <row r="293">
      <c r="A293" s="11"/>
      <c r="B293" s="23"/>
      <c r="C293" s="23"/>
      <c r="D293" s="23"/>
      <c r="E293" s="23"/>
      <c r="F293" s="1"/>
      <c r="G293" s="23"/>
      <c r="H293" s="23"/>
      <c r="I293" s="23"/>
      <c r="J293" s="2"/>
      <c r="M293" s="40"/>
      <c r="N293" s="40"/>
      <c r="O293" s="2"/>
      <c r="P293" s="2"/>
      <c r="Q293" s="2"/>
      <c r="S293" s="2"/>
      <c r="T293" s="2"/>
      <c r="V293" s="2"/>
      <c r="W293" s="2"/>
      <c r="Y293" s="2"/>
      <c r="Z293" s="2"/>
      <c r="AB293" s="2"/>
      <c r="AC293" s="2"/>
      <c r="AF293" s="24"/>
    </row>
    <row r="294">
      <c r="A294" s="11"/>
      <c r="B294" s="23"/>
      <c r="C294" s="23"/>
      <c r="D294" s="23"/>
      <c r="E294" s="23"/>
      <c r="F294" s="1"/>
      <c r="G294" s="23"/>
      <c r="H294" s="23"/>
      <c r="I294" s="23"/>
      <c r="J294" s="2"/>
      <c r="M294" s="40"/>
      <c r="N294" s="40"/>
      <c r="O294" s="2"/>
      <c r="P294" s="2"/>
      <c r="Q294" s="2"/>
      <c r="S294" s="2"/>
      <c r="T294" s="2"/>
      <c r="V294" s="2"/>
      <c r="W294" s="2"/>
      <c r="Y294" s="2"/>
      <c r="Z294" s="2"/>
      <c r="AB294" s="2"/>
      <c r="AC294" s="2"/>
      <c r="AF294" s="24"/>
    </row>
    <row r="295">
      <c r="A295" s="11"/>
      <c r="B295" s="23"/>
      <c r="C295" s="23"/>
      <c r="D295" s="23"/>
      <c r="E295" s="23"/>
      <c r="F295" s="1"/>
      <c r="G295" s="23"/>
      <c r="H295" s="23"/>
      <c r="I295" s="23"/>
      <c r="J295" s="2"/>
      <c r="M295" s="40"/>
      <c r="N295" s="40"/>
      <c r="O295" s="2"/>
      <c r="P295" s="2"/>
      <c r="Q295" s="2"/>
      <c r="S295" s="2"/>
      <c r="T295" s="2"/>
      <c r="V295" s="2"/>
      <c r="W295" s="2"/>
      <c r="Y295" s="2"/>
      <c r="Z295" s="2"/>
      <c r="AB295" s="2"/>
      <c r="AC295" s="2"/>
      <c r="AF295" s="24"/>
    </row>
    <row r="296">
      <c r="A296" s="11"/>
      <c r="B296" s="23"/>
      <c r="C296" s="23"/>
      <c r="D296" s="23"/>
      <c r="E296" s="23"/>
      <c r="F296" s="1"/>
      <c r="G296" s="23"/>
      <c r="H296" s="23"/>
      <c r="I296" s="23"/>
      <c r="J296" s="2"/>
      <c r="M296" s="40"/>
      <c r="N296" s="40"/>
      <c r="O296" s="2"/>
      <c r="P296" s="2"/>
      <c r="Q296" s="2"/>
      <c r="S296" s="2"/>
      <c r="T296" s="2"/>
      <c r="V296" s="2"/>
      <c r="W296" s="2"/>
      <c r="Y296" s="2"/>
      <c r="Z296" s="2"/>
      <c r="AB296" s="2"/>
      <c r="AC296" s="2"/>
      <c r="AF296" s="24"/>
    </row>
    <row r="297">
      <c r="A297" s="11"/>
      <c r="B297" s="23"/>
      <c r="C297" s="23"/>
      <c r="D297" s="23"/>
      <c r="E297" s="23"/>
      <c r="F297" s="1"/>
      <c r="G297" s="23"/>
      <c r="H297" s="23"/>
      <c r="I297" s="23"/>
      <c r="J297" s="2"/>
      <c r="M297" s="40"/>
      <c r="N297" s="40"/>
      <c r="O297" s="2"/>
      <c r="P297" s="2"/>
      <c r="Q297" s="2"/>
      <c r="S297" s="2"/>
      <c r="T297" s="2"/>
      <c r="V297" s="2"/>
      <c r="W297" s="2"/>
      <c r="Y297" s="2"/>
      <c r="Z297" s="2"/>
      <c r="AB297" s="2"/>
      <c r="AC297" s="2"/>
      <c r="AF297" s="24"/>
    </row>
    <row r="298">
      <c r="A298" s="11"/>
      <c r="B298" s="23"/>
      <c r="C298" s="23"/>
      <c r="D298" s="23"/>
      <c r="E298" s="23"/>
      <c r="F298" s="1"/>
      <c r="G298" s="23"/>
      <c r="H298" s="23"/>
      <c r="I298" s="23"/>
      <c r="J298" s="2"/>
      <c r="M298" s="40"/>
      <c r="N298" s="40"/>
      <c r="O298" s="2"/>
      <c r="P298" s="2"/>
      <c r="Q298" s="2"/>
      <c r="S298" s="2"/>
      <c r="T298" s="2"/>
      <c r="V298" s="2"/>
      <c r="W298" s="2"/>
      <c r="Y298" s="2"/>
      <c r="Z298" s="2"/>
      <c r="AB298" s="2"/>
      <c r="AC298" s="2"/>
      <c r="AF298" s="24"/>
    </row>
    <row r="299">
      <c r="A299" s="11"/>
      <c r="B299" s="23"/>
      <c r="C299" s="23"/>
      <c r="D299" s="23"/>
      <c r="E299" s="23"/>
      <c r="F299" s="1"/>
      <c r="G299" s="23"/>
      <c r="H299" s="23"/>
      <c r="I299" s="23"/>
      <c r="J299" s="2"/>
      <c r="M299" s="40"/>
      <c r="N299" s="40"/>
      <c r="O299" s="2"/>
      <c r="P299" s="2"/>
      <c r="Q299" s="2"/>
      <c r="S299" s="2"/>
      <c r="T299" s="2"/>
      <c r="V299" s="2"/>
      <c r="W299" s="2"/>
      <c r="Y299" s="2"/>
      <c r="Z299" s="2"/>
      <c r="AB299" s="2"/>
      <c r="AC299" s="2"/>
      <c r="AF299" s="24"/>
    </row>
    <row r="300">
      <c r="A300" s="11"/>
      <c r="B300" s="23"/>
      <c r="C300" s="23"/>
      <c r="D300" s="23"/>
      <c r="E300" s="23"/>
      <c r="F300" s="1"/>
      <c r="G300" s="23"/>
      <c r="H300" s="23"/>
      <c r="I300" s="23"/>
      <c r="J300" s="2"/>
      <c r="M300" s="40"/>
      <c r="N300" s="40"/>
      <c r="O300" s="2"/>
      <c r="P300" s="2"/>
      <c r="Q300" s="2"/>
      <c r="S300" s="2"/>
      <c r="T300" s="2"/>
      <c r="V300" s="2"/>
      <c r="W300" s="2"/>
      <c r="Y300" s="2"/>
      <c r="Z300" s="2"/>
      <c r="AB300" s="2"/>
      <c r="AC300" s="2"/>
      <c r="AF300" s="24"/>
    </row>
    <row r="301">
      <c r="A301" s="11"/>
      <c r="B301" s="23"/>
      <c r="C301" s="23"/>
      <c r="D301" s="23"/>
      <c r="E301" s="23"/>
      <c r="F301" s="1"/>
      <c r="G301" s="23"/>
      <c r="H301" s="23"/>
      <c r="I301" s="23"/>
      <c r="J301" s="2"/>
      <c r="M301" s="40"/>
      <c r="N301" s="40"/>
      <c r="O301" s="2"/>
      <c r="P301" s="2"/>
      <c r="Q301" s="2"/>
      <c r="S301" s="2"/>
      <c r="T301" s="2"/>
      <c r="V301" s="2"/>
      <c r="W301" s="2"/>
      <c r="Y301" s="2"/>
      <c r="Z301" s="2"/>
      <c r="AB301" s="2"/>
      <c r="AC301" s="2"/>
      <c r="AF301" s="24"/>
    </row>
    <row r="302">
      <c r="A302" s="11"/>
      <c r="B302" s="23"/>
      <c r="C302" s="23"/>
      <c r="D302" s="23"/>
      <c r="E302" s="23"/>
      <c r="F302" s="1"/>
      <c r="G302" s="23"/>
      <c r="H302" s="23"/>
      <c r="I302" s="23"/>
      <c r="J302" s="2"/>
      <c r="M302" s="40"/>
      <c r="N302" s="40"/>
      <c r="O302" s="2"/>
      <c r="P302" s="2"/>
      <c r="Q302" s="2"/>
      <c r="S302" s="2"/>
      <c r="T302" s="2"/>
      <c r="V302" s="2"/>
      <c r="W302" s="2"/>
      <c r="Y302" s="2"/>
      <c r="Z302" s="2"/>
      <c r="AB302" s="2"/>
      <c r="AC302" s="2"/>
      <c r="AF302" s="24"/>
    </row>
    <row r="303">
      <c r="A303" s="11"/>
      <c r="B303" s="23"/>
      <c r="C303" s="23"/>
      <c r="D303" s="23"/>
      <c r="E303" s="23"/>
      <c r="F303" s="1"/>
      <c r="G303" s="23"/>
      <c r="H303" s="23"/>
      <c r="I303" s="23"/>
      <c r="J303" s="2"/>
      <c r="M303" s="40"/>
      <c r="N303" s="40"/>
      <c r="O303" s="2"/>
      <c r="P303" s="2"/>
      <c r="Q303" s="2"/>
      <c r="S303" s="2"/>
      <c r="T303" s="2"/>
      <c r="V303" s="2"/>
      <c r="W303" s="2"/>
      <c r="Y303" s="2"/>
      <c r="Z303" s="2"/>
      <c r="AB303" s="2"/>
      <c r="AC303" s="2"/>
      <c r="AF303" s="24"/>
    </row>
    <row r="304">
      <c r="A304" s="11"/>
      <c r="B304" s="23"/>
      <c r="C304" s="23"/>
      <c r="D304" s="23"/>
      <c r="E304" s="23"/>
      <c r="F304" s="1"/>
      <c r="G304" s="23"/>
      <c r="H304" s="23"/>
      <c r="I304" s="23"/>
      <c r="J304" s="2"/>
      <c r="M304" s="40"/>
      <c r="N304" s="40"/>
      <c r="O304" s="2"/>
      <c r="P304" s="2"/>
      <c r="Q304" s="2"/>
      <c r="S304" s="2"/>
      <c r="T304" s="2"/>
      <c r="V304" s="2"/>
      <c r="W304" s="2"/>
      <c r="Y304" s="2"/>
      <c r="Z304" s="2"/>
      <c r="AB304" s="2"/>
      <c r="AC304" s="2"/>
      <c r="AF304" s="24"/>
    </row>
    <row r="305">
      <c r="A305" s="11"/>
      <c r="B305" s="23"/>
      <c r="C305" s="23"/>
      <c r="D305" s="23"/>
      <c r="E305" s="23"/>
      <c r="F305" s="1"/>
      <c r="G305" s="23"/>
      <c r="H305" s="23"/>
      <c r="I305" s="23"/>
      <c r="J305" s="2"/>
      <c r="M305" s="40"/>
      <c r="N305" s="40"/>
      <c r="O305" s="2"/>
      <c r="P305" s="2"/>
      <c r="Q305" s="2"/>
      <c r="S305" s="2"/>
      <c r="T305" s="2"/>
      <c r="V305" s="2"/>
      <c r="W305" s="2"/>
      <c r="Y305" s="2"/>
      <c r="Z305" s="2"/>
      <c r="AB305" s="2"/>
      <c r="AC305" s="2"/>
      <c r="AF305" s="24"/>
    </row>
    <row r="306">
      <c r="A306" s="11"/>
      <c r="B306" s="23"/>
      <c r="C306" s="23"/>
      <c r="D306" s="23"/>
      <c r="E306" s="23"/>
      <c r="F306" s="1"/>
      <c r="G306" s="23"/>
      <c r="H306" s="23"/>
      <c r="I306" s="23"/>
      <c r="J306" s="2"/>
      <c r="M306" s="40"/>
      <c r="N306" s="40"/>
      <c r="O306" s="2"/>
      <c r="P306" s="2"/>
      <c r="Q306" s="2"/>
      <c r="S306" s="2"/>
      <c r="T306" s="2"/>
      <c r="V306" s="2"/>
      <c r="W306" s="2"/>
      <c r="Y306" s="2"/>
      <c r="Z306" s="2"/>
      <c r="AB306" s="2"/>
      <c r="AC306" s="2"/>
      <c r="AF306" s="24"/>
    </row>
    <row r="307">
      <c r="A307" s="11"/>
      <c r="B307" s="23"/>
      <c r="C307" s="23"/>
      <c r="D307" s="23"/>
      <c r="E307" s="23"/>
      <c r="F307" s="1"/>
      <c r="G307" s="23"/>
      <c r="H307" s="23"/>
      <c r="I307" s="23"/>
      <c r="J307" s="2"/>
      <c r="M307" s="40"/>
      <c r="N307" s="40"/>
      <c r="O307" s="2"/>
      <c r="P307" s="2"/>
      <c r="Q307" s="2"/>
      <c r="S307" s="2"/>
      <c r="T307" s="2"/>
      <c r="V307" s="2"/>
      <c r="W307" s="2"/>
      <c r="Y307" s="2"/>
      <c r="Z307" s="2"/>
      <c r="AB307" s="2"/>
      <c r="AC307" s="2"/>
      <c r="AF307" s="24"/>
    </row>
    <row r="308">
      <c r="A308" s="11"/>
      <c r="B308" s="23"/>
      <c r="C308" s="23"/>
      <c r="D308" s="23"/>
      <c r="E308" s="23"/>
      <c r="F308" s="1"/>
      <c r="G308" s="23"/>
      <c r="H308" s="23"/>
      <c r="I308" s="23"/>
      <c r="J308" s="2"/>
      <c r="M308" s="40"/>
      <c r="N308" s="40"/>
      <c r="O308" s="2"/>
      <c r="P308" s="2"/>
      <c r="Q308" s="2"/>
      <c r="S308" s="2"/>
      <c r="T308" s="2"/>
      <c r="V308" s="2"/>
      <c r="W308" s="2"/>
      <c r="Y308" s="2"/>
      <c r="Z308" s="2"/>
      <c r="AB308" s="2"/>
      <c r="AC308" s="2"/>
      <c r="AF308" s="24"/>
    </row>
    <row r="309">
      <c r="A309" s="11"/>
      <c r="B309" s="23"/>
      <c r="C309" s="23"/>
      <c r="D309" s="23"/>
      <c r="E309" s="23"/>
      <c r="F309" s="1"/>
      <c r="G309" s="23"/>
      <c r="H309" s="23"/>
      <c r="I309" s="23"/>
      <c r="J309" s="2"/>
      <c r="M309" s="40"/>
      <c r="N309" s="40"/>
      <c r="O309" s="2"/>
      <c r="P309" s="2"/>
      <c r="Q309" s="2"/>
      <c r="S309" s="2"/>
      <c r="T309" s="2"/>
      <c r="V309" s="2"/>
      <c r="W309" s="2"/>
      <c r="Y309" s="2"/>
      <c r="Z309" s="2"/>
      <c r="AB309" s="2"/>
      <c r="AC309" s="2"/>
      <c r="AF309" s="24"/>
    </row>
    <row r="310">
      <c r="A310" s="11"/>
      <c r="B310" s="23"/>
      <c r="C310" s="23"/>
      <c r="D310" s="23"/>
      <c r="E310" s="23"/>
      <c r="F310" s="1"/>
      <c r="G310" s="23"/>
      <c r="H310" s="23"/>
      <c r="I310" s="23"/>
      <c r="J310" s="2"/>
      <c r="M310" s="40"/>
      <c r="N310" s="40"/>
      <c r="O310" s="2"/>
      <c r="P310" s="2"/>
      <c r="Q310" s="2"/>
      <c r="S310" s="2"/>
      <c r="T310" s="2"/>
      <c r="V310" s="2"/>
      <c r="W310" s="2"/>
      <c r="Y310" s="2"/>
      <c r="Z310" s="2"/>
      <c r="AB310" s="2"/>
      <c r="AC310" s="2"/>
      <c r="AF310" s="24"/>
    </row>
    <row r="311">
      <c r="A311" s="11"/>
      <c r="B311" s="23"/>
      <c r="C311" s="23"/>
      <c r="D311" s="23"/>
      <c r="E311" s="23"/>
      <c r="F311" s="1"/>
      <c r="G311" s="23"/>
      <c r="H311" s="23"/>
      <c r="I311" s="23"/>
      <c r="J311" s="2"/>
      <c r="M311" s="40"/>
      <c r="N311" s="40"/>
      <c r="O311" s="2"/>
      <c r="P311" s="2"/>
      <c r="Q311" s="2"/>
      <c r="S311" s="2"/>
      <c r="T311" s="2"/>
      <c r="V311" s="2"/>
      <c r="W311" s="2"/>
      <c r="Y311" s="2"/>
      <c r="Z311" s="2"/>
      <c r="AB311" s="2"/>
      <c r="AC311" s="2"/>
      <c r="AF311" s="24"/>
    </row>
    <row r="312">
      <c r="A312" s="11"/>
      <c r="B312" s="23"/>
      <c r="C312" s="23"/>
      <c r="D312" s="23"/>
      <c r="E312" s="23"/>
      <c r="F312" s="1"/>
      <c r="G312" s="23"/>
      <c r="H312" s="23"/>
      <c r="I312" s="23"/>
      <c r="J312" s="2"/>
      <c r="M312" s="40"/>
      <c r="N312" s="40"/>
      <c r="O312" s="2"/>
      <c r="P312" s="2"/>
      <c r="Q312" s="2"/>
      <c r="S312" s="2"/>
      <c r="T312" s="2"/>
      <c r="V312" s="2"/>
      <c r="W312" s="2"/>
      <c r="Y312" s="2"/>
      <c r="Z312" s="2"/>
      <c r="AB312" s="2"/>
      <c r="AC312" s="2"/>
      <c r="AF312" s="24"/>
    </row>
    <row r="313">
      <c r="A313" s="11"/>
      <c r="B313" s="23"/>
      <c r="C313" s="23"/>
      <c r="D313" s="23"/>
      <c r="E313" s="23"/>
      <c r="F313" s="1"/>
      <c r="G313" s="23"/>
      <c r="H313" s="23"/>
      <c r="I313" s="23"/>
      <c r="J313" s="2"/>
      <c r="M313" s="40"/>
      <c r="N313" s="40"/>
      <c r="O313" s="2"/>
      <c r="P313" s="2"/>
      <c r="Q313" s="2"/>
      <c r="S313" s="2"/>
      <c r="T313" s="2"/>
      <c r="V313" s="2"/>
      <c r="W313" s="2"/>
      <c r="Y313" s="2"/>
      <c r="Z313" s="2"/>
      <c r="AB313" s="2"/>
      <c r="AC313" s="2"/>
      <c r="AF313" s="24"/>
    </row>
    <row r="314">
      <c r="A314" s="11"/>
      <c r="B314" s="23"/>
      <c r="C314" s="23"/>
      <c r="D314" s="23"/>
      <c r="E314" s="23"/>
      <c r="F314" s="1"/>
      <c r="G314" s="23"/>
      <c r="H314" s="23"/>
      <c r="I314" s="23"/>
      <c r="J314" s="2"/>
      <c r="M314" s="40"/>
      <c r="N314" s="40"/>
      <c r="O314" s="2"/>
      <c r="P314" s="2"/>
      <c r="Q314" s="2"/>
      <c r="S314" s="2"/>
      <c r="T314" s="2"/>
      <c r="V314" s="2"/>
      <c r="W314" s="2"/>
      <c r="Y314" s="2"/>
      <c r="Z314" s="2"/>
      <c r="AB314" s="2"/>
      <c r="AC314" s="2"/>
      <c r="AF314" s="24"/>
    </row>
    <row r="315">
      <c r="A315" s="11"/>
      <c r="B315" s="23"/>
      <c r="C315" s="23"/>
      <c r="D315" s="23"/>
      <c r="E315" s="23"/>
      <c r="F315" s="1"/>
      <c r="G315" s="23"/>
      <c r="H315" s="23"/>
      <c r="I315" s="23"/>
      <c r="J315" s="2"/>
      <c r="M315" s="40"/>
      <c r="N315" s="40"/>
      <c r="O315" s="2"/>
      <c r="P315" s="2"/>
      <c r="Q315" s="2"/>
      <c r="S315" s="2"/>
      <c r="T315" s="2"/>
      <c r="V315" s="2"/>
      <c r="W315" s="2"/>
      <c r="Y315" s="2"/>
      <c r="Z315" s="2"/>
      <c r="AB315" s="2"/>
      <c r="AC315" s="2"/>
      <c r="AF315" s="24"/>
    </row>
    <row r="316">
      <c r="A316" s="11"/>
      <c r="B316" s="23"/>
      <c r="C316" s="23"/>
      <c r="D316" s="23"/>
      <c r="E316" s="23"/>
      <c r="F316" s="1"/>
      <c r="G316" s="23"/>
      <c r="H316" s="23"/>
      <c r="I316" s="23"/>
      <c r="J316" s="2"/>
      <c r="M316" s="40"/>
      <c r="N316" s="40"/>
      <c r="O316" s="2"/>
      <c r="P316" s="2"/>
      <c r="Q316" s="2"/>
      <c r="S316" s="2"/>
      <c r="T316" s="2"/>
      <c r="V316" s="2"/>
      <c r="W316" s="2"/>
      <c r="Y316" s="2"/>
      <c r="Z316" s="2"/>
      <c r="AB316" s="2"/>
      <c r="AC316" s="2"/>
      <c r="AF316" s="24"/>
    </row>
    <row r="317">
      <c r="A317" s="11"/>
      <c r="B317" s="23"/>
      <c r="C317" s="23"/>
      <c r="D317" s="23"/>
      <c r="E317" s="23"/>
      <c r="F317" s="1"/>
      <c r="G317" s="23"/>
      <c r="H317" s="23"/>
      <c r="I317" s="23"/>
      <c r="J317" s="2"/>
      <c r="M317" s="40"/>
      <c r="N317" s="40"/>
      <c r="O317" s="2"/>
      <c r="P317" s="2"/>
      <c r="Q317" s="2"/>
      <c r="S317" s="2"/>
      <c r="T317" s="2"/>
      <c r="V317" s="2"/>
      <c r="W317" s="2"/>
      <c r="Y317" s="2"/>
      <c r="Z317" s="2"/>
      <c r="AB317" s="2"/>
      <c r="AC317" s="2"/>
      <c r="AF317" s="24"/>
    </row>
    <row r="318">
      <c r="A318" s="11"/>
      <c r="B318" s="23"/>
      <c r="C318" s="23"/>
      <c r="D318" s="23"/>
      <c r="E318" s="23"/>
      <c r="F318" s="1"/>
      <c r="G318" s="23"/>
      <c r="H318" s="23"/>
      <c r="I318" s="23"/>
      <c r="J318" s="2"/>
      <c r="M318" s="40"/>
      <c r="N318" s="40"/>
      <c r="O318" s="2"/>
      <c r="P318" s="2"/>
      <c r="Q318" s="2"/>
      <c r="S318" s="2"/>
      <c r="T318" s="2"/>
      <c r="V318" s="2"/>
      <c r="W318" s="2"/>
      <c r="Y318" s="2"/>
      <c r="Z318" s="2"/>
      <c r="AB318" s="2"/>
      <c r="AC318" s="2"/>
      <c r="AF318" s="24"/>
    </row>
    <row r="319">
      <c r="A319" s="11"/>
      <c r="B319" s="23"/>
      <c r="C319" s="23"/>
      <c r="D319" s="23"/>
      <c r="E319" s="23"/>
      <c r="F319" s="1"/>
      <c r="G319" s="23"/>
      <c r="H319" s="23"/>
      <c r="I319" s="23"/>
      <c r="J319" s="2"/>
      <c r="M319" s="40"/>
      <c r="N319" s="40"/>
      <c r="O319" s="2"/>
      <c r="P319" s="2"/>
      <c r="Q319" s="2"/>
      <c r="S319" s="2"/>
      <c r="T319" s="2"/>
      <c r="V319" s="2"/>
      <c r="W319" s="2"/>
      <c r="Y319" s="2"/>
      <c r="Z319" s="2"/>
      <c r="AB319" s="2"/>
      <c r="AC319" s="2"/>
      <c r="AF319" s="24"/>
    </row>
    <row r="320">
      <c r="A320" s="11"/>
      <c r="B320" s="23"/>
      <c r="C320" s="23"/>
      <c r="D320" s="23"/>
      <c r="E320" s="23"/>
      <c r="F320" s="1"/>
      <c r="G320" s="23"/>
      <c r="H320" s="23"/>
      <c r="I320" s="23"/>
      <c r="J320" s="2"/>
      <c r="M320" s="40"/>
      <c r="N320" s="40"/>
      <c r="O320" s="2"/>
      <c r="P320" s="2"/>
      <c r="Q320" s="2"/>
      <c r="S320" s="2"/>
      <c r="T320" s="2"/>
      <c r="V320" s="2"/>
      <c r="W320" s="2"/>
      <c r="Y320" s="2"/>
      <c r="Z320" s="2"/>
      <c r="AB320" s="2"/>
      <c r="AC320" s="2"/>
      <c r="AF320" s="24"/>
    </row>
    <row r="321">
      <c r="A321" s="11"/>
      <c r="B321" s="23"/>
      <c r="C321" s="23"/>
      <c r="D321" s="23"/>
      <c r="E321" s="23"/>
      <c r="F321" s="1"/>
      <c r="G321" s="23"/>
      <c r="H321" s="23"/>
      <c r="I321" s="23"/>
      <c r="J321" s="2"/>
      <c r="M321" s="40"/>
      <c r="N321" s="40"/>
      <c r="O321" s="2"/>
      <c r="P321" s="2"/>
      <c r="Q321" s="2"/>
      <c r="S321" s="2"/>
      <c r="T321" s="2"/>
      <c r="V321" s="2"/>
      <c r="W321" s="2"/>
      <c r="Y321" s="2"/>
      <c r="Z321" s="2"/>
      <c r="AB321" s="2"/>
      <c r="AC321" s="2"/>
      <c r="AF321" s="24"/>
    </row>
    <row r="322">
      <c r="A322" s="11"/>
      <c r="B322" s="23"/>
      <c r="C322" s="23"/>
      <c r="D322" s="23"/>
      <c r="E322" s="23"/>
      <c r="F322" s="1"/>
      <c r="G322" s="23"/>
      <c r="H322" s="23"/>
      <c r="I322" s="23"/>
      <c r="J322" s="2"/>
      <c r="M322" s="40"/>
      <c r="N322" s="40"/>
      <c r="O322" s="2"/>
      <c r="P322" s="2"/>
      <c r="Q322" s="2"/>
      <c r="S322" s="2"/>
      <c r="T322" s="2"/>
      <c r="V322" s="2"/>
      <c r="W322" s="2"/>
      <c r="Y322" s="2"/>
      <c r="Z322" s="2"/>
      <c r="AB322" s="2"/>
      <c r="AC322" s="2"/>
      <c r="AF322" s="24"/>
    </row>
    <row r="323">
      <c r="A323" s="11"/>
      <c r="B323" s="23"/>
      <c r="C323" s="23"/>
      <c r="D323" s="23"/>
      <c r="E323" s="23"/>
      <c r="F323" s="1"/>
      <c r="G323" s="23"/>
      <c r="H323" s="23"/>
      <c r="I323" s="23"/>
      <c r="J323" s="2"/>
      <c r="M323" s="40"/>
      <c r="N323" s="40"/>
      <c r="O323" s="2"/>
      <c r="P323" s="2"/>
      <c r="Q323" s="2"/>
      <c r="S323" s="2"/>
      <c r="T323" s="2"/>
      <c r="V323" s="2"/>
      <c r="W323" s="2"/>
      <c r="Y323" s="2"/>
      <c r="Z323" s="2"/>
      <c r="AB323" s="2"/>
      <c r="AC323" s="2"/>
      <c r="AF323" s="24"/>
    </row>
    <row r="324">
      <c r="A324" s="11"/>
      <c r="B324" s="23"/>
      <c r="C324" s="23"/>
      <c r="D324" s="23"/>
      <c r="E324" s="23"/>
      <c r="F324" s="1"/>
      <c r="G324" s="23"/>
      <c r="H324" s="23"/>
      <c r="I324" s="23"/>
      <c r="J324" s="2"/>
      <c r="M324" s="40"/>
      <c r="N324" s="40"/>
      <c r="O324" s="2"/>
      <c r="P324" s="2"/>
      <c r="Q324" s="2"/>
      <c r="S324" s="2"/>
      <c r="T324" s="2"/>
      <c r="V324" s="2"/>
      <c r="W324" s="2"/>
      <c r="Y324" s="2"/>
      <c r="Z324" s="2"/>
      <c r="AB324" s="2"/>
      <c r="AC324" s="2"/>
      <c r="AF324" s="24"/>
    </row>
    <row r="325">
      <c r="A325" s="11"/>
      <c r="B325" s="23"/>
      <c r="C325" s="23"/>
      <c r="D325" s="23"/>
      <c r="E325" s="23"/>
      <c r="F325" s="1"/>
      <c r="G325" s="23"/>
      <c r="H325" s="23"/>
      <c r="I325" s="23"/>
      <c r="J325" s="2"/>
      <c r="M325" s="40"/>
      <c r="N325" s="40"/>
      <c r="O325" s="2"/>
      <c r="P325" s="2"/>
      <c r="Q325" s="2"/>
      <c r="S325" s="2"/>
      <c r="T325" s="2"/>
      <c r="V325" s="2"/>
      <c r="W325" s="2"/>
      <c r="Y325" s="2"/>
      <c r="Z325" s="2"/>
      <c r="AB325" s="2"/>
      <c r="AC325" s="2"/>
      <c r="AF325" s="24"/>
    </row>
    <row r="326">
      <c r="A326" s="11"/>
      <c r="B326" s="23"/>
      <c r="C326" s="23"/>
      <c r="D326" s="23"/>
      <c r="E326" s="23"/>
      <c r="F326" s="1"/>
      <c r="G326" s="23"/>
      <c r="H326" s="23"/>
      <c r="I326" s="23"/>
      <c r="J326" s="2"/>
      <c r="M326" s="40"/>
      <c r="N326" s="40"/>
      <c r="O326" s="2"/>
      <c r="P326" s="2"/>
      <c r="Q326" s="2"/>
      <c r="S326" s="2"/>
      <c r="T326" s="2"/>
      <c r="V326" s="2"/>
      <c r="W326" s="2"/>
      <c r="Y326" s="2"/>
      <c r="Z326" s="2"/>
      <c r="AB326" s="2"/>
      <c r="AC326" s="2"/>
      <c r="AF326" s="24"/>
    </row>
    <row r="327">
      <c r="A327" s="11"/>
      <c r="B327" s="23"/>
      <c r="C327" s="23"/>
      <c r="D327" s="23"/>
      <c r="E327" s="23"/>
      <c r="F327" s="1"/>
      <c r="G327" s="23"/>
      <c r="H327" s="23"/>
      <c r="I327" s="23"/>
      <c r="J327" s="2"/>
      <c r="M327" s="40"/>
      <c r="N327" s="40"/>
      <c r="O327" s="2"/>
      <c r="P327" s="2"/>
      <c r="Q327" s="2"/>
      <c r="S327" s="2"/>
      <c r="T327" s="2"/>
      <c r="V327" s="2"/>
      <c r="W327" s="2"/>
      <c r="Y327" s="2"/>
      <c r="Z327" s="2"/>
      <c r="AB327" s="2"/>
      <c r="AC327" s="2"/>
      <c r="AF327" s="24"/>
    </row>
    <row r="328">
      <c r="A328" s="11"/>
      <c r="B328" s="23"/>
      <c r="C328" s="23"/>
      <c r="D328" s="23"/>
      <c r="E328" s="23"/>
      <c r="F328" s="1"/>
      <c r="G328" s="23"/>
      <c r="H328" s="23"/>
      <c r="I328" s="23"/>
      <c r="J328" s="2"/>
      <c r="M328" s="40"/>
      <c r="N328" s="40"/>
      <c r="O328" s="2"/>
      <c r="P328" s="2"/>
      <c r="Q328" s="2"/>
      <c r="S328" s="2"/>
      <c r="T328" s="2"/>
      <c r="V328" s="2"/>
      <c r="W328" s="2"/>
      <c r="Y328" s="2"/>
      <c r="Z328" s="2"/>
      <c r="AB328" s="2"/>
      <c r="AC328" s="2"/>
      <c r="AF328" s="24"/>
    </row>
    <row r="329">
      <c r="A329" s="11"/>
      <c r="B329" s="23"/>
      <c r="C329" s="23"/>
      <c r="D329" s="23"/>
      <c r="E329" s="23"/>
      <c r="F329" s="1"/>
      <c r="G329" s="23"/>
      <c r="H329" s="23"/>
      <c r="I329" s="23"/>
      <c r="J329" s="2"/>
      <c r="M329" s="40"/>
      <c r="N329" s="40"/>
      <c r="O329" s="2"/>
      <c r="P329" s="2"/>
      <c r="Q329" s="2"/>
      <c r="S329" s="2"/>
      <c r="T329" s="2"/>
      <c r="V329" s="2"/>
      <c r="W329" s="2"/>
      <c r="Y329" s="2"/>
      <c r="Z329" s="2"/>
      <c r="AB329" s="2"/>
      <c r="AC329" s="2"/>
      <c r="AF329" s="24"/>
    </row>
    <row r="330">
      <c r="A330" s="11"/>
      <c r="B330" s="23"/>
      <c r="C330" s="23"/>
      <c r="D330" s="23"/>
      <c r="E330" s="23"/>
      <c r="F330" s="1"/>
      <c r="G330" s="23"/>
      <c r="H330" s="23"/>
      <c r="I330" s="23"/>
      <c r="J330" s="2"/>
      <c r="M330" s="40"/>
      <c r="N330" s="40"/>
      <c r="O330" s="2"/>
      <c r="P330" s="2"/>
      <c r="Q330" s="2"/>
      <c r="S330" s="2"/>
      <c r="T330" s="2"/>
      <c r="V330" s="2"/>
      <c r="W330" s="2"/>
      <c r="Y330" s="2"/>
      <c r="Z330" s="2"/>
      <c r="AB330" s="2"/>
      <c r="AC330" s="2"/>
      <c r="AF330" s="24"/>
    </row>
    <row r="331">
      <c r="A331" s="11"/>
      <c r="B331" s="23"/>
      <c r="C331" s="23"/>
      <c r="D331" s="23"/>
      <c r="E331" s="23"/>
      <c r="F331" s="1"/>
      <c r="G331" s="23"/>
      <c r="H331" s="23"/>
      <c r="I331" s="23"/>
      <c r="J331" s="2"/>
      <c r="M331" s="40"/>
      <c r="N331" s="40"/>
      <c r="O331" s="2"/>
      <c r="P331" s="2"/>
      <c r="Q331" s="2"/>
      <c r="S331" s="2"/>
      <c r="T331" s="2"/>
      <c r="V331" s="2"/>
      <c r="W331" s="2"/>
      <c r="Y331" s="2"/>
      <c r="Z331" s="2"/>
      <c r="AB331" s="2"/>
      <c r="AC331" s="2"/>
      <c r="AF331" s="24"/>
    </row>
    <row r="332">
      <c r="A332" s="11"/>
      <c r="B332" s="23"/>
      <c r="C332" s="23"/>
      <c r="D332" s="23"/>
      <c r="E332" s="23"/>
      <c r="F332" s="1"/>
      <c r="G332" s="23"/>
      <c r="H332" s="23"/>
      <c r="I332" s="23"/>
      <c r="J332" s="2"/>
      <c r="M332" s="40"/>
      <c r="N332" s="40"/>
      <c r="O332" s="2"/>
      <c r="P332" s="2"/>
      <c r="Q332" s="2"/>
      <c r="S332" s="2"/>
      <c r="T332" s="2"/>
      <c r="V332" s="2"/>
      <c r="W332" s="2"/>
      <c r="Y332" s="2"/>
      <c r="Z332" s="2"/>
      <c r="AB332" s="2"/>
      <c r="AC332" s="2"/>
      <c r="AF332" s="24"/>
    </row>
    <row r="333">
      <c r="A333" s="11"/>
      <c r="B333" s="23"/>
      <c r="C333" s="23"/>
      <c r="D333" s="23"/>
      <c r="E333" s="23"/>
      <c r="F333" s="1"/>
      <c r="G333" s="23"/>
      <c r="H333" s="23"/>
      <c r="I333" s="23"/>
      <c r="J333" s="2"/>
      <c r="M333" s="40"/>
      <c r="N333" s="40"/>
      <c r="O333" s="2"/>
      <c r="P333" s="2"/>
      <c r="Q333" s="2"/>
      <c r="S333" s="2"/>
      <c r="T333" s="2"/>
      <c r="V333" s="2"/>
      <c r="W333" s="2"/>
      <c r="Y333" s="2"/>
      <c r="Z333" s="2"/>
      <c r="AB333" s="2"/>
      <c r="AC333" s="2"/>
      <c r="AF333" s="24"/>
    </row>
    <row r="334">
      <c r="A334" s="11"/>
      <c r="B334" s="23"/>
      <c r="C334" s="23"/>
      <c r="D334" s="23"/>
      <c r="E334" s="23"/>
      <c r="F334" s="1"/>
      <c r="G334" s="23"/>
      <c r="H334" s="23"/>
      <c r="I334" s="23"/>
      <c r="J334" s="2"/>
      <c r="M334" s="40"/>
      <c r="N334" s="40"/>
      <c r="O334" s="2"/>
      <c r="P334" s="2"/>
      <c r="Q334" s="2"/>
      <c r="S334" s="2"/>
      <c r="T334" s="2"/>
      <c r="V334" s="2"/>
      <c r="W334" s="2"/>
      <c r="Y334" s="2"/>
      <c r="Z334" s="2"/>
      <c r="AB334" s="2"/>
      <c r="AC334" s="2"/>
      <c r="AF334" s="24"/>
    </row>
    <row r="335">
      <c r="A335" s="11"/>
      <c r="B335" s="23"/>
      <c r="C335" s="23"/>
      <c r="D335" s="23"/>
      <c r="E335" s="23"/>
      <c r="F335" s="1"/>
      <c r="G335" s="23"/>
      <c r="H335" s="23"/>
      <c r="I335" s="23"/>
      <c r="J335" s="2"/>
      <c r="M335" s="40"/>
      <c r="N335" s="40"/>
      <c r="O335" s="2"/>
      <c r="P335" s="2"/>
      <c r="Q335" s="2"/>
      <c r="S335" s="2"/>
      <c r="T335" s="2"/>
      <c r="V335" s="2"/>
      <c r="W335" s="2"/>
      <c r="Y335" s="2"/>
      <c r="Z335" s="2"/>
      <c r="AB335" s="2"/>
      <c r="AC335" s="2"/>
      <c r="AF335" s="24"/>
    </row>
    <row r="336">
      <c r="A336" s="11"/>
      <c r="B336" s="23"/>
      <c r="C336" s="23"/>
      <c r="D336" s="23"/>
      <c r="E336" s="23"/>
      <c r="F336" s="1"/>
      <c r="G336" s="23"/>
      <c r="H336" s="23"/>
      <c r="I336" s="23"/>
      <c r="J336" s="2"/>
      <c r="M336" s="40"/>
      <c r="N336" s="40"/>
      <c r="O336" s="2"/>
      <c r="P336" s="2"/>
      <c r="Q336" s="2"/>
      <c r="S336" s="2"/>
      <c r="T336" s="2"/>
      <c r="V336" s="2"/>
      <c r="W336" s="2"/>
      <c r="Y336" s="2"/>
      <c r="Z336" s="2"/>
      <c r="AB336" s="2"/>
      <c r="AC336" s="2"/>
      <c r="AF336" s="24"/>
    </row>
    <row r="337">
      <c r="A337" s="11"/>
      <c r="B337" s="23"/>
      <c r="C337" s="23"/>
      <c r="D337" s="23"/>
      <c r="E337" s="23"/>
      <c r="F337" s="1"/>
      <c r="G337" s="23"/>
      <c r="H337" s="23"/>
      <c r="I337" s="23"/>
      <c r="J337" s="2"/>
      <c r="M337" s="40"/>
      <c r="N337" s="40"/>
      <c r="O337" s="2"/>
      <c r="P337" s="2"/>
      <c r="Q337" s="2"/>
      <c r="S337" s="2"/>
      <c r="T337" s="2"/>
      <c r="V337" s="2"/>
      <c r="W337" s="2"/>
      <c r="Y337" s="2"/>
      <c r="Z337" s="2"/>
      <c r="AB337" s="2"/>
      <c r="AC337" s="2"/>
      <c r="AF337" s="24"/>
    </row>
    <row r="338">
      <c r="A338" s="11"/>
      <c r="B338" s="23"/>
      <c r="C338" s="23"/>
      <c r="D338" s="23"/>
      <c r="E338" s="23"/>
      <c r="F338" s="1"/>
      <c r="G338" s="23"/>
      <c r="H338" s="23"/>
      <c r="I338" s="23"/>
      <c r="J338" s="2"/>
      <c r="M338" s="40"/>
      <c r="N338" s="40"/>
      <c r="O338" s="2"/>
      <c r="P338" s="2"/>
      <c r="Q338" s="2"/>
      <c r="S338" s="2"/>
      <c r="T338" s="2"/>
      <c r="V338" s="2"/>
      <c r="W338" s="2"/>
      <c r="Y338" s="2"/>
      <c r="Z338" s="2"/>
      <c r="AB338" s="2"/>
      <c r="AC338" s="2"/>
      <c r="AF338" s="24"/>
    </row>
    <row r="339">
      <c r="A339" s="11"/>
      <c r="B339" s="23"/>
      <c r="C339" s="23"/>
      <c r="D339" s="23"/>
      <c r="E339" s="23"/>
      <c r="F339" s="1"/>
      <c r="G339" s="23"/>
      <c r="H339" s="23"/>
      <c r="I339" s="23"/>
      <c r="J339" s="2"/>
      <c r="M339" s="40"/>
      <c r="N339" s="40"/>
      <c r="O339" s="2"/>
      <c r="P339" s="2"/>
      <c r="Q339" s="2"/>
      <c r="S339" s="2"/>
      <c r="T339" s="2"/>
      <c r="V339" s="2"/>
      <c r="W339" s="2"/>
      <c r="Y339" s="2"/>
      <c r="Z339" s="2"/>
      <c r="AB339" s="2"/>
      <c r="AC339" s="2"/>
      <c r="AF339" s="24"/>
    </row>
    <row r="340">
      <c r="A340" s="11"/>
      <c r="B340" s="23"/>
      <c r="C340" s="23"/>
      <c r="D340" s="23"/>
      <c r="E340" s="23"/>
      <c r="F340" s="1"/>
      <c r="G340" s="23"/>
      <c r="H340" s="23"/>
      <c r="I340" s="23"/>
      <c r="J340" s="2"/>
      <c r="M340" s="40"/>
      <c r="N340" s="40"/>
      <c r="O340" s="2"/>
      <c r="P340" s="2"/>
      <c r="Q340" s="2"/>
      <c r="S340" s="2"/>
      <c r="T340" s="2"/>
      <c r="V340" s="2"/>
      <c r="W340" s="2"/>
      <c r="Y340" s="2"/>
      <c r="Z340" s="2"/>
      <c r="AB340" s="2"/>
      <c r="AC340" s="2"/>
      <c r="AF340" s="24"/>
    </row>
    <row r="341">
      <c r="A341" s="11"/>
      <c r="B341" s="23"/>
      <c r="C341" s="23"/>
      <c r="D341" s="23"/>
      <c r="E341" s="23"/>
      <c r="F341" s="1"/>
      <c r="G341" s="23"/>
      <c r="H341" s="23"/>
      <c r="I341" s="23"/>
      <c r="J341" s="2"/>
      <c r="M341" s="40"/>
      <c r="N341" s="40"/>
      <c r="O341" s="2"/>
      <c r="P341" s="2"/>
      <c r="Q341" s="2"/>
      <c r="S341" s="2"/>
      <c r="T341" s="2"/>
      <c r="V341" s="2"/>
      <c r="W341" s="2"/>
      <c r="Y341" s="2"/>
      <c r="Z341" s="2"/>
      <c r="AB341" s="2"/>
      <c r="AC341" s="2"/>
      <c r="AF341" s="24"/>
    </row>
    <row r="342">
      <c r="A342" s="11"/>
      <c r="B342" s="23"/>
      <c r="C342" s="23"/>
      <c r="D342" s="23"/>
      <c r="E342" s="23"/>
      <c r="F342" s="1"/>
      <c r="G342" s="23"/>
      <c r="H342" s="23"/>
      <c r="I342" s="23"/>
      <c r="J342" s="2"/>
      <c r="M342" s="40"/>
      <c r="N342" s="40"/>
      <c r="O342" s="2"/>
      <c r="P342" s="2"/>
      <c r="Q342" s="2"/>
      <c r="S342" s="2"/>
      <c r="T342" s="2"/>
      <c r="V342" s="2"/>
      <c r="W342" s="2"/>
      <c r="Y342" s="2"/>
      <c r="Z342" s="2"/>
      <c r="AB342" s="2"/>
      <c r="AC342" s="2"/>
      <c r="AF342" s="24"/>
    </row>
    <row r="343">
      <c r="A343" s="11"/>
      <c r="B343" s="23"/>
      <c r="C343" s="23"/>
      <c r="D343" s="23"/>
      <c r="E343" s="23"/>
      <c r="F343" s="1"/>
      <c r="G343" s="23"/>
      <c r="H343" s="23"/>
      <c r="I343" s="23"/>
      <c r="J343" s="2"/>
      <c r="M343" s="40"/>
      <c r="N343" s="40"/>
      <c r="O343" s="2"/>
      <c r="P343" s="2"/>
      <c r="Q343" s="2"/>
      <c r="S343" s="2"/>
      <c r="T343" s="2"/>
      <c r="V343" s="2"/>
      <c r="W343" s="2"/>
      <c r="Y343" s="2"/>
      <c r="Z343" s="2"/>
      <c r="AB343" s="2"/>
      <c r="AC343" s="2"/>
      <c r="AF343" s="24"/>
    </row>
    <row r="344">
      <c r="A344" s="11"/>
      <c r="B344" s="23"/>
      <c r="C344" s="23"/>
      <c r="D344" s="23"/>
      <c r="E344" s="23"/>
      <c r="F344" s="1"/>
      <c r="G344" s="23"/>
      <c r="H344" s="23"/>
      <c r="I344" s="23"/>
      <c r="J344" s="2"/>
      <c r="M344" s="40"/>
      <c r="N344" s="40"/>
      <c r="O344" s="2"/>
      <c r="P344" s="2"/>
      <c r="Q344" s="2"/>
      <c r="S344" s="2"/>
      <c r="T344" s="2"/>
      <c r="V344" s="2"/>
      <c r="W344" s="2"/>
      <c r="Y344" s="2"/>
      <c r="Z344" s="2"/>
      <c r="AB344" s="2"/>
      <c r="AC344" s="2"/>
      <c r="AF344" s="24"/>
    </row>
    <row r="345">
      <c r="A345" s="11"/>
      <c r="B345" s="23"/>
      <c r="C345" s="23"/>
      <c r="D345" s="23"/>
      <c r="E345" s="23"/>
      <c r="F345" s="1"/>
      <c r="G345" s="23"/>
      <c r="H345" s="23"/>
      <c r="I345" s="23"/>
      <c r="J345" s="2"/>
      <c r="M345" s="40"/>
      <c r="N345" s="40"/>
      <c r="O345" s="2"/>
      <c r="P345" s="2"/>
      <c r="Q345" s="2"/>
      <c r="S345" s="2"/>
      <c r="T345" s="2"/>
      <c r="V345" s="2"/>
      <c r="W345" s="2"/>
      <c r="Y345" s="2"/>
      <c r="Z345" s="2"/>
      <c r="AB345" s="2"/>
      <c r="AC345" s="2"/>
      <c r="AF345" s="24"/>
    </row>
    <row r="346">
      <c r="A346" s="11"/>
      <c r="B346" s="23"/>
      <c r="C346" s="23"/>
      <c r="D346" s="23"/>
      <c r="E346" s="23"/>
      <c r="F346" s="1"/>
      <c r="G346" s="23"/>
      <c r="H346" s="23"/>
      <c r="I346" s="23"/>
      <c r="J346" s="2"/>
      <c r="M346" s="40"/>
      <c r="N346" s="40"/>
      <c r="O346" s="2"/>
      <c r="P346" s="2"/>
      <c r="Q346" s="2"/>
      <c r="S346" s="2"/>
      <c r="T346" s="2"/>
      <c r="V346" s="2"/>
      <c r="W346" s="2"/>
      <c r="Y346" s="2"/>
      <c r="Z346" s="2"/>
      <c r="AB346" s="2"/>
      <c r="AC346" s="2"/>
      <c r="AF346" s="24"/>
    </row>
    <row r="347">
      <c r="A347" s="11"/>
      <c r="B347" s="23"/>
      <c r="C347" s="23"/>
      <c r="D347" s="23"/>
      <c r="E347" s="23"/>
      <c r="F347" s="1"/>
      <c r="G347" s="23"/>
      <c r="H347" s="23"/>
      <c r="I347" s="23"/>
      <c r="J347" s="2"/>
      <c r="M347" s="40"/>
      <c r="N347" s="40"/>
      <c r="O347" s="2"/>
      <c r="P347" s="2"/>
      <c r="Q347" s="2"/>
      <c r="S347" s="2"/>
      <c r="T347" s="2"/>
      <c r="V347" s="2"/>
      <c r="W347" s="2"/>
      <c r="Y347" s="2"/>
      <c r="Z347" s="2"/>
      <c r="AB347" s="2"/>
      <c r="AC347" s="2"/>
      <c r="AF347" s="24"/>
    </row>
    <row r="348">
      <c r="A348" s="11"/>
      <c r="B348" s="23"/>
      <c r="C348" s="23"/>
      <c r="D348" s="23"/>
      <c r="E348" s="23"/>
      <c r="F348" s="1"/>
      <c r="G348" s="23"/>
      <c r="H348" s="23"/>
      <c r="I348" s="23"/>
      <c r="J348" s="2"/>
      <c r="M348" s="40"/>
      <c r="N348" s="40"/>
      <c r="O348" s="2"/>
      <c r="P348" s="2"/>
      <c r="Q348" s="2"/>
      <c r="S348" s="2"/>
      <c r="T348" s="2"/>
      <c r="V348" s="2"/>
      <c r="W348" s="2"/>
      <c r="Y348" s="2"/>
      <c r="Z348" s="2"/>
      <c r="AB348" s="2"/>
      <c r="AC348" s="2"/>
      <c r="AF348" s="24"/>
    </row>
    <row r="349">
      <c r="A349" s="11"/>
      <c r="B349" s="23"/>
      <c r="C349" s="23"/>
      <c r="D349" s="23"/>
      <c r="E349" s="23"/>
      <c r="F349" s="1"/>
      <c r="G349" s="23"/>
      <c r="H349" s="23"/>
      <c r="I349" s="23"/>
      <c r="J349" s="2"/>
      <c r="M349" s="40"/>
      <c r="N349" s="40"/>
      <c r="O349" s="2"/>
      <c r="P349" s="2"/>
      <c r="Q349" s="2"/>
      <c r="S349" s="2"/>
      <c r="T349" s="2"/>
      <c r="V349" s="2"/>
      <c r="W349" s="2"/>
      <c r="Y349" s="2"/>
      <c r="Z349" s="2"/>
      <c r="AB349" s="2"/>
      <c r="AC349" s="2"/>
      <c r="AF349" s="24"/>
    </row>
    <row r="350">
      <c r="A350" s="11"/>
      <c r="B350" s="23"/>
      <c r="C350" s="23"/>
      <c r="D350" s="23"/>
      <c r="E350" s="23"/>
      <c r="F350" s="1"/>
      <c r="G350" s="23"/>
      <c r="H350" s="23"/>
      <c r="I350" s="23"/>
      <c r="J350" s="2"/>
      <c r="M350" s="40"/>
      <c r="N350" s="40"/>
      <c r="O350" s="2"/>
      <c r="P350" s="2"/>
      <c r="Q350" s="2"/>
      <c r="S350" s="2"/>
      <c r="T350" s="2"/>
      <c r="V350" s="2"/>
      <c r="W350" s="2"/>
      <c r="Y350" s="2"/>
      <c r="Z350" s="2"/>
      <c r="AB350" s="2"/>
      <c r="AC350" s="2"/>
      <c r="AF350" s="24"/>
    </row>
    <row r="351">
      <c r="A351" s="11"/>
      <c r="B351" s="23"/>
      <c r="C351" s="23"/>
      <c r="D351" s="23"/>
      <c r="E351" s="23"/>
      <c r="F351" s="1"/>
      <c r="G351" s="23"/>
      <c r="H351" s="23"/>
      <c r="I351" s="23"/>
      <c r="J351" s="2"/>
      <c r="M351" s="40"/>
      <c r="N351" s="40"/>
      <c r="O351" s="2"/>
      <c r="P351" s="2"/>
      <c r="Q351" s="2"/>
      <c r="S351" s="2"/>
      <c r="T351" s="2"/>
      <c r="V351" s="2"/>
      <c r="W351" s="2"/>
      <c r="Y351" s="2"/>
      <c r="Z351" s="2"/>
      <c r="AB351" s="2"/>
      <c r="AC351" s="2"/>
      <c r="AF351" s="24"/>
    </row>
    <row r="352">
      <c r="A352" s="11"/>
      <c r="B352" s="23"/>
      <c r="C352" s="23"/>
      <c r="D352" s="23"/>
      <c r="E352" s="23"/>
      <c r="F352" s="1"/>
      <c r="G352" s="23"/>
      <c r="H352" s="23"/>
      <c r="I352" s="23"/>
      <c r="J352" s="2"/>
      <c r="M352" s="40"/>
      <c r="N352" s="40"/>
      <c r="O352" s="2"/>
      <c r="P352" s="2"/>
      <c r="Q352" s="2"/>
      <c r="S352" s="2"/>
      <c r="T352" s="2"/>
      <c r="V352" s="2"/>
      <c r="W352" s="2"/>
      <c r="Y352" s="2"/>
      <c r="Z352" s="2"/>
      <c r="AB352" s="2"/>
      <c r="AC352" s="2"/>
      <c r="AF352" s="24"/>
    </row>
    <row r="353">
      <c r="A353" s="11"/>
      <c r="B353" s="23"/>
      <c r="C353" s="23"/>
      <c r="D353" s="23"/>
      <c r="E353" s="23"/>
      <c r="F353" s="1"/>
      <c r="G353" s="23"/>
      <c r="H353" s="23"/>
      <c r="I353" s="23"/>
      <c r="J353" s="2"/>
      <c r="M353" s="40"/>
      <c r="N353" s="40"/>
      <c r="O353" s="2"/>
      <c r="P353" s="2"/>
      <c r="Q353" s="2"/>
      <c r="S353" s="2"/>
      <c r="T353" s="2"/>
      <c r="V353" s="2"/>
      <c r="W353" s="2"/>
      <c r="Y353" s="2"/>
      <c r="Z353" s="2"/>
      <c r="AB353" s="2"/>
      <c r="AC353" s="2"/>
      <c r="AF353" s="24"/>
    </row>
    <row r="354">
      <c r="A354" s="11"/>
      <c r="B354" s="23"/>
      <c r="C354" s="23"/>
      <c r="D354" s="23"/>
      <c r="E354" s="23"/>
      <c r="F354" s="1"/>
      <c r="G354" s="23"/>
      <c r="H354" s="23"/>
      <c r="I354" s="23"/>
      <c r="J354" s="2"/>
      <c r="M354" s="40"/>
      <c r="N354" s="40"/>
      <c r="O354" s="2"/>
      <c r="P354" s="2"/>
      <c r="Q354" s="2"/>
      <c r="S354" s="2"/>
      <c r="T354" s="2"/>
      <c r="V354" s="2"/>
      <c r="W354" s="2"/>
      <c r="Y354" s="2"/>
      <c r="Z354" s="2"/>
      <c r="AB354" s="2"/>
      <c r="AC354" s="2"/>
      <c r="AF354" s="24"/>
    </row>
    <row r="355">
      <c r="A355" s="11"/>
      <c r="B355" s="23"/>
      <c r="C355" s="23"/>
      <c r="D355" s="23"/>
      <c r="E355" s="23"/>
      <c r="F355" s="1"/>
      <c r="G355" s="23"/>
      <c r="H355" s="23"/>
      <c r="I355" s="23"/>
      <c r="J355" s="2"/>
      <c r="M355" s="40"/>
      <c r="N355" s="40"/>
      <c r="O355" s="2"/>
      <c r="P355" s="2"/>
      <c r="Q355" s="2"/>
      <c r="S355" s="2"/>
      <c r="T355" s="2"/>
      <c r="V355" s="2"/>
      <c r="W355" s="2"/>
      <c r="Y355" s="2"/>
      <c r="Z355" s="2"/>
      <c r="AB355" s="2"/>
      <c r="AC355" s="2"/>
      <c r="AF355" s="24"/>
    </row>
    <row r="356">
      <c r="A356" s="11"/>
      <c r="B356" s="23"/>
      <c r="C356" s="23"/>
      <c r="D356" s="23"/>
      <c r="E356" s="23"/>
      <c r="F356" s="1"/>
      <c r="G356" s="23"/>
      <c r="H356" s="23"/>
      <c r="I356" s="23"/>
      <c r="J356" s="2"/>
      <c r="M356" s="40"/>
      <c r="N356" s="40"/>
      <c r="O356" s="2"/>
      <c r="P356" s="2"/>
      <c r="Q356" s="2"/>
      <c r="S356" s="2"/>
      <c r="T356" s="2"/>
      <c r="V356" s="2"/>
      <c r="W356" s="2"/>
      <c r="Y356" s="2"/>
      <c r="Z356" s="2"/>
      <c r="AB356" s="2"/>
      <c r="AC356" s="2"/>
      <c r="AF356" s="24"/>
    </row>
    <row r="357">
      <c r="A357" s="11"/>
      <c r="B357" s="23"/>
      <c r="C357" s="23"/>
      <c r="D357" s="23"/>
      <c r="E357" s="23"/>
      <c r="F357" s="1"/>
      <c r="G357" s="23"/>
      <c r="H357" s="23"/>
      <c r="I357" s="23"/>
      <c r="J357" s="2"/>
      <c r="M357" s="40"/>
      <c r="N357" s="40"/>
      <c r="O357" s="2"/>
      <c r="P357" s="2"/>
      <c r="Q357" s="2"/>
      <c r="S357" s="2"/>
      <c r="T357" s="2"/>
      <c r="V357" s="2"/>
      <c r="W357" s="2"/>
      <c r="Y357" s="2"/>
      <c r="Z357" s="2"/>
      <c r="AB357" s="2"/>
      <c r="AC357" s="2"/>
      <c r="AF357" s="24"/>
    </row>
    <row r="358">
      <c r="A358" s="11"/>
      <c r="B358" s="23"/>
      <c r="C358" s="23"/>
      <c r="D358" s="23"/>
      <c r="E358" s="23"/>
      <c r="F358" s="1"/>
      <c r="G358" s="23"/>
      <c r="H358" s="23"/>
      <c r="I358" s="23"/>
      <c r="J358" s="2"/>
      <c r="M358" s="40"/>
      <c r="N358" s="40"/>
      <c r="O358" s="2"/>
      <c r="P358" s="2"/>
      <c r="Q358" s="2"/>
      <c r="S358" s="2"/>
      <c r="T358" s="2"/>
      <c r="V358" s="2"/>
      <c r="W358" s="2"/>
      <c r="Y358" s="2"/>
      <c r="Z358" s="2"/>
      <c r="AB358" s="2"/>
      <c r="AC358" s="2"/>
      <c r="AF358" s="24"/>
    </row>
    <row r="359">
      <c r="A359" s="11"/>
      <c r="B359" s="23"/>
      <c r="C359" s="23"/>
      <c r="D359" s="23"/>
      <c r="E359" s="23"/>
      <c r="F359" s="1"/>
      <c r="G359" s="23"/>
      <c r="H359" s="23"/>
      <c r="I359" s="23"/>
      <c r="J359" s="2"/>
      <c r="M359" s="40"/>
      <c r="N359" s="40"/>
      <c r="O359" s="2"/>
      <c r="P359" s="2"/>
      <c r="Q359" s="2"/>
      <c r="S359" s="2"/>
      <c r="T359" s="2"/>
      <c r="V359" s="2"/>
      <c r="W359" s="2"/>
      <c r="Y359" s="2"/>
      <c r="Z359" s="2"/>
      <c r="AB359" s="2"/>
      <c r="AC359" s="2"/>
      <c r="AF359" s="24"/>
    </row>
    <row r="360">
      <c r="A360" s="11"/>
      <c r="B360" s="23"/>
      <c r="C360" s="23"/>
      <c r="D360" s="23"/>
      <c r="E360" s="23"/>
      <c r="F360" s="1"/>
      <c r="G360" s="23"/>
      <c r="H360" s="23"/>
      <c r="I360" s="23"/>
      <c r="J360" s="2"/>
      <c r="M360" s="40"/>
      <c r="N360" s="40"/>
      <c r="O360" s="2"/>
      <c r="P360" s="2"/>
      <c r="Q360" s="2"/>
      <c r="S360" s="2"/>
      <c r="T360" s="2"/>
      <c r="V360" s="2"/>
      <c r="W360" s="2"/>
      <c r="Y360" s="2"/>
      <c r="Z360" s="2"/>
      <c r="AB360" s="2"/>
      <c r="AC360" s="2"/>
      <c r="AF360" s="24"/>
    </row>
    <row r="361">
      <c r="A361" s="11"/>
      <c r="B361" s="23"/>
      <c r="C361" s="23"/>
      <c r="D361" s="23"/>
      <c r="E361" s="23"/>
      <c r="F361" s="1"/>
      <c r="G361" s="23"/>
      <c r="H361" s="23"/>
      <c r="I361" s="23"/>
      <c r="J361" s="2"/>
      <c r="M361" s="40"/>
      <c r="N361" s="40"/>
      <c r="O361" s="2"/>
      <c r="P361" s="2"/>
      <c r="Q361" s="2"/>
      <c r="S361" s="2"/>
      <c r="T361" s="2"/>
      <c r="V361" s="2"/>
      <c r="W361" s="2"/>
      <c r="Y361" s="2"/>
      <c r="Z361" s="2"/>
      <c r="AB361" s="2"/>
      <c r="AC361" s="2"/>
      <c r="AF361" s="24"/>
    </row>
    <row r="362">
      <c r="A362" s="11"/>
      <c r="B362" s="23"/>
      <c r="C362" s="23"/>
      <c r="D362" s="23"/>
      <c r="E362" s="23"/>
      <c r="F362" s="1"/>
      <c r="G362" s="23"/>
      <c r="H362" s="23"/>
      <c r="I362" s="23"/>
      <c r="J362" s="2"/>
      <c r="M362" s="40"/>
      <c r="N362" s="40"/>
      <c r="O362" s="2"/>
      <c r="P362" s="2"/>
      <c r="Q362" s="2"/>
      <c r="S362" s="2"/>
      <c r="T362" s="2"/>
      <c r="V362" s="2"/>
      <c r="W362" s="2"/>
      <c r="Y362" s="2"/>
      <c r="Z362" s="2"/>
      <c r="AB362" s="2"/>
      <c r="AC362" s="2"/>
      <c r="AF362" s="24"/>
    </row>
    <row r="363">
      <c r="A363" s="11"/>
      <c r="B363" s="23"/>
      <c r="C363" s="23"/>
      <c r="D363" s="23"/>
      <c r="E363" s="23"/>
      <c r="F363" s="1"/>
      <c r="G363" s="23"/>
      <c r="H363" s="23"/>
      <c r="I363" s="23"/>
      <c r="J363" s="2"/>
      <c r="M363" s="40"/>
      <c r="N363" s="40"/>
      <c r="O363" s="2"/>
      <c r="P363" s="2"/>
      <c r="Q363" s="2"/>
      <c r="S363" s="2"/>
      <c r="T363" s="2"/>
      <c r="V363" s="2"/>
      <c r="W363" s="2"/>
      <c r="Y363" s="2"/>
      <c r="Z363" s="2"/>
      <c r="AB363" s="2"/>
      <c r="AC363" s="2"/>
      <c r="AF363" s="24"/>
    </row>
    <row r="364">
      <c r="A364" s="11"/>
      <c r="B364" s="23"/>
      <c r="C364" s="23"/>
      <c r="D364" s="23"/>
      <c r="E364" s="23"/>
      <c r="F364" s="1"/>
      <c r="G364" s="23"/>
      <c r="H364" s="23"/>
      <c r="I364" s="23"/>
      <c r="J364" s="2"/>
      <c r="M364" s="40"/>
      <c r="N364" s="40"/>
      <c r="O364" s="2"/>
      <c r="P364" s="2"/>
      <c r="Q364" s="2"/>
      <c r="S364" s="2"/>
      <c r="T364" s="2"/>
      <c r="V364" s="2"/>
      <c r="W364" s="2"/>
      <c r="Y364" s="2"/>
      <c r="Z364" s="2"/>
      <c r="AB364" s="2"/>
      <c r="AC364" s="2"/>
      <c r="AF364" s="24"/>
    </row>
    <row r="365">
      <c r="A365" s="11"/>
      <c r="B365" s="23"/>
      <c r="C365" s="23"/>
      <c r="D365" s="23"/>
      <c r="E365" s="23"/>
      <c r="F365" s="1"/>
      <c r="G365" s="23"/>
      <c r="H365" s="23"/>
      <c r="I365" s="23"/>
      <c r="J365" s="2"/>
      <c r="M365" s="40"/>
      <c r="N365" s="40"/>
      <c r="O365" s="2"/>
      <c r="P365" s="2"/>
      <c r="Q365" s="2"/>
      <c r="S365" s="2"/>
      <c r="T365" s="2"/>
      <c r="V365" s="2"/>
      <c r="W365" s="2"/>
      <c r="Y365" s="2"/>
      <c r="Z365" s="2"/>
      <c r="AB365" s="2"/>
      <c r="AC365" s="2"/>
      <c r="AF365" s="24"/>
    </row>
    <row r="366">
      <c r="A366" s="11"/>
      <c r="B366" s="23"/>
      <c r="C366" s="23"/>
      <c r="D366" s="23"/>
      <c r="E366" s="23"/>
      <c r="F366" s="1"/>
      <c r="G366" s="23"/>
      <c r="H366" s="23"/>
      <c r="I366" s="23"/>
      <c r="J366" s="2"/>
      <c r="M366" s="40"/>
      <c r="N366" s="40"/>
      <c r="O366" s="2"/>
      <c r="P366" s="2"/>
      <c r="Q366" s="2"/>
      <c r="S366" s="2"/>
      <c r="T366" s="2"/>
      <c r="V366" s="2"/>
      <c r="W366" s="2"/>
      <c r="Y366" s="2"/>
      <c r="Z366" s="2"/>
      <c r="AB366" s="2"/>
      <c r="AC366" s="2"/>
      <c r="AF366" s="24"/>
    </row>
    <row r="367">
      <c r="A367" s="11"/>
      <c r="B367" s="23"/>
      <c r="C367" s="23"/>
      <c r="D367" s="23"/>
      <c r="E367" s="23"/>
      <c r="F367" s="1"/>
      <c r="G367" s="23"/>
      <c r="H367" s="23"/>
      <c r="I367" s="23"/>
      <c r="J367" s="2"/>
      <c r="M367" s="40"/>
      <c r="N367" s="40"/>
      <c r="O367" s="2"/>
      <c r="P367" s="2"/>
      <c r="Q367" s="2"/>
      <c r="S367" s="2"/>
      <c r="T367" s="2"/>
      <c r="V367" s="2"/>
      <c r="W367" s="2"/>
      <c r="Y367" s="2"/>
      <c r="Z367" s="2"/>
      <c r="AB367" s="2"/>
      <c r="AC367" s="2"/>
      <c r="AF367" s="24"/>
    </row>
    <row r="368">
      <c r="A368" s="11"/>
      <c r="B368" s="23"/>
      <c r="C368" s="23"/>
      <c r="D368" s="23"/>
      <c r="E368" s="23"/>
      <c r="F368" s="1"/>
      <c r="G368" s="23"/>
      <c r="H368" s="23"/>
      <c r="I368" s="23"/>
      <c r="J368" s="2"/>
      <c r="M368" s="40"/>
      <c r="N368" s="40"/>
      <c r="O368" s="2"/>
      <c r="P368" s="2"/>
      <c r="Q368" s="2"/>
      <c r="S368" s="2"/>
      <c r="T368" s="2"/>
      <c r="V368" s="2"/>
      <c r="W368" s="2"/>
      <c r="Y368" s="2"/>
      <c r="Z368" s="2"/>
      <c r="AB368" s="2"/>
      <c r="AC368" s="2"/>
      <c r="AF368" s="24"/>
    </row>
    <row r="369">
      <c r="A369" s="11"/>
      <c r="B369" s="23"/>
      <c r="C369" s="23"/>
      <c r="D369" s="23"/>
      <c r="E369" s="23"/>
      <c r="F369" s="1"/>
      <c r="G369" s="23"/>
      <c r="H369" s="23"/>
      <c r="I369" s="23"/>
      <c r="J369" s="2"/>
      <c r="M369" s="40"/>
      <c r="N369" s="40"/>
      <c r="O369" s="2"/>
      <c r="P369" s="2"/>
      <c r="Q369" s="2"/>
      <c r="S369" s="2"/>
      <c r="T369" s="2"/>
      <c r="V369" s="2"/>
      <c r="W369" s="2"/>
      <c r="Y369" s="2"/>
      <c r="Z369" s="2"/>
      <c r="AB369" s="2"/>
      <c r="AC369" s="2"/>
      <c r="AF369" s="24"/>
    </row>
    <row r="370">
      <c r="A370" s="11"/>
      <c r="B370" s="23"/>
      <c r="C370" s="23"/>
      <c r="D370" s="23"/>
      <c r="E370" s="23"/>
      <c r="F370" s="1"/>
      <c r="G370" s="23"/>
      <c r="H370" s="23"/>
      <c r="I370" s="23"/>
      <c r="J370" s="2"/>
      <c r="M370" s="40"/>
      <c r="N370" s="40"/>
      <c r="O370" s="2"/>
      <c r="P370" s="2"/>
      <c r="Q370" s="2"/>
      <c r="S370" s="2"/>
      <c r="T370" s="2"/>
      <c r="V370" s="2"/>
      <c r="W370" s="2"/>
      <c r="Y370" s="2"/>
      <c r="Z370" s="2"/>
      <c r="AB370" s="2"/>
      <c r="AC370" s="2"/>
      <c r="AF370" s="24"/>
    </row>
    <row r="371">
      <c r="A371" s="11"/>
      <c r="B371" s="23"/>
      <c r="C371" s="23"/>
      <c r="D371" s="23"/>
      <c r="E371" s="23"/>
      <c r="F371" s="1"/>
      <c r="G371" s="23"/>
      <c r="H371" s="23"/>
      <c r="I371" s="23"/>
      <c r="J371" s="2"/>
      <c r="M371" s="40"/>
      <c r="N371" s="40"/>
      <c r="O371" s="2"/>
      <c r="P371" s="2"/>
      <c r="Q371" s="2"/>
      <c r="S371" s="2"/>
      <c r="T371" s="2"/>
      <c r="V371" s="2"/>
      <c r="W371" s="2"/>
      <c r="Y371" s="2"/>
      <c r="Z371" s="2"/>
      <c r="AB371" s="2"/>
      <c r="AC371" s="2"/>
      <c r="AF371" s="24"/>
    </row>
    <row r="372">
      <c r="A372" s="11"/>
      <c r="B372" s="23"/>
      <c r="C372" s="23"/>
      <c r="D372" s="23"/>
      <c r="E372" s="23"/>
      <c r="F372" s="1"/>
      <c r="G372" s="23"/>
      <c r="H372" s="23"/>
      <c r="I372" s="23"/>
      <c r="J372" s="2"/>
      <c r="M372" s="40"/>
      <c r="N372" s="40"/>
      <c r="O372" s="2"/>
      <c r="P372" s="2"/>
      <c r="Q372" s="2"/>
      <c r="S372" s="2"/>
      <c r="T372" s="2"/>
      <c r="V372" s="2"/>
      <c r="W372" s="2"/>
      <c r="Y372" s="2"/>
      <c r="Z372" s="2"/>
      <c r="AB372" s="2"/>
      <c r="AC372" s="2"/>
      <c r="AF372" s="24"/>
    </row>
    <row r="373">
      <c r="A373" s="11"/>
      <c r="B373" s="23"/>
      <c r="C373" s="23"/>
      <c r="D373" s="23"/>
      <c r="E373" s="23"/>
      <c r="F373" s="1"/>
      <c r="G373" s="23"/>
      <c r="H373" s="23"/>
      <c r="I373" s="23"/>
      <c r="J373" s="2"/>
      <c r="M373" s="40"/>
      <c r="N373" s="40"/>
      <c r="O373" s="2"/>
      <c r="P373" s="2"/>
      <c r="Q373" s="2"/>
      <c r="S373" s="2"/>
      <c r="T373" s="2"/>
      <c r="V373" s="2"/>
      <c r="W373" s="2"/>
      <c r="Y373" s="2"/>
      <c r="Z373" s="2"/>
      <c r="AB373" s="2"/>
      <c r="AC373" s="2"/>
      <c r="AF373" s="24"/>
    </row>
    <row r="374">
      <c r="A374" s="11"/>
      <c r="B374" s="23"/>
      <c r="C374" s="23"/>
      <c r="D374" s="23"/>
      <c r="E374" s="23"/>
      <c r="F374" s="1"/>
      <c r="G374" s="23"/>
      <c r="H374" s="23"/>
      <c r="I374" s="23"/>
      <c r="J374" s="2"/>
      <c r="M374" s="40"/>
      <c r="N374" s="40"/>
      <c r="O374" s="2"/>
      <c r="P374" s="2"/>
      <c r="Q374" s="2"/>
      <c r="S374" s="2"/>
      <c r="T374" s="2"/>
      <c r="V374" s="2"/>
      <c r="W374" s="2"/>
      <c r="Y374" s="2"/>
      <c r="Z374" s="2"/>
      <c r="AB374" s="2"/>
      <c r="AC374" s="2"/>
      <c r="AF374" s="24"/>
    </row>
    <row r="375">
      <c r="A375" s="11"/>
      <c r="B375" s="23"/>
      <c r="C375" s="23"/>
      <c r="D375" s="23"/>
      <c r="E375" s="23"/>
      <c r="F375" s="1"/>
      <c r="G375" s="23"/>
      <c r="H375" s="23"/>
      <c r="I375" s="23"/>
      <c r="J375" s="2"/>
      <c r="M375" s="40"/>
      <c r="N375" s="40"/>
      <c r="O375" s="2"/>
      <c r="P375" s="2"/>
      <c r="Q375" s="2"/>
      <c r="S375" s="2"/>
      <c r="T375" s="2"/>
      <c r="V375" s="2"/>
      <c r="W375" s="2"/>
      <c r="Y375" s="2"/>
      <c r="Z375" s="2"/>
      <c r="AB375" s="2"/>
      <c r="AC375" s="2"/>
      <c r="AF375" s="24"/>
    </row>
    <row r="376">
      <c r="A376" s="11"/>
      <c r="B376" s="23"/>
      <c r="C376" s="23"/>
      <c r="D376" s="23"/>
      <c r="E376" s="23"/>
      <c r="F376" s="1"/>
      <c r="G376" s="23"/>
      <c r="H376" s="23"/>
      <c r="I376" s="23"/>
      <c r="J376" s="2"/>
      <c r="M376" s="40"/>
      <c r="N376" s="40"/>
      <c r="O376" s="2"/>
      <c r="P376" s="2"/>
      <c r="Q376" s="2"/>
      <c r="S376" s="2"/>
      <c r="T376" s="2"/>
      <c r="V376" s="2"/>
      <c r="W376" s="2"/>
      <c r="Y376" s="2"/>
      <c r="Z376" s="2"/>
      <c r="AB376" s="2"/>
      <c r="AC376" s="2"/>
      <c r="AF376" s="24"/>
    </row>
    <row r="377">
      <c r="A377" s="11"/>
      <c r="B377" s="23"/>
      <c r="C377" s="23"/>
      <c r="D377" s="23"/>
      <c r="E377" s="23"/>
      <c r="F377" s="1"/>
      <c r="G377" s="23"/>
      <c r="H377" s="23"/>
      <c r="I377" s="23"/>
      <c r="J377" s="2"/>
      <c r="M377" s="40"/>
      <c r="N377" s="40"/>
      <c r="O377" s="2"/>
      <c r="P377" s="2"/>
      <c r="Q377" s="2"/>
      <c r="S377" s="2"/>
      <c r="T377" s="2"/>
      <c r="V377" s="2"/>
      <c r="W377" s="2"/>
      <c r="Y377" s="2"/>
      <c r="Z377" s="2"/>
      <c r="AB377" s="2"/>
      <c r="AC377" s="2"/>
      <c r="AF377" s="24"/>
    </row>
    <row r="378">
      <c r="A378" s="11"/>
      <c r="B378" s="23"/>
      <c r="C378" s="23"/>
      <c r="D378" s="23"/>
      <c r="E378" s="23"/>
      <c r="F378" s="1"/>
      <c r="G378" s="23"/>
      <c r="H378" s="23"/>
      <c r="I378" s="23"/>
      <c r="J378" s="2"/>
      <c r="M378" s="40"/>
      <c r="N378" s="40"/>
      <c r="O378" s="2"/>
      <c r="P378" s="2"/>
      <c r="Q378" s="2"/>
      <c r="S378" s="2"/>
      <c r="T378" s="2"/>
      <c r="V378" s="2"/>
      <c r="W378" s="2"/>
      <c r="Y378" s="2"/>
      <c r="Z378" s="2"/>
      <c r="AB378" s="2"/>
      <c r="AC378" s="2"/>
      <c r="AF378" s="24"/>
    </row>
    <row r="379">
      <c r="A379" s="11"/>
      <c r="B379" s="23"/>
      <c r="C379" s="23"/>
      <c r="D379" s="23"/>
      <c r="E379" s="23"/>
      <c r="F379" s="1"/>
      <c r="G379" s="23"/>
      <c r="H379" s="23"/>
      <c r="I379" s="23"/>
      <c r="J379" s="2"/>
      <c r="M379" s="40"/>
      <c r="N379" s="40"/>
      <c r="O379" s="2"/>
      <c r="P379" s="2"/>
      <c r="Q379" s="2"/>
      <c r="S379" s="2"/>
      <c r="T379" s="2"/>
      <c r="V379" s="2"/>
      <c r="W379" s="2"/>
      <c r="Y379" s="2"/>
      <c r="Z379" s="2"/>
      <c r="AB379" s="2"/>
      <c r="AC379" s="2"/>
      <c r="AF379" s="24"/>
    </row>
    <row r="380">
      <c r="A380" s="11"/>
      <c r="B380" s="23"/>
      <c r="C380" s="23"/>
      <c r="D380" s="23"/>
      <c r="E380" s="23"/>
      <c r="F380" s="1"/>
      <c r="G380" s="23"/>
      <c r="H380" s="23"/>
      <c r="I380" s="23"/>
      <c r="J380" s="2"/>
      <c r="M380" s="40"/>
      <c r="N380" s="40"/>
      <c r="O380" s="2"/>
      <c r="P380" s="2"/>
      <c r="Q380" s="2"/>
      <c r="S380" s="2"/>
      <c r="T380" s="2"/>
      <c r="V380" s="2"/>
      <c r="W380" s="2"/>
      <c r="Y380" s="2"/>
      <c r="Z380" s="2"/>
      <c r="AB380" s="2"/>
      <c r="AC380" s="2"/>
      <c r="AF380" s="24"/>
    </row>
    <row r="381">
      <c r="A381" s="11"/>
      <c r="B381" s="23"/>
      <c r="C381" s="23"/>
      <c r="D381" s="23"/>
      <c r="E381" s="23"/>
      <c r="F381" s="1"/>
      <c r="G381" s="23"/>
      <c r="H381" s="23"/>
      <c r="I381" s="23"/>
      <c r="J381" s="2"/>
      <c r="M381" s="40"/>
      <c r="N381" s="40"/>
      <c r="O381" s="2"/>
      <c r="P381" s="2"/>
      <c r="Q381" s="2"/>
      <c r="S381" s="2"/>
      <c r="T381" s="2"/>
      <c r="V381" s="2"/>
      <c r="W381" s="2"/>
      <c r="Y381" s="2"/>
      <c r="Z381" s="2"/>
      <c r="AB381" s="2"/>
      <c r="AC381" s="2"/>
      <c r="AF381" s="24"/>
    </row>
    <row r="382">
      <c r="A382" s="11"/>
      <c r="B382" s="23"/>
      <c r="C382" s="23"/>
      <c r="D382" s="23"/>
      <c r="E382" s="23"/>
      <c r="F382" s="1"/>
      <c r="G382" s="23"/>
      <c r="H382" s="23"/>
      <c r="I382" s="23"/>
      <c r="J382" s="2"/>
      <c r="M382" s="40"/>
      <c r="N382" s="40"/>
      <c r="O382" s="2"/>
      <c r="P382" s="2"/>
      <c r="Q382" s="2"/>
      <c r="S382" s="2"/>
      <c r="T382" s="2"/>
      <c r="V382" s="2"/>
      <c r="W382" s="2"/>
      <c r="Y382" s="2"/>
      <c r="Z382" s="2"/>
      <c r="AB382" s="2"/>
      <c r="AC382" s="2"/>
      <c r="AF382" s="24"/>
    </row>
    <row r="383">
      <c r="A383" s="11"/>
      <c r="B383" s="23"/>
      <c r="C383" s="23"/>
      <c r="D383" s="23"/>
      <c r="E383" s="23"/>
      <c r="F383" s="1"/>
      <c r="G383" s="23"/>
      <c r="H383" s="23"/>
      <c r="I383" s="23"/>
      <c r="J383" s="2"/>
      <c r="M383" s="40"/>
      <c r="N383" s="40"/>
      <c r="O383" s="2"/>
      <c r="P383" s="2"/>
      <c r="Q383" s="2"/>
      <c r="S383" s="2"/>
      <c r="T383" s="2"/>
      <c r="V383" s="2"/>
      <c r="W383" s="2"/>
      <c r="Y383" s="2"/>
      <c r="Z383" s="2"/>
      <c r="AB383" s="2"/>
      <c r="AC383" s="2"/>
      <c r="AF383" s="24"/>
    </row>
    <row r="384">
      <c r="A384" s="11"/>
      <c r="B384" s="23"/>
      <c r="C384" s="23"/>
      <c r="D384" s="23"/>
      <c r="E384" s="23"/>
      <c r="F384" s="1"/>
      <c r="G384" s="23"/>
      <c r="H384" s="23"/>
      <c r="I384" s="23"/>
      <c r="J384" s="2"/>
      <c r="M384" s="40"/>
      <c r="N384" s="40"/>
      <c r="O384" s="2"/>
      <c r="P384" s="2"/>
      <c r="Q384" s="2"/>
      <c r="S384" s="2"/>
      <c r="T384" s="2"/>
      <c r="V384" s="2"/>
      <c r="W384" s="2"/>
      <c r="Y384" s="2"/>
      <c r="Z384" s="2"/>
      <c r="AB384" s="2"/>
      <c r="AC384" s="2"/>
      <c r="AF384" s="24"/>
    </row>
    <row r="385">
      <c r="A385" s="11"/>
      <c r="B385" s="23"/>
      <c r="C385" s="23"/>
      <c r="D385" s="23"/>
      <c r="E385" s="23"/>
      <c r="F385" s="1"/>
      <c r="G385" s="23"/>
      <c r="H385" s="23"/>
      <c r="I385" s="23"/>
      <c r="J385" s="2"/>
      <c r="M385" s="40"/>
      <c r="N385" s="40"/>
      <c r="O385" s="2"/>
      <c r="P385" s="2"/>
      <c r="Q385" s="2"/>
      <c r="S385" s="2"/>
      <c r="T385" s="2"/>
      <c r="V385" s="2"/>
      <c r="W385" s="2"/>
      <c r="Y385" s="2"/>
      <c r="Z385" s="2"/>
      <c r="AB385" s="2"/>
      <c r="AC385" s="2"/>
      <c r="AF385" s="24"/>
    </row>
    <row r="386">
      <c r="A386" s="11"/>
      <c r="B386" s="23"/>
      <c r="C386" s="23"/>
      <c r="D386" s="23"/>
      <c r="E386" s="23"/>
      <c r="F386" s="1"/>
      <c r="G386" s="23"/>
      <c r="H386" s="23"/>
      <c r="I386" s="23"/>
      <c r="J386" s="2"/>
      <c r="M386" s="40"/>
      <c r="N386" s="40"/>
      <c r="O386" s="2"/>
      <c r="P386" s="2"/>
      <c r="Q386" s="2"/>
      <c r="S386" s="2"/>
      <c r="T386" s="2"/>
      <c r="V386" s="2"/>
      <c r="W386" s="2"/>
      <c r="Y386" s="2"/>
      <c r="Z386" s="2"/>
      <c r="AB386" s="2"/>
      <c r="AC386" s="2"/>
      <c r="AF386" s="24"/>
    </row>
    <row r="387">
      <c r="A387" s="11"/>
      <c r="B387" s="23"/>
      <c r="C387" s="23"/>
      <c r="D387" s="23"/>
      <c r="E387" s="23"/>
      <c r="F387" s="1"/>
      <c r="G387" s="23"/>
      <c r="H387" s="23"/>
      <c r="I387" s="23"/>
      <c r="J387" s="2"/>
      <c r="M387" s="40"/>
      <c r="N387" s="40"/>
      <c r="O387" s="2"/>
      <c r="P387" s="2"/>
      <c r="Q387" s="2"/>
      <c r="S387" s="2"/>
      <c r="T387" s="2"/>
      <c r="V387" s="2"/>
      <c r="W387" s="2"/>
      <c r="Y387" s="2"/>
      <c r="Z387" s="2"/>
      <c r="AB387" s="2"/>
      <c r="AC387" s="2"/>
      <c r="AF387" s="24"/>
    </row>
    <row r="388">
      <c r="A388" s="11"/>
      <c r="B388" s="23"/>
      <c r="C388" s="23"/>
      <c r="D388" s="23"/>
      <c r="E388" s="23"/>
      <c r="F388" s="1"/>
      <c r="G388" s="23"/>
      <c r="H388" s="23"/>
      <c r="I388" s="23"/>
      <c r="J388" s="2"/>
      <c r="M388" s="40"/>
      <c r="N388" s="40"/>
      <c r="O388" s="2"/>
      <c r="P388" s="2"/>
      <c r="Q388" s="2"/>
      <c r="S388" s="2"/>
      <c r="T388" s="2"/>
      <c r="V388" s="2"/>
      <c r="W388" s="2"/>
      <c r="Y388" s="2"/>
      <c r="Z388" s="2"/>
      <c r="AB388" s="2"/>
      <c r="AC388" s="2"/>
      <c r="AF388" s="24"/>
    </row>
    <row r="389">
      <c r="A389" s="11"/>
      <c r="B389" s="23"/>
      <c r="C389" s="23"/>
      <c r="D389" s="23"/>
      <c r="E389" s="23"/>
      <c r="F389" s="1"/>
      <c r="G389" s="23"/>
      <c r="H389" s="23"/>
      <c r="I389" s="23"/>
      <c r="J389" s="2"/>
      <c r="M389" s="40"/>
      <c r="N389" s="40"/>
      <c r="O389" s="2"/>
      <c r="P389" s="2"/>
      <c r="Q389" s="2"/>
      <c r="S389" s="2"/>
      <c r="T389" s="2"/>
      <c r="V389" s="2"/>
      <c r="W389" s="2"/>
      <c r="Y389" s="2"/>
      <c r="Z389" s="2"/>
      <c r="AB389" s="2"/>
      <c r="AC389" s="2"/>
      <c r="AF389" s="24"/>
    </row>
    <row r="390">
      <c r="A390" s="11"/>
      <c r="B390" s="23"/>
      <c r="C390" s="23"/>
      <c r="D390" s="23"/>
      <c r="E390" s="23"/>
      <c r="F390" s="1"/>
      <c r="G390" s="23"/>
      <c r="H390" s="23"/>
      <c r="I390" s="23"/>
      <c r="J390" s="2"/>
      <c r="M390" s="40"/>
      <c r="N390" s="40"/>
      <c r="O390" s="2"/>
      <c r="P390" s="2"/>
      <c r="Q390" s="2"/>
      <c r="S390" s="2"/>
      <c r="T390" s="2"/>
      <c r="V390" s="2"/>
      <c r="W390" s="2"/>
      <c r="Y390" s="2"/>
      <c r="Z390" s="2"/>
      <c r="AB390" s="2"/>
      <c r="AC390" s="2"/>
      <c r="AF390" s="24"/>
    </row>
    <row r="391">
      <c r="A391" s="11"/>
      <c r="B391" s="23"/>
      <c r="C391" s="23"/>
      <c r="D391" s="23"/>
      <c r="E391" s="23"/>
      <c r="F391" s="1"/>
      <c r="G391" s="23"/>
      <c r="H391" s="23"/>
      <c r="I391" s="23"/>
      <c r="J391" s="2"/>
      <c r="M391" s="40"/>
      <c r="N391" s="40"/>
      <c r="O391" s="2"/>
      <c r="P391" s="2"/>
      <c r="Q391" s="2"/>
      <c r="S391" s="2"/>
      <c r="T391" s="2"/>
      <c r="V391" s="2"/>
      <c r="W391" s="2"/>
      <c r="Y391" s="2"/>
      <c r="Z391" s="2"/>
      <c r="AB391" s="2"/>
      <c r="AC391" s="2"/>
      <c r="AF391" s="24"/>
    </row>
    <row r="392">
      <c r="A392" s="11"/>
      <c r="B392" s="23"/>
      <c r="C392" s="23"/>
      <c r="D392" s="23"/>
      <c r="E392" s="23"/>
      <c r="F392" s="1"/>
      <c r="G392" s="23"/>
      <c r="H392" s="23"/>
      <c r="I392" s="23"/>
      <c r="J392" s="2"/>
      <c r="M392" s="40"/>
      <c r="N392" s="40"/>
      <c r="O392" s="2"/>
      <c r="P392" s="2"/>
      <c r="Q392" s="2"/>
      <c r="S392" s="2"/>
      <c r="T392" s="2"/>
      <c r="V392" s="2"/>
      <c r="W392" s="2"/>
      <c r="Y392" s="2"/>
      <c r="Z392" s="2"/>
      <c r="AB392" s="2"/>
      <c r="AC392" s="2"/>
      <c r="AF392" s="24"/>
    </row>
    <row r="393">
      <c r="A393" s="11"/>
      <c r="B393" s="23"/>
      <c r="C393" s="23"/>
      <c r="D393" s="23"/>
      <c r="E393" s="23"/>
      <c r="F393" s="1"/>
      <c r="G393" s="23"/>
      <c r="H393" s="23"/>
      <c r="I393" s="23"/>
      <c r="J393" s="2"/>
      <c r="M393" s="40"/>
      <c r="N393" s="40"/>
      <c r="O393" s="2"/>
      <c r="P393" s="2"/>
      <c r="Q393" s="2"/>
      <c r="S393" s="2"/>
      <c r="T393" s="2"/>
      <c r="V393" s="2"/>
      <c r="W393" s="2"/>
      <c r="Y393" s="2"/>
      <c r="Z393" s="2"/>
      <c r="AB393" s="2"/>
      <c r="AC393" s="2"/>
      <c r="AF393" s="24"/>
    </row>
    <row r="394">
      <c r="A394" s="11"/>
      <c r="B394" s="23"/>
      <c r="C394" s="23"/>
      <c r="D394" s="23"/>
      <c r="E394" s="23"/>
      <c r="F394" s="1"/>
      <c r="G394" s="23"/>
      <c r="H394" s="23"/>
      <c r="I394" s="23"/>
      <c r="J394" s="2"/>
      <c r="M394" s="40"/>
      <c r="N394" s="40"/>
      <c r="O394" s="2"/>
      <c r="P394" s="2"/>
      <c r="Q394" s="2"/>
      <c r="S394" s="2"/>
      <c r="T394" s="2"/>
      <c r="V394" s="2"/>
      <c r="W394" s="2"/>
      <c r="Y394" s="2"/>
      <c r="Z394" s="2"/>
      <c r="AB394" s="2"/>
      <c r="AC394" s="2"/>
      <c r="AF394" s="24"/>
    </row>
    <row r="395">
      <c r="A395" s="11"/>
      <c r="B395" s="23"/>
      <c r="C395" s="23"/>
      <c r="D395" s="23"/>
      <c r="E395" s="23"/>
      <c r="F395" s="1"/>
      <c r="G395" s="23"/>
      <c r="H395" s="23"/>
      <c r="I395" s="23"/>
      <c r="J395" s="2"/>
      <c r="M395" s="40"/>
      <c r="N395" s="40"/>
      <c r="O395" s="2"/>
      <c r="P395" s="2"/>
      <c r="Q395" s="2"/>
      <c r="S395" s="2"/>
      <c r="T395" s="2"/>
      <c r="V395" s="2"/>
      <c r="W395" s="2"/>
      <c r="Y395" s="2"/>
      <c r="Z395" s="2"/>
      <c r="AB395" s="2"/>
      <c r="AC395" s="2"/>
      <c r="AF395" s="24"/>
    </row>
    <row r="396">
      <c r="A396" s="11"/>
      <c r="B396" s="23"/>
      <c r="C396" s="23"/>
      <c r="D396" s="23"/>
      <c r="E396" s="23"/>
      <c r="F396" s="1"/>
      <c r="G396" s="23"/>
      <c r="H396" s="23"/>
      <c r="I396" s="23"/>
      <c r="J396" s="2"/>
      <c r="M396" s="40"/>
      <c r="N396" s="40"/>
      <c r="O396" s="2"/>
      <c r="P396" s="2"/>
      <c r="Q396" s="2"/>
      <c r="S396" s="2"/>
      <c r="T396" s="2"/>
      <c r="V396" s="2"/>
      <c r="W396" s="2"/>
      <c r="Y396" s="2"/>
      <c r="Z396" s="2"/>
      <c r="AB396" s="2"/>
      <c r="AC396" s="2"/>
      <c r="AF396" s="24"/>
    </row>
    <row r="397">
      <c r="A397" s="11"/>
      <c r="B397" s="23"/>
      <c r="C397" s="23"/>
      <c r="D397" s="23"/>
      <c r="E397" s="23"/>
      <c r="F397" s="1"/>
      <c r="G397" s="23"/>
      <c r="H397" s="23"/>
      <c r="I397" s="23"/>
      <c r="J397" s="2"/>
      <c r="M397" s="40"/>
      <c r="N397" s="40"/>
      <c r="O397" s="2"/>
      <c r="P397" s="2"/>
      <c r="Q397" s="2"/>
      <c r="S397" s="2"/>
      <c r="T397" s="2"/>
      <c r="V397" s="2"/>
      <c r="W397" s="2"/>
      <c r="Y397" s="2"/>
      <c r="Z397" s="2"/>
      <c r="AB397" s="2"/>
      <c r="AC397" s="2"/>
      <c r="AF397" s="24"/>
    </row>
    <row r="398">
      <c r="A398" s="11"/>
      <c r="B398" s="23"/>
      <c r="C398" s="23"/>
      <c r="D398" s="23"/>
      <c r="E398" s="23"/>
      <c r="F398" s="1"/>
      <c r="G398" s="23"/>
      <c r="H398" s="23"/>
      <c r="I398" s="23"/>
      <c r="J398" s="2"/>
      <c r="M398" s="40"/>
      <c r="N398" s="40"/>
      <c r="O398" s="2"/>
      <c r="P398" s="2"/>
      <c r="Q398" s="2"/>
      <c r="S398" s="2"/>
      <c r="T398" s="2"/>
      <c r="V398" s="2"/>
      <c r="W398" s="2"/>
      <c r="Y398" s="2"/>
      <c r="Z398" s="2"/>
      <c r="AB398" s="2"/>
      <c r="AC398" s="2"/>
      <c r="AF398" s="24"/>
    </row>
    <row r="399">
      <c r="A399" s="11"/>
      <c r="B399" s="23"/>
      <c r="C399" s="23"/>
      <c r="D399" s="23"/>
      <c r="E399" s="23"/>
      <c r="F399" s="1"/>
      <c r="G399" s="23"/>
      <c r="H399" s="23"/>
      <c r="I399" s="23"/>
      <c r="J399" s="2"/>
      <c r="M399" s="40"/>
      <c r="N399" s="40"/>
      <c r="O399" s="2"/>
      <c r="P399" s="2"/>
      <c r="Q399" s="2"/>
      <c r="S399" s="2"/>
      <c r="T399" s="2"/>
      <c r="V399" s="2"/>
      <c r="W399" s="2"/>
      <c r="Y399" s="2"/>
      <c r="Z399" s="2"/>
      <c r="AB399" s="2"/>
      <c r="AC399" s="2"/>
      <c r="AF399" s="24"/>
    </row>
    <row r="400">
      <c r="A400" s="11"/>
      <c r="B400" s="23"/>
      <c r="C400" s="23"/>
      <c r="D400" s="23"/>
      <c r="E400" s="23"/>
      <c r="F400" s="1"/>
      <c r="G400" s="23"/>
      <c r="H400" s="23"/>
      <c r="I400" s="23"/>
      <c r="J400" s="2"/>
      <c r="M400" s="40"/>
      <c r="N400" s="40"/>
      <c r="O400" s="2"/>
      <c r="P400" s="2"/>
      <c r="Q400" s="2"/>
      <c r="S400" s="2"/>
      <c r="T400" s="2"/>
      <c r="V400" s="2"/>
      <c r="W400" s="2"/>
      <c r="Y400" s="2"/>
      <c r="Z400" s="2"/>
      <c r="AB400" s="2"/>
      <c r="AC400" s="2"/>
      <c r="AF400" s="24"/>
    </row>
    <row r="401">
      <c r="A401" s="11"/>
      <c r="B401" s="23"/>
      <c r="C401" s="23"/>
      <c r="D401" s="23"/>
      <c r="E401" s="23"/>
      <c r="F401" s="1"/>
      <c r="G401" s="23"/>
      <c r="H401" s="23"/>
      <c r="I401" s="23"/>
      <c r="J401" s="2"/>
      <c r="M401" s="40"/>
      <c r="N401" s="40"/>
      <c r="O401" s="2"/>
      <c r="P401" s="2"/>
      <c r="Q401" s="2"/>
      <c r="S401" s="2"/>
      <c r="T401" s="2"/>
      <c r="V401" s="2"/>
      <c r="W401" s="2"/>
      <c r="Y401" s="2"/>
      <c r="Z401" s="2"/>
      <c r="AB401" s="2"/>
      <c r="AC401" s="2"/>
      <c r="AF401" s="24"/>
    </row>
    <row r="402">
      <c r="A402" s="11"/>
      <c r="B402" s="23"/>
      <c r="C402" s="23"/>
      <c r="D402" s="23"/>
      <c r="E402" s="23"/>
      <c r="F402" s="1"/>
      <c r="G402" s="23"/>
      <c r="H402" s="23"/>
      <c r="I402" s="23"/>
      <c r="J402" s="2"/>
      <c r="M402" s="40"/>
      <c r="N402" s="40"/>
      <c r="O402" s="2"/>
      <c r="P402" s="2"/>
      <c r="Q402" s="2"/>
      <c r="S402" s="2"/>
      <c r="T402" s="2"/>
      <c r="V402" s="2"/>
      <c r="W402" s="2"/>
      <c r="Y402" s="2"/>
      <c r="Z402" s="2"/>
      <c r="AB402" s="2"/>
      <c r="AC402" s="2"/>
      <c r="AF402" s="24"/>
    </row>
    <row r="403">
      <c r="A403" s="11"/>
      <c r="B403" s="23"/>
      <c r="C403" s="23"/>
      <c r="D403" s="23"/>
      <c r="E403" s="23"/>
      <c r="F403" s="1"/>
      <c r="G403" s="23"/>
      <c r="H403" s="23"/>
      <c r="I403" s="23"/>
      <c r="J403" s="2"/>
      <c r="M403" s="40"/>
      <c r="N403" s="40"/>
      <c r="O403" s="2"/>
      <c r="P403" s="2"/>
      <c r="Q403" s="2"/>
      <c r="S403" s="2"/>
      <c r="T403" s="2"/>
      <c r="V403" s="2"/>
      <c r="W403" s="2"/>
      <c r="Y403" s="2"/>
      <c r="Z403" s="2"/>
      <c r="AB403" s="2"/>
      <c r="AC403" s="2"/>
      <c r="AF403" s="24"/>
    </row>
    <row r="404">
      <c r="A404" s="11"/>
      <c r="B404" s="23"/>
      <c r="C404" s="23"/>
      <c r="D404" s="23"/>
      <c r="E404" s="23"/>
      <c r="F404" s="1"/>
      <c r="G404" s="23"/>
      <c r="H404" s="23"/>
      <c r="I404" s="23"/>
      <c r="J404" s="2"/>
      <c r="M404" s="40"/>
      <c r="N404" s="40"/>
      <c r="O404" s="2"/>
      <c r="P404" s="2"/>
      <c r="Q404" s="2"/>
      <c r="S404" s="2"/>
      <c r="T404" s="2"/>
      <c r="V404" s="2"/>
      <c r="W404" s="2"/>
      <c r="Y404" s="2"/>
      <c r="Z404" s="2"/>
      <c r="AB404" s="2"/>
      <c r="AC404" s="2"/>
      <c r="AF404" s="24"/>
    </row>
    <row r="405">
      <c r="A405" s="11"/>
      <c r="B405" s="23"/>
      <c r="C405" s="23"/>
      <c r="D405" s="23"/>
      <c r="E405" s="23"/>
      <c r="F405" s="1"/>
      <c r="G405" s="23"/>
      <c r="H405" s="23"/>
      <c r="I405" s="23"/>
      <c r="J405" s="2"/>
      <c r="M405" s="40"/>
      <c r="N405" s="40"/>
      <c r="O405" s="2"/>
      <c r="P405" s="2"/>
      <c r="Q405" s="2"/>
      <c r="S405" s="2"/>
      <c r="T405" s="2"/>
      <c r="V405" s="2"/>
      <c r="W405" s="2"/>
      <c r="Y405" s="2"/>
      <c r="Z405" s="2"/>
      <c r="AB405" s="2"/>
      <c r="AC405" s="2"/>
      <c r="AF405" s="24"/>
    </row>
    <row r="406">
      <c r="A406" s="11"/>
      <c r="B406" s="23"/>
      <c r="C406" s="23"/>
      <c r="D406" s="23"/>
      <c r="E406" s="23"/>
      <c r="F406" s="1"/>
      <c r="G406" s="23"/>
      <c r="H406" s="23"/>
      <c r="I406" s="23"/>
      <c r="J406" s="2"/>
      <c r="M406" s="40"/>
      <c r="N406" s="40"/>
      <c r="O406" s="2"/>
      <c r="P406" s="2"/>
      <c r="Q406" s="2"/>
      <c r="S406" s="2"/>
      <c r="T406" s="2"/>
      <c r="V406" s="2"/>
      <c r="W406" s="2"/>
      <c r="Y406" s="2"/>
      <c r="Z406" s="2"/>
      <c r="AB406" s="2"/>
      <c r="AC406" s="2"/>
      <c r="AF406" s="24"/>
    </row>
    <row r="407">
      <c r="A407" s="11"/>
      <c r="B407" s="23"/>
      <c r="C407" s="23"/>
      <c r="D407" s="23"/>
      <c r="E407" s="23"/>
      <c r="F407" s="1"/>
      <c r="G407" s="23"/>
      <c r="H407" s="23"/>
      <c r="I407" s="23"/>
      <c r="J407" s="2"/>
      <c r="M407" s="40"/>
      <c r="N407" s="40"/>
      <c r="O407" s="2"/>
      <c r="P407" s="2"/>
      <c r="Q407" s="2"/>
      <c r="S407" s="2"/>
      <c r="T407" s="2"/>
      <c r="V407" s="2"/>
      <c r="W407" s="2"/>
      <c r="Y407" s="2"/>
      <c r="Z407" s="2"/>
      <c r="AB407" s="2"/>
      <c r="AC407" s="2"/>
      <c r="AF407" s="24"/>
    </row>
    <row r="408">
      <c r="A408" s="11"/>
      <c r="B408" s="23"/>
      <c r="C408" s="23"/>
      <c r="D408" s="23"/>
      <c r="E408" s="23"/>
      <c r="F408" s="1"/>
      <c r="G408" s="23"/>
      <c r="H408" s="23"/>
      <c r="I408" s="23"/>
      <c r="J408" s="2"/>
      <c r="M408" s="40"/>
      <c r="N408" s="40"/>
      <c r="O408" s="2"/>
      <c r="P408" s="2"/>
      <c r="Q408" s="2"/>
      <c r="S408" s="2"/>
      <c r="T408" s="2"/>
      <c r="V408" s="2"/>
      <c r="W408" s="2"/>
      <c r="Y408" s="2"/>
      <c r="Z408" s="2"/>
      <c r="AB408" s="2"/>
      <c r="AC408" s="2"/>
      <c r="AF408" s="24"/>
    </row>
    <row r="409">
      <c r="A409" s="11"/>
      <c r="B409" s="23"/>
      <c r="C409" s="23"/>
      <c r="D409" s="23"/>
      <c r="E409" s="23"/>
      <c r="F409" s="1"/>
      <c r="G409" s="23"/>
      <c r="H409" s="23"/>
      <c r="I409" s="23"/>
      <c r="J409" s="2"/>
      <c r="M409" s="40"/>
      <c r="N409" s="40"/>
      <c r="O409" s="2"/>
      <c r="P409" s="2"/>
      <c r="Q409" s="2"/>
      <c r="S409" s="2"/>
      <c r="T409" s="2"/>
      <c r="V409" s="2"/>
      <c r="W409" s="2"/>
      <c r="Y409" s="2"/>
      <c r="Z409" s="2"/>
      <c r="AB409" s="2"/>
      <c r="AC409" s="2"/>
      <c r="AF409" s="24"/>
    </row>
    <row r="410">
      <c r="A410" s="11"/>
      <c r="B410" s="23"/>
      <c r="C410" s="23"/>
      <c r="D410" s="23"/>
      <c r="E410" s="23"/>
      <c r="F410" s="1"/>
      <c r="G410" s="23"/>
      <c r="H410" s="23"/>
      <c r="I410" s="23"/>
      <c r="J410" s="2"/>
      <c r="M410" s="40"/>
      <c r="N410" s="40"/>
      <c r="O410" s="2"/>
      <c r="P410" s="2"/>
      <c r="Q410" s="2"/>
      <c r="S410" s="2"/>
      <c r="T410" s="2"/>
      <c r="V410" s="2"/>
      <c r="W410" s="2"/>
      <c r="Y410" s="2"/>
      <c r="Z410" s="2"/>
      <c r="AB410" s="2"/>
      <c r="AC410" s="2"/>
      <c r="AF410" s="24"/>
    </row>
    <row r="411">
      <c r="A411" s="11"/>
      <c r="B411" s="23"/>
      <c r="C411" s="23"/>
      <c r="D411" s="23"/>
      <c r="E411" s="23"/>
      <c r="F411" s="1"/>
      <c r="G411" s="23"/>
      <c r="H411" s="23"/>
      <c r="I411" s="23"/>
      <c r="J411" s="2"/>
      <c r="M411" s="40"/>
      <c r="N411" s="40"/>
      <c r="O411" s="2"/>
      <c r="P411" s="2"/>
      <c r="Q411" s="2"/>
      <c r="S411" s="2"/>
      <c r="T411" s="2"/>
      <c r="V411" s="2"/>
      <c r="W411" s="2"/>
      <c r="Y411" s="2"/>
      <c r="Z411" s="2"/>
      <c r="AB411" s="2"/>
      <c r="AC411" s="2"/>
      <c r="AF411" s="24"/>
    </row>
    <row r="412">
      <c r="A412" s="11"/>
      <c r="B412" s="23"/>
      <c r="C412" s="23"/>
      <c r="D412" s="23"/>
      <c r="E412" s="23"/>
      <c r="F412" s="1"/>
      <c r="G412" s="23"/>
      <c r="H412" s="23"/>
      <c r="I412" s="23"/>
      <c r="J412" s="2"/>
      <c r="M412" s="40"/>
      <c r="N412" s="40"/>
      <c r="O412" s="2"/>
      <c r="P412" s="2"/>
      <c r="Q412" s="2"/>
      <c r="S412" s="2"/>
      <c r="T412" s="2"/>
      <c r="V412" s="2"/>
      <c r="W412" s="2"/>
      <c r="Y412" s="2"/>
      <c r="Z412" s="2"/>
      <c r="AB412" s="2"/>
      <c r="AC412" s="2"/>
      <c r="AF412" s="24"/>
    </row>
    <row r="413">
      <c r="A413" s="11"/>
      <c r="B413" s="23"/>
      <c r="C413" s="23"/>
      <c r="D413" s="23"/>
      <c r="E413" s="23"/>
      <c r="F413" s="1"/>
      <c r="G413" s="23"/>
      <c r="H413" s="23"/>
      <c r="I413" s="23"/>
      <c r="J413" s="2"/>
      <c r="M413" s="40"/>
      <c r="N413" s="40"/>
      <c r="O413" s="2"/>
      <c r="P413" s="2"/>
      <c r="Q413" s="2"/>
      <c r="S413" s="2"/>
      <c r="T413" s="2"/>
      <c r="V413" s="2"/>
      <c r="W413" s="2"/>
      <c r="Y413" s="2"/>
      <c r="Z413" s="2"/>
      <c r="AB413" s="2"/>
      <c r="AC413" s="2"/>
      <c r="AF413" s="24"/>
    </row>
    <row r="414">
      <c r="A414" s="11"/>
      <c r="B414" s="23"/>
      <c r="C414" s="23"/>
      <c r="D414" s="23"/>
      <c r="E414" s="23"/>
      <c r="F414" s="1"/>
      <c r="G414" s="23"/>
      <c r="H414" s="23"/>
      <c r="I414" s="23"/>
      <c r="J414" s="2"/>
      <c r="M414" s="40"/>
      <c r="N414" s="40"/>
      <c r="O414" s="2"/>
      <c r="P414" s="2"/>
      <c r="Q414" s="2"/>
      <c r="S414" s="2"/>
      <c r="T414" s="2"/>
      <c r="V414" s="2"/>
      <c r="W414" s="2"/>
      <c r="Y414" s="2"/>
      <c r="Z414" s="2"/>
      <c r="AB414" s="2"/>
      <c r="AC414" s="2"/>
      <c r="AF414" s="24"/>
    </row>
    <row r="415">
      <c r="A415" s="11"/>
      <c r="B415" s="23"/>
      <c r="C415" s="23"/>
      <c r="D415" s="23"/>
      <c r="E415" s="23"/>
      <c r="F415" s="1"/>
      <c r="G415" s="23"/>
      <c r="H415" s="23"/>
      <c r="I415" s="23"/>
      <c r="J415" s="2"/>
      <c r="M415" s="40"/>
      <c r="N415" s="40"/>
      <c r="O415" s="2"/>
      <c r="P415" s="2"/>
      <c r="Q415" s="2"/>
      <c r="S415" s="2"/>
      <c r="T415" s="2"/>
      <c r="V415" s="2"/>
      <c r="W415" s="2"/>
      <c r="Y415" s="2"/>
      <c r="Z415" s="2"/>
      <c r="AB415" s="2"/>
      <c r="AC415" s="2"/>
      <c r="AF415" s="24"/>
    </row>
    <row r="416">
      <c r="A416" s="11"/>
      <c r="B416" s="23"/>
      <c r="C416" s="23"/>
      <c r="D416" s="23"/>
      <c r="E416" s="23"/>
      <c r="F416" s="1"/>
      <c r="G416" s="23"/>
      <c r="H416" s="23"/>
      <c r="I416" s="23"/>
      <c r="J416" s="2"/>
      <c r="M416" s="40"/>
      <c r="N416" s="40"/>
      <c r="O416" s="2"/>
      <c r="P416" s="2"/>
      <c r="Q416" s="2"/>
      <c r="S416" s="2"/>
      <c r="T416" s="2"/>
      <c r="V416" s="2"/>
      <c r="W416" s="2"/>
      <c r="Y416" s="2"/>
      <c r="Z416" s="2"/>
      <c r="AB416" s="2"/>
      <c r="AC416" s="2"/>
      <c r="AF416" s="24"/>
    </row>
    <row r="417">
      <c r="A417" s="11"/>
      <c r="B417" s="23"/>
      <c r="C417" s="23"/>
      <c r="D417" s="23"/>
      <c r="E417" s="23"/>
      <c r="F417" s="1"/>
      <c r="G417" s="23"/>
      <c r="H417" s="23"/>
      <c r="I417" s="23"/>
      <c r="J417" s="2"/>
      <c r="M417" s="40"/>
      <c r="N417" s="40"/>
      <c r="O417" s="2"/>
      <c r="P417" s="2"/>
      <c r="Q417" s="2"/>
      <c r="S417" s="2"/>
      <c r="T417" s="2"/>
      <c r="V417" s="2"/>
      <c r="W417" s="2"/>
      <c r="Y417" s="2"/>
      <c r="Z417" s="2"/>
      <c r="AB417" s="2"/>
      <c r="AC417" s="2"/>
      <c r="AF417" s="24"/>
    </row>
    <row r="418">
      <c r="A418" s="11"/>
      <c r="B418" s="23"/>
      <c r="C418" s="23"/>
      <c r="D418" s="23"/>
      <c r="E418" s="23"/>
      <c r="F418" s="1"/>
      <c r="G418" s="23"/>
      <c r="H418" s="23"/>
      <c r="I418" s="23"/>
      <c r="J418" s="2"/>
      <c r="M418" s="40"/>
      <c r="N418" s="40"/>
      <c r="O418" s="2"/>
      <c r="P418" s="2"/>
      <c r="Q418" s="2"/>
      <c r="S418" s="2"/>
      <c r="T418" s="2"/>
      <c r="V418" s="2"/>
      <c r="W418" s="2"/>
      <c r="Y418" s="2"/>
      <c r="Z418" s="2"/>
      <c r="AB418" s="2"/>
      <c r="AC418" s="2"/>
      <c r="AF418" s="24"/>
    </row>
    <row r="419">
      <c r="A419" s="11"/>
      <c r="B419" s="23"/>
      <c r="C419" s="23"/>
      <c r="D419" s="23"/>
      <c r="E419" s="23"/>
      <c r="F419" s="1"/>
      <c r="G419" s="23"/>
      <c r="H419" s="23"/>
      <c r="I419" s="23"/>
      <c r="J419" s="2"/>
      <c r="M419" s="40"/>
      <c r="N419" s="40"/>
      <c r="O419" s="2"/>
      <c r="P419" s="2"/>
      <c r="Q419" s="2"/>
      <c r="S419" s="2"/>
      <c r="T419" s="2"/>
      <c r="V419" s="2"/>
      <c r="W419" s="2"/>
      <c r="Y419" s="2"/>
      <c r="Z419" s="2"/>
      <c r="AB419" s="2"/>
      <c r="AC419" s="2"/>
      <c r="AF419" s="24"/>
    </row>
    <row r="420">
      <c r="A420" s="11"/>
      <c r="B420" s="23"/>
      <c r="C420" s="23"/>
      <c r="D420" s="23"/>
      <c r="E420" s="23"/>
      <c r="F420" s="1"/>
      <c r="G420" s="23"/>
      <c r="H420" s="23"/>
      <c r="I420" s="23"/>
      <c r="J420" s="2"/>
      <c r="M420" s="40"/>
      <c r="N420" s="40"/>
      <c r="O420" s="2"/>
      <c r="P420" s="2"/>
      <c r="Q420" s="2"/>
      <c r="S420" s="2"/>
      <c r="T420" s="2"/>
      <c r="V420" s="2"/>
      <c r="W420" s="2"/>
      <c r="Y420" s="2"/>
      <c r="Z420" s="2"/>
      <c r="AB420" s="2"/>
      <c r="AC420" s="2"/>
      <c r="AF420" s="24"/>
    </row>
    <row r="421">
      <c r="A421" s="11"/>
      <c r="B421" s="23"/>
      <c r="C421" s="23"/>
      <c r="D421" s="23"/>
      <c r="E421" s="23"/>
      <c r="F421" s="1"/>
      <c r="G421" s="23"/>
      <c r="H421" s="23"/>
      <c r="I421" s="23"/>
      <c r="J421" s="2"/>
      <c r="M421" s="40"/>
      <c r="N421" s="40"/>
      <c r="O421" s="2"/>
      <c r="P421" s="2"/>
      <c r="Q421" s="2"/>
      <c r="S421" s="2"/>
      <c r="T421" s="2"/>
      <c r="V421" s="2"/>
      <c r="W421" s="2"/>
      <c r="Y421" s="2"/>
      <c r="Z421" s="2"/>
      <c r="AB421" s="2"/>
      <c r="AC421" s="2"/>
      <c r="AF421" s="24"/>
    </row>
    <row r="422">
      <c r="A422" s="11"/>
      <c r="B422" s="23"/>
      <c r="C422" s="23"/>
      <c r="D422" s="23"/>
      <c r="E422" s="23"/>
      <c r="F422" s="1"/>
      <c r="G422" s="23"/>
      <c r="H422" s="23"/>
      <c r="I422" s="23"/>
      <c r="J422" s="2"/>
      <c r="M422" s="40"/>
      <c r="N422" s="40"/>
      <c r="O422" s="2"/>
      <c r="P422" s="2"/>
      <c r="Q422" s="2"/>
      <c r="S422" s="2"/>
      <c r="T422" s="2"/>
      <c r="V422" s="2"/>
      <c r="W422" s="2"/>
      <c r="Y422" s="2"/>
      <c r="Z422" s="2"/>
      <c r="AB422" s="2"/>
      <c r="AC422" s="2"/>
      <c r="AF422" s="24"/>
    </row>
    <row r="423">
      <c r="A423" s="11"/>
      <c r="B423" s="23"/>
      <c r="C423" s="23"/>
      <c r="D423" s="23"/>
      <c r="E423" s="23"/>
      <c r="F423" s="1"/>
      <c r="G423" s="23"/>
      <c r="H423" s="23"/>
      <c r="I423" s="23"/>
      <c r="J423" s="2"/>
      <c r="M423" s="40"/>
      <c r="N423" s="40"/>
      <c r="O423" s="2"/>
      <c r="P423" s="2"/>
      <c r="Q423" s="2"/>
      <c r="S423" s="2"/>
      <c r="T423" s="2"/>
      <c r="V423" s="2"/>
      <c r="W423" s="2"/>
      <c r="Y423" s="2"/>
      <c r="Z423" s="2"/>
      <c r="AB423" s="2"/>
      <c r="AC423" s="2"/>
      <c r="AF423" s="24"/>
    </row>
    <row r="424">
      <c r="A424" s="11"/>
      <c r="B424" s="23"/>
      <c r="C424" s="23"/>
      <c r="D424" s="23"/>
      <c r="E424" s="23"/>
      <c r="F424" s="1"/>
      <c r="G424" s="23"/>
      <c r="H424" s="23"/>
      <c r="I424" s="23"/>
      <c r="J424" s="2"/>
      <c r="M424" s="40"/>
      <c r="N424" s="40"/>
      <c r="O424" s="2"/>
      <c r="P424" s="2"/>
      <c r="Q424" s="2"/>
      <c r="S424" s="2"/>
      <c r="T424" s="2"/>
      <c r="V424" s="2"/>
      <c r="W424" s="2"/>
      <c r="Y424" s="2"/>
      <c r="Z424" s="2"/>
      <c r="AB424" s="2"/>
      <c r="AC424" s="2"/>
      <c r="AF424" s="24"/>
    </row>
    <row r="425">
      <c r="A425" s="11"/>
      <c r="B425" s="23"/>
      <c r="C425" s="23"/>
      <c r="D425" s="23"/>
      <c r="E425" s="23"/>
      <c r="F425" s="1"/>
      <c r="G425" s="23"/>
      <c r="H425" s="23"/>
      <c r="I425" s="23"/>
      <c r="J425" s="2"/>
      <c r="M425" s="40"/>
      <c r="N425" s="40"/>
      <c r="O425" s="2"/>
      <c r="P425" s="2"/>
      <c r="Q425" s="2"/>
      <c r="S425" s="2"/>
      <c r="T425" s="2"/>
      <c r="V425" s="2"/>
      <c r="W425" s="2"/>
      <c r="Y425" s="2"/>
      <c r="Z425" s="2"/>
      <c r="AB425" s="2"/>
      <c r="AC425" s="2"/>
      <c r="AF425" s="24"/>
    </row>
    <row r="426">
      <c r="A426" s="11"/>
      <c r="B426" s="23"/>
      <c r="C426" s="23"/>
      <c r="D426" s="23"/>
      <c r="E426" s="23"/>
      <c r="F426" s="1"/>
      <c r="G426" s="23"/>
      <c r="H426" s="23"/>
      <c r="I426" s="23"/>
      <c r="J426" s="2"/>
      <c r="M426" s="40"/>
      <c r="N426" s="40"/>
      <c r="O426" s="2"/>
      <c r="P426" s="2"/>
      <c r="Q426" s="2"/>
      <c r="S426" s="2"/>
      <c r="T426" s="2"/>
      <c r="V426" s="2"/>
      <c r="W426" s="2"/>
      <c r="Y426" s="2"/>
      <c r="Z426" s="2"/>
      <c r="AB426" s="2"/>
      <c r="AC426" s="2"/>
      <c r="AF426" s="24"/>
    </row>
    <row r="427">
      <c r="A427" s="11"/>
      <c r="B427" s="23"/>
      <c r="C427" s="23"/>
      <c r="D427" s="23"/>
      <c r="E427" s="23"/>
      <c r="F427" s="1"/>
      <c r="G427" s="23"/>
      <c r="H427" s="23"/>
      <c r="I427" s="23"/>
      <c r="J427" s="2"/>
      <c r="M427" s="40"/>
      <c r="N427" s="40"/>
      <c r="O427" s="2"/>
      <c r="P427" s="2"/>
      <c r="Q427" s="2"/>
      <c r="S427" s="2"/>
      <c r="T427" s="2"/>
      <c r="V427" s="2"/>
      <c r="W427" s="2"/>
      <c r="Y427" s="2"/>
      <c r="Z427" s="2"/>
      <c r="AB427" s="2"/>
      <c r="AC427" s="2"/>
      <c r="AF427" s="24"/>
    </row>
    <row r="428">
      <c r="A428" s="11"/>
      <c r="B428" s="23"/>
      <c r="C428" s="23"/>
      <c r="D428" s="23"/>
      <c r="E428" s="23"/>
      <c r="F428" s="1"/>
      <c r="G428" s="23"/>
      <c r="H428" s="23"/>
      <c r="I428" s="23"/>
      <c r="J428" s="2"/>
      <c r="M428" s="40"/>
      <c r="N428" s="40"/>
      <c r="O428" s="2"/>
      <c r="P428" s="2"/>
      <c r="Q428" s="2"/>
      <c r="S428" s="2"/>
      <c r="T428" s="2"/>
      <c r="V428" s="2"/>
      <c r="W428" s="2"/>
      <c r="Y428" s="2"/>
      <c r="Z428" s="2"/>
      <c r="AB428" s="2"/>
      <c r="AC428" s="2"/>
      <c r="AF428" s="24"/>
    </row>
    <row r="429">
      <c r="A429" s="11"/>
      <c r="B429" s="23"/>
      <c r="C429" s="23"/>
      <c r="D429" s="23"/>
      <c r="E429" s="23"/>
      <c r="F429" s="1"/>
      <c r="G429" s="23"/>
      <c r="H429" s="23"/>
      <c r="I429" s="23"/>
      <c r="J429" s="2"/>
      <c r="M429" s="40"/>
      <c r="N429" s="40"/>
      <c r="O429" s="2"/>
      <c r="P429" s="2"/>
      <c r="Q429" s="2"/>
      <c r="S429" s="2"/>
      <c r="T429" s="2"/>
      <c r="V429" s="2"/>
      <c r="W429" s="2"/>
      <c r="Y429" s="2"/>
      <c r="Z429" s="2"/>
      <c r="AB429" s="2"/>
      <c r="AC429" s="2"/>
      <c r="AF429" s="24"/>
    </row>
    <row r="430">
      <c r="A430" s="11"/>
      <c r="B430" s="23"/>
      <c r="C430" s="23"/>
      <c r="D430" s="23"/>
      <c r="E430" s="23"/>
      <c r="F430" s="1"/>
      <c r="G430" s="23"/>
      <c r="H430" s="23"/>
      <c r="I430" s="23"/>
      <c r="J430" s="2"/>
      <c r="M430" s="40"/>
      <c r="N430" s="40"/>
      <c r="O430" s="2"/>
      <c r="P430" s="2"/>
      <c r="Q430" s="2"/>
      <c r="S430" s="2"/>
      <c r="T430" s="2"/>
      <c r="V430" s="2"/>
      <c r="W430" s="2"/>
      <c r="Y430" s="2"/>
      <c r="Z430" s="2"/>
      <c r="AB430" s="2"/>
      <c r="AC430" s="2"/>
      <c r="AF430" s="24"/>
    </row>
    <row r="431">
      <c r="A431" s="11"/>
      <c r="B431" s="23"/>
      <c r="C431" s="23"/>
      <c r="D431" s="23"/>
      <c r="E431" s="23"/>
      <c r="F431" s="1"/>
      <c r="G431" s="23"/>
      <c r="H431" s="23"/>
      <c r="I431" s="23"/>
      <c r="J431" s="2"/>
      <c r="M431" s="40"/>
      <c r="N431" s="40"/>
      <c r="O431" s="2"/>
      <c r="P431" s="2"/>
      <c r="Q431" s="2"/>
      <c r="S431" s="2"/>
      <c r="T431" s="2"/>
      <c r="V431" s="2"/>
      <c r="W431" s="2"/>
      <c r="Y431" s="2"/>
      <c r="Z431" s="2"/>
      <c r="AB431" s="2"/>
      <c r="AC431" s="2"/>
      <c r="AF431" s="24"/>
    </row>
    <row r="432">
      <c r="A432" s="11"/>
      <c r="B432" s="23"/>
      <c r="C432" s="23"/>
      <c r="D432" s="23"/>
      <c r="E432" s="23"/>
      <c r="F432" s="1"/>
      <c r="G432" s="23"/>
      <c r="H432" s="23"/>
      <c r="I432" s="23"/>
      <c r="J432" s="2"/>
      <c r="M432" s="40"/>
      <c r="N432" s="40"/>
      <c r="O432" s="2"/>
      <c r="P432" s="2"/>
      <c r="Q432" s="2"/>
      <c r="S432" s="2"/>
      <c r="T432" s="2"/>
      <c r="V432" s="2"/>
      <c r="W432" s="2"/>
      <c r="Y432" s="2"/>
      <c r="Z432" s="2"/>
      <c r="AB432" s="2"/>
      <c r="AC432" s="2"/>
      <c r="AF432" s="24"/>
    </row>
    <row r="433">
      <c r="A433" s="11"/>
      <c r="B433" s="23"/>
      <c r="C433" s="23"/>
      <c r="D433" s="23"/>
      <c r="E433" s="23"/>
      <c r="F433" s="1"/>
      <c r="G433" s="23"/>
      <c r="H433" s="23"/>
      <c r="I433" s="23"/>
      <c r="J433" s="2"/>
      <c r="M433" s="40"/>
      <c r="N433" s="40"/>
      <c r="O433" s="2"/>
      <c r="P433" s="2"/>
      <c r="Q433" s="2"/>
      <c r="S433" s="2"/>
      <c r="T433" s="2"/>
      <c r="V433" s="2"/>
      <c r="W433" s="2"/>
      <c r="Y433" s="2"/>
      <c r="Z433" s="2"/>
      <c r="AB433" s="2"/>
      <c r="AC433" s="2"/>
      <c r="AF433" s="24"/>
    </row>
    <row r="434">
      <c r="A434" s="11"/>
      <c r="B434" s="23"/>
      <c r="C434" s="23"/>
      <c r="D434" s="23"/>
      <c r="E434" s="23"/>
      <c r="F434" s="1"/>
      <c r="G434" s="23"/>
      <c r="H434" s="23"/>
      <c r="I434" s="23"/>
      <c r="J434" s="2"/>
      <c r="M434" s="40"/>
      <c r="N434" s="40"/>
      <c r="O434" s="2"/>
      <c r="P434" s="2"/>
      <c r="Q434" s="2"/>
      <c r="S434" s="2"/>
      <c r="T434" s="2"/>
      <c r="V434" s="2"/>
      <c r="W434" s="2"/>
      <c r="Y434" s="2"/>
      <c r="Z434" s="2"/>
      <c r="AB434" s="2"/>
      <c r="AC434" s="2"/>
      <c r="AF434" s="24"/>
    </row>
    <row r="435">
      <c r="A435" s="11"/>
      <c r="B435" s="23"/>
      <c r="C435" s="23"/>
      <c r="D435" s="23"/>
      <c r="E435" s="23"/>
      <c r="F435" s="1"/>
      <c r="G435" s="23"/>
      <c r="H435" s="23"/>
      <c r="I435" s="23"/>
      <c r="J435" s="2"/>
      <c r="M435" s="40"/>
      <c r="N435" s="40"/>
      <c r="O435" s="2"/>
      <c r="P435" s="2"/>
      <c r="Q435" s="2"/>
      <c r="S435" s="2"/>
      <c r="T435" s="2"/>
      <c r="V435" s="2"/>
      <c r="W435" s="2"/>
      <c r="Y435" s="2"/>
      <c r="Z435" s="2"/>
      <c r="AB435" s="2"/>
      <c r="AC435" s="2"/>
      <c r="AF435" s="24"/>
    </row>
    <row r="436">
      <c r="A436" s="11"/>
      <c r="B436" s="23"/>
      <c r="C436" s="23"/>
      <c r="D436" s="23"/>
      <c r="E436" s="23"/>
      <c r="F436" s="1"/>
      <c r="G436" s="23"/>
      <c r="H436" s="23"/>
      <c r="I436" s="23"/>
      <c r="J436" s="2"/>
      <c r="M436" s="40"/>
      <c r="N436" s="40"/>
      <c r="O436" s="2"/>
      <c r="P436" s="2"/>
      <c r="Q436" s="2"/>
      <c r="S436" s="2"/>
      <c r="T436" s="2"/>
      <c r="V436" s="2"/>
      <c r="W436" s="2"/>
      <c r="Y436" s="2"/>
      <c r="Z436" s="2"/>
      <c r="AB436" s="2"/>
      <c r="AC436" s="2"/>
      <c r="AF436" s="24"/>
    </row>
    <row r="437">
      <c r="A437" s="11"/>
      <c r="B437" s="23"/>
      <c r="C437" s="23"/>
      <c r="D437" s="23"/>
      <c r="E437" s="23"/>
      <c r="F437" s="1"/>
      <c r="G437" s="23"/>
      <c r="H437" s="23"/>
      <c r="I437" s="23"/>
      <c r="J437" s="2"/>
      <c r="M437" s="40"/>
      <c r="N437" s="40"/>
      <c r="O437" s="2"/>
      <c r="P437" s="2"/>
      <c r="Q437" s="2"/>
      <c r="S437" s="2"/>
      <c r="T437" s="2"/>
      <c r="V437" s="2"/>
      <c r="W437" s="2"/>
      <c r="Y437" s="2"/>
      <c r="Z437" s="2"/>
      <c r="AB437" s="2"/>
      <c r="AC437" s="2"/>
      <c r="AF437" s="24"/>
    </row>
    <row r="438">
      <c r="A438" s="11"/>
      <c r="B438" s="23"/>
      <c r="C438" s="23"/>
      <c r="D438" s="23"/>
      <c r="E438" s="23"/>
      <c r="F438" s="1"/>
      <c r="G438" s="23"/>
      <c r="H438" s="23"/>
      <c r="I438" s="23"/>
      <c r="J438" s="2"/>
      <c r="M438" s="40"/>
      <c r="N438" s="40"/>
      <c r="O438" s="2"/>
      <c r="P438" s="2"/>
      <c r="Q438" s="2"/>
      <c r="S438" s="2"/>
      <c r="T438" s="2"/>
      <c r="V438" s="2"/>
      <c r="W438" s="2"/>
      <c r="Y438" s="2"/>
      <c r="Z438" s="2"/>
      <c r="AB438" s="2"/>
      <c r="AC438" s="2"/>
      <c r="AF438" s="24"/>
    </row>
    <row r="439">
      <c r="A439" s="11"/>
      <c r="B439" s="23"/>
      <c r="C439" s="23"/>
      <c r="D439" s="23"/>
      <c r="E439" s="23"/>
      <c r="F439" s="1"/>
      <c r="G439" s="23"/>
      <c r="H439" s="23"/>
      <c r="I439" s="23"/>
      <c r="J439" s="2"/>
      <c r="M439" s="40"/>
      <c r="N439" s="40"/>
      <c r="O439" s="2"/>
      <c r="P439" s="2"/>
      <c r="Q439" s="2"/>
      <c r="S439" s="2"/>
      <c r="T439" s="2"/>
      <c r="V439" s="2"/>
      <c r="W439" s="2"/>
      <c r="Y439" s="2"/>
      <c r="Z439" s="2"/>
      <c r="AB439" s="2"/>
      <c r="AC439" s="2"/>
      <c r="AF439" s="24"/>
    </row>
    <row r="440">
      <c r="A440" s="11"/>
      <c r="B440" s="23"/>
      <c r="C440" s="23"/>
      <c r="D440" s="23"/>
      <c r="E440" s="23"/>
      <c r="F440" s="1"/>
      <c r="G440" s="23"/>
      <c r="H440" s="23"/>
      <c r="I440" s="23"/>
      <c r="J440" s="2"/>
      <c r="M440" s="40"/>
      <c r="N440" s="40"/>
      <c r="O440" s="2"/>
      <c r="P440" s="2"/>
      <c r="Q440" s="2"/>
      <c r="S440" s="2"/>
      <c r="T440" s="2"/>
      <c r="V440" s="2"/>
      <c r="W440" s="2"/>
      <c r="Y440" s="2"/>
      <c r="Z440" s="2"/>
      <c r="AB440" s="2"/>
      <c r="AC440" s="2"/>
      <c r="AF440" s="24"/>
    </row>
    <row r="441">
      <c r="A441" s="11"/>
      <c r="B441" s="23"/>
      <c r="C441" s="23"/>
      <c r="D441" s="23"/>
      <c r="E441" s="23"/>
      <c r="F441" s="1"/>
      <c r="G441" s="23"/>
      <c r="H441" s="23"/>
      <c r="I441" s="23"/>
      <c r="J441" s="2"/>
      <c r="M441" s="40"/>
      <c r="N441" s="40"/>
      <c r="O441" s="2"/>
      <c r="P441" s="2"/>
      <c r="Q441" s="2"/>
      <c r="S441" s="2"/>
      <c r="T441" s="2"/>
      <c r="V441" s="2"/>
      <c r="W441" s="2"/>
      <c r="Y441" s="2"/>
      <c r="Z441" s="2"/>
      <c r="AB441" s="2"/>
      <c r="AC441" s="2"/>
      <c r="AF441" s="24"/>
    </row>
    <row r="442">
      <c r="A442" s="11"/>
      <c r="B442" s="23"/>
      <c r="C442" s="23"/>
      <c r="D442" s="23"/>
      <c r="E442" s="23"/>
      <c r="F442" s="1"/>
      <c r="G442" s="23"/>
      <c r="H442" s="23"/>
      <c r="I442" s="23"/>
      <c r="J442" s="2"/>
      <c r="M442" s="40"/>
      <c r="N442" s="40"/>
      <c r="O442" s="2"/>
      <c r="P442" s="2"/>
      <c r="Q442" s="2"/>
      <c r="S442" s="2"/>
      <c r="T442" s="2"/>
      <c r="V442" s="2"/>
      <c r="W442" s="2"/>
      <c r="Y442" s="2"/>
      <c r="Z442" s="2"/>
      <c r="AB442" s="2"/>
      <c r="AC442" s="2"/>
      <c r="AF442" s="24"/>
    </row>
    <row r="443">
      <c r="A443" s="11"/>
      <c r="B443" s="23"/>
      <c r="C443" s="23"/>
      <c r="D443" s="23"/>
      <c r="E443" s="23"/>
      <c r="F443" s="1"/>
      <c r="G443" s="23"/>
      <c r="H443" s="23"/>
      <c r="I443" s="23"/>
      <c r="J443" s="2"/>
      <c r="M443" s="40"/>
      <c r="N443" s="40"/>
      <c r="O443" s="2"/>
      <c r="P443" s="2"/>
      <c r="Q443" s="2"/>
      <c r="S443" s="2"/>
      <c r="T443" s="2"/>
      <c r="V443" s="2"/>
      <c r="W443" s="2"/>
      <c r="Y443" s="2"/>
      <c r="Z443" s="2"/>
      <c r="AB443" s="2"/>
      <c r="AC443" s="2"/>
      <c r="AF443" s="24"/>
    </row>
    <row r="444">
      <c r="A444" s="11"/>
      <c r="B444" s="23"/>
      <c r="C444" s="23"/>
      <c r="D444" s="23"/>
      <c r="E444" s="23"/>
      <c r="F444" s="1"/>
      <c r="G444" s="23"/>
      <c r="H444" s="23"/>
      <c r="I444" s="23"/>
      <c r="J444" s="2"/>
      <c r="M444" s="40"/>
      <c r="N444" s="40"/>
      <c r="O444" s="2"/>
      <c r="P444" s="2"/>
      <c r="Q444" s="2"/>
      <c r="S444" s="2"/>
      <c r="T444" s="2"/>
      <c r="V444" s="2"/>
      <c r="W444" s="2"/>
      <c r="Y444" s="2"/>
      <c r="Z444" s="2"/>
      <c r="AB444" s="2"/>
      <c r="AC444" s="2"/>
      <c r="AF444" s="24"/>
    </row>
    <row r="445">
      <c r="A445" s="11"/>
      <c r="B445" s="23"/>
      <c r="C445" s="23"/>
      <c r="D445" s="23"/>
      <c r="E445" s="23"/>
      <c r="F445" s="1"/>
      <c r="G445" s="23"/>
      <c r="H445" s="23"/>
      <c r="I445" s="23"/>
      <c r="J445" s="2"/>
      <c r="M445" s="40"/>
      <c r="N445" s="40"/>
      <c r="O445" s="2"/>
      <c r="P445" s="2"/>
      <c r="Q445" s="2"/>
      <c r="S445" s="2"/>
      <c r="T445" s="2"/>
      <c r="V445" s="2"/>
      <c r="W445" s="2"/>
      <c r="Y445" s="2"/>
      <c r="Z445" s="2"/>
      <c r="AB445" s="2"/>
      <c r="AC445" s="2"/>
      <c r="AF445" s="24"/>
    </row>
    <row r="446">
      <c r="A446" s="11"/>
      <c r="B446" s="23"/>
      <c r="C446" s="23"/>
      <c r="D446" s="23"/>
      <c r="E446" s="23"/>
      <c r="F446" s="1"/>
      <c r="G446" s="23"/>
      <c r="H446" s="23"/>
      <c r="I446" s="23"/>
      <c r="J446" s="2"/>
      <c r="M446" s="40"/>
      <c r="N446" s="40"/>
      <c r="O446" s="2"/>
      <c r="P446" s="2"/>
      <c r="Q446" s="2"/>
      <c r="S446" s="2"/>
      <c r="T446" s="2"/>
      <c r="V446" s="2"/>
      <c r="W446" s="2"/>
      <c r="Y446" s="2"/>
      <c r="Z446" s="2"/>
      <c r="AB446" s="2"/>
      <c r="AC446" s="2"/>
      <c r="AF446" s="24"/>
    </row>
    <row r="447">
      <c r="A447" s="11"/>
      <c r="B447" s="23"/>
      <c r="C447" s="23"/>
      <c r="D447" s="23"/>
      <c r="E447" s="23"/>
      <c r="F447" s="1"/>
      <c r="G447" s="23"/>
      <c r="H447" s="23"/>
      <c r="I447" s="23"/>
      <c r="J447" s="2"/>
      <c r="M447" s="40"/>
      <c r="N447" s="40"/>
      <c r="O447" s="2"/>
      <c r="P447" s="2"/>
      <c r="Q447" s="2"/>
      <c r="S447" s="2"/>
      <c r="T447" s="2"/>
      <c r="V447" s="2"/>
      <c r="W447" s="2"/>
      <c r="Y447" s="2"/>
      <c r="Z447" s="2"/>
      <c r="AB447" s="2"/>
      <c r="AC447" s="2"/>
      <c r="AF447" s="24"/>
    </row>
    <row r="448">
      <c r="A448" s="11"/>
      <c r="B448" s="23"/>
      <c r="C448" s="23"/>
      <c r="D448" s="23"/>
      <c r="E448" s="23"/>
      <c r="F448" s="1"/>
      <c r="G448" s="23"/>
      <c r="H448" s="23"/>
      <c r="I448" s="23"/>
      <c r="J448" s="2"/>
      <c r="M448" s="40"/>
      <c r="N448" s="40"/>
      <c r="O448" s="2"/>
      <c r="P448" s="2"/>
      <c r="Q448" s="2"/>
      <c r="S448" s="2"/>
      <c r="T448" s="2"/>
      <c r="V448" s="2"/>
      <c r="W448" s="2"/>
      <c r="Y448" s="2"/>
      <c r="Z448" s="2"/>
      <c r="AB448" s="2"/>
      <c r="AC448" s="2"/>
      <c r="AF448" s="24"/>
    </row>
    <row r="449">
      <c r="A449" s="11"/>
      <c r="B449" s="23"/>
      <c r="C449" s="23"/>
      <c r="D449" s="23"/>
      <c r="E449" s="23"/>
      <c r="F449" s="1"/>
      <c r="G449" s="23"/>
      <c r="H449" s="23"/>
      <c r="I449" s="23"/>
      <c r="J449" s="2"/>
      <c r="M449" s="40"/>
      <c r="N449" s="40"/>
      <c r="O449" s="2"/>
      <c r="P449" s="2"/>
      <c r="Q449" s="2"/>
      <c r="S449" s="2"/>
      <c r="T449" s="2"/>
      <c r="V449" s="2"/>
      <c r="W449" s="2"/>
      <c r="Y449" s="2"/>
      <c r="Z449" s="2"/>
      <c r="AB449" s="2"/>
      <c r="AC449" s="2"/>
      <c r="AF449" s="24"/>
    </row>
    <row r="450">
      <c r="A450" s="11"/>
      <c r="B450" s="23"/>
      <c r="C450" s="23"/>
      <c r="D450" s="23"/>
      <c r="E450" s="23"/>
      <c r="F450" s="1"/>
      <c r="G450" s="23"/>
      <c r="H450" s="23"/>
      <c r="I450" s="23"/>
      <c r="J450" s="2"/>
      <c r="M450" s="40"/>
      <c r="N450" s="40"/>
      <c r="O450" s="2"/>
      <c r="P450" s="2"/>
      <c r="Q450" s="2"/>
      <c r="S450" s="2"/>
      <c r="T450" s="2"/>
      <c r="V450" s="2"/>
      <c r="W450" s="2"/>
      <c r="Y450" s="2"/>
      <c r="Z450" s="2"/>
      <c r="AB450" s="2"/>
      <c r="AC450" s="2"/>
      <c r="AF450" s="24"/>
    </row>
    <row r="451">
      <c r="A451" s="11"/>
      <c r="B451" s="23"/>
      <c r="C451" s="23"/>
      <c r="D451" s="23"/>
      <c r="E451" s="23"/>
      <c r="F451" s="1"/>
      <c r="G451" s="23"/>
      <c r="H451" s="23"/>
      <c r="I451" s="23"/>
      <c r="J451" s="2"/>
      <c r="M451" s="40"/>
      <c r="N451" s="40"/>
      <c r="O451" s="2"/>
      <c r="P451" s="2"/>
      <c r="Q451" s="2"/>
      <c r="S451" s="2"/>
      <c r="T451" s="2"/>
      <c r="V451" s="2"/>
      <c r="W451" s="2"/>
      <c r="Y451" s="2"/>
      <c r="Z451" s="2"/>
      <c r="AB451" s="2"/>
      <c r="AC451" s="2"/>
      <c r="AF451" s="24"/>
    </row>
    <row r="452">
      <c r="A452" s="11"/>
      <c r="B452" s="23"/>
      <c r="C452" s="23"/>
      <c r="D452" s="23"/>
      <c r="E452" s="23"/>
      <c r="F452" s="1"/>
      <c r="G452" s="23"/>
      <c r="H452" s="23"/>
      <c r="I452" s="23"/>
      <c r="J452" s="2"/>
      <c r="M452" s="40"/>
      <c r="N452" s="40"/>
      <c r="O452" s="2"/>
      <c r="P452" s="2"/>
      <c r="Q452" s="2"/>
      <c r="S452" s="2"/>
      <c r="T452" s="2"/>
      <c r="V452" s="2"/>
      <c r="W452" s="2"/>
      <c r="Y452" s="2"/>
      <c r="Z452" s="2"/>
      <c r="AB452" s="2"/>
      <c r="AC452" s="2"/>
      <c r="AF452" s="24"/>
    </row>
    <row r="453">
      <c r="A453" s="11"/>
      <c r="B453" s="23"/>
      <c r="C453" s="23"/>
      <c r="D453" s="23"/>
      <c r="E453" s="23"/>
      <c r="F453" s="1"/>
      <c r="G453" s="23"/>
      <c r="H453" s="23"/>
      <c r="I453" s="23"/>
      <c r="J453" s="2"/>
      <c r="M453" s="40"/>
      <c r="N453" s="40"/>
      <c r="O453" s="2"/>
      <c r="P453" s="2"/>
      <c r="Q453" s="2"/>
      <c r="S453" s="2"/>
      <c r="T453" s="2"/>
      <c r="V453" s="2"/>
      <c r="W453" s="2"/>
      <c r="Y453" s="2"/>
      <c r="Z453" s="2"/>
      <c r="AB453" s="2"/>
      <c r="AC453" s="2"/>
      <c r="AF453" s="24"/>
    </row>
    <row r="454">
      <c r="A454" s="11"/>
      <c r="B454" s="23"/>
      <c r="C454" s="23"/>
      <c r="D454" s="23"/>
      <c r="E454" s="23"/>
      <c r="F454" s="1"/>
      <c r="G454" s="23"/>
      <c r="H454" s="23"/>
      <c r="I454" s="23"/>
      <c r="J454" s="2"/>
      <c r="M454" s="40"/>
      <c r="N454" s="40"/>
      <c r="O454" s="2"/>
      <c r="P454" s="2"/>
      <c r="Q454" s="2"/>
      <c r="S454" s="2"/>
      <c r="T454" s="2"/>
      <c r="V454" s="2"/>
      <c r="W454" s="2"/>
      <c r="Y454" s="2"/>
      <c r="Z454" s="2"/>
      <c r="AB454" s="2"/>
      <c r="AC454" s="2"/>
      <c r="AF454" s="24"/>
    </row>
    <row r="455">
      <c r="A455" s="11"/>
      <c r="B455" s="23"/>
      <c r="C455" s="23"/>
      <c r="D455" s="23"/>
      <c r="E455" s="23"/>
      <c r="F455" s="1"/>
      <c r="G455" s="23"/>
      <c r="H455" s="23"/>
      <c r="I455" s="23"/>
      <c r="J455" s="2"/>
      <c r="M455" s="40"/>
      <c r="N455" s="40"/>
      <c r="O455" s="2"/>
      <c r="P455" s="2"/>
      <c r="Q455" s="2"/>
      <c r="S455" s="2"/>
      <c r="T455" s="2"/>
      <c r="V455" s="2"/>
      <c r="W455" s="2"/>
      <c r="Y455" s="2"/>
      <c r="Z455" s="2"/>
      <c r="AB455" s="2"/>
      <c r="AC455" s="2"/>
      <c r="AF455" s="24"/>
    </row>
    <row r="456">
      <c r="A456" s="11"/>
      <c r="B456" s="23"/>
      <c r="C456" s="23"/>
      <c r="D456" s="23"/>
      <c r="E456" s="23"/>
      <c r="F456" s="1"/>
      <c r="G456" s="23"/>
      <c r="H456" s="23"/>
      <c r="I456" s="23"/>
      <c r="J456" s="2"/>
      <c r="M456" s="40"/>
      <c r="N456" s="40"/>
      <c r="O456" s="2"/>
      <c r="P456" s="2"/>
      <c r="Q456" s="2"/>
      <c r="S456" s="2"/>
      <c r="T456" s="2"/>
      <c r="V456" s="2"/>
      <c r="W456" s="2"/>
      <c r="Y456" s="2"/>
      <c r="Z456" s="2"/>
      <c r="AB456" s="2"/>
      <c r="AC456" s="2"/>
      <c r="AF456" s="24"/>
    </row>
    <row r="457">
      <c r="A457" s="11"/>
      <c r="B457" s="23"/>
      <c r="C457" s="23"/>
      <c r="D457" s="23"/>
      <c r="E457" s="23"/>
      <c r="F457" s="1"/>
      <c r="G457" s="23"/>
      <c r="H457" s="23"/>
      <c r="I457" s="23"/>
      <c r="J457" s="2"/>
      <c r="M457" s="40"/>
      <c r="N457" s="40"/>
      <c r="O457" s="2"/>
      <c r="P457" s="2"/>
      <c r="Q457" s="2"/>
      <c r="S457" s="2"/>
      <c r="T457" s="2"/>
      <c r="V457" s="2"/>
      <c r="W457" s="2"/>
      <c r="Y457" s="2"/>
      <c r="Z457" s="2"/>
      <c r="AB457" s="2"/>
      <c r="AC457" s="2"/>
      <c r="AF457" s="24"/>
    </row>
    <row r="458">
      <c r="A458" s="11"/>
      <c r="B458" s="23"/>
      <c r="C458" s="23"/>
      <c r="D458" s="23"/>
      <c r="E458" s="23"/>
      <c r="F458" s="1"/>
      <c r="G458" s="23"/>
      <c r="H458" s="23"/>
      <c r="I458" s="23"/>
      <c r="J458" s="2"/>
      <c r="M458" s="40"/>
      <c r="N458" s="40"/>
      <c r="O458" s="2"/>
      <c r="P458" s="2"/>
      <c r="Q458" s="2"/>
      <c r="S458" s="2"/>
      <c r="T458" s="2"/>
      <c r="V458" s="2"/>
      <c r="W458" s="2"/>
      <c r="Y458" s="2"/>
      <c r="Z458" s="2"/>
      <c r="AB458" s="2"/>
      <c r="AC458" s="2"/>
      <c r="AF458" s="24"/>
    </row>
    <row r="459">
      <c r="A459" s="11"/>
      <c r="B459" s="23"/>
      <c r="C459" s="23"/>
      <c r="D459" s="23"/>
      <c r="E459" s="23"/>
      <c r="F459" s="1"/>
      <c r="G459" s="23"/>
      <c r="H459" s="23"/>
      <c r="I459" s="23"/>
      <c r="J459" s="2"/>
      <c r="M459" s="40"/>
      <c r="N459" s="40"/>
      <c r="O459" s="2"/>
      <c r="P459" s="2"/>
      <c r="Q459" s="2"/>
      <c r="S459" s="2"/>
      <c r="T459" s="2"/>
      <c r="V459" s="2"/>
      <c r="W459" s="2"/>
      <c r="Y459" s="2"/>
      <c r="Z459" s="2"/>
      <c r="AB459" s="2"/>
      <c r="AC459" s="2"/>
      <c r="AF459" s="24"/>
    </row>
    <row r="460">
      <c r="A460" s="11"/>
      <c r="B460" s="23"/>
      <c r="C460" s="23"/>
      <c r="D460" s="23"/>
      <c r="E460" s="23"/>
      <c r="F460" s="1"/>
      <c r="G460" s="23"/>
      <c r="H460" s="23"/>
      <c r="I460" s="23"/>
      <c r="J460" s="2"/>
      <c r="M460" s="40"/>
      <c r="N460" s="40"/>
      <c r="O460" s="2"/>
      <c r="P460" s="2"/>
      <c r="Q460" s="2"/>
      <c r="S460" s="2"/>
      <c r="T460" s="2"/>
      <c r="V460" s="2"/>
      <c r="W460" s="2"/>
      <c r="Y460" s="2"/>
      <c r="Z460" s="2"/>
      <c r="AB460" s="2"/>
      <c r="AC460" s="2"/>
      <c r="AF460" s="24"/>
    </row>
    <row r="461">
      <c r="A461" s="11"/>
      <c r="B461" s="23"/>
      <c r="C461" s="23"/>
      <c r="D461" s="23"/>
      <c r="E461" s="23"/>
      <c r="F461" s="1"/>
      <c r="G461" s="23"/>
      <c r="H461" s="23"/>
      <c r="I461" s="23"/>
      <c r="J461" s="2"/>
      <c r="M461" s="40"/>
      <c r="N461" s="40"/>
      <c r="O461" s="2"/>
      <c r="P461" s="2"/>
      <c r="Q461" s="2"/>
      <c r="S461" s="2"/>
      <c r="T461" s="2"/>
      <c r="V461" s="2"/>
      <c r="W461" s="2"/>
      <c r="Y461" s="2"/>
      <c r="Z461" s="2"/>
      <c r="AB461" s="2"/>
      <c r="AC461" s="2"/>
      <c r="AF461" s="24"/>
    </row>
    <row r="462">
      <c r="A462" s="11"/>
      <c r="B462" s="23"/>
      <c r="C462" s="23"/>
      <c r="D462" s="23"/>
      <c r="E462" s="23"/>
      <c r="F462" s="1"/>
      <c r="G462" s="23"/>
      <c r="H462" s="23"/>
      <c r="I462" s="23"/>
      <c r="J462" s="2"/>
      <c r="M462" s="40"/>
      <c r="N462" s="40"/>
      <c r="O462" s="2"/>
      <c r="P462" s="2"/>
      <c r="Q462" s="2"/>
      <c r="S462" s="2"/>
      <c r="T462" s="2"/>
      <c r="V462" s="2"/>
      <c r="W462" s="2"/>
      <c r="Y462" s="2"/>
      <c r="Z462" s="2"/>
      <c r="AB462" s="2"/>
      <c r="AC462" s="2"/>
      <c r="AF462" s="24"/>
    </row>
    <row r="463">
      <c r="A463" s="11"/>
      <c r="B463" s="23"/>
      <c r="C463" s="23"/>
      <c r="D463" s="23"/>
      <c r="E463" s="23"/>
      <c r="F463" s="1"/>
      <c r="G463" s="23"/>
      <c r="H463" s="23"/>
      <c r="I463" s="23"/>
      <c r="J463" s="2"/>
      <c r="M463" s="40"/>
      <c r="N463" s="40"/>
      <c r="O463" s="2"/>
      <c r="P463" s="2"/>
      <c r="Q463" s="2"/>
      <c r="S463" s="2"/>
      <c r="T463" s="2"/>
      <c r="V463" s="2"/>
      <c r="W463" s="2"/>
      <c r="Y463" s="2"/>
      <c r="Z463" s="2"/>
      <c r="AB463" s="2"/>
      <c r="AC463" s="2"/>
      <c r="AF463" s="24"/>
    </row>
    <row r="464">
      <c r="A464" s="11"/>
      <c r="B464" s="23"/>
      <c r="C464" s="23"/>
      <c r="D464" s="23"/>
      <c r="E464" s="23"/>
      <c r="F464" s="1"/>
      <c r="G464" s="23"/>
      <c r="H464" s="23"/>
      <c r="I464" s="23"/>
      <c r="J464" s="2"/>
      <c r="M464" s="40"/>
      <c r="N464" s="40"/>
      <c r="O464" s="2"/>
      <c r="P464" s="2"/>
      <c r="Q464" s="2"/>
      <c r="S464" s="2"/>
      <c r="T464" s="2"/>
      <c r="V464" s="2"/>
      <c r="W464" s="2"/>
      <c r="Y464" s="2"/>
      <c r="Z464" s="2"/>
      <c r="AB464" s="2"/>
      <c r="AC464" s="2"/>
      <c r="AF464" s="24"/>
    </row>
    <row r="465">
      <c r="A465" s="11"/>
      <c r="B465" s="23"/>
      <c r="C465" s="23"/>
      <c r="D465" s="23"/>
      <c r="E465" s="23"/>
      <c r="F465" s="1"/>
      <c r="G465" s="23"/>
      <c r="H465" s="23"/>
      <c r="I465" s="23"/>
      <c r="J465" s="2"/>
      <c r="M465" s="40"/>
      <c r="N465" s="40"/>
      <c r="O465" s="2"/>
      <c r="P465" s="2"/>
      <c r="Q465" s="2"/>
      <c r="S465" s="2"/>
      <c r="T465" s="2"/>
      <c r="V465" s="2"/>
      <c r="W465" s="2"/>
      <c r="Y465" s="2"/>
      <c r="Z465" s="2"/>
      <c r="AB465" s="2"/>
      <c r="AC465" s="2"/>
      <c r="AF465" s="24"/>
    </row>
    <row r="466">
      <c r="A466" s="11"/>
      <c r="B466" s="23"/>
      <c r="C466" s="23"/>
      <c r="D466" s="23"/>
      <c r="E466" s="23"/>
      <c r="F466" s="1"/>
      <c r="G466" s="23"/>
      <c r="H466" s="23"/>
      <c r="I466" s="23"/>
      <c r="J466" s="2"/>
      <c r="M466" s="40"/>
      <c r="N466" s="40"/>
      <c r="O466" s="2"/>
      <c r="P466" s="2"/>
      <c r="Q466" s="2"/>
      <c r="S466" s="2"/>
      <c r="T466" s="2"/>
      <c r="V466" s="2"/>
      <c r="W466" s="2"/>
      <c r="Y466" s="2"/>
      <c r="Z466" s="2"/>
      <c r="AB466" s="2"/>
      <c r="AC466" s="2"/>
      <c r="AF466" s="24"/>
    </row>
    <row r="467">
      <c r="A467" s="11"/>
      <c r="B467" s="23"/>
      <c r="C467" s="23"/>
      <c r="D467" s="23"/>
      <c r="E467" s="23"/>
      <c r="F467" s="1"/>
      <c r="G467" s="23"/>
      <c r="H467" s="23"/>
      <c r="I467" s="23"/>
      <c r="J467" s="2"/>
      <c r="M467" s="40"/>
      <c r="N467" s="40"/>
      <c r="O467" s="2"/>
      <c r="P467" s="2"/>
      <c r="Q467" s="2"/>
      <c r="S467" s="2"/>
      <c r="T467" s="2"/>
      <c r="V467" s="2"/>
      <c r="W467" s="2"/>
      <c r="Y467" s="2"/>
      <c r="Z467" s="2"/>
      <c r="AB467" s="2"/>
      <c r="AC467" s="2"/>
      <c r="AF467" s="24"/>
    </row>
    <row r="468">
      <c r="A468" s="11"/>
      <c r="B468" s="23"/>
      <c r="C468" s="23"/>
      <c r="D468" s="23"/>
      <c r="E468" s="23"/>
      <c r="F468" s="1"/>
      <c r="G468" s="23"/>
      <c r="H468" s="23"/>
      <c r="I468" s="23"/>
      <c r="J468" s="2"/>
      <c r="M468" s="40"/>
      <c r="N468" s="40"/>
      <c r="O468" s="2"/>
      <c r="P468" s="2"/>
      <c r="Q468" s="2"/>
      <c r="S468" s="2"/>
      <c r="T468" s="2"/>
      <c r="V468" s="2"/>
      <c r="W468" s="2"/>
      <c r="Y468" s="2"/>
      <c r="Z468" s="2"/>
      <c r="AB468" s="2"/>
      <c r="AC468" s="2"/>
      <c r="AF468" s="24"/>
    </row>
    <row r="469">
      <c r="A469" s="11"/>
      <c r="B469" s="23"/>
      <c r="C469" s="23"/>
      <c r="D469" s="23"/>
      <c r="E469" s="23"/>
      <c r="F469" s="1"/>
      <c r="G469" s="23"/>
      <c r="H469" s="23"/>
      <c r="I469" s="23"/>
      <c r="J469" s="2"/>
      <c r="M469" s="40"/>
      <c r="N469" s="40"/>
      <c r="O469" s="2"/>
      <c r="P469" s="2"/>
      <c r="Q469" s="2"/>
      <c r="S469" s="2"/>
      <c r="T469" s="2"/>
      <c r="V469" s="2"/>
      <c r="W469" s="2"/>
      <c r="Y469" s="2"/>
      <c r="Z469" s="2"/>
      <c r="AB469" s="2"/>
      <c r="AC469" s="2"/>
      <c r="AF469" s="24"/>
    </row>
    <row r="470">
      <c r="A470" s="11"/>
      <c r="B470" s="23"/>
      <c r="C470" s="23"/>
      <c r="D470" s="23"/>
      <c r="E470" s="23"/>
      <c r="F470" s="1"/>
      <c r="G470" s="23"/>
      <c r="H470" s="23"/>
      <c r="I470" s="23"/>
      <c r="J470" s="2"/>
      <c r="M470" s="40"/>
      <c r="N470" s="40"/>
      <c r="O470" s="2"/>
      <c r="P470" s="2"/>
      <c r="Q470" s="2"/>
      <c r="S470" s="2"/>
      <c r="T470" s="2"/>
      <c r="V470" s="2"/>
      <c r="W470" s="2"/>
      <c r="Y470" s="2"/>
      <c r="Z470" s="2"/>
      <c r="AB470" s="2"/>
      <c r="AC470" s="2"/>
      <c r="AF470" s="24"/>
    </row>
    <row r="471">
      <c r="A471" s="11"/>
      <c r="B471" s="23"/>
      <c r="C471" s="23"/>
      <c r="D471" s="23"/>
      <c r="E471" s="23"/>
      <c r="F471" s="1"/>
      <c r="G471" s="23"/>
      <c r="H471" s="23"/>
      <c r="I471" s="23"/>
      <c r="J471" s="2"/>
      <c r="M471" s="40"/>
      <c r="N471" s="40"/>
      <c r="O471" s="2"/>
      <c r="P471" s="2"/>
      <c r="Q471" s="2"/>
      <c r="S471" s="2"/>
      <c r="T471" s="2"/>
      <c r="V471" s="2"/>
      <c r="W471" s="2"/>
      <c r="Y471" s="2"/>
      <c r="Z471" s="2"/>
      <c r="AB471" s="2"/>
      <c r="AC471" s="2"/>
      <c r="AF471" s="24"/>
    </row>
    <row r="472">
      <c r="A472" s="11"/>
      <c r="B472" s="23"/>
      <c r="C472" s="23"/>
      <c r="D472" s="23"/>
      <c r="E472" s="23"/>
      <c r="F472" s="1"/>
      <c r="G472" s="23"/>
      <c r="H472" s="23"/>
      <c r="I472" s="23"/>
      <c r="J472" s="2"/>
      <c r="M472" s="40"/>
      <c r="N472" s="40"/>
      <c r="O472" s="2"/>
      <c r="P472" s="2"/>
      <c r="Q472" s="2"/>
      <c r="S472" s="2"/>
      <c r="T472" s="2"/>
      <c r="V472" s="2"/>
      <c r="W472" s="2"/>
      <c r="Y472" s="2"/>
      <c r="Z472" s="2"/>
      <c r="AB472" s="2"/>
      <c r="AC472" s="2"/>
      <c r="AF472" s="24"/>
    </row>
    <row r="473">
      <c r="A473" s="11"/>
      <c r="B473" s="23"/>
      <c r="C473" s="23"/>
      <c r="D473" s="23"/>
      <c r="E473" s="23"/>
      <c r="F473" s="1"/>
      <c r="G473" s="23"/>
      <c r="H473" s="23"/>
      <c r="I473" s="23"/>
      <c r="J473" s="2"/>
      <c r="M473" s="40"/>
      <c r="N473" s="40"/>
      <c r="O473" s="2"/>
      <c r="P473" s="2"/>
      <c r="Q473" s="2"/>
      <c r="S473" s="2"/>
      <c r="T473" s="2"/>
      <c r="V473" s="2"/>
      <c r="W473" s="2"/>
      <c r="Y473" s="2"/>
      <c r="Z473" s="2"/>
      <c r="AB473" s="2"/>
      <c r="AC473" s="2"/>
      <c r="AF473" s="24"/>
    </row>
    <row r="474">
      <c r="A474" s="11"/>
      <c r="B474" s="23"/>
      <c r="C474" s="23"/>
      <c r="D474" s="23"/>
      <c r="E474" s="23"/>
      <c r="F474" s="1"/>
      <c r="G474" s="23"/>
      <c r="H474" s="23"/>
      <c r="I474" s="23"/>
      <c r="J474" s="2"/>
      <c r="M474" s="40"/>
      <c r="N474" s="40"/>
      <c r="O474" s="2"/>
      <c r="P474" s="2"/>
      <c r="Q474" s="2"/>
      <c r="S474" s="2"/>
      <c r="T474" s="2"/>
      <c r="V474" s="2"/>
      <c r="W474" s="2"/>
      <c r="Y474" s="2"/>
      <c r="Z474" s="2"/>
      <c r="AB474" s="2"/>
      <c r="AC474" s="2"/>
      <c r="AF474" s="24"/>
    </row>
    <row r="475">
      <c r="A475" s="11"/>
      <c r="B475" s="23"/>
      <c r="C475" s="23"/>
      <c r="D475" s="23"/>
      <c r="E475" s="23"/>
      <c r="F475" s="1"/>
      <c r="G475" s="23"/>
      <c r="H475" s="23"/>
      <c r="I475" s="23"/>
      <c r="J475" s="2"/>
      <c r="M475" s="40"/>
      <c r="N475" s="40"/>
      <c r="O475" s="2"/>
      <c r="P475" s="2"/>
      <c r="Q475" s="2"/>
      <c r="S475" s="2"/>
      <c r="T475" s="2"/>
      <c r="V475" s="2"/>
      <c r="W475" s="2"/>
      <c r="Y475" s="2"/>
      <c r="Z475" s="2"/>
      <c r="AB475" s="2"/>
      <c r="AC475" s="2"/>
      <c r="AF475" s="24"/>
    </row>
    <row r="476">
      <c r="A476" s="11"/>
      <c r="B476" s="23"/>
      <c r="C476" s="23"/>
      <c r="D476" s="23"/>
      <c r="E476" s="23"/>
      <c r="F476" s="1"/>
      <c r="G476" s="23"/>
      <c r="H476" s="23"/>
      <c r="I476" s="23"/>
      <c r="J476" s="2"/>
      <c r="M476" s="40"/>
      <c r="N476" s="40"/>
      <c r="O476" s="2"/>
      <c r="P476" s="2"/>
      <c r="Q476" s="2"/>
      <c r="S476" s="2"/>
      <c r="T476" s="2"/>
      <c r="V476" s="2"/>
      <c r="W476" s="2"/>
      <c r="Y476" s="2"/>
      <c r="Z476" s="2"/>
      <c r="AB476" s="2"/>
      <c r="AC476" s="2"/>
      <c r="AF476" s="24"/>
    </row>
    <row r="477">
      <c r="A477" s="11"/>
      <c r="B477" s="23"/>
      <c r="C477" s="23"/>
      <c r="D477" s="23"/>
      <c r="E477" s="23"/>
      <c r="F477" s="1"/>
      <c r="G477" s="23"/>
      <c r="H477" s="23"/>
      <c r="I477" s="23"/>
      <c r="J477" s="2"/>
      <c r="M477" s="40"/>
      <c r="N477" s="40"/>
      <c r="O477" s="2"/>
      <c r="P477" s="2"/>
      <c r="Q477" s="2"/>
      <c r="S477" s="2"/>
      <c r="T477" s="2"/>
      <c r="V477" s="2"/>
      <c r="W477" s="2"/>
      <c r="Y477" s="2"/>
      <c r="Z477" s="2"/>
      <c r="AB477" s="2"/>
      <c r="AC477" s="2"/>
      <c r="AF477" s="24"/>
    </row>
    <row r="478">
      <c r="A478" s="11"/>
      <c r="B478" s="23"/>
      <c r="C478" s="23"/>
      <c r="D478" s="23"/>
      <c r="E478" s="23"/>
      <c r="F478" s="1"/>
      <c r="G478" s="23"/>
      <c r="H478" s="23"/>
      <c r="I478" s="23"/>
      <c r="J478" s="2"/>
      <c r="M478" s="40"/>
      <c r="N478" s="40"/>
      <c r="O478" s="2"/>
      <c r="P478" s="2"/>
      <c r="Q478" s="2"/>
      <c r="S478" s="2"/>
      <c r="T478" s="2"/>
      <c r="V478" s="2"/>
      <c r="W478" s="2"/>
      <c r="Y478" s="2"/>
      <c r="Z478" s="2"/>
      <c r="AB478" s="2"/>
      <c r="AC478" s="2"/>
      <c r="AF478" s="24"/>
    </row>
    <row r="479">
      <c r="A479" s="11"/>
      <c r="B479" s="23"/>
      <c r="C479" s="23"/>
      <c r="D479" s="23"/>
      <c r="E479" s="23"/>
      <c r="F479" s="1"/>
      <c r="G479" s="23"/>
      <c r="H479" s="23"/>
      <c r="I479" s="23"/>
      <c r="J479" s="2"/>
      <c r="M479" s="40"/>
      <c r="N479" s="40"/>
      <c r="O479" s="2"/>
      <c r="P479" s="2"/>
      <c r="Q479" s="2"/>
      <c r="S479" s="2"/>
      <c r="T479" s="2"/>
      <c r="V479" s="2"/>
      <c r="W479" s="2"/>
      <c r="Y479" s="2"/>
      <c r="Z479" s="2"/>
      <c r="AB479" s="2"/>
      <c r="AC479" s="2"/>
      <c r="AF479" s="24"/>
    </row>
    <row r="480">
      <c r="A480" s="11"/>
      <c r="B480" s="23"/>
      <c r="C480" s="23"/>
      <c r="D480" s="23"/>
      <c r="E480" s="23"/>
      <c r="F480" s="1"/>
      <c r="G480" s="23"/>
      <c r="H480" s="23"/>
      <c r="I480" s="23"/>
      <c r="J480" s="2"/>
      <c r="M480" s="40"/>
      <c r="N480" s="40"/>
      <c r="O480" s="2"/>
      <c r="P480" s="2"/>
      <c r="Q480" s="2"/>
      <c r="S480" s="2"/>
      <c r="T480" s="2"/>
      <c r="V480" s="2"/>
      <c r="W480" s="2"/>
      <c r="Y480" s="2"/>
      <c r="Z480" s="2"/>
      <c r="AB480" s="2"/>
      <c r="AC480" s="2"/>
      <c r="AF480" s="24"/>
    </row>
    <row r="481">
      <c r="A481" s="11"/>
      <c r="B481" s="23"/>
      <c r="C481" s="23"/>
      <c r="D481" s="23"/>
      <c r="E481" s="23"/>
      <c r="F481" s="1"/>
      <c r="G481" s="23"/>
      <c r="H481" s="23"/>
      <c r="I481" s="23"/>
      <c r="J481" s="2"/>
      <c r="M481" s="40"/>
      <c r="N481" s="40"/>
      <c r="O481" s="2"/>
      <c r="P481" s="2"/>
      <c r="Q481" s="2"/>
      <c r="S481" s="2"/>
      <c r="T481" s="2"/>
      <c r="V481" s="2"/>
      <c r="W481" s="2"/>
      <c r="Y481" s="2"/>
      <c r="Z481" s="2"/>
      <c r="AB481" s="2"/>
      <c r="AC481" s="2"/>
      <c r="AF481" s="24"/>
    </row>
    <row r="482">
      <c r="A482" s="11"/>
      <c r="B482" s="23"/>
      <c r="C482" s="23"/>
      <c r="D482" s="23"/>
      <c r="E482" s="23"/>
      <c r="F482" s="1"/>
      <c r="G482" s="23"/>
      <c r="H482" s="23"/>
      <c r="I482" s="23"/>
      <c r="J482" s="2"/>
      <c r="M482" s="40"/>
      <c r="N482" s="40"/>
      <c r="O482" s="2"/>
      <c r="P482" s="2"/>
      <c r="Q482" s="2"/>
      <c r="S482" s="2"/>
      <c r="T482" s="2"/>
      <c r="V482" s="2"/>
      <c r="W482" s="2"/>
      <c r="Y482" s="2"/>
      <c r="Z482" s="2"/>
      <c r="AB482" s="2"/>
      <c r="AC482" s="2"/>
      <c r="AF482" s="24"/>
    </row>
    <row r="483">
      <c r="A483" s="11"/>
      <c r="B483" s="23"/>
      <c r="C483" s="23"/>
      <c r="D483" s="23"/>
      <c r="E483" s="23"/>
      <c r="F483" s="1"/>
      <c r="G483" s="23"/>
      <c r="H483" s="23"/>
      <c r="I483" s="23"/>
      <c r="J483" s="2"/>
      <c r="M483" s="40"/>
      <c r="N483" s="40"/>
      <c r="O483" s="2"/>
      <c r="P483" s="2"/>
      <c r="Q483" s="2"/>
      <c r="S483" s="2"/>
      <c r="T483" s="2"/>
      <c r="V483" s="2"/>
      <c r="W483" s="2"/>
      <c r="Y483" s="2"/>
      <c r="Z483" s="2"/>
      <c r="AB483" s="2"/>
      <c r="AC483" s="2"/>
      <c r="AF483" s="24"/>
    </row>
    <row r="484">
      <c r="A484" s="11"/>
      <c r="B484" s="23"/>
      <c r="C484" s="23"/>
      <c r="D484" s="23"/>
      <c r="E484" s="23"/>
      <c r="F484" s="1"/>
      <c r="G484" s="23"/>
      <c r="H484" s="23"/>
      <c r="I484" s="23"/>
      <c r="J484" s="2"/>
      <c r="M484" s="40"/>
      <c r="N484" s="40"/>
      <c r="O484" s="2"/>
      <c r="P484" s="2"/>
      <c r="Q484" s="2"/>
      <c r="S484" s="2"/>
      <c r="T484" s="2"/>
      <c r="V484" s="2"/>
      <c r="W484" s="2"/>
      <c r="Y484" s="2"/>
      <c r="Z484" s="2"/>
      <c r="AB484" s="2"/>
      <c r="AC484" s="2"/>
      <c r="AF484" s="24"/>
    </row>
    <row r="485">
      <c r="A485" s="11"/>
      <c r="B485" s="23"/>
      <c r="C485" s="23"/>
      <c r="D485" s="23"/>
      <c r="E485" s="23"/>
      <c r="F485" s="1"/>
      <c r="G485" s="23"/>
      <c r="H485" s="23"/>
      <c r="I485" s="23"/>
      <c r="J485" s="2"/>
      <c r="M485" s="40"/>
      <c r="N485" s="40"/>
      <c r="O485" s="2"/>
      <c r="P485" s="2"/>
      <c r="Q485" s="2"/>
      <c r="S485" s="2"/>
      <c r="T485" s="2"/>
      <c r="V485" s="2"/>
      <c r="W485" s="2"/>
      <c r="Y485" s="2"/>
      <c r="Z485" s="2"/>
      <c r="AB485" s="2"/>
      <c r="AC485" s="2"/>
      <c r="AF485" s="24"/>
    </row>
    <row r="486">
      <c r="A486" s="11"/>
      <c r="B486" s="23"/>
      <c r="C486" s="23"/>
      <c r="D486" s="23"/>
      <c r="E486" s="23"/>
      <c r="F486" s="1"/>
      <c r="G486" s="23"/>
      <c r="H486" s="23"/>
      <c r="I486" s="23"/>
      <c r="J486" s="2"/>
      <c r="M486" s="40"/>
      <c r="N486" s="40"/>
      <c r="O486" s="2"/>
      <c r="P486" s="2"/>
      <c r="Q486" s="2"/>
      <c r="S486" s="2"/>
      <c r="T486" s="2"/>
      <c r="V486" s="2"/>
      <c r="W486" s="2"/>
      <c r="Y486" s="2"/>
      <c r="Z486" s="2"/>
      <c r="AB486" s="2"/>
      <c r="AC486" s="2"/>
      <c r="AF486" s="24"/>
    </row>
    <row r="487">
      <c r="A487" s="11"/>
      <c r="B487" s="23"/>
      <c r="C487" s="23"/>
      <c r="D487" s="23"/>
      <c r="E487" s="23"/>
      <c r="F487" s="1"/>
      <c r="G487" s="23"/>
      <c r="H487" s="23"/>
      <c r="I487" s="23"/>
      <c r="J487" s="2"/>
      <c r="M487" s="40"/>
      <c r="N487" s="40"/>
      <c r="O487" s="2"/>
      <c r="P487" s="2"/>
      <c r="Q487" s="2"/>
      <c r="S487" s="2"/>
      <c r="T487" s="2"/>
      <c r="V487" s="2"/>
      <c r="W487" s="2"/>
      <c r="Y487" s="2"/>
      <c r="Z487" s="2"/>
      <c r="AB487" s="2"/>
      <c r="AC487" s="2"/>
      <c r="AF487" s="24"/>
    </row>
    <row r="488">
      <c r="A488" s="11"/>
      <c r="B488" s="23"/>
      <c r="C488" s="23"/>
      <c r="D488" s="23"/>
      <c r="E488" s="23"/>
      <c r="F488" s="1"/>
      <c r="G488" s="23"/>
      <c r="H488" s="23"/>
      <c r="I488" s="23"/>
      <c r="J488" s="2"/>
      <c r="M488" s="40"/>
      <c r="N488" s="40"/>
      <c r="O488" s="2"/>
      <c r="P488" s="2"/>
      <c r="Q488" s="2"/>
      <c r="S488" s="2"/>
      <c r="T488" s="2"/>
      <c r="V488" s="2"/>
      <c r="W488" s="2"/>
      <c r="Y488" s="2"/>
      <c r="Z488" s="2"/>
      <c r="AB488" s="2"/>
      <c r="AC488" s="2"/>
      <c r="AF488" s="24"/>
    </row>
    <row r="489">
      <c r="A489" s="11"/>
      <c r="B489" s="23"/>
      <c r="C489" s="23"/>
      <c r="D489" s="23"/>
      <c r="E489" s="23"/>
      <c r="F489" s="1"/>
      <c r="G489" s="23"/>
      <c r="H489" s="23"/>
      <c r="I489" s="23"/>
      <c r="J489" s="2"/>
      <c r="M489" s="40"/>
      <c r="N489" s="40"/>
      <c r="O489" s="2"/>
      <c r="P489" s="2"/>
      <c r="Q489" s="2"/>
      <c r="S489" s="2"/>
      <c r="T489" s="2"/>
      <c r="V489" s="2"/>
      <c r="W489" s="2"/>
      <c r="Y489" s="2"/>
      <c r="Z489" s="2"/>
      <c r="AB489" s="2"/>
      <c r="AC489" s="2"/>
      <c r="AF489" s="24"/>
    </row>
    <row r="490">
      <c r="A490" s="11"/>
      <c r="B490" s="23"/>
      <c r="C490" s="23"/>
      <c r="D490" s="23"/>
      <c r="E490" s="23"/>
      <c r="F490" s="1"/>
      <c r="G490" s="23"/>
      <c r="H490" s="23"/>
      <c r="I490" s="23"/>
      <c r="J490" s="2"/>
      <c r="M490" s="40"/>
      <c r="N490" s="40"/>
      <c r="O490" s="2"/>
      <c r="P490" s="2"/>
      <c r="Q490" s="2"/>
      <c r="S490" s="2"/>
      <c r="T490" s="2"/>
      <c r="V490" s="2"/>
      <c r="W490" s="2"/>
      <c r="Y490" s="2"/>
      <c r="Z490" s="2"/>
      <c r="AB490" s="2"/>
      <c r="AC490" s="2"/>
      <c r="AF490" s="24"/>
    </row>
    <row r="491">
      <c r="A491" s="11"/>
      <c r="B491" s="23"/>
      <c r="C491" s="23"/>
      <c r="D491" s="23"/>
      <c r="E491" s="23"/>
      <c r="F491" s="1"/>
      <c r="G491" s="23"/>
      <c r="H491" s="23"/>
      <c r="I491" s="23"/>
      <c r="J491" s="2"/>
      <c r="M491" s="40"/>
      <c r="N491" s="40"/>
      <c r="O491" s="2"/>
      <c r="P491" s="2"/>
      <c r="Q491" s="2"/>
      <c r="S491" s="2"/>
      <c r="T491" s="2"/>
      <c r="V491" s="2"/>
      <c r="W491" s="2"/>
      <c r="Y491" s="2"/>
      <c r="Z491" s="2"/>
      <c r="AB491" s="2"/>
      <c r="AC491" s="2"/>
      <c r="AF491" s="24"/>
    </row>
    <row r="492">
      <c r="A492" s="11"/>
      <c r="B492" s="23"/>
      <c r="C492" s="23"/>
      <c r="D492" s="23"/>
      <c r="E492" s="23"/>
      <c r="F492" s="1"/>
      <c r="G492" s="23"/>
      <c r="H492" s="23"/>
      <c r="I492" s="23"/>
      <c r="J492" s="2"/>
      <c r="M492" s="40"/>
      <c r="N492" s="40"/>
      <c r="O492" s="2"/>
      <c r="P492" s="2"/>
      <c r="Q492" s="2"/>
      <c r="S492" s="2"/>
      <c r="T492" s="2"/>
      <c r="V492" s="2"/>
      <c r="W492" s="2"/>
      <c r="Y492" s="2"/>
      <c r="Z492" s="2"/>
      <c r="AB492" s="2"/>
      <c r="AC492" s="2"/>
      <c r="AF492" s="24"/>
    </row>
    <row r="493">
      <c r="A493" s="11"/>
      <c r="B493" s="23"/>
      <c r="C493" s="23"/>
      <c r="D493" s="23"/>
      <c r="E493" s="23"/>
      <c r="F493" s="1"/>
      <c r="G493" s="23"/>
      <c r="H493" s="23"/>
      <c r="I493" s="23"/>
      <c r="J493" s="2"/>
      <c r="M493" s="40"/>
      <c r="N493" s="40"/>
      <c r="O493" s="2"/>
      <c r="P493" s="2"/>
      <c r="Q493" s="2"/>
      <c r="S493" s="2"/>
      <c r="T493" s="2"/>
      <c r="V493" s="2"/>
      <c r="W493" s="2"/>
      <c r="Y493" s="2"/>
      <c r="Z493" s="2"/>
      <c r="AB493" s="2"/>
      <c r="AC493" s="2"/>
      <c r="AF493" s="24"/>
    </row>
    <row r="494">
      <c r="A494" s="11"/>
      <c r="B494" s="23"/>
      <c r="C494" s="23"/>
      <c r="D494" s="23"/>
      <c r="E494" s="23"/>
      <c r="F494" s="1"/>
      <c r="G494" s="23"/>
      <c r="H494" s="23"/>
      <c r="I494" s="23"/>
      <c r="J494" s="2"/>
      <c r="M494" s="40"/>
      <c r="N494" s="40"/>
      <c r="O494" s="2"/>
      <c r="P494" s="2"/>
      <c r="Q494" s="2"/>
      <c r="S494" s="2"/>
      <c r="T494" s="2"/>
      <c r="V494" s="2"/>
      <c r="W494" s="2"/>
      <c r="Y494" s="2"/>
      <c r="Z494" s="2"/>
      <c r="AB494" s="2"/>
      <c r="AC494" s="2"/>
      <c r="AF494" s="24"/>
    </row>
    <row r="495">
      <c r="A495" s="11"/>
      <c r="B495" s="23"/>
      <c r="C495" s="23"/>
      <c r="D495" s="23"/>
      <c r="E495" s="23"/>
      <c r="F495" s="1"/>
      <c r="G495" s="23"/>
      <c r="H495" s="23"/>
      <c r="I495" s="23"/>
      <c r="J495" s="2"/>
      <c r="M495" s="40"/>
      <c r="N495" s="40"/>
      <c r="O495" s="2"/>
      <c r="P495" s="2"/>
      <c r="Q495" s="2"/>
      <c r="S495" s="2"/>
      <c r="T495" s="2"/>
      <c r="V495" s="2"/>
      <c r="W495" s="2"/>
      <c r="Y495" s="2"/>
      <c r="Z495" s="2"/>
      <c r="AB495" s="2"/>
      <c r="AC495" s="2"/>
      <c r="AF495" s="24"/>
    </row>
    <row r="496">
      <c r="A496" s="11"/>
      <c r="B496" s="23"/>
      <c r="C496" s="23"/>
      <c r="D496" s="23"/>
      <c r="E496" s="23"/>
      <c r="F496" s="1"/>
      <c r="G496" s="23"/>
      <c r="H496" s="23"/>
      <c r="I496" s="23"/>
      <c r="J496" s="2"/>
      <c r="M496" s="40"/>
      <c r="N496" s="40"/>
      <c r="O496" s="2"/>
      <c r="P496" s="2"/>
      <c r="Q496" s="2"/>
      <c r="S496" s="2"/>
      <c r="T496" s="2"/>
      <c r="V496" s="2"/>
      <c r="W496" s="2"/>
      <c r="Y496" s="2"/>
      <c r="Z496" s="2"/>
      <c r="AB496" s="2"/>
      <c r="AC496" s="2"/>
      <c r="AF496" s="24"/>
    </row>
    <row r="497">
      <c r="A497" s="11"/>
      <c r="B497" s="23"/>
      <c r="C497" s="23"/>
      <c r="D497" s="23"/>
      <c r="E497" s="23"/>
      <c r="F497" s="1"/>
      <c r="G497" s="23"/>
      <c r="H497" s="23"/>
      <c r="I497" s="23"/>
      <c r="J497" s="2"/>
      <c r="M497" s="40"/>
      <c r="N497" s="40"/>
      <c r="O497" s="2"/>
      <c r="P497" s="2"/>
      <c r="Q497" s="2"/>
      <c r="S497" s="2"/>
      <c r="T497" s="2"/>
      <c r="V497" s="2"/>
      <c r="W497" s="2"/>
      <c r="Y497" s="2"/>
      <c r="Z497" s="2"/>
      <c r="AB497" s="2"/>
      <c r="AC497" s="2"/>
      <c r="AF497" s="24"/>
    </row>
    <row r="498">
      <c r="A498" s="11"/>
      <c r="B498" s="23"/>
      <c r="C498" s="23"/>
      <c r="D498" s="23"/>
      <c r="E498" s="23"/>
      <c r="F498" s="1"/>
      <c r="G498" s="23"/>
      <c r="H498" s="23"/>
      <c r="I498" s="23"/>
      <c r="J498" s="2"/>
      <c r="M498" s="40"/>
      <c r="N498" s="40"/>
      <c r="O498" s="2"/>
      <c r="P498" s="2"/>
      <c r="Q498" s="2"/>
      <c r="S498" s="2"/>
      <c r="T498" s="2"/>
      <c r="V498" s="2"/>
      <c r="W498" s="2"/>
      <c r="Y498" s="2"/>
      <c r="Z498" s="2"/>
      <c r="AB498" s="2"/>
      <c r="AC498" s="2"/>
      <c r="AF498" s="24"/>
    </row>
    <row r="499">
      <c r="A499" s="11"/>
      <c r="B499" s="23"/>
      <c r="C499" s="23"/>
      <c r="D499" s="23"/>
      <c r="E499" s="23"/>
      <c r="F499" s="1"/>
      <c r="G499" s="23"/>
      <c r="H499" s="23"/>
      <c r="I499" s="23"/>
      <c r="J499" s="2"/>
      <c r="M499" s="40"/>
      <c r="N499" s="40"/>
      <c r="O499" s="2"/>
      <c r="P499" s="2"/>
      <c r="Q499" s="2"/>
      <c r="S499" s="2"/>
      <c r="T499" s="2"/>
      <c r="V499" s="2"/>
      <c r="W499" s="2"/>
      <c r="Y499" s="2"/>
      <c r="Z499" s="2"/>
      <c r="AB499" s="2"/>
      <c r="AC499" s="2"/>
      <c r="AF499" s="24"/>
    </row>
    <row r="500">
      <c r="A500" s="11"/>
      <c r="B500" s="23"/>
      <c r="C500" s="23"/>
      <c r="D500" s="23"/>
      <c r="E500" s="23"/>
      <c r="F500" s="1"/>
      <c r="G500" s="23"/>
      <c r="H500" s="23"/>
      <c r="I500" s="23"/>
      <c r="J500" s="2"/>
      <c r="M500" s="40"/>
      <c r="N500" s="40"/>
      <c r="O500" s="2"/>
      <c r="P500" s="2"/>
      <c r="Q500" s="2"/>
      <c r="S500" s="2"/>
      <c r="T500" s="2"/>
      <c r="V500" s="2"/>
      <c r="W500" s="2"/>
      <c r="Y500" s="2"/>
      <c r="Z500" s="2"/>
      <c r="AB500" s="2"/>
      <c r="AC500" s="2"/>
      <c r="AF500" s="24"/>
    </row>
    <row r="501">
      <c r="A501" s="11"/>
      <c r="B501" s="23"/>
      <c r="C501" s="23"/>
      <c r="D501" s="23"/>
      <c r="E501" s="23"/>
      <c r="F501" s="1"/>
      <c r="G501" s="23"/>
      <c r="H501" s="23"/>
      <c r="I501" s="23"/>
      <c r="J501" s="2"/>
      <c r="M501" s="40"/>
      <c r="N501" s="40"/>
      <c r="O501" s="2"/>
      <c r="P501" s="2"/>
      <c r="Q501" s="2"/>
      <c r="S501" s="2"/>
      <c r="T501" s="2"/>
      <c r="V501" s="2"/>
      <c r="W501" s="2"/>
      <c r="Y501" s="2"/>
      <c r="Z501" s="2"/>
      <c r="AB501" s="2"/>
      <c r="AC501" s="2"/>
      <c r="AF501" s="24"/>
    </row>
    <row r="502">
      <c r="A502" s="11"/>
      <c r="B502" s="23"/>
      <c r="C502" s="23"/>
      <c r="D502" s="23"/>
      <c r="E502" s="23"/>
      <c r="F502" s="1"/>
      <c r="G502" s="23"/>
      <c r="H502" s="23"/>
      <c r="I502" s="23"/>
      <c r="J502" s="2"/>
      <c r="M502" s="40"/>
      <c r="N502" s="40"/>
      <c r="O502" s="2"/>
      <c r="P502" s="2"/>
      <c r="Q502" s="2"/>
      <c r="S502" s="2"/>
      <c r="T502" s="2"/>
      <c r="V502" s="2"/>
      <c r="W502" s="2"/>
      <c r="Y502" s="2"/>
      <c r="Z502" s="2"/>
      <c r="AB502" s="2"/>
      <c r="AC502" s="2"/>
      <c r="AF502" s="24"/>
    </row>
    <row r="503">
      <c r="A503" s="11"/>
      <c r="B503" s="23"/>
      <c r="C503" s="23"/>
      <c r="D503" s="23"/>
      <c r="E503" s="23"/>
      <c r="F503" s="1"/>
      <c r="G503" s="23"/>
      <c r="H503" s="23"/>
      <c r="I503" s="23"/>
      <c r="J503" s="2"/>
      <c r="M503" s="40"/>
      <c r="N503" s="40"/>
      <c r="O503" s="2"/>
      <c r="P503" s="2"/>
      <c r="Q503" s="2"/>
      <c r="S503" s="2"/>
      <c r="T503" s="2"/>
      <c r="V503" s="2"/>
      <c r="W503" s="2"/>
      <c r="Y503" s="2"/>
      <c r="Z503" s="2"/>
      <c r="AB503" s="2"/>
      <c r="AC503" s="2"/>
      <c r="AF503" s="24"/>
    </row>
    <row r="504">
      <c r="A504" s="11"/>
      <c r="B504" s="23"/>
      <c r="C504" s="23"/>
      <c r="D504" s="23"/>
      <c r="E504" s="23"/>
      <c r="F504" s="1"/>
      <c r="G504" s="23"/>
      <c r="H504" s="23"/>
      <c r="I504" s="23"/>
      <c r="J504" s="2"/>
      <c r="M504" s="40"/>
      <c r="N504" s="40"/>
      <c r="O504" s="2"/>
      <c r="P504" s="2"/>
      <c r="Q504" s="2"/>
      <c r="S504" s="2"/>
      <c r="T504" s="2"/>
      <c r="V504" s="2"/>
      <c r="W504" s="2"/>
      <c r="Y504" s="2"/>
      <c r="Z504" s="2"/>
      <c r="AB504" s="2"/>
      <c r="AC504" s="2"/>
      <c r="AF504" s="24"/>
    </row>
    <row r="505">
      <c r="A505" s="11"/>
      <c r="B505" s="23"/>
      <c r="C505" s="23"/>
      <c r="D505" s="23"/>
      <c r="E505" s="23"/>
      <c r="F505" s="1"/>
      <c r="G505" s="23"/>
      <c r="H505" s="23"/>
      <c r="I505" s="23"/>
      <c r="J505" s="2"/>
      <c r="M505" s="40"/>
      <c r="N505" s="40"/>
      <c r="O505" s="2"/>
      <c r="P505" s="2"/>
      <c r="Q505" s="2"/>
      <c r="S505" s="2"/>
      <c r="T505" s="2"/>
      <c r="V505" s="2"/>
      <c r="W505" s="2"/>
      <c r="Y505" s="2"/>
      <c r="Z505" s="2"/>
      <c r="AB505" s="2"/>
      <c r="AC505" s="2"/>
      <c r="AF505" s="24"/>
    </row>
    <row r="506">
      <c r="A506" s="11"/>
      <c r="B506" s="23"/>
      <c r="C506" s="23"/>
      <c r="D506" s="23"/>
      <c r="E506" s="23"/>
      <c r="F506" s="1"/>
      <c r="G506" s="23"/>
      <c r="H506" s="23"/>
      <c r="I506" s="23"/>
      <c r="J506" s="2"/>
      <c r="M506" s="40"/>
      <c r="N506" s="40"/>
      <c r="O506" s="2"/>
      <c r="P506" s="2"/>
      <c r="Q506" s="2"/>
      <c r="S506" s="2"/>
      <c r="T506" s="2"/>
      <c r="V506" s="2"/>
      <c r="W506" s="2"/>
      <c r="Y506" s="2"/>
      <c r="Z506" s="2"/>
      <c r="AB506" s="2"/>
      <c r="AC506" s="2"/>
      <c r="AF506" s="24"/>
    </row>
    <row r="507">
      <c r="A507" s="11"/>
      <c r="B507" s="23"/>
      <c r="C507" s="23"/>
      <c r="D507" s="23"/>
      <c r="E507" s="23"/>
      <c r="F507" s="1"/>
      <c r="G507" s="23"/>
      <c r="H507" s="23"/>
      <c r="I507" s="23"/>
      <c r="J507" s="2"/>
      <c r="M507" s="40"/>
      <c r="N507" s="40"/>
      <c r="O507" s="2"/>
      <c r="P507" s="2"/>
      <c r="Q507" s="2"/>
      <c r="S507" s="2"/>
      <c r="T507" s="2"/>
      <c r="V507" s="2"/>
      <c r="W507" s="2"/>
      <c r="Y507" s="2"/>
      <c r="Z507" s="2"/>
      <c r="AB507" s="2"/>
      <c r="AC507" s="2"/>
      <c r="AF507" s="24"/>
    </row>
    <row r="508">
      <c r="A508" s="11"/>
      <c r="B508" s="23"/>
      <c r="C508" s="23"/>
      <c r="D508" s="23"/>
      <c r="E508" s="23"/>
      <c r="F508" s="1"/>
      <c r="G508" s="23"/>
      <c r="H508" s="23"/>
      <c r="I508" s="23"/>
      <c r="J508" s="2"/>
      <c r="M508" s="40"/>
      <c r="N508" s="40"/>
      <c r="O508" s="2"/>
      <c r="P508" s="2"/>
      <c r="Q508" s="2"/>
      <c r="S508" s="2"/>
      <c r="T508" s="2"/>
      <c r="V508" s="2"/>
      <c r="W508" s="2"/>
      <c r="Y508" s="2"/>
      <c r="Z508" s="2"/>
      <c r="AB508" s="2"/>
      <c r="AC508" s="2"/>
      <c r="AF508" s="24"/>
    </row>
    <row r="509">
      <c r="A509" s="11"/>
      <c r="B509" s="23"/>
      <c r="C509" s="23"/>
      <c r="D509" s="23"/>
      <c r="E509" s="23"/>
      <c r="F509" s="1"/>
      <c r="G509" s="23"/>
      <c r="H509" s="23"/>
      <c r="I509" s="23"/>
      <c r="J509" s="2"/>
      <c r="M509" s="40"/>
      <c r="N509" s="40"/>
      <c r="O509" s="2"/>
      <c r="P509" s="2"/>
      <c r="Q509" s="2"/>
      <c r="S509" s="2"/>
      <c r="T509" s="2"/>
      <c r="V509" s="2"/>
      <c r="W509" s="2"/>
      <c r="Y509" s="2"/>
      <c r="Z509" s="2"/>
      <c r="AB509" s="2"/>
      <c r="AC509" s="2"/>
      <c r="AF509" s="24"/>
    </row>
    <row r="510">
      <c r="A510" s="11"/>
      <c r="B510" s="23"/>
      <c r="C510" s="23"/>
      <c r="D510" s="23"/>
      <c r="E510" s="23"/>
      <c r="F510" s="1"/>
      <c r="G510" s="23"/>
      <c r="H510" s="23"/>
      <c r="I510" s="23"/>
      <c r="J510" s="2"/>
      <c r="M510" s="40"/>
      <c r="N510" s="40"/>
      <c r="O510" s="2"/>
      <c r="P510" s="2"/>
      <c r="Q510" s="2"/>
      <c r="S510" s="2"/>
      <c r="T510" s="2"/>
      <c r="V510" s="2"/>
      <c r="W510" s="2"/>
      <c r="Y510" s="2"/>
      <c r="Z510" s="2"/>
      <c r="AB510" s="2"/>
      <c r="AC510" s="2"/>
      <c r="AF510" s="24"/>
    </row>
    <row r="511">
      <c r="A511" s="11"/>
      <c r="B511" s="23"/>
      <c r="C511" s="23"/>
      <c r="D511" s="23"/>
      <c r="E511" s="23"/>
      <c r="F511" s="1"/>
      <c r="G511" s="23"/>
      <c r="H511" s="23"/>
      <c r="I511" s="23"/>
      <c r="J511" s="2"/>
      <c r="M511" s="40"/>
      <c r="N511" s="40"/>
      <c r="O511" s="2"/>
      <c r="P511" s="2"/>
      <c r="Q511" s="2"/>
      <c r="S511" s="2"/>
      <c r="T511" s="2"/>
      <c r="V511" s="2"/>
      <c r="W511" s="2"/>
      <c r="Y511" s="2"/>
      <c r="Z511" s="2"/>
      <c r="AB511" s="2"/>
      <c r="AC511" s="2"/>
      <c r="AF511" s="24"/>
    </row>
    <row r="512">
      <c r="A512" s="11"/>
      <c r="B512" s="23"/>
      <c r="C512" s="23"/>
      <c r="D512" s="23"/>
      <c r="E512" s="23"/>
      <c r="F512" s="1"/>
      <c r="G512" s="23"/>
      <c r="H512" s="23"/>
      <c r="I512" s="23"/>
      <c r="J512" s="2"/>
      <c r="M512" s="40"/>
      <c r="N512" s="40"/>
      <c r="O512" s="2"/>
      <c r="P512" s="2"/>
      <c r="Q512" s="2"/>
      <c r="S512" s="2"/>
      <c r="T512" s="2"/>
      <c r="V512" s="2"/>
      <c r="W512" s="2"/>
      <c r="Y512" s="2"/>
      <c r="Z512" s="2"/>
      <c r="AB512" s="2"/>
      <c r="AC512" s="2"/>
      <c r="AF512" s="24"/>
    </row>
    <row r="513">
      <c r="A513" s="11"/>
      <c r="B513" s="23"/>
      <c r="C513" s="23"/>
      <c r="D513" s="23"/>
      <c r="E513" s="23"/>
      <c r="F513" s="1"/>
      <c r="G513" s="23"/>
      <c r="H513" s="23"/>
      <c r="I513" s="23"/>
      <c r="J513" s="2"/>
      <c r="M513" s="40"/>
      <c r="N513" s="40"/>
      <c r="O513" s="2"/>
      <c r="P513" s="2"/>
      <c r="Q513" s="2"/>
      <c r="S513" s="2"/>
      <c r="T513" s="2"/>
      <c r="V513" s="2"/>
      <c r="W513" s="2"/>
      <c r="Y513" s="2"/>
      <c r="Z513" s="2"/>
      <c r="AB513" s="2"/>
      <c r="AC513" s="2"/>
      <c r="AF513" s="24"/>
    </row>
    <row r="514">
      <c r="A514" s="11"/>
      <c r="B514" s="23"/>
      <c r="C514" s="23"/>
      <c r="D514" s="23"/>
      <c r="E514" s="23"/>
      <c r="F514" s="1"/>
      <c r="G514" s="23"/>
      <c r="H514" s="23"/>
      <c r="I514" s="23"/>
      <c r="J514" s="2"/>
      <c r="M514" s="40"/>
      <c r="N514" s="40"/>
      <c r="O514" s="2"/>
      <c r="P514" s="2"/>
      <c r="Q514" s="2"/>
      <c r="S514" s="2"/>
      <c r="T514" s="2"/>
      <c r="V514" s="2"/>
      <c r="W514" s="2"/>
      <c r="Y514" s="2"/>
      <c r="Z514" s="2"/>
      <c r="AB514" s="2"/>
      <c r="AC514" s="2"/>
      <c r="AF514" s="24"/>
    </row>
    <row r="515">
      <c r="A515" s="11"/>
      <c r="B515" s="23"/>
      <c r="C515" s="23"/>
      <c r="D515" s="23"/>
      <c r="E515" s="23"/>
      <c r="F515" s="1"/>
      <c r="G515" s="23"/>
      <c r="H515" s="23"/>
      <c r="I515" s="23"/>
      <c r="J515" s="2"/>
      <c r="M515" s="40"/>
      <c r="N515" s="40"/>
      <c r="O515" s="2"/>
      <c r="P515" s="2"/>
      <c r="Q515" s="2"/>
      <c r="S515" s="2"/>
      <c r="T515" s="2"/>
      <c r="V515" s="2"/>
      <c r="W515" s="2"/>
      <c r="Y515" s="2"/>
      <c r="Z515" s="2"/>
      <c r="AB515" s="2"/>
      <c r="AC515" s="2"/>
      <c r="AF515" s="24"/>
    </row>
    <row r="516">
      <c r="A516" s="11"/>
      <c r="B516" s="23"/>
      <c r="C516" s="23"/>
      <c r="D516" s="23"/>
      <c r="E516" s="23"/>
      <c r="F516" s="1"/>
      <c r="G516" s="23"/>
      <c r="H516" s="23"/>
      <c r="I516" s="23"/>
      <c r="J516" s="2"/>
      <c r="M516" s="40"/>
      <c r="N516" s="40"/>
      <c r="O516" s="2"/>
      <c r="P516" s="2"/>
      <c r="Q516" s="2"/>
      <c r="S516" s="2"/>
      <c r="T516" s="2"/>
      <c r="V516" s="2"/>
      <c r="W516" s="2"/>
      <c r="Y516" s="2"/>
      <c r="Z516" s="2"/>
      <c r="AB516" s="2"/>
      <c r="AC516" s="2"/>
      <c r="AF516" s="24"/>
    </row>
    <row r="517">
      <c r="A517" s="11"/>
      <c r="B517" s="23"/>
      <c r="C517" s="23"/>
      <c r="D517" s="23"/>
      <c r="E517" s="23"/>
      <c r="F517" s="1"/>
      <c r="G517" s="23"/>
      <c r="H517" s="23"/>
      <c r="I517" s="23"/>
      <c r="J517" s="2"/>
      <c r="M517" s="40"/>
      <c r="N517" s="40"/>
      <c r="O517" s="2"/>
      <c r="P517" s="2"/>
      <c r="Q517" s="2"/>
      <c r="S517" s="2"/>
      <c r="T517" s="2"/>
      <c r="V517" s="2"/>
      <c r="W517" s="2"/>
      <c r="Y517" s="2"/>
      <c r="Z517" s="2"/>
      <c r="AB517" s="2"/>
      <c r="AC517" s="2"/>
      <c r="AF517" s="24"/>
    </row>
    <row r="518">
      <c r="A518" s="11"/>
      <c r="B518" s="23"/>
      <c r="C518" s="23"/>
      <c r="D518" s="23"/>
      <c r="E518" s="23"/>
      <c r="F518" s="1"/>
      <c r="G518" s="23"/>
      <c r="H518" s="23"/>
      <c r="I518" s="23"/>
      <c r="J518" s="2"/>
      <c r="M518" s="40"/>
      <c r="N518" s="40"/>
      <c r="O518" s="2"/>
      <c r="P518" s="2"/>
      <c r="Q518" s="2"/>
      <c r="S518" s="2"/>
      <c r="T518" s="2"/>
      <c r="V518" s="2"/>
      <c r="W518" s="2"/>
      <c r="Y518" s="2"/>
      <c r="Z518" s="2"/>
      <c r="AB518" s="2"/>
      <c r="AC518" s="2"/>
      <c r="AF518" s="24"/>
    </row>
    <row r="519">
      <c r="A519" s="11"/>
      <c r="B519" s="23"/>
      <c r="C519" s="23"/>
      <c r="D519" s="23"/>
      <c r="E519" s="23"/>
      <c r="F519" s="1"/>
      <c r="G519" s="23"/>
      <c r="H519" s="23"/>
      <c r="I519" s="23"/>
      <c r="J519" s="2"/>
      <c r="M519" s="40"/>
      <c r="N519" s="40"/>
      <c r="O519" s="2"/>
      <c r="P519" s="2"/>
      <c r="Q519" s="2"/>
      <c r="S519" s="2"/>
      <c r="T519" s="2"/>
      <c r="V519" s="2"/>
      <c r="W519" s="2"/>
      <c r="Y519" s="2"/>
      <c r="Z519" s="2"/>
      <c r="AB519" s="2"/>
      <c r="AC519" s="2"/>
      <c r="AF519" s="24"/>
    </row>
    <row r="520">
      <c r="A520" s="11"/>
      <c r="B520" s="23"/>
      <c r="C520" s="23"/>
      <c r="D520" s="23"/>
      <c r="E520" s="23"/>
      <c r="F520" s="1"/>
      <c r="G520" s="23"/>
      <c r="H520" s="23"/>
      <c r="I520" s="23"/>
      <c r="J520" s="2"/>
      <c r="M520" s="40"/>
      <c r="N520" s="40"/>
      <c r="O520" s="2"/>
      <c r="P520" s="2"/>
      <c r="Q520" s="2"/>
      <c r="S520" s="2"/>
      <c r="T520" s="2"/>
      <c r="V520" s="2"/>
      <c r="W520" s="2"/>
      <c r="Y520" s="2"/>
      <c r="Z520" s="2"/>
      <c r="AB520" s="2"/>
      <c r="AC520" s="2"/>
      <c r="AF520" s="24"/>
    </row>
    <row r="521">
      <c r="A521" s="11"/>
      <c r="B521" s="23"/>
      <c r="C521" s="23"/>
      <c r="D521" s="23"/>
      <c r="E521" s="23"/>
      <c r="F521" s="1"/>
      <c r="G521" s="23"/>
      <c r="H521" s="23"/>
      <c r="I521" s="23"/>
      <c r="J521" s="2"/>
      <c r="M521" s="40"/>
      <c r="N521" s="40"/>
      <c r="O521" s="2"/>
      <c r="P521" s="2"/>
      <c r="Q521" s="2"/>
      <c r="S521" s="2"/>
      <c r="T521" s="2"/>
      <c r="V521" s="2"/>
      <c r="W521" s="2"/>
      <c r="Y521" s="2"/>
      <c r="Z521" s="2"/>
      <c r="AB521" s="2"/>
      <c r="AC521" s="2"/>
      <c r="AF521" s="24"/>
    </row>
    <row r="522">
      <c r="A522" s="11"/>
      <c r="B522" s="23"/>
      <c r="C522" s="23"/>
      <c r="D522" s="23"/>
      <c r="E522" s="23"/>
      <c r="F522" s="1"/>
      <c r="G522" s="23"/>
      <c r="H522" s="23"/>
      <c r="I522" s="23"/>
      <c r="J522" s="2"/>
      <c r="M522" s="40"/>
      <c r="N522" s="40"/>
      <c r="O522" s="2"/>
      <c r="P522" s="2"/>
      <c r="Q522" s="2"/>
      <c r="S522" s="2"/>
      <c r="T522" s="2"/>
      <c r="V522" s="2"/>
      <c r="W522" s="2"/>
      <c r="Y522" s="2"/>
      <c r="Z522" s="2"/>
      <c r="AB522" s="2"/>
      <c r="AC522" s="2"/>
      <c r="AF522" s="24"/>
    </row>
    <row r="523">
      <c r="A523" s="11"/>
      <c r="B523" s="23"/>
      <c r="C523" s="23"/>
      <c r="D523" s="23"/>
      <c r="E523" s="23"/>
      <c r="F523" s="1"/>
      <c r="G523" s="23"/>
      <c r="H523" s="23"/>
      <c r="I523" s="23"/>
      <c r="J523" s="2"/>
      <c r="M523" s="40"/>
      <c r="N523" s="40"/>
      <c r="O523" s="2"/>
      <c r="P523" s="2"/>
      <c r="Q523" s="2"/>
      <c r="S523" s="2"/>
      <c r="T523" s="2"/>
      <c r="V523" s="2"/>
      <c r="W523" s="2"/>
      <c r="Y523" s="2"/>
      <c r="Z523" s="2"/>
      <c r="AB523" s="2"/>
      <c r="AC523" s="2"/>
      <c r="AF523" s="24"/>
    </row>
    <row r="524">
      <c r="A524" s="11"/>
      <c r="B524" s="23"/>
      <c r="C524" s="23"/>
      <c r="D524" s="23"/>
      <c r="E524" s="23"/>
      <c r="F524" s="1"/>
      <c r="G524" s="23"/>
      <c r="H524" s="23"/>
      <c r="I524" s="23"/>
      <c r="J524" s="2"/>
      <c r="M524" s="40"/>
      <c r="N524" s="40"/>
      <c r="O524" s="2"/>
      <c r="P524" s="2"/>
      <c r="Q524" s="2"/>
      <c r="S524" s="2"/>
      <c r="T524" s="2"/>
      <c r="V524" s="2"/>
      <c r="W524" s="2"/>
      <c r="Y524" s="2"/>
      <c r="Z524" s="2"/>
      <c r="AB524" s="2"/>
      <c r="AC524" s="2"/>
      <c r="AF524" s="24"/>
    </row>
    <row r="525">
      <c r="A525" s="11"/>
      <c r="B525" s="23"/>
      <c r="C525" s="23"/>
      <c r="D525" s="23"/>
      <c r="E525" s="23"/>
      <c r="F525" s="1"/>
      <c r="G525" s="23"/>
      <c r="H525" s="23"/>
      <c r="I525" s="23"/>
      <c r="J525" s="2"/>
      <c r="M525" s="40"/>
      <c r="N525" s="40"/>
      <c r="O525" s="2"/>
      <c r="P525" s="2"/>
      <c r="Q525" s="2"/>
      <c r="S525" s="2"/>
      <c r="T525" s="2"/>
      <c r="V525" s="2"/>
      <c r="W525" s="2"/>
      <c r="Y525" s="2"/>
      <c r="Z525" s="2"/>
      <c r="AB525" s="2"/>
      <c r="AC525" s="2"/>
      <c r="AF525" s="24"/>
    </row>
    <row r="526">
      <c r="A526" s="11"/>
      <c r="B526" s="23"/>
      <c r="C526" s="23"/>
      <c r="D526" s="23"/>
      <c r="E526" s="23"/>
      <c r="F526" s="1"/>
      <c r="G526" s="23"/>
      <c r="H526" s="23"/>
      <c r="I526" s="23"/>
      <c r="J526" s="2"/>
      <c r="M526" s="40"/>
      <c r="N526" s="40"/>
      <c r="O526" s="2"/>
      <c r="P526" s="2"/>
      <c r="Q526" s="2"/>
      <c r="S526" s="2"/>
      <c r="T526" s="2"/>
      <c r="V526" s="2"/>
      <c r="W526" s="2"/>
      <c r="Y526" s="2"/>
      <c r="Z526" s="2"/>
      <c r="AB526" s="2"/>
      <c r="AC526" s="2"/>
      <c r="AF526" s="24"/>
    </row>
    <row r="527">
      <c r="A527" s="11"/>
      <c r="B527" s="23"/>
      <c r="C527" s="23"/>
      <c r="D527" s="23"/>
      <c r="E527" s="23"/>
      <c r="F527" s="1"/>
      <c r="G527" s="23"/>
      <c r="H527" s="23"/>
      <c r="I527" s="23"/>
      <c r="J527" s="2"/>
      <c r="M527" s="40"/>
      <c r="N527" s="40"/>
      <c r="O527" s="2"/>
      <c r="P527" s="2"/>
      <c r="Q527" s="2"/>
      <c r="S527" s="2"/>
      <c r="T527" s="2"/>
      <c r="V527" s="2"/>
      <c r="W527" s="2"/>
      <c r="Y527" s="2"/>
      <c r="Z527" s="2"/>
      <c r="AB527" s="2"/>
      <c r="AC527" s="2"/>
      <c r="AF527" s="24"/>
    </row>
    <row r="528">
      <c r="A528" s="11"/>
      <c r="B528" s="23"/>
      <c r="C528" s="23"/>
      <c r="D528" s="23"/>
      <c r="E528" s="23"/>
      <c r="F528" s="1"/>
      <c r="G528" s="23"/>
      <c r="H528" s="23"/>
      <c r="I528" s="23"/>
      <c r="J528" s="2"/>
      <c r="M528" s="40"/>
      <c r="N528" s="40"/>
      <c r="O528" s="2"/>
      <c r="P528" s="2"/>
      <c r="Q528" s="2"/>
      <c r="S528" s="2"/>
      <c r="T528" s="2"/>
      <c r="V528" s="2"/>
      <c r="W528" s="2"/>
      <c r="Y528" s="2"/>
      <c r="Z528" s="2"/>
      <c r="AB528" s="2"/>
      <c r="AC528" s="2"/>
      <c r="AF528" s="24"/>
    </row>
    <row r="529">
      <c r="A529" s="11"/>
      <c r="B529" s="23"/>
      <c r="C529" s="23"/>
      <c r="D529" s="23"/>
      <c r="E529" s="23"/>
      <c r="F529" s="1"/>
      <c r="G529" s="23"/>
      <c r="H529" s="23"/>
      <c r="I529" s="23"/>
      <c r="J529" s="2"/>
      <c r="M529" s="40"/>
      <c r="N529" s="40"/>
      <c r="O529" s="2"/>
      <c r="P529" s="2"/>
      <c r="Q529" s="2"/>
      <c r="S529" s="2"/>
      <c r="T529" s="2"/>
      <c r="V529" s="2"/>
      <c r="W529" s="2"/>
      <c r="Y529" s="2"/>
      <c r="Z529" s="2"/>
      <c r="AB529" s="2"/>
      <c r="AC529" s="2"/>
      <c r="AF529" s="24"/>
    </row>
    <row r="530">
      <c r="A530" s="11"/>
      <c r="B530" s="23"/>
      <c r="C530" s="23"/>
      <c r="D530" s="23"/>
      <c r="E530" s="23"/>
      <c r="F530" s="1"/>
      <c r="G530" s="23"/>
      <c r="H530" s="23"/>
      <c r="I530" s="23"/>
      <c r="J530" s="2"/>
      <c r="M530" s="40"/>
      <c r="N530" s="40"/>
      <c r="O530" s="2"/>
      <c r="P530" s="2"/>
      <c r="Q530" s="2"/>
      <c r="S530" s="2"/>
      <c r="T530" s="2"/>
      <c r="V530" s="2"/>
      <c r="W530" s="2"/>
      <c r="Y530" s="2"/>
      <c r="Z530" s="2"/>
      <c r="AB530" s="2"/>
      <c r="AC530" s="2"/>
      <c r="AF530" s="24"/>
    </row>
    <row r="531">
      <c r="A531" s="11"/>
      <c r="B531" s="23"/>
      <c r="C531" s="23"/>
      <c r="D531" s="23"/>
      <c r="E531" s="23"/>
      <c r="F531" s="1"/>
      <c r="G531" s="23"/>
      <c r="H531" s="23"/>
      <c r="I531" s="23"/>
      <c r="J531" s="2"/>
      <c r="M531" s="40"/>
      <c r="N531" s="40"/>
      <c r="O531" s="2"/>
      <c r="P531" s="2"/>
      <c r="Q531" s="2"/>
      <c r="S531" s="2"/>
      <c r="T531" s="2"/>
      <c r="V531" s="2"/>
      <c r="W531" s="2"/>
      <c r="Y531" s="2"/>
      <c r="Z531" s="2"/>
      <c r="AB531" s="2"/>
      <c r="AC531" s="2"/>
      <c r="AF531" s="24"/>
    </row>
    <row r="532">
      <c r="A532" s="11"/>
      <c r="B532" s="23"/>
      <c r="C532" s="23"/>
      <c r="D532" s="23"/>
      <c r="E532" s="23"/>
      <c r="F532" s="1"/>
      <c r="G532" s="23"/>
      <c r="H532" s="23"/>
      <c r="I532" s="23"/>
      <c r="J532" s="2"/>
      <c r="M532" s="40"/>
      <c r="N532" s="40"/>
      <c r="O532" s="2"/>
      <c r="P532" s="2"/>
      <c r="Q532" s="2"/>
      <c r="S532" s="2"/>
      <c r="T532" s="2"/>
      <c r="V532" s="2"/>
      <c r="W532" s="2"/>
      <c r="Y532" s="2"/>
      <c r="Z532" s="2"/>
      <c r="AB532" s="2"/>
      <c r="AC532" s="2"/>
      <c r="AF532" s="24"/>
    </row>
    <row r="533">
      <c r="A533" s="11"/>
      <c r="B533" s="23"/>
      <c r="C533" s="23"/>
      <c r="D533" s="23"/>
      <c r="E533" s="23"/>
      <c r="F533" s="1"/>
      <c r="G533" s="23"/>
      <c r="H533" s="23"/>
      <c r="I533" s="23"/>
      <c r="J533" s="2"/>
      <c r="M533" s="40"/>
      <c r="N533" s="40"/>
      <c r="O533" s="2"/>
      <c r="P533" s="2"/>
      <c r="Q533" s="2"/>
      <c r="S533" s="2"/>
      <c r="T533" s="2"/>
      <c r="V533" s="2"/>
      <c r="W533" s="2"/>
      <c r="Y533" s="2"/>
      <c r="Z533" s="2"/>
      <c r="AB533" s="2"/>
      <c r="AC533" s="2"/>
      <c r="AF533" s="24"/>
    </row>
    <row r="534">
      <c r="A534" s="11"/>
      <c r="B534" s="23"/>
      <c r="C534" s="23"/>
      <c r="D534" s="23"/>
      <c r="E534" s="23"/>
      <c r="F534" s="1"/>
      <c r="G534" s="23"/>
      <c r="H534" s="23"/>
      <c r="I534" s="23"/>
      <c r="J534" s="2"/>
      <c r="M534" s="40"/>
      <c r="N534" s="40"/>
      <c r="O534" s="2"/>
      <c r="P534" s="2"/>
      <c r="Q534" s="2"/>
      <c r="S534" s="2"/>
      <c r="T534" s="2"/>
      <c r="V534" s="2"/>
      <c r="W534" s="2"/>
      <c r="Y534" s="2"/>
      <c r="Z534" s="2"/>
      <c r="AB534" s="2"/>
      <c r="AC534" s="2"/>
      <c r="AF534" s="24"/>
    </row>
    <row r="535">
      <c r="A535" s="11"/>
      <c r="B535" s="23"/>
      <c r="C535" s="23"/>
      <c r="D535" s="23"/>
      <c r="E535" s="23"/>
      <c r="F535" s="1"/>
      <c r="G535" s="23"/>
      <c r="H535" s="23"/>
      <c r="I535" s="23"/>
      <c r="J535" s="2"/>
      <c r="M535" s="40"/>
      <c r="N535" s="40"/>
      <c r="O535" s="2"/>
      <c r="P535" s="2"/>
      <c r="Q535" s="2"/>
      <c r="S535" s="2"/>
      <c r="T535" s="2"/>
      <c r="V535" s="2"/>
      <c r="W535" s="2"/>
      <c r="Y535" s="2"/>
      <c r="Z535" s="2"/>
      <c r="AB535" s="2"/>
      <c r="AC535" s="2"/>
      <c r="AF535" s="24"/>
    </row>
    <row r="536">
      <c r="A536" s="11"/>
      <c r="B536" s="23"/>
      <c r="C536" s="23"/>
      <c r="D536" s="23"/>
      <c r="E536" s="23"/>
      <c r="F536" s="1"/>
      <c r="G536" s="23"/>
      <c r="H536" s="23"/>
      <c r="I536" s="23"/>
      <c r="J536" s="2"/>
      <c r="M536" s="40"/>
      <c r="N536" s="40"/>
      <c r="O536" s="2"/>
      <c r="P536" s="2"/>
      <c r="Q536" s="2"/>
      <c r="S536" s="2"/>
      <c r="T536" s="2"/>
      <c r="V536" s="2"/>
      <c r="W536" s="2"/>
      <c r="Y536" s="2"/>
      <c r="Z536" s="2"/>
      <c r="AB536" s="2"/>
      <c r="AC536" s="2"/>
      <c r="AF536" s="24"/>
    </row>
    <row r="537">
      <c r="A537" s="11"/>
      <c r="B537" s="23"/>
      <c r="C537" s="23"/>
      <c r="D537" s="23"/>
      <c r="E537" s="23"/>
      <c r="F537" s="1"/>
      <c r="G537" s="23"/>
      <c r="H537" s="23"/>
      <c r="I537" s="23"/>
      <c r="J537" s="2"/>
      <c r="M537" s="40"/>
      <c r="N537" s="40"/>
      <c r="O537" s="2"/>
      <c r="P537" s="2"/>
      <c r="Q537" s="2"/>
      <c r="S537" s="2"/>
      <c r="T537" s="2"/>
      <c r="V537" s="2"/>
      <c r="W537" s="2"/>
      <c r="Y537" s="2"/>
      <c r="Z537" s="2"/>
      <c r="AB537" s="2"/>
      <c r="AC537" s="2"/>
      <c r="AF537" s="24"/>
    </row>
    <row r="538">
      <c r="A538" s="11"/>
      <c r="B538" s="23"/>
      <c r="C538" s="23"/>
      <c r="D538" s="23"/>
      <c r="E538" s="23"/>
      <c r="F538" s="1"/>
      <c r="G538" s="23"/>
      <c r="H538" s="23"/>
      <c r="I538" s="23"/>
      <c r="J538" s="2"/>
      <c r="M538" s="40"/>
      <c r="N538" s="40"/>
      <c r="O538" s="2"/>
      <c r="P538" s="2"/>
      <c r="Q538" s="2"/>
      <c r="S538" s="2"/>
      <c r="T538" s="2"/>
      <c r="V538" s="2"/>
      <c r="W538" s="2"/>
      <c r="Y538" s="2"/>
      <c r="Z538" s="2"/>
      <c r="AB538" s="2"/>
      <c r="AC538" s="2"/>
      <c r="AF538" s="24"/>
    </row>
    <row r="539">
      <c r="A539" s="11"/>
      <c r="B539" s="23"/>
      <c r="C539" s="23"/>
      <c r="D539" s="23"/>
      <c r="E539" s="23"/>
      <c r="F539" s="1"/>
      <c r="G539" s="23"/>
      <c r="H539" s="23"/>
      <c r="I539" s="23"/>
      <c r="J539" s="2"/>
      <c r="M539" s="40"/>
      <c r="N539" s="40"/>
      <c r="O539" s="2"/>
      <c r="P539" s="2"/>
      <c r="Q539" s="2"/>
      <c r="S539" s="2"/>
      <c r="T539" s="2"/>
      <c r="V539" s="2"/>
      <c r="W539" s="2"/>
      <c r="Y539" s="2"/>
      <c r="Z539" s="2"/>
      <c r="AB539" s="2"/>
      <c r="AC539" s="2"/>
      <c r="AF539" s="24"/>
    </row>
    <row r="540">
      <c r="A540" s="11"/>
      <c r="B540" s="23"/>
      <c r="C540" s="23"/>
      <c r="D540" s="23"/>
      <c r="E540" s="23"/>
      <c r="F540" s="1"/>
      <c r="G540" s="23"/>
      <c r="H540" s="23"/>
      <c r="I540" s="23"/>
      <c r="J540" s="2"/>
      <c r="M540" s="40"/>
      <c r="N540" s="40"/>
      <c r="O540" s="2"/>
      <c r="P540" s="2"/>
      <c r="Q540" s="2"/>
      <c r="S540" s="2"/>
      <c r="T540" s="2"/>
      <c r="V540" s="2"/>
      <c r="W540" s="2"/>
      <c r="Y540" s="2"/>
      <c r="Z540" s="2"/>
      <c r="AB540" s="2"/>
      <c r="AC540" s="2"/>
      <c r="AF540" s="24"/>
    </row>
    <row r="541">
      <c r="A541" s="11"/>
      <c r="B541" s="23"/>
      <c r="C541" s="23"/>
      <c r="D541" s="23"/>
      <c r="E541" s="23"/>
      <c r="F541" s="1"/>
      <c r="G541" s="23"/>
      <c r="H541" s="23"/>
      <c r="I541" s="23"/>
      <c r="J541" s="2"/>
      <c r="M541" s="40"/>
      <c r="N541" s="40"/>
      <c r="O541" s="2"/>
      <c r="P541" s="2"/>
      <c r="Q541" s="2"/>
      <c r="S541" s="2"/>
      <c r="T541" s="2"/>
      <c r="V541" s="2"/>
      <c r="W541" s="2"/>
      <c r="Y541" s="2"/>
      <c r="Z541" s="2"/>
      <c r="AB541" s="2"/>
      <c r="AC541" s="2"/>
      <c r="AF541" s="24"/>
    </row>
    <row r="542">
      <c r="A542" s="11"/>
      <c r="B542" s="23"/>
      <c r="C542" s="23"/>
      <c r="D542" s="23"/>
      <c r="E542" s="23"/>
      <c r="F542" s="1"/>
      <c r="G542" s="23"/>
      <c r="H542" s="23"/>
      <c r="I542" s="23"/>
      <c r="J542" s="2"/>
      <c r="M542" s="40"/>
      <c r="N542" s="40"/>
      <c r="O542" s="2"/>
      <c r="P542" s="2"/>
      <c r="Q542" s="2"/>
      <c r="S542" s="2"/>
      <c r="T542" s="2"/>
      <c r="V542" s="2"/>
      <c r="W542" s="2"/>
      <c r="Y542" s="2"/>
      <c r="Z542" s="2"/>
      <c r="AB542" s="2"/>
      <c r="AC542" s="2"/>
      <c r="AF542" s="24"/>
    </row>
    <row r="543">
      <c r="A543" s="11"/>
      <c r="B543" s="23"/>
      <c r="C543" s="23"/>
      <c r="D543" s="23"/>
      <c r="E543" s="23"/>
      <c r="F543" s="1"/>
      <c r="G543" s="23"/>
      <c r="H543" s="23"/>
      <c r="I543" s="23"/>
      <c r="J543" s="2"/>
      <c r="M543" s="40"/>
      <c r="N543" s="40"/>
      <c r="O543" s="2"/>
      <c r="P543" s="2"/>
      <c r="Q543" s="2"/>
      <c r="S543" s="2"/>
      <c r="T543" s="2"/>
      <c r="V543" s="2"/>
      <c r="W543" s="2"/>
      <c r="Y543" s="2"/>
      <c r="Z543" s="2"/>
      <c r="AB543" s="2"/>
      <c r="AC543" s="2"/>
      <c r="AF543" s="24"/>
    </row>
    <row r="544">
      <c r="A544" s="11"/>
      <c r="B544" s="23"/>
      <c r="C544" s="23"/>
      <c r="D544" s="23"/>
      <c r="E544" s="23"/>
      <c r="F544" s="1"/>
      <c r="G544" s="23"/>
      <c r="H544" s="23"/>
      <c r="I544" s="23"/>
      <c r="J544" s="2"/>
      <c r="M544" s="40"/>
      <c r="N544" s="40"/>
      <c r="O544" s="2"/>
      <c r="P544" s="2"/>
      <c r="Q544" s="2"/>
      <c r="S544" s="2"/>
      <c r="T544" s="2"/>
      <c r="V544" s="2"/>
      <c r="W544" s="2"/>
      <c r="Y544" s="2"/>
      <c r="Z544" s="2"/>
      <c r="AB544" s="2"/>
      <c r="AC544" s="2"/>
      <c r="AF544" s="24"/>
    </row>
    <row r="545">
      <c r="A545" s="11"/>
      <c r="B545" s="23"/>
      <c r="C545" s="23"/>
      <c r="D545" s="23"/>
      <c r="E545" s="23"/>
      <c r="F545" s="1"/>
      <c r="G545" s="23"/>
      <c r="H545" s="23"/>
      <c r="I545" s="23"/>
      <c r="J545" s="2"/>
      <c r="M545" s="40"/>
      <c r="N545" s="40"/>
      <c r="O545" s="2"/>
      <c r="P545" s="2"/>
      <c r="Q545" s="2"/>
      <c r="S545" s="2"/>
      <c r="T545" s="2"/>
      <c r="V545" s="2"/>
      <c r="W545" s="2"/>
      <c r="Y545" s="2"/>
      <c r="Z545" s="2"/>
      <c r="AB545" s="2"/>
      <c r="AC545" s="2"/>
      <c r="AF545" s="24"/>
    </row>
    <row r="546">
      <c r="A546" s="11"/>
      <c r="B546" s="23"/>
      <c r="C546" s="23"/>
      <c r="D546" s="23"/>
      <c r="E546" s="23"/>
      <c r="F546" s="1"/>
      <c r="G546" s="23"/>
      <c r="H546" s="23"/>
      <c r="I546" s="23"/>
      <c r="J546" s="2"/>
      <c r="M546" s="40"/>
      <c r="N546" s="40"/>
      <c r="O546" s="2"/>
      <c r="P546" s="2"/>
      <c r="Q546" s="2"/>
      <c r="S546" s="2"/>
      <c r="T546" s="2"/>
      <c r="V546" s="2"/>
      <c r="W546" s="2"/>
      <c r="Y546" s="2"/>
      <c r="Z546" s="2"/>
      <c r="AB546" s="2"/>
      <c r="AC546" s="2"/>
      <c r="AF546" s="24"/>
    </row>
    <row r="547">
      <c r="A547" s="11"/>
      <c r="B547" s="23"/>
      <c r="C547" s="23"/>
      <c r="D547" s="23"/>
      <c r="E547" s="23"/>
      <c r="F547" s="1"/>
      <c r="G547" s="23"/>
      <c r="H547" s="23"/>
      <c r="I547" s="23"/>
      <c r="J547" s="2"/>
      <c r="M547" s="40"/>
      <c r="N547" s="40"/>
      <c r="O547" s="2"/>
      <c r="P547" s="2"/>
      <c r="Q547" s="2"/>
      <c r="S547" s="2"/>
      <c r="T547" s="2"/>
      <c r="V547" s="2"/>
      <c r="W547" s="2"/>
      <c r="Y547" s="2"/>
      <c r="Z547" s="2"/>
      <c r="AB547" s="2"/>
      <c r="AC547" s="2"/>
      <c r="AF547" s="24"/>
    </row>
    <row r="548">
      <c r="A548" s="11"/>
      <c r="B548" s="23"/>
      <c r="C548" s="23"/>
      <c r="D548" s="23"/>
      <c r="E548" s="23"/>
      <c r="F548" s="1"/>
      <c r="G548" s="23"/>
      <c r="H548" s="23"/>
      <c r="I548" s="23"/>
      <c r="J548" s="2"/>
      <c r="M548" s="40"/>
      <c r="N548" s="40"/>
      <c r="O548" s="2"/>
      <c r="P548" s="2"/>
      <c r="Q548" s="2"/>
      <c r="S548" s="2"/>
      <c r="T548" s="2"/>
      <c r="V548" s="2"/>
      <c r="W548" s="2"/>
      <c r="Y548" s="2"/>
      <c r="Z548" s="2"/>
      <c r="AB548" s="2"/>
      <c r="AC548" s="2"/>
      <c r="AF548" s="24"/>
    </row>
    <row r="549">
      <c r="A549" s="11"/>
      <c r="B549" s="23"/>
      <c r="C549" s="23"/>
      <c r="D549" s="23"/>
      <c r="E549" s="23"/>
      <c r="F549" s="1"/>
      <c r="G549" s="23"/>
      <c r="H549" s="23"/>
      <c r="I549" s="23"/>
      <c r="J549" s="2"/>
      <c r="M549" s="40"/>
      <c r="N549" s="40"/>
      <c r="O549" s="2"/>
      <c r="P549" s="2"/>
      <c r="Q549" s="2"/>
      <c r="S549" s="2"/>
      <c r="T549" s="2"/>
      <c r="V549" s="2"/>
      <c r="W549" s="2"/>
      <c r="Y549" s="2"/>
      <c r="Z549" s="2"/>
      <c r="AB549" s="2"/>
      <c r="AC549" s="2"/>
      <c r="AF549" s="24"/>
    </row>
    <row r="550">
      <c r="A550" s="11"/>
      <c r="B550" s="23"/>
      <c r="C550" s="23"/>
      <c r="D550" s="23"/>
      <c r="E550" s="23"/>
      <c r="F550" s="1"/>
      <c r="G550" s="23"/>
      <c r="H550" s="23"/>
      <c r="I550" s="23"/>
      <c r="J550" s="2"/>
      <c r="M550" s="40"/>
      <c r="N550" s="40"/>
      <c r="O550" s="2"/>
      <c r="P550" s="2"/>
      <c r="Q550" s="2"/>
      <c r="S550" s="2"/>
      <c r="T550" s="2"/>
      <c r="V550" s="2"/>
      <c r="W550" s="2"/>
      <c r="Y550" s="2"/>
      <c r="Z550" s="2"/>
      <c r="AB550" s="2"/>
      <c r="AC550" s="2"/>
      <c r="AF550" s="24"/>
    </row>
    <row r="551">
      <c r="A551" s="11"/>
      <c r="B551" s="23"/>
      <c r="C551" s="23"/>
      <c r="D551" s="23"/>
      <c r="E551" s="23"/>
      <c r="F551" s="1"/>
      <c r="G551" s="23"/>
      <c r="H551" s="23"/>
      <c r="I551" s="23"/>
      <c r="J551" s="2"/>
      <c r="M551" s="40"/>
      <c r="N551" s="40"/>
      <c r="O551" s="2"/>
      <c r="P551" s="2"/>
      <c r="Q551" s="2"/>
      <c r="S551" s="2"/>
      <c r="T551" s="2"/>
      <c r="V551" s="2"/>
      <c r="W551" s="2"/>
      <c r="Y551" s="2"/>
      <c r="Z551" s="2"/>
      <c r="AB551" s="2"/>
      <c r="AC551" s="2"/>
      <c r="AF551" s="24"/>
    </row>
    <row r="552">
      <c r="A552" s="11"/>
      <c r="B552" s="23"/>
      <c r="C552" s="23"/>
      <c r="D552" s="23"/>
      <c r="E552" s="23"/>
      <c r="F552" s="1"/>
      <c r="G552" s="23"/>
      <c r="H552" s="23"/>
      <c r="I552" s="23"/>
      <c r="J552" s="2"/>
      <c r="M552" s="40"/>
      <c r="N552" s="40"/>
      <c r="O552" s="2"/>
      <c r="P552" s="2"/>
      <c r="Q552" s="2"/>
      <c r="S552" s="2"/>
      <c r="T552" s="2"/>
      <c r="V552" s="2"/>
      <c r="W552" s="2"/>
      <c r="Y552" s="2"/>
      <c r="Z552" s="2"/>
      <c r="AB552" s="2"/>
      <c r="AC552" s="2"/>
      <c r="AF552" s="24"/>
    </row>
    <row r="553">
      <c r="A553" s="11"/>
      <c r="B553" s="23"/>
      <c r="C553" s="23"/>
      <c r="D553" s="23"/>
      <c r="E553" s="23"/>
      <c r="F553" s="1"/>
      <c r="G553" s="23"/>
      <c r="H553" s="23"/>
      <c r="I553" s="23"/>
      <c r="J553" s="2"/>
      <c r="M553" s="40"/>
      <c r="N553" s="40"/>
      <c r="O553" s="2"/>
      <c r="P553" s="2"/>
      <c r="Q553" s="2"/>
      <c r="S553" s="2"/>
      <c r="T553" s="2"/>
      <c r="V553" s="2"/>
      <c r="W553" s="2"/>
      <c r="Y553" s="2"/>
      <c r="Z553" s="2"/>
      <c r="AB553" s="2"/>
      <c r="AC553" s="2"/>
      <c r="AF553" s="24"/>
    </row>
    <row r="554">
      <c r="A554" s="11"/>
      <c r="B554" s="23"/>
      <c r="C554" s="23"/>
      <c r="D554" s="23"/>
      <c r="E554" s="23"/>
      <c r="F554" s="1"/>
      <c r="G554" s="23"/>
      <c r="H554" s="23"/>
      <c r="I554" s="23"/>
      <c r="J554" s="2"/>
      <c r="M554" s="40"/>
      <c r="N554" s="40"/>
      <c r="O554" s="2"/>
      <c r="P554" s="2"/>
      <c r="Q554" s="2"/>
      <c r="S554" s="2"/>
      <c r="T554" s="2"/>
      <c r="V554" s="2"/>
      <c r="W554" s="2"/>
      <c r="Y554" s="2"/>
      <c r="Z554" s="2"/>
      <c r="AB554" s="2"/>
      <c r="AC554" s="2"/>
      <c r="AF554" s="24"/>
    </row>
    <row r="555">
      <c r="A555" s="11"/>
      <c r="B555" s="23"/>
      <c r="C555" s="23"/>
      <c r="D555" s="23"/>
      <c r="E555" s="23"/>
      <c r="F555" s="1"/>
      <c r="G555" s="23"/>
      <c r="H555" s="23"/>
      <c r="I555" s="23"/>
      <c r="J555" s="2"/>
      <c r="M555" s="40"/>
      <c r="N555" s="40"/>
      <c r="O555" s="2"/>
      <c r="P555" s="2"/>
      <c r="Q555" s="2"/>
      <c r="S555" s="2"/>
      <c r="T555" s="2"/>
      <c r="V555" s="2"/>
      <c r="W555" s="2"/>
      <c r="Y555" s="2"/>
      <c r="Z555" s="2"/>
      <c r="AB555" s="2"/>
      <c r="AC555" s="2"/>
      <c r="AF555" s="24"/>
    </row>
    <row r="556">
      <c r="A556" s="11"/>
      <c r="B556" s="23"/>
      <c r="C556" s="23"/>
      <c r="D556" s="23"/>
      <c r="E556" s="23"/>
      <c r="F556" s="1"/>
      <c r="G556" s="23"/>
      <c r="H556" s="23"/>
      <c r="I556" s="23"/>
      <c r="J556" s="2"/>
      <c r="M556" s="40"/>
      <c r="N556" s="40"/>
      <c r="O556" s="2"/>
      <c r="P556" s="2"/>
      <c r="Q556" s="2"/>
      <c r="S556" s="2"/>
      <c r="T556" s="2"/>
      <c r="V556" s="2"/>
      <c r="W556" s="2"/>
      <c r="Y556" s="2"/>
      <c r="Z556" s="2"/>
      <c r="AB556" s="2"/>
      <c r="AC556" s="2"/>
      <c r="AF556" s="24"/>
    </row>
    <row r="557">
      <c r="A557" s="11"/>
      <c r="B557" s="23"/>
      <c r="C557" s="23"/>
      <c r="D557" s="23"/>
      <c r="E557" s="23"/>
      <c r="F557" s="1"/>
      <c r="G557" s="23"/>
      <c r="H557" s="23"/>
      <c r="I557" s="23"/>
      <c r="J557" s="2"/>
      <c r="M557" s="40"/>
      <c r="N557" s="40"/>
      <c r="O557" s="2"/>
      <c r="P557" s="2"/>
      <c r="Q557" s="2"/>
      <c r="S557" s="2"/>
      <c r="T557" s="2"/>
      <c r="V557" s="2"/>
      <c r="W557" s="2"/>
      <c r="Y557" s="2"/>
      <c r="Z557" s="2"/>
      <c r="AB557" s="2"/>
      <c r="AC557" s="2"/>
      <c r="AF557" s="24"/>
    </row>
    <row r="558">
      <c r="A558" s="11"/>
      <c r="B558" s="23"/>
      <c r="C558" s="23"/>
      <c r="D558" s="23"/>
      <c r="E558" s="23"/>
      <c r="F558" s="1"/>
      <c r="G558" s="23"/>
      <c r="H558" s="23"/>
      <c r="I558" s="23"/>
      <c r="J558" s="2"/>
      <c r="M558" s="40"/>
      <c r="N558" s="40"/>
      <c r="O558" s="2"/>
      <c r="P558" s="2"/>
      <c r="Q558" s="2"/>
      <c r="S558" s="2"/>
      <c r="T558" s="2"/>
      <c r="V558" s="2"/>
      <c r="W558" s="2"/>
      <c r="Y558" s="2"/>
      <c r="Z558" s="2"/>
      <c r="AB558" s="2"/>
      <c r="AC558" s="2"/>
      <c r="AF558" s="24"/>
    </row>
    <row r="559">
      <c r="A559" s="11"/>
      <c r="B559" s="23"/>
      <c r="C559" s="23"/>
      <c r="D559" s="23"/>
      <c r="E559" s="23"/>
      <c r="F559" s="1"/>
      <c r="G559" s="23"/>
      <c r="H559" s="23"/>
      <c r="I559" s="23"/>
      <c r="J559" s="2"/>
      <c r="M559" s="40"/>
      <c r="N559" s="40"/>
      <c r="O559" s="2"/>
      <c r="P559" s="2"/>
      <c r="Q559" s="2"/>
      <c r="S559" s="2"/>
      <c r="T559" s="2"/>
      <c r="V559" s="2"/>
      <c r="W559" s="2"/>
      <c r="Y559" s="2"/>
      <c r="Z559" s="2"/>
      <c r="AB559" s="2"/>
      <c r="AC559" s="2"/>
      <c r="AF559" s="24"/>
    </row>
    <row r="560">
      <c r="A560" s="11"/>
      <c r="B560" s="23"/>
      <c r="C560" s="23"/>
      <c r="D560" s="23"/>
      <c r="E560" s="23"/>
      <c r="F560" s="1"/>
      <c r="G560" s="23"/>
      <c r="H560" s="23"/>
      <c r="I560" s="23"/>
      <c r="J560" s="2"/>
      <c r="M560" s="40"/>
      <c r="N560" s="40"/>
      <c r="O560" s="2"/>
      <c r="P560" s="2"/>
      <c r="Q560" s="2"/>
      <c r="S560" s="2"/>
      <c r="T560" s="2"/>
      <c r="V560" s="2"/>
      <c r="W560" s="2"/>
      <c r="Y560" s="2"/>
      <c r="Z560" s="2"/>
      <c r="AB560" s="2"/>
      <c r="AC560" s="2"/>
      <c r="AF560" s="24"/>
    </row>
    <row r="561">
      <c r="A561" s="11"/>
      <c r="B561" s="23"/>
      <c r="C561" s="23"/>
      <c r="D561" s="23"/>
      <c r="E561" s="23"/>
      <c r="F561" s="1"/>
      <c r="G561" s="23"/>
      <c r="H561" s="23"/>
      <c r="I561" s="23"/>
      <c r="J561" s="2"/>
      <c r="M561" s="40"/>
      <c r="N561" s="40"/>
      <c r="O561" s="2"/>
      <c r="P561" s="2"/>
      <c r="Q561" s="2"/>
      <c r="S561" s="2"/>
      <c r="T561" s="2"/>
      <c r="V561" s="2"/>
      <c r="W561" s="2"/>
      <c r="Y561" s="2"/>
      <c r="Z561" s="2"/>
      <c r="AB561" s="2"/>
      <c r="AC561" s="2"/>
      <c r="AF561" s="24"/>
    </row>
    <row r="562">
      <c r="A562" s="11"/>
      <c r="B562" s="23"/>
      <c r="C562" s="23"/>
      <c r="D562" s="23"/>
      <c r="E562" s="23"/>
      <c r="F562" s="1"/>
      <c r="G562" s="23"/>
      <c r="H562" s="23"/>
      <c r="I562" s="23"/>
      <c r="J562" s="2"/>
      <c r="M562" s="40"/>
      <c r="N562" s="40"/>
      <c r="O562" s="2"/>
      <c r="P562" s="2"/>
      <c r="Q562" s="2"/>
      <c r="S562" s="2"/>
      <c r="T562" s="2"/>
      <c r="V562" s="2"/>
      <c r="W562" s="2"/>
      <c r="Y562" s="2"/>
      <c r="Z562" s="2"/>
      <c r="AB562" s="2"/>
      <c r="AC562" s="2"/>
      <c r="AF562" s="24"/>
    </row>
    <row r="563">
      <c r="A563" s="11"/>
      <c r="B563" s="23"/>
      <c r="C563" s="23"/>
      <c r="D563" s="23"/>
      <c r="E563" s="23"/>
      <c r="F563" s="1"/>
      <c r="G563" s="23"/>
      <c r="H563" s="23"/>
      <c r="I563" s="23"/>
      <c r="J563" s="2"/>
      <c r="M563" s="40"/>
      <c r="N563" s="40"/>
      <c r="O563" s="2"/>
      <c r="P563" s="2"/>
      <c r="Q563" s="2"/>
      <c r="S563" s="2"/>
      <c r="T563" s="2"/>
      <c r="V563" s="2"/>
      <c r="W563" s="2"/>
      <c r="Y563" s="2"/>
      <c r="Z563" s="2"/>
      <c r="AB563" s="2"/>
      <c r="AC563" s="2"/>
      <c r="AF563" s="24"/>
    </row>
    <row r="564">
      <c r="A564" s="11"/>
      <c r="B564" s="23"/>
      <c r="C564" s="23"/>
      <c r="D564" s="23"/>
      <c r="E564" s="23"/>
      <c r="F564" s="1"/>
      <c r="G564" s="23"/>
      <c r="H564" s="23"/>
      <c r="I564" s="23"/>
      <c r="J564" s="2"/>
      <c r="M564" s="40"/>
      <c r="N564" s="40"/>
      <c r="O564" s="2"/>
      <c r="P564" s="2"/>
      <c r="Q564" s="2"/>
      <c r="S564" s="2"/>
      <c r="T564" s="2"/>
      <c r="V564" s="2"/>
      <c r="W564" s="2"/>
      <c r="Y564" s="2"/>
      <c r="Z564" s="2"/>
      <c r="AB564" s="2"/>
      <c r="AC564" s="2"/>
      <c r="AF564" s="24"/>
    </row>
    <row r="565">
      <c r="A565" s="11"/>
      <c r="B565" s="23"/>
      <c r="C565" s="23"/>
      <c r="D565" s="23"/>
      <c r="E565" s="23"/>
      <c r="F565" s="1"/>
      <c r="G565" s="23"/>
      <c r="H565" s="23"/>
      <c r="I565" s="23"/>
      <c r="J565" s="2"/>
      <c r="M565" s="40"/>
      <c r="N565" s="40"/>
      <c r="O565" s="2"/>
      <c r="P565" s="2"/>
      <c r="Q565" s="2"/>
      <c r="S565" s="2"/>
      <c r="T565" s="2"/>
      <c r="V565" s="2"/>
      <c r="W565" s="2"/>
      <c r="Y565" s="2"/>
      <c r="Z565" s="2"/>
      <c r="AB565" s="2"/>
      <c r="AC565" s="2"/>
      <c r="AF565" s="24"/>
    </row>
    <row r="566">
      <c r="A566" s="11"/>
      <c r="B566" s="23"/>
      <c r="C566" s="23"/>
      <c r="D566" s="23"/>
      <c r="E566" s="23"/>
      <c r="F566" s="1"/>
      <c r="G566" s="23"/>
      <c r="H566" s="23"/>
      <c r="I566" s="23"/>
      <c r="J566" s="2"/>
      <c r="M566" s="40"/>
      <c r="N566" s="40"/>
      <c r="O566" s="2"/>
      <c r="P566" s="2"/>
      <c r="Q566" s="2"/>
      <c r="S566" s="2"/>
      <c r="T566" s="2"/>
      <c r="V566" s="2"/>
      <c r="W566" s="2"/>
      <c r="Y566" s="2"/>
      <c r="Z566" s="2"/>
      <c r="AB566" s="2"/>
      <c r="AC566" s="2"/>
      <c r="AF566" s="24"/>
    </row>
    <row r="567">
      <c r="A567" s="11"/>
      <c r="B567" s="23"/>
      <c r="C567" s="23"/>
      <c r="D567" s="23"/>
      <c r="E567" s="23"/>
      <c r="F567" s="1"/>
      <c r="G567" s="23"/>
      <c r="H567" s="23"/>
      <c r="I567" s="23"/>
      <c r="J567" s="2"/>
      <c r="M567" s="40"/>
      <c r="N567" s="40"/>
      <c r="O567" s="2"/>
      <c r="P567" s="2"/>
      <c r="Q567" s="2"/>
      <c r="S567" s="2"/>
      <c r="T567" s="2"/>
      <c r="V567" s="2"/>
      <c r="W567" s="2"/>
      <c r="Y567" s="2"/>
      <c r="Z567" s="2"/>
      <c r="AB567" s="2"/>
      <c r="AC567" s="2"/>
      <c r="AF567" s="24"/>
    </row>
    <row r="568">
      <c r="A568" s="11"/>
      <c r="B568" s="23"/>
      <c r="C568" s="23"/>
      <c r="D568" s="23"/>
      <c r="E568" s="23"/>
      <c r="F568" s="1"/>
      <c r="G568" s="23"/>
      <c r="H568" s="23"/>
      <c r="I568" s="23"/>
      <c r="J568" s="2"/>
      <c r="M568" s="40"/>
      <c r="N568" s="40"/>
      <c r="O568" s="2"/>
      <c r="P568" s="2"/>
      <c r="Q568" s="2"/>
      <c r="S568" s="2"/>
      <c r="T568" s="2"/>
      <c r="V568" s="2"/>
      <c r="W568" s="2"/>
      <c r="Y568" s="2"/>
      <c r="Z568" s="2"/>
      <c r="AB568" s="2"/>
      <c r="AC568" s="2"/>
      <c r="AF568" s="24"/>
    </row>
    <row r="569">
      <c r="A569" s="11"/>
      <c r="B569" s="23"/>
      <c r="C569" s="23"/>
      <c r="D569" s="23"/>
      <c r="E569" s="23"/>
      <c r="F569" s="1"/>
      <c r="G569" s="23"/>
      <c r="H569" s="23"/>
      <c r="I569" s="23"/>
      <c r="J569" s="2"/>
      <c r="M569" s="40"/>
      <c r="N569" s="40"/>
      <c r="O569" s="2"/>
      <c r="P569" s="2"/>
      <c r="Q569" s="2"/>
      <c r="S569" s="2"/>
      <c r="T569" s="2"/>
      <c r="V569" s="2"/>
      <c r="W569" s="2"/>
      <c r="Y569" s="2"/>
      <c r="Z569" s="2"/>
      <c r="AB569" s="2"/>
      <c r="AC569" s="2"/>
      <c r="AF569" s="24"/>
    </row>
    <row r="570">
      <c r="A570" s="11"/>
      <c r="B570" s="23"/>
      <c r="C570" s="23"/>
      <c r="D570" s="23"/>
      <c r="E570" s="23"/>
      <c r="F570" s="1"/>
      <c r="G570" s="23"/>
      <c r="H570" s="23"/>
      <c r="I570" s="23"/>
      <c r="J570" s="2"/>
      <c r="M570" s="40"/>
      <c r="N570" s="40"/>
      <c r="O570" s="2"/>
      <c r="P570" s="2"/>
      <c r="Q570" s="2"/>
      <c r="S570" s="2"/>
      <c r="T570" s="2"/>
      <c r="V570" s="2"/>
      <c r="W570" s="2"/>
      <c r="Y570" s="2"/>
      <c r="Z570" s="2"/>
      <c r="AB570" s="2"/>
      <c r="AC570" s="2"/>
      <c r="AF570" s="24"/>
    </row>
    <row r="571">
      <c r="A571" s="11"/>
      <c r="B571" s="23"/>
      <c r="C571" s="23"/>
      <c r="D571" s="23"/>
      <c r="E571" s="23"/>
      <c r="F571" s="1"/>
      <c r="G571" s="23"/>
      <c r="H571" s="23"/>
      <c r="I571" s="23"/>
      <c r="J571" s="2"/>
      <c r="M571" s="40"/>
      <c r="N571" s="40"/>
      <c r="O571" s="2"/>
      <c r="P571" s="2"/>
      <c r="Q571" s="2"/>
      <c r="S571" s="2"/>
      <c r="T571" s="2"/>
      <c r="V571" s="2"/>
      <c r="W571" s="2"/>
      <c r="Y571" s="2"/>
      <c r="Z571" s="2"/>
      <c r="AB571" s="2"/>
      <c r="AC571" s="2"/>
      <c r="AF571" s="24"/>
    </row>
    <row r="572">
      <c r="A572" s="11"/>
      <c r="B572" s="23"/>
      <c r="C572" s="23"/>
      <c r="D572" s="23"/>
      <c r="E572" s="23"/>
      <c r="F572" s="1"/>
      <c r="G572" s="23"/>
      <c r="H572" s="23"/>
      <c r="I572" s="23"/>
      <c r="J572" s="2"/>
      <c r="M572" s="40"/>
      <c r="N572" s="40"/>
      <c r="O572" s="2"/>
      <c r="P572" s="2"/>
      <c r="Q572" s="2"/>
      <c r="S572" s="2"/>
      <c r="T572" s="2"/>
      <c r="V572" s="2"/>
      <c r="W572" s="2"/>
      <c r="Y572" s="2"/>
      <c r="Z572" s="2"/>
      <c r="AB572" s="2"/>
      <c r="AC572" s="2"/>
      <c r="AF572" s="24"/>
    </row>
    <row r="573">
      <c r="A573" s="11"/>
      <c r="B573" s="23"/>
      <c r="C573" s="23"/>
      <c r="D573" s="23"/>
      <c r="E573" s="23"/>
      <c r="F573" s="1"/>
      <c r="G573" s="23"/>
      <c r="H573" s="23"/>
      <c r="I573" s="23"/>
      <c r="J573" s="2"/>
      <c r="M573" s="40"/>
      <c r="N573" s="40"/>
      <c r="O573" s="2"/>
      <c r="P573" s="2"/>
      <c r="Q573" s="2"/>
      <c r="S573" s="2"/>
      <c r="T573" s="2"/>
      <c r="V573" s="2"/>
      <c r="W573" s="2"/>
      <c r="Y573" s="2"/>
      <c r="Z573" s="2"/>
      <c r="AB573" s="2"/>
      <c r="AC573" s="2"/>
      <c r="AF573" s="24"/>
    </row>
    <row r="574">
      <c r="A574" s="11"/>
      <c r="B574" s="23"/>
      <c r="C574" s="23"/>
      <c r="D574" s="23"/>
      <c r="E574" s="23"/>
      <c r="F574" s="1"/>
      <c r="G574" s="23"/>
      <c r="H574" s="23"/>
      <c r="I574" s="23"/>
      <c r="J574" s="2"/>
      <c r="M574" s="40"/>
      <c r="N574" s="40"/>
      <c r="O574" s="2"/>
      <c r="P574" s="2"/>
      <c r="Q574" s="2"/>
      <c r="S574" s="2"/>
      <c r="T574" s="2"/>
      <c r="V574" s="2"/>
      <c r="W574" s="2"/>
      <c r="Y574" s="2"/>
      <c r="Z574" s="2"/>
      <c r="AB574" s="2"/>
      <c r="AC574" s="2"/>
      <c r="AF574" s="24"/>
    </row>
    <row r="575">
      <c r="A575" s="11"/>
      <c r="B575" s="23"/>
      <c r="C575" s="23"/>
      <c r="D575" s="23"/>
      <c r="E575" s="23"/>
      <c r="F575" s="1"/>
      <c r="G575" s="23"/>
      <c r="H575" s="23"/>
      <c r="I575" s="23"/>
      <c r="J575" s="2"/>
      <c r="M575" s="40"/>
      <c r="N575" s="40"/>
      <c r="O575" s="2"/>
      <c r="P575" s="2"/>
      <c r="Q575" s="2"/>
      <c r="S575" s="2"/>
      <c r="T575" s="2"/>
      <c r="V575" s="2"/>
      <c r="W575" s="2"/>
      <c r="Y575" s="2"/>
      <c r="Z575" s="2"/>
      <c r="AB575" s="2"/>
      <c r="AC575" s="2"/>
      <c r="AF575" s="24"/>
    </row>
    <row r="576">
      <c r="A576" s="11"/>
      <c r="B576" s="23"/>
      <c r="C576" s="23"/>
      <c r="D576" s="23"/>
      <c r="E576" s="23"/>
      <c r="F576" s="1"/>
      <c r="G576" s="23"/>
      <c r="H576" s="23"/>
      <c r="I576" s="23"/>
      <c r="J576" s="2"/>
      <c r="M576" s="40"/>
      <c r="N576" s="40"/>
      <c r="O576" s="2"/>
      <c r="P576" s="2"/>
      <c r="Q576" s="2"/>
      <c r="S576" s="2"/>
      <c r="T576" s="2"/>
      <c r="V576" s="2"/>
      <c r="W576" s="2"/>
      <c r="Y576" s="2"/>
      <c r="Z576" s="2"/>
      <c r="AB576" s="2"/>
      <c r="AC576" s="2"/>
      <c r="AF576" s="24"/>
    </row>
    <row r="577">
      <c r="A577" s="11"/>
      <c r="B577" s="23"/>
      <c r="C577" s="23"/>
      <c r="D577" s="23"/>
      <c r="E577" s="23"/>
      <c r="F577" s="1"/>
      <c r="G577" s="23"/>
      <c r="H577" s="23"/>
      <c r="I577" s="23"/>
      <c r="J577" s="2"/>
      <c r="M577" s="40"/>
      <c r="N577" s="40"/>
      <c r="O577" s="2"/>
      <c r="P577" s="2"/>
      <c r="Q577" s="2"/>
      <c r="S577" s="2"/>
      <c r="T577" s="2"/>
      <c r="V577" s="2"/>
      <c r="W577" s="2"/>
      <c r="Y577" s="2"/>
      <c r="Z577" s="2"/>
      <c r="AB577" s="2"/>
      <c r="AC577" s="2"/>
      <c r="AF577" s="24"/>
    </row>
    <row r="578">
      <c r="A578" s="11"/>
      <c r="B578" s="23"/>
      <c r="C578" s="23"/>
      <c r="D578" s="23"/>
      <c r="E578" s="23"/>
      <c r="F578" s="1"/>
      <c r="G578" s="23"/>
      <c r="H578" s="23"/>
      <c r="I578" s="23"/>
      <c r="J578" s="2"/>
      <c r="M578" s="40"/>
      <c r="N578" s="40"/>
      <c r="O578" s="2"/>
      <c r="P578" s="2"/>
      <c r="Q578" s="2"/>
      <c r="S578" s="2"/>
      <c r="T578" s="2"/>
      <c r="V578" s="2"/>
      <c r="W578" s="2"/>
      <c r="Y578" s="2"/>
      <c r="Z578" s="2"/>
      <c r="AB578" s="2"/>
      <c r="AC578" s="2"/>
      <c r="AF578" s="24"/>
    </row>
    <row r="579">
      <c r="A579" s="11"/>
      <c r="B579" s="23"/>
      <c r="C579" s="23"/>
      <c r="D579" s="23"/>
      <c r="E579" s="23"/>
      <c r="F579" s="1"/>
      <c r="G579" s="23"/>
      <c r="H579" s="23"/>
      <c r="I579" s="23"/>
      <c r="J579" s="2"/>
      <c r="M579" s="40"/>
      <c r="N579" s="40"/>
      <c r="O579" s="2"/>
      <c r="P579" s="2"/>
      <c r="Q579" s="2"/>
      <c r="S579" s="2"/>
      <c r="T579" s="2"/>
      <c r="V579" s="2"/>
      <c r="W579" s="2"/>
      <c r="Y579" s="2"/>
      <c r="Z579" s="2"/>
      <c r="AB579" s="2"/>
      <c r="AC579" s="2"/>
      <c r="AF579" s="24"/>
    </row>
    <row r="580">
      <c r="A580" s="11"/>
      <c r="B580" s="23"/>
      <c r="C580" s="23"/>
      <c r="D580" s="23"/>
      <c r="E580" s="23"/>
      <c r="F580" s="1"/>
      <c r="G580" s="23"/>
      <c r="H580" s="23"/>
      <c r="I580" s="23"/>
      <c r="J580" s="2"/>
      <c r="M580" s="40"/>
      <c r="N580" s="40"/>
      <c r="O580" s="2"/>
      <c r="P580" s="2"/>
      <c r="Q580" s="2"/>
      <c r="S580" s="2"/>
      <c r="T580" s="2"/>
      <c r="V580" s="2"/>
      <c r="W580" s="2"/>
      <c r="Y580" s="2"/>
      <c r="Z580" s="2"/>
      <c r="AB580" s="2"/>
      <c r="AC580" s="2"/>
      <c r="AF580" s="24"/>
    </row>
    <row r="581">
      <c r="A581" s="11"/>
      <c r="B581" s="23"/>
      <c r="C581" s="23"/>
      <c r="D581" s="23"/>
      <c r="E581" s="23"/>
      <c r="F581" s="1"/>
      <c r="G581" s="23"/>
      <c r="H581" s="23"/>
      <c r="I581" s="23"/>
      <c r="J581" s="2"/>
      <c r="M581" s="40"/>
      <c r="N581" s="40"/>
      <c r="O581" s="2"/>
      <c r="P581" s="2"/>
      <c r="Q581" s="2"/>
      <c r="S581" s="2"/>
      <c r="T581" s="2"/>
      <c r="V581" s="2"/>
      <c r="W581" s="2"/>
      <c r="Y581" s="2"/>
      <c r="Z581" s="2"/>
      <c r="AB581" s="2"/>
      <c r="AC581" s="2"/>
      <c r="AF581" s="24"/>
    </row>
    <row r="582">
      <c r="A582" s="11"/>
      <c r="B582" s="23"/>
      <c r="C582" s="23"/>
      <c r="D582" s="23"/>
      <c r="E582" s="23"/>
      <c r="F582" s="1"/>
      <c r="G582" s="23"/>
      <c r="H582" s="23"/>
      <c r="I582" s="23"/>
      <c r="J582" s="2"/>
      <c r="M582" s="40"/>
      <c r="N582" s="40"/>
      <c r="O582" s="2"/>
      <c r="P582" s="2"/>
      <c r="Q582" s="2"/>
      <c r="S582" s="2"/>
      <c r="T582" s="2"/>
      <c r="V582" s="2"/>
      <c r="W582" s="2"/>
      <c r="Y582" s="2"/>
      <c r="Z582" s="2"/>
      <c r="AB582" s="2"/>
      <c r="AC582" s="2"/>
      <c r="AF582" s="24"/>
    </row>
    <row r="583">
      <c r="A583" s="11"/>
      <c r="B583" s="23"/>
      <c r="C583" s="23"/>
      <c r="D583" s="23"/>
      <c r="E583" s="23"/>
      <c r="F583" s="1"/>
      <c r="G583" s="23"/>
      <c r="H583" s="23"/>
      <c r="I583" s="23"/>
      <c r="J583" s="2"/>
      <c r="M583" s="40"/>
      <c r="N583" s="40"/>
      <c r="O583" s="2"/>
      <c r="P583" s="2"/>
      <c r="Q583" s="2"/>
      <c r="S583" s="2"/>
      <c r="T583" s="2"/>
      <c r="V583" s="2"/>
      <c r="W583" s="2"/>
      <c r="Y583" s="2"/>
      <c r="Z583" s="2"/>
      <c r="AB583" s="2"/>
      <c r="AC583" s="2"/>
      <c r="AF583" s="24"/>
    </row>
    <row r="584">
      <c r="A584" s="11"/>
      <c r="B584" s="23"/>
      <c r="C584" s="23"/>
      <c r="D584" s="23"/>
      <c r="E584" s="23"/>
      <c r="F584" s="1"/>
      <c r="G584" s="23"/>
      <c r="H584" s="23"/>
      <c r="I584" s="23"/>
      <c r="J584" s="2"/>
      <c r="M584" s="40"/>
      <c r="N584" s="40"/>
      <c r="O584" s="2"/>
      <c r="P584" s="2"/>
      <c r="Q584" s="2"/>
      <c r="S584" s="2"/>
      <c r="T584" s="2"/>
      <c r="V584" s="2"/>
      <c r="W584" s="2"/>
      <c r="Y584" s="2"/>
      <c r="Z584" s="2"/>
      <c r="AB584" s="2"/>
      <c r="AC584" s="2"/>
      <c r="AF584" s="24"/>
    </row>
    <row r="585">
      <c r="A585" s="11"/>
      <c r="B585" s="23"/>
      <c r="C585" s="23"/>
      <c r="D585" s="23"/>
      <c r="E585" s="23"/>
      <c r="F585" s="1"/>
      <c r="G585" s="23"/>
      <c r="H585" s="23"/>
      <c r="I585" s="23"/>
      <c r="J585" s="2"/>
      <c r="M585" s="40"/>
      <c r="N585" s="40"/>
      <c r="O585" s="2"/>
      <c r="P585" s="2"/>
      <c r="Q585" s="2"/>
      <c r="S585" s="2"/>
      <c r="T585" s="2"/>
      <c r="V585" s="2"/>
      <c r="W585" s="2"/>
      <c r="Y585" s="2"/>
      <c r="Z585" s="2"/>
      <c r="AB585" s="2"/>
      <c r="AC585" s="2"/>
      <c r="AF585" s="24"/>
    </row>
    <row r="586">
      <c r="A586" s="11"/>
      <c r="B586" s="23"/>
      <c r="C586" s="23"/>
      <c r="D586" s="23"/>
      <c r="E586" s="23"/>
      <c r="F586" s="1"/>
      <c r="G586" s="23"/>
      <c r="H586" s="23"/>
      <c r="I586" s="23"/>
      <c r="J586" s="2"/>
      <c r="M586" s="40"/>
      <c r="N586" s="40"/>
      <c r="O586" s="2"/>
      <c r="P586" s="2"/>
      <c r="Q586" s="2"/>
      <c r="S586" s="2"/>
      <c r="T586" s="2"/>
      <c r="V586" s="2"/>
      <c r="W586" s="2"/>
      <c r="Y586" s="2"/>
      <c r="Z586" s="2"/>
      <c r="AB586" s="2"/>
      <c r="AC586" s="2"/>
      <c r="AF586" s="24"/>
    </row>
    <row r="587">
      <c r="A587" s="11"/>
      <c r="B587" s="23"/>
      <c r="C587" s="23"/>
      <c r="D587" s="23"/>
      <c r="E587" s="23"/>
      <c r="F587" s="1"/>
      <c r="G587" s="23"/>
      <c r="H587" s="23"/>
      <c r="I587" s="23"/>
      <c r="J587" s="2"/>
      <c r="M587" s="40"/>
      <c r="N587" s="40"/>
      <c r="O587" s="2"/>
      <c r="P587" s="2"/>
      <c r="Q587" s="2"/>
      <c r="S587" s="2"/>
      <c r="T587" s="2"/>
      <c r="V587" s="2"/>
      <c r="W587" s="2"/>
      <c r="Y587" s="2"/>
      <c r="Z587" s="2"/>
      <c r="AB587" s="2"/>
      <c r="AC587" s="2"/>
      <c r="AF587" s="24"/>
    </row>
    <row r="588">
      <c r="A588" s="11"/>
      <c r="B588" s="23"/>
      <c r="C588" s="23"/>
      <c r="D588" s="23"/>
      <c r="E588" s="23"/>
      <c r="F588" s="1"/>
      <c r="G588" s="23"/>
      <c r="H588" s="23"/>
      <c r="I588" s="23"/>
      <c r="J588" s="2"/>
      <c r="M588" s="40"/>
      <c r="N588" s="40"/>
      <c r="O588" s="2"/>
      <c r="P588" s="2"/>
      <c r="Q588" s="2"/>
      <c r="S588" s="2"/>
      <c r="T588" s="2"/>
      <c r="V588" s="2"/>
      <c r="W588" s="2"/>
      <c r="Y588" s="2"/>
      <c r="Z588" s="2"/>
      <c r="AB588" s="2"/>
      <c r="AC588" s="2"/>
      <c r="AF588" s="24"/>
    </row>
    <row r="589">
      <c r="A589" s="11"/>
      <c r="B589" s="23"/>
      <c r="C589" s="23"/>
      <c r="D589" s="23"/>
      <c r="E589" s="23"/>
      <c r="F589" s="1"/>
      <c r="G589" s="23"/>
      <c r="H589" s="23"/>
      <c r="I589" s="23"/>
      <c r="J589" s="2"/>
      <c r="M589" s="40"/>
      <c r="N589" s="40"/>
      <c r="O589" s="2"/>
      <c r="P589" s="2"/>
      <c r="Q589" s="2"/>
      <c r="S589" s="2"/>
      <c r="T589" s="2"/>
      <c r="V589" s="2"/>
      <c r="W589" s="2"/>
      <c r="Y589" s="2"/>
      <c r="Z589" s="2"/>
      <c r="AB589" s="2"/>
      <c r="AC589" s="2"/>
      <c r="AF589" s="24"/>
    </row>
    <row r="590">
      <c r="A590" s="11"/>
      <c r="B590" s="23"/>
      <c r="C590" s="23"/>
      <c r="D590" s="23"/>
      <c r="E590" s="23"/>
      <c r="F590" s="1"/>
      <c r="G590" s="23"/>
      <c r="H590" s="23"/>
      <c r="I590" s="23"/>
      <c r="J590" s="2"/>
      <c r="M590" s="40"/>
      <c r="N590" s="40"/>
      <c r="O590" s="2"/>
      <c r="P590" s="2"/>
      <c r="Q590" s="2"/>
      <c r="S590" s="2"/>
      <c r="T590" s="2"/>
      <c r="V590" s="2"/>
      <c r="W590" s="2"/>
      <c r="Y590" s="2"/>
      <c r="Z590" s="2"/>
      <c r="AB590" s="2"/>
      <c r="AC590" s="2"/>
      <c r="AF590" s="24"/>
    </row>
    <row r="591">
      <c r="A591" s="11"/>
      <c r="B591" s="23"/>
      <c r="C591" s="23"/>
      <c r="D591" s="23"/>
      <c r="E591" s="23"/>
      <c r="F591" s="1"/>
      <c r="G591" s="23"/>
      <c r="H591" s="23"/>
      <c r="I591" s="23"/>
      <c r="J591" s="2"/>
      <c r="M591" s="40"/>
      <c r="N591" s="40"/>
      <c r="O591" s="2"/>
      <c r="P591" s="2"/>
      <c r="Q591" s="2"/>
      <c r="S591" s="2"/>
      <c r="T591" s="2"/>
      <c r="V591" s="2"/>
      <c r="W591" s="2"/>
      <c r="Y591" s="2"/>
      <c r="Z591" s="2"/>
      <c r="AB591" s="2"/>
      <c r="AC591" s="2"/>
      <c r="AF591" s="24"/>
    </row>
    <row r="592">
      <c r="A592" s="11"/>
      <c r="B592" s="23"/>
      <c r="C592" s="23"/>
      <c r="D592" s="23"/>
      <c r="E592" s="23"/>
      <c r="F592" s="1"/>
      <c r="G592" s="23"/>
      <c r="H592" s="23"/>
      <c r="I592" s="23"/>
      <c r="J592" s="2"/>
      <c r="M592" s="40"/>
      <c r="N592" s="40"/>
      <c r="O592" s="2"/>
      <c r="P592" s="2"/>
      <c r="Q592" s="2"/>
      <c r="S592" s="2"/>
      <c r="T592" s="2"/>
      <c r="V592" s="2"/>
      <c r="W592" s="2"/>
      <c r="Y592" s="2"/>
      <c r="Z592" s="2"/>
      <c r="AB592" s="2"/>
      <c r="AC592" s="2"/>
      <c r="AF592" s="24"/>
    </row>
    <row r="593">
      <c r="A593" s="11"/>
      <c r="B593" s="23"/>
      <c r="C593" s="23"/>
      <c r="D593" s="23"/>
      <c r="E593" s="23"/>
      <c r="F593" s="1"/>
      <c r="G593" s="23"/>
      <c r="H593" s="23"/>
      <c r="I593" s="23"/>
      <c r="J593" s="2"/>
      <c r="M593" s="40"/>
      <c r="N593" s="40"/>
      <c r="O593" s="2"/>
      <c r="P593" s="2"/>
      <c r="Q593" s="2"/>
      <c r="S593" s="2"/>
      <c r="T593" s="2"/>
      <c r="V593" s="2"/>
      <c r="W593" s="2"/>
      <c r="Y593" s="2"/>
      <c r="Z593" s="2"/>
      <c r="AB593" s="2"/>
      <c r="AC593" s="2"/>
      <c r="AF593" s="24"/>
    </row>
    <row r="594">
      <c r="A594" s="11"/>
      <c r="B594" s="23"/>
      <c r="C594" s="23"/>
      <c r="D594" s="23"/>
      <c r="E594" s="23"/>
      <c r="F594" s="1"/>
      <c r="G594" s="23"/>
      <c r="H594" s="23"/>
      <c r="I594" s="23"/>
      <c r="J594" s="2"/>
      <c r="M594" s="40"/>
      <c r="N594" s="40"/>
      <c r="O594" s="2"/>
      <c r="P594" s="2"/>
      <c r="Q594" s="2"/>
      <c r="S594" s="2"/>
      <c r="T594" s="2"/>
      <c r="V594" s="2"/>
      <c r="W594" s="2"/>
      <c r="Y594" s="2"/>
      <c r="Z594" s="2"/>
      <c r="AB594" s="2"/>
      <c r="AC594" s="2"/>
      <c r="AF594" s="24"/>
    </row>
    <row r="595">
      <c r="A595" s="11"/>
      <c r="B595" s="23"/>
      <c r="C595" s="23"/>
      <c r="D595" s="23"/>
      <c r="E595" s="23"/>
      <c r="F595" s="1"/>
      <c r="G595" s="23"/>
      <c r="H595" s="23"/>
      <c r="I595" s="23"/>
      <c r="J595" s="2"/>
      <c r="M595" s="40"/>
      <c r="N595" s="40"/>
      <c r="O595" s="2"/>
      <c r="P595" s="2"/>
      <c r="Q595" s="2"/>
      <c r="S595" s="2"/>
      <c r="T595" s="2"/>
      <c r="V595" s="2"/>
      <c r="W595" s="2"/>
      <c r="Y595" s="2"/>
      <c r="Z595" s="2"/>
      <c r="AB595" s="2"/>
      <c r="AC595" s="2"/>
      <c r="AF595" s="24"/>
    </row>
    <row r="596">
      <c r="A596" s="11"/>
      <c r="B596" s="23"/>
      <c r="C596" s="23"/>
      <c r="D596" s="23"/>
      <c r="E596" s="23"/>
      <c r="F596" s="1"/>
      <c r="G596" s="23"/>
      <c r="H596" s="23"/>
      <c r="I596" s="23"/>
      <c r="J596" s="2"/>
      <c r="M596" s="40"/>
      <c r="N596" s="40"/>
      <c r="O596" s="2"/>
      <c r="P596" s="2"/>
      <c r="Q596" s="2"/>
      <c r="S596" s="2"/>
      <c r="T596" s="2"/>
      <c r="V596" s="2"/>
      <c r="W596" s="2"/>
      <c r="Y596" s="2"/>
      <c r="Z596" s="2"/>
      <c r="AB596" s="2"/>
      <c r="AC596" s="2"/>
      <c r="AF596" s="24"/>
    </row>
    <row r="597">
      <c r="A597" s="11"/>
      <c r="B597" s="23"/>
      <c r="C597" s="23"/>
      <c r="D597" s="23"/>
      <c r="E597" s="23"/>
      <c r="F597" s="1"/>
      <c r="G597" s="23"/>
      <c r="H597" s="23"/>
      <c r="I597" s="23"/>
      <c r="J597" s="2"/>
      <c r="M597" s="40"/>
      <c r="N597" s="40"/>
      <c r="O597" s="2"/>
      <c r="P597" s="2"/>
      <c r="Q597" s="2"/>
      <c r="S597" s="2"/>
      <c r="T597" s="2"/>
      <c r="V597" s="2"/>
      <c r="W597" s="2"/>
      <c r="Y597" s="2"/>
      <c r="Z597" s="2"/>
      <c r="AB597" s="2"/>
      <c r="AC597" s="2"/>
      <c r="AF597" s="24"/>
    </row>
    <row r="598">
      <c r="A598" s="11"/>
      <c r="B598" s="23"/>
      <c r="C598" s="23"/>
      <c r="D598" s="23"/>
      <c r="E598" s="23"/>
      <c r="F598" s="1"/>
      <c r="G598" s="23"/>
      <c r="H598" s="23"/>
      <c r="I598" s="23"/>
      <c r="J598" s="2"/>
      <c r="M598" s="40"/>
      <c r="N598" s="40"/>
      <c r="O598" s="2"/>
      <c r="P598" s="2"/>
      <c r="Q598" s="2"/>
      <c r="S598" s="2"/>
      <c r="T598" s="2"/>
      <c r="V598" s="2"/>
      <c r="W598" s="2"/>
      <c r="Y598" s="2"/>
      <c r="Z598" s="2"/>
      <c r="AB598" s="2"/>
      <c r="AC598" s="2"/>
      <c r="AF598" s="24"/>
    </row>
    <row r="599">
      <c r="A599" s="11"/>
      <c r="B599" s="23"/>
      <c r="C599" s="23"/>
      <c r="D599" s="23"/>
      <c r="E599" s="23"/>
      <c r="F599" s="1"/>
      <c r="G599" s="23"/>
      <c r="H599" s="23"/>
      <c r="I599" s="23"/>
      <c r="J599" s="2"/>
      <c r="M599" s="40"/>
      <c r="N599" s="40"/>
      <c r="O599" s="2"/>
      <c r="P599" s="2"/>
      <c r="Q599" s="2"/>
      <c r="S599" s="2"/>
      <c r="T599" s="2"/>
      <c r="V599" s="2"/>
      <c r="W599" s="2"/>
      <c r="Y599" s="2"/>
      <c r="Z599" s="2"/>
      <c r="AB599" s="2"/>
      <c r="AC599" s="2"/>
      <c r="AF599" s="24"/>
    </row>
    <row r="600">
      <c r="A600" s="11"/>
      <c r="B600" s="23"/>
      <c r="C600" s="23"/>
      <c r="D600" s="23"/>
      <c r="E600" s="23"/>
      <c r="F600" s="1"/>
      <c r="G600" s="23"/>
      <c r="H600" s="23"/>
      <c r="I600" s="23"/>
      <c r="J600" s="2"/>
      <c r="M600" s="40"/>
      <c r="N600" s="40"/>
      <c r="O600" s="2"/>
      <c r="P600" s="2"/>
      <c r="Q600" s="2"/>
      <c r="S600" s="2"/>
      <c r="T600" s="2"/>
      <c r="V600" s="2"/>
      <c r="W600" s="2"/>
      <c r="Y600" s="2"/>
      <c r="Z600" s="2"/>
      <c r="AB600" s="2"/>
      <c r="AC600" s="2"/>
      <c r="AF600" s="24"/>
    </row>
    <row r="601">
      <c r="A601" s="11"/>
      <c r="B601" s="23"/>
      <c r="C601" s="23"/>
      <c r="D601" s="23"/>
      <c r="E601" s="23"/>
      <c r="F601" s="1"/>
      <c r="G601" s="23"/>
      <c r="H601" s="23"/>
      <c r="I601" s="23"/>
      <c r="J601" s="2"/>
      <c r="M601" s="40"/>
      <c r="N601" s="40"/>
      <c r="O601" s="2"/>
      <c r="P601" s="2"/>
      <c r="Q601" s="2"/>
      <c r="S601" s="2"/>
      <c r="T601" s="2"/>
      <c r="V601" s="2"/>
      <c r="W601" s="2"/>
      <c r="Y601" s="2"/>
      <c r="Z601" s="2"/>
      <c r="AB601" s="2"/>
      <c r="AC601" s="2"/>
      <c r="AF601" s="24"/>
    </row>
    <row r="602">
      <c r="A602" s="11"/>
      <c r="B602" s="23"/>
      <c r="C602" s="23"/>
      <c r="D602" s="23"/>
      <c r="E602" s="23"/>
      <c r="F602" s="1"/>
      <c r="G602" s="23"/>
      <c r="H602" s="23"/>
      <c r="I602" s="23"/>
      <c r="J602" s="2"/>
      <c r="M602" s="40"/>
      <c r="N602" s="40"/>
      <c r="O602" s="2"/>
      <c r="P602" s="2"/>
      <c r="Q602" s="2"/>
      <c r="S602" s="2"/>
      <c r="T602" s="2"/>
      <c r="V602" s="2"/>
      <c r="W602" s="2"/>
      <c r="Y602" s="2"/>
      <c r="Z602" s="2"/>
      <c r="AB602" s="2"/>
      <c r="AC602" s="2"/>
      <c r="AF602" s="24"/>
    </row>
    <row r="603">
      <c r="A603" s="11"/>
      <c r="B603" s="23"/>
      <c r="C603" s="23"/>
      <c r="D603" s="23"/>
      <c r="E603" s="23"/>
      <c r="F603" s="1"/>
      <c r="G603" s="23"/>
      <c r="H603" s="23"/>
      <c r="I603" s="23"/>
      <c r="J603" s="2"/>
      <c r="M603" s="40"/>
      <c r="N603" s="40"/>
      <c r="O603" s="2"/>
      <c r="P603" s="2"/>
      <c r="Q603" s="2"/>
      <c r="S603" s="2"/>
      <c r="T603" s="2"/>
      <c r="V603" s="2"/>
      <c r="W603" s="2"/>
      <c r="Y603" s="2"/>
      <c r="Z603" s="2"/>
      <c r="AB603" s="2"/>
      <c r="AC603" s="2"/>
      <c r="AF603" s="24"/>
    </row>
    <row r="604">
      <c r="A604" s="11"/>
      <c r="B604" s="23"/>
      <c r="C604" s="23"/>
      <c r="D604" s="23"/>
      <c r="E604" s="23"/>
      <c r="F604" s="1"/>
      <c r="G604" s="23"/>
      <c r="H604" s="23"/>
      <c r="I604" s="23"/>
      <c r="J604" s="2"/>
      <c r="M604" s="40"/>
      <c r="N604" s="40"/>
      <c r="O604" s="2"/>
      <c r="P604" s="2"/>
      <c r="Q604" s="2"/>
      <c r="S604" s="2"/>
      <c r="T604" s="2"/>
      <c r="V604" s="2"/>
      <c r="W604" s="2"/>
      <c r="Y604" s="2"/>
      <c r="Z604" s="2"/>
      <c r="AB604" s="2"/>
      <c r="AC604" s="2"/>
      <c r="AF604" s="24"/>
    </row>
    <row r="605">
      <c r="A605" s="11"/>
      <c r="B605" s="23"/>
      <c r="C605" s="23"/>
      <c r="D605" s="23"/>
      <c r="E605" s="23"/>
      <c r="F605" s="1"/>
      <c r="G605" s="23"/>
      <c r="H605" s="23"/>
      <c r="I605" s="23"/>
      <c r="J605" s="2"/>
      <c r="M605" s="40"/>
      <c r="N605" s="40"/>
      <c r="O605" s="2"/>
      <c r="P605" s="2"/>
      <c r="Q605" s="2"/>
      <c r="S605" s="2"/>
      <c r="T605" s="2"/>
      <c r="V605" s="2"/>
      <c r="W605" s="2"/>
      <c r="Y605" s="2"/>
      <c r="Z605" s="2"/>
      <c r="AB605" s="2"/>
      <c r="AC605" s="2"/>
      <c r="AF605" s="24"/>
    </row>
    <row r="606">
      <c r="A606" s="11"/>
      <c r="B606" s="23"/>
      <c r="C606" s="23"/>
      <c r="D606" s="23"/>
      <c r="E606" s="23"/>
      <c r="F606" s="1"/>
      <c r="G606" s="23"/>
      <c r="H606" s="23"/>
      <c r="I606" s="23"/>
      <c r="J606" s="2"/>
      <c r="M606" s="40"/>
      <c r="N606" s="40"/>
      <c r="O606" s="2"/>
      <c r="P606" s="2"/>
      <c r="Q606" s="2"/>
      <c r="S606" s="2"/>
      <c r="T606" s="2"/>
      <c r="V606" s="2"/>
      <c r="W606" s="2"/>
      <c r="Y606" s="2"/>
      <c r="Z606" s="2"/>
      <c r="AB606" s="2"/>
      <c r="AC606" s="2"/>
      <c r="AF606" s="24"/>
    </row>
    <row r="607">
      <c r="A607" s="11"/>
      <c r="B607" s="23"/>
      <c r="C607" s="23"/>
      <c r="D607" s="23"/>
      <c r="E607" s="23"/>
      <c r="F607" s="1"/>
      <c r="G607" s="23"/>
      <c r="H607" s="23"/>
      <c r="I607" s="23"/>
      <c r="J607" s="2"/>
      <c r="M607" s="40"/>
      <c r="N607" s="40"/>
      <c r="O607" s="2"/>
      <c r="P607" s="2"/>
      <c r="Q607" s="2"/>
      <c r="S607" s="2"/>
      <c r="T607" s="2"/>
      <c r="V607" s="2"/>
      <c r="W607" s="2"/>
      <c r="Y607" s="2"/>
      <c r="Z607" s="2"/>
      <c r="AB607" s="2"/>
      <c r="AC607" s="2"/>
      <c r="AF607" s="24"/>
    </row>
    <row r="608">
      <c r="A608" s="11"/>
      <c r="B608" s="23"/>
      <c r="C608" s="23"/>
      <c r="D608" s="23"/>
      <c r="E608" s="23"/>
      <c r="F608" s="1"/>
      <c r="G608" s="23"/>
      <c r="H608" s="23"/>
      <c r="I608" s="23"/>
      <c r="J608" s="2"/>
      <c r="M608" s="40"/>
      <c r="N608" s="40"/>
      <c r="O608" s="2"/>
      <c r="P608" s="2"/>
      <c r="Q608" s="2"/>
      <c r="S608" s="2"/>
      <c r="T608" s="2"/>
      <c r="V608" s="2"/>
      <c r="W608" s="2"/>
      <c r="Y608" s="2"/>
      <c r="Z608" s="2"/>
      <c r="AB608" s="2"/>
      <c r="AC608" s="2"/>
      <c r="AF608" s="24"/>
    </row>
    <row r="609">
      <c r="A609" s="11"/>
      <c r="B609" s="23"/>
      <c r="C609" s="23"/>
      <c r="D609" s="23"/>
      <c r="E609" s="23"/>
      <c r="F609" s="1"/>
      <c r="G609" s="23"/>
      <c r="H609" s="23"/>
      <c r="I609" s="23"/>
      <c r="J609" s="2"/>
      <c r="M609" s="40"/>
      <c r="N609" s="40"/>
      <c r="O609" s="2"/>
      <c r="P609" s="2"/>
      <c r="Q609" s="2"/>
      <c r="S609" s="2"/>
      <c r="T609" s="2"/>
      <c r="V609" s="2"/>
      <c r="W609" s="2"/>
      <c r="Y609" s="2"/>
      <c r="Z609" s="2"/>
      <c r="AB609" s="2"/>
      <c r="AC609" s="2"/>
      <c r="AF609" s="24"/>
    </row>
    <row r="610">
      <c r="A610" s="11"/>
      <c r="B610" s="23"/>
      <c r="C610" s="23"/>
      <c r="D610" s="23"/>
      <c r="E610" s="23"/>
      <c r="F610" s="1"/>
      <c r="G610" s="23"/>
      <c r="H610" s="23"/>
      <c r="I610" s="23"/>
      <c r="J610" s="2"/>
      <c r="M610" s="40"/>
      <c r="N610" s="40"/>
      <c r="O610" s="2"/>
      <c r="P610" s="2"/>
      <c r="Q610" s="2"/>
      <c r="S610" s="2"/>
      <c r="T610" s="2"/>
      <c r="V610" s="2"/>
      <c r="W610" s="2"/>
      <c r="Y610" s="2"/>
      <c r="Z610" s="2"/>
      <c r="AB610" s="2"/>
      <c r="AC610" s="2"/>
      <c r="AF610" s="24"/>
    </row>
    <row r="611">
      <c r="A611" s="11"/>
      <c r="B611" s="23"/>
      <c r="C611" s="23"/>
      <c r="D611" s="23"/>
      <c r="E611" s="23"/>
      <c r="F611" s="1"/>
      <c r="G611" s="23"/>
      <c r="H611" s="23"/>
      <c r="I611" s="23"/>
      <c r="J611" s="2"/>
      <c r="M611" s="40"/>
      <c r="N611" s="40"/>
      <c r="O611" s="2"/>
      <c r="P611" s="2"/>
      <c r="Q611" s="2"/>
      <c r="S611" s="2"/>
      <c r="T611" s="2"/>
      <c r="V611" s="2"/>
      <c r="W611" s="2"/>
      <c r="Y611" s="2"/>
      <c r="Z611" s="2"/>
      <c r="AB611" s="2"/>
      <c r="AC611" s="2"/>
      <c r="AF611" s="24"/>
    </row>
    <row r="612">
      <c r="A612" s="11"/>
      <c r="B612" s="23"/>
      <c r="C612" s="23"/>
      <c r="D612" s="23"/>
      <c r="E612" s="23"/>
      <c r="F612" s="1"/>
      <c r="G612" s="23"/>
      <c r="H612" s="23"/>
      <c r="I612" s="23"/>
      <c r="J612" s="2"/>
      <c r="M612" s="40"/>
      <c r="N612" s="40"/>
      <c r="O612" s="2"/>
      <c r="P612" s="2"/>
      <c r="Q612" s="2"/>
      <c r="S612" s="2"/>
      <c r="T612" s="2"/>
      <c r="V612" s="2"/>
      <c r="W612" s="2"/>
      <c r="Y612" s="2"/>
      <c r="Z612" s="2"/>
      <c r="AB612" s="2"/>
      <c r="AC612" s="2"/>
      <c r="AF612" s="24"/>
    </row>
    <row r="613">
      <c r="A613" s="11"/>
      <c r="B613" s="23"/>
      <c r="C613" s="23"/>
      <c r="D613" s="23"/>
      <c r="E613" s="23"/>
      <c r="F613" s="1"/>
      <c r="G613" s="23"/>
      <c r="H613" s="23"/>
      <c r="I613" s="23"/>
      <c r="J613" s="2"/>
      <c r="M613" s="40"/>
      <c r="N613" s="40"/>
      <c r="O613" s="2"/>
      <c r="P613" s="2"/>
      <c r="Q613" s="2"/>
      <c r="S613" s="2"/>
      <c r="T613" s="2"/>
      <c r="V613" s="2"/>
      <c r="W613" s="2"/>
      <c r="Y613" s="2"/>
      <c r="Z613" s="2"/>
      <c r="AB613" s="2"/>
      <c r="AC613" s="2"/>
      <c r="AF613" s="24"/>
    </row>
    <row r="614">
      <c r="A614" s="11"/>
      <c r="B614" s="23"/>
      <c r="C614" s="23"/>
      <c r="D614" s="23"/>
      <c r="E614" s="23"/>
      <c r="F614" s="1"/>
      <c r="G614" s="23"/>
      <c r="H614" s="23"/>
      <c r="I614" s="23"/>
      <c r="J614" s="2"/>
      <c r="M614" s="40"/>
      <c r="N614" s="40"/>
      <c r="O614" s="2"/>
      <c r="P614" s="2"/>
      <c r="Q614" s="2"/>
      <c r="S614" s="2"/>
      <c r="T614" s="2"/>
      <c r="V614" s="2"/>
      <c r="W614" s="2"/>
      <c r="Y614" s="2"/>
      <c r="Z614" s="2"/>
      <c r="AB614" s="2"/>
      <c r="AC614" s="2"/>
      <c r="AF614" s="24"/>
    </row>
    <row r="615">
      <c r="A615" s="11"/>
      <c r="B615" s="23"/>
      <c r="C615" s="23"/>
      <c r="D615" s="23"/>
      <c r="E615" s="23"/>
      <c r="F615" s="1"/>
      <c r="G615" s="23"/>
      <c r="H615" s="23"/>
      <c r="I615" s="23"/>
      <c r="J615" s="2"/>
      <c r="M615" s="40"/>
      <c r="N615" s="40"/>
      <c r="O615" s="2"/>
      <c r="P615" s="2"/>
      <c r="Q615" s="2"/>
      <c r="S615" s="2"/>
      <c r="T615" s="2"/>
      <c r="V615" s="2"/>
      <c r="W615" s="2"/>
      <c r="Y615" s="2"/>
      <c r="Z615" s="2"/>
      <c r="AB615" s="2"/>
      <c r="AC615" s="2"/>
      <c r="AF615" s="24"/>
    </row>
    <row r="616">
      <c r="A616" s="11"/>
      <c r="B616" s="23"/>
      <c r="C616" s="23"/>
      <c r="D616" s="23"/>
      <c r="E616" s="23"/>
      <c r="F616" s="1"/>
      <c r="G616" s="23"/>
      <c r="H616" s="23"/>
      <c r="I616" s="23"/>
      <c r="J616" s="2"/>
      <c r="M616" s="40"/>
      <c r="N616" s="40"/>
      <c r="O616" s="2"/>
      <c r="P616" s="2"/>
      <c r="Q616" s="2"/>
      <c r="S616" s="2"/>
      <c r="T616" s="2"/>
      <c r="V616" s="2"/>
      <c r="W616" s="2"/>
      <c r="Y616" s="2"/>
      <c r="Z616" s="2"/>
      <c r="AB616" s="2"/>
      <c r="AC616" s="2"/>
      <c r="AF616" s="24"/>
    </row>
    <row r="617">
      <c r="A617" s="11"/>
      <c r="B617" s="23"/>
      <c r="C617" s="23"/>
      <c r="D617" s="23"/>
      <c r="E617" s="23"/>
      <c r="F617" s="1"/>
      <c r="G617" s="23"/>
      <c r="H617" s="23"/>
      <c r="I617" s="23"/>
      <c r="J617" s="2"/>
      <c r="M617" s="40"/>
      <c r="N617" s="40"/>
      <c r="O617" s="2"/>
      <c r="P617" s="2"/>
      <c r="Q617" s="2"/>
      <c r="S617" s="2"/>
      <c r="T617" s="2"/>
      <c r="V617" s="2"/>
      <c r="W617" s="2"/>
      <c r="Y617" s="2"/>
      <c r="Z617" s="2"/>
      <c r="AB617" s="2"/>
      <c r="AC617" s="2"/>
      <c r="AF617" s="24"/>
    </row>
    <row r="618">
      <c r="A618" s="11"/>
      <c r="B618" s="23"/>
      <c r="C618" s="23"/>
      <c r="D618" s="23"/>
      <c r="E618" s="23"/>
      <c r="F618" s="1"/>
      <c r="G618" s="23"/>
      <c r="H618" s="23"/>
      <c r="I618" s="23"/>
      <c r="J618" s="2"/>
      <c r="M618" s="40"/>
      <c r="N618" s="40"/>
      <c r="O618" s="2"/>
      <c r="P618" s="2"/>
      <c r="Q618" s="2"/>
      <c r="S618" s="2"/>
      <c r="T618" s="2"/>
      <c r="V618" s="2"/>
      <c r="W618" s="2"/>
      <c r="Y618" s="2"/>
      <c r="Z618" s="2"/>
      <c r="AB618" s="2"/>
      <c r="AC618" s="2"/>
      <c r="AF618" s="24"/>
    </row>
    <row r="619">
      <c r="A619" s="11"/>
      <c r="B619" s="23"/>
      <c r="C619" s="23"/>
      <c r="D619" s="23"/>
      <c r="E619" s="23"/>
      <c r="F619" s="1"/>
      <c r="G619" s="23"/>
      <c r="H619" s="23"/>
      <c r="I619" s="23"/>
      <c r="J619" s="2"/>
      <c r="M619" s="40"/>
      <c r="N619" s="40"/>
      <c r="O619" s="2"/>
      <c r="P619" s="2"/>
      <c r="Q619" s="2"/>
      <c r="S619" s="2"/>
      <c r="T619" s="2"/>
      <c r="V619" s="2"/>
      <c r="W619" s="2"/>
      <c r="Y619" s="2"/>
      <c r="Z619" s="2"/>
      <c r="AB619" s="2"/>
      <c r="AC619" s="2"/>
      <c r="AF619" s="24"/>
    </row>
    <row r="620">
      <c r="A620" s="11"/>
      <c r="B620" s="23"/>
      <c r="C620" s="23"/>
      <c r="D620" s="23"/>
      <c r="E620" s="23"/>
      <c r="F620" s="1"/>
      <c r="G620" s="23"/>
      <c r="H620" s="23"/>
      <c r="I620" s="23"/>
      <c r="J620" s="2"/>
      <c r="M620" s="40"/>
      <c r="N620" s="40"/>
      <c r="O620" s="2"/>
      <c r="P620" s="2"/>
      <c r="Q620" s="2"/>
      <c r="S620" s="2"/>
      <c r="T620" s="2"/>
      <c r="V620" s="2"/>
      <c r="W620" s="2"/>
      <c r="Y620" s="2"/>
      <c r="Z620" s="2"/>
      <c r="AB620" s="2"/>
      <c r="AC620" s="2"/>
      <c r="AF620" s="24"/>
    </row>
    <row r="621">
      <c r="A621" s="11"/>
      <c r="B621" s="23"/>
      <c r="C621" s="23"/>
      <c r="D621" s="23"/>
      <c r="E621" s="23"/>
      <c r="F621" s="1"/>
      <c r="G621" s="23"/>
      <c r="H621" s="23"/>
      <c r="I621" s="23"/>
      <c r="J621" s="2"/>
      <c r="M621" s="40"/>
      <c r="N621" s="40"/>
      <c r="O621" s="2"/>
      <c r="P621" s="2"/>
      <c r="Q621" s="2"/>
      <c r="S621" s="2"/>
      <c r="T621" s="2"/>
      <c r="V621" s="2"/>
      <c r="W621" s="2"/>
      <c r="Y621" s="2"/>
      <c r="Z621" s="2"/>
      <c r="AB621" s="2"/>
      <c r="AC621" s="2"/>
      <c r="AF621" s="24"/>
    </row>
    <row r="622">
      <c r="A622" s="11"/>
      <c r="B622" s="23"/>
      <c r="C622" s="23"/>
      <c r="D622" s="23"/>
      <c r="E622" s="23"/>
      <c r="F622" s="1"/>
      <c r="G622" s="23"/>
      <c r="H622" s="23"/>
      <c r="I622" s="23"/>
      <c r="J622" s="2"/>
      <c r="M622" s="40"/>
      <c r="N622" s="40"/>
      <c r="O622" s="2"/>
      <c r="P622" s="2"/>
      <c r="Q622" s="2"/>
      <c r="S622" s="2"/>
      <c r="T622" s="2"/>
      <c r="V622" s="2"/>
      <c r="W622" s="2"/>
      <c r="Y622" s="2"/>
      <c r="Z622" s="2"/>
      <c r="AB622" s="2"/>
      <c r="AC622" s="2"/>
      <c r="AF622" s="24"/>
    </row>
    <row r="623">
      <c r="A623" s="11"/>
      <c r="B623" s="23"/>
      <c r="C623" s="23"/>
      <c r="D623" s="23"/>
      <c r="E623" s="23"/>
      <c r="F623" s="1"/>
      <c r="G623" s="23"/>
      <c r="H623" s="23"/>
      <c r="I623" s="23"/>
      <c r="J623" s="2"/>
      <c r="M623" s="40"/>
      <c r="N623" s="40"/>
      <c r="O623" s="2"/>
      <c r="P623" s="2"/>
      <c r="Q623" s="2"/>
      <c r="S623" s="2"/>
      <c r="T623" s="2"/>
      <c r="V623" s="2"/>
      <c r="W623" s="2"/>
      <c r="Y623" s="2"/>
      <c r="Z623" s="2"/>
      <c r="AB623" s="2"/>
      <c r="AC623" s="2"/>
      <c r="AF623" s="24"/>
    </row>
    <row r="624">
      <c r="A624" s="11"/>
      <c r="B624" s="23"/>
      <c r="C624" s="23"/>
      <c r="D624" s="23"/>
      <c r="E624" s="23"/>
      <c r="F624" s="1"/>
      <c r="G624" s="23"/>
      <c r="H624" s="23"/>
      <c r="I624" s="23"/>
      <c r="J624" s="2"/>
      <c r="M624" s="40"/>
      <c r="N624" s="40"/>
      <c r="O624" s="2"/>
      <c r="P624" s="2"/>
      <c r="Q624" s="2"/>
      <c r="S624" s="2"/>
      <c r="T624" s="2"/>
      <c r="V624" s="2"/>
      <c r="W624" s="2"/>
      <c r="Y624" s="2"/>
      <c r="Z624" s="2"/>
      <c r="AB624" s="2"/>
      <c r="AC624" s="2"/>
      <c r="AF624" s="24"/>
    </row>
    <row r="625">
      <c r="A625" s="11"/>
      <c r="B625" s="23"/>
      <c r="C625" s="23"/>
      <c r="D625" s="23"/>
      <c r="E625" s="23"/>
      <c r="F625" s="1"/>
      <c r="G625" s="23"/>
      <c r="H625" s="23"/>
      <c r="I625" s="23"/>
      <c r="J625" s="2"/>
      <c r="M625" s="40"/>
      <c r="N625" s="40"/>
      <c r="O625" s="2"/>
      <c r="P625" s="2"/>
      <c r="Q625" s="2"/>
      <c r="S625" s="2"/>
      <c r="T625" s="2"/>
      <c r="V625" s="2"/>
      <c r="W625" s="2"/>
      <c r="Y625" s="2"/>
      <c r="Z625" s="2"/>
      <c r="AB625" s="2"/>
      <c r="AC625" s="2"/>
      <c r="AF625" s="24"/>
    </row>
    <row r="626">
      <c r="A626" s="11"/>
      <c r="B626" s="23"/>
      <c r="C626" s="23"/>
      <c r="D626" s="23"/>
      <c r="E626" s="23"/>
      <c r="F626" s="1"/>
      <c r="G626" s="23"/>
      <c r="H626" s="23"/>
      <c r="I626" s="23"/>
      <c r="J626" s="2"/>
      <c r="M626" s="40"/>
      <c r="N626" s="40"/>
      <c r="O626" s="2"/>
      <c r="P626" s="2"/>
      <c r="Q626" s="2"/>
      <c r="S626" s="2"/>
      <c r="T626" s="2"/>
      <c r="V626" s="2"/>
      <c r="W626" s="2"/>
      <c r="Y626" s="2"/>
      <c r="Z626" s="2"/>
      <c r="AB626" s="2"/>
      <c r="AC626" s="2"/>
      <c r="AF626" s="24"/>
    </row>
    <row r="627">
      <c r="A627" s="11"/>
      <c r="B627" s="23"/>
      <c r="C627" s="23"/>
      <c r="D627" s="23"/>
      <c r="E627" s="23"/>
      <c r="F627" s="1"/>
      <c r="G627" s="23"/>
      <c r="H627" s="23"/>
      <c r="I627" s="23"/>
      <c r="J627" s="2"/>
      <c r="M627" s="40"/>
      <c r="N627" s="40"/>
      <c r="O627" s="2"/>
      <c r="P627" s="2"/>
      <c r="Q627" s="2"/>
      <c r="S627" s="2"/>
      <c r="T627" s="2"/>
      <c r="V627" s="2"/>
      <c r="W627" s="2"/>
      <c r="Y627" s="2"/>
      <c r="Z627" s="2"/>
      <c r="AB627" s="2"/>
      <c r="AC627" s="2"/>
      <c r="AF627" s="24"/>
    </row>
    <row r="628">
      <c r="A628" s="11"/>
      <c r="B628" s="23"/>
      <c r="C628" s="23"/>
      <c r="D628" s="23"/>
      <c r="E628" s="23"/>
      <c r="F628" s="1"/>
      <c r="G628" s="23"/>
      <c r="H628" s="23"/>
      <c r="I628" s="23"/>
      <c r="J628" s="2"/>
      <c r="M628" s="40"/>
      <c r="N628" s="40"/>
      <c r="O628" s="2"/>
      <c r="P628" s="2"/>
      <c r="Q628" s="2"/>
      <c r="S628" s="2"/>
      <c r="T628" s="2"/>
      <c r="V628" s="2"/>
      <c r="W628" s="2"/>
      <c r="Y628" s="2"/>
      <c r="Z628" s="2"/>
      <c r="AB628" s="2"/>
      <c r="AC628" s="2"/>
      <c r="AF628" s="24"/>
    </row>
    <row r="629">
      <c r="A629" s="11"/>
      <c r="B629" s="23"/>
      <c r="C629" s="23"/>
      <c r="D629" s="23"/>
      <c r="E629" s="23"/>
      <c r="F629" s="1"/>
      <c r="G629" s="23"/>
      <c r="H629" s="23"/>
      <c r="I629" s="23"/>
      <c r="J629" s="2"/>
      <c r="M629" s="40"/>
      <c r="N629" s="40"/>
      <c r="O629" s="2"/>
      <c r="P629" s="2"/>
      <c r="Q629" s="2"/>
      <c r="S629" s="2"/>
      <c r="T629" s="2"/>
      <c r="V629" s="2"/>
      <c r="W629" s="2"/>
      <c r="Y629" s="2"/>
      <c r="Z629" s="2"/>
      <c r="AB629" s="2"/>
      <c r="AC629" s="2"/>
      <c r="AF629" s="24"/>
    </row>
    <row r="630">
      <c r="A630" s="11"/>
      <c r="B630" s="23"/>
      <c r="C630" s="23"/>
      <c r="D630" s="23"/>
      <c r="E630" s="23"/>
      <c r="F630" s="1"/>
      <c r="G630" s="23"/>
      <c r="H630" s="23"/>
      <c r="I630" s="23"/>
      <c r="J630" s="2"/>
      <c r="M630" s="40"/>
      <c r="N630" s="40"/>
      <c r="O630" s="2"/>
      <c r="P630" s="2"/>
      <c r="Q630" s="2"/>
      <c r="S630" s="2"/>
      <c r="T630" s="2"/>
      <c r="V630" s="2"/>
      <c r="W630" s="2"/>
      <c r="Y630" s="2"/>
      <c r="Z630" s="2"/>
      <c r="AB630" s="2"/>
      <c r="AC630" s="2"/>
      <c r="AF630" s="24"/>
    </row>
    <row r="631">
      <c r="A631" s="11"/>
      <c r="B631" s="23"/>
      <c r="C631" s="23"/>
      <c r="D631" s="23"/>
      <c r="E631" s="23"/>
      <c r="F631" s="1"/>
      <c r="G631" s="23"/>
      <c r="H631" s="23"/>
      <c r="I631" s="23"/>
      <c r="J631" s="2"/>
      <c r="M631" s="40"/>
      <c r="N631" s="40"/>
      <c r="O631" s="2"/>
      <c r="P631" s="2"/>
      <c r="Q631" s="2"/>
      <c r="S631" s="2"/>
      <c r="T631" s="2"/>
      <c r="V631" s="2"/>
      <c r="W631" s="2"/>
      <c r="Y631" s="2"/>
      <c r="Z631" s="2"/>
      <c r="AB631" s="2"/>
      <c r="AC631" s="2"/>
      <c r="AF631" s="24"/>
    </row>
    <row r="632">
      <c r="A632" s="11"/>
      <c r="B632" s="23"/>
      <c r="C632" s="23"/>
      <c r="D632" s="23"/>
      <c r="E632" s="23"/>
      <c r="F632" s="1"/>
      <c r="G632" s="23"/>
      <c r="H632" s="23"/>
      <c r="I632" s="23"/>
      <c r="J632" s="2"/>
      <c r="M632" s="40"/>
      <c r="N632" s="40"/>
      <c r="O632" s="2"/>
      <c r="P632" s="2"/>
      <c r="Q632" s="2"/>
      <c r="S632" s="2"/>
      <c r="T632" s="2"/>
      <c r="V632" s="2"/>
      <c r="W632" s="2"/>
      <c r="Y632" s="2"/>
      <c r="Z632" s="2"/>
      <c r="AB632" s="2"/>
      <c r="AC632" s="2"/>
      <c r="AF632" s="24"/>
    </row>
    <row r="633">
      <c r="A633" s="11"/>
      <c r="B633" s="23"/>
      <c r="C633" s="23"/>
      <c r="D633" s="23"/>
      <c r="E633" s="23"/>
      <c r="F633" s="1"/>
      <c r="G633" s="23"/>
      <c r="H633" s="23"/>
      <c r="I633" s="23"/>
      <c r="J633" s="2"/>
      <c r="M633" s="40"/>
      <c r="N633" s="40"/>
      <c r="O633" s="2"/>
      <c r="P633" s="2"/>
      <c r="Q633" s="2"/>
      <c r="S633" s="2"/>
      <c r="T633" s="2"/>
      <c r="V633" s="2"/>
      <c r="W633" s="2"/>
      <c r="Y633" s="2"/>
      <c r="Z633" s="2"/>
      <c r="AB633" s="2"/>
      <c r="AC633" s="2"/>
      <c r="AF633" s="24"/>
    </row>
    <row r="634">
      <c r="A634" s="11"/>
      <c r="B634" s="23"/>
      <c r="C634" s="23"/>
      <c r="D634" s="23"/>
      <c r="E634" s="23"/>
      <c r="F634" s="1"/>
      <c r="G634" s="23"/>
      <c r="H634" s="23"/>
      <c r="I634" s="23"/>
      <c r="J634" s="2"/>
      <c r="M634" s="40"/>
      <c r="N634" s="40"/>
      <c r="O634" s="2"/>
      <c r="P634" s="2"/>
      <c r="Q634" s="2"/>
      <c r="S634" s="2"/>
      <c r="T634" s="2"/>
      <c r="V634" s="2"/>
      <c r="W634" s="2"/>
      <c r="Y634" s="2"/>
      <c r="Z634" s="2"/>
      <c r="AB634" s="2"/>
      <c r="AC634" s="2"/>
      <c r="AF634" s="24"/>
    </row>
    <row r="635">
      <c r="A635" s="11"/>
      <c r="B635" s="23"/>
      <c r="C635" s="23"/>
      <c r="D635" s="23"/>
      <c r="E635" s="23"/>
      <c r="F635" s="1"/>
      <c r="G635" s="23"/>
      <c r="H635" s="23"/>
      <c r="I635" s="23"/>
      <c r="J635" s="2"/>
      <c r="M635" s="40"/>
      <c r="N635" s="40"/>
      <c r="O635" s="2"/>
      <c r="P635" s="2"/>
      <c r="Q635" s="2"/>
      <c r="S635" s="2"/>
      <c r="T635" s="2"/>
      <c r="V635" s="2"/>
      <c r="W635" s="2"/>
      <c r="Y635" s="2"/>
      <c r="Z635" s="2"/>
      <c r="AB635" s="2"/>
      <c r="AC635" s="2"/>
      <c r="AF635" s="24"/>
    </row>
    <row r="636">
      <c r="A636" s="11"/>
      <c r="B636" s="23"/>
      <c r="C636" s="23"/>
      <c r="D636" s="23"/>
      <c r="E636" s="23"/>
      <c r="F636" s="1"/>
      <c r="G636" s="23"/>
      <c r="H636" s="23"/>
      <c r="I636" s="23"/>
      <c r="J636" s="2"/>
      <c r="M636" s="40"/>
      <c r="N636" s="40"/>
      <c r="O636" s="2"/>
      <c r="P636" s="2"/>
      <c r="Q636" s="2"/>
      <c r="S636" s="2"/>
      <c r="T636" s="2"/>
      <c r="V636" s="2"/>
      <c r="W636" s="2"/>
      <c r="Y636" s="2"/>
      <c r="Z636" s="2"/>
      <c r="AB636" s="2"/>
      <c r="AC636" s="2"/>
      <c r="AF636" s="24"/>
    </row>
    <row r="637">
      <c r="A637" s="11"/>
      <c r="B637" s="23"/>
      <c r="C637" s="23"/>
      <c r="D637" s="23"/>
      <c r="E637" s="23"/>
      <c r="F637" s="1"/>
      <c r="G637" s="23"/>
      <c r="H637" s="23"/>
      <c r="I637" s="23"/>
      <c r="J637" s="2"/>
      <c r="M637" s="40"/>
      <c r="N637" s="40"/>
      <c r="O637" s="2"/>
      <c r="P637" s="2"/>
      <c r="Q637" s="2"/>
      <c r="S637" s="2"/>
      <c r="T637" s="2"/>
      <c r="V637" s="2"/>
      <c r="W637" s="2"/>
      <c r="Y637" s="2"/>
      <c r="Z637" s="2"/>
      <c r="AB637" s="2"/>
      <c r="AC637" s="2"/>
      <c r="AF637" s="24"/>
    </row>
    <row r="638">
      <c r="A638" s="11"/>
      <c r="B638" s="23"/>
      <c r="C638" s="23"/>
      <c r="D638" s="23"/>
      <c r="E638" s="23"/>
      <c r="F638" s="1"/>
      <c r="G638" s="23"/>
      <c r="H638" s="23"/>
      <c r="I638" s="23"/>
      <c r="J638" s="2"/>
      <c r="M638" s="40"/>
      <c r="N638" s="40"/>
      <c r="O638" s="2"/>
      <c r="P638" s="2"/>
      <c r="Q638" s="2"/>
      <c r="S638" s="2"/>
      <c r="T638" s="2"/>
      <c r="V638" s="2"/>
      <c r="W638" s="2"/>
      <c r="Y638" s="2"/>
      <c r="Z638" s="2"/>
      <c r="AB638" s="2"/>
      <c r="AC638" s="2"/>
      <c r="AF638" s="24"/>
    </row>
    <row r="639">
      <c r="A639" s="11"/>
      <c r="B639" s="23"/>
      <c r="C639" s="23"/>
      <c r="D639" s="23"/>
      <c r="E639" s="23"/>
      <c r="F639" s="1"/>
      <c r="G639" s="23"/>
      <c r="H639" s="23"/>
      <c r="I639" s="23"/>
      <c r="J639" s="2"/>
      <c r="M639" s="40"/>
      <c r="N639" s="40"/>
      <c r="O639" s="2"/>
      <c r="P639" s="2"/>
      <c r="Q639" s="2"/>
      <c r="S639" s="2"/>
      <c r="T639" s="2"/>
      <c r="V639" s="2"/>
      <c r="W639" s="2"/>
      <c r="Y639" s="2"/>
      <c r="Z639" s="2"/>
      <c r="AB639" s="2"/>
      <c r="AC639" s="2"/>
      <c r="AF639" s="24"/>
    </row>
    <row r="640">
      <c r="A640" s="11"/>
      <c r="B640" s="23"/>
      <c r="C640" s="23"/>
      <c r="D640" s="23"/>
      <c r="E640" s="23"/>
      <c r="F640" s="1"/>
      <c r="G640" s="23"/>
      <c r="H640" s="23"/>
      <c r="I640" s="23"/>
      <c r="J640" s="2"/>
      <c r="M640" s="40"/>
      <c r="N640" s="40"/>
      <c r="O640" s="2"/>
      <c r="P640" s="2"/>
      <c r="Q640" s="2"/>
      <c r="S640" s="2"/>
      <c r="T640" s="2"/>
      <c r="V640" s="2"/>
      <c r="W640" s="2"/>
      <c r="Y640" s="2"/>
      <c r="Z640" s="2"/>
      <c r="AB640" s="2"/>
      <c r="AC640" s="2"/>
      <c r="AF640" s="24"/>
    </row>
    <row r="641">
      <c r="A641" s="11"/>
      <c r="B641" s="23"/>
      <c r="C641" s="23"/>
      <c r="D641" s="23"/>
      <c r="E641" s="23"/>
      <c r="F641" s="1"/>
      <c r="G641" s="23"/>
      <c r="H641" s="23"/>
      <c r="I641" s="23"/>
      <c r="J641" s="2"/>
      <c r="M641" s="40"/>
      <c r="N641" s="40"/>
      <c r="O641" s="2"/>
      <c r="P641" s="2"/>
      <c r="Q641" s="2"/>
      <c r="S641" s="2"/>
      <c r="T641" s="2"/>
      <c r="V641" s="2"/>
      <c r="W641" s="2"/>
      <c r="Y641" s="2"/>
      <c r="Z641" s="2"/>
      <c r="AB641" s="2"/>
      <c r="AC641" s="2"/>
      <c r="AF641" s="24"/>
    </row>
    <row r="642">
      <c r="A642" s="11"/>
      <c r="B642" s="23"/>
      <c r="C642" s="23"/>
      <c r="D642" s="23"/>
      <c r="E642" s="23"/>
      <c r="F642" s="1"/>
      <c r="G642" s="23"/>
      <c r="H642" s="23"/>
      <c r="I642" s="23"/>
      <c r="J642" s="2"/>
      <c r="M642" s="40"/>
      <c r="N642" s="40"/>
      <c r="O642" s="2"/>
      <c r="P642" s="2"/>
      <c r="Q642" s="2"/>
      <c r="S642" s="2"/>
      <c r="T642" s="2"/>
      <c r="V642" s="2"/>
      <c r="W642" s="2"/>
      <c r="Y642" s="2"/>
      <c r="Z642" s="2"/>
      <c r="AB642" s="2"/>
      <c r="AC642" s="2"/>
      <c r="AF642" s="24"/>
    </row>
    <row r="643">
      <c r="A643" s="11"/>
      <c r="B643" s="23"/>
      <c r="C643" s="23"/>
      <c r="D643" s="23"/>
      <c r="E643" s="23"/>
      <c r="F643" s="1"/>
      <c r="G643" s="23"/>
      <c r="H643" s="23"/>
      <c r="I643" s="23"/>
      <c r="J643" s="2"/>
      <c r="M643" s="40"/>
      <c r="N643" s="40"/>
      <c r="O643" s="2"/>
      <c r="P643" s="2"/>
      <c r="Q643" s="2"/>
      <c r="S643" s="2"/>
      <c r="T643" s="2"/>
      <c r="V643" s="2"/>
      <c r="W643" s="2"/>
      <c r="Y643" s="2"/>
      <c r="Z643" s="2"/>
      <c r="AB643" s="2"/>
      <c r="AC643" s="2"/>
      <c r="AF643" s="24"/>
    </row>
    <row r="644">
      <c r="A644" s="11"/>
      <c r="B644" s="23"/>
      <c r="C644" s="23"/>
      <c r="D644" s="23"/>
      <c r="E644" s="23"/>
      <c r="F644" s="1"/>
      <c r="G644" s="23"/>
      <c r="H644" s="23"/>
      <c r="I644" s="23"/>
      <c r="J644" s="2"/>
      <c r="M644" s="40"/>
      <c r="N644" s="40"/>
      <c r="O644" s="2"/>
      <c r="P644" s="2"/>
      <c r="Q644" s="2"/>
      <c r="S644" s="2"/>
      <c r="T644" s="2"/>
      <c r="V644" s="2"/>
      <c r="W644" s="2"/>
      <c r="Y644" s="2"/>
      <c r="Z644" s="2"/>
      <c r="AB644" s="2"/>
      <c r="AC644" s="2"/>
      <c r="AF644" s="24"/>
    </row>
    <row r="645">
      <c r="A645" s="11"/>
      <c r="B645" s="23"/>
      <c r="C645" s="23"/>
      <c r="D645" s="23"/>
      <c r="E645" s="23"/>
      <c r="F645" s="1"/>
      <c r="G645" s="23"/>
      <c r="H645" s="23"/>
      <c r="I645" s="23"/>
      <c r="J645" s="2"/>
      <c r="M645" s="40"/>
      <c r="N645" s="40"/>
      <c r="O645" s="2"/>
      <c r="P645" s="2"/>
      <c r="Q645" s="2"/>
      <c r="S645" s="2"/>
      <c r="T645" s="2"/>
      <c r="V645" s="2"/>
      <c r="W645" s="2"/>
      <c r="Y645" s="2"/>
      <c r="Z645" s="2"/>
      <c r="AB645" s="2"/>
      <c r="AC645" s="2"/>
      <c r="AF645" s="24"/>
    </row>
    <row r="646">
      <c r="A646" s="11"/>
      <c r="B646" s="23"/>
      <c r="C646" s="23"/>
      <c r="D646" s="23"/>
      <c r="E646" s="23"/>
      <c r="F646" s="1"/>
      <c r="G646" s="23"/>
      <c r="H646" s="23"/>
      <c r="I646" s="23"/>
      <c r="J646" s="2"/>
      <c r="M646" s="40"/>
      <c r="N646" s="40"/>
      <c r="O646" s="2"/>
      <c r="P646" s="2"/>
      <c r="Q646" s="2"/>
      <c r="S646" s="2"/>
      <c r="T646" s="2"/>
      <c r="V646" s="2"/>
      <c r="W646" s="2"/>
      <c r="Y646" s="2"/>
      <c r="Z646" s="2"/>
      <c r="AB646" s="2"/>
      <c r="AC646" s="2"/>
      <c r="AF646" s="24"/>
    </row>
    <row r="647">
      <c r="A647" s="11"/>
      <c r="B647" s="23"/>
      <c r="C647" s="23"/>
      <c r="D647" s="23"/>
      <c r="E647" s="23"/>
      <c r="F647" s="1"/>
      <c r="G647" s="23"/>
      <c r="H647" s="23"/>
      <c r="I647" s="23"/>
      <c r="J647" s="2"/>
      <c r="M647" s="40"/>
      <c r="N647" s="40"/>
      <c r="O647" s="2"/>
      <c r="P647" s="2"/>
      <c r="Q647" s="2"/>
      <c r="S647" s="2"/>
      <c r="T647" s="2"/>
      <c r="V647" s="2"/>
      <c r="W647" s="2"/>
      <c r="Y647" s="2"/>
      <c r="Z647" s="2"/>
      <c r="AB647" s="2"/>
      <c r="AC647" s="2"/>
      <c r="AF647" s="24"/>
    </row>
    <row r="648">
      <c r="A648" s="11"/>
      <c r="B648" s="23"/>
      <c r="C648" s="23"/>
      <c r="D648" s="23"/>
      <c r="E648" s="23"/>
      <c r="F648" s="1"/>
      <c r="G648" s="23"/>
      <c r="H648" s="23"/>
      <c r="I648" s="23"/>
      <c r="J648" s="2"/>
      <c r="M648" s="40"/>
      <c r="N648" s="40"/>
      <c r="O648" s="2"/>
      <c r="P648" s="2"/>
      <c r="Q648" s="2"/>
      <c r="S648" s="2"/>
      <c r="T648" s="2"/>
      <c r="V648" s="2"/>
      <c r="W648" s="2"/>
      <c r="Y648" s="2"/>
      <c r="Z648" s="2"/>
      <c r="AB648" s="2"/>
      <c r="AC648" s="2"/>
      <c r="AF648" s="24"/>
    </row>
    <row r="649">
      <c r="A649" s="11"/>
      <c r="B649" s="23"/>
      <c r="C649" s="23"/>
      <c r="D649" s="23"/>
      <c r="E649" s="23"/>
      <c r="F649" s="1"/>
      <c r="G649" s="23"/>
      <c r="H649" s="23"/>
      <c r="I649" s="23"/>
      <c r="J649" s="2"/>
      <c r="M649" s="40"/>
      <c r="N649" s="40"/>
      <c r="O649" s="2"/>
      <c r="P649" s="2"/>
      <c r="Q649" s="2"/>
      <c r="S649" s="2"/>
      <c r="T649" s="2"/>
      <c r="V649" s="2"/>
      <c r="W649" s="2"/>
      <c r="Y649" s="2"/>
      <c r="Z649" s="2"/>
      <c r="AB649" s="2"/>
      <c r="AC649" s="2"/>
      <c r="AF649" s="24"/>
    </row>
    <row r="650">
      <c r="A650" s="11"/>
      <c r="B650" s="23"/>
      <c r="C650" s="23"/>
      <c r="D650" s="23"/>
      <c r="E650" s="23"/>
      <c r="F650" s="1"/>
      <c r="G650" s="23"/>
      <c r="H650" s="23"/>
      <c r="I650" s="23"/>
      <c r="J650" s="2"/>
      <c r="M650" s="40"/>
      <c r="N650" s="40"/>
      <c r="O650" s="2"/>
      <c r="P650" s="2"/>
      <c r="Q650" s="2"/>
      <c r="S650" s="2"/>
      <c r="T650" s="2"/>
      <c r="V650" s="2"/>
      <c r="W650" s="2"/>
      <c r="Y650" s="2"/>
      <c r="Z650" s="2"/>
      <c r="AB650" s="2"/>
      <c r="AC650" s="2"/>
      <c r="AF650" s="24"/>
    </row>
    <row r="651">
      <c r="A651" s="11"/>
      <c r="B651" s="23"/>
      <c r="C651" s="23"/>
      <c r="D651" s="23"/>
      <c r="E651" s="23"/>
      <c r="F651" s="1"/>
      <c r="G651" s="23"/>
      <c r="H651" s="23"/>
      <c r="I651" s="23"/>
      <c r="J651" s="2"/>
      <c r="M651" s="40"/>
      <c r="N651" s="40"/>
      <c r="O651" s="2"/>
      <c r="P651" s="2"/>
      <c r="Q651" s="2"/>
      <c r="S651" s="2"/>
      <c r="T651" s="2"/>
      <c r="V651" s="2"/>
      <c r="W651" s="2"/>
      <c r="Y651" s="2"/>
      <c r="Z651" s="2"/>
      <c r="AB651" s="2"/>
      <c r="AC651" s="2"/>
      <c r="AF651" s="24"/>
    </row>
    <row r="652">
      <c r="A652" s="11"/>
      <c r="B652" s="23"/>
      <c r="C652" s="23"/>
      <c r="D652" s="23"/>
      <c r="E652" s="23"/>
      <c r="F652" s="1"/>
      <c r="G652" s="23"/>
      <c r="H652" s="23"/>
      <c r="I652" s="23"/>
      <c r="J652" s="2"/>
      <c r="M652" s="40"/>
      <c r="N652" s="40"/>
      <c r="O652" s="2"/>
      <c r="P652" s="2"/>
      <c r="Q652" s="2"/>
      <c r="S652" s="2"/>
      <c r="T652" s="2"/>
      <c r="V652" s="2"/>
      <c r="W652" s="2"/>
      <c r="Y652" s="2"/>
      <c r="Z652" s="2"/>
      <c r="AB652" s="2"/>
      <c r="AC652" s="2"/>
      <c r="AF652" s="24"/>
    </row>
    <row r="653">
      <c r="A653" s="11"/>
      <c r="B653" s="23"/>
      <c r="C653" s="23"/>
      <c r="D653" s="23"/>
      <c r="E653" s="23"/>
      <c r="F653" s="1"/>
      <c r="G653" s="23"/>
      <c r="H653" s="23"/>
      <c r="I653" s="23"/>
      <c r="J653" s="2"/>
      <c r="M653" s="40"/>
      <c r="N653" s="40"/>
      <c r="O653" s="2"/>
      <c r="P653" s="2"/>
      <c r="Q653" s="2"/>
      <c r="S653" s="2"/>
      <c r="T653" s="2"/>
      <c r="V653" s="2"/>
      <c r="W653" s="2"/>
      <c r="Y653" s="2"/>
      <c r="Z653" s="2"/>
      <c r="AB653" s="2"/>
      <c r="AC653" s="2"/>
      <c r="AF653" s="24"/>
    </row>
    <row r="654">
      <c r="A654" s="11"/>
      <c r="B654" s="23"/>
      <c r="C654" s="23"/>
      <c r="D654" s="23"/>
      <c r="E654" s="23"/>
      <c r="F654" s="1"/>
      <c r="G654" s="23"/>
      <c r="H654" s="23"/>
      <c r="I654" s="23"/>
      <c r="J654" s="2"/>
      <c r="M654" s="40"/>
      <c r="N654" s="40"/>
      <c r="O654" s="2"/>
      <c r="P654" s="2"/>
      <c r="Q654" s="2"/>
      <c r="S654" s="2"/>
      <c r="T654" s="2"/>
      <c r="V654" s="2"/>
      <c r="W654" s="2"/>
      <c r="Y654" s="2"/>
      <c r="Z654" s="2"/>
      <c r="AB654" s="2"/>
      <c r="AC654" s="2"/>
      <c r="AF654" s="24"/>
    </row>
    <row r="655">
      <c r="A655" s="11"/>
      <c r="B655" s="23"/>
      <c r="C655" s="23"/>
      <c r="D655" s="23"/>
      <c r="E655" s="23"/>
      <c r="F655" s="1"/>
      <c r="G655" s="23"/>
      <c r="H655" s="23"/>
      <c r="I655" s="23"/>
      <c r="J655" s="2"/>
      <c r="M655" s="40"/>
      <c r="N655" s="40"/>
      <c r="O655" s="2"/>
      <c r="P655" s="2"/>
      <c r="Q655" s="2"/>
      <c r="S655" s="2"/>
      <c r="T655" s="2"/>
      <c r="V655" s="2"/>
      <c r="W655" s="2"/>
      <c r="Y655" s="2"/>
      <c r="Z655" s="2"/>
      <c r="AB655" s="2"/>
      <c r="AC655" s="2"/>
      <c r="AF655" s="24"/>
    </row>
    <row r="656">
      <c r="A656" s="11"/>
      <c r="B656" s="23"/>
      <c r="C656" s="23"/>
      <c r="D656" s="23"/>
      <c r="E656" s="23"/>
      <c r="F656" s="1"/>
      <c r="G656" s="23"/>
      <c r="H656" s="23"/>
      <c r="I656" s="23"/>
      <c r="J656" s="2"/>
      <c r="M656" s="40"/>
      <c r="N656" s="40"/>
      <c r="O656" s="2"/>
      <c r="P656" s="2"/>
      <c r="Q656" s="2"/>
      <c r="S656" s="2"/>
      <c r="T656" s="2"/>
      <c r="V656" s="2"/>
      <c r="W656" s="2"/>
      <c r="Y656" s="2"/>
      <c r="Z656" s="2"/>
      <c r="AB656" s="2"/>
      <c r="AC656" s="2"/>
      <c r="AF656" s="24"/>
    </row>
    <row r="657">
      <c r="A657" s="11"/>
      <c r="B657" s="23"/>
      <c r="C657" s="23"/>
      <c r="D657" s="23"/>
      <c r="E657" s="23"/>
      <c r="F657" s="1"/>
      <c r="G657" s="23"/>
      <c r="H657" s="23"/>
      <c r="I657" s="23"/>
      <c r="J657" s="2"/>
      <c r="M657" s="40"/>
      <c r="N657" s="40"/>
      <c r="O657" s="2"/>
      <c r="P657" s="2"/>
      <c r="Q657" s="2"/>
      <c r="S657" s="2"/>
      <c r="T657" s="2"/>
      <c r="V657" s="2"/>
      <c r="W657" s="2"/>
      <c r="Y657" s="2"/>
      <c r="Z657" s="2"/>
      <c r="AB657" s="2"/>
      <c r="AC657" s="2"/>
      <c r="AF657" s="24"/>
    </row>
    <row r="658">
      <c r="A658" s="11"/>
      <c r="B658" s="23"/>
      <c r="C658" s="23"/>
      <c r="D658" s="23"/>
      <c r="E658" s="23"/>
      <c r="F658" s="1"/>
      <c r="G658" s="23"/>
      <c r="H658" s="23"/>
      <c r="I658" s="23"/>
      <c r="J658" s="2"/>
      <c r="M658" s="40"/>
      <c r="N658" s="40"/>
      <c r="O658" s="2"/>
      <c r="P658" s="2"/>
      <c r="Q658" s="2"/>
      <c r="S658" s="2"/>
      <c r="T658" s="2"/>
      <c r="V658" s="2"/>
      <c r="W658" s="2"/>
      <c r="Y658" s="2"/>
      <c r="Z658" s="2"/>
      <c r="AB658" s="2"/>
      <c r="AC658" s="2"/>
      <c r="AF658" s="24"/>
    </row>
    <row r="659">
      <c r="A659" s="11"/>
      <c r="B659" s="23"/>
      <c r="C659" s="23"/>
      <c r="D659" s="23"/>
      <c r="E659" s="23"/>
      <c r="F659" s="1"/>
      <c r="G659" s="23"/>
      <c r="H659" s="23"/>
      <c r="I659" s="23"/>
      <c r="J659" s="2"/>
      <c r="M659" s="40"/>
      <c r="N659" s="40"/>
      <c r="O659" s="2"/>
      <c r="P659" s="2"/>
      <c r="Q659" s="2"/>
      <c r="S659" s="2"/>
      <c r="T659" s="2"/>
      <c r="V659" s="2"/>
      <c r="W659" s="2"/>
      <c r="Y659" s="2"/>
      <c r="Z659" s="2"/>
      <c r="AB659" s="2"/>
      <c r="AC659" s="2"/>
      <c r="AF659" s="24"/>
    </row>
    <row r="660">
      <c r="A660" s="11"/>
      <c r="B660" s="23"/>
      <c r="C660" s="23"/>
      <c r="D660" s="23"/>
      <c r="E660" s="23"/>
      <c r="F660" s="1"/>
      <c r="G660" s="23"/>
      <c r="H660" s="23"/>
      <c r="I660" s="23"/>
      <c r="J660" s="2"/>
      <c r="M660" s="40"/>
      <c r="N660" s="40"/>
      <c r="O660" s="2"/>
      <c r="P660" s="2"/>
      <c r="Q660" s="2"/>
      <c r="S660" s="2"/>
      <c r="T660" s="2"/>
      <c r="V660" s="2"/>
      <c r="W660" s="2"/>
      <c r="Y660" s="2"/>
      <c r="Z660" s="2"/>
      <c r="AB660" s="2"/>
      <c r="AC660" s="2"/>
      <c r="AF660" s="24"/>
    </row>
    <row r="661">
      <c r="A661" s="11"/>
      <c r="B661" s="23"/>
      <c r="C661" s="23"/>
      <c r="D661" s="23"/>
      <c r="E661" s="23"/>
      <c r="F661" s="1"/>
      <c r="G661" s="23"/>
      <c r="H661" s="23"/>
      <c r="I661" s="23"/>
      <c r="J661" s="2"/>
      <c r="M661" s="40"/>
      <c r="N661" s="40"/>
      <c r="O661" s="2"/>
      <c r="P661" s="2"/>
      <c r="Q661" s="2"/>
      <c r="S661" s="2"/>
      <c r="T661" s="2"/>
      <c r="V661" s="2"/>
      <c r="W661" s="2"/>
      <c r="Y661" s="2"/>
      <c r="Z661" s="2"/>
      <c r="AB661" s="2"/>
      <c r="AC661" s="2"/>
      <c r="AF661" s="24"/>
    </row>
    <row r="662">
      <c r="A662" s="11"/>
      <c r="B662" s="23"/>
      <c r="C662" s="23"/>
      <c r="D662" s="23"/>
      <c r="E662" s="23"/>
      <c r="F662" s="1"/>
      <c r="G662" s="23"/>
      <c r="H662" s="23"/>
      <c r="I662" s="23"/>
      <c r="J662" s="2"/>
      <c r="M662" s="40"/>
      <c r="N662" s="40"/>
      <c r="O662" s="2"/>
      <c r="P662" s="2"/>
      <c r="Q662" s="2"/>
      <c r="S662" s="2"/>
      <c r="T662" s="2"/>
      <c r="V662" s="2"/>
      <c r="W662" s="2"/>
      <c r="Y662" s="2"/>
      <c r="Z662" s="2"/>
      <c r="AB662" s="2"/>
      <c r="AC662" s="2"/>
      <c r="AF662" s="24"/>
    </row>
    <row r="663">
      <c r="A663" s="11"/>
      <c r="B663" s="23"/>
      <c r="C663" s="23"/>
      <c r="D663" s="23"/>
      <c r="E663" s="23"/>
      <c r="F663" s="1"/>
      <c r="G663" s="23"/>
      <c r="H663" s="23"/>
      <c r="I663" s="23"/>
      <c r="J663" s="2"/>
      <c r="M663" s="40"/>
      <c r="N663" s="40"/>
      <c r="O663" s="2"/>
      <c r="P663" s="2"/>
      <c r="Q663" s="2"/>
      <c r="S663" s="2"/>
      <c r="T663" s="2"/>
      <c r="V663" s="2"/>
      <c r="W663" s="2"/>
      <c r="Y663" s="2"/>
      <c r="Z663" s="2"/>
      <c r="AB663" s="2"/>
      <c r="AC663" s="2"/>
      <c r="AF663" s="24"/>
    </row>
    <row r="664">
      <c r="A664" s="11"/>
      <c r="B664" s="23"/>
      <c r="C664" s="23"/>
      <c r="D664" s="23"/>
      <c r="E664" s="23"/>
      <c r="F664" s="1"/>
      <c r="G664" s="23"/>
      <c r="H664" s="23"/>
      <c r="I664" s="23"/>
      <c r="J664" s="2"/>
      <c r="M664" s="40"/>
      <c r="N664" s="40"/>
      <c r="O664" s="2"/>
      <c r="P664" s="2"/>
      <c r="Q664" s="2"/>
      <c r="S664" s="2"/>
      <c r="T664" s="2"/>
      <c r="V664" s="2"/>
      <c r="W664" s="2"/>
      <c r="Y664" s="2"/>
      <c r="Z664" s="2"/>
      <c r="AB664" s="2"/>
      <c r="AC664" s="2"/>
      <c r="AF664" s="24"/>
    </row>
    <row r="665">
      <c r="A665" s="11"/>
      <c r="B665" s="23"/>
      <c r="C665" s="23"/>
      <c r="D665" s="23"/>
      <c r="E665" s="23"/>
      <c r="F665" s="1"/>
      <c r="G665" s="23"/>
      <c r="H665" s="23"/>
      <c r="I665" s="23"/>
      <c r="J665" s="2"/>
      <c r="M665" s="40"/>
      <c r="N665" s="40"/>
      <c r="O665" s="2"/>
      <c r="P665" s="2"/>
      <c r="Q665" s="2"/>
      <c r="S665" s="2"/>
      <c r="T665" s="2"/>
      <c r="V665" s="2"/>
      <c r="W665" s="2"/>
      <c r="Y665" s="2"/>
      <c r="Z665" s="2"/>
      <c r="AB665" s="2"/>
      <c r="AC665" s="2"/>
      <c r="AF665" s="24"/>
    </row>
    <row r="666">
      <c r="A666" s="11"/>
      <c r="B666" s="23"/>
      <c r="C666" s="23"/>
      <c r="D666" s="23"/>
      <c r="E666" s="23"/>
      <c r="F666" s="1"/>
      <c r="G666" s="23"/>
      <c r="H666" s="23"/>
      <c r="I666" s="23"/>
      <c r="J666" s="2"/>
      <c r="M666" s="40"/>
      <c r="N666" s="40"/>
      <c r="O666" s="2"/>
      <c r="P666" s="2"/>
      <c r="Q666" s="2"/>
      <c r="S666" s="2"/>
      <c r="T666" s="2"/>
      <c r="V666" s="2"/>
      <c r="W666" s="2"/>
      <c r="Y666" s="2"/>
      <c r="Z666" s="2"/>
      <c r="AB666" s="2"/>
      <c r="AC666" s="2"/>
      <c r="AF666" s="24"/>
    </row>
    <row r="667">
      <c r="A667" s="11"/>
      <c r="B667" s="23"/>
      <c r="C667" s="23"/>
      <c r="D667" s="23"/>
      <c r="E667" s="23"/>
      <c r="F667" s="1"/>
      <c r="G667" s="23"/>
      <c r="H667" s="23"/>
      <c r="I667" s="23"/>
      <c r="J667" s="2"/>
      <c r="M667" s="40"/>
      <c r="N667" s="40"/>
      <c r="O667" s="2"/>
      <c r="P667" s="2"/>
      <c r="Q667" s="2"/>
      <c r="S667" s="2"/>
      <c r="T667" s="2"/>
      <c r="V667" s="2"/>
      <c r="W667" s="2"/>
      <c r="Y667" s="2"/>
      <c r="Z667" s="2"/>
      <c r="AB667" s="2"/>
      <c r="AC667" s="2"/>
      <c r="AF667" s="24"/>
    </row>
    <row r="668">
      <c r="A668" s="11"/>
      <c r="B668" s="23"/>
      <c r="C668" s="23"/>
      <c r="D668" s="23"/>
      <c r="E668" s="23"/>
      <c r="F668" s="1"/>
      <c r="G668" s="23"/>
      <c r="H668" s="23"/>
      <c r="I668" s="23"/>
      <c r="J668" s="2"/>
      <c r="M668" s="40"/>
      <c r="N668" s="40"/>
      <c r="O668" s="2"/>
      <c r="P668" s="2"/>
      <c r="Q668" s="2"/>
      <c r="S668" s="2"/>
      <c r="T668" s="2"/>
      <c r="V668" s="2"/>
      <c r="W668" s="2"/>
      <c r="Y668" s="2"/>
      <c r="Z668" s="2"/>
      <c r="AB668" s="2"/>
      <c r="AC668" s="2"/>
      <c r="AF668" s="24"/>
    </row>
    <row r="669">
      <c r="A669" s="11"/>
      <c r="B669" s="23"/>
      <c r="C669" s="23"/>
      <c r="D669" s="23"/>
      <c r="E669" s="23"/>
      <c r="F669" s="1"/>
      <c r="G669" s="23"/>
      <c r="H669" s="23"/>
      <c r="I669" s="23"/>
      <c r="J669" s="2"/>
      <c r="M669" s="40"/>
      <c r="N669" s="40"/>
      <c r="O669" s="2"/>
      <c r="P669" s="2"/>
      <c r="Q669" s="2"/>
      <c r="S669" s="2"/>
      <c r="T669" s="2"/>
      <c r="V669" s="2"/>
      <c r="W669" s="2"/>
      <c r="Y669" s="2"/>
      <c r="Z669" s="2"/>
      <c r="AB669" s="2"/>
      <c r="AC669" s="2"/>
      <c r="AF669" s="24"/>
    </row>
    <row r="670">
      <c r="A670" s="11"/>
      <c r="B670" s="23"/>
      <c r="C670" s="23"/>
      <c r="D670" s="23"/>
      <c r="E670" s="23"/>
      <c r="F670" s="1"/>
      <c r="G670" s="23"/>
      <c r="H670" s="23"/>
      <c r="I670" s="23"/>
      <c r="J670" s="2"/>
      <c r="M670" s="40"/>
      <c r="N670" s="40"/>
      <c r="O670" s="2"/>
      <c r="P670" s="2"/>
      <c r="Q670" s="2"/>
      <c r="S670" s="2"/>
      <c r="T670" s="2"/>
      <c r="V670" s="2"/>
      <c r="W670" s="2"/>
      <c r="Y670" s="2"/>
      <c r="Z670" s="2"/>
      <c r="AB670" s="2"/>
      <c r="AC670" s="2"/>
      <c r="AF670" s="24"/>
    </row>
    <row r="671">
      <c r="A671" s="11"/>
      <c r="B671" s="23"/>
      <c r="C671" s="23"/>
      <c r="D671" s="23"/>
      <c r="E671" s="23"/>
      <c r="F671" s="1"/>
      <c r="G671" s="23"/>
      <c r="H671" s="23"/>
      <c r="I671" s="23"/>
      <c r="J671" s="2"/>
      <c r="M671" s="40"/>
      <c r="N671" s="40"/>
      <c r="O671" s="2"/>
      <c r="P671" s="2"/>
      <c r="Q671" s="2"/>
      <c r="S671" s="2"/>
      <c r="T671" s="2"/>
      <c r="V671" s="2"/>
      <c r="W671" s="2"/>
      <c r="Y671" s="2"/>
      <c r="Z671" s="2"/>
      <c r="AB671" s="2"/>
      <c r="AC671" s="2"/>
      <c r="AF671" s="24"/>
    </row>
    <row r="672">
      <c r="A672" s="11"/>
      <c r="B672" s="23"/>
      <c r="C672" s="23"/>
      <c r="D672" s="23"/>
      <c r="E672" s="23"/>
      <c r="F672" s="1"/>
      <c r="G672" s="23"/>
      <c r="H672" s="23"/>
      <c r="I672" s="23"/>
      <c r="J672" s="2"/>
      <c r="M672" s="40"/>
      <c r="N672" s="40"/>
      <c r="O672" s="2"/>
      <c r="P672" s="2"/>
      <c r="Q672" s="2"/>
      <c r="S672" s="2"/>
      <c r="T672" s="2"/>
      <c r="V672" s="2"/>
      <c r="W672" s="2"/>
      <c r="Y672" s="2"/>
      <c r="Z672" s="2"/>
      <c r="AB672" s="2"/>
      <c r="AC672" s="2"/>
      <c r="AF672" s="24"/>
    </row>
    <row r="673">
      <c r="A673" s="11"/>
      <c r="B673" s="23"/>
      <c r="C673" s="23"/>
      <c r="D673" s="23"/>
      <c r="E673" s="23"/>
      <c r="F673" s="1"/>
      <c r="G673" s="23"/>
      <c r="H673" s="23"/>
      <c r="I673" s="23"/>
      <c r="J673" s="2"/>
      <c r="M673" s="40"/>
      <c r="N673" s="40"/>
      <c r="O673" s="2"/>
      <c r="P673" s="2"/>
      <c r="Q673" s="2"/>
      <c r="S673" s="2"/>
      <c r="T673" s="2"/>
      <c r="V673" s="2"/>
      <c r="W673" s="2"/>
      <c r="Y673" s="2"/>
      <c r="Z673" s="2"/>
      <c r="AB673" s="2"/>
      <c r="AC673" s="2"/>
      <c r="AF673" s="24"/>
    </row>
    <row r="674">
      <c r="A674" s="11"/>
      <c r="B674" s="23"/>
      <c r="C674" s="23"/>
      <c r="D674" s="23"/>
      <c r="E674" s="23"/>
      <c r="F674" s="1"/>
      <c r="G674" s="23"/>
      <c r="H674" s="23"/>
      <c r="I674" s="23"/>
      <c r="J674" s="2"/>
      <c r="M674" s="40"/>
      <c r="N674" s="40"/>
      <c r="O674" s="2"/>
      <c r="P674" s="2"/>
      <c r="Q674" s="2"/>
      <c r="S674" s="2"/>
      <c r="T674" s="2"/>
      <c r="V674" s="2"/>
      <c r="W674" s="2"/>
      <c r="Y674" s="2"/>
      <c r="Z674" s="2"/>
      <c r="AB674" s="2"/>
      <c r="AC674" s="2"/>
      <c r="AF674" s="24"/>
    </row>
    <row r="675">
      <c r="A675" s="11"/>
      <c r="B675" s="23"/>
      <c r="C675" s="23"/>
      <c r="D675" s="23"/>
      <c r="E675" s="23"/>
      <c r="F675" s="1"/>
      <c r="G675" s="23"/>
      <c r="H675" s="23"/>
      <c r="I675" s="23"/>
      <c r="J675" s="2"/>
      <c r="M675" s="40"/>
      <c r="N675" s="40"/>
      <c r="O675" s="2"/>
      <c r="P675" s="2"/>
      <c r="Q675" s="2"/>
      <c r="S675" s="2"/>
      <c r="T675" s="2"/>
      <c r="V675" s="2"/>
      <c r="W675" s="2"/>
      <c r="Y675" s="2"/>
      <c r="Z675" s="2"/>
      <c r="AB675" s="2"/>
      <c r="AC675" s="2"/>
      <c r="AF675" s="24"/>
    </row>
    <row r="676">
      <c r="A676" s="11"/>
      <c r="B676" s="23"/>
      <c r="C676" s="23"/>
      <c r="D676" s="23"/>
      <c r="E676" s="23"/>
      <c r="F676" s="1"/>
      <c r="G676" s="23"/>
      <c r="H676" s="23"/>
      <c r="I676" s="23"/>
      <c r="J676" s="2"/>
      <c r="M676" s="40"/>
      <c r="N676" s="40"/>
      <c r="O676" s="2"/>
      <c r="P676" s="2"/>
      <c r="Q676" s="2"/>
      <c r="S676" s="2"/>
      <c r="T676" s="2"/>
      <c r="V676" s="2"/>
      <c r="W676" s="2"/>
      <c r="Y676" s="2"/>
      <c r="Z676" s="2"/>
      <c r="AB676" s="2"/>
      <c r="AC676" s="2"/>
      <c r="AF676" s="24"/>
    </row>
    <row r="677">
      <c r="A677" s="11"/>
      <c r="B677" s="23"/>
      <c r="C677" s="23"/>
      <c r="D677" s="23"/>
      <c r="E677" s="23"/>
      <c r="F677" s="1"/>
      <c r="G677" s="23"/>
      <c r="H677" s="23"/>
      <c r="I677" s="23"/>
      <c r="J677" s="2"/>
      <c r="M677" s="40"/>
      <c r="N677" s="40"/>
      <c r="O677" s="2"/>
      <c r="P677" s="2"/>
      <c r="Q677" s="2"/>
      <c r="S677" s="2"/>
      <c r="T677" s="2"/>
      <c r="V677" s="2"/>
      <c r="W677" s="2"/>
      <c r="Y677" s="2"/>
      <c r="Z677" s="2"/>
      <c r="AB677" s="2"/>
      <c r="AC677" s="2"/>
      <c r="AF677" s="24"/>
    </row>
    <row r="678">
      <c r="A678" s="11"/>
      <c r="B678" s="23"/>
      <c r="C678" s="23"/>
      <c r="D678" s="23"/>
      <c r="E678" s="23"/>
      <c r="F678" s="1"/>
      <c r="G678" s="23"/>
      <c r="H678" s="23"/>
      <c r="I678" s="23"/>
      <c r="J678" s="2"/>
      <c r="M678" s="40"/>
      <c r="N678" s="40"/>
      <c r="O678" s="2"/>
      <c r="P678" s="2"/>
      <c r="Q678" s="2"/>
      <c r="S678" s="2"/>
      <c r="T678" s="2"/>
      <c r="V678" s="2"/>
      <c r="W678" s="2"/>
      <c r="Y678" s="2"/>
      <c r="Z678" s="2"/>
      <c r="AB678" s="2"/>
      <c r="AC678" s="2"/>
      <c r="AF678" s="24"/>
    </row>
    <row r="679">
      <c r="A679" s="11"/>
      <c r="B679" s="23"/>
      <c r="C679" s="23"/>
      <c r="D679" s="23"/>
      <c r="E679" s="23"/>
      <c r="F679" s="1"/>
      <c r="G679" s="23"/>
      <c r="H679" s="23"/>
      <c r="I679" s="23"/>
      <c r="J679" s="2"/>
      <c r="M679" s="40"/>
      <c r="N679" s="40"/>
      <c r="O679" s="2"/>
      <c r="P679" s="2"/>
      <c r="Q679" s="2"/>
      <c r="S679" s="2"/>
      <c r="T679" s="2"/>
      <c r="V679" s="2"/>
      <c r="W679" s="2"/>
      <c r="Y679" s="2"/>
      <c r="Z679" s="2"/>
      <c r="AB679" s="2"/>
      <c r="AC679" s="2"/>
      <c r="AF679" s="24"/>
    </row>
    <row r="680">
      <c r="A680" s="11"/>
      <c r="B680" s="23"/>
      <c r="C680" s="23"/>
      <c r="D680" s="23"/>
      <c r="E680" s="23"/>
      <c r="F680" s="1"/>
      <c r="G680" s="23"/>
      <c r="H680" s="23"/>
      <c r="I680" s="23"/>
      <c r="J680" s="2"/>
      <c r="M680" s="40"/>
      <c r="N680" s="40"/>
      <c r="O680" s="2"/>
      <c r="P680" s="2"/>
      <c r="Q680" s="2"/>
      <c r="S680" s="2"/>
      <c r="T680" s="2"/>
      <c r="V680" s="2"/>
      <c r="W680" s="2"/>
      <c r="Y680" s="2"/>
      <c r="Z680" s="2"/>
      <c r="AB680" s="2"/>
      <c r="AC680" s="2"/>
      <c r="AF680" s="24"/>
    </row>
    <row r="681">
      <c r="A681" s="11"/>
      <c r="B681" s="23"/>
      <c r="C681" s="23"/>
      <c r="D681" s="23"/>
      <c r="E681" s="23"/>
      <c r="F681" s="1"/>
      <c r="G681" s="23"/>
      <c r="H681" s="23"/>
      <c r="I681" s="23"/>
      <c r="J681" s="2"/>
      <c r="M681" s="40"/>
      <c r="N681" s="40"/>
      <c r="O681" s="2"/>
      <c r="P681" s="2"/>
      <c r="Q681" s="2"/>
      <c r="S681" s="2"/>
      <c r="T681" s="2"/>
      <c r="V681" s="2"/>
      <c r="W681" s="2"/>
      <c r="Y681" s="2"/>
      <c r="Z681" s="2"/>
      <c r="AB681" s="2"/>
      <c r="AC681" s="2"/>
      <c r="AF681" s="24"/>
    </row>
    <row r="682">
      <c r="A682" s="11"/>
      <c r="B682" s="23"/>
      <c r="C682" s="23"/>
      <c r="D682" s="23"/>
      <c r="E682" s="23"/>
      <c r="F682" s="1"/>
      <c r="G682" s="23"/>
      <c r="H682" s="23"/>
      <c r="I682" s="23"/>
      <c r="J682" s="2"/>
      <c r="M682" s="40"/>
      <c r="N682" s="40"/>
      <c r="O682" s="2"/>
      <c r="P682" s="2"/>
      <c r="Q682" s="2"/>
      <c r="S682" s="2"/>
      <c r="T682" s="2"/>
      <c r="V682" s="2"/>
      <c r="W682" s="2"/>
      <c r="Y682" s="2"/>
      <c r="Z682" s="2"/>
      <c r="AB682" s="2"/>
      <c r="AC682" s="2"/>
      <c r="AF682" s="24"/>
    </row>
    <row r="683">
      <c r="A683" s="11"/>
      <c r="B683" s="23"/>
      <c r="C683" s="23"/>
      <c r="D683" s="23"/>
      <c r="E683" s="23"/>
      <c r="F683" s="1"/>
      <c r="G683" s="23"/>
      <c r="H683" s="23"/>
      <c r="I683" s="23"/>
      <c r="J683" s="2"/>
      <c r="M683" s="40"/>
      <c r="N683" s="40"/>
      <c r="O683" s="2"/>
      <c r="P683" s="2"/>
      <c r="Q683" s="2"/>
      <c r="S683" s="2"/>
      <c r="T683" s="2"/>
      <c r="V683" s="2"/>
      <c r="W683" s="2"/>
      <c r="Y683" s="2"/>
      <c r="Z683" s="2"/>
      <c r="AB683" s="2"/>
      <c r="AC683" s="2"/>
      <c r="AF683" s="24"/>
    </row>
    <row r="684">
      <c r="A684" s="11"/>
      <c r="B684" s="23"/>
      <c r="C684" s="23"/>
      <c r="D684" s="23"/>
      <c r="E684" s="23"/>
      <c r="F684" s="1"/>
      <c r="G684" s="23"/>
      <c r="H684" s="23"/>
      <c r="I684" s="23"/>
      <c r="J684" s="2"/>
      <c r="M684" s="40"/>
      <c r="N684" s="40"/>
      <c r="O684" s="2"/>
      <c r="P684" s="2"/>
      <c r="Q684" s="2"/>
      <c r="S684" s="2"/>
      <c r="T684" s="2"/>
      <c r="V684" s="2"/>
      <c r="W684" s="2"/>
      <c r="Y684" s="2"/>
      <c r="Z684" s="2"/>
      <c r="AB684" s="2"/>
      <c r="AC684" s="2"/>
      <c r="AF684" s="24"/>
    </row>
    <row r="685">
      <c r="A685" s="11"/>
      <c r="B685" s="23"/>
      <c r="C685" s="23"/>
      <c r="D685" s="23"/>
      <c r="E685" s="23"/>
      <c r="F685" s="1"/>
      <c r="G685" s="23"/>
      <c r="H685" s="23"/>
      <c r="I685" s="23"/>
      <c r="J685" s="2"/>
      <c r="M685" s="40"/>
      <c r="N685" s="40"/>
      <c r="O685" s="2"/>
      <c r="P685" s="2"/>
      <c r="Q685" s="2"/>
      <c r="S685" s="2"/>
      <c r="T685" s="2"/>
      <c r="V685" s="2"/>
      <c r="W685" s="2"/>
      <c r="Y685" s="2"/>
      <c r="Z685" s="2"/>
      <c r="AB685" s="2"/>
      <c r="AC685" s="2"/>
      <c r="AF685" s="24"/>
    </row>
    <row r="686">
      <c r="A686" s="11"/>
      <c r="B686" s="23"/>
      <c r="C686" s="23"/>
      <c r="D686" s="23"/>
      <c r="E686" s="23"/>
      <c r="F686" s="1"/>
      <c r="G686" s="23"/>
      <c r="H686" s="23"/>
      <c r="I686" s="23"/>
      <c r="J686" s="2"/>
      <c r="M686" s="40"/>
      <c r="N686" s="40"/>
      <c r="O686" s="2"/>
      <c r="P686" s="2"/>
      <c r="Q686" s="2"/>
      <c r="S686" s="2"/>
      <c r="T686" s="2"/>
      <c r="V686" s="2"/>
      <c r="W686" s="2"/>
      <c r="Y686" s="2"/>
      <c r="Z686" s="2"/>
      <c r="AB686" s="2"/>
      <c r="AC686" s="2"/>
      <c r="AF686" s="24"/>
    </row>
    <row r="687">
      <c r="A687" s="11"/>
      <c r="B687" s="23"/>
      <c r="C687" s="23"/>
      <c r="D687" s="23"/>
      <c r="E687" s="23"/>
      <c r="F687" s="1"/>
      <c r="G687" s="23"/>
      <c r="H687" s="23"/>
      <c r="I687" s="23"/>
      <c r="J687" s="2"/>
      <c r="M687" s="40"/>
      <c r="N687" s="40"/>
      <c r="O687" s="2"/>
      <c r="P687" s="2"/>
      <c r="Q687" s="2"/>
      <c r="S687" s="2"/>
      <c r="T687" s="2"/>
      <c r="V687" s="2"/>
      <c r="W687" s="2"/>
      <c r="Y687" s="2"/>
      <c r="Z687" s="2"/>
      <c r="AB687" s="2"/>
      <c r="AC687" s="2"/>
      <c r="AF687" s="24"/>
    </row>
    <row r="688">
      <c r="A688" s="11"/>
      <c r="B688" s="23"/>
      <c r="C688" s="23"/>
      <c r="D688" s="23"/>
      <c r="E688" s="23"/>
      <c r="F688" s="1"/>
      <c r="G688" s="23"/>
      <c r="H688" s="23"/>
      <c r="I688" s="23"/>
      <c r="J688" s="2"/>
      <c r="M688" s="40"/>
      <c r="N688" s="40"/>
      <c r="O688" s="2"/>
      <c r="P688" s="2"/>
      <c r="Q688" s="2"/>
      <c r="S688" s="2"/>
      <c r="T688" s="2"/>
      <c r="V688" s="2"/>
      <c r="W688" s="2"/>
      <c r="Y688" s="2"/>
      <c r="Z688" s="2"/>
      <c r="AB688" s="2"/>
      <c r="AC688" s="2"/>
      <c r="AF688" s="24"/>
    </row>
    <row r="689">
      <c r="A689" s="11"/>
      <c r="B689" s="23"/>
      <c r="C689" s="23"/>
      <c r="D689" s="23"/>
      <c r="E689" s="23"/>
      <c r="F689" s="1"/>
      <c r="G689" s="23"/>
      <c r="H689" s="23"/>
      <c r="I689" s="23"/>
      <c r="J689" s="2"/>
      <c r="M689" s="40"/>
      <c r="N689" s="40"/>
      <c r="O689" s="2"/>
      <c r="P689" s="2"/>
      <c r="Q689" s="2"/>
      <c r="S689" s="2"/>
      <c r="T689" s="2"/>
      <c r="V689" s="2"/>
      <c r="W689" s="2"/>
      <c r="Y689" s="2"/>
      <c r="Z689" s="2"/>
      <c r="AB689" s="2"/>
      <c r="AC689" s="2"/>
      <c r="AF689" s="24"/>
    </row>
    <row r="690">
      <c r="A690" s="11"/>
      <c r="B690" s="23"/>
      <c r="C690" s="23"/>
      <c r="D690" s="23"/>
      <c r="E690" s="23"/>
      <c r="F690" s="1"/>
      <c r="G690" s="23"/>
      <c r="H690" s="23"/>
      <c r="I690" s="23"/>
      <c r="J690" s="2"/>
      <c r="M690" s="40"/>
      <c r="N690" s="40"/>
      <c r="O690" s="2"/>
      <c r="P690" s="2"/>
      <c r="Q690" s="2"/>
      <c r="S690" s="2"/>
      <c r="T690" s="2"/>
      <c r="V690" s="2"/>
      <c r="W690" s="2"/>
      <c r="Y690" s="2"/>
      <c r="Z690" s="2"/>
      <c r="AB690" s="2"/>
      <c r="AC690" s="2"/>
      <c r="AF690" s="24"/>
    </row>
    <row r="691">
      <c r="A691" s="11"/>
      <c r="B691" s="23"/>
      <c r="C691" s="23"/>
      <c r="D691" s="23"/>
      <c r="E691" s="23"/>
      <c r="F691" s="1"/>
      <c r="G691" s="23"/>
      <c r="H691" s="23"/>
      <c r="I691" s="23"/>
      <c r="J691" s="2"/>
      <c r="M691" s="40"/>
      <c r="N691" s="40"/>
      <c r="O691" s="2"/>
      <c r="P691" s="2"/>
      <c r="Q691" s="2"/>
      <c r="S691" s="2"/>
      <c r="T691" s="2"/>
      <c r="V691" s="2"/>
      <c r="W691" s="2"/>
      <c r="Y691" s="2"/>
      <c r="Z691" s="2"/>
      <c r="AB691" s="2"/>
      <c r="AC691" s="2"/>
      <c r="AF691" s="24"/>
    </row>
    <row r="692">
      <c r="A692" s="11"/>
      <c r="B692" s="23"/>
      <c r="C692" s="23"/>
      <c r="D692" s="23"/>
      <c r="E692" s="23"/>
      <c r="F692" s="1"/>
      <c r="G692" s="23"/>
      <c r="H692" s="23"/>
      <c r="I692" s="23"/>
      <c r="J692" s="2"/>
      <c r="M692" s="40"/>
      <c r="N692" s="40"/>
      <c r="O692" s="2"/>
      <c r="P692" s="2"/>
      <c r="Q692" s="2"/>
      <c r="S692" s="2"/>
      <c r="T692" s="2"/>
      <c r="V692" s="2"/>
      <c r="W692" s="2"/>
      <c r="Y692" s="2"/>
      <c r="Z692" s="2"/>
      <c r="AB692" s="2"/>
      <c r="AC692" s="2"/>
      <c r="AF692" s="24"/>
    </row>
    <row r="693">
      <c r="A693" s="11"/>
      <c r="B693" s="23"/>
      <c r="C693" s="23"/>
      <c r="D693" s="23"/>
      <c r="E693" s="23"/>
      <c r="F693" s="1"/>
      <c r="G693" s="23"/>
      <c r="H693" s="23"/>
      <c r="I693" s="23"/>
      <c r="J693" s="2"/>
      <c r="M693" s="40"/>
      <c r="N693" s="40"/>
      <c r="O693" s="2"/>
      <c r="P693" s="2"/>
      <c r="Q693" s="2"/>
      <c r="S693" s="2"/>
      <c r="T693" s="2"/>
      <c r="V693" s="2"/>
      <c r="W693" s="2"/>
      <c r="Y693" s="2"/>
      <c r="Z693" s="2"/>
      <c r="AB693" s="2"/>
      <c r="AC693" s="2"/>
      <c r="AF693" s="24"/>
    </row>
    <row r="694">
      <c r="A694" s="11"/>
      <c r="B694" s="23"/>
      <c r="C694" s="23"/>
      <c r="D694" s="23"/>
      <c r="E694" s="23"/>
      <c r="F694" s="1"/>
      <c r="G694" s="23"/>
      <c r="H694" s="23"/>
      <c r="I694" s="23"/>
      <c r="J694" s="2"/>
      <c r="M694" s="40"/>
      <c r="N694" s="40"/>
      <c r="O694" s="2"/>
      <c r="P694" s="2"/>
      <c r="Q694" s="2"/>
      <c r="S694" s="2"/>
      <c r="T694" s="2"/>
      <c r="V694" s="2"/>
      <c r="W694" s="2"/>
      <c r="Y694" s="2"/>
      <c r="Z694" s="2"/>
      <c r="AB694" s="2"/>
      <c r="AC694" s="2"/>
      <c r="AF694" s="24"/>
    </row>
    <row r="695">
      <c r="A695" s="11"/>
      <c r="B695" s="23"/>
      <c r="C695" s="23"/>
      <c r="D695" s="23"/>
      <c r="E695" s="23"/>
      <c r="F695" s="1"/>
      <c r="G695" s="23"/>
      <c r="H695" s="23"/>
      <c r="I695" s="23"/>
      <c r="J695" s="2"/>
      <c r="M695" s="40"/>
      <c r="N695" s="40"/>
      <c r="O695" s="2"/>
      <c r="P695" s="2"/>
      <c r="Q695" s="2"/>
      <c r="S695" s="2"/>
      <c r="T695" s="2"/>
      <c r="V695" s="2"/>
      <c r="W695" s="2"/>
      <c r="Y695" s="2"/>
      <c r="Z695" s="2"/>
      <c r="AB695" s="2"/>
      <c r="AC695" s="2"/>
      <c r="AF695" s="24"/>
    </row>
    <row r="696">
      <c r="A696" s="11"/>
      <c r="B696" s="23"/>
      <c r="C696" s="23"/>
      <c r="D696" s="23"/>
      <c r="E696" s="23"/>
      <c r="F696" s="1"/>
      <c r="G696" s="23"/>
      <c r="H696" s="23"/>
      <c r="I696" s="23"/>
      <c r="J696" s="2"/>
      <c r="M696" s="40"/>
      <c r="N696" s="40"/>
      <c r="O696" s="2"/>
      <c r="P696" s="2"/>
      <c r="Q696" s="2"/>
      <c r="S696" s="2"/>
      <c r="T696" s="2"/>
      <c r="V696" s="2"/>
      <c r="W696" s="2"/>
      <c r="Y696" s="2"/>
      <c r="Z696" s="2"/>
      <c r="AB696" s="2"/>
      <c r="AC696" s="2"/>
      <c r="AF696" s="24"/>
    </row>
    <row r="697">
      <c r="A697" s="11"/>
      <c r="B697" s="23"/>
      <c r="C697" s="23"/>
      <c r="D697" s="23"/>
      <c r="E697" s="23"/>
      <c r="F697" s="1"/>
      <c r="G697" s="23"/>
      <c r="H697" s="23"/>
      <c r="I697" s="23"/>
      <c r="J697" s="2"/>
      <c r="M697" s="40"/>
      <c r="N697" s="40"/>
      <c r="O697" s="2"/>
      <c r="P697" s="2"/>
      <c r="Q697" s="2"/>
      <c r="S697" s="2"/>
      <c r="T697" s="2"/>
      <c r="V697" s="2"/>
      <c r="W697" s="2"/>
      <c r="Y697" s="2"/>
      <c r="Z697" s="2"/>
      <c r="AB697" s="2"/>
      <c r="AC697" s="2"/>
      <c r="AF697" s="24"/>
    </row>
    <row r="698">
      <c r="A698" s="11"/>
      <c r="B698" s="23"/>
      <c r="C698" s="23"/>
      <c r="D698" s="23"/>
      <c r="E698" s="23"/>
      <c r="F698" s="1"/>
      <c r="G698" s="23"/>
      <c r="H698" s="23"/>
      <c r="I698" s="23"/>
      <c r="J698" s="2"/>
      <c r="M698" s="40"/>
      <c r="N698" s="40"/>
      <c r="O698" s="2"/>
      <c r="P698" s="2"/>
      <c r="Q698" s="2"/>
      <c r="S698" s="2"/>
      <c r="T698" s="2"/>
      <c r="V698" s="2"/>
      <c r="W698" s="2"/>
      <c r="Y698" s="2"/>
      <c r="Z698" s="2"/>
      <c r="AB698" s="2"/>
      <c r="AC698" s="2"/>
      <c r="AF698" s="24"/>
    </row>
    <row r="699">
      <c r="A699" s="11"/>
      <c r="B699" s="23"/>
      <c r="C699" s="23"/>
      <c r="D699" s="23"/>
      <c r="E699" s="23"/>
      <c r="F699" s="1"/>
      <c r="G699" s="23"/>
      <c r="H699" s="23"/>
      <c r="I699" s="23"/>
      <c r="J699" s="2"/>
      <c r="M699" s="40"/>
      <c r="N699" s="40"/>
      <c r="O699" s="2"/>
      <c r="P699" s="2"/>
      <c r="Q699" s="2"/>
      <c r="S699" s="2"/>
      <c r="T699" s="2"/>
      <c r="V699" s="2"/>
      <c r="W699" s="2"/>
      <c r="Y699" s="2"/>
      <c r="Z699" s="2"/>
      <c r="AB699" s="2"/>
      <c r="AC699" s="2"/>
      <c r="AF699" s="24"/>
    </row>
    <row r="700">
      <c r="A700" s="11"/>
      <c r="B700" s="23"/>
      <c r="C700" s="23"/>
      <c r="D700" s="23"/>
      <c r="E700" s="23"/>
      <c r="F700" s="1"/>
      <c r="G700" s="23"/>
      <c r="H700" s="23"/>
      <c r="I700" s="23"/>
      <c r="J700" s="2"/>
      <c r="M700" s="40"/>
      <c r="N700" s="40"/>
      <c r="O700" s="2"/>
      <c r="P700" s="2"/>
      <c r="Q700" s="2"/>
      <c r="S700" s="2"/>
      <c r="T700" s="2"/>
      <c r="V700" s="2"/>
      <c r="W700" s="2"/>
      <c r="Y700" s="2"/>
      <c r="Z700" s="2"/>
      <c r="AB700" s="2"/>
      <c r="AC700" s="2"/>
      <c r="AF700" s="24"/>
    </row>
    <row r="701">
      <c r="A701" s="11"/>
      <c r="B701" s="23"/>
      <c r="C701" s="23"/>
      <c r="D701" s="23"/>
      <c r="E701" s="23"/>
      <c r="F701" s="1"/>
      <c r="G701" s="23"/>
      <c r="H701" s="23"/>
      <c r="I701" s="23"/>
      <c r="J701" s="2"/>
      <c r="M701" s="40"/>
      <c r="N701" s="40"/>
      <c r="O701" s="2"/>
      <c r="P701" s="2"/>
      <c r="Q701" s="2"/>
      <c r="S701" s="2"/>
      <c r="T701" s="2"/>
      <c r="V701" s="2"/>
      <c r="W701" s="2"/>
      <c r="Y701" s="2"/>
      <c r="Z701" s="2"/>
      <c r="AB701" s="2"/>
      <c r="AC701" s="2"/>
      <c r="AF701" s="24"/>
    </row>
    <row r="702">
      <c r="A702" s="11"/>
      <c r="B702" s="23"/>
      <c r="C702" s="23"/>
      <c r="D702" s="23"/>
      <c r="E702" s="23"/>
      <c r="F702" s="1"/>
      <c r="G702" s="23"/>
      <c r="H702" s="23"/>
      <c r="I702" s="23"/>
      <c r="J702" s="2"/>
      <c r="M702" s="40"/>
      <c r="N702" s="40"/>
      <c r="O702" s="2"/>
      <c r="P702" s="2"/>
      <c r="Q702" s="2"/>
      <c r="S702" s="2"/>
      <c r="T702" s="2"/>
      <c r="V702" s="2"/>
      <c r="W702" s="2"/>
      <c r="Y702" s="2"/>
      <c r="Z702" s="2"/>
      <c r="AB702" s="2"/>
      <c r="AC702" s="2"/>
      <c r="AF702" s="24"/>
    </row>
    <row r="703">
      <c r="A703" s="11"/>
      <c r="B703" s="23"/>
      <c r="C703" s="23"/>
      <c r="D703" s="23"/>
      <c r="E703" s="23"/>
      <c r="F703" s="1"/>
      <c r="G703" s="23"/>
      <c r="H703" s="23"/>
      <c r="I703" s="23"/>
      <c r="J703" s="2"/>
      <c r="M703" s="40"/>
      <c r="N703" s="40"/>
      <c r="O703" s="2"/>
      <c r="P703" s="2"/>
      <c r="Q703" s="2"/>
      <c r="S703" s="2"/>
      <c r="T703" s="2"/>
      <c r="V703" s="2"/>
      <c r="W703" s="2"/>
      <c r="Y703" s="2"/>
      <c r="Z703" s="2"/>
      <c r="AB703" s="2"/>
      <c r="AC703" s="2"/>
      <c r="AF703" s="24"/>
    </row>
    <row r="704">
      <c r="A704" s="11"/>
      <c r="B704" s="23"/>
      <c r="C704" s="23"/>
      <c r="D704" s="23"/>
      <c r="E704" s="23"/>
      <c r="F704" s="1"/>
      <c r="G704" s="23"/>
      <c r="H704" s="23"/>
      <c r="I704" s="23"/>
      <c r="J704" s="2"/>
      <c r="M704" s="40"/>
      <c r="N704" s="40"/>
      <c r="O704" s="2"/>
      <c r="P704" s="2"/>
      <c r="Q704" s="2"/>
      <c r="S704" s="2"/>
      <c r="T704" s="2"/>
      <c r="V704" s="2"/>
      <c r="W704" s="2"/>
      <c r="Y704" s="2"/>
      <c r="Z704" s="2"/>
      <c r="AB704" s="2"/>
      <c r="AC704" s="2"/>
      <c r="AF704" s="24"/>
    </row>
    <row r="705">
      <c r="A705" s="11"/>
      <c r="B705" s="23"/>
      <c r="C705" s="23"/>
      <c r="D705" s="23"/>
      <c r="E705" s="23"/>
      <c r="F705" s="1"/>
      <c r="G705" s="23"/>
      <c r="H705" s="23"/>
      <c r="I705" s="23"/>
      <c r="J705" s="2"/>
      <c r="M705" s="40"/>
      <c r="N705" s="40"/>
      <c r="O705" s="2"/>
      <c r="P705" s="2"/>
      <c r="Q705" s="2"/>
      <c r="S705" s="2"/>
      <c r="T705" s="2"/>
      <c r="V705" s="2"/>
      <c r="W705" s="2"/>
      <c r="Y705" s="2"/>
      <c r="Z705" s="2"/>
      <c r="AB705" s="2"/>
      <c r="AC705" s="2"/>
      <c r="AF705" s="24"/>
    </row>
    <row r="706">
      <c r="A706" s="11"/>
      <c r="B706" s="23"/>
      <c r="C706" s="23"/>
      <c r="D706" s="23"/>
      <c r="E706" s="23"/>
      <c r="F706" s="1"/>
      <c r="G706" s="23"/>
      <c r="H706" s="23"/>
      <c r="I706" s="23"/>
      <c r="J706" s="2"/>
      <c r="M706" s="40"/>
      <c r="N706" s="40"/>
      <c r="O706" s="2"/>
      <c r="P706" s="2"/>
      <c r="Q706" s="2"/>
      <c r="S706" s="2"/>
      <c r="T706" s="2"/>
      <c r="V706" s="2"/>
      <c r="W706" s="2"/>
      <c r="Y706" s="2"/>
      <c r="Z706" s="2"/>
      <c r="AB706" s="2"/>
      <c r="AC706" s="2"/>
      <c r="AF706" s="24"/>
    </row>
    <row r="707">
      <c r="A707" s="11"/>
      <c r="B707" s="23"/>
      <c r="C707" s="23"/>
      <c r="D707" s="23"/>
      <c r="E707" s="23"/>
      <c r="F707" s="1"/>
      <c r="G707" s="23"/>
      <c r="H707" s="23"/>
      <c r="I707" s="23"/>
      <c r="J707" s="2"/>
      <c r="M707" s="40"/>
      <c r="N707" s="40"/>
      <c r="O707" s="2"/>
      <c r="P707" s="2"/>
      <c r="Q707" s="2"/>
      <c r="S707" s="2"/>
      <c r="T707" s="2"/>
      <c r="V707" s="2"/>
      <c r="W707" s="2"/>
      <c r="Y707" s="2"/>
      <c r="Z707" s="2"/>
      <c r="AB707" s="2"/>
      <c r="AC707" s="2"/>
      <c r="AF707" s="24"/>
    </row>
    <row r="708">
      <c r="A708" s="11"/>
      <c r="B708" s="23"/>
      <c r="C708" s="23"/>
      <c r="D708" s="23"/>
      <c r="E708" s="23"/>
      <c r="F708" s="1"/>
      <c r="G708" s="23"/>
      <c r="H708" s="23"/>
      <c r="I708" s="23"/>
      <c r="J708" s="2"/>
      <c r="M708" s="40"/>
      <c r="N708" s="40"/>
      <c r="O708" s="2"/>
      <c r="P708" s="2"/>
      <c r="Q708" s="2"/>
      <c r="S708" s="2"/>
      <c r="T708" s="2"/>
      <c r="V708" s="2"/>
      <c r="W708" s="2"/>
      <c r="Y708" s="2"/>
      <c r="Z708" s="2"/>
      <c r="AB708" s="2"/>
      <c r="AC708" s="2"/>
      <c r="AF708" s="24"/>
    </row>
    <row r="709">
      <c r="A709" s="11"/>
      <c r="B709" s="23"/>
      <c r="C709" s="23"/>
      <c r="D709" s="23"/>
      <c r="E709" s="23"/>
      <c r="F709" s="1"/>
      <c r="G709" s="23"/>
      <c r="H709" s="23"/>
      <c r="I709" s="23"/>
      <c r="J709" s="2"/>
      <c r="M709" s="40"/>
      <c r="N709" s="40"/>
      <c r="O709" s="2"/>
      <c r="P709" s="2"/>
      <c r="Q709" s="2"/>
      <c r="S709" s="2"/>
      <c r="T709" s="2"/>
      <c r="V709" s="2"/>
      <c r="W709" s="2"/>
      <c r="Y709" s="2"/>
      <c r="Z709" s="2"/>
      <c r="AB709" s="2"/>
      <c r="AC709" s="2"/>
      <c r="AF709" s="24"/>
    </row>
    <row r="710">
      <c r="A710" s="11"/>
      <c r="B710" s="23"/>
      <c r="C710" s="23"/>
      <c r="D710" s="23"/>
      <c r="E710" s="23"/>
      <c r="F710" s="1"/>
      <c r="G710" s="23"/>
      <c r="H710" s="23"/>
      <c r="I710" s="23"/>
      <c r="J710" s="2"/>
      <c r="M710" s="40"/>
      <c r="N710" s="40"/>
      <c r="O710" s="2"/>
      <c r="P710" s="2"/>
      <c r="Q710" s="2"/>
      <c r="S710" s="2"/>
      <c r="T710" s="2"/>
      <c r="V710" s="2"/>
      <c r="W710" s="2"/>
      <c r="Y710" s="2"/>
      <c r="Z710" s="2"/>
      <c r="AB710" s="2"/>
      <c r="AC710" s="2"/>
      <c r="AF710" s="24"/>
    </row>
    <row r="711">
      <c r="A711" s="11"/>
      <c r="B711" s="23"/>
      <c r="C711" s="23"/>
      <c r="D711" s="23"/>
      <c r="E711" s="23"/>
      <c r="F711" s="1"/>
      <c r="G711" s="23"/>
      <c r="H711" s="23"/>
      <c r="I711" s="23"/>
      <c r="J711" s="2"/>
      <c r="M711" s="40"/>
      <c r="N711" s="40"/>
      <c r="O711" s="2"/>
      <c r="P711" s="2"/>
      <c r="Q711" s="2"/>
      <c r="S711" s="2"/>
      <c r="T711" s="2"/>
      <c r="V711" s="2"/>
      <c r="W711" s="2"/>
      <c r="Y711" s="2"/>
      <c r="Z711" s="2"/>
      <c r="AB711" s="2"/>
      <c r="AC711" s="2"/>
      <c r="AF711" s="24"/>
    </row>
    <row r="712">
      <c r="A712" s="11"/>
      <c r="B712" s="23"/>
      <c r="C712" s="23"/>
      <c r="D712" s="23"/>
      <c r="E712" s="23"/>
      <c r="F712" s="1"/>
      <c r="G712" s="23"/>
      <c r="H712" s="23"/>
      <c r="I712" s="23"/>
      <c r="J712" s="2"/>
      <c r="M712" s="40"/>
      <c r="N712" s="40"/>
      <c r="O712" s="2"/>
      <c r="P712" s="2"/>
      <c r="Q712" s="2"/>
      <c r="S712" s="2"/>
      <c r="T712" s="2"/>
      <c r="V712" s="2"/>
      <c r="W712" s="2"/>
      <c r="Y712" s="2"/>
      <c r="Z712" s="2"/>
      <c r="AB712" s="2"/>
      <c r="AC712" s="2"/>
      <c r="AF712" s="24"/>
    </row>
    <row r="713">
      <c r="A713" s="11"/>
      <c r="B713" s="23"/>
      <c r="C713" s="23"/>
      <c r="D713" s="23"/>
      <c r="E713" s="23"/>
      <c r="F713" s="1"/>
      <c r="G713" s="23"/>
      <c r="H713" s="23"/>
      <c r="I713" s="23"/>
      <c r="J713" s="2"/>
      <c r="M713" s="40"/>
      <c r="N713" s="40"/>
      <c r="O713" s="2"/>
      <c r="P713" s="2"/>
      <c r="Q713" s="2"/>
      <c r="S713" s="2"/>
      <c r="T713" s="2"/>
      <c r="V713" s="2"/>
      <c r="W713" s="2"/>
      <c r="Y713" s="2"/>
      <c r="Z713" s="2"/>
      <c r="AB713" s="2"/>
      <c r="AC713" s="2"/>
      <c r="AF713" s="24"/>
    </row>
    <row r="714">
      <c r="A714" s="11"/>
      <c r="B714" s="23"/>
      <c r="C714" s="23"/>
      <c r="D714" s="23"/>
      <c r="E714" s="23"/>
      <c r="F714" s="1"/>
      <c r="G714" s="23"/>
      <c r="H714" s="23"/>
      <c r="I714" s="23"/>
      <c r="J714" s="2"/>
      <c r="M714" s="40"/>
      <c r="N714" s="40"/>
      <c r="O714" s="2"/>
      <c r="P714" s="2"/>
      <c r="Q714" s="2"/>
      <c r="S714" s="2"/>
      <c r="T714" s="2"/>
      <c r="V714" s="2"/>
      <c r="W714" s="2"/>
      <c r="Y714" s="2"/>
      <c r="Z714" s="2"/>
      <c r="AB714" s="2"/>
      <c r="AC714" s="2"/>
      <c r="AF714" s="24"/>
    </row>
    <row r="715">
      <c r="A715" s="11"/>
      <c r="B715" s="23"/>
      <c r="C715" s="23"/>
      <c r="D715" s="23"/>
      <c r="E715" s="23"/>
      <c r="F715" s="1"/>
      <c r="G715" s="23"/>
      <c r="H715" s="23"/>
      <c r="I715" s="23"/>
      <c r="J715" s="2"/>
      <c r="M715" s="40"/>
      <c r="N715" s="40"/>
      <c r="O715" s="2"/>
      <c r="P715" s="2"/>
      <c r="Q715" s="2"/>
      <c r="S715" s="2"/>
      <c r="T715" s="2"/>
      <c r="V715" s="2"/>
      <c r="W715" s="2"/>
      <c r="Y715" s="2"/>
      <c r="Z715" s="2"/>
      <c r="AB715" s="2"/>
      <c r="AC715" s="2"/>
      <c r="AF715" s="24"/>
    </row>
    <row r="716">
      <c r="A716" s="11"/>
      <c r="B716" s="23"/>
      <c r="C716" s="23"/>
      <c r="D716" s="23"/>
      <c r="E716" s="23"/>
      <c r="F716" s="1"/>
      <c r="G716" s="23"/>
      <c r="H716" s="23"/>
      <c r="I716" s="23"/>
      <c r="J716" s="2"/>
      <c r="M716" s="40"/>
      <c r="N716" s="40"/>
      <c r="O716" s="2"/>
      <c r="P716" s="2"/>
      <c r="Q716" s="2"/>
      <c r="S716" s="2"/>
      <c r="T716" s="2"/>
      <c r="V716" s="2"/>
      <c r="W716" s="2"/>
      <c r="Y716" s="2"/>
      <c r="Z716" s="2"/>
      <c r="AB716" s="2"/>
      <c r="AC716" s="2"/>
      <c r="AF716" s="24"/>
    </row>
    <row r="717">
      <c r="A717" s="11"/>
      <c r="B717" s="23"/>
      <c r="C717" s="23"/>
      <c r="D717" s="23"/>
      <c r="E717" s="23"/>
      <c r="F717" s="1"/>
      <c r="G717" s="23"/>
      <c r="H717" s="23"/>
      <c r="I717" s="23"/>
      <c r="J717" s="2"/>
      <c r="M717" s="40"/>
      <c r="N717" s="40"/>
      <c r="O717" s="2"/>
      <c r="P717" s="2"/>
      <c r="Q717" s="2"/>
      <c r="S717" s="2"/>
      <c r="T717" s="2"/>
      <c r="V717" s="2"/>
      <c r="W717" s="2"/>
      <c r="Y717" s="2"/>
      <c r="Z717" s="2"/>
      <c r="AB717" s="2"/>
      <c r="AC717" s="2"/>
      <c r="AF717" s="24"/>
    </row>
    <row r="718">
      <c r="A718" s="11"/>
      <c r="B718" s="23"/>
      <c r="C718" s="23"/>
      <c r="D718" s="23"/>
      <c r="E718" s="23"/>
      <c r="F718" s="1"/>
      <c r="G718" s="23"/>
      <c r="H718" s="23"/>
      <c r="I718" s="23"/>
      <c r="J718" s="2"/>
      <c r="M718" s="40"/>
      <c r="N718" s="40"/>
      <c r="O718" s="2"/>
      <c r="P718" s="2"/>
      <c r="Q718" s="2"/>
      <c r="S718" s="2"/>
      <c r="T718" s="2"/>
      <c r="V718" s="2"/>
      <c r="W718" s="2"/>
      <c r="Y718" s="2"/>
      <c r="Z718" s="2"/>
      <c r="AB718" s="2"/>
      <c r="AC718" s="2"/>
      <c r="AF718" s="24"/>
    </row>
    <row r="719">
      <c r="A719" s="11"/>
      <c r="B719" s="23"/>
      <c r="C719" s="23"/>
      <c r="D719" s="23"/>
      <c r="E719" s="23"/>
      <c r="F719" s="1"/>
      <c r="G719" s="23"/>
      <c r="H719" s="23"/>
      <c r="I719" s="23"/>
      <c r="J719" s="2"/>
      <c r="M719" s="40"/>
      <c r="N719" s="40"/>
      <c r="O719" s="2"/>
      <c r="P719" s="2"/>
      <c r="Q719" s="2"/>
      <c r="S719" s="2"/>
      <c r="T719" s="2"/>
      <c r="V719" s="2"/>
      <c r="W719" s="2"/>
      <c r="Y719" s="2"/>
      <c r="Z719" s="2"/>
      <c r="AB719" s="2"/>
      <c r="AC719" s="2"/>
      <c r="AF719" s="24"/>
    </row>
    <row r="720">
      <c r="A720" s="11"/>
      <c r="B720" s="23"/>
      <c r="C720" s="23"/>
      <c r="D720" s="23"/>
      <c r="E720" s="23"/>
      <c r="F720" s="1"/>
      <c r="G720" s="23"/>
      <c r="H720" s="23"/>
      <c r="I720" s="23"/>
      <c r="J720" s="2"/>
      <c r="M720" s="40"/>
      <c r="N720" s="40"/>
      <c r="O720" s="2"/>
      <c r="P720" s="2"/>
      <c r="Q720" s="2"/>
      <c r="S720" s="2"/>
      <c r="T720" s="2"/>
      <c r="V720" s="2"/>
      <c r="W720" s="2"/>
      <c r="Y720" s="2"/>
      <c r="Z720" s="2"/>
      <c r="AB720" s="2"/>
      <c r="AC720" s="2"/>
      <c r="AF720" s="24"/>
    </row>
    <row r="721">
      <c r="A721" s="11"/>
      <c r="B721" s="23"/>
      <c r="C721" s="23"/>
      <c r="D721" s="23"/>
      <c r="E721" s="23"/>
      <c r="F721" s="1"/>
      <c r="G721" s="23"/>
      <c r="H721" s="23"/>
      <c r="I721" s="23"/>
      <c r="J721" s="2"/>
      <c r="M721" s="40"/>
      <c r="N721" s="40"/>
      <c r="O721" s="2"/>
      <c r="P721" s="2"/>
      <c r="Q721" s="2"/>
      <c r="S721" s="2"/>
      <c r="T721" s="2"/>
      <c r="V721" s="2"/>
      <c r="W721" s="2"/>
      <c r="Y721" s="2"/>
      <c r="Z721" s="2"/>
      <c r="AB721" s="2"/>
      <c r="AC721" s="2"/>
      <c r="AF721" s="24"/>
    </row>
    <row r="722">
      <c r="A722" s="11"/>
      <c r="B722" s="23"/>
      <c r="C722" s="23"/>
      <c r="D722" s="23"/>
      <c r="E722" s="23"/>
      <c r="F722" s="1"/>
      <c r="G722" s="23"/>
      <c r="H722" s="23"/>
      <c r="I722" s="23"/>
      <c r="J722" s="2"/>
      <c r="M722" s="40"/>
      <c r="N722" s="40"/>
      <c r="O722" s="2"/>
      <c r="P722" s="2"/>
      <c r="Q722" s="2"/>
      <c r="S722" s="2"/>
      <c r="T722" s="2"/>
      <c r="V722" s="2"/>
      <c r="W722" s="2"/>
      <c r="Y722" s="2"/>
      <c r="Z722" s="2"/>
      <c r="AB722" s="2"/>
      <c r="AC722" s="2"/>
      <c r="AF722" s="24"/>
    </row>
    <row r="723">
      <c r="A723" s="11"/>
      <c r="B723" s="23"/>
      <c r="C723" s="23"/>
      <c r="D723" s="23"/>
      <c r="E723" s="23"/>
      <c r="F723" s="1"/>
      <c r="G723" s="23"/>
      <c r="H723" s="23"/>
      <c r="I723" s="23"/>
      <c r="J723" s="2"/>
      <c r="M723" s="40"/>
      <c r="N723" s="40"/>
      <c r="O723" s="2"/>
      <c r="P723" s="2"/>
      <c r="Q723" s="2"/>
      <c r="S723" s="2"/>
      <c r="T723" s="2"/>
      <c r="V723" s="2"/>
      <c r="W723" s="2"/>
      <c r="Y723" s="2"/>
      <c r="Z723" s="2"/>
      <c r="AB723" s="2"/>
      <c r="AC723" s="2"/>
      <c r="AF723" s="24"/>
    </row>
    <row r="724">
      <c r="A724" s="11"/>
      <c r="B724" s="23"/>
      <c r="C724" s="23"/>
      <c r="D724" s="23"/>
      <c r="E724" s="23"/>
      <c r="F724" s="1"/>
      <c r="G724" s="23"/>
      <c r="H724" s="23"/>
      <c r="I724" s="23"/>
      <c r="J724" s="2"/>
      <c r="M724" s="40"/>
      <c r="N724" s="40"/>
      <c r="O724" s="2"/>
      <c r="P724" s="2"/>
      <c r="Q724" s="2"/>
      <c r="S724" s="2"/>
      <c r="T724" s="2"/>
      <c r="V724" s="2"/>
      <c r="W724" s="2"/>
      <c r="Y724" s="2"/>
      <c r="Z724" s="2"/>
      <c r="AB724" s="2"/>
      <c r="AC724" s="2"/>
      <c r="AF724" s="24"/>
    </row>
    <row r="725">
      <c r="A725" s="11"/>
      <c r="B725" s="23"/>
      <c r="C725" s="23"/>
      <c r="D725" s="23"/>
      <c r="E725" s="23"/>
      <c r="F725" s="1"/>
      <c r="G725" s="23"/>
      <c r="H725" s="23"/>
      <c r="I725" s="23"/>
      <c r="J725" s="2"/>
      <c r="M725" s="40"/>
      <c r="N725" s="40"/>
      <c r="O725" s="2"/>
      <c r="P725" s="2"/>
      <c r="Q725" s="2"/>
      <c r="S725" s="2"/>
      <c r="T725" s="2"/>
      <c r="V725" s="2"/>
      <c r="W725" s="2"/>
      <c r="Y725" s="2"/>
      <c r="Z725" s="2"/>
      <c r="AB725" s="2"/>
      <c r="AC725" s="2"/>
      <c r="AF725" s="24"/>
    </row>
    <row r="726">
      <c r="A726" s="11"/>
      <c r="B726" s="23"/>
      <c r="C726" s="23"/>
      <c r="D726" s="23"/>
      <c r="E726" s="23"/>
      <c r="F726" s="1"/>
      <c r="G726" s="23"/>
      <c r="H726" s="23"/>
      <c r="I726" s="23"/>
      <c r="J726" s="2"/>
      <c r="M726" s="40"/>
      <c r="N726" s="40"/>
      <c r="O726" s="2"/>
      <c r="P726" s="2"/>
      <c r="Q726" s="2"/>
      <c r="S726" s="2"/>
      <c r="T726" s="2"/>
      <c r="V726" s="2"/>
      <c r="W726" s="2"/>
      <c r="Y726" s="2"/>
      <c r="Z726" s="2"/>
      <c r="AB726" s="2"/>
      <c r="AC726" s="2"/>
      <c r="AF726" s="24"/>
    </row>
    <row r="727">
      <c r="A727" s="11"/>
      <c r="B727" s="23"/>
      <c r="C727" s="23"/>
      <c r="D727" s="23"/>
      <c r="E727" s="23"/>
      <c r="F727" s="1"/>
      <c r="G727" s="23"/>
      <c r="H727" s="23"/>
      <c r="I727" s="23"/>
      <c r="J727" s="2"/>
      <c r="M727" s="40"/>
      <c r="N727" s="40"/>
      <c r="O727" s="2"/>
      <c r="P727" s="2"/>
      <c r="Q727" s="2"/>
      <c r="S727" s="2"/>
      <c r="T727" s="2"/>
      <c r="V727" s="2"/>
      <c r="W727" s="2"/>
      <c r="Y727" s="2"/>
      <c r="Z727" s="2"/>
      <c r="AB727" s="2"/>
      <c r="AC727" s="2"/>
      <c r="AF727" s="24"/>
    </row>
    <row r="728">
      <c r="A728" s="11"/>
      <c r="B728" s="23"/>
      <c r="C728" s="23"/>
      <c r="D728" s="23"/>
      <c r="E728" s="23"/>
      <c r="F728" s="1"/>
      <c r="G728" s="23"/>
      <c r="H728" s="23"/>
      <c r="I728" s="23"/>
      <c r="J728" s="2"/>
      <c r="M728" s="40"/>
      <c r="N728" s="40"/>
      <c r="O728" s="2"/>
      <c r="P728" s="2"/>
      <c r="Q728" s="2"/>
      <c r="S728" s="2"/>
      <c r="T728" s="2"/>
      <c r="V728" s="2"/>
      <c r="W728" s="2"/>
      <c r="Y728" s="2"/>
      <c r="Z728" s="2"/>
      <c r="AB728" s="2"/>
      <c r="AC728" s="2"/>
      <c r="AF728" s="24"/>
    </row>
    <row r="729">
      <c r="A729" s="11"/>
      <c r="B729" s="23"/>
      <c r="C729" s="23"/>
      <c r="D729" s="23"/>
      <c r="E729" s="23"/>
      <c r="F729" s="1"/>
      <c r="G729" s="23"/>
      <c r="H729" s="23"/>
      <c r="I729" s="23"/>
      <c r="J729" s="2"/>
      <c r="M729" s="40"/>
      <c r="N729" s="40"/>
      <c r="O729" s="2"/>
      <c r="P729" s="2"/>
      <c r="Q729" s="2"/>
      <c r="S729" s="2"/>
      <c r="T729" s="2"/>
      <c r="V729" s="2"/>
      <c r="W729" s="2"/>
      <c r="Y729" s="2"/>
      <c r="Z729" s="2"/>
      <c r="AB729" s="2"/>
      <c r="AC729" s="2"/>
      <c r="AF729" s="24"/>
    </row>
    <row r="730">
      <c r="A730" s="11"/>
      <c r="B730" s="23"/>
      <c r="C730" s="23"/>
      <c r="D730" s="23"/>
      <c r="E730" s="23"/>
      <c r="F730" s="1"/>
      <c r="G730" s="23"/>
      <c r="H730" s="23"/>
      <c r="I730" s="23"/>
      <c r="J730" s="2"/>
      <c r="M730" s="40"/>
      <c r="N730" s="40"/>
      <c r="O730" s="2"/>
      <c r="P730" s="2"/>
      <c r="Q730" s="2"/>
      <c r="S730" s="2"/>
      <c r="T730" s="2"/>
      <c r="V730" s="2"/>
      <c r="W730" s="2"/>
      <c r="Y730" s="2"/>
      <c r="Z730" s="2"/>
      <c r="AB730" s="2"/>
      <c r="AC730" s="2"/>
      <c r="AF730" s="24"/>
    </row>
    <row r="731">
      <c r="A731" s="11"/>
      <c r="B731" s="23"/>
      <c r="C731" s="23"/>
      <c r="D731" s="23"/>
      <c r="E731" s="23"/>
      <c r="F731" s="1"/>
      <c r="G731" s="23"/>
      <c r="H731" s="23"/>
      <c r="I731" s="23"/>
      <c r="J731" s="2"/>
      <c r="M731" s="40"/>
      <c r="N731" s="40"/>
      <c r="O731" s="2"/>
      <c r="P731" s="2"/>
      <c r="Q731" s="2"/>
      <c r="S731" s="2"/>
      <c r="T731" s="2"/>
      <c r="V731" s="2"/>
      <c r="W731" s="2"/>
      <c r="Y731" s="2"/>
      <c r="Z731" s="2"/>
      <c r="AB731" s="2"/>
      <c r="AC731" s="2"/>
      <c r="AF731" s="24"/>
    </row>
    <row r="732">
      <c r="A732" s="11"/>
      <c r="B732" s="23"/>
      <c r="C732" s="23"/>
      <c r="D732" s="23"/>
      <c r="E732" s="23"/>
      <c r="F732" s="1"/>
      <c r="G732" s="23"/>
      <c r="H732" s="23"/>
      <c r="I732" s="23"/>
      <c r="J732" s="2"/>
      <c r="M732" s="40"/>
      <c r="N732" s="40"/>
      <c r="O732" s="2"/>
      <c r="P732" s="2"/>
      <c r="Q732" s="2"/>
      <c r="S732" s="2"/>
      <c r="T732" s="2"/>
      <c r="V732" s="2"/>
      <c r="W732" s="2"/>
      <c r="Y732" s="2"/>
      <c r="Z732" s="2"/>
      <c r="AB732" s="2"/>
      <c r="AC732" s="2"/>
      <c r="AF732" s="24"/>
    </row>
    <row r="733">
      <c r="A733" s="11"/>
      <c r="B733" s="23"/>
      <c r="C733" s="23"/>
      <c r="D733" s="23"/>
      <c r="E733" s="23"/>
      <c r="F733" s="1"/>
      <c r="G733" s="23"/>
      <c r="H733" s="23"/>
      <c r="I733" s="23"/>
      <c r="J733" s="2"/>
      <c r="M733" s="40"/>
      <c r="N733" s="40"/>
      <c r="O733" s="2"/>
      <c r="P733" s="2"/>
      <c r="Q733" s="2"/>
      <c r="S733" s="2"/>
      <c r="T733" s="2"/>
      <c r="V733" s="2"/>
      <c r="W733" s="2"/>
      <c r="Y733" s="2"/>
      <c r="Z733" s="2"/>
      <c r="AB733" s="2"/>
      <c r="AC733" s="2"/>
      <c r="AF733" s="24"/>
    </row>
    <row r="734">
      <c r="A734" s="11"/>
      <c r="B734" s="23"/>
      <c r="C734" s="23"/>
      <c r="D734" s="23"/>
      <c r="E734" s="23"/>
      <c r="F734" s="1"/>
      <c r="G734" s="23"/>
      <c r="H734" s="23"/>
      <c r="I734" s="23"/>
      <c r="J734" s="2"/>
      <c r="M734" s="40"/>
      <c r="N734" s="40"/>
      <c r="O734" s="2"/>
      <c r="P734" s="2"/>
      <c r="Q734" s="2"/>
      <c r="S734" s="2"/>
      <c r="T734" s="2"/>
      <c r="V734" s="2"/>
      <c r="W734" s="2"/>
      <c r="Y734" s="2"/>
      <c r="Z734" s="2"/>
      <c r="AB734" s="2"/>
      <c r="AC734" s="2"/>
      <c r="AF734" s="24"/>
    </row>
    <row r="735">
      <c r="A735" s="11"/>
      <c r="B735" s="23"/>
      <c r="C735" s="23"/>
      <c r="D735" s="23"/>
      <c r="E735" s="23"/>
      <c r="F735" s="1"/>
      <c r="G735" s="23"/>
      <c r="H735" s="23"/>
      <c r="I735" s="23"/>
      <c r="J735" s="2"/>
      <c r="M735" s="40"/>
      <c r="N735" s="40"/>
      <c r="O735" s="2"/>
      <c r="P735" s="2"/>
      <c r="Q735" s="2"/>
      <c r="S735" s="2"/>
      <c r="T735" s="2"/>
      <c r="V735" s="2"/>
      <c r="W735" s="2"/>
      <c r="Y735" s="2"/>
      <c r="Z735" s="2"/>
      <c r="AB735" s="2"/>
      <c r="AC735" s="2"/>
      <c r="AF735" s="24"/>
    </row>
    <row r="736">
      <c r="A736" s="11"/>
      <c r="B736" s="23"/>
      <c r="C736" s="23"/>
      <c r="D736" s="23"/>
      <c r="E736" s="23"/>
      <c r="F736" s="1"/>
      <c r="G736" s="23"/>
      <c r="H736" s="23"/>
      <c r="I736" s="23"/>
      <c r="J736" s="2"/>
      <c r="M736" s="40"/>
      <c r="N736" s="40"/>
      <c r="O736" s="2"/>
      <c r="P736" s="2"/>
      <c r="Q736" s="2"/>
      <c r="S736" s="2"/>
      <c r="T736" s="2"/>
      <c r="V736" s="2"/>
      <c r="W736" s="2"/>
      <c r="Y736" s="2"/>
      <c r="Z736" s="2"/>
      <c r="AB736" s="2"/>
      <c r="AC736" s="2"/>
      <c r="AF736" s="24"/>
    </row>
    <row r="737">
      <c r="A737" s="11"/>
      <c r="B737" s="23"/>
      <c r="C737" s="23"/>
      <c r="D737" s="23"/>
      <c r="E737" s="23"/>
      <c r="F737" s="1"/>
      <c r="G737" s="23"/>
      <c r="H737" s="23"/>
      <c r="I737" s="23"/>
      <c r="J737" s="2"/>
      <c r="M737" s="40"/>
      <c r="N737" s="40"/>
      <c r="O737" s="2"/>
      <c r="P737" s="2"/>
      <c r="Q737" s="2"/>
      <c r="S737" s="2"/>
      <c r="T737" s="2"/>
      <c r="V737" s="2"/>
      <c r="W737" s="2"/>
      <c r="Y737" s="2"/>
      <c r="Z737" s="2"/>
      <c r="AB737" s="2"/>
      <c r="AC737" s="2"/>
      <c r="AF737" s="24"/>
    </row>
    <row r="738">
      <c r="A738" s="11"/>
      <c r="B738" s="23"/>
      <c r="C738" s="23"/>
      <c r="D738" s="23"/>
      <c r="E738" s="23"/>
      <c r="F738" s="1"/>
      <c r="G738" s="23"/>
      <c r="H738" s="23"/>
      <c r="I738" s="23"/>
      <c r="J738" s="2"/>
      <c r="M738" s="40"/>
      <c r="N738" s="40"/>
      <c r="O738" s="2"/>
      <c r="P738" s="2"/>
      <c r="Q738" s="2"/>
      <c r="S738" s="2"/>
      <c r="T738" s="2"/>
      <c r="V738" s="2"/>
      <c r="W738" s="2"/>
      <c r="Y738" s="2"/>
      <c r="Z738" s="2"/>
      <c r="AB738" s="2"/>
      <c r="AC738" s="2"/>
      <c r="AF738" s="24"/>
    </row>
    <row r="739">
      <c r="A739" s="11"/>
      <c r="B739" s="23"/>
      <c r="C739" s="23"/>
      <c r="D739" s="23"/>
      <c r="E739" s="23"/>
      <c r="F739" s="1"/>
      <c r="G739" s="23"/>
      <c r="H739" s="23"/>
      <c r="I739" s="23"/>
      <c r="J739" s="2"/>
      <c r="M739" s="40"/>
      <c r="N739" s="40"/>
      <c r="O739" s="2"/>
      <c r="P739" s="2"/>
      <c r="Q739" s="2"/>
      <c r="S739" s="2"/>
      <c r="T739" s="2"/>
      <c r="V739" s="2"/>
      <c r="W739" s="2"/>
      <c r="Y739" s="2"/>
      <c r="Z739" s="2"/>
      <c r="AB739" s="2"/>
      <c r="AC739" s="2"/>
      <c r="AF739" s="24"/>
    </row>
    <row r="740">
      <c r="A740" s="11"/>
      <c r="B740" s="23"/>
      <c r="C740" s="23"/>
      <c r="D740" s="23"/>
      <c r="E740" s="23"/>
      <c r="F740" s="1"/>
      <c r="G740" s="23"/>
      <c r="H740" s="23"/>
      <c r="I740" s="23"/>
      <c r="J740" s="2"/>
      <c r="M740" s="40"/>
      <c r="N740" s="40"/>
      <c r="O740" s="2"/>
      <c r="P740" s="2"/>
      <c r="Q740" s="2"/>
      <c r="S740" s="2"/>
      <c r="T740" s="2"/>
      <c r="V740" s="2"/>
      <c r="W740" s="2"/>
      <c r="Y740" s="2"/>
      <c r="Z740" s="2"/>
      <c r="AB740" s="2"/>
      <c r="AC740" s="2"/>
      <c r="AF740" s="24"/>
    </row>
    <row r="741">
      <c r="A741" s="11"/>
      <c r="B741" s="23"/>
      <c r="C741" s="23"/>
      <c r="D741" s="23"/>
      <c r="E741" s="23"/>
      <c r="F741" s="1"/>
      <c r="G741" s="23"/>
      <c r="H741" s="23"/>
      <c r="I741" s="23"/>
      <c r="J741" s="2"/>
      <c r="M741" s="40"/>
      <c r="N741" s="40"/>
      <c r="O741" s="2"/>
      <c r="P741" s="2"/>
      <c r="Q741" s="2"/>
      <c r="S741" s="2"/>
      <c r="T741" s="2"/>
      <c r="V741" s="2"/>
      <c r="W741" s="2"/>
      <c r="Y741" s="2"/>
      <c r="Z741" s="2"/>
      <c r="AB741" s="2"/>
      <c r="AC741" s="2"/>
      <c r="AF741" s="24"/>
    </row>
    <row r="742">
      <c r="A742" s="11"/>
      <c r="B742" s="23"/>
      <c r="C742" s="23"/>
      <c r="D742" s="23"/>
      <c r="E742" s="23"/>
      <c r="F742" s="1"/>
      <c r="G742" s="23"/>
      <c r="H742" s="23"/>
      <c r="I742" s="23"/>
      <c r="J742" s="2"/>
      <c r="M742" s="40"/>
      <c r="N742" s="40"/>
      <c r="O742" s="2"/>
      <c r="P742" s="2"/>
      <c r="Q742" s="2"/>
      <c r="S742" s="2"/>
      <c r="T742" s="2"/>
      <c r="V742" s="2"/>
      <c r="W742" s="2"/>
      <c r="Y742" s="2"/>
      <c r="Z742" s="2"/>
      <c r="AB742" s="2"/>
      <c r="AC742" s="2"/>
      <c r="AF742" s="24"/>
    </row>
    <row r="743">
      <c r="A743" s="11"/>
      <c r="B743" s="23"/>
      <c r="C743" s="23"/>
      <c r="D743" s="23"/>
      <c r="E743" s="23"/>
      <c r="F743" s="1"/>
      <c r="G743" s="23"/>
      <c r="H743" s="23"/>
      <c r="I743" s="23"/>
      <c r="J743" s="2"/>
      <c r="M743" s="40"/>
      <c r="N743" s="40"/>
      <c r="O743" s="2"/>
      <c r="P743" s="2"/>
      <c r="Q743" s="2"/>
      <c r="S743" s="2"/>
      <c r="T743" s="2"/>
      <c r="V743" s="2"/>
      <c r="W743" s="2"/>
      <c r="Y743" s="2"/>
      <c r="Z743" s="2"/>
      <c r="AB743" s="2"/>
      <c r="AC743" s="2"/>
      <c r="AF743" s="24"/>
    </row>
    <row r="744">
      <c r="A744" s="11"/>
      <c r="B744" s="23"/>
      <c r="C744" s="23"/>
      <c r="D744" s="23"/>
      <c r="E744" s="23"/>
      <c r="F744" s="1"/>
      <c r="G744" s="23"/>
      <c r="H744" s="23"/>
      <c r="I744" s="23"/>
      <c r="J744" s="2"/>
      <c r="M744" s="40"/>
      <c r="N744" s="40"/>
      <c r="O744" s="2"/>
      <c r="P744" s="2"/>
      <c r="Q744" s="2"/>
      <c r="S744" s="2"/>
      <c r="T744" s="2"/>
      <c r="V744" s="2"/>
      <c r="W744" s="2"/>
      <c r="Y744" s="2"/>
      <c r="Z744" s="2"/>
      <c r="AB744" s="2"/>
      <c r="AC744" s="2"/>
      <c r="AF744" s="24"/>
    </row>
    <row r="745">
      <c r="A745" s="11"/>
      <c r="B745" s="23"/>
      <c r="C745" s="23"/>
      <c r="D745" s="23"/>
      <c r="E745" s="23"/>
      <c r="F745" s="1"/>
      <c r="G745" s="23"/>
      <c r="H745" s="23"/>
      <c r="I745" s="23"/>
      <c r="J745" s="2"/>
      <c r="M745" s="40"/>
      <c r="N745" s="40"/>
      <c r="O745" s="2"/>
      <c r="P745" s="2"/>
      <c r="Q745" s="2"/>
      <c r="S745" s="2"/>
      <c r="T745" s="2"/>
      <c r="V745" s="2"/>
      <c r="W745" s="2"/>
      <c r="Y745" s="2"/>
      <c r="Z745" s="2"/>
      <c r="AB745" s="2"/>
      <c r="AC745" s="2"/>
      <c r="AF745" s="24"/>
    </row>
    <row r="746">
      <c r="A746" s="11"/>
      <c r="B746" s="23"/>
      <c r="C746" s="23"/>
      <c r="D746" s="23"/>
      <c r="E746" s="23"/>
      <c r="F746" s="1"/>
      <c r="G746" s="23"/>
      <c r="H746" s="23"/>
      <c r="I746" s="23"/>
      <c r="J746" s="2"/>
      <c r="M746" s="40"/>
      <c r="N746" s="40"/>
      <c r="O746" s="2"/>
      <c r="P746" s="2"/>
      <c r="Q746" s="2"/>
      <c r="S746" s="2"/>
      <c r="T746" s="2"/>
      <c r="V746" s="2"/>
      <c r="W746" s="2"/>
      <c r="Y746" s="2"/>
      <c r="Z746" s="2"/>
      <c r="AB746" s="2"/>
      <c r="AC746" s="2"/>
      <c r="AF746" s="24"/>
    </row>
    <row r="747">
      <c r="A747" s="11"/>
      <c r="B747" s="23"/>
      <c r="C747" s="23"/>
      <c r="D747" s="23"/>
      <c r="E747" s="23"/>
      <c r="F747" s="1"/>
      <c r="G747" s="23"/>
      <c r="H747" s="23"/>
      <c r="I747" s="23"/>
      <c r="J747" s="2"/>
      <c r="M747" s="40"/>
      <c r="N747" s="40"/>
      <c r="O747" s="2"/>
      <c r="P747" s="2"/>
      <c r="Q747" s="2"/>
      <c r="S747" s="2"/>
      <c r="T747" s="2"/>
      <c r="V747" s="2"/>
      <c r="W747" s="2"/>
      <c r="Y747" s="2"/>
      <c r="Z747" s="2"/>
      <c r="AB747" s="2"/>
      <c r="AC747" s="2"/>
      <c r="AF747" s="24"/>
    </row>
    <row r="748">
      <c r="A748" s="11"/>
      <c r="B748" s="23"/>
      <c r="C748" s="23"/>
      <c r="D748" s="23"/>
      <c r="E748" s="23"/>
      <c r="F748" s="1"/>
      <c r="G748" s="23"/>
      <c r="H748" s="23"/>
      <c r="I748" s="23"/>
      <c r="J748" s="2"/>
      <c r="M748" s="40"/>
      <c r="N748" s="40"/>
      <c r="O748" s="2"/>
      <c r="P748" s="2"/>
      <c r="Q748" s="2"/>
      <c r="S748" s="2"/>
      <c r="T748" s="2"/>
      <c r="V748" s="2"/>
      <c r="W748" s="2"/>
      <c r="Y748" s="2"/>
      <c r="Z748" s="2"/>
      <c r="AB748" s="2"/>
      <c r="AC748" s="2"/>
      <c r="AF748" s="24"/>
    </row>
    <row r="749">
      <c r="A749" s="11"/>
      <c r="B749" s="23"/>
      <c r="C749" s="23"/>
      <c r="D749" s="23"/>
      <c r="E749" s="23"/>
      <c r="F749" s="1"/>
      <c r="G749" s="23"/>
      <c r="H749" s="23"/>
      <c r="I749" s="23"/>
      <c r="J749" s="2"/>
      <c r="M749" s="40"/>
      <c r="N749" s="40"/>
      <c r="O749" s="2"/>
      <c r="P749" s="2"/>
      <c r="Q749" s="2"/>
      <c r="S749" s="2"/>
      <c r="T749" s="2"/>
      <c r="V749" s="2"/>
      <c r="W749" s="2"/>
      <c r="Y749" s="2"/>
      <c r="Z749" s="2"/>
      <c r="AB749" s="2"/>
      <c r="AC749" s="2"/>
      <c r="AF749" s="24"/>
    </row>
    <row r="750">
      <c r="A750" s="11"/>
      <c r="B750" s="23"/>
      <c r="C750" s="23"/>
      <c r="D750" s="23"/>
      <c r="E750" s="23"/>
      <c r="F750" s="1"/>
      <c r="G750" s="23"/>
      <c r="H750" s="23"/>
      <c r="I750" s="23"/>
      <c r="J750" s="2"/>
      <c r="M750" s="40"/>
      <c r="N750" s="40"/>
      <c r="O750" s="2"/>
      <c r="P750" s="2"/>
      <c r="Q750" s="2"/>
      <c r="S750" s="2"/>
      <c r="T750" s="2"/>
      <c r="V750" s="2"/>
      <c r="W750" s="2"/>
      <c r="Y750" s="2"/>
      <c r="Z750" s="2"/>
      <c r="AB750" s="2"/>
      <c r="AC750" s="2"/>
      <c r="AF750" s="24"/>
    </row>
    <row r="751">
      <c r="A751" s="11"/>
      <c r="B751" s="23"/>
      <c r="C751" s="23"/>
      <c r="D751" s="23"/>
      <c r="E751" s="23"/>
      <c r="F751" s="1"/>
      <c r="G751" s="23"/>
      <c r="H751" s="23"/>
      <c r="I751" s="23"/>
      <c r="J751" s="2"/>
      <c r="M751" s="40"/>
      <c r="N751" s="40"/>
      <c r="O751" s="2"/>
      <c r="P751" s="2"/>
      <c r="Q751" s="2"/>
      <c r="S751" s="2"/>
      <c r="T751" s="2"/>
      <c r="V751" s="2"/>
      <c r="W751" s="2"/>
      <c r="Y751" s="2"/>
      <c r="Z751" s="2"/>
      <c r="AB751" s="2"/>
      <c r="AC751" s="2"/>
      <c r="AF751" s="24"/>
    </row>
    <row r="752">
      <c r="A752" s="11"/>
      <c r="B752" s="23"/>
      <c r="C752" s="23"/>
      <c r="D752" s="23"/>
      <c r="E752" s="23"/>
      <c r="F752" s="1"/>
      <c r="G752" s="23"/>
      <c r="H752" s="23"/>
      <c r="I752" s="23"/>
      <c r="J752" s="2"/>
      <c r="M752" s="40"/>
      <c r="N752" s="40"/>
      <c r="O752" s="2"/>
      <c r="P752" s="2"/>
      <c r="Q752" s="2"/>
      <c r="S752" s="2"/>
      <c r="T752" s="2"/>
      <c r="V752" s="2"/>
      <c r="W752" s="2"/>
      <c r="Y752" s="2"/>
      <c r="Z752" s="2"/>
      <c r="AB752" s="2"/>
      <c r="AC752" s="2"/>
      <c r="AF752" s="24"/>
    </row>
    <row r="753">
      <c r="A753" s="11"/>
      <c r="B753" s="23"/>
      <c r="C753" s="23"/>
      <c r="D753" s="23"/>
      <c r="E753" s="23"/>
      <c r="F753" s="1"/>
      <c r="G753" s="23"/>
      <c r="H753" s="23"/>
      <c r="I753" s="23"/>
      <c r="J753" s="2"/>
      <c r="M753" s="40"/>
      <c r="N753" s="40"/>
      <c r="O753" s="2"/>
      <c r="P753" s="2"/>
      <c r="Q753" s="2"/>
      <c r="S753" s="2"/>
      <c r="T753" s="2"/>
      <c r="V753" s="2"/>
      <c r="W753" s="2"/>
      <c r="Y753" s="2"/>
      <c r="Z753" s="2"/>
      <c r="AB753" s="2"/>
      <c r="AC753" s="2"/>
      <c r="AF753" s="24"/>
    </row>
    <row r="754">
      <c r="A754" s="11"/>
      <c r="B754" s="23"/>
      <c r="C754" s="23"/>
      <c r="D754" s="23"/>
      <c r="E754" s="23"/>
      <c r="F754" s="1"/>
      <c r="G754" s="23"/>
      <c r="H754" s="23"/>
      <c r="I754" s="23"/>
      <c r="J754" s="2"/>
      <c r="M754" s="40"/>
      <c r="N754" s="40"/>
      <c r="O754" s="2"/>
      <c r="P754" s="2"/>
      <c r="Q754" s="2"/>
      <c r="S754" s="2"/>
      <c r="T754" s="2"/>
      <c r="V754" s="2"/>
      <c r="W754" s="2"/>
      <c r="Y754" s="2"/>
      <c r="Z754" s="2"/>
      <c r="AB754" s="2"/>
      <c r="AC754" s="2"/>
      <c r="AF754" s="24"/>
    </row>
    <row r="755">
      <c r="A755" s="11"/>
      <c r="B755" s="23"/>
      <c r="C755" s="23"/>
      <c r="D755" s="23"/>
      <c r="E755" s="23"/>
      <c r="F755" s="1"/>
      <c r="G755" s="23"/>
      <c r="H755" s="23"/>
      <c r="I755" s="23"/>
      <c r="J755" s="2"/>
      <c r="M755" s="40"/>
      <c r="N755" s="40"/>
      <c r="O755" s="2"/>
      <c r="P755" s="2"/>
      <c r="Q755" s="2"/>
      <c r="S755" s="2"/>
      <c r="T755" s="2"/>
      <c r="V755" s="2"/>
      <c r="W755" s="2"/>
      <c r="Y755" s="2"/>
      <c r="Z755" s="2"/>
      <c r="AB755" s="2"/>
      <c r="AC755" s="2"/>
      <c r="AF755" s="24"/>
    </row>
    <row r="756">
      <c r="A756" s="11"/>
      <c r="B756" s="23"/>
      <c r="C756" s="23"/>
      <c r="D756" s="23"/>
      <c r="E756" s="23"/>
      <c r="F756" s="1"/>
      <c r="G756" s="23"/>
      <c r="H756" s="23"/>
      <c r="I756" s="23"/>
      <c r="J756" s="2"/>
      <c r="M756" s="40"/>
      <c r="N756" s="40"/>
      <c r="O756" s="2"/>
      <c r="P756" s="2"/>
      <c r="Q756" s="2"/>
      <c r="S756" s="2"/>
      <c r="T756" s="2"/>
      <c r="V756" s="2"/>
      <c r="W756" s="2"/>
      <c r="Y756" s="2"/>
      <c r="Z756" s="2"/>
      <c r="AB756" s="2"/>
      <c r="AC756" s="2"/>
      <c r="AF756" s="24"/>
    </row>
    <row r="757">
      <c r="A757" s="11"/>
      <c r="B757" s="23"/>
      <c r="C757" s="23"/>
      <c r="D757" s="23"/>
      <c r="E757" s="23"/>
      <c r="F757" s="1"/>
      <c r="G757" s="23"/>
      <c r="H757" s="23"/>
      <c r="I757" s="23"/>
      <c r="J757" s="2"/>
      <c r="M757" s="40"/>
      <c r="N757" s="40"/>
      <c r="O757" s="2"/>
      <c r="P757" s="2"/>
      <c r="Q757" s="2"/>
      <c r="S757" s="2"/>
      <c r="T757" s="2"/>
      <c r="V757" s="2"/>
      <c r="W757" s="2"/>
      <c r="Y757" s="2"/>
      <c r="Z757" s="2"/>
      <c r="AB757" s="2"/>
      <c r="AC757" s="2"/>
      <c r="AF757" s="24"/>
    </row>
    <row r="758">
      <c r="A758" s="11"/>
      <c r="B758" s="23"/>
      <c r="C758" s="23"/>
      <c r="D758" s="23"/>
      <c r="E758" s="23"/>
      <c r="F758" s="1"/>
      <c r="G758" s="23"/>
      <c r="H758" s="23"/>
      <c r="I758" s="23"/>
      <c r="J758" s="2"/>
      <c r="M758" s="40"/>
      <c r="N758" s="40"/>
      <c r="O758" s="2"/>
      <c r="P758" s="2"/>
      <c r="Q758" s="2"/>
      <c r="S758" s="2"/>
      <c r="T758" s="2"/>
      <c r="V758" s="2"/>
      <c r="W758" s="2"/>
      <c r="Y758" s="2"/>
      <c r="Z758" s="2"/>
      <c r="AB758" s="2"/>
      <c r="AC758" s="2"/>
      <c r="AF758" s="24"/>
    </row>
    <row r="759">
      <c r="A759" s="11"/>
      <c r="B759" s="23"/>
      <c r="C759" s="23"/>
      <c r="D759" s="23"/>
      <c r="E759" s="23"/>
      <c r="F759" s="1"/>
      <c r="G759" s="23"/>
      <c r="H759" s="23"/>
      <c r="I759" s="23"/>
      <c r="J759" s="2"/>
      <c r="M759" s="40"/>
      <c r="N759" s="40"/>
      <c r="O759" s="2"/>
      <c r="P759" s="2"/>
      <c r="Q759" s="2"/>
      <c r="S759" s="2"/>
      <c r="T759" s="2"/>
      <c r="V759" s="2"/>
      <c r="W759" s="2"/>
      <c r="Y759" s="2"/>
      <c r="Z759" s="2"/>
      <c r="AB759" s="2"/>
      <c r="AC759" s="2"/>
      <c r="AF759" s="24"/>
    </row>
    <row r="760">
      <c r="A760" s="11"/>
      <c r="B760" s="23"/>
      <c r="C760" s="23"/>
      <c r="D760" s="23"/>
      <c r="E760" s="23"/>
      <c r="F760" s="1"/>
      <c r="G760" s="23"/>
      <c r="H760" s="23"/>
      <c r="I760" s="23"/>
      <c r="J760" s="2"/>
      <c r="M760" s="40"/>
      <c r="N760" s="40"/>
      <c r="O760" s="2"/>
      <c r="P760" s="2"/>
      <c r="Q760" s="2"/>
      <c r="S760" s="2"/>
      <c r="T760" s="2"/>
      <c r="V760" s="2"/>
      <c r="W760" s="2"/>
      <c r="Y760" s="2"/>
      <c r="Z760" s="2"/>
      <c r="AB760" s="2"/>
      <c r="AC760" s="2"/>
      <c r="AF760" s="24"/>
    </row>
    <row r="761">
      <c r="A761" s="11"/>
      <c r="B761" s="23"/>
      <c r="C761" s="23"/>
      <c r="D761" s="23"/>
      <c r="E761" s="23"/>
      <c r="F761" s="1"/>
      <c r="G761" s="23"/>
      <c r="H761" s="23"/>
      <c r="I761" s="23"/>
      <c r="J761" s="2"/>
      <c r="M761" s="40"/>
      <c r="N761" s="40"/>
      <c r="O761" s="2"/>
      <c r="P761" s="2"/>
      <c r="Q761" s="2"/>
      <c r="S761" s="2"/>
      <c r="T761" s="2"/>
      <c r="V761" s="2"/>
      <c r="W761" s="2"/>
      <c r="Y761" s="2"/>
      <c r="Z761" s="2"/>
      <c r="AB761" s="2"/>
      <c r="AC761" s="2"/>
      <c r="AF761" s="24"/>
    </row>
    <row r="762">
      <c r="A762" s="11"/>
      <c r="B762" s="23"/>
      <c r="C762" s="23"/>
      <c r="D762" s="23"/>
      <c r="E762" s="23"/>
      <c r="F762" s="1"/>
      <c r="G762" s="23"/>
      <c r="H762" s="23"/>
      <c r="I762" s="23"/>
      <c r="J762" s="2"/>
      <c r="M762" s="40"/>
      <c r="N762" s="40"/>
      <c r="O762" s="2"/>
      <c r="P762" s="2"/>
      <c r="Q762" s="2"/>
      <c r="S762" s="2"/>
      <c r="T762" s="2"/>
      <c r="V762" s="2"/>
      <c r="W762" s="2"/>
      <c r="Y762" s="2"/>
      <c r="Z762" s="2"/>
      <c r="AB762" s="2"/>
      <c r="AC762" s="2"/>
      <c r="AF762" s="24"/>
    </row>
    <row r="763">
      <c r="A763" s="11"/>
      <c r="B763" s="23"/>
      <c r="C763" s="23"/>
      <c r="D763" s="23"/>
      <c r="E763" s="23"/>
      <c r="F763" s="1"/>
      <c r="G763" s="23"/>
      <c r="H763" s="23"/>
      <c r="I763" s="23"/>
      <c r="J763" s="2"/>
      <c r="M763" s="40"/>
      <c r="N763" s="40"/>
      <c r="O763" s="2"/>
      <c r="P763" s="2"/>
      <c r="Q763" s="2"/>
      <c r="S763" s="2"/>
      <c r="T763" s="2"/>
      <c r="V763" s="2"/>
      <c r="W763" s="2"/>
      <c r="Y763" s="2"/>
      <c r="Z763" s="2"/>
      <c r="AB763" s="2"/>
      <c r="AC763" s="2"/>
      <c r="AF763" s="24"/>
    </row>
    <row r="764">
      <c r="A764" s="11"/>
      <c r="B764" s="23"/>
      <c r="C764" s="23"/>
      <c r="D764" s="23"/>
      <c r="E764" s="23"/>
      <c r="F764" s="1"/>
      <c r="G764" s="23"/>
      <c r="H764" s="23"/>
      <c r="I764" s="23"/>
      <c r="J764" s="2"/>
      <c r="M764" s="40"/>
      <c r="N764" s="40"/>
      <c r="O764" s="2"/>
      <c r="P764" s="2"/>
      <c r="Q764" s="2"/>
      <c r="S764" s="2"/>
      <c r="T764" s="2"/>
      <c r="V764" s="2"/>
      <c r="W764" s="2"/>
      <c r="Y764" s="2"/>
      <c r="Z764" s="2"/>
      <c r="AB764" s="2"/>
      <c r="AC764" s="2"/>
      <c r="AF764" s="24"/>
    </row>
    <row r="765">
      <c r="A765" s="11"/>
      <c r="B765" s="23"/>
      <c r="C765" s="23"/>
      <c r="D765" s="23"/>
      <c r="E765" s="23"/>
      <c r="F765" s="1"/>
      <c r="G765" s="23"/>
      <c r="H765" s="23"/>
      <c r="I765" s="23"/>
      <c r="J765" s="2"/>
      <c r="M765" s="40"/>
      <c r="N765" s="40"/>
      <c r="O765" s="2"/>
      <c r="P765" s="2"/>
      <c r="Q765" s="2"/>
      <c r="S765" s="2"/>
      <c r="T765" s="2"/>
      <c r="V765" s="2"/>
      <c r="W765" s="2"/>
      <c r="Y765" s="2"/>
      <c r="Z765" s="2"/>
      <c r="AB765" s="2"/>
      <c r="AC765" s="2"/>
      <c r="AF765" s="24"/>
    </row>
    <row r="766">
      <c r="A766" s="11"/>
      <c r="B766" s="23"/>
      <c r="C766" s="23"/>
      <c r="D766" s="23"/>
      <c r="E766" s="23"/>
      <c r="F766" s="1"/>
      <c r="G766" s="23"/>
      <c r="H766" s="23"/>
      <c r="I766" s="23"/>
      <c r="J766" s="2"/>
      <c r="M766" s="40"/>
      <c r="N766" s="40"/>
      <c r="O766" s="2"/>
      <c r="P766" s="2"/>
      <c r="Q766" s="2"/>
      <c r="S766" s="2"/>
      <c r="T766" s="2"/>
      <c r="V766" s="2"/>
      <c r="W766" s="2"/>
      <c r="Y766" s="2"/>
      <c r="Z766" s="2"/>
      <c r="AB766" s="2"/>
      <c r="AC766" s="2"/>
      <c r="AF766" s="24"/>
    </row>
    <row r="767">
      <c r="A767" s="11"/>
      <c r="B767" s="23"/>
      <c r="C767" s="23"/>
      <c r="D767" s="23"/>
      <c r="E767" s="23"/>
      <c r="F767" s="1"/>
      <c r="G767" s="23"/>
      <c r="H767" s="23"/>
      <c r="I767" s="23"/>
      <c r="J767" s="2"/>
      <c r="M767" s="40"/>
      <c r="N767" s="40"/>
      <c r="O767" s="2"/>
      <c r="P767" s="2"/>
      <c r="Q767" s="2"/>
      <c r="S767" s="2"/>
      <c r="T767" s="2"/>
      <c r="V767" s="2"/>
      <c r="W767" s="2"/>
      <c r="Y767" s="2"/>
      <c r="Z767" s="2"/>
      <c r="AB767" s="2"/>
      <c r="AC767" s="2"/>
      <c r="AF767" s="24"/>
    </row>
    <row r="768">
      <c r="A768" s="11"/>
      <c r="B768" s="23"/>
      <c r="C768" s="23"/>
      <c r="D768" s="23"/>
      <c r="E768" s="23"/>
      <c r="F768" s="1"/>
      <c r="G768" s="23"/>
      <c r="H768" s="23"/>
      <c r="I768" s="23"/>
      <c r="J768" s="2"/>
      <c r="M768" s="40"/>
      <c r="N768" s="40"/>
      <c r="O768" s="2"/>
      <c r="P768" s="2"/>
      <c r="Q768" s="2"/>
      <c r="S768" s="2"/>
      <c r="T768" s="2"/>
      <c r="V768" s="2"/>
      <c r="W768" s="2"/>
      <c r="Y768" s="2"/>
      <c r="Z768" s="2"/>
      <c r="AB768" s="2"/>
      <c r="AC768" s="2"/>
      <c r="AF768" s="24"/>
    </row>
    <row r="769">
      <c r="A769" s="11"/>
      <c r="B769" s="23"/>
      <c r="C769" s="23"/>
      <c r="D769" s="23"/>
      <c r="E769" s="23"/>
      <c r="F769" s="1"/>
      <c r="G769" s="23"/>
      <c r="H769" s="23"/>
      <c r="I769" s="23"/>
      <c r="J769" s="2"/>
      <c r="M769" s="40"/>
      <c r="N769" s="40"/>
      <c r="O769" s="2"/>
      <c r="P769" s="2"/>
      <c r="Q769" s="2"/>
      <c r="S769" s="2"/>
      <c r="T769" s="2"/>
      <c r="V769" s="2"/>
      <c r="W769" s="2"/>
      <c r="Y769" s="2"/>
      <c r="Z769" s="2"/>
      <c r="AB769" s="2"/>
      <c r="AC769" s="2"/>
      <c r="AF769" s="24"/>
    </row>
    <row r="770">
      <c r="A770" s="11"/>
      <c r="B770" s="23"/>
      <c r="C770" s="23"/>
      <c r="D770" s="23"/>
      <c r="E770" s="23"/>
      <c r="F770" s="1"/>
      <c r="G770" s="23"/>
      <c r="H770" s="23"/>
      <c r="I770" s="23"/>
      <c r="J770" s="2"/>
      <c r="M770" s="40"/>
      <c r="N770" s="40"/>
      <c r="O770" s="2"/>
      <c r="P770" s="2"/>
      <c r="Q770" s="2"/>
      <c r="S770" s="2"/>
      <c r="T770" s="2"/>
      <c r="V770" s="2"/>
      <c r="W770" s="2"/>
      <c r="Y770" s="2"/>
      <c r="Z770" s="2"/>
      <c r="AB770" s="2"/>
      <c r="AC770" s="2"/>
      <c r="AF770" s="24"/>
    </row>
    <row r="771">
      <c r="A771" s="11"/>
      <c r="B771" s="23"/>
      <c r="C771" s="23"/>
      <c r="D771" s="23"/>
      <c r="E771" s="23"/>
      <c r="F771" s="1"/>
      <c r="G771" s="23"/>
      <c r="H771" s="23"/>
      <c r="I771" s="23"/>
      <c r="J771" s="2"/>
      <c r="M771" s="40"/>
      <c r="N771" s="40"/>
      <c r="O771" s="2"/>
      <c r="P771" s="2"/>
      <c r="Q771" s="2"/>
      <c r="S771" s="2"/>
      <c r="T771" s="2"/>
      <c r="V771" s="2"/>
      <c r="W771" s="2"/>
      <c r="Y771" s="2"/>
      <c r="Z771" s="2"/>
      <c r="AB771" s="2"/>
      <c r="AC771" s="2"/>
      <c r="AF771" s="24"/>
    </row>
    <row r="772">
      <c r="A772" s="11"/>
      <c r="B772" s="23"/>
      <c r="C772" s="23"/>
      <c r="D772" s="23"/>
      <c r="E772" s="23"/>
      <c r="F772" s="1"/>
      <c r="G772" s="23"/>
      <c r="H772" s="23"/>
      <c r="I772" s="23"/>
      <c r="J772" s="2"/>
      <c r="M772" s="40"/>
      <c r="N772" s="40"/>
      <c r="O772" s="2"/>
      <c r="P772" s="2"/>
      <c r="Q772" s="2"/>
      <c r="S772" s="2"/>
      <c r="T772" s="2"/>
      <c r="V772" s="2"/>
      <c r="W772" s="2"/>
      <c r="Y772" s="2"/>
      <c r="Z772" s="2"/>
      <c r="AB772" s="2"/>
      <c r="AC772" s="2"/>
      <c r="AF772" s="24"/>
    </row>
    <row r="773">
      <c r="A773" s="11"/>
      <c r="B773" s="23"/>
      <c r="C773" s="23"/>
      <c r="D773" s="23"/>
      <c r="E773" s="23"/>
      <c r="F773" s="1"/>
      <c r="G773" s="23"/>
      <c r="H773" s="23"/>
      <c r="I773" s="23"/>
      <c r="J773" s="2"/>
      <c r="M773" s="40"/>
      <c r="N773" s="40"/>
      <c r="O773" s="2"/>
      <c r="P773" s="2"/>
      <c r="Q773" s="2"/>
      <c r="S773" s="2"/>
      <c r="T773" s="2"/>
      <c r="V773" s="2"/>
      <c r="W773" s="2"/>
      <c r="Y773" s="2"/>
      <c r="Z773" s="2"/>
      <c r="AB773" s="2"/>
      <c r="AC773" s="2"/>
      <c r="AF773" s="24"/>
    </row>
    <row r="774">
      <c r="A774" s="11"/>
      <c r="B774" s="23"/>
      <c r="C774" s="23"/>
      <c r="D774" s="23"/>
      <c r="E774" s="23"/>
      <c r="F774" s="1"/>
      <c r="G774" s="23"/>
      <c r="H774" s="23"/>
      <c r="I774" s="23"/>
      <c r="J774" s="2"/>
      <c r="M774" s="40"/>
      <c r="N774" s="40"/>
      <c r="O774" s="2"/>
      <c r="P774" s="2"/>
      <c r="Q774" s="2"/>
      <c r="S774" s="2"/>
      <c r="T774" s="2"/>
      <c r="V774" s="2"/>
      <c r="W774" s="2"/>
      <c r="Y774" s="2"/>
      <c r="Z774" s="2"/>
      <c r="AB774" s="2"/>
      <c r="AC774" s="2"/>
      <c r="AF774" s="24"/>
    </row>
    <row r="775">
      <c r="A775" s="11"/>
      <c r="B775" s="23"/>
      <c r="C775" s="23"/>
      <c r="D775" s="23"/>
      <c r="E775" s="23"/>
      <c r="F775" s="1"/>
      <c r="G775" s="23"/>
      <c r="H775" s="23"/>
      <c r="I775" s="23"/>
      <c r="J775" s="2"/>
      <c r="M775" s="40"/>
      <c r="N775" s="40"/>
      <c r="O775" s="2"/>
      <c r="P775" s="2"/>
      <c r="Q775" s="2"/>
      <c r="S775" s="2"/>
      <c r="T775" s="2"/>
      <c r="V775" s="2"/>
      <c r="W775" s="2"/>
      <c r="Y775" s="2"/>
      <c r="Z775" s="2"/>
      <c r="AB775" s="2"/>
      <c r="AC775" s="2"/>
      <c r="AF775" s="24"/>
    </row>
    <row r="776">
      <c r="A776" s="11"/>
      <c r="B776" s="23"/>
      <c r="C776" s="23"/>
      <c r="D776" s="23"/>
      <c r="E776" s="23"/>
      <c r="F776" s="1"/>
      <c r="G776" s="23"/>
      <c r="H776" s="23"/>
      <c r="I776" s="23"/>
      <c r="J776" s="2"/>
      <c r="M776" s="40"/>
      <c r="N776" s="40"/>
      <c r="O776" s="2"/>
      <c r="P776" s="2"/>
      <c r="Q776" s="2"/>
      <c r="S776" s="2"/>
      <c r="T776" s="2"/>
      <c r="V776" s="2"/>
      <c r="W776" s="2"/>
      <c r="Y776" s="2"/>
      <c r="Z776" s="2"/>
      <c r="AB776" s="2"/>
      <c r="AC776" s="2"/>
      <c r="AF776" s="24"/>
    </row>
    <row r="777">
      <c r="A777" s="11"/>
      <c r="B777" s="23"/>
      <c r="C777" s="23"/>
      <c r="D777" s="23"/>
      <c r="E777" s="23"/>
      <c r="F777" s="1"/>
      <c r="G777" s="23"/>
      <c r="H777" s="23"/>
      <c r="I777" s="23"/>
      <c r="J777" s="2"/>
      <c r="M777" s="40"/>
      <c r="N777" s="40"/>
      <c r="O777" s="2"/>
      <c r="P777" s="2"/>
      <c r="Q777" s="2"/>
      <c r="S777" s="2"/>
      <c r="T777" s="2"/>
      <c r="V777" s="2"/>
      <c r="W777" s="2"/>
      <c r="Y777" s="2"/>
      <c r="Z777" s="2"/>
      <c r="AB777" s="2"/>
      <c r="AC777" s="2"/>
      <c r="AF777" s="24"/>
    </row>
    <row r="778">
      <c r="A778" s="11"/>
      <c r="B778" s="23"/>
      <c r="C778" s="23"/>
      <c r="D778" s="23"/>
      <c r="E778" s="23"/>
      <c r="F778" s="1"/>
      <c r="G778" s="23"/>
      <c r="H778" s="23"/>
      <c r="I778" s="23"/>
      <c r="J778" s="2"/>
      <c r="M778" s="40"/>
      <c r="N778" s="40"/>
      <c r="O778" s="2"/>
      <c r="P778" s="2"/>
      <c r="Q778" s="2"/>
      <c r="S778" s="2"/>
      <c r="T778" s="2"/>
      <c r="V778" s="2"/>
      <c r="W778" s="2"/>
      <c r="Y778" s="2"/>
      <c r="Z778" s="2"/>
      <c r="AB778" s="2"/>
      <c r="AC778" s="2"/>
      <c r="AF778" s="24"/>
    </row>
    <row r="779">
      <c r="A779" s="11"/>
      <c r="B779" s="23"/>
      <c r="C779" s="23"/>
      <c r="D779" s="23"/>
      <c r="E779" s="23"/>
      <c r="F779" s="1"/>
      <c r="G779" s="23"/>
      <c r="H779" s="23"/>
      <c r="I779" s="23"/>
      <c r="J779" s="2"/>
      <c r="M779" s="40"/>
      <c r="N779" s="40"/>
      <c r="O779" s="2"/>
      <c r="P779" s="2"/>
      <c r="Q779" s="2"/>
      <c r="S779" s="2"/>
      <c r="T779" s="2"/>
      <c r="V779" s="2"/>
      <c r="W779" s="2"/>
      <c r="Y779" s="2"/>
      <c r="Z779" s="2"/>
      <c r="AB779" s="2"/>
      <c r="AC779" s="2"/>
      <c r="AF779" s="24"/>
    </row>
    <row r="780">
      <c r="A780" s="11"/>
      <c r="B780" s="23"/>
      <c r="C780" s="23"/>
      <c r="D780" s="23"/>
      <c r="E780" s="23"/>
      <c r="F780" s="1"/>
      <c r="G780" s="23"/>
      <c r="H780" s="23"/>
      <c r="I780" s="23"/>
      <c r="J780" s="2"/>
      <c r="M780" s="40"/>
      <c r="N780" s="40"/>
      <c r="O780" s="2"/>
      <c r="P780" s="2"/>
      <c r="Q780" s="2"/>
      <c r="S780" s="2"/>
      <c r="T780" s="2"/>
      <c r="V780" s="2"/>
      <c r="W780" s="2"/>
      <c r="Y780" s="2"/>
      <c r="Z780" s="2"/>
      <c r="AB780" s="2"/>
      <c r="AC780" s="2"/>
      <c r="AF780" s="24"/>
    </row>
    <row r="781">
      <c r="A781" s="11"/>
      <c r="B781" s="23"/>
      <c r="C781" s="23"/>
      <c r="D781" s="23"/>
      <c r="E781" s="23"/>
      <c r="F781" s="1"/>
      <c r="G781" s="23"/>
      <c r="H781" s="23"/>
      <c r="I781" s="23"/>
      <c r="J781" s="2"/>
      <c r="M781" s="40"/>
      <c r="N781" s="40"/>
      <c r="O781" s="2"/>
      <c r="P781" s="2"/>
      <c r="Q781" s="2"/>
      <c r="S781" s="2"/>
      <c r="T781" s="2"/>
      <c r="V781" s="2"/>
      <c r="W781" s="2"/>
      <c r="Y781" s="2"/>
      <c r="Z781" s="2"/>
      <c r="AB781" s="2"/>
      <c r="AC781" s="2"/>
      <c r="AF781" s="24"/>
    </row>
    <row r="782">
      <c r="A782" s="11"/>
      <c r="B782" s="23"/>
      <c r="C782" s="23"/>
      <c r="D782" s="23"/>
      <c r="E782" s="23"/>
      <c r="F782" s="1"/>
      <c r="G782" s="23"/>
      <c r="H782" s="23"/>
      <c r="I782" s="23"/>
      <c r="J782" s="2"/>
      <c r="M782" s="40"/>
      <c r="N782" s="40"/>
      <c r="O782" s="2"/>
      <c r="P782" s="2"/>
      <c r="Q782" s="2"/>
      <c r="S782" s="2"/>
      <c r="T782" s="2"/>
      <c r="V782" s="2"/>
      <c r="W782" s="2"/>
      <c r="Y782" s="2"/>
      <c r="Z782" s="2"/>
      <c r="AB782" s="2"/>
      <c r="AC782" s="2"/>
      <c r="AF782" s="24"/>
    </row>
    <row r="783">
      <c r="A783" s="11"/>
      <c r="B783" s="23"/>
      <c r="C783" s="23"/>
      <c r="D783" s="23"/>
      <c r="E783" s="23"/>
      <c r="F783" s="1"/>
      <c r="G783" s="23"/>
      <c r="H783" s="23"/>
      <c r="I783" s="23"/>
      <c r="J783" s="2"/>
      <c r="M783" s="40"/>
      <c r="N783" s="40"/>
      <c r="O783" s="2"/>
      <c r="P783" s="2"/>
      <c r="Q783" s="2"/>
      <c r="S783" s="2"/>
      <c r="T783" s="2"/>
      <c r="V783" s="2"/>
      <c r="W783" s="2"/>
      <c r="Y783" s="2"/>
      <c r="Z783" s="2"/>
      <c r="AB783" s="2"/>
      <c r="AC783" s="2"/>
      <c r="AF783" s="24"/>
    </row>
    <row r="784">
      <c r="A784" s="11"/>
      <c r="B784" s="23"/>
      <c r="C784" s="23"/>
      <c r="D784" s="23"/>
      <c r="E784" s="23"/>
      <c r="F784" s="1"/>
      <c r="G784" s="23"/>
      <c r="H784" s="23"/>
      <c r="I784" s="23"/>
      <c r="J784" s="2"/>
      <c r="M784" s="40"/>
      <c r="N784" s="40"/>
      <c r="O784" s="2"/>
      <c r="P784" s="2"/>
      <c r="Q784" s="2"/>
      <c r="S784" s="2"/>
      <c r="T784" s="2"/>
      <c r="V784" s="2"/>
      <c r="W784" s="2"/>
      <c r="Y784" s="2"/>
      <c r="Z784" s="2"/>
      <c r="AB784" s="2"/>
      <c r="AC784" s="2"/>
      <c r="AF784" s="24"/>
    </row>
    <row r="785">
      <c r="A785" s="11"/>
      <c r="B785" s="23"/>
      <c r="C785" s="23"/>
      <c r="D785" s="23"/>
      <c r="E785" s="23"/>
      <c r="F785" s="1"/>
      <c r="G785" s="23"/>
      <c r="H785" s="23"/>
      <c r="I785" s="23"/>
      <c r="J785" s="2"/>
      <c r="M785" s="40"/>
      <c r="N785" s="40"/>
      <c r="O785" s="2"/>
      <c r="P785" s="2"/>
      <c r="Q785" s="2"/>
      <c r="S785" s="2"/>
      <c r="T785" s="2"/>
      <c r="V785" s="2"/>
      <c r="W785" s="2"/>
      <c r="Y785" s="2"/>
      <c r="Z785" s="2"/>
      <c r="AB785" s="2"/>
      <c r="AC785" s="2"/>
      <c r="AF785" s="24"/>
    </row>
    <row r="786">
      <c r="A786" s="11"/>
      <c r="B786" s="23"/>
      <c r="C786" s="23"/>
      <c r="D786" s="23"/>
      <c r="E786" s="23"/>
      <c r="F786" s="1"/>
      <c r="G786" s="23"/>
      <c r="H786" s="23"/>
      <c r="I786" s="23"/>
      <c r="J786" s="2"/>
      <c r="M786" s="40"/>
      <c r="N786" s="40"/>
      <c r="O786" s="2"/>
      <c r="P786" s="2"/>
      <c r="Q786" s="2"/>
      <c r="S786" s="2"/>
      <c r="T786" s="2"/>
      <c r="V786" s="2"/>
      <c r="W786" s="2"/>
      <c r="Y786" s="2"/>
      <c r="Z786" s="2"/>
      <c r="AB786" s="2"/>
      <c r="AC786" s="2"/>
      <c r="AF786" s="24"/>
    </row>
    <row r="787">
      <c r="A787" s="11"/>
      <c r="B787" s="23"/>
      <c r="C787" s="23"/>
      <c r="D787" s="23"/>
      <c r="E787" s="23"/>
      <c r="F787" s="1"/>
      <c r="G787" s="23"/>
      <c r="H787" s="23"/>
      <c r="I787" s="23"/>
      <c r="J787" s="2"/>
      <c r="M787" s="40"/>
      <c r="N787" s="40"/>
      <c r="O787" s="2"/>
      <c r="P787" s="2"/>
      <c r="Q787" s="2"/>
      <c r="S787" s="2"/>
      <c r="T787" s="2"/>
      <c r="V787" s="2"/>
      <c r="W787" s="2"/>
      <c r="Y787" s="2"/>
      <c r="Z787" s="2"/>
      <c r="AB787" s="2"/>
      <c r="AC787" s="2"/>
      <c r="AF787" s="24"/>
    </row>
    <row r="788">
      <c r="A788" s="11"/>
      <c r="B788" s="23"/>
      <c r="C788" s="23"/>
      <c r="D788" s="23"/>
      <c r="E788" s="23"/>
      <c r="F788" s="1"/>
      <c r="G788" s="23"/>
      <c r="H788" s="23"/>
      <c r="I788" s="23"/>
      <c r="J788" s="2"/>
      <c r="M788" s="40"/>
      <c r="N788" s="40"/>
      <c r="O788" s="2"/>
      <c r="P788" s="2"/>
      <c r="Q788" s="2"/>
      <c r="S788" s="2"/>
      <c r="T788" s="2"/>
      <c r="V788" s="2"/>
      <c r="W788" s="2"/>
      <c r="Y788" s="2"/>
      <c r="Z788" s="2"/>
      <c r="AB788" s="2"/>
      <c r="AC788" s="2"/>
      <c r="AF788" s="24"/>
    </row>
    <row r="789">
      <c r="A789" s="11"/>
      <c r="B789" s="23"/>
      <c r="C789" s="23"/>
      <c r="D789" s="23"/>
      <c r="E789" s="23"/>
      <c r="F789" s="1"/>
      <c r="G789" s="23"/>
      <c r="H789" s="23"/>
      <c r="I789" s="23"/>
      <c r="J789" s="2"/>
      <c r="M789" s="40"/>
      <c r="N789" s="40"/>
      <c r="O789" s="2"/>
      <c r="P789" s="2"/>
      <c r="Q789" s="2"/>
      <c r="S789" s="2"/>
      <c r="T789" s="2"/>
      <c r="V789" s="2"/>
      <c r="W789" s="2"/>
      <c r="Y789" s="2"/>
      <c r="Z789" s="2"/>
      <c r="AB789" s="2"/>
      <c r="AC789" s="2"/>
      <c r="AF789" s="24"/>
    </row>
    <row r="790">
      <c r="A790" s="11"/>
      <c r="B790" s="23"/>
      <c r="C790" s="23"/>
      <c r="D790" s="23"/>
      <c r="E790" s="23"/>
      <c r="F790" s="1"/>
      <c r="G790" s="23"/>
      <c r="H790" s="23"/>
      <c r="I790" s="23"/>
      <c r="J790" s="2"/>
      <c r="M790" s="40"/>
      <c r="N790" s="40"/>
      <c r="O790" s="2"/>
      <c r="P790" s="2"/>
      <c r="Q790" s="2"/>
      <c r="S790" s="2"/>
      <c r="T790" s="2"/>
      <c r="V790" s="2"/>
      <c r="W790" s="2"/>
      <c r="Y790" s="2"/>
      <c r="Z790" s="2"/>
      <c r="AB790" s="2"/>
      <c r="AC790" s="2"/>
      <c r="AF790" s="24"/>
    </row>
    <row r="791">
      <c r="A791" s="11"/>
      <c r="B791" s="23"/>
      <c r="C791" s="23"/>
      <c r="D791" s="23"/>
      <c r="E791" s="23"/>
      <c r="F791" s="1"/>
      <c r="G791" s="23"/>
      <c r="H791" s="23"/>
      <c r="I791" s="23"/>
      <c r="J791" s="2"/>
      <c r="M791" s="40"/>
      <c r="N791" s="40"/>
      <c r="O791" s="2"/>
      <c r="P791" s="2"/>
      <c r="Q791" s="2"/>
      <c r="S791" s="2"/>
      <c r="T791" s="2"/>
      <c r="V791" s="2"/>
      <c r="W791" s="2"/>
      <c r="Y791" s="2"/>
      <c r="Z791" s="2"/>
      <c r="AB791" s="2"/>
      <c r="AC791" s="2"/>
      <c r="AF791" s="24"/>
    </row>
    <row r="792">
      <c r="A792" s="11"/>
      <c r="B792" s="23"/>
      <c r="C792" s="23"/>
      <c r="D792" s="23"/>
      <c r="E792" s="23"/>
      <c r="F792" s="1"/>
      <c r="G792" s="23"/>
      <c r="H792" s="23"/>
      <c r="I792" s="23"/>
      <c r="J792" s="2"/>
      <c r="M792" s="40"/>
      <c r="N792" s="40"/>
      <c r="O792" s="2"/>
      <c r="P792" s="2"/>
      <c r="Q792" s="2"/>
      <c r="S792" s="2"/>
      <c r="T792" s="2"/>
      <c r="V792" s="2"/>
      <c r="W792" s="2"/>
      <c r="Y792" s="2"/>
      <c r="Z792" s="2"/>
      <c r="AB792" s="2"/>
      <c r="AC792" s="2"/>
      <c r="AF792" s="24"/>
    </row>
    <row r="793">
      <c r="A793" s="11"/>
      <c r="B793" s="23"/>
      <c r="C793" s="23"/>
      <c r="D793" s="23"/>
      <c r="E793" s="23"/>
      <c r="F793" s="1"/>
      <c r="G793" s="23"/>
      <c r="H793" s="23"/>
      <c r="I793" s="23"/>
      <c r="J793" s="2"/>
      <c r="M793" s="40"/>
      <c r="N793" s="40"/>
      <c r="O793" s="2"/>
      <c r="P793" s="2"/>
      <c r="Q793" s="2"/>
      <c r="S793" s="2"/>
      <c r="T793" s="2"/>
      <c r="V793" s="2"/>
      <c r="W793" s="2"/>
      <c r="Y793" s="2"/>
      <c r="Z793" s="2"/>
      <c r="AB793" s="2"/>
      <c r="AC793" s="2"/>
      <c r="AF793" s="24"/>
    </row>
    <row r="794">
      <c r="A794" s="11"/>
      <c r="B794" s="23"/>
      <c r="C794" s="23"/>
      <c r="D794" s="23"/>
      <c r="E794" s="23"/>
      <c r="F794" s="1"/>
      <c r="G794" s="23"/>
      <c r="H794" s="23"/>
      <c r="I794" s="23"/>
      <c r="J794" s="2"/>
      <c r="M794" s="40"/>
      <c r="N794" s="40"/>
      <c r="O794" s="2"/>
      <c r="P794" s="2"/>
      <c r="Q794" s="2"/>
      <c r="S794" s="2"/>
      <c r="T794" s="2"/>
      <c r="V794" s="2"/>
      <c r="W794" s="2"/>
      <c r="Y794" s="2"/>
      <c r="Z794" s="2"/>
      <c r="AB794" s="2"/>
      <c r="AC794" s="2"/>
      <c r="AF794" s="24"/>
    </row>
    <row r="795">
      <c r="A795" s="11"/>
      <c r="B795" s="23"/>
      <c r="C795" s="23"/>
      <c r="D795" s="23"/>
      <c r="E795" s="23"/>
      <c r="F795" s="1"/>
      <c r="G795" s="23"/>
      <c r="H795" s="23"/>
      <c r="I795" s="23"/>
      <c r="J795" s="2"/>
      <c r="M795" s="40"/>
      <c r="N795" s="40"/>
      <c r="O795" s="2"/>
      <c r="P795" s="2"/>
      <c r="Q795" s="2"/>
      <c r="S795" s="2"/>
      <c r="T795" s="2"/>
      <c r="V795" s="2"/>
      <c r="W795" s="2"/>
      <c r="Y795" s="2"/>
      <c r="Z795" s="2"/>
      <c r="AB795" s="2"/>
      <c r="AC795" s="2"/>
      <c r="AF795" s="24"/>
    </row>
    <row r="796">
      <c r="A796" s="11"/>
      <c r="B796" s="23"/>
      <c r="C796" s="23"/>
      <c r="D796" s="23"/>
      <c r="E796" s="23"/>
      <c r="F796" s="1"/>
      <c r="G796" s="23"/>
      <c r="H796" s="23"/>
      <c r="I796" s="23"/>
      <c r="J796" s="2"/>
      <c r="M796" s="40"/>
      <c r="N796" s="40"/>
      <c r="O796" s="2"/>
      <c r="P796" s="2"/>
      <c r="Q796" s="2"/>
      <c r="S796" s="2"/>
      <c r="T796" s="2"/>
      <c r="V796" s="2"/>
      <c r="W796" s="2"/>
      <c r="Y796" s="2"/>
      <c r="Z796" s="2"/>
      <c r="AB796" s="2"/>
      <c r="AC796" s="2"/>
      <c r="AF796" s="24"/>
    </row>
    <row r="797">
      <c r="A797" s="11"/>
      <c r="B797" s="23"/>
      <c r="C797" s="23"/>
      <c r="D797" s="23"/>
      <c r="E797" s="23"/>
      <c r="F797" s="1"/>
      <c r="G797" s="23"/>
      <c r="H797" s="23"/>
      <c r="I797" s="23"/>
      <c r="J797" s="2"/>
      <c r="M797" s="40"/>
      <c r="N797" s="40"/>
      <c r="O797" s="2"/>
      <c r="P797" s="2"/>
      <c r="Q797" s="2"/>
      <c r="S797" s="2"/>
      <c r="T797" s="2"/>
      <c r="V797" s="2"/>
      <c r="W797" s="2"/>
      <c r="Y797" s="2"/>
      <c r="Z797" s="2"/>
      <c r="AB797" s="2"/>
      <c r="AC797" s="2"/>
      <c r="AF797" s="24"/>
    </row>
    <row r="798">
      <c r="A798" s="11"/>
      <c r="B798" s="23"/>
      <c r="C798" s="23"/>
      <c r="D798" s="23"/>
      <c r="E798" s="23"/>
      <c r="F798" s="1"/>
      <c r="G798" s="23"/>
      <c r="H798" s="23"/>
      <c r="I798" s="23"/>
      <c r="J798" s="2"/>
      <c r="M798" s="40"/>
      <c r="N798" s="40"/>
      <c r="O798" s="2"/>
      <c r="P798" s="2"/>
      <c r="Q798" s="2"/>
      <c r="S798" s="2"/>
      <c r="T798" s="2"/>
      <c r="V798" s="2"/>
      <c r="W798" s="2"/>
      <c r="Y798" s="2"/>
      <c r="Z798" s="2"/>
      <c r="AB798" s="2"/>
      <c r="AC798" s="2"/>
      <c r="AF798" s="24"/>
    </row>
    <row r="799">
      <c r="A799" s="11"/>
      <c r="B799" s="23"/>
      <c r="C799" s="23"/>
      <c r="D799" s="23"/>
      <c r="E799" s="23"/>
      <c r="F799" s="1"/>
      <c r="G799" s="23"/>
      <c r="H799" s="23"/>
      <c r="I799" s="23"/>
      <c r="J799" s="2"/>
      <c r="M799" s="40"/>
      <c r="N799" s="40"/>
      <c r="O799" s="2"/>
      <c r="P799" s="2"/>
      <c r="Q799" s="2"/>
      <c r="S799" s="2"/>
      <c r="T799" s="2"/>
      <c r="V799" s="2"/>
      <c r="W799" s="2"/>
      <c r="Y799" s="2"/>
      <c r="Z799" s="2"/>
      <c r="AB799" s="2"/>
      <c r="AC799" s="2"/>
      <c r="AF799" s="24"/>
    </row>
    <row r="800">
      <c r="A800" s="11"/>
      <c r="B800" s="23"/>
      <c r="C800" s="23"/>
      <c r="D800" s="23"/>
      <c r="E800" s="23"/>
      <c r="F800" s="1"/>
      <c r="G800" s="23"/>
      <c r="H800" s="23"/>
      <c r="I800" s="23"/>
      <c r="J800" s="2"/>
      <c r="M800" s="40"/>
      <c r="N800" s="40"/>
      <c r="O800" s="2"/>
      <c r="P800" s="2"/>
      <c r="Q800" s="2"/>
      <c r="S800" s="2"/>
      <c r="T800" s="2"/>
      <c r="V800" s="2"/>
      <c r="W800" s="2"/>
      <c r="Y800" s="2"/>
      <c r="Z800" s="2"/>
      <c r="AB800" s="2"/>
      <c r="AC800" s="2"/>
      <c r="AF800" s="24"/>
    </row>
    <row r="801">
      <c r="A801" s="11"/>
      <c r="B801" s="23"/>
      <c r="C801" s="23"/>
      <c r="D801" s="23"/>
      <c r="E801" s="23"/>
      <c r="F801" s="1"/>
      <c r="G801" s="23"/>
      <c r="H801" s="23"/>
      <c r="I801" s="23"/>
      <c r="J801" s="2"/>
      <c r="M801" s="40"/>
      <c r="N801" s="40"/>
      <c r="O801" s="2"/>
      <c r="P801" s="2"/>
      <c r="Q801" s="2"/>
      <c r="S801" s="2"/>
      <c r="T801" s="2"/>
      <c r="V801" s="2"/>
      <c r="W801" s="2"/>
      <c r="Y801" s="2"/>
      <c r="Z801" s="2"/>
      <c r="AB801" s="2"/>
      <c r="AC801" s="2"/>
      <c r="AF801" s="24"/>
    </row>
    <row r="802">
      <c r="A802" s="11"/>
      <c r="B802" s="23"/>
      <c r="C802" s="23"/>
      <c r="D802" s="23"/>
      <c r="E802" s="23"/>
      <c r="F802" s="1"/>
      <c r="G802" s="23"/>
      <c r="H802" s="23"/>
      <c r="I802" s="23"/>
      <c r="J802" s="2"/>
      <c r="M802" s="40"/>
      <c r="N802" s="40"/>
      <c r="O802" s="2"/>
      <c r="P802" s="2"/>
      <c r="Q802" s="2"/>
      <c r="S802" s="2"/>
      <c r="T802" s="2"/>
      <c r="V802" s="2"/>
      <c r="W802" s="2"/>
      <c r="Y802" s="2"/>
      <c r="Z802" s="2"/>
      <c r="AB802" s="2"/>
      <c r="AC802" s="2"/>
      <c r="AF802" s="24"/>
    </row>
    <row r="803">
      <c r="A803" s="11"/>
      <c r="B803" s="23"/>
      <c r="C803" s="23"/>
      <c r="D803" s="23"/>
      <c r="E803" s="23"/>
      <c r="F803" s="1"/>
      <c r="G803" s="23"/>
      <c r="H803" s="23"/>
      <c r="I803" s="23"/>
      <c r="J803" s="2"/>
      <c r="M803" s="40"/>
      <c r="N803" s="40"/>
      <c r="O803" s="2"/>
      <c r="P803" s="2"/>
      <c r="Q803" s="2"/>
      <c r="S803" s="2"/>
      <c r="T803" s="2"/>
      <c r="V803" s="2"/>
      <c r="W803" s="2"/>
      <c r="Y803" s="2"/>
      <c r="Z803" s="2"/>
      <c r="AB803" s="2"/>
      <c r="AC803" s="2"/>
      <c r="AF803" s="24"/>
    </row>
    <row r="804">
      <c r="A804" s="11"/>
      <c r="B804" s="23"/>
      <c r="C804" s="23"/>
      <c r="D804" s="23"/>
      <c r="E804" s="23"/>
      <c r="F804" s="1"/>
      <c r="G804" s="23"/>
      <c r="H804" s="23"/>
      <c r="I804" s="23"/>
      <c r="J804" s="2"/>
      <c r="M804" s="40"/>
      <c r="N804" s="40"/>
      <c r="O804" s="2"/>
      <c r="P804" s="2"/>
      <c r="Q804" s="2"/>
      <c r="S804" s="2"/>
      <c r="T804" s="2"/>
      <c r="V804" s="2"/>
      <c r="W804" s="2"/>
      <c r="Y804" s="2"/>
      <c r="Z804" s="2"/>
      <c r="AB804" s="2"/>
      <c r="AC804" s="2"/>
      <c r="AF804" s="24"/>
    </row>
    <row r="805">
      <c r="A805" s="11"/>
      <c r="B805" s="23"/>
      <c r="C805" s="23"/>
      <c r="D805" s="23"/>
      <c r="E805" s="23"/>
      <c r="F805" s="1"/>
      <c r="G805" s="23"/>
      <c r="H805" s="23"/>
      <c r="I805" s="23"/>
      <c r="J805" s="2"/>
      <c r="M805" s="40"/>
      <c r="N805" s="40"/>
      <c r="O805" s="2"/>
      <c r="P805" s="2"/>
      <c r="Q805" s="2"/>
      <c r="S805" s="2"/>
      <c r="T805" s="2"/>
      <c r="V805" s="2"/>
      <c r="W805" s="2"/>
      <c r="Y805" s="2"/>
      <c r="Z805" s="2"/>
      <c r="AB805" s="2"/>
      <c r="AC805" s="2"/>
      <c r="AF805" s="24"/>
    </row>
    <row r="806">
      <c r="A806" s="11"/>
      <c r="B806" s="23"/>
      <c r="C806" s="23"/>
      <c r="D806" s="23"/>
      <c r="E806" s="23"/>
      <c r="F806" s="1"/>
      <c r="G806" s="23"/>
      <c r="H806" s="23"/>
      <c r="I806" s="23"/>
      <c r="J806" s="2"/>
      <c r="M806" s="40"/>
      <c r="N806" s="40"/>
      <c r="O806" s="2"/>
      <c r="P806" s="2"/>
      <c r="Q806" s="2"/>
      <c r="S806" s="2"/>
      <c r="T806" s="2"/>
      <c r="V806" s="2"/>
      <c r="W806" s="2"/>
      <c r="Y806" s="2"/>
      <c r="Z806" s="2"/>
      <c r="AB806" s="2"/>
      <c r="AC806" s="2"/>
      <c r="AF806" s="24"/>
    </row>
    <row r="807">
      <c r="A807" s="11"/>
      <c r="B807" s="23"/>
      <c r="C807" s="23"/>
      <c r="D807" s="23"/>
      <c r="E807" s="23"/>
      <c r="F807" s="1"/>
      <c r="G807" s="23"/>
      <c r="H807" s="23"/>
      <c r="I807" s="23"/>
      <c r="J807" s="2"/>
      <c r="M807" s="40"/>
      <c r="N807" s="40"/>
      <c r="O807" s="2"/>
      <c r="P807" s="2"/>
      <c r="Q807" s="2"/>
      <c r="S807" s="2"/>
      <c r="T807" s="2"/>
      <c r="V807" s="2"/>
      <c r="W807" s="2"/>
      <c r="Y807" s="2"/>
      <c r="Z807" s="2"/>
      <c r="AB807" s="2"/>
      <c r="AC807" s="2"/>
      <c r="AF807" s="24"/>
    </row>
    <row r="808">
      <c r="A808" s="11"/>
      <c r="B808" s="23"/>
      <c r="C808" s="23"/>
      <c r="D808" s="23"/>
      <c r="E808" s="23"/>
      <c r="F808" s="1"/>
      <c r="G808" s="23"/>
      <c r="H808" s="23"/>
      <c r="I808" s="23"/>
      <c r="J808" s="2"/>
      <c r="M808" s="40"/>
      <c r="N808" s="40"/>
      <c r="O808" s="2"/>
      <c r="P808" s="2"/>
      <c r="Q808" s="2"/>
      <c r="S808" s="2"/>
      <c r="T808" s="2"/>
      <c r="V808" s="2"/>
      <c r="W808" s="2"/>
      <c r="Y808" s="2"/>
      <c r="Z808" s="2"/>
      <c r="AB808" s="2"/>
      <c r="AC808" s="2"/>
      <c r="AF808" s="24"/>
    </row>
    <row r="809">
      <c r="A809" s="11"/>
      <c r="B809" s="23"/>
      <c r="C809" s="23"/>
      <c r="D809" s="23"/>
      <c r="E809" s="23"/>
      <c r="F809" s="1"/>
      <c r="G809" s="23"/>
      <c r="H809" s="23"/>
      <c r="I809" s="23"/>
      <c r="J809" s="2"/>
      <c r="M809" s="40"/>
      <c r="N809" s="40"/>
      <c r="O809" s="2"/>
      <c r="P809" s="2"/>
      <c r="Q809" s="2"/>
      <c r="S809" s="2"/>
      <c r="T809" s="2"/>
      <c r="V809" s="2"/>
      <c r="W809" s="2"/>
      <c r="Y809" s="2"/>
      <c r="Z809" s="2"/>
      <c r="AB809" s="2"/>
      <c r="AC809" s="2"/>
      <c r="AF809" s="24"/>
    </row>
    <row r="810">
      <c r="A810" s="11"/>
      <c r="B810" s="23"/>
      <c r="C810" s="23"/>
      <c r="D810" s="23"/>
      <c r="E810" s="23"/>
      <c r="F810" s="1"/>
      <c r="G810" s="23"/>
      <c r="H810" s="23"/>
      <c r="I810" s="23"/>
      <c r="J810" s="2"/>
      <c r="M810" s="40"/>
      <c r="N810" s="40"/>
      <c r="O810" s="2"/>
      <c r="P810" s="2"/>
      <c r="Q810" s="2"/>
      <c r="S810" s="2"/>
      <c r="T810" s="2"/>
      <c r="V810" s="2"/>
      <c r="W810" s="2"/>
      <c r="Y810" s="2"/>
      <c r="Z810" s="2"/>
      <c r="AB810" s="2"/>
      <c r="AC810" s="2"/>
      <c r="AF810" s="24"/>
    </row>
    <row r="811">
      <c r="A811" s="11"/>
      <c r="B811" s="23"/>
      <c r="C811" s="23"/>
      <c r="D811" s="23"/>
      <c r="E811" s="23"/>
      <c r="F811" s="1"/>
      <c r="G811" s="23"/>
      <c r="H811" s="23"/>
      <c r="I811" s="23"/>
      <c r="J811" s="2"/>
      <c r="M811" s="40"/>
      <c r="N811" s="40"/>
      <c r="O811" s="2"/>
      <c r="P811" s="2"/>
      <c r="Q811" s="2"/>
      <c r="S811" s="2"/>
      <c r="T811" s="2"/>
      <c r="V811" s="2"/>
      <c r="W811" s="2"/>
      <c r="Y811" s="2"/>
      <c r="Z811" s="2"/>
      <c r="AB811" s="2"/>
      <c r="AC811" s="2"/>
      <c r="AF811" s="24"/>
    </row>
    <row r="812">
      <c r="A812" s="11"/>
      <c r="B812" s="23"/>
      <c r="C812" s="23"/>
      <c r="D812" s="23"/>
      <c r="E812" s="23"/>
      <c r="F812" s="1"/>
      <c r="G812" s="23"/>
      <c r="H812" s="23"/>
      <c r="I812" s="23"/>
      <c r="J812" s="2"/>
      <c r="M812" s="40"/>
      <c r="N812" s="40"/>
      <c r="O812" s="2"/>
      <c r="P812" s="2"/>
      <c r="Q812" s="2"/>
      <c r="S812" s="2"/>
      <c r="T812" s="2"/>
      <c r="V812" s="2"/>
      <c r="W812" s="2"/>
      <c r="Y812" s="2"/>
      <c r="Z812" s="2"/>
      <c r="AB812" s="2"/>
      <c r="AC812" s="2"/>
      <c r="AF812" s="24"/>
    </row>
    <row r="813">
      <c r="A813" s="11"/>
      <c r="B813" s="23"/>
      <c r="C813" s="23"/>
      <c r="D813" s="23"/>
      <c r="E813" s="23"/>
      <c r="F813" s="1"/>
      <c r="G813" s="23"/>
      <c r="H813" s="23"/>
      <c r="I813" s="23"/>
      <c r="J813" s="2"/>
      <c r="M813" s="40"/>
      <c r="N813" s="40"/>
      <c r="O813" s="2"/>
      <c r="P813" s="2"/>
      <c r="Q813" s="2"/>
      <c r="S813" s="2"/>
      <c r="T813" s="2"/>
      <c r="V813" s="2"/>
      <c r="W813" s="2"/>
      <c r="Y813" s="2"/>
      <c r="Z813" s="2"/>
      <c r="AB813" s="2"/>
      <c r="AC813" s="2"/>
      <c r="AF813" s="24"/>
    </row>
    <row r="814">
      <c r="A814" s="11"/>
      <c r="B814" s="23"/>
      <c r="C814" s="23"/>
      <c r="D814" s="23"/>
      <c r="E814" s="23"/>
      <c r="F814" s="1"/>
      <c r="G814" s="23"/>
      <c r="H814" s="23"/>
      <c r="I814" s="23"/>
      <c r="J814" s="2"/>
      <c r="M814" s="40"/>
      <c r="N814" s="40"/>
      <c r="O814" s="2"/>
      <c r="P814" s="2"/>
      <c r="Q814" s="2"/>
      <c r="S814" s="2"/>
      <c r="T814" s="2"/>
      <c r="V814" s="2"/>
      <c r="W814" s="2"/>
      <c r="Y814" s="2"/>
      <c r="Z814" s="2"/>
      <c r="AB814" s="2"/>
      <c r="AC814" s="2"/>
      <c r="AF814" s="24"/>
    </row>
    <row r="815">
      <c r="A815" s="11"/>
      <c r="B815" s="23"/>
      <c r="C815" s="23"/>
      <c r="D815" s="23"/>
      <c r="E815" s="23"/>
      <c r="F815" s="1"/>
      <c r="G815" s="23"/>
      <c r="H815" s="23"/>
      <c r="I815" s="23"/>
      <c r="J815" s="2"/>
      <c r="M815" s="40"/>
      <c r="N815" s="40"/>
      <c r="O815" s="2"/>
      <c r="P815" s="2"/>
      <c r="Q815" s="2"/>
      <c r="S815" s="2"/>
      <c r="T815" s="2"/>
      <c r="V815" s="2"/>
      <c r="W815" s="2"/>
      <c r="Y815" s="2"/>
      <c r="Z815" s="2"/>
      <c r="AB815" s="2"/>
      <c r="AC815" s="2"/>
      <c r="AF815" s="24"/>
    </row>
    <row r="816">
      <c r="A816" s="11"/>
      <c r="B816" s="23"/>
      <c r="C816" s="23"/>
      <c r="D816" s="23"/>
      <c r="E816" s="23"/>
      <c r="F816" s="1"/>
      <c r="G816" s="23"/>
      <c r="H816" s="23"/>
      <c r="I816" s="23"/>
      <c r="J816" s="2"/>
      <c r="M816" s="40"/>
      <c r="N816" s="40"/>
      <c r="O816" s="2"/>
      <c r="P816" s="2"/>
      <c r="Q816" s="2"/>
      <c r="S816" s="2"/>
      <c r="T816" s="2"/>
      <c r="V816" s="2"/>
      <c r="W816" s="2"/>
      <c r="Y816" s="2"/>
      <c r="Z816" s="2"/>
      <c r="AB816" s="2"/>
      <c r="AC816" s="2"/>
      <c r="AF816" s="24"/>
    </row>
    <row r="817">
      <c r="A817" s="11"/>
      <c r="B817" s="23"/>
      <c r="C817" s="23"/>
      <c r="D817" s="23"/>
      <c r="E817" s="23"/>
      <c r="F817" s="1"/>
      <c r="G817" s="23"/>
      <c r="H817" s="23"/>
      <c r="I817" s="23"/>
      <c r="J817" s="2"/>
      <c r="M817" s="40"/>
      <c r="N817" s="40"/>
      <c r="O817" s="2"/>
      <c r="P817" s="2"/>
      <c r="Q817" s="2"/>
      <c r="S817" s="2"/>
      <c r="T817" s="2"/>
      <c r="V817" s="2"/>
      <c r="W817" s="2"/>
      <c r="Y817" s="2"/>
      <c r="Z817" s="2"/>
      <c r="AB817" s="2"/>
      <c r="AC817" s="2"/>
      <c r="AF817" s="24"/>
    </row>
    <row r="818">
      <c r="A818" s="11"/>
      <c r="B818" s="23"/>
      <c r="C818" s="23"/>
      <c r="D818" s="23"/>
      <c r="E818" s="23"/>
      <c r="F818" s="1"/>
      <c r="G818" s="23"/>
      <c r="H818" s="23"/>
      <c r="I818" s="23"/>
      <c r="J818" s="2"/>
      <c r="M818" s="40"/>
      <c r="N818" s="40"/>
      <c r="O818" s="2"/>
      <c r="P818" s="2"/>
      <c r="Q818" s="2"/>
      <c r="S818" s="2"/>
      <c r="T818" s="2"/>
      <c r="V818" s="2"/>
      <c r="W818" s="2"/>
      <c r="Y818" s="2"/>
      <c r="Z818" s="2"/>
      <c r="AB818" s="2"/>
      <c r="AC818" s="2"/>
      <c r="AF818" s="24"/>
    </row>
    <row r="819">
      <c r="A819" s="11"/>
      <c r="B819" s="23"/>
      <c r="C819" s="23"/>
      <c r="D819" s="23"/>
      <c r="E819" s="23"/>
      <c r="F819" s="1"/>
      <c r="G819" s="23"/>
      <c r="H819" s="23"/>
      <c r="I819" s="23"/>
      <c r="J819" s="2"/>
      <c r="M819" s="40"/>
      <c r="N819" s="40"/>
      <c r="O819" s="2"/>
      <c r="P819" s="2"/>
      <c r="Q819" s="2"/>
      <c r="S819" s="2"/>
      <c r="T819" s="2"/>
      <c r="V819" s="2"/>
      <c r="W819" s="2"/>
      <c r="Y819" s="2"/>
      <c r="Z819" s="2"/>
      <c r="AB819" s="2"/>
      <c r="AC819" s="2"/>
      <c r="AF819" s="24"/>
    </row>
    <row r="820">
      <c r="A820" s="11"/>
      <c r="B820" s="23"/>
      <c r="C820" s="23"/>
      <c r="D820" s="23"/>
      <c r="E820" s="23"/>
      <c r="F820" s="1"/>
      <c r="G820" s="23"/>
      <c r="H820" s="23"/>
      <c r="I820" s="23"/>
      <c r="J820" s="2"/>
      <c r="M820" s="40"/>
      <c r="N820" s="40"/>
      <c r="O820" s="2"/>
      <c r="P820" s="2"/>
      <c r="Q820" s="2"/>
      <c r="S820" s="2"/>
      <c r="T820" s="2"/>
      <c r="V820" s="2"/>
      <c r="W820" s="2"/>
      <c r="Y820" s="2"/>
      <c r="Z820" s="2"/>
      <c r="AB820" s="2"/>
      <c r="AC820" s="2"/>
      <c r="AF820" s="24"/>
    </row>
    <row r="821">
      <c r="A821" s="11"/>
      <c r="B821" s="23"/>
      <c r="C821" s="23"/>
      <c r="D821" s="23"/>
      <c r="E821" s="23"/>
      <c r="F821" s="1"/>
      <c r="G821" s="23"/>
      <c r="H821" s="23"/>
      <c r="I821" s="23"/>
      <c r="J821" s="2"/>
      <c r="M821" s="40"/>
      <c r="N821" s="40"/>
      <c r="O821" s="2"/>
      <c r="P821" s="2"/>
      <c r="Q821" s="2"/>
      <c r="S821" s="2"/>
      <c r="T821" s="2"/>
      <c r="V821" s="2"/>
      <c r="W821" s="2"/>
      <c r="Y821" s="2"/>
      <c r="Z821" s="2"/>
      <c r="AB821" s="2"/>
      <c r="AC821" s="2"/>
      <c r="AF821" s="24"/>
    </row>
    <row r="822">
      <c r="A822" s="11"/>
      <c r="B822" s="23"/>
      <c r="C822" s="23"/>
      <c r="D822" s="23"/>
      <c r="E822" s="23"/>
      <c r="F822" s="1"/>
      <c r="G822" s="23"/>
      <c r="H822" s="23"/>
      <c r="I822" s="23"/>
      <c r="J822" s="2"/>
      <c r="M822" s="40"/>
      <c r="N822" s="40"/>
      <c r="O822" s="2"/>
      <c r="P822" s="2"/>
      <c r="Q822" s="2"/>
      <c r="S822" s="2"/>
      <c r="T822" s="2"/>
      <c r="V822" s="2"/>
      <c r="W822" s="2"/>
      <c r="Y822" s="2"/>
      <c r="Z822" s="2"/>
      <c r="AB822" s="2"/>
      <c r="AC822" s="2"/>
      <c r="AF822" s="24"/>
    </row>
    <row r="823">
      <c r="A823" s="11"/>
      <c r="B823" s="23"/>
      <c r="C823" s="23"/>
      <c r="D823" s="23"/>
      <c r="E823" s="23"/>
      <c r="F823" s="1"/>
      <c r="G823" s="23"/>
      <c r="H823" s="23"/>
      <c r="I823" s="23"/>
      <c r="J823" s="2"/>
      <c r="M823" s="40"/>
      <c r="N823" s="40"/>
      <c r="O823" s="2"/>
      <c r="P823" s="2"/>
      <c r="Q823" s="2"/>
      <c r="S823" s="2"/>
      <c r="T823" s="2"/>
      <c r="V823" s="2"/>
      <c r="W823" s="2"/>
      <c r="Y823" s="2"/>
      <c r="Z823" s="2"/>
      <c r="AB823" s="2"/>
      <c r="AC823" s="2"/>
      <c r="AF823" s="24"/>
    </row>
    <row r="824">
      <c r="A824" s="11"/>
      <c r="B824" s="23"/>
      <c r="C824" s="23"/>
      <c r="D824" s="23"/>
      <c r="E824" s="23"/>
      <c r="F824" s="1"/>
      <c r="G824" s="23"/>
      <c r="H824" s="23"/>
      <c r="I824" s="23"/>
      <c r="J824" s="2"/>
      <c r="M824" s="40"/>
      <c r="N824" s="40"/>
      <c r="O824" s="2"/>
      <c r="P824" s="2"/>
      <c r="Q824" s="2"/>
      <c r="S824" s="2"/>
      <c r="T824" s="2"/>
      <c r="V824" s="2"/>
      <c r="W824" s="2"/>
      <c r="Y824" s="2"/>
      <c r="Z824" s="2"/>
      <c r="AB824" s="2"/>
      <c r="AC824" s="2"/>
      <c r="AF824" s="24"/>
    </row>
    <row r="825">
      <c r="A825" s="11"/>
      <c r="B825" s="23"/>
      <c r="C825" s="23"/>
      <c r="D825" s="23"/>
      <c r="E825" s="23"/>
      <c r="F825" s="1"/>
      <c r="G825" s="23"/>
      <c r="H825" s="23"/>
      <c r="I825" s="23"/>
      <c r="J825" s="2"/>
      <c r="M825" s="40"/>
      <c r="N825" s="40"/>
      <c r="O825" s="2"/>
      <c r="P825" s="2"/>
      <c r="Q825" s="2"/>
      <c r="S825" s="2"/>
      <c r="T825" s="2"/>
      <c r="V825" s="2"/>
      <c r="W825" s="2"/>
      <c r="Y825" s="2"/>
      <c r="Z825" s="2"/>
      <c r="AB825" s="2"/>
      <c r="AC825" s="2"/>
      <c r="AF825" s="24"/>
    </row>
    <row r="826">
      <c r="A826" s="11"/>
      <c r="B826" s="23"/>
      <c r="C826" s="23"/>
      <c r="D826" s="23"/>
      <c r="E826" s="23"/>
      <c r="F826" s="1"/>
      <c r="G826" s="23"/>
      <c r="H826" s="23"/>
      <c r="I826" s="23"/>
      <c r="J826" s="2"/>
      <c r="M826" s="40"/>
      <c r="N826" s="40"/>
      <c r="O826" s="2"/>
      <c r="P826" s="2"/>
      <c r="Q826" s="2"/>
      <c r="S826" s="2"/>
      <c r="T826" s="2"/>
      <c r="V826" s="2"/>
      <c r="W826" s="2"/>
      <c r="Y826" s="2"/>
      <c r="Z826" s="2"/>
      <c r="AB826" s="2"/>
      <c r="AC826" s="2"/>
      <c r="AF826" s="24"/>
    </row>
    <row r="827">
      <c r="A827" s="11"/>
      <c r="B827" s="23"/>
      <c r="C827" s="23"/>
      <c r="D827" s="23"/>
      <c r="E827" s="23"/>
      <c r="F827" s="1"/>
      <c r="G827" s="23"/>
      <c r="H827" s="23"/>
      <c r="I827" s="23"/>
      <c r="J827" s="2"/>
      <c r="M827" s="40"/>
      <c r="N827" s="40"/>
      <c r="O827" s="2"/>
      <c r="P827" s="2"/>
      <c r="Q827" s="2"/>
      <c r="S827" s="2"/>
      <c r="T827" s="2"/>
      <c r="V827" s="2"/>
      <c r="W827" s="2"/>
      <c r="Y827" s="2"/>
      <c r="Z827" s="2"/>
      <c r="AB827" s="2"/>
      <c r="AC827" s="2"/>
      <c r="AF827" s="24"/>
    </row>
    <row r="828">
      <c r="A828" s="11"/>
      <c r="B828" s="23"/>
      <c r="C828" s="23"/>
      <c r="D828" s="23"/>
      <c r="E828" s="23"/>
      <c r="F828" s="1"/>
      <c r="G828" s="23"/>
      <c r="H828" s="23"/>
      <c r="I828" s="23"/>
      <c r="J828" s="2"/>
      <c r="M828" s="40"/>
      <c r="N828" s="40"/>
      <c r="O828" s="2"/>
      <c r="P828" s="2"/>
      <c r="Q828" s="2"/>
      <c r="S828" s="2"/>
      <c r="T828" s="2"/>
      <c r="V828" s="2"/>
      <c r="W828" s="2"/>
      <c r="Y828" s="2"/>
      <c r="Z828" s="2"/>
      <c r="AB828" s="2"/>
      <c r="AC828" s="2"/>
      <c r="AF828" s="24"/>
    </row>
    <row r="829">
      <c r="A829" s="11"/>
      <c r="B829" s="23"/>
      <c r="C829" s="23"/>
      <c r="D829" s="23"/>
      <c r="E829" s="23"/>
      <c r="F829" s="1"/>
      <c r="G829" s="23"/>
      <c r="H829" s="23"/>
      <c r="I829" s="23"/>
      <c r="J829" s="2"/>
      <c r="M829" s="40"/>
      <c r="N829" s="40"/>
      <c r="O829" s="2"/>
      <c r="P829" s="2"/>
      <c r="Q829" s="2"/>
      <c r="S829" s="2"/>
      <c r="T829" s="2"/>
      <c r="V829" s="2"/>
      <c r="W829" s="2"/>
      <c r="Y829" s="2"/>
      <c r="Z829" s="2"/>
      <c r="AB829" s="2"/>
      <c r="AC829" s="2"/>
      <c r="AF829" s="24"/>
    </row>
    <row r="830">
      <c r="A830" s="11"/>
      <c r="B830" s="23"/>
      <c r="C830" s="23"/>
      <c r="D830" s="23"/>
      <c r="E830" s="23"/>
      <c r="F830" s="1"/>
      <c r="G830" s="23"/>
      <c r="H830" s="23"/>
      <c r="I830" s="23"/>
      <c r="J830" s="2"/>
      <c r="M830" s="40"/>
      <c r="N830" s="40"/>
      <c r="O830" s="2"/>
      <c r="P830" s="2"/>
      <c r="Q830" s="2"/>
      <c r="S830" s="2"/>
      <c r="T830" s="2"/>
      <c r="V830" s="2"/>
      <c r="W830" s="2"/>
      <c r="Y830" s="2"/>
      <c r="Z830" s="2"/>
      <c r="AB830" s="2"/>
      <c r="AC830" s="2"/>
      <c r="AF830" s="24"/>
    </row>
    <row r="831">
      <c r="A831" s="11"/>
      <c r="B831" s="23"/>
      <c r="C831" s="23"/>
      <c r="D831" s="23"/>
      <c r="E831" s="23"/>
      <c r="F831" s="1"/>
      <c r="G831" s="23"/>
      <c r="H831" s="23"/>
      <c r="I831" s="23"/>
      <c r="J831" s="2"/>
      <c r="M831" s="40"/>
      <c r="N831" s="40"/>
      <c r="O831" s="2"/>
      <c r="P831" s="2"/>
      <c r="Q831" s="2"/>
      <c r="S831" s="2"/>
      <c r="T831" s="2"/>
      <c r="V831" s="2"/>
      <c r="W831" s="2"/>
      <c r="Y831" s="2"/>
      <c r="Z831" s="2"/>
      <c r="AB831" s="2"/>
      <c r="AC831" s="2"/>
      <c r="AF831" s="24"/>
    </row>
    <row r="832">
      <c r="A832" s="11"/>
      <c r="B832" s="23"/>
      <c r="C832" s="23"/>
      <c r="D832" s="23"/>
      <c r="E832" s="23"/>
      <c r="F832" s="1"/>
      <c r="G832" s="23"/>
      <c r="H832" s="23"/>
      <c r="I832" s="23"/>
      <c r="J832" s="2"/>
      <c r="M832" s="40"/>
      <c r="N832" s="40"/>
      <c r="O832" s="2"/>
      <c r="P832" s="2"/>
      <c r="Q832" s="2"/>
      <c r="S832" s="2"/>
      <c r="T832" s="2"/>
      <c r="V832" s="2"/>
      <c r="W832" s="2"/>
      <c r="Y832" s="2"/>
      <c r="Z832" s="2"/>
      <c r="AB832" s="2"/>
      <c r="AC832" s="2"/>
      <c r="AF832" s="24"/>
    </row>
    <row r="833">
      <c r="A833" s="11"/>
      <c r="B833" s="23"/>
      <c r="C833" s="23"/>
      <c r="D833" s="23"/>
      <c r="E833" s="23"/>
      <c r="F833" s="1"/>
      <c r="G833" s="23"/>
      <c r="H833" s="23"/>
      <c r="I833" s="23"/>
      <c r="J833" s="2"/>
      <c r="M833" s="40"/>
      <c r="N833" s="40"/>
      <c r="O833" s="2"/>
      <c r="P833" s="2"/>
      <c r="Q833" s="2"/>
      <c r="S833" s="2"/>
      <c r="T833" s="2"/>
      <c r="V833" s="2"/>
      <c r="W833" s="2"/>
      <c r="Y833" s="2"/>
      <c r="Z833" s="2"/>
      <c r="AB833" s="2"/>
      <c r="AC833" s="2"/>
      <c r="AF833" s="24"/>
    </row>
    <row r="834">
      <c r="A834" s="11"/>
      <c r="B834" s="23"/>
      <c r="C834" s="23"/>
      <c r="D834" s="23"/>
      <c r="E834" s="23"/>
      <c r="F834" s="1"/>
      <c r="G834" s="23"/>
      <c r="H834" s="23"/>
      <c r="I834" s="23"/>
      <c r="J834" s="2"/>
      <c r="M834" s="40"/>
      <c r="N834" s="40"/>
      <c r="O834" s="2"/>
      <c r="P834" s="2"/>
      <c r="Q834" s="2"/>
      <c r="S834" s="2"/>
      <c r="T834" s="2"/>
      <c r="V834" s="2"/>
      <c r="W834" s="2"/>
      <c r="Y834" s="2"/>
      <c r="Z834" s="2"/>
      <c r="AB834" s="2"/>
      <c r="AC834" s="2"/>
      <c r="AF834" s="24"/>
    </row>
    <row r="835">
      <c r="A835" s="11"/>
      <c r="B835" s="23"/>
      <c r="C835" s="23"/>
      <c r="D835" s="23"/>
      <c r="E835" s="23"/>
      <c r="F835" s="1"/>
      <c r="G835" s="23"/>
      <c r="H835" s="23"/>
      <c r="I835" s="23"/>
      <c r="J835" s="2"/>
      <c r="M835" s="40"/>
      <c r="N835" s="40"/>
      <c r="O835" s="2"/>
      <c r="P835" s="2"/>
      <c r="Q835" s="2"/>
      <c r="S835" s="2"/>
      <c r="T835" s="2"/>
      <c r="V835" s="2"/>
      <c r="W835" s="2"/>
      <c r="Y835" s="2"/>
      <c r="Z835" s="2"/>
      <c r="AB835" s="2"/>
      <c r="AC835" s="2"/>
      <c r="AF835" s="24"/>
    </row>
    <row r="836">
      <c r="A836" s="11"/>
      <c r="B836" s="23"/>
      <c r="C836" s="23"/>
      <c r="D836" s="23"/>
      <c r="E836" s="23"/>
      <c r="F836" s="1"/>
      <c r="G836" s="23"/>
      <c r="H836" s="23"/>
      <c r="I836" s="23"/>
      <c r="J836" s="2"/>
      <c r="M836" s="40"/>
      <c r="N836" s="40"/>
      <c r="O836" s="2"/>
      <c r="P836" s="2"/>
      <c r="Q836" s="2"/>
      <c r="S836" s="2"/>
      <c r="T836" s="2"/>
      <c r="V836" s="2"/>
      <c r="W836" s="2"/>
      <c r="Y836" s="2"/>
      <c r="Z836" s="2"/>
      <c r="AB836" s="2"/>
      <c r="AC836" s="2"/>
      <c r="AF836" s="24"/>
    </row>
    <row r="837">
      <c r="A837" s="11"/>
      <c r="B837" s="23"/>
      <c r="C837" s="23"/>
      <c r="D837" s="23"/>
      <c r="E837" s="23"/>
      <c r="F837" s="1"/>
      <c r="G837" s="23"/>
      <c r="H837" s="23"/>
      <c r="I837" s="23"/>
      <c r="J837" s="2"/>
      <c r="M837" s="40"/>
      <c r="N837" s="40"/>
      <c r="O837" s="2"/>
      <c r="P837" s="2"/>
      <c r="Q837" s="2"/>
      <c r="S837" s="2"/>
      <c r="T837" s="2"/>
      <c r="V837" s="2"/>
      <c r="W837" s="2"/>
      <c r="Y837" s="2"/>
      <c r="Z837" s="2"/>
      <c r="AB837" s="2"/>
      <c r="AC837" s="2"/>
      <c r="AF837" s="24"/>
    </row>
    <row r="838">
      <c r="A838" s="11"/>
      <c r="B838" s="23"/>
      <c r="C838" s="23"/>
      <c r="D838" s="23"/>
      <c r="E838" s="23"/>
      <c r="F838" s="1"/>
      <c r="G838" s="23"/>
      <c r="H838" s="23"/>
      <c r="I838" s="23"/>
      <c r="J838" s="2"/>
      <c r="M838" s="40"/>
      <c r="N838" s="40"/>
      <c r="O838" s="2"/>
      <c r="P838" s="2"/>
      <c r="Q838" s="2"/>
      <c r="S838" s="2"/>
      <c r="T838" s="2"/>
      <c r="V838" s="2"/>
      <c r="W838" s="2"/>
      <c r="Y838" s="2"/>
      <c r="Z838" s="2"/>
      <c r="AB838" s="2"/>
      <c r="AC838" s="2"/>
      <c r="AF838" s="24"/>
    </row>
    <row r="839">
      <c r="A839" s="11"/>
      <c r="B839" s="23"/>
      <c r="C839" s="23"/>
      <c r="D839" s="23"/>
      <c r="E839" s="23"/>
      <c r="F839" s="1"/>
      <c r="G839" s="23"/>
      <c r="H839" s="23"/>
      <c r="I839" s="23"/>
      <c r="J839" s="2"/>
      <c r="M839" s="40"/>
      <c r="N839" s="40"/>
      <c r="O839" s="2"/>
      <c r="P839" s="2"/>
      <c r="Q839" s="2"/>
      <c r="S839" s="2"/>
      <c r="T839" s="2"/>
      <c r="V839" s="2"/>
      <c r="W839" s="2"/>
      <c r="Y839" s="2"/>
      <c r="Z839" s="2"/>
      <c r="AB839" s="2"/>
      <c r="AC839" s="2"/>
      <c r="AF839" s="24"/>
    </row>
    <row r="840">
      <c r="A840" s="11"/>
      <c r="B840" s="23"/>
      <c r="C840" s="23"/>
      <c r="D840" s="23"/>
      <c r="E840" s="23"/>
      <c r="F840" s="1"/>
      <c r="G840" s="23"/>
      <c r="H840" s="23"/>
      <c r="I840" s="23"/>
      <c r="J840" s="2"/>
      <c r="M840" s="40"/>
      <c r="N840" s="40"/>
      <c r="O840" s="2"/>
      <c r="P840" s="2"/>
      <c r="Q840" s="2"/>
      <c r="S840" s="2"/>
      <c r="T840" s="2"/>
      <c r="V840" s="2"/>
      <c r="W840" s="2"/>
      <c r="Y840" s="2"/>
      <c r="Z840" s="2"/>
      <c r="AB840" s="2"/>
      <c r="AC840" s="2"/>
      <c r="AF840" s="24"/>
    </row>
    <row r="841">
      <c r="A841" s="11"/>
      <c r="B841" s="23"/>
      <c r="C841" s="23"/>
      <c r="D841" s="23"/>
      <c r="E841" s="23"/>
      <c r="F841" s="1"/>
      <c r="G841" s="23"/>
      <c r="H841" s="23"/>
      <c r="I841" s="23"/>
      <c r="J841" s="2"/>
      <c r="M841" s="40"/>
      <c r="N841" s="40"/>
      <c r="O841" s="2"/>
      <c r="P841" s="2"/>
      <c r="Q841" s="2"/>
      <c r="S841" s="2"/>
      <c r="T841" s="2"/>
      <c r="V841" s="2"/>
      <c r="W841" s="2"/>
      <c r="Y841" s="2"/>
      <c r="Z841" s="2"/>
      <c r="AB841" s="2"/>
      <c r="AC841" s="2"/>
      <c r="AF841" s="24"/>
    </row>
    <row r="842">
      <c r="A842" s="11"/>
      <c r="B842" s="23"/>
      <c r="C842" s="23"/>
      <c r="D842" s="23"/>
      <c r="E842" s="23"/>
      <c r="F842" s="1"/>
      <c r="G842" s="23"/>
      <c r="H842" s="23"/>
      <c r="I842" s="23"/>
      <c r="J842" s="2"/>
      <c r="M842" s="40"/>
      <c r="N842" s="40"/>
      <c r="O842" s="2"/>
      <c r="P842" s="2"/>
      <c r="Q842" s="2"/>
      <c r="S842" s="2"/>
      <c r="T842" s="2"/>
      <c r="V842" s="2"/>
      <c r="W842" s="2"/>
      <c r="Y842" s="2"/>
      <c r="Z842" s="2"/>
      <c r="AB842" s="2"/>
      <c r="AC842" s="2"/>
      <c r="AF842" s="24"/>
    </row>
    <row r="843">
      <c r="A843" s="11"/>
      <c r="B843" s="23"/>
      <c r="C843" s="23"/>
      <c r="D843" s="23"/>
      <c r="E843" s="23"/>
      <c r="F843" s="1"/>
      <c r="G843" s="23"/>
      <c r="H843" s="23"/>
      <c r="I843" s="23"/>
      <c r="J843" s="2"/>
      <c r="M843" s="40"/>
      <c r="N843" s="40"/>
      <c r="O843" s="2"/>
      <c r="P843" s="2"/>
      <c r="Q843" s="2"/>
      <c r="S843" s="2"/>
      <c r="T843" s="2"/>
      <c r="V843" s="2"/>
      <c r="W843" s="2"/>
      <c r="Y843" s="2"/>
      <c r="Z843" s="2"/>
      <c r="AB843" s="2"/>
      <c r="AC843" s="2"/>
      <c r="AF843" s="24"/>
    </row>
    <row r="844">
      <c r="A844" s="11"/>
      <c r="B844" s="23"/>
      <c r="C844" s="23"/>
      <c r="D844" s="23"/>
      <c r="E844" s="23"/>
      <c r="F844" s="1"/>
      <c r="G844" s="23"/>
      <c r="H844" s="23"/>
      <c r="I844" s="23"/>
      <c r="J844" s="2"/>
      <c r="M844" s="40"/>
      <c r="N844" s="40"/>
      <c r="O844" s="2"/>
      <c r="P844" s="2"/>
      <c r="Q844" s="2"/>
      <c r="S844" s="2"/>
      <c r="T844" s="2"/>
      <c r="V844" s="2"/>
      <c r="W844" s="2"/>
      <c r="Y844" s="2"/>
      <c r="Z844" s="2"/>
      <c r="AB844" s="2"/>
      <c r="AC844" s="2"/>
      <c r="AF844" s="24"/>
    </row>
    <row r="845">
      <c r="A845" s="11"/>
      <c r="B845" s="23"/>
      <c r="C845" s="23"/>
      <c r="D845" s="23"/>
      <c r="E845" s="23"/>
      <c r="F845" s="1"/>
      <c r="G845" s="23"/>
      <c r="H845" s="23"/>
      <c r="I845" s="23"/>
      <c r="J845" s="2"/>
      <c r="M845" s="40"/>
      <c r="N845" s="40"/>
      <c r="O845" s="2"/>
      <c r="P845" s="2"/>
      <c r="Q845" s="2"/>
      <c r="S845" s="2"/>
      <c r="T845" s="2"/>
      <c r="V845" s="2"/>
      <c r="W845" s="2"/>
      <c r="Y845" s="2"/>
      <c r="Z845" s="2"/>
      <c r="AB845" s="2"/>
      <c r="AC845" s="2"/>
      <c r="AF845" s="24"/>
    </row>
    <row r="846">
      <c r="A846" s="11"/>
      <c r="B846" s="23"/>
      <c r="C846" s="23"/>
      <c r="D846" s="23"/>
      <c r="E846" s="23"/>
      <c r="F846" s="1"/>
      <c r="G846" s="23"/>
      <c r="H846" s="23"/>
      <c r="I846" s="23"/>
      <c r="J846" s="2"/>
      <c r="M846" s="40"/>
      <c r="N846" s="40"/>
      <c r="O846" s="2"/>
      <c r="P846" s="2"/>
      <c r="Q846" s="2"/>
      <c r="S846" s="2"/>
      <c r="T846" s="2"/>
      <c r="V846" s="2"/>
      <c r="W846" s="2"/>
      <c r="Y846" s="2"/>
      <c r="Z846" s="2"/>
      <c r="AB846" s="2"/>
      <c r="AC846" s="2"/>
      <c r="AF846" s="24"/>
    </row>
    <row r="847">
      <c r="A847" s="11"/>
      <c r="B847" s="23"/>
      <c r="C847" s="23"/>
      <c r="D847" s="23"/>
      <c r="E847" s="23"/>
      <c r="F847" s="1"/>
      <c r="G847" s="23"/>
      <c r="H847" s="23"/>
      <c r="I847" s="23"/>
      <c r="J847" s="2"/>
      <c r="M847" s="40"/>
      <c r="N847" s="40"/>
      <c r="O847" s="2"/>
      <c r="P847" s="2"/>
      <c r="Q847" s="2"/>
      <c r="S847" s="2"/>
      <c r="T847" s="2"/>
      <c r="V847" s="2"/>
      <c r="W847" s="2"/>
      <c r="Y847" s="2"/>
      <c r="Z847" s="2"/>
      <c r="AB847" s="2"/>
      <c r="AC847" s="2"/>
      <c r="AF847" s="24"/>
    </row>
    <row r="848">
      <c r="A848" s="11"/>
      <c r="B848" s="23"/>
      <c r="C848" s="23"/>
      <c r="D848" s="23"/>
      <c r="E848" s="23"/>
      <c r="F848" s="1"/>
      <c r="G848" s="23"/>
      <c r="H848" s="23"/>
      <c r="I848" s="23"/>
      <c r="J848" s="2"/>
      <c r="M848" s="40"/>
      <c r="N848" s="40"/>
      <c r="O848" s="2"/>
      <c r="P848" s="2"/>
      <c r="Q848" s="2"/>
      <c r="S848" s="2"/>
      <c r="T848" s="2"/>
      <c r="V848" s="2"/>
      <c r="W848" s="2"/>
      <c r="Y848" s="2"/>
      <c r="Z848" s="2"/>
      <c r="AB848" s="2"/>
      <c r="AC848" s="2"/>
      <c r="AF848" s="24"/>
    </row>
    <row r="849">
      <c r="A849" s="11"/>
      <c r="B849" s="23"/>
      <c r="C849" s="23"/>
      <c r="D849" s="23"/>
      <c r="E849" s="23"/>
      <c r="F849" s="1"/>
      <c r="G849" s="23"/>
      <c r="H849" s="23"/>
      <c r="I849" s="23"/>
      <c r="J849" s="2"/>
      <c r="M849" s="40"/>
      <c r="N849" s="40"/>
      <c r="O849" s="2"/>
      <c r="P849" s="2"/>
      <c r="Q849" s="2"/>
      <c r="S849" s="2"/>
      <c r="T849" s="2"/>
      <c r="V849" s="2"/>
      <c r="W849" s="2"/>
      <c r="Y849" s="2"/>
      <c r="Z849" s="2"/>
      <c r="AB849" s="2"/>
      <c r="AC849" s="2"/>
      <c r="AF849" s="24"/>
    </row>
    <row r="850">
      <c r="A850" s="11"/>
      <c r="B850" s="23"/>
      <c r="C850" s="23"/>
      <c r="D850" s="23"/>
      <c r="E850" s="23"/>
      <c r="F850" s="1"/>
      <c r="G850" s="23"/>
      <c r="H850" s="23"/>
      <c r="I850" s="23"/>
      <c r="J850" s="2"/>
      <c r="M850" s="40"/>
      <c r="N850" s="40"/>
      <c r="O850" s="2"/>
      <c r="P850" s="2"/>
      <c r="Q850" s="2"/>
      <c r="S850" s="2"/>
      <c r="T850" s="2"/>
      <c r="V850" s="2"/>
      <c r="W850" s="2"/>
      <c r="Y850" s="2"/>
      <c r="Z850" s="2"/>
      <c r="AB850" s="2"/>
      <c r="AC850" s="2"/>
      <c r="AF850" s="24"/>
    </row>
    <row r="851">
      <c r="A851" s="11"/>
      <c r="B851" s="23"/>
      <c r="C851" s="23"/>
      <c r="D851" s="23"/>
      <c r="E851" s="23"/>
      <c r="F851" s="1"/>
      <c r="G851" s="23"/>
      <c r="H851" s="23"/>
      <c r="I851" s="23"/>
      <c r="J851" s="2"/>
      <c r="M851" s="40"/>
      <c r="N851" s="40"/>
      <c r="O851" s="2"/>
      <c r="P851" s="2"/>
      <c r="Q851" s="2"/>
      <c r="S851" s="2"/>
      <c r="T851" s="2"/>
      <c r="V851" s="2"/>
      <c r="W851" s="2"/>
      <c r="Y851" s="2"/>
      <c r="Z851" s="2"/>
      <c r="AB851" s="2"/>
      <c r="AC851" s="2"/>
      <c r="AF851" s="24"/>
    </row>
    <row r="852">
      <c r="A852" s="11"/>
      <c r="B852" s="23"/>
      <c r="C852" s="23"/>
      <c r="D852" s="23"/>
      <c r="E852" s="23"/>
      <c r="F852" s="1"/>
      <c r="G852" s="23"/>
      <c r="H852" s="23"/>
      <c r="I852" s="23"/>
      <c r="J852" s="2"/>
      <c r="M852" s="40"/>
      <c r="N852" s="40"/>
      <c r="O852" s="2"/>
      <c r="P852" s="2"/>
      <c r="Q852" s="2"/>
      <c r="S852" s="2"/>
      <c r="T852" s="2"/>
      <c r="V852" s="2"/>
      <c r="W852" s="2"/>
      <c r="Y852" s="2"/>
      <c r="Z852" s="2"/>
      <c r="AB852" s="2"/>
      <c r="AC852" s="2"/>
      <c r="AF852" s="24"/>
    </row>
    <row r="853">
      <c r="A853" s="11"/>
      <c r="B853" s="23"/>
      <c r="C853" s="23"/>
      <c r="D853" s="23"/>
      <c r="E853" s="23"/>
      <c r="F853" s="1"/>
      <c r="G853" s="23"/>
      <c r="H853" s="23"/>
      <c r="I853" s="23"/>
      <c r="J853" s="2"/>
      <c r="M853" s="40"/>
      <c r="N853" s="40"/>
      <c r="O853" s="2"/>
      <c r="P853" s="2"/>
      <c r="Q853" s="2"/>
      <c r="S853" s="2"/>
      <c r="T853" s="2"/>
      <c r="V853" s="2"/>
      <c r="W853" s="2"/>
      <c r="Y853" s="2"/>
      <c r="Z853" s="2"/>
      <c r="AB853" s="2"/>
      <c r="AC853" s="2"/>
      <c r="AF853" s="24"/>
    </row>
    <row r="854">
      <c r="A854" s="11"/>
      <c r="B854" s="23"/>
      <c r="C854" s="23"/>
      <c r="D854" s="23"/>
      <c r="E854" s="23"/>
      <c r="F854" s="1"/>
      <c r="G854" s="23"/>
      <c r="H854" s="23"/>
      <c r="I854" s="23"/>
      <c r="J854" s="2"/>
      <c r="M854" s="40"/>
      <c r="N854" s="40"/>
      <c r="O854" s="2"/>
      <c r="P854" s="2"/>
      <c r="Q854" s="2"/>
      <c r="S854" s="2"/>
      <c r="T854" s="2"/>
      <c r="V854" s="2"/>
      <c r="W854" s="2"/>
      <c r="Y854" s="2"/>
      <c r="Z854" s="2"/>
      <c r="AB854" s="2"/>
      <c r="AC854" s="2"/>
      <c r="AF854" s="24"/>
    </row>
    <row r="855">
      <c r="A855" s="11"/>
      <c r="B855" s="23"/>
      <c r="C855" s="23"/>
      <c r="D855" s="23"/>
      <c r="E855" s="23"/>
      <c r="F855" s="1"/>
      <c r="G855" s="23"/>
      <c r="H855" s="23"/>
      <c r="I855" s="23"/>
      <c r="J855" s="2"/>
      <c r="M855" s="40"/>
      <c r="N855" s="40"/>
      <c r="O855" s="2"/>
      <c r="P855" s="2"/>
      <c r="Q855" s="2"/>
      <c r="S855" s="2"/>
      <c r="T855" s="2"/>
      <c r="V855" s="2"/>
      <c r="W855" s="2"/>
      <c r="Y855" s="2"/>
      <c r="Z855" s="2"/>
      <c r="AB855" s="2"/>
      <c r="AC855" s="2"/>
      <c r="AF855" s="24"/>
    </row>
    <row r="856">
      <c r="A856" s="11"/>
      <c r="B856" s="23"/>
      <c r="C856" s="23"/>
      <c r="D856" s="23"/>
      <c r="E856" s="23"/>
      <c r="F856" s="1"/>
      <c r="G856" s="23"/>
      <c r="H856" s="23"/>
      <c r="I856" s="23"/>
      <c r="J856" s="2"/>
      <c r="M856" s="40"/>
      <c r="N856" s="40"/>
      <c r="O856" s="2"/>
      <c r="P856" s="2"/>
      <c r="Q856" s="2"/>
      <c r="S856" s="2"/>
      <c r="T856" s="2"/>
      <c r="V856" s="2"/>
      <c r="W856" s="2"/>
      <c r="Y856" s="2"/>
      <c r="Z856" s="2"/>
      <c r="AB856" s="2"/>
      <c r="AC856" s="2"/>
      <c r="AF856" s="24"/>
    </row>
    <row r="857">
      <c r="A857" s="11"/>
      <c r="B857" s="23"/>
      <c r="C857" s="23"/>
      <c r="D857" s="23"/>
      <c r="E857" s="23"/>
      <c r="F857" s="1"/>
      <c r="G857" s="23"/>
      <c r="H857" s="23"/>
      <c r="I857" s="23"/>
      <c r="J857" s="2"/>
      <c r="M857" s="40"/>
      <c r="N857" s="40"/>
      <c r="O857" s="2"/>
      <c r="P857" s="2"/>
      <c r="Q857" s="2"/>
      <c r="S857" s="2"/>
      <c r="T857" s="2"/>
      <c r="V857" s="2"/>
      <c r="W857" s="2"/>
      <c r="Y857" s="2"/>
      <c r="Z857" s="2"/>
      <c r="AB857" s="2"/>
      <c r="AC857" s="2"/>
      <c r="AF857" s="24"/>
    </row>
    <row r="858">
      <c r="A858" s="11"/>
      <c r="B858" s="23"/>
      <c r="C858" s="23"/>
      <c r="D858" s="23"/>
      <c r="E858" s="23"/>
      <c r="F858" s="1"/>
      <c r="G858" s="23"/>
      <c r="H858" s="23"/>
      <c r="I858" s="23"/>
      <c r="J858" s="2"/>
      <c r="M858" s="40"/>
      <c r="N858" s="40"/>
      <c r="O858" s="2"/>
      <c r="P858" s="2"/>
      <c r="Q858" s="2"/>
      <c r="S858" s="2"/>
      <c r="T858" s="2"/>
      <c r="V858" s="2"/>
      <c r="W858" s="2"/>
      <c r="Y858" s="2"/>
      <c r="Z858" s="2"/>
      <c r="AB858" s="2"/>
      <c r="AC858" s="2"/>
      <c r="AF858" s="24"/>
    </row>
    <row r="859">
      <c r="A859" s="11"/>
      <c r="B859" s="23"/>
      <c r="C859" s="23"/>
      <c r="D859" s="23"/>
      <c r="E859" s="23"/>
      <c r="F859" s="1"/>
      <c r="G859" s="23"/>
      <c r="H859" s="23"/>
      <c r="I859" s="23"/>
      <c r="J859" s="2"/>
      <c r="M859" s="40"/>
      <c r="N859" s="40"/>
      <c r="O859" s="2"/>
      <c r="P859" s="2"/>
      <c r="Q859" s="2"/>
      <c r="S859" s="2"/>
      <c r="T859" s="2"/>
      <c r="V859" s="2"/>
      <c r="W859" s="2"/>
      <c r="Y859" s="2"/>
      <c r="Z859" s="2"/>
      <c r="AB859" s="2"/>
      <c r="AC859" s="2"/>
      <c r="AF859" s="24"/>
    </row>
    <row r="860">
      <c r="A860" s="11"/>
      <c r="B860" s="23"/>
      <c r="C860" s="23"/>
      <c r="D860" s="23"/>
      <c r="E860" s="23"/>
      <c r="F860" s="1"/>
      <c r="G860" s="23"/>
      <c r="H860" s="23"/>
      <c r="I860" s="23"/>
      <c r="J860" s="2"/>
      <c r="M860" s="40"/>
      <c r="N860" s="40"/>
      <c r="O860" s="2"/>
      <c r="P860" s="2"/>
      <c r="Q860" s="2"/>
      <c r="S860" s="2"/>
      <c r="T860" s="2"/>
      <c r="V860" s="2"/>
      <c r="W860" s="2"/>
      <c r="Y860" s="2"/>
      <c r="Z860" s="2"/>
      <c r="AB860" s="2"/>
      <c r="AC860" s="2"/>
      <c r="AF860" s="24"/>
    </row>
    <row r="861">
      <c r="A861" s="11"/>
      <c r="B861" s="23"/>
      <c r="C861" s="23"/>
      <c r="D861" s="23"/>
      <c r="E861" s="23"/>
      <c r="F861" s="1"/>
      <c r="G861" s="23"/>
      <c r="H861" s="23"/>
      <c r="I861" s="23"/>
      <c r="J861" s="2"/>
      <c r="M861" s="40"/>
      <c r="N861" s="40"/>
      <c r="O861" s="2"/>
      <c r="P861" s="2"/>
      <c r="Q861" s="2"/>
      <c r="S861" s="2"/>
      <c r="T861" s="2"/>
      <c r="V861" s="2"/>
      <c r="W861" s="2"/>
      <c r="Y861" s="2"/>
      <c r="Z861" s="2"/>
      <c r="AB861" s="2"/>
      <c r="AC861" s="2"/>
      <c r="AF861" s="24"/>
    </row>
    <row r="862">
      <c r="A862" s="11"/>
      <c r="B862" s="23"/>
      <c r="C862" s="23"/>
      <c r="D862" s="23"/>
      <c r="E862" s="23"/>
      <c r="F862" s="1"/>
      <c r="G862" s="23"/>
      <c r="H862" s="23"/>
      <c r="I862" s="23"/>
      <c r="J862" s="2"/>
      <c r="M862" s="40"/>
      <c r="N862" s="40"/>
      <c r="O862" s="2"/>
      <c r="P862" s="2"/>
      <c r="Q862" s="2"/>
      <c r="S862" s="2"/>
      <c r="T862" s="2"/>
      <c r="V862" s="2"/>
      <c r="W862" s="2"/>
      <c r="Y862" s="2"/>
      <c r="Z862" s="2"/>
      <c r="AB862" s="2"/>
      <c r="AC862" s="2"/>
      <c r="AF862" s="24"/>
    </row>
    <row r="863">
      <c r="A863" s="11"/>
      <c r="B863" s="23"/>
      <c r="C863" s="23"/>
      <c r="D863" s="23"/>
      <c r="E863" s="23"/>
      <c r="F863" s="1"/>
      <c r="G863" s="23"/>
      <c r="H863" s="23"/>
      <c r="I863" s="23"/>
      <c r="J863" s="2"/>
      <c r="M863" s="40"/>
      <c r="N863" s="40"/>
      <c r="O863" s="2"/>
      <c r="P863" s="2"/>
      <c r="Q863" s="2"/>
      <c r="S863" s="2"/>
      <c r="T863" s="2"/>
      <c r="V863" s="2"/>
      <c r="W863" s="2"/>
      <c r="Y863" s="2"/>
      <c r="Z863" s="2"/>
      <c r="AB863" s="2"/>
      <c r="AC863" s="2"/>
      <c r="AF863" s="24"/>
    </row>
    <row r="864">
      <c r="A864" s="11"/>
      <c r="B864" s="23"/>
      <c r="C864" s="23"/>
      <c r="D864" s="23"/>
      <c r="E864" s="23"/>
      <c r="F864" s="1"/>
      <c r="G864" s="23"/>
      <c r="H864" s="23"/>
      <c r="I864" s="23"/>
      <c r="J864" s="2"/>
      <c r="M864" s="40"/>
      <c r="N864" s="40"/>
      <c r="O864" s="2"/>
      <c r="P864" s="2"/>
      <c r="Q864" s="2"/>
      <c r="S864" s="2"/>
      <c r="T864" s="2"/>
      <c r="V864" s="2"/>
      <c r="W864" s="2"/>
      <c r="Y864" s="2"/>
      <c r="Z864" s="2"/>
      <c r="AB864" s="2"/>
      <c r="AC864" s="2"/>
      <c r="AF864" s="24"/>
    </row>
    <row r="865">
      <c r="A865" s="11"/>
      <c r="B865" s="23"/>
      <c r="C865" s="23"/>
      <c r="D865" s="23"/>
      <c r="E865" s="23"/>
      <c r="F865" s="1"/>
      <c r="G865" s="23"/>
      <c r="H865" s="23"/>
      <c r="I865" s="23"/>
      <c r="J865" s="2"/>
      <c r="M865" s="40"/>
      <c r="N865" s="40"/>
      <c r="O865" s="2"/>
      <c r="P865" s="2"/>
      <c r="Q865" s="2"/>
      <c r="S865" s="2"/>
      <c r="T865" s="2"/>
      <c r="V865" s="2"/>
      <c r="W865" s="2"/>
      <c r="Y865" s="2"/>
      <c r="Z865" s="2"/>
      <c r="AB865" s="2"/>
      <c r="AC865" s="2"/>
      <c r="AF865" s="24"/>
    </row>
    <row r="866">
      <c r="A866" s="11"/>
      <c r="B866" s="23"/>
      <c r="C866" s="23"/>
      <c r="D866" s="23"/>
      <c r="E866" s="23"/>
      <c r="F866" s="1"/>
      <c r="G866" s="23"/>
      <c r="H866" s="23"/>
      <c r="I866" s="23"/>
      <c r="J866" s="2"/>
      <c r="M866" s="40"/>
      <c r="N866" s="40"/>
      <c r="O866" s="2"/>
      <c r="P866" s="2"/>
      <c r="Q866" s="2"/>
      <c r="S866" s="2"/>
      <c r="T866" s="2"/>
      <c r="V866" s="2"/>
      <c r="W866" s="2"/>
      <c r="Y866" s="2"/>
      <c r="Z866" s="2"/>
      <c r="AB866" s="2"/>
      <c r="AC866" s="2"/>
      <c r="AF866" s="24"/>
    </row>
    <row r="867">
      <c r="A867" s="11"/>
      <c r="B867" s="23"/>
      <c r="C867" s="23"/>
      <c r="D867" s="23"/>
      <c r="E867" s="23"/>
      <c r="F867" s="1"/>
      <c r="G867" s="23"/>
      <c r="H867" s="23"/>
      <c r="I867" s="23"/>
      <c r="J867" s="2"/>
      <c r="M867" s="40"/>
      <c r="N867" s="40"/>
      <c r="O867" s="2"/>
      <c r="P867" s="2"/>
      <c r="Q867" s="2"/>
      <c r="S867" s="2"/>
      <c r="T867" s="2"/>
      <c r="V867" s="2"/>
      <c r="W867" s="2"/>
      <c r="Y867" s="2"/>
      <c r="Z867" s="2"/>
      <c r="AB867" s="2"/>
      <c r="AC867" s="2"/>
      <c r="AF867" s="24"/>
    </row>
    <row r="868">
      <c r="A868" s="11"/>
      <c r="B868" s="23"/>
      <c r="C868" s="23"/>
      <c r="D868" s="23"/>
      <c r="E868" s="23"/>
      <c r="F868" s="1"/>
      <c r="G868" s="23"/>
      <c r="H868" s="23"/>
      <c r="I868" s="23"/>
      <c r="J868" s="2"/>
      <c r="M868" s="40"/>
      <c r="N868" s="40"/>
      <c r="O868" s="2"/>
      <c r="P868" s="2"/>
      <c r="Q868" s="2"/>
      <c r="S868" s="2"/>
      <c r="T868" s="2"/>
      <c r="V868" s="2"/>
      <c r="W868" s="2"/>
      <c r="Y868" s="2"/>
      <c r="Z868" s="2"/>
      <c r="AB868" s="2"/>
      <c r="AC868" s="2"/>
      <c r="AF868" s="24"/>
    </row>
    <row r="869">
      <c r="A869" s="11"/>
      <c r="B869" s="23"/>
      <c r="C869" s="23"/>
      <c r="D869" s="23"/>
      <c r="E869" s="23"/>
      <c r="F869" s="1"/>
      <c r="G869" s="23"/>
      <c r="H869" s="23"/>
      <c r="I869" s="23"/>
      <c r="J869" s="2"/>
      <c r="M869" s="40"/>
      <c r="N869" s="40"/>
      <c r="O869" s="2"/>
      <c r="P869" s="2"/>
      <c r="Q869" s="2"/>
      <c r="S869" s="2"/>
      <c r="T869" s="2"/>
      <c r="V869" s="2"/>
      <c r="W869" s="2"/>
      <c r="Y869" s="2"/>
      <c r="Z869" s="2"/>
      <c r="AB869" s="2"/>
      <c r="AC869" s="2"/>
      <c r="AF869" s="24"/>
    </row>
    <row r="870">
      <c r="A870" s="11"/>
      <c r="B870" s="23"/>
      <c r="C870" s="23"/>
      <c r="D870" s="23"/>
      <c r="E870" s="23"/>
      <c r="F870" s="1"/>
      <c r="G870" s="23"/>
      <c r="H870" s="23"/>
      <c r="I870" s="23"/>
      <c r="J870" s="2"/>
      <c r="M870" s="40"/>
      <c r="N870" s="40"/>
      <c r="O870" s="2"/>
      <c r="P870" s="2"/>
      <c r="Q870" s="2"/>
      <c r="S870" s="2"/>
      <c r="T870" s="2"/>
      <c r="V870" s="2"/>
      <c r="W870" s="2"/>
      <c r="Y870" s="2"/>
      <c r="Z870" s="2"/>
      <c r="AB870" s="2"/>
      <c r="AC870" s="2"/>
      <c r="AF870" s="24"/>
    </row>
    <row r="871">
      <c r="A871" s="11"/>
      <c r="B871" s="23"/>
      <c r="C871" s="23"/>
      <c r="D871" s="23"/>
      <c r="E871" s="23"/>
      <c r="F871" s="1"/>
      <c r="G871" s="23"/>
      <c r="H871" s="23"/>
      <c r="I871" s="23"/>
      <c r="J871" s="2"/>
      <c r="M871" s="40"/>
      <c r="N871" s="40"/>
      <c r="O871" s="2"/>
      <c r="P871" s="2"/>
      <c r="Q871" s="2"/>
      <c r="S871" s="2"/>
      <c r="T871" s="2"/>
      <c r="V871" s="2"/>
      <c r="W871" s="2"/>
      <c r="Y871" s="2"/>
      <c r="Z871" s="2"/>
      <c r="AB871" s="2"/>
      <c r="AC871" s="2"/>
      <c r="AF871" s="24"/>
    </row>
    <row r="872">
      <c r="A872" s="11"/>
      <c r="B872" s="23"/>
      <c r="C872" s="23"/>
      <c r="D872" s="23"/>
      <c r="E872" s="23"/>
      <c r="F872" s="1"/>
      <c r="G872" s="23"/>
      <c r="H872" s="23"/>
      <c r="I872" s="23"/>
      <c r="J872" s="2"/>
      <c r="M872" s="40"/>
      <c r="N872" s="40"/>
      <c r="O872" s="2"/>
      <c r="P872" s="2"/>
      <c r="Q872" s="2"/>
      <c r="S872" s="2"/>
      <c r="T872" s="2"/>
      <c r="V872" s="2"/>
      <c r="W872" s="2"/>
      <c r="Y872" s="2"/>
      <c r="Z872" s="2"/>
      <c r="AB872" s="2"/>
      <c r="AC872" s="2"/>
      <c r="AF872" s="24"/>
    </row>
    <row r="873">
      <c r="A873" s="11"/>
      <c r="B873" s="23"/>
      <c r="C873" s="23"/>
      <c r="D873" s="23"/>
      <c r="E873" s="23"/>
      <c r="F873" s="1"/>
      <c r="G873" s="23"/>
      <c r="H873" s="23"/>
      <c r="I873" s="23"/>
      <c r="J873" s="2"/>
      <c r="M873" s="40"/>
      <c r="N873" s="40"/>
      <c r="O873" s="2"/>
      <c r="P873" s="2"/>
      <c r="Q873" s="2"/>
      <c r="S873" s="2"/>
      <c r="T873" s="2"/>
      <c r="V873" s="2"/>
      <c r="W873" s="2"/>
      <c r="Y873" s="2"/>
      <c r="Z873" s="2"/>
      <c r="AB873" s="2"/>
      <c r="AC873" s="2"/>
      <c r="AF873" s="24"/>
    </row>
    <row r="874">
      <c r="A874" s="11"/>
      <c r="B874" s="23"/>
      <c r="C874" s="23"/>
      <c r="D874" s="23"/>
      <c r="E874" s="23"/>
      <c r="F874" s="1"/>
      <c r="G874" s="23"/>
      <c r="H874" s="23"/>
      <c r="I874" s="23"/>
      <c r="J874" s="2"/>
      <c r="M874" s="40"/>
      <c r="N874" s="40"/>
      <c r="O874" s="2"/>
      <c r="P874" s="2"/>
      <c r="Q874" s="2"/>
      <c r="S874" s="2"/>
      <c r="T874" s="2"/>
      <c r="V874" s="2"/>
      <c r="W874" s="2"/>
      <c r="Y874" s="2"/>
      <c r="Z874" s="2"/>
      <c r="AB874" s="2"/>
      <c r="AC874" s="2"/>
      <c r="AF874" s="24"/>
    </row>
    <row r="875">
      <c r="A875" s="11"/>
      <c r="B875" s="23"/>
      <c r="C875" s="23"/>
      <c r="D875" s="23"/>
      <c r="E875" s="23"/>
      <c r="F875" s="1"/>
      <c r="G875" s="23"/>
      <c r="H875" s="23"/>
      <c r="I875" s="23"/>
      <c r="J875" s="2"/>
      <c r="M875" s="40"/>
      <c r="N875" s="40"/>
      <c r="O875" s="2"/>
      <c r="P875" s="2"/>
      <c r="Q875" s="2"/>
      <c r="S875" s="2"/>
      <c r="T875" s="2"/>
      <c r="V875" s="2"/>
      <c r="W875" s="2"/>
      <c r="Y875" s="2"/>
      <c r="Z875" s="2"/>
      <c r="AB875" s="2"/>
      <c r="AC875" s="2"/>
      <c r="AF875" s="24"/>
    </row>
    <row r="876">
      <c r="A876" s="11"/>
      <c r="B876" s="23"/>
      <c r="C876" s="23"/>
      <c r="D876" s="23"/>
      <c r="E876" s="23"/>
      <c r="F876" s="1"/>
      <c r="G876" s="23"/>
      <c r="H876" s="23"/>
      <c r="I876" s="23"/>
      <c r="J876" s="2"/>
      <c r="M876" s="40"/>
      <c r="N876" s="40"/>
      <c r="O876" s="2"/>
      <c r="P876" s="2"/>
      <c r="Q876" s="2"/>
      <c r="S876" s="2"/>
      <c r="T876" s="2"/>
      <c r="V876" s="2"/>
      <c r="W876" s="2"/>
      <c r="Y876" s="2"/>
      <c r="Z876" s="2"/>
      <c r="AB876" s="2"/>
      <c r="AC876" s="2"/>
      <c r="AF876" s="24"/>
    </row>
    <row r="877">
      <c r="A877" s="11"/>
      <c r="B877" s="23"/>
      <c r="C877" s="23"/>
      <c r="D877" s="23"/>
      <c r="E877" s="23"/>
      <c r="F877" s="1"/>
      <c r="G877" s="23"/>
      <c r="H877" s="23"/>
      <c r="I877" s="23"/>
      <c r="J877" s="2"/>
      <c r="M877" s="40"/>
      <c r="N877" s="40"/>
      <c r="O877" s="2"/>
      <c r="P877" s="2"/>
      <c r="Q877" s="2"/>
      <c r="S877" s="2"/>
      <c r="T877" s="2"/>
      <c r="V877" s="2"/>
      <c r="W877" s="2"/>
      <c r="Y877" s="2"/>
      <c r="Z877" s="2"/>
      <c r="AB877" s="2"/>
      <c r="AC877" s="2"/>
      <c r="AF877" s="24"/>
    </row>
    <row r="878">
      <c r="A878" s="11"/>
      <c r="B878" s="23"/>
      <c r="C878" s="23"/>
      <c r="D878" s="23"/>
      <c r="E878" s="23"/>
      <c r="F878" s="1"/>
      <c r="G878" s="23"/>
      <c r="H878" s="23"/>
      <c r="I878" s="23"/>
      <c r="J878" s="2"/>
      <c r="M878" s="40"/>
      <c r="N878" s="40"/>
      <c r="O878" s="2"/>
      <c r="P878" s="2"/>
      <c r="Q878" s="2"/>
      <c r="S878" s="2"/>
      <c r="T878" s="2"/>
      <c r="V878" s="2"/>
      <c r="W878" s="2"/>
      <c r="Y878" s="2"/>
      <c r="Z878" s="2"/>
      <c r="AB878" s="2"/>
      <c r="AC878" s="2"/>
      <c r="AF878" s="24"/>
    </row>
    <row r="879">
      <c r="A879" s="11"/>
      <c r="B879" s="23"/>
      <c r="C879" s="23"/>
      <c r="D879" s="23"/>
      <c r="E879" s="23"/>
      <c r="F879" s="1"/>
      <c r="G879" s="23"/>
      <c r="H879" s="23"/>
      <c r="I879" s="23"/>
      <c r="J879" s="2"/>
      <c r="M879" s="40"/>
      <c r="N879" s="40"/>
      <c r="O879" s="2"/>
      <c r="P879" s="2"/>
      <c r="Q879" s="2"/>
      <c r="S879" s="2"/>
      <c r="T879" s="2"/>
      <c r="V879" s="2"/>
      <c r="W879" s="2"/>
      <c r="Y879" s="2"/>
      <c r="Z879" s="2"/>
      <c r="AB879" s="2"/>
      <c r="AC879" s="2"/>
      <c r="AF879" s="24"/>
    </row>
    <row r="880">
      <c r="A880" s="11"/>
      <c r="B880" s="23"/>
      <c r="C880" s="23"/>
      <c r="D880" s="23"/>
      <c r="E880" s="23"/>
      <c r="F880" s="1"/>
      <c r="G880" s="23"/>
      <c r="H880" s="23"/>
      <c r="I880" s="23"/>
      <c r="J880" s="2"/>
      <c r="M880" s="40"/>
      <c r="N880" s="40"/>
      <c r="O880" s="2"/>
      <c r="P880" s="2"/>
      <c r="Q880" s="2"/>
      <c r="S880" s="2"/>
      <c r="T880" s="2"/>
      <c r="V880" s="2"/>
      <c r="W880" s="2"/>
      <c r="Y880" s="2"/>
      <c r="Z880" s="2"/>
      <c r="AB880" s="2"/>
      <c r="AC880" s="2"/>
      <c r="AF880" s="24"/>
    </row>
    <row r="881">
      <c r="A881" s="11"/>
      <c r="B881" s="23"/>
      <c r="C881" s="23"/>
      <c r="D881" s="23"/>
      <c r="E881" s="23"/>
      <c r="F881" s="1"/>
      <c r="G881" s="23"/>
      <c r="H881" s="23"/>
      <c r="I881" s="23"/>
      <c r="J881" s="2"/>
      <c r="M881" s="40"/>
      <c r="N881" s="40"/>
      <c r="O881" s="2"/>
      <c r="P881" s="2"/>
      <c r="Q881" s="2"/>
      <c r="S881" s="2"/>
      <c r="T881" s="2"/>
      <c r="V881" s="2"/>
      <c r="W881" s="2"/>
      <c r="Y881" s="2"/>
      <c r="Z881" s="2"/>
      <c r="AB881" s="2"/>
      <c r="AC881" s="2"/>
      <c r="AF881" s="24"/>
    </row>
    <row r="882">
      <c r="A882" s="11"/>
      <c r="B882" s="23"/>
      <c r="C882" s="23"/>
      <c r="D882" s="23"/>
      <c r="E882" s="23"/>
      <c r="F882" s="1"/>
      <c r="G882" s="23"/>
      <c r="H882" s="23"/>
      <c r="I882" s="23"/>
      <c r="J882" s="2"/>
      <c r="M882" s="40"/>
      <c r="N882" s="40"/>
      <c r="O882" s="2"/>
      <c r="P882" s="2"/>
      <c r="Q882" s="2"/>
      <c r="S882" s="2"/>
      <c r="T882" s="2"/>
      <c r="V882" s="2"/>
      <c r="W882" s="2"/>
      <c r="Y882" s="2"/>
      <c r="Z882" s="2"/>
      <c r="AB882" s="2"/>
      <c r="AC882" s="2"/>
      <c r="AF882" s="24"/>
    </row>
    <row r="883">
      <c r="A883" s="11"/>
      <c r="B883" s="23"/>
      <c r="C883" s="23"/>
      <c r="D883" s="23"/>
      <c r="E883" s="23"/>
      <c r="F883" s="1"/>
      <c r="G883" s="23"/>
      <c r="H883" s="23"/>
      <c r="I883" s="23"/>
      <c r="J883" s="2"/>
      <c r="M883" s="40"/>
      <c r="N883" s="40"/>
      <c r="O883" s="2"/>
      <c r="P883" s="2"/>
      <c r="Q883" s="2"/>
      <c r="S883" s="2"/>
      <c r="T883" s="2"/>
      <c r="V883" s="2"/>
      <c r="W883" s="2"/>
      <c r="Y883" s="2"/>
      <c r="Z883" s="2"/>
      <c r="AB883" s="2"/>
      <c r="AC883" s="2"/>
      <c r="AF883" s="24"/>
    </row>
    <row r="884">
      <c r="A884" s="11"/>
      <c r="B884" s="23"/>
      <c r="C884" s="23"/>
      <c r="D884" s="23"/>
      <c r="E884" s="23"/>
      <c r="F884" s="1"/>
      <c r="G884" s="23"/>
      <c r="H884" s="23"/>
      <c r="I884" s="23"/>
      <c r="J884" s="2"/>
      <c r="M884" s="40"/>
      <c r="N884" s="40"/>
      <c r="O884" s="2"/>
      <c r="P884" s="2"/>
      <c r="Q884" s="2"/>
      <c r="S884" s="2"/>
      <c r="T884" s="2"/>
      <c r="V884" s="2"/>
      <c r="W884" s="2"/>
      <c r="Y884" s="2"/>
      <c r="Z884" s="2"/>
      <c r="AB884" s="2"/>
      <c r="AC884" s="2"/>
      <c r="AF884" s="24"/>
    </row>
    <row r="885">
      <c r="A885" s="11"/>
      <c r="B885" s="23"/>
      <c r="C885" s="23"/>
      <c r="D885" s="23"/>
      <c r="E885" s="23"/>
      <c r="F885" s="1"/>
      <c r="G885" s="23"/>
      <c r="H885" s="23"/>
      <c r="I885" s="23"/>
      <c r="J885" s="2"/>
      <c r="M885" s="40"/>
      <c r="N885" s="40"/>
      <c r="O885" s="2"/>
      <c r="P885" s="2"/>
      <c r="Q885" s="2"/>
      <c r="S885" s="2"/>
      <c r="T885" s="2"/>
      <c r="V885" s="2"/>
      <c r="W885" s="2"/>
      <c r="Y885" s="2"/>
      <c r="Z885" s="2"/>
      <c r="AB885" s="2"/>
      <c r="AC885" s="2"/>
      <c r="AF885" s="24"/>
    </row>
    <row r="886">
      <c r="A886" s="11"/>
      <c r="B886" s="23"/>
      <c r="C886" s="23"/>
      <c r="D886" s="23"/>
      <c r="E886" s="23"/>
      <c r="F886" s="1"/>
      <c r="G886" s="23"/>
      <c r="H886" s="23"/>
      <c r="I886" s="23"/>
      <c r="J886" s="2"/>
      <c r="M886" s="40"/>
      <c r="N886" s="40"/>
      <c r="O886" s="2"/>
      <c r="P886" s="2"/>
      <c r="Q886" s="2"/>
      <c r="S886" s="2"/>
      <c r="T886" s="2"/>
      <c r="V886" s="2"/>
      <c r="W886" s="2"/>
      <c r="Y886" s="2"/>
      <c r="Z886" s="2"/>
      <c r="AB886" s="2"/>
      <c r="AC886" s="2"/>
      <c r="AF886" s="24"/>
    </row>
    <row r="887">
      <c r="A887" s="11"/>
      <c r="B887" s="23"/>
      <c r="C887" s="23"/>
      <c r="D887" s="23"/>
      <c r="E887" s="23"/>
      <c r="F887" s="1"/>
      <c r="G887" s="23"/>
      <c r="H887" s="23"/>
      <c r="I887" s="23"/>
      <c r="J887" s="2"/>
      <c r="M887" s="40"/>
      <c r="N887" s="40"/>
      <c r="O887" s="2"/>
      <c r="P887" s="2"/>
      <c r="Q887" s="2"/>
      <c r="S887" s="2"/>
      <c r="T887" s="2"/>
      <c r="V887" s="2"/>
      <c r="W887" s="2"/>
      <c r="Y887" s="2"/>
      <c r="Z887" s="2"/>
      <c r="AB887" s="2"/>
      <c r="AC887" s="2"/>
      <c r="AF887" s="24"/>
    </row>
    <row r="888">
      <c r="A888" s="11"/>
      <c r="B888" s="23"/>
      <c r="C888" s="23"/>
      <c r="D888" s="23"/>
      <c r="E888" s="23"/>
      <c r="F888" s="1"/>
      <c r="G888" s="23"/>
      <c r="H888" s="23"/>
      <c r="I888" s="23"/>
      <c r="J888" s="2"/>
      <c r="M888" s="40"/>
      <c r="N888" s="40"/>
      <c r="O888" s="2"/>
      <c r="P888" s="2"/>
      <c r="Q888" s="2"/>
      <c r="S888" s="2"/>
      <c r="T888" s="2"/>
      <c r="V888" s="2"/>
      <c r="W888" s="2"/>
      <c r="Y888" s="2"/>
      <c r="Z888" s="2"/>
      <c r="AB888" s="2"/>
      <c r="AC888" s="2"/>
      <c r="AF888" s="24"/>
    </row>
    <row r="889">
      <c r="A889" s="11"/>
      <c r="B889" s="23"/>
      <c r="C889" s="23"/>
      <c r="D889" s="23"/>
      <c r="E889" s="23"/>
      <c r="F889" s="1"/>
      <c r="G889" s="23"/>
      <c r="H889" s="23"/>
      <c r="I889" s="23"/>
      <c r="J889" s="2"/>
      <c r="M889" s="40"/>
      <c r="N889" s="40"/>
      <c r="O889" s="2"/>
      <c r="P889" s="2"/>
      <c r="Q889" s="2"/>
      <c r="S889" s="2"/>
      <c r="T889" s="2"/>
      <c r="V889" s="2"/>
      <c r="W889" s="2"/>
      <c r="Y889" s="2"/>
      <c r="Z889" s="2"/>
      <c r="AB889" s="2"/>
      <c r="AC889" s="2"/>
      <c r="AF889" s="24"/>
    </row>
    <row r="890">
      <c r="A890" s="11"/>
      <c r="B890" s="23"/>
      <c r="C890" s="23"/>
      <c r="D890" s="23"/>
      <c r="E890" s="23"/>
      <c r="F890" s="1"/>
      <c r="G890" s="23"/>
      <c r="H890" s="23"/>
      <c r="I890" s="23"/>
      <c r="J890" s="2"/>
      <c r="M890" s="40"/>
      <c r="N890" s="40"/>
      <c r="O890" s="2"/>
      <c r="P890" s="2"/>
      <c r="Q890" s="2"/>
      <c r="S890" s="2"/>
      <c r="T890" s="2"/>
      <c r="V890" s="2"/>
      <c r="W890" s="2"/>
      <c r="Y890" s="2"/>
      <c r="Z890" s="2"/>
      <c r="AB890" s="2"/>
      <c r="AC890" s="2"/>
      <c r="AF890" s="24"/>
    </row>
    <row r="891">
      <c r="A891" s="11"/>
      <c r="B891" s="23"/>
      <c r="C891" s="23"/>
      <c r="D891" s="23"/>
      <c r="E891" s="23"/>
      <c r="F891" s="1"/>
      <c r="G891" s="23"/>
      <c r="H891" s="23"/>
      <c r="I891" s="23"/>
      <c r="J891" s="2"/>
      <c r="M891" s="40"/>
      <c r="N891" s="40"/>
      <c r="O891" s="2"/>
      <c r="P891" s="2"/>
      <c r="Q891" s="2"/>
      <c r="S891" s="2"/>
      <c r="T891" s="2"/>
      <c r="V891" s="2"/>
      <c r="W891" s="2"/>
      <c r="Y891" s="2"/>
      <c r="Z891" s="2"/>
      <c r="AB891" s="2"/>
      <c r="AC891" s="2"/>
      <c r="AF891" s="24"/>
    </row>
    <row r="892">
      <c r="A892" s="11"/>
      <c r="B892" s="23"/>
      <c r="C892" s="23"/>
      <c r="D892" s="23"/>
      <c r="E892" s="23"/>
      <c r="F892" s="1"/>
      <c r="G892" s="23"/>
      <c r="H892" s="23"/>
      <c r="I892" s="23"/>
      <c r="J892" s="2"/>
      <c r="M892" s="40"/>
      <c r="N892" s="40"/>
      <c r="O892" s="2"/>
      <c r="P892" s="2"/>
      <c r="Q892" s="2"/>
      <c r="S892" s="2"/>
      <c r="T892" s="2"/>
      <c r="V892" s="2"/>
      <c r="W892" s="2"/>
      <c r="Y892" s="2"/>
      <c r="Z892" s="2"/>
      <c r="AB892" s="2"/>
      <c r="AC892" s="2"/>
      <c r="AF892" s="24"/>
    </row>
    <row r="893">
      <c r="A893" s="11"/>
      <c r="B893" s="23"/>
      <c r="C893" s="23"/>
      <c r="D893" s="23"/>
      <c r="E893" s="23"/>
      <c r="F893" s="1"/>
      <c r="G893" s="23"/>
      <c r="H893" s="23"/>
      <c r="I893" s="23"/>
      <c r="J893" s="2"/>
      <c r="M893" s="40"/>
      <c r="N893" s="40"/>
      <c r="O893" s="2"/>
      <c r="P893" s="2"/>
      <c r="Q893" s="2"/>
      <c r="S893" s="2"/>
      <c r="T893" s="2"/>
      <c r="V893" s="2"/>
      <c r="W893" s="2"/>
      <c r="Y893" s="2"/>
      <c r="Z893" s="2"/>
      <c r="AB893" s="2"/>
      <c r="AC893" s="2"/>
      <c r="AF893" s="24"/>
    </row>
    <row r="894">
      <c r="A894" s="11"/>
      <c r="B894" s="23"/>
      <c r="C894" s="23"/>
      <c r="D894" s="23"/>
      <c r="E894" s="23"/>
      <c r="F894" s="1"/>
      <c r="G894" s="23"/>
      <c r="H894" s="23"/>
      <c r="I894" s="23"/>
      <c r="J894" s="2"/>
      <c r="M894" s="40"/>
      <c r="N894" s="40"/>
      <c r="O894" s="2"/>
      <c r="P894" s="2"/>
      <c r="Q894" s="2"/>
      <c r="S894" s="2"/>
      <c r="T894" s="2"/>
      <c r="V894" s="2"/>
      <c r="W894" s="2"/>
      <c r="Y894" s="2"/>
      <c r="Z894" s="2"/>
      <c r="AB894" s="2"/>
      <c r="AC894" s="2"/>
      <c r="AF894" s="24"/>
    </row>
    <row r="895">
      <c r="A895" s="11"/>
      <c r="B895" s="23"/>
      <c r="C895" s="23"/>
      <c r="D895" s="23"/>
      <c r="E895" s="23"/>
      <c r="F895" s="1"/>
      <c r="G895" s="23"/>
      <c r="H895" s="23"/>
      <c r="I895" s="23"/>
      <c r="J895" s="2"/>
      <c r="M895" s="40"/>
      <c r="N895" s="40"/>
      <c r="O895" s="2"/>
      <c r="P895" s="2"/>
      <c r="Q895" s="2"/>
      <c r="S895" s="2"/>
      <c r="T895" s="2"/>
      <c r="V895" s="2"/>
      <c r="W895" s="2"/>
      <c r="Y895" s="2"/>
      <c r="Z895" s="2"/>
      <c r="AB895" s="2"/>
      <c r="AC895" s="2"/>
      <c r="AF895" s="24"/>
    </row>
    <row r="896">
      <c r="A896" s="11"/>
      <c r="B896" s="23"/>
      <c r="C896" s="23"/>
      <c r="D896" s="23"/>
      <c r="E896" s="23"/>
      <c r="F896" s="1"/>
      <c r="G896" s="23"/>
      <c r="H896" s="23"/>
      <c r="I896" s="23"/>
      <c r="J896" s="2"/>
      <c r="M896" s="40"/>
      <c r="N896" s="40"/>
      <c r="O896" s="2"/>
      <c r="P896" s="2"/>
      <c r="Q896" s="2"/>
      <c r="S896" s="2"/>
      <c r="T896" s="2"/>
      <c r="V896" s="2"/>
      <c r="W896" s="2"/>
      <c r="Y896" s="2"/>
      <c r="Z896" s="2"/>
      <c r="AB896" s="2"/>
      <c r="AC896" s="2"/>
      <c r="AF896" s="24"/>
    </row>
    <row r="897">
      <c r="A897" s="11"/>
      <c r="B897" s="23"/>
      <c r="C897" s="23"/>
      <c r="D897" s="23"/>
      <c r="E897" s="23"/>
      <c r="F897" s="1"/>
      <c r="G897" s="23"/>
      <c r="H897" s="23"/>
      <c r="I897" s="23"/>
      <c r="J897" s="2"/>
      <c r="M897" s="40"/>
      <c r="N897" s="40"/>
      <c r="O897" s="2"/>
      <c r="P897" s="2"/>
      <c r="Q897" s="2"/>
      <c r="S897" s="2"/>
      <c r="T897" s="2"/>
      <c r="V897" s="2"/>
      <c r="W897" s="2"/>
      <c r="Y897" s="2"/>
      <c r="Z897" s="2"/>
      <c r="AB897" s="2"/>
      <c r="AC897" s="2"/>
      <c r="AF897" s="24"/>
    </row>
    <row r="898">
      <c r="A898" s="11"/>
      <c r="B898" s="23"/>
      <c r="C898" s="23"/>
      <c r="D898" s="23"/>
      <c r="E898" s="23"/>
      <c r="F898" s="1"/>
      <c r="G898" s="23"/>
      <c r="H898" s="23"/>
      <c r="I898" s="23"/>
      <c r="J898" s="2"/>
      <c r="M898" s="40"/>
      <c r="N898" s="40"/>
      <c r="O898" s="2"/>
      <c r="P898" s="2"/>
      <c r="Q898" s="2"/>
      <c r="S898" s="2"/>
      <c r="T898" s="2"/>
      <c r="V898" s="2"/>
      <c r="W898" s="2"/>
      <c r="Y898" s="2"/>
      <c r="Z898" s="2"/>
      <c r="AB898" s="2"/>
      <c r="AC898" s="2"/>
      <c r="AF898" s="24"/>
    </row>
    <row r="899">
      <c r="A899" s="11"/>
      <c r="B899" s="23"/>
      <c r="C899" s="23"/>
      <c r="D899" s="23"/>
      <c r="E899" s="23"/>
      <c r="F899" s="1"/>
      <c r="G899" s="23"/>
      <c r="H899" s="23"/>
      <c r="I899" s="23"/>
      <c r="J899" s="2"/>
      <c r="M899" s="40"/>
      <c r="N899" s="40"/>
      <c r="O899" s="2"/>
      <c r="P899" s="2"/>
      <c r="Q899" s="2"/>
      <c r="S899" s="2"/>
      <c r="T899" s="2"/>
      <c r="V899" s="2"/>
      <c r="W899" s="2"/>
      <c r="Y899" s="2"/>
      <c r="Z899" s="2"/>
      <c r="AB899" s="2"/>
      <c r="AC899" s="2"/>
      <c r="AF899" s="24"/>
    </row>
    <row r="900">
      <c r="A900" s="11"/>
      <c r="B900" s="23"/>
      <c r="C900" s="23"/>
      <c r="D900" s="23"/>
      <c r="E900" s="23"/>
      <c r="F900" s="1"/>
      <c r="G900" s="23"/>
      <c r="H900" s="23"/>
      <c r="I900" s="23"/>
      <c r="J900" s="2"/>
      <c r="M900" s="40"/>
      <c r="N900" s="40"/>
      <c r="O900" s="2"/>
      <c r="P900" s="2"/>
      <c r="Q900" s="2"/>
      <c r="S900" s="2"/>
      <c r="T900" s="2"/>
      <c r="V900" s="2"/>
      <c r="W900" s="2"/>
      <c r="Y900" s="2"/>
      <c r="Z900" s="2"/>
      <c r="AB900" s="2"/>
      <c r="AC900" s="2"/>
      <c r="AF900" s="24"/>
    </row>
    <row r="901">
      <c r="A901" s="11"/>
      <c r="B901" s="23"/>
      <c r="C901" s="23"/>
      <c r="D901" s="23"/>
      <c r="E901" s="23"/>
      <c r="F901" s="1"/>
      <c r="G901" s="23"/>
      <c r="H901" s="23"/>
      <c r="I901" s="23"/>
      <c r="J901" s="2"/>
      <c r="M901" s="40"/>
      <c r="N901" s="40"/>
      <c r="O901" s="2"/>
      <c r="P901" s="2"/>
      <c r="Q901" s="2"/>
      <c r="S901" s="2"/>
      <c r="T901" s="2"/>
      <c r="V901" s="2"/>
      <c r="W901" s="2"/>
      <c r="Y901" s="2"/>
      <c r="Z901" s="2"/>
      <c r="AB901" s="2"/>
      <c r="AC901" s="2"/>
      <c r="AF901" s="24"/>
    </row>
    <row r="902">
      <c r="A902" s="11"/>
      <c r="B902" s="23"/>
      <c r="C902" s="23"/>
      <c r="D902" s="23"/>
      <c r="E902" s="23"/>
      <c r="F902" s="1"/>
      <c r="G902" s="23"/>
      <c r="H902" s="23"/>
      <c r="I902" s="23"/>
      <c r="J902" s="2"/>
      <c r="M902" s="40"/>
      <c r="N902" s="40"/>
      <c r="O902" s="2"/>
      <c r="P902" s="2"/>
      <c r="Q902" s="2"/>
      <c r="S902" s="2"/>
      <c r="T902" s="2"/>
      <c r="V902" s="2"/>
      <c r="W902" s="2"/>
      <c r="Y902" s="2"/>
      <c r="Z902" s="2"/>
      <c r="AB902" s="2"/>
      <c r="AC902" s="2"/>
      <c r="AF902" s="24"/>
    </row>
    <row r="903">
      <c r="A903" s="11"/>
      <c r="B903" s="23"/>
      <c r="C903" s="23"/>
      <c r="D903" s="23"/>
      <c r="E903" s="23"/>
      <c r="F903" s="1"/>
      <c r="G903" s="23"/>
      <c r="H903" s="23"/>
      <c r="I903" s="23"/>
      <c r="J903" s="2"/>
      <c r="M903" s="40"/>
      <c r="N903" s="40"/>
      <c r="O903" s="2"/>
      <c r="P903" s="2"/>
      <c r="Q903" s="2"/>
      <c r="S903" s="2"/>
      <c r="T903" s="2"/>
      <c r="V903" s="2"/>
      <c r="W903" s="2"/>
      <c r="Y903" s="2"/>
      <c r="Z903" s="2"/>
      <c r="AB903" s="2"/>
      <c r="AC903" s="2"/>
      <c r="AF903" s="24"/>
    </row>
    <row r="904">
      <c r="A904" s="11"/>
      <c r="B904" s="23"/>
      <c r="C904" s="23"/>
      <c r="D904" s="23"/>
      <c r="E904" s="23"/>
      <c r="F904" s="1"/>
      <c r="G904" s="23"/>
      <c r="H904" s="23"/>
      <c r="I904" s="23"/>
      <c r="J904" s="2"/>
      <c r="M904" s="40"/>
      <c r="N904" s="40"/>
      <c r="O904" s="2"/>
      <c r="P904" s="2"/>
      <c r="Q904" s="2"/>
      <c r="S904" s="2"/>
      <c r="T904" s="2"/>
      <c r="V904" s="2"/>
      <c r="W904" s="2"/>
      <c r="Y904" s="2"/>
      <c r="Z904" s="2"/>
      <c r="AB904" s="2"/>
      <c r="AC904" s="2"/>
      <c r="AF904" s="24"/>
    </row>
    <row r="905">
      <c r="A905" s="11"/>
      <c r="B905" s="23"/>
      <c r="C905" s="23"/>
      <c r="D905" s="23"/>
      <c r="E905" s="23"/>
      <c r="F905" s="1"/>
      <c r="G905" s="23"/>
      <c r="H905" s="23"/>
      <c r="I905" s="23"/>
      <c r="J905" s="2"/>
      <c r="M905" s="40"/>
      <c r="N905" s="40"/>
      <c r="O905" s="2"/>
      <c r="P905" s="2"/>
      <c r="Q905" s="2"/>
      <c r="S905" s="2"/>
      <c r="T905" s="2"/>
      <c r="V905" s="2"/>
      <c r="W905" s="2"/>
      <c r="Y905" s="2"/>
      <c r="Z905" s="2"/>
      <c r="AB905" s="2"/>
      <c r="AC905" s="2"/>
      <c r="AF905" s="24"/>
    </row>
    <row r="906">
      <c r="A906" s="11"/>
      <c r="B906" s="23"/>
      <c r="C906" s="23"/>
      <c r="D906" s="23"/>
      <c r="E906" s="23"/>
      <c r="F906" s="1"/>
      <c r="G906" s="23"/>
      <c r="H906" s="23"/>
      <c r="I906" s="23"/>
      <c r="J906" s="2"/>
      <c r="M906" s="40"/>
      <c r="N906" s="40"/>
      <c r="O906" s="2"/>
      <c r="P906" s="2"/>
      <c r="Q906" s="2"/>
      <c r="S906" s="2"/>
      <c r="T906" s="2"/>
      <c r="V906" s="2"/>
      <c r="W906" s="2"/>
      <c r="Y906" s="2"/>
      <c r="Z906" s="2"/>
      <c r="AB906" s="2"/>
      <c r="AC906" s="2"/>
      <c r="AF906" s="24"/>
    </row>
    <row r="907">
      <c r="A907" s="11"/>
      <c r="B907" s="23"/>
      <c r="C907" s="23"/>
      <c r="D907" s="23"/>
      <c r="E907" s="23"/>
      <c r="F907" s="1"/>
      <c r="G907" s="23"/>
      <c r="H907" s="23"/>
      <c r="I907" s="23"/>
      <c r="J907" s="2"/>
      <c r="M907" s="40"/>
      <c r="N907" s="40"/>
      <c r="O907" s="2"/>
      <c r="P907" s="2"/>
      <c r="Q907" s="2"/>
      <c r="S907" s="2"/>
      <c r="T907" s="2"/>
      <c r="V907" s="2"/>
      <c r="W907" s="2"/>
      <c r="Y907" s="2"/>
      <c r="Z907" s="2"/>
      <c r="AB907" s="2"/>
      <c r="AC907" s="2"/>
      <c r="AF907" s="24"/>
    </row>
    <row r="908">
      <c r="A908" s="11"/>
      <c r="B908" s="23"/>
      <c r="C908" s="23"/>
      <c r="D908" s="23"/>
      <c r="E908" s="23"/>
      <c r="F908" s="1"/>
      <c r="G908" s="23"/>
      <c r="H908" s="23"/>
      <c r="I908" s="23"/>
      <c r="J908" s="2"/>
      <c r="M908" s="40"/>
      <c r="N908" s="40"/>
      <c r="O908" s="2"/>
      <c r="P908" s="2"/>
      <c r="Q908" s="2"/>
      <c r="S908" s="2"/>
      <c r="T908" s="2"/>
      <c r="V908" s="2"/>
      <c r="W908" s="2"/>
      <c r="Y908" s="2"/>
      <c r="Z908" s="2"/>
      <c r="AB908" s="2"/>
      <c r="AC908" s="2"/>
      <c r="AF908" s="24"/>
    </row>
    <row r="909">
      <c r="A909" s="11"/>
      <c r="B909" s="23"/>
      <c r="C909" s="23"/>
      <c r="D909" s="23"/>
      <c r="E909" s="23"/>
      <c r="F909" s="1"/>
      <c r="G909" s="23"/>
      <c r="H909" s="23"/>
      <c r="I909" s="23"/>
      <c r="J909" s="2"/>
      <c r="M909" s="40"/>
      <c r="N909" s="40"/>
      <c r="O909" s="2"/>
      <c r="P909" s="2"/>
      <c r="Q909" s="2"/>
      <c r="S909" s="2"/>
      <c r="T909" s="2"/>
      <c r="V909" s="2"/>
      <c r="W909" s="2"/>
      <c r="Y909" s="2"/>
      <c r="Z909" s="2"/>
      <c r="AB909" s="2"/>
      <c r="AC909" s="2"/>
      <c r="AF909" s="24"/>
    </row>
    <row r="910">
      <c r="A910" s="11"/>
      <c r="B910" s="23"/>
      <c r="C910" s="23"/>
      <c r="D910" s="23"/>
      <c r="E910" s="23"/>
      <c r="F910" s="1"/>
      <c r="G910" s="23"/>
      <c r="H910" s="23"/>
      <c r="I910" s="23"/>
      <c r="J910" s="2"/>
      <c r="M910" s="40"/>
      <c r="N910" s="40"/>
      <c r="O910" s="2"/>
      <c r="P910" s="2"/>
      <c r="Q910" s="2"/>
      <c r="S910" s="2"/>
      <c r="T910" s="2"/>
      <c r="V910" s="2"/>
      <c r="W910" s="2"/>
      <c r="Y910" s="2"/>
      <c r="Z910" s="2"/>
      <c r="AB910" s="2"/>
      <c r="AC910" s="2"/>
      <c r="AF910" s="24"/>
    </row>
    <row r="911">
      <c r="A911" s="11"/>
      <c r="B911" s="23"/>
      <c r="C911" s="23"/>
      <c r="D911" s="23"/>
      <c r="E911" s="23"/>
      <c r="F911" s="1"/>
      <c r="G911" s="23"/>
      <c r="H911" s="23"/>
      <c r="I911" s="23"/>
      <c r="J911" s="2"/>
      <c r="M911" s="40"/>
      <c r="N911" s="40"/>
      <c r="O911" s="2"/>
      <c r="P911" s="2"/>
      <c r="Q911" s="2"/>
      <c r="S911" s="2"/>
      <c r="T911" s="2"/>
      <c r="V911" s="2"/>
      <c r="W911" s="2"/>
      <c r="Y911" s="2"/>
      <c r="Z911" s="2"/>
      <c r="AB911" s="2"/>
      <c r="AC911" s="2"/>
      <c r="AF911" s="24"/>
    </row>
    <row r="912">
      <c r="A912" s="11"/>
      <c r="B912" s="23"/>
      <c r="C912" s="23"/>
      <c r="D912" s="23"/>
      <c r="E912" s="23"/>
      <c r="F912" s="1"/>
      <c r="G912" s="23"/>
      <c r="H912" s="23"/>
      <c r="I912" s="23"/>
      <c r="J912" s="2"/>
      <c r="M912" s="40"/>
      <c r="N912" s="40"/>
      <c r="O912" s="2"/>
      <c r="P912" s="2"/>
      <c r="Q912" s="2"/>
      <c r="S912" s="2"/>
      <c r="T912" s="2"/>
      <c r="V912" s="2"/>
      <c r="W912" s="2"/>
      <c r="Y912" s="2"/>
      <c r="Z912" s="2"/>
      <c r="AB912" s="2"/>
      <c r="AC912" s="2"/>
      <c r="AF912" s="24"/>
    </row>
    <row r="913">
      <c r="A913" s="11"/>
      <c r="B913" s="23"/>
      <c r="C913" s="23"/>
      <c r="D913" s="23"/>
      <c r="E913" s="23"/>
      <c r="F913" s="1"/>
      <c r="G913" s="23"/>
      <c r="H913" s="23"/>
      <c r="I913" s="23"/>
      <c r="J913" s="2"/>
      <c r="M913" s="40"/>
      <c r="N913" s="40"/>
      <c r="O913" s="2"/>
      <c r="P913" s="2"/>
      <c r="Q913" s="2"/>
      <c r="S913" s="2"/>
      <c r="T913" s="2"/>
      <c r="V913" s="2"/>
      <c r="W913" s="2"/>
      <c r="Y913" s="2"/>
      <c r="Z913" s="2"/>
      <c r="AB913" s="2"/>
      <c r="AC913" s="2"/>
      <c r="AF913" s="24"/>
    </row>
    <row r="914">
      <c r="A914" s="11"/>
      <c r="B914" s="23"/>
      <c r="C914" s="23"/>
      <c r="D914" s="23"/>
      <c r="E914" s="23"/>
      <c r="F914" s="1"/>
      <c r="G914" s="23"/>
      <c r="H914" s="23"/>
      <c r="I914" s="23"/>
      <c r="J914" s="2"/>
      <c r="M914" s="40"/>
      <c r="N914" s="40"/>
      <c r="O914" s="2"/>
      <c r="P914" s="2"/>
      <c r="Q914" s="2"/>
      <c r="S914" s="2"/>
      <c r="T914" s="2"/>
      <c r="V914" s="2"/>
      <c r="W914" s="2"/>
      <c r="Y914" s="2"/>
      <c r="Z914" s="2"/>
      <c r="AB914" s="2"/>
      <c r="AC914" s="2"/>
      <c r="AF914" s="24"/>
    </row>
    <row r="915">
      <c r="A915" s="11"/>
      <c r="B915" s="23"/>
      <c r="C915" s="23"/>
      <c r="D915" s="23"/>
      <c r="E915" s="23"/>
      <c r="F915" s="1"/>
      <c r="G915" s="23"/>
      <c r="H915" s="23"/>
      <c r="I915" s="23"/>
      <c r="J915" s="2"/>
      <c r="M915" s="40"/>
      <c r="N915" s="40"/>
      <c r="O915" s="2"/>
      <c r="P915" s="2"/>
      <c r="Q915" s="2"/>
      <c r="S915" s="2"/>
      <c r="T915" s="2"/>
      <c r="V915" s="2"/>
      <c r="W915" s="2"/>
      <c r="Y915" s="2"/>
      <c r="Z915" s="2"/>
      <c r="AB915" s="2"/>
      <c r="AC915" s="2"/>
      <c r="AF915" s="24"/>
    </row>
    <row r="916">
      <c r="A916" s="11"/>
      <c r="B916" s="23"/>
      <c r="C916" s="23"/>
      <c r="D916" s="23"/>
      <c r="E916" s="23"/>
      <c r="F916" s="1"/>
      <c r="G916" s="23"/>
      <c r="H916" s="23"/>
      <c r="I916" s="23"/>
      <c r="J916" s="2"/>
      <c r="M916" s="40"/>
      <c r="N916" s="40"/>
      <c r="O916" s="2"/>
      <c r="P916" s="2"/>
      <c r="Q916" s="2"/>
      <c r="S916" s="2"/>
      <c r="T916" s="2"/>
      <c r="V916" s="2"/>
      <c r="W916" s="2"/>
      <c r="Y916" s="2"/>
      <c r="Z916" s="2"/>
      <c r="AB916" s="2"/>
      <c r="AC916" s="2"/>
      <c r="AF916" s="24"/>
    </row>
    <row r="917">
      <c r="A917" s="11"/>
      <c r="B917" s="23"/>
      <c r="C917" s="23"/>
      <c r="D917" s="23"/>
      <c r="E917" s="23"/>
      <c r="F917" s="1"/>
      <c r="G917" s="23"/>
      <c r="H917" s="23"/>
      <c r="I917" s="23"/>
      <c r="J917" s="2"/>
      <c r="M917" s="40"/>
      <c r="N917" s="40"/>
      <c r="O917" s="2"/>
      <c r="P917" s="2"/>
      <c r="Q917" s="2"/>
      <c r="S917" s="2"/>
      <c r="T917" s="2"/>
      <c r="V917" s="2"/>
      <c r="W917" s="2"/>
      <c r="Y917" s="2"/>
      <c r="Z917" s="2"/>
      <c r="AB917" s="2"/>
      <c r="AC917" s="2"/>
      <c r="AF917" s="24"/>
    </row>
    <row r="918">
      <c r="A918" s="11"/>
      <c r="B918" s="23"/>
      <c r="C918" s="23"/>
      <c r="D918" s="23"/>
      <c r="E918" s="23"/>
      <c r="F918" s="1"/>
      <c r="G918" s="23"/>
      <c r="H918" s="23"/>
      <c r="I918" s="23"/>
      <c r="J918" s="2"/>
      <c r="M918" s="40"/>
      <c r="N918" s="40"/>
      <c r="O918" s="2"/>
      <c r="P918" s="2"/>
      <c r="Q918" s="2"/>
      <c r="S918" s="2"/>
      <c r="T918" s="2"/>
      <c r="V918" s="2"/>
      <c r="W918" s="2"/>
      <c r="Y918" s="2"/>
      <c r="Z918" s="2"/>
      <c r="AB918" s="2"/>
      <c r="AC918" s="2"/>
      <c r="AF918" s="24"/>
    </row>
    <row r="919">
      <c r="A919" s="11"/>
      <c r="B919" s="23"/>
      <c r="C919" s="23"/>
      <c r="D919" s="23"/>
      <c r="E919" s="23"/>
      <c r="F919" s="1"/>
      <c r="G919" s="23"/>
      <c r="H919" s="23"/>
      <c r="I919" s="23"/>
      <c r="J919" s="2"/>
      <c r="M919" s="40"/>
      <c r="N919" s="40"/>
      <c r="O919" s="2"/>
      <c r="P919" s="2"/>
      <c r="Q919" s="2"/>
      <c r="S919" s="2"/>
      <c r="T919" s="2"/>
      <c r="V919" s="2"/>
      <c r="W919" s="2"/>
      <c r="Y919" s="2"/>
      <c r="Z919" s="2"/>
      <c r="AB919" s="2"/>
      <c r="AC919" s="2"/>
      <c r="AF919" s="24"/>
    </row>
    <row r="920">
      <c r="A920" s="11"/>
      <c r="B920" s="23"/>
      <c r="C920" s="23"/>
      <c r="D920" s="23"/>
      <c r="E920" s="23"/>
      <c r="F920" s="1"/>
      <c r="G920" s="23"/>
      <c r="H920" s="23"/>
      <c r="I920" s="23"/>
      <c r="J920" s="2"/>
      <c r="M920" s="40"/>
      <c r="N920" s="40"/>
      <c r="O920" s="2"/>
      <c r="P920" s="2"/>
      <c r="Q920" s="2"/>
      <c r="S920" s="2"/>
      <c r="T920" s="2"/>
      <c r="V920" s="2"/>
      <c r="W920" s="2"/>
      <c r="Y920" s="2"/>
      <c r="Z920" s="2"/>
      <c r="AB920" s="2"/>
      <c r="AC920" s="2"/>
      <c r="AF920" s="24"/>
    </row>
    <row r="921">
      <c r="A921" s="11"/>
      <c r="B921" s="23"/>
      <c r="C921" s="23"/>
      <c r="D921" s="23"/>
      <c r="E921" s="23"/>
      <c r="F921" s="1"/>
      <c r="G921" s="23"/>
      <c r="H921" s="23"/>
      <c r="I921" s="23"/>
      <c r="J921" s="2"/>
      <c r="M921" s="40"/>
      <c r="N921" s="40"/>
      <c r="O921" s="2"/>
      <c r="P921" s="2"/>
      <c r="Q921" s="2"/>
      <c r="S921" s="2"/>
      <c r="T921" s="2"/>
      <c r="V921" s="2"/>
      <c r="W921" s="2"/>
      <c r="Y921" s="2"/>
      <c r="Z921" s="2"/>
      <c r="AB921" s="2"/>
      <c r="AC921" s="2"/>
      <c r="AF921" s="24"/>
    </row>
    <row r="922">
      <c r="A922" s="11"/>
      <c r="B922" s="23"/>
      <c r="C922" s="23"/>
      <c r="D922" s="23"/>
      <c r="E922" s="23"/>
      <c r="F922" s="1"/>
      <c r="G922" s="23"/>
      <c r="H922" s="23"/>
      <c r="I922" s="23"/>
      <c r="J922" s="2"/>
      <c r="M922" s="40"/>
      <c r="N922" s="40"/>
      <c r="O922" s="2"/>
      <c r="P922" s="2"/>
      <c r="Q922" s="2"/>
      <c r="S922" s="2"/>
      <c r="T922" s="2"/>
      <c r="V922" s="2"/>
      <c r="W922" s="2"/>
      <c r="Y922" s="2"/>
      <c r="Z922" s="2"/>
      <c r="AB922" s="2"/>
      <c r="AC922" s="2"/>
      <c r="AF922" s="24"/>
    </row>
    <row r="923">
      <c r="A923" s="11"/>
      <c r="B923" s="23"/>
      <c r="C923" s="23"/>
      <c r="D923" s="23"/>
      <c r="E923" s="23"/>
      <c r="F923" s="1"/>
      <c r="G923" s="23"/>
      <c r="H923" s="23"/>
      <c r="I923" s="23"/>
      <c r="J923" s="2"/>
      <c r="M923" s="40"/>
      <c r="N923" s="40"/>
      <c r="O923" s="2"/>
      <c r="P923" s="2"/>
      <c r="Q923" s="2"/>
      <c r="S923" s="2"/>
      <c r="T923" s="2"/>
      <c r="V923" s="2"/>
      <c r="W923" s="2"/>
      <c r="Y923" s="2"/>
      <c r="Z923" s="2"/>
      <c r="AB923" s="2"/>
      <c r="AC923" s="2"/>
      <c r="AF923" s="24"/>
    </row>
    <row r="924">
      <c r="A924" s="11"/>
      <c r="B924" s="23"/>
      <c r="C924" s="23"/>
      <c r="D924" s="23"/>
      <c r="E924" s="23"/>
      <c r="F924" s="1"/>
      <c r="G924" s="23"/>
      <c r="H924" s="23"/>
      <c r="I924" s="23"/>
      <c r="J924" s="2"/>
      <c r="M924" s="40"/>
      <c r="N924" s="40"/>
      <c r="O924" s="2"/>
      <c r="P924" s="2"/>
      <c r="Q924" s="2"/>
      <c r="S924" s="2"/>
      <c r="T924" s="2"/>
      <c r="V924" s="2"/>
      <c r="W924" s="2"/>
      <c r="Y924" s="2"/>
      <c r="Z924" s="2"/>
      <c r="AB924" s="2"/>
      <c r="AC924" s="2"/>
      <c r="AF924" s="24"/>
    </row>
    <row r="925">
      <c r="A925" s="11"/>
      <c r="B925" s="23"/>
      <c r="C925" s="23"/>
      <c r="D925" s="23"/>
      <c r="E925" s="23"/>
      <c r="F925" s="1"/>
      <c r="G925" s="23"/>
      <c r="H925" s="23"/>
      <c r="I925" s="23"/>
      <c r="J925" s="2"/>
      <c r="M925" s="40"/>
      <c r="N925" s="40"/>
      <c r="O925" s="2"/>
      <c r="P925" s="2"/>
      <c r="Q925" s="2"/>
      <c r="S925" s="2"/>
      <c r="T925" s="2"/>
      <c r="V925" s="2"/>
      <c r="W925" s="2"/>
      <c r="Y925" s="2"/>
      <c r="Z925" s="2"/>
      <c r="AB925" s="2"/>
      <c r="AC925" s="2"/>
      <c r="AF925" s="24"/>
    </row>
    <row r="926">
      <c r="A926" s="11"/>
      <c r="B926" s="23"/>
      <c r="C926" s="23"/>
      <c r="D926" s="23"/>
      <c r="E926" s="23"/>
      <c r="F926" s="1"/>
      <c r="G926" s="23"/>
      <c r="H926" s="23"/>
      <c r="I926" s="23"/>
      <c r="J926" s="2"/>
      <c r="M926" s="40"/>
      <c r="N926" s="40"/>
      <c r="O926" s="2"/>
      <c r="P926" s="2"/>
      <c r="Q926" s="2"/>
      <c r="S926" s="2"/>
      <c r="T926" s="2"/>
      <c r="V926" s="2"/>
      <c r="W926" s="2"/>
      <c r="Y926" s="2"/>
      <c r="Z926" s="2"/>
      <c r="AB926" s="2"/>
      <c r="AC926" s="2"/>
      <c r="AF926" s="24"/>
    </row>
    <row r="927">
      <c r="A927" s="11"/>
      <c r="B927" s="23"/>
      <c r="C927" s="23"/>
      <c r="D927" s="23"/>
      <c r="E927" s="23"/>
      <c r="F927" s="1"/>
      <c r="G927" s="23"/>
      <c r="H927" s="23"/>
      <c r="I927" s="23"/>
      <c r="J927" s="2"/>
      <c r="M927" s="40"/>
      <c r="N927" s="40"/>
      <c r="O927" s="2"/>
      <c r="P927" s="2"/>
      <c r="Q927" s="2"/>
      <c r="S927" s="2"/>
      <c r="T927" s="2"/>
      <c r="V927" s="2"/>
      <c r="W927" s="2"/>
      <c r="Y927" s="2"/>
      <c r="Z927" s="2"/>
      <c r="AB927" s="2"/>
      <c r="AC927" s="2"/>
      <c r="AF927" s="24"/>
    </row>
    <row r="928">
      <c r="A928" s="11"/>
      <c r="B928" s="23"/>
      <c r="C928" s="23"/>
      <c r="D928" s="23"/>
      <c r="E928" s="23"/>
      <c r="F928" s="1"/>
      <c r="G928" s="23"/>
      <c r="H928" s="23"/>
      <c r="I928" s="23"/>
      <c r="J928" s="2"/>
      <c r="M928" s="40"/>
      <c r="N928" s="40"/>
      <c r="O928" s="2"/>
      <c r="P928" s="2"/>
      <c r="Q928" s="2"/>
      <c r="S928" s="2"/>
      <c r="T928" s="2"/>
      <c r="V928" s="2"/>
      <c r="W928" s="2"/>
      <c r="Y928" s="2"/>
      <c r="Z928" s="2"/>
      <c r="AB928" s="2"/>
      <c r="AC928" s="2"/>
      <c r="AF928" s="24"/>
    </row>
    <row r="929">
      <c r="A929" s="11"/>
      <c r="B929" s="23"/>
      <c r="C929" s="23"/>
      <c r="D929" s="23"/>
      <c r="E929" s="23"/>
      <c r="F929" s="1"/>
      <c r="G929" s="23"/>
      <c r="H929" s="23"/>
      <c r="I929" s="23"/>
      <c r="J929" s="2"/>
      <c r="M929" s="40"/>
      <c r="N929" s="40"/>
      <c r="O929" s="2"/>
      <c r="P929" s="2"/>
      <c r="Q929" s="2"/>
      <c r="S929" s="2"/>
      <c r="T929" s="2"/>
      <c r="V929" s="2"/>
      <c r="W929" s="2"/>
      <c r="Y929" s="2"/>
      <c r="Z929" s="2"/>
      <c r="AB929" s="2"/>
      <c r="AC929" s="2"/>
      <c r="AF929" s="24"/>
    </row>
    <row r="930">
      <c r="A930" s="11"/>
      <c r="B930" s="23"/>
      <c r="C930" s="23"/>
      <c r="D930" s="23"/>
      <c r="E930" s="23"/>
      <c r="F930" s="1"/>
      <c r="G930" s="23"/>
      <c r="H930" s="23"/>
      <c r="I930" s="23"/>
      <c r="J930" s="2"/>
      <c r="M930" s="40"/>
      <c r="N930" s="40"/>
      <c r="O930" s="2"/>
      <c r="P930" s="2"/>
      <c r="Q930" s="2"/>
      <c r="S930" s="2"/>
      <c r="T930" s="2"/>
      <c r="V930" s="2"/>
      <c r="W930" s="2"/>
      <c r="Y930" s="2"/>
      <c r="Z930" s="2"/>
      <c r="AB930" s="2"/>
      <c r="AC930" s="2"/>
      <c r="AF930" s="24"/>
    </row>
    <row r="931">
      <c r="A931" s="11"/>
      <c r="B931" s="23"/>
      <c r="C931" s="23"/>
      <c r="D931" s="23"/>
      <c r="E931" s="23"/>
      <c r="F931" s="1"/>
      <c r="G931" s="23"/>
      <c r="H931" s="23"/>
      <c r="I931" s="23"/>
      <c r="J931" s="2"/>
      <c r="M931" s="40"/>
      <c r="N931" s="40"/>
      <c r="O931" s="2"/>
      <c r="P931" s="2"/>
      <c r="Q931" s="2"/>
      <c r="S931" s="2"/>
      <c r="T931" s="2"/>
      <c r="V931" s="2"/>
      <c r="W931" s="2"/>
      <c r="Y931" s="2"/>
      <c r="Z931" s="2"/>
      <c r="AB931" s="2"/>
      <c r="AC931" s="2"/>
      <c r="AF931" s="24"/>
    </row>
    <row r="932">
      <c r="A932" s="11"/>
      <c r="B932" s="23"/>
      <c r="C932" s="23"/>
      <c r="D932" s="23"/>
      <c r="E932" s="23"/>
      <c r="F932" s="1"/>
      <c r="G932" s="23"/>
      <c r="H932" s="23"/>
      <c r="I932" s="23"/>
      <c r="J932" s="2"/>
      <c r="M932" s="40"/>
      <c r="N932" s="40"/>
      <c r="O932" s="2"/>
      <c r="P932" s="2"/>
      <c r="Q932" s="2"/>
      <c r="S932" s="2"/>
      <c r="T932" s="2"/>
      <c r="V932" s="2"/>
      <c r="W932" s="2"/>
      <c r="Y932" s="2"/>
      <c r="Z932" s="2"/>
      <c r="AB932" s="2"/>
      <c r="AC932" s="2"/>
      <c r="AF932" s="24"/>
    </row>
    <row r="933">
      <c r="A933" s="11"/>
      <c r="B933" s="23"/>
      <c r="C933" s="23"/>
      <c r="D933" s="23"/>
      <c r="E933" s="23"/>
      <c r="F933" s="1"/>
      <c r="G933" s="23"/>
      <c r="H933" s="23"/>
      <c r="I933" s="23"/>
      <c r="J933" s="2"/>
      <c r="M933" s="40"/>
      <c r="N933" s="40"/>
      <c r="O933" s="2"/>
      <c r="P933" s="2"/>
      <c r="Q933" s="2"/>
      <c r="S933" s="2"/>
      <c r="T933" s="2"/>
      <c r="V933" s="2"/>
      <c r="W933" s="2"/>
      <c r="Y933" s="2"/>
      <c r="Z933" s="2"/>
      <c r="AB933" s="2"/>
      <c r="AC933" s="2"/>
      <c r="AF933" s="24"/>
    </row>
    <row r="934">
      <c r="A934" s="11"/>
      <c r="B934" s="23"/>
      <c r="C934" s="23"/>
      <c r="D934" s="23"/>
      <c r="E934" s="23"/>
      <c r="F934" s="1"/>
      <c r="G934" s="23"/>
      <c r="H934" s="23"/>
      <c r="I934" s="23"/>
      <c r="J934" s="2"/>
      <c r="M934" s="40"/>
      <c r="N934" s="40"/>
      <c r="O934" s="2"/>
      <c r="P934" s="2"/>
      <c r="Q934" s="2"/>
      <c r="S934" s="2"/>
      <c r="T934" s="2"/>
      <c r="V934" s="2"/>
      <c r="W934" s="2"/>
      <c r="Y934" s="2"/>
      <c r="Z934" s="2"/>
      <c r="AB934" s="2"/>
      <c r="AC934" s="2"/>
      <c r="AF934" s="24"/>
    </row>
    <row r="935">
      <c r="A935" s="11"/>
      <c r="B935" s="23"/>
      <c r="C935" s="23"/>
      <c r="D935" s="23"/>
      <c r="E935" s="23"/>
      <c r="F935" s="1"/>
      <c r="G935" s="23"/>
      <c r="H935" s="23"/>
      <c r="I935" s="23"/>
      <c r="J935" s="2"/>
      <c r="M935" s="40"/>
      <c r="N935" s="40"/>
      <c r="O935" s="2"/>
      <c r="P935" s="2"/>
      <c r="Q935" s="2"/>
      <c r="S935" s="2"/>
      <c r="T935" s="2"/>
      <c r="V935" s="2"/>
      <c r="W935" s="2"/>
      <c r="Y935" s="2"/>
      <c r="Z935" s="2"/>
      <c r="AB935" s="2"/>
      <c r="AC935" s="2"/>
      <c r="AF935" s="24"/>
    </row>
    <row r="936">
      <c r="A936" s="11"/>
      <c r="B936" s="23"/>
      <c r="C936" s="23"/>
      <c r="D936" s="23"/>
      <c r="E936" s="23"/>
      <c r="F936" s="1"/>
      <c r="G936" s="23"/>
      <c r="H936" s="23"/>
      <c r="I936" s="23"/>
      <c r="J936" s="2"/>
      <c r="M936" s="40"/>
      <c r="N936" s="40"/>
      <c r="O936" s="2"/>
      <c r="P936" s="2"/>
      <c r="Q936" s="2"/>
      <c r="S936" s="2"/>
      <c r="T936" s="2"/>
      <c r="V936" s="2"/>
      <c r="W936" s="2"/>
      <c r="Y936" s="2"/>
      <c r="Z936" s="2"/>
      <c r="AB936" s="2"/>
      <c r="AC936" s="2"/>
      <c r="AF936" s="24"/>
    </row>
    <row r="937">
      <c r="A937" s="11"/>
      <c r="B937" s="23"/>
      <c r="C937" s="23"/>
      <c r="D937" s="23"/>
      <c r="E937" s="23"/>
      <c r="F937" s="1"/>
      <c r="G937" s="23"/>
      <c r="H937" s="23"/>
      <c r="I937" s="23"/>
      <c r="J937" s="2"/>
      <c r="M937" s="40"/>
      <c r="N937" s="40"/>
      <c r="O937" s="2"/>
      <c r="P937" s="2"/>
      <c r="Q937" s="2"/>
      <c r="S937" s="2"/>
      <c r="T937" s="2"/>
      <c r="V937" s="2"/>
      <c r="W937" s="2"/>
      <c r="Y937" s="2"/>
      <c r="Z937" s="2"/>
      <c r="AB937" s="2"/>
      <c r="AC937" s="2"/>
      <c r="AF937" s="24"/>
    </row>
    <row r="938">
      <c r="A938" s="11"/>
      <c r="B938" s="23"/>
      <c r="C938" s="23"/>
      <c r="D938" s="23"/>
      <c r="E938" s="23"/>
      <c r="F938" s="1"/>
      <c r="G938" s="23"/>
      <c r="H938" s="23"/>
      <c r="I938" s="23"/>
      <c r="J938" s="2"/>
      <c r="M938" s="40"/>
      <c r="N938" s="40"/>
      <c r="O938" s="2"/>
      <c r="P938" s="2"/>
      <c r="Q938" s="2"/>
      <c r="S938" s="2"/>
      <c r="T938" s="2"/>
      <c r="V938" s="2"/>
      <c r="W938" s="2"/>
      <c r="Y938" s="2"/>
      <c r="Z938" s="2"/>
      <c r="AB938" s="2"/>
      <c r="AC938" s="2"/>
      <c r="AF938" s="24"/>
    </row>
    <row r="939">
      <c r="A939" s="11"/>
      <c r="B939" s="23"/>
      <c r="C939" s="23"/>
      <c r="D939" s="23"/>
      <c r="E939" s="23"/>
      <c r="F939" s="1"/>
      <c r="G939" s="23"/>
      <c r="H939" s="23"/>
      <c r="I939" s="23"/>
      <c r="J939" s="2"/>
      <c r="M939" s="40"/>
      <c r="N939" s="40"/>
      <c r="O939" s="2"/>
      <c r="P939" s="2"/>
      <c r="Q939" s="2"/>
      <c r="S939" s="2"/>
      <c r="T939" s="2"/>
      <c r="V939" s="2"/>
      <c r="W939" s="2"/>
      <c r="Y939" s="2"/>
      <c r="Z939" s="2"/>
      <c r="AB939" s="2"/>
      <c r="AC939" s="2"/>
      <c r="AF939" s="24"/>
    </row>
    <row r="940">
      <c r="A940" s="11"/>
      <c r="B940" s="23"/>
      <c r="C940" s="23"/>
      <c r="D940" s="23"/>
      <c r="E940" s="23"/>
      <c r="F940" s="1"/>
      <c r="G940" s="23"/>
      <c r="H940" s="23"/>
      <c r="I940" s="23"/>
      <c r="J940" s="2"/>
      <c r="M940" s="40"/>
      <c r="N940" s="40"/>
      <c r="O940" s="2"/>
      <c r="P940" s="2"/>
      <c r="Q940" s="2"/>
      <c r="S940" s="2"/>
      <c r="T940" s="2"/>
      <c r="V940" s="2"/>
      <c r="W940" s="2"/>
      <c r="Y940" s="2"/>
      <c r="Z940" s="2"/>
      <c r="AB940" s="2"/>
      <c r="AC940" s="2"/>
      <c r="AF940" s="24"/>
    </row>
    <row r="941">
      <c r="A941" s="11"/>
      <c r="B941" s="23"/>
      <c r="C941" s="23"/>
      <c r="D941" s="23"/>
      <c r="E941" s="23"/>
      <c r="F941" s="1"/>
      <c r="G941" s="23"/>
      <c r="H941" s="23"/>
      <c r="I941" s="23"/>
      <c r="J941" s="2"/>
      <c r="M941" s="40"/>
      <c r="N941" s="40"/>
      <c r="O941" s="2"/>
      <c r="P941" s="2"/>
      <c r="Q941" s="2"/>
      <c r="S941" s="2"/>
      <c r="T941" s="2"/>
      <c r="V941" s="2"/>
      <c r="W941" s="2"/>
      <c r="Y941" s="2"/>
      <c r="Z941" s="2"/>
      <c r="AB941" s="2"/>
      <c r="AC941" s="2"/>
      <c r="AF941" s="24"/>
    </row>
    <row r="942">
      <c r="A942" s="11"/>
      <c r="B942" s="23"/>
      <c r="C942" s="23"/>
      <c r="D942" s="23"/>
      <c r="E942" s="23"/>
      <c r="F942" s="1"/>
      <c r="G942" s="23"/>
      <c r="H942" s="23"/>
      <c r="I942" s="23"/>
      <c r="J942" s="2"/>
      <c r="M942" s="40"/>
      <c r="N942" s="40"/>
      <c r="O942" s="2"/>
      <c r="P942" s="2"/>
      <c r="Q942" s="2"/>
      <c r="S942" s="2"/>
      <c r="T942" s="2"/>
      <c r="V942" s="2"/>
      <c r="W942" s="2"/>
      <c r="Y942" s="2"/>
      <c r="Z942" s="2"/>
      <c r="AB942" s="2"/>
      <c r="AC942" s="2"/>
      <c r="AF942" s="24"/>
    </row>
    <row r="943">
      <c r="A943" s="11"/>
      <c r="B943" s="23"/>
      <c r="C943" s="23"/>
      <c r="D943" s="23"/>
      <c r="E943" s="23"/>
      <c r="F943" s="1"/>
      <c r="G943" s="23"/>
      <c r="H943" s="23"/>
      <c r="I943" s="23"/>
      <c r="J943" s="2"/>
      <c r="M943" s="40"/>
      <c r="N943" s="40"/>
      <c r="O943" s="2"/>
      <c r="P943" s="2"/>
      <c r="Q943" s="2"/>
      <c r="S943" s="2"/>
      <c r="T943" s="2"/>
      <c r="V943" s="2"/>
      <c r="W943" s="2"/>
      <c r="Y943" s="2"/>
      <c r="Z943" s="2"/>
      <c r="AB943" s="2"/>
      <c r="AC943" s="2"/>
      <c r="AF943" s="24"/>
    </row>
    <row r="944">
      <c r="A944" s="11"/>
      <c r="B944" s="23"/>
      <c r="C944" s="23"/>
      <c r="D944" s="23"/>
      <c r="E944" s="23"/>
      <c r="F944" s="1"/>
      <c r="G944" s="23"/>
      <c r="H944" s="23"/>
      <c r="I944" s="23"/>
      <c r="J944" s="2"/>
      <c r="M944" s="40"/>
      <c r="N944" s="40"/>
      <c r="O944" s="2"/>
      <c r="P944" s="2"/>
      <c r="Q944" s="2"/>
      <c r="S944" s="2"/>
      <c r="T944" s="2"/>
      <c r="V944" s="2"/>
      <c r="W944" s="2"/>
      <c r="Y944" s="2"/>
      <c r="Z944" s="2"/>
      <c r="AB944" s="2"/>
      <c r="AC944" s="2"/>
      <c r="AF944" s="24"/>
    </row>
    <row r="945">
      <c r="A945" s="11"/>
      <c r="B945" s="23"/>
      <c r="C945" s="23"/>
      <c r="D945" s="23"/>
      <c r="E945" s="23"/>
      <c r="F945" s="1"/>
      <c r="G945" s="23"/>
      <c r="H945" s="23"/>
      <c r="I945" s="23"/>
      <c r="J945" s="2"/>
      <c r="M945" s="40"/>
      <c r="N945" s="40"/>
      <c r="O945" s="2"/>
      <c r="P945" s="2"/>
      <c r="Q945" s="2"/>
      <c r="S945" s="2"/>
      <c r="T945" s="2"/>
      <c r="V945" s="2"/>
      <c r="W945" s="2"/>
      <c r="Y945" s="2"/>
      <c r="Z945" s="2"/>
      <c r="AB945" s="2"/>
      <c r="AC945" s="2"/>
      <c r="AF945" s="24"/>
    </row>
    <row r="946">
      <c r="A946" s="11"/>
      <c r="B946" s="23"/>
      <c r="C946" s="23"/>
      <c r="D946" s="23"/>
      <c r="E946" s="23"/>
      <c r="F946" s="1"/>
      <c r="G946" s="23"/>
      <c r="H946" s="23"/>
      <c r="I946" s="23"/>
      <c r="J946" s="2"/>
      <c r="M946" s="40"/>
      <c r="N946" s="40"/>
      <c r="O946" s="2"/>
      <c r="P946" s="2"/>
      <c r="Q946" s="2"/>
      <c r="S946" s="2"/>
      <c r="T946" s="2"/>
      <c r="V946" s="2"/>
      <c r="W946" s="2"/>
      <c r="Y946" s="2"/>
      <c r="Z946" s="2"/>
      <c r="AB946" s="2"/>
      <c r="AC946" s="2"/>
      <c r="AF946" s="24"/>
    </row>
    <row r="947">
      <c r="A947" s="11"/>
      <c r="B947" s="23"/>
      <c r="C947" s="23"/>
      <c r="D947" s="23"/>
      <c r="E947" s="23"/>
      <c r="F947" s="1"/>
      <c r="G947" s="23"/>
      <c r="H947" s="23"/>
      <c r="I947" s="23"/>
      <c r="J947" s="2"/>
      <c r="M947" s="40"/>
      <c r="N947" s="40"/>
      <c r="O947" s="2"/>
      <c r="P947" s="2"/>
      <c r="Q947" s="2"/>
      <c r="S947" s="2"/>
      <c r="T947" s="2"/>
      <c r="V947" s="2"/>
      <c r="W947" s="2"/>
      <c r="Y947" s="2"/>
      <c r="Z947" s="2"/>
      <c r="AB947" s="2"/>
      <c r="AC947" s="2"/>
      <c r="AF947" s="24"/>
    </row>
    <row r="948">
      <c r="A948" s="11"/>
      <c r="B948" s="23"/>
      <c r="C948" s="23"/>
      <c r="D948" s="23"/>
      <c r="E948" s="23"/>
      <c r="F948" s="1"/>
      <c r="G948" s="23"/>
      <c r="H948" s="23"/>
      <c r="I948" s="23"/>
      <c r="J948" s="2"/>
      <c r="M948" s="40"/>
      <c r="N948" s="40"/>
      <c r="O948" s="2"/>
      <c r="P948" s="2"/>
      <c r="Q948" s="2"/>
      <c r="S948" s="2"/>
      <c r="T948" s="2"/>
      <c r="V948" s="2"/>
      <c r="W948" s="2"/>
      <c r="Y948" s="2"/>
      <c r="Z948" s="2"/>
      <c r="AB948" s="2"/>
      <c r="AC948" s="2"/>
      <c r="AF948" s="24"/>
    </row>
    <row r="949">
      <c r="A949" s="11"/>
      <c r="B949" s="23"/>
      <c r="C949" s="23"/>
      <c r="D949" s="23"/>
      <c r="E949" s="23"/>
      <c r="F949" s="1"/>
      <c r="G949" s="23"/>
      <c r="H949" s="23"/>
      <c r="I949" s="23"/>
      <c r="J949" s="2"/>
      <c r="M949" s="40"/>
      <c r="N949" s="40"/>
      <c r="O949" s="2"/>
      <c r="P949" s="2"/>
      <c r="Q949" s="2"/>
      <c r="S949" s="2"/>
      <c r="T949" s="2"/>
      <c r="V949" s="2"/>
      <c r="W949" s="2"/>
      <c r="Y949" s="2"/>
      <c r="Z949" s="2"/>
      <c r="AB949" s="2"/>
      <c r="AC949" s="2"/>
      <c r="AF949" s="24"/>
    </row>
    <row r="950">
      <c r="A950" s="11"/>
      <c r="B950" s="23"/>
      <c r="C950" s="23"/>
      <c r="D950" s="23"/>
      <c r="E950" s="23"/>
      <c r="F950" s="1"/>
      <c r="G950" s="23"/>
      <c r="H950" s="23"/>
      <c r="I950" s="23"/>
      <c r="J950" s="2"/>
      <c r="M950" s="40"/>
      <c r="N950" s="40"/>
      <c r="O950" s="2"/>
      <c r="P950" s="2"/>
      <c r="Q950" s="2"/>
      <c r="S950" s="2"/>
      <c r="T950" s="2"/>
      <c r="V950" s="2"/>
      <c r="W950" s="2"/>
      <c r="Y950" s="2"/>
      <c r="Z950" s="2"/>
      <c r="AB950" s="2"/>
      <c r="AC950" s="2"/>
      <c r="AF950" s="24"/>
    </row>
    <row r="951">
      <c r="A951" s="11"/>
      <c r="B951" s="23"/>
      <c r="C951" s="23"/>
      <c r="D951" s="23"/>
      <c r="E951" s="23"/>
      <c r="F951" s="1"/>
      <c r="G951" s="23"/>
      <c r="H951" s="23"/>
      <c r="I951" s="23"/>
      <c r="J951" s="2"/>
      <c r="M951" s="40"/>
      <c r="N951" s="40"/>
      <c r="O951" s="2"/>
      <c r="P951" s="2"/>
      <c r="Q951" s="2"/>
      <c r="S951" s="2"/>
      <c r="T951" s="2"/>
      <c r="V951" s="2"/>
      <c r="W951" s="2"/>
      <c r="Y951" s="2"/>
      <c r="Z951" s="2"/>
      <c r="AB951" s="2"/>
      <c r="AC951" s="2"/>
      <c r="AF951" s="24"/>
    </row>
    <row r="952">
      <c r="A952" s="11"/>
      <c r="B952" s="23"/>
      <c r="C952" s="23"/>
      <c r="D952" s="23"/>
      <c r="E952" s="23"/>
      <c r="F952" s="1"/>
      <c r="G952" s="23"/>
      <c r="H952" s="23"/>
      <c r="I952" s="23"/>
      <c r="J952" s="2"/>
      <c r="M952" s="40"/>
      <c r="N952" s="40"/>
      <c r="O952" s="2"/>
      <c r="P952" s="2"/>
      <c r="Q952" s="2"/>
      <c r="S952" s="2"/>
      <c r="T952" s="2"/>
      <c r="V952" s="2"/>
      <c r="W952" s="2"/>
      <c r="Y952" s="2"/>
      <c r="Z952" s="2"/>
      <c r="AB952" s="2"/>
      <c r="AC952" s="2"/>
      <c r="AF952" s="24"/>
    </row>
    <row r="953">
      <c r="A953" s="11"/>
      <c r="B953" s="23"/>
      <c r="C953" s="23"/>
      <c r="D953" s="23"/>
      <c r="E953" s="23"/>
      <c r="F953" s="1"/>
      <c r="G953" s="23"/>
      <c r="H953" s="23"/>
      <c r="I953" s="23"/>
      <c r="J953" s="2"/>
      <c r="M953" s="40"/>
      <c r="N953" s="40"/>
      <c r="O953" s="2"/>
      <c r="P953" s="2"/>
      <c r="Q953" s="2"/>
      <c r="S953" s="2"/>
      <c r="T953" s="2"/>
      <c r="V953" s="2"/>
      <c r="W953" s="2"/>
      <c r="Y953" s="2"/>
      <c r="Z953" s="2"/>
      <c r="AB953" s="2"/>
      <c r="AC953" s="2"/>
      <c r="AF953" s="24"/>
    </row>
    <row r="954">
      <c r="A954" s="11"/>
      <c r="B954" s="23"/>
      <c r="C954" s="23"/>
      <c r="D954" s="23"/>
      <c r="E954" s="23"/>
      <c r="F954" s="1"/>
      <c r="G954" s="23"/>
      <c r="H954" s="23"/>
      <c r="I954" s="23"/>
      <c r="J954" s="2"/>
      <c r="M954" s="40"/>
      <c r="N954" s="40"/>
      <c r="O954" s="2"/>
      <c r="P954" s="2"/>
      <c r="Q954" s="2"/>
      <c r="S954" s="2"/>
      <c r="T954" s="2"/>
      <c r="V954" s="2"/>
      <c r="W954" s="2"/>
      <c r="Y954" s="2"/>
      <c r="Z954" s="2"/>
      <c r="AB954" s="2"/>
      <c r="AC954" s="2"/>
      <c r="AF954" s="24"/>
    </row>
    <row r="955">
      <c r="A955" s="11"/>
      <c r="B955" s="23"/>
      <c r="C955" s="23"/>
      <c r="D955" s="23"/>
      <c r="E955" s="23"/>
      <c r="F955" s="1"/>
      <c r="G955" s="23"/>
      <c r="H955" s="23"/>
      <c r="I955" s="23"/>
      <c r="J955" s="2"/>
      <c r="M955" s="40"/>
      <c r="N955" s="40"/>
      <c r="O955" s="2"/>
      <c r="P955" s="2"/>
      <c r="Q955" s="2"/>
      <c r="S955" s="2"/>
      <c r="T955" s="2"/>
      <c r="V955" s="2"/>
      <c r="W955" s="2"/>
      <c r="Y955" s="2"/>
      <c r="Z955" s="2"/>
      <c r="AB955" s="2"/>
      <c r="AC955" s="2"/>
      <c r="AF955" s="24"/>
    </row>
    <row r="956">
      <c r="A956" s="11"/>
      <c r="B956" s="23"/>
      <c r="C956" s="23"/>
      <c r="D956" s="23"/>
      <c r="E956" s="23"/>
      <c r="F956" s="1"/>
      <c r="G956" s="23"/>
      <c r="H956" s="23"/>
      <c r="I956" s="23"/>
      <c r="J956" s="2"/>
      <c r="M956" s="40"/>
      <c r="N956" s="40"/>
      <c r="O956" s="2"/>
      <c r="P956" s="2"/>
      <c r="Q956" s="2"/>
      <c r="S956" s="2"/>
      <c r="T956" s="2"/>
      <c r="V956" s="2"/>
      <c r="W956" s="2"/>
      <c r="Y956" s="2"/>
      <c r="Z956" s="2"/>
      <c r="AB956" s="2"/>
      <c r="AC956" s="2"/>
      <c r="AF956" s="24"/>
    </row>
    <row r="957">
      <c r="A957" s="11"/>
      <c r="B957" s="23"/>
      <c r="C957" s="23"/>
      <c r="D957" s="23"/>
      <c r="E957" s="23"/>
      <c r="F957" s="1"/>
      <c r="G957" s="23"/>
      <c r="H957" s="23"/>
      <c r="I957" s="23"/>
      <c r="J957" s="2"/>
      <c r="M957" s="40"/>
      <c r="N957" s="40"/>
      <c r="O957" s="2"/>
      <c r="P957" s="2"/>
      <c r="Q957" s="2"/>
      <c r="S957" s="2"/>
      <c r="T957" s="2"/>
      <c r="V957" s="2"/>
      <c r="W957" s="2"/>
      <c r="Y957" s="2"/>
      <c r="Z957" s="2"/>
      <c r="AB957" s="2"/>
      <c r="AC957" s="2"/>
      <c r="AF957" s="24"/>
    </row>
    <row r="958">
      <c r="A958" s="11"/>
      <c r="B958" s="23"/>
      <c r="C958" s="23"/>
      <c r="D958" s="23"/>
      <c r="E958" s="23"/>
      <c r="F958" s="1"/>
      <c r="G958" s="23"/>
      <c r="H958" s="23"/>
      <c r="I958" s="23"/>
      <c r="J958" s="2"/>
      <c r="M958" s="40"/>
      <c r="N958" s="40"/>
      <c r="O958" s="2"/>
      <c r="P958" s="2"/>
      <c r="Q958" s="2"/>
      <c r="S958" s="2"/>
      <c r="T958" s="2"/>
      <c r="V958" s="2"/>
      <c r="W958" s="2"/>
      <c r="Y958" s="2"/>
      <c r="Z958" s="2"/>
      <c r="AB958" s="2"/>
      <c r="AC958" s="2"/>
      <c r="AF958" s="24"/>
    </row>
    <row r="959">
      <c r="A959" s="11"/>
      <c r="B959" s="23"/>
      <c r="C959" s="23"/>
      <c r="D959" s="23"/>
      <c r="E959" s="23"/>
      <c r="F959" s="1"/>
      <c r="G959" s="23"/>
      <c r="H959" s="23"/>
      <c r="I959" s="23"/>
      <c r="J959" s="2"/>
      <c r="M959" s="40"/>
      <c r="N959" s="40"/>
      <c r="O959" s="2"/>
      <c r="P959" s="2"/>
      <c r="Q959" s="2"/>
      <c r="S959" s="2"/>
      <c r="T959" s="2"/>
      <c r="V959" s="2"/>
      <c r="W959" s="2"/>
      <c r="Y959" s="2"/>
      <c r="Z959" s="2"/>
      <c r="AB959" s="2"/>
      <c r="AC959" s="2"/>
      <c r="AF959" s="24"/>
    </row>
    <row r="960">
      <c r="A960" s="11"/>
      <c r="B960" s="23"/>
      <c r="C960" s="23"/>
      <c r="D960" s="23"/>
      <c r="E960" s="23"/>
      <c r="F960" s="1"/>
      <c r="G960" s="23"/>
      <c r="H960" s="23"/>
      <c r="I960" s="23"/>
      <c r="J960" s="2"/>
      <c r="M960" s="40"/>
      <c r="N960" s="40"/>
      <c r="O960" s="2"/>
      <c r="P960" s="2"/>
      <c r="Q960" s="2"/>
      <c r="S960" s="2"/>
      <c r="T960" s="2"/>
      <c r="V960" s="2"/>
      <c r="W960" s="2"/>
      <c r="Y960" s="2"/>
      <c r="Z960" s="2"/>
      <c r="AB960" s="2"/>
      <c r="AC960" s="2"/>
      <c r="AF960" s="24"/>
    </row>
    <row r="961">
      <c r="A961" s="11"/>
      <c r="B961" s="23"/>
      <c r="C961" s="23"/>
      <c r="D961" s="23"/>
      <c r="E961" s="23"/>
      <c r="F961" s="1"/>
      <c r="G961" s="23"/>
      <c r="H961" s="23"/>
      <c r="I961" s="23"/>
      <c r="J961" s="2"/>
      <c r="M961" s="40"/>
      <c r="N961" s="40"/>
      <c r="O961" s="2"/>
      <c r="P961" s="2"/>
      <c r="Q961" s="2"/>
      <c r="S961" s="2"/>
      <c r="T961" s="2"/>
      <c r="V961" s="2"/>
      <c r="W961" s="2"/>
      <c r="Y961" s="2"/>
      <c r="Z961" s="2"/>
      <c r="AB961" s="2"/>
      <c r="AC961" s="2"/>
      <c r="AF961" s="24"/>
    </row>
    <row r="962">
      <c r="A962" s="11"/>
      <c r="B962" s="23"/>
      <c r="C962" s="23"/>
      <c r="D962" s="23"/>
      <c r="E962" s="23"/>
      <c r="F962" s="1"/>
      <c r="G962" s="23"/>
      <c r="H962" s="23"/>
      <c r="I962" s="23"/>
      <c r="J962" s="2"/>
      <c r="M962" s="40"/>
      <c r="N962" s="40"/>
      <c r="O962" s="2"/>
      <c r="P962" s="2"/>
      <c r="Q962" s="2"/>
      <c r="S962" s="2"/>
      <c r="T962" s="2"/>
      <c r="V962" s="2"/>
      <c r="W962" s="2"/>
      <c r="Y962" s="2"/>
      <c r="Z962" s="2"/>
      <c r="AB962" s="2"/>
      <c r="AC962" s="2"/>
      <c r="AF962" s="24"/>
    </row>
    <row r="963">
      <c r="A963" s="11"/>
      <c r="B963" s="23"/>
      <c r="C963" s="23"/>
      <c r="D963" s="23"/>
      <c r="E963" s="23"/>
      <c r="F963" s="1"/>
      <c r="G963" s="23"/>
      <c r="H963" s="23"/>
      <c r="I963" s="23"/>
      <c r="J963" s="2"/>
      <c r="M963" s="40"/>
      <c r="N963" s="40"/>
      <c r="O963" s="2"/>
      <c r="P963" s="2"/>
      <c r="Q963" s="2"/>
      <c r="S963" s="2"/>
      <c r="T963" s="2"/>
      <c r="V963" s="2"/>
      <c r="W963" s="2"/>
      <c r="Y963" s="2"/>
      <c r="Z963" s="2"/>
      <c r="AB963" s="2"/>
      <c r="AC963" s="2"/>
      <c r="AF963" s="24"/>
    </row>
    <row r="964">
      <c r="A964" s="11"/>
      <c r="B964" s="23"/>
      <c r="C964" s="23"/>
      <c r="D964" s="23"/>
      <c r="E964" s="23"/>
      <c r="F964" s="1"/>
      <c r="G964" s="23"/>
      <c r="H964" s="23"/>
      <c r="I964" s="23"/>
      <c r="J964" s="2"/>
      <c r="M964" s="40"/>
      <c r="N964" s="40"/>
      <c r="O964" s="2"/>
      <c r="P964" s="2"/>
      <c r="Q964" s="2"/>
      <c r="S964" s="2"/>
      <c r="T964" s="2"/>
      <c r="V964" s="2"/>
      <c r="W964" s="2"/>
      <c r="Y964" s="2"/>
      <c r="Z964" s="2"/>
      <c r="AB964" s="2"/>
      <c r="AC964" s="2"/>
      <c r="AF964" s="24"/>
    </row>
    <row r="965">
      <c r="A965" s="11"/>
      <c r="B965" s="23"/>
      <c r="C965" s="23"/>
      <c r="D965" s="23"/>
      <c r="E965" s="23"/>
      <c r="F965" s="1"/>
      <c r="G965" s="23"/>
      <c r="H965" s="23"/>
      <c r="I965" s="23"/>
      <c r="J965" s="2"/>
      <c r="M965" s="40"/>
      <c r="N965" s="40"/>
      <c r="O965" s="2"/>
      <c r="P965" s="2"/>
      <c r="Q965" s="2"/>
      <c r="S965" s="2"/>
      <c r="T965" s="2"/>
      <c r="V965" s="2"/>
      <c r="W965" s="2"/>
      <c r="Y965" s="2"/>
      <c r="Z965" s="2"/>
      <c r="AB965" s="2"/>
      <c r="AC965" s="2"/>
      <c r="AF965" s="24"/>
    </row>
    <row r="966">
      <c r="A966" s="11"/>
      <c r="B966" s="23"/>
      <c r="C966" s="23"/>
      <c r="D966" s="23"/>
      <c r="E966" s="23"/>
      <c r="F966" s="1"/>
      <c r="G966" s="23"/>
      <c r="H966" s="23"/>
      <c r="I966" s="23"/>
      <c r="J966" s="2"/>
      <c r="M966" s="40"/>
      <c r="N966" s="40"/>
      <c r="O966" s="2"/>
      <c r="P966" s="2"/>
      <c r="Q966" s="2"/>
      <c r="S966" s="2"/>
      <c r="T966" s="2"/>
      <c r="V966" s="2"/>
      <c r="W966" s="2"/>
      <c r="Y966" s="2"/>
      <c r="Z966" s="2"/>
      <c r="AB966" s="2"/>
      <c r="AC966" s="2"/>
      <c r="AF966" s="24"/>
    </row>
    <row r="967">
      <c r="A967" s="11"/>
      <c r="B967" s="23"/>
      <c r="C967" s="23"/>
      <c r="D967" s="23"/>
      <c r="E967" s="23"/>
      <c r="F967" s="1"/>
      <c r="G967" s="23"/>
      <c r="H967" s="23"/>
      <c r="I967" s="23"/>
      <c r="J967" s="2"/>
      <c r="M967" s="40"/>
      <c r="N967" s="40"/>
      <c r="O967" s="2"/>
      <c r="P967" s="2"/>
      <c r="Q967" s="2"/>
      <c r="S967" s="2"/>
      <c r="T967" s="2"/>
      <c r="V967" s="2"/>
      <c r="W967" s="2"/>
      <c r="Y967" s="2"/>
      <c r="Z967" s="2"/>
      <c r="AB967" s="2"/>
      <c r="AC967" s="2"/>
      <c r="AF967" s="24"/>
    </row>
    <row r="968">
      <c r="A968" s="11"/>
      <c r="B968" s="23"/>
      <c r="C968" s="23"/>
      <c r="D968" s="23"/>
      <c r="E968" s="23"/>
      <c r="F968" s="1"/>
      <c r="G968" s="23"/>
      <c r="H968" s="23"/>
      <c r="I968" s="23"/>
      <c r="J968" s="2"/>
      <c r="M968" s="40"/>
      <c r="N968" s="40"/>
      <c r="O968" s="2"/>
      <c r="P968" s="2"/>
      <c r="Q968" s="2"/>
      <c r="S968" s="2"/>
      <c r="T968" s="2"/>
      <c r="V968" s="2"/>
      <c r="W968" s="2"/>
      <c r="Y968" s="2"/>
      <c r="Z968" s="2"/>
      <c r="AB968" s="2"/>
      <c r="AC968" s="2"/>
      <c r="AF968" s="24"/>
    </row>
    <row r="969">
      <c r="A969" s="11"/>
      <c r="B969" s="23"/>
      <c r="C969" s="23"/>
      <c r="D969" s="23"/>
      <c r="E969" s="23"/>
      <c r="F969" s="1"/>
      <c r="G969" s="23"/>
      <c r="H969" s="23"/>
      <c r="I969" s="23"/>
      <c r="J969" s="2"/>
      <c r="M969" s="40"/>
      <c r="N969" s="40"/>
      <c r="O969" s="2"/>
      <c r="P969" s="2"/>
      <c r="Q969" s="2"/>
      <c r="S969" s="2"/>
      <c r="T969" s="2"/>
      <c r="V969" s="2"/>
      <c r="W969" s="2"/>
      <c r="Y969" s="2"/>
      <c r="Z969" s="2"/>
      <c r="AB969" s="2"/>
      <c r="AC969" s="2"/>
      <c r="AF969" s="24"/>
    </row>
    <row r="970">
      <c r="A970" s="11"/>
      <c r="B970" s="23"/>
      <c r="C970" s="23"/>
      <c r="D970" s="23"/>
      <c r="E970" s="23"/>
      <c r="F970" s="1"/>
      <c r="G970" s="23"/>
      <c r="H970" s="23"/>
      <c r="I970" s="23"/>
      <c r="J970" s="2"/>
      <c r="M970" s="40"/>
      <c r="N970" s="40"/>
      <c r="O970" s="2"/>
      <c r="P970" s="2"/>
      <c r="Q970" s="2"/>
      <c r="S970" s="2"/>
      <c r="T970" s="2"/>
      <c r="V970" s="2"/>
      <c r="W970" s="2"/>
      <c r="Y970" s="2"/>
      <c r="Z970" s="2"/>
      <c r="AB970" s="2"/>
      <c r="AC970" s="2"/>
      <c r="AF970" s="24"/>
    </row>
    <row r="971">
      <c r="A971" s="11"/>
      <c r="B971" s="23"/>
      <c r="C971" s="23"/>
      <c r="D971" s="23"/>
      <c r="E971" s="23"/>
      <c r="F971" s="1"/>
      <c r="G971" s="23"/>
      <c r="H971" s="23"/>
      <c r="I971" s="23"/>
      <c r="J971" s="2"/>
      <c r="M971" s="40"/>
      <c r="N971" s="40"/>
      <c r="O971" s="2"/>
      <c r="P971" s="2"/>
      <c r="Q971" s="2"/>
      <c r="S971" s="2"/>
      <c r="T971" s="2"/>
      <c r="V971" s="2"/>
      <c r="W971" s="2"/>
      <c r="Y971" s="2"/>
      <c r="Z971" s="2"/>
      <c r="AB971" s="2"/>
      <c r="AC971" s="2"/>
      <c r="AF971" s="24"/>
    </row>
    <row r="972">
      <c r="A972" s="11"/>
      <c r="B972" s="23"/>
      <c r="C972" s="23"/>
      <c r="D972" s="23"/>
      <c r="E972" s="23"/>
      <c r="F972" s="1"/>
      <c r="G972" s="23"/>
      <c r="H972" s="23"/>
      <c r="I972" s="23"/>
      <c r="J972" s="2"/>
      <c r="M972" s="40"/>
      <c r="N972" s="40"/>
      <c r="O972" s="2"/>
      <c r="P972" s="2"/>
      <c r="Q972" s="2"/>
      <c r="S972" s="2"/>
      <c r="T972" s="2"/>
      <c r="V972" s="2"/>
      <c r="W972" s="2"/>
      <c r="Y972" s="2"/>
      <c r="Z972" s="2"/>
      <c r="AB972" s="2"/>
      <c r="AC972" s="2"/>
      <c r="AF972" s="24"/>
    </row>
    <row r="973">
      <c r="A973" s="11"/>
      <c r="B973" s="23"/>
      <c r="C973" s="23"/>
      <c r="D973" s="23"/>
      <c r="E973" s="23"/>
      <c r="F973" s="1"/>
      <c r="G973" s="23"/>
      <c r="H973" s="23"/>
      <c r="I973" s="23"/>
      <c r="J973" s="2"/>
      <c r="M973" s="40"/>
      <c r="N973" s="40"/>
      <c r="O973" s="2"/>
      <c r="P973" s="2"/>
      <c r="Q973" s="2"/>
      <c r="S973" s="2"/>
      <c r="T973" s="2"/>
      <c r="V973" s="2"/>
      <c r="W973" s="2"/>
      <c r="Y973" s="2"/>
      <c r="Z973" s="2"/>
      <c r="AB973" s="2"/>
      <c r="AC973" s="2"/>
      <c r="AF973" s="24"/>
    </row>
    <row r="974">
      <c r="A974" s="11"/>
      <c r="B974" s="23"/>
      <c r="C974" s="23"/>
      <c r="D974" s="23"/>
      <c r="E974" s="23"/>
      <c r="F974" s="1"/>
      <c r="G974" s="23"/>
      <c r="H974" s="23"/>
      <c r="I974" s="23"/>
      <c r="J974" s="2"/>
      <c r="M974" s="40"/>
      <c r="N974" s="40"/>
      <c r="O974" s="2"/>
      <c r="P974" s="2"/>
      <c r="Q974" s="2"/>
      <c r="S974" s="2"/>
      <c r="T974" s="2"/>
      <c r="V974" s="2"/>
      <c r="W974" s="2"/>
      <c r="Y974" s="2"/>
      <c r="Z974" s="2"/>
      <c r="AB974" s="2"/>
      <c r="AC974" s="2"/>
      <c r="AF974" s="24"/>
    </row>
    <row r="975">
      <c r="A975" s="11"/>
      <c r="B975" s="23"/>
      <c r="C975" s="23"/>
      <c r="D975" s="23"/>
      <c r="E975" s="23"/>
      <c r="F975" s="1"/>
      <c r="G975" s="23"/>
      <c r="H975" s="23"/>
      <c r="I975" s="23"/>
      <c r="J975" s="2"/>
      <c r="M975" s="40"/>
      <c r="N975" s="40"/>
      <c r="O975" s="2"/>
      <c r="P975" s="2"/>
      <c r="Q975" s="2"/>
      <c r="S975" s="2"/>
      <c r="T975" s="2"/>
      <c r="V975" s="2"/>
      <c r="W975" s="2"/>
      <c r="Y975" s="2"/>
      <c r="Z975" s="2"/>
      <c r="AB975" s="2"/>
      <c r="AC975" s="2"/>
      <c r="AF975" s="24"/>
    </row>
    <row r="976">
      <c r="A976" s="11"/>
      <c r="B976" s="23"/>
      <c r="C976" s="23"/>
      <c r="D976" s="23"/>
      <c r="E976" s="23"/>
      <c r="F976" s="1"/>
      <c r="G976" s="23"/>
      <c r="H976" s="23"/>
      <c r="I976" s="23"/>
      <c r="J976" s="2"/>
      <c r="M976" s="40"/>
      <c r="N976" s="40"/>
      <c r="O976" s="2"/>
      <c r="P976" s="2"/>
      <c r="Q976" s="2"/>
      <c r="S976" s="2"/>
      <c r="T976" s="2"/>
      <c r="V976" s="2"/>
      <c r="W976" s="2"/>
      <c r="Y976" s="2"/>
      <c r="Z976" s="2"/>
      <c r="AB976" s="2"/>
      <c r="AC976" s="2"/>
      <c r="AF976" s="24"/>
    </row>
    <row r="977">
      <c r="A977" s="11"/>
      <c r="B977" s="23"/>
      <c r="C977" s="23"/>
      <c r="D977" s="23"/>
      <c r="E977" s="23"/>
      <c r="F977" s="1"/>
      <c r="G977" s="23"/>
      <c r="H977" s="23"/>
      <c r="I977" s="23"/>
      <c r="J977" s="2"/>
      <c r="M977" s="40"/>
      <c r="N977" s="40"/>
      <c r="O977" s="2"/>
      <c r="P977" s="2"/>
      <c r="Q977" s="2"/>
      <c r="S977" s="2"/>
      <c r="T977" s="2"/>
      <c r="V977" s="2"/>
      <c r="W977" s="2"/>
      <c r="Y977" s="2"/>
      <c r="Z977" s="2"/>
      <c r="AB977" s="2"/>
      <c r="AC977" s="2"/>
      <c r="AF977" s="24"/>
    </row>
    <row r="978">
      <c r="A978" s="11"/>
      <c r="B978" s="23"/>
      <c r="C978" s="23"/>
      <c r="D978" s="23"/>
      <c r="E978" s="23"/>
      <c r="F978" s="1"/>
      <c r="G978" s="23"/>
      <c r="H978" s="23"/>
      <c r="I978" s="23"/>
      <c r="J978" s="2"/>
      <c r="M978" s="40"/>
      <c r="N978" s="40"/>
      <c r="O978" s="2"/>
      <c r="P978" s="2"/>
      <c r="Q978" s="2"/>
      <c r="S978" s="2"/>
      <c r="T978" s="2"/>
      <c r="V978" s="2"/>
      <c r="W978" s="2"/>
      <c r="Y978" s="2"/>
      <c r="Z978" s="2"/>
      <c r="AB978" s="2"/>
      <c r="AC978" s="2"/>
      <c r="AF978" s="24"/>
    </row>
    <row r="979">
      <c r="A979" s="11"/>
      <c r="B979" s="23"/>
      <c r="C979" s="23"/>
      <c r="D979" s="23"/>
      <c r="E979" s="23"/>
      <c r="F979" s="1"/>
      <c r="G979" s="23"/>
      <c r="H979" s="23"/>
      <c r="I979" s="23"/>
      <c r="J979" s="2"/>
      <c r="M979" s="40"/>
      <c r="N979" s="40"/>
      <c r="O979" s="2"/>
      <c r="P979" s="2"/>
      <c r="Q979" s="2"/>
      <c r="S979" s="2"/>
      <c r="T979" s="2"/>
      <c r="V979" s="2"/>
      <c r="W979" s="2"/>
      <c r="Y979" s="2"/>
      <c r="Z979" s="2"/>
      <c r="AB979" s="2"/>
      <c r="AC979" s="2"/>
      <c r="AF979" s="24"/>
    </row>
    <row r="980">
      <c r="A980" s="11"/>
      <c r="B980" s="23"/>
      <c r="C980" s="23"/>
      <c r="D980" s="23"/>
      <c r="E980" s="23"/>
      <c r="F980" s="1"/>
      <c r="G980" s="23"/>
      <c r="H980" s="23"/>
      <c r="I980" s="23"/>
      <c r="J980" s="2"/>
      <c r="M980" s="40"/>
      <c r="N980" s="40"/>
      <c r="O980" s="2"/>
      <c r="P980" s="2"/>
      <c r="Q980" s="2"/>
      <c r="S980" s="2"/>
      <c r="T980" s="2"/>
      <c r="V980" s="2"/>
      <c r="W980" s="2"/>
      <c r="Y980" s="2"/>
      <c r="Z980" s="2"/>
      <c r="AB980" s="2"/>
      <c r="AC980" s="2"/>
      <c r="AF980" s="24"/>
    </row>
    <row r="981">
      <c r="A981" s="11"/>
      <c r="B981" s="23"/>
      <c r="C981" s="23"/>
      <c r="D981" s="23"/>
      <c r="E981" s="23"/>
      <c r="F981" s="1"/>
      <c r="G981" s="23"/>
      <c r="H981" s="23"/>
      <c r="I981" s="23"/>
      <c r="J981" s="2"/>
      <c r="M981" s="40"/>
      <c r="N981" s="40"/>
      <c r="O981" s="2"/>
      <c r="P981" s="2"/>
      <c r="Q981" s="2"/>
      <c r="S981" s="2"/>
      <c r="T981" s="2"/>
      <c r="V981" s="2"/>
      <c r="W981" s="2"/>
      <c r="Y981" s="2"/>
      <c r="Z981" s="2"/>
      <c r="AB981" s="2"/>
      <c r="AC981" s="2"/>
      <c r="AF981" s="24"/>
    </row>
    <row r="982">
      <c r="A982" s="11"/>
      <c r="B982" s="23"/>
      <c r="C982" s="23"/>
      <c r="D982" s="23"/>
      <c r="E982" s="23"/>
      <c r="F982" s="1"/>
      <c r="G982" s="23"/>
      <c r="H982" s="23"/>
      <c r="I982" s="23"/>
      <c r="J982" s="2"/>
      <c r="M982" s="40"/>
      <c r="N982" s="40"/>
      <c r="O982" s="2"/>
      <c r="P982" s="2"/>
      <c r="Q982" s="2"/>
      <c r="S982" s="2"/>
      <c r="T982" s="2"/>
      <c r="V982" s="2"/>
      <c r="W982" s="2"/>
      <c r="Y982" s="2"/>
      <c r="Z982" s="2"/>
      <c r="AB982" s="2"/>
      <c r="AC982" s="2"/>
      <c r="AF982" s="24"/>
    </row>
    <row r="983">
      <c r="A983" s="11"/>
      <c r="B983" s="23"/>
      <c r="C983" s="23"/>
      <c r="D983" s="23"/>
      <c r="E983" s="23"/>
      <c r="F983" s="1"/>
      <c r="G983" s="23"/>
      <c r="H983" s="23"/>
      <c r="I983" s="23"/>
      <c r="J983" s="2"/>
      <c r="M983" s="40"/>
      <c r="N983" s="40"/>
      <c r="O983" s="2"/>
      <c r="P983" s="2"/>
      <c r="Q983" s="2"/>
      <c r="S983" s="2"/>
      <c r="T983" s="2"/>
      <c r="V983" s="2"/>
      <c r="W983" s="2"/>
      <c r="Y983" s="2"/>
      <c r="Z983" s="2"/>
      <c r="AB983" s="2"/>
      <c r="AC983" s="2"/>
      <c r="AF983" s="24"/>
    </row>
    <row r="984">
      <c r="A984" s="11"/>
      <c r="B984" s="23"/>
      <c r="C984" s="23"/>
      <c r="D984" s="23"/>
      <c r="E984" s="23"/>
      <c r="F984" s="1"/>
      <c r="G984" s="23"/>
      <c r="H984" s="23"/>
      <c r="I984" s="23"/>
      <c r="J984" s="2"/>
      <c r="M984" s="40"/>
      <c r="N984" s="40"/>
      <c r="O984" s="2"/>
      <c r="P984" s="2"/>
      <c r="Q984" s="2"/>
      <c r="S984" s="2"/>
      <c r="T984" s="2"/>
      <c r="V984" s="2"/>
      <c r="W984" s="2"/>
      <c r="Y984" s="2"/>
      <c r="Z984" s="2"/>
      <c r="AB984" s="2"/>
      <c r="AC984" s="2"/>
      <c r="AF984" s="24"/>
    </row>
    <row r="985">
      <c r="A985" s="11"/>
      <c r="B985" s="23"/>
      <c r="C985" s="23"/>
      <c r="D985" s="23"/>
      <c r="E985" s="23"/>
      <c r="F985" s="1"/>
      <c r="G985" s="23"/>
      <c r="H985" s="23"/>
      <c r="I985" s="23"/>
      <c r="J985" s="2"/>
      <c r="M985" s="40"/>
      <c r="N985" s="40"/>
      <c r="O985" s="2"/>
      <c r="P985" s="2"/>
      <c r="Q985" s="2"/>
      <c r="S985" s="2"/>
      <c r="T985" s="2"/>
      <c r="V985" s="2"/>
      <c r="W985" s="2"/>
      <c r="Y985" s="2"/>
      <c r="Z985" s="2"/>
      <c r="AB985" s="2"/>
      <c r="AC985" s="2"/>
      <c r="AF985" s="24"/>
    </row>
    <row r="986">
      <c r="A986" s="11"/>
      <c r="B986" s="23"/>
      <c r="C986" s="23"/>
      <c r="D986" s="23"/>
      <c r="E986" s="23"/>
      <c r="F986" s="1"/>
      <c r="G986" s="23"/>
      <c r="H986" s="23"/>
      <c r="I986" s="23"/>
      <c r="J986" s="2"/>
      <c r="M986" s="40"/>
      <c r="N986" s="40"/>
      <c r="O986" s="2"/>
      <c r="P986" s="2"/>
      <c r="Q986" s="2"/>
      <c r="S986" s="2"/>
      <c r="T986" s="2"/>
      <c r="V986" s="2"/>
      <c r="W986" s="2"/>
      <c r="Y986" s="2"/>
      <c r="Z986" s="2"/>
      <c r="AB986" s="2"/>
      <c r="AC986" s="2"/>
      <c r="AF986" s="24"/>
    </row>
    <row r="987">
      <c r="A987" s="11"/>
      <c r="B987" s="23"/>
      <c r="C987" s="23"/>
      <c r="D987" s="23"/>
      <c r="E987" s="23"/>
      <c r="F987" s="1"/>
      <c r="G987" s="23"/>
      <c r="H987" s="23"/>
      <c r="I987" s="23"/>
      <c r="J987" s="2"/>
      <c r="M987" s="40"/>
      <c r="N987" s="40"/>
      <c r="O987" s="2"/>
      <c r="P987" s="2"/>
      <c r="Q987" s="2"/>
      <c r="S987" s="2"/>
      <c r="T987" s="2"/>
      <c r="V987" s="2"/>
      <c r="W987" s="2"/>
      <c r="Y987" s="2"/>
      <c r="Z987" s="2"/>
      <c r="AB987" s="2"/>
      <c r="AC987" s="2"/>
      <c r="AF987" s="24"/>
    </row>
    <row r="988">
      <c r="A988" s="11"/>
      <c r="B988" s="23"/>
      <c r="C988" s="23"/>
      <c r="D988" s="23"/>
      <c r="E988" s="23"/>
      <c r="F988" s="1"/>
      <c r="G988" s="23"/>
      <c r="H988" s="23"/>
      <c r="I988" s="23"/>
      <c r="J988" s="2"/>
      <c r="M988" s="40"/>
      <c r="N988" s="40"/>
      <c r="O988" s="2"/>
      <c r="P988" s="2"/>
      <c r="Q988" s="2"/>
      <c r="S988" s="2"/>
      <c r="T988" s="2"/>
      <c r="V988" s="2"/>
      <c r="W988" s="2"/>
      <c r="Y988" s="2"/>
      <c r="Z988" s="2"/>
      <c r="AB988" s="2"/>
      <c r="AC988" s="2"/>
      <c r="AF988" s="24"/>
    </row>
    <row r="989">
      <c r="A989" s="11"/>
      <c r="B989" s="23"/>
      <c r="C989" s="23"/>
      <c r="D989" s="23"/>
      <c r="E989" s="23"/>
      <c r="F989" s="1"/>
      <c r="G989" s="23"/>
      <c r="H989" s="23"/>
      <c r="I989" s="23"/>
      <c r="J989" s="2"/>
      <c r="M989" s="40"/>
      <c r="N989" s="40"/>
      <c r="O989" s="2"/>
      <c r="P989" s="2"/>
      <c r="Q989" s="2"/>
      <c r="S989" s="2"/>
      <c r="T989" s="2"/>
      <c r="V989" s="2"/>
      <c r="W989" s="2"/>
      <c r="Y989" s="2"/>
      <c r="Z989" s="2"/>
      <c r="AB989" s="2"/>
      <c r="AC989" s="2"/>
      <c r="AF989" s="24"/>
    </row>
    <row r="990">
      <c r="A990" s="11"/>
      <c r="B990" s="23"/>
      <c r="C990" s="23"/>
      <c r="D990" s="23"/>
      <c r="E990" s="23"/>
      <c r="F990" s="1"/>
      <c r="G990" s="23"/>
      <c r="H990" s="23"/>
      <c r="I990" s="23"/>
      <c r="J990" s="2"/>
      <c r="M990" s="40"/>
      <c r="N990" s="40"/>
      <c r="O990" s="2"/>
      <c r="P990" s="2"/>
      <c r="Q990" s="2"/>
      <c r="S990" s="2"/>
      <c r="T990" s="2"/>
      <c r="V990" s="2"/>
      <c r="W990" s="2"/>
      <c r="Y990" s="2"/>
      <c r="Z990" s="2"/>
      <c r="AB990" s="2"/>
      <c r="AC990" s="2"/>
      <c r="AF990" s="24"/>
    </row>
    <row r="991">
      <c r="A991" s="11"/>
      <c r="B991" s="23"/>
      <c r="C991" s="23"/>
      <c r="D991" s="23"/>
      <c r="E991" s="23"/>
      <c r="F991" s="1"/>
      <c r="G991" s="23"/>
      <c r="H991" s="23"/>
      <c r="I991" s="23"/>
      <c r="J991" s="2"/>
      <c r="M991" s="40"/>
      <c r="N991" s="40"/>
      <c r="O991" s="2"/>
      <c r="P991" s="2"/>
      <c r="Q991" s="2"/>
      <c r="S991" s="2"/>
      <c r="T991" s="2"/>
      <c r="V991" s="2"/>
      <c r="W991" s="2"/>
      <c r="Y991" s="2"/>
      <c r="Z991" s="2"/>
      <c r="AB991" s="2"/>
      <c r="AC991" s="2"/>
      <c r="AF991" s="24"/>
    </row>
    <row r="992">
      <c r="A992" s="11"/>
      <c r="B992" s="23"/>
      <c r="C992" s="23"/>
      <c r="D992" s="23"/>
      <c r="E992" s="23"/>
      <c r="F992" s="1"/>
      <c r="G992" s="23"/>
      <c r="H992" s="23"/>
      <c r="I992" s="23"/>
      <c r="J992" s="2"/>
      <c r="M992" s="40"/>
      <c r="N992" s="40"/>
      <c r="O992" s="2"/>
      <c r="P992" s="2"/>
      <c r="Q992" s="2"/>
      <c r="S992" s="2"/>
      <c r="T992" s="2"/>
      <c r="V992" s="2"/>
      <c r="W992" s="2"/>
      <c r="Y992" s="2"/>
      <c r="Z992" s="2"/>
      <c r="AB992" s="2"/>
      <c r="AC992" s="2"/>
      <c r="AF992" s="24"/>
    </row>
    <row r="993">
      <c r="A993" s="11"/>
      <c r="B993" s="23"/>
      <c r="C993" s="23"/>
      <c r="D993" s="23"/>
      <c r="E993" s="23"/>
      <c r="F993" s="1"/>
      <c r="G993" s="23"/>
      <c r="H993" s="23"/>
      <c r="I993" s="23"/>
      <c r="J993" s="2"/>
      <c r="M993" s="40"/>
      <c r="N993" s="40"/>
      <c r="O993" s="2"/>
      <c r="P993" s="2"/>
      <c r="Q993" s="2"/>
      <c r="S993" s="2"/>
      <c r="T993" s="2"/>
      <c r="V993" s="2"/>
      <c r="W993" s="2"/>
      <c r="Y993" s="2"/>
      <c r="Z993" s="2"/>
      <c r="AB993" s="2"/>
      <c r="AC993" s="2"/>
      <c r="AF993" s="24"/>
    </row>
    <row r="994">
      <c r="A994" s="11"/>
      <c r="B994" s="23"/>
      <c r="C994" s="23"/>
      <c r="D994" s="23"/>
      <c r="E994" s="23"/>
      <c r="F994" s="1"/>
      <c r="G994" s="23"/>
      <c r="H994" s="23"/>
      <c r="I994" s="23"/>
      <c r="J994" s="2"/>
      <c r="M994" s="40"/>
      <c r="N994" s="40"/>
      <c r="O994" s="2"/>
      <c r="P994" s="2"/>
      <c r="Q994" s="2"/>
      <c r="S994" s="2"/>
      <c r="T994" s="2"/>
      <c r="V994" s="2"/>
      <c r="W994" s="2"/>
      <c r="Y994" s="2"/>
      <c r="Z994" s="2"/>
      <c r="AB994" s="2"/>
      <c r="AC994" s="2"/>
      <c r="AF994" s="24"/>
    </row>
    <row r="995">
      <c r="A995" s="11"/>
      <c r="B995" s="23"/>
      <c r="C995" s="23"/>
      <c r="D995" s="23"/>
      <c r="E995" s="23"/>
      <c r="F995" s="1"/>
      <c r="G995" s="23"/>
      <c r="H995" s="23"/>
      <c r="I995" s="23"/>
      <c r="J995" s="2"/>
      <c r="M995" s="40"/>
      <c r="N995" s="40"/>
      <c r="O995" s="2"/>
      <c r="P995" s="2"/>
      <c r="Q995" s="2"/>
      <c r="S995" s="2"/>
      <c r="T995" s="2"/>
      <c r="V995" s="2"/>
      <c r="W995" s="2"/>
      <c r="Y995" s="2"/>
      <c r="Z995" s="2"/>
      <c r="AB995" s="2"/>
      <c r="AC995" s="2"/>
      <c r="AF995" s="24"/>
    </row>
    <row r="996">
      <c r="A996" s="11"/>
      <c r="B996" s="23"/>
      <c r="C996" s="23"/>
      <c r="D996" s="23"/>
      <c r="E996" s="23"/>
      <c r="F996" s="1"/>
      <c r="G996" s="23"/>
      <c r="H996" s="23"/>
      <c r="I996" s="23"/>
      <c r="J996" s="2"/>
      <c r="M996" s="40"/>
      <c r="N996" s="40"/>
      <c r="O996" s="2"/>
      <c r="P996" s="2"/>
      <c r="Q996" s="2"/>
      <c r="S996" s="2"/>
      <c r="T996" s="2"/>
      <c r="V996" s="2"/>
      <c r="W996" s="2"/>
      <c r="Y996" s="2"/>
      <c r="Z996" s="2"/>
      <c r="AB996" s="2"/>
      <c r="AC996" s="2"/>
      <c r="AF996" s="24"/>
    </row>
    <row r="997">
      <c r="A997" s="11"/>
      <c r="B997" s="23"/>
      <c r="C997" s="23"/>
      <c r="D997" s="23"/>
      <c r="E997" s="23"/>
      <c r="F997" s="1"/>
      <c r="G997" s="23"/>
      <c r="H997" s="23"/>
      <c r="I997" s="23"/>
      <c r="J997" s="2"/>
      <c r="M997" s="40"/>
      <c r="N997" s="40"/>
      <c r="O997" s="2"/>
      <c r="P997" s="2"/>
      <c r="Q997" s="2"/>
      <c r="S997" s="2"/>
      <c r="T997" s="2"/>
      <c r="V997" s="2"/>
      <c r="W997" s="2"/>
      <c r="Y997" s="2"/>
      <c r="Z997" s="2"/>
      <c r="AB997" s="2"/>
      <c r="AC997" s="2"/>
      <c r="AF997" s="24"/>
    </row>
    <row r="998">
      <c r="A998" s="11"/>
      <c r="B998" s="23"/>
      <c r="C998" s="23"/>
      <c r="D998" s="23"/>
      <c r="E998" s="23"/>
      <c r="F998" s="1"/>
      <c r="G998" s="23"/>
      <c r="H998" s="23"/>
      <c r="I998" s="23"/>
      <c r="J998" s="2"/>
      <c r="M998" s="40"/>
      <c r="N998" s="40"/>
      <c r="O998" s="2"/>
      <c r="P998" s="2"/>
      <c r="Q998" s="2"/>
      <c r="S998" s="2"/>
      <c r="T998" s="2"/>
      <c r="V998" s="2"/>
      <c r="W998" s="2"/>
      <c r="Y998" s="2"/>
      <c r="Z998" s="2"/>
      <c r="AB998" s="2"/>
      <c r="AC998" s="2"/>
      <c r="AF998" s="24"/>
    </row>
    <row r="999">
      <c r="A999" s="11"/>
      <c r="B999" s="23"/>
      <c r="C999" s="23"/>
      <c r="D999" s="23"/>
      <c r="E999" s="23"/>
      <c r="F999" s="1"/>
      <c r="G999" s="23"/>
      <c r="H999" s="23"/>
      <c r="I999" s="23"/>
      <c r="J999" s="2"/>
      <c r="M999" s="40"/>
      <c r="N999" s="40"/>
      <c r="O999" s="2"/>
      <c r="P999" s="2"/>
      <c r="Q999" s="2"/>
      <c r="S999" s="2"/>
      <c r="T999" s="2"/>
      <c r="V999" s="2"/>
      <c r="W999" s="2"/>
      <c r="Y999" s="2"/>
      <c r="Z999" s="2"/>
      <c r="AB999" s="2"/>
      <c r="AC999" s="2"/>
      <c r="AF999" s="24"/>
    </row>
  </sheetData>
  <dataValidations>
    <dataValidation type="list" allowBlank="1" showErrorMessage="1" sqref="O2:O999">
      <formula1>"Pre test (diagnóstico),Post test (cierre)"</formula1>
    </dataValidation>
    <dataValidation type="list" allowBlank="1" showErrorMessage="1" sqref="AB2:AB38 P2:P999 S2:S999 V2:V999 Y2:Y999 AB40:AB999">
      <formula1>"Sí,No"</formula1>
    </dataValidation>
    <dataValidation type="list" allowBlank="1" showErrorMessage="1" sqref="F2:F999">
      <formula1>IIEE[Institución educativa]</formula1>
    </dataValidation>
    <dataValidation type="list" allowBlank="1" showErrorMessage="1" sqref="Z2:Z25 Q2:Q999 T2:T999 W2:W999 Z27:Z999 AC2:AC999">
      <formula1>"Nunca,Rara vez,Algunas veces,Regularmente,Siempre"</formula1>
    </dataValidation>
    <dataValidation type="list" allowBlank="1" showErrorMessage="1" sqref="AF2:AF999">
      <formula1>Facilitador_a[Facilitador/a]</formula1>
    </dataValidation>
    <dataValidation type="list" allowBlank="1" showErrorMessage="1" sqref="J2:J999">
      <formula1>"Ini-3ero,Ini-4rto,Ini-5nto"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6.13"/>
    <col customWidth="1" min="3" max="3" width="8.5"/>
    <col customWidth="1" min="4" max="4" width="6.88"/>
    <col customWidth="1" min="5" max="5" width="20.63"/>
    <col customWidth="1" min="6" max="6" width="28.0"/>
    <col customWidth="1" min="7" max="7" width="12.0"/>
    <col customWidth="1" min="8" max="8" width="11.25"/>
    <col customWidth="1" min="9" max="9" width="8.5"/>
    <col customWidth="1" min="10" max="10" width="28.63"/>
    <col customWidth="1" min="11" max="11" width="24.38"/>
    <col customWidth="1" min="12" max="12" width="11.13"/>
    <col customWidth="1" min="13" max="13" width="21.5"/>
  </cols>
  <sheetData>
    <row r="1">
      <c r="A1" s="3" t="s">
        <v>51</v>
      </c>
      <c r="B1" s="4" t="s">
        <v>0</v>
      </c>
      <c r="C1" s="4" t="s">
        <v>1</v>
      </c>
      <c r="D1" s="4" t="s">
        <v>2</v>
      </c>
      <c r="E1" s="4" t="s">
        <v>3</v>
      </c>
      <c r="F1" s="5" t="s">
        <v>4</v>
      </c>
      <c r="G1" s="4" t="s">
        <v>52</v>
      </c>
      <c r="H1" s="4" t="s">
        <v>53</v>
      </c>
      <c r="I1" s="4" t="s">
        <v>54</v>
      </c>
      <c r="J1" s="6" t="s">
        <v>2162</v>
      </c>
      <c r="K1" s="6" t="s">
        <v>4865</v>
      </c>
      <c r="L1" s="6" t="s">
        <v>63</v>
      </c>
      <c r="M1" s="10" t="s">
        <v>64</v>
      </c>
    </row>
    <row r="2">
      <c r="A2" s="11"/>
      <c r="B2" s="12" t="s">
        <v>7</v>
      </c>
      <c r="C2" s="12" t="s">
        <v>8</v>
      </c>
      <c r="D2" s="12" t="s">
        <v>24</v>
      </c>
      <c r="E2" s="12" t="s">
        <v>32</v>
      </c>
      <c r="F2" s="13" t="s">
        <v>30</v>
      </c>
      <c r="G2" s="12" t="s">
        <v>68</v>
      </c>
      <c r="H2" s="12" t="s">
        <v>573</v>
      </c>
      <c r="I2" s="12" t="s">
        <v>574</v>
      </c>
      <c r="J2" s="17" t="s">
        <v>2169</v>
      </c>
      <c r="K2" s="17">
        <v>2.0</v>
      </c>
      <c r="M2" s="18" t="s">
        <v>577</v>
      </c>
    </row>
    <row r="3">
      <c r="A3" s="11"/>
      <c r="B3" s="12" t="s">
        <v>7</v>
      </c>
      <c r="C3" s="12" t="s">
        <v>37</v>
      </c>
      <c r="D3" s="12" t="s">
        <v>38</v>
      </c>
      <c r="E3" s="12" t="s">
        <v>45</v>
      </c>
      <c r="F3" s="13" t="s">
        <v>44</v>
      </c>
      <c r="G3" s="12" t="s">
        <v>68</v>
      </c>
      <c r="H3" s="12" t="s">
        <v>830</v>
      </c>
      <c r="I3" s="12" t="s">
        <v>831</v>
      </c>
      <c r="J3" s="17" t="s">
        <v>2169</v>
      </c>
      <c r="K3" s="17">
        <v>2.0</v>
      </c>
      <c r="M3" s="18" t="s">
        <v>577</v>
      </c>
    </row>
    <row r="4">
      <c r="A4" s="11"/>
      <c r="B4" s="12" t="s">
        <v>7</v>
      </c>
      <c r="C4" s="12" t="s">
        <v>8</v>
      </c>
      <c r="D4" s="12" t="s">
        <v>24</v>
      </c>
      <c r="E4" s="12" t="s">
        <v>29</v>
      </c>
      <c r="F4" s="13" t="s">
        <v>27</v>
      </c>
      <c r="G4" s="12" t="s">
        <v>68</v>
      </c>
      <c r="H4" s="12" t="s">
        <v>801</v>
      </c>
      <c r="I4" s="12" t="s">
        <v>802</v>
      </c>
      <c r="J4" s="17" t="s">
        <v>2169</v>
      </c>
      <c r="K4" s="17">
        <v>2.0</v>
      </c>
      <c r="M4" s="18" t="s">
        <v>577</v>
      </c>
    </row>
    <row r="5">
      <c r="A5" s="11"/>
      <c r="B5" s="12" t="s">
        <v>7</v>
      </c>
      <c r="C5" s="12" t="s">
        <v>8</v>
      </c>
      <c r="D5" s="12" t="s">
        <v>24</v>
      </c>
      <c r="E5" s="12" t="s">
        <v>35</v>
      </c>
      <c r="F5" s="13" t="s">
        <v>33</v>
      </c>
      <c r="G5" s="12" t="s">
        <v>68</v>
      </c>
      <c r="H5" s="12" t="s">
        <v>813</v>
      </c>
      <c r="I5" s="12" t="s">
        <v>814</v>
      </c>
      <c r="J5" s="17" t="s">
        <v>2169</v>
      </c>
      <c r="K5" s="17">
        <v>2.0</v>
      </c>
      <c r="M5" s="18" t="s">
        <v>577</v>
      </c>
    </row>
    <row r="6">
      <c r="A6" s="11"/>
      <c r="B6" s="12" t="s">
        <v>7</v>
      </c>
      <c r="C6" s="12" t="s">
        <v>8</v>
      </c>
      <c r="D6" s="12" t="s">
        <v>24</v>
      </c>
      <c r="E6" s="12" t="s">
        <v>25</v>
      </c>
      <c r="F6" s="13" t="s">
        <v>26</v>
      </c>
      <c r="G6" s="12" t="s">
        <v>68</v>
      </c>
      <c r="H6" s="12" t="s">
        <v>994</v>
      </c>
      <c r="I6" s="12" t="s">
        <v>995</v>
      </c>
      <c r="J6" s="17" t="s">
        <v>2169</v>
      </c>
      <c r="K6" s="17">
        <v>2.0</v>
      </c>
      <c r="M6" s="18" t="s">
        <v>577</v>
      </c>
    </row>
    <row r="7">
      <c r="A7" s="11"/>
      <c r="B7" s="12" t="s">
        <v>22</v>
      </c>
      <c r="C7" s="12" t="s">
        <v>22</v>
      </c>
      <c r="D7" s="12" t="s">
        <v>22</v>
      </c>
      <c r="E7" s="12" t="s">
        <v>624</v>
      </c>
      <c r="F7" s="13" t="s">
        <v>625</v>
      </c>
      <c r="G7" s="12" t="s">
        <v>68</v>
      </c>
      <c r="H7" s="12" t="s">
        <v>626</v>
      </c>
      <c r="I7" s="12" t="s">
        <v>627</v>
      </c>
      <c r="J7" s="17" t="s">
        <v>2169</v>
      </c>
      <c r="K7" s="17">
        <v>1.0</v>
      </c>
      <c r="M7" s="18" t="s">
        <v>588</v>
      </c>
    </row>
    <row r="8">
      <c r="A8" s="11"/>
      <c r="B8" s="12" t="s">
        <v>22</v>
      </c>
      <c r="C8" s="12" t="s">
        <v>22</v>
      </c>
      <c r="D8" s="12" t="s">
        <v>22</v>
      </c>
      <c r="E8" s="12" t="s">
        <v>624</v>
      </c>
      <c r="F8" s="13" t="s">
        <v>625</v>
      </c>
      <c r="G8" s="12" t="s">
        <v>68</v>
      </c>
      <c r="H8" s="12" t="s">
        <v>626</v>
      </c>
      <c r="I8" s="12" t="s">
        <v>627</v>
      </c>
      <c r="J8" s="17" t="s">
        <v>2169</v>
      </c>
      <c r="K8" s="17">
        <v>2.0</v>
      </c>
      <c r="M8" s="18" t="s">
        <v>588</v>
      </c>
    </row>
    <row r="9">
      <c r="A9" s="11"/>
      <c r="B9" s="12" t="s">
        <v>22</v>
      </c>
      <c r="C9" s="12" t="s">
        <v>22</v>
      </c>
      <c r="D9" s="12" t="s">
        <v>22</v>
      </c>
      <c r="E9" s="12" t="s">
        <v>593</v>
      </c>
      <c r="F9" s="13" t="s">
        <v>594</v>
      </c>
      <c r="G9" s="12" t="s">
        <v>68</v>
      </c>
      <c r="H9" s="12" t="s">
        <v>595</v>
      </c>
      <c r="I9" s="12" t="s">
        <v>596</v>
      </c>
      <c r="J9" s="17" t="s">
        <v>2169</v>
      </c>
      <c r="K9" s="17">
        <v>2.0</v>
      </c>
      <c r="M9" s="18" t="s">
        <v>588</v>
      </c>
    </row>
    <row r="10">
      <c r="A10" s="11"/>
      <c r="B10" s="12" t="s">
        <v>7</v>
      </c>
      <c r="C10" s="12" t="s">
        <v>37</v>
      </c>
      <c r="D10" s="12" t="s">
        <v>38</v>
      </c>
      <c r="E10" s="12" t="s">
        <v>38</v>
      </c>
      <c r="F10" s="13" t="s">
        <v>42</v>
      </c>
      <c r="G10" s="12" t="s">
        <v>68</v>
      </c>
      <c r="H10" s="12" t="s">
        <v>584</v>
      </c>
      <c r="I10" s="12" t="s">
        <v>585</v>
      </c>
      <c r="J10" s="17" t="s">
        <v>2169</v>
      </c>
      <c r="K10" s="17">
        <v>2.0</v>
      </c>
      <c r="M10" s="18" t="s">
        <v>588</v>
      </c>
    </row>
    <row r="11">
      <c r="A11" s="11"/>
      <c r="B11" s="12" t="s">
        <v>7</v>
      </c>
      <c r="C11" s="12" t="s">
        <v>37</v>
      </c>
      <c r="D11" s="12" t="s">
        <v>38</v>
      </c>
      <c r="E11" s="12" t="s">
        <v>41</v>
      </c>
      <c r="F11" s="13" t="s">
        <v>39</v>
      </c>
      <c r="G11" s="12" t="s">
        <v>68</v>
      </c>
      <c r="H11" s="12" t="s">
        <v>902</v>
      </c>
      <c r="I11" s="12" t="s">
        <v>903</v>
      </c>
      <c r="J11" s="17" t="s">
        <v>2169</v>
      </c>
      <c r="K11" s="17">
        <v>2.0</v>
      </c>
      <c r="M11" s="18" t="s">
        <v>588</v>
      </c>
    </row>
    <row r="12">
      <c r="A12" s="11"/>
      <c r="B12" s="12" t="s">
        <v>7</v>
      </c>
      <c r="C12" s="12" t="s">
        <v>8</v>
      </c>
      <c r="D12" s="12" t="s">
        <v>15</v>
      </c>
      <c r="E12" s="12" t="s">
        <v>17</v>
      </c>
      <c r="F12" s="13" t="s">
        <v>18</v>
      </c>
      <c r="G12" s="12" t="s">
        <v>68</v>
      </c>
      <c r="H12" s="12" t="s">
        <v>954</v>
      </c>
      <c r="I12" s="12" t="s">
        <v>955</v>
      </c>
      <c r="J12" s="17" t="s">
        <v>2169</v>
      </c>
      <c r="K12" s="17" t="s">
        <v>2170</v>
      </c>
      <c r="M12" s="18" t="s">
        <v>915</v>
      </c>
    </row>
    <row r="13">
      <c r="A13" s="11"/>
      <c r="B13" s="12" t="s">
        <v>7</v>
      </c>
      <c r="C13" s="12" t="s">
        <v>8</v>
      </c>
      <c r="D13" s="12" t="s">
        <v>15</v>
      </c>
      <c r="E13" s="12" t="s">
        <v>15</v>
      </c>
      <c r="F13" s="13" t="s">
        <v>16</v>
      </c>
      <c r="G13" s="12" t="s">
        <v>68</v>
      </c>
      <c r="H13" s="12" t="s">
        <v>928</v>
      </c>
      <c r="I13" s="12" t="s">
        <v>929</v>
      </c>
      <c r="J13" s="17" t="s">
        <v>2169</v>
      </c>
      <c r="K13" s="17" t="s">
        <v>2270</v>
      </c>
      <c r="M13" s="18" t="s">
        <v>915</v>
      </c>
    </row>
    <row r="14">
      <c r="A14" s="11"/>
      <c r="B14" s="12" t="s">
        <v>7</v>
      </c>
      <c r="C14" s="12" t="s">
        <v>8</v>
      </c>
      <c r="D14" s="12" t="s">
        <v>15</v>
      </c>
      <c r="E14" s="12" t="s">
        <v>21</v>
      </c>
      <c r="F14" s="13" t="s">
        <v>19</v>
      </c>
      <c r="G14" s="12" t="s">
        <v>68</v>
      </c>
      <c r="H14" s="12" t="s">
        <v>968</v>
      </c>
      <c r="I14" s="12" t="s">
        <v>969</v>
      </c>
      <c r="J14" s="17" t="s">
        <v>2169</v>
      </c>
      <c r="K14" s="17" t="s">
        <v>2170</v>
      </c>
      <c r="M14" s="18" t="s">
        <v>915</v>
      </c>
    </row>
    <row r="15">
      <c r="A15" s="11"/>
      <c r="B15" s="12" t="s">
        <v>7</v>
      </c>
      <c r="C15" s="12" t="s">
        <v>8</v>
      </c>
      <c r="D15" s="12" t="s">
        <v>9</v>
      </c>
      <c r="E15" s="12" t="s">
        <v>10</v>
      </c>
      <c r="F15" s="13" t="s">
        <v>11</v>
      </c>
      <c r="G15" s="12" t="s">
        <v>68</v>
      </c>
      <c r="H15" s="12" t="s">
        <v>911</v>
      </c>
      <c r="I15" s="12" t="s">
        <v>912</v>
      </c>
      <c r="J15" s="17" t="s">
        <v>2169</v>
      </c>
      <c r="K15" s="17" t="s">
        <v>2170</v>
      </c>
      <c r="M15" s="18" t="s">
        <v>915</v>
      </c>
    </row>
    <row r="16">
      <c r="A16" s="11"/>
      <c r="B16" s="12" t="s">
        <v>34</v>
      </c>
      <c r="C16" s="12" t="s">
        <v>65</v>
      </c>
      <c r="D16" s="12" t="s">
        <v>83</v>
      </c>
      <c r="E16" s="12" t="s">
        <v>632</v>
      </c>
      <c r="F16" s="13" t="s">
        <v>633</v>
      </c>
      <c r="G16" s="12" t="s">
        <v>68</v>
      </c>
      <c r="H16" s="12" t="s">
        <v>634</v>
      </c>
      <c r="I16" s="12" t="s">
        <v>635</v>
      </c>
      <c r="J16" s="17" t="s">
        <v>2169</v>
      </c>
      <c r="K16" s="113" t="s">
        <v>2170</v>
      </c>
      <c r="M16" s="18" t="s">
        <v>638</v>
      </c>
    </row>
    <row r="17">
      <c r="A17" s="11"/>
      <c r="B17" s="12" t="s">
        <v>34</v>
      </c>
      <c r="C17" s="12" t="s">
        <v>65</v>
      </c>
      <c r="D17" s="12" t="s">
        <v>83</v>
      </c>
      <c r="E17" s="12" t="s">
        <v>632</v>
      </c>
      <c r="F17" s="13" t="s">
        <v>633</v>
      </c>
      <c r="G17" s="12" t="s">
        <v>68</v>
      </c>
      <c r="H17" s="12" t="s">
        <v>634</v>
      </c>
      <c r="I17" s="12" t="s">
        <v>635</v>
      </c>
      <c r="J17" s="17" t="s">
        <v>2779</v>
      </c>
      <c r="K17" s="17" t="s">
        <v>2780</v>
      </c>
      <c r="M17" s="18" t="s">
        <v>638</v>
      </c>
    </row>
    <row r="18">
      <c r="A18" s="11"/>
      <c r="B18" s="12" t="s">
        <v>34</v>
      </c>
      <c r="C18" s="12" t="s">
        <v>65</v>
      </c>
      <c r="D18" s="12" t="s">
        <v>83</v>
      </c>
      <c r="E18" s="12" t="s">
        <v>632</v>
      </c>
      <c r="F18" s="13" t="s">
        <v>633</v>
      </c>
      <c r="G18" s="12" t="s">
        <v>68</v>
      </c>
      <c r="H18" s="12" t="s">
        <v>634</v>
      </c>
      <c r="I18" s="12" t="s">
        <v>635</v>
      </c>
      <c r="J18" s="17" t="s">
        <v>2783</v>
      </c>
      <c r="K18" s="17" t="s">
        <v>2784</v>
      </c>
      <c r="M18" s="18" t="s">
        <v>638</v>
      </c>
    </row>
    <row r="19">
      <c r="A19" s="11"/>
      <c r="B19" s="12" t="s">
        <v>34</v>
      </c>
      <c r="C19" s="12" t="s">
        <v>65</v>
      </c>
      <c r="D19" s="12" t="s">
        <v>83</v>
      </c>
      <c r="E19" s="12" t="s">
        <v>632</v>
      </c>
      <c r="F19" s="13" t="s">
        <v>633</v>
      </c>
      <c r="G19" s="12" t="s">
        <v>68</v>
      </c>
      <c r="H19" s="12" t="s">
        <v>634</v>
      </c>
      <c r="I19" s="12" t="s">
        <v>635</v>
      </c>
      <c r="J19" s="17" t="s">
        <v>2796</v>
      </c>
      <c r="K19" s="17" t="s">
        <v>2797</v>
      </c>
      <c r="M19" s="18" t="s">
        <v>638</v>
      </c>
    </row>
    <row r="20">
      <c r="A20" s="11"/>
      <c r="B20" s="12" t="s">
        <v>34</v>
      </c>
      <c r="C20" s="12" t="s">
        <v>65</v>
      </c>
      <c r="D20" s="12" t="s">
        <v>83</v>
      </c>
      <c r="E20" s="12" t="s">
        <v>632</v>
      </c>
      <c r="F20" s="13" t="s">
        <v>633</v>
      </c>
      <c r="G20" s="12" t="s">
        <v>68</v>
      </c>
      <c r="H20" s="12" t="s">
        <v>634</v>
      </c>
      <c r="I20" s="12" t="s">
        <v>635</v>
      </c>
      <c r="J20" s="17" t="s">
        <v>2800</v>
      </c>
      <c r="K20" s="17" t="s">
        <v>2801</v>
      </c>
      <c r="M20" s="18" t="s">
        <v>638</v>
      </c>
    </row>
    <row r="21">
      <c r="A21" s="11"/>
      <c r="B21" s="12" t="s">
        <v>34</v>
      </c>
      <c r="C21" s="12" t="s">
        <v>65</v>
      </c>
      <c r="D21" s="12" t="s">
        <v>83</v>
      </c>
      <c r="E21" s="12" t="s">
        <v>632</v>
      </c>
      <c r="F21" s="13" t="s">
        <v>633</v>
      </c>
      <c r="G21" s="12" t="s">
        <v>68</v>
      </c>
      <c r="H21" s="12" t="s">
        <v>634</v>
      </c>
      <c r="I21" s="12" t="s">
        <v>635</v>
      </c>
      <c r="J21" s="17" t="s">
        <v>2687</v>
      </c>
      <c r="K21" s="139">
        <v>1.0</v>
      </c>
      <c r="M21" s="18" t="s">
        <v>638</v>
      </c>
    </row>
    <row r="22">
      <c r="A22" s="11"/>
      <c r="B22" s="12" t="s">
        <v>34</v>
      </c>
      <c r="C22" s="12" t="s">
        <v>65</v>
      </c>
      <c r="D22" s="12" t="s">
        <v>83</v>
      </c>
      <c r="E22" s="12" t="s">
        <v>632</v>
      </c>
      <c r="F22" s="13" t="s">
        <v>633</v>
      </c>
      <c r="G22" s="12" t="s">
        <v>68</v>
      </c>
      <c r="H22" s="12" t="s">
        <v>634</v>
      </c>
      <c r="I22" s="12" t="s">
        <v>635</v>
      </c>
      <c r="J22" s="17" t="s">
        <v>2687</v>
      </c>
      <c r="K22" s="139">
        <v>2.0</v>
      </c>
      <c r="M22" s="18" t="s">
        <v>638</v>
      </c>
    </row>
    <row r="23">
      <c r="A23" s="11"/>
      <c r="B23" s="12" t="s">
        <v>34</v>
      </c>
      <c r="C23" s="12" t="s">
        <v>65</v>
      </c>
      <c r="D23" s="12" t="s">
        <v>83</v>
      </c>
      <c r="E23" s="12" t="s">
        <v>632</v>
      </c>
      <c r="F23" s="13" t="s">
        <v>633</v>
      </c>
      <c r="G23" s="12" t="s">
        <v>68</v>
      </c>
      <c r="H23" s="12" t="s">
        <v>634</v>
      </c>
      <c r="I23" s="12" t="s">
        <v>635</v>
      </c>
      <c r="J23" s="17" t="s">
        <v>2687</v>
      </c>
      <c r="K23" s="139">
        <v>3.0</v>
      </c>
      <c r="M23" s="18" t="s">
        <v>638</v>
      </c>
    </row>
    <row r="24">
      <c r="A24" s="11"/>
      <c r="B24" s="12" t="s">
        <v>34</v>
      </c>
      <c r="C24" s="12" t="s">
        <v>65</v>
      </c>
      <c r="D24" s="12" t="s">
        <v>43</v>
      </c>
      <c r="E24" s="12" t="s">
        <v>2451</v>
      </c>
      <c r="F24" s="13" t="s">
        <v>667</v>
      </c>
      <c r="G24" s="12" t="s">
        <v>68</v>
      </c>
      <c r="H24" s="12" t="s">
        <v>668</v>
      </c>
      <c r="I24" s="12" t="s">
        <v>669</v>
      </c>
      <c r="J24" s="17" t="s">
        <v>2169</v>
      </c>
      <c r="K24" s="113" t="s">
        <v>2170</v>
      </c>
      <c r="M24" s="18" t="s">
        <v>638</v>
      </c>
    </row>
    <row r="25">
      <c r="A25" s="11"/>
      <c r="B25" s="12" t="s">
        <v>34</v>
      </c>
      <c r="C25" s="12" t="s">
        <v>65</v>
      </c>
      <c r="D25" s="12" t="s">
        <v>43</v>
      </c>
      <c r="E25" s="12" t="s">
        <v>2451</v>
      </c>
      <c r="F25" s="13" t="s">
        <v>667</v>
      </c>
      <c r="G25" s="12" t="s">
        <v>68</v>
      </c>
      <c r="H25" s="12" t="s">
        <v>668</v>
      </c>
      <c r="I25" s="12" t="s">
        <v>669</v>
      </c>
      <c r="J25" s="17" t="s">
        <v>2779</v>
      </c>
      <c r="K25" s="17" t="s">
        <v>2780</v>
      </c>
      <c r="M25" s="18" t="s">
        <v>638</v>
      </c>
    </row>
    <row r="26">
      <c r="A26" s="11"/>
      <c r="B26" s="12" t="s">
        <v>34</v>
      </c>
      <c r="C26" s="12" t="s">
        <v>65</v>
      </c>
      <c r="D26" s="12" t="s">
        <v>43</v>
      </c>
      <c r="E26" s="12" t="s">
        <v>2451</v>
      </c>
      <c r="F26" s="13" t="s">
        <v>667</v>
      </c>
      <c r="G26" s="12" t="s">
        <v>68</v>
      </c>
      <c r="H26" s="12" t="s">
        <v>668</v>
      </c>
      <c r="I26" s="12" t="s">
        <v>669</v>
      </c>
      <c r="J26" s="17" t="s">
        <v>2783</v>
      </c>
      <c r="K26" s="17" t="s">
        <v>2784</v>
      </c>
      <c r="M26" s="18" t="s">
        <v>638</v>
      </c>
    </row>
    <row r="27">
      <c r="A27" s="11"/>
      <c r="B27" s="12" t="s">
        <v>34</v>
      </c>
      <c r="C27" s="12" t="s">
        <v>65</v>
      </c>
      <c r="D27" s="12" t="s">
        <v>43</v>
      </c>
      <c r="E27" s="12" t="s">
        <v>2451</v>
      </c>
      <c r="F27" s="13" t="s">
        <v>667</v>
      </c>
      <c r="G27" s="12" t="s">
        <v>68</v>
      </c>
      <c r="H27" s="12" t="s">
        <v>668</v>
      </c>
      <c r="I27" s="12" t="s">
        <v>669</v>
      </c>
      <c r="J27" s="17" t="s">
        <v>2796</v>
      </c>
      <c r="K27" s="17" t="s">
        <v>2797</v>
      </c>
      <c r="M27" s="18" t="s">
        <v>638</v>
      </c>
    </row>
    <row r="28">
      <c r="A28" s="11"/>
      <c r="B28" s="12" t="s">
        <v>34</v>
      </c>
      <c r="C28" s="12" t="s">
        <v>65</v>
      </c>
      <c r="D28" s="12" t="s">
        <v>43</v>
      </c>
      <c r="E28" s="12" t="s">
        <v>2451</v>
      </c>
      <c r="F28" s="13" t="s">
        <v>667</v>
      </c>
      <c r="G28" s="12" t="s">
        <v>68</v>
      </c>
      <c r="H28" s="12" t="s">
        <v>668</v>
      </c>
      <c r="I28" s="12" t="s">
        <v>669</v>
      </c>
      <c r="J28" s="17" t="s">
        <v>2800</v>
      </c>
      <c r="K28" s="17" t="s">
        <v>2801</v>
      </c>
      <c r="M28" s="18" t="s">
        <v>638</v>
      </c>
    </row>
    <row r="29">
      <c r="A29" s="11"/>
      <c r="B29" s="12" t="s">
        <v>34</v>
      </c>
      <c r="C29" s="12" t="s">
        <v>65</v>
      </c>
      <c r="D29" s="12" t="s">
        <v>43</v>
      </c>
      <c r="E29" s="12" t="s">
        <v>2451</v>
      </c>
      <c r="F29" s="13" t="s">
        <v>667</v>
      </c>
      <c r="G29" s="12" t="s">
        <v>68</v>
      </c>
      <c r="H29" s="12" t="s">
        <v>668</v>
      </c>
      <c r="I29" s="12" t="s">
        <v>669</v>
      </c>
      <c r="J29" s="17" t="s">
        <v>2687</v>
      </c>
      <c r="K29" s="139">
        <v>1.0</v>
      </c>
      <c r="M29" s="18" t="s">
        <v>638</v>
      </c>
    </row>
    <row r="30">
      <c r="A30" s="11"/>
      <c r="B30" s="12" t="s">
        <v>34</v>
      </c>
      <c r="C30" s="12" t="s">
        <v>65</v>
      </c>
      <c r="D30" s="12" t="s">
        <v>43</v>
      </c>
      <c r="E30" s="12" t="s">
        <v>2451</v>
      </c>
      <c r="F30" s="13" t="s">
        <v>667</v>
      </c>
      <c r="G30" s="12" t="s">
        <v>68</v>
      </c>
      <c r="H30" s="12" t="s">
        <v>668</v>
      </c>
      <c r="I30" s="12" t="s">
        <v>669</v>
      </c>
      <c r="J30" s="17" t="s">
        <v>2687</v>
      </c>
      <c r="K30" s="139">
        <v>2.0</v>
      </c>
      <c r="M30" s="18" t="s">
        <v>638</v>
      </c>
    </row>
    <row r="31">
      <c r="A31" s="11"/>
      <c r="B31" s="12" t="s">
        <v>34</v>
      </c>
      <c r="C31" s="12" t="s">
        <v>65</v>
      </c>
      <c r="D31" s="12" t="s">
        <v>43</v>
      </c>
      <c r="E31" s="12" t="s">
        <v>2451</v>
      </c>
      <c r="F31" s="13" t="s">
        <v>667</v>
      </c>
      <c r="G31" s="12" t="s">
        <v>68</v>
      </c>
      <c r="H31" s="12" t="s">
        <v>668</v>
      </c>
      <c r="I31" s="12" t="s">
        <v>669</v>
      </c>
      <c r="J31" s="17" t="s">
        <v>2687</v>
      </c>
      <c r="K31" s="139">
        <v>3.0</v>
      </c>
      <c r="M31" s="18" t="s">
        <v>638</v>
      </c>
    </row>
    <row r="32">
      <c r="A32" s="11"/>
      <c r="B32" s="12" t="s">
        <v>34</v>
      </c>
      <c r="C32" s="12" t="s">
        <v>65</v>
      </c>
      <c r="D32" s="12" t="s">
        <v>43</v>
      </c>
      <c r="E32" s="12" t="s">
        <v>717</v>
      </c>
      <c r="F32" s="13" t="s">
        <v>718</v>
      </c>
      <c r="G32" s="12" t="s">
        <v>68</v>
      </c>
      <c r="H32" s="12" t="s">
        <v>719</v>
      </c>
      <c r="I32" s="12" t="s">
        <v>720</v>
      </c>
      <c r="J32" s="17" t="s">
        <v>2169</v>
      </c>
      <c r="K32" s="113" t="s">
        <v>2170</v>
      </c>
      <c r="M32" s="18" t="s">
        <v>638</v>
      </c>
    </row>
    <row r="33">
      <c r="A33" s="11"/>
      <c r="B33" s="12" t="s">
        <v>34</v>
      </c>
      <c r="C33" s="12" t="s">
        <v>65</v>
      </c>
      <c r="D33" s="12" t="s">
        <v>43</v>
      </c>
      <c r="E33" s="12" t="s">
        <v>773</v>
      </c>
      <c r="F33" s="13" t="s">
        <v>774</v>
      </c>
      <c r="G33" s="12" t="s">
        <v>68</v>
      </c>
      <c r="H33" s="12" t="s">
        <v>775</v>
      </c>
      <c r="I33" s="12" t="s">
        <v>776</v>
      </c>
      <c r="J33" s="17" t="s">
        <v>2169</v>
      </c>
      <c r="K33" s="113" t="s">
        <v>2170</v>
      </c>
      <c r="M33" s="18" t="s">
        <v>638</v>
      </c>
    </row>
    <row r="34">
      <c r="A34" s="11"/>
      <c r="B34" s="12" t="s">
        <v>34</v>
      </c>
      <c r="C34" s="12" t="s">
        <v>65</v>
      </c>
      <c r="D34" s="12" t="s">
        <v>43</v>
      </c>
      <c r="E34" s="12" t="s">
        <v>691</v>
      </c>
      <c r="F34" s="13" t="s">
        <v>692</v>
      </c>
      <c r="G34" s="12" t="s">
        <v>68</v>
      </c>
      <c r="H34" s="12" t="s">
        <v>693</v>
      </c>
      <c r="I34" s="12" t="s">
        <v>694</v>
      </c>
      <c r="J34" s="17" t="s">
        <v>2169</v>
      </c>
      <c r="K34" s="113" t="s">
        <v>2170</v>
      </c>
      <c r="M34" s="18" t="s">
        <v>638</v>
      </c>
    </row>
    <row r="35">
      <c r="A35" s="11"/>
      <c r="B35" s="12" t="s">
        <v>34</v>
      </c>
      <c r="C35" s="12" t="s">
        <v>65</v>
      </c>
      <c r="D35" s="12" t="s">
        <v>102</v>
      </c>
      <c r="E35" s="12" t="s">
        <v>455</v>
      </c>
      <c r="F35" s="13" t="s">
        <v>456</v>
      </c>
      <c r="G35" s="12" t="s">
        <v>68</v>
      </c>
      <c r="H35" s="12" t="s">
        <v>457</v>
      </c>
      <c r="I35" s="12" t="s">
        <v>458</v>
      </c>
      <c r="J35" s="17" t="s">
        <v>2169</v>
      </c>
      <c r="K35" s="17">
        <v>2.0</v>
      </c>
      <c r="M35" s="18" t="s">
        <v>92</v>
      </c>
    </row>
    <row r="36">
      <c r="A36" s="11"/>
      <c r="B36" s="12" t="s">
        <v>34</v>
      </c>
      <c r="C36" s="12" t="s">
        <v>65</v>
      </c>
      <c r="D36" s="12" t="s">
        <v>102</v>
      </c>
      <c r="E36" s="12" t="s">
        <v>455</v>
      </c>
      <c r="F36" s="13" t="s">
        <v>456</v>
      </c>
      <c r="G36" s="12" t="s">
        <v>68</v>
      </c>
      <c r="H36" s="12" t="s">
        <v>457</v>
      </c>
      <c r="I36" s="12" t="s">
        <v>458</v>
      </c>
      <c r="J36" s="17" t="s">
        <v>2779</v>
      </c>
      <c r="K36" s="17">
        <v>2.0</v>
      </c>
      <c r="M36" s="18" t="s">
        <v>92</v>
      </c>
    </row>
    <row r="37">
      <c r="A37" s="11"/>
      <c r="B37" s="12" t="s">
        <v>34</v>
      </c>
      <c r="C37" s="12" t="s">
        <v>65</v>
      </c>
      <c r="D37" s="12" t="s">
        <v>102</v>
      </c>
      <c r="E37" s="12" t="s">
        <v>455</v>
      </c>
      <c r="F37" s="13" t="s">
        <v>456</v>
      </c>
      <c r="G37" s="12" t="s">
        <v>68</v>
      </c>
      <c r="H37" s="12" t="s">
        <v>457</v>
      </c>
      <c r="I37" s="12" t="s">
        <v>458</v>
      </c>
      <c r="J37" s="17" t="s">
        <v>2783</v>
      </c>
      <c r="K37" s="17">
        <v>2.0</v>
      </c>
      <c r="M37" s="18" t="s">
        <v>92</v>
      </c>
    </row>
    <row r="38">
      <c r="A38" s="11"/>
      <c r="B38" s="12" t="s">
        <v>34</v>
      </c>
      <c r="C38" s="12" t="s">
        <v>65</v>
      </c>
      <c r="D38" s="12" t="s">
        <v>102</v>
      </c>
      <c r="E38" s="12" t="s">
        <v>455</v>
      </c>
      <c r="F38" s="13" t="s">
        <v>456</v>
      </c>
      <c r="G38" s="12" t="s">
        <v>68</v>
      </c>
      <c r="H38" s="12" t="s">
        <v>457</v>
      </c>
      <c r="I38" s="12" t="s">
        <v>458</v>
      </c>
      <c r="J38" s="17" t="s">
        <v>2687</v>
      </c>
      <c r="K38" s="17">
        <v>1.0</v>
      </c>
      <c r="M38" s="18" t="s">
        <v>92</v>
      </c>
    </row>
    <row r="39">
      <c r="A39" s="11"/>
      <c r="B39" s="12" t="s">
        <v>34</v>
      </c>
      <c r="C39" s="12" t="s">
        <v>65</v>
      </c>
      <c r="D39" s="12" t="s">
        <v>102</v>
      </c>
      <c r="E39" s="12" t="s">
        <v>455</v>
      </c>
      <c r="F39" s="13" t="s">
        <v>456</v>
      </c>
      <c r="G39" s="12" t="s">
        <v>68</v>
      </c>
      <c r="H39" s="12" t="s">
        <v>457</v>
      </c>
      <c r="I39" s="12" t="s">
        <v>458</v>
      </c>
      <c r="J39" s="17" t="s">
        <v>2796</v>
      </c>
      <c r="K39" s="17">
        <v>2.0</v>
      </c>
      <c r="M39" s="18" t="s">
        <v>92</v>
      </c>
    </row>
    <row r="40">
      <c r="A40" s="11"/>
      <c r="B40" s="12" t="s">
        <v>34</v>
      </c>
      <c r="C40" s="12" t="s">
        <v>65</v>
      </c>
      <c r="D40" s="12" t="s">
        <v>102</v>
      </c>
      <c r="E40" s="12" t="s">
        <v>455</v>
      </c>
      <c r="F40" s="13" t="s">
        <v>456</v>
      </c>
      <c r="G40" s="12" t="s">
        <v>68</v>
      </c>
      <c r="H40" s="12" t="s">
        <v>457</v>
      </c>
      <c r="I40" s="12" t="s">
        <v>458</v>
      </c>
      <c r="J40" s="17" t="s">
        <v>2800</v>
      </c>
      <c r="K40" s="17">
        <v>2.0</v>
      </c>
      <c r="M40" s="18" t="s">
        <v>92</v>
      </c>
    </row>
    <row r="41">
      <c r="A41" s="11"/>
      <c r="B41" s="12" t="s">
        <v>34</v>
      </c>
      <c r="C41" s="12" t="s">
        <v>65</v>
      </c>
      <c r="D41" s="12" t="s">
        <v>102</v>
      </c>
      <c r="E41" s="12" t="s">
        <v>455</v>
      </c>
      <c r="F41" s="13" t="s">
        <v>456</v>
      </c>
      <c r="G41" s="12" t="s">
        <v>68</v>
      </c>
      <c r="H41" s="12" t="s">
        <v>457</v>
      </c>
      <c r="I41" s="12" t="s">
        <v>458</v>
      </c>
      <c r="J41" s="17" t="s">
        <v>2687</v>
      </c>
      <c r="K41" s="17">
        <v>1.0</v>
      </c>
      <c r="M41" s="18" t="s">
        <v>92</v>
      </c>
    </row>
    <row r="42">
      <c r="A42" s="11"/>
      <c r="B42" s="12" t="s">
        <v>34</v>
      </c>
      <c r="C42" s="12" t="s">
        <v>65</v>
      </c>
      <c r="D42" s="12" t="s">
        <v>102</v>
      </c>
      <c r="E42" s="12" t="s">
        <v>455</v>
      </c>
      <c r="F42" s="13" t="s">
        <v>456</v>
      </c>
      <c r="G42" s="12" t="s">
        <v>68</v>
      </c>
      <c r="H42" s="12" t="s">
        <v>457</v>
      </c>
      <c r="I42" s="12" t="s">
        <v>458</v>
      </c>
      <c r="J42" s="17" t="s">
        <v>2687</v>
      </c>
      <c r="K42" s="17">
        <v>1.0</v>
      </c>
      <c r="M42" s="18" t="s">
        <v>92</v>
      </c>
    </row>
    <row r="43">
      <c r="A43" s="11"/>
      <c r="B43" s="12" t="s">
        <v>34</v>
      </c>
      <c r="C43" s="12" t="s">
        <v>65</v>
      </c>
      <c r="D43" s="12" t="s">
        <v>102</v>
      </c>
      <c r="E43" s="12" t="s">
        <v>455</v>
      </c>
      <c r="F43" s="13" t="s">
        <v>456</v>
      </c>
      <c r="G43" s="12" t="s">
        <v>68</v>
      </c>
      <c r="H43" s="12" t="s">
        <v>457</v>
      </c>
      <c r="I43" s="12" t="s">
        <v>458</v>
      </c>
      <c r="J43" s="17" t="s">
        <v>2687</v>
      </c>
      <c r="K43" s="17">
        <v>1.0</v>
      </c>
      <c r="M43" s="18" t="s">
        <v>92</v>
      </c>
    </row>
    <row r="44">
      <c r="A44" s="11"/>
      <c r="B44" s="12" t="s">
        <v>34</v>
      </c>
      <c r="C44" s="12" t="s">
        <v>65</v>
      </c>
      <c r="D44" s="12" t="s">
        <v>102</v>
      </c>
      <c r="E44" s="12" t="s">
        <v>142</v>
      </c>
      <c r="F44" s="13" t="s">
        <v>143</v>
      </c>
      <c r="G44" s="12" t="s">
        <v>68</v>
      </c>
      <c r="H44" s="12" t="s">
        <v>144</v>
      </c>
      <c r="I44" s="12" t="s">
        <v>145</v>
      </c>
      <c r="J44" s="17" t="s">
        <v>2169</v>
      </c>
      <c r="K44" s="17">
        <v>2.0</v>
      </c>
      <c r="M44" s="18" t="s">
        <v>92</v>
      </c>
    </row>
    <row r="45">
      <c r="A45" s="11"/>
      <c r="B45" s="12" t="s">
        <v>34</v>
      </c>
      <c r="C45" s="12" t="s">
        <v>65</v>
      </c>
      <c r="D45" s="12" t="s">
        <v>102</v>
      </c>
      <c r="E45" s="12" t="s">
        <v>142</v>
      </c>
      <c r="F45" s="13" t="s">
        <v>143</v>
      </c>
      <c r="G45" s="12" t="s">
        <v>68</v>
      </c>
      <c r="H45" s="12" t="s">
        <v>144</v>
      </c>
      <c r="I45" s="12" t="s">
        <v>145</v>
      </c>
      <c r="J45" s="17" t="s">
        <v>2779</v>
      </c>
      <c r="K45" s="17">
        <v>2.0</v>
      </c>
      <c r="M45" s="18" t="s">
        <v>92</v>
      </c>
    </row>
    <row r="46">
      <c r="A46" s="11"/>
      <c r="B46" s="12" t="s">
        <v>34</v>
      </c>
      <c r="C46" s="12" t="s">
        <v>65</v>
      </c>
      <c r="D46" s="12" t="s">
        <v>102</v>
      </c>
      <c r="E46" s="12" t="s">
        <v>142</v>
      </c>
      <c r="F46" s="13" t="s">
        <v>143</v>
      </c>
      <c r="G46" s="12" t="s">
        <v>68</v>
      </c>
      <c r="H46" s="12" t="s">
        <v>144</v>
      </c>
      <c r="I46" s="12" t="s">
        <v>145</v>
      </c>
      <c r="J46" s="17" t="s">
        <v>2783</v>
      </c>
      <c r="K46" s="17">
        <v>2.0</v>
      </c>
      <c r="M46" s="18" t="s">
        <v>92</v>
      </c>
    </row>
    <row r="47">
      <c r="A47" s="11"/>
      <c r="B47" s="12" t="s">
        <v>34</v>
      </c>
      <c r="C47" s="12" t="s">
        <v>65</v>
      </c>
      <c r="D47" s="12" t="s">
        <v>102</v>
      </c>
      <c r="E47" s="12" t="s">
        <v>142</v>
      </c>
      <c r="F47" s="13" t="s">
        <v>143</v>
      </c>
      <c r="G47" s="12" t="s">
        <v>68</v>
      </c>
      <c r="H47" s="12" t="s">
        <v>144</v>
      </c>
      <c r="I47" s="12" t="s">
        <v>145</v>
      </c>
      <c r="J47" s="17" t="s">
        <v>2796</v>
      </c>
      <c r="K47" s="17">
        <v>2.0</v>
      </c>
      <c r="M47" s="18" t="s">
        <v>92</v>
      </c>
    </row>
    <row r="48">
      <c r="A48" s="11"/>
      <c r="B48" s="12" t="s">
        <v>34</v>
      </c>
      <c r="C48" s="12" t="s">
        <v>65</v>
      </c>
      <c r="D48" s="12" t="s">
        <v>102</v>
      </c>
      <c r="E48" s="12" t="s">
        <v>142</v>
      </c>
      <c r="F48" s="13" t="s">
        <v>143</v>
      </c>
      <c r="G48" s="12" t="s">
        <v>68</v>
      </c>
      <c r="H48" s="12" t="s">
        <v>144</v>
      </c>
      <c r="I48" s="12" t="s">
        <v>145</v>
      </c>
      <c r="J48" s="17" t="s">
        <v>2800</v>
      </c>
      <c r="K48" s="17">
        <v>2.0</v>
      </c>
      <c r="M48" s="18" t="s">
        <v>92</v>
      </c>
    </row>
    <row r="49">
      <c r="A49" s="11"/>
      <c r="B49" s="12" t="s">
        <v>34</v>
      </c>
      <c r="C49" s="12" t="s">
        <v>65</v>
      </c>
      <c r="D49" s="12" t="s">
        <v>102</v>
      </c>
      <c r="E49" s="12" t="s">
        <v>142</v>
      </c>
      <c r="F49" s="13" t="s">
        <v>143</v>
      </c>
      <c r="G49" s="12" t="s">
        <v>68</v>
      </c>
      <c r="H49" s="12" t="s">
        <v>144</v>
      </c>
      <c r="I49" s="12" t="s">
        <v>145</v>
      </c>
      <c r="J49" s="17" t="s">
        <v>2687</v>
      </c>
      <c r="K49" s="17">
        <v>1.0</v>
      </c>
      <c r="M49" s="18" t="s">
        <v>92</v>
      </c>
    </row>
    <row r="50">
      <c r="A50" s="11"/>
      <c r="B50" s="12" t="s">
        <v>34</v>
      </c>
      <c r="C50" s="12" t="s">
        <v>65</v>
      </c>
      <c r="D50" s="12" t="s">
        <v>102</v>
      </c>
      <c r="E50" s="12" t="s">
        <v>142</v>
      </c>
      <c r="F50" s="13" t="s">
        <v>143</v>
      </c>
      <c r="G50" s="12" t="s">
        <v>68</v>
      </c>
      <c r="H50" s="12" t="s">
        <v>144</v>
      </c>
      <c r="I50" s="12" t="s">
        <v>145</v>
      </c>
      <c r="J50" s="17" t="s">
        <v>2687</v>
      </c>
      <c r="K50" s="17">
        <v>1.0</v>
      </c>
      <c r="M50" s="18" t="s">
        <v>92</v>
      </c>
    </row>
    <row r="51">
      <c r="A51" s="11"/>
      <c r="B51" s="12" t="s">
        <v>34</v>
      </c>
      <c r="C51" s="12" t="s">
        <v>65</v>
      </c>
      <c r="D51" s="12" t="s">
        <v>102</v>
      </c>
      <c r="E51" s="12" t="s">
        <v>142</v>
      </c>
      <c r="F51" s="13" t="s">
        <v>143</v>
      </c>
      <c r="G51" s="12" t="s">
        <v>68</v>
      </c>
      <c r="H51" s="12" t="s">
        <v>144</v>
      </c>
      <c r="I51" s="12" t="s">
        <v>145</v>
      </c>
      <c r="J51" s="17" t="s">
        <v>2687</v>
      </c>
      <c r="K51" s="17">
        <v>1.0</v>
      </c>
      <c r="M51" s="18" t="s">
        <v>92</v>
      </c>
    </row>
    <row r="52">
      <c r="A52" s="11"/>
      <c r="B52" s="12" t="s">
        <v>34</v>
      </c>
      <c r="C52" s="12" t="s">
        <v>65</v>
      </c>
      <c r="D52" s="12" t="s">
        <v>83</v>
      </c>
      <c r="E52" s="12" t="s">
        <v>84</v>
      </c>
      <c r="F52" s="13" t="s">
        <v>85</v>
      </c>
      <c r="G52" s="12" t="s">
        <v>86</v>
      </c>
      <c r="H52" s="12" t="s">
        <v>87</v>
      </c>
      <c r="I52" s="12"/>
      <c r="J52" s="17" t="s">
        <v>2169</v>
      </c>
      <c r="K52" s="17">
        <v>1.0</v>
      </c>
      <c r="M52" s="18" t="s">
        <v>92</v>
      </c>
    </row>
    <row r="53">
      <c r="A53" s="11"/>
      <c r="B53" s="12" t="s">
        <v>34</v>
      </c>
      <c r="C53" s="12" t="s">
        <v>65</v>
      </c>
      <c r="D53" s="12" t="s">
        <v>83</v>
      </c>
      <c r="E53" s="12" t="s">
        <v>84</v>
      </c>
      <c r="F53" s="13" t="s">
        <v>85</v>
      </c>
      <c r="G53" s="12" t="s">
        <v>86</v>
      </c>
      <c r="H53" s="12" t="s">
        <v>87</v>
      </c>
      <c r="I53" s="12"/>
      <c r="J53" s="17" t="s">
        <v>2169</v>
      </c>
      <c r="K53" s="17">
        <v>1.0</v>
      </c>
      <c r="M53" s="18" t="s">
        <v>92</v>
      </c>
    </row>
    <row r="54">
      <c r="A54" s="11"/>
      <c r="B54" s="12" t="s">
        <v>34</v>
      </c>
      <c r="C54" s="12" t="s">
        <v>65</v>
      </c>
      <c r="D54" s="12" t="s">
        <v>83</v>
      </c>
      <c r="E54" s="12" t="s">
        <v>84</v>
      </c>
      <c r="F54" s="13" t="s">
        <v>85</v>
      </c>
      <c r="G54" s="12" t="s">
        <v>86</v>
      </c>
      <c r="H54" s="12" t="s">
        <v>87</v>
      </c>
      <c r="I54" s="12"/>
      <c r="J54" s="17" t="s">
        <v>2779</v>
      </c>
      <c r="K54" s="17">
        <v>2.0</v>
      </c>
      <c r="M54" s="18" t="s">
        <v>92</v>
      </c>
    </row>
    <row r="55">
      <c r="A55" s="11"/>
      <c r="B55" s="12" t="s">
        <v>34</v>
      </c>
      <c r="C55" s="12" t="s">
        <v>65</v>
      </c>
      <c r="D55" s="12" t="s">
        <v>83</v>
      </c>
      <c r="E55" s="12" t="s">
        <v>84</v>
      </c>
      <c r="F55" s="13" t="s">
        <v>85</v>
      </c>
      <c r="G55" s="12" t="s">
        <v>86</v>
      </c>
      <c r="H55" s="12" t="s">
        <v>87</v>
      </c>
      <c r="I55" s="12"/>
      <c r="J55" s="17" t="s">
        <v>2687</v>
      </c>
      <c r="K55" s="17">
        <v>1.0</v>
      </c>
      <c r="M55" s="18" t="s">
        <v>92</v>
      </c>
    </row>
    <row r="56">
      <c r="A56" s="11"/>
      <c r="B56" s="12" t="s">
        <v>34</v>
      </c>
      <c r="C56" s="12" t="s">
        <v>65</v>
      </c>
      <c r="D56" s="12" t="s">
        <v>83</v>
      </c>
      <c r="E56" s="12" t="s">
        <v>84</v>
      </c>
      <c r="F56" s="13" t="s">
        <v>85</v>
      </c>
      <c r="G56" s="12" t="s">
        <v>86</v>
      </c>
      <c r="H56" s="12" t="s">
        <v>87</v>
      </c>
      <c r="I56" s="12"/>
      <c r="J56" s="17" t="s">
        <v>2687</v>
      </c>
      <c r="K56" s="17">
        <v>1.0</v>
      </c>
      <c r="M56" s="18" t="s">
        <v>92</v>
      </c>
    </row>
    <row r="57">
      <c r="A57" s="11"/>
      <c r="B57" s="12" t="s">
        <v>34</v>
      </c>
      <c r="C57" s="12" t="s">
        <v>65</v>
      </c>
      <c r="D57" s="12" t="s">
        <v>83</v>
      </c>
      <c r="E57" s="12" t="s">
        <v>84</v>
      </c>
      <c r="F57" s="13" t="s">
        <v>85</v>
      </c>
      <c r="G57" s="12" t="s">
        <v>86</v>
      </c>
      <c r="H57" s="12" t="s">
        <v>87</v>
      </c>
      <c r="I57" s="12"/>
      <c r="J57" s="17" t="s">
        <v>2687</v>
      </c>
      <c r="K57" s="17">
        <v>1.0</v>
      </c>
      <c r="M57" s="18" t="s">
        <v>92</v>
      </c>
    </row>
    <row r="58">
      <c r="A58" s="11"/>
      <c r="B58" s="12" t="s">
        <v>34</v>
      </c>
      <c r="C58" s="12" t="s">
        <v>65</v>
      </c>
      <c r="D58" s="12" t="s">
        <v>83</v>
      </c>
      <c r="E58" s="12" t="s">
        <v>84</v>
      </c>
      <c r="F58" s="13" t="s">
        <v>85</v>
      </c>
      <c r="G58" s="12" t="s">
        <v>86</v>
      </c>
      <c r="H58" s="12" t="s">
        <v>87</v>
      </c>
      <c r="I58" s="12"/>
      <c r="J58" s="17" t="s">
        <v>2783</v>
      </c>
      <c r="K58" s="17">
        <v>2.0</v>
      </c>
      <c r="M58" s="18" t="s">
        <v>92</v>
      </c>
    </row>
    <row r="59">
      <c r="A59" s="11"/>
      <c r="B59" s="12" t="s">
        <v>34</v>
      </c>
      <c r="C59" s="12" t="s">
        <v>65</v>
      </c>
      <c r="D59" s="12" t="s">
        <v>83</v>
      </c>
      <c r="E59" s="12" t="s">
        <v>84</v>
      </c>
      <c r="F59" s="13" t="s">
        <v>85</v>
      </c>
      <c r="G59" s="12" t="s">
        <v>86</v>
      </c>
      <c r="H59" s="12" t="s">
        <v>87</v>
      </c>
      <c r="I59" s="12"/>
      <c r="J59" s="17" t="s">
        <v>2796</v>
      </c>
      <c r="K59" s="17">
        <v>2.0</v>
      </c>
      <c r="M59" s="18" t="s">
        <v>92</v>
      </c>
    </row>
    <row r="60">
      <c r="A60" s="11"/>
      <c r="B60" s="12" t="s">
        <v>34</v>
      </c>
      <c r="C60" s="12" t="s">
        <v>65</v>
      </c>
      <c r="D60" s="12" t="s">
        <v>83</v>
      </c>
      <c r="E60" s="12" t="s">
        <v>84</v>
      </c>
      <c r="F60" s="13" t="s">
        <v>85</v>
      </c>
      <c r="G60" s="12" t="s">
        <v>86</v>
      </c>
      <c r="H60" s="12" t="s">
        <v>87</v>
      </c>
      <c r="I60" s="12"/>
      <c r="J60" s="17" t="s">
        <v>2800</v>
      </c>
      <c r="K60" s="17">
        <v>2.0</v>
      </c>
      <c r="M60" s="18" t="s">
        <v>92</v>
      </c>
    </row>
    <row r="61">
      <c r="A61" s="11"/>
      <c r="B61" s="12" t="s">
        <v>34</v>
      </c>
      <c r="C61" s="12" t="s">
        <v>65</v>
      </c>
      <c r="D61" s="12" t="s">
        <v>102</v>
      </c>
      <c r="E61" s="12" t="s">
        <v>103</v>
      </c>
      <c r="F61" s="13" t="s">
        <v>104</v>
      </c>
      <c r="G61" s="12" t="s">
        <v>68</v>
      </c>
      <c r="H61" s="12" t="s">
        <v>105</v>
      </c>
      <c r="I61" s="12" t="s">
        <v>106</v>
      </c>
      <c r="J61" s="17" t="s">
        <v>2169</v>
      </c>
      <c r="K61" s="17">
        <v>2.0</v>
      </c>
      <c r="M61" s="18" t="s">
        <v>92</v>
      </c>
    </row>
    <row r="62" ht="16.5" customHeight="1">
      <c r="A62" s="11"/>
      <c r="B62" s="12" t="s">
        <v>34</v>
      </c>
      <c r="C62" s="12" t="s">
        <v>65</v>
      </c>
      <c r="D62" s="12" t="s">
        <v>102</v>
      </c>
      <c r="E62" s="12" t="s">
        <v>103</v>
      </c>
      <c r="F62" s="13" t="s">
        <v>104</v>
      </c>
      <c r="G62" s="12" t="s">
        <v>68</v>
      </c>
      <c r="H62" s="12" t="s">
        <v>105</v>
      </c>
      <c r="I62" s="12" t="s">
        <v>106</v>
      </c>
      <c r="J62" s="17" t="s">
        <v>2779</v>
      </c>
      <c r="K62" s="17">
        <v>2.0</v>
      </c>
      <c r="M62" s="18" t="s">
        <v>92</v>
      </c>
    </row>
    <row r="63">
      <c r="A63" s="11"/>
      <c r="B63" s="12" t="s">
        <v>34</v>
      </c>
      <c r="C63" s="12" t="s">
        <v>65</v>
      </c>
      <c r="D63" s="12" t="s">
        <v>102</v>
      </c>
      <c r="E63" s="12" t="s">
        <v>103</v>
      </c>
      <c r="F63" s="13" t="s">
        <v>104</v>
      </c>
      <c r="G63" s="12" t="s">
        <v>68</v>
      </c>
      <c r="H63" s="12" t="s">
        <v>105</v>
      </c>
      <c r="I63" s="12" t="s">
        <v>106</v>
      </c>
      <c r="J63" s="17" t="s">
        <v>2687</v>
      </c>
      <c r="K63" s="17">
        <v>1.0</v>
      </c>
      <c r="M63" s="18" t="s">
        <v>92</v>
      </c>
    </row>
    <row r="64">
      <c r="A64" s="11"/>
      <c r="B64" s="12" t="s">
        <v>34</v>
      </c>
      <c r="C64" s="12" t="s">
        <v>65</v>
      </c>
      <c r="D64" s="12" t="s">
        <v>102</v>
      </c>
      <c r="E64" s="12" t="s">
        <v>103</v>
      </c>
      <c r="F64" s="13" t="s">
        <v>104</v>
      </c>
      <c r="G64" s="12" t="s">
        <v>68</v>
      </c>
      <c r="H64" s="12" t="s">
        <v>105</v>
      </c>
      <c r="I64" s="12" t="s">
        <v>106</v>
      </c>
      <c r="J64" s="17" t="s">
        <v>2783</v>
      </c>
      <c r="K64" s="17">
        <v>2.0</v>
      </c>
      <c r="M64" s="18" t="s">
        <v>92</v>
      </c>
    </row>
    <row r="65">
      <c r="A65" s="11"/>
      <c r="B65" s="12" t="s">
        <v>34</v>
      </c>
      <c r="C65" s="12" t="s">
        <v>65</v>
      </c>
      <c r="D65" s="12" t="s">
        <v>102</v>
      </c>
      <c r="E65" s="12" t="s">
        <v>103</v>
      </c>
      <c r="F65" s="13" t="s">
        <v>104</v>
      </c>
      <c r="G65" s="12" t="s">
        <v>68</v>
      </c>
      <c r="H65" s="12" t="s">
        <v>105</v>
      </c>
      <c r="I65" s="12" t="s">
        <v>106</v>
      </c>
      <c r="J65" s="17" t="s">
        <v>2796</v>
      </c>
      <c r="K65" s="17">
        <v>2.0</v>
      </c>
      <c r="M65" s="18" t="s">
        <v>92</v>
      </c>
    </row>
    <row r="66">
      <c r="A66" s="11"/>
      <c r="B66" s="12" t="s">
        <v>34</v>
      </c>
      <c r="C66" s="12" t="s">
        <v>65</v>
      </c>
      <c r="D66" s="12" t="s">
        <v>102</v>
      </c>
      <c r="E66" s="12" t="s">
        <v>103</v>
      </c>
      <c r="F66" s="13" t="s">
        <v>104</v>
      </c>
      <c r="G66" s="12" t="s">
        <v>68</v>
      </c>
      <c r="H66" s="12" t="s">
        <v>105</v>
      </c>
      <c r="I66" s="12" t="s">
        <v>106</v>
      </c>
      <c r="J66" s="17" t="s">
        <v>2800</v>
      </c>
      <c r="K66" s="17">
        <v>2.0</v>
      </c>
      <c r="M66" s="18" t="s">
        <v>92</v>
      </c>
    </row>
    <row r="67">
      <c r="A67" s="11"/>
      <c r="B67" s="12" t="s">
        <v>34</v>
      </c>
      <c r="C67" s="12" t="s">
        <v>65</v>
      </c>
      <c r="D67" s="12" t="s">
        <v>102</v>
      </c>
      <c r="E67" s="12" t="s">
        <v>103</v>
      </c>
      <c r="F67" s="13" t="s">
        <v>104</v>
      </c>
      <c r="G67" s="12" t="s">
        <v>68</v>
      </c>
      <c r="H67" s="12" t="s">
        <v>105</v>
      </c>
      <c r="I67" s="12" t="s">
        <v>106</v>
      </c>
      <c r="J67" s="17" t="s">
        <v>2687</v>
      </c>
      <c r="K67" s="17">
        <v>1.0</v>
      </c>
      <c r="M67" s="18" t="s">
        <v>92</v>
      </c>
    </row>
    <row r="68">
      <c r="A68" s="11"/>
      <c r="B68" s="12" t="s">
        <v>34</v>
      </c>
      <c r="C68" s="12" t="s">
        <v>65</v>
      </c>
      <c r="D68" s="12" t="s">
        <v>102</v>
      </c>
      <c r="E68" s="12" t="s">
        <v>103</v>
      </c>
      <c r="F68" s="13" t="s">
        <v>104</v>
      </c>
      <c r="G68" s="12" t="s">
        <v>68</v>
      </c>
      <c r="H68" s="12" t="s">
        <v>105</v>
      </c>
      <c r="I68" s="12" t="s">
        <v>106</v>
      </c>
      <c r="J68" s="17" t="s">
        <v>2687</v>
      </c>
      <c r="K68" s="17">
        <v>1.0</v>
      </c>
      <c r="M68" s="18" t="s">
        <v>92</v>
      </c>
    </row>
    <row r="69">
      <c r="A69" s="11"/>
      <c r="B69" s="12" t="s">
        <v>34</v>
      </c>
      <c r="C69" s="12" t="s">
        <v>65</v>
      </c>
      <c r="D69" s="12" t="s">
        <v>102</v>
      </c>
      <c r="E69" s="12" t="s">
        <v>152</v>
      </c>
      <c r="F69" s="13" t="s">
        <v>153</v>
      </c>
      <c r="G69" s="12" t="s">
        <v>68</v>
      </c>
      <c r="H69" s="12" t="s">
        <v>154</v>
      </c>
      <c r="I69" s="12" t="s">
        <v>155</v>
      </c>
      <c r="J69" s="17" t="s">
        <v>2169</v>
      </c>
      <c r="K69" s="17">
        <v>2.0</v>
      </c>
      <c r="M69" s="18" t="s">
        <v>92</v>
      </c>
    </row>
    <row r="70">
      <c r="A70" s="11"/>
      <c r="B70" s="12" t="s">
        <v>34</v>
      </c>
      <c r="C70" s="12" t="s">
        <v>65</v>
      </c>
      <c r="D70" s="12" t="s">
        <v>102</v>
      </c>
      <c r="E70" s="12" t="s">
        <v>152</v>
      </c>
      <c r="F70" s="13" t="s">
        <v>153</v>
      </c>
      <c r="G70" s="12" t="s">
        <v>68</v>
      </c>
      <c r="H70" s="12" t="s">
        <v>154</v>
      </c>
      <c r="I70" s="12" t="s">
        <v>155</v>
      </c>
      <c r="J70" s="17" t="s">
        <v>2779</v>
      </c>
      <c r="K70" s="17">
        <v>2.0</v>
      </c>
      <c r="M70" s="18" t="s">
        <v>92</v>
      </c>
    </row>
    <row r="71">
      <c r="A71" s="11"/>
      <c r="B71" s="12" t="s">
        <v>34</v>
      </c>
      <c r="C71" s="12" t="s">
        <v>65</v>
      </c>
      <c r="D71" s="12" t="s">
        <v>102</v>
      </c>
      <c r="E71" s="12" t="s">
        <v>152</v>
      </c>
      <c r="F71" s="13" t="s">
        <v>153</v>
      </c>
      <c r="G71" s="12" t="s">
        <v>68</v>
      </c>
      <c r="H71" s="12" t="s">
        <v>154</v>
      </c>
      <c r="I71" s="12" t="s">
        <v>155</v>
      </c>
      <c r="J71" s="17" t="s">
        <v>2783</v>
      </c>
      <c r="K71" s="17">
        <v>2.0</v>
      </c>
      <c r="M71" s="18" t="s">
        <v>92</v>
      </c>
    </row>
    <row r="72">
      <c r="A72" s="11"/>
      <c r="B72" s="12" t="s">
        <v>34</v>
      </c>
      <c r="C72" s="12" t="s">
        <v>65</v>
      </c>
      <c r="D72" s="12" t="s">
        <v>102</v>
      </c>
      <c r="E72" s="12" t="s">
        <v>152</v>
      </c>
      <c r="F72" s="13" t="s">
        <v>153</v>
      </c>
      <c r="G72" s="12" t="s">
        <v>68</v>
      </c>
      <c r="H72" s="12" t="s">
        <v>154</v>
      </c>
      <c r="I72" s="12" t="s">
        <v>155</v>
      </c>
      <c r="J72" s="17" t="s">
        <v>2796</v>
      </c>
      <c r="K72" s="17">
        <v>2.0</v>
      </c>
      <c r="M72" s="18" t="s">
        <v>92</v>
      </c>
    </row>
    <row r="73">
      <c r="A73" s="11"/>
      <c r="B73" s="12" t="s">
        <v>34</v>
      </c>
      <c r="C73" s="12" t="s">
        <v>65</v>
      </c>
      <c r="D73" s="12" t="s">
        <v>102</v>
      </c>
      <c r="E73" s="12" t="s">
        <v>152</v>
      </c>
      <c r="F73" s="13" t="s">
        <v>153</v>
      </c>
      <c r="G73" s="12" t="s">
        <v>68</v>
      </c>
      <c r="H73" s="12" t="s">
        <v>154</v>
      </c>
      <c r="I73" s="12" t="s">
        <v>155</v>
      </c>
      <c r="J73" s="17" t="s">
        <v>2800</v>
      </c>
      <c r="K73" s="17">
        <v>2.0</v>
      </c>
      <c r="M73" s="18" t="s">
        <v>92</v>
      </c>
    </row>
    <row r="74">
      <c r="A74" s="11"/>
      <c r="B74" s="12" t="s">
        <v>34</v>
      </c>
      <c r="C74" s="12" t="s">
        <v>65</v>
      </c>
      <c r="D74" s="12" t="s">
        <v>102</v>
      </c>
      <c r="E74" s="12" t="s">
        <v>152</v>
      </c>
      <c r="F74" s="13" t="s">
        <v>153</v>
      </c>
      <c r="G74" s="12" t="s">
        <v>68</v>
      </c>
      <c r="H74" s="12" t="s">
        <v>154</v>
      </c>
      <c r="I74" s="12" t="s">
        <v>155</v>
      </c>
      <c r="J74" s="17" t="s">
        <v>2687</v>
      </c>
      <c r="K74" s="17">
        <v>1.0</v>
      </c>
      <c r="M74" s="18" t="s">
        <v>92</v>
      </c>
    </row>
    <row r="75">
      <c r="A75" s="11"/>
      <c r="B75" s="12" t="s">
        <v>34</v>
      </c>
      <c r="C75" s="12" t="s">
        <v>65</v>
      </c>
      <c r="D75" s="12" t="s">
        <v>102</v>
      </c>
      <c r="E75" s="12" t="s">
        <v>152</v>
      </c>
      <c r="F75" s="13" t="s">
        <v>153</v>
      </c>
      <c r="G75" s="12" t="s">
        <v>68</v>
      </c>
      <c r="H75" s="12" t="s">
        <v>154</v>
      </c>
      <c r="I75" s="12" t="s">
        <v>155</v>
      </c>
      <c r="J75" s="17" t="s">
        <v>2687</v>
      </c>
      <c r="K75" s="17">
        <v>1.0</v>
      </c>
      <c r="M75" s="18" t="s">
        <v>92</v>
      </c>
    </row>
    <row r="76">
      <c r="A76" s="11"/>
      <c r="B76" s="12" t="s">
        <v>34</v>
      </c>
      <c r="C76" s="12" t="s">
        <v>65</v>
      </c>
      <c r="D76" s="12" t="s">
        <v>102</v>
      </c>
      <c r="E76" s="12" t="s">
        <v>152</v>
      </c>
      <c r="F76" s="13" t="s">
        <v>153</v>
      </c>
      <c r="G76" s="12" t="s">
        <v>68</v>
      </c>
      <c r="H76" s="12" t="s">
        <v>154</v>
      </c>
      <c r="I76" s="12" t="s">
        <v>155</v>
      </c>
      <c r="J76" s="17" t="s">
        <v>2687</v>
      </c>
      <c r="K76" s="17">
        <v>1.0</v>
      </c>
      <c r="M76" s="18" t="s">
        <v>92</v>
      </c>
    </row>
    <row r="77">
      <c r="A77" s="11"/>
      <c r="B77" s="12" t="s">
        <v>34</v>
      </c>
      <c r="C77" s="12" t="s">
        <v>65</v>
      </c>
      <c r="D77" s="12" t="s">
        <v>83</v>
      </c>
      <c r="E77" s="12" t="s">
        <v>120</v>
      </c>
      <c r="F77" s="13" t="s">
        <v>121</v>
      </c>
      <c r="G77" s="12" t="s">
        <v>68</v>
      </c>
      <c r="H77" s="12" t="s">
        <v>122</v>
      </c>
      <c r="I77" s="12" t="s">
        <v>123</v>
      </c>
      <c r="J77" s="17" t="s">
        <v>2169</v>
      </c>
      <c r="K77" s="17">
        <v>2.0</v>
      </c>
      <c r="M77" s="18" t="s">
        <v>92</v>
      </c>
    </row>
    <row r="78">
      <c r="A78" s="11"/>
      <c r="B78" s="12" t="s">
        <v>34</v>
      </c>
      <c r="C78" s="12" t="s">
        <v>65</v>
      </c>
      <c r="D78" s="12" t="s">
        <v>83</v>
      </c>
      <c r="E78" s="12" t="s">
        <v>120</v>
      </c>
      <c r="F78" s="13" t="s">
        <v>121</v>
      </c>
      <c r="G78" s="12" t="s">
        <v>68</v>
      </c>
      <c r="H78" s="12" t="s">
        <v>122</v>
      </c>
      <c r="I78" s="12" t="s">
        <v>123</v>
      </c>
      <c r="J78" s="17" t="s">
        <v>2779</v>
      </c>
      <c r="K78" s="17">
        <v>2.0</v>
      </c>
      <c r="M78" s="18" t="s">
        <v>92</v>
      </c>
    </row>
    <row r="79">
      <c r="A79" s="11"/>
      <c r="B79" s="12" t="s">
        <v>34</v>
      </c>
      <c r="C79" s="12" t="s">
        <v>65</v>
      </c>
      <c r="D79" s="12" t="s">
        <v>83</v>
      </c>
      <c r="E79" s="12" t="s">
        <v>120</v>
      </c>
      <c r="F79" s="13" t="s">
        <v>121</v>
      </c>
      <c r="G79" s="12" t="s">
        <v>68</v>
      </c>
      <c r="H79" s="12" t="s">
        <v>122</v>
      </c>
      <c r="I79" s="12" t="s">
        <v>123</v>
      </c>
      <c r="J79" s="17" t="s">
        <v>2783</v>
      </c>
      <c r="K79" s="17">
        <v>2.0</v>
      </c>
      <c r="M79" s="18" t="s">
        <v>92</v>
      </c>
    </row>
    <row r="80">
      <c r="A80" s="11"/>
      <c r="B80" s="12" t="s">
        <v>34</v>
      </c>
      <c r="C80" s="12" t="s">
        <v>65</v>
      </c>
      <c r="D80" s="12" t="s">
        <v>83</v>
      </c>
      <c r="E80" s="12" t="s">
        <v>120</v>
      </c>
      <c r="F80" s="13" t="s">
        <v>121</v>
      </c>
      <c r="G80" s="12" t="s">
        <v>68</v>
      </c>
      <c r="H80" s="12" t="s">
        <v>122</v>
      </c>
      <c r="I80" s="12" t="s">
        <v>123</v>
      </c>
      <c r="J80" s="17" t="s">
        <v>2796</v>
      </c>
      <c r="K80" s="17">
        <v>2.0</v>
      </c>
      <c r="M80" s="18" t="s">
        <v>92</v>
      </c>
    </row>
    <row r="81">
      <c r="A81" s="11"/>
      <c r="B81" s="12" t="s">
        <v>34</v>
      </c>
      <c r="C81" s="12" t="s">
        <v>65</v>
      </c>
      <c r="D81" s="12" t="s">
        <v>83</v>
      </c>
      <c r="E81" s="12" t="s">
        <v>120</v>
      </c>
      <c r="F81" s="13" t="s">
        <v>121</v>
      </c>
      <c r="G81" s="12" t="s">
        <v>68</v>
      </c>
      <c r="H81" s="12" t="s">
        <v>122</v>
      </c>
      <c r="I81" s="12" t="s">
        <v>123</v>
      </c>
      <c r="J81" s="17" t="s">
        <v>2800</v>
      </c>
      <c r="K81" s="17">
        <v>2.0</v>
      </c>
      <c r="M81" s="18" t="s">
        <v>92</v>
      </c>
    </row>
    <row r="82">
      <c r="A82" s="11"/>
      <c r="B82" s="12" t="s">
        <v>34</v>
      </c>
      <c r="C82" s="12" t="s">
        <v>65</v>
      </c>
      <c r="D82" s="12" t="s">
        <v>83</v>
      </c>
      <c r="E82" s="12" t="s">
        <v>120</v>
      </c>
      <c r="F82" s="13" t="s">
        <v>121</v>
      </c>
      <c r="G82" s="12" t="s">
        <v>68</v>
      </c>
      <c r="H82" s="12" t="s">
        <v>122</v>
      </c>
      <c r="I82" s="12" t="s">
        <v>123</v>
      </c>
      <c r="J82" s="17" t="s">
        <v>2687</v>
      </c>
      <c r="K82" s="17">
        <v>1.0</v>
      </c>
      <c r="M82" s="18" t="s">
        <v>92</v>
      </c>
    </row>
    <row r="83">
      <c r="A83" s="11"/>
      <c r="B83" s="12" t="s">
        <v>34</v>
      </c>
      <c r="C83" s="12" t="s">
        <v>65</v>
      </c>
      <c r="D83" s="12" t="s">
        <v>83</v>
      </c>
      <c r="E83" s="12" t="s">
        <v>120</v>
      </c>
      <c r="F83" s="13" t="s">
        <v>121</v>
      </c>
      <c r="G83" s="12" t="s">
        <v>68</v>
      </c>
      <c r="H83" s="12" t="s">
        <v>122</v>
      </c>
      <c r="I83" s="12" t="s">
        <v>123</v>
      </c>
      <c r="J83" s="17" t="s">
        <v>2687</v>
      </c>
      <c r="K83" s="17">
        <v>1.0</v>
      </c>
      <c r="M83" s="18" t="s">
        <v>92</v>
      </c>
    </row>
    <row r="84">
      <c r="A84" s="11"/>
      <c r="B84" s="12" t="s">
        <v>34</v>
      </c>
      <c r="C84" s="12" t="s">
        <v>65</v>
      </c>
      <c r="D84" s="12" t="s">
        <v>83</v>
      </c>
      <c r="E84" s="12" t="s">
        <v>120</v>
      </c>
      <c r="F84" s="13" t="s">
        <v>121</v>
      </c>
      <c r="G84" s="12" t="s">
        <v>68</v>
      </c>
      <c r="H84" s="12" t="s">
        <v>122</v>
      </c>
      <c r="I84" s="12" t="s">
        <v>123</v>
      </c>
      <c r="J84" s="17" t="s">
        <v>2687</v>
      </c>
      <c r="K84" s="17">
        <v>1.0</v>
      </c>
      <c r="M84" s="18" t="s">
        <v>92</v>
      </c>
    </row>
    <row r="85">
      <c r="A85" s="11"/>
      <c r="B85" s="12" t="s">
        <v>7</v>
      </c>
      <c r="C85" s="12" t="s">
        <v>8</v>
      </c>
      <c r="D85" s="12" t="s">
        <v>24</v>
      </c>
      <c r="E85" s="12" t="s">
        <v>32</v>
      </c>
      <c r="F85" s="13" t="s">
        <v>30</v>
      </c>
      <c r="G85" s="12" t="s">
        <v>68</v>
      </c>
      <c r="H85" s="12" t="s">
        <v>573</v>
      </c>
      <c r="I85" s="12" t="s">
        <v>574</v>
      </c>
      <c r="J85" s="17" t="s">
        <v>2779</v>
      </c>
      <c r="K85" s="17">
        <v>2.0</v>
      </c>
      <c r="M85" s="18" t="s">
        <v>577</v>
      </c>
    </row>
    <row r="86">
      <c r="A86" s="11"/>
      <c r="B86" s="12" t="s">
        <v>7</v>
      </c>
      <c r="C86" s="12" t="s">
        <v>8</v>
      </c>
      <c r="D86" s="12" t="s">
        <v>24</v>
      </c>
      <c r="E86" s="12" t="s">
        <v>29</v>
      </c>
      <c r="F86" s="13" t="s">
        <v>27</v>
      </c>
      <c r="G86" s="12" t="s">
        <v>68</v>
      </c>
      <c r="H86" s="12" t="s">
        <v>801</v>
      </c>
      <c r="I86" s="12" t="s">
        <v>802</v>
      </c>
      <c r="J86" s="17" t="s">
        <v>2779</v>
      </c>
      <c r="K86" s="17">
        <v>2.0</v>
      </c>
      <c r="M86" s="18" t="s">
        <v>577</v>
      </c>
    </row>
    <row r="87">
      <c r="A87" s="11"/>
      <c r="B87" s="12" t="s">
        <v>7</v>
      </c>
      <c r="C87" s="12" t="s">
        <v>8</v>
      </c>
      <c r="D87" s="12" t="s">
        <v>24</v>
      </c>
      <c r="E87" s="12" t="s">
        <v>25</v>
      </c>
      <c r="F87" s="13" t="s">
        <v>26</v>
      </c>
      <c r="G87" s="12" t="s">
        <v>68</v>
      </c>
      <c r="H87" s="12" t="s">
        <v>994</v>
      </c>
      <c r="I87" s="12" t="s">
        <v>995</v>
      </c>
      <c r="J87" s="17" t="s">
        <v>2779</v>
      </c>
      <c r="K87" s="17">
        <v>2.0</v>
      </c>
      <c r="M87" s="18" t="s">
        <v>577</v>
      </c>
    </row>
    <row r="88">
      <c r="A88" s="11"/>
      <c r="B88" s="12" t="s">
        <v>7</v>
      </c>
      <c r="C88" s="12" t="s">
        <v>37</v>
      </c>
      <c r="D88" s="12" t="s">
        <v>38</v>
      </c>
      <c r="E88" s="12" t="s">
        <v>45</v>
      </c>
      <c r="F88" s="13" t="s">
        <v>44</v>
      </c>
      <c r="G88" s="12" t="s">
        <v>68</v>
      </c>
      <c r="H88" s="12" t="s">
        <v>830</v>
      </c>
      <c r="I88" s="12" t="s">
        <v>831</v>
      </c>
      <c r="J88" s="17" t="s">
        <v>2779</v>
      </c>
      <c r="K88" s="17">
        <v>2.0</v>
      </c>
      <c r="M88" s="18" t="s">
        <v>577</v>
      </c>
    </row>
    <row r="89">
      <c r="A89" s="11"/>
      <c r="B89" s="12" t="s">
        <v>7</v>
      </c>
      <c r="C89" s="12" t="s">
        <v>8</v>
      </c>
      <c r="D89" s="12" t="s">
        <v>24</v>
      </c>
      <c r="E89" s="12" t="s">
        <v>35</v>
      </c>
      <c r="F89" s="13" t="s">
        <v>33</v>
      </c>
      <c r="G89" s="12" t="s">
        <v>68</v>
      </c>
      <c r="H89" s="12" t="s">
        <v>813</v>
      </c>
      <c r="I89" s="12" t="s">
        <v>814</v>
      </c>
      <c r="J89" s="17" t="s">
        <v>2779</v>
      </c>
      <c r="K89" s="17">
        <v>2.0</v>
      </c>
      <c r="M89" s="18" t="s">
        <v>577</v>
      </c>
    </row>
    <row r="90">
      <c r="A90" s="11"/>
      <c r="B90" s="12" t="s">
        <v>7</v>
      </c>
      <c r="C90" s="12" t="s">
        <v>8</v>
      </c>
      <c r="D90" s="12" t="s">
        <v>24</v>
      </c>
      <c r="E90" s="12" t="s">
        <v>32</v>
      </c>
      <c r="F90" s="13" t="s">
        <v>30</v>
      </c>
      <c r="G90" s="12" t="s">
        <v>68</v>
      </c>
      <c r="H90" s="12" t="s">
        <v>573</v>
      </c>
      <c r="I90" s="12" t="s">
        <v>574</v>
      </c>
      <c r="J90" s="17" t="s">
        <v>2687</v>
      </c>
      <c r="K90" s="17">
        <v>1.0</v>
      </c>
      <c r="M90" s="18" t="s">
        <v>577</v>
      </c>
    </row>
    <row r="91">
      <c r="A91" s="11"/>
      <c r="B91" s="12" t="s">
        <v>7</v>
      </c>
      <c r="C91" s="12" t="s">
        <v>8</v>
      </c>
      <c r="D91" s="12" t="s">
        <v>24</v>
      </c>
      <c r="E91" s="12" t="s">
        <v>29</v>
      </c>
      <c r="F91" s="13" t="s">
        <v>27</v>
      </c>
      <c r="G91" s="12" t="s">
        <v>68</v>
      </c>
      <c r="H91" s="12" t="s">
        <v>801</v>
      </c>
      <c r="I91" s="12" t="s">
        <v>802</v>
      </c>
      <c r="J91" s="17" t="s">
        <v>2687</v>
      </c>
      <c r="K91" s="17">
        <v>1.0</v>
      </c>
      <c r="M91" s="18" t="s">
        <v>577</v>
      </c>
    </row>
    <row r="92">
      <c r="A92" s="11"/>
      <c r="B92" s="12" t="s">
        <v>7</v>
      </c>
      <c r="C92" s="12" t="s">
        <v>8</v>
      </c>
      <c r="D92" s="12" t="s">
        <v>24</v>
      </c>
      <c r="E92" s="12" t="s">
        <v>25</v>
      </c>
      <c r="F92" s="13" t="s">
        <v>26</v>
      </c>
      <c r="G92" s="12" t="s">
        <v>68</v>
      </c>
      <c r="H92" s="12" t="s">
        <v>994</v>
      </c>
      <c r="I92" s="12" t="s">
        <v>995</v>
      </c>
      <c r="J92" s="17" t="s">
        <v>2687</v>
      </c>
      <c r="K92" s="17">
        <v>1.0</v>
      </c>
      <c r="M92" s="18" t="s">
        <v>577</v>
      </c>
    </row>
    <row r="93">
      <c r="A93" s="11"/>
      <c r="B93" s="12" t="s">
        <v>7</v>
      </c>
      <c r="C93" s="12" t="s">
        <v>37</v>
      </c>
      <c r="D93" s="12" t="s">
        <v>38</v>
      </c>
      <c r="E93" s="12" t="s">
        <v>45</v>
      </c>
      <c r="F93" s="13" t="s">
        <v>44</v>
      </c>
      <c r="G93" s="12" t="s">
        <v>68</v>
      </c>
      <c r="H93" s="12" t="s">
        <v>830</v>
      </c>
      <c r="I93" s="12" t="s">
        <v>831</v>
      </c>
      <c r="J93" s="17" t="s">
        <v>2687</v>
      </c>
      <c r="K93" s="17">
        <v>1.0</v>
      </c>
      <c r="M93" s="18" t="s">
        <v>577</v>
      </c>
    </row>
    <row r="94">
      <c r="A94" s="11"/>
      <c r="B94" s="12" t="s">
        <v>7</v>
      </c>
      <c r="C94" s="12" t="s">
        <v>8</v>
      </c>
      <c r="D94" s="12" t="s">
        <v>24</v>
      </c>
      <c r="E94" s="12" t="s">
        <v>35</v>
      </c>
      <c r="F94" s="13" t="s">
        <v>33</v>
      </c>
      <c r="G94" s="12" t="s">
        <v>68</v>
      </c>
      <c r="H94" s="12" t="s">
        <v>813</v>
      </c>
      <c r="I94" s="12" t="s">
        <v>814</v>
      </c>
      <c r="J94" s="17" t="s">
        <v>2687</v>
      </c>
      <c r="K94" s="17">
        <v>1.0</v>
      </c>
      <c r="M94" s="18" t="s">
        <v>577</v>
      </c>
    </row>
    <row r="95">
      <c r="A95" s="11"/>
      <c r="B95" s="12" t="s">
        <v>22</v>
      </c>
      <c r="C95" s="12" t="s">
        <v>22</v>
      </c>
      <c r="D95" s="12" t="s">
        <v>22</v>
      </c>
      <c r="E95" s="12" t="s">
        <v>624</v>
      </c>
      <c r="F95" s="13" t="s">
        <v>625</v>
      </c>
      <c r="G95" s="12" t="s">
        <v>68</v>
      </c>
      <c r="H95" s="12" t="s">
        <v>626</v>
      </c>
      <c r="I95" s="12" t="s">
        <v>627</v>
      </c>
      <c r="J95" s="17" t="s">
        <v>2687</v>
      </c>
      <c r="K95" s="17">
        <v>1.0</v>
      </c>
      <c r="M95" s="18" t="s">
        <v>588</v>
      </c>
    </row>
    <row r="96">
      <c r="A96" s="11"/>
      <c r="B96" s="12" t="s">
        <v>22</v>
      </c>
      <c r="C96" s="12" t="s">
        <v>22</v>
      </c>
      <c r="D96" s="12" t="s">
        <v>22</v>
      </c>
      <c r="E96" s="12" t="s">
        <v>593</v>
      </c>
      <c r="F96" s="13" t="s">
        <v>594</v>
      </c>
      <c r="G96" s="12" t="s">
        <v>68</v>
      </c>
      <c r="H96" s="12" t="s">
        <v>595</v>
      </c>
      <c r="I96" s="12" t="s">
        <v>596</v>
      </c>
      <c r="J96" s="17" t="s">
        <v>2687</v>
      </c>
      <c r="K96" s="17">
        <v>1.0</v>
      </c>
      <c r="M96" s="18" t="s">
        <v>588</v>
      </c>
    </row>
    <row r="97">
      <c r="A97" s="11"/>
      <c r="B97" s="12" t="s">
        <v>22</v>
      </c>
      <c r="C97" s="12" t="s">
        <v>22</v>
      </c>
      <c r="D97" s="12" t="s">
        <v>22</v>
      </c>
      <c r="E97" s="12" t="s">
        <v>624</v>
      </c>
      <c r="F97" s="13" t="s">
        <v>625</v>
      </c>
      <c r="G97" s="12" t="s">
        <v>68</v>
      </c>
      <c r="H97" s="12" t="s">
        <v>626</v>
      </c>
      <c r="I97" s="12" t="s">
        <v>627</v>
      </c>
      <c r="J97" s="17" t="s">
        <v>2779</v>
      </c>
      <c r="K97" s="17">
        <v>4.0</v>
      </c>
      <c r="M97" s="18" t="s">
        <v>588</v>
      </c>
    </row>
    <row r="98">
      <c r="A98" s="11"/>
      <c r="B98" s="12" t="s">
        <v>7</v>
      </c>
      <c r="C98" s="12" t="s">
        <v>37</v>
      </c>
      <c r="D98" s="12" t="s">
        <v>38</v>
      </c>
      <c r="E98" s="12" t="s">
        <v>41</v>
      </c>
      <c r="F98" s="13" t="s">
        <v>39</v>
      </c>
      <c r="G98" s="12" t="s">
        <v>68</v>
      </c>
      <c r="H98" s="12" t="s">
        <v>902</v>
      </c>
      <c r="I98" s="12" t="s">
        <v>903</v>
      </c>
      <c r="J98" s="17" t="s">
        <v>2779</v>
      </c>
      <c r="K98" s="17">
        <v>4.0</v>
      </c>
      <c r="M98" s="18" t="s">
        <v>588</v>
      </c>
    </row>
    <row r="99">
      <c r="A99" s="11"/>
      <c r="B99" s="12" t="s">
        <v>34</v>
      </c>
      <c r="C99" s="12" t="s">
        <v>65</v>
      </c>
      <c r="D99" s="12" t="s">
        <v>43</v>
      </c>
      <c r="E99" s="12" t="s">
        <v>224</v>
      </c>
      <c r="F99" s="13" t="s">
        <v>225</v>
      </c>
      <c r="G99" s="12" t="s">
        <v>68</v>
      </c>
      <c r="H99" s="12" t="s">
        <v>226</v>
      </c>
      <c r="I99" s="12" t="s">
        <v>227</v>
      </c>
      <c r="J99" s="17" t="s">
        <v>2169</v>
      </c>
      <c r="K99" s="101" t="s">
        <v>2170</v>
      </c>
      <c r="M99" s="18" t="s">
        <v>76</v>
      </c>
    </row>
    <row r="100">
      <c r="A100" s="11"/>
      <c r="B100" s="12" t="s">
        <v>34</v>
      </c>
      <c r="C100" s="12" t="s">
        <v>65</v>
      </c>
      <c r="D100" s="12" t="s">
        <v>43</v>
      </c>
      <c r="E100" s="12" t="s">
        <v>224</v>
      </c>
      <c r="F100" s="13" t="s">
        <v>225</v>
      </c>
      <c r="G100" s="12" t="s">
        <v>68</v>
      </c>
      <c r="H100" s="12" t="s">
        <v>226</v>
      </c>
      <c r="I100" s="12" t="s">
        <v>227</v>
      </c>
      <c r="J100" s="17" t="s">
        <v>2779</v>
      </c>
      <c r="K100" s="101" t="s">
        <v>4363</v>
      </c>
      <c r="M100" s="18" t="s">
        <v>76</v>
      </c>
    </row>
    <row r="101">
      <c r="A101" s="11"/>
      <c r="B101" s="12" t="s">
        <v>34</v>
      </c>
      <c r="C101" s="12" t="s">
        <v>65</v>
      </c>
      <c r="D101" s="12" t="s">
        <v>43</v>
      </c>
      <c r="E101" s="12" t="s">
        <v>224</v>
      </c>
      <c r="F101" s="13" t="s">
        <v>225</v>
      </c>
      <c r="G101" s="12" t="s">
        <v>68</v>
      </c>
      <c r="H101" s="12" t="s">
        <v>226</v>
      </c>
      <c r="I101" s="12" t="s">
        <v>227</v>
      </c>
      <c r="J101" s="17" t="s">
        <v>2783</v>
      </c>
      <c r="K101" s="101" t="s">
        <v>4866</v>
      </c>
      <c r="M101" s="18" t="s">
        <v>76</v>
      </c>
    </row>
    <row r="102">
      <c r="A102" s="11"/>
      <c r="B102" s="12" t="s">
        <v>43</v>
      </c>
      <c r="C102" s="12" t="s">
        <v>65</v>
      </c>
      <c r="D102" s="12" t="s">
        <v>43</v>
      </c>
      <c r="E102" s="12" t="s">
        <v>188</v>
      </c>
      <c r="F102" s="13" t="s">
        <v>189</v>
      </c>
      <c r="G102" s="12" t="s">
        <v>68</v>
      </c>
      <c r="H102" s="12" t="s">
        <v>190</v>
      </c>
      <c r="I102" s="12" t="s">
        <v>191</v>
      </c>
      <c r="J102" s="17" t="s">
        <v>2169</v>
      </c>
      <c r="K102" s="101" t="s">
        <v>2170</v>
      </c>
      <c r="M102" s="18" t="s">
        <v>76</v>
      </c>
    </row>
    <row r="103">
      <c r="A103" s="11"/>
      <c r="B103" s="12" t="s">
        <v>43</v>
      </c>
      <c r="C103" s="12" t="s">
        <v>65</v>
      </c>
      <c r="D103" s="12" t="s">
        <v>43</v>
      </c>
      <c r="E103" s="12" t="s">
        <v>188</v>
      </c>
      <c r="F103" s="13" t="s">
        <v>189</v>
      </c>
      <c r="G103" s="12" t="s">
        <v>68</v>
      </c>
      <c r="H103" s="12" t="s">
        <v>190</v>
      </c>
      <c r="I103" s="12" t="s">
        <v>191</v>
      </c>
      <c r="J103" s="17" t="s">
        <v>2779</v>
      </c>
      <c r="K103" s="101" t="s">
        <v>2780</v>
      </c>
      <c r="M103" s="18" t="s">
        <v>76</v>
      </c>
    </row>
    <row r="104">
      <c r="A104" s="11"/>
      <c r="B104" s="12" t="s">
        <v>43</v>
      </c>
      <c r="C104" s="12" t="s">
        <v>65</v>
      </c>
      <c r="D104" s="12" t="s">
        <v>43</v>
      </c>
      <c r="E104" s="12" t="s">
        <v>66</v>
      </c>
      <c r="F104" s="13" t="s">
        <v>67</v>
      </c>
      <c r="G104" s="12" t="s">
        <v>68</v>
      </c>
      <c r="H104" s="12" t="s">
        <v>69</v>
      </c>
      <c r="I104" s="12" t="s">
        <v>70</v>
      </c>
      <c r="J104" s="17" t="s">
        <v>2169</v>
      </c>
      <c r="K104" s="101">
        <v>1.0</v>
      </c>
      <c r="M104" s="18" t="s">
        <v>76</v>
      </c>
    </row>
    <row r="105">
      <c r="A105" s="11"/>
      <c r="B105" s="12" t="s">
        <v>43</v>
      </c>
      <c r="C105" s="12" t="s">
        <v>65</v>
      </c>
      <c r="D105" s="12" t="s">
        <v>43</v>
      </c>
      <c r="E105" s="12" t="s">
        <v>66</v>
      </c>
      <c r="F105" s="13" t="s">
        <v>67</v>
      </c>
      <c r="G105" s="12" t="s">
        <v>68</v>
      </c>
      <c r="H105" s="12" t="s">
        <v>69</v>
      </c>
      <c r="I105" s="12" t="s">
        <v>70</v>
      </c>
      <c r="J105" s="17" t="s">
        <v>2779</v>
      </c>
      <c r="K105" s="101" t="s">
        <v>4867</v>
      </c>
      <c r="M105" s="18" t="s">
        <v>76</v>
      </c>
    </row>
    <row r="106">
      <c r="A106" s="11"/>
      <c r="B106" s="12" t="s">
        <v>43</v>
      </c>
      <c r="C106" s="12" t="s">
        <v>65</v>
      </c>
      <c r="D106" s="12" t="s">
        <v>43</v>
      </c>
      <c r="E106" s="12" t="s">
        <v>203</v>
      </c>
      <c r="F106" s="13" t="s">
        <v>204</v>
      </c>
      <c r="G106" s="12" t="s">
        <v>68</v>
      </c>
      <c r="H106" s="12" t="s">
        <v>205</v>
      </c>
      <c r="I106" s="12" t="s">
        <v>206</v>
      </c>
      <c r="J106" s="17" t="s">
        <v>2169</v>
      </c>
      <c r="K106" s="101" t="s">
        <v>2170</v>
      </c>
      <c r="M106" s="18" t="s">
        <v>76</v>
      </c>
    </row>
    <row r="107">
      <c r="A107" s="11"/>
      <c r="B107" s="12" t="s">
        <v>43</v>
      </c>
      <c r="C107" s="12" t="s">
        <v>65</v>
      </c>
      <c r="D107" s="12" t="s">
        <v>43</v>
      </c>
      <c r="E107" s="12" t="s">
        <v>203</v>
      </c>
      <c r="F107" s="13" t="s">
        <v>204</v>
      </c>
      <c r="G107" s="12" t="s">
        <v>68</v>
      </c>
      <c r="H107" s="12" t="s">
        <v>205</v>
      </c>
      <c r="I107" s="12" t="s">
        <v>206</v>
      </c>
      <c r="J107" s="17" t="s">
        <v>2779</v>
      </c>
      <c r="K107" s="101" t="s">
        <v>2780</v>
      </c>
      <c r="M107" s="18" t="s">
        <v>76</v>
      </c>
    </row>
    <row r="108">
      <c r="A108" s="11"/>
      <c r="B108" s="12" t="s">
        <v>43</v>
      </c>
      <c r="C108" s="12" t="s">
        <v>65</v>
      </c>
      <c r="D108" s="12" t="s">
        <v>321</v>
      </c>
      <c r="E108" s="12" t="s">
        <v>321</v>
      </c>
      <c r="F108" s="13" t="s">
        <v>322</v>
      </c>
      <c r="G108" s="12" t="s">
        <v>68</v>
      </c>
      <c r="H108" s="12" t="s">
        <v>323</v>
      </c>
      <c r="I108" s="12" t="s">
        <v>324</v>
      </c>
      <c r="J108" s="17" t="s">
        <v>2169</v>
      </c>
      <c r="K108" s="17">
        <v>1.0</v>
      </c>
      <c r="M108" s="18" t="s">
        <v>76</v>
      </c>
    </row>
    <row r="109">
      <c r="A109" s="11"/>
      <c r="B109" s="12" t="s">
        <v>43</v>
      </c>
      <c r="C109" s="12" t="s">
        <v>65</v>
      </c>
      <c r="D109" s="12" t="s">
        <v>321</v>
      </c>
      <c r="E109" s="12" t="s">
        <v>321</v>
      </c>
      <c r="F109" s="13" t="s">
        <v>322</v>
      </c>
      <c r="G109" s="12" t="s">
        <v>68</v>
      </c>
      <c r="H109" s="12" t="s">
        <v>323</v>
      </c>
      <c r="I109" s="12" t="s">
        <v>324</v>
      </c>
      <c r="J109" s="17" t="s">
        <v>2779</v>
      </c>
      <c r="K109" s="101" t="s">
        <v>4867</v>
      </c>
      <c r="M109" s="18" t="s">
        <v>76</v>
      </c>
    </row>
    <row r="110">
      <c r="A110" s="11"/>
      <c r="B110" s="12" t="s">
        <v>7</v>
      </c>
      <c r="C110" s="12" t="s">
        <v>37</v>
      </c>
      <c r="D110" s="12" t="s">
        <v>38</v>
      </c>
      <c r="E110" s="12" t="s">
        <v>38</v>
      </c>
      <c r="F110" s="13" t="s">
        <v>42</v>
      </c>
      <c r="G110" s="12" t="s">
        <v>68</v>
      </c>
      <c r="H110" s="12" t="s">
        <v>584</v>
      </c>
      <c r="I110" s="12" t="s">
        <v>585</v>
      </c>
      <c r="J110" s="17" t="s">
        <v>2687</v>
      </c>
      <c r="K110" s="17">
        <v>1.0</v>
      </c>
      <c r="M110" s="18" t="s">
        <v>588</v>
      </c>
    </row>
    <row r="111">
      <c r="A111" s="11"/>
      <c r="B111" s="12" t="s">
        <v>7</v>
      </c>
      <c r="C111" s="12" t="s">
        <v>37</v>
      </c>
      <c r="D111" s="12" t="s">
        <v>38</v>
      </c>
      <c r="E111" s="12" t="s">
        <v>38</v>
      </c>
      <c r="F111" s="13" t="s">
        <v>42</v>
      </c>
      <c r="G111" s="12" t="s">
        <v>68</v>
      </c>
      <c r="H111" s="12" t="s">
        <v>584</v>
      </c>
      <c r="I111" s="12" t="s">
        <v>585</v>
      </c>
      <c r="J111" s="17" t="s">
        <v>2779</v>
      </c>
      <c r="K111" s="17">
        <v>4.0</v>
      </c>
      <c r="M111" s="18" t="s">
        <v>588</v>
      </c>
    </row>
    <row r="112">
      <c r="A112" s="11"/>
      <c r="B112" s="12" t="s">
        <v>34</v>
      </c>
      <c r="C112" s="12" t="s">
        <v>65</v>
      </c>
      <c r="D112" s="12" t="s">
        <v>43</v>
      </c>
      <c r="E112" s="12" t="s">
        <v>224</v>
      </c>
      <c r="F112" s="13" t="s">
        <v>225</v>
      </c>
      <c r="G112" s="12" t="s">
        <v>68</v>
      </c>
      <c r="H112" s="12" t="s">
        <v>226</v>
      </c>
      <c r="I112" s="12" t="s">
        <v>227</v>
      </c>
      <c r="J112" s="17" t="s">
        <v>2687</v>
      </c>
      <c r="K112" s="17">
        <v>1.0</v>
      </c>
      <c r="M112" s="18" t="s">
        <v>76</v>
      </c>
    </row>
    <row r="113">
      <c r="A113" s="11"/>
      <c r="B113" s="12" t="s">
        <v>43</v>
      </c>
      <c r="C113" s="12" t="s">
        <v>65</v>
      </c>
      <c r="D113" s="12" t="s">
        <v>43</v>
      </c>
      <c r="E113" s="12" t="s">
        <v>203</v>
      </c>
      <c r="F113" s="13" t="s">
        <v>204</v>
      </c>
      <c r="G113" s="12" t="s">
        <v>68</v>
      </c>
      <c r="H113" s="12" t="s">
        <v>205</v>
      </c>
      <c r="I113" s="12" t="s">
        <v>206</v>
      </c>
      <c r="J113" s="17" t="s">
        <v>2687</v>
      </c>
      <c r="K113" s="17">
        <v>1.0</v>
      </c>
      <c r="M113" s="18" t="s">
        <v>76</v>
      </c>
    </row>
    <row r="114">
      <c r="A114" s="11"/>
      <c r="B114" s="12" t="s">
        <v>43</v>
      </c>
      <c r="C114" s="12" t="s">
        <v>65</v>
      </c>
      <c r="D114" s="12" t="s">
        <v>43</v>
      </c>
      <c r="E114" s="12" t="s">
        <v>188</v>
      </c>
      <c r="F114" s="13" t="s">
        <v>189</v>
      </c>
      <c r="G114" s="12" t="s">
        <v>68</v>
      </c>
      <c r="H114" s="12" t="s">
        <v>190</v>
      </c>
      <c r="I114" s="12" t="s">
        <v>191</v>
      </c>
      <c r="J114" s="17" t="s">
        <v>2687</v>
      </c>
      <c r="K114" s="17">
        <v>1.0</v>
      </c>
      <c r="M114" s="18" t="s">
        <v>76</v>
      </c>
    </row>
    <row r="115">
      <c r="A115" s="11"/>
      <c r="B115" s="12" t="s">
        <v>7</v>
      </c>
      <c r="C115" s="12" t="s">
        <v>8</v>
      </c>
      <c r="D115" s="12" t="s">
        <v>24</v>
      </c>
      <c r="E115" s="12" t="s">
        <v>32</v>
      </c>
      <c r="F115" s="13" t="s">
        <v>30</v>
      </c>
      <c r="G115" s="12" t="s">
        <v>68</v>
      </c>
      <c r="H115" s="12" t="s">
        <v>573</v>
      </c>
      <c r="I115" s="12" t="s">
        <v>574</v>
      </c>
      <c r="J115" s="17" t="s">
        <v>2783</v>
      </c>
      <c r="K115" s="17">
        <v>2.0</v>
      </c>
      <c r="M115" s="18" t="s">
        <v>577</v>
      </c>
    </row>
    <row r="116">
      <c r="A116" s="11"/>
      <c r="B116" s="12" t="s">
        <v>7</v>
      </c>
      <c r="C116" s="12" t="s">
        <v>8</v>
      </c>
      <c r="D116" s="12" t="s">
        <v>24</v>
      </c>
      <c r="E116" s="12" t="s">
        <v>29</v>
      </c>
      <c r="F116" s="13" t="s">
        <v>27</v>
      </c>
      <c r="G116" s="12" t="s">
        <v>68</v>
      </c>
      <c r="H116" s="12" t="s">
        <v>801</v>
      </c>
      <c r="I116" s="12" t="s">
        <v>802</v>
      </c>
      <c r="J116" s="17" t="s">
        <v>2783</v>
      </c>
      <c r="K116" s="17">
        <v>2.0</v>
      </c>
      <c r="M116" s="18" t="s">
        <v>577</v>
      </c>
    </row>
    <row r="117">
      <c r="A117" s="11"/>
      <c r="B117" s="12" t="s">
        <v>7</v>
      </c>
      <c r="C117" s="12" t="s">
        <v>8</v>
      </c>
      <c r="D117" s="12" t="s">
        <v>24</v>
      </c>
      <c r="E117" s="12" t="s">
        <v>25</v>
      </c>
      <c r="F117" s="13" t="s">
        <v>26</v>
      </c>
      <c r="G117" s="12" t="s">
        <v>68</v>
      </c>
      <c r="H117" s="12" t="s">
        <v>994</v>
      </c>
      <c r="I117" s="12" t="s">
        <v>995</v>
      </c>
      <c r="J117" s="17" t="s">
        <v>2783</v>
      </c>
      <c r="K117" s="17">
        <v>2.0</v>
      </c>
      <c r="M117" s="18" t="s">
        <v>577</v>
      </c>
    </row>
    <row r="118">
      <c r="A118" s="11"/>
      <c r="B118" s="12" t="s">
        <v>7</v>
      </c>
      <c r="C118" s="12" t="s">
        <v>37</v>
      </c>
      <c r="D118" s="12" t="s">
        <v>38</v>
      </c>
      <c r="E118" s="12" t="s">
        <v>45</v>
      </c>
      <c r="F118" s="13" t="s">
        <v>44</v>
      </c>
      <c r="G118" s="12" t="s">
        <v>68</v>
      </c>
      <c r="H118" s="12" t="s">
        <v>830</v>
      </c>
      <c r="I118" s="12" t="s">
        <v>831</v>
      </c>
      <c r="J118" s="17" t="s">
        <v>2783</v>
      </c>
      <c r="K118" s="17">
        <v>2.0</v>
      </c>
      <c r="M118" s="18" t="s">
        <v>577</v>
      </c>
    </row>
    <row r="119">
      <c r="A119" s="11"/>
      <c r="B119" s="12" t="s">
        <v>7</v>
      </c>
      <c r="C119" s="12" t="s">
        <v>8</v>
      </c>
      <c r="D119" s="12" t="s">
        <v>24</v>
      </c>
      <c r="E119" s="12" t="s">
        <v>35</v>
      </c>
      <c r="F119" s="13" t="s">
        <v>33</v>
      </c>
      <c r="G119" s="12" t="s">
        <v>68</v>
      </c>
      <c r="H119" s="12" t="s">
        <v>813</v>
      </c>
      <c r="I119" s="12" t="s">
        <v>814</v>
      </c>
      <c r="J119" s="17" t="s">
        <v>2783</v>
      </c>
      <c r="K119" s="17">
        <v>2.0</v>
      </c>
      <c r="M119" s="18" t="s">
        <v>577</v>
      </c>
    </row>
    <row r="120">
      <c r="A120" s="11"/>
      <c r="B120" s="12" t="s">
        <v>7</v>
      </c>
      <c r="C120" s="12" t="s">
        <v>8</v>
      </c>
      <c r="D120" s="12" t="s">
        <v>24</v>
      </c>
      <c r="E120" s="12" t="s">
        <v>32</v>
      </c>
      <c r="F120" s="13" t="s">
        <v>30</v>
      </c>
      <c r="G120" s="12" t="s">
        <v>68</v>
      </c>
      <c r="H120" s="12" t="s">
        <v>573</v>
      </c>
      <c r="I120" s="12" t="s">
        <v>574</v>
      </c>
      <c r="J120" s="17" t="s">
        <v>2687</v>
      </c>
      <c r="K120" s="17">
        <v>1.0</v>
      </c>
      <c r="M120" s="18" t="s">
        <v>577</v>
      </c>
    </row>
    <row r="121">
      <c r="A121" s="11"/>
      <c r="B121" s="12" t="s">
        <v>7</v>
      </c>
      <c r="C121" s="12" t="s">
        <v>8</v>
      </c>
      <c r="D121" s="12" t="s">
        <v>24</v>
      </c>
      <c r="E121" s="12" t="s">
        <v>29</v>
      </c>
      <c r="F121" s="13" t="s">
        <v>27</v>
      </c>
      <c r="G121" s="12" t="s">
        <v>68</v>
      </c>
      <c r="H121" s="12" t="s">
        <v>801</v>
      </c>
      <c r="I121" s="12" t="s">
        <v>802</v>
      </c>
      <c r="J121" s="17" t="s">
        <v>2687</v>
      </c>
      <c r="K121" s="17">
        <v>1.0</v>
      </c>
      <c r="M121" s="18" t="s">
        <v>577</v>
      </c>
    </row>
    <row r="122">
      <c r="A122" s="11"/>
      <c r="B122" s="12" t="s">
        <v>7</v>
      </c>
      <c r="C122" s="12" t="s">
        <v>8</v>
      </c>
      <c r="D122" s="12" t="s">
        <v>24</v>
      </c>
      <c r="E122" s="12" t="s">
        <v>25</v>
      </c>
      <c r="F122" s="13" t="s">
        <v>26</v>
      </c>
      <c r="G122" s="12" t="s">
        <v>68</v>
      </c>
      <c r="H122" s="12" t="s">
        <v>994</v>
      </c>
      <c r="I122" s="12" t="s">
        <v>995</v>
      </c>
      <c r="J122" s="17" t="s">
        <v>2687</v>
      </c>
      <c r="K122" s="17">
        <v>1.0</v>
      </c>
      <c r="M122" s="18" t="s">
        <v>577</v>
      </c>
    </row>
    <row r="123">
      <c r="A123" s="11"/>
      <c r="B123" s="12" t="s">
        <v>7</v>
      </c>
      <c r="C123" s="12" t="s">
        <v>37</v>
      </c>
      <c r="D123" s="12" t="s">
        <v>38</v>
      </c>
      <c r="E123" s="12" t="s">
        <v>45</v>
      </c>
      <c r="F123" s="13" t="s">
        <v>44</v>
      </c>
      <c r="G123" s="12" t="s">
        <v>68</v>
      </c>
      <c r="H123" s="12" t="s">
        <v>830</v>
      </c>
      <c r="I123" s="12" t="s">
        <v>831</v>
      </c>
      <c r="J123" s="17" t="s">
        <v>2687</v>
      </c>
      <c r="K123" s="17">
        <v>1.0</v>
      </c>
      <c r="M123" s="18" t="s">
        <v>577</v>
      </c>
    </row>
    <row r="124">
      <c r="A124" s="11"/>
      <c r="B124" s="12" t="s">
        <v>7</v>
      </c>
      <c r="C124" s="12" t="s">
        <v>8</v>
      </c>
      <c r="D124" s="12" t="s">
        <v>24</v>
      </c>
      <c r="E124" s="12" t="s">
        <v>35</v>
      </c>
      <c r="F124" s="13" t="s">
        <v>33</v>
      </c>
      <c r="G124" s="12" t="s">
        <v>68</v>
      </c>
      <c r="H124" s="12" t="s">
        <v>813</v>
      </c>
      <c r="I124" s="12" t="s">
        <v>814</v>
      </c>
      <c r="J124" s="17" t="s">
        <v>2687</v>
      </c>
      <c r="K124" s="17">
        <v>1.0</v>
      </c>
      <c r="M124" s="18" t="s">
        <v>577</v>
      </c>
    </row>
    <row r="125">
      <c r="A125" s="11"/>
      <c r="B125" s="12" t="s">
        <v>34</v>
      </c>
      <c r="C125" s="12" t="s">
        <v>65</v>
      </c>
      <c r="D125" s="12" t="s">
        <v>43</v>
      </c>
      <c r="E125" s="12" t="s">
        <v>224</v>
      </c>
      <c r="F125" s="13" t="s">
        <v>225</v>
      </c>
      <c r="G125" s="12" t="s">
        <v>68</v>
      </c>
      <c r="H125" s="12" t="s">
        <v>226</v>
      </c>
      <c r="I125" s="12" t="s">
        <v>227</v>
      </c>
      <c r="J125" s="17" t="s">
        <v>2687</v>
      </c>
      <c r="M125" s="18" t="s">
        <v>76</v>
      </c>
    </row>
    <row r="126">
      <c r="A126" s="11"/>
      <c r="B126" s="12" t="s">
        <v>43</v>
      </c>
      <c r="C126" s="12" t="s">
        <v>65</v>
      </c>
      <c r="D126" s="12" t="s">
        <v>43</v>
      </c>
      <c r="E126" s="12" t="s">
        <v>66</v>
      </c>
      <c r="F126" s="13" t="s">
        <v>67</v>
      </c>
      <c r="G126" s="12" t="s">
        <v>68</v>
      </c>
      <c r="H126" s="12" t="s">
        <v>69</v>
      </c>
      <c r="I126" s="12" t="s">
        <v>70</v>
      </c>
      <c r="J126" s="17" t="s">
        <v>2687</v>
      </c>
      <c r="M126" s="18" t="s">
        <v>76</v>
      </c>
    </row>
    <row r="127">
      <c r="A127" s="11"/>
      <c r="B127" s="12" t="s">
        <v>43</v>
      </c>
      <c r="C127" s="12" t="s">
        <v>65</v>
      </c>
      <c r="D127" s="12" t="s">
        <v>43</v>
      </c>
      <c r="E127" s="12" t="s">
        <v>203</v>
      </c>
      <c r="F127" s="13" t="s">
        <v>204</v>
      </c>
      <c r="G127" s="12" t="s">
        <v>68</v>
      </c>
      <c r="H127" s="12" t="s">
        <v>205</v>
      </c>
      <c r="I127" s="12" t="s">
        <v>206</v>
      </c>
      <c r="J127" s="17" t="s">
        <v>2687</v>
      </c>
      <c r="M127" s="18" t="s">
        <v>76</v>
      </c>
    </row>
    <row r="128">
      <c r="A128" s="11"/>
      <c r="B128" s="12" t="s">
        <v>43</v>
      </c>
      <c r="C128" s="12" t="s">
        <v>65</v>
      </c>
      <c r="D128" s="12" t="s">
        <v>43</v>
      </c>
      <c r="E128" s="12" t="s">
        <v>66</v>
      </c>
      <c r="F128" s="13" t="s">
        <v>67</v>
      </c>
      <c r="G128" s="12" t="s">
        <v>68</v>
      </c>
      <c r="H128" s="12" t="s">
        <v>69</v>
      </c>
      <c r="I128" s="12" t="s">
        <v>70</v>
      </c>
      <c r="J128" s="17" t="s">
        <v>2779</v>
      </c>
      <c r="K128" s="17" t="s">
        <v>4866</v>
      </c>
      <c r="M128" s="18" t="s">
        <v>76</v>
      </c>
    </row>
    <row r="129">
      <c r="A129" s="11"/>
      <c r="B129" s="12" t="s">
        <v>7</v>
      </c>
      <c r="C129" s="12" t="s">
        <v>8</v>
      </c>
      <c r="D129" s="12" t="s">
        <v>24</v>
      </c>
      <c r="E129" s="12" t="s">
        <v>29</v>
      </c>
      <c r="F129" s="13" t="s">
        <v>27</v>
      </c>
      <c r="G129" s="12" t="s">
        <v>68</v>
      </c>
      <c r="H129" s="12" t="s">
        <v>801</v>
      </c>
      <c r="I129" s="12" t="s">
        <v>802</v>
      </c>
      <c r="J129" s="17" t="s">
        <v>2796</v>
      </c>
      <c r="K129" s="17">
        <v>2.0</v>
      </c>
      <c r="M129" s="18" t="s">
        <v>577</v>
      </c>
    </row>
    <row r="130">
      <c r="A130" s="11"/>
      <c r="B130" s="12" t="s">
        <v>7</v>
      </c>
      <c r="C130" s="12" t="s">
        <v>8</v>
      </c>
      <c r="D130" s="12" t="s">
        <v>24</v>
      </c>
      <c r="E130" s="12" t="s">
        <v>32</v>
      </c>
      <c r="F130" s="13" t="s">
        <v>30</v>
      </c>
      <c r="G130" s="12" t="s">
        <v>68</v>
      </c>
      <c r="H130" s="12" t="s">
        <v>573</v>
      </c>
      <c r="I130" s="12" t="s">
        <v>574</v>
      </c>
      <c r="J130" s="17" t="s">
        <v>2796</v>
      </c>
      <c r="K130" s="17">
        <v>2.0</v>
      </c>
      <c r="M130" s="18" t="s">
        <v>577</v>
      </c>
    </row>
    <row r="131">
      <c r="A131" s="11"/>
      <c r="B131" s="12" t="s">
        <v>7</v>
      </c>
      <c r="C131" s="12" t="s">
        <v>37</v>
      </c>
      <c r="D131" s="12" t="s">
        <v>38</v>
      </c>
      <c r="E131" s="12" t="s">
        <v>45</v>
      </c>
      <c r="F131" s="13" t="s">
        <v>44</v>
      </c>
      <c r="G131" s="12" t="s">
        <v>68</v>
      </c>
      <c r="H131" s="12" t="s">
        <v>830</v>
      </c>
      <c r="I131" s="12" t="s">
        <v>831</v>
      </c>
      <c r="J131" s="17" t="s">
        <v>2796</v>
      </c>
      <c r="K131" s="17">
        <v>2.0</v>
      </c>
      <c r="M131" s="18" t="s">
        <v>577</v>
      </c>
    </row>
    <row r="132">
      <c r="A132" s="11"/>
      <c r="B132" s="12" t="s">
        <v>7</v>
      </c>
      <c r="C132" s="12" t="s">
        <v>8</v>
      </c>
      <c r="D132" s="12" t="s">
        <v>24</v>
      </c>
      <c r="E132" s="12" t="s">
        <v>25</v>
      </c>
      <c r="F132" s="13" t="s">
        <v>26</v>
      </c>
      <c r="G132" s="12" t="s">
        <v>68</v>
      </c>
      <c r="H132" s="12" t="s">
        <v>994</v>
      </c>
      <c r="I132" s="12" t="s">
        <v>995</v>
      </c>
      <c r="J132" s="17" t="s">
        <v>2796</v>
      </c>
      <c r="K132" s="17">
        <v>2.0</v>
      </c>
      <c r="M132" s="18" t="s">
        <v>577</v>
      </c>
    </row>
    <row r="133">
      <c r="A133" s="11"/>
      <c r="B133" s="12" t="s">
        <v>7</v>
      </c>
      <c r="C133" s="12" t="s">
        <v>8</v>
      </c>
      <c r="D133" s="12" t="s">
        <v>24</v>
      </c>
      <c r="E133" s="12" t="s">
        <v>35</v>
      </c>
      <c r="F133" s="13" t="s">
        <v>33</v>
      </c>
      <c r="G133" s="12" t="s">
        <v>68</v>
      </c>
      <c r="H133" s="12" t="s">
        <v>813</v>
      </c>
      <c r="I133" s="12" t="s">
        <v>814</v>
      </c>
      <c r="J133" s="17" t="s">
        <v>2796</v>
      </c>
      <c r="K133" s="17">
        <v>2.0</v>
      </c>
      <c r="M133" s="18" t="s">
        <v>577</v>
      </c>
    </row>
    <row r="134">
      <c r="A134" s="11"/>
      <c r="B134" s="12" t="s">
        <v>7</v>
      </c>
      <c r="C134" s="12" t="s">
        <v>8</v>
      </c>
      <c r="D134" s="12" t="s">
        <v>24</v>
      </c>
      <c r="E134" s="12" t="s">
        <v>29</v>
      </c>
      <c r="F134" s="13" t="s">
        <v>27</v>
      </c>
      <c r="G134" s="12" t="s">
        <v>68</v>
      </c>
      <c r="H134" s="12" t="s">
        <v>801</v>
      </c>
      <c r="I134" s="12" t="s">
        <v>802</v>
      </c>
      <c r="J134" s="17" t="s">
        <v>2800</v>
      </c>
      <c r="K134" s="17">
        <v>1.0</v>
      </c>
      <c r="M134" s="18" t="s">
        <v>577</v>
      </c>
    </row>
    <row r="135">
      <c r="A135" s="11"/>
      <c r="B135" s="12" t="s">
        <v>7</v>
      </c>
      <c r="C135" s="12" t="s">
        <v>8</v>
      </c>
      <c r="D135" s="12" t="s">
        <v>24</v>
      </c>
      <c r="E135" s="12" t="s">
        <v>32</v>
      </c>
      <c r="F135" s="13" t="s">
        <v>30</v>
      </c>
      <c r="G135" s="12" t="s">
        <v>68</v>
      </c>
      <c r="H135" s="12" t="s">
        <v>573</v>
      </c>
      <c r="I135" s="12" t="s">
        <v>574</v>
      </c>
      <c r="J135" s="17" t="s">
        <v>2800</v>
      </c>
      <c r="K135" s="17">
        <v>1.0</v>
      </c>
      <c r="M135" s="18" t="s">
        <v>577</v>
      </c>
    </row>
    <row r="136">
      <c r="A136" s="11"/>
      <c r="B136" s="12" t="s">
        <v>7</v>
      </c>
      <c r="C136" s="12" t="s">
        <v>37</v>
      </c>
      <c r="D136" s="12" t="s">
        <v>38</v>
      </c>
      <c r="E136" s="12" t="s">
        <v>45</v>
      </c>
      <c r="F136" s="13" t="s">
        <v>44</v>
      </c>
      <c r="G136" s="12" t="s">
        <v>68</v>
      </c>
      <c r="H136" s="12" t="s">
        <v>830</v>
      </c>
      <c r="I136" s="12" t="s">
        <v>831</v>
      </c>
      <c r="J136" s="17" t="s">
        <v>2800</v>
      </c>
      <c r="K136" s="17">
        <v>1.0</v>
      </c>
      <c r="M136" s="18" t="s">
        <v>577</v>
      </c>
    </row>
    <row r="137">
      <c r="A137" s="11"/>
      <c r="B137" s="12" t="s">
        <v>7</v>
      </c>
      <c r="C137" s="12" t="s">
        <v>8</v>
      </c>
      <c r="D137" s="12" t="s">
        <v>24</v>
      </c>
      <c r="E137" s="12" t="s">
        <v>25</v>
      </c>
      <c r="F137" s="13" t="s">
        <v>26</v>
      </c>
      <c r="G137" s="12" t="s">
        <v>68</v>
      </c>
      <c r="H137" s="12" t="s">
        <v>994</v>
      </c>
      <c r="I137" s="12" t="s">
        <v>995</v>
      </c>
      <c r="J137" s="17" t="s">
        <v>2800</v>
      </c>
      <c r="K137" s="17">
        <v>1.0</v>
      </c>
      <c r="M137" s="18" t="s">
        <v>577</v>
      </c>
    </row>
    <row r="138">
      <c r="A138" s="11"/>
      <c r="B138" s="12" t="s">
        <v>7</v>
      </c>
      <c r="C138" s="12" t="s">
        <v>8</v>
      </c>
      <c r="D138" s="12" t="s">
        <v>24</v>
      </c>
      <c r="E138" s="12" t="s">
        <v>35</v>
      </c>
      <c r="F138" s="13" t="s">
        <v>33</v>
      </c>
      <c r="G138" s="12" t="s">
        <v>68</v>
      </c>
      <c r="H138" s="12" t="s">
        <v>813</v>
      </c>
      <c r="I138" s="12" t="s">
        <v>814</v>
      </c>
      <c r="J138" s="17" t="s">
        <v>2800</v>
      </c>
      <c r="K138" s="17">
        <v>1.0</v>
      </c>
      <c r="M138" s="18" t="s">
        <v>577</v>
      </c>
    </row>
    <row r="139">
      <c r="A139" s="11"/>
      <c r="B139" s="12" t="s">
        <v>7</v>
      </c>
      <c r="C139" s="12" t="s">
        <v>8</v>
      </c>
      <c r="D139" s="12" t="s">
        <v>24</v>
      </c>
      <c r="E139" s="12" t="s">
        <v>32</v>
      </c>
      <c r="F139" s="13" t="s">
        <v>30</v>
      </c>
      <c r="G139" s="12" t="s">
        <v>68</v>
      </c>
      <c r="H139" s="12" t="s">
        <v>573</v>
      </c>
      <c r="I139" s="12" t="s">
        <v>574</v>
      </c>
      <c r="J139" s="17" t="s">
        <v>2687</v>
      </c>
      <c r="K139" s="17">
        <v>1.0</v>
      </c>
      <c r="M139" s="18" t="s">
        <v>577</v>
      </c>
    </row>
    <row r="140">
      <c r="A140" s="11"/>
      <c r="B140" s="12" t="s">
        <v>7</v>
      </c>
      <c r="C140" s="12" t="s">
        <v>8</v>
      </c>
      <c r="D140" s="12" t="s">
        <v>24</v>
      </c>
      <c r="E140" s="12" t="s">
        <v>29</v>
      </c>
      <c r="F140" s="13" t="s">
        <v>27</v>
      </c>
      <c r="G140" s="12" t="s">
        <v>68</v>
      </c>
      <c r="H140" s="12" t="s">
        <v>801</v>
      </c>
      <c r="I140" s="12" t="s">
        <v>802</v>
      </c>
      <c r="J140" s="17" t="s">
        <v>2687</v>
      </c>
      <c r="K140" s="17">
        <v>1.0</v>
      </c>
      <c r="M140" s="18" t="s">
        <v>577</v>
      </c>
    </row>
    <row r="141">
      <c r="A141" s="11"/>
      <c r="B141" s="12" t="s">
        <v>7</v>
      </c>
      <c r="C141" s="12" t="s">
        <v>8</v>
      </c>
      <c r="D141" s="12" t="s">
        <v>24</v>
      </c>
      <c r="E141" s="12" t="s">
        <v>25</v>
      </c>
      <c r="F141" s="13" t="s">
        <v>26</v>
      </c>
      <c r="G141" s="12" t="s">
        <v>68</v>
      </c>
      <c r="H141" s="12" t="s">
        <v>994</v>
      </c>
      <c r="I141" s="12" t="s">
        <v>995</v>
      </c>
      <c r="J141" s="17" t="s">
        <v>2687</v>
      </c>
      <c r="K141" s="17">
        <v>1.0</v>
      </c>
      <c r="M141" s="18" t="s">
        <v>577</v>
      </c>
    </row>
    <row r="142">
      <c r="A142" s="11"/>
      <c r="B142" s="12" t="s">
        <v>7</v>
      </c>
      <c r="C142" s="12" t="s">
        <v>37</v>
      </c>
      <c r="D142" s="12" t="s">
        <v>38</v>
      </c>
      <c r="E142" s="12" t="s">
        <v>45</v>
      </c>
      <c r="F142" s="13" t="s">
        <v>44</v>
      </c>
      <c r="G142" s="12" t="s">
        <v>68</v>
      </c>
      <c r="H142" s="12" t="s">
        <v>830</v>
      </c>
      <c r="I142" s="12" t="s">
        <v>831</v>
      </c>
      <c r="J142" s="17" t="s">
        <v>2687</v>
      </c>
      <c r="K142" s="17">
        <v>1.0</v>
      </c>
      <c r="M142" s="18" t="s">
        <v>577</v>
      </c>
    </row>
    <row r="143">
      <c r="A143" s="11"/>
      <c r="B143" s="12" t="s">
        <v>7</v>
      </c>
      <c r="C143" s="12" t="s">
        <v>8</v>
      </c>
      <c r="D143" s="12" t="s">
        <v>24</v>
      </c>
      <c r="E143" s="12" t="s">
        <v>35</v>
      </c>
      <c r="F143" s="13" t="s">
        <v>33</v>
      </c>
      <c r="G143" s="12" t="s">
        <v>68</v>
      </c>
      <c r="H143" s="12" t="s">
        <v>813</v>
      </c>
      <c r="I143" s="12" t="s">
        <v>814</v>
      </c>
      <c r="J143" s="17" t="s">
        <v>2687</v>
      </c>
      <c r="K143" s="17">
        <v>1.0</v>
      </c>
      <c r="M143" s="18" t="s">
        <v>577</v>
      </c>
    </row>
    <row r="144">
      <c r="A144" s="11"/>
      <c r="B144" s="23"/>
      <c r="C144" s="23"/>
      <c r="D144" s="23"/>
      <c r="E144" s="23"/>
      <c r="F144" s="1"/>
      <c r="G144" s="23"/>
      <c r="H144" s="23"/>
      <c r="I144" s="23"/>
      <c r="J144" s="2"/>
      <c r="M144" s="24"/>
    </row>
    <row r="145">
      <c r="A145" s="11"/>
      <c r="B145" s="23"/>
      <c r="C145" s="23"/>
      <c r="D145" s="23"/>
      <c r="E145" s="23"/>
      <c r="F145" s="1"/>
      <c r="G145" s="23"/>
      <c r="H145" s="23"/>
      <c r="I145" s="23"/>
      <c r="J145" s="2"/>
      <c r="M145" s="24"/>
    </row>
    <row r="146">
      <c r="A146" s="11"/>
      <c r="B146" s="23"/>
      <c r="C146" s="23"/>
      <c r="D146" s="23"/>
      <c r="E146" s="23"/>
      <c r="F146" s="1"/>
      <c r="G146" s="23"/>
      <c r="H146" s="23"/>
      <c r="I146" s="23"/>
      <c r="J146" s="2"/>
      <c r="M146" s="24"/>
    </row>
    <row r="147">
      <c r="A147" s="11"/>
      <c r="B147" s="23"/>
      <c r="C147" s="23"/>
      <c r="D147" s="23"/>
      <c r="E147" s="23"/>
      <c r="F147" s="1"/>
      <c r="G147" s="23"/>
      <c r="H147" s="23"/>
      <c r="I147" s="23"/>
      <c r="J147" s="2"/>
      <c r="M147" s="24"/>
    </row>
    <row r="148">
      <c r="A148" s="11"/>
      <c r="B148" s="23"/>
      <c r="C148" s="23"/>
      <c r="D148" s="23"/>
      <c r="E148" s="23"/>
      <c r="F148" s="1"/>
      <c r="G148" s="23"/>
      <c r="H148" s="23"/>
      <c r="I148" s="23"/>
      <c r="J148" s="2"/>
      <c r="M148" s="24"/>
    </row>
    <row r="149">
      <c r="A149" s="11"/>
      <c r="B149" s="23"/>
      <c r="C149" s="23"/>
      <c r="D149" s="23"/>
      <c r="E149" s="23"/>
      <c r="F149" s="1"/>
      <c r="G149" s="23"/>
      <c r="H149" s="23"/>
      <c r="I149" s="23"/>
      <c r="J149" s="2"/>
      <c r="M149" s="24"/>
    </row>
    <row r="150">
      <c r="A150" s="11"/>
      <c r="B150" s="23"/>
      <c r="C150" s="23"/>
      <c r="D150" s="23"/>
      <c r="E150" s="23"/>
      <c r="F150" s="1"/>
      <c r="G150" s="23"/>
      <c r="H150" s="23"/>
      <c r="I150" s="23"/>
      <c r="J150" s="2"/>
      <c r="M150" s="24"/>
    </row>
    <row r="151">
      <c r="A151" s="11"/>
      <c r="B151" s="23"/>
      <c r="C151" s="23"/>
      <c r="D151" s="23"/>
      <c r="E151" s="23"/>
      <c r="F151" s="1"/>
      <c r="G151" s="23"/>
      <c r="H151" s="23"/>
      <c r="I151" s="23"/>
      <c r="J151" s="2"/>
      <c r="M151" s="24"/>
    </row>
    <row r="152">
      <c r="A152" s="11"/>
      <c r="B152" s="23"/>
      <c r="C152" s="23"/>
      <c r="D152" s="23"/>
      <c r="E152" s="23"/>
      <c r="F152" s="1"/>
      <c r="G152" s="23"/>
      <c r="H152" s="23"/>
      <c r="I152" s="23"/>
      <c r="J152" s="2"/>
      <c r="M152" s="24"/>
    </row>
    <row r="153">
      <c r="A153" s="11"/>
      <c r="B153" s="23"/>
      <c r="C153" s="23"/>
      <c r="D153" s="23"/>
      <c r="E153" s="23"/>
      <c r="F153" s="1"/>
      <c r="G153" s="23"/>
      <c r="H153" s="23"/>
      <c r="I153" s="23"/>
      <c r="J153" s="2"/>
      <c r="M153" s="24"/>
    </row>
    <row r="154">
      <c r="A154" s="11"/>
      <c r="B154" s="23"/>
      <c r="C154" s="23"/>
      <c r="D154" s="23"/>
      <c r="E154" s="23"/>
      <c r="F154" s="1"/>
      <c r="G154" s="23"/>
      <c r="H154" s="23"/>
      <c r="I154" s="23"/>
      <c r="J154" s="2"/>
      <c r="M154" s="24"/>
    </row>
    <row r="155">
      <c r="A155" s="11"/>
      <c r="B155" s="23"/>
      <c r="C155" s="23"/>
      <c r="D155" s="23"/>
      <c r="E155" s="23"/>
      <c r="F155" s="1"/>
      <c r="G155" s="23"/>
      <c r="H155" s="23"/>
      <c r="I155" s="23"/>
      <c r="J155" s="2"/>
      <c r="M155" s="24"/>
    </row>
    <row r="156">
      <c r="A156" s="11"/>
      <c r="B156" s="23"/>
      <c r="C156" s="23"/>
      <c r="D156" s="23"/>
      <c r="E156" s="23"/>
      <c r="F156" s="1"/>
      <c r="G156" s="23"/>
      <c r="H156" s="23"/>
      <c r="I156" s="23"/>
      <c r="J156" s="2"/>
      <c r="M156" s="24"/>
    </row>
    <row r="157">
      <c r="A157" s="11"/>
      <c r="B157" s="23"/>
      <c r="C157" s="23"/>
      <c r="D157" s="23"/>
      <c r="E157" s="23"/>
      <c r="F157" s="1"/>
      <c r="G157" s="23"/>
      <c r="H157" s="23"/>
      <c r="I157" s="23"/>
      <c r="J157" s="2"/>
      <c r="M157" s="24"/>
    </row>
    <row r="158">
      <c r="A158" s="11"/>
      <c r="B158" s="23"/>
      <c r="C158" s="23"/>
      <c r="D158" s="23"/>
      <c r="E158" s="23"/>
      <c r="F158" s="1"/>
      <c r="G158" s="23"/>
      <c r="H158" s="23"/>
      <c r="I158" s="23"/>
      <c r="J158" s="2"/>
      <c r="M158" s="24"/>
    </row>
    <row r="159">
      <c r="A159" s="11"/>
      <c r="B159" s="23"/>
      <c r="C159" s="23"/>
      <c r="D159" s="23"/>
      <c r="E159" s="23"/>
      <c r="F159" s="1"/>
      <c r="G159" s="23"/>
      <c r="H159" s="23"/>
      <c r="I159" s="23"/>
      <c r="J159" s="2"/>
      <c r="M159" s="24"/>
    </row>
    <row r="160">
      <c r="A160" s="11"/>
      <c r="B160" s="23"/>
      <c r="C160" s="23"/>
      <c r="D160" s="23"/>
      <c r="E160" s="23"/>
      <c r="F160" s="1"/>
      <c r="G160" s="23"/>
      <c r="H160" s="23"/>
      <c r="I160" s="23"/>
      <c r="J160" s="2"/>
      <c r="M160" s="24"/>
    </row>
    <row r="161">
      <c r="A161" s="11"/>
      <c r="B161" s="23"/>
      <c r="C161" s="23"/>
      <c r="D161" s="23"/>
      <c r="E161" s="23"/>
      <c r="F161" s="1"/>
      <c r="G161" s="23"/>
      <c r="H161" s="23"/>
      <c r="I161" s="23"/>
      <c r="J161" s="2"/>
      <c r="M161" s="24"/>
    </row>
    <row r="162">
      <c r="A162" s="11"/>
      <c r="B162" s="23"/>
      <c r="C162" s="23"/>
      <c r="D162" s="23"/>
      <c r="E162" s="23"/>
      <c r="F162" s="1"/>
      <c r="G162" s="23"/>
      <c r="H162" s="23"/>
      <c r="I162" s="23"/>
      <c r="J162" s="2"/>
      <c r="M162" s="24"/>
    </row>
    <row r="163">
      <c r="A163" s="11"/>
      <c r="B163" s="23"/>
      <c r="C163" s="23"/>
      <c r="D163" s="23"/>
      <c r="E163" s="23"/>
      <c r="F163" s="1"/>
      <c r="G163" s="23"/>
      <c r="H163" s="23"/>
      <c r="I163" s="23"/>
      <c r="J163" s="2"/>
      <c r="M163" s="24"/>
    </row>
    <row r="164">
      <c r="A164" s="11"/>
      <c r="B164" s="23"/>
      <c r="C164" s="23"/>
      <c r="D164" s="23"/>
      <c r="E164" s="23"/>
      <c r="F164" s="1"/>
      <c r="G164" s="23"/>
      <c r="H164" s="23"/>
      <c r="I164" s="23"/>
      <c r="J164" s="2"/>
      <c r="M164" s="24"/>
    </row>
    <row r="165">
      <c r="A165" s="11"/>
      <c r="B165" s="23"/>
      <c r="C165" s="23"/>
      <c r="D165" s="23"/>
      <c r="E165" s="23"/>
      <c r="F165" s="1"/>
      <c r="G165" s="23"/>
      <c r="H165" s="23"/>
      <c r="I165" s="23"/>
      <c r="J165" s="2"/>
      <c r="M165" s="24"/>
    </row>
    <row r="166">
      <c r="A166" s="11"/>
      <c r="B166" s="23"/>
      <c r="C166" s="23"/>
      <c r="D166" s="23"/>
      <c r="E166" s="23"/>
      <c r="F166" s="1"/>
      <c r="G166" s="23"/>
      <c r="H166" s="23"/>
      <c r="I166" s="23"/>
      <c r="J166" s="2"/>
      <c r="M166" s="24"/>
    </row>
    <row r="167">
      <c r="A167" s="11"/>
      <c r="B167" s="23"/>
      <c r="C167" s="23"/>
      <c r="D167" s="23"/>
      <c r="E167" s="23"/>
      <c r="F167" s="1"/>
      <c r="G167" s="23"/>
      <c r="H167" s="23"/>
      <c r="I167" s="23"/>
      <c r="J167" s="2"/>
      <c r="M167" s="24"/>
    </row>
    <row r="168">
      <c r="A168" s="11"/>
      <c r="B168" s="23"/>
      <c r="C168" s="23"/>
      <c r="D168" s="23"/>
      <c r="E168" s="23"/>
      <c r="F168" s="1"/>
      <c r="G168" s="23"/>
      <c r="H168" s="23"/>
      <c r="I168" s="23"/>
      <c r="J168" s="2"/>
      <c r="M168" s="24"/>
    </row>
    <row r="169">
      <c r="A169" s="11"/>
      <c r="B169" s="23"/>
      <c r="C169" s="23"/>
      <c r="D169" s="23"/>
      <c r="E169" s="23"/>
      <c r="F169" s="1"/>
      <c r="G169" s="23"/>
      <c r="H169" s="23"/>
      <c r="I169" s="23"/>
      <c r="J169" s="2"/>
      <c r="M169" s="24"/>
    </row>
    <row r="170">
      <c r="A170" s="11"/>
      <c r="B170" s="23"/>
      <c r="C170" s="23"/>
      <c r="D170" s="23"/>
      <c r="E170" s="23"/>
      <c r="F170" s="1"/>
      <c r="G170" s="23"/>
      <c r="H170" s="23"/>
      <c r="I170" s="23"/>
      <c r="J170" s="2"/>
      <c r="M170" s="24"/>
    </row>
    <row r="171">
      <c r="A171" s="11"/>
      <c r="B171" s="23"/>
      <c r="C171" s="23"/>
      <c r="D171" s="23"/>
      <c r="E171" s="23"/>
      <c r="F171" s="1"/>
      <c r="G171" s="23"/>
      <c r="H171" s="23"/>
      <c r="I171" s="23"/>
      <c r="J171" s="2"/>
      <c r="M171" s="24"/>
    </row>
    <row r="172">
      <c r="A172" s="11"/>
      <c r="B172" s="23"/>
      <c r="C172" s="23"/>
      <c r="D172" s="23"/>
      <c r="E172" s="23"/>
      <c r="F172" s="1"/>
      <c r="G172" s="23"/>
      <c r="H172" s="23"/>
      <c r="I172" s="23"/>
      <c r="J172" s="2"/>
      <c r="M172" s="24"/>
    </row>
    <row r="173">
      <c r="A173" s="11"/>
      <c r="B173" s="23"/>
      <c r="C173" s="23"/>
      <c r="D173" s="23"/>
      <c r="E173" s="23"/>
      <c r="F173" s="1"/>
      <c r="G173" s="23"/>
      <c r="H173" s="23"/>
      <c r="I173" s="23"/>
      <c r="J173" s="2"/>
      <c r="M173" s="24"/>
    </row>
    <row r="174">
      <c r="A174" s="11"/>
      <c r="B174" s="23"/>
      <c r="C174" s="23"/>
      <c r="D174" s="23"/>
      <c r="E174" s="23"/>
      <c r="F174" s="1"/>
      <c r="G174" s="23"/>
      <c r="H174" s="23"/>
      <c r="I174" s="23"/>
      <c r="J174" s="2"/>
      <c r="M174" s="24"/>
    </row>
    <row r="175">
      <c r="A175" s="11"/>
      <c r="B175" s="23"/>
      <c r="C175" s="23"/>
      <c r="D175" s="23"/>
      <c r="E175" s="23"/>
      <c r="F175" s="1"/>
      <c r="G175" s="23"/>
      <c r="H175" s="23"/>
      <c r="I175" s="23"/>
      <c r="J175" s="2"/>
      <c r="M175" s="24"/>
    </row>
    <row r="176">
      <c r="A176" s="11"/>
      <c r="B176" s="23"/>
      <c r="C176" s="23"/>
      <c r="D176" s="23"/>
      <c r="E176" s="23"/>
      <c r="F176" s="1"/>
      <c r="G176" s="23"/>
      <c r="H176" s="23"/>
      <c r="I176" s="23"/>
      <c r="J176" s="2"/>
      <c r="M176" s="24"/>
    </row>
    <row r="177">
      <c r="A177" s="11"/>
      <c r="B177" s="23"/>
      <c r="C177" s="23"/>
      <c r="D177" s="23"/>
      <c r="E177" s="23"/>
      <c r="F177" s="1"/>
      <c r="G177" s="23"/>
      <c r="H177" s="23"/>
      <c r="I177" s="23"/>
      <c r="J177" s="2"/>
      <c r="M177" s="24"/>
    </row>
    <row r="178">
      <c r="A178" s="11"/>
      <c r="B178" s="23"/>
      <c r="C178" s="23"/>
      <c r="D178" s="23"/>
      <c r="E178" s="23"/>
      <c r="F178" s="1"/>
      <c r="G178" s="23"/>
      <c r="H178" s="23"/>
      <c r="I178" s="23"/>
      <c r="J178" s="2"/>
      <c r="M178" s="24"/>
    </row>
    <row r="179">
      <c r="A179" s="11"/>
      <c r="B179" s="23"/>
      <c r="C179" s="23"/>
      <c r="D179" s="23"/>
      <c r="E179" s="23"/>
      <c r="F179" s="1"/>
      <c r="G179" s="23"/>
      <c r="H179" s="23"/>
      <c r="I179" s="23"/>
      <c r="J179" s="2"/>
      <c r="M179" s="24"/>
    </row>
    <row r="180">
      <c r="A180" s="11"/>
      <c r="B180" s="23"/>
      <c r="C180" s="23"/>
      <c r="D180" s="23"/>
      <c r="E180" s="23"/>
      <c r="F180" s="1"/>
      <c r="G180" s="23"/>
      <c r="H180" s="23"/>
      <c r="I180" s="23"/>
      <c r="J180" s="2"/>
      <c r="M180" s="24"/>
    </row>
    <row r="181">
      <c r="A181" s="11"/>
      <c r="B181" s="23"/>
      <c r="C181" s="23"/>
      <c r="D181" s="23"/>
      <c r="E181" s="23"/>
      <c r="F181" s="1"/>
      <c r="G181" s="23"/>
      <c r="H181" s="23"/>
      <c r="I181" s="23"/>
      <c r="J181" s="2"/>
      <c r="M181" s="24"/>
    </row>
    <row r="182">
      <c r="A182" s="11"/>
      <c r="B182" s="23"/>
      <c r="C182" s="23"/>
      <c r="D182" s="23"/>
      <c r="E182" s="23"/>
      <c r="F182" s="1"/>
      <c r="G182" s="23"/>
      <c r="H182" s="23"/>
      <c r="I182" s="23"/>
      <c r="J182" s="2"/>
      <c r="M182" s="24"/>
    </row>
    <row r="183">
      <c r="A183" s="11"/>
      <c r="B183" s="23"/>
      <c r="C183" s="23"/>
      <c r="D183" s="23"/>
      <c r="E183" s="23"/>
      <c r="F183" s="1"/>
      <c r="G183" s="23"/>
      <c r="H183" s="23"/>
      <c r="I183" s="23"/>
      <c r="J183" s="2"/>
      <c r="M183" s="24"/>
    </row>
    <row r="184">
      <c r="A184" s="11"/>
      <c r="B184" s="23"/>
      <c r="C184" s="23"/>
      <c r="D184" s="23"/>
      <c r="E184" s="23"/>
      <c r="F184" s="1"/>
      <c r="G184" s="23"/>
      <c r="H184" s="23"/>
      <c r="I184" s="23"/>
      <c r="J184" s="2"/>
      <c r="M184" s="24"/>
    </row>
    <row r="185">
      <c r="A185" s="11"/>
      <c r="B185" s="23"/>
      <c r="C185" s="23"/>
      <c r="D185" s="23"/>
      <c r="E185" s="23"/>
      <c r="F185" s="1"/>
      <c r="G185" s="23"/>
      <c r="H185" s="23"/>
      <c r="I185" s="23"/>
      <c r="J185" s="2"/>
      <c r="M185" s="24"/>
    </row>
    <row r="186">
      <c r="A186" s="11"/>
      <c r="B186" s="23"/>
      <c r="C186" s="23"/>
      <c r="D186" s="23"/>
      <c r="E186" s="23"/>
      <c r="F186" s="1"/>
      <c r="G186" s="23"/>
      <c r="H186" s="23"/>
      <c r="I186" s="23"/>
      <c r="J186" s="2"/>
      <c r="M186" s="24"/>
    </row>
    <row r="187">
      <c r="A187" s="11"/>
      <c r="B187" s="23"/>
      <c r="C187" s="23"/>
      <c r="D187" s="23"/>
      <c r="E187" s="23"/>
      <c r="F187" s="1"/>
      <c r="G187" s="23"/>
      <c r="H187" s="23"/>
      <c r="I187" s="23"/>
      <c r="J187" s="2"/>
      <c r="M187" s="24"/>
    </row>
    <row r="188">
      <c r="A188" s="11"/>
      <c r="B188" s="23"/>
      <c r="C188" s="23"/>
      <c r="D188" s="23"/>
      <c r="E188" s="23"/>
      <c r="F188" s="1"/>
      <c r="G188" s="23"/>
      <c r="H188" s="23"/>
      <c r="I188" s="23"/>
      <c r="J188" s="2"/>
      <c r="M188" s="24"/>
    </row>
    <row r="189">
      <c r="A189" s="11"/>
      <c r="B189" s="23"/>
      <c r="C189" s="23"/>
      <c r="D189" s="23"/>
      <c r="E189" s="23"/>
      <c r="F189" s="1"/>
      <c r="G189" s="23"/>
      <c r="H189" s="23"/>
      <c r="I189" s="23"/>
      <c r="J189" s="2"/>
      <c r="M189" s="24"/>
    </row>
    <row r="190">
      <c r="A190" s="11"/>
      <c r="B190" s="23"/>
      <c r="C190" s="23"/>
      <c r="D190" s="23"/>
      <c r="E190" s="23"/>
      <c r="F190" s="1"/>
      <c r="G190" s="23"/>
      <c r="H190" s="23"/>
      <c r="I190" s="23"/>
      <c r="J190" s="2"/>
      <c r="M190" s="24"/>
    </row>
    <row r="191">
      <c r="A191" s="11"/>
      <c r="B191" s="23"/>
      <c r="C191" s="23"/>
      <c r="D191" s="23"/>
      <c r="E191" s="23"/>
      <c r="F191" s="1"/>
      <c r="G191" s="23"/>
      <c r="H191" s="23"/>
      <c r="I191" s="23"/>
      <c r="J191" s="2"/>
      <c r="M191" s="24"/>
    </row>
    <row r="192">
      <c r="A192" s="11"/>
      <c r="B192" s="23"/>
      <c r="C192" s="23"/>
      <c r="D192" s="23"/>
      <c r="E192" s="23"/>
      <c r="F192" s="1"/>
      <c r="G192" s="23"/>
      <c r="H192" s="23"/>
      <c r="I192" s="23"/>
      <c r="J192" s="2"/>
      <c r="M192" s="24"/>
    </row>
    <row r="193">
      <c r="A193" s="11"/>
      <c r="B193" s="23"/>
      <c r="C193" s="23"/>
      <c r="D193" s="23"/>
      <c r="E193" s="23"/>
      <c r="F193" s="1"/>
      <c r="G193" s="23"/>
      <c r="H193" s="23"/>
      <c r="I193" s="23"/>
      <c r="J193" s="2"/>
      <c r="M193" s="24"/>
    </row>
    <row r="194">
      <c r="A194" s="11"/>
      <c r="B194" s="23"/>
      <c r="C194" s="23"/>
      <c r="D194" s="23"/>
      <c r="E194" s="23"/>
      <c r="F194" s="1"/>
      <c r="G194" s="23"/>
      <c r="H194" s="23"/>
      <c r="I194" s="23"/>
      <c r="J194" s="2"/>
      <c r="M194" s="24"/>
    </row>
    <row r="195">
      <c r="A195" s="11"/>
      <c r="B195" s="23"/>
      <c r="C195" s="23"/>
      <c r="D195" s="23"/>
      <c r="E195" s="23"/>
      <c r="F195" s="1"/>
      <c r="G195" s="23"/>
      <c r="H195" s="23"/>
      <c r="I195" s="23"/>
      <c r="J195" s="2"/>
      <c r="M195" s="24"/>
    </row>
    <row r="196">
      <c r="A196" s="11"/>
      <c r="B196" s="23"/>
      <c r="C196" s="23"/>
      <c r="D196" s="23"/>
      <c r="E196" s="23"/>
      <c r="F196" s="1"/>
      <c r="G196" s="23"/>
      <c r="H196" s="23"/>
      <c r="I196" s="23"/>
      <c r="J196" s="2"/>
      <c r="M196" s="24"/>
    </row>
    <row r="197">
      <c r="A197" s="11"/>
      <c r="B197" s="23"/>
      <c r="C197" s="23"/>
      <c r="D197" s="23"/>
      <c r="E197" s="23"/>
      <c r="F197" s="1"/>
      <c r="G197" s="23"/>
      <c r="H197" s="23"/>
      <c r="I197" s="23"/>
      <c r="J197" s="2"/>
      <c r="M197" s="24"/>
    </row>
    <row r="198">
      <c r="A198" s="11"/>
      <c r="B198" s="23"/>
      <c r="C198" s="23"/>
      <c r="D198" s="23"/>
      <c r="E198" s="23"/>
      <c r="F198" s="1"/>
      <c r="G198" s="23"/>
      <c r="H198" s="23"/>
      <c r="I198" s="23"/>
      <c r="J198" s="2"/>
      <c r="M198" s="24"/>
    </row>
    <row r="199">
      <c r="A199" s="11"/>
      <c r="B199" s="23"/>
      <c r="C199" s="23"/>
      <c r="D199" s="23"/>
      <c r="E199" s="23"/>
      <c r="F199" s="1"/>
      <c r="G199" s="23"/>
      <c r="H199" s="23"/>
      <c r="I199" s="23"/>
      <c r="J199" s="2"/>
      <c r="M199" s="24"/>
    </row>
    <row r="200">
      <c r="A200" s="11"/>
      <c r="B200" s="23"/>
      <c r="C200" s="23"/>
      <c r="D200" s="23"/>
      <c r="E200" s="23"/>
      <c r="F200" s="1"/>
      <c r="G200" s="23"/>
      <c r="H200" s="23"/>
      <c r="I200" s="23"/>
      <c r="J200" s="2"/>
      <c r="M200" s="24"/>
    </row>
    <row r="201">
      <c r="A201" s="11"/>
      <c r="B201" s="23"/>
      <c r="C201" s="23"/>
      <c r="D201" s="23"/>
      <c r="E201" s="23"/>
      <c r="F201" s="1"/>
      <c r="G201" s="23"/>
      <c r="H201" s="23"/>
      <c r="I201" s="23"/>
      <c r="J201" s="2"/>
      <c r="M201" s="24"/>
    </row>
    <row r="202">
      <c r="A202" s="11"/>
      <c r="B202" s="23"/>
      <c r="C202" s="23"/>
      <c r="D202" s="23"/>
      <c r="E202" s="23"/>
      <c r="F202" s="1"/>
      <c r="G202" s="23"/>
      <c r="H202" s="23"/>
      <c r="I202" s="23"/>
      <c r="J202" s="2"/>
      <c r="M202" s="24"/>
    </row>
    <row r="203">
      <c r="A203" s="11"/>
      <c r="B203" s="23"/>
      <c r="C203" s="23"/>
      <c r="D203" s="23"/>
      <c r="E203" s="23"/>
      <c r="F203" s="1"/>
      <c r="G203" s="23"/>
      <c r="H203" s="23"/>
      <c r="I203" s="23"/>
      <c r="J203" s="2"/>
      <c r="M203" s="24"/>
    </row>
    <row r="204">
      <c r="A204" s="11"/>
      <c r="B204" s="23"/>
      <c r="C204" s="23"/>
      <c r="D204" s="23"/>
      <c r="E204" s="23"/>
      <c r="F204" s="1"/>
      <c r="G204" s="23"/>
      <c r="H204" s="23"/>
      <c r="I204" s="23"/>
      <c r="J204" s="2"/>
      <c r="M204" s="24"/>
    </row>
    <row r="205">
      <c r="A205" s="11"/>
      <c r="B205" s="23"/>
      <c r="C205" s="23"/>
      <c r="D205" s="23"/>
      <c r="E205" s="23"/>
      <c r="F205" s="1"/>
      <c r="G205" s="23"/>
      <c r="H205" s="23"/>
      <c r="I205" s="23"/>
      <c r="J205" s="2"/>
      <c r="M205" s="24"/>
    </row>
    <row r="206">
      <c r="A206" s="11"/>
      <c r="B206" s="23"/>
      <c r="C206" s="23"/>
      <c r="D206" s="23"/>
      <c r="E206" s="23"/>
      <c r="F206" s="1"/>
      <c r="G206" s="23"/>
      <c r="H206" s="23"/>
      <c r="I206" s="23"/>
      <c r="J206" s="2"/>
      <c r="M206" s="24"/>
    </row>
    <row r="207">
      <c r="A207" s="11"/>
      <c r="B207" s="23"/>
      <c r="C207" s="23"/>
      <c r="D207" s="23"/>
      <c r="E207" s="23"/>
      <c r="F207" s="1"/>
      <c r="G207" s="23"/>
      <c r="H207" s="23"/>
      <c r="I207" s="23"/>
      <c r="J207" s="2"/>
      <c r="M207" s="24"/>
    </row>
    <row r="208">
      <c r="A208" s="11"/>
      <c r="B208" s="23"/>
      <c r="C208" s="23"/>
      <c r="D208" s="23"/>
      <c r="E208" s="23"/>
      <c r="F208" s="1"/>
      <c r="G208" s="23"/>
      <c r="H208" s="23"/>
      <c r="I208" s="23"/>
      <c r="J208" s="2"/>
      <c r="M208" s="24"/>
    </row>
    <row r="209">
      <c r="A209" s="11"/>
      <c r="B209" s="23"/>
      <c r="C209" s="23"/>
      <c r="D209" s="23"/>
      <c r="E209" s="23"/>
      <c r="F209" s="1"/>
      <c r="G209" s="23"/>
      <c r="H209" s="23"/>
      <c r="I209" s="23"/>
      <c r="J209" s="2"/>
      <c r="M209" s="24"/>
    </row>
    <row r="210">
      <c r="A210" s="11"/>
      <c r="B210" s="23"/>
      <c r="C210" s="23"/>
      <c r="D210" s="23"/>
      <c r="E210" s="23"/>
      <c r="F210" s="1"/>
      <c r="G210" s="23"/>
      <c r="H210" s="23"/>
      <c r="I210" s="23"/>
      <c r="J210" s="2"/>
      <c r="M210" s="24"/>
    </row>
    <row r="211">
      <c r="A211" s="11"/>
      <c r="B211" s="23"/>
      <c r="C211" s="23"/>
      <c r="D211" s="23"/>
      <c r="E211" s="23"/>
      <c r="F211" s="1"/>
      <c r="G211" s="23"/>
      <c r="H211" s="23"/>
      <c r="I211" s="23"/>
      <c r="J211" s="2"/>
      <c r="M211" s="24"/>
    </row>
    <row r="212">
      <c r="A212" s="11"/>
      <c r="B212" s="23"/>
      <c r="C212" s="23"/>
      <c r="D212" s="23"/>
      <c r="E212" s="23"/>
      <c r="F212" s="1"/>
      <c r="G212" s="23"/>
      <c r="H212" s="23"/>
      <c r="I212" s="23"/>
      <c r="J212" s="2"/>
      <c r="M212" s="24"/>
    </row>
    <row r="213">
      <c r="A213" s="11"/>
      <c r="B213" s="23"/>
      <c r="C213" s="23"/>
      <c r="D213" s="23"/>
      <c r="E213" s="23"/>
      <c r="F213" s="1"/>
      <c r="G213" s="23"/>
      <c r="H213" s="23"/>
      <c r="I213" s="23"/>
      <c r="J213" s="2"/>
      <c r="M213" s="24"/>
    </row>
    <row r="214">
      <c r="A214" s="11"/>
      <c r="B214" s="23"/>
      <c r="C214" s="23"/>
      <c r="D214" s="23"/>
      <c r="E214" s="23"/>
      <c r="F214" s="1"/>
      <c r="G214" s="23"/>
      <c r="H214" s="23"/>
      <c r="I214" s="23"/>
      <c r="J214" s="2"/>
      <c r="M214" s="24"/>
    </row>
    <row r="215">
      <c r="A215" s="11"/>
      <c r="B215" s="23"/>
      <c r="C215" s="23"/>
      <c r="D215" s="23"/>
      <c r="E215" s="23"/>
      <c r="F215" s="1"/>
      <c r="G215" s="23"/>
      <c r="H215" s="23"/>
      <c r="I215" s="23"/>
      <c r="J215" s="2"/>
      <c r="M215" s="24"/>
    </row>
    <row r="216">
      <c r="A216" s="11"/>
      <c r="B216" s="23"/>
      <c r="C216" s="23"/>
      <c r="D216" s="23"/>
      <c r="E216" s="23"/>
      <c r="F216" s="1"/>
      <c r="G216" s="23"/>
      <c r="H216" s="23"/>
      <c r="I216" s="23"/>
      <c r="J216" s="2"/>
      <c r="M216" s="24"/>
    </row>
    <row r="217">
      <c r="A217" s="11"/>
      <c r="B217" s="23"/>
      <c r="C217" s="23"/>
      <c r="D217" s="23"/>
      <c r="E217" s="23"/>
      <c r="F217" s="1"/>
      <c r="G217" s="23"/>
      <c r="H217" s="23"/>
      <c r="I217" s="23"/>
      <c r="J217" s="2"/>
      <c r="M217" s="24"/>
    </row>
    <row r="218">
      <c r="A218" s="11"/>
      <c r="B218" s="23"/>
      <c r="C218" s="23"/>
      <c r="D218" s="23"/>
      <c r="E218" s="23"/>
      <c r="F218" s="1"/>
      <c r="G218" s="23"/>
      <c r="H218" s="23"/>
      <c r="I218" s="23"/>
      <c r="J218" s="2"/>
      <c r="M218" s="24"/>
    </row>
    <row r="219">
      <c r="A219" s="11"/>
      <c r="B219" s="23"/>
      <c r="C219" s="23"/>
      <c r="D219" s="23"/>
      <c r="E219" s="23"/>
      <c r="F219" s="1"/>
      <c r="G219" s="23"/>
      <c r="H219" s="23"/>
      <c r="I219" s="23"/>
      <c r="J219" s="2"/>
      <c r="M219" s="24"/>
    </row>
    <row r="220">
      <c r="A220" s="11"/>
      <c r="B220" s="23"/>
      <c r="C220" s="23"/>
      <c r="D220" s="23"/>
      <c r="E220" s="23"/>
      <c r="F220" s="1"/>
      <c r="G220" s="23"/>
      <c r="H220" s="23"/>
      <c r="I220" s="23"/>
      <c r="J220" s="2"/>
      <c r="M220" s="24"/>
    </row>
    <row r="221">
      <c r="A221" s="11"/>
      <c r="B221" s="23"/>
      <c r="C221" s="23"/>
      <c r="D221" s="23"/>
      <c r="E221" s="23"/>
      <c r="F221" s="1"/>
      <c r="G221" s="23"/>
      <c r="H221" s="23"/>
      <c r="I221" s="23"/>
      <c r="J221" s="2"/>
      <c r="M221" s="24"/>
    </row>
    <row r="222">
      <c r="A222" s="11"/>
      <c r="B222" s="23"/>
      <c r="C222" s="23"/>
      <c r="D222" s="23"/>
      <c r="E222" s="23"/>
      <c r="F222" s="1"/>
      <c r="G222" s="23"/>
      <c r="H222" s="23"/>
      <c r="I222" s="23"/>
      <c r="J222" s="2"/>
      <c r="M222" s="24"/>
    </row>
    <row r="223">
      <c r="A223" s="11"/>
      <c r="B223" s="23"/>
      <c r="C223" s="23"/>
      <c r="D223" s="23"/>
      <c r="E223" s="23"/>
      <c r="F223" s="1"/>
      <c r="G223" s="23"/>
      <c r="H223" s="23"/>
      <c r="I223" s="23"/>
      <c r="J223" s="2"/>
      <c r="M223" s="24"/>
    </row>
    <row r="224">
      <c r="A224" s="11"/>
      <c r="B224" s="23"/>
      <c r="C224" s="23"/>
      <c r="D224" s="23"/>
      <c r="E224" s="23"/>
      <c r="F224" s="1"/>
      <c r="G224" s="23"/>
      <c r="H224" s="23"/>
      <c r="I224" s="23"/>
      <c r="J224" s="2"/>
      <c r="M224" s="24"/>
    </row>
    <row r="225">
      <c r="A225" s="11"/>
      <c r="B225" s="23"/>
      <c r="C225" s="23"/>
      <c r="D225" s="23"/>
      <c r="E225" s="23"/>
      <c r="F225" s="1"/>
      <c r="G225" s="23"/>
      <c r="H225" s="23"/>
      <c r="I225" s="23"/>
      <c r="J225" s="2"/>
      <c r="M225" s="24"/>
    </row>
    <row r="226">
      <c r="A226" s="11"/>
      <c r="B226" s="23"/>
      <c r="C226" s="23"/>
      <c r="D226" s="23"/>
      <c r="E226" s="23"/>
      <c r="F226" s="1"/>
      <c r="G226" s="23"/>
      <c r="H226" s="23"/>
      <c r="I226" s="23"/>
      <c r="J226" s="2"/>
      <c r="M226" s="24"/>
    </row>
    <row r="227">
      <c r="A227" s="11"/>
      <c r="B227" s="23"/>
      <c r="C227" s="23"/>
      <c r="D227" s="23"/>
      <c r="E227" s="23"/>
      <c r="F227" s="1"/>
      <c r="G227" s="23"/>
      <c r="H227" s="23"/>
      <c r="I227" s="23"/>
      <c r="J227" s="2"/>
      <c r="M227" s="24"/>
    </row>
    <row r="228">
      <c r="A228" s="11"/>
      <c r="B228" s="23"/>
      <c r="C228" s="23"/>
      <c r="D228" s="23"/>
      <c r="E228" s="23"/>
      <c r="F228" s="1"/>
      <c r="G228" s="23"/>
      <c r="H228" s="23"/>
      <c r="I228" s="23"/>
      <c r="J228" s="2"/>
      <c r="M228" s="24"/>
    </row>
    <row r="229">
      <c r="A229" s="11"/>
      <c r="B229" s="23"/>
      <c r="C229" s="23"/>
      <c r="D229" s="23"/>
      <c r="E229" s="23"/>
      <c r="F229" s="1"/>
      <c r="G229" s="23"/>
      <c r="H229" s="23"/>
      <c r="I229" s="23"/>
      <c r="J229" s="2"/>
      <c r="M229" s="24"/>
    </row>
    <row r="230">
      <c r="A230" s="11"/>
      <c r="B230" s="23"/>
      <c r="C230" s="23"/>
      <c r="D230" s="23"/>
      <c r="E230" s="23"/>
      <c r="F230" s="1"/>
      <c r="G230" s="23"/>
      <c r="H230" s="23"/>
      <c r="I230" s="23"/>
      <c r="J230" s="2"/>
      <c r="M230" s="24"/>
    </row>
    <row r="231">
      <c r="A231" s="11"/>
      <c r="B231" s="23"/>
      <c r="C231" s="23"/>
      <c r="D231" s="23"/>
      <c r="E231" s="23"/>
      <c r="F231" s="1"/>
      <c r="G231" s="23"/>
      <c r="H231" s="23"/>
      <c r="I231" s="23"/>
      <c r="J231" s="2"/>
      <c r="M231" s="24"/>
    </row>
    <row r="232">
      <c r="A232" s="11"/>
      <c r="B232" s="23"/>
      <c r="C232" s="23"/>
      <c r="D232" s="23"/>
      <c r="E232" s="23"/>
      <c r="F232" s="1"/>
      <c r="G232" s="23"/>
      <c r="H232" s="23"/>
      <c r="I232" s="23"/>
      <c r="J232" s="2"/>
      <c r="M232" s="24"/>
    </row>
    <row r="233">
      <c r="A233" s="11"/>
      <c r="B233" s="23"/>
      <c r="C233" s="23"/>
      <c r="D233" s="23"/>
      <c r="E233" s="23"/>
      <c r="F233" s="1"/>
      <c r="G233" s="23"/>
      <c r="H233" s="23"/>
      <c r="I233" s="23"/>
      <c r="J233" s="2"/>
      <c r="M233" s="24"/>
    </row>
    <row r="234">
      <c r="A234" s="11"/>
      <c r="B234" s="23"/>
      <c r="C234" s="23"/>
      <c r="D234" s="23"/>
      <c r="E234" s="23"/>
      <c r="F234" s="1"/>
      <c r="G234" s="23"/>
      <c r="H234" s="23"/>
      <c r="I234" s="23"/>
      <c r="J234" s="2"/>
      <c r="M234" s="24"/>
    </row>
    <row r="235">
      <c r="A235" s="11"/>
      <c r="B235" s="23"/>
      <c r="C235" s="23"/>
      <c r="D235" s="23"/>
      <c r="E235" s="23"/>
      <c r="F235" s="1"/>
      <c r="G235" s="23"/>
      <c r="H235" s="23"/>
      <c r="I235" s="23"/>
      <c r="J235" s="2"/>
      <c r="M235" s="24"/>
    </row>
    <row r="236">
      <c r="A236" s="11"/>
      <c r="B236" s="23"/>
      <c r="C236" s="23"/>
      <c r="D236" s="23"/>
      <c r="E236" s="23"/>
      <c r="F236" s="1"/>
      <c r="G236" s="23"/>
      <c r="H236" s="23"/>
      <c r="I236" s="23"/>
      <c r="J236" s="2"/>
      <c r="M236" s="24"/>
    </row>
    <row r="237">
      <c r="A237" s="11"/>
      <c r="B237" s="23"/>
      <c r="C237" s="23"/>
      <c r="D237" s="23"/>
      <c r="E237" s="23"/>
      <c r="F237" s="1"/>
      <c r="G237" s="23"/>
      <c r="H237" s="23"/>
      <c r="I237" s="23"/>
      <c r="J237" s="2"/>
      <c r="M237" s="24"/>
    </row>
    <row r="238">
      <c r="A238" s="11"/>
      <c r="B238" s="23"/>
      <c r="C238" s="23"/>
      <c r="D238" s="23"/>
      <c r="E238" s="23"/>
      <c r="F238" s="1"/>
      <c r="G238" s="23"/>
      <c r="H238" s="23"/>
      <c r="I238" s="23"/>
      <c r="J238" s="2"/>
      <c r="M238" s="24"/>
    </row>
    <row r="239">
      <c r="A239" s="11"/>
      <c r="B239" s="23"/>
      <c r="C239" s="23"/>
      <c r="D239" s="23"/>
      <c r="E239" s="23"/>
      <c r="F239" s="1"/>
      <c r="G239" s="23"/>
      <c r="H239" s="23"/>
      <c r="I239" s="23"/>
      <c r="J239" s="2"/>
      <c r="M239" s="24"/>
    </row>
    <row r="240">
      <c r="A240" s="11"/>
      <c r="B240" s="23"/>
      <c r="C240" s="23"/>
      <c r="D240" s="23"/>
      <c r="E240" s="23"/>
      <c r="F240" s="1"/>
      <c r="G240" s="23"/>
      <c r="H240" s="23"/>
      <c r="I240" s="23"/>
      <c r="J240" s="2"/>
      <c r="M240" s="24"/>
    </row>
    <row r="241">
      <c r="A241" s="11"/>
      <c r="B241" s="23"/>
      <c r="C241" s="23"/>
      <c r="D241" s="23"/>
      <c r="E241" s="23"/>
      <c r="F241" s="1"/>
      <c r="G241" s="23"/>
      <c r="H241" s="23"/>
      <c r="I241" s="23"/>
      <c r="J241" s="2"/>
      <c r="M241" s="24"/>
    </row>
    <row r="242">
      <c r="A242" s="11"/>
      <c r="B242" s="23"/>
      <c r="C242" s="23"/>
      <c r="D242" s="23"/>
      <c r="E242" s="23"/>
      <c r="F242" s="1"/>
      <c r="G242" s="23"/>
      <c r="H242" s="23"/>
      <c r="I242" s="23"/>
      <c r="J242" s="2"/>
      <c r="M242" s="24"/>
    </row>
    <row r="243">
      <c r="A243" s="11"/>
      <c r="B243" s="23"/>
      <c r="C243" s="23"/>
      <c r="D243" s="23"/>
      <c r="E243" s="23"/>
      <c r="F243" s="1"/>
      <c r="G243" s="23"/>
      <c r="H243" s="23"/>
      <c r="I243" s="23"/>
      <c r="J243" s="2"/>
      <c r="M243" s="24"/>
    </row>
    <row r="244">
      <c r="A244" s="11"/>
      <c r="B244" s="23"/>
      <c r="C244" s="23"/>
      <c r="D244" s="23"/>
      <c r="E244" s="23"/>
      <c r="F244" s="1"/>
      <c r="G244" s="23"/>
      <c r="H244" s="23"/>
      <c r="I244" s="23"/>
      <c r="J244" s="2"/>
      <c r="M244" s="24"/>
    </row>
    <row r="245">
      <c r="A245" s="11"/>
      <c r="B245" s="23"/>
      <c r="C245" s="23"/>
      <c r="D245" s="23"/>
      <c r="E245" s="23"/>
      <c r="F245" s="1"/>
      <c r="G245" s="23"/>
      <c r="H245" s="23"/>
      <c r="I245" s="23"/>
      <c r="J245" s="2"/>
      <c r="M245" s="24"/>
    </row>
    <row r="246">
      <c r="A246" s="11"/>
      <c r="B246" s="23"/>
      <c r="C246" s="23"/>
      <c r="D246" s="23"/>
      <c r="E246" s="23"/>
      <c r="F246" s="1"/>
      <c r="G246" s="23"/>
      <c r="H246" s="23"/>
      <c r="I246" s="23"/>
      <c r="J246" s="2"/>
      <c r="M246" s="24"/>
    </row>
    <row r="247">
      <c r="A247" s="11"/>
      <c r="B247" s="23"/>
      <c r="C247" s="23"/>
      <c r="D247" s="23"/>
      <c r="E247" s="23"/>
      <c r="F247" s="1"/>
      <c r="G247" s="23"/>
      <c r="H247" s="23"/>
      <c r="I247" s="23"/>
      <c r="J247" s="2"/>
      <c r="M247" s="24"/>
    </row>
    <row r="248">
      <c r="A248" s="11"/>
      <c r="B248" s="23"/>
      <c r="C248" s="23"/>
      <c r="D248" s="23"/>
      <c r="E248" s="23"/>
      <c r="F248" s="1"/>
      <c r="G248" s="23"/>
      <c r="H248" s="23"/>
      <c r="I248" s="23"/>
      <c r="J248" s="2"/>
      <c r="M248" s="24"/>
    </row>
    <row r="249">
      <c r="A249" s="11"/>
      <c r="B249" s="23"/>
      <c r="C249" s="23"/>
      <c r="D249" s="23"/>
      <c r="E249" s="23"/>
      <c r="F249" s="1"/>
      <c r="G249" s="23"/>
      <c r="H249" s="23"/>
      <c r="I249" s="23"/>
      <c r="J249" s="2"/>
      <c r="M249" s="24"/>
    </row>
    <row r="250">
      <c r="A250" s="11"/>
      <c r="B250" s="23"/>
      <c r="C250" s="23"/>
      <c r="D250" s="23"/>
      <c r="E250" s="23"/>
      <c r="F250" s="1"/>
      <c r="G250" s="23"/>
      <c r="H250" s="23"/>
      <c r="I250" s="23"/>
      <c r="J250" s="2"/>
      <c r="M250" s="24"/>
    </row>
    <row r="251">
      <c r="A251" s="11"/>
      <c r="B251" s="23"/>
      <c r="C251" s="23"/>
      <c r="D251" s="23"/>
      <c r="E251" s="23"/>
      <c r="F251" s="1"/>
      <c r="G251" s="23"/>
      <c r="H251" s="23"/>
      <c r="I251" s="23"/>
      <c r="J251" s="2"/>
      <c r="M251" s="24"/>
    </row>
    <row r="252">
      <c r="A252" s="11"/>
      <c r="B252" s="23"/>
      <c r="C252" s="23"/>
      <c r="D252" s="23"/>
      <c r="E252" s="23"/>
      <c r="F252" s="1"/>
      <c r="G252" s="23"/>
      <c r="H252" s="23"/>
      <c r="I252" s="23"/>
      <c r="J252" s="2"/>
      <c r="M252" s="24"/>
    </row>
    <row r="253">
      <c r="A253" s="11"/>
      <c r="B253" s="23"/>
      <c r="C253" s="23"/>
      <c r="D253" s="23"/>
      <c r="E253" s="23"/>
      <c r="F253" s="1"/>
      <c r="G253" s="23"/>
      <c r="H253" s="23"/>
      <c r="I253" s="23"/>
      <c r="J253" s="2"/>
      <c r="M253" s="24"/>
    </row>
    <row r="254">
      <c r="A254" s="11"/>
      <c r="B254" s="23"/>
      <c r="C254" s="23"/>
      <c r="D254" s="23"/>
      <c r="E254" s="23"/>
      <c r="F254" s="1"/>
      <c r="G254" s="23"/>
      <c r="H254" s="23"/>
      <c r="I254" s="23"/>
      <c r="J254" s="2"/>
      <c r="M254" s="24"/>
    </row>
    <row r="255">
      <c r="A255" s="11"/>
      <c r="B255" s="23"/>
      <c r="C255" s="23"/>
      <c r="D255" s="23"/>
      <c r="E255" s="23"/>
      <c r="F255" s="1"/>
      <c r="G255" s="23"/>
      <c r="H255" s="23"/>
      <c r="I255" s="23"/>
      <c r="J255" s="2"/>
      <c r="M255" s="24"/>
    </row>
    <row r="256">
      <c r="A256" s="11"/>
      <c r="B256" s="23"/>
      <c r="C256" s="23"/>
      <c r="D256" s="23"/>
      <c r="E256" s="23"/>
      <c r="F256" s="1"/>
      <c r="G256" s="23"/>
      <c r="H256" s="23"/>
      <c r="I256" s="23"/>
      <c r="J256" s="2"/>
      <c r="M256" s="24"/>
    </row>
    <row r="257">
      <c r="A257" s="11"/>
      <c r="B257" s="23"/>
      <c r="C257" s="23"/>
      <c r="D257" s="23"/>
      <c r="E257" s="23"/>
      <c r="F257" s="1"/>
      <c r="G257" s="23"/>
      <c r="H257" s="23"/>
      <c r="I257" s="23"/>
      <c r="J257" s="2"/>
      <c r="M257" s="24"/>
    </row>
    <row r="258">
      <c r="A258" s="11"/>
      <c r="B258" s="23"/>
      <c r="C258" s="23"/>
      <c r="D258" s="23"/>
      <c r="E258" s="23"/>
      <c r="F258" s="1"/>
      <c r="G258" s="23"/>
      <c r="H258" s="23"/>
      <c r="I258" s="23"/>
      <c r="J258" s="2"/>
      <c r="M258" s="24"/>
    </row>
    <row r="259">
      <c r="A259" s="11"/>
      <c r="B259" s="23"/>
      <c r="C259" s="23"/>
      <c r="D259" s="23"/>
      <c r="E259" s="23"/>
      <c r="F259" s="1"/>
      <c r="G259" s="23"/>
      <c r="H259" s="23"/>
      <c r="I259" s="23"/>
      <c r="J259" s="2"/>
      <c r="M259" s="24"/>
    </row>
    <row r="260">
      <c r="A260" s="11"/>
      <c r="B260" s="23"/>
      <c r="C260" s="23"/>
      <c r="D260" s="23"/>
      <c r="E260" s="23"/>
      <c r="F260" s="1"/>
      <c r="G260" s="23"/>
      <c r="H260" s="23"/>
      <c r="I260" s="23"/>
      <c r="J260" s="2"/>
      <c r="M260" s="24"/>
    </row>
    <row r="261">
      <c r="A261" s="11"/>
      <c r="B261" s="23"/>
      <c r="C261" s="23"/>
      <c r="D261" s="23"/>
      <c r="E261" s="23"/>
      <c r="F261" s="1"/>
      <c r="G261" s="23"/>
      <c r="H261" s="23"/>
      <c r="I261" s="23"/>
      <c r="J261" s="2"/>
      <c r="M261" s="24"/>
    </row>
    <row r="262">
      <c r="A262" s="11"/>
      <c r="B262" s="23"/>
      <c r="C262" s="23"/>
      <c r="D262" s="23"/>
      <c r="E262" s="23"/>
      <c r="F262" s="1"/>
      <c r="G262" s="23"/>
      <c r="H262" s="23"/>
      <c r="I262" s="23"/>
      <c r="J262" s="2"/>
      <c r="M262" s="24"/>
    </row>
    <row r="263">
      <c r="A263" s="11"/>
      <c r="B263" s="23"/>
      <c r="C263" s="23"/>
      <c r="D263" s="23"/>
      <c r="E263" s="23"/>
      <c r="F263" s="1"/>
      <c r="G263" s="23"/>
      <c r="H263" s="23"/>
      <c r="I263" s="23"/>
      <c r="J263" s="2"/>
      <c r="M263" s="24"/>
    </row>
    <row r="264">
      <c r="A264" s="11"/>
      <c r="B264" s="23"/>
      <c r="C264" s="23"/>
      <c r="D264" s="23"/>
      <c r="E264" s="23"/>
      <c r="F264" s="1"/>
      <c r="G264" s="23"/>
      <c r="H264" s="23"/>
      <c r="I264" s="23"/>
      <c r="J264" s="2"/>
      <c r="M264" s="24"/>
    </row>
    <row r="265">
      <c r="A265" s="11"/>
      <c r="B265" s="23"/>
      <c r="C265" s="23"/>
      <c r="D265" s="23"/>
      <c r="E265" s="23"/>
      <c r="F265" s="1"/>
      <c r="G265" s="23"/>
      <c r="H265" s="23"/>
      <c r="I265" s="23"/>
      <c r="J265" s="2"/>
      <c r="M265" s="24"/>
    </row>
    <row r="266">
      <c r="A266" s="11"/>
      <c r="B266" s="23"/>
      <c r="C266" s="23"/>
      <c r="D266" s="23"/>
      <c r="E266" s="23"/>
      <c r="F266" s="1"/>
      <c r="G266" s="23"/>
      <c r="H266" s="23"/>
      <c r="I266" s="23"/>
      <c r="J266" s="2"/>
      <c r="M266" s="24"/>
    </row>
    <row r="267">
      <c r="A267" s="11"/>
      <c r="B267" s="23"/>
      <c r="C267" s="23"/>
      <c r="D267" s="23"/>
      <c r="E267" s="23"/>
      <c r="F267" s="1"/>
      <c r="G267" s="23"/>
      <c r="H267" s="23"/>
      <c r="I267" s="23"/>
      <c r="J267" s="2"/>
      <c r="M267" s="24"/>
    </row>
    <row r="268">
      <c r="A268" s="11"/>
      <c r="B268" s="23"/>
      <c r="C268" s="23"/>
      <c r="D268" s="23"/>
      <c r="E268" s="23"/>
      <c r="F268" s="1"/>
      <c r="G268" s="23"/>
      <c r="H268" s="23"/>
      <c r="I268" s="23"/>
      <c r="J268" s="2"/>
      <c r="M268" s="24"/>
    </row>
    <row r="269">
      <c r="A269" s="11"/>
      <c r="B269" s="23"/>
      <c r="C269" s="23"/>
      <c r="D269" s="23"/>
      <c r="E269" s="23"/>
      <c r="F269" s="1"/>
      <c r="G269" s="23"/>
      <c r="H269" s="23"/>
      <c r="I269" s="23"/>
      <c r="J269" s="2"/>
      <c r="M269" s="24"/>
    </row>
    <row r="270">
      <c r="A270" s="11"/>
      <c r="B270" s="23"/>
      <c r="C270" s="23"/>
      <c r="D270" s="23"/>
      <c r="E270" s="23"/>
      <c r="F270" s="1"/>
      <c r="G270" s="23"/>
      <c r="H270" s="23"/>
      <c r="I270" s="23"/>
      <c r="J270" s="2"/>
      <c r="M270" s="24"/>
    </row>
    <row r="271">
      <c r="A271" s="11"/>
      <c r="B271" s="23"/>
      <c r="C271" s="23"/>
      <c r="D271" s="23"/>
      <c r="E271" s="23"/>
      <c r="F271" s="1"/>
      <c r="G271" s="23"/>
      <c r="H271" s="23"/>
      <c r="I271" s="23"/>
      <c r="J271" s="2"/>
      <c r="M271" s="24"/>
    </row>
    <row r="272">
      <c r="A272" s="11"/>
      <c r="B272" s="23"/>
      <c r="C272" s="23"/>
      <c r="D272" s="23"/>
      <c r="E272" s="23"/>
      <c r="F272" s="1"/>
      <c r="G272" s="23"/>
      <c r="H272" s="23"/>
      <c r="I272" s="23"/>
      <c r="J272" s="2"/>
      <c r="M272" s="24"/>
    </row>
    <row r="273">
      <c r="A273" s="11"/>
      <c r="B273" s="23"/>
      <c r="C273" s="23"/>
      <c r="D273" s="23"/>
      <c r="E273" s="23"/>
      <c r="F273" s="1"/>
      <c r="G273" s="23"/>
      <c r="H273" s="23"/>
      <c r="I273" s="23"/>
      <c r="J273" s="2"/>
      <c r="M273" s="24"/>
    </row>
    <row r="274">
      <c r="A274" s="11"/>
      <c r="B274" s="23"/>
      <c r="C274" s="23"/>
      <c r="D274" s="23"/>
      <c r="E274" s="23"/>
      <c r="F274" s="1"/>
      <c r="G274" s="23"/>
      <c r="H274" s="23"/>
      <c r="I274" s="23"/>
      <c r="J274" s="2"/>
      <c r="M274" s="24"/>
    </row>
    <row r="275">
      <c r="A275" s="11"/>
      <c r="B275" s="23"/>
      <c r="C275" s="23"/>
      <c r="D275" s="23"/>
      <c r="E275" s="23"/>
      <c r="F275" s="1"/>
      <c r="G275" s="23"/>
      <c r="H275" s="23"/>
      <c r="I275" s="23"/>
      <c r="J275" s="2"/>
      <c r="M275" s="24"/>
    </row>
    <row r="276">
      <c r="A276" s="11"/>
      <c r="B276" s="23"/>
      <c r="C276" s="23"/>
      <c r="D276" s="23"/>
      <c r="E276" s="23"/>
      <c r="F276" s="1"/>
      <c r="G276" s="23"/>
      <c r="H276" s="23"/>
      <c r="I276" s="23"/>
      <c r="J276" s="2"/>
      <c r="M276" s="24"/>
    </row>
    <row r="277">
      <c r="A277" s="11"/>
      <c r="B277" s="23"/>
      <c r="C277" s="23"/>
      <c r="D277" s="23"/>
      <c r="E277" s="23"/>
      <c r="F277" s="1"/>
      <c r="G277" s="23"/>
      <c r="H277" s="23"/>
      <c r="I277" s="23"/>
      <c r="J277" s="2"/>
      <c r="M277" s="24"/>
    </row>
    <row r="278">
      <c r="A278" s="11"/>
      <c r="B278" s="23"/>
      <c r="C278" s="23"/>
      <c r="D278" s="23"/>
      <c r="E278" s="23"/>
      <c r="F278" s="1"/>
      <c r="G278" s="23"/>
      <c r="H278" s="23"/>
      <c r="I278" s="23"/>
      <c r="J278" s="2"/>
      <c r="M278" s="24"/>
    </row>
    <row r="279">
      <c r="A279" s="11"/>
      <c r="B279" s="23"/>
      <c r="C279" s="23"/>
      <c r="D279" s="23"/>
      <c r="E279" s="23"/>
      <c r="F279" s="1"/>
      <c r="G279" s="23"/>
      <c r="H279" s="23"/>
      <c r="I279" s="23"/>
      <c r="J279" s="2"/>
      <c r="M279" s="24"/>
    </row>
    <row r="280">
      <c r="A280" s="11"/>
      <c r="B280" s="23"/>
      <c r="C280" s="23"/>
      <c r="D280" s="23"/>
      <c r="E280" s="23"/>
      <c r="F280" s="1"/>
      <c r="G280" s="23"/>
      <c r="H280" s="23"/>
      <c r="I280" s="23"/>
      <c r="J280" s="2"/>
      <c r="M280" s="24"/>
    </row>
    <row r="281">
      <c r="A281" s="11"/>
      <c r="B281" s="23"/>
      <c r="C281" s="23"/>
      <c r="D281" s="23"/>
      <c r="E281" s="23"/>
      <c r="F281" s="1"/>
      <c r="G281" s="23"/>
      <c r="H281" s="23"/>
      <c r="I281" s="23"/>
      <c r="J281" s="2"/>
      <c r="M281" s="24"/>
    </row>
    <row r="282">
      <c r="A282" s="11"/>
      <c r="B282" s="23"/>
      <c r="C282" s="23"/>
      <c r="D282" s="23"/>
      <c r="E282" s="23"/>
      <c r="F282" s="1"/>
      <c r="G282" s="23"/>
      <c r="H282" s="23"/>
      <c r="I282" s="23"/>
      <c r="J282" s="2"/>
      <c r="M282" s="24"/>
    </row>
    <row r="283">
      <c r="A283" s="11"/>
      <c r="B283" s="23"/>
      <c r="C283" s="23"/>
      <c r="D283" s="23"/>
      <c r="E283" s="23"/>
      <c r="F283" s="1"/>
      <c r="G283" s="23"/>
      <c r="H283" s="23"/>
      <c r="I283" s="23"/>
      <c r="J283" s="2"/>
      <c r="M283" s="24"/>
    </row>
    <row r="284">
      <c r="A284" s="11"/>
      <c r="B284" s="23"/>
      <c r="C284" s="23"/>
      <c r="D284" s="23"/>
      <c r="E284" s="23"/>
      <c r="F284" s="1"/>
      <c r="G284" s="23"/>
      <c r="H284" s="23"/>
      <c r="I284" s="23"/>
      <c r="J284" s="2"/>
      <c r="M284" s="24"/>
    </row>
    <row r="285">
      <c r="A285" s="11"/>
      <c r="B285" s="23"/>
      <c r="C285" s="23"/>
      <c r="D285" s="23"/>
      <c r="E285" s="23"/>
      <c r="F285" s="1"/>
      <c r="G285" s="23"/>
      <c r="H285" s="23"/>
      <c r="I285" s="23"/>
      <c r="J285" s="2"/>
      <c r="M285" s="24"/>
    </row>
    <row r="286">
      <c r="A286" s="11"/>
      <c r="B286" s="23"/>
      <c r="C286" s="23"/>
      <c r="D286" s="23"/>
      <c r="E286" s="23"/>
      <c r="F286" s="1"/>
      <c r="G286" s="23"/>
      <c r="H286" s="23"/>
      <c r="I286" s="23"/>
      <c r="J286" s="2"/>
      <c r="M286" s="24"/>
    </row>
    <row r="287">
      <c r="A287" s="11"/>
      <c r="B287" s="23"/>
      <c r="C287" s="23"/>
      <c r="D287" s="23"/>
      <c r="E287" s="23"/>
      <c r="F287" s="1"/>
      <c r="G287" s="23"/>
      <c r="H287" s="23"/>
      <c r="I287" s="23"/>
      <c r="J287" s="2"/>
      <c r="M287" s="24"/>
    </row>
    <row r="288">
      <c r="A288" s="11"/>
      <c r="B288" s="23"/>
      <c r="C288" s="23"/>
      <c r="D288" s="23"/>
      <c r="E288" s="23"/>
      <c r="F288" s="1"/>
      <c r="G288" s="23"/>
      <c r="H288" s="23"/>
      <c r="I288" s="23"/>
      <c r="J288" s="2"/>
      <c r="M288" s="24"/>
    </row>
    <row r="289">
      <c r="A289" s="11"/>
      <c r="B289" s="23"/>
      <c r="C289" s="23"/>
      <c r="D289" s="23"/>
      <c r="E289" s="23"/>
      <c r="F289" s="1"/>
      <c r="G289" s="23"/>
      <c r="H289" s="23"/>
      <c r="I289" s="23"/>
      <c r="J289" s="2"/>
      <c r="M289" s="24"/>
    </row>
    <row r="290">
      <c r="A290" s="11"/>
      <c r="B290" s="23"/>
      <c r="C290" s="23"/>
      <c r="D290" s="23"/>
      <c r="E290" s="23"/>
      <c r="F290" s="1"/>
      <c r="G290" s="23"/>
      <c r="H290" s="23"/>
      <c r="I290" s="23"/>
      <c r="J290" s="2"/>
      <c r="M290" s="24"/>
    </row>
    <row r="291">
      <c r="A291" s="11"/>
      <c r="B291" s="23"/>
      <c r="C291" s="23"/>
      <c r="D291" s="23"/>
      <c r="E291" s="23"/>
      <c r="F291" s="1"/>
      <c r="G291" s="23"/>
      <c r="H291" s="23"/>
      <c r="I291" s="23"/>
      <c r="J291" s="2"/>
      <c r="M291" s="24"/>
    </row>
    <row r="292">
      <c r="A292" s="11"/>
      <c r="B292" s="23"/>
      <c r="C292" s="23"/>
      <c r="D292" s="23"/>
      <c r="E292" s="23"/>
      <c r="F292" s="1"/>
      <c r="G292" s="23"/>
      <c r="H292" s="23"/>
      <c r="I292" s="23"/>
      <c r="J292" s="2"/>
      <c r="M292" s="24"/>
    </row>
    <row r="293">
      <c r="A293" s="11"/>
      <c r="B293" s="23"/>
      <c r="C293" s="23"/>
      <c r="D293" s="23"/>
      <c r="E293" s="23"/>
      <c r="F293" s="1"/>
      <c r="G293" s="23"/>
      <c r="H293" s="23"/>
      <c r="I293" s="23"/>
      <c r="J293" s="2"/>
      <c r="M293" s="24"/>
    </row>
    <row r="294">
      <c r="A294" s="11"/>
      <c r="B294" s="23"/>
      <c r="C294" s="23"/>
      <c r="D294" s="23"/>
      <c r="E294" s="23"/>
      <c r="F294" s="1"/>
      <c r="G294" s="23"/>
      <c r="H294" s="23"/>
      <c r="I294" s="23"/>
      <c r="J294" s="2"/>
      <c r="M294" s="24"/>
    </row>
    <row r="295">
      <c r="A295" s="11"/>
      <c r="B295" s="23"/>
      <c r="C295" s="23"/>
      <c r="D295" s="23"/>
      <c r="E295" s="23"/>
      <c r="F295" s="1"/>
      <c r="G295" s="23"/>
      <c r="H295" s="23"/>
      <c r="I295" s="23"/>
      <c r="J295" s="2"/>
      <c r="M295" s="24"/>
    </row>
    <row r="296">
      <c r="A296" s="11"/>
      <c r="B296" s="23"/>
      <c r="C296" s="23"/>
      <c r="D296" s="23"/>
      <c r="E296" s="23"/>
      <c r="F296" s="1"/>
      <c r="G296" s="23"/>
      <c r="H296" s="23"/>
      <c r="I296" s="23"/>
      <c r="J296" s="2"/>
      <c r="M296" s="24"/>
    </row>
    <row r="297">
      <c r="A297" s="11"/>
      <c r="B297" s="23"/>
      <c r="C297" s="23"/>
      <c r="D297" s="23"/>
      <c r="E297" s="23"/>
      <c r="F297" s="1"/>
      <c r="G297" s="23"/>
      <c r="H297" s="23"/>
      <c r="I297" s="23"/>
      <c r="J297" s="2"/>
      <c r="M297" s="24"/>
    </row>
    <row r="298">
      <c r="A298" s="11"/>
      <c r="B298" s="23"/>
      <c r="C298" s="23"/>
      <c r="D298" s="23"/>
      <c r="E298" s="23"/>
      <c r="F298" s="1"/>
      <c r="G298" s="23"/>
      <c r="H298" s="23"/>
      <c r="I298" s="23"/>
      <c r="J298" s="2"/>
      <c r="M298" s="24"/>
    </row>
    <row r="299">
      <c r="A299" s="11"/>
      <c r="B299" s="23"/>
      <c r="C299" s="23"/>
      <c r="D299" s="23"/>
      <c r="E299" s="23"/>
      <c r="F299" s="1"/>
      <c r="G299" s="23"/>
      <c r="H299" s="23"/>
      <c r="I299" s="23"/>
      <c r="J299" s="2"/>
      <c r="M299" s="24"/>
    </row>
    <row r="300">
      <c r="A300" s="11"/>
      <c r="B300" s="23"/>
      <c r="C300" s="23"/>
      <c r="D300" s="23"/>
      <c r="E300" s="23"/>
      <c r="F300" s="1"/>
      <c r="G300" s="23"/>
      <c r="H300" s="23"/>
      <c r="I300" s="23"/>
      <c r="J300" s="2"/>
      <c r="M300" s="24"/>
    </row>
    <row r="301">
      <c r="A301" s="11"/>
      <c r="B301" s="23"/>
      <c r="C301" s="23"/>
      <c r="D301" s="23"/>
      <c r="E301" s="23"/>
      <c r="F301" s="1"/>
      <c r="G301" s="23"/>
      <c r="H301" s="23"/>
      <c r="I301" s="23"/>
      <c r="J301" s="2"/>
      <c r="M301" s="24"/>
    </row>
    <row r="302">
      <c r="A302" s="11"/>
      <c r="B302" s="23"/>
      <c r="C302" s="23"/>
      <c r="D302" s="23"/>
      <c r="E302" s="23"/>
      <c r="F302" s="1"/>
      <c r="G302" s="23"/>
      <c r="H302" s="23"/>
      <c r="I302" s="23"/>
      <c r="J302" s="2"/>
      <c r="M302" s="24"/>
    </row>
    <row r="303">
      <c r="A303" s="11"/>
      <c r="B303" s="23"/>
      <c r="C303" s="23"/>
      <c r="D303" s="23"/>
      <c r="E303" s="23"/>
      <c r="F303" s="1"/>
      <c r="G303" s="23"/>
      <c r="H303" s="23"/>
      <c r="I303" s="23"/>
      <c r="J303" s="2"/>
      <c r="M303" s="24"/>
    </row>
    <row r="304">
      <c r="A304" s="11"/>
      <c r="B304" s="23"/>
      <c r="C304" s="23"/>
      <c r="D304" s="23"/>
      <c r="E304" s="23"/>
      <c r="F304" s="1"/>
      <c r="G304" s="23"/>
      <c r="H304" s="23"/>
      <c r="I304" s="23"/>
      <c r="J304" s="2"/>
      <c r="M304" s="24"/>
    </row>
    <row r="305">
      <c r="A305" s="11"/>
      <c r="B305" s="23"/>
      <c r="C305" s="23"/>
      <c r="D305" s="23"/>
      <c r="E305" s="23"/>
      <c r="F305" s="1"/>
      <c r="G305" s="23"/>
      <c r="H305" s="23"/>
      <c r="I305" s="23"/>
      <c r="J305" s="2"/>
      <c r="M305" s="24"/>
    </row>
    <row r="306">
      <c r="A306" s="11"/>
      <c r="B306" s="23"/>
      <c r="C306" s="23"/>
      <c r="D306" s="23"/>
      <c r="E306" s="23"/>
      <c r="F306" s="1"/>
      <c r="G306" s="23"/>
      <c r="H306" s="23"/>
      <c r="I306" s="23"/>
      <c r="J306" s="2"/>
      <c r="M306" s="24"/>
    </row>
    <row r="307">
      <c r="A307" s="11"/>
      <c r="B307" s="23"/>
      <c r="C307" s="23"/>
      <c r="D307" s="23"/>
      <c r="E307" s="23"/>
      <c r="F307" s="1"/>
      <c r="G307" s="23"/>
      <c r="H307" s="23"/>
      <c r="I307" s="23"/>
      <c r="J307" s="2"/>
      <c r="M307" s="24"/>
    </row>
    <row r="308">
      <c r="A308" s="11"/>
      <c r="B308" s="23"/>
      <c r="C308" s="23"/>
      <c r="D308" s="23"/>
      <c r="E308" s="23"/>
      <c r="F308" s="1"/>
      <c r="G308" s="23"/>
      <c r="H308" s="23"/>
      <c r="I308" s="23"/>
      <c r="J308" s="2"/>
      <c r="M308" s="24"/>
    </row>
    <row r="309">
      <c r="A309" s="11"/>
      <c r="B309" s="23"/>
      <c r="C309" s="23"/>
      <c r="D309" s="23"/>
      <c r="E309" s="23"/>
      <c r="F309" s="1"/>
      <c r="G309" s="23"/>
      <c r="H309" s="23"/>
      <c r="I309" s="23"/>
      <c r="J309" s="2"/>
      <c r="M309" s="24"/>
    </row>
    <row r="310">
      <c r="A310" s="11"/>
      <c r="B310" s="23"/>
      <c r="C310" s="23"/>
      <c r="D310" s="23"/>
      <c r="E310" s="23"/>
      <c r="F310" s="1"/>
      <c r="G310" s="23"/>
      <c r="H310" s="23"/>
      <c r="I310" s="23"/>
      <c r="J310" s="2"/>
      <c r="M310" s="24"/>
    </row>
    <row r="311">
      <c r="A311" s="11"/>
      <c r="B311" s="23"/>
      <c r="C311" s="23"/>
      <c r="D311" s="23"/>
      <c r="E311" s="23"/>
      <c r="F311" s="1"/>
      <c r="G311" s="23"/>
      <c r="H311" s="23"/>
      <c r="I311" s="23"/>
      <c r="J311" s="2"/>
      <c r="M311" s="24"/>
    </row>
    <row r="312">
      <c r="A312" s="11"/>
      <c r="B312" s="23"/>
      <c r="C312" s="23"/>
      <c r="D312" s="23"/>
      <c r="E312" s="23"/>
      <c r="F312" s="1"/>
      <c r="G312" s="23"/>
      <c r="H312" s="23"/>
      <c r="I312" s="23"/>
      <c r="J312" s="2"/>
      <c r="M312" s="24"/>
    </row>
    <row r="313">
      <c r="A313" s="11"/>
      <c r="B313" s="23"/>
      <c r="C313" s="23"/>
      <c r="D313" s="23"/>
      <c r="E313" s="23"/>
      <c r="F313" s="1"/>
      <c r="G313" s="23"/>
      <c r="H313" s="23"/>
      <c r="I313" s="23"/>
      <c r="J313" s="2"/>
      <c r="M313" s="24"/>
    </row>
    <row r="314">
      <c r="A314" s="11"/>
      <c r="B314" s="23"/>
      <c r="C314" s="23"/>
      <c r="D314" s="23"/>
      <c r="E314" s="23"/>
      <c r="F314" s="1"/>
      <c r="G314" s="23"/>
      <c r="H314" s="23"/>
      <c r="I314" s="23"/>
      <c r="J314" s="2"/>
      <c r="M314" s="24"/>
    </row>
    <row r="315">
      <c r="A315" s="11"/>
      <c r="B315" s="23"/>
      <c r="C315" s="23"/>
      <c r="D315" s="23"/>
      <c r="E315" s="23"/>
      <c r="F315" s="1"/>
      <c r="G315" s="23"/>
      <c r="H315" s="23"/>
      <c r="I315" s="23"/>
      <c r="J315" s="2"/>
      <c r="M315" s="24"/>
    </row>
    <row r="316">
      <c r="A316" s="11"/>
      <c r="B316" s="23"/>
      <c r="C316" s="23"/>
      <c r="D316" s="23"/>
      <c r="E316" s="23"/>
      <c r="F316" s="1"/>
      <c r="G316" s="23"/>
      <c r="H316" s="23"/>
      <c r="I316" s="23"/>
      <c r="J316" s="2"/>
      <c r="M316" s="24"/>
    </row>
    <row r="317">
      <c r="A317" s="11"/>
      <c r="B317" s="23"/>
      <c r="C317" s="23"/>
      <c r="D317" s="23"/>
      <c r="E317" s="23"/>
      <c r="F317" s="1"/>
      <c r="G317" s="23"/>
      <c r="H317" s="23"/>
      <c r="I317" s="23"/>
      <c r="J317" s="2"/>
      <c r="M317" s="24"/>
    </row>
    <row r="318">
      <c r="A318" s="11"/>
      <c r="B318" s="23"/>
      <c r="C318" s="23"/>
      <c r="D318" s="23"/>
      <c r="E318" s="23"/>
      <c r="F318" s="1"/>
      <c r="G318" s="23"/>
      <c r="H318" s="23"/>
      <c r="I318" s="23"/>
      <c r="J318" s="2"/>
      <c r="M318" s="24"/>
    </row>
    <row r="319">
      <c r="A319" s="11"/>
      <c r="B319" s="23"/>
      <c r="C319" s="23"/>
      <c r="D319" s="23"/>
      <c r="E319" s="23"/>
      <c r="F319" s="1"/>
      <c r="G319" s="23"/>
      <c r="H319" s="23"/>
      <c r="I319" s="23"/>
      <c r="J319" s="2"/>
      <c r="M319" s="24"/>
    </row>
    <row r="320">
      <c r="A320" s="11"/>
      <c r="B320" s="23"/>
      <c r="C320" s="23"/>
      <c r="D320" s="23"/>
      <c r="E320" s="23"/>
      <c r="F320" s="1"/>
      <c r="G320" s="23"/>
      <c r="H320" s="23"/>
      <c r="I320" s="23"/>
      <c r="J320" s="2"/>
      <c r="M320" s="24"/>
    </row>
    <row r="321">
      <c r="A321" s="11"/>
      <c r="B321" s="23"/>
      <c r="C321" s="23"/>
      <c r="D321" s="23"/>
      <c r="E321" s="23"/>
      <c r="F321" s="1"/>
      <c r="G321" s="23"/>
      <c r="H321" s="23"/>
      <c r="I321" s="23"/>
      <c r="J321" s="2"/>
      <c r="M321" s="24"/>
    </row>
    <row r="322">
      <c r="A322" s="11"/>
      <c r="B322" s="23"/>
      <c r="C322" s="23"/>
      <c r="D322" s="23"/>
      <c r="E322" s="23"/>
      <c r="F322" s="1"/>
      <c r="G322" s="23"/>
      <c r="H322" s="23"/>
      <c r="I322" s="23"/>
      <c r="J322" s="2"/>
      <c r="M322" s="24"/>
    </row>
    <row r="323">
      <c r="A323" s="11"/>
      <c r="B323" s="23"/>
      <c r="C323" s="23"/>
      <c r="D323" s="23"/>
      <c r="E323" s="23"/>
      <c r="F323" s="1"/>
      <c r="G323" s="23"/>
      <c r="H323" s="23"/>
      <c r="I323" s="23"/>
      <c r="J323" s="2"/>
      <c r="M323" s="24"/>
    </row>
    <row r="324">
      <c r="A324" s="11"/>
      <c r="B324" s="23"/>
      <c r="C324" s="23"/>
      <c r="D324" s="23"/>
      <c r="E324" s="23"/>
      <c r="F324" s="1"/>
      <c r="G324" s="23"/>
      <c r="H324" s="23"/>
      <c r="I324" s="23"/>
      <c r="J324" s="2"/>
      <c r="M324" s="24"/>
    </row>
    <row r="325">
      <c r="A325" s="11"/>
      <c r="B325" s="23"/>
      <c r="C325" s="23"/>
      <c r="D325" s="23"/>
      <c r="E325" s="23"/>
      <c r="F325" s="1"/>
      <c r="G325" s="23"/>
      <c r="H325" s="23"/>
      <c r="I325" s="23"/>
      <c r="J325" s="2"/>
      <c r="M325" s="24"/>
    </row>
    <row r="326">
      <c r="A326" s="11"/>
      <c r="B326" s="23"/>
      <c r="C326" s="23"/>
      <c r="D326" s="23"/>
      <c r="E326" s="23"/>
      <c r="F326" s="1"/>
      <c r="G326" s="23"/>
      <c r="H326" s="23"/>
      <c r="I326" s="23"/>
      <c r="J326" s="2"/>
      <c r="M326" s="24"/>
    </row>
    <row r="327">
      <c r="A327" s="11"/>
      <c r="B327" s="23"/>
      <c r="C327" s="23"/>
      <c r="D327" s="23"/>
      <c r="E327" s="23"/>
      <c r="F327" s="1"/>
      <c r="G327" s="23"/>
      <c r="H327" s="23"/>
      <c r="I327" s="23"/>
      <c r="J327" s="2"/>
      <c r="M327" s="24"/>
    </row>
    <row r="328">
      <c r="A328" s="11"/>
      <c r="B328" s="23"/>
      <c r="C328" s="23"/>
      <c r="D328" s="23"/>
      <c r="E328" s="23"/>
      <c r="F328" s="1"/>
      <c r="G328" s="23"/>
      <c r="H328" s="23"/>
      <c r="I328" s="23"/>
      <c r="J328" s="2"/>
      <c r="M328" s="24"/>
    </row>
    <row r="329">
      <c r="A329" s="11"/>
      <c r="B329" s="23"/>
      <c r="C329" s="23"/>
      <c r="D329" s="23"/>
      <c r="E329" s="23"/>
      <c r="F329" s="1"/>
      <c r="G329" s="23"/>
      <c r="H329" s="23"/>
      <c r="I329" s="23"/>
      <c r="J329" s="2"/>
      <c r="M329" s="24"/>
    </row>
    <row r="330">
      <c r="A330" s="11"/>
      <c r="B330" s="23"/>
      <c r="C330" s="23"/>
      <c r="D330" s="23"/>
      <c r="E330" s="23"/>
      <c r="F330" s="1"/>
      <c r="G330" s="23"/>
      <c r="H330" s="23"/>
      <c r="I330" s="23"/>
      <c r="J330" s="2"/>
      <c r="M330" s="24"/>
    </row>
    <row r="331">
      <c r="A331" s="11"/>
      <c r="B331" s="23"/>
      <c r="C331" s="23"/>
      <c r="D331" s="23"/>
      <c r="E331" s="23"/>
      <c r="F331" s="1"/>
      <c r="G331" s="23"/>
      <c r="H331" s="23"/>
      <c r="I331" s="23"/>
      <c r="J331" s="2"/>
      <c r="M331" s="24"/>
    </row>
    <row r="332">
      <c r="A332" s="11"/>
      <c r="B332" s="23"/>
      <c r="C332" s="23"/>
      <c r="D332" s="23"/>
      <c r="E332" s="23"/>
      <c r="F332" s="1"/>
      <c r="G332" s="23"/>
      <c r="H332" s="23"/>
      <c r="I332" s="23"/>
      <c r="J332" s="2"/>
      <c r="M332" s="24"/>
    </row>
    <row r="333">
      <c r="A333" s="11"/>
      <c r="B333" s="23"/>
      <c r="C333" s="23"/>
      <c r="D333" s="23"/>
      <c r="E333" s="23"/>
      <c r="F333" s="1"/>
      <c r="G333" s="23"/>
      <c r="H333" s="23"/>
      <c r="I333" s="23"/>
      <c r="J333" s="2"/>
      <c r="M333" s="24"/>
    </row>
    <row r="334">
      <c r="A334" s="11"/>
      <c r="B334" s="23"/>
      <c r="C334" s="23"/>
      <c r="D334" s="23"/>
      <c r="E334" s="23"/>
      <c r="F334" s="1"/>
      <c r="G334" s="23"/>
      <c r="H334" s="23"/>
      <c r="I334" s="23"/>
      <c r="J334" s="2"/>
      <c r="M334" s="24"/>
    </row>
    <row r="335">
      <c r="A335" s="11"/>
      <c r="B335" s="23"/>
      <c r="C335" s="23"/>
      <c r="D335" s="23"/>
      <c r="E335" s="23"/>
      <c r="F335" s="1"/>
      <c r="G335" s="23"/>
      <c r="H335" s="23"/>
      <c r="I335" s="23"/>
      <c r="J335" s="2"/>
      <c r="M335" s="24"/>
    </row>
    <row r="336">
      <c r="A336" s="11"/>
      <c r="B336" s="23"/>
      <c r="C336" s="23"/>
      <c r="D336" s="23"/>
      <c r="E336" s="23"/>
      <c r="F336" s="1"/>
      <c r="G336" s="23"/>
      <c r="H336" s="23"/>
      <c r="I336" s="23"/>
      <c r="J336" s="2"/>
      <c r="M336" s="24"/>
    </row>
    <row r="337">
      <c r="A337" s="11"/>
      <c r="B337" s="23"/>
      <c r="C337" s="23"/>
      <c r="D337" s="23"/>
      <c r="E337" s="23"/>
      <c r="F337" s="1"/>
      <c r="G337" s="23"/>
      <c r="H337" s="23"/>
      <c r="I337" s="23"/>
      <c r="J337" s="2"/>
      <c r="M337" s="24"/>
    </row>
    <row r="338">
      <c r="A338" s="11"/>
      <c r="B338" s="23"/>
      <c r="C338" s="23"/>
      <c r="D338" s="23"/>
      <c r="E338" s="23"/>
      <c r="F338" s="1"/>
      <c r="G338" s="23"/>
      <c r="H338" s="23"/>
      <c r="I338" s="23"/>
      <c r="J338" s="2"/>
      <c r="M338" s="24"/>
    </row>
    <row r="339">
      <c r="A339" s="11"/>
      <c r="B339" s="23"/>
      <c r="C339" s="23"/>
      <c r="D339" s="23"/>
      <c r="E339" s="23"/>
      <c r="F339" s="1"/>
      <c r="G339" s="23"/>
      <c r="H339" s="23"/>
      <c r="I339" s="23"/>
      <c r="J339" s="2"/>
      <c r="M339" s="24"/>
    </row>
    <row r="340">
      <c r="A340" s="11"/>
      <c r="B340" s="23"/>
      <c r="C340" s="23"/>
      <c r="D340" s="23"/>
      <c r="E340" s="23"/>
      <c r="F340" s="1"/>
      <c r="G340" s="23"/>
      <c r="H340" s="23"/>
      <c r="I340" s="23"/>
      <c r="J340" s="2"/>
      <c r="M340" s="24"/>
    </row>
    <row r="341">
      <c r="A341" s="11"/>
      <c r="B341" s="23"/>
      <c r="C341" s="23"/>
      <c r="D341" s="23"/>
      <c r="E341" s="23"/>
      <c r="F341" s="1"/>
      <c r="G341" s="23"/>
      <c r="H341" s="23"/>
      <c r="I341" s="23"/>
      <c r="J341" s="2"/>
      <c r="M341" s="24"/>
    </row>
    <row r="342">
      <c r="A342" s="11"/>
      <c r="B342" s="23"/>
      <c r="C342" s="23"/>
      <c r="D342" s="23"/>
      <c r="E342" s="23"/>
      <c r="F342" s="1"/>
      <c r="G342" s="23"/>
      <c r="H342" s="23"/>
      <c r="I342" s="23"/>
      <c r="J342" s="2"/>
      <c r="M342" s="24"/>
    </row>
    <row r="343">
      <c r="A343" s="11"/>
      <c r="B343" s="23"/>
      <c r="C343" s="23"/>
      <c r="D343" s="23"/>
      <c r="E343" s="23"/>
      <c r="F343" s="1"/>
      <c r="G343" s="23"/>
      <c r="H343" s="23"/>
      <c r="I343" s="23"/>
      <c r="J343" s="2"/>
      <c r="M343" s="24"/>
    </row>
    <row r="344">
      <c r="A344" s="11"/>
      <c r="B344" s="23"/>
      <c r="C344" s="23"/>
      <c r="D344" s="23"/>
      <c r="E344" s="23"/>
      <c r="F344" s="1"/>
      <c r="G344" s="23"/>
      <c r="H344" s="23"/>
      <c r="I344" s="23"/>
      <c r="J344" s="2"/>
      <c r="M344" s="24"/>
    </row>
    <row r="345">
      <c r="A345" s="11"/>
      <c r="B345" s="23"/>
      <c r="C345" s="23"/>
      <c r="D345" s="23"/>
      <c r="E345" s="23"/>
      <c r="F345" s="1"/>
      <c r="G345" s="23"/>
      <c r="H345" s="23"/>
      <c r="I345" s="23"/>
      <c r="J345" s="2"/>
      <c r="M345" s="24"/>
    </row>
    <row r="346">
      <c r="A346" s="11"/>
      <c r="B346" s="23"/>
      <c r="C346" s="23"/>
      <c r="D346" s="23"/>
      <c r="E346" s="23"/>
      <c r="F346" s="1"/>
      <c r="G346" s="23"/>
      <c r="H346" s="23"/>
      <c r="I346" s="23"/>
      <c r="J346" s="2"/>
      <c r="M346" s="24"/>
    </row>
    <row r="347">
      <c r="A347" s="11"/>
      <c r="B347" s="23"/>
      <c r="C347" s="23"/>
      <c r="D347" s="23"/>
      <c r="E347" s="23"/>
      <c r="F347" s="1"/>
      <c r="G347" s="23"/>
      <c r="H347" s="23"/>
      <c r="I347" s="23"/>
      <c r="J347" s="2"/>
      <c r="M347" s="24"/>
    </row>
    <row r="348">
      <c r="A348" s="11"/>
      <c r="B348" s="23"/>
      <c r="C348" s="23"/>
      <c r="D348" s="23"/>
      <c r="E348" s="23"/>
      <c r="F348" s="1"/>
      <c r="G348" s="23"/>
      <c r="H348" s="23"/>
      <c r="I348" s="23"/>
      <c r="J348" s="2"/>
      <c r="M348" s="24"/>
    </row>
    <row r="349">
      <c r="A349" s="11"/>
      <c r="B349" s="23"/>
      <c r="C349" s="23"/>
      <c r="D349" s="23"/>
      <c r="E349" s="23"/>
      <c r="F349" s="1"/>
      <c r="G349" s="23"/>
      <c r="H349" s="23"/>
      <c r="I349" s="23"/>
      <c r="J349" s="2"/>
      <c r="M349" s="24"/>
    </row>
    <row r="350">
      <c r="A350" s="11"/>
      <c r="B350" s="23"/>
      <c r="C350" s="23"/>
      <c r="D350" s="23"/>
      <c r="E350" s="23"/>
      <c r="F350" s="1"/>
      <c r="G350" s="23"/>
      <c r="H350" s="23"/>
      <c r="I350" s="23"/>
      <c r="J350" s="2"/>
      <c r="M350" s="24"/>
    </row>
    <row r="351">
      <c r="A351" s="11"/>
      <c r="B351" s="23"/>
      <c r="C351" s="23"/>
      <c r="D351" s="23"/>
      <c r="E351" s="23"/>
      <c r="F351" s="1"/>
      <c r="G351" s="23"/>
      <c r="H351" s="23"/>
      <c r="I351" s="23"/>
      <c r="J351" s="2"/>
      <c r="M351" s="24"/>
    </row>
    <row r="352">
      <c r="A352" s="11"/>
      <c r="B352" s="23"/>
      <c r="C352" s="23"/>
      <c r="D352" s="23"/>
      <c r="E352" s="23"/>
      <c r="F352" s="1"/>
      <c r="G352" s="23"/>
      <c r="H352" s="23"/>
      <c r="I352" s="23"/>
      <c r="J352" s="2"/>
      <c r="M352" s="24"/>
    </row>
    <row r="353">
      <c r="A353" s="11"/>
      <c r="B353" s="23"/>
      <c r="C353" s="23"/>
      <c r="D353" s="23"/>
      <c r="E353" s="23"/>
      <c r="F353" s="1"/>
      <c r="G353" s="23"/>
      <c r="H353" s="23"/>
      <c r="I353" s="23"/>
      <c r="J353" s="2"/>
      <c r="M353" s="24"/>
    </row>
    <row r="354">
      <c r="A354" s="11"/>
      <c r="B354" s="23"/>
      <c r="C354" s="23"/>
      <c r="D354" s="23"/>
      <c r="E354" s="23"/>
      <c r="F354" s="1"/>
      <c r="G354" s="23"/>
      <c r="H354" s="23"/>
      <c r="I354" s="23"/>
      <c r="J354" s="2"/>
      <c r="M354" s="24"/>
    </row>
    <row r="355">
      <c r="A355" s="11"/>
      <c r="B355" s="23"/>
      <c r="C355" s="23"/>
      <c r="D355" s="23"/>
      <c r="E355" s="23"/>
      <c r="F355" s="1"/>
      <c r="G355" s="23"/>
      <c r="H355" s="23"/>
      <c r="I355" s="23"/>
      <c r="J355" s="2"/>
      <c r="M355" s="24"/>
    </row>
    <row r="356">
      <c r="A356" s="11"/>
      <c r="B356" s="23"/>
      <c r="C356" s="23"/>
      <c r="D356" s="23"/>
      <c r="E356" s="23"/>
      <c r="F356" s="1"/>
      <c r="G356" s="23"/>
      <c r="H356" s="23"/>
      <c r="I356" s="23"/>
      <c r="J356" s="2"/>
      <c r="M356" s="24"/>
    </row>
    <row r="357">
      <c r="A357" s="11"/>
      <c r="B357" s="23"/>
      <c r="C357" s="23"/>
      <c r="D357" s="23"/>
      <c r="E357" s="23"/>
      <c r="F357" s="1"/>
      <c r="G357" s="23"/>
      <c r="H357" s="23"/>
      <c r="I357" s="23"/>
      <c r="J357" s="2"/>
      <c r="M357" s="24"/>
    </row>
    <row r="358">
      <c r="A358" s="11"/>
      <c r="B358" s="23"/>
      <c r="C358" s="23"/>
      <c r="D358" s="23"/>
      <c r="E358" s="23"/>
      <c r="F358" s="1"/>
      <c r="G358" s="23"/>
      <c r="H358" s="23"/>
      <c r="I358" s="23"/>
      <c r="J358" s="2"/>
      <c r="M358" s="24"/>
    </row>
    <row r="359">
      <c r="A359" s="11"/>
      <c r="B359" s="23"/>
      <c r="C359" s="23"/>
      <c r="D359" s="23"/>
      <c r="E359" s="23"/>
      <c r="F359" s="1"/>
      <c r="G359" s="23"/>
      <c r="H359" s="23"/>
      <c r="I359" s="23"/>
      <c r="J359" s="2"/>
      <c r="M359" s="24"/>
    </row>
    <row r="360">
      <c r="A360" s="11"/>
      <c r="B360" s="23"/>
      <c r="C360" s="23"/>
      <c r="D360" s="23"/>
      <c r="E360" s="23"/>
      <c r="F360" s="1"/>
      <c r="G360" s="23"/>
      <c r="H360" s="23"/>
      <c r="I360" s="23"/>
      <c r="J360" s="2"/>
      <c r="M360" s="24"/>
    </row>
    <row r="361">
      <c r="A361" s="11"/>
      <c r="B361" s="23"/>
      <c r="C361" s="23"/>
      <c r="D361" s="23"/>
      <c r="E361" s="23"/>
      <c r="F361" s="1"/>
      <c r="G361" s="23"/>
      <c r="H361" s="23"/>
      <c r="I361" s="23"/>
      <c r="J361" s="2"/>
      <c r="M361" s="24"/>
    </row>
    <row r="362">
      <c r="A362" s="11"/>
      <c r="B362" s="23"/>
      <c r="C362" s="23"/>
      <c r="D362" s="23"/>
      <c r="E362" s="23"/>
      <c r="F362" s="1"/>
      <c r="G362" s="23"/>
      <c r="H362" s="23"/>
      <c r="I362" s="23"/>
      <c r="J362" s="2"/>
      <c r="M362" s="24"/>
    </row>
    <row r="363">
      <c r="A363" s="11"/>
      <c r="B363" s="23"/>
      <c r="C363" s="23"/>
      <c r="D363" s="23"/>
      <c r="E363" s="23"/>
      <c r="F363" s="1"/>
      <c r="G363" s="23"/>
      <c r="H363" s="23"/>
      <c r="I363" s="23"/>
      <c r="J363" s="2"/>
      <c r="M363" s="24"/>
    </row>
    <row r="364">
      <c r="A364" s="11"/>
      <c r="B364" s="23"/>
      <c r="C364" s="23"/>
      <c r="D364" s="23"/>
      <c r="E364" s="23"/>
      <c r="F364" s="1"/>
      <c r="G364" s="23"/>
      <c r="H364" s="23"/>
      <c r="I364" s="23"/>
      <c r="J364" s="2"/>
      <c r="M364" s="24"/>
    </row>
    <row r="365">
      <c r="A365" s="11"/>
      <c r="B365" s="23"/>
      <c r="C365" s="23"/>
      <c r="D365" s="23"/>
      <c r="E365" s="23"/>
      <c r="F365" s="1"/>
      <c r="G365" s="23"/>
      <c r="H365" s="23"/>
      <c r="I365" s="23"/>
      <c r="J365" s="2"/>
      <c r="M365" s="24"/>
    </row>
    <row r="366">
      <c r="A366" s="11"/>
      <c r="B366" s="23"/>
      <c r="C366" s="23"/>
      <c r="D366" s="23"/>
      <c r="E366" s="23"/>
      <c r="F366" s="1"/>
      <c r="G366" s="23"/>
      <c r="H366" s="23"/>
      <c r="I366" s="23"/>
      <c r="J366" s="2"/>
      <c r="M366" s="24"/>
    </row>
    <row r="367">
      <c r="A367" s="11"/>
      <c r="B367" s="23"/>
      <c r="C367" s="23"/>
      <c r="D367" s="23"/>
      <c r="E367" s="23"/>
      <c r="F367" s="1"/>
      <c r="G367" s="23"/>
      <c r="H367" s="23"/>
      <c r="I367" s="23"/>
      <c r="J367" s="2"/>
      <c r="M367" s="24"/>
    </row>
    <row r="368">
      <c r="A368" s="11"/>
      <c r="B368" s="23"/>
      <c r="C368" s="23"/>
      <c r="D368" s="23"/>
      <c r="E368" s="23"/>
      <c r="F368" s="1"/>
      <c r="G368" s="23"/>
      <c r="H368" s="23"/>
      <c r="I368" s="23"/>
      <c r="J368" s="2"/>
      <c r="M368" s="24"/>
    </row>
    <row r="369">
      <c r="A369" s="11"/>
      <c r="B369" s="23"/>
      <c r="C369" s="23"/>
      <c r="D369" s="23"/>
      <c r="E369" s="23"/>
      <c r="F369" s="1"/>
      <c r="G369" s="23"/>
      <c r="H369" s="23"/>
      <c r="I369" s="23"/>
      <c r="J369" s="2"/>
      <c r="M369" s="24"/>
    </row>
    <row r="370">
      <c r="A370" s="11"/>
      <c r="B370" s="23"/>
      <c r="C370" s="23"/>
      <c r="D370" s="23"/>
      <c r="E370" s="23"/>
      <c r="F370" s="1"/>
      <c r="G370" s="23"/>
      <c r="H370" s="23"/>
      <c r="I370" s="23"/>
      <c r="J370" s="2"/>
      <c r="M370" s="24"/>
    </row>
    <row r="371">
      <c r="A371" s="11"/>
      <c r="B371" s="23"/>
      <c r="C371" s="23"/>
      <c r="D371" s="23"/>
      <c r="E371" s="23"/>
      <c r="F371" s="1"/>
      <c r="G371" s="23"/>
      <c r="H371" s="23"/>
      <c r="I371" s="23"/>
      <c r="J371" s="2"/>
      <c r="M371" s="24"/>
    </row>
    <row r="372">
      <c r="A372" s="11"/>
      <c r="B372" s="23"/>
      <c r="C372" s="23"/>
      <c r="D372" s="23"/>
      <c r="E372" s="23"/>
      <c r="F372" s="1"/>
      <c r="G372" s="23"/>
      <c r="H372" s="23"/>
      <c r="I372" s="23"/>
      <c r="J372" s="2"/>
      <c r="M372" s="24"/>
    </row>
    <row r="373">
      <c r="A373" s="11"/>
      <c r="B373" s="23"/>
      <c r="C373" s="23"/>
      <c r="D373" s="23"/>
      <c r="E373" s="23"/>
      <c r="F373" s="1"/>
      <c r="G373" s="23"/>
      <c r="H373" s="23"/>
      <c r="I373" s="23"/>
      <c r="J373" s="2"/>
      <c r="M373" s="24"/>
    </row>
    <row r="374">
      <c r="A374" s="11"/>
      <c r="B374" s="23"/>
      <c r="C374" s="23"/>
      <c r="D374" s="23"/>
      <c r="E374" s="23"/>
      <c r="F374" s="1"/>
      <c r="G374" s="23"/>
      <c r="H374" s="23"/>
      <c r="I374" s="23"/>
      <c r="J374" s="2"/>
      <c r="M374" s="24"/>
    </row>
    <row r="375">
      <c r="A375" s="11"/>
      <c r="B375" s="23"/>
      <c r="C375" s="23"/>
      <c r="D375" s="23"/>
      <c r="E375" s="23"/>
      <c r="F375" s="1"/>
      <c r="G375" s="23"/>
      <c r="H375" s="23"/>
      <c r="I375" s="23"/>
      <c r="J375" s="2"/>
      <c r="M375" s="24"/>
    </row>
    <row r="376">
      <c r="A376" s="11"/>
      <c r="B376" s="23"/>
      <c r="C376" s="23"/>
      <c r="D376" s="23"/>
      <c r="E376" s="23"/>
      <c r="F376" s="1"/>
      <c r="G376" s="23"/>
      <c r="H376" s="23"/>
      <c r="I376" s="23"/>
      <c r="J376" s="2"/>
      <c r="M376" s="24"/>
    </row>
    <row r="377">
      <c r="A377" s="11"/>
      <c r="B377" s="23"/>
      <c r="C377" s="23"/>
      <c r="D377" s="23"/>
      <c r="E377" s="23"/>
      <c r="F377" s="1"/>
      <c r="G377" s="23"/>
      <c r="H377" s="23"/>
      <c r="I377" s="23"/>
      <c r="J377" s="2"/>
      <c r="M377" s="24"/>
    </row>
    <row r="378">
      <c r="A378" s="11"/>
      <c r="B378" s="23"/>
      <c r="C378" s="23"/>
      <c r="D378" s="23"/>
      <c r="E378" s="23"/>
      <c r="F378" s="1"/>
      <c r="G378" s="23"/>
      <c r="H378" s="23"/>
      <c r="I378" s="23"/>
      <c r="J378" s="2"/>
      <c r="M378" s="24"/>
    </row>
    <row r="379">
      <c r="A379" s="11"/>
      <c r="B379" s="23"/>
      <c r="C379" s="23"/>
      <c r="D379" s="23"/>
      <c r="E379" s="23"/>
      <c r="F379" s="1"/>
      <c r="G379" s="23"/>
      <c r="H379" s="23"/>
      <c r="I379" s="23"/>
      <c r="J379" s="2"/>
      <c r="M379" s="24"/>
    </row>
    <row r="380">
      <c r="A380" s="11"/>
      <c r="B380" s="23"/>
      <c r="C380" s="23"/>
      <c r="D380" s="23"/>
      <c r="E380" s="23"/>
      <c r="F380" s="1"/>
      <c r="G380" s="23"/>
      <c r="H380" s="23"/>
      <c r="I380" s="23"/>
      <c r="J380" s="2"/>
      <c r="M380" s="24"/>
    </row>
    <row r="381">
      <c r="A381" s="11"/>
      <c r="B381" s="23"/>
      <c r="C381" s="23"/>
      <c r="D381" s="23"/>
      <c r="E381" s="23"/>
      <c r="F381" s="1"/>
      <c r="G381" s="23"/>
      <c r="H381" s="23"/>
      <c r="I381" s="23"/>
      <c r="J381" s="2"/>
      <c r="M381" s="24"/>
    </row>
    <row r="382">
      <c r="A382" s="11"/>
      <c r="B382" s="23"/>
      <c r="C382" s="23"/>
      <c r="D382" s="23"/>
      <c r="E382" s="23"/>
      <c r="F382" s="1"/>
      <c r="G382" s="23"/>
      <c r="H382" s="23"/>
      <c r="I382" s="23"/>
      <c r="J382" s="2"/>
      <c r="M382" s="24"/>
    </row>
    <row r="383">
      <c r="A383" s="11"/>
      <c r="B383" s="23"/>
      <c r="C383" s="23"/>
      <c r="D383" s="23"/>
      <c r="E383" s="23"/>
      <c r="F383" s="1"/>
      <c r="G383" s="23"/>
      <c r="H383" s="23"/>
      <c r="I383" s="23"/>
      <c r="J383" s="2"/>
      <c r="M383" s="24"/>
    </row>
    <row r="384">
      <c r="A384" s="11"/>
      <c r="B384" s="23"/>
      <c r="C384" s="23"/>
      <c r="D384" s="23"/>
      <c r="E384" s="23"/>
      <c r="F384" s="1"/>
      <c r="G384" s="23"/>
      <c r="H384" s="23"/>
      <c r="I384" s="23"/>
      <c r="J384" s="2"/>
      <c r="M384" s="24"/>
    </row>
    <row r="385">
      <c r="A385" s="11"/>
      <c r="B385" s="23"/>
      <c r="C385" s="23"/>
      <c r="D385" s="23"/>
      <c r="E385" s="23"/>
      <c r="F385" s="1"/>
      <c r="G385" s="23"/>
      <c r="H385" s="23"/>
      <c r="I385" s="23"/>
      <c r="J385" s="2"/>
      <c r="M385" s="24"/>
    </row>
    <row r="386">
      <c r="A386" s="11"/>
      <c r="B386" s="23"/>
      <c r="C386" s="23"/>
      <c r="D386" s="23"/>
      <c r="E386" s="23"/>
      <c r="F386" s="1"/>
      <c r="G386" s="23"/>
      <c r="H386" s="23"/>
      <c r="I386" s="23"/>
      <c r="J386" s="2"/>
      <c r="M386" s="24"/>
    </row>
    <row r="387">
      <c r="A387" s="11"/>
      <c r="B387" s="23"/>
      <c r="C387" s="23"/>
      <c r="D387" s="23"/>
      <c r="E387" s="23"/>
      <c r="F387" s="1"/>
      <c r="G387" s="23"/>
      <c r="H387" s="23"/>
      <c r="I387" s="23"/>
      <c r="J387" s="2"/>
      <c r="M387" s="24"/>
    </row>
    <row r="388">
      <c r="A388" s="11"/>
      <c r="B388" s="23"/>
      <c r="C388" s="23"/>
      <c r="D388" s="23"/>
      <c r="E388" s="23"/>
      <c r="F388" s="1"/>
      <c r="G388" s="23"/>
      <c r="H388" s="23"/>
      <c r="I388" s="23"/>
      <c r="J388" s="2"/>
      <c r="M388" s="24"/>
    </row>
    <row r="389">
      <c r="A389" s="11"/>
      <c r="B389" s="23"/>
      <c r="C389" s="23"/>
      <c r="D389" s="23"/>
      <c r="E389" s="23"/>
      <c r="F389" s="1"/>
      <c r="G389" s="23"/>
      <c r="H389" s="23"/>
      <c r="I389" s="23"/>
      <c r="J389" s="2"/>
      <c r="M389" s="24"/>
    </row>
    <row r="390">
      <c r="A390" s="11"/>
      <c r="B390" s="23"/>
      <c r="C390" s="23"/>
      <c r="D390" s="23"/>
      <c r="E390" s="23"/>
      <c r="F390" s="1"/>
      <c r="G390" s="23"/>
      <c r="H390" s="23"/>
      <c r="I390" s="23"/>
      <c r="J390" s="2"/>
      <c r="M390" s="24"/>
    </row>
    <row r="391">
      <c r="A391" s="11"/>
      <c r="B391" s="23"/>
      <c r="C391" s="23"/>
      <c r="D391" s="23"/>
      <c r="E391" s="23"/>
      <c r="F391" s="1"/>
      <c r="G391" s="23"/>
      <c r="H391" s="23"/>
      <c r="I391" s="23"/>
      <c r="J391" s="2"/>
      <c r="M391" s="24"/>
    </row>
    <row r="392">
      <c r="A392" s="11"/>
      <c r="B392" s="23"/>
      <c r="C392" s="23"/>
      <c r="D392" s="23"/>
      <c r="E392" s="23"/>
      <c r="F392" s="1"/>
      <c r="G392" s="23"/>
      <c r="H392" s="23"/>
      <c r="I392" s="23"/>
      <c r="J392" s="2"/>
      <c r="M392" s="24"/>
    </row>
    <row r="393">
      <c r="A393" s="11"/>
      <c r="B393" s="23"/>
      <c r="C393" s="23"/>
      <c r="D393" s="23"/>
      <c r="E393" s="23"/>
      <c r="F393" s="1"/>
      <c r="G393" s="23"/>
      <c r="H393" s="23"/>
      <c r="I393" s="23"/>
      <c r="J393" s="2"/>
      <c r="M393" s="24"/>
    </row>
    <row r="394">
      <c r="A394" s="11"/>
      <c r="B394" s="23"/>
      <c r="C394" s="23"/>
      <c r="D394" s="23"/>
      <c r="E394" s="23"/>
      <c r="F394" s="1"/>
      <c r="G394" s="23"/>
      <c r="H394" s="23"/>
      <c r="I394" s="23"/>
      <c r="J394" s="2"/>
      <c r="M394" s="24"/>
    </row>
    <row r="395">
      <c r="A395" s="11"/>
      <c r="B395" s="23"/>
      <c r="C395" s="23"/>
      <c r="D395" s="23"/>
      <c r="E395" s="23"/>
      <c r="F395" s="1"/>
      <c r="G395" s="23"/>
      <c r="H395" s="23"/>
      <c r="I395" s="23"/>
      <c r="J395" s="2"/>
      <c r="M395" s="24"/>
    </row>
    <row r="396">
      <c r="A396" s="11"/>
      <c r="B396" s="23"/>
      <c r="C396" s="23"/>
      <c r="D396" s="23"/>
      <c r="E396" s="23"/>
      <c r="F396" s="1"/>
      <c r="G396" s="23"/>
      <c r="H396" s="23"/>
      <c r="I396" s="23"/>
      <c r="J396" s="2"/>
      <c r="M396" s="24"/>
    </row>
    <row r="397">
      <c r="A397" s="11"/>
      <c r="B397" s="23"/>
      <c r="C397" s="23"/>
      <c r="D397" s="23"/>
      <c r="E397" s="23"/>
      <c r="F397" s="1"/>
      <c r="G397" s="23"/>
      <c r="H397" s="23"/>
      <c r="I397" s="23"/>
      <c r="J397" s="2"/>
      <c r="M397" s="24"/>
    </row>
    <row r="398">
      <c r="A398" s="11"/>
      <c r="B398" s="23"/>
      <c r="C398" s="23"/>
      <c r="D398" s="23"/>
      <c r="E398" s="23"/>
      <c r="F398" s="1"/>
      <c r="G398" s="23"/>
      <c r="H398" s="23"/>
      <c r="I398" s="23"/>
      <c r="J398" s="2"/>
      <c r="M398" s="24"/>
    </row>
    <row r="399">
      <c r="A399" s="11"/>
      <c r="B399" s="23"/>
      <c r="C399" s="23"/>
      <c r="D399" s="23"/>
      <c r="E399" s="23"/>
      <c r="F399" s="1"/>
      <c r="G399" s="23"/>
      <c r="H399" s="23"/>
      <c r="I399" s="23"/>
      <c r="J399" s="2"/>
      <c r="M399" s="24"/>
    </row>
    <row r="400">
      <c r="A400" s="11"/>
      <c r="B400" s="23"/>
      <c r="C400" s="23"/>
      <c r="D400" s="23"/>
      <c r="E400" s="23"/>
      <c r="F400" s="1"/>
      <c r="G400" s="23"/>
      <c r="H400" s="23"/>
      <c r="I400" s="23"/>
      <c r="J400" s="2"/>
      <c r="M400" s="24"/>
    </row>
    <row r="401">
      <c r="A401" s="11"/>
      <c r="B401" s="23"/>
      <c r="C401" s="23"/>
      <c r="D401" s="23"/>
      <c r="E401" s="23"/>
      <c r="F401" s="1"/>
      <c r="G401" s="23"/>
      <c r="H401" s="23"/>
      <c r="I401" s="23"/>
      <c r="J401" s="2"/>
      <c r="M401" s="24"/>
    </row>
    <row r="402">
      <c r="A402" s="11"/>
      <c r="B402" s="23"/>
      <c r="C402" s="23"/>
      <c r="D402" s="23"/>
      <c r="E402" s="23"/>
      <c r="F402" s="1"/>
      <c r="G402" s="23"/>
      <c r="H402" s="23"/>
      <c r="I402" s="23"/>
      <c r="J402" s="2"/>
      <c r="M402" s="24"/>
    </row>
    <row r="403">
      <c r="A403" s="11"/>
      <c r="B403" s="23"/>
      <c r="C403" s="23"/>
      <c r="D403" s="23"/>
      <c r="E403" s="23"/>
      <c r="F403" s="1"/>
      <c r="G403" s="23"/>
      <c r="H403" s="23"/>
      <c r="I403" s="23"/>
      <c r="J403" s="2"/>
      <c r="M403" s="24"/>
    </row>
    <row r="404">
      <c r="A404" s="11"/>
      <c r="B404" s="23"/>
      <c r="C404" s="23"/>
      <c r="D404" s="23"/>
      <c r="E404" s="23"/>
      <c r="F404" s="1"/>
      <c r="G404" s="23"/>
      <c r="H404" s="23"/>
      <c r="I404" s="23"/>
      <c r="J404" s="2"/>
      <c r="M404" s="24"/>
    </row>
    <row r="405">
      <c r="A405" s="11"/>
      <c r="B405" s="23"/>
      <c r="C405" s="23"/>
      <c r="D405" s="23"/>
      <c r="E405" s="23"/>
      <c r="F405" s="1"/>
      <c r="G405" s="23"/>
      <c r="H405" s="23"/>
      <c r="I405" s="23"/>
      <c r="J405" s="2"/>
      <c r="M405" s="24"/>
    </row>
    <row r="406">
      <c r="A406" s="11"/>
      <c r="B406" s="23"/>
      <c r="C406" s="23"/>
      <c r="D406" s="23"/>
      <c r="E406" s="23"/>
      <c r="F406" s="1"/>
      <c r="G406" s="23"/>
      <c r="H406" s="23"/>
      <c r="I406" s="23"/>
      <c r="J406" s="2"/>
      <c r="M406" s="24"/>
    </row>
    <row r="407">
      <c r="A407" s="11"/>
      <c r="B407" s="23"/>
      <c r="C407" s="23"/>
      <c r="D407" s="23"/>
      <c r="E407" s="23"/>
      <c r="F407" s="1"/>
      <c r="G407" s="23"/>
      <c r="H407" s="23"/>
      <c r="I407" s="23"/>
      <c r="J407" s="2"/>
      <c r="M407" s="24"/>
    </row>
    <row r="408">
      <c r="A408" s="11"/>
      <c r="B408" s="23"/>
      <c r="C408" s="23"/>
      <c r="D408" s="23"/>
      <c r="E408" s="23"/>
      <c r="F408" s="1"/>
      <c r="G408" s="23"/>
      <c r="H408" s="23"/>
      <c r="I408" s="23"/>
      <c r="J408" s="2"/>
      <c r="M408" s="24"/>
    </row>
    <row r="409">
      <c r="A409" s="11"/>
      <c r="B409" s="23"/>
      <c r="C409" s="23"/>
      <c r="D409" s="23"/>
      <c r="E409" s="23"/>
      <c r="F409" s="1"/>
      <c r="G409" s="23"/>
      <c r="H409" s="23"/>
      <c r="I409" s="23"/>
      <c r="J409" s="2"/>
      <c r="M409" s="24"/>
    </row>
    <row r="410">
      <c r="A410" s="11"/>
      <c r="B410" s="23"/>
      <c r="C410" s="23"/>
      <c r="D410" s="23"/>
      <c r="E410" s="23"/>
      <c r="F410" s="1"/>
      <c r="G410" s="23"/>
      <c r="H410" s="23"/>
      <c r="I410" s="23"/>
      <c r="J410" s="2"/>
      <c r="M410" s="24"/>
    </row>
    <row r="411">
      <c r="A411" s="11"/>
      <c r="B411" s="23"/>
      <c r="C411" s="23"/>
      <c r="D411" s="23"/>
      <c r="E411" s="23"/>
      <c r="F411" s="1"/>
      <c r="G411" s="23"/>
      <c r="H411" s="23"/>
      <c r="I411" s="23"/>
      <c r="J411" s="2"/>
      <c r="M411" s="24"/>
    </row>
    <row r="412">
      <c r="A412" s="11"/>
      <c r="B412" s="23"/>
      <c r="C412" s="23"/>
      <c r="D412" s="23"/>
      <c r="E412" s="23"/>
      <c r="F412" s="1"/>
      <c r="G412" s="23"/>
      <c r="H412" s="23"/>
      <c r="I412" s="23"/>
      <c r="J412" s="2"/>
      <c r="M412" s="24"/>
    </row>
    <row r="413">
      <c r="A413" s="11"/>
      <c r="B413" s="23"/>
      <c r="C413" s="23"/>
      <c r="D413" s="23"/>
      <c r="E413" s="23"/>
      <c r="F413" s="1"/>
      <c r="G413" s="23"/>
      <c r="H413" s="23"/>
      <c r="I413" s="23"/>
      <c r="J413" s="2"/>
      <c r="M413" s="24"/>
    </row>
    <row r="414">
      <c r="A414" s="11"/>
      <c r="B414" s="23"/>
      <c r="C414" s="23"/>
      <c r="D414" s="23"/>
      <c r="E414" s="23"/>
      <c r="F414" s="1"/>
      <c r="G414" s="23"/>
      <c r="H414" s="23"/>
      <c r="I414" s="23"/>
      <c r="J414" s="2"/>
      <c r="M414" s="24"/>
    </row>
    <row r="415">
      <c r="A415" s="11"/>
      <c r="B415" s="23"/>
      <c r="C415" s="23"/>
      <c r="D415" s="23"/>
      <c r="E415" s="23"/>
      <c r="F415" s="1"/>
      <c r="G415" s="23"/>
      <c r="H415" s="23"/>
      <c r="I415" s="23"/>
      <c r="J415" s="2"/>
      <c r="M415" s="24"/>
    </row>
    <row r="416">
      <c r="A416" s="11"/>
      <c r="B416" s="23"/>
      <c r="C416" s="23"/>
      <c r="D416" s="23"/>
      <c r="E416" s="23"/>
      <c r="F416" s="1"/>
      <c r="G416" s="23"/>
      <c r="H416" s="23"/>
      <c r="I416" s="23"/>
      <c r="J416" s="2"/>
      <c r="M416" s="24"/>
    </row>
    <row r="417">
      <c r="A417" s="11"/>
      <c r="B417" s="23"/>
      <c r="C417" s="23"/>
      <c r="D417" s="23"/>
      <c r="E417" s="23"/>
      <c r="F417" s="1"/>
      <c r="G417" s="23"/>
      <c r="H417" s="23"/>
      <c r="I417" s="23"/>
      <c r="J417" s="2"/>
      <c r="M417" s="24"/>
    </row>
    <row r="418">
      <c r="A418" s="11"/>
      <c r="B418" s="23"/>
      <c r="C418" s="23"/>
      <c r="D418" s="23"/>
      <c r="E418" s="23"/>
      <c r="F418" s="1"/>
      <c r="G418" s="23"/>
      <c r="H418" s="23"/>
      <c r="I418" s="23"/>
      <c r="J418" s="2"/>
      <c r="M418" s="24"/>
    </row>
    <row r="419">
      <c r="A419" s="11"/>
      <c r="B419" s="23"/>
      <c r="C419" s="23"/>
      <c r="D419" s="23"/>
      <c r="E419" s="23"/>
      <c r="F419" s="1"/>
      <c r="G419" s="23"/>
      <c r="H419" s="23"/>
      <c r="I419" s="23"/>
      <c r="J419" s="2"/>
      <c r="M419" s="24"/>
    </row>
    <row r="420">
      <c r="A420" s="11"/>
      <c r="B420" s="23"/>
      <c r="C420" s="23"/>
      <c r="D420" s="23"/>
      <c r="E420" s="23"/>
      <c r="F420" s="1"/>
      <c r="G420" s="23"/>
      <c r="H420" s="23"/>
      <c r="I420" s="23"/>
      <c r="J420" s="2"/>
      <c r="M420" s="24"/>
    </row>
    <row r="421">
      <c r="A421" s="11"/>
      <c r="B421" s="23"/>
      <c r="C421" s="23"/>
      <c r="D421" s="23"/>
      <c r="E421" s="23"/>
      <c r="F421" s="1"/>
      <c r="G421" s="23"/>
      <c r="H421" s="23"/>
      <c r="I421" s="23"/>
      <c r="J421" s="2"/>
      <c r="M421" s="24"/>
    </row>
    <row r="422">
      <c r="A422" s="11"/>
      <c r="B422" s="23"/>
      <c r="C422" s="23"/>
      <c r="D422" s="23"/>
      <c r="E422" s="23"/>
      <c r="F422" s="1"/>
      <c r="G422" s="23"/>
      <c r="H422" s="23"/>
      <c r="I422" s="23"/>
      <c r="J422" s="2"/>
      <c r="M422" s="24"/>
    </row>
    <row r="423">
      <c r="A423" s="11"/>
      <c r="B423" s="23"/>
      <c r="C423" s="23"/>
      <c r="D423" s="23"/>
      <c r="E423" s="23"/>
      <c r="F423" s="1"/>
      <c r="G423" s="23"/>
      <c r="H423" s="23"/>
      <c r="I423" s="23"/>
      <c r="J423" s="2"/>
      <c r="M423" s="24"/>
    </row>
    <row r="424">
      <c r="A424" s="11"/>
      <c r="B424" s="23"/>
      <c r="C424" s="23"/>
      <c r="D424" s="23"/>
      <c r="E424" s="23"/>
      <c r="F424" s="1"/>
      <c r="G424" s="23"/>
      <c r="H424" s="23"/>
      <c r="I424" s="23"/>
      <c r="J424" s="2"/>
      <c r="M424" s="24"/>
    </row>
    <row r="425">
      <c r="A425" s="11"/>
      <c r="B425" s="23"/>
      <c r="C425" s="23"/>
      <c r="D425" s="23"/>
      <c r="E425" s="23"/>
      <c r="F425" s="1"/>
      <c r="G425" s="23"/>
      <c r="H425" s="23"/>
      <c r="I425" s="23"/>
      <c r="J425" s="2"/>
      <c r="M425" s="24"/>
    </row>
    <row r="426">
      <c r="A426" s="11"/>
      <c r="B426" s="23"/>
      <c r="C426" s="23"/>
      <c r="D426" s="23"/>
      <c r="E426" s="23"/>
      <c r="F426" s="1"/>
      <c r="G426" s="23"/>
      <c r="H426" s="23"/>
      <c r="I426" s="23"/>
      <c r="J426" s="2"/>
      <c r="M426" s="24"/>
    </row>
    <row r="427">
      <c r="A427" s="11"/>
      <c r="B427" s="23"/>
      <c r="C427" s="23"/>
      <c r="D427" s="23"/>
      <c r="E427" s="23"/>
      <c r="F427" s="1"/>
      <c r="G427" s="23"/>
      <c r="H427" s="23"/>
      <c r="I427" s="23"/>
      <c r="J427" s="2"/>
      <c r="M427" s="24"/>
    </row>
    <row r="428">
      <c r="A428" s="11"/>
      <c r="B428" s="23"/>
      <c r="C428" s="23"/>
      <c r="D428" s="23"/>
      <c r="E428" s="23"/>
      <c r="F428" s="1"/>
      <c r="G428" s="23"/>
      <c r="H428" s="23"/>
      <c r="I428" s="23"/>
      <c r="J428" s="2"/>
      <c r="M428" s="24"/>
    </row>
    <row r="429">
      <c r="A429" s="11"/>
      <c r="B429" s="23"/>
      <c r="C429" s="23"/>
      <c r="D429" s="23"/>
      <c r="E429" s="23"/>
      <c r="F429" s="1"/>
      <c r="G429" s="23"/>
      <c r="H429" s="23"/>
      <c r="I429" s="23"/>
      <c r="J429" s="2"/>
      <c r="M429" s="24"/>
    </row>
    <row r="430">
      <c r="A430" s="11"/>
      <c r="B430" s="23"/>
      <c r="C430" s="23"/>
      <c r="D430" s="23"/>
      <c r="E430" s="23"/>
      <c r="F430" s="1"/>
      <c r="G430" s="23"/>
      <c r="H430" s="23"/>
      <c r="I430" s="23"/>
      <c r="J430" s="2"/>
      <c r="M430" s="24"/>
    </row>
    <row r="431">
      <c r="A431" s="11"/>
      <c r="B431" s="23"/>
      <c r="C431" s="23"/>
      <c r="D431" s="23"/>
      <c r="E431" s="23"/>
      <c r="F431" s="1"/>
      <c r="G431" s="23"/>
      <c r="H431" s="23"/>
      <c r="I431" s="23"/>
      <c r="J431" s="2"/>
      <c r="M431" s="24"/>
    </row>
    <row r="432">
      <c r="A432" s="11"/>
      <c r="B432" s="23"/>
      <c r="C432" s="23"/>
      <c r="D432" s="23"/>
      <c r="E432" s="23"/>
      <c r="F432" s="1"/>
      <c r="G432" s="23"/>
      <c r="H432" s="23"/>
      <c r="I432" s="23"/>
      <c r="J432" s="2"/>
      <c r="M432" s="24"/>
    </row>
    <row r="433">
      <c r="A433" s="11"/>
      <c r="B433" s="23"/>
      <c r="C433" s="23"/>
      <c r="D433" s="23"/>
      <c r="E433" s="23"/>
      <c r="F433" s="1"/>
      <c r="G433" s="23"/>
      <c r="H433" s="23"/>
      <c r="I433" s="23"/>
      <c r="J433" s="2"/>
      <c r="M433" s="24"/>
    </row>
    <row r="434">
      <c r="A434" s="11"/>
      <c r="B434" s="23"/>
      <c r="C434" s="23"/>
      <c r="D434" s="23"/>
      <c r="E434" s="23"/>
      <c r="F434" s="1"/>
      <c r="G434" s="23"/>
      <c r="H434" s="23"/>
      <c r="I434" s="23"/>
      <c r="J434" s="2"/>
      <c r="M434" s="24"/>
    </row>
    <row r="435">
      <c r="A435" s="11"/>
      <c r="B435" s="23"/>
      <c r="C435" s="23"/>
      <c r="D435" s="23"/>
      <c r="E435" s="23"/>
      <c r="F435" s="1"/>
      <c r="G435" s="23"/>
      <c r="H435" s="23"/>
      <c r="I435" s="23"/>
      <c r="J435" s="2"/>
      <c r="M435" s="24"/>
    </row>
    <row r="436">
      <c r="A436" s="11"/>
      <c r="B436" s="23"/>
      <c r="C436" s="23"/>
      <c r="D436" s="23"/>
      <c r="E436" s="23"/>
      <c r="F436" s="1"/>
      <c r="G436" s="23"/>
      <c r="H436" s="23"/>
      <c r="I436" s="23"/>
      <c r="J436" s="2"/>
      <c r="M436" s="24"/>
    </row>
    <row r="437">
      <c r="A437" s="11"/>
      <c r="B437" s="23"/>
      <c r="C437" s="23"/>
      <c r="D437" s="23"/>
      <c r="E437" s="23"/>
      <c r="F437" s="1"/>
      <c r="G437" s="23"/>
      <c r="H437" s="23"/>
      <c r="I437" s="23"/>
      <c r="J437" s="2"/>
      <c r="M437" s="24"/>
    </row>
    <row r="438">
      <c r="A438" s="11"/>
      <c r="B438" s="23"/>
      <c r="C438" s="23"/>
      <c r="D438" s="23"/>
      <c r="E438" s="23"/>
      <c r="F438" s="1"/>
      <c r="G438" s="23"/>
      <c r="H438" s="23"/>
      <c r="I438" s="23"/>
      <c r="J438" s="2"/>
      <c r="M438" s="24"/>
    </row>
    <row r="439">
      <c r="A439" s="11"/>
      <c r="B439" s="23"/>
      <c r="C439" s="23"/>
      <c r="D439" s="23"/>
      <c r="E439" s="23"/>
      <c r="F439" s="1"/>
      <c r="G439" s="23"/>
      <c r="H439" s="23"/>
      <c r="I439" s="23"/>
      <c r="J439" s="2"/>
      <c r="M439" s="24"/>
    </row>
    <row r="440">
      <c r="A440" s="11"/>
      <c r="B440" s="23"/>
      <c r="C440" s="23"/>
      <c r="D440" s="23"/>
      <c r="E440" s="23"/>
      <c r="F440" s="1"/>
      <c r="G440" s="23"/>
      <c r="H440" s="23"/>
      <c r="I440" s="23"/>
      <c r="J440" s="2"/>
      <c r="M440" s="24"/>
    </row>
    <row r="441">
      <c r="A441" s="11"/>
      <c r="B441" s="23"/>
      <c r="C441" s="23"/>
      <c r="D441" s="23"/>
      <c r="E441" s="23"/>
      <c r="F441" s="1"/>
      <c r="G441" s="23"/>
      <c r="H441" s="23"/>
      <c r="I441" s="23"/>
      <c r="J441" s="2"/>
      <c r="M441" s="24"/>
    </row>
    <row r="442">
      <c r="A442" s="11"/>
      <c r="B442" s="23"/>
      <c r="C442" s="23"/>
      <c r="D442" s="23"/>
      <c r="E442" s="23"/>
      <c r="F442" s="1"/>
      <c r="G442" s="23"/>
      <c r="H442" s="23"/>
      <c r="I442" s="23"/>
      <c r="J442" s="2"/>
      <c r="M442" s="24"/>
    </row>
    <row r="443">
      <c r="A443" s="11"/>
      <c r="B443" s="23"/>
      <c r="C443" s="23"/>
      <c r="D443" s="23"/>
      <c r="E443" s="23"/>
      <c r="F443" s="1"/>
      <c r="G443" s="23"/>
      <c r="H443" s="23"/>
      <c r="I443" s="23"/>
      <c r="J443" s="2"/>
      <c r="M443" s="24"/>
    </row>
    <row r="444">
      <c r="A444" s="11"/>
      <c r="B444" s="23"/>
      <c r="C444" s="23"/>
      <c r="D444" s="23"/>
      <c r="E444" s="23"/>
      <c r="F444" s="1"/>
      <c r="G444" s="23"/>
      <c r="H444" s="23"/>
      <c r="I444" s="23"/>
      <c r="J444" s="2"/>
      <c r="M444" s="24"/>
    </row>
    <row r="445">
      <c r="A445" s="11"/>
      <c r="B445" s="23"/>
      <c r="C445" s="23"/>
      <c r="D445" s="23"/>
      <c r="E445" s="23"/>
      <c r="F445" s="1"/>
      <c r="G445" s="23"/>
      <c r="H445" s="23"/>
      <c r="I445" s="23"/>
      <c r="J445" s="2"/>
      <c r="M445" s="24"/>
    </row>
    <row r="446">
      <c r="A446" s="11"/>
      <c r="B446" s="23"/>
      <c r="C446" s="23"/>
      <c r="D446" s="23"/>
      <c r="E446" s="23"/>
      <c r="F446" s="1"/>
      <c r="G446" s="23"/>
      <c r="H446" s="23"/>
      <c r="I446" s="23"/>
      <c r="J446" s="2"/>
      <c r="M446" s="24"/>
    </row>
    <row r="447">
      <c r="A447" s="11"/>
      <c r="B447" s="23"/>
      <c r="C447" s="23"/>
      <c r="D447" s="23"/>
      <c r="E447" s="23"/>
      <c r="F447" s="1"/>
      <c r="G447" s="23"/>
      <c r="H447" s="23"/>
      <c r="I447" s="23"/>
      <c r="J447" s="2"/>
      <c r="M447" s="24"/>
    </row>
    <row r="448">
      <c r="A448" s="11"/>
      <c r="B448" s="23"/>
      <c r="C448" s="23"/>
      <c r="D448" s="23"/>
      <c r="E448" s="23"/>
      <c r="F448" s="1"/>
      <c r="G448" s="23"/>
      <c r="H448" s="23"/>
      <c r="I448" s="23"/>
      <c r="J448" s="2"/>
      <c r="M448" s="24"/>
    </row>
    <row r="449">
      <c r="A449" s="11"/>
      <c r="B449" s="23"/>
      <c r="C449" s="23"/>
      <c r="D449" s="23"/>
      <c r="E449" s="23"/>
      <c r="F449" s="1"/>
      <c r="G449" s="23"/>
      <c r="H449" s="23"/>
      <c r="I449" s="23"/>
      <c r="J449" s="2"/>
      <c r="M449" s="24"/>
    </row>
    <row r="450">
      <c r="A450" s="11"/>
      <c r="B450" s="23"/>
      <c r="C450" s="23"/>
      <c r="D450" s="23"/>
      <c r="E450" s="23"/>
      <c r="F450" s="1"/>
      <c r="G450" s="23"/>
      <c r="H450" s="23"/>
      <c r="I450" s="23"/>
      <c r="J450" s="2"/>
      <c r="M450" s="24"/>
    </row>
    <row r="451">
      <c r="A451" s="11"/>
      <c r="B451" s="23"/>
      <c r="C451" s="23"/>
      <c r="D451" s="23"/>
      <c r="E451" s="23"/>
      <c r="F451" s="1"/>
      <c r="G451" s="23"/>
      <c r="H451" s="23"/>
      <c r="I451" s="23"/>
      <c r="J451" s="2"/>
      <c r="M451" s="24"/>
    </row>
    <row r="452">
      <c r="A452" s="11"/>
      <c r="B452" s="23"/>
      <c r="C452" s="23"/>
      <c r="D452" s="23"/>
      <c r="E452" s="23"/>
      <c r="F452" s="1"/>
      <c r="G452" s="23"/>
      <c r="H452" s="23"/>
      <c r="I452" s="23"/>
      <c r="J452" s="2"/>
      <c r="M452" s="24"/>
    </row>
    <row r="453">
      <c r="A453" s="11"/>
      <c r="B453" s="23"/>
      <c r="C453" s="23"/>
      <c r="D453" s="23"/>
      <c r="E453" s="23"/>
      <c r="F453" s="1"/>
      <c r="G453" s="23"/>
      <c r="H453" s="23"/>
      <c r="I453" s="23"/>
      <c r="J453" s="2"/>
      <c r="M453" s="24"/>
    </row>
    <row r="454">
      <c r="A454" s="11"/>
      <c r="B454" s="23"/>
      <c r="C454" s="23"/>
      <c r="D454" s="23"/>
      <c r="E454" s="23"/>
      <c r="F454" s="1"/>
      <c r="G454" s="23"/>
      <c r="H454" s="23"/>
      <c r="I454" s="23"/>
      <c r="J454" s="2"/>
      <c r="M454" s="24"/>
    </row>
    <row r="455">
      <c r="A455" s="11"/>
      <c r="B455" s="23"/>
      <c r="C455" s="23"/>
      <c r="D455" s="23"/>
      <c r="E455" s="23"/>
      <c r="F455" s="1"/>
      <c r="G455" s="23"/>
      <c r="H455" s="23"/>
      <c r="I455" s="23"/>
      <c r="J455" s="2"/>
      <c r="M455" s="24"/>
    </row>
    <row r="456">
      <c r="A456" s="11"/>
      <c r="B456" s="23"/>
      <c r="C456" s="23"/>
      <c r="D456" s="23"/>
      <c r="E456" s="23"/>
      <c r="F456" s="1"/>
      <c r="G456" s="23"/>
      <c r="H456" s="23"/>
      <c r="I456" s="23"/>
      <c r="J456" s="2"/>
      <c r="M456" s="24"/>
    </row>
    <row r="457">
      <c r="A457" s="11"/>
      <c r="B457" s="23"/>
      <c r="C457" s="23"/>
      <c r="D457" s="23"/>
      <c r="E457" s="23"/>
      <c r="F457" s="1"/>
      <c r="G457" s="23"/>
      <c r="H457" s="23"/>
      <c r="I457" s="23"/>
      <c r="J457" s="2"/>
      <c r="M457" s="24"/>
    </row>
    <row r="458">
      <c r="A458" s="11"/>
      <c r="B458" s="23"/>
      <c r="C458" s="23"/>
      <c r="D458" s="23"/>
      <c r="E458" s="23"/>
      <c r="F458" s="1"/>
      <c r="G458" s="23"/>
      <c r="H458" s="23"/>
      <c r="I458" s="23"/>
      <c r="J458" s="2"/>
      <c r="M458" s="24"/>
    </row>
    <row r="459">
      <c r="A459" s="11"/>
      <c r="B459" s="23"/>
      <c r="C459" s="23"/>
      <c r="D459" s="23"/>
      <c r="E459" s="23"/>
      <c r="F459" s="1"/>
      <c r="G459" s="23"/>
      <c r="H459" s="23"/>
      <c r="I459" s="23"/>
      <c r="J459" s="2"/>
      <c r="M459" s="24"/>
    </row>
    <row r="460">
      <c r="A460" s="11"/>
      <c r="B460" s="23"/>
      <c r="C460" s="23"/>
      <c r="D460" s="23"/>
      <c r="E460" s="23"/>
      <c r="F460" s="1"/>
      <c r="G460" s="23"/>
      <c r="H460" s="23"/>
      <c r="I460" s="23"/>
      <c r="J460" s="2"/>
      <c r="M460" s="24"/>
    </row>
    <row r="461">
      <c r="A461" s="11"/>
      <c r="B461" s="23"/>
      <c r="C461" s="23"/>
      <c r="D461" s="23"/>
      <c r="E461" s="23"/>
      <c r="F461" s="1"/>
      <c r="G461" s="23"/>
      <c r="H461" s="23"/>
      <c r="I461" s="23"/>
      <c r="J461" s="2"/>
      <c r="M461" s="24"/>
    </row>
    <row r="462">
      <c r="A462" s="11"/>
      <c r="B462" s="23"/>
      <c r="C462" s="23"/>
      <c r="D462" s="23"/>
      <c r="E462" s="23"/>
      <c r="F462" s="1"/>
      <c r="G462" s="23"/>
      <c r="H462" s="23"/>
      <c r="I462" s="23"/>
      <c r="J462" s="2"/>
      <c r="M462" s="24"/>
    </row>
    <row r="463">
      <c r="A463" s="11"/>
      <c r="B463" s="23"/>
      <c r="C463" s="23"/>
      <c r="D463" s="23"/>
      <c r="E463" s="23"/>
      <c r="F463" s="1"/>
      <c r="G463" s="23"/>
      <c r="H463" s="23"/>
      <c r="I463" s="23"/>
      <c r="J463" s="2"/>
      <c r="M463" s="24"/>
    </row>
    <row r="464">
      <c r="A464" s="11"/>
      <c r="B464" s="23"/>
      <c r="C464" s="23"/>
      <c r="D464" s="23"/>
      <c r="E464" s="23"/>
      <c r="F464" s="1"/>
      <c r="G464" s="23"/>
      <c r="H464" s="23"/>
      <c r="I464" s="23"/>
      <c r="J464" s="2"/>
      <c r="M464" s="24"/>
    </row>
    <row r="465">
      <c r="A465" s="11"/>
      <c r="B465" s="23"/>
      <c r="C465" s="23"/>
      <c r="D465" s="23"/>
      <c r="E465" s="23"/>
      <c r="F465" s="1"/>
      <c r="G465" s="23"/>
      <c r="H465" s="23"/>
      <c r="I465" s="23"/>
      <c r="J465" s="2"/>
      <c r="M465" s="24"/>
    </row>
    <row r="466">
      <c r="A466" s="11"/>
      <c r="B466" s="23"/>
      <c r="C466" s="23"/>
      <c r="D466" s="23"/>
      <c r="E466" s="23"/>
      <c r="F466" s="1"/>
      <c r="G466" s="23"/>
      <c r="H466" s="23"/>
      <c r="I466" s="23"/>
      <c r="J466" s="2"/>
      <c r="M466" s="24"/>
    </row>
    <row r="467">
      <c r="A467" s="11"/>
      <c r="B467" s="23"/>
      <c r="C467" s="23"/>
      <c r="D467" s="23"/>
      <c r="E467" s="23"/>
      <c r="F467" s="1"/>
      <c r="G467" s="23"/>
      <c r="H467" s="23"/>
      <c r="I467" s="23"/>
      <c r="J467" s="2"/>
      <c r="M467" s="24"/>
    </row>
    <row r="468">
      <c r="A468" s="11"/>
      <c r="B468" s="23"/>
      <c r="C468" s="23"/>
      <c r="D468" s="23"/>
      <c r="E468" s="23"/>
      <c r="F468" s="1"/>
      <c r="G468" s="23"/>
      <c r="H468" s="23"/>
      <c r="I468" s="23"/>
      <c r="J468" s="2"/>
      <c r="M468" s="24"/>
    </row>
    <row r="469">
      <c r="A469" s="11"/>
      <c r="B469" s="23"/>
      <c r="C469" s="23"/>
      <c r="D469" s="23"/>
      <c r="E469" s="23"/>
      <c r="F469" s="1"/>
      <c r="G469" s="23"/>
      <c r="H469" s="23"/>
      <c r="I469" s="23"/>
      <c r="J469" s="2"/>
      <c r="M469" s="24"/>
    </row>
    <row r="470">
      <c r="A470" s="11"/>
      <c r="B470" s="23"/>
      <c r="C470" s="23"/>
      <c r="D470" s="23"/>
      <c r="E470" s="23"/>
      <c r="F470" s="1"/>
      <c r="G470" s="23"/>
      <c r="H470" s="23"/>
      <c r="I470" s="23"/>
      <c r="J470" s="2"/>
      <c r="M470" s="24"/>
    </row>
    <row r="471">
      <c r="A471" s="11"/>
      <c r="B471" s="23"/>
      <c r="C471" s="23"/>
      <c r="D471" s="23"/>
      <c r="E471" s="23"/>
      <c r="F471" s="1"/>
      <c r="G471" s="23"/>
      <c r="H471" s="23"/>
      <c r="I471" s="23"/>
      <c r="J471" s="2"/>
      <c r="M471" s="24"/>
    </row>
    <row r="472">
      <c r="A472" s="11"/>
      <c r="B472" s="23"/>
      <c r="C472" s="23"/>
      <c r="D472" s="23"/>
      <c r="E472" s="23"/>
      <c r="F472" s="1"/>
      <c r="G472" s="23"/>
      <c r="H472" s="23"/>
      <c r="I472" s="23"/>
      <c r="J472" s="2"/>
      <c r="M472" s="24"/>
    </row>
    <row r="473">
      <c r="A473" s="11"/>
      <c r="B473" s="23"/>
      <c r="C473" s="23"/>
      <c r="D473" s="23"/>
      <c r="E473" s="23"/>
      <c r="F473" s="1"/>
      <c r="G473" s="23"/>
      <c r="H473" s="23"/>
      <c r="I473" s="23"/>
      <c r="J473" s="2"/>
      <c r="M473" s="24"/>
    </row>
    <row r="474">
      <c r="A474" s="11"/>
      <c r="B474" s="23"/>
      <c r="C474" s="23"/>
      <c r="D474" s="23"/>
      <c r="E474" s="23"/>
      <c r="F474" s="1"/>
      <c r="G474" s="23"/>
      <c r="H474" s="23"/>
      <c r="I474" s="23"/>
      <c r="J474" s="2"/>
      <c r="M474" s="24"/>
    </row>
    <row r="475">
      <c r="A475" s="11"/>
      <c r="B475" s="23"/>
      <c r="C475" s="23"/>
      <c r="D475" s="23"/>
      <c r="E475" s="23"/>
      <c r="F475" s="1"/>
      <c r="G475" s="23"/>
      <c r="H475" s="23"/>
      <c r="I475" s="23"/>
      <c r="J475" s="2"/>
      <c r="M475" s="24"/>
    </row>
    <row r="476">
      <c r="A476" s="11"/>
      <c r="B476" s="23"/>
      <c r="C476" s="23"/>
      <c r="D476" s="23"/>
      <c r="E476" s="23"/>
      <c r="F476" s="1"/>
      <c r="G476" s="23"/>
      <c r="H476" s="23"/>
      <c r="I476" s="23"/>
      <c r="J476" s="2"/>
      <c r="M476" s="24"/>
    </row>
    <row r="477">
      <c r="A477" s="11"/>
      <c r="B477" s="23"/>
      <c r="C477" s="23"/>
      <c r="D477" s="23"/>
      <c r="E477" s="23"/>
      <c r="F477" s="1"/>
      <c r="G477" s="23"/>
      <c r="H477" s="23"/>
      <c r="I477" s="23"/>
      <c r="J477" s="2"/>
      <c r="M477" s="24"/>
    </row>
    <row r="478">
      <c r="A478" s="11"/>
      <c r="B478" s="23"/>
      <c r="C478" s="23"/>
      <c r="D478" s="23"/>
      <c r="E478" s="23"/>
      <c r="F478" s="1"/>
      <c r="G478" s="23"/>
      <c r="H478" s="23"/>
      <c r="I478" s="23"/>
      <c r="J478" s="2"/>
      <c r="M478" s="24"/>
    </row>
    <row r="479">
      <c r="A479" s="11"/>
      <c r="B479" s="23"/>
      <c r="C479" s="23"/>
      <c r="D479" s="23"/>
      <c r="E479" s="23"/>
      <c r="F479" s="1"/>
      <c r="G479" s="23"/>
      <c r="H479" s="23"/>
      <c r="I479" s="23"/>
      <c r="J479" s="2"/>
      <c r="M479" s="24"/>
    </row>
    <row r="480">
      <c r="A480" s="11"/>
      <c r="B480" s="23"/>
      <c r="C480" s="23"/>
      <c r="D480" s="23"/>
      <c r="E480" s="23"/>
      <c r="F480" s="1"/>
      <c r="G480" s="23"/>
      <c r="H480" s="23"/>
      <c r="I480" s="23"/>
      <c r="J480" s="2"/>
      <c r="M480" s="24"/>
    </row>
    <row r="481">
      <c r="A481" s="11"/>
      <c r="B481" s="23"/>
      <c r="C481" s="23"/>
      <c r="D481" s="23"/>
      <c r="E481" s="23"/>
      <c r="F481" s="1"/>
      <c r="G481" s="23"/>
      <c r="H481" s="23"/>
      <c r="I481" s="23"/>
      <c r="J481" s="2"/>
      <c r="M481" s="24"/>
    </row>
    <row r="482">
      <c r="A482" s="11"/>
      <c r="B482" s="23"/>
      <c r="C482" s="23"/>
      <c r="D482" s="23"/>
      <c r="E482" s="23"/>
      <c r="F482" s="1"/>
      <c r="G482" s="23"/>
      <c r="H482" s="23"/>
      <c r="I482" s="23"/>
      <c r="J482" s="2"/>
      <c r="M482" s="24"/>
    </row>
    <row r="483">
      <c r="A483" s="11"/>
      <c r="B483" s="23"/>
      <c r="C483" s="23"/>
      <c r="D483" s="23"/>
      <c r="E483" s="23"/>
      <c r="F483" s="1"/>
      <c r="G483" s="23"/>
      <c r="H483" s="23"/>
      <c r="I483" s="23"/>
      <c r="J483" s="2"/>
      <c r="M483" s="24"/>
    </row>
    <row r="484">
      <c r="A484" s="11"/>
      <c r="B484" s="23"/>
      <c r="C484" s="23"/>
      <c r="D484" s="23"/>
      <c r="E484" s="23"/>
      <c r="F484" s="1"/>
      <c r="G484" s="23"/>
      <c r="H484" s="23"/>
      <c r="I484" s="23"/>
      <c r="J484" s="2"/>
      <c r="M484" s="24"/>
    </row>
    <row r="485">
      <c r="A485" s="11"/>
      <c r="B485" s="23"/>
      <c r="C485" s="23"/>
      <c r="D485" s="23"/>
      <c r="E485" s="23"/>
      <c r="F485" s="1"/>
      <c r="G485" s="23"/>
      <c r="H485" s="23"/>
      <c r="I485" s="23"/>
      <c r="J485" s="2"/>
      <c r="M485" s="24"/>
    </row>
    <row r="486">
      <c r="A486" s="11"/>
      <c r="B486" s="23"/>
      <c r="C486" s="23"/>
      <c r="D486" s="23"/>
      <c r="E486" s="23"/>
      <c r="F486" s="1"/>
      <c r="G486" s="23"/>
      <c r="H486" s="23"/>
      <c r="I486" s="23"/>
      <c r="J486" s="2"/>
      <c r="M486" s="24"/>
    </row>
    <row r="487">
      <c r="A487" s="11"/>
      <c r="B487" s="23"/>
      <c r="C487" s="23"/>
      <c r="D487" s="23"/>
      <c r="E487" s="23"/>
      <c r="F487" s="1"/>
      <c r="G487" s="23"/>
      <c r="H487" s="23"/>
      <c r="I487" s="23"/>
      <c r="J487" s="2"/>
      <c r="M487" s="24"/>
    </row>
    <row r="488">
      <c r="A488" s="11"/>
      <c r="B488" s="23"/>
      <c r="C488" s="23"/>
      <c r="D488" s="23"/>
      <c r="E488" s="23"/>
      <c r="F488" s="1"/>
      <c r="G488" s="23"/>
      <c r="H488" s="23"/>
      <c r="I488" s="23"/>
      <c r="J488" s="2"/>
      <c r="M488" s="24"/>
    </row>
    <row r="489">
      <c r="A489" s="11"/>
      <c r="B489" s="23"/>
      <c r="C489" s="23"/>
      <c r="D489" s="23"/>
      <c r="E489" s="23"/>
      <c r="F489" s="1"/>
      <c r="G489" s="23"/>
      <c r="H489" s="23"/>
      <c r="I489" s="23"/>
      <c r="J489" s="2"/>
      <c r="M489" s="24"/>
    </row>
    <row r="490">
      <c r="A490" s="11"/>
      <c r="B490" s="23"/>
      <c r="C490" s="23"/>
      <c r="D490" s="23"/>
      <c r="E490" s="23"/>
      <c r="F490" s="1"/>
      <c r="G490" s="23"/>
      <c r="H490" s="23"/>
      <c r="I490" s="23"/>
      <c r="J490" s="2"/>
      <c r="M490" s="24"/>
    </row>
    <row r="491">
      <c r="A491" s="11"/>
      <c r="B491" s="23"/>
      <c r="C491" s="23"/>
      <c r="D491" s="23"/>
      <c r="E491" s="23"/>
      <c r="F491" s="1"/>
      <c r="G491" s="23"/>
      <c r="H491" s="23"/>
      <c r="I491" s="23"/>
      <c r="J491" s="2"/>
      <c r="M491" s="24"/>
    </row>
    <row r="492">
      <c r="A492" s="11"/>
      <c r="B492" s="23"/>
      <c r="C492" s="23"/>
      <c r="D492" s="23"/>
      <c r="E492" s="23"/>
      <c r="F492" s="1"/>
      <c r="G492" s="23"/>
      <c r="H492" s="23"/>
      <c r="I492" s="23"/>
      <c r="J492" s="2"/>
      <c r="M492" s="24"/>
    </row>
    <row r="493">
      <c r="A493" s="11"/>
      <c r="B493" s="23"/>
      <c r="C493" s="23"/>
      <c r="D493" s="23"/>
      <c r="E493" s="23"/>
      <c r="F493" s="1"/>
      <c r="G493" s="23"/>
      <c r="H493" s="23"/>
      <c r="I493" s="23"/>
      <c r="J493" s="2"/>
      <c r="M493" s="24"/>
    </row>
    <row r="494">
      <c r="A494" s="11"/>
      <c r="B494" s="23"/>
      <c r="C494" s="23"/>
      <c r="D494" s="23"/>
      <c r="E494" s="23"/>
      <c r="F494" s="1"/>
      <c r="G494" s="23"/>
      <c r="H494" s="23"/>
      <c r="I494" s="23"/>
      <c r="J494" s="2"/>
      <c r="M494" s="24"/>
    </row>
    <row r="495">
      <c r="A495" s="11"/>
      <c r="B495" s="23"/>
      <c r="C495" s="23"/>
      <c r="D495" s="23"/>
      <c r="E495" s="23"/>
      <c r="F495" s="1"/>
      <c r="G495" s="23"/>
      <c r="H495" s="23"/>
      <c r="I495" s="23"/>
      <c r="J495" s="2"/>
      <c r="M495" s="24"/>
    </row>
    <row r="496">
      <c r="A496" s="11"/>
      <c r="B496" s="23"/>
      <c r="C496" s="23"/>
      <c r="D496" s="23"/>
      <c r="E496" s="23"/>
      <c r="F496" s="1"/>
      <c r="G496" s="23"/>
      <c r="H496" s="23"/>
      <c r="I496" s="23"/>
      <c r="J496" s="2"/>
      <c r="M496" s="24"/>
    </row>
    <row r="497">
      <c r="A497" s="11"/>
      <c r="B497" s="23"/>
      <c r="C497" s="23"/>
      <c r="D497" s="23"/>
      <c r="E497" s="23"/>
      <c r="F497" s="1"/>
      <c r="G497" s="23"/>
      <c r="H497" s="23"/>
      <c r="I497" s="23"/>
      <c r="J497" s="2"/>
      <c r="M497" s="24"/>
    </row>
    <row r="498">
      <c r="A498" s="11"/>
      <c r="B498" s="23"/>
      <c r="C498" s="23"/>
      <c r="D498" s="23"/>
      <c r="E498" s="23"/>
      <c r="F498" s="1"/>
      <c r="G498" s="23"/>
      <c r="H498" s="23"/>
      <c r="I498" s="23"/>
      <c r="J498" s="2"/>
      <c r="M498" s="24"/>
    </row>
    <row r="499">
      <c r="A499" s="11"/>
      <c r="B499" s="23"/>
      <c r="C499" s="23"/>
      <c r="D499" s="23"/>
      <c r="E499" s="23"/>
      <c r="F499" s="1"/>
      <c r="G499" s="23"/>
      <c r="H499" s="23"/>
      <c r="I499" s="23"/>
      <c r="J499" s="2"/>
      <c r="M499" s="24"/>
    </row>
    <row r="500">
      <c r="A500" s="11"/>
      <c r="B500" s="23"/>
      <c r="C500" s="23"/>
      <c r="D500" s="23"/>
      <c r="E500" s="23"/>
      <c r="F500" s="1"/>
      <c r="G500" s="23"/>
      <c r="H500" s="23"/>
      <c r="I500" s="23"/>
      <c r="J500" s="2"/>
      <c r="M500" s="24"/>
    </row>
    <row r="501">
      <c r="A501" s="11"/>
      <c r="B501" s="23"/>
      <c r="C501" s="23"/>
      <c r="D501" s="23"/>
      <c r="E501" s="23"/>
      <c r="F501" s="1"/>
      <c r="G501" s="23"/>
      <c r="H501" s="23"/>
      <c r="I501" s="23"/>
      <c r="J501" s="2"/>
      <c r="M501" s="24"/>
    </row>
    <row r="502">
      <c r="A502" s="11"/>
      <c r="B502" s="23"/>
      <c r="C502" s="23"/>
      <c r="D502" s="23"/>
      <c r="E502" s="23"/>
      <c r="F502" s="1"/>
      <c r="G502" s="23"/>
      <c r="H502" s="23"/>
      <c r="I502" s="23"/>
      <c r="J502" s="2"/>
      <c r="M502" s="24"/>
    </row>
    <row r="503">
      <c r="A503" s="11"/>
      <c r="B503" s="23"/>
      <c r="C503" s="23"/>
      <c r="D503" s="23"/>
      <c r="E503" s="23"/>
      <c r="F503" s="1"/>
      <c r="G503" s="23"/>
      <c r="H503" s="23"/>
      <c r="I503" s="23"/>
      <c r="J503" s="2"/>
      <c r="M503" s="24"/>
    </row>
    <row r="504">
      <c r="A504" s="11"/>
      <c r="B504" s="23"/>
      <c r="C504" s="23"/>
      <c r="D504" s="23"/>
      <c r="E504" s="23"/>
      <c r="F504" s="1"/>
      <c r="G504" s="23"/>
      <c r="H504" s="23"/>
      <c r="I504" s="23"/>
      <c r="J504" s="2"/>
      <c r="M504" s="24"/>
    </row>
    <row r="505">
      <c r="A505" s="11"/>
      <c r="B505" s="23"/>
      <c r="C505" s="23"/>
      <c r="D505" s="23"/>
      <c r="E505" s="23"/>
      <c r="F505" s="1"/>
      <c r="G505" s="23"/>
      <c r="H505" s="23"/>
      <c r="I505" s="23"/>
      <c r="J505" s="2"/>
      <c r="M505" s="24"/>
    </row>
    <row r="506">
      <c r="A506" s="11"/>
      <c r="B506" s="23"/>
      <c r="C506" s="23"/>
      <c r="D506" s="23"/>
      <c r="E506" s="23"/>
      <c r="F506" s="1"/>
      <c r="G506" s="23"/>
      <c r="H506" s="23"/>
      <c r="I506" s="23"/>
      <c r="J506" s="2"/>
      <c r="M506" s="24"/>
    </row>
    <row r="507">
      <c r="A507" s="11"/>
      <c r="B507" s="23"/>
      <c r="C507" s="23"/>
      <c r="D507" s="23"/>
      <c r="E507" s="23"/>
      <c r="F507" s="1"/>
      <c r="G507" s="23"/>
      <c r="H507" s="23"/>
      <c r="I507" s="23"/>
      <c r="J507" s="2"/>
      <c r="M507" s="24"/>
    </row>
    <row r="508">
      <c r="A508" s="11"/>
      <c r="B508" s="23"/>
      <c r="C508" s="23"/>
      <c r="D508" s="23"/>
      <c r="E508" s="23"/>
      <c r="F508" s="1"/>
      <c r="G508" s="23"/>
      <c r="H508" s="23"/>
      <c r="I508" s="23"/>
      <c r="J508" s="2"/>
      <c r="M508" s="24"/>
    </row>
    <row r="509">
      <c r="A509" s="11"/>
      <c r="B509" s="23"/>
      <c r="C509" s="23"/>
      <c r="D509" s="23"/>
      <c r="E509" s="23"/>
      <c r="F509" s="1"/>
      <c r="G509" s="23"/>
      <c r="H509" s="23"/>
      <c r="I509" s="23"/>
      <c r="J509" s="2"/>
      <c r="M509" s="24"/>
    </row>
    <row r="510">
      <c r="A510" s="11"/>
      <c r="B510" s="23"/>
      <c r="C510" s="23"/>
      <c r="D510" s="23"/>
      <c r="E510" s="23"/>
      <c r="F510" s="1"/>
      <c r="G510" s="23"/>
      <c r="H510" s="23"/>
      <c r="I510" s="23"/>
      <c r="J510" s="2"/>
      <c r="M510" s="24"/>
    </row>
    <row r="511">
      <c r="A511" s="11"/>
      <c r="B511" s="23"/>
      <c r="C511" s="23"/>
      <c r="D511" s="23"/>
      <c r="E511" s="23"/>
      <c r="F511" s="1"/>
      <c r="G511" s="23"/>
      <c r="H511" s="23"/>
      <c r="I511" s="23"/>
      <c r="J511" s="2"/>
      <c r="M511" s="24"/>
    </row>
    <row r="512">
      <c r="A512" s="11"/>
      <c r="B512" s="23"/>
      <c r="C512" s="23"/>
      <c r="D512" s="23"/>
      <c r="E512" s="23"/>
      <c r="F512" s="1"/>
      <c r="G512" s="23"/>
      <c r="H512" s="23"/>
      <c r="I512" s="23"/>
      <c r="J512" s="2"/>
      <c r="M512" s="24"/>
    </row>
    <row r="513">
      <c r="A513" s="11"/>
      <c r="B513" s="23"/>
      <c r="C513" s="23"/>
      <c r="D513" s="23"/>
      <c r="E513" s="23"/>
      <c r="F513" s="1"/>
      <c r="G513" s="23"/>
      <c r="H513" s="23"/>
      <c r="I513" s="23"/>
      <c r="J513" s="2"/>
      <c r="M513" s="24"/>
    </row>
    <row r="514">
      <c r="A514" s="11"/>
      <c r="B514" s="23"/>
      <c r="C514" s="23"/>
      <c r="D514" s="23"/>
      <c r="E514" s="23"/>
      <c r="F514" s="1"/>
      <c r="G514" s="23"/>
      <c r="H514" s="23"/>
      <c r="I514" s="23"/>
      <c r="J514" s="2"/>
      <c r="M514" s="24"/>
    </row>
    <row r="515">
      <c r="A515" s="11"/>
      <c r="B515" s="23"/>
      <c r="C515" s="23"/>
      <c r="D515" s="23"/>
      <c r="E515" s="23"/>
      <c r="F515" s="1"/>
      <c r="G515" s="23"/>
      <c r="H515" s="23"/>
      <c r="I515" s="23"/>
      <c r="J515" s="2"/>
      <c r="M515" s="24"/>
    </row>
    <row r="516">
      <c r="A516" s="11"/>
      <c r="B516" s="23"/>
      <c r="C516" s="23"/>
      <c r="D516" s="23"/>
      <c r="E516" s="23"/>
      <c r="F516" s="1"/>
      <c r="G516" s="23"/>
      <c r="H516" s="23"/>
      <c r="I516" s="23"/>
      <c r="J516" s="2"/>
      <c r="M516" s="24"/>
    </row>
    <row r="517">
      <c r="A517" s="11"/>
      <c r="B517" s="23"/>
      <c r="C517" s="23"/>
      <c r="D517" s="23"/>
      <c r="E517" s="23"/>
      <c r="F517" s="1"/>
      <c r="G517" s="23"/>
      <c r="H517" s="23"/>
      <c r="I517" s="23"/>
      <c r="J517" s="2"/>
      <c r="M517" s="24"/>
    </row>
    <row r="518">
      <c r="A518" s="11"/>
      <c r="B518" s="23"/>
      <c r="C518" s="23"/>
      <c r="D518" s="23"/>
      <c r="E518" s="23"/>
      <c r="F518" s="1"/>
      <c r="G518" s="23"/>
      <c r="H518" s="23"/>
      <c r="I518" s="23"/>
      <c r="J518" s="2"/>
      <c r="M518" s="24"/>
    </row>
    <row r="519">
      <c r="A519" s="11"/>
      <c r="B519" s="23"/>
      <c r="C519" s="23"/>
      <c r="D519" s="23"/>
      <c r="E519" s="23"/>
      <c r="F519" s="1"/>
      <c r="G519" s="23"/>
      <c r="H519" s="23"/>
      <c r="I519" s="23"/>
      <c r="J519" s="2"/>
      <c r="M519" s="24"/>
    </row>
    <row r="520">
      <c r="A520" s="11"/>
      <c r="B520" s="23"/>
      <c r="C520" s="23"/>
      <c r="D520" s="23"/>
      <c r="E520" s="23"/>
      <c r="F520" s="1"/>
      <c r="G520" s="23"/>
      <c r="H520" s="23"/>
      <c r="I520" s="23"/>
      <c r="J520" s="2"/>
      <c r="M520" s="24"/>
    </row>
    <row r="521">
      <c r="A521" s="11"/>
      <c r="B521" s="23"/>
      <c r="C521" s="23"/>
      <c r="D521" s="23"/>
      <c r="E521" s="23"/>
      <c r="F521" s="1"/>
      <c r="G521" s="23"/>
      <c r="H521" s="23"/>
      <c r="I521" s="23"/>
      <c r="J521" s="2"/>
      <c r="M521" s="24"/>
    </row>
    <row r="522">
      <c r="A522" s="11"/>
      <c r="B522" s="23"/>
      <c r="C522" s="23"/>
      <c r="D522" s="23"/>
      <c r="E522" s="23"/>
      <c r="F522" s="1"/>
      <c r="G522" s="23"/>
      <c r="H522" s="23"/>
      <c r="I522" s="23"/>
      <c r="J522" s="2"/>
      <c r="M522" s="24"/>
    </row>
    <row r="523">
      <c r="A523" s="11"/>
      <c r="B523" s="23"/>
      <c r="C523" s="23"/>
      <c r="D523" s="23"/>
      <c r="E523" s="23"/>
      <c r="F523" s="1"/>
      <c r="G523" s="23"/>
      <c r="H523" s="23"/>
      <c r="I523" s="23"/>
      <c r="J523" s="2"/>
      <c r="M523" s="24"/>
    </row>
    <row r="524">
      <c r="A524" s="11"/>
      <c r="B524" s="23"/>
      <c r="C524" s="23"/>
      <c r="D524" s="23"/>
      <c r="E524" s="23"/>
      <c r="F524" s="1"/>
      <c r="G524" s="23"/>
      <c r="H524" s="23"/>
      <c r="I524" s="23"/>
      <c r="J524" s="2"/>
      <c r="M524" s="24"/>
    </row>
    <row r="525">
      <c r="A525" s="11"/>
      <c r="B525" s="23"/>
      <c r="C525" s="23"/>
      <c r="D525" s="23"/>
      <c r="E525" s="23"/>
      <c r="F525" s="1"/>
      <c r="G525" s="23"/>
      <c r="H525" s="23"/>
      <c r="I525" s="23"/>
      <c r="J525" s="2"/>
      <c r="M525" s="24"/>
    </row>
    <row r="526">
      <c r="A526" s="11"/>
      <c r="B526" s="23"/>
      <c r="C526" s="23"/>
      <c r="D526" s="23"/>
      <c r="E526" s="23"/>
      <c r="F526" s="1"/>
      <c r="G526" s="23"/>
      <c r="H526" s="23"/>
      <c r="I526" s="23"/>
      <c r="J526" s="2"/>
      <c r="M526" s="24"/>
    </row>
    <row r="527">
      <c r="A527" s="11"/>
      <c r="B527" s="23"/>
      <c r="C527" s="23"/>
      <c r="D527" s="23"/>
      <c r="E527" s="23"/>
      <c r="F527" s="1"/>
      <c r="G527" s="23"/>
      <c r="H527" s="23"/>
      <c r="I527" s="23"/>
      <c r="J527" s="2"/>
      <c r="M527" s="24"/>
    </row>
    <row r="528">
      <c r="A528" s="11"/>
      <c r="B528" s="23"/>
      <c r="C528" s="23"/>
      <c r="D528" s="23"/>
      <c r="E528" s="23"/>
      <c r="F528" s="1"/>
      <c r="G528" s="23"/>
      <c r="H528" s="23"/>
      <c r="I528" s="23"/>
      <c r="J528" s="2"/>
      <c r="M528" s="24"/>
    </row>
    <row r="529">
      <c r="A529" s="11"/>
      <c r="B529" s="23"/>
      <c r="C529" s="23"/>
      <c r="D529" s="23"/>
      <c r="E529" s="23"/>
      <c r="F529" s="1"/>
      <c r="G529" s="23"/>
      <c r="H529" s="23"/>
      <c r="I529" s="23"/>
      <c r="J529" s="2"/>
      <c r="M529" s="24"/>
    </row>
    <row r="530">
      <c r="A530" s="11"/>
      <c r="B530" s="23"/>
      <c r="C530" s="23"/>
      <c r="D530" s="23"/>
      <c r="E530" s="23"/>
      <c r="F530" s="1"/>
      <c r="G530" s="23"/>
      <c r="H530" s="23"/>
      <c r="I530" s="23"/>
      <c r="J530" s="2"/>
      <c r="M530" s="24"/>
    </row>
    <row r="531">
      <c r="A531" s="11"/>
      <c r="B531" s="23"/>
      <c r="C531" s="23"/>
      <c r="D531" s="23"/>
      <c r="E531" s="23"/>
      <c r="F531" s="1"/>
      <c r="G531" s="23"/>
      <c r="H531" s="23"/>
      <c r="I531" s="23"/>
      <c r="J531" s="2"/>
      <c r="M531" s="24"/>
    </row>
    <row r="532">
      <c r="A532" s="11"/>
      <c r="B532" s="23"/>
      <c r="C532" s="23"/>
      <c r="D532" s="23"/>
      <c r="E532" s="23"/>
      <c r="F532" s="1"/>
      <c r="G532" s="23"/>
      <c r="H532" s="23"/>
      <c r="I532" s="23"/>
      <c r="J532" s="2"/>
      <c r="M532" s="24"/>
    </row>
    <row r="533">
      <c r="A533" s="11"/>
      <c r="B533" s="23"/>
      <c r="C533" s="23"/>
      <c r="D533" s="23"/>
      <c r="E533" s="23"/>
      <c r="F533" s="1"/>
      <c r="G533" s="23"/>
      <c r="H533" s="23"/>
      <c r="I533" s="23"/>
      <c r="J533" s="2"/>
      <c r="M533" s="24"/>
    </row>
    <row r="534">
      <c r="A534" s="11"/>
      <c r="B534" s="23"/>
      <c r="C534" s="23"/>
      <c r="D534" s="23"/>
      <c r="E534" s="23"/>
      <c r="F534" s="1"/>
      <c r="G534" s="23"/>
      <c r="H534" s="23"/>
      <c r="I534" s="23"/>
      <c r="J534" s="2"/>
      <c r="M534" s="24"/>
    </row>
    <row r="535">
      <c r="A535" s="11"/>
      <c r="B535" s="23"/>
      <c r="C535" s="23"/>
      <c r="D535" s="23"/>
      <c r="E535" s="23"/>
      <c r="F535" s="1"/>
      <c r="G535" s="23"/>
      <c r="H535" s="23"/>
      <c r="I535" s="23"/>
      <c r="J535" s="2"/>
      <c r="M535" s="24"/>
    </row>
    <row r="536">
      <c r="A536" s="11"/>
      <c r="B536" s="23"/>
      <c r="C536" s="23"/>
      <c r="D536" s="23"/>
      <c r="E536" s="23"/>
      <c r="F536" s="1"/>
      <c r="G536" s="23"/>
      <c r="H536" s="23"/>
      <c r="I536" s="23"/>
      <c r="J536" s="2"/>
      <c r="M536" s="24"/>
    </row>
    <row r="537">
      <c r="A537" s="11"/>
      <c r="B537" s="23"/>
      <c r="C537" s="23"/>
      <c r="D537" s="23"/>
      <c r="E537" s="23"/>
      <c r="F537" s="1"/>
      <c r="G537" s="23"/>
      <c r="H537" s="23"/>
      <c r="I537" s="23"/>
      <c r="J537" s="2"/>
      <c r="M537" s="24"/>
    </row>
    <row r="538">
      <c r="A538" s="11"/>
      <c r="B538" s="23"/>
      <c r="C538" s="23"/>
      <c r="D538" s="23"/>
      <c r="E538" s="23"/>
      <c r="F538" s="1"/>
      <c r="G538" s="23"/>
      <c r="H538" s="23"/>
      <c r="I538" s="23"/>
      <c r="J538" s="2"/>
      <c r="M538" s="24"/>
    </row>
    <row r="539">
      <c r="A539" s="11"/>
      <c r="B539" s="23"/>
      <c r="C539" s="23"/>
      <c r="D539" s="23"/>
      <c r="E539" s="23"/>
      <c r="F539" s="1"/>
      <c r="G539" s="23"/>
      <c r="H539" s="23"/>
      <c r="I539" s="23"/>
      <c r="J539" s="2"/>
      <c r="M539" s="24"/>
    </row>
    <row r="540">
      <c r="A540" s="11"/>
      <c r="B540" s="23"/>
      <c r="C540" s="23"/>
      <c r="D540" s="23"/>
      <c r="E540" s="23"/>
      <c r="F540" s="1"/>
      <c r="G540" s="23"/>
      <c r="H540" s="23"/>
      <c r="I540" s="23"/>
      <c r="J540" s="2"/>
      <c r="M540" s="24"/>
    </row>
    <row r="541">
      <c r="A541" s="11"/>
      <c r="B541" s="23"/>
      <c r="C541" s="23"/>
      <c r="D541" s="23"/>
      <c r="E541" s="23"/>
      <c r="F541" s="1"/>
      <c r="G541" s="23"/>
      <c r="H541" s="23"/>
      <c r="I541" s="23"/>
      <c r="J541" s="2"/>
      <c r="M541" s="24"/>
    </row>
    <row r="542">
      <c r="A542" s="11"/>
      <c r="B542" s="23"/>
      <c r="C542" s="23"/>
      <c r="D542" s="23"/>
      <c r="E542" s="23"/>
      <c r="F542" s="1"/>
      <c r="G542" s="23"/>
      <c r="H542" s="23"/>
      <c r="I542" s="23"/>
      <c r="J542" s="2"/>
      <c r="M542" s="24"/>
    </row>
    <row r="543">
      <c r="A543" s="11"/>
      <c r="B543" s="23"/>
      <c r="C543" s="23"/>
      <c r="D543" s="23"/>
      <c r="E543" s="23"/>
      <c r="F543" s="1"/>
      <c r="G543" s="23"/>
      <c r="H543" s="23"/>
      <c r="I543" s="23"/>
      <c r="J543" s="2"/>
      <c r="M543" s="24"/>
    </row>
    <row r="544">
      <c r="A544" s="11"/>
      <c r="B544" s="23"/>
      <c r="C544" s="23"/>
      <c r="D544" s="23"/>
      <c r="E544" s="23"/>
      <c r="F544" s="1"/>
      <c r="G544" s="23"/>
      <c r="H544" s="23"/>
      <c r="I544" s="23"/>
      <c r="J544" s="2"/>
      <c r="M544" s="24"/>
    </row>
    <row r="545">
      <c r="A545" s="11"/>
      <c r="B545" s="23"/>
      <c r="C545" s="23"/>
      <c r="D545" s="23"/>
      <c r="E545" s="23"/>
      <c r="F545" s="1"/>
      <c r="G545" s="23"/>
      <c r="H545" s="23"/>
      <c r="I545" s="23"/>
      <c r="J545" s="2"/>
      <c r="M545" s="24"/>
    </row>
    <row r="546">
      <c r="A546" s="11"/>
      <c r="B546" s="23"/>
      <c r="C546" s="23"/>
      <c r="D546" s="23"/>
      <c r="E546" s="23"/>
      <c r="F546" s="1"/>
      <c r="G546" s="23"/>
      <c r="H546" s="23"/>
      <c r="I546" s="23"/>
      <c r="J546" s="2"/>
      <c r="M546" s="24"/>
    </row>
    <row r="547">
      <c r="A547" s="11"/>
      <c r="B547" s="23"/>
      <c r="C547" s="23"/>
      <c r="D547" s="23"/>
      <c r="E547" s="23"/>
      <c r="F547" s="1"/>
      <c r="G547" s="23"/>
      <c r="H547" s="23"/>
      <c r="I547" s="23"/>
      <c r="J547" s="2"/>
      <c r="M547" s="24"/>
    </row>
    <row r="548">
      <c r="A548" s="11"/>
      <c r="B548" s="23"/>
      <c r="C548" s="23"/>
      <c r="D548" s="23"/>
      <c r="E548" s="23"/>
      <c r="F548" s="1"/>
      <c r="G548" s="23"/>
      <c r="H548" s="23"/>
      <c r="I548" s="23"/>
      <c r="J548" s="2"/>
      <c r="M548" s="24"/>
    </row>
    <row r="549">
      <c r="A549" s="11"/>
      <c r="B549" s="23"/>
      <c r="C549" s="23"/>
      <c r="D549" s="23"/>
      <c r="E549" s="23"/>
      <c r="F549" s="1"/>
      <c r="G549" s="23"/>
      <c r="H549" s="23"/>
      <c r="I549" s="23"/>
      <c r="J549" s="2"/>
      <c r="M549" s="24"/>
    </row>
    <row r="550">
      <c r="A550" s="11"/>
      <c r="B550" s="23"/>
      <c r="C550" s="23"/>
      <c r="D550" s="23"/>
      <c r="E550" s="23"/>
      <c r="F550" s="1"/>
      <c r="G550" s="23"/>
      <c r="H550" s="23"/>
      <c r="I550" s="23"/>
      <c r="J550" s="2"/>
      <c r="M550" s="24"/>
    </row>
    <row r="551">
      <c r="A551" s="11"/>
      <c r="B551" s="23"/>
      <c r="C551" s="23"/>
      <c r="D551" s="23"/>
      <c r="E551" s="23"/>
      <c r="F551" s="1"/>
      <c r="G551" s="23"/>
      <c r="H551" s="23"/>
      <c r="I551" s="23"/>
      <c r="J551" s="2"/>
      <c r="M551" s="24"/>
    </row>
    <row r="552">
      <c r="A552" s="11"/>
      <c r="B552" s="23"/>
      <c r="C552" s="23"/>
      <c r="D552" s="23"/>
      <c r="E552" s="23"/>
      <c r="F552" s="1"/>
      <c r="G552" s="23"/>
      <c r="H552" s="23"/>
      <c r="I552" s="23"/>
      <c r="J552" s="2"/>
      <c r="M552" s="24"/>
    </row>
    <row r="553">
      <c r="A553" s="11"/>
      <c r="B553" s="23"/>
      <c r="C553" s="23"/>
      <c r="D553" s="23"/>
      <c r="E553" s="23"/>
      <c r="F553" s="1"/>
      <c r="G553" s="23"/>
      <c r="H553" s="23"/>
      <c r="I553" s="23"/>
      <c r="J553" s="2"/>
      <c r="M553" s="24"/>
    </row>
    <row r="554">
      <c r="A554" s="11"/>
      <c r="B554" s="23"/>
      <c r="C554" s="23"/>
      <c r="D554" s="23"/>
      <c r="E554" s="23"/>
      <c r="F554" s="1"/>
      <c r="G554" s="23"/>
      <c r="H554" s="23"/>
      <c r="I554" s="23"/>
      <c r="J554" s="2"/>
      <c r="M554" s="24"/>
    </row>
    <row r="555">
      <c r="A555" s="11"/>
      <c r="B555" s="23"/>
      <c r="C555" s="23"/>
      <c r="D555" s="23"/>
      <c r="E555" s="23"/>
      <c r="F555" s="1"/>
      <c r="G555" s="23"/>
      <c r="H555" s="23"/>
      <c r="I555" s="23"/>
      <c r="J555" s="2"/>
      <c r="M555" s="24"/>
    </row>
    <row r="556">
      <c r="A556" s="11"/>
      <c r="B556" s="23"/>
      <c r="C556" s="23"/>
      <c r="D556" s="23"/>
      <c r="E556" s="23"/>
      <c r="F556" s="1"/>
      <c r="G556" s="23"/>
      <c r="H556" s="23"/>
      <c r="I556" s="23"/>
      <c r="J556" s="2"/>
      <c r="M556" s="24"/>
    </row>
    <row r="557">
      <c r="A557" s="11"/>
      <c r="B557" s="23"/>
      <c r="C557" s="23"/>
      <c r="D557" s="23"/>
      <c r="E557" s="23"/>
      <c r="F557" s="1"/>
      <c r="G557" s="23"/>
      <c r="H557" s="23"/>
      <c r="I557" s="23"/>
      <c r="J557" s="2"/>
      <c r="M557" s="24"/>
    </row>
    <row r="558">
      <c r="A558" s="11"/>
      <c r="B558" s="23"/>
      <c r="C558" s="23"/>
      <c r="D558" s="23"/>
      <c r="E558" s="23"/>
      <c r="F558" s="1"/>
      <c r="G558" s="23"/>
      <c r="H558" s="23"/>
      <c r="I558" s="23"/>
      <c r="J558" s="2"/>
      <c r="M558" s="24"/>
    </row>
    <row r="559">
      <c r="A559" s="11"/>
      <c r="B559" s="23"/>
      <c r="C559" s="23"/>
      <c r="D559" s="23"/>
      <c r="E559" s="23"/>
      <c r="F559" s="1"/>
      <c r="G559" s="23"/>
      <c r="H559" s="23"/>
      <c r="I559" s="23"/>
      <c r="J559" s="2"/>
      <c r="M559" s="24"/>
    </row>
    <row r="560">
      <c r="A560" s="11"/>
      <c r="B560" s="23"/>
      <c r="C560" s="23"/>
      <c r="D560" s="23"/>
      <c r="E560" s="23"/>
      <c r="F560" s="1"/>
      <c r="G560" s="23"/>
      <c r="H560" s="23"/>
      <c r="I560" s="23"/>
      <c r="J560" s="2"/>
      <c r="M560" s="24"/>
    </row>
    <row r="561">
      <c r="A561" s="11"/>
      <c r="B561" s="23"/>
      <c r="C561" s="23"/>
      <c r="D561" s="23"/>
      <c r="E561" s="23"/>
      <c r="F561" s="1"/>
      <c r="G561" s="23"/>
      <c r="H561" s="23"/>
      <c r="I561" s="23"/>
      <c r="J561" s="2"/>
      <c r="M561" s="24"/>
    </row>
    <row r="562">
      <c r="A562" s="11"/>
      <c r="B562" s="23"/>
      <c r="C562" s="23"/>
      <c r="D562" s="23"/>
      <c r="E562" s="23"/>
      <c r="F562" s="1"/>
      <c r="G562" s="23"/>
      <c r="H562" s="23"/>
      <c r="I562" s="23"/>
      <c r="J562" s="2"/>
      <c r="M562" s="24"/>
    </row>
    <row r="563">
      <c r="A563" s="11"/>
      <c r="B563" s="23"/>
      <c r="C563" s="23"/>
      <c r="D563" s="23"/>
      <c r="E563" s="23"/>
      <c r="F563" s="1"/>
      <c r="G563" s="23"/>
      <c r="H563" s="23"/>
      <c r="I563" s="23"/>
      <c r="J563" s="2"/>
      <c r="M563" s="24"/>
    </row>
    <row r="564">
      <c r="A564" s="11"/>
      <c r="B564" s="23"/>
      <c r="C564" s="23"/>
      <c r="D564" s="23"/>
      <c r="E564" s="23"/>
      <c r="F564" s="1"/>
      <c r="G564" s="23"/>
      <c r="H564" s="23"/>
      <c r="I564" s="23"/>
      <c r="J564" s="2"/>
      <c r="M564" s="24"/>
    </row>
    <row r="565">
      <c r="A565" s="11"/>
      <c r="B565" s="23"/>
      <c r="C565" s="23"/>
      <c r="D565" s="23"/>
      <c r="E565" s="23"/>
      <c r="F565" s="1"/>
      <c r="G565" s="23"/>
      <c r="H565" s="23"/>
      <c r="I565" s="23"/>
      <c r="J565" s="2"/>
      <c r="M565" s="24"/>
    </row>
    <row r="566">
      <c r="A566" s="11"/>
      <c r="B566" s="23"/>
      <c r="C566" s="23"/>
      <c r="D566" s="23"/>
      <c r="E566" s="23"/>
      <c r="F566" s="1"/>
      <c r="G566" s="23"/>
      <c r="H566" s="23"/>
      <c r="I566" s="23"/>
      <c r="J566" s="2"/>
      <c r="M566" s="24"/>
    </row>
    <row r="567">
      <c r="A567" s="11"/>
      <c r="B567" s="23"/>
      <c r="C567" s="23"/>
      <c r="D567" s="23"/>
      <c r="E567" s="23"/>
      <c r="F567" s="1"/>
      <c r="G567" s="23"/>
      <c r="H567" s="23"/>
      <c r="I567" s="23"/>
      <c r="J567" s="2"/>
      <c r="M567" s="24"/>
    </row>
    <row r="568">
      <c r="A568" s="11"/>
      <c r="B568" s="23"/>
      <c r="C568" s="23"/>
      <c r="D568" s="23"/>
      <c r="E568" s="23"/>
      <c r="F568" s="1"/>
      <c r="G568" s="23"/>
      <c r="H568" s="23"/>
      <c r="I568" s="23"/>
      <c r="J568" s="2"/>
      <c r="M568" s="24"/>
    </row>
    <row r="569">
      <c r="A569" s="11"/>
      <c r="B569" s="23"/>
      <c r="C569" s="23"/>
      <c r="D569" s="23"/>
      <c r="E569" s="23"/>
      <c r="F569" s="1"/>
      <c r="G569" s="23"/>
      <c r="H569" s="23"/>
      <c r="I569" s="23"/>
      <c r="J569" s="2"/>
      <c r="M569" s="24"/>
    </row>
    <row r="570">
      <c r="A570" s="11"/>
      <c r="B570" s="23"/>
      <c r="C570" s="23"/>
      <c r="D570" s="23"/>
      <c r="E570" s="23"/>
      <c r="F570" s="1"/>
      <c r="G570" s="23"/>
      <c r="H570" s="23"/>
      <c r="I570" s="23"/>
      <c r="J570" s="2"/>
      <c r="M570" s="24"/>
    </row>
    <row r="571">
      <c r="A571" s="11"/>
      <c r="B571" s="23"/>
      <c r="C571" s="23"/>
      <c r="D571" s="23"/>
      <c r="E571" s="23"/>
      <c r="F571" s="1"/>
      <c r="G571" s="23"/>
      <c r="H571" s="23"/>
      <c r="I571" s="23"/>
      <c r="J571" s="2"/>
      <c r="M571" s="24"/>
    </row>
    <row r="572">
      <c r="A572" s="11"/>
      <c r="B572" s="23"/>
      <c r="C572" s="23"/>
      <c r="D572" s="23"/>
      <c r="E572" s="23"/>
      <c r="F572" s="1"/>
      <c r="G572" s="23"/>
      <c r="H572" s="23"/>
      <c r="I572" s="23"/>
      <c r="J572" s="2"/>
      <c r="M572" s="24"/>
    </row>
    <row r="573">
      <c r="A573" s="11"/>
      <c r="B573" s="23"/>
      <c r="C573" s="23"/>
      <c r="D573" s="23"/>
      <c r="E573" s="23"/>
      <c r="F573" s="1"/>
      <c r="G573" s="23"/>
      <c r="H573" s="23"/>
      <c r="I573" s="23"/>
      <c r="J573" s="2"/>
      <c r="M573" s="24"/>
    </row>
    <row r="574">
      <c r="A574" s="11"/>
      <c r="B574" s="23"/>
      <c r="C574" s="23"/>
      <c r="D574" s="23"/>
      <c r="E574" s="23"/>
      <c r="F574" s="1"/>
      <c r="G574" s="23"/>
      <c r="H574" s="23"/>
      <c r="I574" s="23"/>
      <c r="J574" s="2"/>
      <c r="M574" s="24"/>
    </row>
    <row r="575">
      <c r="A575" s="11"/>
      <c r="B575" s="23"/>
      <c r="C575" s="23"/>
      <c r="D575" s="23"/>
      <c r="E575" s="23"/>
      <c r="F575" s="1"/>
      <c r="G575" s="23"/>
      <c r="H575" s="23"/>
      <c r="I575" s="23"/>
      <c r="J575" s="2"/>
      <c r="M575" s="24"/>
    </row>
    <row r="576">
      <c r="A576" s="11"/>
      <c r="B576" s="23"/>
      <c r="C576" s="23"/>
      <c r="D576" s="23"/>
      <c r="E576" s="23"/>
      <c r="F576" s="1"/>
      <c r="G576" s="23"/>
      <c r="H576" s="23"/>
      <c r="I576" s="23"/>
      <c r="J576" s="2"/>
      <c r="M576" s="24"/>
    </row>
    <row r="577">
      <c r="A577" s="11"/>
      <c r="B577" s="23"/>
      <c r="C577" s="23"/>
      <c r="D577" s="23"/>
      <c r="E577" s="23"/>
      <c r="F577" s="1"/>
      <c r="G577" s="23"/>
      <c r="H577" s="23"/>
      <c r="I577" s="23"/>
      <c r="J577" s="2"/>
      <c r="M577" s="24"/>
    </row>
    <row r="578">
      <c r="A578" s="11"/>
      <c r="B578" s="23"/>
      <c r="C578" s="23"/>
      <c r="D578" s="23"/>
      <c r="E578" s="23"/>
      <c r="F578" s="1"/>
      <c r="G578" s="23"/>
      <c r="H578" s="23"/>
      <c r="I578" s="23"/>
      <c r="J578" s="2"/>
      <c r="M578" s="24"/>
    </row>
    <row r="579">
      <c r="A579" s="11"/>
      <c r="B579" s="23"/>
      <c r="C579" s="23"/>
      <c r="D579" s="23"/>
      <c r="E579" s="23"/>
      <c r="F579" s="1"/>
      <c r="G579" s="23"/>
      <c r="H579" s="23"/>
      <c r="I579" s="23"/>
      <c r="J579" s="2"/>
      <c r="M579" s="24"/>
    </row>
    <row r="580">
      <c r="A580" s="11"/>
      <c r="B580" s="23"/>
      <c r="C580" s="23"/>
      <c r="D580" s="23"/>
      <c r="E580" s="23"/>
      <c r="F580" s="1"/>
      <c r="G580" s="23"/>
      <c r="H580" s="23"/>
      <c r="I580" s="23"/>
      <c r="J580" s="2"/>
      <c r="M580" s="24"/>
    </row>
    <row r="581">
      <c r="A581" s="11"/>
      <c r="B581" s="23"/>
      <c r="C581" s="23"/>
      <c r="D581" s="23"/>
      <c r="E581" s="23"/>
      <c r="F581" s="1"/>
      <c r="G581" s="23"/>
      <c r="H581" s="23"/>
      <c r="I581" s="23"/>
      <c r="J581" s="2"/>
      <c r="M581" s="24"/>
    </row>
    <row r="582">
      <c r="A582" s="11"/>
      <c r="B582" s="23"/>
      <c r="C582" s="23"/>
      <c r="D582" s="23"/>
      <c r="E582" s="23"/>
      <c r="F582" s="1"/>
      <c r="G582" s="23"/>
      <c r="H582" s="23"/>
      <c r="I582" s="23"/>
      <c r="J582" s="2"/>
      <c r="M582" s="24"/>
    </row>
    <row r="583">
      <c r="A583" s="11"/>
      <c r="B583" s="23"/>
      <c r="C583" s="23"/>
      <c r="D583" s="23"/>
      <c r="E583" s="23"/>
      <c r="F583" s="1"/>
      <c r="G583" s="23"/>
      <c r="H583" s="23"/>
      <c r="I583" s="23"/>
      <c r="J583" s="2"/>
      <c r="M583" s="24"/>
    </row>
    <row r="584">
      <c r="A584" s="11"/>
      <c r="B584" s="23"/>
      <c r="C584" s="23"/>
      <c r="D584" s="23"/>
      <c r="E584" s="23"/>
      <c r="F584" s="1"/>
      <c r="G584" s="23"/>
      <c r="H584" s="23"/>
      <c r="I584" s="23"/>
      <c r="J584" s="2"/>
      <c r="M584" s="24"/>
    </row>
    <row r="585">
      <c r="A585" s="11"/>
      <c r="B585" s="23"/>
      <c r="C585" s="23"/>
      <c r="D585" s="23"/>
      <c r="E585" s="23"/>
      <c r="F585" s="1"/>
      <c r="G585" s="23"/>
      <c r="H585" s="23"/>
      <c r="I585" s="23"/>
      <c r="J585" s="2"/>
      <c r="M585" s="24"/>
    </row>
    <row r="586">
      <c r="A586" s="11"/>
      <c r="B586" s="23"/>
      <c r="C586" s="23"/>
      <c r="D586" s="23"/>
      <c r="E586" s="23"/>
      <c r="F586" s="1"/>
      <c r="G586" s="23"/>
      <c r="H586" s="23"/>
      <c r="I586" s="23"/>
      <c r="J586" s="2"/>
      <c r="M586" s="24"/>
    </row>
    <row r="587">
      <c r="A587" s="11"/>
      <c r="B587" s="23"/>
      <c r="C587" s="23"/>
      <c r="D587" s="23"/>
      <c r="E587" s="23"/>
      <c r="F587" s="1"/>
      <c r="G587" s="23"/>
      <c r="H587" s="23"/>
      <c r="I587" s="23"/>
      <c r="J587" s="2"/>
      <c r="M587" s="24"/>
    </row>
    <row r="588">
      <c r="A588" s="11"/>
      <c r="B588" s="23"/>
      <c r="C588" s="23"/>
      <c r="D588" s="23"/>
      <c r="E588" s="23"/>
      <c r="F588" s="1"/>
      <c r="G588" s="23"/>
      <c r="H588" s="23"/>
      <c r="I588" s="23"/>
      <c r="J588" s="2"/>
      <c r="M588" s="24"/>
    </row>
    <row r="589">
      <c r="A589" s="11"/>
      <c r="B589" s="23"/>
      <c r="C589" s="23"/>
      <c r="D589" s="23"/>
      <c r="E589" s="23"/>
      <c r="F589" s="1"/>
      <c r="G589" s="23"/>
      <c r="H589" s="23"/>
      <c r="I589" s="23"/>
      <c r="J589" s="2"/>
      <c r="M589" s="24"/>
    </row>
    <row r="590">
      <c r="A590" s="11"/>
      <c r="B590" s="23"/>
      <c r="C590" s="23"/>
      <c r="D590" s="23"/>
      <c r="E590" s="23"/>
      <c r="F590" s="1"/>
      <c r="G590" s="23"/>
      <c r="H590" s="23"/>
      <c r="I590" s="23"/>
      <c r="J590" s="2"/>
      <c r="M590" s="24"/>
    </row>
    <row r="591">
      <c r="A591" s="11"/>
      <c r="B591" s="23"/>
      <c r="C591" s="23"/>
      <c r="D591" s="23"/>
      <c r="E591" s="23"/>
      <c r="F591" s="1"/>
      <c r="G591" s="23"/>
      <c r="H591" s="23"/>
      <c r="I591" s="23"/>
      <c r="J591" s="2"/>
      <c r="M591" s="24"/>
    </row>
    <row r="592">
      <c r="A592" s="11"/>
      <c r="B592" s="23"/>
      <c r="C592" s="23"/>
      <c r="D592" s="23"/>
      <c r="E592" s="23"/>
      <c r="F592" s="1"/>
      <c r="G592" s="23"/>
      <c r="H592" s="23"/>
      <c r="I592" s="23"/>
      <c r="J592" s="2"/>
      <c r="M592" s="24"/>
    </row>
    <row r="593">
      <c r="A593" s="11"/>
      <c r="B593" s="23"/>
      <c r="C593" s="23"/>
      <c r="D593" s="23"/>
      <c r="E593" s="23"/>
      <c r="F593" s="1"/>
      <c r="G593" s="23"/>
      <c r="H593" s="23"/>
      <c r="I593" s="23"/>
      <c r="J593" s="2"/>
      <c r="M593" s="24"/>
    </row>
    <row r="594">
      <c r="A594" s="11"/>
      <c r="B594" s="23"/>
      <c r="C594" s="23"/>
      <c r="D594" s="23"/>
      <c r="E594" s="23"/>
      <c r="F594" s="1"/>
      <c r="G594" s="23"/>
      <c r="H594" s="23"/>
      <c r="I594" s="23"/>
      <c r="J594" s="2"/>
      <c r="M594" s="24"/>
    </row>
    <row r="595">
      <c r="A595" s="11"/>
      <c r="B595" s="23"/>
      <c r="C595" s="23"/>
      <c r="D595" s="23"/>
      <c r="E595" s="23"/>
      <c r="F595" s="1"/>
      <c r="G595" s="23"/>
      <c r="H595" s="23"/>
      <c r="I595" s="23"/>
      <c r="J595" s="2"/>
      <c r="M595" s="24"/>
    </row>
    <row r="596">
      <c r="A596" s="11"/>
      <c r="B596" s="23"/>
      <c r="C596" s="23"/>
      <c r="D596" s="23"/>
      <c r="E596" s="23"/>
      <c r="F596" s="1"/>
      <c r="G596" s="23"/>
      <c r="H596" s="23"/>
      <c r="I596" s="23"/>
      <c r="J596" s="2"/>
      <c r="M596" s="24"/>
    </row>
    <row r="597">
      <c r="A597" s="11"/>
      <c r="B597" s="23"/>
      <c r="C597" s="23"/>
      <c r="D597" s="23"/>
      <c r="E597" s="23"/>
      <c r="F597" s="1"/>
      <c r="G597" s="23"/>
      <c r="H597" s="23"/>
      <c r="I597" s="23"/>
      <c r="J597" s="2"/>
      <c r="M597" s="24"/>
    </row>
    <row r="598">
      <c r="A598" s="11"/>
      <c r="B598" s="23"/>
      <c r="C598" s="23"/>
      <c r="D598" s="23"/>
      <c r="E598" s="23"/>
      <c r="F598" s="1"/>
      <c r="G598" s="23"/>
      <c r="H598" s="23"/>
      <c r="I598" s="23"/>
      <c r="J598" s="2"/>
      <c r="M598" s="24"/>
    </row>
    <row r="599">
      <c r="A599" s="11"/>
      <c r="B599" s="23"/>
      <c r="C599" s="23"/>
      <c r="D599" s="23"/>
      <c r="E599" s="23"/>
      <c r="F599" s="1"/>
      <c r="G599" s="23"/>
      <c r="H599" s="23"/>
      <c r="I599" s="23"/>
      <c r="J599" s="2"/>
      <c r="M599" s="24"/>
    </row>
    <row r="600">
      <c r="A600" s="11"/>
      <c r="B600" s="23"/>
      <c r="C600" s="23"/>
      <c r="D600" s="23"/>
      <c r="E600" s="23"/>
      <c r="F600" s="1"/>
      <c r="G600" s="23"/>
      <c r="H600" s="23"/>
      <c r="I600" s="23"/>
      <c r="J600" s="2"/>
      <c r="M600" s="24"/>
    </row>
    <row r="601">
      <c r="A601" s="11"/>
      <c r="B601" s="23"/>
      <c r="C601" s="23"/>
      <c r="D601" s="23"/>
      <c r="E601" s="23"/>
      <c r="F601" s="1"/>
      <c r="G601" s="23"/>
      <c r="H601" s="23"/>
      <c r="I601" s="23"/>
      <c r="J601" s="2"/>
      <c r="M601" s="24"/>
    </row>
    <row r="602">
      <c r="A602" s="11"/>
      <c r="B602" s="23"/>
      <c r="C602" s="23"/>
      <c r="D602" s="23"/>
      <c r="E602" s="23"/>
      <c r="F602" s="1"/>
      <c r="G602" s="23"/>
      <c r="H602" s="23"/>
      <c r="I602" s="23"/>
      <c r="J602" s="2"/>
      <c r="M602" s="24"/>
    </row>
    <row r="603">
      <c r="A603" s="11"/>
      <c r="B603" s="23"/>
      <c r="C603" s="23"/>
      <c r="D603" s="23"/>
      <c r="E603" s="23"/>
      <c r="F603" s="1"/>
      <c r="G603" s="23"/>
      <c r="H603" s="23"/>
      <c r="I603" s="23"/>
      <c r="J603" s="2"/>
      <c r="M603" s="24"/>
    </row>
    <row r="604">
      <c r="A604" s="11"/>
      <c r="B604" s="23"/>
      <c r="C604" s="23"/>
      <c r="D604" s="23"/>
      <c r="E604" s="23"/>
      <c r="F604" s="1"/>
      <c r="G604" s="23"/>
      <c r="H604" s="23"/>
      <c r="I604" s="23"/>
      <c r="J604" s="2"/>
      <c r="M604" s="24"/>
    </row>
    <row r="605">
      <c r="A605" s="11"/>
      <c r="B605" s="23"/>
      <c r="C605" s="23"/>
      <c r="D605" s="23"/>
      <c r="E605" s="23"/>
      <c r="F605" s="1"/>
      <c r="G605" s="23"/>
      <c r="H605" s="23"/>
      <c r="I605" s="23"/>
      <c r="J605" s="2"/>
      <c r="M605" s="24"/>
    </row>
    <row r="606">
      <c r="A606" s="11"/>
      <c r="B606" s="23"/>
      <c r="C606" s="23"/>
      <c r="D606" s="23"/>
      <c r="E606" s="23"/>
      <c r="F606" s="1"/>
      <c r="G606" s="23"/>
      <c r="H606" s="23"/>
      <c r="I606" s="23"/>
      <c r="J606" s="2"/>
      <c r="M606" s="24"/>
    </row>
    <row r="607">
      <c r="A607" s="11"/>
      <c r="B607" s="23"/>
      <c r="C607" s="23"/>
      <c r="D607" s="23"/>
      <c r="E607" s="23"/>
      <c r="F607" s="1"/>
      <c r="G607" s="23"/>
      <c r="H607" s="23"/>
      <c r="I607" s="23"/>
      <c r="J607" s="2"/>
      <c r="M607" s="24"/>
    </row>
    <row r="608">
      <c r="A608" s="11"/>
      <c r="B608" s="23"/>
      <c r="C608" s="23"/>
      <c r="D608" s="23"/>
      <c r="E608" s="23"/>
      <c r="F608" s="1"/>
      <c r="G608" s="23"/>
      <c r="H608" s="23"/>
      <c r="I608" s="23"/>
      <c r="J608" s="2"/>
      <c r="M608" s="24"/>
    </row>
    <row r="609">
      <c r="A609" s="11"/>
      <c r="B609" s="23"/>
      <c r="C609" s="23"/>
      <c r="D609" s="23"/>
      <c r="E609" s="23"/>
      <c r="F609" s="1"/>
      <c r="G609" s="23"/>
      <c r="H609" s="23"/>
      <c r="I609" s="23"/>
      <c r="J609" s="2"/>
      <c r="M609" s="24"/>
    </row>
    <row r="610">
      <c r="A610" s="11"/>
      <c r="B610" s="23"/>
      <c r="C610" s="23"/>
      <c r="D610" s="23"/>
      <c r="E610" s="23"/>
      <c r="F610" s="1"/>
      <c r="G610" s="23"/>
      <c r="H610" s="23"/>
      <c r="I610" s="23"/>
      <c r="J610" s="2"/>
      <c r="M610" s="24"/>
    </row>
    <row r="611">
      <c r="A611" s="11"/>
      <c r="B611" s="23"/>
      <c r="C611" s="23"/>
      <c r="D611" s="23"/>
      <c r="E611" s="23"/>
      <c r="F611" s="1"/>
      <c r="G611" s="23"/>
      <c r="H611" s="23"/>
      <c r="I611" s="23"/>
      <c r="J611" s="2"/>
      <c r="M611" s="24"/>
    </row>
    <row r="612">
      <c r="A612" s="11"/>
      <c r="B612" s="23"/>
      <c r="C612" s="23"/>
      <c r="D612" s="23"/>
      <c r="E612" s="23"/>
      <c r="F612" s="1"/>
      <c r="G612" s="23"/>
      <c r="H612" s="23"/>
      <c r="I612" s="23"/>
      <c r="J612" s="2"/>
      <c r="M612" s="24"/>
    </row>
    <row r="613">
      <c r="A613" s="11"/>
      <c r="B613" s="23"/>
      <c r="C613" s="23"/>
      <c r="D613" s="23"/>
      <c r="E613" s="23"/>
      <c r="F613" s="1"/>
      <c r="G613" s="23"/>
      <c r="H613" s="23"/>
      <c r="I613" s="23"/>
      <c r="J613" s="2"/>
      <c r="M613" s="24"/>
    </row>
    <row r="614">
      <c r="A614" s="11"/>
      <c r="B614" s="23"/>
      <c r="C614" s="23"/>
      <c r="D614" s="23"/>
      <c r="E614" s="23"/>
      <c r="F614" s="1"/>
      <c r="G614" s="23"/>
      <c r="H614" s="23"/>
      <c r="I614" s="23"/>
      <c r="J614" s="2"/>
      <c r="M614" s="24"/>
    </row>
    <row r="615">
      <c r="A615" s="11"/>
      <c r="B615" s="23"/>
      <c r="C615" s="23"/>
      <c r="D615" s="23"/>
      <c r="E615" s="23"/>
      <c r="F615" s="1"/>
      <c r="G615" s="23"/>
      <c r="H615" s="23"/>
      <c r="I615" s="23"/>
      <c r="J615" s="2"/>
      <c r="M615" s="24"/>
    </row>
    <row r="616">
      <c r="A616" s="11"/>
      <c r="B616" s="23"/>
      <c r="C616" s="23"/>
      <c r="D616" s="23"/>
      <c r="E616" s="23"/>
      <c r="F616" s="1"/>
      <c r="G616" s="23"/>
      <c r="H616" s="23"/>
      <c r="I616" s="23"/>
      <c r="J616" s="2"/>
      <c r="M616" s="24"/>
    </row>
    <row r="617">
      <c r="A617" s="11"/>
      <c r="B617" s="23"/>
      <c r="C617" s="23"/>
      <c r="D617" s="23"/>
      <c r="E617" s="23"/>
      <c r="F617" s="1"/>
      <c r="G617" s="23"/>
      <c r="H617" s="23"/>
      <c r="I617" s="23"/>
      <c r="J617" s="2"/>
      <c r="M617" s="24"/>
    </row>
    <row r="618">
      <c r="A618" s="11"/>
      <c r="B618" s="23"/>
      <c r="C618" s="23"/>
      <c r="D618" s="23"/>
      <c r="E618" s="23"/>
      <c r="F618" s="1"/>
      <c r="G618" s="23"/>
      <c r="H618" s="23"/>
      <c r="I618" s="23"/>
      <c r="J618" s="2"/>
      <c r="M618" s="24"/>
    </row>
    <row r="619">
      <c r="A619" s="11"/>
      <c r="B619" s="23"/>
      <c r="C619" s="23"/>
      <c r="D619" s="23"/>
      <c r="E619" s="23"/>
      <c r="F619" s="1"/>
      <c r="G619" s="23"/>
      <c r="H619" s="23"/>
      <c r="I619" s="23"/>
      <c r="J619" s="2"/>
      <c r="M619" s="24"/>
    </row>
    <row r="620">
      <c r="A620" s="11"/>
      <c r="B620" s="23"/>
      <c r="C620" s="23"/>
      <c r="D620" s="23"/>
      <c r="E620" s="23"/>
      <c r="F620" s="1"/>
      <c r="G620" s="23"/>
      <c r="H620" s="23"/>
      <c r="I620" s="23"/>
      <c r="J620" s="2"/>
      <c r="M620" s="24"/>
    </row>
    <row r="621">
      <c r="A621" s="11"/>
      <c r="B621" s="23"/>
      <c r="C621" s="23"/>
      <c r="D621" s="23"/>
      <c r="E621" s="23"/>
      <c r="F621" s="1"/>
      <c r="G621" s="23"/>
      <c r="H621" s="23"/>
      <c r="I621" s="23"/>
      <c r="J621" s="2"/>
      <c r="M621" s="24"/>
    </row>
    <row r="622">
      <c r="A622" s="11"/>
      <c r="B622" s="23"/>
      <c r="C622" s="23"/>
      <c r="D622" s="23"/>
      <c r="E622" s="23"/>
      <c r="F622" s="1"/>
      <c r="G622" s="23"/>
      <c r="H622" s="23"/>
      <c r="I622" s="23"/>
      <c r="J622" s="2"/>
      <c r="M622" s="24"/>
    </row>
    <row r="623">
      <c r="A623" s="11"/>
      <c r="B623" s="23"/>
      <c r="C623" s="23"/>
      <c r="D623" s="23"/>
      <c r="E623" s="23"/>
      <c r="F623" s="1"/>
      <c r="G623" s="23"/>
      <c r="H623" s="23"/>
      <c r="I623" s="23"/>
      <c r="J623" s="2"/>
      <c r="M623" s="24"/>
    </row>
    <row r="624">
      <c r="A624" s="11"/>
      <c r="B624" s="23"/>
      <c r="C624" s="23"/>
      <c r="D624" s="23"/>
      <c r="E624" s="23"/>
      <c r="F624" s="1"/>
      <c r="G624" s="23"/>
      <c r="H624" s="23"/>
      <c r="I624" s="23"/>
      <c r="J624" s="2"/>
      <c r="M624" s="24"/>
    </row>
    <row r="625">
      <c r="A625" s="11"/>
      <c r="B625" s="23"/>
      <c r="C625" s="23"/>
      <c r="D625" s="23"/>
      <c r="E625" s="23"/>
      <c r="F625" s="1"/>
      <c r="G625" s="23"/>
      <c r="H625" s="23"/>
      <c r="I625" s="23"/>
      <c r="J625" s="2"/>
      <c r="M625" s="24"/>
    </row>
    <row r="626">
      <c r="A626" s="11"/>
      <c r="B626" s="23"/>
      <c r="C626" s="23"/>
      <c r="D626" s="23"/>
      <c r="E626" s="23"/>
      <c r="F626" s="1"/>
      <c r="G626" s="23"/>
      <c r="H626" s="23"/>
      <c r="I626" s="23"/>
      <c r="J626" s="2"/>
      <c r="M626" s="24"/>
    </row>
    <row r="627">
      <c r="A627" s="11"/>
      <c r="B627" s="23"/>
      <c r="C627" s="23"/>
      <c r="D627" s="23"/>
      <c r="E627" s="23"/>
      <c r="F627" s="1"/>
      <c r="G627" s="23"/>
      <c r="H627" s="23"/>
      <c r="I627" s="23"/>
      <c r="J627" s="2"/>
      <c r="M627" s="24"/>
    </row>
    <row r="628">
      <c r="A628" s="11"/>
      <c r="B628" s="23"/>
      <c r="C628" s="23"/>
      <c r="D628" s="23"/>
      <c r="E628" s="23"/>
      <c r="F628" s="1"/>
      <c r="G628" s="23"/>
      <c r="H628" s="23"/>
      <c r="I628" s="23"/>
      <c r="J628" s="2"/>
      <c r="M628" s="24"/>
    </row>
    <row r="629">
      <c r="A629" s="11"/>
      <c r="B629" s="23"/>
      <c r="C629" s="23"/>
      <c r="D629" s="23"/>
      <c r="E629" s="23"/>
      <c r="F629" s="1"/>
      <c r="G629" s="23"/>
      <c r="H629" s="23"/>
      <c r="I629" s="23"/>
      <c r="J629" s="2"/>
      <c r="M629" s="24"/>
    </row>
    <row r="630">
      <c r="A630" s="11"/>
      <c r="B630" s="23"/>
      <c r="C630" s="23"/>
      <c r="D630" s="23"/>
      <c r="E630" s="23"/>
      <c r="F630" s="1"/>
      <c r="G630" s="23"/>
      <c r="H630" s="23"/>
      <c r="I630" s="23"/>
      <c r="J630" s="2"/>
      <c r="M630" s="24"/>
    </row>
    <row r="631">
      <c r="A631" s="11"/>
      <c r="B631" s="23"/>
      <c r="C631" s="23"/>
      <c r="D631" s="23"/>
      <c r="E631" s="23"/>
      <c r="F631" s="1"/>
      <c r="G631" s="23"/>
      <c r="H631" s="23"/>
      <c r="I631" s="23"/>
      <c r="J631" s="2"/>
      <c r="M631" s="24"/>
    </row>
    <row r="632">
      <c r="A632" s="11"/>
      <c r="B632" s="23"/>
      <c r="C632" s="23"/>
      <c r="D632" s="23"/>
      <c r="E632" s="23"/>
      <c r="F632" s="1"/>
      <c r="G632" s="23"/>
      <c r="H632" s="23"/>
      <c r="I632" s="23"/>
      <c r="J632" s="2"/>
      <c r="M632" s="24"/>
    </row>
    <row r="633">
      <c r="A633" s="11"/>
      <c r="B633" s="23"/>
      <c r="C633" s="23"/>
      <c r="D633" s="23"/>
      <c r="E633" s="23"/>
      <c r="F633" s="1"/>
      <c r="G633" s="23"/>
      <c r="H633" s="23"/>
      <c r="I633" s="23"/>
      <c r="J633" s="2"/>
      <c r="M633" s="24"/>
    </row>
    <row r="634">
      <c r="A634" s="11"/>
      <c r="B634" s="23"/>
      <c r="C634" s="23"/>
      <c r="D634" s="23"/>
      <c r="E634" s="23"/>
      <c r="F634" s="1"/>
      <c r="G634" s="23"/>
      <c r="H634" s="23"/>
      <c r="I634" s="23"/>
      <c r="J634" s="2"/>
      <c r="M634" s="24"/>
    </row>
    <row r="635">
      <c r="A635" s="11"/>
      <c r="B635" s="23"/>
      <c r="C635" s="23"/>
      <c r="D635" s="23"/>
      <c r="E635" s="23"/>
      <c r="F635" s="1"/>
      <c r="G635" s="23"/>
      <c r="H635" s="23"/>
      <c r="I635" s="23"/>
      <c r="J635" s="2"/>
      <c r="M635" s="24"/>
    </row>
    <row r="636">
      <c r="A636" s="11"/>
      <c r="B636" s="23"/>
      <c r="C636" s="23"/>
      <c r="D636" s="23"/>
      <c r="E636" s="23"/>
      <c r="F636" s="1"/>
      <c r="G636" s="23"/>
      <c r="H636" s="23"/>
      <c r="I636" s="23"/>
      <c r="J636" s="2"/>
      <c r="M636" s="24"/>
    </row>
    <row r="637">
      <c r="A637" s="11"/>
      <c r="B637" s="23"/>
      <c r="C637" s="23"/>
      <c r="D637" s="23"/>
      <c r="E637" s="23"/>
      <c r="F637" s="1"/>
      <c r="G637" s="23"/>
      <c r="H637" s="23"/>
      <c r="I637" s="23"/>
      <c r="J637" s="2"/>
      <c r="M637" s="24"/>
    </row>
    <row r="638">
      <c r="A638" s="11"/>
      <c r="B638" s="23"/>
      <c r="C638" s="23"/>
      <c r="D638" s="23"/>
      <c r="E638" s="23"/>
      <c r="F638" s="1"/>
      <c r="G638" s="23"/>
      <c r="H638" s="23"/>
      <c r="I638" s="23"/>
      <c r="J638" s="2"/>
      <c r="M638" s="24"/>
    </row>
    <row r="639">
      <c r="A639" s="11"/>
      <c r="B639" s="23"/>
      <c r="C639" s="23"/>
      <c r="D639" s="23"/>
      <c r="E639" s="23"/>
      <c r="F639" s="1"/>
      <c r="G639" s="23"/>
      <c r="H639" s="23"/>
      <c r="I639" s="23"/>
      <c r="J639" s="2"/>
      <c r="M639" s="24"/>
    </row>
    <row r="640">
      <c r="A640" s="11"/>
      <c r="B640" s="23"/>
      <c r="C640" s="23"/>
      <c r="D640" s="23"/>
      <c r="E640" s="23"/>
      <c r="F640" s="1"/>
      <c r="G640" s="23"/>
      <c r="H640" s="23"/>
      <c r="I640" s="23"/>
      <c r="J640" s="2"/>
      <c r="M640" s="24"/>
    </row>
    <row r="641">
      <c r="A641" s="11"/>
      <c r="B641" s="23"/>
      <c r="C641" s="23"/>
      <c r="D641" s="23"/>
      <c r="E641" s="23"/>
      <c r="F641" s="1"/>
      <c r="G641" s="23"/>
      <c r="H641" s="23"/>
      <c r="I641" s="23"/>
      <c r="J641" s="2"/>
      <c r="M641" s="24"/>
    </row>
    <row r="642">
      <c r="A642" s="11"/>
      <c r="B642" s="23"/>
      <c r="C642" s="23"/>
      <c r="D642" s="23"/>
      <c r="E642" s="23"/>
      <c r="F642" s="1"/>
      <c r="G642" s="23"/>
      <c r="H642" s="23"/>
      <c r="I642" s="23"/>
      <c r="J642" s="2"/>
      <c r="M642" s="24"/>
    </row>
    <row r="643">
      <c r="A643" s="11"/>
      <c r="B643" s="23"/>
      <c r="C643" s="23"/>
      <c r="D643" s="23"/>
      <c r="E643" s="23"/>
      <c r="F643" s="1"/>
      <c r="G643" s="23"/>
      <c r="H643" s="23"/>
      <c r="I643" s="23"/>
      <c r="J643" s="2"/>
      <c r="M643" s="24"/>
    </row>
    <row r="644">
      <c r="A644" s="11"/>
      <c r="B644" s="23"/>
      <c r="C644" s="23"/>
      <c r="D644" s="23"/>
      <c r="E644" s="23"/>
      <c r="F644" s="1"/>
      <c r="G644" s="23"/>
      <c r="H644" s="23"/>
      <c r="I644" s="23"/>
      <c r="J644" s="2"/>
      <c r="M644" s="24"/>
    </row>
    <row r="645">
      <c r="A645" s="11"/>
      <c r="B645" s="23"/>
      <c r="C645" s="23"/>
      <c r="D645" s="23"/>
      <c r="E645" s="23"/>
      <c r="F645" s="1"/>
      <c r="G645" s="23"/>
      <c r="H645" s="23"/>
      <c r="I645" s="23"/>
      <c r="J645" s="2"/>
      <c r="M645" s="24"/>
    </row>
    <row r="646">
      <c r="A646" s="11"/>
      <c r="B646" s="23"/>
      <c r="C646" s="23"/>
      <c r="D646" s="23"/>
      <c r="E646" s="23"/>
      <c r="F646" s="1"/>
      <c r="G646" s="23"/>
      <c r="H646" s="23"/>
      <c r="I646" s="23"/>
      <c r="J646" s="2"/>
      <c r="M646" s="24"/>
    </row>
    <row r="647">
      <c r="A647" s="11"/>
      <c r="B647" s="23"/>
      <c r="C647" s="23"/>
      <c r="D647" s="23"/>
      <c r="E647" s="23"/>
      <c r="F647" s="1"/>
      <c r="G647" s="23"/>
      <c r="H647" s="23"/>
      <c r="I647" s="23"/>
      <c r="J647" s="2"/>
      <c r="M647" s="24"/>
    </row>
    <row r="648">
      <c r="A648" s="11"/>
      <c r="B648" s="23"/>
      <c r="C648" s="23"/>
      <c r="D648" s="23"/>
      <c r="E648" s="23"/>
      <c r="F648" s="1"/>
      <c r="G648" s="23"/>
      <c r="H648" s="23"/>
      <c r="I648" s="23"/>
      <c r="J648" s="2"/>
      <c r="M648" s="24"/>
    </row>
    <row r="649">
      <c r="A649" s="11"/>
      <c r="B649" s="23"/>
      <c r="C649" s="23"/>
      <c r="D649" s="23"/>
      <c r="E649" s="23"/>
      <c r="F649" s="1"/>
      <c r="G649" s="23"/>
      <c r="H649" s="23"/>
      <c r="I649" s="23"/>
      <c r="J649" s="2"/>
      <c r="M649" s="24"/>
    </row>
    <row r="650">
      <c r="A650" s="11"/>
      <c r="B650" s="23"/>
      <c r="C650" s="23"/>
      <c r="D650" s="23"/>
      <c r="E650" s="23"/>
      <c r="F650" s="1"/>
      <c r="G650" s="23"/>
      <c r="H650" s="23"/>
      <c r="I650" s="23"/>
      <c r="J650" s="2"/>
      <c r="M650" s="24"/>
    </row>
    <row r="651">
      <c r="A651" s="11"/>
      <c r="B651" s="23"/>
      <c r="C651" s="23"/>
      <c r="D651" s="23"/>
      <c r="E651" s="23"/>
      <c r="F651" s="1"/>
      <c r="G651" s="23"/>
      <c r="H651" s="23"/>
      <c r="I651" s="23"/>
      <c r="J651" s="2"/>
      <c r="M651" s="24"/>
    </row>
    <row r="652">
      <c r="A652" s="11"/>
      <c r="B652" s="23"/>
      <c r="C652" s="23"/>
      <c r="D652" s="23"/>
      <c r="E652" s="23"/>
      <c r="F652" s="1"/>
      <c r="G652" s="23"/>
      <c r="H652" s="23"/>
      <c r="I652" s="23"/>
      <c r="J652" s="2"/>
      <c r="M652" s="24"/>
    </row>
    <row r="653">
      <c r="A653" s="11"/>
      <c r="B653" s="23"/>
      <c r="C653" s="23"/>
      <c r="D653" s="23"/>
      <c r="E653" s="23"/>
      <c r="F653" s="1"/>
      <c r="G653" s="23"/>
      <c r="H653" s="23"/>
      <c r="I653" s="23"/>
      <c r="J653" s="2"/>
      <c r="M653" s="24"/>
    </row>
    <row r="654">
      <c r="A654" s="11"/>
      <c r="B654" s="23"/>
      <c r="C654" s="23"/>
      <c r="D654" s="23"/>
      <c r="E654" s="23"/>
      <c r="F654" s="1"/>
      <c r="G654" s="23"/>
      <c r="H654" s="23"/>
      <c r="I654" s="23"/>
      <c r="J654" s="2"/>
      <c r="M654" s="24"/>
    </row>
    <row r="655">
      <c r="A655" s="11"/>
      <c r="B655" s="23"/>
      <c r="C655" s="23"/>
      <c r="D655" s="23"/>
      <c r="E655" s="23"/>
      <c r="F655" s="1"/>
      <c r="G655" s="23"/>
      <c r="H655" s="23"/>
      <c r="I655" s="23"/>
      <c r="J655" s="2"/>
      <c r="M655" s="24"/>
    </row>
    <row r="656">
      <c r="A656" s="11"/>
      <c r="B656" s="23"/>
      <c r="C656" s="23"/>
      <c r="D656" s="23"/>
      <c r="E656" s="23"/>
      <c r="F656" s="1"/>
      <c r="G656" s="23"/>
      <c r="H656" s="23"/>
      <c r="I656" s="23"/>
      <c r="J656" s="2"/>
      <c r="M656" s="24"/>
    </row>
    <row r="657">
      <c r="A657" s="11"/>
      <c r="B657" s="23"/>
      <c r="C657" s="23"/>
      <c r="D657" s="23"/>
      <c r="E657" s="23"/>
      <c r="F657" s="1"/>
      <c r="G657" s="23"/>
      <c r="H657" s="23"/>
      <c r="I657" s="23"/>
      <c r="J657" s="2"/>
      <c r="M657" s="24"/>
    </row>
    <row r="658">
      <c r="A658" s="11"/>
      <c r="B658" s="23"/>
      <c r="C658" s="23"/>
      <c r="D658" s="23"/>
      <c r="E658" s="23"/>
      <c r="F658" s="1"/>
      <c r="G658" s="23"/>
      <c r="H658" s="23"/>
      <c r="I658" s="23"/>
      <c r="J658" s="2"/>
      <c r="M658" s="24"/>
    </row>
    <row r="659">
      <c r="A659" s="11"/>
      <c r="B659" s="23"/>
      <c r="C659" s="23"/>
      <c r="D659" s="23"/>
      <c r="E659" s="23"/>
      <c r="F659" s="1"/>
      <c r="G659" s="23"/>
      <c r="H659" s="23"/>
      <c r="I659" s="23"/>
      <c r="J659" s="2"/>
      <c r="M659" s="24"/>
    </row>
    <row r="660">
      <c r="A660" s="11"/>
      <c r="B660" s="23"/>
      <c r="C660" s="23"/>
      <c r="D660" s="23"/>
      <c r="E660" s="23"/>
      <c r="F660" s="1"/>
      <c r="G660" s="23"/>
      <c r="H660" s="23"/>
      <c r="I660" s="23"/>
      <c r="J660" s="2"/>
      <c r="M660" s="24"/>
    </row>
    <row r="661">
      <c r="A661" s="11"/>
      <c r="B661" s="23"/>
      <c r="C661" s="23"/>
      <c r="D661" s="23"/>
      <c r="E661" s="23"/>
      <c r="F661" s="1"/>
      <c r="G661" s="23"/>
      <c r="H661" s="23"/>
      <c r="I661" s="23"/>
      <c r="J661" s="2"/>
      <c r="M661" s="24"/>
    </row>
    <row r="662">
      <c r="A662" s="11"/>
      <c r="B662" s="23"/>
      <c r="C662" s="23"/>
      <c r="D662" s="23"/>
      <c r="E662" s="23"/>
      <c r="F662" s="1"/>
      <c r="G662" s="23"/>
      <c r="H662" s="23"/>
      <c r="I662" s="23"/>
      <c r="J662" s="2"/>
      <c r="M662" s="24"/>
    </row>
    <row r="663">
      <c r="A663" s="11"/>
      <c r="B663" s="23"/>
      <c r="C663" s="23"/>
      <c r="D663" s="23"/>
      <c r="E663" s="23"/>
      <c r="F663" s="1"/>
      <c r="G663" s="23"/>
      <c r="H663" s="23"/>
      <c r="I663" s="23"/>
      <c r="J663" s="2"/>
      <c r="M663" s="24"/>
    </row>
    <row r="664">
      <c r="A664" s="11"/>
      <c r="B664" s="23"/>
      <c r="C664" s="23"/>
      <c r="D664" s="23"/>
      <c r="E664" s="23"/>
      <c r="F664" s="1"/>
      <c r="G664" s="23"/>
      <c r="H664" s="23"/>
      <c r="I664" s="23"/>
      <c r="J664" s="2"/>
      <c r="M664" s="24"/>
    </row>
    <row r="665">
      <c r="A665" s="11"/>
      <c r="B665" s="23"/>
      <c r="C665" s="23"/>
      <c r="D665" s="23"/>
      <c r="E665" s="23"/>
      <c r="F665" s="1"/>
      <c r="G665" s="23"/>
      <c r="H665" s="23"/>
      <c r="I665" s="23"/>
      <c r="J665" s="2"/>
      <c r="M665" s="24"/>
    </row>
    <row r="666">
      <c r="A666" s="11"/>
      <c r="B666" s="23"/>
      <c r="C666" s="23"/>
      <c r="D666" s="23"/>
      <c r="E666" s="23"/>
      <c r="F666" s="1"/>
      <c r="G666" s="23"/>
      <c r="H666" s="23"/>
      <c r="I666" s="23"/>
      <c r="J666" s="2"/>
      <c r="M666" s="24"/>
    </row>
    <row r="667">
      <c r="A667" s="11"/>
      <c r="B667" s="23"/>
      <c r="C667" s="23"/>
      <c r="D667" s="23"/>
      <c r="E667" s="23"/>
      <c r="F667" s="1"/>
      <c r="G667" s="23"/>
      <c r="H667" s="23"/>
      <c r="I667" s="23"/>
      <c r="J667" s="2"/>
      <c r="M667" s="24"/>
    </row>
    <row r="668">
      <c r="A668" s="11"/>
      <c r="B668" s="23"/>
      <c r="C668" s="23"/>
      <c r="D668" s="23"/>
      <c r="E668" s="23"/>
      <c r="F668" s="1"/>
      <c r="G668" s="23"/>
      <c r="H668" s="23"/>
      <c r="I668" s="23"/>
      <c r="J668" s="2"/>
      <c r="M668" s="24"/>
    </row>
    <row r="669">
      <c r="A669" s="11"/>
      <c r="B669" s="23"/>
      <c r="C669" s="23"/>
      <c r="D669" s="23"/>
      <c r="E669" s="23"/>
      <c r="F669" s="1"/>
      <c r="G669" s="23"/>
      <c r="H669" s="23"/>
      <c r="I669" s="23"/>
      <c r="J669" s="2"/>
      <c r="M669" s="24"/>
    </row>
    <row r="670">
      <c r="A670" s="11"/>
      <c r="B670" s="23"/>
      <c r="C670" s="23"/>
      <c r="D670" s="23"/>
      <c r="E670" s="23"/>
      <c r="F670" s="1"/>
      <c r="G670" s="23"/>
      <c r="H670" s="23"/>
      <c r="I670" s="23"/>
      <c r="J670" s="2"/>
      <c r="M670" s="24"/>
    </row>
    <row r="671">
      <c r="A671" s="11"/>
      <c r="B671" s="23"/>
      <c r="C671" s="23"/>
      <c r="D671" s="23"/>
      <c r="E671" s="23"/>
      <c r="F671" s="1"/>
      <c r="G671" s="23"/>
      <c r="H671" s="23"/>
      <c r="I671" s="23"/>
      <c r="J671" s="2"/>
      <c r="M671" s="24"/>
    </row>
    <row r="672">
      <c r="A672" s="11"/>
      <c r="B672" s="23"/>
      <c r="C672" s="23"/>
      <c r="D672" s="23"/>
      <c r="E672" s="23"/>
      <c r="F672" s="1"/>
      <c r="G672" s="23"/>
      <c r="H672" s="23"/>
      <c r="I672" s="23"/>
      <c r="J672" s="2"/>
      <c r="M672" s="24"/>
    </row>
    <row r="673">
      <c r="A673" s="11"/>
      <c r="B673" s="23"/>
      <c r="C673" s="23"/>
      <c r="D673" s="23"/>
      <c r="E673" s="23"/>
      <c r="F673" s="1"/>
      <c r="G673" s="23"/>
      <c r="H673" s="23"/>
      <c r="I673" s="23"/>
      <c r="J673" s="2"/>
      <c r="M673" s="24"/>
    </row>
    <row r="674">
      <c r="A674" s="11"/>
      <c r="B674" s="23"/>
      <c r="C674" s="23"/>
      <c r="D674" s="23"/>
      <c r="E674" s="23"/>
      <c r="F674" s="1"/>
      <c r="G674" s="23"/>
      <c r="H674" s="23"/>
      <c r="I674" s="23"/>
      <c r="J674" s="2"/>
      <c r="M674" s="24"/>
    </row>
    <row r="675">
      <c r="A675" s="11"/>
      <c r="B675" s="23"/>
      <c r="C675" s="23"/>
      <c r="D675" s="23"/>
      <c r="E675" s="23"/>
      <c r="F675" s="1"/>
      <c r="G675" s="23"/>
      <c r="H675" s="23"/>
      <c r="I675" s="23"/>
      <c r="J675" s="2"/>
      <c r="M675" s="24"/>
    </row>
    <row r="676">
      <c r="A676" s="11"/>
      <c r="B676" s="23"/>
      <c r="C676" s="23"/>
      <c r="D676" s="23"/>
      <c r="E676" s="23"/>
      <c r="F676" s="1"/>
      <c r="G676" s="23"/>
      <c r="H676" s="23"/>
      <c r="I676" s="23"/>
      <c r="J676" s="2"/>
      <c r="M676" s="24"/>
    </row>
    <row r="677">
      <c r="A677" s="11"/>
      <c r="B677" s="23"/>
      <c r="C677" s="23"/>
      <c r="D677" s="23"/>
      <c r="E677" s="23"/>
      <c r="F677" s="1"/>
      <c r="G677" s="23"/>
      <c r="H677" s="23"/>
      <c r="I677" s="23"/>
      <c r="J677" s="2"/>
      <c r="M677" s="24"/>
    </row>
    <row r="678">
      <c r="A678" s="11"/>
      <c r="B678" s="23"/>
      <c r="C678" s="23"/>
      <c r="D678" s="23"/>
      <c r="E678" s="23"/>
      <c r="F678" s="1"/>
      <c r="G678" s="23"/>
      <c r="H678" s="23"/>
      <c r="I678" s="23"/>
      <c r="J678" s="2"/>
      <c r="M678" s="24"/>
    </row>
    <row r="679">
      <c r="A679" s="11"/>
      <c r="B679" s="23"/>
      <c r="C679" s="23"/>
      <c r="D679" s="23"/>
      <c r="E679" s="23"/>
      <c r="F679" s="1"/>
      <c r="G679" s="23"/>
      <c r="H679" s="23"/>
      <c r="I679" s="23"/>
      <c r="J679" s="2"/>
      <c r="M679" s="24"/>
    </row>
    <row r="680">
      <c r="A680" s="11"/>
      <c r="B680" s="23"/>
      <c r="C680" s="23"/>
      <c r="D680" s="23"/>
      <c r="E680" s="23"/>
      <c r="F680" s="1"/>
      <c r="G680" s="23"/>
      <c r="H680" s="23"/>
      <c r="I680" s="23"/>
      <c r="J680" s="2"/>
      <c r="M680" s="24"/>
    </row>
    <row r="681">
      <c r="A681" s="11"/>
      <c r="B681" s="23"/>
      <c r="C681" s="23"/>
      <c r="D681" s="23"/>
      <c r="E681" s="23"/>
      <c r="F681" s="1"/>
      <c r="G681" s="23"/>
      <c r="H681" s="23"/>
      <c r="I681" s="23"/>
      <c r="J681" s="2"/>
      <c r="M681" s="24"/>
    </row>
    <row r="682">
      <c r="A682" s="11"/>
      <c r="B682" s="23"/>
      <c r="C682" s="23"/>
      <c r="D682" s="23"/>
      <c r="E682" s="23"/>
      <c r="F682" s="1"/>
      <c r="G682" s="23"/>
      <c r="H682" s="23"/>
      <c r="I682" s="23"/>
      <c r="J682" s="2"/>
      <c r="M682" s="24"/>
    </row>
    <row r="683">
      <c r="A683" s="11"/>
      <c r="B683" s="23"/>
      <c r="C683" s="23"/>
      <c r="D683" s="23"/>
      <c r="E683" s="23"/>
      <c r="F683" s="1"/>
      <c r="G683" s="23"/>
      <c r="H683" s="23"/>
      <c r="I683" s="23"/>
      <c r="J683" s="2"/>
      <c r="M683" s="24"/>
    </row>
    <row r="684">
      <c r="A684" s="11"/>
      <c r="B684" s="23"/>
      <c r="C684" s="23"/>
      <c r="D684" s="23"/>
      <c r="E684" s="23"/>
      <c r="F684" s="1"/>
      <c r="G684" s="23"/>
      <c r="H684" s="23"/>
      <c r="I684" s="23"/>
      <c r="J684" s="2"/>
      <c r="M684" s="24"/>
    </row>
    <row r="685">
      <c r="A685" s="11"/>
      <c r="B685" s="23"/>
      <c r="C685" s="23"/>
      <c r="D685" s="23"/>
      <c r="E685" s="23"/>
      <c r="F685" s="1"/>
      <c r="G685" s="23"/>
      <c r="H685" s="23"/>
      <c r="I685" s="23"/>
      <c r="J685" s="2"/>
      <c r="M685" s="24"/>
    </row>
    <row r="686">
      <c r="A686" s="11"/>
      <c r="B686" s="23"/>
      <c r="C686" s="23"/>
      <c r="D686" s="23"/>
      <c r="E686" s="23"/>
      <c r="F686" s="1"/>
      <c r="G686" s="23"/>
      <c r="H686" s="23"/>
      <c r="I686" s="23"/>
      <c r="J686" s="2"/>
      <c r="M686" s="24"/>
    </row>
    <row r="687">
      <c r="A687" s="11"/>
      <c r="B687" s="23"/>
      <c r="C687" s="23"/>
      <c r="D687" s="23"/>
      <c r="E687" s="23"/>
      <c r="F687" s="1"/>
      <c r="G687" s="23"/>
      <c r="H687" s="23"/>
      <c r="I687" s="23"/>
      <c r="J687" s="2"/>
      <c r="M687" s="24"/>
    </row>
    <row r="688">
      <c r="A688" s="11"/>
      <c r="B688" s="23"/>
      <c r="C688" s="23"/>
      <c r="D688" s="23"/>
      <c r="E688" s="23"/>
      <c r="F688" s="1"/>
      <c r="G688" s="23"/>
      <c r="H688" s="23"/>
      <c r="I688" s="23"/>
      <c r="J688" s="2"/>
      <c r="M688" s="24"/>
    </row>
    <row r="689">
      <c r="A689" s="11"/>
      <c r="B689" s="23"/>
      <c r="C689" s="23"/>
      <c r="D689" s="23"/>
      <c r="E689" s="23"/>
      <c r="F689" s="1"/>
      <c r="G689" s="23"/>
      <c r="H689" s="23"/>
      <c r="I689" s="23"/>
      <c r="J689" s="2"/>
      <c r="M689" s="24"/>
    </row>
    <row r="690">
      <c r="A690" s="11"/>
      <c r="B690" s="23"/>
      <c r="C690" s="23"/>
      <c r="D690" s="23"/>
      <c r="E690" s="23"/>
      <c r="F690" s="1"/>
      <c r="G690" s="23"/>
      <c r="H690" s="23"/>
      <c r="I690" s="23"/>
      <c r="J690" s="2"/>
      <c r="M690" s="24"/>
    </row>
    <row r="691">
      <c r="A691" s="11"/>
      <c r="B691" s="23"/>
      <c r="C691" s="23"/>
      <c r="D691" s="23"/>
      <c r="E691" s="23"/>
      <c r="F691" s="1"/>
      <c r="G691" s="23"/>
      <c r="H691" s="23"/>
      <c r="I691" s="23"/>
      <c r="J691" s="2"/>
      <c r="M691" s="24"/>
    </row>
    <row r="692">
      <c r="A692" s="11"/>
      <c r="B692" s="23"/>
      <c r="C692" s="23"/>
      <c r="D692" s="23"/>
      <c r="E692" s="23"/>
      <c r="F692" s="1"/>
      <c r="G692" s="23"/>
      <c r="H692" s="23"/>
      <c r="I692" s="23"/>
      <c r="J692" s="2"/>
      <c r="M692" s="24"/>
    </row>
    <row r="693">
      <c r="A693" s="11"/>
      <c r="B693" s="23"/>
      <c r="C693" s="23"/>
      <c r="D693" s="23"/>
      <c r="E693" s="23"/>
      <c r="F693" s="1"/>
      <c r="G693" s="23"/>
      <c r="H693" s="23"/>
      <c r="I693" s="23"/>
      <c r="J693" s="2"/>
      <c r="M693" s="24"/>
    </row>
    <row r="694">
      <c r="A694" s="11"/>
      <c r="B694" s="23"/>
      <c r="C694" s="23"/>
      <c r="D694" s="23"/>
      <c r="E694" s="23"/>
      <c r="F694" s="1"/>
      <c r="G694" s="23"/>
      <c r="H694" s="23"/>
      <c r="I694" s="23"/>
      <c r="J694" s="2"/>
      <c r="M694" s="24"/>
    </row>
    <row r="695">
      <c r="A695" s="11"/>
      <c r="B695" s="23"/>
      <c r="C695" s="23"/>
      <c r="D695" s="23"/>
      <c r="E695" s="23"/>
      <c r="F695" s="1"/>
      <c r="G695" s="23"/>
      <c r="H695" s="23"/>
      <c r="I695" s="23"/>
      <c r="J695" s="2"/>
      <c r="M695" s="24"/>
    </row>
    <row r="696">
      <c r="A696" s="11"/>
      <c r="B696" s="23"/>
      <c r="C696" s="23"/>
      <c r="D696" s="23"/>
      <c r="E696" s="23"/>
      <c r="F696" s="1"/>
      <c r="G696" s="23"/>
      <c r="H696" s="23"/>
      <c r="I696" s="23"/>
      <c r="J696" s="2"/>
      <c r="M696" s="24"/>
    </row>
    <row r="697">
      <c r="A697" s="11"/>
      <c r="B697" s="23"/>
      <c r="C697" s="23"/>
      <c r="D697" s="23"/>
      <c r="E697" s="23"/>
      <c r="F697" s="1"/>
      <c r="G697" s="23"/>
      <c r="H697" s="23"/>
      <c r="I697" s="23"/>
      <c r="J697" s="2"/>
      <c r="M697" s="24"/>
    </row>
    <row r="698">
      <c r="A698" s="11"/>
      <c r="B698" s="23"/>
      <c r="C698" s="23"/>
      <c r="D698" s="23"/>
      <c r="E698" s="23"/>
      <c r="F698" s="1"/>
      <c r="G698" s="23"/>
      <c r="H698" s="23"/>
      <c r="I698" s="23"/>
      <c r="J698" s="2"/>
      <c r="M698" s="24"/>
    </row>
    <row r="699">
      <c r="A699" s="11"/>
      <c r="B699" s="23"/>
      <c r="C699" s="23"/>
      <c r="D699" s="23"/>
      <c r="E699" s="23"/>
      <c r="F699" s="1"/>
      <c r="G699" s="23"/>
      <c r="H699" s="23"/>
      <c r="I699" s="23"/>
      <c r="J699" s="2"/>
      <c r="M699" s="24"/>
    </row>
    <row r="700">
      <c r="A700" s="11"/>
      <c r="B700" s="23"/>
      <c r="C700" s="23"/>
      <c r="D700" s="23"/>
      <c r="E700" s="23"/>
      <c r="F700" s="1"/>
      <c r="G700" s="23"/>
      <c r="H700" s="23"/>
      <c r="I700" s="23"/>
      <c r="J700" s="2"/>
      <c r="M700" s="24"/>
    </row>
    <row r="701">
      <c r="A701" s="11"/>
      <c r="B701" s="23"/>
      <c r="C701" s="23"/>
      <c r="D701" s="23"/>
      <c r="E701" s="23"/>
      <c r="F701" s="1"/>
      <c r="G701" s="23"/>
      <c r="H701" s="23"/>
      <c r="I701" s="23"/>
      <c r="J701" s="2"/>
      <c r="M701" s="24"/>
    </row>
    <row r="702">
      <c r="A702" s="11"/>
      <c r="B702" s="23"/>
      <c r="C702" s="23"/>
      <c r="D702" s="23"/>
      <c r="E702" s="23"/>
      <c r="F702" s="1"/>
      <c r="G702" s="23"/>
      <c r="H702" s="23"/>
      <c r="I702" s="23"/>
      <c r="J702" s="2"/>
      <c r="M702" s="24"/>
    </row>
    <row r="703">
      <c r="A703" s="11"/>
      <c r="B703" s="23"/>
      <c r="C703" s="23"/>
      <c r="D703" s="23"/>
      <c r="E703" s="23"/>
      <c r="F703" s="1"/>
      <c r="G703" s="23"/>
      <c r="H703" s="23"/>
      <c r="I703" s="23"/>
      <c r="J703" s="2"/>
      <c r="M703" s="24"/>
    </row>
    <row r="704">
      <c r="A704" s="11"/>
      <c r="B704" s="23"/>
      <c r="C704" s="23"/>
      <c r="D704" s="23"/>
      <c r="E704" s="23"/>
      <c r="F704" s="1"/>
      <c r="G704" s="23"/>
      <c r="H704" s="23"/>
      <c r="I704" s="23"/>
      <c r="J704" s="2"/>
      <c r="M704" s="24"/>
    </row>
    <row r="705">
      <c r="A705" s="11"/>
      <c r="B705" s="23"/>
      <c r="C705" s="23"/>
      <c r="D705" s="23"/>
      <c r="E705" s="23"/>
      <c r="F705" s="1"/>
      <c r="G705" s="23"/>
      <c r="H705" s="23"/>
      <c r="I705" s="23"/>
      <c r="J705" s="2"/>
      <c r="M705" s="24"/>
    </row>
    <row r="706">
      <c r="A706" s="11"/>
      <c r="B706" s="23"/>
      <c r="C706" s="23"/>
      <c r="D706" s="23"/>
      <c r="E706" s="23"/>
      <c r="F706" s="1"/>
      <c r="G706" s="23"/>
      <c r="H706" s="23"/>
      <c r="I706" s="23"/>
      <c r="J706" s="2"/>
      <c r="M706" s="24"/>
    </row>
    <row r="707">
      <c r="A707" s="11"/>
      <c r="B707" s="23"/>
      <c r="C707" s="23"/>
      <c r="D707" s="23"/>
      <c r="E707" s="23"/>
      <c r="F707" s="1"/>
      <c r="G707" s="23"/>
      <c r="H707" s="23"/>
      <c r="I707" s="23"/>
      <c r="J707" s="2"/>
      <c r="M707" s="24"/>
    </row>
    <row r="708">
      <c r="A708" s="11"/>
      <c r="B708" s="23"/>
      <c r="C708" s="23"/>
      <c r="D708" s="23"/>
      <c r="E708" s="23"/>
      <c r="F708" s="1"/>
      <c r="G708" s="23"/>
      <c r="H708" s="23"/>
      <c r="I708" s="23"/>
      <c r="J708" s="2"/>
      <c r="M708" s="24"/>
    </row>
    <row r="709">
      <c r="A709" s="11"/>
      <c r="B709" s="23"/>
      <c r="C709" s="23"/>
      <c r="D709" s="23"/>
      <c r="E709" s="23"/>
      <c r="F709" s="1"/>
      <c r="G709" s="23"/>
      <c r="H709" s="23"/>
      <c r="I709" s="23"/>
      <c r="J709" s="2"/>
      <c r="M709" s="24"/>
    </row>
    <row r="710">
      <c r="A710" s="11"/>
      <c r="B710" s="23"/>
      <c r="C710" s="23"/>
      <c r="D710" s="23"/>
      <c r="E710" s="23"/>
      <c r="F710" s="1"/>
      <c r="G710" s="23"/>
      <c r="H710" s="23"/>
      <c r="I710" s="23"/>
      <c r="J710" s="2"/>
      <c r="M710" s="24"/>
    </row>
    <row r="711">
      <c r="A711" s="11"/>
      <c r="B711" s="23"/>
      <c r="C711" s="23"/>
      <c r="D711" s="23"/>
      <c r="E711" s="23"/>
      <c r="F711" s="1"/>
      <c r="G711" s="23"/>
      <c r="H711" s="23"/>
      <c r="I711" s="23"/>
      <c r="J711" s="2"/>
      <c r="M711" s="24"/>
    </row>
    <row r="712">
      <c r="A712" s="11"/>
      <c r="B712" s="23"/>
      <c r="C712" s="23"/>
      <c r="D712" s="23"/>
      <c r="E712" s="23"/>
      <c r="F712" s="1"/>
      <c r="G712" s="23"/>
      <c r="H712" s="23"/>
      <c r="I712" s="23"/>
      <c r="J712" s="2"/>
      <c r="M712" s="24"/>
    </row>
    <row r="713">
      <c r="A713" s="11"/>
      <c r="B713" s="23"/>
      <c r="C713" s="23"/>
      <c r="D713" s="23"/>
      <c r="E713" s="23"/>
      <c r="F713" s="1"/>
      <c r="G713" s="23"/>
      <c r="H713" s="23"/>
      <c r="I713" s="23"/>
      <c r="J713" s="2"/>
      <c r="M713" s="24"/>
    </row>
    <row r="714">
      <c r="A714" s="11"/>
      <c r="B714" s="23"/>
      <c r="C714" s="23"/>
      <c r="D714" s="23"/>
      <c r="E714" s="23"/>
      <c r="F714" s="1"/>
      <c r="G714" s="23"/>
      <c r="H714" s="23"/>
      <c r="I714" s="23"/>
      <c r="J714" s="2"/>
      <c r="M714" s="24"/>
    </row>
    <row r="715">
      <c r="A715" s="11"/>
      <c r="B715" s="23"/>
      <c r="C715" s="23"/>
      <c r="D715" s="23"/>
      <c r="E715" s="23"/>
      <c r="F715" s="1"/>
      <c r="G715" s="23"/>
      <c r="H715" s="23"/>
      <c r="I715" s="23"/>
      <c r="J715" s="2"/>
      <c r="M715" s="24"/>
    </row>
    <row r="716">
      <c r="A716" s="11"/>
      <c r="B716" s="23"/>
      <c r="C716" s="23"/>
      <c r="D716" s="23"/>
      <c r="E716" s="23"/>
      <c r="F716" s="1"/>
      <c r="G716" s="23"/>
      <c r="H716" s="23"/>
      <c r="I716" s="23"/>
      <c r="J716" s="2"/>
      <c r="M716" s="24"/>
    </row>
    <row r="717">
      <c r="A717" s="11"/>
      <c r="B717" s="23"/>
      <c r="C717" s="23"/>
      <c r="D717" s="23"/>
      <c r="E717" s="23"/>
      <c r="F717" s="1"/>
      <c r="G717" s="23"/>
      <c r="H717" s="23"/>
      <c r="I717" s="23"/>
      <c r="J717" s="2"/>
      <c r="M717" s="24"/>
    </row>
    <row r="718">
      <c r="A718" s="11"/>
      <c r="B718" s="23"/>
      <c r="C718" s="23"/>
      <c r="D718" s="23"/>
      <c r="E718" s="23"/>
      <c r="F718" s="1"/>
      <c r="G718" s="23"/>
      <c r="H718" s="23"/>
      <c r="I718" s="23"/>
      <c r="J718" s="2"/>
      <c r="M718" s="24"/>
    </row>
    <row r="719">
      <c r="A719" s="11"/>
      <c r="B719" s="23"/>
      <c r="C719" s="23"/>
      <c r="D719" s="23"/>
      <c r="E719" s="23"/>
      <c r="F719" s="1"/>
      <c r="G719" s="23"/>
      <c r="H719" s="23"/>
      <c r="I719" s="23"/>
      <c r="J719" s="2"/>
      <c r="M719" s="24"/>
    </row>
    <row r="720">
      <c r="A720" s="11"/>
      <c r="B720" s="23"/>
      <c r="C720" s="23"/>
      <c r="D720" s="23"/>
      <c r="E720" s="23"/>
      <c r="F720" s="1"/>
      <c r="G720" s="23"/>
      <c r="H720" s="23"/>
      <c r="I720" s="23"/>
      <c r="J720" s="2"/>
      <c r="M720" s="24"/>
    </row>
    <row r="721">
      <c r="A721" s="11"/>
      <c r="B721" s="23"/>
      <c r="C721" s="23"/>
      <c r="D721" s="23"/>
      <c r="E721" s="23"/>
      <c r="F721" s="1"/>
      <c r="G721" s="23"/>
      <c r="H721" s="23"/>
      <c r="I721" s="23"/>
      <c r="J721" s="2"/>
      <c r="M721" s="24"/>
    </row>
    <row r="722">
      <c r="A722" s="11"/>
      <c r="B722" s="23"/>
      <c r="C722" s="23"/>
      <c r="D722" s="23"/>
      <c r="E722" s="23"/>
      <c r="F722" s="1"/>
      <c r="G722" s="23"/>
      <c r="H722" s="23"/>
      <c r="I722" s="23"/>
      <c r="J722" s="2"/>
      <c r="M722" s="24"/>
    </row>
    <row r="723">
      <c r="A723" s="11"/>
      <c r="B723" s="23"/>
      <c r="C723" s="23"/>
      <c r="D723" s="23"/>
      <c r="E723" s="23"/>
      <c r="F723" s="1"/>
      <c r="G723" s="23"/>
      <c r="H723" s="23"/>
      <c r="I723" s="23"/>
      <c r="J723" s="2"/>
      <c r="M723" s="24"/>
    </row>
    <row r="724">
      <c r="A724" s="11"/>
      <c r="B724" s="23"/>
      <c r="C724" s="23"/>
      <c r="D724" s="23"/>
      <c r="E724" s="23"/>
      <c r="F724" s="1"/>
      <c r="G724" s="23"/>
      <c r="H724" s="23"/>
      <c r="I724" s="23"/>
      <c r="J724" s="2"/>
      <c r="M724" s="24"/>
    </row>
    <row r="725">
      <c r="A725" s="11"/>
      <c r="B725" s="23"/>
      <c r="C725" s="23"/>
      <c r="D725" s="23"/>
      <c r="E725" s="23"/>
      <c r="F725" s="1"/>
      <c r="G725" s="23"/>
      <c r="H725" s="23"/>
      <c r="I725" s="23"/>
      <c r="J725" s="2"/>
      <c r="M725" s="24"/>
    </row>
    <row r="726">
      <c r="A726" s="11"/>
      <c r="B726" s="23"/>
      <c r="C726" s="23"/>
      <c r="D726" s="23"/>
      <c r="E726" s="23"/>
      <c r="F726" s="1"/>
      <c r="G726" s="23"/>
      <c r="H726" s="23"/>
      <c r="I726" s="23"/>
      <c r="J726" s="2"/>
      <c r="M726" s="24"/>
    </row>
    <row r="727">
      <c r="A727" s="11"/>
      <c r="B727" s="23"/>
      <c r="C727" s="23"/>
      <c r="D727" s="23"/>
      <c r="E727" s="23"/>
      <c r="F727" s="1"/>
      <c r="G727" s="23"/>
      <c r="H727" s="23"/>
      <c r="I727" s="23"/>
      <c r="J727" s="2"/>
      <c r="M727" s="24"/>
    </row>
    <row r="728">
      <c r="A728" s="11"/>
      <c r="B728" s="23"/>
      <c r="C728" s="23"/>
      <c r="D728" s="23"/>
      <c r="E728" s="23"/>
      <c r="F728" s="1"/>
      <c r="G728" s="23"/>
      <c r="H728" s="23"/>
      <c r="I728" s="23"/>
      <c r="J728" s="2"/>
      <c r="M728" s="24"/>
    </row>
    <row r="729">
      <c r="A729" s="11"/>
      <c r="B729" s="23"/>
      <c r="C729" s="23"/>
      <c r="D729" s="23"/>
      <c r="E729" s="23"/>
      <c r="F729" s="1"/>
      <c r="G729" s="23"/>
      <c r="H729" s="23"/>
      <c r="I729" s="23"/>
      <c r="J729" s="2"/>
      <c r="M729" s="24"/>
    </row>
    <row r="730">
      <c r="A730" s="11"/>
      <c r="B730" s="23"/>
      <c r="C730" s="23"/>
      <c r="D730" s="23"/>
      <c r="E730" s="23"/>
      <c r="F730" s="1"/>
      <c r="G730" s="23"/>
      <c r="H730" s="23"/>
      <c r="I730" s="23"/>
      <c r="J730" s="2"/>
      <c r="M730" s="24"/>
    </row>
    <row r="731">
      <c r="A731" s="11"/>
      <c r="B731" s="23"/>
      <c r="C731" s="23"/>
      <c r="D731" s="23"/>
      <c r="E731" s="23"/>
      <c r="F731" s="1"/>
      <c r="G731" s="23"/>
      <c r="H731" s="23"/>
      <c r="I731" s="23"/>
      <c r="J731" s="2"/>
      <c r="M731" s="24"/>
    </row>
    <row r="732">
      <c r="A732" s="11"/>
      <c r="B732" s="23"/>
      <c r="C732" s="23"/>
      <c r="D732" s="23"/>
      <c r="E732" s="23"/>
      <c r="F732" s="1"/>
      <c r="G732" s="23"/>
      <c r="H732" s="23"/>
      <c r="I732" s="23"/>
      <c r="J732" s="2"/>
      <c r="M732" s="24"/>
    </row>
    <row r="733">
      <c r="A733" s="11"/>
      <c r="B733" s="23"/>
      <c r="C733" s="23"/>
      <c r="D733" s="23"/>
      <c r="E733" s="23"/>
      <c r="F733" s="1"/>
      <c r="G733" s="23"/>
      <c r="H733" s="23"/>
      <c r="I733" s="23"/>
      <c r="J733" s="2"/>
      <c r="M733" s="24"/>
    </row>
    <row r="734">
      <c r="A734" s="11"/>
      <c r="B734" s="23"/>
      <c r="C734" s="23"/>
      <c r="D734" s="23"/>
      <c r="E734" s="23"/>
      <c r="F734" s="1"/>
      <c r="G734" s="23"/>
      <c r="H734" s="23"/>
      <c r="I734" s="23"/>
      <c r="J734" s="2"/>
      <c r="M734" s="24"/>
    </row>
    <row r="735">
      <c r="A735" s="11"/>
      <c r="B735" s="23"/>
      <c r="C735" s="23"/>
      <c r="D735" s="23"/>
      <c r="E735" s="23"/>
      <c r="F735" s="1"/>
      <c r="G735" s="23"/>
      <c r="H735" s="23"/>
      <c r="I735" s="23"/>
      <c r="J735" s="2"/>
      <c r="M735" s="24"/>
    </row>
    <row r="736">
      <c r="A736" s="11"/>
      <c r="B736" s="23"/>
      <c r="C736" s="23"/>
      <c r="D736" s="23"/>
      <c r="E736" s="23"/>
      <c r="F736" s="1"/>
      <c r="G736" s="23"/>
      <c r="H736" s="23"/>
      <c r="I736" s="23"/>
      <c r="J736" s="2"/>
      <c r="M736" s="24"/>
    </row>
    <row r="737">
      <c r="A737" s="11"/>
      <c r="B737" s="23"/>
      <c r="C737" s="23"/>
      <c r="D737" s="23"/>
      <c r="E737" s="23"/>
      <c r="F737" s="1"/>
      <c r="G737" s="23"/>
      <c r="H737" s="23"/>
      <c r="I737" s="23"/>
      <c r="J737" s="2"/>
      <c r="M737" s="24"/>
    </row>
    <row r="738">
      <c r="A738" s="11"/>
      <c r="B738" s="23"/>
      <c r="C738" s="23"/>
      <c r="D738" s="23"/>
      <c r="E738" s="23"/>
      <c r="F738" s="1"/>
      <c r="G738" s="23"/>
      <c r="H738" s="23"/>
      <c r="I738" s="23"/>
      <c r="J738" s="2"/>
      <c r="M738" s="24"/>
    </row>
    <row r="739">
      <c r="A739" s="11"/>
      <c r="B739" s="23"/>
      <c r="C739" s="23"/>
      <c r="D739" s="23"/>
      <c r="E739" s="23"/>
      <c r="F739" s="1"/>
      <c r="G739" s="23"/>
      <c r="H739" s="23"/>
      <c r="I739" s="23"/>
      <c r="J739" s="2"/>
      <c r="M739" s="24"/>
    </row>
    <row r="740">
      <c r="A740" s="11"/>
      <c r="B740" s="23"/>
      <c r="C740" s="23"/>
      <c r="D740" s="23"/>
      <c r="E740" s="23"/>
      <c r="F740" s="1"/>
      <c r="G740" s="23"/>
      <c r="H740" s="23"/>
      <c r="I740" s="23"/>
      <c r="J740" s="2"/>
      <c r="M740" s="24"/>
    </row>
    <row r="741">
      <c r="A741" s="11"/>
      <c r="B741" s="23"/>
      <c r="C741" s="23"/>
      <c r="D741" s="23"/>
      <c r="E741" s="23"/>
      <c r="F741" s="1"/>
      <c r="G741" s="23"/>
      <c r="H741" s="23"/>
      <c r="I741" s="23"/>
      <c r="J741" s="2"/>
      <c r="M741" s="24"/>
    </row>
    <row r="742">
      <c r="A742" s="11"/>
      <c r="B742" s="23"/>
      <c r="C742" s="23"/>
      <c r="D742" s="23"/>
      <c r="E742" s="23"/>
      <c r="F742" s="1"/>
      <c r="G742" s="23"/>
      <c r="H742" s="23"/>
      <c r="I742" s="23"/>
      <c r="J742" s="2"/>
      <c r="M742" s="24"/>
    </row>
    <row r="743">
      <c r="A743" s="11"/>
      <c r="B743" s="23"/>
      <c r="C743" s="23"/>
      <c r="D743" s="23"/>
      <c r="E743" s="23"/>
      <c r="F743" s="1"/>
      <c r="G743" s="23"/>
      <c r="H743" s="23"/>
      <c r="I743" s="23"/>
      <c r="J743" s="2"/>
      <c r="M743" s="24"/>
    </row>
    <row r="744">
      <c r="A744" s="11"/>
      <c r="B744" s="23"/>
      <c r="C744" s="23"/>
      <c r="D744" s="23"/>
      <c r="E744" s="23"/>
      <c r="F744" s="1"/>
      <c r="G744" s="23"/>
      <c r="H744" s="23"/>
      <c r="I744" s="23"/>
      <c r="J744" s="2"/>
      <c r="M744" s="24"/>
    </row>
    <row r="745">
      <c r="A745" s="11"/>
      <c r="B745" s="23"/>
      <c r="C745" s="23"/>
      <c r="D745" s="23"/>
      <c r="E745" s="23"/>
      <c r="F745" s="1"/>
      <c r="G745" s="23"/>
      <c r="H745" s="23"/>
      <c r="I745" s="23"/>
      <c r="J745" s="2"/>
      <c r="M745" s="24"/>
    </row>
    <row r="746">
      <c r="A746" s="11"/>
      <c r="B746" s="23"/>
      <c r="C746" s="23"/>
      <c r="D746" s="23"/>
      <c r="E746" s="23"/>
      <c r="F746" s="1"/>
      <c r="G746" s="23"/>
      <c r="H746" s="23"/>
      <c r="I746" s="23"/>
      <c r="J746" s="2"/>
      <c r="M746" s="24"/>
    </row>
    <row r="747">
      <c r="A747" s="11"/>
      <c r="B747" s="23"/>
      <c r="C747" s="23"/>
      <c r="D747" s="23"/>
      <c r="E747" s="23"/>
      <c r="F747" s="1"/>
      <c r="G747" s="23"/>
      <c r="H747" s="23"/>
      <c r="I747" s="23"/>
      <c r="J747" s="2"/>
      <c r="M747" s="24"/>
    </row>
    <row r="748">
      <c r="A748" s="11"/>
      <c r="B748" s="23"/>
      <c r="C748" s="23"/>
      <c r="D748" s="23"/>
      <c r="E748" s="23"/>
      <c r="F748" s="1"/>
      <c r="G748" s="23"/>
      <c r="H748" s="23"/>
      <c r="I748" s="23"/>
      <c r="J748" s="2"/>
      <c r="M748" s="24"/>
    </row>
    <row r="749">
      <c r="A749" s="11"/>
      <c r="B749" s="23"/>
      <c r="C749" s="23"/>
      <c r="D749" s="23"/>
      <c r="E749" s="23"/>
      <c r="F749" s="1"/>
      <c r="G749" s="23"/>
      <c r="H749" s="23"/>
      <c r="I749" s="23"/>
      <c r="J749" s="2"/>
      <c r="M749" s="24"/>
    </row>
    <row r="750">
      <c r="A750" s="11"/>
      <c r="B750" s="23"/>
      <c r="C750" s="23"/>
      <c r="D750" s="23"/>
      <c r="E750" s="23"/>
      <c r="F750" s="1"/>
      <c r="G750" s="23"/>
      <c r="H750" s="23"/>
      <c r="I750" s="23"/>
      <c r="J750" s="2"/>
      <c r="M750" s="24"/>
    </row>
    <row r="751">
      <c r="A751" s="11"/>
      <c r="B751" s="23"/>
      <c r="C751" s="23"/>
      <c r="D751" s="23"/>
      <c r="E751" s="23"/>
      <c r="F751" s="1"/>
      <c r="G751" s="23"/>
      <c r="H751" s="23"/>
      <c r="I751" s="23"/>
      <c r="J751" s="2"/>
      <c r="M751" s="24"/>
    </row>
    <row r="752">
      <c r="A752" s="11"/>
      <c r="B752" s="23"/>
      <c r="C752" s="23"/>
      <c r="D752" s="23"/>
      <c r="E752" s="23"/>
      <c r="F752" s="1"/>
      <c r="G752" s="23"/>
      <c r="H752" s="23"/>
      <c r="I752" s="23"/>
      <c r="J752" s="2"/>
      <c r="M752" s="24"/>
    </row>
    <row r="753">
      <c r="A753" s="11"/>
      <c r="B753" s="23"/>
      <c r="C753" s="23"/>
      <c r="D753" s="23"/>
      <c r="E753" s="23"/>
      <c r="F753" s="1"/>
      <c r="G753" s="23"/>
      <c r="H753" s="23"/>
      <c r="I753" s="23"/>
      <c r="J753" s="2"/>
      <c r="M753" s="24"/>
    </row>
    <row r="754">
      <c r="A754" s="11"/>
      <c r="B754" s="23"/>
      <c r="C754" s="23"/>
      <c r="D754" s="23"/>
      <c r="E754" s="23"/>
      <c r="F754" s="1"/>
      <c r="G754" s="23"/>
      <c r="H754" s="23"/>
      <c r="I754" s="23"/>
      <c r="J754" s="2"/>
      <c r="M754" s="24"/>
    </row>
    <row r="755">
      <c r="A755" s="11"/>
      <c r="B755" s="23"/>
      <c r="C755" s="23"/>
      <c r="D755" s="23"/>
      <c r="E755" s="23"/>
      <c r="F755" s="1"/>
      <c r="G755" s="23"/>
      <c r="H755" s="23"/>
      <c r="I755" s="23"/>
      <c r="J755" s="2"/>
      <c r="M755" s="24"/>
    </row>
    <row r="756">
      <c r="A756" s="11"/>
      <c r="B756" s="23"/>
      <c r="C756" s="23"/>
      <c r="D756" s="23"/>
      <c r="E756" s="23"/>
      <c r="F756" s="1"/>
      <c r="G756" s="23"/>
      <c r="H756" s="23"/>
      <c r="I756" s="23"/>
      <c r="J756" s="2"/>
      <c r="M756" s="24"/>
    </row>
    <row r="757">
      <c r="A757" s="11"/>
      <c r="B757" s="23"/>
      <c r="C757" s="23"/>
      <c r="D757" s="23"/>
      <c r="E757" s="23"/>
      <c r="F757" s="1"/>
      <c r="G757" s="23"/>
      <c r="H757" s="23"/>
      <c r="I757" s="23"/>
      <c r="J757" s="2"/>
      <c r="M757" s="24"/>
    </row>
    <row r="758">
      <c r="A758" s="11"/>
      <c r="B758" s="23"/>
      <c r="C758" s="23"/>
      <c r="D758" s="23"/>
      <c r="E758" s="23"/>
      <c r="F758" s="1"/>
      <c r="G758" s="23"/>
      <c r="H758" s="23"/>
      <c r="I758" s="23"/>
      <c r="J758" s="2"/>
      <c r="M758" s="24"/>
    </row>
    <row r="759">
      <c r="A759" s="11"/>
      <c r="B759" s="23"/>
      <c r="C759" s="23"/>
      <c r="D759" s="23"/>
      <c r="E759" s="23"/>
      <c r="F759" s="1"/>
      <c r="G759" s="23"/>
      <c r="H759" s="23"/>
      <c r="I759" s="23"/>
      <c r="J759" s="2"/>
      <c r="M759" s="24"/>
    </row>
    <row r="760">
      <c r="A760" s="11"/>
      <c r="B760" s="23"/>
      <c r="C760" s="23"/>
      <c r="D760" s="23"/>
      <c r="E760" s="23"/>
      <c r="F760" s="1"/>
      <c r="G760" s="23"/>
      <c r="H760" s="23"/>
      <c r="I760" s="23"/>
      <c r="J760" s="2"/>
      <c r="M760" s="24"/>
    </row>
    <row r="761">
      <c r="A761" s="11"/>
      <c r="B761" s="23"/>
      <c r="C761" s="23"/>
      <c r="D761" s="23"/>
      <c r="E761" s="23"/>
      <c r="F761" s="1"/>
      <c r="G761" s="23"/>
      <c r="H761" s="23"/>
      <c r="I761" s="23"/>
      <c r="J761" s="2"/>
      <c r="M761" s="24"/>
    </row>
    <row r="762">
      <c r="A762" s="11"/>
      <c r="B762" s="23"/>
      <c r="C762" s="23"/>
      <c r="D762" s="23"/>
      <c r="E762" s="23"/>
      <c r="F762" s="1"/>
      <c r="G762" s="23"/>
      <c r="H762" s="23"/>
      <c r="I762" s="23"/>
      <c r="J762" s="2"/>
      <c r="M762" s="24"/>
    </row>
    <row r="763">
      <c r="A763" s="11"/>
      <c r="B763" s="23"/>
      <c r="C763" s="23"/>
      <c r="D763" s="23"/>
      <c r="E763" s="23"/>
      <c r="F763" s="1"/>
      <c r="G763" s="23"/>
      <c r="H763" s="23"/>
      <c r="I763" s="23"/>
      <c r="J763" s="2"/>
      <c r="M763" s="24"/>
    </row>
    <row r="764">
      <c r="A764" s="11"/>
      <c r="B764" s="23"/>
      <c r="C764" s="23"/>
      <c r="D764" s="23"/>
      <c r="E764" s="23"/>
      <c r="F764" s="1"/>
      <c r="G764" s="23"/>
      <c r="H764" s="23"/>
      <c r="I764" s="23"/>
      <c r="J764" s="2"/>
      <c r="M764" s="24"/>
    </row>
    <row r="765">
      <c r="A765" s="11"/>
      <c r="B765" s="23"/>
      <c r="C765" s="23"/>
      <c r="D765" s="23"/>
      <c r="E765" s="23"/>
      <c r="F765" s="1"/>
      <c r="G765" s="23"/>
      <c r="H765" s="23"/>
      <c r="I765" s="23"/>
      <c r="J765" s="2"/>
      <c r="M765" s="24"/>
    </row>
    <row r="766">
      <c r="A766" s="11"/>
      <c r="B766" s="23"/>
      <c r="C766" s="23"/>
      <c r="D766" s="23"/>
      <c r="E766" s="23"/>
      <c r="F766" s="1"/>
      <c r="G766" s="23"/>
      <c r="H766" s="23"/>
      <c r="I766" s="23"/>
      <c r="J766" s="2"/>
      <c r="M766" s="24"/>
    </row>
    <row r="767">
      <c r="A767" s="11"/>
      <c r="B767" s="23"/>
      <c r="C767" s="23"/>
      <c r="D767" s="23"/>
      <c r="E767" s="23"/>
      <c r="F767" s="1"/>
      <c r="G767" s="23"/>
      <c r="H767" s="23"/>
      <c r="I767" s="23"/>
      <c r="J767" s="2"/>
      <c r="M767" s="24"/>
    </row>
    <row r="768">
      <c r="A768" s="11"/>
      <c r="B768" s="23"/>
      <c r="C768" s="23"/>
      <c r="D768" s="23"/>
      <c r="E768" s="23"/>
      <c r="F768" s="1"/>
      <c r="G768" s="23"/>
      <c r="H768" s="23"/>
      <c r="I768" s="23"/>
      <c r="J768" s="2"/>
      <c r="M768" s="24"/>
    </row>
    <row r="769">
      <c r="A769" s="11"/>
      <c r="B769" s="23"/>
      <c r="C769" s="23"/>
      <c r="D769" s="23"/>
      <c r="E769" s="23"/>
      <c r="F769" s="1"/>
      <c r="G769" s="23"/>
      <c r="H769" s="23"/>
      <c r="I769" s="23"/>
      <c r="J769" s="2"/>
      <c r="M769" s="24"/>
    </row>
    <row r="770">
      <c r="A770" s="11"/>
      <c r="B770" s="23"/>
      <c r="C770" s="23"/>
      <c r="D770" s="23"/>
      <c r="E770" s="23"/>
      <c r="F770" s="1"/>
      <c r="G770" s="23"/>
      <c r="H770" s="23"/>
      <c r="I770" s="23"/>
      <c r="J770" s="2"/>
      <c r="M770" s="24"/>
    </row>
    <row r="771">
      <c r="A771" s="11"/>
      <c r="B771" s="23"/>
      <c r="C771" s="23"/>
      <c r="D771" s="23"/>
      <c r="E771" s="23"/>
      <c r="F771" s="1"/>
      <c r="G771" s="23"/>
      <c r="H771" s="23"/>
      <c r="I771" s="23"/>
      <c r="J771" s="2"/>
      <c r="M771" s="24"/>
    </row>
    <row r="772">
      <c r="A772" s="11"/>
      <c r="B772" s="23"/>
      <c r="C772" s="23"/>
      <c r="D772" s="23"/>
      <c r="E772" s="23"/>
      <c r="F772" s="1"/>
      <c r="G772" s="23"/>
      <c r="H772" s="23"/>
      <c r="I772" s="23"/>
      <c r="J772" s="2"/>
      <c r="M772" s="24"/>
    </row>
    <row r="773">
      <c r="A773" s="11"/>
      <c r="B773" s="23"/>
      <c r="C773" s="23"/>
      <c r="D773" s="23"/>
      <c r="E773" s="23"/>
      <c r="F773" s="1"/>
      <c r="G773" s="23"/>
      <c r="H773" s="23"/>
      <c r="I773" s="23"/>
      <c r="J773" s="2"/>
      <c r="M773" s="24"/>
    </row>
    <row r="774">
      <c r="A774" s="11"/>
      <c r="B774" s="23"/>
      <c r="C774" s="23"/>
      <c r="D774" s="23"/>
      <c r="E774" s="23"/>
      <c r="F774" s="1"/>
      <c r="G774" s="23"/>
      <c r="H774" s="23"/>
      <c r="I774" s="23"/>
      <c r="J774" s="2"/>
      <c r="M774" s="24"/>
    </row>
    <row r="775">
      <c r="A775" s="11"/>
      <c r="B775" s="23"/>
      <c r="C775" s="23"/>
      <c r="D775" s="23"/>
      <c r="E775" s="23"/>
      <c r="F775" s="1"/>
      <c r="G775" s="23"/>
      <c r="H775" s="23"/>
      <c r="I775" s="23"/>
      <c r="J775" s="2"/>
      <c r="M775" s="24"/>
    </row>
    <row r="776">
      <c r="A776" s="11"/>
      <c r="B776" s="23"/>
      <c r="C776" s="23"/>
      <c r="D776" s="23"/>
      <c r="E776" s="23"/>
      <c r="F776" s="1"/>
      <c r="G776" s="23"/>
      <c r="H776" s="23"/>
      <c r="I776" s="23"/>
      <c r="J776" s="2"/>
      <c r="M776" s="24"/>
    </row>
    <row r="777">
      <c r="A777" s="11"/>
      <c r="B777" s="23"/>
      <c r="C777" s="23"/>
      <c r="D777" s="23"/>
      <c r="E777" s="23"/>
      <c r="F777" s="1"/>
      <c r="G777" s="23"/>
      <c r="H777" s="23"/>
      <c r="I777" s="23"/>
      <c r="J777" s="2"/>
      <c r="M777" s="24"/>
    </row>
    <row r="778">
      <c r="A778" s="11"/>
      <c r="B778" s="23"/>
      <c r="C778" s="23"/>
      <c r="D778" s="23"/>
      <c r="E778" s="23"/>
      <c r="F778" s="1"/>
      <c r="G778" s="23"/>
      <c r="H778" s="23"/>
      <c r="I778" s="23"/>
      <c r="J778" s="2"/>
      <c r="M778" s="24"/>
    </row>
    <row r="779">
      <c r="A779" s="11"/>
      <c r="B779" s="23"/>
      <c r="C779" s="23"/>
      <c r="D779" s="23"/>
      <c r="E779" s="23"/>
      <c r="F779" s="1"/>
      <c r="G779" s="23"/>
      <c r="H779" s="23"/>
      <c r="I779" s="23"/>
      <c r="J779" s="2"/>
      <c r="M779" s="24"/>
    </row>
    <row r="780">
      <c r="A780" s="11"/>
      <c r="B780" s="23"/>
      <c r="C780" s="23"/>
      <c r="D780" s="23"/>
      <c r="E780" s="23"/>
      <c r="F780" s="1"/>
      <c r="G780" s="23"/>
      <c r="H780" s="23"/>
      <c r="I780" s="23"/>
      <c r="J780" s="2"/>
      <c r="M780" s="24"/>
    </row>
    <row r="781">
      <c r="A781" s="11"/>
      <c r="B781" s="23"/>
      <c r="C781" s="23"/>
      <c r="D781" s="23"/>
      <c r="E781" s="23"/>
      <c r="F781" s="1"/>
      <c r="G781" s="23"/>
      <c r="H781" s="23"/>
      <c r="I781" s="23"/>
      <c r="J781" s="2"/>
      <c r="M781" s="24"/>
    </row>
    <row r="782">
      <c r="A782" s="11"/>
      <c r="B782" s="23"/>
      <c r="C782" s="23"/>
      <c r="D782" s="23"/>
      <c r="E782" s="23"/>
      <c r="F782" s="1"/>
      <c r="G782" s="23"/>
      <c r="H782" s="23"/>
      <c r="I782" s="23"/>
      <c r="J782" s="2"/>
      <c r="M782" s="24"/>
    </row>
    <row r="783">
      <c r="A783" s="11"/>
      <c r="B783" s="23"/>
      <c r="C783" s="23"/>
      <c r="D783" s="23"/>
      <c r="E783" s="23"/>
      <c r="F783" s="1"/>
      <c r="G783" s="23"/>
      <c r="H783" s="23"/>
      <c r="I783" s="23"/>
      <c r="J783" s="2"/>
      <c r="M783" s="24"/>
    </row>
    <row r="784">
      <c r="A784" s="11"/>
      <c r="B784" s="23"/>
      <c r="C784" s="23"/>
      <c r="D784" s="23"/>
      <c r="E784" s="23"/>
      <c r="F784" s="1"/>
      <c r="G784" s="23"/>
      <c r="H784" s="23"/>
      <c r="I784" s="23"/>
      <c r="J784" s="2"/>
      <c r="M784" s="24"/>
    </row>
    <row r="785">
      <c r="A785" s="11"/>
      <c r="B785" s="23"/>
      <c r="C785" s="23"/>
      <c r="D785" s="23"/>
      <c r="E785" s="23"/>
      <c r="F785" s="1"/>
      <c r="G785" s="23"/>
      <c r="H785" s="23"/>
      <c r="I785" s="23"/>
      <c r="J785" s="2"/>
      <c r="M785" s="24"/>
    </row>
    <row r="786">
      <c r="A786" s="11"/>
      <c r="B786" s="23"/>
      <c r="C786" s="23"/>
      <c r="D786" s="23"/>
      <c r="E786" s="23"/>
      <c r="F786" s="1"/>
      <c r="G786" s="23"/>
      <c r="H786" s="23"/>
      <c r="I786" s="23"/>
      <c r="J786" s="2"/>
      <c r="M786" s="24"/>
    </row>
    <row r="787">
      <c r="A787" s="11"/>
      <c r="B787" s="23"/>
      <c r="C787" s="23"/>
      <c r="D787" s="23"/>
      <c r="E787" s="23"/>
      <c r="F787" s="1"/>
      <c r="G787" s="23"/>
      <c r="H787" s="23"/>
      <c r="I787" s="23"/>
      <c r="J787" s="2"/>
      <c r="M787" s="24"/>
    </row>
    <row r="788">
      <c r="A788" s="11"/>
      <c r="B788" s="23"/>
      <c r="C788" s="23"/>
      <c r="D788" s="23"/>
      <c r="E788" s="23"/>
      <c r="F788" s="1"/>
      <c r="G788" s="23"/>
      <c r="H788" s="23"/>
      <c r="I788" s="23"/>
      <c r="J788" s="2"/>
      <c r="M788" s="24"/>
    </row>
    <row r="789">
      <c r="A789" s="11"/>
      <c r="B789" s="23"/>
      <c r="C789" s="23"/>
      <c r="D789" s="23"/>
      <c r="E789" s="23"/>
      <c r="F789" s="1"/>
      <c r="G789" s="23"/>
      <c r="H789" s="23"/>
      <c r="I789" s="23"/>
      <c r="J789" s="2"/>
      <c r="M789" s="24"/>
    </row>
    <row r="790">
      <c r="A790" s="11"/>
      <c r="B790" s="23"/>
      <c r="C790" s="23"/>
      <c r="D790" s="23"/>
      <c r="E790" s="23"/>
      <c r="F790" s="1"/>
      <c r="G790" s="23"/>
      <c r="H790" s="23"/>
      <c r="I790" s="23"/>
      <c r="J790" s="2"/>
      <c r="M790" s="24"/>
    </row>
    <row r="791">
      <c r="A791" s="11"/>
      <c r="B791" s="23"/>
      <c r="C791" s="23"/>
      <c r="D791" s="23"/>
      <c r="E791" s="23"/>
      <c r="F791" s="1"/>
      <c r="G791" s="23"/>
      <c r="H791" s="23"/>
      <c r="I791" s="23"/>
      <c r="J791" s="2"/>
      <c r="M791" s="24"/>
    </row>
    <row r="792">
      <c r="A792" s="11"/>
      <c r="B792" s="23"/>
      <c r="C792" s="23"/>
      <c r="D792" s="23"/>
      <c r="E792" s="23"/>
      <c r="F792" s="1"/>
      <c r="G792" s="23"/>
      <c r="H792" s="23"/>
      <c r="I792" s="23"/>
      <c r="J792" s="2"/>
      <c r="M792" s="24"/>
    </row>
    <row r="793">
      <c r="A793" s="11"/>
      <c r="B793" s="23"/>
      <c r="C793" s="23"/>
      <c r="D793" s="23"/>
      <c r="E793" s="23"/>
      <c r="F793" s="1"/>
      <c r="G793" s="23"/>
      <c r="H793" s="23"/>
      <c r="I793" s="23"/>
      <c r="J793" s="2"/>
      <c r="M793" s="24"/>
    </row>
    <row r="794">
      <c r="A794" s="11"/>
      <c r="B794" s="23"/>
      <c r="C794" s="23"/>
      <c r="D794" s="23"/>
      <c r="E794" s="23"/>
      <c r="F794" s="1"/>
      <c r="G794" s="23"/>
      <c r="H794" s="23"/>
      <c r="I794" s="23"/>
      <c r="J794" s="2"/>
      <c r="M794" s="24"/>
    </row>
    <row r="795">
      <c r="A795" s="11"/>
      <c r="B795" s="23"/>
      <c r="C795" s="23"/>
      <c r="D795" s="23"/>
      <c r="E795" s="23"/>
      <c r="F795" s="1"/>
      <c r="G795" s="23"/>
      <c r="H795" s="23"/>
      <c r="I795" s="23"/>
      <c r="J795" s="2"/>
      <c r="M795" s="24"/>
    </row>
    <row r="796">
      <c r="A796" s="11"/>
      <c r="B796" s="23"/>
      <c r="C796" s="23"/>
      <c r="D796" s="23"/>
      <c r="E796" s="23"/>
      <c r="F796" s="1"/>
      <c r="G796" s="23"/>
      <c r="H796" s="23"/>
      <c r="I796" s="23"/>
      <c r="J796" s="2"/>
      <c r="M796" s="24"/>
    </row>
    <row r="797">
      <c r="A797" s="11"/>
      <c r="B797" s="23"/>
      <c r="C797" s="23"/>
      <c r="D797" s="23"/>
      <c r="E797" s="23"/>
      <c r="F797" s="1"/>
      <c r="G797" s="23"/>
      <c r="H797" s="23"/>
      <c r="I797" s="23"/>
      <c r="J797" s="2"/>
      <c r="M797" s="24"/>
    </row>
    <row r="798">
      <c r="A798" s="11"/>
      <c r="B798" s="23"/>
      <c r="C798" s="23"/>
      <c r="D798" s="23"/>
      <c r="E798" s="23"/>
      <c r="F798" s="1"/>
      <c r="G798" s="23"/>
      <c r="H798" s="23"/>
      <c r="I798" s="23"/>
      <c r="J798" s="2"/>
      <c r="M798" s="24"/>
    </row>
    <row r="799">
      <c r="A799" s="11"/>
      <c r="B799" s="23"/>
      <c r="C799" s="23"/>
      <c r="D799" s="23"/>
      <c r="E799" s="23"/>
      <c r="F799" s="1"/>
      <c r="G799" s="23"/>
      <c r="H799" s="23"/>
      <c r="I799" s="23"/>
      <c r="J799" s="2"/>
      <c r="M799" s="24"/>
    </row>
    <row r="800">
      <c r="A800" s="11"/>
      <c r="B800" s="23"/>
      <c r="C800" s="23"/>
      <c r="D800" s="23"/>
      <c r="E800" s="23"/>
      <c r="F800" s="1"/>
      <c r="G800" s="23"/>
      <c r="H800" s="23"/>
      <c r="I800" s="23"/>
      <c r="J800" s="2"/>
      <c r="M800" s="24"/>
    </row>
    <row r="801">
      <c r="A801" s="11"/>
      <c r="B801" s="23"/>
      <c r="C801" s="23"/>
      <c r="D801" s="23"/>
      <c r="E801" s="23"/>
      <c r="F801" s="1"/>
      <c r="G801" s="23"/>
      <c r="H801" s="23"/>
      <c r="I801" s="23"/>
      <c r="J801" s="2"/>
      <c r="M801" s="24"/>
    </row>
    <row r="802">
      <c r="A802" s="11"/>
      <c r="B802" s="23"/>
      <c r="C802" s="23"/>
      <c r="D802" s="23"/>
      <c r="E802" s="23"/>
      <c r="F802" s="1"/>
      <c r="G802" s="23"/>
      <c r="H802" s="23"/>
      <c r="I802" s="23"/>
      <c r="J802" s="2"/>
      <c r="M802" s="24"/>
    </row>
    <row r="803">
      <c r="A803" s="11"/>
      <c r="B803" s="23"/>
      <c r="C803" s="23"/>
      <c r="D803" s="23"/>
      <c r="E803" s="23"/>
      <c r="F803" s="1"/>
      <c r="G803" s="23"/>
      <c r="H803" s="23"/>
      <c r="I803" s="23"/>
      <c r="J803" s="2"/>
      <c r="M803" s="24"/>
    </row>
    <row r="804">
      <c r="A804" s="11"/>
      <c r="B804" s="23"/>
      <c r="C804" s="23"/>
      <c r="D804" s="23"/>
      <c r="E804" s="23"/>
      <c r="F804" s="1"/>
      <c r="G804" s="23"/>
      <c r="H804" s="23"/>
      <c r="I804" s="23"/>
      <c r="J804" s="2"/>
      <c r="M804" s="24"/>
    </row>
    <row r="805">
      <c r="A805" s="11"/>
      <c r="B805" s="23"/>
      <c r="C805" s="23"/>
      <c r="D805" s="23"/>
      <c r="E805" s="23"/>
      <c r="F805" s="1"/>
      <c r="G805" s="23"/>
      <c r="H805" s="23"/>
      <c r="I805" s="23"/>
      <c r="J805" s="2"/>
      <c r="M805" s="24"/>
    </row>
    <row r="806">
      <c r="A806" s="11"/>
      <c r="B806" s="23"/>
      <c r="C806" s="23"/>
      <c r="D806" s="23"/>
      <c r="E806" s="23"/>
      <c r="F806" s="1"/>
      <c r="G806" s="23"/>
      <c r="H806" s="23"/>
      <c r="I806" s="23"/>
      <c r="J806" s="2"/>
      <c r="M806" s="24"/>
    </row>
    <row r="807">
      <c r="A807" s="11"/>
      <c r="B807" s="23"/>
      <c r="C807" s="23"/>
      <c r="D807" s="23"/>
      <c r="E807" s="23"/>
      <c r="F807" s="1"/>
      <c r="G807" s="23"/>
      <c r="H807" s="23"/>
      <c r="I807" s="23"/>
      <c r="J807" s="2"/>
      <c r="M807" s="24"/>
    </row>
    <row r="808">
      <c r="A808" s="11"/>
      <c r="B808" s="23"/>
      <c r="C808" s="23"/>
      <c r="D808" s="23"/>
      <c r="E808" s="23"/>
      <c r="F808" s="1"/>
      <c r="G808" s="23"/>
      <c r="H808" s="23"/>
      <c r="I808" s="23"/>
      <c r="J808" s="2"/>
      <c r="M808" s="24"/>
    </row>
    <row r="809">
      <c r="A809" s="11"/>
      <c r="B809" s="23"/>
      <c r="C809" s="23"/>
      <c r="D809" s="23"/>
      <c r="E809" s="23"/>
      <c r="F809" s="1"/>
      <c r="G809" s="23"/>
      <c r="H809" s="23"/>
      <c r="I809" s="23"/>
      <c r="J809" s="2"/>
      <c r="M809" s="24"/>
    </row>
    <row r="810">
      <c r="A810" s="11"/>
      <c r="B810" s="23"/>
      <c r="C810" s="23"/>
      <c r="D810" s="23"/>
      <c r="E810" s="23"/>
      <c r="F810" s="1"/>
      <c r="G810" s="23"/>
      <c r="H810" s="23"/>
      <c r="I810" s="23"/>
      <c r="J810" s="2"/>
      <c r="M810" s="24"/>
    </row>
    <row r="811">
      <c r="A811" s="11"/>
      <c r="B811" s="23"/>
      <c r="C811" s="23"/>
      <c r="D811" s="23"/>
      <c r="E811" s="23"/>
      <c r="F811" s="1"/>
      <c r="G811" s="23"/>
      <c r="H811" s="23"/>
      <c r="I811" s="23"/>
      <c r="J811" s="2"/>
      <c r="M811" s="24"/>
    </row>
    <row r="812">
      <c r="A812" s="11"/>
      <c r="B812" s="23"/>
      <c r="C812" s="23"/>
      <c r="D812" s="23"/>
      <c r="E812" s="23"/>
      <c r="F812" s="1"/>
      <c r="G812" s="23"/>
      <c r="H812" s="23"/>
      <c r="I812" s="23"/>
      <c r="J812" s="2"/>
      <c r="M812" s="24"/>
    </row>
    <row r="813">
      <c r="A813" s="11"/>
      <c r="B813" s="23"/>
      <c r="C813" s="23"/>
      <c r="D813" s="23"/>
      <c r="E813" s="23"/>
      <c r="F813" s="1"/>
      <c r="G813" s="23"/>
      <c r="H813" s="23"/>
      <c r="I813" s="23"/>
      <c r="J813" s="2"/>
      <c r="M813" s="24"/>
    </row>
    <row r="814">
      <c r="A814" s="11"/>
      <c r="B814" s="23"/>
      <c r="C814" s="23"/>
      <c r="D814" s="23"/>
      <c r="E814" s="23"/>
      <c r="F814" s="1"/>
      <c r="G814" s="23"/>
      <c r="H814" s="23"/>
      <c r="I814" s="23"/>
      <c r="J814" s="2"/>
      <c r="M814" s="24"/>
    </row>
    <row r="815">
      <c r="A815" s="11"/>
      <c r="B815" s="23"/>
      <c r="C815" s="23"/>
      <c r="D815" s="23"/>
      <c r="E815" s="23"/>
      <c r="F815" s="1"/>
      <c r="G815" s="23"/>
      <c r="H815" s="23"/>
      <c r="I815" s="23"/>
      <c r="J815" s="2"/>
      <c r="M815" s="24"/>
    </row>
    <row r="816">
      <c r="A816" s="11"/>
      <c r="B816" s="23"/>
      <c r="C816" s="23"/>
      <c r="D816" s="23"/>
      <c r="E816" s="23"/>
      <c r="F816" s="1"/>
      <c r="G816" s="23"/>
      <c r="H816" s="23"/>
      <c r="I816" s="23"/>
      <c r="J816" s="2"/>
      <c r="M816" s="24"/>
    </row>
    <row r="817">
      <c r="A817" s="11"/>
      <c r="B817" s="23"/>
      <c r="C817" s="23"/>
      <c r="D817" s="23"/>
      <c r="E817" s="23"/>
      <c r="F817" s="1"/>
      <c r="G817" s="23"/>
      <c r="H817" s="23"/>
      <c r="I817" s="23"/>
      <c r="J817" s="2"/>
      <c r="M817" s="24"/>
    </row>
    <row r="818">
      <c r="A818" s="11"/>
      <c r="B818" s="23"/>
      <c r="C818" s="23"/>
      <c r="D818" s="23"/>
      <c r="E818" s="23"/>
      <c r="F818" s="1"/>
      <c r="G818" s="23"/>
      <c r="H818" s="23"/>
      <c r="I818" s="23"/>
      <c r="J818" s="2"/>
      <c r="M818" s="24"/>
    </row>
    <row r="819">
      <c r="A819" s="11"/>
      <c r="B819" s="23"/>
      <c r="C819" s="23"/>
      <c r="D819" s="23"/>
      <c r="E819" s="23"/>
      <c r="F819" s="1"/>
      <c r="G819" s="23"/>
      <c r="H819" s="23"/>
      <c r="I819" s="23"/>
      <c r="J819" s="2"/>
      <c r="M819" s="24"/>
    </row>
    <row r="820">
      <c r="A820" s="11"/>
      <c r="B820" s="23"/>
      <c r="C820" s="23"/>
      <c r="D820" s="23"/>
      <c r="E820" s="23"/>
      <c r="F820" s="1"/>
      <c r="G820" s="23"/>
      <c r="H820" s="23"/>
      <c r="I820" s="23"/>
      <c r="J820" s="2"/>
      <c r="M820" s="24"/>
    </row>
    <row r="821">
      <c r="A821" s="11"/>
      <c r="B821" s="23"/>
      <c r="C821" s="23"/>
      <c r="D821" s="23"/>
      <c r="E821" s="23"/>
      <c r="F821" s="1"/>
      <c r="G821" s="23"/>
      <c r="H821" s="23"/>
      <c r="I821" s="23"/>
      <c r="J821" s="2"/>
      <c r="M821" s="24"/>
    </row>
    <row r="822">
      <c r="A822" s="11"/>
      <c r="B822" s="23"/>
      <c r="C822" s="23"/>
      <c r="D822" s="23"/>
      <c r="E822" s="23"/>
      <c r="F822" s="1"/>
      <c r="G822" s="23"/>
      <c r="H822" s="23"/>
      <c r="I822" s="23"/>
      <c r="J822" s="2"/>
      <c r="M822" s="24"/>
    </row>
    <row r="823">
      <c r="A823" s="11"/>
      <c r="B823" s="23"/>
      <c r="C823" s="23"/>
      <c r="D823" s="23"/>
      <c r="E823" s="23"/>
      <c r="F823" s="1"/>
      <c r="G823" s="23"/>
      <c r="H823" s="23"/>
      <c r="I823" s="23"/>
      <c r="J823" s="2"/>
      <c r="M823" s="24"/>
    </row>
    <row r="824">
      <c r="A824" s="11"/>
      <c r="B824" s="23"/>
      <c r="C824" s="23"/>
      <c r="D824" s="23"/>
      <c r="E824" s="23"/>
      <c r="F824" s="1"/>
      <c r="G824" s="23"/>
      <c r="H824" s="23"/>
      <c r="I824" s="23"/>
      <c r="J824" s="2"/>
      <c r="M824" s="24"/>
    </row>
    <row r="825">
      <c r="A825" s="11"/>
      <c r="B825" s="23"/>
      <c r="C825" s="23"/>
      <c r="D825" s="23"/>
      <c r="E825" s="23"/>
      <c r="F825" s="1"/>
      <c r="G825" s="23"/>
      <c r="H825" s="23"/>
      <c r="I825" s="23"/>
      <c r="J825" s="2"/>
      <c r="M825" s="24"/>
    </row>
    <row r="826">
      <c r="A826" s="11"/>
      <c r="B826" s="23"/>
      <c r="C826" s="23"/>
      <c r="D826" s="23"/>
      <c r="E826" s="23"/>
      <c r="F826" s="1"/>
      <c r="G826" s="23"/>
      <c r="H826" s="23"/>
      <c r="I826" s="23"/>
      <c r="J826" s="2"/>
      <c r="M826" s="24"/>
    </row>
    <row r="827">
      <c r="A827" s="11"/>
      <c r="B827" s="23"/>
      <c r="C827" s="23"/>
      <c r="D827" s="23"/>
      <c r="E827" s="23"/>
      <c r="F827" s="1"/>
      <c r="G827" s="23"/>
      <c r="H827" s="23"/>
      <c r="I827" s="23"/>
      <c r="J827" s="2"/>
      <c r="M827" s="24"/>
    </row>
    <row r="828">
      <c r="A828" s="11"/>
      <c r="B828" s="23"/>
      <c r="C828" s="23"/>
      <c r="D828" s="23"/>
      <c r="E828" s="23"/>
      <c r="F828" s="1"/>
      <c r="G828" s="23"/>
      <c r="H828" s="23"/>
      <c r="I828" s="23"/>
      <c r="J828" s="2"/>
      <c r="M828" s="24"/>
    </row>
    <row r="829">
      <c r="A829" s="11"/>
      <c r="B829" s="23"/>
      <c r="C829" s="23"/>
      <c r="D829" s="23"/>
      <c r="E829" s="23"/>
      <c r="F829" s="1"/>
      <c r="G829" s="23"/>
      <c r="H829" s="23"/>
      <c r="I829" s="23"/>
      <c r="J829" s="2"/>
      <c r="M829" s="24"/>
    </row>
    <row r="830">
      <c r="A830" s="11"/>
      <c r="B830" s="23"/>
      <c r="C830" s="23"/>
      <c r="D830" s="23"/>
      <c r="E830" s="23"/>
      <c r="F830" s="1"/>
      <c r="G830" s="23"/>
      <c r="H830" s="23"/>
      <c r="I830" s="23"/>
      <c r="J830" s="2"/>
      <c r="M830" s="24"/>
    </row>
    <row r="831">
      <c r="A831" s="11"/>
      <c r="B831" s="23"/>
      <c r="C831" s="23"/>
      <c r="D831" s="23"/>
      <c r="E831" s="23"/>
      <c r="F831" s="1"/>
      <c r="G831" s="23"/>
      <c r="H831" s="23"/>
      <c r="I831" s="23"/>
      <c r="J831" s="2"/>
      <c r="M831" s="24"/>
    </row>
    <row r="832">
      <c r="A832" s="11"/>
      <c r="B832" s="23"/>
      <c r="C832" s="23"/>
      <c r="D832" s="23"/>
      <c r="E832" s="23"/>
      <c r="F832" s="1"/>
      <c r="G832" s="23"/>
      <c r="H832" s="23"/>
      <c r="I832" s="23"/>
      <c r="J832" s="2"/>
      <c r="M832" s="24"/>
    </row>
    <row r="833">
      <c r="A833" s="11"/>
      <c r="B833" s="23"/>
      <c r="C833" s="23"/>
      <c r="D833" s="23"/>
      <c r="E833" s="23"/>
      <c r="F833" s="1"/>
      <c r="G833" s="23"/>
      <c r="H833" s="23"/>
      <c r="I833" s="23"/>
      <c r="J833" s="2"/>
      <c r="M833" s="24"/>
    </row>
    <row r="834">
      <c r="A834" s="11"/>
      <c r="B834" s="23"/>
      <c r="C834" s="23"/>
      <c r="D834" s="23"/>
      <c r="E834" s="23"/>
      <c r="F834" s="1"/>
      <c r="G834" s="23"/>
      <c r="H834" s="23"/>
      <c r="I834" s="23"/>
      <c r="J834" s="2"/>
      <c r="M834" s="24"/>
    </row>
    <row r="835">
      <c r="A835" s="11"/>
      <c r="B835" s="23"/>
      <c r="C835" s="23"/>
      <c r="D835" s="23"/>
      <c r="E835" s="23"/>
      <c r="F835" s="1"/>
      <c r="G835" s="23"/>
      <c r="H835" s="23"/>
      <c r="I835" s="23"/>
      <c r="J835" s="2"/>
      <c r="M835" s="24"/>
    </row>
    <row r="836">
      <c r="A836" s="11"/>
      <c r="B836" s="23"/>
      <c r="C836" s="23"/>
      <c r="D836" s="23"/>
      <c r="E836" s="23"/>
      <c r="F836" s="1"/>
      <c r="G836" s="23"/>
      <c r="H836" s="23"/>
      <c r="I836" s="23"/>
      <c r="J836" s="2"/>
      <c r="M836" s="24"/>
    </row>
    <row r="837">
      <c r="A837" s="11"/>
      <c r="B837" s="23"/>
      <c r="C837" s="23"/>
      <c r="D837" s="23"/>
      <c r="E837" s="23"/>
      <c r="F837" s="1"/>
      <c r="G837" s="23"/>
      <c r="H837" s="23"/>
      <c r="I837" s="23"/>
      <c r="J837" s="2"/>
      <c r="M837" s="24"/>
    </row>
    <row r="838">
      <c r="A838" s="11"/>
      <c r="B838" s="23"/>
      <c r="C838" s="23"/>
      <c r="D838" s="23"/>
      <c r="E838" s="23"/>
      <c r="F838" s="1"/>
      <c r="G838" s="23"/>
      <c r="H838" s="23"/>
      <c r="I838" s="23"/>
      <c r="J838" s="2"/>
      <c r="M838" s="24"/>
    </row>
    <row r="839">
      <c r="A839" s="11"/>
      <c r="B839" s="23"/>
      <c r="C839" s="23"/>
      <c r="D839" s="23"/>
      <c r="E839" s="23"/>
      <c r="F839" s="1"/>
      <c r="G839" s="23"/>
      <c r="H839" s="23"/>
      <c r="I839" s="23"/>
      <c r="J839" s="2"/>
      <c r="M839" s="24"/>
    </row>
    <row r="840">
      <c r="A840" s="11"/>
      <c r="B840" s="23"/>
      <c r="C840" s="23"/>
      <c r="D840" s="23"/>
      <c r="E840" s="23"/>
      <c r="F840" s="1"/>
      <c r="G840" s="23"/>
      <c r="H840" s="23"/>
      <c r="I840" s="23"/>
      <c r="J840" s="2"/>
      <c r="M840" s="24"/>
    </row>
    <row r="841">
      <c r="A841" s="11"/>
      <c r="B841" s="23"/>
      <c r="C841" s="23"/>
      <c r="D841" s="23"/>
      <c r="E841" s="23"/>
      <c r="F841" s="1"/>
      <c r="G841" s="23"/>
      <c r="H841" s="23"/>
      <c r="I841" s="23"/>
      <c r="J841" s="2"/>
      <c r="M841" s="24"/>
    </row>
    <row r="842">
      <c r="A842" s="11"/>
      <c r="B842" s="23"/>
      <c r="C842" s="23"/>
      <c r="D842" s="23"/>
      <c r="E842" s="23"/>
      <c r="F842" s="1"/>
      <c r="G842" s="23"/>
      <c r="H842" s="23"/>
      <c r="I842" s="23"/>
      <c r="J842" s="2"/>
      <c r="M842" s="24"/>
    </row>
    <row r="843">
      <c r="A843" s="11"/>
      <c r="B843" s="23"/>
      <c r="C843" s="23"/>
      <c r="D843" s="23"/>
      <c r="E843" s="23"/>
      <c r="F843" s="1"/>
      <c r="G843" s="23"/>
      <c r="H843" s="23"/>
      <c r="I843" s="23"/>
      <c r="J843" s="2"/>
      <c r="M843" s="24"/>
    </row>
    <row r="844">
      <c r="A844" s="11"/>
      <c r="B844" s="23"/>
      <c r="C844" s="23"/>
      <c r="D844" s="23"/>
      <c r="E844" s="23"/>
      <c r="F844" s="1"/>
      <c r="G844" s="23"/>
      <c r="H844" s="23"/>
      <c r="I844" s="23"/>
      <c r="J844" s="2"/>
      <c r="M844" s="24"/>
    </row>
    <row r="845">
      <c r="A845" s="11"/>
      <c r="B845" s="23"/>
      <c r="C845" s="23"/>
      <c r="D845" s="23"/>
      <c r="E845" s="23"/>
      <c r="F845" s="1"/>
      <c r="G845" s="23"/>
      <c r="H845" s="23"/>
      <c r="I845" s="23"/>
      <c r="J845" s="2"/>
      <c r="M845" s="24"/>
    </row>
    <row r="846">
      <c r="A846" s="11"/>
      <c r="B846" s="23"/>
      <c r="C846" s="23"/>
      <c r="D846" s="23"/>
      <c r="E846" s="23"/>
      <c r="F846" s="1"/>
      <c r="G846" s="23"/>
      <c r="H846" s="23"/>
      <c r="I846" s="23"/>
      <c r="J846" s="2"/>
      <c r="M846" s="24"/>
    </row>
    <row r="847">
      <c r="A847" s="11"/>
      <c r="B847" s="23"/>
      <c r="C847" s="23"/>
      <c r="D847" s="23"/>
      <c r="E847" s="23"/>
      <c r="F847" s="1"/>
      <c r="G847" s="23"/>
      <c r="H847" s="23"/>
      <c r="I847" s="23"/>
      <c r="J847" s="2"/>
      <c r="M847" s="24"/>
    </row>
    <row r="848">
      <c r="A848" s="11"/>
      <c r="B848" s="23"/>
      <c r="C848" s="23"/>
      <c r="D848" s="23"/>
      <c r="E848" s="23"/>
      <c r="F848" s="1"/>
      <c r="G848" s="23"/>
      <c r="H848" s="23"/>
      <c r="I848" s="23"/>
      <c r="J848" s="2"/>
      <c r="M848" s="24"/>
    </row>
    <row r="849">
      <c r="A849" s="11"/>
      <c r="B849" s="23"/>
      <c r="C849" s="23"/>
      <c r="D849" s="23"/>
      <c r="E849" s="23"/>
      <c r="F849" s="1"/>
      <c r="G849" s="23"/>
      <c r="H849" s="23"/>
      <c r="I849" s="23"/>
      <c r="J849" s="2"/>
      <c r="M849" s="24"/>
    </row>
    <row r="850">
      <c r="A850" s="11"/>
      <c r="B850" s="23"/>
      <c r="C850" s="23"/>
      <c r="D850" s="23"/>
      <c r="E850" s="23"/>
      <c r="F850" s="1"/>
      <c r="G850" s="23"/>
      <c r="H850" s="23"/>
      <c r="I850" s="23"/>
      <c r="J850" s="2"/>
      <c r="M850" s="24"/>
    </row>
    <row r="851">
      <c r="A851" s="11"/>
      <c r="B851" s="23"/>
      <c r="C851" s="23"/>
      <c r="D851" s="23"/>
      <c r="E851" s="23"/>
      <c r="F851" s="1"/>
      <c r="G851" s="23"/>
      <c r="H851" s="23"/>
      <c r="I851" s="23"/>
      <c r="J851" s="2"/>
      <c r="M851" s="24"/>
    </row>
    <row r="852">
      <c r="A852" s="11"/>
      <c r="B852" s="23"/>
      <c r="C852" s="23"/>
      <c r="D852" s="23"/>
      <c r="E852" s="23"/>
      <c r="F852" s="1"/>
      <c r="G852" s="23"/>
      <c r="H852" s="23"/>
      <c r="I852" s="23"/>
      <c r="J852" s="2"/>
      <c r="M852" s="24"/>
    </row>
    <row r="853">
      <c r="A853" s="11"/>
      <c r="B853" s="23"/>
      <c r="C853" s="23"/>
      <c r="D853" s="23"/>
      <c r="E853" s="23"/>
      <c r="F853" s="1"/>
      <c r="G853" s="23"/>
      <c r="H853" s="23"/>
      <c r="I853" s="23"/>
      <c r="J853" s="2"/>
      <c r="M853" s="24"/>
    </row>
    <row r="854">
      <c r="A854" s="11"/>
      <c r="B854" s="23"/>
      <c r="C854" s="23"/>
      <c r="D854" s="23"/>
      <c r="E854" s="23"/>
      <c r="F854" s="1"/>
      <c r="G854" s="23"/>
      <c r="H854" s="23"/>
      <c r="I854" s="23"/>
      <c r="J854" s="2"/>
      <c r="M854" s="24"/>
    </row>
    <row r="855">
      <c r="A855" s="11"/>
      <c r="B855" s="23"/>
      <c r="C855" s="23"/>
      <c r="D855" s="23"/>
      <c r="E855" s="23"/>
      <c r="F855" s="1"/>
      <c r="G855" s="23"/>
      <c r="H855" s="23"/>
      <c r="I855" s="23"/>
      <c r="J855" s="2"/>
      <c r="M855" s="24"/>
    </row>
    <row r="856">
      <c r="A856" s="11"/>
      <c r="B856" s="23"/>
      <c r="C856" s="23"/>
      <c r="D856" s="23"/>
      <c r="E856" s="23"/>
      <c r="F856" s="1"/>
      <c r="G856" s="23"/>
      <c r="H856" s="23"/>
      <c r="I856" s="23"/>
      <c r="J856" s="2"/>
      <c r="M856" s="24"/>
    </row>
    <row r="857">
      <c r="A857" s="11"/>
      <c r="B857" s="23"/>
      <c r="C857" s="23"/>
      <c r="D857" s="23"/>
      <c r="E857" s="23"/>
      <c r="F857" s="1"/>
      <c r="G857" s="23"/>
      <c r="H857" s="23"/>
      <c r="I857" s="23"/>
      <c r="J857" s="2"/>
      <c r="M857" s="24"/>
    </row>
    <row r="858">
      <c r="A858" s="11"/>
      <c r="B858" s="23"/>
      <c r="C858" s="23"/>
      <c r="D858" s="23"/>
      <c r="E858" s="23"/>
      <c r="F858" s="1"/>
      <c r="G858" s="23"/>
      <c r="H858" s="23"/>
      <c r="I858" s="23"/>
      <c r="J858" s="2"/>
      <c r="M858" s="24"/>
    </row>
    <row r="859">
      <c r="A859" s="11"/>
      <c r="B859" s="23"/>
      <c r="C859" s="23"/>
      <c r="D859" s="23"/>
      <c r="E859" s="23"/>
      <c r="F859" s="1"/>
      <c r="G859" s="23"/>
      <c r="H859" s="23"/>
      <c r="I859" s="23"/>
      <c r="J859" s="2"/>
      <c r="M859" s="24"/>
    </row>
    <row r="860">
      <c r="A860" s="11"/>
      <c r="B860" s="23"/>
      <c r="C860" s="23"/>
      <c r="D860" s="23"/>
      <c r="E860" s="23"/>
      <c r="F860" s="1"/>
      <c r="G860" s="23"/>
      <c r="H860" s="23"/>
      <c r="I860" s="23"/>
      <c r="J860" s="2"/>
      <c r="M860" s="24"/>
    </row>
    <row r="861">
      <c r="A861" s="11"/>
      <c r="B861" s="23"/>
      <c r="C861" s="23"/>
      <c r="D861" s="23"/>
      <c r="E861" s="23"/>
      <c r="F861" s="1"/>
      <c r="G861" s="23"/>
      <c r="H861" s="23"/>
      <c r="I861" s="23"/>
      <c r="J861" s="2"/>
      <c r="M861" s="24"/>
    </row>
    <row r="862">
      <c r="A862" s="11"/>
      <c r="B862" s="23"/>
      <c r="C862" s="23"/>
      <c r="D862" s="23"/>
      <c r="E862" s="23"/>
      <c r="F862" s="1"/>
      <c r="G862" s="23"/>
      <c r="H862" s="23"/>
      <c r="I862" s="23"/>
      <c r="J862" s="2"/>
      <c r="M862" s="24"/>
    </row>
    <row r="863">
      <c r="A863" s="11"/>
      <c r="B863" s="23"/>
      <c r="C863" s="23"/>
      <c r="D863" s="23"/>
      <c r="E863" s="23"/>
      <c r="F863" s="1"/>
      <c r="G863" s="23"/>
      <c r="H863" s="23"/>
      <c r="I863" s="23"/>
      <c r="J863" s="2"/>
      <c r="M863" s="24"/>
    </row>
    <row r="864">
      <c r="A864" s="11"/>
      <c r="B864" s="23"/>
      <c r="C864" s="23"/>
      <c r="D864" s="23"/>
      <c r="E864" s="23"/>
      <c r="F864" s="1"/>
      <c r="G864" s="23"/>
      <c r="H864" s="23"/>
      <c r="I864" s="23"/>
      <c r="J864" s="2"/>
      <c r="M864" s="24"/>
    </row>
    <row r="865">
      <c r="A865" s="11"/>
      <c r="B865" s="23"/>
      <c r="C865" s="23"/>
      <c r="D865" s="23"/>
      <c r="E865" s="23"/>
      <c r="F865" s="1"/>
      <c r="G865" s="23"/>
      <c r="H865" s="23"/>
      <c r="I865" s="23"/>
      <c r="J865" s="2"/>
      <c r="M865" s="24"/>
    </row>
    <row r="866">
      <c r="A866" s="11"/>
      <c r="B866" s="23"/>
      <c r="C866" s="23"/>
      <c r="D866" s="23"/>
      <c r="E866" s="23"/>
      <c r="F866" s="1"/>
      <c r="G866" s="23"/>
      <c r="H866" s="23"/>
      <c r="I866" s="23"/>
      <c r="J866" s="2"/>
      <c r="M866" s="24"/>
    </row>
    <row r="867">
      <c r="A867" s="11"/>
      <c r="B867" s="23"/>
      <c r="C867" s="23"/>
      <c r="D867" s="23"/>
      <c r="E867" s="23"/>
      <c r="F867" s="1"/>
      <c r="G867" s="23"/>
      <c r="H867" s="23"/>
      <c r="I867" s="23"/>
      <c r="J867" s="2"/>
      <c r="M867" s="24"/>
    </row>
    <row r="868">
      <c r="A868" s="11"/>
      <c r="B868" s="23"/>
      <c r="C868" s="23"/>
      <c r="D868" s="23"/>
      <c r="E868" s="23"/>
      <c r="F868" s="1"/>
      <c r="G868" s="23"/>
      <c r="H868" s="23"/>
      <c r="I868" s="23"/>
      <c r="J868" s="2"/>
      <c r="M868" s="24"/>
    </row>
    <row r="869">
      <c r="A869" s="11"/>
      <c r="B869" s="23"/>
      <c r="C869" s="23"/>
      <c r="D869" s="23"/>
      <c r="E869" s="23"/>
      <c r="F869" s="1"/>
      <c r="G869" s="23"/>
      <c r="H869" s="23"/>
      <c r="I869" s="23"/>
      <c r="J869" s="2"/>
      <c r="M869" s="24"/>
    </row>
    <row r="870">
      <c r="A870" s="11"/>
      <c r="B870" s="23"/>
      <c r="C870" s="23"/>
      <c r="D870" s="23"/>
      <c r="E870" s="23"/>
      <c r="F870" s="1"/>
      <c r="G870" s="23"/>
      <c r="H870" s="23"/>
      <c r="I870" s="23"/>
      <c r="J870" s="2"/>
      <c r="M870" s="24"/>
    </row>
    <row r="871">
      <c r="A871" s="11"/>
      <c r="B871" s="23"/>
      <c r="C871" s="23"/>
      <c r="D871" s="23"/>
      <c r="E871" s="23"/>
      <c r="F871" s="1"/>
      <c r="G871" s="23"/>
      <c r="H871" s="23"/>
      <c r="I871" s="23"/>
      <c r="J871" s="2"/>
      <c r="M871" s="24"/>
    </row>
    <row r="872">
      <c r="A872" s="11"/>
      <c r="B872" s="23"/>
      <c r="C872" s="23"/>
      <c r="D872" s="23"/>
      <c r="E872" s="23"/>
      <c r="F872" s="1"/>
      <c r="G872" s="23"/>
      <c r="H872" s="23"/>
      <c r="I872" s="23"/>
      <c r="J872" s="2"/>
      <c r="M872" s="24"/>
    </row>
    <row r="873">
      <c r="A873" s="11"/>
      <c r="B873" s="23"/>
      <c r="C873" s="23"/>
      <c r="D873" s="23"/>
      <c r="E873" s="23"/>
      <c r="F873" s="1"/>
      <c r="G873" s="23"/>
      <c r="H873" s="23"/>
      <c r="I873" s="23"/>
      <c r="J873" s="2"/>
      <c r="M873" s="24"/>
    </row>
    <row r="874">
      <c r="A874" s="11"/>
      <c r="B874" s="23"/>
      <c r="C874" s="23"/>
      <c r="D874" s="23"/>
      <c r="E874" s="23"/>
      <c r="F874" s="1"/>
      <c r="G874" s="23"/>
      <c r="H874" s="23"/>
      <c r="I874" s="23"/>
      <c r="J874" s="2"/>
      <c r="M874" s="24"/>
    </row>
    <row r="875">
      <c r="A875" s="11"/>
      <c r="B875" s="23"/>
      <c r="C875" s="23"/>
      <c r="D875" s="23"/>
      <c r="E875" s="23"/>
      <c r="F875" s="1"/>
      <c r="G875" s="23"/>
      <c r="H875" s="23"/>
      <c r="I875" s="23"/>
      <c r="J875" s="2"/>
      <c r="M875" s="24"/>
    </row>
    <row r="876">
      <c r="A876" s="11"/>
      <c r="B876" s="23"/>
      <c r="C876" s="23"/>
      <c r="D876" s="23"/>
      <c r="E876" s="23"/>
      <c r="F876" s="1"/>
      <c r="G876" s="23"/>
      <c r="H876" s="23"/>
      <c r="I876" s="23"/>
      <c r="J876" s="2"/>
      <c r="M876" s="24"/>
    </row>
    <row r="877">
      <c r="A877" s="11"/>
      <c r="B877" s="23"/>
      <c r="C877" s="23"/>
      <c r="D877" s="23"/>
      <c r="E877" s="23"/>
      <c r="F877" s="1"/>
      <c r="G877" s="23"/>
      <c r="H877" s="23"/>
      <c r="I877" s="23"/>
      <c r="J877" s="2"/>
      <c r="M877" s="24"/>
    </row>
    <row r="878">
      <c r="A878" s="11"/>
      <c r="B878" s="23"/>
      <c r="C878" s="23"/>
      <c r="D878" s="23"/>
      <c r="E878" s="23"/>
      <c r="F878" s="1"/>
      <c r="G878" s="23"/>
      <c r="H878" s="23"/>
      <c r="I878" s="23"/>
      <c r="J878" s="2"/>
      <c r="M878" s="24"/>
    </row>
    <row r="879">
      <c r="A879" s="11"/>
      <c r="B879" s="23"/>
      <c r="C879" s="23"/>
      <c r="D879" s="23"/>
      <c r="E879" s="23"/>
      <c r="F879" s="1"/>
      <c r="G879" s="23"/>
      <c r="H879" s="23"/>
      <c r="I879" s="23"/>
      <c r="J879" s="2"/>
      <c r="M879" s="24"/>
    </row>
    <row r="880">
      <c r="A880" s="11"/>
      <c r="B880" s="23"/>
      <c r="C880" s="23"/>
      <c r="D880" s="23"/>
      <c r="E880" s="23"/>
      <c r="F880" s="1"/>
      <c r="G880" s="23"/>
      <c r="H880" s="23"/>
      <c r="I880" s="23"/>
      <c r="J880" s="2"/>
      <c r="M880" s="24"/>
    </row>
    <row r="881">
      <c r="A881" s="11"/>
      <c r="B881" s="23"/>
      <c r="C881" s="23"/>
      <c r="D881" s="23"/>
      <c r="E881" s="23"/>
      <c r="F881" s="1"/>
      <c r="G881" s="23"/>
      <c r="H881" s="23"/>
      <c r="I881" s="23"/>
      <c r="J881" s="2"/>
      <c r="M881" s="24"/>
    </row>
    <row r="882">
      <c r="A882" s="11"/>
      <c r="B882" s="23"/>
      <c r="C882" s="23"/>
      <c r="D882" s="23"/>
      <c r="E882" s="23"/>
      <c r="F882" s="1"/>
      <c r="G882" s="23"/>
      <c r="H882" s="23"/>
      <c r="I882" s="23"/>
      <c r="J882" s="2"/>
      <c r="M882" s="24"/>
    </row>
    <row r="883">
      <c r="A883" s="11"/>
      <c r="B883" s="23"/>
      <c r="C883" s="23"/>
      <c r="D883" s="23"/>
      <c r="E883" s="23"/>
      <c r="F883" s="1"/>
      <c r="G883" s="23"/>
      <c r="H883" s="23"/>
      <c r="I883" s="23"/>
      <c r="J883" s="2"/>
      <c r="M883" s="24"/>
    </row>
    <row r="884">
      <c r="A884" s="11"/>
      <c r="B884" s="23"/>
      <c r="C884" s="23"/>
      <c r="D884" s="23"/>
      <c r="E884" s="23"/>
      <c r="F884" s="1"/>
      <c r="G884" s="23"/>
      <c r="H884" s="23"/>
      <c r="I884" s="23"/>
      <c r="J884" s="2"/>
      <c r="M884" s="24"/>
    </row>
    <row r="885">
      <c r="A885" s="11"/>
      <c r="B885" s="23"/>
      <c r="C885" s="23"/>
      <c r="D885" s="23"/>
      <c r="E885" s="23"/>
      <c r="F885" s="1"/>
      <c r="G885" s="23"/>
      <c r="H885" s="23"/>
      <c r="I885" s="23"/>
      <c r="J885" s="2"/>
      <c r="M885" s="24"/>
    </row>
    <row r="886">
      <c r="A886" s="11"/>
      <c r="B886" s="23"/>
      <c r="C886" s="23"/>
      <c r="D886" s="23"/>
      <c r="E886" s="23"/>
      <c r="F886" s="1"/>
      <c r="G886" s="23"/>
      <c r="H886" s="23"/>
      <c r="I886" s="23"/>
      <c r="J886" s="2"/>
      <c r="M886" s="24"/>
    </row>
    <row r="887">
      <c r="A887" s="11"/>
      <c r="B887" s="23"/>
      <c r="C887" s="23"/>
      <c r="D887" s="23"/>
      <c r="E887" s="23"/>
      <c r="F887" s="1"/>
      <c r="G887" s="23"/>
      <c r="H887" s="23"/>
      <c r="I887" s="23"/>
      <c r="J887" s="2"/>
      <c r="M887" s="24"/>
    </row>
    <row r="888">
      <c r="A888" s="11"/>
      <c r="B888" s="23"/>
      <c r="C888" s="23"/>
      <c r="D888" s="23"/>
      <c r="E888" s="23"/>
      <c r="F888" s="1"/>
      <c r="G888" s="23"/>
      <c r="H888" s="23"/>
      <c r="I888" s="23"/>
      <c r="J888" s="2"/>
      <c r="M888" s="24"/>
    </row>
    <row r="889">
      <c r="A889" s="11"/>
      <c r="B889" s="23"/>
      <c r="C889" s="23"/>
      <c r="D889" s="23"/>
      <c r="E889" s="23"/>
      <c r="F889" s="1"/>
      <c r="G889" s="23"/>
      <c r="H889" s="23"/>
      <c r="I889" s="23"/>
      <c r="J889" s="2"/>
      <c r="M889" s="24"/>
    </row>
    <row r="890">
      <c r="A890" s="11"/>
      <c r="B890" s="23"/>
      <c r="C890" s="23"/>
      <c r="D890" s="23"/>
      <c r="E890" s="23"/>
      <c r="F890" s="1"/>
      <c r="G890" s="23"/>
      <c r="H890" s="23"/>
      <c r="I890" s="23"/>
      <c r="J890" s="2"/>
      <c r="M890" s="24"/>
    </row>
    <row r="891">
      <c r="A891" s="11"/>
      <c r="B891" s="23"/>
      <c r="C891" s="23"/>
      <c r="D891" s="23"/>
      <c r="E891" s="23"/>
      <c r="F891" s="1"/>
      <c r="G891" s="23"/>
      <c r="H891" s="23"/>
      <c r="I891" s="23"/>
      <c r="J891" s="2"/>
      <c r="M891" s="24"/>
    </row>
    <row r="892">
      <c r="A892" s="11"/>
      <c r="B892" s="23"/>
      <c r="C892" s="23"/>
      <c r="D892" s="23"/>
      <c r="E892" s="23"/>
      <c r="F892" s="1"/>
      <c r="G892" s="23"/>
      <c r="H892" s="23"/>
      <c r="I892" s="23"/>
      <c r="J892" s="2"/>
      <c r="M892" s="24"/>
    </row>
    <row r="893">
      <c r="A893" s="11"/>
      <c r="B893" s="23"/>
      <c r="C893" s="23"/>
      <c r="D893" s="23"/>
      <c r="E893" s="23"/>
      <c r="F893" s="1"/>
      <c r="G893" s="23"/>
      <c r="H893" s="23"/>
      <c r="I893" s="23"/>
      <c r="J893" s="2"/>
      <c r="M893" s="24"/>
    </row>
    <row r="894">
      <c r="A894" s="11"/>
      <c r="B894" s="23"/>
      <c r="C894" s="23"/>
      <c r="D894" s="23"/>
      <c r="E894" s="23"/>
      <c r="F894" s="1"/>
      <c r="G894" s="23"/>
      <c r="H894" s="23"/>
      <c r="I894" s="23"/>
      <c r="J894" s="2"/>
      <c r="M894" s="24"/>
    </row>
    <row r="895">
      <c r="A895" s="11"/>
      <c r="B895" s="23"/>
      <c r="C895" s="23"/>
      <c r="D895" s="23"/>
      <c r="E895" s="23"/>
      <c r="F895" s="1"/>
      <c r="G895" s="23"/>
      <c r="H895" s="23"/>
      <c r="I895" s="23"/>
      <c r="J895" s="2"/>
      <c r="M895" s="24"/>
    </row>
    <row r="896">
      <c r="A896" s="11"/>
      <c r="B896" s="23"/>
      <c r="C896" s="23"/>
      <c r="D896" s="23"/>
      <c r="E896" s="23"/>
      <c r="F896" s="1"/>
      <c r="G896" s="23"/>
      <c r="H896" s="23"/>
      <c r="I896" s="23"/>
      <c r="J896" s="2"/>
      <c r="M896" s="24"/>
    </row>
    <row r="897">
      <c r="A897" s="11"/>
      <c r="B897" s="23"/>
      <c r="C897" s="23"/>
      <c r="D897" s="23"/>
      <c r="E897" s="23"/>
      <c r="F897" s="1"/>
      <c r="G897" s="23"/>
      <c r="H897" s="23"/>
      <c r="I897" s="23"/>
      <c r="J897" s="2"/>
      <c r="M897" s="24"/>
    </row>
    <row r="898">
      <c r="A898" s="11"/>
      <c r="B898" s="23"/>
      <c r="C898" s="23"/>
      <c r="D898" s="23"/>
      <c r="E898" s="23"/>
      <c r="F898" s="1"/>
      <c r="G898" s="23"/>
      <c r="H898" s="23"/>
      <c r="I898" s="23"/>
      <c r="J898" s="2"/>
      <c r="M898" s="24"/>
    </row>
    <row r="899">
      <c r="A899" s="11"/>
      <c r="B899" s="23"/>
      <c r="C899" s="23"/>
      <c r="D899" s="23"/>
      <c r="E899" s="23"/>
      <c r="F899" s="1"/>
      <c r="G899" s="23"/>
      <c r="H899" s="23"/>
      <c r="I899" s="23"/>
      <c r="J899" s="2"/>
      <c r="M899" s="24"/>
    </row>
    <row r="900">
      <c r="A900" s="11"/>
      <c r="B900" s="23"/>
      <c r="C900" s="23"/>
      <c r="D900" s="23"/>
      <c r="E900" s="23"/>
      <c r="F900" s="1"/>
      <c r="G900" s="23"/>
      <c r="H900" s="23"/>
      <c r="I900" s="23"/>
      <c r="J900" s="2"/>
      <c r="M900" s="24"/>
    </row>
    <row r="901">
      <c r="A901" s="11"/>
      <c r="B901" s="23"/>
      <c r="C901" s="23"/>
      <c r="D901" s="23"/>
      <c r="E901" s="23"/>
      <c r="F901" s="1"/>
      <c r="G901" s="23"/>
      <c r="H901" s="23"/>
      <c r="I901" s="23"/>
      <c r="J901" s="2"/>
      <c r="M901" s="24"/>
    </row>
    <row r="902">
      <c r="A902" s="11"/>
      <c r="B902" s="23"/>
      <c r="C902" s="23"/>
      <c r="D902" s="23"/>
      <c r="E902" s="23"/>
      <c r="F902" s="1"/>
      <c r="G902" s="23"/>
      <c r="H902" s="23"/>
      <c r="I902" s="23"/>
      <c r="J902" s="2"/>
      <c r="M902" s="24"/>
    </row>
    <row r="903">
      <c r="A903" s="11"/>
      <c r="B903" s="23"/>
      <c r="C903" s="23"/>
      <c r="D903" s="23"/>
      <c r="E903" s="23"/>
      <c r="F903" s="1"/>
      <c r="G903" s="23"/>
      <c r="H903" s="23"/>
      <c r="I903" s="23"/>
      <c r="J903" s="2"/>
      <c r="M903" s="24"/>
    </row>
    <row r="904">
      <c r="A904" s="11"/>
      <c r="B904" s="23"/>
      <c r="C904" s="23"/>
      <c r="D904" s="23"/>
      <c r="E904" s="23"/>
      <c r="F904" s="1"/>
      <c r="G904" s="23"/>
      <c r="H904" s="23"/>
      <c r="I904" s="23"/>
      <c r="J904" s="2"/>
      <c r="M904" s="24"/>
    </row>
    <row r="905">
      <c r="A905" s="11"/>
      <c r="B905" s="23"/>
      <c r="C905" s="23"/>
      <c r="D905" s="23"/>
      <c r="E905" s="23"/>
      <c r="F905" s="1"/>
      <c r="G905" s="23"/>
      <c r="H905" s="23"/>
      <c r="I905" s="23"/>
      <c r="J905" s="2"/>
      <c r="M905" s="24"/>
    </row>
    <row r="906">
      <c r="A906" s="11"/>
      <c r="B906" s="23"/>
      <c r="C906" s="23"/>
      <c r="D906" s="23"/>
      <c r="E906" s="23"/>
      <c r="F906" s="1"/>
      <c r="G906" s="23"/>
      <c r="H906" s="23"/>
      <c r="I906" s="23"/>
      <c r="J906" s="2"/>
      <c r="M906" s="24"/>
    </row>
    <row r="907">
      <c r="A907" s="11"/>
      <c r="B907" s="23"/>
      <c r="C907" s="23"/>
      <c r="D907" s="23"/>
      <c r="E907" s="23"/>
      <c r="F907" s="1"/>
      <c r="G907" s="23"/>
      <c r="H907" s="23"/>
      <c r="I907" s="23"/>
      <c r="J907" s="2"/>
      <c r="M907" s="24"/>
    </row>
    <row r="908">
      <c r="A908" s="11"/>
      <c r="B908" s="23"/>
      <c r="C908" s="23"/>
      <c r="D908" s="23"/>
      <c r="E908" s="23"/>
      <c r="F908" s="1"/>
      <c r="G908" s="23"/>
      <c r="H908" s="23"/>
      <c r="I908" s="23"/>
      <c r="J908" s="2"/>
      <c r="M908" s="24"/>
    </row>
    <row r="909">
      <c r="A909" s="11"/>
      <c r="B909" s="23"/>
      <c r="C909" s="23"/>
      <c r="D909" s="23"/>
      <c r="E909" s="23"/>
      <c r="F909" s="1"/>
      <c r="G909" s="23"/>
      <c r="H909" s="23"/>
      <c r="I909" s="23"/>
      <c r="J909" s="2"/>
      <c r="M909" s="24"/>
    </row>
    <row r="910">
      <c r="A910" s="11"/>
      <c r="B910" s="23"/>
      <c r="C910" s="23"/>
      <c r="D910" s="23"/>
      <c r="E910" s="23"/>
      <c r="F910" s="1"/>
      <c r="G910" s="23"/>
      <c r="H910" s="23"/>
      <c r="I910" s="23"/>
      <c r="J910" s="2"/>
      <c r="M910" s="24"/>
    </row>
    <row r="911">
      <c r="A911" s="11"/>
      <c r="B911" s="23"/>
      <c r="C911" s="23"/>
      <c r="D911" s="23"/>
      <c r="E911" s="23"/>
      <c r="F911" s="1"/>
      <c r="G911" s="23"/>
      <c r="H911" s="23"/>
      <c r="I911" s="23"/>
      <c r="J911" s="2"/>
      <c r="M911" s="24"/>
    </row>
    <row r="912">
      <c r="A912" s="11"/>
      <c r="B912" s="23"/>
      <c r="C912" s="23"/>
      <c r="D912" s="23"/>
      <c r="E912" s="23"/>
      <c r="F912" s="1"/>
      <c r="G912" s="23"/>
      <c r="H912" s="23"/>
      <c r="I912" s="23"/>
      <c r="J912" s="2"/>
      <c r="M912" s="24"/>
    </row>
    <row r="913">
      <c r="A913" s="11"/>
      <c r="B913" s="23"/>
      <c r="C913" s="23"/>
      <c r="D913" s="23"/>
      <c r="E913" s="23"/>
      <c r="F913" s="1"/>
      <c r="G913" s="23"/>
      <c r="H913" s="23"/>
      <c r="I913" s="23"/>
      <c r="J913" s="2"/>
      <c r="M913" s="24"/>
    </row>
    <row r="914">
      <c r="A914" s="11"/>
      <c r="B914" s="23"/>
      <c r="C914" s="23"/>
      <c r="D914" s="23"/>
      <c r="E914" s="23"/>
      <c r="F914" s="1"/>
      <c r="G914" s="23"/>
      <c r="H914" s="23"/>
      <c r="I914" s="23"/>
      <c r="J914" s="2"/>
      <c r="M914" s="24"/>
    </row>
    <row r="915">
      <c r="A915" s="11"/>
      <c r="B915" s="23"/>
      <c r="C915" s="23"/>
      <c r="D915" s="23"/>
      <c r="E915" s="23"/>
      <c r="F915" s="1"/>
      <c r="G915" s="23"/>
      <c r="H915" s="23"/>
      <c r="I915" s="23"/>
      <c r="J915" s="2"/>
      <c r="M915" s="24"/>
    </row>
    <row r="916">
      <c r="A916" s="11"/>
      <c r="B916" s="23"/>
      <c r="C916" s="23"/>
      <c r="D916" s="23"/>
      <c r="E916" s="23"/>
      <c r="F916" s="1"/>
      <c r="G916" s="23"/>
      <c r="H916" s="23"/>
      <c r="I916" s="23"/>
      <c r="J916" s="2"/>
      <c r="M916" s="24"/>
    </row>
    <row r="917">
      <c r="A917" s="11"/>
      <c r="B917" s="23"/>
      <c r="C917" s="23"/>
      <c r="D917" s="23"/>
      <c r="E917" s="23"/>
      <c r="F917" s="1"/>
      <c r="G917" s="23"/>
      <c r="H917" s="23"/>
      <c r="I917" s="23"/>
      <c r="J917" s="2"/>
      <c r="M917" s="24"/>
    </row>
    <row r="918">
      <c r="A918" s="11"/>
      <c r="B918" s="23"/>
      <c r="C918" s="23"/>
      <c r="D918" s="23"/>
      <c r="E918" s="23"/>
      <c r="F918" s="1"/>
      <c r="G918" s="23"/>
      <c r="H918" s="23"/>
      <c r="I918" s="23"/>
      <c r="J918" s="2"/>
      <c r="M918" s="24"/>
    </row>
    <row r="919">
      <c r="A919" s="11"/>
      <c r="B919" s="23"/>
      <c r="C919" s="23"/>
      <c r="D919" s="23"/>
      <c r="E919" s="23"/>
      <c r="F919" s="1"/>
      <c r="G919" s="23"/>
      <c r="H919" s="23"/>
      <c r="I919" s="23"/>
      <c r="J919" s="2"/>
      <c r="M919" s="24"/>
    </row>
    <row r="920">
      <c r="A920" s="11"/>
      <c r="B920" s="23"/>
      <c r="C920" s="23"/>
      <c r="D920" s="23"/>
      <c r="E920" s="23"/>
      <c r="F920" s="1"/>
      <c r="G920" s="23"/>
      <c r="H920" s="23"/>
      <c r="I920" s="23"/>
      <c r="J920" s="2"/>
      <c r="M920" s="24"/>
    </row>
    <row r="921">
      <c r="A921" s="11"/>
      <c r="B921" s="23"/>
      <c r="C921" s="23"/>
      <c r="D921" s="23"/>
      <c r="E921" s="23"/>
      <c r="F921" s="1"/>
      <c r="G921" s="23"/>
      <c r="H921" s="23"/>
      <c r="I921" s="23"/>
      <c r="J921" s="2"/>
      <c r="M921" s="24"/>
    </row>
    <row r="922">
      <c r="A922" s="11"/>
      <c r="B922" s="23"/>
      <c r="C922" s="23"/>
      <c r="D922" s="23"/>
      <c r="E922" s="23"/>
      <c r="F922" s="1"/>
      <c r="G922" s="23"/>
      <c r="H922" s="23"/>
      <c r="I922" s="23"/>
      <c r="J922" s="2"/>
      <c r="M922" s="24"/>
    </row>
    <row r="923">
      <c r="A923" s="11"/>
      <c r="B923" s="23"/>
      <c r="C923" s="23"/>
      <c r="D923" s="23"/>
      <c r="E923" s="23"/>
      <c r="F923" s="1"/>
      <c r="G923" s="23"/>
      <c r="H923" s="23"/>
      <c r="I923" s="23"/>
      <c r="J923" s="2"/>
      <c r="M923" s="24"/>
    </row>
    <row r="924">
      <c r="A924" s="11"/>
      <c r="B924" s="23"/>
      <c r="C924" s="23"/>
      <c r="D924" s="23"/>
      <c r="E924" s="23"/>
      <c r="F924" s="1"/>
      <c r="G924" s="23"/>
      <c r="H924" s="23"/>
      <c r="I924" s="23"/>
      <c r="J924" s="2"/>
      <c r="M924" s="24"/>
    </row>
    <row r="925">
      <c r="A925" s="11"/>
      <c r="B925" s="23"/>
      <c r="C925" s="23"/>
      <c r="D925" s="23"/>
      <c r="E925" s="23"/>
      <c r="F925" s="1"/>
      <c r="G925" s="23"/>
      <c r="H925" s="23"/>
      <c r="I925" s="23"/>
      <c r="J925" s="2"/>
      <c r="M925" s="24"/>
    </row>
    <row r="926">
      <c r="A926" s="11"/>
      <c r="B926" s="23"/>
      <c r="C926" s="23"/>
      <c r="D926" s="23"/>
      <c r="E926" s="23"/>
      <c r="F926" s="1"/>
      <c r="G926" s="23"/>
      <c r="H926" s="23"/>
      <c r="I926" s="23"/>
      <c r="J926" s="2"/>
      <c r="M926" s="24"/>
    </row>
    <row r="927">
      <c r="A927" s="11"/>
      <c r="B927" s="23"/>
      <c r="C927" s="23"/>
      <c r="D927" s="23"/>
      <c r="E927" s="23"/>
      <c r="F927" s="1"/>
      <c r="G927" s="23"/>
      <c r="H927" s="23"/>
      <c r="I927" s="23"/>
      <c r="J927" s="2"/>
      <c r="M927" s="24"/>
    </row>
    <row r="928">
      <c r="A928" s="11"/>
      <c r="B928" s="23"/>
      <c r="C928" s="23"/>
      <c r="D928" s="23"/>
      <c r="E928" s="23"/>
      <c r="F928" s="1"/>
      <c r="G928" s="23"/>
      <c r="H928" s="23"/>
      <c r="I928" s="23"/>
      <c r="J928" s="2"/>
      <c r="M928" s="24"/>
    </row>
    <row r="929">
      <c r="A929" s="11"/>
      <c r="B929" s="23"/>
      <c r="C929" s="23"/>
      <c r="D929" s="23"/>
      <c r="E929" s="23"/>
      <c r="F929" s="1"/>
      <c r="G929" s="23"/>
      <c r="H929" s="23"/>
      <c r="I929" s="23"/>
      <c r="J929" s="2"/>
      <c r="M929" s="24"/>
    </row>
    <row r="930">
      <c r="A930" s="11"/>
      <c r="B930" s="23"/>
      <c r="C930" s="23"/>
      <c r="D930" s="23"/>
      <c r="E930" s="23"/>
      <c r="F930" s="1"/>
      <c r="G930" s="23"/>
      <c r="H930" s="23"/>
      <c r="I930" s="23"/>
      <c r="J930" s="2"/>
      <c r="M930" s="24"/>
    </row>
    <row r="931">
      <c r="A931" s="11"/>
      <c r="B931" s="23"/>
      <c r="C931" s="23"/>
      <c r="D931" s="23"/>
      <c r="E931" s="23"/>
      <c r="F931" s="1"/>
      <c r="G931" s="23"/>
      <c r="H931" s="23"/>
      <c r="I931" s="23"/>
      <c r="J931" s="2"/>
      <c r="M931" s="24"/>
    </row>
    <row r="932">
      <c r="A932" s="11"/>
      <c r="B932" s="23"/>
      <c r="C932" s="23"/>
      <c r="D932" s="23"/>
      <c r="E932" s="23"/>
      <c r="F932" s="1"/>
      <c r="G932" s="23"/>
      <c r="H932" s="23"/>
      <c r="I932" s="23"/>
      <c r="J932" s="2"/>
      <c r="M932" s="24"/>
    </row>
    <row r="933">
      <c r="A933" s="11"/>
      <c r="B933" s="23"/>
      <c r="C933" s="23"/>
      <c r="D933" s="23"/>
      <c r="E933" s="23"/>
      <c r="F933" s="1"/>
      <c r="G933" s="23"/>
      <c r="H933" s="23"/>
      <c r="I933" s="23"/>
      <c r="J933" s="2"/>
      <c r="M933" s="24"/>
    </row>
    <row r="934">
      <c r="A934" s="11"/>
      <c r="B934" s="23"/>
      <c r="C934" s="23"/>
      <c r="D934" s="23"/>
      <c r="E934" s="23"/>
      <c r="F934" s="1"/>
      <c r="G934" s="23"/>
      <c r="H934" s="23"/>
      <c r="I934" s="23"/>
      <c r="J934" s="2"/>
      <c r="M934" s="24"/>
    </row>
    <row r="935">
      <c r="A935" s="11"/>
      <c r="B935" s="23"/>
      <c r="C935" s="23"/>
      <c r="D935" s="23"/>
      <c r="E935" s="23"/>
      <c r="F935" s="1"/>
      <c r="G935" s="23"/>
      <c r="H935" s="23"/>
      <c r="I935" s="23"/>
      <c r="J935" s="2"/>
      <c r="M935" s="24"/>
    </row>
    <row r="936">
      <c r="A936" s="11"/>
      <c r="B936" s="23"/>
      <c r="C936" s="23"/>
      <c r="D936" s="23"/>
      <c r="E936" s="23"/>
      <c r="F936" s="1"/>
      <c r="G936" s="23"/>
      <c r="H936" s="23"/>
      <c r="I936" s="23"/>
      <c r="J936" s="2"/>
      <c r="M936" s="24"/>
    </row>
    <row r="937">
      <c r="A937" s="11"/>
      <c r="B937" s="23"/>
      <c r="C937" s="23"/>
      <c r="D937" s="23"/>
      <c r="E937" s="23"/>
      <c r="F937" s="1"/>
      <c r="G937" s="23"/>
      <c r="H937" s="23"/>
      <c r="I937" s="23"/>
      <c r="J937" s="2"/>
      <c r="M937" s="24"/>
    </row>
    <row r="938">
      <c r="A938" s="11"/>
      <c r="B938" s="23"/>
      <c r="C938" s="23"/>
      <c r="D938" s="23"/>
      <c r="E938" s="23"/>
      <c r="F938" s="1"/>
      <c r="G938" s="23"/>
      <c r="H938" s="23"/>
      <c r="I938" s="23"/>
      <c r="J938" s="2"/>
      <c r="M938" s="24"/>
    </row>
    <row r="939">
      <c r="A939" s="11"/>
      <c r="B939" s="23"/>
      <c r="C939" s="23"/>
      <c r="D939" s="23"/>
      <c r="E939" s="23"/>
      <c r="F939" s="1"/>
      <c r="G939" s="23"/>
      <c r="H939" s="23"/>
      <c r="I939" s="23"/>
      <c r="J939" s="2"/>
      <c r="M939" s="24"/>
    </row>
    <row r="940">
      <c r="A940" s="11"/>
      <c r="B940" s="23"/>
      <c r="C940" s="23"/>
      <c r="D940" s="23"/>
      <c r="E940" s="23"/>
      <c r="F940" s="1"/>
      <c r="G940" s="23"/>
      <c r="H940" s="23"/>
      <c r="I940" s="23"/>
      <c r="J940" s="2"/>
      <c r="M940" s="24"/>
    </row>
    <row r="941">
      <c r="A941" s="11"/>
      <c r="B941" s="23"/>
      <c r="C941" s="23"/>
      <c r="D941" s="23"/>
      <c r="E941" s="23"/>
      <c r="F941" s="1"/>
      <c r="G941" s="23"/>
      <c r="H941" s="23"/>
      <c r="I941" s="23"/>
      <c r="J941" s="2"/>
      <c r="M941" s="24"/>
    </row>
    <row r="942">
      <c r="A942" s="11"/>
      <c r="B942" s="23"/>
      <c r="C942" s="23"/>
      <c r="D942" s="23"/>
      <c r="E942" s="23"/>
      <c r="F942" s="1"/>
      <c r="G942" s="23"/>
      <c r="H942" s="23"/>
      <c r="I942" s="23"/>
      <c r="J942" s="2"/>
      <c r="M942" s="24"/>
    </row>
    <row r="943">
      <c r="A943" s="11"/>
      <c r="B943" s="23"/>
      <c r="C943" s="23"/>
      <c r="D943" s="23"/>
      <c r="E943" s="23"/>
      <c r="F943" s="1"/>
      <c r="G943" s="23"/>
      <c r="H943" s="23"/>
      <c r="I943" s="23"/>
      <c r="J943" s="2"/>
      <c r="M943" s="24"/>
    </row>
    <row r="944">
      <c r="A944" s="11"/>
      <c r="B944" s="23"/>
      <c r="C944" s="23"/>
      <c r="D944" s="23"/>
      <c r="E944" s="23"/>
      <c r="F944" s="1"/>
      <c r="G944" s="23"/>
      <c r="H944" s="23"/>
      <c r="I944" s="23"/>
      <c r="J944" s="2"/>
      <c r="M944" s="24"/>
    </row>
    <row r="945">
      <c r="A945" s="11"/>
      <c r="B945" s="23"/>
      <c r="C945" s="23"/>
      <c r="D945" s="23"/>
      <c r="E945" s="23"/>
      <c r="F945" s="1"/>
      <c r="G945" s="23"/>
      <c r="H945" s="23"/>
      <c r="I945" s="23"/>
      <c r="J945" s="2"/>
      <c r="M945" s="24"/>
    </row>
    <row r="946">
      <c r="A946" s="11"/>
      <c r="B946" s="23"/>
      <c r="C946" s="23"/>
      <c r="D946" s="23"/>
      <c r="E946" s="23"/>
      <c r="F946" s="1"/>
      <c r="G946" s="23"/>
      <c r="H946" s="23"/>
      <c r="I946" s="23"/>
      <c r="J946" s="2"/>
      <c r="M946" s="24"/>
    </row>
    <row r="947">
      <c r="A947" s="11"/>
      <c r="B947" s="23"/>
      <c r="C947" s="23"/>
      <c r="D947" s="23"/>
      <c r="E947" s="23"/>
      <c r="F947" s="1"/>
      <c r="G947" s="23"/>
      <c r="H947" s="23"/>
      <c r="I947" s="23"/>
      <c r="J947" s="2"/>
      <c r="M947" s="24"/>
    </row>
    <row r="948">
      <c r="A948" s="11"/>
      <c r="B948" s="23"/>
      <c r="C948" s="23"/>
      <c r="D948" s="23"/>
      <c r="E948" s="23"/>
      <c r="F948" s="1"/>
      <c r="G948" s="23"/>
      <c r="H948" s="23"/>
      <c r="I948" s="23"/>
      <c r="J948" s="2"/>
      <c r="M948" s="24"/>
    </row>
    <row r="949">
      <c r="A949" s="11"/>
      <c r="B949" s="23"/>
      <c r="C949" s="23"/>
      <c r="D949" s="23"/>
      <c r="E949" s="23"/>
      <c r="F949" s="1"/>
      <c r="G949" s="23"/>
      <c r="H949" s="23"/>
      <c r="I949" s="23"/>
      <c r="J949" s="2"/>
      <c r="M949" s="24"/>
    </row>
    <row r="950">
      <c r="A950" s="11"/>
      <c r="B950" s="23"/>
      <c r="C950" s="23"/>
      <c r="D950" s="23"/>
      <c r="E950" s="23"/>
      <c r="F950" s="1"/>
      <c r="G950" s="23"/>
      <c r="H950" s="23"/>
      <c r="I950" s="23"/>
      <c r="J950" s="2"/>
      <c r="M950" s="24"/>
    </row>
    <row r="951">
      <c r="A951" s="11"/>
      <c r="B951" s="23"/>
      <c r="C951" s="23"/>
      <c r="D951" s="23"/>
      <c r="E951" s="23"/>
      <c r="F951" s="1"/>
      <c r="G951" s="23"/>
      <c r="H951" s="23"/>
      <c r="I951" s="23"/>
      <c r="J951" s="2"/>
      <c r="M951" s="24"/>
    </row>
    <row r="952">
      <c r="A952" s="11"/>
      <c r="B952" s="23"/>
      <c r="C952" s="23"/>
      <c r="D952" s="23"/>
      <c r="E952" s="23"/>
      <c r="F952" s="1"/>
      <c r="G952" s="23"/>
      <c r="H952" s="23"/>
      <c r="I952" s="23"/>
      <c r="J952" s="2"/>
      <c r="M952" s="24"/>
    </row>
    <row r="953">
      <c r="A953" s="11"/>
      <c r="B953" s="23"/>
      <c r="C953" s="23"/>
      <c r="D953" s="23"/>
      <c r="E953" s="23"/>
      <c r="F953" s="1"/>
      <c r="G953" s="23"/>
      <c r="H953" s="23"/>
      <c r="I953" s="23"/>
      <c r="J953" s="2"/>
      <c r="M953" s="24"/>
    </row>
    <row r="954">
      <c r="A954" s="11"/>
      <c r="B954" s="23"/>
      <c r="C954" s="23"/>
      <c r="D954" s="23"/>
      <c r="E954" s="23"/>
      <c r="F954" s="1"/>
      <c r="G954" s="23"/>
      <c r="H954" s="23"/>
      <c r="I954" s="23"/>
      <c r="J954" s="2"/>
      <c r="M954" s="24"/>
    </row>
    <row r="955">
      <c r="A955" s="11"/>
      <c r="B955" s="23"/>
      <c r="C955" s="23"/>
      <c r="D955" s="23"/>
      <c r="E955" s="23"/>
      <c r="F955" s="1"/>
      <c r="G955" s="23"/>
      <c r="H955" s="23"/>
      <c r="I955" s="23"/>
      <c r="J955" s="2"/>
      <c r="M955" s="24"/>
    </row>
    <row r="956">
      <c r="A956" s="11"/>
      <c r="B956" s="23"/>
      <c r="C956" s="23"/>
      <c r="D956" s="23"/>
      <c r="E956" s="23"/>
      <c r="F956" s="1"/>
      <c r="G956" s="23"/>
      <c r="H956" s="23"/>
      <c r="I956" s="23"/>
      <c r="J956" s="2"/>
      <c r="M956" s="24"/>
    </row>
    <row r="957">
      <c r="A957" s="11"/>
      <c r="B957" s="23"/>
      <c r="C957" s="23"/>
      <c r="D957" s="23"/>
      <c r="E957" s="23"/>
      <c r="F957" s="1"/>
      <c r="G957" s="23"/>
      <c r="H957" s="23"/>
      <c r="I957" s="23"/>
      <c r="J957" s="2"/>
      <c r="M957" s="24"/>
    </row>
    <row r="958">
      <c r="A958" s="11"/>
      <c r="B958" s="23"/>
      <c r="C958" s="23"/>
      <c r="D958" s="23"/>
      <c r="E958" s="23"/>
      <c r="F958" s="1"/>
      <c r="G958" s="23"/>
      <c r="H958" s="23"/>
      <c r="I958" s="23"/>
      <c r="J958" s="2"/>
      <c r="M958" s="24"/>
    </row>
    <row r="959">
      <c r="A959" s="11"/>
      <c r="B959" s="23"/>
      <c r="C959" s="23"/>
      <c r="D959" s="23"/>
      <c r="E959" s="23"/>
      <c r="F959" s="1"/>
      <c r="G959" s="23"/>
      <c r="H959" s="23"/>
      <c r="I959" s="23"/>
      <c r="J959" s="2"/>
      <c r="M959" s="24"/>
    </row>
    <row r="960">
      <c r="A960" s="11"/>
      <c r="B960" s="23"/>
      <c r="C960" s="23"/>
      <c r="D960" s="23"/>
      <c r="E960" s="23"/>
      <c r="F960" s="1"/>
      <c r="G960" s="23"/>
      <c r="H960" s="23"/>
      <c r="I960" s="23"/>
      <c r="J960" s="2"/>
      <c r="M960" s="24"/>
    </row>
    <row r="961">
      <c r="A961" s="11"/>
      <c r="B961" s="23"/>
      <c r="C961" s="23"/>
      <c r="D961" s="23"/>
      <c r="E961" s="23"/>
      <c r="F961" s="1"/>
      <c r="G961" s="23"/>
      <c r="H961" s="23"/>
      <c r="I961" s="23"/>
      <c r="J961" s="2"/>
      <c r="M961" s="24"/>
    </row>
    <row r="962">
      <c r="A962" s="11"/>
      <c r="B962" s="23"/>
      <c r="C962" s="23"/>
      <c r="D962" s="23"/>
      <c r="E962" s="23"/>
      <c r="F962" s="1"/>
      <c r="G962" s="23"/>
      <c r="H962" s="23"/>
      <c r="I962" s="23"/>
      <c r="J962" s="2"/>
      <c r="M962" s="24"/>
    </row>
    <row r="963">
      <c r="A963" s="11"/>
      <c r="B963" s="23"/>
      <c r="C963" s="23"/>
      <c r="D963" s="23"/>
      <c r="E963" s="23"/>
      <c r="F963" s="1"/>
      <c r="G963" s="23"/>
      <c r="H963" s="23"/>
      <c r="I963" s="23"/>
      <c r="J963" s="2"/>
      <c r="M963" s="24"/>
    </row>
    <row r="964">
      <c r="A964" s="11"/>
      <c r="B964" s="23"/>
      <c r="C964" s="23"/>
      <c r="D964" s="23"/>
      <c r="E964" s="23"/>
      <c r="F964" s="1"/>
      <c r="G964" s="23"/>
      <c r="H964" s="23"/>
      <c r="I964" s="23"/>
      <c r="J964" s="2"/>
      <c r="M964" s="24"/>
    </row>
    <row r="965">
      <c r="A965" s="11"/>
      <c r="B965" s="23"/>
      <c r="C965" s="23"/>
      <c r="D965" s="23"/>
      <c r="E965" s="23"/>
      <c r="F965" s="1"/>
      <c r="G965" s="23"/>
      <c r="H965" s="23"/>
      <c r="I965" s="23"/>
      <c r="J965" s="2"/>
      <c r="M965" s="24"/>
    </row>
    <row r="966">
      <c r="A966" s="11"/>
      <c r="B966" s="23"/>
      <c r="C966" s="23"/>
      <c r="D966" s="23"/>
      <c r="E966" s="23"/>
      <c r="F966" s="1"/>
      <c r="G966" s="23"/>
      <c r="H966" s="23"/>
      <c r="I966" s="23"/>
      <c r="J966" s="2"/>
      <c r="M966" s="24"/>
    </row>
    <row r="967">
      <c r="A967" s="11"/>
      <c r="B967" s="23"/>
      <c r="C967" s="23"/>
      <c r="D967" s="23"/>
      <c r="E967" s="23"/>
      <c r="F967" s="1"/>
      <c r="G967" s="23"/>
      <c r="H967" s="23"/>
      <c r="I967" s="23"/>
      <c r="J967" s="2"/>
      <c r="M967" s="24"/>
    </row>
    <row r="968">
      <c r="A968" s="11"/>
      <c r="B968" s="23"/>
      <c r="C968" s="23"/>
      <c r="D968" s="23"/>
      <c r="E968" s="23"/>
      <c r="F968" s="1"/>
      <c r="G968" s="23"/>
      <c r="H968" s="23"/>
      <c r="I968" s="23"/>
      <c r="J968" s="2"/>
      <c r="M968" s="24"/>
    </row>
    <row r="969">
      <c r="A969" s="11"/>
      <c r="B969" s="23"/>
      <c r="C969" s="23"/>
      <c r="D969" s="23"/>
      <c r="E969" s="23"/>
      <c r="F969" s="1"/>
      <c r="G969" s="23"/>
      <c r="H969" s="23"/>
      <c r="I969" s="23"/>
      <c r="J969" s="2"/>
      <c r="M969" s="24"/>
    </row>
    <row r="970">
      <c r="A970" s="11"/>
      <c r="B970" s="23"/>
      <c r="C970" s="23"/>
      <c r="D970" s="23"/>
      <c r="E970" s="23"/>
      <c r="F970" s="1"/>
      <c r="G970" s="23"/>
      <c r="H970" s="23"/>
      <c r="I970" s="23"/>
      <c r="J970" s="2"/>
      <c r="M970" s="24"/>
    </row>
    <row r="971">
      <c r="A971" s="11"/>
      <c r="B971" s="23"/>
      <c r="C971" s="23"/>
      <c r="D971" s="23"/>
      <c r="E971" s="23"/>
      <c r="F971" s="1"/>
      <c r="G971" s="23"/>
      <c r="H971" s="23"/>
      <c r="I971" s="23"/>
      <c r="J971" s="2"/>
      <c r="M971" s="24"/>
    </row>
    <row r="972">
      <c r="A972" s="11"/>
      <c r="B972" s="23"/>
      <c r="C972" s="23"/>
      <c r="D972" s="23"/>
      <c r="E972" s="23"/>
      <c r="F972" s="1"/>
      <c r="G972" s="23"/>
      <c r="H972" s="23"/>
      <c r="I972" s="23"/>
      <c r="J972" s="2"/>
      <c r="M972" s="24"/>
    </row>
    <row r="973">
      <c r="A973" s="11"/>
      <c r="B973" s="23"/>
      <c r="C973" s="23"/>
      <c r="D973" s="23"/>
      <c r="E973" s="23"/>
      <c r="F973" s="1"/>
      <c r="G973" s="23"/>
      <c r="H973" s="23"/>
      <c r="I973" s="23"/>
      <c r="J973" s="2"/>
      <c r="M973" s="24"/>
    </row>
    <row r="974">
      <c r="A974" s="11"/>
      <c r="B974" s="23"/>
      <c r="C974" s="23"/>
      <c r="D974" s="23"/>
      <c r="E974" s="23"/>
      <c r="F974" s="1"/>
      <c r="G974" s="23"/>
      <c r="H974" s="23"/>
      <c r="I974" s="23"/>
      <c r="J974" s="2"/>
      <c r="M974" s="24"/>
    </row>
    <row r="975">
      <c r="A975" s="11"/>
      <c r="B975" s="23"/>
      <c r="C975" s="23"/>
      <c r="D975" s="23"/>
      <c r="E975" s="23"/>
      <c r="F975" s="1"/>
      <c r="G975" s="23"/>
      <c r="H975" s="23"/>
      <c r="I975" s="23"/>
      <c r="J975" s="2"/>
      <c r="M975" s="24"/>
    </row>
    <row r="976">
      <c r="A976" s="11"/>
      <c r="B976" s="23"/>
      <c r="C976" s="23"/>
      <c r="D976" s="23"/>
      <c r="E976" s="23"/>
      <c r="F976" s="1"/>
      <c r="G976" s="23"/>
      <c r="H976" s="23"/>
      <c r="I976" s="23"/>
      <c r="J976" s="2"/>
      <c r="M976" s="24"/>
    </row>
    <row r="977">
      <c r="A977" s="11"/>
      <c r="B977" s="23"/>
      <c r="C977" s="23"/>
      <c r="D977" s="23"/>
      <c r="E977" s="23"/>
      <c r="F977" s="1"/>
      <c r="G977" s="23"/>
      <c r="H977" s="23"/>
      <c r="I977" s="23"/>
      <c r="J977" s="2"/>
      <c r="M977" s="24"/>
    </row>
    <row r="978">
      <c r="A978" s="11"/>
      <c r="B978" s="23"/>
      <c r="C978" s="23"/>
      <c r="D978" s="23"/>
      <c r="E978" s="23"/>
      <c r="F978" s="1"/>
      <c r="G978" s="23"/>
      <c r="H978" s="23"/>
      <c r="I978" s="23"/>
      <c r="J978" s="2"/>
      <c r="M978" s="24"/>
    </row>
    <row r="979">
      <c r="A979" s="11"/>
      <c r="B979" s="23"/>
      <c r="C979" s="23"/>
      <c r="D979" s="23"/>
      <c r="E979" s="23"/>
      <c r="F979" s="1"/>
      <c r="G979" s="23"/>
      <c r="H979" s="23"/>
      <c r="I979" s="23"/>
      <c r="J979" s="2"/>
      <c r="M979" s="24"/>
    </row>
    <row r="980">
      <c r="A980" s="11"/>
      <c r="B980" s="23"/>
      <c r="C980" s="23"/>
      <c r="D980" s="23"/>
      <c r="E980" s="23"/>
      <c r="F980" s="1"/>
      <c r="G980" s="23"/>
      <c r="H980" s="23"/>
      <c r="I980" s="23"/>
      <c r="J980" s="2"/>
      <c r="M980" s="24"/>
    </row>
    <row r="981">
      <c r="A981" s="11"/>
      <c r="B981" s="23"/>
      <c r="C981" s="23"/>
      <c r="D981" s="23"/>
      <c r="E981" s="23"/>
      <c r="F981" s="1"/>
      <c r="G981" s="23"/>
      <c r="H981" s="23"/>
      <c r="I981" s="23"/>
      <c r="J981" s="2"/>
      <c r="M981" s="24"/>
    </row>
    <row r="982">
      <c r="A982" s="11"/>
      <c r="B982" s="23"/>
      <c r="C982" s="23"/>
      <c r="D982" s="23"/>
      <c r="E982" s="23"/>
      <c r="F982" s="1"/>
      <c r="G982" s="23"/>
      <c r="H982" s="23"/>
      <c r="I982" s="23"/>
      <c r="J982" s="2"/>
      <c r="M982" s="24"/>
    </row>
    <row r="983">
      <c r="A983" s="11"/>
      <c r="B983" s="23"/>
      <c r="C983" s="23"/>
      <c r="D983" s="23"/>
      <c r="E983" s="23"/>
      <c r="F983" s="1"/>
      <c r="G983" s="23"/>
      <c r="H983" s="23"/>
      <c r="I983" s="23"/>
      <c r="J983" s="2"/>
      <c r="M983" s="24"/>
    </row>
    <row r="984">
      <c r="A984" s="11"/>
      <c r="B984" s="23"/>
      <c r="C984" s="23"/>
      <c r="D984" s="23"/>
      <c r="E984" s="23"/>
      <c r="F984" s="1"/>
      <c r="G984" s="23"/>
      <c r="H984" s="23"/>
      <c r="I984" s="23"/>
      <c r="J984" s="2"/>
      <c r="M984" s="24"/>
    </row>
    <row r="985">
      <c r="A985" s="11"/>
      <c r="B985" s="23"/>
      <c r="C985" s="23"/>
      <c r="D985" s="23"/>
      <c r="E985" s="23"/>
      <c r="F985" s="1"/>
      <c r="G985" s="23"/>
      <c r="H985" s="23"/>
      <c r="I985" s="23"/>
      <c r="J985" s="2"/>
      <c r="M985" s="24"/>
    </row>
    <row r="986">
      <c r="A986" s="11"/>
      <c r="B986" s="23"/>
      <c r="C986" s="23"/>
      <c r="D986" s="23"/>
      <c r="E986" s="23"/>
      <c r="F986" s="1"/>
      <c r="G986" s="23"/>
      <c r="H986" s="23"/>
      <c r="I986" s="23"/>
      <c r="J986" s="2"/>
      <c r="M986" s="24"/>
    </row>
    <row r="987">
      <c r="A987" s="11"/>
      <c r="B987" s="23"/>
      <c r="C987" s="23"/>
      <c r="D987" s="23"/>
      <c r="E987" s="23"/>
      <c r="F987" s="1"/>
      <c r="G987" s="23"/>
      <c r="H987" s="23"/>
      <c r="I987" s="23"/>
      <c r="J987" s="2"/>
      <c r="M987" s="24"/>
    </row>
    <row r="988">
      <c r="A988" s="11"/>
      <c r="B988" s="23"/>
      <c r="C988" s="23"/>
      <c r="D988" s="23"/>
      <c r="E988" s="23"/>
      <c r="F988" s="1"/>
      <c r="G988" s="23"/>
      <c r="H988" s="23"/>
      <c r="I988" s="23"/>
      <c r="J988" s="2"/>
      <c r="M988" s="24"/>
    </row>
    <row r="989">
      <c r="A989" s="11"/>
      <c r="B989" s="23"/>
      <c r="C989" s="23"/>
      <c r="D989" s="23"/>
      <c r="E989" s="23"/>
      <c r="F989" s="1"/>
      <c r="G989" s="23"/>
      <c r="H989" s="23"/>
      <c r="I989" s="23"/>
      <c r="J989" s="2"/>
      <c r="M989" s="24"/>
    </row>
    <row r="990">
      <c r="A990" s="11"/>
      <c r="B990" s="23"/>
      <c r="C990" s="23"/>
      <c r="D990" s="23"/>
      <c r="E990" s="23"/>
      <c r="F990" s="1"/>
      <c r="G990" s="23"/>
      <c r="H990" s="23"/>
      <c r="I990" s="23"/>
      <c r="J990" s="2"/>
      <c r="M990" s="24"/>
    </row>
    <row r="991">
      <c r="A991" s="11"/>
      <c r="B991" s="23"/>
      <c r="C991" s="23"/>
      <c r="D991" s="23"/>
      <c r="E991" s="23"/>
      <c r="F991" s="1"/>
      <c r="G991" s="23"/>
      <c r="H991" s="23"/>
      <c r="I991" s="23"/>
      <c r="J991" s="2"/>
      <c r="M991" s="24"/>
    </row>
    <row r="992">
      <c r="A992" s="11"/>
      <c r="B992" s="23"/>
      <c r="C992" s="23"/>
      <c r="D992" s="23"/>
      <c r="E992" s="23"/>
      <c r="F992" s="1"/>
      <c r="G992" s="23"/>
      <c r="H992" s="23"/>
      <c r="I992" s="23"/>
      <c r="J992" s="2"/>
      <c r="M992" s="24"/>
    </row>
    <row r="993">
      <c r="A993" s="11"/>
      <c r="B993" s="23"/>
      <c r="C993" s="23"/>
      <c r="D993" s="23"/>
      <c r="E993" s="23"/>
      <c r="F993" s="1"/>
      <c r="G993" s="23"/>
      <c r="H993" s="23"/>
      <c r="I993" s="23"/>
      <c r="J993" s="2"/>
      <c r="M993" s="24"/>
    </row>
    <row r="994">
      <c r="A994" s="11"/>
      <c r="B994" s="23"/>
      <c r="C994" s="23"/>
      <c r="D994" s="23"/>
      <c r="E994" s="23"/>
      <c r="F994" s="1"/>
      <c r="G994" s="23"/>
      <c r="H994" s="23"/>
      <c r="I994" s="23"/>
      <c r="J994" s="2"/>
      <c r="M994" s="24"/>
    </row>
    <row r="995">
      <c r="A995" s="11"/>
      <c r="B995" s="23"/>
      <c r="C995" s="23"/>
      <c r="D995" s="23"/>
      <c r="E995" s="23"/>
      <c r="F995" s="1"/>
      <c r="G995" s="23"/>
      <c r="H995" s="23"/>
      <c r="I995" s="23"/>
      <c r="J995" s="2"/>
      <c r="M995" s="24"/>
    </row>
    <row r="996">
      <c r="A996" s="11"/>
      <c r="B996" s="23"/>
      <c r="C996" s="23"/>
      <c r="D996" s="23"/>
      <c r="E996" s="23"/>
      <c r="F996" s="1"/>
      <c r="G996" s="23"/>
      <c r="H996" s="23"/>
      <c r="I996" s="23"/>
      <c r="J996" s="2"/>
      <c r="M996" s="24"/>
    </row>
    <row r="997">
      <c r="A997" s="11"/>
      <c r="B997" s="23"/>
      <c r="C997" s="23"/>
      <c r="D997" s="23"/>
      <c r="E997" s="23"/>
      <c r="F997" s="1"/>
      <c r="G997" s="23"/>
      <c r="H997" s="23"/>
      <c r="I997" s="23"/>
      <c r="J997" s="2"/>
      <c r="M997" s="24"/>
    </row>
    <row r="998">
      <c r="A998" s="11"/>
      <c r="B998" s="23"/>
      <c r="C998" s="23"/>
      <c r="D998" s="23"/>
      <c r="E998" s="23"/>
      <c r="F998" s="1"/>
      <c r="G998" s="23"/>
      <c r="H998" s="23"/>
      <c r="I998" s="23"/>
      <c r="J998" s="2"/>
      <c r="M998" s="24"/>
    </row>
    <row r="999">
      <c r="A999" s="11"/>
      <c r="B999" s="23"/>
      <c r="C999" s="23"/>
      <c r="D999" s="23"/>
      <c r="E999" s="23"/>
      <c r="F999" s="1"/>
      <c r="G999" s="23"/>
      <c r="H999" s="23"/>
      <c r="I999" s="23"/>
      <c r="J999" s="2"/>
      <c r="M999" s="24"/>
    </row>
    <row r="1000">
      <c r="A1000" s="11"/>
      <c r="B1000" s="23"/>
      <c r="C1000" s="23"/>
      <c r="D1000" s="23"/>
      <c r="E1000" s="23"/>
      <c r="F1000" s="1"/>
      <c r="G1000" s="23"/>
      <c r="H1000" s="23"/>
      <c r="I1000" s="23"/>
      <c r="J1000" s="2"/>
      <c r="M1000" s="24"/>
    </row>
    <row r="1001">
      <c r="A1001" s="11"/>
      <c r="B1001" s="23"/>
      <c r="C1001" s="23"/>
      <c r="D1001" s="23"/>
      <c r="E1001" s="23"/>
      <c r="F1001" s="1"/>
      <c r="G1001" s="23"/>
      <c r="H1001" s="23"/>
      <c r="I1001" s="23"/>
      <c r="J1001" s="2"/>
      <c r="M1001" s="24"/>
    </row>
    <row r="1002">
      <c r="A1002" s="11"/>
      <c r="B1002" s="23"/>
      <c r="C1002" s="23"/>
      <c r="D1002" s="23"/>
      <c r="E1002" s="23"/>
      <c r="F1002" s="1"/>
      <c r="G1002" s="23"/>
      <c r="H1002" s="23"/>
      <c r="I1002" s="23"/>
      <c r="J1002" s="2"/>
      <c r="M1002" s="24"/>
    </row>
    <row r="1003">
      <c r="A1003" s="11"/>
      <c r="B1003" s="23"/>
      <c r="C1003" s="23"/>
      <c r="D1003" s="23"/>
      <c r="E1003" s="23"/>
      <c r="F1003" s="1"/>
      <c r="G1003" s="23"/>
      <c r="H1003" s="23"/>
      <c r="I1003" s="23"/>
      <c r="J1003" s="2"/>
      <c r="M1003" s="24"/>
    </row>
    <row r="1004">
      <c r="A1004" s="11"/>
      <c r="B1004" s="23"/>
      <c r="C1004" s="23"/>
      <c r="D1004" s="23"/>
      <c r="E1004" s="23"/>
      <c r="F1004" s="1"/>
      <c r="G1004" s="23"/>
      <c r="H1004" s="23"/>
      <c r="I1004" s="23"/>
      <c r="J1004" s="2"/>
      <c r="M1004" s="24"/>
    </row>
    <row r="1005">
      <c r="A1005" s="11"/>
      <c r="B1005" s="23"/>
      <c r="C1005" s="23"/>
      <c r="D1005" s="23"/>
      <c r="E1005" s="23"/>
      <c r="F1005" s="1"/>
      <c r="G1005" s="23"/>
      <c r="H1005" s="23"/>
      <c r="I1005" s="23"/>
      <c r="J1005" s="2"/>
      <c r="M1005" s="24"/>
    </row>
    <row r="1006">
      <c r="A1006" s="11"/>
      <c r="B1006" s="23"/>
      <c r="C1006" s="23"/>
      <c r="D1006" s="23"/>
      <c r="E1006" s="23"/>
      <c r="F1006" s="1"/>
      <c r="G1006" s="23"/>
      <c r="H1006" s="23"/>
      <c r="I1006" s="23"/>
      <c r="J1006" s="2"/>
      <c r="M1006" s="24"/>
    </row>
    <row r="1007">
      <c r="A1007" s="11"/>
      <c r="B1007" s="23"/>
      <c r="C1007" s="23"/>
      <c r="D1007" s="23"/>
      <c r="E1007" s="23"/>
      <c r="F1007" s="1"/>
      <c r="G1007" s="23"/>
      <c r="H1007" s="23"/>
      <c r="I1007" s="23"/>
      <c r="J1007" s="2"/>
      <c r="M1007" s="24"/>
    </row>
    <row r="1008">
      <c r="A1008" s="11"/>
      <c r="B1008" s="23"/>
      <c r="C1008" s="23"/>
      <c r="D1008" s="23"/>
      <c r="E1008" s="23"/>
      <c r="F1008" s="1"/>
      <c r="G1008" s="23"/>
      <c r="H1008" s="23"/>
      <c r="I1008" s="23"/>
      <c r="J1008" s="2"/>
      <c r="M1008" s="24"/>
    </row>
    <row r="1009">
      <c r="A1009" s="11"/>
      <c r="B1009" s="23"/>
      <c r="C1009" s="23"/>
      <c r="D1009" s="23"/>
      <c r="E1009" s="23"/>
      <c r="F1009" s="1"/>
      <c r="G1009" s="23"/>
      <c r="H1009" s="23"/>
      <c r="I1009" s="23"/>
      <c r="J1009" s="2"/>
      <c r="M1009" s="24"/>
    </row>
    <row r="1010">
      <c r="A1010" s="11"/>
      <c r="B1010" s="23"/>
      <c r="C1010" s="23"/>
      <c r="D1010" s="23"/>
      <c r="E1010" s="23"/>
      <c r="F1010" s="1"/>
      <c r="G1010" s="23"/>
      <c r="H1010" s="23"/>
      <c r="I1010" s="23"/>
      <c r="J1010" s="2"/>
      <c r="M1010" s="24"/>
    </row>
    <row r="1011">
      <c r="A1011" s="11"/>
      <c r="B1011" s="23"/>
      <c r="C1011" s="23"/>
      <c r="D1011" s="23"/>
      <c r="E1011" s="23"/>
      <c r="F1011" s="1"/>
      <c r="G1011" s="23"/>
      <c r="H1011" s="23"/>
      <c r="I1011" s="23"/>
      <c r="J1011" s="2"/>
      <c r="M1011" s="24"/>
    </row>
    <row r="1012">
      <c r="A1012" s="11"/>
      <c r="B1012" s="23"/>
      <c r="C1012" s="23"/>
      <c r="D1012" s="23"/>
      <c r="E1012" s="23"/>
      <c r="F1012" s="1"/>
      <c r="G1012" s="23"/>
      <c r="H1012" s="23"/>
      <c r="I1012" s="23"/>
      <c r="J1012" s="2"/>
      <c r="M1012" s="24"/>
    </row>
    <row r="1013">
      <c r="A1013" s="11"/>
      <c r="B1013" s="23"/>
      <c r="C1013" s="23"/>
      <c r="D1013" s="23"/>
      <c r="E1013" s="23"/>
      <c r="F1013" s="1"/>
      <c r="G1013" s="23"/>
      <c r="H1013" s="23"/>
      <c r="I1013" s="23"/>
      <c r="J1013" s="2"/>
      <c r="M1013" s="24"/>
    </row>
    <row r="1014">
      <c r="A1014" s="11"/>
      <c r="B1014" s="23"/>
      <c r="C1014" s="23"/>
      <c r="D1014" s="23"/>
      <c r="E1014" s="23"/>
      <c r="F1014" s="1"/>
      <c r="G1014" s="23"/>
      <c r="H1014" s="23"/>
      <c r="I1014" s="23"/>
      <c r="J1014" s="2"/>
      <c r="M1014" s="24"/>
    </row>
    <row r="1015">
      <c r="A1015" s="11"/>
      <c r="B1015" s="23"/>
      <c r="C1015" s="23"/>
      <c r="D1015" s="23"/>
      <c r="E1015" s="23"/>
      <c r="F1015" s="1"/>
      <c r="G1015" s="23"/>
      <c r="H1015" s="23"/>
      <c r="I1015" s="23"/>
      <c r="J1015" s="2"/>
      <c r="M1015" s="24"/>
    </row>
    <row r="1016">
      <c r="A1016" s="11"/>
      <c r="B1016" s="23"/>
      <c r="C1016" s="23"/>
      <c r="D1016" s="23"/>
      <c r="E1016" s="23"/>
      <c r="F1016" s="1"/>
      <c r="G1016" s="23"/>
      <c r="H1016" s="23"/>
      <c r="I1016" s="23"/>
      <c r="J1016" s="2"/>
      <c r="M1016" s="24"/>
    </row>
    <row r="1017">
      <c r="A1017" s="11"/>
      <c r="B1017" s="23"/>
      <c r="C1017" s="23"/>
      <c r="D1017" s="23"/>
      <c r="E1017" s="23"/>
      <c r="F1017" s="1"/>
      <c r="G1017" s="23"/>
      <c r="H1017" s="23"/>
      <c r="I1017" s="23"/>
      <c r="J1017" s="2"/>
      <c r="M1017" s="24"/>
    </row>
    <row r="1018">
      <c r="A1018" s="11"/>
      <c r="B1018" s="23"/>
      <c r="C1018" s="23"/>
      <c r="D1018" s="23"/>
      <c r="E1018" s="23"/>
      <c r="F1018" s="1"/>
      <c r="G1018" s="23"/>
      <c r="H1018" s="23"/>
      <c r="I1018" s="23"/>
      <c r="J1018" s="2"/>
      <c r="M1018" s="24"/>
    </row>
    <row r="1019">
      <c r="A1019" s="11"/>
      <c r="B1019" s="23"/>
      <c r="C1019" s="23"/>
      <c r="D1019" s="23"/>
      <c r="E1019" s="23"/>
      <c r="F1019" s="1"/>
      <c r="G1019" s="23"/>
      <c r="H1019" s="23"/>
      <c r="I1019" s="23"/>
      <c r="J1019" s="2"/>
      <c r="M1019" s="24"/>
    </row>
    <row r="1020">
      <c r="A1020" s="11"/>
      <c r="B1020" s="23"/>
      <c r="C1020" s="23"/>
      <c r="D1020" s="23"/>
      <c r="E1020" s="23"/>
      <c r="F1020" s="1"/>
      <c r="G1020" s="23"/>
      <c r="H1020" s="23"/>
      <c r="I1020" s="23"/>
      <c r="J1020" s="2"/>
      <c r="M1020" s="24"/>
    </row>
    <row r="1021">
      <c r="A1021" s="11"/>
      <c r="B1021" s="23"/>
      <c r="C1021" s="23"/>
      <c r="D1021" s="23"/>
      <c r="E1021" s="23"/>
      <c r="F1021" s="1"/>
      <c r="G1021" s="23"/>
      <c r="H1021" s="23"/>
      <c r="I1021" s="23"/>
      <c r="J1021" s="2"/>
      <c r="M1021" s="24"/>
    </row>
    <row r="1022">
      <c r="A1022" s="11"/>
      <c r="B1022" s="23"/>
      <c r="C1022" s="23"/>
      <c r="D1022" s="23"/>
      <c r="E1022" s="23"/>
      <c r="F1022" s="1"/>
      <c r="G1022" s="23"/>
      <c r="H1022" s="23"/>
      <c r="I1022" s="23"/>
      <c r="J1022" s="2"/>
      <c r="M1022" s="24"/>
    </row>
    <row r="1023">
      <c r="A1023" s="11"/>
      <c r="B1023" s="23"/>
      <c r="C1023" s="23"/>
      <c r="D1023" s="23"/>
      <c r="E1023" s="23"/>
      <c r="F1023" s="1"/>
      <c r="G1023" s="23"/>
      <c r="H1023" s="23"/>
      <c r="I1023" s="23"/>
      <c r="J1023" s="2"/>
      <c r="M1023" s="24"/>
    </row>
    <row r="1024">
      <c r="A1024" s="11"/>
      <c r="B1024" s="23"/>
      <c r="C1024" s="23"/>
      <c r="D1024" s="23"/>
      <c r="E1024" s="23"/>
      <c r="F1024" s="1"/>
      <c r="G1024" s="23"/>
      <c r="H1024" s="23"/>
      <c r="I1024" s="23"/>
      <c r="J1024" s="2"/>
      <c r="M1024" s="24"/>
    </row>
    <row r="1025">
      <c r="A1025" s="11"/>
      <c r="B1025" s="23"/>
      <c r="C1025" s="23"/>
      <c r="D1025" s="23"/>
      <c r="E1025" s="23"/>
      <c r="F1025" s="1"/>
      <c r="G1025" s="23"/>
      <c r="H1025" s="23"/>
      <c r="I1025" s="23"/>
      <c r="J1025" s="2"/>
      <c r="M1025" s="24"/>
    </row>
    <row r="1026">
      <c r="A1026" s="11"/>
      <c r="B1026" s="23"/>
      <c r="C1026" s="23"/>
      <c r="D1026" s="23"/>
      <c r="E1026" s="23"/>
      <c r="F1026" s="1"/>
      <c r="G1026" s="23"/>
      <c r="H1026" s="23"/>
      <c r="I1026" s="23"/>
      <c r="J1026" s="2"/>
      <c r="M1026" s="24"/>
    </row>
    <row r="1027">
      <c r="A1027" s="11"/>
      <c r="B1027" s="23"/>
      <c r="C1027" s="23"/>
      <c r="D1027" s="23"/>
      <c r="E1027" s="23"/>
      <c r="F1027" s="1"/>
      <c r="G1027" s="23"/>
      <c r="H1027" s="23"/>
      <c r="I1027" s="23"/>
      <c r="J1027" s="2"/>
      <c r="M1027" s="24"/>
    </row>
    <row r="1028">
      <c r="A1028" s="11"/>
      <c r="B1028" s="23"/>
      <c r="C1028" s="23"/>
      <c r="D1028" s="23"/>
      <c r="E1028" s="23"/>
      <c r="F1028" s="1"/>
      <c r="G1028" s="23"/>
      <c r="H1028" s="23"/>
      <c r="I1028" s="23"/>
      <c r="J1028" s="2"/>
      <c r="M1028" s="24"/>
    </row>
    <row r="1029">
      <c r="A1029" s="11"/>
      <c r="B1029" s="23"/>
      <c r="C1029" s="23"/>
      <c r="D1029" s="23"/>
      <c r="E1029" s="23"/>
      <c r="F1029" s="1"/>
      <c r="G1029" s="23"/>
      <c r="H1029" s="23"/>
      <c r="I1029" s="23"/>
      <c r="J1029" s="2"/>
      <c r="M1029" s="24"/>
    </row>
    <row r="1030">
      <c r="A1030" s="11"/>
      <c r="B1030" s="23"/>
      <c r="C1030" s="23"/>
      <c r="D1030" s="23"/>
      <c r="E1030" s="23"/>
      <c r="F1030" s="1"/>
      <c r="G1030" s="23"/>
      <c r="H1030" s="23"/>
      <c r="I1030" s="23"/>
      <c r="J1030" s="2"/>
      <c r="M1030" s="24"/>
    </row>
    <row r="1031">
      <c r="A1031" s="11"/>
      <c r="B1031" s="23"/>
      <c r="C1031" s="23"/>
      <c r="D1031" s="23"/>
      <c r="E1031" s="23"/>
      <c r="F1031" s="1"/>
      <c r="G1031" s="23"/>
      <c r="H1031" s="23"/>
      <c r="I1031" s="23"/>
      <c r="J1031" s="2"/>
      <c r="M1031" s="24"/>
    </row>
    <row r="1032">
      <c r="A1032" s="11"/>
      <c r="B1032" s="23"/>
      <c r="C1032" s="23"/>
      <c r="D1032" s="23"/>
      <c r="E1032" s="23"/>
      <c r="F1032" s="1"/>
      <c r="G1032" s="23"/>
      <c r="H1032" s="23"/>
      <c r="I1032" s="23"/>
      <c r="J1032" s="2"/>
      <c r="M1032" s="24"/>
    </row>
    <row r="1033">
      <c r="A1033" s="11"/>
      <c r="B1033" s="23"/>
      <c r="C1033" s="23"/>
      <c r="D1033" s="23"/>
      <c r="E1033" s="23"/>
      <c r="F1033" s="1"/>
      <c r="G1033" s="23"/>
      <c r="H1033" s="23"/>
      <c r="I1033" s="23"/>
      <c r="J1033" s="2"/>
      <c r="M1033" s="24"/>
    </row>
    <row r="1034">
      <c r="A1034" s="11"/>
      <c r="B1034" s="23"/>
      <c r="C1034" s="23"/>
      <c r="D1034" s="23"/>
      <c r="E1034" s="23"/>
      <c r="F1034" s="1"/>
      <c r="G1034" s="23"/>
      <c r="H1034" s="23"/>
      <c r="I1034" s="23"/>
      <c r="J1034" s="2"/>
      <c r="M1034" s="24"/>
    </row>
    <row r="1035">
      <c r="A1035" s="11"/>
      <c r="B1035" s="23"/>
      <c r="C1035" s="23"/>
      <c r="D1035" s="23"/>
      <c r="E1035" s="23"/>
      <c r="F1035" s="1"/>
      <c r="G1035" s="23"/>
      <c r="H1035" s="23"/>
      <c r="I1035" s="23"/>
      <c r="J1035" s="2"/>
      <c r="M1035" s="24"/>
    </row>
    <row r="1036">
      <c r="A1036" s="11"/>
      <c r="B1036" s="23"/>
      <c r="C1036" s="23"/>
      <c r="D1036" s="23"/>
      <c r="E1036" s="23"/>
      <c r="F1036" s="1"/>
      <c r="G1036" s="23"/>
      <c r="H1036" s="23"/>
      <c r="I1036" s="23"/>
      <c r="J1036" s="2"/>
      <c r="M1036" s="24"/>
    </row>
    <row r="1037">
      <c r="A1037" s="11"/>
      <c r="B1037" s="23"/>
      <c r="C1037" s="23"/>
      <c r="D1037" s="23"/>
      <c r="E1037" s="23"/>
      <c r="F1037" s="1"/>
      <c r="G1037" s="23"/>
      <c r="H1037" s="23"/>
      <c r="I1037" s="23"/>
      <c r="J1037" s="2"/>
      <c r="M1037" s="24"/>
    </row>
    <row r="1038">
      <c r="A1038" s="11"/>
      <c r="B1038" s="23"/>
      <c r="C1038" s="23"/>
      <c r="D1038" s="23"/>
      <c r="E1038" s="23"/>
      <c r="F1038" s="1"/>
      <c r="G1038" s="23"/>
      <c r="H1038" s="23"/>
      <c r="I1038" s="23"/>
      <c r="J1038" s="2"/>
      <c r="M1038" s="24"/>
    </row>
    <row r="1039">
      <c r="A1039" s="11"/>
      <c r="B1039" s="23"/>
      <c r="C1039" s="23"/>
      <c r="D1039" s="23"/>
      <c r="E1039" s="23"/>
      <c r="F1039" s="1"/>
      <c r="G1039" s="23"/>
      <c r="H1039" s="23"/>
      <c r="I1039" s="23"/>
      <c r="J1039" s="2"/>
      <c r="M1039" s="24"/>
    </row>
    <row r="1040">
      <c r="A1040" s="11"/>
      <c r="B1040" s="23"/>
      <c r="C1040" s="23"/>
      <c r="D1040" s="23"/>
      <c r="E1040" s="23"/>
      <c r="F1040" s="1"/>
      <c r="G1040" s="23"/>
      <c r="H1040" s="23"/>
      <c r="I1040" s="23"/>
      <c r="J1040" s="2"/>
      <c r="M1040" s="24"/>
    </row>
    <row r="1041">
      <c r="A1041" s="11"/>
      <c r="B1041" s="23"/>
      <c r="C1041" s="23"/>
      <c r="D1041" s="23"/>
      <c r="E1041" s="23"/>
      <c r="F1041" s="1"/>
      <c r="G1041" s="23"/>
      <c r="H1041" s="23"/>
      <c r="I1041" s="23"/>
      <c r="J1041" s="2"/>
      <c r="M1041" s="24"/>
    </row>
    <row r="1042">
      <c r="A1042" s="11"/>
      <c r="B1042" s="23"/>
      <c r="C1042" s="23"/>
      <c r="D1042" s="23"/>
      <c r="E1042" s="23"/>
      <c r="F1042" s="1"/>
      <c r="G1042" s="23"/>
      <c r="H1042" s="23"/>
      <c r="I1042" s="23"/>
      <c r="J1042" s="2"/>
      <c r="M1042" s="24"/>
    </row>
    <row r="1043">
      <c r="A1043" s="11"/>
      <c r="B1043" s="23"/>
      <c r="C1043" s="23"/>
      <c r="D1043" s="23"/>
      <c r="E1043" s="23"/>
      <c r="F1043" s="1"/>
      <c r="G1043" s="23"/>
      <c r="H1043" s="23"/>
      <c r="I1043" s="23"/>
      <c r="J1043" s="2"/>
      <c r="M1043" s="24"/>
    </row>
    <row r="1044">
      <c r="A1044" s="11"/>
      <c r="B1044" s="23"/>
      <c r="C1044" s="23"/>
      <c r="D1044" s="23"/>
      <c r="E1044" s="23"/>
      <c r="F1044" s="1"/>
      <c r="G1044" s="23"/>
      <c r="H1044" s="23"/>
      <c r="I1044" s="23"/>
      <c r="J1044" s="2"/>
      <c r="M1044" s="24"/>
    </row>
    <row r="1045">
      <c r="A1045" s="11"/>
      <c r="B1045" s="23"/>
      <c r="C1045" s="23"/>
      <c r="D1045" s="23"/>
      <c r="E1045" s="23"/>
      <c r="F1045" s="1"/>
      <c r="G1045" s="23"/>
      <c r="H1045" s="23"/>
      <c r="I1045" s="23"/>
      <c r="J1045" s="2"/>
      <c r="M1045" s="24"/>
    </row>
    <row r="1046">
      <c r="A1046" s="11"/>
      <c r="B1046" s="23"/>
      <c r="C1046" s="23"/>
      <c r="D1046" s="23"/>
      <c r="E1046" s="23"/>
      <c r="F1046" s="1"/>
      <c r="G1046" s="23"/>
      <c r="H1046" s="23"/>
      <c r="I1046" s="23"/>
      <c r="J1046" s="2"/>
      <c r="M1046" s="24"/>
    </row>
    <row r="1047">
      <c r="A1047" s="11"/>
      <c r="B1047" s="23"/>
      <c r="C1047" s="23"/>
      <c r="D1047" s="23"/>
      <c r="E1047" s="23"/>
      <c r="F1047" s="1"/>
      <c r="G1047" s="23"/>
      <c r="H1047" s="23"/>
      <c r="I1047" s="23"/>
      <c r="J1047" s="2"/>
      <c r="M1047" s="24"/>
    </row>
    <row r="1048">
      <c r="A1048" s="11"/>
      <c r="B1048" s="23"/>
      <c r="C1048" s="23"/>
      <c r="D1048" s="23"/>
      <c r="E1048" s="23"/>
      <c r="F1048" s="1"/>
      <c r="G1048" s="23"/>
      <c r="H1048" s="23"/>
      <c r="I1048" s="23"/>
      <c r="J1048" s="2"/>
      <c r="M1048" s="24"/>
    </row>
    <row r="1049">
      <c r="A1049" s="11"/>
      <c r="B1049" s="23"/>
      <c r="C1049" s="23"/>
      <c r="D1049" s="23"/>
      <c r="E1049" s="23"/>
      <c r="F1049" s="1"/>
      <c r="G1049" s="23"/>
      <c r="H1049" s="23"/>
      <c r="I1049" s="23"/>
      <c r="J1049" s="2"/>
      <c r="M1049" s="24"/>
    </row>
    <row r="1050">
      <c r="A1050" s="11"/>
      <c r="B1050" s="23"/>
      <c r="C1050" s="23"/>
      <c r="D1050" s="23"/>
      <c r="E1050" s="23"/>
      <c r="F1050" s="1"/>
      <c r="G1050" s="23"/>
      <c r="H1050" s="23"/>
      <c r="I1050" s="23"/>
      <c r="J1050" s="2"/>
      <c r="M1050" s="24"/>
    </row>
    <row r="1051">
      <c r="A1051" s="11"/>
      <c r="B1051" s="23"/>
      <c r="C1051" s="23"/>
      <c r="D1051" s="23"/>
      <c r="E1051" s="23"/>
      <c r="F1051" s="1"/>
      <c r="G1051" s="23"/>
      <c r="H1051" s="23"/>
      <c r="I1051" s="23"/>
      <c r="J1051" s="2"/>
      <c r="M1051" s="24"/>
    </row>
    <row r="1052">
      <c r="A1052" s="11"/>
      <c r="B1052" s="23"/>
      <c r="C1052" s="23"/>
      <c r="D1052" s="23"/>
      <c r="E1052" s="23"/>
      <c r="F1052" s="1"/>
      <c r="G1052" s="23"/>
      <c r="H1052" s="23"/>
      <c r="I1052" s="23"/>
      <c r="J1052" s="2"/>
      <c r="M1052" s="24"/>
    </row>
    <row r="1053">
      <c r="A1053" s="11"/>
      <c r="B1053" s="23"/>
      <c r="C1053" s="23"/>
      <c r="D1053" s="23"/>
      <c r="E1053" s="23"/>
      <c r="F1053" s="1"/>
      <c r="G1053" s="23"/>
      <c r="H1053" s="23"/>
      <c r="I1053" s="23"/>
      <c r="J1053" s="2"/>
      <c r="M1053" s="24"/>
    </row>
    <row r="1054">
      <c r="A1054" s="11"/>
      <c r="B1054" s="23"/>
      <c r="C1054" s="23"/>
      <c r="D1054" s="23"/>
      <c r="E1054" s="23"/>
      <c r="F1054" s="1"/>
      <c r="G1054" s="23"/>
      <c r="H1054" s="23"/>
      <c r="I1054" s="23"/>
      <c r="J1054" s="2"/>
      <c r="M1054" s="24"/>
    </row>
    <row r="1055">
      <c r="A1055" s="11"/>
      <c r="B1055" s="23"/>
      <c r="C1055" s="23"/>
      <c r="D1055" s="23"/>
      <c r="E1055" s="23"/>
      <c r="F1055" s="1"/>
      <c r="G1055" s="23"/>
      <c r="H1055" s="23"/>
      <c r="I1055" s="23"/>
      <c r="J1055" s="2"/>
      <c r="M1055" s="24"/>
    </row>
    <row r="1056">
      <c r="A1056" s="11"/>
      <c r="B1056" s="23"/>
      <c r="C1056" s="23"/>
      <c r="D1056" s="23"/>
      <c r="E1056" s="23"/>
      <c r="F1056" s="1"/>
      <c r="G1056" s="23"/>
      <c r="H1056" s="23"/>
      <c r="I1056" s="23"/>
      <c r="J1056" s="2"/>
      <c r="M1056" s="24"/>
    </row>
    <row r="1057">
      <c r="A1057" s="11"/>
      <c r="B1057" s="23"/>
      <c r="C1057" s="23"/>
      <c r="D1057" s="23"/>
      <c r="E1057" s="23"/>
      <c r="F1057" s="1"/>
      <c r="G1057" s="23"/>
      <c r="H1057" s="23"/>
      <c r="I1057" s="23"/>
      <c r="J1057" s="2"/>
      <c r="M1057" s="24"/>
    </row>
    <row r="1058">
      <c r="A1058" s="11"/>
      <c r="B1058" s="23"/>
      <c r="C1058" s="23"/>
      <c r="D1058" s="23"/>
      <c r="E1058" s="23"/>
      <c r="F1058" s="1"/>
      <c r="G1058" s="23"/>
      <c r="H1058" s="23"/>
      <c r="I1058" s="23"/>
      <c r="J1058" s="2"/>
      <c r="M1058" s="24"/>
    </row>
    <row r="1059">
      <c r="A1059" s="11"/>
      <c r="B1059" s="23"/>
      <c r="C1059" s="23"/>
      <c r="D1059" s="23"/>
      <c r="E1059" s="23"/>
      <c r="F1059" s="1"/>
      <c r="G1059" s="23"/>
      <c r="H1059" s="23"/>
      <c r="I1059" s="23"/>
      <c r="J1059" s="2"/>
      <c r="M1059" s="24"/>
    </row>
    <row r="1060">
      <c r="A1060" s="11"/>
      <c r="B1060" s="23"/>
      <c r="C1060" s="23"/>
      <c r="D1060" s="23"/>
      <c r="E1060" s="23"/>
      <c r="F1060" s="1"/>
      <c r="G1060" s="23"/>
      <c r="H1060" s="23"/>
      <c r="I1060" s="23"/>
      <c r="J1060" s="2"/>
      <c r="M1060" s="24"/>
    </row>
    <row r="1061">
      <c r="A1061" s="11"/>
      <c r="B1061" s="23"/>
      <c r="C1061" s="23"/>
      <c r="D1061" s="23"/>
      <c r="E1061" s="23"/>
      <c r="F1061" s="1"/>
      <c r="G1061" s="23"/>
      <c r="H1061" s="23"/>
      <c r="I1061" s="23"/>
      <c r="J1061" s="2"/>
      <c r="M1061" s="24"/>
    </row>
    <row r="1062">
      <c r="A1062" s="11"/>
      <c r="B1062" s="23"/>
      <c r="C1062" s="23"/>
      <c r="D1062" s="23"/>
      <c r="E1062" s="23"/>
      <c r="F1062" s="1"/>
      <c r="G1062" s="23"/>
      <c r="H1062" s="23"/>
      <c r="I1062" s="23"/>
      <c r="J1062" s="2"/>
      <c r="M1062" s="24"/>
    </row>
    <row r="1063">
      <c r="A1063" s="11"/>
      <c r="B1063" s="23"/>
      <c r="C1063" s="23"/>
      <c r="D1063" s="23"/>
      <c r="E1063" s="23"/>
      <c r="F1063" s="1"/>
      <c r="G1063" s="23"/>
      <c r="H1063" s="23"/>
      <c r="I1063" s="23"/>
      <c r="J1063" s="2"/>
      <c r="M1063" s="24"/>
    </row>
  </sheetData>
  <dataValidations>
    <dataValidation type="list" allowBlank="1" showErrorMessage="1" sqref="F2:F1063">
      <formula1>IIEE[Institución educativa]</formula1>
    </dataValidation>
    <dataValidation type="list" allowBlank="1" showErrorMessage="1" sqref="M2:M1063">
      <formula1>Facilitador_a[Facilitador/a]</formula1>
    </dataValidation>
    <dataValidation type="list" allowBlank="1" showErrorMessage="1" sqref="J2:J1063">
      <formula1>"Autoconciencia,Autorregulación,Conciencia social,Habilidades relacionales,Toma de decisiones responsables,Taller con docentes"</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17.38"/>
    <col customWidth="1" min="3" max="3" width="13.0"/>
    <col customWidth="1" min="4" max="4" width="21.13"/>
    <col customWidth="1" min="5" max="5" width="24.63"/>
    <col customWidth="1" min="6" max="6" width="19.0"/>
    <col customWidth="1" min="7" max="7" width="16.25"/>
    <col customWidth="1" min="8" max="8" width="19.13"/>
    <col customWidth="1" min="9" max="9" width="86.0"/>
    <col customWidth="1" min="10" max="10" width="5.88"/>
    <col customWidth="1" min="11" max="11" width="7.38"/>
    <col customWidth="1" min="12" max="12" width="24.38"/>
    <col customWidth="1" min="13" max="13" width="11.5"/>
    <col customWidth="1" min="14" max="14" width="8.63"/>
    <col customWidth="1" min="15" max="15" width="9.38"/>
  </cols>
  <sheetData>
    <row r="1" ht="22.5" customHeight="1">
      <c r="A1" s="213" t="s">
        <v>4</v>
      </c>
      <c r="B1" s="214" t="s">
        <v>0</v>
      </c>
      <c r="C1" s="214" t="s">
        <v>1</v>
      </c>
      <c r="D1" s="214" t="s">
        <v>2</v>
      </c>
      <c r="E1" s="214" t="s">
        <v>3</v>
      </c>
      <c r="F1" s="214" t="s">
        <v>53</v>
      </c>
      <c r="G1" s="214" t="s">
        <v>54</v>
      </c>
      <c r="H1" s="214" t="s">
        <v>52</v>
      </c>
      <c r="I1" s="215" t="s">
        <v>4868</v>
      </c>
      <c r="L1" s="216" t="s">
        <v>64</v>
      </c>
    </row>
    <row r="2" ht="22.5" customHeight="1">
      <c r="A2" s="217" t="s">
        <v>625</v>
      </c>
      <c r="B2" s="218" t="s">
        <v>22</v>
      </c>
      <c r="C2" s="219" t="s">
        <v>22</v>
      </c>
      <c r="D2" s="219" t="s">
        <v>22</v>
      </c>
      <c r="E2" s="220" t="s">
        <v>624</v>
      </c>
      <c r="F2" s="217" t="s">
        <v>626</v>
      </c>
      <c r="G2" s="217" t="s">
        <v>627</v>
      </c>
      <c r="H2" s="221" t="s">
        <v>68</v>
      </c>
      <c r="I2" s="222" t="str">
        <f>IFERROR(__xludf.DUMMYFUNCTION("join(""|"",A2:H2)"),"480|HUARMEY|HUARMEY|HUARMEY|9 DE OCTUBRE|1603620|668902|Inicial - Jardín")</f>
        <v>480|HUARMEY|HUARMEY|HUARMEY|9 DE OCTUBRE|1603620|668902|Inicial - Jardín</v>
      </c>
      <c r="L2" s="223" t="s">
        <v>588</v>
      </c>
    </row>
    <row r="3" ht="22.5" customHeight="1">
      <c r="A3" s="217" t="s">
        <v>594</v>
      </c>
      <c r="B3" s="218" t="s">
        <v>22</v>
      </c>
      <c r="C3" s="219" t="s">
        <v>22</v>
      </c>
      <c r="D3" s="219" t="s">
        <v>22</v>
      </c>
      <c r="E3" s="220" t="s">
        <v>593</v>
      </c>
      <c r="F3" s="217" t="s">
        <v>595</v>
      </c>
      <c r="G3" s="217" t="s">
        <v>596</v>
      </c>
      <c r="H3" s="221" t="s">
        <v>68</v>
      </c>
      <c r="I3" s="222" t="str">
        <f>IFERROR(__xludf.DUMMYFUNCTION("join(""|"",A3:H3)"),"1609 ESTRELLITAS DE MAR|HUARMEY|HUARMEY|HUARMEY|PUERTO HUARMEY|0360305|025840|Inicial - Jardín")</f>
        <v>1609 ESTRELLITAS DE MAR|HUARMEY|HUARMEY|HUARMEY|PUERTO HUARMEY|0360305|025840|Inicial - Jardín</v>
      </c>
      <c r="L3" s="223" t="s">
        <v>638</v>
      </c>
    </row>
    <row r="4" ht="22.5" customHeight="1">
      <c r="A4" s="217" t="s">
        <v>633</v>
      </c>
      <c r="B4" s="220" t="s">
        <v>34</v>
      </c>
      <c r="C4" s="219" t="s">
        <v>65</v>
      </c>
      <c r="D4" s="219" t="s">
        <v>83</v>
      </c>
      <c r="E4" s="220" t="s">
        <v>632</v>
      </c>
      <c r="F4" s="217" t="s">
        <v>634</v>
      </c>
      <c r="G4" s="217" t="s">
        <v>635</v>
      </c>
      <c r="H4" s="221" t="s">
        <v>68</v>
      </c>
      <c r="I4" s="222" t="str">
        <f>IFERROR(__xludf.DUMMYFUNCTION("join(""|"",A4:H4)"),"475|MINA|HUARI|HUACHIS|AYASH PICHIU|1597608|665178|Inicial - Jardín")</f>
        <v>475|MINA|HUARI|HUACHIS|AYASH PICHIU|1597608|665178|Inicial - Jardín</v>
      </c>
      <c r="L4" s="223" t="s">
        <v>577</v>
      </c>
    </row>
    <row r="5" ht="22.5" customHeight="1">
      <c r="A5" s="217" t="s">
        <v>85</v>
      </c>
      <c r="B5" s="220" t="s">
        <v>34</v>
      </c>
      <c r="C5" s="219" t="s">
        <v>65</v>
      </c>
      <c r="D5" s="219" t="s">
        <v>83</v>
      </c>
      <c r="E5" s="220" t="s">
        <v>84</v>
      </c>
      <c r="F5" s="217" t="s">
        <v>87</v>
      </c>
      <c r="G5" s="217"/>
      <c r="H5" s="221" t="s">
        <v>86</v>
      </c>
      <c r="I5" s="222" t="str">
        <f>IFERROR(__xludf.DUMMYFUNCTION("join(""|"",A5:H5)"),"LAS TRUCHAS|MINA|HUARI|HUACHIS|CAMBIO 90|0783226||Inicial No Escolarizado")</f>
        <v>LAS TRUCHAS|MINA|HUARI|HUACHIS|CAMBIO 90|0783226||Inicial No Escolarizado</v>
      </c>
      <c r="L5" s="223" t="s">
        <v>92</v>
      </c>
    </row>
    <row r="6" ht="22.5" customHeight="1">
      <c r="A6" s="217" t="s">
        <v>121</v>
      </c>
      <c r="B6" s="220" t="s">
        <v>34</v>
      </c>
      <c r="C6" s="219" t="s">
        <v>65</v>
      </c>
      <c r="D6" s="219" t="s">
        <v>83</v>
      </c>
      <c r="E6" s="220" t="s">
        <v>120</v>
      </c>
      <c r="F6" s="217" t="s">
        <v>122</v>
      </c>
      <c r="G6" s="217" t="s">
        <v>123</v>
      </c>
      <c r="H6" s="221" t="s">
        <v>68</v>
      </c>
      <c r="I6" s="222" t="str">
        <f>IFERROR(__xludf.DUMMYFUNCTION("join(""|"",A6:H6)"),"688|MINA|HUARI|HUACHIS|SAN CRISTOBAL DE TAMBO|1675024|759474|Inicial - Jardín")</f>
        <v>688|MINA|HUARI|HUACHIS|SAN CRISTOBAL DE TAMBO|1675024|759474|Inicial - Jardín</v>
      </c>
      <c r="L6" s="223" t="s">
        <v>76</v>
      </c>
    </row>
    <row r="7" ht="22.5" customHeight="1">
      <c r="A7" s="224" t="s">
        <v>667</v>
      </c>
      <c r="B7" s="218" t="s">
        <v>34</v>
      </c>
      <c r="C7" s="225" t="s">
        <v>65</v>
      </c>
      <c r="D7" s="225" t="s">
        <v>43</v>
      </c>
      <c r="E7" s="226" t="s">
        <v>666</v>
      </c>
      <c r="F7" s="226" t="s">
        <v>668</v>
      </c>
      <c r="G7" s="226" t="s">
        <v>669</v>
      </c>
      <c r="H7" s="227" t="s">
        <v>68</v>
      </c>
      <c r="I7" s="228" t="str">
        <f>IFERROR(__xludf.DUMMYFUNCTION("join(""|"",A7:H7)"),"471|MINA|HUARI|SAN MARCOS|AYASH|1597566|665135|Inicial - Jardín")</f>
        <v>471|MINA|HUARI|SAN MARCOS|AYASH|1597566|665135|Inicial - Jardín</v>
      </c>
      <c r="L7" s="229" t="s">
        <v>915</v>
      </c>
    </row>
    <row r="8" ht="22.5" customHeight="1">
      <c r="A8" s="224" t="s">
        <v>225</v>
      </c>
      <c r="B8" s="226" t="s">
        <v>34</v>
      </c>
      <c r="C8" s="225" t="s">
        <v>65</v>
      </c>
      <c r="D8" s="225" t="s">
        <v>43</v>
      </c>
      <c r="E8" s="226" t="s">
        <v>224</v>
      </c>
      <c r="F8" s="226" t="s">
        <v>226</v>
      </c>
      <c r="G8" s="230" t="s">
        <v>227</v>
      </c>
      <c r="H8" s="227" t="s">
        <v>68</v>
      </c>
      <c r="I8" s="228" t="str">
        <f>IFERROR(__xludf.DUMMYFUNCTION("join(""|"",A8:H8)"),"248|MINA|HUARI|SAN MARCOS|CARHUAYOC|0509711|025227|Inicial - Jardín")</f>
        <v>248|MINA|HUARI|SAN MARCOS|CARHUAYOC|0509711|025227|Inicial - Jardín</v>
      </c>
    </row>
    <row r="9" ht="22.5" customHeight="1">
      <c r="A9" s="231" t="s">
        <v>718</v>
      </c>
      <c r="B9" s="218" t="s">
        <v>34</v>
      </c>
      <c r="C9" s="232" t="s">
        <v>65</v>
      </c>
      <c r="D9" s="232" t="s">
        <v>43</v>
      </c>
      <c r="E9" s="218" t="s">
        <v>717</v>
      </c>
      <c r="F9" s="231" t="s">
        <v>719</v>
      </c>
      <c r="G9" s="231" t="s">
        <v>720</v>
      </c>
      <c r="H9" s="233" t="s">
        <v>68</v>
      </c>
      <c r="I9" s="222" t="str">
        <f>IFERROR(__xludf.DUMMYFUNCTION("join(""|"",A9:H9)"),"098|MINA|HUARI|SAN MARCOS|HUARIPAMPA ALTO|1551720|631635|Inicial - Jardín")</f>
        <v>098|MINA|HUARI|SAN MARCOS|HUARIPAMPA ALTO|1551720|631635|Inicial - Jardín</v>
      </c>
    </row>
    <row r="10" ht="22.5" customHeight="1">
      <c r="A10" s="231" t="s">
        <v>692</v>
      </c>
      <c r="B10" s="218" t="s">
        <v>34</v>
      </c>
      <c r="C10" s="232" t="s">
        <v>65</v>
      </c>
      <c r="D10" s="232" t="s">
        <v>43</v>
      </c>
      <c r="E10" s="218" t="s">
        <v>691</v>
      </c>
      <c r="F10" s="231" t="s">
        <v>693</v>
      </c>
      <c r="G10" s="231" t="s">
        <v>694</v>
      </c>
      <c r="H10" s="233" t="s">
        <v>68</v>
      </c>
      <c r="I10" s="222" t="str">
        <f>IFERROR(__xludf.DUMMYFUNCTION("join(""|"",A10:H10)"),"416 - Huaripampa Bajo|MINA|HUARI|SAN MARCOS|HUARIPAMPA BAJO|1100635|025251|Inicial - Jardín")</f>
        <v>416 - Huaripampa Bajo|MINA|HUARI|SAN MARCOS|HUARIPAMPA BAJO|1100635|025251|Inicial - Jardín</v>
      </c>
    </row>
    <row r="11" ht="22.5" customHeight="1">
      <c r="A11" s="224" t="s">
        <v>774</v>
      </c>
      <c r="B11" s="218" t="s">
        <v>34</v>
      </c>
      <c r="C11" s="225" t="s">
        <v>65</v>
      </c>
      <c r="D11" s="225" t="s">
        <v>43</v>
      </c>
      <c r="E11" s="226" t="s">
        <v>773</v>
      </c>
      <c r="F11" s="226" t="s">
        <v>775</v>
      </c>
      <c r="G11" s="226" t="s">
        <v>776</v>
      </c>
      <c r="H11" s="227" t="s">
        <v>68</v>
      </c>
      <c r="I11" s="228" t="str">
        <f>IFERROR(__xludf.DUMMYFUNCTION("join(""|"",A11:H11)"),"689|MINA|HUARI|SAN MARCOS|HUARIPAMPA CENTRAL|1675032|759488|Inicial - Jardín")</f>
        <v>689|MINA|HUARI|SAN MARCOS|HUARIPAMPA CENTRAL|1675032|759488|Inicial - Jardín</v>
      </c>
    </row>
    <row r="12" ht="22.5" customHeight="1">
      <c r="A12" s="231" t="s">
        <v>153</v>
      </c>
      <c r="B12" s="218" t="s">
        <v>34</v>
      </c>
      <c r="C12" s="232" t="s">
        <v>65</v>
      </c>
      <c r="D12" s="232" t="s">
        <v>102</v>
      </c>
      <c r="E12" s="218" t="s">
        <v>152</v>
      </c>
      <c r="F12" s="231" t="s">
        <v>154</v>
      </c>
      <c r="G12" s="231" t="s">
        <v>155</v>
      </c>
      <c r="H12" s="233" t="s">
        <v>68</v>
      </c>
      <c r="I12" s="222" t="str">
        <f>IFERROR(__xludf.DUMMYFUNCTION("join(""|"",A12:H12)"),"470|MINA|HUARI|SAN PEDRO DE CHANA|HUANCAYOC|1607118|671730|Inicial - Jardín")</f>
        <v>470|MINA|HUARI|SAN PEDRO DE CHANA|HUANCAYOC|1607118|671730|Inicial - Jardín</v>
      </c>
    </row>
    <row r="13" ht="22.5" customHeight="1">
      <c r="A13" s="231" t="s">
        <v>456</v>
      </c>
      <c r="B13" s="218" t="s">
        <v>34</v>
      </c>
      <c r="C13" s="232" t="s">
        <v>65</v>
      </c>
      <c r="D13" s="232" t="s">
        <v>102</v>
      </c>
      <c r="E13" s="218" t="s">
        <v>455</v>
      </c>
      <c r="F13" s="231" t="s">
        <v>457</v>
      </c>
      <c r="G13" s="231" t="s">
        <v>458</v>
      </c>
      <c r="H13" s="233" t="s">
        <v>68</v>
      </c>
      <c r="I13" s="222" t="str">
        <f>IFERROR(__xludf.DUMMYFUNCTION("join(""|"",A13:H13)"),"661|MINA|HUARI|SAN PEDRO DE CHANA|SANTA CRUZ DE PICHIU|1645506|728010|Inicial - Jardín")</f>
        <v>661|MINA|HUARI|SAN PEDRO DE CHANA|SANTA CRUZ DE PICHIU|1645506|728010|Inicial - Jardín</v>
      </c>
    </row>
    <row r="14" ht="22.5" customHeight="1">
      <c r="A14" s="224" t="s">
        <v>143</v>
      </c>
      <c r="B14" s="218" t="s">
        <v>34</v>
      </c>
      <c r="C14" s="225" t="s">
        <v>65</v>
      </c>
      <c r="D14" s="225" t="s">
        <v>102</v>
      </c>
      <c r="E14" s="226" t="s">
        <v>142</v>
      </c>
      <c r="F14" s="226" t="s">
        <v>144</v>
      </c>
      <c r="G14" s="230" t="s">
        <v>145</v>
      </c>
      <c r="H14" s="227" t="s">
        <v>68</v>
      </c>
      <c r="I14" s="228" t="str">
        <f>IFERROR(__xludf.DUMMYFUNCTION("join(""|"",A14:H14)"),"112|MINA|HUARI|SAN PEDRO DE CHANA|VISTOSO|1558782|536228|Inicial - Jardín")</f>
        <v>112|MINA|HUARI|SAN PEDRO DE CHANA|VISTOSO|1558782|536228|Inicial - Jardín</v>
      </c>
    </row>
    <row r="15" ht="22.5" customHeight="1">
      <c r="A15" s="234" t="s">
        <v>104</v>
      </c>
      <c r="B15" s="218" t="s">
        <v>34</v>
      </c>
      <c r="C15" s="225" t="s">
        <v>65</v>
      </c>
      <c r="D15" s="225" t="s">
        <v>102</v>
      </c>
      <c r="E15" s="226" t="s">
        <v>103</v>
      </c>
      <c r="F15" s="226" t="s">
        <v>105</v>
      </c>
      <c r="G15" s="226" t="s">
        <v>106</v>
      </c>
      <c r="H15" s="227" t="s">
        <v>68</v>
      </c>
      <c r="I15" s="228" t="str">
        <f>IFERROR(__xludf.DUMMYFUNCTION("join(""|"",A15:H15)"),"690|MINA|HUARI|SAN PEDRO DE CHANA|WISHLLAC|1675040|759493|Inicial - Jardín")</f>
        <v>690|MINA|HUARI|SAN PEDRO DE CHANA|WISHLLAC|1675040|759493|Inicial - Jardín</v>
      </c>
    </row>
    <row r="16" ht="22.5" customHeight="1">
      <c r="A16" s="217" t="s">
        <v>322</v>
      </c>
      <c r="B16" s="220" t="s">
        <v>43</v>
      </c>
      <c r="C16" s="219" t="s">
        <v>65</v>
      </c>
      <c r="D16" s="219" t="s">
        <v>321</v>
      </c>
      <c r="E16" s="220" t="s">
        <v>321</v>
      </c>
      <c r="F16" s="217" t="s">
        <v>323</v>
      </c>
      <c r="G16" s="217" t="s">
        <v>324</v>
      </c>
      <c r="H16" s="221" t="s">
        <v>68</v>
      </c>
      <c r="I16" s="222" t="str">
        <f>IFERROR(__xludf.DUMMYFUNCTION("join(""|"",A16:H16)"),"124|SAN MARCOS|HUARI|CHAVIN DE HUANTAR|CHAVIN DE HUANTAR|0415745|717417|Inicial - Jardín")</f>
        <v>124|SAN MARCOS|HUARI|CHAVIN DE HUANTAR|CHAVIN DE HUANTAR|0415745|717417|Inicial - Jardín</v>
      </c>
    </row>
    <row r="17" ht="22.5" customHeight="1">
      <c r="A17" s="234" t="s">
        <v>67</v>
      </c>
      <c r="B17" s="218" t="s">
        <v>43</v>
      </c>
      <c r="C17" s="225" t="s">
        <v>65</v>
      </c>
      <c r="D17" s="225" t="s">
        <v>43</v>
      </c>
      <c r="E17" s="226" t="s">
        <v>66</v>
      </c>
      <c r="F17" s="224" t="s">
        <v>69</v>
      </c>
      <c r="G17" s="224" t="s">
        <v>70</v>
      </c>
      <c r="H17" s="227" t="s">
        <v>68</v>
      </c>
      <c r="I17" s="228" t="str">
        <f>IFERROR(__xludf.DUMMYFUNCTION("join(""|"",A17:H17)"),"099|SAN MARCOS|HUARI|SAN MARCOS|OPAYACO/OPAYACU|1551738|631640|Inicial - Jardín")</f>
        <v>099|SAN MARCOS|HUARI|SAN MARCOS|OPAYACO/OPAYACU|1551738|631640|Inicial - Jardín</v>
      </c>
    </row>
    <row r="18" ht="22.5" customHeight="1">
      <c r="A18" s="224" t="s">
        <v>204</v>
      </c>
      <c r="B18" s="218" t="s">
        <v>43</v>
      </c>
      <c r="C18" s="225" t="s">
        <v>65</v>
      </c>
      <c r="D18" s="225" t="s">
        <v>43</v>
      </c>
      <c r="E18" s="226" t="s">
        <v>203</v>
      </c>
      <c r="F18" s="226" t="s">
        <v>205</v>
      </c>
      <c r="G18" s="226" t="s">
        <v>206</v>
      </c>
      <c r="H18" s="227" t="s">
        <v>68</v>
      </c>
      <c r="I18" s="228" t="str">
        <f>IFERROR(__xludf.DUMMYFUNCTION("join(""|"",A18:H18)"),"109|SAN MARCOS|HUARI|SAN MARCOS|PUJUN|1551753|631664|Inicial - Jardín")</f>
        <v>109|SAN MARCOS|HUARI|SAN MARCOS|PUJUN|1551753|631664|Inicial - Jardín</v>
      </c>
    </row>
    <row r="19" ht="22.5" customHeight="1">
      <c r="A19" s="231" t="s">
        <v>189</v>
      </c>
      <c r="B19" s="218" t="s">
        <v>43</v>
      </c>
      <c r="C19" s="232" t="s">
        <v>65</v>
      </c>
      <c r="D19" s="232" t="s">
        <v>43</v>
      </c>
      <c r="E19" s="218" t="s">
        <v>188</v>
      </c>
      <c r="F19" s="231" t="s">
        <v>190</v>
      </c>
      <c r="G19" s="231" t="s">
        <v>191</v>
      </c>
      <c r="H19" s="233" t="s">
        <v>68</v>
      </c>
      <c r="I19" s="222" t="str">
        <f>IFERROR(__xludf.DUMMYFUNCTION("join(""|"",A19:H19)"),"435|SAN MARCOS|HUARI|SAN MARCOS|SANTA CRUZ DE MOSNA|1515246|608381|Inicial - Jardín")</f>
        <v>435|SAN MARCOS|HUARI|SAN MARCOS|SANTA CRUZ DE MOSNA|1515246|608381|Inicial - Jardín</v>
      </c>
    </row>
    <row r="20" ht="22.5" customHeight="1">
      <c r="A20" s="217" t="s">
        <v>4869</v>
      </c>
      <c r="B20" s="220" t="s">
        <v>7</v>
      </c>
      <c r="C20" s="220" t="s">
        <v>8</v>
      </c>
      <c r="D20" s="220" t="s">
        <v>9</v>
      </c>
      <c r="E20" s="220" t="s">
        <v>4870</v>
      </c>
      <c r="F20" s="217" t="s">
        <v>4871</v>
      </c>
      <c r="G20" s="217" t="s">
        <v>4872</v>
      </c>
      <c r="H20" s="221" t="s">
        <v>68</v>
      </c>
      <c r="I20" s="222" t="str">
        <f>IFERROR(__xludf.DUMMYFUNCTION("join(""|"",A20:H20)"),"1650|VALLE FORTALEZA|BOLOGNESI|ANTONIO RAYMONDI|MALLAO|1505031|607268|Inicial - Jardín")</f>
        <v>1650|VALLE FORTALEZA|BOLOGNESI|ANTONIO RAYMONDI|MALLAO|1505031|607268|Inicial - Jardín</v>
      </c>
    </row>
    <row r="21" ht="22.5" customHeight="1">
      <c r="A21" s="229" t="s">
        <v>11</v>
      </c>
      <c r="B21" s="220" t="s">
        <v>7</v>
      </c>
      <c r="C21" s="219" t="s">
        <v>8</v>
      </c>
      <c r="D21" s="219" t="s">
        <v>9</v>
      </c>
      <c r="E21" s="220" t="s">
        <v>10</v>
      </c>
      <c r="F21" s="217" t="s">
        <v>911</v>
      </c>
      <c r="G21" s="217" t="s">
        <v>912</v>
      </c>
      <c r="H21" s="221" t="s">
        <v>68</v>
      </c>
      <c r="I21" s="222" t="str">
        <f>IFERROR(__xludf.DUMMYFUNCTION("join(""|"",A21:H21)"),"451|VALLE FORTALEZA|BOLOGNESI|ANTONIO RAYMONDI|RAQUIA|1042829|019387|Inicial - Jardín")</f>
        <v>451|VALLE FORTALEZA|BOLOGNESI|ANTONIO RAYMONDI|RAQUIA|1042829|019387|Inicial - Jardín</v>
      </c>
    </row>
    <row r="22" ht="22.5" customHeight="1">
      <c r="A22" s="217" t="s">
        <v>16</v>
      </c>
      <c r="B22" s="220" t="s">
        <v>7</v>
      </c>
      <c r="C22" s="219" t="s">
        <v>8</v>
      </c>
      <c r="D22" s="219" t="s">
        <v>15</v>
      </c>
      <c r="E22" s="220" t="s">
        <v>15</v>
      </c>
      <c r="F22" s="217" t="s">
        <v>928</v>
      </c>
      <c r="G22" s="217" t="s">
        <v>929</v>
      </c>
      <c r="H22" s="221" t="s">
        <v>68</v>
      </c>
      <c r="I22" s="222" t="str">
        <f>IFERROR(__xludf.DUMMYFUNCTION("join(""|"",A22:H22)"),"048 ELVA BARBA TRINIDAD|VALLE FORTALEZA|BOLOGNESI|CAJACAY|CAJACAY|0415869|019556|Inicial - Jardín")</f>
        <v>048 ELVA BARBA TRINIDAD|VALLE FORTALEZA|BOLOGNESI|CAJACAY|CAJACAY|0415869|019556|Inicial - Jardín</v>
      </c>
    </row>
    <row r="23" ht="22.5" customHeight="1">
      <c r="A23" s="231" t="s">
        <v>18</v>
      </c>
      <c r="B23" s="220" t="s">
        <v>7</v>
      </c>
      <c r="C23" s="232" t="s">
        <v>8</v>
      </c>
      <c r="D23" s="232" t="s">
        <v>15</v>
      </c>
      <c r="E23" s="218" t="s">
        <v>17</v>
      </c>
      <c r="F23" s="231" t="s">
        <v>954</v>
      </c>
      <c r="G23" s="231" t="s">
        <v>955</v>
      </c>
      <c r="H23" s="233" t="s">
        <v>68</v>
      </c>
      <c r="I23" s="222" t="str">
        <f>IFERROR(__xludf.DUMMYFUNCTION("join(""|"",A23:H23)"),"616|VALLE FORTALEZA|BOLOGNESI|CAJACAY|COLCA|1645373|727925|Inicial - Jardín")</f>
        <v>616|VALLE FORTALEZA|BOLOGNESI|CAJACAY|COLCA|1645373|727925|Inicial - Jardín</v>
      </c>
    </row>
    <row r="24" ht="22.5" customHeight="1">
      <c r="A24" s="231" t="s">
        <v>19</v>
      </c>
      <c r="B24" s="220" t="s">
        <v>7</v>
      </c>
      <c r="C24" s="232" t="s">
        <v>8</v>
      </c>
      <c r="D24" s="232" t="s">
        <v>15</v>
      </c>
      <c r="E24" s="218" t="s">
        <v>21</v>
      </c>
      <c r="F24" s="231" t="s">
        <v>968</v>
      </c>
      <c r="G24" s="231" t="s">
        <v>969</v>
      </c>
      <c r="H24" s="233" t="s">
        <v>68</v>
      </c>
      <c r="I24" s="222" t="str">
        <f>IFERROR(__xludf.DUMMYFUNCTION("join(""|"",A24:H24)"),"1649|VALLE FORTALEZA|BOLOGNESI|CAJACAY|SANTA ROSA|1505023|606891|Inicial - Jardín")</f>
        <v>1649|VALLE FORTALEZA|BOLOGNESI|CAJACAY|SANTA ROSA|1505023|606891|Inicial - Jardín</v>
      </c>
    </row>
    <row r="25" ht="22.5" customHeight="1">
      <c r="A25" s="231" t="s">
        <v>26</v>
      </c>
      <c r="B25" s="220" t="s">
        <v>7</v>
      </c>
      <c r="C25" s="232" t="s">
        <v>8</v>
      </c>
      <c r="D25" s="232" t="s">
        <v>24</v>
      </c>
      <c r="E25" s="218" t="s">
        <v>25</v>
      </c>
      <c r="F25" s="231" t="s">
        <v>994</v>
      </c>
      <c r="G25" s="231" t="s">
        <v>995</v>
      </c>
      <c r="H25" s="233" t="s">
        <v>68</v>
      </c>
      <c r="I25" s="222" t="str">
        <f>IFERROR(__xludf.DUMMYFUNCTION("join(""|"",A25:H25)"),"357|VALLE FORTALEZA|BOLOGNESI|COLQUIOC|CHASQUITAMBO|0469999|019636|Inicial - Jardín")</f>
        <v>357|VALLE FORTALEZA|BOLOGNESI|COLQUIOC|CHASQUITAMBO|0469999|019636|Inicial - Jardín</v>
      </c>
    </row>
    <row r="26" ht="22.5" customHeight="1">
      <c r="A26" s="231" t="s">
        <v>50</v>
      </c>
      <c r="B26" s="220" t="s">
        <v>7</v>
      </c>
      <c r="C26" s="232" t="s">
        <v>8</v>
      </c>
      <c r="D26" s="232" t="s">
        <v>24</v>
      </c>
      <c r="E26" s="218" t="s">
        <v>25</v>
      </c>
      <c r="F26" s="231" t="s">
        <v>3307</v>
      </c>
      <c r="G26" s="231"/>
      <c r="H26" s="233" t="s">
        <v>86</v>
      </c>
      <c r="I26" s="222" t="str">
        <f>IFERROR(__xludf.DUMMYFUNCTION("join(""|"",A26:H26)"),"LOS PALILLOS|VALLE FORTALEZA|BOLOGNESI|COLQUIOC|CHASQUITAMBO|3877654||Inicial No Escolarizado")</f>
        <v>LOS PALILLOS|VALLE FORTALEZA|BOLOGNESI|COLQUIOC|CHASQUITAMBO|3877654||Inicial No Escolarizado</v>
      </c>
    </row>
    <row r="27" ht="22.5" customHeight="1">
      <c r="A27" s="231" t="s">
        <v>27</v>
      </c>
      <c r="B27" s="220" t="s">
        <v>7</v>
      </c>
      <c r="C27" s="232" t="s">
        <v>8</v>
      </c>
      <c r="D27" s="232" t="s">
        <v>24</v>
      </c>
      <c r="E27" s="218" t="s">
        <v>29</v>
      </c>
      <c r="F27" s="231" t="s">
        <v>801</v>
      </c>
      <c r="G27" s="231" t="s">
        <v>802</v>
      </c>
      <c r="H27" s="233" t="s">
        <v>68</v>
      </c>
      <c r="I27" s="222" t="str">
        <f>IFERROR(__xludf.DUMMYFUNCTION("join(""|"",A27:H27)"),"028|VALLE FORTALEZA|BOLOGNESI|COLQUIOC|HORNILLOS|1551548|631447|Inicial - Jardín")</f>
        <v>028|VALLE FORTALEZA|BOLOGNESI|COLQUIOC|HORNILLOS|1551548|631447|Inicial - Jardín</v>
      </c>
    </row>
    <row r="28" ht="22.5" customHeight="1">
      <c r="A28" s="231" t="s">
        <v>30</v>
      </c>
      <c r="B28" s="220" t="s">
        <v>7</v>
      </c>
      <c r="C28" s="232" t="s">
        <v>8</v>
      </c>
      <c r="D28" s="232" t="s">
        <v>24</v>
      </c>
      <c r="E28" s="218" t="s">
        <v>32</v>
      </c>
      <c r="F28" s="231" t="s">
        <v>573</v>
      </c>
      <c r="G28" s="231" t="s">
        <v>574</v>
      </c>
      <c r="H28" s="233" t="s">
        <v>68</v>
      </c>
      <c r="I28" s="222" t="str">
        <f>IFERROR(__xludf.DUMMYFUNCTION("join(""|"",A28:H28)"),"030|VALLE FORTALEZA|BOLOGNESI|COLQUIOC|LLAMA RUMI|1551555|631452|Inicial - Jardín")</f>
        <v>030|VALLE FORTALEZA|BOLOGNESI|COLQUIOC|LLAMA RUMI|1551555|631452|Inicial - Jardín</v>
      </c>
    </row>
    <row r="29" ht="22.5" customHeight="1">
      <c r="A29" s="231" t="s">
        <v>33</v>
      </c>
      <c r="B29" s="220" t="s">
        <v>7</v>
      </c>
      <c r="C29" s="232" t="s">
        <v>8</v>
      </c>
      <c r="D29" s="232" t="s">
        <v>24</v>
      </c>
      <c r="E29" s="218" t="s">
        <v>35</v>
      </c>
      <c r="F29" s="231" t="s">
        <v>813</v>
      </c>
      <c r="G29" s="231" t="s">
        <v>814</v>
      </c>
      <c r="H29" s="233" t="s">
        <v>68</v>
      </c>
      <c r="I29" s="222" t="str">
        <f>IFERROR(__xludf.DUMMYFUNCTION("join(""|"",A29:H29)"),"1646|VALLE FORTALEZA|BOLOGNESI|COLQUIOC|LLAMPA|0750026|509734|Inicial - Jardín")</f>
        <v>1646|VALLE FORTALEZA|BOLOGNESI|COLQUIOC|LLAMPA|0750026|509734|Inicial - Jardín</v>
      </c>
    </row>
    <row r="30" ht="22.5" customHeight="1">
      <c r="A30" s="217" t="s">
        <v>39</v>
      </c>
      <c r="B30" s="220" t="s">
        <v>7</v>
      </c>
      <c r="C30" s="219" t="s">
        <v>37</v>
      </c>
      <c r="D30" s="219" t="s">
        <v>38</v>
      </c>
      <c r="E30" s="220" t="s">
        <v>41</v>
      </c>
      <c r="F30" s="217" t="s">
        <v>902</v>
      </c>
      <c r="G30" s="217" t="s">
        <v>903</v>
      </c>
      <c r="H30" s="221" t="s">
        <v>68</v>
      </c>
      <c r="I30" s="222" t="str">
        <f>IFERROR(__xludf.DUMMYFUNCTION("join(""|"",A30:H30)"),"2626|VALLE FORTALEZA|RECUAY|PARARIN|MARAVIA|1708239|789744|Inicial - Jardín")</f>
        <v>2626|VALLE FORTALEZA|RECUAY|PARARIN|MARAVIA|1708239|789744|Inicial - Jardín</v>
      </c>
    </row>
    <row r="31" ht="22.5" customHeight="1">
      <c r="A31" s="217" t="s">
        <v>42</v>
      </c>
      <c r="B31" s="220" t="s">
        <v>7</v>
      </c>
      <c r="C31" s="219" t="s">
        <v>37</v>
      </c>
      <c r="D31" s="219" t="s">
        <v>38</v>
      </c>
      <c r="E31" s="220" t="s">
        <v>38</v>
      </c>
      <c r="F31" s="217" t="s">
        <v>584</v>
      </c>
      <c r="G31" s="217" t="s">
        <v>585</v>
      </c>
      <c r="H31" s="221" t="s">
        <v>68</v>
      </c>
      <c r="I31" s="222" t="str">
        <f>IFERROR(__xludf.DUMMYFUNCTION("join(""|"",A31:H31)"),"394|VALLE FORTALEZA|RECUAY|PARARIN|PARARIN|1043934|033524|Inicial - Jardín")</f>
        <v>394|VALLE FORTALEZA|RECUAY|PARARIN|PARARIN|1043934|033524|Inicial - Jardín</v>
      </c>
    </row>
    <row r="32" ht="22.5" customHeight="1">
      <c r="A32" s="217" t="s">
        <v>44</v>
      </c>
      <c r="B32" s="220" t="s">
        <v>7</v>
      </c>
      <c r="C32" s="219" t="s">
        <v>37</v>
      </c>
      <c r="D32" s="219" t="s">
        <v>38</v>
      </c>
      <c r="E32" s="220" t="s">
        <v>45</v>
      </c>
      <c r="F32" s="217" t="s">
        <v>830</v>
      </c>
      <c r="G32" s="217" t="s">
        <v>831</v>
      </c>
      <c r="H32" s="221" t="s">
        <v>68</v>
      </c>
      <c r="I32" s="222" t="str">
        <f>IFERROR(__xludf.DUMMYFUNCTION("join(""|"",A32:H32)"),"416 - Rinconada|VALLE FORTALEZA|RECUAY|PARARIN|RINCONADA|1043652|033519|Inicial - Jardín")</f>
        <v>416 - Rinconada|VALLE FORTALEZA|RECUAY|PARARIN|RINCONADA|1043652|033519|Inicial - Jardín</v>
      </c>
    </row>
    <row r="33">
      <c r="A33" s="114"/>
      <c r="B33" s="1"/>
      <c r="C33" s="1"/>
      <c r="D33" s="1"/>
      <c r="E33" s="1"/>
      <c r="F33" s="24"/>
      <c r="G33" s="24"/>
      <c r="H33" s="235"/>
    </row>
    <row r="34">
      <c r="A34" s="114"/>
      <c r="B34" s="1"/>
      <c r="C34" s="1"/>
      <c r="D34" s="1"/>
      <c r="E34" s="1"/>
      <c r="F34" s="24"/>
      <c r="G34" s="24"/>
      <c r="H34" s="235"/>
    </row>
    <row r="35">
      <c r="A35" s="114"/>
      <c r="B35" s="1"/>
      <c r="C35" s="1"/>
      <c r="D35" s="1"/>
      <c r="E35" s="1"/>
      <c r="F35" s="24"/>
      <c r="G35" s="24"/>
      <c r="H35" s="235"/>
    </row>
    <row r="36">
      <c r="A36" s="114"/>
      <c r="B36" s="1"/>
      <c r="C36" s="1"/>
      <c r="D36" s="1"/>
      <c r="E36" s="1"/>
      <c r="F36" s="24"/>
      <c r="G36" s="24"/>
      <c r="H36" s="235"/>
    </row>
    <row r="37">
      <c r="A37" s="114"/>
      <c r="B37" s="1"/>
      <c r="C37" s="1"/>
      <c r="D37" s="1"/>
      <c r="E37" s="1"/>
      <c r="F37" s="24"/>
      <c r="G37" s="24"/>
      <c r="H37" s="235"/>
    </row>
    <row r="38">
      <c r="A38" s="114"/>
      <c r="B38" s="1"/>
      <c r="C38" s="1"/>
      <c r="D38" s="1"/>
      <c r="E38" s="1"/>
      <c r="F38" s="24"/>
      <c r="G38" s="24"/>
      <c r="H38" s="235"/>
    </row>
    <row r="39">
      <c r="A39" s="114"/>
      <c r="B39" s="1"/>
      <c r="C39" s="1"/>
      <c r="D39" s="1"/>
      <c r="E39" s="1"/>
      <c r="F39" s="24"/>
      <c r="G39" s="24"/>
      <c r="H39" s="235"/>
    </row>
    <row r="40">
      <c r="A40" s="114"/>
      <c r="B40" s="1"/>
      <c r="C40" s="1"/>
      <c r="D40" s="1"/>
      <c r="E40" s="1"/>
      <c r="F40" s="24"/>
      <c r="G40" s="24"/>
      <c r="H40" s="235"/>
    </row>
    <row r="41">
      <c r="A41" s="114"/>
      <c r="B41" s="1"/>
      <c r="C41" s="1"/>
      <c r="D41" s="1"/>
      <c r="E41" s="1"/>
      <c r="F41" s="24"/>
      <c r="G41" s="24"/>
      <c r="H41" s="235"/>
    </row>
    <row r="42">
      <c r="A42" s="114"/>
      <c r="B42" s="1"/>
      <c r="C42" s="1"/>
      <c r="D42" s="1"/>
      <c r="E42" s="1"/>
      <c r="F42" s="24"/>
      <c r="G42" s="24"/>
      <c r="H42" s="235"/>
    </row>
    <row r="43">
      <c r="A43" s="114"/>
      <c r="B43" s="1"/>
      <c r="C43" s="1"/>
      <c r="D43" s="1"/>
      <c r="E43" s="1"/>
      <c r="F43" s="24"/>
      <c r="G43" s="24"/>
      <c r="H43" s="235"/>
    </row>
    <row r="44">
      <c r="A44" s="114"/>
      <c r="B44" s="1"/>
      <c r="C44" s="1"/>
      <c r="D44" s="1"/>
      <c r="E44" s="1"/>
      <c r="F44" s="24"/>
      <c r="G44" s="24"/>
      <c r="H44" s="235"/>
    </row>
    <row r="45">
      <c r="A45" s="114"/>
      <c r="B45" s="1"/>
      <c r="C45" s="1"/>
      <c r="D45" s="1"/>
      <c r="E45" s="1"/>
      <c r="F45" s="24"/>
      <c r="G45" s="24"/>
      <c r="H45" s="235"/>
    </row>
    <row r="46">
      <c r="A46" s="114"/>
      <c r="B46" s="1"/>
      <c r="C46" s="1"/>
      <c r="D46" s="1"/>
      <c r="E46" s="1"/>
      <c r="F46" s="24"/>
      <c r="G46" s="24"/>
      <c r="H46" s="235"/>
    </row>
    <row r="47">
      <c r="A47" s="114"/>
      <c r="B47" s="1"/>
      <c r="C47" s="1"/>
      <c r="D47" s="1"/>
      <c r="E47" s="1"/>
      <c r="F47" s="24"/>
      <c r="G47" s="24"/>
      <c r="H47" s="235"/>
    </row>
    <row r="48">
      <c r="A48" s="114"/>
      <c r="B48" s="1"/>
      <c r="C48" s="1"/>
      <c r="D48" s="1"/>
      <c r="E48" s="1"/>
      <c r="F48" s="24"/>
      <c r="G48" s="24"/>
      <c r="H48" s="235"/>
    </row>
    <row r="49">
      <c r="A49" s="114"/>
      <c r="B49" s="1"/>
      <c r="C49" s="1"/>
      <c r="D49" s="1"/>
      <c r="E49" s="1"/>
      <c r="F49" s="24"/>
      <c r="G49" s="24"/>
      <c r="H49" s="235"/>
    </row>
    <row r="50">
      <c r="A50" s="114"/>
      <c r="B50" s="1"/>
      <c r="C50" s="1"/>
      <c r="D50" s="1"/>
      <c r="E50" s="1"/>
      <c r="F50" s="24"/>
      <c r="G50" s="24"/>
      <c r="H50" s="235"/>
    </row>
    <row r="51">
      <c r="A51" s="114"/>
      <c r="B51" s="1"/>
      <c r="C51" s="1"/>
      <c r="D51" s="1"/>
      <c r="E51" s="1"/>
      <c r="F51" s="24"/>
      <c r="G51" s="24"/>
      <c r="H51" s="235"/>
    </row>
    <row r="52">
      <c r="A52" s="114"/>
      <c r="B52" s="1"/>
      <c r="C52" s="1"/>
      <c r="D52" s="1"/>
      <c r="E52" s="1"/>
      <c r="F52" s="24"/>
      <c r="G52" s="24"/>
      <c r="H52" s="235"/>
    </row>
    <row r="53">
      <c r="A53" s="114"/>
      <c r="B53" s="1"/>
      <c r="C53" s="1"/>
      <c r="D53" s="1"/>
      <c r="E53" s="1"/>
      <c r="F53" s="24"/>
      <c r="G53" s="24"/>
      <c r="H53" s="235"/>
    </row>
    <row r="54">
      <c r="A54" s="114"/>
      <c r="B54" s="1"/>
      <c r="C54" s="1"/>
      <c r="D54" s="1"/>
      <c r="E54" s="1"/>
      <c r="F54" s="24"/>
      <c r="G54" s="24"/>
      <c r="H54" s="235"/>
    </row>
    <row r="55">
      <c r="A55" s="114"/>
      <c r="B55" s="1"/>
      <c r="C55" s="1"/>
      <c r="D55" s="1"/>
      <c r="E55" s="1"/>
      <c r="F55" s="24"/>
      <c r="G55" s="24"/>
      <c r="H55" s="235"/>
    </row>
    <row r="56">
      <c r="A56" s="114"/>
      <c r="B56" s="1"/>
      <c r="C56" s="1"/>
      <c r="D56" s="1"/>
      <c r="E56" s="1"/>
      <c r="F56" s="24"/>
      <c r="G56" s="24"/>
      <c r="H56" s="235"/>
    </row>
    <row r="57">
      <c r="A57" s="114"/>
      <c r="B57" s="1"/>
      <c r="C57" s="1"/>
      <c r="D57" s="1"/>
      <c r="E57" s="1"/>
      <c r="F57" s="24"/>
      <c r="G57" s="24"/>
      <c r="H57" s="235"/>
    </row>
    <row r="58">
      <c r="A58" s="114"/>
      <c r="B58" s="1"/>
      <c r="C58" s="1"/>
      <c r="D58" s="1"/>
      <c r="E58" s="1"/>
      <c r="F58" s="24"/>
      <c r="G58" s="24"/>
      <c r="H58" s="235"/>
    </row>
    <row r="59">
      <c r="A59" s="114"/>
      <c r="B59" s="1"/>
      <c r="C59" s="1"/>
      <c r="D59" s="1"/>
      <c r="E59" s="1"/>
      <c r="F59" s="24"/>
      <c r="G59" s="24"/>
      <c r="H59" s="235"/>
    </row>
    <row r="60">
      <c r="A60" s="114"/>
      <c r="B60" s="1"/>
      <c r="C60" s="1"/>
      <c r="D60" s="1"/>
      <c r="E60" s="1"/>
      <c r="F60" s="24"/>
      <c r="G60" s="24"/>
      <c r="H60" s="235"/>
    </row>
    <row r="61">
      <c r="A61" s="114"/>
      <c r="B61" s="1"/>
      <c r="C61" s="1"/>
      <c r="D61" s="1"/>
      <c r="E61" s="1"/>
      <c r="F61" s="24"/>
      <c r="G61" s="24"/>
      <c r="H61" s="235"/>
    </row>
    <row r="62">
      <c r="A62" s="114"/>
      <c r="B62" s="1"/>
      <c r="C62" s="1"/>
      <c r="D62" s="1"/>
      <c r="E62" s="1"/>
      <c r="F62" s="24"/>
      <c r="G62" s="24"/>
      <c r="H62" s="235"/>
    </row>
    <row r="63">
      <c r="A63" s="114"/>
      <c r="B63" s="1"/>
      <c r="C63" s="1"/>
      <c r="D63" s="1"/>
      <c r="E63" s="1"/>
      <c r="F63" s="24"/>
      <c r="G63" s="24"/>
      <c r="H63" s="235"/>
    </row>
    <row r="64">
      <c r="A64" s="114"/>
      <c r="B64" s="1"/>
      <c r="C64" s="1"/>
      <c r="D64" s="1"/>
      <c r="E64" s="1"/>
      <c r="F64" s="24"/>
      <c r="G64" s="24"/>
      <c r="H64" s="235"/>
    </row>
    <row r="65">
      <c r="A65" s="114"/>
      <c r="B65" s="1"/>
      <c r="C65" s="1"/>
      <c r="D65" s="1"/>
      <c r="E65" s="1"/>
      <c r="F65" s="24"/>
      <c r="G65" s="24"/>
      <c r="H65" s="235"/>
    </row>
    <row r="66">
      <c r="A66" s="114"/>
      <c r="B66" s="1"/>
      <c r="C66" s="1"/>
      <c r="D66" s="1"/>
      <c r="E66" s="1"/>
      <c r="F66" s="24"/>
      <c r="G66" s="24"/>
      <c r="H66" s="235"/>
    </row>
    <row r="67">
      <c r="A67" s="114"/>
      <c r="B67" s="1"/>
      <c r="C67" s="1"/>
      <c r="D67" s="1"/>
      <c r="E67" s="1"/>
      <c r="F67" s="24"/>
      <c r="G67" s="24"/>
      <c r="H67" s="235"/>
    </row>
    <row r="68">
      <c r="A68" s="114"/>
      <c r="B68" s="1"/>
      <c r="C68" s="1"/>
      <c r="D68" s="1"/>
      <c r="E68" s="1"/>
      <c r="F68" s="24"/>
      <c r="G68" s="24"/>
      <c r="H68" s="235"/>
    </row>
    <row r="69">
      <c r="A69" s="114"/>
      <c r="B69" s="1"/>
      <c r="C69" s="1"/>
      <c r="D69" s="1"/>
      <c r="E69" s="1"/>
      <c r="F69" s="24"/>
      <c r="G69" s="24"/>
      <c r="H69" s="235"/>
    </row>
    <row r="70">
      <c r="A70" s="114"/>
      <c r="B70" s="1"/>
      <c r="C70" s="1"/>
      <c r="D70" s="1"/>
      <c r="E70" s="1"/>
      <c r="F70" s="24"/>
      <c r="G70" s="24"/>
      <c r="H70" s="235"/>
    </row>
    <row r="71">
      <c r="A71" s="114"/>
      <c r="B71" s="1"/>
      <c r="C71" s="1"/>
      <c r="D71" s="1"/>
      <c r="E71" s="1"/>
      <c r="F71" s="24"/>
      <c r="G71" s="24"/>
      <c r="H71" s="235"/>
    </row>
    <row r="72">
      <c r="A72" s="114"/>
      <c r="B72" s="1"/>
      <c r="C72" s="1"/>
      <c r="D72" s="1"/>
      <c r="E72" s="1"/>
      <c r="F72" s="24"/>
      <c r="G72" s="24"/>
      <c r="H72" s="235"/>
    </row>
    <row r="73">
      <c r="A73" s="114"/>
      <c r="B73" s="1"/>
      <c r="C73" s="1"/>
      <c r="D73" s="1"/>
      <c r="E73" s="1"/>
      <c r="F73" s="24"/>
      <c r="G73" s="24"/>
      <c r="H73" s="235"/>
    </row>
    <row r="74">
      <c r="A74" s="114"/>
      <c r="B74" s="1"/>
      <c r="C74" s="1"/>
      <c r="D74" s="1"/>
      <c r="E74" s="1"/>
      <c r="F74" s="24"/>
      <c r="G74" s="24"/>
      <c r="H74" s="235"/>
    </row>
    <row r="75">
      <c r="A75" s="114"/>
      <c r="B75" s="1"/>
      <c r="C75" s="1"/>
      <c r="D75" s="1"/>
      <c r="E75" s="1"/>
      <c r="F75" s="24"/>
      <c r="G75" s="24"/>
      <c r="H75" s="235"/>
    </row>
    <row r="76">
      <c r="A76" s="114"/>
      <c r="B76" s="1"/>
      <c r="C76" s="1"/>
      <c r="D76" s="1"/>
      <c r="E76" s="1"/>
      <c r="F76" s="24"/>
      <c r="G76" s="24"/>
      <c r="H76" s="235"/>
    </row>
    <row r="77">
      <c r="A77" s="114"/>
      <c r="B77" s="1"/>
      <c r="C77" s="1"/>
      <c r="D77" s="1"/>
      <c r="E77" s="1"/>
      <c r="F77" s="24"/>
      <c r="G77" s="24"/>
      <c r="H77" s="235"/>
    </row>
    <row r="78">
      <c r="A78" s="114"/>
      <c r="B78" s="1"/>
      <c r="C78" s="1"/>
      <c r="D78" s="1"/>
      <c r="E78" s="1"/>
      <c r="F78" s="24"/>
      <c r="G78" s="24"/>
      <c r="H78" s="235"/>
    </row>
    <row r="79">
      <c r="A79" s="114"/>
      <c r="B79" s="1"/>
      <c r="C79" s="1"/>
      <c r="D79" s="1"/>
      <c r="E79" s="1"/>
      <c r="F79" s="24"/>
      <c r="G79" s="24"/>
      <c r="H79" s="235"/>
    </row>
    <row r="80">
      <c r="A80" s="114"/>
      <c r="B80" s="1"/>
      <c r="C80" s="1"/>
      <c r="D80" s="1"/>
      <c r="E80" s="1"/>
      <c r="F80" s="24"/>
      <c r="G80" s="24"/>
      <c r="H80" s="235"/>
    </row>
    <row r="81">
      <c r="A81" s="114"/>
      <c r="B81" s="1"/>
      <c r="C81" s="1"/>
      <c r="D81" s="1"/>
      <c r="E81" s="1"/>
      <c r="F81" s="24"/>
      <c r="G81" s="24"/>
      <c r="H81" s="235"/>
    </row>
    <row r="82">
      <c r="A82" s="114"/>
      <c r="B82" s="1"/>
      <c r="C82" s="1"/>
      <c r="D82" s="1"/>
      <c r="E82" s="1"/>
      <c r="F82" s="24"/>
      <c r="G82" s="24"/>
      <c r="H82" s="235"/>
    </row>
    <row r="83">
      <c r="A83" s="114"/>
      <c r="B83" s="1"/>
      <c r="C83" s="1"/>
      <c r="D83" s="1"/>
      <c r="E83" s="1"/>
      <c r="F83" s="24"/>
      <c r="G83" s="24"/>
      <c r="H83" s="235"/>
    </row>
    <row r="84">
      <c r="A84" s="114"/>
      <c r="B84" s="1"/>
      <c r="C84" s="1"/>
      <c r="D84" s="1"/>
      <c r="E84" s="1"/>
      <c r="F84" s="24"/>
      <c r="G84" s="24"/>
      <c r="H84" s="235"/>
    </row>
    <row r="85">
      <c r="A85" s="114"/>
      <c r="B85" s="1"/>
      <c r="C85" s="1"/>
      <c r="D85" s="1"/>
      <c r="E85" s="1"/>
      <c r="F85" s="24"/>
      <c r="G85" s="24"/>
      <c r="H85" s="235"/>
    </row>
    <row r="86">
      <c r="A86" s="114"/>
      <c r="B86" s="1"/>
      <c r="C86" s="1"/>
      <c r="D86" s="1"/>
      <c r="E86" s="1"/>
      <c r="F86" s="24"/>
      <c r="G86" s="24"/>
      <c r="H86" s="235"/>
    </row>
    <row r="87">
      <c r="A87" s="114"/>
      <c r="B87" s="1"/>
      <c r="C87" s="1"/>
      <c r="D87" s="1"/>
      <c r="E87" s="1"/>
      <c r="F87" s="24"/>
      <c r="G87" s="24"/>
      <c r="H87" s="235"/>
    </row>
    <row r="88">
      <c r="A88" s="114"/>
      <c r="B88" s="1"/>
      <c r="C88" s="1"/>
      <c r="D88" s="1"/>
      <c r="E88" s="1"/>
      <c r="F88" s="24"/>
      <c r="G88" s="24"/>
      <c r="H88" s="235"/>
    </row>
    <row r="89">
      <c r="A89" s="114"/>
      <c r="B89" s="1"/>
      <c r="C89" s="1"/>
      <c r="D89" s="1"/>
      <c r="E89" s="1"/>
      <c r="F89" s="24"/>
      <c r="G89" s="24"/>
      <c r="H89" s="235"/>
    </row>
    <row r="90">
      <c r="A90" s="114"/>
      <c r="B90" s="1"/>
      <c r="C90" s="1"/>
      <c r="D90" s="1"/>
      <c r="E90" s="1"/>
      <c r="F90" s="24"/>
      <c r="G90" s="24"/>
      <c r="H90" s="235"/>
    </row>
    <row r="91">
      <c r="A91" s="114"/>
      <c r="B91" s="1"/>
      <c r="C91" s="1"/>
      <c r="D91" s="1"/>
      <c r="E91" s="1"/>
      <c r="F91" s="24"/>
      <c r="G91" s="24"/>
      <c r="H91" s="235"/>
    </row>
    <row r="92">
      <c r="A92" s="114"/>
      <c r="B92" s="1"/>
      <c r="C92" s="1"/>
      <c r="D92" s="1"/>
      <c r="E92" s="1"/>
      <c r="F92" s="24"/>
      <c r="G92" s="24"/>
      <c r="H92" s="235"/>
    </row>
    <row r="93">
      <c r="A93" s="114"/>
      <c r="B93" s="1"/>
      <c r="C93" s="1"/>
      <c r="D93" s="1"/>
      <c r="E93" s="1"/>
      <c r="F93" s="24"/>
      <c r="G93" s="24"/>
      <c r="H93" s="235"/>
    </row>
    <row r="94">
      <c r="A94" s="114"/>
      <c r="B94" s="1"/>
      <c r="C94" s="1"/>
      <c r="D94" s="1"/>
      <c r="E94" s="1"/>
      <c r="F94" s="24"/>
      <c r="G94" s="24"/>
      <c r="H94" s="235"/>
    </row>
    <row r="95">
      <c r="A95" s="114"/>
      <c r="B95" s="1"/>
      <c r="C95" s="1"/>
      <c r="D95" s="1"/>
      <c r="E95" s="1"/>
      <c r="F95" s="24"/>
      <c r="G95" s="24"/>
      <c r="H95" s="235"/>
    </row>
    <row r="96">
      <c r="A96" s="114"/>
      <c r="B96" s="1"/>
      <c r="C96" s="1"/>
      <c r="D96" s="1"/>
      <c r="E96" s="1"/>
      <c r="F96" s="24"/>
      <c r="G96" s="24"/>
      <c r="H96" s="235"/>
    </row>
    <row r="97">
      <c r="A97" s="114"/>
      <c r="B97" s="1"/>
      <c r="C97" s="1"/>
      <c r="D97" s="1"/>
      <c r="E97" s="1"/>
      <c r="F97" s="24"/>
      <c r="G97" s="24"/>
      <c r="H97" s="235"/>
    </row>
    <row r="98">
      <c r="A98" s="114"/>
      <c r="B98" s="1"/>
      <c r="C98" s="1"/>
      <c r="D98" s="1"/>
      <c r="E98" s="1"/>
      <c r="F98" s="24"/>
      <c r="G98" s="24"/>
      <c r="H98" s="235"/>
    </row>
    <row r="99">
      <c r="A99" s="114"/>
      <c r="B99" s="1"/>
      <c r="C99" s="1"/>
      <c r="D99" s="1"/>
      <c r="E99" s="1"/>
      <c r="F99" s="24"/>
      <c r="G99" s="24"/>
      <c r="H99" s="235"/>
    </row>
    <row r="100">
      <c r="A100" s="114"/>
      <c r="B100" s="1"/>
      <c r="C100" s="1"/>
      <c r="D100" s="1"/>
      <c r="E100" s="1"/>
      <c r="F100" s="24"/>
      <c r="G100" s="24"/>
      <c r="H100" s="235"/>
    </row>
    <row r="101">
      <c r="A101" s="114"/>
      <c r="B101" s="1"/>
      <c r="C101" s="1"/>
      <c r="D101" s="1"/>
      <c r="E101" s="1"/>
      <c r="F101" s="24"/>
      <c r="G101" s="24"/>
      <c r="H101" s="235"/>
    </row>
    <row r="102">
      <c r="A102" s="114"/>
      <c r="B102" s="1"/>
      <c r="C102" s="1"/>
      <c r="D102" s="1"/>
      <c r="E102" s="1"/>
      <c r="F102" s="24"/>
      <c r="G102" s="24"/>
      <c r="H102" s="235"/>
    </row>
    <row r="103">
      <c r="A103" s="114"/>
      <c r="B103" s="1"/>
      <c r="C103" s="1"/>
      <c r="D103" s="1"/>
      <c r="E103" s="1"/>
      <c r="F103" s="24"/>
      <c r="G103" s="24"/>
      <c r="H103" s="235"/>
    </row>
    <row r="104">
      <c r="A104" s="114"/>
      <c r="B104" s="1"/>
      <c r="C104" s="1"/>
      <c r="D104" s="1"/>
      <c r="E104" s="1"/>
      <c r="F104" s="24"/>
      <c r="G104" s="24"/>
      <c r="H104" s="235"/>
    </row>
    <row r="105">
      <c r="A105" s="114"/>
      <c r="B105" s="1"/>
      <c r="C105" s="1"/>
      <c r="D105" s="1"/>
      <c r="E105" s="1"/>
      <c r="F105" s="24"/>
      <c r="G105" s="24"/>
      <c r="H105" s="235"/>
    </row>
    <row r="106">
      <c r="A106" s="114"/>
      <c r="B106" s="1"/>
      <c r="C106" s="1"/>
      <c r="D106" s="1"/>
      <c r="E106" s="1"/>
      <c r="F106" s="24"/>
      <c r="G106" s="24"/>
      <c r="H106" s="235"/>
    </row>
    <row r="107">
      <c r="A107" s="114"/>
      <c r="B107" s="1"/>
      <c r="C107" s="1"/>
      <c r="D107" s="1"/>
      <c r="E107" s="1"/>
      <c r="F107" s="24"/>
      <c r="G107" s="24"/>
      <c r="H107" s="235"/>
    </row>
    <row r="108">
      <c r="A108" s="114"/>
      <c r="B108" s="1"/>
      <c r="C108" s="1"/>
      <c r="D108" s="1"/>
      <c r="E108" s="1"/>
      <c r="F108" s="24"/>
      <c r="G108" s="24"/>
      <c r="H108" s="235"/>
    </row>
    <row r="109">
      <c r="A109" s="114"/>
      <c r="B109" s="1"/>
      <c r="C109" s="1"/>
      <c r="D109" s="1"/>
      <c r="E109" s="1"/>
      <c r="F109" s="24"/>
      <c r="G109" s="24"/>
      <c r="H109" s="235"/>
    </row>
    <row r="110">
      <c r="A110" s="114"/>
      <c r="B110" s="1"/>
      <c r="C110" s="1"/>
      <c r="D110" s="1"/>
      <c r="E110" s="1"/>
      <c r="F110" s="24"/>
      <c r="G110" s="24"/>
      <c r="H110" s="235"/>
    </row>
    <row r="111">
      <c r="A111" s="114"/>
      <c r="B111" s="1"/>
      <c r="C111" s="1"/>
      <c r="D111" s="1"/>
      <c r="E111" s="1"/>
      <c r="F111" s="24"/>
      <c r="G111" s="24"/>
      <c r="H111" s="235"/>
    </row>
    <row r="112">
      <c r="A112" s="114"/>
      <c r="B112" s="1"/>
      <c r="C112" s="1"/>
      <c r="D112" s="1"/>
      <c r="E112" s="1"/>
      <c r="F112" s="24"/>
      <c r="G112" s="24"/>
      <c r="H112" s="235"/>
    </row>
    <row r="113">
      <c r="A113" s="114"/>
      <c r="B113" s="1"/>
      <c r="C113" s="1"/>
      <c r="D113" s="1"/>
      <c r="E113" s="1"/>
      <c r="F113" s="24"/>
      <c r="G113" s="24"/>
      <c r="H113" s="235"/>
    </row>
    <row r="114">
      <c r="A114" s="114"/>
      <c r="B114" s="1"/>
      <c r="C114" s="1"/>
      <c r="D114" s="1"/>
      <c r="E114" s="1"/>
      <c r="F114" s="24"/>
      <c r="G114" s="24"/>
      <c r="H114" s="235"/>
    </row>
    <row r="115">
      <c r="A115" s="114"/>
      <c r="B115" s="1"/>
      <c r="C115" s="1"/>
      <c r="D115" s="1"/>
      <c r="E115" s="1"/>
      <c r="F115" s="24"/>
      <c r="G115" s="24"/>
      <c r="H115" s="235"/>
    </row>
    <row r="116">
      <c r="A116" s="114"/>
      <c r="B116" s="1"/>
      <c r="C116" s="1"/>
      <c r="D116" s="1"/>
      <c r="E116" s="1"/>
      <c r="F116" s="24"/>
      <c r="G116" s="24"/>
      <c r="H116" s="235"/>
    </row>
    <row r="117">
      <c r="A117" s="114"/>
      <c r="B117" s="1"/>
      <c r="C117" s="1"/>
      <c r="D117" s="1"/>
      <c r="E117" s="1"/>
      <c r="F117" s="24"/>
      <c r="G117" s="24"/>
      <c r="H117" s="235"/>
    </row>
    <row r="118">
      <c r="A118" s="114"/>
      <c r="B118" s="1"/>
      <c r="C118" s="1"/>
      <c r="D118" s="1"/>
      <c r="E118" s="1"/>
      <c r="F118" s="24"/>
      <c r="G118" s="24"/>
      <c r="H118" s="235"/>
    </row>
    <row r="119">
      <c r="A119" s="114"/>
      <c r="B119" s="1"/>
      <c r="C119" s="1"/>
      <c r="D119" s="1"/>
      <c r="E119" s="1"/>
      <c r="F119" s="24"/>
      <c r="G119" s="24"/>
      <c r="H119" s="235"/>
    </row>
    <row r="120">
      <c r="A120" s="114"/>
      <c r="B120" s="1"/>
      <c r="C120" s="1"/>
      <c r="D120" s="1"/>
      <c r="E120" s="1"/>
      <c r="F120" s="24"/>
      <c r="G120" s="24"/>
      <c r="H120" s="235"/>
    </row>
    <row r="121">
      <c r="A121" s="114"/>
      <c r="B121" s="1"/>
      <c r="C121" s="1"/>
      <c r="D121" s="1"/>
      <c r="E121" s="1"/>
      <c r="F121" s="24"/>
      <c r="G121" s="24"/>
      <c r="H121" s="235"/>
    </row>
    <row r="122">
      <c r="A122" s="114"/>
      <c r="B122" s="1"/>
      <c r="C122" s="1"/>
      <c r="D122" s="1"/>
      <c r="E122" s="1"/>
      <c r="F122" s="24"/>
      <c r="G122" s="24"/>
      <c r="H122" s="235"/>
    </row>
    <row r="123">
      <c r="A123" s="114"/>
      <c r="B123" s="1"/>
      <c r="C123" s="1"/>
      <c r="D123" s="1"/>
      <c r="E123" s="1"/>
      <c r="F123" s="24"/>
      <c r="G123" s="24"/>
      <c r="H123" s="235"/>
    </row>
    <row r="124">
      <c r="A124" s="114"/>
      <c r="B124" s="1"/>
      <c r="C124" s="1"/>
      <c r="D124" s="1"/>
      <c r="E124" s="1"/>
      <c r="F124" s="24"/>
      <c r="G124" s="24"/>
      <c r="H124" s="235"/>
    </row>
    <row r="125">
      <c r="A125" s="114"/>
      <c r="B125" s="1"/>
      <c r="C125" s="1"/>
      <c r="D125" s="1"/>
      <c r="E125" s="1"/>
      <c r="F125" s="24"/>
      <c r="G125" s="24"/>
      <c r="H125" s="235"/>
    </row>
    <row r="126">
      <c r="A126" s="114"/>
      <c r="B126" s="1"/>
      <c r="C126" s="1"/>
      <c r="D126" s="1"/>
      <c r="E126" s="1"/>
      <c r="F126" s="24"/>
      <c r="G126" s="24"/>
      <c r="H126" s="235"/>
    </row>
    <row r="127">
      <c r="A127" s="114"/>
      <c r="B127" s="1"/>
      <c r="C127" s="1"/>
      <c r="D127" s="1"/>
      <c r="E127" s="1"/>
      <c r="F127" s="24"/>
      <c r="G127" s="24"/>
      <c r="H127" s="235"/>
    </row>
    <row r="128">
      <c r="A128" s="114"/>
      <c r="B128" s="1"/>
      <c r="C128" s="1"/>
      <c r="D128" s="1"/>
      <c r="E128" s="1"/>
      <c r="F128" s="24"/>
      <c r="G128" s="24"/>
      <c r="H128" s="235"/>
    </row>
    <row r="129">
      <c r="A129" s="114"/>
      <c r="B129" s="1"/>
      <c r="C129" s="1"/>
      <c r="D129" s="1"/>
      <c r="E129" s="1"/>
      <c r="F129" s="24"/>
      <c r="G129" s="24"/>
      <c r="H129" s="235"/>
    </row>
    <row r="130">
      <c r="A130" s="114"/>
      <c r="B130" s="1"/>
      <c r="C130" s="1"/>
      <c r="D130" s="1"/>
      <c r="E130" s="1"/>
      <c r="F130" s="24"/>
      <c r="G130" s="24"/>
      <c r="H130" s="235"/>
    </row>
    <row r="131">
      <c r="A131" s="114"/>
      <c r="B131" s="1"/>
      <c r="C131" s="1"/>
      <c r="D131" s="1"/>
      <c r="E131" s="1"/>
      <c r="F131" s="24"/>
      <c r="G131" s="24"/>
      <c r="H131" s="235"/>
    </row>
    <row r="132">
      <c r="A132" s="114"/>
      <c r="B132" s="1"/>
      <c r="C132" s="1"/>
      <c r="D132" s="1"/>
      <c r="E132" s="1"/>
      <c r="F132" s="24"/>
      <c r="G132" s="24"/>
      <c r="H132" s="235"/>
    </row>
    <row r="133">
      <c r="A133" s="114"/>
      <c r="B133" s="1"/>
      <c r="C133" s="1"/>
      <c r="D133" s="1"/>
      <c r="E133" s="1"/>
      <c r="F133" s="24"/>
      <c r="G133" s="24"/>
      <c r="H133" s="235"/>
    </row>
    <row r="134">
      <c r="A134" s="114"/>
      <c r="B134" s="1"/>
      <c r="C134" s="1"/>
      <c r="D134" s="1"/>
      <c r="E134" s="1"/>
      <c r="F134" s="24"/>
      <c r="G134" s="24"/>
      <c r="H134" s="235"/>
    </row>
    <row r="135">
      <c r="A135" s="114"/>
      <c r="B135" s="1"/>
      <c r="C135" s="1"/>
      <c r="D135" s="1"/>
      <c r="E135" s="1"/>
      <c r="F135" s="24"/>
      <c r="G135" s="24"/>
      <c r="H135" s="235"/>
    </row>
    <row r="136">
      <c r="A136" s="114"/>
      <c r="B136" s="1"/>
      <c r="C136" s="1"/>
      <c r="D136" s="1"/>
      <c r="E136" s="1"/>
      <c r="F136" s="24"/>
      <c r="G136" s="24"/>
      <c r="H136" s="235"/>
    </row>
    <row r="137">
      <c r="A137" s="114"/>
      <c r="B137" s="1"/>
      <c r="C137" s="1"/>
      <c r="D137" s="1"/>
      <c r="E137" s="1"/>
      <c r="F137" s="24"/>
      <c r="G137" s="24"/>
      <c r="H137" s="235"/>
    </row>
    <row r="138">
      <c r="A138" s="114"/>
      <c r="B138" s="1"/>
      <c r="C138" s="1"/>
      <c r="D138" s="1"/>
      <c r="E138" s="1"/>
      <c r="F138" s="24"/>
      <c r="G138" s="24"/>
      <c r="H138" s="235"/>
    </row>
    <row r="139">
      <c r="A139" s="114"/>
      <c r="B139" s="1"/>
      <c r="C139" s="1"/>
      <c r="D139" s="1"/>
      <c r="E139" s="1"/>
      <c r="F139" s="24"/>
      <c r="G139" s="24"/>
      <c r="H139" s="235"/>
    </row>
    <row r="140">
      <c r="A140" s="114"/>
      <c r="B140" s="1"/>
      <c r="C140" s="1"/>
      <c r="D140" s="1"/>
      <c r="E140" s="1"/>
      <c r="F140" s="24"/>
      <c r="G140" s="24"/>
      <c r="H140" s="235"/>
    </row>
    <row r="141">
      <c r="A141" s="114"/>
      <c r="B141" s="1"/>
      <c r="C141" s="1"/>
      <c r="D141" s="1"/>
      <c r="E141" s="1"/>
      <c r="F141" s="24"/>
      <c r="G141" s="24"/>
      <c r="H141" s="235"/>
    </row>
    <row r="142">
      <c r="A142" s="114"/>
      <c r="B142" s="1"/>
      <c r="C142" s="1"/>
      <c r="D142" s="1"/>
      <c r="E142" s="1"/>
      <c r="F142" s="24"/>
      <c r="G142" s="24"/>
      <c r="H142" s="235"/>
    </row>
    <row r="143">
      <c r="A143" s="114"/>
      <c r="B143" s="1"/>
      <c r="C143" s="1"/>
      <c r="D143" s="1"/>
      <c r="E143" s="1"/>
      <c r="F143" s="24"/>
      <c r="G143" s="24"/>
      <c r="H143" s="235"/>
    </row>
    <row r="144">
      <c r="A144" s="114"/>
      <c r="B144" s="1"/>
      <c r="C144" s="1"/>
      <c r="D144" s="1"/>
      <c r="E144" s="1"/>
      <c r="F144" s="24"/>
      <c r="G144" s="24"/>
      <c r="H144" s="235"/>
    </row>
    <row r="145">
      <c r="A145" s="114"/>
      <c r="B145" s="1"/>
      <c r="C145" s="1"/>
      <c r="D145" s="1"/>
      <c r="E145" s="1"/>
      <c r="F145" s="24"/>
      <c r="G145" s="24"/>
      <c r="H145" s="235"/>
    </row>
    <row r="146">
      <c r="A146" s="114"/>
      <c r="B146" s="1"/>
      <c r="C146" s="1"/>
      <c r="D146" s="1"/>
      <c r="E146" s="1"/>
      <c r="F146" s="24"/>
      <c r="G146" s="24"/>
      <c r="H146" s="235"/>
    </row>
    <row r="147">
      <c r="A147" s="114"/>
      <c r="B147" s="1"/>
      <c r="C147" s="1"/>
      <c r="D147" s="1"/>
      <c r="E147" s="1"/>
      <c r="F147" s="24"/>
      <c r="G147" s="24"/>
      <c r="H147" s="235"/>
    </row>
    <row r="148">
      <c r="A148" s="114"/>
      <c r="B148" s="1"/>
      <c r="C148" s="1"/>
      <c r="D148" s="1"/>
      <c r="E148" s="1"/>
      <c r="F148" s="24"/>
      <c r="G148" s="24"/>
      <c r="H148" s="235"/>
    </row>
    <row r="149">
      <c r="A149" s="114"/>
      <c r="B149" s="1"/>
      <c r="C149" s="1"/>
      <c r="D149" s="1"/>
      <c r="E149" s="1"/>
      <c r="F149" s="24"/>
      <c r="G149" s="24"/>
      <c r="H149" s="235"/>
    </row>
    <row r="150">
      <c r="A150" s="114"/>
      <c r="B150" s="1"/>
      <c r="C150" s="1"/>
      <c r="D150" s="1"/>
      <c r="E150" s="1"/>
      <c r="F150" s="24"/>
      <c r="G150" s="24"/>
      <c r="H150" s="235"/>
    </row>
    <row r="151">
      <c r="A151" s="114"/>
      <c r="B151" s="1"/>
      <c r="C151" s="1"/>
      <c r="D151" s="1"/>
      <c r="E151" s="1"/>
      <c r="F151" s="24"/>
      <c r="G151" s="24"/>
      <c r="H151" s="235"/>
    </row>
    <row r="152">
      <c r="A152" s="114"/>
      <c r="B152" s="1"/>
      <c r="C152" s="1"/>
      <c r="D152" s="1"/>
      <c r="E152" s="1"/>
      <c r="F152" s="24"/>
      <c r="G152" s="24"/>
      <c r="H152" s="235"/>
    </row>
    <row r="153">
      <c r="A153" s="114"/>
      <c r="B153" s="1"/>
      <c r="C153" s="1"/>
      <c r="D153" s="1"/>
      <c r="E153" s="1"/>
      <c r="F153" s="24"/>
      <c r="G153" s="24"/>
      <c r="H153" s="235"/>
    </row>
    <row r="154">
      <c r="A154" s="114"/>
      <c r="B154" s="1"/>
      <c r="C154" s="1"/>
      <c r="D154" s="1"/>
      <c r="E154" s="1"/>
      <c r="F154" s="24"/>
      <c r="G154" s="24"/>
      <c r="H154" s="235"/>
    </row>
    <row r="155">
      <c r="A155" s="114"/>
      <c r="B155" s="1"/>
      <c r="C155" s="1"/>
      <c r="D155" s="1"/>
      <c r="E155" s="1"/>
      <c r="F155" s="24"/>
      <c r="G155" s="24"/>
      <c r="H155" s="235"/>
    </row>
    <row r="156">
      <c r="A156" s="114"/>
      <c r="B156" s="1"/>
      <c r="C156" s="1"/>
      <c r="D156" s="1"/>
      <c r="E156" s="1"/>
      <c r="F156" s="24"/>
      <c r="G156" s="24"/>
      <c r="H156" s="235"/>
    </row>
    <row r="157">
      <c r="A157" s="114"/>
      <c r="B157" s="1"/>
      <c r="C157" s="1"/>
      <c r="D157" s="1"/>
      <c r="E157" s="1"/>
      <c r="F157" s="24"/>
      <c r="G157" s="24"/>
      <c r="H157" s="235"/>
    </row>
    <row r="158">
      <c r="A158" s="114"/>
      <c r="B158" s="1"/>
      <c r="C158" s="1"/>
      <c r="D158" s="1"/>
      <c r="E158" s="1"/>
      <c r="F158" s="24"/>
      <c r="G158" s="24"/>
      <c r="H158" s="235"/>
    </row>
    <row r="159">
      <c r="A159" s="114"/>
      <c r="B159" s="1"/>
      <c r="C159" s="1"/>
      <c r="D159" s="1"/>
      <c r="E159" s="1"/>
      <c r="F159" s="24"/>
      <c r="G159" s="24"/>
      <c r="H159" s="235"/>
    </row>
    <row r="160">
      <c r="A160" s="114"/>
      <c r="B160" s="1"/>
      <c r="C160" s="1"/>
      <c r="D160" s="1"/>
      <c r="E160" s="1"/>
      <c r="F160" s="24"/>
      <c r="G160" s="24"/>
      <c r="H160" s="235"/>
    </row>
    <row r="161">
      <c r="A161" s="114"/>
      <c r="B161" s="1"/>
      <c r="C161" s="1"/>
      <c r="D161" s="1"/>
      <c r="E161" s="1"/>
      <c r="F161" s="24"/>
      <c r="G161" s="24"/>
      <c r="H161" s="235"/>
    </row>
    <row r="162">
      <c r="A162" s="114"/>
      <c r="B162" s="1"/>
      <c r="C162" s="1"/>
      <c r="D162" s="1"/>
      <c r="E162" s="1"/>
      <c r="F162" s="24"/>
      <c r="G162" s="24"/>
      <c r="H162" s="235"/>
    </row>
    <row r="163">
      <c r="A163" s="114"/>
      <c r="B163" s="1"/>
      <c r="C163" s="1"/>
      <c r="D163" s="1"/>
      <c r="E163" s="1"/>
      <c r="F163" s="24"/>
      <c r="G163" s="24"/>
      <c r="H163" s="235"/>
    </row>
    <row r="164">
      <c r="A164" s="114"/>
      <c r="B164" s="1"/>
      <c r="C164" s="1"/>
      <c r="D164" s="1"/>
      <c r="E164" s="1"/>
      <c r="F164" s="24"/>
      <c r="G164" s="24"/>
      <c r="H164" s="235"/>
    </row>
    <row r="165">
      <c r="A165" s="114"/>
      <c r="B165" s="1"/>
      <c r="C165" s="1"/>
      <c r="D165" s="1"/>
      <c r="E165" s="1"/>
      <c r="F165" s="24"/>
      <c r="G165" s="24"/>
      <c r="H165" s="235"/>
    </row>
    <row r="166">
      <c r="A166" s="114"/>
      <c r="B166" s="1"/>
      <c r="C166" s="1"/>
      <c r="D166" s="1"/>
      <c r="E166" s="1"/>
      <c r="F166" s="24"/>
      <c r="G166" s="24"/>
      <c r="H166" s="235"/>
    </row>
    <row r="167">
      <c r="A167" s="114"/>
      <c r="B167" s="1"/>
      <c r="C167" s="1"/>
      <c r="D167" s="1"/>
      <c r="E167" s="1"/>
      <c r="F167" s="24"/>
      <c r="G167" s="24"/>
      <c r="H167" s="235"/>
    </row>
    <row r="168">
      <c r="A168" s="114"/>
      <c r="B168" s="1"/>
      <c r="C168" s="1"/>
      <c r="D168" s="1"/>
      <c r="E168" s="1"/>
      <c r="F168" s="24"/>
      <c r="G168" s="24"/>
      <c r="H168" s="235"/>
    </row>
    <row r="169">
      <c r="A169" s="114"/>
      <c r="B169" s="1"/>
      <c r="C169" s="1"/>
      <c r="D169" s="1"/>
      <c r="E169" s="1"/>
      <c r="F169" s="24"/>
      <c r="G169" s="24"/>
      <c r="H169" s="235"/>
    </row>
    <row r="170">
      <c r="A170" s="114"/>
      <c r="B170" s="1"/>
      <c r="C170" s="1"/>
      <c r="D170" s="1"/>
      <c r="E170" s="1"/>
      <c r="F170" s="24"/>
      <c r="G170" s="24"/>
      <c r="H170" s="235"/>
    </row>
    <row r="171">
      <c r="A171" s="114"/>
      <c r="B171" s="1"/>
      <c r="C171" s="1"/>
      <c r="D171" s="1"/>
      <c r="E171" s="1"/>
      <c r="F171" s="24"/>
      <c r="G171" s="24"/>
      <c r="H171" s="235"/>
    </row>
    <row r="172">
      <c r="A172" s="114"/>
      <c r="B172" s="1"/>
      <c r="C172" s="1"/>
      <c r="D172" s="1"/>
      <c r="E172" s="1"/>
      <c r="F172" s="24"/>
      <c r="G172" s="24"/>
      <c r="H172" s="235"/>
    </row>
    <row r="173">
      <c r="A173" s="114"/>
      <c r="B173" s="1"/>
      <c r="C173" s="1"/>
      <c r="D173" s="1"/>
      <c r="E173" s="1"/>
      <c r="F173" s="24"/>
      <c r="G173" s="24"/>
      <c r="H173" s="235"/>
    </row>
    <row r="174">
      <c r="A174" s="114"/>
      <c r="B174" s="1"/>
      <c r="C174" s="1"/>
      <c r="D174" s="1"/>
      <c r="E174" s="1"/>
      <c r="F174" s="24"/>
      <c r="G174" s="24"/>
      <c r="H174" s="235"/>
    </row>
    <row r="175">
      <c r="A175" s="114"/>
      <c r="B175" s="1"/>
      <c r="C175" s="1"/>
      <c r="D175" s="1"/>
      <c r="E175" s="1"/>
      <c r="F175" s="24"/>
      <c r="G175" s="24"/>
      <c r="H175" s="235"/>
    </row>
    <row r="176">
      <c r="A176" s="114"/>
      <c r="B176" s="1"/>
      <c r="C176" s="1"/>
      <c r="D176" s="1"/>
      <c r="E176" s="1"/>
      <c r="F176" s="24"/>
      <c r="G176" s="24"/>
      <c r="H176" s="235"/>
    </row>
    <row r="177">
      <c r="A177" s="114"/>
      <c r="B177" s="1"/>
      <c r="C177" s="1"/>
      <c r="D177" s="1"/>
      <c r="E177" s="1"/>
      <c r="F177" s="24"/>
      <c r="G177" s="24"/>
      <c r="H177" s="235"/>
    </row>
    <row r="178">
      <c r="A178" s="114"/>
      <c r="B178" s="1"/>
      <c r="C178" s="1"/>
      <c r="D178" s="1"/>
      <c r="E178" s="1"/>
      <c r="F178" s="24"/>
      <c r="G178" s="24"/>
      <c r="H178" s="235"/>
    </row>
    <row r="179">
      <c r="A179" s="114"/>
      <c r="B179" s="1"/>
      <c r="C179" s="1"/>
      <c r="D179" s="1"/>
      <c r="E179" s="1"/>
      <c r="F179" s="24"/>
      <c r="G179" s="24"/>
      <c r="H179" s="235"/>
    </row>
    <row r="180">
      <c r="A180" s="114"/>
      <c r="B180" s="1"/>
      <c r="C180" s="1"/>
      <c r="D180" s="1"/>
      <c r="E180" s="1"/>
      <c r="F180" s="24"/>
      <c r="G180" s="24"/>
      <c r="H180" s="235"/>
    </row>
    <row r="181">
      <c r="A181" s="114"/>
      <c r="B181" s="1"/>
      <c r="C181" s="1"/>
      <c r="D181" s="1"/>
      <c r="E181" s="1"/>
      <c r="F181" s="24"/>
      <c r="G181" s="24"/>
      <c r="H181" s="235"/>
    </row>
    <row r="182">
      <c r="A182" s="114"/>
      <c r="B182" s="1"/>
      <c r="C182" s="1"/>
      <c r="D182" s="1"/>
      <c r="E182" s="1"/>
      <c r="F182" s="24"/>
      <c r="G182" s="24"/>
      <c r="H182" s="235"/>
    </row>
    <row r="183">
      <c r="A183" s="114"/>
      <c r="B183" s="1"/>
      <c r="C183" s="1"/>
      <c r="D183" s="1"/>
      <c r="E183" s="1"/>
      <c r="F183" s="24"/>
      <c r="G183" s="24"/>
      <c r="H183" s="235"/>
    </row>
    <row r="184">
      <c r="A184" s="114"/>
      <c r="B184" s="1"/>
      <c r="C184" s="1"/>
      <c r="D184" s="1"/>
      <c r="E184" s="1"/>
      <c r="F184" s="24"/>
      <c r="G184" s="24"/>
      <c r="H184" s="235"/>
    </row>
    <row r="185">
      <c r="A185" s="114"/>
      <c r="B185" s="1"/>
      <c r="C185" s="1"/>
      <c r="D185" s="1"/>
      <c r="E185" s="1"/>
      <c r="F185" s="24"/>
      <c r="G185" s="24"/>
      <c r="H185" s="235"/>
    </row>
    <row r="186">
      <c r="A186" s="114"/>
      <c r="B186" s="1"/>
      <c r="C186" s="1"/>
      <c r="D186" s="1"/>
      <c r="E186" s="1"/>
      <c r="F186" s="24"/>
      <c r="G186" s="24"/>
      <c r="H186" s="235"/>
    </row>
    <row r="187">
      <c r="A187" s="114"/>
      <c r="B187" s="1"/>
      <c r="C187" s="1"/>
      <c r="D187" s="1"/>
      <c r="E187" s="1"/>
      <c r="F187" s="24"/>
      <c r="G187" s="24"/>
      <c r="H187" s="235"/>
    </row>
    <row r="188">
      <c r="A188" s="114"/>
      <c r="B188" s="1"/>
      <c r="C188" s="1"/>
      <c r="D188" s="1"/>
      <c r="E188" s="1"/>
      <c r="F188" s="24"/>
      <c r="G188" s="24"/>
      <c r="H188" s="235"/>
    </row>
    <row r="189">
      <c r="A189" s="114"/>
      <c r="B189" s="1"/>
      <c r="C189" s="1"/>
      <c r="D189" s="1"/>
      <c r="E189" s="1"/>
      <c r="F189" s="24"/>
      <c r="G189" s="24"/>
      <c r="H189" s="235"/>
    </row>
    <row r="190">
      <c r="A190" s="114"/>
      <c r="B190" s="1"/>
      <c r="C190" s="1"/>
      <c r="D190" s="1"/>
      <c r="E190" s="1"/>
      <c r="F190" s="24"/>
      <c r="G190" s="24"/>
      <c r="H190" s="235"/>
    </row>
    <row r="191">
      <c r="A191" s="114"/>
      <c r="B191" s="1"/>
      <c r="C191" s="1"/>
      <c r="D191" s="1"/>
      <c r="E191" s="1"/>
      <c r="F191" s="24"/>
      <c r="G191" s="24"/>
      <c r="H191" s="235"/>
    </row>
    <row r="192">
      <c r="A192" s="114"/>
      <c r="B192" s="1"/>
      <c r="C192" s="1"/>
      <c r="D192" s="1"/>
      <c r="E192" s="1"/>
      <c r="F192" s="24"/>
      <c r="G192" s="24"/>
      <c r="H192" s="235"/>
    </row>
    <row r="193">
      <c r="A193" s="114"/>
      <c r="B193" s="1"/>
      <c r="C193" s="1"/>
      <c r="D193" s="1"/>
      <c r="E193" s="1"/>
      <c r="F193" s="24"/>
      <c r="G193" s="24"/>
      <c r="H193" s="235"/>
    </row>
    <row r="194">
      <c r="A194" s="114"/>
      <c r="B194" s="1"/>
      <c r="C194" s="1"/>
      <c r="D194" s="1"/>
      <c r="E194" s="1"/>
      <c r="F194" s="24"/>
      <c r="G194" s="24"/>
      <c r="H194" s="235"/>
    </row>
    <row r="195">
      <c r="A195" s="114"/>
      <c r="B195" s="1"/>
      <c r="C195" s="1"/>
      <c r="D195" s="1"/>
      <c r="E195" s="1"/>
      <c r="F195" s="24"/>
      <c r="G195" s="24"/>
      <c r="H195" s="235"/>
    </row>
    <row r="196">
      <c r="A196" s="114"/>
      <c r="B196" s="1"/>
      <c r="C196" s="1"/>
      <c r="D196" s="1"/>
      <c r="E196" s="1"/>
      <c r="F196" s="24"/>
      <c r="G196" s="24"/>
      <c r="H196" s="235"/>
    </row>
    <row r="197">
      <c r="A197" s="114"/>
      <c r="B197" s="1"/>
      <c r="C197" s="1"/>
      <c r="D197" s="1"/>
      <c r="E197" s="1"/>
      <c r="F197" s="24"/>
      <c r="G197" s="24"/>
      <c r="H197" s="235"/>
    </row>
    <row r="198">
      <c r="A198" s="114"/>
      <c r="B198" s="1"/>
      <c r="C198" s="1"/>
      <c r="D198" s="1"/>
      <c r="E198" s="1"/>
      <c r="F198" s="24"/>
      <c r="G198" s="24"/>
      <c r="H198" s="235"/>
    </row>
    <row r="199">
      <c r="A199" s="114"/>
      <c r="B199" s="1"/>
      <c r="C199" s="1"/>
      <c r="D199" s="1"/>
      <c r="E199" s="1"/>
      <c r="F199" s="24"/>
      <c r="G199" s="24"/>
      <c r="H199" s="235"/>
    </row>
    <row r="200">
      <c r="A200" s="114"/>
      <c r="B200" s="1"/>
      <c r="C200" s="1"/>
      <c r="D200" s="1"/>
      <c r="E200" s="1"/>
      <c r="F200" s="24"/>
      <c r="G200" s="24"/>
      <c r="H200" s="235"/>
    </row>
    <row r="201">
      <c r="A201" s="114"/>
      <c r="B201" s="1"/>
      <c r="C201" s="1"/>
      <c r="D201" s="1"/>
      <c r="E201" s="1"/>
      <c r="F201" s="24"/>
      <c r="G201" s="24"/>
      <c r="H201" s="235"/>
    </row>
    <row r="202">
      <c r="A202" s="114"/>
      <c r="B202" s="1"/>
      <c r="C202" s="1"/>
      <c r="D202" s="1"/>
      <c r="E202" s="1"/>
      <c r="F202" s="24"/>
      <c r="G202" s="24"/>
      <c r="H202" s="235"/>
    </row>
    <row r="203">
      <c r="A203" s="114"/>
      <c r="B203" s="1"/>
      <c r="C203" s="1"/>
      <c r="D203" s="1"/>
      <c r="E203" s="1"/>
      <c r="F203" s="24"/>
      <c r="G203" s="24"/>
      <c r="H203" s="235"/>
    </row>
    <row r="204">
      <c r="A204" s="114"/>
      <c r="B204" s="1"/>
      <c r="C204" s="1"/>
      <c r="D204" s="1"/>
      <c r="E204" s="1"/>
      <c r="F204" s="24"/>
      <c r="G204" s="24"/>
      <c r="H204" s="235"/>
    </row>
    <row r="205">
      <c r="A205" s="114"/>
      <c r="B205" s="1"/>
      <c r="C205" s="1"/>
      <c r="D205" s="1"/>
      <c r="E205" s="1"/>
      <c r="F205" s="24"/>
      <c r="G205" s="24"/>
      <c r="H205" s="235"/>
    </row>
    <row r="206">
      <c r="A206" s="114"/>
      <c r="B206" s="1"/>
      <c r="C206" s="1"/>
      <c r="D206" s="1"/>
      <c r="E206" s="1"/>
      <c r="F206" s="24"/>
      <c r="G206" s="24"/>
      <c r="H206" s="235"/>
    </row>
    <row r="207">
      <c r="A207" s="114"/>
      <c r="B207" s="1"/>
      <c r="C207" s="1"/>
      <c r="D207" s="1"/>
      <c r="E207" s="1"/>
      <c r="F207" s="24"/>
      <c r="G207" s="24"/>
      <c r="H207" s="235"/>
    </row>
    <row r="208">
      <c r="A208" s="114"/>
      <c r="B208" s="1"/>
      <c r="C208" s="1"/>
      <c r="D208" s="1"/>
      <c r="E208" s="1"/>
      <c r="F208" s="24"/>
      <c r="G208" s="24"/>
      <c r="H208" s="235"/>
    </row>
    <row r="209">
      <c r="A209" s="114"/>
      <c r="B209" s="1"/>
      <c r="C209" s="1"/>
      <c r="D209" s="1"/>
      <c r="E209" s="1"/>
      <c r="F209" s="24"/>
      <c r="G209" s="24"/>
      <c r="H209" s="235"/>
    </row>
    <row r="210">
      <c r="A210" s="114"/>
      <c r="B210" s="1"/>
      <c r="C210" s="1"/>
      <c r="D210" s="1"/>
      <c r="E210" s="1"/>
      <c r="F210" s="24"/>
      <c r="G210" s="24"/>
      <c r="H210" s="235"/>
    </row>
    <row r="211">
      <c r="A211" s="114"/>
      <c r="B211" s="1"/>
      <c r="C211" s="1"/>
      <c r="D211" s="1"/>
      <c r="E211" s="1"/>
      <c r="F211" s="24"/>
      <c r="G211" s="24"/>
      <c r="H211" s="235"/>
    </row>
    <row r="212">
      <c r="A212" s="114"/>
      <c r="B212" s="1"/>
      <c r="C212" s="1"/>
      <c r="D212" s="1"/>
      <c r="E212" s="1"/>
      <c r="F212" s="24"/>
      <c r="G212" s="24"/>
      <c r="H212" s="235"/>
    </row>
    <row r="213">
      <c r="A213" s="114"/>
      <c r="B213" s="1"/>
      <c r="C213" s="1"/>
      <c r="D213" s="1"/>
      <c r="E213" s="1"/>
      <c r="F213" s="24"/>
      <c r="G213" s="24"/>
      <c r="H213" s="235"/>
    </row>
    <row r="214">
      <c r="A214" s="114"/>
      <c r="B214" s="1"/>
      <c r="C214" s="1"/>
      <c r="D214" s="1"/>
      <c r="E214" s="1"/>
      <c r="F214" s="24"/>
      <c r="G214" s="24"/>
      <c r="H214" s="235"/>
    </row>
    <row r="215">
      <c r="A215" s="114"/>
      <c r="B215" s="1"/>
      <c r="C215" s="1"/>
      <c r="D215" s="1"/>
      <c r="E215" s="1"/>
      <c r="F215" s="24"/>
      <c r="G215" s="24"/>
      <c r="H215" s="235"/>
    </row>
    <row r="216">
      <c r="A216" s="114"/>
      <c r="B216" s="1"/>
      <c r="C216" s="1"/>
      <c r="D216" s="1"/>
      <c r="E216" s="1"/>
      <c r="F216" s="24"/>
      <c r="G216" s="24"/>
      <c r="H216" s="235"/>
    </row>
    <row r="217">
      <c r="A217" s="114"/>
      <c r="B217" s="1"/>
      <c r="C217" s="1"/>
      <c r="D217" s="1"/>
      <c r="E217" s="1"/>
      <c r="F217" s="24"/>
      <c r="G217" s="24"/>
      <c r="H217" s="235"/>
    </row>
    <row r="218">
      <c r="A218" s="114"/>
      <c r="B218" s="1"/>
      <c r="C218" s="1"/>
      <c r="D218" s="1"/>
      <c r="E218" s="1"/>
      <c r="F218" s="24"/>
      <c r="G218" s="24"/>
      <c r="H218" s="235"/>
    </row>
    <row r="219">
      <c r="A219" s="114"/>
      <c r="B219" s="1"/>
      <c r="C219" s="1"/>
      <c r="D219" s="1"/>
      <c r="E219" s="1"/>
      <c r="F219" s="24"/>
      <c r="G219" s="24"/>
      <c r="H219" s="235"/>
    </row>
    <row r="220">
      <c r="A220" s="114"/>
      <c r="B220" s="1"/>
      <c r="C220" s="1"/>
      <c r="D220" s="1"/>
      <c r="E220" s="1"/>
      <c r="F220" s="24"/>
      <c r="G220" s="24"/>
      <c r="H220" s="235"/>
    </row>
    <row r="221">
      <c r="A221" s="114"/>
      <c r="B221" s="1"/>
      <c r="C221" s="1"/>
      <c r="D221" s="1"/>
      <c r="E221" s="1"/>
      <c r="F221" s="24"/>
      <c r="G221" s="24"/>
      <c r="H221" s="235"/>
    </row>
    <row r="222">
      <c r="A222" s="114"/>
      <c r="B222" s="1"/>
      <c r="C222" s="1"/>
      <c r="D222" s="1"/>
      <c r="E222" s="1"/>
      <c r="F222" s="24"/>
      <c r="G222" s="24"/>
      <c r="H222" s="235"/>
    </row>
    <row r="223">
      <c r="A223" s="114"/>
      <c r="B223" s="1"/>
      <c r="C223" s="1"/>
      <c r="D223" s="1"/>
      <c r="E223" s="1"/>
      <c r="F223" s="24"/>
      <c r="G223" s="24"/>
      <c r="H223" s="235"/>
    </row>
    <row r="224">
      <c r="A224" s="114"/>
      <c r="B224" s="1"/>
      <c r="C224" s="1"/>
      <c r="D224" s="1"/>
      <c r="E224" s="1"/>
      <c r="F224" s="24"/>
      <c r="G224" s="24"/>
      <c r="H224" s="235"/>
    </row>
    <row r="225">
      <c r="A225" s="114"/>
      <c r="B225" s="1"/>
      <c r="C225" s="1"/>
      <c r="D225" s="1"/>
      <c r="E225" s="1"/>
      <c r="F225" s="24"/>
      <c r="G225" s="24"/>
      <c r="H225" s="235"/>
    </row>
    <row r="226">
      <c r="A226" s="114"/>
      <c r="B226" s="1"/>
      <c r="C226" s="1"/>
      <c r="D226" s="1"/>
      <c r="E226" s="1"/>
      <c r="F226" s="24"/>
      <c r="G226" s="24"/>
      <c r="H226" s="235"/>
    </row>
    <row r="227">
      <c r="A227" s="114"/>
      <c r="B227" s="1"/>
      <c r="C227" s="1"/>
      <c r="D227" s="1"/>
      <c r="E227" s="1"/>
      <c r="F227" s="24"/>
      <c r="G227" s="24"/>
      <c r="H227" s="235"/>
    </row>
    <row r="228">
      <c r="A228" s="114"/>
      <c r="B228" s="1"/>
      <c r="C228" s="1"/>
      <c r="D228" s="1"/>
      <c r="E228" s="1"/>
      <c r="F228" s="24"/>
      <c r="G228" s="24"/>
      <c r="H228" s="235"/>
    </row>
    <row r="229">
      <c r="A229" s="114"/>
      <c r="B229" s="1"/>
      <c r="C229" s="1"/>
      <c r="D229" s="1"/>
      <c r="E229" s="1"/>
      <c r="F229" s="24"/>
      <c r="G229" s="24"/>
      <c r="H229" s="235"/>
    </row>
    <row r="230">
      <c r="A230" s="114"/>
      <c r="B230" s="1"/>
      <c r="C230" s="1"/>
      <c r="D230" s="1"/>
      <c r="E230" s="1"/>
      <c r="F230" s="24"/>
      <c r="G230" s="24"/>
      <c r="H230" s="235"/>
    </row>
    <row r="231">
      <c r="A231" s="114"/>
      <c r="B231" s="1"/>
      <c r="C231" s="1"/>
      <c r="D231" s="1"/>
      <c r="E231" s="1"/>
      <c r="F231" s="24"/>
      <c r="G231" s="24"/>
      <c r="H231" s="235"/>
    </row>
    <row r="232">
      <c r="A232" s="114"/>
      <c r="B232" s="1"/>
      <c r="C232" s="1"/>
      <c r="D232" s="1"/>
      <c r="E232" s="1"/>
      <c r="F232" s="24"/>
      <c r="G232" s="24"/>
      <c r="H232" s="235"/>
    </row>
    <row r="233">
      <c r="A233" s="114"/>
      <c r="B233" s="1"/>
      <c r="C233" s="1"/>
      <c r="D233" s="1"/>
      <c r="E233" s="1"/>
      <c r="F233" s="24"/>
      <c r="G233" s="24"/>
      <c r="H233" s="235"/>
    </row>
    <row r="234">
      <c r="A234" s="114"/>
      <c r="B234" s="1"/>
      <c r="C234" s="1"/>
      <c r="D234" s="1"/>
      <c r="E234" s="1"/>
      <c r="F234" s="24"/>
      <c r="G234" s="24"/>
      <c r="H234" s="235"/>
    </row>
    <row r="235">
      <c r="A235" s="114"/>
      <c r="B235" s="1"/>
      <c r="C235" s="1"/>
      <c r="D235" s="1"/>
      <c r="E235" s="1"/>
      <c r="F235" s="24"/>
      <c r="G235" s="24"/>
      <c r="H235" s="235"/>
    </row>
    <row r="236">
      <c r="A236" s="114"/>
      <c r="B236" s="1"/>
      <c r="C236" s="1"/>
      <c r="D236" s="1"/>
      <c r="E236" s="1"/>
      <c r="F236" s="24"/>
      <c r="G236" s="24"/>
      <c r="H236" s="235"/>
    </row>
    <row r="237">
      <c r="A237" s="114"/>
      <c r="B237" s="1"/>
      <c r="C237" s="1"/>
      <c r="D237" s="1"/>
      <c r="E237" s="1"/>
      <c r="F237" s="24"/>
      <c r="G237" s="24"/>
      <c r="H237" s="235"/>
    </row>
    <row r="238">
      <c r="A238" s="114"/>
      <c r="B238" s="1"/>
      <c r="C238" s="1"/>
      <c r="D238" s="1"/>
      <c r="E238" s="1"/>
      <c r="F238" s="24"/>
      <c r="G238" s="24"/>
      <c r="H238" s="235"/>
    </row>
    <row r="239">
      <c r="A239" s="114"/>
      <c r="B239" s="1"/>
      <c r="C239" s="1"/>
      <c r="D239" s="1"/>
      <c r="E239" s="1"/>
      <c r="F239" s="24"/>
      <c r="G239" s="24"/>
      <c r="H239" s="235"/>
    </row>
    <row r="240">
      <c r="A240" s="114"/>
      <c r="B240" s="1"/>
      <c r="C240" s="1"/>
      <c r="D240" s="1"/>
      <c r="E240" s="1"/>
      <c r="F240" s="24"/>
      <c r="G240" s="24"/>
      <c r="H240" s="235"/>
    </row>
    <row r="241">
      <c r="A241" s="114"/>
      <c r="B241" s="1"/>
      <c r="C241" s="1"/>
      <c r="D241" s="1"/>
      <c r="E241" s="1"/>
      <c r="F241" s="24"/>
      <c r="G241" s="24"/>
      <c r="H241" s="235"/>
    </row>
    <row r="242">
      <c r="A242" s="114"/>
      <c r="B242" s="1"/>
      <c r="C242" s="1"/>
      <c r="D242" s="1"/>
      <c r="E242" s="1"/>
      <c r="F242" s="24"/>
      <c r="G242" s="24"/>
      <c r="H242" s="235"/>
    </row>
    <row r="243">
      <c r="A243" s="114"/>
      <c r="B243" s="1"/>
      <c r="C243" s="1"/>
      <c r="D243" s="1"/>
      <c r="E243" s="1"/>
      <c r="F243" s="24"/>
      <c r="G243" s="24"/>
      <c r="H243" s="235"/>
    </row>
    <row r="244">
      <c r="A244" s="114"/>
      <c r="B244" s="1"/>
      <c r="C244" s="1"/>
      <c r="D244" s="1"/>
      <c r="E244" s="1"/>
      <c r="F244" s="24"/>
      <c r="G244" s="24"/>
      <c r="H244" s="235"/>
    </row>
    <row r="245">
      <c r="A245" s="114"/>
      <c r="B245" s="1"/>
      <c r="C245" s="1"/>
      <c r="D245" s="1"/>
      <c r="E245" s="1"/>
      <c r="F245" s="24"/>
      <c r="G245" s="24"/>
      <c r="H245" s="235"/>
    </row>
    <row r="246">
      <c r="A246" s="114"/>
      <c r="B246" s="1"/>
      <c r="C246" s="1"/>
      <c r="D246" s="1"/>
      <c r="E246" s="1"/>
      <c r="F246" s="24"/>
      <c r="G246" s="24"/>
      <c r="H246" s="235"/>
    </row>
    <row r="247">
      <c r="A247" s="114"/>
      <c r="B247" s="1"/>
      <c r="C247" s="1"/>
      <c r="D247" s="1"/>
      <c r="E247" s="1"/>
      <c r="F247" s="24"/>
      <c r="G247" s="24"/>
      <c r="H247" s="235"/>
    </row>
    <row r="248">
      <c r="A248" s="114"/>
      <c r="B248" s="1"/>
      <c r="C248" s="1"/>
      <c r="D248" s="1"/>
      <c r="E248" s="1"/>
      <c r="F248" s="24"/>
      <c r="G248" s="24"/>
      <c r="H248" s="235"/>
    </row>
    <row r="249">
      <c r="A249" s="114"/>
      <c r="B249" s="1"/>
      <c r="C249" s="1"/>
      <c r="D249" s="1"/>
      <c r="E249" s="1"/>
      <c r="F249" s="24"/>
      <c r="G249" s="24"/>
      <c r="H249" s="235"/>
    </row>
    <row r="250">
      <c r="A250" s="114"/>
      <c r="B250" s="1"/>
      <c r="C250" s="1"/>
      <c r="D250" s="1"/>
      <c r="E250" s="1"/>
      <c r="F250" s="24"/>
      <c r="G250" s="24"/>
      <c r="H250" s="235"/>
    </row>
    <row r="251">
      <c r="A251" s="114"/>
      <c r="B251" s="1"/>
      <c r="C251" s="1"/>
      <c r="D251" s="1"/>
      <c r="E251" s="1"/>
      <c r="F251" s="24"/>
      <c r="G251" s="24"/>
      <c r="H251" s="235"/>
    </row>
    <row r="252">
      <c r="A252" s="114"/>
      <c r="B252" s="1"/>
      <c r="C252" s="1"/>
      <c r="D252" s="1"/>
      <c r="E252" s="1"/>
      <c r="F252" s="24"/>
      <c r="G252" s="24"/>
      <c r="H252" s="235"/>
    </row>
    <row r="253">
      <c r="A253" s="114"/>
      <c r="B253" s="1"/>
      <c r="C253" s="1"/>
      <c r="D253" s="1"/>
      <c r="E253" s="1"/>
      <c r="F253" s="24"/>
      <c r="G253" s="24"/>
      <c r="H253" s="235"/>
    </row>
    <row r="254">
      <c r="A254" s="114"/>
      <c r="B254" s="1"/>
      <c r="C254" s="1"/>
      <c r="D254" s="1"/>
      <c r="E254" s="1"/>
      <c r="F254" s="24"/>
      <c r="G254" s="24"/>
      <c r="H254" s="235"/>
    </row>
    <row r="255">
      <c r="A255" s="114"/>
      <c r="B255" s="1"/>
      <c r="C255" s="1"/>
      <c r="D255" s="1"/>
      <c r="E255" s="1"/>
      <c r="F255" s="24"/>
      <c r="G255" s="24"/>
      <c r="H255" s="235"/>
    </row>
    <row r="256">
      <c r="A256" s="114"/>
      <c r="B256" s="1"/>
      <c r="C256" s="1"/>
      <c r="D256" s="1"/>
      <c r="E256" s="1"/>
      <c r="F256" s="24"/>
      <c r="G256" s="24"/>
      <c r="H256" s="235"/>
    </row>
    <row r="257">
      <c r="A257" s="114"/>
      <c r="B257" s="1"/>
      <c r="C257" s="1"/>
      <c r="D257" s="1"/>
      <c r="E257" s="1"/>
      <c r="F257" s="24"/>
      <c r="G257" s="24"/>
      <c r="H257" s="235"/>
    </row>
    <row r="258">
      <c r="A258" s="114"/>
      <c r="B258" s="1"/>
      <c r="C258" s="1"/>
      <c r="D258" s="1"/>
      <c r="E258" s="1"/>
      <c r="F258" s="24"/>
      <c r="G258" s="24"/>
      <c r="H258" s="235"/>
    </row>
    <row r="259">
      <c r="A259" s="114"/>
      <c r="B259" s="1"/>
      <c r="C259" s="1"/>
      <c r="D259" s="1"/>
      <c r="E259" s="1"/>
      <c r="F259" s="24"/>
      <c r="G259" s="24"/>
      <c r="H259" s="235"/>
    </row>
    <row r="260">
      <c r="A260" s="114"/>
      <c r="B260" s="1"/>
      <c r="C260" s="1"/>
      <c r="D260" s="1"/>
      <c r="E260" s="1"/>
      <c r="F260" s="24"/>
      <c r="G260" s="24"/>
      <c r="H260" s="235"/>
    </row>
    <row r="261">
      <c r="A261" s="114"/>
      <c r="B261" s="1"/>
      <c r="C261" s="1"/>
      <c r="D261" s="1"/>
      <c r="E261" s="1"/>
      <c r="F261" s="24"/>
      <c r="G261" s="24"/>
      <c r="H261" s="235"/>
    </row>
    <row r="262">
      <c r="A262" s="114"/>
      <c r="B262" s="1"/>
      <c r="C262" s="1"/>
      <c r="D262" s="1"/>
      <c r="E262" s="1"/>
      <c r="F262" s="24"/>
      <c r="G262" s="24"/>
      <c r="H262" s="235"/>
    </row>
    <row r="263">
      <c r="A263" s="114"/>
      <c r="B263" s="1"/>
      <c r="C263" s="1"/>
      <c r="D263" s="1"/>
      <c r="E263" s="1"/>
      <c r="F263" s="24"/>
      <c r="G263" s="24"/>
      <c r="H263" s="235"/>
    </row>
    <row r="264">
      <c r="A264" s="114"/>
      <c r="B264" s="1"/>
      <c r="C264" s="1"/>
      <c r="D264" s="1"/>
      <c r="E264" s="1"/>
      <c r="F264" s="24"/>
      <c r="G264" s="24"/>
      <c r="H264" s="235"/>
    </row>
    <row r="265">
      <c r="A265" s="114"/>
      <c r="B265" s="1"/>
      <c r="C265" s="1"/>
      <c r="D265" s="1"/>
      <c r="E265" s="1"/>
      <c r="F265" s="24"/>
      <c r="G265" s="24"/>
      <c r="H265" s="235"/>
    </row>
    <row r="266">
      <c r="A266" s="114"/>
      <c r="B266" s="1"/>
      <c r="C266" s="1"/>
      <c r="D266" s="1"/>
      <c r="E266" s="1"/>
      <c r="F266" s="24"/>
      <c r="G266" s="24"/>
      <c r="H266" s="235"/>
    </row>
    <row r="267">
      <c r="A267" s="114"/>
      <c r="B267" s="1"/>
      <c r="C267" s="1"/>
      <c r="D267" s="1"/>
      <c r="E267" s="1"/>
      <c r="F267" s="24"/>
      <c r="G267" s="24"/>
      <c r="H267" s="235"/>
    </row>
    <row r="268">
      <c r="A268" s="114"/>
      <c r="B268" s="1"/>
      <c r="C268" s="1"/>
      <c r="D268" s="1"/>
      <c r="E268" s="1"/>
      <c r="F268" s="24"/>
      <c r="G268" s="24"/>
      <c r="H268" s="235"/>
    </row>
    <row r="269">
      <c r="A269" s="114"/>
      <c r="B269" s="1"/>
      <c r="C269" s="1"/>
      <c r="D269" s="1"/>
      <c r="E269" s="1"/>
      <c r="F269" s="24"/>
      <c r="G269" s="24"/>
      <c r="H269" s="235"/>
    </row>
    <row r="270">
      <c r="A270" s="114"/>
      <c r="B270" s="1"/>
      <c r="C270" s="1"/>
      <c r="D270" s="1"/>
      <c r="E270" s="1"/>
      <c r="F270" s="24"/>
      <c r="G270" s="24"/>
      <c r="H270" s="235"/>
    </row>
    <row r="271">
      <c r="A271" s="114"/>
      <c r="B271" s="1"/>
      <c r="C271" s="1"/>
      <c r="D271" s="1"/>
      <c r="E271" s="1"/>
      <c r="F271" s="24"/>
      <c r="G271" s="24"/>
      <c r="H271" s="235"/>
    </row>
    <row r="272">
      <c r="A272" s="114"/>
      <c r="B272" s="1"/>
      <c r="C272" s="1"/>
      <c r="D272" s="1"/>
      <c r="E272" s="1"/>
      <c r="F272" s="24"/>
      <c r="G272" s="24"/>
      <c r="H272" s="235"/>
    </row>
    <row r="273">
      <c r="A273" s="114"/>
      <c r="B273" s="1"/>
      <c r="C273" s="1"/>
      <c r="D273" s="1"/>
      <c r="E273" s="1"/>
      <c r="F273" s="24"/>
      <c r="G273" s="24"/>
      <c r="H273" s="235"/>
    </row>
    <row r="274">
      <c r="A274" s="114"/>
      <c r="B274" s="1"/>
      <c r="C274" s="1"/>
      <c r="D274" s="1"/>
      <c r="E274" s="1"/>
      <c r="F274" s="24"/>
      <c r="G274" s="24"/>
      <c r="H274" s="235"/>
    </row>
    <row r="275">
      <c r="A275" s="114"/>
      <c r="B275" s="1"/>
      <c r="C275" s="1"/>
      <c r="D275" s="1"/>
      <c r="E275" s="1"/>
      <c r="F275" s="24"/>
      <c r="G275" s="24"/>
      <c r="H275" s="235"/>
    </row>
    <row r="276">
      <c r="A276" s="114"/>
      <c r="B276" s="1"/>
      <c r="C276" s="1"/>
      <c r="D276" s="1"/>
      <c r="E276" s="1"/>
      <c r="F276" s="24"/>
      <c r="G276" s="24"/>
      <c r="H276" s="235"/>
    </row>
    <row r="277">
      <c r="A277" s="114"/>
      <c r="B277" s="1"/>
      <c r="C277" s="1"/>
      <c r="D277" s="1"/>
      <c r="E277" s="1"/>
      <c r="F277" s="24"/>
      <c r="G277" s="24"/>
      <c r="H277" s="235"/>
    </row>
    <row r="278">
      <c r="A278" s="114"/>
      <c r="B278" s="1"/>
      <c r="C278" s="1"/>
      <c r="D278" s="1"/>
      <c r="E278" s="1"/>
      <c r="F278" s="24"/>
      <c r="G278" s="24"/>
      <c r="H278" s="235"/>
    </row>
    <row r="279">
      <c r="A279" s="114"/>
      <c r="B279" s="1"/>
      <c r="C279" s="1"/>
      <c r="D279" s="1"/>
      <c r="E279" s="1"/>
      <c r="F279" s="24"/>
      <c r="G279" s="24"/>
      <c r="H279" s="235"/>
    </row>
    <row r="280">
      <c r="A280" s="114"/>
      <c r="B280" s="1"/>
      <c r="C280" s="1"/>
      <c r="D280" s="1"/>
      <c r="E280" s="1"/>
      <c r="F280" s="24"/>
      <c r="G280" s="24"/>
      <c r="H280" s="235"/>
    </row>
    <row r="281">
      <c r="A281" s="114"/>
      <c r="B281" s="1"/>
      <c r="C281" s="1"/>
      <c r="D281" s="1"/>
      <c r="E281" s="1"/>
      <c r="F281" s="24"/>
      <c r="G281" s="24"/>
      <c r="H281" s="235"/>
    </row>
    <row r="282">
      <c r="A282" s="114"/>
      <c r="B282" s="1"/>
      <c r="C282" s="1"/>
      <c r="D282" s="1"/>
      <c r="E282" s="1"/>
      <c r="F282" s="24"/>
      <c r="G282" s="24"/>
      <c r="H282" s="235"/>
    </row>
    <row r="283">
      <c r="A283" s="114"/>
      <c r="B283" s="1"/>
      <c r="C283" s="1"/>
      <c r="D283" s="1"/>
      <c r="E283" s="1"/>
      <c r="F283" s="24"/>
      <c r="G283" s="24"/>
      <c r="H283" s="235"/>
    </row>
    <row r="284">
      <c r="A284" s="114"/>
      <c r="B284" s="1"/>
      <c r="C284" s="1"/>
      <c r="D284" s="1"/>
      <c r="E284" s="1"/>
      <c r="F284" s="24"/>
      <c r="G284" s="24"/>
      <c r="H284" s="235"/>
    </row>
    <row r="285">
      <c r="A285" s="114"/>
      <c r="B285" s="1"/>
      <c r="C285" s="1"/>
      <c r="D285" s="1"/>
      <c r="E285" s="1"/>
      <c r="F285" s="24"/>
      <c r="G285" s="24"/>
      <c r="H285" s="235"/>
    </row>
    <row r="286">
      <c r="A286" s="114"/>
      <c r="B286" s="1"/>
      <c r="C286" s="1"/>
      <c r="D286" s="1"/>
      <c r="E286" s="1"/>
      <c r="F286" s="24"/>
      <c r="G286" s="24"/>
      <c r="H286" s="235"/>
    </row>
    <row r="287">
      <c r="A287" s="114"/>
      <c r="B287" s="1"/>
      <c r="C287" s="1"/>
      <c r="D287" s="1"/>
      <c r="E287" s="1"/>
      <c r="F287" s="24"/>
      <c r="G287" s="24"/>
      <c r="H287" s="235"/>
    </row>
    <row r="288">
      <c r="A288" s="114"/>
      <c r="B288" s="1"/>
      <c r="C288" s="1"/>
      <c r="D288" s="1"/>
      <c r="E288" s="1"/>
      <c r="F288" s="24"/>
      <c r="G288" s="24"/>
      <c r="H288" s="235"/>
    </row>
    <row r="289">
      <c r="A289" s="114"/>
      <c r="B289" s="1"/>
      <c r="C289" s="1"/>
      <c r="D289" s="1"/>
      <c r="E289" s="1"/>
      <c r="F289" s="24"/>
      <c r="G289" s="24"/>
      <c r="H289" s="235"/>
    </row>
    <row r="290">
      <c r="A290" s="114"/>
      <c r="B290" s="1"/>
      <c r="C290" s="1"/>
      <c r="D290" s="1"/>
      <c r="E290" s="1"/>
      <c r="F290" s="24"/>
      <c r="G290" s="24"/>
      <c r="H290" s="235"/>
    </row>
    <row r="291">
      <c r="A291" s="114"/>
      <c r="B291" s="1"/>
      <c r="C291" s="1"/>
      <c r="D291" s="1"/>
      <c r="E291" s="1"/>
      <c r="F291" s="24"/>
      <c r="G291" s="24"/>
      <c r="H291" s="235"/>
    </row>
    <row r="292">
      <c r="A292" s="114"/>
      <c r="B292" s="1"/>
      <c r="C292" s="1"/>
      <c r="D292" s="1"/>
      <c r="E292" s="1"/>
      <c r="F292" s="24"/>
      <c r="G292" s="24"/>
      <c r="H292" s="235"/>
    </row>
    <row r="293">
      <c r="A293" s="114"/>
      <c r="B293" s="1"/>
      <c r="C293" s="1"/>
      <c r="D293" s="1"/>
      <c r="E293" s="1"/>
      <c r="F293" s="24"/>
      <c r="G293" s="24"/>
      <c r="H293" s="235"/>
    </row>
    <row r="294">
      <c r="A294" s="114"/>
      <c r="B294" s="1"/>
      <c r="C294" s="1"/>
      <c r="D294" s="1"/>
      <c r="E294" s="1"/>
      <c r="F294" s="24"/>
      <c r="G294" s="24"/>
      <c r="H294" s="235"/>
    </row>
    <row r="295">
      <c r="A295" s="114"/>
      <c r="B295" s="1"/>
      <c r="C295" s="1"/>
      <c r="D295" s="1"/>
      <c r="E295" s="1"/>
      <c r="F295" s="24"/>
      <c r="G295" s="24"/>
      <c r="H295" s="235"/>
    </row>
    <row r="296">
      <c r="A296" s="114"/>
      <c r="B296" s="1"/>
      <c r="C296" s="1"/>
      <c r="D296" s="1"/>
      <c r="E296" s="1"/>
      <c r="F296" s="24"/>
      <c r="G296" s="24"/>
      <c r="H296" s="235"/>
    </row>
    <row r="297">
      <c r="A297" s="114"/>
      <c r="B297" s="1"/>
      <c r="C297" s="1"/>
      <c r="D297" s="1"/>
      <c r="E297" s="1"/>
      <c r="F297" s="24"/>
      <c r="G297" s="24"/>
      <c r="H297" s="235"/>
    </row>
    <row r="298">
      <c r="A298" s="114"/>
      <c r="B298" s="1"/>
      <c r="C298" s="1"/>
      <c r="D298" s="1"/>
      <c r="E298" s="1"/>
      <c r="F298" s="24"/>
      <c r="G298" s="24"/>
      <c r="H298" s="235"/>
    </row>
    <row r="299">
      <c r="A299" s="114"/>
      <c r="B299" s="1"/>
      <c r="C299" s="1"/>
      <c r="D299" s="1"/>
      <c r="E299" s="1"/>
      <c r="F299" s="24"/>
      <c r="G299" s="24"/>
      <c r="H299" s="235"/>
    </row>
    <row r="300">
      <c r="A300" s="114"/>
      <c r="B300" s="1"/>
      <c r="C300" s="1"/>
      <c r="D300" s="1"/>
      <c r="E300" s="1"/>
      <c r="F300" s="24"/>
      <c r="G300" s="24"/>
      <c r="H300" s="235"/>
    </row>
    <row r="301">
      <c r="A301" s="114"/>
      <c r="B301" s="1"/>
      <c r="C301" s="1"/>
      <c r="D301" s="1"/>
      <c r="E301" s="1"/>
      <c r="F301" s="24"/>
      <c r="G301" s="24"/>
      <c r="H301" s="235"/>
    </row>
    <row r="302">
      <c r="A302" s="114"/>
      <c r="B302" s="1"/>
      <c r="C302" s="1"/>
      <c r="D302" s="1"/>
      <c r="E302" s="1"/>
      <c r="F302" s="24"/>
      <c r="G302" s="24"/>
      <c r="H302" s="235"/>
    </row>
    <row r="303">
      <c r="A303" s="114"/>
      <c r="B303" s="1"/>
      <c r="C303" s="1"/>
      <c r="D303" s="1"/>
      <c r="E303" s="1"/>
      <c r="F303" s="24"/>
      <c r="G303" s="24"/>
      <c r="H303" s="235"/>
    </row>
    <row r="304">
      <c r="A304" s="114"/>
      <c r="B304" s="1"/>
      <c r="C304" s="1"/>
      <c r="D304" s="1"/>
      <c r="E304" s="1"/>
      <c r="F304" s="24"/>
      <c r="G304" s="24"/>
      <c r="H304" s="235"/>
    </row>
    <row r="305">
      <c r="A305" s="114"/>
      <c r="B305" s="1"/>
      <c r="C305" s="1"/>
      <c r="D305" s="1"/>
      <c r="E305" s="1"/>
      <c r="F305" s="24"/>
      <c r="G305" s="24"/>
      <c r="H305" s="235"/>
    </row>
    <row r="306">
      <c r="A306" s="114"/>
      <c r="B306" s="1"/>
      <c r="C306" s="1"/>
      <c r="D306" s="1"/>
      <c r="E306" s="1"/>
      <c r="F306" s="24"/>
      <c r="G306" s="24"/>
      <c r="H306" s="235"/>
    </row>
    <row r="307">
      <c r="A307" s="114"/>
      <c r="B307" s="1"/>
      <c r="C307" s="1"/>
      <c r="D307" s="1"/>
      <c r="E307" s="1"/>
      <c r="F307" s="24"/>
      <c r="G307" s="24"/>
      <c r="H307" s="235"/>
    </row>
    <row r="308">
      <c r="A308" s="114"/>
      <c r="B308" s="1"/>
      <c r="C308" s="1"/>
      <c r="D308" s="1"/>
      <c r="E308" s="1"/>
      <c r="F308" s="24"/>
      <c r="G308" s="24"/>
      <c r="H308" s="235"/>
    </row>
    <row r="309">
      <c r="A309" s="114"/>
      <c r="B309" s="1"/>
      <c r="C309" s="1"/>
      <c r="D309" s="1"/>
      <c r="E309" s="1"/>
      <c r="F309" s="24"/>
      <c r="G309" s="24"/>
      <c r="H309" s="235"/>
    </row>
    <row r="310">
      <c r="A310" s="114"/>
      <c r="B310" s="1"/>
      <c r="C310" s="1"/>
      <c r="D310" s="1"/>
      <c r="E310" s="1"/>
      <c r="F310" s="24"/>
      <c r="G310" s="24"/>
      <c r="H310" s="235"/>
    </row>
    <row r="311">
      <c r="A311" s="114"/>
      <c r="B311" s="1"/>
      <c r="C311" s="1"/>
      <c r="D311" s="1"/>
      <c r="E311" s="1"/>
      <c r="F311" s="24"/>
      <c r="G311" s="24"/>
      <c r="H311" s="235"/>
    </row>
    <row r="312">
      <c r="A312" s="114"/>
      <c r="B312" s="1"/>
      <c r="C312" s="1"/>
      <c r="D312" s="1"/>
      <c r="E312" s="1"/>
      <c r="F312" s="24"/>
      <c r="G312" s="24"/>
      <c r="H312" s="235"/>
    </row>
    <row r="313">
      <c r="A313" s="114"/>
      <c r="B313" s="1"/>
      <c r="C313" s="1"/>
      <c r="D313" s="1"/>
      <c r="E313" s="1"/>
      <c r="F313" s="24"/>
      <c r="G313" s="24"/>
      <c r="H313" s="235"/>
    </row>
    <row r="314">
      <c r="A314" s="114"/>
      <c r="B314" s="1"/>
      <c r="C314" s="1"/>
      <c r="D314" s="1"/>
      <c r="E314" s="1"/>
      <c r="F314" s="24"/>
      <c r="G314" s="24"/>
      <c r="H314" s="235"/>
    </row>
    <row r="315">
      <c r="A315" s="114"/>
      <c r="B315" s="1"/>
      <c r="C315" s="1"/>
      <c r="D315" s="1"/>
      <c r="E315" s="1"/>
      <c r="F315" s="24"/>
      <c r="G315" s="24"/>
      <c r="H315" s="235"/>
    </row>
    <row r="316">
      <c r="A316" s="114"/>
      <c r="B316" s="1"/>
      <c r="C316" s="1"/>
      <c r="D316" s="1"/>
      <c r="E316" s="1"/>
      <c r="F316" s="24"/>
      <c r="G316" s="24"/>
      <c r="H316" s="235"/>
    </row>
    <row r="317">
      <c r="A317" s="114"/>
      <c r="B317" s="1"/>
      <c r="C317" s="1"/>
      <c r="D317" s="1"/>
      <c r="E317" s="1"/>
      <c r="F317" s="24"/>
      <c r="G317" s="24"/>
      <c r="H317" s="235"/>
    </row>
    <row r="318">
      <c r="A318" s="114"/>
      <c r="B318" s="1"/>
      <c r="C318" s="1"/>
      <c r="D318" s="1"/>
      <c r="E318" s="1"/>
      <c r="F318" s="24"/>
      <c r="G318" s="24"/>
      <c r="H318" s="235"/>
    </row>
    <row r="319">
      <c r="A319" s="114"/>
      <c r="B319" s="1"/>
      <c r="C319" s="1"/>
      <c r="D319" s="1"/>
      <c r="E319" s="1"/>
      <c r="F319" s="24"/>
      <c r="G319" s="24"/>
      <c r="H319" s="235"/>
    </row>
    <row r="320">
      <c r="A320" s="114"/>
      <c r="B320" s="1"/>
      <c r="C320" s="1"/>
      <c r="D320" s="1"/>
      <c r="E320" s="1"/>
      <c r="F320" s="24"/>
      <c r="G320" s="24"/>
      <c r="H320" s="235"/>
    </row>
    <row r="321">
      <c r="A321" s="114"/>
      <c r="B321" s="1"/>
      <c r="C321" s="1"/>
      <c r="D321" s="1"/>
      <c r="E321" s="1"/>
      <c r="F321" s="24"/>
      <c r="G321" s="24"/>
      <c r="H321" s="235"/>
    </row>
    <row r="322">
      <c r="A322" s="114"/>
      <c r="B322" s="1"/>
      <c r="C322" s="1"/>
      <c r="D322" s="1"/>
      <c r="E322" s="1"/>
      <c r="F322" s="24"/>
      <c r="G322" s="24"/>
      <c r="H322" s="235"/>
    </row>
    <row r="323">
      <c r="A323" s="114"/>
      <c r="B323" s="1"/>
      <c r="C323" s="1"/>
      <c r="D323" s="1"/>
      <c r="E323" s="1"/>
      <c r="F323" s="24"/>
      <c r="G323" s="24"/>
      <c r="H323" s="235"/>
    </row>
    <row r="324">
      <c r="A324" s="114"/>
      <c r="B324" s="1"/>
      <c r="C324" s="1"/>
      <c r="D324" s="1"/>
      <c r="E324" s="1"/>
      <c r="F324" s="24"/>
      <c r="G324" s="24"/>
      <c r="H324" s="235"/>
    </row>
    <row r="325">
      <c r="A325" s="114"/>
      <c r="B325" s="1"/>
      <c r="C325" s="1"/>
      <c r="D325" s="1"/>
      <c r="E325" s="1"/>
      <c r="F325" s="24"/>
      <c r="G325" s="24"/>
      <c r="H325" s="235"/>
    </row>
    <row r="326">
      <c r="A326" s="114"/>
      <c r="B326" s="1"/>
      <c r="C326" s="1"/>
      <c r="D326" s="1"/>
      <c r="E326" s="1"/>
      <c r="F326" s="24"/>
      <c r="G326" s="24"/>
      <c r="H326" s="235"/>
    </row>
    <row r="327">
      <c r="A327" s="114"/>
      <c r="B327" s="1"/>
      <c r="C327" s="1"/>
      <c r="D327" s="1"/>
      <c r="E327" s="1"/>
      <c r="F327" s="24"/>
      <c r="G327" s="24"/>
      <c r="H327" s="235"/>
    </row>
    <row r="328">
      <c r="A328" s="114"/>
      <c r="B328" s="1"/>
      <c r="C328" s="1"/>
      <c r="D328" s="1"/>
      <c r="E328" s="1"/>
      <c r="F328" s="24"/>
      <c r="G328" s="24"/>
      <c r="H328" s="235"/>
    </row>
    <row r="329">
      <c r="A329" s="114"/>
      <c r="B329" s="1"/>
      <c r="C329" s="1"/>
      <c r="D329" s="1"/>
      <c r="E329" s="1"/>
      <c r="F329" s="24"/>
      <c r="G329" s="24"/>
      <c r="H329" s="235"/>
    </row>
    <row r="330">
      <c r="A330" s="114"/>
      <c r="B330" s="1"/>
      <c r="C330" s="1"/>
      <c r="D330" s="1"/>
      <c r="E330" s="1"/>
      <c r="F330" s="24"/>
      <c r="G330" s="24"/>
      <c r="H330" s="235"/>
    </row>
    <row r="331">
      <c r="A331" s="114"/>
      <c r="B331" s="1"/>
      <c r="C331" s="1"/>
      <c r="D331" s="1"/>
      <c r="E331" s="1"/>
      <c r="F331" s="24"/>
      <c r="G331" s="24"/>
      <c r="H331" s="235"/>
    </row>
    <row r="332">
      <c r="A332" s="114"/>
      <c r="B332" s="1"/>
      <c r="C332" s="1"/>
      <c r="D332" s="1"/>
      <c r="E332" s="1"/>
      <c r="F332" s="24"/>
      <c r="G332" s="24"/>
      <c r="H332" s="235"/>
    </row>
    <row r="333">
      <c r="A333" s="114"/>
      <c r="B333" s="1"/>
      <c r="C333" s="1"/>
      <c r="D333" s="1"/>
      <c r="E333" s="1"/>
      <c r="F333" s="24"/>
      <c r="G333" s="24"/>
      <c r="H333" s="235"/>
    </row>
    <row r="334">
      <c r="A334" s="114"/>
      <c r="B334" s="1"/>
      <c r="C334" s="1"/>
      <c r="D334" s="1"/>
      <c r="E334" s="1"/>
      <c r="F334" s="24"/>
      <c r="G334" s="24"/>
      <c r="H334" s="235"/>
    </row>
    <row r="335">
      <c r="A335" s="114"/>
      <c r="B335" s="1"/>
      <c r="C335" s="1"/>
      <c r="D335" s="1"/>
      <c r="E335" s="1"/>
      <c r="F335" s="24"/>
      <c r="G335" s="24"/>
      <c r="H335" s="235"/>
    </row>
    <row r="336">
      <c r="A336" s="114"/>
      <c r="B336" s="1"/>
      <c r="C336" s="1"/>
      <c r="D336" s="1"/>
      <c r="E336" s="1"/>
      <c r="F336" s="24"/>
      <c r="G336" s="24"/>
      <c r="H336" s="235"/>
    </row>
    <row r="337">
      <c r="A337" s="114"/>
      <c r="B337" s="1"/>
      <c r="C337" s="1"/>
      <c r="D337" s="1"/>
      <c r="E337" s="1"/>
      <c r="F337" s="24"/>
      <c r="G337" s="24"/>
      <c r="H337" s="235"/>
    </row>
    <row r="338">
      <c r="A338" s="114"/>
      <c r="B338" s="1"/>
      <c r="C338" s="1"/>
      <c r="D338" s="1"/>
      <c r="E338" s="1"/>
      <c r="F338" s="24"/>
      <c r="G338" s="24"/>
      <c r="H338" s="235"/>
    </row>
    <row r="339">
      <c r="A339" s="114"/>
      <c r="B339" s="1"/>
      <c r="C339" s="1"/>
      <c r="D339" s="1"/>
      <c r="E339" s="1"/>
      <c r="F339" s="24"/>
      <c r="G339" s="24"/>
      <c r="H339" s="235"/>
    </row>
    <row r="340">
      <c r="A340" s="114"/>
      <c r="B340" s="1"/>
      <c r="C340" s="1"/>
      <c r="D340" s="1"/>
      <c r="E340" s="1"/>
      <c r="F340" s="24"/>
      <c r="G340" s="24"/>
      <c r="H340" s="235"/>
    </row>
    <row r="341">
      <c r="A341" s="114"/>
      <c r="B341" s="1"/>
      <c r="C341" s="1"/>
      <c r="D341" s="1"/>
      <c r="E341" s="1"/>
      <c r="F341" s="24"/>
      <c r="G341" s="24"/>
      <c r="H341" s="235"/>
    </row>
    <row r="342">
      <c r="A342" s="114"/>
      <c r="B342" s="1"/>
      <c r="C342" s="1"/>
      <c r="D342" s="1"/>
      <c r="E342" s="1"/>
      <c r="F342" s="24"/>
      <c r="G342" s="24"/>
      <c r="H342" s="235"/>
    </row>
    <row r="343">
      <c r="A343" s="114"/>
      <c r="B343" s="1"/>
      <c r="C343" s="1"/>
      <c r="D343" s="1"/>
      <c r="E343" s="1"/>
      <c r="F343" s="24"/>
      <c r="G343" s="24"/>
      <c r="H343" s="235"/>
    </row>
    <row r="344">
      <c r="A344" s="114"/>
      <c r="B344" s="1"/>
      <c r="C344" s="1"/>
      <c r="D344" s="1"/>
      <c r="E344" s="1"/>
      <c r="F344" s="24"/>
      <c r="G344" s="24"/>
      <c r="H344" s="235"/>
    </row>
    <row r="345">
      <c r="A345" s="114"/>
      <c r="B345" s="1"/>
      <c r="C345" s="1"/>
      <c r="D345" s="1"/>
      <c r="E345" s="1"/>
      <c r="F345" s="24"/>
      <c r="G345" s="24"/>
      <c r="H345" s="235"/>
    </row>
    <row r="346">
      <c r="A346" s="114"/>
      <c r="B346" s="1"/>
      <c r="C346" s="1"/>
      <c r="D346" s="1"/>
      <c r="E346" s="1"/>
      <c r="F346" s="24"/>
      <c r="G346" s="24"/>
      <c r="H346" s="235"/>
    </row>
    <row r="347">
      <c r="A347" s="114"/>
      <c r="B347" s="1"/>
      <c r="C347" s="1"/>
      <c r="D347" s="1"/>
      <c r="E347" s="1"/>
      <c r="F347" s="24"/>
      <c r="G347" s="24"/>
      <c r="H347" s="235"/>
    </row>
    <row r="348">
      <c r="A348" s="114"/>
      <c r="B348" s="1"/>
      <c r="C348" s="1"/>
      <c r="D348" s="1"/>
      <c r="E348" s="1"/>
      <c r="F348" s="24"/>
      <c r="G348" s="24"/>
      <c r="H348" s="235"/>
    </row>
    <row r="349">
      <c r="A349" s="114"/>
      <c r="B349" s="1"/>
      <c r="C349" s="1"/>
      <c r="D349" s="1"/>
      <c r="E349" s="1"/>
      <c r="F349" s="24"/>
      <c r="G349" s="24"/>
      <c r="H349" s="235"/>
    </row>
    <row r="350">
      <c r="A350" s="114"/>
      <c r="B350" s="1"/>
      <c r="C350" s="1"/>
      <c r="D350" s="1"/>
      <c r="E350" s="1"/>
      <c r="F350" s="24"/>
      <c r="G350" s="24"/>
      <c r="H350" s="235"/>
    </row>
    <row r="351">
      <c r="A351" s="114"/>
      <c r="B351" s="1"/>
      <c r="C351" s="1"/>
      <c r="D351" s="1"/>
      <c r="E351" s="1"/>
      <c r="F351" s="24"/>
      <c r="G351" s="24"/>
      <c r="H351" s="235"/>
    </row>
    <row r="352">
      <c r="A352" s="114"/>
      <c r="B352" s="1"/>
      <c r="C352" s="1"/>
      <c r="D352" s="1"/>
      <c r="E352" s="1"/>
      <c r="F352" s="24"/>
      <c r="G352" s="24"/>
      <c r="H352" s="235"/>
    </row>
    <row r="353">
      <c r="A353" s="114"/>
      <c r="B353" s="1"/>
      <c r="C353" s="1"/>
      <c r="D353" s="1"/>
      <c r="E353" s="1"/>
      <c r="F353" s="24"/>
      <c r="G353" s="24"/>
      <c r="H353" s="235"/>
    </row>
    <row r="354">
      <c r="A354" s="114"/>
      <c r="B354" s="1"/>
      <c r="C354" s="1"/>
      <c r="D354" s="1"/>
      <c r="E354" s="1"/>
      <c r="F354" s="24"/>
      <c r="G354" s="24"/>
      <c r="H354" s="235"/>
    </row>
    <row r="355">
      <c r="A355" s="114"/>
      <c r="B355" s="1"/>
      <c r="C355" s="1"/>
      <c r="D355" s="1"/>
      <c r="E355" s="1"/>
      <c r="F355" s="24"/>
      <c r="G355" s="24"/>
      <c r="H355" s="235"/>
    </row>
    <row r="356">
      <c r="A356" s="114"/>
      <c r="B356" s="1"/>
      <c r="C356" s="1"/>
      <c r="D356" s="1"/>
      <c r="E356" s="1"/>
      <c r="F356" s="24"/>
      <c r="G356" s="24"/>
      <c r="H356" s="235"/>
    </row>
    <row r="357">
      <c r="A357" s="114"/>
      <c r="B357" s="1"/>
      <c r="C357" s="1"/>
      <c r="D357" s="1"/>
      <c r="E357" s="1"/>
      <c r="F357" s="24"/>
      <c r="G357" s="24"/>
      <c r="H357" s="235"/>
    </row>
    <row r="358">
      <c r="A358" s="114"/>
      <c r="B358" s="1"/>
      <c r="C358" s="1"/>
      <c r="D358" s="1"/>
      <c r="E358" s="1"/>
      <c r="F358" s="24"/>
      <c r="G358" s="24"/>
      <c r="H358" s="235"/>
    </row>
    <row r="359">
      <c r="A359" s="114"/>
      <c r="B359" s="1"/>
      <c r="C359" s="1"/>
      <c r="D359" s="1"/>
      <c r="E359" s="1"/>
      <c r="F359" s="24"/>
      <c r="G359" s="24"/>
      <c r="H359" s="235"/>
    </row>
    <row r="360">
      <c r="A360" s="114"/>
      <c r="B360" s="1"/>
      <c r="C360" s="1"/>
      <c r="D360" s="1"/>
      <c r="E360" s="1"/>
      <c r="F360" s="24"/>
      <c r="G360" s="24"/>
      <c r="H360" s="235"/>
    </row>
    <row r="361">
      <c r="A361" s="114"/>
      <c r="B361" s="1"/>
      <c r="C361" s="1"/>
      <c r="D361" s="1"/>
      <c r="E361" s="1"/>
      <c r="F361" s="24"/>
      <c r="G361" s="24"/>
      <c r="H361" s="235"/>
    </row>
    <row r="362">
      <c r="A362" s="114"/>
      <c r="B362" s="1"/>
      <c r="C362" s="1"/>
      <c r="D362" s="1"/>
      <c r="E362" s="1"/>
      <c r="F362" s="24"/>
      <c r="G362" s="24"/>
      <c r="H362" s="235"/>
    </row>
    <row r="363">
      <c r="A363" s="114"/>
      <c r="B363" s="1"/>
      <c r="C363" s="1"/>
      <c r="D363" s="1"/>
      <c r="E363" s="1"/>
      <c r="F363" s="24"/>
      <c r="G363" s="24"/>
      <c r="H363" s="235"/>
    </row>
    <row r="364">
      <c r="A364" s="114"/>
      <c r="B364" s="1"/>
      <c r="C364" s="1"/>
      <c r="D364" s="1"/>
      <c r="E364" s="1"/>
      <c r="F364" s="24"/>
      <c r="G364" s="24"/>
      <c r="H364" s="235"/>
    </row>
    <row r="365">
      <c r="A365" s="114"/>
      <c r="B365" s="1"/>
      <c r="C365" s="1"/>
      <c r="D365" s="1"/>
      <c r="E365" s="1"/>
      <c r="F365" s="24"/>
      <c r="G365" s="24"/>
      <c r="H365" s="235"/>
    </row>
    <row r="366">
      <c r="A366" s="114"/>
      <c r="B366" s="1"/>
      <c r="C366" s="1"/>
      <c r="D366" s="1"/>
      <c r="E366" s="1"/>
      <c r="F366" s="24"/>
      <c r="G366" s="24"/>
      <c r="H366" s="235"/>
    </row>
    <row r="367">
      <c r="A367" s="114"/>
      <c r="B367" s="1"/>
      <c r="C367" s="1"/>
      <c r="D367" s="1"/>
      <c r="E367" s="1"/>
      <c r="F367" s="24"/>
      <c r="G367" s="24"/>
      <c r="H367" s="235"/>
    </row>
    <row r="368">
      <c r="A368" s="114"/>
      <c r="B368" s="1"/>
      <c r="C368" s="1"/>
      <c r="D368" s="1"/>
      <c r="E368" s="1"/>
      <c r="F368" s="24"/>
      <c r="G368" s="24"/>
      <c r="H368" s="235"/>
    </row>
    <row r="369">
      <c r="A369" s="114"/>
      <c r="B369" s="1"/>
      <c r="C369" s="1"/>
      <c r="D369" s="1"/>
      <c r="E369" s="1"/>
      <c r="F369" s="24"/>
      <c r="G369" s="24"/>
      <c r="H369" s="235"/>
    </row>
    <row r="370">
      <c r="A370" s="114"/>
      <c r="B370" s="1"/>
      <c r="C370" s="1"/>
      <c r="D370" s="1"/>
      <c r="E370" s="1"/>
      <c r="F370" s="24"/>
      <c r="G370" s="24"/>
      <c r="H370" s="235"/>
    </row>
    <row r="371">
      <c r="A371" s="114"/>
      <c r="B371" s="1"/>
      <c r="C371" s="1"/>
      <c r="D371" s="1"/>
      <c r="E371" s="1"/>
      <c r="F371" s="24"/>
      <c r="G371" s="24"/>
      <c r="H371" s="235"/>
    </row>
    <row r="372">
      <c r="A372" s="114"/>
      <c r="B372" s="1"/>
      <c r="C372" s="1"/>
      <c r="D372" s="1"/>
      <c r="E372" s="1"/>
      <c r="F372" s="24"/>
      <c r="G372" s="24"/>
      <c r="H372" s="235"/>
    </row>
    <row r="373">
      <c r="A373" s="114"/>
      <c r="B373" s="1"/>
      <c r="C373" s="1"/>
      <c r="D373" s="1"/>
      <c r="E373" s="1"/>
      <c r="F373" s="24"/>
      <c r="G373" s="24"/>
      <c r="H373" s="235"/>
    </row>
    <row r="374">
      <c r="A374" s="114"/>
      <c r="B374" s="1"/>
      <c r="C374" s="1"/>
      <c r="D374" s="1"/>
      <c r="E374" s="1"/>
      <c r="F374" s="24"/>
      <c r="G374" s="24"/>
      <c r="H374" s="235"/>
    </row>
    <row r="375">
      <c r="A375" s="114"/>
      <c r="B375" s="1"/>
      <c r="C375" s="1"/>
      <c r="D375" s="1"/>
      <c r="E375" s="1"/>
      <c r="F375" s="24"/>
      <c r="G375" s="24"/>
      <c r="H375" s="235"/>
    </row>
    <row r="376">
      <c r="A376" s="114"/>
      <c r="B376" s="1"/>
      <c r="C376" s="1"/>
      <c r="D376" s="1"/>
      <c r="E376" s="1"/>
      <c r="F376" s="24"/>
      <c r="G376" s="24"/>
      <c r="H376" s="235"/>
    </row>
    <row r="377">
      <c r="A377" s="114"/>
      <c r="B377" s="1"/>
      <c r="C377" s="1"/>
      <c r="D377" s="1"/>
      <c r="E377" s="1"/>
      <c r="F377" s="24"/>
      <c r="G377" s="24"/>
      <c r="H377" s="235"/>
    </row>
    <row r="378">
      <c r="A378" s="114"/>
      <c r="B378" s="1"/>
      <c r="C378" s="1"/>
      <c r="D378" s="1"/>
      <c r="E378" s="1"/>
      <c r="F378" s="24"/>
      <c r="G378" s="24"/>
      <c r="H378" s="235"/>
    </row>
    <row r="379">
      <c r="A379" s="114"/>
      <c r="B379" s="1"/>
      <c r="C379" s="1"/>
      <c r="D379" s="1"/>
      <c r="E379" s="1"/>
      <c r="F379" s="24"/>
      <c r="G379" s="24"/>
      <c r="H379" s="235"/>
    </row>
    <row r="380">
      <c r="A380" s="114"/>
      <c r="B380" s="1"/>
      <c r="C380" s="1"/>
      <c r="D380" s="1"/>
      <c r="E380" s="1"/>
      <c r="F380" s="24"/>
      <c r="G380" s="24"/>
      <c r="H380" s="235"/>
    </row>
    <row r="381">
      <c r="A381" s="114"/>
      <c r="B381" s="1"/>
      <c r="C381" s="1"/>
      <c r="D381" s="1"/>
      <c r="E381" s="1"/>
      <c r="F381" s="24"/>
      <c r="G381" s="24"/>
      <c r="H381" s="235"/>
    </row>
    <row r="382">
      <c r="A382" s="114"/>
      <c r="B382" s="1"/>
      <c r="C382" s="1"/>
      <c r="D382" s="1"/>
      <c r="E382" s="1"/>
      <c r="F382" s="24"/>
      <c r="G382" s="24"/>
      <c r="H382" s="235"/>
    </row>
    <row r="383">
      <c r="A383" s="114"/>
      <c r="B383" s="1"/>
      <c r="C383" s="1"/>
      <c r="D383" s="1"/>
      <c r="E383" s="1"/>
      <c r="F383" s="24"/>
      <c r="G383" s="24"/>
      <c r="H383" s="235"/>
    </row>
    <row r="384">
      <c r="A384" s="114"/>
      <c r="B384" s="1"/>
      <c r="C384" s="1"/>
      <c r="D384" s="1"/>
      <c r="E384" s="1"/>
      <c r="F384" s="24"/>
      <c r="G384" s="24"/>
      <c r="H384" s="235"/>
    </row>
    <row r="385">
      <c r="A385" s="114"/>
      <c r="B385" s="1"/>
      <c r="C385" s="1"/>
      <c r="D385" s="1"/>
      <c r="E385" s="1"/>
      <c r="F385" s="24"/>
      <c r="G385" s="24"/>
      <c r="H385" s="235"/>
    </row>
    <row r="386">
      <c r="A386" s="114"/>
      <c r="B386" s="1"/>
      <c r="C386" s="1"/>
      <c r="D386" s="1"/>
      <c r="E386" s="1"/>
      <c r="F386" s="24"/>
      <c r="G386" s="24"/>
      <c r="H386" s="235"/>
    </row>
    <row r="387">
      <c r="A387" s="114"/>
      <c r="B387" s="1"/>
      <c r="C387" s="1"/>
      <c r="D387" s="1"/>
      <c r="E387" s="1"/>
      <c r="F387" s="24"/>
      <c r="G387" s="24"/>
      <c r="H387" s="235"/>
    </row>
    <row r="388">
      <c r="A388" s="114"/>
      <c r="B388" s="1"/>
      <c r="C388" s="1"/>
      <c r="D388" s="1"/>
      <c r="E388" s="1"/>
      <c r="F388" s="24"/>
      <c r="G388" s="24"/>
      <c r="H388" s="235"/>
    </row>
    <row r="389">
      <c r="A389" s="114"/>
      <c r="B389" s="1"/>
      <c r="C389" s="1"/>
      <c r="D389" s="1"/>
      <c r="E389" s="1"/>
      <c r="F389" s="24"/>
      <c r="G389" s="24"/>
      <c r="H389" s="235"/>
    </row>
    <row r="390">
      <c r="A390" s="114"/>
      <c r="B390" s="1"/>
      <c r="C390" s="1"/>
      <c r="D390" s="1"/>
      <c r="E390" s="1"/>
      <c r="F390" s="24"/>
      <c r="G390" s="24"/>
      <c r="H390" s="235"/>
    </row>
    <row r="391">
      <c r="A391" s="114"/>
      <c r="B391" s="1"/>
      <c r="C391" s="1"/>
      <c r="D391" s="1"/>
      <c r="E391" s="1"/>
      <c r="F391" s="24"/>
      <c r="G391" s="24"/>
      <c r="H391" s="235"/>
    </row>
    <row r="392">
      <c r="A392" s="114"/>
      <c r="B392" s="1"/>
      <c r="C392" s="1"/>
      <c r="D392" s="1"/>
      <c r="E392" s="1"/>
      <c r="F392" s="24"/>
      <c r="G392" s="24"/>
      <c r="H392" s="235"/>
    </row>
    <row r="393">
      <c r="A393" s="114"/>
      <c r="B393" s="1"/>
      <c r="C393" s="1"/>
      <c r="D393" s="1"/>
      <c r="E393" s="1"/>
      <c r="F393" s="24"/>
      <c r="G393" s="24"/>
      <c r="H393" s="235"/>
    </row>
    <row r="394">
      <c r="A394" s="114"/>
      <c r="B394" s="1"/>
      <c r="C394" s="1"/>
      <c r="D394" s="1"/>
      <c r="E394" s="1"/>
      <c r="F394" s="24"/>
      <c r="G394" s="24"/>
      <c r="H394" s="235"/>
    </row>
    <row r="395">
      <c r="A395" s="114"/>
      <c r="B395" s="1"/>
      <c r="C395" s="1"/>
      <c r="D395" s="1"/>
      <c r="E395" s="1"/>
      <c r="F395" s="24"/>
      <c r="G395" s="24"/>
      <c r="H395" s="235"/>
    </row>
    <row r="396">
      <c r="A396" s="114"/>
      <c r="B396" s="1"/>
      <c r="C396" s="1"/>
      <c r="D396" s="1"/>
      <c r="E396" s="1"/>
      <c r="F396" s="24"/>
      <c r="G396" s="24"/>
      <c r="H396" s="235"/>
    </row>
    <row r="397">
      <c r="A397" s="114"/>
      <c r="B397" s="1"/>
      <c r="C397" s="1"/>
      <c r="D397" s="1"/>
      <c r="E397" s="1"/>
      <c r="F397" s="24"/>
      <c r="G397" s="24"/>
      <c r="H397" s="235"/>
    </row>
    <row r="398">
      <c r="A398" s="114"/>
      <c r="B398" s="1"/>
      <c r="C398" s="1"/>
      <c r="D398" s="1"/>
      <c r="E398" s="1"/>
      <c r="F398" s="24"/>
      <c r="G398" s="24"/>
      <c r="H398" s="235"/>
    </row>
    <row r="399">
      <c r="A399" s="114"/>
      <c r="B399" s="1"/>
      <c r="C399" s="1"/>
      <c r="D399" s="1"/>
      <c r="E399" s="1"/>
      <c r="F399" s="24"/>
      <c r="G399" s="24"/>
      <c r="H399" s="235"/>
    </row>
    <row r="400">
      <c r="A400" s="114"/>
      <c r="B400" s="1"/>
      <c r="C400" s="1"/>
      <c r="D400" s="1"/>
      <c r="E400" s="1"/>
      <c r="F400" s="24"/>
      <c r="G400" s="24"/>
      <c r="H400" s="235"/>
    </row>
    <row r="401">
      <c r="A401" s="114"/>
      <c r="B401" s="1"/>
      <c r="C401" s="1"/>
      <c r="D401" s="1"/>
      <c r="E401" s="1"/>
      <c r="F401" s="24"/>
      <c r="G401" s="24"/>
      <c r="H401" s="235"/>
    </row>
    <row r="402">
      <c r="A402" s="114"/>
      <c r="B402" s="1"/>
      <c r="C402" s="1"/>
      <c r="D402" s="1"/>
      <c r="E402" s="1"/>
      <c r="F402" s="24"/>
      <c r="G402" s="24"/>
      <c r="H402" s="235"/>
    </row>
    <row r="403">
      <c r="A403" s="114"/>
      <c r="B403" s="1"/>
      <c r="C403" s="1"/>
      <c r="D403" s="1"/>
      <c r="E403" s="1"/>
      <c r="F403" s="24"/>
      <c r="G403" s="24"/>
      <c r="H403" s="235"/>
    </row>
    <row r="404">
      <c r="A404" s="114"/>
      <c r="B404" s="1"/>
      <c r="C404" s="1"/>
      <c r="D404" s="1"/>
      <c r="E404" s="1"/>
      <c r="F404" s="24"/>
      <c r="G404" s="24"/>
      <c r="H404" s="235"/>
    </row>
    <row r="405">
      <c r="A405" s="114"/>
      <c r="B405" s="1"/>
      <c r="C405" s="1"/>
      <c r="D405" s="1"/>
      <c r="E405" s="1"/>
      <c r="F405" s="24"/>
      <c r="G405" s="24"/>
      <c r="H405" s="235"/>
    </row>
    <row r="406">
      <c r="A406" s="114"/>
      <c r="B406" s="1"/>
      <c r="C406" s="1"/>
      <c r="D406" s="1"/>
      <c r="E406" s="1"/>
      <c r="F406" s="24"/>
      <c r="G406" s="24"/>
      <c r="H406" s="235"/>
    </row>
    <row r="407">
      <c r="A407" s="114"/>
      <c r="B407" s="1"/>
      <c r="C407" s="1"/>
      <c r="D407" s="1"/>
      <c r="E407" s="1"/>
      <c r="F407" s="24"/>
      <c r="G407" s="24"/>
      <c r="H407" s="235"/>
    </row>
    <row r="408">
      <c r="A408" s="114"/>
      <c r="B408" s="1"/>
      <c r="C408" s="1"/>
      <c r="D408" s="1"/>
      <c r="E408" s="1"/>
      <c r="F408" s="24"/>
      <c r="G408" s="24"/>
      <c r="H408" s="235"/>
    </row>
    <row r="409">
      <c r="A409" s="114"/>
      <c r="B409" s="1"/>
      <c r="C409" s="1"/>
      <c r="D409" s="1"/>
      <c r="E409" s="1"/>
      <c r="F409" s="24"/>
      <c r="G409" s="24"/>
      <c r="H409" s="235"/>
    </row>
    <row r="410">
      <c r="A410" s="114"/>
      <c r="B410" s="1"/>
      <c r="C410" s="1"/>
      <c r="D410" s="1"/>
      <c r="E410" s="1"/>
      <c r="F410" s="24"/>
      <c r="G410" s="24"/>
      <c r="H410" s="235"/>
    </row>
    <row r="411">
      <c r="A411" s="114"/>
      <c r="B411" s="1"/>
      <c r="C411" s="1"/>
      <c r="D411" s="1"/>
      <c r="E411" s="1"/>
      <c r="F411" s="24"/>
      <c r="G411" s="24"/>
      <c r="H411" s="235"/>
    </row>
    <row r="412">
      <c r="A412" s="114"/>
      <c r="B412" s="1"/>
      <c r="C412" s="1"/>
      <c r="D412" s="1"/>
      <c r="E412" s="1"/>
      <c r="F412" s="24"/>
      <c r="G412" s="24"/>
      <c r="H412" s="235"/>
    </row>
    <row r="413">
      <c r="A413" s="114"/>
      <c r="B413" s="1"/>
      <c r="C413" s="1"/>
      <c r="D413" s="1"/>
      <c r="E413" s="1"/>
      <c r="F413" s="24"/>
      <c r="G413" s="24"/>
      <c r="H413" s="235"/>
    </row>
    <row r="414">
      <c r="A414" s="114"/>
      <c r="B414" s="1"/>
      <c r="C414" s="1"/>
      <c r="D414" s="1"/>
      <c r="E414" s="1"/>
      <c r="F414" s="24"/>
      <c r="G414" s="24"/>
      <c r="H414" s="235"/>
    </row>
    <row r="415">
      <c r="A415" s="114"/>
      <c r="B415" s="1"/>
      <c r="C415" s="1"/>
      <c r="D415" s="1"/>
      <c r="E415" s="1"/>
      <c r="F415" s="24"/>
      <c r="G415" s="24"/>
      <c r="H415" s="235"/>
    </row>
    <row r="416">
      <c r="A416" s="114"/>
      <c r="B416" s="1"/>
      <c r="C416" s="1"/>
      <c r="D416" s="1"/>
      <c r="E416" s="1"/>
      <c r="F416" s="24"/>
      <c r="G416" s="24"/>
      <c r="H416" s="235"/>
    </row>
    <row r="417">
      <c r="A417" s="114"/>
      <c r="B417" s="1"/>
      <c r="C417" s="1"/>
      <c r="D417" s="1"/>
      <c r="E417" s="1"/>
      <c r="F417" s="24"/>
      <c r="G417" s="24"/>
      <c r="H417" s="235"/>
    </row>
    <row r="418">
      <c r="A418" s="114"/>
      <c r="B418" s="1"/>
      <c r="C418" s="1"/>
      <c r="D418" s="1"/>
      <c r="E418" s="1"/>
      <c r="F418" s="24"/>
      <c r="G418" s="24"/>
      <c r="H418" s="235"/>
    </row>
    <row r="419">
      <c r="A419" s="114"/>
      <c r="B419" s="1"/>
      <c r="C419" s="1"/>
      <c r="D419" s="1"/>
      <c r="E419" s="1"/>
      <c r="F419" s="24"/>
      <c r="G419" s="24"/>
      <c r="H419" s="235"/>
    </row>
    <row r="420">
      <c r="A420" s="114"/>
      <c r="B420" s="1"/>
      <c r="C420" s="1"/>
      <c r="D420" s="1"/>
      <c r="E420" s="1"/>
      <c r="F420" s="24"/>
      <c r="G420" s="24"/>
      <c r="H420" s="235"/>
    </row>
    <row r="421">
      <c r="A421" s="114"/>
      <c r="B421" s="1"/>
      <c r="C421" s="1"/>
      <c r="D421" s="1"/>
      <c r="E421" s="1"/>
      <c r="F421" s="24"/>
      <c r="G421" s="24"/>
      <c r="H421" s="235"/>
    </row>
    <row r="422">
      <c r="A422" s="114"/>
      <c r="B422" s="1"/>
      <c r="C422" s="1"/>
      <c r="D422" s="1"/>
      <c r="E422" s="1"/>
      <c r="F422" s="24"/>
      <c r="G422" s="24"/>
      <c r="H422" s="235"/>
    </row>
    <row r="423">
      <c r="A423" s="114"/>
      <c r="B423" s="1"/>
      <c r="C423" s="1"/>
      <c r="D423" s="1"/>
      <c r="E423" s="1"/>
      <c r="F423" s="24"/>
      <c r="G423" s="24"/>
      <c r="H423" s="235"/>
    </row>
    <row r="424">
      <c r="A424" s="114"/>
      <c r="B424" s="1"/>
      <c r="C424" s="1"/>
      <c r="D424" s="1"/>
      <c r="E424" s="1"/>
      <c r="F424" s="24"/>
      <c r="G424" s="24"/>
      <c r="H424" s="235"/>
    </row>
    <row r="425">
      <c r="A425" s="114"/>
      <c r="B425" s="1"/>
      <c r="C425" s="1"/>
      <c r="D425" s="1"/>
      <c r="E425" s="1"/>
      <c r="F425" s="24"/>
      <c r="G425" s="24"/>
      <c r="H425" s="235"/>
    </row>
    <row r="426">
      <c r="A426" s="114"/>
      <c r="B426" s="1"/>
      <c r="C426" s="1"/>
      <c r="D426" s="1"/>
      <c r="E426" s="1"/>
      <c r="F426" s="24"/>
      <c r="G426" s="24"/>
      <c r="H426" s="235"/>
    </row>
    <row r="427">
      <c r="A427" s="114"/>
      <c r="B427" s="1"/>
      <c r="C427" s="1"/>
      <c r="D427" s="1"/>
      <c r="E427" s="1"/>
      <c r="F427" s="24"/>
      <c r="G427" s="24"/>
      <c r="H427" s="235"/>
    </row>
    <row r="428">
      <c r="A428" s="114"/>
      <c r="B428" s="1"/>
      <c r="C428" s="1"/>
      <c r="D428" s="1"/>
      <c r="E428" s="1"/>
      <c r="F428" s="24"/>
      <c r="G428" s="24"/>
      <c r="H428" s="235"/>
    </row>
    <row r="429">
      <c r="A429" s="114"/>
      <c r="B429" s="1"/>
      <c r="C429" s="1"/>
      <c r="D429" s="1"/>
      <c r="E429" s="1"/>
      <c r="F429" s="24"/>
      <c r="G429" s="24"/>
      <c r="H429" s="235"/>
    </row>
    <row r="430">
      <c r="A430" s="114"/>
      <c r="B430" s="1"/>
      <c r="C430" s="1"/>
      <c r="D430" s="1"/>
      <c r="E430" s="1"/>
      <c r="F430" s="24"/>
      <c r="G430" s="24"/>
      <c r="H430" s="235"/>
    </row>
    <row r="431">
      <c r="A431" s="114"/>
      <c r="B431" s="1"/>
      <c r="C431" s="1"/>
      <c r="D431" s="1"/>
      <c r="E431" s="1"/>
      <c r="F431" s="24"/>
      <c r="G431" s="24"/>
      <c r="H431" s="235"/>
    </row>
    <row r="432">
      <c r="A432" s="114"/>
      <c r="B432" s="1"/>
      <c r="C432" s="1"/>
      <c r="D432" s="1"/>
      <c r="E432" s="1"/>
      <c r="F432" s="24"/>
      <c r="G432" s="24"/>
      <c r="H432" s="235"/>
    </row>
    <row r="433">
      <c r="A433" s="114"/>
      <c r="B433" s="1"/>
      <c r="C433" s="1"/>
      <c r="D433" s="1"/>
      <c r="E433" s="1"/>
      <c r="F433" s="24"/>
      <c r="G433" s="24"/>
      <c r="H433" s="235"/>
    </row>
    <row r="434">
      <c r="A434" s="114"/>
      <c r="B434" s="1"/>
      <c r="C434" s="1"/>
      <c r="D434" s="1"/>
      <c r="E434" s="1"/>
      <c r="F434" s="24"/>
      <c r="G434" s="24"/>
      <c r="H434" s="235"/>
    </row>
    <row r="435">
      <c r="A435" s="114"/>
      <c r="B435" s="1"/>
      <c r="C435" s="1"/>
      <c r="D435" s="1"/>
      <c r="E435" s="1"/>
      <c r="F435" s="24"/>
      <c r="G435" s="24"/>
      <c r="H435" s="235"/>
    </row>
    <row r="436">
      <c r="A436" s="114"/>
      <c r="B436" s="1"/>
      <c r="C436" s="1"/>
      <c r="D436" s="1"/>
      <c r="E436" s="1"/>
      <c r="F436" s="24"/>
      <c r="G436" s="24"/>
      <c r="H436" s="235"/>
    </row>
    <row r="437">
      <c r="A437" s="114"/>
      <c r="B437" s="1"/>
      <c r="C437" s="1"/>
      <c r="D437" s="1"/>
      <c r="E437" s="1"/>
      <c r="F437" s="24"/>
      <c r="G437" s="24"/>
      <c r="H437" s="235"/>
    </row>
    <row r="438">
      <c r="A438" s="114"/>
      <c r="B438" s="1"/>
      <c r="C438" s="1"/>
      <c r="D438" s="1"/>
      <c r="E438" s="1"/>
      <c r="F438" s="24"/>
      <c r="G438" s="24"/>
      <c r="H438" s="235"/>
    </row>
    <row r="439">
      <c r="A439" s="114"/>
      <c r="B439" s="1"/>
      <c r="C439" s="1"/>
      <c r="D439" s="1"/>
      <c r="E439" s="1"/>
      <c r="F439" s="24"/>
      <c r="G439" s="24"/>
      <c r="H439" s="235"/>
    </row>
    <row r="440">
      <c r="A440" s="114"/>
      <c r="B440" s="1"/>
      <c r="C440" s="1"/>
      <c r="D440" s="1"/>
      <c r="E440" s="1"/>
      <c r="F440" s="24"/>
      <c r="G440" s="24"/>
      <c r="H440" s="235"/>
    </row>
    <row r="441">
      <c r="A441" s="114"/>
      <c r="B441" s="1"/>
      <c r="C441" s="1"/>
      <c r="D441" s="1"/>
      <c r="E441" s="1"/>
      <c r="F441" s="24"/>
      <c r="G441" s="24"/>
      <c r="H441" s="235"/>
    </row>
    <row r="442">
      <c r="A442" s="114"/>
      <c r="B442" s="1"/>
      <c r="C442" s="1"/>
      <c r="D442" s="1"/>
      <c r="E442" s="1"/>
      <c r="F442" s="24"/>
      <c r="G442" s="24"/>
      <c r="H442" s="235"/>
    </row>
    <row r="443">
      <c r="A443" s="114"/>
      <c r="B443" s="1"/>
      <c r="C443" s="1"/>
      <c r="D443" s="1"/>
      <c r="E443" s="1"/>
      <c r="F443" s="24"/>
      <c r="G443" s="24"/>
      <c r="H443" s="235"/>
    </row>
    <row r="444">
      <c r="A444" s="114"/>
      <c r="B444" s="1"/>
      <c r="C444" s="1"/>
      <c r="D444" s="1"/>
      <c r="E444" s="1"/>
      <c r="F444" s="24"/>
      <c r="G444" s="24"/>
      <c r="H444" s="235"/>
    </row>
    <row r="445">
      <c r="A445" s="114"/>
      <c r="B445" s="1"/>
      <c r="C445" s="1"/>
      <c r="D445" s="1"/>
      <c r="E445" s="1"/>
      <c r="F445" s="24"/>
      <c r="G445" s="24"/>
      <c r="H445" s="235"/>
    </row>
    <row r="446">
      <c r="A446" s="114"/>
      <c r="B446" s="1"/>
      <c r="C446" s="1"/>
      <c r="D446" s="1"/>
      <c r="E446" s="1"/>
      <c r="F446" s="24"/>
      <c r="G446" s="24"/>
      <c r="H446" s="235"/>
    </row>
    <row r="447">
      <c r="A447" s="114"/>
      <c r="B447" s="1"/>
      <c r="C447" s="1"/>
      <c r="D447" s="1"/>
      <c r="E447" s="1"/>
      <c r="F447" s="24"/>
      <c r="G447" s="24"/>
      <c r="H447" s="235"/>
    </row>
    <row r="448">
      <c r="A448" s="114"/>
      <c r="B448" s="1"/>
      <c r="C448" s="1"/>
      <c r="D448" s="1"/>
      <c r="E448" s="1"/>
      <c r="F448" s="24"/>
      <c r="G448" s="24"/>
      <c r="H448" s="235"/>
    </row>
    <row r="449">
      <c r="A449" s="114"/>
      <c r="B449" s="1"/>
      <c r="C449" s="1"/>
      <c r="D449" s="1"/>
      <c r="E449" s="1"/>
      <c r="F449" s="24"/>
      <c r="G449" s="24"/>
      <c r="H449" s="235"/>
    </row>
    <row r="450">
      <c r="A450" s="114"/>
      <c r="B450" s="1"/>
      <c r="C450" s="1"/>
      <c r="D450" s="1"/>
      <c r="E450" s="1"/>
      <c r="F450" s="24"/>
      <c r="G450" s="24"/>
      <c r="H450" s="235"/>
    </row>
    <row r="451">
      <c r="A451" s="114"/>
      <c r="B451" s="1"/>
      <c r="C451" s="1"/>
      <c r="D451" s="1"/>
      <c r="E451" s="1"/>
      <c r="F451" s="24"/>
      <c r="G451" s="24"/>
      <c r="H451" s="235"/>
    </row>
    <row r="452">
      <c r="A452" s="114"/>
      <c r="B452" s="1"/>
      <c r="C452" s="1"/>
      <c r="D452" s="1"/>
      <c r="E452" s="1"/>
      <c r="F452" s="24"/>
      <c r="G452" s="24"/>
      <c r="H452" s="235"/>
    </row>
    <row r="453">
      <c r="A453" s="114"/>
      <c r="B453" s="1"/>
      <c r="C453" s="1"/>
      <c r="D453" s="1"/>
      <c r="E453" s="1"/>
      <c r="F453" s="24"/>
      <c r="G453" s="24"/>
      <c r="H453" s="235"/>
    </row>
    <row r="454">
      <c r="A454" s="114"/>
      <c r="B454" s="1"/>
      <c r="C454" s="1"/>
      <c r="D454" s="1"/>
      <c r="E454" s="1"/>
      <c r="F454" s="24"/>
      <c r="G454" s="24"/>
      <c r="H454" s="235"/>
    </row>
    <row r="455">
      <c r="A455" s="114"/>
      <c r="B455" s="1"/>
      <c r="C455" s="1"/>
      <c r="D455" s="1"/>
      <c r="E455" s="1"/>
      <c r="F455" s="24"/>
      <c r="G455" s="24"/>
      <c r="H455" s="235"/>
    </row>
    <row r="456">
      <c r="A456" s="114"/>
      <c r="B456" s="1"/>
      <c r="C456" s="1"/>
      <c r="D456" s="1"/>
      <c r="E456" s="1"/>
      <c r="F456" s="24"/>
      <c r="G456" s="24"/>
      <c r="H456" s="235"/>
    </row>
    <row r="457">
      <c r="A457" s="114"/>
      <c r="B457" s="1"/>
      <c r="C457" s="1"/>
      <c r="D457" s="1"/>
      <c r="E457" s="1"/>
      <c r="F457" s="24"/>
      <c r="G457" s="24"/>
      <c r="H457" s="235"/>
    </row>
    <row r="458">
      <c r="A458" s="114"/>
      <c r="B458" s="1"/>
      <c r="C458" s="1"/>
      <c r="D458" s="1"/>
      <c r="E458" s="1"/>
      <c r="F458" s="24"/>
      <c r="G458" s="24"/>
      <c r="H458" s="235"/>
    </row>
    <row r="459">
      <c r="A459" s="114"/>
      <c r="B459" s="1"/>
      <c r="C459" s="1"/>
      <c r="D459" s="1"/>
      <c r="E459" s="1"/>
      <c r="F459" s="24"/>
      <c r="G459" s="24"/>
      <c r="H459" s="235"/>
    </row>
    <row r="460">
      <c r="A460" s="114"/>
      <c r="B460" s="1"/>
      <c r="C460" s="1"/>
      <c r="D460" s="1"/>
      <c r="E460" s="1"/>
      <c r="F460" s="24"/>
      <c r="G460" s="24"/>
      <c r="H460" s="235"/>
    </row>
    <row r="461">
      <c r="A461" s="114"/>
      <c r="B461" s="1"/>
      <c r="C461" s="1"/>
      <c r="D461" s="1"/>
      <c r="E461" s="1"/>
      <c r="F461" s="24"/>
      <c r="G461" s="24"/>
      <c r="H461" s="235"/>
    </row>
    <row r="462">
      <c r="A462" s="114"/>
      <c r="B462" s="1"/>
      <c r="C462" s="1"/>
      <c r="D462" s="1"/>
      <c r="E462" s="1"/>
      <c r="F462" s="24"/>
      <c r="G462" s="24"/>
      <c r="H462" s="235"/>
    </row>
    <row r="463">
      <c r="A463" s="114"/>
      <c r="B463" s="1"/>
      <c r="C463" s="1"/>
      <c r="D463" s="1"/>
      <c r="E463" s="1"/>
      <c r="F463" s="24"/>
      <c r="G463" s="24"/>
      <c r="H463" s="235"/>
    </row>
    <row r="464">
      <c r="A464" s="114"/>
      <c r="B464" s="1"/>
      <c r="C464" s="1"/>
      <c r="D464" s="1"/>
      <c r="E464" s="1"/>
      <c r="F464" s="24"/>
      <c r="G464" s="24"/>
      <c r="H464" s="235"/>
    </row>
    <row r="465">
      <c r="A465" s="114"/>
      <c r="B465" s="1"/>
      <c r="C465" s="1"/>
      <c r="D465" s="1"/>
      <c r="E465" s="1"/>
      <c r="F465" s="24"/>
      <c r="G465" s="24"/>
      <c r="H465" s="235"/>
    </row>
    <row r="466">
      <c r="A466" s="114"/>
      <c r="B466" s="1"/>
      <c r="C466" s="1"/>
      <c r="D466" s="1"/>
      <c r="E466" s="1"/>
      <c r="F466" s="24"/>
      <c r="G466" s="24"/>
      <c r="H466" s="235"/>
    </row>
    <row r="467">
      <c r="A467" s="114"/>
      <c r="B467" s="1"/>
      <c r="C467" s="1"/>
      <c r="D467" s="1"/>
      <c r="E467" s="1"/>
      <c r="F467" s="24"/>
      <c r="G467" s="24"/>
      <c r="H467" s="235"/>
    </row>
    <row r="468">
      <c r="A468" s="114"/>
      <c r="B468" s="1"/>
      <c r="C468" s="1"/>
      <c r="D468" s="1"/>
      <c r="E468" s="1"/>
      <c r="F468" s="24"/>
      <c r="G468" s="24"/>
      <c r="H468" s="235"/>
    </row>
    <row r="469">
      <c r="A469" s="114"/>
      <c r="B469" s="1"/>
      <c r="C469" s="1"/>
      <c r="D469" s="1"/>
      <c r="E469" s="1"/>
      <c r="F469" s="24"/>
      <c r="G469" s="24"/>
      <c r="H469" s="235"/>
    </row>
    <row r="470">
      <c r="A470" s="114"/>
      <c r="B470" s="1"/>
      <c r="C470" s="1"/>
      <c r="D470" s="1"/>
      <c r="E470" s="1"/>
      <c r="F470" s="24"/>
      <c r="G470" s="24"/>
      <c r="H470" s="235"/>
    </row>
    <row r="471">
      <c r="A471" s="114"/>
      <c r="B471" s="1"/>
      <c r="C471" s="1"/>
      <c r="D471" s="1"/>
      <c r="E471" s="1"/>
      <c r="F471" s="24"/>
      <c r="G471" s="24"/>
      <c r="H471" s="235"/>
    </row>
    <row r="472">
      <c r="A472" s="114"/>
      <c r="B472" s="1"/>
      <c r="C472" s="1"/>
      <c r="D472" s="1"/>
      <c r="E472" s="1"/>
      <c r="F472" s="24"/>
      <c r="G472" s="24"/>
      <c r="H472" s="235"/>
    </row>
    <row r="473">
      <c r="A473" s="114"/>
      <c r="B473" s="1"/>
      <c r="C473" s="1"/>
      <c r="D473" s="1"/>
      <c r="E473" s="1"/>
      <c r="F473" s="24"/>
      <c r="G473" s="24"/>
      <c r="H473" s="235"/>
    </row>
    <row r="474">
      <c r="A474" s="114"/>
      <c r="B474" s="1"/>
      <c r="C474" s="1"/>
      <c r="D474" s="1"/>
      <c r="E474" s="1"/>
      <c r="F474" s="24"/>
      <c r="G474" s="24"/>
      <c r="H474" s="235"/>
    </row>
    <row r="475">
      <c r="A475" s="114"/>
      <c r="B475" s="1"/>
      <c r="C475" s="1"/>
      <c r="D475" s="1"/>
      <c r="E475" s="1"/>
      <c r="F475" s="24"/>
      <c r="G475" s="24"/>
      <c r="H475" s="235"/>
    </row>
    <row r="476">
      <c r="A476" s="114"/>
      <c r="B476" s="1"/>
      <c r="C476" s="1"/>
      <c r="D476" s="1"/>
      <c r="E476" s="1"/>
      <c r="F476" s="24"/>
      <c r="G476" s="24"/>
      <c r="H476" s="235"/>
    </row>
    <row r="477">
      <c r="A477" s="114"/>
      <c r="B477" s="1"/>
      <c r="C477" s="1"/>
      <c r="D477" s="1"/>
      <c r="E477" s="1"/>
      <c r="F477" s="24"/>
      <c r="G477" s="24"/>
      <c r="H477" s="235"/>
    </row>
    <row r="478">
      <c r="A478" s="114"/>
      <c r="B478" s="1"/>
      <c r="C478" s="1"/>
      <c r="D478" s="1"/>
      <c r="E478" s="1"/>
      <c r="F478" s="24"/>
      <c r="G478" s="24"/>
      <c r="H478" s="235"/>
    </row>
    <row r="479">
      <c r="A479" s="114"/>
      <c r="B479" s="1"/>
      <c r="C479" s="1"/>
      <c r="D479" s="1"/>
      <c r="E479" s="1"/>
      <c r="F479" s="24"/>
      <c r="G479" s="24"/>
      <c r="H479" s="235"/>
    </row>
    <row r="480">
      <c r="A480" s="114"/>
      <c r="B480" s="1"/>
      <c r="C480" s="1"/>
      <c r="D480" s="1"/>
      <c r="E480" s="1"/>
      <c r="F480" s="24"/>
      <c r="G480" s="24"/>
      <c r="H480" s="235"/>
    </row>
    <row r="481">
      <c r="A481" s="114"/>
      <c r="B481" s="1"/>
      <c r="C481" s="1"/>
      <c r="D481" s="1"/>
      <c r="E481" s="1"/>
      <c r="F481" s="24"/>
      <c r="G481" s="24"/>
      <c r="H481" s="235"/>
    </row>
    <row r="482">
      <c r="A482" s="114"/>
      <c r="B482" s="1"/>
      <c r="C482" s="1"/>
      <c r="D482" s="1"/>
      <c r="E482" s="1"/>
      <c r="F482" s="24"/>
      <c r="G482" s="24"/>
      <c r="H482" s="235"/>
    </row>
    <row r="483">
      <c r="A483" s="114"/>
      <c r="B483" s="1"/>
      <c r="C483" s="1"/>
      <c r="D483" s="1"/>
      <c r="E483" s="1"/>
      <c r="F483" s="24"/>
      <c r="G483" s="24"/>
      <c r="H483" s="235"/>
    </row>
    <row r="484">
      <c r="A484" s="114"/>
      <c r="B484" s="1"/>
      <c r="C484" s="1"/>
      <c r="D484" s="1"/>
      <c r="E484" s="1"/>
      <c r="F484" s="24"/>
      <c r="G484" s="24"/>
      <c r="H484" s="235"/>
    </row>
    <row r="485">
      <c r="A485" s="114"/>
      <c r="B485" s="1"/>
      <c r="C485" s="1"/>
      <c r="D485" s="1"/>
      <c r="E485" s="1"/>
      <c r="F485" s="24"/>
      <c r="G485" s="24"/>
      <c r="H485" s="235"/>
    </row>
    <row r="486">
      <c r="A486" s="114"/>
      <c r="B486" s="1"/>
      <c r="C486" s="1"/>
      <c r="D486" s="1"/>
      <c r="E486" s="1"/>
      <c r="F486" s="24"/>
      <c r="G486" s="24"/>
      <c r="H486" s="235"/>
    </row>
    <row r="487">
      <c r="A487" s="114"/>
      <c r="B487" s="1"/>
      <c r="C487" s="1"/>
      <c r="D487" s="1"/>
      <c r="E487" s="1"/>
      <c r="F487" s="24"/>
      <c r="G487" s="24"/>
      <c r="H487" s="235"/>
    </row>
    <row r="488">
      <c r="A488" s="114"/>
      <c r="B488" s="1"/>
      <c r="C488" s="1"/>
      <c r="D488" s="1"/>
      <c r="E488" s="1"/>
      <c r="F488" s="24"/>
      <c r="G488" s="24"/>
      <c r="H488" s="235"/>
    </row>
    <row r="489">
      <c r="A489" s="114"/>
      <c r="B489" s="1"/>
      <c r="C489" s="1"/>
      <c r="D489" s="1"/>
      <c r="E489" s="1"/>
      <c r="F489" s="24"/>
      <c r="G489" s="24"/>
      <c r="H489" s="235"/>
    </row>
    <row r="490">
      <c r="A490" s="114"/>
      <c r="B490" s="1"/>
      <c r="C490" s="1"/>
      <c r="D490" s="1"/>
      <c r="E490" s="1"/>
      <c r="F490" s="24"/>
      <c r="G490" s="24"/>
      <c r="H490" s="235"/>
    </row>
    <row r="491">
      <c r="A491" s="114"/>
      <c r="B491" s="1"/>
      <c r="C491" s="1"/>
      <c r="D491" s="1"/>
      <c r="E491" s="1"/>
      <c r="F491" s="24"/>
      <c r="G491" s="24"/>
      <c r="H491" s="235"/>
    </row>
    <row r="492">
      <c r="A492" s="114"/>
      <c r="B492" s="1"/>
      <c r="C492" s="1"/>
      <c r="D492" s="1"/>
      <c r="E492" s="1"/>
      <c r="F492" s="24"/>
      <c r="G492" s="24"/>
      <c r="H492" s="235"/>
    </row>
    <row r="493">
      <c r="A493" s="114"/>
      <c r="B493" s="1"/>
      <c r="C493" s="1"/>
      <c r="D493" s="1"/>
      <c r="E493" s="1"/>
      <c r="F493" s="24"/>
      <c r="G493" s="24"/>
      <c r="H493" s="235"/>
    </row>
    <row r="494">
      <c r="A494" s="114"/>
      <c r="B494" s="1"/>
      <c r="C494" s="1"/>
      <c r="D494" s="1"/>
      <c r="E494" s="1"/>
      <c r="F494" s="24"/>
      <c r="G494" s="24"/>
      <c r="H494" s="235"/>
    </row>
    <row r="495">
      <c r="A495" s="114"/>
      <c r="B495" s="1"/>
      <c r="C495" s="1"/>
      <c r="D495" s="1"/>
      <c r="E495" s="1"/>
      <c r="F495" s="24"/>
      <c r="G495" s="24"/>
      <c r="H495" s="235"/>
    </row>
    <row r="496">
      <c r="A496" s="114"/>
      <c r="B496" s="1"/>
      <c r="C496" s="1"/>
      <c r="D496" s="1"/>
      <c r="E496" s="1"/>
      <c r="F496" s="24"/>
      <c r="G496" s="24"/>
      <c r="H496" s="235"/>
    </row>
    <row r="497">
      <c r="A497" s="114"/>
      <c r="B497" s="1"/>
      <c r="C497" s="1"/>
      <c r="D497" s="1"/>
      <c r="E497" s="1"/>
      <c r="F497" s="24"/>
      <c r="G497" s="24"/>
      <c r="H497" s="235"/>
    </row>
    <row r="498">
      <c r="A498" s="114"/>
      <c r="B498" s="1"/>
      <c r="C498" s="1"/>
      <c r="D498" s="1"/>
      <c r="E498" s="1"/>
      <c r="F498" s="24"/>
      <c r="G498" s="24"/>
      <c r="H498" s="235"/>
    </row>
    <row r="499">
      <c r="A499" s="114"/>
      <c r="B499" s="1"/>
      <c r="C499" s="1"/>
      <c r="D499" s="1"/>
      <c r="E499" s="1"/>
      <c r="F499" s="24"/>
      <c r="G499" s="24"/>
      <c r="H499" s="235"/>
    </row>
    <row r="500">
      <c r="A500" s="114"/>
      <c r="B500" s="1"/>
      <c r="C500" s="1"/>
      <c r="D500" s="1"/>
      <c r="E500" s="1"/>
      <c r="F500" s="24"/>
      <c r="G500" s="24"/>
      <c r="H500" s="235"/>
    </row>
    <row r="501">
      <c r="A501" s="114"/>
      <c r="B501" s="1"/>
      <c r="C501" s="1"/>
      <c r="D501" s="1"/>
      <c r="E501" s="1"/>
      <c r="F501" s="24"/>
      <c r="G501" s="24"/>
      <c r="H501" s="235"/>
    </row>
    <row r="502">
      <c r="A502" s="114"/>
      <c r="B502" s="1"/>
      <c r="C502" s="1"/>
      <c r="D502" s="1"/>
      <c r="E502" s="1"/>
      <c r="F502" s="24"/>
      <c r="G502" s="24"/>
      <c r="H502" s="235"/>
    </row>
    <row r="503">
      <c r="A503" s="114"/>
      <c r="B503" s="1"/>
      <c r="C503" s="1"/>
      <c r="D503" s="1"/>
      <c r="E503" s="1"/>
      <c r="F503" s="24"/>
      <c r="G503" s="24"/>
      <c r="H503" s="235"/>
    </row>
    <row r="504">
      <c r="A504" s="114"/>
      <c r="B504" s="1"/>
      <c r="C504" s="1"/>
      <c r="D504" s="1"/>
      <c r="E504" s="1"/>
      <c r="F504" s="24"/>
      <c r="G504" s="24"/>
      <c r="H504" s="235"/>
    </row>
    <row r="505">
      <c r="A505" s="114"/>
      <c r="B505" s="1"/>
      <c r="C505" s="1"/>
      <c r="D505" s="1"/>
      <c r="E505" s="1"/>
      <c r="F505" s="24"/>
      <c r="G505" s="24"/>
      <c r="H505" s="235"/>
    </row>
    <row r="506">
      <c r="A506" s="114"/>
      <c r="B506" s="1"/>
      <c r="C506" s="1"/>
      <c r="D506" s="1"/>
      <c r="E506" s="1"/>
      <c r="F506" s="24"/>
      <c r="G506" s="24"/>
      <c r="H506" s="235"/>
    </row>
    <row r="507">
      <c r="A507" s="114"/>
      <c r="B507" s="1"/>
      <c r="C507" s="1"/>
      <c r="D507" s="1"/>
      <c r="E507" s="1"/>
      <c r="F507" s="24"/>
      <c r="G507" s="24"/>
      <c r="H507" s="235"/>
    </row>
    <row r="508">
      <c r="A508" s="114"/>
      <c r="B508" s="1"/>
      <c r="C508" s="1"/>
      <c r="D508" s="1"/>
      <c r="E508" s="1"/>
      <c r="F508" s="24"/>
      <c r="G508" s="24"/>
      <c r="H508" s="235"/>
    </row>
    <row r="509">
      <c r="A509" s="114"/>
      <c r="B509" s="1"/>
      <c r="C509" s="1"/>
      <c r="D509" s="1"/>
      <c r="E509" s="1"/>
      <c r="F509" s="24"/>
      <c r="G509" s="24"/>
      <c r="H509" s="235"/>
    </row>
    <row r="510">
      <c r="A510" s="114"/>
      <c r="B510" s="1"/>
      <c r="C510" s="1"/>
      <c r="D510" s="1"/>
      <c r="E510" s="1"/>
      <c r="F510" s="24"/>
      <c r="G510" s="24"/>
      <c r="H510" s="235"/>
    </row>
    <row r="511">
      <c r="A511" s="114"/>
      <c r="B511" s="1"/>
      <c r="C511" s="1"/>
      <c r="D511" s="1"/>
      <c r="E511" s="1"/>
      <c r="F511" s="24"/>
      <c r="G511" s="24"/>
      <c r="H511" s="235"/>
    </row>
    <row r="512">
      <c r="A512" s="114"/>
      <c r="B512" s="1"/>
      <c r="C512" s="1"/>
      <c r="D512" s="1"/>
      <c r="E512" s="1"/>
      <c r="F512" s="24"/>
      <c r="G512" s="24"/>
      <c r="H512" s="235"/>
    </row>
    <row r="513">
      <c r="A513" s="114"/>
      <c r="B513" s="1"/>
      <c r="C513" s="1"/>
      <c r="D513" s="1"/>
      <c r="E513" s="1"/>
      <c r="F513" s="24"/>
      <c r="G513" s="24"/>
      <c r="H513" s="235"/>
    </row>
    <row r="514">
      <c r="A514" s="114"/>
      <c r="B514" s="1"/>
      <c r="C514" s="1"/>
      <c r="D514" s="1"/>
      <c r="E514" s="1"/>
      <c r="F514" s="24"/>
      <c r="G514" s="24"/>
      <c r="H514" s="235"/>
    </row>
    <row r="515">
      <c r="A515" s="114"/>
      <c r="B515" s="1"/>
      <c r="C515" s="1"/>
      <c r="D515" s="1"/>
      <c r="E515" s="1"/>
      <c r="F515" s="24"/>
      <c r="G515" s="24"/>
      <c r="H515" s="235"/>
    </row>
    <row r="516">
      <c r="A516" s="114"/>
      <c r="B516" s="1"/>
      <c r="C516" s="1"/>
      <c r="D516" s="1"/>
      <c r="E516" s="1"/>
      <c r="F516" s="24"/>
      <c r="G516" s="24"/>
      <c r="H516" s="235"/>
    </row>
    <row r="517">
      <c r="A517" s="114"/>
      <c r="B517" s="1"/>
      <c r="C517" s="1"/>
      <c r="D517" s="1"/>
      <c r="E517" s="1"/>
      <c r="F517" s="24"/>
      <c r="G517" s="24"/>
      <c r="H517" s="235"/>
    </row>
    <row r="518">
      <c r="A518" s="114"/>
      <c r="B518" s="1"/>
      <c r="C518" s="1"/>
      <c r="D518" s="1"/>
      <c r="E518" s="1"/>
      <c r="F518" s="24"/>
      <c r="G518" s="24"/>
      <c r="H518" s="235"/>
    </row>
    <row r="519">
      <c r="A519" s="114"/>
      <c r="B519" s="1"/>
      <c r="C519" s="1"/>
      <c r="D519" s="1"/>
      <c r="E519" s="1"/>
      <c r="F519" s="24"/>
      <c r="G519" s="24"/>
      <c r="H519" s="235"/>
    </row>
    <row r="520">
      <c r="A520" s="114"/>
      <c r="B520" s="1"/>
      <c r="C520" s="1"/>
      <c r="D520" s="1"/>
      <c r="E520" s="1"/>
      <c r="F520" s="24"/>
      <c r="G520" s="24"/>
      <c r="H520" s="235"/>
    </row>
    <row r="521">
      <c r="A521" s="114"/>
      <c r="B521" s="1"/>
      <c r="C521" s="1"/>
      <c r="D521" s="1"/>
      <c r="E521" s="1"/>
      <c r="F521" s="24"/>
      <c r="G521" s="24"/>
      <c r="H521" s="235"/>
    </row>
    <row r="522">
      <c r="A522" s="114"/>
      <c r="B522" s="1"/>
      <c r="C522" s="1"/>
      <c r="D522" s="1"/>
      <c r="E522" s="1"/>
      <c r="F522" s="24"/>
      <c r="G522" s="24"/>
      <c r="H522" s="235"/>
    </row>
    <row r="523">
      <c r="A523" s="114"/>
      <c r="B523" s="1"/>
      <c r="C523" s="1"/>
      <c r="D523" s="1"/>
      <c r="E523" s="1"/>
      <c r="F523" s="24"/>
      <c r="G523" s="24"/>
      <c r="H523" s="235"/>
    </row>
    <row r="524">
      <c r="A524" s="114"/>
      <c r="B524" s="1"/>
      <c r="C524" s="1"/>
      <c r="D524" s="1"/>
      <c r="E524" s="1"/>
      <c r="F524" s="24"/>
      <c r="G524" s="24"/>
      <c r="H524" s="235"/>
    </row>
    <row r="525">
      <c r="A525" s="114"/>
      <c r="B525" s="1"/>
      <c r="C525" s="1"/>
      <c r="D525" s="1"/>
      <c r="E525" s="1"/>
      <c r="F525" s="24"/>
      <c r="G525" s="24"/>
      <c r="H525" s="235"/>
    </row>
    <row r="526">
      <c r="A526" s="114"/>
      <c r="B526" s="1"/>
      <c r="C526" s="1"/>
      <c r="D526" s="1"/>
      <c r="E526" s="1"/>
      <c r="F526" s="24"/>
      <c r="G526" s="24"/>
      <c r="H526" s="235"/>
    </row>
    <row r="527">
      <c r="A527" s="114"/>
      <c r="B527" s="1"/>
      <c r="C527" s="1"/>
      <c r="D527" s="1"/>
      <c r="E527" s="1"/>
      <c r="F527" s="24"/>
      <c r="G527" s="24"/>
      <c r="H527" s="235"/>
    </row>
    <row r="528">
      <c r="A528" s="114"/>
      <c r="B528" s="1"/>
      <c r="C528" s="1"/>
      <c r="D528" s="1"/>
      <c r="E528" s="1"/>
      <c r="F528" s="24"/>
      <c r="G528" s="24"/>
      <c r="H528" s="235"/>
    </row>
    <row r="529">
      <c r="A529" s="114"/>
      <c r="B529" s="1"/>
      <c r="C529" s="1"/>
      <c r="D529" s="1"/>
      <c r="E529" s="1"/>
      <c r="F529" s="24"/>
      <c r="G529" s="24"/>
      <c r="H529" s="235"/>
    </row>
    <row r="530">
      <c r="A530" s="114"/>
      <c r="B530" s="1"/>
      <c r="C530" s="1"/>
      <c r="D530" s="1"/>
      <c r="E530" s="1"/>
      <c r="F530" s="24"/>
      <c r="G530" s="24"/>
      <c r="H530" s="235"/>
    </row>
    <row r="531">
      <c r="A531" s="114"/>
      <c r="B531" s="1"/>
      <c r="C531" s="1"/>
      <c r="D531" s="1"/>
      <c r="E531" s="1"/>
      <c r="F531" s="24"/>
      <c r="G531" s="24"/>
      <c r="H531" s="235"/>
    </row>
    <row r="532">
      <c r="A532" s="114"/>
      <c r="B532" s="1"/>
      <c r="C532" s="1"/>
      <c r="D532" s="1"/>
      <c r="E532" s="1"/>
      <c r="F532" s="24"/>
      <c r="G532" s="24"/>
      <c r="H532" s="235"/>
    </row>
    <row r="533">
      <c r="A533" s="114"/>
      <c r="B533" s="1"/>
      <c r="C533" s="1"/>
      <c r="D533" s="1"/>
      <c r="E533" s="1"/>
      <c r="F533" s="24"/>
      <c r="G533" s="24"/>
      <c r="H533" s="235"/>
    </row>
    <row r="534">
      <c r="A534" s="114"/>
      <c r="B534" s="1"/>
      <c r="C534" s="1"/>
      <c r="D534" s="1"/>
      <c r="E534" s="1"/>
      <c r="F534" s="24"/>
      <c r="G534" s="24"/>
      <c r="H534" s="235"/>
    </row>
    <row r="535">
      <c r="A535" s="114"/>
      <c r="B535" s="1"/>
      <c r="C535" s="1"/>
      <c r="D535" s="1"/>
      <c r="E535" s="1"/>
      <c r="F535" s="24"/>
      <c r="G535" s="24"/>
      <c r="H535" s="235"/>
    </row>
    <row r="536">
      <c r="A536" s="114"/>
      <c r="B536" s="1"/>
      <c r="C536" s="1"/>
      <c r="D536" s="1"/>
      <c r="E536" s="1"/>
      <c r="F536" s="24"/>
      <c r="G536" s="24"/>
      <c r="H536" s="235"/>
    </row>
    <row r="537">
      <c r="A537" s="114"/>
      <c r="B537" s="1"/>
      <c r="C537" s="1"/>
      <c r="D537" s="1"/>
      <c r="E537" s="1"/>
      <c r="F537" s="24"/>
      <c r="G537" s="24"/>
      <c r="H537" s="235"/>
    </row>
    <row r="538">
      <c r="A538" s="114"/>
      <c r="B538" s="1"/>
      <c r="C538" s="1"/>
      <c r="D538" s="1"/>
      <c r="E538" s="1"/>
      <c r="F538" s="24"/>
      <c r="G538" s="24"/>
      <c r="H538" s="235"/>
    </row>
    <row r="539">
      <c r="A539" s="114"/>
      <c r="B539" s="1"/>
      <c r="C539" s="1"/>
      <c r="D539" s="1"/>
      <c r="E539" s="1"/>
      <c r="F539" s="24"/>
      <c r="G539" s="24"/>
      <c r="H539" s="235"/>
    </row>
    <row r="540">
      <c r="A540" s="114"/>
      <c r="B540" s="1"/>
      <c r="C540" s="1"/>
      <c r="D540" s="1"/>
      <c r="E540" s="1"/>
      <c r="F540" s="24"/>
      <c r="G540" s="24"/>
      <c r="H540" s="235"/>
    </row>
    <row r="541">
      <c r="A541" s="114"/>
      <c r="B541" s="1"/>
      <c r="C541" s="1"/>
      <c r="D541" s="1"/>
      <c r="E541" s="1"/>
      <c r="F541" s="24"/>
      <c r="G541" s="24"/>
      <c r="H541" s="235"/>
    </row>
    <row r="542">
      <c r="A542" s="114"/>
      <c r="B542" s="1"/>
      <c r="C542" s="1"/>
      <c r="D542" s="1"/>
      <c r="E542" s="1"/>
      <c r="F542" s="24"/>
      <c r="G542" s="24"/>
      <c r="H542" s="235"/>
    </row>
    <row r="543">
      <c r="A543" s="114"/>
      <c r="B543" s="1"/>
      <c r="C543" s="1"/>
      <c r="D543" s="1"/>
      <c r="E543" s="1"/>
      <c r="F543" s="24"/>
      <c r="G543" s="24"/>
      <c r="H543" s="235"/>
    </row>
    <row r="544">
      <c r="A544" s="114"/>
      <c r="B544" s="1"/>
      <c r="C544" s="1"/>
      <c r="D544" s="1"/>
      <c r="E544" s="1"/>
      <c r="F544" s="24"/>
      <c r="G544" s="24"/>
      <c r="H544" s="235"/>
    </row>
    <row r="545">
      <c r="A545" s="114"/>
      <c r="B545" s="1"/>
      <c r="C545" s="1"/>
      <c r="D545" s="1"/>
      <c r="E545" s="1"/>
      <c r="F545" s="24"/>
      <c r="G545" s="24"/>
      <c r="H545" s="235"/>
    </row>
    <row r="546">
      <c r="A546" s="114"/>
      <c r="B546" s="1"/>
      <c r="C546" s="1"/>
      <c r="D546" s="1"/>
      <c r="E546" s="1"/>
      <c r="F546" s="24"/>
      <c r="G546" s="24"/>
      <c r="H546" s="235"/>
    </row>
    <row r="547">
      <c r="A547" s="114"/>
      <c r="B547" s="1"/>
      <c r="C547" s="1"/>
      <c r="D547" s="1"/>
      <c r="E547" s="1"/>
      <c r="F547" s="24"/>
      <c r="G547" s="24"/>
      <c r="H547" s="235"/>
    </row>
    <row r="548">
      <c r="A548" s="114"/>
      <c r="B548" s="1"/>
      <c r="C548" s="1"/>
      <c r="D548" s="1"/>
      <c r="E548" s="1"/>
      <c r="F548" s="24"/>
      <c r="G548" s="24"/>
      <c r="H548" s="235"/>
    </row>
    <row r="549">
      <c r="A549" s="114"/>
      <c r="B549" s="1"/>
      <c r="C549" s="1"/>
      <c r="D549" s="1"/>
      <c r="E549" s="1"/>
      <c r="F549" s="24"/>
      <c r="G549" s="24"/>
      <c r="H549" s="235"/>
    </row>
    <row r="550">
      <c r="A550" s="114"/>
      <c r="B550" s="1"/>
      <c r="C550" s="1"/>
      <c r="D550" s="1"/>
      <c r="E550" s="1"/>
      <c r="F550" s="24"/>
      <c r="G550" s="24"/>
      <c r="H550" s="235"/>
    </row>
    <row r="551">
      <c r="A551" s="114"/>
      <c r="B551" s="1"/>
      <c r="C551" s="1"/>
      <c r="D551" s="1"/>
      <c r="E551" s="1"/>
      <c r="F551" s="24"/>
      <c r="G551" s="24"/>
      <c r="H551" s="235"/>
    </row>
    <row r="552">
      <c r="A552" s="114"/>
      <c r="B552" s="1"/>
      <c r="C552" s="1"/>
      <c r="D552" s="1"/>
      <c r="E552" s="1"/>
      <c r="F552" s="24"/>
      <c r="G552" s="24"/>
      <c r="H552" s="235"/>
    </row>
    <row r="553">
      <c r="A553" s="114"/>
      <c r="B553" s="1"/>
      <c r="C553" s="1"/>
      <c r="D553" s="1"/>
      <c r="E553" s="1"/>
      <c r="F553" s="24"/>
      <c r="G553" s="24"/>
      <c r="H553" s="235"/>
    </row>
    <row r="554">
      <c r="A554" s="114"/>
      <c r="B554" s="1"/>
      <c r="C554" s="1"/>
      <c r="D554" s="1"/>
      <c r="E554" s="1"/>
      <c r="F554" s="24"/>
      <c r="G554" s="24"/>
      <c r="H554" s="235"/>
    </row>
    <row r="555">
      <c r="A555" s="114"/>
      <c r="B555" s="1"/>
      <c r="C555" s="1"/>
      <c r="D555" s="1"/>
      <c r="E555" s="1"/>
      <c r="F555" s="24"/>
      <c r="G555" s="24"/>
      <c r="H555" s="235"/>
    </row>
    <row r="556">
      <c r="A556" s="114"/>
      <c r="B556" s="1"/>
      <c r="C556" s="1"/>
      <c r="D556" s="1"/>
      <c r="E556" s="1"/>
      <c r="F556" s="24"/>
      <c r="G556" s="24"/>
      <c r="H556" s="235"/>
    </row>
    <row r="557">
      <c r="A557" s="114"/>
      <c r="B557" s="1"/>
      <c r="C557" s="1"/>
      <c r="D557" s="1"/>
      <c r="E557" s="1"/>
      <c r="F557" s="24"/>
      <c r="G557" s="24"/>
      <c r="H557" s="235"/>
    </row>
    <row r="558">
      <c r="A558" s="114"/>
      <c r="B558" s="1"/>
      <c r="C558" s="1"/>
      <c r="D558" s="1"/>
      <c r="E558" s="1"/>
      <c r="F558" s="24"/>
      <c r="G558" s="24"/>
      <c r="H558" s="235"/>
    </row>
    <row r="559">
      <c r="A559" s="114"/>
      <c r="B559" s="1"/>
      <c r="C559" s="1"/>
      <c r="D559" s="1"/>
      <c r="E559" s="1"/>
      <c r="F559" s="24"/>
      <c r="G559" s="24"/>
      <c r="H559" s="235"/>
    </row>
    <row r="560">
      <c r="A560" s="114"/>
      <c r="B560" s="1"/>
      <c r="C560" s="1"/>
      <c r="D560" s="1"/>
      <c r="E560" s="1"/>
      <c r="F560" s="24"/>
      <c r="G560" s="24"/>
      <c r="H560" s="235"/>
    </row>
    <row r="561">
      <c r="A561" s="114"/>
      <c r="B561" s="1"/>
      <c r="C561" s="1"/>
      <c r="D561" s="1"/>
      <c r="E561" s="1"/>
      <c r="F561" s="24"/>
      <c r="G561" s="24"/>
      <c r="H561" s="235"/>
    </row>
    <row r="562">
      <c r="A562" s="114"/>
      <c r="B562" s="1"/>
      <c r="C562" s="1"/>
      <c r="D562" s="1"/>
      <c r="E562" s="1"/>
      <c r="F562" s="24"/>
      <c r="G562" s="24"/>
      <c r="H562" s="235"/>
    </row>
    <row r="563">
      <c r="A563" s="114"/>
      <c r="B563" s="1"/>
      <c r="C563" s="1"/>
      <c r="D563" s="1"/>
      <c r="E563" s="1"/>
      <c r="F563" s="24"/>
      <c r="G563" s="24"/>
      <c r="H563" s="235"/>
    </row>
    <row r="564">
      <c r="A564" s="114"/>
      <c r="B564" s="1"/>
      <c r="C564" s="1"/>
      <c r="D564" s="1"/>
      <c r="E564" s="1"/>
      <c r="F564" s="24"/>
      <c r="G564" s="24"/>
      <c r="H564" s="235"/>
    </row>
    <row r="565">
      <c r="A565" s="114"/>
      <c r="B565" s="1"/>
      <c r="C565" s="1"/>
      <c r="D565" s="1"/>
      <c r="E565" s="1"/>
      <c r="F565" s="24"/>
      <c r="G565" s="24"/>
      <c r="H565" s="235"/>
    </row>
    <row r="566">
      <c r="A566" s="114"/>
      <c r="B566" s="1"/>
      <c r="C566" s="1"/>
      <c r="D566" s="1"/>
      <c r="E566" s="1"/>
      <c r="F566" s="24"/>
      <c r="G566" s="24"/>
      <c r="H566" s="235"/>
    </row>
    <row r="567">
      <c r="A567" s="114"/>
      <c r="B567" s="1"/>
      <c r="C567" s="1"/>
      <c r="D567" s="1"/>
      <c r="E567" s="1"/>
      <c r="F567" s="24"/>
      <c r="G567" s="24"/>
      <c r="H567" s="235"/>
    </row>
    <row r="568">
      <c r="A568" s="114"/>
      <c r="B568" s="1"/>
      <c r="C568" s="1"/>
      <c r="D568" s="1"/>
      <c r="E568" s="1"/>
      <c r="F568" s="24"/>
      <c r="G568" s="24"/>
      <c r="H568" s="235"/>
    </row>
    <row r="569">
      <c r="A569" s="114"/>
      <c r="B569" s="1"/>
      <c r="C569" s="1"/>
      <c r="D569" s="1"/>
      <c r="E569" s="1"/>
      <c r="F569" s="24"/>
      <c r="G569" s="24"/>
      <c r="H569" s="235"/>
    </row>
    <row r="570">
      <c r="A570" s="114"/>
      <c r="B570" s="1"/>
      <c r="C570" s="1"/>
      <c r="D570" s="1"/>
      <c r="E570" s="1"/>
      <c r="F570" s="24"/>
      <c r="G570" s="24"/>
      <c r="H570" s="235"/>
    </row>
    <row r="571">
      <c r="A571" s="114"/>
      <c r="B571" s="1"/>
      <c r="C571" s="1"/>
      <c r="D571" s="1"/>
      <c r="E571" s="1"/>
      <c r="F571" s="24"/>
      <c r="G571" s="24"/>
      <c r="H571" s="235"/>
    </row>
    <row r="572">
      <c r="A572" s="114"/>
      <c r="B572" s="1"/>
      <c r="C572" s="1"/>
      <c r="D572" s="1"/>
      <c r="E572" s="1"/>
      <c r="F572" s="24"/>
      <c r="G572" s="24"/>
      <c r="H572" s="235"/>
    </row>
    <row r="573">
      <c r="A573" s="114"/>
      <c r="B573" s="1"/>
      <c r="C573" s="1"/>
      <c r="D573" s="1"/>
      <c r="E573" s="1"/>
      <c r="F573" s="24"/>
      <c r="G573" s="24"/>
      <c r="H573" s="235"/>
    </row>
    <row r="574">
      <c r="A574" s="114"/>
      <c r="B574" s="1"/>
      <c r="C574" s="1"/>
      <c r="D574" s="1"/>
      <c r="E574" s="1"/>
      <c r="F574" s="24"/>
      <c r="G574" s="24"/>
      <c r="H574" s="235"/>
    </row>
    <row r="575">
      <c r="A575" s="114"/>
      <c r="B575" s="1"/>
      <c r="C575" s="1"/>
      <c r="D575" s="1"/>
      <c r="E575" s="1"/>
      <c r="F575" s="24"/>
      <c r="G575" s="24"/>
      <c r="H575" s="235"/>
    </row>
    <row r="576">
      <c r="A576" s="114"/>
      <c r="B576" s="1"/>
      <c r="C576" s="1"/>
      <c r="D576" s="1"/>
      <c r="E576" s="1"/>
      <c r="F576" s="24"/>
      <c r="G576" s="24"/>
      <c r="H576" s="235"/>
    </row>
    <row r="577">
      <c r="A577" s="114"/>
      <c r="B577" s="1"/>
      <c r="C577" s="1"/>
      <c r="D577" s="1"/>
      <c r="E577" s="1"/>
      <c r="F577" s="24"/>
      <c r="G577" s="24"/>
      <c r="H577" s="235"/>
    </row>
    <row r="578">
      <c r="A578" s="114"/>
      <c r="B578" s="1"/>
      <c r="C578" s="1"/>
      <c r="D578" s="1"/>
      <c r="E578" s="1"/>
      <c r="F578" s="24"/>
      <c r="G578" s="24"/>
      <c r="H578" s="235"/>
    </row>
    <row r="579">
      <c r="A579" s="114"/>
      <c r="B579" s="1"/>
      <c r="C579" s="1"/>
      <c r="D579" s="1"/>
      <c r="E579" s="1"/>
      <c r="F579" s="24"/>
      <c r="G579" s="24"/>
      <c r="H579" s="235"/>
    </row>
    <row r="580">
      <c r="A580" s="114"/>
      <c r="B580" s="1"/>
      <c r="C580" s="1"/>
      <c r="D580" s="1"/>
      <c r="E580" s="1"/>
      <c r="F580" s="24"/>
      <c r="G580" s="24"/>
      <c r="H580" s="235"/>
    </row>
    <row r="581">
      <c r="A581" s="114"/>
      <c r="B581" s="1"/>
      <c r="C581" s="1"/>
      <c r="D581" s="1"/>
      <c r="E581" s="1"/>
      <c r="F581" s="24"/>
      <c r="G581" s="24"/>
      <c r="H581" s="235"/>
    </row>
    <row r="582">
      <c r="A582" s="114"/>
      <c r="B582" s="1"/>
      <c r="C582" s="1"/>
      <c r="D582" s="1"/>
      <c r="E582" s="1"/>
      <c r="F582" s="24"/>
      <c r="G582" s="24"/>
      <c r="H582" s="235"/>
    </row>
    <row r="583">
      <c r="A583" s="114"/>
      <c r="B583" s="1"/>
      <c r="C583" s="1"/>
      <c r="D583" s="1"/>
      <c r="E583" s="1"/>
      <c r="F583" s="24"/>
      <c r="G583" s="24"/>
      <c r="H583" s="235"/>
    </row>
    <row r="584">
      <c r="A584" s="114"/>
      <c r="B584" s="1"/>
      <c r="C584" s="1"/>
      <c r="D584" s="1"/>
      <c r="E584" s="1"/>
      <c r="F584" s="24"/>
      <c r="G584" s="24"/>
      <c r="H584" s="235"/>
    </row>
    <row r="585">
      <c r="A585" s="114"/>
      <c r="B585" s="1"/>
      <c r="C585" s="1"/>
      <c r="D585" s="1"/>
      <c r="E585" s="1"/>
      <c r="F585" s="24"/>
      <c r="G585" s="24"/>
      <c r="H585" s="235"/>
    </row>
    <row r="586">
      <c r="A586" s="114"/>
      <c r="B586" s="1"/>
      <c r="C586" s="1"/>
      <c r="D586" s="1"/>
      <c r="E586" s="1"/>
      <c r="F586" s="24"/>
      <c r="G586" s="24"/>
      <c r="H586" s="235"/>
    </row>
    <row r="587">
      <c r="A587" s="114"/>
      <c r="B587" s="1"/>
      <c r="C587" s="1"/>
      <c r="D587" s="1"/>
      <c r="E587" s="1"/>
      <c r="F587" s="24"/>
      <c r="G587" s="24"/>
      <c r="H587" s="235"/>
    </row>
    <row r="588">
      <c r="A588" s="114"/>
      <c r="B588" s="1"/>
      <c r="C588" s="1"/>
      <c r="D588" s="1"/>
      <c r="E588" s="1"/>
      <c r="F588" s="24"/>
      <c r="G588" s="24"/>
      <c r="H588" s="235"/>
    </row>
    <row r="589">
      <c r="A589" s="114"/>
      <c r="B589" s="1"/>
      <c r="C589" s="1"/>
      <c r="D589" s="1"/>
      <c r="E589" s="1"/>
      <c r="F589" s="24"/>
      <c r="G589" s="24"/>
      <c r="H589" s="235"/>
    </row>
    <row r="590">
      <c r="A590" s="114"/>
      <c r="B590" s="1"/>
      <c r="C590" s="1"/>
      <c r="D590" s="1"/>
      <c r="E590" s="1"/>
      <c r="F590" s="24"/>
      <c r="G590" s="24"/>
      <c r="H590" s="235"/>
    </row>
    <row r="591">
      <c r="A591" s="114"/>
      <c r="B591" s="1"/>
      <c r="C591" s="1"/>
      <c r="D591" s="1"/>
      <c r="E591" s="1"/>
      <c r="F591" s="24"/>
      <c r="G591" s="24"/>
      <c r="H591" s="235"/>
    </row>
    <row r="592">
      <c r="A592" s="114"/>
      <c r="B592" s="1"/>
      <c r="C592" s="1"/>
      <c r="D592" s="1"/>
      <c r="E592" s="1"/>
      <c r="F592" s="24"/>
      <c r="G592" s="24"/>
      <c r="H592" s="235"/>
    </row>
    <row r="593">
      <c r="A593" s="114"/>
      <c r="B593" s="1"/>
      <c r="C593" s="1"/>
      <c r="D593" s="1"/>
      <c r="E593" s="1"/>
      <c r="F593" s="24"/>
      <c r="G593" s="24"/>
      <c r="H593" s="235"/>
    </row>
    <row r="594">
      <c r="A594" s="114"/>
      <c r="B594" s="1"/>
      <c r="C594" s="1"/>
      <c r="D594" s="1"/>
      <c r="E594" s="1"/>
      <c r="F594" s="24"/>
      <c r="G594" s="24"/>
      <c r="H594" s="235"/>
    </row>
    <row r="595">
      <c r="A595" s="114"/>
      <c r="B595" s="1"/>
      <c r="C595" s="1"/>
      <c r="D595" s="1"/>
      <c r="E595" s="1"/>
      <c r="F595" s="24"/>
      <c r="G595" s="24"/>
      <c r="H595" s="235"/>
    </row>
    <row r="596">
      <c r="A596" s="114"/>
      <c r="B596" s="1"/>
      <c r="C596" s="1"/>
      <c r="D596" s="1"/>
      <c r="E596" s="1"/>
      <c r="F596" s="24"/>
      <c r="G596" s="24"/>
      <c r="H596" s="235"/>
    </row>
    <row r="597">
      <c r="A597" s="114"/>
      <c r="B597" s="1"/>
      <c r="C597" s="1"/>
      <c r="D597" s="1"/>
      <c r="E597" s="1"/>
      <c r="F597" s="24"/>
      <c r="G597" s="24"/>
      <c r="H597" s="235"/>
    </row>
    <row r="598">
      <c r="A598" s="114"/>
      <c r="B598" s="1"/>
      <c r="C598" s="1"/>
      <c r="D598" s="1"/>
      <c r="E598" s="1"/>
      <c r="F598" s="24"/>
      <c r="G598" s="24"/>
      <c r="H598" s="235"/>
    </row>
    <row r="599">
      <c r="A599" s="114"/>
      <c r="B599" s="1"/>
      <c r="C599" s="1"/>
      <c r="D599" s="1"/>
      <c r="E599" s="1"/>
      <c r="F599" s="24"/>
      <c r="G599" s="24"/>
      <c r="H599" s="235"/>
    </row>
    <row r="600">
      <c r="A600" s="114"/>
      <c r="B600" s="1"/>
      <c r="C600" s="1"/>
      <c r="D600" s="1"/>
      <c r="E600" s="1"/>
      <c r="F600" s="24"/>
      <c r="G600" s="24"/>
      <c r="H600" s="235"/>
    </row>
    <row r="601">
      <c r="A601" s="114"/>
      <c r="B601" s="1"/>
      <c r="C601" s="1"/>
      <c r="D601" s="1"/>
      <c r="E601" s="1"/>
      <c r="F601" s="24"/>
      <c r="G601" s="24"/>
      <c r="H601" s="235"/>
    </row>
    <row r="602">
      <c r="A602" s="114"/>
      <c r="B602" s="1"/>
      <c r="C602" s="1"/>
      <c r="D602" s="1"/>
      <c r="E602" s="1"/>
      <c r="F602" s="24"/>
      <c r="G602" s="24"/>
      <c r="H602" s="235"/>
    </row>
    <row r="603">
      <c r="A603" s="114"/>
      <c r="B603" s="1"/>
      <c r="C603" s="1"/>
      <c r="D603" s="1"/>
      <c r="E603" s="1"/>
      <c r="F603" s="24"/>
      <c r="G603" s="24"/>
      <c r="H603" s="235"/>
    </row>
    <row r="604">
      <c r="A604" s="114"/>
      <c r="B604" s="1"/>
      <c r="C604" s="1"/>
      <c r="D604" s="1"/>
      <c r="E604" s="1"/>
      <c r="F604" s="24"/>
      <c r="G604" s="24"/>
      <c r="H604" s="235"/>
    </row>
    <row r="605">
      <c r="A605" s="114"/>
      <c r="B605" s="1"/>
      <c r="C605" s="1"/>
      <c r="D605" s="1"/>
      <c r="E605" s="1"/>
      <c r="F605" s="24"/>
      <c r="G605" s="24"/>
      <c r="H605" s="235"/>
    </row>
    <row r="606">
      <c r="A606" s="114"/>
      <c r="B606" s="1"/>
      <c r="C606" s="1"/>
      <c r="D606" s="1"/>
      <c r="E606" s="1"/>
      <c r="F606" s="24"/>
      <c r="G606" s="24"/>
      <c r="H606" s="235"/>
    </row>
    <row r="607">
      <c r="A607" s="114"/>
      <c r="B607" s="1"/>
      <c r="C607" s="1"/>
      <c r="D607" s="1"/>
      <c r="E607" s="1"/>
      <c r="F607" s="24"/>
      <c r="G607" s="24"/>
      <c r="H607" s="235"/>
    </row>
    <row r="608">
      <c r="A608" s="114"/>
      <c r="B608" s="1"/>
      <c r="C608" s="1"/>
      <c r="D608" s="1"/>
      <c r="E608" s="1"/>
      <c r="F608" s="24"/>
      <c r="G608" s="24"/>
      <c r="H608" s="235"/>
    </row>
    <row r="609">
      <c r="A609" s="114"/>
      <c r="B609" s="1"/>
      <c r="C609" s="1"/>
      <c r="D609" s="1"/>
      <c r="E609" s="1"/>
      <c r="F609" s="24"/>
      <c r="G609" s="24"/>
      <c r="H609" s="235"/>
    </row>
    <row r="610">
      <c r="A610" s="114"/>
      <c r="B610" s="1"/>
      <c r="C610" s="1"/>
      <c r="D610" s="1"/>
      <c r="E610" s="1"/>
      <c r="F610" s="24"/>
      <c r="G610" s="24"/>
      <c r="H610" s="235"/>
    </row>
    <row r="611">
      <c r="A611" s="114"/>
      <c r="B611" s="1"/>
      <c r="C611" s="1"/>
      <c r="D611" s="1"/>
      <c r="E611" s="1"/>
      <c r="F611" s="24"/>
      <c r="G611" s="24"/>
      <c r="H611" s="235"/>
    </row>
    <row r="612">
      <c r="A612" s="114"/>
      <c r="B612" s="1"/>
      <c r="C612" s="1"/>
      <c r="D612" s="1"/>
      <c r="E612" s="1"/>
      <c r="F612" s="24"/>
      <c r="G612" s="24"/>
      <c r="H612" s="235"/>
    </row>
    <row r="613">
      <c r="A613" s="114"/>
      <c r="B613" s="1"/>
      <c r="C613" s="1"/>
      <c r="D613" s="1"/>
      <c r="E613" s="1"/>
      <c r="F613" s="24"/>
      <c r="G613" s="24"/>
      <c r="H613" s="235"/>
    </row>
    <row r="614">
      <c r="A614" s="114"/>
      <c r="B614" s="1"/>
      <c r="C614" s="1"/>
      <c r="D614" s="1"/>
      <c r="E614" s="1"/>
      <c r="F614" s="24"/>
      <c r="G614" s="24"/>
      <c r="H614" s="235"/>
    </row>
    <row r="615">
      <c r="A615" s="114"/>
      <c r="B615" s="1"/>
      <c r="C615" s="1"/>
      <c r="D615" s="1"/>
      <c r="E615" s="1"/>
      <c r="F615" s="24"/>
      <c r="G615" s="24"/>
      <c r="H615" s="235"/>
    </row>
    <row r="616">
      <c r="A616" s="114"/>
      <c r="B616" s="1"/>
      <c r="C616" s="1"/>
      <c r="D616" s="1"/>
      <c r="E616" s="1"/>
      <c r="F616" s="24"/>
      <c r="G616" s="24"/>
      <c r="H616" s="235"/>
    </row>
    <row r="617">
      <c r="A617" s="114"/>
      <c r="B617" s="1"/>
      <c r="C617" s="1"/>
      <c r="D617" s="1"/>
      <c r="E617" s="1"/>
      <c r="F617" s="24"/>
      <c r="G617" s="24"/>
      <c r="H617" s="235"/>
    </row>
    <row r="618">
      <c r="A618" s="114"/>
      <c r="B618" s="1"/>
      <c r="C618" s="1"/>
      <c r="D618" s="1"/>
      <c r="E618" s="1"/>
      <c r="F618" s="24"/>
      <c r="G618" s="24"/>
      <c r="H618" s="235"/>
    </row>
    <row r="619">
      <c r="A619" s="114"/>
      <c r="B619" s="1"/>
      <c r="C619" s="1"/>
      <c r="D619" s="1"/>
      <c r="E619" s="1"/>
      <c r="F619" s="24"/>
      <c r="G619" s="24"/>
      <c r="H619" s="235"/>
    </row>
    <row r="620">
      <c r="A620" s="114"/>
      <c r="B620" s="1"/>
      <c r="C620" s="1"/>
      <c r="D620" s="1"/>
      <c r="E620" s="1"/>
      <c r="F620" s="24"/>
      <c r="G620" s="24"/>
      <c r="H620" s="235"/>
    </row>
    <row r="621">
      <c r="A621" s="114"/>
      <c r="B621" s="1"/>
      <c r="C621" s="1"/>
      <c r="D621" s="1"/>
      <c r="E621" s="1"/>
      <c r="F621" s="24"/>
      <c r="G621" s="24"/>
      <c r="H621" s="235"/>
    </row>
    <row r="622">
      <c r="A622" s="114"/>
      <c r="B622" s="1"/>
      <c r="C622" s="1"/>
      <c r="D622" s="1"/>
      <c r="E622" s="1"/>
      <c r="F622" s="24"/>
      <c r="G622" s="24"/>
      <c r="H622" s="235"/>
    </row>
    <row r="623">
      <c r="A623" s="114"/>
      <c r="B623" s="1"/>
      <c r="C623" s="1"/>
      <c r="D623" s="1"/>
      <c r="E623" s="1"/>
      <c r="F623" s="24"/>
      <c r="G623" s="24"/>
      <c r="H623" s="235"/>
    </row>
    <row r="624">
      <c r="A624" s="114"/>
      <c r="B624" s="1"/>
      <c r="C624" s="1"/>
      <c r="D624" s="1"/>
      <c r="E624" s="1"/>
      <c r="F624" s="24"/>
      <c r="G624" s="24"/>
      <c r="H624" s="235"/>
    </row>
    <row r="625">
      <c r="A625" s="114"/>
      <c r="B625" s="1"/>
      <c r="C625" s="1"/>
      <c r="D625" s="1"/>
      <c r="E625" s="1"/>
      <c r="F625" s="24"/>
      <c r="G625" s="24"/>
      <c r="H625" s="235"/>
    </row>
    <row r="626">
      <c r="A626" s="114"/>
      <c r="B626" s="1"/>
      <c r="C626" s="1"/>
      <c r="D626" s="1"/>
      <c r="E626" s="1"/>
      <c r="F626" s="24"/>
      <c r="G626" s="24"/>
      <c r="H626" s="235"/>
    </row>
    <row r="627">
      <c r="A627" s="114"/>
      <c r="B627" s="1"/>
      <c r="C627" s="1"/>
      <c r="D627" s="1"/>
      <c r="E627" s="1"/>
      <c r="F627" s="24"/>
      <c r="G627" s="24"/>
      <c r="H627" s="235"/>
    </row>
    <row r="628">
      <c r="A628" s="114"/>
      <c r="B628" s="1"/>
      <c r="C628" s="1"/>
      <c r="D628" s="1"/>
      <c r="E628" s="1"/>
      <c r="F628" s="24"/>
      <c r="G628" s="24"/>
      <c r="H628" s="235"/>
    </row>
    <row r="629">
      <c r="A629" s="114"/>
      <c r="B629" s="1"/>
      <c r="C629" s="1"/>
      <c r="D629" s="1"/>
      <c r="E629" s="1"/>
      <c r="F629" s="24"/>
      <c r="G629" s="24"/>
      <c r="H629" s="235"/>
    </row>
    <row r="630">
      <c r="A630" s="114"/>
      <c r="B630" s="1"/>
      <c r="C630" s="1"/>
      <c r="D630" s="1"/>
      <c r="E630" s="1"/>
      <c r="F630" s="24"/>
      <c r="G630" s="24"/>
      <c r="H630" s="235"/>
    </row>
    <row r="631">
      <c r="A631" s="114"/>
      <c r="B631" s="1"/>
      <c r="C631" s="1"/>
      <c r="D631" s="1"/>
      <c r="E631" s="1"/>
      <c r="F631" s="24"/>
      <c r="G631" s="24"/>
      <c r="H631" s="235"/>
    </row>
    <row r="632">
      <c r="A632" s="114"/>
      <c r="B632" s="1"/>
      <c r="C632" s="1"/>
      <c r="D632" s="1"/>
      <c r="E632" s="1"/>
      <c r="F632" s="24"/>
      <c r="G632" s="24"/>
      <c r="H632" s="235"/>
    </row>
    <row r="633">
      <c r="A633" s="114"/>
      <c r="B633" s="1"/>
      <c r="C633" s="1"/>
      <c r="D633" s="1"/>
      <c r="E633" s="1"/>
      <c r="F633" s="24"/>
      <c r="G633" s="24"/>
      <c r="H633" s="235"/>
    </row>
    <row r="634">
      <c r="A634" s="114"/>
      <c r="B634" s="1"/>
      <c r="C634" s="1"/>
      <c r="D634" s="1"/>
      <c r="E634" s="1"/>
      <c r="F634" s="24"/>
      <c r="G634" s="24"/>
      <c r="H634" s="235"/>
    </row>
    <row r="635">
      <c r="A635" s="114"/>
      <c r="B635" s="1"/>
      <c r="C635" s="1"/>
      <c r="D635" s="1"/>
      <c r="E635" s="1"/>
      <c r="F635" s="24"/>
      <c r="G635" s="24"/>
      <c r="H635" s="235"/>
    </row>
    <row r="636">
      <c r="A636" s="114"/>
      <c r="B636" s="1"/>
      <c r="C636" s="1"/>
      <c r="D636" s="1"/>
      <c r="E636" s="1"/>
      <c r="F636" s="24"/>
      <c r="G636" s="24"/>
      <c r="H636" s="235"/>
    </row>
    <row r="637">
      <c r="A637" s="114"/>
      <c r="B637" s="1"/>
      <c r="C637" s="1"/>
      <c r="D637" s="1"/>
      <c r="E637" s="1"/>
      <c r="F637" s="24"/>
      <c r="G637" s="24"/>
      <c r="H637" s="235"/>
    </row>
    <row r="638">
      <c r="A638" s="114"/>
      <c r="B638" s="1"/>
      <c r="C638" s="1"/>
      <c r="D638" s="1"/>
      <c r="E638" s="1"/>
      <c r="F638" s="24"/>
      <c r="G638" s="24"/>
      <c r="H638" s="235"/>
    </row>
    <row r="639">
      <c r="A639" s="114"/>
      <c r="B639" s="1"/>
      <c r="C639" s="1"/>
      <c r="D639" s="1"/>
      <c r="E639" s="1"/>
      <c r="F639" s="24"/>
      <c r="G639" s="24"/>
      <c r="H639" s="235"/>
    </row>
    <row r="640">
      <c r="A640" s="114"/>
      <c r="B640" s="1"/>
      <c r="C640" s="1"/>
      <c r="D640" s="1"/>
      <c r="E640" s="1"/>
      <c r="F640" s="24"/>
      <c r="G640" s="24"/>
      <c r="H640" s="235"/>
    </row>
    <row r="641">
      <c r="A641" s="114"/>
      <c r="B641" s="1"/>
      <c r="C641" s="1"/>
      <c r="D641" s="1"/>
      <c r="E641" s="1"/>
      <c r="F641" s="24"/>
      <c r="G641" s="24"/>
      <c r="H641" s="235"/>
    </row>
    <row r="642">
      <c r="A642" s="114"/>
      <c r="B642" s="1"/>
      <c r="C642" s="1"/>
      <c r="D642" s="1"/>
      <c r="E642" s="1"/>
      <c r="F642" s="24"/>
      <c r="G642" s="24"/>
      <c r="H642" s="235"/>
    </row>
    <row r="643">
      <c r="A643" s="114"/>
      <c r="B643" s="1"/>
      <c r="C643" s="1"/>
      <c r="D643" s="1"/>
      <c r="E643" s="1"/>
      <c r="F643" s="24"/>
      <c r="G643" s="24"/>
      <c r="H643" s="235"/>
    </row>
    <row r="644">
      <c r="A644" s="114"/>
      <c r="B644" s="1"/>
      <c r="C644" s="1"/>
      <c r="D644" s="1"/>
      <c r="E644" s="1"/>
      <c r="F644" s="24"/>
      <c r="G644" s="24"/>
      <c r="H644" s="235"/>
    </row>
    <row r="645">
      <c r="A645" s="114"/>
      <c r="B645" s="1"/>
      <c r="C645" s="1"/>
      <c r="D645" s="1"/>
      <c r="E645" s="1"/>
      <c r="F645" s="24"/>
      <c r="G645" s="24"/>
      <c r="H645" s="235"/>
    </row>
    <row r="646">
      <c r="A646" s="114"/>
      <c r="B646" s="1"/>
      <c r="C646" s="1"/>
      <c r="D646" s="1"/>
      <c r="E646" s="1"/>
      <c r="F646" s="24"/>
      <c r="G646" s="24"/>
      <c r="H646" s="235"/>
    </row>
    <row r="647">
      <c r="A647" s="114"/>
      <c r="B647" s="1"/>
      <c r="C647" s="1"/>
      <c r="D647" s="1"/>
      <c r="E647" s="1"/>
      <c r="F647" s="24"/>
      <c r="G647" s="24"/>
      <c r="H647" s="235"/>
    </row>
    <row r="648">
      <c r="A648" s="114"/>
      <c r="B648" s="1"/>
      <c r="C648" s="1"/>
      <c r="D648" s="1"/>
      <c r="E648" s="1"/>
      <c r="F648" s="24"/>
      <c r="G648" s="24"/>
      <c r="H648" s="235"/>
    </row>
    <row r="649">
      <c r="A649" s="114"/>
      <c r="B649" s="1"/>
      <c r="C649" s="1"/>
      <c r="D649" s="1"/>
      <c r="E649" s="1"/>
      <c r="F649" s="24"/>
      <c r="G649" s="24"/>
      <c r="H649" s="235"/>
    </row>
    <row r="650">
      <c r="A650" s="114"/>
      <c r="B650" s="1"/>
      <c r="C650" s="1"/>
      <c r="D650" s="1"/>
      <c r="E650" s="1"/>
      <c r="F650" s="24"/>
      <c r="G650" s="24"/>
      <c r="H650" s="235"/>
    </row>
    <row r="651">
      <c r="A651" s="114"/>
      <c r="B651" s="1"/>
      <c r="C651" s="1"/>
      <c r="D651" s="1"/>
      <c r="E651" s="1"/>
      <c r="F651" s="24"/>
      <c r="G651" s="24"/>
      <c r="H651" s="235"/>
    </row>
    <row r="652">
      <c r="A652" s="114"/>
      <c r="B652" s="1"/>
      <c r="C652" s="1"/>
      <c r="D652" s="1"/>
      <c r="E652" s="1"/>
      <c r="F652" s="24"/>
      <c r="G652" s="24"/>
      <c r="H652" s="235"/>
    </row>
    <row r="653">
      <c r="A653" s="114"/>
      <c r="B653" s="1"/>
      <c r="C653" s="1"/>
      <c r="D653" s="1"/>
      <c r="E653" s="1"/>
      <c r="F653" s="24"/>
      <c r="G653" s="24"/>
      <c r="H653" s="235"/>
    </row>
    <row r="654">
      <c r="A654" s="114"/>
      <c r="B654" s="1"/>
      <c r="C654" s="1"/>
      <c r="D654" s="1"/>
      <c r="E654" s="1"/>
      <c r="F654" s="24"/>
      <c r="G654" s="24"/>
      <c r="H654" s="235"/>
    </row>
    <row r="655">
      <c r="A655" s="114"/>
      <c r="B655" s="1"/>
      <c r="C655" s="1"/>
      <c r="D655" s="1"/>
      <c r="E655" s="1"/>
      <c r="F655" s="24"/>
      <c r="G655" s="24"/>
      <c r="H655" s="235"/>
    </row>
    <row r="656">
      <c r="A656" s="114"/>
      <c r="B656" s="1"/>
      <c r="C656" s="1"/>
      <c r="D656" s="1"/>
      <c r="E656" s="1"/>
      <c r="F656" s="24"/>
      <c r="G656" s="24"/>
      <c r="H656" s="235"/>
    </row>
    <row r="657">
      <c r="A657" s="114"/>
      <c r="B657" s="1"/>
      <c r="C657" s="1"/>
      <c r="D657" s="1"/>
      <c r="E657" s="1"/>
      <c r="F657" s="24"/>
      <c r="G657" s="24"/>
      <c r="H657" s="235"/>
    </row>
    <row r="658">
      <c r="A658" s="114"/>
      <c r="B658" s="1"/>
      <c r="C658" s="1"/>
      <c r="D658" s="1"/>
      <c r="E658" s="1"/>
      <c r="F658" s="24"/>
      <c r="G658" s="24"/>
      <c r="H658" s="235"/>
    </row>
    <row r="659">
      <c r="A659" s="114"/>
      <c r="B659" s="1"/>
      <c r="C659" s="1"/>
      <c r="D659" s="1"/>
      <c r="E659" s="1"/>
      <c r="F659" s="24"/>
      <c r="G659" s="24"/>
      <c r="H659" s="235"/>
    </row>
    <row r="660">
      <c r="A660" s="114"/>
      <c r="B660" s="1"/>
      <c r="C660" s="1"/>
      <c r="D660" s="1"/>
      <c r="E660" s="1"/>
      <c r="F660" s="24"/>
      <c r="G660" s="24"/>
      <c r="H660" s="235"/>
    </row>
    <row r="661">
      <c r="A661" s="114"/>
      <c r="B661" s="1"/>
      <c r="C661" s="1"/>
      <c r="D661" s="1"/>
      <c r="E661" s="1"/>
      <c r="F661" s="24"/>
      <c r="G661" s="24"/>
      <c r="H661" s="235"/>
    </row>
    <row r="662">
      <c r="A662" s="114"/>
      <c r="B662" s="1"/>
      <c r="C662" s="1"/>
      <c r="D662" s="1"/>
      <c r="E662" s="1"/>
      <c r="F662" s="24"/>
      <c r="G662" s="24"/>
      <c r="H662" s="235"/>
    </row>
    <row r="663">
      <c r="A663" s="114"/>
      <c r="B663" s="1"/>
      <c r="C663" s="1"/>
      <c r="D663" s="1"/>
      <c r="E663" s="1"/>
      <c r="F663" s="24"/>
      <c r="G663" s="24"/>
      <c r="H663" s="235"/>
    </row>
    <row r="664">
      <c r="A664" s="114"/>
      <c r="B664" s="1"/>
      <c r="C664" s="1"/>
      <c r="D664" s="1"/>
      <c r="E664" s="1"/>
      <c r="F664" s="24"/>
      <c r="G664" s="24"/>
      <c r="H664" s="235"/>
    </row>
    <row r="665">
      <c r="A665" s="114"/>
      <c r="B665" s="1"/>
      <c r="C665" s="1"/>
      <c r="D665" s="1"/>
      <c r="E665" s="1"/>
      <c r="F665" s="24"/>
      <c r="G665" s="24"/>
      <c r="H665" s="235"/>
    </row>
    <row r="666">
      <c r="A666" s="114"/>
      <c r="B666" s="1"/>
      <c r="C666" s="1"/>
      <c r="D666" s="1"/>
      <c r="E666" s="1"/>
      <c r="F666" s="24"/>
      <c r="G666" s="24"/>
      <c r="H666" s="235"/>
    </row>
    <row r="667">
      <c r="A667" s="114"/>
      <c r="B667" s="1"/>
      <c r="C667" s="1"/>
      <c r="D667" s="1"/>
      <c r="E667" s="1"/>
      <c r="F667" s="24"/>
      <c r="G667" s="24"/>
      <c r="H667" s="235"/>
    </row>
    <row r="668">
      <c r="A668" s="114"/>
      <c r="B668" s="1"/>
      <c r="C668" s="1"/>
      <c r="D668" s="1"/>
      <c r="E668" s="1"/>
      <c r="F668" s="24"/>
      <c r="G668" s="24"/>
      <c r="H668" s="235"/>
    </row>
    <row r="669">
      <c r="A669" s="114"/>
      <c r="B669" s="1"/>
      <c r="C669" s="1"/>
      <c r="D669" s="1"/>
      <c r="E669" s="1"/>
      <c r="F669" s="24"/>
      <c r="G669" s="24"/>
      <c r="H669" s="235"/>
    </row>
    <row r="670">
      <c r="A670" s="114"/>
      <c r="B670" s="1"/>
      <c r="C670" s="1"/>
      <c r="D670" s="1"/>
      <c r="E670" s="1"/>
      <c r="F670" s="24"/>
      <c r="G670" s="24"/>
      <c r="H670" s="235"/>
    </row>
    <row r="671">
      <c r="A671" s="114"/>
      <c r="B671" s="1"/>
      <c r="C671" s="1"/>
      <c r="D671" s="1"/>
      <c r="E671" s="1"/>
      <c r="F671" s="24"/>
      <c r="G671" s="24"/>
      <c r="H671" s="235"/>
    </row>
    <row r="672">
      <c r="A672" s="114"/>
      <c r="B672" s="1"/>
      <c r="C672" s="1"/>
      <c r="D672" s="1"/>
      <c r="E672" s="1"/>
      <c r="F672" s="24"/>
      <c r="G672" s="24"/>
      <c r="H672" s="235"/>
    </row>
    <row r="673">
      <c r="A673" s="114"/>
      <c r="B673" s="1"/>
      <c r="C673" s="1"/>
      <c r="D673" s="1"/>
      <c r="E673" s="1"/>
      <c r="F673" s="24"/>
      <c r="G673" s="24"/>
      <c r="H673" s="235"/>
    </row>
    <row r="674">
      <c r="A674" s="114"/>
      <c r="B674" s="1"/>
      <c r="C674" s="1"/>
      <c r="D674" s="1"/>
      <c r="E674" s="1"/>
      <c r="F674" s="24"/>
      <c r="G674" s="24"/>
      <c r="H674" s="235"/>
    </row>
    <row r="675">
      <c r="A675" s="114"/>
      <c r="B675" s="1"/>
      <c r="C675" s="1"/>
      <c r="D675" s="1"/>
      <c r="E675" s="1"/>
      <c r="F675" s="24"/>
      <c r="G675" s="24"/>
      <c r="H675" s="235"/>
    </row>
    <row r="676">
      <c r="A676" s="114"/>
      <c r="B676" s="1"/>
      <c r="C676" s="1"/>
      <c r="D676" s="1"/>
      <c r="E676" s="1"/>
      <c r="F676" s="24"/>
      <c r="G676" s="24"/>
      <c r="H676" s="235"/>
    </row>
    <row r="677">
      <c r="A677" s="114"/>
      <c r="B677" s="1"/>
      <c r="C677" s="1"/>
      <c r="D677" s="1"/>
      <c r="E677" s="1"/>
      <c r="F677" s="24"/>
      <c r="G677" s="24"/>
      <c r="H677" s="235"/>
    </row>
    <row r="678">
      <c r="A678" s="114"/>
      <c r="B678" s="1"/>
      <c r="C678" s="1"/>
      <c r="D678" s="1"/>
      <c r="E678" s="1"/>
      <c r="F678" s="24"/>
      <c r="G678" s="24"/>
      <c r="H678" s="235"/>
    </row>
    <row r="679">
      <c r="A679" s="114"/>
      <c r="B679" s="1"/>
      <c r="C679" s="1"/>
      <c r="D679" s="1"/>
      <c r="E679" s="1"/>
      <c r="F679" s="24"/>
      <c r="G679" s="24"/>
      <c r="H679" s="235"/>
    </row>
    <row r="680">
      <c r="A680" s="114"/>
      <c r="B680" s="1"/>
      <c r="C680" s="1"/>
      <c r="D680" s="1"/>
      <c r="E680" s="1"/>
      <c r="F680" s="24"/>
      <c r="G680" s="24"/>
      <c r="H680" s="235"/>
    </row>
    <row r="681">
      <c r="A681" s="114"/>
      <c r="B681" s="1"/>
      <c r="C681" s="1"/>
      <c r="D681" s="1"/>
      <c r="E681" s="1"/>
      <c r="F681" s="24"/>
      <c r="G681" s="24"/>
      <c r="H681" s="235"/>
    </row>
    <row r="682">
      <c r="A682" s="114"/>
      <c r="B682" s="1"/>
      <c r="C682" s="1"/>
      <c r="D682" s="1"/>
      <c r="E682" s="1"/>
      <c r="F682" s="24"/>
      <c r="G682" s="24"/>
      <c r="H682" s="235"/>
    </row>
    <row r="683">
      <c r="A683" s="114"/>
      <c r="B683" s="1"/>
      <c r="C683" s="1"/>
      <c r="D683" s="1"/>
      <c r="E683" s="1"/>
      <c r="F683" s="24"/>
      <c r="G683" s="24"/>
      <c r="H683" s="235"/>
    </row>
    <row r="684">
      <c r="A684" s="114"/>
      <c r="B684" s="1"/>
      <c r="C684" s="1"/>
      <c r="D684" s="1"/>
      <c r="E684" s="1"/>
      <c r="F684" s="24"/>
      <c r="G684" s="24"/>
      <c r="H684" s="235"/>
    </row>
    <row r="685">
      <c r="A685" s="114"/>
      <c r="B685" s="1"/>
      <c r="C685" s="1"/>
      <c r="D685" s="1"/>
      <c r="E685" s="1"/>
      <c r="F685" s="24"/>
      <c r="G685" s="24"/>
      <c r="H685" s="235"/>
    </row>
    <row r="686">
      <c r="A686" s="114"/>
      <c r="B686" s="1"/>
      <c r="C686" s="1"/>
      <c r="D686" s="1"/>
      <c r="E686" s="1"/>
      <c r="F686" s="24"/>
      <c r="G686" s="24"/>
      <c r="H686" s="235"/>
    </row>
    <row r="687">
      <c r="A687" s="114"/>
      <c r="B687" s="1"/>
      <c r="C687" s="1"/>
      <c r="D687" s="1"/>
      <c r="E687" s="1"/>
      <c r="F687" s="24"/>
      <c r="G687" s="24"/>
      <c r="H687" s="235"/>
    </row>
    <row r="688">
      <c r="A688" s="114"/>
      <c r="B688" s="1"/>
      <c r="C688" s="1"/>
      <c r="D688" s="1"/>
      <c r="E688" s="1"/>
      <c r="F688" s="24"/>
      <c r="G688" s="24"/>
      <c r="H688" s="235"/>
    </row>
    <row r="689">
      <c r="A689" s="114"/>
      <c r="B689" s="1"/>
      <c r="C689" s="1"/>
      <c r="D689" s="1"/>
      <c r="E689" s="1"/>
      <c r="F689" s="24"/>
      <c r="G689" s="24"/>
      <c r="H689" s="235"/>
    </row>
    <row r="690">
      <c r="A690" s="114"/>
      <c r="B690" s="1"/>
      <c r="C690" s="1"/>
      <c r="D690" s="1"/>
      <c r="E690" s="1"/>
      <c r="F690" s="24"/>
      <c r="G690" s="24"/>
      <c r="H690" s="235"/>
    </row>
    <row r="691">
      <c r="A691" s="114"/>
      <c r="B691" s="1"/>
      <c r="C691" s="1"/>
      <c r="D691" s="1"/>
      <c r="E691" s="1"/>
      <c r="F691" s="24"/>
      <c r="G691" s="24"/>
      <c r="H691" s="235"/>
    </row>
    <row r="692">
      <c r="A692" s="114"/>
      <c r="B692" s="1"/>
      <c r="C692" s="1"/>
      <c r="D692" s="1"/>
      <c r="E692" s="1"/>
      <c r="F692" s="24"/>
      <c r="G692" s="24"/>
      <c r="H692" s="235"/>
    </row>
    <row r="693">
      <c r="A693" s="114"/>
      <c r="B693" s="1"/>
      <c r="C693" s="1"/>
      <c r="D693" s="1"/>
      <c r="E693" s="1"/>
      <c r="F693" s="24"/>
      <c r="G693" s="24"/>
      <c r="H693" s="235"/>
    </row>
    <row r="694">
      <c r="A694" s="114"/>
      <c r="B694" s="1"/>
      <c r="C694" s="1"/>
      <c r="D694" s="1"/>
      <c r="E694" s="1"/>
      <c r="F694" s="24"/>
      <c r="G694" s="24"/>
      <c r="H694" s="235"/>
    </row>
    <row r="695">
      <c r="A695" s="114"/>
      <c r="B695" s="1"/>
      <c r="C695" s="1"/>
      <c r="D695" s="1"/>
      <c r="E695" s="1"/>
      <c r="F695" s="24"/>
      <c r="G695" s="24"/>
      <c r="H695" s="235"/>
    </row>
    <row r="696">
      <c r="A696" s="114"/>
      <c r="B696" s="1"/>
      <c r="C696" s="1"/>
      <c r="D696" s="1"/>
      <c r="E696" s="1"/>
      <c r="F696" s="24"/>
      <c r="G696" s="24"/>
      <c r="H696" s="235"/>
    </row>
    <row r="697">
      <c r="A697" s="114"/>
      <c r="B697" s="1"/>
      <c r="C697" s="1"/>
      <c r="D697" s="1"/>
      <c r="E697" s="1"/>
      <c r="F697" s="24"/>
      <c r="G697" s="24"/>
      <c r="H697" s="235"/>
    </row>
    <row r="698">
      <c r="A698" s="114"/>
      <c r="B698" s="1"/>
      <c r="C698" s="1"/>
      <c r="D698" s="1"/>
      <c r="E698" s="1"/>
      <c r="F698" s="24"/>
      <c r="G698" s="24"/>
      <c r="H698" s="235"/>
    </row>
    <row r="699">
      <c r="A699" s="114"/>
      <c r="B699" s="1"/>
      <c r="C699" s="1"/>
      <c r="D699" s="1"/>
      <c r="E699" s="1"/>
      <c r="F699" s="24"/>
      <c r="G699" s="24"/>
      <c r="H699" s="235"/>
    </row>
    <row r="700">
      <c r="A700" s="114"/>
      <c r="B700" s="1"/>
      <c r="C700" s="1"/>
      <c r="D700" s="1"/>
      <c r="E700" s="1"/>
      <c r="F700" s="24"/>
      <c r="G700" s="24"/>
      <c r="H700" s="235"/>
    </row>
    <row r="701">
      <c r="A701" s="114"/>
      <c r="B701" s="1"/>
      <c r="C701" s="1"/>
      <c r="D701" s="1"/>
      <c r="E701" s="1"/>
      <c r="F701" s="24"/>
      <c r="G701" s="24"/>
      <c r="H701" s="235"/>
    </row>
    <row r="702">
      <c r="A702" s="114"/>
      <c r="B702" s="1"/>
      <c r="C702" s="1"/>
      <c r="D702" s="1"/>
      <c r="E702" s="1"/>
      <c r="F702" s="24"/>
      <c r="G702" s="24"/>
      <c r="H702" s="235"/>
    </row>
    <row r="703">
      <c r="A703" s="114"/>
      <c r="B703" s="1"/>
      <c r="C703" s="1"/>
      <c r="D703" s="1"/>
      <c r="E703" s="1"/>
      <c r="F703" s="24"/>
      <c r="G703" s="24"/>
      <c r="H703" s="235"/>
    </row>
    <row r="704">
      <c r="A704" s="114"/>
      <c r="B704" s="1"/>
      <c r="C704" s="1"/>
      <c r="D704" s="1"/>
      <c r="E704" s="1"/>
      <c r="F704" s="24"/>
      <c r="G704" s="24"/>
      <c r="H704" s="235"/>
    </row>
    <row r="705">
      <c r="A705" s="114"/>
      <c r="B705" s="1"/>
      <c r="C705" s="1"/>
      <c r="D705" s="1"/>
      <c r="E705" s="1"/>
      <c r="F705" s="24"/>
      <c r="G705" s="24"/>
      <c r="H705" s="235"/>
    </row>
    <row r="706">
      <c r="A706" s="114"/>
      <c r="B706" s="1"/>
      <c r="C706" s="1"/>
      <c r="D706" s="1"/>
      <c r="E706" s="1"/>
      <c r="F706" s="24"/>
      <c r="G706" s="24"/>
      <c r="H706" s="235"/>
    </row>
    <row r="707">
      <c r="A707" s="114"/>
      <c r="B707" s="1"/>
      <c r="C707" s="1"/>
      <c r="D707" s="1"/>
      <c r="E707" s="1"/>
      <c r="F707" s="24"/>
      <c r="G707" s="24"/>
      <c r="H707" s="235"/>
    </row>
    <row r="708">
      <c r="A708" s="114"/>
      <c r="B708" s="1"/>
      <c r="C708" s="1"/>
      <c r="D708" s="1"/>
      <c r="E708" s="1"/>
      <c r="F708" s="24"/>
      <c r="G708" s="24"/>
      <c r="H708" s="235"/>
    </row>
    <row r="709">
      <c r="A709" s="114"/>
      <c r="B709" s="1"/>
      <c r="C709" s="1"/>
      <c r="D709" s="1"/>
      <c r="E709" s="1"/>
      <c r="F709" s="24"/>
      <c r="G709" s="24"/>
      <c r="H709" s="235"/>
    </row>
    <row r="710">
      <c r="A710" s="114"/>
      <c r="B710" s="1"/>
      <c r="C710" s="1"/>
      <c r="D710" s="1"/>
      <c r="E710" s="1"/>
      <c r="F710" s="24"/>
      <c r="G710" s="24"/>
      <c r="H710" s="235"/>
    </row>
    <row r="711">
      <c r="A711" s="114"/>
      <c r="B711" s="1"/>
      <c r="C711" s="1"/>
      <c r="D711" s="1"/>
      <c r="E711" s="1"/>
      <c r="F711" s="24"/>
      <c r="G711" s="24"/>
      <c r="H711" s="235"/>
    </row>
    <row r="712">
      <c r="A712" s="114"/>
      <c r="B712" s="1"/>
      <c r="C712" s="1"/>
      <c r="D712" s="1"/>
      <c r="E712" s="1"/>
      <c r="F712" s="24"/>
      <c r="G712" s="24"/>
      <c r="H712" s="235"/>
    </row>
    <row r="713">
      <c r="A713" s="114"/>
      <c r="B713" s="1"/>
      <c r="C713" s="1"/>
      <c r="D713" s="1"/>
      <c r="E713" s="1"/>
      <c r="F713" s="24"/>
      <c r="G713" s="24"/>
      <c r="H713" s="235"/>
    </row>
    <row r="714">
      <c r="A714" s="114"/>
      <c r="B714" s="1"/>
      <c r="C714" s="1"/>
      <c r="D714" s="1"/>
      <c r="E714" s="1"/>
      <c r="F714" s="24"/>
      <c r="G714" s="24"/>
      <c r="H714" s="235"/>
    </row>
    <row r="715">
      <c r="A715" s="114"/>
      <c r="B715" s="1"/>
      <c r="C715" s="1"/>
      <c r="D715" s="1"/>
      <c r="E715" s="1"/>
      <c r="F715" s="24"/>
      <c r="G715" s="24"/>
      <c r="H715" s="235"/>
    </row>
    <row r="716">
      <c r="A716" s="114"/>
      <c r="B716" s="1"/>
      <c r="C716" s="1"/>
      <c r="D716" s="1"/>
      <c r="E716" s="1"/>
      <c r="F716" s="24"/>
      <c r="G716" s="24"/>
      <c r="H716" s="235"/>
    </row>
    <row r="717">
      <c r="A717" s="114"/>
      <c r="B717" s="1"/>
      <c r="C717" s="1"/>
      <c r="D717" s="1"/>
      <c r="E717" s="1"/>
      <c r="F717" s="24"/>
      <c r="G717" s="24"/>
      <c r="H717" s="235"/>
    </row>
    <row r="718">
      <c r="A718" s="114"/>
      <c r="B718" s="1"/>
      <c r="C718" s="1"/>
      <c r="D718" s="1"/>
      <c r="E718" s="1"/>
      <c r="F718" s="24"/>
      <c r="G718" s="24"/>
      <c r="H718" s="235"/>
    </row>
    <row r="719">
      <c r="A719" s="114"/>
      <c r="B719" s="1"/>
      <c r="C719" s="1"/>
      <c r="D719" s="1"/>
      <c r="E719" s="1"/>
      <c r="F719" s="24"/>
      <c r="G719" s="24"/>
      <c r="H719" s="235"/>
    </row>
    <row r="720">
      <c r="A720" s="114"/>
      <c r="B720" s="1"/>
      <c r="C720" s="1"/>
      <c r="D720" s="1"/>
      <c r="E720" s="1"/>
      <c r="F720" s="24"/>
      <c r="G720" s="24"/>
      <c r="H720" s="235"/>
    </row>
    <row r="721">
      <c r="A721" s="114"/>
      <c r="B721" s="1"/>
      <c r="C721" s="1"/>
      <c r="D721" s="1"/>
      <c r="E721" s="1"/>
      <c r="F721" s="24"/>
      <c r="G721" s="24"/>
      <c r="H721" s="235"/>
    </row>
    <row r="722">
      <c r="A722" s="114"/>
      <c r="B722" s="1"/>
      <c r="C722" s="1"/>
      <c r="D722" s="1"/>
      <c r="E722" s="1"/>
      <c r="F722" s="24"/>
      <c r="G722" s="24"/>
      <c r="H722" s="235"/>
    </row>
    <row r="723">
      <c r="A723" s="114"/>
      <c r="B723" s="1"/>
      <c r="C723" s="1"/>
      <c r="D723" s="1"/>
      <c r="E723" s="1"/>
      <c r="F723" s="24"/>
      <c r="G723" s="24"/>
      <c r="H723" s="235"/>
    </row>
    <row r="724">
      <c r="A724" s="114"/>
      <c r="B724" s="1"/>
      <c r="C724" s="1"/>
      <c r="D724" s="1"/>
      <c r="E724" s="1"/>
      <c r="F724" s="24"/>
      <c r="G724" s="24"/>
      <c r="H724" s="235"/>
    </row>
    <row r="725">
      <c r="A725" s="114"/>
      <c r="B725" s="1"/>
      <c r="C725" s="1"/>
      <c r="D725" s="1"/>
      <c r="E725" s="1"/>
      <c r="F725" s="24"/>
      <c r="G725" s="24"/>
      <c r="H725" s="235"/>
    </row>
    <row r="726">
      <c r="A726" s="114"/>
      <c r="B726" s="1"/>
      <c r="C726" s="1"/>
      <c r="D726" s="1"/>
      <c r="E726" s="1"/>
      <c r="F726" s="24"/>
      <c r="G726" s="24"/>
      <c r="H726" s="235"/>
    </row>
    <row r="727">
      <c r="A727" s="114"/>
      <c r="B727" s="1"/>
      <c r="C727" s="1"/>
      <c r="D727" s="1"/>
      <c r="E727" s="1"/>
      <c r="F727" s="24"/>
      <c r="G727" s="24"/>
      <c r="H727" s="235"/>
    </row>
    <row r="728">
      <c r="A728" s="114"/>
      <c r="B728" s="1"/>
      <c r="C728" s="1"/>
      <c r="D728" s="1"/>
      <c r="E728" s="1"/>
      <c r="F728" s="24"/>
      <c r="G728" s="24"/>
      <c r="H728" s="235"/>
    </row>
    <row r="729">
      <c r="A729" s="114"/>
      <c r="B729" s="1"/>
      <c r="C729" s="1"/>
      <c r="D729" s="1"/>
      <c r="E729" s="1"/>
      <c r="F729" s="24"/>
      <c r="G729" s="24"/>
      <c r="H729" s="235"/>
    </row>
    <row r="730">
      <c r="A730" s="114"/>
      <c r="B730" s="1"/>
      <c r="C730" s="1"/>
      <c r="D730" s="1"/>
      <c r="E730" s="1"/>
      <c r="F730" s="24"/>
      <c r="G730" s="24"/>
      <c r="H730" s="235"/>
    </row>
    <row r="731">
      <c r="A731" s="114"/>
      <c r="B731" s="1"/>
      <c r="C731" s="1"/>
      <c r="D731" s="1"/>
      <c r="E731" s="1"/>
      <c r="F731" s="24"/>
      <c r="G731" s="24"/>
      <c r="H731" s="235"/>
    </row>
    <row r="732">
      <c r="A732" s="114"/>
      <c r="B732" s="1"/>
      <c r="C732" s="1"/>
      <c r="D732" s="1"/>
      <c r="E732" s="1"/>
      <c r="F732" s="24"/>
      <c r="G732" s="24"/>
      <c r="H732" s="235"/>
    </row>
    <row r="733">
      <c r="A733" s="114"/>
      <c r="B733" s="1"/>
      <c r="C733" s="1"/>
      <c r="D733" s="1"/>
      <c r="E733" s="1"/>
      <c r="F733" s="24"/>
      <c r="G733" s="24"/>
      <c r="H733" s="235"/>
    </row>
    <row r="734">
      <c r="A734" s="114"/>
      <c r="B734" s="1"/>
      <c r="C734" s="1"/>
      <c r="D734" s="1"/>
      <c r="E734" s="1"/>
      <c r="F734" s="24"/>
      <c r="G734" s="24"/>
      <c r="H734" s="235"/>
    </row>
    <row r="735">
      <c r="A735" s="114"/>
      <c r="B735" s="1"/>
      <c r="C735" s="1"/>
      <c r="D735" s="1"/>
      <c r="E735" s="1"/>
      <c r="F735" s="24"/>
      <c r="G735" s="24"/>
      <c r="H735" s="235"/>
    </row>
    <row r="736">
      <c r="A736" s="114"/>
      <c r="B736" s="1"/>
      <c r="C736" s="1"/>
      <c r="D736" s="1"/>
      <c r="E736" s="1"/>
      <c r="F736" s="24"/>
      <c r="G736" s="24"/>
      <c r="H736" s="235"/>
    </row>
    <row r="737">
      <c r="A737" s="114"/>
      <c r="B737" s="1"/>
      <c r="C737" s="1"/>
      <c r="D737" s="1"/>
      <c r="E737" s="1"/>
      <c r="F737" s="24"/>
      <c r="G737" s="24"/>
      <c r="H737" s="235"/>
    </row>
    <row r="738">
      <c r="A738" s="114"/>
      <c r="B738" s="1"/>
      <c r="C738" s="1"/>
      <c r="D738" s="1"/>
      <c r="E738" s="1"/>
      <c r="F738" s="24"/>
      <c r="G738" s="24"/>
      <c r="H738" s="235"/>
    </row>
    <row r="739">
      <c r="A739" s="114"/>
      <c r="B739" s="1"/>
      <c r="C739" s="1"/>
      <c r="D739" s="1"/>
      <c r="E739" s="1"/>
      <c r="F739" s="24"/>
      <c r="G739" s="24"/>
      <c r="H739" s="235"/>
    </row>
    <row r="740">
      <c r="A740" s="114"/>
      <c r="B740" s="1"/>
      <c r="C740" s="1"/>
      <c r="D740" s="1"/>
      <c r="E740" s="1"/>
      <c r="F740" s="24"/>
      <c r="G740" s="24"/>
      <c r="H740" s="235"/>
    </row>
    <row r="741">
      <c r="A741" s="114"/>
      <c r="B741" s="1"/>
      <c r="C741" s="1"/>
      <c r="D741" s="1"/>
      <c r="E741" s="1"/>
      <c r="F741" s="24"/>
      <c r="G741" s="24"/>
      <c r="H741" s="235"/>
    </row>
    <row r="742">
      <c r="A742" s="114"/>
      <c r="B742" s="1"/>
      <c r="C742" s="1"/>
      <c r="D742" s="1"/>
      <c r="E742" s="1"/>
      <c r="F742" s="24"/>
      <c r="G742" s="24"/>
      <c r="H742" s="235"/>
    </row>
    <row r="743">
      <c r="A743" s="114"/>
      <c r="B743" s="1"/>
      <c r="C743" s="1"/>
      <c r="D743" s="1"/>
      <c r="E743" s="1"/>
      <c r="F743" s="24"/>
      <c r="G743" s="24"/>
      <c r="H743" s="235"/>
    </row>
    <row r="744">
      <c r="A744" s="114"/>
      <c r="B744" s="1"/>
      <c r="C744" s="1"/>
      <c r="D744" s="1"/>
      <c r="E744" s="1"/>
      <c r="F744" s="24"/>
      <c r="G744" s="24"/>
      <c r="H744" s="235"/>
    </row>
    <row r="745">
      <c r="A745" s="114"/>
      <c r="B745" s="1"/>
      <c r="C745" s="1"/>
      <c r="D745" s="1"/>
      <c r="E745" s="1"/>
      <c r="F745" s="24"/>
      <c r="G745" s="24"/>
      <c r="H745" s="235"/>
    </row>
    <row r="746">
      <c r="A746" s="114"/>
      <c r="B746" s="1"/>
      <c r="C746" s="1"/>
      <c r="D746" s="1"/>
      <c r="E746" s="1"/>
      <c r="F746" s="24"/>
      <c r="G746" s="24"/>
      <c r="H746" s="235"/>
    </row>
    <row r="747">
      <c r="A747" s="114"/>
      <c r="B747" s="1"/>
      <c r="C747" s="1"/>
      <c r="D747" s="1"/>
      <c r="E747" s="1"/>
      <c r="F747" s="24"/>
      <c r="G747" s="24"/>
      <c r="H747" s="235"/>
    </row>
    <row r="748">
      <c r="A748" s="114"/>
      <c r="B748" s="1"/>
      <c r="C748" s="1"/>
      <c r="D748" s="1"/>
      <c r="E748" s="1"/>
      <c r="F748" s="24"/>
      <c r="G748" s="24"/>
      <c r="H748" s="235"/>
    </row>
    <row r="749">
      <c r="A749" s="114"/>
      <c r="B749" s="1"/>
      <c r="C749" s="1"/>
      <c r="D749" s="1"/>
      <c r="E749" s="1"/>
      <c r="F749" s="24"/>
      <c r="G749" s="24"/>
      <c r="H749" s="235"/>
    </row>
    <row r="750">
      <c r="A750" s="114"/>
      <c r="B750" s="1"/>
      <c r="C750" s="1"/>
      <c r="D750" s="1"/>
      <c r="E750" s="1"/>
      <c r="F750" s="24"/>
      <c r="G750" s="24"/>
      <c r="H750" s="235"/>
    </row>
    <row r="751">
      <c r="A751" s="114"/>
      <c r="B751" s="1"/>
      <c r="C751" s="1"/>
      <c r="D751" s="1"/>
      <c r="E751" s="1"/>
      <c r="F751" s="24"/>
      <c r="G751" s="24"/>
      <c r="H751" s="235"/>
    </row>
    <row r="752">
      <c r="A752" s="114"/>
      <c r="B752" s="1"/>
      <c r="C752" s="1"/>
      <c r="D752" s="1"/>
      <c r="E752" s="1"/>
      <c r="F752" s="24"/>
      <c r="G752" s="24"/>
      <c r="H752" s="235"/>
    </row>
    <row r="753">
      <c r="A753" s="114"/>
      <c r="B753" s="1"/>
      <c r="C753" s="1"/>
      <c r="D753" s="1"/>
      <c r="E753" s="1"/>
      <c r="F753" s="24"/>
      <c r="G753" s="24"/>
      <c r="H753" s="235"/>
    </row>
    <row r="754">
      <c r="A754" s="114"/>
      <c r="B754" s="1"/>
      <c r="C754" s="1"/>
      <c r="D754" s="1"/>
      <c r="E754" s="1"/>
      <c r="F754" s="24"/>
      <c r="G754" s="24"/>
      <c r="H754" s="235"/>
    </row>
    <row r="755">
      <c r="A755" s="114"/>
      <c r="B755" s="1"/>
      <c r="C755" s="1"/>
      <c r="D755" s="1"/>
      <c r="E755" s="1"/>
      <c r="F755" s="24"/>
      <c r="G755" s="24"/>
      <c r="H755" s="235"/>
    </row>
    <row r="756">
      <c r="A756" s="114"/>
      <c r="B756" s="1"/>
      <c r="C756" s="1"/>
      <c r="D756" s="1"/>
      <c r="E756" s="1"/>
      <c r="F756" s="24"/>
      <c r="G756" s="24"/>
      <c r="H756" s="235"/>
    </row>
    <row r="757">
      <c r="A757" s="114"/>
      <c r="B757" s="1"/>
      <c r="C757" s="1"/>
      <c r="D757" s="1"/>
      <c r="E757" s="1"/>
      <c r="F757" s="24"/>
      <c r="G757" s="24"/>
      <c r="H757" s="235"/>
    </row>
    <row r="758">
      <c r="A758" s="114"/>
      <c r="B758" s="1"/>
      <c r="C758" s="1"/>
      <c r="D758" s="1"/>
      <c r="E758" s="1"/>
      <c r="F758" s="24"/>
      <c r="G758" s="24"/>
      <c r="H758" s="235"/>
    </row>
    <row r="759">
      <c r="A759" s="114"/>
      <c r="B759" s="1"/>
      <c r="C759" s="1"/>
      <c r="D759" s="1"/>
      <c r="E759" s="1"/>
      <c r="F759" s="24"/>
      <c r="G759" s="24"/>
      <c r="H759" s="235"/>
    </row>
    <row r="760">
      <c r="A760" s="114"/>
      <c r="B760" s="1"/>
      <c r="C760" s="1"/>
      <c r="D760" s="1"/>
      <c r="E760" s="1"/>
      <c r="F760" s="24"/>
      <c r="G760" s="24"/>
      <c r="H760" s="235"/>
    </row>
    <row r="761">
      <c r="A761" s="114"/>
      <c r="B761" s="1"/>
      <c r="C761" s="1"/>
      <c r="D761" s="1"/>
      <c r="E761" s="1"/>
      <c r="F761" s="24"/>
      <c r="G761" s="24"/>
      <c r="H761" s="235"/>
    </row>
    <row r="762">
      <c r="A762" s="114"/>
      <c r="B762" s="1"/>
      <c r="C762" s="1"/>
      <c r="D762" s="1"/>
      <c r="E762" s="1"/>
      <c r="F762" s="24"/>
      <c r="G762" s="24"/>
      <c r="H762" s="235"/>
    </row>
    <row r="763">
      <c r="A763" s="114"/>
      <c r="B763" s="1"/>
      <c r="C763" s="1"/>
      <c r="D763" s="1"/>
      <c r="E763" s="1"/>
      <c r="F763" s="24"/>
      <c r="G763" s="24"/>
      <c r="H763" s="235"/>
    </row>
    <row r="764">
      <c r="A764" s="114"/>
      <c r="B764" s="1"/>
      <c r="C764" s="1"/>
      <c r="D764" s="1"/>
      <c r="E764" s="1"/>
      <c r="F764" s="24"/>
      <c r="G764" s="24"/>
      <c r="H764" s="235"/>
    </row>
    <row r="765">
      <c r="A765" s="114"/>
      <c r="B765" s="1"/>
      <c r="C765" s="1"/>
      <c r="D765" s="1"/>
      <c r="E765" s="1"/>
      <c r="F765" s="24"/>
      <c r="G765" s="24"/>
      <c r="H765" s="235"/>
    </row>
    <row r="766">
      <c r="A766" s="114"/>
      <c r="B766" s="1"/>
      <c r="C766" s="1"/>
      <c r="D766" s="1"/>
      <c r="E766" s="1"/>
      <c r="F766" s="24"/>
      <c r="G766" s="24"/>
      <c r="H766" s="235"/>
    </row>
    <row r="767">
      <c r="A767" s="114"/>
      <c r="B767" s="1"/>
      <c r="C767" s="1"/>
      <c r="D767" s="1"/>
      <c r="E767" s="1"/>
      <c r="F767" s="24"/>
      <c r="G767" s="24"/>
      <c r="H767" s="235"/>
    </row>
    <row r="768">
      <c r="A768" s="114"/>
      <c r="B768" s="1"/>
      <c r="C768" s="1"/>
      <c r="D768" s="1"/>
      <c r="E768" s="1"/>
      <c r="F768" s="24"/>
      <c r="G768" s="24"/>
      <c r="H768" s="235"/>
    </row>
    <row r="769">
      <c r="A769" s="114"/>
      <c r="B769" s="1"/>
      <c r="C769" s="1"/>
      <c r="D769" s="1"/>
      <c r="E769" s="1"/>
      <c r="F769" s="24"/>
      <c r="G769" s="24"/>
      <c r="H769" s="235"/>
    </row>
    <row r="770">
      <c r="A770" s="114"/>
      <c r="B770" s="1"/>
      <c r="C770" s="1"/>
      <c r="D770" s="1"/>
      <c r="E770" s="1"/>
      <c r="F770" s="24"/>
      <c r="G770" s="24"/>
      <c r="H770" s="235"/>
    </row>
    <row r="771">
      <c r="A771" s="114"/>
      <c r="B771" s="1"/>
      <c r="C771" s="1"/>
      <c r="D771" s="1"/>
      <c r="E771" s="1"/>
      <c r="F771" s="24"/>
      <c r="G771" s="24"/>
      <c r="H771" s="235"/>
    </row>
    <row r="772">
      <c r="A772" s="114"/>
      <c r="B772" s="1"/>
      <c r="C772" s="1"/>
      <c r="D772" s="1"/>
      <c r="E772" s="1"/>
      <c r="F772" s="24"/>
      <c r="G772" s="24"/>
      <c r="H772" s="235"/>
    </row>
    <row r="773">
      <c r="A773" s="114"/>
      <c r="B773" s="1"/>
      <c r="C773" s="1"/>
      <c r="D773" s="1"/>
      <c r="E773" s="1"/>
      <c r="F773" s="24"/>
      <c r="G773" s="24"/>
      <c r="H773" s="235"/>
    </row>
    <row r="774">
      <c r="A774" s="114"/>
      <c r="B774" s="1"/>
      <c r="C774" s="1"/>
      <c r="D774" s="1"/>
      <c r="E774" s="1"/>
      <c r="F774" s="24"/>
      <c r="G774" s="24"/>
      <c r="H774" s="235"/>
    </row>
    <row r="775">
      <c r="A775" s="114"/>
      <c r="B775" s="1"/>
      <c r="C775" s="1"/>
      <c r="D775" s="1"/>
      <c r="E775" s="1"/>
      <c r="F775" s="24"/>
      <c r="G775" s="24"/>
      <c r="H775" s="235"/>
    </row>
    <row r="776">
      <c r="A776" s="114"/>
      <c r="B776" s="1"/>
      <c r="C776" s="1"/>
      <c r="D776" s="1"/>
      <c r="E776" s="1"/>
      <c r="F776" s="24"/>
      <c r="G776" s="24"/>
      <c r="H776" s="235"/>
    </row>
    <row r="777">
      <c r="A777" s="114"/>
      <c r="B777" s="1"/>
      <c r="C777" s="1"/>
      <c r="D777" s="1"/>
      <c r="E777" s="1"/>
      <c r="F777" s="24"/>
      <c r="G777" s="24"/>
      <c r="H777" s="235"/>
    </row>
    <row r="778">
      <c r="A778" s="114"/>
      <c r="B778" s="1"/>
      <c r="C778" s="1"/>
      <c r="D778" s="1"/>
      <c r="E778" s="1"/>
      <c r="F778" s="24"/>
      <c r="G778" s="24"/>
      <c r="H778" s="235"/>
    </row>
    <row r="779">
      <c r="A779" s="114"/>
      <c r="B779" s="1"/>
      <c r="C779" s="1"/>
      <c r="D779" s="1"/>
      <c r="E779" s="1"/>
      <c r="F779" s="24"/>
      <c r="G779" s="24"/>
      <c r="H779" s="235"/>
    </row>
    <row r="780">
      <c r="A780" s="114"/>
      <c r="B780" s="1"/>
      <c r="C780" s="1"/>
      <c r="D780" s="1"/>
      <c r="E780" s="1"/>
      <c r="F780" s="24"/>
      <c r="G780" s="24"/>
      <c r="H780" s="235"/>
    </row>
    <row r="781">
      <c r="A781" s="114"/>
      <c r="B781" s="1"/>
      <c r="C781" s="1"/>
      <c r="D781" s="1"/>
      <c r="E781" s="1"/>
      <c r="F781" s="24"/>
      <c r="G781" s="24"/>
      <c r="H781" s="235"/>
    </row>
    <row r="782">
      <c r="A782" s="114"/>
      <c r="B782" s="1"/>
      <c r="C782" s="1"/>
      <c r="D782" s="1"/>
      <c r="E782" s="1"/>
      <c r="F782" s="24"/>
      <c r="G782" s="24"/>
      <c r="H782" s="235"/>
    </row>
    <row r="783">
      <c r="A783" s="114"/>
      <c r="B783" s="1"/>
      <c r="C783" s="1"/>
      <c r="D783" s="1"/>
      <c r="E783" s="1"/>
      <c r="F783" s="24"/>
      <c r="G783" s="24"/>
      <c r="H783" s="235"/>
    </row>
    <row r="784">
      <c r="A784" s="114"/>
      <c r="B784" s="1"/>
      <c r="C784" s="1"/>
      <c r="D784" s="1"/>
      <c r="E784" s="1"/>
      <c r="F784" s="24"/>
      <c r="G784" s="24"/>
      <c r="H784" s="235"/>
    </row>
    <row r="785">
      <c r="A785" s="114"/>
      <c r="B785" s="1"/>
      <c r="C785" s="1"/>
      <c r="D785" s="1"/>
      <c r="E785" s="1"/>
      <c r="F785" s="24"/>
      <c r="G785" s="24"/>
      <c r="H785" s="235"/>
    </row>
    <row r="786">
      <c r="A786" s="114"/>
      <c r="B786" s="1"/>
      <c r="C786" s="1"/>
      <c r="D786" s="1"/>
      <c r="E786" s="1"/>
      <c r="F786" s="24"/>
      <c r="G786" s="24"/>
      <c r="H786" s="235"/>
    </row>
    <row r="787">
      <c r="A787" s="114"/>
      <c r="B787" s="1"/>
      <c r="C787" s="1"/>
      <c r="D787" s="1"/>
      <c r="E787" s="1"/>
      <c r="F787" s="24"/>
      <c r="G787" s="24"/>
      <c r="H787" s="235"/>
    </row>
    <row r="788">
      <c r="A788" s="114"/>
      <c r="B788" s="1"/>
      <c r="C788" s="1"/>
      <c r="D788" s="1"/>
      <c r="E788" s="1"/>
      <c r="F788" s="24"/>
      <c r="G788" s="24"/>
      <c r="H788" s="235"/>
    </row>
    <row r="789">
      <c r="A789" s="114"/>
      <c r="B789" s="1"/>
      <c r="C789" s="1"/>
      <c r="D789" s="1"/>
      <c r="E789" s="1"/>
      <c r="F789" s="24"/>
      <c r="G789" s="24"/>
      <c r="H789" s="235"/>
    </row>
    <row r="790">
      <c r="A790" s="114"/>
      <c r="B790" s="1"/>
      <c r="C790" s="1"/>
      <c r="D790" s="1"/>
      <c r="E790" s="1"/>
      <c r="F790" s="24"/>
      <c r="G790" s="24"/>
      <c r="H790" s="235"/>
    </row>
    <row r="791">
      <c r="A791" s="114"/>
      <c r="B791" s="1"/>
      <c r="C791" s="1"/>
      <c r="D791" s="1"/>
      <c r="E791" s="1"/>
      <c r="F791" s="24"/>
      <c r="G791" s="24"/>
      <c r="H791" s="235"/>
    </row>
    <row r="792">
      <c r="A792" s="114"/>
      <c r="B792" s="1"/>
      <c r="C792" s="1"/>
      <c r="D792" s="1"/>
      <c r="E792" s="1"/>
      <c r="F792" s="24"/>
      <c r="G792" s="24"/>
      <c r="H792" s="235"/>
    </row>
    <row r="793">
      <c r="A793" s="114"/>
      <c r="B793" s="1"/>
      <c r="C793" s="1"/>
      <c r="D793" s="1"/>
      <c r="E793" s="1"/>
      <c r="F793" s="24"/>
      <c r="G793" s="24"/>
      <c r="H793" s="235"/>
    </row>
    <row r="794">
      <c r="A794" s="114"/>
      <c r="B794" s="1"/>
      <c r="C794" s="1"/>
      <c r="D794" s="1"/>
      <c r="E794" s="1"/>
      <c r="F794" s="24"/>
      <c r="G794" s="24"/>
      <c r="H794" s="235"/>
    </row>
    <row r="795">
      <c r="A795" s="114"/>
      <c r="B795" s="1"/>
      <c r="C795" s="1"/>
      <c r="D795" s="1"/>
      <c r="E795" s="1"/>
      <c r="F795" s="24"/>
      <c r="G795" s="24"/>
      <c r="H795" s="235"/>
    </row>
    <row r="796">
      <c r="A796" s="114"/>
      <c r="B796" s="1"/>
      <c r="C796" s="1"/>
      <c r="D796" s="1"/>
      <c r="E796" s="1"/>
      <c r="F796" s="24"/>
      <c r="G796" s="24"/>
      <c r="H796" s="235"/>
    </row>
    <row r="797">
      <c r="A797" s="114"/>
      <c r="B797" s="1"/>
      <c r="C797" s="1"/>
      <c r="D797" s="1"/>
      <c r="E797" s="1"/>
      <c r="F797" s="24"/>
      <c r="G797" s="24"/>
      <c r="H797" s="235"/>
    </row>
    <row r="798">
      <c r="A798" s="114"/>
      <c r="B798" s="1"/>
      <c r="C798" s="1"/>
      <c r="D798" s="1"/>
      <c r="E798" s="1"/>
      <c r="F798" s="24"/>
      <c r="G798" s="24"/>
      <c r="H798" s="235"/>
    </row>
    <row r="799">
      <c r="A799" s="114"/>
      <c r="B799" s="1"/>
      <c r="C799" s="1"/>
      <c r="D799" s="1"/>
      <c r="E799" s="1"/>
      <c r="F799" s="24"/>
      <c r="G799" s="24"/>
      <c r="H799" s="235"/>
    </row>
    <row r="800">
      <c r="A800" s="114"/>
      <c r="B800" s="1"/>
      <c r="C800" s="1"/>
      <c r="D800" s="1"/>
      <c r="E800" s="1"/>
      <c r="F800" s="24"/>
      <c r="G800" s="24"/>
      <c r="H800" s="235"/>
    </row>
    <row r="801">
      <c r="A801" s="114"/>
      <c r="B801" s="1"/>
      <c r="C801" s="1"/>
      <c r="D801" s="1"/>
      <c r="E801" s="1"/>
      <c r="F801" s="24"/>
      <c r="G801" s="24"/>
      <c r="H801" s="235"/>
    </row>
    <row r="802">
      <c r="A802" s="114"/>
      <c r="B802" s="1"/>
      <c r="C802" s="1"/>
      <c r="D802" s="1"/>
      <c r="E802" s="1"/>
      <c r="F802" s="24"/>
      <c r="G802" s="24"/>
      <c r="H802" s="235"/>
    </row>
    <row r="803">
      <c r="A803" s="114"/>
      <c r="B803" s="1"/>
      <c r="C803" s="1"/>
      <c r="D803" s="1"/>
      <c r="E803" s="1"/>
      <c r="F803" s="24"/>
      <c r="G803" s="24"/>
      <c r="H803" s="235"/>
    </row>
    <row r="804">
      <c r="A804" s="114"/>
      <c r="B804" s="1"/>
      <c r="C804" s="1"/>
      <c r="D804" s="1"/>
      <c r="E804" s="1"/>
      <c r="F804" s="24"/>
      <c r="G804" s="24"/>
      <c r="H804" s="235"/>
    </row>
    <row r="805">
      <c r="A805" s="114"/>
      <c r="B805" s="1"/>
      <c r="C805" s="1"/>
      <c r="D805" s="1"/>
      <c r="E805" s="1"/>
      <c r="F805" s="24"/>
      <c r="G805" s="24"/>
      <c r="H805" s="235"/>
    </row>
    <row r="806">
      <c r="A806" s="114"/>
      <c r="B806" s="1"/>
      <c r="C806" s="1"/>
      <c r="D806" s="1"/>
      <c r="E806" s="1"/>
      <c r="F806" s="24"/>
      <c r="G806" s="24"/>
      <c r="H806" s="235"/>
    </row>
    <row r="807">
      <c r="A807" s="114"/>
      <c r="B807" s="1"/>
      <c r="C807" s="1"/>
      <c r="D807" s="1"/>
      <c r="E807" s="1"/>
      <c r="F807" s="24"/>
      <c r="G807" s="24"/>
      <c r="H807" s="235"/>
    </row>
    <row r="808">
      <c r="A808" s="114"/>
      <c r="B808" s="1"/>
      <c r="C808" s="1"/>
      <c r="D808" s="1"/>
      <c r="E808" s="1"/>
      <c r="F808" s="24"/>
      <c r="G808" s="24"/>
      <c r="H808" s="235"/>
    </row>
    <row r="809">
      <c r="A809" s="114"/>
      <c r="B809" s="1"/>
      <c r="C809" s="1"/>
      <c r="D809" s="1"/>
      <c r="E809" s="1"/>
      <c r="F809" s="24"/>
      <c r="G809" s="24"/>
      <c r="H809" s="235"/>
    </row>
    <row r="810">
      <c r="A810" s="114"/>
      <c r="B810" s="1"/>
      <c r="C810" s="1"/>
      <c r="D810" s="1"/>
      <c r="E810" s="1"/>
      <c r="F810" s="24"/>
      <c r="G810" s="24"/>
      <c r="H810" s="235"/>
    </row>
    <row r="811">
      <c r="A811" s="114"/>
      <c r="B811" s="1"/>
      <c r="C811" s="1"/>
      <c r="D811" s="1"/>
      <c r="E811" s="1"/>
      <c r="F811" s="24"/>
      <c r="G811" s="24"/>
      <c r="H811" s="235"/>
    </row>
    <row r="812">
      <c r="A812" s="114"/>
      <c r="B812" s="1"/>
      <c r="C812" s="1"/>
      <c r="D812" s="1"/>
      <c r="E812" s="1"/>
      <c r="F812" s="24"/>
      <c r="G812" s="24"/>
      <c r="H812" s="235"/>
    </row>
    <row r="813">
      <c r="A813" s="114"/>
      <c r="B813" s="1"/>
      <c r="C813" s="1"/>
      <c r="D813" s="1"/>
      <c r="E813" s="1"/>
      <c r="F813" s="24"/>
      <c r="G813" s="24"/>
      <c r="H813" s="235"/>
    </row>
    <row r="814">
      <c r="A814" s="114"/>
      <c r="B814" s="1"/>
      <c r="C814" s="1"/>
      <c r="D814" s="1"/>
      <c r="E814" s="1"/>
      <c r="F814" s="24"/>
      <c r="G814" s="24"/>
      <c r="H814" s="235"/>
    </row>
    <row r="815">
      <c r="A815" s="114"/>
      <c r="B815" s="1"/>
      <c r="C815" s="1"/>
      <c r="D815" s="1"/>
      <c r="E815" s="1"/>
      <c r="F815" s="24"/>
      <c r="G815" s="24"/>
      <c r="H815" s="235"/>
    </row>
    <row r="816">
      <c r="A816" s="114"/>
      <c r="B816" s="1"/>
      <c r="C816" s="1"/>
      <c r="D816" s="1"/>
      <c r="E816" s="1"/>
      <c r="F816" s="24"/>
      <c r="G816" s="24"/>
      <c r="H816" s="235"/>
    </row>
    <row r="817">
      <c r="A817" s="114"/>
      <c r="B817" s="1"/>
      <c r="C817" s="1"/>
      <c r="D817" s="1"/>
      <c r="E817" s="1"/>
      <c r="F817" s="24"/>
      <c r="G817" s="24"/>
      <c r="H817" s="235"/>
    </row>
    <row r="818">
      <c r="A818" s="114"/>
      <c r="B818" s="1"/>
      <c r="C818" s="1"/>
      <c r="D818" s="1"/>
      <c r="E818" s="1"/>
      <c r="F818" s="24"/>
      <c r="G818" s="24"/>
      <c r="H818" s="235"/>
    </row>
    <row r="819">
      <c r="A819" s="114"/>
      <c r="B819" s="1"/>
      <c r="C819" s="1"/>
      <c r="D819" s="1"/>
      <c r="E819" s="1"/>
      <c r="F819" s="24"/>
      <c r="G819" s="24"/>
      <c r="H819" s="235"/>
    </row>
    <row r="820">
      <c r="A820" s="114"/>
      <c r="B820" s="1"/>
      <c r="C820" s="1"/>
      <c r="D820" s="1"/>
      <c r="E820" s="1"/>
      <c r="F820" s="24"/>
      <c r="G820" s="24"/>
      <c r="H820" s="235"/>
    </row>
    <row r="821">
      <c r="A821" s="114"/>
      <c r="B821" s="1"/>
      <c r="C821" s="1"/>
      <c r="D821" s="1"/>
      <c r="E821" s="1"/>
      <c r="F821" s="24"/>
      <c r="G821" s="24"/>
      <c r="H821" s="235"/>
    </row>
    <row r="822">
      <c r="A822" s="114"/>
      <c r="B822" s="1"/>
      <c r="C822" s="1"/>
      <c r="D822" s="1"/>
      <c r="E822" s="1"/>
      <c r="F822" s="24"/>
      <c r="G822" s="24"/>
      <c r="H822" s="235"/>
    </row>
    <row r="823">
      <c r="A823" s="114"/>
      <c r="B823" s="1"/>
      <c r="C823" s="1"/>
      <c r="D823" s="1"/>
      <c r="E823" s="1"/>
      <c r="F823" s="24"/>
      <c r="G823" s="24"/>
      <c r="H823" s="235"/>
    </row>
    <row r="824">
      <c r="A824" s="114"/>
      <c r="B824" s="1"/>
      <c r="C824" s="1"/>
      <c r="D824" s="1"/>
      <c r="E824" s="1"/>
      <c r="F824" s="24"/>
      <c r="G824" s="24"/>
      <c r="H824" s="235"/>
    </row>
    <row r="825">
      <c r="A825" s="114"/>
      <c r="B825" s="1"/>
      <c r="C825" s="1"/>
      <c r="D825" s="1"/>
      <c r="E825" s="1"/>
      <c r="F825" s="24"/>
      <c r="G825" s="24"/>
      <c r="H825" s="235"/>
    </row>
    <row r="826">
      <c r="A826" s="114"/>
      <c r="B826" s="1"/>
      <c r="C826" s="1"/>
      <c r="D826" s="1"/>
      <c r="E826" s="1"/>
      <c r="F826" s="24"/>
      <c r="G826" s="24"/>
      <c r="H826" s="235"/>
    </row>
    <row r="827">
      <c r="A827" s="114"/>
      <c r="B827" s="1"/>
      <c r="C827" s="1"/>
      <c r="D827" s="1"/>
      <c r="E827" s="1"/>
      <c r="F827" s="24"/>
      <c r="G827" s="24"/>
      <c r="H827" s="235"/>
    </row>
    <row r="828">
      <c r="A828" s="114"/>
      <c r="B828" s="1"/>
      <c r="C828" s="1"/>
      <c r="D828" s="1"/>
      <c r="E828" s="1"/>
      <c r="F828" s="24"/>
      <c r="G828" s="24"/>
      <c r="H828" s="235"/>
    </row>
    <row r="829">
      <c r="A829" s="114"/>
      <c r="B829" s="1"/>
      <c r="C829" s="1"/>
      <c r="D829" s="1"/>
      <c r="E829" s="1"/>
      <c r="F829" s="24"/>
      <c r="G829" s="24"/>
      <c r="H829" s="235"/>
    </row>
    <row r="830">
      <c r="A830" s="114"/>
      <c r="B830" s="1"/>
      <c r="C830" s="1"/>
      <c r="D830" s="1"/>
      <c r="E830" s="1"/>
      <c r="F830" s="24"/>
      <c r="G830" s="24"/>
      <c r="H830" s="235"/>
    </row>
    <row r="831">
      <c r="A831" s="114"/>
      <c r="B831" s="1"/>
      <c r="C831" s="1"/>
      <c r="D831" s="1"/>
      <c r="E831" s="1"/>
      <c r="F831" s="24"/>
      <c r="G831" s="24"/>
      <c r="H831" s="235"/>
    </row>
    <row r="832">
      <c r="A832" s="114"/>
      <c r="B832" s="1"/>
      <c r="C832" s="1"/>
      <c r="D832" s="1"/>
      <c r="E832" s="1"/>
      <c r="F832" s="24"/>
      <c r="G832" s="24"/>
      <c r="H832" s="235"/>
    </row>
    <row r="833">
      <c r="A833" s="114"/>
      <c r="B833" s="1"/>
      <c r="C833" s="1"/>
      <c r="D833" s="1"/>
      <c r="E833" s="1"/>
      <c r="F833" s="24"/>
      <c r="G833" s="24"/>
      <c r="H833" s="235"/>
    </row>
    <row r="834">
      <c r="A834" s="114"/>
      <c r="B834" s="1"/>
      <c r="C834" s="1"/>
      <c r="D834" s="1"/>
      <c r="E834" s="1"/>
      <c r="F834" s="24"/>
      <c r="G834" s="24"/>
      <c r="H834" s="235"/>
    </row>
    <row r="835">
      <c r="A835" s="114"/>
      <c r="B835" s="1"/>
      <c r="C835" s="1"/>
      <c r="D835" s="1"/>
      <c r="E835" s="1"/>
      <c r="F835" s="24"/>
      <c r="G835" s="24"/>
      <c r="H835" s="235"/>
    </row>
    <row r="836">
      <c r="A836" s="114"/>
      <c r="B836" s="1"/>
      <c r="C836" s="1"/>
      <c r="D836" s="1"/>
      <c r="E836" s="1"/>
      <c r="F836" s="24"/>
      <c r="G836" s="24"/>
      <c r="H836" s="235"/>
    </row>
    <row r="837">
      <c r="A837" s="114"/>
      <c r="B837" s="1"/>
      <c r="C837" s="1"/>
      <c r="D837" s="1"/>
      <c r="E837" s="1"/>
      <c r="F837" s="24"/>
      <c r="G837" s="24"/>
      <c r="H837" s="235"/>
    </row>
    <row r="838">
      <c r="A838" s="114"/>
      <c r="B838" s="1"/>
      <c r="C838" s="1"/>
      <c r="D838" s="1"/>
      <c r="E838" s="1"/>
      <c r="F838" s="24"/>
      <c r="G838" s="24"/>
      <c r="H838" s="235"/>
    </row>
    <row r="839">
      <c r="A839" s="114"/>
      <c r="B839" s="1"/>
      <c r="C839" s="1"/>
      <c r="D839" s="1"/>
      <c r="E839" s="1"/>
      <c r="F839" s="24"/>
      <c r="G839" s="24"/>
      <c r="H839" s="235"/>
    </row>
    <row r="840">
      <c r="A840" s="114"/>
      <c r="B840" s="1"/>
      <c r="C840" s="1"/>
      <c r="D840" s="1"/>
      <c r="E840" s="1"/>
      <c r="F840" s="24"/>
      <c r="G840" s="24"/>
      <c r="H840" s="235"/>
    </row>
    <row r="841">
      <c r="A841" s="114"/>
      <c r="B841" s="1"/>
      <c r="C841" s="1"/>
      <c r="D841" s="1"/>
      <c r="E841" s="1"/>
      <c r="F841" s="24"/>
      <c r="G841" s="24"/>
      <c r="H841" s="235"/>
    </row>
    <row r="842">
      <c r="A842" s="114"/>
      <c r="B842" s="1"/>
      <c r="C842" s="1"/>
      <c r="D842" s="1"/>
      <c r="E842" s="1"/>
      <c r="F842" s="24"/>
      <c r="G842" s="24"/>
      <c r="H842" s="235"/>
    </row>
    <row r="843">
      <c r="A843" s="114"/>
      <c r="B843" s="1"/>
      <c r="C843" s="1"/>
      <c r="D843" s="1"/>
      <c r="E843" s="1"/>
      <c r="F843" s="24"/>
      <c r="G843" s="24"/>
      <c r="H843" s="235"/>
    </row>
    <row r="844">
      <c r="A844" s="114"/>
      <c r="B844" s="1"/>
      <c r="C844" s="1"/>
      <c r="D844" s="1"/>
      <c r="E844" s="1"/>
      <c r="F844" s="24"/>
      <c r="G844" s="24"/>
      <c r="H844" s="235"/>
    </row>
    <row r="845">
      <c r="A845" s="114"/>
      <c r="B845" s="1"/>
      <c r="C845" s="1"/>
      <c r="D845" s="1"/>
      <c r="E845" s="1"/>
      <c r="F845" s="24"/>
      <c r="G845" s="24"/>
      <c r="H845" s="235"/>
    </row>
    <row r="846">
      <c r="A846" s="114"/>
      <c r="B846" s="1"/>
      <c r="C846" s="1"/>
      <c r="D846" s="1"/>
      <c r="E846" s="1"/>
      <c r="F846" s="24"/>
      <c r="G846" s="24"/>
      <c r="H846" s="235"/>
    </row>
    <row r="847">
      <c r="A847" s="114"/>
      <c r="B847" s="1"/>
      <c r="C847" s="1"/>
      <c r="D847" s="1"/>
      <c r="E847" s="1"/>
      <c r="F847" s="24"/>
      <c r="G847" s="24"/>
      <c r="H847" s="235"/>
    </row>
    <row r="848">
      <c r="A848" s="114"/>
      <c r="B848" s="1"/>
      <c r="C848" s="1"/>
      <c r="D848" s="1"/>
      <c r="E848" s="1"/>
      <c r="F848" s="24"/>
      <c r="G848" s="24"/>
      <c r="H848" s="235"/>
    </row>
    <row r="849">
      <c r="A849" s="114"/>
      <c r="B849" s="1"/>
      <c r="C849" s="1"/>
      <c r="D849" s="1"/>
      <c r="E849" s="1"/>
      <c r="F849" s="24"/>
      <c r="G849" s="24"/>
      <c r="H849" s="235"/>
    </row>
    <row r="850">
      <c r="A850" s="114"/>
      <c r="B850" s="1"/>
      <c r="C850" s="1"/>
      <c r="D850" s="1"/>
      <c r="E850" s="1"/>
      <c r="F850" s="24"/>
      <c r="G850" s="24"/>
      <c r="H850" s="235"/>
    </row>
    <row r="851">
      <c r="A851" s="114"/>
      <c r="B851" s="1"/>
      <c r="C851" s="1"/>
      <c r="D851" s="1"/>
      <c r="E851" s="1"/>
      <c r="F851" s="24"/>
      <c r="G851" s="24"/>
      <c r="H851" s="235"/>
    </row>
    <row r="852">
      <c r="A852" s="114"/>
      <c r="B852" s="1"/>
      <c r="C852" s="1"/>
      <c r="D852" s="1"/>
      <c r="E852" s="1"/>
      <c r="F852" s="24"/>
      <c r="G852" s="24"/>
      <c r="H852" s="235"/>
    </row>
    <row r="853">
      <c r="A853" s="114"/>
      <c r="B853" s="1"/>
      <c r="C853" s="1"/>
      <c r="D853" s="1"/>
      <c r="E853" s="1"/>
      <c r="F853" s="24"/>
      <c r="G853" s="24"/>
      <c r="H853" s="235"/>
    </row>
    <row r="854">
      <c r="A854" s="114"/>
      <c r="B854" s="1"/>
      <c r="C854" s="1"/>
      <c r="D854" s="1"/>
      <c r="E854" s="1"/>
      <c r="F854" s="24"/>
      <c r="G854" s="24"/>
      <c r="H854" s="235"/>
    </row>
    <row r="855">
      <c r="A855" s="114"/>
      <c r="B855" s="1"/>
      <c r="C855" s="1"/>
      <c r="D855" s="1"/>
      <c r="E855" s="1"/>
      <c r="F855" s="24"/>
      <c r="G855" s="24"/>
      <c r="H855" s="235"/>
    </row>
    <row r="856">
      <c r="A856" s="114"/>
      <c r="B856" s="1"/>
      <c r="C856" s="1"/>
      <c r="D856" s="1"/>
      <c r="E856" s="1"/>
      <c r="F856" s="24"/>
      <c r="G856" s="24"/>
      <c r="H856" s="235"/>
    </row>
    <row r="857">
      <c r="A857" s="114"/>
      <c r="B857" s="1"/>
      <c r="C857" s="1"/>
      <c r="D857" s="1"/>
      <c r="E857" s="1"/>
      <c r="F857" s="24"/>
      <c r="G857" s="24"/>
      <c r="H857" s="235"/>
    </row>
    <row r="858">
      <c r="A858" s="114"/>
      <c r="B858" s="1"/>
      <c r="C858" s="1"/>
      <c r="D858" s="1"/>
      <c r="E858" s="1"/>
      <c r="F858" s="24"/>
      <c r="G858" s="24"/>
      <c r="H858" s="235"/>
    </row>
    <row r="859">
      <c r="A859" s="114"/>
      <c r="B859" s="1"/>
      <c r="C859" s="1"/>
      <c r="D859" s="1"/>
      <c r="E859" s="1"/>
      <c r="F859" s="24"/>
      <c r="G859" s="24"/>
      <c r="H859" s="235"/>
    </row>
    <row r="860">
      <c r="A860" s="114"/>
      <c r="B860" s="1"/>
      <c r="C860" s="1"/>
      <c r="D860" s="1"/>
      <c r="E860" s="1"/>
      <c r="F860" s="24"/>
      <c r="G860" s="24"/>
      <c r="H860" s="235"/>
    </row>
    <row r="861">
      <c r="A861" s="114"/>
      <c r="B861" s="1"/>
      <c r="C861" s="1"/>
      <c r="D861" s="1"/>
      <c r="E861" s="1"/>
      <c r="F861" s="24"/>
      <c r="G861" s="24"/>
      <c r="H861" s="235"/>
    </row>
    <row r="862">
      <c r="A862" s="114"/>
      <c r="B862" s="1"/>
      <c r="C862" s="1"/>
      <c r="D862" s="1"/>
      <c r="E862" s="1"/>
      <c r="F862" s="24"/>
      <c r="G862" s="24"/>
      <c r="H862" s="235"/>
    </row>
    <row r="863">
      <c r="A863" s="114"/>
      <c r="B863" s="1"/>
      <c r="C863" s="1"/>
      <c r="D863" s="1"/>
      <c r="E863" s="1"/>
      <c r="F863" s="24"/>
      <c r="G863" s="24"/>
      <c r="H863" s="235"/>
    </row>
    <row r="864">
      <c r="A864" s="114"/>
      <c r="B864" s="1"/>
      <c r="C864" s="1"/>
      <c r="D864" s="1"/>
      <c r="E864" s="1"/>
      <c r="F864" s="24"/>
      <c r="G864" s="24"/>
      <c r="H864" s="235"/>
    </row>
    <row r="865">
      <c r="A865" s="114"/>
      <c r="B865" s="1"/>
      <c r="C865" s="1"/>
      <c r="D865" s="1"/>
      <c r="E865" s="1"/>
      <c r="F865" s="24"/>
      <c r="G865" s="24"/>
      <c r="H865" s="235"/>
    </row>
    <row r="866">
      <c r="A866" s="114"/>
      <c r="B866" s="1"/>
      <c r="C866" s="1"/>
      <c r="D866" s="1"/>
      <c r="E866" s="1"/>
      <c r="F866" s="24"/>
      <c r="G866" s="24"/>
      <c r="H866" s="235"/>
    </row>
    <row r="867">
      <c r="A867" s="114"/>
      <c r="B867" s="1"/>
      <c r="C867" s="1"/>
      <c r="D867" s="1"/>
      <c r="E867" s="1"/>
      <c r="F867" s="24"/>
      <c r="G867" s="24"/>
      <c r="H867" s="235"/>
    </row>
    <row r="868">
      <c r="A868" s="114"/>
      <c r="B868" s="1"/>
      <c r="C868" s="1"/>
      <c r="D868" s="1"/>
      <c r="E868" s="1"/>
      <c r="F868" s="24"/>
      <c r="G868" s="24"/>
      <c r="H868" s="235"/>
    </row>
    <row r="869">
      <c r="A869" s="114"/>
      <c r="B869" s="1"/>
      <c r="C869" s="1"/>
      <c r="D869" s="1"/>
      <c r="E869" s="1"/>
      <c r="F869" s="24"/>
      <c r="G869" s="24"/>
      <c r="H869" s="235"/>
    </row>
    <row r="870">
      <c r="A870" s="114"/>
      <c r="B870" s="1"/>
      <c r="C870" s="1"/>
      <c r="D870" s="1"/>
      <c r="E870" s="1"/>
      <c r="F870" s="24"/>
      <c r="G870" s="24"/>
      <c r="H870" s="235"/>
    </row>
    <row r="871">
      <c r="A871" s="114"/>
      <c r="B871" s="1"/>
      <c r="C871" s="1"/>
      <c r="D871" s="1"/>
      <c r="E871" s="1"/>
      <c r="F871" s="24"/>
      <c r="G871" s="24"/>
      <c r="H871" s="235"/>
    </row>
    <row r="872">
      <c r="A872" s="114"/>
      <c r="B872" s="1"/>
      <c r="C872" s="1"/>
      <c r="D872" s="1"/>
      <c r="E872" s="1"/>
      <c r="F872" s="24"/>
      <c r="G872" s="24"/>
      <c r="H872" s="235"/>
    </row>
    <row r="873">
      <c r="A873" s="114"/>
      <c r="B873" s="1"/>
      <c r="C873" s="1"/>
      <c r="D873" s="1"/>
      <c r="E873" s="1"/>
      <c r="F873" s="24"/>
      <c r="G873" s="24"/>
      <c r="H873" s="235"/>
    </row>
    <row r="874">
      <c r="A874" s="114"/>
      <c r="B874" s="1"/>
      <c r="C874" s="1"/>
      <c r="D874" s="1"/>
      <c r="E874" s="1"/>
      <c r="F874" s="24"/>
      <c r="G874" s="24"/>
      <c r="H874" s="235"/>
    </row>
    <row r="875">
      <c r="A875" s="114"/>
      <c r="B875" s="1"/>
      <c r="C875" s="1"/>
      <c r="D875" s="1"/>
      <c r="E875" s="1"/>
      <c r="F875" s="24"/>
      <c r="G875" s="24"/>
      <c r="H875" s="235"/>
    </row>
    <row r="876">
      <c r="A876" s="114"/>
      <c r="B876" s="1"/>
      <c r="C876" s="1"/>
      <c r="D876" s="1"/>
      <c r="E876" s="1"/>
      <c r="F876" s="24"/>
      <c r="G876" s="24"/>
      <c r="H876" s="235"/>
    </row>
    <row r="877">
      <c r="A877" s="114"/>
      <c r="B877" s="1"/>
      <c r="C877" s="1"/>
      <c r="D877" s="1"/>
      <c r="E877" s="1"/>
      <c r="F877" s="24"/>
      <c r="G877" s="24"/>
      <c r="H877" s="235"/>
    </row>
    <row r="878">
      <c r="A878" s="114"/>
      <c r="B878" s="1"/>
      <c r="C878" s="1"/>
      <c r="D878" s="1"/>
      <c r="E878" s="1"/>
      <c r="F878" s="24"/>
      <c r="G878" s="24"/>
      <c r="H878" s="235"/>
    </row>
    <row r="879">
      <c r="A879" s="114"/>
      <c r="B879" s="1"/>
      <c r="C879" s="1"/>
      <c r="D879" s="1"/>
      <c r="E879" s="1"/>
      <c r="F879" s="24"/>
      <c r="G879" s="24"/>
      <c r="H879" s="235"/>
    </row>
    <row r="880">
      <c r="A880" s="114"/>
      <c r="B880" s="1"/>
      <c r="C880" s="1"/>
      <c r="D880" s="1"/>
      <c r="E880" s="1"/>
      <c r="F880" s="24"/>
      <c r="G880" s="24"/>
      <c r="H880" s="235"/>
    </row>
    <row r="881">
      <c r="A881" s="114"/>
      <c r="B881" s="1"/>
      <c r="C881" s="1"/>
      <c r="D881" s="1"/>
      <c r="E881" s="1"/>
      <c r="F881" s="24"/>
      <c r="G881" s="24"/>
      <c r="H881" s="235"/>
    </row>
    <row r="882">
      <c r="A882" s="114"/>
      <c r="B882" s="1"/>
      <c r="C882" s="1"/>
      <c r="D882" s="1"/>
      <c r="E882" s="1"/>
      <c r="F882" s="24"/>
      <c r="G882" s="24"/>
      <c r="H882" s="235"/>
    </row>
    <row r="883">
      <c r="A883" s="114"/>
      <c r="B883" s="1"/>
      <c r="C883" s="1"/>
      <c r="D883" s="1"/>
      <c r="E883" s="1"/>
      <c r="F883" s="24"/>
      <c r="G883" s="24"/>
      <c r="H883" s="235"/>
    </row>
    <row r="884">
      <c r="A884" s="114"/>
      <c r="B884" s="1"/>
      <c r="C884" s="1"/>
      <c r="D884" s="1"/>
      <c r="E884" s="1"/>
      <c r="F884" s="24"/>
      <c r="G884" s="24"/>
      <c r="H884" s="235"/>
    </row>
    <row r="885">
      <c r="A885" s="114"/>
      <c r="B885" s="1"/>
      <c r="C885" s="1"/>
      <c r="D885" s="1"/>
      <c r="E885" s="1"/>
      <c r="F885" s="24"/>
      <c r="G885" s="24"/>
      <c r="H885" s="235"/>
    </row>
    <row r="886">
      <c r="A886" s="114"/>
      <c r="B886" s="1"/>
      <c r="C886" s="1"/>
      <c r="D886" s="1"/>
      <c r="E886" s="1"/>
      <c r="F886" s="24"/>
      <c r="G886" s="24"/>
      <c r="H886" s="235"/>
    </row>
    <row r="887">
      <c r="A887" s="114"/>
      <c r="B887" s="1"/>
      <c r="C887" s="1"/>
      <c r="D887" s="1"/>
      <c r="E887" s="1"/>
      <c r="F887" s="24"/>
      <c r="G887" s="24"/>
      <c r="H887" s="235"/>
    </row>
    <row r="888">
      <c r="A888" s="114"/>
      <c r="B888" s="1"/>
      <c r="C888" s="1"/>
      <c r="D888" s="1"/>
      <c r="E888" s="1"/>
      <c r="F888" s="24"/>
      <c r="G888" s="24"/>
      <c r="H888" s="235"/>
    </row>
    <row r="889">
      <c r="A889" s="114"/>
      <c r="B889" s="1"/>
      <c r="C889" s="1"/>
      <c r="D889" s="1"/>
      <c r="E889" s="1"/>
      <c r="F889" s="24"/>
      <c r="G889" s="24"/>
      <c r="H889" s="235"/>
    </row>
    <row r="890">
      <c r="A890" s="114"/>
      <c r="B890" s="1"/>
      <c r="C890" s="1"/>
      <c r="D890" s="1"/>
      <c r="E890" s="1"/>
      <c r="F890" s="24"/>
      <c r="G890" s="24"/>
      <c r="H890" s="235"/>
    </row>
    <row r="891">
      <c r="A891" s="114"/>
      <c r="B891" s="1"/>
      <c r="C891" s="1"/>
      <c r="D891" s="1"/>
      <c r="E891" s="1"/>
      <c r="F891" s="24"/>
      <c r="G891" s="24"/>
      <c r="H891" s="235"/>
    </row>
    <row r="892">
      <c r="A892" s="114"/>
      <c r="B892" s="1"/>
      <c r="C892" s="1"/>
      <c r="D892" s="1"/>
      <c r="E892" s="1"/>
      <c r="F892" s="24"/>
      <c r="G892" s="24"/>
      <c r="H892" s="235"/>
    </row>
    <row r="893">
      <c r="A893" s="114"/>
      <c r="B893" s="1"/>
      <c r="C893" s="1"/>
      <c r="D893" s="1"/>
      <c r="E893" s="1"/>
      <c r="F893" s="24"/>
      <c r="G893" s="24"/>
      <c r="H893" s="235"/>
    </row>
    <row r="894">
      <c r="A894" s="114"/>
      <c r="B894" s="1"/>
      <c r="C894" s="1"/>
      <c r="D894" s="1"/>
      <c r="E894" s="1"/>
      <c r="F894" s="24"/>
      <c r="G894" s="24"/>
      <c r="H894" s="235"/>
    </row>
    <row r="895">
      <c r="A895" s="114"/>
      <c r="B895" s="1"/>
      <c r="C895" s="1"/>
      <c r="D895" s="1"/>
      <c r="E895" s="1"/>
      <c r="F895" s="24"/>
      <c r="G895" s="24"/>
      <c r="H895" s="235"/>
    </row>
    <row r="896">
      <c r="A896" s="114"/>
      <c r="B896" s="1"/>
      <c r="C896" s="1"/>
      <c r="D896" s="1"/>
      <c r="E896" s="1"/>
      <c r="F896" s="24"/>
      <c r="G896" s="24"/>
      <c r="H896" s="235"/>
    </row>
    <row r="897">
      <c r="A897" s="114"/>
      <c r="B897" s="1"/>
      <c r="C897" s="1"/>
      <c r="D897" s="1"/>
      <c r="E897" s="1"/>
      <c r="F897" s="24"/>
      <c r="G897" s="24"/>
      <c r="H897" s="235"/>
    </row>
    <row r="898">
      <c r="A898" s="114"/>
      <c r="B898" s="1"/>
      <c r="C898" s="1"/>
      <c r="D898" s="1"/>
      <c r="E898" s="1"/>
      <c r="F898" s="24"/>
      <c r="G898" s="24"/>
      <c r="H898" s="235"/>
    </row>
    <row r="899">
      <c r="A899" s="114"/>
      <c r="B899" s="1"/>
      <c r="C899" s="1"/>
      <c r="D899" s="1"/>
      <c r="E899" s="1"/>
      <c r="F899" s="24"/>
      <c r="G899" s="24"/>
      <c r="H899" s="235"/>
    </row>
    <row r="900">
      <c r="A900" s="114"/>
      <c r="B900" s="1"/>
      <c r="C900" s="1"/>
      <c r="D900" s="1"/>
      <c r="E900" s="1"/>
      <c r="F900" s="24"/>
      <c r="G900" s="24"/>
      <c r="H900" s="235"/>
    </row>
    <row r="901">
      <c r="A901" s="114"/>
      <c r="B901" s="1"/>
      <c r="C901" s="1"/>
      <c r="D901" s="1"/>
      <c r="E901" s="1"/>
      <c r="F901" s="24"/>
      <c r="G901" s="24"/>
      <c r="H901" s="235"/>
    </row>
    <row r="902">
      <c r="A902" s="114"/>
      <c r="B902" s="1"/>
      <c r="C902" s="1"/>
      <c r="D902" s="1"/>
      <c r="E902" s="1"/>
      <c r="F902" s="24"/>
      <c r="G902" s="24"/>
      <c r="H902" s="235"/>
    </row>
    <row r="903">
      <c r="A903" s="114"/>
      <c r="B903" s="1"/>
      <c r="C903" s="1"/>
      <c r="D903" s="1"/>
      <c r="E903" s="1"/>
      <c r="F903" s="24"/>
      <c r="G903" s="24"/>
      <c r="H903" s="235"/>
    </row>
    <row r="904">
      <c r="A904" s="114"/>
      <c r="B904" s="1"/>
      <c r="C904" s="1"/>
      <c r="D904" s="1"/>
      <c r="E904" s="1"/>
      <c r="F904" s="24"/>
      <c r="G904" s="24"/>
      <c r="H904" s="235"/>
    </row>
    <row r="905">
      <c r="A905" s="114"/>
      <c r="B905" s="1"/>
      <c r="C905" s="1"/>
      <c r="D905" s="1"/>
      <c r="E905" s="1"/>
      <c r="F905" s="24"/>
      <c r="G905" s="24"/>
      <c r="H905" s="235"/>
    </row>
    <row r="906">
      <c r="A906" s="114"/>
      <c r="B906" s="1"/>
      <c r="C906" s="1"/>
      <c r="D906" s="1"/>
      <c r="E906" s="1"/>
      <c r="F906" s="24"/>
      <c r="G906" s="24"/>
      <c r="H906" s="235"/>
    </row>
    <row r="907">
      <c r="A907" s="114"/>
      <c r="B907" s="1"/>
      <c r="C907" s="1"/>
      <c r="D907" s="1"/>
      <c r="E907" s="1"/>
      <c r="F907" s="24"/>
      <c r="G907" s="24"/>
      <c r="H907" s="235"/>
    </row>
    <row r="908">
      <c r="A908" s="114"/>
      <c r="B908" s="1"/>
      <c r="C908" s="1"/>
      <c r="D908" s="1"/>
      <c r="E908" s="1"/>
      <c r="F908" s="24"/>
      <c r="G908" s="24"/>
      <c r="H908" s="235"/>
    </row>
    <row r="909">
      <c r="A909" s="114"/>
      <c r="B909" s="1"/>
      <c r="C909" s="1"/>
      <c r="D909" s="1"/>
      <c r="E909" s="1"/>
      <c r="F909" s="24"/>
      <c r="G909" s="24"/>
      <c r="H909" s="235"/>
    </row>
    <row r="910">
      <c r="A910" s="114"/>
      <c r="B910" s="1"/>
      <c r="C910" s="1"/>
      <c r="D910" s="1"/>
      <c r="E910" s="1"/>
      <c r="F910" s="24"/>
      <c r="G910" s="24"/>
      <c r="H910" s="235"/>
    </row>
    <row r="911">
      <c r="A911" s="114"/>
      <c r="B911" s="1"/>
      <c r="C911" s="1"/>
      <c r="D911" s="1"/>
      <c r="E911" s="1"/>
      <c r="F911" s="24"/>
      <c r="G911" s="24"/>
      <c r="H911" s="235"/>
    </row>
    <row r="912">
      <c r="A912" s="114"/>
      <c r="B912" s="1"/>
      <c r="C912" s="1"/>
      <c r="D912" s="1"/>
      <c r="E912" s="1"/>
      <c r="F912" s="24"/>
      <c r="G912" s="24"/>
      <c r="H912" s="235"/>
    </row>
    <row r="913">
      <c r="A913" s="114"/>
      <c r="B913" s="1"/>
      <c r="C913" s="1"/>
      <c r="D913" s="1"/>
      <c r="E913" s="1"/>
      <c r="F913" s="24"/>
      <c r="G913" s="24"/>
      <c r="H913" s="235"/>
    </row>
    <row r="914">
      <c r="A914" s="114"/>
      <c r="B914" s="1"/>
      <c r="C914" s="1"/>
      <c r="D914" s="1"/>
      <c r="E914" s="1"/>
      <c r="F914" s="24"/>
      <c r="G914" s="24"/>
      <c r="H914" s="235"/>
    </row>
    <row r="915">
      <c r="A915" s="114"/>
      <c r="B915" s="1"/>
      <c r="C915" s="1"/>
      <c r="D915" s="1"/>
      <c r="E915" s="1"/>
      <c r="F915" s="24"/>
      <c r="G915" s="24"/>
      <c r="H915" s="235"/>
    </row>
    <row r="916">
      <c r="A916" s="114"/>
      <c r="B916" s="1"/>
      <c r="C916" s="1"/>
      <c r="D916" s="1"/>
      <c r="E916" s="1"/>
      <c r="F916" s="24"/>
      <c r="G916" s="24"/>
      <c r="H916" s="235"/>
    </row>
    <row r="917">
      <c r="A917" s="114"/>
      <c r="B917" s="1"/>
      <c r="C917" s="1"/>
      <c r="D917" s="1"/>
      <c r="E917" s="1"/>
      <c r="F917" s="24"/>
      <c r="G917" s="24"/>
      <c r="H917" s="235"/>
    </row>
    <row r="918">
      <c r="A918" s="114"/>
      <c r="B918" s="1"/>
      <c r="C918" s="1"/>
      <c r="D918" s="1"/>
      <c r="E918" s="1"/>
      <c r="F918" s="24"/>
      <c r="G918" s="24"/>
      <c r="H918" s="235"/>
    </row>
    <row r="919">
      <c r="A919" s="114"/>
      <c r="B919" s="1"/>
      <c r="C919" s="1"/>
      <c r="D919" s="1"/>
      <c r="E919" s="1"/>
      <c r="F919" s="24"/>
      <c r="G919" s="24"/>
      <c r="H919" s="235"/>
    </row>
    <row r="920">
      <c r="A920" s="114"/>
      <c r="B920" s="1"/>
      <c r="C920" s="1"/>
      <c r="D920" s="1"/>
      <c r="E920" s="1"/>
      <c r="F920" s="24"/>
      <c r="G920" s="24"/>
      <c r="H920" s="235"/>
    </row>
    <row r="921">
      <c r="A921" s="114"/>
      <c r="B921" s="1"/>
      <c r="C921" s="1"/>
      <c r="D921" s="1"/>
      <c r="E921" s="1"/>
      <c r="F921" s="24"/>
      <c r="G921" s="24"/>
      <c r="H921" s="235"/>
    </row>
    <row r="922">
      <c r="A922" s="114"/>
      <c r="B922" s="1"/>
      <c r="C922" s="1"/>
      <c r="D922" s="1"/>
      <c r="E922" s="1"/>
      <c r="F922" s="24"/>
      <c r="G922" s="24"/>
      <c r="H922" s="235"/>
    </row>
    <row r="923">
      <c r="A923" s="114"/>
      <c r="B923" s="1"/>
      <c r="C923" s="1"/>
      <c r="D923" s="1"/>
      <c r="E923" s="1"/>
      <c r="F923" s="24"/>
      <c r="G923" s="24"/>
      <c r="H923" s="235"/>
    </row>
    <row r="924">
      <c r="A924" s="114"/>
      <c r="B924" s="1"/>
      <c r="C924" s="1"/>
      <c r="D924" s="1"/>
      <c r="E924" s="1"/>
      <c r="F924" s="24"/>
      <c r="G924" s="24"/>
      <c r="H924" s="235"/>
    </row>
    <row r="925">
      <c r="A925" s="114"/>
      <c r="B925" s="1"/>
      <c r="C925" s="1"/>
      <c r="D925" s="1"/>
      <c r="E925" s="1"/>
      <c r="F925" s="24"/>
      <c r="G925" s="24"/>
      <c r="H925" s="235"/>
    </row>
    <row r="926">
      <c r="A926" s="114"/>
      <c r="B926" s="1"/>
      <c r="C926" s="1"/>
      <c r="D926" s="1"/>
      <c r="E926" s="1"/>
      <c r="F926" s="24"/>
      <c r="G926" s="24"/>
      <c r="H926" s="235"/>
    </row>
    <row r="927">
      <c r="A927" s="114"/>
      <c r="B927" s="1"/>
      <c r="C927" s="1"/>
      <c r="D927" s="1"/>
      <c r="E927" s="1"/>
      <c r="F927" s="24"/>
      <c r="G927" s="24"/>
      <c r="H927" s="235"/>
    </row>
    <row r="928">
      <c r="A928" s="114"/>
      <c r="B928" s="1"/>
      <c r="C928" s="1"/>
      <c r="D928" s="1"/>
      <c r="E928" s="1"/>
      <c r="F928" s="24"/>
      <c r="G928" s="24"/>
      <c r="H928" s="235"/>
    </row>
    <row r="929">
      <c r="A929" s="114"/>
      <c r="B929" s="1"/>
      <c r="C929" s="1"/>
      <c r="D929" s="1"/>
      <c r="E929" s="1"/>
      <c r="F929" s="24"/>
      <c r="G929" s="24"/>
      <c r="H929" s="235"/>
    </row>
    <row r="930">
      <c r="A930" s="114"/>
      <c r="B930" s="1"/>
      <c r="C930" s="1"/>
      <c r="D930" s="1"/>
      <c r="E930" s="1"/>
      <c r="F930" s="24"/>
      <c r="G930" s="24"/>
      <c r="H930" s="235"/>
    </row>
    <row r="931">
      <c r="A931" s="114"/>
      <c r="B931" s="1"/>
      <c r="C931" s="1"/>
      <c r="D931" s="1"/>
      <c r="E931" s="1"/>
      <c r="F931" s="24"/>
      <c r="G931" s="24"/>
      <c r="H931" s="235"/>
    </row>
    <row r="932">
      <c r="A932" s="114"/>
      <c r="B932" s="1"/>
      <c r="C932" s="1"/>
      <c r="D932" s="1"/>
      <c r="E932" s="1"/>
      <c r="F932" s="24"/>
      <c r="G932" s="24"/>
      <c r="H932" s="235"/>
    </row>
    <row r="933">
      <c r="A933" s="114"/>
      <c r="B933" s="1"/>
      <c r="C933" s="1"/>
      <c r="D933" s="1"/>
      <c r="E933" s="1"/>
      <c r="F933" s="24"/>
      <c r="G933" s="24"/>
      <c r="H933" s="235"/>
    </row>
    <row r="934">
      <c r="A934" s="114"/>
      <c r="B934" s="1"/>
      <c r="C934" s="1"/>
      <c r="D934" s="1"/>
      <c r="E934" s="1"/>
      <c r="F934" s="24"/>
      <c r="G934" s="24"/>
      <c r="H934" s="235"/>
    </row>
    <row r="935">
      <c r="A935" s="114"/>
      <c r="B935" s="1"/>
      <c r="C935" s="1"/>
      <c r="D935" s="1"/>
      <c r="E935" s="1"/>
      <c r="F935" s="24"/>
      <c r="G935" s="24"/>
      <c r="H935" s="235"/>
    </row>
    <row r="936">
      <c r="A936" s="114"/>
      <c r="B936" s="1"/>
      <c r="C936" s="1"/>
      <c r="D936" s="1"/>
      <c r="E936" s="1"/>
      <c r="F936" s="24"/>
      <c r="G936" s="24"/>
      <c r="H936" s="235"/>
    </row>
    <row r="937">
      <c r="A937" s="114"/>
      <c r="B937" s="1"/>
      <c r="C937" s="1"/>
      <c r="D937" s="1"/>
      <c r="E937" s="1"/>
      <c r="F937" s="24"/>
      <c r="G937" s="24"/>
      <c r="H937" s="235"/>
    </row>
    <row r="938">
      <c r="A938" s="114"/>
      <c r="B938" s="1"/>
      <c r="C938" s="1"/>
      <c r="D938" s="1"/>
      <c r="E938" s="1"/>
      <c r="F938" s="24"/>
      <c r="G938" s="24"/>
      <c r="H938" s="235"/>
    </row>
    <row r="939">
      <c r="A939" s="114"/>
      <c r="B939" s="1"/>
      <c r="C939" s="1"/>
      <c r="D939" s="1"/>
      <c r="E939" s="1"/>
      <c r="F939" s="24"/>
      <c r="G939" s="24"/>
      <c r="H939" s="235"/>
    </row>
    <row r="940">
      <c r="A940" s="114"/>
      <c r="B940" s="1"/>
      <c r="C940" s="1"/>
      <c r="D940" s="1"/>
      <c r="E940" s="1"/>
      <c r="F940" s="24"/>
      <c r="G940" s="24"/>
      <c r="H940" s="235"/>
    </row>
    <row r="941">
      <c r="A941" s="114"/>
      <c r="B941" s="1"/>
      <c r="C941" s="1"/>
      <c r="D941" s="1"/>
      <c r="E941" s="1"/>
      <c r="F941" s="24"/>
      <c r="G941" s="24"/>
      <c r="H941" s="235"/>
    </row>
    <row r="942">
      <c r="A942" s="114"/>
      <c r="B942" s="1"/>
      <c r="C942" s="1"/>
      <c r="D942" s="1"/>
      <c r="E942" s="1"/>
      <c r="F942" s="24"/>
      <c r="G942" s="24"/>
      <c r="H942" s="235"/>
    </row>
    <row r="943">
      <c r="A943" s="114"/>
      <c r="B943" s="1"/>
      <c r="C943" s="1"/>
      <c r="D943" s="1"/>
      <c r="E943" s="1"/>
      <c r="F943" s="24"/>
      <c r="G943" s="24"/>
      <c r="H943" s="235"/>
    </row>
    <row r="944">
      <c r="A944" s="114"/>
      <c r="B944" s="1"/>
      <c r="C944" s="1"/>
      <c r="D944" s="1"/>
      <c r="E944" s="1"/>
      <c r="F944" s="24"/>
      <c r="G944" s="24"/>
      <c r="H944" s="235"/>
    </row>
    <row r="945">
      <c r="A945" s="114"/>
      <c r="B945" s="1"/>
      <c r="C945" s="1"/>
      <c r="D945" s="1"/>
      <c r="E945" s="1"/>
      <c r="F945" s="24"/>
      <c r="G945" s="24"/>
      <c r="H945" s="235"/>
    </row>
    <row r="946">
      <c r="A946" s="114"/>
      <c r="B946" s="1"/>
      <c r="C946" s="1"/>
      <c r="D946" s="1"/>
      <c r="E946" s="1"/>
      <c r="F946" s="24"/>
      <c r="G946" s="24"/>
      <c r="H946" s="235"/>
    </row>
    <row r="947">
      <c r="A947" s="114"/>
      <c r="B947" s="1"/>
      <c r="C947" s="1"/>
      <c r="D947" s="1"/>
      <c r="E947" s="1"/>
      <c r="F947" s="24"/>
      <c r="G947" s="24"/>
      <c r="H947" s="235"/>
    </row>
    <row r="948">
      <c r="A948" s="114"/>
      <c r="B948" s="1"/>
      <c r="C948" s="1"/>
      <c r="D948" s="1"/>
      <c r="E948" s="1"/>
      <c r="F948" s="24"/>
      <c r="G948" s="24"/>
      <c r="H948" s="235"/>
    </row>
    <row r="949">
      <c r="A949" s="114"/>
      <c r="B949" s="1"/>
      <c r="C949" s="1"/>
      <c r="D949" s="1"/>
      <c r="E949" s="1"/>
      <c r="F949" s="24"/>
      <c r="G949" s="24"/>
      <c r="H949" s="235"/>
    </row>
    <row r="950">
      <c r="A950" s="114"/>
      <c r="B950" s="1"/>
      <c r="C950" s="1"/>
      <c r="D950" s="1"/>
      <c r="E950" s="1"/>
      <c r="F950" s="24"/>
      <c r="G950" s="24"/>
      <c r="H950" s="235"/>
    </row>
    <row r="951">
      <c r="A951" s="114"/>
      <c r="B951" s="1"/>
      <c r="C951" s="1"/>
      <c r="D951" s="1"/>
      <c r="E951" s="1"/>
      <c r="F951" s="24"/>
      <c r="G951" s="24"/>
      <c r="H951" s="235"/>
    </row>
    <row r="952">
      <c r="A952" s="114"/>
      <c r="B952" s="1"/>
      <c r="C952" s="1"/>
      <c r="D952" s="1"/>
      <c r="E952" s="1"/>
      <c r="F952" s="24"/>
      <c r="G952" s="24"/>
      <c r="H952" s="235"/>
    </row>
    <row r="953">
      <c r="A953" s="114"/>
      <c r="B953" s="1"/>
      <c r="C953" s="1"/>
      <c r="D953" s="1"/>
      <c r="E953" s="1"/>
      <c r="F953" s="24"/>
      <c r="G953" s="24"/>
      <c r="H953" s="235"/>
    </row>
    <row r="954">
      <c r="A954" s="114"/>
      <c r="B954" s="1"/>
      <c r="C954" s="1"/>
      <c r="D954" s="1"/>
      <c r="E954" s="1"/>
      <c r="F954" s="24"/>
      <c r="G954" s="24"/>
      <c r="H954" s="235"/>
    </row>
    <row r="955">
      <c r="A955" s="114"/>
      <c r="B955" s="1"/>
      <c r="C955" s="1"/>
      <c r="D955" s="1"/>
      <c r="E955" s="1"/>
      <c r="F955" s="24"/>
      <c r="G955" s="24"/>
      <c r="H955" s="235"/>
    </row>
    <row r="956">
      <c r="A956" s="114"/>
      <c r="B956" s="1"/>
      <c r="C956" s="1"/>
      <c r="D956" s="1"/>
      <c r="E956" s="1"/>
      <c r="F956" s="24"/>
      <c r="G956" s="24"/>
      <c r="H956" s="235"/>
    </row>
    <row r="957">
      <c r="A957" s="114"/>
      <c r="B957" s="1"/>
      <c r="C957" s="1"/>
      <c r="D957" s="1"/>
      <c r="E957" s="1"/>
      <c r="F957" s="24"/>
      <c r="G957" s="24"/>
      <c r="H957" s="235"/>
    </row>
    <row r="958">
      <c r="A958" s="114"/>
      <c r="B958" s="1"/>
      <c r="C958" s="1"/>
      <c r="D958" s="1"/>
      <c r="E958" s="1"/>
      <c r="F958" s="24"/>
      <c r="G958" s="24"/>
      <c r="H958" s="235"/>
    </row>
    <row r="959">
      <c r="A959" s="114"/>
      <c r="B959" s="1"/>
      <c r="C959" s="1"/>
      <c r="D959" s="1"/>
      <c r="E959" s="1"/>
      <c r="F959" s="24"/>
      <c r="G959" s="24"/>
      <c r="H959" s="235"/>
    </row>
    <row r="960">
      <c r="A960" s="114"/>
      <c r="B960" s="1"/>
      <c r="C960" s="1"/>
      <c r="D960" s="1"/>
      <c r="E960" s="1"/>
      <c r="F960" s="24"/>
      <c r="G960" s="24"/>
      <c r="H960" s="235"/>
    </row>
    <row r="961">
      <c r="A961" s="114"/>
      <c r="B961" s="1"/>
      <c r="C961" s="1"/>
      <c r="D961" s="1"/>
      <c r="E961" s="1"/>
      <c r="F961" s="24"/>
      <c r="G961" s="24"/>
      <c r="H961" s="235"/>
    </row>
    <row r="962">
      <c r="A962" s="114"/>
      <c r="B962" s="1"/>
      <c r="C962" s="1"/>
      <c r="D962" s="1"/>
      <c r="E962" s="1"/>
      <c r="F962" s="24"/>
      <c r="G962" s="24"/>
      <c r="H962" s="235"/>
    </row>
    <row r="963">
      <c r="A963" s="114"/>
      <c r="B963" s="1"/>
      <c r="C963" s="1"/>
      <c r="D963" s="1"/>
      <c r="E963" s="1"/>
      <c r="F963" s="24"/>
      <c r="G963" s="24"/>
      <c r="H963" s="235"/>
    </row>
    <row r="964">
      <c r="A964" s="114"/>
      <c r="B964" s="1"/>
      <c r="C964" s="1"/>
      <c r="D964" s="1"/>
      <c r="E964" s="1"/>
      <c r="F964" s="24"/>
      <c r="G964" s="24"/>
      <c r="H964" s="235"/>
    </row>
    <row r="965">
      <c r="A965" s="114"/>
      <c r="B965" s="1"/>
      <c r="C965" s="1"/>
      <c r="D965" s="1"/>
      <c r="E965" s="1"/>
      <c r="F965" s="24"/>
      <c r="G965" s="24"/>
      <c r="H965" s="235"/>
    </row>
    <row r="966">
      <c r="A966" s="114"/>
      <c r="B966" s="1"/>
      <c r="C966" s="1"/>
      <c r="D966" s="1"/>
      <c r="E966" s="1"/>
      <c r="F966" s="24"/>
      <c r="G966" s="24"/>
      <c r="H966" s="235"/>
    </row>
    <row r="967">
      <c r="A967" s="114"/>
      <c r="B967" s="1"/>
      <c r="C967" s="1"/>
      <c r="D967" s="1"/>
      <c r="E967" s="1"/>
      <c r="F967" s="24"/>
      <c r="G967" s="24"/>
      <c r="H967" s="235"/>
    </row>
    <row r="968">
      <c r="A968" s="114"/>
      <c r="B968" s="1"/>
      <c r="C968" s="1"/>
      <c r="D968" s="1"/>
      <c r="E968" s="1"/>
      <c r="F968" s="24"/>
      <c r="G968" s="24"/>
      <c r="H968" s="235"/>
    </row>
    <row r="969">
      <c r="A969" s="114"/>
      <c r="B969" s="1"/>
      <c r="C969" s="1"/>
      <c r="D969" s="1"/>
      <c r="E969" s="1"/>
      <c r="F969" s="24"/>
      <c r="G969" s="24"/>
      <c r="H969" s="235"/>
    </row>
    <row r="970">
      <c r="A970" s="114"/>
      <c r="B970" s="1"/>
      <c r="C970" s="1"/>
      <c r="D970" s="1"/>
      <c r="E970" s="1"/>
      <c r="F970" s="24"/>
      <c r="G970" s="24"/>
      <c r="H970" s="235"/>
    </row>
    <row r="971">
      <c r="A971" s="114"/>
      <c r="B971" s="1"/>
      <c r="C971" s="1"/>
      <c r="D971" s="1"/>
      <c r="E971" s="1"/>
      <c r="F971" s="24"/>
      <c r="G971" s="24"/>
      <c r="H971" s="235"/>
    </row>
    <row r="972">
      <c r="A972" s="114"/>
      <c r="B972" s="1"/>
      <c r="C972" s="1"/>
      <c r="D972" s="1"/>
      <c r="E972" s="1"/>
      <c r="F972" s="24"/>
      <c r="G972" s="24"/>
      <c r="H972" s="235"/>
    </row>
    <row r="973">
      <c r="A973" s="114"/>
      <c r="B973" s="1"/>
      <c r="C973" s="1"/>
      <c r="D973" s="1"/>
      <c r="E973" s="1"/>
      <c r="F973" s="24"/>
      <c r="G973" s="24"/>
      <c r="H973" s="235"/>
    </row>
    <row r="974">
      <c r="A974" s="114"/>
      <c r="B974" s="1"/>
      <c r="C974" s="1"/>
      <c r="D974" s="1"/>
      <c r="E974" s="1"/>
      <c r="F974" s="24"/>
      <c r="G974" s="24"/>
      <c r="H974" s="235"/>
    </row>
    <row r="975">
      <c r="A975" s="114"/>
      <c r="B975" s="1"/>
      <c r="C975" s="1"/>
      <c r="D975" s="1"/>
      <c r="E975" s="1"/>
      <c r="F975" s="24"/>
      <c r="G975" s="24"/>
      <c r="H975" s="235"/>
    </row>
    <row r="976">
      <c r="A976" s="114"/>
      <c r="B976" s="1"/>
      <c r="C976" s="1"/>
      <c r="D976" s="1"/>
      <c r="E976" s="1"/>
      <c r="F976" s="24"/>
      <c r="G976" s="24"/>
      <c r="H976" s="235"/>
    </row>
    <row r="977">
      <c r="A977" s="114"/>
      <c r="B977" s="1"/>
      <c r="C977" s="1"/>
      <c r="D977" s="1"/>
      <c r="E977" s="1"/>
      <c r="F977" s="24"/>
      <c r="G977" s="24"/>
      <c r="H977" s="235"/>
    </row>
    <row r="978">
      <c r="A978" s="114"/>
      <c r="B978" s="1"/>
      <c r="C978" s="1"/>
      <c r="D978" s="1"/>
      <c r="E978" s="1"/>
      <c r="F978" s="24"/>
      <c r="G978" s="24"/>
      <c r="H978" s="235"/>
    </row>
    <row r="979">
      <c r="A979" s="114"/>
      <c r="B979" s="1"/>
      <c r="C979" s="1"/>
      <c r="D979" s="1"/>
      <c r="E979" s="1"/>
      <c r="F979" s="24"/>
      <c r="G979" s="24"/>
      <c r="H979" s="235"/>
    </row>
    <row r="980">
      <c r="A980" s="114"/>
      <c r="B980" s="1"/>
      <c r="C980" s="1"/>
      <c r="D980" s="1"/>
      <c r="E980" s="1"/>
      <c r="F980" s="24"/>
      <c r="G980" s="24"/>
      <c r="H980" s="235"/>
    </row>
    <row r="981">
      <c r="A981" s="114"/>
      <c r="B981" s="1"/>
      <c r="C981" s="1"/>
      <c r="D981" s="1"/>
      <c r="E981" s="1"/>
      <c r="F981" s="24"/>
      <c r="G981" s="24"/>
      <c r="H981" s="235"/>
    </row>
    <row r="982">
      <c r="A982" s="114"/>
      <c r="B982" s="1"/>
      <c r="C982" s="1"/>
      <c r="D982" s="1"/>
      <c r="E982" s="1"/>
      <c r="F982" s="24"/>
      <c r="G982" s="24"/>
      <c r="H982" s="235"/>
    </row>
    <row r="983">
      <c r="A983" s="114"/>
      <c r="B983" s="1"/>
      <c r="C983" s="1"/>
      <c r="D983" s="1"/>
      <c r="E983" s="1"/>
      <c r="F983" s="24"/>
      <c r="G983" s="24"/>
      <c r="H983" s="235"/>
    </row>
    <row r="984">
      <c r="A984" s="114"/>
      <c r="B984" s="1"/>
      <c r="C984" s="1"/>
      <c r="D984" s="1"/>
      <c r="E984" s="1"/>
      <c r="F984" s="24"/>
      <c r="G984" s="24"/>
      <c r="H984" s="235"/>
    </row>
    <row r="985">
      <c r="A985" s="114"/>
      <c r="B985" s="1"/>
      <c r="C985" s="1"/>
      <c r="D985" s="1"/>
      <c r="E985" s="1"/>
      <c r="F985" s="24"/>
      <c r="G985" s="24"/>
      <c r="H985" s="235"/>
    </row>
    <row r="986">
      <c r="A986" s="114"/>
      <c r="B986" s="1"/>
      <c r="C986" s="1"/>
      <c r="D986" s="1"/>
      <c r="E986" s="1"/>
      <c r="F986" s="24"/>
      <c r="G986" s="24"/>
      <c r="H986" s="235"/>
    </row>
    <row r="987">
      <c r="A987" s="114"/>
      <c r="B987" s="1"/>
      <c r="C987" s="1"/>
      <c r="D987" s="1"/>
      <c r="E987" s="1"/>
      <c r="F987" s="24"/>
      <c r="G987" s="24"/>
      <c r="H987" s="235"/>
    </row>
    <row r="988">
      <c r="A988" s="114"/>
      <c r="B988" s="1"/>
      <c r="C988" s="1"/>
      <c r="D988" s="1"/>
      <c r="E988" s="1"/>
      <c r="F988" s="24"/>
      <c r="G988" s="24"/>
      <c r="H988" s="235"/>
    </row>
    <row r="989">
      <c r="A989" s="114"/>
      <c r="B989" s="1"/>
      <c r="C989" s="1"/>
      <c r="D989" s="1"/>
      <c r="E989" s="1"/>
      <c r="F989" s="24"/>
      <c r="G989" s="24"/>
      <c r="H989" s="235"/>
    </row>
    <row r="990">
      <c r="A990" s="114"/>
      <c r="B990" s="1"/>
      <c r="C990" s="1"/>
      <c r="D990" s="1"/>
      <c r="E990" s="1"/>
      <c r="F990" s="24"/>
      <c r="G990" s="24"/>
      <c r="H990" s="235"/>
    </row>
    <row r="991">
      <c r="A991" s="114"/>
      <c r="B991" s="1"/>
      <c r="C991" s="1"/>
      <c r="D991" s="1"/>
      <c r="E991" s="1"/>
      <c r="F991" s="24"/>
      <c r="G991" s="24"/>
      <c r="H991" s="235"/>
    </row>
    <row r="992">
      <c r="A992" s="114"/>
      <c r="B992" s="1"/>
      <c r="C992" s="1"/>
      <c r="D992" s="1"/>
      <c r="E992" s="1"/>
      <c r="F992" s="24"/>
      <c r="G992" s="24"/>
      <c r="H992" s="235"/>
    </row>
    <row r="993">
      <c r="A993" s="114"/>
      <c r="B993" s="1"/>
      <c r="C993" s="1"/>
      <c r="D993" s="1"/>
      <c r="E993" s="1"/>
      <c r="F993" s="24"/>
      <c r="G993" s="24"/>
      <c r="H993" s="235"/>
    </row>
    <row r="994">
      <c r="A994" s="114"/>
      <c r="B994" s="1"/>
      <c r="C994" s="1"/>
      <c r="D994" s="1"/>
      <c r="E994" s="1"/>
      <c r="F994" s="24"/>
      <c r="G994" s="24"/>
      <c r="H994" s="235"/>
    </row>
    <row r="995">
      <c r="A995" s="114"/>
      <c r="B995" s="1"/>
      <c r="C995" s="1"/>
      <c r="D995" s="1"/>
      <c r="E995" s="1"/>
      <c r="F995" s="24"/>
      <c r="G995" s="24"/>
      <c r="H995" s="235"/>
    </row>
    <row r="996">
      <c r="A996" s="114"/>
      <c r="B996" s="1"/>
      <c r="C996" s="1"/>
      <c r="D996" s="1"/>
      <c r="E996" s="1"/>
      <c r="F996" s="24"/>
      <c r="G996" s="24"/>
      <c r="H996" s="235"/>
    </row>
    <row r="997">
      <c r="A997" s="114"/>
      <c r="B997" s="1"/>
      <c r="C997" s="1"/>
      <c r="D997" s="1"/>
      <c r="E997" s="1"/>
      <c r="F997" s="24"/>
      <c r="G997" s="24"/>
      <c r="H997" s="235"/>
    </row>
  </sheetData>
  <dataValidations>
    <dataValidation allowBlank="1" showDropDown="1" sqref="A2:A32 F2:G32"/>
  </dataValidations>
  <drawing r:id="rId1"/>
  <tableParts count="2">
    <tablePart r:id="rId4"/>
    <tablePart r:id="rId5"/>
  </tableParts>
</worksheet>
</file>